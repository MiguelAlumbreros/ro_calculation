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psol365-my.sharepoint.com/personal/miguel_alumbreros_repsol_com/Documents/Escritorio/Coding/9. projects/3. RO calculation/OCV tool/"/>
    </mc:Choice>
  </mc:AlternateContent>
  <xr:revisionPtr revIDLastSave="118" documentId="8_{1123A017-DC01-4E15-8D4D-97A2ABE543A3}" xr6:coauthVersionLast="47" xr6:coauthVersionMax="47" xr10:uidLastSave="{6BFC505B-EFDC-4F19-88BB-063E3CD5408D}"/>
  <bookViews>
    <workbookView xWindow="-120" yWindow="-120" windowWidth="29040" windowHeight="15720" xr2:uid="{00000000-000D-0000-FFFF-FFFF00000000}"/>
  </bookViews>
  <sheets>
    <sheet name="Roprevisto" sheetId="42" r:id="rId1"/>
    <sheet name="Roprevisto ivpee Q1" sheetId="43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0">#N/A</definedName>
    <definedName name="\A" localSheetId="0">[1]DESAC!#REF!</definedName>
    <definedName name="\A" localSheetId="1">[1]DESAC!#REF!</definedName>
    <definedName name="\A">[1]DESAC!#REF!</definedName>
    <definedName name="\B" localSheetId="0">#REF!</definedName>
    <definedName name="\B" localSheetId="1">#REF!</definedName>
    <definedName name="\B">#REF!</definedName>
    <definedName name="\C" localSheetId="0">#REF!</definedName>
    <definedName name="\C" localSheetId="1">#REF!</definedName>
    <definedName name="\C">#REF!</definedName>
    <definedName name="\e">#N/A</definedName>
    <definedName name="\g" localSheetId="0">#REF!</definedName>
    <definedName name="\g" localSheetId="1">#REF!</definedName>
    <definedName name="\g">#REF!</definedName>
    <definedName name="\I" localSheetId="0">#REF!</definedName>
    <definedName name="\I" localSheetId="1">#REF!</definedName>
    <definedName name="\I">#REF!</definedName>
    <definedName name="\L" localSheetId="0">[1]DESAC!#REF!</definedName>
    <definedName name="\L" localSheetId="1">[1]DESAC!#REF!</definedName>
    <definedName name="\L">[1]DESAC!#REF!</definedName>
    <definedName name="\p" localSheetId="0">[2]Hist41!#REF!</definedName>
    <definedName name="\p" localSheetId="1">[2]Hist41!#REF!</definedName>
    <definedName name="\p">[2]Hist41!#REF!</definedName>
    <definedName name="\Z" localSheetId="0">[1]DESAC!#REF!</definedName>
    <definedName name="\Z" localSheetId="1">[1]DESAC!#REF!</definedName>
    <definedName name="\Z">[1]DESAC!#REF!</definedName>
    <definedName name="____r" localSheetId="0" hidden="1">{"'8'!$B$1:$I$46"}</definedName>
    <definedName name="____r" localSheetId="1" hidden="1">{"'8'!$B$1:$I$46"}</definedName>
    <definedName name="____r" hidden="1">{"'8'!$B$1:$I$46"}</definedName>
    <definedName name="__123Graph_A" localSheetId="0" hidden="1">[1]DESAC!#REF!</definedName>
    <definedName name="__123Graph_A" localSheetId="1" hidden="1">[1]DESAC!#REF!</definedName>
    <definedName name="__123Graph_A" hidden="1">[1]DESAC!#REF!</definedName>
    <definedName name="__123Graph_B" localSheetId="0" hidden="1">[1]DESAC!#REF!</definedName>
    <definedName name="__123Graph_B" localSheetId="1" hidden="1">[1]DESAC!#REF!</definedName>
    <definedName name="__123Graph_B" hidden="1">[1]DESAC!#REF!</definedName>
    <definedName name="__123Graph_C" localSheetId="0" hidden="1">[1]DESAC!#REF!</definedName>
    <definedName name="__123Graph_C" localSheetId="1" hidden="1">[1]DESAC!#REF!</definedName>
    <definedName name="__123Graph_C" hidden="1">[1]DESAC!#REF!</definedName>
    <definedName name="__123Graph_X" localSheetId="0" hidden="1">[1]DESAC!#REF!</definedName>
    <definedName name="__123Graph_X" localSheetId="1" hidden="1">[1]DESAC!#REF!</definedName>
    <definedName name="__123Graph_X" hidden="1">[1]DESAC!#REF!</definedName>
    <definedName name="__Fill" localSheetId="0" hidden="1">#REF!</definedName>
    <definedName name="__Fill" localSheetId="1" hidden="1">#REF!</definedName>
    <definedName name="__Fill" hidden="1">#REF!</definedName>
    <definedName name="__Key1" localSheetId="0" hidden="1">#REF!</definedName>
    <definedName name="__Key1" localSheetId="1" hidden="1">#REF!</definedName>
    <definedName name="__Key1" hidden="1">#REF!</definedName>
    <definedName name="__Sort" localSheetId="0" hidden="1">#REF!</definedName>
    <definedName name="__Sort" localSheetId="1" hidden="1">#REF!</definedName>
    <definedName name="__Sort" hidden="1">#REF!</definedName>
    <definedName name="_1__123Graph_BCHART_2" localSheetId="0" hidden="1">[1]DESAC!#REF!</definedName>
    <definedName name="_1__123Graph_BCHART_2" localSheetId="1" hidden="1">[1]DESAC!#REF!</definedName>
    <definedName name="_1__123Graph_BCHART_2" hidden="1">[1]DESAC!#REF!</definedName>
    <definedName name="_Fill" localSheetId="0" hidden="1">#REF!</definedName>
    <definedName name="_Fill" localSheetId="1" hidden="1">#REF!</definedName>
    <definedName name="_Fill" hidden="1">#REF!</definedName>
    <definedName name="_Key1" localSheetId="0" hidden="1">[2]HDS_MHC!#REF!</definedName>
    <definedName name="_Key1" localSheetId="1" hidden="1">[2]HDS_MHC!#REF!</definedName>
    <definedName name="_Key1" hidden="1">[2]HDS_MHC!#REF!</definedName>
    <definedName name="_LG2" localSheetId="0">[1]DESAC!#REF!</definedName>
    <definedName name="_LG2" localSheetId="1">[1]DESAC!#REF!</definedName>
    <definedName name="_LG2">[1]DESAC!#REF!</definedName>
    <definedName name="_Order1" hidden="1">255</definedName>
    <definedName name="_Order2" hidden="1">255</definedName>
    <definedName name="_PAN1" localSheetId="0">#REF!</definedName>
    <definedName name="_PAN1" localSheetId="1">#REF!</definedName>
    <definedName name="_PAN1">#REF!</definedName>
    <definedName name="_PAN2" localSheetId="0">#REF!</definedName>
    <definedName name="_PAN2" localSheetId="1">#REF!</definedName>
    <definedName name="_PAN2">#REF!</definedName>
    <definedName name="_Regression_Int" hidden="1">1</definedName>
    <definedName name="_Regression_Out" localSheetId="0" hidden="1">[1]DESAC!#REF!</definedName>
    <definedName name="_Regression_Out" localSheetId="1" hidden="1">[1]DESAC!#REF!</definedName>
    <definedName name="_Regression_Out" hidden="1">[1]DESAC!#REF!</definedName>
    <definedName name="_SIC2" localSheetId="0">#REF!</definedName>
    <definedName name="_SIC2" localSheetId="1">#REF!</definedName>
    <definedName name="_SIC2">#REF!</definedName>
    <definedName name="_SIC3" localSheetId="0">#REF!</definedName>
    <definedName name="_SIC3" localSheetId="1">#REF!</definedName>
    <definedName name="_SIC3">#REF!</definedName>
    <definedName name="_Sort" localSheetId="0" hidden="1">[2]HDS_MHC!#REF!</definedName>
    <definedName name="_Sort" localSheetId="1" hidden="1">[2]HDS_MHC!#REF!</definedName>
    <definedName name="_Sort" hidden="1">[2]HDS_MHC!#REF!</definedName>
    <definedName name="_unl93" localSheetId="0">[3]Coti!#REF!</definedName>
    <definedName name="_unl93" localSheetId="1">[3]Coti!#REF!</definedName>
    <definedName name="_unl93">[3]Coti!#REF!</definedName>
    <definedName name="_uno5">OFFSET('[4]inventory gaps'!$A$2,COUNTA('[4]inventory gaps'!$A$1:$A$65536)-161,56,161,1)</definedName>
    <definedName name="A" localSheetId="0">Scheduled_Payment+Extra_Payment</definedName>
    <definedName name="A" localSheetId="1">Scheduled_Payment+Extra_Payment</definedName>
    <definedName name="A">Scheduled_Payment+Extra_Payment</definedName>
    <definedName name="A_impresión_IM" localSheetId="0">#REF!</definedName>
    <definedName name="A_impresión_IM" localSheetId="1">#REF!</definedName>
    <definedName name="A_impresión_IM">#REF!</definedName>
    <definedName name="aa" localSheetId="0">'[5]Oil Consumption – barrels'!#REF!</definedName>
    <definedName name="aa" localSheetId="1">'[5]Oil Consumption – barrels'!#REF!</definedName>
    <definedName name="aa">'[5]Oil Consumption – barrels'!#REF!</definedName>
    <definedName name="aaa">39114</definedName>
    <definedName name="aaaa" localSheetId="0">'[6]Oil Consumption – barrels'!#REF!</definedName>
    <definedName name="aaaa" localSheetId="1">'[6]Oil Consumption – barrels'!#REF!</definedName>
    <definedName name="aaaa">'[6]Oil Consumption – barrels'!#REF!</definedName>
    <definedName name="aaaaa" localSheetId="0" hidden="1">{"'8'!$B$1:$I$46"}</definedName>
    <definedName name="aaaaa" localSheetId="1" hidden="1">{"'8'!$B$1:$I$46"}</definedName>
    <definedName name="aaaaa" hidden="1">{"'8'!$B$1:$I$46"}</definedName>
    <definedName name="AccessDatabase" hidden="1">"\\ssmadcadat04\depart\RQ\DGPLANYC\PLANIF\Inversiones Pequeña Cuantía\2004\Poliolefinas\RENTABIL04.mdb"</definedName>
    <definedName name="alc" localSheetId="0">OFFSET(Roprevisto!Full_Print,0,0,Roprevisto!alcista)</definedName>
    <definedName name="alc" localSheetId="1">OFFSET('Roprevisto ivpee Q1'!Full_Print,0,0,'Roprevisto ivpee Q1'!alcista)</definedName>
    <definedName name="alc">OFFSET(Full_Print,0,0,alcista)</definedName>
    <definedName name="alcista" localSheetId="0">IF(Roprevisto!Values_Entered,Roprevisto!Header_Row+Roprevisto!Number_of_Payments,Roprevisto!Header_Row)</definedName>
    <definedName name="alcista" localSheetId="1">IF('Roprevisto ivpee Q1'!Values_Entered,'Roprevisto ivpee Q1'!Header_Row+'Roprevisto ivpee Q1'!Number_of_Payments,'Roprevisto ivpee Q1'!Header_Row)</definedName>
    <definedName name="alcista">IF(Values_Entered,Header_Row+Number_of_Payments,Header_Row)</definedName>
    <definedName name="api">'[7]Fórmula descuento crudosx2'!$C$15:$IK$15</definedName>
    <definedName name="Arbol" localSheetId="0">#REF!</definedName>
    <definedName name="Arbol" localSheetId="1">#REF!</definedName>
    <definedName name="Arbol">#REF!</definedName>
    <definedName name="arg" localSheetId="0">#REF!</definedName>
    <definedName name="arg" localSheetId="1">#REF!</definedName>
    <definedName name="arg">#REF!</definedName>
    <definedName name="argmo" localSheetId="0">[3]IM!#REF!</definedName>
    <definedName name="argmo" localSheetId="1">[3]IM!#REF!</definedName>
    <definedName name="argmo">[3]IM!#REF!</definedName>
    <definedName name="B" localSheetId="0" hidden="1">{"'8'!$B$1:$I$46"}</definedName>
    <definedName name="B" localSheetId="1" hidden="1">{"'8'!$B$1:$I$46"}</definedName>
    <definedName name="B" hidden="1">{"'8'!$B$1:$I$46"}</definedName>
    <definedName name="bbb">'[8]Oil Consumption – barrels'!#REF!</definedName>
    <definedName name="Beg_Bal" localSheetId="0">#REF!</definedName>
    <definedName name="Beg_Bal" localSheetId="1">#REF!</definedName>
    <definedName name="Beg_Bal">#REF!</definedName>
    <definedName name="BMTBNASA">[9]Primbl_GLB!$A$7:$F$6595</definedName>
    <definedName name="bra" localSheetId="0">#REF!</definedName>
    <definedName name="bra" localSheetId="1">#REF!</definedName>
    <definedName name="bra">#REF!</definedName>
    <definedName name="bramo" localSheetId="0">[3]IM!#REF!</definedName>
    <definedName name="bramo" localSheetId="1">[3]IM!#REF!</definedName>
    <definedName name="bramo">[3]IM!#REF!</definedName>
    <definedName name="Brent">OFFSET('[10]Gráfico 1. Evolución precios'!$D$1,COUNTA('[10]Gráfico 1. Evolución precios'!$D$1:$D$65536)-36,0,37)</definedName>
    <definedName name="brent_dia">[3]Coti!$C$398:$C$1651</definedName>
    <definedName name="Brent_eur">OFFSET('[10]Gráfico 1. Evolución precios'!$E$1,COUNTA('[10]Gráfico 1. Evolución precios'!$E$1:$E$65536)-36,0,37)</definedName>
    <definedName name="Button_11">"RENTABIL04_21769_Lista"</definedName>
    <definedName name="C_" localSheetId="0">#REF!</definedName>
    <definedName name="C_" localSheetId="1">#REF!</definedName>
    <definedName name="C_">#REF!</definedName>
    <definedName name="cero">OFFSET([11]ANDALUCÍA!$A$7,COUNTA([11]ANDALUCÍA!$A$1:$A$65536)-23,116,21,1)</definedName>
    <definedName name="charo" localSheetId="0">IF(Roprevisto!Values_Entered,Roprevisto!Header_Row+Roprevisto!Number_of_Payments,Roprevisto!Header_Row)</definedName>
    <definedName name="charo" localSheetId="1">IF('Roprevisto ivpee Q1'!Values_Entered,'Roprevisto ivpee Q1'!Header_Row+'Roprevisto ivpee Q1'!Number_of_Payments,'Roprevisto ivpee Q1'!Header_Row)</definedName>
    <definedName name="charo">IF(Values_Entered,Header_Row+Number_of_Payments,Header_Row)</definedName>
    <definedName name="CO_ANDALUCÍA">OFFSET([11]ANDALUCÍA!$A$7,COUNTA([11]ANDALUCÍA!$A$1:$A$65536)-23,65,21,1)</definedName>
    <definedName name="CO_ARAGÓN">OFFSET([11]ARAGÓN!$A$7,COUNTA([11]ARAGÓN!$A$1:$A$65536)-23,65,21,1)</definedName>
    <definedName name="CO_ASTURIAS">OFFSET([11]ASTURIAS!$A$7,COUNTA([11]ASTURIAS!$A$1:$A$65536)-23,65,21,1)</definedName>
    <definedName name="CO_BALEARES">OFFSET([11]BALEARES!$A$7,COUNTA([11]BALEARES!$A$1:$A$65536)-23,65,21,1)</definedName>
    <definedName name="CO_CANARIAS">OFFSET([11]CANARIAS!$A$7,COUNTA([11]CANARIAS!$A$1:$A$65536)-23,65,21,1)</definedName>
    <definedName name="CO_CANTABRIA">OFFSET([11]CANTABRIA!$A$7,COUNTA([11]CANTABRIA!$A$1:$A$65536)-23,65,21,1)</definedName>
    <definedName name="CO_CAST_LEÓN">OFFSET('[11]CASTILLA Y LEÓN'!$A$7,COUNTA('[11]CASTILLA Y LEÓN'!$A$1:$A$65536)-23,65,21,1)</definedName>
    <definedName name="CO_CAST_MANCHA">OFFSET('[11]CASTILLA LA MANCHA'!$A$7,COUNTA('[11]CASTILLA LA MANCHA'!$A$1:$A$65536)-23,65,21,1)</definedName>
    <definedName name="CO_CATALUÑA">OFFSET([11]CATALUÑA!$A$7,COUNTA([11]CATALUÑA!$A$1:$A$65536)-23,65,21,1)</definedName>
    <definedName name="CO_COM_VALENCIANA">OFFSET('[11]COMUNIDAD VALENCIANA'!$A$7,COUNTA('[11]COMUNIDAD VALENCIANA'!$A$1:$A$65536)-23,65,21,1)</definedName>
    <definedName name="CO_españa">OFFSET([11]ESPAÑA!$A$7,COUNTA([11]ESPAÑA!$A$1:$A$65536)-24,65,21,1)</definedName>
    <definedName name="CO_EXTREMADURA">OFFSET([11]EXTREMADURA!$A$7,COUNTA([11]EXTREMADURA!$A$1:$A$65536)-23,65,21,1)</definedName>
    <definedName name="CO_GALICIA">OFFSET([11]GALICIA!$A$7,COUNTA([11]GALICIA!$A$1:$A$65536)-23,65,21,1)</definedName>
    <definedName name="CO_MADRID">OFFSET([11]MADRID!$A$7,COUNTA([11]MADRID!$A$1:$A$65536)-23,65,21,1)</definedName>
    <definedName name="CO_MURCIA">OFFSET([11]MURCIA!$A$7,COUNTA([11]MURCIA!$A$1:$A$65536)-23,65,21,1)</definedName>
    <definedName name="CO_NAVARRA">OFFSET([11]NAVARRA!$A$7,COUNTA([11]NAVARRA!$A$1:$A$65536)-23,65,21,1)</definedName>
    <definedName name="CO_PAÍS_VASCO">OFFSET('[11]PAÍS VASCO'!$A$7,COUNTA('[11]PAÍS VASCO'!$A$1:$A$65536)-23,65,21,1)</definedName>
    <definedName name="CO_RIOJA">OFFSET([11]RIOJA!$A$7,COUNTA([11]RIOJA!$A$1:$A$65536)-23,65,21,1)</definedName>
    <definedName name="cobdinvcru">OFFSET('[4]inventory gaps'!$A$2,COUNTA('[4]inventory gaps'!$A$1:$A$65536)-161,15,161,1)</definedName>
    <definedName name="cobdinvcrumod">OFFSET('[12]inventory gaps'!$A$2,COUNTA('[12]inventory gaps'!$A:$A)-53,15,53,1)</definedName>
    <definedName name="cobdinvdes">OFFSET('[4]inventory gaps'!$A$2,COUNTA('[4]inventory gaps'!$A$1:$A$65536)-161,31,161,1)</definedName>
    <definedName name="cobdinvdesmod">OFFSET('[12]inventory gaps'!$A$2,COUNTA('[12]inventory gaps'!$A:$A)-53,31,53,1)</definedName>
    <definedName name="cobdinvgaso">OFFSET('[4]inventory gaps'!$A$2,COUNTA('[4]inventory gaps'!$A$1:$A$65536)-161,23,161,1)</definedName>
    <definedName name="cobdinvgasomod">OFFSET('[12]inventory gaps'!$A$2,COUNTA('[12]inventory gaps'!$A:$A)-53,23,53,1)</definedName>
    <definedName name="cobdinvtot">OFFSET('[4]inventory gaps'!$A$2,COUNTA('[4]inventory gaps'!$A$1:$A$65536)-161,7,161,1)</definedName>
    <definedName name="cobdinvtotmod">OFFSET('[12]inventory gaps'!$A$2,COUNTA('[12]inventory gaps'!$A:$A)-53,7,53,1)</definedName>
    <definedName name="CONTE" localSheetId="0">#REF!</definedName>
    <definedName name="CONTE" localSheetId="1">#REF!</definedName>
    <definedName name="CONTE">#REF!</definedName>
    <definedName name="_xlnm.Criteria" localSheetId="0">[1]DESAC!#REF!</definedName>
    <definedName name="_xlnm.Criteria" localSheetId="1">[1]DESAC!#REF!</definedName>
    <definedName name="_xlnm.Criteria">[1]DESAC!#REF!</definedName>
    <definedName name="CUARTO">#N/A</definedName>
    <definedName name="Data">[13]sheet0!$C$2</definedName>
    <definedName name="DEC" localSheetId="0">#REF!</definedName>
    <definedName name="DEC" localSheetId="1">#REF!</definedName>
    <definedName name="DEC">#REF!</definedName>
    <definedName name="DES" localSheetId="0">#REF!</definedName>
    <definedName name="DES" localSheetId="1">#REF!</definedName>
    <definedName name="DES">#REF!</definedName>
    <definedName name="DESMCPK2" localSheetId="0" hidden="1">[2]DESAC1C2Combust!#REF!</definedName>
    <definedName name="DESMCPK2" localSheetId="1" hidden="1">[2]DESAC1C2Combust!#REF!</definedName>
    <definedName name="DESMCPK2" hidden="1">[2]DESAC1C2Combust!#REF!</definedName>
    <definedName name="DESV" localSheetId="0">#REF!</definedName>
    <definedName name="DESV" localSheetId="1">#REF!</definedName>
    <definedName name="DESV">#REF!</definedName>
    <definedName name="DF_ANDALUCÍA">OFFSET([11]ANDALUCÍA!$A$7,COUNTA([11]ANDALUCÍA!$A$1:$A$65536)-23,20,21,1)</definedName>
    <definedName name="DF_ARAGÓN">OFFSET([11]ARAGÓN!$A$7,COUNTA([11]ARAGÓN!$A$1:$A$65536)-23,20,21,1)</definedName>
    <definedName name="DF_ASTURIAS">OFFSET([11]ASTURIAS!$A$7,COUNTA([11]ASTURIAS!$A$1:$A$65536)-23,20,21,1)</definedName>
    <definedName name="DF_BALEARES">OFFSET([11]BALEARES!$A$7,COUNTA([11]BALEARES!$A$1:$A$65536)-23,20,21,1)</definedName>
    <definedName name="DF_CANARIAS">OFFSET([11]CANARIAS!$A$7,COUNTA([11]CANARIAS!$A$1:$A$65536)-23,20,21,1)</definedName>
    <definedName name="DF_CANTABRIA">OFFSET([11]CANTABRIA!$A$7,COUNTA([11]CANTABRIA!$A$1:$A$65536)-23,20,21,1)</definedName>
    <definedName name="DF_CAST_LEÓN">OFFSET('[11]CASTILLA Y LEÓN'!$A$7,COUNTA('[11]CASTILLA Y LEÓN'!$A$1:$A$65536)-23,20,21,1)</definedName>
    <definedName name="DF_CAST_MANCHA">OFFSET('[11]CASTILLA LA MANCHA'!$A$7,COUNTA('[11]CASTILLA LA MANCHA'!$A$1:$A$65536)-23,20,21,1)</definedName>
    <definedName name="DF_CATALUÑA">OFFSET([11]CATALUÑA!$A$7,COUNTA([11]CATALUÑA!$A$1:$A$65536)-23,20,21,1)</definedName>
    <definedName name="DF_COM_VALENCIANA">OFFSET('[11]COMUNIDAD VALENCIANA'!$A$7,COUNTA('[11]COMUNIDAD VALENCIANA'!$A$1:$A$65536)-23,20,21,1)</definedName>
    <definedName name="DF_EXTREMADURA">OFFSET([11]EXTREMADURA!$A$7,COUNTA([11]EXTREMADURA!$A$1:$A$65536)-23,20,21,1)</definedName>
    <definedName name="DF_GALICIA">OFFSET([11]GALICIA!$A$7,COUNTA([11]GALICIA!$A$1:$A$65536)-23,20,21,1)</definedName>
    <definedName name="DF_MADRID">OFFSET([11]MADRID!$A$7,COUNTA([11]MADRID!$A$1:$A$65536)-23,20,21,1)</definedName>
    <definedName name="DF_MURCIA">OFFSET([11]MURCIA!$A$7,COUNTA([11]MURCIA!$A$1:$A$65536)-23,20,21,1)</definedName>
    <definedName name="DF_NAVARRA">OFFSET([11]NAVARRA!$A$7,COUNTA([11]NAVARRA!$A$1:$A$65536)-23,20,21,1)</definedName>
    <definedName name="DF_PAÍS_VASCO">OFFSET('[11]PAÍS VASCO'!$A$7,COUNTA('[11]PAÍS VASCO'!$A$1:$A$65536)-23,20,21,1)</definedName>
    <definedName name="DF_RIOJA">OFFSET([11]RIOJA!$A$7,COUNTA([11]RIOJA!$A$1:$A$65536)-23,20,21,1)</definedName>
    <definedName name="difae" localSheetId="0">#REF!</definedName>
    <definedName name="difae" localSheetId="1">#REF!</definedName>
    <definedName name="difae">#REF!</definedName>
    <definedName name="difbp" localSheetId="0">#REF!</definedName>
    <definedName name="difbp" localSheetId="1">#REF!</definedName>
    <definedName name="difbp">#REF!</definedName>
    <definedName name="DIIF" localSheetId="0">#REF!</definedName>
    <definedName name="DIIF" localSheetId="1">#REF!</definedName>
    <definedName name="DIIF">#REF!</definedName>
    <definedName name="DIV" localSheetId="0">#REF!</definedName>
    <definedName name="DIV" localSheetId="1">#REF!</definedName>
    <definedName name="DIV">#REF!</definedName>
    <definedName name="DLCB" localSheetId="0">'[14]10'!#REF!</definedName>
    <definedName name="DLCB" localSheetId="1">'[14]10'!#REF!</definedName>
    <definedName name="DLCB">'[14]10'!#REF!</definedName>
    <definedName name="DLCG" localSheetId="0">'[14]10'!#REF!</definedName>
    <definedName name="DLCG" localSheetId="1">'[14]10'!#REF!</definedName>
    <definedName name="DLCG">'[14]10'!#REF!</definedName>
    <definedName name="DLPA" localSheetId="0">'[14]7'!#REF!</definedName>
    <definedName name="DLPA" localSheetId="1">'[14]7'!#REF!</definedName>
    <definedName name="DLPA">'[14]7'!#REF!</definedName>
    <definedName name="DLPB" localSheetId="0">'[14]7'!#REF!</definedName>
    <definedName name="DLPB" localSheetId="1">'[14]7'!#REF!</definedName>
    <definedName name="DLPB">'[14]7'!#REF!</definedName>
    <definedName name="DLPG" localSheetId="0">#REF!</definedName>
    <definedName name="DLPG" localSheetId="1">#REF!</definedName>
    <definedName name="DLPG">#REF!</definedName>
    <definedName name="DLPRB" localSheetId="0">'[14]7'!#REF!</definedName>
    <definedName name="DLPRB" localSheetId="1">'[14]7'!#REF!</definedName>
    <definedName name="DLPRB">'[14]7'!#REF!</definedName>
    <definedName name="dólar">[15]Factores!$D$16</definedName>
    <definedName name="dos">OFFSET('[4]inventory gaps'!$A$2,COUNTA('[4]inventory gaps'!$A$1:$A$65536)-161,54,161,1)</definedName>
    <definedName name="dosmod">OFFSET('[12]inventory gaps'!$A$2,COUNTA('[12]inventory gaps'!$A:$A)-53,54,53,1)</definedName>
    <definedName name="DPHB" localSheetId="0">'[14]12'!#REF!</definedName>
    <definedName name="DPHB" localSheetId="1">'[14]12'!#REF!</definedName>
    <definedName name="DPHB">'[14]12'!#REF!</definedName>
    <definedName name="DPHR" localSheetId="0">'[14]12'!#REF!</definedName>
    <definedName name="DPHR" localSheetId="1">'[14]12'!#REF!</definedName>
    <definedName name="DPHR">'[14]12'!#REF!</definedName>
    <definedName name="ducto_BQ_rlc">[15]Fletes!$C$106</definedName>
    <definedName name="Ducto_DS_rlp">[15]Fletes!$C$111</definedName>
    <definedName name="Ducto_LM_rlc">[15]Fletes!$C$108</definedName>
    <definedName name="Ducto_LM_rlp">[15]Fletes!$C$109</definedName>
    <definedName name="ducto_MC_rlc">[15]Fletes!$C$104</definedName>
    <definedName name="ducto_SL_rlc">[15]Fletes!$C$105</definedName>
    <definedName name="ducto_VM_rlc">[15]Fletes!$C$103</definedName>
    <definedName name="DVL" localSheetId="0">#REF!</definedName>
    <definedName name="DVL" localSheetId="1">#REF!</definedName>
    <definedName name="DVL">#REF!</definedName>
    <definedName name="ee" localSheetId="0">#REF!</definedName>
    <definedName name="ee" localSheetId="1">#REF!</definedName>
    <definedName name="ee">#REF!</definedName>
    <definedName name="End_Bal" localSheetId="0">#REF!</definedName>
    <definedName name="End_Bal" localSheetId="1">#REF!</definedName>
    <definedName name="End_Bal">#REF!</definedName>
    <definedName name="ESR" localSheetId="0">'[16]Export Parity'!#REF!</definedName>
    <definedName name="ESR" localSheetId="1">'[16]Export Parity'!#REF!</definedName>
    <definedName name="ESR">'[16]Export Parity'!#REF!</definedName>
    <definedName name="eurmo" localSheetId="0">[3]IM!#REF!</definedName>
    <definedName name="eurmo" localSheetId="1">[3]IM!#REF!</definedName>
    <definedName name="eurmo">[3]IM!#REF!</definedName>
    <definedName name="euro" localSheetId="0">#REF!</definedName>
    <definedName name="euro" localSheetId="1">#REF!</definedName>
    <definedName name="euro">#REF!</definedName>
    <definedName name="Extra_Pay" localSheetId="0">#REF!</definedName>
    <definedName name="Extra_Pay" localSheetId="1">#REF!</definedName>
    <definedName name="Extra_Pay">#REF!</definedName>
    <definedName name="FECHA" localSheetId="0">#REF!</definedName>
    <definedName name="FECHA" localSheetId="1">#REF!</definedName>
    <definedName name="FECHA">#REF!</definedName>
    <definedName name="fecha_ANDALUCÍA">OFFSET([11]ANDALUCÍA!$A$7,COUNTA([11]ANDALUCÍA!$A$1:$A$65536)-23,0,21,1)</definedName>
    <definedName name="fecha_ARAGÓN">OFFSET([11]ARAGÓN!$A$7,COUNTA([11]ARAGÓN!$A$1:$A$65536)-23,0,21,1)</definedName>
    <definedName name="fecha_ASTURIAS">OFFSET([11]ASTURIAS!$A$7,COUNTA([11]ASTURIAS!$A$1:$A$65536)-23,0,21,1)</definedName>
    <definedName name="fecha_BALEARES">OFFSET([11]BALEARES!$A$7,COUNTA([11]BALEARES!$A$1:$A$65536)-23,0,21,1)</definedName>
    <definedName name="fecha_CANARIAS">OFFSET([11]CANARIAS!$A$7,COUNTA([11]CANARIAS!$A$1:$A$65536)-23,0,21,1)</definedName>
    <definedName name="fecha_CANTABRIA">OFFSET([11]CANTABRIA!$A$7,COUNTA([11]CANTABRIA!$A$1:$A$65536)-23,0,21,1)</definedName>
    <definedName name="fecha_CAST_LEÓN">OFFSET('[11]CASTILLA Y LEÓN'!$A$7,COUNTA('[11]CASTILLA Y LEÓN'!$A$1:$A$65536)-23,0,21,1)</definedName>
    <definedName name="fecha_CAST_MANCHA">OFFSET('[11]CASTILLA LA MANCHA'!$A$7,COUNTA('[11]CASTILLA LA MANCHA'!$A$1:$A$65536)-23,0,21,1)</definedName>
    <definedName name="fecha_CATALUÑA">OFFSET([11]CATALUÑA!$A$7,COUNTA([11]CATALUÑA!$A$1:$A$65536)-23,0,21,1)</definedName>
    <definedName name="fecha_COM_VALENCIANA">OFFSET('[11]COMUNIDAD VALENCIANA'!$A$7,COUNTA('[11]COMUNIDAD VALENCIANA'!$A$1:$A$65536)-23,0,21,1)</definedName>
    <definedName name="fecha_españa">OFFSET([11]ESPAÑA!$A$7,COUNTA([11]ESPAÑA!$A$1:$A$65536)-24,0,21,1)</definedName>
    <definedName name="fecha_EXTREMADURA">OFFSET([11]EXTREMADURA!$A$7,COUNTA([11]EXTREMADURA!$A$1:$A$65536)-23,0,21,1)</definedName>
    <definedName name="fecha_GALICIA">OFFSET([11]GALICIA!$A$7,COUNTA([11]GALICIA!$A$1:$A$65536)-23,0,21,1)</definedName>
    <definedName name="fecha_MADRID">OFFSET([11]MADRID!$A$7,COUNTA([11]MADRID!$A$1:$A$65536)-23,0,21,1)</definedName>
    <definedName name="fecha_MURCIA">OFFSET([11]MURCIA!$A$7,COUNTA([11]MURCIA!$A$1:$A$65536)-23,0,21,1)</definedName>
    <definedName name="fecha_NAVARRA">OFFSET([11]NAVARRA!$A$7,COUNTA([11]NAVARRA!$A$1:$A$65536)-23,0,21,1)</definedName>
    <definedName name="fecha_PAÍS_VASCO">OFFSET('[11]PAÍS VASCO'!$A$7,COUNTA('[11]PAÍS VASCO'!$A$1:$A$65536)-23,0,21,1)</definedName>
    <definedName name="fecha_RIOJA">OFFSET([11]RIOJA!$A$7,COUNTA([11]RIOJA!$A$1:$A$65536)-23,0,21,1)</definedName>
    <definedName name="fechamod">OFFSET('[12]inventory gaps'!$A$2,COUNTA('[12]inventory gaps'!$A:$A)-53,0,53,1)</definedName>
    <definedName name="FINAL" localSheetId="0">#REF!</definedName>
    <definedName name="FINAL" localSheetId="1">#REF!</definedName>
    <definedName name="FINAL">#REF!</definedName>
    <definedName name="Front_CL" localSheetId="0">[17]openint!#REF!</definedName>
    <definedName name="Front_CL" localSheetId="1">[17]openint!#REF!</definedName>
    <definedName name="Front_CL">[17]openint!#REF!</definedName>
    <definedName name="Front_HO" localSheetId="0">[17]openint!#REF!</definedName>
    <definedName name="Front_HO" localSheetId="1">[17]openint!#REF!</definedName>
    <definedName name="Front_HO">[17]openint!#REF!</definedName>
    <definedName name="Front_HU" localSheetId="0">[17]openint!#REF!</definedName>
    <definedName name="Front_HU" localSheetId="1">[17]openint!#REF!</definedName>
    <definedName name="Front_HU">[17]openint!#REF!</definedName>
    <definedName name="FrontTot_CL" localSheetId="0">[17]openint!#REF!</definedName>
    <definedName name="FrontTot_CL" localSheetId="1">[17]openint!#REF!</definedName>
    <definedName name="FrontTot_CL">[17]openint!#REF!</definedName>
    <definedName name="FrontTot_HO" localSheetId="0">[17]openint!#REF!</definedName>
    <definedName name="FrontTot_HO" localSheetId="1">[17]openint!#REF!</definedName>
    <definedName name="FrontTot_HO">[17]openint!#REF!</definedName>
    <definedName name="FrontTot_HU" localSheetId="0">[17]openint!#REF!</definedName>
    <definedName name="FrontTot_HU" localSheetId="1">[17]openint!#REF!</definedName>
    <definedName name="FrontTot_HU">[17]openint!#REF!</definedName>
    <definedName name="Full_Print" localSheetId="0">#REF!</definedName>
    <definedName name="Full_Print" localSheetId="1">#REF!</definedName>
    <definedName name="Full_Print">#REF!</definedName>
    <definedName name="gapinvcru">OFFSET('[4]inventory gaps'!$A$2,COUNTA('[4]inventory gaps'!$A$1:$A$65536)-161,11,161,1)</definedName>
    <definedName name="gapinvcrumod">OFFSET('[12]inventory gaps'!$A$2,COUNTA('[12]inventory gaps'!$A:$A)-53,11,53,1)</definedName>
    <definedName name="gapinvdes">OFFSET('[4]inventory gaps'!$A$2,COUNTA('[4]inventory gaps'!$A$1:$A$65536)-161,27,161,1)</definedName>
    <definedName name="gapinvdesmod">OFFSET('[12]inventory gaps'!$A$2,COUNTA('[12]inventory gaps'!$A:$A)-53,27,53,1)</definedName>
    <definedName name="gapinvgaso">OFFSET('[4]inventory gaps'!$A$2,COUNTA('[4]inventory gaps'!$A$1:$A$65536)-161,19,161,1)</definedName>
    <definedName name="gapinvgasomod">OFFSET('[12]inventory gaps'!$A$2,COUNTA('[12]inventory gaps'!$A:$A)-53,19,53,1)</definedName>
    <definedName name="gapinvtot">OFFSET('[4]inventory gaps'!$A$2,COUNTA('[4]inventory gaps'!$A$1:$A$65536)-161,3,161,1)</definedName>
    <definedName name="gapinvtotmod">OFFSET('[12]inventory gaps'!$A$2,COUNTA('[12]inventory gaps'!$A:$A)-53,3,53,1)</definedName>
    <definedName name="ggggg" localSheetId="0" hidden="1">{"'8'!$B$1:$I$46"}</definedName>
    <definedName name="ggggg" localSheetId="1" hidden="1">{"'8'!$B$1:$I$46"}</definedName>
    <definedName name="ggggg" hidden="1">{"'8'!$B$1:$I$46"}</definedName>
    <definedName name="Header_Row" localSheetId="0">ROW(#REF!)</definedName>
    <definedName name="Header_Row" localSheetId="1">ROW(#REF!)</definedName>
    <definedName name="Header_Row">ROW(#REF!)</definedName>
    <definedName name="HHHH" localSheetId="0" hidden="1">{"'8'!$B$1:$I$46"}</definedName>
    <definedName name="HHHH" localSheetId="1" hidden="1">{"'8'!$B$1:$I$46"}</definedName>
    <definedName name="HHHH" hidden="1">{"'8'!$B$1:$I$46"}</definedName>
    <definedName name="hola" localSheetId="0">#REF!</definedName>
    <definedName name="hola" localSheetId="1">#REF!</definedName>
    <definedName name="hola">#REF!</definedName>
    <definedName name="HTML_CodePage" hidden="1">1252</definedName>
    <definedName name="HTML_Control" localSheetId="0" hidden="1">{"'8'!$B$1:$I$46"}</definedName>
    <definedName name="HTML_Control" localSheetId="1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IBEI_HISTORICAS" localSheetId="0">#REF!</definedName>
    <definedName name="IBEI_HISTORICAS" localSheetId="1">#REF!</definedName>
    <definedName name="IBEI_HISTORICAS">#REF!</definedName>
    <definedName name="IN_ANDALUCÍA">OFFSET([11]ANDALUCÍA!$A$7,COUNTA([11]ANDALUCÍA!$A$1:$A$65536)-23,62,21,1)</definedName>
    <definedName name="IN_ARAGÓN">OFFSET([11]ARAGÓN!$A$7,COUNTA([11]ARAGÓN!$A$1:$A$65536)-23,62,21,1)</definedName>
    <definedName name="IN_ASTURIAS">OFFSET([11]ASTURIAS!$A$7,COUNTA([11]ASTURIAS!$A$1:$A$65536)-23,62,21,1)</definedName>
    <definedName name="IN_BALEARES">OFFSET([11]BALEARES!$A$7,COUNTA([11]BALEARES!$A$1:$A$65536)-23,62,21,1)</definedName>
    <definedName name="IN_CANARIAS">OFFSET([11]CANARIAS!$A$7,COUNTA([11]CANARIAS!$A$1:$A$65536)-23,62,21,1)</definedName>
    <definedName name="IN_CANTABRIA">OFFSET([11]CANTABRIA!$A$7,COUNTA([11]CANTABRIA!$A$1:$A$65536)-23,62,21,1)</definedName>
    <definedName name="IN_CAST_LEÓN">OFFSET('[11]CASTILLA Y LEÓN'!$A$7,COUNTA('[11]CASTILLA Y LEÓN'!$A$1:$A$65536)-23,62,21,1)</definedName>
    <definedName name="IN_CAST_MANCHA">OFFSET('[11]CASTILLA LA MANCHA'!$A$7,COUNTA('[11]CASTILLA LA MANCHA'!$A$1:$A$65536)-23,62,21,1)</definedName>
    <definedName name="IN_CATALUÑA">OFFSET([11]CATALUÑA!$A$7,COUNTA([11]CATALUÑA!$A$1:$A$65536)-23,62,21,1)</definedName>
    <definedName name="IN_COM_VALENCIANA">OFFSET('[11]COMUNIDAD VALENCIANA'!$A$7,COUNTA('[11]COMUNIDAD VALENCIANA'!$A$1:$A$65536)-23,62,21,1)</definedName>
    <definedName name="IN_españa">OFFSET([11]ESPAÑA!$A$7,COUNTA([11]ESPAÑA!$A$1:$A$65536)-24,62,21,1)</definedName>
    <definedName name="IN_EXTREMADURA">OFFSET([11]EXTREMADURA!$A$7,COUNTA([11]EXTREMADURA!$A$1:$A$65536)-23,62,21,1)</definedName>
    <definedName name="IN_GALICIA">OFFSET([11]GALICIA!$A$7,COUNTA([11]GALICIA!$A$1:$A$65536)-23,62,21,1)</definedName>
    <definedName name="IN_MADRID">OFFSET([11]MADRID!$A$7,COUNTA([11]MADRID!$A$1:$A$65536)-23,62,21,1)</definedName>
    <definedName name="IN_MURCIA">OFFSET([11]MURCIA!$A$7,COUNTA([11]MURCIA!$A$1:$A$65536)-23,62,21,1)</definedName>
    <definedName name="IN_NAVARRA">OFFSET([11]NAVARRA!$A$7,COUNTA([11]NAVARRA!$A$1:$A$65536)-23,62,21,1)</definedName>
    <definedName name="IN_PAÍS_VASCO">OFFSET('[11]PAÍS VASCO'!$A$7,COUNTA('[11]PAÍS VASCO'!$A$1:$A$65536)-23,62,21,1)</definedName>
    <definedName name="IN_RIOJA">OFFSET([11]RIOJA!$A$7,COUNTA([11]RIOJA!$A$1:$A$65536)-23,62,21,1)</definedName>
    <definedName name="IND_INV_BBK" localSheetId="0">#REF!</definedName>
    <definedName name="IND_INV_BBK" localSheetId="1">#REF!</definedName>
    <definedName name="IND_INV_BBK">#REF!</definedName>
    <definedName name="IND_INV_CONST" localSheetId="0">#REF!</definedName>
    <definedName name="IND_INV_CONST" localSheetId="1">#REF!</definedName>
    <definedName name="IND_INV_CONST">#REF!</definedName>
    <definedName name="INDICE" localSheetId="0">#REF!</definedName>
    <definedName name="INDICE" localSheetId="1">#REF!</definedName>
    <definedName name="INDICE">#REF!</definedName>
    <definedName name="INDICE2" localSheetId="0">#REF!</definedName>
    <definedName name="INDICE2" localSheetId="1">#REF!</definedName>
    <definedName name="INDICE2">#REF!</definedName>
    <definedName name="INIT" localSheetId="0">#REF!</definedName>
    <definedName name="INIT" localSheetId="1">#REF!</definedName>
    <definedName name="INIT">#REF!</definedName>
    <definedName name="Int" localSheetId="0">#REF!</definedName>
    <definedName name="Int" localSheetId="1">#REF!</definedName>
    <definedName name="Int">#REF!</definedName>
    <definedName name="Interest_Rate" localSheetId="0">#REF!</definedName>
    <definedName name="Interest_Rate" localSheetId="1">#REF!</definedName>
    <definedName name="Interest_Rate">#REF!</definedName>
    <definedName name="invcru">OFFSET('[4]inventory gaps'!$A$2,COUNTA('[4]inventory gaps'!$A$1:$A$65536)-161,9,161,1)</definedName>
    <definedName name="invcru5">OFFSET('[4]inventory gaps'!$A$2,COUNTA('[4]inventory gaps'!$A$1:$A$65536)-161,10,161,1)</definedName>
    <definedName name="invcru5mod">OFFSET('[12]inventory gaps'!$A$2,COUNTA('[12]inventory gaps'!$A:$A)-53,10,53,1)</definedName>
    <definedName name="invcrumod">OFFSET('[12]inventory gaps'!$A$2,COUNTA('[12]inventory gaps'!$A:$A)-53,9,53,1)</definedName>
    <definedName name="invdes">OFFSET('[4]inventory gaps'!$A$2,COUNTA('[4]inventory gaps'!$A$1:$A$65536)-161,25,161,1)</definedName>
    <definedName name="invdes5">OFFSET('[4]inventory gaps'!$A$2,COUNTA('[4]inventory gaps'!$A$1:$A$65536)-161,26,161,1)</definedName>
    <definedName name="invdes5mod">OFFSET('[12]inventory gaps'!$A$2,COUNTA('[12]inventory gaps'!$A:$A)-53,26,53,1)</definedName>
    <definedName name="invdesmod">OFFSET('[12]inventory gaps'!$A$2,COUNTA('[12]inventory gaps'!$A:$A)-53,25,53,1)</definedName>
    <definedName name="invgaso">OFFSET('[4]inventory gaps'!$A$2,COUNTA('[4]inventory gaps'!$A$1:$A$65536)-161,17,161,1)</definedName>
    <definedName name="invgaso5">OFFSET('[4]inventory gaps'!$A$2,COUNTA('[4]inventory gaps'!$A$1:$A$65536)-161,18,161,1)</definedName>
    <definedName name="invgaso5mod">OFFSET('[12]inventory gaps'!$A$2,COUNTA('[12]inventory gaps'!$A:$A)-53,18,53,1)</definedName>
    <definedName name="invgasomod">OFFSET('[12]inventory gaps'!$A$2,COUNTA('[12]inventory gaps'!$A:$A)-53,17,53,1)</definedName>
    <definedName name="invtot">OFFSET('[4]inventory gaps'!$A$2,COUNTA('[4]inventory gaps'!$A$1:$A$65536)-161,1,161,1)</definedName>
    <definedName name="invtot5">OFFSET('[4]inventory gaps'!$A$2,COUNTA('[4]inventory gaps'!$A$1:$A$65536)-161,2,161,1)</definedName>
    <definedName name="invtot5mod">OFFSET('[12]inventory gaps'!$A$2,COUNTA('[12]inventory gaps'!$A:$A)-53,2,53,1)</definedName>
    <definedName name="invtotmod">OFFSET('[12]inventory gaps'!$A$2,COUNTA('[12]inventory gaps'!$A:$A)-53,1,53,1)</definedName>
    <definedName name="IVPEE">Roprevisto!$D$2</definedName>
    <definedName name="jjjj" localSheetId="0" hidden="1">{"'8'!$B$1:$I$46"}</definedName>
    <definedName name="jjjj" localSheetId="1" hidden="1">{"'8'!$B$1:$I$46"}</definedName>
    <definedName name="jjjj" hidden="1">{"'8'!$B$1:$I$46"}</definedName>
    <definedName name="Last_Row" localSheetId="0">IF(Roprevisto!Values_Entered,Roprevisto!Header_Row+Roprevisto!Number_of_Payments,Roprevisto!Header_Row)</definedName>
    <definedName name="Last_Row" localSheetId="1">IF('Roprevisto ivpee Q1'!Values_Entered,'Roprevisto ivpee Q1'!Header_Row+'Roprevisto ivpee Q1'!Number_of_Payments,'Roprevisto ivpee Q1'!Header_Row)</definedName>
    <definedName name="Last_Row">IF(Values_Entered,Header_Row+Number_of_Payments,Header_Row)</definedName>
    <definedName name="LEAP" localSheetId="0">#REF!</definedName>
    <definedName name="LEAP" localSheetId="1">#REF!</definedName>
    <definedName name="LEAP">#REF!</definedName>
    <definedName name="Loan_Amount" localSheetId="0">#REF!</definedName>
    <definedName name="Loan_Amount" localSheetId="1">#REF!</definedName>
    <definedName name="Loan_Amount">#REF!</definedName>
    <definedName name="Loan_Start" localSheetId="0">#REF!</definedName>
    <definedName name="Loan_Start" localSheetId="1">#REF!</definedName>
    <definedName name="Loan_Start">#REF!</definedName>
    <definedName name="Loan_Years" localSheetId="0">#REF!</definedName>
    <definedName name="Loan_Years" localSheetId="1">#REF!</definedName>
    <definedName name="Loan_Years">#REF!</definedName>
    <definedName name="LOCAL_MYSQL_DATE_FORMAT" localSheetId="0" hidden="1">REPT(Roprevisto!LOCAL_YEAR_FORMAT,4)&amp;Roprevisto!LOCAL_DATE_SEPARATOR&amp;REPT(Roprevisto!LOCAL_MONTH_FORMAT,2)&amp;Roprevisto!LOCAL_DATE_SEPARATOR&amp;REPT(Roprevisto!LOCAL_DAY_FORMAT,2)&amp;" "&amp;REPT(Roprevisto!LOCAL_HOUR_FORMAT,2)&amp;Roprevisto!LOCAL_TIME_SEPARATOR&amp;REPT(Roprevisto!LOCAL_MINUTE_FORMAT,2)&amp;Roprevisto!LOCAL_TIME_SEPARATOR&amp;REPT(Roprevisto!LOCAL_SECOND_FORMAT,2)</definedName>
    <definedName name="LOCAL_MYSQL_DATE_FORMAT" localSheetId="1" hidden="1">REPT('Roprevisto ivpee Q1'!LOCAL_YEAR_FORMAT,4)&amp;'Roprevisto ivpee Q1'!LOCAL_DATE_SEPARATOR&amp;REPT('Roprevisto ivpee Q1'!LOCAL_MONTH_FORMAT,2)&amp;'Roprevisto ivpee Q1'!LOCAL_DATE_SEPARATOR&amp;REPT('Roprevisto ivpee Q1'!LOCAL_DAY_FORMAT,2)&amp;" "&amp;REPT('Roprevisto ivpee Q1'!LOCAL_HOUR_FORMAT,2)&amp;'Roprevisto ivpee Q1'!LOCAL_TIME_SEPARATOR&amp;REPT('Roprevisto ivpee Q1'!LOCAL_MINUTE_FORMAT,2)&amp;'Roprevisto ivpee Q1'!LOCAL_TIME_SEPARATOR&amp;REPT('Roprevisto ivpee Q1'!LOCAL_SECOND_FORMAT,2)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CPK2" localSheetId="0">[2]DESAC1C2Combust!#REF!</definedName>
    <definedName name="MCPK2" localSheetId="1">[2]DESAC1C2Combust!#REF!</definedName>
    <definedName name="MCPK2">[2]DESAC1C2Combust!#REF!</definedName>
    <definedName name="mdos">OFFSET('[4]inventory gaps'!$A$2,COUNTA('[4]inventory gaps'!$A$1:$A$65536)-161,55,161,1)</definedName>
    <definedName name="mdosmod">OFFSET('[12]inventory gaps'!$A$2,COUNTA('[12]inventory gaps'!$A:$A)-53,55,53,1)</definedName>
    <definedName name="MERROR" localSheetId="0">#REF!</definedName>
    <definedName name="MERROR" localSheetId="1">#REF!</definedName>
    <definedName name="MERROR">#REF!</definedName>
    <definedName name="MF_ANDALUCÍA">OFFSET([11]ANDALUCÍA!$A$7,COUNTA([11]ANDALUCÍA!$A$1:$A$65536)-23,23,21,1)</definedName>
    <definedName name="MF_ARAGÓN">OFFSET([11]ARAGÓN!$A$7,COUNTA([11]ARAGÓN!$A$1:$A$65536)-23,23,21,1)</definedName>
    <definedName name="MF_ASTURIAS">OFFSET([11]ASTURIAS!$A$7,COUNTA([11]ASTURIAS!$A$1:$A$65536)-23,23,21,1)</definedName>
    <definedName name="MF_BALEARES">OFFSET([11]BALEARES!$A$7,COUNTA([11]BALEARES!$A$1:$A$65536)-23,23,21,1)</definedName>
    <definedName name="MF_CANARIAS">OFFSET([11]CANARIAS!$A$7,COUNTA([11]CANARIAS!$A$1:$A$65536)-23,23,21,1)</definedName>
    <definedName name="MF_CANTABRIA">OFFSET([11]CANTABRIA!$A$7,COUNTA([11]CANTABRIA!$A$1:$A$65536)-23,23,21,1)</definedName>
    <definedName name="MF_CAST_LEÓN">OFFSET('[11]CASTILLA Y LEÓN'!$A$7,COUNTA('[11]CASTILLA Y LEÓN'!$A$1:$A$65536)-23,23,21,1)</definedName>
    <definedName name="MF_CAST_MANCHA">OFFSET('[11]CASTILLA LA MANCHA'!$A$7,COUNTA('[11]CASTILLA LA MANCHA'!$A$1:$A$65536)-23,23,21,1)</definedName>
    <definedName name="MF_CATALUÑA">OFFSET([11]CATALUÑA!$A$7,COUNTA([11]CATALUÑA!$A$1:$A$65536)-23,23,21,1)</definedName>
    <definedName name="MF_COM_VALENCIANA">OFFSET('[11]COMUNIDAD VALENCIANA'!$A$7,COUNTA('[11]COMUNIDAD VALENCIANA'!$A$1:$A$65536)-23,23,21,1)</definedName>
    <definedName name="MF_españa">OFFSET([11]ESPAÑA!$A$7,COUNTA([11]ESPAÑA!$A$1:$A$65536)-24,23,21,1)</definedName>
    <definedName name="MF_EXTREMADURA">OFFSET([11]EXTREMADURA!$A$7,COUNTA([11]EXTREMADURA!$A$1:$A$65536)-23,23,21,1)</definedName>
    <definedName name="MF_GALICIA">OFFSET([11]GALICIA!$A$7,COUNTA([11]GALICIA!$A$1:$A$65536)-23,23,21,1)</definedName>
    <definedName name="MF_MADRID">OFFSET([11]MADRID!$A$7,COUNTA([11]MADRID!$A$1:$A$65536)-23,23,21,1)</definedName>
    <definedName name="MF_MURCIA">OFFSET([11]MURCIA!$A$7,COUNTA([11]MURCIA!$A$1:$A$65536)-23,23,21,1)</definedName>
    <definedName name="MF_NAVARRA">OFFSET([11]NAVARRA!$A$7,COUNTA([11]NAVARRA!$A$1:$A$65536)-23,23,21,1)</definedName>
    <definedName name="MF_PAÍS_VASCO">OFFSET('[11]PAÍS VASCO'!$A$7,COUNTA('[11]PAÍS VASCO'!$A$1:$A$65536)-23,23,21,1)</definedName>
    <definedName name="MF_RIOJA">OFFSET([11]RIOJA!$A$7,COUNTA([11]RIOJA!$A$1:$A$65536)-23,23,21,1)</definedName>
    <definedName name="mtres">OFFSET('[4]inventory gaps'!$A$2,COUNTA('[4]inventory gaps'!$A$1:$A$65536)-161,59,161,1)</definedName>
    <definedName name="mtresmod">OFFSET('[12]inventory gaps'!$A$2,COUNTA('[12]inventory gaps'!$A:$A)-53,59,53,1)</definedName>
    <definedName name="muno5">OFFSET('[4]inventory gaps'!$A$2,COUNTA('[4]inventory gaps'!$A$1:$A$65536)-161,57,161,1)</definedName>
    <definedName name="muno5mod">OFFSET('[12]inventory gaps'!$A$2,COUNTA('[12]inventory gaps'!$A:$A)-53,57,53,1)</definedName>
    <definedName name="n6_3" localSheetId="0">[3]Coti!#REF!</definedName>
    <definedName name="n6_3" localSheetId="1">[3]Coti!#REF!</definedName>
    <definedName name="n6_3">[3]Coti!#REF!</definedName>
    <definedName name="NONLEAP" localSheetId="0">#REF!</definedName>
    <definedName name="NONLEAP" localSheetId="1">#REF!</definedName>
    <definedName name="NONLEAP">#REF!</definedName>
    <definedName name="nueva" localSheetId="0">#REF!</definedName>
    <definedName name="nueva" localSheetId="1">#REF!</definedName>
    <definedName name="nueva">#REF!</definedName>
    <definedName name="Num_Pmt_Per_Year" localSheetId="0">#REF!</definedName>
    <definedName name="Num_Pmt_Per_Year" localSheetId="1">#REF!</definedName>
    <definedName name="Num_Pmt_Per_Year">#REF!</definedName>
    <definedName name="Number_of_Payments" localSheetId="0">MATCH(0.01,Roprevisto!End_Bal,-1)+1</definedName>
    <definedName name="Number_of_Payments" localSheetId="1">MATCH(0.01,'Roprevisto ivpee Q1'!End_Bal,-1)+1</definedName>
    <definedName name="Number_of_Payments">MATCH(0.01,End_Bal,-1)+1</definedName>
    <definedName name="OPEP">OFFSET('[10]Gráfico 1. Evolución precios'!$F$1,COUNTA('[10]Gráfico 1. Evolución precios'!$F$1:$F$65536)-36,0,37)</definedName>
    <definedName name="OPEP_eur">OFFSET('[10]Gráfico 1. Evolución precios'!$G$1,COUNTA('[10]Gráfico 1. Evolución precios'!$G$1:$G$65536)-36,0,37)</definedName>
    <definedName name="PAWS_Basis">1</definedName>
    <definedName name="PAWS_EndDate">41244</definedName>
    <definedName name="PAWS_GraphMode">TRUE</definedName>
    <definedName name="PAWS_LastDate" localSheetId="0">#REF!</definedName>
    <definedName name="PAWS_LastDate" localSheetId="1">#REF!</definedName>
    <definedName name="PAWS_LastDate">#REF!</definedName>
    <definedName name="PAWS_LastNDays">10</definedName>
    <definedName name="PAWS_PasteRows">FALSE</definedName>
    <definedName name="PAWS_Periodicity">3</definedName>
    <definedName name="PAWS_PeriodSpec">1</definedName>
    <definedName name="PAWS_StartDate">40909</definedName>
    <definedName name="PAWS_UseDates">TRUE</definedName>
    <definedName name="PAWS_UseLastSelection">FALSE</definedName>
    <definedName name="PAWS_UseUnits">FALSE</definedName>
    <definedName name="PAWS_ZeroMode">TRUE</definedName>
    <definedName name="Pay_Date" localSheetId="0">#REF!</definedName>
    <definedName name="Pay_Date" localSheetId="1">#REF!</definedName>
    <definedName name="Pay_Date">#REF!</definedName>
    <definedName name="Pay_Num" localSheetId="0">#REF!</definedName>
    <definedName name="Pay_Num" localSheetId="1">#REF!</definedName>
    <definedName name="Pay_Num">#REF!</definedName>
    <definedName name="Payment_Date" localSheetId="0">DATE(YEAR(Roprevisto!Loan_Start),MONTH(Roprevisto!Loan_Start)+Payment_Number,DAY(Roprevisto!Loan_Start))</definedName>
    <definedName name="Payment_Date" localSheetId="1">DATE(YEAR('Roprevisto ivpee Q1'!Loan_Start),MONTH('Roprevisto ivpee Q1'!Loan_Start)+Payment_Number,DAY('Roprevisto ivpee Q1'!Loan_Start))</definedName>
    <definedName name="Payment_Date">DATE(YEAR(Loan_Start),MONTH(Loan_Start)+Payment_Number,DAY(Loan_Start))</definedName>
    <definedName name="permo" localSheetId="0">[3]IM!#REF!</definedName>
    <definedName name="permo" localSheetId="1">[3]IM!#REF!</definedName>
    <definedName name="permo">[3]IM!#REF!</definedName>
    <definedName name="peru" localSheetId="0">#REF!</definedName>
    <definedName name="peru" localSheetId="1">#REF!</definedName>
    <definedName name="peru">#REF!</definedName>
    <definedName name="PI" localSheetId="0">'[16]Export Parity'!#REF!</definedName>
    <definedName name="PI" localSheetId="1">'[16]Export Parity'!#REF!</definedName>
    <definedName name="PI">'[16]Export Parity'!#REF!</definedName>
    <definedName name="PIMSC" localSheetId="0">#REF!</definedName>
    <definedName name="PIMSC" localSheetId="1">#REF!</definedName>
    <definedName name="PIMSC">#REF!</definedName>
    <definedName name="PIMSPLP" localSheetId="0">#REF!</definedName>
    <definedName name="PIMSPLP" localSheetId="1">#REF!</definedName>
    <definedName name="PIMSPLP">#REF!</definedName>
    <definedName name="PIMSPLPB" localSheetId="0">#REF!</definedName>
    <definedName name="PIMSPLPB" localSheetId="1">#REF!</definedName>
    <definedName name="PIMSPLPB">#REF!</definedName>
    <definedName name="PIMSPME1" localSheetId="0">#REF!</definedName>
    <definedName name="PIMSPME1" localSheetId="1">#REF!</definedName>
    <definedName name="PIMSPME1">#REF!</definedName>
    <definedName name="PIMSPME2" localSheetId="0">#REF!</definedName>
    <definedName name="PIMSPME2" localSheetId="1">#REF!</definedName>
    <definedName name="PIMSPME2">#REF!</definedName>
    <definedName name="PIMSPME3" localSheetId="0">#REF!</definedName>
    <definedName name="PIMSPME3" localSheetId="1">#REF!</definedName>
    <definedName name="PIMSPME3">#REF!</definedName>
    <definedName name="PIMSPME4" localSheetId="0">#REF!</definedName>
    <definedName name="PIMSPME4" localSheetId="1">#REF!</definedName>
    <definedName name="PIMSPME4">#REF!</definedName>
    <definedName name="PIMSPMI1" localSheetId="0">#REF!</definedName>
    <definedName name="PIMSPMI1" localSheetId="1">#REF!</definedName>
    <definedName name="PIMSPMI1">#REF!</definedName>
    <definedName name="PIMSPMI2" localSheetId="0">#REF!</definedName>
    <definedName name="PIMSPMI2" localSheetId="1">#REF!</definedName>
    <definedName name="PIMSPMI2">#REF!</definedName>
    <definedName name="PIMSPMI3" localSheetId="0">#REF!</definedName>
    <definedName name="PIMSPMI3" localSheetId="1">#REF!</definedName>
    <definedName name="PIMSPMI3">#REF!</definedName>
    <definedName name="PIMSPMI4" localSheetId="0">#REF!</definedName>
    <definedName name="PIMSPMI4" localSheetId="1">#REF!</definedName>
    <definedName name="PIMSPMI4">#REF!</definedName>
    <definedName name="PIMSPRD1" localSheetId="0">#REF!</definedName>
    <definedName name="PIMSPRD1" localSheetId="1">#REF!</definedName>
    <definedName name="PIMSPRD1">#REF!</definedName>
    <definedName name="PIMSPRD2" localSheetId="0">#REF!</definedName>
    <definedName name="PIMSPRD2" localSheetId="1">#REF!</definedName>
    <definedName name="PIMSPRD2">#REF!</definedName>
    <definedName name="PIMSRB" localSheetId="0">#REF!</definedName>
    <definedName name="PIMSRB" localSheetId="1">#REF!</definedName>
    <definedName name="PIMSRB">#REF!</definedName>
    <definedName name="PIMSRLC" localSheetId="0">#REF!</definedName>
    <definedName name="PIMSRLC" localSheetId="1">#REF!</definedName>
    <definedName name="PIMSRLC">#REF!</definedName>
    <definedName name="PIMSRLP" localSheetId="0">#REF!</definedName>
    <definedName name="PIMSRLP" localSheetId="1">#REF!</definedName>
    <definedName name="PIMSRLP">#REF!</definedName>
    <definedName name="PIMSROP" localSheetId="0">#REF!</definedName>
    <definedName name="PIMSROP" localSheetId="1">#REF!</definedName>
    <definedName name="PIMSROP">#REF!</definedName>
    <definedName name="PIV" localSheetId="0">#REF!</definedName>
    <definedName name="PIV" localSheetId="1">#REF!</definedName>
    <definedName name="PIV">#REF!</definedName>
    <definedName name="PLPCALC" localSheetId="0">#REF!</definedName>
    <definedName name="PLPCALC" localSheetId="1">#REF!</definedName>
    <definedName name="PLPCALC">#REF!</definedName>
    <definedName name="PLPFR" localSheetId="0">#REF!</definedName>
    <definedName name="PLPFR" localSheetId="1">#REF!</definedName>
    <definedName name="PLPFR">#REF!</definedName>
    <definedName name="PLPFRR" localSheetId="0">#REF!</definedName>
    <definedName name="PLPFRR" localSheetId="1">#REF!</definedName>
    <definedName name="PLPFRR">#REF!</definedName>
    <definedName name="PLPI2" localSheetId="0">#REF!</definedName>
    <definedName name="PLPI2" localSheetId="1">#REF!</definedName>
    <definedName name="PLPI2">#REF!</definedName>
    <definedName name="PLPMTBE2" localSheetId="0">#REF!</definedName>
    <definedName name="PLPMTBE2" localSheetId="1">#REF!</definedName>
    <definedName name="PLPMTBE2">#REF!</definedName>
    <definedName name="PLPMTBER" localSheetId="0">#REF!</definedName>
    <definedName name="PLPMTBER" localSheetId="1">#REF!</definedName>
    <definedName name="PLPMTBER">#REF!</definedName>
    <definedName name="PLPOLE" localSheetId="0">#REF!</definedName>
    <definedName name="PLPOLE" localSheetId="1">#REF!</definedName>
    <definedName name="PLPOLE">#REF!</definedName>
    <definedName name="PLPPF" localSheetId="0">#REF!</definedName>
    <definedName name="PLPPF" localSheetId="1">#REF!</definedName>
    <definedName name="PLPPF">#REF!</definedName>
    <definedName name="PLPPFR" localSheetId="0">#REF!</definedName>
    <definedName name="PLPPFR" localSheetId="1">#REF!</definedName>
    <definedName name="PLPPFR">#REF!</definedName>
    <definedName name="PLPV" localSheetId="0">#REF!</definedName>
    <definedName name="PLPV" localSheetId="1">#REF!</definedName>
    <definedName name="PLPV">#REF!</definedName>
    <definedName name="pp" localSheetId="0" hidden="1">{"'8'!$B$1:$I$46"}</definedName>
    <definedName name="pp" localSheetId="1" hidden="1">{"'8'!$B$1:$I$46"}</definedName>
    <definedName name="pp" hidden="1">{"'8'!$B$1:$I$46"}</definedName>
    <definedName name="precios" localSheetId="0">#REF!</definedName>
    <definedName name="precios" localSheetId="1">#REF!</definedName>
    <definedName name="precios">#REF!</definedName>
    <definedName name="PRIMB001">[9]PRIMB001!$A$7:$F$24</definedName>
    <definedName name="Primbl_GLB">[9]Primbl_GLB!$A$6:$B$7000</definedName>
    <definedName name="PrimbPP" localSheetId="0">#REF!</definedName>
    <definedName name="PrimbPP" localSheetId="1">#REF!</definedName>
    <definedName name="PrimbPP">#REF!</definedName>
    <definedName name="Princ" localSheetId="0">#REF!</definedName>
    <definedName name="Princ" localSheetId="1">#REF!</definedName>
    <definedName name="Princ">#REF!</definedName>
    <definedName name="Print_Area_Reset" localSheetId="0">OFFSET(Roprevisto!Full_Print,0,0,Roprevisto!Last_Row)</definedName>
    <definedName name="Print_Area_Reset" localSheetId="1">OFFSET('Roprevisto ivpee Q1'!Full_Print,0,0,'Roprevisto ivpee Q1'!Last_Row)</definedName>
    <definedName name="Print_Area_Reset">OFFSET(Full_Print,0,0,Last_Row)</definedName>
    <definedName name="Print1" localSheetId="0">#REF!</definedName>
    <definedName name="Print1" localSheetId="1">#REF!</definedName>
    <definedName name="Print1">#REF!</definedName>
    <definedName name="PROMC8" localSheetId="0">#REF!</definedName>
    <definedName name="PROMC8" localSheetId="1">#REF!</definedName>
    <definedName name="PROMC8">#REF!</definedName>
    <definedName name="PRUEBAP" localSheetId="0">#REF!</definedName>
    <definedName name="PRUEBAP" localSheetId="1">#REF!</definedName>
    <definedName name="PRUEBAP">#REF!</definedName>
    <definedName name="PRUEBAP2" localSheetId="0">#REF!</definedName>
    <definedName name="PRUEBAP2" localSheetId="1">#REF!</definedName>
    <definedName name="PRUEBAP2">#REF!</definedName>
    <definedName name="PRUEBAP3" localSheetId="0">#REF!</definedName>
    <definedName name="PRUEBAP3" localSheetId="1">#REF!</definedName>
    <definedName name="PRUEBAP3">#REF!</definedName>
    <definedName name="PRUEBAP4" localSheetId="0">#REF!</definedName>
    <definedName name="PRUEBAP4" localSheetId="1">#REF!</definedName>
    <definedName name="PRUEBAP4">#REF!</definedName>
    <definedName name="PRUEBAP5" localSheetId="0">#REF!</definedName>
    <definedName name="PRUEBAP5" localSheetId="1">#REF!</definedName>
    <definedName name="PRUEBAP5">#REF!</definedName>
    <definedName name="PRUEBAP6" localSheetId="0">#REF!</definedName>
    <definedName name="PRUEBAP6" localSheetId="1">#REF!</definedName>
    <definedName name="PRUEBAP6">#REF!</definedName>
    <definedName name="R_INV">Roprevisto!$D$5</definedName>
    <definedName name="range1">'[18]Summary Tables'!$M$31:$M$40,'[18]Summary Tables'!$M$41:$M$49</definedName>
    <definedName name="range10">'[18]Summary Tables'!$M$249:$M$258,'[18]Summary Tables'!$M$259:$M$266</definedName>
    <definedName name="range11">'[18]Summary Tables'!$M$223:$M$232,'[18]Summary Tables'!$M$233:$M$240</definedName>
    <definedName name="range2">'[18]Summary Tables'!$M$31:$M$40,'[18]Summary Tables'!$M$41:$M$48</definedName>
    <definedName name="range3">'[18]Summary Tables'!$M$55:$M$64,'[18]Summary Tables'!$M$65:$M$72</definedName>
    <definedName name="range4">'[18]Summary Tables'!$M$79:$M$88,'[18]Summary Tables'!$M$89:$M$96</definedName>
    <definedName name="range5">'[18]Summary Tables'!$M$103:$M$112,'[18]Summary Tables'!$M$113:$M$120</definedName>
    <definedName name="range6">'[18]Summary Tables'!$M$175:$M$184,'[18]Summary Tables'!$M$185:$M$192</definedName>
    <definedName name="range7">'[18]Summary Tables'!$M$296:$M$305,'[18]Summary Tables'!$M$306:$M$313</definedName>
    <definedName name="range8">'[18]Summary Tables'!$M$272:$M$281,'[18]Summary Tables'!$M$282:$M$289</definedName>
    <definedName name="range9">'[18]Summary Tables'!$M$320:$M$329,'[18]Summary Tables'!$M$330:$M$337</definedName>
    <definedName name="_xlnm.Recorder" localSheetId="0">#REF!</definedName>
    <definedName name="_xlnm.Recorder" localSheetId="1">#REF!</definedName>
    <definedName name="_xlnm.Recorder">#REF!</definedName>
    <definedName name="RENTABIL04_21769_Lista" localSheetId="0">#REF!</definedName>
    <definedName name="RENTABIL04_21769_Lista" localSheetId="1">#REF!</definedName>
    <definedName name="RENTABIL04_21769_Lista">#REF!</definedName>
    <definedName name="Rentabilidad" localSheetId="0" hidden="1">{"'8'!$B$1:$I$46"}</definedName>
    <definedName name="Rentabilidad" localSheetId="1" hidden="1">{"'8'!$B$1:$I$46"}</definedName>
    <definedName name="Rentabilidad" hidden="1">{"'8'!$B$1:$I$46"}</definedName>
    <definedName name="ROUND" localSheetId="0">#REF!</definedName>
    <definedName name="ROUND" localSheetId="1">#REF!</definedName>
    <definedName name="ROUND">#REF!</definedName>
    <definedName name="rprt_date">[19]Parameters!$B$3</definedName>
    <definedName name="rrr" localSheetId="0">#REF!</definedName>
    <definedName name="rrr" localSheetId="1">#REF!</definedName>
    <definedName name="rrr">#REF!</definedName>
    <definedName name="SCFBLG1P1">[9]Primbl_GLB!$A$6:$F$6476</definedName>
    <definedName name="SCFBLG1P2" localSheetId="0">#REF!</definedName>
    <definedName name="SCFBLG1P2" localSheetId="1">#REF!</definedName>
    <definedName name="SCFBLG1P2">#REF!</definedName>
    <definedName name="Sched_Pay" localSheetId="0">#REF!</definedName>
    <definedName name="Sched_Pay" localSheetId="1">#REF!</definedName>
    <definedName name="Sched_Pay">#REF!</definedName>
    <definedName name="Scheduled_Extra_Payments" localSheetId="0">#REF!</definedName>
    <definedName name="Scheduled_Extra_Payments" localSheetId="1">#REF!</definedName>
    <definedName name="Scheduled_Extra_Payments">#REF!</definedName>
    <definedName name="Scheduled_Interest_Rate" localSheetId="0">#REF!</definedName>
    <definedName name="Scheduled_Interest_Rate" localSheetId="1">#REF!</definedName>
    <definedName name="Scheduled_Interest_Rate">#REF!</definedName>
    <definedName name="Scheduled_Monthly_Payment" localSheetId="0">#REF!</definedName>
    <definedName name="Scheduled_Monthly_Payment" localSheetId="1">#REF!</definedName>
    <definedName name="Scheduled_Monthly_Payment">#REF!</definedName>
    <definedName name="SE_ANDALUCÍA">OFFSET([11]ANDALUCÍA!$A$7,COUNTA([11]ANDALUCÍA!$A$1:$A$65536)-23,68,21,1)</definedName>
    <definedName name="SE_ARAGÓN">OFFSET([11]ARAGÓN!$A$7,COUNTA([11]ARAGÓN!$A$1:$A$65536)-23,68,21,1)</definedName>
    <definedName name="SE_ASTURIAS">OFFSET([11]ASTURIAS!$A$7,COUNTA([11]ASTURIAS!$A$1:$A$65536)-23,68,21,1)</definedName>
    <definedName name="SE_BALEARES">OFFSET([11]BALEARES!$A$7,COUNTA([11]BALEARES!$A$1:$A$65536)-23,68,21,1)</definedName>
    <definedName name="SE_CANARIAS">OFFSET([11]CANARIAS!$A$7,COUNTA([11]CANARIAS!$A$1:$A$65536)-23,68,21,1)</definedName>
    <definedName name="SE_CANTABRIA">OFFSET([11]CANTABRIA!$A$7,COUNTA([11]CANTABRIA!$A$1:$A$65536)-23,68,21,1)</definedName>
    <definedName name="SE_CAST_LEÓN">OFFSET('[11]CASTILLA Y LEÓN'!$A$7,COUNTA('[11]CASTILLA Y LEÓN'!$A$1:$A$65536)-23,68,21,1)</definedName>
    <definedName name="SE_CAST_MANCHA">OFFSET('[11]CASTILLA LA MANCHA'!$A$7,COUNTA('[11]CASTILLA LA MANCHA'!$A$1:$A$65536)-23,68,21,1)</definedName>
    <definedName name="SE_CATALUÑA">OFFSET([11]CATALUÑA!$A$7,COUNTA([11]CATALUÑA!$A$1:$A$65536)-23,68,21,1)</definedName>
    <definedName name="SE_COM_VALENCIANA">OFFSET('[11]COMUNIDAD VALENCIANA'!$A$7,COUNTA('[11]COMUNIDAD VALENCIANA'!$A$1:$A$65536)-23,68,21,1)</definedName>
    <definedName name="SE_españa">OFFSET([11]ESPAÑA!$A$7,COUNTA([11]ESPAÑA!$A$1:$A$65536)-24,68,21,1)</definedName>
    <definedName name="SE_EXTREMADURA">OFFSET([11]EXTREMADURA!$A$7,COUNTA([11]EXTREMADURA!$A$1:$A$65536)-23,68,21,1)</definedName>
    <definedName name="SE_GALICIA">OFFSET([11]GALICIA!$A$7,COUNTA([11]GALICIA!$A$1:$A$65536)-23,68,21,1)</definedName>
    <definedName name="SE_MADRID">OFFSET([11]MADRID!$A$7,COUNTA([11]MADRID!$A$1:$A$65536)-23,68,21,1)</definedName>
    <definedName name="SE_MURCIA">OFFSET([11]MURCIA!$A$7,COUNTA([11]MURCIA!$A$1:$A$65536)-23,68,21,1)</definedName>
    <definedName name="SE_NAVARRA">OFFSET([11]NAVARRA!$A$7,COUNTA([11]NAVARRA!$A$1:$A$65536)-23,68,21,1)</definedName>
    <definedName name="SE_PAÍS_VASCO">OFFSET('[11]PAÍS VASCO'!$A$7,COUNTA('[11]PAÍS VASCO'!$A$1:$A$65536)-23,68,21,1)</definedName>
    <definedName name="SE_RIOJA">OFFSET([11]RIOJA!$A$7,COUNTA([11]RIOJA!$A$1:$A$65536)-23,68,21,1)</definedName>
    <definedName name="SECTOR" localSheetId="0">#REF!</definedName>
    <definedName name="SECTOR" localSheetId="1">#REF!</definedName>
    <definedName name="SECTOR">#REF!</definedName>
    <definedName name="SEGUNDO">#N/A</definedName>
    <definedName name="SG" localSheetId="0">#REF!</definedName>
    <definedName name="SG" localSheetId="1">#REF!</definedName>
    <definedName name="SG">#REF!</definedName>
    <definedName name="SIC" localSheetId="0">#REF!</definedName>
    <definedName name="SIC" localSheetId="1">#REF!</definedName>
    <definedName name="SIC">#REF!</definedName>
    <definedName name="SpreadsheetBuilder_1" hidden="1">#REF!</definedName>
    <definedName name="SpreadsheetBuilder_2" hidden="1">#REF!</definedName>
    <definedName name="SSS" localSheetId="0">OFFSET(Roprevisto!Full_Print,0,0,Roprevisto!Last_Row)</definedName>
    <definedName name="SSS" localSheetId="1">OFFSET('Roprevisto ivpee Q1'!Full_Print,0,0,'Roprevisto ivpee Q1'!Last_Row)</definedName>
    <definedName name="SSS">OFFSET(Full_Print,0,0,Last_Row)</definedName>
    <definedName name="ssss" localSheetId="0" hidden="1">{"'8'!$B$1:$I$46"}</definedName>
    <definedName name="ssss" localSheetId="1" hidden="1">{"'8'!$B$1:$I$46"}</definedName>
    <definedName name="ssss" hidden="1">{"'8'!$B$1:$I$46"}</definedName>
    <definedName name="Tabla" localSheetId="0">#REF!</definedName>
    <definedName name="Tabla" localSheetId="1">#REF!</definedName>
    <definedName name="Tabla">#REF!</definedName>
    <definedName name="TAPA" localSheetId="0">#REF!</definedName>
    <definedName name="TAPA" localSheetId="1">#REF!</definedName>
    <definedName name="TAPA">#REF!</definedName>
    <definedName name="TASA_CNMC">Roprevisto!$D$4</definedName>
    <definedName name="TASA_GTS">Roprevisto!$D$3</definedName>
    <definedName name="TC" localSheetId="0">#REF!</definedName>
    <definedName name="TC" localSheetId="1">#REF!</definedName>
    <definedName name="TC">#REF!</definedName>
    <definedName name="TC_Jul">#REF!</definedName>
    <definedName name="TcUsD_Eur" localSheetId="0">#REF!</definedName>
    <definedName name="TcUsD_Eur" localSheetId="1">#REF!</definedName>
    <definedName name="TcUsD_Eur">#REF!</definedName>
    <definedName name="TEMP" localSheetId="0">[1]DESAC!#REF!</definedName>
    <definedName name="TEMP" localSheetId="1">[1]DESAC!#REF!</definedName>
    <definedName name="TEMP">[1]DESAC!#REF!</definedName>
    <definedName name="TERCERO">#N/A</definedName>
    <definedName name="TITULO" localSheetId="0">#REF!</definedName>
    <definedName name="TITULO" localSheetId="1">#REF!</definedName>
    <definedName name="TITULO">#REF!</definedName>
    <definedName name="TOTAL">'[20]Efecto en resultados'!$A$1:$K$68</definedName>
    <definedName name="Total_Interest" localSheetId="0">#REF!</definedName>
    <definedName name="Total_Interest" localSheetId="1">#REF!</definedName>
    <definedName name="Total_Interest">#REF!</definedName>
    <definedName name="Total_Pay" localSheetId="0">#REF!</definedName>
    <definedName name="Total_Pay" localSheetId="1">#REF!</definedName>
    <definedName name="Total_Pay">#REF!</definedName>
    <definedName name="Total_Payment" localSheetId="0">Scheduled_Payment+Extra_Payment</definedName>
    <definedName name="Total_Payment" localSheetId="1">Scheduled_Payment+Extra_Payment</definedName>
    <definedName name="Total_Payment">Scheduled_Payment+Extra_Payment</definedName>
    <definedName name="TP_ANDALUCÍA">OFFSET([11]ANDALUCÍA!$A$7,COUNTA([11]ANDALUCÍA!$A$1:$A$65536)-23,19,21,1)</definedName>
    <definedName name="TP_ARAGÓN">OFFSET([11]ARAGÓN!$A$7,COUNTA([11]ARAGÓN!$A$1:$A$65536)-23,19,21,1)</definedName>
    <definedName name="TP_ASTURIAS">OFFSET([11]ASTURIAS!$A$7,COUNTA([11]ASTURIAS!$A$1:$A$65536)-23,19,21,1)</definedName>
    <definedName name="TP_BALEARES">OFFSET([11]BALEARES!$A$7,COUNTA([11]BALEARES!$A$1:$A$65536)-23,19,21,1)</definedName>
    <definedName name="TP_CANARIAS">OFFSET([11]CANARIAS!$A$7,COUNTA([11]CANARIAS!$A$1:$A$65536)-23,19,21,1)</definedName>
    <definedName name="TP_CANTABRIA">OFFSET([11]CANTABRIA!$A$7,COUNTA([11]CANTABRIA!$A$1:$A$65536)-23,19,21,1)</definedName>
    <definedName name="TP_CAST_LEÓN">OFFSET('[11]CASTILLA Y LEÓN'!$A$7,COUNTA('[11]CASTILLA Y LEÓN'!$A$1:$A$65536)-23,19,21,1)</definedName>
    <definedName name="TP_CAST_MANCHA">OFFSET('[11]CASTILLA LA MANCHA'!$A$7,COUNTA('[11]CASTILLA LA MANCHA'!$A$1:$A$65536)-23,19,21,1)</definedName>
    <definedName name="TP_CATALUÑA">OFFSET([11]CATALUÑA!$A$7,COUNTA([11]CATALUÑA!$A$1:$A$65536)-23,19,21,1)</definedName>
    <definedName name="TP_COM_VALENCIANA">OFFSET('[11]COMUNIDAD VALENCIANA'!$A$7,COUNTA('[11]COMUNIDAD VALENCIANA'!$A$1:$A$65536)-23,19,21,1)</definedName>
    <definedName name="TP_españa">OFFSET([11]ESPAÑA!$A$7,COUNTA([11]ESPAÑA!$A$1:$A$65536)-24,19,21,1)</definedName>
    <definedName name="TP_EXTREMADURA">OFFSET([11]EXTREMADURA!$A$7,COUNTA([11]EXTREMADURA!$A$1:$A$65536)-23,19,21,1)</definedName>
    <definedName name="TP_GALICIA">OFFSET([11]GALICIA!$A$7,COUNTA([11]GALICIA!$A$1:$A$65536)-23,19,21,1)</definedName>
    <definedName name="TP_MADRID">OFFSET([11]MADRID!$A$7,COUNTA([11]MADRID!$A$1:$A$65536)-23,19,21,1)</definedName>
    <definedName name="TP_MURCIA">OFFSET([11]MURCIA!$A$7,COUNTA([11]MURCIA!$A$1:$A$65536)-23,19,21,1)</definedName>
    <definedName name="TP_NAVARRA">OFFSET([11]NAVARRA!$A$7,COUNTA([11]NAVARRA!$A$1:$A$65536)-23,19,21,1)</definedName>
    <definedName name="TP_PAÍS_VASCO">OFFSET('[11]PAÍS VASCO'!$A$7,COUNTA('[11]PAÍS VASCO'!$A$1:$A$65536)-23,19,21,1)</definedName>
    <definedName name="TP_RIOJA">OFFSET([11]RIOJA!$A$7,COUNTA([11]RIOJA!$A$1:$A$65536)-23,19,21,1)</definedName>
    <definedName name="tres">OFFSET('[4]inventory gaps'!$A$2,COUNTA('[4]inventory gaps'!$A$1:$A$65536)-161,58,161,1)</definedName>
    <definedName name="tresmod">OFFSET('[12]inventory gaps'!$A$2,COUNTA('[12]inventory gaps'!$A:$A)-53,58,53,1)</definedName>
    <definedName name="TRNR_1372c671591b43f7b6e17824487b936f_262_1" hidden="1">#REF!</definedName>
    <definedName name="TRNR_4bd723b4cb7d478c8e1a189dc62a2ab3_262_1" hidden="1">#REF!</definedName>
    <definedName name="TRNR_6351b491fbc5442c8c7159669d9bc3f3_127_1" hidden="1">#REF!</definedName>
    <definedName name="TRNR_84f3eccb261f48a5a0839be429d87e02_115_1" hidden="1">#REF!</definedName>
    <definedName name="TRNR_9076965e6d444c6bae7eb5f1c4a63d0c_262_1" hidden="1">#REF!</definedName>
    <definedName name="uno5mod">OFFSET('[12]inventory gaps'!$A$2,COUNTA('[12]inventory gaps'!$A:$A)-53,56,53,1)</definedName>
    <definedName name="utiarg" localSheetId="0">'[3]Actividad hoy'!#REF!</definedName>
    <definedName name="utiarg" localSheetId="1">'[3]Actividad hoy'!#REF!</definedName>
    <definedName name="utiarg">'[3]Actividad hoy'!#REF!</definedName>
    <definedName name="utibra" localSheetId="0">'[3]Actividad hoy'!#REF!</definedName>
    <definedName name="utibra" localSheetId="1">'[3]Actividad hoy'!#REF!</definedName>
    <definedName name="utibra">'[3]Actividad hoy'!#REF!</definedName>
    <definedName name="utieur" localSheetId="0">'[3]Actividad hoy'!#REF!</definedName>
    <definedName name="utieur" localSheetId="1">'[3]Actividad hoy'!#REF!</definedName>
    <definedName name="utieur">'[3]Actividad hoy'!#REF!</definedName>
    <definedName name="utility">[9]Primbl_GLB!$A$6:$F$6772</definedName>
    <definedName name="utiper" localSheetId="0">'[3]Actividad hoy'!#REF!</definedName>
    <definedName name="utiper" localSheetId="1">'[3]Actividad hoy'!#REF!</definedName>
    <definedName name="utiper">'[3]Actividad hoy'!#REF!</definedName>
    <definedName name="Values_Entered" localSheetId="0">IF(Roprevisto!Loan_Amount*Roprevisto!Interest_Rate*Roprevisto!Loan_Years*Roprevisto!Loan_Start&gt;0,1,0)</definedName>
    <definedName name="Values_Entered" localSheetId="1">IF('Roprevisto ivpee Q1'!Loan_Amount*'Roprevisto ivpee Q1'!Interest_Rate*'Roprevisto ivpee Q1'!Loan_Years*'Roprevisto ivpee Q1'!Loan_Start&gt;0,1,0)</definedName>
    <definedName name="Values_Entered">IF(Loan_Amount*Interest_Rate*Loan_Years*Loan_Start&gt;0,1,0)</definedName>
    <definedName name="VE_ANDALUCÍA">OFFSET([11]ANDALUCÍA!$A$7,COUNTA([11]ANDALUCÍA!$A$1:$A$65536)-23,50,21,1)</definedName>
    <definedName name="VE_ARAGÓN">OFFSET([11]ARAGÓN!$A$7,COUNTA([11]ARAGÓN!$A$1:$A$65536)-23,50,21,1)</definedName>
    <definedName name="VE_ASTURIAS">OFFSET([11]ASTURIAS!$A$7,COUNTA([11]ASTURIAS!$A$1:$A$65536)-23,50,21,1)</definedName>
    <definedName name="VE_BALEARES">OFFSET([11]BALEARES!$A$7,COUNTA([11]BALEARES!$A$1:$A$65536)-23,50,21,1)</definedName>
    <definedName name="VE_CANARIAS">OFFSET([11]CANARIAS!$A$7,COUNTA([11]CANARIAS!$A$1:$A$65536)-23,50,21,1)</definedName>
    <definedName name="VE_CANTABRIA">OFFSET([11]CANTABRIA!$A$7,COUNTA([11]CANTABRIA!$A$1:$A$65536)-23,50,21,1)</definedName>
    <definedName name="VE_CAST_LEÓN">OFFSET('[11]CASTILLA Y LEÓN'!$A$7,COUNTA('[11]CASTILLA Y LEÓN'!$A$1:$A$65536)-23,50,21,1)</definedName>
    <definedName name="VE_CAST_MANCHA">OFFSET('[11]CASTILLA LA MANCHA'!$A$7,COUNTA('[11]CASTILLA LA MANCHA'!$A$1:$A$65536)-23,50,21,1)</definedName>
    <definedName name="VE_CATALUÑA">OFFSET([11]CATALUÑA!$A$7,COUNTA([11]CATALUÑA!$A$1:$A$65536)-23,50,21,1)</definedName>
    <definedName name="VE_COM_VALENCIANA">OFFSET('[11]COMUNIDAD VALENCIANA'!$A$7,COUNTA('[11]COMUNIDAD VALENCIANA'!$A$1:$A$65536)-23,50,21,1)</definedName>
    <definedName name="VE_españa">OFFSET([11]ESPAÑA!$A$7,COUNTA([11]ESPAÑA!$A$1:$A$65536)-24,50,21,1)</definedName>
    <definedName name="VE_EXTREMADURA">OFFSET([11]EXTREMADURA!$A$7,COUNTA([11]EXTREMADURA!$A$1:$A$65536)-23,50,21,1)</definedName>
    <definedName name="VE_GALICIA">OFFSET([11]GALICIA!$A$7,COUNTA([11]GALICIA!$A$1:$A$65536)-23,50,21,1)</definedName>
    <definedName name="VE_MADRID">OFFSET([11]MADRID!$A$7,COUNTA([11]MADRID!$A$1:$A$65536)-23,50,21,1)</definedName>
    <definedName name="VE_MURCIA">OFFSET([11]MURCIA!$A$7,COUNTA([11]MURCIA!$A$1:$A$65536)-23,50,21,1)</definedName>
    <definedName name="VE_NAVARRA">OFFSET([11]NAVARRA!$A$7,COUNTA([11]NAVARRA!$A$1:$A$65536)-23,50,21,1)</definedName>
    <definedName name="VE_PAÍS_VASCO">OFFSET('[11]PAÍS VASCO'!$A$7,COUNTA('[11]PAÍS VASCO'!$A$1:$A$65536)-23,50,21,1)</definedName>
    <definedName name="VE_RIOJA">OFFSET([11]RIOJA!$A$7,COUNTA([11]RIOJA!$A$1:$A$65536)-23,50,21,1)</definedName>
    <definedName name="VenJUL">#REF!</definedName>
    <definedName name="VIR" localSheetId="0">#REF!</definedName>
    <definedName name="VIR" localSheetId="1">#REF!</definedName>
    <definedName name="VIR">#REF!</definedName>
    <definedName name="WBMAX" localSheetId="0">#REF!</definedName>
    <definedName name="WBMAX" localSheetId="1">#REF!</definedName>
    <definedName name="WBMAX">#REF!</definedName>
    <definedName name="WBOMITC4" localSheetId="0">#REF!</definedName>
    <definedName name="WBOMITC4" localSheetId="1">#REF!</definedName>
    <definedName name="WBOMITC4">#REF!</definedName>
    <definedName name="WBOMITCIV" localSheetId="0">'[14]6'!#REF!</definedName>
    <definedName name="WBOMITCIV" localSheetId="1">'[14]6'!#REF!</definedName>
    <definedName name="WBOMITCIV">'[14]6'!#REF!</definedName>
    <definedName name="WBOMITDCV" localSheetId="0">#REF!</definedName>
    <definedName name="WBOMITDCV" localSheetId="1">#REF!</definedName>
    <definedName name="WBOMITDCV">#REF!</definedName>
    <definedName name="WBOMITDIV" localSheetId="0">#REF!</definedName>
    <definedName name="WBOMITDIV" localSheetId="1">#REF!</definedName>
    <definedName name="WBOMITDIV">#REF!</definedName>
    <definedName name="WBOMITE119" localSheetId="0">#REF!</definedName>
    <definedName name="WBOMITE119" localSheetId="1">#REF!</definedName>
    <definedName name="WBOMITE119">#REF!</definedName>
    <definedName name="WBOMITGBI1" localSheetId="0">#REF!</definedName>
    <definedName name="WBOMITGBI1" localSheetId="1">#REF!</definedName>
    <definedName name="WBOMITGBI1">#REF!</definedName>
    <definedName name="WBOMITHRES" localSheetId="0">#REF!</definedName>
    <definedName name="WBOMITHRES" localSheetId="1">#REF!</definedName>
    <definedName name="WBOMITHRES">#REF!</definedName>
    <definedName name="WBOMITIMXMN" localSheetId="0">'[14]45'!#REF!</definedName>
    <definedName name="WBOMITIMXMN" localSheetId="1">'[14]45'!#REF!</definedName>
    <definedName name="WBOMITIMXMN">'[14]45'!#REF!</definedName>
    <definedName name="WBOMITMACRO" localSheetId="0">#REF!</definedName>
    <definedName name="WBOMITMACRO" localSheetId="1">#REF!</definedName>
    <definedName name="WBOMITMACRO">#REF!</definedName>
    <definedName name="WBOMITPAN" localSheetId="0">#REF!</definedName>
    <definedName name="WBOMITPAN" localSheetId="1">#REF!</definedName>
    <definedName name="WBOMITPAN">#REF!</definedName>
    <definedName name="WBOMITPIMS" localSheetId="0">#REF!</definedName>
    <definedName name="WBOMITPIMS" localSheetId="1">#REF!</definedName>
    <definedName name="WBOMITPIMS">#REF!</definedName>
    <definedName name="WBOMITPIV" localSheetId="0">#REF!</definedName>
    <definedName name="WBOMITPIV" localSheetId="1">#REF!</definedName>
    <definedName name="WBOMITPIV">#REF!</definedName>
    <definedName name="WBOMITPLPREND" localSheetId="0">#REF!</definedName>
    <definedName name="WBOMITPLPREND" localSheetId="1">#REF!</definedName>
    <definedName name="WBOMITPLPREND">#REF!</definedName>
    <definedName name="WBOMITPREC">'[14]IV:68'!$B$4:$BA$153</definedName>
    <definedName name="WBOMITRBLP" localSheetId="0">'[14]7'!#REF!</definedName>
    <definedName name="WBOMITRBLP" localSheetId="1">'[14]7'!#REF!</definedName>
    <definedName name="WBOMITRBLP">'[14]7'!#REF!</definedName>
    <definedName name="WBOMITRLPR" localSheetId="0">'[14]7'!#REF!</definedName>
    <definedName name="WBOMITRLPR" localSheetId="1">'[14]7'!#REF!</definedName>
    <definedName name="WBOMITRLPR">'[14]7'!#REF!</definedName>
    <definedName name="WBOMITSG" localSheetId="0">#REF!</definedName>
    <definedName name="WBOMITSG" localSheetId="1">#REF!</definedName>
    <definedName name="WBOMITSG">#REF!</definedName>
    <definedName name="WBOMITSTDLP" localSheetId="0">'[14]7'!#REF!</definedName>
    <definedName name="WBOMITSTDLP" localSheetId="1">'[14]7'!#REF!</definedName>
    <definedName name="WBOMITSTDLP">'[14]7'!#REF!</definedName>
    <definedName name="WBOMITVARSTOCK" localSheetId="0">#REF!</definedName>
    <definedName name="WBOMITVARSTOCK" localSheetId="1">#REF!</definedName>
    <definedName name="WBOMITVARSTOCK">#REF!</definedName>
    <definedName name="WBOMITVIR">'[14]I:68'!$B$4:$BA$153</definedName>
    <definedName name="wrn.caucho." localSheetId="0" hidden="1">{#N/A,#N/A,TRUE,"D. base Caucho";#N/A,#N/A,TRUE,"PB";#N/A,#N/A,TRUE,"SBR";#N/A,#N/A,TRUE,"SBS";#N/A,#N/A,TRUE,"SEBS";#N/A,#N/A,TRUE,"TOTAL CAUCHO"}</definedName>
    <definedName name="wrn.caucho." localSheetId="1" hidden="1">{#N/A,#N/A,TRUE,"D. base Caucho";#N/A,#N/A,TRUE,"PB";#N/A,#N/A,TRUE,"SBR";#N/A,#N/A,TRUE,"SBS";#N/A,#N/A,TRUE,"SEBS";#N/A,#N/A,TRUE,"TOTAL CAUCHO"}</definedName>
    <definedName name="wrn.caucho." hidden="1">{#N/A,#N/A,TRUE,"D. base Caucho";#N/A,#N/A,TRUE,"PB";#N/A,#N/A,TRUE,"SBR";#N/A,#N/A,TRUE,"SBS";#N/A,#N/A,TRUE,"SEBS";#N/A,#N/A,TRUE,"TOTAL CAUCHO"}</definedName>
    <definedName name="wrn.intermedios." localSheetId="0" hidden="1">{#N/A,#N/A,TRUE,"D. base Interm.";#N/A,#N/A,TRUE,"SM Pllano";#N/A,#N/A,TRUE,"OP Pllano";#N/A,#N/A,TRUE,"Polioles Pllano";#N/A,#N/A,TRUE,"Glicoles Pllano";#N/A,#N/A,TRUE,"Total SM_OP Pllano";#N/A,#N/A,TRUE,"SM Tgona";#N/A,#N/A,TRUE,"OP Tgona";#N/A,#N/A,TRUE,"Polioles Tgona";#N/A,#N/A,TRUE,"Glicoles Tgona";#N/A,#N/A,TRUE,"Total sm_op Tgona";#N/A,#N/A,TRUE,"ACN Tgona";#N/A,#N/A,TRUE,"MMA Tgona";#N/A,#N/A,TRUE,"HCN Tgona";#N/A,#N/A,TRUE,"SA Tgona";#N/A,#N/A,TRUE,"ACN-MMA Total";#N/A,#N/A,TRUE,"BD MAQ. Tgona RP";#N/A,#N/A,TRUE,"BD MAQ. Tgona Dow";#N/A,#N/A,TRUE,"BD MAQ. Pllano";#N/A,#N/A,TRUE,"BD Ventas RP Tgona";#N/A,#N/A,TRUE,"BD Ventas Dow";#N/A,#N/A,TRUE,"BD CI Caucho";#N/A,#N/A,TRUE,"Butadieno Total";#N/A,#N/A,TRUE,"Intermedios Total"}</definedName>
    <definedName name="wrn.intermedios." localSheetId="1" hidden="1">{#N/A,#N/A,TRUE,"D. base Interm.";#N/A,#N/A,TRUE,"SM Pllano";#N/A,#N/A,TRUE,"OP Pllano";#N/A,#N/A,TRUE,"Polioles Pllano";#N/A,#N/A,TRUE,"Glicoles Pllano";#N/A,#N/A,TRUE,"Total SM_OP Pllano";#N/A,#N/A,TRUE,"SM Tgona";#N/A,#N/A,TRUE,"OP Tgona";#N/A,#N/A,TRUE,"Polioles Tgona";#N/A,#N/A,TRUE,"Glicoles Tgona";#N/A,#N/A,TRUE,"Total sm_op Tgona";#N/A,#N/A,TRUE,"ACN Tgona";#N/A,#N/A,TRUE,"MMA Tgona";#N/A,#N/A,TRUE,"HCN Tgona";#N/A,#N/A,TRUE,"SA Tgona";#N/A,#N/A,TRUE,"ACN-MMA Total";#N/A,#N/A,TRUE,"BD MAQ. Tgona RP";#N/A,#N/A,TRUE,"BD MAQ. Tgona Dow";#N/A,#N/A,TRUE,"BD MAQ. Pllano";#N/A,#N/A,TRUE,"BD Ventas RP Tgona";#N/A,#N/A,TRUE,"BD Ventas Dow";#N/A,#N/A,TRUE,"BD CI Caucho";#N/A,#N/A,TRUE,"Butadieno Total";#N/A,#N/A,TRUE,"Intermedios Total"}</definedName>
    <definedName name="wrn.intermedios." hidden="1">{#N/A,#N/A,TRUE,"D. base Interm.";#N/A,#N/A,TRUE,"SM Pllano";#N/A,#N/A,TRUE,"OP Pllano";#N/A,#N/A,TRUE,"Polioles Pllano";#N/A,#N/A,TRUE,"Glicoles Pllano";#N/A,#N/A,TRUE,"Total SM_OP Pllano";#N/A,#N/A,TRUE,"SM Tgona";#N/A,#N/A,TRUE,"OP Tgona";#N/A,#N/A,TRUE,"Polioles Tgona";#N/A,#N/A,TRUE,"Glicoles Tgona";#N/A,#N/A,TRUE,"Total sm_op Tgona";#N/A,#N/A,TRUE,"ACN Tgona";#N/A,#N/A,TRUE,"MMA Tgona";#N/A,#N/A,TRUE,"HCN Tgona";#N/A,#N/A,TRUE,"SA Tgona";#N/A,#N/A,TRUE,"ACN-MMA Total";#N/A,#N/A,TRUE,"BD MAQ. Tgona RP";#N/A,#N/A,TRUE,"BD MAQ. Tgona Dow";#N/A,#N/A,TRUE,"BD MAQ. Pllano";#N/A,#N/A,TRUE,"BD Ventas RP Tgona";#N/A,#N/A,TRUE,"BD Ventas Dow";#N/A,#N/A,TRUE,"BD CI Caucho";#N/A,#N/A,TRUE,"Butadieno Total";#N/A,#N/A,TRUE,"Intermedios Total"}</definedName>
    <definedName name="wrn.PLASTICOS_TODO." localSheetId="0" hidden="1">{#N/A,#N/A,FALSE,"Datos base";#N/A,#N/A,FALSE,"BD Pllano";#N/A,#N/A,FALSE,"BD Tgona";#N/A,#N/A,FALSE,"BD TDE";#N/A,#N/A,FALSE,"MEX_MARR";#N/A,#N/A,FALSE,"PEBD TOTAL";#N/A,#N/A,FALSE,"AD Pllano";#N/A,#N/A,FALSE,"SKIKDA";#N/A,#N/A,FALSE,"AD Tgona.";#N/A,#N/A,FALSE,"PEAD TOTAL";#N/A,#N/A,FALSE,"PP Pllano.";#N/A,#N/A,FALSE,"PP TDP";#N/A,#N/A,FALSE,"PP Comp.";#N/A,#N/A,FALSE,"PP N.Planta";#N/A,#N/A,FALSE,"PP TOTAL";#N/A,#N/A,FALSE,"EVA";#N/A,#N/A,FALSE,"EVA ESP.";#N/A,#N/A,FALSE,"PEL Tgona.";#N/A,#N/A,FALSE,"TOTAL PLASTICOS"}</definedName>
    <definedName name="wrn.PLASTICOS_TODO." localSheetId="1" hidden="1">{#N/A,#N/A,FALSE,"Datos base";#N/A,#N/A,FALSE,"BD Pllano";#N/A,#N/A,FALSE,"BD Tgona";#N/A,#N/A,FALSE,"BD TDE";#N/A,#N/A,FALSE,"MEX_MARR";#N/A,#N/A,FALSE,"PEBD TOTAL";#N/A,#N/A,FALSE,"AD Pllano";#N/A,#N/A,FALSE,"SKIKDA";#N/A,#N/A,FALSE,"AD Tgona.";#N/A,#N/A,FALSE,"PEAD TOTAL";#N/A,#N/A,FALSE,"PP Pllano.";#N/A,#N/A,FALSE,"PP TDP";#N/A,#N/A,FALSE,"PP Comp.";#N/A,#N/A,FALSE,"PP N.Planta";#N/A,#N/A,FALSE,"PP TOTAL";#N/A,#N/A,FALSE,"EVA";#N/A,#N/A,FALSE,"EVA ESP.";#N/A,#N/A,FALSE,"PEL Tgona.";#N/A,#N/A,FALSE,"TOTAL PLASTICOS"}</definedName>
    <definedName name="wrn.PLASTICOS_TODO." hidden="1">{#N/A,#N/A,FALSE,"Datos base";#N/A,#N/A,FALSE,"BD Pllano";#N/A,#N/A,FALSE,"BD Tgona";#N/A,#N/A,FALSE,"BD TDE";#N/A,#N/A,FALSE,"MEX_MARR";#N/A,#N/A,FALSE,"PEBD TOTAL";#N/A,#N/A,FALSE,"AD Pllano";#N/A,#N/A,FALSE,"SKIKDA";#N/A,#N/A,FALSE,"AD Tgona.";#N/A,#N/A,FALSE,"PEAD TOTAL";#N/A,#N/A,FALSE,"PP Pllano.";#N/A,#N/A,FALSE,"PP TDP";#N/A,#N/A,FALSE,"PP Comp.";#N/A,#N/A,FALSE,"PP N.Planta";#N/A,#N/A,FALSE,"PP TOTAL";#N/A,#N/A,FALSE,"EVA";#N/A,#N/A,FALSE,"EVA ESP.";#N/A,#N/A,FALSE,"PEL Tgona.";#N/A,#N/A,FALSE,"TOTAL PLASTICOS"}</definedName>
    <definedName name="wti" localSheetId="0">#REF!</definedName>
    <definedName name="wti" localSheetId="1">#REF!</definedName>
    <definedName name="wti">#REF!</definedName>
    <definedName name="wti_brent_dia">[3]Coti!$A$398:$A$1651</definedName>
    <definedName name="wti_dia">[3]Coti!$B$398:$B$1651</definedName>
    <definedName name="WTI_eur">OFFSET('[10]Gráfico 1. Evolución precios'!$C$1,COUNTA('[10]Gráfico 1. Evolución precios'!$C$1:$C$65536)-36,0,37)</definedName>
    <definedName name="wtinymex" localSheetId="0">#REF!</definedName>
    <definedName name="wtinymex" localSheetId="1">#REF!</definedName>
    <definedName name="wtinymex">#REF!</definedName>
    <definedName name="xxxxxxx">#N/A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42" l="1"/>
  <c r="I34" i="42"/>
  <c r="I33" i="42"/>
  <c r="I31" i="42"/>
  <c r="I30" i="42"/>
  <c r="I29" i="42"/>
  <c r="I19" i="42"/>
  <c r="I20" i="42" s="1"/>
  <c r="I21" i="42" s="1"/>
  <c r="I24" i="42"/>
  <c r="I26" i="42"/>
  <c r="I45" i="42"/>
  <c r="I46" i="42"/>
  <c r="I47" i="42" s="1"/>
  <c r="I70" i="42" s="1"/>
  <c r="I64" i="42"/>
  <c r="I68" i="42"/>
  <c r="I74" i="42"/>
  <c r="H45" i="42"/>
  <c r="H46" i="42" s="1"/>
  <c r="H47" i="42" s="1"/>
  <c r="H19" i="42"/>
  <c r="H20" i="42" s="1"/>
  <c r="H21" i="42" s="1"/>
  <c r="E35" i="42"/>
  <c r="E34" i="42"/>
  <c r="E33" i="42"/>
  <c r="E31" i="42"/>
  <c r="E30" i="42"/>
  <c r="E29" i="42"/>
  <c r="E22" i="42"/>
  <c r="I36" i="42" l="1"/>
  <c r="I37" i="42" s="1"/>
  <c r="I49" i="42" s="1"/>
  <c r="I75" i="42" s="1"/>
  <c r="I69" i="42"/>
  <c r="J133" i="43"/>
  <c r="K133" i="43" s="1"/>
  <c r="L133" i="43" s="1"/>
  <c r="M133" i="43" s="1"/>
  <c r="N133" i="43" s="1"/>
  <c r="O133" i="43" s="1"/>
  <c r="P133" i="43" s="1"/>
  <c r="Q133" i="43" s="1"/>
  <c r="R133" i="43" s="1"/>
  <c r="S133" i="43" s="1"/>
  <c r="T133" i="43" s="1"/>
  <c r="U133" i="43" s="1"/>
  <c r="F133" i="43"/>
  <c r="G133" i="43" s="1"/>
  <c r="H133" i="43" s="1"/>
  <c r="J132" i="43"/>
  <c r="K132" i="43" s="1"/>
  <c r="L132" i="43" s="1"/>
  <c r="M132" i="43" s="1"/>
  <c r="N132" i="43" s="1"/>
  <c r="O132" i="43" s="1"/>
  <c r="P132" i="43" s="1"/>
  <c r="Q132" i="43" s="1"/>
  <c r="R132" i="43" s="1"/>
  <c r="S132" i="43" s="1"/>
  <c r="T132" i="43" s="1"/>
  <c r="U132" i="43" s="1"/>
  <c r="F132" i="43"/>
  <c r="G132" i="43" s="1"/>
  <c r="H132" i="43" s="1"/>
  <c r="F131" i="43"/>
  <c r="G131" i="43" s="1"/>
  <c r="H131" i="43" s="1"/>
  <c r="I131" i="43" s="1"/>
  <c r="J131" i="43" s="1"/>
  <c r="K131" i="43" s="1"/>
  <c r="L131" i="43" s="1"/>
  <c r="M131" i="43" s="1"/>
  <c r="N131" i="43" s="1"/>
  <c r="O131" i="43" s="1"/>
  <c r="P131" i="43" s="1"/>
  <c r="Q131" i="43" s="1"/>
  <c r="R131" i="43" s="1"/>
  <c r="S131" i="43" s="1"/>
  <c r="T131" i="43" s="1"/>
  <c r="U131" i="43" s="1"/>
  <c r="J130" i="43"/>
  <c r="K130" i="43" s="1"/>
  <c r="L130" i="43" s="1"/>
  <c r="M130" i="43" s="1"/>
  <c r="N130" i="43" s="1"/>
  <c r="O130" i="43" s="1"/>
  <c r="P130" i="43" s="1"/>
  <c r="Q130" i="43" s="1"/>
  <c r="R130" i="43" s="1"/>
  <c r="S130" i="43" s="1"/>
  <c r="T130" i="43" s="1"/>
  <c r="U130" i="43" s="1"/>
  <c r="F130" i="43"/>
  <c r="G130" i="43" s="1"/>
  <c r="H130" i="43" s="1"/>
  <c r="F129" i="43"/>
  <c r="G129" i="43" s="1"/>
  <c r="H129" i="43" s="1"/>
  <c r="I129" i="43" s="1"/>
  <c r="J129" i="43" s="1"/>
  <c r="K129" i="43" s="1"/>
  <c r="L129" i="43" s="1"/>
  <c r="M129" i="43" s="1"/>
  <c r="N129" i="43" s="1"/>
  <c r="O129" i="43" s="1"/>
  <c r="P129" i="43" s="1"/>
  <c r="Q129" i="43" s="1"/>
  <c r="R129" i="43" s="1"/>
  <c r="S129" i="43" s="1"/>
  <c r="T129" i="43" s="1"/>
  <c r="U129" i="43" s="1"/>
  <c r="J128" i="43"/>
  <c r="K128" i="43" s="1"/>
  <c r="L128" i="43" s="1"/>
  <c r="M128" i="43" s="1"/>
  <c r="N128" i="43" s="1"/>
  <c r="O128" i="43" s="1"/>
  <c r="P128" i="43" s="1"/>
  <c r="Q128" i="43" s="1"/>
  <c r="R128" i="43" s="1"/>
  <c r="S128" i="43" s="1"/>
  <c r="T128" i="43" s="1"/>
  <c r="U128" i="43" s="1"/>
  <c r="F128" i="43"/>
  <c r="G128" i="43" s="1"/>
  <c r="H128" i="43" s="1"/>
  <c r="F127" i="43"/>
  <c r="G127" i="43" s="1"/>
  <c r="H127" i="43" s="1"/>
  <c r="I127" i="43" s="1"/>
  <c r="J127" i="43" s="1"/>
  <c r="K127" i="43" s="1"/>
  <c r="L127" i="43" s="1"/>
  <c r="M127" i="43" s="1"/>
  <c r="N127" i="43" s="1"/>
  <c r="O127" i="43" s="1"/>
  <c r="P127" i="43" s="1"/>
  <c r="Q127" i="43" s="1"/>
  <c r="R127" i="43" s="1"/>
  <c r="S127" i="43" s="1"/>
  <c r="T127" i="43" s="1"/>
  <c r="U127" i="43" s="1"/>
  <c r="F126" i="43"/>
  <c r="G126" i="43" s="1"/>
  <c r="H126" i="43" s="1"/>
  <c r="I126" i="43" s="1"/>
  <c r="J126" i="43" s="1"/>
  <c r="K126" i="43" s="1"/>
  <c r="L126" i="43" s="1"/>
  <c r="M126" i="43" s="1"/>
  <c r="N126" i="43" s="1"/>
  <c r="O126" i="43" s="1"/>
  <c r="P126" i="43" s="1"/>
  <c r="Q126" i="43" s="1"/>
  <c r="R126" i="43" s="1"/>
  <c r="S126" i="43" s="1"/>
  <c r="T126" i="43" s="1"/>
  <c r="U126" i="43" s="1"/>
  <c r="F125" i="43"/>
  <c r="G125" i="43" s="1"/>
  <c r="H125" i="43" s="1"/>
  <c r="I125" i="43" s="1"/>
  <c r="J125" i="43" s="1"/>
  <c r="K125" i="43" s="1"/>
  <c r="L125" i="43" s="1"/>
  <c r="M125" i="43" s="1"/>
  <c r="N125" i="43" s="1"/>
  <c r="O125" i="43" s="1"/>
  <c r="P125" i="43" s="1"/>
  <c r="Q125" i="43" s="1"/>
  <c r="R125" i="43" s="1"/>
  <c r="S125" i="43" s="1"/>
  <c r="T125" i="43" s="1"/>
  <c r="U125" i="43" s="1"/>
  <c r="F124" i="43"/>
  <c r="G124" i="43" s="1"/>
  <c r="H124" i="43" s="1"/>
  <c r="I124" i="43" s="1"/>
  <c r="J124" i="43" s="1"/>
  <c r="K124" i="43" s="1"/>
  <c r="L124" i="43" s="1"/>
  <c r="M124" i="43" s="1"/>
  <c r="N124" i="43" s="1"/>
  <c r="O124" i="43" s="1"/>
  <c r="P124" i="43" s="1"/>
  <c r="Q124" i="43" s="1"/>
  <c r="R124" i="43" s="1"/>
  <c r="S124" i="43" s="1"/>
  <c r="T124" i="43" s="1"/>
  <c r="U124" i="43" s="1"/>
  <c r="F123" i="43"/>
  <c r="G123" i="43" s="1"/>
  <c r="H123" i="43" s="1"/>
  <c r="I123" i="43" s="1"/>
  <c r="J123" i="43" s="1"/>
  <c r="K123" i="43" s="1"/>
  <c r="L123" i="43" s="1"/>
  <c r="M123" i="43" s="1"/>
  <c r="N123" i="43" s="1"/>
  <c r="O123" i="43" s="1"/>
  <c r="P123" i="43" s="1"/>
  <c r="Q123" i="43" s="1"/>
  <c r="R123" i="43" s="1"/>
  <c r="S123" i="43" s="1"/>
  <c r="T123" i="43" s="1"/>
  <c r="U123" i="43" s="1"/>
  <c r="F122" i="43"/>
  <c r="G122" i="43" s="1"/>
  <c r="H122" i="43" s="1"/>
  <c r="I122" i="43" s="1"/>
  <c r="J122" i="43" s="1"/>
  <c r="K122" i="43" s="1"/>
  <c r="L122" i="43" s="1"/>
  <c r="M122" i="43" s="1"/>
  <c r="N122" i="43" s="1"/>
  <c r="O122" i="43" s="1"/>
  <c r="P122" i="43" s="1"/>
  <c r="Q122" i="43" s="1"/>
  <c r="R122" i="43" s="1"/>
  <c r="S122" i="43" s="1"/>
  <c r="T122" i="43" s="1"/>
  <c r="U122" i="43" s="1"/>
  <c r="J121" i="43"/>
  <c r="K121" i="43" s="1"/>
  <c r="L121" i="43" s="1"/>
  <c r="M121" i="43" s="1"/>
  <c r="N121" i="43" s="1"/>
  <c r="O121" i="43" s="1"/>
  <c r="P121" i="43" s="1"/>
  <c r="Q121" i="43" s="1"/>
  <c r="R121" i="43" s="1"/>
  <c r="S121" i="43" s="1"/>
  <c r="T121" i="43" s="1"/>
  <c r="U121" i="43" s="1"/>
  <c r="F121" i="43"/>
  <c r="G121" i="43" s="1"/>
  <c r="H121" i="43" s="1"/>
  <c r="J120" i="43"/>
  <c r="K120" i="43" s="1"/>
  <c r="L120" i="43" s="1"/>
  <c r="M120" i="43" s="1"/>
  <c r="N120" i="43" s="1"/>
  <c r="O120" i="43" s="1"/>
  <c r="P120" i="43" s="1"/>
  <c r="Q120" i="43" s="1"/>
  <c r="R120" i="43" s="1"/>
  <c r="S120" i="43" s="1"/>
  <c r="T120" i="43" s="1"/>
  <c r="U120" i="43" s="1"/>
  <c r="F120" i="43"/>
  <c r="G120" i="43" s="1"/>
  <c r="H120" i="43" s="1"/>
  <c r="J119" i="43"/>
  <c r="K119" i="43" s="1"/>
  <c r="L119" i="43" s="1"/>
  <c r="M119" i="43" s="1"/>
  <c r="N119" i="43" s="1"/>
  <c r="O119" i="43" s="1"/>
  <c r="P119" i="43" s="1"/>
  <c r="Q119" i="43" s="1"/>
  <c r="R119" i="43" s="1"/>
  <c r="S119" i="43" s="1"/>
  <c r="T119" i="43" s="1"/>
  <c r="U119" i="43" s="1"/>
  <c r="F119" i="43"/>
  <c r="G119" i="43" s="1"/>
  <c r="H119" i="43" s="1"/>
  <c r="J118" i="43"/>
  <c r="K118" i="43" s="1"/>
  <c r="L118" i="43" s="1"/>
  <c r="M118" i="43" s="1"/>
  <c r="N118" i="43" s="1"/>
  <c r="O118" i="43" s="1"/>
  <c r="P118" i="43" s="1"/>
  <c r="Q118" i="43" s="1"/>
  <c r="R118" i="43" s="1"/>
  <c r="S118" i="43" s="1"/>
  <c r="T118" i="43" s="1"/>
  <c r="U118" i="43" s="1"/>
  <c r="F118" i="43"/>
  <c r="G118" i="43" s="1"/>
  <c r="H118" i="43" s="1"/>
  <c r="J117" i="43"/>
  <c r="K117" i="43" s="1"/>
  <c r="L117" i="43" s="1"/>
  <c r="M117" i="43" s="1"/>
  <c r="N117" i="43" s="1"/>
  <c r="O117" i="43" s="1"/>
  <c r="P117" i="43" s="1"/>
  <c r="Q117" i="43" s="1"/>
  <c r="R117" i="43" s="1"/>
  <c r="S117" i="43" s="1"/>
  <c r="T117" i="43" s="1"/>
  <c r="U117" i="43" s="1"/>
  <c r="F117" i="43"/>
  <c r="G117" i="43" s="1"/>
  <c r="H117" i="43" s="1"/>
  <c r="J116" i="43"/>
  <c r="K116" i="43" s="1"/>
  <c r="L116" i="43" s="1"/>
  <c r="M116" i="43" s="1"/>
  <c r="N116" i="43" s="1"/>
  <c r="O116" i="43" s="1"/>
  <c r="P116" i="43" s="1"/>
  <c r="Q116" i="43" s="1"/>
  <c r="R116" i="43" s="1"/>
  <c r="S116" i="43" s="1"/>
  <c r="T116" i="43" s="1"/>
  <c r="U116" i="43" s="1"/>
  <c r="F116" i="43"/>
  <c r="G116" i="43" s="1"/>
  <c r="H116" i="43" s="1"/>
  <c r="J115" i="43"/>
  <c r="K115" i="43" s="1"/>
  <c r="L115" i="43" s="1"/>
  <c r="M115" i="43" s="1"/>
  <c r="N115" i="43" s="1"/>
  <c r="O115" i="43" s="1"/>
  <c r="P115" i="43" s="1"/>
  <c r="Q115" i="43" s="1"/>
  <c r="R115" i="43" s="1"/>
  <c r="S115" i="43" s="1"/>
  <c r="T115" i="43" s="1"/>
  <c r="U115" i="43" s="1"/>
  <c r="F115" i="43"/>
  <c r="G115" i="43" s="1"/>
  <c r="H115" i="43" s="1"/>
  <c r="J114" i="43"/>
  <c r="K114" i="43" s="1"/>
  <c r="L114" i="43" s="1"/>
  <c r="M114" i="43" s="1"/>
  <c r="N114" i="43" s="1"/>
  <c r="O114" i="43" s="1"/>
  <c r="P114" i="43" s="1"/>
  <c r="Q114" i="43" s="1"/>
  <c r="R114" i="43" s="1"/>
  <c r="S114" i="43" s="1"/>
  <c r="T114" i="43" s="1"/>
  <c r="U114" i="43" s="1"/>
  <c r="F114" i="43"/>
  <c r="G114" i="43" s="1"/>
  <c r="H114" i="43" s="1"/>
  <c r="F113" i="43"/>
  <c r="G113" i="43" s="1"/>
  <c r="H113" i="43" s="1"/>
  <c r="I113" i="43" s="1"/>
  <c r="J113" i="43" s="1"/>
  <c r="K113" i="43" s="1"/>
  <c r="L113" i="43" s="1"/>
  <c r="M113" i="43" s="1"/>
  <c r="N113" i="43" s="1"/>
  <c r="O113" i="43" s="1"/>
  <c r="P113" i="43" s="1"/>
  <c r="Q113" i="43" s="1"/>
  <c r="R113" i="43" s="1"/>
  <c r="S113" i="43" s="1"/>
  <c r="T113" i="43" s="1"/>
  <c r="U113" i="43" s="1"/>
  <c r="J112" i="43"/>
  <c r="K112" i="43" s="1"/>
  <c r="L112" i="43" s="1"/>
  <c r="M112" i="43" s="1"/>
  <c r="N112" i="43" s="1"/>
  <c r="O112" i="43" s="1"/>
  <c r="P112" i="43" s="1"/>
  <c r="Q112" i="43" s="1"/>
  <c r="R112" i="43" s="1"/>
  <c r="S112" i="43" s="1"/>
  <c r="T112" i="43" s="1"/>
  <c r="U112" i="43" s="1"/>
  <c r="F112" i="43"/>
  <c r="G112" i="43" s="1"/>
  <c r="H112" i="43" s="1"/>
  <c r="F111" i="43"/>
  <c r="G111" i="43" s="1"/>
  <c r="H111" i="43" s="1"/>
  <c r="I111" i="43" s="1"/>
  <c r="J111" i="43" s="1"/>
  <c r="K111" i="43" s="1"/>
  <c r="L111" i="43" s="1"/>
  <c r="M111" i="43" s="1"/>
  <c r="N111" i="43" s="1"/>
  <c r="O111" i="43" s="1"/>
  <c r="P111" i="43" s="1"/>
  <c r="Q111" i="43" s="1"/>
  <c r="R111" i="43" s="1"/>
  <c r="S111" i="43" s="1"/>
  <c r="T111" i="43" s="1"/>
  <c r="U111" i="43" s="1"/>
  <c r="J110" i="43"/>
  <c r="K110" i="43" s="1"/>
  <c r="L110" i="43" s="1"/>
  <c r="M110" i="43" s="1"/>
  <c r="N110" i="43" s="1"/>
  <c r="O110" i="43" s="1"/>
  <c r="P110" i="43" s="1"/>
  <c r="Q110" i="43" s="1"/>
  <c r="R110" i="43" s="1"/>
  <c r="S110" i="43" s="1"/>
  <c r="T110" i="43" s="1"/>
  <c r="U110" i="43" s="1"/>
  <c r="F110" i="43"/>
  <c r="G110" i="43" s="1"/>
  <c r="H110" i="43" s="1"/>
  <c r="J109" i="43"/>
  <c r="K109" i="43" s="1"/>
  <c r="L109" i="43" s="1"/>
  <c r="M109" i="43" s="1"/>
  <c r="N109" i="43" s="1"/>
  <c r="O109" i="43" s="1"/>
  <c r="P109" i="43" s="1"/>
  <c r="Q109" i="43" s="1"/>
  <c r="R109" i="43" s="1"/>
  <c r="S109" i="43" s="1"/>
  <c r="T109" i="43" s="1"/>
  <c r="U109" i="43" s="1"/>
  <c r="F109" i="43"/>
  <c r="G109" i="43" s="1"/>
  <c r="H109" i="43" s="1"/>
  <c r="J108" i="43"/>
  <c r="K108" i="43" s="1"/>
  <c r="L108" i="43" s="1"/>
  <c r="M108" i="43" s="1"/>
  <c r="N108" i="43" s="1"/>
  <c r="O108" i="43" s="1"/>
  <c r="P108" i="43" s="1"/>
  <c r="Q108" i="43" s="1"/>
  <c r="R108" i="43" s="1"/>
  <c r="S108" i="43" s="1"/>
  <c r="T108" i="43" s="1"/>
  <c r="U108" i="43" s="1"/>
  <c r="F108" i="43"/>
  <c r="G108" i="43" s="1"/>
  <c r="H108" i="43" s="1"/>
  <c r="F107" i="43"/>
  <c r="G107" i="43" s="1"/>
  <c r="H107" i="43" s="1"/>
  <c r="I107" i="43" s="1"/>
  <c r="J107" i="43" s="1"/>
  <c r="K107" i="43" s="1"/>
  <c r="L107" i="43" s="1"/>
  <c r="M107" i="43" s="1"/>
  <c r="N107" i="43" s="1"/>
  <c r="O107" i="43" s="1"/>
  <c r="P107" i="43" s="1"/>
  <c r="Q107" i="43" s="1"/>
  <c r="R107" i="43" s="1"/>
  <c r="S107" i="43" s="1"/>
  <c r="T107" i="43" s="1"/>
  <c r="U107" i="43" s="1"/>
  <c r="J106" i="43"/>
  <c r="K106" i="43" s="1"/>
  <c r="L106" i="43" s="1"/>
  <c r="M106" i="43" s="1"/>
  <c r="N106" i="43" s="1"/>
  <c r="O106" i="43" s="1"/>
  <c r="P106" i="43" s="1"/>
  <c r="Q106" i="43" s="1"/>
  <c r="R106" i="43" s="1"/>
  <c r="S106" i="43" s="1"/>
  <c r="T106" i="43" s="1"/>
  <c r="U106" i="43" s="1"/>
  <c r="F106" i="43"/>
  <c r="G106" i="43" s="1"/>
  <c r="H106" i="43" s="1"/>
  <c r="F105" i="43"/>
  <c r="G105" i="43" s="1"/>
  <c r="H105" i="43" s="1"/>
  <c r="I105" i="43" s="1"/>
  <c r="J105" i="43" s="1"/>
  <c r="K105" i="43" s="1"/>
  <c r="L105" i="43" s="1"/>
  <c r="M105" i="43" s="1"/>
  <c r="N105" i="43" s="1"/>
  <c r="O105" i="43" s="1"/>
  <c r="P105" i="43" s="1"/>
  <c r="Q105" i="43" s="1"/>
  <c r="R105" i="43" s="1"/>
  <c r="S105" i="43" s="1"/>
  <c r="T105" i="43" s="1"/>
  <c r="U105" i="43" s="1"/>
  <c r="J104" i="43"/>
  <c r="K104" i="43" s="1"/>
  <c r="L104" i="43" s="1"/>
  <c r="M104" i="43" s="1"/>
  <c r="N104" i="43" s="1"/>
  <c r="O104" i="43" s="1"/>
  <c r="P104" i="43" s="1"/>
  <c r="Q104" i="43" s="1"/>
  <c r="R104" i="43" s="1"/>
  <c r="S104" i="43" s="1"/>
  <c r="T104" i="43" s="1"/>
  <c r="U104" i="43" s="1"/>
  <c r="F104" i="43"/>
  <c r="G104" i="43" s="1"/>
  <c r="H104" i="43" s="1"/>
  <c r="J103" i="43"/>
  <c r="K103" i="43" s="1"/>
  <c r="L103" i="43" s="1"/>
  <c r="M103" i="43" s="1"/>
  <c r="N103" i="43" s="1"/>
  <c r="O103" i="43" s="1"/>
  <c r="P103" i="43" s="1"/>
  <c r="Q103" i="43" s="1"/>
  <c r="R103" i="43" s="1"/>
  <c r="S103" i="43" s="1"/>
  <c r="T103" i="43" s="1"/>
  <c r="U103" i="43" s="1"/>
  <c r="F103" i="43"/>
  <c r="G103" i="43" s="1"/>
  <c r="H103" i="43" s="1"/>
  <c r="J102" i="43"/>
  <c r="K102" i="43" s="1"/>
  <c r="L102" i="43" s="1"/>
  <c r="M102" i="43" s="1"/>
  <c r="N102" i="43" s="1"/>
  <c r="O102" i="43" s="1"/>
  <c r="P102" i="43" s="1"/>
  <c r="Q102" i="43" s="1"/>
  <c r="R102" i="43" s="1"/>
  <c r="S102" i="43" s="1"/>
  <c r="T102" i="43" s="1"/>
  <c r="U102" i="43" s="1"/>
  <c r="F102" i="43"/>
  <c r="G102" i="43" s="1"/>
  <c r="H102" i="43" s="1"/>
  <c r="J101" i="43"/>
  <c r="K101" i="43" s="1"/>
  <c r="L101" i="43" s="1"/>
  <c r="M101" i="43" s="1"/>
  <c r="N101" i="43" s="1"/>
  <c r="O101" i="43" s="1"/>
  <c r="P101" i="43" s="1"/>
  <c r="Q101" i="43" s="1"/>
  <c r="R101" i="43" s="1"/>
  <c r="S101" i="43" s="1"/>
  <c r="T101" i="43" s="1"/>
  <c r="U101" i="43" s="1"/>
  <c r="F101" i="43"/>
  <c r="G101" i="43" s="1"/>
  <c r="H101" i="43" s="1"/>
  <c r="J100" i="43"/>
  <c r="K100" i="43" s="1"/>
  <c r="L100" i="43" s="1"/>
  <c r="M100" i="43" s="1"/>
  <c r="N100" i="43" s="1"/>
  <c r="O100" i="43" s="1"/>
  <c r="P100" i="43" s="1"/>
  <c r="Q100" i="43" s="1"/>
  <c r="R100" i="43" s="1"/>
  <c r="S100" i="43" s="1"/>
  <c r="T100" i="43" s="1"/>
  <c r="U100" i="43" s="1"/>
  <c r="F100" i="43"/>
  <c r="G100" i="43" s="1"/>
  <c r="H100" i="43" s="1"/>
  <c r="J99" i="43"/>
  <c r="K99" i="43" s="1"/>
  <c r="L99" i="43" s="1"/>
  <c r="M99" i="43" s="1"/>
  <c r="N99" i="43" s="1"/>
  <c r="O99" i="43" s="1"/>
  <c r="P99" i="43" s="1"/>
  <c r="Q99" i="43" s="1"/>
  <c r="R99" i="43" s="1"/>
  <c r="S99" i="43" s="1"/>
  <c r="T99" i="43" s="1"/>
  <c r="U99" i="43" s="1"/>
  <c r="F99" i="43"/>
  <c r="G99" i="43" s="1"/>
  <c r="H99" i="43" s="1"/>
  <c r="J98" i="43"/>
  <c r="K98" i="43" s="1"/>
  <c r="L98" i="43" s="1"/>
  <c r="M98" i="43" s="1"/>
  <c r="N98" i="43" s="1"/>
  <c r="O98" i="43" s="1"/>
  <c r="P98" i="43" s="1"/>
  <c r="Q98" i="43" s="1"/>
  <c r="R98" i="43" s="1"/>
  <c r="S98" i="43" s="1"/>
  <c r="T98" i="43" s="1"/>
  <c r="U98" i="43" s="1"/>
  <c r="F98" i="43"/>
  <c r="G98" i="43" s="1"/>
  <c r="H98" i="43" s="1"/>
  <c r="J97" i="43"/>
  <c r="K97" i="43" s="1"/>
  <c r="L97" i="43" s="1"/>
  <c r="M97" i="43" s="1"/>
  <c r="N97" i="43" s="1"/>
  <c r="O97" i="43" s="1"/>
  <c r="P97" i="43" s="1"/>
  <c r="Q97" i="43" s="1"/>
  <c r="R97" i="43" s="1"/>
  <c r="S97" i="43" s="1"/>
  <c r="T97" i="43" s="1"/>
  <c r="U97" i="43" s="1"/>
  <c r="F97" i="43"/>
  <c r="G97" i="43" s="1"/>
  <c r="H97" i="43" s="1"/>
  <c r="J96" i="43"/>
  <c r="K96" i="43" s="1"/>
  <c r="L96" i="43" s="1"/>
  <c r="M96" i="43" s="1"/>
  <c r="N96" i="43" s="1"/>
  <c r="O96" i="43" s="1"/>
  <c r="P96" i="43" s="1"/>
  <c r="Q96" i="43" s="1"/>
  <c r="R96" i="43" s="1"/>
  <c r="S96" i="43" s="1"/>
  <c r="T96" i="43" s="1"/>
  <c r="U96" i="43" s="1"/>
  <c r="F96" i="43"/>
  <c r="G96" i="43" s="1"/>
  <c r="H96" i="43" s="1"/>
  <c r="F95" i="43"/>
  <c r="G95" i="43" s="1"/>
  <c r="H95" i="43" s="1"/>
  <c r="I95" i="43" s="1"/>
  <c r="J95" i="43" s="1"/>
  <c r="K95" i="43" s="1"/>
  <c r="L95" i="43" s="1"/>
  <c r="M95" i="43" s="1"/>
  <c r="N95" i="43" s="1"/>
  <c r="O95" i="43" s="1"/>
  <c r="P95" i="43" s="1"/>
  <c r="Q95" i="43" s="1"/>
  <c r="R95" i="43" s="1"/>
  <c r="S95" i="43" s="1"/>
  <c r="T95" i="43" s="1"/>
  <c r="U95" i="43" s="1"/>
  <c r="J94" i="43"/>
  <c r="K94" i="43" s="1"/>
  <c r="L94" i="43" s="1"/>
  <c r="M94" i="43" s="1"/>
  <c r="N94" i="43" s="1"/>
  <c r="O94" i="43" s="1"/>
  <c r="P94" i="43" s="1"/>
  <c r="Q94" i="43" s="1"/>
  <c r="R94" i="43" s="1"/>
  <c r="S94" i="43" s="1"/>
  <c r="T94" i="43" s="1"/>
  <c r="U94" i="43" s="1"/>
  <c r="F94" i="43"/>
  <c r="G94" i="43" s="1"/>
  <c r="H94" i="43" s="1"/>
  <c r="J93" i="43"/>
  <c r="K93" i="43" s="1"/>
  <c r="L93" i="43" s="1"/>
  <c r="M93" i="43" s="1"/>
  <c r="N93" i="43" s="1"/>
  <c r="O93" i="43" s="1"/>
  <c r="P93" i="43" s="1"/>
  <c r="Q93" i="43" s="1"/>
  <c r="R93" i="43" s="1"/>
  <c r="S93" i="43" s="1"/>
  <c r="T93" i="43" s="1"/>
  <c r="U93" i="43" s="1"/>
  <c r="F93" i="43"/>
  <c r="G93" i="43" s="1"/>
  <c r="H93" i="43" s="1"/>
  <c r="J92" i="43"/>
  <c r="K92" i="43" s="1"/>
  <c r="L92" i="43" s="1"/>
  <c r="M92" i="43" s="1"/>
  <c r="N92" i="43" s="1"/>
  <c r="O92" i="43" s="1"/>
  <c r="P92" i="43" s="1"/>
  <c r="Q92" i="43" s="1"/>
  <c r="R92" i="43" s="1"/>
  <c r="S92" i="43" s="1"/>
  <c r="T92" i="43" s="1"/>
  <c r="U92" i="43" s="1"/>
  <c r="F92" i="43"/>
  <c r="G92" i="43" s="1"/>
  <c r="H92" i="43" s="1"/>
  <c r="J91" i="43"/>
  <c r="K91" i="43" s="1"/>
  <c r="L91" i="43" s="1"/>
  <c r="M91" i="43" s="1"/>
  <c r="N91" i="43" s="1"/>
  <c r="O91" i="43" s="1"/>
  <c r="P91" i="43" s="1"/>
  <c r="Q91" i="43" s="1"/>
  <c r="R91" i="43" s="1"/>
  <c r="S91" i="43" s="1"/>
  <c r="T91" i="43" s="1"/>
  <c r="U91" i="43" s="1"/>
  <c r="F91" i="43"/>
  <c r="G91" i="43" s="1"/>
  <c r="H91" i="43" s="1"/>
  <c r="J90" i="43"/>
  <c r="K90" i="43" s="1"/>
  <c r="L90" i="43" s="1"/>
  <c r="M90" i="43" s="1"/>
  <c r="N90" i="43" s="1"/>
  <c r="O90" i="43" s="1"/>
  <c r="P90" i="43" s="1"/>
  <c r="Q90" i="43" s="1"/>
  <c r="R90" i="43" s="1"/>
  <c r="S90" i="43" s="1"/>
  <c r="T90" i="43" s="1"/>
  <c r="U90" i="43" s="1"/>
  <c r="F90" i="43"/>
  <c r="G90" i="43" s="1"/>
  <c r="H90" i="43" s="1"/>
  <c r="J89" i="43"/>
  <c r="K89" i="43" s="1"/>
  <c r="L89" i="43" s="1"/>
  <c r="M89" i="43" s="1"/>
  <c r="N89" i="43" s="1"/>
  <c r="O89" i="43" s="1"/>
  <c r="P89" i="43" s="1"/>
  <c r="Q89" i="43" s="1"/>
  <c r="R89" i="43" s="1"/>
  <c r="S89" i="43" s="1"/>
  <c r="T89" i="43" s="1"/>
  <c r="U89" i="43" s="1"/>
  <c r="F89" i="43"/>
  <c r="G89" i="43" s="1"/>
  <c r="H89" i="43" s="1"/>
  <c r="J88" i="43"/>
  <c r="K88" i="43" s="1"/>
  <c r="L88" i="43" s="1"/>
  <c r="M88" i="43" s="1"/>
  <c r="N88" i="43" s="1"/>
  <c r="O88" i="43" s="1"/>
  <c r="P88" i="43" s="1"/>
  <c r="Q88" i="43" s="1"/>
  <c r="R88" i="43" s="1"/>
  <c r="S88" i="43" s="1"/>
  <c r="T88" i="43" s="1"/>
  <c r="U88" i="43" s="1"/>
  <c r="F88" i="43"/>
  <c r="G88" i="43" s="1"/>
  <c r="H88" i="43" s="1"/>
  <c r="J87" i="43"/>
  <c r="K87" i="43" s="1"/>
  <c r="L87" i="43" s="1"/>
  <c r="M87" i="43" s="1"/>
  <c r="N87" i="43" s="1"/>
  <c r="O87" i="43" s="1"/>
  <c r="P87" i="43" s="1"/>
  <c r="Q87" i="43" s="1"/>
  <c r="R87" i="43" s="1"/>
  <c r="S87" i="43" s="1"/>
  <c r="T87" i="43" s="1"/>
  <c r="U87" i="43" s="1"/>
  <c r="F87" i="43"/>
  <c r="G87" i="43" s="1"/>
  <c r="H87" i="43" s="1"/>
  <c r="J86" i="43"/>
  <c r="K86" i="43" s="1"/>
  <c r="L86" i="43" s="1"/>
  <c r="M86" i="43" s="1"/>
  <c r="N86" i="43" s="1"/>
  <c r="O86" i="43" s="1"/>
  <c r="P86" i="43" s="1"/>
  <c r="Q86" i="43" s="1"/>
  <c r="R86" i="43" s="1"/>
  <c r="S86" i="43" s="1"/>
  <c r="T86" i="43" s="1"/>
  <c r="U86" i="43" s="1"/>
  <c r="F86" i="43"/>
  <c r="G86" i="43" s="1"/>
  <c r="H86" i="43" s="1"/>
  <c r="J85" i="43"/>
  <c r="K85" i="43" s="1"/>
  <c r="L85" i="43" s="1"/>
  <c r="M85" i="43" s="1"/>
  <c r="N85" i="43" s="1"/>
  <c r="O85" i="43" s="1"/>
  <c r="P85" i="43" s="1"/>
  <c r="Q85" i="43" s="1"/>
  <c r="R85" i="43" s="1"/>
  <c r="S85" i="43" s="1"/>
  <c r="T85" i="43" s="1"/>
  <c r="U85" i="43" s="1"/>
  <c r="F85" i="43"/>
  <c r="G85" i="43" s="1"/>
  <c r="H85" i="43" s="1"/>
  <c r="J84" i="43"/>
  <c r="K84" i="43" s="1"/>
  <c r="L84" i="43" s="1"/>
  <c r="M84" i="43" s="1"/>
  <c r="N84" i="43" s="1"/>
  <c r="O84" i="43" s="1"/>
  <c r="P84" i="43" s="1"/>
  <c r="Q84" i="43" s="1"/>
  <c r="R84" i="43" s="1"/>
  <c r="S84" i="43" s="1"/>
  <c r="T84" i="43" s="1"/>
  <c r="U84" i="43" s="1"/>
  <c r="F84" i="43"/>
  <c r="G84" i="43" s="1"/>
  <c r="H84" i="43" s="1"/>
  <c r="J83" i="43"/>
  <c r="K83" i="43" s="1"/>
  <c r="L83" i="43" s="1"/>
  <c r="M83" i="43" s="1"/>
  <c r="N83" i="43" s="1"/>
  <c r="O83" i="43" s="1"/>
  <c r="P83" i="43" s="1"/>
  <c r="Q83" i="43" s="1"/>
  <c r="R83" i="43" s="1"/>
  <c r="S83" i="43" s="1"/>
  <c r="T83" i="43" s="1"/>
  <c r="U83" i="43" s="1"/>
  <c r="F83" i="43"/>
  <c r="G83" i="43" s="1"/>
  <c r="H83" i="43" s="1"/>
  <c r="J82" i="43"/>
  <c r="K82" i="43" s="1"/>
  <c r="L82" i="43" s="1"/>
  <c r="M82" i="43" s="1"/>
  <c r="N82" i="43" s="1"/>
  <c r="O82" i="43" s="1"/>
  <c r="P82" i="43" s="1"/>
  <c r="Q82" i="43" s="1"/>
  <c r="R82" i="43" s="1"/>
  <c r="S82" i="43" s="1"/>
  <c r="T82" i="43" s="1"/>
  <c r="U82" i="43" s="1"/>
  <c r="F82" i="43"/>
  <c r="G82" i="43" s="1"/>
  <c r="H82" i="43" s="1"/>
  <c r="J81" i="43"/>
  <c r="K81" i="43" s="1"/>
  <c r="L81" i="43" s="1"/>
  <c r="M81" i="43" s="1"/>
  <c r="N81" i="43" s="1"/>
  <c r="O81" i="43" s="1"/>
  <c r="P81" i="43" s="1"/>
  <c r="Q81" i="43" s="1"/>
  <c r="R81" i="43" s="1"/>
  <c r="S81" i="43" s="1"/>
  <c r="T81" i="43" s="1"/>
  <c r="U81" i="43" s="1"/>
  <c r="F81" i="43"/>
  <c r="G81" i="43" s="1"/>
  <c r="H81" i="43" s="1"/>
  <c r="J80" i="43"/>
  <c r="K80" i="43" s="1"/>
  <c r="L80" i="43" s="1"/>
  <c r="M80" i="43" s="1"/>
  <c r="N80" i="43" s="1"/>
  <c r="O80" i="43" s="1"/>
  <c r="P80" i="43" s="1"/>
  <c r="Q80" i="43" s="1"/>
  <c r="R80" i="43" s="1"/>
  <c r="S80" i="43" s="1"/>
  <c r="T80" i="43" s="1"/>
  <c r="U80" i="43" s="1"/>
  <c r="F80" i="43"/>
  <c r="G80" i="43" s="1"/>
  <c r="H80" i="43" s="1"/>
  <c r="J79" i="43"/>
  <c r="K79" i="43" s="1"/>
  <c r="L79" i="43" s="1"/>
  <c r="M79" i="43" s="1"/>
  <c r="N79" i="43" s="1"/>
  <c r="O79" i="43" s="1"/>
  <c r="P79" i="43" s="1"/>
  <c r="Q79" i="43" s="1"/>
  <c r="R79" i="43" s="1"/>
  <c r="S79" i="43" s="1"/>
  <c r="T79" i="43" s="1"/>
  <c r="U79" i="43" s="1"/>
  <c r="F79" i="43"/>
  <c r="G79" i="43" s="1"/>
  <c r="H79" i="43" s="1"/>
  <c r="J78" i="43"/>
  <c r="K78" i="43" s="1"/>
  <c r="L78" i="43" s="1"/>
  <c r="M78" i="43" s="1"/>
  <c r="N78" i="43" s="1"/>
  <c r="O78" i="43" s="1"/>
  <c r="P78" i="43" s="1"/>
  <c r="Q78" i="43" s="1"/>
  <c r="R78" i="43" s="1"/>
  <c r="S78" i="43" s="1"/>
  <c r="T78" i="43" s="1"/>
  <c r="U78" i="43" s="1"/>
  <c r="F78" i="43"/>
  <c r="G78" i="43" s="1"/>
  <c r="H78" i="43" s="1"/>
  <c r="J77" i="43"/>
  <c r="K77" i="43" s="1"/>
  <c r="L77" i="43" s="1"/>
  <c r="M77" i="43" s="1"/>
  <c r="N77" i="43" s="1"/>
  <c r="O77" i="43" s="1"/>
  <c r="P77" i="43" s="1"/>
  <c r="Q77" i="43" s="1"/>
  <c r="R77" i="43" s="1"/>
  <c r="S77" i="43" s="1"/>
  <c r="T77" i="43" s="1"/>
  <c r="U77" i="43" s="1"/>
  <c r="F77" i="43"/>
  <c r="G77" i="43" s="1"/>
  <c r="H77" i="43" s="1"/>
  <c r="J76" i="43"/>
  <c r="K76" i="43" s="1"/>
  <c r="L76" i="43" s="1"/>
  <c r="M76" i="43" s="1"/>
  <c r="N76" i="43" s="1"/>
  <c r="O76" i="43" s="1"/>
  <c r="P76" i="43" s="1"/>
  <c r="Q76" i="43" s="1"/>
  <c r="R76" i="43" s="1"/>
  <c r="S76" i="43" s="1"/>
  <c r="T76" i="43" s="1"/>
  <c r="U76" i="43" s="1"/>
  <c r="F76" i="43"/>
  <c r="G76" i="43" s="1"/>
  <c r="H76" i="43" s="1"/>
  <c r="J75" i="43"/>
  <c r="K75" i="43" s="1"/>
  <c r="L75" i="43" s="1"/>
  <c r="M75" i="43" s="1"/>
  <c r="N75" i="43" s="1"/>
  <c r="O75" i="43" s="1"/>
  <c r="P75" i="43" s="1"/>
  <c r="Q75" i="43" s="1"/>
  <c r="R75" i="43" s="1"/>
  <c r="S75" i="43" s="1"/>
  <c r="T75" i="43" s="1"/>
  <c r="U75" i="43" s="1"/>
  <c r="F75" i="43"/>
  <c r="G75" i="43" s="1"/>
  <c r="H75" i="43" s="1"/>
  <c r="J74" i="43"/>
  <c r="K74" i="43" s="1"/>
  <c r="L74" i="43" s="1"/>
  <c r="M74" i="43" s="1"/>
  <c r="N74" i="43" s="1"/>
  <c r="O74" i="43" s="1"/>
  <c r="P74" i="43" s="1"/>
  <c r="Q74" i="43" s="1"/>
  <c r="R74" i="43" s="1"/>
  <c r="S74" i="43" s="1"/>
  <c r="T74" i="43" s="1"/>
  <c r="U74" i="43" s="1"/>
  <c r="F74" i="43"/>
  <c r="G74" i="43" s="1"/>
  <c r="H74" i="43" s="1"/>
  <c r="F73" i="43"/>
  <c r="G73" i="43" s="1"/>
  <c r="M72" i="43"/>
  <c r="L72" i="43"/>
  <c r="K72" i="43"/>
  <c r="J72" i="43"/>
  <c r="I72" i="43"/>
  <c r="H72" i="43"/>
  <c r="G72" i="43"/>
  <c r="F72" i="43"/>
  <c r="E72" i="43"/>
  <c r="H69" i="43"/>
  <c r="G69" i="43"/>
  <c r="F69" i="43"/>
  <c r="E69" i="43"/>
  <c r="J59" i="43"/>
  <c r="E56" i="43"/>
  <c r="F56" i="43" s="1"/>
  <c r="G56" i="43" s="1"/>
  <c r="H56" i="43" s="1"/>
  <c r="I56" i="43" s="1"/>
  <c r="J56" i="43" s="1"/>
  <c r="K56" i="43" s="1"/>
  <c r="L56" i="43" s="1"/>
  <c r="M56" i="43" s="1"/>
  <c r="N56" i="43" s="1"/>
  <c r="O56" i="43" s="1"/>
  <c r="P56" i="43" s="1"/>
  <c r="Q56" i="43" s="1"/>
  <c r="R56" i="43" s="1"/>
  <c r="S56" i="43" s="1"/>
  <c r="T56" i="43" s="1"/>
  <c r="U56" i="43" s="1"/>
  <c r="E55" i="43"/>
  <c r="F55" i="43" s="1"/>
  <c r="G55" i="43" s="1"/>
  <c r="H55" i="43" s="1"/>
  <c r="I55" i="43" s="1"/>
  <c r="J55" i="43" s="1"/>
  <c r="K55" i="43" s="1"/>
  <c r="L55" i="43" s="1"/>
  <c r="M55" i="43" s="1"/>
  <c r="N55" i="43" s="1"/>
  <c r="O55" i="43" s="1"/>
  <c r="P55" i="43" s="1"/>
  <c r="Q55" i="43" s="1"/>
  <c r="R55" i="43" s="1"/>
  <c r="S55" i="43" s="1"/>
  <c r="T55" i="43" s="1"/>
  <c r="U55" i="43" s="1"/>
  <c r="E54" i="43"/>
  <c r="F53" i="43"/>
  <c r="G53" i="43" s="1"/>
  <c r="H53" i="43" s="1"/>
  <c r="E52" i="43"/>
  <c r="F52" i="43" s="1"/>
  <c r="G52" i="43" s="1"/>
  <c r="H52" i="43" s="1"/>
  <c r="I52" i="43" s="1"/>
  <c r="J52" i="43" s="1"/>
  <c r="K52" i="43" s="1"/>
  <c r="L52" i="43" s="1"/>
  <c r="M52" i="43" s="1"/>
  <c r="N52" i="43" s="1"/>
  <c r="O52" i="43" s="1"/>
  <c r="P52" i="43" s="1"/>
  <c r="Q52" i="43" s="1"/>
  <c r="R52" i="43" s="1"/>
  <c r="S52" i="43" s="1"/>
  <c r="T52" i="43" s="1"/>
  <c r="U52" i="43" s="1"/>
  <c r="E51" i="43"/>
  <c r="F51" i="43" s="1"/>
  <c r="G51" i="43" s="1"/>
  <c r="H51" i="43" s="1"/>
  <c r="I51" i="43" s="1"/>
  <c r="J51" i="43" s="1"/>
  <c r="K51" i="43" s="1"/>
  <c r="L51" i="43" s="1"/>
  <c r="M51" i="43" s="1"/>
  <c r="N51" i="43" s="1"/>
  <c r="O51" i="43" s="1"/>
  <c r="P51" i="43" s="1"/>
  <c r="Q51" i="43" s="1"/>
  <c r="R51" i="43" s="1"/>
  <c r="S51" i="43" s="1"/>
  <c r="T51" i="43" s="1"/>
  <c r="U51" i="43" s="1"/>
  <c r="E50" i="43"/>
  <c r="F50" i="43" s="1"/>
  <c r="E49" i="43"/>
  <c r="F49" i="43" s="1"/>
  <c r="G49" i="43" s="1"/>
  <c r="H49" i="43" s="1"/>
  <c r="I49" i="43" s="1"/>
  <c r="J49" i="43" s="1"/>
  <c r="K49" i="43" s="1"/>
  <c r="L49" i="43" s="1"/>
  <c r="M49" i="43" s="1"/>
  <c r="N49" i="43" s="1"/>
  <c r="O49" i="43" s="1"/>
  <c r="P49" i="43" s="1"/>
  <c r="Q49" i="43" s="1"/>
  <c r="R49" i="43" s="1"/>
  <c r="S49" i="43" s="1"/>
  <c r="T49" i="43" s="1"/>
  <c r="U49" i="43" s="1"/>
  <c r="E48" i="43"/>
  <c r="F48" i="43" s="1"/>
  <c r="G48" i="43" s="1"/>
  <c r="H46" i="43"/>
  <c r="G46" i="43"/>
  <c r="F46" i="43"/>
  <c r="E46" i="43"/>
  <c r="U37" i="43"/>
  <c r="U45" i="43" s="1"/>
  <c r="U68" i="43" s="1"/>
  <c r="T37" i="43"/>
  <c r="T39" i="43" s="1"/>
  <c r="T62" i="43" s="1"/>
  <c r="S37" i="43"/>
  <c r="R37" i="43"/>
  <c r="R60" i="43" s="1"/>
  <c r="Q37" i="43"/>
  <c r="Q60" i="43" s="1"/>
  <c r="P37" i="43"/>
  <c r="P39" i="43" s="1"/>
  <c r="O37" i="43"/>
  <c r="O39" i="43" s="1"/>
  <c r="N37" i="43"/>
  <c r="N43" i="43" s="1"/>
  <c r="N66" i="43" s="1"/>
  <c r="M37" i="43"/>
  <c r="M44" i="43" s="1"/>
  <c r="M67" i="43" s="1"/>
  <c r="I37" i="43"/>
  <c r="I45" i="43" s="1"/>
  <c r="I68" i="43" s="1"/>
  <c r="E33" i="43"/>
  <c r="F33" i="43" s="1"/>
  <c r="G33" i="43" s="1"/>
  <c r="H33" i="43" s="1"/>
  <c r="I33" i="43" s="1"/>
  <c r="J33" i="43" s="1"/>
  <c r="K33" i="43" s="1"/>
  <c r="L33" i="43" s="1"/>
  <c r="M33" i="43" s="1"/>
  <c r="N33" i="43" s="1"/>
  <c r="O33" i="43" s="1"/>
  <c r="P33" i="43" s="1"/>
  <c r="Q33" i="43" s="1"/>
  <c r="R33" i="43" s="1"/>
  <c r="S33" i="43" s="1"/>
  <c r="T33" i="43" s="1"/>
  <c r="U33" i="43" s="1"/>
  <c r="E32" i="43"/>
  <c r="F32" i="43" s="1"/>
  <c r="G32" i="43" s="1"/>
  <c r="H32" i="43" s="1"/>
  <c r="I32" i="43" s="1"/>
  <c r="J32" i="43" s="1"/>
  <c r="K32" i="43" s="1"/>
  <c r="L32" i="43" s="1"/>
  <c r="M32" i="43" s="1"/>
  <c r="N32" i="43" s="1"/>
  <c r="O32" i="43" s="1"/>
  <c r="P32" i="43" s="1"/>
  <c r="Q32" i="43" s="1"/>
  <c r="R32" i="43" s="1"/>
  <c r="S32" i="43" s="1"/>
  <c r="T32" i="43" s="1"/>
  <c r="U32" i="43" s="1"/>
  <c r="C32" i="43"/>
  <c r="E31" i="43"/>
  <c r="F31" i="43" s="1"/>
  <c r="G31" i="43" s="1"/>
  <c r="H31" i="43" s="1"/>
  <c r="I31" i="43" s="1"/>
  <c r="J31" i="43" s="1"/>
  <c r="K31" i="43" s="1"/>
  <c r="L31" i="43" s="1"/>
  <c r="M31" i="43" s="1"/>
  <c r="N31" i="43" s="1"/>
  <c r="O31" i="43" s="1"/>
  <c r="P31" i="43" s="1"/>
  <c r="Q31" i="43" s="1"/>
  <c r="R31" i="43" s="1"/>
  <c r="S31" i="43" s="1"/>
  <c r="T31" i="43" s="1"/>
  <c r="U31" i="43" s="1"/>
  <c r="F30" i="43"/>
  <c r="G30" i="43" s="1"/>
  <c r="E29" i="43"/>
  <c r="F29" i="43" s="1"/>
  <c r="G29" i="43" s="1"/>
  <c r="H29" i="43" s="1"/>
  <c r="I29" i="43" s="1"/>
  <c r="J29" i="43" s="1"/>
  <c r="K29" i="43" s="1"/>
  <c r="L29" i="43" s="1"/>
  <c r="M29" i="43" s="1"/>
  <c r="N29" i="43" s="1"/>
  <c r="O29" i="43" s="1"/>
  <c r="P29" i="43" s="1"/>
  <c r="Q29" i="43" s="1"/>
  <c r="R29" i="43" s="1"/>
  <c r="S29" i="43" s="1"/>
  <c r="T29" i="43" s="1"/>
  <c r="U29" i="43" s="1"/>
  <c r="E28" i="43"/>
  <c r="F28" i="43" s="1"/>
  <c r="G28" i="43" s="1"/>
  <c r="H28" i="43" s="1"/>
  <c r="I28" i="43" s="1"/>
  <c r="J28" i="43" s="1"/>
  <c r="K28" i="43" s="1"/>
  <c r="L28" i="43" s="1"/>
  <c r="M28" i="43" s="1"/>
  <c r="N28" i="43" s="1"/>
  <c r="O28" i="43" s="1"/>
  <c r="P28" i="43" s="1"/>
  <c r="Q28" i="43" s="1"/>
  <c r="R28" i="43" s="1"/>
  <c r="S28" i="43" s="1"/>
  <c r="T28" i="43" s="1"/>
  <c r="U28" i="43" s="1"/>
  <c r="E27" i="43"/>
  <c r="F27" i="43" s="1"/>
  <c r="G27" i="43" s="1"/>
  <c r="H27" i="43" s="1"/>
  <c r="I27" i="43" s="1"/>
  <c r="J27" i="43" s="1"/>
  <c r="K27" i="43" s="1"/>
  <c r="L27" i="43" s="1"/>
  <c r="M27" i="43" s="1"/>
  <c r="N27" i="43" s="1"/>
  <c r="O27" i="43" s="1"/>
  <c r="P27" i="43" s="1"/>
  <c r="Q27" i="43" s="1"/>
  <c r="R27" i="43" s="1"/>
  <c r="S27" i="43" s="1"/>
  <c r="T27" i="43" s="1"/>
  <c r="U27" i="43" s="1"/>
  <c r="E26" i="43"/>
  <c r="F26" i="43" s="1"/>
  <c r="G26" i="43" s="1"/>
  <c r="H26" i="43" s="1"/>
  <c r="I26" i="43" s="1"/>
  <c r="J26" i="43" s="1"/>
  <c r="K26" i="43" s="1"/>
  <c r="L26" i="43" s="1"/>
  <c r="M26" i="43" s="1"/>
  <c r="N26" i="43" s="1"/>
  <c r="O26" i="43" s="1"/>
  <c r="P26" i="43" s="1"/>
  <c r="Q26" i="43" s="1"/>
  <c r="R26" i="43" s="1"/>
  <c r="S26" i="43" s="1"/>
  <c r="T26" i="43" s="1"/>
  <c r="U26" i="43" s="1"/>
  <c r="E25" i="43"/>
  <c r="M24" i="43"/>
  <c r="L24" i="43"/>
  <c r="K24" i="43"/>
  <c r="J24" i="43"/>
  <c r="I24" i="43"/>
  <c r="H24" i="43"/>
  <c r="G24" i="43"/>
  <c r="F24" i="43"/>
  <c r="E24" i="43"/>
  <c r="M22" i="43"/>
  <c r="L22" i="43"/>
  <c r="K22" i="43"/>
  <c r="J22" i="43"/>
  <c r="I22" i="43"/>
  <c r="H22" i="43"/>
  <c r="G22" i="43"/>
  <c r="F22" i="43"/>
  <c r="E22" i="43"/>
  <c r="H20" i="43"/>
  <c r="G20" i="43"/>
  <c r="F20" i="43"/>
  <c r="E20" i="43"/>
  <c r="U11" i="43"/>
  <c r="U18" i="43" s="1"/>
  <c r="T11" i="43"/>
  <c r="T18" i="43" s="1"/>
  <c r="S11" i="43"/>
  <c r="S17" i="43" s="1"/>
  <c r="R11" i="43"/>
  <c r="R17" i="43" s="1"/>
  <c r="Q11" i="43"/>
  <c r="Q18" i="43" s="1"/>
  <c r="P11" i="43"/>
  <c r="O11" i="43"/>
  <c r="O18" i="43" s="1"/>
  <c r="N11" i="43"/>
  <c r="N18" i="43" s="1"/>
  <c r="M11" i="43"/>
  <c r="M18" i="43" s="1"/>
  <c r="I11" i="43"/>
  <c r="N9" i="43"/>
  <c r="N24" i="43" s="1"/>
  <c r="D1" i="43"/>
  <c r="Y13" i="43" s="1"/>
  <c r="F61" i="42"/>
  <c r="G61" i="42" s="1"/>
  <c r="H61" i="42" s="1"/>
  <c r="I61" i="42" s="1"/>
  <c r="F39" i="42"/>
  <c r="F62" i="42" l="1"/>
  <c r="G39" i="42"/>
  <c r="H39" i="42" s="1"/>
  <c r="I39" i="42" s="1"/>
  <c r="I62" i="42" s="1"/>
  <c r="I71" i="42" s="1"/>
  <c r="Q43" i="43"/>
  <c r="Q66" i="43" s="1"/>
  <c r="T17" i="43"/>
  <c r="O44" i="43"/>
  <c r="O67" i="43" s="1"/>
  <c r="T13" i="43"/>
  <c r="M45" i="43"/>
  <c r="M68" i="43" s="1"/>
  <c r="N17" i="43"/>
  <c r="O45" i="43"/>
  <c r="O68" i="43" s="1"/>
  <c r="F68" i="42"/>
  <c r="T19" i="43"/>
  <c r="I39" i="43"/>
  <c r="I62" i="43" s="1"/>
  <c r="O60" i="43"/>
  <c r="O43" i="43"/>
  <c r="O66" i="43" s="1"/>
  <c r="E69" i="42"/>
  <c r="E62" i="42"/>
  <c r="M17" i="43"/>
  <c r="Q39" i="43"/>
  <c r="Q62" i="43" s="1"/>
  <c r="U44" i="43"/>
  <c r="U67" i="43" s="1"/>
  <c r="U17" i="43"/>
  <c r="R43" i="43"/>
  <c r="R66" i="43" s="1"/>
  <c r="R45" i="43"/>
  <c r="R68" i="43" s="1"/>
  <c r="M60" i="43"/>
  <c r="N19" i="43"/>
  <c r="N13" i="43"/>
  <c r="P60" i="43"/>
  <c r="E64" i="42"/>
  <c r="R13" i="43"/>
  <c r="R19" i="43"/>
  <c r="Q44" i="43"/>
  <c r="Q67" i="43" s="1"/>
  <c r="E68" i="42"/>
  <c r="F70" i="42"/>
  <c r="R44" i="43"/>
  <c r="R67" i="43" s="1"/>
  <c r="P62" i="43"/>
  <c r="F13" i="42"/>
  <c r="P19" i="43"/>
  <c r="P13" i="43"/>
  <c r="E70" i="42"/>
  <c r="Q19" i="43"/>
  <c r="Q13" i="43"/>
  <c r="Q17" i="43"/>
  <c r="P17" i="43"/>
  <c r="S18" i="43"/>
  <c r="O62" i="43"/>
  <c r="I19" i="43"/>
  <c r="I13" i="43"/>
  <c r="I17" i="43"/>
  <c r="J11" i="43"/>
  <c r="S13" i="43"/>
  <c r="K59" i="43"/>
  <c r="I18" i="43"/>
  <c r="F34" i="43"/>
  <c r="E34" i="43"/>
  <c r="E35" i="43" s="1"/>
  <c r="E47" i="43" s="1"/>
  <c r="I60" i="43"/>
  <c r="J37" i="43"/>
  <c r="I44" i="43"/>
  <c r="I67" i="43" s="1"/>
  <c r="I43" i="43"/>
  <c r="I66" i="43" s="1"/>
  <c r="F64" i="42"/>
  <c r="G64" i="42"/>
  <c r="G34" i="43"/>
  <c r="H30" i="43"/>
  <c r="S60" i="43"/>
  <c r="S44" i="43"/>
  <c r="S67" i="43" s="1"/>
  <c r="S45" i="43"/>
  <c r="S68" i="43" s="1"/>
  <c r="S43" i="43"/>
  <c r="S66" i="43" s="1"/>
  <c r="S39" i="43"/>
  <c r="F25" i="43"/>
  <c r="T44" i="43"/>
  <c r="T67" i="43" s="1"/>
  <c r="T43" i="43"/>
  <c r="T66" i="43" s="1"/>
  <c r="T60" i="43"/>
  <c r="T45" i="43"/>
  <c r="T68" i="43" s="1"/>
  <c r="H48" i="43"/>
  <c r="N72" i="43"/>
  <c r="N22" i="43"/>
  <c r="O9" i="43"/>
  <c r="O19" i="43"/>
  <c r="O13" i="43"/>
  <c r="O17" i="43"/>
  <c r="P18" i="43"/>
  <c r="S19" i="43"/>
  <c r="N45" i="43"/>
  <c r="N68" i="43" s="1"/>
  <c r="N60" i="43"/>
  <c r="N39" i="43"/>
  <c r="N62" i="43" s="1"/>
  <c r="N44" i="43"/>
  <c r="N67" i="43" s="1"/>
  <c r="G50" i="43"/>
  <c r="H50" i="43" s="1"/>
  <c r="I50" i="43" s="1"/>
  <c r="J50" i="43" s="1"/>
  <c r="K50" i="43" s="1"/>
  <c r="L50" i="43" s="1"/>
  <c r="M50" i="43" s="1"/>
  <c r="N50" i="43" s="1"/>
  <c r="O50" i="43" s="1"/>
  <c r="P50" i="43" s="1"/>
  <c r="Q50" i="43" s="1"/>
  <c r="R50" i="43" s="1"/>
  <c r="S50" i="43" s="1"/>
  <c r="T50" i="43" s="1"/>
  <c r="U50" i="43" s="1"/>
  <c r="M13" i="43"/>
  <c r="U13" i="43"/>
  <c r="R18" i="43"/>
  <c r="M19" i="43"/>
  <c r="U19" i="43"/>
  <c r="M39" i="43"/>
  <c r="M62" i="43" s="1"/>
  <c r="M43" i="43"/>
  <c r="M66" i="43" s="1"/>
  <c r="U39" i="43"/>
  <c r="U62" i="43" s="1"/>
  <c r="U43" i="43"/>
  <c r="U66" i="43" s="1"/>
  <c r="I53" i="43"/>
  <c r="E57" i="43"/>
  <c r="E58" i="43" s="1"/>
  <c r="E70" i="43" s="1"/>
  <c r="E139" i="43" s="1"/>
  <c r="F54" i="43"/>
  <c r="P43" i="43"/>
  <c r="P66" i="43" s="1"/>
  <c r="P44" i="43"/>
  <c r="P67" i="43" s="1"/>
  <c r="P45" i="43"/>
  <c r="P68" i="43" s="1"/>
  <c r="U60" i="43"/>
  <c r="Q45" i="43"/>
  <c r="Q68" i="43" s="1"/>
  <c r="R39" i="43"/>
  <c r="R62" i="43" s="1"/>
  <c r="H73" i="43"/>
  <c r="F69" i="42"/>
  <c r="E58" i="42"/>
  <c r="F58" i="42" s="1"/>
  <c r="G58" i="42" s="1"/>
  <c r="H58" i="42" s="1"/>
  <c r="I58" i="42" s="1"/>
  <c r="E56" i="42"/>
  <c r="F56" i="42" s="1"/>
  <c r="G56" i="42" s="1"/>
  <c r="H56" i="42" s="1"/>
  <c r="I56" i="42" s="1"/>
  <c r="E54" i="42"/>
  <c r="F54" i="42" s="1"/>
  <c r="G54" i="42" s="1"/>
  <c r="H54" i="42" s="1"/>
  <c r="I54" i="42" s="1"/>
  <c r="E53" i="42"/>
  <c r="F53" i="42" s="1"/>
  <c r="G53" i="42" s="1"/>
  <c r="H53" i="42" s="1"/>
  <c r="I53" i="42" s="1"/>
  <c r="E52" i="42"/>
  <c r="F52" i="42" s="1"/>
  <c r="G52" i="42" s="1"/>
  <c r="H52" i="42" s="1"/>
  <c r="I52" i="42" s="1"/>
  <c r="E51" i="42"/>
  <c r="F51" i="42" s="1"/>
  <c r="G51" i="42" s="1"/>
  <c r="H51" i="42" s="1"/>
  <c r="I51" i="42" s="1"/>
  <c r="F35" i="42"/>
  <c r="G35" i="42" s="1"/>
  <c r="H35" i="42" s="1"/>
  <c r="F34" i="42"/>
  <c r="G34" i="42" s="1"/>
  <c r="H34" i="42" s="1"/>
  <c r="F31" i="42"/>
  <c r="G31" i="42" s="1"/>
  <c r="H31" i="42" s="1"/>
  <c r="F30" i="42"/>
  <c r="G30" i="42" s="1"/>
  <c r="H30" i="42" s="1"/>
  <c r="F33" i="42" l="1"/>
  <c r="G33" i="42" s="1"/>
  <c r="H33" i="42" s="1"/>
  <c r="E36" i="42"/>
  <c r="F48" i="42"/>
  <c r="T20" i="43"/>
  <c r="O46" i="43"/>
  <c r="F71" i="42"/>
  <c r="M20" i="43"/>
  <c r="O20" i="43"/>
  <c r="Q20" i="43"/>
  <c r="N20" i="43"/>
  <c r="R46" i="43"/>
  <c r="R20" i="43"/>
  <c r="S20" i="43"/>
  <c r="U46" i="43"/>
  <c r="E71" i="42"/>
  <c r="P20" i="43"/>
  <c r="I20" i="43"/>
  <c r="E136" i="43"/>
  <c r="E134" i="43"/>
  <c r="E138" i="43"/>
  <c r="E135" i="43"/>
  <c r="E137" i="43"/>
  <c r="I48" i="43"/>
  <c r="G25" i="43"/>
  <c r="F35" i="43"/>
  <c r="F47" i="43" s="1"/>
  <c r="I73" i="43"/>
  <c r="M46" i="43"/>
  <c r="I46" i="43"/>
  <c r="J17" i="43"/>
  <c r="J18" i="43"/>
  <c r="J13" i="43"/>
  <c r="K11" i="43"/>
  <c r="J19" i="43"/>
  <c r="G54" i="43"/>
  <c r="F57" i="43"/>
  <c r="F58" i="43" s="1"/>
  <c r="F70" i="43" s="1"/>
  <c r="F139" i="43" s="1"/>
  <c r="J53" i="43"/>
  <c r="S46" i="43"/>
  <c r="S62" i="43"/>
  <c r="G62" i="42"/>
  <c r="G68" i="42"/>
  <c r="G70" i="42"/>
  <c r="J60" i="43"/>
  <c r="J39" i="43"/>
  <c r="J62" i="43" s="1"/>
  <c r="J43" i="43"/>
  <c r="J66" i="43" s="1"/>
  <c r="K37" i="43"/>
  <c r="J44" i="43"/>
  <c r="J67" i="43" s="1"/>
  <c r="J45" i="43"/>
  <c r="J68" i="43" s="1"/>
  <c r="T46" i="43"/>
  <c r="I69" i="43"/>
  <c r="L59" i="43"/>
  <c r="E57" i="42"/>
  <c r="F57" i="42" s="1"/>
  <c r="G57" i="42" s="1"/>
  <c r="H57" i="42" s="1"/>
  <c r="I57" i="42" s="1"/>
  <c r="N46" i="43"/>
  <c r="O72" i="43"/>
  <c r="O22" i="43"/>
  <c r="O24" i="43"/>
  <c r="P9" i="43"/>
  <c r="H34" i="43"/>
  <c r="I34" i="43" s="1"/>
  <c r="J34" i="43" s="1"/>
  <c r="K34" i="43" s="1"/>
  <c r="L34" i="43" s="1"/>
  <c r="M34" i="43" s="1"/>
  <c r="N34" i="43" s="1"/>
  <c r="O34" i="43" s="1"/>
  <c r="P34" i="43" s="1"/>
  <c r="Q34" i="43" s="1"/>
  <c r="R34" i="43" s="1"/>
  <c r="S34" i="43" s="1"/>
  <c r="T34" i="43" s="1"/>
  <c r="U34" i="43" s="1"/>
  <c r="I30" i="43"/>
  <c r="J30" i="43" s="1"/>
  <c r="K30" i="43" s="1"/>
  <c r="L30" i="43" s="1"/>
  <c r="M30" i="43" s="1"/>
  <c r="N30" i="43" s="1"/>
  <c r="O30" i="43" s="1"/>
  <c r="P30" i="43" s="1"/>
  <c r="Q30" i="43" s="1"/>
  <c r="R30" i="43" s="1"/>
  <c r="S30" i="43" s="1"/>
  <c r="T30" i="43" s="1"/>
  <c r="U30" i="43" s="1"/>
  <c r="G13" i="42"/>
  <c r="G22" i="42" s="1"/>
  <c r="E48" i="42"/>
  <c r="U20" i="43"/>
  <c r="Q46" i="43"/>
  <c r="P46" i="43"/>
  <c r="G69" i="42"/>
  <c r="F28" i="42"/>
  <c r="G28" i="42" s="1"/>
  <c r="H28" i="42" s="1"/>
  <c r="F29" i="42"/>
  <c r="G29" i="42" s="1"/>
  <c r="H29" i="42" s="1"/>
  <c r="E74" i="42"/>
  <c r="F74" i="42"/>
  <c r="G74" i="42"/>
  <c r="H74" i="42"/>
  <c r="E26" i="42"/>
  <c r="F26" i="42"/>
  <c r="G26" i="42"/>
  <c r="H26" i="42"/>
  <c r="E24" i="42"/>
  <c r="F24" i="42"/>
  <c r="G24" i="42"/>
  <c r="H24" i="42"/>
  <c r="F22" i="42" l="1"/>
  <c r="J20" i="43"/>
  <c r="G71" i="42"/>
  <c r="G48" i="42"/>
  <c r="J46" i="43"/>
  <c r="J69" i="43"/>
  <c r="K17" i="43"/>
  <c r="L11" i="43"/>
  <c r="K13" i="43"/>
  <c r="K18" i="43"/>
  <c r="K19" i="43"/>
  <c r="F138" i="43"/>
  <c r="F136" i="43"/>
  <c r="F134" i="43"/>
  <c r="F135" i="43"/>
  <c r="F137" i="43"/>
  <c r="G35" i="43"/>
  <c r="G47" i="43" s="1"/>
  <c r="H25" i="43"/>
  <c r="H68" i="42"/>
  <c r="H70" i="42"/>
  <c r="H69" i="42"/>
  <c r="H62" i="42"/>
  <c r="J73" i="43"/>
  <c r="J48" i="43"/>
  <c r="K60" i="43"/>
  <c r="K44" i="43"/>
  <c r="K67" i="43" s="1"/>
  <c r="K45" i="43"/>
  <c r="K68" i="43" s="1"/>
  <c r="K43" i="43"/>
  <c r="K66" i="43" s="1"/>
  <c r="K39" i="43"/>
  <c r="K62" i="43" s="1"/>
  <c r="L37" i="43"/>
  <c r="H13" i="42"/>
  <c r="I13" i="42" s="1"/>
  <c r="H54" i="43"/>
  <c r="G57" i="43"/>
  <c r="G58" i="43" s="1"/>
  <c r="G70" i="43" s="1"/>
  <c r="G139" i="43" s="1"/>
  <c r="K53" i="43"/>
  <c r="P72" i="43"/>
  <c r="P24" i="43"/>
  <c r="Q9" i="43"/>
  <c r="P22" i="43"/>
  <c r="M59" i="43"/>
  <c r="K20" i="43" l="1"/>
  <c r="K69" i="43"/>
  <c r="H64" i="42"/>
  <c r="H71" i="42" s="1"/>
  <c r="H48" i="42"/>
  <c r="L18" i="43"/>
  <c r="L13" i="43"/>
  <c r="L17" i="43"/>
  <c r="L19" i="43"/>
  <c r="I54" i="43"/>
  <c r="H57" i="43"/>
  <c r="H58" i="43" s="1"/>
  <c r="H70" i="43" s="1"/>
  <c r="H139" i="43" s="1"/>
  <c r="K73" i="43"/>
  <c r="E50" i="42"/>
  <c r="Q72" i="43"/>
  <c r="Q24" i="43"/>
  <c r="R9" i="43"/>
  <c r="Q22" i="43"/>
  <c r="K46" i="43"/>
  <c r="E55" i="42"/>
  <c r="G134" i="43"/>
  <c r="G135" i="43"/>
  <c r="G137" i="43"/>
  <c r="G138" i="43"/>
  <c r="G136" i="43"/>
  <c r="K48" i="43"/>
  <c r="L39" i="43"/>
  <c r="L62" i="43" s="1"/>
  <c r="L45" i="43"/>
  <c r="L68" i="43" s="1"/>
  <c r="L60" i="43"/>
  <c r="L43" i="43"/>
  <c r="L66" i="43" s="1"/>
  <c r="L44" i="43"/>
  <c r="L67" i="43" s="1"/>
  <c r="H35" i="43"/>
  <c r="H47" i="43" s="1"/>
  <c r="I25" i="43"/>
  <c r="M69" i="43"/>
  <c r="N59" i="43"/>
  <c r="L53" i="43"/>
  <c r="L20" i="43" l="1"/>
  <c r="H22" i="42"/>
  <c r="E59" i="42"/>
  <c r="E60" i="42" s="1"/>
  <c r="E72" i="42" s="1"/>
  <c r="F55" i="42"/>
  <c r="L73" i="43"/>
  <c r="F50" i="42"/>
  <c r="F27" i="42"/>
  <c r="H138" i="43"/>
  <c r="H137" i="43"/>
  <c r="H136" i="43"/>
  <c r="H134" i="43"/>
  <c r="H135" i="43"/>
  <c r="M53" i="43"/>
  <c r="R72" i="43"/>
  <c r="S9" i="43"/>
  <c r="R22" i="43"/>
  <c r="R24" i="43"/>
  <c r="L46" i="43"/>
  <c r="I35" i="43"/>
  <c r="I47" i="43" s="1"/>
  <c r="J25" i="43"/>
  <c r="L48" i="43"/>
  <c r="N69" i="43"/>
  <c r="O59" i="43"/>
  <c r="L69" i="43"/>
  <c r="J54" i="43"/>
  <c r="I57" i="43"/>
  <c r="I58" i="43" s="1"/>
  <c r="I70" i="43" s="1"/>
  <c r="M73" i="43" l="1"/>
  <c r="J35" i="43"/>
  <c r="J47" i="43" s="1"/>
  <c r="K25" i="43"/>
  <c r="S22" i="43"/>
  <c r="S24" i="43"/>
  <c r="T9" i="43"/>
  <c r="S72" i="43"/>
  <c r="G27" i="42"/>
  <c r="K54" i="43"/>
  <c r="J57" i="43"/>
  <c r="J58" i="43" s="1"/>
  <c r="J70" i="43" s="1"/>
  <c r="P59" i="43"/>
  <c r="O69" i="43"/>
  <c r="G50" i="42"/>
  <c r="N53" i="43"/>
  <c r="G55" i="42"/>
  <c r="F59" i="42"/>
  <c r="F60" i="42" s="1"/>
  <c r="F72" i="42" s="1"/>
  <c r="M48" i="43"/>
  <c r="G59" i="42" l="1"/>
  <c r="G60" i="42" s="1"/>
  <c r="G72" i="42" s="1"/>
  <c r="H55" i="42"/>
  <c r="I55" i="42" s="1"/>
  <c r="I59" i="42" s="1"/>
  <c r="N73" i="43"/>
  <c r="O53" i="43"/>
  <c r="L54" i="43"/>
  <c r="K57" i="43"/>
  <c r="K58" i="43" s="1"/>
  <c r="K70" i="43" s="1"/>
  <c r="T72" i="43"/>
  <c r="T24" i="43"/>
  <c r="T22" i="43"/>
  <c r="U9" i="43"/>
  <c r="H27" i="42"/>
  <c r="H50" i="42"/>
  <c r="I50" i="42" s="1"/>
  <c r="N48" i="43"/>
  <c r="P69" i="43"/>
  <c r="Q59" i="43"/>
  <c r="L25" i="43"/>
  <c r="K35" i="43"/>
  <c r="K47" i="43" s="1"/>
  <c r="I60" i="42" l="1"/>
  <c r="I72" i="42" s="1"/>
  <c r="U22" i="43"/>
  <c r="U24" i="43"/>
  <c r="U72" i="43"/>
  <c r="P53" i="43"/>
  <c r="O48" i="43"/>
  <c r="H59" i="42"/>
  <c r="H60" i="42" s="1"/>
  <c r="H72" i="42" s="1"/>
  <c r="L35" i="43"/>
  <c r="L47" i="43" s="1"/>
  <c r="M25" i="43"/>
  <c r="M54" i="43"/>
  <c r="L57" i="43"/>
  <c r="L58" i="43" s="1"/>
  <c r="L70" i="43" s="1"/>
  <c r="Q69" i="43"/>
  <c r="R59" i="43"/>
  <c r="O73" i="43"/>
  <c r="N54" i="43" l="1"/>
  <c r="M57" i="43"/>
  <c r="M58" i="43" s="1"/>
  <c r="M70" i="43" s="1"/>
  <c r="Q53" i="43"/>
  <c r="P48" i="43"/>
  <c r="N25" i="43"/>
  <c r="M35" i="43"/>
  <c r="M47" i="43" s="1"/>
  <c r="P73" i="43"/>
  <c r="R69" i="43"/>
  <c r="S59" i="43"/>
  <c r="D1" i="42"/>
  <c r="R53" i="43" l="1"/>
  <c r="O25" i="43"/>
  <c r="N35" i="43"/>
  <c r="N47" i="43" s="1"/>
  <c r="Q73" i="43"/>
  <c r="Q48" i="43"/>
  <c r="O54" i="43"/>
  <c r="N57" i="43"/>
  <c r="N58" i="43" s="1"/>
  <c r="N70" i="43" s="1"/>
  <c r="S69" i="43"/>
  <c r="T59" i="43"/>
  <c r="F32" i="42"/>
  <c r="G32" i="42" s="1"/>
  <c r="H32" i="42" s="1"/>
  <c r="P54" i="43" l="1"/>
  <c r="O57" i="43"/>
  <c r="O58" i="43" s="1"/>
  <c r="O70" i="43" s="1"/>
  <c r="O35" i="43"/>
  <c r="O47" i="43" s="1"/>
  <c r="P25" i="43"/>
  <c r="U59" i="43"/>
  <c r="U69" i="43" s="1"/>
  <c r="T69" i="43"/>
  <c r="S53" i="43"/>
  <c r="R73" i="43"/>
  <c r="R48" i="43"/>
  <c r="S73" i="43" l="1"/>
  <c r="S23" i="43"/>
  <c r="R23" i="43"/>
  <c r="S48" i="43"/>
  <c r="P35" i="43"/>
  <c r="P47" i="43" s="1"/>
  <c r="Q25" i="43"/>
  <c r="M23" i="43"/>
  <c r="T23" i="43"/>
  <c r="Q23" i="43"/>
  <c r="P23" i="43"/>
  <c r="T53" i="43"/>
  <c r="Q54" i="43"/>
  <c r="P57" i="43"/>
  <c r="P58" i="43" s="1"/>
  <c r="P70" i="43" s="1"/>
  <c r="N23" i="43"/>
  <c r="U23" i="43"/>
  <c r="I23" i="43"/>
  <c r="G25" i="42"/>
  <c r="H25" i="42" s="1"/>
  <c r="O23" i="43"/>
  <c r="O136" i="43" s="1"/>
  <c r="P139" i="43" l="1"/>
  <c r="R54" i="43"/>
  <c r="Q57" i="43"/>
  <c r="Q58" i="43" s="1"/>
  <c r="Q70" i="43" s="1"/>
  <c r="Q139" i="43" s="1"/>
  <c r="U53" i="43"/>
  <c r="O139" i="43"/>
  <c r="M136" i="43"/>
  <c r="M137" i="43"/>
  <c r="M135" i="43"/>
  <c r="M134" i="43"/>
  <c r="M139" i="43"/>
  <c r="M138" i="43"/>
  <c r="E77" i="42"/>
  <c r="O134" i="43"/>
  <c r="O137" i="43"/>
  <c r="Q35" i="43"/>
  <c r="Q47" i="43" s="1"/>
  <c r="R25" i="43"/>
  <c r="F36" i="42"/>
  <c r="E37" i="42"/>
  <c r="E49" i="42" s="1"/>
  <c r="E75" i="42" s="1"/>
  <c r="O135" i="43"/>
  <c r="P137" i="43"/>
  <c r="P134" i="43"/>
  <c r="P136" i="43"/>
  <c r="P138" i="43"/>
  <c r="P135" i="43"/>
  <c r="N137" i="43"/>
  <c r="N139" i="43"/>
  <c r="N135" i="43"/>
  <c r="N138" i="43"/>
  <c r="N134" i="43"/>
  <c r="N136" i="43"/>
  <c r="O138" i="43"/>
  <c r="T48" i="43"/>
  <c r="J23" i="43"/>
  <c r="I138" i="43"/>
  <c r="I136" i="43"/>
  <c r="I134" i="43"/>
  <c r="I139" i="43"/>
  <c r="I137" i="43"/>
  <c r="I135" i="43"/>
  <c r="T73" i="43"/>
  <c r="E76" i="42" l="1"/>
  <c r="G36" i="42"/>
  <c r="F37" i="42"/>
  <c r="F49" i="42" s="1"/>
  <c r="F75" i="42" s="1"/>
  <c r="F77" i="42"/>
  <c r="K23" i="43"/>
  <c r="J139" i="43"/>
  <c r="J137" i="43"/>
  <c r="J136" i="43"/>
  <c r="J134" i="43"/>
  <c r="J138" i="43"/>
  <c r="J135" i="43"/>
  <c r="Q134" i="43"/>
  <c r="Q135" i="43"/>
  <c r="Q136" i="43"/>
  <c r="Q137" i="43"/>
  <c r="Q138" i="43"/>
  <c r="R35" i="43"/>
  <c r="R47" i="43" s="1"/>
  <c r="S25" i="43"/>
  <c r="U73" i="43"/>
  <c r="U48" i="43"/>
  <c r="S54" i="43"/>
  <c r="R57" i="43"/>
  <c r="R58" i="43" s="1"/>
  <c r="R70" i="43" s="1"/>
  <c r="R139" i="43" s="1"/>
  <c r="F76" i="42" l="1"/>
  <c r="G77" i="42"/>
  <c r="S35" i="43"/>
  <c r="S47" i="43" s="1"/>
  <c r="T25" i="43"/>
  <c r="R137" i="43"/>
  <c r="R136" i="43"/>
  <c r="R135" i="43"/>
  <c r="R138" i="43"/>
  <c r="R134" i="43"/>
  <c r="T54" i="43"/>
  <c r="S57" i="43"/>
  <c r="S58" i="43" s="1"/>
  <c r="S70" i="43" s="1"/>
  <c r="S139" i="43" s="1"/>
  <c r="L23" i="43"/>
  <c r="K134" i="43"/>
  <c r="K138" i="43"/>
  <c r="K136" i="43"/>
  <c r="K135" i="43"/>
  <c r="K137" i="43"/>
  <c r="K139" i="43"/>
  <c r="H36" i="42"/>
  <c r="G37" i="42"/>
  <c r="G49" i="42" s="1"/>
  <c r="G75" i="42" s="1"/>
  <c r="L135" i="43" l="1"/>
  <c r="L134" i="43"/>
  <c r="L136" i="43"/>
  <c r="L137" i="43"/>
  <c r="L138" i="43"/>
  <c r="L139" i="43"/>
  <c r="G76" i="42"/>
  <c r="T35" i="43"/>
  <c r="T47" i="43" s="1"/>
  <c r="U25" i="43"/>
  <c r="U35" i="43" s="1"/>
  <c r="U47" i="43" s="1"/>
  <c r="H37" i="42"/>
  <c r="H49" i="42" s="1"/>
  <c r="H75" i="42" s="1"/>
  <c r="H77" i="42"/>
  <c r="S137" i="43"/>
  <c r="S136" i="43"/>
  <c r="S138" i="43"/>
  <c r="S134" i="43"/>
  <c r="S135" i="43"/>
  <c r="U54" i="43"/>
  <c r="U57" i="43" s="1"/>
  <c r="U58" i="43" s="1"/>
  <c r="U70" i="43" s="1"/>
  <c r="U139" i="43" s="1"/>
  <c r="T57" i="43"/>
  <c r="T58" i="43" s="1"/>
  <c r="T70" i="43" s="1"/>
  <c r="T139" i="43" s="1"/>
  <c r="H76" i="42" l="1"/>
  <c r="T137" i="43"/>
  <c r="T135" i="43"/>
  <c r="T134" i="43"/>
  <c r="T136" i="43"/>
  <c r="T138" i="43"/>
  <c r="U136" i="43"/>
  <c r="U134" i="43"/>
  <c r="U137" i="43"/>
  <c r="U138" i="43"/>
  <c r="U135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CEREZO CAPILLA, ALBERTO</author>
    <author>GARCÍA SALAMA, IGNACIO</author>
  </authors>
  <commentList>
    <comment ref="C27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salida de la red de transporte (salida nacional)</t>
        </r>
      </text>
    </comment>
    <comment ref="C28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variable de volumen del peaje de salida de la red de transporte</t>
        </r>
      </text>
    </comment>
    <comment ref="C29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otros costes de regasificación, aplicado al escalón de red local j</t>
        </r>
      </text>
    </comment>
    <comment ref="C30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red local aplicado al escalón j,</t>
        </r>
      </text>
    </comment>
    <comment ref="C31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variable del peaje de red local aplicado al escalón,</t>
        </r>
      </text>
    </comment>
    <comment ref="C32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número de días de existencias mínimas de seguridad que determine la normativa vigente</t>
        </r>
      </text>
    </comment>
    <comment ref="C33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del canon de almacenamiento subterráneo</t>
        </r>
      </text>
    </comment>
    <comment ref="E33" authorId="1" shapeId="0" xr:uid="{A3A27A87-8241-4133-AD20-262065795B4F}">
      <text>
        <r>
          <rPr>
            <b/>
            <sz val="9"/>
            <color indexed="81"/>
            <rFont val="Tahoma"/>
            <family val="2"/>
          </rPr>
          <t>Pdte almacenamiento subterráneo</t>
        </r>
      </text>
    </comment>
    <comment ref="C34" authorId="0" shapeId="0" xr:uid="{E2A8A055-F038-4F84-BDE2-30A71EBC8FFD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canon de inyección en los almacenamientos subterráneos</t>
        </r>
      </text>
    </comment>
    <comment ref="C35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canon de extracción en los almacenamientos subterráneos</t>
        </r>
      </text>
    </comment>
    <comment ref="C36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coste medio de almacenamiento subterráneo</t>
        </r>
      </text>
    </comment>
    <comment ref="C50" authorId="0" shapeId="0" xr:uid="{B4BAE2D7-4628-4558-ACC6-34D56A10C515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salida de la red de transporte (salida nacional)</t>
        </r>
      </text>
    </comment>
    <comment ref="C51" authorId="0" shapeId="0" xr:uid="{C75CCE0C-D2DB-42CC-887F-31D1914187CE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variable de volumen del peaje de salida de la red de transporte</t>
        </r>
      </text>
    </comment>
    <comment ref="C52" authorId="0" shapeId="0" xr:uid="{02C41BC5-C8C1-454D-82D9-EE5267DA0F32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otros costes de regasificación, aplicado al escalón de red local j</t>
        </r>
      </text>
    </comment>
    <comment ref="C53" authorId="0" shapeId="0" xr:uid="{FF688197-0F02-453E-8B1A-2E4212C58815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red local aplicado al escalón j,</t>
        </r>
      </text>
    </comment>
    <comment ref="C54" authorId="0" shapeId="0" xr:uid="{FC3144B0-0B04-448B-9759-CB969276F4B0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variable del peaje de red local aplicado al escalón,</t>
        </r>
      </text>
    </comment>
    <comment ref="C55" authorId="0" shapeId="0" xr:uid="{14ECBE10-7AA0-4662-A07D-D32C5967482B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número de días de existencias mínimas de seguridad que determine la normativa vigente</t>
        </r>
      </text>
    </comment>
    <comment ref="C56" authorId="0" shapeId="0" xr:uid="{0E557B80-6B51-43D9-8B5B-A9B889858664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del canon de almacenamiento subterráneo</t>
        </r>
      </text>
    </comment>
    <comment ref="C57" authorId="0" shapeId="0" xr:uid="{4FF8116D-7DCE-4E33-9945-CE4DEDF488B4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canon de inyección en los almacenamientos subterráneos</t>
        </r>
      </text>
    </comment>
    <comment ref="C58" authorId="0" shapeId="0" xr:uid="{D0CBC856-4C53-4E76-A122-8BEE0A5C51DD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canon de extracción en los almacenamientos subterráneos</t>
        </r>
      </text>
    </comment>
    <comment ref="C59" authorId="0" shapeId="0" xr:uid="{858C8B88-0446-45F9-9F6C-1A3FCD2E5932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coste medio de almacenamiento subterráneo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CEREZO CAPILLA, ALBERTO</author>
  </authors>
  <commentList>
    <comment ref="C25" authorId="0" shapeId="0" xr:uid="{40EB2E43-9EA3-4CF7-BB11-21E84C476385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salida de la red de transporte (salida nacional)</t>
        </r>
      </text>
    </comment>
    <comment ref="C26" authorId="0" shapeId="0" xr:uid="{A1C2F798-DEBF-4B8B-BCA7-8A1C19125E64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variable de volumen del peaje de salida de la red de transporte</t>
        </r>
      </text>
    </comment>
    <comment ref="C27" authorId="0" shapeId="0" xr:uid="{32283422-0E5B-4C68-8BD8-6CDFEF74624C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otros costes de regasificación, aplicado al escalón de red local j</t>
        </r>
      </text>
    </comment>
    <comment ref="C28" authorId="0" shapeId="0" xr:uid="{0DE66261-D5AD-4687-9F75-7B569E5EA43A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red local aplicado al escalón j,</t>
        </r>
      </text>
    </comment>
    <comment ref="C29" authorId="0" shapeId="0" xr:uid="{98A28307-765A-4FC0-B046-CC43E7AC1515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variable del peaje de red local aplicado al escalón,</t>
        </r>
      </text>
    </comment>
    <comment ref="C30" authorId="0" shapeId="0" xr:uid="{6610B506-FC84-452C-8D24-65687FEB937B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número de días de existencias mínimas de seguridad que determine la normativa vigente</t>
        </r>
      </text>
    </comment>
    <comment ref="C31" authorId="0" shapeId="0" xr:uid="{1E7BAB50-5ADD-4C9E-9CEB-54A6D2157141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del canon de almacenamiento subterráneo</t>
        </r>
      </text>
    </comment>
    <comment ref="C32" authorId="0" shapeId="0" xr:uid="{252B897E-2573-4A3F-8B7A-B117C845F7FE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canon de inyección en los almacenamientos subterráneos</t>
        </r>
      </text>
    </comment>
    <comment ref="C33" authorId="0" shapeId="0" xr:uid="{3D1B001F-6570-48F8-8288-34261B0F4B6E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canon de extracción en los almacenamientos subterráneos</t>
        </r>
      </text>
    </comment>
    <comment ref="C34" authorId="0" shapeId="0" xr:uid="{48D594CE-11E8-4EE1-99EF-77A6470FC093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coste medio de almacenamiento subterráneo</t>
        </r>
      </text>
    </comment>
    <comment ref="C48" authorId="0" shapeId="0" xr:uid="{3B809908-F768-4C96-A65D-BD7283B23222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salida de la red de transporte (salida nacional)</t>
        </r>
      </text>
    </comment>
    <comment ref="C49" authorId="0" shapeId="0" xr:uid="{33F17CDC-C3B9-4F96-8BD0-134331DEA856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variable de volumen del peaje de salida de la red de transporte</t>
        </r>
      </text>
    </comment>
    <comment ref="C50" authorId="0" shapeId="0" xr:uid="{7922B4D3-8109-4E6F-8695-96480834596F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otros costes de regasificación, aplicado al escalón de red local j</t>
        </r>
      </text>
    </comment>
    <comment ref="C51" authorId="0" shapeId="0" xr:uid="{945C700D-C3E6-4C73-971E-635B3BC94822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 capacidad del peaje de red local aplicado al escalón j,</t>
        </r>
      </text>
    </comment>
    <comment ref="C52" authorId="0" shapeId="0" xr:uid="{859CB11D-4612-423D-8A2D-4A0086F108DC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variable del peaje de red local aplicado al escalón,</t>
        </r>
      </text>
    </comment>
    <comment ref="C53" authorId="0" shapeId="0" xr:uid="{3DAD9294-AEF5-4FE0-AB83-C6040193656D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número de días de existencias mínimas de seguridad que determine la normativa vigente</t>
        </r>
      </text>
    </comment>
    <comment ref="C54" authorId="0" shapeId="0" xr:uid="{C7F269B8-2254-40CF-B639-03FA28316AF8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término fijo del canon de almacenamiento subterráneo</t>
        </r>
      </text>
    </comment>
    <comment ref="C55" authorId="0" shapeId="0" xr:uid="{84957C15-87BC-409E-B051-B49FFCB5A729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canon de inyección en los almacenamientos subterráneos</t>
        </r>
      </text>
    </comment>
    <comment ref="C56" authorId="0" shapeId="0" xr:uid="{66DE0F4C-0E37-4126-A4E9-07A4E46A10C2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canon de extracción en los almacenamientos subterráneos</t>
        </r>
      </text>
    </comment>
    <comment ref="C57" authorId="0" shapeId="0" xr:uid="{B9D57C34-B28D-46CE-8D8B-0E63BDF8AB4B}">
      <text>
        <r>
          <rPr>
            <b/>
            <sz val="9"/>
            <color indexed="81"/>
            <rFont val="Tahoma"/>
            <family val="2"/>
          </rPr>
          <t>CEREZO CAPILLA, ALBERTO:</t>
        </r>
        <r>
          <rPr>
            <sz val="9"/>
            <color indexed="81"/>
            <rFont val="Tahoma"/>
            <family val="2"/>
          </rPr>
          <t xml:space="preserve">
coste medio de almacenamiento subterráneo</t>
        </r>
      </text>
    </comment>
  </commentList>
</comments>
</file>

<file path=xl/sharedStrings.xml><?xml version="1.0" encoding="utf-8"?>
<sst xmlns="http://schemas.openxmlformats.org/spreadsheetml/2006/main" count="428" uniqueCount="113">
  <si>
    <t>€/MWh</t>
  </si>
  <si>
    <t>-</t>
  </si>
  <si>
    <t>dias</t>
  </si>
  <si>
    <t>€/kWh</t>
  </si>
  <si>
    <t>€/(kWh/dia)/año</t>
  </si>
  <si>
    <t>€/(kWh/día)/año</t>
  </si>
  <si>
    <t>%</t>
  </si>
  <si>
    <t>almacenamiento subterráneo</t>
  </si>
  <si>
    <t>Regasificacion</t>
  </si>
  <si>
    <r>
      <t>TC</t>
    </r>
    <r>
      <rPr>
        <vertAlign val="subscript"/>
        <sz val="11"/>
        <rFont val="Calibri"/>
        <family val="2"/>
        <scheme val="minor"/>
      </rPr>
      <t>SA</t>
    </r>
  </si>
  <si>
    <t>Transporte</t>
  </si>
  <si>
    <r>
      <t>TV</t>
    </r>
    <r>
      <rPr>
        <vertAlign val="subscript"/>
        <sz val="11"/>
        <rFont val="Calibri"/>
        <family val="2"/>
        <scheme val="minor"/>
      </rPr>
      <t>SA</t>
    </r>
  </si>
  <si>
    <r>
      <t>Pfanual</t>
    </r>
    <r>
      <rPr>
        <b/>
        <vertAlign val="subscript"/>
        <sz val="14"/>
        <color theme="1"/>
        <rFont val="Calibri"/>
        <family val="2"/>
        <scheme val="minor"/>
      </rPr>
      <t>n</t>
    </r>
  </si>
  <si>
    <r>
      <t>PM</t>
    </r>
    <r>
      <rPr>
        <b/>
        <vertAlign val="subscript"/>
        <sz val="14"/>
        <color theme="1"/>
        <rFont val="Calibri"/>
        <family val="2"/>
        <scheme val="minor"/>
      </rPr>
      <t>n</t>
    </r>
  </si>
  <si>
    <t xml:space="preserve"> €/(kWh/dia)/año</t>
  </si>
  <si>
    <r>
      <t>TC</t>
    </r>
    <r>
      <rPr>
        <vertAlign val="subscript"/>
        <sz val="11"/>
        <rFont val="Calibri"/>
        <family val="2"/>
        <scheme val="minor"/>
      </rPr>
      <t>OCR,j</t>
    </r>
  </si>
  <si>
    <r>
      <t>TC</t>
    </r>
    <r>
      <rPr>
        <vertAlign val="subscript"/>
        <sz val="11"/>
        <rFont val="Calibri"/>
        <family val="2"/>
        <scheme val="minor"/>
      </rPr>
      <t>RL,j</t>
    </r>
  </si>
  <si>
    <r>
      <t>TV</t>
    </r>
    <r>
      <rPr>
        <vertAlign val="subscript"/>
        <sz val="11"/>
        <rFont val="Calibri"/>
        <family val="2"/>
        <scheme val="minor"/>
      </rPr>
      <t>RL,j</t>
    </r>
  </si>
  <si>
    <r>
      <t>P</t>
    </r>
    <r>
      <rPr>
        <b/>
        <vertAlign val="subscript"/>
        <sz val="14"/>
        <color theme="1"/>
        <rFont val="Calibri"/>
        <family val="2"/>
        <scheme val="minor"/>
      </rPr>
      <t>GNest,n</t>
    </r>
  </si>
  <si>
    <r>
      <t>€/MWh</t>
    </r>
    <r>
      <rPr>
        <i/>
        <vertAlign val="subscript"/>
        <sz val="14"/>
        <color theme="1"/>
        <rFont val="Calibri"/>
        <family val="2"/>
        <scheme val="minor"/>
      </rPr>
      <t>PCS</t>
    </r>
  </si>
  <si>
    <t>€/MWhPCS</t>
  </si>
  <si>
    <r>
      <t>CF</t>
    </r>
    <r>
      <rPr>
        <b/>
        <vertAlign val="subscript"/>
        <sz val="14"/>
        <color theme="1"/>
        <rFont val="Calibri"/>
        <family val="2"/>
        <scheme val="minor"/>
      </rPr>
      <t>n</t>
    </r>
  </si>
  <si>
    <t>Pool</t>
  </si>
  <si>
    <r>
      <t xml:space="preserve"> CO</t>
    </r>
    <r>
      <rPr>
        <vertAlign val="subscript"/>
        <sz val="16"/>
        <color theme="1"/>
        <rFont val="Calibri"/>
        <family val="2"/>
        <scheme val="minor"/>
      </rPr>
      <t>2</t>
    </r>
  </si>
  <si>
    <t>Gas Natural</t>
  </si>
  <si>
    <r>
      <t>PA</t>
    </r>
    <r>
      <rPr>
        <b/>
        <vertAlign val="subscript"/>
        <sz val="14"/>
        <color theme="1"/>
        <rFont val="Calibri"/>
        <family val="2"/>
        <scheme val="minor"/>
      </rPr>
      <t>n,11</t>
    </r>
  </si>
  <si>
    <t>RO</t>
  </si>
  <si>
    <t>IVPEE</t>
  </si>
  <si>
    <r>
      <t>C</t>
    </r>
    <r>
      <rPr>
        <b/>
        <vertAlign val="subscript"/>
        <sz val="14"/>
        <color theme="1"/>
        <rFont val="Calibri"/>
        <family val="2"/>
        <scheme val="minor"/>
      </rPr>
      <t>CO2</t>
    </r>
  </si>
  <si>
    <r>
      <t>C</t>
    </r>
    <r>
      <rPr>
        <b/>
        <vertAlign val="subscript"/>
        <sz val="24"/>
        <rFont val="Calibri"/>
        <family val="2"/>
        <scheme val="minor"/>
      </rPr>
      <t>O&amp;MyOtros</t>
    </r>
  </si>
  <si>
    <r>
      <t>V</t>
    </r>
    <r>
      <rPr>
        <b/>
        <vertAlign val="subscript"/>
        <sz val="24"/>
        <rFont val="Calibri"/>
        <family val="2"/>
        <scheme val="minor"/>
      </rPr>
      <t>CO2</t>
    </r>
  </si>
  <si>
    <r>
      <t>V</t>
    </r>
    <r>
      <rPr>
        <b/>
        <vertAlign val="subscript"/>
        <sz val="24"/>
        <rFont val="Calibri"/>
        <family val="2"/>
        <scheme val="minor"/>
      </rPr>
      <t>IVPEE-RI</t>
    </r>
  </si>
  <si>
    <r>
      <t>R</t>
    </r>
    <r>
      <rPr>
        <b/>
        <vertAlign val="subscript"/>
        <sz val="24"/>
        <rFont val="Calibri"/>
        <family val="2"/>
        <scheme val="minor"/>
      </rPr>
      <t>I</t>
    </r>
  </si>
  <si>
    <r>
      <t>V</t>
    </r>
    <r>
      <rPr>
        <b/>
        <vertAlign val="subscript"/>
        <sz val="24"/>
        <rFont val="Calibri"/>
        <family val="2"/>
        <scheme val="minor"/>
      </rPr>
      <t>AC</t>
    </r>
  </si>
  <si>
    <r>
      <t>P</t>
    </r>
    <r>
      <rPr>
        <b/>
        <vertAlign val="subscript"/>
        <sz val="24"/>
        <rFont val="Calibri"/>
        <family val="2"/>
        <scheme val="minor"/>
      </rPr>
      <t>Otros</t>
    </r>
  </si>
  <si>
    <r>
      <t>V</t>
    </r>
    <r>
      <rPr>
        <b/>
        <vertAlign val="subscript"/>
        <sz val="24"/>
        <rFont val="Calibri"/>
        <family val="2"/>
        <scheme val="minor"/>
      </rPr>
      <t>HV</t>
    </r>
  </si>
  <si>
    <r>
      <t>V</t>
    </r>
    <r>
      <rPr>
        <b/>
        <vertAlign val="subscript"/>
        <sz val="24"/>
        <rFont val="Calibri"/>
        <family val="2"/>
        <scheme val="minor"/>
      </rPr>
      <t>HF</t>
    </r>
  </si>
  <si>
    <t>INE</t>
  </si>
  <si>
    <r>
      <t>MWh</t>
    </r>
    <r>
      <rPr>
        <i/>
        <vertAlign val="subscript"/>
        <sz val="14"/>
        <color theme="1"/>
        <rFont val="Calibri"/>
        <family val="2"/>
        <scheme val="minor"/>
      </rPr>
      <t>PCI</t>
    </r>
    <r>
      <rPr>
        <i/>
        <sz val="14"/>
        <color theme="1"/>
        <rFont val="Calibri"/>
        <family val="2"/>
        <scheme val="minor"/>
      </rPr>
      <t>/MWh</t>
    </r>
    <r>
      <rPr>
        <i/>
        <vertAlign val="subscript"/>
        <sz val="14"/>
        <color theme="1"/>
        <rFont val="Calibri"/>
        <family val="2"/>
        <scheme val="minor"/>
      </rPr>
      <t>E</t>
    </r>
  </si>
  <si>
    <r>
      <t>1/h</t>
    </r>
    <r>
      <rPr>
        <i/>
        <vertAlign val="subscript"/>
        <sz val="14"/>
        <color theme="1"/>
        <rFont val="Calibri"/>
        <family val="2"/>
        <scheme val="minor"/>
      </rPr>
      <t>E</t>
    </r>
  </si>
  <si>
    <r>
      <t>t</t>
    </r>
    <r>
      <rPr>
        <i/>
        <vertAlign val="subscript"/>
        <sz val="14"/>
        <color theme="1"/>
        <rFont val="Calibri"/>
        <family val="2"/>
        <scheme val="minor"/>
      </rPr>
      <t>CO2</t>
    </r>
    <r>
      <rPr>
        <i/>
        <sz val="14"/>
        <color theme="1"/>
        <rFont val="Calibri"/>
        <family val="2"/>
        <scheme val="minor"/>
      </rPr>
      <t>/MWh</t>
    </r>
    <r>
      <rPr>
        <i/>
        <vertAlign val="subscript"/>
        <sz val="14"/>
        <color theme="1"/>
        <rFont val="Calibri"/>
        <family val="2"/>
        <scheme val="minor"/>
      </rPr>
      <t>E</t>
    </r>
  </si>
  <si>
    <t>€/tCO2</t>
  </si>
  <si>
    <t>1 Mmbtu/MWh</t>
  </si>
  <si>
    <t>IT-01453</t>
  </si>
  <si>
    <t>IT-01452</t>
  </si>
  <si>
    <t>IT-01143</t>
  </si>
  <si>
    <t>IT-01134</t>
  </si>
  <si>
    <t>IT-01144</t>
  </si>
  <si>
    <t>IT-01122</t>
  </si>
  <si>
    <r>
      <t>MWh</t>
    </r>
    <r>
      <rPr>
        <i/>
        <vertAlign val="subscript"/>
        <sz val="14"/>
        <color theme="1"/>
        <rFont val="Calibri"/>
        <family val="2"/>
        <scheme val="minor"/>
      </rPr>
      <t>PCI</t>
    </r>
    <r>
      <rPr>
        <i/>
        <sz val="14"/>
        <color theme="1"/>
        <rFont val="Calibri"/>
        <family val="2"/>
        <scheme val="minor"/>
      </rPr>
      <t>/MWhE</t>
    </r>
  </si>
  <si>
    <r>
      <t>€/MWh</t>
    </r>
    <r>
      <rPr>
        <i/>
        <vertAlign val="subscript"/>
        <sz val="14"/>
        <color theme="1"/>
        <rFont val="Calibri"/>
        <family val="2"/>
        <scheme val="minor"/>
      </rPr>
      <t>E</t>
    </r>
  </si>
  <si>
    <t>Actualizado 08/05/2023</t>
  </si>
  <si>
    <t>OMIP</t>
  </si>
  <si>
    <t>CA2</t>
  </si>
  <si>
    <t>BI2</t>
  </si>
  <si>
    <t>TA</t>
  </si>
  <si>
    <t>EMORELL</t>
  </si>
  <si>
    <t>CO, EMORPER, GAJANO</t>
  </si>
  <si>
    <r>
      <t>Pftrim</t>
    </r>
    <r>
      <rPr>
        <b/>
        <vertAlign val="subscript"/>
        <sz val="14"/>
        <color theme="1"/>
        <rFont val="Calibri"/>
        <family val="2"/>
        <scheme val="minor"/>
      </rPr>
      <t>n,k</t>
    </r>
  </si>
  <si>
    <t>b</t>
  </si>
  <si>
    <r>
      <t>c</t>
    </r>
    <r>
      <rPr>
        <b/>
        <vertAlign val="subscript"/>
        <sz val="14"/>
        <color theme="1"/>
        <rFont val="Calibri"/>
        <family val="2"/>
        <scheme val="minor"/>
      </rPr>
      <t xml:space="preserve">l,1 </t>
    </r>
  </si>
  <si>
    <r>
      <t>c</t>
    </r>
    <r>
      <rPr>
        <b/>
        <vertAlign val="subscript"/>
        <sz val="14"/>
        <color theme="1"/>
        <rFont val="Calibri"/>
        <family val="2"/>
        <scheme val="minor"/>
      </rPr>
      <t>l,2</t>
    </r>
    <r>
      <rPr>
        <sz val="11"/>
        <color theme="1"/>
        <rFont val="Calibri"/>
        <family val="2"/>
        <scheme val="minor"/>
      </rPr>
      <t/>
    </r>
  </si>
  <si>
    <r>
      <t>c</t>
    </r>
    <r>
      <rPr>
        <b/>
        <vertAlign val="subscript"/>
        <sz val="14"/>
        <color theme="1"/>
        <rFont val="Calibri"/>
        <family val="2"/>
        <scheme val="minor"/>
      </rPr>
      <t>l,3</t>
    </r>
    <r>
      <rPr>
        <sz val="11"/>
        <color theme="1"/>
        <rFont val="Calibri"/>
        <family val="2"/>
        <scheme val="minor"/>
      </rPr>
      <t/>
    </r>
  </si>
  <si>
    <r>
      <t xml:space="preserve">2024 </t>
    </r>
    <r>
      <rPr>
        <b/>
        <vertAlign val="subscript"/>
        <sz val="16"/>
        <color theme="1"/>
        <rFont val="Calibri"/>
        <family val="2"/>
        <scheme val="minor"/>
      </rPr>
      <t>Q1</t>
    </r>
  </si>
  <si>
    <r>
      <t xml:space="preserve">2024 </t>
    </r>
    <r>
      <rPr>
        <b/>
        <vertAlign val="subscript"/>
        <sz val="16"/>
        <color theme="1"/>
        <rFont val="Calibri"/>
        <family val="2"/>
        <scheme val="minor"/>
      </rPr>
      <t>Q2</t>
    </r>
  </si>
  <si>
    <r>
      <t xml:space="preserve">2024 </t>
    </r>
    <r>
      <rPr>
        <b/>
        <vertAlign val="subscript"/>
        <sz val="16"/>
        <color theme="1"/>
        <rFont val="Calibri"/>
        <family val="2"/>
        <scheme val="minor"/>
      </rPr>
      <t>Q3</t>
    </r>
  </si>
  <si>
    <r>
      <t xml:space="preserve">2024 </t>
    </r>
    <r>
      <rPr>
        <b/>
        <vertAlign val="subscript"/>
        <sz val="16"/>
        <color theme="1"/>
        <rFont val="Calibri"/>
        <family val="2"/>
        <scheme val="minor"/>
      </rPr>
      <t>Q4</t>
    </r>
  </si>
  <si>
    <t>a</t>
  </si>
  <si>
    <r>
      <t xml:space="preserve">Pfmen </t>
    </r>
    <r>
      <rPr>
        <b/>
        <vertAlign val="subscript"/>
        <sz val="14"/>
        <color theme="1"/>
        <rFont val="Calibri"/>
        <family val="2"/>
        <scheme val="minor"/>
      </rPr>
      <t>n,k,1</t>
    </r>
  </si>
  <si>
    <r>
      <t xml:space="preserve">Pfmen </t>
    </r>
    <r>
      <rPr>
        <b/>
        <vertAlign val="subscript"/>
        <sz val="14"/>
        <color theme="1"/>
        <rFont val="Calibri"/>
        <family val="2"/>
        <scheme val="minor"/>
      </rPr>
      <t>n,k,2</t>
    </r>
    <r>
      <rPr>
        <sz val="11"/>
        <color theme="1"/>
        <rFont val="Calibri"/>
        <family val="2"/>
        <scheme val="minor"/>
      </rPr>
      <t/>
    </r>
  </si>
  <si>
    <r>
      <t xml:space="preserve">Pfmen </t>
    </r>
    <r>
      <rPr>
        <b/>
        <vertAlign val="subscript"/>
        <sz val="14"/>
        <color theme="1"/>
        <rFont val="Calibri"/>
        <family val="2"/>
        <scheme val="minor"/>
      </rPr>
      <t>n,k,3</t>
    </r>
    <r>
      <rPr>
        <sz val="11"/>
        <color theme="1"/>
        <rFont val="Calibri"/>
        <family val="2"/>
        <scheme val="minor"/>
      </rPr>
      <t/>
    </r>
  </si>
  <si>
    <r>
      <t>Panual</t>
    </r>
    <r>
      <rPr>
        <b/>
        <vertAlign val="subscript"/>
        <sz val="14"/>
        <color theme="1"/>
        <rFont val="Calibri"/>
        <family val="2"/>
        <scheme val="minor"/>
      </rPr>
      <t>PVB,n</t>
    </r>
  </si>
  <si>
    <t>a´</t>
  </si>
  <si>
    <t>b´</t>
  </si>
  <si>
    <r>
      <t>Ptrim</t>
    </r>
    <r>
      <rPr>
        <b/>
        <vertAlign val="subscript"/>
        <sz val="14"/>
        <color theme="1"/>
        <rFont val="Calibri"/>
        <family val="2"/>
        <scheme val="minor"/>
      </rPr>
      <t>PVB,n,k</t>
    </r>
  </si>
  <si>
    <r>
      <t>c</t>
    </r>
    <r>
      <rPr>
        <b/>
        <vertAlign val="subscript"/>
        <sz val="14"/>
        <color theme="1"/>
        <rFont val="Calibri"/>
        <family val="2"/>
        <scheme val="minor"/>
      </rPr>
      <t xml:space="preserve">l´,1 </t>
    </r>
  </si>
  <si>
    <r>
      <t>c</t>
    </r>
    <r>
      <rPr>
        <b/>
        <vertAlign val="subscript"/>
        <sz val="14"/>
        <color theme="1"/>
        <rFont val="Calibri"/>
        <family val="2"/>
        <scheme val="minor"/>
      </rPr>
      <t>l´,2</t>
    </r>
    <r>
      <rPr>
        <sz val="11"/>
        <color theme="1"/>
        <rFont val="Calibri"/>
        <family val="2"/>
        <scheme val="minor"/>
      </rPr>
      <t/>
    </r>
  </si>
  <si>
    <r>
      <t>c</t>
    </r>
    <r>
      <rPr>
        <b/>
        <vertAlign val="subscript"/>
        <sz val="14"/>
        <color theme="1"/>
        <rFont val="Calibri"/>
        <family val="2"/>
        <scheme val="minor"/>
      </rPr>
      <t>l´,3</t>
    </r>
    <r>
      <rPr>
        <sz val="11"/>
        <color theme="1"/>
        <rFont val="Calibri"/>
        <family val="2"/>
        <scheme val="minor"/>
      </rPr>
      <t/>
    </r>
  </si>
  <si>
    <r>
      <t>Pmen</t>
    </r>
    <r>
      <rPr>
        <b/>
        <vertAlign val="subscript"/>
        <sz val="14"/>
        <color theme="1"/>
        <rFont val="Calibri"/>
        <family val="2"/>
        <scheme val="minor"/>
      </rPr>
      <t>PVB,n,k,1</t>
    </r>
  </si>
  <si>
    <r>
      <t>Pmen</t>
    </r>
    <r>
      <rPr>
        <b/>
        <vertAlign val="subscript"/>
        <sz val="14"/>
        <color theme="1"/>
        <rFont val="Calibri"/>
        <family val="2"/>
        <scheme val="minor"/>
      </rPr>
      <t>PVB,n,k,2</t>
    </r>
    <r>
      <rPr>
        <sz val="11"/>
        <color theme="1"/>
        <rFont val="Calibri"/>
        <family val="2"/>
        <scheme val="minor"/>
      </rPr>
      <t/>
    </r>
  </si>
  <si>
    <r>
      <t>Pmen</t>
    </r>
    <r>
      <rPr>
        <b/>
        <vertAlign val="subscript"/>
        <sz val="14"/>
        <color theme="1"/>
        <rFont val="Calibri"/>
        <family val="2"/>
        <scheme val="minor"/>
      </rPr>
      <t>PVB,n,k,3</t>
    </r>
    <r>
      <rPr>
        <sz val="11"/>
        <color theme="1"/>
        <rFont val="Calibri"/>
        <family val="2"/>
        <scheme val="minor"/>
      </rPr>
      <t/>
    </r>
  </si>
  <si>
    <r>
      <t>precio estimado del gas natural en el punto virtual de balance P</t>
    </r>
    <r>
      <rPr>
        <b/>
        <vertAlign val="subscript"/>
        <sz val="14"/>
        <rFont val="Calibri"/>
        <family val="2"/>
        <scheme val="minor"/>
      </rPr>
      <t>PVB,n,k</t>
    </r>
  </si>
  <si>
    <r>
      <t>D</t>
    </r>
    <r>
      <rPr>
        <vertAlign val="subscript"/>
        <sz val="11"/>
        <rFont val="Calibri"/>
        <family val="2"/>
        <scheme val="minor"/>
      </rPr>
      <t>RS</t>
    </r>
  </si>
  <si>
    <t>Peajes</t>
  </si>
  <si>
    <r>
      <t>V</t>
    </r>
    <r>
      <rPr>
        <b/>
        <vertAlign val="subscript"/>
        <sz val="24"/>
        <rFont val="Calibri"/>
        <family val="2"/>
        <scheme val="minor"/>
      </rPr>
      <t xml:space="preserve">c </t>
    </r>
  </si>
  <si>
    <r>
      <t>C</t>
    </r>
    <r>
      <rPr>
        <vertAlign val="subscript"/>
        <sz val="11"/>
        <rFont val="Calibri"/>
        <family val="2"/>
        <scheme val="minor"/>
      </rPr>
      <t>AS</t>
    </r>
  </si>
  <si>
    <r>
      <t>C</t>
    </r>
    <r>
      <rPr>
        <vertAlign val="subscript"/>
        <sz val="11"/>
        <rFont val="Calibri"/>
        <family val="2"/>
        <scheme val="minor"/>
      </rPr>
      <t>I</t>
    </r>
  </si>
  <si>
    <r>
      <t>C</t>
    </r>
    <r>
      <rPr>
        <vertAlign val="subscript"/>
        <sz val="11"/>
        <rFont val="Calibri"/>
        <family val="2"/>
        <scheme val="minor"/>
      </rPr>
      <t>E</t>
    </r>
  </si>
  <si>
    <r>
      <t>CM</t>
    </r>
    <r>
      <rPr>
        <vertAlign val="subscript"/>
        <sz val="11"/>
        <rFont val="Calibri"/>
        <family val="2"/>
        <scheme val="minor"/>
      </rPr>
      <t>AS</t>
    </r>
  </si>
  <si>
    <t>2025 Q1</t>
  </si>
  <si>
    <t>2025 Q2</t>
  </si>
  <si>
    <t>2025 Q3</t>
  </si>
  <si>
    <t>2025 Q4</t>
  </si>
  <si>
    <t>ASESA</t>
  </si>
  <si>
    <t>RL11</t>
  </si>
  <si>
    <t>RL10 ASESA</t>
  </si>
  <si>
    <t>Cerrado</t>
  </si>
  <si>
    <t>En curso</t>
  </si>
  <si>
    <t>Estimado</t>
  </si>
  <si>
    <t>Salida red tte</t>
  </si>
  <si>
    <t>Salida red local y otros costes regas</t>
  </si>
  <si>
    <t>Actualizado 31/03/2025</t>
  </si>
  <si>
    <t>2026 Q4</t>
  </si>
  <si>
    <t>Rinv</t>
  </si>
  <si>
    <t>Calculation done for IT-01144 Q1 2026</t>
  </si>
  <si>
    <t>https://www.boe.es/boe/dias/2026/02/19/pdfs/BOE-A-2026-3878.pdf</t>
  </si>
  <si>
    <t>Resolución de 5 de febrero de 2026</t>
  </si>
  <si>
    <t>BOE</t>
  </si>
  <si>
    <t>tasa gts</t>
  </si>
  <si>
    <t>tasa CNMC</t>
  </si>
  <si>
    <t>T_OCR</t>
  </si>
  <si>
    <t>TC_RL</t>
  </si>
  <si>
    <t>p_comb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</si>
</sst>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0.0000"/>
    <numFmt numFmtId="167" formatCode="0.0"/>
    <numFmt numFmtId="168" formatCode="0.000"/>
    <numFmt numFmtId="169" formatCode="0.000000"/>
    <numFmt numFmtId="170" formatCode="##\ ##"/>
    <numFmt numFmtId="171" formatCode="##\ ##\ #"/>
    <numFmt numFmtId="172" formatCode="##\ ##\ ##"/>
    <numFmt numFmtId="173" formatCode="##\ ##\ ##\ ###"/>
    <numFmt numFmtId="174" formatCode="_(* #,##0.0_);_(* \(#,##0.0\);_(* &quot;-&quot;?_);@_)"/>
    <numFmt numFmtId="175" formatCode="0.0%"/>
    <numFmt numFmtId="176" formatCode="#,##0.0"/>
    <numFmt numFmtId="179" formatCode="_-* #,##0.00\ [$€-1]_-;\-* #,##0.00\ [$€-1]_-;_-* &quot;-&quot;??\ [$€-1]_-"/>
    <numFmt numFmtId="180" formatCode="_-* #,##0.00\ [$€]_-;\-* #,##0.00\ [$€]_-;_-* &quot;-&quot;??\ [$€]_-;_-@_-"/>
    <numFmt numFmtId="181" formatCode="#,##0.000_);[Red]\(#,##0.000\)"/>
    <numFmt numFmtId="182" formatCode="_-* #,##0\ _p_t_a_-;\-* #,##0\ _p_t_a_-;_-* &quot;-&quot;\ _p_t_a_-;_-@_-"/>
    <numFmt numFmtId="183" formatCode="_-* #,##0.00\ _p_t_a_-;\-* #,##0.00\ _p_t_a_-;_-* &quot;-&quot;??\ _p_t_a_-;_-@_-"/>
    <numFmt numFmtId="184" formatCode="_-* #,##0.00\ _P_t_s_-;\-* #,##0.00\ _P_t_s_-;_-* &quot;-&quot;??\ _P_t_s_-;_-@_-"/>
    <numFmt numFmtId="185" formatCode="_(&quot;$&quot;* #,##0_);_(&quot;$&quot;* \(#,##0\);_(&quot;$&quot;* &quot;-&quot;_);_(@_)"/>
    <numFmt numFmtId="186" formatCode="_(&quot;$&quot;* #,##0.00_);_(&quot;$&quot;* \(#,##0.00\);_(&quot;$&quot;* &quot;-&quot;??_);_(@_)"/>
    <numFmt numFmtId="187" formatCode="\$#,##0\ ;\(\$#,##0\)"/>
    <numFmt numFmtId="188" formatCode="#,##0_);\-#,##0_);\-_)"/>
    <numFmt numFmtId="189" formatCode="#,##0.00_);\-#,##0.00_);\-_)"/>
    <numFmt numFmtId="190" formatCode="#,##0.0_);\-#,##0.0_);\-_)"/>
    <numFmt numFmtId="191" formatCode="0.00000"/>
  </numFmts>
  <fonts count="10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2"/>
      <name val="Polo"/>
    </font>
    <font>
      <sz val="10"/>
      <name val="MS Sans Serif"/>
      <family val="2"/>
    </font>
    <font>
      <sz val="14"/>
      <color indexed="24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name val="Times New Roman"/>
      <family val="1"/>
    </font>
    <font>
      <sz val="11"/>
      <color indexed="9"/>
      <name val="Calibri"/>
      <family val="2"/>
    </font>
    <font>
      <sz val="10"/>
      <color theme="0"/>
      <name val="Calibri"/>
      <family val="2"/>
      <scheme val="minor"/>
    </font>
    <font>
      <sz val="11"/>
      <color indexed="20"/>
      <name val="Calibri"/>
      <family val="2"/>
    </font>
    <font>
      <sz val="10"/>
      <color rgb="FF9C0006"/>
      <name val="Calibri"/>
      <family val="2"/>
      <scheme val="minor"/>
    </font>
    <font>
      <b/>
      <sz val="8"/>
      <color indexed="24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1"/>
      <color indexed="17"/>
      <name val="Calibri"/>
      <family val="2"/>
    </font>
    <font>
      <sz val="18"/>
      <color indexed="24"/>
      <name val="Arial"/>
      <family val="2"/>
    </font>
    <font>
      <b/>
      <i/>
      <sz val="16"/>
      <color indexed="24"/>
      <name val="Times New Roman"/>
      <family val="1"/>
    </font>
    <font>
      <b/>
      <sz val="11"/>
      <color indexed="52"/>
      <name val="Calibri"/>
      <family val="2"/>
    </font>
    <font>
      <b/>
      <sz val="10"/>
      <color rgb="FFFA7D00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theme="0"/>
      <name val="Calibri"/>
      <family val="2"/>
      <scheme val="minor"/>
    </font>
    <font>
      <b/>
      <sz val="9"/>
      <color indexed="18"/>
      <name val="Arial"/>
      <family val="2"/>
    </font>
    <font>
      <b/>
      <sz val="14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Calibri"/>
      <family val="2"/>
      <scheme val="minor"/>
    </font>
    <font>
      <u/>
      <sz val="5.25"/>
      <color indexed="36"/>
      <name val="Helv"/>
    </font>
    <font>
      <sz val="10"/>
      <color rgb="FF006100"/>
      <name val="Calibri"/>
      <family val="2"/>
      <scheme val="minor"/>
    </font>
    <font>
      <b/>
      <sz val="12"/>
      <name val="Arial"/>
      <family val="2"/>
    </font>
    <font>
      <sz val="8"/>
      <color indexed="13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8.5"/>
      <color indexed="12"/>
      <name val="Arial"/>
      <family val="2"/>
    </font>
    <font>
      <u/>
      <sz val="5.25"/>
      <color indexed="12"/>
      <name val="Helv"/>
    </font>
    <font>
      <sz val="10"/>
      <color rgb="FF3F3F76"/>
      <name val="Calibri"/>
      <family val="2"/>
      <scheme val="minor"/>
    </font>
    <font>
      <sz val="10"/>
      <name val="Courier"/>
      <family val="3"/>
    </font>
    <font>
      <sz val="10"/>
      <color rgb="FFFA7D00"/>
      <name val="Calibri"/>
      <family val="2"/>
      <scheme val="minor"/>
    </font>
    <font>
      <b/>
      <sz val="8"/>
      <name val="Times New Roman"/>
      <family val="1"/>
    </font>
    <font>
      <sz val="11"/>
      <color indexed="60"/>
      <name val="Calibri"/>
      <family val="2"/>
    </font>
    <font>
      <sz val="10"/>
      <color rgb="FF9C6500"/>
      <name val="Calibri"/>
      <family val="2"/>
      <scheme val="minor"/>
    </font>
    <font>
      <sz val="11"/>
      <color theme="1"/>
      <name val="Times New Roman"/>
      <family val="2"/>
    </font>
    <font>
      <sz val="11"/>
      <color theme="1"/>
      <name val="Arial"/>
      <family val="2"/>
    </font>
    <font>
      <sz val="10"/>
      <name val="Calibri"/>
      <family val="2"/>
    </font>
    <font>
      <b/>
      <sz val="11"/>
      <color indexed="63"/>
      <name val="Calibri"/>
      <family val="2"/>
    </font>
    <font>
      <b/>
      <sz val="10"/>
      <color rgb="FF3F3F3F"/>
      <name val="Calibri"/>
      <family val="2"/>
      <scheme val="minor"/>
    </font>
    <font>
      <b/>
      <sz val="8"/>
      <color indexed="18"/>
      <name val="Arial"/>
      <family val="2"/>
    </font>
    <font>
      <sz val="8"/>
      <name val="Arial MT"/>
      <family val="2"/>
    </font>
    <font>
      <sz val="10"/>
      <color indexed="8"/>
      <name val="Verdana"/>
      <family val="2"/>
    </font>
    <font>
      <b/>
      <sz val="12"/>
      <color indexed="18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6"/>
      <name val="Arial"/>
      <family val="2"/>
    </font>
    <font>
      <b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name val="Arial"/>
      <family val="2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sz val="12"/>
      <name val="Helv"/>
      <family val="2"/>
    </font>
    <font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vertAlign val="subscript"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i/>
      <vertAlign val="subscript"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24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b/>
      <vertAlign val="subscript"/>
      <sz val="14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48"/>
      <color theme="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2552">
    <xf numFmtId="0" fontId="0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20" fillId="0" borderId="0"/>
    <xf numFmtId="0" fontId="19" fillId="0" borderId="0"/>
    <xf numFmtId="0" fontId="20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21" fillId="0" borderId="0"/>
    <xf numFmtId="0" fontId="2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3" fontId="22" fillId="0" borderId="11"/>
    <xf numFmtId="3" fontId="22" fillId="0" borderId="11"/>
    <xf numFmtId="0" fontId="19" fillId="0" borderId="0"/>
    <xf numFmtId="0" fontId="19" fillId="0" borderId="0"/>
    <xf numFmtId="0" fontId="23" fillId="34" borderId="0" applyNumberFormat="0" applyBorder="0" applyAlignment="0" applyProtection="0"/>
    <xf numFmtId="0" fontId="24" fillId="10" borderId="0" applyNumberFormat="0" applyBorder="0" applyAlignment="0" applyProtection="0"/>
    <xf numFmtId="0" fontId="23" fillId="35" borderId="0" applyNumberFormat="0" applyBorder="0" applyAlignment="0" applyProtection="0"/>
    <xf numFmtId="0" fontId="24" fillId="14" borderId="0" applyNumberFormat="0" applyBorder="0" applyAlignment="0" applyProtection="0"/>
    <xf numFmtId="0" fontId="23" fillId="36" borderId="0" applyNumberFormat="0" applyBorder="0" applyAlignment="0" applyProtection="0"/>
    <xf numFmtId="0" fontId="24" fillId="18" borderId="0" applyNumberFormat="0" applyBorder="0" applyAlignment="0" applyProtection="0"/>
    <xf numFmtId="0" fontId="23" fillId="37" borderId="0" applyNumberFormat="0" applyBorder="0" applyAlignment="0" applyProtection="0"/>
    <xf numFmtId="0" fontId="24" fillId="22" borderId="0" applyNumberFormat="0" applyBorder="0" applyAlignment="0" applyProtection="0"/>
    <xf numFmtId="0" fontId="23" fillId="38" borderId="0" applyNumberFormat="0" applyBorder="0" applyAlignment="0" applyProtection="0"/>
    <xf numFmtId="0" fontId="24" fillId="26" borderId="0" applyNumberFormat="0" applyBorder="0" applyAlignment="0" applyProtection="0"/>
    <xf numFmtId="0" fontId="23" fillId="39" borderId="0" applyNumberFormat="0" applyBorder="0" applyAlignment="0" applyProtection="0"/>
    <xf numFmtId="0" fontId="24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9" borderId="0" applyNumberFormat="0" applyBorder="0" applyAlignment="0" applyProtection="0"/>
    <xf numFmtId="170" fontId="25" fillId="0" borderId="12">
      <alignment horizontal="left"/>
    </xf>
    <xf numFmtId="0" fontId="23" fillId="40" borderId="0" applyNumberFormat="0" applyBorder="0" applyAlignment="0" applyProtection="0"/>
    <xf numFmtId="0" fontId="24" fillId="11" borderId="0" applyNumberFormat="0" applyBorder="0" applyAlignment="0" applyProtection="0"/>
    <xf numFmtId="0" fontId="23" fillId="41" borderId="0" applyNumberFormat="0" applyBorder="0" applyAlignment="0" applyProtection="0"/>
    <xf numFmtId="0" fontId="24" fillId="15" borderId="0" applyNumberFormat="0" applyBorder="0" applyAlignment="0" applyProtection="0"/>
    <xf numFmtId="0" fontId="23" fillId="42" borderId="0" applyNumberFormat="0" applyBorder="0" applyAlignment="0" applyProtection="0"/>
    <xf numFmtId="0" fontId="24" fillId="19" borderId="0" applyNumberFormat="0" applyBorder="0" applyAlignment="0" applyProtection="0"/>
    <xf numFmtId="0" fontId="23" fillId="37" borderId="0" applyNumberFormat="0" applyBorder="0" applyAlignment="0" applyProtection="0"/>
    <xf numFmtId="0" fontId="24" fillId="23" borderId="0" applyNumberFormat="0" applyBorder="0" applyAlignment="0" applyProtection="0"/>
    <xf numFmtId="0" fontId="23" fillId="40" borderId="0" applyNumberFormat="0" applyBorder="0" applyAlignment="0" applyProtection="0"/>
    <xf numFmtId="0" fontId="24" fillId="27" borderId="0" applyNumberFormat="0" applyBorder="0" applyAlignment="0" applyProtection="0"/>
    <xf numFmtId="0" fontId="23" fillId="43" borderId="0" applyNumberFormat="0" applyBorder="0" applyAlignment="0" applyProtection="0"/>
    <xf numFmtId="0" fontId="24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3" borderId="0" applyNumberFormat="0" applyBorder="0" applyAlignment="0" applyProtection="0"/>
    <xf numFmtId="171" fontId="25" fillId="0" borderId="12">
      <alignment horizontal="left"/>
    </xf>
    <xf numFmtId="172" fontId="25" fillId="0" borderId="12">
      <alignment horizontal="left"/>
    </xf>
    <xf numFmtId="0" fontId="26" fillId="44" borderId="0" applyNumberFormat="0" applyBorder="0" applyAlignment="0" applyProtection="0"/>
    <xf numFmtId="0" fontId="27" fillId="12" borderId="0" applyNumberFormat="0" applyBorder="0" applyAlignment="0" applyProtection="0"/>
    <xf numFmtId="0" fontId="26" fillId="41" borderId="0" applyNumberFormat="0" applyBorder="0" applyAlignment="0" applyProtection="0"/>
    <xf numFmtId="0" fontId="27" fillId="16" borderId="0" applyNumberFormat="0" applyBorder="0" applyAlignment="0" applyProtection="0"/>
    <xf numFmtId="0" fontId="26" fillId="42" borderId="0" applyNumberFormat="0" applyBorder="0" applyAlignment="0" applyProtection="0"/>
    <xf numFmtId="0" fontId="27" fillId="20" borderId="0" applyNumberFormat="0" applyBorder="0" applyAlignment="0" applyProtection="0"/>
    <xf numFmtId="0" fontId="26" fillId="45" borderId="0" applyNumberFormat="0" applyBorder="0" applyAlignment="0" applyProtection="0"/>
    <xf numFmtId="0" fontId="27" fillId="24" borderId="0" applyNumberFormat="0" applyBorder="0" applyAlignment="0" applyProtection="0"/>
    <xf numFmtId="0" fontId="26" fillId="46" borderId="0" applyNumberFormat="0" applyBorder="0" applyAlignment="0" applyProtection="0"/>
    <xf numFmtId="0" fontId="27" fillId="28" borderId="0" applyNumberFormat="0" applyBorder="0" applyAlignment="0" applyProtection="0"/>
    <xf numFmtId="0" fontId="26" fillId="47" borderId="0" applyNumberFormat="0" applyBorder="0" applyAlignment="0" applyProtection="0"/>
    <xf numFmtId="0" fontId="27" fillId="32" borderId="0" applyNumberFormat="0" applyBorder="0" applyAlignment="0" applyProtection="0"/>
    <xf numFmtId="0" fontId="17" fillId="12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7" fillId="1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7" fillId="20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7" fillId="2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7" fillId="28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17" fillId="32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173" fontId="25" fillId="0" borderId="12">
      <alignment horizontal="left"/>
    </xf>
    <xf numFmtId="0" fontId="26" fillId="48" borderId="0" applyNumberFormat="0" applyBorder="0" applyAlignment="0" applyProtection="0"/>
    <xf numFmtId="0" fontId="27" fillId="9" borderId="0" applyNumberFormat="0" applyBorder="0" applyAlignment="0" applyProtection="0"/>
    <xf numFmtId="0" fontId="26" fillId="49" borderId="0" applyNumberFormat="0" applyBorder="0" applyAlignment="0" applyProtection="0"/>
    <xf numFmtId="0" fontId="27" fillId="13" borderId="0" applyNumberFormat="0" applyBorder="0" applyAlignment="0" applyProtection="0"/>
    <xf numFmtId="0" fontId="26" fillId="50" borderId="0" applyNumberFormat="0" applyBorder="0" applyAlignment="0" applyProtection="0"/>
    <xf numFmtId="0" fontId="27" fillId="17" borderId="0" applyNumberFormat="0" applyBorder="0" applyAlignment="0" applyProtection="0"/>
    <xf numFmtId="0" fontId="26" fillId="45" borderId="0" applyNumberFormat="0" applyBorder="0" applyAlignment="0" applyProtection="0"/>
    <xf numFmtId="0" fontId="27" fillId="21" borderId="0" applyNumberFormat="0" applyBorder="0" applyAlignment="0" applyProtection="0"/>
    <xf numFmtId="0" fontId="26" fillId="46" borderId="0" applyNumberFormat="0" applyBorder="0" applyAlignment="0" applyProtection="0"/>
    <xf numFmtId="0" fontId="27" fillId="25" borderId="0" applyNumberFormat="0" applyBorder="0" applyAlignment="0" applyProtection="0"/>
    <xf numFmtId="0" fontId="26" fillId="51" borderId="0" applyNumberFormat="0" applyBorder="0" applyAlignment="0" applyProtection="0"/>
    <xf numFmtId="0" fontId="27" fillId="29" borderId="0" applyNumberFormat="0" applyBorder="0" applyAlignment="0" applyProtection="0"/>
    <xf numFmtId="0" fontId="28" fillId="35" borderId="0" applyNumberFormat="0" applyBorder="0" applyAlignment="0" applyProtection="0"/>
    <xf numFmtId="0" fontId="29" fillId="3" borderId="0" applyNumberFormat="0" applyBorder="0" applyAlignment="0" applyProtection="0"/>
    <xf numFmtId="49" fontId="30" fillId="0" borderId="0" applyFont="0" applyFill="0" applyBorder="0" applyAlignment="0" applyProtection="0">
      <alignment horizontal="left"/>
    </xf>
    <xf numFmtId="174" fontId="31" fillId="0" borderId="0" applyAlignment="0" applyProtection="0"/>
    <xf numFmtId="175" fontId="32" fillId="0" borderId="0" applyFill="0" applyBorder="0" applyAlignment="0" applyProtection="0"/>
    <xf numFmtId="49" fontId="32" fillId="0" borderId="0" applyNumberFormat="0" applyAlignment="0" applyProtection="0">
      <alignment horizontal="left"/>
    </xf>
    <xf numFmtId="49" fontId="33" fillId="0" borderId="13" applyNumberFormat="0" applyAlignment="0" applyProtection="0">
      <alignment horizontal="left" wrapText="1"/>
    </xf>
    <xf numFmtId="49" fontId="33" fillId="0" borderId="0" applyNumberFormat="0" applyAlignment="0" applyProtection="0">
      <alignment horizontal="left" wrapText="1"/>
    </xf>
    <xf numFmtId="49" fontId="34" fillId="0" borderId="0" applyAlignment="0" applyProtection="0">
      <alignment horizontal="left"/>
    </xf>
    <xf numFmtId="0" fontId="6" fillId="2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19" fillId="0" borderId="0"/>
    <xf numFmtId="0" fontId="19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52" borderId="1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0" fontId="38" fillId="52" borderId="14" applyNumberFormat="0" applyAlignment="0" applyProtection="0"/>
    <xf numFmtId="0" fontId="38" fillId="52" borderId="14" applyNumberFormat="0" applyAlignment="0" applyProtection="0"/>
    <xf numFmtId="0" fontId="13" fillId="7" borderId="7" applyNumberFormat="0" applyAlignment="0" applyProtection="0"/>
    <xf numFmtId="0" fontId="40" fillId="53" borderId="15" applyNumberFormat="0" applyAlignment="0" applyProtection="0"/>
    <xf numFmtId="0" fontId="40" fillId="53" borderId="15" applyNumberFormat="0" applyAlignment="0" applyProtection="0"/>
    <xf numFmtId="0" fontId="12" fillId="0" borderId="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0" fillId="53" borderId="15" applyNumberFormat="0" applyAlignment="0" applyProtection="0"/>
    <xf numFmtId="0" fontId="42" fillId="7" borderId="7" applyNumberFormat="0" applyAlignment="0" applyProtection="0"/>
    <xf numFmtId="1" fontId="43" fillId="0" borderId="17">
      <alignment vertical="top"/>
    </xf>
    <xf numFmtId="176" fontId="44" fillId="0" borderId="0"/>
    <xf numFmtId="0" fontId="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17" fillId="13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17" fillId="17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17" fillId="21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7" fillId="2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17" fillId="29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9" fillId="5" borderId="4" applyNumberFormat="0" applyAlignment="0" applyProtection="0"/>
    <xf numFmtId="0" fontId="46" fillId="39" borderId="14" applyNumberFormat="0" applyAlignment="0" applyProtection="0"/>
    <xf numFmtId="0" fontId="46" fillId="39" borderId="14" applyNumberFormat="0" applyAlignment="0" applyProtection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" fontId="22" fillId="0" borderId="0" applyFont="0" applyFill="0" applyBorder="0" applyAlignment="0" applyProtection="0"/>
    <xf numFmtId="2" fontId="22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76" fontId="32" fillId="0" borderId="0"/>
    <xf numFmtId="0" fontId="35" fillId="36" borderId="0" applyNumberFormat="0" applyBorder="0" applyAlignment="0" applyProtection="0"/>
    <xf numFmtId="0" fontId="50" fillId="2" borderId="0" applyNumberFormat="0" applyBorder="0" applyAlignment="0" applyProtection="0"/>
    <xf numFmtId="0" fontId="51" fillId="0" borderId="10" applyNumberFormat="0" applyAlignment="0" applyProtection="0">
      <alignment horizontal="left" vertical="center"/>
    </xf>
    <xf numFmtId="0" fontId="51" fillId="0" borderId="18">
      <alignment horizontal="left" vertical="center"/>
    </xf>
    <xf numFmtId="2" fontId="52" fillId="54" borderId="0" applyAlignment="0">
      <alignment horizontal="right"/>
      <protection locked="0"/>
    </xf>
    <xf numFmtId="0" fontId="53" fillId="0" borderId="19" applyNumberFormat="0" applyFill="0" applyAlignment="0" applyProtection="0"/>
    <xf numFmtId="0" fontId="54" fillId="0" borderId="20" applyNumberFormat="0" applyFill="0" applyAlignment="0" applyProtection="0"/>
    <xf numFmtId="0" fontId="45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/>
    <xf numFmtId="0" fontId="28" fillId="35" borderId="0" applyNumberFormat="0" applyBorder="0" applyAlignment="0" applyProtection="0"/>
    <xf numFmtId="0" fontId="7" fillId="3" borderId="0" applyNumberFormat="0" applyBorder="0" applyAlignment="0" applyProtection="0"/>
    <xf numFmtId="0" fontId="28" fillId="35" borderId="0" applyNumberFormat="0" applyBorder="0" applyAlignment="0" applyProtection="0"/>
    <xf numFmtId="0" fontId="46" fillId="39" borderId="14" applyNumberFormat="0" applyAlignment="0" applyProtection="0"/>
    <xf numFmtId="0" fontId="57" fillId="5" borderId="4" applyNumberFormat="0" applyAlignment="0" applyProtection="0"/>
    <xf numFmtId="181" fontId="58" fillId="0" borderId="0"/>
    <xf numFmtId="181" fontId="58" fillId="0" borderId="0"/>
    <xf numFmtId="0" fontId="41" fillId="0" borderId="16" applyNumberFormat="0" applyFill="0" applyAlignment="0" applyProtection="0"/>
    <xf numFmtId="0" fontId="59" fillId="0" borderId="6" applyNumberFormat="0" applyFill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3" fontId="60" fillId="0" borderId="22">
      <alignment horizontal="centerContinuous" vertical="center" wrapText="1"/>
      <protection locked="0"/>
    </xf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8" fillId="4" borderId="0" applyNumberFormat="0" applyBorder="0" applyAlignment="0" applyProtection="0"/>
    <xf numFmtId="0" fontId="61" fillId="55" borderId="0" applyNumberFormat="0" applyBorder="0" applyAlignment="0" applyProtection="0"/>
    <xf numFmtId="0" fontId="62" fillId="4" borderId="0" applyNumberFormat="0" applyBorder="0" applyAlignment="0" applyProtection="0"/>
    <xf numFmtId="0" fontId="61" fillId="55" borderId="0" applyNumberFormat="0" applyBorder="0" applyAlignment="0" applyProtection="0"/>
    <xf numFmtId="0" fontId="58" fillId="0" borderId="0"/>
    <xf numFmtId="0" fontId="58" fillId="0" borderId="0"/>
    <xf numFmtId="188" fontId="32" fillId="0" borderId="0"/>
    <xf numFmtId="189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23" fillId="0" borderId="0"/>
    <xf numFmtId="0" fontId="6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3" fillId="0" borderId="0"/>
    <xf numFmtId="0" fontId="1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169" fontId="19" fillId="0" borderId="0">
      <alignment horizontal="left"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169" fontId="19" fillId="0" borderId="0">
      <alignment horizontal="left" wrapText="1"/>
    </xf>
    <xf numFmtId="0" fontId="19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9" fillId="0" borderId="0">
      <alignment horizontal="left" wrapText="1"/>
    </xf>
    <xf numFmtId="169" fontId="19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8" borderId="8" applyNumberFormat="0" applyFont="0" applyAlignment="0" applyProtection="0"/>
    <xf numFmtId="0" fontId="65" fillId="56" borderId="23" applyNumberFormat="0" applyFont="0" applyAlignment="0" applyProtection="0"/>
    <xf numFmtId="0" fontId="23" fillId="8" borderId="8" applyNumberFormat="0" applyFont="0" applyAlignment="0" applyProtection="0"/>
    <xf numFmtId="0" fontId="19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56" borderId="23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56" borderId="23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56" borderId="23" applyNumberFormat="0" applyFont="0" applyAlignment="0" applyProtection="0"/>
    <xf numFmtId="0" fontId="19" fillId="56" borderId="23" applyNumberFormat="0" applyFont="0" applyAlignment="0" applyProtection="0"/>
    <xf numFmtId="0" fontId="19" fillId="56" borderId="23" applyNumberFormat="0" applyFont="0" applyAlignment="0" applyProtection="0"/>
    <xf numFmtId="0" fontId="24" fillId="8" borderId="8" applyNumberFormat="0" applyFont="0" applyAlignment="0" applyProtection="0"/>
    <xf numFmtId="0" fontId="19" fillId="56" borderId="23" applyNumberFormat="0" applyFont="0" applyAlignment="0" applyProtection="0"/>
    <xf numFmtId="0" fontId="66" fillId="52" borderId="24" applyNumberFormat="0" applyAlignment="0" applyProtection="0"/>
    <xf numFmtId="0" fontId="67" fillId="6" borderId="5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>
      <alignment horizontal="left"/>
    </xf>
    <xf numFmtId="0" fontId="21" fillId="0" borderId="0" applyNumberFormat="0" applyFont="0" applyFill="0" applyBorder="0" applyAlignment="0" applyProtection="0">
      <alignment horizontal="left"/>
    </xf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190" fontId="68" fillId="0" borderId="0"/>
    <xf numFmtId="0" fontId="10" fillId="6" borderId="5" applyNumberFormat="0" applyAlignment="0" applyProtection="0"/>
    <xf numFmtId="0" fontId="66" fillId="52" borderId="24" applyNumberFormat="0" applyAlignment="0" applyProtection="0"/>
    <xf numFmtId="0" fontId="66" fillId="52" borderId="24" applyNumberFormat="0" applyAlignment="0" applyProtection="0"/>
    <xf numFmtId="0" fontId="69" fillId="0" borderId="25" applyAlignment="0">
      <alignment horizontal="left"/>
    </xf>
    <xf numFmtId="0" fontId="19" fillId="0" borderId="0"/>
    <xf numFmtId="0" fontId="19" fillId="0" borderId="0"/>
    <xf numFmtId="2" fontId="70" fillId="57" borderId="26" applyProtection="0">
      <alignment horizontal="right"/>
    </xf>
    <xf numFmtId="2" fontId="70" fillId="57" borderId="26" applyProtection="0">
      <alignment horizontal="right"/>
    </xf>
    <xf numFmtId="190" fontId="71" fillId="0" borderId="0"/>
    <xf numFmtId="176" fontId="51" fillId="0" borderId="0"/>
    <xf numFmtId="0" fontId="1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76" fontId="74" fillId="0" borderId="0"/>
    <xf numFmtId="0" fontId="3" fillId="0" borderId="1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4" fillId="0" borderId="2" applyNumberFormat="0" applyFill="0" applyAlignment="0" applyProtection="0"/>
    <xf numFmtId="0" fontId="54" fillId="0" borderId="20" applyNumberFormat="0" applyFill="0" applyAlignment="0" applyProtection="0"/>
    <xf numFmtId="0" fontId="54" fillId="0" borderId="20" applyNumberFormat="0" applyFill="0" applyAlignment="0" applyProtection="0"/>
    <xf numFmtId="0" fontId="5" fillId="0" borderId="3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75" fillId="0" borderId="27" applyNumberFormat="0" applyFill="0" applyAlignment="0" applyProtection="0"/>
    <xf numFmtId="0" fontId="75" fillId="0" borderId="28" applyNumberFormat="0" applyFill="0" applyAlignment="0" applyProtection="0"/>
    <xf numFmtId="0" fontId="76" fillId="0" borderId="9" applyNumberFormat="0" applyFill="0" applyAlignment="0" applyProtection="0"/>
    <xf numFmtId="0" fontId="75" fillId="0" borderId="27" applyNumberFormat="0" applyFill="0" applyAlignment="0" applyProtection="0"/>
    <xf numFmtId="190" fontId="43" fillId="0" borderId="29" applyAlignment="0">
      <alignment horizontal="right"/>
    </xf>
    <xf numFmtId="188" fontId="43" fillId="0" borderId="29" applyAlignment="0"/>
    <xf numFmtId="189" fontId="43" fillId="0" borderId="29" applyAlignment="0"/>
    <xf numFmtId="190" fontId="43" fillId="0" borderId="29" applyAlignment="0">
      <alignment horizontal="right"/>
    </xf>
    <xf numFmtId="0" fontId="58" fillId="0" borderId="0"/>
    <xf numFmtId="0" fontId="58" fillId="0" borderId="0"/>
    <xf numFmtId="181" fontId="58" fillId="0" borderId="0"/>
    <xf numFmtId="181" fontId="58" fillId="0" borderId="0"/>
    <xf numFmtId="0" fontId="7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29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/>
    <xf numFmtId="0" fontId="81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90" fillId="0" borderId="0"/>
    <xf numFmtId="0" fontId="1" fillId="0" borderId="0"/>
    <xf numFmtId="0" fontId="1" fillId="0" borderId="0"/>
    <xf numFmtId="0" fontId="9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18" fillId="0" borderId="0" xfId="1" applyFont="1" applyAlignment="1">
      <alignment horizontal="center"/>
    </xf>
    <xf numFmtId="0" fontId="1" fillId="0" borderId="0" xfId="1"/>
    <xf numFmtId="0" fontId="0" fillId="0" borderId="0" xfId="1" applyFont="1"/>
    <xf numFmtId="0" fontId="82" fillId="0" borderId="0" xfId="1" applyFont="1"/>
    <xf numFmtId="0" fontId="18" fillId="0" borderId="30" xfId="1" applyFont="1" applyBorder="1" applyAlignment="1">
      <alignment horizontal="center"/>
    </xf>
    <xf numFmtId="0" fontId="18" fillId="0" borderId="31" xfId="1" applyFont="1" applyBorder="1" applyAlignment="1">
      <alignment horizontal="center"/>
    </xf>
    <xf numFmtId="0" fontId="83" fillId="0" borderId="0" xfId="1" applyFont="1"/>
    <xf numFmtId="0" fontId="84" fillId="0" borderId="0" xfId="1" applyFont="1"/>
    <xf numFmtId="0" fontId="18" fillId="0" borderId="32" xfId="1" applyFont="1" applyBorder="1" applyAlignment="1">
      <alignment horizontal="center"/>
    </xf>
    <xf numFmtId="0" fontId="18" fillId="0" borderId="33" xfId="1" applyFont="1" applyBorder="1" applyAlignment="1">
      <alignment horizontal="center"/>
    </xf>
    <xf numFmtId="0" fontId="87" fillId="0" borderId="36" xfId="1" applyFont="1" applyBorder="1" applyAlignment="1">
      <alignment horizontal="center" vertical="center" textRotation="90" wrapText="1"/>
    </xf>
    <xf numFmtId="0" fontId="94" fillId="59" borderId="40" xfId="1" applyFont="1" applyFill="1" applyBorder="1"/>
    <xf numFmtId="0" fontId="96" fillId="58" borderId="40" xfId="1" applyFont="1" applyFill="1" applyBorder="1" applyAlignment="1">
      <alignment horizontal="center"/>
    </xf>
    <xf numFmtId="2" fontId="1" fillId="0" borderId="40" xfId="1" applyNumberFormat="1" applyBorder="1" applyAlignment="1">
      <alignment horizontal="center"/>
    </xf>
    <xf numFmtId="0" fontId="16" fillId="61" borderId="40" xfId="1" applyFont="1" applyFill="1" applyBorder="1" applyAlignment="1">
      <alignment horizontal="center"/>
    </xf>
    <xf numFmtId="2" fontId="82" fillId="0" borderId="41" xfId="1" applyNumberFormat="1" applyFont="1" applyBorder="1" applyAlignment="1">
      <alignment horizontal="center"/>
    </xf>
    <xf numFmtId="2" fontId="1" fillId="0" borderId="41" xfId="1" applyNumberFormat="1" applyBorder="1" applyAlignment="1">
      <alignment horizontal="center"/>
    </xf>
    <xf numFmtId="0" fontId="94" fillId="59" borderId="42" xfId="1" applyFont="1" applyFill="1" applyBorder="1"/>
    <xf numFmtId="0" fontId="96" fillId="58" borderId="43" xfId="1" applyFont="1" applyFill="1" applyBorder="1" applyAlignment="1">
      <alignment horizontal="center"/>
    </xf>
    <xf numFmtId="0" fontId="94" fillId="59" borderId="37" xfId="1" applyFont="1" applyFill="1" applyBorder="1"/>
    <xf numFmtId="0" fontId="96" fillId="58" borderId="44" xfId="1" applyFont="1" applyFill="1" applyBorder="1" applyAlignment="1">
      <alignment horizontal="center"/>
    </xf>
    <xf numFmtId="0" fontId="94" fillId="59" borderId="35" xfId="1" applyFont="1" applyFill="1" applyBorder="1"/>
    <xf numFmtId="0" fontId="94" fillId="59" borderId="34" xfId="1" applyFont="1" applyFill="1" applyBorder="1"/>
    <xf numFmtId="0" fontId="96" fillId="58" borderId="35" xfId="1" applyFont="1" applyFill="1" applyBorder="1" applyAlignment="1">
      <alignment horizontal="center"/>
    </xf>
    <xf numFmtId="0" fontId="96" fillId="58" borderId="34" xfId="1" applyFont="1" applyFill="1" applyBorder="1" applyAlignment="1">
      <alignment horizontal="center"/>
    </xf>
    <xf numFmtId="0" fontId="94" fillId="59" borderId="36" xfId="1" applyFont="1" applyFill="1" applyBorder="1"/>
    <xf numFmtId="0" fontId="96" fillId="58" borderId="36" xfId="1" applyFont="1" applyFill="1" applyBorder="1" applyAlignment="1">
      <alignment horizontal="center"/>
    </xf>
    <xf numFmtId="2" fontId="82" fillId="0" borderId="35" xfId="1" applyNumberFormat="1" applyFont="1" applyBorder="1" applyAlignment="1">
      <alignment horizontal="center"/>
    </xf>
    <xf numFmtId="0" fontId="100" fillId="59" borderId="35" xfId="1" applyFont="1" applyFill="1" applyBorder="1"/>
    <xf numFmtId="0" fontId="100" fillId="59" borderId="36" xfId="1" applyFont="1" applyFill="1" applyBorder="1"/>
    <xf numFmtId="0" fontId="100" fillId="59" borderId="34" xfId="1" applyFont="1" applyFill="1" applyBorder="1"/>
    <xf numFmtId="2" fontId="1" fillId="0" borderId="36" xfId="1" applyNumberFormat="1" applyBorder="1" applyAlignment="1">
      <alignment horizontal="center"/>
    </xf>
    <xf numFmtId="0" fontId="102" fillId="61" borderId="40" xfId="1" applyFont="1" applyFill="1" applyBorder="1" applyAlignment="1">
      <alignment horizontal="center"/>
    </xf>
    <xf numFmtId="168" fontId="1" fillId="0" borderId="34" xfId="1" applyNumberFormat="1" applyBorder="1" applyAlignment="1">
      <alignment horizontal="center"/>
    </xf>
    <xf numFmtId="166" fontId="82" fillId="0" borderId="35" xfId="1" applyNumberFormat="1" applyFont="1" applyBorder="1" applyAlignment="1">
      <alignment horizontal="center"/>
    </xf>
    <xf numFmtId="166" fontId="1" fillId="0" borderId="34" xfId="1" applyNumberFormat="1" applyBorder="1" applyAlignment="1">
      <alignment horizontal="center"/>
    </xf>
    <xf numFmtId="169" fontId="82" fillId="0" borderId="35" xfId="1" applyNumberFormat="1" applyFont="1" applyBorder="1" applyAlignment="1">
      <alignment horizontal="center"/>
    </xf>
    <xf numFmtId="169" fontId="82" fillId="0" borderId="40" xfId="1" applyNumberFormat="1" applyFont="1" applyBorder="1" applyAlignment="1">
      <alignment horizontal="center"/>
    </xf>
    <xf numFmtId="2" fontId="1" fillId="0" borderId="35" xfId="1" applyNumberFormat="1" applyBorder="1" applyAlignment="1">
      <alignment horizontal="center"/>
    </xf>
    <xf numFmtId="166" fontId="1" fillId="0" borderId="36" xfId="1" applyNumberFormat="1" applyBorder="1" applyAlignment="1">
      <alignment horizontal="center"/>
    </xf>
    <xf numFmtId="166" fontId="1" fillId="0" borderId="0" xfId="1" applyNumberFormat="1"/>
    <xf numFmtId="168" fontId="1" fillId="0" borderId="41" xfId="1" applyNumberFormat="1" applyBorder="1" applyAlignment="1">
      <alignment horizontal="center"/>
    </xf>
    <xf numFmtId="2" fontId="82" fillId="0" borderId="36" xfId="1" applyNumberFormat="1" applyFont="1" applyBorder="1" applyAlignment="1">
      <alignment horizontal="center"/>
    </xf>
    <xf numFmtId="166" fontId="82" fillId="0" borderId="36" xfId="1" applyNumberFormat="1" applyFont="1" applyBorder="1" applyAlignment="1">
      <alignment horizontal="center"/>
    </xf>
    <xf numFmtId="2" fontId="1" fillId="33" borderId="41" xfId="1" applyNumberFormat="1" applyFill="1" applyBorder="1" applyAlignment="1">
      <alignment horizontal="center"/>
    </xf>
    <xf numFmtId="2" fontId="1" fillId="33" borderId="36" xfId="1" applyNumberFormat="1" applyFill="1" applyBorder="1" applyAlignment="1">
      <alignment horizontal="center"/>
    </xf>
    <xf numFmtId="0" fontId="14" fillId="0" borderId="0" xfId="1" applyFont="1"/>
    <xf numFmtId="14" fontId="14" fillId="0" borderId="0" xfId="1" applyNumberFormat="1" applyFont="1" applyAlignment="1">
      <alignment horizontal="left"/>
    </xf>
    <xf numFmtId="2" fontId="1" fillId="0" borderId="0" xfId="1" applyNumberFormat="1"/>
    <xf numFmtId="0" fontId="1" fillId="33" borderId="40" xfId="1" applyFill="1" applyBorder="1" applyAlignment="1">
      <alignment horizontal="center"/>
    </xf>
    <xf numFmtId="0" fontId="100" fillId="59" borderId="42" xfId="1" applyFont="1" applyFill="1" applyBorder="1"/>
    <xf numFmtId="0" fontId="100" fillId="59" borderId="37" xfId="1" applyFont="1" applyFill="1" applyBorder="1"/>
    <xf numFmtId="0" fontId="100" fillId="59" borderId="40" xfId="1" applyFont="1" applyFill="1" applyBorder="1"/>
    <xf numFmtId="191" fontId="1" fillId="0" borderId="34" xfId="1" applyNumberFormat="1" applyBorder="1" applyAlignment="1">
      <alignment horizontal="center"/>
    </xf>
    <xf numFmtId="0" fontId="14" fillId="0" borderId="0" xfId="1" applyFont="1" applyAlignment="1">
      <alignment horizontal="center"/>
    </xf>
    <xf numFmtId="0" fontId="14" fillId="0" borderId="0" xfId="1" applyFont="1" applyAlignment="1">
      <alignment horizontal="right"/>
    </xf>
    <xf numFmtId="168" fontId="82" fillId="0" borderId="36" xfId="1" applyNumberFormat="1" applyFont="1" applyBorder="1" applyAlignment="1">
      <alignment horizontal="center"/>
    </xf>
    <xf numFmtId="2" fontId="107" fillId="33" borderId="35" xfId="1" applyNumberFormat="1" applyFont="1" applyFill="1" applyBorder="1" applyAlignment="1">
      <alignment horizontal="center"/>
    </xf>
    <xf numFmtId="2" fontId="107" fillId="33" borderId="36" xfId="1" applyNumberFormat="1" applyFont="1" applyFill="1" applyBorder="1" applyAlignment="1">
      <alignment horizontal="center"/>
    </xf>
    <xf numFmtId="168" fontId="82" fillId="0" borderId="34" xfId="1" applyNumberFormat="1" applyFont="1" applyBorder="1" applyAlignment="1">
      <alignment horizontal="center"/>
    </xf>
    <xf numFmtId="168" fontId="82" fillId="0" borderId="35" xfId="1" applyNumberFormat="1" applyFont="1" applyBorder="1" applyAlignment="1">
      <alignment horizontal="center"/>
    </xf>
    <xf numFmtId="2" fontId="86" fillId="33" borderId="41" xfId="1" applyNumberFormat="1" applyFont="1" applyFill="1" applyBorder="1" applyAlignment="1">
      <alignment horizontal="center"/>
    </xf>
    <xf numFmtId="167" fontId="100" fillId="59" borderId="37" xfId="1" applyNumberFormat="1" applyFont="1" applyFill="1" applyBorder="1"/>
    <xf numFmtId="167" fontId="1" fillId="33" borderId="40" xfId="1" applyNumberFormat="1" applyFill="1" applyBorder="1" applyAlignment="1">
      <alignment horizontal="center"/>
    </xf>
    <xf numFmtId="2" fontId="1" fillId="62" borderId="41" xfId="1" applyNumberFormat="1" applyFill="1" applyBorder="1" applyAlignment="1">
      <alignment horizontal="center"/>
    </xf>
    <xf numFmtId="0" fontId="1" fillId="62" borderId="0" xfId="1" applyFill="1"/>
    <xf numFmtId="0" fontId="1" fillId="63" borderId="0" xfId="1" applyFill="1"/>
    <xf numFmtId="0" fontId="1" fillId="33" borderId="0" xfId="1" applyFill="1"/>
    <xf numFmtId="2" fontId="1" fillId="62" borderId="36" xfId="1" applyNumberFormat="1" applyFill="1" applyBorder="1" applyAlignment="1">
      <alignment horizontal="center"/>
    </xf>
    <xf numFmtId="168" fontId="82" fillId="33" borderId="35" xfId="1" applyNumberFormat="1" applyFont="1" applyFill="1" applyBorder="1" applyAlignment="1">
      <alignment horizontal="center"/>
    </xf>
    <xf numFmtId="168" fontId="82" fillId="33" borderId="36" xfId="1" applyNumberFormat="1" applyFont="1" applyFill="1" applyBorder="1" applyAlignment="1">
      <alignment horizontal="center"/>
    </xf>
    <xf numFmtId="168" fontId="82" fillId="33" borderId="34" xfId="1" applyNumberFormat="1" applyFont="1" applyFill="1" applyBorder="1" applyAlignment="1">
      <alignment horizontal="center"/>
    </xf>
    <xf numFmtId="168" fontId="82" fillId="62" borderId="35" xfId="1" applyNumberFormat="1" applyFont="1" applyFill="1" applyBorder="1" applyAlignment="1">
      <alignment horizontal="center"/>
    </xf>
    <xf numFmtId="168" fontId="82" fillId="62" borderId="36" xfId="1" applyNumberFormat="1" applyFont="1" applyFill="1" applyBorder="1" applyAlignment="1">
      <alignment horizontal="center"/>
    </xf>
    <xf numFmtId="168" fontId="82" fillId="62" borderId="34" xfId="1" applyNumberFormat="1" applyFont="1" applyFill="1" applyBorder="1" applyAlignment="1">
      <alignment horizontal="center"/>
    </xf>
    <xf numFmtId="167" fontId="1" fillId="62" borderId="40" xfId="1" applyNumberFormat="1" applyFill="1" applyBorder="1" applyAlignment="1">
      <alignment horizontal="center"/>
    </xf>
    <xf numFmtId="9" fontId="1" fillId="0" borderId="0" xfId="62551"/>
    <xf numFmtId="168" fontId="82" fillId="63" borderId="35" xfId="1" applyNumberFormat="1" applyFont="1" applyFill="1" applyBorder="1" applyAlignment="1">
      <alignment horizontal="center"/>
    </xf>
    <xf numFmtId="0" fontId="106" fillId="0" borderId="35" xfId="1" applyFont="1" applyBorder="1" applyAlignment="1">
      <alignment horizontal="center" vertical="center" textRotation="90" wrapText="1"/>
    </xf>
    <xf numFmtId="0" fontId="106" fillId="0" borderId="34" xfId="1" applyFont="1" applyBorder="1" applyAlignment="1">
      <alignment horizontal="center" vertical="center" textRotation="90" wrapText="1"/>
    </xf>
    <xf numFmtId="0" fontId="87" fillId="0" borderId="35" xfId="1" applyFont="1" applyBorder="1" applyAlignment="1">
      <alignment horizontal="center" vertical="center" textRotation="90" wrapText="1"/>
    </xf>
    <xf numFmtId="0" fontId="87" fillId="0" borderId="36" xfId="1" applyFont="1" applyBorder="1" applyAlignment="1">
      <alignment horizontal="center" vertical="center" textRotation="90" wrapText="1"/>
    </xf>
    <xf numFmtId="0" fontId="87" fillId="0" borderId="34" xfId="1" applyFont="1" applyBorder="1" applyAlignment="1">
      <alignment horizontal="center" vertical="center" textRotation="90" wrapText="1"/>
    </xf>
    <xf numFmtId="0" fontId="100" fillId="0" borderId="35" xfId="1" applyFont="1" applyBorder="1" applyAlignment="1">
      <alignment horizontal="center" vertical="center" textRotation="90" wrapText="1"/>
    </xf>
    <xf numFmtId="0" fontId="100" fillId="0" borderId="36" xfId="1" applyFont="1" applyBorder="1" applyAlignment="1">
      <alignment horizontal="center" vertical="center" textRotation="90" wrapText="1"/>
    </xf>
    <xf numFmtId="0" fontId="100" fillId="0" borderId="34" xfId="1" applyFont="1" applyBorder="1" applyAlignment="1">
      <alignment horizontal="center" vertical="center" textRotation="90" wrapText="1"/>
    </xf>
    <xf numFmtId="0" fontId="97" fillId="60" borderId="39" xfId="1" applyFont="1" applyFill="1" applyBorder="1" applyAlignment="1">
      <alignment horizontal="center"/>
    </xf>
    <xf numFmtId="0" fontId="97" fillId="60" borderId="38" xfId="1" applyFont="1" applyFill="1" applyBorder="1" applyAlignment="1">
      <alignment horizontal="center"/>
    </xf>
    <xf numFmtId="166" fontId="108" fillId="0" borderId="35" xfId="1" applyNumberFormat="1" applyFont="1" applyBorder="1" applyAlignment="1">
      <alignment horizontal="center" vertical="center" textRotation="90"/>
    </xf>
    <xf numFmtId="166" fontId="108" fillId="0" borderId="36" xfId="1" applyNumberFormat="1" applyFont="1" applyBorder="1" applyAlignment="1">
      <alignment horizontal="center" vertical="center" textRotation="90"/>
    </xf>
    <xf numFmtId="166" fontId="108" fillId="0" borderId="34" xfId="1" applyNumberFormat="1" applyFont="1" applyBorder="1" applyAlignment="1">
      <alignment horizontal="center" vertical="center" textRotation="90"/>
    </xf>
    <xf numFmtId="0" fontId="101" fillId="0" borderId="35" xfId="1" applyFont="1" applyBorder="1" applyAlignment="1">
      <alignment horizontal="center" vertical="center" textRotation="90" wrapText="1"/>
    </xf>
    <xf numFmtId="0" fontId="101" fillId="0" borderId="36" xfId="1" applyFont="1" applyBorder="1" applyAlignment="1">
      <alignment horizontal="center" vertical="center" textRotation="90" wrapText="1"/>
    </xf>
    <xf numFmtId="0" fontId="101" fillId="0" borderId="34" xfId="1" applyFont="1" applyBorder="1" applyAlignment="1">
      <alignment horizontal="center" vertical="center" textRotation="90" wrapText="1"/>
    </xf>
    <xf numFmtId="0" fontId="103" fillId="0" borderId="35" xfId="1" applyFont="1" applyBorder="1" applyAlignment="1">
      <alignment horizontal="center" vertical="center" textRotation="90" wrapText="1"/>
    </xf>
    <xf numFmtId="0" fontId="103" fillId="0" borderId="36" xfId="1" applyFont="1" applyBorder="1" applyAlignment="1">
      <alignment horizontal="center" vertical="center" textRotation="90" wrapText="1"/>
    </xf>
    <xf numFmtId="0" fontId="103" fillId="0" borderId="34" xfId="1" applyFont="1" applyBorder="1" applyAlignment="1">
      <alignment horizontal="center" vertical="center" textRotation="90" wrapText="1"/>
    </xf>
    <xf numFmtId="167" fontId="1" fillId="64" borderId="40" xfId="1" applyNumberFormat="1" applyFill="1" applyBorder="1" applyAlignment="1">
      <alignment horizontal="center"/>
    </xf>
    <xf numFmtId="2" fontId="1" fillId="64" borderId="40" xfId="1" applyNumberFormat="1" applyFill="1" applyBorder="1" applyAlignment="1">
      <alignment horizontal="center"/>
    </xf>
    <xf numFmtId="2" fontId="1" fillId="65" borderId="35" xfId="1" applyNumberFormat="1" applyFill="1" applyBorder="1" applyAlignment="1">
      <alignment horizontal="center"/>
    </xf>
    <xf numFmtId="2" fontId="1" fillId="65" borderId="36" xfId="1" applyNumberFormat="1" applyFill="1" applyBorder="1" applyAlignment="1">
      <alignment horizontal="center"/>
    </xf>
    <xf numFmtId="2" fontId="82" fillId="65" borderId="41" xfId="1" applyNumberFormat="1" applyFont="1" applyFill="1" applyBorder="1" applyAlignment="1">
      <alignment horizontal="center"/>
    </xf>
    <xf numFmtId="2" fontId="1" fillId="65" borderId="41" xfId="1" applyNumberFormat="1" applyFill="1" applyBorder="1" applyAlignment="1">
      <alignment horizontal="center"/>
    </xf>
    <xf numFmtId="168" fontId="1" fillId="65" borderId="41" xfId="1" applyNumberFormat="1" applyFill="1" applyBorder="1" applyAlignment="1">
      <alignment horizontal="center"/>
    </xf>
    <xf numFmtId="2" fontId="1" fillId="66" borderId="36" xfId="1" applyNumberFormat="1" applyFill="1" applyBorder="1" applyAlignment="1">
      <alignment horizontal="center"/>
    </xf>
    <xf numFmtId="166" fontId="1" fillId="66" borderId="34" xfId="1" applyNumberFormat="1" applyFill="1" applyBorder="1" applyAlignment="1">
      <alignment horizontal="center"/>
    </xf>
    <xf numFmtId="169" fontId="82" fillId="66" borderId="35" xfId="1" applyNumberFormat="1" applyFont="1" applyFill="1" applyBorder="1" applyAlignment="1">
      <alignment horizontal="center"/>
    </xf>
    <xf numFmtId="191" fontId="1" fillId="66" borderId="34" xfId="1" applyNumberFormat="1" applyFill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56" fillId="0" borderId="0" xfId="17715" applyAlignment="1" applyProtection="1"/>
    <xf numFmtId="191" fontId="82" fillId="66" borderId="35" xfId="1" applyNumberFormat="1" applyFont="1" applyFill="1" applyBorder="1" applyAlignment="1">
      <alignment horizontal="center"/>
    </xf>
    <xf numFmtId="191" fontId="1" fillId="66" borderId="36" xfId="1" applyNumberFormat="1" applyFill="1" applyBorder="1" applyAlignment="1">
      <alignment horizontal="center"/>
    </xf>
    <xf numFmtId="191" fontId="1" fillId="0" borderId="40" xfId="1" applyNumberFormat="1" applyBorder="1" applyAlignment="1">
      <alignment horizontal="center"/>
    </xf>
  </cellXfs>
  <cellStyles count="62552">
    <cellStyle name=" 1" xfId="3" xr:uid="{00000000-0005-0000-0000-000000000000}"/>
    <cellStyle name=" 1 2" xfId="4" xr:uid="{00000000-0005-0000-0000-000001000000}"/>
    <cellStyle name="%" xfId="5" xr:uid="{00000000-0005-0000-0000-000002000000}"/>
    <cellStyle name="% 2" xfId="6" xr:uid="{00000000-0005-0000-0000-000003000000}"/>
    <cellStyle name="% 3" xfId="7" xr:uid="{00000000-0005-0000-0000-000004000000}"/>
    <cellStyle name="_Calculo Prima en los cargamentos" xfId="8" xr:uid="{00000000-0005-0000-0000-000005000000}"/>
    <cellStyle name="_Calculo Prima en los cargamentos 2" xfId="9" xr:uid="{00000000-0005-0000-0000-000006000000}"/>
    <cellStyle name="_Copia de CARGAMENTOS GAS NATURAL 2011 rev1" xfId="10" xr:uid="{00000000-0005-0000-0000-000007000000}"/>
    <cellStyle name="_Copia de CARGAMENTOS GAS NATURAL 2011 rev1 2" xfId="11" xr:uid="{00000000-0005-0000-0000-000008000000}"/>
    <cellStyle name="_Copia de Tabla spreads y desc. crudos_2" xfId="12" xr:uid="{00000000-0005-0000-0000-000009000000}"/>
    <cellStyle name="_Copia de Tabla spreads y desc. crudos_2 2" xfId="13" xr:uid="{00000000-0005-0000-0000-00000A000000}"/>
    <cellStyle name="_Copia de Tabla spreads y desc. crudos_2_Bases Economicas para PE marzo2010" xfId="14" xr:uid="{00000000-0005-0000-0000-00000B000000}"/>
    <cellStyle name="_Copia de Tabla spreads y desc. crudos_2_Bases Economicas para PE marzo2010 2" xfId="15" xr:uid="{00000000-0005-0000-0000-00000C000000}"/>
    <cellStyle name="_Copia de Tabla spreads y desc. crudos_2_Bases Economicas para PE revfeb2010 (2)" xfId="16" xr:uid="{00000000-0005-0000-0000-00000D000000}"/>
    <cellStyle name="_Copia de Tabla spreads y desc. crudos_2_Bases Economicas para PE revfeb2010 (2) 2" xfId="17" xr:uid="{00000000-0005-0000-0000-00000E000000}"/>
    <cellStyle name="_Demand" xfId="18" xr:uid="{00000000-0005-0000-0000-00000F000000}"/>
    <cellStyle name="_Demand 2" xfId="19" xr:uid="{00000000-0005-0000-0000-000010000000}"/>
    <cellStyle name="_Demand_Bases Economicas para PE marzo2010" xfId="20" xr:uid="{00000000-0005-0000-0000-000011000000}"/>
    <cellStyle name="_Demand_Bases Economicas para PE marzo2010 2" xfId="21" xr:uid="{00000000-0005-0000-0000-000012000000}"/>
    <cellStyle name="_Demand_Bases Economicas para PE revfeb2010 (2)" xfId="22" xr:uid="{00000000-0005-0000-0000-000013000000}"/>
    <cellStyle name="_Demand_Bases Economicas para PE revfeb2010 (2) 2" xfId="23" xr:uid="{00000000-0005-0000-0000-000014000000}"/>
    <cellStyle name="_Desglose mermas_2012" xfId="24" xr:uid="{00000000-0005-0000-0000-000015000000}"/>
    <cellStyle name="_Desglose mermas_2012 2" xfId="25" xr:uid="{00000000-0005-0000-0000-000016000000}"/>
    <cellStyle name="_Desglose mermas_2012 2 2" xfId="26" xr:uid="{00000000-0005-0000-0000-000017000000}"/>
    <cellStyle name="_Desglose mermas_2012 2 3" xfId="27" xr:uid="{00000000-0005-0000-0000-000018000000}"/>
    <cellStyle name="_Desglose mermas_2012 3" xfId="28" xr:uid="{00000000-0005-0000-0000-000019000000}"/>
    <cellStyle name="_Desglose mermas_2012 3 2" xfId="29" xr:uid="{00000000-0005-0000-0000-00001A000000}"/>
    <cellStyle name="_Desglose mermas_2012 4" xfId="30" xr:uid="{00000000-0005-0000-0000-00001B000000}"/>
    <cellStyle name="_Desglose mermas_2012 5" xfId="31" xr:uid="{00000000-0005-0000-0000-00001C000000}"/>
    <cellStyle name="_IMC modelo_sin PQ_PA2010_Brent@70_enero 2010" xfId="32" xr:uid="{00000000-0005-0000-0000-00001D000000}"/>
    <cellStyle name="_IMC modelo_sin PQ_PA2010_Brent@70_enero 2010 2" xfId="33" xr:uid="{00000000-0005-0000-0000-00001E000000}"/>
    <cellStyle name="_Mapa Riesgos Refino 3" xfId="34" xr:uid="{00000000-0005-0000-0000-00001F000000}"/>
    <cellStyle name="_Mayo_julio 2011 Precios ventas portfolio Cargamentos rev2" xfId="35" xr:uid="{00000000-0005-0000-0000-000020000000}"/>
    <cellStyle name="_Mayo_julio 2011 Precios ventas portfolio Cargamentos rev2 2" xfId="36" xr:uid="{00000000-0005-0000-0000-000021000000}"/>
    <cellStyle name="_Precio a facturar GNF  AM12 " xfId="37" xr:uid="{00000000-0005-0000-0000-000022000000}"/>
    <cellStyle name="_Precio a facturar GNF  AM12  2" xfId="38" xr:uid="{00000000-0005-0000-0000-000023000000}"/>
    <cellStyle name="_Precios EE-GN-H2 2010-2014" xfId="39" xr:uid="{00000000-0005-0000-0000-000024000000}"/>
    <cellStyle name="_Precios EE-GN-H2 2010-2014 2" xfId="40" xr:uid="{00000000-0005-0000-0000-000025000000}"/>
    <cellStyle name="_Precios facturación" xfId="41" xr:uid="{00000000-0005-0000-0000-000026000000}"/>
    <cellStyle name="_Presupuesto 2007 - v34" xfId="42" xr:uid="{00000000-0005-0000-0000-000027000000}"/>
    <cellStyle name="_Presupuesto 2007 - v34 2" xfId="43" xr:uid="{00000000-0005-0000-0000-000028000000}"/>
    <cellStyle name="_Presupuesto 2007 - v34_Bases Economicas para PE marzo2010" xfId="44" xr:uid="{00000000-0005-0000-0000-000029000000}"/>
    <cellStyle name="_Presupuesto 2007 - v34_Bases Economicas para PE marzo2010 2" xfId="45" xr:uid="{00000000-0005-0000-0000-00002A000000}"/>
    <cellStyle name="_Presupuesto 2007 - v34_Bases Economicas para PE revfeb2010 (2)" xfId="46" xr:uid="{00000000-0005-0000-0000-00002B000000}"/>
    <cellStyle name="_Presupuesto 2007 - v34_Bases Economicas para PE revfeb2010 (2) 2" xfId="47" xr:uid="{00000000-0005-0000-0000-00002C000000}"/>
    <cellStyle name="_Previsión ATRs 2010-20xx  (2)" xfId="48" xr:uid="{00000000-0005-0000-0000-00002D000000}"/>
    <cellStyle name="_Previsión ATRs 2010-20xx  (2) 2" xfId="49" xr:uid="{00000000-0005-0000-0000-00002E000000}"/>
    <cellStyle name="+l12" xfId="50" xr:uid="{00000000-0005-0000-0000-00002F000000}"/>
    <cellStyle name="+l12 2" xfId="51" xr:uid="{00000000-0005-0000-0000-000030000000}"/>
    <cellStyle name="=C:\WINNT35\SYSTEM32\COMMAND.COM" xfId="52" xr:uid="{00000000-0005-0000-0000-000031000000}"/>
    <cellStyle name="=C:\WINNT35\SYSTEM32\COMMAND.COM 2" xfId="53" xr:uid="{00000000-0005-0000-0000-000032000000}"/>
    <cellStyle name="20% - Accent1" xfId="54" xr:uid="{00000000-0005-0000-0000-000033000000}"/>
    <cellStyle name="20% - Accent1 2" xfId="55" xr:uid="{00000000-0005-0000-0000-000034000000}"/>
    <cellStyle name="20% - Accent2" xfId="56" xr:uid="{00000000-0005-0000-0000-000035000000}"/>
    <cellStyle name="20% - Accent2 2" xfId="57" xr:uid="{00000000-0005-0000-0000-000036000000}"/>
    <cellStyle name="20% - Accent3" xfId="58" xr:uid="{00000000-0005-0000-0000-000037000000}"/>
    <cellStyle name="20% - Accent3 2" xfId="59" xr:uid="{00000000-0005-0000-0000-000038000000}"/>
    <cellStyle name="20% - Accent4" xfId="60" xr:uid="{00000000-0005-0000-0000-000039000000}"/>
    <cellStyle name="20% - Accent4 2" xfId="61" xr:uid="{00000000-0005-0000-0000-00003A000000}"/>
    <cellStyle name="20% - Accent5" xfId="62" xr:uid="{00000000-0005-0000-0000-00003B000000}"/>
    <cellStyle name="20% - Accent5 2" xfId="63" xr:uid="{00000000-0005-0000-0000-00003C000000}"/>
    <cellStyle name="20% - Accent6" xfId="64" xr:uid="{00000000-0005-0000-0000-00003D000000}"/>
    <cellStyle name="20% - Accent6 2" xfId="65" xr:uid="{00000000-0005-0000-0000-00003E000000}"/>
    <cellStyle name="20% - Énfasis1 2" xfId="66" xr:uid="{00000000-0005-0000-0000-00003F000000}"/>
    <cellStyle name="20% - Énfasis1 2 10" xfId="67" xr:uid="{00000000-0005-0000-0000-000040000000}"/>
    <cellStyle name="20% - Énfasis1 2 10 2" xfId="68" xr:uid="{00000000-0005-0000-0000-000041000000}"/>
    <cellStyle name="20% - Énfasis1 2 11" xfId="69" xr:uid="{00000000-0005-0000-0000-000042000000}"/>
    <cellStyle name="20% - Énfasis1 2 12" xfId="70" xr:uid="{00000000-0005-0000-0000-000043000000}"/>
    <cellStyle name="20% - Énfasis1 2 2" xfId="71" xr:uid="{00000000-0005-0000-0000-000044000000}"/>
    <cellStyle name="20% - Énfasis1 2 2 10" xfId="72" xr:uid="{00000000-0005-0000-0000-000045000000}"/>
    <cellStyle name="20% - Énfasis1 2 2 10 2" xfId="73" xr:uid="{00000000-0005-0000-0000-000046000000}"/>
    <cellStyle name="20% - Énfasis1 2 2 11" xfId="74" xr:uid="{00000000-0005-0000-0000-000047000000}"/>
    <cellStyle name="20% - Énfasis1 2 2 12" xfId="75" xr:uid="{00000000-0005-0000-0000-000048000000}"/>
    <cellStyle name="20% - Énfasis1 2 2 2" xfId="76" xr:uid="{00000000-0005-0000-0000-000049000000}"/>
    <cellStyle name="20% - Énfasis1 2 2 2 10" xfId="77" xr:uid="{00000000-0005-0000-0000-00004A000000}"/>
    <cellStyle name="20% - Énfasis1 2 2 2 2" xfId="78" xr:uid="{00000000-0005-0000-0000-00004B000000}"/>
    <cellStyle name="20% - Énfasis1 2 2 2 2 2" xfId="79" xr:uid="{00000000-0005-0000-0000-00004C000000}"/>
    <cellStyle name="20% - Énfasis1 2 2 2 2 2 2" xfId="80" xr:uid="{00000000-0005-0000-0000-00004D000000}"/>
    <cellStyle name="20% - Énfasis1 2 2 2 2 2 2 2" xfId="81" xr:uid="{00000000-0005-0000-0000-00004E000000}"/>
    <cellStyle name="20% - Énfasis1 2 2 2 2 2 2 2 2" xfId="82" xr:uid="{00000000-0005-0000-0000-00004F000000}"/>
    <cellStyle name="20% - Énfasis1 2 2 2 2 2 2 2 2 2" xfId="83" xr:uid="{00000000-0005-0000-0000-000050000000}"/>
    <cellStyle name="20% - Énfasis1 2 2 2 2 2 2 2 2 2 2" xfId="84" xr:uid="{00000000-0005-0000-0000-000051000000}"/>
    <cellStyle name="20% - Énfasis1 2 2 2 2 2 2 2 2 3" xfId="85" xr:uid="{00000000-0005-0000-0000-000052000000}"/>
    <cellStyle name="20% - Énfasis1 2 2 2 2 2 2 2 2 4" xfId="86" xr:uid="{00000000-0005-0000-0000-000053000000}"/>
    <cellStyle name="20% - Énfasis1 2 2 2 2 2 2 2 3" xfId="87" xr:uid="{00000000-0005-0000-0000-000054000000}"/>
    <cellStyle name="20% - Énfasis1 2 2 2 2 2 2 2 3 2" xfId="88" xr:uid="{00000000-0005-0000-0000-000055000000}"/>
    <cellStyle name="20% - Énfasis1 2 2 2 2 2 2 2 4" xfId="89" xr:uid="{00000000-0005-0000-0000-000056000000}"/>
    <cellStyle name="20% - Énfasis1 2 2 2 2 2 2 2 5" xfId="90" xr:uid="{00000000-0005-0000-0000-000057000000}"/>
    <cellStyle name="20% - Énfasis1 2 2 2 2 2 2 3" xfId="91" xr:uid="{00000000-0005-0000-0000-000058000000}"/>
    <cellStyle name="20% - Énfasis1 2 2 2 2 2 2 3 2" xfId="92" xr:uid="{00000000-0005-0000-0000-000059000000}"/>
    <cellStyle name="20% - Énfasis1 2 2 2 2 2 2 3 2 2" xfId="93" xr:uid="{00000000-0005-0000-0000-00005A000000}"/>
    <cellStyle name="20% - Énfasis1 2 2 2 2 2 2 3 3" xfId="94" xr:uid="{00000000-0005-0000-0000-00005B000000}"/>
    <cellStyle name="20% - Énfasis1 2 2 2 2 2 2 3 4" xfId="95" xr:uid="{00000000-0005-0000-0000-00005C000000}"/>
    <cellStyle name="20% - Énfasis1 2 2 2 2 2 2 4" xfId="96" xr:uid="{00000000-0005-0000-0000-00005D000000}"/>
    <cellStyle name="20% - Énfasis1 2 2 2 2 2 2 4 2" xfId="97" xr:uid="{00000000-0005-0000-0000-00005E000000}"/>
    <cellStyle name="20% - Énfasis1 2 2 2 2 2 2 5" xfId="98" xr:uid="{00000000-0005-0000-0000-00005F000000}"/>
    <cellStyle name="20% - Énfasis1 2 2 2 2 2 2 6" xfId="99" xr:uid="{00000000-0005-0000-0000-000060000000}"/>
    <cellStyle name="20% - Énfasis1 2 2 2 2 2 3" xfId="100" xr:uid="{00000000-0005-0000-0000-000061000000}"/>
    <cellStyle name="20% - Énfasis1 2 2 2 2 2 3 2" xfId="101" xr:uid="{00000000-0005-0000-0000-000062000000}"/>
    <cellStyle name="20% - Énfasis1 2 2 2 2 2 3 2 2" xfId="102" xr:uid="{00000000-0005-0000-0000-000063000000}"/>
    <cellStyle name="20% - Énfasis1 2 2 2 2 2 3 2 2 2" xfId="103" xr:uid="{00000000-0005-0000-0000-000064000000}"/>
    <cellStyle name="20% - Énfasis1 2 2 2 2 2 3 2 3" xfId="104" xr:uid="{00000000-0005-0000-0000-000065000000}"/>
    <cellStyle name="20% - Énfasis1 2 2 2 2 2 3 2 4" xfId="105" xr:uid="{00000000-0005-0000-0000-000066000000}"/>
    <cellStyle name="20% - Énfasis1 2 2 2 2 2 3 3" xfId="106" xr:uid="{00000000-0005-0000-0000-000067000000}"/>
    <cellStyle name="20% - Énfasis1 2 2 2 2 2 3 3 2" xfId="107" xr:uid="{00000000-0005-0000-0000-000068000000}"/>
    <cellStyle name="20% - Énfasis1 2 2 2 2 2 3 4" xfId="108" xr:uid="{00000000-0005-0000-0000-000069000000}"/>
    <cellStyle name="20% - Énfasis1 2 2 2 2 2 3 5" xfId="109" xr:uid="{00000000-0005-0000-0000-00006A000000}"/>
    <cellStyle name="20% - Énfasis1 2 2 2 2 2 4" xfId="110" xr:uid="{00000000-0005-0000-0000-00006B000000}"/>
    <cellStyle name="20% - Énfasis1 2 2 2 2 2 4 2" xfId="111" xr:uid="{00000000-0005-0000-0000-00006C000000}"/>
    <cellStyle name="20% - Énfasis1 2 2 2 2 2 4 2 2" xfId="112" xr:uid="{00000000-0005-0000-0000-00006D000000}"/>
    <cellStyle name="20% - Énfasis1 2 2 2 2 2 4 3" xfId="113" xr:uid="{00000000-0005-0000-0000-00006E000000}"/>
    <cellStyle name="20% - Énfasis1 2 2 2 2 2 4 4" xfId="114" xr:uid="{00000000-0005-0000-0000-00006F000000}"/>
    <cellStyle name="20% - Énfasis1 2 2 2 2 2 5" xfId="115" xr:uid="{00000000-0005-0000-0000-000070000000}"/>
    <cellStyle name="20% - Énfasis1 2 2 2 2 2 5 2" xfId="116" xr:uid="{00000000-0005-0000-0000-000071000000}"/>
    <cellStyle name="20% - Énfasis1 2 2 2 2 2 6" xfId="117" xr:uid="{00000000-0005-0000-0000-000072000000}"/>
    <cellStyle name="20% - Énfasis1 2 2 2 2 2 7" xfId="118" xr:uid="{00000000-0005-0000-0000-000073000000}"/>
    <cellStyle name="20% - Énfasis1 2 2 2 2 3" xfId="119" xr:uid="{00000000-0005-0000-0000-000074000000}"/>
    <cellStyle name="20% - Énfasis1 2 2 2 2 3 2" xfId="120" xr:uid="{00000000-0005-0000-0000-000075000000}"/>
    <cellStyle name="20% - Énfasis1 2 2 2 2 3 2 2" xfId="121" xr:uid="{00000000-0005-0000-0000-000076000000}"/>
    <cellStyle name="20% - Énfasis1 2 2 2 2 3 2 2 2" xfId="122" xr:uid="{00000000-0005-0000-0000-000077000000}"/>
    <cellStyle name="20% - Énfasis1 2 2 2 2 3 2 2 2 2" xfId="123" xr:uid="{00000000-0005-0000-0000-000078000000}"/>
    <cellStyle name="20% - Énfasis1 2 2 2 2 3 2 2 3" xfId="124" xr:uid="{00000000-0005-0000-0000-000079000000}"/>
    <cellStyle name="20% - Énfasis1 2 2 2 2 3 2 2 4" xfId="125" xr:uid="{00000000-0005-0000-0000-00007A000000}"/>
    <cellStyle name="20% - Énfasis1 2 2 2 2 3 2 3" xfId="126" xr:uid="{00000000-0005-0000-0000-00007B000000}"/>
    <cellStyle name="20% - Énfasis1 2 2 2 2 3 2 3 2" xfId="127" xr:uid="{00000000-0005-0000-0000-00007C000000}"/>
    <cellStyle name="20% - Énfasis1 2 2 2 2 3 2 4" xfId="128" xr:uid="{00000000-0005-0000-0000-00007D000000}"/>
    <cellStyle name="20% - Énfasis1 2 2 2 2 3 2 5" xfId="129" xr:uid="{00000000-0005-0000-0000-00007E000000}"/>
    <cellStyle name="20% - Énfasis1 2 2 2 2 3 3" xfId="130" xr:uid="{00000000-0005-0000-0000-00007F000000}"/>
    <cellStyle name="20% - Énfasis1 2 2 2 2 3 3 2" xfId="131" xr:uid="{00000000-0005-0000-0000-000080000000}"/>
    <cellStyle name="20% - Énfasis1 2 2 2 2 3 3 2 2" xfId="132" xr:uid="{00000000-0005-0000-0000-000081000000}"/>
    <cellStyle name="20% - Énfasis1 2 2 2 2 3 3 3" xfId="133" xr:uid="{00000000-0005-0000-0000-000082000000}"/>
    <cellStyle name="20% - Énfasis1 2 2 2 2 3 3 3 2" xfId="134" xr:uid="{00000000-0005-0000-0000-000083000000}"/>
    <cellStyle name="20% - Énfasis1 2 2 2 2 3 3 4" xfId="135" xr:uid="{00000000-0005-0000-0000-000084000000}"/>
    <cellStyle name="20% - Énfasis1 2 2 2 2 3 3 5" xfId="136" xr:uid="{00000000-0005-0000-0000-000085000000}"/>
    <cellStyle name="20% - Énfasis1 2 2 2 2 3 4" xfId="137" xr:uid="{00000000-0005-0000-0000-000086000000}"/>
    <cellStyle name="20% - Énfasis1 2 2 2 2 3 4 2" xfId="138" xr:uid="{00000000-0005-0000-0000-000087000000}"/>
    <cellStyle name="20% - Énfasis1 2 2 2 2 3 5" xfId="139" xr:uid="{00000000-0005-0000-0000-000088000000}"/>
    <cellStyle name="20% - Énfasis1 2 2 2 2 3 5 2" xfId="140" xr:uid="{00000000-0005-0000-0000-000089000000}"/>
    <cellStyle name="20% - Énfasis1 2 2 2 2 3 6" xfId="141" xr:uid="{00000000-0005-0000-0000-00008A000000}"/>
    <cellStyle name="20% - Énfasis1 2 2 2 2 3 7" xfId="142" xr:uid="{00000000-0005-0000-0000-00008B000000}"/>
    <cellStyle name="20% - Énfasis1 2 2 2 2 4" xfId="143" xr:uid="{00000000-0005-0000-0000-00008C000000}"/>
    <cellStyle name="20% - Énfasis1 2 2 2 2 4 2" xfId="144" xr:uid="{00000000-0005-0000-0000-00008D000000}"/>
    <cellStyle name="20% - Énfasis1 2 2 2 2 4 2 2" xfId="145" xr:uid="{00000000-0005-0000-0000-00008E000000}"/>
    <cellStyle name="20% - Énfasis1 2 2 2 2 4 2 2 2" xfId="146" xr:uid="{00000000-0005-0000-0000-00008F000000}"/>
    <cellStyle name="20% - Énfasis1 2 2 2 2 4 2 3" xfId="147" xr:uid="{00000000-0005-0000-0000-000090000000}"/>
    <cellStyle name="20% - Énfasis1 2 2 2 2 4 2 4" xfId="148" xr:uid="{00000000-0005-0000-0000-000091000000}"/>
    <cellStyle name="20% - Énfasis1 2 2 2 2 4 3" xfId="149" xr:uid="{00000000-0005-0000-0000-000092000000}"/>
    <cellStyle name="20% - Énfasis1 2 2 2 2 4 3 2" xfId="150" xr:uid="{00000000-0005-0000-0000-000093000000}"/>
    <cellStyle name="20% - Énfasis1 2 2 2 2 4 4" xfId="151" xr:uid="{00000000-0005-0000-0000-000094000000}"/>
    <cellStyle name="20% - Énfasis1 2 2 2 2 4 5" xfId="152" xr:uid="{00000000-0005-0000-0000-000095000000}"/>
    <cellStyle name="20% - Énfasis1 2 2 2 2 5" xfId="153" xr:uid="{00000000-0005-0000-0000-000096000000}"/>
    <cellStyle name="20% - Énfasis1 2 2 2 2 5 2" xfId="154" xr:uid="{00000000-0005-0000-0000-000097000000}"/>
    <cellStyle name="20% - Énfasis1 2 2 2 2 5 2 2" xfId="155" xr:uid="{00000000-0005-0000-0000-000098000000}"/>
    <cellStyle name="20% - Énfasis1 2 2 2 2 5 3" xfId="156" xr:uid="{00000000-0005-0000-0000-000099000000}"/>
    <cellStyle name="20% - Énfasis1 2 2 2 2 5 3 2" xfId="157" xr:uid="{00000000-0005-0000-0000-00009A000000}"/>
    <cellStyle name="20% - Énfasis1 2 2 2 2 5 4" xfId="158" xr:uid="{00000000-0005-0000-0000-00009B000000}"/>
    <cellStyle name="20% - Énfasis1 2 2 2 2 5 5" xfId="159" xr:uid="{00000000-0005-0000-0000-00009C000000}"/>
    <cellStyle name="20% - Énfasis1 2 2 2 2 6" xfId="160" xr:uid="{00000000-0005-0000-0000-00009D000000}"/>
    <cellStyle name="20% - Énfasis1 2 2 2 2 6 2" xfId="161" xr:uid="{00000000-0005-0000-0000-00009E000000}"/>
    <cellStyle name="20% - Énfasis1 2 2 2 2 7" xfId="162" xr:uid="{00000000-0005-0000-0000-00009F000000}"/>
    <cellStyle name="20% - Énfasis1 2 2 2 2 7 2" xfId="163" xr:uid="{00000000-0005-0000-0000-0000A0000000}"/>
    <cellStyle name="20% - Énfasis1 2 2 2 2 8" xfId="164" xr:uid="{00000000-0005-0000-0000-0000A1000000}"/>
    <cellStyle name="20% - Énfasis1 2 2 2 2 9" xfId="165" xr:uid="{00000000-0005-0000-0000-0000A2000000}"/>
    <cellStyle name="20% - Énfasis1 2 2 2 3" xfId="166" xr:uid="{00000000-0005-0000-0000-0000A3000000}"/>
    <cellStyle name="20% - Énfasis1 2 2 2 3 2" xfId="167" xr:uid="{00000000-0005-0000-0000-0000A4000000}"/>
    <cellStyle name="20% - Énfasis1 2 2 2 3 2 2" xfId="168" xr:uid="{00000000-0005-0000-0000-0000A5000000}"/>
    <cellStyle name="20% - Énfasis1 2 2 2 3 2 2 2" xfId="169" xr:uid="{00000000-0005-0000-0000-0000A6000000}"/>
    <cellStyle name="20% - Énfasis1 2 2 2 3 2 2 2 2" xfId="170" xr:uid="{00000000-0005-0000-0000-0000A7000000}"/>
    <cellStyle name="20% - Énfasis1 2 2 2 3 2 2 2 2 2" xfId="171" xr:uid="{00000000-0005-0000-0000-0000A8000000}"/>
    <cellStyle name="20% - Énfasis1 2 2 2 3 2 2 2 3" xfId="172" xr:uid="{00000000-0005-0000-0000-0000A9000000}"/>
    <cellStyle name="20% - Énfasis1 2 2 2 3 2 2 2 4" xfId="173" xr:uid="{00000000-0005-0000-0000-0000AA000000}"/>
    <cellStyle name="20% - Énfasis1 2 2 2 3 2 2 3" xfId="174" xr:uid="{00000000-0005-0000-0000-0000AB000000}"/>
    <cellStyle name="20% - Énfasis1 2 2 2 3 2 2 3 2" xfId="175" xr:uid="{00000000-0005-0000-0000-0000AC000000}"/>
    <cellStyle name="20% - Énfasis1 2 2 2 3 2 2 4" xfId="176" xr:uid="{00000000-0005-0000-0000-0000AD000000}"/>
    <cellStyle name="20% - Énfasis1 2 2 2 3 2 2 5" xfId="177" xr:uid="{00000000-0005-0000-0000-0000AE000000}"/>
    <cellStyle name="20% - Énfasis1 2 2 2 3 2 3" xfId="178" xr:uid="{00000000-0005-0000-0000-0000AF000000}"/>
    <cellStyle name="20% - Énfasis1 2 2 2 3 2 3 2" xfId="179" xr:uid="{00000000-0005-0000-0000-0000B0000000}"/>
    <cellStyle name="20% - Énfasis1 2 2 2 3 2 3 2 2" xfId="180" xr:uid="{00000000-0005-0000-0000-0000B1000000}"/>
    <cellStyle name="20% - Énfasis1 2 2 2 3 2 3 3" xfId="181" xr:uid="{00000000-0005-0000-0000-0000B2000000}"/>
    <cellStyle name="20% - Énfasis1 2 2 2 3 2 3 4" xfId="182" xr:uid="{00000000-0005-0000-0000-0000B3000000}"/>
    <cellStyle name="20% - Énfasis1 2 2 2 3 2 4" xfId="183" xr:uid="{00000000-0005-0000-0000-0000B4000000}"/>
    <cellStyle name="20% - Énfasis1 2 2 2 3 2 4 2" xfId="184" xr:uid="{00000000-0005-0000-0000-0000B5000000}"/>
    <cellStyle name="20% - Énfasis1 2 2 2 3 2 5" xfId="185" xr:uid="{00000000-0005-0000-0000-0000B6000000}"/>
    <cellStyle name="20% - Énfasis1 2 2 2 3 2 6" xfId="186" xr:uid="{00000000-0005-0000-0000-0000B7000000}"/>
    <cellStyle name="20% - Énfasis1 2 2 2 3 3" xfId="187" xr:uid="{00000000-0005-0000-0000-0000B8000000}"/>
    <cellStyle name="20% - Énfasis1 2 2 2 3 3 2" xfId="188" xr:uid="{00000000-0005-0000-0000-0000B9000000}"/>
    <cellStyle name="20% - Énfasis1 2 2 2 3 3 2 2" xfId="189" xr:uid="{00000000-0005-0000-0000-0000BA000000}"/>
    <cellStyle name="20% - Énfasis1 2 2 2 3 3 2 2 2" xfId="190" xr:uid="{00000000-0005-0000-0000-0000BB000000}"/>
    <cellStyle name="20% - Énfasis1 2 2 2 3 3 2 3" xfId="191" xr:uid="{00000000-0005-0000-0000-0000BC000000}"/>
    <cellStyle name="20% - Énfasis1 2 2 2 3 3 2 4" xfId="192" xr:uid="{00000000-0005-0000-0000-0000BD000000}"/>
    <cellStyle name="20% - Énfasis1 2 2 2 3 3 3" xfId="193" xr:uid="{00000000-0005-0000-0000-0000BE000000}"/>
    <cellStyle name="20% - Énfasis1 2 2 2 3 3 3 2" xfId="194" xr:uid="{00000000-0005-0000-0000-0000BF000000}"/>
    <cellStyle name="20% - Énfasis1 2 2 2 3 3 4" xfId="195" xr:uid="{00000000-0005-0000-0000-0000C0000000}"/>
    <cellStyle name="20% - Énfasis1 2 2 2 3 3 5" xfId="196" xr:uid="{00000000-0005-0000-0000-0000C1000000}"/>
    <cellStyle name="20% - Énfasis1 2 2 2 3 4" xfId="197" xr:uid="{00000000-0005-0000-0000-0000C2000000}"/>
    <cellStyle name="20% - Énfasis1 2 2 2 3 4 2" xfId="198" xr:uid="{00000000-0005-0000-0000-0000C3000000}"/>
    <cellStyle name="20% - Énfasis1 2 2 2 3 4 2 2" xfId="199" xr:uid="{00000000-0005-0000-0000-0000C4000000}"/>
    <cellStyle name="20% - Énfasis1 2 2 2 3 4 3" xfId="200" xr:uid="{00000000-0005-0000-0000-0000C5000000}"/>
    <cellStyle name="20% - Énfasis1 2 2 2 3 4 4" xfId="201" xr:uid="{00000000-0005-0000-0000-0000C6000000}"/>
    <cellStyle name="20% - Énfasis1 2 2 2 3 5" xfId="202" xr:uid="{00000000-0005-0000-0000-0000C7000000}"/>
    <cellStyle name="20% - Énfasis1 2 2 2 3 5 2" xfId="203" xr:uid="{00000000-0005-0000-0000-0000C8000000}"/>
    <cellStyle name="20% - Énfasis1 2 2 2 3 6" xfId="204" xr:uid="{00000000-0005-0000-0000-0000C9000000}"/>
    <cellStyle name="20% - Énfasis1 2 2 2 3 7" xfId="205" xr:uid="{00000000-0005-0000-0000-0000CA000000}"/>
    <cellStyle name="20% - Énfasis1 2 2 2 4" xfId="206" xr:uid="{00000000-0005-0000-0000-0000CB000000}"/>
    <cellStyle name="20% - Énfasis1 2 2 2 4 2" xfId="207" xr:uid="{00000000-0005-0000-0000-0000CC000000}"/>
    <cellStyle name="20% - Énfasis1 2 2 2 4 2 2" xfId="208" xr:uid="{00000000-0005-0000-0000-0000CD000000}"/>
    <cellStyle name="20% - Énfasis1 2 2 2 4 2 2 2" xfId="209" xr:uid="{00000000-0005-0000-0000-0000CE000000}"/>
    <cellStyle name="20% - Énfasis1 2 2 2 4 2 2 2 2" xfId="210" xr:uid="{00000000-0005-0000-0000-0000CF000000}"/>
    <cellStyle name="20% - Énfasis1 2 2 2 4 2 2 3" xfId="211" xr:uid="{00000000-0005-0000-0000-0000D0000000}"/>
    <cellStyle name="20% - Énfasis1 2 2 2 4 2 2 4" xfId="212" xr:uid="{00000000-0005-0000-0000-0000D1000000}"/>
    <cellStyle name="20% - Énfasis1 2 2 2 4 2 3" xfId="213" xr:uid="{00000000-0005-0000-0000-0000D2000000}"/>
    <cellStyle name="20% - Énfasis1 2 2 2 4 2 3 2" xfId="214" xr:uid="{00000000-0005-0000-0000-0000D3000000}"/>
    <cellStyle name="20% - Énfasis1 2 2 2 4 2 4" xfId="215" xr:uid="{00000000-0005-0000-0000-0000D4000000}"/>
    <cellStyle name="20% - Énfasis1 2 2 2 4 2 5" xfId="216" xr:uid="{00000000-0005-0000-0000-0000D5000000}"/>
    <cellStyle name="20% - Énfasis1 2 2 2 4 3" xfId="217" xr:uid="{00000000-0005-0000-0000-0000D6000000}"/>
    <cellStyle name="20% - Énfasis1 2 2 2 4 3 2" xfId="218" xr:uid="{00000000-0005-0000-0000-0000D7000000}"/>
    <cellStyle name="20% - Énfasis1 2 2 2 4 3 2 2" xfId="219" xr:uid="{00000000-0005-0000-0000-0000D8000000}"/>
    <cellStyle name="20% - Énfasis1 2 2 2 4 3 3" xfId="220" xr:uid="{00000000-0005-0000-0000-0000D9000000}"/>
    <cellStyle name="20% - Énfasis1 2 2 2 4 3 3 2" xfId="221" xr:uid="{00000000-0005-0000-0000-0000DA000000}"/>
    <cellStyle name="20% - Énfasis1 2 2 2 4 3 4" xfId="222" xr:uid="{00000000-0005-0000-0000-0000DB000000}"/>
    <cellStyle name="20% - Énfasis1 2 2 2 4 3 5" xfId="223" xr:uid="{00000000-0005-0000-0000-0000DC000000}"/>
    <cellStyle name="20% - Énfasis1 2 2 2 4 4" xfId="224" xr:uid="{00000000-0005-0000-0000-0000DD000000}"/>
    <cellStyle name="20% - Énfasis1 2 2 2 4 4 2" xfId="225" xr:uid="{00000000-0005-0000-0000-0000DE000000}"/>
    <cellStyle name="20% - Énfasis1 2 2 2 4 5" xfId="226" xr:uid="{00000000-0005-0000-0000-0000DF000000}"/>
    <cellStyle name="20% - Énfasis1 2 2 2 4 5 2" xfId="227" xr:uid="{00000000-0005-0000-0000-0000E0000000}"/>
    <cellStyle name="20% - Énfasis1 2 2 2 4 6" xfId="228" xr:uid="{00000000-0005-0000-0000-0000E1000000}"/>
    <cellStyle name="20% - Énfasis1 2 2 2 4 7" xfId="229" xr:uid="{00000000-0005-0000-0000-0000E2000000}"/>
    <cellStyle name="20% - Énfasis1 2 2 2 5" xfId="230" xr:uid="{00000000-0005-0000-0000-0000E3000000}"/>
    <cellStyle name="20% - Énfasis1 2 2 2 5 2" xfId="231" xr:uid="{00000000-0005-0000-0000-0000E4000000}"/>
    <cellStyle name="20% - Énfasis1 2 2 2 5 2 2" xfId="232" xr:uid="{00000000-0005-0000-0000-0000E5000000}"/>
    <cellStyle name="20% - Énfasis1 2 2 2 5 2 2 2" xfId="233" xr:uid="{00000000-0005-0000-0000-0000E6000000}"/>
    <cellStyle name="20% - Énfasis1 2 2 2 5 2 3" xfId="234" xr:uid="{00000000-0005-0000-0000-0000E7000000}"/>
    <cellStyle name="20% - Énfasis1 2 2 2 5 2 4" xfId="235" xr:uid="{00000000-0005-0000-0000-0000E8000000}"/>
    <cellStyle name="20% - Énfasis1 2 2 2 5 3" xfId="236" xr:uid="{00000000-0005-0000-0000-0000E9000000}"/>
    <cellStyle name="20% - Énfasis1 2 2 2 5 3 2" xfId="237" xr:uid="{00000000-0005-0000-0000-0000EA000000}"/>
    <cellStyle name="20% - Énfasis1 2 2 2 5 4" xfId="238" xr:uid="{00000000-0005-0000-0000-0000EB000000}"/>
    <cellStyle name="20% - Énfasis1 2 2 2 5 5" xfId="239" xr:uid="{00000000-0005-0000-0000-0000EC000000}"/>
    <cellStyle name="20% - Énfasis1 2 2 2 6" xfId="240" xr:uid="{00000000-0005-0000-0000-0000ED000000}"/>
    <cellStyle name="20% - Énfasis1 2 2 2 6 2" xfId="241" xr:uid="{00000000-0005-0000-0000-0000EE000000}"/>
    <cellStyle name="20% - Énfasis1 2 2 2 6 2 2" xfId="242" xr:uid="{00000000-0005-0000-0000-0000EF000000}"/>
    <cellStyle name="20% - Énfasis1 2 2 2 6 3" xfId="243" xr:uid="{00000000-0005-0000-0000-0000F0000000}"/>
    <cellStyle name="20% - Énfasis1 2 2 2 6 3 2" xfId="244" xr:uid="{00000000-0005-0000-0000-0000F1000000}"/>
    <cellStyle name="20% - Énfasis1 2 2 2 6 4" xfId="245" xr:uid="{00000000-0005-0000-0000-0000F2000000}"/>
    <cellStyle name="20% - Énfasis1 2 2 2 6 5" xfId="246" xr:uid="{00000000-0005-0000-0000-0000F3000000}"/>
    <cellStyle name="20% - Énfasis1 2 2 2 7" xfId="247" xr:uid="{00000000-0005-0000-0000-0000F4000000}"/>
    <cellStyle name="20% - Énfasis1 2 2 2 7 2" xfId="248" xr:uid="{00000000-0005-0000-0000-0000F5000000}"/>
    <cellStyle name="20% - Énfasis1 2 2 2 8" xfId="249" xr:uid="{00000000-0005-0000-0000-0000F6000000}"/>
    <cellStyle name="20% - Énfasis1 2 2 2 8 2" xfId="250" xr:uid="{00000000-0005-0000-0000-0000F7000000}"/>
    <cellStyle name="20% - Énfasis1 2 2 2 9" xfId="251" xr:uid="{00000000-0005-0000-0000-0000F8000000}"/>
    <cellStyle name="20% - Énfasis1 2 2 3" xfId="252" xr:uid="{00000000-0005-0000-0000-0000F9000000}"/>
    <cellStyle name="20% - Énfasis1 2 2 3 2" xfId="253" xr:uid="{00000000-0005-0000-0000-0000FA000000}"/>
    <cellStyle name="20% - Énfasis1 2 2 3 2 2" xfId="254" xr:uid="{00000000-0005-0000-0000-0000FB000000}"/>
    <cellStyle name="20% - Énfasis1 2 2 3 2 2 2" xfId="255" xr:uid="{00000000-0005-0000-0000-0000FC000000}"/>
    <cellStyle name="20% - Énfasis1 2 2 3 2 2 2 2" xfId="256" xr:uid="{00000000-0005-0000-0000-0000FD000000}"/>
    <cellStyle name="20% - Énfasis1 2 2 3 2 2 2 2 2" xfId="257" xr:uid="{00000000-0005-0000-0000-0000FE000000}"/>
    <cellStyle name="20% - Énfasis1 2 2 3 2 2 2 2 2 2" xfId="258" xr:uid="{00000000-0005-0000-0000-0000FF000000}"/>
    <cellStyle name="20% - Énfasis1 2 2 3 2 2 2 2 3" xfId="259" xr:uid="{00000000-0005-0000-0000-000000010000}"/>
    <cellStyle name="20% - Énfasis1 2 2 3 2 2 2 2 4" xfId="260" xr:uid="{00000000-0005-0000-0000-000001010000}"/>
    <cellStyle name="20% - Énfasis1 2 2 3 2 2 2 3" xfId="261" xr:uid="{00000000-0005-0000-0000-000002010000}"/>
    <cellStyle name="20% - Énfasis1 2 2 3 2 2 2 3 2" xfId="262" xr:uid="{00000000-0005-0000-0000-000003010000}"/>
    <cellStyle name="20% - Énfasis1 2 2 3 2 2 2 4" xfId="263" xr:uid="{00000000-0005-0000-0000-000004010000}"/>
    <cellStyle name="20% - Énfasis1 2 2 3 2 2 2 5" xfId="264" xr:uid="{00000000-0005-0000-0000-000005010000}"/>
    <cellStyle name="20% - Énfasis1 2 2 3 2 2 3" xfId="265" xr:uid="{00000000-0005-0000-0000-000006010000}"/>
    <cellStyle name="20% - Énfasis1 2 2 3 2 2 3 2" xfId="266" xr:uid="{00000000-0005-0000-0000-000007010000}"/>
    <cellStyle name="20% - Énfasis1 2 2 3 2 2 3 2 2" xfId="267" xr:uid="{00000000-0005-0000-0000-000008010000}"/>
    <cellStyle name="20% - Énfasis1 2 2 3 2 2 3 3" xfId="268" xr:uid="{00000000-0005-0000-0000-000009010000}"/>
    <cellStyle name="20% - Énfasis1 2 2 3 2 2 3 4" xfId="269" xr:uid="{00000000-0005-0000-0000-00000A010000}"/>
    <cellStyle name="20% - Énfasis1 2 2 3 2 2 4" xfId="270" xr:uid="{00000000-0005-0000-0000-00000B010000}"/>
    <cellStyle name="20% - Énfasis1 2 2 3 2 2 4 2" xfId="271" xr:uid="{00000000-0005-0000-0000-00000C010000}"/>
    <cellStyle name="20% - Énfasis1 2 2 3 2 2 5" xfId="272" xr:uid="{00000000-0005-0000-0000-00000D010000}"/>
    <cellStyle name="20% - Énfasis1 2 2 3 2 2 6" xfId="273" xr:uid="{00000000-0005-0000-0000-00000E010000}"/>
    <cellStyle name="20% - Énfasis1 2 2 3 2 3" xfId="274" xr:uid="{00000000-0005-0000-0000-00000F010000}"/>
    <cellStyle name="20% - Énfasis1 2 2 3 2 3 2" xfId="275" xr:uid="{00000000-0005-0000-0000-000010010000}"/>
    <cellStyle name="20% - Énfasis1 2 2 3 2 3 2 2" xfId="276" xr:uid="{00000000-0005-0000-0000-000011010000}"/>
    <cellStyle name="20% - Énfasis1 2 2 3 2 3 2 2 2" xfId="277" xr:uid="{00000000-0005-0000-0000-000012010000}"/>
    <cellStyle name="20% - Énfasis1 2 2 3 2 3 2 3" xfId="278" xr:uid="{00000000-0005-0000-0000-000013010000}"/>
    <cellStyle name="20% - Énfasis1 2 2 3 2 3 2 4" xfId="279" xr:uid="{00000000-0005-0000-0000-000014010000}"/>
    <cellStyle name="20% - Énfasis1 2 2 3 2 3 3" xfId="280" xr:uid="{00000000-0005-0000-0000-000015010000}"/>
    <cellStyle name="20% - Énfasis1 2 2 3 2 3 3 2" xfId="281" xr:uid="{00000000-0005-0000-0000-000016010000}"/>
    <cellStyle name="20% - Énfasis1 2 2 3 2 3 4" xfId="282" xr:uid="{00000000-0005-0000-0000-000017010000}"/>
    <cellStyle name="20% - Énfasis1 2 2 3 2 3 5" xfId="283" xr:uid="{00000000-0005-0000-0000-000018010000}"/>
    <cellStyle name="20% - Énfasis1 2 2 3 2 4" xfId="284" xr:uid="{00000000-0005-0000-0000-000019010000}"/>
    <cellStyle name="20% - Énfasis1 2 2 3 2 4 2" xfId="285" xr:uid="{00000000-0005-0000-0000-00001A010000}"/>
    <cellStyle name="20% - Énfasis1 2 2 3 2 4 2 2" xfId="286" xr:uid="{00000000-0005-0000-0000-00001B010000}"/>
    <cellStyle name="20% - Énfasis1 2 2 3 2 4 3" xfId="287" xr:uid="{00000000-0005-0000-0000-00001C010000}"/>
    <cellStyle name="20% - Énfasis1 2 2 3 2 4 4" xfId="288" xr:uid="{00000000-0005-0000-0000-00001D010000}"/>
    <cellStyle name="20% - Énfasis1 2 2 3 2 5" xfId="289" xr:uid="{00000000-0005-0000-0000-00001E010000}"/>
    <cellStyle name="20% - Énfasis1 2 2 3 2 5 2" xfId="290" xr:uid="{00000000-0005-0000-0000-00001F010000}"/>
    <cellStyle name="20% - Énfasis1 2 2 3 2 6" xfId="291" xr:uid="{00000000-0005-0000-0000-000020010000}"/>
    <cellStyle name="20% - Énfasis1 2 2 3 2 7" xfId="292" xr:uid="{00000000-0005-0000-0000-000021010000}"/>
    <cellStyle name="20% - Énfasis1 2 2 3 3" xfId="293" xr:uid="{00000000-0005-0000-0000-000022010000}"/>
    <cellStyle name="20% - Énfasis1 2 2 3 3 2" xfId="294" xr:uid="{00000000-0005-0000-0000-000023010000}"/>
    <cellStyle name="20% - Énfasis1 2 2 3 3 2 2" xfId="295" xr:uid="{00000000-0005-0000-0000-000024010000}"/>
    <cellStyle name="20% - Énfasis1 2 2 3 3 2 2 2" xfId="296" xr:uid="{00000000-0005-0000-0000-000025010000}"/>
    <cellStyle name="20% - Énfasis1 2 2 3 3 2 2 2 2" xfId="297" xr:uid="{00000000-0005-0000-0000-000026010000}"/>
    <cellStyle name="20% - Énfasis1 2 2 3 3 2 2 3" xfId="298" xr:uid="{00000000-0005-0000-0000-000027010000}"/>
    <cellStyle name="20% - Énfasis1 2 2 3 3 2 2 4" xfId="299" xr:uid="{00000000-0005-0000-0000-000028010000}"/>
    <cellStyle name="20% - Énfasis1 2 2 3 3 2 3" xfId="300" xr:uid="{00000000-0005-0000-0000-000029010000}"/>
    <cellStyle name="20% - Énfasis1 2 2 3 3 2 3 2" xfId="301" xr:uid="{00000000-0005-0000-0000-00002A010000}"/>
    <cellStyle name="20% - Énfasis1 2 2 3 3 2 4" xfId="302" xr:uid="{00000000-0005-0000-0000-00002B010000}"/>
    <cellStyle name="20% - Énfasis1 2 2 3 3 2 5" xfId="303" xr:uid="{00000000-0005-0000-0000-00002C010000}"/>
    <cellStyle name="20% - Énfasis1 2 2 3 3 3" xfId="304" xr:uid="{00000000-0005-0000-0000-00002D010000}"/>
    <cellStyle name="20% - Énfasis1 2 2 3 3 3 2" xfId="305" xr:uid="{00000000-0005-0000-0000-00002E010000}"/>
    <cellStyle name="20% - Énfasis1 2 2 3 3 3 2 2" xfId="306" xr:uid="{00000000-0005-0000-0000-00002F010000}"/>
    <cellStyle name="20% - Énfasis1 2 2 3 3 3 3" xfId="307" xr:uid="{00000000-0005-0000-0000-000030010000}"/>
    <cellStyle name="20% - Énfasis1 2 2 3 3 3 3 2" xfId="308" xr:uid="{00000000-0005-0000-0000-000031010000}"/>
    <cellStyle name="20% - Énfasis1 2 2 3 3 3 4" xfId="309" xr:uid="{00000000-0005-0000-0000-000032010000}"/>
    <cellStyle name="20% - Énfasis1 2 2 3 3 3 5" xfId="310" xr:uid="{00000000-0005-0000-0000-000033010000}"/>
    <cellStyle name="20% - Énfasis1 2 2 3 3 4" xfId="311" xr:uid="{00000000-0005-0000-0000-000034010000}"/>
    <cellStyle name="20% - Énfasis1 2 2 3 3 4 2" xfId="312" xr:uid="{00000000-0005-0000-0000-000035010000}"/>
    <cellStyle name="20% - Énfasis1 2 2 3 3 5" xfId="313" xr:uid="{00000000-0005-0000-0000-000036010000}"/>
    <cellStyle name="20% - Énfasis1 2 2 3 3 5 2" xfId="314" xr:uid="{00000000-0005-0000-0000-000037010000}"/>
    <cellStyle name="20% - Énfasis1 2 2 3 3 6" xfId="315" xr:uid="{00000000-0005-0000-0000-000038010000}"/>
    <cellStyle name="20% - Énfasis1 2 2 3 3 7" xfId="316" xr:uid="{00000000-0005-0000-0000-000039010000}"/>
    <cellStyle name="20% - Énfasis1 2 2 3 4" xfId="317" xr:uid="{00000000-0005-0000-0000-00003A010000}"/>
    <cellStyle name="20% - Énfasis1 2 2 3 4 2" xfId="318" xr:uid="{00000000-0005-0000-0000-00003B010000}"/>
    <cellStyle name="20% - Énfasis1 2 2 3 4 2 2" xfId="319" xr:uid="{00000000-0005-0000-0000-00003C010000}"/>
    <cellStyle name="20% - Énfasis1 2 2 3 4 2 2 2" xfId="320" xr:uid="{00000000-0005-0000-0000-00003D010000}"/>
    <cellStyle name="20% - Énfasis1 2 2 3 4 2 3" xfId="321" xr:uid="{00000000-0005-0000-0000-00003E010000}"/>
    <cellStyle name="20% - Énfasis1 2 2 3 4 2 4" xfId="322" xr:uid="{00000000-0005-0000-0000-00003F010000}"/>
    <cellStyle name="20% - Énfasis1 2 2 3 4 3" xfId="323" xr:uid="{00000000-0005-0000-0000-000040010000}"/>
    <cellStyle name="20% - Énfasis1 2 2 3 4 3 2" xfId="324" xr:uid="{00000000-0005-0000-0000-000041010000}"/>
    <cellStyle name="20% - Énfasis1 2 2 3 4 4" xfId="325" xr:uid="{00000000-0005-0000-0000-000042010000}"/>
    <cellStyle name="20% - Énfasis1 2 2 3 4 5" xfId="326" xr:uid="{00000000-0005-0000-0000-000043010000}"/>
    <cellStyle name="20% - Énfasis1 2 2 3 5" xfId="327" xr:uid="{00000000-0005-0000-0000-000044010000}"/>
    <cellStyle name="20% - Énfasis1 2 2 3 5 2" xfId="328" xr:uid="{00000000-0005-0000-0000-000045010000}"/>
    <cellStyle name="20% - Énfasis1 2 2 3 5 2 2" xfId="329" xr:uid="{00000000-0005-0000-0000-000046010000}"/>
    <cellStyle name="20% - Énfasis1 2 2 3 5 3" xfId="330" xr:uid="{00000000-0005-0000-0000-000047010000}"/>
    <cellStyle name="20% - Énfasis1 2 2 3 5 3 2" xfId="331" xr:uid="{00000000-0005-0000-0000-000048010000}"/>
    <cellStyle name="20% - Énfasis1 2 2 3 5 4" xfId="332" xr:uid="{00000000-0005-0000-0000-000049010000}"/>
    <cellStyle name="20% - Énfasis1 2 2 3 5 5" xfId="333" xr:uid="{00000000-0005-0000-0000-00004A010000}"/>
    <cellStyle name="20% - Énfasis1 2 2 3 6" xfId="334" xr:uid="{00000000-0005-0000-0000-00004B010000}"/>
    <cellStyle name="20% - Énfasis1 2 2 3 6 2" xfId="335" xr:uid="{00000000-0005-0000-0000-00004C010000}"/>
    <cellStyle name="20% - Énfasis1 2 2 3 7" xfId="336" xr:uid="{00000000-0005-0000-0000-00004D010000}"/>
    <cellStyle name="20% - Énfasis1 2 2 3 7 2" xfId="337" xr:uid="{00000000-0005-0000-0000-00004E010000}"/>
    <cellStyle name="20% - Énfasis1 2 2 3 8" xfId="338" xr:uid="{00000000-0005-0000-0000-00004F010000}"/>
    <cellStyle name="20% - Énfasis1 2 2 3 9" xfId="339" xr:uid="{00000000-0005-0000-0000-000050010000}"/>
    <cellStyle name="20% - Énfasis1 2 2 4" xfId="340" xr:uid="{00000000-0005-0000-0000-000051010000}"/>
    <cellStyle name="20% - Énfasis1 2 2 4 2" xfId="341" xr:uid="{00000000-0005-0000-0000-000052010000}"/>
    <cellStyle name="20% - Énfasis1 2 2 4 2 2" xfId="342" xr:uid="{00000000-0005-0000-0000-000053010000}"/>
    <cellStyle name="20% - Énfasis1 2 2 4 2 2 2" xfId="343" xr:uid="{00000000-0005-0000-0000-000054010000}"/>
    <cellStyle name="20% - Énfasis1 2 2 4 2 2 2 2" xfId="344" xr:uid="{00000000-0005-0000-0000-000055010000}"/>
    <cellStyle name="20% - Énfasis1 2 2 4 2 2 2 2 2" xfId="345" xr:uid="{00000000-0005-0000-0000-000056010000}"/>
    <cellStyle name="20% - Énfasis1 2 2 4 2 2 2 3" xfId="346" xr:uid="{00000000-0005-0000-0000-000057010000}"/>
    <cellStyle name="20% - Énfasis1 2 2 4 2 2 2 4" xfId="347" xr:uid="{00000000-0005-0000-0000-000058010000}"/>
    <cellStyle name="20% - Énfasis1 2 2 4 2 2 3" xfId="348" xr:uid="{00000000-0005-0000-0000-000059010000}"/>
    <cellStyle name="20% - Énfasis1 2 2 4 2 2 3 2" xfId="349" xr:uid="{00000000-0005-0000-0000-00005A010000}"/>
    <cellStyle name="20% - Énfasis1 2 2 4 2 2 4" xfId="350" xr:uid="{00000000-0005-0000-0000-00005B010000}"/>
    <cellStyle name="20% - Énfasis1 2 2 4 2 2 5" xfId="351" xr:uid="{00000000-0005-0000-0000-00005C010000}"/>
    <cellStyle name="20% - Énfasis1 2 2 4 2 3" xfId="352" xr:uid="{00000000-0005-0000-0000-00005D010000}"/>
    <cellStyle name="20% - Énfasis1 2 2 4 2 3 2" xfId="353" xr:uid="{00000000-0005-0000-0000-00005E010000}"/>
    <cellStyle name="20% - Énfasis1 2 2 4 2 3 2 2" xfId="354" xr:uid="{00000000-0005-0000-0000-00005F010000}"/>
    <cellStyle name="20% - Énfasis1 2 2 4 2 3 3" xfId="355" xr:uid="{00000000-0005-0000-0000-000060010000}"/>
    <cellStyle name="20% - Énfasis1 2 2 4 2 3 3 2" xfId="356" xr:uid="{00000000-0005-0000-0000-000061010000}"/>
    <cellStyle name="20% - Énfasis1 2 2 4 2 3 4" xfId="357" xr:uid="{00000000-0005-0000-0000-000062010000}"/>
    <cellStyle name="20% - Énfasis1 2 2 4 2 3 5" xfId="358" xr:uid="{00000000-0005-0000-0000-000063010000}"/>
    <cellStyle name="20% - Énfasis1 2 2 4 2 4" xfId="359" xr:uid="{00000000-0005-0000-0000-000064010000}"/>
    <cellStyle name="20% - Énfasis1 2 2 4 2 4 2" xfId="360" xr:uid="{00000000-0005-0000-0000-000065010000}"/>
    <cellStyle name="20% - Énfasis1 2 2 4 2 5" xfId="361" xr:uid="{00000000-0005-0000-0000-000066010000}"/>
    <cellStyle name="20% - Énfasis1 2 2 4 2 5 2" xfId="362" xr:uid="{00000000-0005-0000-0000-000067010000}"/>
    <cellStyle name="20% - Énfasis1 2 2 4 2 6" xfId="363" xr:uid="{00000000-0005-0000-0000-000068010000}"/>
    <cellStyle name="20% - Énfasis1 2 2 4 2 7" xfId="364" xr:uid="{00000000-0005-0000-0000-000069010000}"/>
    <cellStyle name="20% - Énfasis1 2 2 4 3" xfId="365" xr:uid="{00000000-0005-0000-0000-00006A010000}"/>
    <cellStyle name="20% - Énfasis1 2 2 4 3 2" xfId="366" xr:uid="{00000000-0005-0000-0000-00006B010000}"/>
    <cellStyle name="20% - Énfasis1 2 2 4 3 2 2" xfId="367" xr:uid="{00000000-0005-0000-0000-00006C010000}"/>
    <cellStyle name="20% - Énfasis1 2 2 4 3 2 2 2" xfId="368" xr:uid="{00000000-0005-0000-0000-00006D010000}"/>
    <cellStyle name="20% - Énfasis1 2 2 4 3 2 3" xfId="369" xr:uid="{00000000-0005-0000-0000-00006E010000}"/>
    <cellStyle name="20% - Énfasis1 2 2 4 3 2 4" xfId="370" xr:uid="{00000000-0005-0000-0000-00006F010000}"/>
    <cellStyle name="20% - Énfasis1 2 2 4 3 3" xfId="371" xr:uid="{00000000-0005-0000-0000-000070010000}"/>
    <cellStyle name="20% - Énfasis1 2 2 4 3 3 2" xfId="372" xr:uid="{00000000-0005-0000-0000-000071010000}"/>
    <cellStyle name="20% - Énfasis1 2 2 4 3 4" xfId="373" xr:uid="{00000000-0005-0000-0000-000072010000}"/>
    <cellStyle name="20% - Énfasis1 2 2 4 3 5" xfId="374" xr:uid="{00000000-0005-0000-0000-000073010000}"/>
    <cellStyle name="20% - Énfasis1 2 2 4 4" xfId="375" xr:uid="{00000000-0005-0000-0000-000074010000}"/>
    <cellStyle name="20% - Énfasis1 2 2 4 4 2" xfId="376" xr:uid="{00000000-0005-0000-0000-000075010000}"/>
    <cellStyle name="20% - Énfasis1 2 2 4 4 2 2" xfId="377" xr:uid="{00000000-0005-0000-0000-000076010000}"/>
    <cellStyle name="20% - Énfasis1 2 2 4 4 3" xfId="378" xr:uid="{00000000-0005-0000-0000-000077010000}"/>
    <cellStyle name="20% - Énfasis1 2 2 4 4 3 2" xfId="379" xr:uid="{00000000-0005-0000-0000-000078010000}"/>
    <cellStyle name="20% - Énfasis1 2 2 4 4 4" xfId="380" xr:uid="{00000000-0005-0000-0000-000079010000}"/>
    <cellStyle name="20% - Énfasis1 2 2 4 4 5" xfId="381" xr:uid="{00000000-0005-0000-0000-00007A010000}"/>
    <cellStyle name="20% - Énfasis1 2 2 4 5" xfId="382" xr:uid="{00000000-0005-0000-0000-00007B010000}"/>
    <cellStyle name="20% - Énfasis1 2 2 4 5 2" xfId="383" xr:uid="{00000000-0005-0000-0000-00007C010000}"/>
    <cellStyle name="20% - Énfasis1 2 2 4 6" xfId="384" xr:uid="{00000000-0005-0000-0000-00007D010000}"/>
    <cellStyle name="20% - Énfasis1 2 2 4 6 2" xfId="385" xr:uid="{00000000-0005-0000-0000-00007E010000}"/>
    <cellStyle name="20% - Énfasis1 2 2 4 7" xfId="386" xr:uid="{00000000-0005-0000-0000-00007F010000}"/>
    <cellStyle name="20% - Énfasis1 2 2 4 8" xfId="387" xr:uid="{00000000-0005-0000-0000-000080010000}"/>
    <cellStyle name="20% - Énfasis1 2 2 5" xfId="388" xr:uid="{00000000-0005-0000-0000-000081010000}"/>
    <cellStyle name="20% - Énfasis1 2 2 5 2" xfId="389" xr:uid="{00000000-0005-0000-0000-000082010000}"/>
    <cellStyle name="20% - Énfasis1 2 2 5 2 2" xfId="390" xr:uid="{00000000-0005-0000-0000-000083010000}"/>
    <cellStyle name="20% - Énfasis1 2 2 5 2 2 2" xfId="391" xr:uid="{00000000-0005-0000-0000-000084010000}"/>
    <cellStyle name="20% - Énfasis1 2 2 5 2 2 2 2" xfId="392" xr:uid="{00000000-0005-0000-0000-000085010000}"/>
    <cellStyle name="20% - Énfasis1 2 2 5 2 2 3" xfId="393" xr:uid="{00000000-0005-0000-0000-000086010000}"/>
    <cellStyle name="20% - Énfasis1 2 2 5 2 2 4" xfId="394" xr:uid="{00000000-0005-0000-0000-000087010000}"/>
    <cellStyle name="20% - Énfasis1 2 2 5 2 3" xfId="395" xr:uid="{00000000-0005-0000-0000-000088010000}"/>
    <cellStyle name="20% - Énfasis1 2 2 5 2 3 2" xfId="396" xr:uid="{00000000-0005-0000-0000-000089010000}"/>
    <cellStyle name="20% - Énfasis1 2 2 5 2 4" xfId="397" xr:uid="{00000000-0005-0000-0000-00008A010000}"/>
    <cellStyle name="20% - Énfasis1 2 2 5 2 5" xfId="398" xr:uid="{00000000-0005-0000-0000-00008B010000}"/>
    <cellStyle name="20% - Énfasis1 2 2 5 3" xfId="399" xr:uid="{00000000-0005-0000-0000-00008C010000}"/>
    <cellStyle name="20% - Énfasis1 2 2 5 3 2" xfId="400" xr:uid="{00000000-0005-0000-0000-00008D010000}"/>
    <cellStyle name="20% - Énfasis1 2 2 5 3 3" xfId="401" xr:uid="{00000000-0005-0000-0000-00008E010000}"/>
    <cellStyle name="20% - Énfasis1 2 2 5 4" xfId="402" xr:uid="{00000000-0005-0000-0000-00008F010000}"/>
    <cellStyle name="20% - Énfasis1 2 2 5 4 2" xfId="403" xr:uid="{00000000-0005-0000-0000-000090010000}"/>
    <cellStyle name="20% - Énfasis1 2 2 5 5" xfId="404" xr:uid="{00000000-0005-0000-0000-000091010000}"/>
    <cellStyle name="20% - Énfasis1 2 2 6" xfId="405" xr:uid="{00000000-0005-0000-0000-000092010000}"/>
    <cellStyle name="20% - Énfasis1 2 2 6 2" xfId="406" xr:uid="{00000000-0005-0000-0000-000093010000}"/>
    <cellStyle name="20% - Énfasis1 2 2 6 2 2" xfId="407" xr:uid="{00000000-0005-0000-0000-000094010000}"/>
    <cellStyle name="20% - Énfasis1 2 2 6 2 2 2" xfId="408" xr:uid="{00000000-0005-0000-0000-000095010000}"/>
    <cellStyle name="20% - Énfasis1 2 2 6 2 3" xfId="409" xr:uid="{00000000-0005-0000-0000-000096010000}"/>
    <cellStyle name="20% - Énfasis1 2 2 6 2 3 2" xfId="410" xr:uid="{00000000-0005-0000-0000-000097010000}"/>
    <cellStyle name="20% - Énfasis1 2 2 6 2 4" xfId="411" xr:uid="{00000000-0005-0000-0000-000098010000}"/>
    <cellStyle name="20% - Énfasis1 2 2 6 2 5" xfId="412" xr:uid="{00000000-0005-0000-0000-000099010000}"/>
    <cellStyle name="20% - Énfasis1 2 2 6 3" xfId="413" xr:uid="{00000000-0005-0000-0000-00009A010000}"/>
    <cellStyle name="20% - Énfasis1 2 2 6 3 2" xfId="414" xr:uid="{00000000-0005-0000-0000-00009B010000}"/>
    <cellStyle name="20% - Énfasis1 2 2 6 4" xfId="415" xr:uid="{00000000-0005-0000-0000-00009C010000}"/>
    <cellStyle name="20% - Énfasis1 2 2 6 4 2" xfId="416" xr:uid="{00000000-0005-0000-0000-00009D010000}"/>
    <cellStyle name="20% - Énfasis1 2 2 6 5" xfId="417" xr:uid="{00000000-0005-0000-0000-00009E010000}"/>
    <cellStyle name="20% - Énfasis1 2 2 6 6" xfId="418" xr:uid="{00000000-0005-0000-0000-00009F010000}"/>
    <cellStyle name="20% - Énfasis1 2 2 7" xfId="419" xr:uid="{00000000-0005-0000-0000-0000A0010000}"/>
    <cellStyle name="20% - Énfasis1 2 2 7 2" xfId="420" xr:uid="{00000000-0005-0000-0000-0000A1010000}"/>
    <cellStyle name="20% - Énfasis1 2 2 7 2 2" xfId="421" xr:uid="{00000000-0005-0000-0000-0000A2010000}"/>
    <cellStyle name="20% - Énfasis1 2 2 7 3" xfId="422" xr:uid="{00000000-0005-0000-0000-0000A3010000}"/>
    <cellStyle name="20% - Énfasis1 2 2 7 3 2" xfId="423" xr:uid="{00000000-0005-0000-0000-0000A4010000}"/>
    <cellStyle name="20% - Énfasis1 2 2 7 4" xfId="424" xr:uid="{00000000-0005-0000-0000-0000A5010000}"/>
    <cellStyle name="20% - Énfasis1 2 2 7 5" xfId="425" xr:uid="{00000000-0005-0000-0000-0000A6010000}"/>
    <cellStyle name="20% - Énfasis1 2 2 8" xfId="426" xr:uid="{00000000-0005-0000-0000-0000A7010000}"/>
    <cellStyle name="20% - Énfasis1 2 2 8 2" xfId="427" xr:uid="{00000000-0005-0000-0000-0000A8010000}"/>
    <cellStyle name="20% - Énfasis1 2 2 8 2 2" xfId="428" xr:uid="{00000000-0005-0000-0000-0000A9010000}"/>
    <cellStyle name="20% - Énfasis1 2 2 8 3" xfId="429" xr:uid="{00000000-0005-0000-0000-0000AA010000}"/>
    <cellStyle name="20% - Énfasis1 2 2 9" xfId="430" xr:uid="{00000000-0005-0000-0000-0000AB010000}"/>
    <cellStyle name="20% - Énfasis1 2 2 9 2" xfId="431" xr:uid="{00000000-0005-0000-0000-0000AC010000}"/>
    <cellStyle name="20% - Énfasis1 2 3" xfId="432" xr:uid="{00000000-0005-0000-0000-0000AD010000}"/>
    <cellStyle name="20% - Énfasis1 2 3 10" xfId="433" xr:uid="{00000000-0005-0000-0000-0000AE010000}"/>
    <cellStyle name="20% - Énfasis1 2 3 2" xfId="434" xr:uid="{00000000-0005-0000-0000-0000AF010000}"/>
    <cellStyle name="20% - Énfasis1 2 3 2 2" xfId="435" xr:uid="{00000000-0005-0000-0000-0000B0010000}"/>
    <cellStyle name="20% - Énfasis1 2 3 2 2 2" xfId="436" xr:uid="{00000000-0005-0000-0000-0000B1010000}"/>
    <cellStyle name="20% - Énfasis1 2 3 2 2 2 2" xfId="437" xr:uid="{00000000-0005-0000-0000-0000B2010000}"/>
    <cellStyle name="20% - Énfasis1 2 3 2 2 2 2 2" xfId="438" xr:uid="{00000000-0005-0000-0000-0000B3010000}"/>
    <cellStyle name="20% - Énfasis1 2 3 2 2 2 2 2 2" xfId="439" xr:uid="{00000000-0005-0000-0000-0000B4010000}"/>
    <cellStyle name="20% - Énfasis1 2 3 2 2 2 2 2 2 2" xfId="440" xr:uid="{00000000-0005-0000-0000-0000B5010000}"/>
    <cellStyle name="20% - Énfasis1 2 3 2 2 2 2 2 3" xfId="441" xr:uid="{00000000-0005-0000-0000-0000B6010000}"/>
    <cellStyle name="20% - Énfasis1 2 3 2 2 2 2 2 4" xfId="442" xr:uid="{00000000-0005-0000-0000-0000B7010000}"/>
    <cellStyle name="20% - Énfasis1 2 3 2 2 2 2 3" xfId="443" xr:uid="{00000000-0005-0000-0000-0000B8010000}"/>
    <cellStyle name="20% - Énfasis1 2 3 2 2 2 2 3 2" xfId="444" xr:uid="{00000000-0005-0000-0000-0000B9010000}"/>
    <cellStyle name="20% - Énfasis1 2 3 2 2 2 2 4" xfId="445" xr:uid="{00000000-0005-0000-0000-0000BA010000}"/>
    <cellStyle name="20% - Énfasis1 2 3 2 2 2 2 5" xfId="446" xr:uid="{00000000-0005-0000-0000-0000BB010000}"/>
    <cellStyle name="20% - Énfasis1 2 3 2 2 2 3" xfId="447" xr:uid="{00000000-0005-0000-0000-0000BC010000}"/>
    <cellStyle name="20% - Énfasis1 2 3 2 2 2 3 2" xfId="448" xr:uid="{00000000-0005-0000-0000-0000BD010000}"/>
    <cellStyle name="20% - Énfasis1 2 3 2 2 2 3 2 2" xfId="449" xr:uid="{00000000-0005-0000-0000-0000BE010000}"/>
    <cellStyle name="20% - Énfasis1 2 3 2 2 2 3 3" xfId="450" xr:uid="{00000000-0005-0000-0000-0000BF010000}"/>
    <cellStyle name="20% - Énfasis1 2 3 2 2 2 3 4" xfId="451" xr:uid="{00000000-0005-0000-0000-0000C0010000}"/>
    <cellStyle name="20% - Énfasis1 2 3 2 2 2 4" xfId="452" xr:uid="{00000000-0005-0000-0000-0000C1010000}"/>
    <cellStyle name="20% - Énfasis1 2 3 2 2 2 4 2" xfId="453" xr:uid="{00000000-0005-0000-0000-0000C2010000}"/>
    <cellStyle name="20% - Énfasis1 2 3 2 2 2 5" xfId="454" xr:uid="{00000000-0005-0000-0000-0000C3010000}"/>
    <cellStyle name="20% - Énfasis1 2 3 2 2 2 6" xfId="455" xr:uid="{00000000-0005-0000-0000-0000C4010000}"/>
    <cellStyle name="20% - Énfasis1 2 3 2 2 3" xfId="456" xr:uid="{00000000-0005-0000-0000-0000C5010000}"/>
    <cellStyle name="20% - Énfasis1 2 3 2 2 3 2" xfId="457" xr:uid="{00000000-0005-0000-0000-0000C6010000}"/>
    <cellStyle name="20% - Énfasis1 2 3 2 2 3 2 2" xfId="458" xr:uid="{00000000-0005-0000-0000-0000C7010000}"/>
    <cellStyle name="20% - Énfasis1 2 3 2 2 3 2 2 2" xfId="459" xr:uid="{00000000-0005-0000-0000-0000C8010000}"/>
    <cellStyle name="20% - Énfasis1 2 3 2 2 3 2 3" xfId="460" xr:uid="{00000000-0005-0000-0000-0000C9010000}"/>
    <cellStyle name="20% - Énfasis1 2 3 2 2 3 2 4" xfId="461" xr:uid="{00000000-0005-0000-0000-0000CA010000}"/>
    <cellStyle name="20% - Énfasis1 2 3 2 2 3 3" xfId="462" xr:uid="{00000000-0005-0000-0000-0000CB010000}"/>
    <cellStyle name="20% - Énfasis1 2 3 2 2 3 3 2" xfId="463" xr:uid="{00000000-0005-0000-0000-0000CC010000}"/>
    <cellStyle name="20% - Énfasis1 2 3 2 2 3 4" xfId="464" xr:uid="{00000000-0005-0000-0000-0000CD010000}"/>
    <cellStyle name="20% - Énfasis1 2 3 2 2 3 5" xfId="465" xr:uid="{00000000-0005-0000-0000-0000CE010000}"/>
    <cellStyle name="20% - Énfasis1 2 3 2 2 4" xfId="466" xr:uid="{00000000-0005-0000-0000-0000CF010000}"/>
    <cellStyle name="20% - Énfasis1 2 3 2 2 4 2" xfId="467" xr:uid="{00000000-0005-0000-0000-0000D0010000}"/>
    <cellStyle name="20% - Énfasis1 2 3 2 2 4 2 2" xfId="468" xr:uid="{00000000-0005-0000-0000-0000D1010000}"/>
    <cellStyle name="20% - Énfasis1 2 3 2 2 4 3" xfId="469" xr:uid="{00000000-0005-0000-0000-0000D2010000}"/>
    <cellStyle name="20% - Énfasis1 2 3 2 2 4 4" xfId="470" xr:uid="{00000000-0005-0000-0000-0000D3010000}"/>
    <cellStyle name="20% - Énfasis1 2 3 2 2 5" xfId="471" xr:uid="{00000000-0005-0000-0000-0000D4010000}"/>
    <cellStyle name="20% - Énfasis1 2 3 2 2 5 2" xfId="472" xr:uid="{00000000-0005-0000-0000-0000D5010000}"/>
    <cellStyle name="20% - Énfasis1 2 3 2 2 6" xfId="473" xr:uid="{00000000-0005-0000-0000-0000D6010000}"/>
    <cellStyle name="20% - Énfasis1 2 3 2 2 7" xfId="474" xr:uid="{00000000-0005-0000-0000-0000D7010000}"/>
    <cellStyle name="20% - Énfasis1 2 3 2 3" xfId="475" xr:uid="{00000000-0005-0000-0000-0000D8010000}"/>
    <cellStyle name="20% - Énfasis1 2 3 2 3 2" xfId="476" xr:uid="{00000000-0005-0000-0000-0000D9010000}"/>
    <cellStyle name="20% - Énfasis1 2 3 2 3 2 2" xfId="477" xr:uid="{00000000-0005-0000-0000-0000DA010000}"/>
    <cellStyle name="20% - Énfasis1 2 3 2 3 2 2 2" xfId="478" xr:uid="{00000000-0005-0000-0000-0000DB010000}"/>
    <cellStyle name="20% - Énfasis1 2 3 2 3 2 2 2 2" xfId="479" xr:uid="{00000000-0005-0000-0000-0000DC010000}"/>
    <cellStyle name="20% - Énfasis1 2 3 2 3 2 2 3" xfId="480" xr:uid="{00000000-0005-0000-0000-0000DD010000}"/>
    <cellStyle name="20% - Énfasis1 2 3 2 3 2 2 4" xfId="481" xr:uid="{00000000-0005-0000-0000-0000DE010000}"/>
    <cellStyle name="20% - Énfasis1 2 3 2 3 2 3" xfId="482" xr:uid="{00000000-0005-0000-0000-0000DF010000}"/>
    <cellStyle name="20% - Énfasis1 2 3 2 3 2 3 2" xfId="483" xr:uid="{00000000-0005-0000-0000-0000E0010000}"/>
    <cellStyle name="20% - Énfasis1 2 3 2 3 2 4" xfId="484" xr:uid="{00000000-0005-0000-0000-0000E1010000}"/>
    <cellStyle name="20% - Énfasis1 2 3 2 3 2 5" xfId="485" xr:uid="{00000000-0005-0000-0000-0000E2010000}"/>
    <cellStyle name="20% - Énfasis1 2 3 2 3 3" xfId="486" xr:uid="{00000000-0005-0000-0000-0000E3010000}"/>
    <cellStyle name="20% - Énfasis1 2 3 2 3 3 2" xfId="487" xr:uid="{00000000-0005-0000-0000-0000E4010000}"/>
    <cellStyle name="20% - Énfasis1 2 3 2 3 3 2 2" xfId="488" xr:uid="{00000000-0005-0000-0000-0000E5010000}"/>
    <cellStyle name="20% - Énfasis1 2 3 2 3 3 3" xfId="489" xr:uid="{00000000-0005-0000-0000-0000E6010000}"/>
    <cellStyle name="20% - Énfasis1 2 3 2 3 3 3 2" xfId="490" xr:uid="{00000000-0005-0000-0000-0000E7010000}"/>
    <cellStyle name="20% - Énfasis1 2 3 2 3 3 4" xfId="491" xr:uid="{00000000-0005-0000-0000-0000E8010000}"/>
    <cellStyle name="20% - Énfasis1 2 3 2 3 3 5" xfId="492" xr:uid="{00000000-0005-0000-0000-0000E9010000}"/>
    <cellStyle name="20% - Énfasis1 2 3 2 3 4" xfId="493" xr:uid="{00000000-0005-0000-0000-0000EA010000}"/>
    <cellStyle name="20% - Énfasis1 2 3 2 3 4 2" xfId="494" xr:uid="{00000000-0005-0000-0000-0000EB010000}"/>
    <cellStyle name="20% - Énfasis1 2 3 2 3 5" xfId="495" xr:uid="{00000000-0005-0000-0000-0000EC010000}"/>
    <cellStyle name="20% - Énfasis1 2 3 2 3 5 2" xfId="496" xr:uid="{00000000-0005-0000-0000-0000ED010000}"/>
    <cellStyle name="20% - Énfasis1 2 3 2 3 6" xfId="497" xr:uid="{00000000-0005-0000-0000-0000EE010000}"/>
    <cellStyle name="20% - Énfasis1 2 3 2 3 7" xfId="498" xr:uid="{00000000-0005-0000-0000-0000EF010000}"/>
    <cellStyle name="20% - Énfasis1 2 3 2 4" xfId="499" xr:uid="{00000000-0005-0000-0000-0000F0010000}"/>
    <cellStyle name="20% - Énfasis1 2 3 2 4 2" xfId="500" xr:uid="{00000000-0005-0000-0000-0000F1010000}"/>
    <cellStyle name="20% - Énfasis1 2 3 2 4 2 2" xfId="501" xr:uid="{00000000-0005-0000-0000-0000F2010000}"/>
    <cellStyle name="20% - Énfasis1 2 3 2 4 2 2 2" xfId="502" xr:uid="{00000000-0005-0000-0000-0000F3010000}"/>
    <cellStyle name="20% - Énfasis1 2 3 2 4 2 3" xfId="503" xr:uid="{00000000-0005-0000-0000-0000F4010000}"/>
    <cellStyle name="20% - Énfasis1 2 3 2 4 2 4" xfId="504" xr:uid="{00000000-0005-0000-0000-0000F5010000}"/>
    <cellStyle name="20% - Énfasis1 2 3 2 4 3" xfId="505" xr:uid="{00000000-0005-0000-0000-0000F6010000}"/>
    <cellStyle name="20% - Énfasis1 2 3 2 4 3 2" xfId="506" xr:uid="{00000000-0005-0000-0000-0000F7010000}"/>
    <cellStyle name="20% - Énfasis1 2 3 2 4 4" xfId="507" xr:uid="{00000000-0005-0000-0000-0000F8010000}"/>
    <cellStyle name="20% - Énfasis1 2 3 2 4 5" xfId="508" xr:uid="{00000000-0005-0000-0000-0000F9010000}"/>
    <cellStyle name="20% - Énfasis1 2 3 2 5" xfId="509" xr:uid="{00000000-0005-0000-0000-0000FA010000}"/>
    <cellStyle name="20% - Énfasis1 2 3 2 5 2" xfId="510" xr:uid="{00000000-0005-0000-0000-0000FB010000}"/>
    <cellStyle name="20% - Énfasis1 2 3 2 5 2 2" xfId="511" xr:uid="{00000000-0005-0000-0000-0000FC010000}"/>
    <cellStyle name="20% - Énfasis1 2 3 2 5 3" xfId="512" xr:uid="{00000000-0005-0000-0000-0000FD010000}"/>
    <cellStyle name="20% - Énfasis1 2 3 2 5 3 2" xfId="513" xr:uid="{00000000-0005-0000-0000-0000FE010000}"/>
    <cellStyle name="20% - Énfasis1 2 3 2 5 4" xfId="514" xr:uid="{00000000-0005-0000-0000-0000FF010000}"/>
    <cellStyle name="20% - Énfasis1 2 3 2 5 5" xfId="515" xr:uid="{00000000-0005-0000-0000-000000020000}"/>
    <cellStyle name="20% - Énfasis1 2 3 2 6" xfId="516" xr:uid="{00000000-0005-0000-0000-000001020000}"/>
    <cellStyle name="20% - Énfasis1 2 3 2 6 2" xfId="517" xr:uid="{00000000-0005-0000-0000-000002020000}"/>
    <cellStyle name="20% - Énfasis1 2 3 2 7" xfId="518" xr:uid="{00000000-0005-0000-0000-000003020000}"/>
    <cellStyle name="20% - Énfasis1 2 3 2 7 2" xfId="519" xr:uid="{00000000-0005-0000-0000-000004020000}"/>
    <cellStyle name="20% - Énfasis1 2 3 2 8" xfId="520" xr:uid="{00000000-0005-0000-0000-000005020000}"/>
    <cellStyle name="20% - Énfasis1 2 3 2 9" xfId="521" xr:uid="{00000000-0005-0000-0000-000006020000}"/>
    <cellStyle name="20% - Énfasis1 2 3 3" xfId="522" xr:uid="{00000000-0005-0000-0000-000007020000}"/>
    <cellStyle name="20% - Énfasis1 2 3 3 2" xfId="523" xr:uid="{00000000-0005-0000-0000-000008020000}"/>
    <cellStyle name="20% - Énfasis1 2 3 3 2 2" xfId="524" xr:uid="{00000000-0005-0000-0000-000009020000}"/>
    <cellStyle name="20% - Énfasis1 2 3 3 2 2 2" xfId="525" xr:uid="{00000000-0005-0000-0000-00000A020000}"/>
    <cellStyle name="20% - Énfasis1 2 3 3 2 2 2 2" xfId="526" xr:uid="{00000000-0005-0000-0000-00000B020000}"/>
    <cellStyle name="20% - Énfasis1 2 3 3 2 2 2 2 2" xfId="527" xr:uid="{00000000-0005-0000-0000-00000C020000}"/>
    <cellStyle name="20% - Énfasis1 2 3 3 2 2 2 3" xfId="528" xr:uid="{00000000-0005-0000-0000-00000D020000}"/>
    <cellStyle name="20% - Énfasis1 2 3 3 2 2 2 4" xfId="529" xr:uid="{00000000-0005-0000-0000-00000E020000}"/>
    <cellStyle name="20% - Énfasis1 2 3 3 2 2 3" xfId="530" xr:uid="{00000000-0005-0000-0000-00000F020000}"/>
    <cellStyle name="20% - Énfasis1 2 3 3 2 2 3 2" xfId="531" xr:uid="{00000000-0005-0000-0000-000010020000}"/>
    <cellStyle name="20% - Énfasis1 2 3 3 2 2 4" xfId="532" xr:uid="{00000000-0005-0000-0000-000011020000}"/>
    <cellStyle name="20% - Énfasis1 2 3 3 2 2 5" xfId="533" xr:uid="{00000000-0005-0000-0000-000012020000}"/>
    <cellStyle name="20% - Énfasis1 2 3 3 2 3" xfId="534" xr:uid="{00000000-0005-0000-0000-000013020000}"/>
    <cellStyle name="20% - Énfasis1 2 3 3 2 3 2" xfId="535" xr:uid="{00000000-0005-0000-0000-000014020000}"/>
    <cellStyle name="20% - Énfasis1 2 3 3 2 3 2 2" xfId="536" xr:uid="{00000000-0005-0000-0000-000015020000}"/>
    <cellStyle name="20% - Énfasis1 2 3 3 2 3 3" xfId="537" xr:uid="{00000000-0005-0000-0000-000016020000}"/>
    <cellStyle name="20% - Énfasis1 2 3 3 2 3 3 2" xfId="538" xr:uid="{00000000-0005-0000-0000-000017020000}"/>
    <cellStyle name="20% - Énfasis1 2 3 3 2 3 4" xfId="539" xr:uid="{00000000-0005-0000-0000-000018020000}"/>
    <cellStyle name="20% - Énfasis1 2 3 3 2 3 5" xfId="540" xr:uid="{00000000-0005-0000-0000-000019020000}"/>
    <cellStyle name="20% - Énfasis1 2 3 3 2 4" xfId="541" xr:uid="{00000000-0005-0000-0000-00001A020000}"/>
    <cellStyle name="20% - Énfasis1 2 3 3 2 4 2" xfId="542" xr:uid="{00000000-0005-0000-0000-00001B020000}"/>
    <cellStyle name="20% - Énfasis1 2 3 3 2 5" xfId="543" xr:uid="{00000000-0005-0000-0000-00001C020000}"/>
    <cellStyle name="20% - Énfasis1 2 3 3 2 5 2" xfId="544" xr:uid="{00000000-0005-0000-0000-00001D020000}"/>
    <cellStyle name="20% - Énfasis1 2 3 3 2 6" xfId="545" xr:uid="{00000000-0005-0000-0000-00001E020000}"/>
    <cellStyle name="20% - Énfasis1 2 3 3 2 7" xfId="546" xr:uid="{00000000-0005-0000-0000-00001F020000}"/>
    <cellStyle name="20% - Énfasis1 2 3 3 3" xfId="547" xr:uid="{00000000-0005-0000-0000-000020020000}"/>
    <cellStyle name="20% - Énfasis1 2 3 3 3 2" xfId="548" xr:uid="{00000000-0005-0000-0000-000021020000}"/>
    <cellStyle name="20% - Énfasis1 2 3 3 3 2 2" xfId="549" xr:uid="{00000000-0005-0000-0000-000022020000}"/>
    <cellStyle name="20% - Énfasis1 2 3 3 3 2 2 2" xfId="550" xr:uid="{00000000-0005-0000-0000-000023020000}"/>
    <cellStyle name="20% - Énfasis1 2 3 3 3 2 3" xfId="551" xr:uid="{00000000-0005-0000-0000-000024020000}"/>
    <cellStyle name="20% - Énfasis1 2 3 3 3 2 4" xfId="552" xr:uid="{00000000-0005-0000-0000-000025020000}"/>
    <cellStyle name="20% - Énfasis1 2 3 3 3 3" xfId="553" xr:uid="{00000000-0005-0000-0000-000026020000}"/>
    <cellStyle name="20% - Énfasis1 2 3 3 3 3 2" xfId="554" xr:uid="{00000000-0005-0000-0000-000027020000}"/>
    <cellStyle name="20% - Énfasis1 2 3 3 3 4" xfId="555" xr:uid="{00000000-0005-0000-0000-000028020000}"/>
    <cellStyle name="20% - Énfasis1 2 3 3 3 5" xfId="556" xr:uid="{00000000-0005-0000-0000-000029020000}"/>
    <cellStyle name="20% - Énfasis1 2 3 3 4" xfId="557" xr:uid="{00000000-0005-0000-0000-00002A020000}"/>
    <cellStyle name="20% - Énfasis1 2 3 3 4 2" xfId="558" xr:uid="{00000000-0005-0000-0000-00002B020000}"/>
    <cellStyle name="20% - Énfasis1 2 3 3 4 2 2" xfId="559" xr:uid="{00000000-0005-0000-0000-00002C020000}"/>
    <cellStyle name="20% - Énfasis1 2 3 3 4 3" xfId="560" xr:uid="{00000000-0005-0000-0000-00002D020000}"/>
    <cellStyle name="20% - Énfasis1 2 3 3 4 3 2" xfId="561" xr:uid="{00000000-0005-0000-0000-00002E020000}"/>
    <cellStyle name="20% - Énfasis1 2 3 3 4 4" xfId="562" xr:uid="{00000000-0005-0000-0000-00002F020000}"/>
    <cellStyle name="20% - Énfasis1 2 3 3 4 5" xfId="563" xr:uid="{00000000-0005-0000-0000-000030020000}"/>
    <cellStyle name="20% - Énfasis1 2 3 3 5" xfId="564" xr:uid="{00000000-0005-0000-0000-000031020000}"/>
    <cellStyle name="20% - Énfasis1 2 3 3 5 2" xfId="565" xr:uid="{00000000-0005-0000-0000-000032020000}"/>
    <cellStyle name="20% - Énfasis1 2 3 3 6" xfId="566" xr:uid="{00000000-0005-0000-0000-000033020000}"/>
    <cellStyle name="20% - Énfasis1 2 3 3 6 2" xfId="567" xr:uid="{00000000-0005-0000-0000-000034020000}"/>
    <cellStyle name="20% - Énfasis1 2 3 3 7" xfId="568" xr:uid="{00000000-0005-0000-0000-000035020000}"/>
    <cellStyle name="20% - Énfasis1 2 3 3 8" xfId="569" xr:uid="{00000000-0005-0000-0000-000036020000}"/>
    <cellStyle name="20% - Énfasis1 2 3 4" xfId="570" xr:uid="{00000000-0005-0000-0000-000037020000}"/>
    <cellStyle name="20% - Énfasis1 2 3 4 2" xfId="571" xr:uid="{00000000-0005-0000-0000-000038020000}"/>
    <cellStyle name="20% - Énfasis1 2 3 4 2 2" xfId="572" xr:uid="{00000000-0005-0000-0000-000039020000}"/>
    <cellStyle name="20% - Énfasis1 2 3 4 2 2 2" xfId="573" xr:uid="{00000000-0005-0000-0000-00003A020000}"/>
    <cellStyle name="20% - Énfasis1 2 3 4 2 2 2 2" xfId="574" xr:uid="{00000000-0005-0000-0000-00003B020000}"/>
    <cellStyle name="20% - Énfasis1 2 3 4 2 2 3" xfId="575" xr:uid="{00000000-0005-0000-0000-00003C020000}"/>
    <cellStyle name="20% - Énfasis1 2 3 4 2 2 4" xfId="576" xr:uid="{00000000-0005-0000-0000-00003D020000}"/>
    <cellStyle name="20% - Énfasis1 2 3 4 2 3" xfId="577" xr:uid="{00000000-0005-0000-0000-00003E020000}"/>
    <cellStyle name="20% - Énfasis1 2 3 4 2 3 2" xfId="578" xr:uid="{00000000-0005-0000-0000-00003F020000}"/>
    <cellStyle name="20% - Énfasis1 2 3 4 2 4" xfId="579" xr:uid="{00000000-0005-0000-0000-000040020000}"/>
    <cellStyle name="20% - Énfasis1 2 3 4 2 5" xfId="580" xr:uid="{00000000-0005-0000-0000-000041020000}"/>
    <cellStyle name="20% - Énfasis1 2 3 4 3" xfId="581" xr:uid="{00000000-0005-0000-0000-000042020000}"/>
    <cellStyle name="20% - Énfasis1 2 3 4 3 2" xfId="582" xr:uid="{00000000-0005-0000-0000-000043020000}"/>
    <cellStyle name="20% - Énfasis1 2 3 4 3 2 2" xfId="583" xr:uid="{00000000-0005-0000-0000-000044020000}"/>
    <cellStyle name="20% - Énfasis1 2 3 4 3 3" xfId="584" xr:uid="{00000000-0005-0000-0000-000045020000}"/>
    <cellStyle name="20% - Énfasis1 2 3 4 3 3 2" xfId="585" xr:uid="{00000000-0005-0000-0000-000046020000}"/>
    <cellStyle name="20% - Énfasis1 2 3 4 3 4" xfId="586" xr:uid="{00000000-0005-0000-0000-000047020000}"/>
    <cellStyle name="20% - Énfasis1 2 3 4 3 5" xfId="587" xr:uid="{00000000-0005-0000-0000-000048020000}"/>
    <cellStyle name="20% - Énfasis1 2 3 4 4" xfId="588" xr:uid="{00000000-0005-0000-0000-000049020000}"/>
    <cellStyle name="20% - Énfasis1 2 3 4 4 2" xfId="589" xr:uid="{00000000-0005-0000-0000-00004A020000}"/>
    <cellStyle name="20% - Énfasis1 2 3 4 5" xfId="590" xr:uid="{00000000-0005-0000-0000-00004B020000}"/>
    <cellStyle name="20% - Énfasis1 2 3 4 5 2" xfId="591" xr:uid="{00000000-0005-0000-0000-00004C020000}"/>
    <cellStyle name="20% - Énfasis1 2 3 4 6" xfId="592" xr:uid="{00000000-0005-0000-0000-00004D020000}"/>
    <cellStyle name="20% - Énfasis1 2 3 4 7" xfId="593" xr:uid="{00000000-0005-0000-0000-00004E020000}"/>
    <cellStyle name="20% - Énfasis1 2 3 5" xfId="594" xr:uid="{00000000-0005-0000-0000-00004F020000}"/>
    <cellStyle name="20% - Énfasis1 2 3 5 2" xfId="595" xr:uid="{00000000-0005-0000-0000-000050020000}"/>
    <cellStyle name="20% - Énfasis1 2 3 5 2 2" xfId="596" xr:uid="{00000000-0005-0000-0000-000051020000}"/>
    <cellStyle name="20% - Énfasis1 2 3 5 2 2 2" xfId="597" xr:uid="{00000000-0005-0000-0000-000052020000}"/>
    <cellStyle name="20% - Énfasis1 2 3 5 2 3" xfId="598" xr:uid="{00000000-0005-0000-0000-000053020000}"/>
    <cellStyle name="20% - Énfasis1 2 3 5 2 4" xfId="599" xr:uid="{00000000-0005-0000-0000-000054020000}"/>
    <cellStyle name="20% - Énfasis1 2 3 5 3" xfId="600" xr:uid="{00000000-0005-0000-0000-000055020000}"/>
    <cellStyle name="20% - Énfasis1 2 3 5 3 2" xfId="601" xr:uid="{00000000-0005-0000-0000-000056020000}"/>
    <cellStyle name="20% - Énfasis1 2 3 5 4" xfId="602" xr:uid="{00000000-0005-0000-0000-000057020000}"/>
    <cellStyle name="20% - Énfasis1 2 3 5 5" xfId="603" xr:uid="{00000000-0005-0000-0000-000058020000}"/>
    <cellStyle name="20% - Énfasis1 2 3 6" xfId="604" xr:uid="{00000000-0005-0000-0000-000059020000}"/>
    <cellStyle name="20% - Énfasis1 2 3 6 2" xfId="605" xr:uid="{00000000-0005-0000-0000-00005A020000}"/>
    <cellStyle name="20% - Énfasis1 2 3 6 2 2" xfId="606" xr:uid="{00000000-0005-0000-0000-00005B020000}"/>
    <cellStyle name="20% - Énfasis1 2 3 6 3" xfId="607" xr:uid="{00000000-0005-0000-0000-00005C020000}"/>
    <cellStyle name="20% - Énfasis1 2 3 6 3 2" xfId="608" xr:uid="{00000000-0005-0000-0000-00005D020000}"/>
    <cellStyle name="20% - Énfasis1 2 3 6 4" xfId="609" xr:uid="{00000000-0005-0000-0000-00005E020000}"/>
    <cellStyle name="20% - Énfasis1 2 3 6 5" xfId="610" xr:uid="{00000000-0005-0000-0000-00005F020000}"/>
    <cellStyle name="20% - Énfasis1 2 3 7" xfId="611" xr:uid="{00000000-0005-0000-0000-000060020000}"/>
    <cellStyle name="20% - Énfasis1 2 3 7 2" xfId="612" xr:uid="{00000000-0005-0000-0000-000061020000}"/>
    <cellStyle name="20% - Énfasis1 2 3 8" xfId="613" xr:uid="{00000000-0005-0000-0000-000062020000}"/>
    <cellStyle name="20% - Énfasis1 2 3 8 2" xfId="614" xr:uid="{00000000-0005-0000-0000-000063020000}"/>
    <cellStyle name="20% - Énfasis1 2 3 9" xfId="615" xr:uid="{00000000-0005-0000-0000-000064020000}"/>
    <cellStyle name="20% - Énfasis1 2 4" xfId="616" xr:uid="{00000000-0005-0000-0000-000065020000}"/>
    <cellStyle name="20% - Énfasis1 2 4 2" xfId="617" xr:uid="{00000000-0005-0000-0000-000066020000}"/>
    <cellStyle name="20% - Énfasis1 2 4 2 2" xfId="618" xr:uid="{00000000-0005-0000-0000-000067020000}"/>
    <cellStyle name="20% - Énfasis1 2 4 2 2 2" xfId="619" xr:uid="{00000000-0005-0000-0000-000068020000}"/>
    <cellStyle name="20% - Énfasis1 2 4 2 2 2 2" xfId="620" xr:uid="{00000000-0005-0000-0000-000069020000}"/>
    <cellStyle name="20% - Énfasis1 2 4 2 2 2 2 2" xfId="621" xr:uid="{00000000-0005-0000-0000-00006A020000}"/>
    <cellStyle name="20% - Énfasis1 2 4 2 2 2 2 2 2" xfId="622" xr:uid="{00000000-0005-0000-0000-00006B020000}"/>
    <cellStyle name="20% - Énfasis1 2 4 2 2 2 2 3" xfId="623" xr:uid="{00000000-0005-0000-0000-00006C020000}"/>
    <cellStyle name="20% - Énfasis1 2 4 2 2 2 2 4" xfId="624" xr:uid="{00000000-0005-0000-0000-00006D020000}"/>
    <cellStyle name="20% - Énfasis1 2 4 2 2 2 3" xfId="625" xr:uid="{00000000-0005-0000-0000-00006E020000}"/>
    <cellStyle name="20% - Énfasis1 2 4 2 2 2 3 2" xfId="626" xr:uid="{00000000-0005-0000-0000-00006F020000}"/>
    <cellStyle name="20% - Énfasis1 2 4 2 2 2 4" xfId="627" xr:uid="{00000000-0005-0000-0000-000070020000}"/>
    <cellStyle name="20% - Énfasis1 2 4 2 2 2 5" xfId="628" xr:uid="{00000000-0005-0000-0000-000071020000}"/>
    <cellStyle name="20% - Énfasis1 2 4 2 2 3" xfId="629" xr:uid="{00000000-0005-0000-0000-000072020000}"/>
    <cellStyle name="20% - Énfasis1 2 4 2 2 3 2" xfId="630" xr:uid="{00000000-0005-0000-0000-000073020000}"/>
    <cellStyle name="20% - Énfasis1 2 4 2 2 3 2 2" xfId="631" xr:uid="{00000000-0005-0000-0000-000074020000}"/>
    <cellStyle name="20% - Énfasis1 2 4 2 2 3 3" xfId="632" xr:uid="{00000000-0005-0000-0000-000075020000}"/>
    <cellStyle name="20% - Énfasis1 2 4 2 2 3 4" xfId="633" xr:uid="{00000000-0005-0000-0000-000076020000}"/>
    <cellStyle name="20% - Énfasis1 2 4 2 2 4" xfId="634" xr:uid="{00000000-0005-0000-0000-000077020000}"/>
    <cellStyle name="20% - Énfasis1 2 4 2 2 4 2" xfId="635" xr:uid="{00000000-0005-0000-0000-000078020000}"/>
    <cellStyle name="20% - Énfasis1 2 4 2 2 5" xfId="636" xr:uid="{00000000-0005-0000-0000-000079020000}"/>
    <cellStyle name="20% - Énfasis1 2 4 2 2 6" xfId="637" xr:uid="{00000000-0005-0000-0000-00007A020000}"/>
    <cellStyle name="20% - Énfasis1 2 4 2 3" xfId="638" xr:uid="{00000000-0005-0000-0000-00007B020000}"/>
    <cellStyle name="20% - Énfasis1 2 4 2 3 2" xfId="639" xr:uid="{00000000-0005-0000-0000-00007C020000}"/>
    <cellStyle name="20% - Énfasis1 2 4 2 3 2 2" xfId="640" xr:uid="{00000000-0005-0000-0000-00007D020000}"/>
    <cellStyle name="20% - Énfasis1 2 4 2 3 2 2 2" xfId="641" xr:uid="{00000000-0005-0000-0000-00007E020000}"/>
    <cellStyle name="20% - Énfasis1 2 4 2 3 2 3" xfId="642" xr:uid="{00000000-0005-0000-0000-00007F020000}"/>
    <cellStyle name="20% - Énfasis1 2 4 2 3 2 4" xfId="643" xr:uid="{00000000-0005-0000-0000-000080020000}"/>
    <cellStyle name="20% - Énfasis1 2 4 2 3 3" xfId="644" xr:uid="{00000000-0005-0000-0000-000081020000}"/>
    <cellStyle name="20% - Énfasis1 2 4 2 3 3 2" xfId="645" xr:uid="{00000000-0005-0000-0000-000082020000}"/>
    <cellStyle name="20% - Énfasis1 2 4 2 3 4" xfId="646" xr:uid="{00000000-0005-0000-0000-000083020000}"/>
    <cellStyle name="20% - Énfasis1 2 4 2 3 5" xfId="647" xr:uid="{00000000-0005-0000-0000-000084020000}"/>
    <cellStyle name="20% - Énfasis1 2 4 2 4" xfId="648" xr:uid="{00000000-0005-0000-0000-000085020000}"/>
    <cellStyle name="20% - Énfasis1 2 4 2 4 2" xfId="649" xr:uid="{00000000-0005-0000-0000-000086020000}"/>
    <cellStyle name="20% - Énfasis1 2 4 2 4 2 2" xfId="650" xr:uid="{00000000-0005-0000-0000-000087020000}"/>
    <cellStyle name="20% - Énfasis1 2 4 2 4 3" xfId="651" xr:uid="{00000000-0005-0000-0000-000088020000}"/>
    <cellStyle name="20% - Énfasis1 2 4 2 4 4" xfId="652" xr:uid="{00000000-0005-0000-0000-000089020000}"/>
    <cellStyle name="20% - Énfasis1 2 4 2 5" xfId="653" xr:uid="{00000000-0005-0000-0000-00008A020000}"/>
    <cellStyle name="20% - Énfasis1 2 4 2 5 2" xfId="654" xr:uid="{00000000-0005-0000-0000-00008B020000}"/>
    <cellStyle name="20% - Énfasis1 2 4 2 6" xfId="655" xr:uid="{00000000-0005-0000-0000-00008C020000}"/>
    <cellStyle name="20% - Énfasis1 2 4 2 7" xfId="656" xr:uid="{00000000-0005-0000-0000-00008D020000}"/>
    <cellStyle name="20% - Énfasis1 2 4 3" xfId="657" xr:uid="{00000000-0005-0000-0000-00008E020000}"/>
    <cellStyle name="20% - Énfasis1 2 4 3 2" xfId="658" xr:uid="{00000000-0005-0000-0000-00008F020000}"/>
    <cellStyle name="20% - Énfasis1 2 4 3 2 2" xfId="659" xr:uid="{00000000-0005-0000-0000-000090020000}"/>
    <cellStyle name="20% - Énfasis1 2 4 3 2 2 2" xfId="660" xr:uid="{00000000-0005-0000-0000-000091020000}"/>
    <cellStyle name="20% - Énfasis1 2 4 3 2 2 2 2" xfId="661" xr:uid="{00000000-0005-0000-0000-000092020000}"/>
    <cellStyle name="20% - Énfasis1 2 4 3 2 2 3" xfId="662" xr:uid="{00000000-0005-0000-0000-000093020000}"/>
    <cellStyle name="20% - Énfasis1 2 4 3 2 2 4" xfId="663" xr:uid="{00000000-0005-0000-0000-000094020000}"/>
    <cellStyle name="20% - Énfasis1 2 4 3 2 3" xfId="664" xr:uid="{00000000-0005-0000-0000-000095020000}"/>
    <cellStyle name="20% - Énfasis1 2 4 3 2 3 2" xfId="665" xr:uid="{00000000-0005-0000-0000-000096020000}"/>
    <cellStyle name="20% - Énfasis1 2 4 3 2 4" xfId="666" xr:uid="{00000000-0005-0000-0000-000097020000}"/>
    <cellStyle name="20% - Énfasis1 2 4 3 2 5" xfId="667" xr:uid="{00000000-0005-0000-0000-000098020000}"/>
    <cellStyle name="20% - Énfasis1 2 4 3 3" xfId="668" xr:uid="{00000000-0005-0000-0000-000099020000}"/>
    <cellStyle name="20% - Énfasis1 2 4 3 3 2" xfId="669" xr:uid="{00000000-0005-0000-0000-00009A020000}"/>
    <cellStyle name="20% - Énfasis1 2 4 3 3 2 2" xfId="670" xr:uid="{00000000-0005-0000-0000-00009B020000}"/>
    <cellStyle name="20% - Énfasis1 2 4 3 3 3" xfId="671" xr:uid="{00000000-0005-0000-0000-00009C020000}"/>
    <cellStyle name="20% - Énfasis1 2 4 3 3 3 2" xfId="672" xr:uid="{00000000-0005-0000-0000-00009D020000}"/>
    <cellStyle name="20% - Énfasis1 2 4 3 3 4" xfId="673" xr:uid="{00000000-0005-0000-0000-00009E020000}"/>
    <cellStyle name="20% - Énfasis1 2 4 3 3 5" xfId="674" xr:uid="{00000000-0005-0000-0000-00009F020000}"/>
    <cellStyle name="20% - Énfasis1 2 4 3 4" xfId="675" xr:uid="{00000000-0005-0000-0000-0000A0020000}"/>
    <cellStyle name="20% - Énfasis1 2 4 3 4 2" xfId="676" xr:uid="{00000000-0005-0000-0000-0000A1020000}"/>
    <cellStyle name="20% - Énfasis1 2 4 3 5" xfId="677" xr:uid="{00000000-0005-0000-0000-0000A2020000}"/>
    <cellStyle name="20% - Énfasis1 2 4 3 5 2" xfId="678" xr:uid="{00000000-0005-0000-0000-0000A3020000}"/>
    <cellStyle name="20% - Énfasis1 2 4 3 6" xfId="679" xr:uid="{00000000-0005-0000-0000-0000A4020000}"/>
    <cellStyle name="20% - Énfasis1 2 4 3 7" xfId="680" xr:uid="{00000000-0005-0000-0000-0000A5020000}"/>
    <cellStyle name="20% - Énfasis1 2 4 4" xfId="681" xr:uid="{00000000-0005-0000-0000-0000A6020000}"/>
    <cellStyle name="20% - Énfasis1 2 4 4 2" xfId="682" xr:uid="{00000000-0005-0000-0000-0000A7020000}"/>
    <cellStyle name="20% - Énfasis1 2 4 4 2 2" xfId="683" xr:uid="{00000000-0005-0000-0000-0000A8020000}"/>
    <cellStyle name="20% - Énfasis1 2 4 4 2 2 2" xfId="684" xr:uid="{00000000-0005-0000-0000-0000A9020000}"/>
    <cellStyle name="20% - Énfasis1 2 4 4 2 3" xfId="685" xr:uid="{00000000-0005-0000-0000-0000AA020000}"/>
    <cellStyle name="20% - Énfasis1 2 4 4 2 4" xfId="686" xr:uid="{00000000-0005-0000-0000-0000AB020000}"/>
    <cellStyle name="20% - Énfasis1 2 4 4 3" xfId="687" xr:uid="{00000000-0005-0000-0000-0000AC020000}"/>
    <cellStyle name="20% - Énfasis1 2 4 4 3 2" xfId="688" xr:uid="{00000000-0005-0000-0000-0000AD020000}"/>
    <cellStyle name="20% - Énfasis1 2 4 4 4" xfId="689" xr:uid="{00000000-0005-0000-0000-0000AE020000}"/>
    <cellStyle name="20% - Énfasis1 2 4 4 5" xfId="690" xr:uid="{00000000-0005-0000-0000-0000AF020000}"/>
    <cellStyle name="20% - Énfasis1 2 4 5" xfId="691" xr:uid="{00000000-0005-0000-0000-0000B0020000}"/>
    <cellStyle name="20% - Énfasis1 2 4 5 2" xfId="692" xr:uid="{00000000-0005-0000-0000-0000B1020000}"/>
    <cellStyle name="20% - Énfasis1 2 4 5 2 2" xfId="693" xr:uid="{00000000-0005-0000-0000-0000B2020000}"/>
    <cellStyle name="20% - Énfasis1 2 4 5 3" xfId="694" xr:uid="{00000000-0005-0000-0000-0000B3020000}"/>
    <cellStyle name="20% - Énfasis1 2 4 5 3 2" xfId="695" xr:uid="{00000000-0005-0000-0000-0000B4020000}"/>
    <cellStyle name="20% - Énfasis1 2 4 5 4" xfId="696" xr:uid="{00000000-0005-0000-0000-0000B5020000}"/>
    <cellStyle name="20% - Énfasis1 2 4 5 5" xfId="697" xr:uid="{00000000-0005-0000-0000-0000B6020000}"/>
    <cellStyle name="20% - Énfasis1 2 4 6" xfId="698" xr:uid="{00000000-0005-0000-0000-0000B7020000}"/>
    <cellStyle name="20% - Énfasis1 2 4 6 2" xfId="699" xr:uid="{00000000-0005-0000-0000-0000B8020000}"/>
    <cellStyle name="20% - Énfasis1 2 4 7" xfId="700" xr:uid="{00000000-0005-0000-0000-0000B9020000}"/>
    <cellStyle name="20% - Énfasis1 2 4 7 2" xfId="701" xr:uid="{00000000-0005-0000-0000-0000BA020000}"/>
    <cellStyle name="20% - Énfasis1 2 4 8" xfId="702" xr:uid="{00000000-0005-0000-0000-0000BB020000}"/>
    <cellStyle name="20% - Énfasis1 2 4 9" xfId="703" xr:uid="{00000000-0005-0000-0000-0000BC020000}"/>
    <cellStyle name="20% - Énfasis1 2 5" xfId="704" xr:uid="{00000000-0005-0000-0000-0000BD020000}"/>
    <cellStyle name="20% - Énfasis1 2 5 2" xfId="705" xr:uid="{00000000-0005-0000-0000-0000BE020000}"/>
    <cellStyle name="20% - Énfasis1 2 5 2 2" xfId="706" xr:uid="{00000000-0005-0000-0000-0000BF020000}"/>
    <cellStyle name="20% - Énfasis1 2 5 2 2 2" xfId="707" xr:uid="{00000000-0005-0000-0000-0000C0020000}"/>
    <cellStyle name="20% - Énfasis1 2 5 2 2 2 2" xfId="708" xr:uid="{00000000-0005-0000-0000-0000C1020000}"/>
    <cellStyle name="20% - Énfasis1 2 5 2 2 2 2 2" xfId="709" xr:uid="{00000000-0005-0000-0000-0000C2020000}"/>
    <cellStyle name="20% - Énfasis1 2 5 2 2 2 3" xfId="710" xr:uid="{00000000-0005-0000-0000-0000C3020000}"/>
    <cellStyle name="20% - Énfasis1 2 5 2 2 2 4" xfId="711" xr:uid="{00000000-0005-0000-0000-0000C4020000}"/>
    <cellStyle name="20% - Énfasis1 2 5 2 2 3" xfId="712" xr:uid="{00000000-0005-0000-0000-0000C5020000}"/>
    <cellStyle name="20% - Énfasis1 2 5 2 2 3 2" xfId="713" xr:uid="{00000000-0005-0000-0000-0000C6020000}"/>
    <cellStyle name="20% - Énfasis1 2 5 2 2 4" xfId="714" xr:uid="{00000000-0005-0000-0000-0000C7020000}"/>
    <cellStyle name="20% - Énfasis1 2 5 2 2 5" xfId="715" xr:uid="{00000000-0005-0000-0000-0000C8020000}"/>
    <cellStyle name="20% - Énfasis1 2 5 2 3" xfId="716" xr:uid="{00000000-0005-0000-0000-0000C9020000}"/>
    <cellStyle name="20% - Énfasis1 2 5 2 3 2" xfId="717" xr:uid="{00000000-0005-0000-0000-0000CA020000}"/>
    <cellStyle name="20% - Énfasis1 2 5 2 3 2 2" xfId="718" xr:uid="{00000000-0005-0000-0000-0000CB020000}"/>
    <cellStyle name="20% - Énfasis1 2 5 2 3 3" xfId="719" xr:uid="{00000000-0005-0000-0000-0000CC020000}"/>
    <cellStyle name="20% - Énfasis1 2 5 2 3 3 2" xfId="720" xr:uid="{00000000-0005-0000-0000-0000CD020000}"/>
    <cellStyle name="20% - Énfasis1 2 5 2 3 4" xfId="721" xr:uid="{00000000-0005-0000-0000-0000CE020000}"/>
    <cellStyle name="20% - Énfasis1 2 5 2 3 5" xfId="722" xr:uid="{00000000-0005-0000-0000-0000CF020000}"/>
    <cellStyle name="20% - Énfasis1 2 5 2 4" xfId="723" xr:uid="{00000000-0005-0000-0000-0000D0020000}"/>
    <cellStyle name="20% - Énfasis1 2 5 2 4 2" xfId="724" xr:uid="{00000000-0005-0000-0000-0000D1020000}"/>
    <cellStyle name="20% - Énfasis1 2 5 2 5" xfId="725" xr:uid="{00000000-0005-0000-0000-0000D2020000}"/>
    <cellStyle name="20% - Énfasis1 2 5 2 5 2" xfId="726" xr:uid="{00000000-0005-0000-0000-0000D3020000}"/>
    <cellStyle name="20% - Énfasis1 2 5 2 6" xfId="727" xr:uid="{00000000-0005-0000-0000-0000D4020000}"/>
    <cellStyle name="20% - Énfasis1 2 5 2 7" xfId="728" xr:uid="{00000000-0005-0000-0000-0000D5020000}"/>
    <cellStyle name="20% - Énfasis1 2 5 3" xfId="729" xr:uid="{00000000-0005-0000-0000-0000D6020000}"/>
    <cellStyle name="20% - Énfasis1 2 5 3 2" xfId="730" xr:uid="{00000000-0005-0000-0000-0000D7020000}"/>
    <cellStyle name="20% - Énfasis1 2 5 3 2 2" xfId="731" xr:uid="{00000000-0005-0000-0000-0000D8020000}"/>
    <cellStyle name="20% - Énfasis1 2 5 3 2 2 2" xfId="732" xr:uid="{00000000-0005-0000-0000-0000D9020000}"/>
    <cellStyle name="20% - Énfasis1 2 5 3 2 3" xfId="733" xr:uid="{00000000-0005-0000-0000-0000DA020000}"/>
    <cellStyle name="20% - Énfasis1 2 5 3 2 4" xfId="734" xr:uid="{00000000-0005-0000-0000-0000DB020000}"/>
    <cellStyle name="20% - Énfasis1 2 5 3 3" xfId="735" xr:uid="{00000000-0005-0000-0000-0000DC020000}"/>
    <cellStyle name="20% - Énfasis1 2 5 3 3 2" xfId="736" xr:uid="{00000000-0005-0000-0000-0000DD020000}"/>
    <cellStyle name="20% - Énfasis1 2 5 3 4" xfId="737" xr:uid="{00000000-0005-0000-0000-0000DE020000}"/>
    <cellStyle name="20% - Énfasis1 2 5 3 5" xfId="738" xr:uid="{00000000-0005-0000-0000-0000DF020000}"/>
    <cellStyle name="20% - Énfasis1 2 5 4" xfId="739" xr:uid="{00000000-0005-0000-0000-0000E0020000}"/>
    <cellStyle name="20% - Énfasis1 2 5 4 2" xfId="740" xr:uid="{00000000-0005-0000-0000-0000E1020000}"/>
    <cellStyle name="20% - Énfasis1 2 5 4 2 2" xfId="741" xr:uid="{00000000-0005-0000-0000-0000E2020000}"/>
    <cellStyle name="20% - Énfasis1 2 5 4 3" xfId="742" xr:uid="{00000000-0005-0000-0000-0000E3020000}"/>
    <cellStyle name="20% - Énfasis1 2 5 4 3 2" xfId="743" xr:uid="{00000000-0005-0000-0000-0000E4020000}"/>
    <cellStyle name="20% - Énfasis1 2 5 4 4" xfId="744" xr:uid="{00000000-0005-0000-0000-0000E5020000}"/>
    <cellStyle name="20% - Énfasis1 2 5 4 5" xfId="745" xr:uid="{00000000-0005-0000-0000-0000E6020000}"/>
    <cellStyle name="20% - Énfasis1 2 5 5" xfId="746" xr:uid="{00000000-0005-0000-0000-0000E7020000}"/>
    <cellStyle name="20% - Énfasis1 2 5 5 2" xfId="747" xr:uid="{00000000-0005-0000-0000-0000E8020000}"/>
    <cellStyle name="20% - Énfasis1 2 5 6" xfId="748" xr:uid="{00000000-0005-0000-0000-0000E9020000}"/>
    <cellStyle name="20% - Énfasis1 2 5 6 2" xfId="749" xr:uid="{00000000-0005-0000-0000-0000EA020000}"/>
    <cellStyle name="20% - Énfasis1 2 5 7" xfId="750" xr:uid="{00000000-0005-0000-0000-0000EB020000}"/>
    <cellStyle name="20% - Énfasis1 2 5 8" xfId="751" xr:uid="{00000000-0005-0000-0000-0000EC020000}"/>
    <cellStyle name="20% - Énfasis1 2 6" xfId="752" xr:uid="{00000000-0005-0000-0000-0000ED020000}"/>
    <cellStyle name="20% - Énfasis1 2 6 2" xfId="753" xr:uid="{00000000-0005-0000-0000-0000EE020000}"/>
    <cellStyle name="20% - Énfasis1 2 6 2 2" xfId="754" xr:uid="{00000000-0005-0000-0000-0000EF020000}"/>
    <cellStyle name="20% - Énfasis1 2 6 2 2 2" xfId="755" xr:uid="{00000000-0005-0000-0000-0000F0020000}"/>
    <cellStyle name="20% - Énfasis1 2 6 2 2 2 2" xfId="756" xr:uid="{00000000-0005-0000-0000-0000F1020000}"/>
    <cellStyle name="20% - Énfasis1 2 6 2 2 3" xfId="757" xr:uid="{00000000-0005-0000-0000-0000F2020000}"/>
    <cellStyle name="20% - Énfasis1 2 6 2 2 4" xfId="758" xr:uid="{00000000-0005-0000-0000-0000F3020000}"/>
    <cellStyle name="20% - Énfasis1 2 6 2 3" xfId="759" xr:uid="{00000000-0005-0000-0000-0000F4020000}"/>
    <cellStyle name="20% - Énfasis1 2 6 2 3 2" xfId="760" xr:uid="{00000000-0005-0000-0000-0000F5020000}"/>
    <cellStyle name="20% - Énfasis1 2 6 2 4" xfId="761" xr:uid="{00000000-0005-0000-0000-0000F6020000}"/>
    <cellStyle name="20% - Énfasis1 2 6 2 5" xfId="762" xr:uid="{00000000-0005-0000-0000-0000F7020000}"/>
    <cellStyle name="20% - Énfasis1 2 6 3" xfId="763" xr:uid="{00000000-0005-0000-0000-0000F8020000}"/>
    <cellStyle name="20% - Énfasis1 2 6 3 2" xfId="764" xr:uid="{00000000-0005-0000-0000-0000F9020000}"/>
    <cellStyle name="20% - Énfasis1 2 6 3 2 2" xfId="765" xr:uid="{00000000-0005-0000-0000-0000FA020000}"/>
    <cellStyle name="20% - Énfasis1 2 6 3 3" xfId="766" xr:uid="{00000000-0005-0000-0000-0000FB020000}"/>
    <cellStyle name="20% - Énfasis1 2 6 3 3 2" xfId="767" xr:uid="{00000000-0005-0000-0000-0000FC020000}"/>
    <cellStyle name="20% - Énfasis1 2 6 3 4" xfId="768" xr:uid="{00000000-0005-0000-0000-0000FD020000}"/>
    <cellStyle name="20% - Énfasis1 2 6 3 5" xfId="769" xr:uid="{00000000-0005-0000-0000-0000FE020000}"/>
    <cellStyle name="20% - Énfasis1 2 6 4" xfId="770" xr:uid="{00000000-0005-0000-0000-0000FF020000}"/>
    <cellStyle name="20% - Énfasis1 2 6 4 2" xfId="771" xr:uid="{00000000-0005-0000-0000-000000030000}"/>
    <cellStyle name="20% - Énfasis1 2 6 5" xfId="772" xr:uid="{00000000-0005-0000-0000-000001030000}"/>
    <cellStyle name="20% - Énfasis1 2 6 5 2" xfId="773" xr:uid="{00000000-0005-0000-0000-000002030000}"/>
    <cellStyle name="20% - Énfasis1 2 6 6" xfId="774" xr:uid="{00000000-0005-0000-0000-000003030000}"/>
    <cellStyle name="20% - Énfasis1 2 6 7" xfId="775" xr:uid="{00000000-0005-0000-0000-000004030000}"/>
    <cellStyle name="20% - Énfasis1 2 7" xfId="776" xr:uid="{00000000-0005-0000-0000-000005030000}"/>
    <cellStyle name="20% - Énfasis1 2 7 2" xfId="777" xr:uid="{00000000-0005-0000-0000-000006030000}"/>
    <cellStyle name="20% - Énfasis1 2 7 2 2" xfId="778" xr:uid="{00000000-0005-0000-0000-000007030000}"/>
    <cellStyle name="20% - Énfasis1 2 7 2 2 2" xfId="779" xr:uid="{00000000-0005-0000-0000-000008030000}"/>
    <cellStyle name="20% - Énfasis1 2 7 2 3" xfId="780" xr:uid="{00000000-0005-0000-0000-000009030000}"/>
    <cellStyle name="20% - Énfasis1 2 7 2 4" xfId="781" xr:uid="{00000000-0005-0000-0000-00000A030000}"/>
    <cellStyle name="20% - Énfasis1 2 7 3" xfId="782" xr:uid="{00000000-0005-0000-0000-00000B030000}"/>
    <cellStyle name="20% - Énfasis1 2 7 3 2" xfId="783" xr:uid="{00000000-0005-0000-0000-00000C030000}"/>
    <cellStyle name="20% - Énfasis1 2 7 4" xfId="784" xr:uid="{00000000-0005-0000-0000-00000D030000}"/>
    <cellStyle name="20% - Énfasis1 2 7 5" xfId="785" xr:uid="{00000000-0005-0000-0000-00000E030000}"/>
    <cellStyle name="20% - Énfasis1 2 8" xfId="786" xr:uid="{00000000-0005-0000-0000-00000F030000}"/>
    <cellStyle name="20% - Énfasis1 2 8 2" xfId="787" xr:uid="{00000000-0005-0000-0000-000010030000}"/>
    <cellStyle name="20% - Énfasis1 2 8 2 2" xfId="788" xr:uid="{00000000-0005-0000-0000-000011030000}"/>
    <cellStyle name="20% - Énfasis1 2 8 3" xfId="789" xr:uid="{00000000-0005-0000-0000-000012030000}"/>
    <cellStyle name="20% - Énfasis1 2 8 3 2" xfId="790" xr:uid="{00000000-0005-0000-0000-000013030000}"/>
    <cellStyle name="20% - Énfasis1 2 8 4" xfId="791" xr:uid="{00000000-0005-0000-0000-000014030000}"/>
    <cellStyle name="20% - Énfasis1 2 8 5" xfId="792" xr:uid="{00000000-0005-0000-0000-000015030000}"/>
    <cellStyle name="20% - Énfasis1 2 9" xfId="793" xr:uid="{00000000-0005-0000-0000-000016030000}"/>
    <cellStyle name="20% - Énfasis1 2 9 2" xfId="794" xr:uid="{00000000-0005-0000-0000-000017030000}"/>
    <cellStyle name="20% - Énfasis1 3" xfId="795" xr:uid="{00000000-0005-0000-0000-000018030000}"/>
    <cellStyle name="20% - Énfasis1 3 10" xfId="796" xr:uid="{00000000-0005-0000-0000-000019030000}"/>
    <cellStyle name="20% - Énfasis1 3 10 2" xfId="797" xr:uid="{00000000-0005-0000-0000-00001A030000}"/>
    <cellStyle name="20% - Énfasis1 3 11" xfId="798" xr:uid="{00000000-0005-0000-0000-00001B030000}"/>
    <cellStyle name="20% - Énfasis1 3 12" xfId="799" xr:uid="{00000000-0005-0000-0000-00001C030000}"/>
    <cellStyle name="20% - Énfasis1 3 2" xfId="800" xr:uid="{00000000-0005-0000-0000-00001D030000}"/>
    <cellStyle name="20% - Énfasis1 3 2 10" xfId="801" xr:uid="{00000000-0005-0000-0000-00001E030000}"/>
    <cellStyle name="20% - Énfasis1 3 2 11" xfId="802" xr:uid="{00000000-0005-0000-0000-00001F030000}"/>
    <cellStyle name="20% - Énfasis1 3 2 2" xfId="803" xr:uid="{00000000-0005-0000-0000-000020030000}"/>
    <cellStyle name="20% - Énfasis1 3 2 2 10" xfId="804" xr:uid="{00000000-0005-0000-0000-000021030000}"/>
    <cellStyle name="20% - Énfasis1 3 2 2 2" xfId="805" xr:uid="{00000000-0005-0000-0000-000022030000}"/>
    <cellStyle name="20% - Énfasis1 3 2 2 2 2" xfId="806" xr:uid="{00000000-0005-0000-0000-000023030000}"/>
    <cellStyle name="20% - Énfasis1 3 2 2 2 2 2" xfId="807" xr:uid="{00000000-0005-0000-0000-000024030000}"/>
    <cellStyle name="20% - Énfasis1 3 2 2 2 2 2 2" xfId="808" xr:uid="{00000000-0005-0000-0000-000025030000}"/>
    <cellStyle name="20% - Énfasis1 3 2 2 2 2 2 2 2" xfId="809" xr:uid="{00000000-0005-0000-0000-000026030000}"/>
    <cellStyle name="20% - Énfasis1 3 2 2 2 2 2 2 2 2" xfId="810" xr:uid="{00000000-0005-0000-0000-000027030000}"/>
    <cellStyle name="20% - Énfasis1 3 2 2 2 2 2 2 2 2 2" xfId="811" xr:uid="{00000000-0005-0000-0000-000028030000}"/>
    <cellStyle name="20% - Énfasis1 3 2 2 2 2 2 2 2 3" xfId="812" xr:uid="{00000000-0005-0000-0000-000029030000}"/>
    <cellStyle name="20% - Énfasis1 3 2 2 2 2 2 2 2 4" xfId="813" xr:uid="{00000000-0005-0000-0000-00002A030000}"/>
    <cellStyle name="20% - Énfasis1 3 2 2 2 2 2 2 3" xfId="814" xr:uid="{00000000-0005-0000-0000-00002B030000}"/>
    <cellStyle name="20% - Énfasis1 3 2 2 2 2 2 2 3 2" xfId="815" xr:uid="{00000000-0005-0000-0000-00002C030000}"/>
    <cellStyle name="20% - Énfasis1 3 2 2 2 2 2 2 4" xfId="816" xr:uid="{00000000-0005-0000-0000-00002D030000}"/>
    <cellStyle name="20% - Énfasis1 3 2 2 2 2 2 2 5" xfId="817" xr:uid="{00000000-0005-0000-0000-00002E030000}"/>
    <cellStyle name="20% - Énfasis1 3 2 2 2 2 2 3" xfId="818" xr:uid="{00000000-0005-0000-0000-00002F030000}"/>
    <cellStyle name="20% - Énfasis1 3 2 2 2 2 2 3 2" xfId="819" xr:uid="{00000000-0005-0000-0000-000030030000}"/>
    <cellStyle name="20% - Énfasis1 3 2 2 2 2 2 3 2 2" xfId="820" xr:uid="{00000000-0005-0000-0000-000031030000}"/>
    <cellStyle name="20% - Énfasis1 3 2 2 2 2 2 3 3" xfId="821" xr:uid="{00000000-0005-0000-0000-000032030000}"/>
    <cellStyle name="20% - Énfasis1 3 2 2 2 2 2 3 4" xfId="822" xr:uid="{00000000-0005-0000-0000-000033030000}"/>
    <cellStyle name="20% - Énfasis1 3 2 2 2 2 2 4" xfId="823" xr:uid="{00000000-0005-0000-0000-000034030000}"/>
    <cellStyle name="20% - Énfasis1 3 2 2 2 2 2 4 2" xfId="824" xr:uid="{00000000-0005-0000-0000-000035030000}"/>
    <cellStyle name="20% - Énfasis1 3 2 2 2 2 2 5" xfId="825" xr:uid="{00000000-0005-0000-0000-000036030000}"/>
    <cellStyle name="20% - Énfasis1 3 2 2 2 2 2 6" xfId="826" xr:uid="{00000000-0005-0000-0000-000037030000}"/>
    <cellStyle name="20% - Énfasis1 3 2 2 2 2 3" xfId="827" xr:uid="{00000000-0005-0000-0000-000038030000}"/>
    <cellStyle name="20% - Énfasis1 3 2 2 2 2 3 2" xfId="828" xr:uid="{00000000-0005-0000-0000-000039030000}"/>
    <cellStyle name="20% - Énfasis1 3 2 2 2 2 3 2 2" xfId="829" xr:uid="{00000000-0005-0000-0000-00003A030000}"/>
    <cellStyle name="20% - Énfasis1 3 2 2 2 2 3 2 2 2" xfId="830" xr:uid="{00000000-0005-0000-0000-00003B030000}"/>
    <cellStyle name="20% - Énfasis1 3 2 2 2 2 3 2 3" xfId="831" xr:uid="{00000000-0005-0000-0000-00003C030000}"/>
    <cellStyle name="20% - Énfasis1 3 2 2 2 2 3 2 4" xfId="832" xr:uid="{00000000-0005-0000-0000-00003D030000}"/>
    <cellStyle name="20% - Énfasis1 3 2 2 2 2 3 3" xfId="833" xr:uid="{00000000-0005-0000-0000-00003E030000}"/>
    <cellStyle name="20% - Énfasis1 3 2 2 2 2 3 3 2" xfId="834" xr:uid="{00000000-0005-0000-0000-00003F030000}"/>
    <cellStyle name="20% - Énfasis1 3 2 2 2 2 3 4" xfId="835" xr:uid="{00000000-0005-0000-0000-000040030000}"/>
    <cellStyle name="20% - Énfasis1 3 2 2 2 2 3 5" xfId="836" xr:uid="{00000000-0005-0000-0000-000041030000}"/>
    <cellStyle name="20% - Énfasis1 3 2 2 2 2 4" xfId="837" xr:uid="{00000000-0005-0000-0000-000042030000}"/>
    <cellStyle name="20% - Énfasis1 3 2 2 2 2 4 2" xfId="838" xr:uid="{00000000-0005-0000-0000-000043030000}"/>
    <cellStyle name="20% - Énfasis1 3 2 2 2 2 4 2 2" xfId="839" xr:uid="{00000000-0005-0000-0000-000044030000}"/>
    <cellStyle name="20% - Énfasis1 3 2 2 2 2 4 3" xfId="840" xr:uid="{00000000-0005-0000-0000-000045030000}"/>
    <cellStyle name="20% - Énfasis1 3 2 2 2 2 4 4" xfId="841" xr:uid="{00000000-0005-0000-0000-000046030000}"/>
    <cellStyle name="20% - Énfasis1 3 2 2 2 2 5" xfId="842" xr:uid="{00000000-0005-0000-0000-000047030000}"/>
    <cellStyle name="20% - Énfasis1 3 2 2 2 2 5 2" xfId="843" xr:uid="{00000000-0005-0000-0000-000048030000}"/>
    <cellStyle name="20% - Énfasis1 3 2 2 2 2 6" xfId="844" xr:uid="{00000000-0005-0000-0000-000049030000}"/>
    <cellStyle name="20% - Énfasis1 3 2 2 2 2 7" xfId="845" xr:uid="{00000000-0005-0000-0000-00004A030000}"/>
    <cellStyle name="20% - Énfasis1 3 2 2 2 3" xfId="846" xr:uid="{00000000-0005-0000-0000-00004B030000}"/>
    <cellStyle name="20% - Énfasis1 3 2 2 2 3 2" xfId="847" xr:uid="{00000000-0005-0000-0000-00004C030000}"/>
    <cellStyle name="20% - Énfasis1 3 2 2 2 3 2 2" xfId="848" xr:uid="{00000000-0005-0000-0000-00004D030000}"/>
    <cellStyle name="20% - Énfasis1 3 2 2 2 3 2 2 2" xfId="849" xr:uid="{00000000-0005-0000-0000-00004E030000}"/>
    <cellStyle name="20% - Énfasis1 3 2 2 2 3 2 2 2 2" xfId="850" xr:uid="{00000000-0005-0000-0000-00004F030000}"/>
    <cellStyle name="20% - Énfasis1 3 2 2 2 3 2 2 3" xfId="851" xr:uid="{00000000-0005-0000-0000-000050030000}"/>
    <cellStyle name="20% - Énfasis1 3 2 2 2 3 2 2 4" xfId="852" xr:uid="{00000000-0005-0000-0000-000051030000}"/>
    <cellStyle name="20% - Énfasis1 3 2 2 2 3 2 3" xfId="853" xr:uid="{00000000-0005-0000-0000-000052030000}"/>
    <cellStyle name="20% - Énfasis1 3 2 2 2 3 2 3 2" xfId="854" xr:uid="{00000000-0005-0000-0000-000053030000}"/>
    <cellStyle name="20% - Énfasis1 3 2 2 2 3 2 4" xfId="855" xr:uid="{00000000-0005-0000-0000-000054030000}"/>
    <cellStyle name="20% - Énfasis1 3 2 2 2 3 2 5" xfId="856" xr:uid="{00000000-0005-0000-0000-000055030000}"/>
    <cellStyle name="20% - Énfasis1 3 2 2 2 3 3" xfId="857" xr:uid="{00000000-0005-0000-0000-000056030000}"/>
    <cellStyle name="20% - Énfasis1 3 2 2 2 3 3 2" xfId="858" xr:uid="{00000000-0005-0000-0000-000057030000}"/>
    <cellStyle name="20% - Énfasis1 3 2 2 2 3 3 2 2" xfId="859" xr:uid="{00000000-0005-0000-0000-000058030000}"/>
    <cellStyle name="20% - Énfasis1 3 2 2 2 3 3 3" xfId="860" xr:uid="{00000000-0005-0000-0000-000059030000}"/>
    <cellStyle name="20% - Énfasis1 3 2 2 2 3 3 3 2" xfId="861" xr:uid="{00000000-0005-0000-0000-00005A030000}"/>
    <cellStyle name="20% - Énfasis1 3 2 2 2 3 3 4" xfId="862" xr:uid="{00000000-0005-0000-0000-00005B030000}"/>
    <cellStyle name="20% - Énfasis1 3 2 2 2 3 3 5" xfId="863" xr:uid="{00000000-0005-0000-0000-00005C030000}"/>
    <cellStyle name="20% - Énfasis1 3 2 2 2 3 4" xfId="864" xr:uid="{00000000-0005-0000-0000-00005D030000}"/>
    <cellStyle name="20% - Énfasis1 3 2 2 2 3 4 2" xfId="865" xr:uid="{00000000-0005-0000-0000-00005E030000}"/>
    <cellStyle name="20% - Énfasis1 3 2 2 2 3 5" xfId="866" xr:uid="{00000000-0005-0000-0000-00005F030000}"/>
    <cellStyle name="20% - Énfasis1 3 2 2 2 3 5 2" xfId="867" xr:uid="{00000000-0005-0000-0000-000060030000}"/>
    <cellStyle name="20% - Énfasis1 3 2 2 2 3 6" xfId="868" xr:uid="{00000000-0005-0000-0000-000061030000}"/>
    <cellStyle name="20% - Énfasis1 3 2 2 2 3 7" xfId="869" xr:uid="{00000000-0005-0000-0000-000062030000}"/>
    <cellStyle name="20% - Énfasis1 3 2 2 2 4" xfId="870" xr:uid="{00000000-0005-0000-0000-000063030000}"/>
    <cellStyle name="20% - Énfasis1 3 2 2 2 4 2" xfId="871" xr:uid="{00000000-0005-0000-0000-000064030000}"/>
    <cellStyle name="20% - Énfasis1 3 2 2 2 4 2 2" xfId="872" xr:uid="{00000000-0005-0000-0000-000065030000}"/>
    <cellStyle name="20% - Énfasis1 3 2 2 2 4 2 2 2" xfId="873" xr:uid="{00000000-0005-0000-0000-000066030000}"/>
    <cellStyle name="20% - Énfasis1 3 2 2 2 4 2 3" xfId="874" xr:uid="{00000000-0005-0000-0000-000067030000}"/>
    <cellStyle name="20% - Énfasis1 3 2 2 2 4 2 4" xfId="875" xr:uid="{00000000-0005-0000-0000-000068030000}"/>
    <cellStyle name="20% - Énfasis1 3 2 2 2 4 3" xfId="876" xr:uid="{00000000-0005-0000-0000-000069030000}"/>
    <cellStyle name="20% - Énfasis1 3 2 2 2 4 3 2" xfId="877" xr:uid="{00000000-0005-0000-0000-00006A030000}"/>
    <cellStyle name="20% - Énfasis1 3 2 2 2 4 4" xfId="878" xr:uid="{00000000-0005-0000-0000-00006B030000}"/>
    <cellStyle name="20% - Énfasis1 3 2 2 2 4 5" xfId="879" xr:uid="{00000000-0005-0000-0000-00006C030000}"/>
    <cellStyle name="20% - Énfasis1 3 2 2 2 5" xfId="880" xr:uid="{00000000-0005-0000-0000-00006D030000}"/>
    <cellStyle name="20% - Énfasis1 3 2 2 2 5 2" xfId="881" xr:uid="{00000000-0005-0000-0000-00006E030000}"/>
    <cellStyle name="20% - Énfasis1 3 2 2 2 5 2 2" xfId="882" xr:uid="{00000000-0005-0000-0000-00006F030000}"/>
    <cellStyle name="20% - Énfasis1 3 2 2 2 5 3" xfId="883" xr:uid="{00000000-0005-0000-0000-000070030000}"/>
    <cellStyle name="20% - Énfasis1 3 2 2 2 5 3 2" xfId="884" xr:uid="{00000000-0005-0000-0000-000071030000}"/>
    <cellStyle name="20% - Énfasis1 3 2 2 2 5 4" xfId="885" xr:uid="{00000000-0005-0000-0000-000072030000}"/>
    <cellStyle name="20% - Énfasis1 3 2 2 2 5 5" xfId="886" xr:uid="{00000000-0005-0000-0000-000073030000}"/>
    <cellStyle name="20% - Énfasis1 3 2 2 2 6" xfId="887" xr:uid="{00000000-0005-0000-0000-000074030000}"/>
    <cellStyle name="20% - Énfasis1 3 2 2 2 6 2" xfId="888" xr:uid="{00000000-0005-0000-0000-000075030000}"/>
    <cellStyle name="20% - Énfasis1 3 2 2 2 7" xfId="889" xr:uid="{00000000-0005-0000-0000-000076030000}"/>
    <cellStyle name="20% - Énfasis1 3 2 2 2 7 2" xfId="890" xr:uid="{00000000-0005-0000-0000-000077030000}"/>
    <cellStyle name="20% - Énfasis1 3 2 2 2 8" xfId="891" xr:uid="{00000000-0005-0000-0000-000078030000}"/>
    <cellStyle name="20% - Énfasis1 3 2 2 2 9" xfId="892" xr:uid="{00000000-0005-0000-0000-000079030000}"/>
    <cellStyle name="20% - Énfasis1 3 2 2 3" xfId="893" xr:uid="{00000000-0005-0000-0000-00007A030000}"/>
    <cellStyle name="20% - Énfasis1 3 2 2 3 2" xfId="894" xr:uid="{00000000-0005-0000-0000-00007B030000}"/>
    <cellStyle name="20% - Énfasis1 3 2 2 3 2 2" xfId="895" xr:uid="{00000000-0005-0000-0000-00007C030000}"/>
    <cellStyle name="20% - Énfasis1 3 2 2 3 2 2 2" xfId="896" xr:uid="{00000000-0005-0000-0000-00007D030000}"/>
    <cellStyle name="20% - Énfasis1 3 2 2 3 2 2 2 2" xfId="897" xr:uid="{00000000-0005-0000-0000-00007E030000}"/>
    <cellStyle name="20% - Énfasis1 3 2 2 3 2 2 2 2 2" xfId="898" xr:uid="{00000000-0005-0000-0000-00007F030000}"/>
    <cellStyle name="20% - Énfasis1 3 2 2 3 2 2 2 3" xfId="899" xr:uid="{00000000-0005-0000-0000-000080030000}"/>
    <cellStyle name="20% - Énfasis1 3 2 2 3 2 2 2 4" xfId="900" xr:uid="{00000000-0005-0000-0000-000081030000}"/>
    <cellStyle name="20% - Énfasis1 3 2 2 3 2 2 3" xfId="901" xr:uid="{00000000-0005-0000-0000-000082030000}"/>
    <cellStyle name="20% - Énfasis1 3 2 2 3 2 2 3 2" xfId="902" xr:uid="{00000000-0005-0000-0000-000083030000}"/>
    <cellStyle name="20% - Énfasis1 3 2 2 3 2 2 4" xfId="903" xr:uid="{00000000-0005-0000-0000-000084030000}"/>
    <cellStyle name="20% - Énfasis1 3 2 2 3 2 2 5" xfId="904" xr:uid="{00000000-0005-0000-0000-000085030000}"/>
    <cellStyle name="20% - Énfasis1 3 2 2 3 2 3" xfId="905" xr:uid="{00000000-0005-0000-0000-000086030000}"/>
    <cellStyle name="20% - Énfasis1 3 2 2 3 2 3 2" xfId="906" xr:uid="{00000000-0005-0000-0000-000087030000}"/>
    <cellStyle name="20% - Énfasis1 3 2 2 3 2 3 2 2" xfId="907" xr:uid="{00000000-0005-0000-0000-000088030000}"/>
    <cellStyle name="20% - Énfasis1 3 2 2 3 2 3 3" xfId="908" xr:uid="{00000000-0005-0000-0000-000089030000}"/>
    <cellStyle name="20% - Énfasis1 3 2 2 3 2 3 4" xfId="909" xr:uid="{00000000-0005-0000-0000-00008A030000}"/>
    <cellStyle name="20% - Énfasis1 3 2 2 3 2 4" xfId="910" xr:uid="{00000000-0005-0000-0000-00008B030000}"/>
    <cellStyle name="20% - Énfasis1 3 2 2 3 2 4 2" xfId="911" xr:uid="{00000000-0005-0000-0000-00008C030000}"/>
    <cellStyle name="20% - Énfasis1 3 2 2 3 2 5" xfId="912" xr:uid="{00000000-0005-0000-0000-00008D030000}"/>
    <cellStyle name="20% - Énfasis1 3 2 2 3 2 6" xfId="913" xr:uid="{00000000-0005-0000-0000-00008E030000}"/>
    <cellStyle name="20% - Énfasis1 3 2 2 3 3" xfId="914" xr:uid="{00000000-0005-0000-0000-00008F030000}"/>
    <cellStyle name="20% - Énfasis1 3 2 2 3 3 2" xfId="915" xr:uid="{00000000-0005-0000-0000-000090030000}"/>
    <cellStyle name="20% - Énfasis1 3 2 2 3 3 2 2" xfId="916" xr:uid="{00000000-0005-0000-0000-000091030000}"/>
    <cellStyle name="20% - Énfasis1 3 2 2 3 3 2 2 2" xfId="917" xr:uid="{00000000-0005-0000-0000-000092030000}"/>
    <cellStyle name="20% - Énfasis1 3 2 2 3 3 2 3" xfId="918" xr:uid="{00000000-0005-0000-0000-000093030000}"/>
    <cellStyle name="20% - Énfasis1 3 2 2 3 3 2 4" xfId="919" xr:uid="{00000000-0005-0000-0000-000094030000}"/>
    <cellStyle name="20% - Énfasis1 3 2 2 3 3 3" xfId="920" xr:uid="{00000000-0005-0000-0000-000095030000}"/>
    <cellStyle name="20% - Énfasis1 3 2 2 3 3 3 2" xfId="921" xr:uid="{00000000-0005-0000-0000-000096030000}"/>
    <cellStyle name="20% - Énfasis1 3 2 2 3 3 4" xfId="922" xr:uid="{00000000-0005-0000-0000-000097030000}"/>
    <cellStyle name="20% - Énfasis1 3 2 2 3 3 5" xfId="923" xr:uid="{00000000-0005-0000-0000-000098030000}"/>
    <cellStyle name="20% - Énfasis1 3 2 2 3 4" xfId="924" xr:uid="{00000000-0005-0000-0000-000099030000}"/>
    <cellStyle name="20% - Énfasis1 3 2 2 3 4 2" xfId="925" xr:uid="{00000000-0005-0000-0000-00009A030000}"/>
    <cellStyle name="20% - Énfasis1 3 2 2 3 4 2 2" xfId="926" xr:uid="{00000000-0005-0000-0000-00009B030000}"/>
    <cellStyle name="20% - Énfasis1 3 2 2 3 4 3" xfId="927" xr:uid="{00000000-0005-0000-0000-00009C030000}"/>
    <cellStyle name="20% - Énfasis1 3 2 2 3 4 4" xfId="928" xr:uid="{00000000-0005-0000-0000-00009D030000}"/>
    <cellStyle name="20% - Énfasis1 3 2 2 3 5" xfId="929" xr:uid="{00000000-0005-0000-0000-00009E030000}"/>
    <cellStyle name="20% - Énfasis1 3 2 2 3 5 2" xfId="930" xr:uid="{00000000-0005-0000-0000-00009F030000}"/>
    <cellStyle name="20% - Énfasis1 3 2 2 3 6" xfId="931" xr:uid="{00000000-0005-0000-0000-0000A0030000}"/>
    <cellStyle name="20% - Énfasis1 3 2 2 3 7" xfId="932" xr:uid="{00000000-0005-0000-0000-0000A1030000}"/>
    <cellStyle name="20% - Énfasis1 3 2 2 4" xfId="933" xr:uid="{00000000-0005-0000-0000-0000A2030000}"/>
    <cellStyle name="20% - Énfasis1 3 2 2 4 2" xfId="934" xr:uid="{00000000-0005-0000-0000-0000A3030000}"/>
    <cellStyle name="20% - Énfasis1 3 2 2 4 2 2" xfId="935" xr:uid="{00000000-0005-0000-0000-0000A4030000}"/>
    <cellStyle name="20% - Énfasis1 3 2 2 4 2 2 2" xfId="936" xr:uid="{00000000-0005-0000-0000-0000A5030000}"/>
    <cellStyle name="20% - Énfasis1 3 2 2 4 2 2 2 2" xfId="937" xr:uid="{00000000-0005-0000-0000-0000A6030000}"/>
    <cellStyle name="20% - Énfasis1 3 2 2 4 2 2 3" xfId="938" xr:uid="{00000000-0005-0000-0000-0000A7030000}"/>
    <cellStyle name="20% - Énfasis1 3 2 2 4 2 2 4" xfId="939" xr:uid="{00000000-0005-0000-0000-0000A8030000}"/>
    <cellStyle name="20% - Énfasis1 3 2 2 4 2 3" xfId="940" xr:uid="{00000000-0005-0000-0000-0000A9030000}"/>
    <cellStyle name="20% - Énfasis1 3 2 2 4 2 3 2" xfId="941" xr:uid="{00000000-0005-0000-0000-0000AA030000}"/>
    <cellStyle name="20% - Énfasis1 3 2 2 4 2 4" xfId="942" xr:uid="{00000000-0005-0000-0000-0000AB030000}"/>
    <cellStyle name="20% - Énfasis1 3 2 2 4 2 5" xfId="943" xr:uid="{00000000-0005-0000-0000-0000AC030000}"/>
    <cellStyle name="20% - Énfasis1 3 2 2 4 3" xfId="944" xr:uid="{00000000-0005-0000-0000-0000AD030000}"/>
    <cellStyle name="20% - Énfasis1 3 2 2 4 3 2" xfId="945" xr:uid="{00000000-0005-0000-0000-0000AE030000}"/>
    <cellStyle name="20% - Énfasis1 3 2 2 4 3 2 2" xfId="946" xr:uid="{00000000-0005-0000-0000-0000AF030000}"/>
    <cellStyle name="20% - Énfasis1 3 2 2 4 3 3" xfId="947" xr:uid="{00000000-0005-0000-0000-0000B0030000}"/>
    <cellStyle name="20% - Énfasis1 3 2 2 4 3 3 2" xfId="948" xr:uid="{00000000-0005-0000-0000-0000B1030000}"/>
    <cellStyle name="20% - Énfasis1 3 2 2 4 3 4" xfId="949" xr:uid="{00000000-0005-0000-0000-0000B2030000}"/>
    <cellStyle name="20% - Énfasis1 3 2 2 4 3 5" xfId="950" xr:uid="{00000000-0005-0000-0000-0000B3030000}"/>
    <cellStyle name="20% - Énfasis1 3 2 2 4 4" xfId="951" xr:uid="{00000000-0005-0000-0000-0000B4030000}"/>
    <cellStyle name="20% - Énfasis1 3 2 2 4 4 2" xfId="952" xr:uid="{00000000-0005-0000-0000-0000B5030000}"/>
    <cellStyle name="20% - Énfasis1 3 2 2 4 5" xfId="953" xr:uid="{00000000-0005-0000-0000-0000B6030000}"/>
    <cellStyle name="20% - Énfasis1 3 2 2 4 5 2" xfId="954" xr:uid="{00000000-0005-0000-0000-0000B7030000}"/>
    <cellStyle name="20% - Énfasis1 3 2 2 4 6" xfId="955" xr:uid="{00000000-0005-0000-0000-0000B8030000}"/>
    <cellStyle name="20% - Énfasis1 3 2 2 4 7" xfId="956" xr:uid="{00000000-0005-0000-0000-0000B9030000}"/>
    <cellStyle name="20% - Énfasis1 3 2 2 5" xfId="957" xr:uid="{00000000-0005-0000-0000-0000BA030000}"/>
    <cellStyle name="20% - Énfasis1 3 2 2 5 2" xfId="958" xr:uid="{00000000-0005-0000-0000-0000BB030000}"/>
    <cellStyle name="20% - Énfasis1 3 2 2 5 2 2" xfId="959" xr:uid="{00000000-0005-0000-0000-0000BC030000}"/>
    <cellStyle name="20% - Énfasis1 3 2 2 5 2 2 2" xfId="960" xr:uid="{00000000-0005-0000-0000-0000BD030000}"/>
    <cellStyle name="20% - Énfasis1 3 2 2 5 2 3" xfId="961" xr:uid="{00000000-0005-0000-0000-0000BE030000}"/>
    <cellStyle name="20% - Énfasis1 3 2 2 5 2 4" xfId="962" xr:uid="{00000000-0005-0000-0000-0000BF030000}"/>
    <cellStyle name="20% - Énfasis1 3 2 2 5 3" xfId="963" xr:uid="{00000000-0005-0000-0000-0000C0030000}"/>
    <cellStyle name="20% - Énfasis1 3 2 2 5 3 2" xfId="964" xr:uid="{00000000-0005-0000-0000-0000C1030000}"/>
    <cellStyle name="20% - Énfasis1 3 2 2 5 4" xfId="965" xr:uid="{00000000-0005-0000-0000-0000C2030000}"/>
    <cellStyle name="20% - Énfasis1 3 2 2 5 5" xfId="966" xr:uid="{00000000-0005-0000-0000-0000C3030000}"/>
    <cellStyle name="20% - Énfasis1 3 2 2 6" xfId="967" xr:uid="{00000000-0005-0000-0000-0000C4030000}"/>
    <cellStyle name="20% - Énfasis1 3 2 2 6 2" xfId="968" xr:uid="{00000000-0005-0000-0000-0000C5030000}"/>
    <cellStyle name="20% - Énfasis1 3 2 2 6 2 2" xfId="969" xr:uid="{00000000-0005-0000-0000-0000C6030000}"/>
    <cellStyle name="20% - Énfasis1 3 2 2 6 3" xfId="970" xr:uid="{00000000-0005-0000-0000-0000C7030000}"/>
    <cellStyle name="20% - Énfasis1 3 2 2 6 3 2" xfId="971" xr:uid="{00000000-0005-0000-0000-0000C8030000}"/>
    <cellStyle name="20% - Énfasis1 3 2 2 6 4" xfId="972" xr:uid="{00000000-0005-0000-0000-0000C9030000}"/>
    <cellStyle name="20% - Énfasis1 3 2 2 6 5" xfId="973" xr:uid="{00000000-0005-0000-0000-0000CA030000}"/>
    <cellStyle name="20% - Énfasis1 3 2 2 7" xfId="974" xr:uid="{00000000-0005-0000-0000-0000CB030000}"/>
    <cellStyle name="20% - Énfasis1 3 2 2 7 2" xfId="975" xr:uid="{00000000-0005-0000-0000-0000CC030000}"/>
    <cellStyle name="20% - Énfasis1 3 2 2 8" xfId="976" xr:uid="{00000000-0005-0000-0000-0000CD030000}"/>
    <cellStyle name="20% - Énfasis1 3 2 2 8 2" xfId="977" xr:uid="{00000000-0005-0000-0000-0000CE030000}"/>
    <cellStyle name="20% - Énfasis1 3 2 2 9" xfId="978" xr:uid="{00000000-0005-0000-0000-0000CF030000}"/>
    <cellStyle name="20% - Énfasis1 3 2 3" xfId="979" xr:uid="{00000000-0005-0000-0000-0000D0030000}"/>
    <cellStyle name="20% - Énfasis1 3 2 3 2" xfId="980" xr:uid="{00000000-0005-0000-0000-0000D1030000}"/>
    <cellStyle name="20% - Énfasis1 3 2 3 2 2" xfId="981" xr:uid="{00000000-0005-0000-0000-0000D2030000}"/>
    <cellStyle name="20% - Énfasis1 3 2 3 2 2 2" xfId="982" xr:uid="{00000000-0005-0000-0000-0000D3030000}"/>
    <cellStyle name="20% - Énfasis1 3 2 3 2 2 2 2" xfId="983" xr:uid="{00000000-0005-0000-0000-0000D4030000}"/>
    <cellStyle name="20% - Énfasis1 3 2 3 2 2 2 2 2" xfId="984" xr:uid="{00000000-0005-0000-0000-0000D5030000}"/>
    <cellStyle name="20% - Énfasis1 3 2 3 2 2 2 2 2 2" xfId="985" xr:uid="{00000000-0005-0000-0000-0000D6030000}"/>
    <cellStyle name="20% - Énfasis1 3 2 3 2 2 2 2 3" xfId="986" xr:uid="{00000000-0005-0000-0000-0000D7030000}"/>
    <cellStyle name="20% - Énfasis1 3 2 3 2 2 2 2 4" xfId="987" xr:uid="{00000000-0005-0000-0000-0000D8030000}"/>
    <cellStyle name="20% - Énfasis1 3 2 3 2 2 2 3" xfId="988" xr:uid="{00000000-0005-0000-0000-0000D9030000}"/>
    <cellStyle name="20% - Énfasis1 3 2 3 2 2 2 3 2" xfId="989" xr:uid="{00000000-0005-0000-0000-0000DA030000}"/>
    <cellStyle name="20% - Énfasis1 3 2 3 2 2 2 4" xfId="990" xr:uid="{00000000-0005-0000-0000-0000DB030000}"/>
    <cellStyle name="20% - Énfasis1 3 2 3 2 2 2 5" xfId="991" xr:uid="{00000000-0005-0000-0000-0000DC030000}"/>
    <cellStyle name="20% - Énfasis1 3 2 3 2 2 3" xfId="992" xr:uid="{00000000-0005-0000-0000-0000DD030000}"/>
    <cellStyle name="20% - Énfasis1 3 2 3 2 2 3 2" xfId="993" xr:uid="{00000000-0005-0000-0000-0000DE030000}"/>
    <cellStyle name="20% - Énfasis1 3 2 3 2 2 3 2 2" xfId="994" xr:uid="{00000000-0005-0000-0000-0000DF030000}"/>
    <cellStyle name="20% - Énfasis1 3 2 3 2 2 3 3" xfId="995" xr:uid="{00000000-0005-0000-0000-0000E0030000}"/>
    <cellStyle name="20% - Énfasis1 3 2 3 2 2 3 4" xfId="996" xr:uid="{00000000-0005-0000-0000-0000E1030000}"/>
    <cellStyle name="20% - Énfasis1 3 2 3 2 2 4" xfId="997" xr:uid="{00000000-0005-0000-0000-0000E2030000}"/>
    <cellStyle name="20% - Énfasis1 3 2 3 2 2 4 2" xfId="998" xr:uid="{00000000-0005-0000-0000-0000E3030000}"/>
    <cellStyle name="20% - Énfasis1 3 2 3 2 2 5" xfId="999" xr:uid="{00000000-0005-0000-0000-0000E4030000}"/>
    <cellStyle name="20% - Énfasis1 3 2 3 2 2 6" xfId="1000" xr:uid="{00000000-0005-0000-0000-0000E5030000}"/>
    <cellStyle name="20% - Énfasis1 3 2 3 2 3" xfId="1001" xr:uid="{00000000-0005-0000-0000-0000E6030000}"/>
    <cellStyle name="20% - Énfasis1 3 2 3 2 3 2" xfId="1002" xr:uid="{00000000-0005-0000-0000-0000E7030000}"/>
    <cellStyle name="20% - Énfasis1 3 2 3 2 3 2 2" xfId="1003" xr:uid="{00000000-0005-0000-0000-0000E8030000}"/>
    <cellStyle name="20% - Énfasis1 3 2 3 2 3 2 2 2" xfId="1004" xr:uid="{00000000-0005-0000-0000-0000E9030000}"/>
    <cellStyle name="20% - Énfasis1 3 2 3 2 3 2 3" xfId="1005" xr:uid="{00000000-0005-0000-0000-0000EA030000}"/>
    <cellStyle name="20% - Énfasis1 3 2 3 2 3 2 4" xfId="1006" xr:uid="{00000000-0005-0000-0000-0000EB030000}"/>
    <cellStyle name="20% - Énfasis1 3 2 3 2 3 3" xfId="1007" xr:uid="{00000000-0005-0000-0000-0000EC030000}"/>
    <cellStyle name="20% - Énfasis1 3 2 3 2 3 3 2" xfId="1008" xr:uid="{00000000-0005-0000-0000-0000ED030000}"/>
    <cellStyle name="20% - Énfasis1 3 2 3 2 3 4" xfId="1009" xr:uid="{00000000-0005-0000-0000-0000EE030000}"/>
    <cellStyle name="20% - Énfasis1 3 2 3 2 3 5" xfId="1010" xr:uid="{00000000-0005-0000-0000-0000EF030000}"/>
    <cellStyle name="20% - Énfasis1 3 2 3 2 4" xfId="1011" xr:uid="{00000000-0005-0000-0000-0000F0030000}"/>
    <cellStyle name="20% - Énfasis1 3 2 3 2 4 2" xfId="1012" xr:uid="{00000000-0005-0000-0000-0000F1030000}"/>
    <cellStyle name="20% - Énfasis1 3 2 3 2 4 2 2" xfId="1013" xr:uid="{00000000-0005-0000-0000-0000F2030000}"/>
    <cellStyle name="20% - Énfasis1 3 2 3 2 4 3" xfId="1014" xr:uid="{00000000-0005-0000-0000-0000F3030000}"/>
    <cellStyle name="20% - Énfasis1 3 2 3 2 4 4" xfId="1015" xr:uid="{00000000-0005-0000-0000-0000F4030000}"/>
    <cellStyle name="20% - Énfasis1 3 2 3 2 5" xfId="1016" xr:uid="{00000000-0005-0000-0000-0000F5030000}"/>
    <cellStyle name="20% - Énfasis1 3 2 3 2 5 2" xfId="1017" xr:uid="{00000000-0005-0000-0000-0000F6030000}"/>
    <cellStyle name="20% - Énfasis1 3 2 3 2 6" xfId="1018" xr:uid="{00000000-0005-0000-0000-0000F7030000}"/>
    <cellStyle name="20% - Énfasis1 3 2 3 2 7" xfId="1019" xr:uid="{00000000-0005-0000-0000-0000F8030000}"/>
    <cellStyle name="20% - Énfasis1 3 2 3 3" xfId="1020" xr:uid="{00000000-0005-0000-0000-0000F9030000}"/>
    <cellStyle name="20% - Énfasis1 3 2 3 3 2" xfId="1021" xr:uid="{00000000-0005-0000-0000-0000FA030000}"/>
    <cellStyle name="20% - Énfasis1 3 2 3 3 2 2" xfId="1022" xr:uid="{00000000-0005-0000-0000-0000FB030000}"/>
    <cellStyle name="20% - Énfasis1 3 2 3 3 2 2 2" xfId="1023" xr:uid="{00000000-0005-0000-0000-0000FC030000}"/>
    <cellStyle name="20% - Énfasis1 3 2 3 3 2 2 2 2" xfId="1024" xr:uid="{00000000-0005-0000-0000-0000FD030000}"/>
    <cellStyle name="20% - Énfasis1 3 2 3 3 2 2 3" xfId="1025" xr:uid="{00000000-0005-0000-0000-0000FE030000}"/>
    <cellStyle name="20% - Énfasis1 3 2 3 3 2 2 4" xfId="1026" xr:uid="{00000000-0005-0000-0000-0000FF030000}"/>
    <cellStyle name="20% - Énfasis1 3 2 3 3 2 3" xfId="1027" xr:uid="{00000000-0005-0000-0000-000000040000}"/>
    <cellStyle name="20% - Énfasis1 3 2 3 3 2 3 2" xfId="1028" xr:uid="{00000000-0005-0000-0000-000001040000}"/>
    <cellStyle name="20% - Énfasis1 3 2 3 3 2 4" xfId="1029" xr:uid="{00000000-0005-0000-0000-000002040000}"/>
    <cellStyle name="20% - Énfasis1 3 2 3 3 2 5" xfId="1030" xr:uid="{00000000-0005-0000-0000-000003040000}"/>
    <cellStyle name="20% - Énfasis1 3 2 3 3 3" xfId="1031" xr:uid="{00000000-0005-0000-0000-000004040000}"/>
    <cellStyle name="20% - Énfasis1 3 2 3 3 3 2" xfId="1032" xr:uid="{00000000-0005-0000-0000-000005040000}"/>
    <cellStyle name="20% - Énfasis1 3 2 3 3 3 2 2" xfId="1033" xr:uid="{00000000-0005-0000-0000-000006040000}"/>
    <cellStyle name="20% - Énfasis1 3 2 3 3 3 3" xfId="1034" xr:uid="{00000000-0005-0000-0000-000007040000}"/>
    <cellStyle name="20% - Énfasis1 3 2 3 3 3 3 2" xfId="1035" xr:uid="{00000000-0005-0000-0000-000008040000}"/>
    <cellStyle name="20% - Énfasis1 3 2 3 3 3 4" xfId="1036" xr:uid="{00000000-0005-0000-0000-000009040000}"/>
    <cellStyle name="20% - Énfasis1 3 2 3 3 3 5" xfId="1037" xr:uid="{00000000-0005-0000-0000-00000A040000}"/>
    <cellStyle name="20% - Énfasis1 3 2 3 3 4" xfId="1038" xr:uid="{00000000-0005-0000-0000-00000B040000}"/>
    <cellStyle name="20% - Énfasis1 3 2 3 3 4 2" xfId="1039" xr:uid="{00000000-0005-0000-0000-00000C040000}"/>
    <cellStyle name="20% - Énfasis1 3 2 3 3 5" xfId="1040" xr:uid="{00000000-0005-0000-0000-00000D040000}"/>
    <cellStyle name="20% - Énfasis1 3 2 3 3 5 2" xfId="1041" xr:uid="{00000000-0005-0000-0000-00000E040000}"/>
    <cellStyle name="20% - Énfasis1 3 2 3 3 6" xfId="1042" xr:uid="{00000000-0005-0000-0000-00000F040000}"/>
    <cellStyle name="20% - Énfasis1 3 2 3 3 7" xfId="1043" xr:uid="{00000000-0005-0000-0000-000010040000}"/>
    <cellStyle name="20% - Énfasis1 3 2 3 4" xfId="1044" xr:uid="{00000000-0005-0000-0000-000011040000}"/>
    <cellStyle name="20% - Énfasis1 3 2 3 4 2" xfId="1045" xr:uid="{00000000-0005-0000-0000-000012040000}"/>
    <cellStyle name="20% - Énfasis1 3 2 3 4 2 2" xfId="1046" xr:uid="{00000000-0005-0000-0000-000013040000}"/>
    <cellStyle name="20% - Énfasis1 3 2 3 4 2 2 2" xfId="1047" xr:uid="{00000000-0005-0000-0000-000014040000}"/>
    <cellStyle name="20% - Énfasis1 3 2 3 4 2 3" xfId="1048" xr:uid="{00000000-0005-0000-0000-000015040000}"/>
    <cellStyle name="20% - Énfasis1 3 2 3 4 2 4" xfId="1049" xr:uid="{00000000-0005-0000-0000-000016040000}"/>
    <cellStyle name="20% - Énfasis1 3 2 3 4 3" xfId="1050" xr:uid="{00000000-0005-0000-0000-000017040000}"/>
    <cellStyle name="20% - Énfasis1 3 2 3 4 3 2" xfId="1051" xr:uid="{00000000-0005-0000-0000-000018040000}"/>
    <cellStyle name="20% - Énfasis1 3 2 3 4 4" xfId="1052" xr:uid="{00000000-0005-0000-0000-000019040000}"/>
    <cellStyle name="20% - Énfasis1 3 2 3 4 5" xfId="1053" xr:uid="{00000000-0005-0000-0000-00001A040000}"/>
    <cellStyle name="20% - Énfasis1 3 2 3 5" xfId="1054" xr:uid="{00000000-0005-0000-0000-00001B040000}"/>
    <cellStyle name="20% - Énfasis1 3 2 3 5 2" xfId="1055" xr:uid="{00000000-0005-0000-0000-00001C040000}"/>
    <cellStyle name="20% - Énfasis1 3 2 3 5 2 2" xfId="1056" xr:uid="{00000000-0005-0000-0000-00001D040000}"/>
    <cellStyle name="20% - Énfasis1 3 2 3 5 3" xfId="1057" xr:uid="{00000000-0005-0000-0000-00001E040000}"/>
    <cellStyle name="20% - Énfasis1 3 2 3 5 3 2" xfId="1058" xr:uid="{00000000-0005-0000-0000-00001F040000}"/>
    <cellStyle name="20% - Énfasis1 3 2 3 5 4" xfId="1059" xr:uid="{00000000-0005-0000-0000-000020040000}"/>
    <cellStyle name="20% - Énfasis1 3 2 3 5 5" xfId="1060" xr:uid="{00000000-0005-0000-0000-000021040000}"/>
    <cellStyle name="20% - Énfasis1 3 2 3 6" xfId="1061" xr:uid="{00000000-0005-0000-0000-000022040000}"/>
    <cellStyle name="20% - Énfasis1 3 2 3 6 2" xfId="1062" xr:uid="{00000000-0005-0000-0000-000023040000}"/>
    <cellStyle name="20% - Énfasis1 3 2 3 7" xfId="1063" xr:uid="{00000000-0005-0000-0000-000024040000}"/>
    <cellStyle name="20% - Énfasis1 3 2 3 7 2" xfId="1064" xr:uid="{00000000-0005-0000-0000-000025040000}"/>
    <cellStyle name="20% - Énfasis1 3 2 3 8" xfId="1065" xr:uid="{00000000-0005-0000-0000-000026040000}"/>
    <cellStyle name="20% - Énfasis1 3 2 3 9" xfId="1066" xr:uid="{00000000-0005-0000-0000-000027040000}"/>
    <cellStyle name="20% - Énfasis1 3 2 4" xfId="1067" xr:uid="{00000000-0005-0000-0000-000028040000}"/>
    <cellStyle name="20% - Énfasis1 3 2 4 2" xfId="1068" xr:uid="{00000000-0005-0000-0000-000029040000}"/>
    <cellStyle name="20% - Énfasis1 3 2 4 2 2" xfId="1069" xr:uid="{00000000-0005-0000-0000-00002A040000}"/>
    <cellStyle name="20% - Énfasis1 3 2 4 2 2 2" xfId="1070" xr:uid="{00000000-0005-0000-0000-00002B040000}"/>
    <cellStyle name="20% - Énfasis1 3 2 4 2 2 2 2" xfId="1071" xr:uid="{00000000-0005-0000-0000-00002C040000}"/>
    <cellStyle name="20% - Énfasis1 3 2 4 2 2 2 2 2" xfId="1072" xr:uid="{00000000-0005-0000-0000-00002D040000}"/>
    <cellStyle name="20% - Énfasis1 3 2 4 2 2 2 3" xfId="1073" xr:uid="{00000000-0005-0000-0000-00002E040000}"/>
    <cellStyle name="20% - Énfasis1 3 2 4 2 2 2 4" xfId="1074" xr:uid="{00000000-0005-0000-0000-00002F040000}"/>
    <cellStyle name="20% - Énfasis1 3 2 4 2 2 3" xfId="1075" xr:uid="{00000000-0005-0000-0000-000030040000}"/>
    <cellStyle name="20% - Énfasis1 3 2 4 2 2 3 2" xfId="1076" xr:uid="{00000000-0005-0000-0000-000031040000}"/>
    <cellStyle name="20% - Énfasis1 3 2 4 2 2 4" xfId="1077" xr:uid="{00000000-0005-0000-0000-000032040000}"/>
    <cellStyle name="20% - Énfasis1 3 2 4 2 2 5" xfId="1078" xr:uid="{00000000-0005-0000-0000-000033040000}"/>
    <cellStyle name="20% - Énfasis1 3 2 4 2 3" xfId="1079" xr:uid="{00000000-0005-0000-0000-000034040000}"/>
    <cellStyle name="20% - Énfasis1 3 2 4 2 3 2" xfId="1080" xr:uid="{00000000-0005-0000-0000-000035040000}"/>
    <cellStyle name="20% - Énfasis1 3 2 4 2 3 2 2" xfId="1081" xr:uid="{00000000-0005-0000-0000-000036040000}"/>
    <cellStyle name="20% - Énfasis1 3 2 4 2 3 3" xfId="1082" xr:uid="{00000000-0005-0000-0000-000037040000}"/>
    <cellStyle name="20% - Énfasis1 3 2 4 2 3 3 2" xfId="1083" xr:uid="{00000000-0005-0000-0000-000038040000}"/>
    <cellStyle name="20% - Énfasis1 3 2 4 2 3 4" xfId="1084" xr:uid="{00000000-0005-0000-0000-000039040000}"/>
    <cellStyle name="20% - Énfasis1 3 2 4 2 3 5" xfId="1085" xr:uid="{00000000-0005-0000-0000-00003A040000}"/>
    <cellStyle name="20% - Énfasis1 3 2 4 2 4" xfId="1086" xr:uid="{00000000-0005-0000-0000-00003B040000}"/>
    <cellStyle name="20% - Énfasis1 3 2 4 2 4 2" xfId="1087" xr:uid="{00000000-0005-0000-0000-00003C040000}"/>
    <cellStyle name="20% - Énfasis1 3 2 4 2 5" xfId="1088" xr:uid="{00000000-0005-0000-0000-00003D040000}"/>
    <cellStyle name="20% - Énfasis1 3 2 4 2 5 2" xfId="1089" xr:uid="{00000000-0005-0000-0000-00003E040000}"/>
    <cellStyle name="20% - Énfasis1 3 2 4 2 6" xfId="1090" xr:uid="{00000000-0005-0000-0000-00003F040000}"/>
    <cellStyle name="20% - Énfasis1 3 2 4 2 7" xfId="1091" xr:uid="{00000000-0005-0000-0000-000040040000}"/>
    <cellStyle name="20% - Énfasis1 3 2 4 3" xfId="1092" xr:uid="{00000000-0005-0000-0000-000041040000}"/>
    <cellStyle name="20% - Énfasis1 3 2 4 3 2" xfId="1093" xr:uid="{00000000-0005-0000-0000-000042040000}"/>
    <cellStyle name="20% - Énfasis1 3 2 4 3 2 2" xfId="1094" xr:uid="{00000000-0005-0000-0000-000043040000}"/>
    <cellStyle name="20% - Énfasis1 3 2 4 3 2 2 2" xfId="1095" xr:uid="{00000000-0005-0000-0000-000044040000}"/>
    <cellStyle name="20% - Énfasis1 3 2 4 3 2 3" xfId="1096" xr:uid="{00000000-0005-0000-0000-000045040000}"/>
    <cellStyle name="20% - Énfasis1 3 2 4 3 2 4" xfId="1097" xr:uid="{00000000-0005-0000-0000-000046040000}"/>
    <cellStyle name="20% - Énfasis1 3 2 4 3 3" xfId="1098" xr:uid="{00000000-0005-0000-0000-000047040000}"/>
    <cellStyle name="20% - Énfasis1 3 2 4 3 3 2" xfId="1099" xr:uid="{00000000-0005-0000-0000-000048040000}"/>
    <cellStyle name="20% - Énfasis1 3 2 4 3 4" xfId="1100" xr:uid="{00000000-0005-0000-0000-000049040000}"/>
    <cellStyle name="20% - Énfasis1 3 2 4 3 5" xfId="1101" xr:uid="{00000000-0005-0000-0000-00004A040000}"/>
    <cellStyle name="20% - Énfasis1 3 2 4 4" xfId="1102" xr:uid="{00000000-0005-0000-0000-00004B040000}"/>
    <cellStyle name="20% - Énfasis1 3 2 4 4 2" xfId="1103" xr:uid="{00000000-0005-0000-0000-00004C040000}"/>
    <cellStyle name="20% - Énfasis1 3 2 4 4 2 2" xfId="1104" xr:uid="{00000000-0005-0000-0000-00004D040000}"/>
    <cellStyle name="20% - Énfasis1 3 2 4 4 3" xfId="1105" xr:uid="{00000000-0005-0000-0000-00004E040000}"/>
    <cellStyle name="20% - Énfasis1 3 2 4 4 3 2" xfId="1106" xr:uid="{00000000-0005-0000-0000-00004F040000}"/>
    <cellStyle name="20% - Énfasis1 3 2 4 4 4" xfId="1107" xr:uid="{00000000-0005-0000-0000-000050040000}"/>
    <cellStyle name="20% - Énfasis1 3 2 4 4 5" xfId="1108" xr:uid="{00000000-0005-0000-0000-000051040000}"/>
    <cellStyle name="20% - Énfasis1 3 2 4 5" xfId="1109" xr:uid="{00000000-0005-0000-0000-000052040000}"/>
    <cellStyle name="20% - Énfasis1 3 2 4 5 2" xfId="1110" xr:uid="{00000000-0005-0000-0000-000053040000}"/>
    <cellStyle name="20% - Énfasis1 3 2 4 6" xfId="1111" xr:uid="{00000000-0005-0000-0000-000054040000}"/>
    <cellStyle name="20% - Énfasis1 3 2 4 6 2" xfId="1112" xr:uid="{00000000-0005-0000-0000-000055040000}"/>
    <cellStyle name="20% - Énfasis1 3 2 4 7" xfId="1113" xr:uid="{00000000-0005-0000-0000-000056040000}"/>
    <cellStyle name="20% - Énfasis1 3 2 4 8" xfId="1114" xr:uid="{00000000-0005-0000-0000-000057040000}"/>
    <cellStyle name="20% - Énfasis1 3 2 5" xfId="1115" xr:uid="{00000000-0005-0000-0000-000058040000}"/>
    <cellStyle name="20% - Énfasis1 3 2 5 2" xfId="1116" xr:uid="{00000000-0005-0000-0000-000059040000}"/>
    <cellStyle name="20% - Énfasis1 3 2 5 2 2" xfId="1117" xr:uid="{00000000-0005-0000-0000-00005A040000}"/>
    <cellStyle name="20% - Énfasis1 3 2 5 2 2 2" xfId="1118" xr:uid="{00000000-0005-0000-0000-00005B040000}"/>
    <cellStyle name="20% - Énfasis1 3 2 5 2 2 2 2" xfId="1119" xr:uid="{00000000-0005-0000-0000-00005C040000}"/>
    <cellStyle name="20% - Énfasis1 3 2 5 2 2 3" xfId="1120" xr:uid="{00000000-0005-0000-0000-00005D040000}"/>
    <cellStyle name="20% - Énfasis1 3 2 5 2 2 4" xfId="1121" xr:uid="{00000000-0005-0000-0000-00005E040000}"/>
    <cellStyle name="20% - Énfasis1 3 2 5 2 3" xfId="1122" xr:uid="{00000000-0005-0000-0000-00005F040000}"/>
    <cellStyle name="20% - Énfasis1 3 2 5 2 3 2" xfId="1123" xr:uid="{00000000-0005-0000-0000-000060040000}"/>
    <cellStyle name="20% - Énfasis1 3 2 5 2 4" xfId="1124" xr:uid="{00000000-0005-0000-0000-000061040000}"/>
    <cellStyle name="20% - Énfasis1 3 2 5 2 5" xfId="1125" xr:uid="{00000000-0005-0000-0000-000062040000}"/>
    <cellStyle name="20% - Énfasis1 3 2 5 3" xfId="1126" xr:uid="{00000000-0005-0000-0000-000063040000}"/>
    <cellStyle name="20% - Énfasis1 3 2 5 3 2" xfId="1127" xr:uid="{00000000-0005-0000-0000-000064040000}"/>
    <cellStyle name="20% - Énfasis1 3 2 5 3 2 2" xfId="1128" xr:uid="{00000000-0005-0000-0000-000065040000}"/>
    <cellStyle name="20% - Énfasis1 3 2 5 3 3" xfId="1129" xr:uid="{00000000-0005-0000-0000-000066040000}"/>
    <cellStyle name="20% - Énfasis1 3 2 5 3 3 2" xfId="1130" xr:uid="{00000000-0005-0000-0000-000067040000}"/>
    <cellStyle name="20% - Énfasis1 3 2 5 3 4" xfId="1131" xr:uid="{00000000-0005-0000-0000-000068040000}"/>
    <cellStyle name="20% - Énfasis1 3 2 5 3 5" xfId="1132" xr:uid="{00000000-0005-0000-0000-000069040000}"/>
    <cellStyle name="20% - Énfasis1 3 2 5 4" xfId="1133" xr:uid="{00000000-0005-0000-0000-00006A040000}"/>
    <cellStyle name="20% - Énfasis1 3 2 5 4 2" xfId="1134" xr:uid="{00000000-0005-0000-0000-00006B040000}"/>
    <cellStyle name="20% - Énfasis1 3 2 5 5" xfId="1135" xr:uid="{00000000-0005-0000-0000-00006C040000}"/>
    <cellStyle name="20% - Énfasis1 3 2 5 5 2" xfId="1136" xr:uid="{00000000-0005-0000-0000-00006D040000}"/>
    <cellStyle name="20% - Énfasis1 3 2 5 6" xfId="1137" xr:uid="{00000000-0005-0000-0000-00006E040000}"/>
    <cellStyle name="20% - Énfasis1 3 2 5 7" xfId="1138" xr:uid="{00000000-0005-0000-0000-00006F040000}"/>
    <cellStyle name="20% - Énfasis1 3 2 6" xfId="1139" xr:uid="{00000000-0005-0000-0000-000070040000}"/>
    <cellStyle name="20% - Énfasis1 3 2 6 2" xfId="1140" xr:uid="{00000000-0005-0000-0000-000071040000}"/>
    <cellStyle name="20% - Énfasis1 3 2 6 2 2" xfId="1141" xr:uid="{00000000-0005-0000-0000-000072040000}"/>
    <cellStyle name="20% - Énfasis1 3 2 6 2 2 2" xfId="1142" xr:uid="{00000000-0005-0000-0000-000073040000}"/>
    <cellStyle name="20% - Énfasis1 3 2 6 2 3" xfId="1143" xr:uid="{00000000-0005-0000-0000-000074040000}"/>
    <cellStyle name="20% - Énfasis1 3 2 6 2 4" xfId="1144" xr:uid="{00000000-0005-0000-0000-000075040000}"/>
    <cellStyle name="20% - Énfasis1 3 2 6 3" xfId="1145" xr:uid="{00000000-0005-0000-0000-000076040000}"/>
    <cellStyle name="20% - Énfasis1 3 2 6 3 2" xfId="1146" xr:uid="{00000000-0005-0000-0000-000077040000}"/>
    <cellStyle name="20% - Énfasis1 3 2 6 4" xfId="1147" xr:uid="{00000000-0005-0000-0000-000078040000}"/>
    <cellStyle name="20% - Énfasis1 3 2 6 5" xfId="1148" xr:uid="{00000000-0005-0000-0000-000079040000}"/>
    <cellStyle name="20% - Énfasis1 3 2 7" xfId="1149" xr:uid="{00000000-0005-0000-0000-00007A040000}"/>
    <cellStyle name="20% - Énfasis1 3 2 7 2" xfId="1150" xr:uid="{00000000-0005-0000-0000-00007B040000}"/>
    <cellStyle name="20% - Énfasis1 3 2 7 2 2" xfId="1151" xr:uid="{00000000-0005-0000-0000-00007C040000}"/>
    <cellStyle name="20% - Énfasis1 3 2 7 3" xfId="1152" xr:uid="{00000000-0005-0000-0000-00007D040000}"/>
    <cellStyle name="20% - Énfasis1 3 2 7 3 2" xfId="1153" xr:uid="{00000000-0005-0000-0000-00007E040000}"/>
    <cellStyle name="20% - Énfasis1 3 2 7 4" xfId="1154" xr:uid="{00000000-0005-0000-0000-00007F040000}"/>
    <cellStyle name="20% - Énfasis1 3 2 7 5" xfId="1155" xr:uid="{00000000-0005-0000-0000-000080040000}"/>
    <cellStyle name="20% - Énfasis1 3 2 8" xfId="1156" xr:uid="{00000000-0005-0000-0000-000081040000}"/>
    <cellStyle name="20% - Énfasis1 3 2 8 2" xfId="1157" xr:uid="{00000000-0005-0000-0000-000082040000}"/>
    <cellStyle name="20% - Énfasis1 3 2 9" xfId="1158" xr:uid="{00000000-0005-0000-0000-000083040000}"/>
    <cellStyle name="20% - Énfasis1 3 2 9 2" xfId="1159" xr:uid="{00000000-0005-0000-0000-000084040000}"/>
    <cellStyle name="20% - Énfasis1 3 3" xfId="1160" xr:uid="{00000000-0005-0000-0000-000085040000}"/>
    <cellStyle name="20% - Énfasis1 3 3 10" xfId="1161" xr:uid="{00000000-0005-0000-0000-000086040000}"/>
    <cellStyle name="20% - Énfasis1 3 3 2" xfId="1162" xr:uid="{00000000-0005-0000-0000-000087040000}"/>
    <cellStyle name="20% - Énfasis1 3 3 2 2" xfId="1163" xr:uid="{00000000-0005-0000-0000-000088040000}"/>
    <cellStyle name="20% - Énfasis1 3 3 2 2 2" xfId="1164" xr:uid="{00000000-0005-0000-0000-000089040000}"/>
    <cellStyle name="20% - Énfasis1 3 3 2 2 2 2" xfId="1165" xr:uid="{00000000-0005-0000-0000-00008A040000}"/>
    <cellStyle name="20% - Énfasis1 3 3 2 2 2 2 2" xfId="1166" xr:uid="{00000000-0005-0000-0000-00008B040000}"/>
    <cellStyle name="20% - Énfasis1 3 3 2 2 2 2 2 2" xfId="1167" xr:uid="{00000000-0005-0000-0000-00008C040000}"/>
    <cellStyle name="20% - Énfasis1 3 3 2 2 2 2 2 2 2" xfId="1168" xr:uid="{00000000-0005-0000-0000-00008D040000}"/>
    <cellStyle name="20% - Énfasis1 3 3 2 2 2 2 2 3" xfId="1169" xr:uid="{00000000-0005-0000-0000-00008E040000}"/>
    <cellStyle name="20% - Énfasis1 3 3 2 2 2 2 2 4" xfId="1170" xr:uid="{00000000-0005-0000-0000-00008F040000}"/>
    <cellStyle name="20% - Énfasis1 3 3 2 2 2 2 3" xfId="1171" xr:uid="{00000000-0005-0000-0000-000090040000}"/>
    <cellStyle name="20% - Énfasis1 3 3 2 2 2 2 3 2" xfId="1172" xr:uid="{00000000-0005-0000-0000-000091040000}"/>
    <cellStyle name="20% - Énfasis1 3 3 2 2 2 2 4" xfId="1173" xr:uid="{00000000-0005-0000-0000-000092040000}"/>
    <cellStyle name="20% - Énfasis1 3 3 2 2 2 2 5" xfId="1174" xr:uid="{00000000-0005-0000-0000-000093040000}"/>
    <cellStyle name="20% - Énfasis1 3 3 2 2 2 3" xfId="1175" xr:uid="{00000000-0005-0000-0000-000094040000}"/>
    <cellStyle name="20% - Énfasis1 3 3 2 2 2 3 2" xfId="1176" xr:uid="{00000000-0005-0000-0000-000095040000}"/>
    <cellStyle name="20% - Énfasis1 3 3 2 2 2 3 2 2" xfId="1177" xr:uid="{00000000-0005-0000-0000-000096040000}"/>
    <cellStyle name="20% - Énfasis1 3 3 2 2 2 3 3" xfId="1178" xr:uid="{00000000-0005-0000-0000-000097040000}"/>
    <cellStyle name="20% - Énfasis1 3 3 2 2 2 3 4" xfId="1179" xr:uid="{00000000-0005-0000-0000-000098040000}"/>
    <cellStyle name="20% - Énfasis1 3 3 2 2 2 4" xfId="1180" xr:uid="{00000000-0005-0000-0000-000099040000}"/>
    <cellStyle name="20% - Énfasis1 3 3 2 2 2 4 2" xfId="1181" xr:uid="{00000000-0005-0000-0000-00009A040000}"/>
    <cellStyle name="20% - Énfasis1 3 3 2 2 2 5" xfId="1182" xr:uid="{00000000-0005-0000-0000-00009B040000}"/>
    <cellStyle name="20% - Énfasis1 3 3 2 2 2 6" xfId="1183" xr:uid="{00000000-0005-0000-0000-00009C040000}"/>
    <cellStyle name="20% - Énfasis1 3 3 2 2 3" xfId="1184" xr:uid="{00000000-0005-0000-0000-00009D040000}"/>
    <cellStyle name="20% - Énfasis1 3 3 2 2 3 2" xfId="1185" xr:uid="{00000000-0005-0000-0000-00009E040000}"/>
    <cellStyle name="20% - Énfasis1 3 3 2 2 3 2 2" xfId="1186" xr:uid="{00000000-0005-0000-0000-00009F040000}"/>
    <cellStyle name="20% - Énfasis1 3 3 2 2 3 2 2 2" xfId="1187" xr:uid="{00000000-0005-0000-0000-0000A0040000}"/>
    <cellStyle name="20% - Énfasis1 3 3 2 2 3 2 3" xfId="1188" xr:uid="{00000000-0005-0000-0000-0000A1040000}"/>
    <cellStyle name="20% - Énfasis1 3 3 2 2 3 2 4" xfId="1189" xr:uid="{00000000-0005-0000-0000-0000A2040000}"/>
    <cellStyle name="20% - Énfasis1 3 3 2 2 3 3" xfId="1190" xr:uid="{00000000-0005-0000-0000-0000A3040000}"/>
    <cellStyle name="20% - Énfasis1 3 3 2 2 3 3 2" xfId="1191" xr:uid="{00000000-0005-0000-0000-0000A4040000}"/>
    <cellStyle name="20% - Énfasis1 3 3 2 2 3 4" xfId="1192" xr:uid="{00000000-0005-0000-0000-0000A5040000}"/>
    <cellStyle name="20% - Énfasis1 3 3 2 2 3 5" xfId="1193" xr:uid="{00000000-0005-0000-0000-0000A6040000}"/>
    <cellStyle name="20% - Énfasis1 3 3 2 2 4" xfId="1194" xr:uid="{00000000-0005-0000-0000-0000A7040000}"/>
    <cellStyle name="20% - Énfasis1 3 3 2 2 4 2" xfId="1195" xr:uid="{00000000-0005-0000-0000-0000A8040000}"/>
    <cellStyle name="20% - Énfasis1 3 3 2 2 4 2 2" xfId="1196" xr:uid="{00000000-0005-0000-0000-0000A9040000}"/>
    <cellStyle name="20% - Énfasis1 3 3 2 2 4 3" xfId="1197" xr:uid="{00000000-0005-0000-0000-0000AA040000}"/>
    <cellStyle name="20% - Énfasis1 3 3 2 2 4 4" xfId="1198" xr:uid="{00000000-0005-0000-0000-0000AB040000}"/>
    <cellStyle name="20% - Énfasis1 3 3 2 2 5" xfId="1199" xr:uid="{00000000-0005-0000-0000-0000AC040000}"/>
    <cellStyle name="20% - Énfasis1 3 3 2 2 5 2" xfId="1200" xr:uid="{00000000-0005-0000-0000-0000AD040000}"/>
    <cellStyle name="20% - Énfasis1 3 3 2 2 6" xfId="1201" xr:uid="{00000000-0005-0000-0000-0000AE040000}"/>
    <cellStyle name="20% - Énfasis1 3 3 2 2 7" xfId="1202" xr:uid="{00000000-0005-0000-0000-0000AF040000}"/>
    <cellStyle name="20% - Énfasis1 3 3 2 3" xfId="1203" xr:uid="{00000000-0005-0000-0000-0000B0040000}"/>
    <cellStyle name="20% - Énfasis1 3 3 2 3 2" xfId="1204" xr:uid="{00000000-0005-0000-0000-0000B1040000}"/>
    <cellStyle name="20% - Énfasis1 3 3 2 3 2 2" xfId="1205" xr:uid="{00000000-0005-0000-0000-0000B2040000}"/>
    <cellStyle name="20% - Énfasis1 3 3 2 3 2 2 2" xfId="1206" xr:uid="{00000000-0005-0000-0000-0000B3040000}"/>
    <cellStyle name="20% - Énfasis1 3 3 2 3 2 2 2 2" xfId="1207" xr:uid="{00000000-0005-0000-0000-0000B4040000}"/>
    <cellStyle name="20% - Énfasis1 3 3 2 3 2 2 3" xfId="1208" xr:uid="{00000000-0005-0000-0000-0000B5040000}"/>
    <cellStyle name="20% - Énfasis1 3 3 2 3 2 2 4" xfId="1209" xr:uid="{00000000-0005-0000-0000-0000B6040000}"/>
    <cellStyle name="20% - Énfasis1 3 3 2 3 2 3" xfId="1210" xr:uid="{00000000-0005-0000-0000-0000B7040000}"/>
    <cellStyle name="20% - Énfasis1 3 3 2 3 2 3 2" xfId="1211" xr:uid="{00000000-0005-0000-0000-0000B8040000}"/>
    <cellStyle name="20% - Énfasis1 3 3 2 3 2 4" xfId="1212" xr:uid="{00000000-0005-0000-0000-0000B9040000}"/>
    <cellStyle name="20% - Énfasis1 3 3 2 3 2 5" xfId="1213" xr:uid="{00000000-0005-0000-0000-0000BA040000}"/>
    <cellStyle name="20% - Énfasis1 3 3 2 3 3" xfId="1214" xr:uid="{00000000-0005-0000-0000-0000BB040000}"/>
    <cellStyle name="20% - Énfasis1 3 3 2 3 3 2" xfId="1215" xr:uid="{00000000-0005-0000-0000-0000BC040000}"/>
    <cellStyle name="20% - Énfasis1 3 3 2 3 3 2 2" xfId="1216" xr:uid="{00000000-0005-0000-0000-0000BD040000}"/>
    <cellStyle name="20% - Énfasis1 3 3 2 3 3 3" xfId="1217" xr:uid="{00000000-0005-0000-0000-0000BE040000}"/>
    <cellStyle name="20% - Énfasis1 3 3 2 3 3 3 2" xfId="1218" xr:uid="{00000000-0005-0000-0000-0000BF040000}"/>
    <cellStyle name="20% - Énfasis1 3 3 2 3 3 4" xfId="1219" xr:uid="{00000000-0005-0000-0000-0000C0040000}"/>
    <cellStyle name="20% - Énfasis1 3 3 2 3 3 5" xfId="1220" xr:uid="{00000000-0005-0000-0000-0000C1040000}"/>
    <cellStyle name="20% - Énfasis1 3 3 2 3 4" xfId="1221" xr:uid="{00000000-0005-0000-0000-0000C2040000}"/>
    <cellStyle name="20% - Énfasis1 3 3 2 3 4 2" xfId="1222" xr:uid="{00000000-0005-0000-0000-0000C3040000}"/>
    <cellStyle name="20% - Énfasis1 3 3 2 3 5" xfId="1223" xr:uid="{00000000-0005-0000-0000-0000C4040000}"/>
    <cellStyle name="20% - Énfasis1 3 3 2 3 5 2" xfId="1224" xr:uid="{00000000-0005-0000-0000-0000C5040000}"/>
    <cellStyle name="20% - Énfasis1 3 3 2 3 6" xfId="1225" xr:uid="{00000000-0005-0000-0000-0000C6040000}"/>
    <cellStyle name="20% - Énfasis1 3 3 2 3 7" xfId="1226" xr:uid="{00000000-0005-0000-0000-0000C7040000}"/>
    <cellStyle name="20% - Énfasis1 3 3 2 4" xfId="1227" xr:uid="{00000000-0005-0000-0000-0000C8040000}"/>
    <cellStyle name="20% - Énfasis1 3 3 2 4 2" xfId="1228" xr:uid="{00000000-0005-0000-0000-0000C9040000}"/>
    <cellStyle name="20% - Énfasis1 3 3 2 4 2 2" xfId="1229" xr:uid="{00000000-0005-0000-0000-0000CA040000}"/>
    <cellStyle name="20% - Énfasis1 3 3 2 4 2 2 2" xfId="1230" xr:uid="{00000000-0005-0000-0000-0000CB040000}"/>
    <cellStyle name="20% - Énfasis1 3 3 2 4 2 3" xfId="1231" xr:uid="{00000000-0005-0000-0000-0000CC040000}"/>
    <cellStyle name="20% - Énfasis1 3 3 2 4 2 4" xfId="1232" xr:uid="{00000000-0005-0000-0000-0000CD040000}"/>
    <cellStyle name="20% - Énfasis1 3 3 2 4 3" xfId="1233" xr:uid="{00000000-0005-0000-0000-0000CE040000}"/>
    <cellStyle name="20% - Énfasis1 3 3 2 4 3 2" xfId="1234" xr:uid="{00000000-0005-0000-0000-0000CF040000}"/>
    <cellStyle name="20% - Énfasis1 3 3 2 4 4" xfId="1235" xr:uid="{00000000-0005-0000-0000-0000D0040000}"/>
    <cellStyle name="20% - Énfasis1 3 3 2 4 5" xfId="1236" xr:uid="{00000000-0005-0000-0000-0000D1040000}"/>
    <cellStyle name="20% - Énfasis1 3 3 2 5" xfId="1237" xr:uid="{00000000-0005-0000-0000-0000D2040000}"/>
    <cellStyle name="20% - Énfasis1 3 3 2 5 2" xfId="1238" xr:uid="{00000000-0005-0000-0000-0000D3040000}"/>
    <cellStyle name="20% - Énfasis1 3 3 2 5 2 2" xfId="1239" xr:uid="{00000000-0005-0000-0000-0000D4040000}"/>
    <cellStyle name="20% - Énfasis1 3 3 2 5 3" xfId="1240" xr:uid="{00000000-0005-0000-0000-0000D5040000}"/>
    <cellStyle name="20% - Énfasis1 3 3 2 5 3 2" xfId="1241" xr:uid="{00000000-0005-0000-0000-0000D6040000}"/>
    <cellStyle name="20% - Énfasis1 3 3 2 5 4" xfId="1242" xr:uid="{00000000-0005-0000-0000-0000D7040000}"/>
    <cellStyle name="20% - Énfasis1 3 3 2 5 5" xfId="1243" xr:uid="{00000000-0005-0000-0000-0000D8040000}"/>
    <cellStyle name="20% - Énfasis1 3 3 2 6" xfId="1244" xr:uid="{00000000-0005-0000-0000-0000D9040000}"/>
    <cellStyle name="20% - Énfasis1 3 3 2 6 2" xfId="1245" xr:uid="{00000000-0005-0000-0000-0000DA040000}"/>
    <cellStyle name="20% - Énfasis1 3 3 2 7" xfId="1246" xr:uid="{00000000-0005-0000-0000-0000DB040000}"/>
    <cellStyle name="20% - Énfasis1 3 3 2 7 2" xfId="1247" xr:uid="{00000000-0005-0000-0000-0000DC040000}"/>
    <cellStyle name="20% - Énfasis1 3 3 2 8" xfId="1248" xr:uid="{00000000-0005-0000-0000-0000DD040000}"/>
    <cellStyle name="20% - Énfasis1 3 3 2 9" xfId="1249" xr:uid="{00000000-0005-0000-0000-0000DE040000}"/>
    <cellStyle name="20% - Énfasis1 3 3 3" xfId="1250" xr:uid="{00000000-0005-0000-0000-0000DF040000}"/>
    <cellStyle name="20% - Énfasis1 3 3 3 2" xfId="1251" xr:uid="{00000000-0005-0000-0000-0000E0040000}"/>
    <cellStyle name="20% - Énfasis1 3 3 3 2 2" xfId="1252" xr:uid="{00000000-0005-0000-0000-0000E1040000}"/>
    <cellStyle name="20% - Énfasis1 3 3 3 2 2 2" xfId="1253" xr:uid="{00000000-0005-0000-0000-0000E2040000}"/>
    <cellStyle name="20% - Énfasis1 3 3 3 2 2 2 2" xfId="1254" xr:uid="{00000000-0005-0000-0000-0000E3040000}"/>
    <cellStyle name="20% - Énfasis1 3 3 3 2 2 2 2 2" xfId="1255" xr:uid="{00000000-0005-0000-0000-0000E4040000}"/>
    <cellStyle name="20% - Énfasis1 3 3 3 2 2 2 3" xfId="1256" xr:uid="{00000000-0005-0000-0000-0000E5040000}"/>
    <cellStyle name="20% - Énfasis1 3 3 3 2 2 2 4" xfId="1257" xr:uid="{00000000-0005-0000-0000-0000E6040000}"/>
    <cellStyle name="20% - Énfasis1 3 3 3 2 2 3" xfId="1258" xr:uid="{00000000-0005-0000-0000-0000E7040000}"/>
    <cellStyle name="20% - Énfasis1 3 3 3 2 2 3 2" xfId="1259" xr:uid="{00000000-0005-0000-0000-0000E8040000}"/>
    <cellStyle name="20% - Énfasis1 3 3 3 2 2 4" xfId="1260" xr:uid="{00000000-0005-0000-0000-0000E9040000}"/>
    <cellStyle name="20% - Énfasis1 3 3 3 2 2 5" xfId="1261" xr:uid="{00000000-0005-0000-0000-0000EA040000}"/>
    <cellStyle name="20% - Énfasis1 3 3 3 2 3" xfId="1262" xr:uid="{00000000-0005-0000-0000-0000EB040000}"/>
    <cellStyle name="20% - Énfasis1 3 3 3 2 3 2" xfId="1263" xr:uid="{00000000-0005-0000-0000-0000EC040000}"/>
    <cellStyle name="20% - Énfasis1 3 3 3 2 3 2 2" xfId="1264" xr:uid="{00000000-0005-0000-0000-0000ED040000}"/>
    <cellStyle name="20% - Énfasis1 3 3 3 2 3 3" xfId="1265" xr:uid="{00000000-0005-0000-0000-0000EE040000}"/>
    <cellStyle name="20% - Énfasis1 3 3 3 2 3 3 2" xfId="1266" xr:uid="{00000000-0005-0000-0000-0000EF040000}"/>
    <cellStyle name="20% - Énfasis1 3 3 3 2 3 4" xfId="1267" xr:uid="{00000000-0005-0000-0000-0000F0040000}"/>
    <cellStyle name="20% - Énfasis1 3 3 3 2 3 5" xfId="1268" xr:uid="{00000000-0005-0000-0000-0000F1040000}"/>
    <cellStyle name="20% - Énfasis1 3 3 3 2 4" xfId="1269" xr:uid="{00000000-0005-0000-0000-0000F2040000}"/>
    <cellStyle name="20% - Énfasis1 3 3 3 2 4 2" xfId="1270" xr:uid="{00000000-0005-0000-0000-0000F3040000}"/>
    <cellStyle name="20% - Énfasis1 3 3 3 2 5" xfId="1271" xr:uid="{00000000-0005-0000-0000-0000F4040000}"/>
    <cellStyle name="20% - Énfasis1 3 3 3 2 5 2" xfId="1272" xr:uid="{00000000-0005-0000-0000-0000F5040000}"/>
    <cellStyle name="20% - Énfasis1 3 3 3 2 6" xfId="1273" xr:uid="{00000000-0005-0000-0000-0000F6040000}"/>
    <cellStyle name="20% - Énfasis1 3 3 3 2 7" xfId="1274" xr:uid="{00000000-0005-0000-0000-0000F7040000}"/>
    <cellStyle name="20% - Énfasis1 3 3 3 3" xfId="1275" xr:uid="{00000000-0005-0000-0000-0000F8040000}"/>
    <cellStyle name="20% - Énfasis1 3 3 3 3 2" xfId="1276" xr:uid="{00000000-0005-0000-0000-0000F9040000}"/>
    <cellStyle name="20% - Énfasis1 3 3 3 3 2 2" xfId="1277" xr:uid="{00000000-0005-0000-0000-0000FA040000}"/>
    <cellStyle name="20% - Énfasis1 3 3 3 3 2 2 2" xfId="1278" xr:uid="{00000000-0005-0000-0000-0000FB040000}"/>
    <cellStyle name="20% - Énfasis1 3 3 3 3 2 3" xfId="1279" xr:uid="{00000000-0005-0000-0000-0000FC040000}"/>
    <cellStyle name="20% - Énfasis1 3 3 3 3 2 4" xfId="1280" xr:uid="{00000000-0005-0000-0000-0000FD040000}"/>
    <cellStyle name="20% - Énfasis1 3 3 3 3 3" xfId="1281" xr:uid="{00000000-0005-0000-0000-0000FE040000}"/>
    <cellStyle name="20% - Énfasis1 3 3 3 3 3 2" xfId="1282" xr:uid="{00000000-0005-0000-0000-0000FF040000}"/>
    <cellStyle name="20% - Énfasis1 3 3 3 3 4" xfId="1283" xr:uid="{00000000-0005-0000-0000-000000050000}"/>
    <cellStyle name="20% - Énfasis1 3 3 3 3 5" xfId="1284" xr:uid="{00000000-0005-0000-0000-000001050000}"/>
    <cellStyle name="20% - Énfasis1 3 3 3 4" xfId="1285" xr:uid="{00000000-0005-0000-0000-000002050000}"/>
    <cellStyle name="20% - Énfasis1 3 3 3 4 2" xfId="1286" xr:uid="{00000000-0005-0000-0000-000003050000}"/>
    <cellStyle name="20% - Énfasis1 3 3 3 4 2 2" xfId="1287" xr:uid="{00000000-0005-0000-0000-000004050000}"/>
    <cellStyle name="20% - Énfasis1 3 3 3 4 3" xfId="1288" xr:uid="{00000000-0005-0000-0000-000005050000}"/>
    <cellStyle name="20% - Énfasis1 3 3 3 4 3 2" xfId="1289" xr:uid="{00000000-0005-0000-0000-000006050000}"/>
    <cellStyle name="20% - Énfasis1 3 3 3 4 4" xfId="1290" xr:uid="{00000000-0005-0000-0000-000007050000}"/>
    <cellStyle name="20% - Énfasis1 3 3 3 4 5" xfId="1291" xr:uid="{00000000-0005-0000-0000-000008050000}"/>
    <cellStyle name="20% - Énfasis1 3 3 3 5" xfId="1292" xr:uid="{00000000-0005-0000-0000-000009050000}"/>
    <cellStyle name="20% - Énfasis1 3 3 3 5 2" xfId="1293" xr:uid="{00000000-0005-0000-0000-00000A050000}"/>
    <cellStyle name="20% - Énfasis1 3 3 3 6" xfId="1294" xr:uid="{00000000-0005-0000-0000-00000B050000}"/>
    <cellStyle name="20% - Énfasis1 3 3 3 6 2" xfId="1295" xr:uid="{00000000-0005-0000-0000-00000C050000}"/>
    <cellStyle name="20% - Énfasis1 3 3 3 7" xfId="1296" xr:uid="{00000000-0005-0000-0000-00000D050000}"/>
    <cellStyle name="20% - Énfasis1 3 3 3 8" xfId="1297" xr:uid="{00000000-0005-0000-0000-00000E050000}"/>
    <cellStyle name="20% - Énfasis1 3 3 4" xfId="1298" xr:uid="{00000000-0005-0000-0000-00000F050000}"/>
    <cellStyle name="20% - Énfasis1 3 3 4 2" xfId="1299" xr:uid="{00000000-0005-0000-0000-000010050000}"/>
    <cellStyle name="20% - Énfasis1 3 3 4 2 2" xfId="1300" xr:uid="{00000000-0005-0000-0000-000011050000}"/>
    <cellStyle name="20% - Énfasis1 3 3 4 2 2 2" xfId="1301" xr:uid="{00000000-0005-0000-0000-000012050000}"/>
    <cellStyle name="20% - Énfasis1 3 3 4 2 2 2 2" xfId="1302" xr:uid="{00000000-0005-0000-0000-000013050000}"/>
    <cellStyle name="20% - Énfasis1 3 3 4 2 2 3" xfId="1303" xr:uid="{00000000-0005-0000-0000-000014050000}"/>
    <cellStyle name="20% - Énfasis1 3 3 4 2 2 4" xfId="1304" xr:uid="{00000000-0005-0000-0000-000015050000}"/>
    <cellStyle name="20% - Énfasis1 3 3 4 2 3" xfId="1305" xr:uid="{00000000-0005-0000-0000-000016050000}"/>
    <cellStyle name="20% - Énfasis1 3 3 4 2 3 2" xfId="1306" xr:uid="{00000000-0005-0000-0000-000017050000}"/>
    <cellStyle name="20% - Énfasis1 3 3 4 2 4" xfId="1307" xr:uid="{00000000-0005-0000-0000-000018050000}"/>
    <cellStyle name="20% - Énfasis1 3 3 4 2 5" xfId="1308" xr:uid="{00000000-0005-0000-0000-000019050000}"/>
    <cellStyle name="20% - Énfasis1 3 3 4 3" xfId="1309" xr:uid="{00000000-0005-0000-0000-00001A050000}"/>
    <cellStyle name="20% - Énfasis1 3 3 4 3 2" xfId="1310" xr:uid="{00000000-0005-0000-0000-00001B050000}"/>
    <cellStyle name="20% - Énfasis1 3 3 4 3 2 2" xfId="1311" xr:uid="{00000000-0005-0000-0000-00001C050000}"/>
    <cellStyle name="20% - Énfasis1 3 3 4 3 3" xfId="1312" xr:uid="{00000000-0005-0000-0000-00001D050000}"/>
    <cellStyle name="20% - Énfasis1 3 3 4 3 3 2" xfId="1313" xr:uid="{00000000-0005-0000-0000-00001E050000}"/>
    <cellStyle name="20% - Énfasis1 3 3 4 3 4" xfId="1314" xr:uid="{00000000-0005-0000-0000-00001F050000}"/>
    <cellStyle name="20% - Énfasis1 3 3 4 3 5" xfId="1315" xr:uid="{00000000-0005-0000-0000-000020050000}"/>
    <cellStyle name="20% - Énfasis1 3 3 4 4" xfId="1316" xr:uid="{00000000-0005-0000-0000-000021050000}"/>
    <cellStyle name="20% - Énfasis1 3 3 4 4 2" xfId="1317" xr:uid="{00000000-0005-0000-0000-000022050000}"/>
    <cellStyle name="20% - Énfasis1 3 3 4 5" xfId="1318" xr:uid="{00000000-0005-0000-0000-000023050000}"/>
    <cellStyle name="20% - Énfasis1 3 3 4 5 2" xfId="1319" xr:uid="{00000000-0005-0000-0000-000024050000}"/>
    <cellStyle name="20% - Énfasis1 3 3 4 6" xfId="1320" xr:uid="{00000000-0005-0000-0000-000025050000}"/>
    <cellStyle name="20% - Énfasis1 3 3 4 7" xfId="1321" xr:uid="{00000000-0005-0000-0000-000026050000}"/>
    <cellStyle name="20% - Énfasis1 3 3 5" xfId="1322" xr:uid="{00000000-0005-0000-0000-000027050000}"/>
    <cellStyle name="20% - Énfasis1 3 3 5 2" xfId="1323" xr:uid="{00000000-0005-0000-0000-000028050000}"/>
    <cellStyle name="20% - Énfasis1 3 3 5 2 2" xfId="1324" xr:uid="{00000000-0005-0000-0000-000029050000}"/>
    <cellStyle name="20% - Énfasis1 3 3 5 2 2 2" xfId="1325" xr:uid="{00000000-0005-0000-0000-00002A050000}"/>
    <cellStyle name="20% - Énfasis1 3 3 5 2 3" xfId="1326" xr:uid="{00000000-0005-0000-0000-00002B050000}"/>
    <cellStyle name="20% - Énfasis1 3 3 5 2 4" xfId="1327" xr:uid="{00000000-0005-0000-0000-00002C050000}"/>
    <cellStyle name="20% - Énfasis1 3 3 5 3" xfId="1328" xr:uid="{00000000-0005-0000-0000-00002D050000}"/>
    <cellStyle name="20% - Énfasis1 3 3 5 3 2" xfId="1329" xr:uid="{00000000-0005-0000-0000-00002E050000}"/>
    <cellStyle name="20% - Énfasis1 3 3 5 4" xfId="1330" xr:uid="{00000000-0005-0000-0000-00002F050000}"/>
    <cellStyle name="20% - Énfasis1 3 3 5 5" xfId="1331" xr:uid="{00000000-0005-0000-0000-000030050000}"/>
    <cellStyle name="20% - Énfasis1 3 3 6" xfId="1332" xr:uid="{00000000-0005-0000-0000-000031050000}"/>
    <cellStyle name="20% - Énfasis1 3 3 6 2" xfId="1333" xr:uid="{00000000-0005-0000-0000-000032050000}"/>
    <cellStyle name="20% - Énfasis1 3 3 6 2 2" xfId="1334" xr:uid="{00000000-0005-0000-0000-000033050000}"/>
    <cellStyle name="20% - Énfasis1 3 3 6 3" xfId="1335" xr:uid="{00000000-0005-0000-0000-000034050000}"/>
    <cellStyle name="20% - Énfasis1 3 3 6 3 2" xfId="1336" xr:uid="{00000000-0005-0000-0000-000035050000}"/>
    <cellStyle name="20% - Énfasis1 3 3 6 4" xfId="1337" xr:uid="{00000000-0005-0000-0000-000036050000}"/>
    <cellStyle name="20% - Énfasis1 3 3 6 5" xfId="1338" xr:uid="{00000000-0005-0000-0000-000037050000}"/>
    <cellStyle name="20% - Énfasis1 3 3 7" xfId="1339" xr:uid="{00000000-0005-0000-0000-000038050000}"/>
    <cellStyle name="20% - Énfasis1 3 3 7 2" xfId="1340" xr:uid="{00000000-0005-0000-0000-000039050000}"/>
    <cellStyle name="20% - Énfasis1 3 3 8" xfId="1341" xr:uid="{00000000-0005-0000-0000-00003A050000}"/>
    <cellStyle name="20% - Énfasis1 3 3 8 2" xfId="1342" xr:uid="{00000000-0005-0000-0000-00003B050000}"/>
    <cellStyle name="20% - Énfasis1 3 3 9" xfId="1343" xr:uid="{00000000-0005-0000-0000-00003C050000}"/>
    <cellStyle name="20% - Énfasis1 3 4" xfId="1344" xr:uid="{00000000-0005-0000-0000-00003D050000}"/>
    <cellStyle name="20% - Énfasis1 3 4 2" xfId="1345" xr:uid="{00000000-0005-0000-0000-00003E050000}"/>
    <cellStyle name="20% - Énfasis1 3 4 2 2" xfId="1346" xr:uid="{00000000-0005-0000-0000-00003F050000}"/>
    <cellStyle name="20% - Énfasis1 3 4 2 2 2" xfId="1347" xr:uid="{00000000-0005-0000-0000-000040050000}"/>
    <cellStyle name="20% - Énfasis1 3 4 2 2 2 2" xfId="1348" xr:uid="{00000000-0005-0000-0000-000041050000}"/>
    <cellStyle name="20% - Énfasis1 3 4 2 2 2 2 2" xfId="1349" xr:uid="{00000000-0005-0000-0000-000042050000}"/>
    <cellStyle name="20% - Énfasis1 3 4 2 2 2 2 2 2" xfId="1350" xr:uid="{00000000-0005-0000-0000-000043050000}"/>
    <cellStyle name="20% - Énfasis1 3 4 2 2 2 2 3" xfId="1351" xr:uid="{00000000-0005-0000-0000-000044050000}"/>
    <cellStyle name="20% - Énfasis1 3 4 2 2 2 2 4" xfId="1352" xr:uid="{00000000-0005-0000-0000-000045050000}"/>
    <cellStyle name="20% - Énfasis1 3 4 2 2 2 3" xfId="1353" xr:uid="{00000000-0005-0000-0000-000046050000}"/>
    <cellStyle name="20% - Énfasis1 3 4 2 2 2 3 2" xfId="1354" xr:uid="{00000000-0005-0000-0000-000047050000}"/>
    <cellStyle name="20% - Énfasis1 3 4 2 2 2 4" xfId="1355" xr:uid="{00000000-0005-0000-0000-000048050000}"/>
    <cellStyle name="20% - Énfasis1 3 4 2 2 2 5" xfId="1356" xr:uid="{00000000-0005-0000-0000-000049050000}"/>
    <cellStyle name="20% - Énfasis1 3 4 2 2 3" xfId="1357" xr:uid="{00000000-0005-0000-0000-00004A050000}"/>
    <cellStyle name="20% - Énfasis1 3 4 2 2 3 2" xfId="1358" xr:uid="{00000000-0005-0000-0000-00004B050000}"/>
    <cellStyle name="20% - Énfasis1 3 4 2 2 3 2 2" xfId="1359" xr:uid="{00000000-0005-0000-0000-00004C050000}"/>
    <cellStyle name="20% - Énfasis1 3 4 2 2 3 3" xfId="1360" xr:uid="{00000000-0005-0000-0000-00004D050000}"/>
    <cellStyle name="20% - Énfasis1 3 4 2 2 3 4" xfId="1361" xr:uid="{00000000-0005-0000-0000-00004E050000}"/>
    <cellStyle name="20% - Énfasis1 3 4 2 2 4" xfId="1362" xr:uid="{00000000-0005-0000-0000-00004F050000}"/>
    <cellStyle name="20% - Énfasis1 3 4 2 2 4 2" xfId="1363" xr:uid="{00000000-0005-0000-0000-000050050000}"/>
    <cellStyle name="20% - Énfasis1 3 4 2 2 5" xfId="1364" xr:uid="{00000000-0005-0000-0000-000051050000}"/>
    <cellStyle name="20% - Énfasis1 3 4 2 2 6" xfId="1365" xr:uid="{00000000-0005-0000-0000-000052050000}"/>
    <cellStyle name="20% - Énfasis1 3 4 2 3" xfId="1366" xr:uid="{00000000-0005-0000-0000-000053050000}"/>
    <cellStyle name="20% - Énfasis1 3 4 2 3 2" xfId="1367" xr:uid="{00000000-0005-0000-0000-000054050000}"/>
    <cellStyle name="20% - Énfasis1 3 4 2 3 2 2" xfId="1368" xr:uid="{00000000-0005-0000-0000-000055050000}"/>
    <cellStyle name="20% - Énfasis1 3 4 2 3 2 2 2" xfId="1369" xr:uid="{00000000-0005-0000-0000-000056050000}"/>
    <cellStyle name="20% - Énfasis1 3 4 2 3 2 3" xfId="1370" xr:uid="{00000000-0005-0000-0000-000057050000}"/>
    <cellStyle name="20% - Énfasis1 3 4 2 3 2 4" xfId="1371" xr:uid="{00000000-0005-0000-0000-000058050000}"/>
    <cellStyle name="20% - Énfasis1 3 4 2 3 3" xfId="1372" xr:uid="{00000000-0005-0000-0000-000059050000}"/>
    <cellStyle name="20% - Énfasis1 3 4 2 3 3 2" xfId="1373" xr:uid="{00000000-0005-0000-0000-00005A050000}"/>
    <cellStyle name="20% - Énfasis1 3 4 2 3 4" xfId="1374" xr:uid="{00000000-0005-0000-0000-00005B050000}"/>
    <cellStyle name="20% - Énfasis1 3 4 2 3 5" xfId="1375" xr:uid="{00000000-0005-0000-0000-00005C050000}"/>
    <cellStyle name="20% - Énfasis1 3 4 2 4" xfId="1376" xr:uid="{00000000-0005-0000-0000-00005D050000}"/>
    <cellStyle name="20% - Énfasis1 3 4 2 4 2" xfId="1377" xr:uid="{00000000-0005-0000-0000-00005E050000}"/>
    <cellStyle name="20% - Énfasis1 3 4 2 4 2 2" xfId="1378" xr:uid="{00000000-0005-0000-0000-00005F050000}"/>
    <cellStyle name="20% - Énfasis1 3 4 2 4 3" xfId="1379" xr:uid="{00000000-0005-0000-0000-000060050000}"/>
    <cellStyle name="20% - Énfasis1 3 4 2 4 4" xfId="1380" xr:uid="{00000000-0005-0000-0000-000061050000}"/>
    <cellStyle name="20% - Énfasis1 3 4 2 5" xfId="1381" xr:uid="{00000000-0005-0000-0000-000062050000}"/>
    <cellStyle name="20% - Énfasis1 3 4 2 5 2" xfId="1382" xr:uid="{00000000-0005-0000-0000-000063050000}"/>
    <cellStyle name="20% - Énfasis1 3 4 2 6" xfId="1383" xr:uid="{00000000-0005-0000-0000-000064050000}"/>
    <cellStyle name="20% - Énfasis1 3 4 2 7" xfId="1384" xr:uid="{00000000-0005-0000-0000-000065050000}"/>
    <cellStyle name="20% - Énfasis1 3 4 3" xfId="1385" xr:uid="{00000000-0005-0000-0000-000066050000}"/>
    <cellStyle name="20% - Énfasis1 3 4 3 2" xfId="1386" xr:uid="{00000000-0005-0000-0000-000067050000}"/>
    <cellStyle name="20% - Énfasis1 3 4 3 2 2" xfId="1387" xr:uid="{00000000-0005-0000-0000-000068050000}"/>
    <cellStyle name="20% - Énfasis1 3 4 3 2 2 2" xfId="1388" xr:uid="{00000000-0005-0000-0000-000069050000}"/>
    <cellStyle name="20% - Énfasis1 3 4 3 2 2 2 2" xfId="1389" xr:uid="{00000000-0005-0000-0000-00006A050000}"/>
    <cellStyle name="20% - Énfasis1 3 4 3 2 2 3" xfId="1390" xr:uid="{00000000-0005-0000-0000-00006B050000}"/>
    <cellStyle name="20% - Énfasis1 3 4 3 2 2 4" xfId="1391" xr:uid="{00000000-0005-0000-0000-00006C050000}"/>
    <cellStyle name="20% - Énfasis1 3 4 3 2 3" xfId="1392" xr:uid="{00000000-0005-0000-0000-00006D050000}"/>
    <cellStyle name="20% - Énfasis1 3 4 3 2 3 2" xfId="1393" xr:uid="{00000000-0005-0000-0000-00006E050000}"/>
    <cellStyle name="20% - Énfasis1 3 4 3 2 4" xfId="1394" xr:uid="{00000000-0005-0000-0000-00006F050000}"/>
    <cellStyle name="20% - Énfasis1 3 4 3 2 5" xfId="1395" xr:uid="{00000000-0005-0000-0000-000070050000}"/>
    <cellStyle name="20% - Énfasis1 3 4 3 3" xfId="1396" xr:uid="{00000000-0005-0000-0000-000071050000}"/>
    <cellStyle name="20% - Énfasis1 3 4 3 3 2" xfId="1397" xr:uid="{00000000-0005-0000-0000-000072050000}"/>
    <cellStyle name="20% - Énfasis1 3 4 3 3 2 2" xfId="1398" xr:uid="{00000000-0005-0000-0000-000073050000}"/>
    <cellStyle name="20% - Énfasis1 3 4 3 3 3" xfId="1399" xr:uid="{00000000-0005-0000-0000-000074050000}"/>
    <cellStyle name="20% - Énfasis1 3 4 3 3 3 2" xfId="1400" xr:uid="{00000000-0005-0000-0000-000075050000}"/>
    <cellStyle name="20% - Énfasis1 3 4 3 3 4" xfId="1401" xr:uid="{00000000-0005-0000-0000-000076050000}"/>
    <cellStyle name="20% - Énfasis1 3 4 3 3 5" xfId="1402" xr:uid="{00000000-0005-0000-0000-000077050000}"/>
    <cellStyle name="20% - Énfasis1 3 4 3 4" xfId="1403" xr:uid="{00000000-0005-0000-0000-000078050000}"/>
    <cellStyle name="20% - Énfasis1 3 4 3 4 2" xfId="1404" xr:uid="{00000000-0005-0000-0000-000079050000}"/>
    <cellStyle name="20% - Énfasis1 3 4 3 5" xfId="1405" xr:uid="{00000000-0005-0000-0000-00007A050000}"/>
    <cellStyle name="20% - Énfasis1 3 4 3 5 2" xfId="1406" xr:uid="{00000000-0005-0000-0000-00007B050000}"/>
    <cellStyle name="20% - Énfasis1 3 4 3 6" xfId="1407" xr:uid="{00000000-0005-0000-0000-00007C050000}"/>
    <cellStyle name="20% - Énfasis1 3 4 3 7" xfId="1408" xr:uid="{00000000-0005-0000-0000-00007D050000}"/>
    <cellStyle name="20% - Énfasis1 3 4 4" xfId="1409" xr:uid="{00000000-0005-0000-0000-00007E050000}"/>
    <cellStyle name="20% - Énfasis1 3 4 4 2" xfId="1410" xr:uid="{00000000-0005-0000-0000-00007F050000}"/>
    <cellStyle name="20% - Énfasis1 3 4 4 2 2" xfId="1411" xr:uid="{00000000-0005-0000-0000-000080050000}"/>
    <cellStyle name="20% - Énfasis1 3 4 4 2 2 2" xfId="1412" xr:uid="{00000000-0005-0000-0000-000081050000}"/>
    <cellStyle name="20% - Énfasis1 3 4 4 2 3" xfId="1413" xr:uid="{00000000-0005-0000-0000-000082050000}"/>
    <cellStyle name="20% - Énfasis1 3 4 4 2 4" xfId="1414" xr:uid="{00000000-0005-0000-0000-000083050000}"/>
    <cellStyle name="20% - Énfasis1 3 4 4 3" xfId="1415" xr:uid="{00000000-0005-0000-0000-000084050000}"/>
    <cellStyle name="20% - Énfasis1 3 4 4 3 2" xfId="1416" xr:uid="{00000000-0005-0000-0000-000085050000}"/>
    <cellStyle name="20% - Énfasis1 3 4 4 4" xfId="1417" xr:uid="{00000000-0005-0000-0000-000086050000}"/>
    <cellStyle name="20% - Énfasis1 3 4 4 5" xfId="1418" xr:uid="{00000000-0005-0000-0000-000087050000}"/>
    <cellStyle name="20% - Énfasis1 3 4 5" xfId="1419" xr:uid="{00000000-0005-0000-0000-000088050000}"/>
    <cellStyle name="20% - Énfasis1 3 4 5 2" xfId="1420" xr:uid="{00000000-0005-0000-0000-000089050000}"/>
    <cellStyle name="20% - Énfasis1 3 4 5 2 2" xfId="1421" xr:uid="{00000000-0005-0000-0000-00008A050000}"/>
    <cellStyle name="20% - Énfasis1 3 4 5 3" xfId="1422" xr:uid="{00000000-0005-0000-0000-00008B050000}"/>
    <cellStyle name="20% - Énfasis1 3 4 5 3 2" xfId="1423" xr:uid="{00000000-0005-0000-0000-00008C050000}"/>
    <cellStyle name="20% - Énfasis1 3 4 5 4" xfId="1424" xr:uid="{00000000-0005-0000-0000-00008D050000}"/>
    <cellStyle name="20% - Énfasis1 3 4 5 5" xfId="1425" xr:uid="{00000000-0005-0000-0000-00008E050000}"/>
    <cellStyle name="20% - Énfasis1 3 4 6" xfId="1426" xr:uid="{00000000-0005-0000-0000-00008F050000}"/>
    <cellStyle name="20% - Énfasis1 3 4 6 2" xfId="1427" xr:uid="{00000000-0005-0000-0000-000090050000}"/>
    <cellStyle name="20% - Énfasis1 3 4 7" xfId="1428" xr:uid="{00000000-0005-0000-0000-000091050000}"/>
    <cellStyle name="20% - Énfasis1 3 4 7 2" xfId="1429" xr:uid="{00000000-0005-0000-0000-000092050000}"/>
    <cellStyle name="20% - Énfasis1 3 4 8" xfId="1430" xr:uid="{00000000-0005-0000-0000-000093050000}"/>
    <cellStyle name="20% - Énfasis1 3 4 9" xfId="1431" xr:uid="{00000000-0005-0000-0000-000094050000}"/>
    <cellStyle name="20% - Énfasis1 3 5" xfId="1432" xr:uid="{00000000-0005-0000-0000-000095050000}"/>
    <cellStyle name="20% - Énfasis1 3 5 2" xfId="1433" xr:uid="{00000000-0005-0000-0000-000096050000}"/>
    <cellStyle name="20% - Énfasis1 3 5 2 2" xfId="1434" xr:uid="{00000000-0005-0000-0000-000097050000}"/>
    <cellStyle name="20% - Énfasis1 3 5 2 2 2" xfId="1435" xr:uid="{00000000-0005-0000-0000-000098050000}"/>
    <cellStyle name="20% - Énfasis1 3 5 2 2 2 2" xfId="1436" xr:uid="{00000000-0005-0000-0000-000099050000}"/>
    <cellStyle name="20% - Énfasis1 3 5 2 2 2 2 2" xfId="1437" xr:uid="{00000000-0005-0000-0000-00009A050000}"/>
    <cellStyle name="20% - Énfasis1 3 5 2 2 2 3" xfId="1438" xr:uid="{00000000-0005-0000-0000-00009B050000}"/>
    <cellStyle name="20% - Énfasis1 3 5 2 2 2 4" xfId="1439" xr:uid="{00000000-0005-0000-0000-00009C050000}"/>
    <cellStyle name="20% - Énfasis1 3 5 2 2 3" xfId="1440" xr:uid="{00000000-0005-0000-0000-00009D050000}"/>
    <cellStyle name="20% - Énfasis1 3 5 2 2 3 2" xfId="1441" xr:uid="{00000000-0005-0000-0000-00009E050000}"/>
    <cellStyle name="20% - Énfasis1 3 5 2 2 4" xfId="1442" xr:uid="{00000000-0005-0000-0000-00009F050000}"/>
    <cellStyle name="20% - Énfasis1 3 5 2 2 5" xfId="1443" xr:uid="{00000000-0005-0000-0000-0000A0050000}"/>
    <cellStyle name="20% - Énfasis1 3 5 2 3" xfId="1444" xr:uid="{00000000-0005-0000-0000-0000A1050000}"/>
    <cellStyle name="20% - Énfasis1 3 5 2 3 2" xfId="1445" xr:uid="{00000000-0005-0000-0000-0000A2050000}"/>
    <cellStyle name="20% - Énfasis1 3 5 2 3 2 2" xfId="1446" xr:uid="{00000000-0005-0000-0000-0000A3050000}"/>
    <cellStyle name="20% - Énfasis1 3 5 2 3 3" xfId="1447" xr:uid="{00000000-0005-0000-0000-0000A4050000}"/>
    <cellStyle name="20% - Énfasis1 3 5 2 3 3 2" xfId="1448" xr:uid="{00000000-0005-0000-0000-0000A5050000}"/>
    <cellStyle name="20% - Énfasis1 3 5 2 3 4" xfId="1449" xr:uid="{00000000-0005-0000-0000-0000A6050000}"/>
    <cellStyle name="20% - Énfasis1 3 5 2 3 5" xfId="1450" xr:uid="{00000000-0005-0000-0000-0000A7050000}"/>
    <cellStyle name="20% - Énfasis1 3 5 2 4" xfId="1451" xr:uid="{00000000-0005-0000-0000-0000A8050000}"/>
    <cellStyle name="20% - Énfasis1 3 5 2 4 2" xfId="1452" xr:uid="{00000000-0005-0000-0000-0000A9050000}"/>
    <cellStyle name="20% - Énfasis1 3 5 2 5" xfId="1453" xr:uid="{00000000-0005-0000-0000-0000AA050000}"/>
    <cellStyle name="20% - Énfasis1 3 5 2 5 2" xfId="1454" xr:uid="{00000000-0005-0000-0000-0000AB050000}"/>
    <cellStyle name="20% - Énfasis1 3 5 2 6" xfId="1455" xr:uid="{00000000-0005-0000-0000-0000AC050000}"/>
    <cellStyle name="20% - Énfasis1 3 5 2 7" xfId="1456" xr:uid="{00000000-0005-0000-0000-0000AD050000}"/>
    <cellStyle name="20% - Énfasis1 3 5 3" xfId="1457" xr:uid="{00000000-0005-0000-0000-0000AE050000}"/>
    <cellStyle name="20% - Énfasis1 3 5 3 2" xfId="1458" xr:uid="{00000000-0005-0000-0000-0000AF050000}"/>
    <cellStyle name="20% - Énfasis1 3 5 3 2 2" xfId="1459" xr:uid="{00000000-0005-0000-0000-0000B0050000}"/>
    <cellStyle name="20% - Énfasis1 3 5 3 2 2 2" xfId="1460" xr:uid="{00000000-0005-0000-0000-0000B1050000}"/>
    <cellStyle name="20% - Énfasis1 3 5 3 2 3" xfId="1461" xr:uid="{00000000-0005-0000-0000-0000B2050000}"/>
    <cellStyle name="20% - Énfasis1 3 5 3 2 4" xfId="1462" xr:uid="{00000000-0005-0000-0000-0000B3050000}"/>
    <cellStyle name="20% - Énfasis1 3 5 3 3" xfId="1463" xr:uid="{00000000-0005-0000-0000-0000B4050000}"/>
    <cellStyle name="20% - Énfasis1 3 5 3 3 2" xfId="1464" xr:uid="{00000000-0005-0000-0000-0000B5050000}"/>
    <cellStyle name="20% - Énfasis1 3 5 3 4" xfId="1465" xr:uid="{00000000-0005-0000-0000-0000B6050000}"/>
    <cellStyle name="20% - Énfasis1 3 5 3 5" xfId="1466" xr:uid="{00000000-0005-0000-0000-0000B7050000}"/>
    <cellStyle name="20% - Énfasis1 3 5 4" xfId="1467" xr:uid="{00000000-0005-0000-0000-0000B8050000}"/>
    <cellStyle name="20% - Énfasis1 3 5 4 2" xfId="1468" xr:uid="{00000000-0005-0000-0000-0000B9050000}"/>
    <cellStyle name="20% - Énfasis1 3 5 4 2 2" xfId="1469" xr:uid="{00000000-0005-0000-0000-0000BA050000}"/>
    <cellStyle name="20% - Énfasis1 3 5 4 3" xfId="1470" xr:uid="{00000000-0005-0000-0000-0000BB050000}"/>
    <cellStyle name="20% - Énfasis1 3 5 4 3 2" xfId="1471" xr:uid="{00000000-0005-0000-0000-0000BC050000}"/>
    <cellStyle name="20% - Énfasis1 3 5 4 4" xfId="1472" xr:uid="{00000000-0005-0000-0000-0000BD050000}"/>
    <cellStyle name="20% - Énfasis1 3 5 4 5" xfId="1473" xr:uid="{00000000-0005-0000-0000-0000BE050000}"/>
    <cellStyle name="20% - Énfasis1 3 5 5" xfId="1474" xr:uid="{00000000-0005-0000-0000-0000BF050000}"/>
    <cellStyle name="20% - Énfasis1 3 5 5 2" xfId="1475" xr:uid="{00000000-0005-0000-0000-0000C0050000}"/>
    <cellStyle name="20% - Énfasis1 3 5 6" xfId="1476" xr:uid="{00000000-0005-0000-0000-0000C1050000}"/>
    <cellStyle name="20% - Énfasis1 3 5 6 2" xfId="1477" xr:uid="{00000000-0005-0000-0000-0000C2050000}"/>
    <cellStyle name="20% - Énfasis1 3 5 7" xfId="1478" xr:uid="{00000000-0005-0000-0000-0000C3050000}"/>
    <cellStyle name="20% - Énfasis1 3 5 8" xfId="1479" xr:uid="{00000000-0005-0000-0000-0000C4050000}"/>
    <cellStyle name="20% - Énfasis1 3 6" xfId="1480" xr:uid="{00000000-0005-0000-0000-0000C5050000}"/>
    <cellStyle name="20% - Énfasis1 3 6 2" xfId="1481" xr:uid="{00000000-0005-0000-0000-0000C6050000}"/>
    <cellStyle name="20% - Énfasis1 3 6 2 2" xfId="1482" xr:uid="{00000000-0005-0000-0000-0000C7050000}"/>
    <cellStyle name="20% - Énfasis1 3 6 2 2 2" xfId="1483" xr:uid="{00000000-0005-0000-0000-0000C8050000}"/>
    <cellStyle name="20% - Énfasis1 3 6 2 2 2 2" xfId="1484" xr:uid="{00000000-0005-0000-0000-0000C9050000}"/>
    <cellStyle name="20% - Énfasis1 3 6 2 2 3" xfId="1485" xr:uid="{00000000-0005-0000-0000-0000CA050000}"/>
    <cellStyle name="20% - Énfasis1 3 6 2 2 4" xfId="1486" xr:uid="{00000000-0005-0000-0000-0000CB050000}"/>
    <cellStyle name="20% - Énfasis1 3 6 2 3" xfId="1487" xr:uid="{00000000-0005-0000-0000-0000CC050000}"/>
    <cellStyle name="20% - Énfasis1 3 6 2 3 2" xfId="1488" xr:uid="{00000000-0005-0000-0000-0000CD050000}"/>
    <cellStyle name="20% - Énfasis1 3 6 2 4" xfId="1489" xr:uid="{00000000-0005-0000-0000-0000CE050000}"/>
    <cellStyle name="20% - Énfasis1 3 6 2 5" xfId="1490" xr:uid="{00000000-0005-0000-0000-0000CF050000}"/>
    <cellStyle name="20% - Énfasis1 3 6 3" xfId="1491" xr:uid="{00000000-0005-0000-0000-0000D0050000}"/>
    <cellStyle name="20% - Énfasis1 3 6 3 2" xfId="1492" xr:uid="{00000000-0005-0000-0000-0000D1050000}"/>
    <cellStyle name="20% - Énfasis1 3 6 3 2 2" xfId="1493" xr:uid="{00000000-0005-0000-0000-0000D2050000}"/>
    <cellStyle name="20% - Énfasis1 3 6 3 3" xfId="1494" xr:uid="{00000000-0005-0000-0000-0000D3050000}"/>
    <cellStyle name="20% - Énfasis1 3 6 3 3 2" xfId="1495" xr:uid="{00000000-0005-0000-0000-0000D4050000}"/>
    <cellStyle name="20% - Énfasis1 3 6 3 4" xfId="1496" xr:uid="{00000000-0005-0000-0000-0000D5050000}"/>
    <cellStyle name="20% - Énfasis1 3 6 3 5" xfId="1497" xr:uid="{00000000-0005-0000-0000-0000D6050000}"/>
    <cellStyle name="20% - Énfasis1 3 6 4" xfId="1498" xr:uid="{00000000-0005-0000-0000-0000D7050000}"/>
    <cellStyle name="20% - Énfasis1 3 6 4 2" xfId="1499" xr:uid="{00000000-0005-0000-0000-0000D8050000}"/>
    <cellStyle name="20% - Énfasis1 3 6 5" xfId="1500" xr:uid="{00000000-0005-0000-0000-0000D9050000}"/>
    <cellStyle name="20% - Énfasis1 3 6 5 2" xfId="1501" xr:uid="{00000000-0005-0000-0000-0000DA050000}"/>
    <cellStyle name="20% - Énfasis1 3 6 6" xfId="1502" xr:uid="{00000000-0005-0000-0000-0000DB050000}"/>
    <cellStyle name="20% - Énfasis1 3 6 7" xfId="1503" xr:uid="{00000000-0005-0000-0000-0000DC050000}"/>
    <cellStyle name="20% - Énfasis1 3 7" xfId="1504" xr:uid="{00000000-0005-0000-0000-0000DD050000}"/>
    <cellStyle name="20% - Énfasis1 3 7 2" xfId="1505" xr:uid="{00000000-0005-0000-0000-0000DE050000}"/>
    <cellStyle name="20% - Énfasis1 3 7 2 2" xfId="1506" xr:uid="{00000000-0005-0000-0000-0000DF050000}"/>
    <cellStyle name="20% - Énfasis1 3 7 2 2 2" xfId="1507" xr:uid="{00000000-0005-0000-0000-0000E0050000}"/>
    <cellStyle name="20% - Énfasis1 3 7 2 3" xfId="1508" xr:uid="{00000000-0005-0000-0000-0000E1050000}"/>
    <cellStyle name="20% - Énfasis1 3 7 2 4" xfId="1509" xr:uid="{00000000-0005-0000-0000-0000E2050000}"/>
    <cellStyle name="20% - Énfasis1 3 7 3" xfId="1510" xr:uid="{00000000-0005-0000-0000-0000E3050000}"/>
    <cellStyle name="20% - Énfasis1 3 7 3 2" xfId="1511" xr:uid="{00000000-0005-0000-0000-0000E4050000}"/>
    <cellStyle name="20% - Énfasis1 3 7 4" xfId="1512" xr:uid="{00000000-0005-0000-0000-0000E5050000}"/>
    <cellStyle name="20% - Énfasis1 3 7 5" xfId="1513" xr:uid="{00000000-0005-0000-0000-0000E6050000}"/>
    <cellStyle name="20% - Énfasis1 3 8" xfId="1514" xr:uid="{00000000-0005-0000-0000-0000E7050000}"/>
    <cellStyle name="20% - Énfasis1 3 8 2" xfId="1515" xr:uid="{00000000-0005-0000-0000-0000E8050000}"/>
    <cellStyle name="20% - Énfasis1 3 8 2 2" xfId="1516" xr:uid="{00000000-0005-0000-0000-0000E9050000}"/>
    <cellStyle name="20% - Énfasis1 3 8 3" xfId="1517" xr:uid="{00000000-0005-0000-0000-0000EA050000}"/>
    <cellStyle name="20% - Énfasis1 3 8 3 2" xfId="1518" xr:uid="{00000000-0005-0000-0000-0000EB050000}"/>
    <cellStyle name="20% - Énfasis1 3 8 4" xfId="1519" xr:uid="{00000000-0005-0000-0000-0000EC050000}"/>
    <cellStyle name="20% - Énfasis1 3 8 5" xfId="1520" xr:uid="{00000000-0005-0000-0000-0000ED050000}"/>
    <cellStyle name="20% - Énfasis1 3 9" xfId="1521" xr:uid="{00000000-0005-0000-0000-0000EE050000}"/>
    <cellStyle name="20% - Énfasis1 3 9 2" xfId="1522" xr:uid="{00000000-0005-0000-0000-0000EF050000}"/>
    <cellStyle name="20% - Énfasis1 4" xfId="1523" xr:uid="{00000000-0005-0000-0000-0000F0050000}"/>
    <cellStyle name="20% - Énfasis2 2" xfId="1524" xr:uid="{00000000-0005-0000-0000-0000F1050000}"/>
    <cellStyle name="20% - Énfasis2 2 10" xfId="1525" xr:uid="{00000000-0005-0000-0000-0000F2050000}"/>
    <cellStyle name="20% - Énfasis2 2 10 2" xfId="1526" xr:uid="{00000000-0005-0000-0000-0000F3050000}"/>
    <cellStyle name="20% - Énfasis2 2 11" xfId="1527" xr:uid="{00000000-0005-0000-0000-0000F4050000}"/>
    <cellStyle name="20% - Énfasis2 2 12" xfId="1528" xr:uid="{00000000-0005-0000-0000-0000F5050000}"/>
    <cellStyle name="20% - Énfasis2 2 2" xfId="1529" xr:uid="{00000000-0005-0000-0000-0000F6050000}"/>
    <cellStyle name="20% - Énfasis2 2 2 10" xfId="1530" xr:uid="{00000000-0005-0000-0000-0000F7050000}"/>
    <cellStyle name="20% - Énfasis2 2 2 10 2" xfId="1531" xr:uid="{00000000-0005-0000-0000-0000F8050000}"/>
    <cellStyle name="20% - Énfasis2 2 2 11" xfId="1532" xr:uid="{00000000-0005-0000-0000-0000F9050000}"/>
    <cellStyle name="20% - Énfasis2 2 2 12" xfId="1533" xr:uid="{00000000-0005-0000-0000-0000FA050000}"/>
    <cellStyle name="20% - Énfasis2 2 2 2" xfId="1534" xr:uid="{00000000-0005-0000-0000-0000FB050000}"/>
    <cellStyle name="20% - Énfasis2 2 2 2 10" xfId="1535" xr:uid="{00000000-0005-0000-0000-0000FC050000}"/>
    <cellStyle name="20% - Énfasis2 2 2 2 2" xfId="1536" xr:uid="{00000000-0005-0000-0000-0000FD050000}"/>
    <cellStyle name="20% - Énfasis2 2 2 2 2 2" xfId="1537" xr:uid="{00000000-0005-0000-0000-0000FE050000}"/>
    <cellStyle name="20% - Énfasis2 2 2 2 2 2 2" xfId="1538" xr:uid="{00000000-0005-0000-0000-0000FF050000}"/>
    <cellStyle name="20% - Énfasis2 2 2 2 2 2 2 2" xfId="1539" xr:uid="{00000000-0005-0000-0000-000000060000}"/>
    <cellStyle name="20% - Énfasis2 2 2 2 2 2 2 2 2" xfId="1540" xr:uid="{00000000-0005-0000-0000-000001060000}"/>
    <cellStyle name="20% - Énfasis2 2 2 2 2 2 2 2 2 2" xfId="1541" xr:uid="{00000000-0005-0000-0000-000002060000}"/>
    <cellStyle name="20% - Énfasis2 2 2 2 2 2 2 2 2 2 2" xfId="1542" xr:uid="{00000000-0005-0000-0000-000003060000}"/>
    <cellStyle name="20% - Énfasis2 2 2 2 2 2 2 2 2 3" xfId="1543" xr:uid="{00000000-0005-0000-0000-000004060000}"/>
    <cellStyle name="20% - Énfasis2 2 2 2 2 2 2 2 2 4" xfId="1544" xr:uid="{00000000-0005-0000-0000-000005060000}"/>
    <cellStyle name="20% - Énfasis2 2 2 2 2 2 2 2 3" xfId="1545" xr:uid="{00000000-0005-0000-0000-000006060000}"/>
    <cellStyle name="20% - Énfasis2 2 2 2 2 2 2 2 3 2" xfId="1546" xr:uid="{00000000-0005-0000-0000-000007060000}"/>
    <cellStyle name="20% - Énfasis2 2 2 2 2 2 2 2 4" xfId="1547" xr:uid="{00000000-0005-0000-0000-000008060000}"/>
    <cellStyle name="20% - Énfasis2 2 2 2 2 2 2 2 5" xfId="1548" xr:uid="{00000000-0005-0000-0000-000009060000}"/>
    <cellStyle name="20% - Énfasis2 2 2 2 2 2 2 3" xfId="1549" xr:uid="{00000000-0005-0000-0000-00000A060000}"/>
    <cellStyle name="20% - Énfasis2 2 2 2 2 2 2 3 2" xfId="1550" xr:uid="{00000000-0005-0000-0000-00000B060000}"/>
    <cellStyle name="20% - Énfasis2 2 2 2 2 2 2 3 2 2" xfId="1551" xr:uid="{00000000-0005-0000-0000-00000C060000}"/>
    <cellStyle name="20% - Énfasis2 2 2 2 2 2 2 3 3" xfId="1552" xr:uid="{00000000-0005-0000-0000-00000D060000}"/>
    <cellStyle name="20% - Énfasis2 2 2 2 2 2 2 3 4" xfId="1553" xr:uid="{00000000-0005-0000-0000-00000E060000}"/>
    <cellStyle name="20% - Énfasis2 2 2 2 2 2 2 4" xfId="1554" xr:uid="{00000000-0005-0000-0000-00000F060000}"/>
    <cellStyle name="20% - Énfasis2 2 2 2 2 2 2 4 2" xfId="1555" xr:uid="{00000000-0005-0000-0000-000010060000}"/>
    <cellStyle name="20% - Énfasis2 2 2 2 2 2 2 5" xfId="1556" xr:uid="{00000000-0005-0000-0000-000011060000}"/>
    <cellStyle name="20% - Énfasis2 2 2 2 2 2 2 6" xfId="1557" xr:uid="{00000000-0005-0000-0000-000012060000}"/>
    <cellStyle name="20% - Énfasis2 2 2 2 2 2 3" xfId="1558" xr:uid="{00000000-0005-0000-0000-000013060000}"/>
    <cellStyle name="20% - Énfasis2 2 2 2 2 2 3 2" xfId="1559" xr:uid="{00000000-0005-0000-0000-000014060000}"/>
    <cellStyle name="20% - Énfasis2 2 2 2 2 2 3 2 2" xfId="1560" xr:uid="{00000000-0005-0000-0000-000015060000}"/>
    <cellStyle name="20% - Énfasis2 2 2 2 2 2 3 2 2 2" xfId="1561" xr:uid="{00000000-0005-0000-0000-000016060000}"/>
    <cellStyle name="20% - Énfasis2 2 2 2 2 2 3 2 3" xfId="1562" xr:uid="{00000000-0005-0000-0000-000017060000}"/>
    <cellStyle name="20% - Énfasis2 2 2 2 2 2 3 2 4" xfId="1563" xr:uid="{00000000-0005-0000-0000-000018060000}"/>
    <cellStyle name="20% - Énfasis2 2 2 2 2 2 3 3" xfId="1564" xr:uid="{00000000-0005-0000-0000-000019060000}"/>
    <cellStyle name="20% - Énfasis2 2 2 2 2 2 3 3 2" xfId="1565" xr:uid="{00000000-0005-0000-0000-00001A060000}"/>
    <cellStyle name="20% - Énfasis2 2 2 2 2 2 3 4" xfId="1566" xr:uid="{00000000-0005-0000-0000-00001B060000}"/>
    <cellStyle name="20% - Énfasis2 2 2 2 2 2 3 5" xfId="1567" xr:uid="{00000000-0005-0000-0000-00001C060000}"/>
    <cellStyle name="20% - Énfasis2 2 2 2 2 2 4" xfId="1568" xr:uid="{00000000-0005-0000-0000-00001D060000}"/>
    <cellStyle name="20% - Énfasis2 2 2 2 2 2 4 2" xfId="1569" xr:uid="{00000000-0005-0000-0000-00001E060000}"/>
    <cellStyle name="20% - Énfasis2 2 2 2 2 2 4 2 2" xfId="1570" xr:uid="{00000000-0005-0000-0000-00001F060000}"/>
    <cellStyle name="20% - Énfasis2 2 2 2 2 2 4 3" xfId="1571" xr:uid="{00000000-0005-0000-0000-000020060000}"/>
    <cellStyle name="20% - Énfasis2 2 2 2 2 2 4 4" xfId="1572" xr:uid="{00000000-0005-0000-0000-000021060000}"/>
    <cellStyle name="20% - Énfasis2 2 2 2 2 2 5" xfId="1573" xr:uid="{00000000-0005-0000-0000-000022060000}"/>
    <cellStyle name="20% - Énfasis2 2 2 2 2 2 5 2" xfId="1574" xr:uid="{00000000-0005-0000-0000-000023060000}"/>
    <cellStyle name="20% - Énfasis2 2 2 2 2 2 6" xfId="1575" xr:uid="{00000000-0005-0000-0000-000024060000}"/>
    <cellStyle name="20% - Énfasis2 2 2 2 2 2 7" xfId="1576" xr:uid="{00000000-0005-0000-0000-000025060000}"/>
    <cellStyle name="20% - Énfasis2 2 2 2 2 3" xfId="1577" xr:uid="{00000000-0005-0000-0000-000026060000}"/>
    <cellStyle name="20% - Énfasis2 2 2 2 2 3 2" xfId="1578" xr:uid="{00000000-0005-0000-0000-000027060000}"/>
    <cellStyle name="20% - Énfasis2 2 2 2 2 3 2 2" xfId="1579" xr:uid="{00000000-0005-0000-0000-000028060000}"/>
    <cellStyle name="20% - Énfasis2 2 2 2 2 3 2 2 2" xfId="1580" xr:uid="{00000000-0005-0000-0000-000029060000}"/>
    <cellStyle name="20% - Énfasis2 2 2 2 2 3 2 2 2 2" xfId="1581" xr:uid="{00000000-0005-0000-0000-00002A060000}"/>
    <cellStyle name="20% - Énfasis2 2 2 2 2 3 2 2 3" xfId="1582" xr:uid="{00000000-0005-0000-0000-00002B060000}"/>
    <cellStyle name="20% - Énfasis2 2 2 2 2 3 2 2 4" xfId="1583" xr:uid="{00000000-0005-0000-0000-00002C060000}"/>
    <cellStyle name="20% - Énfasis2 2 2 2 2 3 2 3" xfId="1584" xr:uid="{00000000-0005-0000-0000-00002D060000}"/>
    <cellStyle name="20% - Énfasis2 2 2 2 2 3 2 3 2" xfId="1585" xr:uid="{00000000-0005-0000-0000-00002E060000}"/>
    <cellStyle name="20% - Énfasis2 2 2 2 2 3 2 4" xfId="1586" xr:uid="{00000000-0005-0000-0000-00002F060000}"/>
    <cellStyle name="20% - Énfasis2 2 2 2 2 3 2 5" xfId="1587" xr:uid="{00000000-0005-0000-0000-000030060000}"/>
    <cellStyle name="20% - Énfasis2 2 2 2 2 3 3" xfId="1588" xr:uid="{00000000-0005-0000-0000-000031060000}"/>
    <cellStyle name="20% - Énfasis2 2 2 2 2 3 3 2" xfId="1589" xr:uid="{00000000-0005-0000-0000-000032060000}"/>
    <cellStyle name="20% - Énfasis2 2 2 2 2 3 3 2 2" xfId="1590" xr:uid="{00000000-0005-0000-0000-000033060000}"/>
    <cellStyle name="20% - Énfasis2 2 2 2 2 3 3 3" xfId="1591" xr:uid="{00000000-0005-0000-0000-000034060000}"/>
    <cellStyle name="20% - Énfasis2 2 2 2 2 3 3 3 2" xfId="1592" xr:uid="{00000000-0005-0000-0000-000035060000}"/>
    <cellStyle name="20% - Énfasis2 2 2 2 2 3 3 4" xfId="1593" xr:uid="{00000000-0005-0000-0000-000036060000}"/>
    <cellStyle name="20% - Énfasis2 2 2 2 2 3 3 5" xfId="1594" xr:uid="{00000000-0005-0000-0000-000037060000}"/>
    <cellStyle name="20% - Énfasis2 2 2 2 2 3 4" xfId="1595" xr:uid="{00000000-0005-0000-0000-000038060000}"/>
    <cellStyle name="20% - Énfasis2 2 2 2 2 3 4 2" xfId="1596" xr:uid="{00000000-0005-0000-0000-000039060000}"/>
    <cellStyle name="20% - Énfasis2 2 2 2 2 3 5" xfId="1597" xr:uid="{00000000-0005-0000-0000-00003A060000}"/>
    <cellStyle name="20% - Énfasis2 2 2 2 2 3 5 2" xfId="1598" xr:uid="{00000000-0005-0000-0000-00003B060000}"/>
    <cellStyle name="20% - Énfasis2 2 2 2 2 3 6" xfId="1599" xr:uid="{00000000-0005-0000-0000-00003C060000}"/>
    <cellStyle name="20% - Énfasis2 2 2 2 2 3 7" xfId="1600" xr:uid="{00000000-0005-0000-0000-00003D060000}"/>
    <cellStyle name="20% - Énfasis2 2 2 2 2 4" xfId="1601" xr:uid="{00000000-0005-0000-0000-00003E060000}"/>
    <cellStyle name="20% - Énfasis2 2 2 2 2 4 2" xfId="1602" xr:uid="{00000000-0005-0000-0000-00003F060000}"/>
    <cellStyle name="20% - Énfasis2 2 2 2 2 4 2 2" xfId="1603" xr:uid="{00000000-0005-0000-0000-000040060000}"/>
    <cellStyle name="20% - Énfasis2 2 2 2 2 4 2 2 2" xfId="1604" xr:uid="{00000000-0005-0000-0000-000041060000}"/>
    <cellStyle name="20% - Énfasis2 2 2 2 2 4 2 3" xfId="1605" xr:uid="{00000000-0005-0000-0000-000042060000}"/>
    <cellStyle name="20% - Énfasis2 2 2 2 2 4 2 4" xfId="1606" xr:uid="{00000000-0005-0000-0000-000043060000}"/>
    <cellStyle name="20% - Énfasis2 2 2 2 2 4 3" xfId="1607" xr:uid="{00000000-0005-0000-0000-000044060000}"/>
    <cellStyle name="20% - Énfasis2 2 2 2 2 4 3 2" xfId="1608" xr:uid="{00000000-0005-0000-0000-000045060000}"/>
    <cellStyle name="20% - Énfasis2 2 2 2 2 4 4" xfId="1609" xr:uid="{00000000-0005-0000-0000-000046060000}"/>
    <cellStyle name="20% - Énfasis2 2 2 2 2 4 5" xfId="1610" xr:uid="{00000000-0005-0000-0000-000047060000}"/>
    <cellStyle name="20% - Énfasis2 2 2 2 2 5" xfId="1611" xr:uid="{00000000-0005-0000-0000-000048060000}"/>
    <cellStyle name="20% - Énfasis2 2 2 2 2 5 2" xfId="1612" xr:uid="{00000000-0005-0000-0000-000049060000}"/>
    <cellStyle name="20% - Énfasis2 2 2 2 2 5 2 2" xfId="1613" xr:uid="{00000000-0005-0000-0000-00004A060000}"/>
    <cellStyle name="20% - Énfasis2 2 2 2 2 5 3" xfId="1614" xr:uid="{00000000-0005-0000-0000-00004B060000}"/>
    <cellStyle name="20% - Énfasis2 2 2 2 2 5 3 2" xfId="1615" xr:uid="{00000000-0005-0000-0000-00004C060000}"/>
    <cellStyle name="20% - Énfasis2 2 2 2 2 5 4" xfId="1616" xr:uid="{00000000-0005-0000-0000-00004D060000}"/>
    <cellStyle name="20% - Énfasis2 2 2 2 2 5 5" xfId="1617" xr:uid="{00000000-0005-0000-0000-00004E060000}"/>
    <cellStyle name="20% - Énfasis2 2 2 2 2 6" xfId="1618" xr:uid="{00000000-0005-0000-0000-00004F060000}"/>
    <cellStyle name="20% - Énfasis2 2 2 2 2 6 2" xfId="1619" xr:uid="{00000000-0005-0000-0000-000050060000}"/>
    <cellStyle name="20% - Énfasis2 2 2 2 2 7" xfId="1620" xr:uid="{00000000-0005-0000-0000-000051060000}"/>
    <cellStyle name="20% - Énfasis2 2 2 2 2 7 2" xfId="1621" xr:uid="{00000000-0005-0000-0000-000052060000}"/>
    <cellStyle name="20% - Énfasis2 2 2 2 2 8" xfId="1622" xr:uid="{00000000-0005-0000-0000-000053060000}"/>
    <cellStyle name="20% - Énfasis2 2 2 2 2 9" xfId="1623" xr:uid="{00000000-0005-0000-0000-000054060000}"/>
    <cellStyle name="20% - Énfasis2 2 2 2 3" xfId="1624" xr:uid="{00000000-0005-0000-0000-000055060000}"/>
    <cellStyle name="20% - Énfasis2 2 2 2 3 2" xfId="1625" xr:uid="{00000000-0005-0000-0000-000056060000}"/>
    <cellStyle name="20% - Énfasis2 2 2 2 3 2 2" xfId="1626" xr:uid="{00000000-0005-0000-0000-000057060000}"/>
    <cellStyle name="20% - Énfasis2 2 2 2 3 2 2 2" xfId="1627" xr:uid="{00000000-0005-0000-0000-000058060000}"/>
    <cellStyle name="20% - Énfasis2 2 2 2 3 2 2 2 2" xfId="1628" xr:uid="{00000000-0005-0000-0000-000059060000}"/>
    <cellStyle name="20% - Énfasis2 2 2 2 3 2 2 2 2 2" xfId="1629" xr:uid="{00000000-0005-0000-0000-00005A060000}"/>
    <cellStyle name="20% - Énfasis2 2 2 2 3 2 2 2 3" xfId="1630" xr:uid="{00000000-0005-0000-0000-00005B060000}"/>
    <cellStyle name="20% - Énfasis2 2 2 2 3 2 2 2 4" xfId="1631" xr:uid="{00000000-0005-0000-0000-00005C060000}"/>
    <cellStyle name="20% - Énfasis2 2 2 2 3 2 2 3" xfId="1632" xr:uid="{00000000-0005-0000-0000-00005D060000}"/>
    <cellStyle name="20% - Énfasis2 2 2 2 3 2 2 3 2" xfId="1633" xr:uid="{00000000-0005-0000-0000-00005E060000}"/>
    <cellStyle name="20% - Énfasis2 2 2 2 3 2 2 4" xfId="1634" xr:uid="{00000000-0005-0000-0000-00005F060000}"/>
    <cellStyle name="20% - Énfasis2 2 2 2 3 2 2 5" xfId="1635" xr:uid="{00000000-0005-0000-0000-000060060000}"/>
    <cellStyle name="20% - Énfasis2 2 2 2 3 2 3" xfId="1636" xr:uid="{00000000-0005-0000-0000-000061060000}"/>
    <cellStyle name="20% - Énfasis2 2 2 2 3 2 3 2" xfId="1637" xr:uid="{00000000-0005-0000-0000-000062060000}"/>
    <cellStyle name="20% - Énfasis2 2 2 2 3 2 3 2 2" xfId="1638" xr:uid="{00000000-0005-0000-0000-000063060000}"/>
    <cellStyle name="20% - Énfasis2 2 2 2 3 2 3 3" xfId="1639" xr:uid="{00000000-0005-0000-0000-000064060000}"/>
    <cellStyle name="20% - Énfasis2 2 2 2 3 2 3 4" xfId="1640" xr:uid="{00000000-0005-0000-0000-000065060000}"/>
    <cellStyle name="20% - Énfasis2 2 2 2 3 2 4" xfId="1641" xr:uid="{00000000-0005-0000-0000-000066060000}"/>
    <cellStyle name="20% - Énfasis2 2 2 2 3 2 4 2" xfId="1642" xr:uid="{00000000-0005-0000-0000-000067060000}"/>
    <cellStyle name="20% - Énfasis2 2 2 2 3 2 5" xfId="1643" xr:uid="{00000000-0005-0000-0000-000068060000}"/>
    <cellStyle name="20% - Énfasis2 2 2 2 3 2 6" xfId="1644" xr:uid="{00000000-0005-0000-0000-000069060000}"/>
    <cellStyle name="20% - Énfasis2 2 2 2 3 3" xfId="1645" xr:uid="{00000000-0005-0000-0000-00006A060000}"/>
    <cellStyle name="20% - Énfasis2 2 2 2 3 3 2" xfId="1646" xr:uid="{00000000-0005-0000-0000-00006B060000}"/>
    <cellStyle name="20% - Énfasis2 2 2 2 3 3 2 2" xfId="1647" xr:uid="{00000000-0005-0000-0000-00006C060000}"/>
    <cellStyle name="20% - Énfasis2 2 2 2 3 3 2 2 2" xfId="1648" xr:uid="{00000000-0005-0000-0000-00006D060000}"/>
    <cellStyle name="20% - Énfasis2 2 2 2 3 3 2 3" xfId="1649" xr:uid="{00000000-0005-0000-0000-00006E060000}"/>
    <cellStyle name="20% - Énfasis2 2 2 2 3 3 2 4" xfId="1650" xr:uid="{00000000-0005-0000-0000-00006F060000}"/>
    <cellStyle name="20% - Énfasis2 2 2 2 3 3 3" xfId="1651" xr:uid="{00000000-0005-0000-0000-000070060000}"/>
    <cellStyle name="20% - Énfasis2 2 2 2 3 3 3 2" xfId="1652" xr:uid="{00000000-0005-0000-0000-000071060000}"/>
    <cellStyle name="20% - Énfasis2 2 2 2 3 3 4" xfId="1653" xr:uid="{00000000-0005-0000-0000-000072060000}"/>
    <cellStyle name="20% - Énfasis2 2 2 2 3 3 5" xfId="1654" xr:uid="{00000000-0005-0000-0000-000073060000}"/>
    <cellStyle name="20% - Énfasis2 2 2 2 3 4" xfId="1655" xr:uid="{00000000-0005-0000-0000-000074060000}"/>
    <cellStyle name="20% - Énfasis2 2 2 2 3 4 2" xfId="1656" xr:uid="{00000000-0005-0000-0000-000075060000}"/>
    <cellStyle name="20% - Énfasis2 2 2 2 3 4 2 2" xfId="1657" xr:uid="{00000000-0005-0000-0000-000076060000}"/>
    <cellStyle name="20% - Énfasis2 2 2 2 3 4 3" xfId="1658" xr:uid="{00000000-0005-0000-0000-000077060000}"/>
    <cellStyle name="20% - Énfasis2 2 2 2 3 4 4" xfId="1659" xr:uid="{00000000-0005-0000-0000-000078060000}"/>
    <cellStyle name="20% - Énfasis2 2 2 2 3 5" xfId="1660" xr:uid="{00000000-0005-0000-0000-000079060000}"/>
    <cellStyle name="20% - Énfasis2 2 2 2 3 5 2" xfId="1661" xr:uid="{00000000-0005-0000-0000-00007A060000}"/>
    <cellStyle name="20% - Énfasis2 2 2 2 3 6" xfId="1662" xr:uid="{00000000-0005-0000-0000-00007B060000}"/>
    <cellStyle name="20% - Énfasis2 2 2 2 3 7" xfId="1663" xr:uid="{00000000-0005-0000-0000-00007C060000}"/>
    <cellStyle name="20% - Énfasis2 2 2 2 4" xfId="1664" xr:uid="{00000000-0005-0000-0000-00007D060000}"/>
    <cellStyle name="20% - Énfasis2 2 2 2 4 2" xfId="1665" xr:uid="{00000000-0005-0000-0000-00007E060000}"/>
    <cellStyle name="20% - Énfasis2 2 2 2 4 2 2" xfId="1666" xr:uid="{00000000-0005-0000-0000-00007F060000}"/>
    <cellStyle name="20% - Énfasis2 2 2 2 4 2 2 2" xfId="1667" xr:uid="{00000000-0005-0000-0000-000080060000}"/>
    <cellStyle name="20% - Énfasis2 2 2 2 4 2 2 2 2" xfId="1668" xr:uid="{00000000-0005-0000-0000-000081060000}"/>
    <cellStyle name="20% - Énfasis2 2 2 2 4 2 2 3" xfId="1669" xr:uid="{00000000-0005-0000-0000-000082060000}"/>
    <cellStyle name="20% - Énfasis2 2 2 2 4 2 2 4" xfId="1670" xr:uid="{00000000-0005-0000-0000-000083060000}"/>
    <cellStyle name="20% - Énfasis2 2 2 2 4 2 3" xfId="1671" xr:uid="{00000000-0005-0000-0000-000084060000}"/>
    <cellStyle name="20% - Énfasis2 2 2 2 4 2 3 2" xfId="1672" xr:uid="{00000000-0005-0000-0000-000085060000}"/>
    <cellStyle name="20% - Énfasis2 2 2 2 4 2 4" xfId="1673" xr:uid="{00000000-0005-0000-0000-000086060000}"/>
    <cellStyle name="20% - Énfasis2 2 2 2 4 2 5" xfId="1674" xr:uid="{00000000-0005-0000-0000-000087060000}"/>
    <cellStyle name="20% - Énfasis2 2 2 2 4 3" xfId="1675" xr:uid="{00000000-0005-0000-0000-000088060000}"/>
    <cellStyle name="20% - Énfasis2 2 2 2 4 3 2" xfId="1676" xr:uid="{00000000-0005-0000-0000-000089060000}"/>
    <cellStyle name="20% - Énfasis2 2 2 2 4 3 2 2" xfId="1677" xr:uid="{00000000-0005-0000-0000-00008A060000}"/>
    <cellStyle name="20% - Énfasis2 2 2 2 4 3 3" xfId="1678" xr:uid="{00000000-0005-0000-0000-00008B060000}"/>
    <cellStyle name="20% - Énfasis2 2 2 2 4 3 3 2" xfId="1679" xr:uid="{00000000-0005-0000-0000-00008C060000}"/>
    <cellStyle name="20% - Énfasis2 2 2 2 4 3 4" xfId="1680" xr:uid="{00000000-0005-0000-0000-00008D060000}"/>
    <cellStyle name="20% - Énfasis2 2 2 2 4 3 5" xfId="1681" xr:uid="{00000000-0005-0000-0000-00008E060000}"/>
    <cellStyle name="20% - Énfasis2 2 2 2 4 4" xfId="1682" xr:uid="{00000000-0005-0000-0000-00008F060000}"/>
    <cellStyle name="20% - Énfasis2 2 2 2 4 4 2" xfId="1683" xr:uid="{00000000-0005-0000-0000-000090060000}"/>
    <cellStyle name="20% - Énfasis2 2 2 2 4 5" xfId="1684" xr:uid="{00000000-0005-0000-0000-000091060000}"/>
    <cellStyle name="20% - Énfasis2 2 2 2 4 5 2" xfId="1685" xr:uid="{00000000-0005-0000-0000-000092060000}"/>
    <cellStyle name="20% - Énfasis2 2 2 2 4 6" xfId="1686" xr:uid="{00000000-0005-0000-0000-000093060000}"/>
    <cellStyle name="20% - Énfasis2 2 2 2 4 7" xfId="1687" xr:uid="{00000000-0005-0000-0000-000094060000}"/>
    <cellStyle name="20% - Énfasis2 2 2 2 5" xfId="1688" xr:uid="{00000000-0005-0000-0000-000095060000}"/>
    <cellStyle name="20% - Énfasis2 2 2 2 5 2" xfId="1689" xr:uid="{00000000-0005-0000-0000-000096060000}"/>
    <cellStyle name="20% - Énfasis2 2 2 2 5 2 2" xfId="1690" xr:uid="{00000000-0005-0000-0000-000097060000}"/>
    <cellStyle name="20% - Énfasis2 2 2 2 5 2 2 2" xfId="1691" xr:uid="{00000000-0005-0000-0000-000098060000}"/>
    <cellStyle name="20% - Énfasis2 2 2 2 5 2 3" xfId="1692" xr:uid="{00000000-0005-0000-0000-000099060000}"/>
    <cellStyle name="20% - Énfasis2 2 2 2 5 2 4" xfId="1693" xr:uid="{00000000-0005-0000-0000-00009A060000}"/>
    <cellStyle name="20% - Énfasis2 2 2 2 5 3" xfId="1694" xr:uid="{00000000-0005-0000-0000-00009B060000}"/>
    <cellStyle name="20% - Énfasis2 2 2 2 5 3 2" xfId="1695" xr:uid="{00000000-0005-0000-0000-00009C060000}"/>
    <cellStyle name="20% - Énfasis2 2 2 2 5 4" xfId="1696" xr:uid="{00000000-0005-0000-0000-00009D060000}"/>
    <cellStyle name="20% - Énfasis2 2 2 2 5 5" xfId="1697" xr:uid="{00000000-0005-0000-0000-00009E060000}"/>
    <cellStyle name="20% - Énfasis2 2 2 2 6" xfId="1698" xr:uid="{00000000-0005-0000-0000-00009F060000}"/>
    <cellStyle name="20% - Énfasis2 2 2 2 6 2" xfId="1699" xr:uid="{00000000-0005-0000-0000-0000A0060000}"/>
    <cellStyle name="20% - Énfasis2 2 2 2 6 2 2" xfId="1700" xr:uid="{00000000-0005-0000-0000-0000A1060000}"/>
    <cellStyle name="20% - Énfasis2 2 2 2 6 3" xfId="1701" xr:uid="{00000000-0005-0000-0000-0000A2060000}"/>
    <cellStyle name="20% - Énfasis2 2 2 2 6 3 2" xfId="1702" xr:uid="{00000000-0005-0000-0000-0000A3060000}"/>
    <cellStyle name="20% - Énfasis2 2 2 2 6 4" xfId="1703" xr:uid="{00000000-0005-0000-0000-0000A4060000}"/>
    <cellStyle name="20% - Énfasis2 2 2 2 6 5" xfId="1704" xr:uid="{00000000-0005-0000-0000-0000A5060000}"/>
    <cellStyle name="20% - Énfasis2 2 2 2 7" xfId="1705" xr:uid="{00000000-0005-0000-0000-0000A6060000}"/>
    <cellStyle name="20% - Énfasis2 2 2 2 7 2" xfId="1706" xr:uid="{00000000-0005-0000-0000-0000A7060000}"/>
    <cellStyle name="20% - Énfasis2 2 2 2 8" xfId="1707" xr:uid="{00000000-0005-0000-0000-0000A8060000}"/>
    <cellStyle name="20% - Énfasis2 2 2 2 8 2" xfId="1708" xr:uid="{00000000-0005-0000-0000-0000A9060000}"/>
    <cellStyle name="20% - Énfasis2 2 2 2 9" xfId="1709" xr:uid="{00000000-0005-0000-0000-0000AA060000}"/>
    <cellStyle name="20% - Énfasis2 2 2 3" xfId="1710" xr:uid="{00000000-0005-0000-0000-0000AB060000}"/>
    <cellStyle name="20% - Énfasis2 2 2 3 2" xfId="1711" xr:uid="{00000000-0005-0000-0000-0000AC060000}"/>
    <cellStyle name="20% - Énfasis2 2 2 3 2 2" xfId="1712" xr:uid="{00000000-0005-0000-0000-0000AD060000}"/>
    <cellStyle name="20% - Énfasis2 2 2 3 2 2 2" xfId="1713" xr:uid="{00000000-0005-0000-0000-0000AE060000}"/>
    <cellStyle name="20% - Énfasis2 2 2 3 2 2 2 2" xfId="1714" xr:uid="{00000000-0005-0000-0000-0000AF060000}"/>
    <cellStyle name="20% - Énfasis2 2 2 3 2 2 2 2 2" xfId="1715" xr:uid="{00000000-0005-0000-0000-0000B0060000}"/>
    <cellStyle name="20% - Énfasis2 2 2 3 2 2 2 2 2 2" xfId="1716" xr:uid="{00000000-0005-0000-0000-0000B1060000}"/>
    <cellStyle name="20% - Énfasis2 2 2 3 2 2 2 2 3" xfId="1717" xr:uid="{00000000-0005-0000-0000-0000B2060000}"/>
    <cellStyle name="20% - Énfasis2 2 2 3 2 2 2 2 4" xfId="1718" xr:uid="{00000000-0005-0000-0000-0000B3060000}"/>
    <cellStyle name="20% - Énfasis2 2 2 3 2 2 2 3" xfId="1719" xr:uid="{00000000-0005-0000-0000-0000B4060000}"/>
    <cellStyle name="20% - Énfasis2 2 2 3 2 2 2 3 2" xfId="1720" xr:uid="{00000000-0005-0000-0000-0000B5060000}"/>
    <cellStyle name="20% - Énfasis2 2 2 3 2 2 2 4" xfId="1721" xr:uid="{00000000-0005-0000-0000-0000B6060000}"/>
    <cellStyle name="20% - Énfasis2 2 2 3 2 2 2 5" xfId="1722" xr:uid="{00000000-0005-0000-0000-0000B7060000}"/>
    <cellStyle name="20% - Énfasis2 2 2 3 2 2 3" xfId="1723" xr:uid="{00000000-0005-0000-0000-0000B8060000}"/>
    <cellStyle name="20% - Énfasis2 2 2 3 2 2 3 2" xfId="1724" xr:uid="{00000000-0005-0000-0000-0000B9060000}"/>
    <cellStyle name="20% - Énfasis2 2 2 3 2 2 3 2 2" xfId="1725" xr:uid="{00000000-0005-0000-0000-0000BA060000}"/>
    <cellStyle name="20% - Énfasis2 2 2 3 2 2 3 3" xfId="1726" xr:uid="{00000000-0005-0000-0000-0000BB060000}"/>
    <cellStyle name="20% - Énfasis2 2 2 3 2 2 3 4" xfId="1727" xr:uid="{00000000-0005-0000-0000-0000BC060000}"/>
    <cellStyle name="20% - Énfasis2 2 2 3 2 2 4" xfId="1728" xr:uid="{00000000-0005-0000-0000-0000BD060000}"/>
    <cellStyle name="20% - Énfasis2 2 2 3 2 2 4 2" xfId="1729" xr:uid="{00000000-0005-0000-0000-0000BE060000}"/>
    <cellStyle name="20% - Énfasis2 2 2 3 2 2 5" xfId="1730" xr:uid="{00000000-0005-0000-0000-0000BF060000}"/>
    <cellStyle name="20% - Énfasis2 2 2 3 2 2 6" xfId="1731" xr:uid="{00000000-0005-0000-0000-0000C0060000}"/>
    <cellStyle name="20% - Énfasis2 2 2 3 2 3" xfId="1732" xr:uid="{00000000-0005-0000-0000-0000C1060000}"/>
    <cellStyle name="20% - Énfasis2 2 2 3 2 3 2" xfId="1733" xr:uid="{00000000-0005-0000-0000-0000C2060000}"/>
    <cellStyle name="20% - Énfasis2 2 2 3 2 3 2 2" xfId="1734" xr:uid="{00000000-0005-0000-0000-0000C3060000}"/>
    <cellStyle name="20% - Énfasis2 2 2 3 2 3 2 2 2" xfId="1735" xr:uid="{00000000-0005-0000-0000-0000C4060000}"/>
    <cellStyle name="20% - Énfasis2 2 2 3 2 3 2 3" xfId="1736" xr:uid="{00000000-0005-0000-0000-0000C5060000}"/>
    <cellStyle name="20% - Énfasis2 2 2 3 2 3 2 4" xfId="1737" xr:uid="{00000000-0005-0000-0000-0000C6060000}"/>
    <cellStyle name="20% - Énfasis2 2 2 3 2 3 3" xfId="1738" xr:uid="{00000000-0005-0000-0000-0000C7060000}"/>
    <cellStyle name="20% - Énfasis2 2 2 3 2 3 3 2" xfId="1739" xr:uid="{00000000-0005-0000-0000-0000C8060000}"/>
    <cellStyle name="20% - Énfasis2 2 2 3 2 3 4" xfId="1740" xr:uid="{00000000-0005-0000-0000-0000C9060000}"/>
    <cellStyle name="20% - Énfasis2 2 2 3 2 3 5" xfId="1741" xr:uid="{00000000-0005-0000-0000-0000CA060000}"/>
    <cellStyle name="20% - Énfasis2 2 2 3 2 4" xfId="1742" xr:uid="{00000000-0005-0000-0000-0000CB060000}"/>
    <cellStyle name="20% - Énfasis2 2 2 3 2 4 2" xfId="1743" xr:uid="{00000000-0005-0000-0000-0000CC060000}"/>
    <cellStyle name="20% - Énfasis2 2 2 3 2 4 2 2" xfId="1744" xr:uid="{00000000-0005-0000-0000-0000CD060000}"/>
    <cellStyle name="20% - Énfasis2 2 2 3 2 4 3" xfId="1745" xr:uid="{00000000-0005-0000-0000-0000CE060000}"/>
    <cellStyle name="20% - Énfasis2 2 2 3 2 4 4" xfId="1746" xr:uid="{00000000-0005-0000-0000-0000CF060000}"/>
    <cellStyle name="20% - Énfasis2 2 2 3 2 5" xfId="1747" xr:uid="{00000000-0005-0000-0000-0000D0060000}"/>
    <cellStyle name="20% - Énfasis2 2 2 3 2 5 2" xfId="1748" xr:uid="{00000000-0005-0000-0000-0000D1060000}"/>
    <cellStyle name="20% - Énfasis2 2 2 3 2 6" xfId="1749" xr:uid="{00000000-0005-0000-0000-0000D2060000}"/>
    <cellStyle name="20% - Énfasis2 2 2 3 2 7" xfId="1750" xr:uid="{00000000-0005-0000-0000-0000D3060000}"/>
    <cellStyle name="20% - Énfasis2 2 2 3 3" xfId="1751" xr:uid="{00000000-0005-0000-0000-0000D4060000}"/>
    <cellStyle name="20% - Énfasis2 2 2 3 3 2" xfId="1752" xr:uid="{00000000-0005-0000-0000-0000D5060000}"/>
    <cellStyle name="20% - Énfasis2 2 2 3 3 2 2" xfId="1753" xr:uid="{00000000-0005-0000-0000-0000D6060000}"/>
    <cellStyle name="20% - Énfasis2 2 2 3 3 2 2 2" xfId="1754" xr:uid="{00000000-0005-0000-0000-0000D7060000}"/>
    <cellStyle name="20% - Énfasis2 2 2 3 3 2 2 2 2" xfId="1755" xr:uid="{00000000-0005-0000-0000-0000D8060000}"/>
    <cellStyle name="20% - Énfasis2 2 2 3 3 2 2 3" xfId="1756" xr:uid="{00000000-0005-0000-0000-0000D9060000}"/>
    <cellStyle name="20% - Énfasis2 2 2 3 3 2 2 4" xfId="1757" xr:uid="{00000000-0005-0000-0000-0000DA060000}"/>
    <cellStyle name="20% - Énfasis2 2 2 3 3 2 3" xfId="1758" xr:uid="{00000000-0005-0000-0000-0000DB060000}"/>
    <cellStyle name="20% - Énfasis2 2 2 3 3 2 3 2" xfId="1759" xr:uid="{00000000-0005-0000-0000-0000DC060000}"/>
    <cellStyle name="20% - Énfasis2 2 2 3 3 2 4" xfId="1760" xr:uid="{00000000-0005-0000-0000-0000DD060000}"/>
    <cellStyle name="20% - Énfasis2 2 2 3 3 2 5" xfId="1761" xr:uid="{00000000-0005-0000-0000-0000DE060000}"/>
    <cellStyle name="20% - Énfasis2 2 2 3 3 3" xfId="1762" xr:uid="{00000000-0005-0000-0000-0000DF060000}"/>
    <cellStyle name="20% - Énfasis2 2 2 3 3 3 2" xfId="1763" xr:uid="{00000000-0005-0000-0000-0000E0060000}"/>
    <cellStyle name="20% - Énfasis2 2 2 3 3 3 2 2" xfId="1764" xr:uid="{00000000-0005-0000-0000-0000E1060000}"/>
    <cellStyle name="20% - Énfasis2 2 2 3 3 3 3" xfId="1765" xr:uid="{00000000-0005-0000-0000-0000E2060000}"/>
    <cellStyle name="20% - Énfasis2 2 2 3 3 3 3 2" xfId="1766" xr:uid="{00000000-0005-0000-0000-0000E3060000}"/>
    <cellStyle name="20% - Énfasis2 2 2 3 3 3 4" xfId="1767" xr:uid="{00000000-0005-0000-0000-0000E4060000}"/>
    <cellStyle name="20% - Énfasis2 2 2 3 3 3 5" xfId="1768" xr:uid="{00000000-0005-0000-0000-0000E5060000}"/>
    <cellStyle name="20% - Énfasis2 2 2 3 3 4" xfId="1769" xr:uid="{00000000-0005-0000-0000-0000E6060000}"/>
    <cellStyle name="20% - Énfasis2 2 2 3 3 4 2" xfId="1770" xr:uid="{00000000-0005-0000-0000-0000E7060000}"/>
    <cellStyle name="20% - Énfasis2 2 2 3 3 5" xfId="1771" xr:uid="{00000000-0005-0000-0000-0000E8060000}"/>
    <cellStyle name="20% - Énfasis2 2 2 3 3 5 2" xfId="1772" xr:uid="{00000000-0005-0000-0000-0000E9060000}"/>
    <cellStyle name="20% - Énfasis2 2 2 3 3 6" xfId="1773" xr:uid="{00000000-0005-0000-0000-0000EA060000}"/>
    <cellStyle name="20% - Énfasis2 2 2 3 3 7" xfId="1774" xr:uid="{00000000-0005-0000-0000-0000EB060000}"/>
    <cellStyle name="20% - Énfasis2 2 2 3 4" xfId="1775" xr:uid="{00000000-0005-0000-0000-0000EC060000}"/>
    <cellStyle name="20% - Énfasis2 2 2 3 4 2" xfId="1776" xr:uid="{00000000-0005-0000-0000-0000ED060000}"/>
    <cellStyle name="20% - Énfasis2 2 2 3 4 2 2" xfId="1777" xr:uid="{00000000-0005-0000-0000-0000EE060000}"/>
    <cellStyle name="20% - Énfasis2 2 2 3 4 2 2 2" xfId="1778" xr:uid="{00000000-0005-0000-0000-0000EF060000}"/>
    <cellStyle name="20% - Énfasis2 2 2 3 4 2 3" xfId="1779" xr:uid="{00000000-0005-0000-0000-0000F0060000}"/>
    <cellStyle name="20% - Énfasis2 2 2 3 4 2 4" xfId="1780" xr:uid="{00000000-0005-0000-0000-0000F1060000}"/>
    <cellStyle name="20% - Énfasis2 2 2 3 4 3" xfId="1781" xr:uid="{00000000-0005-0000-0000-0000F2060000}"/>
    <cellStyle name="20% - Énfasis2 2 2 3 4 3 2" xfId="1782" xr:uid="{00000000-0005-0000-0000-0000F3060000}"/>
    <cellStyle name="20% - Énfasis2 2 2 3 4 4" xfId="1783" xr:uid="{00000000-0005-0000-0000-0000F4060000}"/>
    <cellStyle name="20% - Énfasis2 2 2 3 4 5" xfId="1784" xr:uid="{00000000-0005-0000-0000-0000F5060000}"/>
    <cellStyle name="20% - Énfasis2 2 2 3 5" xfId="1785" xr:uid="{00000000-0005-0000-0000-0000F6060000}"/>
    <cellStyle name="20% - Énfasis2 2 2 3 5 2" xfId="1786" xr:uid="{00000000-0005-0000-0000-0000F7060000}"/>
    <cellStyle name="20% - Énfasis2 2 2 3 5 2 2" xfId="1787" xr:uid="{00000000-0005-0000-0000-0000F8060000}"/>
    <cellStyle name="20% - Énfasis2 2 2 3 5 3" xfId="1788" xr:uid="{00000000-0005-0000-0000-0000F9060000}"/>
    <cellStyle name="20% - Énfasis2 2 2 3 5 3 2" xfId="1789" xr:uid="{00000000-0005-0000-0000-0000FA060000}"/>
    <cellStyle name="20% - Énfasis2 2 2 3 5 4" xfId="1790" xr:uid="{00000000-0005-0000-0000-0000FB060000}"/>
    <cellStyle name="20% - Énfasis2 2 2 3 5 5" xfId="1791" xr:uid="{00000000-0005-0000-0000-0000FC060000}"/>
    <cellStyle name="20% - Énfasis2 2 2 3 6" xfId="1792" xr:uid="{00000000-0005-0000-0000-0000FD060000}"/>
    <cellStyle name="20% - Énfasis2 2 2 3 6 2" xfId="1793" xr:uid="{00000000-0005-0000-0000-0000FE060000}"/>
    <cellStyle name="20% - Énfasis2 2 2 3 7" xfId="1794" xr:uid="{00000000-0005-0000-0000-0000FF060000}"/>
    <cellStyle name="20% - Énfasis2 2 2 3 7 2" xfId="1795" xr:uid="{00000000-0005-0000-0000-000000070000}"/>
    <cellStyle name="20% - Énfasis2 2 2 3 8" xfId="1796" xr:uid="{00000000-0005-0000-0000-000001070000}"/>
    <cellStyle name="20% - Énfasis2 2 2 3 9" xfId="1797" xr:uid="{00000000-0005-0000-0000-000002070000}"/>
    <cellStyle name="20% - Énfasis2 2 2 4" xfId="1798" xr:uid="{00000000-0005-0000-0000-000003070000}"/>
    <cellStyle name="20% - Énfasis2 2 2 4 2" xfId="1799" xr:uid="{00000000-0005-0000-0000-000004070000}"/>
    <cellStyle name="20% - Énfasis2 2 2 4 2 2" xfId="1800" xr:uid="{00000000-0005-0000-0000-000005070000}"/>
    <cellStyle name="20% - Énfasis2 2 2 4 2 2 2" xfId="1801" xr:uid="{00000000-0005-0000-0000-000006070000}"/>
    <cellStyle name="20% - Énfasis2 2 2 4 2 2 2 2" xfId="1802" xr:uid="{00000000-0005-0000-0000-000007070000}"/>
    <cellStyle name="20% - Énfasis2 2 2 4 2 2 2 2 2" xfId="1803" xr:uid="{00000000-0005-0000-0000-000008070000}"/>
    <cellStyle name="20% - Énfasis2 2 2 4 2 2 2 3" xfId="1804" xr:uid="{00000000-0005-0000-0000-000009070000}"/>
    <cellStyle name="20% - Énfasis2 2 2 4 2 2 2 4" xfId="1805" xr:uid="{00000000-0005-0000-0000-00000A070000}"/>
    <cellStyle name="20% - Énfasis2 2 2 4 2 2 3" xfId="1806" xr:uid="{00000000-0005-0000-0000-00000B070000}"/>
    <cellStyle name="20% - Énfasis2 2 2 4 2 2 3 2" xfId="1807" xr:uid="{00000000-0005-0000-0000-00000C070000}"/>
    <cellStyle name="20% - Énfasis2 2 2 4 2 2 4" xfId="1808" xr:uid="{00000000-0005-0000-0000-00000D070000}"/>
    <cellStyle name="20% - Énfasis2 2 2 4 2 2 5" xfId="1809" xr:uid="{00000000-0005-0000-0000-00000E070000}"/>
    <cellStyle name="20% - Énfasis2 2 2 4 2 3" xfId="1810" xr:uid="{00000000-0005-0000-0000-00000F070000}"/>
    <cellStyle name="20% - Énfasis2 2 2 4 2 3 2" xfId="1811" xr:uid="{00000000-0005-0000-0000-000010070000}"/>
    <cellStyle name="20% - Énfasis2 2 2 4 2 3 2 2" xfId="1812" xr:uid="{00000000-0005-0000-0000-000011070000}"/>
    <cellStyle name="20% - Énfasis2 2 2 4 2 3 3" xfId="1813" xr:uid="{00000000-0005-0000-0000-000012070000}"/>
    <cellStyle name="20% - Énfasis2 2 2 4 2 3 3 2" xfId="1814" xr:uid="{00000000-0005-0000-0000-000013070000}"/>
    <cellStyle name="20% - Énfasis2 2 2 4 2 3 4" xfId="1815" xr:uid="{00000000-0005-0000-0000-000014070000}"/>
    <cellStyle name="20% - Énfasis2 2 2 4 2 3 5" xfId="1816" xr:uid="{00000000-0005-0000-0000-000015070000}"/>
    <cellStyle name="20% - Énfasis2 2 2 4 2 4" xfId="1817" xr:uid="{00000000-0005-0000-0000-000016070000}"/>
    <cellStyle name="20% - Énfasis2 2 2 4 2 4 2" xfId="1818" xr:uid="{00000000-0005-0000-0000-000017070000}"/>
    <cellStyle name="20% - Énfasis2 2 2 4 2 5" xfId="1819" xr:uid="{00000000-0005-0000-0000-000018070000}"/>
    <cellStyle name="20% - Énfasis2 2 2 4 2 5 2" xfId="1820" xr:uid="{00000000-0005-0000-0000-000019070000}"/>
    <cellStyle name="20% - Énfasis2 2 2 4 2 6" xfId="1821" xr:uid="{00000000-0005-0000-0000-00001A070000}"/>
    <cellStyle name="20% - Énfasis2 2 2 4 2 7" xfId="1822" xr:uid="{00000000-0005-0000-0000-00001B070000}"/>
    <cellStyle name="20% - Énfasis2 2 2 4 3" xfId="1823" xr:uid="{00000000-0005-0000-0000-00001C070000}"/>
    <cellStyle name="20% - Énfasis2 2 2 4 3 2" xfId="1824" xr:uid="{00000000-0005-0000-0000-00001D070000}"/>
    <cellStyle name="20% - Énfasis2 2 2 4 3 2 2" xfId="1825" xr:uid="{00000000-0005-0000-0000-00001E070000}"/>
    <cellStyle name="20% - Énfasis2 2 2 4 3 2 2 2" xfId="1826" xr:uid="{00000000-0005-0000-0000-00001F070000}"/>
    <cellStyle name="20% - Énfasis2 2 2 4 3 2 3" xfId="1827" xr:uid="{00000000-0005-0000-0000-000020070000}"/>
    <cellStyle name="20% - Énfasis2 2 2 4 3 2 4" xfId="1828" xr:uid="{00000000-0005-0000-0000-000021070000}"/>
    <cellStyle name="20% - Énfasis2 2 2 4 3 3" xfId="1829" xr:uid="{00000000-0005-0000-0000-000022070000}"/>
    <cellStyle name="20% - Énfasis2 2 2 4 3 3 2" xfId="1830" xr:uid="{00000000-0005-0000-0000-000023070000}"/>
    <cellStyle name="20% - Énfasis2 2 2 4 3 4" xfId="1831" xr:uid="{00000000-0005-0000-0000-000024070000}"/>
    <cellStyle name="20% - Énfasis2 2 2 4 3 5" xfId="1832" xr:uid="{00000000-0005-0000-0000-000025070000}"/>
    <cellStyle name="20% - Énfasis2 2 2 4 4" xfId="1833" xr:uid="{00000000-0005-0000-0000-000026070000}"/>
    <cellStyle name="20% - Énfasis2 2 2 4 4 2" xfId="1834" xr:uid="{00000000-0005-0000-0000-000027070000}"/>
    <cellStyle name="20% - Énfasis2 2 2 4 4 2 2" xfId="1835" xr:uid="{00000000-0005-0000-0000-000028070000}"/>
    <cellStyle name="20% - Énfasis2 2 2 4 4 3" xfId="1836" xr:uid="{00000000-0005-0000-0000-000029070000}"/>
    <cellStyle name="20% - Énfasis2 2 2 4 4 3 2" xfId="1837" xr:uid="{00000000-0005-0000-0000-00002A070000}"/>
    <cellStyle name="20% - Énfasis2 2 2 4 4 4" xfId="1838" xr:uid="{00000000-0005-0000-0000-00002B070000}"/>
    <cellStyle name="20% - Énfasis2 2 2 4 4 5" xfId="1839" xr:uid="{00000000-0005-0000-0000-00002C070000}"/>
    <cellStyle name="20% - Énfasis2 2 2 4 5" xfId="1840" xr:uid="{00000000-0005-0000-0000-00002D070000}"/>
    <cellStyle name="20% - Énfasis2 2 2 4 5 2" xfId="1841" xr:uid="{00000000-0005-0000-0000-00002E070000}"/>
    <cellStyle name="20% - Énfasis2 2 2 4 6" xfId="1842" xr:uid="{00000000-0005-0000-0000-00002F070000}"/>
    <cellStyle name="20% - Énfasis2 2 2 4 6 2" xfId="1843" xr:uid="{00000000-0005-0000-0000-000030070000}"/>
    <cellStyle name="20% - Énfasis2 2 2 4 7" xfId="1844" xr:uid="{00000000-0005-0000-0000-000031070000}"/>
    <cellStyle name="20% - Énfasis2 2 2 4 8" xfId="1845" xr:uid="{00000000-0005-0000-0000-000032070000}"/>
    <cellStyle name="20% - Énfasis2 2 2 5" xfId="1846" xr:uid="{00000000-0005-0000-0000-000033070000}"/>
    <cellStyle name="20% - Énfasis2 2 2 5 2" xfId="1847" xr:uid="{00000000-0005-0000-0000-000034070000}"/>
    <cellStyle name="20% - Énfasis2 2 2 5 2 2" xfId="1848" xr:uid="{00000000-0005-0000-0000-000035070000}"/>
    <cellStyle name="20% - Énfasis2 2 2 5 2 2 2" xfId="1849" xr:uid="{00000000-0005-0000-0000-000036070000}"/>
    <cellStyle name="20% - Énfasis2 2 2 5 2 2 2 2" xfId="1850" xr:uid="{00000000-0005-0000-0000-000037070000}"/>
    <cellStyle name="20% - Énfasis2 2 2 5 2 2 3" xfId="1851" xr:uid="{00000000-0005-0000-0000-000038070000}"/>
    <cellStyle name="20% - Énfasis2 2 2 5 2 2 4" xfId="1852" xr:uid="{00000000-0005-0000-0000-000039070000}"/>
    <cellStyle name="20% - Énfasis2 2 2 5 2 3" xfId="1853" xr:uid="{00000000-0005-0000-0000-00003A070000}"/>
    <cellStyle name="20% - Énfasis2 2 2 5 2 3 2" xfId="1854" xr:uid="{00000000-0005-0000-0000-00003B070000}"/>
    <cellStyle name="20% - Énfasis2 2 2 5 2 4" xfId="1855" xr:uid="{00000000-0005-0000-0000-00003C070000}"/>
    <cellStyle name="20% - Énfasis2 2 2 5 2 5" xfId="1856" xr:uid="{00000000-0005-0000-0000-00003D070000}"/>
    <cellStyle name="20% - Énfasis2 2 2 5 3" xfId="1857" xr:uid="{00000000-0005-0000-0000-00003E070000}"/>
    <cellStyle name="20% - Énfasis2 2 2 5 3 2" xfId="1858" xr:uid="{00000000-0005-0000-0000-00003F070000}"/>
    <cellStyle name="20% - Énfasis2 2 2 5 3 3" xfId="1859" xr:uid="{00000000-0005-0000-0000-000040070000}"/>
    <cellStyle name="20% - Énfasis2 2 2 5 4" xfId="1860" xr:uid="{00000000-0005-0000-0000-000041070000}"/>
    <cellStyle name="20% - Énfasis2 2 2 5 4 2" xfId="1861" xr:uid="{00000000-0005-0000-0000-000042070000}"/>
    <cellStyle name="20% - Énfasis2 2 2 5 5" xfId="1862" xr:uid="{00000000-0005-0000-0000-000043070000}"/>
    <cellStyle name="20% - Énfasis2 2 2 6" xfId="1863" xr:uid="{00000000-0005-0000-0000-000044070000}"/>
    <cellStyle name="20% - Énfasis2 2 2 6 2" xfId="1864" xr:uid="{00000000-0005-0000-0000-000045070000}"/>
    <cellStyle name="20% - Énfasis2 2 2 6 2 2" xfId="1865" xr:uid="{00000000-0005-0000-0000-000046070000}"/>
    <cellStyle name="20% - Énfasis2 2 2 6 2 2 2" xfId="1866" xr:uid="{00000000-0005-0000-0000-000047070000}"/>
    <cellStyle name="20% - Énfasis2 2 2 6 2 3" xfId="1867" xr:uid="{00000000-0005-0000-0000-000048070000}"/>
    <cellStyle name="20% - Énfasis2 2 2 6 2 3 2" xfId="1868" xr:uid="{00000000-0005-0000-0000-000049070000}"/>
    <cellStyle name="20% - Énfasis2 2 2 6 2 4" xfId="1869" xr:uid="{00000000-0005-0000-0000-00004A070000}"/>
    <cellStyle name="20% - Énfasis2 2 2 6 2 5" xfId="1870" xr:uid="{00000000-0005-0000-0000-00004B070000}"/>
    <cellStyle name="20% - Énfasis2 2 2 6 3" xfId="1871" xr:uid="{00000000-0005-0000-0000-00004C070000}"/>
    <cellStyle name="20% - Énfasis2 2 2 6 3 2" xfId="1872" xr:uid="{00000000-0005-0000-0000-00004D070000}"/>
    <cellStyle name="20% - Énfasis2 2 2 6 4" xfId="1873" xr:uid="{00000000-0005-0000-0000-00004E070000}"/>
    <cellStyle name="20% - Énfasis2 2 2 6 4 2" xfId="1874" xr:uid="{00000000-0005-0000-0000-00004F070000}"/>
    <cellStyle name="20% - Énfasis2 2 2 6 5" xfId="1875" xr:uid="{00000000-0005-0000-0000-000050070000}"/>
    <cellStyle name="20% - Énfasis2 2 2 6 6" xfId="1876" xr:uid="{00000000-0005-0000-0000-000051070000}"/>
    <cellStyle name="20% - Énfasis2 2 2 7" xfId="1877" xr:uid="{00000000-0005-0000-0000-000052070000}"/>
    <cellStyle name="20% - Énfasis2 2 2 7 2" xfId="1878" xr:uid="{00000000-0005-0000-0000-000053070000}"/>
    <cellStyle name="20% - Énfasis2 2 2 7 2 2" xfId="1879" xr:uid="{00000000-0005-0000-0000-000054070000}"/>
    <cellStyle name="20% - Énfasis2 2 2 7 3" xfId="1880" xr:uid="{00000000-0005-0000-0000-000055070000}"/>
    <cellStyle name="20% - Énfasis2 2 2 7 3 2" xfId="1881" xr:uid="{00000000-0005-0000-0000-000056070000}"/>
    <cellStyle name="20% - Énfasis2 2 2 7 4" xfId="1882" xr:uid="{00000000-0005-0000-0000-000057070000}"/>
    <cellStyle name="20% - Énfasis2 2 2 7 5" xfId="1883" xr:uid="{00000000-0005-0000-0000-000058070000}"/>
    <cellStyle name="20% - Énfasis2 2 2 8" xfId="1884" xr:uid="{00000000-0005-0000-0000-000059070000}"/>
    <cellStyle name="20% - Énfasis2 2 2 8 2" xfId="1885" xr:uid="{00000000-0005-0000-0000-00005A070000}"/>
    <cellStyle name="20% - Énfasis2 2 2 8 2 2" xfId="1886" xr:uid="{00000000-0005-0000-0000-00005B070000}"/>
    <cellStyle name="20% - Énfasis2 2 2 8 3" xfId="1887" xr:uid="{00000000-0005-0000-0000-00005C070000}"/>
    <cellStyle name="20% - Énfasis2 2 2 9" xfId="1888" xr:uid="{00000000-0005-0000-0000-00005D070000}"/>
    <cellStyle name="20% - Énfasis2 2 2 9 2" xfId="1889" xr:uid="{00000000-0005-0000-0000-00005E070000}"/>
    <cellStyle name="20% - Énfasis2 2 3" xfId="1890" xr:uid="{00000000-0005-0000-0000-00005F070000}"/>
    <cellStyle name="20% - Énfasis2 2 3 10" xfId="1891" xr:uid="{00000000-0005-0000-0000-000060070000}"/>
    <cellStyle name="20% - Énfasis2 2 3 2" xfId="1892" xr:uid="{00000000-0005-0000-0000-000061070000}"/>
    <cellStyle name="20% - Énfasis2 2 3 2 2" xfId="1893" xr:uid="{00000000-0005-0000-0000-000062070000}"/>
    <cellStyle name="20% - Énfasis2 2 3 2 2 2" xfId="1894" xr:uid="{00000000-0005-0000-0000-000063070000}"/>
    <cellStyle name="20% - Énfasis2 2 3 2 2 2 2" xfId="1895" xr:uid="{00000000-0005-0000-0000-000064070000}"/>
    <cellStyle name="20% - Énfasis2 2 3 2 2 2 2 2" xfId="1896" xr:uid="{00000000-0005-0000-0000-000065070000}"/>
    <cellStyle name="20% - Énfasis2 2 3 2 2 2 2 2 2" xfId="1897" xr:uid="{00000000-0005-0000-0000-000066070000}"/>
    <cellStyle name="20% - Énfasis2 2 3 2 2 2 2 2 2 2" xfId="1898" xr:uid="{00000000-0005-0000-0000-000067070000}"/>
    <cellStyle name="20% - Énfasis2 2 3 2 2 2 2 2 3" xfId="1899" xr:uid="{00000000-0005-0000-0000-000068070000}"/>
    <cellStyle name="20% - Énfasis2 2 3 2 2 2 2 2 4" xfId="1900" xr:uid="{00000000-0005-0000-0000-000069070000}"/>
    <cellStyle name="20% - Énfasis2 2 3 2 2 2 2 3" xfId="1901" xr:uid="{00000000-0005-0000-0000-00006A070000}"/>
    <cellStyle name="20% - Énfasis2 2 3 2 2 2 2 3 2" xfId="1902" xr:uid="{00000000-0005-0000-0000-00006B070000}"/>
    <cellStyle name="20% - Énfasis2 2 3 2 2 2 2 4" xfId="1903" xr:uid="{00000000-0005-0000-0000-00006C070000}"/>
    <cellStyle name="20% - Énfasis2 2 3 2 2 2 2 5" xfId="1904" xr:uid="{00000000-0005-0000-0000-00006D070000}"/>
    <cellStyle name="20% - Énfasis2 2 3 2 2 2 3" xfId="1905" xr:uid="{00000000-0005-0000-0000-00006E070000}"/>
    <cellStyle name="20% - Énfasis2 2 3 2 2 2 3 2" xfId="1906" xr:uid="{00000000-0005-0000-0000-00006F070000}"/>
    <cellStyle name="20% - Énfasis2 2 3 2 2 2 3 2 2" xfId="1907" xr:uid="{00000000-0005-0000-0000-000070070000}"/>
    <cellStyle name="20% - Énfasis2 2 3 2 2 2 3 3" xfId="1908" xr:uid="{00000000-0005-0000-0000-000071070000}"/>
    <cellStyle name="20% - Énfasis2 2 3 2 2 2 3 4" xfId="1909" xr:uid="{00000000-0005-0000-0000-000072070000}"/>
    <cellStyle name="20% - Énfasis2 2 3 2 2 2 4" xfId="1910" xr:uid="{00000000-0005-0000-0000-000073070000}"/>
    <cellStyle name="20% - Énfasis2 2 3 2 2 2 4 2" xfId="1911" xr:uid="{00000000-0005-0000-0000-000074070000}"/>
    <cellStyle name="20% - Énfasis2 2 3 2 2 2 5" xfId="1912" xr:uid="{00000000-0005-0000-0000-000075070000}"/>
    <cellStyle name="20% - Énfasis2 2 3 2 2 2 6" xfId="1913" xr:uid="{00000000-0005-0000-0000-000076070000}"/>
    <cellStyle name="20% - Énfasis2 2 3 2 2 3" xfId="1914" xr:uid="{00000000-0005-0000-0000-000077070000}"/>
    <cellStyle name="20% - Énfasis2 2 3 2 2 3 2" xfId="1915" xr:uid="{00000000-0005-0000-0000-000078070000}"/>
    <cellStyle name="20% - Énfasis2 2 3 2 2 3 2 2" xfId="1916" xr:uid="{00000000-0005-0000-0000-000079070000}"/>
    <cellStyle name="20% - Énfasis2 2 3 2 2 3 2 2 2" xfId="1917" xr:uid="{00000000-0005-0000-0000-00007A070000}"/>
    <cellStyle name="20% - Énfasis2 2 3 2 2 3 2 3" xfId="1918" xr:uid="{00000000-0005-0000-0000-00007B070000}"/>
    <cellStyle name="20% - Énfasis2 2 3 2 2 3 2 4" xfId="1919" xr:uid="{00000000-0005-0000-0000-00007C070000}"/>
    <cellStyle name="20% - Énfasis2 2 3 2 2 3 3" xfId="1920" xr:uid="{00000000-0005-0000-0000-00007D070000}"/>
    <cellStyle name="20% - Énfasis2 2 3 2 2 3 3 2" xfId="1921" xr:uid="{00000000-0005-0000-0000-00007E070000}"/>
    <cellStyle name="20% - Énfasis2 2 3 2 2 3 4" xfId="1922" xr:uid="{00000000-0005-0000-0000-00007F070000}"/>
    <cellStyle name="20% - Énfasis2 2 3 2 2 3 5" xfId="1923" xr:uid="{00000000-0005-0000-0000-000080070000}"/>
    <cellStyle name="20% - Énfasis2 2 3 2 2 4" xfId="1924" xr:uid="{00000000-0005-0000-0000-000081070000}"/>
    <cellStyle name="20% - Énfasis2 2 3 2 2 4 2" xfId="1925" xr:uid="{00000000-0005-0000-0000-000082070000}"/>
    <cellStyle name="20% - Énfasis2 2 3 2 2 4 2 2" xfId="1926" xr:uid="{00000000-0005-0000-0000-000083070000}"/>
    <cellStyle name="20% - Énfasis2 2 3 2 2 4 3" xfId="1927" xr:uid="{00000000-0005-0000-0000-000084070000}"/>
    <cellStyle name="20% - Énfasis2 2 3 2 2 4 4" xfId="1928" xr:uid="{00000000-0005-0000-0000-000085070000}"/>
    <cellStyle name="20% - Énfasis2 2 3 2 2 5" xfId="1929" xr:uid="{00000000-0005-0000-0000-000086070000}"/>
    <cellStyle name="20% - Énfasis2 2 3 2 2 5 2" xfId="1930" xr:uid="{00000000-0005-0000-0000-000087070000}"/>
    <cellStyle name="20% - Énfasis2 2 3 2 2 6" xfId="1931" xr:uid="{00000000-0005-0000-0000-000088070000}"/>
    <cellStyle name="20% - Énfasis2 2 3 2 2 7" xfId="1932" xr:uid="{00000000-0005-0000-0000-000089070000}"/>
    <cellStyle name="20% - Énfasis2 2 3 2 3" xfId="1933" xr:uid="{00000000-0005-0000-0000-00008A070000}"/>
    <cellStyle name="20% - Énfasis2 2 3 2 3 2" xfId="1934" xr:uid="{00000000-0005-0000-0000-00008B070000}"/>
    <cellStyle name="20% - Énfasis2 2 3 2 3 2 2" xfId="1935" xr:uid="{00000000-0005-0000-0000-00008C070000}"/>
    <cellStyle name="20% - Énfasis2 2 3 2 3 2 2 2" xfId="1936" xr:uid="{00000000-0005-0000-0000-00008D070000}"/>
    <cellStyle name="20% - Énfasis2 2 3 2 3 2 2 2 2" xfId="1937" xr:uid="{00000000-0005-0000-0000-00008E070000}"/>
    <cellStyle name="20% - Énfasis2 2 3 2 3 2 2 3" xfId="1938" xr:uid="{00000000-0005-0000-0000-00008F070000}"/>
    <cellStyle name="20% - Énfasis2 2 3 2 3 2 2 4" xfId="1939" xr:uid="{00000000-0005-0000-0000-000090070000}"/>
    <cellStyle name="20% - Énfasis2 2 3 2 3 2 3" xfId="1940" xr:uid="{00000000-0005-0000-0000-000091070000}"/>
    <cellStyle name="20% - Énfasis2 2 3 2 3 2 3 2" xfId="1941" xr:uid="{00000000-0005-0000-0000-000092070000}"/>
    <cellStyle name="20% - Énfasis2 2 3 2 3 2 4" xfId="1942" xr:uid="{00000000-0005-0000-0000-000093070000}"/>
    <cellStyle name="20% - Énfasis2 2 3 2 3 2 5" xfId="1943" xr:uid="{00000000-0005-0000-0000-000094070000}"/>
    <cellStyle name="20% - Énfasis2 2 3 2 3 3" xfId="1944" xr:uid="{00000000-0005-0000-0000-000095070000}"/>
    <cellStyle name="20% - Énfasis2 2 3 2 3 3 2" xfId="1945" xr:uid="{00000000-0005-0000-0000-000096070000}"/>
    <cellStyle name="20% - Énfasis2 2 3 2 3 3 2 2" xfId="1946" xr:uid="{00000000-0005-0000-0000-000097070000}"/>
    <cellStyle name="20% - Énfasis2 2 3 2 3 3 3" xfId="1947" xr:uid="{00000000-0005-0000-0000-000098070000}"/>
    <cellStyle name="20% - Énfasis2 2 3 2 3 3 3 2" xfId="1948" xr:uid="{00000000-0005-0000-0000-000099070000}"/>
    <cellStyle name="20% - Énfasis2 2 3 2 3 3 4" xfId="1949" xr:uid="{00000000-0005-0000-0000-00009A070000}"/>
    <cellStyle name="20% - Énfasis2 2 3 2 3 3 5" xfId="1950" xr:uid="{00000000-0005-0000-0000-00009B070000}"/>
    <cellStyle name="20% - Énfasis2 2 3 2 3 4" xfId="1951" xr:uid="{00000000-0005-0000-0000-00009C070000}"/>
    <cellStyle name="20% - Énfasis2 2 3 2 3 4 2" xfId="1952" xr:uid="{00000000-0005-0000-0000-00009D070000}"/>
    <cellStyle name="20% - Énfasis2 2 3 2 3 5" xfId="1953" xr:uid="{00000000-0005-0000-0000-00009E070000}"/>
    <cellStyle name="20% - Énfasis2 2 3 2 3 5 2" xfId="1954" xr:uid="{00000000-0005-0000-0000-00009F070000}"/>
    <cellStyle name="20% - Énfasis2 2 3 2 3 6" xfId="1955" xr:uid="{00000000-0005-0000-0000-0000A0070000}"/>
    <cellStyle name="20% - Énfasis2 2 3 2 3 7" xfId="1956" xr:uid="{00000000-0005-0000-0000-0000A1070000}"/>
    <cellStyle name="20% - Énfasis2 2 3 2 4" xfId="1957" xr:uid="{00000000-0005-0000-0000-0000A2070000}"/>
    <cellStyle name="20% - Énfasis2 2 3 2 4 2" xfId="1958" xr:uid="{00000000-0005-0000-0000-0000A3070000}"/>
    <cellStyle name="20% - Énfasis2 2 3 2 4 2 2" xfId="1959" xr:uid="{00000000-0005-0000-0000-0000A4070000}"/>
    <cellStyle name="20% - Énfasis2 2 3 2 4 2 2 2" xfId="1960" xr:uid="{00000000-0005-0000-0000-0000A5070000}"/>
    <cellStyle name="20% - Énfasis2 2 3 2 4 2 3" xfId="1961" xr:uid="{00000000-0005-0000-0000-0000A6070000}"/>
    <cellStyle name="20% - Énfasis2 2 3 2 4 2 4" xfId="1962" xr:uid="{00000000-0005-0000-0000-0000A7070000}"/>
    <cellStyle name="20% - Énfasis2 2 3 2 4 3" xfId="1963" xr:uid="{00000000-0005-0000-0000-0000A8070000}"/>
    <cellStyle name="20% - Énfasis2 2 3 2 4 3 2" xfId="1964" xr:uid="{00000000-0005-0000-0000-0000A9070000}"/>
    <cellStyle name="20% - Énfasis2 2 3 2 4 4" xfId="1965" xr:uid="{00000000-0005-0000-0000-0000AA070000}"/>
    <cellStyle name="20% - Énfasis2 2 3 2 4 5" xfId="1966" xr:uid="{00000000-0005-0000-0000-0000AB070000}"/>
    <cellStyle name="20% - Énfasis2 2 3 2 5" xfId="1967" xr:uid="{00000000-0005-0000-0000-0000AC070000}"/>
    <cellStyle name="20% - Énfasis2 2 3 2 5 2" xfId="1968" xr:uid="{00000000-0005-0000-0000-0000AD070000}"/>
    <cellStyle name="20% - Énfasis2 2 3 2 5 2 2" xfId="1969" xr:uid="{00000000-0005-0000-0000-0000AE070000}"/>
    <cellStyle name="20% - Énfasis2 2 3 2 5 3" xfId="1970" xr:uid="{00000000-0005-0000-0000-0000AF070000}"/>
    <cellStyle name="20% - Énfasis2 2 3 2 5 3 2" xfId="1971" xr:uid="{00000000-0005-0000-0000-0000B0070000}"/>
    <cellStyle name="20% - Énfasis2 2 3 2 5 4" xfId="1972" xr:uid="{00000000-0005-0000-0000-0000B1070000}"/>
    <cellStyle name="20% - Énfasis2 2 3 2 5 5" xfId="1973" xr:uid="{00000000-0005-0000-0000-0000B2070000}"/>
    <cellStyle name="20% - Énfasis2 2 3 2 6" xfId="1974" xr:uid="{00000000-0005-0000-0000-0000B3070000}"/>
    <cellStyle name="20% - Énfasis2 2 3 2 6 2" xfId="1975" xr:uid="{00000000-0005-0000-0000-0000B4070000}"/>
    <cellStyle name="20% - Énfasis2 2 3 2 7" xfId="1976" xr:uid="{00000000-0005-0000-0000-0000B5070000}"/>
    <cellStyle name="20% - Énfasis2 2 3 2 7 2" xfId="1977" xr:uid="{00000000-0005-0000-0000-0000B6070000}"/>
    <cellStyle name="20% - Énfasis2 2 3 2 8" xfId="1978" xr:uid="{00000000-0005-0000-0000-0000B7070000}"/>
    <cellStyle name="20% - Énfasis2 2 3 2 9" xfId="1979" xr:uid="{00000000-0005-0000-0000-0000B8070000}"/>
    <cellStyle name="20% - Énfasis2 2 3 3" xfId="1980" xr:uid="{00000000-0005-0000-0000-0000B9070000}"/>
    <cellStyle name="20% - Énfasis2 2 3 3 2" xfId="1981" xr:uid="{00000000-0005-0000-0000-0000BA070000}"/>
    <cellStyle name="20% - Énfasis2 2 3 3 2 2" xfId="1982" xr:uid="{00000000-0005-0000-0000-0000BB070000}"/>
    <cellStyle name="20% - Énfasis2 2 3 3 2 2 2" xfId="1983" xr:uid="{00000000-0005-0000-0000-0000BC070000}"/>
    <cellStyle name="20% - Énfasis2 2 3 3 2 2 2 2" xfId="1984" xr:uid="{00000000-0005-0000-0000-0000BD070000}"/>
    <cellStyle name="20% - Énfasis2 2 3 3 2 2 2 2 2" xfId="1985" xr:uid="{00000000-0005-0000-0000-0000BE070000}"/>
    <cellStyle name="20% - Énfasis2 2 3 3 2 2 2 3" xfId="1986" xr:uid="{00000000-0005-0000-0000-0000BF070000}"/>
    <cellStyle name="20% - Énfasis2 2 3 3 2 2 2 4" xfId="1987" xr:uid="{00000000-0005-0000-0000-0000C0070000}"/>
    <cellStyle name="20% - Énfasis2 2 3 3 2 2 3" xfId="1988" xr:uid="{00000000-0005-0000-0000-0000C1070000}"/>
    <cellStyle name="20% - Énfasis2 2 3 3 2 2 3 2" xfId="1989" xr:uid="{00000000-0005-0000-0000-0000C2070000}"/>
    <cellStyle name="20% - Énfasis2 2 3 3 2 2 4" xfId="1990" xr:uid="{00000000-0005-0000-0000-0000C3070000}"/>
    <cellStyle name="20% - Énfasis2 2 3 3 2 2 5" xfId="1991" xr:uid="{00000000-0005-0000-0000-0000C4070000}"/>
    <cellStyle name="20% - Énfasis2 2 3 3 2 3" xfId="1992" xr:uid="{00000000-0005-0000-0000-0000C5070000}"/>
    <cellStyle name="20% - Énfasis2 2 3 3 2 3 2" xfId="1993" xr:uid="{00000000-0005-0000-0000-0000C6070000}"/>
    <cellStyle name="20% - Énfasis2 2 3 3 2 3 2 2" xfId="1994" xr:uid="{00000000-0005-0000-0000-0000C7070000}"/>
    <cellStyle name="20% - Énfasis2 2 3 3 2 3 3" xfId="1995" xr:uid="{00000000-0005-0000-0000-0000C8070000}"/>
    <cellStyle name="20% - Énfasis2 2 3 3 2 3 3 2" xfId="1996" xr:uid="{00000000-0005-0000-0000-0000C9070000}"/>
    <cellStyle name="20% - Énfasis2 2 3 3 2 3 4" xfId="1997" xr:uid="{00000000-0005-0000-0000-0000CA070000}"/>
    <cellStyle name="20% - Énfasis2 2 3 3 2 3 5" xfId="1998" xr:uid="{00000000-0005-0000-0000-0000CB070000}"/>
    <cellStyle name="20% - Énfasis2 2 3 3 2 4" xfId="1999" xr:uid="{00000000-0005-0000-0000-0000CC070000}"/>
    <cellStyle name="20% - Énfasis2 2 3 3 2 4 2" xfId="2000" xr:uid="{00000000-0005-0000-0000-0000CD070000}"/>
    <cellStyle name="20% - Énfasis2 2 3 3 2 5" xfId="2001" xr:uid="{00000000-0005-0000-0000-0000CE070000}"/>
    <cellStyle name="20% - Énfasis2 2 3 3 2 5 2" xfId="2002" xr:uid="{00000000-0005-0000-0000-0000CF070000}"/>
    <cellStyle name="20% - Énfasis2 2 3 3 2 6" xfId="2003" xr:uid="{00000000-0005-0000-0000-0000D0070000}"/>
    <cellStyle name="20% - Énfasis2 2 3 3 2 7" xfId="2004" xr:uid="{00000000-0005-0000-0000-0000D1070000}"/>
    <cellStyle name="20% - Énfasis2 2 3 3 3" xfId="2005" xr:uid="{00000000-0005-0000-0000-0000D2070000}"/>
    <cellStyle name="20% - Énfasis2 2 3 3 3 2" xfId="2006" xr:uid="{00000000-0005-0000-0000-0000D3070000}"/>
    <cellStyle name="20% - Énfasis2 2 3 3 3 2 2" xfId="2007" xr:uid="{00000000-0005-0000-0000-0000D4070000}"/>
    <cellStyle name="20% - Énfasis2 2 3 3 3 2 2 2" xfId="2008" xr:uid="{00000000-0005-0000-0000-0000D5070000}"/>
    <cellStyle name="20% - Énfasis2 2 3 3 3 2 3" xfId="2009" xr:uid="{00000000-0005-0000-0000-0000D6070000}"/>
    <cellStyle name="20% - Énfasis2 2 3 3 3 2 4" xfId="2010" xr:uid="{00000000-0005-0000-0000-0000D7070000}"/>
    <cellStyle name="20% - Énfasis2 2 3 3 3 3" xfId="2011" xr:uid="{00000000-0005-0000-0000-0000D8070000}"/>
    <cellStyle name="20% - Énfasis2 2 3 3 3 3 2" xfId="2012" xr:uid="{00000000-0005-0000-0000-0000D9070000}"/>
    <cellStyle name="20% - Énfasis2 2 3 3 3 4" xfId="2013" xr:uid="{00000000-0005-0000-0000-0000DA070000}"/>
    <cellStyle name="20% - Énfasis2 2 3 3 3 5" xfId="2014" xr:uid="{00000000-0005-0000-0000-0000DB070000}"/>
    <cellStyle name="20% - Énfasis2 2 3 3 4" xfId="2015" xr:uid="{00000000-0005-0000-0000-0000DC070000}"/>
    <cellStyle name="20% - Énfasis2 2 3 3 4 2" xfId="2016" xr:uid="{00000000-0005-0000-0000-0000DD070000}"/>
    <cellStyle name="20% - Énfasis2 2 3 3 4 2 2" xfId="2017" xr:uid="{00000000-0005-0000-0000-0000DE070000}"/>
    <cellStyle name="20% - Énfasis2 2 3 3 4 3" xfId="2018" xr:uid="{00000000-0005-0000-0000-0000DF070000}"/>
    <cellStyle name="20% - Énfasis2 2 3 3 4 3 2" xfId="2019" xr:uid="{00000000-0005-0000-0000-0000E0070000}"/>
    <cellStyle name="20% - Énfasis2 2 3 3 4 4" xfId="2020" xr:uid="{00000000-0005-0000-0000-0000E1070000}"/>
    <cellStyle name="20% - Énfasis2 2 3 3 4 5" xfId="2021" xr:uid="{00000000-0005-0000-0000-0000E2070000}"/>
    <cellStyle name="20% - Énfasis2 2 3 3 5" xfId="2022" xr:uid="{00000000-0005-0000-0000-0000E3070000}"/>
    <cellStyle name="20% - Énfasis2 2 3 3 5 2" xfId="2023" xr:uid="{00000000-0005-0000-0000-0000E4070000}"/>
    <cellStyle name="20% - Énfasis2 2 3 3 6" xfId="2024" xr:uid="{00000000-0005-0000-0000-0000E5070000}"/>
    <cellStyle name="20% - Énfasis2 2 3 3 6 2" xfId="2025" xr:uid="{00000000-0005-0000-0000-0000E6070000}"/>
    <cellStyle name="20% - Énfasis2 2 3 3 7" xfId="2026" xr:uid="{00000000-0005-0000-0000-0000E7070000}"/>
    <cellStyle name="20% - Énfasis2 2 3 3 8" xfId="2027" xr:uid="{00000000-0005-0000-0000-0000E8070000}"/>
    <cellStyle name="20% - Énfasis2 2 3 4" xfId="2028" xr:uid="{00000000-0005-0000-0000-0000E9070000}"/>
    <cellStyle name="20% - Énfasis2 2 3 4 2" xfId="2029" xr:uid="{00000000-0005-0000-0000-0000EA070000}"/>
    <cellStyle name="20% - Énfasis2 2 3 4 2 2" xfId="2030" xr:uid="{00000000-0005-0000-0000-0000EB070000}"/>
    <cellStyle name="20% - Énfasis2 2 3 4 2 2 2" xfId="2031" xr:uid="{00000000-0005-0000-0000-0000EC070000}"/>
    <cellStyle name="20% - Énfasis2 2 3 4 2 2 2 2" xfId="2032" xr:uid="{00000000-0005-0000-0000-0000ED070000}"/>
    <cellStyle name="20% - Énfasis2 2 3 4 2 2 3" xfId="2033" xr:uid="{00000000-0005-0000-0000-0000EE070000}"/>
    <cellStyle name="20% - Énfasis2 2 3 4 2 2 4" xfId="2034" xr:uid="{00000000-0005-0000-0000-0000EF070000}"/>
    <cellStyle name="20% - Énfasis2 2 3 4 2 3" xfId="2035" xr:uid="{00000000-0005-0000-0000-0000F0070000}"/>
    <cellStyle name="20% - Énfasis2 2 3 4 2 3 2" xfId="2036" xr:uid="{00000000-0005-0000-0000-0000F1070000}"/>
    <cellStyle name="20% - Énfasis2 2 3 4 2 4" xfId="2037" xr:uid="{00000000-0005-0000-0000-0000F2070000}"/>
    <cellStyle name="20% - Énfasis2 2 3 4 2 5" xfId="2038" xr:uid="{00000000-0005-0000-0000-0000F3070000}"/>
    <cellStyle name="20% - Énfasis2 2 3 4 3" xfId="2039" xr:uid="{00000000-0005-0000-0000-0000F4070000}"/>
    <cellStyle name="20% - Énfasis2 2 3 4 3 2" xfId="2040" xr:uid="{00000000-0005-0000-0000-0000F5070000}"/>
    <cellStyle name="20% - Énfasis2 2 3 4 3 2 2" xfId="2041" xr:uid="{00000000-0005-0000-0000-0000F6070000}"/>
    <cellStyle name="20% - Énfasis2 2 3 4 3 3" xfId="2042" xr:uid="{00000000-0005-0000-0000-0000F7070000}"/>
    <cellStyle name="20% - Énfasis2 2 3 4 3 3 2" xfId="2043" xr:uid="{00000000-0005-0000-0000-0000F8070000}"/>
    <cellStyle name="20% - Énfasis2 2 3 4 3 4" xfId="2044" xr:uid="{00000000-0005-0000-0000-0000F9070000}"/>
    <cellStyle name="20% - Énfasis2 2 3 4 3 5" xfId="2045" xr:uid="{00000000-0005-0000-0000-0000FA070000}"/>
    <cellStyle name="20% - Énfasis2 2 3 4 4" xfId="2046" xr:uid="{00000000-0005-0000-0000-0000FB070000}"/>
    <cellStyle name="20% - Énfasis2 2 3 4 4 2" xfId="2047" xr:uid="{00000000-0005-0000-0000-0000FC070000}"/>
    <cellStyle name="20% - Énfasis2 2 3 4 5" xfId="2048" xr:uid="{00000000-0005-0000-0000-0000FD070000}"/>
    <cellStyle name="20% - Énfasis2 2 3 4 5 2" xfId="2049" xr:uid="{00000000-0005-0000-0000-0000FE070000}"/>
    <cellStyle name="20% - Énfasis2 2 3 4 6" xfId="2050" xr:uid="{00000000-0005-0000-0000-0000FF070000}"/>
    <cellStyle name="20% - Énfasis2 2 3 4 7" xfId="2051" xr:uid="{00000000-0005-0000-0000-000000080000}"/>
    <cellStyle name="20% - Énfasis2 2 3 5" xfId="2052" xr:uid="{00000000-0005-0000-0000-000001080000}"/>
    <cellStyle name="20% - Énfasis2 2 3 5 2" xfId="2053" xr:uid="{00000000-0005-0000-0000-000002080000}"/>
    <cellStyle name="20% - Énfasis2 2 3 5 2 2" xfId="2054" xr:uid="{00000000-0005-0000-0000-000003080000}"/>
    <cellStyle name="20% - Énfasis2 2 3 5 2 2 2" xfId="2055" xr:uid="{00000000-0005-0000-0000-000004080000}"/>
    <cellStyle name="20% - Énfasis2 2 3 5 2 3" xfId="2056" xr:uid="{00000000-0005-0000-0000-000005080000}"/>
    <cellStyle name="20% - Énfasis2 2 3 5 2 4" xfId="2057" xr:uid="{00000000-0005-0000-0000-000006080000}"/>
    <cellStyle name="20% - Énfasis2 2 3 5 3" xfId="2058" xr:uid="{00000000-0005-0000-0000-000007080000}"/>
    <cellStyle name="20% - Énfasis2 2 3 5 3 2" xfId="2059" xr:uid="{00000000-0005-0000-0000-000008080000}"/>
    <cellStyle name="20% - Énfasis2 2 3 5 4" xfId="2060" xr:uid="{00000000-0005-0000-0000-000009080000}"/>
    <cellStyle name="20% - Énfasis2 2 3 5 5" xfId="2061" xr:uid="{00000000-0005-0000-0000-00000A080000}"/>
    <cellStyle name="20% - Énfasis2 2 3 6" xfId="2062" xr:uid="{00000000-0005-0000-0000-00000B080000}"/>
    <cellStyle name="20% - Énfasis2 2 3 6 2" xfId="2063" xr:uid="{00000000-0005-0000-0000-00000C080000}"/>
    <cellStyle name="20% - Énfasis2 2 3 6 2 2" xfId="2064" xr:uid="{00000000-0005-0000-0000-00000D080000}"/>
    <cellStyle name="20% - Énfasis2 2 3 6 3" xfId="2065" xr:uid="{00000000-0005-0000-0000-00000E080000}"/>
    <cellStyle name="20% - Énfasis2 2 3 6 3 2" xfId="2066" xr:uid="{00000000-0005-0000-0000-00000F080000}"/>
    <cellStyle name="20% - Énfasis2 2 3 6 4" xfId="2067" xr:uid="{00000000-0005-0000-0000-000010080000}"/>
    <cellStyle name="20% - Énfasis2 2 3 6 5" xfId="2068" xr:uid="{00000000-0005-0000-0000-000011080000}"/>
    <cellStyle name="20% - Énfasis2 2 3 7" xfId="2069" xr:uid="{00000000-0005-0000-0000-000012080000}"/>
    <cellStyle name="20% - Énfasis2 2 3 7 2" xfId="2070" xr:uid="{00000000-0005-0000-0000-000013080000}"/>
    <cellStyle name="20% - Énfasis2 2 3 8" xfId="2071" xr:uid="{00000000-0005-0000-0000-000014080000}"/>
    <cellStyle name="20% - Énfasis2 2 3 8 2" xfId="2072" xr:uid="{00000000-0005-0000-0000-000015080000}"/>
    <cellStyle name="20% - Énfasis2 2 3 9" xfId="2073" xr:uid="{00000000-0005-0000-0000-000016080000}"/>
    <cellStyle name="20% - Énfasis2 2 4" xfId="2074" xr:uid="{00000000-0005-0000-0000-000017080000}"/>
    <cellStyle name="20% - Énfasis2 2 4 2" xfId="2075" xr:uid="{00000000-0005-0000-0000-000018080000}"/>
    <cellStyle name="20% - Énfasis2 2 4 2 2" xfId="2076" xr:uid="{00000000-0005-0000-0000-000019080000}"/>
    <cellStyle name="20% - Énfasis2 2 4 2 2 2" xfId="2077" xr:uid="{00000000-0005-0000-0000-00001A080000}"/>
    <cellStyle name="20% - Énfasis2 2 4 2 2 2 2" xfId="2078" xr:uid="{00000000-0005-0000-0000-00001B080000}"/>
    <cellStyle name="20% - Énfasis2 2 4 2 2 2 2 2" xfId="2079" xr:uid="{00000000-0005-0000-0000-00001C080000}"/>
    <cellStyle name="20% - Énfasis2 2 4 2 2 2 2 2 2" xfId="2080" xr:uid="{00000000-0005-0000-0000-00001D080000}"/>
    <cellStyle name="20% - Énfasis2 2 4 2 2 2 2 3" xfId="2081" xr:uid="{00000000-0005-0000-0000-00001E080000}"/>
    <cellStyle name="20% - Énfasis2 2 4 2 2 2 2 4" xfId="2082" xr:uid="{00000000-0005-0000-0000-00001F080000}"/>
    <cellStyle name="20% - Énfasis2 2 4 2 2 2 3" xfId="2083" xr:uid="{00000000-0005-0000-0000-000020080000}"/>
    <cellStyle name="20% - Énfasis2 2 4 2 2 2 3 2" xfId="2084" xr:uid="{00000000-0005-0000-0000-000021080000}"/>
    <cellStyle name="20% - Énfasis2 2 4 2 2 2 4" xfId="2085" xr:uid="{00000000-0005-0000-0000-000022080000}"/>
    <cellStyle name="20% - Énfasis2 2 4 2 2 2 5" xfId="2086" xr:uid="{00000000-0005-0000-0000-000023080000}"/>
    <cellStyle name="20% - Énfasis2 2 4 2 2 3" xfId="2087" xr:uid="{00000000-0005-0000-0000-000024080000}"/>
    <cellStyle name="20% - Énfasis2 2 4 2 2 3 2" xfId="2088" xr:uid="{00000000-0005-0000-0000-000025080000}"/>
    <cellStyle name="20% - Énfasis2 2 4 2 2 3 2 2" xfId="2089" xr:uid="{00000000-0005-0000-0000-000026080000}"/>
    <cellStyle name="20% - Énfasis2 2 4 2 2 3 3" xfId="2090" xr:uid="{00000000-0005-0000-0000-000027080000}"/>
    <cellStyle name="20% - Énfasis2 2 4 2 2 3 4" xfId="2091" xr:uid="{00000000-0005-0000-0000-000028080000}"/>
    <cellStyle name="20% - Énfasis2 2 4 2 2 4" xfId="2092" xr:uid="{00000000-0005-0000-0000-000029080000}"/>
    <cellStyle name="20% - Énfasis2 2 4 2 2 4 2" xfId="2093" xr:uid="{00000000-0005-0000-0000-00002A080000}"/>
    <cellStyle name="20% - Énfasis2 2 4 2 2 5" xfId="2094" xr:uid="{00000000-0005-0000-0000-00002B080000}"/>
    <cellStyle name="20% - Énfasis2 2 4 2 2 6" xfId="2095" xr:uid="{00000000-0005-0000-0000-00002C080000}"/>
    <cellStyle name="20% - Énfasis2 2 4 2 3" xfId="2096" xr:uid="{00000000-0005-0000-0000-00002D080000}"/>
    <cellStyle name="20% - Énfasis2 2 4 2 3 2" xfId="2097" xr:uid="{00000000-0005-0000-0000-00002E080000}"/>
    <cellStyle name="20% - Énfasis2 2 4 2 3 2 2" xfId="2098" xr:uid="{00000000-0005-0000-0000-00002F080000}"/>
    <cellStyle name="20% - Énfasis2 2 4 2 3 2 2 2" xfId="2099" xr:uid="{00000000-0005-0000-0000-000030080000}"/>
    <cellStyle name="20% - Énfasis2 2 4 2 3 2 3" xfId="2100" xr:uid="{00000000-0005-0000-0000-000031080000}"/>
    <cellStyle name="20% - Énfasis2 2 4 2 3 2 4" xfId="2101" xr:uid="{00000000-0005-0000-0000-000032080000}"/>
    <cellStyle name="20% - Énfasis2 2 4 2 3 3" xfId="2102" xr:uid="{00000000-0005-0000-0000-000033080000}"/>
    <cellStyle name="20% - Énfasis2 2 4 2 3 3 2" xfId="2103" xr:uid="{00000000-0005-0000-0000-000034080000}"/>
    <cellStyle name="20% - Énfasis2 2 4 2 3 4" xfId="2104" xr:uid="{00000000-0005-0000-0000-000035080000}"/>
    <cellStyle name="20% - Énfasis2 2 4 2 3 5" xfId="2105" xr:uid="{00000000-0005-0000-0000-000036080000}"/>
    <cellStyle name="20% - Énfasis2 2 4 2 4" xfId="2106" xr:uid="{00000000-0005-0000-0000-000037080000}"/>
    <cellStyle name="20% - Énfasis2 2 4 2 4 2" xfId="2107" xr:uid="{00000000-0005-0000-0000-000038080000}"/>
    <cellStyle name="20% - Énfasis2 2 4 2 4 2 2" xfId="2108" xr:uid="{00000000-0005-0000-0000-000039080000}"/>
    <cellStyle name="20% - Énfasis2 2 4 2 4 3" xfId="2109" xr:uid="{00000000-0005-0000-0000-00003A080000}"/>
    <cellStyle name="20% - Énfasis2 2 4 2 4 4" xfId="2110" xr:uid="{00000000-0005-0000-0000-00003B080000}"/>
    <cellStyle name="20% - Énfasis2 2 4 2 5" xfId="2111" xr:uid="{00000000-0005-0000-0000-00003C080000}"/>
    <cellStyle name="20% - Énfasis2 2 4 2 5 2" xfId="2112" xr:uid="{00000000-0005-0000-0000-00003D080000}"/>
    <cellStyle name="20% - Énfasis2 2 4 2 6" xfId="2113" xr:uid="{00000000-0005-0000-0000-00003E080000}"/>
    <cellStyle name="20% - Énfasis2 2 4 2 7" xfId="2114" xr:uid="{00000000-0005-0000-0000-00003F080000}"/>
    <cellStyle name="20% - Énfasis2 2 4 3" xfId="2115" xr:uid="{00000000-0005-0000-0000-000040080000}"/>
    <cellStyle name="20% - Énfasis2 2 4 3 2" xfId="2116" xr:uid="{00000000-0005-0000-0000-000041080000}"/>
    <cellStyle name="20% - Énfasis2 2 4 3 2 2" xfId="2117" xr:uid="{00000000-0005-0000-0000-000042080000}"/>
    <cellStyle name="20% - Énfasis2 2 4 3 2 2 2" xfId="2118" xr:uid="{00000000-0005-0000-0000-000043080000}"/>
    <cellStyle name="20% - Énfasis2 2 4 3 2 2 2 2" xfId="2119" xr:uid="{00000000-0005-0000-0000-000044080000}"/>
    <cellStyle name="20% - Énfasis2 2 4 3 2 2 3" xfId="2120" xr:uid="{00000000-0005-0000-0000-000045080000}"/>
    <cellStyle name="20% - Énfasis2 2 4 3 2 2 4" xfId="2121" xr:uid="{00000000-0005-0000-0000-000046080000}"/>
    <cellStyle name="20% - Énfasis2 2 4 3 2 3" xfId="2122" xr:uid="{00000000-0005-0000-0000-000047080000}"/>
    <cellStyle name="20% - Énfasis2 2 4 3 2 3 2" xfId="2123" xr:uid="{00000000-0005-0000-0000-000048080000}"/>
    <cellStyle name="20% - Énfasis2 2 4 3 2 4" xfId="2124" xr:uid="{00000000-0005-0000-0000-000049080000}"/>
    <cellStyle name="20% - Énfasis2 2 4 3 2 5" xfId="2125" xr:uid="{00000000-0005-0000-0000-00004A080000}"/>
    <cellStyle name="20% - Énfasis2 2 4 3 3" xfId="2126" xr:uid="{00000000-0005-0000-0000-00004B080000}"/>
    <cellStyle name="20% - Énfasis2 2 4 3 3 2" xfId="2127" xr:uid="{00000000-0005-0000-0000-00004C080000}"/>
    <cellStyle name="20% - Énfasis2 2 4 3 3 2 2" xfId="2128" xr:uid="{00000000-0005-0000-0000-00004D080000}"/>
    <cellStyle name="20% - Énfasis2 2 4 3 3 3" xfId="2129" xr:uid="{00000000-0005-0000-0000-00004E080000}"/>
    <cellStyle name="20% - Énfasis2 2 4 3 3 3 2" xfId="2130" xr:uid="{00000000-0005-0000-0000-00004F080000}"/>
    <cellStyle name="20% - Énfasis2 2 4 3 3 4" xfId="2131" xr:uid="{00000000-0005-0000-0000-000050080000}"/>
    <cellStyle name="20% - Énfasis2 2 4 3 3 5" xfId="2132" xr:uid="{00000000-0005-0000-0000-000051080000}"/>
    <cellStyle name="20% - Énfasis2 2 4 3 4" xfId="2133" xr:uid="{00000000-0005-0000-0000-000052080000}"/>
    <cellStyle name="20% - Énfasis2 2 4 3 4 2" xfId="2134" xr:uid="{00000000-0005-0000-0000-000053080000}"/>
    <cellStyle name="20% - Énfasis2 2 4 3 5" xfId="2135" xr:uid="{00000000-0005-0000-0000-000054080000}"/>
    <cellStyle name="20% - Énfasis2 2 4 3 5 2" xfId="2136" xr:uid="{00000000-0005-0000-0000-000055080000}"/>
    <cellStyle name="20% - Énfasis2 2 4 3 6" xfId="2137" xr:uid="{00000000-0005-0000-0000-000056080000}"/>
    <cellStyle name="20% - Énfasis2 2 4 3 7" xfId="2138" xr:uid="{00000000-0005-0000-0000-000057080000}"/>
    <cellStyle name="20% - Énfasis2 2 4 4" xfId="2139" xr:uid="{00000000-0005-0000-0000-000058080000}"/>
    <cellStyle name="20% - Énfasis2 2 4 4 2" xfId="2140" xr:uid="{00000000-0005-0000-0000-000059080000}"/>
    <cellStyle name="20% - Énfasis2 2 4 4 2 2" xfId="2141" xr:uid="{00000000-0005-0000-0000-00005A080000}"/>
    <cellStyle name="20% - Énfasis2 2 4 4 2 2 2" xfId="2142" xr:uid="{00000000-0005-0000-0000-00005B080000}"/>
    <cellStyle name="20% - Énfasis2 2 4 4 2 3" xfId="2143" xr:uid="{00000000-0005-0000-0000-00005C080000}"/>
    <cellStyle name="20% - Énfasis2 2 4 4 2 4" xfId="2144" xr:uid="{00000000-0005-0000-0000-00005D080000}"/>
    <cellStyle name="20% - Énfasis2 2 4 4 3" xfId="2145" xr:uid="{00000000-0005-0000-0000-00005E080000}"/>
    <cellStyle name="20% - Énfasis2 2 4 4 3 2" xfId="2146" xr:uid="{00000000-0005-0000-0000-00005F080000}"/>
    <cellStyle name="20% - Énfasis2 2 4 4 4" xfId="2147" xr:uid="{00000000-0005-0000-0000-000060080000}"/>
    <cellStyle name="20% - Énfasis2 2 4 4 5" xfId="2148" xr:uid="{00000000-0005-0000-0000-000061080000}"/>
    <cellStyle name="20% - Énfasis2 2 4 5" xfId="2149" xr:uid="{00000000-0005-0000-0000-000062080000}"/>
    <cellStyle name="20% - Énfasis2 2 4 5 2" xfId="2150" xr:uid="{00000000-0005-0000-0000-000063080000}"/>
    <cellStyle name="20% - Énfasis2 2 4 5 2 2" xfId="2151" xr:uid="{00000000-0005-0000-0000-000064080000}"/>
    <cellStyle name="20% - Énfasis2 2 4 5 3" xfId="2152" xr:uid="{00000000-0005-0000-0000-000065080000}"/>
    <cellStyle name="20% - Énfasis2 2 4 5 3 2" xfId="2153" xr:uid="{00000000-0005-0000-0000-000066080000}"/>
    <cellStyle name="20% - Énfasis2 2 4 5 4" xfId="2154" xr:uid="{00000000-0005-0000-0000-000067080000}"/>
    <cellStyle name="20% - Énfasis2 2 4 5 5" xfId="2155" xr:uid="{00000000-0005-0000-0000-000068080000}"/>
    <cellStyle name="20% - Énfasis2 2 4 6" xfId="2156" xr:uid="{00000000-0005-0000-0000-000069080000}"/>
    <cellStyle name="20% - Énfasis2 2 4 6 2" xfId="2157" xr:uid="{00000000-0005-0000-0000-00006A080000}"/>
    <cellStyle name="20% - Énfasis2 2 4 7" xfId="2158" xr:uid="{00000000-0005-0000-0000-00006B080000}"/>
    <cellStyle name="20% - Énfasis2 2 4 7 2" xfId="2159" xr:uid="{00000000-0005-0000-0000-00006C080000}"/>
    <cellStyle name="20% - Énfasis2 2 4 8" xfId="2160" xr:uid="{00000000-0005-0000-0000-00006D080000}"/>
    <cellStyle name="20% - Énfasis2 2 4 9" xfId="2161" xr:uid="{00000000-0005-0000-0000-00006E080000}"/>
    <cellStyle name="20% - Énfasis2 2 5" xfId="2162" xr:uid="{00000000-0005-0000-0000-00006F080000}"/>
    <cellStyle name="20% - Énfasis2 2 5 2" xfId="2163" xr:uid="{00000000-0005-0000-0000-000070080000}"/>
    <cellStyle name="20% - Énfasis2 2 5 2 2" xfId="2164" xr:uid="{00000000-0005-0000-0000-000071080000}"/>
    <cellStyle name="20% - Énfasis2 2 5 2 2 2" xfId="2165" xr:uid="{00000000-0005-0000-0000-000072080000}"/>
    <cellStyle name="20% - Énfasis2 2 5 2 2 2 2" xfId="2166" xr:uid="{00000000-0005-0000-0000-000073080000}"/>
    <cellStyle name="20% - Énfasis2 2 5 2 2 2 2 2" xfId="2167" xr:uid="{00000000-0005-0000-0000-000074080000}"/>
    <cellStyle name="20% - Énfasis2 2 5 2 2 2 3" xfId="2168" xr:uid="{00000000-0005-0000-0000-000075080000}"/>
    <cellStyle name="20% - Énfasis2 2 5 2 2 2 4" xfId="2169" xr:uid="{00000000-0005-0000-0000-000076080000}"/>
    <cellStyle name="20% - Énfasis2 2 5 2 2 3" xfId="2170" xr:uid="{00000000-0005-0000-0000-000077080000}"/>
    <cellStyle name="20% - Énfasis2 2 5 2 2 3 2" xfId="2171" xr:uid="{00000000-0005-0000-0000-000078080000}"/>
    <cellStyle name="20% - Énfasis2 2 5 2 2 4" xfId="2172" xr:uid="{00000000-0005-0000-0000-000079080000}"/>
    <cellStyle name="20% - Énfasis2 2 5 2 2 5" xfId="2173" xr:uid="{00000000-0005-0000-0000-00007A080000}"/>
    <cellStyle name="20% - Énfasis2 2 5 2 3" xfId="2174" xr:uid="{00000000-0005-0000-0000-00007B080000}"/>
    <cellStyle name="20% - Énfasis2 2 5 2 3 2" xfId="2175" xr:uid="{00000000-0005-0000-0000-00007C080000}"/>
    <cellStyle name="20% - Énfasis2 2 5 2 3 2 2" xfId="2176" xr:uid="{00000000-0005-0000-0000-00007D080000}"/>
    <cellStyle name="20% - Énfasis2 2 5 2 3 3" xfId="2177" xr:uid="{00000000-0005-0000-0000-00007E080000}"/>
    <cellStyle name="20% - Énfasis2 2 5 2 3 3 2" xfId="2178" xr:uid="{00000000-0005-0000-0000-00007F080000}"/>
    <cellStyle name="20% - Énfasis2 2 5 2 3 4" xfId="2179" xr:uid="{00000000-0005-0000-0000-000080080000}"/>
    <cellStyle name="20% - Énfasis2 2 5 2 3 5" xfId="2180" xr:uid="{00000000-0005-0000-0000-000081080000}"/>
    <cellStyle name="20% - Énfasis2 2 5 2 4" xfId="2181" xr:uid="{00000000-0005-0000-0000-000082080000}"/>
    <cellStyle name="20% - Énfasis2 2 5 2 4 2" xfId="2182" xr:uid="{00000000-0005-0000-0000-000083080000}"/>
    <cellStyle name="20% - Énfasis2 2 5 2 5" xfId="2183" xr:uid="{00000000-0005-0000-0000-000084080000}"/>
    <cellStyle name="20% - Énfasis2 2 5 2 5 2" xfId="2184" xr:uid="{00000000-0005-0000-0000-000085080000}"/>
    <cellStyle name="20% - Énfasis2 2 5 2 6" xfId="2185" xr:uid="{00000000-0005-0000-0000-000086080000}"/>
    <cellStyle name="20% - Énfasis2 2 5 2 7" xfId="2186" xr:uid="{00000000-0005-0000-0000-000087080000}"/>
    <cellStyle name="20% - Énfasis2 2 5 3" xfId="2187" xr:uid="{00000000-0005-0000-0000-000088080000}"/>
    <cellStyle name="20% - Énfasis2 2 5 3 2" xfId="2188" xr:uid="{00000000-0005-0000-0000-000089080000}"/>
    <cellStyle name="20% - Énfasis2 2 5 3 2 2" xfId="2189" xr:uid="{00000000-0005-0000-0000-00008A080000}"/>
    <cellStyle name="20% - Énfasis2 2 5 3 2 2 2" xfId="2190" xr:uid="{00000000-0005-0000-0000-00008B080000}"/>
    <cellStyle name="20% - Énfasis2 2 5 3 2 3" xfId="2191" xr:uid="{00000000-0005-0000-0000-00008C080000}"/>
    <cellStyle name="20% - Énfasis2 2 5 3 2 4" xfId="2192" xr:uid="{00000000-0005-0000-0000-00008D080000}"/>
    <cellStyle name="20% - Énfasis2 2 5 3 3" xfId="2193" xr:uid="{00000000-0005-0000-0000-00008E080000}"/>
    <cellStyle name="20% - Énfasis2 2 5 3 3 2" xfId="2194" xr:uid="{00000000-0005-0000-0000-00008F080000}"/>
    <cellStyle name="20% - Énfasis2 2 5 3 4" xfId="2195" xr:uid="{00000000-0005-0000-0000-000090080000}"/>
    <cellStyle name="20% - Énfasis2 2 5 3 5" xfId="2196" xr:uid="{00000000-0005-0000-0000-000091080000}"/>
    <cellStyle name="20% - Énfasis2 2 5 4" xfId="2197" xr:uid="{00000000-0005-0000-0000-000092080000}"/>
    <cellStyle name="20% - Énfasis2 2 5 4 2" xfId="2198" xr:uid="{00000000-0005-0000-0000-000093080000}"/>
    <cellStyle name="20% - Énfasis2 2 5 4 2 2" xfId="2199" xr:uid="{00000000-0005-0000-0000-000094080000}"/>
    <cellStyle name="20% - Énfasis2 2 5 4 3" xfId="2200" xr:uid="{00000000-0005-0000-0000-000095080000}"/>
    <cellStyle name="20% - Énfasis2 2 5 4 3 2" xfId="2201" xr:uid="{00000000-0005-0000-0000-000096080000}"/>
    <cellStyle name="20% - Énfasis2 2 5 4 4" xfId="2202" xr:uid="{00000000-0005-0000-0000-000097080000}"/>
    <cellStyle name="20% - Énfasis2 2 5 4 5" xfId="2203" xr:uid="{00000000-0005-0000-0000-000098080000}"/>
    <cellStyle name="20% - Énfasis2 2 5 5" xfId="2204" xr:uid="{00000000-0005-0000-0000-000099080000}"/>
    <cellStyle name="20% - Énfasis2 2 5 5 2" xfId="2205" xr:uid="{00000000-0005-0000-0000-00009A080000}"/>
    <cellStyle name="20% - Énfasis2 2 5 6" xfId="2206" xr:uid="{00000000-0005-0000-0000-00009B080000}"/>
    <cellStyle name="20% - Énfasis2 2 5 6 2" xfId="2207" xr:uid="{00000000-0005-0000-0000-00009C080000}"/>
    <cellStyle name="20% - Énfasis2 2 5 7" xfId="2208" xr:uid="{00000000-0005-0000-0000-00009D080000}"/>
    <cellStyle name="20% - Énfasis2 2 5 8" xfId="2209" xr:uid="{00000000-0005-0000-0000-00009E080000}"/>
    <cellStyle name="20% - Énfasis2 2 6" xfId="2210" xr:uid="{00000000-0005-0000-0000-00009F080000}"/>
    <cellStyle name="20% - Énfasis2 2 6 2" xfId="2211" xr:uid="{00000000-0005-0000-0000-0000A0080000}"/>
    <cellStyle name="20% - Énfasis2 2 6 2 2" xfId="2212" xr:uid="{00000000-0005-0000-0000-0000A1080000}"/>
    <cellStyle name="20% - Énfasis2 2 6 2 2 2" xfId="2213" xr:uid="{00000000-0005-0000-0000-0000A2080000}"/>
    <cellStyle name="20% - Énfasis2 2 6 2 2 2 2" xfId="2214" xr:uid="{00000000-0005-0000-0000-0000A3080000}"/>
    <cellStyle name="20% - Énfasis2 2 6 2 2 3" xfId="2215" xr:uid="{00000000-0005-0000-0000-0000A4080000}"/>
    <cellStyle name="20% - Énfasis2 2 6 2 2 4" xfId="2216" xr:uid="{00000000-0005-0000-0000-0000A5080000}"/>
    <cellStyle name="20% - Énfasis2 2 6 2 3" xfId="2217" xr:uid="{00000000-0005-0000-0000-0000A6080000}"/>
    <cellStyle name="20% - Énfasis2 2 6 2 3 2" xfId="2218" xr:uid="{00000000-0005-0000-0000-0000A7080000}"/>
    <cellStyle name="20% - Énfasis2 2 6 2 4" xfId="2219" xr:uid="{00000000-0005-0000-0000-0000A8080000}"/>
    <cellStyle name="20% - Énfasis2 2 6 2 5" xfId="2220" xr:uid="{00000000-0005-0000-0000-0000A9080000}"/>
    <cellStyle name="20% - Énfasis2 2 6 3" xfId="2221" xr:uid="{00000000-0005-0000-0000-0000AA080000}"/>
    <cellStyle name="20% - Énfasis2 2 6 3 2" xfId="2222" xr:uid="{00000000-0005-0000-0000-0000AB080000}"/>
    <cellStyle name="20% - Énfasis2 2 6 3 2 2" xfId="2223" xr:uid="{00000000-0005-0000-0000-0000AC080000}"/>
    <cellStyle name="20% - Énfasis2 2 6 3 3" xfId="2224" xr:uid="{00000000-0005-0000-0000-0000AD080000}"/>
    <cellStyle name="20% - Énfasis2 2 6 3 3 2" xfId="2225" xr:uid="{00000000-0005-0000-0000-0000AE080000}"/>
    <cellStyle name="20% - Énfasis2 2 6 3 4" xfId="2226" xr:uid="{00000000-0005-0000-0000-0000AF080000}"/>
    <cellStyle name="20% - Énfasis2 2 6 3 5" xfId="2227" xr:uid="{00000000-0005-0000-0000-0000B0080000}"/>
    <cellStyle name="20% - Énfasis2 2 6 4" xfId="2228" xr:uid="{00000000-0005-0000-0000-0000B1080000}"/>
    <cellStyle name="20% - Énfasis2 2 6 4 2" xfId="2229" xr:uid="{00000000-0005-0000-0000-0000B2080000}"/>
    <cellStyle name="20% - Énfasis2 2 6 5" xfId="2230" xr:uid="{00000000-0005-0000-0000-0000B3080000}"/>
    <cellStyle name="20% - Énfasis2 2 6 5 2" xfId="2231" xr:uid="{00000000-0005-0000-0000-0000B4080000}"/>
    <cellStyle name="20% - Énfasis2 2 6 6" xfId="2232" xr:uid="{00000000-0005-0000-0000-0000B5080000}"/>
    <cellStyle name="20% - Énfasis2 2 6 7" xfId="2233" xr:uid="{00000000-0005-0000-0000-0000B6080000}"/>
    <cellStyle name="20% - Énfasis2 2 7" xfId="2234" xr:uid="{00000000-0005-0000-0000-0000B7080000}"/>
    <cellStyle name="20% - Énfasis2 2 7 2" xfId="2235" xr:uid="{00000000-0005-0000-0000-0000B8080000}"/>
    <cellStyle name="20% - Énfasis2 2 7 2 2" xfId="2236" xr:uid="{00000000-0005-0000-0000-0000B9080000}"/>
    <cellStyle name="20% - Énfasis2 2 7 2 2 2" xfId="2237" xr:uid="{00000000-0005-0000-0000-0000BA080000}"/>
    <cellStyle name="20% - Énfasis2 2 7 2 3" xfId="2238" xr:uid="{00000000-0005-0000-0000-0000BB080000}"/>
    <cellStyle name="20% - Énfasis2 2 7 2 4" xfId="2239" xr:uid="{00000000-0005-0000-0000-0000BC080000}"/>
    <cellStyle name="20% - Énfasis2 2 7 3" xfId="2240" xr:uid="{00000000-0005-0000-0000-0000BD080000}"/>
    <cellStyle name="20% - Énfasis2 2 7 3 2" xfId="2241" xr:uid="{00000000-0005-0000-0000-0000BE080000}"/>
    <cellStyle name="20% - Énfasis2 2 7 4" xfId="2242" xr:uid="{00000000-0005-0000-0000-0000BF080000}"/>
    <cellStyle name="20% - Énfasis2 2 7 5" xfId="2243" xr:uid="{00000000-0005-0000-0000-0000C0080000}"/>
    <cellStyle name="20% - Énfasis2 2 8" xfId="2244" xr:uid="{00000000-0005-0000-0000-0000C1080000}"/>
    <cellStyle name="20% - Énfasis2 2 8 2" xfId="2245" xr:uid="{00000000-0005-0000-0000-0000C2080000}"/>
    <cellStyle name="20% - Énfasis2 2 8 2 2" xfId="2246" xr:uid="{00000000-0005-0000-0000-0000C3080000}"/>
    <cellStyle name="20% - Énfasis2 2 8 3" xfId="2247" xr:uid="{00000000-0005-0000-0000-0000C4080000}"/>
    <cellStyle name="20% - Énfasis2 2 8 3 2" xfId="2248" xr:uid="{00000000-0005-0000-0000-0000C5080000}"/>
    <cellStyle name="20% - Énfasis2 2 8 4" xfId="2249" xr:uid="{00000000-0005-0000-0000-0000C6080000}"/>
    <cellStyle name="20% - Énfasis2 2 8 5" xfId="2250" xr:uid="{00000000-0005-0000-0000-0000C7080000}"/>
    <cellStyle name="20% - Énfasis2 2 9" xfId="2251" xr:uid="{00000000-0005-0000-0000-0000C8080000}"/>
    <cellStyle name="20% - Énfasis2 2 9 2" xfId="2252" xr:uid="{00000000-0005-0000-0000-0000C9080000}"/>
    <cellStyle name="20% - Énfasis2 3" xfId="2253" xr:uid="{00000000-0005-0000-0000-0000CA080000}"/>
    <cellStyle name="20% - Énfasis2 3 10" xfId="2254" xr:uid="{00000000-0005-0000-0000-0000CB080000}"/>
    <cellStyle name="20% - Énfasis2 3 10 2" xfId="2255" xr:uid="{00000000-0005-0000-0000-0000CC080000}"/>
    <cellStyle name="20% - Énfasis2 3 11" xfId="2256" xr:uid="{00000000-0005-0000-0000-0000CD080000}"/>
    <cellStyle name="20% - Énfasis2 3 12" xfId="2257" xr:uid="{00000000-0005-0000-0000-0000CE080000}"/>
    <cellStyle name="20% - Énfasis2 3 2" xfId="2258" xr:uid="{00000000-0005-0000-0000-0000CF080000}"/>
    <cellStyle name="20% - Énfasis2 3 2 10" xfId="2259" xr:uid="{00000000-0005-0000-0000-0000D0080000}"/>
    <cellStyle name="20% - Énfasis2 3 2 11" xfId="2260" xr:uid="{00000000-0005-0000-0000-0000D1080000}"/>
    <cellStyle name="20% - Énfasis2 3 2 2" xfId="2261" xr:uid="{00000000-0005-0000-0000-0000D2080000}"/>
    <cellStyle name="20% - Énfasis2 3 2 2 10" xfId="2262" xr:uid="{00000000-0005-0000-0000-0000D3080000}"/>
    <cellStyle name="20% - Énfasis2 3 2 2 2" xfId="2263" xr:uid="{00000000-0005-0000-0000-0000D4080000}"/>
    <cellStyle name="20% - Énfasis2 3 2 2 2 2" xfId="2264" xr:uid="{00000000-0005-0000-0000-0000D5080000}"/>
    <cellStyle name="20% - Énfasis2 3 2 2 2 2 2" xfId="2265" xr:uid="{00000000-0005-0000-0000-0000D6080000}"/>
    <cellStyle name="20% - Énfasis2 3 2 2 2 2 2 2" xfId="2266" xr:uid="{00000000-0005-0000-0000-0000D7080000}"/>
    <cellStyle name="20% - Énfasis2 3 2 2 2 2 2 2 2" xfId="2267" xr:uid="{00000000-0005-0000-0000-0000D8080000}"/>
    <cellStyle name="20% - Énfasis2 3 2 2 2 2 2 2 2 2" xfId="2268" xr:uid="{00000000-0005-0000-0000-0000D9080000}"/>
    <cellStyle name="20% - Énfasis2 3 2 2 2 2 2 2 2 2 2" xfId="2269" xr:uid="{00000000-0005-0000-0000-0000DA080000}"/>
    <cellStyle name="20% - Énfasis2 3 2 2 2 2 2 2 2 3" xfId="2270" xr:uid="{00000000-0005-0000-0000-0000DB080000}"/>
    <cellStyle name="20% - Énfasis2 3 2 2 2 2 2 2 2 4" xfId="2271" xr:uid="{00000000-0005-0000-0000-0000DC080000}"/>
    <cellStyle name="20% - Énfasis2 3 2 2 2 2 2 2 3" xfId="2272" xr:uid="{00000000-0005-0000-0000-0000DD080000}"/>
    <cellStyle name="20% - Énfasis2 3 2 2 2 2 2 2 3 2" xfId="2273" xr:uid="{00000000-0005-0000-0000-0000DE080000}"/>
    <cellStyle name="20% - Énfasis2 3 2 2 2 2 2 2 4" xfId="2274" xr:uid="{00000000-0005-0000-0000-0000DF080000}"/>
    <cellStyle name="20% - Énfasis2 3 2 2 2 2 2 2 5" xfId="2275" xr:uid="{00000000-0005-0000-0000-0000E0080000}"/>
    <cellStyle name="20% - Énfasis2 3 2 2 2 2 2 3" xfId="2276" xr:uid="{00000000-0005-0000-0000-0000E1080000}"/>
    <cellStyle name="20% - Énfasis2 3 2 2 2 2 2 3 2" xfId="2277" xr:uid="{00000000-0005-0000-0000-0000E2080000}"/>
    <cellStyle name="20% - Énfasis2 3 2 2 2 2 2 3 2 2" xfId="2278" xr:uid="{00000000-0005-0000-0000-0000E3080000}"/>
    <cellStyle name="20% - Énfasis2 3 2 2 2 2 2 3 3" xfId="2279" xr:uid="{00000000-0005-0000-0000-0000E4080000}"/>
    <cellStyle name="20% - Énfasis2 3 2 2 2 2 2 3 4" xfId="2280" xr:uid="{00000000-0005-0000-0000-0000E5080000}"/>
    <cellStyle name="20% - Énfasis2 3 2 2 2 2 2 4" xfId="2281" xr:uid="{00000000-0005-0000-0000-0000E6080000}"/>
    <cellStyle name="20% - Énfasis2 3 2 2 2 2 2 4 2" xfId="2282" xr:uid="{00000000-0005-0000-0000-0000E7080000}"/>
    <cellStyle name="20% - Énfasis2 3 2 2 2 2 2 5" xfId="2283" xr:uid="{00000000-0005-0000-0000-0000E8080000}"/>
    <cellStyle name="20% - Énfasis2 3 2 2 2 2 2 6" xfId="2284" xr:uid="{00000000-0005-0000-0000-0000E9080000}"/>
    <cellStyle name="20% - Énfasis2 3 2 2 2 2 3" xfId="2285" xr:uid="{00000000-0005-0000-0000-0000EA080000}"/>
    <cellStyle name="20% - Énfasis2 3 2 2 2 2 3 2" xfId="2286" xr:uid="{00000000-0005-0000-0000-0000EB080000}"/>
    <cellStyle name="20% - Énfasis2 3 2 2 2 2 3 2 2" xfId="2287" xr:uid="{00000000-0005-0000-0000-0000EC080000}"/>
    <cellStyle name="20% - Énfasis2 3 2 2 2 2 3 2 2 2" xfId="2288" xr:uid="{00000000-0005-0000-0000-0000ED080000}"/>
    <cellStyle name="20% - Énfasis2 3 2 2 2 2 3 2 3" xfId="2289" xr:uid="{00000000-0005-0000-0000-0000EE080000}"/>
    <cellStyle name="20% - Énfasis2 3 2 2 2 2 3 2 4" xfId="2290" xr:uid="{00000000-0005-0000-0000-0000EF080000}"/>
    <cellStyle name="20% - Énfasis2 3 2 2 2 2 3 3" xfId="2291" xr:uid="{00000000-0005-0000-0000-0000F0080000}"/>
    <cellStyle name="20% - Énfasis2 3 2 2 2 2 3 3 2" xfId="2292" xr:uid="{00000000-0005-0000-0000-0000F1080000}"/>
    <cellStyle name="20% - Énfasis2 3 2 2 2 2 3 4" xfId="2293" xr:uid="{00000000-0005-0000-0000-0000F2080000}"/>
    <cellStyle name="20% - Énfasis2 3 2 2 2 2 3 5" xfId="2294" xr:uid="{00000000-0005-0000-0000-0000F3080000}"/>
    <cellStyle name="20% - Énfasis2 3 2 2 2 2 4" xfId="2295" xr:uid="{00000000-0005-0000-0000-0000F4080000}"/>
    <cellStyle name="20% - Énfasis2 3 2 2 2 2 4 2" xfId="2296" xr:uid="{00000000-0005-0000-0000-0000F5080000}"/>
    <cellStyle name="20% - Énfasis2 3 2 2 2 2 4 2 2" xfId="2297" xr:uid="{00000000-0005-0000-0000-0000F6080000}"/>
    <cellStyle name="20% - Énfasis2 3 2 2 2 2 4 3" xfId="2298" xr:uid="{00000000-0005-0000-0000-0000F7080000}"/>
    <cellStyle name="20% - Énfasis2 3 2 2 2 2 4 4" xfId="2299" xr:uid="{00000000-0005-0000-0000-0000F8080000}"/>
    <cellStyle name="20% - Énfasis2 3 2 2 2 2 5" xfId="2300" xr:uid="{00000000-0005-0000-0000-0000F9080000}"/>
    <cellStyle name="20% - Énfasis2 3 2 2 2 2 5 2" xfId="2301" xr:uid="{00000000-0005-0000-0000-0000FA080000}"/>
    <cellStyle name="20% - Énfasis2 3 2 2 2 2 6" xfId="2302" xr:uid="{00000000-0005-0000-0000-0000FB080000}"/>
    <cellStyle name="20% - Énfasis2 3 2 2 2 2 7" xfId="2303" xr:uid="{00000000-0005-0000-0000-0000FC080000}"/>
    <cellStyle name="20% - Énfasis2 3 2 2 2 3" xfId="2304" xr:uid="{00000000-0005-0000-0000-0000FD080000}"/>
    <cellStyle name="20% - Énfasis2 3 2 2 2 3 2" xfId="2305" xr:uid="{00000000-0005-0000-0000-0000FE080000}"/>
    <cellStyle name="20% - Énfasis2 3 2 2 2 3 2 2" xfId="2306" xr:uid="{00000000-0005-0000-0000-0000FF080000}"/>
    <cellStyle name="20% - Énfasis2 3 2 2 2 3 2 2 2" xfId="2307" xr:uid="{00000000-0005-0000-0000-000000090000}"/>
    <cellStyle name="20% - Énfasis2 3 2 2 2 3 2 2 2 2" xfId="2308" xr:uid="{00000000-0005-0000-0000-000001090000}"/>
    <cellStyle name="20% - Énfasis2 3 2 2 2 3 2 2 3" xfId="2309" xr:uid="{00000000-0005-0000-0000-000002090000}"/>
    <cellStyle name="20% - Énfasis2 3 2 2 2 3 2 2 4" xfId="2310" xr:uid="{00000000-0005-0000-0000-000003090000}"/>
    <cellStyle name="20% - Énfasis2 3 2 2 2 3 2 3" xfId="2311" xr:uid="{00000000-0005-0000-0000-000004090000}"/>
    <cellStyle name="20% - Énfasis2 3 2 2 2 3 2 3 2" xfId="2312" xr:uid="{00000000-0005-0000-0000-000005090000}"/>
    <cellStyle name="20% - Énfasis2 3 2 2 2 3 2 4" xfId="2313" xr:uid="{00000000-0005-0000-0000-000006090000}"/>
    <cellStyle name="20% - Énfasis2 3 2 2 2 3 2 5" xfId="2314" xr:uid="{00000000-0005-0000-0000-000007090000}"/>
    <cellStyle name="20% - Énfasis2 3 2 2 2 3 3" xfId="2315" xr:uid="{00000000-0005-0000-0000-000008090000}"/>
    <cellStyle name="20% - Énfasis2 3 2 2 2 3 3 2" xfId="2316" xr:uid="{00000000-0005-0000-0000-000009090000}"/>
    <cellStyle name="20% - Énfasis2 3 2 2 2 3 3 2 2" xfId="2317" xr:uid="{00000000-0005-0000-0000-00000A090000}"/>
    <cellStyle name="20% - Énfasis2 3 2 2 2 3 3 3" xfId="2318" xr:uid="{00000000-0005-0000-0000-00000B090000}"/>
    <cellStyle name="20% - Énfasis2 3 2 2 2 3 3 3 2" xfId="2319" xr:uid="{00000000-0005-0000-0000-00000C090000}"/>
    <cellStyle name="20% - Énfasis2 3 2 2 2 3 3 4" xfId="2320" xr:uid="{00000000-0005-0000-0000-00000D090000}"/>
    <cellStyle name="20% - Énfasis2 3 2 2 2 3 3 5" xfId="2321" xr:uid="{00000000-0005-0000-0000-00000E090000}"/>
    <cellStyle name="20% - Énfasis2 3 2 2 2 3 4" xfId="2322" xr:uid="{00000000-0005-0000-0000-00000F090000}"/>
    <cellStyle name="20% - Énfasis2 3 2 2 2 3 4 2" xfId="2323" xr:uid="{00000000-0005-0000-0000-000010090000}"/>
    <cellStyle name="20% - Énfasis2 3 2 2 2 3 5" xfId="2324" xr:uid="{00000000-0005-0000-0000-000011090000}"/>
    <cellStyle name="20% - Énfasis2 3 2 2 2 3 5 2" xfId="2325" xr:uid="{00000000-0005-0000-0000-000012090000}"/>
    <cellStyle name="20% - Énfasis2 3 2 2 2 3 6" xfId="2326" xr:uid="{00000000-0005-0000-0000-000013090000}"/>
    <cellStyle name="20% - Énfasis2 3 2 2 2 3 7" xfId="2327" xr:uid="{00000000-0005-0000-0000-000014090000}"/>
    <cellStyle name="20% - Énfasis2 3 2 2 2 4" xfId="2328" xr:uid="{00000000-0005-0000-0000-000015090000}"/>
    <cellStyle name="20% - Énfasis2 3 2 2 2 4 2" xfId="2329" xr:uid="{00000000-0005-0000-0000-000016090000}"/>
    <cellStyle name="20% - Énfasis2 3 2 2 2 4 2 2" xfId="2330" xr:uid="{00000000-0005-0000-0000-000017090000}"/>
    <cellStyle name="20% - Énfasis2 3 2 2 2 4 2 2 2" xfId="2331" xr:uid="{00000000-0005-0000-0000-000018090000}"/>
    <cellStyle name="20% - Énfasis2 3 2 2 2 4 2 3" xfId="2332" xr:uid="{00000000-0005-0000-0000-000019090000}"/>
    <cellStyle name="20% - Énfasis2 3 2 2 2 4 2 4" xfId="2333" xr:uid="{00000000-0005-0000-0000-00001A090000}"/>
    <cellStyle name="20% - Énfasis2 3 2 2 2 4 3" xfId="2334" xr:uid="{00000000-0005-0000-0000-00001B090000}"/>
    <cellStyle name="20% - Énfasis2 3 2 2 2 4 3 2" xfId="2335" xr:uid="{00000000-0005-0000-0000-00001C090000}"/>
    <cellStyle name="20% - Énfasis2 3 2 2 2 4 4" xfId="2336" xr:uid="{00000000-0005-0000-0000-00001D090000}"/>
    <cellStyle name="20% - Énfasis2 3 2 2 2 4 5" xfId="2337" xr:uid="{00000000-0005-0000-0000-00001E090000}"/>
    <cellStyle name="20% - Énfasis2 3 2 2 2 5" xfId="2338" xr:uid="{00000000-0005-0000-0000-00001F090000}"/>
    <cellStyle name="20% - Énfasis2 3 2 2 2 5 2" xfId="2339" xr:uid="{00000000-0005-0000-0000-000020090000}"/>
    <cellStyle name="20% - Énfasis2 3 2 2 2 5 2 2" xfId="2340" xr:uid="{00000000-0005-0000-0000-000021090000}"/>
    <cellStyle name="20% - Énfasis2 3 2 2 2 5 3" xfId="2341" xr:uid="{00000000-0005-0000-0000-000022090000}"/>
    <cellStyle name="20% - Énfasis2 3 2 2 2 5 3 2" xfId="2342" xr:uid="{00000000-0005-0000-0000-000023090000}"/>
    <cellStyle name="20% - Énfasis2 3 2 2 2 5 4" xfId="2343" xr:uid="{00000000-0005-0000-0000-000024090000}"/>
    <cellStyle name="20% - Énfasis2 3 2 2 2 5 5" xfId="2344" xr:uid="{00000000-0005-0000-0000-000025090000}"/>
    <cellStyle name="20% - Énfasis2 3 2 2 2 6" xfId="2345" xr:uid="{00000000-0005-0000-0000-000026090000}"/>
    <cellStyle name="20% - Énfasis2 3 2 2 2 6 2" xfId="2346" xr:uid="{00000000-0005-0000-0000-000027090000}"/>
    <cellStyle name="20% - Énfasis2 3 2 2 2 7" xfId="2347" xr:uid="{00000000-0005-0000-0000-000028090000}"/>
    <cellStyle name="20% - Énfasis2 3 2 2 2 7 2" xfId="2348" xr:uid="{00000000-0005-0000-0000-000029090000}"/>
    <cellStyle name="20% - Énfasis2 3 2 2 2 8" xfId="2349" xr:uid="{00000000-0005-0000-0000-00002A090000}"/>
    <cellStyle name="20% - Énfasis2 3 2 2 2 9" xfId="2350" xr:uid="{00000000-0005-0000-0000-00002B090000}"/>
    <cellStyle name="20% - Énfasis2 3 2 2 3" xfId="2351" xr:uid="{00000000-0005-0000-0000-00002C090000}"/>
    <cellStyle name="20% - Énfasis2 3 2 2 3 2" xfId="2352" xr:uid="{00000000-0005-0000-0000-00002D090000}"/>
    <cellStyle name="20% - Énfasis2 3 2 2 3 2 2" xfId="2353" xr:uid="{00000000-0005-0000-0000-00002E090000}"/>
    <cellStyle name="20% - Énfasis2 3 2 2 3 2 2 2" xfId="2354" xr:uid="{00000000-0005-0000-0000-00002F090000}"/>
    <cellStyle name="20% - Énfasis2 3 2 2 3 2 2 2 2" xfId="2355" xr:uid="{00000000-0005-0000-0000-000030090000}"/>
    <cellStyle name="20% - Énfasis2 3 2 2 3 2 2 2 2 2" xfId="2356" xr:uid="{00000000-0005-0000-0000-000031090000}"/>
    <cellStyle name="20% - Énfasis2 3 2 2 3 2 2 2 3" xfId="2357" xr:uid="{00000000-0005-0000-0000-000032090000}"/>
    <cellStyle name="20% - Énfasis2 3 2 2 3 2 2 2 4" xfId="2358" xr:uid="{00000000-0005-0000-0000-000033090000}"/>
    <cellStyle name="20% - Énfasis2 3 2 2 3 2 2 3" xfId="2359" xr:uid="{00000000-0005-0000-0000-000034090000}"/>
    <cellStyle name="20% - Énfasis2 3 2 2 3 2 2 3 2" xfId="2360" xr:uid="{00000000-0005-0000-0000-000035090000}"/>
    <cellStyle name="20% - Énfasis2 3 2 2 3 2 2 4" xfId="2361" xr:uid="{00000000-0005-0000-0000-000036090000}"/>
    <cellStyle name="20% - Énfasis2 3 2 2 3 2 2 5" xfId="2362" xr:uid="{00000000-0005-0000-0000-000037090000}"/>
    <cellStyle name="20% - Énfasis2 3 2 2 3 2 3" xfId="2363" xr:uid="{00000000-0005-0000-0000-000038090000}"/>
    <cellStyle name="20% - Énfasis2 3 2 2 3 2 3 2" xfId="2364" xr:uid="{00000000-0005-0000-0000-000039090000}"/>
    <cellStyle name="20% - Énfasis2 3 2 2 3 2 3 2 2" xfId="2365" xr:uid="{00000000-0005-0000-0000-00003A090000}"/>
    <cellStyle name="20% - Énfasis2 3 2 2 3 2 3 3" xfId="2366" xr:uid="{00000000-0005-0000-0000-00003B090000}"/>
    <cellStyle name="20% - Énfasis2 3 2 2 3 2 3 4" xfId="2367" xr:uid="{00000000-0005-0000-0000-00003C090000}"/>
    <cellStyle name="20% - Énfasis2 3 2 2 3 2 4" xfId="2368" xr:uid="{00000000-0005-0000-0000-00003D090000}"/>
    <cellStyle name="20% - Énfasis2 3 2 2 3 2 4 2" xfId="2369" xr:uid="{00000000-0005-0000-0000-00003E090000}"/>
    <cellStyle name="20% - Énfasis2 3 2 2 3 2 5" xfId="2370" xr:uid="{00000000-0005-0000-0000-00003F090000}"/>
    <cellStyle name="20% - Énfasis2 3 2 2 3 2 6" xfId="2371" xr:uid="{00000000-0005-0000-0000-000040090000}"/>
    <cellStyle name="20% - Énfasis2 3 2 2 3 3" xfId="2372" xr:uid="{00000000-0005-0000-0000-000041090000}"/>
    <cellStyle name="20% - Énfasis2 3 2 2 3 3 2" xfId="2373" xr:uid="{00000000-0005-0000-0000-000042090000}"/>
    <cellStyle name="20% - Énfasis2 3 2 2 3 3 2 2" xfId="2374" xr:uid="{00000000-0005-0000-0000-000043090000}"/>
    <cellStyle name="20% - Énfasis2 3 2 2 3 3 2 2 2" xfId="2375" xr:uid="{00000000-0005-0000-0000-000044090000}"/>
    <cellStyle name="20% - Énfasis2 3 2 2 3 3 2 3" xfId="2376" xr:uid="{00000000-0005-0000-0000-000045090000}"/>
    <cellStyle name="20% - Énfasis2 3 2 2 3 3 2 4" xfId="2377" xr:uid="{00000000-0005-0000-0000-000046090000}"/>
    <cellStyle name="20% - Énfasis2 3 2 2 3 3 3" xfId="2378" xr:uid="{00000000-0005-0000-0000-000047090000}"/>
    <cellStyle name="20% - Énfasis2 3 2 2 3 3 3 2" xfId="2379" xr:uid="{00000000-0005-0000-0000-000048090000}"/>
    <cellStyle name="20% - Énfasis2 3 2 2 3 3 4" xfId="2380" xr:uid="{00000000-0005-0000-0000-000049090000}"/>
    <cellStyle name="20% - Énfasis2 3 2 2 3 3 5" xfId="2381" xr:uid="{00000000-0005-0000-0000-00004A090000}"/>
    <cellStyle name="20% - Énfasis2 3 2 2 3 4" xfId="2382" xr:uid="{00000000-0005-0000-0000-00004B090000}"/>
    <cellStyle name="20% - Énfasis2 3 2 2 3 4 2" xfId="2383" xr:uid="{00000000-0005-0000-0000-00004C090000}"/>
    <cellStyle name="20% - Énfasis2 3 2 2 3 4 2 2" xfId="2384" xr:uid="{00000000-0005-0000-0000-00004D090000}"/>
    <cellStyle name="20% - Énfasis2 3 2 2 3 4 3" xfId="2385" xr:uid="{00000000-0005-0000-0000-00004E090000}"/>
    <cellStyle name="20% - Énfasis2 3 2 2 3 4 4" xfId="2386" xr:uid="{00000000-0005-0000-0000-00004F090000}"/>
    <cellStyle name="20% - Énfasis2 3 2 2 3 5" xfId="2387" xr:uid="{00000000-0005-0000-0000-000050090000}"/>
    <cellStyle name="20% - Énfasis2 3 2 2 3 5 2" xfId="2388" xr:uid="{00000000-0005-0000-0000-000051090000}"/>
    <cellStyle name="20% - Énfasis2 3 2 2 3 6" xfId="2389" xr:uid="{00000000-0005-0000-0000-000052090000}"/>
    <cellStyle name="20% - Énfasis2 3 2 2 3 7" xfId="2390" xr:uid="{00000000-0005-0000-0000-000053090000}"/>
    <cellStyle name="20% - Énfasis2 3 2 2 4" xfId="2391" xr:uid="{00000000-0005-0000-0000-000054090000}"/>
    <cellStyle name="20% - Énfasis2 3 2 2 4 2" xfId="2392" xr:uid="{00000000-0005-0000-0000-000055090000}"/>
    <cellStyle name="20% - Énfasis2 3 2 2 4 2 2" xfId="2393" xr:uid="{00000000-0005-0000-0000-000056090000}"/>
    <cellStyle name="20% - Énfasis2 3 2 2 4 2 2 2" xfId="2394" xr:uid="{00000000-0005-0000-0000-000057090000}"/>
    <cellStyle name="20% - Énfasis2 3 2 2 4 2 2 2 2" xfId="2395" xr:uid="{00000000-0005-0000-0000-000058090000}"/>
    <cellStyle name="20% - Énfasis2 3 2 2 4 2 2 3" xfId="2396" xr:uid="{00000000-0005-0000-0000-000059090000}"/>
    <cellStyle name="20% - Énfasis2 3 2 2 4 2 2 4" xfId="2397" xr:uid="{00000000-0005-0000-0000-00005A090000}"/>
    <cellStyle name="20% - Énfasis2 3 2 2 4 2 3" xfId="2398" xr:uid="{00000000-0005-0000-0000-00005B090000}"/>
    <cellStyle name="20% - Énfasis2 3 2 2 4 2 3 2" xfId="2399" xr:uid="{00000000-0005-0000-0000-00005C090000}"/>
    <cellStyle name="20% - Énfasis2 3 2 2 4 2 4" xfId="2400" xr:uid="{00000000-0005-0000-0000-00005D090000}"/>
    <cellStyle name="20% - Énfasis2 3 2 2 4 2 5" xfId="2401" xr:uid="{00000000-0005-0000-0000-00005E090000}"/>
    <cellStyle name="20% - Énfasis2 3 2 2 4 3" xfId="2402" xr:uid="{00000000-0005-0000-0000-00005F090000}"/>
    <cellStyle name="20% - Énfasis2 3 2 2 4 3 2" xfId="2403" xr:uid="{00000000-0005-0000-0000-000060090000}"/>
    <cellStyle name="20% - Énfasis2 3 2 2 4 3 2 2" xfId="2404" xr:uid="{00000000-0005-0000-0000-000061090000}"/>
    <cellStyle name="20% - Énfasis2 3 2 2 4 3 3" xfId="2405" xr:uid="{00000000-0005-0000-0000-000062090000}"/>
    <cellStyle name="20% - Énfasis2 3 2 2 4 3 3 2" xfId="2406" xr:uid="{00000000-0005-0000-0000-000063090000}"/>
    <cellStyle name="20% - Énfasis2 3 2 2 4 3 4" xfId="2407" xr:uid="{00000000-0005-0000-0000-000064090000}"/>
    <cellStyle name="20% - Énfasis2 3 2 2 4 3 5" xfId="2408" xr:uid="{00000000-0005-0000-0000-000065090000}"/>
    <cellStyle name="20% - Énfasis2 3 2 2 4 4" xfId="2409" xr:uid="{00000000-0005-0000-0000-000066090000}"/>
    <cellStyle name="20% - Énfasis2 3 2 2 4 4 2" xfId="2410" xr:uid="{00000000-0005-0000-0000-000067090000}"/>
    <cellStyle name="20% - Énfasis2 3 2 2 4 5" xfId="2411" xr:uid="{00000000-0005-0000-0000-000068090000}"/>
    <cellStyle name="20% - Énfasis2 3 2 2 4 5 2" xfId="2412" xr:uid="{00000000-0005-0000-0000-000069090000}"/>
    <cellStyle name="20% - Énfasis2 3 2 2 4 6" xfId="2413" xr:uid="{00000000-0005-0000-0000-00006A090000}"/>
    <cellStyle name="20% - Énfasis2 3 2 2 4 7" xfId="2414" xr:uid="{00000000-0005-0000-0000-00006B090000}"/>
    <cellStyle name="20% - Énfasis2 3 2 2 5" xfId="2415" xr:uid="{00000000-0005-0000-0000-00006C090000}"/>
    <cellStyle name="20% - Énfasis2 3 2 2 5 2" xfId="2416" xr:uid="{00000000-0005-0000-0000-00006D090000}"/>
    <cellStyle name="20% - Énfasis2 3 2 2 5 2 2" xfId="2417" xr:uid="{00000000-0005-0000-0000-00006E090000}"/>
    <cellStyle name="20% - Énfasis2 3 2 2 5 2 2 2" xfId="2418" xr:uid="{00000000-0005-0000-0000-00006F090000}"/>
    <cellStyle name="20% - Énfasis2 3 2 2 5 2 3" xfId="2419" xr:uid="{00000000-0005-0000-0000-000070090000}"/>
    <cellStyle name="20% - Énfasis2 3 2 2 5 2 4" xfId="2420" xr:uid="{00000000-0005-0000-0000-000071090000}"/>
    <cellStyle name="20% - Énfasis2 3 2 2 5 3" xfId="2421" xr:uid="{00000000-0005-0000-0000-000072090000}"/>
    <cellStyle name="20% - Énfasis2 3 2 2 5 3 2" xfId="2422" xr:uid="{00000000-0005-0000-0000-000073090000}"/>
    <cellStyle name="20% - Énfasis2 3 2 2 5 4" xfId="2423" xr:uid="{00000000-0005-0000-0000-000074090000}"/>
    <cellStyle name="20% - Énfasis2 3 2 2 5 5" xfId="2424" xr:uid="{00000000-0005-0000-0000-000075090000}"/>
    <cellStyle name="20% - Énfasis2 3 2 2 6" xfId="2425" xr:uid="{00000000-0005-0000-0000-000076090000}"/>
    <cellStyle name="20% - Énfasis2 3 2 2 6 2" xfId="2426" xr:uid="{00000000-0005-0000-0000-000077090000}"/>
    <cellStyle name="20% - Énfasis2 3 2 2 6 2 2" xfId="2427" xr:uid="{00000000-0005-0000-0000-000078090000}"/>
    <cellStyle name="20% - Énfasis2 3 2 2 6 3" xfId="2428" xr:uid="{00000000-0005-0000-0000-000079090000}"/>
    <cellStyle name="20% - Énfasis2 3 2 2 6 3 2" xfId="2429" xr:uid="{00000000-0005-0000-0000-00007A090000}"/>
    <cellStyle name="20% - Énfasis2 3 2 2 6 4" xfId="2430" xr:uid="{00000000-0005-0000-0000-00007B090000}"/>
    <cellStyle name="20% - Énfasis2 3 2 2 6 5" xfId="2431" xr:uid="{00000000-0005-0000-0000-00007C090000}"/>
    <cellStyle name="20% - Énfasis2 3 2 2 7" xfId="2432" xr:uid="{00000000-0005-0000-0000-00007D090000}"/>
    <cellStyle name="20% - Énfasis2 3 2 2 7 2" xfId="2433" xr:uid="{00000000-0005-0000-0000-00007E090000}"/>
    <cellStyle name="20% - Énfasis2 3 2 2 8" xfId="2434" xr:uid="{00000000-0005-0000-0000-00007F090000}"/>
    <cellStyle name="20% - Énfasis2 3 2 2 8 2" xfId="2435" xr:uid="{00000000-0005-0000-0000-000080090000}"/>
    <cellStyle name="20% - Énfasis2 3 2 2 9" xfId="2436" xr:uid="{00000000-0005-0000-0000-000081090000}"/>
    <cellStyle name="20% - Énfasis2 3 2 3" xfId="2437" xr:uid="{00000000-0005-0000-0000-000082090000}"/>
    <cellStyle name="20% - Énfasis2 3 2 3 2" xfId="2438" xr:uid="{00000000-0005-0000-0000-000083090000}"/>
    <cellStyle name="20% - Énfasis2 3 2 3 2 2" xfId="2439" xr:uid="{00000000-0005-0000-0000-000084090000}"/>
    <cellStyle name="20% - Énfasis2 3 2 3 2 2 2" xfId="2440" xr:uid="{00000000-0005-0000-0000-000085090000}"/>
    <cellStyle name="20% - Énfasis2 3 2 3 2 2 2 2" xfId="2441" xr:uid="{00000000-0005-0000-0000-000086090000}"/>
    <cellStyle name="20% - Énfasis2 3 2 3 2 2 2 2 2" xfId="2442" xr:uid="{00000000-0005-0000-0000-000087090000}"/>
    <cellStyle name="20% - Énfasis2 3 2 3 2 2 2 2 2 2" xfId="2443" xr:uid="{00000000-0005-0000-0000-000088090000}"/>
    <cellStyle name="20% - Énfasis2 3 2 3 2 2 2 2 3" xfId="2444" xr:uid="{00000000-0005-0000-0000-000089090000}"/>
    <cellStyle name="20% - Énfasis2 3 2 3 2 2 2 2 4" xfId="2445" xr:uid="{00000000-0005-0000-0000-00008A090000}"/>
    <cellStyle name="20% - Énfasis2 3 2 3 2 2 2 3" xfId="2446" xr:uid="{00000000-0005-0000-0000-00008B090000}"/>
    <cellStyle name="20% - Énfasis2 3 2 3 2 2 2 3 2" xfId="2447" xr:uid="{00000000-0005-0000-0000-00008C090000}"/>
    <cellStyle name="20% - Énfasis2 3 2 3 2 2 2 4" xfId="2448" xr:uid="{00000000-0005-0000-0000-00008D090000}"/>
    <cellStyle name="20% - Énfasis2 3 2 3 2 2 2 5" xfId="2449" xr:uid="{00000000-0005-0000-0000-00008E090000}"/>
    <cellStyle name="20% - Énfasis2 3 2 3 2 2 3" xfId="2450" xr:uid="{00000000-0005-0000-0000-00008F090000}"/>
    <cellStyle name="20% - Énfasis2 3 2 3 2 2 3 2" xfId="2451" xr:uid="{00000000-0005-0000-0000-000090090000}"/>
    <cellStyle name="20% - Énfasis2 3 2 3 2 2 3 2 2" xfId="2452" xr:uid="{00000000-0005-0000-0000-000091090000}"/>
    <cellStyle name="20% - Énfasis2 3 2 3 2 2 3 3" xfId="2453" xr:uid="{00000000-0005-0000-0000-000092090000}"/>
    <cellStyle name="20% - Énfasis2 3 2 3 2 2 3 4" xfId="2454" xr:uid="{00000000-0005-0000-0000-000093090000}"/>
    <cellStyle name="20% - Énfasis2 3 2 3 2 2 4" xfId="2455" xr:uid="{00000000-0005-0000-0000-000094090000}"/>
    <cellStyle name="20% - Énfasis2 3 2 3 2 2 4 2" xfId="2456" xr:uid="{00000000-0005-0000-0000-000095090000}"/>
    <cellStyle name="20% - Énfasis2 3 2 3 2 2 5" xfId="2457" xr:uid="{00000000-0005-0000-0000-000096090000}"/>
    <cellStyle name="20% - Énfasis2 3 2 3 2 2 6" xfId="2458" xr:uid="{00000000-0005-0000-0000-000097090000}"/>
    <cellStyle name="20% - Énfasis2 3 2 3 2 3" xfId="2459" xr:uid="{00000000-0005-0000-0000-000098090000}"/>
    <cellStyle name="20% - Énfasis2 3 2 3 2 3 2" xfId="2460" xr:uid="{00000000-0005-0000-0000-000099090000}"/>
    <cellStyle name="20% - Énfasis2 3 2 3 2 3 2 2" xfId="2461" xr:uid="{00000000-0005-0000-0000-00009A090000}"/>
    <cellStyle name="20% - Énfasis2 3 2 3 2 3 2 2 2" xfId="2462" xr:uid="{00000000-0005-0000-0000-00009B090000}"/>
    <cellStyle name="20% - Énfasis2 3 2 3 2 3 2 3" xfId="2463" xr:uid="{00000000-0005-0000-0000-00009C090000}"/>
    <cellStyle name="20% - Énfasis2 3 2 3 2 3 2 4" xfId="2464" xr:uid="{00000000-0005-0000-0000-00009D090000}"/>
    <cellStyle name="20% - Énfasis2 3 2 3 2 3 3" xfId="2465" xr:uid="{00000000-0005-0000-0000-00009E090000}"/>
    <cellStyle name="20% - Énfasis2 3 2 3 2 3 3 2" xfId="2466" xr:uid="{00000000-0005-0000-0000-00009F090000}"/>
    <cellStyle name="20% - Énfasis2 3 2 3 2 3 4" xfId="2467" xr:uid="{00000000-0005-0000-0000-0000A0090000}"/>
    <cellStyle name="20% - Énfasis2 3 2 3 2 3 5" xfId="2468" xr:uid="{00000000-0005-0000-0000-0000A1090000}"/>
    <cellStyle name="20% - Énfasis2 3 2 3 2 4" xfId="2469" xr:uid="{00000000-0005-0000-0000-0000A2090000}"/>
    <cellStyle name="20% - Énfasis2 3 2 3 2 4 2" xfId="2470" xr:uid="{00000000-0005-0000-0000-0000A3090000}"/>
    <cellStyle name="20% - Énfasis2 3 2 3 2 4 2 2" xfId="2471" xr:uid="{00000000-0005-0000-0000-0000A4090000}"/>
    <cellStyle name="20% - Énfasis2 3 2 3 2 4 3" xfId="2472" xr:uid="{00000000-0005-0000-0000-0000A5090000}"/>
    <cellStyle name="20% - Énfasis2 3 2 3 2 4 4" xfId="2473" xr:uid="{00000000-0005-0000-0000-0000A6090000}"/>
    <cellStyle name="20% - Énfasis2 3 2 3 2 5" xfId="2474" xr:uid="{00000000-0005-0000-0000-0000A7090000}"/>
    <cellStyle name="20% - Énfasis2 3 2 3 2 5 2" xfId="2475" xr:uid="{00000000-0005-0000-0000-0000A8090000}"/>
    <cellStyle name="20% - Énfasis2 3 2 3 2 6" xfId="2476" xr:uid="{00000000-0005-0000-0000-0000A9090000}"/>
    <cellStyle name="20% - Énfasis2 3 2 3 2 7" xfId="2477" xr:uid="{00000000-0005-0000-0000-0000AA090000}"/>
    <cellStyle name="20% - Énfasis2 3 2 3 3" xfId="2478" xr:uid="{00000000-0005-0000-0000-0000AB090000}"/>
    <cellStyle name="20% - Énfasis2 3 2 3 3 2" xfId="2479" xr:uid="{00000000-0005-0000-0000-0000AC090000}"/>
    <cellStyle name="20% - Énfasis2 3 2 3 3 2 2" xfId="2480" xr:uid="{00000000-0005-0000-0000-0000AD090000}"/>
    <cellStyle name="20% - Énfasis2 3 2 3 3 2 2 2" xfId="2481" xr:uid="{00000000-0005-0000-0000-0000AE090000}"/>
    <cellStyle name="20% - Énfasis2 3 2 3 3 2 2 2 2" xfId="2482" xr:uid="{00000000-0005-0000-0000-0000AF090000}"/>
    <cellStyle name="20% - Énfasis2 3 2 3 3 2 2 3" xfId="2483" xr:uid="{00000000-0005-0000-0000-0000B0090000}"/>
    <cellStyle name="20% - Énfasis2 3 2 3 3 2 2 4" xfId="2484" xr:uid="{00000000-0005-0000-0000-0000B1090000}"/>
    <cellStyle name="20% - Énfasis2 3 2 3 3 2 3" xfId="2485" xr:uid="{00000000-0005-0000-0000-0000B2090000}"/>
    <cellStyle name="20% - Énfasis2 3 2 3 3 2 3 2" xfId="2486" xr:uid="{00000000-0005-0000-0000-0000B3090000}"/>
    <cellStyle name="20% - Énfasis2 3 2 3 3 2 4" xfId="2487" xr:uid="{00000000-0005-0000-0000-0000B4090000}"/>
    <cellStyle name="20% - Énfasis2 3 2 3 3 2 5" xfId="2488" xr:uid="{00000000-0005-0000-0000-0000B5090000}"/>
    <cellStyle name="20% - Énfasis2 3 2 3 3 3" xfId="2489" xr:uid="{00000000-0005-0000-0000-0000B6090000}"/>
    <cellStyle name="20% - Énfasis2 3 2 3 3 3 2" xfId="2490" xr:uid="{00000000-0005-0000-0000-0000B7090000}"/>
    <cellStyle name="20% - Énfasis2 3 2 3 3 3 2 2" xfId="2491" xr:uid="{00000000-0005-0000-0000-0000B8090000}"/>
    <cellStyle name="20% - Énfasis2 3 2 3 3 3 3" xfId="2492" xr:uid="{00000000-0005-0000-0000-0000B9090000}"/>
    <cellStyle name="20% - Énfasis2 3 2 3 3 3 3 2" xfId="2493" xr:uid="{00000000-0005-0000-0000-0000BA090000}"/>
    <cellStyle name="20% - Énfasis2 3 2 3 3 3 4" xfId="2494" xr:uid="{00000000-0005-0000-0000-0000BB090000}"/>
    <cellStyle name="20% - Énfasis2 3 2 3 3 3 5" xfId="2495" xr:uid="{00000000-0005-0000-0000-0000BC090000}"/>
    <cellStyle name="20% - Énfasis2 3 2 3 3 4" xfId="2496" xr:uid="{00000000-0005-0000-0000-0000BD090000}"/>
    <cellStyle name="20% - Énfasis2 3 2 3 3 4 2" xfId="2497" xr:uid="{00000000-0005-0000-0000-0000BE090000}"/>
    <cellStyle name="20% - Énfasis2 3 2 3 3 5" xfId="2498" xr:uid="{00000000-0005-0000-0000-0000BF090000}"/>
    <cellStyle name="20% - Énfasis2 3 2 3 3 5 2" xfId="2499" xr:uid="{00000000-0005-0000-0000-0000C0090000}"/>
    <cellStyle name="20% - Énfasis2 3 2 3 3 6" xfId="2500" xr:uid="{00000000-0005-0000-0000-0000C1090000}"/>
    <cellStyle name="20% - Énfasis2 3 2 3 3 7" xfId="2501" xr:uid="{00000000-0005-0000-0000-0000C2090000}"/>
    <cellStyle name="20% - Énfasis2 3 2 3 4" xfId="2502" xr:uid="{00000000-0005-0000-0000-0000C3090000}"/>
    <cellStyle name="20% - Énfasis2 3 2 3 4 2" xfId="2503" xr:uid="{00000000-0005-0000-0000-0000C4090000}"/>
    <cellStyle name="20% - Énfasis2 3 2 3 4 2 2" xfId="2504" xr:uid="{00000000-0005-0000-0000-0000C5090000}"/>
    <cellStyle name="20% - Énfasis2 3 2 3 4 2 2 2" xfId="2505" xr:uid="{00000000-0005-0000-0000-0000C6090000}"/>
    <cellStyle name="20% - Énfasis2 3 2 3 4 2 3" xfId="2506" xr:uid="{00000000-0005-0000-0000-0000C7090000}"/>
    <cellStyle name="20% - Énfasis2 3 2 3 4 2 4" xfId="2507" xr:uid="{00000000-0005-0000-0000-0000C8090000}"/>
    <cellStyle name="20% - Énfasis2 3 2 3 4 3" xfId="2508" xr:uid="{00000000-0005-0000-0000-0000C9090000}"/>
    <cellStyle name="20% - Énfasis2 3 2 3 4 3 2" xfId="2509" xr:uid="{00000000-0005-0000-0000-0000CA090000}"/>
    <cellStyle name="20% - Énfasis2 3 2 3 4 4" xfId="2510" xr:uid="{00000000-0005-0000-0000-0000CB090000}"/>
    <cellStyle name="20% - Énfasis2 3 2 3 4 5" xfId="2511" xr:uid="{00000000-0005-0000-0000-0000CC090000}"/>
    <cellStyle name="20% - Énfasis2 3 2 3 5" xfId="2512" xr:uid="{00000000-0005-0000-0000-0000CD090000}"/>
    <cellStyle name="20% - Énfasis2 3 2 3 5 2" xfId="2513" xr:uid="{00000000-0005-0000-0000-0000CE090000}"/>
    <cellStyle name="20% - Énfasis2 3 2 3 5 2 2" xfId="2514" xr:uid="{00000000-0005-0000-0000-0000CF090000}"/>
    <cellStyle name="20% - Énfasis2 3 2 3 5 3" xfId="2515" xr:uid="{00000000-0005-0000-0000-0000D0090000}"/>
    <cellStyle name="20% - Énfasis2 3 2 3 5 3 2" xfId="2516" xr:uid="{00000000-0005-0000-0000-0000D1090000}"/>
    <cellStyle name="20% - Énfasis2 3 2 3 5 4" xfId="2517" xr:uid="{00000000-0005-0000-0000-0000D2090000}"/>
    <cellStyle name="20% - Énfasis2 3 2 3 5 5" xfId="2518" xr:uid="{00000000-0005-0000-0000-0000D3090000}"/>
    <cellStyle name="20% - Énfasis2 3 2 3 6" xfId="2519" xr:uid="{00000000-0005-0000-0000-0000D4090000}"/>
    <cellStyle name="20% - Énfasis2 3 2 3 6 2" xfId="2520" xr:uid="{00000000-0005-0000-0000-0000D5090000}"/>
    <cellStyle name="20% - Énfasis2 3 2 3 7" xfId="2521" xr:uid="{00000000-0005-0000-0000-0000D6090000}"/>
    <cellStyle name="20% - Énfasis2 3 2 3 7 2" xfId="2522" xr:uid="{00000000-0005-0000-0000-0000D7090000}"/>
    <cellStyle name="20% - Énfasis2 3 2 3 8" xfId="2523" xr:uid="{00000000-0005-0000-0000-0000D8090000}"/>
    <cellStyle name="20% - Énfasis2 3 2 3 9" xfId="2524" xr:uid="{00000000-0005-0000-0000-0000D9090000}"/>
    <cellStyle name="20% - Énfasis2 3 2 4" xfId="2525" xr:uid="{00000000-0005-0000-0000-0000DA090000}"/>
    <cellStyle name="20% - Énfasis2 3 2 4 2" xfId="2526" xr:uid="{00000000-0005-0000-0000-0000DB090000}"/>
    <cellStyle name="20% - Énfasis2 3 2 4 2 2" xfId="2527" xr:uid="{00000000-0005-0000-0000-0000DC090000}"/>
    <cellStyle name="20% - Énfasis2 3 2 4 2 2 2" xfId="2528" xr:uid="{00000000-0005-0000-0000-0000DD090000}"/>
    <cellStyle name="20% - Énfasis2 3 2 4 2 2 2 2" xfId="2529" xr:uid="{00000000-0005-0000-0000-0000DE090000}"/>
    <cellStyle name="20% - Énfasis2 3 2 4 2 2 2 2 2" xfId="2530" xr:uid="{00000000-0005-0000-0000-0000DF090000}"/>
    <cellStyle name="20% - Énfasis2 3 2 4 2 2 2 3" xfId="2531" xr:uid="{00000000-0005-0000-0000-0000E0090000}"/>
    <cellStyle name="20% - Énfasis2 3 2 4 2 2 2 4" xfId="2532" xr:uid="{00000000-0005-0000-0000-0000E1090000}"/>
    <cellStyle name="20% - Énfasis2 3 2 4 2 2 3" xfId="2533" xr:uid="{00000000-0005-0000-0000-0000E2090000}"/>
    <cellStyle name="20% - Énfasis2 3 2 4 2 2 3 2" xfId="2534" xr:uid="{00000000-0005-0000-0000-0000E3090000}"/>
    <cellStyle name="20% - Énfasis2 3 2 4 2 2 4" xfId="2535" xr:uid="{00000000-0005-0000-0000-0000E4090000}"/>
    <cellStyle name="20% - Énfasis2 3 2 4 2 2 5" xfId="2536" xr:uid="{00000000-0005-0000-0000-0000E5090000}"/>
    <cellStyle name="20% - Énfasis2 3 2 4 2 3" xfId="2537" xr:uid="{00000000-0005-0000-0000-0000E6090000}"/>
    <cellStyle name="20% - Énfasis2 3 2 4 2 3 2" xfId="2538" xr:uid="{00000000-0005-0000-0000-0000E7090000}"/>
    <cellStyle name="20% - Énfasis2 3 2 4 2 3 2 2" xfId="2539" xr:uid="{00000000-0005-0000-0000-0000E8090000}"/>
    <cellStyle name="20% - Énfasis2 3 2 4 2 3 3" xfId="2540" xr:uid="{00000000-0005-0000-0000-0000E9090000}"/>
    <cellStyle name="20% - Énfasis2 3 2 4 2 3 3 2" xfId="2541" xr:uid="{00000000-0005-0000-0000-0000EA090000}"/>
    <cellStyle name="20% - Énfasis2 3 2 4 2 3 4" xfId="2542" xr:uid="{00000000-0005-0000-0000-0000EB090000}"/>
    <cellStyle name="20% - Énfasis2 3 2 4 2 3 5" xfId="2543" xr:uid="{00000000-0005-0000-0000-0000EC090000}"/>
    <cellStyle name="20% - Énfasis2 3 2 4 2 4" xfId="2544" xr:uid="{00000000-0005-0000-0000-0000ED090000}"/>
    <cellStyle name="20% - Énfasis2 3 2 4 2 4 2" xfId="2545" xr:uid="{00000000-0005-0000-0000-0000EE090000}"/>
    <cellStyle name="20% - Énfasis2 3 2 4 2 5" xfId="2546" xr:uid="{00000000-0005-0000-0000-0000EF090000}"/>
    <cellStyle name="20% - Énfasis2 3 2 4 2 5 2" xfId="2547" xr:uid="{00000000-0005-0000-0000-0000F0090000}"/>
    <cellStyle name="20% - Énfasis2 3 2 4 2 6" xfId="2548" xr:uid="{00000000-0005-0000-0000-0000F1090000}"/>
    <cellStyle name="20% - Énfasis2 3 2 4 2 7" xfId="2549" xr:uid="{00000000-0005-0000-0000-0000F2090000}"/>
    <cellStyle name="20% - Énfasis2 3 2 4 3" xfId="2550" xr:uid="{00000000-0005-0000-0000-0000F3090000}"/>
    <cellStyle name="20% - Énfasis2 3 2 4 3 2" xfId="2551" xr:uid="{00000000-0005-0000-0000-0000F4090000}"/>
    <cellStyle name="20% - Énfasis2 3 2 4 3 2 2" xfId="2552" xr:uid="{00000000-0005-0000-0000-0000F5090000}"/>
    <cellStyle name="20% - Énfasis2 3 2 4 3 2 2 2" xfId="2553" xr:uid="{00000000-0005-0000-0000-0000F6090000}"/>
    <cellStyle name="20% - Énfasis2 3 2 4 3 2 3" xfId="2554" xr:uid="{00000000-0005-0000-0000-0000F7090000}"/>
    <cellStyle name="20% - Énfasis2 3 2 4 3 2 4" xfId="2555" xr:uid="{00000000-0005-0000-0000-0000F8090000}"/>
    <cellStyle name="20% - Énfasis2 3 2 4 3 3" xfId="2556" xr:uid="{00000000-0005-0000-0000-0000F9090000}"/>
    <cellStyle name="20% - Énfasis2 3 2 4 3 3 2" xfId="2557" xr:uid="{00000000-0005-0000-0000-0000FA090000}"/>
    <cellStyle name="20% - Énfasis2 3 2 4 3 4" xfId="2558" xr:uid="{00000000-0005-0000-0000-0000FB090000}"/>
    <cellStyle name="20% - Énfasis2 3 2 4 3 5" xfId="2559" xr:uid="{00000000-0005-0000-0000-0000FC090000}"/>
    <cellStyle name="20% - Énfasis2 3 2 4 4" xfId="2560" xr:uid="{00000000-0005-0000-0000-0000FD090000}"/>
    <cellStyle name="20% - Énfasis2 3 2 4 4 2" xfId="2561" xr:uid="{00000000-0005-0000-0000-0000FE090000}"/>
    <cellStyle name="20% - Énfasis2 3 2 4 4 2 2" xfId="2562" xr:uid="{00000000-0005-0000-0000-0000FF090000}"/>
    <cellStyle name="20% - Énfasis2 3 2 4 4 3" xfId="2563" xr:uid="{00000000-0005-0000-0000-0000000A0000}"/>
    <cellStyle name="20% - Énfasis2 3 2 4 4 3 2" xfId="2564" xr:uid="{00000000-0005-0000-0000-0000010A0000}"/>
    <cellStyle name="20% - Énfasis2 3 2 4 4 4" xfId="2565" xr:uid="{00000000-0005-0000-0000-0000020A0000}"/>
    <cellStyle name="20% - Énfasis2 3 2 4 4 5" xfId="2566" xr:uid="{00000000-0005-0000-0000-0000030A0000}"/>
    <cellStyle name="20% - Énfasis2 3 2 4 5" xfId="2567" xr:uid="{00000000-0005-0000-0000-0000040A0000}"/>
    <cellStyle name="20% - Énfasis2 3 2 4 5 2" xfId="2568" xr:uid="{00000000-0005-0000-0000-0000050A0000}"/>
    <cellStyle name="20% - Énfasis2 3 2 4 6" xfId="2569" xr:uid="{00000000-0005-0000-0000-0000060A0000}"/>
    <cellStyle name="20% - Énfasis2 3 2 4 6 2" xfId="2570" xr:uid="{00000000-0005-0000-0000-0000070A0000}"/>
    <cellStyle name="20% - Énfasis2 3 2 4 7" xfId="2571" xr:uid="{00000000-0005-0000-0000-0000080A0000}"/>
    <cellStyle name="20% - Énfasis2 3 2 4 8" xfId="2572" xr:uid="{00000000-0005-0000-0000-0000090A0000}"/>
    <cellStyle name="20% - Énfasis2 3 2 5" xfId="2573" xr:uid="{00000000-0005-0000-0000-00000A0A0000}"/>
    <cellStyle name="20% - Énfasis2 3 2 5 2" xfId="2574" xr:uid="{00000000-0005-0000-0000-00000B0A0000}"/>
    <cellStyle name="20% - Énfasis2 3 2 5 2 2" xfId="2575" xr:uid="{00000000-0005-0000-0000-00000C0A0000}"/>
    <cellStyle name="20% - Énfasis2 3 2 5 2 2 2" xfId="2576" xr:uid="{00000000-0005-0000-0000-00000D0A0000}"/>
    <cellStyle name="20% - Énfasis2 3 2 5 2 2 2 2" xfId="2577" xr:uid="{00000000-0005-0000-0000-00000E0A0000}"/>
    <cellStyle name="20% - Énfasis2 3 2 5 2 2 3" xfId="2578" xr:uid="{00000000-0005-0000-0000-00000F0A0000}"/>
    <cellStyle name="20% - Énfasis2 3 2 5 2 2 4" xfId="2579" xr:uid="{00000000-0005-0000-0000-0000100A0000}"/>
    <cellStyle name="20% - Énfasis2 3 2 5 2 3" xfId="2580" xr:uid="{00000000-0005-0000-0000-0000110A0000}"/>
    <cellStyle name="20% - Énfasis2 3 2 5 2 3 2" xfId="2581" xr:uid="{00000000-0005-0000-0000-0000120A0000}"/>
    <cellStyle name="20% - Énfasis2 3 2 5 2 4" xfId="2582" xr:uid="{00000000-0005-0000-0000-0000130A0000}"/>
    <cellStyle name="20% - Énfasis2 3 2 5 2 5" xfId="2583" xr:uid="{00000000-0005-0000-0000-0000140A0000}"/>
    <cellStyle name="20% - Énfasis2 3 2 5 3" xfId="2584" xr:uid="{00000000-0005-0000-0000-0000150A0000}"/>
    <cellStyle name="20% - Énfasis2 3 2 5 3 2" xfId="2585" xr:uid="{00000000-0005-0000-0000-0000160A0000}"/>
    <cellStyle name="20% - Énfasis2 3 2 5 3 2 2" xfId="2586" xr:uid="{00000000-0005-0000-0000-0000170A0000}"/>
    <cellStyle name="20% - Énfasis2 3 2 5 3 3" xfId="2587" xr:uid="{00000000-0005-0000-0000-0000180A0000}"/>
    <cellStyle name="20% - Énfasis2 3 2 5 3 3 2" xfId="2588" xr:uid="{00000000-0005-0000-0000-0000190A0000}"/>
    <cellStyle name="20% - Énfasis2 3 2 5 3 4" xfId="2589" xr:uid="{00000000-0005-0000-0000-00001A0A0000}"/>
    <cellStyle name="20% - Énfasis2 3 2 5 3 5" xfId="2590" xr:uid="{00000000-0005-0000-0000-00001B0A0000}"/>
    <cellStyle name="20% - Énfasis2 3 2 5 4" xfId="2591" xr:uid="{00000000-0005-0000-0000-00001C0A0000}"/>
    <cellStyle name="20% - Énfasis2 3 2 5 4 2" xfId="2592" xr:uid="{00000000-0005-0000-0000-00001D0A0000}"/>
    <cellStyle name="20% - Énfasis2 3 2 5 5" xfId="2593" xr:uid="{00000000-0005-0000-0000-00001E0A0000}"/>
    <cellStyle name="20% - Énfasis2 3 2 5 5 2" xfId="2594" xr:uid="{00000000-0005-0000-0000-00001F0A0000}"/>
    <cellStyle name="20% - Énfasis2 3 2 5 6" xfId="2595" xr:uid="{00000000-0005-0000-0000-0000200A0000}"/>
    <cellStyle name="20% - Énfasis2 3 2 5 7" xfId="2596" xr:uid="{00000000-0005-0000-0000-0000210A0000}"/>
    <cellStyle name="20% - Énfasis2 3 2 6" xfId="2597" xr:uid="{00000000-0005-0000-0000-0000220A0000}"/>
    <cellStyle name="20% - Énfasis2 3 2 6 2" xfId="2598" xr:uid="{00000000-0005-0000-0000-0000230A0000}"/>
    <cellStyle name="20% - Énfasis2 3 2 6 2 2" xfId="2599" xr:uid="{00000000-0005-0000-0000-0000240A0000}"/>
    <cellStyle name="20% - Énfasis2 3 2 6 2 2 2" xfId="2600" xr:uid="{00000000-0005-0000-0000-0000250A0000}"/>
    <cellStyle name="20% - Énfasis2 3 2 6 2 3" xfId="2601" xr:uid="{00000000-0005-0000-0000-0000260A0000}"/>
    <cellStyle name="20% - Énfasis2 3 2 6 2 4" xfId="2602" xr:uid="{00000000-0005-0000-0000-0000270A0000}"/>
    <cellStyle name="20% - Énfasis2 3 2 6 3" xfId="2603" xr:uid="{00000000-0005-0000-0000-0000280A0000}"/>
    <cellStyle name="20% - Énfasis2 3 2 6 3 2" xfId="2604" xr:uid="{00000000-0005-0000-0000-0000290A0000}"/>
    <cellStyle name="20% - Énfasis2 3 2 6 4" xfId="2605" xr:uid="{00000000-0005-0000-0000-00002A0A0000}"/>
    <cellStyle name="20% - Énfasis2 3 2 6 5" xfId="2606" xr:uid="{00000000-0005-0000-0000-00002B0A0000}"/>
    <cellStyle name="20% - Énfasis2 3 2 7" xfId="2607" xr:uid="{00000000-0005-0000-0000-00002C0A0000}"/>
    <cellStyle name="20% - Énfasis2 3 2 7 2" xfId="2608" xr:uid="{00000000-0005-0000-0000-00002D0A0000}"/>
    <cellStyle name="20% - Énfasis2 3 2 7 2 2" xfId="2609" xr:uid="{00000000-0005-0000-0000-00002E0A0000}"/>
    <cellStyle name="20% - Énfasis2 3 2 7 3" xfId="2610" xr:uid="{00000000-0005-0000-0000-00002F0A0000}"/>
    <cellStyle name="20% - Énfasis2 3 2 7 3 2" xfId="2611" xr:uid="{00000000-0005-0000-0000-0000300A0000}"/>
    <cellStyle name="20% - Énfasis2 3 2 7 4" xfId="2612" xr:uid="{00000000-0005-0000-0000-0000310A0000}"/>
    <cellStyle name="20% - Énfasis2 3 2 7 5" xfId="2613" xr:uid="{00000000-0005-0000-0000-0000320A0000}"/>
    <cellStyle name="20% - Énfasis2 3 2 8" xfId="2614" xr:uid="{00000000-0005-0000-0000-0000330A0000}"/>
    <cellStyle name="20% - Énfasis2 3 2 8 2" xfId="2615" xr:uid="{00000000-0005-0000-0000-0000340A0000}"/>
    <cellStyle name="20% - Énfasis2 3 2 9" xfId="2616" xr:uid="{00000000-0005-0000-0000-0000350A0000}"/>
    <cellStyle name="20% - Énfasis2 3 2 9 2" xfId="2617" xr:uid="{00000000-0005-0000-0000-0000360A0000}"/>
    <cellStyle name="20% - Énfasis2 3 3" xfId="2618" xr:uid="{00000000-0005-0000-0000-0000370A0000}"/>
    <cellStyle name="20% - Énfasis2 3 3 10" xfId="2619" xr:uid="{00000000-0005-0000-0000-0000380A0000}"/>
    <cellStyle name="20% - Énfasis2 3 3 2" xfId="2620" xr:uid="{00000000-0005-0000-0000-0000390A0000}"/>
    <cellStyle name="20% - Énfasis2 3 3 2 2" xfId="2621" xr:uid="{00000000-0005-0000-0000-00003A0A0000}"/>
    <cellStyle name="20% - Énfasis2 3 3 2 2 2" xfId="2622" xr:uid="{00000000-0005-0000-0000-00003B0A0000}"/>
    <cellStyle name="20% - Énfasis2 3 3 2 2 2 2" xfId="2623" xr:uid="{00000000-0005-0000-0000-00003C0A0000}"/>
    <cellStyle name="20% - Énfasis2 3 3 2 2 2 2 2" xfId="2624" xr:uid="{00000000-0005-0000-0000-00003D0A0000}"/>
    <cellStyle name="20% - Énfasis2 3 3 2 2 2 2 2 2" xfId="2625" xr:uid="{00000000-0005-0000-0000-00003E0A0000}"/>
    <cellStyle name="20% - Énfasis2 3 3 2 2 2 2 2 2 2" xfId="2626" xr:uid="{00000000-0005-0000-0000-00003F0A0000}"/>
    <cellStyle name="20% - Énfasis2 3 3 2 2 2 2 2 3" xfId="2627" xr:uid="{00000000-0005-0000-0000-0000400A0000}"/>
    <cellStyle name="20% - Énfasis2 3 3 2 2 2 2 2 4" xfId="2628" xr:uid="{00000000-0005-0000-0000-0000410A0000}"/>
    <cellStyle name="20% - Énfasis2 3 3 2 2 2 2 3" xfId="2629" xr:uid="{00000000-0005-0000-0000-0000420A0000}"/>
    <cellStyle name="20% - Énfasis2 3 3 2 2 2 2 3 2" xfId="2630" xr:uid="{00000000-0005-0000-0000-0000430A0000}"/>
    <cellStyle name="20% - Énfasis2 3 3 2 2 2 2 4" xfId="2631" xr:uid="{00000000-0005-0000-0000-0000440A0000}"/>
    <cellStyle name="20% - Énfasis2 3 3 2 2 2 2 5" xfId="2632" xr:uid="{00000000-0005-0000-0000-0000450A0000}"/>
    <cellStyle name="20% - Énfasis2 3 3 2 2 2 3" xfId="2633" xr:uid="{00000000-0005-0000-0000-0000460A0000}"/>
    <cellStyle name="20% - Énfasis2 3 3 2 2 2 3 2" xfId="2634" xr:uid="{00000000-0005-0000-0000-0000470A0000}"/>
    <cellStyle name="20% - Énfasis2 3 3 2 2 2 3 2 2" xfId="2635" xr:uid="{00000000-0005-0000-0000-0000480A0000}"/>
    <cellStyle name="20% - Énfasis2 3 3 2 2 2 3 3" xfId="2636" xr:uid="{00000000-0005-0000-0000-0000490A0000}"/>
    <cellStyle name="20% - Énfasis2 3 3 2 2 2 3 4" xfId="2637" xr:uid="{00000000-0005-0000-0000-00004A0A0000}"/>
    <cellStyle name="20% - Énfasis2 3 3 2 2 2 4" xfId="2638" xr:uid="{00000000-0005-0000-0000-00004B0A0000}"/>
    <cellStyle name="20% - Énfasis2 3 3 2 2 2 4 2" xfId="2639" xr:uid="{00000000-0005-0000-0000-00004C0A0000}"/>
    <cellStyle name="20% - Énfasis2 3 3 2 2 2 5" xfId="2640" xr:uid="{00000000-0005-0000-0000-00004D0A0000}"/>
    <cellStyle name="20% - Énfasis2 3 3 2 2 2 6" xfId="2641" xr:uid="{00000000-0005-0000-0000-00004E0A0000}"/>
    <cellStyle name="20% - Énfasis2 3 3 2 2 3" xfId="2642" xr:uid="{00000000-0005-0000-0000-00004F0A0000}"/>
    <cellStyle name="20% - Énfasis2 3 3 2 2 3 2" xfId="2643" xr:uid="{00000000-0005-0000-0000-0000500A0000}"/>
    <cellStyle name="20% - Énfasis2 3 3 2 2 3 2 2" xfId="2644" xr:uid="{00000000-0005-0000-0000-0000510A0000}"/>
    <cellStyle name="20% - Énfasis2 3 3 2 2 3 2 2 2" xfId="2645" xr:uid="{00000000-0005-0000-0000-0000520A0000}"/>
    <cellStyle name="20% - Énfasis2 3 3 2 2 3 2 3" xfId="2646" xr:uid="{00000000-0005-0000-0000-0000530A0000}"/>
    <cellStyle name="20% - Énfasis2 3 3 2 2 3 2 4" xfId="2647" xr:uid="{00000000-0005-0000-0000-0000540A0000}"/>
    <cellStyle name="20% - Énfasis2 3 3 2 2 3 3" xfId="2648" xr:uid="{00000000-0005-0000-0000-0000550A0000}"/>
    <cellStyle name="20% - Énfasis2 3 3 2 2 3 3 2" xfId="2649" xr:uid="{00000000-0005-0000-0000-0000560A0000}"/>
    <cellStyle name="20% - Énfasis2 3 3 2 2 3 4" xfId="2650" xr:uid="{00000000-0005-0000-0000-0000570A0000}"/>
    <cellStyle name="20% - Énfasis2 3 3 2 2 3 5" xfId="2651" xr:uid="{00000000-0005-0000-0000-0000580A0000}"/>
    <cellStyle name="20% - Énfasis2 3 3 2 2 4" xfId="2652" xr:uid="{00000000-0005-0000-0000-0000590A0000}"/>
    <cellStyle name="20% - Énfasis2 3 3 2 2 4 2" xfId="2653" xr:uid="{00000000-0005-0000-0000-00005A0A0000}"/>
    <cellStyle name="20% - Énfasis2 3 3 2 2 4 2 2" xfId="2654" xr:uid="{00000000-0005-0000-0000-00005B0A0000}"/>
    <cellStyle name="20% - Énfasis2 3 3 2 2 4 3" xfId="2655" xr:uid="{00000000-0005-0000-0000-00005C0A0000}"/>
    <cellStyle name="20% - Énfasis2 3 3 2 2 4 4" xfId="2656" xr:uid="{00000000-0005-0000-0000-00005D0A0000}"/>
    <cellStyle name="20% - Énfasis2 3 3 2 2 5" xfId="2657" xr:uid="{00000000-0005-0000-0000-00005E0A0000}"/>
    <cellStyle name="20% - Énfasis2 3 3 2 2 5 2" xfId="2658" xr:uid="{00000000-0005-0000-0000-00005F0A0000}"/>
    <cellStyle name="20% - Énfasis2 3 3 2 2 6" xfId="2659" xr:uid="{00000000-0005-0000-0000-0000600A0000}"/>
    <cellStyle name="20% - Énfasis2 3 3 2 2 7" xfId="2660" xr:uid="{00000000-0005-0000-0000-0000610A0000}"/>
    <cellStyle name="20% - Énfasis2 3 3 2 3" xfId="2661" xr:uid="{00000000-0005-0000-0000-0000620A0000}"/>
    <cellStyle name="20% - Énfasis2 3 3 2 3 2" xfId="2662" xr:uid="{00000000-0005-0000-0000-0000630A0000}"/>
    <cellStyle name="20% - Énfasis2 3 3 2 3 2 2" xfId="2663" xr:uid="{00000000-0005-0000-0000-0000640A0000}"/>
    <cellStyle name="20% - Énfasis2 3 3 2 3 2 2 2" xfId="2664" xr:uid="{00000000-0005-0000-0000-0000650A0000}"/>
    <cellStyle name="20% - Énfasis2 3 3 2 3 2 2 2 2" xfId="2665" xr:uid="{00000000-0005-0000-0000-0000660A0000}"/>
    <cellStyle name="20% - Énfasis2 3 3 2 3 2 2 3" xfId="2666" xr:uid="{00000000-0005-0000-0000-0000670A0000}"/>
    <cellStyle name="20% - Énfasis2 3 3 2 3 2 2 4" xfId="2667" xr:uid="{00000000-0005-0000-0000-0000680A0000}"/>
    <cellStyle name="20% - Énfasis2 3 3 2 3 2 3" xfId="2668" xr:uid="{00000000-0005-0000-0000-0000690A0000}"/>
    <cellStyle name="20% - Énfasis2 3 3 2 3 2 3 2" xfId="2669" xr:uid="{00000000-0005-0000-0000-00006A0A0000}"/>
    <cellStyle name="20% - Énfasis2 3 3 2 3 2 4" xfId="2670" xr:uid="{00000000-0005-0000-0000-00006B0A0000}"/>
    <cellStyle name="20% - Énfasis2 3 3 2 3 2 5" xfId="2671" xr:uid="{00000000-0005-0000-0000-00006C0A0000}"/>
    <cellStyle name="20% - Énfasis2 3 3 2 3 3" xfId="2672" xr:uid="{00000000-0005-0000-0000-00006D0A0000}"/>
    <cellStyle name="20% - Énfasis2 3 3 2 3 3 2" xfId="2673" xr:uid="{00000000-0005-0000-0000-00006E0A0000}"/>
    <cellStyle name="20% - Énfasis2 3 3 2 3 3 2 2" xfId="2674" xr:uid="{00000000-0005-0000-0000-00006F0A0000}"/>
    <cellStyle name="20% - Énfasis2 3 3 2 3 3 3" xfId="2675" xr:uid="{00000000-0005-0000-0000-0000700A0000}"/>
    <cellStyle name="20% - Énfasis2 3 3 2 3 3 3 2" xfId="2676" xr:uid="{00000000-0005-0000-0000-0000710A0000}"/>
    <cellStyle name="20% - Énfasis2 3 3 2 3 3 4" xfId="2677" xr:uid="{00000000-0005-0000-0000-0000720A0000}"/>
    <cellStyle name="20% - Énfasis2 3 3 2 3 3 5" xfId="2678" xr:uid="{00000000-0005-0000-0000-0000730A0000}"/>
    <cellStyle name="20% - Énfasis2 3 3 2 3 4" xfId="2679" xr:uid="{00000000-0005-0000-0000-0000740A0000}"/>
    <cellStyle name="20% - Énfasis2 3 3 2 3 4 2" xfId="2680" xr:uid="{00000000-0005-0000-0000-0000750A0000}"/>
    <cellStyle name="20% - Énfasis2 3 3 2 3 5" xfId="2681" xr:uid="{00000000-0005-0000-0000-0000760A0000}"/>
    <cellStyle name="20% - Énfasis2 3 3 2 3 5 2" xfId="2682" xr:uid="{00000000-0005-0000-0000-0000770A0000}"/>
    <cellStyle name="20% - Énfasis2 3 3 2 3 6" xfId="2683" xr:uid="{00000000-0005-0000-0000-0000780A0000}"/>
    <cellStyle name="20% - Énfasis2 3 3 2 3 7" xfId="2684" xr:uid="{00000000-0005-0000-0000-0000790A0000}"/>
    <cellStyle name="20% - Énfasis2 3 3 2 4" xfId="2685" xr:uid="{00000000-0005-0000-0000-00007A0A0000}"/>
    <cellStyle name="20% - Énfasis2 3 3 2 4 2" xfId="2686" xr:uid="{00000000-0005-0000-0000-00007B0A0000}"/>
    <cellStyle name="20% - Énfasis2 3 3 2 4 2 2" xfId="2687" xr:uid="{00000000-0005-0000-0000-00007C0A0000}"/>
    <cellStyle name="20% - Énfasis2 3 3 2 4 2 2 2" xfId="2688" xr:uid="{00000000-0005-0000-0000-00007D0A0000}"/>
    <cellStyle name="20% - Énfasis2 3 3 2 4 2 3" xfId="2689" xr:uid="{00000000-0005-0000-0000-00007E0A0000}"/>
    <cellStyle name="20% - Énfasis2 3 3 2 4 2 4" xfId="2690" xr:uid="{00000000-0005-0000-0000-00007F0A0000}"/>
    <cellStyle name="20% - Énfasis2 3 3 2 4 3" xfId="2691" xr:uid="{00000000-0005-0000-0000-0000800A0000}"/>
    <cellStyle name="20% - Énfasis2 3 3 2 4 3 2" xfId="2692" xr:uid="{00000000-0005-0000-0000-0000810A0000}"/>
    <cellStyle name="20% - Énfasis2 3 3 2 4 4" xfId="2693" xr:uid="{00000000-0005-0000-0000-0000820A0000}"/>
    <cellStyle name="20% - Énfasis2 3 3 2 4 5" xfId="2694" xr:uid="{00000000-0005-0000-0000-0000830A0000}"/>
    <cellStyle name="20% - Énfasis2 3 3 2 5" xfId="2695" xr:uid="{00000000-0005-0000-0000-0000840A0000}"/>
    <cellStyle name="20% - Énfasis2 3 3 2 5 2" xfId="2696" xr:uid="{00000000-0005-0000-0000-0000850A0000}"/>
    <cellStyle name="20% - Énfasis2 3 3 2 5 2 2" xfId="2697" xr:uid="{00000000-0005-0000-0000-0000860A0000}"/>
    <cellStyle name="20% - Énfasis2 3 3 2 5 3" xfId="2698" xr:uid="{00000000-0005-0000-0000-0000870A0000}"/>
    <cellStyle name="20% - Énfasis2 3 3 2 5 3 2" xfId="2699" xr:uid="{00000000-0005-0000-0000-0000880A0000}"/>
    <cellStyle name="20% - Énfasis2 3 3 2 5 4" xfId="2700" xr:uid="{00000000-0005-0000-0000-0000890A0000}"/>
    <cellStyle name="20% - Énfasis2 3 3 2 5 5" xfId="2701" xr:uid="{00000000-0005-0000-0000-00008A0A0000}"/>
    <cellStyle name="20% - Énfasis2 3 3 2 6" xfId="2702" xr:uid="{00000000-0005-0000-0000-00008B0A0000}"/>
    <cellStyle name="20% - Énfasis2 3 3 2 6 2" xfId="2703" xr:uid="{00000000-0005-0000-0000-00008C0A0000}"/>
    <cellStyle name="20% - Énfasis2 3 3 2 7" xfId="2704" xr:uid="{00000000-0005-0000-0000-00008D0A0000}"/>
    <cellStyle name="20% - Énfasis2 3 3 2 7 2" xfId="2705" xr:uid="{00000000-0005-0000-0000-00008E0A0000}"/>
    <cellStyle name="20% - Énfasis2 3 3 2 8" xfId="2706" xr:uid="{00000000-0005-0000-0000-00008F0A0000}"/>
    <cellStyle name="20% - Énfasis2 3 3 2 9" xfId="2707" xr:uid="{00000000-0005-0000-0000-0000900A0000}"/>
    <cellStyle name="20% - Énfasis2 3 3 3" xfId="2708" xr:uid="{00000000-0005-0000-0000-0000910A0000}"/>
    <cellStyle name="20% - Énfasis2 3 3 3 2" xfId="2709" xr:uid="{00000000-0005-0000-0000-0000920A0000}"/>
    <cellStyle name="20% - Énfasis2 3 3 3 2 2" xfId="2710" xr:uid="{00000000-0005-0000-0000-0000930A0000}"/>
    <cellStyle name="20% - Énfasis2 3 3 3 2 2 2" xfId="2711" xr:uid="{00000000-0005-0000-0000-0000940A0000}"/>
    <cellStyle name="20% - Énfasis2 3 3 3 2 2 2 2" xfId="2712" xr:uid="{00000000-0005-0000-0000-0000950A0000}"/>
    <cellStyle name="20% - Énfasis2 3 3 3 2 2 2 2 2" xfId="2713" xr:uid="{00000000-0005-0000-0000-0000960A0000}"/>
    <cellStyle name="20% - Énfasis2 3 3 3 2 2 2 3" xfId="2714" xr:uid="{00000000-0005-0000-0000-0000970A0000}"/>
    <cellStyle name="20% - Énfasis2 3 3 3 2 2 2 4" xfId="2715" xr:uid="{00000000-0005-0000-0000-0000980A0000}"/>
    <cellStyle name="20% - Énfasis2 3 3 3 2 2 3" xfId="2716" xr:uid="{00000000-0005-0000-0000-0000990A0000}"/>
    <cellStyle name="20% - Énfasis2 3 3 3 2 2 3 2" xfId="2717" xr:uid="{00000000-0005-0000-0000-00009A0A0000}"/>
    <cellStyle name="20% - Énfasis2 3 3 3 2 2 4" xfId="2718" xr:uid="{00000000-0005-0000-0000-00009B0A0000}"/>
    <cellStyle name="20% - Énfasis2 3 3 3 2 2 5" xfId="2719" xr:uid="{00000000-0005-0000-0000-00009C0A0000}"/>
    <cellStyle name="20% - Énfasis2 3 3 3 2 3" xfId="2720" xr:uid="{00000000-0005-0000-0000-00009D0A0000}"/>
    <cellStyle name="20% - Énfasis2 3 3 3 2 3 2" xfId="2721" xr:uid="{00000000-0005-0000-0000-00009E0A0000}"/>
    <cellStyle name="20% - Énfasis2 3 3 3 2 3 2 2" xfId="2722" xr:uid="{00000000-0005-0000-0000-00009F0A0000}"/>
    <cellStyle name="20% - Énfasis2 3 3 3 2 3 3" xfId="2723" xr:uid="{00000000-0005-0000-0000-0000A00A0000}"/>
    <cellStyle name="20% - Énfasis2 3 3 3 2 3 3 2" xfId="2724" xr:uid="{00000000-0005-0000-0000-0000A10A0000}"/>
    <cellStyle name="20% - Énfasis2 3 3 3 2 3 4" xfId="2725" xr:uid="{00000000-0005-0000-0000-0000A20A0000}"/>
    <cellStyle name="20% - Énfasis2 3 3 3 2 3 5" xfId="2726" xr:uid="{00000000-0005-0000-0000-0000A30A0000}"/>
    <cellStyle name="20% - Énfasis2 3 3 3 2 4" xfId="2727" xr:uid="{00000000-0005-0000-0000-0000A40A0000}"/>
    <cellStyle name="20% - Énfasis2 3 3 3 2 4 2" xfId="2728" xr:uid="{00000000-0005-0000-0000-0000A50A0000}"/>
    <cellStyle name="20% - Énfasis2 3 3 3 2 5" xfId="2729" xr:uid="{00000000-0005-0000-0000-0000A60A0000}"/>
    <cellStyle name="20% - Énfasis2 3 3 3 2 5 2" xfId="2730" xr:uid="{00000000-0005-0000-0000-0000A70A0000}"/>
    <cellStyle name="20% - Énfasis2 3 3 3 2 6" xfId="2731" xr:uid="{00000000-0005-0000-0000-0000A80A0000}"/>
    <cellStyle name="20% - Énfasis2 3 3 3 2 7" xfId="2732" xr:uid="{00000000-0005-0000-0000-0000A90A0000}"/>
    <cellStyle name="20% - Énfasis2 3 3 3 3" xfId="2733" xr:uid="{00000000-0005-0000-0000-0000AA0A0000}"/>
    <cellStyle name="20% - Énfasis2 3 3 3 3 2" xfId="2734" xr:uid="{00000000-0005-0000-0000-0000AB0A0000}"/>
    <cellStyle name="20% - Énfasis2 3 3 3 3 2 2" xfId="2735" xr:uid="{00000000-0005-0000-0000-0000AC0A0000}"/>
    <cellStyle name="20% - Énfasis2 3 3 3 3 2 2 2" xfId="2736" xr:uid="{00000000-0005-0000-0000-0000AD0A0000}"/>
    <cellStyle name="20% - Énfasis2 3 3 3 3 2 3" xfId="2737" xr:uid="{00000000-0005-0000-0000-0000AE0A0000}"/>
    <cellStyle name="20% - Énfasis2 3 3 3 3 2 4" xfId="2738" xr:uid="{00000000-0005-0000-0000-0000AF0A0000}"/>
    <cellStyle name="20% - Énfasis2 3 3 3 3 3" xfId="2739" xr:uid="{00000000-0005-0000-0000-0000B00A0000}"/>
    <cellStyle name="20% - Énfasis2 3 3 3 3 3 2" xfId="2740" xr:uid="{00000000-0005-0000-0000-0000B10A0000}"/>
    <cellStyle name="20% - Énfasis2 3 3 3 3 4" xfId="2741" xr:uid="{00000000-0005-0000-0000-0000B20A0000}"/>
    <cellStyle name="20% - Énfasis2 3 3 3 3 5" xfId="2742" xr:uid="{00000000-0005-0000-0000-0000B30A0000}"/>
    <cellStyle name="20% - Énfasis2 3 3 3 4" xfId="2743" xr:uid="{00000000-0005-0000-0000-0000B40A0000}"/>
    <cellStyle name="20% - Énfasis2 3 3 3 4 2" xfId="2744" xr:uid="{00000000-0005-0000-0000-0000B50A0000}"/>
    <cellStyle name="20% - Énfasis2 3 3 3 4 2 2" xfId="2745" xr:uid="{00000000-0005-0000-0000-0000B60A0000}"/>
    <cellStyle name="20% - Énfasis2 3 3 3 4 3" xfId="2746" xr:uid="{00000000-0005-0000-0000-0000B70A0000}"/>
    <cellStyle name="20% - Énfasis2 3 3 3 4 3 2" xfId="2747" xr:uid="{00000000-0005-0000-0000-0000B80A0000}"/>
    <cellStyle name="20% - Énfasis2 3 3 3 4 4" xfId="2748" xr:uid="{00000000-0005-0000-0000-0000B90A0000}"/>
    <cellStyle name="20% - Énfasis2 3 3 3 4 5" xfId="2749" xr:uid="{00000000-0005-0000-0000-0000BA0A0000}"/>
    <cellStyle name="20% - Énfasis2 3 3 3 5" xfId="2750" xr:uid="{00000000-0005-0000-0000-0000BB0A0000}"/>
    <cellStyle name="20% - Énfasis2 3 3 3 5 2" xfId="2751" xr:uid="{00000000-0005-0000-0000-0000BC0A0000}"/>
    <cellStyle name="20% - Énfasis2 3 3 3 6" xfId="2752" xr:uid="{00000000-0005-0000-0000-0000BD0A0000}"/>
    <cellStyle name="20% - Énfasis2 3 3 3 6 2" xfId="2753" xr:uid="{00000000-0005-0000-0000-0000BE0A0000}"/>
    <cellStyle name="20% - Énfasis2 3 3 3 7" xfId="2754" xr:uid="{00000000-0005-0000-0000-0000BF0A0000}"/>
    <cellStyle name="20% - Énfasis2 3 3 3 8" xfId="2755" xr:uid="{00000000-0005-0000-0000-0000C00A0000}"/>
    <cellStyle name="20% - Énfasis2 3 3 4" xfId="2756" xr:uid="{00000000-0005-0000-0000-0000C10A0000}"/>
    <cellStyle name="20% - Énfasis2 3 3 4 2" xfId="2757" xr:uid="{00000000-0005-0000-0000-0000C20A0000}"/>
    <cellStyle name="20% - Énfasis2 3 3 4 2 2" xfId="2758" xr:uid="{00000000-0005-0000-0000-0000C30A0000}"/>
    <cellStyle name="20% - Énfasis2 3 3 4 2 2 2" xfId="2759" xr:uid="{00000000-0005-0000-0000-0000C40A0000}"/>
    <cellStyle name="20% - Énfasis2 3 3 4 2 2 2 2" xfId="2760" xr:uid="{00000000-0005-0000-0000-0000C50A0000}"/>
    <cellStyle name="20% - Énfasis2 3 3 4 2 2 3" xfId="2761" xr:uid="{00000000-0005-0000-0000-0000C60A0000}"/>
    <cellStyle name="20% - Énfasis2 3 3 4 2 2 4" xfId="2762" xr:uid="{00000000-0005-0000-0000-0000C70A0000}"/>
    <cellStyle name="20% - Énfasis2 3 3 4 2 3" xfId="2763" xr:uid="{00000000-0005-0000-0000-0000C80A0000}"/>
    <cellStyle name="20% - Énfasis2 3 3 4 2 3 2" xfId="2764" xr:uid="{00000000-0005-0000-0000-0000C90A0000}"/>
    <cellStyle name="20% - Énfasis2 3 3 4 2 4" xfId="2765" xr:uid="{00000000-0005-0000-0000-0000CA0A0000}"/>
    <cellStyle name="20% - Énfasis2 3 3 4 2 5" xfId="2766" xr:uid="{00000000-0005-0000-0000-0000CB0A0000}"/>
    <cellStyle name="20% - Énfasis2 3 3 4 3" xfId="2767" xr:uid="{00000000-0005-0000-0000-0000CC0A0000}"/>
    <cellStyle name="20% - Énfasis2 3 3 4 3 2" xfId="2768" xr:uid="{00000000-0005-0000-0000-0000CD0A0000}"/>
    <cellStyle name="20% - Énfasis2 3 3 4 3 2 2" xfId="2769" xr:uid="{00000000-0005-0000-0000-0000CE0A0000}"/>
    <cellStyle name="20% - Énfasis2 3 3 4 3 3" xfId="2770" xr:uid="{00000000-0005-0000-0000-0000CF0A0000}"/>
    <cellStyle name="20% - Énfasis2 3 3 4 3 3 2" xfId="2771" xr:uid="{00000000-0005-0000-0000-0000D00A0000}"/>
    <cellStyle name="20% - Énfasis2 3 3 4 3 4" xfId="2772" xr:uid="{00000000-0005-0000-0000-0000D10A0000}"/>
    <cellStyle name="20% - Énfasis2 3 3 4 3 5" xfId="2773" xr:uid="{00000000-0005-0000-0000-0000D20A0000}"/>
    <cellStyle name="20% - Énfasis2 3 3 4 4" xfId="2774" xr:uid="{00000000-0005-0000-0000-0000D30A0000}"/>
    <cellStyle name="20% - Énfasis2 3 3 4 4 2" xfId="2775" xr:uid="{00000000-0005-0000-0000-0000D40A0000}"/>
    <cellStyle name="20% - Énfasis2 3 3 4 5" xfId="2776" xr:uid="{00000000-0005-0000-0000-0000D50A0000}"/>
    <cellStyle name="20% - Énfasis2 3 3 4 5 2" xfId="2777" xr:uid="{00000000-0005-0000-0000-0000D60A0000}"/>
    <cellStyle name="20% - Énfasis2 3 3 4 6" xfId="2778" xr:uid="{00000000-0005-0000-0000-0000D70A0000}"/>
    <cellStyle name="20% - Énfasis2 3 3 4 7" xfId="2779" xr:uid="{00000000-0005-0000-0000-0000D80A0000}"/>
    <cellStyle name="20% - Énfasis2 3 3 5" xfId="2780" xr:uid="{00000000-0005-0000-0000-0000D90A0000}"/>
    <cellStyle name="20% - Énfasis2 3 3 5 2" xfId="2781" xr:uid="{00000000-0005-0000-0000-0000DA0A0000}"/>
    <cellStyle name="20% - Énfasis2 3 3 5 2 2" xfId="2782" xr:uid="{00000000-0005-0000-0000-0000DB0A0000}"/>
    <cellStyle name="20% - Énfasis2 3 3 5 2 2 2" xfId="2783" xr:uid="{00000000-0005-0000-0000-0000DC0A0000}"/>
    <cellStyle name="20% - Énfasis2 3 3 5 2 3" xfId="2784" xr:uid="{00000000-0005-0000-0000-0000DD0A0000}"/>
    <cellStyle name="20% - Énfasis2 3 3 5 2 4" xfId="2785" xr:uid="{00000000-0005-0000-0000-0000DE0A0000}"/>
    <cellStyle name="20% - Énfasis2 3 3 5 3" xfId="2786" xr:uid="{00000000-0005-0000-0000-0000DF0A0000}"/>
    <cellStyle name="20% - Énfasis2 3 3 5 3 2" xfId="2787" xr:uid="{00000000-0005-0000-0000-0000E00A0000}"/>
    <cellStyle name="20% - Énfasis2 3 3 5 4" xfId="2788" xr:uid="{00000000-0005-0000-0000-0000E10A0000}"/>
    <cellStyle name="20% - Énfasis2 3 3 5 5" xfId="2789" xr:uid="{00000000-0005-0000-0000-0000E20A0000}"/>
    <cellStyle name="20% - Énfasis2 3 3 6" xfId="2790" xr:uid="{00000000-0005-0000-0000-0000E30A0000}"/>
    <cellStyle name="20% - Énfasis2 3 3 6 2" xfId="2791" xr:uid="{00000000-0005-0000-0000-0000E40A0000}"/>
    <cellStyle name="20% - Énfasis2 3 3 6 2 2" xfId="2792" xr:uid="{00000000-0005-0000-0000-0000E50A0000}"/>
    <cellStyle name="20% - Énfasis2 3 3 6 3" xfId="2793" xr:uid="{00000000-0005-0000-0000-0000E60A0000}"/>
    <cellStyle name="20% - Énfasis2 3 3 6 3 2" xfId="2794" xr:uid="{00000000-0005-0000-0000-0000E70A0000}"/>
    <cellStyle name="20% - Énfasis2 3 3 6 4" xfId="2795" xr:uid="{00000000-0005-0000-0000-0000E80A0000}"/>
    <cellStyle name="20% - Énfasis2 3 3 6 5" xfId="2796" xr:uid="{00000000-0005-0000-0000-0000E90A0000}"/>
    <cellStyle name="20% - Énfasis2 3 3 7" xfId="2797" xr:uid="{00000000-0005-0000-0000-0000EA0A0000}"/>
    <cellStyle name="20% - Énfasis2 3 3 7 2" xfId="2798" xr:uid="{00000000-0005-0000-0000-0000EB0A0000}"/>
    <cellStyle name="20% - Énfasis2 3 3 8" xfId="2799" xr:uid="{00000000-0005-0000-0000-0000EC0A0000}"/>
    <cellStyle name="20% - Énfasis2 3 3 8 2" xfId="2800" xr:uid="{00000000-0005-0000-0000-0000ED0A0000}"/>
    <cellStyle name="20% - Énfasis2 3 3 9" xfId="2801" xr:uid="{00000000-0005-0000-0000-0000EE0A0000}"/>
    <cellStyle name="20% - Énfasis2 3 4" xfId="2802" xr:uid="{00000000-0005-0000-0000-0000EF0A0000}"/>
    <cellStyle name="20% - Énfasis2 3 4 2" xfId="2803" xr:uid="{00000000-0005-0000-0000-0000F00A0000}"/>
    <cellStyle name="20% - Énfasis2 3 4 2 2" xfId="2804" xr:uid="{00000000-0005-0000-0000-0000F10A0000}"/>
    <cellStyle name="20% - Énfasis2 3 4 2 2 2" xfId="2805" xr:uid="{00000000-0005-0000-0000-0000F20A0000}"/>
    <cellStyle name="20% - Énfasis2 3 4 2 2 2 2" xfId="2806" xr:uid="{00000000-0005-0000-0000-0000F30A0000}"/>
    <cellStyle name="20% - Énfasis2 3 4 2 2 2 2 2" xfId="2807" xr:uid="{00000000-0005-0000-0000-0000F40A0000}"/>
    <cellStyle name="20% - Énfasis2 3 4 2 2 2 2 2 2" xfId="2808" xr:uid="{00000000-0005-0000-0000-0000F50A0000}"/>
    <cellStyle name="20% - Énfasis2 3 4 2 2 2 2 3" xfId="2809" xr:uid="{00000000-0005-0000-0000-0000F60A0000}"/>
    <cellStyle name="20% - Énfasis2 3 4 2 2 2 2 4" xfId="2810" xr:uid="{00000000-0005-0000-0000-0000F70A0000}"/>
    <cellStyle name="20% - Énfasis2 3 4 2 2 2 3" xfId="2811" xr:uid="{00000000-0005-0000-0000-0000F80A0000}"/>
    <cellStyle name="20% - Énfasis2 3 4 2 2 2 3 2" xfId="2812" xr:uid="{00000000-0005-0000-0000-0000F90A0000}"/>
    <cellStyle name="20% - Énfasis2 3 4 2 2 2 4" xfId="2813" xr:uid="{00000000-0005-0000-0000-0000FA0A0000}"/>
    <cellStyle name="20% - Énfasis2 3 4 2 2 2 5" xfId="2814" xr:uid="{00000000-0005-0000-0000-0000FB0A0000}"/>
    <cellStyle name="20% - Énfasis2 3 4 2 2 3" xfId="2815" xr:uid="{00000000-0005-0000-0000-0000FC0A0000}"/>
    <cellStyle name="20% - Énfasis2 3 4 2 2 3 2" xfId="2816" xr:uid="{00000000-0005-0000-0000-0000FD0A0000}"/>
    <cellStyle name="20% - Énfasis2 3 4 2 2 3 2 2" xfId="2817" xr:uid="{00000000-0005-0000-0000-0000FE0A0000}"/>
    <cellStyle name="20% - Énfasis2 3 4 2 2 3 3" xfId="2818" xr:uid="{00000000-0005-0000-0000-0000FF0A0000}"/>
    <cellStyle name="20% - Énfasis2 3 4 2 2 3 4" xfId="2819" xr:uid="{00000000-0005-0000-0000-0000000B0000}"/>
    <cellStyle name="20% - Énfasis2 3 4 2 2 4" xfId="2820" xr:uid="{00000000-0005-0000-0000-0000010B0000}"/>
    <cellStyle name="20% - Énfasis2 3 4 2 2 4 2" xfId="2821" xr:uid="{00000000-0005-0000-0000-0000020B0000}"/>
    <cellStyle name="20% - Énfasis2 3 4 2 2 5" xfId="2822" xr:uid="{00000000-0005-0000-0000-0000030B0000}"/>
    <cellStyle name="20% - Énfasis2 3 4 2 2 6" xfId="2823" xr:uid="{00000000-0005-0000-0000-0000040B0000}"/>
    <cellStyle name="20% - Énfasis2 3 4 2 3" xfId="2824" xr:uid="{00000000-0005-0000-0000-0000050B0000}"/>
    <cellStyle name="20% - Énfasis2 3 4 2 3 2" xfId="2825" xr:uid="{00000000-0005-0000-0000-0000060B0000}"/>
    <cellStyle name="20% - Énfasis2 3 4 2 3 2 2" xfId="2826" xr:uid="{00000000-0005-0000-0000-0000070B0000}"/>
    <cellStyle name="20% - Énfasis2 3 4 2 3 2 2 2" xfId="2827" xr:uid="{00000000-0005-0000-0000-0000080B0000}"/>
    <cellStyle name="20% - Énfasis2 3 4 2 3 2 3" xfId="2828" xr:uid="{00000000-0005-0000-0000-0000090B0000}"/>
    <cellStyle name="20% - Énfasis2 3 4 2 3 2 4" xfId="2829" xr:uid="{00000000-0005-0000-0000-00000A0B0000}"/>
    <cellStyle name="20% - Énfasis2 3 4 2 3 3" xfId="2830" xr:uid="{00000000-0005-0000-0000-00000B0B0000}"/>
    <cellStyle name="20% - Énfasis2 3 4 2 3 3 2" xfId="2831" xr:uid="{00000000-0005-0000-0000-00000C0B0000}"/>
    <cellStyle name="20% - Énfasis2 3 4 2 3 4" xfId="2832" xr:uid="{00000000-0005-0000-0000-00000D0B0000}"/>
    <cellStyle name="20% - Énfasis2 3 4 2 3 5" xfId="2833" xr:uid="{00000000-0005-0000-0000-00000E0B0000}"/>
    <cellStyle name="20% - Énfasis2 3 4 2 4" xfId="2834" xr:uid="{00000000-0005-0000-0000-00000F0B0000}"/>
    <cellStyle name="20% - Énfasis2 3 4 2 4 2" xfId="2835" xr:uid="{00000000-0005-0000-0000-0000100B0000}"/>
    <cellStyle name="20% - Énfasis2 3 4 2 4 2 2" xfId="2836" xr:uid="{00000000-0005-0000-0000-0000110B0000}"/>
    <cellStyle name="20% - Énfasis2 3 4 2 4 3" xfId="2837" xr:uid="{00000000-0005-0000-0000-0000120B0000}"/>
    <cellStyle name="20% - Énfasis2 3 4 2 4 4" xfId="2838" xr:uid="{00000000-0005-0000-0000-0000130B0000}"/>
    <cellStyle name="20% - Énfasis2 3 4 2 5" xfId="2839" xr:uid="{00000000-0005-0000-0000-0000140B0000}"/>
    <cellStyle name="20% - Énfasis2 3 4 2 5 2" xfId="2840" xr:uid="{00000000-0005-0000-0000-0000150B0000}"/>
    <cellStyle name="20% - Énfasis2 3 4 2 6" xfId="2841" xr:uid="{00000000-0005-0000-0000-0000160B0000}"/>
    <cellStyle name="20% - Énfasis2 3 4 2 7" xfId="2842" xr:uid="{00000000-0005-0000-0000-0000170B0000}"/>
    <cellStyle name="20% - Énfasis2 3 4 3" xfId="2843" xr:uid="{00000000-0005-0000-0000-0000180B0000}"/>
    <cellStyle name="20% - Énfasis2 3 4 3 2" xfId="2844" xr:uid="{00000000-0005-0000-0000-0000190B0000}"/>
    <cellStyle name="20% - Énfasis2 3 4 3 2 2" xfId="2845" xr:uid="{00000000-0005-0000-0000-00001A0B0000}"/>
    <cellStyle name="20% - Énfasis2 3 4 3 2 2 2" xfId="2846" xr:uid="{00000000-0005-0000-0000-00001B0B0000}"/>
    <cellStyle name="20% - Énfasis2 3 4 3 2 2 2 2" xfId="2847" xr:uid="{00000000-0005-0000-0000-00001C0B0000}"/>
    <cellStyle name="20% - Énfasis2 3 4 3 2 2 3" xfId="2848" xr:uid="{00000000-0005-0000-0000-00001D0B0000}"/>
    <cellStyle name="20% - Énfasis2 3 4 3 2 2 4" xfId="2849" xr:uid="{00000000-0005-0000-0000-00001E0B0000}"/>
    <cellStyle name="20% - Énfasis2 3 4 3 2 3" xfId="2850" xr:uid="{00000000-0005-0000-0000-00001F0B0000}"/>
    <cellStyle name="20% - Énfasis2 3 4 3 2 3 2" xfId="2851" xr:uid="{00000000-0005-0000-0000-0000200B0000}"/>
    <cellStyle name="20% - Énfasis2 3 4 3 2 4" xfId="2852" xr:uid="{00000000-0005-0000-0000-0000210B0000}"/>
    <cellStyle name="20% - Énfasis2 3 4 3 2 5" xfId="2853" xr:uid="{00000000-0005-0000-0000-0000220B0000}"/>
    <cellStyle name="20% - Énfasis2 3 4 3 3" xfId="2854" xr:uid="{00000000-0005-0000-0000-0000230B0000}"/>
    <cellStyle name="20% - Énfasis2 3 4 3 3 2" xfId="2855" xr:uid="{00000000-0005-0000-0000-0000240B0000}"/>
    <cellStyle name="20% - Énfasis2 3 4 3 3 2 2" xfId="2856" xr:uid="{00000000-0005-0000-0000-0000250B0000}"/>
    <cellStyle name="20% - Énfasis2 3 4 3 3 3" xfId="2857" xr:uid="{00000000-0005-0000-0000-0000260B0000}"/>
    <cellStyle name="20% - Énfasis2 3 4 3 3 3 2" xfId="2858" xr:uid="{00000000-0005-0000-0000-0000270B0000}"/>
    <cellStyle name="20% - Énfasis2 3 4 3 3 4" xfId="2859" xr:uid="{00000000-0005-0000-0000-0000280B0000}"/>
    <cellStyle name="20% - Énfasis2 3 4 3 3 5" xfId="2860" xr:uid="{00000000-0005-0000-0000-0000290B0000}"/>
    <cellStyle name="20% - Énfasis2 3 4 3 4" xfId="2861" xr:uid="{00000000-0005-0000-0000-00002A0B0000}"/>
    <cellStyle name="20% - Énfasis2 3 4 3 4 2" xfId="2862" xr:uid="{00000000-0005-0000-0000-00002B0B0000}"/>
    <cellStyle name="20% - Énfasis2 3 4 3 5" xfId="2863" xr:uid="{00000000-0005-0000-0000-00002C0B0000}"/>
    <cellStyle name="20% - Énfasis2 3 4 3 5 2" xfId="2864" xr:uid="{00000000-0005-0000-0000-00002D0B0000}"/>
    <cellStyle name="20% - Énfasis2 3 4 3 6" xfId="2865" xr:uid="{00000000-0005-0000-0000-00002E0B0000}"/>
    <cellStyle name="20% - Énfasis2 3 4 3 7" xfId="2866" xr:uid="{00000000-0005-0000-0000-00002F0B0000}"/>
    <cellStyle name="20% - Énfasis2 3 4 4" xfId="2867" xr:uid="{00000000-0005-0000-0000-0000300B0000}"/>
    <cellStyle name="20% - Énfasis2 3 4 4 2" xfId="2868" xr:uid="{00000000-0005-0000-0000-0000310B0000}"/>
    <cellStyle name="20% - Énfasis2 3 4 4 2 2" xfId="2869" xr:uid="{00000000-0005-0000-0000-0000320B0000}"/>
    <cellStyle name="20% - Énfasis2 3 4 4 2 2 2" xfId="2870" xr:uid="{00000000-0005-0000-0000-0000330B0000}"/>
    <cellStyle name="20% - Énfasis2 3 4 4 2 3" xfId="2871" xr:uid="{00000000-0005-0000-0000-0000340B0000}"/>
    <cellStyle name="20% - Énfasis2 3 4 4 2 4" xfId="2872" xr:uid="{00000000-0005-0000-0000-0000350B0000}"/>
    <cellStyle name="20% - Énfasis2 3 4 4 3" xfId="2873" xr:uid="{00000000-0005-0000-0000-0000360B0000}"/>
    <cellStyle name="20% - Énfasis2 3 4 4 3 2" xfId="2874" xr:uid="{00000000-0005-0000-0000-0000370B0000}"/>
    <cellStyle name="20% - Énfasis2 3 4 4 4" xfId="2875" xr:uid="{00000000-0005-0000-0000-0000380B0000}"/>
    <cellStyle name="20% - Énfasis2 3 4 4 5" xfId="2876" xr:uid="{00000000-0005-0000-0000-0000390B0000}"/>
    <cellStyle name="20% - Énfasis2 3 4 5" xfId="2877" xr:uid="{00000000-0005-0000-0000-00003A0B0000}"/>
    <cellStyle name="20% - Énfasis2 3 4 5 2" xfId="2878" xr:uid="{00000000-0005-0000-0000-00003B0B0000}"/>
    <cellStyle name="20% - Énfasis2 3 4 5 2 2" xfId="2879" xr:uid="{00000000-0005-0000-0000-00003C0B0000}"/>
    <cellStyle name="20% - Énfasis2 3 4 5 3" xfId="2880" xr:uid="{00000000-0005-0000-0000-00003D0B0000}"/>
    <cellStyle name="20% - Énfasis2 3 4 5 3 2" xfId="2881" xr:uid="{00000000-0005-0000-0000-00003E0B0000}"/>
    <cellStyle name="20% - Énfasis2 3 4 5 4" xfId="2882" xr:uid="{00000000-0005-0000-0000-00003F0B0000}"/>
    <cellStyle name="20% - Énfasis2 3 4 5 5" xfId="2883" xr:uid="{00000000-0005-0000-0000-0000400B0000}"/>
    <cellStyle name="20% - Énfasis2 3 4 6" xfId="2884" xr:uid="{00000000-0005-0000-0000-0000410B0000}"/>
    <cellStyle name="20% - Énfasis2 3 4 6 2" xfId="2885" xr:uid="{00000000-0005-0000-0000-0000420B0000}"/>
    <cellStyle name="20% - Énfasis2 3 4 7" xfId="2886" xr:uid="{00000000-0005-0000-0000-0000430B0000}"/>
    <cellStyle name="20% - Énfasis2 3 4 7 2" xfId="2887" xr:uid="{00000000-0005-0000-0000-0000440B0000}"/>
    <cellStyle name="20% - Énfasis2 3 4 8" xfId="2888" xr:uid="{00000000-0005-0000-0000-0000450B0000}"/>
    <cellStyle name="20% - Énfasis2 3 4 9" xfId="2889" xr:uid="{00000000-0005-0000-0000-0000460B0000}"/>
    <cellStyle name="20% - Énfasis2 3 5" xfId="2890" xr:uid="{00000000-0005-0000-0000-0000470B0000}"/>
    <cellStyle name="20% - Énfasis2 3 5 2" xfId="2891" xr:uid="{00000000-0005-0000-0000-0000480B0000}"/>
    <cellStyle name="20% - Énfasis2 3 5 2 2" xfId="2892" xr:uid="{00000000-0005-0000-0000-0000490B0000}"/>
    <cellStyle name="20% - Énfasis2 3 5 2 2 2" xfId="2893" xr:uid="{00000000-0005-0000-0000-00004A0B0000}"/>
    <cellStyle name="20% - Énfasis2 3 5 2 2 2 2" xfId="2894" xr:uid="{00000000-0005-0000-0000-00004B0B0000}"/>
    <cellStyle name="20% - Énfasis2 3 5 2 2 2 2 2" xfId="2895" xr:uid="{00000000-0005-0000-0000-00004C0B0000}"/>
    <cellStyle name="20% - Énfasis2 3 5 2 2 2 3" xfId="2896" xr:uid="{00000000-0005-0000-0000-00004D0B0000}"/>
    <cellStyle name="20% - Énfasis2 3 5 2 2 2 4" xfId="2897" xr:uid="{00000000-0005-0000-0000-00004E0B0000}"/>
    <cellStyle name="20% - Énfasis2 3 5 2 2 3" xfId="2898" xr:uid="{00000000-0005-0000-0000-00004F0B0000}"/>
    <cellStyle name="20% - Énfasis2 3 5 2 2 3 2" xfId="2899" xr:uid="{00000000-0005-0000-0000-0000500B0000}"/>
    <cellStyle name="20% - Énfasis2 3 5 2 2 4" xfId="2900" xr:uid="{00000000-0005-0000-0000-0000510B0000}"/>
    <cellStyle name="20% - Énfasis2 3 5 2 2 5" xfId="2901" xr:uid="{00000000-0005-0000-0000-0000520B0000}"/>
    <cellStyle name="20% - Énfasis2 3 5 2 3" xfId="2902" xr:uid="{00000000-0005-0000-0000-0000530B0000}"/>
    <cellStyle name="20% - Énfasis2 3 5 2 3 2" xfId="2903" xr:uid="{00000000-0005-0000-0000-0000540B0000}"/>
    <cellStyle name="20% - Énfasis2 3 5 2 3 2 2" xfId="2904" xr:uid="{00000000-0005-0000-0000-0000550B0000}"/>
    <cellStyle name="20% - Énfasis2 3 5 2 3 3" xfId="2905" xr:uid="{00000000-0005-0000-0000-0000560B0000}"/>
    <cellStyle name="20% - Énfasis2 3 5 2 3 3 2" xfId="2906" xr:uid="{00000000-0005-0000-0000-0000570B0000}"/>
    <cellStyle name="20% - Énfasis2 3 5 2 3 4" xfId="2907" xr:uid="{00000000-0005-0000-0000-0000580B0000}"/>
    <cellStyle name="20% - Énfasis2 3 5 2 3 5" xfId="2908" xr:uid="{00000000-0005-0000-0000-0000590B0000}"/>
    <cellStyle name="20% - Énfasis2 3 5 2 4" xfId="2909" xr:uid="{00000000-0005-0000-0000-00005A0B0000}"/>
    <cellStyle name="20% - Énfasis2 3 5 2 4 2" xfId="2910" xr:uid="{00000000-0005-0000-0000-00005B0B0000}"/>
    <cellStyle name="20% - Énfasis2 3 5 2 5" xfId="2911" xr:uid="{00000000-0005-0000-0000-00005C0B0000}"/>
    <cellStyle name="20% - Énfasis2 3 5 2 5 2" xfId="2912" xr:uid="{00000000-0005-0000-0000-00005D0B0000}"/>
    <cellStyle name="20% - Énfasis2 3 5 2 6" xfId="2913" xr:uid="{00000000-0005-0000-0000-00005E0B0000}"/>
    <cellStyle name="20% - Énfasis2 3 5 2 7" xfId="2914" xr:uid="{00000000-0005-0000-0000-00005F0B0000}"/>
    <cellStyle name="20% - Énfasis2 3 5 3" xfId="2915" xr:uid="{00000000-0005-0000-0000-0000600B0000}"/>
    <cellStyle name="20% - Énfasis2 3 5 3 2" xfId="2916" xr:uid="{00000000-0005-0000-0000-0000610B0000}"/>
    <cellStyle name="20% - Énfasis2 3 5 3 2 2" xfId="2917" xr:uid="{00000000-0005-0000-0000-0000620B0000}"/>
    <cellStyle name="20% - Énfasis2 3 5 3 2 2 2" xfId="2918" xr:uid="{00000000-0005-0000-0000-0000630B0000}"/>
    <cellStyle name="20% - Énfasis2 3 5 3 2 3" xfId="2919" xr:uid="{00000000-0005-0000-0000-0000640B0000}"/>
    <cellStyle name="20% - Énfasis2 3 5 3 2 4" xfId="2920" xr:uid="{00000000-0005-0000-0000-0000650B0000}"/>
    <cellStyle name="20% - Énfasis2 3 5 3 3" xfId="2921" xr:uid="{00000000-0005-0000-0000-0000660B0000}"/>
    <cellStyle name="20% - Énfasis2 3 5 3 3 2" xfId="2922" xr:uid="{00000000-0005-0000-0000-0000670B0000}"/>
    <cellStyle name="20% - Énfasis2 3 5 3 4" xfId="2923" xr:uid="{00000000-0005-0000-0000-0000680B0000}"/>
    <cellStyle name="20% - Énfasis2 3 5 3 5" xfId="2924" xr:uid="{00000000-0005-0000-0000-0000690B0000}"/>
    <cellStyle name="20% - Énfasis2 3 5 4" xfId="2925" xr:uid="{00000000-0005-0000-0000-00006A0B0000}"/>
    <cellStyle name="20% - Énfasis2 3 5 4 2" xfId="2926" xr:uid="{00000000-0005-0000-0000-00006B0B0000}"/>
    <cellStyle name="20% - Énfasis2 3 5 4 2 2" xfId="2927" xr:uid="{00000000-0005-0000-0000-00006C0B0000}"/>
    <cellStyle name="20% - Énfasis2 3 5 4 3" xfId="2928" xr:uid="{00000000-0005-0000-0000-00006D0B0000}"/>
    <cellStyle name="20% - Énfasis2 3 5 4 3 2" xfId="2929" xr:uid="{00000000-0005-0000-0000-00006E0B0000}"/>
    <cellStyle name="20% - Énfasis2 3 5 4 4" xfId="2930" xr:uid="{00000000-0005-0000-0000-00006F0B0000}"/>
    <cellStyle name="20% - Énfasis2 3 5 4 5" xfId="2931" xr:uid="{00000000-0005-0000-0000-0000700B0000}"/>
    <cellStyle name="20% - Énfasis2 3 5 5" xfId="2932" xr:uid="{00000000-0005-0000-0000-0000710B0000}"/>
    <cellStyle name="20% - Énfasis2 3 5 5 2" xfId="2933" xr:uid="{00000000-0005-0000-0000-0000720B0000}"/>
    <cellStyle name="20% - Énfasis2 3 5 6" xfId="2934" xr:uid="{00000000-0005-0000-0000-0000730B0000}"/>
    <cellStyle name="20% - Énfasis2 3 5 6 2" xfId="2935" xr:uid="{00000000-0005-0000-0000-0000740B0000}"/>
    <cellStyle name="20% - Énfasis2 3 5 7" xfId="2936" xr:uid="{00000000-0005-0000-0000-0000750B0000}"/>
    <cellStyle name="20% - Énfasis2 3 5 8" xfId="2937" xr:uid="{00000000-0005-0000-0000-0000760B0000}"/>
    <cellStyle name="20% - Énfasis2 3 6" xfId="2938" xr:uid="{00000000-0005-0000-0000-0000770B0000}"/>
    <cellStyle name="20% - Énfasis2 3 6 2" xfId="2939" xr:uid="{00000000-0005-0000-0000-0000780B0000}"/>
    <cellStyle name="20% - Énfasis2 3 6 2 2" xfId="2940" xr:uid="{00000000-0005-0000-0000-0000790B0000}"/>
    <cellStyle name="20% - Énfasis2 3 6 2 2 2" xfId="2941" xr:uid="{00000000-0005-0000-0000-00007A0B0000}"/>
    <cellStyle name="20% - Énfasis2 3 6 2 2 2 2" xfId="2942" xr:uid="{00000000-0005-0000-0000-00007B0B0000}"/>
    <cellStyle name="20% - Énfasis2 3 6 2 2 3" xfId="2943" xr:uid="{00000000-0005-0000-0000-00007C0B0000}"/>
    <cellStyle name="20% - Énfasis2 3 6 2 2 4" xfId="2944" xr:uid="{00000000-0005-0000-0000-00007D0B0000}"/>
    <cellStyle name="20% - Énfasis2 3 6 2 3" xfId="2945" xr:uid="{00000000-0005-0000-0000-00007E0B0000}"/>
    <cellStyle name="20% - Énfasis2 3 6 2 3 2" xfId="2946" xr:uid="{00000000-0005-0000-0000-00007F0B0000}"/>
    <cellStyle name="20% - Énfasis2 3 6 2 4" xfId="2947" xr:uid="{00000000-0005-0000-0000-0000800B0000}"/>
    <cellStyle name="20% - Énfasis2 3 6 2 5" xfId="2948" xr:uid="{00000000-0005-0000-0000-0000810B0000}"/>
    <cellStyle name="20% - Énfasis2 3 6 3" xfId="2949" xr:uid="{00000000-0005-0000-0000-0000820B0000}"/>
    <cellStyle name="20% - Énfasis2 3 6 3 2" xfId="2950" xr:uid="{00000000-0005-0000-0000-0000830B0000}"/>
    <cellStyle name="20% - Énfasis2 3 6 3 2 2" xfId="2951" xr:uid="{00000000-0005-0000-0000-0000840B0000}"/>
    <cellStyle name="20% - Énfasis2 3 6 3 3" xfId="2952" xr:uid="{00000000-0005-0000-0000-0000850B0000}"/>
    <cellStyle name="20% - Énfasis2 3 6 3 3 2" xfId="2953" xr:uid="{00000000-0005-0000-0000-0000860B0000}"/>
    <cellStyle name="20% - Énfasis2 3 6 3 4" xfId="2954" xr:uid="{00000000-0005-0000-0000-0000870B0000}"/>
    <cellStyle name="20% - Énfasis2 3 6 3 5" xfId="2955" xr:uid="{00000000-0005-0000-0000-0000880B0000}"/>
    <cellStyle name="20% - Énfasis2 3 6 4" xfId="2956" xr:uid="{00000000-0005-0000-0000-0000890B0000}"/>
    <cellStyle name="20% - Énfasis2 3 6 4 2" xfId="2957" xr:uid="{00000000-0005-0000-0000-00008A0B0000}"/>
    <cellStyle name="20% - Énfasis2 3 6 5" xfId="2958" xr:uid="{00000000-0005-0000-0000-00008B0B0000}"/>
    <cellStyle name="20% - Énfasis2 3 6 5 2" xfId="2959" xr:uid="{00000000-0005-0000-0000-00008C0B0000}"/>
    <cellStyle name="20% - Énfasis2 3 6 6" xfId="2960" xr:uid="{00000000-0005-0000-0000-00008D0B0000}"/>
    <cellStyle name="20% - Énfasis2 3 6 7" xfId="2961" xr:uid="{00000000-0005-0000-0000-00008E0B0000}"/>
    <cellStyle name="20% - Énfasis2 3 7" xfId="2962" xr:uid="{00000000-0005-0000-0000-00008F0B0000}"/>
    <cellStyle name="20% - Énfasis2 3 7 2" xfId="2963" xr:uid="{00000000-0005-0000-0000-0000900B0000}"/>
    <cellStyle name="20% - Énfasis2 3 7 2 2" xfId="2964" xr:uid="{00000000-0005-0000-0000-0000910B0000}"/>
    <cellStyle name="20% - Énfasis2 3 7 2 2 2" xfId="2965" xr:uid="{00000000-0005-0000-0000-0000920B0000}"/>
    <cellStyle name="20% - Énfasis2 3 7 2 3" xfId="2966" xr:uid="{00000000-0005-0000-0000-0000930B0000}"/>
    <cellStyle name="20% - Énfasis2 3 7 2 4" xfId="2967" xr:uid="{00000000-0005-0000-0000-0000940B0000}"/>
    <cellStyle name="20% - Énfasis2 3 7 3" xfId="2968" xr:uid="{00000000-0005-0000-0000-0000950B0000}"/>
    <cellStyle name="20% - Énfasis2 3 7 3 2" xfId="2969" xr:uid="{00000000-0005-0000-0000-0000960B0000}"/>
    <cellStyle name="20% - Énfasis2 3 7 4" xfId="2970" xr:uid="{00000000-0005-0000-0000-0000970B0000}"/>
    <cellStyle name="20% - Énfasis2 3 7 5" xfId="2971" xr:uid="{00000000-0005-0000-0000-0000980B0000}"/>
    <cellStyle name="20% - Énfasis2 3 8" xfId="2972" xr:uid="{00000000-0005-0000-0000-0000990B0000}"/>
    <cellStyle name="20% - Énfasis2 3 8 2" xfId="2973" xr:uid="{00000000-0005-0000-0000-00009A0B0000}"/>
    <cellStyle name="20% - Énfasis2 3 8 2 2" xfId="2974" xr:uid="{00000000-0005-0000-0000-00009B0B0000}"/>
    <cellStyle name="20% - Énfasis2 3 8 3" xfId="2975" xr:uid="{00000000-0005-0000-0000-00009C0B0000}"/>
    <cellStyle name="20% - Énfasis2 3 8 3 2" xfId="2976" xr:uid="{00000000-0005-0000-0000-00009D0B0000}"/>
    <cellStyle name="20% - Énfasis2 3 8 4" xfId="2977" xr:uid="{00000000-0005-0000-0000-00009E0B0000}"/>
    <cellStyle name="20% - Énfasis2 3 8 5" xfId="2978" xr:uid="{00000000-0005-0000-0000-00009F0B0000}"/>
    <cellStyle name="20% - Énfasis2 3 9" xfId="2979" xr:uid="{00000000-0005-0000-0000-0000A00B0000}"/>
    <cellStyle name="20% - Énfasis2 3 9 2" xfId="2980" xr:uid="{00000000-0005-0000-0000-0000A10B0000}"/>
    <cellStyle name="20% - Énfasis2 4" xfId="2981" xr:uid="{00000000-0005-0000-0000-0000A20B0000}"/>
    <cellStyle name="20% - Énfasis3 2" xfId="2982" xr:uid="{00000000-0005-0000-0000-0000A30B0000}"/>
    <cellStyle name="20% - Énfasis3 2 10" xfId="2983" xr:uid="{00000000-0005-0000-0000-0000A40B0000}"/>
    <cellStyle name="20% - Énfasis3 2 10 2" xfId="2984" xr:uid="{00000000-0005-0000-0000-0000A50B0000}"/>
    <cellStyle name="20% - Énfasis3 2 11" xfId="2985" xr:uid="{00000000-0005-0000-0000-0000A60B0000}"/>
    <cellStyle name="20% - Énfasis3 2 12" xfId="2986" xr:uid="{00000000-0005-0000-0000-0000A70B0000}"/>
    <cellStyle name="20% - Énfasis3 2 2" xfId="2987" xr:uid="{00000000-0005-0000-0000-0000A80B0000}"/>
    <cellStyle name="20% - Énfasis3 2 2 10" xfId="2988" xr:uid="{00000000-0005-0000-0000-0000A90B0000}"/>
    <cellStyle name="20% - Énfasis3 2 2 10 2" xfId="2989" xr:uid="{00000000-0005-0000-0000-0000AA0B0000}"/>
    <cellStyle name="20% - Énfasis3 2 2 11" xfId="2990" xr:uid="{00000000-0005-0000-0000-0000AB0B0000}"/>
    <cellStyle name="20% - Énfasis3 2 2 12" xfId="2991" xr:uid="{00000000-0005-0000-0000-0000AC0B0000}"/>
    <cellStyle name="20% - Énfasis3 2 2 2" xfId="2992" xr:uid="{00000000-0005-0000-0000-0000AD0B0000}"/>
    <cellStyle name="20% - Énfasis3 2 2 2 10" xfId="2993" xr:uid="{00000000-0005-0000-0000-0000AE0B0000}"/>
    <cellStyle name="20% - Énfasis3 2 2 2 2" xfId="2994" xr:uid="{00000000-0005-0000-0000-0000AF0B0000}"/>
    <cellStyle name="20% - Énfasis3 2 2 2 2 2" xfId="2995" xr:uid="{00000000-0005-0000-0000-0000B00B0000}"/>
    <cellStyle name="20% - Énfasis3 2 2 2 2 2 2" xfId="2996" xr:uid="{00000000-0005-0000-0000-0000B10B0000}"/>
    <cellStyle name="20% - Énfasis3 2 2 2 2 2 2 2" xfId="2997" xr:uid="{00000000-0005-0000-0000-0000B20B0000}"/>
    <cellStyle name="20% - Énfasis3 2 2 2 2 2 2 2 2" xfId="2998" xr:uid="{00000000-0005-0000-0000-0000B30B0000}"/>
    <cellStyle name="20% - Énfasis3 2 2 2 2 2 2 2 2 2" xfId="2999" xr:uid="{00000000-0005-0000-0000-0000B40B0000}"/>
    <cellStyle name="20% - Énfasis3 2 2 2 2 2 2 2 2 2 2" xfId="3000" xr:uid="{00000000-0005-0000-0000-0000B50B0000}"/>
    <cellStyle name="20% - Énfasis3 2 2 2 2 2 2 2 2 3" xfId="3001" xr:uid="{00000000-0005-0000-0000-0000B60B0000}"/>
    <cellStyle name="20% - Énfasis3 2 2 2 2 2 2 2 2 4" xfId="3002" xr:uid="{00000000-0005-0000-0000-0000B70B0000}"/>
    <cellStyle name="20% - Énfasis3 2 2 2 2 2 2 2 3" xfId="3003" xr:uid="{00000000-0005-0000-0000-0000B80B0000}"/>
    <cellStyle name="20% - Énfasis3 2 2 2 2 2 2 2 3 2" xfId="3004" xr:uid="{00000000-0005-0000-0000-0000B90B0000}"/>
    <cellStyle name="20% - Énfasis3 2 2 2 2 2 2 2 4" xfId="3005" xr:uid="{00000000-0005-0000-0000-0000BA0B0000}"/>
    <cellStyle name="20% - Énfasis3 2 2 2 2 2 2 2 5" xfId="3006" xr:uid="{00000000-0005-0000-0000-0000BB0B0000}"/>
    <cellStyle name="20% - Énfasis3 2 2 2 2 2 2 3" xfId="3007" xr:uid="{00000000-0005-0000-0000-0000BC0B0000}"/>
    <cellStyle name="20% - Énfasis3 2 2 2 2 2 2 3 2" xfId="3008" xr:uid="{00000000-0005-0000-0000-0000BD0B0000}"/>
    <cellStyle name="20% - Énfasis3 2 2 2 2 2 2 3 2 2" xfId="3009" xr:uid="{00000000-0005-0000-0000-0000BE0B0000}"/>
    <cellStyle name="20% - Énfasis3 2 2 2 2 2 2 3 3" xfId="3010" xr:uid="{00000000-0005-0000-0000-0000BF0B0000}"/>
    <cellStyle name="20% - Énfasis3 2 2 2 2 2 2 3 4" xfId="3011" xr:uid="{00000000-0005-0000-0000-0000C00B0000}"/>
    <cellStyle name="20% - Énfasis3 2 2 2 2 2 2 4" xfId="3012" xr:uid="{00000000-0005-0000-0000-0000C10B0000}"/>
    <cellStyle name="20% - Énfasis3 2 2 2 2 2 2 4 2" xfId="3013" xr:uid="{00000000-0005-0000-0000-0000C20B0000}"/>
    <cellStyle name="20% - Énfasis3 2 2 2 2 2 2 5" xfId="3014" xr:uid="{00000000-0005-0000-0000-0000C30B0000}"/>
    <cellStyle name="20% - Énfasis3 2 2 2 2 2 2 6" xfId="3015" xr:uid="{00000000-0005-0000-0000-0000C40B0000}"/>
    <cellStyle name="20% - Énfasis3 2 2 2 2 2 3" xfId="3016" xr:uid="{00000000-0005-0000-0000-0000C50B0000}"/>
    <cellStyle name="20% - Énfasis3 2 2 2 2 2 3 2" xfId="3017" xr:uid="{00000000-0005-0000-0000-0000C60B0000}"/>
    <cellStyle name="20% - Énfasis3 2 2 2 2 2 3 2 2" xfId="3018" xr:uid="{00000000-0005-0000-0000-0000C70B0000}"/>
    <cellStyle name="20% - Énfasis3 2 2 2 2 2 3 2 2 2" xfId="3019" xr:uid="{00000000-0005-0000-0000-0000C80B0000}"/>
    <cellStyle name="20% - Énfasis3 2 2 2 2 2 3 2 3" xfId="3020" xr:uid="{00000000-0005-0000-0000-0000C90B0000}"/>
    <cellStyle name="20% - Énfasis3 2 2 2 2 2 3 2 4" xfId="3021" xr:uid="{00000000-0005-0000-0000-0000CA0B0000}"/>
    <cellStyle name="20% - Énfasis3 2 2 2 2 2 3 3" xfId="3022" xr:uid="{00000000-0005-0000-0000-0000CB0B0000}"/>
    <cellStyle name="20% - Énfasis3 2 2 2 2 2 3 3 2" xfId="3023" xr:uid="{00000000-0005-0000-0000-0000CC0B0000}"/>
    <cellStyle name="20% - Énfasis3 2 2 2 2 2 3 4" xfId="3024" xr:uid="{00000000-0005-0000-0000-0000CD0B0000}"/>
    <cellStyle name="20% - Énfasis3 2 2 2 2 2 3 5" xfId="3025" xr:uid="{00000000-0005-0000-0000-0000CE0B0000}"/>
    <cellStyle name="20% - Énfasis3 2 2 2 2 2 4" xfId="3026" xr:uid="{00000000-0005-0000-0000-0000CF0B0000}"/>
    <cellStyle name="20% - Énfasis3 2 2 2 2 2 4 2" xfId="3027" xr:uid="{00000000-0005-0000-0000-0000D00B0000}"/>
    <cellStyle name="20% - Énfasis3 2 2 2 2 2 4 2 2" xfId="3028" xr:uid="{00000000-0005-0000-0000-0000D10B0000}"/>
    <cellStyle name="20% - Énfasis3 2 2 2 2 2 4 3" xfId="3029" xr:uid="{00000000-0005-0000-0000-0000D20B0000}"/>
    <cellStyle name="20% - Énfasis3 2 2 2 2 2 4 4" xfId="3030" xr:uid="{00000000-0005-0000-0000-0000D30B0000}"/>
    <cellStyle name="20% - Énfasis3 2 2 2 2 2 5" xfId="3031" xr:uid="{00000000-0005-0000-0000-0000D40B0000}"/>
    <cellStyle name="20% - Énfasis3 2 2 2 2 2 5 2" xfId="3032" xr:uid="{00000000-0005-0000-0000-0000D50B0000}"/>
    <cellStyle name="20% - Énfasis3 2 2 2 2 2 6" xfId="3033" xr:uid="{00000000-0005-0000-0000-0000D60B0000}"/>
    <cellStyle name="20% - Énfasis3 2 2 2 2 2 7" xfId="3034" xr:uid="{00000000-0005-0000-0000-0000D70B0000}"/>
    <cellStyle name="20% - Énfasis3 2 2 2 2 3" xfId="3035" xr:uid="{00000000-0005-0000-0000-0000D80B0000}"/>
    <cellStyle name="20% - Énfasis3 2 2 2 2 3 2" xfId="3036" xr:uid="{00000000-0005-0000-0000-0000D90B0000}"/>
    <cellStyle name="20% - Énfasis3 2 2 2 2 3 2 2" xfId="3037" xr:uid="{00000000-0005-0000-0000-0000DA0B0000}"/>
    <cellStyle name="20% - Énfasis3 2 2 2 2 3 2 2 2" xfId="3038" xr:uid="{00000000-0005-0000-0000-0000DB0B0000}"/>
    <cellStyle name="20% - Énfasis3 2 2 2 2 3 2 2 2 2" xfId="3039" xr:uid="{00000000-0005-0000-0000-0000DC0B0000}"/>
    <cellStyle name="20% - Énfasis3 2 2 2 2 3 2 2 3" xfId="3040" xr:uid="{00000000-0005-0000-0000-0000DD0B0000}"/>
    <cellStyle name="20% - Énfasis3 2 2 2 2 3 2 2 4" xfId="3041" xr:uid="{00000000-0005-0000-0000-0000DE0B0000}"/>
    <cellStyle name="20% - Énfasis3 2 2 2 2 3 2 3" xfId="3042" xr:uid="{00000000-0005-0000-0000-0000DF0B0000}"/>
    <cellStyle name="20% - Énfasis3 2 2 2 2 3 2 3 2" xfId="3043" xr:uid="{00000000-0005-0000-0000-0000E00B0000}"/>
    <cellStyle name="20% - Énfasis3 2 2 2 2 3 2 4" xfId="3044" xr:uid="{00000000-0005-0000-0000-0000E10B0000}"/>
    <cellStyle name="20% - Énfasis3 2 2 2 2 3 2 5" xfId="3045" xr:uid="{00000000-0005-0000-0000-0000E20B0000}"/>
    <cellStyle name="20% - Énfasis3 2 2 2 2 3 3" xfId="3046" xr:uid="{00000000-0005-0000-0000-0000E30B0000}"/>
    <cellStyle name="20% - Énfasis3 2 2 2 2 3 3 2" xfId="3047" xr:uid="{00000000-0005-0000-0000-0000E40B0000}"/>
    <cellStyle name="20% - Énfasis3 2 2 2 2 3 3 2 2" xfId="3048" xr:uid="{00000000-0005-0000-0000-0000E50B0000}"/>
    <cellStyle name="20% - Énfasis3 2 2 2 2 3 3 3" xfId="3049" xr:uid="{00000000-0005-0000-0000-0000E60B0000}"/>
    <cellStyle name="20% - Énfasis3 2 2 2 2 3 3 3 2" xfId="3050" xr:uid="{00000000-0005-0000-0000-0000E70B0000}"/>
    <cellStyle name="20% - Énfasis3 2 2 2 2 3 3 4" xfId="3051" xr:uid="{00000000-0005-0000-0000-0000E80B0000}"/>
    <cellStyle name="20% - Énfasis3 2 2 2 2 3 3 5" xfId="3052" xr:uid="{00000000-0005-0000-0000-0000E90B0000}"/>
    <cellStyle name="20% - Énfasis3 2 2 2 2 3 4" xfId="3053" xr:uid="{00000000-0005-0000-0000-0000EA0B0000}"/>
    <cellStyle name="20% - Énfasis3 2 2 2 2 3 4 2" xfId="3054" xr:uid="{00000000-0005-0000-0000-0000EB0B0000}"/>
    <cellStyle name="20% - Énfasis3 2 2 2 2 3 5" xfId="3055" xr:uid="{00000000-0005-0000-0000-0000EC0B0000}"/>
    <cellStyle name="20% - Énfasis3 2 2 2 2 3 5 2" xfId="3056" xr:uid="{00000000-0005-0000-0000-0000ED0B0000}"/>
    <cellStyle name="20% - Énfasis3 2 2 2 2 3 6" xfId="3057" xr:uid="{00000000-0005-0000-0000-0000EE0B0000}"/>
    <cellStyle name="20% - Énfasis3 2 2 2 2 3 7" xfId="3058" xr:uid="{00000000-0005-0000-0000-0000EF0B0000}"/>
    <cellStyle name="20% - Énfasis3 2 2 2 2 4" xfId="3059" xr:uid="{00000000-0005-0000-0000-0000F00B0000}"/>
    <cellStyle name="20% - Énfasis3 2 2 2 2 4 2" xfId="3060" xr:uid="{00000000-0005-0000-0000-0000F10B0000}"/>
    <cellStyle name="20% - Énfasis3 2 2 2 2 4 2 2" xfId="3061" xr:uid="{00000000-0005-0000-0000-0000F20B0000}"/>
    <cellStyle name="20% - Énfasis3 2 2 2 2 4 2 2 2" xfId="3062" xr:uid="{00000000-0005-0000-0000-0000F30B0000}"/>
    <cellStyle name="20% - Énfasis3 2 2 2 2 4 2 3" xfId="3063" xr:uid="{00000000-0005-0000-0000-0000F40B0000}"/>
    <cellStyle name="20% - Énfasis3 2 2 2 2 4 2 4" xfId="3064" xr:uid="{00000000-0005-0000-0000-0000F50B0000}"/>
    <cellStyle name="20% - Énfasis3 2 2 2 2 4 3" xfId="3065" xr:uid="{00000000-0005-0000-0000-0000F60B0000}"/>
    <cellStyle name="20% - Énfasis3 2 2 2 2 4 3 2" xfId="3066" xr:uid="{00000000-0005-0000-0000-0000F70B0000}"/>
    <cellStyle name="20% - Énfasis3 2 2 2 2 4 4" xfId="3067" xr:uid="{00000000-0005-0000-0000-0000F80B0000}"/>
    <cellStyle name="20% - Énfasis3 2 2 2 2 4 5" xfId="3068" xr:uid="{00000000-0005-0000-0000-0000F90B0000}"/>
    <cellStyle name="20% - Énfasis3 2 2 2 2 5" xfId="3069" xr:uid="{00000000-0005-0000-0000-0000FA0B0000}"/>
    <cellStyle name="20% - Énfasis3 2 2 2 2 5 2" xfId="3070" xr:uid="{00000000-0005-0000-0000-0000FB0B0000}"/>
    <cellStyle name="20% - Énfasis3 2 2 2 2 5 2 2" xfId="3071" xr:uid="{00000000-0005-0000-0000-0000FC0B0000}"/>
    <cellStyle name="20% - Énfasis3 2 2 2 2 5 3" xfId="3072" xr:uid="{00000000-0005-0000-0000-0000FD0B0000}"/>
    <cellStyle name="20% - Énfasis3 2 2 2 2 5 3 2" xfId="3073" xr:uid="{00000000-0005-0000-0000-0000FE0B0000}"/>
    <cellStyle name="20% - Énfasis3 2 2 2 2 5 4" xfId="3074" xr:uid="{00000000-0005-0000-0000-0000FF0B0000}"/>
    <cellStyle name="20% - Énfasis3 2 2 2 2 5 5" xfId="3075" xr:uid="{00000000-0005-0000-0000-0000000C0000}"/>
    <cellStyle name="20% - Énfasis3 2 2 2 2 6" xfId="3076" xr:uid="{00000000-0005-0000-0000-0000010C0000}"/>
    <cellStyle name="20% - Énfasis3 2 2 2 2 6 2" xfId="3077" xr:uid="{00000000-0005-0000-0000-0000020C0000}"/>
    <cellStyle name="20% - Énfasis3 2 2 2 2 7" xfId="3078" xr:uid="{00000000-0005-0000-0000-0000030C0000}"/>
    <cellStyle name="20% - Énfasis3 2 2 2 2 7 2" xfId="3079" xr:uid="{00000000-0005-0000-0000-0000040C0000}"/>
    <cellStyle name="20% - Énfasis3 2 2 2 2 8" xfId="3080" xr:uid="{00000000-0005-0000-0000-0000050C0000}"/>
    <cellStyle name="20% - Énfasis3 2 2 2 2 9" xfId="3081" xr:uid="{00000000-0005-0000-0000-0000060C0000}"/>
    <cellStyle name="20% - Énfasis3 2 2 2 3" xfId="3082" xr:uid="{00000000-0005-0000-0000-0000070C0000}"/>
    <cellStyle name="20% - Énfasis3 2 2 2 3 2" xfId="3083" xr:uid="{00000000-0005-0000-0000-0000080C0000}"/>
    <cellStyle name="20% - Énfasis3 2 2 2 3 2 2" xfId="3084" xr:uid="{00000000-0005-0000-0000-0000090C0000}"/>
    <cellStyle name="20% - Énfasis3 2 2 2 3 2 2 2" xfId="3085" xr:uid="{00000000-0005-0000-0000-00000A0C0000}"/>
    <cellStyle name="20% - Énfasis3 2 2 2 3 2 2 2 2" xfId="3086" xr:uid="{00000000-0005-0000-0000-00000B0C0000}"/>
    <cellStyle name="20% - Énfasis3 2 2 2 3 2 2 2 2 2" xfId="3087" xr:uid="{00000000-0005-0000-0000-00000C0C0000}"/>
    <cellStyle name="20% - Énfasis3 2 2 2 3 2 2 2 3" xfId="3088" xr:uid="{00000000-0005-0000-0000-00000D0C0000}"/>
    <cellStyle name="20% - Énfasis3 2 2 2 3 2 2 2 4" xfId="3089" xr:uid="{00000000-0005-0000-0000-00000E0C0000}"/>
    <cellStyle name="20% - Énfasis3 2 2 2 3 2 2 3" xfId="3090" xr:uid="{00000000-0005-0000-0000-00000F0C0000}"/>
    <cellStyle name="20% - Énfasis3 2 2 2 3 2 2 3 2" xfId="3091" xr:uid="{00000000-0005-0000-0000-0000100C0000}"/>
    <cellStyle name="20% - Énfasis3 2 2 2 3 2 2 4" xfId="3092" xr:uid="{00000000-0005-0000-0000-0000110C0000}"/>
    <cellStyle name="20% - Énfasis3 2 2 2 3 2 2 5" xfId="3093" xr:uid="{00000000-0005-0000-0000-0000120C0000}"/>
    <cellStyle name="20% - Énfasis3 2 2 2 3 2 3" xfId="3094" xr:uid="{00000000-0005-0000-0000-0000130C0000}"/>
    <cellStyle name="20% - Énfasis3 2 2 2 3 2 3 2" xfId="3095" xr:uid="{00000000-0005-0000-0000-0000140C0000}"/>
    <cellStyle name="20% - Énfasis3 2 2 2 3 2 3 2 2" xfId="3096" xr:uid="{00000000-0005-0000-0000-0000150C0000}"/>
    <cellStyle name="20% - Énfasis3 2 2 2 3 2 3 3" xfId="3097" xr:uid="{00000000-0005-0000-0000-0000160C0000}"/>
    <cellStyle name="20% - Énfasis3 2 2 2 3 2 3 4" xfId="3098" xr:uid="{00000000-0005-0000-0000-0000170C0000}"/>
    <cellStyle name="20% - Énfasis3 2 2 2 3 2 4" xfId="3099" xr:uid="{00000000-0005-0000-0000-0000180C0000}"/>
    <cellStyle name="20% - Énfasis3 2 2 2 3 2 4 2" xfId="3100" xr:uid="{00000000-0005-0000-0000-0000190C0000}"/>
    <cellStyle name="20% - Énfasis3 2 2 2 3 2 5" xfId="3101" xr:uid="{00000000-0005-0000-0000-00001A0C0000}"/>
    <cellStyle name="20% - Énfasis3 2 2 2 3 2 6" xfId="3102" xr:uid="{00000000-0005-0000-0000-00001B0C0000}"/>
    <cellStyle name="20% - Énfasis3 2 2 2 3 3" xfId="3103" xr:uid="{00000000-0005-0000-0000-00001C0C0000}"/>
    <cellStyle name="20% - Énfasis3 2 2 2 3 3 2" xfId="3104" xr:uid="{00000000-0005-0000-0000-00001D0C0000}"/>
    <cellStyle name="20% - Énfasis3 2 2 2 3 3 2 2" xfId="3105" xr:uid="{00000000-0005-0000-0000-00001E0C0000}"/>
    <cellStyle name="20% - Énfasis3 2 2 2 3 3 2 2 2" xfId="3106" xr:uid="{00000000-0005-0000-0000-00001F0C0000}"/>
    <cellStyle name="20% - Énfasis3 2 2 2 3 3 2 3" xfId="3107" xr:uid="{00000000-0005-0000-0000-0000200C0000}"/>
    <cellStyle name="20% - Énfasis3 2 2 2 3 3 2 4" xfId="3108" xr:uid="{00000000-0005-0000-0000-0000210C0000}"/>
    <cellStyle name="20% - Énfasis3 2 2 2 3 3 3" xfId="3109" xr:uid="{00000000-0005-0000-0000-0000220C0000}"/>
    <cellStyle name="20% - Énfasis3 2 2 2 3 3 3 2" xfId="3110" xr:uid="{00000000-0005-0000-0000-0000230C0000}"/>
    <cellStyle name="20% - Énfasis3 2 2 2 3 3 4" xfId="3111" xr:uid="{00000000-0005-0000-0000-0000240C0000}"/>
    <cellStyle name="20% - Énfasis3 2 2 2 3 3 5" xfId="3112" xr:uid="{00000000-0005-0000-0000-0000250C0000}"/>
    <cellStyle name="20% - Énfasis3 2 2 2 3 4" xfId="3113" xr:uid="{00000000-0005-0000-0000-0000260C0000}"/>
    <cellStyle name="20% - Énfasis3 2 2 2 3 4 2" xfId="3114" xr:uid="{00000000-0005-0000-0000-0000270C0000}"/>
    <cellStyle name="20% - Énfasis3 2 2 2 3 4 2 2" xfId="3115" xr:uid="{00000000-0005-0000-0000-0000280C0000}"/>
    <cellStyle name="20% - Énfasis3 2 2 2 3 4 3" xfId="3116" xr:uid="{00000000-0005-0000-0000-0000290C0000}"/>
    <cellStyle name="20% - Énfasis3 2 2 2 3 4 4" xfId="3117" xr:uid="{00000000-0005-0000-0000-00002A0C0000}"/>
    <cellStyle name="20% - Énfasis3 2 2 2 3 5" xfId="3118" xr:uid="{00000000-0005-0000-0000-00002B0C0000}"/>
    <cellStyle name="20% - Énfasis3 2 2 2 3 5 2" xfId="3119" xr:uid="{00000000-0005-0000-0000-00002C0C0000}"/>
    <cellStyle name="20% - Énfasis3 2 2 2 3 6" xfId="3120" xr:uid="{00000000-0005-0000-0000-00002D0C0000}"/>
    <cellStyle name="20% - Énfasis3 2 2 2 3 7" xfId="3121" xr:uid="{00000000-0005-0000-0000-00002E0C0000}"/>
    <cellStyle name="20% - Énfasis3 2 2 2 4" xfId="3122" xr:uid="{00000000-0005-0000-0000-00002F0C0000}"/>
    <cellStyle name="20% - Énfasis3 2 2 2 4 2" xfId="3123" xr:uid="{00000000-0005-0000-0000-0000300C0000}"/>
    <cellStyle name="20% - Énfasis3 2 2 2 4 2 2" xfId="3124" xr:uid="{00000000-0005-0000-0000-0000310C0000}"/>
    <cellStyle name="20% - Énfasis3 2 2 2 4 2 2 2" xfId="3125" xr:uid="{00000000-0005-0000-0000-0000320C0000}"/>
    <cellStyle name="20% - Énfasis3 2 2 2 4 2 2 2 2" xfId="3126" xr:uid="{00000000-0005-0000-0000-0000330C0000}"/>
    <cellStyle name="20% - Énfasis3 2 2 2 4 2 2 3" xfId="3127" xr:uid="{00000000-0005-0000-0000-0000340C0000}"/>
    <cellStyle name="20% - Énfasis3 2 2 2 4 2 2 4" xfId="3128" xr:uid="{00000000-0005-0000-0000-0000350C0000}"/>
    <cellStyle name="20% - Énfasis3 2 2 2 4 2 3" xfId="3129" xr:uid="{00000000-0005-0000-0000-0000360C0000}"/>
    <cellStyle name="20% - Énfasis3 2 2 2 4 2 3 2" xfId="3130" xr:uid="{00000000-0005-0000-0000-0000370C0000}"/>
    <cellStyle name="20% - Énfasis3 2 2 2 4 2 4" xfId="3131" xr:uid="{00000000-0005-0000-0000-0000380C0000}"/>
    <cellStyle name="20% - Énfasis3 2 2 2 4 2 5" xfId="3132" xr:uid="{00000000-0005-0000-0000-0000390C0000}"/>
    <cellStyle name="20% - Énfasis3 2 2 2 4 3" xfId="3133" xr:uid="{00000000-0005-0000-0000-00003A0C0000}"/>
    <cellStyle name="20% - Énfasis3 2 2 2 4 3 2" xfId="3134" xr:uid="{00000000-0005-0000-0000-00003B0C0000}"/>
    <cellStyle name="20% - Énfasis3 2 2 2 4 3 2 2" xfId="3135" xr:uid="{00000000-0005-0000-0000-00003C0C0000}"/>
    <cellStyle name="20% - Énfasis3 2 2 2 4 3 3" xfId="3136" xr:uid="{00000000-0005-0000-0000-00003D0C0000}"/>
    <cellStyle name="20% - Énfasis3 2 2 2 4 3 3 2" xfId="3137" xr:uid="{00000000-0005-0000-0000-00003E0C0000}"/>
    <cellStyle name="20% - Énfasis3 2 2 2 4 3 4" xfId="3138" xr:uid="{00000000-0005-0000-0000-00003F0C0000}"/>
    <cellStyle name="20% - Énfasis3 2 2 2 4 3 5" xfId="3139" xr:uid="{00000000-0005-0000-0000-0000400C0000}"/>
    <cellStyle name="20% - Énfasis3 2 2 2 4 4" xfId="3140" xr:uid="{00000000-0005-0000-0000-0000410C0000}"/>
    <cellStyle name="20% - Énfasis3 2 2 2 4 4 2" xfId="3141" xr:uid="{00000000-0005-0000-0000-0000420C0000}"/>
    <cellStyle name="20% - Énfasis3 2 2 2 4 5" xfId="3142" xr:uid="{00000000-0005-0000-0000-0000430C0000}"/>
    <cellStyle name="20% - Énfasis3 2 2 2 4 5 2" xfId="3143" xr:uid="{00000000-0005-0000-0000-0000440C0000}"/>
    <cellStyle name="20% - Énfasis3 2 2 2 4 6" xfId="3144" xr:uid="{00000000-0005-0000-0000-0000450C0000}"/>
    <cellStyle name="20% - Énfasis3 2 2 2 4 7" xfId="3145" xr:uid="{00000000-0005-0000-0000-0000460C0000}"/>
    <cellStyle name="20% - Énfasis3 2 2 2 5" xfId="3146" xr:uid="{00000000-0005-0000-0000-0000470C0000}"/>
    <cellStyle name="20% - Énfasis3 2 2 2 5 2" xfId="3147" xr:uid="{00000000-0005-0000-0000-0000480C0000}"/>
    <cellStyle name="20% - Énfasis3 2 2 2 5 2 2" xfId="3148" xr:uid="{00000000-0005-0000-0000-0000490C0000}"/>
    <cellStyle name="20% - Énfasis3 2 2 2 5 2 2 2" xfId="3149" xr:uid="{00000000-0005-0000-0000-00004A0C0000}"/>
    <cellStyle name="20% - Énfasis3 2 2 2 5 2 3" xfId="3150" xr:uid="{00000000-0005-0000-0000-00004B0C0000}"/>
    <cellStyle name="20% - Énfasis3 2 2 2 5 2 4" xfId="3151" xr:uid="{00000000-0005-0000-0000-00004C0C0000}"/>
    <cellStyle name="20% - Énfasis3 2 2 2 5 3" xfId="3152" xr:uid="{00000000-0005-0000-0000-00004D0C0000}"/>
    <cellStyle name="20% - Énfasis3 2 2 2 5 3 2" xfId="3153" xr:uid="{00000000-0005-0000-0000-00004E0C0000}"/>
    <cellStyle name="20% - Énfasis3 2 2 2 5 4" xfId="3154" xr:uid="{00000000-0005-0000-0000-00004F0C0000}"/>
    <cellStyle name="20% - Énfasis3 2 2 2 5 5" xfId="3155" xr:uid="{00000000-0005-0000-0000-0000500C0000}"/>
    <cellStyle name="20% - Énfasis3 2 2 2 6" xfId="3156" xr:uid="{00000000-0005-0000-0000-0000510C0000}"/>
    <cellStyle name="20% - Énfasis3 2 2 2 6 2" xfId="3157" xr:uid="{00000000-0005-0000-0000-0000520C0000}"/>
    <cellStyle name="20% - Énfasis3 2 2 2 6 2 2" xfId="3158" xr:uid="{00000000-0005-0000-0000-0000530C0000}"/>
    <cellStyle name="20% - Énfasis3 2 2 2 6 3" xfId="3159" xr:uid="{00000000-0005-0000-0000-0000540C0000}"/>
    <cellStyle name="20% - Énfasis3 2 2 2 6 3 2" xfId="3160" xr:uid="{00000000-0005-0000-0000-0000550C0000}"/>
    <cellStyle name="20% - Énfasis3 2 2 2 6 4" xfId="3161" xr:uid="{00000000-0005-0000-0000-0000560C0000}"/>
    <cellStyle name="20% - Énfasis3 2 2 2 6 5" xfId="3162" xr:uid="{00000000-0005-0000-0000-0000570C0000}"/>
    <cellStyle name="20% - Énfasis3 2 2 2 7" xfId="3163" xr:uid="{00000000-0005-0000-0000-0000580C0000}"/>
    <cellStyle name="20% - Énfasis3 2 2 2 7 2" xfId="3164" xr:uid="{00000000-0005-0000-0000-0000590C0000}"/>
    <cellStyle name="20% - Énfasis3 2 2 2 8" xfId="3165" xr:uid="{00000000-0005-0000-0000-00005A0C0000}"/>
    <cellStyle name="20% - Énfasis3 2 2 2 8 2" xfId="3166" xr:uid="{00000000-0005-0000-0000-00005B0C0000}"/>
    <cellStyle name="20% - Énfasis3 2 2 2 9" xfId="3167" xr:uid="{00000000-0005-0000-0000-00005C0C0000}"/>
    <cellStyle name="20% - Énfasis3 2 2 3" xfId="3168" xr:uid="{00000000-0005-0000-0000-00005D0C0000}"/>
    <cellStyle name="20% - Énfasis3 2 2 3 2" xfId="3169" xr:uid="{00000000-0005-0000-0000-00005E0C0000}"/>
    <cellStyle name="20% - Énfasis3 2 2 3 2 2" xfId="3170" xr:uid="{00000000-0005-0000-0000-00005F0C0000}"/>
    <cellStyle name="20% - Énfasis3 2 2 3 2 2 2" xfId="3171" xr:uid="{00000000-0005-0000-0000-0000600C0000}"/>
    <cellStyle name="20% - Énfasis3 2 2 3 2 2 2 2" xfId="3172" xr:uid="{00000000-0005-0000-0000-0000610C0000}"/>
    <cellStyle name="20% - Énfasis3 2 2 3 2 2 2 2 2" xfId="3173" xr:uid="{00000000-0005-0000-0000-0000620C0000}"/>
    <cellStyle name="20% - Énfasis3 2 2 3 2 2 2 2 2 2" xfId="3174" xr:uid="{00000000-0005-0000-0000-0000630C0000}"/>
    <cellStyle name="20% - Énfasis3 2 2 3 2 2 2 2 3" xfId="3175" xr:uid="{00000000-0005-0000-0000-0000640C0000}"/>
    <cellStyle name="20% - Énfasis3 2 2 3 2 2 2 2 4" xfId="3176" xr:uid="{00000000-0005-0000-0000-0000650C0000}"/>
    <cellStyle name="20% - Énfasis3 2 2 3 2 2 2 3" xfId="3177" xr:uid="{00000000-0005-0000-0000-0000660C0000}"/>
    <cellStyle name="20% - Énfasis3 2 2 3 2 2 2 3 2" xfId="3178" xr:uid="{00000000-0005-0000-0000-0000670C0000}"/>
    <cellStyle name="20% - Énfasis3 2 2 3 2 2 2 4" xfId="3179" xr:uid="{00000000-0005-0000-0000-0000680C0000}"/>
    <cellStyle name="20% - Énfasis3 2 2 3 2 2 2 5" xfId="3180" xr:uid="{00000000-0005-0000-0000-0000690C0000}"/>
    <cellStyle name="20% - Énfasis3 2 2 3 2 2 3" xfId="3181" xr:uid="{00000000-0005-0000-0000-00006A0C0000}"/>
    <cellStyle name="20% - Énfasis3 2 2 3 2 2 3 2" xfId="3182" xr:uid="{00000000-0005-0000-0000-00006B0C0000}"/>
    <cellStyle name="20% - Énfasis3 2 2 3 2 2 3 2 2" xfId="3183" xr:uid="{00000000-0005-0000-0000-00006C0C0000}"/>
    <cellStyle name="20% - Énfasis3 2 2 3 2 2 3 3" xfId="3184" xr:uid="{00000000-0005-0000-0000-00006D0C0000}"/>
    <cellStyle name="20% - Énfasis3 2 2 3 2 2 3 4" xfId="3185" xr:uid="{00000000-0005-0000-0000-00006E0C0000}"/>
    <cellStyle name="20% - Énfasis3 2 2 3 2 2 4" xfId="3186" xr:uid="{00000000-0005-0000-0000-00006F0C0000}"/>
    <cellStyle name="20% - Énfasis3 2 2 3 2 2 4 2" xfId="3187" xr:uid="{00000000-0005-0000-0000-0000700C0000}"/>
    <cellStyle name="20% - Énfasis3 2 2 3 2 2 5" xfId="3188" xr:uid="{00000000-0005-0000-0000-0000710C0000}"/>
    <cellStyle name="20% - Énfasis3 2 2 3 2 2 6" xfId="3189" xr:uid="{00000000-0005-0000-0000-0000720C0000}"/>
    <cellStyle name="20% - Énfasis3 2 2 3 2 3" xfId="3190" xr:uid="{00000000-0005-0000-0000-0000730C0000}"/>
    <cellStyle name="20% - Énfasis3 2 2 3 2 3 2" xfId="3191" xr:uid="{00000000-0005-0000-0000-0000740C0000}"/>
    <cellStyle name="20% - Énfasis3 2 2 3 2 3 2 2" xfId="3192" xr:uid="{00000000-0005-0000-0000-0000750C0000}"/>
    <cellStyle name="20% - Énfasis3 2 2 3 2 3 2 2 2" xfId="3193" xr:uid="{00000000-0005-0000-0000-0000760C0000}"/>
    <cellStyle name="20% - Énfasis3 2 2 3 2 3 2 3" xfId="3194" xr:uid="{00000000-0005-0000-0000-0000770C0000}"/>
    <cellStyle name="20% - Énfasis3 2 2 3 2 3 2 4" xfId="3195" xr:uid="{00000000-0005-0000-0000-0000780C0000}"/>
    <cellStyle name="20% - Énfasis3 2 2 3 2 3 3" xfId="3196" xr:uid="{00000000-0005-0000-0000-0000790C0000}"/>
    <cellStyle name="20% - Énfasis3 2 2 3 2 3 3 2" xfId="3197" xr:uid="{00000000-0005-0000-0000-00007A0C0000}"/>
    <cellStyle name="20% - Énfasis3 2 2 3 2 3 4" xfId="3198" xr:uid="{00000000-0005-0000-0000-00007B0C0000}"/>
    <cellStyle name="20% - Énfasis3 2 2 3 2 3 5" xfId="3199" xr:uid="{00000000-0005-0000-0000-00007C0C0000}"/>
    <cellStyle name="20% - Énfasis3 2 2 3 2 4" xfId="3200" xr:uid="{00000000-0005-0000-0000-00007D0C0000}"/>
    <cellStyle name="20% - Énfasis3 2 2 3 2 4 2" xfId="3201" xr:uid="{00000000-0005-0000-0000-00007E0C0000}"/>
    <cellStyle name="20% - Énfasis3 2 2 3 2 4 2 2" xfId="3202" xr:uid="{00000000-0005-0000-0000-00007F0C0000}"/>
    <cellStyle name="20% - Énfasis3 2 2 3 2 4 3" xfId="3203" xr:uid="{00000000-0005-0000-0000-0000800C0000}"/>
    <cellStyle name="20% - Énfasis3 2 2 3 2 4 4" xfId="3204" xr:uid="{00000000-0005-0000-0000-0000810C0000}"/>
    <cellStyle name="20% - Énfasis3 2 2 3 2 5" xfId="3205" xr:uid="{00000000-0005-0000-0000-0000820C0000}"/>
    <cellStyle name="20% - Énfasis3 2 2 3 2 5 2" xfId="3206" xr:uid="{00000000-0005-0000-0000-0000830C0000}"/>
    <cellStyle name="20% - Énfasis3 2 2 3 2 6" xfId="3207" xr:uid="{00000000-0005-0000-0000-0000840C0000}"/>
    <cellStyle name="20% - Énfasis3 2 2 3 2 7" xfId="3208" xr:uid="{00000000-0005-0000-0000-0000850C0000}"/>
    <cellStyle name="20% - Énfasis3 2 2 3 3" xfId="3209" xr:uid="{00000000-0005-0000-0000-0000860C0000}"/>
    <cellStyle name="20% - Énfasis3 2 2 3 3 2" xfId="3210" xr:uid="{00000000-0005-0000-0000-0000870C0000}"/>
    <cellStyle name="20% - Énfasis3 2 2 3 3 2 2" xfId="3211" xr:uid="{00000000-0005-0000-0000-0000880C0000}"/>
    <cellStyle name="20% - Énfasis3 2 2 3 3 2 2 2" xfId="3212" xr:uid="{00000000-0005-0000-0000-0000890C0000}"/>
    <cellStyle name="20% - Énfasis3 2 2 3 3 2 2 2 2" xfId="3213" xr:uid="{00000000-0005-0000-0000-00008A0C0000}"/>
    <cellStyle name="20% - Énfasis3 2 2 3 3 2 2 3" xfId="3214" xr:uid="{00000000-0005-0000-0000-00008B0C0000}"/>
    <cellStyle name="20% - Énfasis3 2 2 3 3 2 2 4" xfId="3215" xr:uid="{00000000-0005-0000-0000-00008C0C0000}"/>
    <cellStyle name="20% - Énfasis3 2 2 3 3 2 3" xfId="3216" xr:uid="{00000000-0005-0000-0000-00008D0C0000}"/>
    <cellStyle name="20% - Énfasis3 2 2 3 3 2 3 2" xfId="3217" xr:uid="{00000000-0005-0000-0000-00008E0C0000}"/>
    <cellStyle name="20% - Énfasis3 2 2 3 3 2 4" xfId="3218" xr:uid="{00000000-0005-0000-0000-00008F0C0000}"/>
    <cellStyle name="20% - Énfasis3 2 2 3 3 2 5" xfId="3219" xr:uid="{00000000-0005-0000-0000-0000900C0000}"/>
    <cellStyle name="20% - Énfasis3 2 2 3 3 3" xfId="3220" xr:uid="{00000000-0005-0000-0000-0000910C0000}"/>
    <cellStyle name="20% - Énfasis3 2 2 3 3 3 2" xfId="3221" xr:uid="{00000000-0005-0000-0000-0000920C0000}"/>
    <cellStyle name="20% - Énfasis3 2 2 3 3 3 2 2" xfId="3222" xr:uid="{00000000-0005-0000-0000-0000930C0000}"/>
    <cellStyle name="20% - Énfasis3 2 2 3 3 3 3" xfId="3223" xr:uid="{00000000-0005-0000-0000-0000940C0000}"/>
    <cellStyle name="20% - Énfasis3 2 2 3 3 3 3 2" xfId="3224" xr:uid="{00000000-0005-0000-0000-0000950C0000}"/>
    <cellStyle name="20% - Énfasis3 2 2 3 3 3 4" xfId="3225" xr:uid="{00000000-0005-0000-0000-0000960C0000}"/>
    <cellStyle name="20% - Énfasis3 2 2 3 3 3 5" xfId="3226" xr:uid="{00000000-0005-0000-0000-0000970C0000}"/>
    <cellStyle name="20% - Énfasis3 2 2 3 3 4" xfId="3227" xr:uid="{00000000-0005-0000-0000-0000980C0000}"/>
    <cellStyle name="20% - Énfasis3 2 2 3 3 4 2" xfId="3228" xr:uid="{00000000-0005-0000-0000-0000990C0000}"/>
    <cellStyle name="20% - Énfasis3 2 2 3 3 5" xfId="3229" xr:uid="{00000000-0005-0000-0000-00009A0C0000}"/>
    <cellStyle name="20% - Énfasis3 2 2 3 3 5 2" xfId="3230" xr:uid="{00000000-0005-0000-0000-00009B0C0000}"/>
    <cellStyle name="20% - Énfasis3 2 2 3 3 6" xfId="3231" xr:uid="{00000000-0005-0000-0000-00009C0C0000}"/>
    <cellStyle name="20% - Énfasis3 2 2 3 3 7" xfId="3232" xr:uid="{00000000-0005-0000-0000-00009D0C0000}"/>
    <cellStyle name="20% - Énfasis3 2 2 3 4" xfId="3233" xr:uid="{00000000-0005-0000-0000-00009E0C0000}"/>
    <cellStyle name="20% - Énfasis3 2 2 3 4 2" xfId="3234" xr:uid="{00000000-0005-0000-0000-00009F0C0000}"/>
    <cellStyle name="20% - Énfasis3 2 2 3 4 2 2" xfId="3235" xr:uid="{00000000-0005-0000-0000-0000A00C0000}"/>
    <cellStyle name="20% - Énfasis3 2 2 3 4 2 2 2" xfId="3236" xr:uid="{00000000-0005-0000-0000-0000A10C0000}"/>
    <cellStyle name="20% - Énfasis3 2 2 3 4 2 3" xfId="3237" xr:uid="{00000000-0005-0000-0000-0000A20C0000}"/>
    <cellStyle name="20% - Énfasis3 2 2 3 4 2 4" xfId="3238" xr:uid="{00000000-0005-0000-0000-0000A30C0000}"/>
    <cellStyle name="20% - Énfasis3 2 2 3 4 3" xfId="3239" xr:uid="{00000000-0005-0000-0000-0000A40C0000}"/>
    <cellStyle name="20% - Énfasis3 2 2 3 4 3 2" xfId="3240" xr:uid="{00000000-0005-0000-0000-0000A50C0000}"/>
    <cellStyle name="20% - Énfasis3 2 2 3 4 4" xfId="3241" xr:uid="{00000000-0005-0000-0000-0000A60C0000}"/>
    <cellStyle name="20% - Énfasis3 2 2 3 4 5" xfId="3242" xr:uid="{00000000-0005-0000-0000-0000A70C0000}"/>
    <cellStyle name="20% - Énfasis3 2 2 3 5" xfId="3243" xr:uid="{00000000-0005-0000-0000-0000A80C0000}"/>
    <cellStyle name="20% - Énfasis3 2 2 3 5 2" xfId="3244" xr:uid="{00000000-0005-0000-0000-0000A90C0000}"/>
    <cellStyle name="20% - Énfasis3 2 2 3 5 2 2" xfId="3245" xr:uid="{00000000-0005-0000-0000-0000AA0C0000}"/>
    <cellStyle name="20% - Énfasis3 2 2 3 5 3" xfId="3246" xr:uid="{00000000-0005-0000-0000-0000AB0C0000}"/>
    <cellStyle name="20% - Énfasis3 2 2 3 5 3 2" xfId="3247" xr:uid="{00000000-0005-0000-0000-0000AC0C0000}"/>
    <cellStyle name="20% - Énfasis3 2 2 3 5 4" xfId="3248" xr:uid="{00000000-0005-0000-0000-0000AD0C0000}"/>
    <cellStyle name="20% - Énfasis3 2 2 3 5 5" xfId="3249" xr:uid="{00000000-0005-0000-0000-0000AE0C0000}"/>
    <cellStyle name="20% - Énfasis3 2 2 3 6" xfId="3250" xr:uid="{00000000-0005-0000-0000-0000AF0C0000}"/>
    <cellStyle name="20% - Énfasis3 2 2 3 6 2" xfId="3251" xr:uid="{00000000-0005-0000-0000-0000B00C0000}"/>
    <cellStyle name="20% - Énfasis3 2 2 3 7" xfId="3252" xr:uid="{00000000-0005-0000-0000-0000B10C0000}"/>
    <cellStyle name="20% - Énfasis3 2 2 3 7 2" xfId="3253" xr:uid="{00000000-0005-0000-0000-0000B20C0000}"/>
    <cellStyle name="20% - Énfasis3 2 2 3 8" xfId="3254" xr:uid="{00000000-0005-0000-0000-0000B30C0000}"/>
    <cellStyle name="20% - Énfasis3 2 2 3 9" xfId="3255" xr:uid="{00000000-0005-0000-0000-0000B40C0000}"/>
    <cellStyle name="20% - Énfasis3 2 2 4" xfId="3256" xr:uid="{00000000-0005-0000-0000-0000B50C0000}"/>
    <cellStyle name="20% - Énfasis3 2 2 4 2" xfId="3257" xr:uid="{00000000-0005-0000-0000-0000B60C0000}"/>
    <cellStyle name="20% - Énfasis3 2 2 4 2 2" xfId="3258" xr:uid="{00000000-0005-0000-0000-0000B70C0000}"/>
    <cellStyle name="20% - Énfasis3 2 2 4 2 2 2" xfId="3259" xr:uid="{00000000-0005-0000-0000-0000B80C0000}"/>
    <cellStyle name="20% - Énfasis3 2 2 4 2 2 2 2" xfId="3260" xr:uid="{00000000-0005-0000-0000-0000B90C0000}"/>
    <cellStyle name="20% - Énfasis3 2 2 4 2 2 2 2 2" xfId="3261" xr:uid="{00000000-0005-0000-0000-0000BA0C0000}"/>
    <cellStyle name="20% - Énfasis3 2 2 4 2 2 2 3" xfId="3262" xr:uid="{00000000-0005-0000-0000-0000BB0C0000}"/>
    <cellStyle name="20% - Énfasis3 2 2 4 2 2 2 4" xfId="3263" xr:uid="{00000000-0005-0000-0000-0000BC0C0000}"/>
    <cellStyle name="20% - Énfasis3 2 2 4 2 2 3" xfId="3264" xr:uid="{00000000-0005-0000-0000-0000BD0C0000}"/>
    <cellStyle name="20% - Énfasis3 2 2 4 2 2 3 2" xfId="3265" xr:uid="{00000000-0005-0000-0000-0000BE0C0000}"/>
    <cellStyle name="20% - Énfasis3 2 2 4 2 2 4" xfId="3266" xr:uid="{00000000-0005-0000-0000-0000BF0C0000}"/>
    <cellStyle name="20% - Énfasis3 2 2 4 2 2 5" xfId="3267" xr:uid="{00000000-0005-0000-0000-0000C00C0000}"/>
    <cellStyle name="20% - Énfasis3 2 2 4 2 3" xfId="3268" xr:uid="{00000000-0005-0000-0000-0000C10C0000}"/>
    <cellStyle name="20% - Énfasis3 2 2 4 2 3 2" xfId="3269" xr:uid="{00000000-0005-0000-0000-0000C20C0000}"/>
    <cellStyle name="20% - Énfasis3 2 2 4 2 3 2 2" xfId="3270" xr:uid="{00000000-0005-0000-0000-0000C30C0000}"/>
    <cellStyle name="20% - Énfasis3 2 2 4 2 3 3" xfId="3271" xr:uid="{00000000-0005-0000-0000-0000C40C0000}"/>
    <cellStyle name="20% - Énfasis3 2 2 4 2 3 3 2" xfId="3272" xr:uid="{00000000-0005-0000-0000-0000C50C0000}"/>
    <cellStyle name="20% - Énfasis3 2 2 4 2 3 4" xfId="3273" xr:uid="{00000000-0005-0000-0000-0000C60C0000}"/>
    <cellStyle name="20% - Énfasis3 2 2 4 2 3 5" xfId="3274" xr:uid="{00000000-0005-0000-0000-0000C70C0000}"/>
    <cellStyle name="20% - Énfasis3 2 2 4 2 4" xfId="3275" xr:uid="{00000000-0005-0000-0000-0000C80C0000}"/>
    <cellStyle name="20% - Énfasis3 2 2 4 2 4 2" xfId="3276" xr:uid="{00000000-0005-0000-0000-0000C90C0000}"/>
    <cellStyle name="20% - Énfasis3 2 2 4 2 5" xfId="3277" xr:uid="{00000000-0005-0000-0000-0000CA0C0000}"/>
    <cellStyle name="20% - Énfasis3 2 2 4 2 5 2" xfId="3278" xr:uid="{00000000-0005-0000-0000-0000CB0C0000}"/>
    <cellStyle name="20% - Énfasis3 2 2 4 2 6" xfId="3279" xr:uid="{00000000-0005-0000-0000-0000CC0C0000}"/>
    <cellStyle name="20% - Énfasis3 2 2 4 2 7" xfId="3280" xr:uid="{00000000-0005-0000-0000-0000CD0C0000}"/>
    <cellStyle name="20% - Énfasis3 2 2 4 3" xfId="3281" xr:uid="{00000000-0005-0000-0000-0000CE0C0000}"/>
    <cellStyle name="20% - Énfasis3 2 2 4 3 2" xfId="3282" xr:uid="{00000000-0005-0000-0000-0000CF0C0000}"/>
    <cellStyle name="20% - Énfasis3 2 2 4 3 2 2" xfId="3283" xr:uid="{00000000-0005-0000-0000-0000D00C0000}"/>
    <cellStyle name="20% - Énfasis3 2 2 4 3 2 2 2" xfId="3284" xr:uid="{00000000-0005-0000-0000-0000D10C0000}"/>
    <cellStyle name="20% - Énfasis3 2 2 4 3 2 3" xfId="3285" xr:uid="{00000000-0005-0000-0000-0000D20C0000}"/>
    <cellStyle name="20% - Énfasis3 2 2 4 3 2 4" xfId="3286" xr:uid="{00000000-0005-0000-0000-0000D30C0000}"/>
    <cellStyle name="20% - Énfasis3 2 2 4 3 3" xfId="3287" xr:uid="{00000000-0005-0000-0000-0000D40C0000}"/>
    <cellStyle name="20% - Énfasis3 2 2 4 3 3 2" xfId="3288" xr:uid="{00000000-0005-0000-0000-0000D50C0000}"/>
    <cellStyle name="20% - Énfasis3 2 2 4 3 4" xfId="3289" xr:uid="{00000000-0005-0000-0000-0000D60C0000}"/>
    <cellStyle name="20% - Énfasis3 2 2 4 3 5" xfId="3290" xr:uid="{00000000-0005-0000-0000-0000D70C0000}"/>
    <cellStyle name="20% - Énfasis3 2 2 4 4" xfId="3291" xr:uid="{00000000-0005-0000-0000-0000D80C0000}"/>
    <cellStyle name="20% - Énfasis3 2 2 4 4 2" xfId="3292" xr:uid="{00000000-0005-0000-0000-0000D90C0000}"/>
    <cellStyle name="20% - Énfasis3 2 2 4 4 2 2" xfId="3293" xr:uid="{00000000-0005-0000-0000-0000DA0C0000}"/>
    <cellStyle name="20% - Énfasis3 2 2 4 4 3" xfId="3294" xr:uid="{00000000-0005-0000-0000-0000DB0C0000}"/>
    <cellStyle name="20% - Énfasis3 2 2 4 4 3 2" xfId="3295" xr:uid="{00000000-0005-0000-0000-0000DC0C0000}"/>
    <cellStyle name="20% - Énfasis3 2 2 4 4 4" xfId="3296" xr:uid="{00000000-0005-0000-0000-0000DD0C0000}"/>
    <cellStyle name="20% - Énfasis3 2 2 4 4 5" xfId="3297" xr:uid="{00000000-0005-0000-0000-0000DE0C0000}"/>
    <cellStyle name="20% - Énfasis3 2 2 4 5" xfId="3298" xr:uid="{00000000-0005-0000-0000-0000DF0C0000}"/>
    <cellStyle name="20% - Énfasis3 2 2 4 5 2" xfId="3299" xr:uid="{00000000-0005-0000-0000-0000E00C0000}"/>
    <cellStyle name="20% - Énfasis3 2 2 4 6" xfId="3300" xr:uid="{00000000-0005-0000-0000-0000E10C0000}"/>
    <cellStyle name="20% - Énfasis3 2 2 4 6 2" xfId="3301" xr:uid="{00000000-0005-0000-0000-0000E20C0000}"/>
    <cellStyle name="20% - Énfasis3 2 2 4 7" xfId="3302" xr:uid="{00000000-0005-0000-0000-0000E30C0000}"/>
    <cellStyle name="20% - Énfasis3 2 2 4 8" xfId="3303" xr:uid="{00000000-0005-0000-0000-0000E40C0000}"/>
    <cellStyle name="20% - Énfasis3 2 2 5" xfId="3304" xr:uid="{00000000-0005-0000-0000-0000E50C0000}"/>
    <cellStyle name="20% - Énfasis3 2 2 5 2" xfId="3305" xr:uid="{00000000-0005-0000-0000-0000E60C0000}"/>
    <cellStyle name="20% - Énfasis3 2 2 5 2 2" xfId="3306" xr:uid="{00000000-0005-0000-0000-0000E70C0000}"/>
    <cellStyle name="20% - Énfasis3 2 2 5 2 2 2" xfId="3307" xr:uid="{00000000-0005-0000-0000-0000E80C0000}"/>
    <cellStyle name="20% - Énfasis3 2 2 5 2 2 2 2" xfId="3308" xr:uid="{00000000-0005-0000-0000-0000E90C0000}"/>
    <cellStyle name="20% - Énfasis3 2 2 5 2 2 3" xfId="3309" xr:uid="{00000000-0005-0000-0000-0000EA0C0000}"/>
    <cellStyle name="20% - Énfasis3 2 2 5 2 2 4" xfId="3310" xr:uid="{00000000-0005-0000-0000-0000EB0C0000}"/>
    <cellStyle name="20% - Énfasis3 2 2 5 2 3" xfId="3311" xr:uid="{00000000-0005-0000-0000-0000EC0C0000}"/>
    <cellStyle name="20% - Énfasis3 2 2 5 2 3 2" xfId="3312" xr:uid="{00000000-0005-0000-0000-0000ED0C0000}"/>
    <cellStyle name="20% - Énfasis3 2 2 5 2 4" xfId="3313" xr:uid="{00000000-0005-0000-0000-0000EE0C0000}"/>
    <cellStyle name="20% - Énfasis3 2 2 5 2 5" xfId="3314" xr:uid="{00000000-0005-0000-0000-0000EF0C0000}"/>
    <cellStyle name="20% - Énfasis3 2 2 5 3" xfId="3315" xr:uid="{00000000-0005-0000-0000-0000F00C0000}"/>
    <cellStyle name="20% - Énfasis3 2 2 5 3 2" xfId="3316" xr:uid="{00000000-0005-0000-0000-0000F10C0000}"/>
    <cellStyle name="20% - Énfasis3 2 2 5 3 3" xfId="3317" xr:uid="{00000000-0005-0000-0000-0000F20C0000}"/>
    <cellStyle name="20% - Énfasis3 2 2 5 4" xfId="3318" xr:uid="{00000000-0005-0000-0000-0000F30C0000}"/>
    <cellStyle name="20% - Énfasis3 2 2 5 4 2" xfId="3319" xr:uid="{00000000-0005-0000-0000-0000F40C0000}"/>
    <cellStyle name="20% - Énfasis3 2 2 5 5" xfId="3320" xr:uid="{00000000-0005-0000-0000-0000F50C0000}"/>
    <cellStyle name="20% - Énfasis3 2 2 6" xfId="3321" xr:uid="{00000000-0005-0000-0000-0000F60C0000}"/>
    <cellStyle name="20% - Énfasis3 2 2 6 2" xfId="3322" xr:uid="{00000000-0005-0000-0000-0000F70C0000}"/>
    <cellStyle name="20% - Énfasis3 2 2 6 2 2" xfId="3323" xr:uid="{00000000-0005-0000-0000-0000F80C0000}"/>
    <cellStyle name="20% - Énfasis3 2 2 6 2 2 2" xfId="3324" xr:uid="{00000000-0005-0000-0000-0000F90C0000}"/>
    <cellStyle name="20% - Énfasis3 2 2 6 2 3" xfId="3325" xr:uid="{00000000-0005-0000-0000-0000FA0C0000}"/>
    <cellStyle name="20% - Énfasis3 2 2 6 2 3 2" xfId="3326" xr:uid="{00000000-0005-0000-0000-0000FB0C0000}"/>
    <cellStyle name="20% - Énfasis3 2 2 6 2 4" xfId="3327" xr:uid="{00000000-0005-0000-0000-0000FC0C0000}"/>
    <cellStyle name="20% - Énfasis3 2 2 6 2 5" xfId="3328" xr:uid="{00000000-0005-0000-0000-0000FD0C0000}"/>
    <cellStyle name="20% - Énfasis3 2 2 6 3" xfId="3329" xr:uid="{00000000-0005-0000-0000-0000FE0C0000}"/>
    <cellStyle name="20% - Énfasis3 2 2 6 3 2" xfId="3330" xr:uid="{00000000-0005-0000-0000-0000FF0C0000}"/>
    <cellStyle name="20% - Énfasis3 2 2 6 4" xfId="3331" xr:uid="{00000000-0005-0000-0000-0000000D0000}"/>
    <cellStyle name="20% - Énfasis3 2 2 6 4 2" xfId="3332" xr:uid="{00000000-0005-0000-0000-0000010D0000}"/>
    <cellStyle name="20% - Énfasis3 2 2 6 5" xfId="3333" xr:uid="{00000000-0005-0000-0000-0000020D0000}"/>
    <cellStyle name="20% - Énfasis3 2 2 6 6" xfId="3334" xr:uid="{00000000-0005-0000-0000-0000030D0000}"/>
    <cellStyle name="20% - Énfasis3 2 2 7" xfId="3335" xr:uid="{00000000-0005-0000-0000-0000040D0000}"/>
    <cellStyle name="20% - Énfasis3 2 2 7 2" xfId="3336" xr:uid="{00000000-0005-0000-0000-0000050D0000}"/>
    <cellStyle name="20% - Énfasis3 2 2 7 2 2" xfId="3337" xr:uid="{00000000-0005-0000-0000-0000060D0000}"/>
    <cellStyle name="20% - Énfasis3 2 2 7 3" xfId="3338" xr:uid="{00000000-0005-0000-0000-0000070D0000}"/>
    <cellStyle name="20% - Énfasis3 2 2 7 3 2" xfId="3339" xr:uid="{00000000-0005-0000-0000-0000080D0000}"/>
    <cellStyle name="20% - Énfasis3 2 2 7 4" xfId="3340" xr:uid="{00000000-0005-0000-0000-0000090D0000}"/>
    <cellStyle name="20% - Énfasis3 2 2 7 5" xfId="3341" xr:uid="{00000000-0005-0000-0000-00000A0D0000}"/>
    <cellStyle name="20% - Énfasis3 2 2 8" xfId="3342" xr:uid="{00000000-0005-0000-0000-00000B0D0000}"/>
    <cellStyle name="20% - Énfasis3 2 2 8 2" xfId="3343" xr:uid="{00000000-0005-0000-0000-00000C0D0000}"/>
    <cellStyle name="20% - Énfasis3 2 2 8 2 2" xfId="3344" xr:uid="{00000000-0005-0000-0000-00000D0D0000}"/>
    <cellStyle name="20% - Énfasis3 2 2 8 3" xfId="3345" xr:uid="{00000000-0005-0000-0000-00000E0D0000}"/>
    <cellStyle name="20% - Énfasis3 2 2 9" xfId="3346" xr:uid="{00000000-0005-0000-0000-00000F0D0000}"/>
    <cellStyle name="20% - Énfasis3 2 2 9 2" xfId="3347" xr:uid="{00000000-0005-0000-0000-0000100D0000}"/>
    <cellStyle name="20% - Énfasis3 2 3" xfId="3348" xr:uid="{00000000-0005-0000-0000-0000110D0000}"/>
    <cellStyle name="20% - Énfasis3 2 3 10" xfId="3349" xr:uid="{00000000-0005-0000-0000-0000120D0000}"/>
    <cellStyle name="20% - Énfasis3 2 3 2" xfId="3350" xr:uid="{00000000-0005-0000-0000-0000130D0000}"/>
    <cellStyle name="20% - Énfasis3 2 3 2 2" xfId="3351" xr:uid="{00000000-0005-0000-0000-0000140D0000}"/>
    <cellStyle name="20% - Énfasis3 2 3 2 2 2" xfId="3352" xr:uid="{00000000-0005-0000-0000-0000150D0000}"/>
    <cellStyle name="20% - Énfasis3 2 3 2 2 2 2" xfId="3353" xr:uid="{00000000-0005-0000-0000-0000160D0000}"/>
    <cellStyle name="20% - Énfasis3 2 3 2 2 2 2 2" xfId="3354" xr:uid="{00000000-0005-0000-0000-0000170D0000}"/>
    <cellStyle name="20% - Énfasis3 2 3 2 2 2 2 2 2" xfId="3355" xr:uid="{00000000-0005-0000-0000-0000180D0000}"/>
    <cellStyle name="20% - Énfasis3 2 3 2 2 2 2 2 2 2" xfId="3356" xr:uid="{00000000-0005-0000-0000-0000190D0000}"/>
    <cellStyle name="20% - Énfasis3 2 3 2 2 2 2 2 3" xfId="3357" xr:uid="{00000000-0005-0000-0000-00001A0D0000}"/>
    <cellStyle name="20% - Énfasis3 2 3 2 2 2 2 2 4" xfId="3358" xr:uid="{00000000-0005-0000-0000-00001B0D0000}"/>
    <cellStyle name="20% - Énfasis3 2 3 2 2 2 2 3" xfId="3359" xr:uid="{00000000-0005-0000-0000-00001C0D0000}"/>
    <cellStyle name="20% - Énfasis3 2 3 2 2 2 2 3 2" xfId="3360" xr:uid="{00000000-0005-0000-0000-00001D0D0000}"/>
    <cellStyle name="20% - Énfasis3 2 3 2 2 2 2 4" xfId="3361" xr:uid="{00000000-0005-0000-0000-00001E0D0000}"/>
    <cellStyle name="20% - Énfasis3 2 3 2 2 2 2 5" xfId="3362" xr:uid="{00000000-0005-0000-0000-00001F0D0000}"/>
    <cellStyle name="20% - Énfasis3 2 3 2 2 2 3" xfId="3363" xr:uid="{00000000-0005-0000-0000-0000200D0000}"/>
    <cellStyle name="20% - Énfasis3 2 3 2 2 2 3 2" xfId="3364" xr:uid="{00000000-0005-0000-0000-0000210D0000}"/>
    <cellStyle name="20% - Énfasis3 2 3 2 2 2 3 2 2" xfId="3365" xr:uid="{00000000-0005-0000-0000-0000220D0000}"/>
    <cellStyle name="20% - Énfasis3 2 3 2 2 2 3 3" xfId="3366" xr:uid="{00000000-0005-0000-0000-0000230D0000}"/>
    <cellStyle name="20% - Énfasis3 2 3 2 2 2 3 4" xfId="3367" xr:uid="{00000000-0005-0000-0000-0000240D0000}"/>
    <cellStyle name="20% - Énfasis3 2 3 2 2 2 4" xfId="3368" xr:uid="{00000000-0005-0000-0000-0000250D0000}"/>
    <cellStyle name="20% - Énfasis3 2 3 2 2 2 4 2" xfId="3369" xr:uid="{00000000-0005-0000-0000-0000260D0000}"/>
    <cellStyle name="20% - Énfasis3 2 3 2 2 2 5" xfId="3370" xr:uid="{00000000-0005-0000-0000-0000270D0000}"/>
    <cellStyle name="20% - Énfasis3 2 3 2 2 2 6" xfId="3371" xr:uid="{00000000-0005-0000-0000-0000280D0000}"/>
    <cellStyle name="20% - Énfasis3 2 3 2 2 3" xfId="3372" xr:uid="{00000000-0005-0000-0000-0000290D0000}"/>
    <cellStyle name="20% - Énfasis3 2 3 2 2 3 2" xfId="3373" xr:uid="{00000000-0005-0000-0000-00002A0D0000}"/>
    <cellStyle name="20% - Énfasis3 2 3 2 2 3 2 2" xfId="3374" xr:uid="{00000000-0005-0000-0000-00002B0D0000}"/>
    <cellStyle name="20% - Énfasis3 2 3 2 2 3 2 2 2" xfId="3375" xr:uid="{00000000-0005-0000-0000-00002C0D0000}"/>
    <cellStyle name="20% - Énfasis3 2 3 2 2 3 2 3" xfId="3376" xr:uid="{00000000-0005-0000-0000-00002D0D0000}"/>
    <cellStyle name="20% - Énfasis3 2 3 2 2 3 2 4" xfId="3377" xr:uid="{00000000-0005-0000-0000-00002E0D0000}"/>
    <cellStyle name="20% - Énfasis3 2 3 2 2 3 3" xfId="3378" xr:uid="{00000000-0005-0000-0000-00002F0D0000}"/>
    <cellStyle name="20% - Énfasis3 2 3 2 2 3 3 2" xfId="3379" xr:uid="{00000000-0005-0000-0000-0000300D0000}"/>
    <cellStyle name="20% - Énfasis3 2 3 2 2 3 4" xfId="3380" xr:uid="{00000000-0005-0000-0000-0000310D0000}"/>
    <cellStyle name="20% - Énfasis3 2 3 2 2 3 5" xfId="3381" xr:uid="{00000000-0005-0000-0000-0000320D0000}"/>
    <cellStyle name="20% - Énfasis3 2 3 2 2 4" xfId="3382" xr:uid="{00000000-0005-0000-0000-0000330D0000}"/>
    <cellStyle name="20% - Énfasis3 2 3 2 2 4 2" xfId="3383" xr:uid="{00000000-0005-0000-0000-0000340D0000}"/>
    <cellStyle name="20% - Énfasis3 2 3 2 2 4 2 2" xfId="3384" xr:uid="{00000000-0005-0000-0000-0000350D0000}"/>
    <cellStyle name="20% - Énfasis3 2 3 2 2 4 3" xfId="3385" xr:uid="{00000000-0005-0000-0000-0000360D0000}"/>
    <cellStyle name="20% - Énfasis3 2 3 2 2 4 4" xfId="3386" xr:uid="{00000000-0005-0000-0000-0000370D0000}"/>
    <cellStyle name="20% - Énfasis3 2 3 2 2 5" xfId="3387" xr:uid="{00000000-0005-0000-0000-0000380D0000}"/>
    <cellStyle name="20% - Énfasis3 2 3 2 2 5 2" xfId="3388" xr:uid="{00000000-0005-0000-0000-0000390D0000}"/>
    <cellStyle name="20% - Énfasis3 2 3 2 2 6" xfId="3389" xr:uid="{00000000-0005-0000-0000-00003A0D0000}"/>
    <cellStyle name="20% - Énfasis3 2 3 2 2 7" xfId="3390" xr:uid="{00000000-0005-0000-0000-00003B0D0000}"/>
    <cellStyle name="20% - Énfasis3 2 3 2 3" xfId="3391" xr:uid="{00000000-0005-0000-0000-00003C0D0000}"/>
    <cellStyle name="20% - Énfasis3 2 3 2 3 2" xfId="3392" xr:uid="{00000000-0005-0000-0000-00003D0D0000}"/>
    <cellStyle name="20% - Énfasis3 2 3 2 3 2 2" xfId="3393" xr:uid="{00000000-0005-0000-0000-00003E0D0000}"/>
    <cellStyle name="20% - Énfasis3 2 3 2 3 2 2 2" xfId="3394" xr:uid="{00000000-0005-0000-0000-00003F0D0000}"/>
    <cellStyle name="20% - Énfasis3 2 3 2 3 2 2 2 2" xfId="3395" xr:uid="{00000000-0005-0000-0000-0000400D0000}"/>
    <cellStyle name="20% - Énfasis3 2 3 2 3 2 2 3" xfId="3396" xr:uid="{00000000-0005-0000-0000-0000410D0000}"/>
    <cellStyle name="20% - Énfasis3 2 3 2 3 2 2 4" xfId="3397" xr:uid="{00000000-0005-0000-0000-0000420D0000}"/>
    <cellStyle name="20% - Énfasis3 2 3 2 3 2 3" xfId="3398" xr:uid="{00000000-0005-0000-0000-0000430D0000}"/>
    <cellStyle name="20% - Énfasis3 2 3 2 3 2 3 2" xfId="3399" xr:uid="{00000000-0005-0000-0000-0000440D0000}"/>
    <cellStyle name="20% - Énfasis3 2 3 2 3 2 4" xfId="3400" xr:uid="{00000000-0005-0000-0000-0000450D0000}"/>
    <cellStyle name="20% - Énfasis3 2 3 2 3 2 5" xfId="3401" xr:uid="{00000000-0005-0000-0000-0000460D0000}"/>
    <cellStyle name="20% - Énfasis3 2 3 2 3 3" xfId="3402" xr:uid="{00000000-0005-0000-0000-0000470D0000}"/>
    <cellStyle name="20% - Énfasis3 2 3 2 3 3 2" xfId="3403" xr:uid="{00000000-0005-0000-0000-0000480D0000}"/>
    <cellStyle name="20% - Énfasis3 2 3 2 3 3 2 2" xfId="3404" xr:uid="{00000000-0005-0000-0000-0000490D0000}"/>
    <cellStyle name="20% - Énfasis3 2 3 2 3 3 3" xfId="3405" xr:uid="{00000000-0005-0000-0000-00004A0D0000}"/>
    <cellStyle name="20% - Énfasis3 2 3 2 3 3 3 2" xfId="3406" xr:uid="{00000000-0005-0000-0000-00004B0D0000}"/>
    <cellStyle name="20% - Énfasis3 2 3 2 3 3 4" xfId="3407" xr:uid="{00000000-0005-0000-0000-00004C0D0000}"/>
    <cellStyle name="20% - Énfasis3 2 3 2 3 3 5" xfId="3408" xr:uid="{00000000-0005-0000-0000-00004D0D0000}"/>
    <cellStyle name="20% - Énfasis3 2 3 2 3 4" xfId="3409" xr:uid="{00000000-0005-0000-0000-00004E0D0000}"/>
    <cellStyle name="20% - Énfasis3 2 3 2 3 4 2" xfId="3410" xr:uid="{00000000-0005-0000-0000-00004F0D0000}"/>
    <cellStyle name="20% - Énfasis3 2 3 2 3 5" xfId="3411" xr:uid="{00000000-0005-0000-0000-0000500D0000}"/>
    <cellStyle name="20% - Énfasis3 2 3 2 3 5 2" xfId="3412" xr:uid="{00000000-0005-0000-0000-0000510D0000}"/>
    <cellStyle name="20% - Énfasis3 2 3 2 3 6" xfId="3413" xr:uid="{00000000-0005-0000-0000-0000520D0000}"/>
    <cellStyle name="20% - Énfasis3 2 3 2 3 7" xfId="3414" xr:uid="{00000000-0005-0000-0000-0000530D0000}"/>
    <cellStyle name="20% - Énfasis3 2 3 2 4" xfId="3415" xr:uid="{00000000-0005-0000-0000-0000540D0000}"/>
    <cellStyle name="20% - Énfasis3 2 3 2 4 2" xfId="3416" xr:uid="{00000000-0005-0000-0000-0000550D0000}"/>
    <cellStyle name="20% - Énfasis3 2 3 2 4 2 2" xfId="3417" xr:uid="{00000000-0005-0000-0000-0000560D0000}"/>
    <cellStyle name="20% - Énfasis3 2 3 2 4 2 2 2" xfId="3418" xr:uid="{00000000-0005-0000-0000-0000570D0000}"/>
    <cellStyle name="20% - Énfasis3 2 3 2 4 2 3" xfId="3419" xr:uid="{00000000-0005-0000-0000-0000580D0000}"/>
    <cellStyle name="20% - Énfasis3 2 3 2 4 2 4" xfId="3420" xr:uid="{00000000-0005-0000-0000-0000590D0000}"/>
    <cellStyle name="20% - Énfasis3 2 3 2 4 3" xfId="3421" xr:uid="{00000000-0005-0000-0000-00005A0D0000}"/>
    <cellStyle name="20% - Énfasis3 2 3 2 4 3 2" xfId="3422" xr:uid="{00000000-0005-0000-0000-00005B0D0000}"/>
    <cellStyle name="20% - Énfasis3 2 3 2 4 4" xfId="3423" xr:uid="{00000000-0005-0000-0000-00005C0D0000}"/>
    <cellStyle name="20% - Énfasis3 2 3 2 4 5" xfId="3424" xr:uid="{00000000-0005-0000-0000-00005D0D0000}"/>
    <cellStyle name="20% - Énfasis3 2 3 2 5" xfId="3425" xr:uid="{00000000-0005-0000-0000-00005E0D0000}"/>
    <cellStyle name="20% - Énfasis3 2 3 2 5 2" xfId="3426" xr:uid="{00000000-0005-0000-0000-00005F0D0000}"/>
    <cellStyle name="20% - Énfasis3 2 3 2 5 2 2" xfId="3427" xr:uid="{00000000-0005-0000-0000-0000600D0000}"/>
    <cellStyle name="20% - Énfasis3 2 3 2 5 3" xfId="3428" xr:uid="{00000000-0005-0000-0000-0000610D0000}"/>
    <cellStyle name="20% - Énfasis3 2 3 2 5 3 2" xfId="3429" xr:uid="{00000000-0005-0000-0000-0000620D0000}"/>
    <cellStyle name="20% - Énfasis3 2 3 2 5 4" xfId="3430" xr:uid="{00000000-0005-0000-0000-0000630D0000}"/>
    <cellStyle name="20% - Énfasis3 2 3 2 5 5" xfId="3431" xr:uid="{00000000-0005-0000-0000-0000640D0000}"/>
    <cellStyle name="20% - Énfasis3 2 3 2 6" xfId="3432" xr:uid="{00000000-0005-0000-0000-0000650D0000}"/>
    <cellStyle name="20% - Énfasis3 2 3 2 6 2" xfId="3433" xr:uid="{00000000-0005-0000-0000-0000660D0000}"/>
    <cellStyle name="20% - Énfasis3 2 3 2 7" xfId="3434" xr:uid="{00000000-0005-0000-0000-0000670D0000}"/>
    <cellStyle name="20% - Énfasis3 2 3 2 7 2" xfId="3435" xr:uid="{00000000-0005-0000-0000-0000680D0000}"/>
    <cellStyle name="20% - Énfasis3 2 3 2 8" xfId="3436" xr:uid="{00000000-0005-0000-0000-0000690D0000}"/>
    <cellStyle name="20% - Énfasis3 2 3 2 9" xfId="3437" xr:uid="{00000000-0005-0000-0000-00006A0D0000}"/>
    <cellStyle name="20% - Énfasis3 2 3 3" xfId="3438" xr:uid="{00000000-0005-0000-0000-00006B0D0000}"/>
    <cellStyle name="20% - Énfasis3 2 3 3 2" xfId="3439" xr:uid="{00000000-0005-0000-0000-00006C0D0000}"/>
    <cellStyle name="20% - Énfasis3 2 3 3 2 2" xfId="3440" xr:uid="{00000000-0005-0000-0000-00006D0D0000}"/>
    <cellStyle name="20% - Énfasis3 2 3 3 2 2 2" xfId="3441" xr:uid="{00000000-0005-0000-0000-00006E0D0000}"/>
    <cellStyle name="20% - Énfasis3 2 3 3 2 2 2 2" xfId="3442" xr:uid="{00000000-0005-0000-0000-00006F0D0000}"/>
    <cellStyle name="20% - Énfasis3 2 3 3 2 2 2 2 2" xfId="3443" xr:uid="{00000000-0005-0000-0000-0000700D0000}"/>
    <cellStyle name="20% - Énfasis3 2 3 3 2 2 2 3" xfId="3444" xr:uid="{00000000-0005-0000-0000-0000710D0000}"/>
    <cellStyle name="20% - Énfasis3 2 3 3 2 2 2 4" xfId="3445" xr:uid="{00000000-0005-0000-0000-0000720D0000}"/>
    <cellStyle name="20% - Énfasis3 2 3 3 2 2 3" xfId="3446" xr:uid="{00000000-0005-0000-0000-0000730D0000}"/>
    <cellStyle name="20% - Énfasis3 2 3 3 2 2 3 2" xfId="3447" xr:uid="{00000000-0005-0000-0000-0000740D0000}"/>
    <cellStyle name="20% - Énfasis3 2 3 3 2 2 4" xfId="3448" xr:uid="{00000000-0005-0000-0000-0000750D0000}"/>
    <cellStyle name="20% - Énfasis3 2 3 3 2 2 5" xfId="3449" xr:uid="{00000000-0005-0000-0000-0000760D0000}"/>
    <cellStyle name="20% - Énfasis3 2 3 3 2 3" xfId="3450" xr:uid="{00000000-0005-0000-0000-0000770D0000}"/>
    <cellStyle name="20% - Énfasis3 2 3 3 2 3 2" xfId="3451" xr:uid="{00000000-0005-0000-0000-0000780D0000}"/>
    <cellStyle name="20% - Énfasis3 2 3 3 2 3 2 2" xfId="3452" xr:uid="{00000000-0005-0000-0000-0000790D0000}"/>
    <cellStyle name="20% - Énfasis3 2 3 3 2 3 3" xfId="3453" xr:uid="{00000000-0005-0000-0000-00007A0D0000}"/>
    <cellStyle name="20% - Énfasis3 2 3 3 2 3 3 2" xfId="3454" xr:uid="{00000000-0005-0000-0000-00007B0D0000}"/>
    <cellStyle name="20% - Énfasis3 2 3 3 2 3 4" xfId="3455" xr:uid="{00000000-0005-0000-0000-00007C0D0000}"/>
    <cellStyle name="20% - Énfasis3 2 3 3 2 3 5" xfId="3456" xr:uid="{00000000-0005-0000-0000-00007D0D0000}"/>
    <cellStyle name="20% - Énfasis3 2 3 3 2 4" xfId="3457" xr:uid="{00000000-0005-0000-0000-00007E0D0000}"/>
    <cellStyle name="20% - Énfasis3 2 3 3 2 4 2" xfId="3458" xr:uid="{00000000-0005-0000-0000-00007F0D0000}"/>
    <cellStyle name="20% - Énfasis3 2 3 3 2 5" xfId="3459" xr:uid="{00000000-0005-0000-0000-0000800D0000}"/>
    <cellStyle name="20% - Énfasis3 2 3 3 2 5 2" xfId="3460" xr:uid="{00000000-0005-0000-0000-0000810D0000}"/>
    <cellStyle name="20% - Énfasis3 2 3 3 2 6" xfId="3461" xr:uid="{00000000-0005-0000-0000-0000820D0000}"/>
    <cellStyle name="20% - Énfasis3 2 3 3 2 7" xfId="3462" xr:uid="{00000000-0005-0000-0000-0000830D0000}"/>
    <cellStyle name="20% - Énfasis3 2 3 3 3" xfId="3463" xr:uid="{00000000-0005-0000-0000-0000840D0000}"/>
    <cellStyle name="20% - Énfasis3 2 3 3 3 2" xfId="3464" xr:uid="{00000000-0005-0000-0000-0000850D0000}"/>
    <cellStyle name="20% - Énfasis3 2 3 3 3 2 2" xfId="3465" xr:uid="{00000000-0005-0000-0000-0000860D0000}"/>
    <cellStyle name="20% - Énfasis3 2 3 3 3 2 2 2" xfId="3466" xr:uid="{00000000-0005-0000-0000-0000870D0000}"/>
    <cellStyle name="20% - Énfasis3 2 3 3 3 2 3" xfId="3467" xr:uid="{00000000-0005-0000-0000-0000880D0000}"/>
    <cellStyle name="20% - Énfasis3 2 3 3 3 2 4" xfId="3468" xr:uid="{00000000-0005-0000-0000-0000890D0000}"/>
    <cellStyle name="20% - Énfasis3 2 3 3 3 3" xfId="3469" xr:uid="{00000000-0005-0000-0000-00008A0D0000}"/>
    <cellStyle name="20% - Énfasis3 2 3 3 3 3 2" xfId="3470" xr:uid="{00000000-0005-0000-0000-00008B0D0000}"/>
    <cellStyle name="20% - Énfasis3 2 3 3 3 4" xfId="3471" xr:uid="{00000000-0005-0000-0000-00008C0D0000}"/>
    <cellStyle name="20% - Énfasis3 2 3 3 3 5" xfId="3472" xr:uid="{00000000-0005-0000-0000-00008D0D0000}"/>
    <cellStyle name="20% - Énfasis3 2 3 3 4" xfId="3473" xr:uid="{00000000-0005-0000-0000-00008E0D0000}"/>
    <cellStyle name="20% - Énfasis3 2 3 3 4 2" xfId="3474" xr:uid="{00000000-0005-0000-0000-00008F0D0000}"/>
    <cellStyle name="20% - Énfasis3 2 3 3 4 2 2" xfId="3475" xr:uid="{00000000-0005-0000-0000-0000900D0000}"/>
    <cellStyle name="20% - Énfasis3 2 3 3 4 3" xfId="3476" xr:uid="{00000000-0005-0000-0000-0000910D0000}"/>
    <cellStyle name="20% - Énfasis3 2 3 3 4 3 2" xfId="3477" xr:uid="{00000000-0005-0000-0000-0000920D0000}"/>
    <cellStyle name="20% - Énfasis3 2 3 3 4 4" xfId="3478" xr:uid="{00000000-0005-0000-0000-0000930D0000}"/>
    <cellStyle name="20% - Énfasis3 2 3 3 4 5" xfId="3479" xr:uid="{00000000-0005-0000-0000-0000940D0000}"/>
    <cellStyle name="20% - Énfasis3 2 3 3 5" xfId="3480" xr:uid="{00000000-0005-0000-0000-0000950D0000}"/>
    <cellStyle name="20% - Énfasis3 2 3 3 5 2" xfId="3481" xr:uid="{00000000-0005-0000-0000-0000960D0000}"/>
    <cellStyle name="20% - Énfasis3 2 3 3 6" xfId="3482" xr:uid="{00000000-0005-0000-0000-0000970D0000}"/>
    <cellStyle name="20% - Énfasis3 2 3 3 6 2" xfId="3483" xr:uid="{00000000-0005-0000-0000-0000980D0000}"/>
    <cellStyle name="20% - Énfasis3 2 3 3 7" xfId="3484" xr:uid="{00000000-0005-0000-0000-0000990D0000}"/>
    <cellStyle name="20% - Énfasis3 2 3 3 8" xfId="3485" xr:uid="{00000000-0005-0000-0000-00009A0D0000}"/>
    <cellStyle name="20% - Énfasis3 2 3 4" xfId="3486" xr:uid="{00000000-0005-0000-0000-00009B0D0000}"/>
    <cellStyle name="20% - Énfasis3 2 3 4 2" xfId="3487" xr:uid="{00000000-0005-0000-0000-00009C0D0000}"/>
    <cellStyle name="20% - Énfasis3 2 3 4 2 2" xfId="3488" xr:uid="{00000000-0005-0000-0000-00009D0D0000}"/>
    <cellStyle name="20% - Énfasis3 2 3 4 2 2 2" xfId="3489" xr:uid="{00000000-0005-0000-0000-00009E0D0000}"/>
    <cellStyle name="20% - Énfasis3 2 3 4 2 2 2 2" xfId="3490" xr:uid="{00000000-0005-0000-0000-00009F0D0000}"/>
    <cellStyle name="20% - Énfasis3 2 3 4 2 2 3" xfId="3491" xr:uid="{00000000-0005-0000-0000-0000A00D0000}"/>
    <cellStyle name="20% - Énfasis3 2 3 4 2 2 4" xfId="3492" xr:uid="{00000000-0005-0000-0000-0000A10D0000}"/>
    <cellStyle name="20% - Énfasis3 2 3 4 2 3" xfId="3493" xr:uid="{00000000-0005-0000-0000-0000A20D0000}"/>
    <cellStyle name="20% - Énfasis3 2 3 4 2 3 2" xfId="3494" xr:uid="{00000000-0005-0000-0000-0000A30D0000}"/>
    <cellStyle name="20% - Énfasis3 2 3 4 2 4" xfId="3495" xr:uid="{00000000-0005-0000-0000-0000A40D0000}"/>
    <cellStyle name="20% - Énfasis3 2 3 4 2 5" xfId="3496" xr:uid="{00000000-0005-0000-0000-0000A50D0000}"/>
    <cellStyle name="20% - Énfasis3 2 3 4 3" xfId="3497" xr:uid="{00000000-0005-0000-0000-0000A60D0000}"/>
    <cellStyle name="20% - Énfasis3 2 3 4 3 2" xfId="3498" xr:uid="{00000000-0005-0000-0000-0000A70D0000}"/>
    <cellStyle name="20% - Énfasis3 2 3 4 3 2 2" xfId="3499" xr:uid="{00000000-0005-0000-0000-0000A80D0000}"/>
    <cellStyle name="20% - Énfasis3 2 3 4 3 3" xfId="3500" xr:uid="{00000000-0005-0000-0000-0000A90D0000}"/>
    <cellStyle name="20% - Énfasis3 2 3 4 3 3 2" xfId="3501" xr:uid="{00000000-0005-0000-0000-0000AA0D0000}"/>
    <cellStyle name="20% - Énfasis3 2 3 4 3 4" xfId="3502" xr:uid="{00000000-0005-0000-0000-0000AB0D0000}"/>
    <cellStyle name="20% - Énfasis3 2 3 4 3 5" xfId="3503" xr:uid="{00000000-0005-0000-0000-0000AC0D0000}"/>
    <cellStyle name="20% - Énfasis3 2 3 4 4" xfId="3504" xr:uid="{00000000-0005-0000-0000-0000AD0D0000}"/>
    <cellStyle name="20% - Énfasis3 2 3 4 4 2" xfId="3505" xr:uid="{00000000-0005-0000-0000-0000AE0D0000}"/>
    <cellStyle name="20% - Énfasis3 2 3 4 5" xfId="3506" xr:uid="{00000000-0005-0000-0000-0000AF0D0000}"/>
    <cellStyle name="20% - Énfasis3 2 3 4 5 2" xfId="3507" xr:uid="{00000000-0005-0000-0000-0000B00D0000}"/>
    <cellStyle name="20% - Énfasis3 2 3 4 6" xfId="3508" xr:uid="{00000000-0005-0000-0000-0000B10D0000}"/>
    <cellStyle name="20% - Énfasis3 2 3 4 7" xfId="3509" xr:uid="{00000000-0005-0000-0000-0000B20D0000}"/>
    <cellStyle name="20% - Énfasis3 2 3 5" xfId="3510" xr:uid="{00000000-0005-0000-0000-0000B30D0000}"/>
    <cellStyle name="20% - Énfasis3 2 3 5 2" xfId="3511" xr:uid="{00000000-0005-0000-0000-0000B40D0000}"/>
    <cellStyle name="20% - Énfasis3 2 3 5 2 2" xfId="3512" xr:uid="{00000000-0005-0000-0000-0000B50D0000}"/>
    <cellStyle name="20% - Énfasis3 2 3 5 2 2 2" xfId="3513" xr:uid="{00000000-0005-0000-0000-0000B60D0000}"/>
    <cellStyle name="20% - Énfasis3 2 3 5 2 3" xfId="3514" xr:uid="{00000000-0005-0000-0000-0000B70D0000}"/>
    <cellStyle name="20% - Énfasis3 2 3 5 2 4" xfId="3515" xr:uid="{00000000-0005-0000-0000-0000B80D0000}"/>
    <cellStyle name="20% - Énfasis3 2 3 5 3" xfId="3516" xr:uid="{00000000-0005-0000-0000-0000B90D0000}"/>
    <cellStyle name="20% - Énfasis3 2 3 5 3 2" xfId="3517" xr:uid="{00000000-0005-0000-0000-0000BA0D0000}"/>
    <cellStyle name="20% - Énfasis3 2 3 5 4" xfId="3518" xr:uid="{00000000-0005-0000-0000-0000BB0D0000}"/>
    <cellStyle name="20% - Énfasis3 2 3 5 5" xfId="3519" xr:uid="{00000000-0005-0000-0000-0000BC0D0000}"/>
    <cellStyle name="20% - Énfasis3 2 3 6" xfId="3520" xr:uid="{00000000-0005-0000-0000-0000BD0D0000}"/>
    <cellStyle name="20% - Énfasis3 2 3 6 2" xfId="3521" xr:uid="{00000000-0005-0000-0000-0000BE0D0000}"/>
    <cellStyle name="20% - Énfasis3 2 3 6 2 2" xfId="3522" xr:uid="{00000000-0005-0000-0000-0000BF0D0000}"/>
    <cellStyle name="20% - Énfasis3 2 3 6 3" xfId="3523" xr:uid="{00000000-0005-0000-0000-0000C00D0000}"/>
    <cellStyle name="20% - Énfasis3 2 3 6 3 2" xfId="3524" xr:uid="{00000000-0005-0000-0000-0000C10D0000}"/>
    <cellStyle name="20% - Énfasis3 2 3 6 4" xfId="3525" xr:uid="{00000000-0005-0000-0000-0000C20D0000}"/>
    <cellStyle name="20% - Énfasis3 2 3 6 5" xfId="3526" xr:uid="{00000000-0005-0000-0000-0000C30D0000}"/>
    <cellStyle name="20% - Énfasis3 2 3 7" xfId="3527" xr:uid="{00000000-0005-0000-0000-0000C40D0000}"/>
    <cellStyle name="20% - Énfasis3 2 3 7 2" xfId="3528" xr:uid="{00000000-0005-0000-0000-0000C50D0000}"/>
    <cellStyle name="20% - Énfasis3 2 3 8" xfId="3529" xr:uid="{00000000-0005-0000-0000-0000C60D0000}"/>
    <cellStyle name="20% - Énfasis3 2 3 8 2" xfId="3530" xr:uid="{00000000-0005-0000-0000-0000C70D0000}"/>
    <cellStyle name="20% - Énfasis3 2 3 9" xfId="3531" xr:uid="{00000000-0005-0000-0000-0000C80D0000}"/>
    <cellStyle name="20% - Énfasis3 2 4" xfId="3532" xr:uid="{00000000-0005-0000-0000-0000C90D0000}"/>
    <cellStyle name="20% - Énfasis3 2 4 2" xfId="3533" xr:uid="{00000000-0005-0000-0000-0000CA0D0000}"/>
    <cellStyle name="20% - Énfasis3 2 4 2 2" xfId="3534" xr:uid="{00000000-0005-0000-0000-0000CB0D0000}"/>
    <cellStyle name="20% - Énfasis3 2 4 2 2 2" xfId="3535" xr:uid="{00000000-0005-0000-0000-0000CC0D0000}"/>
    <cellStyle name="20% - Énfasis3 2 4 2 2 2 2" xfId="3536" xr:uid="{00000000-0005-0000-0000-0000CD0D0000}"/>
    <cellStyle name="20% - Énfasis3 2 4 2 2 2 2 2" xfId="3537" xr:uid="{00000000-0005-0000-0000-0000CE0D0000}"/>
    <cellStyle name="20% - Énfasis3 2 4 2 2 2 2 2 2" xfId="3538" xr:uid="{00000000-0005-0000-0000-0000CF0D0000}"/>
    <cellStyle name="20% - Énfasis3 2 4 2 2 2 2 3" xfId="3539" xr:uid="{00000000-0005-0000-0000-0000D00D0000}"/>
    <cellStyle name="20% - Énfasis3 2 4 2 2 2 2 4" xfId="3540" xr:uid="{00000000-0005-0000-0000-0000D10D0000}"/>
    <cellStyle name="20% - Énfasis3 2 4 2 2 2 3" xfId="3541" xr:uid="{00000000-0005-0000-0000-0000D20D0000}"/>
    <cellStyle name="20% - Énfasis3 2 4 2 2 2 3 2" xfId="3542" xr:uid="{00000000-0005-0000-0000-0000D30D0000}"/>
    <cellStyle name="20% - Énfasis3 2 4 2 2 2 4" xfId="3543" xr:uid="{00000000-0005-0000-0000-0000D40D0000}"/>
    <cellStyle name="20% - Énfasis3 2 4 2 2 2 5" xfId="3544" xr:uid="{00000000-0005-0000-0000-0000D50D0000}"/>
    <cellStyle name="20% - Énfasis3 2 4 2 2 3" xfId="3545" xr:uid="{00000000-0005-0000-0000-0000D60D0000}"/>
    <cellStyle name="20% - Énfasis3 2 4 2 2 3 2" xfId="3546" xr:uid="{00000000-0005-0000-0000-0000D70D0000}"/>
    <cellStyle name="20% - Énfasis3 2 4 2 2 3 2 2" xfId="3547" xr:uid="{00000000-0005-0000-0000-0000D80D0000}"/>
    <cellStyle name="20% - Énfasis3 2 4 2 2 3 3" xfId="3548" xr:uid="{00000000-0005-0000-0000-0000D90D0000}"/>
    <cellStyle name="20% - Énfasis3 2 4 2 2 3 4" xfId="3549" xr:uid="{00000000-0005-0000-0000-0000DA0D0000}"/>
    <cellStyle name="20% - Énfasis3 2 4 2 2 4" xfId="3550" xr:uid="{00000000-0005-0000-0000-0000DB0D0000}"/>
    <cellStyle name="20% - Énfasis3 2 4 2 2 4 2" xfId="3551" xr:uid="{00000000-0005-0000-0000-0000DC0D0000}"/>
    <cellStyle name="20% - Énfasis3 2 4 2 2 5" xfId="3552" xr:uid="{00000000-0005-0000-0000-0000DD0D0000}"/>
    <cellStyle name="20% - Énfasis3 2 4 2 2 6" xfId="3553" xr:uid="{00000000-0005-0000-0000-0000DE0D0000}"/>
    <cellStyle name="20% - Énfasis3 2 4 2 3" xfId="3554" xr:uid="{00000000-0005-0000-0000-0000DF0D0000}"/>
    <cellStyle name="20% - Énfasis3 2 4 2 3 2" xfId="3555" xr:uid="{00000000-0005-0000-0000-0000E00D0000}"/>
    <cellStyle name="20% - Énfasis3 2 4 2 3 2 2" xfId="3556" xr:uid="{00000000-0005-0000-0000-0000E10D0000}"/>
    <cellStyle name="20% - Énfasis3 2 4 2 3 2 2 2" xfId="3557" xr:uid="{00000000-0005-0000-0000-0000E20D0000}"/>
    <cellStyle name="20% - Énfasis3 2 4 2 3 2 3" xfId="3558" xr:uid="{00000000-0005-0000-0000-0000E30D0000}"/>
    <cellStyle name="20% - Énfasis3 2 4 2 3 2 4" xfId="3559" xr:uid="{00000000-0005-0000-0000-0000E40D0000}"/>
    <cellStyle name="20% - Énfasis3 2 4 2 3 3" xfId="3560" xr:uid="{00000000-0005-0000-0000-0000E50D0000}"/>
    <cellStyle name="20% - Énfasis3 2 4 2 3 3 2" xfId="3561" xr:uid="{00000000-0005-0000-0000-0000E60D0000}"/>
    <cellStyle name="20% - Énfasis3 2 4 2 3 4" xfId="3562" xr:uid="{00000000-0005-0000-0000-0000E70D0000}"/>
    <cellStyle name="20% - Énfasis3 2 4 2 3 5" xfId="3563" xr:uid="{00000000-0005-0000-0000-0000E80D0000}"/>
    <cellStyle name="20% - Énfasis3 2 4 2 4" xfId="3564" xr:uid="{00000000-0005-0000-0000-0000E90D0000}"/>
    <cellStyle name="20% - Énfasis3 2 4 2 4 2" xfId="3565" xr:uid="{00000000-0005-0000-0000-0000EA0D0000}"/>
    <cellStyle name="20% - Énfasis3 2 4 2 4 2 2" xfId="3566" xr:uid="{00000000-0005-0000-0000-0000EB0D0000}"/>
    <cellStyle name="20% - Énfasis3 2 4 2 4 3" xfId="3567" xr:uid="{00000000-0005-0000-0000-0000EC0D0000}"/>
    <cellStyle name="20% - Énfasis3 2 4 2 4 4" xfId="3568" xr:uid="{00000000-0005-0000-0000-0000ED0D0000}"/>
    <cellStyle name="20% - Énfasis3 2 4 2 5" xfId="3569" xr:uid="{00000000-0005-0000-0000-0000EE0D0000}"/>
    <cellStyle name="20% - Énfasis3 2 4 2 5 2" xfId="3570" xr:uid="{00000000-0005-0000-0000-0000EF0D0000}"/>
    <cellStyle name="20% - Énfasis3 2 4 2 6" xfId="3571" xr:uid="{00000000-0005-0000-0000-0000F00D0000}"/>
    <cellStyle name="20% - Énfasis3 2 4 2 7" xfId="3572" xr:uid="{00000000-0005-0000-0000-0000F10D0000}"/>
    <cellStyle name="20% - Énfasis3 2 4 3" xfId="3573" xr:uid="{00000000-0005-0000-0000-0000F20D0000}"/>
    <cellStyle name="20% - Énfasis3 2 4 3 2" xfId="3574" xr:uid="{00000000-0005-0000-0000-0000F30D0000}"/>
    <cellStyle name="20% - Énfasis3 2 4 3 2 2" xfId="3575" xr:uid="{00000000-0005-0000-0000-0000F40D0000}"/>
    <cellStyle name="20% - Énfasis3 2 4 3 2 2 2" xfId="3576" xr:uid="{00000000-0005-0000-0000-0000F50D0000}"/>
    <cellStyle name="20% - Énfasis3 2 4 3 2 2 2 2" xfId="3577" xr:uid="{00000000-0005-0000-0000-0000F60D0000}"/>
    <cellStyle name="20% - Énfasis3 2 4 3 2 2 3" xfId="3578" xr:uid="{00000000-0005-0000-0000-0000F70D0000}"/>
    <cellStyle name="20% - Énfasis3 2 4 3 2 2 4" xfId="3579" xr:uid="{00000000-0005-0000-0000-0000F80D0000}"/>
    <cellStyle name="20% - Énfasis3 2 4 3 2 3" xfId="3580" xr:uid="{00000000-0005-0000-0000-0000F90D0000}"/>
    <cellStyle name="20% - Énfasis3 2 4 3 2 3 2" xfId="3581" xr:uid="{00000000-0005-0000-0000-0000FA0D0000}"/>
    <cellStyle name="20% - Énfasis3 2 4 3 2 4" xfId="3582" xr:uid="{00000000-0005-0000-0000-0000FB0D0000}"/>
    <cellStyle name="20% - Énfasis3 2 4 3 2 5" xfId="3583" xr:uid="{00000000-0005-0000-0000-0000FC0D0000}"/>
    <cellStyle name="20% - Énfasis3 2 4 3 3" xfId="3584" xr:uid="{00000000-0005-0000-0000-0000FD0D0000}"/>
    <cellStyle name="20% - Énfasis3 2 4 3 3 2" xfId="3585" xr:uid="{00000000-0005-0000-0000-0000FE0D0000}"/>
    <cellStyle name="20% - Énfasis3 2 4 3 3 2 2" xfId="3586" xr:uid="{00000000-0005-0000-0000-0000FF0D0000}"/>
    <cellStyle name="20% - Énfasis3 2 4 3 3 3" xfId="3587" xr:uid="{00000000-0005-0000-0000-0000000E0000}"/>
    <cellStyle name="20% - Énfasis3 2 4 3 3 3 2" xfId="3588" xr:uid="{00000000-0005-0000-0000-0000010E0000}"/>
    <cellStyle name="20% - Énfasis3 2 4 3 3 4" xfId="3589" xr:uid="{00000000-0005-0000-0000-0000020E0000}"/>
    <cellStyle name="20% - Énfasis3 2 4 3 3 5" xfId="3590" xr:uid="{00000000-0005-0000-0000-0000030E0000}"/>
    <cellStyle name="20% - Énfasis3 2 4 3 4" xfId="3591" xr:uid="{00000000-0005-0000-0000-0000040E0000}"/>
    <cellStyle name="20% - Énfasis3 2 4 3 4 2" xfId="3592" xr:uid="{00000000-0005-0000-0000-0000050E0000}"/>
    <cellStyle name="20% - Énfasis3 2 4 3 5" xfId="3593" xr:uid="{00000000-0005-0000-0000-0000060E0000}"/>
    <cellStyle name="20% - Énfasis3 2 4 3 5 2" xfId="3594" xr:uid="{00000000-0005-0000-0000-0000070E0000}"/>
    <cellStyle name="20% - Énfasis3 2 4 3 6" xfId="3595" xr:uid="{00000000-0005-0000-0000-0000080E0000}"/>
    <cellStyle name="20% - Énfasis3 2 4 3 7" xfId="3596" xr:uid="{00000000-0005-0000-0000-0000090E0000}"/>
    <cellStyle name="20% - Énfasis3 2 4 4" xfId="3597" xr:uid="{00000000-0005-0000-0000-00000A0E0000}"/>
    <cellStyle name="20% - Énfasis3 2 4 4 2" xfId="3598" xr:uid="{00000000-0005-0000-0000-00000B0E0000}"/>
    <cellStyle name="20% - Énfasis3 2 4 4 2 2" xfId="3599" xr:uid="{00000000-0005-0000-0000-00000C0E0000}"/>
    <cellStyle name="20% - Énfasis3 2 4 4 2 2 2" xfId="3600" xr:uid="{00000000-0005-0000-0000-00000D0E0000}"/>
    <cellStyle name="20% - Énfasis3 2 4 4 2 3" xfId="3601" xr:uid="{00000000-0005-0000-0000-00000E0E0000}"/>
    <cellStyle name="20% - Énfasis3 2 4 4 2 4" xfId="3602" xr:uid="{00000000-0005-0000-0000-00000F0E0000}"/>
    <cellStyle name="20% - Énfasis3 2 4 4 3" xfId="3603" xr:uid="{00000000-0005-0000-0000-0000100E0000}"/>
    <cellStyle name="20% - Énfasis3 2 4 4 3 2" xfId="3604" xr:uid="{00000000-0005-0000-0000-0000110E0000}"/>
    <cellStyle name="20% - Énfasis3 2 4 4 4" xfId="3605" xr:uid="{00000000-0005-0000-0000-0000120E0000}"/>
    <cellStyle name="20% - Énfasis3 2 4 4 5" xfId="3606" xr:uid="{00000000-0005-0000-0000-0000130E0000}"/>
    <cellStyle name="20% - Énfasis3 2 4 5" xfId="3607" xr:uid="{00000000-0005-0000-0000-0000140E0000}"/>
    <cellStyle name="20% - Énfasis3 2 4 5 2" xfId="3608" xr:uid="{00000000-0005-0000-0000-0000150E0000}"/>
    <cellStyle name="20% - Énfasis3 2 4 5 2 2" xfId="3609" xr:uid="{00000000-0005-0000-0000-0000160E0000}"/>
    <cellStyle name="20% - Énfasis3 2 4 5 3" xfId="3610" xr:uid="{00000000-0005-0000-0000-0000170E0000}"/>
    <cellStyle name="20% - Énfasis3 2 4 5 3 2" xfId="3611" xr:uid="{00000000-0005-0000-0000-0000180E0000}"/>
    <cellStyle name="20% - Énfasis3 2 4 5 4" xfId="3612" xr:uid="{00000000-0005-0000-0000-0000190E0000}"/>
    <cellStyle name="20% - Énfasis3 2 4 5 5" xfId="3613" xr:uid="{00000000-0005-0000-0000-00001A0E0000}"/>
    <cellStyle name="20% - Énfasis3 2 4 6" xfId="3614" xr:uid="{00000000-0005-0000-0000-00001B0E0000}"/>
    <cellStyle name="20% - Énfasis3 2 4 6 2" xfId="3615" xr:uid="{00000000-0005-0000-0000-00001C0E0000}"/>
    <cellStyle name="20% - Énfasis3 2 4 7" xfId="3616" xr:uid="{00000000-0005-0000-0000-00001D0E0000}"/>
    <cellStyle name="20% - Énfasis3 2 4 7 2" xfId="3617" xr:uid="{00000000-0005-0000-0000-00001E0E0000}"/>
    <cellStyle name="20% - Énfasis3 2 4 8" xfId="3618" xr:uid="{00000000-0005-0000-0000-00001F0E0000}"/>
    <cellStyle name="20% - Énfasis3 2 4 9" xfId="3619" xr:uid="{00000000-0005-0000-0000-0000200E0000}"/>
    <cellStyle name="20% - Énfasis3 2 5" xfId="3620" xr:uid="{00000000-0005-0000-0000-0000210E0000}"/>
    <cellStyle name="20% - Énfasis3 2 5 2" xfId="3621" xr:uid="{00000000-0005-0000-0000-0000220E0000}"/>
    <cellStyle name="20% - Énfasis3 2 5 2 2" xfId="3622" xr:uid="{00000000-0005-0000-0000-0000230E0000}"/>
    <cellStyle name="20% - Énfasis3 2 5 2 2 2" xfId="3623" xr:uid="{00000000-0005-0000-0000-0000240E0000}"/>
    <cellStyle name="20% - Énfasis3 2 5 2 2 2 2" xfId="3624" xr:uid="{00000000-0005-0000-0000-0000250E0000}"/>
    <cellStyle name="20% - Énfasis3 2 5 2 2 2 2 2" xfId="3625" xr:uid="{00000000-0005-0000-0000-0000260E0000}"/>
    <cellStyle name="20% - Énfasis3 2 5 2 2 2 3" xfId="3626" xr:uid="{00000000-0005-0000-0000-0000270E0000}"/>
    <cellStyle name="20% - Énfasis3 2 5 2 2 2 4" xfId="3627" xr:uid="{00000000-0005-0000-0000-0000280E0000}"/>
    <cellStyle name="20% - Énfasis3 2 5 2 2 3" xfId="3628" xr:uid="{00000000-0005-0000-0000-0000290E0000}"/>
    <cellStyle name="20% - Énfasis3 2 5 2 2 3 2" xfId="3629" xr:uid="{00000000-0005-0000-0000-00002A0E0000}"/>
    <cellStyle name="20% - Énfasis3 2 5 2 2 4" xfId="3630" xr:uid="{00000000-0005-0000-0000-00002B0E0000}"/>
    <cellStyle name="20% - Énfasis3 2 5 2 2 5" xfId="3631" xr:uid="{00000000-0005-0000-0000-00002C0E0000}"/>
    <cellStyle name="20% - Énfasis3 2 5 2 3" xfId="3632" xr:uid="{00000000-0005-0000-0000-00002D0E0000}"/>
    <cellStyle name="20% - Énfasis3 2 5 2 3 2" xfId="3633" xr:uid="{00000000-0005-0000-0000-00002E0E0000}"/>
    <cellStyle name="20% - Énfasis3 2 5 2 3 2 2" xfId="3634" xr:uid="{00000000-0005-0000-0000-00002F0E0000}"/>
    <cellStyle name="20% - Énfasis3 2 5 2 3 3" xfId="3635" xr:uid="{00000000-0005-0000-0000-0000300E0000}"/>
    <cellStyle name="20% - Énfasis3 2 5 2 3 3 2" xfId="3636" xr:uid="{00000000-0005-0000-0000-0000310E0000}"/>
    <cellStyle name="20% - Énfasis3 2 5 2 3 4" xfId="3637" xr:uid="{00000000-0005-0000-0000-0000320E0000}"/>
    <cellStyle name="20% - Énfasis3 2 5 2 3 5" xfId="3638" xr:uid="{00000000-0005-0000-0000-0000330E0000}"/>
    <cellStyle name="20% - Énfasis3 2 5 2 4" xfId="3639" xr:uid="{00000000-0005-0000-0000-0000340E0000}"/>
    <cellStyle name="20% - Énfasis3 2 5 2 4 2" xfId="3640" xr:uid="{00000000-0005-0000-0000-0000350E0000}"/>
    <cellStyle name="20% - Énfasis3 2 5 2 5" xfId="3641" xr:uid="{00000000-0005-0000-0000-0000360E0000}"/>
    <cellStyle name="20% - Énfasis3 2 5 2 5 2" xfId="3642" xr:uid="{00000000-0005-0000-0000-0000370E0000}"/>
    <cellStyle name="20% - Énfasis3 2 5 2 6" xfId="3643" xr:uid="{00000000-0005-0000-0000-0000380E0000}"/>
    <cellStyle name="20% - Énfasis3 2 5 2 7" xfId="3644" xr:uid="{00000000-0005-0000-0000-0000390E0000}"/>
    <cellStyle name="20% - Énfasis3 2 5 3" xfId="3645" xr:uid="{00000000-0005-0000-0000-00003A0E0000}"/>
    <cellStyle name="20% - Énfasis3 2 5 3 2" xfId="3646" xr:uid="{00000000-0005-0000-0000-00003B0E0000}"/>
    <cellStyle name="20% - Énfasis3 2 5 3 2 2" xfId="3647" xr:uid="{00000000-0005-0000-0000-00003C0E0000}"/>
    <cellStyle name="20% - Énfasis3 2 5 3 2 2 2" xfId="3648" xr:uid="{00000000-0005-0000-0000-00003D0E0000}"/>
    <cellStyle name="20% - Énfasis3 2 5 3 2 3" xfId="3649" xr:uid="{00000000-0005-0000-0000-00003E0E0000}"/>
    <cellStyle name="20% - Énfasis3 2 5 3 2 4" xfId="3650" xr:uid="{00000000-0005-0000-0000-00003F0E0000}"/>
    <cellStyle name="20% - Énfasis3 2 5 3 3" xfId="3651" xr:uid="{00000000-0005-0000-0000-0000400E0000}"/>
    <cellStyle name="20% - Énfasis3 2 5 3 3 2" xfId="3652" xr:uid="{00000000-0005-0000-0000-0000410E0000}"/>
    <cellStyle name="20% - Énfasis3 2 5 3 4" xfId="3653" xr:uid="{00000000-0005-0000-0000-0000420E0000}"/>
    <cellStyle name="20% - Énfasis3 2 5 3 5" xfId="3654" xr:uid="{00000000-0005-0000-0000-0000430E0000}"/>
    <cellStyle name="20% - Énfasis3 2 5 4" xfId="3655" xr:uid="{00000000-0005-0000-0000-0000440E0000}"/>
    <cellStyle name="20% - Énfasis3 2 5 4 2" xfId="3656" xr:uid="{00000000-0005-0000-0000-0000450E0000}"/>
    <cellStyle name="20% - Énfasis3 2 5 4 2 2" xfId="3657" xr:uid="{00000000-0005-0000-0000-0000460E0000}"/>
    <cellStyle name="20% - Énfasis3 2 5 4 3" xfId="3658" xr:uid="{00000000-0005-0000-0000-0000470E0000}"/>
    <cellStyle name="20% - Énfasis3 2 5 4 3 2" xfId="3659" xr:uid="{00000000-0005-0000-0000-0000480E0000}"/>
    <cellStyle name="20% - Énfasis3 2 5 4 4" xfId="3660" xr:uid="{00000000-0005-0000-0000-0000490E0000}"/>
    <cellStyle name="20% - Énfasis3 2 5 4 5" xfId="3661" xr:uid="{00000000-0005-0000-0000-00004A0E0000}"/>
    <cellStyle name="20% - Énfasis3 2 5 5" xfId="3662" xr:uid="{00000000-0005-0000-0000-00004B0E0000}"/>
    <cellStyle name="20% - Énfasis3 2 5 5 2" xfId="3663" xr:uid="{00000000-0005-0000-0000-00004C0E0000}"/>
    <cellStyle name="20% - Énfasis3 2 5 6" xfId="3664" xr:uid="{00000000-0005-0000-0000-00004D0E0000}"/>
    <cellStyle name="20% - Énfasis3 2 5 6 2" xfId="3665" xr:uid="{00000000-0005-0000-0000-00004E0E0000}"/>
    <cellStyle name="20% - Énfasis3 2 5 7" xfId="3666" xr:uid="{00000000-0005-0000-0000-00004F0E0000}"/>
    <cellStyle name="20% - Énfasis3 2 5 8" xfId="3667" xr:uid="{00000000-0005-0000-0000-0000500E0000}"/>
    <cellStyle name="20% - Énfasis3 2 6" xfId="3668" xr:uid="{00000000-0005-0000-0000-0000510E0000}"/>
    <cellStyle name="20% - Énfasis3 2 6 2" xfId="3669" xr:uid="{00000000-0005-0000-0000-0000520E0000}"/>
    <cellStyle name="20% - Énfasis3 2 6 2 2" xfId="3670" xr:uid="{00000000-0005-0000-0000-0000530E0000}"/>
    <cellStyle name="20% - Énfasis3 2 6 2 2 2" xfId="3671" xr:uid="{00000000-0005-0000-0000-0000540E0000}"/>
    <cellStyle name="20% - Énfasis3 2 6 2 2 2 2" xfId="3672" xr:uid="{00000000-0005-0000-0000-0000550E0000}"/>
    <cellStyle name="20% - Énfasis3 2 6 2 2 3" xfId="3673" xr:uid="{00000000-0005-0000-0000-0000560E0000}"/>
    <cellStyle name="20% - Énfasis3 2 6 2 2 4" xfId="3674" xr:uid="{00000000-0005-0000-0000-0000570E0000}"/>
    <cellStyle name="20% - Énfasis3 2 6 2 3" xfId="3675" xr:uid="{00000000-0005-0000-0000-0000580E0000}"/>
    <cellStyle name="20% - Énfasis3 2 6 2 3 2" xfId="3676" xr:uid="{00000000-0005-0000-0000-0000590E0000}"/>
    <cellStyle name="20% - Énfasis3 2 6 2 4" xfId="3677" xr:uid="{00000000-0005-0000-0000-00005A0E0000}"/>
    <cellStyle name="20% - Énfasis3 2 6 2 5" xfId="3678" xr:uid="{00000000-0005-0000-0000-00005B0E0000}"/>
    <cellStyle name="20% - Énfasis3 2 6 3" xfId="3679" xr:uid="{00000000-0005-0000-0000-00005C0E0000}"/>
    <cellStyle name="20% - Énfasis3 2 6 3 2" xfId="3680" xr:uid="{00000000-0005-0000-0000-00005D0E0000}"/>
    <cellStyle name="20% - Énfasis3 2 6 3 2 2" xfId="3681" xr:uid="{00000000-0005-0000-0000-00005E0E0000}"/>
    <cellStyle name="20% - Énfasis3 2 6 3 3" xfId="3682" xr:uid="{00000000-0005-0000-0000-00005F0E0000}"/>
    <cellStyle name="20% - Énfasis3 2 6 3 3 2" xfId="3683" xr:uid="{00000000-0005-0000-0000-0000600E0000}"/>
    <cellStyle name="20% - Énfasis3 2 6 3 4" xfId="3684" xr:uid="{00000000-0005-0000-0000-0000610E0000}"/>
    <cellStyle name="20% - Énfasis3 2 6 3 5" xfId="3685" xr:uid="{00000000-0005-0000-0000-0000620E0000}"/>
    <cellStyle name="20% - Énfasis3 2 6 4" xfId="3686" xr:uid="{00000000-0005-0000-0000-0000630E0000}"/>
    <cellStyle name="20% - Énfasis3 2 6 4 2" xfId="3687" xr:uid="{00000000-0005-0000-0000-0000640E0000}"/>
    <cellStyle name="20% - Énfasis3 2 6 5" xfId="3688" xr:uid="{00000000-0005-0000-0000-0000650E0000}"/>
    <cellStyle name="20% - Énfasis3 2 6 5 2" xfId="3689" xr:uid="{00000000-0005-0000-0000-0000660E0000}"/>
    <cellStyle name="20% - Énfasis3 2 6 6" xfId="3690" xr:uid="{00000000-0005-0000-0000-0000670E0000}"/>
    <cellStyle name="20% - Énfasis3 2 6 7" xfId="3691" xr:uid="{00000000-0005-0000-0000-0000680E0000}"/>
    <cellStyle name="20% - Énfasis3 2 7" xfId="3692" xr:uid="{00000000-0005-0000-0000-0000690E0000}"/>
    <cellStyle name="20% - Énfasis3 2 7 2" xfId="3693" xr:uid="{00000000-0005-0000-0000-00006A0E0000}"/>
    <cellStyle name="20% - Énfasis3 2 7 2 2" xfId="3694" xr:uid="{00000000-0005-0000-0000-00006B0E0000}"/>
    <cellStyle name="20% - Énfasis3 2 7 2 2 2" xfId="3695" xr:uid="{00000000-0005-0000-0000-00006C0E0000}"/>
    <cellStyle name="20% - Énfasis3 2 7 2 3" xfId="3696" xr:uid="{00000000-0005-0000-0000-00006D0E0000}"/>
    <cellStyle name="20% - Énfasis3 2 7 2 4" xfId="3697" xr:uid="{00000000-0005-0000-0000-00006E0E0000}"/>
    <cellStyle name="20% - Énfasis3 2 7 3" xfId="3698" xr:uid="{00000000-0005-0000-0000-00006F0E0000}"/>
    <cellStyle name="20% - Énfasis3 2 7 3 2" xfId="3699" xr:uid="{00000000-0005-0000-0000-0000700E0000}"/>
    <cellStyle name="20% - Énfasis3 2 7 4" xfId="3700" xr:uid="{00000000-0005-0000-0000-0000710E0000}"/>
    <cellStyle name="20% - Énfasis3 2 7 5" xfId="3701" xr:uid="{00000000-0005-0000-0000-0000720E0000}"/>
    <cellStyle name="20% - Énfasis3 2 8" xfId="3702" xr:uid="{00000000-0005-0000-0000-0000730E0000}"/>
    <cellStyle name="20% - Énfasis3 2 8 2" xfId="3703" xr:uid="{00000000-0005-0000-0000-0000740E0000}"/>
    <cellStyle name="20% - Énfasis3 2 8 2 2" xfId="3704" xr:uid="{00000000-0005-0000-0000-0000750E0000}"/>
    <cellStyle name="20% - Énfasis3 2 8 3" xfId="3705" xr:uid="{00000000-0005-0000-0000-0000760E0000}"/>
    <cellStyle name="20% - Énfasis3 2 8 3 2" xfId="3706" xr:uid="{00000000-0005-0000-0000-0000770E0000}"/>
    <cellStyle name="20% - Énfasis3 2 8 4" xfId="3707" xr:uid="{00000000-0005-0000-0000-0000780E0000}"/>
    <cellStyle name="20% - Énfasis3 2 8 5" xfId="3708" xr:uid="{00000000-0005-0000-0000-0000790E0000}"/>
    <cellStyle name="20% - Énfasis3 2 9" xfId="3709" xr:uid="{00000000-0005-0000-0000-00007A0E0000}"/>
    <cellStyle name="20% - Énfasis3 2 9 2" xfId="3710" xr:uid="{00000000-0005-0000-0000-00007B0E0000}"/>
    <cellStyle name="20% - Énfasis3 3" xfId="3711" xr:uid="{00000000-0005-0000-0000-00007C0E0000}"/>
    <cellStyle name="20% - Énfasis3 3 10" xfId="3712" xr:uid="{00000000-0005-0000-0000-00007D0E0000}"/>
    <cellStyle name="20% - Énfasis3 3 10 2" xfId="3713" xr:uid="{00000000-0005-0000-0000-00007E0E0000}"/>
    <cellStyle name="20% - Énfasis3 3 11" xfId="3714" xr:uid="{00000000-0005-0000-0000-00007F0E0000}"/>
    <cellStyle name="20% - Énfasis3 3 12" xfId="3715" xr:uid="{00000000-0005-0000-0000-0000800E0000}"/>
    <cellStyle name="20% - Énfasis3 3 2" xfId="3716" xr:uid="{00000000-0005-0000-0000-0000810E0000}"/>
    <cellStyle name="20% - Énfasis3 3 2 10" xfId="3717" xr:uid="{00000000-0005-0000-0000-0000820E0000}"/>
    <cellStyle name="20% - Énfasis3 3 2 11" xfId="3718" xr:uid="{00000000-0005-0000-0000-0000830E0000}"/>
    <cellStyle name="20% - Énfasis3 3 2 2" xfId="3719" xr:uid="{00000000-0005-0000-0000-0000840E0000}"/>
    <cellStyle name="20% - Énfasis3 3 2 2 10" xfId="3720" xr:uid="{00000000-0005-0000-0000-0000850E0000}"/>
    <cellStyle name="20% - Énfasis3 3 2 2 2" xfId="3721" xr:uid="{00000000-0005-0000-0000-0000860E0000}"/>
    <cellStyle name="20% - Énfasis3 3 2 2 2 2" xfId="3722" xr:uid="{00000000-0005-0000-0000-0000870E0000}"/>
    <cellStyle name="20% - Énfasis3 3 2 2 2 2 2" xfId="3723" xr:uid="{00000000-0005-0000-0000-0000880E0000}"/>
    <cellStyle name="20% - Énfasis3 3 2 2 2 2 2 2" xfId="3724" xr:uid="{00000000-0005-0000-0000-0000890E0000}"/>
    <cellStyle name="20% - Énfasis3 3 2 2 2 2 2 2 2" xfId="3725" xr:uid="{00000000-0005-0000-0000-00008A0E0000}"/>
    <cellStyle name="20% - Énfasis3 3 2 2 2 2 2 2 2 2" xfId="3726" xr:uid="{00000000-0005-0000-0000-00008B0E0000}"/>
    <cellStyle name="20% - Énfasis3 3 2 2 2 2 2 2 2 2 2" xfId="3727" xr:uid="{00000000-0005-0000-0000-00008C0E0000}"/>
    <cellStyle name="20% - Énfasis3 3 2 2 2 2 2 2 2 3" xfId="3728" xr:uid="{00000000-0005-0000-0000-00008D0E0000}"/>
    <cellStyle name="20% - Énfasis3 3 2 2 2 2 2 2 2 4" xfId="3729" xr:uid="{00000000-0005-0000-0000-00008E0E0000}"/>
    <cellStyle name="20% - Énfasis3 3 2 2 2 2 2 2 3" xfId="3730" xr:uid="{00000000-0005-0000-0000-00008F0E0000}"/>
    <cellStyle name="20% - Énfasis3 3 2 2 2 2 2 2 3 2" xfId="3731" xr:uid="{00000000-0005-0000-0000-0000900E0000}"/>
    <cellStyle name="20% - Énfasis3 3 2 2 2 2 2 2 4" xfId="3732" xr:uid="{00000000-0005-0000-0000-0000910E0000}"/>
    <cellStyle name="20% - Énfasis3 3 2 2 2 2 2 2 5" xfId="3733" xr:uid="{00000000-0005-0000-0000-0000920E0000}"/>
    <cellStyle name="20% - Énfasis3 3 2 2 2 2 2 3" xfId="3734" xr:uid="{00000000-0005-0000-0000-0000930E0000}"/>
    <cellStyle name="20% - Énfasis3 3 2 2 2 2 2 3 2" xfId="3735" xr:uid="{00000000-0005-0000-0000-0000940E0000}"/>
    <cellStyle name="20% - Énfasis3 3 2 2 2 2 2 3 2 2" xfId="3736" xr:uid="{00000000-0005-0000-0000-0000950E0000}"/>
    <cellStyle name="20% - Énfasis3 3 2 2 2 2 2 3 3" xfId="3737" xr:uid="{00000000-0005-0000-0000-0000960E0000}"/>
    <cellStyle name="20% - Énfasis3 3 2 2 2 2 2 3 4" xfId="3738" xr:uid="{00000000-0005-0000-0000-0000970E0000}"/>
    <cellStyle name="20% - Énfasis3 3 2 2 2 2 2 4" xfId="3739" xr:uid="{00000000-0005-0000-0000-0000980E0000}"/>
    <cellStyle name="20% - Énfasis3 3 2 2 2 2 2 4 2" xfId="3740" xr:uid="{00000000-0005-0000-0000-0000990E0000}"/>
    <cellStyle name="20% - Énfasis3 3 2 2 2 2 2 5" xfId="3741" xr:uid="{00000000-0005-0000-0000-00009A0E0000}"/>
    <cellStyle name="20% - Énfasis3 3 2 2 2 2 2 6" xfId="3742" xr:uid="{00000000-0005-0000-0000-00009B0E0000}"/>
    <cellStyle name="20% - Énfasis3 3 2 2 2 2 3" xfId="3743" xr:uid="{00000000-0005-0000-0000-00009C0E0000}"/>
    <cellStyle name="20% - Énfasis3 3 2 2 2 2 3 2" xfId="3744" xr:uid="{00000000-0005-0000-0000-00009D0E0000}"/>
    <cellStyle name="20% - Énfasis3 3 2 2 2 2 3 2 2" xfId="3745" xr:uid="{00000000-0005-0000-0000-00009E0E0000}"/>
    <cellStyle name="20% - Énfasis3 3 2 2 2 2 3 2 2 2" xfId="3746" xr:uid="{00000000-0005-0000-0000-00009F0E0000}"/>
    <cellStyle name="20% - Énfasis3 3 2 2 2 2 3 2 3" xfId="3747" xr:uid="{00000000-0005-0000-0000-0000A00E0000}"/>
    <cellStyle name="20% - Énfasis3 3 2 2 2 2 3 2 4" xfId="3748" xr:uid="{00000000-0005-0000-0000-0000A10E0000}"/>
    <cellStyle name="20% - Énfasis3 3 2 2 2 2 3 3" xfId="3749" xr:uid="{00000000-0005-0000-0000-0000A20E0000}"/>
    <cellStyle name="20% - Énfasis3 3 2 2 2 2 3 3 2" xfId="3750" xr:uid="{00000000-0005-0000-0000-0000A30E0000}"/>
    <cellStyle name="20% - Énfasis3 3 2 2 2 2 3 4" xfId="3751" xr:uid="{00000000-0005-0000-0000-0000A40E0000}"/>
    <cellStyle name="20% - Énfasis3 3 2 2 2 2 3 5" xfId="3752" xr:uid="{00000000-0005-0000-0000-0000A50E0000}"/>
    <cellStyle name="20% - Énfasis3 3 2 2 2 2 4" xfId="3753" xr:uid="{00000000-0005-0000-0000-0000A60E0000}"/>
    <cellStyle name="20% - Énfasis3 3 2 2 2 2 4 2" xfId="3754" xr:uid="{00000000-0005-0000-0000-0000A70E0000}"/>
    <cellStyle name="20% - Énfasis3 3 2 2 2 2 4 2 2" xfId="3755" xr:uid="{00000000-0005-0000-0000-0000A80E0000}"/>
    <cellStyle name="20% - Énfasis3 3 2 2 2 2 4 3" xfId="3756" xr:uid="{00000000-0005-0000-0000-0000A90E0000}"/>
    <cellStyle name="20% - Énfasis3 3 2 2 2 2 4 4" xfId="3757" xr:uid="{00000000-0005-0000-0000-0000AA0E0000}"/>
    <cellStyle name="20% - Énfasis3 3 2 2 2 2 5" xfId="3758" xr:uid="{00000000-0005-0000-0000-0000AB0E0000}"/>
    <cellStyle name="20% - Énfasis3 3 2 2 2 2 5 2" xfId="3759" xr:uid="{00000000-0005-0000-0000-0000AC0E0000}"/>
    <cellStyle name="20% - Énfasis3 3 2 2 2 2 6" xfId="3760" xr:uid="{00000000-0005-0000-0000-0000AD0E0000}"/>
    <cellStyle name="20% - Énfasis3 3 2 2 2 2 7" xfId="3761" xr:uid="{00000000-0005-0000-0000-0000AE0E0000}"/>
    <cellStyle name="20% - Énfasis3 3 2 2 2 3" xfId="3762" xr:uid="{00000000-0005-0000-0000-0000AF0E0000}"/>
    <cellStyle name="20% - Énfasis3 3 2 2 2 3 2" xfId="3763" xr:uid="{00000000-0005-0000-0000-0000B00E0000}"/>
    <cellStyle name="20% - Énfasis3 3 2 2 2 3 2 2" xfId="3764" xr:uid="{00000000-0005-0000-0000-0000B10E0000}"/>
    <cellStyle name="20% - Énfasis3 3 2 2 2 3 2 2 2" xfId="3765" xr:uid="{00000000-0005-0000-0000-0000B20E0000}"/>
    <cellStyle name="20% - Énfasis3 3 2 2 2 3 2 2 2 2" xfId="3766" xr:uid="{00000000-0005-0000-0000-0000B30E0000}"/>
    <cellStyle name="20% - Énfasis3 3 2 2 2 3 2 2 3" xfId="3767" xr:uid="{00000000-0005-0000-0000-0000B40E0000}"/>
    <cellStyle name="20% - Énfasis3 3 2 2 2 3 2 2 4" xfId="3768" xr:uid="{00000000-0005-0000-0000-0000B50E0000}"/>
    <cellStyle name="20% - Énfasis3 3 2 2 2 3 2 3" xfId="3769" xr:uid="{00000000-0005-0000-0000-0000B60E0000}"/>
    <cellStyle name="20% - Énfasis3 3 2 2 2 3 2 3 2" xfId="3770" xr:uid="{00000000-0005-0000-0000-0000B70E0000}"/>
    <cellStyle name="20% - Énfasis3 3 2 2 2 3 2 4" xfId="3771" xr:uid="{00000000-0005-0000-0000-0000B80E0000}"/>
    <cellStyle name="20% - Énfasis3 3 2 2 2 3 2 5" xfId="3772" xr:uid="{00000000-0005-0000-0000-0000B90E0000}"/>
    <cellStyle name="20% - Énfasis3 3 2 2 2 3 3" xfId="3773" xr:uid="{00000000-0005-0000-0000-0000BA0E0000}"/>
    <cellStyle name="20% - Énfasis3 3 2 2 2 3 3 2" xfId="3774" xr:uid="{00000000-0005-0000-0000-0000BB0E0000}"/>
    <cellStyle name="20% - Énfasis3 3 2 2 2 3 3 2 2" xfId="3775" xr:uid="{00000000-0005-0000-0000-0000BC0E0000}"/>
    <cellStyle name="20% - Énfasis3 3 2 2 2 3 3 3" xfId="3776" xr:uid="{00000000-0005-0000-0000-0000BD0E0000}"/>
    <cellStyle name="20% - Énfasis3 3 2 2 2 3 3 3 2" xfId="3777" xr:uid="{00000000-0005-0000-0000-0000BE0E0000}"/>
    <cellStyle name="20% - Énfasis3 3 2 2 2 3 3 4" xfId="3778" xr:uid="{00000000-0005-0000-0000-0000BF0E0000}"/>
    <cellStyle name="20% - Énfasis3 3 2 2 2 3 3 5" xfId="3779" xr:uid="{00000000-0005-0000-0000-0000C00E0000}"/>
    <cellStyle name="20% - Énfasis3 3 2 2 2 3 4" xfId="3780" xr:uid="{00000000-0005-0000-0000-0000C10E0000}"/>
    <cellStyle name="20% - Énfasis3 3 2 2 2 3 4 2" xfId="3781" xr:uid="{00000000-0005-0000-0000-0000C20E0000}"/>
    <cellStyle name="20% - Énfasis3 3 2 2 2 3 5" xfId="3782" xr:uid="{00000000-0005-0000-0000-0000C30E0000}"/>
    <cellStyle name="20% - Énfasis3 3 2 2 2 3 5 2" xfId="3783" xr:uid="{00000000-0005-0000-0000-0000C40E0000}"/>
    <cellStyle name="20% - Énfasis3 3 2 2 2 3 6" xfId="3784" xr:uid="{00000000-0005-0000-0000-0000C50E0000}"/>
    <cellStyle name="20% - Énfasis3 3 2 2 2 3 7" xfId="3785" xr:uid="{00000000-0005-0000-0000-0000C60E0000}"/>
    <cellStyle name="20% - Énfasis3 3 2 2 2 4" xfId="3786" xr:uid="{00000000-0005-0000-0000-0000C70E0000}"/>
    <cellStyle name="20% - Énfasis3 3 2 2 2 4 2" xfId="3787" xr:uid="{00000000-0005-0000-0000-0000C80E0000}"/>
    <cellStyle name="20% - Énfasis3 3 2 2 2 4 2 2" xfId="3788" xr:uid="{00000000-0005-0000-0000-0000C90E0000}"/>
    <cellStyle name="20% - Énfasis3 3 2 2 2 4 2 2 2" xfId="3789" xr:uid="{00000000-0005-0000-0000-0000CA0E0000}"/>
    <cellStyle name="20% - Énfasis3 3 2 2 2 4 2 3" xfId="3790" xr:uid="{00000000-0005-0000-0000-0000CB0E0000}"/>
    <cellStyle name="20% - Énfasis3 3 2 2 2 4 2 4" xfId="3791" xr:uid="{00000000-0005-0000-0000-0000CC0E0000}"/>
    <cellStyle name="20% - Énfasis3 3 2 2 2 4 3" xfId="3792" xr:uid="{00000000-0005-0000-0000-0000CD0E0000}"/>
    <cellStyle name="20% - Énfasis3 3 2 2 2 4 3 2" xfId="3793" xr:uid="{00000000-0005-0000-0000-0000CE0E0000}"/>
    <cellStyle name="20% - Énfasis3 3 2 2 2 4 4" xfId="3794" xr:uid="{00000000-0005-0000-0000-0000CF0E0000}"/>
    <cellStyle name="20% - Énfasis3 3 2 2 2 4 5" xfId="3795" xr:uid="{00000000-0005-0000-0000-0000D00E0000}"/>
    <cellStyle name="20% - Énfasis3 3 2 2 2 5" xfId="3796" xr:uid="{00000000-0005-0000-0000-0000D10E0000}"/>
    <cellStyle name="20% - Énfasis3 3 2 2 2 5 2" xfId="3797" xr:uid="{00000000-0005-0000-0000-0000D20E0000}"/>
    <cellStyle name="20% - Énfasis3 3 2 2 2 5 2 2" xfId="3798" xr:uid="{00000000-0005-0000-0000-0000D30E0000}"/>
    <cellStyle name="20% - Énfasis3 3 2 2 2 5 3" xfId="3799" xr:uid="{00000000-0005-0000-0000-0000D40E0000}"/>
    <cellStyle name="20% - Énfasis3 3 2 2 2 5 3 2" xfId="3800" xr:uid="{00000000-0005-0000-0000-0000D50E0000}"/>
    <cellStyle name="20% - Énfasis3 3 2 2 2 5 4" xfId="3801" xr:uid="{00000000-0005-0000-0000-0000D60E0000}"/>
    <cellStyle name="20% - Énfasis3 3 2 2 2 5 5" xfId="3802" xr:uid="{00000000-0005-0000-0000-0000D70E0000}"/>
    <cellStyle name="20% - Énfasis3 3 2 2 2 6" xfId="3803" xr:uid="{00000000-0005-0000-0000-0000D80E0000}"/>
    <cellStyle name="20% - Énfasis3 3 2 2 2 6 2" xfId="3804" xr:uid="{00000000-0005-0000-0000-0000D90E0000}"/>
    <cellStyle name="20% - Énfasis3 3 2 2 2 7" xfId="3805" xr:uid="{00000000-0005-0000-0000-0000DA0E0000}"/>
    <cellStyle name="20% - Énfasis3 3 2 2 2 7 2" xfId="3806" xr:uid="{00000000-0005-0000-0000-0000DB0E0000}"/>
    <cellStyle name="20% - Énfasis3 3 2 2 2 8" xfId="3807" xr:uid="{00000000-0005-0000-0000-0000DC0E0000}"/>
    <cellStyle name="20% - Énfasis3 3 2 2 2 9" xfId="3808" xr:uid="{00000000-0005-0000-0000-0000DD0E0000}"/>
    <cellStyle name="20% - Énfasis3 3 2 2 3" xfId="3809" xr:uid="{00000000-0005-0000-0000-0000DE0E0000}"/>
    <cellStyle name="20% - Énfasis3 3 2 2 3 2" xfId="3810" xr:uid="{00000000-0005-0000-0000-0000DF0E0000}"/>
    <cellStyle name="20% - Énfasis3 3 2 2 3 2 2" xfId="3811" xr:uid="{00000000-0005-0000-0000-0000E00E0000}"/>
    <cellStyle name="20% - Énfasis3 3 2 2 3 2 2 2" xfId="3812" xr:uid="{00000000-0005-0000-0000-0000E10E0000}"/>
    <cellStyle name="20% - Énfasis3 3 2 2 3 2 2 2 2" xfId="3813" xr:uid="{00000000-0005-0000-0000-0000E20E0000}"/>
    <cellStyle name="20% - Énfasis3 3 2 2 3 2 2 2 2 2" xfId="3814" xr:uid="{00000000-0005-0000-0000-0000E30E0000}"/>
    <cellStyle name="20% - Énfasis3 3 2 2 3 2 2 2 3" xfId="3815" xr:uid="{00000000-0005-0000-0000-0000E40E0000}"/>
    <cellStyle name="20% - Énfasis3 3 2 2 3 2 2 2 4" xfId="3816" xr:uid="{00000000-0005-0000-0000-0000E50E0000}"/>
    <cellStyle name="20% - Énfasis3 3 2 2 3 2 2 3" xfId="3817" xr:uid="{00000000-0005-0000-0000-0000E60E0000}"/>
    <cellStyle name="20% - Énfasis3 3 2 2 3 2 2 3 2" xfId="3818" xr:uid="{00000000-0005-0000-0000-0000E70E0000}"/>
    <cellStyle name="20% - Énfasis3 3 2 2 3 2 2 4" xfId="3819" xr:uid="{00000000-0005-0000-0000-0000E80E0000}"/>
    <cellStyle name="20% - Énfasis3 3 2 2 3 2 2 5" xfId="3820" xr:uid="{00000000-0005-0000-0000-0000E90E0000}"/>
    <cellStyle name="20% - Énfasis3 3 2 2 3 2 3" xfId="3821" xr:uid="{00000000-0005-0000-0000-0000EA0E0000}"/>
    <cellStyle name="20% - Énfasis3 3 2 2 3 2 3 2" xfId="3822" xr:uid="{00000000-0005-0000-0000-0000EB0E0000}"/>
    <cellStyle name="20% - Énfasis3 3 2 2 3 2 3 2 2" xfId="3823" xr:uid="{00000000-0005-0000-0000-0000EC0E0000}"/>
    <cellStyle name="20% - Énfasis3 3 2 2 3 2 3 3" xfId="3824" xr:uid="{00000000-0005-0000-0000-0000ED0E0000}"/>
    <cellStyle name="20% - Énfasis3 3 2 2 3 2 3 4" xfId="3825" xr:uid="{00000000-0005-0000-0000-0000EE0E0000}"/>
    <cellStyle name="20% - Énfasis3 3 2 2 3 2 4" xfId="3826" xr:uid="{00000000-0005-0000-0000-0000EF0E0000}"/>
    <cellStyle name="20% - Énfasis3 3 2 2 3 2 4 2" xfId="3827" xr:uid="{00000000-0005-0000-0000-0000F00E0000}"/>
    <cellStyle name="20% - Énfasis3 3 2 2 3 2 5" xfId="3828" xr:uid="{00000000-0005-0000-0000-0000F10E0000}"/>
    <cellStyle name="20% - Énfasis3 3 2 2 3 2 6" xfId="3829" xr:uid="{00000000-0005-0000-0000-0000F20E0000}"/>
    <cellStyle name="20% - Énfasis3 3 2 2 3 3" xfId="3830" xr:uid="{00000000-0005-0000-0000-0000F30E0000}"/>
    <cellStyle name="20% - Énfasis3 3 2 2 3 3 2" xfId="3831" xr:uid="{00000000-0005-0000-0000-0000F40E0000}"/>
    <cellStyle name="20% - Énfasis3 3 2 2 3 3 2 2" xfId="3832" xr:uid="{00000000-0005-0000-0000-0000F50E0000}"/>
    <cellStyle name="20% - Énfasis3 3 2 2 3 3 2 2 2" xfId="3833" xr:uid="{00000000-0005-0000-0000-0000F60E0000}"/>
    <cellStyle name="20% - Énfasis3 3 2 2 3 3 2 3" xfId="3834" xr:uid="{00000000-0005-0000-0000-0000F70E0000}"/>
    <cellStyle name="20% - Énfasis3 3 2 2 3 3 2 4" xfId="3835" xr:uid="{00000000-0005-0000-0000-0000F80E0000}"/>
    <cellStyle name="20% - Énfasis3 3 2 2 3 3 3" xfId="3836" xr:uid="{00000000-0005-0000-0000-0000F90E0000}"/>
    <cellStyle name="20% - Énfasis3 3 2 2 3 3 3 2" xfId="3837" xr:uid="{00000000-0005-0000-0000-0000FA0E0000}"/>
    <cellStyle name="20% - Énfasis3 3 2 2 3 3 4" xfId="3838" xr:uid="{00000000-0005-0000-0000-0000FB0E0000}"/>
    <cellStyle name="20% - Énfasis3 3 2 2 3 3 5" xfId="3839" xr:uid="{00000000-0005-0000-0000-0000FC0E0000}"/>
    <cellStyle name="20% - Énfasis3 3 2 2 3 4" xfId="3840" xr:uid="{00000000-0005-0000-0000-0000FD0E0000}"/>
    <cellStyle name="20% - Énfasis3 3 2 2 3 4 2" xfId="3841" xr:uid="{00000000-0005-0000-0000-0000FE0E0000}"/>
    <cellStyle name="20% - Énfasis3 3 2 2 3 4 2 2" xfId="3842" xr:uid="{00000000-0005-0000-0000-0000FF0E0000}"/>
    <cellStyle name="20% - Énfasis3 3 2 2 3 4 3" xfId="3843" xr:uid="{00000000-0005-0000-0000-0000000F0000}"/>
    <cellStyle name="20% - Énfasis3 3 2 2 3 4 4" xfId="3844" xr:uid="{00000000-0005-0000-0000-0000010F0000}"/>
    <cellStyle name="20% - Énfasis3 3 2 2 3 5" xfId="3845" xr:uid="{00000000-0005-0000-0000-0000020F0000}"/>
    <cellStyle name="20% - Énfasis3 3 2 2 3 5 2" xfId="3846" xr:uid="{00000000-0005-0000-0000-0000030F0000}"/>
    <cellStyle name="20% - Énfasis3 3 2 2 3 6" xfId="3847" xr:uid="{00000000-0005-0000-0000-0000040F0000}"/>
    <cellStyle name="20% - Énfasis3 3 2 2 3 7" xfId="3848" xr:uid="{00000000-0005-0000-0000-0000050F0000}"/>
    <cellStyle name="20% - Énfasis3 3 2 2 4" xfId="3849" xr:uid="{00000000-0005-0000-0000-0000060F0000}"/>
    <cellStyle name="20% - Énfasis3 3 2 2 4 2" xfId="3850" xr:uid="{00000000-0005-0000-0000-0000070F0000}"/>
    <cellStyle name="20% - Énfasis3 3 2 2 4 2 2" xfId="3851" xr:uid="{00000000-0005-0000-0000-0000080F0000}"/>
    <cellStyle name="20% - Énfasis3 3 2 2 4 2 2 2" xfId="3852" xr:uid="{00000000-0005-0000-0000-0000090F0000}"/>
    <cellStyle name="20% - Énfasis3 3 2 2 4 2 2 2 2" xfId="3853" xr:uid="{00000000-0005-0000-0000-00000A0F0000}"/>
    <cellStyle name="20% - Énfasis3 3 2 2 4 2 2 3" xfId="3854" xr:uid="{00000000-0005-0000-0000-00000B0F0000}"/>
    <cellStyle name="20% - Énfasis3 3 2 2 4 2 2 4" xfId="3855" xr:uid="{00000000-0005-0000-0000-00000C0F0000}"/>
    <cellStyle name="20% - Énfasis3 3 2 2 4 2 3" xfId="3856" xr:uid="{00000000-0005-0000-0000-00000D0F0000}"/>
    <cellStyle name="20% - Énfasis3 3 2 2 4 2 3 2" xfId="3857" xr:uid="{00000000-0005-0000-0000-00000E0F0000}"/>
    <cellStyle name="20% - Énfasis3 3 2 2 4 2 4" xfId="3858" xr:uid="{00000000-0005-0000-0000-00000F0F0000}"/>
    <cellStyle name="20% - Énfasis3 3 2 2 4 2 5" xfId="3859" xr:uid="{00000000-0005-0000-0000-0000100F0000}"/>
    <cellStyle name="20% - Énfasis3 3 2 2 4 3" xfId="3860" xr:uid="{00000000-0005-0000-0000-0000110F0000}"/>
    <cellStyle name="20% - Énfasis3 3 2 2 4 3 2" xfId="3861" xr:uid="{00000000-0005-0000-0000-0000120F0000}"/>
    <cellStyle name="20% - Énfasis3 3 2 2 4 3 2 2" xfId="3862" xr:uid="{00000000-0005-0000-0000-0000130F0000}"/>
    <cellStyle name="20% - Énfasis3 3 2 2 4 3 3" xfId="3863" xr:uid="{00000000-0005-0000-0000-0000140F0000}"/>
    <cellStyle name="20% - Énfasis3 3 2 2 4 3 3 2" xfId="3864" xr:uid="{00000000-0005-0000-0000-0000150F0000}"/>
    <cellStyle name="20% - Énfasis3 3 2 2 4 3 4" xfId="3865" xr:uid="{00000000-0005-0000-0000-0000160F0000}"/>
    <cellStyle name="20% - Énfasis3 3 2 2 4 3 5" xfId="3866" xr:uid="{00000000-0005-0000-0000-0000170F0000}"/>
    <cellStyle name="20% - Énfasis3 3 2 2 4 4" xfId="3867" xr:uid="{00000000-0005-0000-0000-0000180F0000}"/>
    <cellStyle name="20% - Énfasis3 3 2 2 4 4 2" xfId="3868" xr:uid="{00000000-0005-0000-0000-0000190F0000}"/>
    <cellStyle name="20% - Énfasis3 3 2 2 4 5" xfId="3869" xr:uid="{00000000-0005-0000-0000-00001A0F0000}"/>
    <cellStyle name="20% - Énfasis3 3 2 2 4 5 2" xfId="3870" xr:uid="{00000000-0005-0000-0000-00001B0F0000}"/>
    <cellStyle name="20% - Énfasis3 3 2 2 4 6" xfId="3871" xr:uid="{00000000-0005-0000-0000-00001C0F0000}"/>
    <cellStyle name="20% - Énfasis3 3 2 2 4 7" xfId="3872" xr:uid="{00000000-0005-0000-0000-00001D0F0000}"/>
    <cellStyle name="20% - Énfasis3 3 2 2 5" xfId="3873" xr:uid="{00000000-0005-0000-0000-00001E0F0000}"/>
    <cellStyle name="20% - Énfasis3 3 2 2 5 2" xfId="3874" xr:uid="{00000000-0005-0000-0000-00001F0F0000}"/>
    <cellStyle name="20% - Énfasis3 3 2 2 5 2 2" xfId="3875" xr:uid="{00000000-0005-0000-0000-0000200F0000}"/>
    <cellStyle name="20% - Énfasis3 3 2 2 5 2 2 2" xfId="3876" xr:uid="{00000000-0005-0000-0000-0000210F0000}"/>
    <cellStyle name="20% - Énfasis3 3 2 2 5 2 3" xfId="3877" xr:uid="{00000000-0005-0000-0000-0000220F0000}"/>
    <cellStyle name="20% - Énfasis3 3 2 2 5 2 4" xfId="3878" xr:uid="{00000000-0005-0000-0000-0000230F0000}"/>
    <cellStyle name="20% - Énfasis3 3 2 2 5 3" xfId="3879" xr:uid="{00000000-0005-0000-0000-0000240F0000}"/>
    <cellStyle name="20% - Énfasis3 3 2 2 5 3 2" xfId="3880" xr:uid="{00000000-0005-0000-0000-0000250F0000}"/>
    <cellStyle name="20% - Énfasis3 3 2 2 5 4" xfId="3881" xr:uid="{00000000-0005-0000-0000-0000260F0000}"/>
    <cellStyle name="20% - Énfasis3 3 2 2 5 5" xfId="3882" xr:uid="{00000000-0005-0000-0000-0000270F0000}"/>
    <cellStyle name="20% - Énfasis3 3 2 2 6" xfId="3883" xr:uid="{00000000-0005-0000-0000-0000280F0000}"/>
    <cellStyle name="20% - Énfasis3 3 2 2 6 2" xfId="3884" xr:uid="{00000000-0005-0000-0000-0000290F0000}"/>
    <cellStyle name="20% - Énfasis3 3 2 2 6 2 2" xfId="3885" xr:uid="{00000000-0005-0000-0000-00002A0F0000}"/>
    <cellStyle name="20% - Énfasis3 3 2 2 6 3" xfId="3886" xr:uid="{00000000-0005-0000-0000-00002B0F0000}"/>
    <cellStyle name="20% - Énfasis3 3 2 2 6 3 2" xfId="3887" xr:uid="{00000000-0005-0000-0000-00002C0F0000}"/>
    <cellStyle name="20% - Énfasis3 3 2 2 6 4" xfId="3888" xr:uid="{00000000-0005-0000-0000-00002D0F0000}"/>
    <cellStyle name="20% - Énfasis3 3 2 2 6 5" xfId="3889" xr:uid="{00000000-0005-0000-0000-00002E0F0000}"/>
    <cellStyle name="20% - Énfasis3 3 2 2 7" xfId="3890" xr:uid="{00000000-0005-0000-0000-00002F0F0000}"/>
    <cellStyle name="20% - Énfasis3 3 2 2 7 2" xfId="3891" xr:uid="{00000000-0005-0000-0000-0000300F0000}"/>
    <cellStyle name="20% - Énfasis3 3 2 2 8" xfId="3892" xr:uid="{00000000-0005-0000-0000-0000310F0000}"/>
    <cellStyle name="20% - Énfasis3 3 2 2 8 2" xfId="3893" xr:uid="{00000000-0005-0000-0000-0000320F0000}"/>
    <cellStyle name="20% - Énfasis3 3 2 2 9" xfId="3894" xr:uid="{00000000-0005-0000-0000-0000330F0000}"/>
    <cellStyle name="20% - Énfasis3 3 2 3" xfId="3895" xr:uid="{00000000-0005-0000-0000-0000340F0000}"/>
    <cellStyle name="20% - Énfasis3 3 2 3 2" xfId="3896" xr:uid="{00000000-0005-0000-0000-0000350F0000}"/>
    <cellStyle name="20% - Énfasis3 3 2 3 2 2" xfId="3897" xr:uid="{00000000-0005-0000-0000-0000360F0000}"/>
    <cellStyle name="20% - Énfasis3 3 2 3 2 2 2" xfId="3898" xr:uid="{00000000-0005-0000-0000-0000370F0000}"/>
    <cellStyle name="20% - Énfasis3 3 2 3 2 2 2 2" xfId="3899" xr:uid="{00000000-0005-0000-0000-0000380F0000}"/>
    <cellStyle name="20% - Énfasis3 3 2 3 2 2 2 2 2" xfId="3900" xr:uid="{00000000-0005-0000-0000-0000390F0000}"/>
    <cellStyle name="20% - Énfasis3 3 2 3 2 2 2 2 2 2" xfId="3901" xr:uid="{00000000-0005-0000-0000-00003A0F0000}"/>
    <cellStyle name="20% - Énfasis3 3 2 3 2 2 2 2 3" xfId="3902" xr:uid="{00000000-0005-0000-0000-00003B0F0000}"/>
    <cellStyle name="20% - Énfasis3 3 2 3 2 2 2 2 4" xfId="3903" xr:uid="{00000000-0005-0000-0000-00003C0F0000}"/>
    <cellStyle name="20% - Énfasis3 3 2 3 2 2 2 3" xfId="3904" xr:uid="{00000000-0005-0000-0000-00003D0F0000}"/>
    <cellStyle name="20% - Énfasis3 3 2 3 2 2 2 3 2" xfId="3905" xr:uid="{00000000-0005-0000-0000-00003E0F0000}"/>
    <cellStyle name="20% - Énfasis3 3 2 3 2 2 2 4" xfId="3906" xr:uid="{00000000-0005-0000-0000-00003F0F0000}"/>
    <cellStyle name="20% - Énfasis3 3 2 3 2 2 2 5" xfId="3907" xr:uid="{00000000-0005-0000-0000-0000400F0000}"/>
    <cellStyle name="20% - Énfasis3 3 2 3 2 2 3" xfId="3908" xr:uid="{00000000-0005-0000-0000-0000410F0000}"/>
    <cellStyle name="20% - Énfasis3 3 2 3 2 2 3 2" xfId="3909" xr:uid="{00000000-0005-0000-0000-0000420F0000}"/>
    <cellStyle name="20% - Énfasis3 3 2 3 2 2 3 2 2" xfId="3910" xr:uid="{00000000-0005-0000-0000-0000430F0000}"/>
    <cellStyle name="20% - Énfasis3 3 2 3 2 2 3 3" xfId="3911" xr:uid="{00000000-0005-0000-0000-0000440F0000}"/>
    <cellStyle name="20% - Énfasis3 3 2 3 2 2 3 4" xfId="3912" xr:uid="{00000000-0005-0000-0000-0000450F0000}"/>
    <cellStyle name="20% - Énfasis3 3 2 3 2 2 4" xfId="3913" xr:uid="{00000000-0005-0000-0000-0000460F0000}"/>
    <cellStyle name="20% - Énfasis3 3 2 3 2 2 4 2" xfId="3914" xr:uid="{00000000-0005-0000-0000-0000470F0000}"/>
    <cellStyle name="20% - Énfasis3 3 2 3 2 2 5" xfId="3915" xr:uid="{00000000-0005-0000-0000-0000480F0000}"/>
    <cellStyle name="20% - Énfasis3 3 2 3 2 2 6" xfId="3916" xr:uid="{00000000-0005-0000-0000-0000490F0000}"/>
    <cellStyle name="20% - Énfasis3 3 2 3 2 3" xfId="3917" xr:uid="{00000000-0005-0000-0000-00004A0F0000}"/>
    <cellStyle name="20% - Énfasis3 3 2 3 2 3 2" xfId="3918" xr:uid="{00000000-0005-0000-0000-00004B0F0000}"/>
    <cellStyle name="20% - Énfasis3 3 2 3 2 3 2 2" xfId="3919" xr:uid="{00000000-0005-0000-0000-00004C0F0000}"/>
    <cellStyle name="20% - Énfasis3 3 2 3 2 3 2 2 2" xfId="3920" xr:uid="{00000000-0005-0000-0000-00004D0F0000}"/>
    <cellStyle name="20% - Énfasis3 3 2 3 2 3 2 3" xfId="3921" xr:uid="{00000000-0005-0000-0000-00004E0F0000}"/>
    <cellStyle name="20% - Énfasis3 3 2 3 2 3 2 4" xfId="3922" xr:uid="{00000000-0005-0000-0000-00004F0F0000}"/>
    <cellStyle name="20% - Énfasis3 3 2 3 2 3 3" xfId="3923" xr:uid="{00000000-0005-0000-0000-0000500F0000}"/>
    <cellStyle name="20% - Énfasis3 3 2 3 2 3 3 2" xfId="3924" xr:uid="{00000000-0005-0000-0000-0000510F0000}"/>
    <cellStyle name="20% - Énfasis3 3 2 3 2 3 4" xfId="3925" xr:uid="{00000000-0005-0000-0000-0000520F0000}"/>
    <cellStyle name="20% - Énfasis3 3 2 3 2 3 5" xfId="3926" xr:uid="{00000000-0005-0000-0000-0000530F0000}"/>
    <cellStyle name="20% - Énfasis3 3 2 3 2 4" xfId="3927" xr:uid="{00000000-0005-0000-0000-0000540F0000}"/>
    <cellStyle name="20% - Énfasis3 3 2 3 2 4 2" xfId="3928" xr:uid="{00000000-0005-0000-0000-0000550F0000}"/>
    <cellStyle name="20% - Énfasis3 3 2 3 2 4 2 2" xfId="3929" xr:uid="{00000000-0005-0000-0000-0000560F0000}"/>
    <cellStyle name="20% - Énfasis3 3 2 3 2 4 3" xfId="3930" xr:uid="{00000000-0005-0000-0000-0000570F0000}"/>
    <cellStyle name="20% - Énfasis3 3 2 3 2 4 4" xfId="3931" xr:uid="{00000000-0005-0000-0000-0000580F0000}"/>
    <cellStyle name="20% - Énfasis3 3 2 3 2 5" xfId="3932" xr:uid="{00000000-0005-0000-0000-0000590F0000}"/>
    <cellStyle name="20% - Énfasis3 3 2 3 2 5 2" xfId="3933" xr:uid="{00000000-0005-0000-0000-00005A0F0000}"/>
    <cellStyle name="20% - Énfasis3 3 2 3 2 6" xfId="3934" xr:uid="{00000000-0005-0000-0000-00005B0F0000}"/>
    <cellStyle name="20% - Énfasis3 3 2 3 2 7" xfId="3935" xr:uid="{00000000-0005-0000-0000-00005C0F0000}"/>
    <cellStyle name="20% - Énfasis3 3 2 3 3" xfId="3936" xr:uid="{00000000-0005-0000-0000-00005D0F0000}"/>
    <cellStyle name="20% - Énfasis3 3 2 3 3 2" xfId="3937" xr:uid="{00000000-0005-0000-0000-00005E0F0000}"/>
    <cellStyle name="20% - Énfasis3 3 2 3 3 2 2" xfId="3938" xr:uid="{00000000-0005-0000-0000-00005F0F0000}"/>
    <cellStyle name="20% - Énfasis3 3 2 3 3 2 2 2" xfId="3939" xr:uid="{00000000-0005-0000-0000-0000600F0000}"/>
    <cellStyle name="20% - Énfasis3 3 2 3 3 2 2 2 2" xfId="3940" xr:uid="{00000000-0005-0000-0000-0000610F0000}"/>
    <cellStyle name="20% - Énfasis3 3 2 3 3 2 2 3" xfId="3941" xr:uid="{00000000-0005-0000-0000-0000620F0000}"/>
    <cellStyle name="20% - Énfasis3 3 2 3 3 2 2 4" xfId="3942" xr:uid="{00000000-0005-0000-0000-0000630F0000}"/>
    <cellStyle name="20% - Énfasis3 3 2 3 3 2 3" xfId="3943" xr:uid="{00000000-0005-0000-0000-0000640F0000}"/>
    <cellStyle name="20% - Énfasis3 3 2 3 3 2 3 2" xfId="3944" xr:uid="{00000000-0005-0000-0000-0000650F0000}"/>
    <cellStyle name="20% - Énfasis3 3 2 3 3 2 4" xfId="3945" xr:uid="{00000000-0005-0000-0000-0000660F0000}"/>
    <cellStyle name="20% - Énfasis3 3 2 3 3 2 5" xfId="3946" xr:uid="{00000000-0005-0000-0000-0000670F0000}"/>
    <cellStyle name="20% - Énfasis3 3 2 3 3 3" xfId="3947" xr:uid="{00000000-0005-0000-0000-0000680F0000}"/>
    <cellStyle name="20% - Énfasis3 3 2 3 3 3 2" xfId="3948" xr:uid="{00000000-0005-0000-0000-0000690F0000}"/>
    <cellStyle name="20% - Énfasis3 3 2 3 3 3 2 2" xfId="3949" xr:uid="{00000000-0005-0000-0000-00006A0F0000}"/>
    <cellStyle name="20% - Énfasis3 3 2 3 3 3 3" xfId="3950" xr:uid="{00000000-0005-0000-0000-00006B0F0000}"/>
    <cellStyle name="20% - Énfasis3 3 2 3 3 3 3 2" xfId="3951" xr:uid="{00000000-0005-0000-0000-00006C0F0000}"/>
    <cellStyle name="20% - Énfasis3 3 2 3 3 3 4" xfId="3952" xr:uid="{00000000-0005-0000-0000-00006D0F0000}"/>
    <cellStyle name="20% - Énfasis3 3 2 3 3 3 5" xfId="3953" xr:uid="{00000000-0005-0000-0000-00006E0F0000}"/>
    <cellStyle name="20% - Énfasis3 3 2 3 3 4" xfId="3954" xr:uid="{00000000-0005-0000-0000-00006F0F0000}"/>
    <cellStyle name="20% - Énfasis3 3 2 3 3 4 2" xfId="3955" xr:uid="{00000000-0005-0000-0000-0000700F0000}"/>
    <cellStyle name="20% - Énfasis3 3 2 3 3 5" xfId="3956" xr:uid="{00000000-0005-0000-0000-0000710F0000}"/>
    <cellStyle name="20% - Énfasis3 3 2 3 3 5 2" xfId="3957" xr:uid="{00000000-0005-0000-0000-0000720F0000}"/>
    <cellStyle name="20% - Énfasis3 3 2 3 3 6" xfId="3958" xr:uid="{00000000-0005-0000-0000-0000730F0000}"/>
    <cellStyle name="20% - Énfasis3 3 2 3 3 7" xfId="3959" xr:uid="{00000000-0005-0000-0000-0000740F0000}"/>
    <cellStyle name="20% - Énfasis3 3 2 3 4" xfId="3960" xr:uid="{00000000-0005-0000-0000-0000750F0000}"/>
    <cellStyle name="20% - Énfasis3 3 2 3 4 2" xfId="3961" xr:uid="{00000000-0005-0000-0000-0000760F0000}"/>
    <cellStyle name="20% - Énfasis3 3 2 3 4 2 2" xfId="3962" xr:uid="{00000000-0005-0000-0000-0000770F0000}"/>
    <cellStyle name="20% - Énfasis3 3 2 3 4 2 2 2" xfId="3963" xr:uid="{00000000-0005-0000-0000-0000780F0000}"/>
    <cellStyle name="20% - Énfasis3 3 2 3 4 2 3" xfId="3964" xr:uid="{00000000-0005-0000-0000-0000790F0000}"/>
    <cellStyle name="20% - Énfasis3 3 2 3 4 2 4" xfId="3965" xr:uid="{00000000-0005-0000-0000-00007A0F0000}"/>
    <cellStyle name="20% - Énfasis3 3 2 3 4 3" xfId="3966" xr:uid="{00000000-0005-0000-0000-00007B0F0000}"/>
    <cellStyle name="20% - Énfasis3 3 2 3 4 3 2" xfId="3967" xr:uid="{00000000-0005-0000-0000-00007C0F0000}"/>
    <cellStyle name="20% - Énfasis3 3 2 3 4 4" xfId="3968" xr:uid="{00000000-0005-0000-0000-00007D0F0000}"/>
    <cellStyle name="20% - Énfasis3 3 2 3 4 5" xfId="3969" xr:uid="{00000000-0005-0000-0000-00007E0F0000}"/>
    <cellStyle name="20% - Énfasis3 3 2 3 5" xfId="3970" xr:uid="{00000000-0005-0000-0000-00007F0F0000}"/>
    <cellStyle name="20% - Énfasis3 3 2 3 5 2" xfId="3971" xr:uid="{00000000-0005-0000-0000-0000800F0000}"/>
    <cellStyle name="20% - Énfasis3 3 2 3 5 2 2" xfId="3972" xr:uid="{00000000-0005-0000-0000-0000810F0000}"/>
    <cellStyle name="20% - Énfasis3 3 2 3 5 3" xfId="3973" xr:uid="{00000000-0005-0000-0000-0000820F0000}"/>
    <cellStyle name="20% - Énfasis3 3 2 3 5 3 2" xfId="3974" xr:uid="{00000000-0005-0000-0000-0000830F0000}"/>
    <cellStyle name="20% - Énfasis3 3 2 3 5 4" xfId="3975" xr:uid="{00000000-0005-0000-0000-0000840F0000}"/>
    <cellStyle name="20% - Énfasis3 3 2 3 5 5" xfId="3976" xr:uid="{00000000-0005-0000-0000-0000850F0000}"/>
    <cellStyle name="20% - Énfasis3 3 2 3 6" xfId="3977" xr:uid="{00000000-0005-0000-0000-0000860F0000}"/>
    <cellStyle name="20% - Énfasis3 3 2 3 6 2" xfId="3978" xr:uid="{00000000-0005-0000-0000-0000870F0000}"/>
    <cellStyle name="20% - Énfasis3 3 2 3 7" xfId="3979" xr:uid="{00000000-0005-0000-0000-0000880F0000}"/>
    <cellStyle name="20% - Énfasis3 3 2 3 7 2" xfId="3980" xr:uid="{00000000-0005-0000-0000-0000890F0000}"/>
    <cellStyle name="20% - Énfasis3 3 2 3 8" xfId="3981" xr:uid="{00000000-0005-0000-0000-00008A0F0000}"/>
    <cellStyle name="20% - Énfasis3 3 2 3 9" xfId="3982" xr:uid="{00000000-0005-0000-0000-00008B0F0000}"/>
    <cellStyle name="20% - Énfasis3 3 2 4" xfId="3983" xr:uid="{00000000-0005-0000-0000-00008C0F0000}"/>
    <cellStyle name="20% - Énfasis3 3 2 4 2" xfId="3984" xr:uid="{00000000-0005-0000-0000-00008D0F0000}"/>
    <cellStyle name="20% - Énfasis3 3 2 4 2 2" xfId="3985" xr:uid="{00000000-0005-0000-0000-00008E0F0000}"/>
    <cellStyle name="20% - Énfasis3 3 2 4 2 2 2" xfId="3986" xr:uid="{00000000-0005-0000-0000-00008F0F0000}"/>
    <cellStyle name="20% - Énfasis3 3 2 4 2 2 2 2" xfId="3987" xr:uid="{00000000-0005-0000-0000-0000900F0000}"/>
    <cellStyle name="20% - Énfasis3 3 2 4 2 2 2 2 2" xfId="3988" xr:uid="{00000000-0005-0000-0000-0000910F0000}"/>
    <cellStyle name="20% - Énfasis3 3 2 4 2 2 2 3" xfId="3989" xr:uid="{00000000-0005-0000-0000-0000920F0000}"/>
    <cellStyle name="20% - Énfasis3 3 2 4 2 2 2 4" xfId="3990" xr:uid="{00000000-0005-0000-0000-0000930F0000}"/>
    <cellStyle name="20% - Énfasis3 3 2 4 2 2 3" xfId="3991" xr:uid="{00000000-0005-0000-0000-0000940F0000}"/>
    <cellStyle name="20% - Énfasis3 3 2 4 2 2 3 2" xfId="3992" xr:uid="{00000000-0005-0000-0000-0000950F0000}"/>
    <cellStyle name="20% - Énfasis3 3 2 4 2 2 4" xfId="3993" xr:uid="{00000000-0005-0000-0000-0000960F0000}"/>
    <cellStyle name="20% - Énfasis3 3 2 4 2 2 5" xfId="3994" xr:uid="{00000000-0005-0000-0000-0000970F0000}"/>
    <cellStyle name="20% - Énfasis3 3 2 4 2 3" xfId="3995" xr:uid="{00000000-0005-0000-0000-0000980F0000}"/>
    <cellStyle name="20% - Énfasis3 3 2 4 2 3 2" xfId="3996" xr:uid="{00000000-0005-0000-0000-0000990F0000}"/>
    <cellStyle name="20% - Énfasis3 3 2 4 2 3 2 2" xfId="3997" xr:uid="{00000000-0005-0000-0000-00009A0F0000}"/>
    <cellStyle name="20% - Énfasis3 3 2 4 2 3 3" xfId="3998" xr:uid="{00000000-0005-0000-0000-00009B0F0000}"/>
    <cellStyle name="20% - Énfasis3 3 2 4 2 3 3 2" xfId="3999" xr:uid="{00000000-0005-0000-0000-00009C0F0000}"/>
    <cellStyle name="20% - Énfasis3 3 2 4 2 3 4" xfId="4000" xr:uid="{00000000-0005-0000-0000-00009D0F0000}"/>
    <cellStyle name="20% - Énfasis3 3 2 4 2 3 5" xfId="4001" xr:uid="{00000000-0005-0000-0000-00009E0F0000}"/>
    <cellStyle name="20% - Énfasis3 3 2 4 2 4" xfId="4002" xr:uid="{00000000-0005-0000-0000-00009F0F0000}"/>
    <cellStyle name="20% - Énfasis3 3 2 4 2 4 2" xfId="4003" xr:uid="{00000000-0005-0000-0000-0000A00F0000}"/>
    <cellStyle name="20% - Énfasis3 3 2 4 2 5" xfId="4004" xr:uid="{00000000-0005-0000-0000-0000A10F0000}"/>
    <cellStyle name="20% - Énfasis3 3 2 4 2 5 2" xfId="4005" xr:uid="{00000000-0005-0000-0000-0000A20F0000}"/>
    <cellStyle name="20% - Énfasis3 3 2 4 2 6" xfId="4006" xr:uid="{00000000-0005-0000-0000-0000A30F0000}"/>
    <cellStyle name="20% - Énfasis3 3 2 4 2 7" xfId="4007" xr:uid="{00000000-0005-0000-0000-0000A40F0000}"/>
    <cellStyle name="20% - Énfasis3 3 2 4 3" xfId="4008" xr:uid="{00000000-0005-0000-0000-0000A50F0000}"/>
    <cellStyle name="20% - Énfasis3 3 2 4 3 2" xfId="4009" xr:uid="{00000000-0005-0000-0000-0000A60F0000}"/>
    <cellStyle name="20% - Énfasis3 3 2 4 3 2 2" xfId="4010" xr:uid="{00000000-0005-0000-0000-0000A70F0000}"/>
    <cellStyle name="20% - Énfasis3 3 2 4 3 2 2 2" xfId="4011" xr:uid="{00000000-0005-0000-0000-0000A80F0000}"/>
    <cellStyle name="20% - Énfasis3 3 2 4 3 2 3" xfId="4012" xr:uid="{00000000-0005-0000-0000-0000A90F0000}"/>
    <cellStyle name="20% - Énfasis3 3 2 4 3 2 4" xfId="4013" xr:uid="{00000000-0005-0000-0000-0000AA0F0000}"/>
    <cellStyle name="20% - Énfasis3 3 2 4 3 3" xfId="4014" xr:uid="{00000000-0005-0000-0000-0000AB0F0000}"/>
    <cellStyle name="20% - Énfasis3 3 2 4 3 3 2" xfId="4015" xr:uid="{00000000-0005-0000-0000-0000AC0F0000}"/>
    <cellStyle name="20% - Énfasis3 3 2 4 3 4" xfId="4016" xr:uid="{00000000-0005-0000-0000-0000AD0F0000}"/>
    <cellStyle name="20% - Énfasis3 3 2 4 3 5" xfId="4017" xr:uid="{00000000-0005-0000-0000-0000AE0F0000}"/>
    <cellStyle name="20% - Énfasis3 3 2 4 4" xfId="4018" xr:uid="{00000000-0005-0000-0000-0000AF0F0000}"/>
    <cellStyle name="20% - Énfasis3 3 2 4 4 2" xfId="4019" xr:uid="{00000000-0005-0000-0000-0000B00F0000}"/>
    <cellStyle name="20% - Énfasis3 3 2 4 4 2 2" xfId="4020" xr:uid="{00000000-0005-0000-0000-0000B10F0000}"/>
    <cellStyle name="20% - Énfasis3 3 2 4 4 3" xfId="4021" xr:uid="{00000000-0005-0000-0000-0000B20F0000}"/>
    <cellStyle name="20% - Énfasis3 3 2 4 4 3 2" xfId="4022" xr:uid="{00000000-0005-0000-0000-0000B30F0000}"/>
    <cellStyle name="20% - Énfasis3 3 2 4 4 4" xfId="4023" xr:uid="{00000000-0005-0000-0000-0000B40F0000}"/>
    <cellStyle name="20% - Énfasis3 3 2 4 4 5" xfId="4024" xr:uid="{00000000-0005-0000-0000-0000B50F0000}"/>
    <cellStyle name="20% - Énfasis3 3 2 4 5" xfId="4025" xr:uid="{00000000-0005-0000-0000-0000B60F0000}"/>
    <cellStyle name="20% - Énfasis3 3 2 4 5 2" xfId="4026" xr:uid="{00000000-0005-0000-0000-0000B70F0000}"/>
    <cellStyle name="20% - Énfasis3 3 2 4 6" xfId="4027" xr:uid="{00000000-0005-0000-0000-0000B80F0000}"/>
    <cellStyle name="20% - Énfasis3 3 2 4 6 2" xfId="4028" xr:uid="{00000000-0005-0000-0000-0000B90F0000}"/>
    <cellStyle name="20% - Énfasis3 3 2 4 7" xfId="4029" xr:uid="{00000000-0005-0000-0000-0000BA0F0000}"/>
    <cellStyle name="20% - Énfasis3 3 2 4 8" xfId="4030" xr:uid="{00000000-0005-0000-0000-0000BB0F0000}"/>
    <cellStyle name="20% - Énfasis3 3 2 5" xfId="4031" xr:uid="{00000000-0005-0000-0000-0000BC0F0000}"/>
    <cellStyle name="20% - Énfasis3 3 2 5 2" xfId="4032" xr:uid="{00000000-0005-0000-0000-0000BD0F0000}"/>
    <cellStyle name="20% - Énfasis3 3 2 5 2 2" xfId="4033" xr:uid="{00000000-0005-0000-0000-0000BE0F0000}"/>
    <cellStyle name="20% - Énfasis3 3 2 5 2 2 2" xfId="4034" xr:uid="{00000000-0005-0000-0000-0000BF0F0000}"/>
    <cellStyle name="20% - Énfasis3 3 2 5 2 2 2 2" xfId="4035" xr:uid="{00000000-0005-0000-0000-0000C00F0000}"/>
    <cellStyle name="20% - Énfasis3 3 2 5 2 2 3" xfId="4036" xr:uid="{00000000-0005-0000-0000-0000C10F0000}"/>
    <cellStyle name="20% - Énfasis3 3 2 5 2 2 4" xfId="4037" xr:uid="{00000000-0005-0000-0000-0000C20F0000}"/>
    <cellStyle name="20% - Énfasis3 3 2 5 2 3" xfId="4038" xr:uid="{00000000-0005-0000-0000-0000C30F0000}"/>
    <cellStyle name="20% - Énfasis3 3 2 5 2 3 2" xfId="4039" xr:uid="{00000000-0005-0000-0000-0000C40F0000}"/>
    <cellStyle name="20% - Énfasis3 3 2 5 2 4" xfId="4040" xr:uid="{00000000-0005-0000-0000-0000C50F0000}"/>
    <cellStyle name="20% - Énfasis3 3 2 5 2 5" xfId="4041" xr:uid="{00000000-0005-0000-0000-0000C60F0000}"/>
    <cellStyle name="20% - Énfasis3 3 2 5 3" xfId="4042" xr:uid="{00000000-0005-0000-0000-0000C70F0000}"/>
    <cellStyle name="20% - Énfasis3 3 2 5 3 2" xfId="4043" xr:uid="{00000000-0005-0000-0000-0000C80F0000}"/>
    <cellStyle name="20% - Énfasis3 3 2 5 3 2 2" xfId="4044" xr:uid="{00000000-0005-0000-0000-0000C90F0000}"/>
    <cellStyle name="20% - Énfasis3 3 2 5 3 3" xfId="4045" xr:uid="{00000000-0005-0000-0000-0000CA0F0000}"/>
    <cellStyle name="20% - Énfasis3 3 2 5 3 3 2" xfId="4046" xr:uid="{00000000-0005-0000-0000-0000CB0F0000}"/>
    <cellStyle name="20% - Énfasis3 3 2 5 3 4" xfId="4047" xr:uid="{00000000-0005-0000-0000-0000CC0F0000}"/>
    <cellStyle name="20% - Énfasis3 3 2 5 3 5" xfId="4048" xr:uid="{00000000-0005-0000-0000-0000CD0F0000}"/>
    <cellStyle name="20% - Énfasis3 3 2 5 4" xfId="4049" xr:uid="{00000000-0005-0000-0000-0000CE0F0000}"/>
    <cellStyle name="20% - Énfasis3 3 2 5 4 2" xfId="4050" xr:uid="{00000000-0005-0000-0000-0000CF0F0000}"/>
    <cellStyle name="20% - Énfasis3 3 2 5 5" xfId="4051" xr:uid="{00000000-0005-0000-0000-0000D00F0000}"/>
    <cellStyle name="20% - Énfasis3 3 2 5 5 2" xfId="4052" xr:uid="{00000000-0005-0000-0000-0000D10F0000}"/>
    <cellStyle name="20% - Énfasis3 3 2 5 6" xfId="4053" xr:uid="{00000000-0005-0000-0000-0000D20F0000}"/>
    <cellStyle name="20% - Énfasis3 3 2 5 7" xfId="4054" xr:uid="{00000000-0005-0000-0000-0000D30F0000}"/>
    <cellStyle name="20% - Énfasis3 3 2 6" xfId="4055" xr:uid="{00000000-0005-0000-0000-0000D40F0000}"/>
    <cellStyle name="20% - Énfasis3 3 2 6 2" xfId="4056" xr:uid="{00000000-0005-0000-0000-0000D50F0000}"/>
    <cellStyle name="20% - Énfasis3 3 2 6 2 2" xfId="4057" xr:uid="{00000000-0005-0000-0000-0000D60F0000}"/>
    <cellStyle name="20% - Énfasis3 3 2 6 2 2 2" xfId="4058" xr:uid="{00000000-0005-0000-0000-0000D70F0000}"/>
    <cellStyle name="20% - Énfasis3 3 2 6 2 3" xfId="4059" xr:uid="{00000000-0005-0000-0000-0000D80F0000}"/>
    <cellStyle name="20% - Énfasis3 3 2 6 2 4" xfId="4060" xr:uid="{00000000-0005-0000-0000-0000D90F0000}"/>
    <cellStyle name="20% - Énfasis3 3 2 6 3" xfId="4061" xr:uid="{00000000-0005-0000-0000-0000DA0F0000}"/>
    <cellStyle name="20% - Énfasis3 3 2 6 3 2" xfId="4062" xr:uid="{00000000-0005-0000-0000-0000DB0F0000}"/>
    <cellStyle name="20% - Énfasis3 3 2 6 4" xfId="4063" xr:uid="{00000000-0005-0000-0000-0000DC0F0000}"/>
    <cellStyle name="20% - Énfasis3 3 2 6 5" xfId="4064" xr:uid="{00000000-0005-0000-0000-0000DD0F0000}"/>
    <cellStyle name="20% - Énfasis3 3 2 7" xfId="4065" xr:uid="{00000000-0005-0000-0000-0000DE0F0000}"/>
    <cellStyle name="20% - Énfasis3 3 2 7 2" xfId="4066" xr:uid="{00000000-0005-0000-0000-0000DF0F0000}"/>
    <cellStyle name="20% - Énfasis3 3 2 7 2 2" xfId="4067" xr:uid="{00000000-0005-0000-0000-0000E00F0000}"/>
    <cellStyle name="20% - Énfasis3 3 2 7 3" xfId="4068" xr:uid="{00000000-0005-0000-0000-0000E10F0000}"/>
    <cellStyle name="20% - Énfasis3 3 2 7 3 2" xfId="4069" xr:uid="{00000000-0005-0000-0000-0000E20F0000}"/>
    <cellStyle name="20% - Énfasis3 3 2 7 4" xfId="4070" xr:uid="{00000000-0005-0000-0000-0000E30F0000}"/>
    <cellStyle name="20% - Énfasis3 3 2 7 5" xfId="4071" xr:uid="{00000000-0005-0000-0000-0000E40F0000}"/>
    <cellStyle name="20% - Énfasis3 3 2 8" xfId="4072" xr:uid="{00000000-0005-0000-0000-0000E50F0000}"/>
    <cellStyle name="20% - Énfasis3 3 2 8 2" xfId="4073" xr:uid="{00000000-0005-0000-0000-0000E60F0000}"/>
    <cellStyle name="20% - Énfasis3 3 2 9" xfId="4074" xr:uid="{00000000-0005-0000-0000-0000E70F0000}"/>
    <cellStyle name="20% - Énfasis3 3 2 9 2" xfId="4075" xr:uid="{00000000-0005-0000-0000-0000E80F0000}"/>
    <cellStyle name="20% - Énfasis3 3 3" xfId="4076" xr:uid="{00000000-0005-0000-0000-0000E90F0000}"/>
    <cellStyle name="20% - Énfasis3 3 3 10" xfId="4077" xr:uid="{00000000-0005-0000-0000-0000EA0F0000}"/>
    <cellStyle name="20% - Énfasis3 3 3 2" xfId="4078" xr:uid="{00000000-0005-0000-0000-0000EB0F0000}"/>
    <cellStyle name="20% - Énfasis3 3 3 2 2" xfId="4079" xr:uid="{00000000-0005-0000-0000-0000EC0F0000}"/>
    <cellStyle name="20% - Énfasis3 3 3 2 2 2" xfId="4080" xr:uid="{00000000-0005-0000-0000-0000ED0F0000}"/>
    <cellStyle name="20% - Énfasis3 3 3 2 2 2 2" xfId="4081" xr:uid="{00000000-0005-0000-0000-0000EE0F0000}"/>
    <cellStyle name="20% - Énfasis3 3 3 2 2 2 2 2" xfId="4082" xr:uid="{00000000-0005-0000-0000-0000EF0F0000}"/>
    <cellStyle name="20% - Énfasis3 3 3 2 2 2 2 2 2" xfId="4083" xr:uid="{00000000-0005-0000-0000-0000F00F0000}"/>
    <cellStyle name="20% - Énfasis3 3 3 2 2 2 2 2 2 2" xfId="4084" xr:uid="{00000000-0005-0000-0000-0000F10F0000}"/>
    <cellStyle name="20% - Énfasis3 3 3 2 2 2 2 2 3" xfId="4085" xr:uid="{00000000-0005-0000-0000-0000F20F0000}"/>
    <cellStyle name="20% - Énfasis3 3 3 2 2 2 2 2 4" xfId="4086" xr:uid="{00000000-0005-0000-0000-0000F30F0000}"/>
    <cellStyle name="20% - Énfasis3 3 3 2 2 2 2 3" xfId="4087" xr:uid="{00000000-0005-0000-0000-0000F40F0000}"/>
    <cellStyle name="20% - Énfasis3 3 3 2 2 2 2 3 2" xfId="4088" xr:uid="{00000000-0005-0000-0000-0000F50F0000}"/>
    <cellStyle name="20% - Énfasis3 3 3 2 2 2 2 4" xfId="4089" xr:uid="{00000000-0005-0000-0000-0000F60F0000}"/>
    <cellStyle name="20% - Énfasis3 3 3 2 2 2 2 5" xfId="4090" xr:uid="{00000000-0005-0000-0000-0000F70F0000}"/>
    <cellStyle name="20% - Énfasis3 3 3 2 2 2 3" xfId="4091" xr:uid="{00000000-0005-0000-0000-0000F80F0000}"/>
    <cellStyle name="20% - Énfasis3 3 3 2 2 2 3 2" xfId="4092" xr:uid="{00000000-0005-0000-0000-0000F90F0000}"/>
    <cellStyle name="20% - Énfasis3 3 3 2 2 2 3 2 2" xfId="4093" xr:uid="{00000000-0005-0000-0000-0000FA0F0000}"/>
    <cellStyle name="20% - Énfasis3 3 3 2 2 2 3 3" xfId="4094" xr:uid="{00000000-0005-0000-0000-0000FB0F0000}"/>
    <cellStyle name="20% - Énfasis3 3 3 2 2 2 3 4" xfId="4095" xr:uid="{00000000-0005-0000-0000-0000FC0F0000}"/>
    <cellStyle name="20% - Énfasis3 3 3 2 2 2 4" xfId="4096" xr:uid="{00000000-0005-0000-0000-0000FD0F0000}"/>
    <cellStyle name="20% - Énfasis3 3 3 2 2 2 4 2" xfId="4097" xr:uid="{00000000-0005-0000-0000-0000FE0F0000}"/>
    <cellStyle name="20% - Énfasis3 3 3 2 2 2 5" xfId="4098" xr:uid="{00000000-0005-0000-0000-0000FF0F0000}"/>
    <cellStyle name="20% - Énfasis3 3 3 2 2 2 6" xfId="4099" xr:uid="{00000000-0005-0000-0000-000000100000}"/>
    <cellStyle name="20% - Énfasis3 3 3 2 2 3" xfId="4100" xr:uid="{00000000-0005-0000-0000-000001100000}"/>
    <cellStyle name="20% - Énfasis3 3 3 2 2 3 2" xfId="4101" xr:uid="{00000000-0005-0000-0000-000002100000}"/>
    <cellStyle name="20% - Énfasis3 3 3 2 2 3 2 2" xfId="4102" xr:uid="{00000000-0005-0000-0000-000003100000}"/>
    <cellStyle name="20% - Énfasis3 3 3 2 2 3 2 2 2" xfId="4103" xr:uid="{00000000-0005-0000-0000-000004100000}"/>
    <cellStyle name="20% - Énfasis3 3 3 2 2 3 2 3" xfId="4104" xr:uid="{00000000-0005-0000-0000-000005100000}"/>
    <cellStyle name="20% - Énfasis3 3 3 2 2 3 2 4" xfId="4105" xr:uid="{00000000-0005-0000-0000-000006100000}"/>
    <cellStyle name="20% - Énfasis3 3 3 2 2 3 3" xfId="4106" xr:uid="{00000000-0005-0000-0000-000007100000}"/>
    <cellStyle name="20% - Énfasis3 3 3 2 2 3 3 2" xfId="4107" xr:uid="{00000000-0005-0000-0000-000008100000}"/>
    <cellStyle name="20% - Énfasis3 3 3 2 2 3 4" xfId="4108" xr:uid="{00000000-0005-0000-0000-000009100000}"/>
    <cellStyle name="20% - Énfasis3 3 3 2 2 3 5" xfId="4109" xr:uid="{00000000-0005-0000-0000-00000A100000}"/>
    <cellStyle name="20% - Énfasis3 3 3 2 2 4" xfId="4110" xr:uid="{00000000-0005-0000-0000-00000B100000}"/>
    <cellStyle name="20% - Énfasis3 3 3 2 2 4 2" xfId="4111" xr:uid="{00000000-0005-0000-0000-00000C100000}"/>
    <cellStyle name="20% - Énfasis3 3 3 2 2 4 2 2" xfId="4112" xr:uid="{00000000-0005-0000-0000-00000D100000}"/>
    <cellStyle name="20% - Énfasis3 3 3 2 2 4 3" xfId="4113" xr:uid="{00000000-0005-0000-0000-00000E100000}"/>
    <cellStyle name="20% - Énfasis3 3 3 2 2 4 4" xfId="4114" xr:uid="{00000000-0005-0000-0000-00000F100000}"/>
    <cellStyle name="20% - Énfasis3 3 3 2 2 5" xfId="4115" xr:uid="{00000000-0005-0000-0000-000010100000}"/>
    <cellStyle name="20% - Énfasis3 3 3 2 2 5 2" xfId="4116" xr:uid="{00000000-0005-0000-0000-000011100000}"/>
    <cellStyle name="20% - Énfasis3 3 3 2 2 6" xfId="4117" xr:uid="{00000000-0005-0000-0000-000012100000}"/>
    <cellStyle name="20% - Énfasis3 3 3 2 2 7" xfId="4118" xr:uid="{00000000-0005-0000-0000-000013100000}"/>
    <cellStyle name="20% - Énfasis3 3 3 2 3" xfId="4119" xr:uid="{00000000-0005-0000-0000-000014100000}"/>
    <cellStyle name="20% - Énfasis3 3 3 2 3 2" xfId="4120" xr:uid="{00000000-0005-0000-0000-000015100000}"/>
    <cellStyle name="20% - Énfasis3 3 3 2 3 2 2" xfId="4121" xr:uid="{00000000-0005-0000-0000-000016100000}"/>
    <cellStyle name="20% - Énfasis3 3 3 2 3 2 2 2" xfId="4122" xr:uid="{00000000-0005-0000-0000-000017100000}"/>
    <cellStyle name="20% - Énfasis3 3 3 2 3 2 2 2 2" xfId="4123" xr:uid="{00000000-0005-0000-0000-000018100000}"/>
    <cellStyle name="20% - Énfasis3 3 3 2 3 2 2 3" xfId="4124" xr:uid="{00000000-0005-0000-0000-000019100000}"/>
    <cellStyle name="20% - Énfasis3 3 3 2 3 2 2 4" xfId="4125" xr:uid="{00000000-0005-0000-0000-00001A100000}"/>
    <cellStyle name="20% - Énfasis3 3 3 2 3 2 3" xfId="4126" xr:uid="{00000000-0005-0000-0000-00001B100000}"/>
    <cellStyle name="20% - Énfasis3 3 3 2 3 2 3 2" xfId="4127" xr:uid="{00000000-0005-0000-0000-00001C100000}"/>
    <cellStyle name="20% - Énfasis3 3 3 2 3 2 4" xfId="4128" xr:uid="{00000000-0005-0000-0000-00001D100000}"/>
    <cellStyle name="20% - Énfasis3 3 3 2 3 2 5" xfId="4129" xr:uid="{00000000-0005-0000-0000-00001E100000}"/>
    <cellStyle name="20% - Énfasis3 3 3 2 3 3" xfId="4130" xr:uid="{00000000-0005-0000-0000-00001F100000}"/>
    <cellStyle name="20% - Énfasis3 3 3 2 3 3 2" xfId="4131" xr:uid="{00000000-0005-0000-0000-000020100000}"/>
    <cellStyle name="20% - Énfasis3 3 3 2 3 3 2 2" xfId="4132" xr:uid="{00000000-0005-0000-0000-000021100000}"/>
    <cellStyle name="20% - Énfasis3 3 3 2 3 3 3" xfId="4133" xr:uid="{00000000-0005-0000-0000-000022100000}"/>
    <cellStyle name="20% - Énfasis3 3 3 2 3 3 3 2" xfId="4134" xr:uid="{00000000-0005-0000-0000-000023100000}"/>
    <cellStyle name="20% - Énfasis3 3 3 2 3 3 4" xfId="4135" xr:uid="{00000000-0005-0000-0000-000024100000}"/>
    <cellStyle name="20% - Énfasis3 3 3 2 3 3 5" xfId="4136" xr:uid="{00000000-0005-0000-0000-000025100000}"/>
    <cellStyle name="20% - Énfasis3 3 3 2 3 4" xfId="4137" xr:uid="{00000000-0005-0000-0000-000026100000}"/>
    <cellStyle name="20% - Énfasis3 3 3 2 3 4 2" xfId="4138" xr:uid="{00000000-0005-0000-0000-000027100000}"/>
    <cellStyle name="20% - Énfasis3 3 3 2 3 5" xfId="4139" xr:uid="{00000000-0005-0000-0000-000028100000}"/>
    <cellStyle name="20% - Énfasis3 3 3 2 3 5 2" xfId="4140" xr:uid="{00000000-0005-0000-0000-000029100000}"/>
    <cellStyle name="20% - Énfasis3 3 3 2 3 6" xfId="4141" xr:uid="{00000000-0005-0000-0000-00002A100000}"/>
    <cellStyle name="20% - Énfasis3 3 3 2 3 7" xfId="4142" xr:uid="{00000000-0005-0000-0000-00002B100000}"/>
    <cellStyle name="20% - Énfasis3 3 3 2 4" xfId="4143" xr:uid="{00000000-0005-0000-0000-00002C100000}"/>
    <cellStyle name="20% - Énfasis3 3 3 2 4 2" xfId="4144" xr:uid="{00000000-0005-0000-0000-00002D100000}"/>
    <cellStyle name="20% - Énfasis3 3 3 2 4 2 2" xfId="4145" xr:uid="{00000000-0005-0000-0000-00002E100000}"/>
    <cellStyle name="20% - Énfasis3 3 3 2 4 2 2 2" xfId="4146" xr:uid="{00000000-0005-0000-0000-00002F100000}"/>
    <cellStyle name="20% - Énfasis3 3 3 2 4 2 3" xfId="4147" xr:uid="{00000000-0005-0000-0000-000030100000}"/>
    <cellStyle name="20% - Énfasis3 3 3 2 4 2 4" xfId="4148" xr:uid="{00000000-0005-0000-0000-000031100000}"/>
    <cellStyle name="20% - Énfasis3 3 3 2 4 3" xfId="4149" xr:uid="{00000000-0005-0000-0000-000032100000}"/>
    <cellStyle name="20% - Énfasis3 3 3 2 4 3 2" xfId="4150" xr:uid="{00000000-0005-0000-0000-000033100000}"/>
    <cellStyle name="20% - Énfasis3 3 3 2 4 4" xfId="4151" xr:uid="{00000000-0005-0000-0000-000034100000}"/>
    <cellStyle name="20% - Énfasis3 3 3 2 4 5" xfId="4152" xr:uid="{00000000-0005-0000-0000-000035100000}"/>
    <cellStyle name="20% - Énfasis3 3 3 2 5" xfId="4153" xr:uid="{00000000-0005-0000-0000-000036100000}"/>
    <cellStyle name="20% - Énfasis3 3 3 2 5 2" xfId="4154" xr:uid="{00000000-0005-0000-0000-000037100000}"/>
    <cellStyle name="20% - Énfasis3 3 3 2 5 2 2" xfId="4155" xr:uid="{00000000-0005-0000-0000-000038100000}"/>
    <cellStyle name="20% - Énfasis3 3 3 2 5 3" xfId="4156" xr:uid="{00000000-0005-0000-0000-000039100000}"/>
    <cellStyle name="20% - Énfasis3 3 3 2 5 3 2" xfId="4157" xr:uid="{00000000-0005-0000-0000-00003A100000}"/>
    <cellStyle name="20% - Énfasis3 3 3 2 5 4" xfId="4158" xr:uid="{00000000-0005-0000-0000-00003B100000}"/>
    <cellStyle name="20% - Énfasis3 3 3 2 5 5" xfId="4159" xr:uid="{00000000-0005-0000-0000-00003C100000}"/>
    <cellStyle name="20% - Énfasis3 3 3 2 6" xfId="4160" xr:uid="{00000000-0005-0000-0000-00003D100000}"/>
    <cellStyle name="20% - Énfasis3 3 3 2 6 2" xfId="4161" xr:uid="{00000000-0005-0000-0000-00003E100000}"/>
    <cellStyle name="20% - Énfasis3 3 3 2 7" xfId="4162" xr:uid="{00000000-0005-0000-0000-00003F100000}"/>
    <cellStyle name="20% - Énfasis3 3 3 2 7 2" xfId="4163" xr:uid="{00000000-0005-0000-0000-000040100000}"/>
    <cellStyle name="20% - Énfasis3 3 3 2 8" xfId="4164" xr:uid="{00000000-0005-0000-0000-000041100000}"/>
    <cellStyle name="20% - Énfasis3 3 3 2 9" xfId="4165" xr:uid="{00000000-0005-0000-0000-000042100000}"/>
    <cellStyle name="20% - Énfasis3 3 3 3" xfId="4166" xr:uid="{00000000-0005-0000-0000-000043100000}"/>
    <cellStyle name="20% - Énfasis3 3 3 3 2" xfId="4167" xr:uid="{00000000-0005-0000-0000-000044100000}"/>
    <cellStyle name="20% - Énfasis3 3 3 3 2 2" xfId="4168" xr:uid="{00000000-0005-0000-0000-000045100000}"/>
    <cellStyle name="20% - Énfasis3 3 3 3 2 2 2" xfId="4169" xr:uid="{00000000-0005-0000-0000-000046100000}"/>
    <cellStyle name="20% - Énfasis3 3 3 3 2 2 2 2" xfId="4170" xr:uid="{00000000-0005-0000-0000-000047100000}"/>
    <cellStyle name="20% - Énfasis3 3 3 3 2 2 2 2 2" xfId="4171" xr:uid="{00000000-0005-0000-0000-000048100000}"/>
    <cellStyle name="20% - Énfasis3 3 3 3 2 2 2 3" xfId="4172" xr:uid="{00000000-0005-0000-0000-000049100000}"/>
    <cellStyle name="20% - Énfasis3 3 3 3 2 2 2 4" xfId="4173" xr:uid="{00000000-0005-0000-0000-00004A100000}"/>
    <cellStyle name="20% - Énfasis3 3 3 3 2 2 3" xfId="4174" xr:uid="{00000000-0005-0000-0000-00004B100000}"/>
    <cellStyle name="20% - Énfasis3 3 3 3 2 2 3 2" xfId="4175" xr:uid="{00000000-0005-0000-0000-00004C100000}"/>
    <cellStyle name="20% - Énfasis3 3 3 3 2 2 4" xfId="4176" xr:uid="{00000000-0005-0000-0000-00004D100000}"/>
    <cellStyle name="20% - Énfasis3 3 3 3 2 2 5" xfId="4177" xr:uid="{00000000-0005-0000-0000-00004E100000}"/>
    <cellStyle name="20% - Énfasis3 3 3 3 2 3" xfId="4178" xr:uid="{00000000-0005-0000-0000-00004F100000}"/>
    <cellStyle name="20% - Énfasis3 3 3 3 2 3 2" xfId="4179" xr:uid="{00000000-0005-0000-0000-000050100000}"/>
    <cellStyle name="20% - Énfasis3 3 3 3 2 3 2 2" xfId="4180" xr:uid="{00000000-0005-0000-0000-000051100000}"/>
    <cellStyle name="20% - Énfasis3 3 3 3 2 3 3" xfId="4181" xr:uid="{00000000-0005-0000-0000-000052100000}"/>
    <cellStyle name="20% - Énfasis3 3 3 3 2 3 3 2" xfId="4182" xr:uid="{00000000-0005-0000-0000-000053100000}"/>
    <cellStyle name="20% - Énfasis3 3 3 3 2 3 4" xfId="4183" xr:uid="{00000000-0005-0000-0000-000054100000}"/>
    <cellStyle name="20% - Énfasis3 3 3 3 2 3 5" xfId="4184" xr:uid="{00000000-0005-0000-0000-000055100000}"/>
    <cellStyle name="20% - Énfasis3 3 3 3 2 4" xfId="4185" xr:uid="{00000000-0005-0000-0000-000056100000}"/>
    <cellStyle name="20% - Énfasis3 3 3 3 2 4 2" xfId="4186" xr:uid="{00000000-0005-0000-0000-000057100000}"/>
    <cellStyle name="20% - Énfasis3 3 3 3 2 5" xfId="4187" xr:uid="{00000000-0005-0000-0000-000058100000}"/>
    <cellStyle name="20% - Énfasis3 3 3 3 2 5 2" xfId="4188" xr:uid="{00000000-0005-0000-0000-000059100000}"/>
    <cellStyle name="20% - Énfasis3 3 3 3 2 6" xfId="4189" xr:uid="{00000000-0005-0000-0000-00005A100000}"/>
    <cellStyle name="20% - Énfasis3 3 3 3 2 7" xfId="4190" xr:uid="{00000000-0005-0000-0000-00005B100000}"/>
    <cellStyle name="20% - Énfasis3 3 3 3 3" xfId="4191" xr:uid="{00000000-0005-0000-0000-00005C100000}"/>
    <cellStyle name="20% - Énfasis3 3 3 3 3 2" xfId="4192" xr:uid="{00000000-0005-0000-0000-00005D100000}"/>
    <cellStyle name="20% - Énfasis3 3 3 3 3 2 2" xfId="4193" xr:uid="{00000000-0005-0000-0000-00005E100000}"/>
    <cellStyle name="20% - Énfasis3 3 3 3 3 2 2 2" xfId="4194" xr:uid="{00000000-0005-0000-0000-00005F100000}"/>
    <cellStyle name="20% - Énfasis3 3 3 3 3 2 3" xfId="4195" xr:uid="{00000000-0005-0000-0000-000060100000}"/>
    <cellStyle name="20% - Énfasis3 3 3 3 3 2 4" xfId="4196" xr:uid="{00000000-0005-0000-0000-000061100000}"/>
    <cellStyle name="20% - Énfasis3 3 3 3 3 3" xfId="4197" xr:uid="{00000000-0005-0000-0000-000062100000}"/>
    <cellStyle name="20% - Énfasis3 3 3 3 3 3 2" xfId="4198" xr:uid="{00000000-0005-0000-0000-000063100000}"/>
    <cellStyle name="20% - Énfasis3 3 3 3 3 4" xfId="4199" xr:uid="{00000000-0005-0000-0000-000064100000}"/>
    <cellStyle name="20% - Énfasis3 3 3 3 3 5" xfId="4200" xr:uid="{00000000-0005-0000-0000-000065100000}"/>
    <cellStyle name="20% - Énfasis3 3 3 3 4" xfId="4201" xr:uid="{00000000-0005-0000-0000-000066100000}"/>
    <cellStyle name="20% - Énfasis3 3 3 3 4 2" xfId="4202" xr:uid="{00000000-0005-0000-0000-000067100000}"/>
    <cellStyle name="20% - Énfasis3 3 3 3 4 2 2" xfId="4203" xr:uid="{00000000-0005-0000-0000-000068100000}"/>
    <cellStyle name="20% - Énfasis3 3 3 3 4 3" xfId="4204" xr:uid="{00000000-0005-0000-0000-000069100000}"/>
    <cellStyle name="20% - Énfasis3 3 3 3 4 3 2" xfId="4205" xr:uid="{00000000-0005-0000-0000-00006A100000}"/>
    <cellStyle name="20% - Énfasis3 3 3 3 4 4" xfId="4206" xr:uid="{00000000-0005-0000-0000-00006B100000}"/>
    <cellStyle name="20% - Énfasis3 3 3 3 4 5" xfId="4207" xr:uid="{00000000-0005-0000-0000-00006C100000}"/>
    <cellStyle name="20% - Énfasis3 3 3 3 5" xfId="4208" xr:uid="{00000000-0005-0000-0000-00006D100000}"/>
    <cellStyle name="20% - Énfasis3 3 3 3 5 2" xfId="4209" xr:uid="{00000000-0005-0000-0000-00006E100000}"/>
    <cellStyle name="20% - Énfasis3 3 3 3 6" xfId="4210" xr:uid="{00000000-0005-0000-0000-00006F100000}"/>
    <cellStyle name="20% - Énfasis3 3 3 3 6 2" xfId="4211" xr:uid="{00000000-0005-0000-0000-000070100000}"/>
    <cellStyle name="20% - Énfasis3 3 3 3 7" xfId="4212" xr:uid="{00000000-0005-0000-0000-000071100000}"/>
    <cellStyle name="20% - Énfasis3 3 3 3 8" xfId="4213" xr:uid="{00000000-0005-0000-0000-000072100000}"/>
    <cellStyle name="20% - Énfasis3 3 3 4" xfId="4214" xr:uid="{00000000-0005-0000-0000-000073100000}"/>
    <cellStyle name="20% - Énfasis3 3 3 4 2" xfId="4215" xr:uid="{00000000-0005-0000-0000-000074100000}"/>
    <cellStyle name="20% - Énfasis3 3 3 4 2 2" xfId="4216" xr:uid="{00000000-0005-0000-0000-000075100000}"/>
    <cellStyle name="20% - Énfasis3 3 3 4 2 2 2" xfId="4217" xr:uid="{00000000-0005-0000-0000-000076100000}"/>
    <cellStyle name="20% - Énfasis3 3 3 4 2 2 2 2" xfId="4218" xr:uid="{00000000-0005-0000-0000-000077100000}"/>
    <cellStyle name="20% - Énfasis3 3 3 4 2 2 3" xfId="4219" xr:uid="{00000000-0005-0000-0000-000078100000}"/>
    <cellStyle name="20% - Énfasis3 3 3 4 2 2 4" xfId="4220" xr:uid="{00000000-0005-0000-0000-000079100000}"/>
    <cellStyle name="20% - Énfasis3 3 3 4 2 3" xfId="4221" xr:uid="{00000000-0005-0000-0000-00007A100000}"/>
    <cellStyle name="20% - Énfasis3 3 3 4 2 3 2" xfId="4222" xr:uid="{00000000-0005-0000-0000-00007B100000}"/>
    <cellStyle name="20% - Énfasis3 3 3 4 2 4" xfId="4223" xr:uid="{00000000-0005-0000-0000-00007C100000}"/>
    <cellStyle name="20% - Énfasis3 3 3 4 2 5" xfId="4224" xr:uid="{00000000-0005-0000-0000-00007D100000}"/>
    <cellStyle name="20% - Énfasis3 3 3 4 3" xfId="4225" xr:uid="{00000000-0005-0000-0000-00007E100000}"/>
    <cellStyle name="20% - Énfasis3 3 3 4 3 2" xfId="4226" xr:uid="{00000000-0005-0000-0000-00007F100000}"/>
    <cellStyle name="20% - Énfasis3 3 3 4 3 2 2" xfId="4227" xr:uid="{00000000-0005-0000-0000-000080100000}"/>
    <cellStyle name="20% - Énfasis3 3 3 4 3 3" xfId="4228" xr:uid="{00000000-0005-0000-0000-000081100000}"/>
    <cellStyle name="20% - Énfasis3 3 3 4 3 3 2" xfId="4229" xr:uid="{00000000-0005-0000-0000-000082100000}"/>
    <cellStyle name="20% - Énfasis3 3 3 4 3 4" xfId="4230" xr:uid="{00000000-0005-0000-0000-000083100000}"/>
    <cellStyle name="20% - Énfasis3 3 3 4 3 5" xfId="4231" xr:uid="{00000000-0005-0000-0000-000084100000}"/>
    <cellStyle name="20% - Énfasis3 3 3 4 4" xfId="4232" xr:uid="{00000000-0005-0000-0000-000085100000}"/>
    <cellStyle name="20% - Énfasis3 3 3 4 4 2" xfId="4233" xr:uid="{00000000-0005-0000-0000-000086100000}"/>
    <cellStyle name="20% - Énfasis3 3 3 4 5" xfId="4234" xr:uid="{00000000-0005-0000-0000-000087100000}"/>
    <cellStyle name="20% - Énfasis3 3 3 4 5 2" xfId="4235" xr:uid="{00000000-0005-0000-0000-000088100000}"/>
    <cellStyle name="20% - Énfasis3 3 3 4 6" xfId="4236" xr:uid="{00000000-0005-0000-0000-000089100000}"/>
    <cellStyle name="20% - Énfasis3 3 3 4 7" xfId="4237" xr:uid="{00000000-0005-0000-0000-00008A100000}"/>
    <cellStyle name="20% - Énfasis3 3 3 5" xfId="4238" xr:uid="{00000000-0005-0000-0000-00008B100000}"/>
    <cellStyle name="20% - Énfasis3 3 3 5 2" xfId="4239" xr:uid="{00000000-0005-0000-0000-00008C100000}"/>
    <cellStyle name="20% - Énfasis3 3 3 5 2 2" xfId="4240" xr:uid="{00000000-0005-0000-0000-00008D100000}"/>
    <cellStyle name="20% - Énfasis3 3 3 5 2 2 2" xfId="4241" xr:uid="{00000000-0005-0000-0000-00008E100000}"/>
    <cellStyle name="20% - Énfasis3 3 3 5 2 3" xfId="4242" xr:uid="{00000000-0005-0000-0000-00008F100000}"/>
    <cellStyle name="20% - Énfasis3 3 3 5 2 4" xfId="4243" xr:uid="{00000000-0005-0000-0000-000090100000}"/>
    <cellStyle name="20% - Énfasis3 3 3 5 3" xfId="4244" xr:uid="{00000000-0005-0000-0000-000091100000}"/>
    <cellStyle name="20% - Énfasis3 3 3 5 3 2" xfId="4245" xr:uid="{00000000-0005-0000-0000-000092100000}"/>
    <cellStyle name="20% - Énfasis3 3 3 5 4" xfId="4246" xr:uid="{00000000-0005-0000-0000-000093100000}"/>
    <cellStyle name="20% - Énfasis3 3 3 5 5" xfId="4247" xr:uid="{00000000-0005-0000-0000-000094100000}"/>
    <cellStyle name="20% - Énfasis3 3 3 6" xfId="4248" xr:uid="{00000000-0005-0000-0000-000095100000}"/>
    <cellStyle name="20% - Énfasis3 3 3 6 2" xfId="4249" xr:uid="{00000000-0005-0000-0000-000096100000}"/>
    <cellStyle name="20% - Énfasis3 3 3 6 2 2" xfId="4250" xr:uid="{00000000-0005-0000-0000-000097100000}"/>
    <cellStyle name="20% - Énfasis3 3 3 6 3" xfId="4251" xr:uid="{00000000-0005-0000-0000-000098100000}"/>
    <cellStyle name="20% - Énfasis3 3 3 6 3 2" xfId="4252" xr:uid="{00000000-0005-0000-0000-000099100000}"/>
    <cellStyle name="20% - Énfasis3 3 3 6 4" xfId="4253" xr:uid="{00000000-0005-0000-0000-00009A100000}"/>
    <cellStyle name="20% - Énfasis3 3 3 6 5" xfId="4254" xr:uid="{00000000-0005-0000-0000-00009B100000}"/>
    <cellStyle name="20% - Énfasis3 3 3 7" xfId="4255" xr:uid="{00000000-0005-0000-0000-00009C100000}"/>
    <cellStyle name="20% - Énfasis3 3 3 7 2" xfId="4256" xr:uid="{00000000-0005-0000-0000-00009D100000}"/>
    <cellStyle name="20% - Énfasis3 3 3 8" xfId="4257" xr:uid="{00000000-0005-0000-0000-00009E100000}"/>
    <cellStyle name="20% - Énfasis3 3 3 8 2" xfId="4258" xr:uid="{00000000-0005-0000-0000-00009F100000}"/>
    <cellStyle name="20% - Énfasis3 3 3 9" xfId="4259" xr:uid="{00000000-0005-0000-0000-0000A0100000}"/>
    <cellStyle name="20% - Énfasis3 3 4" xfId="4260" xr:uid="{00000000-0005-0000-0000-0000A1100000}"/>
    <cellStyle name="20% - Énfasis3 3 4 2" xfId="4261" xr:uid="{00000000-0005-0000-0000-0000A2100000}"/>
    <cellStyle name="20% - Énfasis3 3 4 2 2" xfId="4262" xr:uid="{00000000-0005-0000-0000-0000A3100000}"/>
    <cellStyle name="20% - Énfasis3 3 4 2 2 2" xfId="4263" xr:uid="{00000000-0005-0000-0000-0000A4100000}"/>
    <cellStyle name="20% - Énfasis3 3 4 2 2 2 2" xfId="4264" xr:uid="{00000000-0005-0000-0000-0000A5100000}"/>
    <cellStyle name="20% - Énfasis3 3 4 2 2 2 2 2" xfId="4265" xr:uid="{00000000-0005-0000-0000-0000A6100000}"/>
    <cellStyle name="20% - Énfasis3 3 4 2 2 2 2 2 2" xfId="4266" xr:uid="{00000000-0005-0000-0000-0000A7100000}"/>
    <cellStyle name="20% - Énfasis3 3 4 2 2 2 2 3" xfId="4267" xr:uid="{00000000-0005-0000-0000-0000A8100000}"/>
    <cellStyle name="20% - Énfasis3 3 4 2 2 2 2 4" xfId="4268" xr:uid="{00000000-0005-0000-0000-0000A9100000}"/>
    <cellStyle name="20% - Énfasis3 3 4 2 2 2 3" xfId="4269" xr:uid="{00000000-0005-0000-0000-0000AA100000}"/>
    <cellStyle name="20% - Énfasis3 3 4 2 2 2 3 2" xfId="4270" xr:uid="{00000000-0005-0000-0000-0000AB100000}"/>
    <cellStyle name="20% - Énfasis3 3 4 2 2 2 4" xfId="4271" xr:uid="{00000000-0005-0000-0000-0000AC100000}"/>
    <cellStyle name="20% - Énfasis3 3 4 2 2 2 5" xfId="4272" xr:uid="{00000000-0005-0000-0000-0000AD100000}"/>
    <cellStyle name="20% - Énfasis3 3 4 2 2 3" xfId="4273" xr:uid="{00000000-0005-0000-0000-0000AE100000}"/>
    <cellStyle name="20% - Énfasis3 3 4 2 2 3 2" xfId="4274" xr:uid="{00000000-0005-0000-0000-0000AF100000}"/>
    <cellStyle name="20% - Énfasis3 3 4 2 2 3 2 2" xfId="4275" xr:uid="{00000000-0005-0000-0000-0000B0100000}"/>
    <cellStyle name="20% - Énfasis3 3 4 2 2 3 3" xfId="4276" xr:uid="{00000000-0005-0000-0000-0000B1100000}"/>
    <cellStyle name="20% - Énfasis3 3 4 2 2 3 4" xfId="4277" xr:uid="{00000000-0005-0000-0000-0000B2100000}"/>
    <cellStyle name="20% - Énfasis3 3 4 2 2 4" xfId="4278" xr:uid="{00000000-0005-0000-0000-0000B3100000}"/>
    <cellStyle name="20% - Énfasis3 3 4 2 2 4 2" xfId="4279" xr:uid="{00000000-0005-0000-0000-0000B4100000}"/>
    <cellStyle name="20% - Énfasis3 3 4 2 2 5" xfId="4280" xr:uid="{00000000-0005-0000-0000-0000B5100000}"/>
    <cellStyle name="20% - Énfasis3 3 4 2 2 6" xfId="4281" xr:uid="{00000000-0005-0000-0000-0000B6100000}"/>
    <cellStyle name="20% - Énfasis3 3 4 2 3" xfId="4282" xr:uid="{00000000-0005-0000-0000-0000B7100000}"/>
    <cellStyle name="20% - Énfasis3 3 4 2 3 2" xfId="4283" xr:uid="{00000000-0005-0000-0000-0000B8100000}"/>
    <cellStyle name="20% - Énfasis3 3 4 2 3 2 2" xfId="4284" xr:uid="{00000000-0005-0000-0000-0000B9100000}"/>
    <cellStyle name="20% - Énfasis3 3 4 2 3 2 2 2" xfId="4285" xr:uid="{00000000-0005-0000-0000-0000BA100000}"/>
    <cellStyle name="20% - Énfasis3 3 4 2 3 2 3" xfId="4286" xr:uid="{00000000-0005-0000-0000-0000BB100000}"/>
    <cellStyle name="20% - Énfasis3 3 4 2 3 2 4" xfId="4287" xr:uid="{00000000-0005-0000-0000-0000BC100000}"/>
    <cellStyle name="20% - Énfasis3 3 4 2 3 3" xfId="4288" xr:uid="{00000000-0005-0000-0000-0000BD100000}"/>
    <cellStyle name="20% - Énfasis3 3 4 2 3 3 2" xfId="4289" xr:uid="{00000000-0005-0000-0000-0000BE100000}"/>
    <cellStyle name="20% - Énfasis3 3 4 2 3 4" xfId="4290" xr:uid="{00000000-0005-0000-0000-0000BF100000}"/>
    <cellStyle name="20% - Énfasis3 3 4 2 3 5" xfId="4291" xr:uid="{00000000-0005-0000-0000-0000C0100000}"/>
    <cellStyle name="20% - Énfasis3 3 4 2 4" xfId="4292" xr:uid="{00000000-0005-0000-0000-0000C1100000}"/>
    <cellStyle name="20% - Énfasis3 3 4 2 4 2" xfId="4293" xr:uid="{00000000-0005-0000-0000-0000C2100000}"/>
    <cellStyle name="20% - Énfasis3 3 4 2 4 2 2" xfId="4294" xr:uid="{00000000-0005-0000-0000-0000C3100000}"/>
    <cellStyle name="20% - Énfasis3 3 4 2 4 3" xfId="4295" xr:uid="{00000000-0005-0000-0000-0000C4100000}"/>
    <cellStyle name="20% - Énfasis3 3 4 2 4 4" xfId="4296" xr:uid="{00000000-0005-0000-0000-0000C5100000}"/>
    <cellStyle name="20% - Énfasis3 3 4 2 5" xfId="4297" xr:uid="{00000000-0005-0000-0000-0000C6100000}"/>
    <cellStyle name="20% - Énfasis3 3 4 2 5 2" xfId="4298" xr:uid="{00000000-0005-0000-0000-0000C7100000}"/>
    <cellStyle name="20% - Énfasis3 3 4 2 6" xfId="4299" xr:uid="{00000000-0005-0000-0000-0000C8100000}"/>
    <cellStyle name="20% - Énfasis3 3 4 2 7" xfId="4300" xr:uid="{00000000-0005-0000-0000-0000C9100000}"/>
    <cellStyle name="20% - Énfasis3 3 4 3" xfId="4301" xr:uid="{00000000-0005-0000-0000-0000CA100000}"/>
    <cellStyle name="20% - Énfasis3 3 4 3 2" xfId="4302" xr:uid="{00000000-0005-0000-0000-0000CB100000}"/>
    <cellStyle name="20% - Énfasis3 3 4 3 2 2" xfId="4303" xr:uid="{00000000-0005-0000-0000-0000CC100000}"/>
    <cellStyle name="20% - Énfasis3 3 4 3 2 2 2" xfId="4304" xr:uid="{00000000-0005-0000-0000-0000CD100000}"/>
    <cellStyle name="20% - Énfasis3 3 4 3 2 2 2 2" xfId="4305" xr:uid="{00000000-0005-0000-0000-0000CE100000}"/>
    <cellStyle name="20% - Énfasis3 3 4 3 2 2 3" xfId="4306" xr:uid="{00000000-0005-0000-0000-0000CF100000}"/>
    <cellStyle name="20% - Énfasis3 3 4 3 2 2 4" xfId="4307" xr:uid="{00000000-0005-0000-0000-0000D0100000}"/>
    <cellStyle name="20% - Énfasis3 3 4 3 2 3" xfId="4308" xr:uid="{00000000-0005-0000-0000-0000D1100000}"/>
    <cellStyle name="20% - Énfasis3 3 4 3 2 3 2" xfId="4309" xr:uid="{00000000-0005-0000-0000-0000D2100000}"/>
    <cellStyle name="20% - Énfasis3 3 4 3 2 4" xfId="4310" xr:uid="{00000000-0005-0000-0000-0000D3100000}"/>
    <cellStyle name="20% - Énfasis3 3 4 3 2 5" xfId="4311" xr:uid="{00000000-0005-0000-0000-0000D4100000}"/>
    <cellStyle name="20% - Énfasis3 3 4 3 3" xfId="4312" xr:uid="{00000000-0005-0000-0000-0000D5100000}"/>
    <cellStyle name="20% - Énfasis3 3 4 3 3 2" xfId="4313" xr:uid="{00000000-0005-0000-0000-0000D6100000}"/>
    <cellStyle name="20% - Énfasis3 3 4 3 3 2 2" xfId="4314" xr:uid="{00000000-0005-0000-0000-0000D7100000}"/>
    <cellStyle name="20% - Énfasis3 3 4 3 3 3" xfId="4315" xr:uid="{00000000-0005-0000-0000-0000D8100000}"/>
    <cellStyle name="20% - Énfasis3 3 4 3 3 3 2" xfId="4316" xr:uid="{00000000-0005-0000-0000-0000D9100000}"/>
    <cellStyle name="20% - Énfasis3 3 4 3 3 4" xfId="4317" xr:uid="{00000000-0005-0000-0000-0000DA100000}"/>
    <cellStyle name="20% - Énfasis3 3 4 3 3 5" xfId="4318" xr:uid="{00000000-0005-0000-0000-0000DB100000}"/>
    <cellStyle name="20% - Énfasis3 3 4 3 4" xfId="4319" xr:uid="{00000000-0005-0000-0000-0000DC100000}"/>
    <cellStyle name="20% - Énfasis3 3 4 3 4 2" xfId="4320" xr:uid="{00000000-0005-0000-0000-0000DD100000}"/>
    <cellStyle name="20% - Énfasis3 3 4 3 5" xfId="4321" xr:uid="{00000000-0005-0000-0000-0000DE100000}"/>
    <cellStyle name="20% - Énfasis3 3 4 3 5 2" xfId="4322" xr:uid="{00000000-0005-0000-0000-0000DF100000}"/>
    <cellStyle name="20% - Énfasis3 3 4 3 6" xfId="4323" xr:uid="{00000000-0005-0000-0000-0000E0100000}"/>
    <cellStyle name="20% - Énfasis3 3 4 3 7" xfId="4324" xr:uid="{00000000-0005-0000-0000-0000E1100000}"/>
    <cellStyle name="20% - Énfasis3 3 4 4" xfId="4325" xr:uid="{00000000-0005-0000-0000-0000E2100000}"/>
    <cellStyle name="20% - Énfasis3 3 4 4 2" xfId="4326" xr:uid="{00000000-0005-0000-0000-0000E3100000}"/>
    <cellStyle name="20% - Énfasis3 3 4 4 2 2" xfId="4327" xr:uid="{00000000-0005-0000-0000-0000E4100000}"/>
    <cellStyle name="20% - Énfasis3 3 4 4 2 2 2" xfId="4328" xr:uid="{00000000-0005-0000-0000-0000E5100000}"/>
    <cellStyle name="20% - Énfasis3 3 4 4 2 3" xfId="4329" xr:uid="{00000000-0005-0000-0000-0000E6100000}"/>
    <cellStyle name="20% - Énfasis3 3 4 4 2 4" xfId="4330" xr:uid="{00000000-0005-0000-0000-0000E7100000}"/>
    <cellStyle name="20% - Énfasis3 3 4 4 3" xfId="4331" xr:uid="{00000000-0005-0000-0000-0000E8100000}"/>
    <cellStyle name="20% - Énfasis3 3 4 4 3 2" xfId="4332" xr:uid="{00000000-0005-0000-0000-0000E9100000}"/>
    <cellStyle name="20% - Énfasis3 3 4 4 4" xfId="4333" xr:uid="{00000000-0005-0000-0000-0000EA100000}"/>
    <cellStyle name="20% - Énfasis3 3 4 4 5" xfId="4334" xr:uid="{00000000-0005-0000-0000-0000EB100000}"/>
    <cellStyle name="20% - Énfasis3 3 4 5" xfId="4335" xr:uid="{00000000-0005-0000-0000-0000EC100000}"/>
    <cellStyle name="20% - Énfasis3 3 4 5 2" xfId="4336" xr:uid="{00000000-0005-0000-0000-0000ED100000}"/>
    <cellStyle name="20% - Énfasis3 3 4 5 2 2" xfId="4337" xr:uid="{00000000-0005-0000-0000-0000EE100000}"/>
    <cellStyle name="20% - Énfasis3 3 4 5 3" xfId="4338" xr:uid="{00000000-0005-0000-0000-0000EF100000}"/>
    <cellStyle name="20% - Énfasis3 3 4 5 3 2" xfId="4339" xr:uid="{00000000-0005-0000-0000-0000F0100000}"/>
    <cellStyle name="20% - Énfasis3 3 4 5 4" xfId="4340" xr:uid="{00000000-0005-0000-0000-0000F1100000}"/>
    <cellStyle name="20% - Énfasis3 3 4 5 5" xfId="4341" xr:uid="{00000000-0005-0000-0000-0000F2100000}"/>
    <cellStyle name="20% - Énfasis3 3 4 6" xfId="4342" xr:uid="{00000000-0005-0000-0000-0000F3100000}"/>
    <cellStyle name="20% - Énfasis3 3 4 6 2" xfId="4343" xr:uid="{00000000-0005-0000-0000-0000F4100000}"/>
    <cellStyle name="20% - Énfasis3 3 4 7" xfId="4344" xr:uid="{00000000-0005-0000-0000-0000F5100000}"/>
    <cellStyle name="20% - Énfasis3 3 4 7 2" xfId="4345" xr:uid="{00000000-0005-0000-0000-0000F6100000}"/>
    <cellStyle name="20% - Énfasis3 3 4 8" xfId="4346" xr:uid="{00000000-0005-0000-0000-0000F7100000}"/>
    <cellStyle name="20% - Énfasis3 3 4 9" xfId="4347" xr:uid="{00000000-0005-0000-0000-0000F8100000}"/>
    <cellStyle name="20% - Énfasis3 3 5" xfId="4348" xr:uid="{00000000-0005-0000-0000-0000F9100000}"/>
    <cellStyle name="20% - Énfasis3 3 5 2" xfId="4349" xr:uid="{00000000-0005-0000-0000-0000FA100000}"/>
    <cellStyle name="20% - Énfasis3 3 5 2 2" xfId="4350" xr:uid="{00000000-0005-0000-0000-0000FB100000}"/>
    <cellStyle name="20% - Énfasis3 3 5 2 2 2" xfId="4351" xr:uid="{00000000-0005-0000-0000-0000FC100000}"/>
    <cellStyle name="20% - Énfasis3 3 5 2 2 2 2" xfId="4352" xr:uid="{00000000-0005-0000-0000-0000FD100000}"/>
    <cellStyle name="20% - Énfasis3 3 5 2 2 2 2 2" xfId="4353" xr:uid="{00000000-0005-0000-0000-0000FE100000}"/>
    <cellStyle name="20% - Énfasis3 3 5 2 2 2 3" xfId="4354" xr:uid="{00000000-0005-0000-0000-0000FF100000}"/>
    <cellStyle name="20% - Énfasis3 3 5 2 2 2 4" xfId="4355" xr:uid="{00000000-0005-0000-0000-000000110000}"/>
    <cellStyle name="20% - Énfasis3 3 5 2 2 3" xfId="4356" xr:uid="{00000000-0005-0000-0000-000001110000}"/>
    <cellStyle name="20% - Énfasis3 3 5 2 2 3 2" xfId="4357" xr:uid="{00000000-0005-0000-0000-000002110000}"/>
    <cellStyle name="20% - Énfasis3 3 5 2 2 4" xfId="4358" xr:uid="{00000000-0005-0000-0000-000003110000}"/>
    <cellStyle name="20% - Énfasis3 3 5 2 2 5" xfId="4359" xr:uid="{00000000-0005-0000-0000-000004110000}"/>
    <cellStyle name="20% - Énfasis3 3 5 2 3" xfId="4360" xr:uid="{00000000-0005-0000-0000-000005110000}"/>
    <cellStyle name="20% - Énfasis3 3 5 2 3 2" xfId="4361" xr:uid="{00000000-0005-0000-0000-000006110000}"/>
    <cellStyle name="20% - Énfasis3 3 5 2 3 2 2" xfId="4362" xr:uid="{00000000-0005-0000-0000-000007110000}"/>
    <cellStyle name="20% - Énfasis3 3 5 2 3 3" xfId="4363" xr:uid="{00000000-0005-0000-0000-000008110000}"/>
    <cellStyle name="20% - Énfasis3 3 5 2 3 3 2" xfId="4364" xr:uid="{00000000-0005-0000-0000-000009110000}"/>
    <cellStyle name="20% - Énfasis3 3 5 2 3 4" xfId="4365" xr:uid="{00000000-0005-0000-0000-00000A110000}"/>
    <cellStyle name="20% - Énfasis3 3 5 2 3 5" xfId="4366" xr:uid="{00000000-0005-0000-0000-00000B110000}"/>
    <cellStyle name="20% - Énfasis3 3 5 2 4" xfId="4367" xr:uid="{00000000-0005-0000-0000-00000C110000}"/>
    <cellStyle name="20% - Énfasis3 3 5 2 4 2" xfId="4368" xr:uid="{00000000-0005-0000-0000-00000D110000}"/>
    <cellStyle name="20% - Énfasis3 3 5 2 5" xfId="4369" xr:uid="{00000000-0005-0000-0000-00000E110000}"/>
    <cellStyle name="20% - Énfasis3 3 5 2 5 2" xfId="4370" xr:uid="{00000000-0005-0000-0000-00000F110000}"/>
    <cellStyle name="20% - Énfasis3 3 5 2 6" xfId="4371" xr:uid="{00000000-0005-0000-0000-000010110000}"/>
    <cellStyle name="20% - Énfasis3 3 5 2 7" xfId="4372" xr:uid="{00000000-0005-0000-0000-000011110000}"/>
    <cellStyle name="20% - Énfasis3 3 5 3" xfId="4373" xr:uid="{00000000-0005-0000-0000-000012110000}"/>
    <cellStyle name="20% - Énfasis3 3 5 3 2" xfId="4374" xr:uid="{00000000-0005-0000-0000-000013110000}"/>
    <cellStyle name="20% - Énfasis3 3 5 3 2 2" xfId="4375" xr:uid="{00000000-0005-0000-0000-000014110000}"/>
    <cellStyle name="20% - Énfasis3 3 5 3 2 2 2" xfId="4376" xr:uid="{00000000-0005-0000-0000-000015110000}"/>
    <cellStyle name="20% - Énfasis3 3 5 3 2 3" xfId="4377" xr:uid="{00000000-0005-0000-0000-000016110000}"/>
    <cellStyle name="20% - Énfasis3 3 5 3 2 4" xfId="4378" xr:uid="{00000000-0005-0000-0000-000017110000}"/>
    <cellStyle name="20% - Énfasis3 3 5 3 3" xfId="4379" xr:uid="{00000000-0005-0000-0000-000018110000}"/>
    <cellStyle name="20% - Énfasis3 3 5 3 3 2" xfId="4380" xr:uid="{00000000-0005-0000-0000-000019110000}"/>
    <cellStyle name="20% - Énfasis3 3 5 3 4" xfId="4381" xr:uid="{00000000-0005-0000-0000-00001A110000}"/>
    <cellStyle name="20% - Énfasis3 3 5 3 5" xfId="4382" xr:uid="{00000000-0005-0000-0000-00001B110000}"/>
    <cellStyle name="20% - Énfasis3 3 5 4" xfId="4383" xr:uid="{00000000-0005-0000-0000-00001C110000}"/>
    <cellStyle name="20% - Énfasis3 3 5 4 2" xfId="4384" xr:uid="{00000000-0005-0000-0000-00001D110000}"/>
    <cellStyle name="20% - Énfasis3 3 5 4 2 2" xfId="4385" xr:uid="{00000000-0005-0000-0000-00001E110000}"/>
    <cellStyle name="20% - Énfasis3 3 5 4 3" xfId="4386" xr:uid="{00000000-0005-0000-0000-00001F110000}"/>
    <cellStyle name="20% - Énfasis3 3 5 4 3 2" xfId="4387" xr:uid="{00000000-0005-0000-0000-000020110000}"/>
    <cellStyle name="20% - Énfasis3 3 5 4 4" xfId="4388" xr:uid="{00000000-0005-0000-0000-000021110000}"/>
    <cellStyle name="20% - Énfasis3 3 5 4 5" xfId="4389" xr:uid="{00000000-0005-0000-0000-000022110000}"/>
    <cellStyle name="20% - Énfasis3 3 5 5" xfId="4390" xr:uid="{00000000-0005-0000-0000-000023110000}"/>
    <cellStyle name="20% - Énfasis3 3 5 5 2" xfId="4391" xr:uid="{00000000-0005-0000-0000-000024110000}"/>
    <cellStyle name="20% - Énfasis3 3 5 6" xfId="4392" xr:uid="{00000000-0005-0000-0000-000025110000}"/>
    <cellStyle name="20% - Énfasis3 3 5 6 2" xfId="4393" xr:uid="{00000000-0005-0000-0000-000026110000}"/>
    <cellStyle name="20% - Énfasis3 3 5 7" xfId="4394" xr:uid="{00000000-0005-0000-0000-000027110000}"/>
    <cellStyle name="20% - Énfasis3 3 5 8" xfId="4395" xr:uid="{00000000-0005-0000-0000-000028110000}"/>
    <cellStyle name="20% - Énfasis3 3 6" xfId="4396" xr:uid="{00000000-0005-0000-0000-000029110000}"/>
    <cellStyle name="20% - Énfasis3 3 6 2" xfId="4397" xr:uid="{00000000-0005-0000-0000-00002A110000}"/>
    <cellStyle name="20% - Énfasis3 3 6 2 2" xfId="4398" xr:uid="{00000000-0005-0000-0000-00002B110000}"/>
    <cellStyle name="20% - Énfasis3 3 6 2 2 2" xfId="4399" xr:uid="{00000000-0005-0000-0000-00002C110000}"/>
    <cellStyle name="20% - Énfasis3 3 6 2 2 2 2" xfId="4400" xr:uid="{00000000-0005-0000-0000-00002D110000}"/>
    <cellStyle name="20% - Énfasis3 3 6 2 2 3" xfId="4401" xr:uid="{00000000-0005-0000-0000-00002E110000}"/>
    <cellStyle name="20% - Énfasis3 3 6 2 2 4" xfId="4402" xr:uid="{00000000-0005-0000-0000-00002F110000}"/>
    <cellStyle name="20% - Énfasis3 3 6 2 3" xfId="4403" xr:uid="{00000000-0005-0000-0000-000030110000}"/>
    <cellStyle name="20% - Énfasis3 3 6 2 3 2" xfId="4404" xr:uid="{00000000-0005-0000-0000-000031110000}"/>
    <cellStyle name="20% - Énfasis3 3 6 2 4" xfId="4405" xr:uid="{00000000-0005-0000-0000-000032110000}"/>
    <cellStyle name="20% - Énfasis3 3 6 2 5" xfId="4406" xr:uid="{00000000-0005-0000-0000-000033110000}"/>
    <cellStyle name="20% - Énfasis3 3 6 3" xfId="4407" xr:uid="{00000000-0005-0000-0000-000034110000}"/>
    <cellStyle name="20% - Énfasis3 3 6 3 2" xfId="4408" xr:uid="{00000000-0005-0000-0000-000035110000}"/>
    <cellStyle name="20% - Énfasis3 3 6 3 2 2" xfId="4409" xr:uid="{00000000-0005-0000-0000-000036110000}"/>
    <cellStyle name="20% - Énfasis3 3 6 3 3" xfId="4410" xr:uid="{00000000-0005-0000-0000-000037110000}"/>
    <cellStyle name="20% - Énfasis3 3 6 3 3 2" xfId="4411" xr:uid="{00000000-0005-0000-0000-000038110000}"/>
    <cellStyle name="20% - Énfasis3 3 6 3 4" xfId="4412" xr:uid="{00000000-0005-0000-0000-000039110000}"/>
    <cellStyle name="20% - Énfasis3 3 6 3 5" xfId="4413" xr:uid="{00000000-0005-0000-0000-00003A110000}"/>
    <cellStyle name="20% - Énfasis3 3 6 4" xfId="4414" xr:uid="{00000000-0005-0000-0000-00003B110000}"/>
    <cellStyle name="20% - Énfasis3 3 6 4 2" xfId="4415" xr:uid="{00000000-0005-0000-0000-00003C110000}"/>
    <cellStyle name="20% - Énfasis3 3 6 5" xfId="4416" xr:uid="{00000000-0005-0000-0000-00003D110000}"/>
    <cellStyle name="20% - Énfasis3 3 6 5 2" xfId="4417" xr:uid="{00000000-0005-0000-0000-00003E110000}"/>
    <cellStyle name="20% - Énfasis3 3 6 6" xfId="4418" xr:uid="{00000000-0005-0000-0000-00003F110000}"/>
    <cellStyle name="20% - Énfasis3 3 6 7" xfId="4419" xr:uid="{00000000-0005-0000-0000-000040110000}"/>
    <cellStyle name="20% - Énfasis3 3 7" xfId="4420" xr:uid="{00000000-0005-0000-0000-000041110000}"/>
    <cellStyle name="20% - Énfasis3 3 7 2" xfId="4421" xr:uid="{00000000-0005-0000-0000-000042110000}"/>
    <cellStyle name="20% - Énfasis3 3 7 2 2" xfId="4422" xr:uid="{00000000-0005-0000-0000-000043110000}"/>
    <cellStyle name="20% - Énfasis3 3 7 2 2 2" xfId="4423" xr:uid="{00000000-0005-0000-0000-000044110000}"/>
    <cellStyle name="20% - Énfasis3 3 7 2 3" xfId="4424" xr:uid="{00000000-0005-0000-0000-000045110000}"/>
    <cellStyle name="20% - Énfasis3 3 7 2 4" xfId="4425" xr:uid="{00000000-0005-0000-0000-000046110000}"/>
    <cellStyle name="20% - Énfasis3 3 7 3" xfId="4426" xr:uid="{00000000-0005-0000-0000-000047110000}"/>
    <cellStyle name="20% - Énfasis3 3 7 3 2" xfId="4427" xr:uid="{00000000-0005-0000-0000-000048110000}"/>
    <cellStyle name="20% - Énfasis3 3 7 4" xfId="4428" xr:uid="{00000000-0005-0000-0000-000049110000}"/>
    <cellStyle name="20% - Énfasis3 3 7 5" xfId="4429" xr:uid="{00000000-0005-0000-0000-00004A110000}"/>
    <cellStyle name="20% - Énfasis3 3 8" xfId="4430" xr:uid="{00000000-0005-0000-0000-00004B110000}"/>
    <cellStyle name="20% - Énfasis3 3 8 2" xfId="4431" xr:uid="{00000000-0005-0000-0000-00004C110000}"/>
    <cellStyle name="20% - Énfasis3 3 8 2 2" xfId="4432" xr:uid="{00000000-0005-0000-0000-00004D110000}"/>
    <cellStyle name="20% - Énfasis3 3 8 3" xfId="4433" xr:uid="{00000000-0005-0000-0000-00004E110000}"/>
    <cellStyle name="20% - Énfasis3 3 8 3 2" xfId="4434" xr:uid="{00000000-0005-0000-0000-00004F110000}"/>
    <cellStyle name="20% - Énfasis3 3 8 4" xfId="4435" xr:uid="{00000000-0005-0000-0000-000050110000}"/>
    <cellStyle name="20% - Énfasis3 3 8 5" xfId="4436" xr:uid="{00000000-0005-0000-0000-000051110000}"/>
    <cellStyle name="20% - Énfasis3 3 9" xfId="4437" xr:uid="{00000000-0005-0000-0000-000052110000}"/>
    <cellStyle name="20% - Énfasis3 3 9 2" xfId="4438" xr:uid="{00000000-0005-0000-0000-000053110000}"/>
    <cellStyle name="20% - Énfasis3 4" xfId="4439" xr:uid="{00000000-0005-0000-0000-000054110000}"/>
    <cellStyle name="20% - Énfasis4 2" xfId="4440" xr:uid="{00000000-0005-0000-0000-000055110000}"/>
    <cellStyle name="20% - Énfasis4 2 10" xfId="4441" xr:uid="{00000000-0005-0000-0000-000056110000}"/>
    <cellStyle name="20% - Énfasis4 2 10 2" xfId="4442" xr:uid="{00000000-0005-0000-0000-000057110000}"/>
    <cellStyle name="20% - Énfasis4 2 11" xfId="4443" xr:uid="{00000000-0005-0000-0000-000058110000}"/>
    <cellStyle name="20% - Énfasis4 2 12" xfId="4444" xr:uid="{00000000-0005-0000-0000-000059110000}"/>
    <cellStyle name="20% - Énfasis4 2 2" xfId="4445" xr:uid="{00000000-0005-0000-0000-00005A110000}"/>
    <cellStyle name="20% - Énfasis4 2 2 10" xfId="4446" xr:uid="{00000000-0005-0000-0000-00005B110000}"/>
    <cellStyle name="20% - Énfasis4 2 2 10 2" xfId="4447" xr:uid="{00000000-0005-0000-0000-00005C110000}"/>
    <cellStyle name="20% - Énfasis4 2 2 11" xfId="4448" xr:uid="{00000000-0005-0000-0000-00005D110000}"/>
    <cellStyle name="20% - Énfasis4 2 2 12" xfId="4449" xr:uid="{00000000-0005-0000-0000-00005E110000}"/>
    <cellStyle name="20% - Énfasis4 2 2 2" xfId="4450" xr:uid="{00000000-0005-0000-0000-00005F110000}"/>
    <cellStyle name="20% - Énfasis4 2 2 2 10" xfId="4451" xr:uid="{00000000-0005-0000-0000-000060110000}"/>
    <cellStyle name="20% - Énfasis4 2 2 2 2" xfId="4452" xr:uid="{00000000-0005-0000-0000-000061110000}"/>
    <cellStyle name="20% - Énfasis4 2 2 2 2 2" xfId="4453" xr:uid="{00000000-0005-0000-0000-000062110000}"/>
    <cellStyle name="20% - Énfasis4 2 2 2 2 2 2" xfId="4454" xr:uid="{00000000-0005-0000-0000-000063110000}"/>
    <cellStyle name="20% - Énfasis4 2 2 2 2 2 2 2" xfId="4455" xr:uid="{00000000-0005-0000-0000-000064110000}"/>
    <cellStyle name="20% - Énfasis4 2 2 2 2 2 2 2 2" xfId="4456" xr:uid="{00000000-0005-0000-0000-000065110000}"/>
    <cellStyle name="20% - Énfasis4 2 2 2 2 2 2 2 2 2" xfId="4457" xr:uid="{00000000-0005-0000-0000-000066110000}"/>
    <cellStyle name="20% - Énfasis4 2 2 2 2 2 2 2 2 2 2" xfId="4458" xr:uid="{00000000-0005-0000-0000-000067110000}"/>
    <cellStyle name="20% - Énfasis4 2 2 2 2 2 2 2 2 3" xfId="4459" xr:uid="{00000000-0005-0000-0000-000068110000}"/>
    <cellStyle name="20% - Énfasis4 2 2 2 2 2 2 2 2 4" xfId="4460" xr:uid="{00000000-0005-0000-0000-000069110000}"/>
    <cellStyle name="20% - Énfasis4 2 2 2 2 2 2 2 3" xfId="4461" xr:uid="{00000000-0005-0000-0000-00006A110000}"/>
    <cellStyle name="20% - Énfasis4 2 2 2 2 2 2 2 3 2" xfId="4462" xr:uid="{00000000-0005-0000-0000-00006B110000}"/>
    <cellStyle name="20% - Énfasis4 2 2 2 2 2 2 2 4" xfId="4463" xr:uid="{00000000-0005-0000-0000-00006C110000}"/>
    <cellStyle name="20% - Énfasis4 2 2 2 2 2 2 2 5" xfId="4464" xr:uid="{00000000-0005-0000-0000-00006D110000}"/>
    <cellStyle name="20% - Énfasis4 2 2 2 2 2 2 3" xfId="4465" xr:uid="{00000000-0005-0000-0000-00006E110000}"/>
    <cellStyle name="20% - Énfasis4 2 2 2 2 2 2 3 2" xfId="4466" xr:uid="{00000000-0005-0000-0000-00006F110000}"/>
    <cellStyle name="20% - Énfasis4 2 2 2 2 2 2 3 2 2" xfId="4467" xr:uid="{00000000-0005-0000-0000-000070110000}"/>
    <cellStyle name="20% - Énfasis4 2 2 2 2 2 2 3 3" xfId="4468" xr:uid="{00000000-0005-0000-0000-000071110000}"/>
    <cellStyle name="20% - Énfasis4 2 2 2 2 2 2 3 4" xfId="4469" xr:uid="{00000000-0005-0000-0000-000072110000}"/>
    <cellStyle name="20% - Énfasis4 2 2 2 2 2 2 4" xfId="4470" xr:uid="{00000000-0005-0000-0000-000073110000}"/>
    <cellStyle name="20% - Énfasis4 2 2 2 2 2 2 4 2" xfId="4471" xr:uid="{00000000-0005-0000-0000-000074110000}"/>
    <cellStyle name="20% - Énfasis4 2 2 2 2 2 2 5" xfId="4472" xr:uid="{00000000-0005-0000-0000-000075110000}"/>
    <cellStyle name="20% - Énfasis4 2 2 2 2 2 2 6" xfId="4473" xr:uid="{00000000-0005-0000-0000-000076110000}"/>
    <cellStyle name="20% - Énfasis4 2 2 2 2 2 3" xfId="4474" xr:uid="{00000000-0005-0000-0000-000077110000}"/>
    <cellStyle name="20% - Énfasis4 2 2 2 2 2 3 2" xfId="4475" xr:uid="{00000000-0005-0000-0000-000078110000}"/>
    <cellStyle name="20% - Énfasis4 2 2 2 2 2 3 2 2" xfId="4476" xr:uid="{00000000-0005-0000-0000-000079110000}"/>
    <cellStyle name="20% - Énfasis4 2 2 2 2 2 3 2 2 2" xfId="4477" xr:uid="{00000000-0005-0000-0000-00007A110000}"/>
    <cellStyle name="20% - Énfasis4 2 2 2 2 2 3 2 3" xfId="4478" xr:uid="{00000000-0005-0000-0000-00007B110000}"/>
    <cellStyle name="20% - Énfasis4 2 2 2 2 2 3 2 4" xfId="4479" xr:uid="{00000000-0005-0000-0000-00007C110000}"/>
    <cellStyle name="20% - Énfasis4 2 2 2 2 2 3 3" xfId="4480" xr:uid="{00000000-0005-0000-0000-00007D110000}"/>
    <cellStyle name="20% - Énfasis4 2 2 2 2 2 3 3 2" xfId="4481" xr:uid="{00000000-0005-0000-0000-00007E110000}"/>
    <cellStyle name="20% - Énfasis4 2 2 2 2 2 3 4" xfId="4482" xr:uid="{00000000-0005-0000-0000-00007F110000}"/>
    <cellStyle name="20% - Énfasis4 2 2 2 2 2 3 5" xfId="4483" xr:uid="{00000000-0005-0000-0000-000080110000}"/>
    <cellStyle name="20% - Énfasis4 2 2 2 2 2 4" xfId="4484" xr:uid="{00000000-0005-0000-0000-000081110000}"/>
    <cellStyle name="20% - Énfasis4 2 2 2 2 2 4 2" xfId="4485" xr:uid="{00000000-0005-0000-0000-000082110000}"/>
    <cellStyle name="20% - Énfasis4 2 2 2 2 2 4 2 2" xfId="4486" xr:uid="{00000000-0005-0000-0000-000083110000}"/>
    <cellStyle name="20% - Énfasis4 2 2 2 2 2 4 3" xfId="4487" xr:uid="{00000000-0005-0000-0000-000084110000}"/>
    <cellStyle name="20% - Énfasis4 2 2 2 2 2 4 4" xfId="4488" xr:uid="{00000000-0005-0000-0000-000085110000}"/>
    <cellStyle name="20% - Énfasis4 2 2 2 2 2 5" xfId="4489" xr:uid="{00000000-0005-0000-0000-000086110000}"/>
    <cellStyle name="20% - Énfasis4 2 2 2 2 2 5 2" xfId="4490" xr:uid="{00000000-0005-0000-0000-000087110000}"/>
    <cellStyle name="20% - Énfasis4 2 2 2 2 2 6" xfId="4491" xr:uid="{00000000-0005-0000-0000-000088110000}"/>
    <cellStyle name="20% - Énfasis4 2 2 2 2 2 7" xfId="4492" xr:uid="{00000000-0005-0000-0000-000089110000}"/>
    <cellStyle name="20% - Énfasis4 2 2 2 2 3" xfId="4493" xr:uid="{00000000-0005-0000-0000-00008A110000}"/>
    <cellStyle name="20% - Énfasis4 2 2 2 2 3 2" xfId="4494" xr:uid="{00000000-0005-0000-0000-00008B110000}"/>
    <cellStyle name="20% - Énfasis4 2 2 2 2 3 2 2" xfId="4495" xr:uid="{00000000-0005-0000-0000-00008C110000}"/>
    <cellStyle name="20% - Énfasis4 2 2 2 2 3 2 2 2" xfId="4496" xr:uid="{00000000-0005-0000-0000-00008D110000}"/>
    <cellStyle name="20% - Énfasis4 2 2 2 2 3 2 2 2 2" xfId="4497" xr:uid="{00000000-0005-0000-0000-00008E110000}"/>
    <cellStyle name="20% - Énfasis4 2 2 2 2 3 2 2 3" xfId="4498" xr:uid="{00000000-0005-0000-0000-00008F110000}"/>
    <cellStyle name="20% - Énfasis4 2 2 2 2 3 2 2 4" xfId="4499" xr:uid="{00000000-0005-0000-0000-000090110000}"/>
    <cellStyle name="20% - Énfasis4 2 2 2 2 3 2 3" xfId="4500" xr:uid="{00000000-0005-0000-0000-000091110000}"/>
    <cellStyle name="20% - Énfasis4 2 2 2 2 3 2 3 2" xfId="4501" xr:uid="{00000000-0005-0000-0000-000092110000}"/>
    <cellStyle name="20% - Énfasis4 2 2 2 2 3 2 4" xfId="4502" xr:uid="{00000000-0005-0000-0000-000093110000}"/>
    <cellStyle name="20% - Énfasis4 2 2 2 2 3 2 5" xfId="4503" xr:uid="{00000000-0005-0000-0000-000094110000}"/>
    <cellStyle name="20% - Énfasis4 2 2 2 2 3 3" xfId="4504" xr:uid="{00000000-0005-0000-0000-000095110000}"/>
    <cellStyle name="20% - Énfasis4 2 2 2 2 3 3 2" xfId="4505" xr:uid="{00000000-0005-0000-0000-000096110000}"/>
    <cellStyle name="20% - Énfasis4 2 2 2 2 3 3 2 2" xfId="4506" xr:uid="{00000000-0005-0000-0000-000097110000}"/>
    <cellStyle name="20% - Énfasis4 2 2 2 2 3 3 3" xfId="4507" xr:uid="{00000000-0005-0000-0000-000098110000}"/>
    <cellStyle name="20% - Énfasis4 2 2 2 2 3 3 3 2" xfId="4508" xr:uid="{00000000-0005-0000-0000-000099110000}"/>
    <cellStyle name="20% - Énfasis4 2 2 2 2 3 3 4" xfId="4509" xr:uid="{00000000-0005-0000-0000-00009A110000}"/>
    <cellStyle name="20% - Énfasis4 2 2 2 2 3 3 5" xfId="4510" xr:uid="{00000000-0005-0000-0000-00009B110000}"/>
    <cellStyle name="20% - Énfasis4 2 2 2 2 3 4" xfId="4511" xr:uid="{00000000-0005-0000-0000-00009C110000}"/>
    <cellStyle name="20% - Énfasis4 2 2 2 2 3 4 2" xfId="4512" xr:uid="{00000000-0005-0000-0000-00009D110000}"/>
    <cellStyle name="20% - Énfasis4 2 2 2 2 3 5" xfId="4513" xr:uid="{00000000-0005-0000-0000-00009E110000}"/>
    <cellStyle name="20% - Énfasis4 2 2 2 2 3 5 2" xfId="4514" xr:uid="{00000000-0005-0000-0000-00009F110000}"/>
    <cellStyle name="20% - Énfasis4 2 2 2 2 3 6" xfId="4515" xr:uid="{00000000-0005-0000-0000-0000A0110000}"/>
    <cellStyle name="20% - Énfasis4 2 2 2 2 3 7" xfId="4516" xr:uid="{00000000-0005-0000-0000-0000A1110000}"/>
    <cellStyle name="20% - Énfasis4 2 2 2 2 4" xfId="4517" xr:uid="{00000000-0005-0000-0000-0000A2110000}"/>
    <cellStyle name="20% - Énfasis4 2 2 2 2 4 2" xfId="4518" xr:uid="{00000000-0005-0000-0000-0000A3110000}"/>
    <cellStyle name="20% - Énfasis4 2 2 2 2 4 2 2" xfId="4519" xr:uid="{00000000-0005-0000-0000-0000A4110000}"/>
    <cellStyle name="20% - Énfasis4 2 2 2 2 4 2 2 2" xfId="4520" xr:uid="{00000000-0005-0000-0000-0000A5110000}"/>
    <cellStyle name="20% - Énfasis4 2 2 2 2 4 2 3" xfId="4521" xr:uid="{00000000-0005-0000-0000-0000A6110000}"/>
    <cellStyle name="20% - Énfasis4 2 2 2 2 4 2 4" xfId="4522" xr:uid="{00000000-0005-0000-0000-0000A7110000}"/>
    <cellStyle name="20% - Énfasis4 2 2 2 2 4 3" xfId="4523" xr:uid="{00000000-0005-0000-0000-0000A8110000}"/>
    <cellStyle name="20% - Énfasis4 2 2 2 2 4 3 2" xfId="4524" xr:uid="{00000000-0005-0000-0000-0000A9110000}"/>
    <cellStyle name="20% - Énfasis4 2 2 2 2 4 4" xfId="4525" xr:uid="{00000000-0005-0000-0000-0000AA110000}"/>
    <cellStyle name="20% - Énfasis4 2 2 2 2 4 5" xfId="4526" xr:uid="{00000000-0005-0000-0000-0000AB110000}"/>
    <cellStyle name="20% - Énfasis4 2 2 2 2 5" xfId="4527" xr:uid="{00000000-0005-0000-0000-0000AC110000}"/>
    <cellStyle name="20% - Énfasis4 2 2 2 2 5 2" xfId="4528" xr:uid="{00000000-0005-0000-0000-0000AD110000}"/>
    <cellStyle name="20% - Énfasis4 2 2 2 2 5 2 2" xfId="4529" xr:uid="{00000000-0005-0000-0000-0000AE110000}"/>
    <cellStyle name="20% - Énfasis4 2 2 2 2 5 3" xfId="4530" xr:uid="{00000000-0005-0000-0000-0000AF110000}"/>
    <cellStyle name="20% - Énfasis4 2 2 2 2 5 3 2" xfId="4531" xr:uid="{00000000-0005-0000-0000-0000B0110000}"/>
    <cellStyle name="20% - Énfasis4 2 2 2 2 5 4" xfId="4532" xr:uid="{00000000-0005-0000-0000-0000B1110000}"/>
    <cellStyle name="20% - Énfasis4 2 2 2 2 5 5" xfId="4533" xr:uid="{00000000-0005-0000-0000-0000B2110000}"/>
    <cellStyle name="20% - Énfasis4 2 2 2 2 6" xfId="4534" xr:uid="{00000000-0005-0000-0000-0000B3110000}"/>
    <cellStyle name="20% - Énfasis4 2 2 2 2 6 2" xfId="4535" xr:uid="{00000000-0005-0000-0000-0000B4110000}"/>
    <cellStyle name="20% - Énfasis4 2 2 2 2 7" xfId="4536" xr:uid="{00000000-0005-0000-0000-0000B5110000}"/>
    <cellStyle name="20% - Énfasis4 2 2 2 2 7 2" xfId="4537" xr:uid="{00000000-0005-0000-0000-0000B6110000}"/>
    <cellStyle name="20% - Énfasis4 2 2 2 2 8" xfId="4538" xr:uid="{00000000-0005-0000-0000-0000B7110000}"/>
    <cellStyle name="20% - Énfasis4 2 2 2 2 9" xfId="4539" xr:uid="{00000000-0005-0000-0000-0000B8110000}"/>
    <cellStyle name="20% - Énfasis4 2 2 2 3" xfId="4540" xr:uid="{00000000-0005-0000-0000-0000B9110000}"/>
    <cellStyle name="20% - Énfasis4 2 2 2 3 2" xfId="4541" xr:uid="{00000000-0005-0000-0000-0000BA110000}"/>
    <cellStyle name="20% - Énfasis4 2 2 2 3 2 2" xfId="4542" xr:uid="{00000000-0005-0000-0000-0000BB110000}"/>
    <cellStyle name="20% - Énfasis4 2 2 2 3 2 2 2" xfId="4543" xr:uid="{00000000-0005-0000-0000-0000BC110000}"/>
    <cellStyle name="20% - Énfasis4 2 2 2 3 2 2 2 2" xfId="4544" xr:uid="{00000000-0005-0000-0000-0000BD110000}"/>
    <cellStyle name="20% - Énfasis4 2 2 2 3 2 2 2 2 2" xfId="4545" xr:uid="{00000000-0005-0000-0000-0000BE110000}"/>
    <cellStyle name="20% - Énfasis4 2 2 2 3 2 2 2 3" xfId="4546" xr:uid="{00000000-0005-0000-0000-0000BF110000}"/>
    <cellStyle name="20% - Énfasis4 2 2 2 3 2 2 2 4" xfId="4547" xr:uid="{00000000-0005-0000-0000-0000C0110000}"/>
    <cellStyle name="20% - Énfasis4 2 2 2 3 2 2 3" xfId="4548" xr:uid="{00000000-0005-0000-0000-0000C1110000}"/>
    <cellStyle name="20% - Énfasis4 2 2 2 3 2 2 3 2" xfId="4549" xr:uid="{00000000-0005-0000-0000-0000C2110000}"/>
    <cellStyle name="20% - Énfasis4 2 2 2 3 2 2 4" xfId="4550" xr:uid="{00000000-0005-0000-0000-0000C3110000}"/>
    <cellStyle name="20% - Énfasis4 2 2 2 3 2 2 5" xfId="4551" xr:uid="{00000000-0005-0000-0000-0000C4110000}"/>
    <cellStyle name="20% - Énfasis4 2 2 2 3 2 3" xfId="4552" xr:uid="{00000000-0005-0000-0000-0000C5110000}"/>
    <cellStyle name="20% - Énfasis4 2 2 2 3 2 3 2" xfId="4553" xr:uid="{00000000-0005-0000-0000-0000C6110000}"/>
    <cellStyle name="20% - Énfasis4 2 2 2 3 2 3 2 2" xfId="4554" xr:uid="{00000000-0005-0000-0000-0000C7110000}"/>
    <cellStyle name="20% - Énfasis4 2 2 2 3 2 3 3" xfId="4555" xr:uid="{00000000-0005-0000-0000-0000C8110000}"/>
    <cellStyle name="20% - Énfasis4 2 2 2 3 2 3 4" xfId="4556" xr:uid="{00000000-0005-0000-0000-0000C9110000}"/>
    <cellStyle name="20% - Énfasis4 2 2 2 3 2 4" xfId="4557" xr:uid="{00000000-0005-0000-0000-0000CA110000}"/>
    <cellStyle name="20% - Énfasis4 2 2 2 3 2 4 2" xfId="4558" xr:uid="{00000000-0005-0000-0000-0000CB110000}"/>
    <cellStyle name="20% - Énfasis4 2 2 2 3 2 5" xfId="4559" xr:uid="{00000000-0005-0000-0000-0000CC110000}"/>
    <cellStyle name="20% - Énfasis4 2 2 2 3 2 6" xfId="4560" xr:uid="{00000000-0005-0000-0000-0000CD110000}"/>
    <cellStyle name="20% - Énfasis4 2 2 2 3 3" xfId="4561" xr:uid="{00000000-0005-0000-0000-0000CE110000}"/>
    <cellStyle name="20% - Énfasis4 2 2 2 3 3 2" xfId="4562" xr:uid="{00000000-0005-0000-0000-0000CF110000}"/>
    <cellStyle name="20% - Énfasis4 2 2 2 3 3 2 2" xfId="4563" xr:uid="{00000000-0005-0000-0000-0000D0110000}"/>
    <cellStyle name="20% - Énfasis4 2 2 2 3 3 2 2 2" xfId="4564" xr:uid="{00000000-0005-0000-0000-0000D1110000}"/>
    <cellStyle name="20% - Énfasis4 2 2 2 3 3 2 3" xfId="4565" xr:uid="{00000000-0005-0000-0000-0000D2110000}"/>
    <cellStyle name="20% - Énfasis4 2 2 2 3 3 2 4" xfId="4566" xr:uid="{00000000-0005-0000-0000-0000D3110000}"/>
    <cellStyle name="20% - Énfasis4 2 2 2 3 3 3" xfId="4567" xr:uid="{00000000-0005-0000-0000-0000D4110000}"/>
    <cellStyle name="20% - Énfasis4 2 2 2 3 3 3 2" xfId="4568" xr:uid="{00000000-0005-0000-0000-0000D5110000}"/>
    <cellStyle name="20% - Énfasis4 2 2 2 3 3 4" xfId="4569" xr:uid="{00000000-0005-0000-0000-0000D6110000}"/>
    <cellStyle name="20% - Énfasis4 2 2 2 3 3 5" xfId="4570" xr:uid="{00000000-0005-0000-0000-0000D7110000}"/>
    <cellStyle name="20% - Énfasis4 2 2 2 3 4" xfId="4571" xr:uid="{00000000-0005-0000-0000-0000D8110000}"/>
    <cellStyle name="20% - Énfasis4 2 2 2 3 4 2" xfId="4572" xr:uid="{00000000-0005-0000-0000-0000D9110000}"/>
    <cellStyle name="20% - Énfasis4 2 2 2 3 4 2 2" xfId="4573" xr:uid="{00000000-0005-0000-0000-0000DA110000}"/>
    <cellStyle name="20% - Énfasis4 2 2 2 3 4 3" xfId="4574" xr:uid="{00000000-0005-0000-0000-0000DB110000}"/>
    <cellStyle name="20% - Énfasis4 2 2 2 3 4 4" xfId="4575" xr:uid="{00000000-0005-0000-0000-0000DC110000}"/>
    <cellStyle name="20% - Énfasis4 2 2 2 3 5" xfId="4576" xr:uid="{00000000-0005-0000-0000-0000DD110000}"/>
    <cellStyle name="20% - Énfasis4 2 2 2 3 5 2" xfId="4577" xr:uid="{00000000-0005-0000-0000-0000DE110000}"/>
    <cellStyle name="20% - Énfasis4 2 2 2 3 6" xfId="4578" xr:uid="{00000000-0005-0000-0000-0000DF110000}"/>
    <cellStyle name="20% - Énfasis4 2 2 2 3 7" xfId="4579" xr:uid="{00000000-0005-0000-0000-0000E0110000}"/>
    <cellStyle name="20% - Énfasis4 2 2 2 4" xfId="4580" xr:uid="{00000000-0005-0000-0000-0000E1110000}"/>
    <cellStyle name="20% - Énfasis4 2 2 2 4 2" xfId="4581" xr:uid="{00000000-0005-0000-0000-0000E2110000}"/>
    <cellStyle name="20% - Énfasis4 2 2 2 4 2 2" xfId="4582" xr:uid="{00000000-0005-0000-0000-0000E3110000}"/>
    <cellStyle name="20% - Énfasis4 2 2 2 4 2 2 2" xfId="4583" xr:uid="{00000000-0005-0000-0000-0000E4110000}"/>
    <cellStyle name="20% - Énfasis4 2 2 2 4 2 2 2 2" xfId="4584" xr:uid="{00000000-0005-0000-0000-0000E5110000}"/>
    <cellStyle name="20% - Énfasis4 2 2 2 4 2 2 3" xfId="4585" xr:uid="{00000000-0005-0000-0000-0000E6110000}"/>
    <cellStyle name="20% - Énfasis4 2 2 2 4 2 2 4" xfId="4586" xr:uid="{00000000-0005-0000-0000-0000E7110000}"/>
    <cellStyle name="20% - Énfasis4 2 2 2 4 2 3" xfId="4587" xr:uid="{00000000-0005-0000-0000-0000E8110000}"/>
    <cellStyle name="20% - Énfasis4 2 2 2 4 2 3 2" xfId="4588" xr:uid="{00000000-0005-0000-0000-0000E9110000}"/>
    <cellStyle name="20% - Énfasis4 2 2 2 4 2 4" xfId="4589" xr:uid="{00000000-0005-0000-0000-0000EA110000}"/>
    <cellStyle name="20% - Énfasis4 2 2 2 4 2 5" xfId="4590" xr:uid="{00000000-0005-0000-0000-0000EB110000}"/>
    <cellStyle name="20% - Énfasis4 2 2 2 4 3" xfId="4591" xr:uid="{00000000-0005-0000-0000-0000EC110000}"/>
    <cellStyle name="20% - Énfasis4 2 2 2 4 3 2" xfId="4592" xr:uid="{00000000-0005-0000-0000-0000ED110000}"/>
    <cellStyle name="20% - Énfasis4 2 2 2 4 3 2 2" xfId="4593" xr:uid="{00000000-0005-0000-0000-0000EE110000}"/>
    <cellStyle name="20% - Énfasis4 2 2 2 4 3 3" xfId="4594" xr:uid="{00000000-0005-0000-0000-0000EF110000}"/>
    <cellStyle name="20% - Énfasis4 2 2 2 4 3 3 2" xfId="4595" xr:uid="{00000000-0005-0000-0000-0000F0110000}"/>
    <cellStyle name="20% - Énfasis4 2 2 2 4 3 4" xfId="4596" xr:uid="{00000000-0005-0000-0000-0000F1110000}"/>
    <cellStyle name="20% - Énfasis4 2 2 2 4 3 5" xfId="4597" xr:uid="{00000000-0005-0000-0000-0000F2110000}"/>
    <cellStyle name="20% - Énfasis4 2 2 2 4 4" xfId="4598" xr:uid="{00000000-0005-0000-0000-0000F3110000}"/>
    <cellStyle name="20% - Énfasis4 2 2 2 4 4 2" xfId="4599" xr:uid="{00000000-0005-0000-0000-0000F4110000}"/>
    <cellStyle name="20% - Énfasis4 2 2 2 4 5" xfId="4600" xr:uid="{00000000-0005-0000-0000-0000F5110000}"/>
    <cellStyle name="20% - Énfasis4 2 2 2 4 5 2" xfId="4601" xr:uid="{00000000-0005-0000-0000-0000F6110000}"/>
    <cellStyle name="20% - Énfasis4 2 2 2 4 6" xfId="4602" xr:uid="{00000000-0005-0000-0000-0000F7110000}"/>
    <cellStyle name="20% - Énfasis4 2 2 2 4 7" xfId="4603" xr:uid="{00000000-0005-0000-0000-0000F8110000}"/>
    <cellStyle name="20% - Énfasis4 2 2 2 5" xfId="4604" xr:uid="{00000000-0005-0000-0000-0000F9110000}"/>
    <cellStyle name="20% - Énfasis4 2 2 2 5 2" xfId="4605" xr:uid="{00000000-0005-0000-0000-0000FA110000}"/>
    <cellStyle name="20% - Énfasis4 2 2 2 5 2 2" xfId="4606" xr:uid="{00000000-0005-0000-0000-0000FB110000}"/>
    <cellStyle name="20% - Énfasis4 2 2 2 5 2 2 2" xfId="4607" xr:uid="{00000000-0005-0000-0000-0000FC110000}"/>
    <cellStyle name="20% - Énfasis4 2 2 2 5 2 3" xfId="4608" xr:uid="{00000000-0005-0000-0000-0000FD110000}"/>
    <cellStyle name="20% - Énfasis4 2 2 2 5 2 4" xfId="4609" xr:uid="{00000000-0005-0000-0000-0000FE110000}"/>
    <cellStyle name="20% - Énfasis4 2 2 2 5 3" xfId="4610" xr:uid="{00000000-0005-0000-0000-0000FF110000}"/>
    <cellStyle name="20% - Énfasis4 2 2 2 5 3 2" xfId="4611" xr:uid="{00000000-0005-0000-0000-000000120000}"/>
    <cellStyle name="20% - Énfasis4 2 2 2 5 4" xfId="4612" xr:uid="{00000000-0005-0000-0000-000001120000}"/>
    <cellStyle name="20% - Énfasis4 2 2 2 5 5" xfId="4613" xr:uid="{00000000-0005-0000-0000-000002120000}"/>
    <cellStyle name="20% - Énfasis4 2 2 2 6" xfId="4614" xr:uid="{00000000-0005-0000-0000-000003120000}"/>
    <cellStyle name="20% - Énfasis4 2 2 2 6 2" xfId="4615" xr:uid="{00000000-0005-0000-0000-000004120000}"/>
    <cellStyle name="20% - Énfasis4 2 2 2 6 2 2" xfId="4616" xr:uid="{00000000-0005-0000-0000-000005120000}"/>
    <cellStyle name="20% - Énfasis4 2 2 2 6 3" xfId="4617" xr:uid="{00000000-0005-0000-0000-000006120000}"/>
    <cellStyle name="20% - Énfasis4 2 2 2 6 3 2" xfId="4618" xr:uid="{00000000-0005-0000-0000-000007120000}"/>
    <cellStyle name="20% - Énfasis4 2 2 2 6 4" xfId="4619" xr:uid="{00000000-0005-0000-0000-000008120000}"/>
    <cellStyle name="20% - Énfasis4 2 2 2 6 5" xfId="4620" xr:uid="{00000000-0005-0000-0000-000009120000}"/>
    <cellStyle name="20% - Énfasis4 2 2 2 7" xfId="4621" xr:uid="{00000000-0005-0000-0000-00000A120000}"/>
    <cellStyle name="20% - Énfasis4 2 2 2 7 2" xfId="4622" xr:uid="{00000000-0005-0000-0000-00000B120000}"/>
    <cellStyle name="20% - Énfasis4 2 2 2 8" xfId="4623" xr:uid="{00000000-0005-0000-0000-00000C120000}"/>
    <cellStyle name="20% - Énfasis4 2 2 2 8 2" xfId="4624" xr:uid="{00000000-0005-0000-0000-00000D120000}"/>
    <cellStyle name="20% - Énfasis4 2 2 2 9" xfId="4625" xr:uid="{00000000-0005-0000-0000-00000E120000}"/>
    <cellStyle name="20% - Énfasis4 2 2 3" xfId="4626" xr:uid="{00000000-0005-0000-0000-00000F120000}"/>
    <cellStyle name="20% - Énfasis4 2 2 3 2" xfId="4627" xr:uid="{00000000-0005-0000-0000-000010120000}"/>
    <cellStyle name="20% - Énfasis4 2 2 3 2 2" xfId="4628" xr:uid="{00000000-0005-0000-0000-000011120000}"/>
    <cellStyle name="20% - Énfasis4 2 2 3 2 2 2" xfId="4629" xr:uid="{00000000-0005-0000-0000-000012120000}"/>
    <cellStyle name="20% - Énfasis4 2 2 3 2 2 2 2" xfId="4630" xr:uid="{00000000-0005-0000-0000-000013120000}"/>
    <cellStyle name="20% - Énfasis4 2 2 3 2 2 2 2 2" xfId="4631" xr:uid="{00000000-0005-0000-0000-000014120000}"/>
    <cellStyle name="20% - Énfasis4 2 2 3 2 2 2 2 2 2" xfId="4632" xr:uid="{00000000-0005-0000-0000-000015120000}"/>
    <cellStyle name="20% - Énfasis4 2 2 3 2 2 2 2 3" xfId="4633" xr:uid="{00000000-0005-0000-0000-000016120000}"/>
    <cellStyle name="20% - Énfasis4 2 2 3 2 2 2 2 4" xfId="4634" xr:uid="{00000000-0005-0000-0000-000017120000}"/>
    <cellStyle name="20% - Énfasis4 2 2 3 2 2 2 3" xfId="4635" xr:uid="{00000000-0005-0000-0000-000018120000}"/>
    <cellStyle name="20% - Énfasis4 2 2 3 2 2 2 3 2" xfId="4636" xr:uid="{00000000-0005-0000-0000-000019120000}"/>
    <cellStyle name="20% - Énfasis4 2 2 3 2 2 2 4" xfId="4637" xr:uid="{00000000-0005-0000-0000-00001A120000}"/>
    <cellStyle name="20% - Énfasis4 2 2 3 2 2 2 5" xfId="4638" xr:uid="{00000000-0005-0000-0000-00001B120000}"/>
    <cellStyle name="20% - Énfasis4 2 2 3 2 2 3" xfId="4639" xr:uid="{00000000-0005-0000-0000-00001C120000}"/>
    <cellStyle name="20% - Énfasis4 2 2 3 2 2 3 2" xfId="4640" xr:uid="{00000000-0005-0000-0000-00001D120000}"/>
    <cellStyle name="20% - Énfasis4 2 2 3 2 2 3 2 2" xfId="4641" xr:uid="{00000000-0005-0000-0000-00001E120000}"/>
    <cellStyle name="20% - Énfasis4 2 2 3 2 2 3 3" xfId="4642" xr:uid="{00000000-0005-0000-0000-00001F120000}"/>
    <cellStyle name="20% - Énfasis4 2 2 3 2 2 3 4" xfId="4643" xr:uid="{00000000-0005-0000-0000-000020120000}"/>
    <cellStyle name="20% - Énfasis4 2 2 3 2 2 4" xfId="4644" xr:uid="{00000000-0005-0000-0000-000021120000}"/>
    <cellStyle name="20% - Énfasis4 2 2 3 2 2 4 2" xfId="4645" xr:uid="{00000000-0005-0000-0000-000022120000}"/>
    <cellStyle name="20% - Énfasis4 2 2 3 2 2 5" xfId="4646" xr:uid="{00000000-0005-0000-0000-000023120000}"/>
    <cellStyle name="20% - Énfasis4 2 2 3 2 2 6" xfId="4647" xr:uid="{00000000-0005-0000-0000-000024120000}"/>
    <cellStyle name="20% - Énfasis4 2 2 3 2 3" xfId="4648" xr:uid="{00000000-0005-0000-0000-000025120000}"/>
    <cellStyle name="20% - Énfasis4 2 2 3 2 3 2" xfId="4649" xr:uid="{00000000-0005-0000-0000-000026120000}"/>
    <cellStyle name="20% - Énfasis4 2 2 3 2 3 2 2" xfId="4650" xr:uid="{00000000-0005-0000-0000-000027120000}"/>
    <cellStyle name="20% - Énfasis4 2 2 3 2 3 2 2 2" xfId="4651" xr:uid="{00000000-0005-0000-0000-000028120000}"/>
    <cellStyle name="20% - Énfasis4 2 2 3 2 3 2 3" xfId="4652" xr:uid="{00000000-0005-0000-0000-000029120000}"/>
    <cellStyle name="20% - Énfasis4 2 2 3 2 3 2 4" xfId="4653" xr:uid="{00000000-0005-0000-0000-00002A120000}"/>
    <cellStyle name="20% - Énfasis4 2 2 3 2 3 3" xfId="4654" xr:uid="{00000000-0005-0000-0000-00002B120000}"/>
    <cellStyle name="20% - Énfasis4 2 2 3 2 3 3 2" xfId="4655" xr:uid="{00000000-0005-0000-0000-00002C120000}"/>
    <cellStyle name="20% - Énfasis4 2 2 3 2 3 4" xfId="4656" xr:uid="{00000000-0005-0000-0000-00002D120000}"/>
    <cellStyle name="20% - Énfasis4 2 2 3 2 3 5" xfId="4657" xr:uid="{00000000-0005-0000-0000-00002E120000}"/>
    <cellStyle name="20% - Énfasis4 2 2 3 2 4" xfId="4658" xr:uid="{00000000-0005-0000-0000-00002F120000}"/>
    <cellStyle name="20% - Énfasis4 2 2 3 2 4 2" xfId="4659" xr:uid="{00000000-0005-0000-0000-000030120000}"/>
    <cellStyle name="20% - Énfasis4 2 2 3 2 4 2 2" xfId="4660" xr:uid="{00000000-0005-0000-0000-000031120000}"/>
    <cellStyle name="20% - Énfasis4 2 2 3 2 4 3" xfId="4661" xr:uid="{00000000-0005-0000-0000-000032120000}"/>
    <cellStyle name="20% - Énfasis4 2 2 3 2 4 4" xfId="4662" xr:uid="{00000000-0005-0000-0000-000033120000}"/>
    <cellStyle name="20% - Énfasis4 2 2 3 2 5" xfId="4663" xr:uid="{00000000-0005-0000-0000-000034120000}"/>
    <cellStyle name="20% - Énfasis4 2 2 3 2 5 2" xfId="4664" xr:uid="{00000000-0005-0000-0000-000035120000}"/>
    <cellStyle name="20% - Énfasis4 2 2 3 2 6" xfId="4665" xr:uid="{00000000-0005-0000-0000-000036120000}"/>
    <cellStyle name="20% - Énfasis4 2 2 3 2 7" xfId="4666" xr:uid="{00000000-0005-0000-0000-000037120000}"/>
    <cellStyle name="20% - Énfasis4 2 2 3 3" xfId="4667" xr:uid="{00000000-0005-0000-0000-000038120000}"/>
    <cellStyle name="20% - Énfasis4 2 2 3 3 2" xfId="4668" xr:uid="{00000000-0005-0000-0000-000039120000}"/>
    <cellStyle name="20% - Énfasis4 2 2 3 3 2 2" xfId="4669" xr:uid="{00000000-0005-0000-0000-00003A120000}"/>
    <cellStyle name="20% - Énfasis4 2 2 3 3 2 2 2" xfId="4670" xr:uid="{00000000-0005-0000-0000-00003B120000}"/>
    <cellStyle name="20% - Énfasis4 2 2 3 3 2 2 2 2" xfId="4671" xr:uid="{00000000-0005-0000-0000-00003C120000}"/>
    <cellStyle name="20% - Énfasis4 2 2 3 3 2 2 3" xfId="4672" xr:uid="{00000000-0005-0000-0000-00003D120000}"/>
    <cellStyle name="20% - Énfasis4 2 2 3 3 2 2 4" xfId="4673" xr:uid="{00000000-0005-0000-0000-00003E120000}"/>
    <cellStyle name="20% - Énfasis4 2 2 3 3 2 3" xfId="4674" xr:uid="{00000000-0005-0000-0000-00003F120000}"/>
    <cellStyle name="20% - Énfasis4 2 2 3 3 2 3 2" xfId="4675" xr:uid="{00000000-0005-0000-0000-000040120000}"/>
    <cellStyle name="20% - Énfasis4 2 2 3 3 2 4" xfId="4676" xr:uid="{00000000-0005-0000-0000-000041120000}"/>
    <cellStyle name="20% - Énfasis4 2 2 3 3 2 5" xfId="4677" xr:uid="{00000000-0005-0000-0000-000042120000}"/>
    <cellStyle name="20% - Énfasis4 2 2 3 3 3" xfId="4678" xr:uid="{00000000-0005-0000-0000-000043120000}"/>
    <cellStyle name="20% - Énfasis4 2 2 3 3 3 2" xfId="4679" xr:uid="{00000000-0005-0000-0000-000044120000}"/>
    <cellStyle name="20% - Énfasis4 2 2 3 3 3 2 2" xfId="4680" xr:uid="{00000000-0005-0000-0000-000045120000}"/>
    <cellStyle name="20% - Énfasis4 2 2 3 3 3 3" xfId="4681" xr:uid="{00000000-0005-0000-0000-000046120000}"/>
    <cellStyle name="20% - Énfasis4 2 2 3 3 3 3 2" xfId="4682" xr:uid="{00000000-0005-0000-0000-000047120000}"/>
    <cellStyle name="20% - Énfasis4 2 2 3 3 3 4" xfId="4683" xr:uid="{00000000-0005-0000-0000-000048120000}"/>
    <cellStyle name="20% - Énfasis4 2 2 3 3 3 5" xfId="4684" xr:uid="{00000000-0005-0000-0000-000049120000}"/>
    <cellStyle name="20% - Énfasis4 2 2 3 3 4" xfId="4685" xr:uid="{00000000-0005-0000-0000-00004A120000}"/>
    <cellStyle name="20% - Énfasis4 2 2 3 3 4 2" xfId="4686" xr:uid="{00000000-0005-0000-0000-00004B120000}"/>
    <cellStyle name="20% - Énfasis4 2 2 3 3 5" xfId="4687" xr:uid="{00000000-0005-0000-0000-00004C120000}"/>
    <cellStyle name="20% - Énfasis4 2 2 3 3 5 2" xfId="4688" xr:uid="{00000000-0005-0000-0000-00004D120000}"/>
    <cellStyle name="20% - Énfasis4 2 2 3 3 6" xfId="4689" xr:uid="{00000000-0005-0000-0000-00004E120000}"/>
    <cellStyle name="20% - Énfasis4 2 2 3 3 7" xfId="4690" xr:uid="{00000000-0005-0000-0000-00004F120000}"/>
    <cellStyle name="20% - Énfasis4 2 2 3 4" xfId="4691" xr:uid="{00000000-0005-0000-0000-000050120000}"/>
    <cellStyle name="20% - Énfasis4 2 2 3 4 2" xfId="4692" xr:uid="{00000000-0005-0000-0000-000051120000}"/>
    <cellStyle name="20% - Énfasis4 2 2 3 4 2 2" xfId="4693" xr:uid="{00000000-0005-0000-0000-000052120000}"/>
    <cellStyle name="20% - Énfasis4 2 2 3 4 2 2 2" xfId="4694" xr:uid="{00000000-0005-0000-0000-000053120000}"/>
    <cellStyle name="20% - Énfasis4 2 2 3 4 2 3" xfId="4695" xr:uid="{00000000-0005-0000-0000-000054120000}"/>
    <cellStyle name="20% - Énfasis4 2 2 3 4 2 4" xfId="4696" xr:uid="{00000000-0005-0000-0000-000055120000}"/>
    <cellStyle name="20% - Énfasis4 2 2 3 4 3" xfId="4697" xr:uid="{00000000-0005-0000-0000-000056120000}"/>
    <cellStyle name="20% - Énfasis4 2 2 3 4 3 2" xfId="4698" xr:uid="{00000000-0005-0000-0000-000057120000}"/>
    <cellStyle name="20% - Énfasis4 2 2 3 4 4" xfId="4699" xr:uid="{00000000-0005-0000-0000-000058120000}"/>
    <cellStyle name="20% - Énfasis4 2 2 3 4 5" xfId="4700" xr:uid="{00000000-0005-0000-0000-000059120000}"/>
    <cellStyle name="20% - Énfasis4 2 2 3 5" xfId="4701" xr:uid="{00000000-0005-0000-0000-00005A120000}"/>
    <cellStyle name="20% - Énfasis4 2 2 3 5 2" xfId="4702" xr:uid="{00000000-0005-0000-0000-00005B120000}"/>
    <cellStyle name="20% - Énfasis4 2 2 3 5 2 2" xfId="4703" xr:uid="{00000000-0005-0000-0000-00005C120000}"/>
    <cellStyle name="20% - Énfasis4 2 2 3 5 3" xfId="4704" xr:uid="{00000000-0005-0000-0000-00005D120000}"/>
    <cellStyle name="20% - Énfasis4 2 2 3 5 3 2" xfId="4705" xr:uid="{00000000-0005-0000-0000-00005E120000}"/>
    <cellStyle name="20% - Énfasis4 2 2 3 5 4" xfId="4706" xr:uid="{00000000-0005-0000-0000-00005F120000}"/>
    <cellStyle name="20% - Énfasis4 2 2 3 5 5" xfId="4707" xr:uid="{00000000-0005-0000-0000-000060120000}"/>
    <cellStyle name="20% - Énfasis4 2 2 3 6" xfId="4708" xr:uid="{00000000-0005-0000-0000-000061120000}"/>
    <cellStyle name="20% - Énfasis4 2 2 3 6 2" xfId="4709" xr:uid="{00000000-0005-0000-0000-000062120000}"/>
    <cellStyle name="20% - Énfasis4 2 2 3 7" xfId="4710" xr:uid="{00000000-0005-0000-0000-000063120000}"/>
    <cellStyle name="20% - Énfasis4 2 2 3 7 2" xfId="4711" xr:uid="{00000000-0005-0000-0000-000064120000}"/>
    <cellStyle name="20% - Énfasis4 2 2 3 8" xfId="4712" xr:uid="{00000000-0005-0000-0000-000065120000}"/>
    <cellStyle name="20% - Énfasis4 2 2 3 9" xfId="4713" xr:uid="{00000000-0005-0000-0000-000066120000}"/>
    <cellStyle name="20% - Énfasis4 2 2 4" xfId="4714" xr:uid="{00000000-0005-0000-0000-000067120000}"/>
    <cellStyle name="20% - Énfasis4 2 2 4 2" xfId="4715" xr:uid="{00000000-0005-0000-0000-000068120000}"/>
    <cellStyle name="20% - Énfasis4 2 2 4 2 2" xfId="4716" xr:uid="{00000000-0005-0000-0000-000069120000}"/>
    <cellStyle name="20% - Énfasis4 2 2 4 2 2 2" xfId="4717" xr:uid="{00000000-0005-0000-0000-00006A120000}"/>
    <cellStyle name="20% - Énfasis4 2 2 4 2 2 2 2" xfId="4718" xr:uid="{00000000-0005-0000-0000-00006B120000}"/>
    <cellStyle name="20% - Énfasis4 2 2 4 2 2 2 2 2" xfId="4719" xr:uid="{00000000-0005-0000-0000-00006C120000}"/>
    <cellStyle name="20% - Énfasis4 2 2 4 2 2 2 3" xfId="4720" xr:uid="{00000000-0005-0000-0000-00006D120000}"/>
    <cellStyle name="20% - Énfasis4 2 2 4 2 2 2 4" xfId="4721" xr:uid="{00000000-0005-0000-0000-00006E120000}"/>
    <cellStyle name="20% - Énfasis4 2 2 4 2 2 3" xfId="4722" xr:uid="{00000000-0005-0000-0000-00006F120000}"/>
    <cellStyle name="20% - Énfasis4 2 2 4 2 2 3 2" xfId="4723" xr:uid="{00000000-0005-0000-0000-000070120000}"/>
    <cellStyle name="20% - Énfasis4 2 2 4 2 2 4" xfId="4724" xr:uid="{00000000-0005-0000-0000-000071120000}"/>
    <cellStyle name="20% - Énfasis4 2 2 4 2 2 5" xfId="4725" xr:uid="{00000000-0005-0000-0000-000072120000}"/>
    <cellStyle name="20% - Énfasis4 2 2 4 2 3" xfId="4726" xr:uid="{00000000-0005-0000-0000-000073120000}"/>
    <cellStyle name="20% - Énfasis4 2 2 4 2 3 2" xfId="4727" xr:uid="{00000000-0005-0000-0000-000074120000}"/>
    <cellStyle name="20% - Énfasis4 2 2 4 2 3 2 2" xfId="4728" xr:uid="{00000000-0005-0000-0000-000075120000}"/>
    <cellStyle name="20% - Énfasis4 2 2 4 2 3 3" xfId="4729" xr:uid="{00000000-0005-0000-0000-000076120000}"/>
    <cellStyle name="20% - Énfasis4 2 2 4 2 3 3 2" xfId="4730" xr:uid="{00000000-0005-0000-0000-000077120000}"/>
    <cellStyle name="20% - Énfasis4 2 2 4 2 3 4" xfId="4731" xr:uid="{00000000-0005-0000-0000-000078120000}"/>
    <cellStyle name="20% - Énfasis4 2 2 4 2 3 5" xfId="4732" xr:uid="{00000000-0005-0000-0000-000079120000}"/>
    <cellStyle name="20% - Énfasis4 2 2 4 2 4" xfId="4733" xr:uid="{00000000-0005-0000-0000-00007A120000}"/>
    <cellStyle name="20% - Énfasis4 2 2 4 2 4 2" xfId="4734" xr:uid="{00000000-0005-0000-0000-00007B120000}"/>
    <cellStyle name="20% - Énfasis4 2 2 4 2 5" xfId="4735" xr:uid="{00000000-0005-0000-0000-00007C120000}"/>
    <cellStyle name="20% - Énfasis4 2 2 4 2 5 2" xfId="4736" xr:uid="{00000000-0005-0000-0000-00007D120000}"/>
    <cellStyle name="20% - Énfasis4 2 2 4 2 6" xfId="4737" xr:uid="{00000000-0005-0000-0000-00007E120000}"/>
    <cellStyle name="20% - Énfasis4 2 2 4 2 7" xfId="4738" xr:uid="{00000000-0005-0000-0000-00007F120000}"/>
    <cellStyle name="20% - Énfasis4 2 2 4 3" xfId="4739" xr:uid="{00000000-0005-0000-0000-000080120000}"/>
    <cellStyle name="20% - Énfasis4 2 2 4 3 2" xfId="4740" xr:uid="{00000000-0005-0000-0000-000081120000}"/>
    <cellStyle name="20% - Énfasis4 2 2 4 3 2 2" xfId="4741" xr:uid="{00000000-0005-0000-0000-000082120000}"/>
    <cellStyle name="20% - Énfasis4 2 2 4 3 2 2 2" xfId="4742" xr:uid="{00000000-0005-0000-0000-000083120000}"/>
    <cellStyle name="20% - Énfasis4 2 2 4 3 2 3" xfId="4743" xr:uid="{00000000-0005-0000-0000-000084120000}"/>
    <cellStyle name="20% - Énfasis4 2 2 4 3 2 4" xfId="4744" xr:uid="{00000000-0005-0000-0000-000085120000}"/>
    <cellStyle name="20% - Énfasis4 2 2 4 3 3" xfId="4745" xr:uid="{00000000-0005-0000-0000-000086120000}"/>
    <cellStyle name="20% - Énfasis4 2 2 4 3 3 2" xfId="4746" xr:uid="{00000000-0005-0000-0000-000087120000}"/>
    <cellStyle name="20% - Énfasis4 2 2 4 3 4" xfId="4747" xr:uid="{00000000-0005-0000-0000-000088120000}"/>
    <cellStyle name="20% - Énfasis4 2 2 4 3 5" xfId="4748" xr:uid="{00000000-0005-0000-0000-000089120000}"/>
    <cellStyle name="20% - Énfasis4 2 2 4 4" xfId="4749" xr:uid="{00000000-0005-0000-0000-00008A120000}"/>
    <cellStyle name="20% - Énfasis4 2 2 4 4 2" xfId="4750" xr:uid="{00000000-0005-0000-0000-00008B120000}"/>
    <cellStyle name="20% - Énfasis4 2 2 4 4 2 2" xfId="4751" xr:uid="{00000000-0005-0000-0000-00008C120000}"/>
    <cellStyle name="20% - Énfasis4 2 2 4 4 3" xfId="4752" xr:uid="{00000000-0005-0000-0000-00008D120000}"/>
    <cellStyle name="20% - Énfasis4 2 2 4 4 3 2" xfId="4753" xr:uid="{00000000-0005-0000-0000-00008E120000}"/>
    <cellStyle name="20% - Énfasis4 2 2 4 4 4" xfId="4754" xr:uid="{00000000-0005-0000-0000-00008F120000}"/>
    <cellStyle name="20% - Énfasis4 2 2 4 4 5" xfId="4755" xr:uid="{00000000-0005-0000-0000-000090120000}"/>
    <cellStyle name="20% - Énfasis4 2 2 4 5" xfId="4756" xr:uid="{00000000-0005-0000-0000-000091120000}"/>
    <cellStyle name="20% - Énfasis4 2 2 4 5 2" xfId="4757" xr:uid="{00000000-0005-0000-0000-000092120000}"/>
    <cellStyle name="20% - Énfasis4 2 2 4 6" xfId="4758" xr:uid="{00000000-0005-0000-0000-000093120000}"/>
    <cellStyle name="20% - Énfasis4 2 2 4 6 2" xfId="4759" xr:uid="{00000000-0005-0000-0000-000094120000}"/>
    <cellStyle name="20% - Énfasis4 2 2 4 7" xfId="4760" xr:uid="{00000000-0005-0000-0000-000095120000}"/>
    <cellStyle name="20% - Énfasis4 2 2 4 8" xfId="4761" xr:uid="{00000000-0005-0000-0000-000096120000}"/>
    <cellStyle name="20% - Énfasis4 2 2 5" xfId="4762" xr:uid="{00000000-0005-0000-0000-000097120000}"/>
    <cellStyle name="20% - Énfasis4 2 2 5 2" xfId="4763" xr:uid="{00000000-0005-0000-0000-000098120000}"/>
    <cellStyle name="20% - Énfasis4 2 2 5 2 2" xfId="4764" xr:uid="{00000000-0005-0000-0000-000099120000}"/>
    <cellStyle name="20% - Énfasis4 2 2 5 2 2 2" xfId="4765" xr:uid="{00000000-0005-0000-0000-00009A120000}"/>
    <cellStyle name="20% - Énfasis4 2 2 5 2 2 2 2" xfId="4766" xr:uid="{00000000-0005-0000-0000-00009B120000}"/>
    <cellStyle name="20% - Énfasis4 2 2 5 2 2 3" xfId="4767" xr:uid="{00000000-0005-0000-0000-00009C120000}"/>
    <cellStyle name="20% - Énfasis4 2 2 5 2 2 4" xfId="4768" xr:uid="{00000000-0005-0000-0000-00009D120000}"/>
    <cellStyle name="20% - Énfasis4 2 2 5 2 3" xfId="4769" xr:uid="{00000000-0005-0000-0000-00009E120000}"/>
    <cellStyle name="20% - Énfasis4 2 2 5 2 3 2" xfId="4770" xr:uid="{00000000-0005-0000-0000-00009F120000}"/>
    <cellStyle name="20% - Énfasis4 2 2 5 2 4" xfId="4771" xr:uid="{00000000-0005-0000-0000-0000A0120000}"/>
    <cellStyle name="20% - Énfasis4 2 2 5 2 5" xfId="4772" xr:uid="{00000000-0005-0000-0000-0000A1120000}"/>
    <cellStyle name="20% - Énfasis4 2 2 5 3" xfId="4773" xr:uid="{00000000-0005-0000-0000-0000A2120000}"/>
    <cellStyle name="20% - Énfasis4 2 2 5 3 2" xfId="4774" xr:uid="{00000000-0005-0000-0000-0000A3120000}"/>
    <cellStyle name="20% - Énfasis4 2 2 5 3 3" xfId="4775" xr:uid="{00000000-0005-0000-0000-0000A4120000}"/>
    <cellStyle name="20% - Énfasis4 2 2 5 4" xfId="4776" xr:uid="{00000000-0005-0000-0000-0000A5120000}"/>
    <cellStyle name="20% - Énfasis4 2 2 5 4 2" xfId="4777" xr:uid="{00000000-0005-0000-0000-0000A6120000}"/>
    <cellStyle name="20% - Énfasis4 2 2 5 5" xfId="4778" xr:uid="{00000000-0005-0000-0000-0000A7120000}"/>
    <cellStyle name="20% - Énfasis4 2 2 6" xfId="4779" xr:uid="{00000000-0005-0000-0000-0000A8120000}"/>
    <cellStyle name="20% - Énfasis4 2 2 6 2" xfId="4780" xr:uid="{00000000-0005-0000-0000-0000A9120000}"/>
    <cellStyle name="20% - Énfasis4 2 2 6 2 2" xfId="4781" xr:uid="{00000000-0005-0000-0000-0000AA120000}"/>
    <cellStyle name="20% - Énfasis4 2 2 6 2 2 2" xfId="4782" xr:uid="{00000000-0005-0000-0000-0000AB120000}"/>
    <cellStyle name="20% - Énfasis4 2 2 6 2 3" xfId="4783" xr:uid="{00000000-0005-0000-0000-0000AC120000}"/>
    <cellStyle name="20% - Énfasis4 2 2 6 2 3 2" xfId="4784" xr:uid="{00000000-0005-0000-0000-0000AD120000}"/>
    <cellStyle name="20% - Énfasis4 2 2 6 2 4" xfId="4785" xr:uid="{00000000-0005-0000-0000-0000AE120000}"/>
    <cellStyle name="20% - Énfasis4 2 2 6 2 5" xfId="4786" xr:uid="{00000000-0005-0000-0000-0000AF120000}"/>
    <cellStyle name="20% - Énfasis4 2 2 6 3" xfId="4787" xr:uid="{00000000-0005-0000-0000-0000B0120000}"/>
    <cellStyle name="20% - Énfasis4 2 2 6 3 2" xfId="4788" xr:uid="{00000000-0005-0000-0000-0000B1120000}"/>
    <cellStyle name="20% - Énfasis4 2 2 6 4" xfId="4789" xr:uid="{00000000-0005-0000-0000-0000B2120000}"/>
    <cellStyle name="20% - Énfasis4 2 2 6 4 2" xfId="4790" xr:uid="{00000000-0005-0000-0000-0000B3120000}"/>
    <cellStyle name="20% - Énfasis4 2 2 6 5" xfId="4791" xr:uid="{00000000-0005-0000-0000-0000B4120000}"/>
    <cellStyle name="20% - Énfasis4 2 2 6 6" xfId="4792" xr:uid="{00000000-0005-0000-0000-0000B5120000}"/>
    <cellStyle name="20% - Énfasis4 2 2 7" xfId="4793" xr:uid="{00000000-0005-0000-0000-0000B6120000}"/>
    <cellStyle name="20% - Énfasis4 2 2 7 2" xfId="4794" xr:uid="{00000000-0005-0000-0000-0000B7120000}"/>
    <cellStyle name="20% - Énfasis4 2 2 7 2 2" xfId="4795" xr:uid="{00000000-0005-0000-0000-0000B8120000}"/>
    <cellStyle name="20% - Énfasis4 2 2 7 3" xfId="4796" xr:uid="{00000000-0005-0000-0000-0000B9120000}"/>
    <cellStyle name="20% - Énfasis4 2 2 7 3 2" xfId="4797" xr:uid="{00000000-0005-0000-0000-0000BA120000}"/>
    <cellStyle name="20% - Énfasis4 2 2 7 4" xfId="4798" xr:uid="{00000000-0005-0000-0000-0000BB120000}"/>
    <cellStyle name="20% - Énfasis4 2 2 7 5" xfId="4799" xr:uid="{00000000-0005-0000-0000-0000BC120000}"/>
    <cellStyle name="20% - Énfasis4 2 2 8" xfId="4800" xr:uid="{00000000-0005-0000-0000-0000BD120000}"/>
    <cellStyle name="20% - Énfasis4 2 2 8 2" xfId="4801" xr:uid="{00000000-0005-0000-0000-0000BE120000}"/>
    <cellStyle name="20% - Énfasis4 2 2 8 2 2" xfId="4802" xr:uid="{00000000-0005-0000-0000-0000BF120000}"/>
    <cellStyle name="20% - Énfasis4 2 2 8 3" xfId="4803" xr:uid="{00000000-0005-0000-0000-0000C0120000}"/>
    <cellStyle name="20% - Énfasis4 2 2 9" xfId="4804" xr:uid="{00000000-0005-0000-0000-0000C1120000}"/>
    <cellStyle name="20% - Énfasis4 2 2 9 2" xfId="4805" xr:uid="{00000000-0005-0000-0000-0000C2120000}"/>
    <cellStyle name="20% - Énfasis4 2 3" xfId="4806" xr:uid="{00000000-0005-0000-0000-0000C3120000}"/>
    <cellStyle name="20% - Énfasis4 2 3 10" xfId="4807" xr:uid="{00000000-0005-0000-0000-0000C4120000}"/>
    <cellStyle name="20% - Énfasis4 2 3 2" xfId="4808" xr:uid="{00000000-0005-0000-0000-0000C5120000}"/>
    <cellStyle name="20% - Énfasis4 2 3 2 2" xfId="4809" xr:uid="{00000000-0005-0000-0000-0000C6120000}"/>
    <cellStyle name="20% - Énfasis4 2 3 2 2 2" xfId="4810" xr:uid="{00000000-0005-0000-0000-0000C7120000}"/>
    <cellStyle name="20% - Énfasis4 2 3 2 2 2 2" xfId="4811" xr:uid="{00000000-0005-0000-0000-0000C8120000}"/>
    <cellStyle name="20% - Énfasis4 2 3 2 2 2 2 2" xfId="4812" xr:uid="{00000000-0005-0000-0000-0000C9120000}"/>
    <cellStyle name="20% - Énfasis4 2 3 2 2 2 2 2 2" xfId="4813" xr:uid="{00000000-0005-0000-0000-0000CA120000}"/>
    <cellStyle name="20% - Énfasis4 2 3 2 2 2 2 2 2 2" xfId="4814" xr:uid="{00000000-0005-0000-0000-0000CB120000}"/>
    <cellStyle name="20% - Énfasis4 2 3 2 2 2 2 2 3" xfId="4815" xr:uid="{00000000-0005-0000-0000-0000CC120000}"/>
    <cellStyle name="20% - Énfasis4 2 3 2 2 2 2 2 4" xfId="4816" xr:uid="{00000000-0005-0000-0000-0000CD120000}"/>
    <cellStyle name="20% - Énfasis4 2 3 2 2 2 2 3" xfId="4817" xr:uid="{00000000-0005-0000-0000-0000CE120000}"/>
    <cellStyle name="20% - Énfasis4 2 3 2 2 2 2 3 2" xfId="4818" xr:uid="{00000000-0005-0000-0000-0000CF120000}"/>
    <cellStyle name="20% - Énfasis4 2 3 2 2 2 2 4" xfId="4819" xr:uid="{00000000-0005-0000-0000-0000D0120000}"/>
    <cellStyle name="20% - Énfasis4 2 3 2 2 2 2 5" xfId="4820" xr:uid="{00000000-0005-0000-0000-0000D1120000}"/>
    <cellStyle name="20% - Énfasis4 2 3 2 2 2 3" xfId="4821" xr:uid="{00000000-0005-0000-0000-0000D2120000}"/>
    <cellStyle name="20% - Énfasis4 2 3 2 2 2 3 2" xfId="4822" xr:uid="{00000000-0005-0000-0000-0000D3120000}"/>
    <cellStyle name="20% - Énfasis4 2 3 2 2 2 3 2 2" xfId="4823" xr:uid="{00000000-0005-0000-0000-0000D4120000}"/>
    <cellStyle name="20% - Énfasis4 2 3 2 2 2 3 3" xfId="4824" xr:uid="{00000000-0005-0000-0000-0000D5120000}"/>
    <cellStyle name="20% - Énfasis4 2 3 2 2 2 3 4" xfId="4825" xr:uid="{00000000-0005-0000-0000-0000D6120000}"/>
    <cellStyle name="20% - Énfasis4 2 3 2 2 2 4" xfId="4826" xr:uid="{00000000-0005-0000-0000-0000D7120000}"/>
    <cellStyle name="20% - Énfasis4 2 3 2 2 2 4 2" xfId="4827" xr:uid="{00000000-0005-0000-0000-0000D8120000}"/>
    <cellStyle name="20% - Énfasis4 2 3 2 2 2 5" xfId="4828" xr:uid="{00000000-0005-0000-0000-0000D9120000}"/>
    <cellStyle name="20% - Énfasis4 2 3 2 2 2 6" xfId="4829" xr:uid="{00000000-0005-0000-0000-0000DA120000}"/>
    <cellStyle name="20% - Énfasis4 2 3 2 2 3" xfId="4830" xr:uid="{00000000-0005-0000-0000-0000DB120000}"/>
    <cellStyle name="20% - Énfasis4 2 3 2 2 3 2" xfId="4831" xr:uid="{00000000-0005-0000-0000-0000DC120000}"/>
    <cellStyle name="20% - Énfasis4 2 3 2 2 3 2 2" xfId="4832" xr:uid="{00000000-0005-0000-0000-0000DD120000}"/>
    <cellStyle name="20% - Énfasis4 2 3 2 2 3 2 2 2" xfId="4833" xr:uid="{00000000-0005-0000-0000-0000DE120000}"/>
    <cellStyle name="20% - Énfasis4 2 3 2 2 3 2 3" xfId="4834" xr:uid="{00000000-0005-0000-0000-0000DF120000}"/>
    <cellStyle name="20% - Énfasis4 2 3 2 2 3 2 4" xfId="4835" xr:uid="{00000000-0005-0000-0000-0000E0120000}"/>
    <cellStyle name="20% - Énfasis4 2 3 2 2 3 3" xfId="4836" xr:uid="{00000000-0005-0000-0000-0000E1120000}"/>
    <cellStyle name="20% - Énfasis4 2 3 2 2 3 3 2" xfId="4837" xr:uid="{00000000-0005-0000-0000-0000E2120000}"/>
    <cellStyle name="20% - Énfasis4 2 3 2 2 3 4" xfId="4838" xr:uid="{00000000-0005-0000-0000-0000E3120000}"/>
    <cellStyle name="20% - Énfasis4 2 3 2 2 3 5" xfId="4839" xr:uid="{00000000-0005-0000-0000-0000E4120000}"/>
    <cellStyle name="20% - Énfasis4 2 3 2 2 4" xfId="4840" xr:uid="{00000000-0005-0000-0000-0000E5120000}"/>
    <cellStyle name="20% - Énfasis4 2 3 2 2 4 2" xfId="4841" xr:uid="{00000000-0005-0000-0000-0000E6120000}"/>
    <cellStyle name="20% - Énfasis4 2 3 2 2 4 2 2" xfId="4842" xr:uid="{00000000-0005-0000-0000-0000E7120000}"/>
    <cellStyle name="20% - Énfasis4 2 3 2 2 4 3" xfId="4843" xr:uid="{00000000-0005-0000-0000-0000E8120000}"/>
    <cellStyle name="20% - Énfasis4 2 3 2 2 4 4" xfId="4844" xr:uid="{00000000-0005-0000-0000-0000E9120000}"/>
    <cellStyle name="20% - Énfasis4 2 3 2 2 5" xfId="4845" xr:uid="{00000000-0005-0000-0000-0000EA120000}"/>
    <cellStyle name="20% - Énfasis4 2 3 2 2 5 2" xfId="4846" xr:uid="{00000000-0005-0000-0000-0000EB120000}"/>
    <cellStyle name="20% - Énfasis4 2 3 2 2 6" xfId="4847" xr:uid="{00000000-0005-0000-0000-0000EC120000}"/>
    <cellStyle name="20% - Énfasis4 2 3 2 2 7" xfId="4848" xr:uid="{00000000-0005-0000-0000-0000ED120000}"/>
    <cellStyle name="20% - Énfasis4 2 3 2 3" xfId="4849" xr:uid="{00000000-0005-0000-0000-0000EE120000}"/>
    <cellStyle name="20% - Énfasis4 2 3 2 3 2" xfId="4850" xr:uid="{00000000-0005-0000-0000-0000EF120000}"/>
    <cellStyle name="20% - Énfasis4 2 3 2 3 2 2" xfId="4851" xr:uid="{00000000-0005-0000-0000-0000F0120000}"/>
    <cellStyle name="20% - Énfasis4 2 3 2 3 2 2 2" xfId="4852" xr:uid="{00000000-0005-0000-0000-0000F1120000}"/>
    <cellStyle name="20% - Énfasis4 2 3 2 3 2 2 2 2" xfId="4853" xr:uid="{00000000-0005-0000-0000-0000F2120000}"/>
    <cellStyle name="20% - Énfasis4 2 3 2 3 2 2 3" xfId="4854" xr:uid="{00000000-0005-0000-0000-0000F3120000}"/>
    <cellStyle name="20% - Énfasis4 2 3 2 3 2 2 4" xfId="4855" xr:uid="{00000000-0005-0000-0000-0000F4120000}"/>
    <cellStyle name="20% - Énfasis4 2 3 2 3 2 3" xfId="4856" xr:uid="{00000000-0005-0000-0000-0000F5120000}"/>
    <cellStyle name="20% - Énfasis4 2 3 2 3 2 3 2" xfId="4857" xr:uid="{00000000-0005-0000-0000-0000F6120000}"/>
    <cellStyle name="20% - Énfasis4 2 3 2 3 2 4" xfId="4858" xr:uid="{00000000-0005-0000-0000-0000F7120000}"/>
    <cellStyle name="20% - Énfasis4 2 3 2 3 2 5" xfId="4859" xr:uid="{00000000-0005-0000-0000-0000F8120000}"/>
    <cellStyle name="20% - Énfasis4 2 3 2 3 3" xfId="4860" xr:uid="{00000000-0005-0000-0000-0000F9120000}"/>
    <cellStyle name="20% - Énfasis4 2 3 2 3 3 2" xfId="4861" xr:uid="{00000000-0005-0000-0000-0000FA120000}"/>
    <cellStyle name="20% - Énfasis4 2 3 2 3 3 2 2" xfId="4862" xr:uid="{00000000-0005-0000-0000-0000FB120000}"/>
    <cellStyle name="20% - Énfasis4 2 3 2 3 3 3" xfId="4863" xr:uid="{00000000-0005-0000-0000-0000FC120000}"/>
    <cellStyle name="20% - Énfasis4 2 3 2 3 3 3 2" xfId="4864" xr:uid="{00000000-0005-0000-0000-0000FD120000}"/>
    <cellStyle name="20% - Énfasis4 2 3 2 3 3 4" xfId="4865" xr:uid="{00000000-0005-0000-0000-0000FE120000}"/>
    <cellStyle name="20% - Énfasis4 2 3 2 3 3 5" xfId="4866" xr:uid="{00000000-0005-0000-0000-0000FF120000}"/>
    <cellStyle name="20% - Énfasis4 2 3 2 3 4" xfId="4867" xr:uid="{00000000-0005-0000-0000-000000130000}"/>
    <cellStyle name="20% - Énfasis4 2 3 2 3 4 2" xfId="4868" xr:uid="{00000000-0005-0000-0000-000001130000}"/>
    <cellStyle name="20% - Énfasis4 2 3 2 3 5" xfId="4869" xr:uid="{00000000-0005-0000-0000-000002130000}"/>
    <cellStyle name="20% - Énfasis4 2 3 2 3 5 2" xfId="4870" xr:uid="{00000000-0005-0000-0000-000003130000}"/>
    <cellStyle name="20% - Énfasis4 2 3 2 3 6" xfId="4871" xr:uid="{00000000-0005-0000-0000-000004130000}"/>
    <cellStyle name="20% - Énfasis4 2 3 2 3 7" xfId="4872" xr:uid="{00000000-0005-0000-0000-000005130000}"/>
    <cellStyle name="20% - Énfasis4 2 3 2 4" xfId="4873" xr:uid="{00000000-0005-0000-0000-000006130000}"/>
    <cellStyle name="20% - Énfasis4 2 3 2 4 2" xfId="4874" xr:uid="{00000000-0005-0000-0000-000007130000}"/>
    <cellStyle name="20% - Énfasis4 2 3 2 4 2 2" xfId="4875" xr:uid="{00000000-0005-0000-0000-000008130000}"/>
    <cellStyle name="20% - Énfasis4 2 3 2 4 2 2 2" xfId="4876" xr:uid="{00000000-0005-0000-0000-000009130000}"/>
    <cellStyle name="20% - Énfasis4 2 3 2 4 2 3" xfId="4877" xr:uid="{00000000-0005-0000-0000-00000A130000}"/>
    <cellStyle name="20% - Énfasis4 2 3 2 4 2 4" xfId="4878" xr:uid="{00000000-0005-0000-0000-00000B130000}"/>
    <cellStyle name="20% - Énfasis4 2 3 2 4 3" xfId="4879" xr:uid="{00000000-0005-0000-0000-00000C130000}"/>
    <cellStyle name="20% - Énfasis4 2 3 2 4 3 2" xfId="4880" xr:uid="{00000000-0005-0000-0000-00000D130000}"/>
    <cellStyle name="20% - Énfasis4 2 3 2 4 4" xfId="4881" xr:uid="{00000000-0005-0000-0000-00000E130000}"/>
    <cellStyle name="20% - Énfasis4 2 3 2 4 5" xfId="4882" xr:uid="{00000000-0005-0000-0000-00000F130000}"/>
    <cellStyle name="20% - Énfasis4 2 3 2 5" xfId="4883" xr:uid="{00000000-0005-0000-0000-000010130000}"/>
    <cellStyle name="20% - Énfasis4 2 3 2 5 2" xfId="4884" xr:uid="{00000000-0005-0000-0000-000011130000}"/>
    <cellStyle name="20% - Énfasis4 2 3 2 5 2 2" xfId="4885" xr:uid="{00000000-0005-0000-0000-000012130000}"/>
    <cellStyle name="20% - Énfasis4 2 3 2 5 3" xfId="4886" xr:uid="{00000000-0005-0000-0000-000013130000}"/>
    <cellStyle name="20% - Énfasis4 2 3 2 5 3 2" xfId="4887" xr:uid="{00000000-0005-0000-0000-000014130000}"/>
    <cellStyle name="20% - Énfasis4 2 3 2 5 4" xfId="4888" xr:uid="{00000000-0005-0000-0000-000015130000}"/>
    <cellStyle name="20% - Énfasis4 2 3 2 5 5" xfId="4889" xr:uid="{00000000-0005-0000-0000-000016130000}"/>
    <cellStyle name="20% - Énfasis4 2 3 2 6" xfId="4890" xr:uid="{00000000-0005-0000-0000-000017130000}"/>
    <cellStyle name="20% - Énfasis4 2 3 2 6 2" xfId="4891" xr:uid="{00000000-0005-0000-0000-000018130000}"/>
    <cellStyle name="20% - Énfasis4 2 3 2 7" xfId="4892" xr:uid="{00000000-0005-0000-0000-000019130000}"/>
    <cellStyle name="20% - Énfasis4 2 3 2 7 2" xfId="4893" xr:uid="{00000000-0005-0000-0000-00001A130000}"/>
    <cellStyle name="20% - Énfasis4 2 3 2 8" xfId="4894" xr:uid="{00000000-0005-0000-0000-00001B130000}"/>
    <cellStyle name="20% - Énfasis4 2 3 2 9" xfId="4895" xr:uid="{00000000-0005-0000-0000-00001C130000}"/>
    <cellStyle name="20% - Énfasis4 2 3 3" xfId="4896" xr:uid="{00000000-0005-0000-0000-00001D130000}"/>
    <cellStyle name="20% - Énfasis4 2 3 3 2" xfId="4897" xr:uid="{00000000-0005-0000-0000-00001E130000}"/>
    <cellStyle name="20% - Énfasis4 2 3 3 2 2" xfId="4898" xr:uid="{00000000-0005-0000-0000-00001F130000}"/>
    <cellStyle name="20% - Énfasis4 2 3 3 2 2 2" xfId="4899" xr:uid="{00000000-0005-0000-0000-000020130000}"/>
    <cellStyle name="20% - Énfasis4 2 3 3 2 2 2 2" xfId="4900" xr:uid="{00000000-0005-0000-0000-000021130000}"/>
    <cellStyle name="20% - Énfasis4 2 3 3 2 2 2 2 2" xfId="4901" xr:uid="{00000000-0005-0000-0000-000022130000}"/>
    <cellStyle name="20% - Énfasis4 2 3 3 2 2 2 3" xfId="4902" xr:uid="{00000000-0005-0000-0000-000023130000}"/>
    <cellStyle name="20% - Énfasis4 2 3 3 2 2 2 4" xfId="4903" xr:uid="{00000000-0005-0000-0000-000024130000}"/>
    <cellStyle name="20% - Énfasis4 2 3 3 2 2 3" xfId="4904" xr:uid="{00000000-0005-0000-0000-000025130000}"/>
    <cellStyle name="20% - Énfasis4 2 3 3 2 2 3 2" xfId="4905" xr:uid="{00000000-0005-0000-0000-000026130000}"/>
    <cellStyle name="20% - Énfasis4 2 3 3 2 2 4" xfId="4906" xr:uid="{00000000-0005-0000-0000-000027130000}"/>
    <cellStyle name="20% - Énfasis4 2 3 3 2 2 5" xfId="4907" xr:uid="{00000000-0005-0000-0000-000028130000}"/>
    <cellStyle name="20% - Énfasis4 2 3 3 2 3" xfId="4908" xr:uid="{00000000-0005-0000-0000-000029130000}"/>
    <cellStyle name="20% - Énfasis4 2 3 3 2 3 2" xfId="4909" xr:uid="{00000000-0005-0000-0000-00002A130000}"/>
    <cellStyle name="20% - Énfasis4 2 3 3 2 3 2 2" xfId="4910" xr:uid="{00000000-0005-0000-0000-00002B130000}"/>
    <cellStyle name="20% - Énfasis4 2 3 3 2 3 3" xfId="4911" xr:uid="{00000000-0005-0000-0000-00002C130000}"/>
    <cellStyle name="20% - Énfasis4 2 3 3 2 3 3 2" xfId="4912" xr:uid="{00000000-0005-0000-0000-00002D130000}"/>
    <cellStyle name="20% - Énfasis4 2 3 3 2 3 4" xfId="4913" xr:uid="{00000000-0005-0000-0000-00002E130000}"/>
    <cellStyle name="20% - Énfasis4 2 3 3 2 3 5" xfId="4914" xr:uid="{00000000-0005-0000-0000-00002F130000}"/>
    <cellStyle name="20% - Énfasis4 2 3 3 2 4" xfId="4915" xr:uid="{00000000-0005-0000-0000-000030130000}"/>
    <cellStyle name="20% - Énfasis4 2 3 3 2 4 2" xfId="4916" xr:uid="{00000000-0005-0000-0000-000031130000}"/>
    <cellStyle name="20% - Énfasis4 2 3 3 2 5" xfId="4917" xr:uid="{00000000-0005-0000-0000-000032130000}"/>
    <cellStyle name="20% - Énfasis4 2 3 3 2 5 2" xfId="4918" xr:uid="{00000000-0005-0000-0000-000033130000}"/>
    <cellStyle name="20% - Énfasis4 2 3 3 2 6" xfId="4919" xr:uid="{00000000-0005-0000-0000-000034130000}"/>
    <cellStyle name="20% - Énfasis4 2 3 3 2 7" xfId="4920" xr:uid="{00000000-0005-0000-0000-000035130000}"/>
    <cellStyle name="20% - Énfasis4 2 3 3 3" xfId="4921" xr:uid="{00000000-0005-0000-0000-000036130000}"/>
    <cellStyle name="20% - Énfasis4 2 3 3 3 2" xfId="4922" xr:uid="{00000000-0005-0000-0000-000037130000}"/>
    <cellStyle name="20% - Énfasis4 2 3 3 3 2 2" xfId="4923" xr:uid="{00000000-0005-0000-0000-000038130000}"/>
    <cellStyle name="20% - Énfasis4 2 3 3 3 2 2 2" xfId="4924" xr:uid="{00000000-0005-0000-0000-000039130000}"/>
    <cellStyle name="20% - Énfasis4 2 3 3 3 2 3" xfId="4925" xr:uid="{00000000-0005-0000-0000-00003A130000}"/>
    <cellStyle name="20% - Énfasis4 2 3 3 3 2 4" xfId="4926" xr:uid="{00000000-0005-0000-0000-00003B130000}"/>
    <cellStyle name="20% - Énfasis4 2 3 3 3 3" xfId="4927" xr:uid="{00000000-0005-0000-0000-00003C130000}"/>
    <cellStyle name="20% - Énfasis4 2 3 3 3 3 2" xfId="4928" xr:uid="{00000000-0005-0000-0000-00003D130000}"/>
    <cellStyle name="20% - Énfasis4 2 3 3 3 4" xfId="4929" xr:uid="{00000000-0005-0000-0000-00003E130000}"/>
    <cellStyle name="20% - Énfasis4 2 3 3 3 5" xfId="4930" xr:uid="{00000000-0005-0000-0000-00003F130000}"/>
    <cellStyle name="20% - Énfasis4 2 3 3 4" xfId="4931" xr:uid="{00000000-0005-0000-0000-000040130000}"/>
    <cellStyle name="20% - Énfasis4 2 3 3 4 2" xfId="4932" xr:uid="{00000000-0005-0000-0000-000041130000}"/>
    <cellStyle name="20% - Énfasis4 2 3 3 4 2 2" xfId="4933" xr:uid="{00000000-0005-0000-0000-000042130000}"/>
    <cellStyle name="20% - Énfasis4 2 3 3 4 3" xfId="4934" xr:uid="{00000000-0005-0000-0000-000043130000}"/>
    <cellStyle name="20% - Énfasis4 2 3 3 4 3 2" xfId="4935" xr:uid="{00000000-0005-0000-0000-000044130000}"/>
    <cellStyle name="20% - Énfasis4 2 3 3 4 4" xfId="4936" xr:uid="{00000000-0005-0000-0000-000045130000}"/>
    <cellStyle name="20% - Énfasis4 2 3 3 4 5" xfId="4937" xr:uid="{00000000-0005-0000-0000-000046130000}"/>
    <cellStyle name="20% - Énfasis4 2 3 3 5" xfId="4938" xr:uid="{00000000-0005-0000-0000-000047130000}"/>
    <cellStyle name="20% - Énfasis4 2 3 3 5 2" xfId="4939" xr:uid="{00000000-0005-0000-0000-000048130000}"/>
    <cellStyle name="20% - Énfasis4 2 3 3 6" xfId="4940" xr:uid="{00000000-0005-0000-0000-000049130000}"/>
    <cellStyle name="20% - Énfasis4 2 3 3 6 2" xfId="4941" xr:uid="{00000000-0005-0000-0000-00004A130000}"/>
    <cellStyle name="20% - Énfasis4 2 3 3 7" xfId="4942" xr:uid="{00000000-0005-0000-0000-00004B130000}"/>
    <cellStyle name="20% - Énfasis4 2 3 3 8" xfId="4943" xr:uid="{00000000-0005-0000-0000-00004C130000}"/>
    <cellStyle name="20% - Énfasis4 2 3 4" xfId="4944" xr:uid="{00000000-0005-0000-0000-00004D130000}"/>
    <cellStyle name="20% - Énfasis4 2 3 4 2" xfId="4945" xr:uid="{00000000-0005-0000-0000-00004E130000}"/>
    <cellStyle name="20% - Énfasis4 2 3 4 2 2" xfId="4946" xr:uid="{00000000-0005-0000-0000-00004F130000}"/>
    <cellStyle name="20% - Énfasis4 2 3 4 2 2 2" xfId="4947" xr:uid="{00000000-0005-0000-0000-000050130000}"/>
    <cellStyle name="20% - Énfasis4 2 3 4 2 2 2 2" xfId="4948" xr:uid="{00000000-0005-0000-0000-000051130000}"/>
    <cellStyle name="20% - Énfasis4 2 3 4 2 2 3" xfId="4949" xr:uid="{00000000-0005-0000-0000-000052130000}"/>
    <cellStyle name="20% - Énfasis4 2 3 4 2 2 4" xfId="4950" xr:uid="{00000000-0005-0000-0000-000053130000}"/>
    <cellStyle name="20% - Énfasis4 2 3 4 2 3" xfId="4951" xr:uid="{00000000-0005-0000-0000-000054130000}"/>
    <cellStyle name="20% - Énfasis4 2 3 4 2 3 2" xfId="4952" xr:uid="{00000000-0005-0000-0000-000055130000}"/>
    <cellStyle name="20% - Énfasis4 2 3 4 2 4" xfId="4953" xr:uid="{00000000-0005-0000-0000-000056130000}"/>
    <cellStyle name="20% - Énfasis4 2 3 4 2 5" xfId="4954" xr:uid="{00000000-0005-0000-0000-000057130000}"/>
    <cellStyle name="20% - Énfasis4 2 3 4 3" xfId="4955" xr:uid="{00000000-0005-0000-0000-000058130000}"/>
    <cellStyle name="20% - Énfasis4 2 3 4 3 2" xfId="4956" xr:uid="{00000000-0005-0000-0000-000059130000}"/>
    <cellStyle name="20% - Énfasis4 2 3 4 3 2 2" xfId="4957" xr:uid="{00000000-0005-0000-0000-00005A130000}"/>
    <cellStyle name="20% - Énfasis4 2 3 4 3 3" xfId="4958" xr:uid="{00000000-0005-0000-0000-00005B130000}"/>
    <cellStyle name="20% - Énfasis4 2 3 4 3 3 2" xfId="4959" xr:uid="{00000000-0005-0000-0000-00005C130000}"/>
    <cellStyle name="20% - Énfasis4 2 3 4 3 4" xfId="4960" xr:uid="{00000000-0005-0000-0000-00005D130000}"/>
    <cellStyle name="20% - Énfasis4 2 3 4 3 5" xfId="4961" xr:uid="{00000000-0005-0000-0000-00005E130000}"/>
    <cellStyle name="20% - Énfasis4 2 3 4 4" xfId="4962" xr:uid="{00000000-0005-0000-0000-00005F130000}"/>
    <cellStyle name="20% - Énfasis4 2 3 4 4 2" xfId="4963" xr:uid="{00000000-0005-0000-0000-000060130000}"/>
    <cellStyle name="20% - Énfasis4 2 3 4 5" xfId="4964" xr:uid="{00000000-0005-0000-0000-000061130000}"/>
    <cellStyle name="20% - Énfasis4 2 3 4 5 2" xfId="4965" xr:uid="{00000000-0005-0000-0000-000062130000}"/>
    <cellStyle name="20% - Énfasis4 2 3 4 6" xfId="4966" xr:uid="{00000000-0005-0000-0000-000063130000}"/>
    <cellStyle name="20% - Énfasis4 2 3 4 7" xfId="4967" xr:uid="{00000000-0005-0000-0000-000064130000}"/>
    <cellStyle name="20% - Énfasis4 2 3 5" xfId="4968" xr:uid="{00000000-0005-0000-0000-000065130000}"/>
    <cellStyle name="20% - Énfasis4 2 3 5 2" xfId="4969" xr:uid="{00000000-0005-0000-0000-000066130000}"/>
    <cellStyle name="20% - Énfasis4 2 3 5 2 2" xfId="4970" xr:uid="{00000000-0005-0000-0000-000067130000}"/>
    <cellStyle name="20% - Énfasis4 2 3 5 2 2 2" xfId="4971" xr:uid="{00000000-0005-0000-0000-000068130000}"/>
    <cellStyle name="20% - Énfasis4 2 3 5 2 3" xfId="4972" xr:uid="{00000000-0005-0000-0000-000069130000}"/>
    <cellStyle name="20% - Énfasis4 2 3 5 2 4" xfId="4973" xr:uid="{00000000-0005-0000-0000-00006A130000}"/>
    <cellStyle name="20% - Énfasis4 2 3 5 3" xfId="4974" xr:uid="{00000000-0005-0000-0000-00006B130000}"/>
    <cellStyle name="20% - Énfasis4 2 3 5 3 2" xfId="4975" xr:uid="{00000000-0005-0000-0000-00006C130000}"/>
    <cellStyle name="20% - Énfasis4 2 3 5 4" xfId="4976" xr:uid="{00000000-0005-0000-0000-00006D130000}"/>
    <cellStyle name="20% - Énfasis4 2 3 5 5" xfId="4977" xr:uid="{00000000-0005-0000-0000-00006E130000}"/>
    <cellStyle name="20% - Énfasis4 2 3 6" xfId="4978" xr:uid="{00000000-0005-0000-0000-00006F130000}"/>
    <cellStyle name="20% - Énfasis4 2 3 6 2" xfId="4979" xr:uid="{00000000-0005-0000-0000-000070130000}"/>
    <cellStyle name="20% - Énfasis4 2 3 6 2 2" xfId="4980" xr:uid="{00000000-0005-0000-0000-000071130000}"/>
    <cellStyle name="20% - Énfasis4 2 3 6 3" xfId="4981" xr:uid="{00000000-0005-0000-0000-000072130000}"/>
    <cellStyle name="20% - Énfasis4 2 3 6 3 2" xfId="4982" xr:uid="{00000000-0005-0000-0000-000073130000}"/>
    <cellStyle name="20% - Énfasis4 2 3 6 4" xfId="4983" xr:uid="{00000000-0005-0000-0000-000074130000}"/>
    <cellStyle name="20% - Énfasis4 2 3 6 5" xfId="4984" xr:uid="{00000000-0005-0000-0000-000075130000}"/>
    <cellStyle name="20% - Énfasis4 2 3 7" xfId="4985" xr:uid="{00000000-0005-0000-0000-000076130000}"/>
    <cellStyle name="20% - Énfasis4 2 3 7 2" xfId="4986" xr:uid="{00000000-0005-0000-0000-000077130000}"/>
    <cellStyle name="20% - Énfasis4 2 3 8" xfId="4987" xr:uid="{00000000-0005-0000-0000-000078130000}"/>
    <cellStyle name="20% - Énfasis4 2 3 8 2" xfId="4988" xr:uid="{00000000-0005-0000-0000-000079130000}"/>
    <cellStyle name="20% - Énfasis4 2 3 9" xfId="4989" xr:uid="{00000000-0005-0000-0000-00007A130000}"/>
    <cellStyle name="20% - Énfasis4 2 4" xfId="4990" xr:uid="{00000000-0005-0000-0000-00007B130000}"/>
    <cellStyle name="20% - Énfasis4 2 4 2" xfId="4991" xr:uid="{00000000-0005-0000-0000-00007C130000}"/>
    <cellStyle name="20% - Énfasis4 2 4 2 2" xfId="4992" xr:uid="{00000000-0005-0000-0000-00007D130000}"/>
    <cellStyle name="20% - Énfasis4 2 4 2 2 2" xfId="4993" xr:uid="{00000000-0005-0000-0000-00007E130000}"/>
    <cellStyle name="20% - Énfasis4 2 4 2 2 2 2" xfId="4994" xr:uid="{00000000-0005-0000-0000-00007F130000}"/>
    <cellStyle name="20% - Énfasis4 2 4 2 2 2 2 2" xfId="4995" xr:uid="{00000000-0005-0000-0000-000080130000}"/>
    <cellStyle name="20% - Énfasis4 2 4 2 2 2 2 2 2" xfId="4996" xr:uid="{00000000-0005-0000-0000-000081130000}"/>
    <cellStyle name="20% - Énfasis4 2 4 2 2 2 2 3" xfId="4997" xr:uid="{00000000-0005-0000-0000-000082130000}"/>
    <cellStyle name="20% - Énfasis4 2 4 2 2 2 2 4" xfId="4998" xr:uid="{00000000-0005-0000-0000-000083130000}"/>
    <cellStyle name="20% - Énfasis4 2 4 2 2 2 3" xfId="4999" xr:uid="{00000000-0005-0000-0000-000084130000}"/>
    <cellStyle name="20% - Énfasis4 2 4 2 2 2 3 2" xfId="5000" xr:uid="{00000000-0005-0000-0000-000085130000}"/>
    <cellStyle name="20% - Énfasis4 2 4 2 2 2 4" xfId="5001" xr:uid="{00000000-0005-0000-0000-000086130000}"/>
    <cellStyle name="20% - Énfasis4 2 4 2 2 2 5" xfId="5002" xr:uid="{00000000-0005-0000-0000-000087130000}"/>
    <cellStyle name="20% - Énfasis4 2 4 2 2 3" xfId="5003" xr:uid="{00000000-0005-0000-0000-000088130000}"/>
    <cellStyle name="20% - Énfasis4 2 4 2 2 3 2" xfId="5004" xr:uid="{00000000-0005-0000-0000-000089130000}"/>
    <cellStyle name="20% - Énfasis4 2 4 2 2 3 2 2" xfId="5005" xr:uid="{00000000-0005-0000-0000-00008A130000}"/>
    <cellStyle name="20% - Énfasis4 2 4 2 2 3 3" xfId="5006" xr:uid="{00000000-0005-0000-0000-00008B130000}"/>
    <cellStyle name="20% - Énfasis4 2 4 2 2 3 4" xfId="5007" xr:uid="{00000000-0005-0000-0000-00008C130000}"/>
    <cellStyle name="20% - Énfasis4 2 4 2 2 4" xfId="5008" xr:uid="{00000000-0005-0000-0000-00008D130000}"/>
    <cellStyle name="20% - Énfasis4 2 4 2 2 4 2" xfId="5009" xr:uid="{00000000-0005-0000-0000-00008E130000}"/>
    <cellStyle name="20% - Énfasis4 2 4 2 2 5" xfId="5010" xr:uid="{00000000-0005-0000-0000-00008F130000}"/>
    <cellStyle name="20% - Énfasis4 2 4 2 2 6" xfId="5011" xr:uid="{00000000-0005-0000-0000-000090130000}"/>
    <cellStyle name="20% - Énfasis4 2 4 2 3" xfId="5012" xr:uid="{00000000-0005-0000-0000-000091130000}"/>
    <cellStyle name="20% - Énfasis4 2 4 2 3 2" xfId="5013" xr:uid="{00000000-0005-0000-0000-000092130000}"/>
    <cellStyle name="20% - Énfasis4 2 4 2 3 2 2" xfId="5014" xr:uid="{00000000-0005-0000-0000-000093130000}"/>
    <cellStyle name="20% - Énfasis4 2 4 2 3 2 2 2" xfId="5015" xr:uid="{00000000-0005-0000-0000-000094130000}"/>
    <cellStyle name="20% - Énfasis4 2 4 2 3 2 3" xfId="5016" xr:uid="{00000000-0005-0000-0000-000095130000}"/>
    <cellStyle name="20% - Énfasis4 2 4 2 3 2 4" xfId="5017" xr:uid="{00000000-0005-0000-0000-000096130000}"/>
    <cellStyle name="20% - Énfasis4 2 4 2 3 3" xfId="5018" xr:uid="{00000000-0005-0000-0000-000097130000}"/>
    <cellStyle name="20% - Énfasis4 2 4 2 3 3 2" xfId="5019" xr:uid="{00000000-0005-0000-0000-000098130000}"/>
    <cellStyle name="20% - Énfasis4 2 4 2 3 4" xfId="5020" xr:uid="{00000000-0005-0000-0000-000099130000}"/>
    <cellStyle name="20% - Énfasis4 2 4 2 3 5" xfId="5021" xr:uid="{00000000-0005-0000-0000-00009A130000}"/>
    <cellStyle name="20% - Énfasis4 2 4 2 4" xfId="5022" xr:uid="{00000000-0005-0000-0000-00009B130000}"/>
    <cellStyle name="20% - Énfasis4 2 4 2 4 2" xfId="5023" xr:uid="{00000000-0005-0000-0000-00009C130000}"/>
    <cellStyle name="20% - Énfasis4 2 4 2 4 2 2" xfId="5024" xr:uid="{00000000-0005-0000-0000-00009D130000}"/>
    <cellStyle name="20% - Énfasis4 2 4 2 4 3" xfId="5025" xr:uid="{00000000-0005-0000-0000-00009E130000}"/>
    <cellStyle name="20% - Énfasis4 2 4 2 4 4" xfId="5026" xr:uid="{00000000-0005-0000-0000-00009F130000}"/>
    <cellStyle name="20% - Énfasis4 2 4 2 5" xfId="5027" xr:uid="{00000000-0005-0000-0000-0000A0130000}"/>
    <cellStyle name="20% - Énfasis4 2 4 2 5 2" xfId="5028" xr:uid="{00000000-0005-0000-0000-0000A1130000}"/>
    <cellStyle name="20% - Énfasis4 2 4 2 6" xfId="5029" xr:uid="{00000000-0005-0000-0000-0000A2130000}"/>
    <cellStyle name="20% - Énfasis4 2 4 2 7" xfId="5030" xr:uid="{00000000-0005-0000-0000-0000A3130000}"/>
    <cellStyle name="20% - Énfasis4 2 4 3" xfId="5031" xr:uid="{00000000-0005-0000-0000-0000A4130000}"/>
    <cellStyle name="20% - Énfasis4 2 4 3 2" xfId="5032" xr:uid="{00000000-0005-0000-0000-0000A5130000}"/>
    <cellStyle name="20% - Énfasis4 2 4 3 2 2" xfId="5033" xr:uid="{00000000-0005-0000-0000-0000A6130000}"/>
    <cellStyle name="20% - Énfasis4 2 4 3 2 2 2" xfId="5034" xr:uid="{00000000-0005-0000-0000-0000A7130000}"/>
    <cellStyle name="20% - Énfasis4 2 4 3 2 2 2 2" xfId="5035" xr:uid="{00000000-0005-0000-0000-0000A8130000}"/>
    <cellStyle name="20% - Énfasis4 2 4 3 2 2 3" xfId="5036" xr:uid="{00000000-0005-0000-0000-0000A9130000}"/>
    <cellStyle name="20% - Énfasis4 2 4 3 2 2 4" xfId="5037" xr:uid="{00000000-0005-0000-0000-0000AA130000}"/>
    <cellStyle name="20% - Énfasis4 2 4 3 2 3" xfId="5038" xr:uid="{00000000-0005-0000-0000-0000AB130000}"/>
    <cellStyle name="20% - Énfasis4 2 4 3 2 3 2" xfId="5039" xr:uid="{00000000-0005-0000-0000-0000AC130000}"/>
    <cellStyle name="20% - Énfasis4 2 4 3 2 4" xfId="5040" xr:uid="{00000000-0005-0000-0000-0000AD130000}"/>
    <cellStyle name="20% - Énfasis4 2 4 3 2 5" xfId="5041" xr:uid="{00000000-0005-0000-0000-0000AE130000}"/>
    <cellStyle name="20% - Énfasis4 2 4 3 3" xfId="5042" xr:uid="{00000000-0005-0000-0000-0000AF130000}"/>
    <cellStyle name="20% - Énfasis4 2 4 3 3 2" xfId="5043" xr:uid="{00000000-0005-0000-0000-0000B0130000}"/>
    <cellStyle name="20% - Énfasis4 2 4 3 3 2 2" xfId="5044" xr:uid="{00000000-0005-0000-0000-0000B1130000}"/>
    <cellStyle name="20% - Énfasis4 2 4 3 3 3" xfId="5045" xr:uid="{00000000-0005-0000-0000-0000B2130000}"/>
    <cellStyle name="20% - Énfasis4 2 4 3 3 3 2" xfId="5046" xr:uid="{00000000-0005-0000-0000-0000B3130000}"/>
    <cellStyle name="20% - Énfasis4 2 4 3 3 4" xfId="5047" xr:uid="{00000000-0005-0000-0000-0000B4130000}"/>
    <cellStyle name="20% - Énfasis4 2 4 3 3 5" xfId="5048" xr:uid="{00000000-0005-0000-0000-0000B5130000}"/>
    <cellStyle name="20% - Énfasis4 2 4 3 4" xfId="5049" xr:uid="{00000000-0005-0000-0000-0000B6130000}"/>
    <cellStyle name="20% - Énfasis4 2 4 3 4 2" xfId="5050" xr:uid="{00000000-0005-0000-0000-0000B7130000}"/>
    <cellStyle name="20% - Énfasis4 2 4 3 5" xfId="5051" xr:uid="{00000000-0005-0000-0000-0000B8130000}"/>
    <cellStyle name="20% - Énfasis4 2 4 3 5 2" xfId="5052" xr:uid="{00000000-0005-0000-0000-0000B9130000}"/>
    <cellStyle name="20% - Énfasis4 2 4 3 6" xfId="5053" xr:uid="{00000000-0005-0000-0000-0000BA130000}"/>
    <cellStyle name="20% - Énfasis4 2 4 3 7" xfId="5054" xr:uid="{00000000-0005-0000-0000-0000BB130000}"/>
    <cellStyle name="20% - Énfasis4 2 4 4" xfId="5055" xr:uid="{00000000-0005-0000-0000-0000BC130000}"/>
    <cellStyle name="20% - Énfasis4 2 4 4 2" xfId="5056" xr:uid="{00000000-0005-0000-0000-0000BD130000}"/>
    <cellStyle name="20% - Énfasis4 2 4 4 2 2" xfId="5057" xr:uid="{00000000-0005-0000-0000-0000BE130000}"/>
    <cellStyle name="20% - Énfasis4 2 4 4 2 2 2" xfId="5058" xr:uid="{00000000-0005-0000-0000-0000BF130000}"/>
    <cellStyle name="20% - Énfasis4 2 4 4 2 3" xfId="5059" xr:uid="{00000000-0005-0000-0000-0000C0130000}"/>
    <cellStyle name="20% - Énfasis4 2 4 4 2 4" xfId="5060" xr:uid="{00000000-0005-0000-0000-0000C1130000}"/>
    <cellStyle name="20% - Énfasis4 2 4 4 3" xfId="5061" xr:uid="{00000000-0005-0000-0000-0000C2130000}"/>
    <cellStyle name="20% - Énfasis4 2 4 4 3 2" xfId="5062" xr:uid="{00000000-0005-0000-0000-0000C3130000}"/>
    <cellStyle name="20% - Énfasis4 2 4 4 4" xfId="5063" xr:uid="{00000000-0005-0000-0000-0000C4130000}"/>
    <cellStyle name="20% - Énfasis4 2 4 4 5" xfId="5064" xr:uid="{00000000-0005-0000-0000-0000C5130000}"/>
    <cellStyle name="20% - Énfasis4 2 4 5" xfId="5065" xr:uid="{00000000-0005-0000-0000-0000C6130000}"/>
    <cellStyle name="20% - Énfasis4 2 4 5 2" xfId="5066" xr:uid="{00000000-0005-0000-0000-0000C7130000}"/>
    <cellStyle name="20% - Énfasis4 2 4 5 2 2" xfId="5067" xr:uid="{00000000-0005-0000-0000-0000C8130000}"/>
    <cellStyle name="20% - Énfasis4 2 4 5 3" xfId="5068" xr:uid="{00000000-0005-0000-0000-0000C9130000}"/>
    <cellStyle name="20% - Énfasis4 2 4 5 3 2" xfId="5069" xr:uid="{00000000-0005-0000-0000-0000CA130000}"/>
    <cellStyle name="20% - Énfasis4 2 4 5 4" xfId="5070" xr:uid="{00000000-0005-0000-0000-0000CB130000}"/>
    <cellStyle name="20% - Énfasis4 2 4 5 5" xfId="5071" xr:uid="{00000000-0005-0000-0000-0000CC130000}"/>
    <cellStyle name="20% - Énfasis4 2 4 6" xfId="5072" xr:uid="{00000000-0005-0000-0000-0000CD130000}"/>
    <cellStyle name="20% - Énfasis4 2 4 6 2" xfId="5073" xr:uid="{00000000-0005-0000-0000-0000CE130000}"/>
    <cellStyle name="20% - Énfasis4 2 4 7" xfId="5074" xr:uid="{00000000-0005-0000-0000-0000CF130000}"/>
    <cellStyle name="20% - Énfasis4 2 4 7 2" xfId="5075" xr:uid="{00000000-0005-0000-0000-0000D0130000}"/>
    <cellStyle name="20% - Énfasis4 2 4 8" xfId="5076" xr:uid="{00000000-0005-0000-0000-0000D1130000}"/>
    <cellStyle name="20% - Énfasis4 2 4 9" xfId="5077" xr:uid="{00000000-0005-0000-0000-0000D2130000}"/>
    <cellStyle name="20% - Énfasis4 2 5" xfId="5078" xr:uid="{00000000-0005-0000-0000-0000D3130000}"/>
    <cellStyle name="20% - Énfasis4 2 5 2" xfId="5079" xr:uid="{00000000-0005-0000-0000-0000D4130000}"/>
    <cellStyle name="20% - Énfasis4 2 5 2 2" xfId="5080" xr:uid="{00000000-0005-0000-0000-0000D5130000}"/>
    <cellStyle name="20% - Énfasis4 2 5 2 2 2" xfId="5081" xr:uid="{00000000-0005-0000-0000-0000D6130000}"/>
    <cellStyle name="20% - Énfasis4 2 5 2 2 2 2" xfId="5082" xr:uid="{00000000-0005-0000-0000-0000D7130000}"/>
    <cellStyle name="20% - Énfasis4 2 5 2 2 2 2 2" xfId="5083" xr:uid="{00000000-0005-0000-0000-0000D8130000}"/>
    <cellStyle name="20% - Énfasis4 2 5 2 2 2 3" xfId="5084" xr:uid="{00000000-0005-0000-0000-0000D9130000}"/>
    <cellStyle name="20% - Énfasis4 2 5 2 2 2 4" xfId="5085" xr:uid="{00000000-0005-0000-0000-0000DA130000}"/>
    <cellStyle name="20% - Énfasis4 2 5 2 2 3" xfId="5086" xr:uid="{00000000-0005-0000-0000-0000DB130000}"/>
    <cellStyle name="20% - Énfasis4 2 5 2 2 3 2" xfId="5087" xr:uid="{00000000-0005-0000-0000-0000DC130000}"/>
    <cellStyle name="20% - Énfasis4 2 5 2 2 4" xfId="5088" xr:uid="{00000000-0005-0000-0000-0000DD130000}"/>
    <cellStyle name="20% - Énfasis4 2 5 2 2 5" xfId="5089" xr:uid="{00000000-0005-0000-0000-0000DE130000}"/>
    <cellStyle name="20% - Énfasis4 2 5 2 3" xfId="5090" xr:uid="{00000000-0005-0000-0000-0000DF130000}"/>
    <cellStyle name="20% - Énfasis4 2 5 2 3 2" xfId="5091" xr:uid="{00000000-0005-0000-0000-0000E0130000}"/>
    <cellStyle name="20% - Énfasis4 2 5 2 3 2 2" xfId="5092" xr:uid="{00000000-0005-0000-0000-0000E1130000}"/>
    <cellStyle name="20% - Énfasis4 2 5 2 3 3" xfId="5093" xr:uid="{00000000-0005-0000-0000-0000E2130000}"/>
    <cellStyle name="20% - Énfasis4 2 5 2 3 3 2" xfId="5094" xr:uid="{00000000-0005-0000-0000-0000E3130000}"/>
    <cellStyle name="20% - Énfasis4 2 5 2 3 4" xfId="5095" xr:uid="{00000000-0005-0000-0000-0000E4130000}"/>
    <cellStyle name="20% - Énfasis4 2 5 2 3 5" xfId="5096" xr:uid="{00000000-0005-0000-0000-0000E5130000}"/>
    <cellStyle name="20% - Énfasis4 2 5 2 4" xfId="5097" xr:uid="{00000000-0005-0000-0000-0000E6130000}"/>
    <cellStyle name="20% - Énfasis4 2 5 2 4 2" xfId="5098" xr:uid="{00000000-0005-0000-0000-0000E7130000}"/>
    <cellStyle name="20% - Énfasis4 2 5 2 5" xfId="5099" xr:uid="{00000000-0005-0000-0000-0000E8130000}"/>
    <cellStyle name="20% - Énfasis4 2 5 2 5 2" xfId="5100" xr:uid="{00000000-0005-0000-0000-0000E9130000}"/>
    <cellStyle name="20% - Énfasis4 2 5 2 6" xfId="5101" xr:uid="{00000000-0005-0000-0000-0000EA130000}"/>
    <cellStyle name="20% - Énfasis4 2 5 2 7" xfId="5102" xr:uid="{00000000-0005-0000-0000-0000EB130000}"/>
    <cellStyle name="20% - Énfasis4 2 5 3" xfId="5103" xr:uid="{00000000-0005-0000-0000-0000EC130000}"/>
    <cellStyle name="20% - Énfasis4 2 5 3 2" xfId="5104" xr:uid="{00000000-0005-0000-0000-0000ED130000}"/>
    <cellStyle name="20% - Énfasis4 2 5 3 2 2" xfId="5105" xr:uid="{00000000-0005-0000-0000-0000EE130000}"/>
    <cellStyle name="20% - Énfasis4 2 5 3 2 2 2" xfId="5106" xr:uid="{00000000-0005-0000-0000-0000EF130000}"/>
    <cellStyle name="20% - Énfasis4 2 5 3 2 3" xfId="5107" xr:uid="{00000000-0005-0000-0000-0000F0130000}"/>
    <cellStyle name="20% - Énfasis4 2 5 3 2 4" xfId="5108" xr:uid="{00000000-0005-0000-0000-0000F1130000}"/>
    <cellStyle name="20% - Énfasis4 2 5 3 3" xfId="5109" xr:uid="{00000000-0005-0000-0000-0000F2130000}"/>
    <cellStyle name="20% - Énfasis4 2 5 3 3 2" xfId="5110" xr:uid="{00000000-0005-0000-0000-0000F3130000}"/>
    <cellStyle name="20% - Énfasis4 2 5 3 4" xfId="5111" xr:uid="{00000000-0005-0000-0000-0000F4130000}"/>
    <cellStyle name="20% - Énfasis4 2 5 3 5" xfId="5112" xr:uid="{00000000-0005-0000-0000-0000F5130000}"/>
    <cellStyle name="20% - Énfasis4 2 5 4" xfId="5113" xr:uid="{00000000-0005-0000-0000-0000F6130000}"/>
    <cellStyle name="20% - Énfasis4 2 5 4 2" xfId="5114" xr:uid="{00000000-0005-0000-0000-0000F7130000}"/>
    <cellStyle name="20% - Énfasis4 2 5 4 2 2" xfId="5115" xr:uid="{00000000-0005-0000-0000-0000F8130000}"/>
    <cellStyle name="20% - Énfasis4 2 5 4 3" xfId="5116" xr:uid="{00000000-0005-0000-0000-0000F9130000}"/>
    <cellStyle name="20% - Énfasis4 2 5 4 3 2" xfId="5117" xr:uid="{00000000-0005-0000-0000-0000FA130000}"/>
    <cellStyle name="20% - Énfasis4 2 5 4 4" xfId="5118" xr:uid="{00000000-0005-0000-0000-0000FB130000}"/>
    <cellStyle name="20% - Énfasis4 2 5 4 5" xfId="5119" xr:uid="{00000000-0005-0000-0000-0000FC130000}"/>
    <cellStyle name="20% - Énfasis4 2 5 5" xfId="5120" xr:uid="{00000000-0005-0000-0000-0000FD130000}"/>
    <cellStyle name="20% - Énfasis4 2 5 5 2" xfId="5121" xr:uid="{00000000-0005-0000-0000-0000FE130000}"/>
    <cellStyle name="20% - Énfasis4 2 5 6" xfId="5122" xr:uid="{00000000-0005-0000-0000-0000FF130000}"/>
    <cellStyle name="20% - Énfasis4 2 5 6 2" xfId="5123" xr:uid="{00000000-0005-0000-0000-000000140000}"/>
    <cellStyle name="20% - Énfasis4 2 5 7" xfId="5124" xr:uid="{00000000-0005-0000-0000-000001140000}"/>
    <cellStyle name="20% - Énfasis4 2 5 8" xfId="5125" xr:uid="{00000000-0005-0000-0000-000002140000}"/>
    <cellStyle name="20% - Énfasis4 2 6" xfId="5126" xr:uid="{00000000-0005-0000-0000-000003140000}"/>
    <cellStyle name="20% - Énfasis4 2 6 2" xfId="5127" xr:uid="{00000000-0005-0000-0000-000004140000}"/>
    <cellStyle name="20% - Énfasis4 2 6 2 2" xfId="5128" xr:uid="{00000000-0005-0000-0000-000005140000}"/>
    <cellStyle name="20% - Énfasis4 2 6 2 2 2" xfId="5129" xr:uid="{00000000-0005-0000-0000-000006140000}"/>
    <cellStyle name="20% - Énfasis4 2 6 2 2 2 2" xfId="5130" xr:uid="{00000000-0005-0000-0000-000007140000}"/>
    <cellStyle name="20% - Énfasis4 2 6 2 2 3" xfId="5131" xr:uid="{00000000-0005-0000-0000-000008140000}"/>
    <cellStyle name="20% - Énfasis4 2 6 2 2 4" xfId="5132" xr:uid="{00000000-0005-0000-0000-000009140000}"/>
    <cellStyle name="20% - Énfasis4 2 6 2 3" xfId="5133" xr:uid="{00000000-0005-0000-0000-00000A140000}"/>
    <cellStyle name="20% - Énfasis4 2 6 2 3 2" xfId="5134" xr:uid="{00000000-0005-0000-0000-00000B140000}"/>
    <cellStyle name="20% - Énfasis4 2 6 2 4" xfId="5135" xr:uid="{00000000-0005-0000-0000-00000C140000}"/>
    <cellStyle name="20% - Énfasis4 2 6 2 5" xfId="5136" xr:uid="{00000000-0005-0000-0000-00000D140000}"/>
    <cellStyle name="20% - Énfasis4 2 6 3" xfId="5137" xr:uid="{00000000-0005-0000-0000-00000E140000}"/>
    <cellStyle name="20% - Énfasis4 2 6 3 2" xfId="5138" xr:uid="{00000000-0005-0000-0000-00000F140000}"/>
    <cellStyle name="20% - Énfasis4 2 6 3 2 2" xfId="5139" xr:uid="{00000000-0005-0000-0000-000010140000}"/>
    <cellStyle name="20% - Énfasis4 2 6 3 3" xfId="5140" xr:uid="{00000000-0005-0000-0000-000011140000}"/>
    <cellStyle name="20% - Énfasis4 2 6 3 3 2" xfId="5141" xr:uid="{00000000-0005-0000-0000-000012140000}"/>
    <cellStyle name="20% - Énfasis4 2 6 3 4" xfId="5142" xr:uid="{00000000-0005-0000-0000-000013140000}"/>
    <cellStyle name="20% - Énfasis4 2 6 3 5" xfId="5143" xr:uid="{00000000-0005-0000-0000-000014140000}"/>
    <cellStyle name="20% - Énfasis4 2 6 4" xfId="5144" xr:uid="{00000000-0005-0000-0000-000015140000}"/>
    <cellStyle name="20% - Énfasis4 2 6 4 2" xfId="5145" xr:uid="{00000000-0005-0000-0000-000016140000}"/>
    <cellStyle name="20% - Énfasis4 2 6 5" xfId="5146" xr:uid="{00000000-0005-0000-0000-000017140000}"/>
    <cellStyle name="20% - Énfasis4 2 6 5 2" xfId="5147" xr:uid="{00000000-0005-0000-0000-000018140000}"/>
    <cellStyle name="20% - Énfasis4 2 6 6" xfId="5148" xr:uid="{00000000-0005-0000-0000-000019140000}"/>
    <cellStyle name="20% - Énfasis4 2 6 7" xfId="5149" xr:uid="{00000000-0005-0000-0000-00001A140000}"/>
    <cellStyle name="20% - Énfasis4 2 7" xfId="5150" xr:uid="{00000000-0005-0000-0000-00001B140000}"/>
    <cellStyle name="20% - Énfasis4 2 7 2" xfId="5151" xr:uid="{00000000-0005-0000-0000-00001C140000}"/>
    <cellStyle name="20% - Énfasis4 2 7 2 2" xfId="5152" xr:uid="{00000000-0005-0000-0000-00001D140000}"/>
    <cellStyle name="20% - Énfasis4 2 7 2 2 2" xfId="5153" xr:uid="{00000000-0005-0000-0000-00001E140000}"/>
    <cellStyle name="20% - Énfasis4 2 7 2 3" xfId="5154" xr:uid="{00000000-0005-0000-0000-00001F140000}"/>
    <cellStyle name="20% - Énfasis4 2 7 2 4" xfId="5155" xr:uid="{00000000-0005-0000-0000-000020140000}"/>
    <cellStyle name="20% - Énfasis4 2 7 3" xfId="5156" xr:uid="{00000000-0005-0000-0000-000021140000}"/>
    <cellStyle name="20% - Énfasis4 2 7 3 2" xfId="5157" xr:uid="{00000000-0005-0000-0000-000022140000}"/>
    <cellStyle name="20% - Énfasis4 2 7 4" xfId="5158" xr:uid="{00000000-0005-0000-0000-000023140000}"/>
    <cellStyle name="20% - Énfasis4 2 7 5" xfId="5159" xr:uid="{00000000-0005-0000-0000-000024140000}"/>
    <cellStyle name="20% - Énfasis4 2 8" xfId="5160" xr:uid="{00000000-0005-0000-0000-000025140000}"/>
    <cellStyle name="20% - Énfasis4 2 8 2" xfId="5161" xr:uid="{00000000-0005-0000-0000-000026140000}"/>
    <cellStyle name="20% - Énfasis4 2 8 2 2" xfId="5162" xr:uid="{00000000-0005-0000-0000-000027140000}"/>
    <cellStyle name="20% - Énfasis4 2 8 3" xfId="5163" xr:uid="{00000000-0005-0000-0000-000028140000}"/>
    <cellStyle name="20% - Énfasis4 2 8 3 2" xfId="5164" xr:uid="{00000000-0005-0000-0000-000029140000}"/>
    <cellStyle name="20% - Énfasis4 2 8 4" xfId="5165" xr:uid="{00000000-0005-0000-0000-00002A140000}"/>
    <cellStyle name="20% - Énfasis4 2 8 5" xfId="5166" xr:uid="{00000000-0005-0000-0000-00002B140000}"/>
    <cellStyle name="20% - Énfasis4 2 9" xfId="5167" xr:uid="{00000000-0005-0000-0000-00002C140000}"/>
    <cellStyle name="20% - Énfasis4 2 9 2" xfId="5168" xr:uid="{00000000-0005-0000-0000-00002D140000}"/>
    <cellStyle name="20% - Énfasis4 3" xfId="5169" xr:uid="{00000000-0005-0000-0000-00002E140000}"/>
    <cellStyle name="20% - Énfasis4 3 10" xfId="5170" xr:uid="{00000000-0005-0000-0000-00002F140000}"/>
    <cellStyle name="20% - Énfasis4 3 10 2" xfId="5171" xr:uid="{00000000-0005-0000-0000-000030140000}"/>
    <cellStyle name="20% - Énfasis4 3 11" xfId="5172" xr:uid="{00000000-0005-0000-0000-000031140000}"/>
    <cellStyle name="20% - Énfasis4 3 12" xfId="5173" xr:uid="{00000000-0005-0000-0000-000032140000}"/>
    <cellStyle name="20% - Énfasis4 3 2" xfId="5174" xr:uid="{00000000-0005-0000-0000-000033140000}"/>
    <cellStyle name="20% - Énfasis4 3 2 10" xfId="5175" xr:uid="{00000000-0005-0000-0000-000034140000}"/>
    <cellStyle name="20% - Énfasis4 3 2 11" xfId="5176" xr:uid="{00000000-0005-0000-0000-000035140000}"/>
    <cellStyle name="20% - Énfasis4 3 2 2" xfId="5177" xr:uid="{00000000-0005-0000-0000-000036140000}"/>
    <cellStyle name="20% - Énfasis4 3 2 2 10" xfId="5178" xr:uid="{00000000-0005-0000-0000-000037140000}"/>
    <cellStyle name="20% - Énfasis4 3 2 2 2" xfId="5179" xr:uid="{00000000-0005-0000-0000-000038140000}"/>
    <cellStyle name="20% - Énfasis4 3 2 2 2 2" xfId="5180" xr:uid="{00000000-0005-0000-0000-000039140000}"/>
    <cellStyle name="20% - Énfasis4 3 2 2 2 2 2" xfId="5181" xr:uid="{00000000-0005-0000-0000-00003A140000}"/>
    <cellStyle name="20% - Énfasis4 3 2 2 2 2 2 2" xfId="5182" xr:uid="{00000000-0005-0000-0000-00003B140000}"/>
    <cellStyle name="20% - Énfasis4 3 2 2 2 2 2 2 2" xfId="5183" xr:uid="{00000000-0005-0000-0000-00003C140000}"/>
    <cellStyle name="20% - Énfasis4 3 2 2 2 2 2 2 2 2" xfId="5184" xr:uid="{00000000-0005-0000-0000-00003D140000}"/>
    <cellStyle name="20% - Énfasis4 3 2 2 2 2 2 2 2 2 2" xfId="5185" xr:uid="{00000000-0005-0000-0000-00003E140000}"/>
    <cellStyle name="20% - Énfasis4 3 2 2 2 2 2 2 2 3" xfId="5186" xr:uid="{00000000-0005-0000-0000-00003F140000}"/>
    <cellStyle name="20% - Énfasis4 3 2 2 2 2 2 2 2 4" xfId="5187" xr:uid="{00000000-0005-0000-0000-000040140000}"/>
    <cellStyle name="20% - Énfasis4 3 2 2 2 2 2 2 3" xfId="5188" xr:uid="{00000000-0005-0000-0000-000041140000}"/>
    <cellStyle name="20% - Énfasis4 3 2 2 2 2 2 2 3 2" xfId="5189" xr:uid="{00000000-0005-0000-0000-000042140000}"/>
    <cellStyle name="20% - Énfasis4 3 2 2 2 2 2 2 4" xfId="5190" xr:uid="{00000000-0005-0000-0000-000043140000}"/>
    <cellStyle name="20% - Énfasis4 3 2 2 2 2 2 2 5" xfId="5191" xr:uid="{00000000-0005-0000-0000-000044140000}"/>
    <cellStyle name="20% - Énfasis4 3 2 2 2 2 2 3" xfId="5192" xr:uid="{00000000-0005-0000-0000-000045140000}"/>
    <cellStyle name="20% - Énfasis4 3 2 2 2 2 2 3 2" xfId="5193" xr:uid="{00000000-0005-0000-0000-000046140000}"/>
    <cellStyle name="20% - Énfasis4 3 2 2 2 2 2 3 2 2" xfId="5194" xr:uid="{00000000-0005-0000-0000-000047140000}"/>
    <cellStyle name="20% - Énfasis4 3 2 2 2 2 2 3 3" xfId="5195" xr:uid="{00000000-0005-0000-0000-000048140000}"/>
    <cellStyle name="20% - Énfasis4 3 2 2 2 2 2 3 4" xfId="5196" xr:uid="{00000000-0005-0000-0000-000049140000}"/>
    <cellStyle name="20% - Énfasis4 3 2 2 2 2 2 4" xfId="5197" xr:uid="{00000000-0005-0000-0000-00004A140000}"/>
    <cellStyle name="20% - Énfasis4 3 2 2 2 2 2 4 2" xfId="5198" xr:uid="{00000000-0005-0000-0000-00004B140000}"/>
    <cellStyle name="20% - Énfasis4 3 2 2 2 2 2 5" xfId="5199" xr:uid="{00000000-0005-0000-0000-00004C140000}"/>
    <cellStyle name="20% - Énfasis4 3 2 2 2 2 2 6" xfId="5200" xr:uid="{00000000-0005-0000-0000-00004D140000}"/>
    <cellStyle name="20% - Énfasis4 3 2 2 2 2 3" xfId="5201" xr:uid="{00000000-0005-0000-0000-00004E140000}"/>
    <cellStyle name="20% - Énfasis4 3 2 2 2 2 3 2" xfId="5202" xr:uid="{00000000-0005-0000-0000-00004F140000}"/>
    <cellStyle name="20% - Énfasis4 3 2 2 2 2 3 2 2" xfId="5203" xr:uid="{00000000-0005-0000-0000-000050140000}"/>
    <cellStyle name="20% - Énfasis4 3 2 2 2 2 3 2 2 2" xfId="5204" xr:uid="{00000000-0005-0000-0000-000051140000}"/>
    <cellStyle name="20% - Énfasis4 3 2 2 2 2 3 2 3" xfId="5205" xr:uid="{00000000-0005-0000-0000-000052140000}"/>
    <cellStyle name="20% - Énfasis4 3 2 2 2 2 3 2 4" xfId="5206" xr:uid="{00000000-0005-0000-0000-000053140000}"/>
    <cellStyle name="20% - Énfasis4 3 2 2 2 2 3 3" xfId="5207" xr:uid="{00000000-0005-0000-0000-000054140000}"/>
    <cellStyle name="20% - Énfasis4 3 2 2 2 2 3 3 2" xfId="5208" xr:uid="{00000000-0005-0000-0000-000055140000}"/>
    <cellStyle name="20% - Énfasis4 3 2 2 2 2 3 4" xfId="5209" xr:uid="{00000000-0005-0000-0000-000056140000}"/>
    <cellStyle name="20% - Énfasis4 3 2 2 2 2 3 5" xfId="5210" xr:uid="{00000000-0005-0000-0000-000057140000}"/>
    <cellStyle name="20% - Énfasis4 3 2 2 2 2 4" xfId="5211" xr:uid="{00000000-0005-0000-0000-000058140000}"/>
    <cellStyle name="20% - Énfasis4 3 2 2 2 2 4 2" xfId="5212" xr:uid="{00000000-0005-0000-0000-000059140000}"/>
    <cellStyle name="20% - Énfasis4 3 2 2 2 2 4 2 2" xfId="5213" xr:uid="{00000000-0005-0000-0000-00005A140000}"/>
    <cellStyle name="20% - Énfasis4 3 2 2 2 2 4 3" xfId="5214" xr:uid="{00000000-0005-0000-0000-00005B140000}"/>
    <cellStyle name="20% - Énfasis4 3 2 2 2 2 4 4" xfId="5215" xr:uid="{00000000-0005-0000-0000-00005C140000}"/>
    <cellStyle name="20% - Énfasis4 3 2 2 2 2 5" xfId="5216" xr:uid="{00000000-0005-0000-0000-00005D140000}"/>
    <cellStyle name="20% - Énfasis4 3 2 2 2 2 5 2" xfId="5217" xr:uid="{00000000-0005-0000-0000-00005E140000}"/>
    <cellStyle name="20% - Énfasis4 3 2 2 2 2 6" xfId="5218" xr:uid="{00000000-0005-0000-0000-00005F140000}"/>
    <cellStyle name="20% - Énfasis4 3 2 2 2 2 7" xfId="5219" xr:uid="{00000000-0005-0000-0000-000060140000}"/>
    <cellStyle name="20% - Énfasis4 3 2 2 2 3" xfId="5220" xr:uid="{00000000-0005-0000-0000-000061140000}"/>
    <cellStyle name="20% - Énfasis4 3 2 2 2 3 2" xfId="5221" xr:uid="{00000000-0005-0000-0000-000062140000}"/>
    <cellStyle name="20% - Énfasis4 3 2 2 2 3 2 2" xfId="5222" xr:uid="{00000000-0005-0000-0000-000063140000}"/>
    <cellStyle name="20% - Énfasis4 3 2 2 2 3 2 2 2" xfId="5223" xr:uid="{00000000-0005-0000-0000-000064140000}"/>
    <cellStyle name="20% - Énfasis4 3 2 2 2 3 2 2 2 2" xfId="5224" xr:uid="{00000000-0005-0000-0000-000065140000}"/>
    <cellStyle name="20% - Énfasis4 3 2 2 2 3 2 2 3" xfId="5225" xr:uid="{00000000-0005-0000-0000-000066140000}"/>
    <cellStyle name="20% - Énfasis4 3 2 2 2 3 2 2 4" xfId="5226" xr:uid="{00000000-0005-0000-0000-000067140000}"/>
    <cellStyle name="20% - Énfasis4 3 2 2 2 3 2 3" xfId="5227" xr:uid="{00000000-0005-0000-0000-000068140000}"/>
    <cellStyle name="20% - Énfasis4 3 2 2 2 3 2 3 2" xfId="5228" xr:uid="{00000000-0005-0000-0000-000069140000}"/>
    <cellStyle name="20% - Énfasis4 3 2 2 2 3 2 4" xfId="5229" xr:uid="{00000000-0005-0000-0000-00006A140000}"/>
    <cellStyle name="20% - Énfasis4 3 2 2 2 3 2 5" xfId="5230" xr:uid="{00000000-0005-0000-0000-00006B140000}"/>
    <cellStyle name="20% - Énfasis4 3 2 2 2 3 3" xfId="5231" xr:uid="{00000000-0005-0000-0000-00006C140000}"/>
    <cellStyle name="20% - Énfasis4 3 2 2 2 3 3 2" xfId="5232" xr:uid="{00000000-0005-0000-0000-00006D140000}"/>
    <cellStyle name="20% - Énfasis4 3 2 2 2 3 3 2 2" xfId="5233" xr:uid="{00000000-0005-0000-0000-00006E140000}"/>
    <cellStyle name="20% - Énfasis4 3 2 2 2 3 3 3" xfId="5234" xr:uid="{00000000-0005-0000-0000-00006F140000}"/>
    <cellStyle name="20% - Énfasis4 3 2 2 2 3 3 3 2" xfId="5235" xr:uid="{00000000-0005-0000-0000-000070140000}"/>
    <cellStyle name="20% - Énfasis4 3 2 2 2 3 3 4" xfId="5236" xr:uid="{00000000-0005-0000-0000-000071140000}"/>
    <cellStyle name="20% - Énfasis4 3 2 2 2 3 3 5" xfId="5237" xr:uid="{00000000-0005-0000-0000-000072140000}"/>
    <cellStyle name="20% - Énfasis4 3 2 2 2 3 4" xfId="5238" xr:uid="{00000000-0005-0000-0000-000073140000}"/>
    <cellStyle name="20% - Énfasis4 3 2 2 2 3 4 2" xfId="5239" xr:uid="{00000000-0005-0000-0000-000074140000}"/>
    <cellStyle name="20% - Énfasis4 3 2 2 2 3 5" xfId="5240" xr:uid="{00000000-0005-0000-0000-000075140000}"/>
    <cellStyle name="20% - Énfasis4 3 2 2 2 3 5 2" xfId="5241" xr:uid="{00000000-0005-0000-0000-000076140000}"/>
    <cellStyle name="20% - Énfasis4 3 2 2 2 3 6" xfId="5242" xr:uid="{00000000-0005-0000-0000-000077140000}"/>
    <cellStyle name="20% - Énfasis4 3 2 2 2 3 7" xfId="5243" xr:uid="{00000000-0005-0000-0000-000078140000}"/>
    <cellStyle name="20% - Énfasis4 3 2 2 2 4" xfId="5244" xr:uid="{00000000-0005-0000-0000-000079140000}"/>
    <cellStyle name="20% - Énfasis4 3 2 2 2 4 2" xfId="5245" xr:uid="{00000000-0005-0000-0000-00007A140000}"/>
    <cellStyle name="20% - Énfasis4 3 2 2 2 4 2 2" xfId="5246" xr:uid="{00000000-0005-0000-0000-00007B140000}"/>
    <cellStyle name="20% - Énfasis4 3 2 2 2 4 2 2 2" xfId="5247" xr:uid="{00000000-0005-0000-0000-00007C140000}"/>
    <cellStyle name="20% - Énfasis4 3 2 2 2 4 2 3" xfId="5248" xr:uid="{00000000-0005-0000-0000-00007D140000}"/>
    <cellStyle name="20% - Énfasis4 3 2 2 2 4 2 4" xfId="5249" xr:uid="{00000000-0005-0000-0000-00007E140000}"/>
    <cellStyle name="20% - Énfasis4 3 2 2 2 4 3" xfId="5250" xr:uid="{00000000-0005-0000-0000-00007F140000}"/>
    <cellStyle name="20% - Énfasis4 3 2 2 2 4 3 2" xfId="5251" xr:uid="{00000000-0005-0000-0000-000080140000}"/>
    <cellStyle name="20% - Énfasis4 3 2 2 2 4 4" xfId="5252" xr:uid="{00000000-0005-0000-0000-000081140000}"/>
    <cellStyle name="20% - Énfasis4 3 2 2 2 4 5" xfId="5253" xr:uid="{00000000-0005-0000-0000-000082140000}"/>
    <cellStyle name="20% - Énfasis4 3 2 2 2 5" xfId="5254" xr:uid="{00000000-0005-0000-0000-000083140000}"/>
    <cellStyle name="20% - Énfasis4 3 2 2 2 5 2" xfId="5255" xr:uid="{00000000-0005-0000-0000-000084140000}"/>
    <cellStyle name="20% - Énfasis4 3 2 2 2 5 2 2" xfId="5256" xr:uid="{00000000-0005-0000-0000-000085140000}"/>
    <cellStyle name="20% - Énfasis4 3 2 2 2 5 3" xfId="5257" xr:uid="{00000000-0005-0000-0000-000086140000}"/>
    <cellStyle name="20% - Énfasis4 3 2 2 2 5 3 2" xfId="5258" xr:uid="{00000000-0005-0000-0000-000087140000}"/>
    <cellStyle name="20% - Énfasis4 3 2 2 2 5 4" xfId="5259" xr:uid="{00000000-0005-0000-0000-000088140000}"/>
    <cellStyle name="20% - Énfasis4 3 2 2 2 5 5" xfId="5260" xr:uid="{00000000-0005-0000-0000-000089140000}"/>
    <cellStyle name="20% - Énfasis4 3 2 2 2 6" xfId="5261" xr:uid="{00000000-0005-0000-0000-00008A140000}"/>
    <cellStyle name="20% - Énfasis4 3 2 2 2 6 2" xfId="5262" xr:uid="{00000000-0005-0000-0000-00008B140000}"/>
    <cellStyle name="20% - Énfasis4 3 2 2 2 7" xfId="5263" xr:uid="{00000000-0005-0000-0000-00008C140000}"/>
    <cellStyle name="20% - Énfasis4 3 2 2 2 7 2" xfId="5264" xr:uid="{00000000-0005-0000-0000-00008D140000}"/>
    <cellStyle name="20% - Énfasis4 3 2 2 2 8" xfId="5265" xr:uid="{00000000-0005-0000-0000-00008E140000}"/>
    <cellStyle name="20% - Énfasis4 3 2 2 2 9" xfId="5266" xr:uid="{00000000-0005-0000-0000-00008F140000}"/>
    <cellStyle name="20% - Énfasis4 3 2 2 3" xfId="5267" xr:uid="{00000000-0005-0000-0000-000090140000}"/>
    <cellStyle name="20% - Énfasis4 3 2 2 3 2" xfId="5268" xr:uid="{00000000-0005-0000-0000-000091140000}"/>
    <cellStyle name="20% - Énfasis4 3 2 2 3 2 2" xfId="5269" xr:uid="{00000000-0005-0000-0000-000092140000}"/>
    <cellStyle name="20% - Énfasis4 3 2 2 3 2 2 2" xfId="5270" xr:uid="{00000000-0005-0000-0000-000093140000}"/>
    <cellStyle name="20% - Énfasis4 3 2 2 3 2 2 2 2" xfId="5271" xr:uid="{00000000-0005-0000-0000-000094140000}"/>
    <cellStyle name="20% - Énfasis4 3 2 2 3 2 2 2 2 2" xfId="5272" xr:uid="{00000000-0005-0000-0000-000095140000}"/>
    <cellStyle name="20% - Énfasis4 3 2 2 3 2 2 2 3" xfId="5273" xr:uid="{00000000-0005-0000-0000-000096140000}"/>
    <cellStyle name="20% - Énfasis4 3 2 2 3 2 2 2 4" xfId="5274" xr:uid="{00000000-0005-0000-0000-000097140000}"/>
    <cellStyle name="20% - Énfasis4 3 2 2 3 2 2 3" xfId="5275" xr:uid="{00000000-0005-0000-0000-000098140000}"/>
    <cellStyle name="20% - Énfasis4 3 2 2 3 2 2 3 2" xfId="5276" xr:uid="{00000000-0005-0000-0000-000099140000}"/>
    <cellStyle name="20% - Énfasis4 3 2 2 3 2 2 4" xfId="5277" xr:uid="{00000000-0005-0000-0000-00009A140000}"/>
    <cellStyle name="20% - Énfasis4 3 2 2 3 2 2 5" xfId="5278" xr:uid="{00000000-0005-0000-0000-00009B140000}"/>
    <cellStyle name="20% - Énfasis4 3 2 2 3 2 3" xfId="5279" xr:uid="{00000000-0005-0000-0000-00009C140000}"/>
    <cellStyle name="20% - Énfasis4 3 2 2 3 2 3 2" xfId="5280" xr:uid="{00000000-0005-0000-0000-00009D140000}"/>
    <cellStyle name="20% - Énfasis4 3 2 2 3 2 3 2 2" xfId="5281" xr:uid="{00000000-0005-0000-0000-00009E140000}"/>
    <cellStyle name="20% - Énfasis4 3 2 2 3 2 3 3" xfId="5282" xr:uid="{00000000-0005-0000-0000-00009F140000}"/>
    <cellStyle name="20% - Énfasis4 3 2 2 3 2 3 4" xfId="5283" xr:uid="{00000000-0005-0000-0000-0000A0140000}"/>
    <cellStyle name="20% - Énfasis4 3 2 2 3 2 4" xfId="5284" xr:uid="{00000000-0005-0000-0000-0000A1140000}"/>
    <cellStyle name="20% - Énfasis4 3 2 2 3 2 4 2" xfId="5285" xr:uid="{00000000-0005-0000-0000-0000A2140000}"/>
    <cellStyle name="20% - Énfasis4 3 2 2 3 2 5" xfId="5286" xr:uid="{00000000-0005-0000-0000-0000A3140000}"/>
    <cellStyle name="20% - Énfasis4 3 2 2 3 2 6" xfId="5287" xr:uid="{00000000-0005-0000-0000-0000A4140000}"/>
    <cellStyle name="20% - Énfasis4 3 2 2 3 3" xfId="5288" xr:uid="{00000000-0005-0000-0000-0000A5140000}"/>
    <cellStyle name="20% - Énfasis4 3 2 2 3 3 2" xfId="5289" xr:uid="{00000000-0005-0000-0000-0000A6140000}"/>
    <cellStyle name="20% - Énfasis4 3 2 2 3 3 2 2" xfId="5290" xr:uid="{00000000-0005-0000-0000-0000A7140000}"/>
    <cellStyle name="20% - Énfasis4 3 2 2 3 3 2 2 2" xfId="5291" xr:uid="{00000000-0005-0000-0000-0000A8140000}"/>
    <cellStyle name="20% - Énfasis4 3 2 2 3 3 2 3" xfId="5292" xr:uid="{00000000-0005-0000-0000-0000A9140000}"/>
    <cellStyle name="20% - Énfasis4 3 2 2 3 3 2 4" xfId="5293" xr:uid="{00000000-0005-0000-0000-0000AA140000}"/>
    <cellStyle name="20% - Énfasis4 3 2 2 3 3 3" xfId="5294" xr:uid="{00000000-0005-0000-0000-0000AB140000}"/>
    <cellStyle name="20% - Énfasis4 3 2 2 3 3 3 2" xfId="5295" xr:uid="{00000000-0005-0000-0000-0000AC140000}"/>
    <cellStyle name="20% - Énfasis4 3 2 2 3 3 4" xfId="5296" xr:uid="{00000000-0005-0000-0000-0000AD140000}"/>
    <cellStyle name="20% - Énfasis4 3 2 2 3 3 5" xfId="5297" xr:uid="{00000000-0005-0000-0000-0000AE140000}"/>
    <cellStyle name="20% - Énfasis4 3 2 2 3 4" xfId="5298" xr:uid="{00000000-0005-0000-0000-0000AF140000}"/>
    <cellStyle name="20% - Énfasis4 3 2 2 3 4 2" xfId="5299" xr:uid="{00000000-0005-0000-0000-0000B0140000}"/>
    <cellStyle name="20% - Énfasis4 3 2 2 3 4 2 2" xfId="5300" xr:uid="{00000000-0005-0000-0000-0000B1140000}"/>
    <cellStyle name="20% - Énfasis4 3 2 2 3 4 3" xfId="5301" xr:uid="{00000000-0005-0000-0000-0000B2140000}"/>
    <cellStyle name="20% - Énfasis4 3 2 2 3 4 4" xfId="5302" xr:uid="{00000000-0005-0000-0000-0000B3140000}"/>
    <cellStyle name="20% - Énfasis4 3 2 2 3 5" xfId="5303" xr:uid="{00000000-0005-0000-0000-0000B4140000}"/>
    <cellStyle name="20% - Énfasis4 3 2 2 3 5 2" xfId="5304" xr:uid="{00000000-0005-0000-0000-0000B5140000}"/>
    <cellStyle name="20% - Énfasis4 3 2 2 3 6" xfId="5305" xr:uid="{00000000-0005-0000-0000-0000B6140000}"/>
    <cellStyle name="20% - Énfasis4 3 2 2 3 7" xfId="5306" xr:uid="{00000000-0005-0000-0000-0000B7140000}"/>
    <cellStyle name="20% - Énfasis4 3 2 2 4" xfId="5307" xr:uid="{00000000-0005-0000-0000-0000B8140000}"/>
    <cellStyle name="20% - Énfasis4 3 2 2 4 2" xfId="5308" xr:uid="{00000000-0005-0000-0000-0000B9140000}"/>
    <cellStyle name="20% - Énfasis4 3 2 2 4 2 2" xfId="5309" xr:uid="{00000000-0005-0000-0000-0000BA140000}"/>
    <cellStyle name="20% - Énfasis4 3 2 2 4 2 2 2" xfId="5310" xr:uid="{00000000-0005-0000-0000-0000BB140000}"/>
    <cellStyle name="20% - Énfasis4 3 2 2 4 2 2 2 2" xfId="5311" xr:uid="{00000000-0005-0000-0000-0000BC140000}"/>
    <cellStyle name="20% - Énfasis4 3 2 2 4 2 2 3" xfId="5312" xr:uid="{00000000-0005-0000-0000-0000BD140000}"/>
    <cellStyle name="20% - Énfasis4 3 2 2 4 2 2 4" xfId="5313" xr:uid="{00000000-0005-0000-0000-0000BE140000}"/>
    <cellStyle name="20% - Énfasis4 3 2 2 4 2 3" xfId="5314" xr:uid="{00000000-0005-0000-0000-0000BF140000}"/>
    <cellStyle name="20% - Énfasis4 3 2 2 4 2 3 2" xfId="5315" xr:uid="{00000000-0005-0000-0000-0000C0140000}"/>
    <cellStyle name="20% - Énfasis4 3 2 2 4 2 4" xfId="5316" xr:uid="{00000000-0005-0000-0000-0000C1140000}"/>
    <cellStyle name="20% - Énfasis4 3 2 2 4 2 5" xfId="5317" xr:uid="{00000000-0005-0000-0000-0000C2140000}"/>
    <cellStyle name="20% - Énfasis4 3 2 2 4 3" xfId="5318" xr:uid="{00000000-0005-0000-0000-0000C3140000}"/>
    <cellStyle name="20% - Énfasis4 3 2 2 4 3 2" xfId="5319" xr:uid="{00000000-0005-0000-0000-0000C4140000}"/>
    <cellStyle name="20% - Énfasis4 3 2 2 4 3 2 2" xfId="5320" xr:uid="{00000000-0005-0000-0000-0000C5140000}"/>
    <cellStyle name="20% - Énfasis4 3 2 2 4 3 3" xfId="5321" xr:uid="{00000000-0005-0000-0000-0000C6140000}"/>
    <cellStyle name="20% - Énfasis4 3 2 2 4 3 3 2" xfId="5322" xr:uid="{00000000-0005-0000-0000-0000C7140000}"/>
    <cellStyle name="20% - Énfasis4 3 2 2 4 3 4" xfId="5323" xr:uid="{00000000-0005-0000-0000-0000C8140000}"/>
    <cellStyle name="20% - Énfasis4 3 2 2 4 3 5" xfId="5324" xr:uid="{00000000-0005-0000-0000-0000C9140000}"/>
    <cellStyle name="20% - Énfasis4 3 2 2 4 4" xfId="5325" xr:uid="{00000000-0005-0000-0000-0000CA140000}"/>
    <cellStyle name="20% - Énfasis4 3 2 2 4 4 2" xfId="5326" xr:uid="{00000000-0005-0000-0000-0000CB140000}"/>
    <cellStyle name="20% - Énfasis4 3 2 2 4 5" xfId="5327" xr:uid="{00000000-0005-0000-0000-0000CC140000}"/>
    <cellStyle name="20% - Énfasis4 3 2 2 4 5 2" xfId="5328" xr:uid="{00000000-0005-0000-0000-0000CD140000}"/>
    <cellStyle name="20% - Énfasis4 3 2 2 4 6" xfId="5329" xr:uid="{00000000-0005-0000-0000-0000CE140000}"/>
    <cellStyle name="20% - Énfasis4 3 2 2 4 7" xfId="5330" xr:uid="{00000000-0005-0000-0000-0000CF140000}"/>
    <cellStyle name="20% - Énfasis4 3 2 2 5" xfId="5331" xr:uid="{00000000-0005-0000-0000-0000D0140000}"/>
    <cellStyle name="20% - Énfasis4 3 2 2 5 2" xfId="5332" xr:uid="{00000000-0005-0000-0000-0000D1140000}"/>
    <cellStyle name="20% - Énfasis4 3 2 2 5 2 2" xfId="5333" xr:uid="{00000000-0005-0000-0000-0000D2140000}"/>
    <cellStyle name="20% - Énfasis4 3 2 2 5 2 2 2" xfId="5334" xr:uid="{00000000-0005-0000-0000-0000D3140000}"/>
    <cellStyle name="20% - Énfasis4 3 2 2 5 2 3" xfId="5335" xr:uid="{00000000-0005-0000-0000-0000D4140000}"/>
    <cellStyle name="20% - Énfasis4 3 2 2 5 2 4" xfId="5336" xr:uid="{00000000-0005-0000-0000-0000D5140000}"/>
    <cellStyle name="20% - Énfasis4 3 2 2 5 3" xfId="5337" xr:uid="{00000000-0005-0000-0000-0000D6140000}"/>
    <cellStyle name="20% - Énfasis4 3 2 2 5 3 2" xfId="5338" xr:uid="{00000000-0005-0000-0000-0000D7140000}"/>
    <cellStyle name="20% - Énfasis4 3 2 2 5 4" xfId="5339" xr:uid="{00000000-0005-0000-0000-0000D8140000}"/>
    <cellStyle name="20% - Énfasis4 3 2 2 5 5" xfId="5340" xr:uid="{00000000-0005-0000-0000-0000D9140000}"/>
    <cellStyle name="20% - Énfasis4 3 2 2 6" xfId="5341" xr:uid="{00000000-0005-0000-0000-0000DA140000}"/>
    <cellStyle name="20% - Énfasis4 3 2 2 6 2" xfId="5342" xr:uid="{00000000-0005-0000-0000-0000DB140000}"/>
    <cellStyle name="20% - Énfasis4 3 2 2 6 2 2" xfId="5343" xr:uid="{00000000-0005-0000-0000-0000DC140000}"/>
    <cellStyle name="20% - Énfasis4 3 2 2 6 3" xfId="5344" xr:uid="{00000000-0005-0000-0000-0000DD140000}"/>
    <cellStyle name="20% - Énfasis4 3 2 2 6 3 2" xfId="5345" xr:uid="{00000000-0005-0000-0000-0000DE140000}"/>
    <cellStyle name="20% - Énfasis4 3 2 2 6 4" xfId="5346" xr:uid="{00000000-0005-0000-0000-0000DF140000}"/>
    <cellStyle name="20% - Énfasis4 3 2 2 6 5" xfId="5347" xr:uid="{00000000-0005-0000-0000-0000E0140000}"/>
    <cellStyle name="20% - Énfasis4 3 2 2 7" xfId="5348" xr:uid="{00000000-0005-0000-0000-0000E1140000}"/>
    <cellStyle name="20% - Énfasis4 3 2 2 7 2" xfId="5349" xr:uid="{00000000-0005-0000-0000-0000E2140000}"/>
    <cellStyle name="20% - Énfasis4 3 2 2 8" xfId="5350" xr:uid="{00000000-0005-0000-0000-0000E3140000}"/>
    <cellStyle name="20% - Énfasis4 3 2 2 8 2" xfId="5351" xr:uid="{00000000-0005-0000-0000-0000E4140000}"/>
    <cellStyle name="20% - Énfasis4 3 2 2 9" xfId="5352" xr:uid="{00000000-0005-0000-0000-0000E5140000}"/>
    <cellStyle name="20% - Énfasis4 3 2 3" xfId="5353" xr:uid="{00000000-0005-0000-0000-0000E6140000}"/>
    <cellStyle name="20% - Énfasis4 3 2 3 2" xfId="5354" xr:uid="{00000000-0005-0000-0000-0000E7140000}"/>
    <cellStyle name="20% - Énfasis4 3 2 3 2 2" xfId="5355" xr:uid="{00000000-0005-0000-0000-0000E8140000}"/>
    <cellStyle name="20% - Énfasis4 3 2 3 2 2 2" xfId="5356" xr:uid="{00000000-0005-0000-0000-0000E9140000}"/>
    <cellStyle name="20% - Énfasis4 3 2 3 2 2 2 2" xfId="5357" xr:uid="{00000000-0005-0000-0000-0000EA140000}"/>
    <cellStyle name="20% - Énfasis4 3 2 3 2 2 2 2 2" xfId="5358" xr:uid="{00000000-0005-0000-0000-0000EB140000}"/>
    <cellStyle name="20% - Énfasis4 3 2 3 2 2 2 2 2 2" xfId="5359" xr:uid="{00000000-0005-0000-0000-0000EC140000}"/>
    <cellStyle name="20% - Énfasis4 3 2 3 2 2 2 2 3" xfId="5360" xr:uid="{00000000-0005-0000-0000-0000ED140000}"/>
    <cellStyle name="20% - Énfasis4 3 2 3 2 2 2 2 4" xfId="5361" xr:uid="{00000000-0005-0000-0000-0000EE140000}"/>
    <cellStyle name="20% - Énfasis4 3 2 3 2 2 2 3" xfId="5362" xr:uid="{00000000-0005-0000-0000-0000EF140000}"/>
    <cellStyle name="20% - Énfasis4 3 2 3 2 2 2 3 2" xfId="5363" xr:uid="{00000000-0005-0000-0000-0000F0140000}"/>
    <cellStyle name="20% - Énfasis4 3 2 3 2 2 2 4" xfId="5364" xr:uid="{00000000-0005-0000-0000-0000F1140000}"/>
    <cellStyle name="20% - Énfasis4 3 2 3 2 2 2 5" xfId="5365" xr:uid="{00000000-0005-0000-0000-0000F2140000}"/>
    <cellStyle name="20% - Énfasis4 3 2 3 2 2 3" xfId="5366" xr:uid="{00000000-0005-0000-0000-0000F3140000}"/>
    <cellStyle name="20% - Énfasis4 3 2 3 2 2 3 2" xfId="5367" xr:uid="{00000000-0005-0000-0000-0000F4140000}"/>
    <cellStyle name="20% - Énfasis4 3 2 3 2 2 3 2 2" xfId="5368" xr:uid="{00000000-0005-0000-0000-0000F5140000}"/>
    <cellStyle name="20% - Énfasis4 3 2 3 2 2 3 3" xfId="5369" xr:uid="{00000000-0005-0000-0000-0000F6140000}"/>
    <cellStyle name="20% - Énfasis4 3 2 3 2 2 3 4" xfId="5370" xr:uid="{00000000-0005-0000-0000-0000F7140000}"/>
    <cellStyle name="20% - Énfasis4 3 2 3 2 2 4" xfId="5371" xr:uid="{00000000-0005-0000-0000-0000F8140000}"/>
    <cellStyle name="20% - Énfasis4 3 2 3 2 2 4 2" xfId="5372" xr:uid="{00000000-0005-0000-0000-0000F9140000}"/>
    <cellStyle name="20% - Énfasis4 3 2 3 2 2 5" xfId="5373" xr:uid="{00000000-0005-0000-0000-0000FA140000}"/>
    <cellStyle name="20% - Énfasis4 3 2 3 2 2 6" xfId="5374" xr:uid="{00000000-0005-0000-0000-0000FB140000}"/>
    <cellStyle name="20% - Énfasis4 3 2 3 2 3" xfId="5375" xr:uid="{00000000-0005-0000-0000-0000FC140000}"/>
    <cellStyle name="20% - Énfasis4 3 2 3 2 3 2" xfId="5376" xr:uid="{00000000-0005-0000-0000-0000FD140000}"/>
    <cellStyle name="20% - Énfasis4 3 2 3 2 3 2 2" xfId="5377" xr:uid="{00000000-0005-0000-0000-0000FE140000}"/>
    <cellStyle name="20% - Énfasis4 3 2 3 2 3 2 2 2" xfId="5378" xr:uid="{00000000-0005-0000-0000-0000FF140000}"/>
    <cellStyle name="20% - Énfasis4 3 2 3 2 3 2 3" xfId="5379" xr:uid="{00000000-0005-0000-0000-000000150000}"/>
    <cellStyle name="20% - Énfasis4 3 2 3 2 3 2 4" xfId="5380" xr:uid="{00000000-0005-0000-0000-000001150000}"/>
    <cellStyle name="20% - Énfasis4 3 2 3 2 3 3" xfId="5381" xr:uid="{00000000-0005-0000-0000-000002150000}"/>
    <cellStyle name="20% - Énfasis4 3 2 3 2 3 3 2" xfId="5382" xr:uid="{00000000-0005-0000-0000-000003150000}"/>
    <cellStyle name="20% - Énfasis4 3 2 3 2 3 4" xfId="5383" xr:uid="{00000000-0005-0000-0000-000004150000}"/>
    <cellStyle name="20% - Énfasis4 3 2 3 2 3 5" xfId="5384" xr:uid="{00000000-0005-0000-0000-000005150000}"/>
    <cellStyle name="20% - Énfasis4 3 2 3 2 4" xfId="5385" xr:uid="{00000000-0005-0000-0000-000006150000}"/>
    <cellStyle name="20% - Énfasis4 3 2 3 2 4 2" xfId="5386" xr:uid="{00000000-0005-0000-0000-000007150000}"/>
    <cellStyle name="20% - Énfasis4 3 2 3 2 4 2 2" xfId="5387" xr:uid="{00000000-0005-0000-0000-000008150000}"/>
    <cellStyle name="20% - Énfasis4 3 2 3 2 4 3" xfId="5388" xr:uid="{00000000-0005-0000-0000-000009150000}"/>
    <cellStyle name="20% - Énfasis4 3 2 3 2 4 4" xfId="5389" xr:uid="{00000000-0005-0000-0000-00000A150000}"/>
    <cellStyle name="20% - Énfasis4 3 2 3 2 5" xfId="5390" xr:uid="{00000000-0005-0000-0000-00000B150000}"/>
    <cellStyle name="20% - Énfasis4 3 2 3 2 5 2" xfId="5391" xr:uid="{00000000-0005-0000-0000-00000C150000}"/>
    <cellStyle name="20% - Énfasis4 3 2 3 2 6" xfId="5392" xr:uid="{00000000-0005-0000-0000-00000D150000}"/>
    <cellStyle name="20% - Énfasis4 3 2 3 2 7" xfId="5393" xr:uid="{00000000-0005-0000-0000-00000E150000}"/>
    <cellStyle name="20% - Énfasis4 3 2 3 3" xfId="5394" xr:uid="{00000000-0005-0000-0000-00000F150000}"/>
    <cellStyle name="20% - Énfasis4 3 2 3 3 2" xfId="5395" xr:uid="{00000000-0005-0000-0000-000010150000}"/>
    <cellStyle name="20% - Énfasis4 3 2 3 3 2 2" xfId="5396" xr:uid="{00000000-0005-0000-0000-000011150000}"/>
    <cellStyle name="20% - Énfasis4 3 2 3 3 2 2 2" xfId="5397" xr:uid="{00000000-0005-0000-0000-000012150000}"/>
    <cellStyle name="20% - Énfasis4 3 2 3 3 2 2 2 2" xfId="5398" xr:uid="{00000000-0005-0000-0000-000013150000}"/>
    <cellStyle name="20% - Énfasis4 3 2 3 3 2 2 3" xfId="5399" xr:uid="{00000000-0005-0000-0000-000014150000}"/>
    <cellStyle name="20% - Énfasis4 3 2 3 3 2 2 4" xfId="5400" xr:uid="{00000000-0005-0000-0000-000015150000}"/>
    <cellStyle name="20% - Énfasis4 3 2 3 3 2 3" xfId="5401" xr:uid="{00000000-0005-0000-0000-000016150000}"/>
    <cellStyle name="20% - Énfasis4 3 2 3 3 2 3 2" xfId="5402" xr:uid="{00000000-0005-0000-0000-000017150000}"/>
    <cellStyle name="20% - Énfasis4 3 2 3 3 2 4" xfId="5403" xr:uid="{00000000-0005-0000-0000-000018150000}"/>
    <cellStyle name="20% - Énfasis4 3 2 3 3 2 5" xfId="5404" xr:uid="{00000000-0005-0000-0000-000019150000}"/>
    <cellStyle name="20% - Énfasis4 3 2 3 3 3" xfId="5405" xr:uid="{00000000-0005-0000-0000-00001A150000}"/>
    <cellStyle name="20% - Énfasis4 3 2 3 3 3 2" xfId="5406" xr:uid="{00000000-0005-0000-0000-00001B150000}"/>
    <cellStyle name="20% - Énfasis4 3 2 3 3 3 2 2" xfId="5407" xr:uid="{00000000-0005-0000-0000-00001C150000}"/>
    <cellStyle name="20% - Énfasis4 3 2 3 3 3 3" xfId="5408" xr:uid="{00000000-0005-0000-0000-00001D150000}"/>
    <cellStyle name="20% - Énfasis4 3 2 3 3 3 3 2" xfId="5409" xr:uid="{00000000-0005-0000-0000-00001E150000}"/>
    <cellStyle name="20% - Énfasis4 3 2 3 3 3 4" xfId="5410" xr:uid="{00000000-0005-0000-0000-00001F150000}"/>
    <cellStyle name="20% - Énfasis4 3 2 3 3 3 5" xfId="5411" xr:uid="{00000000-0005-0000-0000-000020150000}"/>
    <cellStyle name="20% - Énfasis4 3 2 3 3 4" xfId="5412" xr:uid="{00000000-0005-0000-0000-000021150000}"/>
    <cellStyle name="20% - Énfasis4 3 2 3 3 4 2" xfId="5413" xr:uid="{00000000-0005-0000-0000-000022150000}"/>
    <cellStyle name="20% - Énfasis4 3 2 3 3 5" xfId="5414" xr:uid="{00000000-0005-0000-0000-000023150000}"/>
    <cellStyle name="20% - Énfasis4 3 2 3 3 5 2" xfId="5415" xr:uid="{00000000-0005-0000-0000-000024150000}"/>
    <cellStyle name="20% - Énfasis4 3 2 3 3 6" xfId="5416" xr:uid="{00000000-0005-0000-0000-000025150000}"/>
    <cellStyle name="20% - Énfasis4 3 2 3 3 7" xfId="5417" xr:uid="{00000000-0005-0000-0000-000026150000}"/>
    <cellStyle name="20% - Énfasis4 3 2 3 4" xfId="5418" xr:uid="{00000000-0005-0000-0000-000027150000}"/>
    <cellStyle name="20% - Énfasis4 3 2 3 4 2" xfId="5419" xr:uid="{00000000-0005-0000-0000-000028150000}"/>
    <cellStyle name="20% - Énfasis4 3 2 3 4 2 2" xfId="5420" xr:uid="{00000000-0005-0000-0000-000029150000}"/>
    <cellStyle name="20% - Énfasis4 3 2 3 4 2 2 2" xfId="5421" xr:uid="{00000000-0005-0000-0000-00002A150000}"/>
    <cellStyle name="20% - Énfasis4 3 2 3 4 2 3" xfId="5422" xr:uid="{00000000-0005-0000-0000-00002B150000}"/>
    <cellStyle name="20% - Énfasis4 3 2 3 4 2 4" xfId="5423" xr:uid="{00000000-0005-0000-0000-00002C150000}"/>
    <cellStyle name="20% - Énfasis4 3 2 3 4 3" xfId="5424" xr:uid="{00000000-0005-0000-0000-00002D150000}"/>
    <cellStyle name="20% - Énfasis4 3 2 3 4 3 2" xfId="5425" xr:uid="{00000000-0005-0000-0000-00002E150000}"/>
    <cellStyle name="20% - Énfasis4 3 2 3 4 4" xfId="5426" xr:uid="{00000000-0005-0000-0000-00002F150000}"/>
    <cellStyle name="20% - Énfasis4 3 2 3 4 5" xfId="5427" xr:uid="{00000000-0005-0000-0000-000030150000}"/>
    <cellStyle name="20% - Énfasis4 3 2 3 5" xfId="5428" xr:uid="{00000000-0005-0000-0000-000031150000}"/>
    <cellStyle name="20% - Énfasis4 3 2 3 5 2" xfId="5429" xr:uid="{00000000-0005-0000-0000-000032150000}"/>
    <cellStyle name="20% - Énfasis4 3 2 3 5 2 2" xfId="5430" xr:uid="{00000000-0005-0000-0000-000033150000}"/>
    <cellStyle name="20% - Énfasis4 3 2 3 5 3" xfId="5431" xr:uid="{00000000-0005-0000-0000-000034150000}"/>
    <cellStyle name="20% - Énfasis4 3 2 3 5 3 2" xfId="5432" xr:uid="{00000000-0005-0000-0000-000035150000}"/>
    <cellStyle name="20% - Énfasis4 3 2 3 5 4" xfId="5433" xr:uid="{00000000-0005-0000-0000-000036150000}"/>
    <cellStyle name="20% - Énfasis4 3 2 3 5 5" xfId="5434" xr:uid="{00000000-0005-0000-0000-000037150000}"/>
    <cellStyle name="20% - Énfasis4 3 2 3 6" xfId="5435" xr:uid="{00000000-0005-0000-0000-000038150000}"/>
    <cellStyle name="20% - Énfasis4 3 2 3 6 2" xfId="5436" xr:uid="{00000000-0005-0000-0000-000039150000}"/>
    <cellStyle name="20% - Énfasis4 3 2 3 7" xfId="5437" xr:uid="{00000000-0005-0000-0000-00003A150000}"/>
    <cellStyle name="20% - Énfasis4 3 2 3 7 2" xfId="5438" xr:uid="{00000000-0005-0000-0000-00003B150000}"/>
    <cellStyle name="20% - Énfasis4 3 2 3 8" xfId="5439" xr:uid="{00000000-0005-0000-0000-00003C150000}"/>
    <cellStyle name="20% - Énfasis4 3 2 3 9" xfId="5440" xr:uid="{00000000-0005-0000-0000-00003D150000}"/>
    <cellStyle name="20% - Énfasis4 3 2 4" xfId="5441" xr:uid="{00000000-0005-0000-0000-00003E150000}"/>
    <cellStyle name="20% - Énfasis4 3 2 4 2" xfId="5442" xr:uid="{00000000-0005-0000-0000-00003F150000}"/>
    <cellStyle name="20% - Énfasis4 3 2 4 2 2" xfId="5443" xr:uid="{00000000-0005-0000-0000-000040150000}"/>
    <cellStyle name="20% - Énfasis4 3 2 4 2 2 2" xfId="5444" xr:uid="{00000000-0005-0000-0000-000041150000}"/>
    <cellStyle name="20% - Énfasis4 3 2 4 2 2 2 2" xfId="5445" xr:uid="{00000000-0005-0000-0000-000042150000}"/>
    <cellStyle name="20% - Énfasis4 3 2 4 2 2 2 2 2" xfId="5446" xr:uid="{00000000-0005-0000-0000-000043150000}"/>
    <cellStyle name="20% - Énfasis4 3 2 4 2 2 2 3" xfId="5447" xr:uid="{00000000-0005-0000-0000-000044150000}"/>
    <cellStyle name="20% - Énfasis4 3 2 4 2 2 2 4" xfId="5448" xr:uid="{00000000-0005-0000-0000-000045150000}"/>
    <cellStyle name="20% - Énfasis4 3 2 4 2 2 3" xfId="5449" xr:uid="{00000000-0005-0000-0000-000046150000}"/>
    <cellStyle name="20% - Énfasis4 3 2 4 2 2 3 2" xfId="5450" xr:uid="{00000000-0005-0000-0000-000047150000}"/>
    <cellStyle name="20% - Énfasis4 3 2 4 2 2 4" xfId="5451" xr:uid="{00000000-0005-0000-0000-000048150000}"/>
    <cellStyle name="20% - Énfasis4 3 2 4 2 2 5" xfId="5452" xr:uid="{00000000-0005-0000-0000-000049150000}"/>
    <cellStyle name="20% - Énfasis4 3 2 4 2 3" xfId="5453" xr:uid="{00000000-0005-0000-0000-00004A150000}"/>
    <cellStyle name="20% - Énfasis4 3 2 4 2 3 2" xfId="5454" xr:uid="{00000000-0005-0000-0000-00004B150000}"/>
    <cellStyle name="20% - Énfasis4 3 2 4 2 3 2 2" xfId="5455" xr:uid="{00000000-0005-0000-0000-00004C150000}"/>
    <cellStyle name="20% - Énfasis4 3 2 4 2 3 3" xfId="5456" xr:uid="{00000000-0005-0000-0000-00004D150000}"/>
    <cellStyle name="20% - Énfasis4 3 2 4 2 3 3 2" xfId="5457" xr:uid="{00000000-0005-0000-0000-00004E150000}"/>
    <cellStyle name="20% - Énfasis4 3 2 4 2 3 4" xfId="5458" xr:uid="{00000000-0005-0000-0000-00004F150000}"/>
    <cellStyle name="20% - Énfasis4 3 2 4 2 3 5" xfId="5459" xr:uid="{00000000-0005-0000-0000-000050150000}"/>
    <cellStyle name="20% - Énfasis4 3 2 4 2 4" xfId="5460" xr:uid="{00000000-0005-0000-0000-000051150000}"/>
    <cellStyle name="20% - Énfasis4 3 2 4 2 4 2" xfId="5461" xr:uid="{00000000-0005-0000-0000-000052150000}"/>
    <cellStyle name="20% - Énfasis4 3 2 4 2 5" xfId="5462" xr:uid="{00000000-0005-0000-0000-000053150000}"/>
    <cellStyle name="20% - Énfasis4 3 2 4 2 5 2" xfId="5463" xr:uid="{00000000-0005-0000-0000-000054150000}"/>
    <cellStyle name="20% - Énfasis4 3 2 4 2 6" xfId="5464" xr:uid="{00000000-0005-0000-0000-000055150000}"/>
    <cellStyle name="20% - Énfasis4 3 2 4 2 7" xfId="5465" xr:uid="{00000000-0005-0000-0000-000056150000}"/>
    <cellStyle name="20% - Énfasis4 3 2 4 3" xfId="5466" xr:uid="{00000000-0005-0000-0000-000057150000}"/>
    <cellStyle name="20% - Énfasis4 3 2 4 3 2" xfId="5467" xr:uid="{00000000-0005-0000-0000-000058150000}"/>
    <cellStyle name="20% - Énfasis4 3 2 4 3 2 2" xfId="5468" xr:uid="{00000000-0005-0000-0000-000059150000}"/>
    <cellStyle name="20% - Énfasis4 3 2 4 3 2 2 2" xfId="5469" xr:uid="{00000000-0005-0000-0000-00005A150000}"/>
    <cellStyle name="20% - Énfasis4 3 2 4 3 2 3" xfId="5470" xr:uid="{00000000-0005-0000-0000-00005B150000}"/>
    <cellStyle name="20% - Énfasis4 3 2 4 3 2 4" xfId="5471" xr:uid="{00000000-0005-0000-0000-00005C150000}"/>
    <cellStyle name="20% - Énfasis4 3 2 4 3 3" xfId="5472" xr:uid="{00000000-0005-0000-0000-00005D150000}"/>
    <cellStyle name="20% - Énfasis4 3 2 4 3 3 2" xfId="5473" xr:uid="{00000000-0005-0000-0000-00005E150000}"/>
    <cellStyle name="20% - Énfasis4 3 2 4 3 4" xfId="5474" xr:uid="{00000000-0005-0000-0000-00005F150000}"/>
    <cellStyle name="20% - Énfasis4 3 2 4 3 5" xfId="5475" xr:uid="{00000000-0005-0000-0000-000060150000}"/>
    <cellStyle name="20% - Énfasis4 3 2 4 4" xfId="5476" xr:uid="{00000000-0005-0000-0000-000061150000}"/>
    <cellStyle name="20% - Énfasis4 3 2 4 4 2" xfId="5477" xr:uid="{00000000-0005-0000-0000-000062150000}"/>
    <cellStyle name="20% - Énfasis4 3 2 4 4 2 2" xfId="5478" xr:uid="{00000000-0005-0000-0000-000063150000}"/>
    <cellStyle name="20% - Énfasis4 3 2 4 4 3" xfId="5479" xr:uid="{00000000-0005-0000-0000-000064150000}"/>
    <cellStyle name="20% - Énfasis4 3 2 4 4 3 2" xfId="5480" xr:uid="{00000000-0005-0000-0000-000065150000}"/>
    <cellStyle name="20% - Énfasis4 3 2 4 4 4" xfId="5481" xr:uid="{00000000-0005-0000-0000-000066150000}"/>
    <cellStyle name="20% - Énfasis4 3 2 4 4 5" xfId="5482" xr:uid="{00000000-0005-0000-0000-000067150000}"/>
    <cellStyle name="20% - Énfasis4 3 2 4 5" xfId="5483" xr:uid="{00000000-0005-0000-0000-000068150000}"/>
    <cellStyle name="20% - Énfasis4 3 2 4 5 2" xfId="5484" xr:uid="{00000000-0005-0000-0000-000069150000}"/>
    <cellStyle name="20% - Énfasis4 3 2 4 6" xfId="5485" xr:uid="{00000000-0005-0000-0000-00006A150000}"/>
    <cellStyle name="20% - Énfasis4 3 2 4 6 2" xfId="5486" xr:uid="{00000000-0005-0000-0000-00006B150000}"/>
    <cellStyle name="20% - Énfasis4 3 2 4 7" xfId="5487" xr:uid="{00000000-0005-0000-0000-00006C150000}"/>
    <cellStyle name="20% - Énfasis4 3 2 4 8" xfId="5488" xr:uid="{00000000-0005-0000-0000-00006D150000}"/>
    <cellStyle name="20% - Énfasis4 3 2 5" xfId="5489" xr:uid="{00000000-0005-0000-0000-00006E150000}"/>
    <cellStyle name="20% - Énfasis4 3 2 5 2" xfId="5490" xr:uid="{00000000-0005-0000-0000-00006F150000}"/>
    <cellStyle name="20% - Énfasis4 3 2 5 2 2" xfId="5491" xr:uid="{00000000-0005-0000-0000-000070150000}"/>
    <cellStyle name="20% - Énfasis4 3 2 5 2 2 2" xfId="5492" xr:uid="{00000000-0005-0000-0000-000071150000}"/>
    <cellStyle name="20% - Énfasis4 3 2 5 2 2 2 2" xfId="5493" xr:uid="{00000000-0005-0000-0000-000072150000}"/>
    <cellStyle name="20% - Énfasis4 3 2 5 2 2 3" xfId="5494" xr:uid="{00000000-0005-0000-0000-000073150000}"/>
    <cellStyle name="20% - Énfasis4 3 2 5 2 2 4" xfId="5495" xr:uid="{00000000-0005-0000-0000-000074150000}"/>
    <cellStyle name="20% - Énfasis4 3 2 5 2 3" xfId="5496" xr:uid="{00000000-0005-0000-0000-000075150000}"/>
    <cellStyle name="20% - Énfasis4 3 2 5 2 3 2" xfId="5497" xr:uid="{00000000-0005-0000-0000-000076150000}"/>
    <cellStyle name="20% - Énfasis4 3 2 5 2 4" xfId="5498" xr:uid="{00000000-0005-0000-0000-000077150000}"/>
    <cellStyle name="20% - Énfasis4 3 2 5 2 5" xfId="5499" xr:uid="{00000000-0005-0000-0000-000078150000}"/>
    <cellStyle name="20% - Énfasis4 3 2 5 3" xfId="5500" xr:uid="{00000000-0005-0000-0000-000079150000}"/>
    <cellStyle name="20% - Énfasis4 3 2 5 3 2" xfId="5501" xr:uid="{00000000-0005-0000-0000-00007A150000}"/>
    <cellStyle name="20% - Énfasis4 3 2 5 3 2 2" xfId="5502" xr:uid="{00000000-0005-0000-0000-00007B150000}"/>
    <cellStyle name="20% - Énfasis4 3 2 5 3 3" xfId="5503" xr:uid="{00000000-0005-0000-0000-00007C150000}"/>
    <cellStyle name="20% - Énfasis4 3 2 5 3 3 2" xfId="5504" xr:uid="{00000000-0005-0000-0000-00007D150000}"/>
    <cellStyle name="20% - Énfasis4 3 2 5 3 4" xfId="5505" xr:uid="{00000000-0005-0000-0000-00007E150000}"/>
    <cellStyle name="20% - Énfasis4 3 2 5 3 5" xfId="5506" xr:uid="{00000000-0005-0000-0000-00007F150000}"/>
    <cellStyle name="20% - Énfasis4 3 2 5 4" xfId="5507" xr:uid="{00000000-0005-0000-0000-000080150000}"/>
    <cellStyle name="20% - Énfasis4 3 2 5 4 2" xfId="5508" xr:uid="{00000000-0005-0000-0000-000081150000}"/>
    <cellStyle name="20% - Énfasis4 3 2 5 5" xfId="5509" xr:uid="{00000000-0005-0000-0000-000082150000}"/>
    <cellStyle name="20% - Énfasis4 3 2 5 5 2" xfId="5510" xr:uid="{00000000-0005-0000-0000-000083150000}"/>
    <cellStyle name="20% - Énfasis4 3 2 5 6" xfId="5511" xr:uid="{00000000-0005-0000-0000-000084150000}"/>
    <cellStyle name="20% - Énfasis4 3 2 5 7" xfId="5512" xr:uid="{00000000-0005-0000-0000-000085150000}"/>
    <cellStyle name="20% - Énfasis4 3 2 6" xfId="5513" xr:uid="{00000000-0005-0000-0000-000086150000}"/>
    <cellStyle name="20% - Énfasis4 3 2 6 2" xfId="5514" xr:uid="{00000000-0005-0000-0000-000087150000}"/>
    <cellStyle name="20% - Énfasis4 3 2 6 2 2" xfId="5515" xr:uid="{00000000-0005-0000-0000-000088150000}"/>
    <cellStyle name="20% - Énfasis4 3 2 6 2 2 2" xfId="5516" xr:uid="{00000000-0005-0000-0000-000089150000}"/>
    <cellStyle name="20% - Énfasis4 3 2 6 2 3" xfId="5517" xr:uid="{00000000-0005-0000-0000-00008A150000}"/>
    <cellStyle name="20% - Énfasis4 3 2 6 2 4" xfId="5518" xr:uid="{00000000-0005-0000-0000-00008B150000}"/>
    <cellStyle name="20% - Énfasis4 3 2 6 3" xfId="5519" xr:uid="{00000000-0005-0000-0000-00008C150000}"/>
    <cellStyle name="20% - Énfasis4 3 2 6 3 2" xfId="5520" xr:uid="{00000000-0005-0000-0000-00008D150000}"/>
    <cellStyle name="20% - Énfasis4 3 2 6 4" xfId="5521" xr:uid="{00000000-0005-0000-0000-00008E150000}"/>
    <cellStyle name="20% - Énfasis4 3 2 6 5" xfId="5522" xr:uid="{00000000-0005-0000-0000-00008F150000}"/>
    <cellStyle name="20% - Énfasis4 3 2 7" xfId="5523" xr:uid="{00000000-0005-0000-0000-000090150000}"/>
    <cellStyle name="20% - Énfasis4 3 2 7 2" xfId="5524" xr:uid="{00000000-0005-0000-0000-000091150000}"/>
    <cellStyle name="20% - Énfasis4 3 2 7 2 2" xfId="5525" xr:uid="{00000000-0005-0000-0000-000092150000}"/>
    <cellStyle name="20% - Énfasis4 3 2 7 3" xfId="5526" xr:uid="{00000000-0005-0000-0000-000093150000}"/>
    <cellStyle name="20% - Énfasis4 3 2 7 3 2" xfId="5527" xr:uid="{00000000-0005-0000-0000-000094150000}"/>
    <cellStyle name="20% - Énfasis4 3 2 7 4" xfId="5528" xr:uid="{00000000-0005-0000-0000-000095150000}"/>
    <cellStyle name="20% - Énfasis4 3 2 7 5" xfId="5529" xr:uid="{00000000-0005-0000-0000-000096150000}"/>
    <cellStyle name="20% - Énfasis4 3 2 8" xfId="5530" xr:uid="{00000000-0005-0000-0000-000097150000}"/>
    <cellStyle name="20% - Énfasis4 3 2 8 2" xfId="5531" xr:uid="{00000000-0005-0000-0000-000098150000}"/>
    <cellStyle name="20% - Énfasis4 3 2 9" xfId="5532" xr:uid="{00000000-0005-0000-0000-000099150000}"/>
    <cellStyle name="20% - Énfasis4 3 2 9 2" xfId="5533" xr:uid="{00000000-0005-0000-0000-00009A150000}"/>
    <cellStyle name="20% - Énfasis4 3 3" xfId="5534" xr:uid="{00000000-0005-0000-0000-00009B150000}"/>
    <cellStyle name="20% - Énfasis4 3 3 10" xfId="5535" xr:uid="{00000000-0005-0000-0000-00009C150000}"/>
    <cellStyle name="20% - Énfasis4 3 3 2" xfId="5536" xr:uid="{00000000-0005-0000-0000-00009D150000}"/>
    <cellStyle name="20% - Énfasis4 3 3 2 2" xfId="5537" xr:uid="{00000000-0005-0000-0000-00009E150000}"/>
    <cellStyle name="20% - Énfasis4 3 3 2 2 2" xfId="5538" xr:uid="{00000000-0005-0000-0000-00009F150000}"/>
    <cellStyle name="20% - Énfasis4 3 3 2 2 2 2" xfId="5539" xr:uid="{00000000-0005-0000-0000-0000A0150000}"/>
    <cellStyle name="20% - Énfasis4 3 3 2 2 2 2 2" xfId="5540" xr:uid="{00000000-0005-0000-0000-0000A1150000}"/>
    <cellStyle name="20% - Énfasis4 3 3 2 2 2 2 2 2" xfId="5541" xr:uid="{00000000-0005-0000-0000-0000A2150000}"/>
    <cellStyle name="20% - Énfasis4 3 3 2 2 2 2 2 2 2" xfId="5542" xr:uid="{00000000-0005-0000-0000-0000A3150000}"/>
    <cellStyle name="20% - Énfasis4 3 3 2 2 2 2 2 3" xfId="5543" xr:uid="{00000000-0005-0000-0000-0000A4150000}"/>
    <cellStyle name="20% - Énfasis4 3 3 2 2 2 2 2 4" xfId="5544" xr:uid="{00000000-0005-0000-0000-0000A5150000}"/>
    <cellStyle name="20% - Énfasis4 3 3 2 2 2 2 3" xfId="5545" xr:uid="{00000000-0005-0000-0000-0000A6150000}"/>
    <cellStyle name="20% - Énfasis4 3 3 2 2 2 2 3 2" xfId="5546" xr:uid="{00000000-0005-0000-0000-0000A7150000}"/>
    <cellStyle name="20% - Énfasis4 3 3 2 2 2 2 4" xfId="5547" xr:uid="{00000000-0005-0000-0000-0000A8150000}"/>
    <cellStyle name="20% - Énfasis4 3 3 2 2 2 2 5" xfId="5548" xr:uid="{00000000-0005-0000-0000-0000A9150000}"/>
    <cellStyle name="20% - Énfasis4 3 3 2 2 2 3" xfId="5549" xr:uid="{00000000-0005-0000-0000-0000AA150000}"/>
    <cellStyle name="20% - Énfasis4 3 3 2 2 2 3 2" xfId="5550" xr:uid="{00000000-0005-0000-0000-0000AB150000}"/>
    <cellStyle name="20% - Énfasis4 3 3 2 2 2 3 2 2" xfId="5551" xr:uid="{00000000-0005-0000-0000-0000AC150000}"/>
    <cellStyle name="20% - Énfasis4 3 3 2 2 2 3 3" xfId="5552" xr:uid="{00000000-0005-0000-0000-0000AD150000}"/>
    <cellStyle name="20% - Énfasis4 3 3 2 2 2 3 4" xfId="5553" xr:uid="{00000000-0005-0000-0000-0000AE150000}"/>
    <cellStyle name="20% - Énfasis4 3 3 2 2 2 4" xfId="5554" xr:uid="{00000000-0005-0000-0000-0000AF150000}"/>
    <cellStyle name="20% - Énfasis4 3 3 2 2 2 4 2" xfId="5555" xr:uid="{00000000-0005-0000-0000-0000B0150000}"/>
    <cellStyle name="20% - Énfasis4 3 3 2 2 2 5" xfId="5556" xr:uid="{00000000-0005-0000-0000-0000B1150000}"/>
    <cellStyle name="20% - Énfasis4 3 3 2 2 2 6" xfId="5557" xr:uid="{00000000-0005-0000-0000-0000B2150000}"/>
    <cellStyle name="20% - Énfasis4 3 3 2 2 3" xfId="5558" xr:uid="{00000000-0005-0000-0000-0000B3150000}"/>
    <cellStyle name="20% - Énfasis4 3 3 2 2 3 2" xfId="5559" xr:uid="{00000000-0005-0000-0000-0000B4150000}"/>
    <cellStyle name="20% - Énfasis4 3 3 2 2 3 2 2" xfId="5560" xr:uid="{00000000-0005-0000-0000-0000B5150000}"/>
    <cellStyle name="20% - Énfasis4 3 3 2 2 3 2 2 2" xfId="5561" xr:uid="{00000000-0005-0000-0000-0000B6150000}"/>
    <cellStyle name="20% - Énfasis4 3 3 2 2 3 2 3" xfId="5562" xr:uid="{00000000-0005-0000-0000-0000B7150000}"/>
    <cellStyle name="20% - Énfasis4 3 3 2 2 3 2 4" xfId="5563" xr:uid="{00000000-0005-0000-0000-0000B8150000}"/>
    <cellStyle name="20% - Énfasis4 3 3 2 2 3 3" xfId="5564" xr:uid="{00000000-0005-0000-0000-0000B9150000}"/>
    <cellStyle name="20% - Énfasis4 3 3 2 2 3 3 2" xfId="5565" xr:uid="{00000000-0005-0000-0000-0000BA150000}"/>
    <cellStyle name="20% - Énfasis4 3 3 2 2 3 4" xfId="5566" xr:uid="{00000000-0005-0000-0000-0000BB150000}"/>
    <cellStyle name="20% - Énfasis4 3 3 2 2 3 5" xfId="5567" xr:uid="{00000000-0005-0000-0000-0000BC150000}"/>
    <cellStyle name="20% - Énfasis4 3 3 2 2 4" xfId="5568" xr:uid="{00000000-0005-0000-0000-0000BD150000}"/>
    <cellStyle name="20% - Énfasis4 3 3 2 2 4 2" xfId="5569" xr:uid="{00000000-0005-0000-0000-0000BE150000}"/>
    <cellStyle name="20% - Énfasis4 3 3 2 2 4 2 2" xfId="5570" xr:uid="{00000000-0005-0000-0000-0000BF150000}"/>
    <cellStyle name="20% - Énfasis4 3 3 2 2 4 3" xfId="5571" xr:uid="{00000000-0005-0000-0000-0000C0150000}"/>
    <cellStyle name="20% - Énfasis4 3 3 2 2 4 4" xfId="5572" xr:uid="{00000000-0005-0000-0000-0000C1150000}"/>
    <cellStyle name="20% - Énfasis4 3 3 2 2 5" xfId="5573" xr:uid="{00000000-0005-0000-0000-0000C2150000}"/>
    <cellStyle name="20% - Énfasis4 3 3 2 2 5 2" xfId="5574" xr:uid="{00000000-0005-0000-0000-0000C3150000}"/>
    <cellStyle name="20% - Énfasis4 3 3 2 2 6" xfId="5575" xr:uid="{00000000-0005-0000-0000-0000C4150000}"/>
    <cellStyle name="20% - Énfasis4 3 3 2 2 7" xfId="5576" xr:uid="{00000000-0005-0000-0000-0000C5150000}"/>
    <cellStyle name="20% - Énfasis4 3 3 2 3" xfId="5577" xr:uid="{00000000-0005-0000-0000-0000C6150000}"/>
    <cellStyle name="20% - Énfasis4 3 3 2 3 2" xfId="5578" xr:uid="{00000000-0005-0000-0000-0000C7150000}"/>
    <cellStyle name="20% - Énfasis4 3 3 2 3 2 2" xfId="5579" xr:uid="{00000000-0005-0000-0000-0000C8150000}"/>
    <cellStyle name="20% - Énfasis4 3 3 2 3 2 2 2" xfId="5580" xr:uid="{00000000-0005-0000-0000-0000C9150000}"/>
    <cellStyle name="20% - Énfasis4 3 3 2 3 2 2 2 2" xfId="5581" xr:uid="{00000000-0005-0000-0000-0000CA150000}"/>
    <cellStyle name="20% - Énfasis4 3 3 2 3 2 2 3" xfId="5582" xr:uid="{00000000-0005-0000-0000-0000CB150000}"/>
    <cellStyle name="20% - Énfasis4 3 3 2 3 2 2 4" xfId="5583" xr:uid="{00000000-0005-0000-0000-0000CC150000}"/>
    <cellStyle name="20% - Énfasis4 3 3 2 3 2 3" xfId="5584" xr:uid="{00000000-0005-0000-0000-0000CD150000}"/>
    <cellStyle name="20% - Énfasis4 3 3 2 3 2 3 2" xfId="5585" xr:uid="{00000000-0005-0000-0000-0000CE150000}"/>
    <cellStyle name="20% - Énfasis4 3 3 2 3 2 4" xfId="5586" xr:uid="{00000000-0005-0000-0000-0000CF150000}"/>
    <cellStyle name="20% - Énfasis4 3 3 2 3 2 5" xfId="5587" xr:uid="{00000000-0005-0000-0000-0000D0150000}"/>
    <cellStyle name="20% - Énfasis4 3 3 2 3 3" xfId="5588" xr:uid="{00000000-0005-0000-0000-0000D1150000}"/>
    <cellStyle name="20% - Énfasis4 3 3 2 3 3 2" xfId="5589" xr:uid="{00000000-0005-0000-0000-0000D2150000}"/>
    <cellStyle name="20% - Énfasis4 3 3 2 3 3 2 2" xfId="5590" xr:uid="{00000000-0005-0000-0000-0000D3150000}"/>
    <cellStyle name="20% - Énfasis4 3 3 2 3 3 3" xfId="5591" xr:uid="{00000000-0005-0000-0000-0000D4150000}"/>
    <cellStyle name="20% - Énfasis4 3 3 2 3 3 3 2" xfId="5592" xr:uid="{00000000-0005-0000-0000-0000D5150000}"/>
    <cellStyle name="20% - Énfasis4 3 3 2 3 3 4" xfId="5593" xr:uid="{00000000-0005-0000-0000-0000D6150000}"/>
    <cellStyle name="20% - Énfasis4 3 3 2 3 3 5" xfId="5594" xr:uid="{00000000-0005-0000-0000-0000D7150000}"/>
    <cellStyle name="20% - Énfasis4 3 3 2 3 4" xfId="5595" xr:uid="{00000000-0005-0000-0000-0000D8150000}"/>
    <cellStyle name="20% - Énfasis4 3 3 2 3 4 2" xfId="5596" xr:uid="{00000000-0005-0000-0000-0000D9150000}"/>
    <cellStyle name="20% - Énfasis4 3 3 2 3 5" xfId="5597" xr:uid="{00000000-0005-0000-0000-0000DA150000}"/>
    <cellStyle name="20% - Énfasis4 3 3 2 3 5 2" xfId="5598" xr:uid="{00000000-0005-0000-0000-0000DB150000}"/>
    <cellStyle name="20% - Énfasis4 3 3 2 3 6" xfId="5599" xr:uid="{00000000-0005-0000-0000-0000DC150000}"/>
    <cellStyle name="20% - Énfasis4 3 3 2 3 7" xfId="5600" xr:uid="{00000000-0005-0000-0000-0000DD150000}"/>
    <cellStyle name="20% - Énfasis4 3 3 2 4" xfId="5601" xr:uid="{00000000-0005-0000-0000-0000DE150000}"/>
    <cellStyle name="20% - Énfasis4 3 3 2 4 2" xfId="5602" xr:uid="{00000000-0005-0000-0000-0000DF150000}"/>
    <cellStyle name="20% - Énfasis4 3 3 2 4 2 2" xfId="5603" xr:uid="{00000000-0005-0000-0000-0000E0150000}"/>
    <cellStyle name="20% - Énfasis4 3 3 2 4 2 2 2" xfId="5604" xr:uid="{00000000-0005-0000-0000-0000E1150000}"/>
    <cellStyle name="20% - Énfasis4 3 3 2 4 2 3" xfId="5605" xr:uid="{00000000-0005-0000-0000-0000E2150000}"/>
    <cellStyle name="20% - Énfasis4 3 3 2 4 2 4" xfId="5606" xr:uid="{00000000-0005-0000-0000-0000E3150000}"/>
    <cellStyle name="20% - Énfasis4 3 3 2 4 3" xfId="5607" xr:uid="{00000000-0005-0000-0000-0000E4150000}"/>
    <cellStyle name="20% - Énfasis4 3 3 2 4 3 2" xfId="5608" xr:uid="{00000000-0005-0000-0000-0000E5150000}"/>
    <cellStyle name="20% - Énfasis4 3 3 2 4 4" xfId="5609" xr:uid="{00000000-0005-0000-0000-0000E6150000}"/>
    <cellStyle name="20% - Énfasis4 3 3 2 4 5" xfId="5610" xr:uid="{00000000-0005-0000-0000-0000E7150000}"/>
    <cellStyle name="20% - Énfasis4 3 3 2 5" xfId="5611" xr:uid="{00000000-0005-0000-0000-0000E8150000}"/>
    <cellStyle name="20% - Énfasis4 3 3 2 5 2" xfId="5612" xr:uid="{00000000-0005-0000-0000-0000E9150000}"/>
    <cellStyle name="20% - Énfasis4 3 3 2 5 2 2" xfId="5613" xr:uid="{00000000-0005-0000-0000-0000EA150000}"/>
    <cellStyle name="20% - Énfasis4 3 3 2 5 3" xfId="5614" xr:uid="{00000000-0005-0000-0000-0000EB150000}"/>
    <cellStyle name="20% - Énfasis4 3 3 2 5 3 2" xfId="5615" xr:uid="{00000000-0005-0000-0000-0000EC150000}"/>
    <cellStyle name="20% - Énfasis4 3 3 2 5 4" xfId="5616" xr:uid="{00000000-0005-0000-0000-0000ED150000}"/>
    <cellStyle name="20% - Énfasis4 3 3 2 5 5" xfId="5617" xr:uid="{00000000-0005-0000-0000-0000EE150000}"/>
    <cellStyle name="20% - Énfasis4 3 3 2 6" xfId="5618" xr:uid="{00000000-0005-0000-0000-0000EF150000}"/>
    <cellStyle name="20% - Énfasis4 3 3 2 6 2" xfId="5619" xr:uid="{00000000-0005-0000-0000-0000F0150000}"/>
    <cellStyle name="20% - Énfasis4 3 3 2 7" xfId="5620" xr:uid="{00000000-0005-0000-0000-0000F1150000}"/>
    <cellStyle name="20% - Énfasis4 3 3 2 7 2" xfId="5621" xr:uid="{00000000-0005-0000-0000-0000F2150000}"/>
    <cellStyle name="20% - Énfasis4 3 3 2 8" xfId="5622" xr:uid="{00000000-0005-0000-0000-0000F3150000}"/>
    <cellStyle name="20% - Énfasis4 3 3 2 9" xfId="5623" xr:uid="{00000000-0005-0000-0000-0000F4150000}"/>
    <cellStyle name="20% - Énfasis4 3 3 3" xfId="5624" xr:uid="{00000000-0005-0000-0000-0000F5150000}"/>
    <cellStyle name="20% - Énfasis4 3 3 3 2" xfId="5625" xr:uid="{00000000-0005-0000-0000-0000F6150000}"/>
    <cellStyle name="20% - Énfasis4 3 3 3 2 2" xfId="5626" xr:uid="{00000000-0005-0000-0000-0000F7150000}"/>
    <cellStyle name="20% - Énfasis4 3 3 3 2 2 2" xfId="5627" xr:uid="{00000000-0005-0000-0000-0000F8150000}"/>
    <cellStyle name="20% - Énfasis4 3 3 3 2 2 2 2" xfId="5628" xr:uid="{00000000-0005-0000-0000-0000F9150000}"/>
    <cellStyle name="20% - Énfasis4 3 3 3 2 2 2 2 2" xfId="5629" xr:uid="{00000000-0005-0000-0000-0000FA150000}"/>
    <cellStyle name="20% - Énfasis4 3 3 3 2 2 2 3" xfId="5630" xr:uid="{00000000-0005-0000-0000-0000FB150000}"/>
    <cellStyle name="20% - Énfasis4 3 3 3 2 2 2 4" xfId="5631" xr:uid="{00000000-0005-0000-0000-0000FC150000}"/>
    <cellStyle name="20% - Énfasis4 3 3 3 2 2 3" xfId="5632" xr:uid="{00000000-0005-0000-0000-0000FD150000}"/>
    <cellStyle name="20% - Énfasis4 3 3 3 2 2 3 2" xfId="5633" xr:uid="{00000000-0005-0000-0000-0000FE150000}"/>
    <cellStyle name="20% - Énfasis4 3 3 3 2 2 4" xfId="5634" xr:uid="{00000000-0005-0000-0000-0000FF150000}"/>
    <cellStyle name="20% - Énfasis4 3 3 3 2 2 5" xfId="5635" xr:uid="{00000000-0005-0000-0000-000000160000}"/>
    <cellStyle name="20% - Énfasis4 3 3 3 2 3" xfId="5636" xr:uid="{00000000-0005-0000-0000-000001160000}"/>
    <cellStyle name="20% - Énfasis4 3 3 3 2 3 2" xfId="5637" xr:uid="{00000000-0005-0000-0000-000002160000}"/>
    <cellStyle name="20% - Énfasis4 3 3 3 2 3 2 2" xfId="5638" xr:uid="{00000000-0005-0000-0000-000003160000}"/>
    <cellStyle name="20% - Énfasis4 3 3 3 2 3 3" xfId="5639" xr:uid="{00000000-0005-0000-0000-000004160000}"/>
    <cellStyle name="20% - Énfasis4 3 3 3 2 3 3 2" xfId="5640" xr:uid="{00000000-0005-0000-0000-000005160000}"/>
    <cellStyle name="20% - Énfasis4 3 3 3 2 3 4" xfId="5641" xr:uid="{00000000-0005-0000-0000-000006160000}"/>
    <cellStyle name="20% - Énfasis4 3 3 3 2 3 5" xfId="5642" xr:uid="{00000000-0005-0000-0000-000007160000}"/>
    <cellStyle name="20% - Énfasis4 3 3 3 2 4" xfId="5643" xr:uid="{00000000-0005-0000-0000-000008160000}"/>
    <cellStyle name="20% - Énfasis4 3 3 3 2 4 2" xfId="5644" xr:uid="{00000000-0005-0000-0000-000009160000}"/>
    <cellStyle name="20% - Énfasis4 3 3 3 2 5" xfId="5645" xr:uid="{00000000-0005-0000-0000-00000A160000}"/>
    <cellStyle name="20% - Énfasis4 3 3 3 2 5 2" xfId="5646" xr:uid="{00000000-0005-0000-0000-00000B160000}"/>
    <cellStyle name="20% - Énfasis4 3 3 3 2 6" xfId="5647" xr:uid="{00000000-0005-0000-0000-00000C160000}"/>
    <cellStyle name="20% - Énfasis4 3 3 3 2 7" xfId="5648" xr:uid="{00000000-0005-0000-0000-00000D160000}"/>
    <cellStyle name="20% - Énfasis4 3 3 3 3" xfId="5649" xr:uid="{00000000-0005-0000-0000-00000E160000}"/>
    <cellStyle name="20% - Énfasis4 3 3 3 3 2" xfId="5650" xr:uid="{00000000-0005-0000-0000-00000F160000}"/>
    <cellStyle name="20% - Énfasis4 3 3 3 3 2 2" xfId="5651" xr:uid="{00000000-0005-0000-0000-000010160000}"/>
    <cellStyle name="20% - Énfasis4 3 3 3 3 2 2 2" xfId="5652" xr:uid="{00000000-0005-0000-0000-000011160000}"/>
    <cellStyle name="20% - Énfasis4 3 3 3 3 2 3" xfId="5653" xr:uid="{00000000-0005-0000-0000-000012160000}"/>
    <cellStyle name="20% - Énfasis4 3 3 3 3 2 4" xfId="5654" xr:uid="{00000000-0005-0000-0000-000013160000}"/>
    <cellStyle name="20% - Énfasis4 3 3 3 3 3" xfId="5655" xr:uid="{00000000-0005-0000-0000-000014160000}"/>
    <cellStyle name="20% - Énfasis4 3 3 3 3 3 2" xfId="5656" xr:uid="{00000000-0005-0000-0000-000015160000}"/>
    <cellStyle name="20% - Énfasis4 3 3 3 3 4" xfId="5657" xr:uid="{00000000-0005-0000-0000-000016160000}"/>
    <cellStyle name="20% - Énfasis4 3 3 3 3 5" xfId="5658" xr:uid="{00000000-0005-0000-0000-000017160000}"/>
    <cellStyle name="20% - Énfasis4 3 3 3 4" xfId="5659" xr:uid="{00000000-0005-0000-0000-000018160000}"/>
    <cellStyle name="20% - Énfasis4 3 3 3 4 2" xfId="5660" xr:uid="{00000000-0005-0000-0000-000019160000}"/>
    <cellStyle name="20% - Énfasis4 3 3 3 4 2 2" xfId="5661" xr:uid="{00000000-0005-0000-0000-00001A160000}"/>
    <cellStyle name="20% - Énfasis4 3 3 3 4 3" xfId="5662" xr:uid="{00000000-0005-0000-0000-00001B160000}"/>
    <cellStyle name="20% - Énfasis4 3 3 3 4 3 2" xfId="5663" xr:uid="{00000000-0005-0000-0000-00001C160000}"/>
    <cellStyle name="20% - Énfasis4 3 3 3 4 4" xfId="5664" xr:uid="{00000000-0005-0000-0000-00001D160000}"/>
    <cellStyle name="20% - Énfasis4 3 3 3 4 5" xfId="5665" xr:uid="{00000000-0005-0000-0000-00001E160000}"/>
    <cellStyle name="20% - Énfasis4 3 3 3 5" xfId="5666" xr:uid="{00000000-0005-0000-0000-00001F160000}"/>
    <cellStyle name="20% - Énfasis4 3 3 3 5 2" xfId="5667" xr:uid="{00000000-0005-0000-0000-000020160000}"/>
    <cellStyle name="20% - Énfasis4 3 3 3 6" xfId="5668" xr:uid="{00000000-0005-0000-0000-000021160000}"/>
    <cellStyle name="20% - Énfasis4 3 3 3 6 2" xfId="5669" xr:uid="{00000000-0005-0000-0000-000022160000}"/>
    <cellStyle name="20% - Énfasis4 3 3 3 7" xfId="5670" xr:uid="{00000000-0005-0000-0000-000023160000}"/>
    <cellStyle name="20% - Énfasis4 3 3 3 8" xfId="5671" xr:uid="{00000000-0005-0000-0000-000024160000}"/>
    <cellStyle name="20% - Énfasis4 3 3 4" xfId="5672" xr:uid="{00000000-0005-0000-0000-000025160000}"/>
    <cellStyle name="20% - Énfasis4 3 3 4 2" xfId="5673" xr:uid="{00000000-0005-0000-0000-000026160000}"/>
    <cellStyle name="20% - Énfasis4 3 3 4 2 2" xfId="5674" xr:uid="{00000000-0005-0000-0000-000027160000}"/>
    <cellStyle name="20% - Énfasis4 3 3 4 2 2 2" xfId="5675" xr:uid="{00000000-0005-0000-0000-000028160000}"/>
    <cellStyle name="20% - Énfasis4 3 3 4 2 2 2 2" xfId="5676" xr:uid="{00000000-0005-0000-0000-000029160000}"/>
    <cellStyle name="20% - Énfasis4 3 3 4 2 2 3" xfId="5677" xr:uid="{00000000-0005-0000-0000-00002A160000}"/>
    <cellStyle name="20% - Énfasis4 3 3 4 2 2 4" xfId="5678" xr:uid="{00000000-0005-0000-0000-00002B160000}"/>
    <cellStyle name="20% - Énfasis4 3 3 4 2 3" xfId="5679" xr:uid="{00000000-0005-0000-0000-00002C160000}"/>
    <cellStyle name="20% - Énfasis4 3 3 4 2 3 2" xfId="5680" xr:uid="{00000000-0005-0000-0000-00002D160000}"/>
    <cellStyle name="20% - Énfasis4 3 3 4 2 4" xfId="5681" xr:uid="{00000000-0005-0000-0000-00002E160000}"/>
    <cellStyle name="20% - Énfasis4 3 3 4 2 5" xfId="5682" xr:uid="{00000000-0005-0000-0000-00002F160000}"/>
    <cellStyle name="20% - Énfasis4 3 3 4 3" xfId="5683" xr:uid="{00000000-0005-0000-0000-000030160000}"/>
    <cellStyle name="20% - Énfasis4 3 3 4 3 2" xfId="5684" xr:uid="{00000000-0005-0000-0000-000031160000}"/>
    <cellStyle name="20% - Énfasis4 3 3 4 3 2 2" xfId="5685" xr:uid="{00000000-0005-0000-0000-000032160000}"/>
    <cellStyle name="20% - Énfasis4 3 3 4 3 3" xfId="5686" xr:uid="{00000000-0005-0000-0000-000033160000}"/>
    <cellStyle name="20% - Énfasis4 3 3 4 3 3 2" xfId="5687" xr:uid="{00000000-0005-0000-0000-000034160000}"/>
    <cellStyle name="20% - Énfasis4 3 3 4 3 4" xfId="5688" xr:uid="{00000000-0005-0000-0000-000035160000}"/>
    <cellStyle name="20% - Énfasis4 3 3 4 3 5" xfId="5689" xr:uid="{00000000-0005-0000-0000-000036160000}"/>
    <cellStyle name="20% - Énfasis4 3 3 4 4" xfId="5690" xr:uid="{00000000-0005-0000-0000-000037160000}"/>
    <cellStyle name="20% - Énfasis4 3 3 4 4 2" xfId="5691" xr:uid="{00000000-0005-0000-0000-000038160000}"/>
    <cellStyle name="20% - Énfasis4 3 3 4 5" xfId="5692" xr:uid="{00000000-0005-0000-0000-000039160000}"/>
    <cellStyle name="20% - Énfasis4 3 3 4 5 2" xfId="5693" xr:uid="{00000000-0005-0000-0000-00003A160000}"/>
    <cellStyle name="20% - Énfasis4 3 3 4 6" xfId="5694" xr:uid="{00000000-0005-0000-0000-00003B160000}"/>
    <cellStyle name="20% - Énfasis4 3 3 4 7" xfId="5695" xr:uid="{00000000-0005-0000-0000-00003C160000}"/>
    <cellStyle name="20% - Énfasis4 3 3 5" xfId="5696" xr:uid="{00000000-0005-0000-0000-00003D160000}"/>
    <cellStyle name="20% - Énfasis4 3 3 5 2" xfId="5697" xr:uid="{00000000-0005-0000-0000-00003E160000}"/>
    <cellStyle name="20% - Énfasis4 3 3 5 2 2" xfId="5698" xr:uid="{00000000-0005-0000-0000-00003F160000}"/>
    <cellStyle name="20% - Énfasis4 3 3 5 2 2 2" xfId="5699" xr:uid="{00000000-0005-0000-0000-000040160000}"/>
    <cellStyle name="20% - Énfasis4 3 3 5 2 3" xfId="5700" xr:uid="{00000000-0005-0000-0000-000041160000}"/>
    <cellStyle name="20% - Énfasis4 3 3 5 2 4" xfId="5701" xr:uid="{00000000-0005-0000-0000-000042160000}"/>
    <cellStyle name="20% - Énfasis4 3 3 5 3" xfId="5702" xr:uid="{00000000-0005-0000-0000-000043160000}"/>
    <cellStyle name="20% - Énfasis4 3 3 5 3 2" xfId="5703" xr:uid="{00000000-0005-0000-0000-000044160000}"/>
    <cellStyle name="20% - Énfasis4 3 3 5 4" xfId="5704" xr:uid="{00000000-0005-0000-0000-000045160000}"/>
    <cellStyle name="20% - Énfasis4 3 3 5 5" xfId="5705" xr:uid="{00000000-0005-0000-0000-000046160000}"/>
    <cellStyle name="20% - Énfasis4 3 3 6" xfId="5706" xr:uid="{00000000-0005-0000-0000-000047160000}"/>
    <cellStyle name="20% - Énfasis4 3 3 6 2" xfId="5707" xr:uid="{00000000-0005-0000-0000-000048160000}"/>
    <cellStyle name="20% - Énfasis4 3 3 6 2 2" xfId="5708" xr:uid="{00000000-0005-0000-0000-000049160000}"/>
    <cellStyle name="20% - Énfasis4 3 3 6 3" xfId="5709" xr:uid="{00000000-0005-0000-0000-00004A160000}"/>
    <cellStyle name="20% - Énfasis4 3 3 6 3 2" xfId="5710" xr:uid="{00000000-0005-0000-0000-00004B160000}"/>
    <cellStyle name="20% - Énfasis4 3 3 6 4" xfId="5711" xr:uid="{00000000-0005-0000-0000-00004C160000}"/>
    <cellStyle name="20% - Énfasis4 3 3 6 5" xfId="5712" xr:uid="{00000000-0005-0000-0000-00004D160000}"/>
    <cellStyle name="20% - Énfasis4 3 3 7" xfId="5713" xr:uid="{00000000-0005-0000-0000-00004E160000}"/>
    <cellStyle name="20% - Énfasis4 3 3 7 2" xfId="5714" xr:uid="{00000000-0005-0000-0000-00004F160000}"/>
    <cellStyle name="20% - Énfasis4 3 3 8" xfId="5715" xr:uid="{00000000-0005-0000-0000-000050160000}"/>
    <cellStyle name="20% - Énfasis4 3 3 8 2" xfId="5716" xr:uid="{00000000-0005-0000-0000-000051160000}"/>
    <cellStyle name="20% - Énfasis4 3 3 9" xfId="5717" xr:uid="{00000000-0005-0000-0000-000052160000}"/>
    <cellStyle name="20% - Énfasis4 3 4" xfId="5718" xr:uid="{00000000-0005-0000-0000-000053160000}"/>
    <cellStyle name="20% - Énfasis4 3 4 2" xfId="5719" xr:uid="{00000000-0005-0000-0000-000054160000}"/>
    <cellStyle name="20% - Énfasis4 3 4 2 2" xfId="5720" xr:uid="{00000000-0005-0000-0000-000055160000}"/>
    <cellStyle name="20% - Énfasis4 3 4 2 2 2" xfId="5721" xr:uid="{00000000-0005-0000-0000-000056160000}"/>
    <cellStyle name="20% - Énfasis4 3 4 2 2 2 2" xfId="5722" xr:uid="{00000000-0005-0000-0000-000057160000}"/>
    <cellStyle name="20% - Énfasis4 3 4 2 2 2 2 2" xfId="5723" xr:uid="{00000000-0005-0000-0000-000058160000}"/>
    <cellStyle name="20% - Énfasis4 3 4 2 2 2 2 2 2" xfId="5724" xr:uid="{00000000-0005-0000-0000-000059160000}"/>
    <cellStyle name="20% - Énfasis4 3 4 2 2 2 2 3" xfId="5725" xr:uid="{00000000-0005-0000-0000-00005A160000}"/>
    <cellStyle name="20% - Énfasis4 3 4 2 2 2 2 4" xfId="5726" xr:uid="{00000000-0005-0000-0000-00005B160000}"/>
    <cellStyle name="20% - Énfasis4 3 4 2 2 2 3" xfId="5727" xr:uid="{00000000-0005-0000-0000-00005C160000}"/>
    <cellStyle name="20% - Énfasis4 3 4 2 2 2 3 2" xfId="5728" xr:uid="{00000000-0005-0000-0000-00005D160000}"/>
    <cellStyle name="20% - Énfasis4 3 4 2 2 2 4" xfId="5729" xr:uid="{00000000-0005-0000-0000-00005E160000}"/>
    <cellStyle name="20% - Énfasis4 3 4 2 2 2 5" xfId="5730" xr:uid="{00000000-0005-0000-0000-00005F160000}"/>
    <cellStyle name="20% - Énfasis4 3 4 2 2 3" xfId="5731" xr:uid="{00000000-0005-0000-0000-000060160000}"/>
    <cellStyle name="20% - Énfasis4 3 4 2 2 3 2" xfId="5732" xr:uid="{00000000-0005-0000-0000-000061160000}"/>
    <cellStyle name="20% - Énfasis4 3 4 2 2 3 2 2" xfId="5733" xr:uid="{00000000-0005-0000-0000-000062160000}"/>
    <cellStyle name="20% - Énfasis4 3 4 2 2 3 3" xfId="5734" xr:uid="{00000000-0005-0000-0000-000063160000}"/>
    <cellStyle name="20% - Énfasis4 3 4 2 2 3 4" xfId="5735" xr:uid="{00000000-0005-0000-0000-000064160000}"/>
    <cellStyle name="20% - Énfasis4 3 4 2 2 4" xfId="5736" xr:uid="{00000000-0005-0000-0000-000065160000}"/>
    <cellStyle name="20% - Énfasis4 3 4 2 2 4 2" xfId="5737" xr:uid="{00000000-0005-0000-0000-000066160000}"/>
    <cellStyle name="20% - Énfasis4 3 4 2 2 5" xfId="5738" xr:uid="{00000000-0005-0000-0000-000067160000}"/>
    <cellStyle name="20% - Énfasis4 3 4 2 2 6" xfId="5739" xr:uid="{00000000-0005-0000-0000-000068160000}"/>
    <cellStyle name="20% - Énfasis4 3 4 2 3" xfId="5740" xr:uid="{00000000-0005-0000-0000-000069160000}"/>
    <cellStyle name="20% - Énfasis4 3 4 2 3 2" xfId="5741" xr:uid="{00000000-0005-0000-0000-00006A160000}"/>
    <cellStyle name="20% - Énfasis4 3 4 2 3 2 2" xfId="5742" xr:uid="{00000000-0005-0000-0000-00006B160000}"/>
    <cellStyle name="20% - Énfasis4 3 4 2 3 2 2 2" xfId="5743" xr:uid="{00000000-0005-0000-0000-00006C160000}"/>
    <cellStyle name="20% - Énfasis4 3 4 2 3 2 3" xfId="5744" xr:uid="{00000000-0005-0000-0000-00006D160000}"/>
    <cellStyle name="20% - Énfasis4 3 4 2 3 2 4" xfId="5745" xr:uid="{00000000-0005-0000-0000-00006E160000}"/>
    <cellStyle name="20% - Énfasis4 3 4 2 3 3" xfId="5746" xr:uid="{00000000-0005-0000-0000-00006F160000}"/>
    <cellStyle name="20% - Énfasis4 3 4 2 3 3 2" xfId="5747" xr:uid="{00000000-0005-0000-0000-000070160000}"/>
    <cellStyle name="20% - Énfasis4 3 4 2 3 4" xfId="5748" xr:uid="{00000000-0005-0000-0000-000071160000}"/>
    <cellStyle name="20% - Énfasis4 3 4 2 3 5" xfId="5749" xr:uid="{00000000-0005-0000-0000-000072160000}"/>
    <cellStyle name="20% - Énfasis4 3 4 2 4" xfId="5750" xr:uid="{00000000-0005-0000-0000-000073160000}"/>
    <cellStyle name="20% - Énfasis4 3 4 2 4 2" xfId="5751" xr:uid="{00000000-0005-0000-0000-000074160000}"/>
    <cellStyle name="20% - Énfasis4 3 4 2 4 2 2" xfId="5752" xr:uid="{00000000-0005-0000-0000-000075160000}"/>
    <cellStyle name="20% - Énfasis4 3 4 2 4 3" xfId="5753" xr:uid="{00000000-0005-0000-0000-000076160000}"/>
    <cellStyle name="20% - Énfasis4 3 4 2 4 4" xfId="5754" xr:uid="{00000000-0005-0000-0000-000077160000}"/>
    <cellStyle name="20% - Énfasis4 3 4 2 5" xfId="5755" xr:uid="{00000000-0005-0000-0000-000078160000}"/>
    <cellStyle name="20% - Énfasis4 3 4 2 5 2" xfId="5756" xr:uid="{00000000-0005-0000-0000-000079160000}"/>
    <cellStyle name="20% - Énfasis4 3 4 2 6" xfId="5757" xr:uid="{00000000-0005-0000-0000-00007A160000}"/>
    <cellStyle name="20% - Énfasis4 3 4 2 7" xfId="5758" xr:uid="{00000000-0005-0000-0000-00007B160000}"/>
    <cellStyle name="20% - Énfasis4 3 4 3" xfId="5759" xr:uid="{00000000-0005-0000-0000-00007C160000}"/>
    <cellStyle name="20% - Énfasis4 3 4 3 2" xfId="5760" xr:uid="{00000000-0005-0000-0000-00007D160000}"/>
    <cellStyle name="20% - Énfasis4 3 4 3 2 2" xfId="5761" xr:uid="{00000000-0005-0000-0000-00007E160000}"/>
    <cellStyle name="20% - Énfasis4 3 4 3 2 2 2" xfId="5762" xr:uid="{00000000-0005-0000-0000-00007F160000}"/>
    <cellStyle name="20% - Énfasis4 3 4 3 2 2 2 2" xfId="5763" xr:uid="{00000000-0005-0000-0000-000080160000}"/>
    <cellStyle name="20% - Énfasis4 3 4 3 2 2 3" xfId="5764" xr:uid="{00000000-0005-0000-0000-000081160000}"/>
    <cellStyle name="20% - Énfasis4 3 4 3 2 2 4" xfId="5765" xr:uid="{00000000-0005-0000-0000-000082160000}"/>
    <cellStyle name="20% - Énfasis4 3 4 3 2 3" xfId="5766" xr:uid="{00000000-0005-0000-0000-000083160000}"/>
    <cellStyle name="20% - Énfasis4 3 4 3 2 3 2" xfId="5767" xr:uid="{00000000-0005-0000-0000-000084160000}"/>
    <cellStyle name="20% - Énfasis4 3 4 3 2 4" xfId="5768" xr:uid="{00000000-0005-0000-0000-000085160000}"/>
    <cellStyle name="20% - Énfasis4 3 4 3 2 5" xfId="5769" xr:uid="{00000000-0005-0000-0000-000086160000}"/>
    <cellStyle name="20% - Énfasis4 3 4 3 3" xfId="5770" xr:uid="{00000000-0005-0000-0000-000087160000}"/>
    <cellStyle name="20% - Énfasis4 3 4 3 3 2" xfId="5771" xr:uid="{00000000-0005-0000-0000-000088160000}"/>
    <cellStyle name="20% - Énfasis4 3 4 3 3 2 2" xfId="5772" xr:uid="{00000000-0005-0000-0000-000089160000}"/>
    <cellStyle name="20% - Énfasis4 3 4 3 3 3" xfId="5773" xr:uid="{00000000-0005-0000-0000-00008A160000}"/>
    <cellStyle name="20% - Énfasis4 3 4 3 3 3 2" xfId="5774" xr:uid="{00000000-0005-0000-0000-00008B160000}"/>
    <cellStyle name="20% - Énfasis4 3 4 3 3 4" xfId="5775" xr:uid="{00000000-0005-0000-0000-00008C160000}"/>
    <cellStyle name="20% - Énfasis4 3 4 3 3 5" xfId="5776" xr:uid="{00000000-0005-0000-0000-00008D160000}"/>
    <cellStyle name="20% - Énfasis4 3 4 3 4" xfId="5777" xr:uid="{00000000-0005-0000-0000-00008E160000}"/>
    <cellStyle name="20% - Énfasis4 3 4 3 4 2" xfId="5778" xr:uid="{00000000-0005-0000-0000-00008F160000}"/>
    <cellStyle name="20% - Énfasis4 3 4 3 5" xfId="5779" xr:uid="{00000000-0005-0000-0000-000090160000}"/>
    <cellStyle name="20% - Énfasis4 3 4 3 5 2" xfId="5780" xr:uid="{00000000-0005-0000-0000-000091160000}"/>
    <cellStyle name="20% - Énfasis4 3 4 3 6" xfId="5781" xr:uid="{00000000-0005-0000-0000-000092160000}"/>
    <cellStyle name="20% - Énfasis4 3 4 3 7" xfId="5782" xr:uid="{00000000-0005-0000-0000-000093160000}"/>
    <cellStyle name="20% - Énfasis4 3 4 4" xfId="5783" xr:uid="{00000000-0005-0000-0000-000094160000}"/>
    <cellStyle name="20% - Énfasis4 3 4 4 2" xfId="5784" xr:uid="{00000000-0005-0000-0000-000095160000}"/>
    <cellStyle name="20% - Énfasis4 3 4 4 2 2" xfId="5785" xr:uid="{00000000-0005-0000-0000-000096160000}"/>
    <cellStyle name="20% - Énfasis4 3 4 4 2 2 2" xfId="5786" xr:uid="{00000000-0005-0000-0000-000097160000}"/>
    <cellStyle name="20% - Énfasis4 3 4 4 2 3" xfId="5787" xr:uid="{00000000-0005-0000-0000-000098160000}"/>
    <cellStyle name="20% - Énfasis4 3 4 4 2 4" xfId="5788" xr:uid="{00000000-0005-0000-0000-000099160000}"/>
    <cellStyle name="20% - Énfasis4 3 4 4 3" xfId="5789" xr:uid="{00000000-0005-0000-0000-00009A160000}"/>
    <cellStyle name="20% - Énfasis4 3 4 4 3 2" xfId="5790" xr:uid="{00000000-0005-0000-0000-00009B160000}"/>
    <cellStyle name="20% - Énfasis4 3 4 4 4" xfId="5791" xr:uid="{00000000-0005-0000-0000-00009C160000}"/>
    <cellStyle name="20% - Énfasis4 3 4 4 5" xfId="5792" xr:uid="{00000000-0005-0000-0000-00009D160000}"/>
    <cellStyle name="20% - Énfasis4 3 4 5" xfId="5793" xr:uid="{00000000-0005-0000-0000-00009E160000}"/>
    <cellStyle name="20% - Énfasis4 3 4 5 2" xfId="5794" xr:uid="{00000000-0005-0000-0000-00009F160000}"/>
    <cellStyle name="20% - Énfasis4 3 4 5 2 2" xfId="5795" xr:uid="{00000000-0005-0000-0000-0000A0160000}"/>
    <cellStyle name="20% - Énfasis4 3 4 5 3" xfId="5796" xr:uid="{00000000-0005-0000-0000-0000A1160000}"/>
    <cellStyle name="20% - Énfasis4 3 4 5 3 2" xfId="5797" xr:uid="{00000000-0005-0000-0000-0000A2160000}"/>
    <cellStyle name="20% - Énfasis4 3 4 5 4" xfId="5798" xr:uid="{00000000-0005-0000-0000-0000A3160000}"/>
    <cellStyle name="20% - Énfasis4 3 4 5 5" xfId="5799" xr:uid="{00000000-0005-0000-0000-0000A4160000}"/>
    <cellStyle name="20% - Énfasis4 3 4 6" xfId="5800" xr:uid="{00000000-0005-0000-0000-0000A5160000}"/>
    <cellStyle name="20% - Énfasis4 3 4 6 2" xfId="5801" xr:uid="{00000000-0005-0000-0000-0000A6160000}"/>
    <cellStyle name="20% - Énfasis4 3 4 7" xfId="5802" xr:uid="{00000000-0005-0000-0000-0000A7160000}"/>
    <cellStyle name="20% - Énfasis4 3 4 7 2" xfId="5803" xr:uid="{00000000-0005-0000-0000-0000A8160000}"/>
    <cellStyle name="20% - Énfasis4 3 4 8" xfId="5804" xr:uid="{00000000-0005-0000-0000-0000A9160000}"/>
    <cellStyle name="20% - Énfasis4 3 4 9" xfId="5805" xr:uid="{00000000-0005-0000-0000-0000AA160000}"/>
    <cellStyle name="20% - Énfasis4 3 5" xfId="5806" xr:uid="{00000000-0005-0000-0000-0000AB160000}"/>
    <cellStyle name="20% - Énfasis4 3 5 2" xfId="5807" xr:uid="{00000000-0005-0000-0000-0000AC160000}"/>
    <cellStyle name="20% - Énfasis4 3 5 2 2" xfId="5808" xr:uid="{00000000-0005-0000-0000-0000AD160000}"/>
    <cellStyle name="20% - Énfasis4 3 5 2 2 2" xfId="5809" xr:uid="{00000000-0005-0000-0000-0000AE160000}"/>
    <cellStyle name="20% - Énfasis4 3 5 2 2 2 2" xfId="5810" xr:uid="{00000000-0005-0000-0000-0000AF160000}"/>
    <cellStyle name="20% - Énfasis4 3 5 2 2 2 2 2" xfId="5811" xr:uid="{00000000-0005-0000-0000-0000B0160000}"/>
    <cellStyle name="20% - Énfasis4 3 5 2 2 2 3" xfId="5812" xr:uid="{00000000-0005-0000-0000-0000B1160000}"/>
    <cellStyle name="20% - Énfasis4 3 5 2 2 2 4" xfId="5813" xr:uid="{00000000-0005-0000-0000-0000B2160000}"/>
    <cellStyle name="20% - Énfasis4 3 5 2 2 3" xfId="5814" xr:uid="{00000000-0005-0000-0000-0000B3160000}"/>
    <cellStyle name="20% - Énfasis4 3 5 2 2 3 2" xfId="5815" xr:uid="{00000000-0005-0000-0000-0000B4160000}"/>
    <cellStyle name="20% - Énfasis4 3 5 2 2 4" xfId="5816" xr:uid="{00000000-0005-0000-0000-0000B5160000}"/>
    <cellStyle name="20% - Énfasis4 3 5 2 2 5" xfId="5817" xr:uid="{00000000-0005-0000-0000-0000B6160000}"/>
    <cellStyle name="20% - Énfasis4 3 5 2 3" xfId="5818" xr:uid="{00000000-0005-0000-0000-0000B7160000}"/>
    <cellStyle name="20% - Énfasis4 3 5 2 3 2" xfId="5819" xr:uid="{00000000-0005-0000-0000-0000B8160000}"/>
    <cellStyle name="20% - Énfasis4 3 5 2 3 2 2" xfId="5820" xr:uid="{00000000-0005-0000-0000-0000B9160000}"/>
    <cellStyle name="20% - Énfasis4 3 5 2 3 3" xfId="5821" xr:uid="{00000000-0005-0000-0000-0000BA160000}"/>
    <cellStyle name="20% - Énfasis4 3 5 2 3 3 2" xfId="5822" xr:uid="{00000000-0005-0000-0000-0000BB160000}"/>
    <cellStyle name="20% - Énfasis4 3 5 2 3 4" xfId="5823" xr:uid="{00000000-0005-0000-0000-0000BC160000}"/>
    <cellStyle name="20% - Énfasis4 3 5 2 3 5" xfId="5824" xr:uid="{00000000-0005-0000-0000-0000BD160000}"/>
    <cellStyle name="20% - Énfasis4 3 5 2 4" xfId="5825" xr:uid="{00000000-0005-0000-0000-0000BE160000}"/>
    <cellStyle name="20% - Énfasis4 3 5 2 4 2" xfId="5826" xr:uid="{00000000-0005-0000-0000-0000BF160000}"/>
    <cellStyle name="20% - Énfasis4 3 5 2 5" xfId="5827" xr:uid="{00000000-0005-0000-0000-0000C0160000}"/>
    <cellStyle name="20% - Énfasis4 3 5 2 5 2" xfId="5828" xr:uid="{00000000-0005-0000-0000-0000C1160000}"/>
    <cellStyle name="20% - Énfasis4 3 5 2 6" xfId="5829" xr:uid="{00000000-0005-0000-0000-0000C2160000}"/>
    <cellStyle name="20% - Énfasis4 3 5 2 7" xfId="5830" xr:uid="{00000000-0005-0000-0000-0000C3160000}"/>
    <cellStyle name="20% - Énfasis4 3 5 3" xfId="5831" xr:uid="{00000000-0005-0000-0000-0000C4160000}"/>
    <cellStyle name="20% - Énfasis4 3 5 3 2" xfId="5832" xr:uid="{00000000-0005-0000-0000-0000C5160000}"/>
    <cellStyle name="20% - Énfasis4 3 5 3 2 2" xfId="5833" xr:uid="{00000000-0005-0000-0000-0000C6160000}"/>
    <cellStyle name="20% - Énfasis4 3 5 3 2 2 2" xfId="5834" xr:uid="{00000000-0005-0000-0000-0000C7160000}"/>
    <cellStyle name="20% - Énfasis4 3 5 3 2 3" xfId="5835" xr:uid="{00000000-0005-0000-0000-0000C8160000}"/>
    <cellStyle name="20% - Énfasis4 3 5 3 2 4" xfId="5836" xr:uid="{00000000-0005-0000-0000-0000C9160000}"/>
    <cellStyle name="20% - Énfasis4 3 5 3 3" xfId="5837" xr:uid="{00000000-0005-0000-0000-0000CA160000}"/>
    <cellStyle name="20% - Énfasis4 3 5 3 3 2" xfId="5838" xr:uid="{00000000-0005-0000-0000-0000CB160000}"/>
    <cellStyle name="20% - Énfasis4 3 5 3 4" xfId="5839" xr:uid="{00000000-0005-0000-0000-0000CC160000}"/>
    <cellStyle name="20% - Énfasis4 3 5 3 5" xfId="5840" xr:uid="{00000000-0005-0000-0000-0000CD160000}"/>
    <cellStyle name="20% - Énfasis4 3 5 4" xfId="5841" xr:uid="{00000000-0005-0000-0000-0000CE160000}"/>
    <cellStyle name="20% - Énfasis4 3 5 4 2" xfId="5842" xr:uid="{00000000-0005-0000-0000-0000CF160000}"/>
    <cellStyle name="20% - Énfasis4 3 5 4 2 2" xfId="5843" xr:uid="{00000000-0005-0000-0000-0000D0160000}"/>
    <cellStyle name="20% - Énfasis4 3 5 4 3" xfId="5844" xr:uid="{00000000-0005-0000-0000-0000D1160000}"/>
    <cellStyle name="20% - Énfasis4 3 5 4 3 2" xfId="5845" xr:uid="{00000000-0005-0000-0000-0000D2160000}"/>
    <cellStyle name="20% - Énfasis4 3 5 4 4" xfId="5846" xr:uid="{00000000-0005-0000-0000-0000D3160000}"/>
    <cellStyle name="20% - Énfasis4 3 5 4 5" xfId="5847" xr:uid="{00000000-0005-0000-0000-0000D4160000}"/>
    <cellStyle name="20% - Énfasis4 3 5 5" xfId="5848" xr:uid="{00000000-0005-0000-0000-0000D5160000}"/>
    <cellStyle name="20% - Énfasis4 3 5 5 2" xfId="5849" xr:uid="{00000000-0005-0000-0000-0000D6160000}"/>
    <cellStyle name="20% - Énfasis4 3 5 6" xfId="5850" xr:uid="{00000000-0005-0000-0000-0000D7160000}"/>
    <cellStyle name="20% - Énfasis4 3 5 6 2" xfId="5851" xr:uid="{00000000-0005-0000-0000-0000D8160000}"/>
    <cellStyle name="20% - Énfasis4 3 5 7" xfId="5852" xr:uid="{00000000-0005-0000-0000-0000D9160000}"/>
    <cellStyle name="20% - Énfasis4 3 5 8" xfId="5853" xr:uid="{00000000-0005-0000-0000-0000DA160000}"/>
    <cellStyle name="20% - Énfasis4 3 6" xfId="5854" xr:uid="{00000000-0005-0000-0000-0000DB160000}"/>
    <cellStyle name="20% - Énfasis4 3 6 2" xfId="5855" xr:uid="{00000000-0005-0000-0000-0000DC160000}"/>
    <cellStyle name="20% - Énfasis4 3 6 2 2" xfId="5856" xr:uid="{00000000-0005-0000-0000-0000DD160000}"/>
    <cellStyle name="20% - Énfasis4 3 6 2 2 2" xfId="5857" xr:uid="{00000000-0005-0000-0000-0000DE160000}"/>
    <cellStyle name="20% - Énfasis4 3 6 2 2 2 2" xfId="5858" xr:uid="{00000000-0005-0000-0000-0000DF160000}"/>
    <cellStyle name="20% - Énfasis4 3 6 2 2 3" xfId="5859" xr:uid="{00000000-0005-0000-0000-0000E0160000}"/>
    <cellStyle name="20% - Énfasis4 3 6 2 2 4" xfId="5860" xr:uid="{00000000-0005-0000-0000-0000E1160000}"/>
    <cellStyle name="20% - Énfasis4 3 6 2 3" xfId="5861" xr:uid="{00000000-0005-0000-0000-0000E2160000}"/>
    <cellStyle name="20% - Énfasis4 3 6 2 3 2" xfId="5862" xr:uid="{00000000-0005-0000-0000-0000E3160000}"/>
    <cellStyle name="20% - Énfasis4 3 6 2 4" xfId="5863" xr:uid="{00000000-0005-0000-0000-0000E4160000}"/>
    <cellStyle name="20% - Énfasis4 3 6 2 5" xfId="5864" xr:uid="{00000000-0005-0000-0000-0000E5160000}"/>
    <cellStyle name="20% - Énfasis4 3 6 3" xfId="5865" xr:uid="{00000000-0005-0000-0000-0000E6160000}"/>
    <cellStyle name="20% - Énfasis4 3 6 3 2" xfId="5866" xr:uid="{00000000-0005-0000-0000-0000E7160000}"/>
    <cellStyle name="20% - Énfasis4 3 6 3 2 2" xfId="5867" xr:uid="{00000000-0005-0000-0000-0000E8160000}"/>
    <cellStyle name="20% - Énfasis4 3 6 3 3" xfId="5868" xr:uid="{00000000-0005-0000-0000-0000E9160000}"/>
    <cellStyle name="20% - Énfasis4 3 6 3 3 2" xfId="5869" xr:uid="{00000000-0005-0000-0000-0000EA160000}"/>
    <cellStyle name="20% - Énfasis4 3 6 3 4" xfId="5870" xr:uid="{00000000-0005-0000-0000-0000EB160000}"/>
    <cellStyle name="20% - Énfasis4 3 6 3 5" xfId="5871" xr:uid="{00000000-0005-0000-0000-0000EC160000}"/>
    <cellStyle name="20% - Énfasis4 3 6 4" xfId="5872" xr:uid="{00000000-0005-0000-0000-0000ED160000}"/>
    <cellStyle name="20% - Énfasis4 3 6 4 2" xfId="5873" xr:uid="{00000000-0005-0000-0000-0000EE160000}"/>
    <cellStyle name="20% - Énfasis4 3 6 5" xfId="5874" xr:uid="{00000000-0005-0000-0000-0000EF160000}"/>
    <cellStyle name="20% - Énfasis4 3 6 5 2" xfId="5875" xr:uid="{00000000-0005-0000-0000-0000F0160000}"/>
    <cellStyle name="20% - Énfasis4 3 6 6" xfId="5876" xr:uid="{00000000-0005-0000-0000-0000F1160000}"/>
    <cellStyle name="20% - Énfasis4 3 6 7" xfId="5877" xr:uid="{00000000-0005-0000-0000-0000F2160000}"/>
    <cellStyle name="20% - Énfasis4 3 7" xfId="5878" xr:uid="{00000000-0005-0000-0000-0000F3160000}"/>
    <cellStyle name="20% - Énfasis4 3 7 2" xfId="5879" xr:uid="{00000000-0005-0000-0000-0000F4160000}"/>
    <cellStyle name="20% - Énfasis4 3 7 2 2" xfId="5880" xr:uid="{00000000-0005-0000-0000-0000F5160000}"/>
    <cellStyle name="20% - Énfasis4 3 7 2 2 2" xfId="5881" xr:uid="{00000000-0005-0000-0000-0000F6160000}"/>
    <cellStyle name="20% - Énfasis4 3 7 2 3" xfId="5882" xr:uid="{00000000-0005-0000-0000-0000F7160000}"/>
    <cellStyle name="20% - Énfasis4 3 7 2 4" xfId="5883" xr:uid="{00000000-0005-0000-0000-0000F8160000}"/>
    <cellStyle name="20% - Énfasis4 3 7 3" xfId="5884" xr:uid="{00000000-0005-0000-0000-0000F9160000}"/>
    <cellStyle name="20% - Énfasis4 3 7 3 2" xfId="5885" xr:uid="{00000000-0005-0000-0000-0000FA160000}"/>
    <cellStyle name="20% - Énfasis4 3 7 4" xfId="5886" xr:uid="{00000000-0005-0000-0000-0000FB160000}"/>
    <cellStyle name="20% - Énfasis4 3 7 5" xfId="5887" xr:uid="{00000000-0005-0000-0000-0000FC160000}"/>
    <cellStyle name="20% - Énfasis4 3 8" xfId="5888" xr:uid="{00000000-0005-0000-0000-0000FD160000}"/>
    <cellStyle name="20% - Énfasis4 3 8 2" xfId="5889" xr:uid="{00000000-0005-0000-0000-0000FE160000}"/>
    <cellStyle name="20% - Énfasis4 3 8 2 2" xfId="5890" xr:uid="{00000000-0005-0000-0000-0000FF160000}"/>
    <cellStyle name="20% - Énfasis4 3 8 3" xfId="5891" xr:uid="{00000000-0005-0000-0000-000000170000}"/>
    <cellStyle name="20% - Énfasis4 3 8 3 2" xfId="5892" xr:uid="{00000000-0005-0000-0000-000001170000}"/>
    <cellStyle name="20% - Énfasis4 3 8 4" xfId="5893" xr:uid="{00000000-0005-0000-0000-000002170000}"/>
    <cellStyle name="20% - Énfasis4 3 8 5" xfId="5894" xr:uid="{00000000-0005-0000-0000-000003170000}"/>
    <cellStyle name="20% - Énfasis4 3 9" xfId="5895" xr:uid="{00000000-0005-0000-0000-000004170000}"/>
    <cellStyle name="20% - Énfasis4 3 9 2" xfId="5896" xr:uid="{00000000-0005-0000-0000-000005170000}"/>
    <cellStyle name="20% - Énfasis4 4" xfId="5897" xr:uid="{00000000-0005-0000-0000-000006170000}"/>
    <cellStyle name="20% - Énfasis5 2" xfId="5898" xr:uid="{00000000-0005-0000-0000-000007170000}"/>
    <cellStyle name="20% - Énfasis5 2 10" xfId="5899" xr:uid="{00000000-0005-0000-0000-000008170000}"/>
    <cellStyle name="20% - Énfasis5 2 10 2" xfId="5900" xr:uid="{00000000-0005-0000-0000-000009170000}"/>
    <cellStyle name="20% - Énfasis5 2 11" xfId="5901" xr:uid="{00000000-0005-0000-0000-00000A170000}"/>
    <cellStyle name="20% - Énfasis5 2 12" xfId="5902" xr:uid="{00000000-0005-0000-0000-00000B170000}"/>
    <cellStyle name="20% - Énfasis5 2 2" xfId="5903" xr:uid="{00000000-0005-0000-0000-00000C170000}"/>
    <cellStyle name="20% - Énfasis5 2 2 10" xfId="5904" xr:uid="{00000000-0005-0000-0000-00000D170000}"/>
    <cellStyle name="20% - Énfasis5 2 2 10 2" xfId="5905" xr:uid="{00000000-0005-0000-0000-00000E170000}"/>
    <cellStyle name="20% - Énfasis5 2 2 11" xfId="5906" xr:uid="{00000000-0005-0000-0000-00000F170000}"/>
    <cellStyle name="20% - Énfasis5 2 2 12" xfId="5907" xr:uid="{00000000-0005-0000-0000-000010170000}"/>
    <cellStyle name="20% - Énfasis5 2 2 2" xfId="5908" xr:uid="{00000000-0005-0000-0000-000011170000}"/>
    <cellStyle name="20% - Énfasis5 2 2 2 10" xfId="5909" xr:uid="{00000000-0005-0000-0000-000012170000}"/>
    <cellStyle name="20% - Énfasis5 2 2 2 2" xfId="5910" xr:uid="{00000000-0005-0000-0000-000013170000}"/>
    <cellStyle name="20% - Énfasis5 2 2 2 2 2" xfId="5911" xr:uid="{00000000-0005-0000-0000-000014170000}"/>
    <cellStyle name="20% - Énfasis5 2 2 2 2 2 2" xfId="5912" xr:uid="{00000000-0005-0000-0000-000015170000}"/>
    <cellStyle name="20% - Énfasis5 2 2 2 2 2 2 2" xfId="5913" xr:uid="{00000000-0005-0000-0000-000016170000}"/>
    <cellStyle name="20% - Énfasis5 2 2 2 2 2 2 2 2" xfId="5914" xr:uid="{00000000-0005-0000-0000-000017170000}"/>
    <cellStyle name="20% - Énfasis5 2 2 2 2 2 2 2 2 2" xfId="5915" xr:uid="{00000000-0005-0000-0000-000018170000}"/>
    <cellStyle name="20% - Énfasis5 2 2 2 2 2 2 2 2 2 2" xfId="5916" xr:uid="{00000000-0005-0000-0000-000019170000}"/>
    <cellStyle name="20% - Énfasis5 2 2 2 2 2 2 2 2 3" xfId="5917" xr:uid="{00000000-0005-0000-0000-00001A170000}"/>
    <cellStyle name="20% - Énfasis5 2 2 2 2 2 2 2 2 4" xfId="5918" xr:uid="{00000000-0005-0000-0000-00001B170000}"/>
    <cellStyle name="20% - Énfasis5 2 2 2 2 2 2 2 3" xfId="5919" xr:uid="{00000000-0005-0000-0000-00001C170000}"/>
    <cellStyle name="20% - Énfasis5 2 2 2 2 2 2 2 3 2" xfId="5920" xr:uid="{00000000-0005-0000-0000-00001D170000}"/>
    <cellStyle name="20% - Énfasis5 2 2 2 2 2 2 2 4" xfId="5921" xr:uid="{00000000-0005-0000-0000-00001E170000}"/>
    <cellStyle name="20% - Énfasis5 2 2 2 2 2 2 2 5" xfId="5922" xr:uid="{00000000-0005-0000-0000-00001F170000}"/>
    <cellStyle name="20% - Énfasis5 2 2 2 2 2 2 3" xfId="5923" xr:uid="{00000000-0005-0000-0000-000020170000}"/>
    <cellStyle name="20% - Énfasis5 2 2 2 2 2 2 3 2" xfId="5924" xr:uid="{00000000-0005-0000-0000-000021170000}"/>
    <cellStyle name="20% - Énfasis5 2 2 2 2 2 2 3 2 2" xfId="5925" xr:uid="{00000000-0005-0000-0000-000022170000}"/>
    <cellStyle name="20% - Énfasis5 2 2 2 2 2 2 3 3" xfId="5926" xr:uid="{00000000-0005-0000-0000-000023170000}"/>
    <cellStyle name="20% - Énfasis5 2 2 2 2 2 2 3 4" xfId="5927" xr:uid="{00000000-0005-0000-0000-000024170000}"/>
    <cellStyle name="20% - Énfasis5 2 2 2 2 2 2 4" xfId="5928" xr:uid="{00000000-0005-0000-0000-000025170000}"/>
    <cellStyle name="20% - Énfasis5 2 2 2 2 2 2 4 2" xfId="5929" xr:uid="{00000000-0005-0000-0000-000026170000}"/>
    <cellStyle name="20% - Énfasis5 2 2 2 2 2 2 5" xfId="5930" xr:uid="{00000000-0005-0000-0000-000027170000}"/>
    <cellStyle name="20% - Énfasis5 2 2 2 2 2 2 6" xfId="5931" xr:uid="{00000000-0005-0000-0000-000028170000}"/>
    <cellStyle name="20% - Énfasis5 2 2 2 2 2 3" xfId="5932" xr:uid="{00000000-0005-0000-0000-000029170000}"/>
    <cellStyle name="20% - Énfasis5 2 2 2 2 2 3 2" xfId="5933" xr:uid="{00000000-0005-0000-0000-00002A170000}"/>
    <cellStyle name="20% - Énfasis5 2 2 2 2 2 3 2 2" xfId="5934" xr:uid="{00000000-0005-0000-0000-00002B170000}"/>
    <cellStyle name="20% - Énfasis5 2 2 2 2 2 3 2 2 2" xfId="5935" xr:uid="{00000000-0005-0000-0000-00002C170000}"/>
    <cellStyle name="20% - Énfasis5 2 2 2 2 2 3 2 3" xfId="5936" xr:uid="{00000000-0005-0000-0000-00002D170000}"/>
    <cellStyle name="20% - Énfasis5 2 2 2 2 2 3 2 4" xfId="5937" xr:uid="{00000000-0005-0000-0000-00002E170000}"/>
    <cellStyle name="20% - Énfasis5 2 2 2 2 2 3 3" xfId="5938" xr:uid="{00000000-0005-0000-0000-00002F170000}"/>
    <cellStyle name="20% - Énfasis5 2 2 2 2 2 3 3 2" xfId="5939" xr:uid="{00000000-0005-0000-0000-000030170000}"/>
    <cellStyle name="20% - Énfasis5 2 2 2 2 2 3 4" xfId="5940" xr:uid="{00000000-0005-0000-0000-000031170000}"/>
    <cellStyle name="20% - Énfasis5 2 2 2 2 2 3 5" xfId="5941" xr:uid="{00000000-0005-0000-0000-000032170000}"/>
    <cellStyle name="20% - Énfasis5 2 2 2 2 2 4" xfId="5942" xr:uid="{00000000-0005-0000-0000-000033170000}"/>
    <cellStyle name="20% - Énfasis5 2 2 2 2 2 4 2" xfId="5943" xr:uid="{00000000-0005-0000-0000-000034170000}"/>
    <cellStyle name="20% - Énfasis5 2 2 2 2 2 4 2 2" xfId="5944" xr:uid="{00000000-0005-0000-0000-000035170000}"/>
    <cellStyle name="20% - Énfasis5 2 2 2 2 2 4 3" xfId="5945" xr:uid="{00000000-0005-0000-0000-000036170000}"/>
    <cellStyle name="20% - Énfasis5 2 2 2 2 2 4 4" xfId="5946" xr:uid="{00000000-0005-0000-0000-000037170000}"/>
    <cellStyle name="20% - Énfasis5 2 2 2 2 2 5" xfId="5947" xr:uid="{00000000-0005-0000-0000-000038170000}"/>
    <cellStyle name="20% - Énfasis5 2 2 2 2 2 5 2" xfId="5948" xr:uid="{00000000-0005-0000-0000-000039170000}"/>
    <cellStyle name="20% - Énfasis5 2 2 2 2 2 6" xfId="5949" xr:uid="{00000000-0005-0000-0000-00003A170000}"/>
    <cellStyle name="20% - Énfasis5 2 2 2 2 2 7" xfId="5950" xr:uid="{00000000-0005-0000-0000-00003B170000}"/>
    <cellStyle name="20% - Énfasis5 2 2 2 2 3" xfId="5951" xr:uid="{00000000-0005-0000-0000-00003C170000}"/>
    <cellStyle name="20% - Énfasis5 2 2 2 2 3 2" xfId="5952" xr:uid="{00000000-0005-0000-0000-00003D170000}"/>
    <cellStyle name="20% - Énfasis5 2 2 2 2 3 2 2" xfId="5953" xr:uid="{00000000-0005-0000-0000-00003E170000}"/>
    <cellStyle name="20% - Énfasis5 2 2 2 2 3 2 2 2" xfId="5954" xr:uid="{00000000-0005-0000-0000-00003F170000}"/>
    <cellStyle name="20% - Énfasis5 2 2 2 2 3 2 2 2 2" xfId="5955" xr:uid="{00000000-0005-0000-0000-000040170000}"/>
    <cellStyle name="20% - Énfasis5 2 2 2 2 3 2 2 3" xfId="5956" xr:uid="{00000000-0005-0000-0000-000041170000}"/>
    <cellStyle name="20% - Énfasis5 2 2 2 2 3 2 2 4" xfId="5957" xr:uid="{00000000-0005-0000-0000-000042170000}"/>
    <cellStyle name="20% - Énfasis5 2 2 2 2 3 2 3" xfId="5958" xr:uid="{00000000-0005-0000-0000-000043170000}"/>
    <cellStyle name="20% - Énfasis5 2 2 2 2 3 2 3 2" xfId="5959" xr:uid="{00000000-0005-0000-0000-000044170000}"/>
    <cellStyle name="20% - Énfasis5 2 2 2 2 3 2 4" xfId="5960" xr:uid="{00000000-0005-0000-0000-000045170000}"/>
    <cellStyle name="20% - Énfasis5 2 2 2 2 3 2 5" xfId="5961" xr:uid="{00000000-0005-0000-0000-000046170000}"/>
    <cellStyle name="20% - Énfasis5 2 2 2 2 3 3" xfId="5962" xr:uid="{00000000-0005-0000-0000-000047170000}"/>
    <cellStyle name="20% - Énfasis5 2 2 2 2 3 3 2" xfId="5963" xr:uid="{00000000-0005-0000-0000-000048170000}"/>
    <cellStyle name="20% - Énfasis5 2 2 2 2 3 3 2 2" xfId="5964" xr:uid="{00000000-0005-0000-0000-000049170000}"/>
    <cellStyle name="20% - Énfasis5 2 2 2 2 3 3 3" xfId="5965" xr:uid="{00000000-0005-0000-0000-00004A170000}"/>
    <cellStyle name="20% - Énfasis5 2 2 2 2 3 3 3 2" xfId="5966" xr:uid="{00000000-0005-0000-0000-00004B170000}"/>
    <cellStyle name="20% - Énfasis5 2 2 2 2 3 3 4" xfId="5967" xr:uid="{00000000-0005-0000-0000-00004C170000}"/>
    <cellStyle name="20% - Énfasis5 2 2 2 2 3 3 5" xfId="5968" xr:uid="{00000000-0005-0000-0000-00004D170000}"/>
    <cellStyle name="20% - Énfasis5 2 2 2 2 3 4" xfId="5969" xr:uid="{00000000-0005-0000-0000-00004E170000}"/>
    <cellStyle name="20% - Énfasis5 2 2 2 2 3 4 2" xfId="5970" xr:uid="{00000000-0005-0000-0000-00004F170000}"/>
    <cellStyle name="20% - Énfasis5 2 2 2 2 3 5" xfId="5971" xr:uid="{00000000-0005-0000-0000-000050170000}"/>
    <cellStyle name="20% - Énfasis5 2 2 2 2 3 5 2" xfId="5972" xr:uid="{00000000-0005-0000-0000-000051170000}"/>
    <cellStyle name="20% - Énfasis5 2 2 2 2 3 6" xfId="5973" xr:uid="{00000000-0005-0000-0000-000052170000}"/>
    <cellStyle name="20% - Énfasis5 2 2 2 2 3 7" xfId="5974" xr:uid="{00000000-0005-0000-0000-000053170000}"/>
    <cellStyle name="20% - Énfasis5 2 2 2 2 4" xfId="5975" xr:uid="{00000000-0005-0000-0000-000054170000}"/>
    <cellStyle name="20% - Énfasis5 2 2 2 2 4 2" xfId="5976" xr:uid="{00000000-0005-0000-0000-000055170000}"/>
    <cellStyle name="20% - Énfasis5 2 2 2 2 4 2 2" xfId="5977" xr:uid="{00000000-0005-0000-0000-000056170000}"/>
    <cellStyle name="20% - Énfasis5 2 2 2 2 4 2 2 2" xfId="5978" xr:uid="{00000000-0005-0000-0000-000057170000}"/>
    <cellStyle name="20% - Énfasis5 2 2 2 2 4 2 3" xfId="5979" xr:uid="{00000000-0005-0000-0000-000058170000}"/>
    <cellStyle name="20% - Énfasis5 2 2 2 2 4 2 4" xfId="5980" xr:uid="{00000000-0005-0000-0000-000059170000}"/>
    <cellStyle name="20% - Énfasis5 2 2 2 2 4 3" xfId="5981" xr:uid="{00000000-0005-0000-0000-00005A170000}"/>
    <cellStyle name="20% - Énfasis5 2 2 2 2 4 3 2" xfId="5982" xr:uid="{00000000-0005-0000-0000-00005B170000}"/>
    <cellStyle name="20% - Énfasis5 2 2 2 2 4 4" xfId="5983" xr:uid="{00000000-0005-0000-0000-00005C170000}"/>
    <cellStyle name="20% - Énfasis5 2 2 2 2 4 5" xfId="5984" xr:uid="{00000000-0005-0000-0000-00005D170000}"/>
    <cellStyle name="20% - Énfasis5 2 2 2 2 5" xfId="5985" xr:uid="{00000000-0005-0000-0000-00005E170000}"/>
    <cellStyle name="20% - Énfasis5 2 2 2 2 5 2" xfId="5986" xr:uid="{00000000-0005-0000-0000-00005F170000}"/>
    <cellStyle name="20% - Énfasis5 2 2 2 2 5 2 2" xfId="5987" xr:uid="{00000000-0005-0000-0000-000060170000}"/>
    <cellStyle name="20% - Énfasis5 2 2 2 2 5 3" xfId="5988" xr:uid="{00000000-0005-0000-0000-000061170000}"/>
    <cellStyle name="20% - Énfasis5 2 2 2 2 5 3 2" xfId="5989" xr:uid="{00000000-0005-0000-0000-000062170000}"/>
    <cellStyle name="20% - Énfasis5 2 2 2 2 5 4" xfId="5990" xr:uid="{00000000-0005-0000-0000-000063170000}"/>
    <cellStyle name="20% - Énfasis5 2 2 2 2 5 5" xfId="5991" xr:uid="{00000000-0005-0000-0000-000064170000}"/>
    <cellStyle name="20% - Énfasis5 2 2 2 2 6" xfId="5992" xr:uid="{00000000-0005-0000-0000-000065170000}"/>
    <cellStyle name="20% - Énfasis5 2 2 2 2 6 2" xfId="5993" xr:uid="{00000000-0005-0000-0000-000066170000}"/>
    <cellStyle name="20% - Énfasis5 2 2 2 2 7" xfId="5994" xr:uid="{00000000-0005-0000-0000-000067170000}"/>
    <cellStyle name="20% - Énfasis5 2 2 2 2 7 2" xfId="5995" xr:uid="{00000000-0005-0000-0000-000068170000}"/>
    <cellStyle name="20% - Énfasis5 2 2 2 2 8" xfId="5996" xr:uid="{00000000-0005-0000-0000-000069170000}"/>
    <cellStyle name="20% - Énfasis5 2 2 2 2 9" xfId="5997" xr:uid="{00000000-0005-0000-0000-00006A170000}"/>
    <cellStyle name="20% - Énfasis5 2 2 2 3" xfId="5998" xr:uid="{00000000-0005-0000-0000-00006B170000}"/>
    <cellStyle name="20% - Énfasis5 2 2 2 3 2" xfId="5999" xr:uid="{00000000-0005-0000-0000-00006C170000}"/>
    <cellStyle name="20% - Énfasis5 2 2 2 3 2 2" xfId="6000" xr:uid="{00000000-0005-0000-0000-00006D170000}"/>
    <cellStyle name="20% - Énfasis5 2 2 2 3 2 2 2" xfId="6001" xr:uid="{00000000-0005-0000-0000-00006E170000}"/>
    <cellStyle name="20% - Énfasis5 2 2 2 3 2 2 2 2" xfId="6002" xr:uid="{00000000-0005-0000-0000-00006F170000}"/>
    <cellStyle name="20% - Énfasis5 2 2 2 3 2 2 2 2 2" xfId="6003" xr:uid="{00000000-0005-0000-0000-000070170000}"/>
    <cellStyle name="20% - Énfasis5 2 2 2 3 2 2 2 3" xfId="6004" xr:uid="{00000000-0005-0000-0000-000071170000}"/>
    <cellStyle name="20% - Énfasis5 2 2 2 3 2 2 2 4" xfId="6005" xr:uid="{00000000-0005-0000-0000-000072170000}"/>
    <cellStyle name="20% - Énfasis5 2 2 2 3 2 2 3" xfId="6006" xr:uid="{00000000-0005-0000-0000-000073170000}"/>
    <cellStyle name="20% - Énfasis5 2 2 2 3 2 2 3 2" xfId="6007" xr:uid="{00000000-0005-0000-0000-000074170000}"/>
    <cellStyle name="20% - Énfasis5 2 2 2 3 2 2 4" xfId="6008" xr:uid="{00000000-0005-0000-0000-000075170000}"/>
    <cellStyle name="20% - Énfasis5 2 2 2 3 2 2 5" xfId="6009" xr:uid="{00000000-0005-0000-0000-000076170000}"/>
    <cellStyle name="20% - Énfasis5 2 2 2 3 2 3" xfId="6010" xr:uid="{00000000-0005-0000-0000-000077170000}"/>
    <cellStyle name="20% - Énfasis5 2 2 2 3 2 3 2" xfId="6011" xr:uid="{00000000-0005-0000-0000-000078170000}"/>
    <cellStyle name="20% - Énfasis5 2 2 2 3 2 3 2 2" xfId="6012" xr:uid="{00000000-0005-0000-0000-000079170000}"/>
    <cellStyle name="20% - Énfasis5 2 2 2 3 2 3 3" xfId="6013" xr:uid="{00000000-0005-0000-0000-00007A170000}"/>
    <cellStyle name="20% - Énfasis5 2 2 2 3 2 3 4" xfId="6014" xr:uid="{00000000-0005-0000-0000-00007B170000}"/>
    <cellStyle name="20% - Énfasis5 2 2 2 3 2 4" xfId="6015" xr:uid="{00000000-0005-0000-0000-00007C170000}"/>
    <cellStyle name="20% - Énfasis5 2 2 2 3 2 4 2" xfId="6016" xr:uid="{00000000-0005-0000-0000-00007D170000}"/>
    <cellStyle name="20% - Énfasis5 2 2 2 3 2 5" xfId="6017" xr:uid="{00000000-0005-0000-0000-00007E170000}"/>
    <cellStyle name="20% - Énfasis5 2 2 2 3 2 6" xfId="6018" xr:uid="{00000000-0005-0000-0000-00007F170000}"/>
    <cellStyle name="20% - Énfasis5 2 2 2 3 3" xfId="6019" xr:uid="{00000000-0005-0000-0000-000080170000}"/>
    <cellStyle name="20% - Énfasis5 2 2 2 3 3 2" xfId="6020" xr:uid="{00000000-0005-0000-0000-000081170000}"/>
    <cellStyle name="20% - Énfasis5 2 2 2 3 3 2 2" xfId="6021" xr:uid="{00000000-0005-0000-0000-000082170000}"/>
    <cellStyle name="20% - Énfasis5 2 2 2 3 3 2 2 2" xfId="6022" xr:uid="{00000000-0005-0000-0000-000083170000}"/>
    <cellStyle name="20% - Énfasis5 2 2 2 3 3 2 3" xfId="6023" xr:uid="{00000000-0005-0000-0000-000084170000}"/>
    <cellStyle name="20% - Énfasis5 2 2 2 3 3 2 4" xfId="6024" xr:uid="{00000000-0005-0000-0000-000085170000}"/>
    <cellStyle name="20% - Énfasis5 2 2 2 3 3 3" xfId="6025" xr:uid="{00000000-0005-0000-0000-000086170000}"/>
    <cellStyle name="20% - Énfasis5 2 2 2 3 3 3 2" xfId="6026" xr:uid="{00000000-0005-0000-0000-000087170000}"/>
    <cellStyle name="20% - Énfasis5 2 2 2 3 3 4" xfId="6027" xr:uid="{00000000-0005-0000-0000-000088170000}"/>
    <cellStyle name="20% - Énfasis5 2 2 2 3 3 5" xfId="6028" xr:uid="{00000000-0005-0000-0000-000089170000}"/>
    <cellStyle name="20% - Énfasis5 2 2 2 3 4" xfId="6029" xr:uid="{00000000-0005-0000-0000-00008A170000}"/>
    <cellStyle name="20% - Énfasis5 2 2 2 3 4 2" xfId="6030" xr:uid="{00000000-0005-0000-0000-00008B170000}"/>
    <cellStyle name="20% - Énfasis5 2 2 2 3 4 2 2" xfId="6031" xr:uid="{00000000-0005-0000-0000-00008C170000}"/>
    <cellStyle name="20% - Énfasis5 2 2 2 3 4 3" xfId="6032" xr:uid="{00000000-0005-0000-0000-00008D170000}"/>
    <cellStyle name="20% - Énfasis5 2 2 2 3 4 4" xfId="6033" xr:uid="{00000000-0005-0000-0000-00008E170000}"/>
    <cellStyle name="20% - Énfasis5 2 2 2 3 5" xfId="6034" xr:uid="{00000000-0005-0000-0000-00008F170000}"/>
    <cellStyle name="20% - Énfasis5 2 2 2 3 5 2" xfId="6035" xr:uid="{00000000-0005-0000-0000-000090170000}"/>
    <cellStyle name="20% - Énfasis5 2 2 2 3 6" xfId="6036" xr:uid="{00000000-0005-0000-0000-000091170000}"/>
    <cellStyle name="20% - Énfasis5 2 2 2 3 7" xfId="6037" xr:uid="{00000000-0005-0000-0000-000092170000}"/>
    <cellStyle name="20% - Énfasis5 2 2 2 4" xfId="6038" xr:uid="{00000000-0005-0000-0000-000093170000}"/>
    <cellStyle name="20% - Énfasis5 2 2 2 4 2" xfId="6039" xr:uid="{00000000-0005-0000-0000-000094170000}"/>
    <cellStyle name="20% - Énfasis5 2 2 2 4 2 2" xfId="6040" xr:uid="{00000000-0005-0000-0000-000095170000}"/>
    <cellStyle name="20% - Énfasis5 2 2 2 4 2 2 2" xfId="6041" xr:uid="{00000000-0005-0000-0000-000096170000}"/>
    <cellStyle name="20% - Énfasis5 2 2 2 4 2 2 2 2" xfId="6042" xr:uid="{00000000-0005-0000-0000-000097170000}"/>
    <cellStyle name="20% - Énfasis5 2 2 2 4 2 2 3" xfId="6043" xr:uid="{00000000-0005-0000-0000-000098170000}"/>
    <cellStyle name="20% - Énfasis5 2 2 2 4 2 2 4" xfId="6044" xr:uid="{00000000-0005-0000-0000-000099170000}"/>
    <cellStyle name="20% - Énfasis5 2 2 2 4 2 3" xfId="6045" xr:uid="{00000000-0005-0000-0000-00009A170000}"/>
    <cellStyle name="20% - Énfasis5 2 2 2 4 2 3 2" xfId="6046" xr:uid="{00000000-0005-0000-0000-00009B170000}"/>
    <cellStyle name="20% - Énfasis5 2 2 2 4 2 4" xfId="6047" xr:uid="{00000000-0005-0000-0000-00009C170000}"/>
    <cellStyle name="20% - Énfasis5 2 2 2 4 2 5" xfId="6048" xr:uid="{00000000-0005-0000-0000-00009D170000}"/>
    <cellStyle name="20% - Énfasis5 2 2 2 4 3" xfId="6049" xr:uid="{00000000-0005-0000-0000-00009E170000}"/>
    <cellStyle name="20% - Énfasis5 2 2 2 4 3 2" xfId="6050" xr:uid="{00000000-0005-0000-0000-00009F170000}"/>
    <cellStyle name="20% - Énfasis5 2 2 2 4 3 2 2" xfId="6051" xr:uid="{00000000-0005-0000-0000-0000A0170000}"/>
    <cellStyle name="20% - Énfasis5 2 2 2 4 3 3" xfId="6052" xr:uid="{00000000-0005-0000-0000-0000A1170000}"/>
    <cellStyle name="20% - Énfasis5 2 2 2 4 3 3 2" xfId="6053" xr:uid="{00000000-0005-0000-0000-0000A2170000}"/>
    <cellStyle name="20% - Énfasis5 2 2 2 4 3 4" xfId="6054" xr:uid="{00000000-0005-0000-0000-0000A3170000}"/>
    <cellStyle name="20% - Énfasis5 2 2 2 4 3 5" xfId="6055" xr:uid="{00000000-0005-0000-0000-0000A4170000}"/>
    <cellStyle name="20% - Énfasis5 2 2 2 4 4" xfId="6056" xr:uid="{00000000-0005-0000-0000-0000A5170000}"/>
    <cellStyle name="20% - Énfasis5 2 2 2 4 4 2" xfId="6057" xr:uid="{00000000-0005-0000-0000-0000A6170000}"/>
    <cellStyle name="20% - Énfasis5 2 2 2 4 5" xfId="6058" xr:uid="{00000000-0005-0000-0000-0000A7170000}"/>
    <cellStyle name="20% - Énfasis5 2 2 2 4 5 2" xfId="6059" xr:uid="{00000000-0005-0000-0000-0000A8170000}"/>
    <cellStyle name="20% - Énfasis5 2 2 2 4 6" xfId="6060" xr:uid="{00000000-0005-0000-0000-0000A9170000}"/>
    <cellStyle name="20% - Énfasis5 2 2 2 4 7" xfId="6061" xr:uid="{00000000-0005-0000-0000-0000AA170000}"/>
    <cellStyle name="20% - Énfasis5 2 2 2 5" xfId="6062" xr:uid="{00000000-0005-0000-0000-0000AB170000}"/>
    <cellStyle name="20% - Énfasis5 2 2 2 5 2" xfId="6063" xr:uid="{00000000-0005-0000-0000-0000AC170000}"/>
    <cellStyle name="20% - Énfasis5 2 2 2 5 2 2" xfId="6064" xr:uid="{00000000-0005-0000-0000-0000AD170000}"/>
    <cellStyle name="20% - Énfasis5 2 2 2 5 2 2 2" xfId="6065" xr:uid="{00000000-0005-0000-0000-0000AE170000}"/>
    <cellStyle name="20% - Énfasis5 2 2 2 5 2 3" xfId="6066" xr:uid="{00000000-0005-0000-0000-0000AF170000}"/>
    <cellStyle name="20% - Énfasis5 2 2 2 5 2 4" xfId="6067" xr:uid="{00000000-0005-0000-0000-0000B0170000}"/>
    <cellStyle name="20% - Énfasis5 2 2 2 5 3" xfId="6068" xr:uid="{00000000-0005-0000-0000-0000B1170000}"/>
    <cellStyle name="20% - Énfasis5 2 2 2 5 3 2" xfId="6069" xr:uid="{00000000-0005-0000-0000-0000B2170000}"/>
    <cellStyle name="20% - Énfasis5 2 2 2 5 4" xfId="6070" xr:uid="{00000000-0005-0000-0000-0000B3170000}"/>
    <cellStyle name="20% - Énfasis5 2 2 2 5 5" xfId="6071" xr:uid="{00000000-0005-0000-0000-0000B4170000}"/>
    <cellStyle name="20% - Énfasis5 2 2 2 6" xfId="6072" xr:uid="{00000000-0005-0000-0000-0000B5170000}"/>
    <cellStyle name="20% - Énfasis5 2 2 2 6 2" xfId="6073" xr:uid="{00000000-0005-0000-0000-0000B6170000}"/>
    <cellStyle name="20% - Énfasis5 2 2 2 6 2 2" xfId="6074" xr:uid="{00000000-0005-0000-0000-0000B7170000}"/>
    <cellStyle name="20% - Énfasis5 2 2 2 6 3" xfId="6075" xr:uid="{00000000-0005-0000-0000-0000B8170000}"/>
    <cellStyle name="20% - Énfasis5 2 2 2 6 3 2" xfId="6076" xr:uid="{00000000-0005-0000-0000-0000B9170000}"/>
    <cellStyle name="20% - Énfasis5 2 2 2 6 4" xfId="6077" xr:uid="{00000000-0005-0000-0000-0000BA170000}"/>
    <cellStyle name="20% - Énfasis5 2 2 2 6 5" xfId="6078" xr:uid="{00000000-0005-0000-0000-0000BB170000}"/>
    <cellStyle name="20% - Énfasis5 2 2 2 7" xfId="6079" xr:uid="{00000000-0005-0000-0000-0000BC170000}"/>
    <cellStyle name="20% - Énfasis5 2 2 2 7 2" xfId="6080" xr:uid="{00000000-0005-0000-0000-0000BD170000}"/>
    <cellStyle name="20% - Énfasis5 2 2 2 8" xfId="6081" xr:uid="{00000000-0005-0000-0000-0000BE170000}"/>
    <cellStyle name="20% - Énfasis5 2 2 2 8 2" xfId="6082" xr:uid="{00000000-0005-0000-0000-0000BF170000}"/>
    <cellStyle name="20% - Énfasis5 2 2 2 9" xfId="6083" xr:uid="{00000000-0005-0000-0000-0000C0170000}"/>
    <cellStyle name="20% - Énfasis5 2 2 3" xfId="6084" xr:uid="{00000000-0005-0000-0000-0000C1170000}"/>
    <cellStyle name="20% - Énfasis5 2 2 3 2" xfId="6085" xr:uid="{00000000-0005-0000-0000-0000C2170000}"/>
    <cellStyle name="20% - Énfasis5 2 2 3 2 2" xfId="6086" xr:uid="{00000000-0005-0000-0000-0000C3170000}"/>
    <cellStyle name="20% - Énfasis5 2 2 3 2 2 2" xfId="6087" xr:uid="{00000000-0005-0000-0000-0000C4170000}"/>
    <cellStyle name="20% - Énfasis5 2 2 3 2 2 2 2" xfId="6088" xr:uid="{00000000-0005-0000-0000-0000C5170000}"/>
    <cellStyle name="20% - Énfasis5 2 2 3 2 2 2 2 2" xfId="6089" xr:uid="{00000000-0005-0000-0000-0000C6170000}"/>
    <cellStyle name="20% - Énfasis5 2 2 3 2 2 2 2 2 2" xfId="6090" xr:uid="{00000000-0005-0000-0000-0000C7170000}"/>
    <cellStyle name="20% - Énfasis5 2 2 3 2 2 2 2 3" xfId="6091" xr:uid="{00000000-0005-0000-0000-0000C8170000}"/>
    <cellStyle name="20% - Énfasis5 2 2 3 2 2 2 2 4" xfId="6092" xr:uid="{00000000-0005-0000-0000-0000C9170000}"/>
    <cellStyle name="20% - Énfasis5 2 2 3 2 2 2 3" xfId="6093" xr:uid="{00000000-0005-0000-0000-0000CA170000}"/>
    <cellStyle name="20% - Énfasis5 2 2 3 2 2 2 3 2" xfId="6094" xr:uid="{00000000-0005-0000-0000-0000CB170000}"/>
    <cellStyle name="20% - Énfasis5 2 2 3 2 2 2 4" xfId="6095" xr:uid="{00000000-0005-0000-0000-0000CC170000}"/>
    <cellStyle name="20% - Énfasis5 2 2 3 2 2 2 5" xfId="6096" xr:uid="{00000000-0005-0000-0000-0000CD170000}"/>
    <cellStyle name="20% - Énfasis5 2 2 3 2 2 3" xfId="6097" xr:uid="{00000000-0005-0000-0000-0000CE170000}"/>
    <cellStyle name="20% - Énfasis5 2 2 3 2 2 3 2" xfId="6098" xr:uid="{00000000-0005-0000-0000-0000CF170000}"/>
    <cellStyle name="20% - Énfasis5 2 2 3 2 2 3 2 2" xfId="6099" xr:uid="{00000000-0005-0000-0000-0000D0170000}"/>
    <cellStyle name="20% - Énfasis5 2 2 3 2 2 3 3" xfId="6100" xr:uid="{00000000-0005-0000-0000-0000D1170000}"/>
    <cellStyle name="20% - Énfasis5 2 2 3 2 2 3 4" xfId="6101" xr:uid="{00000000-0005-0000-0000-0000D2170000}"/>
    <cellStyle name="20% - Énfasis5 2 2 3 2 2 4" xfId="6102" xr:uid="{00000000-0005-0000-0000-0000D3170000}"/>
    <cellStyle name="20% - Énfasis5 2 2 3 2 2 4 2" xfId="6103" xr:uid="{00000000-0005-0000-0000-0000D4170000}"/>
    <cellStyle name="20% - Énfasis5 2 2 3 2 2 5" xfId="6104" xr:uid="{00000000-0005-0000-0000-0000D5170000}"/>
    <cellStyle name="20% - Énfasis5 2 2 3 2 2 6" xfId="6105" xr:uid="{00000000-0005-0000-0000-0000D6170000}"/>
    <cellStyle name="20% - Énfasis5 2 2 3 2 3" xfId="6106" xr:uid="{00000000-0005-0000-0000-0000D7170000}"/>
    <cellStyle name="20% - Énfasis5 2 2 3 2 3 2" xfId="6107" xr:uid="{00000000-0005-0000-0000-0000D8170000}"/>
    <cellStyle name="20% - Énfasis5 2 2 3 2 3 2 2" xfId="6108" xr:uid="{00000000-0005-0000-0000-0000D9170000}"/>
    <cellStyle name="20% - Énfasis5 2 2 3 2 3 2 2 2" xfId="6109" xr:uid="{00000000-0005-0000-0000-0000DA170000}"/>
    <cellStyle name="20% - Énfasis5 2 2 3 2 3 2 3" xfId="6110" xr:uid="{00000000-0005-0000-0000-0000DB170000}"/>
    <cellStyle name="20% - Énfasis5 2 2 3 2 3 2 4" xfId="6111" xr:uid="{00000000-0005-0000-0000-0000DC170000}"/>
    <cellStyle name="20% - Énfasis5 2 2 3 2 3 3" xfId="6112" xr:uid="{00000000-0005-0000-0000-0000DD170000}"/>
    <cellStyle name="20% - Énfasis5 2 2 3 2 3 3 2" xfId="6113" xr:uid="{00000000-0005-0000-0000-0000DE170000}"/>
    <cellStyle name="20% - Énfasis5 2 2 3 2 3 4" xfId="6114" xr:uid="{00000000-0005-0000-0000-0000DF170000}"/>
    <cellStyle name="20% - Énfasis5 2 2 3 2 3 5" xfId="6115" xr:uid="{00000000-0005-0000-0000-0000E0170000}"/>
    <cellStyle name="20% - Énfasis5 2 2 3 2 4" xfId="6116" xr:uid="{00000000-0005-0000-0000-0000E1170000}"/>
    <cellStyle name="20% - Énfasis5 2 2 3 2 4 2" xfId="6117" xr:uid="{00000000-0005-0000-0000-0000E2170000}"/>
    <cellStyle name="20% - Énfasis5 2 2 3 2 4 2 2" xfId="6118" xr:uid="{00000000-0005-0000-0000-0000E3170000}"/>
    <cellStyle name="20% - Énfasis5 2 2 3 2 4 3" xfId="6119" xr:uid="{00000000-0005-0000-0000-0000E4170000}"/>
    <cellStyle name="20% - Énfasis5 2 2 3 2 4 4" xfId="6120" xr:uid="{00000000-0005-0000-0000-0000E5170000}"/>
    <cellStyle name="20% - Énfasis5 2 2 3 2 5" xfId="6121" xr:uid="{00000000-0005-0000-0000-0000E6170000}"/>
    <cellStyle name="20% - Énfasis5 2 2 3 2 5 2" xfId="6122" xr:uid="{00000000-0005-0000-0000-0000E7170000}"/>
    <cellStyle name="20% - Énfasis5 2 2 3 2 6" xfId="6123" xr:uid="{00000000-0005-0000-0000-0000E8170000}"/>
    <cellStyle name="20% - Énfasis5 2 2 3 2 7" xfId="6124" xr:uid="{00000000-0005-0000-0000-0000E9170000}"/>
    <cellStyle name="20% - Énfasis5 2 2 3 3" xfId="6125" xr:uid="{00000000-0005-0000-0000-0000EA170000}"/>
    <cellStyle name="20% - Énfasis5 2 2 3 3 2" xfId="6126" xr:uid="{00000000-0005-0000-0000-0000EB170000}"/>
    <cellStyle name="20% - Énfasis5 2 2 3 3 2 2" xfId="6127" xr:uid="{00000000-0005-0000-0000-0000EC170000}"/>
    <cellStyle name="20% - Énfasis5 2 2 3 3 2 2 2" xfId="6128" xr:uid="{00000000-0005-0000-0000-0000ED170000}"/>
    <cellStyle name="20% - Énfasis5 2 2 3 3 2 2 2 2" xfId="6129" xr:uid="{00000000-0005-0000-0000-0000EE170000}"/>
    <cellStyle name="20% - Énfasis5 2 2 3 3 2 2 3" xfId="6130" xr:uid="{00000000-0005-0000-0000-0000EF170000}"/>
    <cellStyle name="20% - Énfasis5 2 2 3 3 2 2 4" xfId="6131" xr:uid="{00000000-0005-0000-0000-0000F0170000}"/>
    <cellStyle name="20% - Énfasis5 2 2 3 3 2 3" xfId="6132" xr:uid="{00000000-0005-0000-0000-0000F1170000}"/>
    <cellStyle name="20% - Énfasis5 2 2 3 3 2 3 2" xfId="6133" xr:uid="{00000000-0005-0000-0000-0000F2170000}"/>
    <cellStyle name="20% - Énfasis5 2 2 3 3 2 4" xfId="6134" xr:uid="{00000000-0005-0000-0000-0000F3170000}"/>
    <cellStyle name="20% - Énfasis5 2 2 3 3 2 5" xfId="6135" xr:uid="{00000000-0005-0000-0000-0000F4170000}"/>
    <cellStyle name="20% - Énfasis5 2 2 3 3 3" xfId="6136" xr:uid="{00000000-0005-0000-0000-0000F5170000}"/>
    <cellStyle name="20% - Énfasis5 2 2 3 3 3 2" xfId="6137" xr:uid="{00000000-0005-0000-0000-0000F6170000}"/>
    <cellStyle name="20% - Énfasis5 2 2 3 3 3 2 2" xfId="6138" xr:uid="{00000000-0005-0000-0000-0000F7170000}"/>
    <cellStyle name="20% - Énfasis5 2 2 3 3 3 3" xfId="6139" xr:uid="{00000000-0005-0000-0000-0000F8170000}"/>
    <cellStyle name="20% - Énfasis5 2 2 3 3 3 3 2" xfId="6140" xr:uid="{00000000-0005-0000-0000-0000F9170000}"/>
    <cellStyle name="20% - Énfasis5 2 2 3 3 3 4" xfId="6141" xr:uid="{00000000-0005-0000-0000-0000FA170000}"/>
    <cellStyle name="20% - Énfasis5 2 2 3 3 3 5" xfId="6142" xr:uid="{00000000-0005-0000-0000-0000FB170000}"/>
    <cellStyle name="20% - Énfasis5 2 2 3 3 4" xfId="6143" xr:uid="{00000000-0005-0000-0000-0000FC170000}"/>
    <cellStyle name="20% - Énfasis5 2 2 3 3 4 2" xfId="6144" xr:uid="{00000000-0005-0000-0000-0000FD170000}"/>
    <cellStyle name="20% - Énfasis5 2 2 3 3 5" xfId="6145" xr:uid="{00000000-0005-0000-0000-0000FE170000}"/>
    <cellStyle name="20% - Énfasis5 2 2 3 3 5 2" xfId="6146" xr:uid="{00000000-0005-0000-0000-0000FF170000}"/>
    <cellStyle name="20% - Énfasis5 2 2 3 3 6" xfId="6147" xr:uid="{00000000-0005-0000-0000-000000180000}"/>
    <cellStyle name="20% - Énfasis5 2 2 3 3 7" xfId="6148" xr:uid="{00000000-0005-0000-0000-000001180000}"/>
    <cellStyle name="20% - Énfasis5 2 2 3 4" xfId="6149" xr:uid="{00000000-0005-0000-0000-000002180000}"/>
    <cellStyle name="20% - Énfasis5 2 2 3 4 2" xfId="6150" xr:uid="{00000000-0005-0000-0000-000003180000}"/>
    <cellStyle name="20% - Énfasis5 2 2 3 4 2 2" xfId="6151" xr:uid="{00000000-0005-0000-0000-000004180000}"/>
    <cellStyle name="20% - Énfasis5 2 2 3 4 2 2 2" xfId="6152" xr:uid="{00000000-0005-0000-0000-000005180000}"/>
    <cellStyle name="20% - Énfasis5 2 2 3 4 2 3" xfId="6153" xr:uid="{00000000-0005-0000-0000-000006180000}"/>
    <cellStyle name="20% - Énfasis5 2 2 3 4 2 4" xfId="6154" xr:uid="{00000000-0005-0000-0000-000007180000}"/>
    <cellStyle name="20% - Énfasis5 2 2 3 4 3" xfId="6155" xr:uid="{00000000-0005-0000-0000-000008180000}"/>
    <cellStyle name="20% - Énfasis5 2 2 3 4 3 2" xfId="6156" xr:uid="{00000000-0005-0000-0000-000009180000}"/>
    <cellStyle name="20% - Énfasis5 2 2 3 4 4" xfId="6157" xr:uid="{00000000-0005-0000-0000-00000A180000}"/>
    <cellStyle name="20% - Énfasis5 2 2 3 4 5" xfId="6158" xr:uid="{00000000-0005-0000-0000-00000B180000}"/>
    <cellStyle name="20% - Énfasis5 2 2 3 5" xfId="6159" xr:uid="{00000000-0005-0000-0000-00000C180000}"/>
    <cellStyle name="20% - Énfasis5 2 2 3 5 2" xfId="6160" xr:uid="{00000000-0005-0000-0000-00000D180000}"/>
    <cellStyle name="20% - Énfasis5 2 2 3 5 2 2" xfId="6161" xr:uid="{00000000-0005-0000-0000-00000E180000}"/>
    <cellStyle name="20% - Énfasis5 2 2 3 5 3" xfId="6162" xr:uid="{00000000-0005-0000-0000-00000F180000}"/>
    <cellStyle name="20% - Énfasis5 2 2 3 5 3 2" xfId="6163" xr:uid="{00000000-0005-0000-0000-000010180000}"/>
    <cellStyle name="20% - Énfasis5 2 2 3 5 4" xfId="6164" xr:uid="{00000000-0005-0000-0000-000011180000}"/>
    <cellStyle name="20% - Énfasis5 2 2 3 5 5" xfId="6165" xr:uid="{00000000-0005-0000-0000-000012180000}"/>
    <cellStyle name="20% - Énfasis5 2 2 3 6" xfId="6166" xr:uid="{00000000-0005-0000-0000-000013180000}"/>
    <cellStyle name="20% - Énfasis5 2 2 3 6 2" xfId="6167" xr:uid="{00000000-0005-0000-0000-000014180000}"/>
    <cellStyle name="20% - Énfasis5 2 2 3 7" xfId="6168" xr:uid="{00000000-0005-0000-0000-000015180000}"/>
    <cellStyle name="20% - Énfasis5 2 2 3 7 2" xfId="6169" xr:uid="{00000000-0005-0000-0000-000016180000}"/>
    <cellStyle name="20% - Énfasis5 2 2 3 8" xfId="6170" xr:uid="{00000000-0005-0000-0000-000017180000}"/>
    <cellStyle name="20% - Énfasis5 2 2 3 9" xfId="6171" xr:uid="{00000000-0005-0000-0000-000018180000}"/>
    <cellStyle name="20% - Énfasis5 2 2 4" xfId="6172" xr:uid="{00000000-0005-0000-0000-000019180000}"/>
    <cellStyle name="20% - Énfasis5 2 2 4 2" xfId="6173" xr:uid="{00000000-0005-0000-0000-00001A180000}"/>
    <cellStyle name="20% - Énfasis5 2 2 4 2 2" xfId="6174" xr:uid="{00000000-0005-0000-0000-00001B180000}"/>
    <cellStyle name="20% - Énfasis5 2 2 4 2 2 2" xfId="6175" xr:uid="{00000000-0005-0000-0000-00001C180000}"/>
    <cellStyle name="20% - Énfasis5 2 2 4 2 2 2 2" xfId="6176" xr:uid="{00000000-0005-0000-0000-00001D180000}"/>
    <cellStyle name="20% - Énfasis5 2 2 4 2 2 2 2 2" xfId="6177" xr:uid="{00000000-0005-0000-0000-00001E180000}"/>
    <cellStyle name="20% - Énfasis5 2 2 4 2 2 2 3" xfId="6178" xr:uid="{00000000-0005-0000-0000-00001F180000}"/>
    <cellStyle name="20% - Énfasis5 2 2 4 2 2 2 4" xfId="6179" xr:uid="{00000000-0005-0000-0000-000020180000}"/>
    <cellStyle name="20% - Énfasis5 2 2 4 2 2 3" xfId="6180" xr:uid="{00000000-0005-0000-0000-000021180000}"/>
    <cellStyle name="20% - Énfasis5 2 2 4 2 2 3 2" xfId="6181" xr:uid="{00000000-0005-0000-0000-000022180000}"/>
    <cellStyle name="20% - Énfasis5 2 2 4 2 2 4" xfId="6182" xr:uid="{00000000-0005-0000-0000-000023180000}"/>
    <cellStyle name="20% - Énfasis5 2 2 4 2 2 5" xfId="6183" xr:uid="{00000000-0005-0000-0000-000024180000}"/>
    <cellStyle name="20% - Énfasis5 2 2 4 2 3" xfId="6184" xr:uid="{00000000-0005-0000-0000-000025180000}"/>
    <cellStyle name="20% - Énfasis5 2 2 4 2 3 2" xfId="6185" xr:uid="{00000000-0005-0000-0000-000026180000}"/>
    <cellStyle name="20% - Énfasis5 2 2 4 2 3 2 2" xfId="6186" xr:uid="{00000000-0005-0000-0000-000027180000}"/>
    <cellStyle name="20% - Énfasis5 2 2 4 2 3 3" xfId="6187" xr:uid="{00000000-0005-0000-0000-000028180000}"/>
    <cellStyle name="20% - Énfasis5 2 2 4 2 3 3 2" xfId="6188" xr:uid="{00000000-0005-0000-0000-000029180000}"/>
    <cellStyle name="20% - Énfasis5 2 2 4 2 3 4" xfId="6189" xr:uid="{00000000-0005-0000-0000-00002A180000}"/>
    <cellStyle name="20% - Énfasis5 2 2 4 2 3 5" xfId="6190" xr:uid="{00000000-0005-0000-0000-00002B180000}"/>
    <cellStyle name="20% - Énfasis5 2 2 4 2 4" xfId="6191" xr:uid="{00000000-0005-0000-0000-00002C180000}"/>
    <cellStyle name="20% - Énfasis5 2 2 4 2 4 2" xfId="6192" xr:uid="{00000000-0005-0000-0000-00002D180000}"/>
    <cellStyle name="20% - Énfasis5 2 2 4 2 5" xfId="6193" xr:uid="{00000000-0005-0000-0000-00002E180000}"/>
    <cellStyle name="20% - Énfasis5 2 2 4 2 5 2" xfId="6194" xr:uid="{00000000-0005-0000-0000-00002F180000}"/>
    <cellStyle name="20% - Énfasis5 2 2 4 2 6" xfId="6195" xr:uid="{00000000-0005-0000-0000-000030180000}"/>
    <cellStyle name="20% - Énfasis5 2 2 4 2 7" xfId="6196" xr:uid="{00000000-0005-0000-0000-000031180000}"/>
    <cellStyle name="20% - Énfasis5 2 2 4 3" xfId="6197" xr:uid="{00000000-0005-0000-0000-000032180000}"/>
    <cellStyle name="20% - Énfasis5 2 2 4 3 2" xfId="6198" xr:uid="{00000000-0005-0000-0000-000033180000}"/>
    <cellStyle name="20% - Énfasis5 2 2 4 3 2 2" xfId="6199" xr:uid="{00000000-0005-0000-0000-000034180000}"/>
    <cellStyle name="20% - Énfasis5 2 2 4 3 2 2 2" xfId="6200" xr:uid="{00000000-0005-0000-0000-000035180000}"/>
    <cellStyle name="20% - Énfasis5 2 2 4 3 2 3" xfId="6201" xr:uid="{00000000-0005-0000-0000-000036180000}"/>
    <cellStyle name="20% - Énfasis5 2 2 4 3 2 4" xfId="6202" xr:uid="{00000000-0005-0000-0000-000037180000}"/>
    <cellStyle name="20% - Énfasis5 2 2 4 3 3" xfId="6203" xr:uid="{00000000-0005-0000-0000-000038180000}"/>
    <cellStyle name="20% - Énfasis5 2 2 4 3 3 2" xfId="6204" xr:uid="{00000000-0005-0000-0000-000039180000}"/>
    <cellStyle name="20% - Énfasis5 2 2 4 3 4" xfId="6205" xr:uid="{00000000-0005-0000-0000-00003A180000}"/>
    <cellStyle name="20% - Énfasis5 2 2 4 3 5" xfId="6206" xr:uid="{00000000-0005-0000-0000-00003B180000}"/>
    <cellStyle name="20% - Énfasis5 2 2 4 4" xfId="6207" xr:uid="{00000000-0005-0000-0000-00003C180000}"/>
    <cellStyle name="20% - Énfasis5 2 2 4 4 2" xfId="6208" xr:uid="{00000000-0005-0000-0000-00003D180000}"/>
    <cellStyle name="20% - Énfasis5 2 2 4 4 2 2" xfId="6209" xr:uid="{00000000-0005-0000-0000-00003E180000}"/>
    <cellStyle name="20% - Énfasis5 2 2 4 4 3" xfId="6210" xr:uid="{00000000-0005-0000-0000-00003F180000}"/>
    <cellStyle name="20% - Énfasis5 2 2 4 4 3 2" xfId="6211" xr:uid="{00000000-0005-0000-0000-000040180000}"/>
    <cellStyle name="20% - Énfasis5 2 2 4 4 4" xfId="6212" xr:uid="{00000000-0005-0000-0000-000041180000}"/>
    <cellStyle name="20% - Énfasis5 2 2 4 4 5" xfId="6213" xr:uid="{00000000-0005-0000-0000-000042180000}"/>
    <cellStyle name="20% - Énfasis5 2 2 4 5" xfId="6214" xr:uid="{00000000-0005-0000-0000-000043180000}"/>
    <cellStyle name="20% - Énfasis5 2 2 4 5 2" xfId="6215" xr:uid="{00000000-0005-0000-0000-000044180000}"/>
    <cellStyle name="20% - Énfasis5 2 2 4 6" xfId="6216" xr:uid="{00000000-0005-0000-0000-000045180000}"/>
    <cellStyle name="20% - Énfasis5 2 2 4 6 2" xfId="6217" xr:uid="{00000000-0005-0000-0000-000046180000}"/>
    <cellStyle name="20% - Énfasis5 2 2 4 7" xfId="6218" xr:uid="{00000000-0005-0000-0000-000047180000}"/>
    <cellStyle name="20% - Énfasis5 2 2 4 8" xfId="6219" xr:uid="{00000000-0005-0000-0000-000048180000}"/>
    <cellStyle name="20% - Énfasis5 2 2 5" xfId="6220" xr:uid="{00000000-0005-0000-0000-000049180000}"/>
    <cellStyle name="20% - Énfasis5 2 2 5 2" xfId="6221" xr:uid="{00000000-0005-0000-0000-00004A180000}"/>
    <cellStyle name="20% - Énfasis5 2 2 5 2 2" xfId="6222" xr:uid="{00000000-0005-0000-0000-00004B180000}"/>
    <cellStyle name="20% - Énfasis5 2 2 5 2 2 2" xfId="6223" xr:uid="{00000000-0005-0000-0000-00004C180000}"/>
    <cellStyle name="20% - Énfasis5 2 2 5 2 2 2 2" xfId="6224" xr:uid="{00000000-0005-0000-0000-00004D180000}"/>
    <cellStyle name="20% - Énfasis5 2 2 5 2 2 3" xfId="6225" xr:uid="{00000000-0005-0000-0000-00004E180000}"/>
    <cellStyle name="20% - Énfasis5 2 2 5 2 2 4" xfId="6226" xr:uid="{00000000-0005-0000-0000-00004F180000}"/>
    <cellStyle name="20% - Énfasis5 2 2 5 2 3" xfId="6227" xr:uid="{00000000-0005-0000-0000-000050180000}"/>
    <cellStyle name="20% - Énfasis5 2 2 5 2 3 2" xfId="6228" xr:uid="{00000000-0005-0000-0000-000051180000}"/>
    <cellStyle name="20% - Énfasis5 2 2 5 2 4" xfId="6229" xr:uid="{00000000-0005-0000-0000-000052180000}"/>
    <cellStyle name="20% - Énfasis5 2 2 5 2 5" xfId="6230" xr:uid="{00000000-0005-0000-0000-000053180000}"/>
    <cellStyle name="20% - Énfasis5 2 2 5 3" xfId="6231" xr:uid="{00000000-0005-0000-0000-000054180000}"/>
    <cellStyle name="20% - Énfasis5 2 2 5 3 2" xfId="6232" xr:uid="{00000000-0005-0000-0000-000055180000}"/>
    <cellStyle name="20% - Énfasis5 2 2 5 3 3" xfId="6233" xr:uid="{00000000-0005-0000-0000-000056180000}"/>
    <cellStyle name="20% - Énfasis5 2 2 5 4" xfId="6234" xr:uid="{00000000-0005-0000-0000-000057180000}"/>
    <cellStyle name="20% - Énfasis5 2 2 5 4 2" xfId="6235" xr:uid="{00000000-0005-0000-0000-000058180000}"/>
    <cellStyle name="20% - Énfasis5 2 2 5 5" xfId="6236" xr:uid="{00000000-0005-0000-0000-000059180000}"/>
    <cellStyle name="20% - Énfasis5 2 2 6" xfId="6237" xr:uid="{00000000-0005-0000-0000-00005A180000}"/>
    <cellStyle name="20% - Énfasis5 2 2 6 2" xfId="6238" xr:uid="{00000000-0005-0000-0000-00005B180000}"/>
    <cellStyle name="20% - Énfasis5 2 2 6 2 2" xfId="6239" xr:uid="{00000000-0005-0000-0000-00005C180000}"/>
    <cellStyle name="20% - Énfasis5 2 2 6 2 2 2" xfId="6240" xr:uid="{00000000-0005-0000-0000-00005D180000}"/>
    <cellStyle name="20% - Énfasis5 2 2 6 2 3" xfId="6241" xr:uid="{00000000-0005-0000-0000-00005E180000}"/>
    <cellStyle name="20% - Énfasis5 2 2 6 2 3 2" xfId="6242" xr:uid="{00000000-0005-0000-0000-00005F180000}"/>
    <cellStyle name="20% - Énfasis5 2 2 6 2 4" xfId="6243" xr:uid="{00000000-0005-0000-0000-000060180000}"/>
    <cellStyle name="20% - Énfasis5 2 2 6 2 5" xfId="6244" xr:uid="{00000000-0005-0000-0000-000061180000}"/>
    <cellStyle name="20% - Énfasis5 2 2 6 3" xfId="6245" xr:uid="{00000000-0005-0000-0000-000062180000}"/>
    <cellStyle name="20% - Énfasis5 2 2 6 3 2" xfId="6246" xr:uid="{00000000-0005-0000-0000-000063180000}"/>
    <cellStyle name="20% - Énfasis5 2 2 6 4" xfId="6247" xr:uid="{00000000-0005-0000-0000-000064180000}"/>
    <cellStyle name="20% - Énfasis5 2 2 6 4 2" xfId="6248" xr:uid="{00000000-0005-0000-0000-000065180000}"/>
    <cellStyle name="20% - Énfasis5 2 2 6 5" xfId="6249" xr:uid="{00000000-0005-0000-0000-000066180000}"/>
    <cellStyle name="20% - Énfasis5 2 2 6 6" xfId="6250" xr:uid="{00000000-0005-0000-0000-000067180000}"/>
    <cellStyle name="20% - Énfasis5 2 2 7" xfId="6251" xr:uid="{00000000-0005-0000-0000-000068180000}"/>
    <cellStyle name="20% - Énfasis5 2 2 7 2" xfId="6252" xr:uid="{00000000-0005-0000-0000-000069180000}"/>
    <cellStyle name="20% - Énfasis5 2 2 7 2 2" xfId="6253" xr:uid="{00000000-0005-0000-0000-00006A180000}"/>
    <cellStyle name="20% - Énfasis5 2 2 7 3" xfId="6254" xr:uid="{00000000-0005-0000-0000-00006B180000}"/>
    <cellStyle name="20% - Énfasis5 2 2 7 3 2" xfId="6255" xr:uid="{00000000-0005-0000-0000-00006C180000}"/>
    <cellStyle name="20% - Énfasis5 2 2 7 4" xfId="6256" xr:uid="{00000000-0005-0000-0000-00006D180000}"/>
    <cellStyle name="20% - Énfasis5 2 2 7 5" xfId="6257" xr:uid="{00000000-0005-0000-0000-00006E180000}"/>
    <cellStyle name="20% - Énfasis5 2 2 8" xfId="6258" xr:uid="{00000000-0005-0000-0000-00006F180000}"/>
    <cellStyle name="20% - Énfasis5 2 2 8 2" xfId="6259" xr:uid="{00000000-0005-0000-0000-000070180000}"/>
    <cellStyle name="20% - Énfasis5 2 2 8 2 2" xfId="6260" xr:uid="{00000000-0005-0000-0000-000071180000}"/>
    <cellStyle name="20% - Énfasis5 2 2 8 3" xfId="6261" xr:uid="{00000000-0005-0000-0000-000072180000}"/>
    <cellStyle name="20% - Énfasis5 2 2 9" xfId="6262" xr:uid="{00000000-0005-0000-0000-000073180000}"/>
    <cellStyle name="20% - Énfasis5 2 2 9 2" xfId="6263" xr:uid="{00000000-0005-0000-0000-000074180000}"/>
    <cellStyle name="20% - Énfasis5 2 3" xfId="6264" xr:uid="{00000000-0005-0000-0000-000075180000}"/>
    <cellStyle name="20% - Énfasis5 2 3 10" xfId="6265" xr:uid="{00000000-0005-0000-0000-000076180000}"/>
    <cellStyle name="20% - Énfasis5 2 3 2" xfId="6266" xr:uid="{00000000-0005-0000-0000-000077180000}"/>
    <cellStyle name="20% - Énfasis5 2 3 2 2" xfId="6267" xr:uid="{00000000-0005-0000-0000-000078180000}"/>
    <cellStyle name="20% - Énfasis5 2 3 2 2 2" xfId="6268" xr:uid="{00000000-0005-0000-0000-000079180000}"/>
    <cellStyle name="20% - Énfasis5 2 3 2 2 2 2" xfId="6269" xr:uid="{00000000-0005-0000-0000-00007A180000}"/>
    <cellStyle name="20% - Énfasis5 2 3 2 2 2 2 2" xfId="6270" xr:uid="{00000000-0005-0000-0000-00007B180000}"/>
    <cellStyle name="20% - Énfasis5 2 3 2 2 2 2 2 2" xfId="6271" xr:uid="{00000000-0005-0000-0000-00007C180000}"/>
    <cellStyle name="20% - Énfasis5 2 3 2 2 2 2 2 2 2" xfId="6272" xr:uid="{00000000-0005-0000-0000-00007D180000}"/>
    <cellStyle name="20% - Énfasis5 2 3 2 2 2 2 2 3" xfId="6273" xr:uid="{00000000-0005-0000-0000-00007E180000}"/>
    <cellStyle name="20% - Énfasis5 2 3 2 2 2 2 2 4" xfId="6274" xr:uid="{00000000-0005-0000-0000-00007F180000}"/>
    <cellStyle name="20% - Énfasis5 2 3 2 2 2 2 3" xfId="6275" xr:uid="{00000000-0005-0000-0000-000080180000}"/>
    <cellStyle name="20% - Énfasis5 2 3 2 2 2 2 3 2" xfId="6276" xr:uid="{00000000-0005-0000-0000-000081180000}"/>
    <cellStyle name="20% - Énfasis5 2 3 2 2 2 2 4" xfId="6277" xr:uid="{00000000-0005-0000-0000-000082180000}"/>
    <cellStyle name="20% - Énfasis5 2 3 2 2 2 2 5" xfId="6278" xr:uid="{00000000-0005-0000-0000-000083180000}"/>
    <cellStyle name="20% - Énfasis5 2 3 2 2 2 3" xfId="6279" xr:uid="{00000000-0005-0000-0000-000084180000}"/>
    <cellStyle name="20% - Énfasis5 2 3 2 2 2 3 2" xfId="6280" xr:uid="{00000000-0005-0000-0000-000085180000}"/>
    <cellStyle name="20% - Énfasis5 2 3 2 2 2 3 2 2" xfId="6281" xr:uid="{00000000-0005-0000-0000-000086180000}"/>
    <cellStyle name="20% - Énfasis5 2 3 2 2 2 3 3" xfId="6282" xr:uid="{00000000-0005-0000-0000-000087180000}"/>
    <cellStyle name="20% - Énfasis5 2 3 2 2 2 3 4" xfId="6283" xr:uid="{00000000-0005-0000-0000-000088180000}"/>
    <cellStyle name="20% - Énfasis5 2 3 2 2 2 4" xfId="6284" xr:uid="{00000000-0005-0000-0000-000089180000}"/>
    <cellStyle name="20% - Énfasis5 2 3 2 2 2 4 2" xfId="6285" xr:uid="{00000000-0005-0000-0000-00008A180000}"/>
    <cellStyle name="20% - Énfasis5 2 3 2 2 2 5" xfId="6286" xr:uid="{00000000-0005-0000-0000-00008B180000}"/>
    <cellStyle name="20% - Énfasis5 2 3 2 2 2 6" xfId="6287" xr:uid="{00000000-0005-0000-0000-00008C180000}"/>
    <cellStyle name="20% - Énfasis5 2 3 2 2 3" xfId="6288" xr:uid="{00000000-0005-0000-0000-00008D180000}"/>
    <cellStyle name="20% - Énfasis5 2 3 2 2 3 2" xfId="6289" xr:uid="{00000000-0005-0000-0000-00008E180000}"/>
    <cellStyle name="20% - Énfasis5 2 3 2 2 3 2 2" xfId="6290" xr:uid="{00000000-0005-0000-0000-00008F180000}"/>
    <cellStyle name="20% - Énfasis5 2 3 2 2 3 2 2 2" xfId="6291" xr:uid="{00000000-0005-0000-0000-000090180000}"/>
    <cellStyle name="20% - Énfasis5 2 3 2 2 3 2 3" xfId="6292" xr:uid="{00000000-0005-0000-0000-000091180000}"/>
    <cellStyle name="20% - Énfasis5 2 3 2 2 3 2 4" xfId="6293" xr:uid="{00000000-0005-0000-0000-000092180000}"/>
    <cellStyle name="20% - Énfasis5 2 3 2 2 3 3" xfId="6294" xr:uid="{00000000-0005-0000-0000-000093180000}"/>
    <cellStyle name="20% - Énfasis5 2 3 2 2 3 3 2" xfId="6295" xr:uid="{00000000-0005-0000-0000-000094180000}"/>
    <cellStyle name="20% - Énfasis5 2 3 2 2 3 4" xfId="6296" xr:uid="{00000000-0005-0000-0000-000095180000}"/>
    <cellStyle name="20% - Énfasis5 2 3 2 2 3 5" xfId="6297" xr:uid="{00000000-0005-0000-0000-000096180000}"/>
    <cellStyle name="20% - Énfasis5 2 3 2 2 4" xfId="6298" xr:uid="{00000000-0005-0000-0000-000097180000}"/>
    <cellStyle name="20% - Énfasis5 2 3 2 2 4 2" xfId="6299" xr:uid="{00000000-0005-0000-0000-000098180000}"/>
    <cellStyle name="20% - Énfasis5 2 3 2 2 4 2 2" xfId="6300" xr:uid="{00000000-0005-0000-0000-000099180000}"/>
    <cellStyle name="20% - Énfasis5 2 3 2 2 4 3" xfId="6301" xr:uid="{00000000-0005-0000-0000-00009A180000}"/>
    <cellStyle name="20% - Énfasis5 2 3 2 2 4 4" xfId="6302" xr:uid="{00000000-0005-0000-0000-00009B180000}"/>
    <cellStyle name="20% - Énfasis5 2 3 2 2 5" xfId="6303" xr:uid="{00000000-0005-0000-0000-00009C180000}"/>
    <cellStyle name="20% - Énfasis5 2 3 2 2 5 2" xfId="6304" xr:uid="{00000000-0005-0000-0000-00009D180000}"/>
    <cellStyle name="20% - Énfasis5 2 3 2 2 6" xfId="6305" xr:uid="{00000000-0005-0000-0000-00009E180000}"/>
    <cellStyle name="20% - Énfasis5 2 3 2 2 7" xfId="6306" xr:uid="{00000000-0005-0000-0000-00009F180000}"/>
    <cellStyle name="20% - Énfasis5 2 3 2 3" xfId="6307" xr:uid="{00000000-0005-0000-0000-0000A0180000}"/>
    <cellStyle name="20% - Énfasis5 2 3 2 3 2" xfId="6308" xr:uid="{00000000-0005-0000-0000-0000A1180000}"/>
    <cellStyle name="20% - Énfasis5 2 3 2 3 2 2" xfId="6309" xr:uid="{00000000-0005-0000-0000-0000A2180000}"/>
    <cellStyle name="20% - Énfasis5 2 3 2 3 2 2 2" xfId="6310" xr:uid="{00000000-0005-0000-0000-0000A3180000}"/>
    <cellStyle name="20% - Énfasis5 2 3 2 3 2 2 2 2" xfId="6311" xr:uid="{00000000-0005-0000-0000-0000A4180000}"/>
    <cellStyle name="20% - Énfasis5 2 3 2 3 2 2 3" xfId="6312" xr:uid="{00000000-0005-0000-0000-0000A5180000}"/>
    <cellStyle name="20% - Énfasis5 2 3 2 3 2 2 4" xfId="6313" xr:uid="{00000000-0005-0000-0000-0000A6180000}"/>
    <cellStyle name="20% - Énfasis5 2 3 2 3 2 3" xfId="6314" xr:uid="{00000000-0005-0000-0000-0000A7180000}"/>
    <cellStyle name="20% - Énfasis5 2 3 2 3 2 3 2" xfId="6315" xr:uid="{00000000-0005-0000-0000-0000A8180000}"/>
    <cellStyle name="20% - Énfasis5 2 3 2 3 2 4" xfId="6316" xr:uid="{00000000-0005-0000-0000-0000A9180000}"/>
    <cellStyle name="20% - Énfasis5 2 3 2 3 2 5" xfId="6317" xr:uid="{00000000-0005-0000-0000-0000AA180000}"/>
    <cellStyle name="20% - Énfasis5 2 3 2 3 3" xfId="6318" xr:uid="{00000000-0005-0000-0000-0000AB180000}"/>
    <cellStyle name="20% - Énfasis5 2 3 2 3 3 2" xfId="6319" xr:uid="{00000000-0005-0000-0000-0000AC180000}"/>
    <cellStyle name="20% - Énfasis5 2 3 2 3 3 2 2" xfId="6320" xr:uid="{00000000-0005-0000-0000-0000AD180000}"/>
    <cellStyle name="20% - Énfasis5 2 3 2 3 3 3" xfId="6321" xr:uid="{00000000-0005-0000-0000-0000AE180000}"/>
    <cellStyle name="20% - Énfasis5 2 3 2 3 3 3 2" xfId="6322" xr:uid="{00000000-0005-0000-0000-0000AF180000}"/>
    <cellStyle name="20% - Énfasis5 2 3 2 3 3 4" xfId="6323" xr:uid="{00000000-0005-0000-0000-0000B0180000}"/>
    <cellStyle name="20% - Énfasis5 2 3 2 3 3 5" xfId="6324" xr:uid="{00000000-0005-0000-0000-0000B1180000}"/>
    <cellStyle name="20% - Énfasis5 2 3 2 3 4" xfId="6325" xr:uid="{00000000-0005-0000-0000-0000B2180000}"/>
    <cellStyle name="20% - Énfasis5 2 3 2 3 4 2" xfId="6326" xr:uid="{00000000-0005-0000-0000-0000B3180000}"/>
    <cellStyle name="20% - Énfasis5 2 3 2 3 5" xfId="6327" xr:uid="{00000000-0005-0000-0000-0000B4180000}"/>
    <cellStyle name="20% - Énfasis5 2 3 2 3 5 2" xfId="6328" xr:uid="{00000000-0005-0000-0000-0000B5180000}"/>
    <cellStyle name="20% - Énfasis5 2 3 2 3 6" xfId="6329" xr:uid="{00000000-0005-0000-0000-0000B6180000}"/>
    <cellStyle name="20% - Énfasis5 2 3 2 3 7" xfId="6330" xr:uid="{00000000-0005-0000-0000-0000B7180000}"/>
    <cellStyle name="20% - Énfasis5 2 3 2 4" xfId="6331" xr:uid="{00000000-0005-0000-0000-0000B8180000}"/>
    <cellStyle name="20% - Énfasis5 2 3 2 4 2" xfId="6332" xr:uid="{00000000-0005-0000-0000-0000B9180000}"/>
    <cellStyle name="20% - Énfasis5 2 3 2 4 2 2" xfId="6333" xr:uid="{00000000-0005-0000-0000-0000BA180000}"/>
    <cellStyle name="20% - Énfasis5 2 3 2 4 2 2 2" xfId="6334" xr:uid="{00000000-0005-0000-0000-0000BB180000}"/>
    <cellStyle name="20% - Énfasis5 2 3 2 4 2 3" xfId="6335" xr:uid="{00000000-0005-0000-0000-0000BC180000}"/>
    <cellStyle name="20% - Énfasis5 2 3 2 4 2 4" xfId="6336" xr:uid="{00000000-0005-0000-0000-0000BD180000}"/>
    <cellStyle name="20% - Énfasis5 2 3 2 4 3" xfId="6337" xr:uid="{00000000-0005-0000-0000-0000BE180000}"/>
    <cellStyle name="20% - Énfasis5 2 3 2 4 3 2" xfId="6338" xr:uid="{00000000-0005-0000-0000-0000BF180000}"/>
    <cellStyle name="20% - Énfasis5 2 3 2 4 4" xfId="6339" xr:uid="{00000000-0005-0000-0000-0000C0180000}"/>
    <cellStyle name="20% - Énfasis5 2 3 2 4 5" xfId="6340" xr:uid="{00000000-0005-0000-0000-0000C1180000}"/>
    <cellStyle name="20% - Énfasis5 2 3 2 5" xfId="6341" xr:uid="{00000000-0005-0000-0000-0000C2180000}"/>
    <cellStyle name="20% - Énfasis5 2 3 2 5 2" xfId="6342" xr:uid="{00000000-0005-0000-0000-0000C3180000}"/>
    <cellStyle name="20% - Énfasis5 2 3 2 5 2 2" xfId="6343" xr:uid="{00000000-0005-0000-0000-0000C4180000}"/>
    <cellStyle name="20% - Énfasis5 2 3 2 5 3" xfId="6344" xr:uid="{00000000-0005-0000-0000-0000C5180000}"/>
    <cellStyle name="20% - Énfasis5 2 3 2 5 3 2" xfId="6345" xr:uid="{00000000-0005-0000-0000-0000C6180000}"/>
    <cellStyle name="20% - Énfasis5 2 3 2 5 4" xfId="6346" xr:uid="{00000000-0005-0000-0000-0000C7180000}"/>
    <cellStyle name="20% - Énfasis5 2 3 2 5 5" xfId="6347" xr:uid="{00000000-0005-0000-0000-0000C8180000}"/>
    <cellStyle name="20% - Énfasis5 2 3 2 6" xfId="6348" xr:uid="{00000000-0005-0000-0000-0000C9180000}"/>
    <cellStyle name="20% - Énfasis5 2 3 2 6 2" xfId="6349" xr:uid="{00000000-0005-0000-0000-0000CA180000}"/>
    <cellStyle name="20% - Énfasis5 2 3 2 7" xfId="6350" xr:uid="{00000000-0005-0000-0000-0000CB180000}"/>
    <cellStyle name="20% - Énfasis5 2 3 2 7 2" xfId="6351" xr:uid="{00000000-0005-0000-0000-0000CC180000}"/>
    <cellStyle name="20% - Énfasis5 2 3 2 8" xfId="6352" xr:uid="{00000000-0005-0000-0000-0000CD180000}"/>
    <cellStyle name="20% - Énfasis5 2 3 2 9" xfId="6353" xr:uid="{00000000-0005-0000-0000-0000CE180000}"/>
    <cellStyle name="20% - Énfasis5 2 3 3" xfId="6354" xr:uid="{00000000-0005-0000-0000-0000CF180000}"/>
    <cellStyle name="20% - Énfasis5 2 3 3 2" xfId="6355" xr:uid="{00000000-0005-0000-0000-0000D0180000}"/>
    <cellStyle name="20% - Énfasis5 2 3 3 2 2" xfId="6356" xr:uid="{00000000-0005-0000-0000-0000D1180000}"/>
    <cellStyle name="20% - Énfasis5 2 3 3 2 2 2" xfId="6357" xr:uid="{00000000-0005-0000-0000-0000D2180000}"/>
    <cellStyle name="20% - Énfasis5 2 3 3 2 2 2 2" xfId="6358" xr:uid="{00000000-0005-0000-0000-0000D3180000}"/>
    <cellStyle name="20% - Énfasis5 2 3 3 2 2 2 2 2" xfId="6359" xr:uid="{00000000-0005-0000-0000-0000D4180000}"/>
    <cellStyle name="20% - Énfasis5 2 3 3 2 2 2 3" xfId="6360" xr:uid="{00000000-0005-0000-0000-0000D5180000}"/>
    <cellStyle name="20% - Énfasis5 2 3 3 2 2 2 4" xfId="6361" xr:uid="{00000000-0005-0000-0000-0000D6180000}"/>
    <cellStyle name="20% - Énfasis5 2 3 3 2 2 3" xfId="6362" xr:uid="{00000000-0005-0000-0000-0000D7180000}"/>
    <cellStyle name="20% - Énfasis5 2 3 3 2 2 3 2" xfId="6363" xr:uid="{00000000-0005-0000-0000-0000D8180000}"/>
    <cellStyle name="20% - Énfasis5 2 3 3 2 2 4" xfId="6364" xr:uid="{00000000-0005-0000-0000-0000D9180000}"/>
    <cellStyle name="20% - Énfasis5 2 3 3 2 2 5" xfId="6365" xr:uid="{00000000-0005-0000-0000-0000DA180000}"/>
    <cellStyle name="20% - Énfasis5 2 3 3 2 3" xfId="6366" xr:uid="{00000000-0005-0000-0000-0000DB180000}"/>
    <cellStyle name="20% - Énfasis5 2 3 3 2 3 2" xfId="6367" xr:uid="{00000000-0005-0000-0000-0000DC180000}"/>
    <cellStyle name="20% - Énfasis5 2 3 3 2 3 2 2" xfId="6368" xr:uid="{00000000-0005-0000-0000-0000DD180000}"/>
    <cellStyle name="20% - Énfasis5 2 3 3 2 3 3" xfId="6369" xr:uid="{00000000-0005-0000-0000-0000DE180000}"/>
    <cellStyle name="20% - Énfasis5 2 3 3 2 3 3 2" xfId="6370" xr:uid="{00000000-0005-0000-0000-0000DF180000}"/>
    <cellStyle name="20% - Énfasis5 2 3 3 2 3 4" xfId="6371" xr:uid="{00000000-0005-0000-0000-0000E0180000}"/>
    <cellStyle name="20% - Énfasis5 2 3 3 2 3 5" xfId="6372" xr:uid="{00000000-0005-0000-0000-0000E1180000}"/>
    <cellStyle name="20% - Énfasis5 2 3 3 2 4" xfId="6373" xr:uid="{00000000-0005-0000-0000-0000E2180000}"/>
    <cellStyle name="20% - Énfasis5 2 3 3 2 4 2" xfId="6374" xr:uid="{00000000-0005-0000-0000-0000E3180000}"/>
    <cellStyle name="20% - Énfasis5 2 3 3 2 5" xfId="6375" xr:uid="{00000000-0005-0000-0000-0000E4180000}"/>
    <cellStyle name="20% - Énfasis5 2 3 3 2 5 2" xfId="6376" xr:uid="{00000000-0005-0000-0000-0000E5180000}"/>
    <cellStyle name="20% - Énfasis5 2 3 3 2 6" xfId="6377" xr:uid="{00000000-0005-0000-0000-0000E6180000}"/>
    <cellStyle name="20% - Énfasis5 2 3 3 2 7" xfId="6378" xr:uid="{00000000-0005-0000-0000-0000E7180000}"/>
    <cellStyle name="20% - Énfasis5 2 3 3 3" xfId="6379" xr:uid="{00000000-0005-0000-0000-0000E8180000}"/>
    <cellStyle name="20% - Énfasis5 2 3 3 3 2" xfId="6380" xr:uid="{00000000-0005-0000-0000-0000E9180000}"/>
    <cellStyle name="20% - Énfasis5 2 3 3 3 2 2" xfId="6381" xr:uid="{00000000-0005-0000-0000-0000EA180000}"/>
    <cellStyle name="20% - Énfasis5 2 3 3 3 2 2 2" xfId="6382" xr:uid="{00000000-0005-0000-0000-0000EB180000}"/>
    <cellStyle name="20% - Énfasis5 2 3 3 3 2 3" xfId="6383" xr:uid="{00000000-0005-0000-0000-0000EC180000}"/>
    <cellStyle name="20% - Énfasis5 2 3 3 3 2 4" xfId="6384" xr:uid="{00000000-0005-0000-0000-0000ED180000}"/>
    <cellStyle name="20% - Énfasis5 2 3 3 3 3" xfId="6385" xr:uid="{00000000-0005-0000-0000-0000EE180000}"/>
    <cellStyle name="20% - Énfasis5 2 3 3 3 3 2" xfId="6386" xr:uid="{00000000-0005-0000-0000-0000EF180000}"/>
    <cellStyle name="20% - Énfasis5 2 3 3 3 4" xfId="6387" xr:uid="{00000000-0005-0000-0000-0000F0180000}"/>
    <cellStyle name="20% - Énfasis5 2 3 3 3 5" xfId="6388" xr:uid="{00000000-0005-0000-0000-0000F1180000}"/>
    <cellStyle name="20% - Énfasis5 2 3 3 4" xfId="6389" xr:uid="{00000000-0005-0000-0000-0000F2180000}"/>
    <cellStyle name="20% - Énfasis5 2 3 3 4 2" xfId="6390" xr:uid="{00000000-0005-0000-0000-0000F3180000}"/>
    <cellStyle name="20% - Énfasis5 2 3 3 4 2 2" xfId="6391" xr:uid="{00000000-0005-0000-0000-0000F4180000}"/>
    <cellStyle name="20% - Énfasis5 2 3 3 4 3" xfId="6392" xr:uid="{00000000-0005-0000-0000-0000F5180000}"/>
    <cellStyle name="20% - Énfasis5 2 3 3 4 3 2" xfId="6393" xr:uid="{00000000-0005-0000-0000-0000F6180000}"/>
    <cellStyle name="20% - Énfasis5 2 3 3 4 4" xfId="6394" xr:uid="{00000000-0005-0000-0000-0000F7180000}"/>
    <cellStyle name="20% - Énfasis5 2 3 3 4 5" xfId="6395" xr:uid="{00000000-0005-0000-0000-0000F8180000}"/>
    <cellStyle name="20% - Énfasis5 2 3 3 5" xfId="6396" xr:uid="{00000000-0005-0000-0000-0000F9180000}"/>
    <cellStyle name="20% - Énfasis5 2 3 3 5 2" xfId="6397" xr:uid="{00000000-0005-0000-0000-0000FA180000}"/>
    <cellStyle name="20% - Énfasis5 2 3 3 6" xfId="6398" xr:uid="{00000000-0005-0000-0000-0000FB180000}"/>
    <cellStyle name="20% - Énfasis5 2 3 3 6 2" xfId="6399" xr:uid="{00000000-0005-0000-0000-0000FC180000}"/>
    <cellStyle name="20% - Énfasis5 2 3 3 7" xfId="6400" xr:uid="{00000000-0005-0000-0000-0000FD180000}"/>
    <cellStyle name="20% - Énfasis5 2 3 3 8" xfId="6401" xr:uid="{00000000-0005-0000-0000-0000FE180000}"/>
    <cellStyle name="20% - Énfasis5 2 3 4" xfId="6402" xr:uid="{00000000-0005-0000-0000-0000FF180000}"/>
    <cellStyle name="20% - Énfasis5 2 3 4 2" xfId="6403" xr:uid="{00000000-0005-0000-0000-000000190000}"/>
    <cellStyle name="20% - Énfasis5 2 3 4 2 2" xfId="6404" xr:uid="{00000000-0005-0000-0000-000001190000}"/>
    <cellStyle name="20% - Énfasis5 2 3 4 2 2 2" xfId="6405" xr:uid="{00000000-0005-0000-0000-000002190000}"/>
    <cellStyle name="20% - Énfasis5 2 3 4 2 2 2 2" xfId="6406" xr:uid="{00000000-0005-0000-0000-000003190000}"/>
    <cellStyle name="20% - Énfasis5 2 3 4 2 2 3" xfId="6407" xr:uid="{00000000-0005-0000-0000-000004190000}"/>
    <cellStyle name="20% - Énfasis5 2 3 4 2 2 4" xfId="6408" xr:uid="{00000000-0005-0000-0000-000005190000}"/>
    <cellStyle name="20% - Énfasis5 2 3 4 2 3" xfId="6409" xr:uid="{00000000-0005-0000-0000-000006190000}"/>
    <cellStyle name="20% - Énfasis5 2 3 4 2 3 2" xfId="6410" xr:uid="{00000000-0005-0000-0000-000007190000}"/>
    <cellStyle name="20% - Énfasis5 2 3 4 2 4" xfId="6411" xr:uid="{00000000-0005-0000-0000-000008190000}"/>
    <cellStyle name="20% - Énfasis5 2 3 4 2 5" xfId="6412" xr:uid="{00000000-0005-0000-0000-000009190000}"/>
    <cellStyle name="20% - Énfasis5 2 3 4 3" xfId="6413" xr:uid="{00000000-0005-0000-0000-00000A190000}"/>
    <cellStyle name="20% - Énfasis5 2 3 4 3 2" xfId="6414" xr:uid="{00000000-0005-0000-0000-00000B190000}"/>
    <cellStyle name="20% - Énfasis5 2 3 4 3 2 2" xfId="6415" xr:uid="{00000000-0005-0000-0000-00000C190000}"/>
    <cellStyle name="20% - Énfasis5 2 3 4 3 3" xfId="6416" xr:uid="{00000000-0005-0000-0000-00000D190000}"/>
    <cellStyle name="20% - Énfasis5 2 3 4 3 3 2" xfId="6417" xr:uid="{00000000-0005-0000-0000-00000E190000}"/>
    <cellStyle name="20% - Énfasis5 2 3 4 3 4" xfId="6418" xr:uid="{00000000-0005-0000-0000-00000F190000}"/>
    <cellStyle name="20% - Énfasis5 2 3 4 3 5" xfId="6419" xr:uid="{00000000-0005-0000-0000-000010190000}"/>
    <cellStyle name="20% - Énfasis5 2 3 4 4" xfId="6420" xr:uid="{00000000-0005-0000-0000-000011190000}"/>
    <cellStyle name="20% - Énfasis5 2 3 4 4 2" xfId="6421" xr:uid="{00000000-0005-0000-0000-000012190000}"/>
    <cellStyle name="20% - Énfasis5 2 3 4 5" xfId="6422" xr:uid="{00000000-0005-0000-0000-000013190000}"/>
    <cellStyle name="20% - Énfasis5 2 3 4 5 2" xfId="6423" xr:uid="{00000000-0005-0000-0000-000014190000}"/>
    <cellStyle name="20% - Énfasis5 2 3 4 6" xfId="6424" xr:uid="{00000000-0005-0000-0000-000015190000}"/>
    <cellStyle name="20% - Énfasis5 2 3 4 7" xfId="6425" xr:uid="{00000000-0005-0000-0000-000016190000}"/>
    <cellStyle name="20% - Énfasis5 2 3 5" xfId="6426" xr:uid="{00000000-0005-0000-0000-000017190000}"/>
    <cellStyle name="20% - Énfasis5 2 3 5 2" xfId="6427" xr:uid="{00000000-0005-0000-0000-000018190000}"/>
    <cellStyle name="20% - Énfasis5 2 3 5 2 2" xfId="6428" xr:uid="{00000000-0005-0000-0000-000019190000}"/>
    <cellStyle name="20% - Énfasis5 2 3 5 2 2 2" xfId="6429" xr:uid="{00000000-0005-0000-0000-00001A190000}"/>
    <cellStyle name="20% - Énfasis5 2 3 5 2 3" xfId="6430" xr:uid="{00000000-0005-0000-0000-00001B190000}"/>
    <cellStyle name="20% - Énfasis5 2 3 5 2 4" xfId="6431" xr:uid="{00000000-0005-0000-0000-00001C190000}"/>
    <cellStyle name="20% - Énfasis5 2 3 5 3" xfId="6432" xr:uid="{00000000-0005-0000-0000-00001D190000}"/>
    <cellStyle name="20% - Énfasis5 2 3 5 3 2" xfId="6433" xr:uid="{00000000-0005-0000-0000-00001E190000}"/>
    <cellStyle name="20% - Énfasis5 2 3 5 4" xfId="6434" xr:uid="{00000000-0005-0000-0000-00001F190000}"/>
    <cellStyle name="20% - Énfasis5 2 3 5 5" xfId="6435" xr:uid="{00000000-0005-0000-0000-000020190000}"/>
    <cellStyle name="20% - Énfasis5 2 3 6" xfId="6436" xr:uid="{00000000-0005-0000-0000-000021190000}"/>
    <cellStyle name="20% - Énfasis5 2 3 6 2" xfId="6437" xr:uid="{00000000-0005-0000-0000-000022190000}"/>
    <cellStyle name="20% - Énfasis5 2 3 6 2 2" xfId="6438" xr:uid="{00000000-0005-0000-0000-000023190000}"/>
    <cellStyle name="20% - Énfasis5 2 3 6 3" xfId="6439" xr:uid="{00000000-0005-0000-0000-000024190000}"/>
    <cellStyle name="20% - Énfasis5 2 3 6 3 2" xfId="6440" xr:uid="{00000000-0005-0000-0000-000025190000}"/>
    <cellStyle name="20% - Énfasis5 2 3 6 4" xfId="6441" xr:uid="{00000000-0005-0000-0000-000026190000}"/>
    <cellStyle name="20% - Énfasis5 2 3 6 5" xfId="6442" xr:uid="{00000000-0005-0000-0000-000027190000}"/>
    <cellStyle name="20% - Énfasis5 2 3 7" xfId="6443" xr:uid="{00000000-0005-0000-0000-000028190000}"/>
    <cellStyle name="20% - Énfasis5 2 3 7 2" xfId="6444" xr:uid="{00000000-0005-0000-0000-000029190000}"/>
    <cellStyle name="20% - Énfasis5 2 3 8" xfId="6445" xr:uid="{00000000-0005-0000-0000-00002A190000}"/>
    <cellStyle name="20% - Énfasis5 2 3 8 2" xfId="6446" xr:uid="{00000000-0005-0000-0000-00002B190000}"/>
    <cellStyle name="20% - Énfasis5 2 3 9" xfId="6447" xr:uid="{00000000-0005-0000-0000-00002C190000}"/>
    <cellStyle name="20% - Énfasis5 2 4" xfId="6448" xr:uid="{00000000-0005-0000-0000-00002D190000}"/>
    <cellStyle name="20% - Énfasis5 2 4 2" xfId="6449" xr:uid="{00000000-0005-0000-0000-00002E190000}"/>
    <cellStyle name="20% - Énfasis5 2 4 2 2" xfId="6450" xr:uid="{00000000-0005-0000-0000-00002F190000}"/>
    <cellStyle name="20% - Énfasis5 2 4 2 2 2" xfId="6451" xr:uid="{00000000-0005-0000-0000-000030190000}"/>
    <cellStyle name="20% - Énfasis5 2 4 2 2 2 2" xfId="6452" xr:uid="{00000000-0005-0000-0000-000031190000}"/>
    <cellStyle name="20% - Énfasis5 2 4 2 2 2 2 2" xfId="6453" xr:uid="{00000000-0005-0000-0000-000032190000}"/>
    <cellStyle name="20% - Énfasis5 2 4 2 2 2 2 2 2" xfId="6454" xr:uid="{00000000-0005-0000-0000-000033190000}"/>
    <cellStyle name="20% - Énfasis5 2 4 2 2 2 2 3" xfId="6455" xr:uid="{00000000-0005-0000-0000-000034190000}"/>
    <cellStyle name="20% - Énfasis5 2 4 2 2 2 2 4" xfId="6456" xr:uid="{00000000-0005-0000-0000-000035190000}"/>
    <cellStyle name="20% - Énfasis5 2 4 2 2 2 3" xfId="6457" xr:uid="{00000000-0005-0000-0000-000036190000}"/>
    <cellStyle name="20% - Énfasis5 2 4 2 2 2 3 2" xfId="6458" xr:uid="{00000000-0005-0000-0000-000037190000}"/>
    <cellStyle name="20% - Énfasis5 2 4 2 2 2 4" xfId="6459" xr:uid="{00000000-0005-0000-0000-000038190000}"/>
    <cellStyle name="20% - Énfasis5 2 4 2 2 2 5" xfId="6460" xr:uid="{00000000-0005-0000-0000-000039190000}"/>
    <cellStyle name="20% - Énfasis5 2 4 2 2 3" xfId="6461" xr:uid="{00000000-0005-0000-0000-00003A190000}"/>
    <cellStyle name="20% - Énfasis5 2 4 2 2 3 2" xfId="6462" xr:uid="{00000000-0005-0000-0000-00003B190000}"/>
    <cellStyle name="20% - Énfasis5 2 4 2 2 3 2 2" xfId="6463" xr:uid="{00000000-0005-0000-0000-00003C190000}"/>
    <cellStyle name="20% - Énfasis5 2 4 2 2 3 3" xfId="6464" xr:uid="{00000000-0005-0000-0000-00003D190000}"/>
    <cellStyle name="20% - Énfasis5 2 4 2 2 3 4" xfId="6465" xr:uid="{00000000-0005-0000-0000-00003E190000}"/>
    <cellStyle name="20% - Énfasis5 2 4 2 2 4" xfId="6466" xr:uid="{00000000-0005-0000-0000-00003F190000}"/>
    <cellStyle name="20% - Énfasis5 2 4 2 2 4 2" xfId="6467" xr:uid="{00000000-0005-0000-0000-000040190000}"/>
    <cellStyle name="20% - Énfasis5 2 4 2 2 5" xfId="6468" xr:uid="{00000000-0005-0000-0000-000041190000}"/>
    <cellStyle name="20% - Énfasis5 2 4 2 2 6" xfId="6469" xr:uid="{00000000-0005-0000-0000-000042190000}"/>
    <cellStyle name="20% - Énfasis5 2 4 2 3" xfId="6470" xr:uid="{00000000-0005-0000-0000-000043190000}"/>
    <cellStyle name="20% - Énfasis5 2 4 2 3 2" xfId="6471" xr:uid="{00000000-0005-0000-0000-000044190000}"/>
    <cellStyle name="20% - Énfasis5 2 4 2 3 2 2" xfId="6472" xr:uid="{00000000-0005-0000-0000-000045190000}"/>
    <cellStyle name="20% - Énfasis5 2 4 2 3 2 2 2" xfId="6473" xr:uid="{00000000-0005-0000-0000-000046190000}"/>
    <cellStyle name="20% - Énfasis5 2 4 2 3 2 3" xfId="6474" xr:uid="{00000000-0005-0000-0000-000047190000}"/>
    <cellStyle name="20% - Énfasis5 2 4 2 3 2 4" xfId="6475" xr:uid="{00000000-0005-0000-0000-000048190000}"/>
    <cellStyle name="20% - Énfasis5 2 4 2 3 3" xfId="6476" xr:uid="{00000000-0005-0000-0000-000049190000}"/>
    <cellStyle name="20% - Énfasis5 2 4 2 3 3 2" xfId="6477" xr:uid="{00000000-0005-0000-0000-00004A190000}"/>
    <cellStyle name="20% - Énfasis5 2 4 2 3 4" xfId="6478" xr:uid="{00000000-0005-0000-0000-00004B190000}"/>
    <cellStyle name="20% - Énfasis5 2 4 2 3 5" xfId="6479" xr:uid="{00000000-0005-0000-0000-00004C190000}"/>
    <cellStyle name="20% - Énfasis5 2 4 2 4" xfId="6480" xr:uid="{00000000-0005-0000-0000-00004D190000}"/>
    <cellStyle name="20% - Énfasis5 2 4 2 4 2" xfId="6481" xr:uid="{00000000-0005-0000-0000-00004E190000}"/>
    <cellStyle name="20% - Énfasis5 2 4 2 4 2 2" xfId="6482" xr:uid="{00000000-0005-0000-0000-00004F190000}"/>
    <cellStyle name="20% - Énfasis5 2 4 2 4 3" xfId="6483" xr:uid="{00000000-0005-0000-0000-000050190000}"/>
    <cellStyle name="20% - Énfasis5 2 4 2 4 4" xfId="6484" xr:uid="{00000000-0005-0000-0000-000051190000}"/>
    <cellStyle name="20% - Énfasis5 2 4 2 5" xfId="6485" xr:uid="{00000000-0005-0000-0000-000052190000}"/>
    <cellStyle name="20% - Énfasis5 2 4 2 5 2" xfId="6486" xr:uid="{00000000-0005-0000-0000-000053190000}"/>
    <cellStyle name="20% - Énfasis5 2 4 2 6" xfId="6487" xr:uid="{00000000-0005-0000-0000-000054190000}"/>
    <cellStyle name="20% - Énfasis5 2 4 2 7" xfId="6488" xr:uid="{00000000-0005-0000-0000-000055190000}"/>
    <cellStyle name="20% - Énfasis5 2 4 3" xfId="6489" xr:uid="{00000000-0005-0000-0000-000056190000}"/>
    <cellStyle name="20% - Énfasis5 2 4 3 2" xfId="6490" xr:uid="{00000000-0005-0000-0000-000057190000}"/>
    <cellStyle name="20% - Énfasis5 2 4 3 2 2" xfId="6491" xr:uid="{00000000-0005-0000-0000-000058190000}"/>
    <cellStyle name="20% - Énfasis5 2 4 3 2 2 2" xfId="6492" xr:uid="{00000000-0005-0000-0000-000059190000}"/>
    <cellStyle name="20% - Énfasis5 2 4 3 2 2 2 2" xfId="6493" xr:uid="{00000000-0005-0000-0000-00005A190000}"/>
    <cellStyle name="20% - Énfasis5 2 4 3 2 2 3" xfId="6494" xr:uid="{00000000-0005-0000-0000-00005B190000}"/>
    <cellStyle name="20% - Énfasis5 2 4 3 2 2 4" xfId="6495" xr:uid="{00000000-0005-0000-0000-00005C190000}"/>
    <cellStyle name="20% - Énfasis5 2 4 3 2 3" xfId="6496" xr:uid="{00000000-0005-0000-0000-00005D190000}"/>
    <cellStyle name="20% - Énfasis5 2 4 3 2 3 2" xfId="6497" xr:uid="{00000000-0005-0000-0000-00005E190000}"/>
    <cellStyle name="20% - Énfasis5 2 4 3 2 4" xfId="6498" xr:uid="{00000000-0005-0000-0000-00005F190000}"/>
    <cellStyle name="20% - Énfasis5 2 4 3 2 5" xfId="6499" xr:uid="{00000000-0005-0000-0000-000060190000}"/>
    <cellStyle name="20% - Énfasis5 2 4 3 3" xfId="6500" xr:uid="{00000000-0005-0000-0000-000061190000}"/>
    <cellStyle name="20% - Énfasis5 2 4 3 3 2" xfId="6501" xr:uid="{00000000-0005-0000-0000-000062190000}"/>
    <cellStyle name="20% - Énfasis5 2 4 3 3 2 2" xfId="6502" xr:uid="{00000000-0005-0000-0000-000063190000}"/>
    <cellStyle name="20% - Énfasis5 2 4 3 3 3" xfId="6503" xr:uid="{00000000-0005-0000-0000-000064190000}"/>
    <cellStyle name="20% - Énfasis5 2 4 3 3 3 2" xfId="6504" xr:uid="{00000000-0005-0000-0000-000065190000}"/>
    <cellStyle name="20% - Énfasis5 2 4 3 3 4" xfId="6505" xr:uid="{00000000-0005-0000-0000-000066190000}"/>
    <cellStyle name="20% - Énfasis5 2 4 3 3 5" xfId="6506" xr:uid="{00000000-0005-0000-0000-000067190000}"/>
    <cellStyle name="20% - Énfasis5 2 4 3 4" xfId="6507" xr:uid="{00000000-0005-0000-0000-000068190000}"/>
    <cellStyle name="20% - Énfasis5 2 4 3 4 2" xfId="6508" xr:uid="{00000000-0005-0000-0000-000069190000}"/>
    <cellStyle name="20% - Énfasis5 2 4 3 5" xfId="6509" xr:uid="{00000000-0005-0000-0000-00006A190000}"/>
    <cellStyle name="20% - Énfasis5 2 4 3 5 2" xfId="6510" xr:uid="{00000000-0005-0000-0000-00006B190000}"/>
    <cellStyle name="20% - Énfasis5 2 4 3 6" xfId="6511" xr:uid="{00000000-0005-0000-0000-00006C190000}"/>
    <cellStyle name="20% - Énfasis5 2 4 3 7" xfId="6512" xr:uid="{00000000-0005-0000-0000-00006D190000}"/>
    <cellStyle name="20% - Énfasis5 2 4 4" xfId="6513" xr:uid="{00000000-0005-0000-0000-00006E190000}"/>
    <cellStyle name="20% - Énfasis5 2 4 4 2" xfId="6514" xr:uid="{00000000-0005-0000-0000-00006F190000}"/>
    <cellStyle name="20% - Énfasis5 2 4 4 2 2" xfId="6515" xr:uid="{00000000-0005-0000-0000-000070190000}"/>
    <cellStyle name="20% - Énfasis5 2 4 4 2 2 2" xfId="6516" xr:uid="{00000000-0005-0000-0000-000071190000}"/>
    <cellStyle name="20% - Énfasis5 2 4 4 2 3" xfId="6517" xr:uid="{00000000-0005-0000-0000-000072190000}"/>
    <cellStyle name="20% - Énfasis5 2 4 4 2 4" xfId="6518" xr:uid="{00000000-0005-0000-0000-000073190000}"/>
    <cellStyle name="20% - Énfasis5 2 4 4 3" xfId="6519" xr:uid="{00000000-0005-0000-0000-000074190000}"/>
    <cellStyle name="20% - Énfasis5 2 4 4 3 2" xfId="6520" xr:uid="{00000000-0005-0000-0000-000075190000}"/>
    <cellStyle name="20% - Énfasis5 2 4 4 4" xfId="6521" xr:uid="{00000000-0005-0000-0000-000076190000}"/>
    <cellStyle name="20% - Énfasis5 2 4 4 5" xfId="6522" xr:uid="{00000000-0005-0000-0000-000077190000}"/>
    <cellStyle name="20% - Énfasis5 2 4 5" xfId="6523" xr:uid="{00000000-0005-0000-0000-000078190000}"/>
    <cellStyle name="20% - Énfasis5 2 4 5 2" xfId="6524" xr:uid="{00000000-0005-0000-0000-000079190000}"/>
    <cellStyle name="20% - Énfasis5 2 4 5 2 2" xfId="6525" xr:uid="{00000000-0005-0000-0000-00007A190000}"/>
    <cellStyle name="20% - Énfasis5 2 4 5 3" xfId="6526" xr:uid="{00000000-0005-0000-0000-00007B190000}"/>
    <cellStyle name="20% - Énfasis5 2 4 5 3 2" xfId="6527" xr:uid="{00000000-0005-0000-0000-00007C190000}"/>
    <cellStyle name="20% - Énfasis5 2 4 5 4" xfId="6528" xr:uid="{00000000-0005-0000-0000-00007D190000}"/>
    <cellStyle name="20% - Énfasis5 2 4 5 5" xfId="6529" xr:uid="{00000000-0005-0000-0000-00007E190000}"/>
    <cellStyle name="20% - Énfasis5 2 4 6" xfId="6530" xr:uid="{00000000-0005-0000-0000-00007F190000}"/>
    <cellStyle name="20% - Énfasis5 2 4 6 2" xfId="6531" xr:uid="{00000000-0005-0000-0000-000080190000}"/>
    <cellStyle name="20% - Énfasis5 2 4 7" xfId="6532" xr:uid="{00000000-0005-0000-0000-000081190000}"/>
    <cellStyle name="20% - Énfasis5 2 4 7 2" xfId="6533" xr:uid="{00000000-0005-0000-0000-000082190000}"/>
    <cellStyle name="20% - Énfasis5 2 4 8" xfId="6534" xr:uid="{00000000-0005-0000-0000-000083190000}"/>
    <cellStyle name="20% - Énfasis5 2 4 9" xfId="6535" xr:uid="{00000000-0005-0000-0000-000084190000}"/>
    <cellStyle name="20% - Énfasis5 2 5" xfId="6536" xr:uid="{00000000-0005-0000-0000-000085190000}"/>
    <cellStyle name="20% - Énfasis5 2 5 2" xfId="6537" xr:uid="{00000000-0005-0000-0000-000086190000}"/>
    <cellStyle name="20% - Énfasis5 2 5 2 2" xfId="6538" xr:uid="{00000000-0005-0000-0000-000087190000}"/>
    <cellStyle name="20% - Énfasis5 2 5 2 2 2" xfId="6539" xr:uid="{00000000-0005-0000-0000-000088190000}"/>
    <cellStyle name="20% - Énfasis5 2 5 2 2 2 2" xfId="6540" xr:uid="{00000000-0005-0000-0000-000089190000}"/>
    <cellStyle name="20% - Énfasis5 2 5 2 2 2 2 2" xfId="6541" xr:uid="{00000000-0005-0000-0000-00008A190000}"/>
    <cellStyle name="20% - Énfasis5 2 5 2 2 2 3" xfId="6542" xr:uid="{00000000-0005-0000-0000-00008B190000}"/>
    <cellStyle name="20% - Énfasis5 2 5 2 2 2 4" xfId="6543" xr:uid="{00000000-0005-0000-0000-00008C190000}"/>
    <cellStyle name="20% - Énfasis5 2 5 2 2 3" xfId="6544" xr:uid="{00000000-0005-0000-0000-00008D190000}"/>
    <cellStyle name="20% - Énfasis5 2 5 2 2 3 2" xfId="6545" xr:uid="{00000000-0005-0000-0000-00008E190000}"/>
    <cellStyle name="20% - Énfasis5 2 5 2 2 4" xfId="6546" xr:uid="{00000000-0005-0000-0000-00008F190000}"/>
    <cellStyle name="20% - Énfasis5 2 5 2 2 5" xfId="6547" xr:uid="{00000000-0005-0000-0000-000090190000}"/>
    <cellStyle name="20% - Énfasis5 2 5 2 3" xfId="6548" xr:uid="{00000000-0005-0000-0000-000091190000}"/>
    <cellStyle name="20% - Énfasis5 2 5 2 3 2" xfId="6549" xr:uid="{00000000-0005-0000-0000-000092190000}"/>
    <cellStyle name="20% - Énfasis5 2 5 2 3 2 2" xfId="6550" xr:uid="{00000000-0005-0000-0000-000093190000}"/>
    <cellStyle name="20% - Énfasis5 2 5 2 3 3" xfId="6551" xr:uid="{00000000-0005-0000-0000-000094190000}"/>
    <cellStyle name="20% - Énfasis5 2 5 2 3 3 2" xfId="6552" xr:uid="{00000000-0005-0000-0000-000095190000}"/>
    <cellStyle name="20% - Énfasis5 2 5 2 3 4" xfId="6553" xr:uid="{00000000-0005-0000-0000-000096190000}"/>
    <cellStyle name="20% - Énfasis5 2 5 2 3 5" xfId="6554" xr:uid="{00000000-0005-0000-0000-000097190000}"/>
    <cellStyle name="20% - Énfasis5 2 5 2 4" xfId="6555" xr:uid="{00000000-0005-0000-0000-000098190000}"/>
    <cellStyle name="20% - Énfasis5 2 5 2 4 2" xfId="6556" xr:uid="{00000000-0005-0000-0000-000099190000}"/>
    <cellStyle name="20% - Énfasis5 2 5 2 5" xfId="6557" xr:uid="{00000000-0005-0000-0000-00009A190000}"/>
    <cellStyle name="20% - Énfasis5 2 5 2 5 2" xfId="6558" xr:uid="{00000000-0005-0000-0000-00009B190000}"/>
    <cellStyle name="20% - Énfasis5 2 5 2 6" xfId="6559" xr:uid="{00000000-0005-0000-0000-00009C190000}"/>
    <cellStyle name="20% - Énfasis5 2 5 2 7" xfId="6560" xr:uid="{00000000-0005-0000-0000-00009D190000}"/>
    <cellStyle name="20% - Énfasis5 2 5 3" xfId="6561" xr:uid="{00000000-0005-0000-0000-00009E190000}"/>
    <cellStyle name="20% - Énfasis5 2 5 3 2" xfId="6562" xr:uid="{00000000-0005-0000-0000-00009F190000}"/>
    <cellStyle name="20% - Énfasis5 2 5 3 2 2" xfId="6563" xr:uid="{00000000-0005-0000-0000-0000A0190000}"/>
    <cellStyle name="20% - Énfasis5 2 5 3 2 2 2" xfId="6564" xr:uid="{00000000-0005-0000-0000-0000A1190000}"/>
    <cellStyle name="20% - Énfasis5 2 5 3 2 3" xfId="6565" xr:uid="{00000000-0005-0000-0000-0000A2190000}"/>
    <cellStyle name="20% - Énfasis5 2 5 3 2 4" xfId="6566" xr:uid="{00000000-0005-0000-0000-0000A3190000}"/>
    <cellStyle name="20% - Énfasis5 2 5 3 3" xfId="6567" xr:uid="{00000000-0005-0000-0000-0000A4190000}"/>
    <cellStyle name="20% - Énfasis5 2 5 3 3 2" xfId="6568" xr:uid="{00000000-0005-0000-0000-0000A5190000}"/>
    <cellStyle name="20% - Énfasis5 2 5 3 4" xfId="6569" xr:uid="{00000000-0005-0000-0000-0000A6190000}"/>
    <cellStyle name="20% - Énfasis5 2 5 3 5" xfId="6570" xr:uid="{00000000-0005-0000-0000-0000A7190000}"/>
    <cellStyle name="20% - Énfasis5 2 5 4" xfId="6571" xr:uid="{00000000-0005-0000-0000-0000A8190000}"/>
    <cellStyle name="20% - Énfasis5 2 5 4 2" xfId="6572" xr:uid="{00000000-0005-0000-0000-0000A9190000}"/>
    <cellStyle name="20% - Énfasis5 2 5 4 2 2" xfId="6573" xr:uid="{00000000-0005-0000-0000-0000AA190000}"/>
    <cellStyle name="20% - Énfasis5 2 5 4 3" xfId="6574" xr:uid="{00000000-0005-0000-0000-0000AB190000}"/>
    <cellStyle name="20% - Énfasis5 2 5 4 3 2" xfId="6575" xr:uid="{00000000-0005-0000-0000-0000AC190000}"/>
    <cellStyle name="20% - Énfasis5 2 5 4 4" xfId="6576" xr:uid="{00000000-0005-0000-0000-0000AD190000}"/>
    <cellStyle name="20% - Énfasis5 2 5 4 5" xfId="6577" xr:uid="{00000000-0005-0000-0000-0000AE190000}"/>
    <cellStyle name="20% - Énfasis5 2 5 5" xfId="6578" xr:uid="{00000000-0005-0000-0000-0000AF190000}"/>
    <cellStyle name="20% - Énfasis5 2 5 5 2" xfId="6579" xr:uid="{00000000-0005-0000-0000-0000B0190000}"/>
    <cellStyle name="20% - Énfasis5 2 5 6" xfId="6580" xr:uid="{00000000-0005-0000-0000-0000B1190000}"/>
    <cellStyle name="20% - Énfasis5 2 5 6 2" xfId="6581" xr:uid="{00000000-0005-0000-0000-0000B2190000}"/>
    <cellStyle name="20% - Énfasis5 2 5 7" xfId="6582" xr:uid="{00000000-0005-0000-0000-0000B3190000}"/>
    <cellStyle name="20% - Énfasis5 2 5 8" xfId="6583" xr:uid="{00000000-0005-0000-0000-0000B4190000}"/>
    <cellStyle name="20% - Énfasis5 2 6" xfId="6584" xr:uid="{00000000-0005-0000-0000-0000B5190000}"/>
    <cellStyle name="20% - Énfasis5 2 6 2" xfId="6585" xr:uid="{00000000-0005-0000-0000-0000B6190000}"/>
    <cellStyle name="20% - Énfasis5 2 6 2 2" xfId="6586" xr:uid="{00000000-0005-0000-0000-0000B7190000}"/>
    <cellStyle name="20% - Énfasis5 2 6 2 2 2" xfId="6587" xr:uid="{00000000-0005-0000-0000-0000B8190000}"/>
    <cellStyle name="20% - Énfasis5 2 6 2 2 2 2" xfId="6588" xr:uid="{00000000-0005-0000-0000-0000B9190000}"/>
    <cellStyle name="20% - Énfasis5 2 6 2 2 3" xfId="6589" xr:uid="{00000000-0005-0000-0000-0000BA190000}"/>
    <cellStyle name="20% - Énfasis5 2 6 2 2 4" xfId="6590" xr:uid="{00000000-0005-0000-0000-0000BB190000}"/>
    <cellStyle name="20% - Énfasis5 2 6 2 3" xfId="6591" xr:uid="{00000000-0005-0000-0000-0000BC190000}"/>
    <cellStyle name="20% - Énfasis5 2 6 2 3 2" xfId="6592" xr:uid="{00000000-0005-0000-0000-0000BD190000}"/>
    <cellStyle name="20% - Énfasis5 2 6 2 4" xfId="6593" xr:uid="{00000000-0005-0000-0000-0000BE190000}"/>
    <cellStyle name="20% - Énfasis5 2 6 2 5" xfId="6594" xr:uid="{00000000-0005-0000-0000-0000BF190000}"/>
    <cellStyle name="20% - Énfasis5 2 6 3" xfId="6595" xr:uid="{00000000-0005-0000-0000-0000C0190000}"/>
    <cellStyle name="20% - Énfasis5 2 6 3 2" xfId="6596" xr:uid="{00000000-0005-0000-0000-0000C1190000}"/>
    <cellStyle name="20% - Énfasis5 2 6 3 2 2" xfId="6597" xr:uid="{00000000-0005-0000-0000-0000C2190000}"/>
    <cellStyle name="20% - Énfasis5 2 6 3 3" xfId="6598" xr:uid="{00000000-0005-0000-0000-0000C3190000}"/>
    <cellStyle name="20% - Énfasis5 2 6 3 3 2" xfId="6599" xr:uid="{00000000-0005-0000-0000-0000C4190000}"/>
    <cellStyle name="20% - Énfasis5 2 6 3 4" xfId="6600" xr:uid="{00000000-0005-0000-0000-0000C5190000}"/>
    <cellStyle name="20% - Énfasis5 2 6 3 5" xfId="6601" xr:uid="{00000000-0005-0000-0000-0000C6190000}"/>
    <cellStyle name="20% - Énfasis5 2 6 4" xfId="6602" xr:uid="{00000000-0005-0000-0000-0000C7190000}"/>
    <cellStyle name="20% - Énfasis5 2 6 4 2" xfId="6603" xr:uid="{00000000-0005-0000-0000-0000C8190000}"/>
    <cellStyle name="20% - Énfasis5 2 6 5" xfId="6604" xr:uid="{00000000-0005-0000-0000-0000C9190000}"/>
    <cellStyle name="20% - Énfasis5 2 6 5 2" xfId="6605" xr:uid="{00000000-0005-0000-0000-0000CA190000}"/>
    <cellStyle name="20% - Énfasis5 2 6 6" xfId="6606" xr:uid="{00000000-0005-0000-0000-0000CB190000}"/>
    <cellStyle name="20% - Énfasis5 2 6 7" xfId="6607" xr:uid="{00000000-0005-0000-0000-0000CC190000}"/>
    <cellStyle name="20% - Énfasis5 2 7" xfId="6608" xr:uid="{00000000-0005-0000-0000-0000CD190000}"/>
    <cellStyle name="20% - Énfasis5 2 7 2" xfId="6609" xr:uid="{00000000-0005-0000-0000-0000CE190000}"/>
    <cellStyle name="20% - Énfasis5 2 7 2 2" xfId="6610" xr:uid="{00000000-0005-0000-0000-0000CF190000}"/>
    <cellStyle name="20% - Énfasis5 2 7 2 2 2" xfId="6611" xr:uid="{00000000-0005-0000-0000-0000D0190000}"/>
    <cellStyle name="20% - Énfasis5 2 7 2 3" xfId="6612" xr:uid="{00000000-0005-0000-0000-0000D1190000}"/>
    <cellStyle name="20% - Énfasis5 2 7 2 4" xfId="6613" xr:uid="{00000000-0005-0000-0000-0000D2190000}"/>
    <cellStyle name="20% - Énfasis5 2 7 3" xfId="6614" xr:uid="{00000000-0005-0000-0000-0000D3190000}"/>
    <cellStyle name="20% - Énfasis5 2 7 3 2" xfId="6615" xr:uid="{00000000-0005-0000-0000-0000D4190000}"/>
    <cellStyle name="20% - Énfasis5 2 7 4" xfId="6616" xr:uid="{00000000-0005-0000-0000-0000D5190000}"/>
    <cellStyle name="20% - Énfasis5 2 7 5" xfId="6617" xr:uid="{00000000-0005-0000-0000-0000D6190000}"/>
    <cellStyle name="20% - Énfasis5 2 8" xfId="6618" xr:uid="{00000000-0005-0000-0000-0000D7190000}"/>
    <cellStyle name="20% - Énfasis5 2 8 2" xfId="6619" xr:uid="{00000000-0005-0000-0000-0000D8190000}"/>
    <cellStyle name="20% - Énfasis5 2 8 2 2" xfId="6620" xr:uid="{00000000-0005-0000-0000-0000D9190000}"/>
    <cellStyle name="20% - Énfasis5 2 8 3" xfId="6621" xr:uid="{00000000-0005-0000-0000-0000DA190000}"/>
    <cellStyle name="20% - Énfasis5 2 8 3 2" xfId="6622" xr:uid="{00000000-0005-0000-0000-0000DB190000}"/>
    <cellStyle name="20% - Énfasis5 2 8 4" xfId="6623" xr:uid="{00000000-0005-0000-0000-0000DC190000}"/>
    <cellStyle name="20% - Énfasis5 2 8 5" xfId="6624" xr:uid="{00000000-0005-0000-0000-0000DD190000}"/>
    <cellStyle name="20% - Énfasis5 2 9" xfId="6625" xr:uid="{00000000-0005-0000-0000-0000DE190000}"/>
    <cellStyle name="20% - Énfasis5 2 9 2" xfId="6626" xr:uid="{00000000-0005-0000-0000-0000DF190000}"/>
    <cellStyle name="20% - Énfasis5 3" xfId="6627" xr:uid="{00000000-0005-0000-0000-0000E0190000}"/>
    <cellStyle name="20% - Énfasis5 3 10" xfId="6628" xr:uid="{00000000-0005-0000-0000-0000E1190000}"/>
    <cellStyle name="20% - Énfasis5 3 10 2" xfId="6629" xr:uid="{00000000-0005-0000-0000-0000E2190000}"/>
    <cellStyle name="20% - Énfasis5 3 11" xfId="6630" xr:uid="{00000000-0005-0000-0000-0000E3190000}"/>
    <cellStyle name="20% - Énfasis5 3 12" xfId="6631" xr:uid="{00000000-0005-0000-0000-0000E4190000}"/>
    <cellStyle name="20% - Énfasis5 3 2" xfId="6632" xr:uid="{00000000-0005-0000-0000-0000E5190000}"/>
    <cellStyle name="20% - Énfasis5 3 2 10" xfId="6633" xr:uid="{00000000-0005-0000-0000-0000E6190000}"/>
    <cellStyle name="20% - Énfasis5 3 2 11" xfId="6634" xr:uid="{00000000-0005-0000-0000-0000E7190000}"/>
    <cellStyle name="20% - Énfasis5 3 2 2" xfId="6635" xr:uid="{00000000-0005-0000-0000-0000E8190000}"/>
    <cellStyle name="20% - Énfasis5 3 2 2 10" xfId="6636" xr:uid="{00000000-0005-0000-0000-0000E9190000}"/>
    <cellStyle name="20% - Énfasis5 3 2 2 2" xfId="6637" xr:uid="{00000000-0005-0000-0000-0000EA190000}"/>
    <cellStyle name="20% - Énfasis5 3 2 2 2 2" xfId="6638" xr:uid="{00000000-0005-0000-0000-0000EB190000}"/>
    <cellStyle name="20% - Énfasis5 3 2 2 2 2 2" xfId="6639" xr:uid="{00000000-0005-0000-0000-0000EC190000}"/>
    <cellStyle name="20% - Énfasis5 3 2 2 2 2 2 2" xfId="6640" xr:uid="{00000000-0005-0000-0000-0000ED190000}"/>
    <cellStyle name="20% - Énfasis5 3 2 2 2 2 2 2 2" xfId="6641" xr:uid="{00000000-0005-0000-0000-0000EE190000}"/>
    <cellStyle name="20% - Énfasis5 3 2 2 2 2 2 2 2 2" xfId="6642" xr:uid="{00000000-0005-0000-0000-0000EF190000}"/>
    <cellStyle name="20% - Énfasis5 3 2 2 2 2 2 2 2 2 2" xfId="6643" xr:uid="{00000000-0005-0000-0000-0000F0190000}"/>
    <cellStyle name="20% - Énfasis5 3 2 2 2 2 2 2 2 3" xfId="6644" xr:uid="{00000000-0005-0000-0000-0000F1190000}"/>
    <cellStyle name="20% - Énfasis5 3 2 2 2 2 2 2 2 4" xfId="6645" xr:uid="{00000000-0005-0000-0000-0000F2190000}"/>
    <cellStyle name="20% - Énfasis5 3 2 2 2 2 2 2 3" xfId="6646" xr:uid="{00000000-0005-0000-0000-0000F3190000}"/>
    <cellStyle name="20% - Énfasis5 3 2 2 2 2 2 2 3 2" xfId="6647" xr:uid="{00000000-0005-0000-0000-0000F4190000}"/>
    <cellStyle name="20% - Énfasis5 3 2 2 2 2 2 2 4" xfId="6648" xr:uid="{00000000-0005-0000-0000-0000F5190000}"/>
    <cellStyle name="20% - Énfasis5 3 2 2 2 2 2 2 5" xfId="6649" xr:uid="{00000000-0005-0000-0000-0000F6190000}"/>
    <cellStyle name="20% - Énfasis5 3 2 2 2 2 2 3" xfId="6650" xr:uid="{00000000-0005-0000-0000-0000F7190000}"/>
    <cellStyle name="20% - Énfasis5 3 2 2 2 2 2 3 2" xfId="6651" xr:uid="{00000000-0005-0000-0000-0000F8190000}"/>
    <cellStyle name="20% - Énfasis5 3 2 2 2 2 2 3 2 2" xfId="6652" xr:uid="{00000000-0005-0000-0000-0000F9190000}"/>
    <cellStyle name="20% - Énfasis5 3 2 2 2 2 2 3 3" xfId="6653" xr:uid="{00000000-0005-0000-0000-0000FA190000}"/>
    <cellStyle name="20% - Énfasis5 3 2 2 2 2 2 3 4" xfId="6654" xr:uid="{00000000-0005-0000-0000-0000FB190000}"/>
    <cellStyle name="20% - Énfasis5 3 2 2 2 2 2 4" xfId="6655" xr:uid="{00000000-0005-0000-0000-0000FC190000}"/>
    <cellStyle name="20% - Énfasis5 3 2 2 2 2 2 4 2" xfId="6656" xr:uid="{00000000-0005-0000-0000-0000FD190000}"/>
    <cellStyle name="20% - Énfasis5 3 2 2 2 2 2 5" xfId="6657" xr:uid="{00000000-0005-0000-0000-0000FE190000}"/>
    <cellStyle name="20% - Énfasis5 3 2 2 2 2 2 6" xfId="6658" xr:uid="{00000000-0005-0000-0000-0000FF190000}"/>
    <cellStyle name="20% - Énfasis5 3 2 2 2 2 3" xfId="6659" xr:uid="{00000000-0005-0000-0000-0000001A0000}"/>
    <cellStyle name="20% - Énfasis5 3 2 2 2 2 3 2" xfId="6660" xr:uid="{00000000-0005-0000-0000-0000011A0000}"/>
    <cellStyle name="20% - Énfasis5 3 2 2 2 2 3 2 2" xfId="6661" xr:uid="{00000000-0005-0000-0000-0000021A0000}"/>
    <cellStyle name="20% - Énfasis5 3 2 2 2 2 3 2 2 2" xfId="6662" xr:uid="{00000000-0005-0000-0000-0000031A0000}"/>
    <cellStyle name="20% - Énfasis5 3 2 2 2 2 3 2 3" xfId="6663" xr:uid="{00000000-0005-0000-0000-0000041A0000}"/>
    <cellStyle name="20% - Énfasis5 3 2 2 2 2 3 2 4" xfId="6664" xr:uid="{00000000-0005-0000-0000-0000051A0000}"/>
    <cellStyle name="20% - Énfasis5 3 2 2 2 2 3 3" xfId="6665" xr:uid="{00000000-0005-0000-0000-0000061A0000}"/>
    <cellStyle name="20% - Énfasis5 3 2 2 2 2 3 3 2" xfId="6666" xr:uid="{00000000-0005-0000-0000-0000071A0000}"/>
    <cellStyle name="20% - Énfasis5 3 2 2 2 2 3 4" xfId="6667" xr:uid="{00000000-0005-0000-0000-0000081A0000}"/>
    <cellStyle name="20% - Énfasis5 3 2 2 2 2 3 5" xfId="6668" xr:uid="{00000000-0005-0000-0000-0000091A0000}"/>
    <cellStyle name="20% - Énfasis5 3 2 2 2 2 4" xfId="6669" xr:uid="{00000000-0005-0000-0000-00000A1A0000}"/>
    <cellStyle name="20% - Énfasis5 3 2 2 2 2 4 2" xfId="6670" xr:uid="{00000000-0005-0000-0000-00000B1A0000}"/>
    <cellStyle name="20% - Énfasis5 3 2 2 2 2 4 2 2" xfId="6671" xr:uid="{00000000-0005-0000-0000-00000C1A0000}"/>
    <cellStyle name="20% - Énfasis5 3 2 2 2 2 4 3" xfId="6672" xr:uid="{00000000-0005-0000-0000-00000D1A0000}"/>
    <cellStyle name="20% - Énfasis5 3 2 2 2 2 4 4" xfId="6673" xr:uid="{00000000-0005-0000-0000-00000E1A0000}"/>
    <cellStyle name="20% - Énfasis5 3 2 2 2 2 5" xfId="6674" xr:uid="{00000000-0005-0000-0000-00000F1A0000}"/>
    <cellStyle name="20% - Énfasis5 3 2 2 2 2 5 2" xfId="6675" xr:uid="{00000000-0005-0000-0000-0000101A0000}"/>
    <cellStyle name="20% - Énfasis5 3 2 2 2 2 6" xfId="6676" xr:uid="{00000000-0005-0000-0000-0000111A0000}"/>
    <cellStyle name="20% - Énfasis5 3 2 2 2 2 7" xfId="6677" xr:uid="{00000000-0005-0000-0000-0000121A0000}"/>
    <cellStyle name="20% - Énfasis5 3 2 2 2 3" xfId="6678" xr:uid="{00000000-0005-0000-0000-0000131A0000}"/>
    <cellStyle name="20% - Énfasis5 3 2 2 2 3 2" xfId="6679" xr:uid="{00000000-0005-0000-0000-0000141A0000}"/>
    <cellStyle name="20% - Énfasis5 3 2 2 2 3 2 2" xfId="6680" xr:uid="{00000000-0005-0000-0000-0000151A0000}"/>
    <cellStyle name="20% - Énfasis5 3 2 2 2 3 2 2 2" xfId="6681" xr:uid="{00000000-0005-0000-0000-0000161A0000}"/>
    <cellStyle name="20% - Énfasis5 3 2 2 2 3 2 2 2 2" xfId="6682" xr:uid="{00000000-0005-0000-0000-0000171A0000}"/>
    <cellStyle name="20% - Énfasis5 3 2 2 2 3 2 2 3" xfId="6683" xr:uid="{00000000-0005-0000-0000-0000181A0000}"/>
    <cellStyle name="20% - Énfasis5 3 2 2 2 3 2 2 4" xfId="6684" xr:uid="{00000000-0005-0000-0000-0000191A0000}"/>
    <cellStyle name="20% - Énfasis5 3 2 2 2 3 2 3" xfId="6685" xr:uid="{00000000-0005-0000-0000-00001A1A0000}"/>
    <cellStyle name="20% - Énfasis5 3 2 2 2 3 2 3 2" xfId="6686" xr:uid="{00000000-0005-0000-0000-00001B1A0000}"/>
    <cellStyle name="20% - Énfasis5 3 2 2 2 3 2 4" xfId="6687" xr:uid="{00000000-0005-0000-0000-00001C1A0000}"/>
    <cellStyle name="20% - Énfasis5 3 2 2 2 3 2 5" xfId="6688" xr:uid="{00000000-0005-0000-0000-00001D1A0000}"/>
    <cellStyle name="20% - Énfasis5 3 2 2 2 3 3" xfId="6689" xr:uid="{00000000-0005-0000-0000-00001E1A0000}"/>
    <cellStyle name="20% - Énfasis5 3 2 2 2 3 3 2" xfId="6690" xr:uid="{00000000-0005-0000-0000-00001F1A0000}"/>
    <cellStyle name="20% - Énfasis5 3 2 2 2 3 3 2 2" xfId="6691" xr:uid="{00000000-0005-0000-0000-0000201A0000}"/>
    <cellStyle name="20% - Énfasis5 3 2 2 2 3 3 3" xfId="6692" xr:uid="{00000000-0005-0000-0000-0000211A0000}"/>
    <cellStyle name="20% - Énfasis5 3 2 2 2 3 3 3 2" xfId="6693" xr:uid="{00000000-0005-0000-0000-0000221A0000}"/>
    <cellStyle name="20% - Énfasis5 3 2 2 2 3 3 4" xfId="6694" xr:uid="{00000000-0005-0000-0000-0000231A0000}"/>
    <cellStyle name="20% - Énfasis5 3 2 2 2 3 3 5" xfId="6695" xr:uid="{00000000-0005-0000-0000-0000241A0000}"/>
    <cellStyle name="20% - Énfasis5 3 2 2 2 3 4" xfId="6696" xr:uid="{00000000-0005-0000-0000-0000251A0000}"/>
    <cellStyle name="20% - Énfasis5 3 2 2 2 3 4 2" xfId="6697" xr:uid="{00000000-0005-0000-0000-0000261A0000}"/>
    <cellStyle name="20% - Énfasis5 3 2 2 2 3 5" xfId="6698" xr:uid="{00000000-0005-0000-0000-0000271A0000}"/>
    <cellStyle name="20% - Énfasis5 3 2 2 2 3 5 2" xfId="6699" xr:uid="{00000000-0005-0000-0000-0000281A0000}"/>
    <cellStyle name="20% - Énfasis5 3 2 2 2 3 6" xfId="6700" xr:uid="{00000000-0005-0000-0000-0000291A0000}"/>
    <cellStyle name="20% - Énfasis5 3 2 2 2 3 7" xfId="6701" xr:uid="{00000000-0005-0000-0000-00002A1A0000}"/>
    <cellStyle name="20% - Énfasis5 3 2 2 2 4" xfId="6702" xr:uid="{00000000-0005-0000-0000-00002B1A0000}"/>
    <cellStyle name="20% - Énfasis5 3 2 2 2 4 2" xfId="6703" xr:uid="{00000000-0005-0000-0000-00002C1A0000}"/>
    <cellStyle name="20% - Énfasis5 3 2 2 2 4 2 2" xfId="6704" xr:uid="{00000000-0005-0000-0000-00002D1A0000}"/>
    <cellStyle name="20% - Énfasis5 3 2 2 2 4 2 2 2" xfId="6705" xr:uid="{00000000-0005-0000-0000-00002E1A0000}"/>
    <cellStyle name="20% - Énfasis5 3 2 2 2 4 2 3" xfId="6706" xr:uid="{00000000-0005-0000-0000-00002F1A0000}"/>
    <cellStyle name="20% - Énfasis5 3 2 2 2 4 2 4" xfId="6707" xr:uid="{00000000-0005-0000-0000-0000301A0000}"/>
    <cellStyle name="20% - Énfasis5 3 2 2 2 4 3" xfId="6708" xr:uid="{00000000-0005-0000-0000-0000311A0000}"/>
    <cellStyle name="20% - Énfasis5 3 2 2 2 4 3 2" xfId="6709" xr:uid="{00000000-0005-0000-0000-0000321A0000}"/>
    <cellStyle name="20% - Énfasis5 3 2 2 2 4 4" xfId="6710" xr:uid="{00000000-0005-0000-0000-0000331A0000}"/>
    <cellStyle name="20% - Énfasis5 3 2 2 2 4 5" xfId="6711" xr:uid="{00000000-0005-0000-0000-0000341A0000}"/>
    <cellStyle name="20% - Énfasis5 3 2 2 2 5" xfId="6712" xr:uid="{00000000-0005-0000-0000-0000351A0000}"/>
    <cellStyle name="20% - Énfasis5 3 2 2 2 5 2" xfId="6713" xr:uid="{00000000-0005-0000-0000-0000361A0000}"/>
    <cellStyle name="20% - Énfasis5 3 2 2 2 5 2 2" xfId="6714" xr:uid="{00000000-0005-0000-0000-0000371A0000}"/>
    <cellStyle name="20% - Énfasis5 3 2 2 2 5 3" xfId="6715" xr:uid="{00000000-0005-0000-0000-0000381A0000}"/>
    <cellStyle name="20% - Énfasis5 3 2 2 2 5 3 2" xfId="6716" xr:uid="{00000000-0005-0000-0000-0000391A0000}"/>
    <cellStyle name="20% - Énfasis5 3 2 2 2 5 4" xfId="6717" xr:uid="{00000000-0005-0000-0000-00003A1A0000}"/>
    <cellStyle name="20% - Énfasis5 3 2 2 2 5 5" xfId="6718" xr:uid="{00000000-0005-0000-0000-00003B1A0000}"/>
    <cellStyle name="20% - Énfasis5 3 2 2 2 6" xfId="6719" xr:uid="{00000000-0005-0000-0000-00003C1A0000}"/>
    <cellStyle name="20% - Énfasis5 3 2 2 2 6 2" xfId="6720" xr:uid="{00000000-0005-0000-0000-00003D1A0000}"/>
    <cellStyle name="20% - Énfasis5 3 2 2 2 7" xfId="6721" xr:uid="{00000000-0005-0000-0000-00003E1A0000}"/>
    <cellStyle name="20% - Énfasis5 3 2 2 2 7 2" xfId="6722" xr:uid="{00000000-0005-0000-0000-00003F1A0000}"/>
    <cellStyle name="20% - Énfasis5 3 2 2 2 8" xfId="6723" xr:uid="{00000000-0005-0000-0000-0000401A0000}"/>
    <cellStyle name="20% - Énfasis5 3 2 2 2 9" xfId="6724" xr:uid="{00000000-0005-0000-0000-0000411A0000}"/>
    <cellStyle name="20% - Énfasis5 3 2 2 3" xfId="6725" xr:uid="{00000000-0005-0000-0000-0000421A0000}"/>
    <cellStyle name="20% - Énfasis5 3 2 2 3 2" xfId="6726" xr:uid="{00000000-0005-0000-0000-0000431A0000}"/>
    <cellStyle name="20% - Énfasis5 3 2 2 3 2 2" xfId="6727" xr:uid="{00000000-0005-0000-0000-0000441A0000}"/>
    <cellStyle name="20% - Énfasis5 3 2 2 3 2 2 2" xfId="6728" xr:uid="{00000000-0005-0000-0000-0000451A0000}"/>
    <cellStyle name="20% - Énfasis5 3 2 2 3 2 2 2 2" xfId="6729" xr:uid="{00000000-0005-0000-0000-0000461A0000}"/>
    <cellStyle name="20% - Énfasis5 3 2 2 3 2 2 2 2 2" xfId="6730" xr:uid="{00000000-0005-0000-0000-0000471A0000}"/>
    <cellStyle name="20% - Énfasis5 3 2 2 3 2 2 2 3" xfId="6731" xr:uid="{00000000-0005-0000-0000-0000481A0000}"/>
    <cellStyle name="20% - Énfasis5 3 2 2 3 2 2 2 4" xfId="6732" xr:uid="{00000000-0005-0000-0000-0000491A0000}"/>
    <cellStyle name="20% - Énfasis5 3 2 2 3 2 2 3" xfId="6733" xr:uid="{00000000-0005-0000-0000-00004A1A0000}"/>
    <cellStyle name="20% - Énfasis5 3 2 2 3 2 2 3 2" xfId="6734" xr:uid="{00000000-0005-0000-0000-00004B1A0000}"/>
    <cellStyle name="20% - Énfasis5 3 2 2 3 2 2 4" xfId="6735" xr:uid="{00000000-0005-0000-0000-00004C1A0000}"/>
    <cellStyle name="20% - Énfasis5 3 2 2 3 2 2 5" xfId="6736" xr:uid="{00000000-0005-0000-0000-00004D1A0000}"/>
    <cellStyle name="20% - Énfasis5 3 2 2 3 2 3" xfId="6737" xr:uid="{00000000-0005-0000-0000-00004E1A0000}"/>
    <cellStyle name="20% - Énfasis5 3 2 2 3 2 3 2" xfId="6738" xr:uid="{00000000-0005-0000-0000-00004F1A0000}"/>
    <cellStyle name="20% - Énfasis5 3 2 2 3 2 3 2 2" xfId="6739" xr:uid="{00000000-0005-0000-0000-0000501A0000}"/>
    <cellStyle name="20% - Énfasis5 3 2 2 3 2 3 3" xfId="6740" xr:uid="{00000000-0005-0000-0000-0000511A0000}"/>
    <cellStyle name="20% - Énfasis5 3 2 2 3 2 3 4" xfId="6741" xr:uid="{00000000-0005-0000-0000-0000521A0000}"/>
    <cellStyle name="20% - Énfasis5 3 2 2 3 2 4" xfId="6742" xr:uid="{00000000-0005-0000-0000-0000531A0000}"/>
    <cellStyle name="20% - Énfasis5 3 2 2 3 2 4 2" xfId="6743" xr:uid="{00000000-0005-0000-0000-0000541A0000}"/>
    <cellStyle name="20% - Énfasis5 3 2 2 3 2 5" xfId="6744" xr:uid="{00000000-0005-0000-0000-0000551A0000}"/>
    <cellStyle name="20% - Énfasis5 3 2 2 3 2 6" xfId="6745" xr:uid="{00000000-0005-0000-0000-0000561A0000}"/>
    <cellStyle name="20% - Énfasis5 3 2 2 3 3" xfId="6746" xr:uid="{00000000-0005-0000-0000-0000571A0000}"/>
    <cellStyle name="20% - Énfasis5 3 2 2 3 3 2" xfId="6747" xr:uid="{00000000-0005-0000-0000-0000581A0000}"/>
    <cellStyle name="20% - Énfasis5 3 2 2 3 3 2 2" xfId="6748" xr:uid="{00000000-0005-0000-0000-0000591A0000}"/>
    <cellStyle name="20% - Énfasis5 3 2 2 3 3 2 2 2" xfId="6749" xr:uid="{00000000-0005-0000-0000-00005A1A0000}"/>
    <cellStyle name="20% - Énfasis5 3 2 2 3 3 2 3" xfId="6750" xr:uid="{00000000-0005-0000-0000-00005B1A0000}"/>
    <cellStyle name="20% - Énfasis5 3 2 2 3 3 2 4" xfId="6751" xr:uid="{00000000-0005-0000-0000-00005C1A0000}"/>
    <cellStyle name="20% - Énfasis5 3 2 2 3 3 3" xfId="6752" xr:uid="{00000000-0005-0000-0000-00005D1A0000}"/>
    <cellStyle name="20% - Énfasis5 3 2 2 3 3 3 2" xfId="6753" xr:uid="{00000000-0005-0000-0000-00005E1A0000}"/>
    <cellStyle name="20% - Énfasis5 3 2 2 3 3 4" xfId="6754" xr:uid="{00000000-0005-0000-0000-00005F1A0000}"/>
    <cellStyle name="20% - Énfasis5 3 2 2 3 3 5" xfId="6755" xr:uid="{00000000-0005-0000-0000-0000601A0000}"/>
    <cellStyle name="20% - Énfasis5 3 2 2 3 4" xfId="6756" xr:uid="{00000000-0005-0000-0000-0000611A0000}"/>
    <cellStyle name="20% - Énfasis5 3 2 2 3 4 2" xfId="6757" xr:uid="{00000000-0005-0000-0000-0000621A0000}"/>
    <cellStyle name="20% - Énfasis5 3 2 2 3 4 2 2" xfId="6758" xr:uid="{00000000-0005-0000-0000-0000631A0000}"/>
    <cellStyle name="20% - Énfasis5 3 2 2 3 4 3" xfId="6759" xr:uid="{00000000-0005-0000-0000-0000641A0000}"/>
    <cellStyle name="20% - Énfasis5 3 2 2 3 4 4" xfId="6760" xr:uid="{00000000-0005-0000-0000-0000651A0000}"/>
    <cellStyle name="20% - Énfasis5 3 2 2 3 5" xfId="6761" xr:uid="{00000000-0005-0000-0000-0000661A0000}"/>
    <cellStyle name="20% - Énfasis5 3 2 2 3 5 2" xfId="6762" xr:uid="{00000000-0005-0000-0000-0000671A0000}"/>
    <cellStyle name="20% - Énfasis5 3 2 2 3 6" xfId="6763" xr:uid="{00000000-0005-0000-0000-0000681A0000}"/>
    <cellStyle name="20% - Énfasis5 3 2 2 3 7" xfId="6764" xr:uid="{00000000-0005-0000-0000-0000691A0000}"/>
    <cellStyle name="20% - Énfasis5 3 2 2 4" xfId="6765" xr:uid="{00000000-0005-0000-0000-00006A1A0000}"/>
    <cellStyle name="20% - Énfasis5 3 2 2 4 2" xfId="6766" xr:uid="{00000000-0005-0000-0000-00006B1A0000}"/>
    <cellStyle name="20% - Énfasis5 3 2 2 4 2 2" xfId="6767" xr:uid="{00000000-0005-0000-0000-00006C1A0000}"/>
    <cellStyle name="20% - Énfasis5 3 2 2 4 2 2 2" xfId="6768" xr:uid="{00000000-0005-0000-0000-00006D1A0000}"/>
    <cellStyle name="20% - Énfasis5 3 2 2 4 2 2 2 2" xfId="6769" xr:uid="{00000000-0005-0000-0000-00006E1A0000}"/>
    <cellStyle name="20% - Énfasis5 3 2 2 4 2 2 3" xfId="6770" xr:uid="{00000000-0005-0000-0000-00006F1A0000}"/>
    <cellStyle name="20% - Énfasis5 3 2 2 4 2 2 4" xfId="6771" xr:uid="{00000000-0005-0000-0000-0000701A0000}"/>
    <cellStyle name="20% - Énfasis5 3 2 2 4 2 3" xfId="6772" xr:uid="{00000000-0005-0000-0000-0000711A0000}"/>
    <cellStyle name="20% - Énfasis5 3 2 2 4 2 3 2" xfId="6773" xr:uid="{00000000-0005-0000-0000-0000721A0000}"/>
    <cellStyle name="20% - Énfasis5 3 2 2 4 2 4" xfId="6774" xr:uid="{00000000-0005-0000-0000-0000731A0000}"/>
    <cellStyle name="20% - Énfasis5 3 2 2 4 2 5" xfId="6775" xr:uid="{00000000-0005-0000-0000-0000741A0000}"/>
    <cellStyle name="20% - Énfasis5 3 2 2 4 3" xfId="6776" xr:uid="{00000000-0005-0000-0000-0000751A0000}"/>
    <cellStyle name="20% - Énfasis5 3 2 2 4 3 2" xfId="6777" xr:uid="{00000000-0005-0000-0000-0000761A0000}"/>
    <cellStyle name="20% - Énfasis5 3 2 2 4 3 2 2" xfId="6778" xr:uid="{00000000-0005-0000-0000-0000771A0000}"/>
    <cellStyle name="20% - Énfasis5 3 2 2 4 3 3" xfId="6779" xr:uid="{00000000-0005-0000-0000-0000781A0000}"/>
    <cellStyle name="20% - Énfasis5 3 2 2 4 3 3 2" xfId="6780" xr:uid="{00000000-0005-0000-0000-0000791A0000}"/>
    <cellStyle name="20% - Énfasis5 3 2 2 4 3 4" xfId="6781" xr:uid="{00000000-0005-0000-0000-00007A1A0000}"/>
    <cellStyle name="20% - Énfasis5 3 2 2 4 3 5" xfId="6782" xr:uid="{00000000-0005-0000-0000-00007B1A0000}"/>
    <cellStyle name="20% - Énfasis5 3 2 2 4 4" xfId="6783" xr:uid="{00000000-0005-0000-0000-00007C1A0000}"/>
    <cellStyle name="20% - Énfasis5 3 2 2 4 4 2" xfId="6784" xr:uid="{00000000-0005-0000-0000-00007D1A0000}"/>
    <cellStyle name="20% - Énfasis5 3 2 2 4 5" xfId="6785" xr:uid="{00000000-0005-0000-0000-00007E1A0000}"/>
    <cellStyle name="20% - Énfasis5 3 2 2 4 5 2" xfId="6786" xr:uid="{00000000-0005-0000-0000-00007F1A0000}"/>
    <cellStyle name="20% - Énfasis5 3 2 2 4 6" xfId="6787" xr:uid="{00000000-0005-0000-0000-0000801A0000}"/>
    <cellStyle name="20% - Énfasis5 3 2 2 4 7" xfId="6788" xr:uid="{00000000-0005-0000-0000-0000811A0000}"/>
    <cellStyle name="20% - Énfasis5 3 2 2 5" xfId="6789" xr:uid="{00000000-0005-0000-0000-0000821A0000}"/>
    <cellStyle name="20% - Énfasis5 3 2 2 5 2" xfId="6790" xr:uid="{00000000-0005-0000-0000-0000831A0000}"/>
    <cellStyle name="20% - Énfasis5 3 2 2 5 2 2" xfId="6791" xr:uid="{00000000-0005-0000-0000-0000841A0000}"/>
    <cellStyle name="20% - Énfasis5 3 2 2 5 2 2 2" xfId="6792" xr:uid="{00000000-0005-0000-0000-0000851A0000}"/>
    <cellStyle name="20% - Énfasis5 3 2 2 5 2 3" xfId="6793" xr:uid="{00000000-0005-0000-0000-0000861A0000}"/>
    <cellStyle name="20% - Énfasis5 3 2 2 5 2 4" xfId="6794" xr:uid="{00000000-0005-0000-0000-0000871A0000}"/>
    <cellStyle name="20% - Énfasis5 3 2 2 5 3" xfId="6795" xr:uid="{00000000-0005-0000-0000-0000881A0000}"/>
    <cellStyle name="20% - Énfasis5 3 2 2 5 3 2" xfId="6796" xr:uid="{00000000-0005-0000-0000-0000891A0000}"/>
    <cellStyle name="20% - Énfasis5 3 2 2 5 4" xfId="6797" xr:uid="{00000000-0005-0000-0000-00008A1A0000}"/>
    <cellStyle name="20% - Énfasis5 3 2 2 5 5" xfId="6798" xr:uid="{00000000-0005-0000-0000-00008B1A0000}"/>
    <cellStyle name="20% - Énfasis5 3 2 2 6" xfId="6799" xr:uid="{00000000-0005-0000-0000-00008C1A0000}"/>
    <cellStyle name="20% - Énfasis5 3 2 2 6 2" xfId="6800" xr:uid="{00000000-0005-0000-0000-00008D1A0000}"/>
    <cellStyle name="20% - Énfasis5 3 2 2 6 2 2" xfId="6801" xr:uid="{00000000-0005-0000-0000-00008E1A0000}"/>
    <cellStyle name="20% - Énfasis5 3 2 2 6 3" xfId="6802" xr:uid="{00000000-0005-0000-0000-00008F1A0000}"/>
    <cellStyle name="20% - Énfasis5 3 2 2 6 3 2" xfId="6803" xr:uid="{00000000-0005-0000-0000-0000901A0000}"/>
    <cellStyle name="20% - Énfasis5 3 2 2 6 4" xfId="6804" xr:uid="{00000000-0005-0000-0000-0000911A0000}"/>
    <cellStyle name="20% - Énfasis5 3 2 2 6 5" xfId="6805" xr:uid="{00000000-0005-0000-0000-0000921A0000}"/>
    <cellStyle name="20% - Énfasis5 3 2 2 7" xfId="6806" xr:uid="{00000000-0005-0000-0000-0000931A0000}"/>
    <cellStyle name="20% - Énfasis5 3 2 2 7 2" xfId="6807" xr:uid="{00000000-0005-0000-0000-0000941A0000}"/>
    <cellStyle name="20% - Énfasis5 3 2 2 8" xfId="6808" xr:uid="{00000000-0005-0000-0000-0000951A0000}"/>
    <cellStyle name="20% - Énfasis5 3 2 2 8 2" xfId="6809" xr:uid="{00000000-0005-0000-0000-0000961A0000}"/>
    <cellStyle name="20% - Énfasis5 3 2 2 9" xfId="6810" xr:uid="{00000000-0005-0000-0000-0000971A0000}"/>
    <cellStyle name="20% - Énfasis5 3 2 3" xfId="6811" xr:uid="{00000000-0005-0000-0000-0000981A0000}"/>
    <cellStyle name="20% - Énfasis5 3 2 3 2" xfId="6812" xr:uid="{00000000-0005-0000-0000-0000991A0000}"/>
    <cellStyle name="20% - Énfasis5 3 2 3 2 2" xfId="6813" xr:uid="{00000000-0005-0000-0000-00009A1A0000}"/>
    <cellStyle name="20% - Énfasis5 3 2 3 2 2 2" xfId="6814" xr:uid="{00000000-0005-0000-0000-00009B1A0000}"/>
    <cellStyle name="20% - Énfasis5 3 2 3 2 2 2 2" xfId="6815" xr:uid="{00000000-0005-0000-0000-00009C1A0000}"/>
    <cellStyle name="20% - Énfasis5 3 2 3 2 2 2 2 2" xfId="6816" xr:uid="{00000000-0005-0000-0000-00009D1A0000}"/>
    <cellStyle name="20% - Énfasis5 3 2 3 2 2 2 2 2 2" xfId="6817" xr:uid="{00000000-0005-0000-0000-00009E1A0000}"/>
    <cellStyle name="20% - Énfasis5 3 2 3 2 2 2 2 3" xfId="6818" xr:uid="{00000000-0005-0000-0000-00009F1A0000}"/>
    <cellStyle name="20% - Énfasis5 3 2 3 2 2 2 2 4" xfId="6819" xr:uid="{00000000-0005-0000-0000-0000A01A0000}"/>
    <cellStyle name="20% - Énfasis5 3 2 3 2 2 2 3" xfId="6820" xr:uid="{00000000-0005-0000-0000-0000A11A0000}"/>
    <cellStyle name="20% - Énfasis5 3 2 3 2 2 2 3 2" xfId="6821" xr:uid="{00000000-0005-0000-0000-0000A21A0000}"/>
    <cellStyle name="20% - Énfasis5 3 2 3 2 2 2 4" xfId="6822" xr:uid="{00000000-0005-0000-0000-0000A31A0000}"/>
    <cellStyle name="20% - Énfasis5 3 2 3 2 2 2 5" xfId="6823" xr:uid="{00000000-0005-0000-0000-0000A41A0000}"/>
    <cellStyle name="20% - Énfasis5 3 2 3 2 2 3" xfId="6824" xr:uid="{00000000-0005-0000-0000-0000A51A0000}"/>
    <cellStyle name="20% - Énfasis5 3 2 3 2 2 3 2" xfId="6825" xr:uid="{00000000-0005-0000-0000-0000A61A0000}"/>
    <cellStyle name="20% - Énfasis5 3 2 3 2 2 3 2 2" xfId="6826" xr:uid="{00000000-0005-0000-0000-0000A71A0000}"/>
    <cellStyle name="20% - Énfasis5 3 2 3 2 2 3 3" xfId="6827" xr:uid="{00000000-0005-0000-0000-0000A81A0000}"/>
    <cellStyle name="20% - Énfasis5 3 2 3 2 2 3 4" xfId="6828" xr:uid="{00000000-0005-0000-0000-0000A91A0000}"/>
    <cellStyle name="20% - Énfasis5 3 2 3 2 2 4" xfId="6829" xr:uid="{00000000-0005-0000-0000-0000AA1A0000}"/>
    <cellStyle name="20% - Énfasis5 3 2 3 2 2 4 2" xfId="6830" xr:uid="{00000000-0005-0000-0000-0000AB1A0000}"/>
    <cellStyle name="20% - Énfasis5 3 2 3 2 2 5" xfId="6831" xr:uid="{00000000-0005-0000-0000-0000AC1A0000}"/>
    <cellStyle name="20% - Énfasis5 3 2 3 2 2 6" xfId="6832" xr:uid="{00000000-0005-0000-0000-0000AD1A0000}"/>
    <cellStyle name="20% - Énfasis5 3 2 3 2 3" xfId="6833" xr:uid="{00000000-0005-0000-0000-0000AE1A0000}"/>
    <cellStyle name="20% - Énfasis5 3 2 3 2 3 2" xfId="6834" xr:uid="{00000000-0005-0000-0000-0000AF1A0000}"/>
    <cellStyle name="20% - Énfasis5 3 2 3 2 3 2 2" xfId="6835" xr:uid="{00000000-0005-0000-0000-0000B01A0000}"/>
    <cellStyle name="20% - Énfasis5 3 2 3 2 3 2 2 2" xfId="6836" xr:uid="{00000000-0005-0000-0000-0000B11A0000}"/>
    <cellStyle name="20% - Énfasis5 3 2 3 2 3 2 3" xfId="6837" xr:uid="{00000000-0005-0000-0000-0000B21A0000}"/>
    <cellStyle name="20% - Énfasis5 3 2 3 2 3 2 4" xfId="6838" xr:uid="{00000000-0005-0000-0000-0000B31A0000}"/>
    <cellStyle name="20% - Énfasis5 3 2 3 2 3 3" xfId="6839" xr:uid="{00000000-0005-0000-0000-0000B41A0000}"/>
    <cellStyle name="20% - Énfasis5 3 2 3 2 3 3 2" xfId="6840" xr:uid="{00000000-0005-0000-0000-0000B51A0000}"/>
    <cellStyle name="20% - Énfasis5 3 2 3 2 3 4" xfId="6841" xr:uid="{00000000-0005-0000-0000-0000B61A0000}"/>
    <cellStyle name="20% - Énfasis5 3 2 3 2 3 5" xfId="6842" xr:uid="{00000000-0005-0000-0000-0000B71A0000}"/>
    <cellStyle name="20% - Énfasis5 3 2 3 2 4" xfId="6843" xr:uid="{00000000-0005-0000-0000-0000B81A0000}"/>
    <cellStyle name="20% - Énfasis5 3 2 3 2 4 2" xfId="6844" xr:uid="{00000000-0005-0000-0000-0000B91A0000}"/>
    <cellStyle name="20% - Énfasis5 3 2 3 2 4 2 2" xfId="6845" xr:uid="{00000000-0005-0000-0000-0000BA1A0000}"/>
    <cellStyle name="20% - Énfasis5 3 2 3 2 4 3" xfId="6846" xr:uid="{00000000-0005-0000-0000-0000BB1A0000}"/>
    <cellStyle name="20% - Énfasis5 3 2 3 2 4 4" xfId="6847" xr:uid="{00000000-0005-0000-0000-0000BC1A0000}"/>
    <cellStyle name="20% - Énfasis5 3 2 3 2 5" xfId="6848" xr:uid="{00000000-0005-0000-0000-0000BD1A0000}"/>
    <cellStyle name="20% - Énfasis5 3 2 3 2 5 2" xfId="6849" xr:uid="{00000000-0005-0000-0000-0000BE1A0000}"/>
    <cellStyle name="20% - Énfasis5 3 2 3 2 6" xfId="6850" xr:uid="{00000000-0005-0000-0000-0000BF1A0000}"/>
    <cellStyle name="20% - Énfasis5 3 2 3 2 7" xfId="6851" xr:uid="{00000000-0005-0000-0000-0000C01A0000}"/>
    <cellStyle name="20% - Énfasis5 3 2 3 3" xfId="6852" xr:uid="{00000000-0005-0000-0000-0000C11A0000}"/>
    <cellStyle name="20% - Énfasis5 3 2 3 3 2" xfId="6853" xr:uid="{00000000-0005-0000-0000-0000C21A0000}"/>
    <cellStyle name="20% - Énfasis5 3 2 3 3 2 2" xfId="6854" xr:uid="{00000000-0005-0000-0000-0000C31A0000}"/>
    <cellStyle name="20% - Énfasis5 3 2 3 3 2 2 2" xfId="6855" xr:uid="{00000000-0005-0000-0000-0000C41A0000}"/>
    <cellStyle name="20% - Énfasis5 3 2 3 3 2 2 2 2" xfId="6856" xr:uid="{00000000-0005-0000-0000-0000C51A0000}"/>
    <cellStyle name="20% - Énfasis5 3 2 3 3 2 2 3" xfId="6857" xr:uid="{00000000-0005-0000-0000-0000C61A0000}"/>
    <cellStyle name="20% - Énfasis5 3 2 3 3 2 2 4" xfId="6858" xr:uid="{00000000-0005-0000-0000-0000C71A0000}"/>
    <cellStyle name="20% - Énfasis5 3 2 3 3 2 3" xfId="6859" xr:uid="{00000000-0005-0000-0000-0000C81A0000}"/>
    <cellStyle name="20% - Énfasis5 3 2 3 3 2 3 2" xfId="6860" xr:uid="{00000000-0005-0000-0000-0000C91A0000}"/>
    <cellStyle name="20% - Énfasis5 3 2 3 3 2 4" xfId="6861" xr:uid="{00000000-0005-0000-0000-0000CA1A0000}"/>
    <cellStyle name="20% - Énfasis5 3 2 3 3 2 5" xfId="6862" xr:uid="{00000000-0005-0000-0000-0000CB1A0000}"/>
    <cellStyle name="20% - Énfasis5 3 2 3 3 3" xfId="6863" xr:uid="{00000000-0005-0000-0000-0000CC1A0000}"/>
    <cellStyle name="20% - Énfasis5 3 2 3 3 3 2" xfId="6864" xr:uid="{00000000-0005-0000-0000-0000CD1A0000}"/>
    <cellStyle name="20% - Énfasis5 3 2 3 3 3 2 2" xfId="6865" xr:uid="{00000000-0005-0000-0000-0000CE1A0000}"/>
    <cellStyle name="20% - Énfasis5 3 2 3 3 3 3" xfId="6866" xr:uid="{00000000-0005-0000-0000-0000CF1A0000}"/>
    <cellStyle name="20% - Énfasis5 3 2 3 3 3 3 2" xfId="6867" xr:uid="{00000000-0005-0000-0000-0000D01A0000}"/>
    <cellStyle name="20% - Énfasis5 3 2 3 3 3 4" xfId="6868" xr:uid="{00000000-0005-0000-0000-0000D11A0000}"/>
    <cellStyle name="20% - Énfasis5 3 2 3 3 3 5" xfId="6869" xr:uid="{00000000-0005-0000-0000-0000D21A0000}"/>
    <cellStyle name="20% - Énfasis5 3 2 3 3 4" xfId="6870" xr:uid="{00000000-0005-0000-0000-0000D31A0000}"/>
    <cellStyle name="20% - Énfasis5 3 2 3 3 4 2" xfId="6871" xr:uid="{00000000-0005-0000-0000-0000D41A0000}"/>
    <cellStyle name="20% - Énfasis5 3 2 3 3 5" xfId="6872" xr:uid="{00000000-0005-0000-0000-0000D51A0000}"/>
    <cellStyle name="20% - Énfasis5 3 2 3 3 5 2" xfId="6873" xr:uid="{00000000-0005-0000-0000-0000D61A0000}"/>
    <cellStyle name="20% - Énfasis5 3 2 3 3 6" xfId="6874" xr:uid="{00000000-0005-0000-0000-0000D71A0000}"/>
    <cellStyle name="20% - Énfasis5 3 2 3 3 7" xfId="6875" xr:uid="{00000000-0005-0000-0000-0000D81A0000}"/>
    <cellStyle name="20% - Énfasis5 3 2 3 4" xfId="6876" xr:uid="{00000000-0005-0000-0000-0000D91A0000}"/>
    <cellStyle name="20% - Énfasis5 3 2 3 4 2" xfId="6877" xr:uid="{00000000-0005-0000-0000-0000DA1A0000}"/>
    <cellStyle name="20% - Énfasis5 3 2 3 4 2 2" xfId="6878" xr:uid="{00000000-0005-0000-0000-0000DB1A0000}"/>
    <cellStyle name="20% - Énfasis5 3 2 3 4 2 2 2" xfId="6879" xr:uid="{00000000-0005-0000-0000-0000DC1A0000}"/>
    <cellStyle name="20% - Énfasis5 3 2 3 4 2 3" xfId="6880" xr:uid="{00000000-0005-0000-0000-0000DD1A0000}"/>
    <cellStyle name="20% - Énfasis5 3 2 3 4 2 4" xfId="6881" xr:uid="{00000000-0005-0000-0000-0000DE1A0000}"/>
    <cellStyle name="20% - Énfasis5 3 2 3 4 3" xfId="6882" xr:uid="{00000000-0005-0000-0000-0000DF1A0000}"/>
    <cellStyle name="20% - Énfasis5 3 2 3 4 3 2" xfId="6883" xr:uid="{00000000-0005-0000-0000-0000E01A0000}"/>
    <cellStyle name="20% - Énfasis5 3 2 3 4 4" xfId="6884" xr:uid="{00000000-0005-0000-0000-0000E11A0000}"/>
    <cellStyle name="20% - Énfasis5 3 2 3 4 5" xfId="6885" xr:uid="{00000000-0005-0000-0000-0000E21A0000}"/>
    <cellStyle name="20% - Énfasis5 3 2 3 5" xfId="6886" xr:uid="{00000000-0005-0000-0000-0000E31A0000}"/>
    <cellStyle name="20% - Énfasis5 3 2 3 5 2" xfId="6887" xr:uid="{00000000-0005-0000-0000-0000E41A0000}"/>
    <cellStyle name="20% - Énfasis5 3 2 3 5 2 2" xfId="6888" xr:uid="{00000000-0005-0000-0000-0000E51A0000}"/>
    <cellStyle name="20% - Énfasis5 3 2 3 5 3" xfId="6889" xr:uid="{00000000-0005-0000-0000-0000E61A0000}"/>
    <cellStyle name="20% - Énfasis5 3 2 3 5 3 2" xfId="6890" xr:uid="{00000000-0005-0000-0000-0000E71A0000}"/>
    <cellStyle name="20% - Énfasis5 3 2 3 5 4" xfId="6891" xr:uid="{00000000-0005-0000-0000-0000E81A0000}"/>
    <cellStyle name="20% - Énfasis5 3 2 3 5 5" xfId="6892" xr:uid="{00000000-0005-0000-0000-0000E91A0000}"/>
    <cellStyle name="20% - Énfasis5 3 2 3 6" xfId="6893" xr:uid="{00000000-0005-0000-0000-0000EA1A0000}"/>
    <cellStyle name="20% - Énfasis5 3 2 3 6 2" xfId="6894" xr:uid="{00000000-0005-0000-0000-0000EB1A0000}"/>
    <cellStyle name="20% - Énfasis5 3 2 3 7" xfId="6895" xr:uid="{00000000-0005-0000-0000-0000EC1A0000}"/>
    <cellStyle name="20% - Énfasis5 3 2 3 7 2" xfId="6896" xr:uid="{00000000-0005-0000-0000-0000ED1A0000}"/>
    <cellStyle name="20% - Énfasis5 3 2 3 8" xfId="6897" xr:uid="{00000000-0005-0000-0000-0000EE1A0000}"/>
    <cellStyle name="20% - Énfasis5 3 2 3 9" xfId="6898" xr:uid="{00000000-0005-0000-0000-0000EF1A0000}"/>
    <cellStyle name="20% - Énfasis5 3 2 4" xfId="6899" xr:uid="{00000000-0005-0000-0000-0000F01A0000}"/>
    <cellStyle name="20% - Énfasis5 3 2 4 2" xfId="6900" xr:uid="{00000000-0005-0000-0000-0000F11A0000}"/>
    <cellStyle name="20% - Énfasis5 3 2 4 2 2" xfId="6901" xr:uid="{00000000-0005-0000-0000-0000F21A0000}"/>
    <cellStyle name="20% - Énfasis5 3 2 4 2 2 2" xfId="6902" xr:uid="{00000000-0005-0000-0000-0000F31A0000}"/>
    <cellStyle name="20% - Énfasis5 3 2 4 2 2 2 2" xfId="6903" xr:uid="{00000000-0005-0000-0000-0000F41A0000}"/>
    <cellStyle name="20% - Énfasis5 3 2 4 2 2 2 2 2" xfId="6904" xr:uid="{00000000-0005-0000-0000-0000F51A0000}"/>
    <cellStyle name="20% - Énfasis5 3 2 4 2 2 2 3" xfId="6905" xr:uid="{00000000-0005-0000-0000-0000F61A0000}"/>
    <cellStyle name="20% - Énfasis5 3 2 4 2 2 2 4" xfId="6906" xr:uid="{00000000-0005-0000-0000-0000F71A0000}"/>
    <cellStyle name="20% - Énfasis5 3 2 4 2 2 3" xfId="6907" xr:uid="{00000000-0005-0000-0000-0000F81A0000}"/>
    <cellStyle name="20% - Énfasis5 3 2 4 2 2 3 2" xfId="6908" xr:uid="{00000000-0005-0000-0000-0000F91A0000}"/>
    <cellStyle name="20% - Énfasis5 3 2 4 2 2 4" xfId="6909" xr:uid="{00000000-0005-0000-0000-0000FA1A0000}"/>
    <cellStyle name="20% - Énfasis5 3 2 4 2 2 5" xfId="6910" xr:uid="{00000000-0005-0000-0000-0000FB1A0000}"/>
    <cellStyle name="20% - Énfasis5 3 2 4 2 3" xfId="6911" xr:uid="{00000000-0005-0000-0000-0000FC1A0000}"/>
    <cellStyle name="20% - Énfasis5 3 2 4 2 3 2" xfId="6912" xr:uid="{00000000-0005-0000-0000-0000FD1A0000}"/>
    <cellStyle name="20% - Énfasis5 3 2 4 2 3 2 2" xfId="6913" xr:uid="{00000000-0005-0000-0000-0000FE1A0000}"/>
    <cellStyle name="20% - Énfasis5 3 2 4 2 3 3" xfId="6914" xr:uid="{00000000-0005-0000-0000-0000FF1A0000}"/>
    <cellStyle name="20% - Énfasis5 3 2 4 2 3 3 2" xfId="6915" xr:uid="{00000000-0005-0000-0000-0000001B0000}"/>
    <cellStyle name="20% - Énfasis5 3 2 4 2 3 4" xfId="6916" xr:uid="{00000000-0005-0000-0000-0000011B0000}"/>
    <cellStyle name="20% - Énfasis5 3 2 4 2 3 5" xfId="6917" xr:uid="{00000000-0005-0000-0000-0000021B0000}"/>
    <cellStyle name="20% - Énfasis5 3 2 4 2 4" xfId="6918" xr:uid="{00000000-0005-0000-0000-0000031B0000}"/>
    <cellStyle name="20% - Énfasis5 3 2 4 2 4 2" xfId="6919" xr:uid="{00000000-0005-0000-0000-0000041B0000}"/>
    <cellStyle name="20% - Énfasis5 3 2 4 2 5" xfId="6920" xr:uid="{00000000-0005-0000-0000-0000051B0000}"/>
    <cellStyle name="20% - Énfasis5 3 2 4 2 5 2" xfId="6921" xr:uid="{00000000-0005-0000-0000-0000061B0000}"/>
    <cellStyle name="20% - Énfasis5 3 2 4 2 6" xfId="6922" xr:uid="{00000000-0005-0000-0000-0000071B0000}"/>
    <cellStyle name="20% - Énfasis5 3 2 4 2 7" xfId="6923" xr:uid="{00000000-0005-0000-0000-0000081B0000}"/>
    <cellStyle name="20% - Énfasis5 3 2 4 3" xfId="6924" xr:uid="{00000000-0005-0000-0000-0000091B0000}"/>
    <cellStyle name="20% - Énfasis5 3 2 4 3 2" xfId="6925" xr:uid="{00000000-0005-0000-0000-00000A1B0000}"/>
    <cellStyle name="20% - Énfasis5 3 2 4 3 2 2" xfId="6926" xr:uid="{00000000-0005-0000-0000-00000B1B0000}"/>
    <cellStyle name="20% - Énfasis5 3 2 4 3 2 2 2" xfId="6927" xr:uid="{00000000-0005-0000-0000-00000C1B0000}"/>
    <cellStyle name="20% - Énfasis5 3 2 4 3 2 3" xfId="6928" xr:uid="{00000000-0005-0000-0000-00000D1B0000}"/>
    <cellStyle name="20% - Énfasis5 3 2 4 3 2 4" xfId="6929" xr:uid="{00000000-0005-0000-0000-00000E1B0000}"/>
    <cellStyle name="20% - Énfasis5 3 2 4 3 3" xfId="6930" xr:uid="{00000000-0005-0000-0000-00000F1B0000}"/>
    <cellStyle name="20% - Énfasis5 3 2 4 3 3 2" xfId="6931" xr:uid="{00000000-0005-0000-0000-0000101B0000}"/>
    <cellStyle name="20% - Énfasis5 3 2 4 3 4" xfId="6932" xr:uid="{00000000-0005-0000-0000-0000111B0000}"/>
    <cellStyle name="20% - Énfasis5 3 2 4 3 5" xfId="6933" xr:uid="{00000000-0005-0000-0000-0000121B0000}"/>
    <cellStyle name="20% - Énfasis5 3 2 4 4" xfId="6934" xr:uid="{00000000-0005-0000-0000-0000131B0000}"/>
    <cellStyle name="20% - Énfasis5 3 2 4 4 2" xfId="6935" xr:uid="{00000000-0005-0000-0000-0000141B0000}"/>
    <cellStyle name="20% - Énfasis5 3 2 4 4 2 2" xfId="6936" xr:uid="{00000000-0005-0000-0000-0000151B0000}"/>
    <cellStyle name="20% - Énfasis5 3 2 4 4 3" xfId="6937" xr:uid="{00000000-0005-0000-0000-0000161B0000}"/>
    <cellStyle name="20% - Énfasis5 3 2 4 4 3 2" xfId="6938" xr:uid="{00000000-0005-0000-0000-0000171B0000}"/>
    <cellStyle name="20% - Énfasis5 3 2 4 4 4" xfId="6939" xr:uid="{00000000-0005-0000-0000-0000181B0000}"/>
    <cellStyle name="20% - Énfasis5 3 2 4 4 5" xfId="6940" xr:uid="{00000000-0005-0000-0000-0000191B0000}"/>
    <cellStyle name="20% - Énfasis5 3 2 4 5" xfId="6941" xr:uid="{00000000-0005-0000-0000-00001A1B0000}"/>
    <cellStyle name="20% - Énfasis5 3 2 4 5 2" xfId="6942" xr:uid="{00000000-0005-0000-0000-00001B1B0000}"/>
    <cellStyle name="20% - Énfasis5 3 2 4 6" xfId="6943" xr:uid="{00000000-0005-0000-0000-00001C1B0000}"/>
    <cellStyle name="20% - Énfasis5 3 2 4 6 2" xfId="6944" xr:uid="{00000000-0005-0000-0000-00001D1B0000}"/>
    <cellStyle name="20% - Énfasis5 3 2 4 7" xfId="6945" xr:uid="{00000000-0005-0000-0000-00001E1B0000}"/>
    <cellStyle name="20% - Énfasis5 3 2 4 8" xfId="6946" xr:uid="{00000000-0005-0000-0000-00001F1B0000}"/>
    <cellStyle name="20% - Énfasis5 3 2 5" xfId="6947" xr:uid="{00000000-0005-0000-0000-0000201B0000}"/>
    <cellStyle name="20% - Énfasis5 3 2 5 2" xfId="6948" xr:uid="{00000000-0005-0000-0000-0000211B0000}"/>
    <cellStyle name="20% - Énfasis5 3 2 5 2 2" xfId="6949" xr:uid="{00000000-0005-0000-0000-0000221B0000}"/>
    <cellStyle name="20% - Énfasis5 3 2 5 2 2 2" xfId="6950" xr:uid="{00000000-0005-0000-0000-0000231B0000}"/>
    <cellStyle name="20% - Énfasis5 3 2 5 2 2 2 2" xfId="6951" xr:uid="{00000000-0005-0000-0000-0000241B0000}"/>
    <cellStyle name="20% - Énfasis5 3 2 5 2 2 3" xfId="6952" xr:uid="{00000000-0005-0000-0000-0000251B0000}"/>
    <cellStyle name="20% - Énfasis5 3 2 5 2 2 4" xfId="6953" xr:uid="{00000000-0005-0000-0000-0000261B0000}"/>
    <cellStyle name="20% - Énfasis5 3 2 5 2 3" xfId="6954" xr:uid="{00000000-0005-0000-0000-0000271B0000}"/>
    <cellStyle name="20% - Énfasis5 3 2 5 2 3 2" xfId="6955" xr:uid="{00000000-0005-0000-0000-0000281B0000}"/>
    <cellStyle name="20% - Énfasis5 3 2 5 2 4" xfId="6956" xr:uid="{00000000-0005-0000-0000-0000291B0000}"/>
    <cellStyle name="20% - Énfasis5 3 2 5 2 5" xfId="6957" xr:uid="{00000000-0005-0000-0000-00002A1B0000}"/>
    <cellStyle name="20% - Énfasis5 3 2 5 3" xfId="6958" xr:uid="{00000000-0005-0000-0000-00002B1B0000}"/>
    <cellStyle name="20% - Énfasis5 3 2 5 3 2" xfId="6959" xr:uid="{00000000-0005-0000-0000-00002C1B0000}"/>
    <cellStyle name="20% - Énfasis5 3 2 5 3 2 2" xfId="6960" xr:uid="{00000000-0005-0000-0000-00002D1B0000}"/>
    <cellStyle name="20% - Énfasis5 3 2 5 3 3" xfId="6961" xr:uid="{00000000-0005-0000-0000-00002E1B0000}"/>
    <cellStyle name="20% - Énfasis5 3 2 5 3 3 2" xfId="6962" xr:uid="{00000000-0005-0000-0000-00002F1B0000}"/>
    <cellStyle name="20% - Énfasis5 3 2 5 3 4" xfId="6963" xr:uid="{00000000-0005-0000-0000-0000301B0000}"/>
    <cellStyle name="20% - Énfasis5 3 2 5 3 5" xfId="6964" xr:uid="{00000000-0005-0000-0000-0000311B0000}"/>
    <cellStyle name="20% - Énfasis5 3 2 5 4" xfId="6965" xr:uid="{00000000-0005-0000-0000-0000321B0000}"/>
    <cellStyle name="20% - Énfasis5 3 2 5 4 2" xfId="6966" xr:uid="{00000000-0005-0000-0000-0000331B0000}"/>
    <cellStyle name="20% - Énfasis5 3 2 5 5" xfId="6967" xr:uid="{00000000-0005-0000-0000-0000341B0000}"/>
    <cellStyle name="20% - Énfasis5 3 2 5 5 2" xfId="6968" xr:uid="{00000000-0005-0000-0000-0000351B0000}"/>
    <cellStyle name="20% - Énfasis5 3 2 5 6" xfId="6969" xr:uid="{00000000-0005-0000-0000-0000361B0000}"/>
    <cellStyle name="20% - Énfasis5 3 2 5 7" xfId="6970" xr:uid="{00000000-0005-0000-0000-0000371B0000}"/>
    <cellStyle name="20% - Énfasis5 3 2 6" xfId="6971" xr:uid="{00000000-0005-0000-0000-0000381B0000}"/>
    <cellStyle name="20% - Énfasis5 3 2 6 2" xfId="6972" xr:uid="{00000000-0005-0000-0000-0000391B0000}"/>
    <cellStyle name="20% - Énfasis5 3 2 6 2 2" xfId="6973" xr:uid="{00000000-0005-0000-0000-00003A1B0000}"/>
    <cellStyle name="20% - Énfasis5 3 2 6 2 2 2" xfId="6974" xr:uid="{00000000-0005-0000-0000-00003B1B0000}"/>
    <cellStyle name="20% - Énfasis5 3 2 6 2 3" xfId="6975" xr:uid="{00000000-0005-0000-0000-00003C1B0000}"/>
    <cellStyle name="20% - Énfasis5 3 2 6 2 4" xfId="6976" xr:uid="{00000000-0005-0000-0000-00003D1B0000}"/>
    <cellStyle name="20% - Énfasis5 3 2 6 3" xfId="6977" xr:uid="{00000000-0005-0000-0000-00003E1B0000}"/>
    <cellStyle name="20% - Énfasis5 3 2 6 3 2" xfId="6978" xr:uid="{00000000-0005-0000-0000-00003F1B0000}"/>
    <cellStyle name="20% - Énfasis5 3 2 6 4" xfId="6979" xr:uid="{00000000-0005-0000-0000-0000401B0000}"/>
    <cellStyle name="20% - Énfasis5 3 2 6 5" xfId="6980" xr:uid="{00000000-0005-0000-0000-0000411B0000}"/>
    <cellStyle name="20% - Énfasis5 3 2 7" xfId="6981" xr:uid="{00000000-0005-0000-0000-0000421B0000}"/>
    <cellStyle name="20% - Énfasis5 3 2 7 2" xfId="6982" xr:uid="{00000000-0005-0000-0000-0000431B0000}"/>
    <cellStyle name="20% - Énfasis5 3 2 7 2 2" xfId="6983" xr:uid="{00000000-0005-0000-0000-0000441B0000}"/>
    <cellStyle name="20% - Énfasis5 3 2 7 3" xfId="6984" xr:uid="{00000000-0005-0000-0000-0000451B0000}"/>
    <cellStyle name="20% - Énfasis5 3 2 7 3 2" xfId="6985" xr:uid="{00000000-0005-0000-0000-0000461B0000}"/>
    <cellStyle name="20% - Énfasis5 3 2 7 4" xfId="6986" xr:uid="{00000000-0005-0000-0000-0000471B0000}"/>
    <cellStyle name="20% - Énfasis5 3 2 7 5" xfId="6987" xr:uid="{00000000-0005-0000-0000-0000481B0000}"/>
    <cellStyle name="20% - Énfasis5 3 2 8" xfId="6988" xr:uid="{00000000-0005-0000-0000-0000491B0000}"/>
    <cellStyle name="20% - Énfasis5 3 2 8 2" xfId="6989" xr:uid="{00000000-0005-0000-0000-00004A1B0000}"/>
    <cellStyle name="20% - Énfasis5 3 2 9" xfId="6990" xr:uid="{00000000-0005-0000-0000-00004B1B0000}"/>
    <cellStyle name="20% - Énfasis5 3 2 9 2" xfId="6991" xr:uid="{00000000-0005-0000-0000-00004C1B0000}"/>
    <cellStyle name="20% - Énfasis5 3 3" xfId="6992" xr:uid="{00000000-0005-0000-0000-00004D1B0000}"/>
    <cellStyle name="20% - Énfasis5 3 3 10" xfId="6993" xr:uid="{00000000-0005-0000-0000-00004E1B0000}"/>
    <cellStyle name="20% - Énfasis5 3 3 2" xfId="6994" xr:uid="{00000000-0005-0000-0000-00004F1B0000}"/>
    <cellStyle name="20% - Énfasis5 3 3 2 2" xfId="6995" xr:uid="{00000000-0005-0000-0000-0000501B0000}"/>
    <cellStyle name="20% - Énfasis5 3 3 2 2 2" xfId="6996" xr:uid="{00000000-0005-0000-0000-0000511B0000}"/>
    <cellStyle name="20% - Énfasis5 3 3 2 2 2 2" xfId="6997" xr:uid="{00000000-0005-0000-0000-0000521B0000}"/>
    <cellStyle name="20% - Énfasis5 3 3 2 2 2 2 2" xfId="6998" xr:uid="{00000000-0005-0000-0000-0000531B0000}"/>
    <cellStyle name="20% - Énfasis5 3 3 2 2 2 2 2 2" xfId="6999" xr:uid="{00000000-0005-0000-0000-0000541B0000}"/>
    <cellStyle name="20% - Énfasis5 3 3 2 2 2 2 2 2 2" xfId="7000" xr:uid="{00000000-0005-0000-0000-0000551B0000}"/>
    <cellStyle name="20% - Énfasis5 3 3 2 2 2 2 2 3" xfId="7001" xr:uid="{00000000-0005-0000-0000-0000561B0000}"/>
    <cellStyle name="20% - Énfasis5 3 3 2 2 2 2 2 4" xfId="7002" xr:uid="{00000000-0005-0000-0000-0000571B0000}"/>
    <cellStyle name="20% - Énfasis5 3 3 2 2 2 2 3" xfId="7003" xr:uid="{00000000-0005-0000-0000-0000581B0000}"/>
    <cellStyle name="20% - Énfasis5 3 3 2 2 2 2 3 2" xfId="7004" xr:uid="{00000000-0005-0000-0000-0000591B0000}"/>
    <cellStyle name="20% - Énfasis5 3 3 2 2 2 2 4" xfId="7005" xr:uid="{00000000-0005-0000-0000-00005A1B0000}"/>
    <cellStyle name="20% - Énfasis5 3 3 2 2 2 2 5" xfId="7006" xr:uid="{00000000-0005-0000-0000-00005B1B0000}"/>
    <cellStyle name="20% - Énfasis5 3 3 2 2 2 3" xfId="7007" xr:uid="{00000000-0005-0000-0000-00005C1B0000}"/>
    <cellStyle name="20% - Énfasis5 3 3 2 2 2 3 2" xfId="7008" xr:uid="{00000000-0005-0000-0000-00005D1B0000}"/>
    <cellStyle name="20% - Énfasis5 3 3 2 2 2 3 2 2" xfId="7009" xr:uid="{00000000-0005-0000-0000-00005E1B0000}"/>
    <cellStyle name="20% - Énfasis5 3 3 2 2 2 3 3" xfId="7010" xr:uid="{00000000-0005-0000-0000-00005F1B0000}"/>
    <cellStyle name="20% - Énfasis5 3 3 2 2 2 3 4" xfId="7011" xr:uid="{00000000-0005-0000-0000-0000601B0000}"/>
    <cellStyle name="20% - Énfasis5 3 3 2 2 2 4" xfId="7012" xr:uid="{00000000-0005-0000-0000-0000611B0000}"/>
    <cellStyle name="20% - Énfasis5 3 3 2 2 2 4 2" xfId="7013" xr:uid="{00000000-0005-0000-0000-0000621B0000}"/>
    <cellStyle name="20% - Énfasis5 3 3 2 2 2 5" xfId="7014" xr:uid="{00000000-0005-0000-0000-0000631B0000}"/>
    <cellStyle name="20% - Énfasis5 3 3 2 2 2 6" xfId="7015" xr:uid="{00000000-0005-0000-0000-0000641B0000}"/>
    <cellStyle name="20% - Énfasis5 3 3 2 2 3" xfId="7016" xr:uid="{00000000-0005-0000-0000-0000651B0000}"/>
    <cellStyle name="20% - Énfasis5 3 3 2 2 3 2" xfId="7017" xr:uid="{00000000-0005-0000-0000-0000661B0000}"/>
    <cellStyle name="20% - Énfasis5 3 3 2 2 3 2 2" xfId="7018" xr:uid="{00000000-0005-0000-0000-0000671B0000}"/>
    <cellStyle name="20% - Énfasis5 3 3 2 2 3 2 2 2" xfId="7019" xr:uid="{00000000-0005-0000-0000-0000681B0000}"/>
    <cellStyle name="20% - Énfasis5 3 3 2 2 3 2 3" xfId="7020" xr:uid="{00000000-0005-0000-0000-0000691B0000}"/>
    <cellStyle name="20% - Énfasis5 3 3 2 2 3 2 4" xfId="7021" xr:uid="{00000000-0005-0000-0000-00006A1B0000}"/>
    <cellStyle name="20% - Énfasis5 3 3 2 2 3 3" xfId="7022" xr:uid="{00000000-0005-0000-0000-00006B1B0000}"/>
    <cellStyle name="20% - Énfasis5 3 3 2 2 3 3 2" xfId="7023" xr:uid="{00000000-0005-0000-0000-00006C1B0000}"/>
    <cellStyle name="20% - Énfasis5 3 3 2 2 3 4" xfId="7024" xr:uid="{00000000-0005-0000-0000-00006D1B0000}"/>
    <cellStyle name="20% - Énfasis5 3 3 2 2 3 5" xfId="7025" xr:uid="{00000000-0005-0000-0000-00006E1B0000}"/>
    <cellStyle name="20% - Énfasis5 3 3 2 2 4" xfId="7026" xr:uid="{00000000-0005-0000-0000-00006F1B0000}"/>
    <cellStyle name="20% - Énfasis5 3 3 2 2 4 2" xfId="7027" xr:uid="{00000000-0005-0000-0000-0000701B0000}"/>
    <cellStyle name="20% - Énfasis5 3 3 2 2 4 2 2" xfId="7028" xr:uid="{00000000-0005-0000-0000-0000711B0000}"/>
    <cellStyle name="20% - Énfasis5 3 3 2 2 4 3" xfId="7029" xr:uid="{00000000-0005-0000-0000-0000721B0000}"/>
    <cellStyle name="20% - Énfasis5 3 3 2 2 4 4" xfId="7030" xr:uid="{00000000-0005-0000-0000-0000731B0000}"/>
    <cellStyle name="20% - Énfasis5 3 3 2 2 5" xfId="7031" xr:uid="{00000000-0005-0000-0000-0000741B0000}"/>
    <cellStyle name="20% - Énfasis5 3 3 2 2 5 2" xfId="7032" xr:uid="{00000000-0005-0000-0000-0000751B0000}"/>
    <cellStyle name="20% - Énfasis5 3 3 2 2 6" xfId="7033" xr:uid="{00000000-0005-0000-0000-0000761B0000}"/>
    <cellStyle name="20% - Énfasis5 3 3 2 2 7" xfId="7034" xr:uid="{00000000-0005-0000-0000-0000771B0000}"/>
    <cellStyle name="20% - Énfasis5 3 3 2 3" xfId="7035" xr:uid="{00000000-0005-0000-0000-0000781B0000}"/>
    <cellStyle name="20% - Énfasis5 3 3 2 3 2" xfId="7036" xr:uid="{00000000-0005-0000-0000-0000791B0000}"/>
    <cellStyle name="20% - Énfasis5 3 3 2 3 2 2" xfId="7037" xr:uid="{00000000-0005-0000-0000-00007A1B0000}"/>
    <cellStyle name="20% - Énfasis5 3 3 2 3 2 2 2" xfId="7038" xr:uid="{00000000-0005-0000-0000-00007B1B0000}"/>
    <cellStyle name="20% - Énfasis5 3 3 2 3 2 2 2 2" xfId="7039" xr:uid="{00000000-0005-0000-0000-00007C1B0000}"/>
    <cellStyle name="20% - Énfasis5 3 3 2 3 2 2 3" xfId="7040" xr:uid="{00000000-0005-0000-0000-00007D1B0000}"/>
    <cellStyle name="20% - Énfasis5 3 3 2 3 2 2 4" xfId="7041" xr:uid="{00000000-0005-0000-0000-00007E1B0000}"/>
    <cellStyle name="20% - Énfasis5 3 3 2 3 2 3" xfId="7042" xr:uid="{00000000-0005-0000-0000-00007F1B0000}"/>
    <cellStyle name="20% - Énfasis5 3 3 2 3 2 3 2" xfId="7043" xr:uid="{00000000-0005-0000-0000-0000801B0000}"/>
    <cellStyle name="20% - Énfasis5 3 3 2 3 2 4" xfId="7044" xr:uid="{00000000-0005-0000-0000-0000811B0000}"/>
    <cellStyle name="20% - Énfasis5 3 3 2 3 2 5" xfId="7045" xr:uid="{00000000-0005-0000-0000-0000821B0000}"/>
    <cellStyle name="20% - Énfasis5 3 3 2 3 3" xfId="7046" xr:uid="{00000000-0005-0000-0000-0000831B0000}"/>
    <cellStyle name="20% - Énfasis5 3 3 2 3 3 2" xfId="7047" xr:uid="{00000000-0005-0000-0000-0000841B0000}"/>
    <cellStyle name="20% - Énfasis5 3 3 2 3 3 2 2" xfId="7048" xr:uid="{00000000-0005-0000-0000-0000851B0000}"/>
    <cellStyle name="20% - Énfasis5 3 3 2 3 3 3" xfId="7049" xr:uid="{00000000-0005-0000-0000-0000861B0000}"/>
    <cellStyle name="20% - Énfasis5 3 3 2 3 3 3 2" xfId="7050" xr:uid="{00000000-0005-0000-0000-0000871B0000}"/>
    <cellStyle name="20% - Énfasis5 3 3 2 3 3 4" xfId="7051" xr:uid="{00000000-0005-0000-0000-0000881B0000}"/>
    <cellStyle name="20% - Énfasis5 3 3 2 3 3 5" xfId="7052" xr:uid="{00000000-0005-0000-0000-0000891B0000}"/>
    <cellStyle name="20% - Énfasis5 3 3 2 3 4" xfId="7053" xr:uid="{00000000-0005-0000-0000-00008A1B0000}"/>
    <cellStyle name="20% - Énfasis5 3 3 2 3 4 2" xfId="7054" xr:uid="{00000000-0005-0000-0000-00008B1B0000}"/>
    <cellStyle name="20% - Énfasis5 3 3 2 3 5" xfId="7055" xr:uid="{00000000-0005-0000-0000-00008C1B0000}"/>
    <cellStyle name="20% - Énfasis5 3 3 2 3 5 2" xfId="7056" xr:uid="{00000000-0005-0000-0000-00008D1B0000}"/>
    <cellStyle name="20% - Énfasis5 3 3 2 3 6" xfId="7057" xr:uid="{00000000-0005-0000-0000-00008E1B0000}"/>
    <cellStyle name="20% - Énfasis5 3 3 2 3 7" xfId="7058" xr:uid="{00000000-0005-0000-0000-00008F1B0000}"/>
    <cellStyle name="20% - Énfasis5 3 3 2 4" xfId="7059" xr:uid="{00000000-0005-0000-0000-0000901B0000}"/>
    <cellStyle name="20% - Énfasis5 3 3 2 4 2" xfId="7060" xr:uid="{00000000-0005-0000-0000-0000911B0000}"/>
    <cellStyle name="20% - Énfasis5 3 3 2 4 2 2" xfId="7061" xr:uid="{00000000-0005-0000-0000-0000921B0000}"/>
    <cellStyle name="20% - Énfasis5 3 3 2 4 2 2 2" xfId="7062" xr:uid="{00000000-0005-0000-0000-0000931B0000}"/>
    <cellStyle name="20% - Énfasis5 3 3 2 4 2 3" xfId="7063" xr:uid="{00000000-0005-0000-0000-0000941B0000}"/>
    <cellStyle name="20% - Énfasis5 3 3 2 4 2 4" xfId="7064" xr:uid="{00000000-0005-0000-0000-0000951B0000}"/>
    <cellStyle name="20% - Énfasis5 3 3 2 4 3" xfId="7065" xr:uid="{00000000-0005-0000-0000-0000961B0000}"/>
    <cellStyle name="20% - Énfasis5 3 3 2 4 3 2" xfId="7066" xr:uid="{00000000-0005-0000-0000-0000971B0000}"/>
    <cellStyle name="20% - Énfasis5 3 3 2 4 4" xfId="7067" xr:uid="{00000000-0005-0000-0000-0000981B0000}"/>
    <cellStyle name="20% - Énfasis5 3 3 2 4 5" xfId="7068" xr:uid="{00000000-0005-0000-0000-0000991B0000}"/>
    <cellStyle name="20% - Énfasis5 3 3 2 5" xfId="7069" xr:uid="{00000000-0005-0000-0000-00009A1B0000}"/>
    <cellStyle name="20% - Énfasis5 3 3 2 5 2" xfId="7070" xr:uid="{00000000-0005-0000-0000-00009B1B0000}"/>
    <cellStyle name="20% - Énfasis5 3 3 2 5 2 2" xfId="7071" xr:uid="{00000000-0005-0000-0000-00009C1B0000}"/>
    <cellStyle name="20% - Énfasis5 3 3 2 5 3" xfId="7072" xr:uid="{00000000-0005-0000-0000-00009D1B0000}"/>
    <cellStyle name="20% - Énfasis5 3 3 2 5 3 2" xfId="7073" xr:uid="{00000000-0005-0000-0000-00009E1B0000}"/>
    <cellStyle name="20% - Énfasis5 3 3 2 5 4" xfId="7074" xr:uid="{00000000-0005-0000-0000-00009F1B0000}"/>
    <cellStyle name="20% - Énfasis5 3 3 2 5 5" xfId="7075" xr:uid="{00000000-0005-0000-0000-0000A01B0000}"/>
    <cellStyle name="20% - Énfasis5 3 3 2 6" xfId="7076" xr:uid="{00000000-0005-0000-0000-0000A11B0000}"/>
    <cellStyle name="20% - Énfasis5 3 3 2 6 2" xfId="7077" xr:uid="{00000000-0005-0000-0000-0000A21B0000}"/>
    <cellStyle name="20% - Énfasis5 3 3 2 7" xfId="7078" xr:uid="{00000000-0005-0000-0000-0000A31B0000}"/>
    <cellStyle name="20% - Énfasis5 3 3 2 7 2" xfId="7079" xr:uid="{00000000-0005-0000-0000-0000A41B0000}"/>
    <cellStyle name="20% - Énfasis5 3 3 2 8" xfId="7080" xr:uid="{00000000-0005-0000-0000-0000A51B0000}"/>
    <cellStyle name="20% - Énfasis5 3 3 2 9" xfId="7081" xr:uid="{00000000-0005-0000-0000-0000A61B0000}"/>
    <cellStyle name="20% - Énfasis5 3 3 3" xfId="7082" xr:uid="{00000000-0005-0000-0000-0000A71B0000}"/>
    <cellStyle name="20% - Énfasis5 3 3 3 2" xfId="7083" xr:uid="{00000000-0005-0000-0000-0000A81B0000}"/>
    <cellStyle name="20% - Énfasis5 3 3 3 2 2" xfId="7084" xr:uid="{00000000-0005-0000-0000-0000A91B0000}"/>
    <cellStyle name="20% - Énfasis5 3 3 3 2 2 2" xfId="7085" xr:uid="{00000000-0005-0000-0000-0000AA1B0000}"/>
    <cellStyle name="20% - Énfasis5 3 3 3 2 2 2 2" xfId="7086" xr:uid="{00000000-0005-0000-0000-0000AB1B0000}"/>
    <cellStyle name="20% - Énfasis5 3 3 3 2 2 2 2 2" xfId="7087" xr:uid="{00000000-0005-0000-0000-0000AC1B0000}"/>
    <cellStyle name="20% - Énfasis5 3 3 3 2 2 2 3" xfId="7088" xr:uid="{00000000-0005-0000-0000-0000AD1B0000}"/>
    <cellStyle name="20% - Énfasis5 3 3 3 2 2 2 4" xfId="7089" xr:uid="{00000000-0005-0000-0000-0000AE1B0000}"/>
    <cellStyle name="20% - Énfasis5 3 3 3 2 2 3" xfId="7090" xr:uid="{00000000-0005-0000-0000-0000AF1B0000}"/>
    <cellStyle name="20% - Énfasis5 3 3 3 2 2 3 2" xfId="7091" xr:uid="{00000000-0005-0000-0000-0000B01B0000}"/>
    <cellStyle name="20% - Énfasis5 3 3 3 2 2 4" xfId="7092" xr:uid="{00000000-0005-0000-0000-0000B11B0000}"/>
    <cellStyle name="20% - Énfasis5 3 3 3 2 2 5" xfId="7093" xr:uid="{00000000-0005-0000-0000-0000B21B0000}"/>
    <cellStyle name="20% - Énfasis5 3 3 3 2 3" xfId="7094" xr:uid="{00000000-0005-0000-0000-0000B31B0000}"/>
    <cellStyle name="20% - Énfasis5 3 3 3 2 3 2" xfId="7095" xr:uid="{00000000-0005-0000-0000-0000B41B0000}"/>
    <cellStyle name="20% - Énfasis5 3 3 3 2 3 2 2" xfId="7096" xr:uid="{00000000-0005-0000-0000-0000B51B0000}"/>
    <cellStyle name="20% - Énfasis5 3 3 3 2 3 3" xfId="7097" xr:uid="{00000000-0005-0000-0000-0000B61B0000}"/>
    <cellStyle name="20% - Énfasis5 3 3 3 2 3 3 2" xfId="7098" xr:uid="{00000000-0005-0000-0000-0000B71B0000}"/>
    <cellStyle name="20% - Énfasis5 3 3 3 2 3 4" xfId="7099" xr:uid="{00000000-0005-0000-0000-0000B81B0000}"/>
    <cellStyle name="20% - Énfasis5 3 3 3 2 3 5" xfId="7100" xr:uid="{00000000-0005-0000-0000-0000B91B0000}"/>
    <cellStyle name="20% - Énfasis5 3 3 3 2 4" xfId="7101" xr:uid="{00000000-0005-0000-0000-0000BA1B0000}"/>
    <cellStyle name="20% - Énfasis5 3 3 3 2 4 2" xfId="7102" xr:uid="{00000000-0005-0000-0000-0000BB1B0000}"/>
    <cellStyle name="20% - Énfasis5 3 3 3 2 5" xfId="7103" xr:uid="{00000000-0005-0000-0000-0000BC1B0000}"/>
    <cellStyle name="20% - Énfasis5 3 3 3 2 5 2" xfId="7104" xr:uid="{00000000-0005-0000-0000-0000BD1B0000}"/>
    <cellStyle name="20% - Énfasis5 3 3 3 2 6" xfId="7105" xr:uid="{00000000-0005-0000-0000-0000BE1B0000}"/>
    <cellStyle name="20% - Énfasis5 3 3 3 2 7" xfId="7106" xr:uid="{00000000-0005-0000-0000-0000BF1B0000}"/>
    <cellStyle name="20% - Énfasis5 3 3 3 3" xfId="7107" xr:uid="{00000000-0005-0000-0000-0000C01B0000}"/>
    <cellStyle name="20% - Énfasis5 3 3 3 3 2" xfId="7108" xr:uid="{00000000-0005-0000-0000-0000C11B0000}"/>
    <cellStyle name="20% - Énfasis5 3 3 3 3 2 2" xfId="7109" xr:uid="{00000000-0005-0000-0000-0000C21B0000}"/>
    <cellStyle name="20% - Énfasis5 3 3 3 3 2 2 2" xfId="7110" xr:uid="{00000000-0005-0000-0000-0000C31B0000}"/>
    <cellStyle name="20% - Énfasis5 3 3 3 3 2 3" xfId="7111" xr:uid="{00000000-0005-0000-0000-0000C41B0000}"/>
    <cellStyle name="20% - Énfasis5 3 3 3 3 2 4" xfId="7112" xr:uid="{00000000-0005-0000-0000-0000C51B0000}"/>
    <cellStyle name="20% - Énfasis5 3 3 3 3 3" xfId="7113" xr:uid="{00000000-0005-0000-0000-0000C61B0000}"/>
    <cellStyle name="20% - Énfasis5 3 3 3 3 3 2" xfId="7114" xr:uid="{00000000-0005-0000-0000-0000C71B0000}"/>
    <cellStyle name="20% - Énfasis5 3 3 3 3 4" xfId="7115" xr:uid="{00000000-0005-0000-0000-0000C81B0000}"/>
    <cellStyle name="20% - Énfasis5 3 3 3 3 5" xfId="7116" xr:uid="{00000000-0005-0000-0000-0000C91B0000}"/>
    <cellStyle name="20% - Énfasis5 3 3 3 4" xfId="7117" xr:uid="{00000000-0005-0000-0000-0000CA1B0000}"/>
    <cellStyle name="20% - Énfasis5 3 3 3 4 2" xfId="7118" xr:uid="{00000000-0005-0000-0000-0000CB1B0000}"/>
    <cellStyle name="20% - Énfasis5 3 3 3 4 2 2" xfId="7119" xr:uid="{00000000-0005-0000-0000-0000CC1B0000}"/>
    <cellStyle name="20% - Énfasis5 3 3 3 4 3" xfId="7120" xr:uid="{00000000-0005-0000-0000-0000CD1B0000}"/>
    <cellStyle name="20% - Énfasis5 3 3 3 4 3 2" xfId="7121" xr:uid="{00000000-0005-0000-0000-0000CE1B0000}"/>
    <cellStyle name="20% - Énfasis5 3 3 3 4 4" xfId="7122" xr:uid="{00000000-0005-0000-0000-0000CF1B0000}"/>
    <cellStyle name="20% - Énfasis5 3 3 3 4 5" xfId="7123" xr:uid="{00000000-0005-0000-0000-0000D01B0000}"/>
    <cellStyle name="20% - Énfasis5 3 3 3 5" xfId="7124" xr:uid="{00000000-0005-0000-0000-0000D11B0000}"/>
    <cellStyle name="20% - Énfasis5 3 3 3 5 2" xfId="7125" xr:uid="{00000000-0005-0000-0000-0000D21B0000}"/>
    <cellStyle name="20% - Énfasis5 3 3 3 6" xfId="7126" xr:uid="{00000000-0005-0000-0000-0000D31B0000}"/>
    <cellStyle name="20% - Énfasis5 3 3 3 6 2" xfId="7127" xr:uid="{00000000-0005-0000-0000-0000D41B0000}"/>
    <cellStyle name="20% - Énfasis5 3 3 3 7" xfId="7128" xr:uid="{00000000-0005-0000-0000-0000D51B0000}"/>
    <cellStyle name="20% - Énfasis5 3 3 3 8" xfId="7129" xr:uid="{00000000-0005-0000-0000-0000D61B0000}"/>
    <cellStyle name="20% - Énfasis5 3 3 4" xfId="7130" xr:uid="{00000000-0005-0000-0000-0000D71B0000}"/>
    <cellStyle name="20% - Énfasis5 3 3 4 2" xfId="7131" xr:uid="{00000000-0005-0000-0000-0000D81B0000}"/>
    <cellStyle name="20% - Énfasis5 3 3 4 2 2" xfId="7132" xr:uid="{00000000-0005-0000-0000-0000D91B0000}"/>
    <cellStyle name="20% - Énfasis5 3 3 4 2 2 2" xfId="7133" xr:uid="{00000000-0005-0000-0000-0000DA1B0000}"/>
    <cellStyle name="20% - Énfasis5 3 3 4 2 2 2 2" xfId="7134" xr:uid="{00000000-0005-0000-0000-0000DB1B0000}"/>
    <cellStyle name="20% - Énfasis5 3 3 4 2 2 3" xfId="7135" xr:uid="{00000000-0005-0000-0000-0000DC1B0000}"/>
    <cellStyle name="20% - Énfasis5 3 3 4 2 2 4" xfId="7136" xr:uid="{00000000-0005-0000-0000-0000DD1B0000}"/>
    <cellStyle name="20% - Énfasis5 3 3 4 2 3" xfId="7137" xr:uid="{00000000-0005-0000-0000-0000DE1B0000}"/>
    <cellStyle name="20% - Énfasis5 3 3 4 2 3 2" xfId="7138" xr:uid="{00000000-0005-0000-0000-0000DF1B0000}"/>
    <cellStyle name="20% - Énfasis5 3 3 4 2 4" xfId="7139" xr:uid="{00000000-0005-0000-0000-0000E01B0000}"/>
    <cellStyle name="20% - Énfasis5 3 3 4 2 5" xfId="7140" xr:uid="{00000000-0005-0000-0000-0000E11B0000}"/>
    <cellStyle name="20% - Énfasis5 3 3 4 3" xfId="7141" xr:uid="{00000000-0005-0000-0000-0000E21B0000}"/>
    <cellStyle name="20% - Énfasis5 3 3 4 3 2" xfId="7142" xr:uid="{00000000-0005-0000-0000-0000E31B0000}"/>
    <cellStyle name="20% - Énfasis5 3 3 4 3 2 2" xfId="7143" xr:uid="{00000000-0005-0000-0000-0000E41B0000}"/>
    <cellStyle name="20% - Énfasis5 3 3 4 3 3" xfId="7144" xr:uid="{00000000-0005-0000-0000-0000E51B0000}"/>
    <cellStyle name="20% - Énfasis5 3 3 4 3 3 2" xfId="7145" xr:uid="{00000000-0005-0000-0000-0000E61B0000}"/>
    <cellStyle name="20% - Énfasis5 3 3 4 3 4" xfId="7146" xr:uid="{00000000-0005-0000-0000-0000E71B0000}"/>
    <cellStyle name="20% - Énfasis5 3 3 4 3 5" xfId="7147" xr:uid="{00000000-0005-0000-0000-0000E81B0000}"/>
    <cellStyle name="20% - Énfasis5 3 3 4 4" xfId="7148" xr:uid="{00000000-0005-0000-0000-0000E91B0000}"/>
    <cellStyle name="20% - Énfasis5 3 3 4 4 2" xfId="7149" xr:uid="{00000000-0005-0000-0000-0000EA1B0000}"/>
    <cellStyle name="20% - Énfasis5 3 3 4 5" xfId="7150" xr:uid="{00000000-0005-0000-0000-0000EB1B0000}"/>
    <cellStyle name="20% - Énfasis5 3 3 4 5 2" xfId="7151" xr:uid="{00000000-0005-0000-0000-0000EC1B0000}"/>
    <cellStyle name="20% - Énfasis5 3 3 4 6" xfId="7152" xr:uid="{00000000-0005-0000-0000-0000ED1B0000}"/>
    <cellStyle name="20% - Énfasis5 3 3 4 7" xfId="7153" xr:uid="{00000000-0005-0000-0000-0000EE1B0000}"/>
    <cellStyle name="20% - Énfasis5 3 3 5" xfId="7154" xr:uid="{00000000-0005-0000-0000-0000EF1B0000}"/>
    <cellStyle name="20% - Énfasis5 3 3 5 2" xfId="7155" xr:uid="{00000000-0005-0000-0000-0000F01B0000}"/>
    <cellStyle name="20% - Énfasis5 3 3 5 2 2" xfId="7156" xr:uid="{00000000-0005-0000-0000-0000F11B0000}"/>
    <cellStyle name="20% - Énfasis5 3 3 5 2 2 2" xfId="7157" xr:uid="{00000000-0005-0000-0000-0000F21B0000}"/>
    <cellStyle name="20% - Énfasis5 3 3 5 2 3" xfId="7158" xr:uid="{00000000-0005-0000-0000-0000F31B0000}"/>
    <cellStyle name="20% - Énfasis5 3 3 5 2 4" xfId="7159" xr:uid="{00000000-0005-0000-0000-0000F41B0000}"/>
    <cellStyle name="20% - Énfasis5 3 3 5 3" xfId="7160" xr:uid="{00000000-0005-0000-0000-0000F51B0000}"/>
    <cellStyle name="20% - Énfasis5 3 3 5 3 2" xfId="7161" xr:uid="{00000000-0005-0000-0000-0000F61B0000}"/>
    <cellStyle name="20% - Énfasis5 3 3 5 4" xfId="7162" xr:uid="{00000000-0005-0000-0000-0000F71B0000}"/>
    <cellStyle name="20% - Énfasis5 3 3 5 5" xfId="7163" xr:uid="{00000000-0005-0000-0000-0000F81B0000}"/>
    <cellStyle name="20% - Énfasis5 3 3 6" xfId="7164" xr:uid="{00000000-0005-0000-0000-0000F91B0000}"/>
    <cellStyle name="20% - Énfasis5 3 3 6 2" xfId="7165" xr:uid="{00000000-0005-0000-0000-0000FA1B0000}"/>
    <cellStyle name="20% - Énfasis5 3 3 6 2 2" xfId="7166" xr:uid="{00000000-0005-0000-0000-0000FB1B0000}"/>
    <cellStyle name="20% - Énfasis5 3 3 6 3" xfId="7167" xr:uid="{00000000-0005-0000-0000-0000FC1B0000}"/>
    <cellStyle name="20% - Énfasis5 3 3 6 3 2" xfId="7168" xr:uid="{00000000-0005-0000-0000-0000FD1B0000}"/>
    <cellStyle name="20% - Énfasis5 3 3 6 4" xfId="7169" xr:uid="{00000000-0005-0000-0000-0000FE1B0000}"/>
    <cellStyle name="20% - Énfasis5 3 3 6 5" xfId="7170" xr:uid="{00000000-0005-0000-0000-0000FF1B0000}"/>
    <cellStyle name="20% - Énfasis5 3 3 7" xfId="7171" xr:uid="{00000000-0005-0000-0000-0000001C0000}"/>
    <cellStyle name="20% - Énfasis5 3 3 7 2" xfId="7172" xr:uid="{00000000-0005-0000-0000-0000011C0000}"/>
    <cellStyle name="20% - Énfasis5 3 3 8" xfId="7173" xr:uid="{00000000-0005-0000-0000-0000021C0000}"/>
    <cellStyle name="20% - Énfasis5 3 3 8 2" xfId="7174" xr:uid="{00000000-0005-0000-0000-0000031C0000}"/>
    <cellStyle name="20% - Énfasis5 3 3 9" xfId="7175" xr:uid="{00000000-0005-0000-0000-0000041C0000}"/>
    <cellStyle name="20% - Énfasis5 3 4" xfId="7176" xr:uid="{00000000-0005-0000-0000-0000051C0000}"/>
    <cellStyle name="20% - Énfasis5 3 4 2" xfId="7177" xr:uid="{00000000-0005-0000-0000-0000061C0000}"/>
    <cellStyle name="20% - Énfasis5 3 4 2 2" xfId="7178" xr:uid="{00000000-0005-0000-0000-0000071C0000}"/>
    <cellStyle name="20% - Énfasis5 3 4 2 2 2" xfId="7179" xr:uid="{00000000-0005-0000-0000-0000081C0000}"/>
    <cellStyle name="20% - Énfasis5 3 4 2 2 2 2" xfId="7180" xr:uid="{00000000-0005-0000-0000-0000091C0000}"/>
    <cellStyle name="20% - Énfasis5 3 4 2 2 2 2 2" xfId="7181" xr:uid="{00000000-0005-0000-0000-00000A1C0000}"/>
    <cellStyle name="20% - Énfasis5 3 4 2 2 2 2 2 2" xfId="7182" xr:uid="{00000000-0005-0000-0000-00000B1C0000}"/>
    <cellStyle name="20% - Énfasis5 3 4 2 2 2 2 3" xfId="7183" xr:uid="{00000000-0005-0000-0000-00000C1C0000}"/>
    <cellStyle name="20% - Énfasis5 3 4 2 2 2 2 4" xfId="7184" xr:uid="{00000000-0005-0000-0000-00000D1C0000}"/>
    <cellStyle name="20% - Énfasis5 3 4 2 2 2 3" xfId="7185" xr:uid="{00000000-0005-0000-0000-00000E1C0000}"/>
    <cellStyle name="20% - Énfasis5 3 4 2 2 2 3 2" xfId="7186" xr:uid="{00000000-0005-0000-0000-00000F1C0000}"/>
    <cellStyle name="20% - Énfasis5 3 4 2 2 2 4" xfId="7187" xr:uid="{00000000-0005-0000-0000-0000101C0000}"/>
    <cellStyle name="20% - Énfasis5 3 4 2 2 2 5" xfId="7188" xr:uid="{00000000-0005-0000-0000-0000111C0000}"/>
    <cellStyle name="20% - Énfasis5 3 4 2 2 3" xfId="7189" xr:uid="{00000000-0005-0000-0000-0000121C0000}"/>
    <cellStyle name="20% - Énfasis5 3 4 2 2 3 2" xfId="7190" xr:uid="{00000000-0005-0000-0000-0000131C0000}"/>
    <cellStyle name="20% - Énfasis5 3 4 2 2 3 2 2" xfId="7191" xr:uid="{00000000-0005-0000-0000-0000141C0000}"/>
    <cellStyle name="20% - Énfasis5 3 4 2 2 3 3" xfId="7192" xr:uid="{00000000-0005-0000-0000-0000151C0000}"/>
    <cellStyle name="20% - Énfasis5 3 4 2 2 3 4" xfId="7193" xr:uid="{00000000-0005-0000-0000-0000161C0000}"/>
    <cellStyle name="20% - Énfasis5 3 4 2 2 4" xfId="7194" xr:uid="{00000000-0005-0000-0000-0000171C0000}"/>
    <cellStyle name="20% - Énfasis5 3 4 2 2 4 2" xfId="7195" xr:uid="{00000000-0005-0000-0000-0000181C0000}"/>
    <cellStyle name="20% - Énfasis5 3 4 2 2 5" xfId="7196" xr:uid="{00000000-0005-0000-0000-0000191C0000}"/>
    <cellStyle name="20% - Énfasis5 3 4 2 2 6" xfId="7197" xr:uid="{00000000-0005-0000-0000-00001A1C0000}"/>
    <cellStyle name="20% - Énfasis5 3 4 2 3" xfId="7198" xr:uid="{00000000-0005-0000-0000-00001B1C0000}"/>
    <cellStyle name="20% - Énfasis5 3 4 2 3 2" xfId="7199" xr:uid="{00000000-0005-0000-0000-00001C1C0000}"/>
    <cellStyle name="20% - Énfasis5 3 4 2 3 2 2" xfId="7200" xr:uid="{00000000-0005-0000-0000-00001D1C0000}"/>
    <cellStyle name="20% - Énfasis5 3 4 2 3 2 2 2" xfId="7201" xr:uid="{00000000-0005-0000-0000-00001E1C0000}"/>
    <cellStyle name="20% - Énfasis5 3 4 2 3 2 3" xfId="7202" xr:uid="{00000000-0005-0000-0000-00001F1C0000}"/>
    <cellStyle name="20% - Énfasis5 3 4 2 3 2 4" xfId="7203" xr:uid="{00000000-0005-0000-0000-0000201C0000}"/>
    <cellStyle name="20% - Énfasis5 3 4 2 3 3" xfId="7204" xr:uid="{00000000-0005-0000-0000-0000211C0000}"/>
    <cellStyle name="20% - Énfasis5 3 4 2 3 3 2" xfId="7205" xr:uid="{00000000-0005-0000-0000-0000221C0000}"/>
    <cellStyle name="20% - Énfasis5 3 4 2 3 4" xfId="7206" xr:uid="{00000000-0005-0000-0000-0000231C0000}"/>
    <cellStyle name="20% - Énfasis5 3 4 2 3 5" xfId="7207" xr:uid="{00000000-0005-0000-0000-0000241C0000}"/>
    <cellStyle name="20% - Énfasis5 3 4 2 4" xfId="7208" xr:uid="{00000000-0005-0000-0000-0000251C0000}"/>
    <cellStyle name="20% - Énfasis5 3 4 2 4 2" xfId="7209" xr:uid="{00000000-0005-0000-0000-0000261C0000}"/>
    <cellStyle name="20% - Énfasis5 3 4 2 4 2 2" xfId="7210" xr:uid="{00000000-0005-0000-0000-0000271C0000}"/>
    <cellStyle name="20% - Énfasis5 3 4 2 4 3" xfId="7211" xr:uid="{00000000-0005-0000-0000-0000281C0000}"/>
    <cellStyle name="20% - Énfasis5 3 4 2 4 4" xfId="7212" xr:uid="{00000000-0005-0000-0000-0000291C0000}"/>
    <cellStyle name="20% - Énfasis5 3 4 2 5" xfId="7213" xr:uid="{00000000-0005-0000-0000-00002A1C0000}"/>
    <cellStyle name="20% - Énfasis5 3 4 2 5 2" xfId="7214" xr:uid="{00000000-0005-0000-0000-00002B1C0000}"/>
    <cellStyle name="20% - Énfasis5 3 4 2 6" xfId="7215" xr:uid="{00000000-0005-0000-0000-00002C1C0000}"/>
    <cellStyle name="20% - Énfasis5 3 4 2 7" xfId="7216" xr:uid="{00000000-0005-0000-0000-00002D1C0000}"/>
    <cellStyle name="20% - Énfasis5 3 4 3" xfId="7217" xr:uid="{00000000-0005-0000-0000-00002E1C0000}"/>
    <cellStyle name="20% - Énfasis5 3 4 3 2" xfId="7218" xr:uid="{00000000-0005-0000-0000-00002F1C0000}"/>
    <cellStyle name="20% - Énfasis5 3 4 3 2 2" xfId="7219" xr:uid="{00000000-0005-0000-0000-0000301C0000}"/>
    <cellStyle name="20% - Énfasis5 3 4 3 2 2 2" xfId="7220" xr:uid="{00000000-0005-0000-0000-0000311C0000}"/>
    <cellStyle name="20% - Énfasis5 3 4 3 2 2 2 2" xfId="7221" xr:uid="{00000000-0005-0000-0000-0000321C0000}"/>
    <cellStyle name="20% - Énfasis5 3 4 3 2 2 3" xfId="7222" xr:uid="{00000000-0005-0000-0000-0000331C0000}"/>
    <cellStyle name="20% - Énfasis5 3 4 3 2 2 4" xfId="7223" xr:uid="{00000000-0005-0000-0000-0000341C0000}"/>
    <cellStyle name="20% - Énfasis5 3 4 3 2 3" xfId="7224" xr:uid="{00000000-0005-0000-0000-0000351C0000}"/>
    <cellStyle name="20% - Énfasis5 3 4 3 2 3 2" xfId="7225" xr:uid="{00000000-0005-0000-0000-0000361C0000}"/>
    <cellStyle name="20% - Énfasis5 3 4 3 2 4" xfId="7226" xr:uid="{00000000-0005-0000-0000-0000371C0000}"/>
    <cellStyle name="20% - Énfasis5 3 4 3 2 5" xfId="7227" xr:uid="{00000000-0005-0000-0000-0000381C0000}"/>
    <cellStyle name="20% - Énfasis5 3 4 3 3" xfId="7228" xr:uid="{00000000-0005-0000-0000-0000391C0000}"/>
    <cellStyle name="20% - Énfasis5 3 4 3 3 2" xfId="7229" xr:uid="{00000000-0005-0000-0000-00003A1C0000}"/>
    <cellStyle name="20% - Énfasis5 3 4 3 3 2 2" xfId="7230" xr:uid="{00000000-0005-0000-0000-00003B1C0000}"/>
    <cellStyle name="20% - Énfasis5 3 4 3 3 3" xfId="7231" xr:uid="{00000000-0005-0000-0000-00003C1C0000}"/>
    <cellStyle name="20% - Énfasis5 3 4 3 3 3 2" xfId="7232" xr:uid="{00000000-0005-0000-0000-00003D1C0000}"/>
    <cellStyle name="20% - Énfasis5 3 4 3 3 4" xfId="7233" xr:uid="{00000000-0005-0000-0000-00003E1C0000}"/>
    <cellStyle name="20% - Énfasis5 3 4 3 3 5" xfId="7234" xr:uid="{00000000-0005-0000-0000-00003F1C0000}"/>
    <cellStyle name="20% - Énfasis5 3 4 3 4" xfId="7235" xr:uid="{00000000-0005-0000-0000-0000401C0000}"/>
    <cellStyle name="20% - Énfasis5 3 4 3 4 2" xfId="7236" xr:uid="{00000000-0005-0000-0000-0000411C0000}"/>
    <cellStyle name="20% - Énfasis5 3 4 3 5" xfId="7237" xr:uid="{00000000-0005-0000-0000-0000421C0000}"/>
    <cellStyle name="20% - Énfasis5 3 4 3 5 2" xfId="7238" xr:uid="{00000000-0005-0000-0000-0000431C0000}"/>
    <cellStyle name="20% - Énfasis5 3 4 3 6" xfId="7239" xr:uid="{00000000-0005-0000-0000-0000441C0000}"/>
    <cellStyle name="20% - Énfasis5 3 4 3 7" xfId="7240" xr:uid="{00000000-0005-0000-0000-0000451C0000}"/>
    <cellStyle name="20% - Énfasis5 3 4 4" xfId="7241" xr:uid="{00000000-0005-0000-0000-0000461C0000}"/>
    <cellStyle name="20% - Énfasis5 3 4 4 2" xfId="7242" xr:uid="{00000000-0005-0000-0000-0000471C0000}"/>
    <cellStyle name="20% - Énfasis5 3 4 4 2 2" xfId="7243" xr:uid="{00000000-0005-0000-0000-0000481C0000}"/>
    <cellStyle name="20% - Énfasis5 3 4 4 2 2 2" xfId="7244" xr:uid="{00000000-0005-0000-0000-0000491C0000}"/>
    <cellStyle name="20% - Énfasis5 3 4 4 2 3" xfId="7245" xr:uid="{00000000-0005-0000-0000-00004A1C0000}"/>
    <cellStyle name="20% - Énfasis5 3 4 4 2 4" xfId="7246" xr:uid="{00000000-0005-0000-0000-00004B1C0000}"/>
    <cellStyle name="20% - Énfasis5 3 4 4 3" xfId="7247" xr:uid="{00000000-0005-0000-0000-00004C1C0000}"/>
    <cellStyle name="20% - Énfasis5 3 4 4 3 2" xfId="7248" xr:uid="{00000000-0005-0000-0000-00004D1C0000}"/>
    <cellStyle name="20% - Énfasis5 3 4 4 4" xfId="7249" xr:uid="{00000000-0005-0000-0000-00004E1C0000}"/>
    <cellStyle name="20% - Énfasis5 3 4 4 5" xfId="7250" xr:uid="{00000000-0005-0000-0000-00004F1C0000}"/>
    <cellStyle name="20% - Énfasis5 3 4 5" xfId="7251" xr:uid="{00000000-0005-0000-0000-0000501C0000}"/>
    <cellStyle name="20% - Énfasis5 3 4 5 2" xfId="7252" xr:uid="{00000000-0005-0000-0000-0000511C0000}"/>
    <cellStyle name="20% - Énfasis5 3 4 5 2 2" xfId="7253" xr:uid="{00000000-0005-0000-0000-0000521C0000}"/>
    <cellStyle name="20% - Énfasis5 3 4 5 3" xfId="7254" xr:uid="{00000000-0005-0000-0000-0000531C0000}"/>
    <cellStyle name="20% - Énfasis5 3 4 5 3 2" xfId="7255" xr:uid="{00000000-0005-0000-0000-0000541C0000}"/>
    <cellStyle name="20% - Énfasis5 3 4 5 4" xfId="7256" xr:uid="{00000000-0005-0000-0000-0000551C0000}"/>
    <cellStyle name="20% - Énfasis5 3 4 5 5" xfId="7257" xr:uid="{00000000-0005-0000-0000-0000561C0000}"/>
    <cellStyle name="20% - Énfasis5 3 4 6" xfId="7258" xr:uid="{00000000-0005-0000-0000-0000571C0000}"/>
    <cellStyle name="20% - Énfasis5 3 4 6 2" xfId="7259" xr:uid="{00000000-0005-0000-0000-0000581C0000}"/>
    <cellStyle name="20% - Énfasis5 3 4 7" xfId="7260" xr:uid="{00000000-0005-0000-0000-0000591C0000}"/>
    <cellStyle name="20% - Énfasis5 3 4 7 2" xfId="7261" xr:uid="{00000000-0005-0000-0000-00005A1C0000}"/>
    <cellStyle name="20% - Énfasis5 3 4 8" xfId="7262" xr:uid="{00000000-0005-0000-0000-00005B1C0000}"/>
    <cellStyle name="20% - Énfasis5 3 4 9" xfId="7263" xr:uid="{00000000-0005-0000-0000-00005C1C0000}"/>
    <cellStyle name="20% - Énfasis5 3 5" xfId="7264" xr:uid="{00000000-0005-0000-0000-00005D1C0000}"/>
    <cellStyle name="20% - Énfasis5 3 5 2" xfId="7265" xr:uid="{00000000-0005-0000-0000-00005E1C0000}"/>
    <cellStyle name="20% - Énfasis5 3 5 2 2" xfId="7266" xr:uid="{00000000-0005-0000-0000-00005F1C0000}"/>
    <cellStyle name="20% - Énfasis5 3 5 2 2 2" xfId="7267" xr:uid="{00000000-0005-0000-0000-0000601C0000}"/>
    <cellStyle name="20% - Énfasis5 3 5 2 2 2 2" xfId="7268" xr:uid="{00000000-0005-0000-0000-0000611C0000}"/>
    <cellStyle name="20% - Énfasis5 3 5 2 2 2 2 2" xfId="7269" xr:uid="{00000000-0005-0000-0000-0000621C0000}"/>
    <cellStyle name="20% - Énfasis5 3 5 2 2 2 3" xfId="7270" xr:uid="{00000000-0005-0000-0000-0000631C0000}"/>
    <cellStyle name="20% - Énfasis5 3 5 2 2 2 4" xfId="7271" xr:uid="{00000000-0005-0000-0000-0000641C0000}"/>
    <cellStyle name="20% - Énfasis5 3 5 2 2 3" xfId="7272" xr:uid="{00000000-0005-0000-0000-0000651C0000}"/>
    <cellStyle name="20% - Énfasis5 3 5 2 2 3 2" xfId="7273" xr:uid="{00000000-0005-0000-0000-0000661C0000}"/>
    <cellStyle name="20% - Énfasis5 3 5 2 2 4" xfId="7274" xr:uid="{00000000-0005-0000-0000-0000671C0000}"/>
    <cellStyle name="20% - Énfasis5 3 5 2 2 5" xfId="7275" xr:uid="{00000000-0005-0000-0000-0000681C0000}"/>
    <cellStyle name="20% - Énfasis5 3 5 2 3" xfId="7276" xr:uid="{00000000-0005-0000-0000-0000691C0000}"/>
    <cellStyle name="20% - Énfasis5 3 5 2 3 2" xfId="7277" xr:uid="{00000000-0005-0000-0000-00006A1C0000}"/>
    <cellStyle name="20% - Énfasis5 3 5 2 3 2 2" xfId="7278" xr:uid="{00000000-0005-0000-0000-00006B1C0000}"/>
    <cellStyle name="20% - Énfasis5 3 5 2 3 3" xfId="7279" xr:uid="{00000000-0005-0000-0000-00006C1C0000}"/>
    <cellStyle name="20% - Énfasis5 3 5 2 3 3 2" xfId="7280" xr:uid="{00000000-0005-0000-0000-00006D1C0000}"/>
    <cellStyle name="20% - Énfasis5 3 5 2 3 4" xfId="7281" xr:uid="{00000000-0005-0000-0000-00006E1C0000}"/>
    <cellStyle name="20% - Énfasis5 3 5 2 3 5" xfId="7282" xr:uid="{00000000-0005-0000-0000-00006F1C0000}"/>
    <cellStyle name="20% - Énfasis5 3 5 2 4" xfId="7283" xr:uid="{00000000-0005-0000-0000-0000701C0000}"/>
    <cellStyle name="20% - Énfasis5 3 5 2 4 2" xfId="7284" xr:uid="{00000000-0005-0000-0000-0000711C0000}"/>
    <cellStyle name="20% - Énfasis5 3 5 2 5" xfId="7285" xr:uid="{00000000-0005-0000-0000-0000721C0000}"/>
    <cellStyle name="20% - Énfasis5 3 5 2 5 2" xfId="7286" xr:uid="{00000000-0005-0000-0000-0000731C0000}"/>
    <cellStyle name="20% - Énfasis5 3 5 2 6" xfId="7287" xr:uid="{00000000-0005-0000-0000-0000741C0000}"/>
    <cellStyle name="20% - Énfasis5 3 5 2 7" xfId="7288" xr:uid="{00000000-0005-0000-0000-0000751C0000}"/>
    <cellStyle name="20% - Énfasis5 3 5 3" xfId="7289" xr:uid="{00000000-0005-0000-0000-0000761C0000}"/>
    <cellStyle name="20% - Énfasis5 3 5 3 2" xfId="7290" xr:uid="{00000000-0005-0000-0000-0000771C0000}"/>
    <cellStyle name="20% - Énfasis5 3 5 3 2 2" xfId="7291" xr:uid="{00000000-0005-0000-0000-0000781C0000}"/>
    <cellStyle name="20% - Énfasis5 3 5 3 2 2 2" xfId="7292" xr:uid="{00000000-0005-0000-0000-0000791C0000}"/>
    <cellStyle name="20% - Énfasis5 3 5 3 2 3" xfId="7293" xr:uid="{00000000-0005-0000-0000-00007A1C0000}"/>
    <cellStyle name="20% - Énfasis5 3 5 3 2 4" xfId="7294" xr:uid="{00000000-0005-0000-0000-00007B1C0000}"/>
    <cellStyle name="20% - Énfasis5 3 5 3 3" xfId="7295" xr:uid="{00000000-0005-0000-0000-00007C1C0000}"/>
    <cellStyle name="20% - Énfasis5 3 5 3 3 2" xfId="7296" xr:uid="{00000000-0005-0000-0000-00007D1C0000}"/>
    <cellStyle name="20% - Énfasis5 3 5 3 4" xfId="7297" xr:uid="{00000000-0005-0000-0000-00007E1C0000}"/>
    <cellStyle name="20% - Énfasis5 3 5 3 5" xfId="7298" xr:uid="{00000000-0005-0000-0000-00007F1C0000}"/>
    <cellStyle name="20% - Énfasis5 3 5 4" xfId="7299" xr:uid="{00000000-0005-0000-0000-0000801C0000}"/>
    <cellStyle name="20% - Énfasis5 3 5 4 2" xfId="7300" xr:uid="{00000000-0005-0000-0000-0000811C0000}"/>
    <cellStyle name="20% - Énfasis5 3 5 4 2 2" xfId="7301" xr:uid="{00000000-0005-0000-0000-0000821C0000}"/>
    <cellStyle name="20% - Énfasis5 3 5 4 3" xfId="7302" xr:uid="{00000000-0005-0000-0000-0000831C0000}"/>
    <cellStyle name="20% - Énfasis5 3 5 4 3 2" xfId="7303" xr:uid="{00000000-0005-0000-0000-0000841C0000}"/>
    <cellStyle name="20% - Énfasis5 3 5 4 4" xfId="7304" xr:uid="{00000000-0005-0000-0000-0000851C0000}"/>
    <cellStyle name="20% - Énfasis5 3 5 4 5" xfId="7305" xr:uid="{00000000-0005-0000-0000-0000861C0000}"/>
    <cellStyle name="20% - Énfasis5 3 5 5" xfId="7306" xr:uid="{00000000-0005-0000-0000-0000871C0000}"/>
    <cellStyle name="20% - Énfasis5 3 5 5 2" xfId="7307" xr:uid="{00000000-0005-0000-0000-0000881C0000}"/>
    <cellStyle name="20% - Énfasis5 3 5 6" xfId="7308" xr:uid="{00000000-0005-0000-0000-0000891C0000}"/>
    <cellStyle name="20% - Énfasis5 3 5 6 2" xfId="7309" xr:uid="{00000000-0005-0000-0000-00008A1C0000}"/>
    <cellStyle name="20% - Énfasis5 3 5 7" xfId="7310" xr:uid="{00000000-0005-0000-0000-00008B1C0000}"/>
    <cellStyle name="20% - Énfasis5 3 5 8" xfId="7311" xr:uid="{00000000-0005-0000-0000-00008C1C0000}"/>
    <cellStyle name="20% - Énfasis5 3 6" xfId="7312" xr:uid="{00000000-0005-0000-0000-00008D1C0000}"/>
    <cellStyle name="20% - Énfasis5 3 6 2" xfId="7313" xr:uid="{00000000-0005-0000-0000-00008E1C0000}"/>
    <cellStyle name="20% - Énfasis5 3 6 2 2" xfId="7314" xr:uid="{00000000-0005-0000-0000-00008F1C0000}"/>
    <cellStyle name="20% - Énfasis5 3 6 2 2 2" xfId="7315" xr:uid="{00000000-0005-0000-0000-0000901C0000}"/>
    <cellStyle name="20% - Énfasis5 3 6 2 2 2 2" xfId="7316" xr:uid="{00000000-0005-0000-0000-0000911C0000}"/>
    <cellStyle name="20% - Énfasis5 3 6 2 2 3" xfId="7317" xr:uid="{00000000-0005-0000-0000-0000921C0000}"/>
    <cellStyle name="20% - Énfasis5 3 6 2 2 4" xfId="7318" xr:uid="{00000000-0005-0000-0000-0000931C0000}"/>
    <cellStyle name="20% - Énfasis5 3 6 2 3" xfId="7319" xr:uid="{00000000-0005-0000-0000-0000941C0000}"/>
    <cellStyle name="20% - Énfasis5 3 6 2 3 2" xfId="7320" xr:uid="{00000000-0005-0000-0000-0000951C0000}"/>
    <cellStyle name="20% - Énfasis5 3 6 2 4" xfId="7321" xr:uid="{00000000-0005-0000-0000-0000961C0000}"/>
    <cellStyle name="20% - Énfasis5 3 6 2 5" xfId="7322" xr:uid="{00000000-0005-0000-0000-0000971C0000}"/>
    <cellStyle name="20% - Énfasis5 3 6 3" xfId="7323" xr:uid="{00000000-0005-0000-0000-0000981C0000}"/>
    <cellStyle name="20% - Énfasis5 3 6 3 2" xfId="7324" xr:uid="{00000000-0005-0000-0000-0000991C0000}"/>
    <cellStyle name="20% - Énfasis5 3 6 3 2 2" xfId="7325" xr:uid="{00000000-0005-0000-0000-00009A1C0000}"/>
    <cellStyle name="20% - Énfasis5 3 6 3 3" xfId="7326" xr:uid="{00000000-0005-0000-0000-00009B1C0000}"/>
    <cellStyle name="20% - Énfasis5 3 6 3 3 2" xfId="7327" xr:uid="{00000000-0005-0000-0000-00009C1C0000}"/>
    <cellStyle name="20% - Énfasis5 3 6 3 4" xfId="7328" xr:uid="{00000000-0005-0000-0000-00009D1C0000}"/>
    <cellStyle name="20% - Énfasis5 3 6 3 5" xfId="7329" xr:uid="{00000000-0005-0000-0000-00009E1C0000}"/>
    <cellStyle name="20% - Énfasis5 3 6 4" xfId="7330" xr:uid="{00000000-0005-0000-0000-00009F1C0000}"/>
    <cellStyle name="20% - Énfasis5 3 6 4 2" xfId="7331" xr:uid="{00000000-0005-0000-0000-0000A01C0000}"/>
    <cellStyle name="20% - Énfasis5 3 6 5" xfId="7332" xr:uid="{00000000-0005-0000-0000-0000A11C0000}"/>
    <cellStyle name="20% - Énfasis5 3 6 5 2" xfId="7333" xr:uid="{00000000-0005-0000-0000-0000A21C0000}"/>
    <cellStyle name="20% - Énfasis5 3 6 6" xfId="7334" xr:uid="{00000000-0005-0000-0000-0000A31C0000}"/>
    <cellStyle name="20% - Énfasis5 3 6 7" xfId="7335" xr:uid="{00000000-0005-0000-0000-0000A41C0000}"/>
    <cellStyle name="20% - Énfasis5 3 7" xfId="7336" xr:uid="{00000000-0005-0000-0000-0000A51C0000}"/>
    <cellStyle name="20% - Énfasis5 3 7 2" xfId="7337" xr:uid="{00000000-0005-0000-0000-0000A61C0000}"/>
    <cellStyle name="20% - Énfasis5 3 7 2 2" xfId="7338" xr:uid="{00000000-0005-0000-0000-0000A71C0000}"/>
    <cellStyle name="20% - Énfasis5 3 7 2 2 2" xfId="7339" xr:uid="{00000000-0005-0000-0000-0000A81C0000}"/>
    <cellStyle name="20% - Énfasis5 3 7 2 3" xfId="7340" xr:uid="{00000000-0005-0000-0000-0000A91C0000}"/>
    <cellStyle name="20% - Énfasis5 3 7 2 4" xfId="7341" xr:uid="{00000000-0005-0000-0000-0000AA1C0000}"/>
    <cellStyle name="20% - Énfasis5 3 7 3" xfId="7342" xr:uid="{00000000-0005-0000-0000-0000AB1C0000}"/>
    <cellStyle name="20% - Énfasis5 3 7 3 2" xfId="7343" xr:uid="{00000000-0005-0000-0000-0000AC1C0000}"/>
    <cellStyle name="20% - Énfasis5 3 7 4" xfId="7344" xr:uid="{00000000-0005-0000-0000-0000AD1C0000}"/>
    <cellStyle name="20% - Énfasis5 3 7 5" xfId="7345" xr:uid="{00000000-0005-0000-0000-0000AE1C0000}"/>
    <cellStyle name="20% - Énfasis5 3 8" xfId="7346" xr:uid="{00000000-0005-0000-0000-0000AF1C0000}"/>
    <cellStyle name="20% - Énfasis5 3 8 2" xfId="7347" xr:uid="{00000000-0005-0000-0000-0000B01C0000}"/>
    <cellStyle name="20% - Énfasis5 3 8 2 2" xfId="7348" xr:uid="{00000000-0005-0000-0000-0000B11C0000}"/>
    <cellStyle name="20% - Énfasis5 3 8 3" xfId="7349" xr:uid="{00000000-0005-0000-0000-0000B21C0000}"/>
    <cellStyle name="20% - Énfasis5 3 8 3 2" xfId="7350" xr:uid="{00000000-0005-0000-0000-0000B31C0000}"/>
    <cellStyle name="20% - Énfasis5 3 8 4" xfId="7351" xr:uid="{00000000-0005-0000-0000-0000B41C0000}"/>
    <cellStyle name="20% - Énfasis5 3 8 5" xfId="7352" xr:uid="{00000000-0005-0000-0000-0000B51C0000}"/>
    <cellStyle name="20% - Énfasis5 3 9" xfId="7353" xr:uid="{00000000-0005-0000-0000-0000B61C0000}"/>
    <cellStyle name="20% - Énfasis5 3 9 2" xfId="7354" xr:uid="{00000000-0005-0000-0000-0000B71C0000}"/>
    <cellStyle name="20% - Énfasis5 4" xfId="7355" xr:uid="{00000000-0005-0000-0000-0000B81C0000}"/>
    <cellStyle name="20% - Énfasis6 2" xfId="7356" xr:uid="{00000000-0005-0000-0000-0000B91C0000}"/>
    <cellStyle name="20% - Énfasis6 2 10" xfId="7357" xr:uid="{00000000-0005-0000-0000-0000BA1C0000}"/>
    <cellStyle name="20% - Énfasis6 2 10 2" xfId="7358" xr:uid="{00000000-0005-0000-0000-0000BB1C0000}"/>
    <cellStyle name="20% - Énfasis6 2 11" xfId="7359" xr:uid="{00000000-0005-0000-0000-0000BC1C0000}"/>
    <cellStyle name="20% - Énfasis6 2 12" xfId="7360" xr:uid="{00000000-0005-0000-0000-0000BD1C0000}"/>
    <cellStyle name="20% - Énfasis6 2 2" xfId="7361" xr:uid="{00000000-0005-0000-0000-0000BE1C0000}"/>
    <cellStyle name="20% - Énfasis6 2 2 10" xfId="7362" xr:uid="{00000000-0005-0000-0000-0000BF1C0000}"/>
    <cellStyle name="20% - Énfasis6 2 2 10 2" xfId="7363" xr:uid="{00000000-0005-0000-0000-0000C01C0000}"/>
    <cellStyle name="20% - Énfasis6 2 2 11" xfId="7364" xr:uid="{00000000-0005-0000-0000-0000C11C0000}"/>
    <cellStyle name="20% - Énfasis6 2 2 12" xfId="7365" xr:uid="{00000000-0005-0000-0000-0000C21C0000}"/>
    <cellStyle name="20% - Énfasis6 2 2 2" xfId="7366" xr:uid="{00000000-0005-0000-0000-0000C31C0000}"/>
    <cellStyle name="20% - Énfasis6 2 2 2 10" xfId="7367" xr:uid="{00000000-0005-0000-0000-0000C41C0000}"/>
    <cellStyle name="20% - Énfasis6 2 2 2 2" xfId="7368" xr:uid="{00000000-0005-0000-0000-0000C51C0000}"/>
    <cellStyle name="20% - Énfasis6 2 2 2 2 2" xfId="7369" xr:uid="{00000000-0005-0000-0000-0000C61C0000}"/>
    <cellStyle name="20% - Énfasis6 2 2 2 2 2 2" xfId="7370" xr:uid="{00000000-0005-0000-0000-0000C71C0000}"/>
    <cellStyle name="20% - Énfasis6 2 2 2 2 2 2 2" xfId="7371" xr:uid="{00000000-0005-0000-0000-0000C81C0000}"/>
    <cellStyle name="20% - Énfasis6 2 2 2 2 2 2 2 2" xfId="7372" xr:uid="{00000000-0005-0000-0000-0000C91C0000}"/>
    <cellStyle name="20% - Énfasis6 2 2 2 2 2 2 2 2 2" xfId="7373" xr:uid="{00000000-0005-0000-0000-0000CA1C0000}"/>
    <cellStyle name="20% - Énfasis6 2 2 2 2 2 2 2 2 2 2" xfId="7374" xr:uid="{00000000-0005-0000-0000-0000CB1C0000}"/>
    <cellStyle name="20% - Énfasis6 2 2 2 2 2 2 2 2 3" xfId="7375" xr:uid="{00000000-0005-0000-0000-0000CC1C0000}"/>
    <cellStyle name="20% - Énfasis6 2 2 2 2 2 2 2 2 4" xfId="7376" xr:uid="{00000000-0005-0000-0000-0000CD1C0000}"/>
    <cellStyle name="20% - Énfasis6 2 2 2 2 2 2 2 3" xfId="7377" xr:uid="{00000000-0005-0000-0000-0000CE1C0000}"/>
    <cellStyle name="20% - Énfasis6 2 2 2 2 2 2 2 3 2" xfId="7378" xr:uid="{00000000-0005-0000-0000-0000CF1C0000}"/>
    <cellStyle name="20% - Énfasis6 2 2 2 2 2 2 2 4" xfId="7379" xr:uid="{00000000-0005-0000-0000-0000D01C0000}"/>
    <cellStyle name="20% - Énfasis6 2 2 2 2 2 2 2 5" xfId="7380" xr:uid="{00000000-0005-0000-0000-0000D11C0000}"/>
    <cellStyle name="20% - Énfasis6 2 2 2 2 2 2 3" xfId="7381" xr:uid="{00000000-0005-0000-0000-0000D21C0000}"/>
    <cellStyle name="20% - Énfasis6 2 2 2 2 2 2 3 2" xfId="7382" xr:uid="{00000000-0005-0000-0000-0000D31C0000}"/>
    <cellStyle name="20% - Énfasis6 2 2 2 2 2 2 3 2 2" xfId="7383" xr:uid="{00000000-0005-0000-0000-0000D41C0000}"/>
    <cellStyle name="20% - Énfasis6 2 2 2 2 2 2 3 3" xfId="7384" xr:uid="{00000000-0005-0000-0000-0000D51C0000}"/>
    <cellStyle name="20% - Énfasis6 2 2 2 2 2 2 3 4" xfId="7385" xr:uid="{00000000-0005-0000-0000-0000D61C0000}"/>
    <cellStyle name="20% - Énfasis6 2 2 2 2 2 2 4" xfId="7386" xr:uid="{00000000-0005-0000-0000-0000D71C0000}"/>
    <cellStyle name="20% - Énfasis6 2 2 2 2 2 2 4 2" xfId="7387" xr:uid="{00000000-0005-0000-0000-0000D81C0000}"/>
    <cellStyle name="20% - Énfasis6 2 2 2 2 2 2 5" xfId="7388" xr:uid="{00000000-0005-0000-0000-0000D91C0000}"/>
    <cellStyle name="20% - Énfasis6 2 2 2 2 2 2 6" xfId="7389" xr:uid="{00000000-0005-0000-0000-0000DA1C0000}"/>
    <cellStyle name="20% - Énfasis6 2 2 2 2 2 3" xfId="7390" xr:uid="{00000000-0005-0000-0000-0000DB1C0000}"/>
    <cellStyle name="20% - Énfasis6 2 2 2 2 2 3 2" xfId="7391" xr:uid="{00000000-0005-0000-0000-0000DC1C0000}"/>
    <cellStyle name="20% - Énfasis6 2 2 2 2 2 3 2 2" xfId="7392" xr:uid="{00000000-0005-0000-0000-0000DD1C0000}"/>
    <cellStyle name="20% - Énfasis6 2 2 2 2 2 3 2 2 2" xfId="7393" xr:uid="{00000000-0005-0000-0000-0000DE1C0000}"/>
    <cellStyle name="20% - Énfasis6 2 2 2 2 2 3 2 3" xfId="7394" xr:uid="{00000000-0005-0000-0000-0000DF1C0000}"/>
    <cellStyle name="20% - Énfasis6 2 2 2 2 2 3 2 4" xfId="7395" xr:uid="{00000000-0005-0000-0000-0000E01C0000}"/>
    <cellStyle name="20% - Énfasis6 2 2 2 2 2 3 3" xfId="7396" xr:uid="{00000000-0005-0000-0000-0000E11C0000}"/>
    <cellStyle name="20% - Énfasis6 2 2 2 2 2 3 3 2" xfId="7397" xr:uid="{00000000-0005-0000-0000-0000E21C0000}"/>
    <cellStyle name="20% - Énfasis6 2 2 2 2 2 3 4" xfId="7398" xr:uid="{00000000-0005-0000-0000-0000E31C0000}"/>
    <cellStyle name="20% - Énfasis6 2 2 2 2 2 3 5" xfId="7399" xr:uid="{00000000-0005-0000-0000-0000E41C0000}"/>
    <cellStyle name="20% - Énfasis6 2 2 2 2 2 4" xfId="7400" xr:uid="{00000000-0005-0000-0000-0000E51C0000}"/>
    <cellStyle name="20% - Énfasis6 2 2 2 2 2 4 2" xfId="7401" xr:uid="{00000000-0005-0000-0000-0000E61C0000}"/>
    <cellStyle name="20% - Énfasis6 2 2 2 2 2 4 2 2" xfId="7402" xr:uid="{00000000-0005-0000-0000-0000E71C0000}"/>
    <cellStyle name="20% - Énfasis6 2 2 2 2 2 4 3" xfId="7403" xr:uid="{00000000-0005-0000-0000-0000E81C0000}"/>
    <cellStyle name="20% - Énfasis6 2 2 2 2 2 4 4" xfId="7404" xr:uid="{00000000-0005-0000-0000-0000E91C0000}"/>
    <cellStyle name="20% - Énfasis6 2 2 2 2 2 5" xfId="7405" xr:uid="{00000000-0005-0000-0000-0000EA1C0000}"/>
    <cellStyle name="20% - Énfasis6 2 2 2 2 2 5 2" xfId="7406" xr:uid="{00000000-0005-0000-0000-0000EB1C0000}"/>
    <cellStyle name="20% - Énfasis6 2 2 2 2 2 6" xfId="7407" xr:uid="{00000000-0005-0000-0000-0000EC1C0000}"/>
    <cellStyle name="20% - Énfasis6 2 2 2 2 2 7" xfId="7408" xr:uid="{00000000-0005-0000-0000-0000ED1C0000}"/>
    <cellStyle name="20% - Énfasis6 2 2 2 2 3" xfId="7409" xr:uid="{00000000-0005-0000-0000-0000EE1C0000}"/>
    <cellStyle name="20% - Énfasis6 2 2 2 2 3 2" xfId="7410" xr:uid="{00000000-0005-0000-0000-0000EF1C0000}"/>
    <cellStyle name="20% - Énfasis6 2 2 2 2 3 2 2" xfId="7411" xr:uid="{00000000-0005-0000-0000-0000F01C0000}"/>
    <cellStyle name="20% - Énfasis6 2 2 2 2 3 2 2 2" xfId="7412" xr:uid="{00000000-0005-0000-0000-0000F11C0000}"/>
    <cellStyle name="20% - Énfasis6 2 2 2 2 3 2 2 2 2" xfId="7413" xr:uid="{00000000-0005-0000-0000-0000F21C0000}"/>
    <cellStyle name="20% - Énfasis6 2 2 2 2 3 2 2 3" xfId="7414" xr:uid="{00000000-0005-0000-0000-0000F31C0000}"/>
    <cellStyle name="20% - Énfasis6 2 2 2 2 3 2 2 4" xfId="7415" xr:uid="{00000000-0005-0000-0000-0000F41C0000}"/>
    <cellStyle name="20% - Énfasis6 2 2 2 2 3 2 3" xfId="7416" xr:uid="{00000000-0005-0000-0000-0000F51C0000}"/>
    <cellStyle name="20% - Énfasis6 2 2 2 2 3 2 3 2" xfId="7417" xr:uid="{00000000-0005-0000-0000-0000F61C0000}"/>
    <cellStyle name="20% - Énfasis6 2 2 2 2 3 2 4" xfId="7418" xr:uid="{00000000-0005-0000-0000-0000F71C0000}"/>
    <cellStyle name="20% - Énfasis6 2 2 2 2 3 2 5" xfId="7419" xr:uid="{00000000-0005-0000-0000-0000F81C0000}"/>
    <cellStyle name="20% - Énfasis6 2 2 2 2 3 3" xfId="7420" xr:uid="{00000000-0005-0000-0000-0000F91C0000}"/>
    <cellStyle name="20% - Énfasis6 2 2 2 2 3 3 2" xfId="7421" xr:uid="{00000000-0005-0000-0000-0000FA1C0000}"/>
    <cellStyle name="20% - Énfasis6 2 2 2 2 3 3 2 2" xfId="7422" xr:uid="{00000000-0005-0000-0000-0000FB1C0000}"/>
    <cellStyle name="20% - Énfasis6 2 2 2 2 3 3 3" xfId="7423" xr:uid="{00000000-0005-0000-0000-0000FC1C0000}"/>
    <cellStyle name="20% - Énfasis6 2 2 2 2 3 3 3 2" xfId="7424" xr:uid="{00000000-0005-0000-0000-0000FD1C0000}"/>
    <cellStyle name="20% - Énfasis6 2 2 2 2 3 3 4" xfId="7425" xr:uid="{00000000-0005-0000-0000-0000FE1C0000}"/>
    <cellStyle name="20% - Énfasis6 2 2 2 2 3 3 5" xfId="7426" xr:uid="{00000000-0005-0000-0000-0000FF1C0000}"/>
    <cellStyle name="20% - Énfasis6 2 2 2 2 3 4" xfId="7427" xr:uid="{00000000-0005-0000-0000-0000001D0000}"/>
    <cellStyle name="20% - Énfasis6 2 2 2 2 3 4 2" xfId="7428" xr:uid="{00000000-0005-0000-0000-0000011D0000}"/>
    <cellStyle name="20% - Énfasis6 2 2 2 2 3 5" xfId="7429" xr:uid="{00000000-0005-0000-0000-0000021D0000}"/>
    <cellStyle name="20% - Énfasis6 2 2 2 2 3 5 2" xfId="7430" xr:uid="{00000000-0005-0000-0000-0000031D0000}"/>
    <cellStyle name="20% - Énfasis6 2 2 2 2 3 6" xfId="7431" xr:uid="{00000000-0005-0000-0000-0000041D0000}"/>
    <cellStyle name="20% - Énfasis6 2 2 2 2 3 7" xfId="7432" xr:uid="{00000000-0005-0000-0000-0000051D0000}"/>
    <cellStyle name="20% - Énfasis6 2 2 2 2 4" xfId="7433" xr:uid="{00000000-0005-0000-0000-0000061D0000}"/>
    <cellStyle name="20% - Énfasis6 2 2 2 2 4 2" xfId="7434" xr:uid="{00000000-0005-0000-0000-0000071D0000}"/>
    <cellStyle name="20% - Énfasis6 2 2 2 2 4 2 2" xfId="7435" xr:uid="{00000000-0005-0000-0000-0000081D0000}"/>
    <cellStyle name="20% - Énfasis6 2 2 2 2 4 2 2 2" xfId="7436" xr:uid="{00000000-0005-0000-0000-0000091D0000}"/>
    <cellStyle name="20% - Énfasis6 2 2 2 2 4 2 3" xfId="7437" xr:uid="{00000000-0005-0000-0000-00000A1D0000}"/>
    <cellStyle name="20% - Énfasis6 2 2 2 2 4 2 4" xfId="7438" xr:uid="{00000000-0005-0000-0000-00000B1D0000}"/>
    <cellStyle name="20% - Énfasis6 2 2 2 2 4 3" xfId="7439" xr:uid="{00000000-0005-0000-0000-00000C1D0000}"/>
    <cellStyle name="20% - Énfasis6 2 2 2 2 4 3 2" xfId="7440" xr:uid="{00000000-0005-0000-0000-00000D1D0000}"/>
    <cellStyle name="20% - Énfasis6 2 2 2 2 4 4" xfId="7441" xr:uid="{00000000-0005-0000-0000-00000E1D0000}"/>
    <cellStyle name="20% - Énfasis6 2 2 2 2 4 5" xfId="7442" xr:uid="{00000000-0005-0000-0000-00000F1D0000}"/>
    <cellStyle name="20% - Énfasis6 2 2 2 2 5" xfId="7443" xr:uid="{00000000-0005-0000-0000-0000101D0000}"/>
    <cellStyle name="20% - Énfasis6 2 2 2 2 5 2" xfId="7444" xr:uid="{00000000-0005-0000-0000-0000111D0000}"/>
    <cellStyle name="20% - Énfasis6 2 2 2 2 5 2 2" xfId="7445" xr:uid="{00000000-0005-0000-0000-0000121D0000}"/>
    <cellStyle name="20% - Énfasis6 2 2 2 2 5 3" xfId="7446" xr:uid="{00000000-0005-0000-0000-0000131D0000}"/>
    <cellStyle name="20% - Énfasis6 2 2 2 2 5 3 2" xfId="7447" xr:uid="{00000000-0005-0000-0000-0000141D0000}"/>
    <cellStyle name="20% - Énfasis6 2 2 2 2 5 4" xfId="7448" xr:uid="{00000000-0005-0000-0000-0000151D0000}"/>
    <cellStyle name="20% - Énfasis6 2 2 2 2 5 5" xfId="7449" xr:uid="{00000000-0005-0000-0000-0000161D0000}"/>
    <cellStyle name="20% - Énfasis6 2 2 2 2 6" xfId="7450" xr:uid="{00000000-0005-0000-0000-0000171D0000}"/>
    <cellStyle name="20% - Énfasis6 2 2 2 2 6 2" xfId="7451" xr:uid="{00000000-0005-0000-0000-0000181D0000}"/>
    <cellStyle name="20% - Énfasis6 2 2 2 2 7" xfId="7452" xr:uid="{00000000-0005-0000-0000-0000191D0000}"/>
    <cellStyle name="20% - Énfasis6 2 2 2 2 7 2" xfId="7453" xr:uid="{00000000-0005-0000-0000-00001A1D0000}"/>
    <cellStyle name="20% - Énfasis6 2 2 2 2 8" xfId="7454" xr:uid="{00000000-0005-0000-0000-00001B1D0000}"/>
    <cellStyle name="20% - Énfasis6 2 2 2 2 9" xfId="7455" xr:uid="{00000000-0005-0000-0000-00001C1D0000}"/>
    <cellStyle name="20% - Énfasis6 2 2 2 3" xfId="7456" xr:uid="{00000000-0005-0000-0000-00001D1D0000}"/>
    <cellStyle name="20% - Énfasis6 2 2 2 3 2" xfId="7457" xr:uid="{00000000-0005-0000-0000-00001E1D0000}"/>
    <cellStyle name="20% - Énfasis6 2 2 2 3 2 2" xfId="7458" xr:uid="{00000000-0005-0000-0000-00001F1D0000}"/>
    <cellStyle name="20% - Énfasis6 2 2 2 3 2 2 2" xfId="7459" xr:uid="{00000000-0005-0000-0000-0000201D0000}"/>
    <cellStyle name="20% - Énfasis6 2 2 2 3 2 2 2 2" xfId="7460" xr:uid="{00000000-0005-0000-0000-0000211D0000}"/>
    <cellStyle name="20% - Énfasis6 2 2 2 3 2 2 2 2 2" xfId="7461" xr:uid="{00000000-0005-0000-0000-0000221D0000}"/>
    <cellStyle name="20% - Énfasis6 2 2 2 3 2 2 2 3" xfId="7462" xr:uid="{00000000-0005-0000-0000-0000231D0000}"/>
    <cellStyle name="20% - Énfasis6 2 2 2 3 2 2 2 4" xfId="7463" xr:uid="{00000000-0005-0000-0000-0000241D0000}"/>
    <cellStyle name="20% - Énfasis6 2 2 2 3 2 2 3" xfId="7464" xr:uid="{00000000-0005-0000-0000-0000251D0000}"/>
    <cellStyle name="20% - Énfasis6 2 2 2 3 2 2 3 2" xfId="7465" xr:uid="{00000000-0005-0000-0000-0000261D0000}"/>
    <cellStyle name="20% - Énfasis6 2 2 2 3 2 2 4" xfId="7466" xr:uid="{00000000-0005-0000-0000-0000271D0000}"/>
    <cellStyle name="20% - Énfasis6 2 2 2 3 2 2 5" xfId="7467" xr:uid="{00000000-0005-0000-0000-0000281D0000}"/>
    <cellStyle name="20% - Énfasis6 2 2 2 3 2 3" xfId="7468" xr:uid="{00000000-0005-0000-0000-0000291D0000}"/>
    <cellStyle name="20% - Énfasis6 2 2 2 3 2 3 2" xfId="7469" xr:uid="{00000000-0005-0000-0000-00002A1D0000}"/>
    <cellStyle name="20% - Énfasis6 2 2 2 3 2 3 2 2" xfId="7470" xr:uid="{00000000-0005-0000-0000-00002B1D0000}"/>
    <cellStyle name="20% - Énfasis6 2 2 2 3 2 3 3" xfId="7471" xr:uid="{00000000-0005-0000-0000-00002C1D0000}"/>
    <cellStyle name="20% - Énfasis6 2 2 2 3 2 3 4" xfId="7472" xr:uid="{00000000-0005-0000-0000-00002D1D0000}"/>
    <cellStyle name="20% - Énfasis6 2 2 2 3 2 4" xfId="7473" xr:uid="{00000000-0005-0000-0000-00002E1D0000}"/>
    <cellStyle name="20% - Énfasis6 2 2 2 3 2 4 2" xfId="7474" xr:uid="{00000000-0005-0000-0000-00002F1D0000}"/>
    <cellStyle name="20% - Énfasis6 2 2 2 3 2 5" xfId="7475" xr:uid="{00000000-0005-0000-0000-0000301D0000}"/>
    <cellStyle name="20% - Énfasis6 2 2 2 3 2 6" xfId="7476" xr:uid="{00000000-0005-0000-0000-0000311D0000}"/>
    <cellStyle name="20% - Énfasis6 2 2 2 3 3" xfId="7477" xr:uid="{00000000-0005-0000-0000-0000321D0000}"/>
    <cellStyle name="20% - Énfasis6 2 2 2 3 3 2" xfId="7478" xr:uid="{00000000-0005-0000-0000-0000331D0000}"/>
    <cellStyle name="20% - Énfasis6 2 2 2 3 3 2 2" xfId="7479" xr:uid="{00000000-0005-0000-0000-0000341D0000}"/>
    <cellStyle name="20% - Énfasis6 2 2 2 3 3 2 2 2" xfId="7480" xr:uid="{00000000-0005-0000-0000-0000351D0000}"/>
    <cellStyle name="20% - Énfasis6 2 2 2 3 3 2 3" xfId="7481" xr:uid="{00000000-0005-0000-0000-0000361D0000}"/>
    <cellStyle name="20% - Énfasis6 2 2 2 3 3 2 4" xfId="7482" xr:uid="{00000000-0005-0000-0000-0000371D0000}"/>
    <cellStyle name="20% - Énfasis6 2 2 2 3 3 3" xfId="7483" xr:uid="{00000000-0005-0000-0000-0000381D0000}"/>
    <cellStyle name="20% - Énfasis6 2 2 2 3 3 3 2" xfId="7484" xr:uid="{00000000-0005-0000-0000-0000391D0000}"/>
    <cellStyle name="20% - Énfasis6 2 2 2 3 3 4" xfId="7485" xr:uid="{00000000-0005-0000-0000-00003A1D0000}"/>
    <cellStyle name="20% - Énfasis6 2 2 2 3 3 5" xfId="7486" xr:uid="{00000000-0005-0000-0000-00003B1D0000}"/>
    <cellStyle name="20% - Énfasis6 2 2 2 3 4" xfId="7487" xr:uid="{00000000-0005-0000-0000-00003C1D0000}"/>
    <cellStyle name="20% - Énfasis6 2 2 2 3 4 2" xfId="7488" xr:uid="{00000000-0005-0000-0000-00003D1D0000}"/>
    <cellStyle name="20% - Énfasis6 2 2 2 3 4 2 2" xfId="7489" xr:uid="{00000000-0005-0000-0000-00003E1D0000}"/>
    <cellStyle name="20% - Énfasis6 2 2 2 3 4 3" xfId="7490" xr:uid="{00000000-0005-0000-0000-00003F1D0000}"/>
    <cellStyle name="20% - Énfasis6 2 2 2 3 4 4" xfId="7491" xr:uid="{00000000-0005-0000-0000-0000401D0000}"/>
    <cellStyle name="20% - Énfasis6 2 2 2 3 5" xfId="7492" xr:uid="{00000000-0005-0000-0000-0000411D0000}"/>
    <cellStyle name="20% - Énfasis6 2 2 2 3 5 2" xfId="7493" xr:uid="{00000000-0005-0000-0000-0000421D0000}"/>
    <cellStyle name="20% - Énfasis6 2 2 2 3 6" xfId="7494" xr:uid="{00000000-0005-0000-0000-0000431D0000}"/>
    <cellStyle name="20% - Énfasis6 2 2 2 3 7" xfId="7495" xr:uid="{00000000-0005-0000-0000-0000441D0000}"/>
    <cellStyle name="20% - Énfasis6 2 2 2 4" xfId="7496" xr:uid="{00000000-0005-0000-0000-0000451D0000}"/>
    <cellStyle name="20% - Énfasis6 2 2 2 4 2" xfId="7497" xr:uid="{00000000-0005-0000-0000-0000461D0000}"/>
    <cellStyle name="20% - Énfasis6 2 2 2 4 2 2" xfId="7498" xr:uid="{00000000-0005-0000-0000-0000471D0000}"/>
    <cellStyle name="20% - Énfasis6 2 2 2 4 2 2 2" xfId="7499" xr:uid="{00000000-0005-0000-0000-0000481D0000}"/>
    <cellStyle name="20% - Énfasis6 2 2 2 4 2 2 2 2" xfId="7500" xr:uid="{00000000-0005-0000-0000-0000491D0000}"/>
    <cellStyle name="20% - Énfasis6 2 2 2 4 2 2 3" xfId="7501" xr:uid="{00000000-0005-0000-0000-00004A1D0000}"/>
    <cellStyle name="20% - Énfasis6 2 2 2 4 2 2 4" xfId="7502" xr:uid="{00000000-0005-0000-0000-00004B1D0000}"/>
    <cellStyle name="20% - Énfasis6 2 2 2 4 2 3" xfId="7503" xr:uid="{00000000-0005-0000-0000-00004C1D0000}"/>
    <cellStyle name="20% - Énfasis6 2 2 2 4 2 3 2" xfId="7504" xr:uid="{00000000-0005-0000-0000-00004D1D0000}"/>
    <cellStyle name="20% - Énfasis6 2 2 2 4 2 4" xfId="7505" xr:uid="{00000000-0005-0000-0000-00004E1D0000}"/>
    <cellStyle name="20% - Énfasis6 2 2 2 4 2 5" xfId="7506" xr:uid="{00000000-0005-0000-0000-00004F1D0000}"/>
    <cellStyle name="20% - Énfasis6 2 2 2 4 3" xfId="7507" xr:uid="{00000000-0005-0000-0000-0000501D0000}"/>
    <cellStyle name="20% - Énfasis6 2 2 2 4 3 2" xfId="7508" xr:uid="{00000000-0005-0000-0000-0000511D0000}"/>
    <cellStyle name="20% - Énfasis6 2 2 2 4 3 2 2" xfId="7509" xr:uid="{00000000-0005-0000-0000-0000521D0000}"/>
    <cellStyle name="20% - Énfasis6 2 2 2 4 3 3" xfId="7510" xr:uid="{00000000-0005-0000-0000-0000531D0000}"/>
    <cellStyle name="20% - Énfasis6 2 2 2 4 3 3 2" xfId="7511" xr:uid="{00000000-0005-0000-0000-0000541D0000}"/>
    <cellStyle name="20% - Énfasis6 2 2 2 4 3 4" xfId="7512" xr:uid="{00000000-0005-0000-0000-0000551D0000}"/>
    <cellStyle name="20% - Énfasis6 2 2 2 4 3 5" xfId="7513" xr:uid="{00000000-0005-0000-0000-0000561D0000}"/>
    <cellStyle name="20% - Énfasis6 2 2 2 4 4" xfId="7514" xr:uid="{00000000-0005-0000-0000-0000571D0000}"/>
    <cellStyle name="20% - Énfasis6 2 2 2 4 4 2" xfId="7515" xr:uid="{00000000-0005-0000-0000-0000581D0000}"/>
    <cellStyle name="20% - Énfasis6 2 2 2 4 5" xfId="7516" xr:uid="{00000000-0005-0000-0000-0000591D0000}"/>
    <cellStyle name="20% - Énfasis6 2 2 2 4 5 2" xfId="7517" xr:uid="{00000000-0005-0000-0000-00005A1D0000}"/>
    <cellStyle name="20% - Énfasis6 2 2 2 4 6" xfId="7518" xr:uid="{00000000-0005-0000-0000-00005B1D0000}"/>
    <cellStyle name="20% - Énfasis6 2 2 2 4 7" xfId="7519" xr:uid="{00000000-0005-0000-0000-00005C1D0000}"/>
    <cellStyle name="20% - Énfasis6 2 2 2 5" xfId="7520" xr:uid="{00000000-0005-0000-0000-00005D1D0000}"/>
    <cellStyle name="20% - Énfasis6 2 2 2 5 2" xfId="7521" xr:uid="{00000000-0005-0000-0000-00005E1D0000}"/>
    <cellStyle name="20% - Énfasis6 2 2 2 5 2 2" xfId="7522" xr:uid="{00000000-0005-0000-0000-00005F1D0000}"/>
    <cellStyle name="20% - Énfasis6 2 2 2 5 2 2 2" xfId="7523" xr:uid="{00000000-0005-0000-0000-0000601D0000}"/>
    <cellStyle name="20% - Énfasis6 2 2 2 5 2 3" xfId="7524" xr:uid="{00000000-0005-0000-0000-0000611D0000}"/>
    <cellStyle name="20% - Énfasis6 2 2 2 5 2 4" xfId="7525" xr:uid="{00000000-0005-0000-0000-0000621D0000}"/>
    <cellStyle name="20% - Énfasis6 2 2 2 5 3" xfId="7526" xr:uid="{00000000-0005-0000-0000-0000631D0000}"/>
    <cellStyle name="20% - Énfasis6 2 2 2 5 3 2" xfId="7527" xr:uid="{00000000-0005-0000-0000-0000641D0000}"/>
    <cellStyle name="20% - Énfasis6 2 2 2 5 4" xfId="7528" xr:uid="{00000000-0005-0000-0000-0000651D0000}"/>
    <cellStyle name="20% - Énfasis6 2 2 2 5 5" xfId="7529" xr:uid="{00000000-0005-0000-0000-0000661D0000}"/>
    <cellStyle name="20% - Énfasis6 2 2 2 6" xfId="7530" xr:uid="{00000000-0005-0000-0000-0000671D0000}"/>
    <cellStyle name="20% - Énfasis6 2 2 2 6 2" xfId="7531" xr:uid="{00000000-0005-0000-0000-0000681D0000}"/>
    <cellStyle name="20% - Énfasis6 2 2 2 6 2 2" xfId="7532" xr:uid="{00000000-0005-0000-0000-0000691D0000}"/>
    <cellStyle name="20% - Énfasis6 2 2 2 6 3" xfId="7533" xr:uid="{00000000-0005-0000-0000-00006A1D0000}"/>
    <cellStyle name="20% - Énfasis6 2 2 2 6 3 2" xfId="7534" xr:uid="{00000000-0005-0000-0000-00006B1D0000}"/>
    <cellStyle name="20% - Énfasis6 2 2 2 6 4" xfId="7535" xr:uid="{00000000-0005-0000-0000-00006C1D0000}"/>
    <cellStyle name="20% - Énfasis6 2 2 2 6 5" xfId="7536" xr:uid="{00000000-0005-0000-0000-00006D1D0000}"/>
    <cellStyle name="20% - Énfasis6 2 2 2 7" xfId="7537" xr:uid="{00000000-0005-0000-0000-00006E1D0000}"/>
    <cellStyle name="20% - Énfasis6 2 2 2 7 2" xfId="7538" xr:uid="{00000000-0005-0000-0000-00006F1D0000}"/>
    <cellStyle name="20% - Énfasis6 2 2 2 8" xfId="7539" xr:uid="{00000000-0005-0000-0000-0000701D0000}"/>
    <cellStyle name="20% - Énfasis6 2 2 2 8 2" xfId="7540" xr:uid="{00000000-0005-0000-0000-0000711D0000}"/>
    <cellStyle name="20% - Énfasis6 2 2 2 9" xfId="7541" xr:uid="{00000000-0005-0000-0000-0000721D0000}"/>
    <cellStyle name="20% - Énfasis6 2 2 3" xfId="7542" xr:uid="{00000000-0005-0000-0000-0000731D0000}"/>
    <cellStyle name="20% - Énfasis6 2 2 3 2" xfId="7543" xr:uid="{00000000-0005-0000-0000-0000741D0000}"/>
    <cellStyle name="20% - Énfasis6 2 2 3 2 2" xfId="7544" xr:uid="{00000000-0005-0000-0000-0000751D0000}"/>
    <cellStyle name="20% - Énfasis6 2 2 3 2 2 2" xfId="7545" xr:uid="{00000000-0005-0000-0000-0000761D0000}"/>
    <cellStyle name="20% - Énfasis6 2 2 3 2 2 2 2" xfId="7546" xr:uid="{00000000-0005-0000-0000-0000771D0000}"/>
    <cellStyle name="20% - Énfasis6 2 2 3 2 2 2 2 2" xfId="7547" xr:uid="{00000000-0005-0000-0000-0000781D0000}"/>
    <cellStyle name="20% - Énfasis6 2 2 3 2 2 2 2 2 2" xfId="7548" xr:uid="{00000000-0005-0000-0000-0000791D0000}"/>
    <cellStyle name="20% - Énfasis6 2 2 3 2 2 2 2 3" xfId="7549" xr:uid="{00000000-0005-0000-0000-00007A1D0000}"/>
    <cellStyle name="20% - Énfasis6 2 2 3 2 2 2 2 4" xfId="7550" xr:uid="{00000000-0005-0000-0000-00007B1D0000}"/>
    <cellStyle name="20% - Énfasis6 2 2 3 2 2 2 3" xfId="7551" xr:uid="{00000000-0005-0000-0000-00007C1D0000}"/>
    <cellStyle name="20% - Énfasis6 2 2 3 2 2 2 3 2" xfId="7552" xr:uid="{00000000-0005-0000-0000-00007D1D0000}"/>
    <cellStyle name="20% - Énfasis6 2 2 3 2 2 2 4" xfId="7553" xr:uid="{00000000-0005-0000-0000-00007E1D0000}"/>
    <cellStyle name="20% - Énfasis6 2 2 3 2 2 2 5" xfId="7554" xr:uid="{00000000-0005-0000-0000-00007F1D0000}"/>
    <cellStyle name="20% - Énfasis6 2 2 3 2 2 3" xfId="7555" xr:uid="{00000000-0005-0000-0000-0000801D0000}"/>
    <cellStyle name="20% - Énfasis6 2 2 3 2 2 3 2" xfId="7556" xr:uid="{00000000-0005-0000-0000-0000811D0000}"/>
    <cellStyle name="20% - Énfasis6 2 2 3 2 2 3 2 2" xfId="7557" xr:uid="{00000000-0005-0000-0000-0000821D0000}"/>
    <cellStyle name="20% - Énfasis6 2 2 3 2 2 3 3" xfId="7558" xr:uid="{00000000-0005-0000-0000-0000831D0000}"/>
    <cellStyle name="20% - Énfasis6 2 2 3 2 2 3 4" xfId="7559" xr:uid="{00000000-0005-0000-0000-0000841D0000}"/>
    <cellStyle name="20% - Énfasis6 2 2 3 2 2 4" xfId="7560" xr:uid="{00000000-0005-0000-0000-0000851D0000}"/>
    <cellStyle name="20% - Énfasis6 2 2 3 2 2 4 2" xfId="7561" xr:uid="{00000000-0005-0000-0000-0000861D0000}"/>
    <cellStyle name="20% - Énfasis6 2 2 3 2 2 5" xfId="7562" xr:uid="{00000000-0005-0000-0000-0000871D0000}"/>
    <cellStyle name="20% - Énfasis6 2 2 3 2 2 6" xfId="7563" xr:uid="{00000000-0005-0000-0000-0000881D0000}"/>
    <cellStyle name="20% - Énfasis6 2 2 3 2 3" xfId="7564" xr:uid="{00000000-0005-0000-0000-0000891D0000}"/>
    <cellStyle name="20% - Énfasis6 2 2 3 2 3 2" xfId="7565" xr:uid="{00000000-0005-0000-0000-00008A1D0000}"/>
    <cellStyle name="20% - Énfasis6 2 2 3 2 3 2 2" xfId="7566" xr:uid="{00000000-0005-0000-0000-00008B1D0000}"/>
    <cellStyle name="20% - Énfasis6 2 2 3 2 3 2 2 2" xfId="7567" xr:uid="{00000000-0005-0000-0000-00008C1D0000}"/>
    <cellStyle name="20% - Énfasis6 2 2 3 2 3 2 3" xfId="7568" xr:uid="{00000000-0005-0000-0000-00008D1D0000}"/>
    <cellStyle name="20% - Énfasis6 2 2 3 2 3 2 4" xfId="7569" xr:uid="{00000000-0005-0000-0000-00008E1D0000}"/>
    <cellStyle name="20% - Énfasis6 2 2 3 2 3 3" xfId="7570" xr:uid="{00000000-0005-0000-0000-00008F1D0000}"/>
    <cellStyle name="20% - Énfasis6 2 2 3 2 3 3 2" xfId="7571" xr:uid="{00000000-0005-0000-0000-0000901D0000}"/>
    <cellStyle name="20% - Énfasis6 2 2 3 2 3 4" xfId="7572" xr:uid="{00000000-0005-0000-0000-0000911D0000}"/>
    <cellStyle name="20% - Énfasis6 2 2 3 2 3 5" xfId="7573" xr:uid="{00000000-0005-0000-0000-0000921D0000}"/>
    <cellStyle name="20% - Énfasis6 2 2 3 2 4" xfId="7574" xr:uid="{00000000-0005-0000-0000-0000931D0000}"/>
    <cellStyle name="20% - Énfasis6 2 2 3 2 4 2" xfId="7575" xr:uid="{00000000-0005-0000-0000-0000941D0000}"/>
    <cellStyle name="20% - Énfasis6 2 2 3 2 4 2 2" xfId="7576" xr:uid="{00000000-0005-0000-0000-0000951D0000}"/>
    <cellStyle name="20% - Énfasis6 2 2 3 2 4 3" xfId="7577" xr:uid="{00000000-0005-0000-0000-0000961D0000}"/>
    <cellStyle name="20% - Énfasis6 2 2 3 2 4 4" xfId="7578" xr:uid="{00000000-0005-0000-0000-0000971D0000}"/>
    <cellStyle name="20% - Énfasis6 2 2 3 2 5" xfId="7579" xr:uid="{00000000-0005-0000-0000-0000981D0000}"/>
    <cellStyle name="20% - Énfasis6 2 2 3 2 5 2" xfId="7580" xr:uid="{00000000-0005-0000-0000-0000991D0000}"/>
    <cellStyle name="20% - Énfasis6 2 2 3 2 6" xfId="7581" xr:uid="{00000000-0005-0000-0000-00009A1D0000}"/>
    <cellStyle name="20% - Énfasis6 2 2 3 2 7" xfId="7582" xr:uid="{00000000-0005-0000-0000-00009B1D0000}"/>
    <cellStyle name="20% - Énfasis6 2 2 3 3" xfId="7583" xr:uid="{00000000-0005-0000-0000-00009C1D0000}"/>
    <cellStyle name="20% - Énfasis6 2 2 3 3 2" xfId="7584" xr:uid="{00000000-0005-0000-0000-00009D1D0000}"/>
    <cellStyle name="20% - Énfasis6 2 2 3 3 2 2" xfId="7585" xr:uid="{00000000-0005-0000-0000-00009E1D0000}"/>
    <cellStyle name="20% - Énfasis6 2 2 3 3 2 2 2" xfId="7586" xr:uid="{00000000-0005-0000-0000-00009F1D0000}"/>
    <cellStyle name="20% - Énfasis6 2 2 3 3 2 2 2 2" xfId="7587" xr:uid="{00000000-0005-0000-0000-0000A01D0000}"/>
    <cellStyle name="20% - Énfasis6 2 2 3 3 2 2 3" xfId="7588" xr:uid="{00000000-0005-0000-0000-0000A11D0000}"/>
    <cellStyle name="20% - Énfasis6 2 2 3 3 2 2 4" xfId="7589" xr:uid="{00000000-0005-0000-0000-0000A21D0000}"/>
    <cellStyle name="20% - Énfasis6 2 2 3 3 2 3" xfId="7590" xr:uid="{00000000-0005-0000-0000-0000A31D0000}"/>
    <cellStyle name="20% - Énfasis6 2 2 3 3 2 3 2" xfId="7591" xr:uid="{00000000-0005-0000-0000-0000A41D0000}"/>
    <cellStyle name="20% - Énfasis6 2 2 3 3 2 4" xfId="7592" xr:uid="{00000000-0005-0000-0000-0000A51D0000}"/>
    <cellStyle name="20% - Énfasis6 2 2 3 3 2 5" xfId="7593" xr:uid="{00000000-0005-0000-0000-0000A61D0000}"/>
    <cellStyle name="20% - Énfasis6 2 2 3 3 3" xfId="7594" xr:uid="{00000000-0005-0000-0000-0000A71D0000}"/>
    <cellStyle name="20% - Énfasis6 2 2 3 3 3 2" xfId="7595" xr:uid="{00000000-0005-0000-0000-0000A81D0000}"/>
    <cellStyle name="20% - Énfasis6 2 2 3 3 3 2 2" xfId="7596" xr:uid="{00000000-0005-0000-0000-0000A91D0000}"/>
    <cellStyle name="20% - Énfasis6 2 2 3 3 3 3" xfId="7597" xr:uid="{00000000-0005-0000-0000-0000AA1D0000}"/>
    <cellStyle name="20% - Énfasis6 2 2 3 3 3 3 2" xfId="7598" xr:uid="{00000000-0005-0000-0000-0000AB1D0000}"/>
    <cellStyle name="20% - Énfasis6 2 2 3 3 3 4" xfId="7599" xr:uid="{00000000-0005-0000-0000-0000AC1D0000}"/>
    <cellStyle name="20% - Énfasis6 2 2 3 3 3 5" xfId="7600" xr:uid="{00000000-0005-0000-0000-0000AD1D0000}"/>
    <cellStyle name="20% - Énfasis6 2 2 3 3 4" xfId="7601" xr:uid="{00000000-0005-0000-0000-0000AE1D0000}"/>
    <cellStyle name="20% - Énfasis6 2 2 3 3 4 2" xfId="7602" xr:uid="{00000000-0005-0000-0000-0000AF1D0000}"/>
    <cellStyle name="20% - Énfasis6 2 2 3 3 5" xfId="7603" xr:uid="{00000000-0005-0000-0000-0000B01D0000}"/>
    <cellStyle name="20% - Énfasis6 2 2 3 3 5 2" xfId="7604" xr:uid="{00000000-0005-0000-0000-0000B11D0000}"/>
    <cellStyle name="20% - Énfasis6 2 2 3 3 6" xfId="7605" xr:uid="{00000000-0005-0000-0000-0000B21D0000}"/>
    <cellStyle name="20% - Énfasis6 2 2 3 3 7" xfId="7606" xr:uid="{00000000-0005-0000-0000-0000B31D0000}"/>
    <cellStyle name="20% - Énfasis6 2 2 3 4" xfId="7607" xr:uid="{00000000-0005-0000-0000-0000B41D0000}"/>
    <cellStyle name="20% - Énfasis6 2 2 3 4 2" xfId="7608" xr:uid="{00000000-0005-0000-0000-0000B51D0000}"/>
    <cellStyle name="20% - Énfasis6 2 2 3 4 2 2" xfId="7609" xr:uid="{00000000-0005-0000-0000-0000B61D0000}"/>
    <cellStyle name="20% - Énfasis6 2 2 3 4 2 2 2" xfId="7610" xr:uid="{00000000-0005-0000-0000-0000B71D0000}"/>
    <cellStyle name="20% - Énfasis6 2 2 3 4 2 3" xfId="7611" xr:uid="{00000000-0005-0000-0000-0000B81D0000}"/>
    <cellStyle name="20% - Énfasis6 2 2 3 4 2 4" xfId="7612" xr:uid="{00000000-0005-0000-0000-0000B91D0000}"/>
    <cellStyle name="20% - Énfasis6 2 2 3 4 3" xfId="7613" xr:uid="{00000000-0005-0000-0000-0000BA1D0000}"/>
    <cellStyle name="20% - Énfasis6 2 2 3 4 3 2" xfId="7614" xr:uid="{00000000-0005-0000-0000-0000BB1D0000}"/>
    <cellStyle name="20% - Énfasis6 2 2 3 4 4" xfId="7615" xr:uid="{00000000-0005-0000-0000-0000BC1D0000}"/>
    <cellStyle name="20% - Énfasis6 2 2 3 4 5" xfId="7616" xr:uid="{00000000-0005-0000-0000-0000BD1D0000}"/>
    <cellStyle name="20% - Énfasis6 2 2 3 5" xfId="7617" xr:uid="{00000000-0005-0000-0000-0000BE1D0000}"/>
    <cellStyle name="20% - Énfasis6 2 2 3 5 2" xfId="7618" xr:uid="{00000000-0005-0000-0000-0000BF1D0000}"/>
    <cellStyle name="20% - Énfasis6 2 2 3 5 2 2" xfId="7619" xr:uid="{00000000-0005-0000-0000-0000C01D0000}"/>
    <cellStyle name="20% - Énfasis6 2 2 3 5 3" xfId="7620" xr:uid="{00000000-0005-0000-0000-0000C11D0000}"/>
    <cellStyle name="20% - Énfasis6 2 2 3 5 3 2" xfId="7621" xr:uid="{00000000-0005-0000-0000-0000C21D0000}"/>
    <cellStyle name="20% - Énfasis6 2 2 3 5 4" xfId="7622" xr:uid="{00000000-0005-0000-0000-0000C31D0000}"/>
    <cellStyle name="20% - Énfasis6 2 2 3 5 5" xfId="7623" xr:uid="{00000000-0005-0000-0000-0000C41D0000}"/>
    <cellStyle name="20% - Énfasis6 2 2 3 6" xfId="7624" xr:uid="{00000000-0005-0000-0000-0000C51D0000}"/>
    <cellStyle name="20% - Énfasis6 2 2 3 6 2" xfId="7625" xr:uid="{00000000-0005-0000-0000-0000C61D0000}"/>
    <cellStyle name="20% - Énfasis6 2 2 3 7" xfId="7626" xr:uid="{00000000-0005-0000-0000-0000C71D0000}"/>
    <cellStyle name="20% - Énfasis6 2 2 3 7 2" xfId="7627" xr:uid="{00000000-0005-0000-0000-0000C81D0000}"/>
    <cellStyle name="20% - Énfasis6 2 2 3 8" xfId="7628" xr:uid="{00000000-0005-0000-0000-0000C91D0000}"/>
    <cellStyle name="20% - Énfasis6 2 2 3 9" xfId="7629" xr:uid="{00000000-0005-0000-0000-0000CA1D0000}"/>
    <cellStyle name="20% - Énfasis6 2 2 4" xfId="7630" xr:uid="{00000000-0005-0000-0000-0000CB1D0000}"/>
    <cellStyle name="20% - Énfasis6 2 2 4 2" xfId="7631" xr:uid="{00000000-0005-0000-0000-0000CC1D0000}"/>
    <cellStyle name="20% - Énfasis6 2 2 4 2 2" xfId="7632" xr:uid="{00000000-0005-0000-0000-0000CD1D0000}"/>
    <cellStyle name="20% - Énfasis6 2 2 4 2 2 2" xfId="7633" xr:uid="{00000000-0005-0000-0000-0000CE1D0000}"/>
    <cellStyle name="20% - Énfasis6 2 2 4 2 2 2 2" xfId="7634" xr:uid="{00000000-0005-0000-0000-0000CF1D0000}"/>
    <cellStyle name="20% - Énfasis6 2 2 4 2 2 2 2 2" xfId="7635" xr:uid="{00000000-0005-0000-0000-0000D01D0000}"/>
    <cellStyle name="20% - Énfasis6 2 2 4 2 2 2 3" xfId="7636" xr:uid="{00000000-0005-0000-0000-0000D11D0000}"/>
    <cellStyle name="20% - Énfasis6 2 2 4 2 2 2 4" xfId="7637" xr:uid="{00000000-0005-0000-0000-0000D21D0000}"/>
    <cellStyle name="20% - Énfasis6 2 2 4 2 2 3" xfId="7638" xr:uid="{00000000-0005-0000-0000-0000D31D0000}"/>
    <cellStyle name="20% - Énfasis6 2 2 4 2 2 3 2" xfId="7639" xr:uid="{00000000-0005-0000-0000-0000D41D0000}"/>
    <cellStyle name="20% - Énfasis6 2 2 4 2 2 4" xfId="7640" xr:uid="{00000000-0005-0000-0000-0000D51D0000}"/>
    <cellStyle name="20% - Énfasis6 2 2 4 2 2 5" xfId="7641" xr:uid="{00000000-0005-0000-0000-0000D61D0000}"/>
    <cellStyle name="20% - Énfasis6 2 2 4 2 3" xfId="7642" xr:uid="{00000000-0005-0000-0000-0000D71D0000}"/>
    <cellStyle name="20% - Énfasis6 2 2 4 2 3 2" xfId="7643" xr:uid="{00000000-0005-0000-0000-0000D81D0000}"/>
    <cellStyle name="20% - Énfasis6 2 2 4 2 3 2 2" xfId="7644" xr:uid="{00000000-0005-0000-0000-0000D91D0000}"/>
    <cellStyle name="20% - Énfasis6 2 2 4 2 3 3" xfId="7645" xr:uid="{00000000-0005-0000-0000-0000DA1D0000}"/>
    <cellStyle name="20% - Énfasis6 2 2 4 2 3 3 2" xfId="7646" xr:uid="{00000000-0005-0000-0000-0000DB1D0000}"/>
    <cellStyle name="20% - Énfasis6 2 2 4 2 3 4" xfId="7647" xr:uid="{00000000-0005-0000-0000-0000DC1D0000}"/>
    <cellStyle name="20% - Énfasis6 2 2 4 2 3 5" xfId="7648" xr:uid="{00000000-0005-0000-0000-0000DD1D0000}"/>
    <cellStyle name="20% - Énfasis6 2 2 4 2 4" xfId="7649" xr:uid="{00000000-0005-0000-0000-0000DE1D0000}"/>
    <cellStyle name="20% - Énfasis6 2 2 4 2 4 2" xfId="7650" xr:uid="{00000000-0005-0000-0000-0000DF1D0000}"/>
    <cellStyle name="20% - Énfasis6 2 2 4 2 5" xfId="7651" xr:uid="{00000000-0005-0000-0000-0000E01D0000}"/>
    <cellStyle name="20% - Énfasis6 2 2 4 2 5 2" xfId="7652" xr:uid="{00000000-0005-0000-0000-0000E11D0000}"/>
    <cellStyle name="20% - Énfasis6 2 2 4 2 6" xfId="7653" xr:uid="{00000000-0005-0000-0000-0000E21D0000}"/>
    <cellStyle name="20% - Énfasis6 2 2 4 2 7" xfId="7654" xr:uid="{00000000-0005-0000-0000-0000E31D0000}"/>
    <cellStyle name="20% - Énfasis6 2 2 4 3" xfId="7655" xr:uid="{00000000-0005-0000-0000-0000E41D0000}"/>
    <cellStyle name="20% - Énfasis6 2 2 4 3 2" xfId="7656" xr:uid="{00000000-0005-0000-0000-0000E51D0000}"/>
    <cellStyle name="20% - Énfasis6 2 2 4 3 2 2" xfId="7657" xr:uid="{00000000-0005-0000-0000-0000E61D0000}"/>
    <cellStyle name="20% - Énfasis6 2 2 4 3 2 2 2" xfId="7658" xr:uid="{00000000-0005-0000-0000-0000E71D0000}"/>
    <cellStyle name="20% - Énfasis6 2 2 4 3 2 3" xfId="7659" xr:uid="{00000000-0005-0000-0000-0000E81D0000}"/>
    <cellStyle name="20% - Énfasis6 2 2 4 3 2 4" xfId="7660" xr:uid="{00000000-0005-0000-0000-0000E91D0000}"/>
    <cellStyle name="20% - Énfasis6 2 2 4 3 3" xfId="7661" xr:uid="{00000000-0005-0000-0000-0000EA1D0000}"/>
    <cellStyle name="20% - Énfasis6 2 2 4 3 3 2" xfId="7662" xr:uid="{00000000-0005-0000-0000-0000EB1D0000}"/>
    <cellStyle name="20% - Énfasis6 2 2 4 3 4" xfId="7663" xr:uid="{00000000-0005-0000-0000-0000EC1D0000}"/>
    <cellStyle name="20% - Énfasis6 2 2 4 3 5" xfId="7664" xr:uid="{00000000-0005-0000-0000-0000ED1D0000}"/>
    <cellStyle name="20% - Énfasis6 2 2 4 4" xfId="7665" xr:uid="{00000000-0005-0000-0000-0000EE1D0000}"/>
    <cellStyle name="20% - Énfasis6 2 2 4 4 2" xfId="7666" xr:uid="{00000000-0005-0000-0000-0000EF1D0000}"/>
    <cellStyle name="20% - Énfasis6 2 2 4 4 2 2" xfId="7667" xr:uid="{00000000-0005-0000-0000-0000F01D0000}"/>
    <cellStyle name="20% - Énfasis6 2 2 4 4 3" xfId="7668" xr:uid="{00000000-0005-0000-0000-0000F11D0000}"/>
    <cellStyle name="20% - Énfasis6 2 2 4 4 3 2" xfId="7669" xr:uid="{00000000-0005-0000-0000-0000F21D0000}"/>
    <cellStyle name="20% - Énfasis6 2 2 4 4 4" xfId="7670" xr:uid="{00000000-0005-0000-0000-0000F31D0000}"/>
    <cellStyle name="20% - Énfasis6 2 2 4 4 5" xfId="7671" xr:uid="{00000000-0005-0000-0000-0000F41D0000}"/>
    <cellStyle name="20% - Énfasis6 2 2 4 5" xfId="7672" xr:uid="{00000000-0005-0000-0000-0000F51D0000}"/>
    <cellStyle name="20% - Énfasis6 2 2 4 5 2" xfId="7673" xr:uid="{00000000-0005-0000-0000-0000F61D0000}"/>
    <cellStyle name="20% - Énfasis6 2 2 4 6" xfId="7674" xr:uid="{00000000-0005-0000-0000-0000F71D0000}"/>
    <cellStyle name="20% - Énfasis6 2 2 4 6 2" xfId="7675" xr:uid="{00000000-0005-0000-0000-0000F81D0000}"/>
    <cellStyle name="20% - Énfasis6 2 2 4 7" xfId="7676" xr:uid="{00000000-0005-0000-0000-0000F91D0000}"/>
    <cellStyle name="20% - Énfasis6 2 2 4 8" xfId="7677" xr:uid="{00000000-0005-0000-0000-0000FA1D0000}"/>
    <cellStyle name="20% - Énfasis6 2 2 5" xfId="7678" xr:uid="{00000000-0005-0000-0000-0000FB1D0000}"/>
    <cellStyle name="20% - Énfasis6 2 2 5 2" xfId="7679" xr:uid="{00000000-0005-0000-0000-0000FC1D0000}"/>
    <cellStyle name="20% - Énfasis6 2 2 5 2 2" xfId="7680" xr:uid="{00000000-0005-0000-0000-0000FD1D0000}"/>
    <cellStyle name="20% - Énfasis6 2 2 5 2 2 2" xfId="7681" xr:uid="{00000000-0005-0000-0000-0000FE1D0000}"/>
    <cellStyle name="20% - Énfasis6 2 2 5 2 2 2 2" xfId="7682" xr:uid="{00000000-0005-0000-0000-0000FF1D0000}"/>
    <cellStyle name="20% - Énfasis6 2 2 5 2 2 3" xfId="7683" xr:uid="{00000000-0005-0000-0000-0000001E0000}"/>
    <cellStyle name="20% - Énfasis6 2 2 5 2 2 4" xfId="7684" xr:uid="{00000000-0005-0000-0000-0000011E0000}"/>
    <cellStyle name="20% - Énfasis6 2 2 5 2 3" xfId="7685" xr:uid="{00000000-0005-0000-0000-0000021E0000}"/>
    <cellStyle name="20% - Énfasis6 2 2 5 2 3 2" xfId="7686" xr:uid="{00000000-0005-0000-0000-0000031E0000}"/>
    <cellStyle name="20% - Énfasis6 2 2 5 2 4" xfId="7687" xr:uid="{00000000-0005-0000-0000-0000041E0000}"/>
    <cellStyle name="20% - Énfasis6 2 2 5 2 5" xfId="7688" xr:uid="{00000000-0005-0000-0000-0000051E0000}"/>
    <cellStyle name="20% - Énfasis6 2 2 5 3" xfId="7689" xr:uid="{00000000-0005-0000-0000-0000061E0000}"/>
    <cellStyle name="20% - Énfasis6 2 2 5 3 2" xfId="7690" xr:uid="{00000000-0005-0000-0000-0000071E0000}"/>
    <cellStyle name="20% - Énfasis6 2 2 5 3 3" xfId="7691" xr:uid="{00000000-0005-0000-0000-0000081E0000}"/>
    <cellStyle name="20% - Énfasis6 2 2 5 4" xfId="7692" xr:uid="{00000000-0005-0000-0000-0000091E0000}"/>
    <cellStyle name="20% - Énfasis6 2 2 5 4 2" xfId="7693" xr:uid="{00000000-0005-0000-0000-00000A1E0000}"/>
    <cellStyle name="20% - Énfasis6 2 2 5 5" xfId="7694" xr:uid="{00000000-0005-0000-0000-00000B1E0000}"/>
    <cellStyle name="20% - Énfasis6 2 2 6" xfId="7695" xr:uid="{00000000-0005-0000-0000-00000C1E0000}"/>
    <cellStyle name="20% - Énfasis6 2 2 6 2" xfId="7696" xr:uid="{00000000-0005-0000-0000-00000D1E0000}"/>
    <cellStyle name="20% - Énfasis6 2 2 6 2 2" xfId="7697" xr:uid="{00000000-0005-0000-0000-00000E1E0000}"/>
    <cellStyle name="20% - Énfasis6 2 2 6 2 2 2" xfId="7698" xr:uid="{00000000-0005-0000-0000-00000F1E0000}"/>
    <cellStyle name="20% - Énfasis6 2 2 6 2 3" xfId="7699" xr:uid="{00000000-0005-0000-0000-0000101E0000}"/>
    <cellStyle name="20% - Énfasis6 2 2 6 2 3 2" xfId="7700" xr:uid="{00000000-0005-0000-0000-0000111E0000}"/>
    <cellStyle name="20% - Énfasis6 2 2 6 2 4" xfId="7701" xr:uid="{00000000-0005-0000-0000-0000121E0000}"/>
    <cellStyle name="20% - Énfasis6 2 2 6 2 5" xfId="7702" xr:uid="{00000000-0005-0000-0000-0000131E0000}"/>
    <cellStyle name="20% - Énfasis6 2 2 6 3" xfId="7703" xr:uid="{00000000-0005-0000-0000-0000141E0000}"/>
    <cellStyle name="20% - Énfasis6 2 2 6 3 2" xfId="7704" xr:uid="{00000000-0005-0000-0000-0000151E0000}"/>
    <cellStyle name="20% - Énfasis6 2 2 6 4" xfId="7705" xr:uid="{00000000-0005-0000-0000-0000161E0000}"/>
    <cellStyle name="20% - Énfasis6 2 2 6 4 2" xfId="7706" xr:uid="{00000000-0005-0000-0000-0000171E0000}"/>
    <cellStyle name="20% - Énfasis6 2 2 6 5" xfId="7707" xr:uid="{00000000-0005-0000-0000-0000181E0000}"/>
    <cellStyle name="20% - Énfasis6 2 2 6 6" xfId="7708" xr:uid="{00000000-0005-0000-0000-0000191E0000}"/>
    <cellStyle name="20% - Énfasis6 2 2 7" xfId="7709" xr:uid="{00000000-0005-0000-0000-00001A1E0000}"/>
    <cellStyle name="20% - Énfasis6 2 2 7 2" xfId="7710" xr:uid="{00000000-0005-0000-0000-00001B1E0000}"/>
    <cellStyle name="20% - Énfasis6 2 2 7 2 2" xfId="7711" xr:uid="{00000000-0005-0000-0000-00001C1E0000}"/>
    <cellStyle name="20% - Énfasis6 2 2 7 3" xfId="7712" xr:uid="{00000000-0005-0000-0000-00001D1E0000}"/>
    <cellStyle name="20% - Énfasis6 2 2 7 3 2" xfId="7713" xr:uid="{00000000-0005-0000-0000-00001E1E0000}"/>
    <cellStyle name="20% - Énfasis6 2 2 7 4" xfId="7714" xr:uid="{00000000-0005-0000-0000-00001F1E0000}"/>
    <cellStyle name="20% - Énfasis6 2 2 7 5" xfId="7715" xr:uid="{00000000-0005-0000-0000-0000201E0000}"/>
    <cellStyle name="20% - Énfasis6 2 2 8" xfId="7716" xr:uid="{00000000-0005-0000-0000-0000211E0000}"/>
    <cellStyle name="20% - Énfasis6 2 2 8 2" xfId="7717" xr:uid="{00000000-0005-0000-0000-0000221E0000}"/>
    <cellStyle name="20% - Énfasis6 2 2 8 2 2" xfId="7718" xr:uid="{00000000-0005-0000-0000-0000231E0000}"/>
    <cellStyle name="20% - Énfasis6 2 2 8 3" xfId="7719" xr:uid="{00000000-0005-0000-0000-0000241E0000}"/>
    <cellStyle name="20% - Énfasis6 2 2 9" xfId="7720" xr:uid="{00000000-0005-0000-0000-0000251E0000}"/>
    <cellStyle name="20% - Énfasis6 2 2 9 2" xfId="7721" xr:uid="{00000000-0005-0000-0000-0000261E0000}"/>
    <cellStyle name="20% - Énfasis6 2 3" xfId="7722" xr:uid="{00000000-0005-0000-0000-0000271E0000}"/>
    <cellStyle name="20% - Énfasis6 2 3 10" xfId="7723" xr:uid="{00000000-0005-0000-0000-0000281E0000}"/>
    <cellStyle name="20% - Énfasis6 2 3 2" xfId="7724" xr:uid="{00000000-0005-0000-0000-0000291E0000}"/>
    <cellStyle name="20% - Énfasis6 2 3 2 2" xfId="7725" xr:uid="{00000000-0005-0000-0000-00002A1E0000}"/>
    <cellStyle name="20% - Énfasis6 2 3 2 2 2" xfId="7726" xr:uid="{00000000-0005-0000-0000-00002B1E0000}"/>
    <cellStyle name="20% - Énfasis6 2 3 2 2 2 2" xfId="7727" xr:uid="{00000000-0005-0000-0000-00002C1E0000}"/>
    <cellStyle name="20% - Énfasis6 2 3 2 2 2 2 2" xfId="7728" xr:uid="{00000000-0005-0000-0000-00002D1E0000}"/>
    <cellStyle name="20% - Énfasis6 2 3 2 2 2 2 2 2" xfId="7729" xr:uid="{00000000-0005-0000-0000-00002E1E0000}"/>
    <cellStyle name="20% - Énfasis6 2 3 2 2 2 2 2 2 2" xfId="7730" xr:uid="{00000000-0005-0000-0000-00002F1E0000}"/>
    <cellStyle name="20% - Énfasis6 2 3 2 2 2 2 2 3" xfId="7731" xr:uid="{00000000-0005-0000-0000-0000301E0000}"/>
    <cellStyle name="20% - Énfasis6 2 3 2 2 2 2 2 4" xfId="7732" xr:uid="{00000000-0005-0000-0000-0000311E0000}"/>
    <cellStyle name="20% - Énfasis6 2 3 2 2 2 2 3" xfId="7733" xr:uid="{00000000-0005-0000-0000-0000321E0000}"/>
    <cellStyle name="20% - Énfasis6 2 3 2 2 2 2 3 2" xfId="7734" xr:uid="{00000000-0005-0000-0000-0000331E0000}"/>
    <cellStyle name="20% - Énfasis6 2 3 2 2 2 2 4" xfId="7735" xr:uid="{00000000-0005-0000-0000-0000341E0000}"/>
    <cellStyle name="20% - Énfasis6 2 3 2 2 2 2 5" xfId="7736" xr:uid="{00000000-0005-0000-0000-0000351E0000}"/>
    <cellStyle name="20% - Énfasis6 2 3 2 2 2 3" xfId="7737" xr:uid="{00000000-0005-0000-0000-0000361E0000}"/>
    <cellStyle name="20% - Énfasis6 2 3 2 2 2 3 2" xfId="7738" xr:uid="{00000000-0005-0000-0000-0000371E0000}"/>
    <cellStyle name="20% - Énfasis6 2 3 2 2 2 3 2 2" xfId="7739" xr:uid="{00000000-0005-0000-0000-0000381E0000}"/>
    <cellStyle name="20% - Énfasis6 2 3 2 2 2 3 3" xfId="7740" xr:uid="{00000000-0005-0000-0000-0000391E0000}"/>
    <cellStyle name="20% - Énfasis6 2 3 2 2 2 3 4" xfId="7741" xr:uid="{00000000-0005-0000-0000-00003A1E0000}"/>
    <cellStyle name="20% - Énfasis6 2 3 2 2 2 4" xfId="7742" xr:uid="{00000000-0005-0000-0000-00003B1E0000}"/>
    <cellStyle name="20% - Énfasis6 2 3 2 2 2 4 2" xfId="7743" xr:uid="{00000000-0005-0000-0000-00003C1E0000}"/>
    <cellStyle name="20% - Énfasis6 2 3 2 2 2 5" xfId="7744" xr:uid="{00000000-0005-0000-0000-00003D1E0000}"/>
    <cellStyle name="20% - Énfasis6 2 3 2 2 2 6" xfId="7745" xr:uid="{00000000-0005-0000-0000-00003E1E0000}"/>
    <cellStyle name="20% - Énfasis6 2 3 2 2 3" xfId="7746" xr:uid="{00000000-0005-0000-0000-00003F1E0000}"/>
    <cellStyle name="20% - Énfasis6 2 3 2 2 3 2" xfId="7747" xr:uid="{00000000-0005-0000-0000-0000401E0000}"/>
    <cellStyle name="20% - Énfasis6 2 3 2 2 3 2 2" xfId="7748" xr:uid="{00000000-0005-0000-0000-0000411E0000}"/>
    <cellStyle name="20% - Énfasis6 2 3 2 2 3 2 2 2" xfId="7749" xr:uid="{00000000-0005-0000-0000-0000421E0000}"/>
    <cellStyle name="20% - Énfasis6 2 3 2 2 3 2 3" xfId="7750" xr:uid="{00000000-0005-0000-0000-0000431E0000}"/>
    <cellStyle name="20% - Énfasis6 2 3 2 2 3 2 4" xfId="7751" xr:uid="{00000000-0005-0000-0000-0000441E0000}"/>
    <cellStyle name="20% - Énfasis6 2 3 2 2 3 3" xfId="7752" xr:uid="{00000000-0005-0000-0000-0000451E0000}"/>
    <cellStyle name="20% - Énfasis6 2 3 2 2 3 3 2" xfId="7753" xr:uid="{00000000-0005-0000-0000-0000461E0000}"/>
    <cellStyle name="20% - Énfasis6 2 3 2 2 3 4" xfId="7754" xr:uid="{00000000-0005-0000-0000-0000471E0000}"/>
    <cellStyle name="20% - Énfasis6 2 3 2 2 3 5" xfId="7755" xr:uid="{00000000-0005-0000-0000-0000481E0000}"/>
    <cellStyle name="20% - Énfasis6 2 3 2 2 4" xfId="7756" xr:uid="{00000000-0005-0000-0000-0000491E0000}"/>
    <cellStyle name="20% - Énfasis6 2 3 2 2 4 2" xfId="7757" xr:uid="{00000000-0005-0000-0000-00004A1E0000}"/>
    <cellStyle name="20% - Énfasis6 2 3 2 2 4 2 2" xfId="7758" xr:uid="{00000000-0005-0000-0000-00004B1E0000}"/>
    <cellStyle name="20% - Énfasis6 2 3 2 2 4 3" xfId="7759" xr:uid="{00000000-0005-0000-0000-00004C1E0000}"/>
    <cellStyle name="20% - Énfasis6 2 3 2 2 4 4" xfId="7760" xr:uid="{00000000-0005-0000-0000-00004D1E0000}"/>
    <cellStyle name="20% - Énfasis6 2 3 2 2 5" xfId="7761" xr:uid="{00000000-0005-0000-0000-00004E1E0000}"/>
    <cellStyle name="20% - Énfasis6 2 3 2 2 5 2" xfId="7762" xr:uid="{00000000-0005-0000-0000-00004F1E0000}"/>
    <cellStyle name="20% - Énfasis6 2 3 2 2 6" xfId="7763" xr:uid="{00000000-0005-0000-0000-0000501E0000}"/>
    <cellStyle name="20% - Énfasis6 2 3 2 2 7" xfId="7764" xr:uid="{00000000-0005-0000-0000-0000511E0000}"/>
    <cellStyle name="20% - Énfasis6 2 3 2 3" xfId="7765" xr:uid="{00000000-0005-0000-0000-0000521E0000}"/>
    <cellStyle name="20% - Énfasis6 2 3 2 3 2" xfId="7766" xr:uid="{00000000-0005-0000-0000-0000531E0000}"/>
    <cellStyle name="20% - Énfasis6 2 3 2 3 2 2" xfId="7767" xr:uid="{00000000-0005-0000-0000-0000541E0000}"/>
    <cellStyle name="20% - Énfasis6 2 3 2 3 2 2 2" xfId="7768" xr:uid="{00000000-0005-0000-0000-0000551E0000}"/>
    <cellStyle name="20% - Énfasis6 2 3 2 3 2 2 2 2" xfId="7769" xr:uid="{00000000-0005-0000-0000-0000561E0000}"/>
    <cellStyle name="20% - Énfasis6 2 3 2 3 2 2 3" xfId="7770" xr:uid="{00000000-0005-0000-0000-0000571E0000}"/>
    <cellStyle name="20% - Énfasis6 2 3 2 3 2 2 4" xfId="7771" xr:uid="{00000000-0005-0000-0000-0000581E0000}"/>
    <cellStyle name="20% - Énfasis6 2 3 2 3 2 3" xfId="7772" xr:uid="{00000000-0005-0000-0000-0000591E0000}"/>
    <cellStyle name="20% - Énfasis6 2 3 2 3 2 3 2" xfId="7773" xr:uid="{00000000-0005-0000-0000-00005A1E0000}"/>
    <cellStyle name="20% - Énfasis6 2 3 2 3 2 4" xfId="7774" xr:uid="{00000000-0005-0000-0000-00005B1E0000}"/>
    <cellStyle name="20% - Énfasis6 2 3 2 3 2 5" xfId="7775" xr:uid="{00000000-0005-0000-0000-00005C1E0000}"/>
    <cellStyle name="20% - Énfasis6 2 3 2 3 3" xfId="7776" xr:uid="{00000000-0005-0000-0000-00005D1E0000}"/>
    <cellStyle name="20% - Énfasis6 2 3 2 3 3 2" xfId="7777" xr:uid="{00000000-0005-0000-0000-00005E1E0000}"/>
    <cellStyle name="20% - Énfasis6 2 3 2 3 3 2 2" xfId="7778" xr:uid="{00000000-0005-0000-0000-00005F1E0000}"/>
    <cellStyle name="20% - Énfasis6 2 3 2 3 3 3" xfId="7779" xr:uid="{00000000-0005-0000-0000-0000601E0000}"/>
    <cellStyle name="20% - Énfasis6 2 3 2 3 3 3 2" xfId="7780" xr:uid="{00000000-0005-0000-0000-0000611E0000}"/>
    <cellStyle name="20% - Énfasis6 2 3 2 3 3 4" xfId="7781" xr:uid="{00000000-0005-0000-0000-0000621E0000}"/>
    <cellStyle name="20% - Énfasis6 2 3 2 3 3 5" xfId="7782" xr:uid="{00000000-0005-0000-0000-0000631E0000}"/>
    <cellStyle name="20% - Énfasis6 2 3 2 3 4" xfId="7783" xr:uid="{00000000-0005-0000-0000-0000641E0000}"/>
    <cellStyle name="20% - Énfasis6 2 3 2 3 4 2" xfId="7784" xr:uid="{00000000-0005-0000-0000-0000651E0000}"/>
    <cellStyle name="20% - Énfasis6 2 3 2 3 5" xfId="7785" xr:uid="{00000000-0005-0000-0000-0000661E0000}"/>
    <cellStyle name="20% - Énfasis6 2 3 2 3 5 2" xfId="7786" xr:uid="{00000000-0005-0000-0000-0000671E0000}"/>
    <cellStyle name="20% - Énfasis6 2 3 2 3 6" xfId="7787" xr:uid="{00000000-0005-0000-0000-0000681E0000}"/>
    <cellStyle name="20% - Énfasis6 2 3 2 3 7" xfId="7788" xr:uid="{00000000-0005-0000-0000-0000691E0000}"/>
    <cellStyle name="20% - Énfasis6 2 3 2 4" xfId="7789" xr:uid="{00000000-0005-0000-0000-00006A1E0000}"/>
    <cellStyle name="20% - Énfasis6 2 3 2 4 2" xfId="7790" xr:uid="{00000000-0005-0000-0000-00006B1E0000}"/>
    <cellStyle name="20% - Énfasis6 2 3 2 4 2 2" xfId="7791" xr:uid="{00000000-0005-0000-0000-00006C1E0000}"/>
    <cellStyle name="20% - Énfasis6 2 3 2 4 2 2 2" xfId="7792" xr:uid="{00000000-0005-0000-0000-00006D1E0000}"/>
    <cellStyle name="20% - Énfasis6 2 3 2 4 2 3" xfId="7793" xr:uid="{00000000-0005-0000-0000-00006E1E0000}"/>
    <cellStyle name="20% - Énfasis6 2 3 2 4 2 4" xfId="7794" xr:uid="{00000000-0005-0000-0000-00006F1E0000}"/>
    <cellStyle name="20% - Énfasis6 2 3 2 4 3" xfId="7795" xr:uid="{00000000-0005-0000-0000-0000701E0000}"/>
    <cellStyle name="20% - Énfasis6 2 3 2 4 3 2" xfId="7796" xr:uid="{00000000-0005-0000-0000-0000711E0000}"/>
    <cellStyle name="20% - Énfasis6 2 3 2 4 4" xfId="7797" xr:uid="{00000000-0005-0000-0000-0000721E0000}"/>
    <cellStyle name="20% - Énfasis6 2 3 2 4 5" xfId="7798" xr:uid="{00000000-0005-0000-0000-0000731E0000}"/>
    <cellStyle name="20% - Énfasis6 2 3 2 5" xfId="7799" xr:uid="{00000000-0005-0000-0000-0000741E0000}"/>
    <cellStyle name="20% - Énfasis6 2 3 2 5 2" xfId="7800" xr:uid="{00000000-0005-0000-0000-0000751E0000}"/>
    <cellStyle name="20% - Énfasis6 2 3 2 5 2 2" xfId="7801" xr:uid="{00000000-0005-0000-0000-0000761E0000}"/>
    <cellStyle name="20% - Énfasis6 2 3 2 5 3" xfId="7802" xr:uid="{00000000-0005-0000-0000-0000771E0000}"/>
    <cellStyle name="20% - Énfasis6 2 3 2 5 3 2" xfId="7803" xr:uid="{00000000-0005-0000-0000-0000781E0000}"/>
    <cellStyle name="20% - Énfasis6 2 3 2 5 4" xfId="7804" xr:uid="{00000000-0005-0000-0000-0000791E0000}"/>
    <cellStyle name="20% - Énfasis6 2 3 2 5 5" xfId="7805" xr:uid="{00000000-0005-0000-0000-00007A1E0000}"/>
    <cellStyle name="20% - Énfasis6 2 3 2 6" xfId="7806" xr:uid="{00000000-0005-0000-0000-00007B1E0000}"/>
    <cellStyle name="20% - Énfasis6 2 3 2 6 2" xfId="7807" xr:uid="{00000000-0005-0000-0000-00007C1E0000}"/>
    <cellStyle name="20% - Énfasis6 2 3 2 7" xfId="7808" xr:uid="{00000000-0005-0000-0000-00007D1E0000}"/>
    <cellStyle name="20% - Énfasis6 2 3 2 7 2" xfId="7809" xr:uid="{00000000-0005-0000-0000-00007E1E0000}"/>
    <cellStyle name="20% - Énfasis6 2 3 2 8" xfId="7810" xr:uid="{00000000-0005-0000-0000-00007F1E0000}"/>
    <cellStyle name="20% - Énfasis6 2 3 2 9" xfId="7811" xr:uid="{00000000-0005-0000-0000-0000801E0000}"/>
    <cellStyle name="20% - Énfasis6 2 3 3" xfId="7812" xr:uid="{00000000-0005-0000-0000-0000811E0000}"/>
    <cellStyle name="20% - Énfasis6 2 3 3 2" xfId="7813" xr:uid="{00000000-0005-0000-0000-0000821E0000}"/>
    <cellStyle name="20% - Énfasis6 2 3 3 2 2" xfId="7814" xr:uid="{00000000-0005-0000-0000-0000831E0000}"/>
    <cellStyle name="20% - Énfasis6 2 3 3 2 2 2" xfId="7815" xr:uid="{00000000-0005-0000-0000-0000841E0000}"/>
    <cellStyle name="20% - Énfasis6 2 3 3 2 2 2 2" xfId="7816" xr:uid="{00000000-0005-0000-0000-0000851E0000}"/>
    <cellStyle name="20% - Énfasis6 2 3 3 2 2 2 2 2" xfId="7817" xr:uid="{00000000-0005-0000-0000-0000861E0000}"/>
    <cellStyle name="20% - Énfasis6 2 3 3 2 2 2 3" xfId="7818" xr:uid="{00000000-0005-0000-0000-0000871E0000}"/>
    <cellStyle name="20% - Énfasis6 2 3 3 2 2 2 4" xfId="7819" xr:uid="{00000000-0005-0000-0000-0000881E0000}"/>
    <cellStyle name="20% - Énfasis6 2 3 3 2 2 3" xfId="7820" xr:uid="{00000000-0005-0000-0000-0000891E0000}"/>
    <cellStyle name="20% - Énfasis6 2 3 3 2 2 3 2" xfId="7821" xr:uid="{00000000-0005-0000-0000-00008A1E0000}"/>
    <cellStyle name="20% - Énfasis6 2 3 3 2 2 4" xfId="7822" xr:uid="{00000000-0005-0000-0000-00008B1E0000}"/>
    <cellStyle name="20% - Énfasis6 2 3 3 2 2 5" xfId="7823" xr:uid="{00000000-0005-0000-0000-00008C1E0000}"/>
    <cellStyle name="20% - Énfasis6 2 3 3 2 3" xfId="7824" xr:uid="{00000000-0005-0000-0000-00008D1E0000}"/>
    <cellStyle name="20% - Énfasis6 2 3 3 2 3 2" xfId="7825" xr:uid="{00000000-0005-0000-0000-00008E1E0000}"/>
    <cellStyle name="20% - Énfasis6 2 3 3 2 3 2 2" xfId="7826" xr:uid="{00000000-0005-0000-0000-00008F1E0000}"/>
    <cellStyle name="20% - Énfasis6 2 3 3 2 3 3" xfId="7827" xr:uid="{00000000-0005-0000-0000-0000901E0000}"/>
    <cellStyle name="20% - Énfasis6 2 3 3 2 3 3 2" xfId="7828" xr:uid="{00000000-0005-0000-0000-0000911E0000}"/>
    <cellStyle name="20% - Énfasis6 2 3 3 2 3 4" xfId="7829" xr:uid="{00000000-0005-0000-0000-0000921E0000}"/>
    <cellStyle name="20% - Énfasis6 2 3 3 2 3 5" xfId="7830" xr:uid="{00000000-0005-0000-0000-0000931E0000}"/>
    <cellStyle name="20% - Énfasis6 2 3 3 2 4" xfId="7831" xr:uid="{00000000-0005-0000-0000-0000941E0000}"/>
    <cellStyle name="20% - Énfasis6 2 3 3 2 4 2" xfId="7832" xr:uid="{00000000-0005-0000-0000-0000951E0000}"/>
    <cellStyle name="20% - Énfasis6 2 3 3 2 5" xfId="7833" xr:uid="{00000000-0005-0000-0000-0000961E0000}"/>
    <cellStyle name="20% - Énfasis6 2 3 3 2 5 2" xfId="7834" xr:uid="{00000000-0005-0000-0000-0000971E0000}"/>
    <cellStyle name="20% - Énfasis6 2 3 3 2 6" xfId="7835" xr:uid="{00000000-0005-0000-0000-0000981E0000}"/>
    <cellStyle name="20% - Énfasis6 2 3 3 2 7" xfId="7836" xr:uid="{00000000-0005-0000-0000-0000991E0000}"/>
    <cellStyle name="20% - Énfasis6 2 3 3 3" xfId="7837" xr:uid="{00000000-0005-0000-0000-00009A1E0000}"/>
    <cellStyle name="20% - Énfasis6 2 3 3 3 2" xfId="7838" xr:uid="{00000000-0005-0000-0000-00009B1E0000}"/>
    <cellStyle name="20% - Énfasis6 2 3 3 3 2 2" xfId="7839" xr:uid="{00000000-0005-0000-0000-00009C1E0000}"/>
    <cellStyle name="20% - Énfasis6 2 3 3 3 2 2 2" xfId="7840" xr:uid="{00000000-0005-0000-0000-00009D1E0000}"/>
    <cellStyle name="20% - Énfasis6 2 3 3 3 2 3" xfId="7841" xr:uid="{00000000-0005-0000-0000-00009E1E0000}"/>
    <cellStyle name="20% - Énfasis6 2 3 3 3 2 4" xfId="7842" xr:uid="{00000000-0005-0000-0000-00009F1E0000}"/>
    <cellStyle name="20% - Énfasis6 2 3 3 3 3" xfId="7843" xr:uid="{00000000-0005-0000-0000-0000A01E0000}"/>
    <cellStyle name="20% - Énfasis6 2 3 3 3 3 2" xfId="7844" xr:uid="{00000000-0005-0000-0000-0000A11E0000}"/>
    <cellStyle name="20% - Énfasis6 2 3 3 3 4" xfId="7845" xr:uid="{00000000-0005-0000-0000-0000A21E0000}"/>
    <cellStyle name="20% - Énfasis6 2 3 3 3 5" xfId="7846" xr:uid="{00000000-0005-0000-0000-0000A31E0000}"/>
    <cellStyle name="20% - Énfasis6 2 3 3 4" xfId="7847" xr:uid="{00000000-0005-0000-0000-0000A41E0000}"/>
    <cellStyle name="20% - Énfasis6 2 3 3 4 2" xfId="7848" xr:uid="{00000000-0005-0000-0000-0000A51E0000}"/>
    <cellStyle name="20% - Énfasis6 2 3 3 4 2 2" xfId="7849" xr:uid="{00000000-0005-0000-0000-0000A61E0000}"/>
    <cellStyle name="20% - Énfasis6 2 3 3 4 3" xfId="7850" xr:uid="{00000000-0005-0000-0000-0000A71E0000}"/>
    <cellStyle name="20% - Énfasis6 2 3 3 4 3 2" xfId="7851" xr:uid="{00000000-0005-0000-0000-0000A81E0000}"/>
    <cellStyle name="20% - Énfasis6 2 3 3 4 4" xfId="7852" xr:uid="{00000000-0005-0000-0000-0000A91E0000}"/>
    <cellStyle name="20% - Énfasis6 2 3 3 4 5" xfId="7853" xr:uid="{00000000-0005-0000-0000-0000AA1E0000}"/>
    <cellStyle name="20% - Énfasis6 2 3 3 5" xfId="7854" xr:uid="{00000000-0005-0000-0000-0000AB1E0000}"/>
    <cellStyle name="20% - Énfasis6 2 3 3 5 2" xfId="7855" xr:uid="{00000000-0005-0000-0000-0000AC1E0000}"/>
    <cellStyle name="20% - Énfasis6 2 3 3 6" xfId="7856" xr:uid="{00000000-0005-0000-0000-0000AD1E0000}"/>
    <cellStyle name="20% - Énfasis6 2 3 3 6 2" xfId="7857" xr:uid="{00000000-0005-0000-0000-0000AE1E0000}"/>
    <cellStyle name="20% - Énfasis6 2 3 3 7" xfId="7858" xr:uid="{00000000-0005-0000-0000-0000AF1E0000}"/>
    <cellStyle name="20% - Énfasis6 2 3 3 8" xfId="7859" xr:uid="{00000000-0005-0000-0000-0000B01E0000}"/>
    <cellStyle name="20% - Énfasis6 2 3 4" xfId="7860" xr:uid="{00000000-0005-0000-0000-0000B11E0000}"/>
    <cellStyle name="20% - Énfasis6 2 3 4 2" xfId="7861" xr:uid="{00000000-0005-0000-0000-0000B21E0000}"/>
    <cellStyle name="20% - Énfasis6 2 3 4 2 2" xfId="7862" xr:uid="{00000000-0005-0000-0000-0000B31E0000}"/>
    <cellStyle name="20% - Énfasis6 2 3 4 2 2 2" xfId="7863" xr:uid="{00000000-0005-0000-0000-0000B41E0000}"/>
    <cellStyle name="20% - Énfasis6 2 3 4 2 2 2 2" xfId="7864" xr:uid="{00000000-0005-0000-0000-0000B51E0000}"/>
    <cellStyle name="20% - Énfasis6 2 3 4 2 2 3" xfId="7865" xr:uid="{00000000-0005-0000-0000-0000B61E0000}"/>
    <cellStyle name="20% - Énfasis6 2 3 4 2 2 4" xfId="7866" xr:uid="{00000000-0005-0000-0000-0000B71E0000}"/>
    <cellStyle name="20% - Énfasis6 2 3 4 2 3" xfId="7867" xr:uid="{00000000-0005-0000-0000-0000B81E0000}"/>
    <cellStyle name="20% - Énfasis6 2 3 4 2 3 2" xfId="7868" xr:uid="{00000000-0005-0000-0000-0000B91E0000}"/>
    <cellStyle name="20% - Énfasis6 2 3 4 2 4" xfId="7869" xr:uid="{00000000-0005-0000-0000-0000BA1E0000}"/>
    <cellStyle name="20% - Énfasis6 2 3 4 2 5" xfId="7870" xr:uid="{00000000-0005-0000-0000-0000BB1E0000}"/>
    <cellStyle name="20% - Énfasis6 2 3 4 3" xfId="7871" xr:uid="{00000000-0005-0000-0000-0000BC1E0000}"/>
    <cellStyle name="20% - Énfasis6 2 3 4 3 2" xfId="7872" xr:uid="{00000000-0005-0000-0000-0000BD1E0000}"/>
    <cellStyle name="20% - Énfasis6 2 3 4 3 2 2" xfId="7873" xr:uid="{00000000-0005-0000-0000-0000BE1E0000}"/>
    <cellStyle name="20% - Énfasis6 2 3 4 3 3" xfId="7874" xr:uid="{00000000-0005-0000-0000-0000BF1E0000}"/>
    <cellStyle name="20% - Énfasis6 2 3 4 3 3 2" xfId="7875" xr:uid="{00000000-0005-0000-0000-0000C01E0000}"/>
    <cellStyle name="20% - Énfasis6 2 3 4 3 4" xfId="7876" xr:uid="{00000000-0005-0000-0000-0000C11E0000}"/>
    <cellStyle name="20% - Énfasis6 2 3 4 3 5" xfId="7877" xr:uid="{00000000-0005-0000-0000-0000C21E0000}"/>
    <cellStyle name="20% - Énfasis6 2 3 4 4" xfId="7878" xr:uid="{00000000-0005-0000-0000-0000C31E0000}"/>
    <cellStyle name="20% - Énfasis6 2 3 4 4 2" xfId="7879" xr:uid="{00000000-0005-0000-0000-0000C41E0000}"/>
    <cellStyle name="20% - Énfasis6 2 3 4 5" xfId="7880" xr:uid="{00000000-0005-0000-0000-0000C51E0000}"/>
    <cellStyle name="20% - Énfasis6 2 3 4 5 2" xfId="7881" xr:uid="{00000000-0005-0000-0000-0000C61E0000}"/>
    <cellStyle name="20% - Énfasis6 2 3 4 6" xfId="7882" xr:uid="{00000000-0005-0000-0000-0000C71E0000}"/>
    <cellStyle name="20% - Énfasis6 2 3 4 7" xfId="7883" xr:uid="{00000000-0005-0000-0000-0000C81E0000}"/>
    <cellStyle name="20% - Énfasis6 2 3 5" xfId="7884" xr:uid="{00000000-0005-0000-0000-0000C91E0000}"/>
    <cellStyle name="20% - Énfasis6 2 3 5 2" xfId="7885" xr:uid="{00000000-0005-0000-0000-0000CA1E0000}"/>
    <cellStyle name="20% - Énfasis6 2 3 5 2 2" xfId="7886" xr:uid="{00000000-0005-0000-0000-0000CB1E0000}"/>
    <cellStyle name="20% - Énfasis6 2 3 5 2 2 2" xfId="7887" xr:uid="{00000000-0005-0000-0000-0000CC1E0000}"/>
    <cellStyle name="20% - Énfasis6 2 3 5 2 3" xfId="7888" xr:uid="{00000000-0005-0000-0000-0000CD1E0000}"/>
    <cellStyle name="20% - Énfasis6 2 3 5 2 4" xfId="7889" xr:uid="{00000000-0005-0000-0000-0000CE1E0000}"/>
    <cellStyle name="20% - Énfasis6 2 3 5 3" xfId="7890" xr:uid="{00000000-0005-0000-0000-0000CF1E0000}"/>
    <cellStyle name="20% - Énfasis6 2 3 5 3 2" xfId="7891" xr:uid="{00000000-0005-0000-0000-0000D01E0000}"/>
    <cellStyle name="20% - Énfasis6 2 3 5 4" xfId="7892" xr:uid="{00000000-0005-0000-0000-0000D11E0000}"/>
    <cellStyle name="20% - Énfasis6 2 3 5 5" xfId="7893" xr:uid="{00000000-0005-0000-0000-0000D21E0000}"/>
    <cellStyle name="20% - Énfasis6 2 3 6" xfId="7894" xr:uid="{00000000-0005-0000-0000-0000D31E0000}"/>
    <cellStyle name="20% - Énfasis6 2 3 6 2" xfId="7895" xr:uid="{00000000-0005-0000-0000-0000D41E0000}"/>
    <cellStyle name="20% - Énfasis6 2 3 6 2 2" xfId="7896" xr:uid="{00000000-0005-0000-0000-0000D51E0000}"/>
    <cellStyle name="20% - Énfasis6 2 3 6 3" xfId="7897" xr:uid="{00000000-0005-0000-0000-0000D61E0000}"/>
    <cellStyle name="20% - Énfasis6 2 3 6 3 2" xfId="7898" xr:uid="{00000000-0005-0000-0000-0000D71E0000}"/>
    <cellStyle name="20% - Énfasis6 2 3 6 4" xfId="7899" xr:uid="{00000000-0005-0000-0000-0000D81E0000}"/>
    <cellStyle name="20% - Énfasis6 2 3 6 5" xfId="7900" xr:uid="{00000000-0005-0000-0000-0000D91E0000}"/>
    <cellStyle name="20% - Énfasis6 2 3 7" xfId="7901" xr:uid="{00000000-0005-0000-0000-0000DA1E0000}"/>
    <cellStyle name="20% - Énfasis6 2 3 7 2" xfId="7902" xr:uid="{00000000-0005-0000-0000-0000DB1E0000}"/>
    <cellStyle name="20% - Énfasis6 2 3 8" xfId="7903" xr:uid="{00000000-0005-0000-0000-0000DC1E0000}"/>
    <cellStyle name="20% - Énfasis6 2 3 8 2" xfId="7904" xr:uid="{00000000-0005-0000-0000-0000DD1E0000}"/>
    <cellStyle name="20% - Énfasis6 2 3 9" xfId="7905" xr:uid="{00000000-0005-0000-0000-0000DE1E0000}"/>
    <cellStyle name="20% - Énfasis6 2 4" xfId="7906" xr:uid="{00000000-0005-0000-0000-0000DF1E0000}"/>
    <cellStyle name="20% - Énfasis6 2 4 2" xfId="7907" xr:uid="{00000000-0005-0000-0000-0000E01E0000}"/>
    <cellStyle name="20% - Énfasis6 2 4 2 2" xfId="7908" xr:uid="{00000000-0005-0000-0000-0000E11E0000}"/>
    <cellStyle name="20% - Énfasis6 2 4 2 2 2" xfId="7909" xr:uid="{00000000-0005-0000-0000-0000E21E0000}"/>
    <cellStyle name="20% - Énfasis6 2 4 2 2 2 2" xfId="7910" xr:uid="{00000000-0005-0000-0000-0000E31E0000}"/>
    <cellStyle name="20% - Énfasis6 2 4 2 2 2 2 2" xfId="7911" xr:uid="{00000000-0005-0000-0000-0000E41E0000}"/>
    <cellStyle name="20% - Énfasis6 2 4 2 2 2 2 2 2" xfId="7912" xr:uid="{00000000-0005-0000-0000-0000E51E0000}"/>
    <cellStyle name="20% - Énfasis6 2 4 2 2 2 2 3" xfId="7913" xr:uid="{00000000-0005-0000-0000-0000E61E0000}"/>
    <cellStyle name="20% - Énfasis6 2 4 2 2 2 2 4" xfId="7914" xr:uid="{00000000-0005-0000-0000-0000E71E0000}"/>
    <cellStyle name="20% - Énfasis6 2 4 2 2 2 3" xfId="7915" xr:uid="{00000000-0005-0000-0000-0000E81E0000}"/>
    <cellStyle name="20% - Énfasis6 2 4 2 2 2 3 2" xfId="7916" xr:uid="{00000000-0005-0000-0000-0000E91E0000}"/>
    <cellStyle name="20% - Énfasis6 2 4 2 2 2 4" xfId="7917" xr:uid="{00000000-0005-0000-0000-0000EA1E0000}"/>
    <cellStyle name="20% - Énfasis6 2 4 2 2 2 5" xfId="7918" xr:uid="{00000000-0005-0000-0000-0000EB1E0000}"/>
    <cellStyle name="20% - Énfasis6 2 4 2 2 3" xfId="7919" xr:uid="{00000000-0005-0000-0000-0000EC1E0000}"/>
    <cellStyle name="20% - Énfasis6 2 4 2 2 3 2" xfId="7920" xr:uid="{00000000-0005-0000-0000-0000ED1E0000}"/>
    <cellStyle name="20% - Énfasis6 2 4 2 2 3 2 2" xfId="7921" xr:uid="{00000000-0005-0000-0000-0000EE1E0000}"/>
    <cellStyle name="20% - Énfasis6 2 4 2 2 3 3" xfId="7922" xr:uid="{00000000-0005-0000-0000-0000EF1E0000}"/>
    <cellStyle name="20% - Énfasis6 2 4 2 2 3 4" xfId="7923" xr:uid="{00000000-0005-0000-0000-0000F01E0000}"/>
    <cellStyle name="20% - Énfasis6 2 4 2 2 4" xfId="7924" xr:uid="{00000000-0005-0000-0000-0000F11E0000}"/>
    <cellStyle name="20% - Énfasis6 2 4 2 2 4 2" xfId="7925" xr:uid="{00000000-0005-0000-0000-0000F21E0000}"/>
    <cellStyle name="20% - Énfasis6 2 4 2 2 5" xfId="7926" xr:uid="{00000000-0005-0000-0000-0000F31E0000}"/>
    <cellStyle name="20% - Énfasis6 2 4 2 2 6" xfId="7927" xr:uid="{00000000-0005-0000-0000-0000F41E0000}"/>
    <cellStyle name="20% - Énfasis6 2 4 2 3" xfId="7928" xr:uid="{00000000-0005-0000-0000-0000F51E0000}"/>
    <cellStyle name="20% - Énfasis6 2 4 2 3 2" xfId="7929" xr:uid="{00000000-0005-0000-0000-0000F61E0000}"/>
    <cellStyle name="20% - Énfasis6 2 4 2 3 2 2" xfId="7930" xr:uid="{00000000-0005-0000-0000-0000F71E0000}"/>
    <cellStyle name="20% - Énfasis6 2 4 2 3 2 2 2" xfId="7931" xr:uid="{00000000-0005-0000-0000-0000F81E0000}"/>
    <cellStyle name="20% - Énfasis6 2 4 2 3 2 3" xfId="7932" xr:uid="{00000000-0005-0000-0000-0000F91E0000}"/>
    <cellStyle name="20% - Énfasis6 2 4 2 3 2 4" xfId="7933" xr:uid="{00000000-0005-0000-0000-0000FA1E0000}"/>
    <cellStyle name="20% - Énfasis6 2 4 2 3 3" xfId="7934" xr:uid="{00000000-0005-0000-0000-0000FB1E0000}"/>
    <cellStyle name="20% - Énfasis6 2 4 2 3 3 2" xfId="7935" xr:uid="{00000000-0005-0000-0000-0000FC1E0000}"/>
    <cellStyle name="20% - Énfasis6 2 4 2 3 4" xfId="7936" xr:uid="{00000000-0005-0000-0000-0000FD1E0000}"/>
    <cellStyle name="20% - Énfasis6 2 4 2 3 5" xfId="7937" xr:uid="{00000000-0005-0000-0000-0000FE1E0000}"/>
    <cellStyle name="20% - Énfasis6 2 4 2 4" xfId="7938" xr:uid="{00000000-0005-0000-0000-0000FF1E0000}"/>
    <cellStyle name="20% - Énfasis6 2 4 2 4 2" xfId="7939" xr:uid="{00000000-0005-0000-0000-0000001F0000}"/>
    <cellStyle name="20% - Énfasis6 2 4 2 4 2 2" xfId="7940" xr:uid="{00000000-0005-0000-0000-0000011F0000}"/>
    <cellStyle name="20% - Énfasis6 2 4 2 4 3" xfId="7941" xr:uid="{00000000-0005-0000-0000-0000021F0000}"/>
    <cellStyle name="20% - Énfasis6 2 4 2 4 4" xfId="7942" xr:uid="{00000000-0005-0000-0000-0000031F0000}"/>
    <cellStyle name="20% - Énfasis6 2 4 2 5" xfId="7943" xr:uid="{00000000-0005-0000-0000-0000041F0000}"/>
    <cellStyle name="20% - Énfasis6 2 4 2 5 2" xfId="7944" xr:uid="{00000000-0005-0000-0000-0000051F0000}"/>
    <cellStyle name="20% - Énfasis6 2 4 2 6" xfId="7945" xr:uid="{00000000-0005-0000-0000-0000061F0000}"/>
    <cellStyle name="20% - Énfasis6 2 4 2 7" xfId="7946" xr:uid="{00000000-0005-0000-0000-0000071F0000}"/>
    <cellStyle name="20% - Énfasis6 2 4 3" xfId="7947" xr:uid="{00000000-0005-0000-0000-0000081F0000}"/>
    <cellStyle name="20% - Énfasis6 2 4 3 2" xfId="7948" xr:uid="{00000000-0005-0000-0000-0000091F0000}"/>
    <cellStyle name="20% - Énfasis6 2 4 3 2 2" xfId="7949" xr:uid="{00000000-0005-0000-0000-00000A1F0000}"/>
    <cellStyle name="20% - Énfasis6 2 4 3 2 2 2" xfId="7950" xr:uid="{00000000-0005-0000-0000-00000B1F0000}"/>
    <cellStyle name="20% - Énfasis6 2 4 3 2 2 2 2" xfId="7951" xr:uid="{00000000-0005-0000-0000-00000C1F0000}"/>
    <cellStyle name="20% - Énfasis6 2 4 3 2 2 3" xfId="7952" xr:uid="{00000000-0005-0000-0000-00000D1F0000}"/>
    <cellStyle name="20% - Énfasis6 2 4 3 2 2 4" xfId="7953" xr:uid="{00000000-0005-0000-0000-00000E1F0000}"/>
    <cellStyle name="20% - Énfasis6 2 4 3 2 3" xfId="7954" xr:uid="{00000000-0005-0000-0000-00000F1F0000}"/>
    <cellStyle name="20% - Énfasis6 2 4 3 2 3 2" xfId="7955" xr:uid="{00000000-0005-0000-0000-0000101F0000}"/>
    <cellStyle name="20% - Énfasis6 2 4 3 2 4" xfId="7956" xr:uid="{00000000-0005-0000-0000-0000111F0000}"/>
    <cellStyle name="20% - Énfasis6 2 4 3 2 5" xfId="7957" xr:uid="{00000000-0005-0000-0000-0000121F0000}"/>
    <cellStyle name="20% - Énfasis6 2 4 3 3" xfId="7958" xr:uid="{00000000-0005-0000-0000-0000131F0000}"/>
    <cellStyle name="20% - Énfasis6 2 4 3 3 2" xfId="7959" xr:uid="{00000000-0005-0000-0000-0000141F0000}"/>
    <cellStyle name="20% - Énfasis6 2 4 3 3 2 2" xfId="7960" xr:uid="{00000000-0005-0000-0000-0000151F0000}"/>
    <cellStyle name="20% - Énfasis6 2 4 3 3 3" xfId="7961" xr:uid="{00000000-0005-0000-0000-0000161F0000}"/>
    <cellStyle name="20% - Énfasis6 2 4 3 3 3 2" xfId="7962" xr:uid="{00000000-0005-0000-0000-0000171F0000}"/>
    <cellStyle name="20% - Énfasis6 2 4 3 3 4" xfId="7963" xr:uid="{00000000-0005-0000-0000-0000181F0000}"/>
    <cellStyle name="20% - Énfasis6 2 4 3 3 5" xfId="7964" xr:uid="{00000000-0005-0000-0000-0000191F0000}"/>
    <cellStyle name="20% - Énfasis6 2 4 3 4" xfId="7965" xr:uid="{00000000-0005-0000-0000-00001A1F0000}"/>
    <cellStyle name="20% - Énfasis6 2 4 3 4 2" xfId="7966" xr:uid="{00000000-0005-0000-0000-00001B1F0000}"/>
    <cellStyle name="20% - Énfasis6 2 4 3 5" xfId="7967" xr:uid="{00000000-0005-0000-0000-00001C1F0000}"/>
    <cellStyle name="20% - Énfasis6 2 4 3 5 2" xfId="7968" xr:uid="{00000000-0005-0000-0000-00001D1F0000}"/>
    <cellStyle name="20% - Énfasis6 2 4 3 6" xfId="7969" xr:uid="{00000000-0005-0000-0000-00001E1F0000}"/>
    <cellStyle name="20% - Énfasis6 2 4 3 7" xfId="7970" xr:uid="{00000000-0005-0000-0000-00001F1F0000}"/>
    <cellStyle name="20% - Énfasis6 2 4 4" xfId="7971" xr:uid="{00000000-0005-0000-0000-0000201F0000}"/>
    <cellStyle name="20% - Énfasis6 2 4 4 2" xfId="7972" xr:uid="{00000000-0005-0000-0000-0000211F0000}"/>
    <cellStyle name="20% - Énfasis6 2 4 4 2 2" xfId="7973" xr:uid="{00000000-0005-0000-0000-0000221F0000}"/>
    <cellStyle name="20% - Énfasis6 2 4 4 2 2 2" xfId="7974" xr:uid="{00000000-0005-0000-0000-0000231F0000}"/>
    <cellStyle name="20% - Énfasis6 2 4 4 2 3" xfId="7975" xr:uid="{00000000-0005-0000-0000-0000241F0000}"/>
    <cellStyle name="20% - Énfasis6 2 4 4 2 4" xfId="7976" xr:uid="{00000000-0005-0000-0000-0000251F0000}"/>
    <cellStyle name="20% - Énfasis6 2 4 4 3" xfId="7977" xr:uid="{00000000-0005-0000-0000-0000261F0000}"/>
    <cellStyle name="20% - Énfasis6 2 4 4 3 2" xfId="7978" xr:uid="{00000000-0005-0000-0000-0000271F0000}"/>
    <cellStyle name="20% - Énfasis6 2 4 4 4" xfId="7979" xr:uid="{00000000-0005-0000-0000-0000281F0000}"/>
    <cellStyle name="20% - Énfasis6 2 4 4 5" xfId="7980" xr:uid="{00000000-0005-0000-0000-0000291F0000}"/>
    <cellStyle name="20% - Énfasis6 2 4 5" xfId="7981" xr:uid="{00000000-0005-0000-0000-00002A1F0000}"/>
    <cellStyle name="20% - Énfasis6 2 4 5 2" xfId="7982" xr:uid="{00000000-0005-0000-0000-00002B1F0000}"/>
    <cellStyle name="20% - Énfasis6 2 4 5 2 2" xfId="7983" xr:uid="{00000000-0005-0000-0000-00002C1F0000}"/>
    <cellStyle name="20% - Énfasis6 2 4 5 3" xfId="7984" xr:uid="{00000000-0005-0000-0000-00002D1F0000}"/>
    <cellStyle name="20% - Énfasis6 2 4 5 3 2" xfId="7985" xr:uid="{00000000-0005-0000-0000-00002E1F0000}"/>
    <cellStyle name="20% - Énfasis6 2 4 5 4" xfId="7986" xr:uid="{00000000-0005-0000-0000-00002F1F0000}"/>
    <cellStyle name="20% - Énfasis6 2 4 5 5" xfId="7987" xr:uid="{00000000-0005-0000-0000-0000301F0000}"/>
    <cellStyle name="20% - Énfasis6 2 4 6" xfId="7988" xr:uid="{00000000-0005-0000-0000-0000311F0000}"/>
    <cellStyle name="20% - Énfasis6 2 4 6 2" xfId="7989" xr:uid="{00000000-0005-0000-0000-0000321F0000}"/>
    <cellStyle name="20% - Énfasis6 2 4 7" xfId="7990" xr:uid="{00000000-0005-0000-0000-0000331F0000}"/>
    <cellStyle name="20% - Énfasis6 2 4 7 2" xfId="7991" xr:uid="{00000000-0005-0000-0000-0000341F0000}"/>
    <cellStyle name="20% - Énfasis6 2 4 8" xfId="7992" xr:uid="{00000000-0005-0000-0000-0000351F0000}"/>
    <cellStyle name="20% - Énfasis6 2 4 9" xfId="7993" xr:uid="{00000000-0005-0000-0000-0000361F0000}"/>
    <cellStyle name="20% - Énfasis6 2 5" xfId="7994" xr:uid="{00000000-0005-0000-0000-0000371F0000}"/>
    <cellStyle name="20% - Énfasis6 2 5 2" xfId="7995" xr:uid="{00000000-0005-0000-0000-0000381F0000}"/>
    <cellStyle name="20% - Énfasis6 2 5 2 2" xfId="7996" xr:uid="{00000000-0005-0000-0000-0000391F0000}"/>
    <cellStyle name="20% - Énfasis6 2 5 2 2 2" xfId="7997" xr:uid="{00000000-0005-0000-0000-00003A1F0000}"/>
    <cellStyle name="20% - Énfasis6 2 5 2 2 2 2" xfId="7998" xr:uid="{00000000-0005-0000-0000-00003B1F0000}"/>
    <cellStyle name="20% - Énfasis6 2 5 2 2 2 2 2" xfId="7999" xr:uid="{00000000-0005-0000-0000-00003C1F0000}"/>
    <cellStyle name="20% - Énfasis6 2 5 2 2 2 3" xfId="8000" xr:uid="{00000000-0005-0000-0000-00003D1F0000}"/>
    <cellStyle name="20% - Énfasis6 2 5 2 2 2 4" xfId="8001" xr:uid="{00000000-0005-0000-0000-00003E1F0000}"/>
    <cellStyle name="20% - Énfasis6 2 5 2 2 3" xfId="8002" xr:uid="{00000000-0005-0000-0000-00003F1F0000}"/>
    <cellStyle name="20% - Énfasis6 2 5 2 2 3 2" xfId="8003" xr:uid="{00000000-0005-0000-0000-0000401F0000}"/>
    <cellStyle name="20% - Énfasis6 2 5 2 2 4" xfId="8004" xr:uid="{00000000-0005-0000-0000-0000411F0000}"/>
    <cellStyle name="20% - Énfasis6 2 5 2 2 5" xfId="8005" xr:uid="{00000000-0005-0000-0000-0000421F0000}"/>
    <cellStyle name="20% - Énfasis6 2 5 2 3" xfId="8006" xr:uid="{00000000-0005-0000-0000-0000431F0000}"/>
    <cellStyle name="20% - Énfasis6 2 5 2 3 2" xfId="8007" xr:uid="{00000000-0005-0000-0000-0000441F0000}"/>
    <cellStyle name="20% - Énfasis6 2 5 2 3 2 2" xfId="8008" xr:uid="{00000000-0005-0000-0000-0000451F0000}"/>
    <cellStyle name="20% - Énfasis6 2 5 2 3 3" xfId="8009" xr:uid="{00000000-0005-0000-0000-0000461F0000}"/>
    <cellStyle name="20% - Énfasis6 2 5 2 3 3 2" xfId="8010" xr:uid="{00000000-0005-0000-0000-0000471F0000}"/>
    <cellStyle name="20% - Énfasis6 2 5 2 3 4" xfId="8011" xr:uid="{00000000-0005-0000-0000-0000481F0000}"/>
    <cellStyle name="20% - Énfasis6 2 5 2 3 5" xfId="8012" xr:uid="{00000000-0005-0000-0000-0000491F0000}"/>
    <cellStyle name="20% - Énfasis6 2 5 2 4" xfId="8013" xr:uid="{00000000-0005-0000-0000-00004A1F0000}"/>
    <cellStyle name="20% - Énfasis6 2 5 2 4 2" xfId="8014" xr:uid="{00000000-0005-0000-0000-00004B1F0000}"/>
    <cellStyle name="20% - Énfasis6 2 5 2 5" xfId="8015" xr:uid="{00000000-0005-0000-0000-00004C1F0000}"/>
    <cellStyle name="20% - Énfasis6 2 5 2 5 2" xfId="8016" xr:uid="{00000000-0005-0000-0000-00004D1F0000}"/>
    <cellStyle name="20% - Énfasis6 2 5 2 6" xfId="8017" xr:uid="{00000000-0005-0000-0000-00004E1F0000}"/>
    <cellStyle name="20% - Énfasis6 2 5 2 7" xfId="8018" xr:uid="{00000000-0005-0000-0000-00004F1F0000}"/>
    <cellStyle name="20% - Énfasis6 2 5 3" xfId="8019" xr:uid="{00000000-0005-0000-0000-0000501F0000}"/>
    <cellStyle name="20% - Énfasis6 2 5 3 2" xfId="8020" xr:uid="{00000000-0005-0000-0000-0000511F0000}"/>
    <cellStyle name="20% - Énfasis6 2 5 3 2 2" xfId="8021" xr:uid="{00000000-0005-0000-0000-0000521F0000}"/>
    <cellStyle name="20% - Énfasis6 2 5 3 2 2 2" xfId="8022" xr:uid="{00000000-0005-0000-0000-0000531F0000}"/>
    <cellStyle name="20% - Énfasis6 2 5 3 2 3" xfId="8023" xr:uid="{00000000-0005-0000-0000-0000541F0000}"/>
    <cellStyle name="20% - Énfasis6 2 5 3 2 4" xfId="8024" xr:uid="{00000000-0005-0000-0000-0000551F0000}"/>
    <cellStyle name="20% - Énfasis6 2 5 3 3" xfId="8025" xr:uid="{00000000-0005-0000-0000-0000561F0000}"/>
    <cellStyle name="20% - Énfasis6 2 5 3 3 2" xfId="8026" xr:uid="{00000000-0005-0000-0000-0000571F0000}"/>
    <cellStyle name="20% - Énfasis6 2 5 3 4" xfId="8027" xr:uid="{00000000-0005-0000-0000-0000581F0000}"/>
    <cellStyle name="20% - Énfasis6 2 5 3 5" xfId="8028" xr:uid="{00000000-0005-0000-0000-0000591F0000}"/>
    <cellStyle name="20% - Énfasis6 2 5 4" xfId="8029" xr:uid="{00000000-0005-0000-0000-00005A1F0000}"/>
    <cellStyle name="20% - Énfasis6 2 5 4 2" xfId="8030" xr:uid="{00000000-0005-0000-0000-00005B1F0000}"/>
    <cellStyle name="20% - Énfasis6 2 5 4 2 2" xfId="8031" xr:uid="{00000000-0005-0000-0000-00005C1F0000}"/>
    <cellStyle name="20% - Énfasis6 2 5 4 3" xfId="8032" xr:uid="{00000000-0005-0000-0000-00005D1F0000}"/>
    <cellStyle name="20% - Énfasis6 2 5 4 3 2" xfId="8033" xr:uid="{00000000-0005-0000-0000-00005E1F0000}"/>
    <cellStyle name="20% - Énfasis6 2 5 4 4" xfId="8034" xr:uid="{00000000-0005-0000-0000-00005F1F0000}"/>
    <cellStyle name="20% - Énfasis6 2 5 4 5" xfId="8035" xr:uid="{00000000-0005-0000-0000-0000601F0000}"/>
    <cellStyle name="20% - Énfasis6 2 5 5" xfId="8036" xr:uid="{00000000-0005-0000-0000-0000611F0000}"/>
    <cellStyle name="20% - Énfasis6 2 5 5 2" xfId="8037" xr:uid="{00000000-0005-0000-0000-0000621F0000}"/>
    <cellStyle name="20% - Énfasis6 2 5 6" xfId="8038" xr:uid="{00000000-0005-0000-0000-0000631F0000}"/>
    <cellStyle name="20% - Énfasis6 2 5 6 2" xfId="8039" xr:uid="{00000000-0005-0000-0000-0000641F0000}"/>
    <cellStyle name="20% - Énfasis6 2 5 7" xfId="8040" xr:uid="{00000000-0005-0000-0000-0000651F0000}"/>
    <cellStyle name="20% - Énfasis6 2 5 8" xfId="8041" xr:uid="{00000000-0005-0000-0000-0000661F0000}"/>
    <cellStyle name="20% - Énfasis6 2 6" xfId="8042" xr:uid="{00000000-0005-0000-0000-0000671F0000}"/>
    <cellStyle name="20% - Énfasis6 2 6 2" xfId="8043" xr:uid="{00000000-0005-0000-0000-0000681F0000}"/>
    <cellStyle name="20% - Énfasis6 2 6 2 2" xfId="8044" xr:uid="{00000000-0005-0000-0000-0000691F0000}"/>
    <cellStyle name="20% - Énfasis6 2 6 2 2 2" xfId="8045" xr:uid="{00000000-0005-0000-0000-00006A1F0000}"/>
    <cellStyle name="20% - Énfasis6 2 6 2 2 2 2" xfId="8046" xr:uid="{00000000-0005-0000-0000-00006B1F0000}"/>
    <cellStyle name="20% - Énfasis6 2 6 2 2 3" xfId="8047" xr:uid="{00000000-0005-0000-0000-00006C1F0000}"/>
    <cellStyle name="20% - Énfasis6 2 6 2 2 4" xfId="8048" xr:uid="{00000000-0005-0000-0000-00006D1F0000}"/>
    <cellStyle name="20% - Énfasis6 2 6 2 3" xfId="8049" xr:uid="{00000000-0005-0000-0000-00006E1F0000}"/>
    <cellStyle name="20% - Énfasis6 2 6 2 3 2" xfId="8050" xr:uid="{00000000-0005-0000-0000-00006F1F0000}"/>
    <cellStyle name="20% - Énfasis6 2 6 2 4" xfId="8051" xr:uid="{00000000-0005-0000-0000-0000701F0000}"/>
    <cellStyle name="20% - Énfasis6 2 6 2 5" xfId="8052" xr:uid="{00000000-0005-0000-0000-0000711F0000}"/>
    <cellStyle name="20% - Énfasis6 2 6 3" xfId="8053" xr:uid="{00000000-0005-0000-0000-0000721F0000}"/>
    <cellStyle name="20% - Énfasis6 2 6 3 2" xfId="8054" xr:uid="{00000000-0005-0000-0000-0000731F0000}"/>
    <cellStyle name="20% - Énfasis6 2 6 3 2 2" xfId="8055" xr:uid="{00000000-0005-0000-0000-0000741F0000}"/>
    <cellStyle name="20% - Énfasis6 2 6 3 3" xfId="8056" xr:uid="{00000000-0005-0000-0000-0000751F0000}"/>
    <cellStyle name="20% - Énfasis6 2 6 3 3 2" xfId="8057" xr:uid="{00000000-0005-0000-0000-0000761F0000}"/>
    <cellStyle name="20% - Énfasis6 2 6 3 4" xfId="8058" xr:uid="{00000000-0005-0000-0000-0000771F0000}"/>
    <cellStyle name="20% - Énfasis6 2 6 3 5" xfId="8059" xr:uid="{00000000-0005-0000-0000-0000781F0000}"/>
    <cellStyle name="20% - Énfasis6 2 6 4" xfId="8060" xr:uid="{00000000-0005-0000-0000-0000791F0000}"/>
    <cellStyle name="20% - Énfasis6 2 6 4 2" xfId="8061" xr:uid="{00000000-0005-0000-0000-00007A1F0000}"/>
    <cellStyle name="20% - Énfasis6 2 6 5" xfId="8062" xr:uid="{00000000-0005-0000-0000-00007B1F0000}"/>
    <cellStyle name="20% - Énfasis6 2 6 5 2" xfId="8063" xr:uid="{00000000-0005-0000-0000-00007C1F0000}"/>
    <cellStyle name="20% - Énfasis6 2 6 6" xfId="8064" xr:uid="{00000000-0005-0000-0000-00007D1F0000}"/>
    <cellStyle name="20% - Énfasis6 2 6 7" xfId="8065" xr:uid="{00000000-0005-0000-0000-00007E1F0000}"/>
    <cellStyle name="20% - Énfasis6 2 7" xfId="8066" xr:uid="{00000000-0005-0000-0000-00007F1F0000}"/>
    <cellStyle name="20% - Énfasis6 2 7 2" xfId="8067" xr:uid="{00000000-0005-0000-0000-0000801F0000}"/>
    <cellStyle name="20% - Énfasis6 2 7 2 2" xfId="8068" xr:uid="{00000000-0005-0000-0000-0000811F0000}"/>
    <cellStyle name="20% - Énfasis6 2 7 2 2 2" xfId="8069" xr:uid="{00000000-0005-0000-0000-0000821F0000}"/>
    <cellStyle name="20% - Énfasis6 2 7 2 3" xfId="8070" xr:uid="{00000000-0005-0000-0000-0000831F0000}"/>
    <cellStyle name="20% - Énfasis6 2 7 2 4" xfId="8071" xr:uid="{00000000-0005-0000-0000-0000841F0000}"/>
    <cellStyle name="20% - Énfasis6 2 7 3" xfId="8072" xr:uid="{00000000-0005-0000-0000-0000851F0000}"/>
    <cellStyle name="20% - Énfasis6 2 7 3 2" xfId="8073" xr:uid="{00000000-0005-0000-0000-0000861F0000}"/>
    <cellStyle name="20% - Énfasis6 2 7 4" xfId="8074" xr:uid="{00000000-0005-0000-0000-0000871F0000}"/>
    <cellStyle name="20% - Énfasis6 2 7 5" xfId="8075" xr:uid="{00000000-0005-0000-0000-0000881F0000}"/>
    <cellStyle name="20% - Énfasis6 2 8" xfId="8076" xr:uid="{00000000-0005-0000-0000-0000891F0000}"/>
    <cellStyle name="20% - Énfasis6 2 8 2" xfId="8077" xr:uid="{00000000-0005-0000-0000-00008A1F0000}"/>
    <cellStyle name="20% - Énfasis6 2 8 2 2" xfId="8078" xr:uid="{00000000-0005-0000-0000-00008B1F0000}"/>
    <cellStyle name="20% - Énfasis6 2 8 3" xfId="8079" xr:uid="{00000000-0005-0000-0000-00008C1F0000}"/>
    <cellStyle name="20% - Énfasis6 2 8 3 2" xfId="8080" xr:uid="{00000000-0005-0000-0000-00008D1F0000}"/>
    <cellStyle name="20% - Énfasis6 2 8 4" xfId="8081" xr:uid="{00000000-0005-0000-0000-00008E1F0000}"/>
    <cellStyle name="20% - Énfasis6 2 8 5" xfId="8082" xr:uid="{00000000-0005-0000-0000-00008F1F0000}"/>
    <cellStyle name="20% - Énfasis6 2 9" xfId="8083" xr:uid="{00000000-0005-0000-0000-0000901F0000}"/>
    <cellStyle name="20% - Énfasis6 2 9 2" xfId="8084" xr:uid="{00000000-0005-0000-0000-0000911F0000}"/>
    <cellStyle name="20% - Énfasis6 3" xfId="8085" xr:uid="{00000000-0005-0000-0000-0000921F0000}"/>
    <cellStyle name="20% - Énfasis6 3 10" xfId="8086" xr:uid="{00000000-0005-0000-0000-0000931F0000}"/>
    <cellStyle name="20% - Énfasis6 3 10 2" xfId="8087" xr:uid="{00000000-0005-0000-0000-0000941F0000}"/>
    <cellStyle name="20% - Énfasis6 3 11" xfId="8088" xr:uid="{00000000-0005-0000-0000-0000951F0000}"/>
    <cellStyle name="20% - Énfasis6 3 12" xfId="8089" xr:uid="{00000000-0005-0000-0000-0000961F0000}"/>
    <cellStyle name="20% - Énfasis6 3 2" xfId="8090" xr:uid="{00000000-0005-0000-0000-0000971F0000}"/>
    <cellStyle name="20% - Énfasis6 3 2 10" xfId="8091" xr:uid="{00000000-0005-0000-0000-0000981F0000}"/>
    <cellStyle name="20% - Énfasis6 3 2 11" xfId="8092" xr:uid="{00000000-0005-0000-0000-0000991F0000}"/>
    <cellStyle name="20% - Énfasis6 3 2 2" xfId="8093" xr:uid="{00000000-0005-0000-0000-00009A1F0000}"/>
    <cellStyle name="20% - Énfasis6 3 2 2 10" xfId="8094" xr:uid="{00000000-0005-0000-0000-00009B1F0000}"/>
    <cellStyle name="20% - Énfasis6 3 2 2 2" xfId="8095" xr:uid="{00000000-0005-0000-0000-00009C1F0000}"/>
    <cellStyle name="20% - Énfasis6 3 2 2 2 2" xfId="8096" xr:uid="{00000000-0005-0000-0000-00009D1F0000}"/>
    <cellStyle name="20% - Énfasis6 3 2 2 2 2 2" xfId="8097" xr:uid="{00000000-0005-0000-0000-00009E1F0000}"/>
    <cellStyle name="20% - Énfasis6 3 2 2 2 2 2 2" xfId="8098" xr:uid="{00000000-0005-0000-0000-00009F1F0000}"/>
    <cellStyle name="20% - Énfasis6 3 2 2 2 2 2 2 2" xfId="8099" xr:uid="{00000000-0005-0000-0000-0000A01F0000}"/>
    <cellStyle name="20% - Énfasis6 3 2 2 2 2 2 2 2 2" xfId="8100" xr:uid="{00000000-0005-0000-0000-0000A11F0000}"/>
    <cellStyle name="20% - Énfasis6 3 2 2 2 2 2 2 2 2 2" xfId="8101" xr:uid="{00000000-0005-0000-0000-0000A21F0000}"/>
    <cellStyle name="20% - Énfasis6 3 2 2 2 2 2 2 2 3" xfId="8102" xr:uid="{00000000-0005-0000-0000-0000A31F0000}"/>
    <cellStyle name="20% - Énfasis6 3 2 2 2 2 2 2 2 4" xfId="8103" xr:uid="{00000000-0005-0000-0000-0000A41F0000}"/>
    <cellStyle name="20% - Énfasis6 3 2 2 2 2 2 2 3" xfId="8104" xr:uid="{00000000-0005-0000-0000-0000A51F0000}"/>
    <cellStyle name="20% - Énfasis6 3 2 2 2 2 2 2 3 2" xfId="8105" xr:uid="{00000000-0005-0000-0000-0000A61F0000}"/>
    <cellStyle name="20% - Énfasis6 3 2 2 2 2 2 2 4" xfId="8106" xr:uid="{00000000-0005-0000-0000-0000A71F0000}"/>
    <cellStyle name="20% - Énfasis6 3 2 2 2 2 2 2 5" xfId="8107" xr:uid="{00000000-0005-0000-0000-0000A81F0000}"/>
    <cellStyle name="20% - Énfasis6 3 2 2 2 2 2 3" xfId="8108" xr:uid="{00000000-0005-0000-0000-0000A91F0000}"/>
    <cellStyle name="20% - Énfasis6 3 2 2 2 2 2 3 2" xfId="8109" xr:uid="{00000000-0005-0000-0000-0000AA1F0000}"/>
    <cellStyle name="20% - Énfasis6 3 2 2 2 2 2 3 2 2" xfId="8110" xr:uid="{00000000-0005-0000-0000-0000AB1F0000}"/>
    <cellStyle name="20% - Énfasis6 3 2 2 2 2 2 3 3" xfId="8111" xr:uid="{00000000-0005-0000-0000-0000AC1F0000}"/>
    <cellStyle name="20% - Énfasis6 3 2 2 2 2 2 3 4" xfId="8112" xr:uid="{00000000-0005-0000-0000-0000AD1F0000}"/>
    <cellStyle name="20% - Énfasis6 3 2 2 2 2 2 4" xfId="8113" xr:uid="{00000000-0005-0000-0000-0000AE1F0000}"/>
    <cellStyle name="20% - Énfasis6 3 2 2 2 2 2 4 2" xfId="8114" xr:uid="{00000000-0005-0000-0000-0000AF1F0000}"/>
    <cellStyle name="20% - Énfasis6 3 2 2 2 2 2 5" xfId="8115" xr:uid="{00000000-0005-0000-0000-0000B01F0000}"/>
    <cellStyle name="20% - Énfasis6 3 2 2 2 2 2 6" xfId="8116" xr:uid="{00000000-0005-0000-0000-0000B11F0000}"/>
    <cellStyle name="20% - Énfasis6 3 2 2 2 2 3" xfId="8117" xr:uid="{00000000-0005-0000-0000-0000B21F0000}"/>
    <cellStyle name="20% - Énfasis6 3 2 2 2 2 3 2" xfId="8118" xr:uid="{00000000-0005-0000-0000-0000B31F0000}"/>
    <cellStyle name="20% - Énfasis6 3 2 2 2 2 3 2 2" xfId="8119" xr:uid="{00000000-0005-0000-0000-0000B41F0000}"/>
    <cellStyle name="20% - Énfasis6 3 2 2 2 2 3 2 2 2" xfId="8120" xr:uid="{00000000-0005-0000-0000-0000B51F0000}"/>
    <cellStyle name="20% - Énfasis6 3 2 2 2 2 3 2 3" xfId="8121" xr:uid="{00000000-0005-0000-0000-0000B61F0000}"/>
    <cellStyle name="20% - Énfasis6 3 2 2 2 2 3 2 4" xfId="8122" xr:uid="{00000000-0005-0000-0000-0000B71F0000}"/>
    <cellStyle name="20% - Énfasis6 3 2 2 2 2 3 3" xfId="8123" xr:uid="{00000000-0005-0000-0000-0000B81F0000}"/>
    <cellStyle name="20% - Énfasis6 3 2 2 2 2 3 3 2" xfId="8124" xr:uid="{00000000-0005-0000-0000-0000B91F0000}"/>
    <cellStyle name="20% - Énfasis6 3 2 2 2 2 3 4" xfId="8125" xr:uid="{00000000-0005-0000-0000-0000BA1F0000}"/>
    <cellStyle name="20% - Énfasis6 3 2 2 2 2 3 5" xfId="8126" xr:uid="{00000000-0005-0000-0000-0000BB1F0000}"/>
    <cellStyle name="20% - Énfasis6 3 2 2 2 2 4" xfId="8127" xr:uid="{00000000-0005-0000-0000-0000BC1F0000}"/>
    <cellStyle name="20% - Énfasis6 3 2 2 2 2 4 2" xfId="8128" xr:uid="{00000000-0005-0000-0000-0000BD1F0000}"/>
    <cellStyle name="20% - Énfasis6 3 2 2 2 2 4 2 2" xfId="8129" xr:uid="{00000000-0005-0000-0000-0000BE1F0000}"/>
    <cellStyle name="20% - Énfasis6 3 2 2 2 2 4 3" xfId="8130" xr:uid="{00000000-0005-0000-0000-0000BF1F0000}"/>
    <cellStyle name="20% - Énfasis6 3 2 2 2 2 4 4" xfId="8131" xr:uid="{00000000-0005-0000-0000-0000C01F0000}"/>
    <cellStyle name="20% - Énfasis6 3 2 2 2 2 5" xfId="8132" xr:uid="{00000000-0005-0000-0000-0000C11F0000}"/>
    <cellStyle name="20% - Énfasis6 3 2 2 2 2 5 2" xfId="8133" xr:uid="{00000000-0005-0000-0000-0000C21F0000}"/>
    <cellStyle name="20% - Énfasis6 3 2 2 2 2 6" xfId="8134" xr:uid="{00000000-0005-0000-0000-0000C31F0000}"/>
    <cellStyle name="20% - Énfasis6 3 2 2 2 2 7" xfId="8135" xr:uid="{00000000-0005-0000-0000-0000C41F0000}"/>
    <cellStyle name="20% - Énfasis6 3 2 2 2 3" xfId="8136" xr:uid="{00000000-0005-0000-0000-0000C51F0000}"/>
    <cellStyle name="20% - Énfasis6 3 2 2 2 3 2" xfId="8137" xr:uid="{00000000-0005-0000-0000-0000C61F0000}"/>
    <cellStyle name="20% - Énfasis6 3 2 2 2 3 2 2" xfId="8138" xr:uid="{00000000-0005-0000-0000-0000C71F0000}"/>
    <cellStyle name="20% - Énfasis6 3 2 2 2 3 2 2 2" xfId="8139" xr:uid="{00000000-0005-0000-0000-0000C81F0000}"/>
    <cellStyle name="20% - Énfasis6 3 2 2 2 3 2 2 2 2" xfId="8140" xr:uid="{00000000-0005-0000-0000-0000C91F0000}"/>
    <cellStyle name="20% - Énfasis6 3 2 2 2 3 2 2 3" xfId="8141" xr:uid="{00000000-0005-0000-0000-0000CA1F0000}"/>
    <cellStyle name="20% - Énfasis6 3 2 2 2 3 2 2 4" xfId="8142" xr:uid="{00000000-0005-0000-0000-0000CB1F0000}"/>
    <cellStyle name="20% - Énfasis6 3 2 2 2 3 2 3" xfId="8143" xr:uid="{00000000-0005-0000-0000-0000CC1F0000}"/>
    <cellStyle name="20% - Énfasis6 3 2 2 2 3 2 3 2" xfId="8144" xr:uid="{00000000-0005-0000-0000-0000CD1F0000}"/>
    <cellStyle name="20% - Énfasis6 3 2 2 2 3 2 4" xfId="8145" xr:uid="{00000000-0005-0000-0000-0000CE1F0000}"/>
    <cellStyle name="20% - Énfasis6 3 2 2 2 3 2 5" xfId="8146" xr:uid="{00000000-0005-0000-0000-0000CF1F0000}"/>
    <cellStyle name="20% - Énfasis6 3 2 2 2 3 3" xfId="8147" xr:uid="{00000000-0005-0000-0000-0000D01F0000}"/>
    <cellStyle name="20% - Énfasis6 3 2 2 2 3 3 2" xfId="8148" xr:uid="{00000000-0005-0000-0000-0000D11F0000}"/>
    <cellStyle name="20% - Énfasis6 3 2 2 2 3 3 2 2" xfId="8149" xr:uid="{00000000-0005-0000-0000-0000D21F0000}"/>
    <cellStyle name="20% - Énfasis6 3 2 2 2 3 3 3" xfId="8150" xr:uid="{00000000-0005-0000-0000-0000D31F0000}"/>
    <cellStyle name="20% - Énfasis6 3 2 2 2 3 3 3 2" xfId="8151" xr:uid="{00000000-0005-0000-0000-0000D41F0000}"/>
    <cellStyle name="20% - Énfasis6 3 2 2 2 3 3 4" xfId="8152" xr:uid="{00000000-0005-0000-0000-0000D51F0000}"/>
    <cellStyle name="20% - Énfasis6 3 2 2 2 3 3 5" xfId="8153" xr:uid="{00000000-0005-0000-0000-0000D61F0000}"/>
    <cellStyle name="20% - Énfasis6 3 2 2 2 3 4" xfId="8154" xr:uid="{00000000-0005-0000-0000-0000D71F0000}"/>
    <cellStyle name="20% - Énfasis6 3 2 2 2 3 4 2" xfId="8155" xr:uid="{00000000-0005-0000-0000-0000D81F0000}"/>
    <cellStyle name="20% - Énfasis6 3 2 2 2 3 5" xfId="8156" xr:uid="{00000000-0005-0000-0000-0000D91F0000}"/>
    <cellStyle name="20% - Énfasis6 3 2 2 2 3 5 2" xfId="8157" xr:uid="{00000000-0005-0000-0000-0000DA1F0000}"/>
    <cellStyle name="20% - Énfasis6 3 2 2 2 3 6" xfId="8158" xr:uid="{00000000-0005-0000-0000-0000DB1F0000}"/>
    <cellStyle name="20% - Énfasis6 3 2 2 2 3 7" xfId="8159" xr:uid="{00000000-0005-0000-0000-0000DC1F0000}"/>
    <cellStyle name="20% - Énfasis6 3 2 2 2 4" xfId="8160" xr:uid="{00000000-0005-0000-0000-0000DD1F0000}"/>
    <cellStyle name="20% - Énfasis6 3 2 2 2 4 2" xfId="8161" xr:uid="{00000000-0005-0000-0000-0000DE1F0000}"/>
    <cellStyle name="20% - Énfasis6 3 2 2 2 4 2 2" xfId="8162" xr:uid="{00000000-0005-0000-0000-0000DF1F0000}"/>
    <cellStyle name="20% - Énfasis6 3 2 2 2 4 2 2 2" xfId="8163" xr:uid="{00000000-0005-0000-0000-0000E01F0000}"/>
    <cellStyle name="20% - Énfasis6 3 2 2 2 4 2 3" xfId="8164" xr:uid="{00000000-0005-0000-0000-0000E11F0000}"/>
    <cellStyle name="20% - Énfasis6 3 2 2 2 4 2 4" xfId="8165" xr:uid="{00000000-0005-0000-0000-0000E21F0000}"/>
    <cellStyle name="20% - Énfasis6 3 2 2 2 4 3" xfId="8166" xr:uid="{00000000-0005-0000-0000-0000E31F0000}"/>
    <cellStyle name="20% - Énfasis6 3 2 2 2 4 3 2" xfId="8167" xr:uid="{00000000-0005-0000-0000-0000E41F0000}"/>
    <cellStyle name="20% - Énfasis6 3 2 2 2 4 4" xfId="8168" xr:uid="{00000000-0005-0000-0000-0000E51F0000}"/>
    <cellStyle name="20% - Énfasis6 3 2 2 2 4 5" xfId="8169" xr:uid="{00000000-0005-0000-0000-0000E61F0000}"/>
    <cellStyle name="20% - Énfasis6 3 2 2 2 5" xfId="8170" xr:uid="{00000000-0005-0000-0000-0000E71F0000}"/>
    <cellStyle name="20% - Énfasis6 3 2 2 2 5 2" xfId="8171" xr:uid="{00000000-0005-0000-0000-0000E81F0000}"/>
    <cellStyle name="20% - Énfasis6 3 2 2 2 5 2 2" xfId="8172" xr:uid="{00000000-0005-0000-0000-0000E91F0000}"/>
    <cellStyle name="20% - Énfasis6 3 2 2 2 5 3" xfId="8173" xr:uid="{00000000-0005-0000-0000-0000EA1F0000}"/>
    <cellStyle name="20% - Énfasis6 3 2 2 2 5 3 2" xfId="8174" xr:uid="{00000000-0005-0000-0000-0000EB1F0000}"/>
    <cellStyle name="20% - Énfasis6 3 2 2 2 5 4" xfId="8175" xr:uid="{00000000-0005-0000-0000-0000EC1F0000}"/>
    <cellStyle name="20% - Énfasis6 3 2 2 2 5 5" xfId="8176" xr:uid="{00000000-0005-0000-0000-0000ED1F0000}"/>
    <cellStyle name="20% - Énfasis6 3 2 2 2 6" xfId="8177" xr:uid="{00000000-0005-0000-0000-0000EE1F0000}"/>
    <cellStyle name="20% - Énfasis6 3 2 2 2 6 2" xfId="8178" xr:uid="{00000000-0005-0000-0000-0000EF1F0000}"/>
    <cellStyle name="20% - Énfasis6 3 2 2 2 7" xfId="8179" xr:uid="{00000000-0005-0000-0000-0000F01F0000}"/>
    <cellStyle name="20% - Énfasis6 3 2 2 2 7 2" xfId="8180" xr:uid="{00000000-0005-0000-0000-0000F11F0000}"/>
    <cellStyle name="20% - Énfasis6 3 2 2 2 8" xfId="8181" xr:uid="{00000000-0005-0000-0000-0000F21F0000}"/>
    <cellStyle name="20% - Énfasis6 3 2 2 2 9" xfId="8182" xr:uid="{00000000-0005-0000-0000-0000F31F0000}"/>
    <cellStyle name="20% - Énfasis6 3 2 2 3" xfId="8183" xr:uid="{00000000-0005-0000-0000-0000F41F0000}"/>
    <cellStyle name="20% - Énfasis6 3 2 2 3 2" xfId="8184" xr:uid="{00000000-0005-0000-0000-0000F51F0000}"/>
    <cellStyle name="20% - Énfasis6 3 2 2 3 2 2" xfId="8185" xr:uid="{00000000-0005-0000-0000-0000F61F0000}"/>
    <cellStyle name="20% - Énfasis6 3 2 2 3 2 2 2" xfId="8186" xr:uid="{00000000-0005-0000-0000-0000F71F0000}"/>
    <cellStyle name="20% - Énfasis6 3 2 2 3 2 2 2 2" xfId="8187" xr:uid="{00000000-0005-0000-0000-0000F81F0000}"/>
    <cellStyle name="20% - Énfasis6 3 2 2 3 2 2 2 2 2" xfId="8188" xr:uid="{00000000-0005-0000-0000-0000F91F0000}"/>
    <cellStyle name="20% - Énfasis6 3 2 2 3 2 2 2 3" xfId="8189" xr:uid="{00000000-0005-0000-0000-0000FA1F0000}"/>
    <cellStyle name="20% - Énfasis6 3 2 2 3 2 2 2 4" xfId="8190" xr:uid="{00000000-0005-0000-0000-0000FB1F0000}"/>
    <cellStyle name="20% - Énfasis6 3 2 2 3 2 2 3" xfId="8191" xr:uid="{00000000-0005-0000-0000-0000FC1F0000}"/>
    <cellStyle name="20% - Énfasis6 3 2 2 3 2 2 3 2" xfId="8192" xr:uid="{00000000-0005-0000-0000-0000FD1F0000}"/>
    <cellStyle name="20% - Énfasis6 3 2 2 3 2 2 4" xfId="8193" xr:uid="{00000000-0005-0000-0000-0000FE1F0000}"/>
    <cellStyle name="20% - Énfasis6 3 2 2 3 2 2 5" xfId="8194" xr:uid="{00000000-0005-0000-0000-0000FF1F0000}"/>
    <cellStyle name="20% - Énfasis6 3 2 2 3 2 3" xfId="8195" xr:uid="{00000000-0005-0000-0000-000000200000}"/>
    <cellStyle name="20% - Énfasis6 3 2 2 3 2 3 2" xfId="8196" xr:uid="{00000000-0005-0000-0000-000001200000}"/>
    <cellStyle name="20% - Énfasis6 3 2 2 3 2 3 2 2" xfId="8197" xr:uid="{00000000-0005-0000-0000-000002200000}"/>
    <cellStyle name="20% - Énfasis6 3 2 2 3 2 3 3" xfId="8198" xr:uid="{00000000-0005-0000-0000-000003200000}"/>
    <cellStyle name="20% - Énfasis6 3 2 2 3 2 3 4" xfId="8199" xr:uid="{00000000-0005-0000-0000-000004200000}"/>
    <cellStyle name="20% - Énfasis6 3 2 2 3 2 4" xfId="8200" xr:uid="{00000000-0005-0000-0000-000005200000}"/>
    <cellStyle name="20% - Énfasis6 3 2 2 3 2 4 2" xfId="8201" xr:uid="{00000000-0005-0000-0000-000006200000}"/>
    <cellStyle name="20% - Énfasis6 3 2 2 3 2 5" xfId="8202" xr:uid="{00000000-0005-0000-0000-000007200000}"/>
    <cellStyle name="20% - Énfasis6 3 2 2 3 2 6" xfId="8203" xr:uid="{00000000-0005-0000-0000-000008200000}"/>
    <cellStyle name="20% - Énfasis6 3 2 2 3 3" xfId="8204" xr:uid="{00000000-0005-0000-0000-000009200000}"/>
    <cellStyle name="20% - Énfasis6 3 2 2 3 3 2" xfId="8205" xr:uid="{00000000-0005-0000-0000-00000A200000}"/>
    <cellStyle name="20% - Énfasis6 3 2 2 3 3 2 2" xfId="8206" xr:uid="{00000000-0005-0000-0000-00000B200000}"/>
    <cellStyle name="20% - Énfasis6 3 2 2 3 3 2 2 2" xfId="8207" xr:uid="{00000000-0005-0000-0000-00000C200000}"/>
    <cellStyle name="20% - Énfasis6 3 2 2 3 3 2 3" xfId="8208" xr:uid="{00000000-0005-0000-0000-00000D200000}"/>
    <cellStyle name="20% - Énfasis6 3 2 2 3 3 2 4" xfId="8209" xr:uid="{00000000-0005-0000-0000-00000E200000}"/>
    <cellStyle name="20% - Énfasis6 3 2 2 3 3 3" xfId="8210" xr:uid="{00000000-0005-0000-0000-00000F200000}"/>
    <cellStyle name="20% - Énfasis6 3 2 2 3 3 3 2" xfId="8211" xr:uid="{00000000-0005-0000-0000-000010200000}"/>
    <cellStyle name="20% - Énfasis6 3 2 2 3 3 4" xfId="8212" xr:uid="{00000000-0005-0000-0000-000011200000}"/>
    <cellStyle name="20% - Énfasis6 3 2 2 3 3 5" xfId="8213" xr:uid="{00000000-0005-0000-0000-000012200000}"/>
    <cellStyle name="20% - Énfasis6 3 2 2 3 4" xfId="8214" xr:uid="{00000000-0005-0000-0000-000013200000}"/>
    <cellStyle name="20% - Énfasis6 3 2 2 3 4 2" xfId="8215" xr:uid="{00000000-0005-0000-0000-000014200000}"/>
    <cellStyle name="20% - Énfasis6 3 2 2 3 4 2 2" xfId="8216" xr:uid="{00000000-0005-0000-0000-000015200000}"/>
    <cellStyle name="20% - Énfasis6 3 2 2 3 4 3" xfId="8217" xr:uid="{00000000-0005-0000-0000-000016200000}"/>
    <cellStyle name="20% - Énfasis6 3 2 2 3 4 4" xfId="8218" xr:uid="{00000000-0005-0000-0000-000017200000}"/>
    <cellStyle name="20% - Énfasis6 3 2 2 3 5" xfId="8219" xr:uid="{00000000-0005-0000-0000-000018200000}"/>
    <cellStyle name="20% - Énfasis6 3 2 2 3 5 2" xfId="8220" xr:uid="{00000000-0005-0000-0000-000019200000}"/>
    <cellStyle name="20% - Énfasis6 3 2 2 3 6" xfId="8221" xr:uid="{00000000-0005-0000-0000-00001A200000}"/>
    <cellStyle name="20% - Énfasis6 3 2 2 3 7" xfId="8222" xr:uid="{00000000-0005-0000-0000-00001B200000}"/>
    <cellStyle name="20% - Énfasis6 3 2 2 4" xfId="8223" xr:uid="{00000000-0005-0000-0000-00001C200000}"/>
    <cellStyle name="20% - Énfasis6 3 2 2 4 2" xfId="8224" xr:uid="{00000000-0005-0000-0000-00001D200000}"/>
    <cellStyle name="20% - Énfasis6 3 2 2 4 2 2" xfId="8225" xr:uid="{00000000-0005-0000-0000-00001E200000}"/>
    <cellStyle name="20% - Énfasis6 3 2 2 4 2 2 2" xfId="8226" xr:uid="{00000000-0005-0000-0000-00001F200000}"/>
    <cellStyle name="20% - Énfasis6 3 2 2 4 2 2 2 2" xfId="8227" xr:uid="{00000000-0005-0000-0000-000020200000}"/>
    <cellStyle name="20% - Énfasis6 3 2 2 4 2 2 3" xfId="8228" xr:uid="{00000000-0005-0000-0000-000021200000}"/>
    <cellStyle name="20% - Énfasis6 3 2 2 4 2 2 4" xfId="8229" xr:uid="{00000000-0005-0000-0000-000022200000}"/>
    <cellStyle name="20% - Énfasis6 3 2 2 4 2 3" xfId="8230" xr:uid="{00000000-0005-0000-0000-000023200000}"/>
    <cellStyle name="20% - Énfasis6 3 2 2 4 2 3 2" xfId="8231" xr:uid="{00000000-0005-0000-0000-000024200000}"/>
    <cellStyle name="20% - Énfasis6 3 2 2 4 2 4" xfId="8232" xr:uid="{00000000-0005-0000-0000-000025200000}"/>
    <cellStyle name="20% - Énfasis6 3 2 2 4 2 5" xfId="8233" xr:uid="{00000000-0005-0000-0000-000026200000}"/>
    <cellStyle name="20% - Énfasis6 3 2 2 4 3" xfId="8234" xr:uid="{00000000-0005-0000-0000-000027200000}"/>
    <cellStyle name="20% - Énfasis6 3 2 2 4 3 2" xfId="8235" xr:uid="{00000000-0005-0000-0000-000028200000}"/>
    <cellStyle name="20% - Énfasis6 3 2 2 4 3 2 2" xfId="8236" xr:uid="{00000000-0005-0000-0000-000029200000}"/>
    <cellStyle name="20% - Énfasis6 3 2 2 4 3 3" xfId="8237" xr:uid="{00000000-0005-0000-0000-00002A200000}"/>
    <cellStyle name="20% - Énfasis6 3 2 2 4 3 3 2" xfId="8238" xr:uid="{00000000-0005-0000-0000-00002B200000}"/>
    <cellStyle name="20% - Énfasis6 3 2 2 4 3 4" xfId="8239" xr:uid="{00000000-0005-0000-0000-00002C200000}"/>
    <cellStyle name="20% - Énfasis6 3 2 2 4 3 5" xfId="8240" xr:uid="{00000000-0005-0000-0000-00002D200000}"/>
    <cellStyle name="20% - Énfasis6 3 2 2 4 4" xfId="8241" xr:uid="{00000000-0005-0000-0000-00002E200000}"/>
    <cellStyle name="20% - Énfasis6 3 2 2 4 4 2" xfId="8242" xr:uid="{00000000-0005-0000-0000-00002F200000}"/>
    <cellStyle name="20% - Énfasis6 3 2 2 4 5" xfId="8243" xr:uid="{00000000-0005-0000-0000-000030200000}"/>
    <cellStyle name="20% - Énfasis6 3 2 2 4 5 2" xfId="8244" xr:uid="{00000000-0005-0000-0000-000031200000}"/>
    <cellStyle name="20% - Énfasis6 3 2 2 4 6" xfId="8245" xr:uid="{00000000-0005-0000-0000-000032200000}"/>
    <cellStyle name="20% - Énfasis6 3 2 2 4 7" xfId="8246" xr:uid="{00000000-0005-0000-0000-000033200000}"/>
    <cellStyle name="20% - Énfasis6 3 2 2 5" xfId="8247" xr:uid="{00000000-0005-0000-0000-000034200000}"/>
    <cellStyle name="20% - Énfasis6 3 2 2 5 2" xfId="8248" xr:uid="{00000000-0005-0000-0000-000035200000}"/>
    <cellStyle name="20% - Énfasis6 3 2 2 5 2 2" xfId="8249" xr:uid="{00000000-0005-0000-0000-000036200000}"/>
    <cellStyle name="20% - Énfasis6 3 2 2 5 2 2 2" xfId="8250" xr:uid="{00000000-0005-0000-0000-000037200000}"/>
    <cellStyle name="20% - Énfasis6 3 2 2 5 2 3" xfId="8251" xr:uid="{00000000-0005-0000-0000-000038200000}"/>
    <cellStyle name="20% - Énfasis6 3 2 2 5 2 4" xfId="8252" xr:uid="{00000000-0005-0000-0000-000039200000}"/>
    <cellStyle name="20% - Énfasis6 3 2 2 5 3" xfId="8253" xr:uid="{00000000-0005-0000-0000-00003A200000}"/>
    <cellStyle name="20% - Énfasis6 3 2 2 5 3 2" xfId="8254" xr:uid="{00000000-0005-0000-0000-00003B200000}"/>
    <cellStyle name="20% - Énfasis6 3 2 2 5 4" xfId="8255" xr:uid="{00000000-0005-0000-0000-00003C200000}"/>
    <cellStyle name="20% - Énfasis6 3 2 2 5 5" xfId="8256" xr:uid="{00000000-0005-0000-0000-00003D200000}"/>
    <cellStyle name="20% - Énfasis6 3 2 2 6" xfId="8257" xr:uid="{00000000-0005-0000-0000-00003E200000}"/>
    <cellStyle name="20% - Énfasis6 3 2 2 6 2" xfId="8258" xr:uid="{00000000-0005-0000-0000-00003F200000}"/>
    <cellStyle name="20% - Énfasis6 3 2 2 6 2 2" xfId="8259" xr:uid="{00000000-0005-0000-0000-000040200000}"/>
    <cellStyle name="20% - Énfasis6 3 2 2 6 3" xfId="8260" xr:uid="{00000000-0005-0000-0000-000041200000}"/>
    <cellStyle name="20% - Énfasis6 3 2 2 6 3 2" xfId="8261" xr:uid="{00000000-0005-0000-0000-000042200000}"/>
    <cellStyle name="20% - Énfasis6 3 2 2 6 4" xfId="8262" xr:uid="{00000000-0005-0000-0000-000043200000}"/>
    <cellStyle name="20% - Énfasis6 3 2 2 6 5" xfId="8263" xr:uid="{00000000-0005-0000-0000-000044200000}"/>
    <cellStyle name="20% - Énfasis6 3 2 2 7" xfId="8264" xr:uid="{00000000-0005-0000-0000-000045200000}"/>
    <cellStyle name="20% - Énfasis6 3 2 2 7 2" xfId="8265" xr:uid="{00000000-0005-0000-0000-000046200000}"/>
    <cellStyle name="20% - Énfasis6 3 2 2 8" xfId="8266" xr:uid="{00000000-0005-0000-0000-000047200000}"/>
    <cellStyle name="20% - Énfasis6 3 2 2 8 2" xfId="8267" xr:uid="{00000000-0005-0000-0000-000048200000}"/>
    <cellStyle name="20% - Énfasis6 3 2 2 9" xfId="8268" xr:uid="{00000000-0005-0000-0000-000049200000}"/>
    <cellStyle name="20% - Énfasis6 3 2 3" xfId="8269" xr:uid="{00000000-0005-0000-0000-00004A200000}"/>
    <cellStyle name="20% - Énfasis6 3 2 3 2" xfId="8270" xr:uid="{00000000-0005-0000-0000-00004B200000}"/>
    <cellStyle name="20% - Énfasis6 3 2 3 2 2" xfId="8271" xr:uid="{00000000-0005-0000-0000-00004C200000}"/>
    <cellStyle name="20% - Énfasis6 3 2 3 2 2 2" xfId="8272" xr:uid="{00000000-0005-0000-0000-00004D200000}"/>
    <cellStyle name="20% - Énfasis6 3 2 3 2 2 2 2" xfId="8273" xr:uid="{00000000-0005-0000-0000-00004E200000}"/>
    <cellStyle name="20% - Énfasis6 3 2 3 2 2 2 2 2" xfId="8274" xr:uid="{00000000-0005-0000-0000-00004F200000}"/>
    <cellStyle name="20% - Énfasis6 3 2 3 2 2 2 2 2 2" xfId="8275" xr:uid="{00000000-0005-0000-0000-000050200000}"/>
    <cellStyle name="20% - Énfasis6 3 2 3 2 2 2 2 3" xfId="8276" xr:uid="{00000000-0005-0000-0000-000051200000}"/>
    <cellStyle name="20% - Énfasis6 3 2 3 2 2 2 2 4" xfId="8277" xr:uid="{00000000-0005-0000-0000-000052200000}"/>
    <cellStyle name="20% - Énfasis6 3 2 3 2 2 2 3" xfId="8278" xr:uid="{00000000-0005-0000-0000-000053200000}"/>
    <cellStyle name="20% - Énfasis6 3 2 3 2 2 2 3 2" xfId="8279" xr:uid="{00000000-0005-0000-0000-000054200000}"/>
    <cellStyle name="20% - Énfasis6 3 2 3 2 2 2 4" xfId="8280" xr:uid="{00000000-0005-0000-0000-000055200000}"/>
    <cellStyle name="20% - Énfasis6 3 2 3 2 2 2 5" xfId="8281" xr:uid="{00000000-0005-0000-0000-000056200000}"/>
    <cellStyle name="20% - Énfasis6 3 2 3 2 2 3" xfId="8282" xr:uid="{00000000-0005-0000-0000-000057200000}"/>
    <cellStyle name="20% - Énfasis6 3 2 3 2 2 3 2" xfId="8283" xr:uid="{00000000-0005-0000-0000-000058200000}"/>
    <cellStyle name="20% - Énfasis6 3 2 3 2 2 3 2 2" xfId="8284" xr:uid="{00000000-0005-0000-0000-000059200000}"/>
    <cellStyle name="20% - Énfasis6 3 2 3 2 2 3 3" xfId="8285" xr:uid="{00000000-0005-0000-0000-00005A200000}"/>
    <cellStyle name="20% - Énfasis6 3 2 3 2 2 3 4" xfId="8286" xr:uid="{00000000-0005-0000-0000-00005B200000}"/>
    <cellStyle name="20% - Énfasis6 3 2 3 2 2 4" xfId="8287" xr:uid="{00000000-0005-0000-0000-00005C200000}"/>
    <cellStyle name="20% - Énfasis6 3 2 3 2 2 4 2" xfId="8288" xr:uid="{00000000-0005-0000-0000-00005D200000}"/>
    <cellStyle name="20% - Énfasis6 3 2 3 2 2 5" xfId="8289" xr:uid="{00000000-0005-0000-0000-00005E200000}"/>
    <cellStyle name="20% - Énfasis6 3 2 3 2 2 6" xfId="8290" xr:uid="{00000000-0005-0000-0000-00005F200000}"/>
    <cellStyle name="20% - Énfasis6 3 2 3 2 3" xfId="8291" xr:uid="{00000000-0005-0000-0000-000060200000}"/>
    <cellStyle name="20% - Énfasis6 3 2 3 2 3 2" xfId="8292" xr:uid="{00000000-0005-0000-0000-000061200000}"/>
    <cellStyle name="20% - Énfasis6 3 2 3 2 3 2 2" xfId="8293" xr:uid="{00000000-0005-0000-0000-000062200000}"/>
    <cellStyle name="20% - Énfasis6 3 2 3 2 3 2 2 2" xfId="8294" xr:uid="{00000000-0005-0000-0000-000063200000}"/>
    <cellStyle name="20% - Énfasis6 3 2 3 2 3 2 3" xfId="8295" xr:uid="{00000000-0005-0000-0000-000064200000}"/>
    <cellStyle name="20% - Énfasis6 3 2 3 2 3 2 4" xfId="8296" xr:uid="{00000000-0005-0000-0000-000065200000}"/>
    <cellStyle name="20% - Énfasis6 3 2 3 2 3 3" xfId="8297" xr:uid="{00000000-0005-0000-0000-000066200000}"/>
    <cellStyle name="20% - Énfasis6 3 2 3 2 3 3 2" xfId="8298" xr:uid="{00000000-0005-0000-0000-000067200000}"/>
    <cellStyle name="20% - Énfasis6 3 2 3 2 3 4" xfId="8299" xr:uid="{00000000-0005-0000-0000-000068200000}"/>
    <cellStyle name="20% - Énfasis6 3 2 3 2 3 5" xfId="8300" xr:uid="{00000000-0005-0000-0000-000069200000}"/>
    <cellStyle name="20% - Énfasis6 3 2 3 2 4" xfId="8301" xr:uid="{00000000-0005-0000-0000-00006A200000}"/>
    <cellStyle name="20% - Énfasis6 3 2 3 2 4 2" xfId="8302" xr:uid="{00000000-0005-0000-0000-00006B200000}"/>
    <cellStyle name="20% - Énfasis6 3 2 3 2 4 2 2" xfId="8303" xr:uid="{00000000-0005-0000-0000-00006C200000}"/>
    <cellStyle name="20% - Énfasis6 3 2 3 2 4 3" xfId="8304" xr:uid="{00000000-0005-0000-0000-00006D200000}"/>
    <cellStyle name="20% - Énfasis6 3 2 3 2 4 4" xfId="8305" xr:uid="{00000000-0005-0000-0000-00006E200000}"/>
    <cellStyle name="20% - Énfasis6 3 2 3 2 5" xfId="8306" xr:uid="{00000000-0005-0000-0000-00006F200000}"/>
    <cellStyle name="20% - Énfasis6 3 2 3 2 5 2" xfId="8307" xr:uid="{00000000-0005-0000-0000-000070200000}"/>
    <cellStyle name="20% - Énfasis6 3 2 3 2 6" xfId="8308" xr:uid="{00000000-0005-0000-0000-000071200000}"/>
    <cellStyle name="20% - Énfasis6 3 2 3 2 7" xfId="8309" xr:uid="{00000000-0005-0000-0000-000072200000}"/>
    <cellStyle name="20% - Énfasis6 3 2 3 3" xfId="8310" xr:uid="{00000000-0005-0000-0000-000073200000}"/>
    <cellStyle name="20% - Énfasis6 3 2 3 3 2" xfId="8311" xr:uid="{00000000-0005-0000-0000-000074200000}"/>
    <cellStyle name="20% - Énfasis6 3 2 3 3 2 2" xfId="8312" xr:uid="{00000000-0005-0000-0000-000075200000}"/>
    <cellStyle name="20% - Énfasis6 3 2 3 3 2 2 2" xfId="8313" xr:uid="{00000000-0005-0000-0000-000076200000}"/>
    <cellStyle name="20% - Énfasis6 3 2 3 3 2 2 2 2" xfId="8314" xr:uid="{00000000-0005-0000-0000-000077200000}"/>
    <cellStyle name="20% - Énfasis6 3 2 3 3 2 2 3" xfId="8315" xr:uid="{00000000-0005-0000-0000-000078200000}"/>
    <cellStyle name="20% - Énfasis6 3 2 3 3 2 2 4" xfId="8316" xr:uid="{00000000-0005-0000-0000-000079200000}"/>
    <cellStyle name="20% - Énfasis6 3 2 3 3 2 3" xfId="8317" xr:uid="{00000000-0005-0000-0000-00007A200000}"/>
    <cellStyle name="20% - Énfasis6 3 2 3 3 2 3 2" xfId="8318" xr:uid="{00000000-0005-0000-0000-00007B200000}"/>
    <cellStyle name="20% - Énfasis6 3 2 3 3 2 4" xfId="8319" xr:uid="{00000000-0005-0000-0000-00007C200000}"/>
    <cellStyle name="20% - Énfasis6 3 2 3 3 2 5" xfId="8320" xr:uid="{00000000-0005-0000-0000-00007D200000}"/>
    <cellStyle name="20% - Énfasis6 3 2 3 3 3" xfId="8321" xr:uid="{00000000-0005-0000-0000-00007E200000}"/>
    <cellStyle name="20% - Énfasis6 3 2 3 3 3 2" xfId="8322" xr:uid="{00000000-0005-0000-0000-00007F200000}"/>
    <cellStyle name="20% - Énfasis6 3 2 3 3 3 2 2" xfId="8323" xr:uid="{00000000-0005-0000-0000-000080200000}"/>
    <cellStyle name="20% - Énfasis6 3 2 3 3 3 3" xfId="8324" xr:uid="{00000000-0005-0000-0000-000081200000}"/>
    <cellStyle name="20% - Énfasis6 3 2 3 3 3 3 2" xfId="8325" xr:uid="{00000000-0005-0000-0000-000082200000}"/>
    <cellStyle name="20% - Énfasis6 3 2 3 3 3 4" xfId="8326" xr:uid="{00000000-0005-0000-0000-000083200000}"/>
    <cellStyle name="20% - Énfasis6 3 2 3 3 3 5" xfId="8327" xr:uid="{00000000-0005-0000-0000-000084200000}"/>
    <cellStyle name="20% - Énfasis6 3 2 3 3 4" xfId="8328" xr:uid="{00000000-0005-0000-0000-000085200000}"/>
    <cellStyle name="20% - Énfasis6 3 2 3 3 4 2" xfId="8329" xr:uid="{00000000-0005-0000-0000-000086200000}"/>
    <cellStyle name="20% - Énfasis6 3 2 3 3 5" xfId="8330" xr:uid="{00000000-0005-0000-0000-000087200000}"/>
    <cellStyle name="20% - Énfasis6 3 2 3 3 5 2" xfId="8331" xr:uid="{00000000-0005-0000-0000-000088200000}"/>
    <cellStyle name="20% - Énfasis6 3 2 3 3 6" xfId="8332" xr:uid="{00000000-0005-0000-0000-000089200000}"/>
    <cellStyle name="20% - Énfasis6 3 2 3 3 7" xfId="8333" xr:uid="{00000000-0005-0000-0000-00008A200000}"/>
    <cellStyle name="20% - Énfasis6 3 2 3 4" xfId="8334" xr:uid="{00000000-0005-0000-0000-00008B200000}"/>
    <cellStyle name="20% - Énfasis6 3 2 3 4 2" xfId="8335" xr:uid="{00000000-0005-0000-0000-00008C200000}"/>
    <cellStyle name="20% - Énfasis6 3 2 3 4 2 2" xfId="8336" xr:uid="{00000000-0005-0000-0000-00008D200000}"/>
    <cellStyle name="20% - Énfasis6 3 2 3 4 2 2 2" xfId="8337" xr:uid="{00000000-0005-0000-0000-00008E200000}"/>
    <cellStyle name="20% - Énfasis6 3 2 3 4 2 3" xfId="8338" xr:uid="{00000000-0005-0000-0000-00008F200000}"/>
    <cellStyle name="20% - Énfasis6 3 2 3 4 2 4" xfId="8339" xr:uid="{00000000-0005-0000-0000-000090200000}"/>
    <cellStyle name="20% - Énfasis6 3 2 3 4 3" xfId="8340" xr:uid="{00000000-0005-0000-0000-000091200000}"/>
    <cellStyle name="20% - Énfasis6 3 2 3 4 3 2" xfId="8341" xr:uid="{00000000-0005-0000-0000-000092200000}"/>
    <cellStyle name="20% - Énfasis6 3 2 3 4 4" xfId="8342" xr:uid="{00000000-0005-0000-0000-000093200000}"/>
    <cellStyle name="20% - Énfasis6 3 2 3 4 5" xfId="8343" xr:uid="{00000000-0005-0000-0000-000094200000}"/>
    <cellStyle name="20% - Énfasis6 3 2 3 5" xfId="8344" xr:uid="{00000000-0005-0000-0000-000095200000}"/>
    <cellStyle name="20% - Énfasis6 3 2 3 5 2" xfId="8345" xr:uid="{00000000-0005-0000-0000-000096200000}"/>
    <cellStyle name="20% - Énfasis6 3 2 3 5 2 2" xfId="8346" xr:uid="{00000000-0005-0000-0000-000097200000}"/>
    <cellStyle name="20% - Énfasis6 3 2 3 5 3" xfId="8347" xr:uid="{00000000-0005-0000-0000-000098200000}"/>
    <cellStyle name="20% - Énfasis6 3 2 3 5 3 2" xfId="8348" xr:uid="{00000000-0005-0000-0000-000099200000}"/>
    <cellStyle name="20% - Énfasis6 3 2 3 5 4" xfId="8349" xr:uid="{00000000-0005-0000-0000-00009A200000}"/>
    <cellStyle name="20% - Énfasis6 3 2 3 5 5" xfId="8350" xr:uid="{00000000-0005-0000-0000-00009B200000}"/>
    <cellStyle name="20% - Énfasis6 3 2 3 6" xfId="8351" xr:uid="{00000000-0005-0000-0000-00009C200000}"/>
    <cellStyle name="20% - Énfasis6 3 2 3 6 2" xfId="8352" xr:uid="{00000000-0005-0000-0000-00009D200000}"/>
    <cellStyle name="20% - Énfasis6 3 2 3 7" xfId="8353" xr:uid="{00000000-0005-0000-0000-00009E200000}"/>
    <cellStyle name="20% - Énfasis6 3 2 3 7 2" xfId="8354" xr:uid="{00000000-0005-0000-0000-00009F200000}"/>
    <cellStyle name="20% - Énfasis6 3 2 3 8" xfId="8355" xr:uid="{00000000-0005-0000-0000-0000A0200000}"/>
    <cellStyle name="20% - Énfasis6 3 2 3 9" xfId="8356" xr:uid="{00000000-0005-0000-0000-0000A1200000}"/>
    <cellStyle name="20% - Énfasis6 3 2 4" xfId="8357" xr:uid="{00000000-0005-0000-0000-0000A2200000}"/>
    <cellStyle name="20% - Énfasis6 3 2 4 2" xfId="8358" xr:uid="{00000000-0005-0000-0000-0000A3200000}"/>
    <cellStyle name="20% - Énfasis6 3 2 4 2 2" xfId="8359" xr:uid="{00000000-0005-0000-0000-0000A4200000}"/>
    <cellStyle name="20% - Énfasis6 3 2 4 2 2 2" xfId="8360" xr:uid="{00000000-0005-0000-0000-0000A5200000}"/>
    <cellStyle name="20% - Énfasis6 3 2 4 2 2 2 2" xfId="8361" xr:uid="{00000000-0005-0000-0000-0000A6200000}"/>
    <cellStyle name="20% - Énfasis6 3 2 4 2 2 2 2 2" xfId="8362" xr:uid="{00000000-0005-0000-0000-0000A7200000}"/>
    <cellStyle name="20% - Énfasis6 3 2 4 2 2 2 3" xfId="8363" xr:uid="{00000000-0005-0000-0000-0000A8200000}"/>
    <cellStyle name="20% - Énfasis6 3 2 4 2 2 2 4" xfId="8364" xr:uid="{00000000-0005-0000-0000-0000A9200000}"/>
    <cellStyle name="20% - Énfasis6 3 2 4 2 2 3" xfId="8365" xr:uid="{00000000-0005-0000-0000-0000AA200000}"/>
    <cellStyle name="20% - Énfasis6 3 2 4 2 2 3 2" xfId="8366" xr:uid="{00000000-0005-0000-0000-0000AB200000}"/>
    <cellStyle name="20% - Énfasis6 3 2 4 2 2 4" xfId="8367" xr:uid="{00000000-0005-0000-0000-0000AC200000}"/>
    <cellStyle name="20% - Énfasis6 3 2 4 2 2 5" xfId="8368" xr:uid="{00000000-0005-0000-0000-0000AD200000}"/>
    <cellStyle name="20% - Énfasis6 3 2 4 2 3" xfId="8369" xr:uid="{00000000-0005-0000-0000-0000AE200000}"/>
    <cellStyle name="20% - Énfasis6 3 2 4 2 3 2" xfId="8370" xr:uid="{00000000-0005-0000-0000-0000AF200000}"/>
    <cellStyle name="20% - Énfasis6 3 2 4 2 3 2 2" xfId="8371" xr:uid="{00000000-0005-0000-0000-0000B0200000}"/>
    <cellStyle name="20% - Énfasis6 3 2 4 2 3 3" xfId="8372" xr:uid="{00000000-0005-0000-0000-0000B1200000}"/>
    <cellStyle name="20% - Énfasis6 3 2 4 2 3 3 2" xfId="8373" xr:uid="{00000000-0005-0000-0000-0000B2200000}"/>
    <cellStyle name="20% - Énfasis6 3 2 4 2 3 4" xfId="8374" xr:uid="{00000000-0005-0000-0000-0000B3200000}"/>
    <cellStyle name="20% - Énfasis6 3 2 4 2 3 5" xfId="8375" xr:uid="{00000000-0005-0000-0000-0000B4200000}"/>
    <cellStyle name="20% - Énfasis6 3 2 4 2 4" xfId="8376" xr:uid="{00000000-0005-0000-0000-0000B5200000}"/>
    <cellStyle name="20% - Énfasis6 3 2 4 2 4 2" xfId="8377" xr:uid="{00000000-0005-0000-0000-0000B6200000}"/>
    <cellStyle name="20% - Énfasis6 3 2 4 2 5" xfId="8378" xr:uid="{00000000-0005-0000-0000-0000B7200000}"/>
    <cellStyle name="20% - Énfasis6 3 2 4 2 5 2" xfId="8379" xr:uid="{00000000-0005-0000-0000-0000B8200000}"/>
    <cellStyle name="20% - Énfasis6 3 2 4 2 6" xfId="8380" xr:uid="{00000000-0005-0000-0000-0000B9200000}"/>
    <cellStyle name="20% - Énfasis6 3 2 4 2 7" xfId="8381" xr:uid="{00000000-0005-0000-0000-0000BA200000}"/>
    <cellStyle name="20% - Énfasis6 3 2 4 3" xfId="8382" xr:uid="{00000000-0005-0000-0000-0000BB200000}"/>
    <cellStyle name="20% - Énfasis6 3 2 4 3 2" xfId="8383" xr:uid="{00000000-0005-0000-0000-0000BC200000}"/>
    <cellStyle name="20% - Énfasis6 3 2 4 3 2 2" xfId="8384" xr:uid="{00000000-0005-0000-0000-0000BD200000}"/>
    <cellStyle name="20% - Énfasis6 3 2 4 3 2 2 2" xfId="8385" xr:uid="{00000000-0005-0000-0000-0000BE200000}"/>
    <cellStyle name="20% - Énfasis6 3 2 4 3 2 3" xfId="8386" xr:uid="{00000000-0005-0000-0000-0000BF200000}"/>
    <cellStyle name="20% - Énfasis6 3 2 4 3 2 4" xfId="8387" xr:uid="{00000000-0005-0000-0000-0000C0200000}"/>
    <cellStyle name="20% - Énfasis6 3 2 4 3 3" xfId="8388" xr:uid="{00000000-0005-0000-0000-0000C1200000}"/>
    <cellStyle name="20% - Énfasis6 3 2 4 3 3 2" xfId="8389" xr:uid="{00000000-0005-0000-0000-0000C2200000}"/>
    <cellStyle name="20% - Énfasis6 3 2 4 3 4" xfId="8390" xr:uid="{00000000-0005-0000-0000-0000C3200000}"/>
    <cellStyle name="20% - Énfasis6 3 2 4 3 5" xfId="8391" xr:uid="{00000000-0005-0000-0000-0000C4200000}"/>
    <cellStyle name="20% - Énfasis6 3 2 4 4" xfId="8392" xr:uid="{00000000-0005-0000-0000-0000C5200000}"/>
    <cellStyle name="20% - Énfasis6 3 2 4 4 2" xfId="8393" xr:uid="{00000000-0005-0000-0000-0000C6200000}"/>
    <cellStyle name="20% - Énfasis6 3 2 4 4 2 2" xfId="8394" xr:uid="{00000000-0005-0000-0000-0000C7200000}"/>
    <cellStyle name="20% - Énfasis6 3 2 4 4 3" xfId="8395" xr:uid="{00000000-0005-0000-0000-0000C8200000}"/>
    <cellStyle name="20% - Énfasis6 3 2 4 4 3 2" xfId="8396" xr:uid="{00000000-0005-0000-0000-0000C9200000}"/>
    <cellStyle name="20% - Énfasis6 3 2 4 4 4" xfId="8397" xr:uid="{00000000-0005-0000-0000-0000CA200000}"/>
    <cellStyle name="20% - Énfasis6 3 2 4 4 5" xfId="8398" xr:uid="{00000000-0005-0000-0000-0000CB200000}"/>
    <cellStyle name="20% - Énfasis6 3 2 4 5" xfId="8399" xr:uid="{00000000-0005-0000-0000-0000CC200000}"/>
    <cellStyle name="20% - Énfasis6 3 2 4 5 2" xfId="8400" xr:uid="{00000000-0005-0000-0000-0000CD200000}"/>
    <cellStyle name="20% - Énfasis6 3 2 4 6" xfId="8401" xr:uid="{00000000-0005-0000-0000-0000CE200000}"/>
    <cellStyle name="20% - Énfasis6 3 2 4 6 2" xfId="8402" xr:uid="{00000000-0005-0000-0000-0000CF200000}"/>
    <cellStyle name="20% - Énfasis6 3 2 4 7" xfId="8403" xr:uid="{00000000-0005-0000-0000-0000D0200000}"/>
    <cellStyle name="20% - Énfasis6 3 2 4 8" xfId="8404" xr:uid="{00000000-0005-0000-0000-0000D1200000}"/>
    <cellStyle name="20% - Énfasis6 3 2 5" xfId="8405" xr:uid="{00000000-0005-0000-0000-0000D2200000}"/>
    <cellStyle name="20% - Énfasis6 3 2 5 2" xfId="8406" xr:uid="{00000000-0005-0000-0000-0000D3200000}"/>
    <cellStyle name="20% - Énfasis6 3 2 5 2 2" xfId="8407" xr:uid="{00000000-0005-0000-0000-0000D4200000}"/>
    <cellStyle name="20% - Énfasis6 3 2 5 2 2 2" xfId="8408" xr:uid="{00000000-0005-0000-0000-0000D5200000}"/>
    <cellStyle name="20% - Énfasis6 3 2 5 2 2 2 2" xfId="8409" xr:uid="{00000000-0005-0000-0000-0000D6200000}"/>
    <cellStyle name="20% - Énfasis6 3 2 5 2 2 3" xfId="8410" xr:uid="{00000000-0005-0000-0000-0000D7200000}"/>
    <cellStyle name="20% - Énfasis6 3 2 5 2 2 4" xfId="8411" xr:uid="{00000000-0005-0000-0000-0000D8200000}"/>
    <cellStyle name="20% - Énfasis6 3 2 5 2 3" xfId="8412" xr:uid="{00000000-0005-0000-0000-0000D9200000}"/>
    <cellStyle name="20% - Énfasis6 3 2 5 2 3 2" xfId="8413" xr:uid="{00000000-0005-0000-0000-0000DA200000}"/>
    <cellStyle name="20% - Énfasis6 3 2 5 2 4" xfId="8414" xr:uid="{00000000-0005-0000-0000-0000DB200000}"/>
    <cellStyle name="20% - Énfasis6 3 2 5 2 5" xfId="8415" xr:uid="{00000000-0005-0000-0000-0000DC200000}"/>
    <cellStyle name="20% - Énfasis6 3 2 5 3" xfId="8416" xr:uid="{00000000-0005-0000-0000-0000DD200000}"/>
    <cellStyle name="20% - Énfasis6 3 2 5 3 2" xfId="8417" xr:uid="{00000000-0005-0000-0000-0000DE200000}"/>
    <cellStyle name="20% - Énfasis6 3 2 5 3 2 2" xfId="8418" xr:uid="{00000000-0005-0000-0000-0000DF200000}"/>
    <cellStyle name="20% - Énfasis6 3 2 5 3 3" xfId="8419" xr:uid="{00000000-0005-0000-0000-0000E0200000}"/>
    <cellStyle name="20% - Énfasis6 3 2 5 3 3 2" xfId="8420" xr:uid="{00000000-0005-0000-0000-0000E1200000}"/>
    <cellStyle name="20% - Énfasis6 3 2 5 3 4" xfId="8421" xr:uid="{00000000-0005-0000-0000-0000E2200000}"/>
    <cellStyle name="20% - Énfasis6 3 2 5 3 5" xfId="8422" xr:uid="{00000000-0005-0000-0000-0000E3200000}"/>
    <cellStyle name="20% - Énfasis6 3 2 5 4" xfId="8423" xr:uid="{00000000-0005-0000-0000-0000E4200000}"/>
    <cellStyle name="20% - Énfasis6 3 2 5 4 2" xfId="8424" xr:uid="{00000000-0005-0000-0000-0000E5200000}"/>
    <cellStyle name="20% - Énfasis6 3 2 5 5" xfId="8425" xr:uid="{00000000-0005-0000-0000-0000E6200000}"/>
    <cellStyle name="20% - Énfasis6 3 2 5 5 2" xfId="8426" xr:uid="{00000000-0005-0000-0000-0000E7200000}"/>
    <cellStyle name="20% - Énfasis6 3 2 5 6" xfId="8427" xr:uid="{00000000-0005-0000-0000-0000E8200000}"/>
    <cellStyle name="20% - Énfasis6 3 2 5 7" xfId="8428" xr:uid="{00000000-0005-0000-0000-0000E9200000}"/>
    <cellStyle name="20% - Énfasis6 3 2 6" xfId="8429" xr:uid="{00000000-0005-0000-0000-0000EA200000}"/>
    <cellStyle name="20% - Énfasis6 3 2 6 2" xfId="8430" xr:uid="{00000000-0005-0000-0000-0000EB200000}"/>
    <cellStyle name="20% - Énfasis6 3 2 6 2 2" xfId="8431" xr:uid="{00000000-0005-0000-0000-0000EC200000}"/>
    <cellStyle name="20% - Énfasis6 3 2 6 2 2 2" xfId="8432" xr:uid="{00000000-0005-0000-0000-0000ED200000}"/>
    <cellStyle name="20% - Énfasis6 3 2 6 2 3" xfId="8433" xr:uid="{00000000-0005-0000-0000-0000EE200000}"/>
    <cellStyle name="20% - Énfasis6 3 2 6 2 4" xfId="8434" xr:uid="{00000000-0005-0000-0000-0000EF200000}"/>
    <cellStyle name="20% - Énfasis6 3 2 6 3" xfId="8435" xr:uid="{00000000-0005-0000-0000-0000F0200000}"/>
    <cellStyle name="20% - Énfasis6 3 2 6 3 2" xfId="8436" xr:uid="{00000000-0005-0000-0000-0000F1200000}"/>
    <cellStyle name="20% - Énfasis6 3 2 6 4" xfId="8437" xr:uid="{00000000-0005-0000-0000-0000F2200000}"/>
    <cellStyle name="20% - Énfasis6 3 2 6 5" xfId="8438" xr:uid="{00000000-0005-0000-0000-0000F3200000}"/>
    <cellStyle name="20% - Énfasis6 3 2 7" xfId="8439" xr:uid="{00000000-0005-0000-0000-0000F4200000}"/>
    <cellStyle name="20% - Énfasis6 3 2 7 2" xfId="8440" xr:uid="{00000000-0005-0000-0000-0000F5200000}"/>
    <cellStyle name="20% - Énfasis6 3 2 7 2 2" xfId="8441" xr:uid="{00000000-0005-0000-0000-0000F6200000}"/>
    <cellStyle name="20% - Énfasis6 3 2 7 3" xfId="8442" xr:uid="{00000000-0005-0000-0000-0000F7200000}"/>
    <cellStyle name="20% - Énfasis6 3 2 7 3 2" xfId="8443" xr:uid="{00000000-0005-0000-0000-0000F8200000}"/>
    <cellStyle name="20% - Énfasis6 3 2 7 4" xfId="8444" xr:uid="{00000000-0005-0000-0000-0000F9200000}"/>
    <cellStyle name="20% - Énfasis6 3 2 7 5" xfId="8445" xr:uid="{00000000-0005-0000-0000-0000FA200000}"/>
    <cellStyle name="20% - Énfasis6 3 2 8" xfId="8446" xr:uid="{00000000-0005-0000-0000-0000FB200000}"/>
    <cellStyle name="20% - Énfasis6 3 2 8 2" xfId="8447" xr:uid="{00000000-0005-0000-0000-0000FC200000}"/>
    <cellStyle name="20% - Énfasis6 3 2 9" xfId="8448" xr:uid="{00000000-0005-0000-0000-0000FD200000}"/>
    <cellStyle name="20% - Énfasis6 3 2 9 2" xfId="8449" xr:uid="{00000000-0005-0000-0000-0000FE200000}"/>
    <cellStyle name="20% - Énfasis6 3 3" xfId="8450" xr:uid="{00000000-0005-0000-0000-0000FF200000}"/>
    <cellStyle name="20% - Énfasis6 3 3 10" xfId="8451" xr:uid="{00000000-0005-0000-0000-000000210000}"/>
    <cellStyle name="20% - Énfasis6 3 3 2" xfId="8452" xr:uid="{00000000-0005-0000-0000-000001210000}"/>
    <cellStyle name="20% - Énfasis6 3 3 2 2" xfId="8453" xr:uid="{00000000-0005-0000-0000-000002210000}"/>
    <cellStyle name="20% - Énfasis6 3 3 2 2 2" xfId="8454" xr:uid="{00000000-0005-0000-0000-000003210000}"/>
    <cellStyle name="20% - Énfasis6 3 3 2 2 2 2" xfId="8455" xr:uid="{00000000-0005-0000-0000-000004210000}"/>
    <cellStyle name="20% - Énfasis6 3 3 2 2 2 2 2" xfId="8456" xr:uid="{00000000-0005-0000-0000-000005210000}"/>
    <cellStyle name="20% - Énfasis6 3 3 2 2 2 2 2 2" xfId="8457" xr:uid="{00000000-0005-0000-0000-000006210000}"/>
    <cellStyle name="20% - Énfasis6 3 3 2 2 2 2 2 2 2" xfId="8458" xr:uid="{00000000-0005-0000-0000-000007210000}"/>
    <cellStyle name="20% - Énfasis6 3 3 2 2 2 2 2 3" xfId="8459" xr:uid="{00000000-0005-0000-0000-000008210000}"/>
    <cellStyle name="20% - Énfasis6 3 3 2 2 2 2 2 4" xfId="8460" xr:uid="{00000000-0005-0000-0000-000009210000}"/>
    <cellStyle name="20% - Énfasis6 3 3 2 2 2 2 3" xfId="8461" xr:uid="{00000000-0005-0000-0000-00000A210000}"/>
    <cellStyle name="20% - Énfasis6 3 3 2 2 2 2 3 2" xfId="8462" xr:uid="{00000000-0005-0000-0000-00000B210000}"/>
    <cellStyle name="20% - Énfasis6 3 3 2 2 2 2 4" xfId="8463" xr:uid="{00000000-0005-0000-0000-00000C210000}"/>
    <cellStyle name="20% - Énfasis6 3 3 2 2 2 2 5" xfId="8464" xr:uid="{00000000-0005-0000-0000-00000D210000}"/>
    <cellStyle name="20% - Énfasis6 3 3 2 2 2 3" xfId="8465" xr:uid="{00000000-0005-0000-0000-00000E210000}"/>
    <cellStyle name="20% - Énfasis6 3 3 2 2 2 3 2" xfId="8466" xr:uid="{00000000-0005-0000-0000-00000F210000}"/>
    <cellStyle name="20% - Énfasis6 3 3 2 2 2 3 2 2" xfId="8467" xr:uid="{00000000-0005-0000-0000-000010210000}"/>
    <cellStyle name="20% - Énfasis6 3 3 2 2 2 3 3" xfId="8468" xr:uid="{00000000-0005-0000-0000-000011210000}"/>
    <cellStyle name="20% - Énfasis6 3 3 2 2 2 3 4" xfId="8469" xr:uid="{00000000-0005-0000-0000-000012210000}"/>
    <cellStyle name="20% - Énfasis6 3 3 2 2 2 4" xfId="8470" xr:uid="{00000000-0005-0000-0000-000013210000}"/>
    <cellStyle name="20% - Énfasis6 3 3 2 2 2 4 2" xfId="8471" xr:uid="{00000000-0005-0000-0000-000014210000}"/>
    <cellStyle name="20% - Énfasis6 3 3 2 2 2 5" xfId="8472" xr:uid="{00000000-0005-0000-0000-000015210000}"/>
    <cellStyle name="20% - Énfasis6 3 3 2 2 2 6" xfId="8473" xr:uid="{00000000-0005-0000-0000-000016210000}"/>
    <cellStyle name="20% - Énfasis6 3 3 2 2 3" xfId="8474" xr:uid="{00000000-0005-0000-0000-000017210000}"/>
    <cellStyle name="20% - Énfasis6 3 3 2 2 3 2" xfId="8475" xr:uid="{00000000-0005-0000-0000-000018210000}"/>
    <cellStyle name="20% - Énfasis6 3 3 2 2 3 2 2" xfId="8476" xr:uid="{00000000-0005-0000-0000-000019210000}"/>
    <cellStyle name="20% - Énfasis6 3 3 2 2 3 2 2 2" xfId="8477" xr:uid="{00000000-0005-0000-0000-00001A210000}"/>
    <cellStyle name="20% - Énfasis6 3 3 2 2 3 2 3" xfId="8478" xr:uid="{00000000-0005-0000-0000-00001B210000}"/>
    <cellStyle name="20% - Énfasis6 3 3 2 2 3 2 4" xfId="8479" xr:uid="{00000000-0005-0000-0000-00001C210000}"/>
    <cellStyle name="20% - Énfasis6 3 3 2 2 3 3" xfId="8480" xr:uid="{00000000-0005-0000-0000-00001D210000}"/>
    <cellStyle name="20% - Énfasis6 3 3 2 2 3 3 2" xfId="8481" xr:uid="{00000000-0005-0000-0000-00001E210000}"/>
    <cellStyle name="20% - Énfasis6 3 3 2 2 3 4" xfId="8482" xr:uid="{00000000-0005-0000-0000-00001F210000}"/>
    <cellStyle name="20% - Énfasis6 3 3 2 2 3 5" xfId="8483" xr:uid="{00000000-0005-0000-0000-000020210000}"/>
    <cellStyle name="20% - Énfasis6 3 3 2 2 4" xfId="8484" xr:uid="{00000000-0005-0000-0000-000021210000}"/>
    <cellStyle name="20% - Énfasis6 3 3 2 2 4 2" xfId="8485" xr:uid="{00000000-0005-0000-0000-000022210000}"/>
    <cellStyle name="20% - Énfasis6 3 3 2 2 4 2 2" xfId="8486" xr:uid="{00000000-0005-0000-0000-000023210000}"/>
    <cellStyle name="20% - Énfasis6 3 3 2 2 4 3" xfId="8487" xr:uid="{00000000-0005-0000-0000-000024210000}"/>
    <cellStyle name="20% - Énfasis6 3 3 2 2 4 4" xfId="8488" xr:uid="{00000000-0005-0000-0000-000025210000}"/>
    <cellStyle name="20% - Énfasis6 3 3 2 2 5" xfId="8489" xr:uid="{00000000-0005-0000-0000-000026210000}"/>
    <cellStyle name="20% - Énfasis6 3 3 2 2 5 2" xfId="8490" xr:uid="{00000000-0005-0000-0000-000027210000}"/>
    <cellStyle name="20% - Énfasis6 3 3 2 2 6" xfId="8491" xr:uid="{00000000-0005-0000-0000-000028210000}"/>
    <cellStyle name="20% - Énfasis6 3 3 2 2 7" xfId="8492" xr:uid="{00000000-0005-0000-0000-000029210000}"/>
    <cellStyle name="20% - Énfasis6 3 3 2 3" xfId="8493" xr:uid="{00000000-0005-0000-0000-00002A210000}"/>
    <cellStyle name="20% - Énfasis6 3 3 2 3 2" xfId="8494" xr:uid="{00000000-0005-0000-0000-00002B210000}"/>
    <cellStyle name="20% - Énfasis6 3 3 2 3 2 2" xfId="8495" xr:uid="{00000000-0005-0000-0000-00002C210000}"/>
    <cellStyle name="20% - Énfasis6 3 3 2 3 2 2 2" xfId="8496" xr:uid="{00000000-0005-0000-0000-00002D210000}"/>
    <cellStyle name="20% - Énfasis6 3 3 2 3 2 2 2 2" xfId="8497" xr:uid="{00000000-0005-0000-0000-00002E210000}"/>
    <cellStyle name="20% - Énfasis6 3 3 2 3 2 2 3" xfId="8498" xr:uid="{00000000-0005-0000-0000-00002F210000}"/>
    <cellStyle name="20% - Énfasis6 3 3 2 3 2 2 4" xfId="8499" xr:uid="{00000000-0005-0000-0000-000030210000}"/>
    <cellStyle name="20% - Énfasis6 3 3 2 3 2 3" xfId="8500" xr:uid="{00000000-0005-0000-0000-000031210000}"/>
    <cellStyle name="20% - Énfasis6 3 3 2 3 2 3 2" xfId="8501" xr:uid="{00000000-0005-0000-0000-000032210000}"/>
    <cellStyle name="20% - Énfasis6 3 3 2 3 2 4" xfId="8502" xr:uid="{00000000-0005-0000-0000-000033210000}"/>
    <cellStyle name="20% - Énfasis6 3 3 2 3 2 5" xfId="8503" xr:uid="{00000000-0005-0000-0000-000034210000}"/>
    <cellStyle name="20% - Énfasis6 3 3 2 3 3" xfId="8504" xr:uid="{00000000-0005-0000-0000-000035210000}"/>
    <cellStyle name="20% - Énfasis6 3 3 2 3 3 2" xfId="8505" xr:uid="{00000000-0005-0000-0000-000036210000}"/>
    <cellStyle name="20% - Énfasis6 3 3 2 3 3 2 2" xfId="8506" xr:uid="{00000000-0005-0000-0000-000037210000}"/>
    <cellStyle name="20% - Énfasis6 3 3 2 3 3 3" xfId="8507" xr:uid="{00000000-0005-0000-0000-000038210000}"/>
    <cellStyle name="20% - Énfasis6 3 3 2 3 3 3 2" xfId="8508" xr:uid="{00000000-0005-0000-0000-000039210000}"/>
    <cellStyle name="20% - Énfasis6 3 3 2 3 3 4" xfId="8509" xr:uid="{00000000-0005-0000-0000-00003A210000}"/>
    <cellStyle name="20% - Énfasis6 3 3 2 3 3 5" xfId="8510" xr:uid="{00000000-0005-0000-0000-00003B210000}"/>
    <cellStyle name="20% - Énfasis6 3 3 2 3 4" xfId="8511" xr:uid="{00000000-0005-0000-0000-00003C210000}"/>
    <cellStyle name="20% - Énfasis6 3 3 2 3 4 2" xfId="8512" xr:uid="{00000000-0005-0000-0000-00003D210000}"/>
    <cellStyle name="20% - Énfasis6 3 3 2 3 5" xfId="8513" xr:uid="{00000000-0005-0000-0000-00003E210000}"/>
    <cellStyle name="20% - Énfasis6 3 3 2 3 5 2" xfId="8514" xr:uid="{00000000-0005-0000-0000-00003F210000}"/>
    <cellStyle name="20% - Énfasis6 3 3 2 3 6" xfId="8515" xr:uid="{00000000-0005-0000-0000-000040210000}"/>
    <cellStyle name="20% - Énfasis6 3 3 2 3 7" xfId="8516" xr:uid="{00000000-0005-0000-0000-000041210000}"/>
    <cellStyle name="20% - Énfasis6 3 3 2 4" xfId="8517" xr:uid="{00000000-0005-0000-0000-000042210000}"/>
    <cellStyle name="20% - Énfasis6 3 3 2 4 2" xfId="8518" xr:uid="{00000000-0005-0000-0000-000043210000}"/>
    <cellStyle name="20% - Énfasis6 3 3 2 4 2 2" xfId="8519" xr:uid="{00000000-0005-0000-0000-000044210000}"/>
    <cellStyle name="20% - Énfasis6 3 3 2 4 2 2 2" xfId="8520" xr:uid="{00000000-0005-0000-0000-000045210000}"/>
    <cellStyle name="20% - Énfasis6 3 3 2 4 2 3" xfId="8521" xr:uid="{00000000-0005-0000-0000-000046210000}"/>
    <cellStyle name="20% - Énfasis6 3 3 2 4 2 4" xfId="8522" xr:uid="{00000000-0005-0000-0000-000047210000}"/>
    <cellStyle name="20% - Énfasis6 3 3 2 4 3" xfId="8523" xr:uid="{00000000-0005-0000-0000-000048210000}"/>
    <cellStyle name="20% - Énfasis6 3 3 2 4 3 2" xfId="8524" xr:uid="{00000000-0005-0000-0000-000049210000}"/>
    <cellStyle name="20% - Énfasis6 3 3 2 4 4" xfId="8525" xr:uid="{00000000-0005-0000-0000-00004A210000}"/>
    <cellStyle name="20% - Énfasis6 3 3 2 4 5" xfId="8526" xr:uid="{00000000-0005-0000-0000-00004B210000}"/>
    <cellStyle name="20% - Énfasis6 3 3 2 5" xfId="8527" xr:uid="{00000000-0005-0000-0000-00004C210000}"/>
    <cellStyle name="20% - Énfasis6 3 3 2 5 2" xfId="8528" xr:uid="{00000000-0005-0000-0000-00004D210000}"/>
    <cellStyle name="20% - Énfasis6 3 3 2 5 2 2" xfId="8529" xr:uid="{00000000-0005-0000-0000-00004E210000}"/>
    <cellStyle name="20% - Énfasis6 3 3 2 5 3" xfId="8530" xr:uid="{00000000-0005-0000-0000-00004F210000}"/>
    <cellStyle name="20% - Énfasis6 3 3 2 5 3 2" xfId="8531" xr:uid="{00000000-0005-0000-0000-000050210000}"/>
    <cellStyle name="20% - Énfasis6 3 3 2 5 4" xfId="8532" xr:uid="{00000000-0005-0000-0000-000051210000}"/>
    <cellStyle name="20% - Énfasis6 3 3 2 5 5" xfId="8533" xr:uid="{00000000-0005-0000-0000-000052210000}"/>
    <cellStyle name="20% - Énfasis6 3 3 2 6" xfId="8534" xr:uid="{00000000-0005-0000-0000-000053210000}"/>
    <cellStyle name="20% - Énfasis6 3 3 2 6 2" xfId="8535" xr:uid="{00000000-0005-0000-0000-000054210000}"/>
    <cellStyle name="20% - Énfasis6 3 3 2 7" xfId="8536" xr:uid="{00000000-0005-0000-0000-000055210000}"/>
    <cellStyle name="20% - Énfasis6 3 3 2 7 2" xfId="8537" xr:uid="{00000000-0005-0000-0000-000056210000}"/>
    <cellStyle name="20% - Énfasis6 3 3 2 8" xfId="8538" xr:uid="{00000000-0005-0000-0000-000057210000}"/>
    <cellStyle name="20% - Énfasis6 3 3 2 9" xfId="8539" xr:uid="{00000000-0005-0000-0000-000058210000}"/>
    <cellStyle name="20% - Énfasis6 3 3 3" xfId="8540" xr:uid="{00000000-0005-0000-0000-000059210000}"/>
    <cellStyle name="20% - Énfasis6 3 3 3 2" xfId="8541" xr:uid="{00000000-0005-0000-0000-00005A210000}"/>
    <cellStyle name="20% - Énfasis6 3 3 3 2 2" xfId="8542" xr:uid="{00000000-0005-0000-0000-00005B210000}"/>
    <cellStyle name="20% - Énfasis6 3 3 3 2 2 2" xfId="8543" xr:uid="{00000000-0005-0000-0000-00005C210000}"/>
    <cellStyle name="20% - Énfasis6 3 3 3 2 2 2 2" xfId="8544" xr:uid="{00000000-0005-0000-0000-00005D210000}"/>
    <cellStyle name="20% - Énfasis6 3 3 3 2 2 2 2 2" xfId="8545" xr:uid="{00000000-0005-0000-0000-00005E210000}"/>
    <cellStyle name="20% - Énfasis6 3 3 3 2 2 2 3" xfId="8546" xr:uid="{00000000-0005-0000-0000-00005F210000}"/>
    <cellStyle name="20% - Énfasis6 3 3 3 2 2 2 4" xfId="8547" xr:uid="{00000000-0005-0000-0000-000060210000}"/>
    <cellStyle name="20% - Énfasis6 3 3 3 2 2 3" xfId="8548" xr:uid="{00000000-0005-0000-0000-000061210000}"/>
    <cellStyle name="20% - Énfasis6 3 3 3 2 2 3 2" xfId="8549" xr:uid="{00000000-0005-0000-0000-000062210000}"/>
    <cellStyle name="20% - Énfasis6 3 3 3 2 2 4" xfId="8550" xr:uid="{00000000-0005-0000-0000-000063210000}"/>
    <cellStyle name="20% - Énfasis6 3 3 3 2 2 5" xfId="8551" xr:uid="{00000000-0005-0000-0000-000064210000}"/>
    <cellStyle name="20% - Énfasis6 3 3 3 2 3" xfId="8552" xr:uid="{00000000-0005-0000-0000-000065210000}"/>
    <cellStyle name="20% - Énfasis6 3 3 3 2 3 2" xfId="8553" xr:uid="{00000000-0005-0000-0000-000066210000}"/>
    <cellStyle name="20% - Énfasis6 3 3 3 2 3 2 2" xfId="8554" xr:uid="{00000000-0005-0000-0000-000067210000}"/>
    <cellStyle name="20% - Énfasis6 3 3 3 2 3 3" xfId="8555" xr:uid="{00000000-0005-0000-0000-000068210000}"/>
    <cellStyle name="20% - Énfasis6 3 3 3 2 3 3 2" xfId="8556" xr:uid="{00000000-0005-0000-0000-000069210000}"/>
    <cellStyle name="20% - Énfasis6 3 3 3 2 3 4" xfId="8557" xr:uid="{00000000-0005-0000-0000-00006A210000}"/>
    <cellStyle name="20% - Énfasis6 3 3 3 2 3 5" xfId="8558" xr:uid="{00000000-0005-0000-0000-00006B210000}"/>
    <cellStyle name="20% - Énfasis6 3 3 3 2 4" xfId="8559" xr:uid="{00000000-0005-0000-0000-00006C210000}"/>
    <cellStyle name="20% - Énfasis6 3 3 3 2 4 2" xfId="8560" xr:uid="{00000000-0005-0000-0000-00006D210000}"/>
    <cellStyle name="20% - Énfasis6 3 3 3 2 5" xfId="8561" xr:uid="{00000000-0005-0000-0000-00006E210000}"/>
    <cellStyle name="20% - Énfasis6 3 3 3 2 5 2" xfId="8562" xr:uid="{00000000-0005-0000-0000-00006F210000}"/>
    <cellStyle name="20% - Énfasis6 3 3 3 2 6" xfId="8563" xr:uid="{00000000-0005-0000-0000-000070210000}"/>
    <cellStyle name="20% - Énfasis6 3 3 3 2 7" xfId="8564" xr:uid="{00000000-0005-0000-0000-000071210000}"/>
    <cellStyle name="20% - Énfasis6 3 3 3 3" xfId="8565" xr:uid="{00000000-0005-0000-0000-000072210000}"/>
    <cellStyle name="20% - Énfasis6 3 3 3 3 2" xfId="8566" xr:uid="{00000000-0005-0000-0000-000073210000}"/>
    <cellStyle name="20% - Énfasis6 3 3 3 3 2 2" xfId="8567" xr:uid="{00000000-0005-0000-0000-000074210000}"/>
    <cellStyle name="20% - Énfasis6 3 3 3 3 2 2 2" xfId="8568" xr:uid="{00000000-0005-0000-0000-000075210000}"/>
    <cellStyle name="20% - Énfasis6 3 3 3 3 2 3" xfId="8569" xr:uid="{00000000-0005-0000-0000-000076210000}"/>
    <cellStyle name="20% - Énfasis6 3 3 3 3 2 4" xfId="8570" xr:uid="{00000000-0005-0000-0000-000077210000}"/>
    <cellStyle name="20% - Énfasis6 3 3 3 3 3" xfId="8571" xr:uid="{00000000-0005-0000-0000-000078210000}"/>
    <cellStyle name="20% - Énfasis6 3 3 3 3 3 2" xfId="8572" xr:uid="{00000000-0005-0000-0000-000079210000}"/>
    <cellStyle name="20% - Énfasis6 3 3 3 3 4" xfId="8573" xr:uid="{00000000-0005-0000-0000-00007A210000}"/>
    <cellStyle name="20% - Énfasis6 3 3 3 3 5" xfId="8574" xr:uid="{00000000-0005-0000-0000-00007B210000}"/>
    <cellStyle name="20% - Énfasis6 3 3 3 4" xfId="8575" xr:uid="{00000000-0005-0000-0000-00007C210000}"/>
    <cellStyle name="20% - Énfasis6 3 3 3 4 2" xfId="8576" xr:uid="{00000000-0005-0000-0000-00007D210000}"/>
    <cellStyle name="20% - Énfasis6 3 3 3 4 2 2" xfId="8577" xr:uid="{00000000-0005-0000-0000-00007E210000}"/>
    <cellStyle name="20% - Énfasis6 3 3 3 4 3" xfId="8578" xr:uid="{00000000-0005-0000-0000-00007F210000}"/>
    <cellStyle name="20% - Énfasis6 3 3 3 4 3 2" xfId="8579" xr:uid="{00000000-0005-0000-0000-000080210000}"/>
    <cellStyle name="20% - Énfasis6 3 3 3 4 4" xfId="8580" xr:uid="{00000000-0005-0000-0000-000081210000}"/>
    <cellStyle name="20% - Énfasis6 3 3 3 4 5" xfId="8581" xr:uid="{00000000-0005-0000-0000-000082210000}"/>
    <cellStyle name="20% - Énfasis6 3 3 3 5" xfId="8582" xr:uid="{00000000-0005-0000-0000-000083210000}"/>
    <cellStyle name="20% - Énfasis6 3 3 3 5 2" xfId="8583" xr:uid="{00000000-0005-0000-0000-000084210000}"/>
    <cellStyle name="20% - Énfasis6 3 3 3 6" xfId="8584" xr:uid="{00000000-0005-0000-0000-000085210000}"/>
    <cellStyle name="20% - Énfasis6 3 3 3 6 2" xfId="8585" xr:uid="{00000000-0005-0000-0000-000086210000}"/>
    <cellStyle name="20% - Énfasis6 3 3 3 7" xfId="8586" xr:uid="{00000000-0005-0000-0000-000087210000}"/>
    <cellStyle name="20% - Énfasis6 3 3 3 8" xfId="8587" xr:uid="{00000000-0005-0000-0000-000088210000}"/>
    <cellStyle name="20% - Énfasis6 3 3 4" xfId="8588" xr:uid="{00000000-0005-0000-0000-000089210000}"/>
    <cellStyle name="20% - Énfasis6 3 3 4 2" xfId="8589" xr:uid="{00000000-0005-0000-0000-00008A210000}"/>
    <cellStyle name="20% - Énfasis6 3 3 4 2 2" xfId="8590" xr:uid="{00000000-0005-0000-0000-00008B210000}"/>
    <cellStyle name="20% - Énfasis6 3 3 4 2 2 2" xfId="8591" xr:uid="{00000000-0005-0000-0000-00008C210000}"/>
    <cellStyle name="20% - Énfasis6 3 3 4 2 2 2 2" xfId="8592" xr:uid="{00000000-0005-0000-0000-00008D210000}"/>
    <cellStyle name="20% - Énfasis6 3 3 4 2 2 3" xfId="8593" xr:uid="{00000000-0005-0000-0000-00008E210000}"/>
    <cellStyle name="20% - Énfasis6 3 3 4 2 2 4" xfId="8594" xr:uid="{00000000-0005-0000-0000-00008F210000}"/>
    <cellStyle name="20% - Énfasis6 3 3 4 2 3" xfId="8595" xr:uid="{00000000-0005-0000-0000-000090210000}"/>
    <cellStyle name="20% - Énfasis6 3 3 4 2 3 2" xfId="8596" xr:uid="{00000000-0005-0000-0000-000091210000}"/>
    <cellStyle name="20% - Énfasis6 3 3 4 2 4" xfId="8597" xr:uid="{00000000-0005-0000-0000-000092210000}"/>
    <cellStyle name="20% - Énfasis6 3 3 4 2 5" xfId="8598" xr:uid="{00000000-0005-0000-0000-000093210000}"/>
    <cellStyle name="20% - Énfasis6 3 3 4 3" xfId="8599" xr:uid="{00000000-0005-0000-0000-000094210000}"/>
    <cellStyle name="20% - Énfasis6 3 3 4 3 2" xfId="8600" xr:uid="{00000000-0005-0000-0000-000095210000}"/>
    <cellStyle name="20% - Énfasis6 3 3 4 3 2 2" xfId="8601" xr:uid="{00000000-0005-0000-0000-000096210000}"/>
    <cellStyle name="20% - Énfasis6 3 3 4 3 3" xfId="8602" xr:uid="{00000000-0005-0000-0000-000097210000}"/>
    <cellStyle name="20% - Énfasis6 3 3 4 3 3 2" xfId="8603" xr:uid="{00000000-0005-0000-0000-000098210000}"/>
    <cellStyle name="20% - Énfasis6 3 3 4 3 4" xfId="8604" xr:uid="{00000000-0005-0000-0000-000099210000}"/>
    <cellStyle name="20% - Énfasis6 3 3 4 3 5" xfId="8605" xr:uid="{00000000-0005-0000-0000-00009A210000}"/>
    <cellStyle name="20% - Énfasis6 3 3 4 4" xfId="8606" xr:uid="{00000000-0005-0000-0000-00009B210000}"/>
    <cellStyle name="20% - Énfasis6 3 3 4 4 2" xfId="8607" xr:uid="{00000000-0005-0000-0000-00009C210000}"/>
    <cellStyle name="20% - Énfasis6 3 3 4 5" xfId="8608" xr:uid="{00000000-0005-0000-0000-00009D210000}"/>
    <cellStyle name="20% - Énfasis6 3 3 4 5 2" xfId="8609" xr:uid="{00000000-0005-0000-0000-00009E210000}"/>
    <cellStyle name="20% - Énfasis6 3 3 4 6" xfId="8610" xr:uid="{00000000-0005-0000-0000-00009F210000}"/>
    <cellStyle name="20% - Énfasis6 3 3 4 7" xfId="8611" xr:uid="{00000000-0005-0000-0000-0000A0210000}"/>
    <cellStyle name="20% - Énfasis6 3 3 5" xfId="8612" xr:uid="{00000000-0005-0000-0000-0000A1210000}"/>
    <cellStyle name="20% - Énfasis6 3 3 5 2" xfId="8613" xr:uid="{00000000-0005-0000-0000-0000A2210000}"/>
    <cellStyle name="20% - Énfasis6 3 3 5 2 2" xfId="8614" xr:uid="{00000000-0005-0000-0000-0000A3210000}"/>
    <cellStyle name="20% - Énfasis6 3 3 5 2 2 2" xfId="8615" xr:uid="{00000000-0005-0000-0000-0000A4210000}"/>
    <cellStyle name="20% - Énfasis6 3 3 5 2 3" xfId="8616" xr:uid="{00000000-0005-0000-0000-0000A5210000}"/>
    <cellStyle name="20% - Énfasis6 3 3 5 2 4" xfId="8617" xr:uid="{00000000-0005-0000-0000-0000A6210000}"/>
    <cellStyle name="20% - Énfasis6 3 3 5 3" xfId="8618" xr:uid="{00000000-0005-0000-0000-0000A7210000}"/>
    <cellStyle name="20% - Énfasis6 3 3 5 3 2" xfId="8619" xr:uid="{00000000-0005-0000-0000-0000A8210000}"/>
    <cellStyle name="20% - Énfasis6 3 3 5 4" xfId="8620" xr:uid="{00000000-0005-0000-0000-0000A9210000}"/>
    <cellStyle name="20% - Énfasis6 3 3 5 5" xfId="8621" xr:uid="{00000000-0005-0000-0000-0000AA210000}"/>
    <cellStyle name="20% - Énfasis6 3 3 6" xfId="8622" xr:uid="{00000000-0005-0000-0000-0000AB210000}"/>
    <cellStyle name="20% - Énfasis6 3 3 6 2" xfId="8623" xr:uid="{00000000-0005-0000-0000-0000AC210000}"/>
    <cellStyle name="20% - Énfasis6 3 3 6 2 2" xfId="8624" xr:uid="{00000000-0005-0000-0000-0000AD210000}"/>
    <cellStyle name="20% - Énfasis6 3 3 6 3" xfId="8625" xr:uid="{00000000-0005-0000-0000-0000AE210000}"/>
    <cellStyle name="20% - Énfasis6 3 3 6 3 2" xfId="8626" xr:uid="{00000000-0005-0000-0000-0000AF210000}"/>
    <cellStyle name="20% - Énfasis6 3 3 6 4" xfId="8627" xr:uid="{00000000-0005-0000-0000-0000B0210000}"/>
    <cellStyle name="20% - Énfasis6 3 3 6 5" xfId="8628" xr:uid="{00000000-0005-0000-0000-0000B1210000}"/>
    <cellStyle name="20% - Énfasis6 3 3 7" xfId="8629" xr:uid="{00000000-0005-0000-0000-0000B2210000}"/>
    <cellStyle name="20% - Énfasis6 3 3 7 2" xfId="8630" xr:uid="{00000000-0005-0000-0000-0000B3210000}"/>
    <cellStyle name="20% - Énfasis6 3 3 8" xfId="8631" xr:uid="{00000000-0005-0000-0000-0000B4210000}"/>
    <cellStyle name="20% - Énfasis6 3 3 8 2" xfId="8632" xr:uid="{00000000-0005-0000-0000-0000B5210000}"/>
    <cellStyle name="20% - Énfasis6 3 3 9" xfId="8633" xr:uid="{00000000-0005-0000-0000-0000B6210000}"/>
    <cellStyle name="20% - Énfasis6 3 4" xfId="8634" xr:uid="{00000000-0005-0000-0000-0000B7210000}"/>
    <cellStyle name="20% - Énfasis6 3 4 2" xfId="8635" xr:uid="{00000000-0005-0000-0000-0000B8210000}"/>
    <cellStyle name="20% - Énfasis6 3 4 2 2" xfId="8636" xr:uid="{00000000-0005-0000-0000-0000B9210000}"/>
    <cellStyle name="20% - Énfasis6 3 4 2 2 2" xfId="8637" xr:uid="{00000000-0005-0000-0000-0000BA210000}"/>
    <cellStyle name="20% - Énfasis6 3 4 2 2 2 2" xfId="8638" xr:uid="{00000000-0005-0000-0000-0000BB210000}"/>
    <cellStyle name="20% - Énfasis6 3 4 2 2 2 2 2" xfId="8639" xr:uid="{00000000-0005-0000-0000-0000BC210000}"/>
    <cellStyle name="20% - Énfasis6 3 4 2 2 2 2 2 2" xfId="8640" xr:uid="{00000000-0005-0000-0000-0000BD210000}"/>
    <cellStyle name="20% - Énfasis6 3 4 2 2 2 2 3" xfId="8641" xr:uid="{00000000-0005-0000-0000-0000BE210000}"/>
    <cellStyle name="20% - Énfasis6 3 4 2 2 2 2 4" xfId="8642" xr:uid="{00000000-0005-0000-0000-0000BF210000}"/>
    <cellStyle name="20% - Énfasis6 3 4 2 2 2 3" xfId="8643" xr:uid="{00000000-0005-0000-0000-0000C0210000}"/>
    <cellStyle name="20% - Énfasis6 3 4 2 2 2 3 2" xfId="8644" xr:uid="{00000000-0005-0000-0000-0000C1210000}"/>
    <cellStyle name="20% - Énfasis6 3 4 2 2 2 4" xfId="8645" xr:uid="{00000000-0005-0000-0000-0000C2210000}"/>
    <cellStyle name="20% - Énfasis6 3 4 2 2 2 5" xfId="8646" xr:uid="{00000000-0005-0000-0000-0000C3210000}"/>
    <cellStyle name="20% - Énfasis6 3 4 2 2 3" xfId="8647" xr:uid="{00000000-0005-0000-0000-0000C4210000}"/>
    <cellStyle name="20% - Énfasis6 3 4 2 2 3 2" xfId="8648" xr:uid="{00000000-0005-0000-0000-0000C5210000}"/>
    <cellStyle name="20% - Énfasis6 3 4 2 2 3 2 2" xfId="8649" xr:uid="{00000000-0005-0000-0000-0000C6210000}"/>
    <cellStyle name="20% - Énfasis6 3 4 2 2 3 3" xfId="8650" xr:uid="{00000000-0005-0000-0000-0000C7210000}"/>
    <cellStyle name="20% - Énfasis6 3 4 2 2 3 4" xfId="8651" xr:uid="{00000000-0005-0000-0000-0000C8210000}"/>
    <cellStyle name="20% - Énfasis6 3 4 2 2 4" xfId="8652" xr:uid="{00000000-0005-0000-0000-0000C9210000}"/>
    <cellStyle name="20% - Énfasis6 3 4 2 2 4 2" xfId="8653" xr:uid="{00000000-0005-0000-0000-0000CA210000}"/>
    <cellStyle name="20% - Énfasis6 3 4 2 2 5" xfId="8654" xr:uid="{00000000-0005-0000-0000-0000CB210000}"/>
    <cellStyle name="20% - Énfasis6 3 4 2 2 6" xfId="8655" xr:uid="{00000000-0005-0000-0000-0000CC210000}"/>
    <cellStyle name="20% - Énfasis6 3 4 2 3" xfId="8656" xr:uid="{00000000-0005-0000-0000-0000CD210000}"/>
    <cellStyle name="20% - Énfasis6 3 4 2 3 2" xfId="8657" xr:uid="{00000000-0005-0000-0000-0000CE210000}"/>
    <cellStyle name="20% - Énfasis6 3 4 2 3 2 2" xfId="8658" xr:uid="{00000000-0005-0000-0000-0000CF210000}"/>
    <cellStyle name="20% - Énfasis6 3 4 2 3 2 2 2" xfId="8659" xr:uid="{00000000-0005-0000-0000-0000D0210000}"/>
    <cellStyle name="20% - Énfasis6 3 4 2 3 2 3" xfId="8660" xr:uid="{00000000-0005-0000-0000-0000D1210000}"/>
    <cellStyle name="20% - Énfasis6 3 4 2 3 2 4" xfId="8661" xr:uid="{00000000-0005-0000-0000-0000D2210000}"/>
    <cellStyle name="20% - Énfasis6 3 4 2 3 3" xfId="8662" xr:uid="{00000000-0005-0000-0000-0000D3210000}"/>
    <cellStyle name="20% - Énfasis6 3 4 2 3 3 2" xfId="8663" xr:uid="{00000000-0005-0000-0000-0000D4210000}"/>
    <cellStyle name="20% - Énfasis6 3 4 2 3 4" xfId="8664" xr:uid="{00000000-0005-0000-0000-0000D5210000}"/>
    <cellStyle name="20% - Énfasis6 3 4 2 3 5" xfId="8665" xr:uid="{00000000-0005-0000-0000-0000D6210000}"/>
    <cellStyle name="20% - Énfasis6 3 4 2 4" xfId="8666" xr:uid="{00000000-0005-0000-0000-0000D7210000}"/>
    <cellStyle name="20% - Énfasis6 3 4 2 4 2" xfId="8667" xr:uid="{00000000-0005-0000-0000-0000D8210000}"/>
    <cellStyle name="20% - Énfasis6 3 4 2 4 2 2" xfId="8668" xr:uid="{00000000-0005-0000-0000-0000D9210000}"/>
    <cellStyle name="20% - Énfasis6 3 4 2 4 3" xfId="8669" xr:uid="{00000000-0005-0000-0000-0000DA210000}"/>
    <cellStyle name="20% - Énfasis6 3 4 2 4 4" xfId="8670" xr:uid="{00000000-0005-0000-0000-0000DB210000}"/>
    <cellStyle name="20% - Énfasis6 3 4 2 5" xfId="8671" xr:uid="{00000000-0005-0000-0000-0000DC210000}"/>
    <cellStyle name="20% - Énfasis6 3 4 2 5 2" xfId="8672" xr:uid="{00000000-0005-0000-0000-0000DD210000}"/>
    <cellStyle name="20% - Énfasis6 3 4 2 6" xfId="8673" xr:uid="{00000000-0005-0000-0000-0000DE210000}"/>
    <cellStyle name="20% - Énfasis6 3 4 2 7" xfId="8674" xr:uid="{00000000-0005-0000-0000-0000DF210000}"/>
    <cellStyle name="20% - Énfasis6 3 4 3" xfId="8675" xr:uid="{00000000-0005-0000-0000-0000E0210000}"/>
    <cellStyle name="20% - Énfasis6 3 4 3 2" xfId="8676" xr:uid="{00000000-0005-0000-0000-0000E1210000}"/>
    <cellStyle name="20% - Énfasis6 3 4 3 2 2" xfId="8677" xr:uid="{00000000-0005-0000-0000-0000E2210000}"/>
    <cellStyle name="20% - Énfasis6 3 4 3 2 2 2" xfId="8678" xr:uid="{00000000-0005-0000-0000-0000E3210000}"/>
    <cellStyle name="20% - Énfasis6 3 4 3 2 2 2 2" xfId="8679" xr:uid="{00000000-0005-0000-0000-0000E4210000}"/>
    <cellStyle name="20% - Énfasis6 3 4 3 2 2 3" xfId="8680" xr:uid="{00000000-0005-0000-0000-0000E5210000}"/>
    <cellStyle name="20% - Énfasis6 3 4 3 2 2 4" xfId="8681" xr:uid="{00000000-0005-0000-0000-0000E6210000}"/>
    <cellStyle name="20% - Énfasis6 3 4 3 2 3" xfId="8682" xr:uid="{00000000-0005-0000-0000-0000E7210000}"/>
    <cellStyle name="20% - Énfasis6 3 4 3 2 3 2" xfId="8683" xr:uid="{00000000-0005-0000-0000-0000E8210000}"/>
    <cellStyle name="20% - Énfasis6 3 4 3 2 4" xfId="8684" xr:uid="{00000000-0005-0000-0000-0000E9210000}"/>
    <cellStyle name="20% - Énfasis6 3 4 3 2 5" xfId="8685" xr:uid="{00000000-0005-0000-0000-0000EA210000}"/>
    <cellStyle name="20% - Énfasis6 3 4 3 3" xfId="8686" xr:uid="{00000000-0005-0000-0000-0000EB210000}"/>
    <cellStyle name="20% - Énfasis6 3 4 3 3 2" xfId="8687" xr:uid="{00000000-0005-0000-0000-0000EC210000}"/>
    <cellStyle name="20% - Énfasis6 3 4 3 3 2 2" xfId="8688" xr:uid="{00000000-0005-0000-0000-0000ED210000}"/>
    <cellStyle name="20% - Énfasis6 3 4 3 3 3" xfId="8689" xr:uid="{00000000-0005-0000-0000-0000EE210000}"/>
    <cellStyle name="20% - Énfasis6 3 4 3 3 3 2" xfId="8690" xr:uid="{00000000-0005-0000-0000-0000EF210000}"/>
    <cellStyle name="20% - Énfasis6 3 4 3 3 4" xfId="8691" xr:uid="{00000000-0005-0000-0000-0000F0210000}"/>
    <cellStyle name="20% - Énfasis6 3 4 3 3 5" xfId="8692" xr:uid="{00000000-0005-0000-0000-0000F1210000}"/>
    <cellStyle name="20% - Énfasis6 3 4 3 4" xfId="8693" xr:uid="{00000000-0005-0000-0000-0000F2210000}"/>
    <cellStyle name="20% - Énfasis6 3 4 3 4 2" xfId="8694" xr:uid="{00000000-0005-0000-0000-0000F3210000}"/>
    <cellStyle name="20% - Énfasis6 3 4 3 5" xfId="8695" xr:uid="{00000000-0005-0000-0000-0000F4210000}"/>
    <cellStyle name="20% - Énfasis6 3 4 3 5 2" xfId="8696" xr:uid="{00000000-0005-0000-0000-0000F5210000}"/>
    <cellStyle name="20% - Énfasis6 3 4 3 6" xfId="8697" xr:uid="{00000000-0005-0000-0000-0000F6210000}"/>
    <cellStyle name="20% - Énfasis6 3 4 3 7" xfId="8698" xr:uid="{00000000-0005-0000-0000-0000F7210000}"/>
    <cellStyle name="20% - Énfasis6 3 4 4" xfId="8699" xr:uid="{00000000-0005-0000-0000-0000F8210000}"/>
    <cellStyle name="20% - Énfasis6 3 4 4 2" xfId="8700" xr:uid="{00000000-0005-0000-0000-0000F9210000}"/>
    <cellStyle name="20% - Énfasis6 3 4 4 2 2" xfId="8701" xr:uid="{00000000-0005-0000-0000-0000FA210000}"/>
    <cellStyle name="20% - Énfasis6 3 4 4 2 2 2" xfId="8702" xr:uid="{00000000-0005-0000-0000-0000FB210000}"/>
    <cellStyle name="20% - Énfasis6 3 4 4 2 3" xfId="8703" xr:uid="{00000000-0005-0000-0000-0000FC210000}"/>
    <cellStyle name="20% - Énfasis6 3 4 4 2 4" xfId="8704" xr:uid="{00000000-0005-0000-0000-0000FD210000}"/>
    <cellStyle name="20% - Énfasis6 3 4 4 3" xfId="8705" xr:uid="{00000000-0005-0000-0000-0000FE210000}"/>
    <cellStyle name="20% - Énfasis6 3 4 4 3 2" xfId="8706" xr:uid="{00000000-0005-0000-0000-0000FF210000}"/>
    <cellStyle name="20% - Énfasis6 3 4 4 4" xfId="8707" xr:uid="{00000000-0005-0000-0000-000000220000}"/>
    <cellStyle name="20% - Énfasis6 3 4 4 5" xfId="8708" xr:uid="{00000000-0005-0000-0000-000001220000}"/>
    <cellStyle name="20% - Énfasis6 3 4 5" xfId="8709" xr:uid="{00000000-0005-0000-0000-000002220000}"/>
    <cellStyle name="20% - Énfasis6 3 4 5 2" xfId="8710" xr:uid="{00000000-0005-0000-0000-000003220000}"/>
    <cellStyle name="20% - Énfasis6 3 4 5 2 2" xfId="8711" xr:uid="{00000000-0005-0000-0000-000004220000}"/>
    <cellStyle name="20% - Énfasis6 3 4 5 3" xfId="8712" xr:uid="{00000000-0005-0000-0000-000005220000}"/>
    <cellStyle name="20% - Énfasis6 3 4 5 3 2" xfId="8713" xr:uid="{00000000-0005-0000-0000-000006220000}"/>
    <cellStyle name="20% - Énfasis6 3 4 5 4" xfId="8714" xr:uid="{00000000-0005-0000-0000-000007220000}"/>
    <cellStyle name="20% - Énfasis6 3 4 5 5" xfId="8715" xr:uid="{00000000-0005-0000-0000-000008220000}"/>
    <cellStyle name="20% - Énfasis6 3 4 6" xfId="8716" xr:uid="{00000000-0005-0000-0000-000009220000}"/>
    <cellStyle name="20% - Énfasis6 3 4 6 2" xfId="8717" xr:uid="{00000000-0005-0000-0000-00000A220000}"/>
    <cellStyle name="20% - Énfasis6 3 4 7" xfId="8718" xr:uid="{00000000-0005-0000-0000-00000B220000}"/>
    <cellStyle name="20% - Énfasis6 3 4 7 2" xfId="8719" xr:uid="{00000000-0005-0000-0000-00000C220000}"/>
    <cellStyle name="20% - Énfasis6 3 4 8" xfId="8720" xr:uid="{00000000-0005-0000-0000-00000D220000}"/>
    <cellStyle name="20% - Énfasis6 3 4 9" xfId="8721" xr:uid="{00000000-0005-0000-0000-00000E220000}"/>
    <cellStyle name="20% - Énfasis6 3 5" xfId="8722" xr:uid="{00000000-0005-0000-0000-00000F220000}"/>
    <cellStyle name="20% - Énfasis6 3 5 2" xfId="8723" xr:uid="{00000000-0005-0000-0000-000010220000}"/>
    <cellStyle name="20% - Énfasis6 3 5 2 2" xfId="8724" xr:uid="{00000000-0005-0000-0000-000011220000}"/>
    <cellStyle name="20% - Énfasis6 3 5 2 2 2" xfId="8725" xr:uid="{00000000-0005-0000-0000-000012220000}"/>
    <cellStyle name="20% - Énfasis6 3 5 2 2 2 2" xfId="8726" xr:uid="{00000000-0005-0000-0000-000013220000}"/>
    <cellStyle name="20% - Énfasis6 3 5 2 2 2 2 2" xfId="8727" xr:uid="{00000000-0005-0000-0000-000014220000}"/>
    <cellStyle name="20% - Énfasis6 3 5 2 2 2 3" xfId="8728" xr:uid="{00000000-0005-0000-0000-000015220000}"/>
    <cellStyle name="20% - Énfasis6 3 5 2 2 2 4" xfId="8729" xr:uid="{00000000-0005-0000-0000-000016220000}"/>
    <cellStyle name="20% - Énfasis6 3 5 2 2 3" xfId="8730" xr:uid="{00000000-0005-0000-0000-000017220000}"/>
    <cellStyle name="20% - Énfasis6 3 5 2 2 3 2" xfId="8731" xr:uid="{00000000-0005-0000-0000-000018220000}"/>
    <cellStyle name="20% - Énfasis6 3 5 2 2 4" xfId="8732" xr:uid="{00000000-0005-0000-0000-000019220000}"/>
    <cellStyle name="20% - Énfasis6 3 5 2 2 5" xfId="8733" xr:uid="{00000000-0005-0000-0000-00001A220000}"/>
    <cellStyle name="20% - Énfasis6 3 5 2 3" xfId="8734" xr:uid="{00000000-0005-0000-0000-00001B220000}"/>
    <cellStyle name="20% - Énfasis6 3 5 2 3 2" xfId="8735" xr:uid="{00000000-0005-0000-0000-00001C220000}"/>
    <cellStyle name="20% - Énfasis6 3 5 2 3 2 2" xfId="8736" xr:uid="{00000000-0005-0000-0000-00001D220000}"/>
    <cellStyle name="20% - Énfasis6 3 5 2 3 3" xfId="8737" xr:uid="{00000000-0005-0000-0000-00001E220000}"/>
    <cellStyle name="20% - Énfasis6 3 5 2 3 3 2" xfId="8738" xr:uid="{00000000-0005-0000-0000-00001F220000}"/>
    <cellStyle name="20% - Énfasis6 3 5 2 3 4" xfId="8739" xr:uid="{00000000-0005-0000-0000-000020220000}"/>
    <cellStyle name="20% - Énfasis6 3 5 2 3 5" xfId="8740" xr:uid="{00000000-0005-0000-0000-000021220000}"/>
    <cellStyle name="20% - Énfasis6 3 5 2 4" xfId="8741" xr:uid="{00000000-0005-0000-0000-000022220000}"/>
    <cellStyle name="20% - Énfasis6 3 5 2 4 2" xfId="8742" xr:uid="{00000000-0005-0000-0000-000023220000}"/>
    <cellStyle name="20% - Énfasis6 3 5 2 5" xfId="8743" xr:uid="{00000000-0005-0000-0000-000024220000}"/>
    <cellStyle name="20% - Énfasis6 3 5 2 5 2" xfId="8744" xr:uid="{00000000-0005-0000-0000-000025220000}"/>
    <cellStyle name="20% - Énfasis6 3 5 2 6" xfId="8745" xr:uid="{00000000-0005-0000-0000-000026220000}"/>
    <cellStyle name="20% - Énfasis6 3 5 2 7" xfId="8746" xr:uid="{00000000-0005-0000-0000-000027220000}"/>
    <cellStyle name="20% - Énfasis6 3 5 3" xfId="8747" xr:uid="{00000000-0005-0000-0000-000028220000}"/>
    <cellStyle name="20% - Énfasis6 3 5 3 2" xfId="8748" xr:uid="{00000000-0005-0000-0000-000029220000}"/>
    <cellStyle name="20% - Énfasis6 3 5 3 2 2" xfId="8749" xr:uid="{00000000-0005-0000-0000-00002A220000}"/>
    <cellStyle name="20% - Énfasis6 3 5 3 2 2 2" xfId="8750" xr:uid="{00000000-0005-0000-0000-00002B220000}"/>
    <cellStyle name="20% - Énfasis6 3 5 3 2 3" xfId="8751" xr:uid="{00000000-0005-0000-0000-00002C220000}"/>
    <cellStyle name="20% - Énfasis6 3 5 3 2 4" xfId="8752" xr:uid="{00000000-0005-0000-0000-00002D220000}"/>
    <cellStyle name="20% - Énfasis6 3 5 3 3" xfId="8753" xr:uid="{00000000-0005-0000-0000-00002E220000}"/>
    <cellStyle name="20% - Énfasis6 3 5 3 3 2" xfId="8754" xr:uid="{00000000-0005-0000-0000-00002F220000}"/>
    <cellStyle name="20% - Énfasis6 3 5 3 4" xfId="8755" xr:uid="{00000000-0005-0000-0000-000030220000}"/>
    <cellStyle name="20% - Énfasis6 3 5 3 5" xfId="8756" xr:uid="{00000000-0005-0000-0000-000031220000}"/>
    <cellStyle name="20% - Énfasis6 3 5 4" xfId="8757" xr:uid="{00000000-0005-0000-0000-000032220000}"/>
    <cellStyle name="20% - Énfasis6 3 5 4 2" xfId="8758" xr:uid="{00000000-0005-0000-0000-000033220000}"/>
    <cellStyle name="20% - Énfasis6 3 5 4 2 2" xfId="8759" xr:uid="{00000000-0005-0000-0000-000034220000}"/>
    <cellStyle name="20% - Énfasis6 3 5 4 3" xfId="8760" xr:uid="{00000000-0005-0000-0000-000035220000}"/>
    <cellStyle name="20% - Énfasis6 3 5 4 3 2" xfId="8761" xr:uid="{00000000-0005-0000-0000-000036220000}"/>
    <cellStyle name="20% - Énfasis6 3 5 4 4" xfId="8762" xr:uid="{00000000-0005-0000-0000-000037220000}"/>
    <cellStyle name="20% - Énfasis6 3 5 4 5" xfId="8763" xr:uid="{00000000-0005-0000-0000-000038220000}"/>
    <cellStyle name="20% - Énfasis6 3 5 5" xfId="8764" xr:uid="{00000000-0005-0000-0000-000039220000}"/>
    <cellStyle name="20% - Énfasis6 3 5 5 2" xfId="8765" xr:uid="{00000000-0005-0000-0000-00003A220000}"/>
    <cellStyle name="20% - Énfasis6 3 5 6" xfId="8766" xr:uid="{00000000-0005-0000-0000-00003B220000}"/>
    <cellStyle name="20% - Énfasis6 3 5 6 2" xfId="8767" xr:uid="{00000000-0005-0000-0000-00003C220000}"/>
    <cellStyle name="20% - Énfasis6 3 5 7" xfId="8768" xr:uid="{00000000-0005-0000-0000-00003D220000}"/>
    <cellStyle name="20% - Énfasis6 3 5 8" xfId="8769" xr:uid="{00000000-0005-0000-0000-00003E220000}"/>
    <cellStyle name="20% - Énfasis6 3 6" xfId="8770" xr:uid="{00000000-0005-0000-0000-00003F220000}"/>
    <cellStyle name="20% - Énfasis6 3 6 2" xfId="8771" xr:uid="{00000000-0005-0000-0000-000040220000}"/>
    <cellStyle name="20% - Énfasis6 3 6 2 2" xfId="8772" xr:uid="{00000000-0005-0000-0000-000041220000}"/>
    <cellStyle name="20% - Énfasis6 3 6 2 2 2" xfId="8773" xr:uid="{00000000-0005-0000-0000-000042220000}"/>
    <cellStyle name="20% - Énfasis6 3 6 2 2 2 2" xfId="8774" xr:uid="{00000000-0005-0000-0000-000043220000}"/>
    <cellStyle name="20% - Énfasis6 3 6 2 2 3" xfId="8775" xr:uid="{00000000-0005-0000-0000-000044220000}"/>
    <cellStyle name="20% - Énfasis6 3 6 2 2 4" xfId="8776" xr:uid="{00000000-0005-0000-0000-000045220000}"/>
    <cellStyle name="20% - Énfasis6 3 6 2 3" xfId="8777" xr:uid="{00000000-0005-0000-0000-000046220000}"/>
    <cellStyle name="20% - Énfasis6 3 6 2 3 2" xfId="8778" xr:uid="{00000000-0005-0000-0000-000047220000}"/>
    <cellStyle name="20% - Énfasis6 3 6 2 4" xfId="8779" xr:uid="{00000000-0005-0000-0000-000048220000}"/>
    <cellStyle name="20% - Énfasis6 3 6 2 5" xfId="8780" xr:uid="{00000000-0005-0000-0000-000049220000}"/>
    <cellStyle name="20% - Énfasis6 3 6 3" xfId="8781" xr:uid="{00000000-0005-0000-0000-00004A220000}"/>
    <cellStyle name="20% - Énfasis6 3 6 3 2" xfId="8782" xr:uid="{00000000-0005-0000-0000-00004B220000}"/>
    <cellStyle name="20% - Énfasis6 3 6 3 2 2" xfId="8783" xr:uid="{00000000-0005-0000-0000-00004C220000}"/>
    <cellStyle name="20% - Énfasis6 3 6 3 3" xfId="8784" xr:uid="{00000000-0005-0000-0000-00004D220000}"/>
    <cellStyle name="20% - Énfasis6 3 6 3 3 2" xfId="8785" xr:uid="{00000000-0005-0000-0000-00004E220000}"/>
    <cellStyle name="20% - Énfasis6 3 6 3 4" xfId="8786" xr:uid="{00000000-0005-0000-0000-00004F220000}"/>
    <cellStyle name="20% - Énfasis6 3 6 3 5" xfId="8787" xr:uid="{00000000-0005-0000-0000-000050220000}"/>
    <cellStyle name="20% - Énfasis6 3 6 4" xfId="8788" xr:uid="{00000000-0005-0000-0000-000051220000}"/>
    <cellStyle name="20% - Énfasis6 3 6 4 2" xfId="8789" xr:uid="{00000000-0005-0000-0000-000052220000}"/>
    <cellStyle name="20% - Énfasis6 3 6 5" xfId="8790" xr:uid="{00000000-0005-0000-0000-000053220000}"/>
    <cellStyle name="20% - Énfasis6 3 6 5 2" xfId="8791" xr:uid="{00000000-0005-0000-0000-000054220000}"/>
    <cellStyle name="20% - Énfasis6 3 6 6" xfId="8792" xr:uid="{00000000-0005-0000-0000-000055220000}"/>
    <cellStyle name="20% - Énfasis6 3 6 7" xfId="8793" xr:uid="{00000000-0005-0000-0000-000056220000}"/>
    <cellStyle name="20% - Énfasis6 3 7" xfId="8794" xr:uid="{00000000-0005-0000-0000-000057220000}"/>
    <cellStyle name="20% - Énfasis6 3 7 2" xfId="8795" xr:uid="{00000000-0005-0000-0000-000058220000}"/>
    <cellStyle name="20% - Énfasis6 3 7 2 2" xfId="8796" xr:uid="{00000000-0005-0000-0000-000059220000}"/>
    <cellStyle name="20% - Énfasis6 3 7 2 2 2" xfId="8797" xr:uid="{00000000-0005-0000-0000-00005A220000}"/>
    <cellStyle name="20% - Énfasis6 3 7 2 3" xfId="8798" xr:uid="{00000000-0005-0000-0000-00005B220000}"/>
    <cellStyle name="20% - Énfasis6 3 7 2 4" xfId="8799" xr:uid="{00000000-0005-0000-0000-00005C220000}"/>
    <cellStyle name="20% - Énfasis6 3 7 3" xfId="8800" xr:uid="{00000000-0005-0000-0000-00005D220000}"/>
    <cellStyle name="20% - Énfasis6 3 7 3 2" xfId="8801" xr:uid="{00000000-0005-0000-0000-00005E220000}"/>
    <cellStyle name="20% - Énfasis6 3 7 4" xfId="8802" xr:uid="{00000000-0005-0000-0000-00005F220000}"/>
    <cellStyle name="20% - Énfasis6 3 7 5" xfId="8803" xr:uid="{00000000-0005-0000-0000-000060220000}"/>
    <cellStyle name="20% - Énfasis6 3 8" xfId="8804" xr:uid="{00000000-0005-0000-0000-000061220000}"/>
    <cellStyle name="20% - Énfasis6 3 8 2" xfId="8805" xr:uid="{00000000-0005-0000-0000-000062220000}"/>
    <cellStyle name="20% - Énfasis6 3 8 2 2" xfId="8806" xr:uid="{00000000-0005-0000-0000-000063220000}"/>
    <cellStyle name="20% - Énfasis6 3 8 3" xfId="8807" xr:uid="{00000000-0005-0000-0000-000064220000}"/>
    <cellStyle name="20% - Énfasis6 3 8 3 2" xfId="8808" xr:uid="{00000000-0005-0000-0000-000065220000}"/>
    <cellStyle name="20% - Énfasis6 3 8 4" xfId="8809" xr:uid="{00000000-0005-0000-0000-000066220000}"/>
    <cellStyle name="20% - Énfasis6 3 8 5" xfId="8810" xr:uid="{00000000-0005-0000-0000-000067220000}"/>
    <cellStyle name="20% - Énfasis6 3 9" xfId="8811" xr:uid="{00000000-0005-0000-0000-000068220000}"/>
    <cellStyle name="20% - Énfasis6 3 9 2" xfId="8812" xr:uid="{00000000-0005-0000-0000-000069220000}"/>
    <cellStyle name="20% - Énfasis6 4" xfId="8813" xr:uid="{00000000-0005-0000-0000-00006A220000}"/>
    <cellStyle name="4" xfId="8814" xr:uid="{00000000-0005-0000-0000-00006B220000}"/>
    <cellStyle name="40% - Accent1" xfId="8815" xr:uid="{00000000-0005-0000-0000-00006C220000}"/>
    <cellStyle name="40% - Accent1 2" xfId="8816" xr:uid="{00000000-0005-0000-0000-00006D220000}"/>
    <cellStyle name="40% - Accent2" xfId="8817" xr:uid="{00000000-0005-0000-0000-00006E220000}"/>
    <cellStyle name="40% - Accent2 2" xfId="8818" xr:uid="{00000000-0005-0000-0000-00006F220000}"/>
    <cellStyle name="40% - Accent3" xfId="8819" xr:uid="{00000000-0005-0000-0000-000070220000}"/>
    <cellStyle name="40% - Accent3 2" xfId="8820" xr:uid="{00000000-0005-0000-0000-000071220000}"/>
    <cellStyle name="40% - Accent4" xfId="8821" xr:uid="{00000000-0005-0000-0000-000072220000}"/>
    <cellStyle name="40% - Accent4 2" xfId="8822" xr:uid="{00000000-0005-0000-0000-000073220000}"/>
    <cellStyle name="40% - Accent5" xfId="8823" xr:uid="{00000000-0005-0000-0000-000074220000}"/>
    <cellStyle name="40% - Accent5 2" xfId="8824" xr:uid="{00000000-0005-0000-0000-000075220000}"/>
    <cellStyle name="40% - Accent6" xfId="8825" xr:uid="{00000000-0005-0000-0000-000076220000}"/>
    <cellStyle name="40% - Accent6 2" xfId="8826" xr:uid="{00000000-0005-0000-0000-000077220000}"/>
    <cellStyle name="40% - Énfasis1 2" xfId="8827" xr:uid="{00000000-0005-0000-0000-000078220000}"/>
    <cellStyle name="40% - Énfasis1 2 10" xfId="8828" xr:uid="{00000000-0005-0000-0000-000079220000}"/>
    <cellStyle name="40% - Énfasis1 2 10 2" xfId="8829" xr:uid="{00000000-0005-0000-0000-00007A220000}"/>
    <cellStyle name="40% - Énfasis1 2 11" xfId="8830" xr:uid="{00000000-0005-0000-0000-00007B220000}"/>
    <cellStyle name="40% - Énfasis1 2 12" xfId="8831" xr:uid="{00000000-0005-0000-0000-00007C220000}"/>
    <cellStyle name="40% - Énfasis1 2 2" xfId="8832" xr:uid="{00000000-0005-0000-0000-00007D220000}"/>
    <cellStyle name="40% - Énfasis1 2 2 10" xfId="8833" xr:uid="{00000000-0005-0000-0000-00007E220000}"/>
    <cellStyle name="40% - Énfasis1 2 2 10 2" xfId="8834" xr:uid="{00000000-0005-0000-0000-00007F220000}"/>
    <cellStyle name="40% - Énfasis1 2 2 11" xfId="8835" xr:uid="{00000000-0005-0000-0000-000080220000}"/>
    <cellStyle name="40% - Énfasis1 2 2 12" xfId="8836" xr:uid="{00000000-0005-0000-0000-000081220000}"/>
    <cellStyle name="40% - Énfasis1 2 2 2" xfId="8837" xr:uid="{00000000-0005-0000-0000-000082220000}"/>
    <cellStyle name="40% - Énfasis1 2 2 2 10" xfId="8838" xr:uid="{00000000-0005-0000-0000-000083220000}"/>
    <cellStyle name="40% - Énfasis1 2 2 2 2" xfId="8839" xr:uid="{00000000-0005-0000-0000-000084220000}"/>
    <cellStyle name="40% - Énfasis1 2 2 2 2 2" xfId="8840" xr:uid="{00000000-0005-0000-0000-000085220000}"/>
    <cellStyle name="40% - Énfasis1 2 2 2 2 2 2" xfId="8841" xr:uid="{00000000-0005-0000-0000-000086220000}"/>
    <cellStyle name="40% - Énfasis1 2 2 2 2 2 2 2" xfId="8842" xr:uid="{00000000-0005-0000-0000-000087220000}"/>
    <cellStyle name="40% - Énfasis1 2 2 2 2 2 2 2 2" xfId="8843" xr:uid="{00000000-0005-0000-0000-000088220000}"/>
    <cellStyle name="40% - Énfasis1 2 2 2 2 2 2 2 2 2" xfId="8844" xr:uid="{00000000-0005-0000-0000-000089220000}"/>
    <cellStyle name="40% - Énfasis1 2 2 2 2 2 2 2 2 2 2" xfId="8845" xr:uid="{00000000-0005-0000-0000-00008A220000}"/>
    <cellStyle name="40% - Énfasis1 2 2 2 2 2 2 2 2 3" xfId="8846" xr:uid="{00000000-0005-0000-0000-00008B220000}"/>
    <cellStyle name="40% - Énfasis1 2 2 2 2 2 2 2 2 4" xfId="8847" xr:uid="{00000000-0005-0000-0000-00008C220000}"/>
    <cellStyle name="40% - Énfasis1 2 2 2 2 2 2 2 3" xfId="8848" xr:uid="{00000000-0005-0000-0000-00008D220000}"/>
    <cellStyle name="40% - Énfasis1 2 2 2 2 2 2 2 3 2" xfId="8849" xr:uid="{00000000-0005-0000-0000-00008E220000}"/>
    <cellStyle name="40% - Énfasis1 2 2 2 2 2 2 2 4" xfId="8850" xr:uid="{00000000-0005-0000-0000-00008F220000}"/>
    <cellStyle name="40% - Énfasis1 2 2 2 2 2 2 2 5" xfId="8851" xr:uid="{00000000-0005-0000-0000-000090220000}"/>
    <cellStyle name="40% - Énfasis1 2 2 2 2 2 2 3" xfId="8852" xr:uid="{00000000-0005-0000-0000-000091220000}"/>
    <cellStyle name="40% - Énfasis1 2 2 2 2 2 2 3 2" xfId="8853" xr:uid="{00000000-0005-0000-0000-000092220000}"/>
    <cellStyle name="40% - Énfasis1 2 2 2 2 2 2 3 2 2" xfId="8854" xr:uid="{00000000-0005-0000-0000-000093220000}"/>
    <cellStyle name="40% - Énfasis1 2 2 2 2 2 2 3 3" xfId="8855" xr:uid="{00000000-0005-0000-0000-000094220000}"/>
    <cellStyle name="40% - Énfasis1 2 2 2 2 2 2 3 4" xfId="8856" xr:uid="{00000000-0005-0000-0000-000095220000}"/>
    <cellStyle name="40% - Énfasis1 2 2 2 2 2 2 4" xfId="8857" xr:uid="{00000000-0005-0000-0000-000096220000}"/>
    <cellStyle name="40% - Énfasis1 2 2 2 2 2 2 4 2" xfId="8858" xr:uid="{00000000-0005-0000-0000-000097220000}"/>
    <cellStyle name="40% - Énfasis1 2 2 2 2 2 2 5" xfId="8859" xr:uid="{00000000-0005-0000-0000-000098220000}"/>
    <cellStyle name="40% - Énfasis1 2 2 2 2 2 2 6" xfId="8860" xr:uid="{00000000-0005-0000-0000-000099220000}"/>
    <cellStyle name="40% - Énfasis1 2 2 2 2 2 3" xfId="8861" xr:uid="{00000000-0005-0000-0000-00009A220000}"/>
    <cellStyle name="40% - Énfasis1 2 2 2 2 2 3 2" xfId="8862" xr:uid="{00000000-0005-0000-0000-00009B220000}"/>
    <cellStyle name="40% - Énfasis1 2 2 2 2 2 3 2 2" xfId="8863" xr:uid="{00000000-0005-0000-0000-00009C220000}"/>
    <cellStyle name="40% - Énfasis1 2 2 2 2 2 3 2 2 2" xfId="8864" xr:uid="{00000000-0005-0000-0000-00009D220000}"/>
    <cellStyle name="40% - Énfasis1 2 2 2 2 2 3 2 3" xfId="8865" xr:uid="{00000000-0005-0000-0000-00009E220000}"/>
    <cellStyle name="40% - Énfasis1 2 2 2 2 2 3 2 4" xfId="8866" xr:uid="{00000000-0005-0000-0000-00009F220000}"/>
    <cellStyle name="40% - Énfasis1 2 2 2 2 2 3 3" xfId="8867" xr:uid="{00000000-0005-0000-0000-0000A0220000}"/>
    <cellStyle name="40% - Énfasis1 2 2 2 2 2 3 3 2" xfId="8868" xr:uid="{00000000-0005-0000-0000-0000A1220000}"/>
    <cellStyle name="40% - Énfasis1 2 2 2 2 2 3 4" xfId="8869" xr:uid="{00000000-0005-0000-0000-0000A2220000}"/>
    <cellStyle name="40% - Énfasis1 2 2 2 2 2 3 5" xfId="8870" xr:uid="{00000000-0005-0000-0000-0000A3220000}"/>
    <cellStyle name="40% - Énfasis1 2 2 2 2 2 4" xfId="8871" xr:uid="{00000000-0005-0000-0000-0000A4220000}"/>
    <cellStyle name="40% - Énfasis1 2 2 2 2 2 4 2" xfId="8872" xr:uid="{00000000-0005-0000-0000-0000A5220000}"/>
    <cellStyle name="40% - Énfasis1 2 2 2 2 2 4 2 2" xfId="8873" xr:uid="{00000000-0005-0000-0000-0000A6220000}"/>
    <cellStyle name="40% - Énfasis1 2 2 2 2 2 4 3" xfId="8874" xr:uid="{00000000-0005-0000-0000-0000A7220000}"/>
    <cellStyle name="40% - Énfasis1 2 2 2 2 2 4 4" xfId="8875" xr:uid="{00000000-0005-0000-0000-0000A8220000}"/>
    <cellStyle name="40% - Énfasis1 2 2 2 2 2 5" xfId="8876" xr:uid="{00000000-0005-0000-0000-0000A9220000}"/>
    <cellStyle name="40% - Énfasis1 2 2 2 2 2 5 2" xfId="8877" xr:uid="{00000000-0005-0000-0000-0000AA220000}"/>
    <cellStyle name="40% - Énfasis1 2 2 2 2 2 6" xfId="8878" xr:uid="{00000000-0005-0000-0000-0000AB220000}"/>
    <cellStyle name="40% - Énfasis1 2 2 2 2 2 7" xfId="8879" xr:uid="{00000000-0005-0000-0000-0000AC220000}"/>
    <cellStyle name="40% - Énfasis1 2 2 2 2 3" xfId="8880" xr:uid="{00000000-0005-0000-0000-0000AD220000}"/>
    <cellStyle name="40% - Énfasis1 2 2 2 2 3 2" xfId="8881" xr:uid="{00000000-0005-0000-0000-0000AE220000}"/>
    <cellStyle name="40% - Énfasis1 2 2 2 2 3 2 2" xfId="8882" xr:uid="{00000000-0005-0000-0000-0000AF220000}"/>
    <cellStyle name="40% - Énfasis1 2 2 2 2 3 2 2 2" xfId="8883" xr:uid="{00000000-0005-0000-0000-0000B0220000}"/>
    <cellStyle name="40% - Énfasis1 2 2 2 2 3 2 2 2 2" xfId="8884" xr:uid="{00000000-0005-0000-0000-0000B1220000}"/>
    <cellStyle name="40% - Énfasis1 2 2 2 2 3 2 2 3" xfId="8885" xr:uid="{00000000-0005-0000-0000-0000B2220000}"/>
    <cellStyle name="40% - Énfasis1 2 2 2 2 3 2 2 4" xfId="8886" xr:uid="{00000000-0005-0000-0000-0000B3220000}"/>
    <cellStyle name="40% - Énfasis1 2 2 2 2 3 2 3" xfId="8887" xr:uid="{00000000-0005-0000-0000-0000B4220000}"/>
    <cellStyle name="40% - Énfasis1 2 2 2 2 3 2 3 2" xfId="8888" xr:uid="{00000000-0005-0000-0000-0000B5220000}"/>
    <cellStyle name="40% - Énfasis1 2 2 2 2 3 2 4" xfId="8889" xr:uid="{00000000-0005-0000-0000-0000B6220000}"/>
    <cellStyle name="40% - Énfasis1 2 2 2 2 3 2 5" xfId="8890" xr:uid="{00000000-0005-0000-0000-0000B7220000}"/>
    <cellStyle name="40% - Énfasis1 2 2 2 2 3 3" xfId="8891" xr:uid="{00000000-0005-0000-0000-0000B8220000}"/>
    <cellStyle name="40% - Énfasis1 2 2 2 2 3 3 2" xfId="8892" xr:uid="{00000000-0005-0000-0000-0000B9220000}"/>
    <cellStyle name="40% - Énfasis1 2 2 2 2 3 3 2 2" xfId="8893" xr:uid="{00000000-0005-0000-0000-0000BA220000}"/>
    <cellStyle name="40% - Énfasis1 2 2 2 2 3 3 3" xfId="8894" xr:uid="{00000000-0005-0000-0000-0000BB220000}"/>
    <cellStyle name="40% - Énfasis1 2 2 2 2 3 3 3 2" xfId="8895" xr:uid="{00000000-0005-0000-0000-0000BC220000}"/>
    <cellStyle name="40% - Énfasis1 2 2 2 2 3 3 4" xfId="8896" xr:uid="{00000000-0005-0000-0000-0000BD220000}"/>
    <cellStyle name="40% - Énfasis1 2 2 2 2 3 3 5" xfId="8897" xr:uid="{00000000-0005-0000-0000-0000BE220000}"/>
    <cellStyle name="40% - Énfasis1 2 2 2 2 3 4" xfId="8898" xr:uid="{00000000-0005-0000-0000-0000BF220000}"/>
    <cellStyle name="40% - Énfasis1 2 2 2 2 3 4 2" xfId="8899" xr:uid="{00000000-0005-0000-0000-0000C0220000}"/>
    <cellStyle name="40% - Énfasis1 2 2 2 2 3 5" xfId="8900" xr:uid="{00000000-0005-0000-0000-0000C1220000}"/>
    <cellStyle name="40% - Énfasis1 2 2 2 2 3 5 2" xfId="8901" xr:uid="{00000000-0005-0000-0000-0000C2220000}"/>
    <cellStyle name="40% - Énfasis1 2 2 2 2 3 6" xfId="8902" xr:uid="{00000000-0005-0000-0000-0000C3220000}"/>
    <cellStyle name="40% - Énfasis1 2 2 2 2 3 7" xfId="8903" xr:uid="{00000000-0005-0000-0000-0000C4220000}"/>
    <cellStyle name="40% - Énfasis1 2 2 2 2 4" xfId="8904" xr:uid="{00000000-0005-0000-0000-0000C5220000}"/>
    <cellStyle name="40% - Énfasis1 2 2 2 2 4 2" xfId="8905" xr:uid="{00000000-0005-0000-0000-0000C6220000}"/>
    <cellStyle name="40% - Énfasis1 2 2 2 2 4 2 2" xfId="8906" xr:uid="{00000000-0005-0000-0000-0000C7220000}"/>
    <cellStyle name="40% - Énfasis1 2 2 2 2 4 2 2 2" xfId="8907" xr:uid="{00000000-0005-0000-0000-0000C8220000}"/>
    <cellStyle name="40% - Énfasis1 2 2 2 2 4 2 3" xfId="8908" xr:uid="{00000000-0005-0000-0000-0000C9220000}"/>
    <cellStyle name="40% - Énfasis1 2 2 2 2 4 2 4" xfId="8909" xr:uid="{00000000-0005-0000-0000-0000CA220000}"/>
    <cellStyle name="40% - Énfasis1 2 2 2 2 4 3" xfId="8910" xr:uid="{00000000-0005-0000-0000-0000CB220000}"/>
    <cellStyle name="40% - Énfasis1 2 2 2 2 4 3 2" xfId="8911" xr:uid="{00000000-0005-0000-0000-0000CC220000}"/>
    <cellStyle name="40% - Énfasis1 2 2 2 2 4 4" xfId="8912" xr:uid="{00000000-0005-0000-0000-0000CD220000}"/>
    <cellStyle name="40% - Énfasis1 2 2 2 2 4 5" xfId="8913" xr:uid="{00000000-0005-0000-0000-0000CE220000}"/>
    <cellStyle name="40% - Énfasis1 2 2 2 2 5" xfId="8914" xr:uid="{00000000-0005-0000-0000-0000CF220000}"/>
    <cellStyle name="40% - Énfasis1 2 2 2 2 5 2" xfId="8915" xr:uid="{00000000-0005-0000-0000-0000D0220000}"/>
    <cellStyle name="40% - Énfasis1 2 2 2 2 5 2 2" xfId="8916" xr:uid="{00000000-0005-0000-0000-0000D1220000}"/>
    <cellStyle name="40% - Énfasis1 2 2 2 2 5 3" xfId="8917" xr:uid="{00000000-0005-0000-0000-0000D2220000}"/>
    <cellStyle name="40% - Énfasis1 2 2 2 2 5 3 2" xfId="8918" xr:uid="{00000000-0005-0000-0000-0000D3220000}"/>
    <cellStyle name="40% - Énfasis1 2 2 2 2 5 4" xfId="8919" xr:uid="{00000000-0005-0000-0000-0000D4220000}"/>
    <cellStyle name="40% - Énfasis1 2 2 2 2 5 5" xfId="8920" xr:uid="{00000000-0005-0000-0000-0000D5220000}"/>
    <cellStyle name="40% - Énfasis1 2 2 2 2 6" xfId="8921" xr:uid="{00000000-0005-0000-0000-0000D6220000}"/>
    <cellStyle name="40% - Énfasis1 2 2 2 2 6 2" xfId="8922" xr:uid="{00000000-0005-0000-0000-0000D7220000}"/>
    <cellStyle name="40% - Énfasis1 2 2 2 2 7" xfId="8923" xr:uid="{00000000-0005-0000-0000-0000D8220000}"/>
    <cellStyle name="40% - Énfasis1 2 2 2 2 7 2" xfId="8924" xr:uid="{00000000-0005-0000-0000-0000D9220000}"/>
    <cellStyle name="40% - Énfasis1 2 2 2 2 8" xfId="8925" xr:uid="{00000000-0005-0000-0000-0000DA220000}"/>
    <cellStyle name="40% - Énfasis1 2 2 2 2 9" xfId="8926" xr:uid="{00000000-0005-0000-0000-0000DB220000}"/>
    <cellStyle name="40% - Énfasis1 2 2 2 3" xfId="8927" xr:uid="{00000000-0005-0000-0000-0000DC220000}"/>
    <cellStyle name="40% - Énfasis1 2 2 2 3 2" xfId="8928" xr:uid="{00000000-0005-0000-0000-0000DD220000}"/>
    <cellStyle name="40% - Énfasis1 2 2 2 3 2 2" xfId="8929" xr:uid="{00000000-0005-0000-0000-0000DE220000}"/>
    <cellStyle name="40% - Énfasis1 2 2 2 3 2 2 2" xfId="8930" xr:uid="{00000000-0005-0000-0000-0000DF220000}"/>
    <cellStyle name="40% - Énfasis1 2 2 2 3 2 2 2 2" xfId="8931" xr:uid="{00000000-0005-0000-0000-0000E0220000}"/>
    <cellStyle name="40% - Énfasis1 2 2 2 3 2 2 2 2 2" xfId="8932" xr:uid="{00000000-0005-0000-0000-0000E1220000}"/>
    <cellStyle name="40% - Énfasis1 2 2 2 3 2 2 2 3" xfId="8933" xr:uid="{00000000-0005-0000-0000-0000E2220000}"/>
    <cellStyle name="40% - Énfasis1 2 2 2 3 2 2 2 4" xfId="8934" xr:uid="{00000000-0005-0000-0000-0000E3220000}"/>
    <cellStyle name="40% - Énfasis1 2 2 2 3 2 2 3" xfId="8935" xr:uid="{00000000-0005-0000-0000-0000E4220000}"/>
    <cellStyle name="40% - Énfasis1 2 2 2 3 2 2 3 2" xfId="8936" xr:uid="{00000000-0005-0000-0000-0000E5220000}"/>
    <cellStyle name="40% - Énfasis1 2 2 2 3 2 2 4" xfId="8937" xr:uid="{00000000-0005-0000-0000-0000E6220000}"/>
    <cellStyle name="40% - Énfasis1 2 2 2 3 2 2 5" xfId="8938" xr:uid="{00000000-0005-0000-0000-0000E7220000}"/>
    <cellStyle name="40% - Énfasis1 2 2 2 3 2 3" xfId="8939" xr:uid="{00000000-0005-0000-0000-0000E8220000}"/>
    <cellStyle name="40% - Énfasis1 2 2 2 3 2 3 2" xfId="8940" xr:uid="{00000000-0005-0000-0000-0000E9220000}"/>
    <cellStyle name="40% - Énfasis1 2 2 2 3 2 3 2 2" xfId="8941" xr:uid="{00000000-0005-0000-0000-0000EA220000}"/>
    <cellStyle name="40% - Énfasis1 2 2 2 3 2 3 3" xfId="8942" xr:uid="{00000000-0005-0000-0000-0000EB220000}"/>
    <cellStyle name="40% - Énfasis1 2 2 2 3 2 3 4" xfId="8943" xr:uid="{00000000-0005-0000-0000-0000EC220000}"/>
    <cellStyle name="40% - Énfasis1 2 2 2 3 2 4" xfId="8944" xr:uid="{00000000-0005-0000-0000-0000ED220000}"/>
    <cellStyle name="40% - Énfasis1 2 2 2 3 2 4 2" xfId="8945" xr:uid="{00000000-0005-0000-0000-0000EE220000}"/>
    <cellStyle name="40% - Énfasis1 2 2 2 3 2 5" xfId="8946" xr:uid="{00000000-0005-0000-0000-0000EF220000}"/>
    <cellStyle name="40% - Énfasis1 2 2 2 3 2 6" xfId="8947" xr:uid="{00000000-0005-0000-0000-0000F0220000}"/>
    <cellStyle name="40% - Énfasis1 2 2 2 3 3" xfId="8948" xr:uid="{00000000-0005-0000-0000-0000F1220000}"/>
    <cellStyle name="40% - Énfasis1 2 2 2 3 3 2" xfId="8949" xr:uid="{00000000-0005-0000-0000-0000F2220000}"/>
    <cellStyle name="40% - Énfasis1 2 2 2 3 3 2 2" xfId="8950" xr:uid="{00000000-0005-0000-0000-0000F3220000}"/>
    <cellStyle name="40% - Énfasis1 2 2 2 3 3 2 2 2" xfId="8951" xr:uid="{00000000-0005-0000-0000-0000F4220000}"/>
    <cellStyle name="40% - Énfasis1 2 2 2 3 3 2 3" xfId="8952" xr:uid="{00000000-0005-0000-0000-0000F5220000}"/>
    <cellStyle name="40% - Énfasis1 2 2 2 3 3 2 4" xfId="8953" xr:uid="{00000000-0005-0000-0000-0000F6220000}"/>
    <cellStyle name="40% - Énfasis1 2 2 2 3 3 3" xfId="8954" xr:uid="{00000000-0005-0000-0000-0000F7220000}"/>
    <cellStyle name="40% - Énfasis1 2 2 2 3 3 3 2" xfId="8955" xr:uid="{00000000-0005-0000-0000-0000F8220000}"/>
    <cellStyle name="40% - Énfasis1 2 2 2 3 3 4" xfId="8956" xr:uid="{00000000-0005-0000-0000-0000F9220000}"/>
    <cellStyle name="40% - Énfasis1 2 2 2 3 3 5" xfId="8957" xr:uid="{00000000-0005-0000-0000-0000FA220000}"/>
    <cellStyle name="40% - Énfasis1 2 2 2 3 4" xfId="8958" xr:uid="{00000000-0005-0000-0000-0000FB220000}"/>
    <cellStyle name="40% - Énfasis1 2 2 2 3 4 2" xfId="8959" xr:uid="{00000000-0005-0000-0000-0000FC220000}"/>
    <cellStyle name="40% - Énfasis1 2 2 2 3 4 2 2" xfId="8960" xr:uid="{00000000-0005-0000-0000-0000FD220000}"/>
    <cellStyle name="40% - Énfasis1 2 2 2 3 4 3" xfId="8961" xr:uid="{00000000-0005-0000-0000-0000FE220000}"/>
    <cellStyle name="40% - Énfasis1 2 2 2 3 4 4" xfId="8962" xr:uid="{00000000-0005-0000-0000-0000FF220000}"/>
    <cellStyle name="40% - Énfasis1 2 2 2 3 5" xfId="8963" xr:uid="{00000000-0005-0000-0000-000000230000}"/>
    <cellStyle name="40% - Énfasis1 2 2 2 3 5 2" xfId="8964" xr:uid="{00000000-0005-0000-0000-000001230000}"/>
    <cellStyle name="40% - Énfasis1 2 2 2 3 6" xfId="8965" xr:uid="{00000000-0005-0000-0000-000002230000}"/>
    <cellStyle name="40% - Énfasis1 2 2 2 3 7" xfId="8966" xr:uid="{00000000-0005-0000-0000-000003230000}"/>
    <cellStyle name="40% - Énfasis1 2 2 2 4" xfId="8967" xr:uid="{00000000-0005-0000-0000-000004230000}"/>
    <cellStyle name="40% - Énfasis1 2 2 2 4 2" xfId="8968" xr:uid="{00000000-0005-0000-0000-000005230000}"/>
    <cellStyle name="40% - Énfasis1 2 2 2 4 2 2" xfId="8969" xr:uid="{00000000-0005-0000-0000-000006230000}"/>
    <cellStyle name="40% - Énfasis1 2 2 2 4 2 2 2" xfId="8970" xr:uid="{00000000-0005-0000-0000-000007230000}"/>
    <cellStyle name="40% - Énfasis1 2 2 2 4 2 2 2 2" xfId="8971" xr:uid="{00000000-0005-0000-0000-000008230000}"/>
    <cellStyle name="40% - Énfasis1 2 2 2 4 2 2 3" xfId="8972" xr:uid="{00000000-0005-0000-0000-000009230000}"/>
    <cellStyle name="40% - Énfasis1 2 2 2 4 2 2 4" xfId="8973" xr:uid="{00000000-0005-0000-0000-00000A230000}"/>
    <cellStyle name="40% - Énfasis1 2 2 2 4 2 3" xfId="8974" xr:uid="{00000000-0005-0000-0000-00000B230000}"/>
    <cellStyle name="40% - Énfasis1 2 2 2 4 2 3 2" xfId="8975" xr:uid="{00000000-0005-0000-0000-00000C230000}"/>
    <cellStyle name="40% - Énfasis1 2 2 2 4 2 4" xfId="8976" xr:uid="{00000000-0005-0000-0000-00000D230000}"/>
    <cellStyle name="40% - Énfasis1 2 2 2 4 2 5" xfId="8977" xr:uid="{00000000-0005-0000-0000-00000E230000}"/>
    <cellStyle name="40% - Énfasis1 2 2 2 4 3" xfId="8978" xr:uid="{00000000-0005-0000-0000-00000F230000}"/>
    <cellStyle name="40% - Énfasis1 2 2 2 4 3 2" xfId="8979" xr:uid="{00000000-0005-0000-0000-000010230000}"/>
    <cellStyle name="40% - Énfasis1 2 2 2 4 3 2 2" xfId="8980" xr:uid="{00000000-0005-0000-0000-000011230000}"/>
    <cellStyle name="40% - Énfasis1 2 2 2 4 3 3" xfId="8981" xr:uid="{00000000-0005-0000-0000-000012230000}"/>
    <cellStyle name="40% - Énfasis1 2 2 2 4 3 3 2" xfId="8982" xr:uid="{00000000-0005-0000-0000-000013230000}"/>
    <cellStyle name="40% - Énfasis1 2 2 2 4 3 4" xfId="8983" xr:uid="{00000000-0005-0000-0000-000014230000}"/>
    <cellStyle name="40% - Énfasis1 2 2 2 4 3 5" xfId="8984" xr:uid="{00000000-0005-0000-0000-000015230000}"/>
    <cellStyle name="40% - Énfasis1 2 2 2 4 4" xfId="8985" xr:uid="{00000000-0005-0000-0000-000016230000}"/>
    <cellStyle name="40% - Énfasis1 2 2 2 4 4 2" xfId="8986" xr:uid="{00000000-0005-0000-0000-000017230000}"/>
    <cellStyle name="40% - Énfasis1 2 2 2 4 5" xfId="8987" xr:uid="{00000000-0005-0000-0000-000018230000}"/>
    <cellStyle name="40% - Énfasis1 2 2 2 4 5 2" xfId="8988" xr:uid="{00000000-0005-0000-0000-000019230000}"/>
    <cellStyle name="40% - Énfasis1 2 2 2 4 6" xfId="8989" xr:uid="{00000000-0005-0000-0000-00001A230000}"/>
    <cellStyle name="40% - Énfasis1 2 2 2 4 7" xfId="8990" xr:uid="{00000000-0005-0000-0000-00001B230000}"/>
    <cellStyle name="40% - Énfasis1 2 2 2 5" xfId="8991" xr:uid="{00000000-0005-0000-0000-00001C230000}"/>
    <cellStyle name="40% - Énfasis1 2 2 2 5 2" xfId="8992" xr:uid="{00000000-0005-0000-0000-00001D230000}"/>
    <cellStyle name="40% - Énfasis1 2 2 2 5 2 2" xfId="8993" xr:uid="{00000000-0005-0000-0000-00001E230000}"/>
    <cellStyle name="40% - Énfasis1 2 2 2 5 2 2 2" xfId="8994" xr:uid="{00000000-0005-0000-0000-00001F230000}"/>
    <cellStyle name="40% - Énfasis1 2 2 2 5 2 3" xfId="8995" xr:uid="{00000000-0005-0000-0000-000020230000}"/>
    <cellStyle name="40% - Énfasis1 2 2 2 5 2 4" xfId="8996" xr:uid="{00000000-0005-0000-0000-000021230000}"/>
    <cellStyle name="40% - Énfasis1 2 2 2 5 3" xfId="8997" xr:uid="{00000000-0005-0000-0000-000022230000}"/>
    <cellStyle name="40% - Énfasis1 2 2 2 5 3 2" xfId="8998" xr:uid="{00000000-0005-0000-0000-000023230000}"/>
    <cellStyle name="40% - Énfasis1 2 2 2 5 4" xfId="8999" xr:uid="{00000000-0005-0000-0000-000024230000}"/>
    <cellStyle name="40% - Énfasis1 2 2 2 5 5" xfId="9000" xr:uid="{00000000-0005-0000-0000-000025230000}"/>
    <cellStyle name="40% - Énfasis1 2 2 2 6" xfId="9001" xr:uid="{00000000-0005-0000-0000-000026230000}"/>
    <cellStyle name="40% - Énfasis1 2 2 2 6 2" xfId="9002" xr:uid="{00000000-0005-0000-0000-000027230000}"/>
    <cellStyle name="40% - Énfasis1 2 2 2 6 2 2" xfId="9003" xr:uid="{00000000-0005-0000-0000-000028230000}"/>
    <cellStyle name="40% - Énfasis1 2 2 2 6 3" xfId="9004" xr:uid="{00000000-0005-0000-0000-000029230000}"/>
    <cellStyle name="40% - Énfasis1 2 2 2 6 3 2" xfId="9005" xr:uid="{00000000-0005-0000-0000-00002A230000}"/>
    <cellStyle name="40% - Énfasis1 2 2 2 6 4" xfId="9006" xr:uid="{00000000-0005-0000-0000-00002B230000}"/>
    <cellStyle name="40% - Énfasis1 2 2 2 6 5" xfId="9007" xr:uid="{00000000-0005-0000-0000-00002C230000}"/>
    <cellStyle name="40% - Énfasis1 2 2 2 7" xfId="9008" xr:uid="{00000000-0005-0000-0000-00002D230000}"/>
    <cellStyle name="40% - Énfasis1 2 2 2 7 2" xfId="9009" xr:uid="{00000000-0005-0000-0000-00002E230000}"/>
    <cellStyle name="40% - Énfasis1 2 2 2 8" xfId="9010" xr:uid="{00000000-0005-0000-0000-00002F230000}"/>
    <cellStyle name="40% - Énfasis1 2 2 2 8 2" xfId="9011" xr:uid="{00000000-0005-0000-0000-000030230000}"/>
    <cellStyle name="40% - Énfasis1 2 2 2 9" xfId="9012" xr:uid="{00000000-0005-0000-0000-000031230000}"/>
    <cellStyle name="40% - Énfasis1 2 2 3" xfId="9013" xr:uid="{00000000-0005-0000-0000-000032230000}"/>
    <cellStyle name="40% - Énfasis1 2 2 3 2" xfId="9014" xr:uid="{00000000-0005-0000-0000-000033230000}"/>
    <cellStyle name="40% - Énfasis1 2 2 3 2 2" xfId="9015" xr:uid="{00000000-0005-0000-0000-000034230000}"/>
    <cellStyle name="40% - Énfasis1 2 2 3 2 2 2" xfId="9016" xr:uid="{00000000-0005-0000-0000-000035230000}"/>
    <cellStyle name="40% - Énfasis1 2 2 3 2 2 2 2" xfId="9017" xr:uid="{00000000-0005-0000-0000-000036230000}"/>
    <cellStyle name="40% - Énfasis1 2 2 3 2 2 2 2 2" xfId="9018" xr:uid="{00000000-0005-0000-0000-000037230000}"/>
    <cellStyle name="40% - Énfasis1 2 2 3 2 2 2 2 2 2" xfId="9019" xr:uid="{00000000-0005-0000-0000-000038230000}"/>
    <cellStyle name="40% - Énfasis1 2 2 3 2 2 2 2 3" xfId="9020" xr:uid="{00000000-0005-0000-0000-000039230000}"/>
    <cellStyle name="40% - Énfasis1 2 2 3 2 2 2 2 4" xfId="9021" xr:uid="{00000000-0005-0000-0000-00003A230000}"/>
    <cellStyle name="40% - Énfasis1 2 2 3 2 2 2 3" xfId="9022" xr:uid="{00000000-0005-0000-0000-00003B230000}"/>
    <cellStyle name="40% - Énfasis1 2 2 3 2 2 2 3 2" xfId="9023" xr:uid="{00000000-0005-0000-0000-00003C230000}"/>
    <cellStyle name="40% - Énfasis1 2 2 3 2 2 2 4" xfId="9024" xr:uid="{00000000-0005-0000-0000-00003D230000}"/>
    <cellStyle name="40% - Énfasis1 2 2 3 2 2 2 5" xfId="9025" xr:uid="{00000000-0005-0000-0000-00003E230000}"/>
    <cellStyle name="40% - Énfasis1 2 2 3 2 2 3" xfId="9026" xr:uid="{00000000-0005-0000-0000-00003F230000}"/>
    <cellStyle name="40% - Énfasis1 2 2 3 2 2 3 2" xfId="9027" xr:uid="{00000000-0005-0000-0000-000040230000}"/>
    <cellStyle name="40% - Énfasis1 2 2 3 2 2 3 2 2" xfId="9028" xr:uid="{00000000-0005-0000-0000-000041230000}"/>
    <cellStyle name="40% - Énfasis1 2 2 3 2 2 3 3" xfId="9029" xr:uid="{00000000-0005-0000-0000-000042230000}"/>
    <cellStyle name="40% - Énfasis1 2 2 3 2 2 3 4" xfId="9030" xr:uid="{00000000-0005-0000-0000-000043230000}"/>
    <cellStyle name="40% - Énfasis1 2 2 3 2 2 4" xfId="9031" xr:uid="{00000000-0005-0000-0000-000044230000}"/>
    <cellStyle name="40% - Énfasis1 2 2 3 2 2 4 2" xfId="9032" xr:uid="{00000000-0005-0000-0000-000045230000}"/>
    <cellStyle name="40% - Énfasis1 2 2 3 2 2 5" xfId="9033" xr:uid="{00000000-0005-0000-0000-000046230000}"/>
    <cellStyle name="40% - Énfasis1 2 2 3 2 2 6" xfId="9034" xr:uid="{00000000-0005-0000-0000-000047230000}"/>
    <cellStyle name="40% - Énfasis1 2 2 3 2 3" xfId="9035" xr:uid="{00000000-0005-0000-0000-000048230000}"/>
    <cellStyle name="40% - Énfasis1 2 2 3 2 3 2" xfId="9036" xr:uid="{00000000-0005-0000-0000-000049230000}"/>
    <cellStyle name="40% - Énfasis1 2 2 3 2 3 2 2" xfId="9037" xr:uid="{00000000-0005-0000-0000-00004A230000}"/>
    <cellStyle name="40% - Énfasis1 2 2 3 2 3 2 2 2" xfId="9038" xr:uid="{00000000-0005-0000-0000-00004B230000}"/>
    <cellStyle name="40% - Énfasis1 2 2 3 2 3 2 3" xfId="9039" xr:uid="{00000000-0005-0000-0000-00004C230000}"/>
    <cellStyle name="40% - Énfasis1 2 2 3 2 3 2 4" xfId="9040" xr:uid="{00000000-0005-0000-0000-00004D230000}"/>
    <cellStyle name="40% - Énfasis1 2 2 3 2 3 3" xfId="9041" xr:uid="{00000000-0005-0000-0000-00004E230000}"/>
    <cellStyle name="40% - Énfasis1 2 2 3 2 3 3 2" xfId="9042" xr:uid="{00000000-0005-0000-0000-00004F230000}"/>
    <cellStyle name="40% - Énfasis1 2 2 3 2 3 4" xfId="9043" xr:uid="{00000000-0005-0000-0000-000050230000}"/>
    <cellStyle name="40% - Énfasis1 2 2 3 2 3 5" xfId="9044" xr:uid="{00000000-0005-0000-0000-000051230000}"/>
    <cellStyle name="40% - Énfasis1 2 2 3 2 4" xfId="9045" xr:uid="{00000000-0005-0000-0000-000052230000}"/>
    <cellStyle name="40% - Énfasis1 2 2 3 2 4 2" xfId="9046" xr:uid="{00000000-0005-0000-0000-000053230000}"/>
    <cellStyle name="40% - Énfasis1 2 2 3 2 4 2 2" xfId="9047" xr:uid="{00000000-0005-0000-0000-000054230000}"/>
    <cellStyle name="40% - Énfasis1 2 2 3 2 4 3" xfId="9048" xr:uid="{00000000-0005-0000-0000-000055230000}"/>
    <cellStyle name="40% - Énfasis1 2 2 3 2 4 4" xfId="9049" xr:uid="{00000000-0005-0000-0000-000056230000}"/>
    <cellStyle name="40% - Énfasis1 2 2 3 2 5" xfId="9050" xr:uid="{00000000-0005-0000-0000-000057230000}"/>
    <cellStyle name="40% - Énfasis1 2 2 3 2 5 2" xfId="9051" xr:uid="{00000000-0005-0000-0000-000058230000}"/>
    <cellStyle name="40% - Énfasis1 2 2 3 2 6" xfId="9052" xr:uid="{00000000-0005-0000-0000-000059230000}"/>
    <cellStyle name="40% - Énfasis1 2 2 3 2 7" xfId="9053" xr:uid="{00000000-0005-0000-0000-00005A230000}"/>
    <cellStyle name="40% - Énfasis1 2 2 3 3" xfId="9054" xr:uid="{00000000-0005-0000-0000-00005B230000}"/>
    <cellStyle name="40% - Énfasis1 2 2 3 3 2" xfId="9055" xr:uid="{00000000-0005-0000-0000-00005C230000}"/>
    <cellStyle name="40% - Énfasis1 2 2 3 3 2 2" xfId="9056" xr:uid="{00000000-0005-0000-0000-00005D230000}"/>
    <cellStyle name="40% - Énfasis1 2 2 3 3 2 2 2" xfId="9057" xr:uid="{00000000-0005-0000-0000-00005E230000}"/>
    <cellStyle name="40% - Énfasis1 2 2 3 3 2 2 2 2" xfId="9058" xr:uid="{00000000-0005-0000-0000-00005F230000}"/>
    <cellStyle name="40% - Énfasis1 2 2 3 3 2 2 3" xfId="9059" xr:uid="{00000000-0005-0000-0000-000060230000}"/>
    <cellStyle name="40% - Énfasis1 2 2 3 3 2 2 4" xfId="9060" xr:uid="{00000000-0005-0000-0000-000061230000}"/>
    <cellStyle name="40% - Énfasis1 2 2 3 3 2 3" xfId="9061" xr:uid="{00000000-0005-0000-0000-000062230000}"/>
    <cellStyle name="40% - Énfasis1 2 2 3 3 2 3 2" xfId="9062" xr:uid="{00000000-0005-0000-0000-000063230000}"/>
    <cellStyle name="40% - Énfasis1 2 2 3 3 2 4" xfId="9063" xr:uid="{00000000-0005-0000-0000-000064230000}"/>
    <cellStyle name="40% - Énfasis1 2 2 3 3 2 5" xfId="9064" xr:uid="{00000000-0005-0000-0000-000065230000}"/>
    <cellStyle name="40% - Énfasis1 2 2 3 3 3" xfId="9065" xr:uid="{00000000-0005-0000-0000-000066230000}"/>
    <cellStyle name="40% - Énfasis1 2 2 3 3 3 2" xfId="9066" xr:uid="{00000000-0005-0000-0000-000067230000}"/>
    <cellStyle name="40% - Énfasis1 2 2 3 3 3 2 2" xfId="9067" xr:uid="{00000000-0005-0000-0000-000068230000}"/>
    <cellStyle name="40% - Énfasis1 2 2 3 3 3 3" xfId="9068" xr:uid="{00000000-0005-0000-0000-000069230000}"/>
    <cellStyle name="40% - Énfasis1 2 2 3 3 3 3 2" xfId="9069" xr:uid="{00000000-0005-0000-0000-00006A230000}"/>
    <cellStyle name="40% - Énfasis1 2 2 3 3 3 4" xfId="9070" xr:uid="{00000000-0005-0000-0000-00006B230000}"/>
    <cellStyle name="40% - Énfasis1 2 2 3 3 3 5" xfId="9071" xr:uid="{00000000-0005-0000-0000-00006C230000}"/>
    <cellStyle name="40% - Énfasis1 2 2 3 3 4" xfId="9072" xr:uid="{00000000-0005-0000-0000-00006D230000}"/>
    <cellStyle name="40% - Énfasis1 2 2 3 3 4 2" xfId="9073" xr:uid="{00000000-0005-0000-0000-00006E230000}"/>
    <cellStyle name="40% - Énfasis1 2 2 3 3 5" xfId="9074" xr:uid="{00000000-0005-0000-0000-00006F230000}"/>
    <cellStyle name="40% - Énfasis1 2 2 3 3 5 2" xfId="9075" xr:uid="{00000000-0005-0000-0000-000070230000}"/>
    <cellStyle name="40% - Énfasis1 2 2 3 3 6" xfId="9076" xr:uid="{00000000-0005-0000-0000-000071230000}"/>
    <cellStyle name="40% - Énfasis1 2 2 3 3 7" xfId="9077" xr:uid="{00000000-0005-0000-0000-000072230000}"/>
    <cellStyle name="40% - Énfasis1 2 2 3 4" xfId="9078" xr:uid="{00000000-0005-0000-0000-000073230000}"/>
    <cellStyle name="40% - Énfasis1 2 2 3 4 2" xfId="9079" xr:uid="{00000000-0005-0000-0000-000074230000}"/>
    <cellStyle name="40% - Énfasis1 2 2 3 4 2 2" xfId="9080" xr:uid="{00000000-0005-0000-0000-000075230000}"/>
    <cellStyle name="40% - Énfasis1 2 2 3 4 2 2 2" xfId="9081" xr:uid="{00000000-0005-0000-0000-000076230000}"/>
    <cellStyle name="40% - Énfasis1 2 2 3 4 2 3" xfId="9082" xr:uid="{00000000-0005-0000-0000-000077230000}"/>
    <cellStyle name="40% - Énfasis1 2 2 3 4 2 4" xfId="9083" xr:uid="{00000000-0005-0000-0000-000078230000}"/>
    <cellStyle name="40% - Énfasis1 2 2 3 4 3" xfId="9084" xr:uid="{00000000-0005-0000-0000-000079230000}"/>
    <cellStyle name="40% - Énfasis1 2 2 3 4 3 2" xfId="9085" xr:uid="{00000000-0005-0000-0000-00007A230000}"/>
    <cellStyle name="40% - Énfasis1 2 2 3 4 4" xfId="9086" xr:uid="{00000000-0005-0000-0000-00007B230000}"/>
    <cellStyle name="40% - Énfasis1 2 2 3 4 5" xfId="9087" xr:uid="{00000000-0005-0000-0000-00007C230000}"/>
    <cellStyle name="40% - Énfasis1 2 2 3 5" xfId="9088" xr:uid="{00000000-0005-0000-0000-00007D230000}"/>
    <cellStyle name="40% - Énfasis1 2 2 3 5 2" xfId="9089" xr:uid="{00000000-0005-0000-0000-00007E230000}"/>
    <cellStyle name="40% - Énfasis1 2 2 3 5 2 2" xfId="9090" xr:uid="{00000000-0005-0000-0000-00007F230000}"/>
    <cellStyle name="40% - Énfasis1 2 2 3 5 3" xfId="9091" xr:uid="{00000000-0005-0000-0000-000080230000}"/>
    <cellStyle name="40% - Énfasis1 2 2 3 5 3 2" xfId="9092" xr:uid="{00000000-0005-0000-0000-000081230000}"/>
    <cellStyle name="40% - Énfasis1 2 2 3 5 4" xfId="9093" xr:uid="{00000000-0005-0000-0000-000082230000}"/>
    <cellStyle name="40% - Énfasis1 2 2 3 5 5" xfId="9094" xr:uid="{00000000-0005-0000-0000-000083230000}"/>
    <cellStyle name="40% - Énfasis1 2 2 3 6" xfId="9095" xr:uid="{00000000-0005-0000-0000-000084230000}"/>
    <cellStyle name="40% - Énfasis1 2 2 3 6 2" xfId="9096" xr:uid="{00000000-0005-0000-0000-000085230000}"/>
    <cellStyle name="40% - Énfasis1 2 2 3 7" xfId="9097" xr:uid="{00000000-0005-0000-0000-000086230000}"/>
    <cellStyle name="40% - Énfasis1 2 2 3 7 2" xfId="9098" xr:uid="{00000000-0005-0000-0000-000087230000}"/>
    <cellStyle name="40% - Énfasis1 2 2 3 8" xfId="9099" xr:uid="{00000000-0005-0000-0000-000088230000}"/>
    <cellStyle name="40% - Énfasis1 2 2 3 9" xfId="9100" xr:uid="{00000000-0005-0000-0000-000089230000}"/>
    <cellStyle name="40% - Énfasis1 2 2 4" xfId="9101" xr:uid="{00000000-0005-0000-0000-00008A230000}"/>
    <cellStyle name="40% - Énfasis1 2 2 4 2" xfId="9102" xr:uid="{00000000-0005-0000-0000-00008B230000}"/>
    <cellStyle name="40% - Énfasis1 2 2 4 2 2" xfId="9103" xr:uid="{00000000-0005-0000-0000-00008C230000}"/>
    <cellStyle name="40% - Énfasis1 2 2 4 2 2 2" xfId="9104" xr:uid="{00000000-0005-0000-0000-00008D230000}"/>
    <cellStyle name="40% - Énfasis1 2 2 4 2 2 2 2" xfId="9105" xr:uid="{00000000-0005-0000-0000-00008E230000}"/>
    <cellStyle name="40% - Énfasis1 2 2 4 2 2 2 2 2" xfId="9106" xr:uid="{00000000-0005-0000-0000-00008F230000}"/>
    <cellStyle name="40% - Énfasis1 2 2 4 2 2 2 3" xfId="9107" xr:uid="{00000000-0005-0000-0000-000090230000}"/>
    <cellStyle name="40% - Énfasis1 2 2 4 2 2 2 4" xfId="9108" xr:uid="{00000000-0005-0000-0000-000091230000}"/>
    <cellStyle name="40% - Énfasis1 2 2 4 2 2 3" xfId="9109" xr:uid="{00000000-0005-0000-0000-000092230000}"/>
    <cellStyle name="40% - Énfasis1 2 2 4 2 2 3 2" xfId="9110" xr:uid="{00000000-0005-0000-0000-000093230000}"/>
    <cellStyle name="40% - Énfasis1 2 2 4 2 2 4" xfId="9111" xr:uid="{00000000-0005-0000-0000-000094230000}"/>
    <cellStyle name="40% - Énfasis1 2 2 4 2 2 5" xfId="9112" xr:uid="{00000000-0005-0000-0000-000095230000}"/>
    <cellStyle name="40% - Énfasis1 2 2 4 2 3" xfId="9113" xr:uid="{00000000-0005-0000-0000-000096230000}"/>
    <cellStyle name="40% - Énfasis1 2 2 4 2 3 2" xfId="9114" xr:uid="{00000000-0005-0000-0000-000097230000}"/>
    <cellStyle name="40% - Énfasis1 2 2 4 2 3 2 2" xfId="9115" xr:uid="{00000000-0005-0000-0000-000098230000}"/>
    <cellStyle name="40% - Énfasis1 2 2 4 2 3 3" xfId="9116" xr:uid="{00000000-0005-0000-0000-000099230000}"/>
    <cellStyle name="40% - Énfasis1 2 2 4 2 3 3 2" xfId="9117" xr:uid="{00000000-0005-0000-0000-00009A230000}"/>
    <cellStyle name="40% - Énfasis1 2 2 4 2 3 4" xfId="9118" xr:uid="{00000000-0005-0000-0000-00009B230000}"/>
    <cellStyle name="40% - Énfasis1 2 2 4 2 3 5" xfId="9119" xr:uid="{00000000-0005-0000-0000-00009C230000}"/>
    <cellStyle name="40% - Énfasis1 2 2 4 2 4" xfId="9120" xr:uid="{00000000-0005-0000-0000-00009D230000}"/>
    <cellStyle name="40% - Énfasis1 2 2 4 2 4 2" xfId="9121" xr:uid="{00000000-0005-0000-0000-00009E230000}"/>
    <cellStyle name="40% - Énfasis1 2 2 4 2 5" xfId="9122" xr:uid="{00000000-0005-0000-0000-00009F230000}"/>
    <cellStyle name="40% - Énfasis1 2 2 4 2 5 2" xfId="9123" xr:uid="{00000000-0005-0000-0000-0000A0230000}"/>
    <cellStyle name="40% - Énfasis1 2 2 4 2 6" xfId="9124" xr:uid="{00000000-0005-0000-0000-0000A1230000}"/>
    <cellStyle name="40% - Énfasis1 2 2 4 2 7" xfId="9125" xr:uid="{00000000-0005-0000-0000-0000A2230000}"/>
    <cellStyle name="40% - Énfasis1 2 2 4 3" xfId="9126" xr:uid="{00000000-0005-0000-0000-0000A3230000}"/>
    <cellStyle name="40% - Énfasis1 2 2 4 3 2" xfId="9127" xr:uid="{00000000-0005-0000-0000-0000A4230000}"/>
    <cellStyle name="40% - Énfasis1 2 2 4 3 2 2" xfId="9128" xr:uid="{00000000-0005-0000-0000-0000A5230000}"/>
    <cellStyle name="40% - Énfasis1 2 2 4 3 2 2 2" xfId="9129" xr:uid="{00000000-0005-0000-0000-0000A6230000}"/>
    <cellStyle name="40% - Énfasis1 2 2 4 3 2 3" xfId="9130" xr:uid="{00000000-0005-0000-0000-0000A7230000}"/>
    <cellStyle name="40% - Énfasis1 2 2 4 3 2 4" xfId="9131" xr:uid="{00000000-0005-0000-0000-0000A8230000}"/>
    <cellStyle name="40% - Énfasis1 2 2 4 3 3" xfId="9132" xr:uid="{00000000-0005-0000-0000-0000A9230000}"/>
    <cellStyle name="40% - Énfasis1 2 2 4 3 3 2" xfId="9133" xr:uid="{00000000-0005-0000-0000-0000AA230000}"/>
    <cellStyle name="40% - Énfasis1 2 2 4 3 4" xfId="9134" xr:uid="{00000000-0005-0000-0000-0000AB230000}"/>
    <cellStyle name="40% - Énfasis1 2 2 4 3 5" xfId="9135" xr:uid="{00000000-0005-0000-0000-0000AC230000}"/>
    <cellStyle name="40% - Énfasis1 2 2 4 4" xfId="9136" xr:uid="{00000000-0005-0000-0000-0000AD230000}"/>
    <cellStyle name="40% - Énfasis1 2 2 4 4 2" xfId="9137" xr:uid="{00000000-0005-0000-0000-0000AE230000}"/>
    <cellStyle name="40% - Énfasis1 2 2 4 4 2 2" xfId="9138" xr:uid="{00000000-0005-0000-0000-0000AF230000}"/>
    <cellStyle name="40% - Énfasis1 2 2 4 4 3" xfId="9139" xr:uid="{00000000-0005-0000-0000-0000B0230000}"/>
    <cellStyle name="40% - Énfasis1 2 2 4 4 3 2" xfId="9140" xr:uid="{00000000-0005-0000-0000-0000B1230000}"/>
    <cellStyle name="40% - Énfasis1 2 2 4 4 4" xfId="9141" xr:uid="{00000000-0005-0000-0000-0000B2230000}"/>
    <cellStyle name="40% - Énfasis1 2 2 4 4 5" xfId="9142" xr:uid="{00000000-0005-0000-0000-0000B3230000}"/>
    <cellStyle name="40% - Énfasis1 2 2 4 5" xfId="9143" xr:uid="{00000000-0005-0000-0000-0000B4230000}"/>
    <cellStyle name="40% - Énfasis1 2 2 4 5 2" xfId="9144" xr:uid="{00000000-0005-0000-0000-0000B5230000}"/>
    <cellStyle name="40% - Énfasis1 2 2 4 6" xfId="9145" xr:uid="{00000000-0005-0000-0000-0000B6230000}"/>
    <cellStyle name="40% - Énfasis1 2 2 4 6 2" xfId="9146" xr:uid="{00000000-0005-0000-0000-0000B7230000}"/>
    <cellStyle name="40% - Énfasis1 2 2 4 7" xfId="9147" xr:uid="{00000000-0005-0000-0000-0000B8230000}"/>
    <cellStyle name="40% - Énfasis1 2 2 4 8" xfId="9148" xr:uid="{00000000-0005-0000-0000-0000B9230000}"/>
    <cellStyle name="40% - Énfasis1 2 2 5" xfId="9149" xr:uid="{00000000-0005-0000-0000-0000BA230000}"/>
    <cellStyle name="40% - Énfasis1 2 2 5 2" xfId="9150" xr:uid="{00000000-0005-0000-0000-0000BB230000}"/>
    <cellStyle name="40% - Énfasis1 2 2 5 2 2" xfId="9151" xr:uid="{00000000-0005-0000-0000-0000BC230000}"/>
    <cellStyle name="40% - Énfasis1 2 2 5 2 2 2" xfId="9152" xr:uid="{00000000-0005-0000-0000-0000BD230000}"/>
    <cellStyle name="40% - Énfasis1 2 2 5 2 2 2 2" xfId="9153" xr:uid="{00000000-0005-0000-0000-0000BE230000}"/>
    <cellStyle name="40% - Énfasis1 2 2 5 2 2 3" xfId="9154" xr:uid="{00000000-0005-0000-0000-0000BF230000}"/>
    <cellStyle name="40% - Énfasis1 2 2 5 2 2 4" xfId="9155" xr:uid="{00000000-0005-0000-0000-0000C0230000}"/>
    <cellStyle name="40% - Énfasis1 2 2 5 2 3" xfId="9156" xr:uid="{00000000-0005-0000-0000-0000C1230000}"/>
    <cellStyle name="40% - Énfasis1 2 2 5 2 3 2" xfId="9157" xr:uid="{00000000-0005-0000-0000-0000C2230000}"/>
    <cellStyle name="40% - Énfasis1 2 2 5 2 4" xfId="9158" xr:uid="{00000000-0005-0000-0000-0000C3230000}"/>
    <cellStyle name="40% - Énfasis1 2 2 5 2 5" xfId="9159" xr:uid="{00000000-0005-0000-0000-0000C4230000}"/>
    <cellStyle name="40% - Énfasis1 2 2 5 3" xfId="9160" xr:uid="{00000000-0005-0000-0000-0000C5230000}"/>
    <cellStyle name="40% - Énfasis1 2 2 5 3 2" xfId="9161" xr:uid="{00000000-0005-0000-0000-0000C6230000}"/>
    <cellStyle name="40% - Énfasis1 2 2 5 3 3" xfId="9162" xr:uid="{00000000-0005-0000-0000-0000C7230000}"/>
    <cellStyle name="40% - Énfasis1 2 2 5 4" xfId="9163" xr:uid="{00000000-0005-0000-0000-0000C8230000}"/>
    <cellStyle name="40% - Énfasis1 2 2 5 4 2" xfId="9164" xr:uid="{00000000-0005-0000-0000-0000C9230000}"/>
    <cellStyle name="40% - Énfasis1 2 2 5 5" xfId="9165" xr:uid="{00000000-0005-0000-0000-0000CA230000}"/>
    <cellStyle name="40% - Énfasis1 2 2 6" xfId="9166" xr:uid="{00000000-0005-0000-0000-0000CB230000}"/>
    <cellStyle name="40% - Énfasis1 2 2 6 2" xfId="9167" xr:uid="{00000000-0005-0000-0000-0000CC230000}"/>
    <cellStyle name="40% - Énfasis1 2 2 6 2 2" xfId="9168" xr:uid="{00000000-0005-0000-0000-0000CD230000}"/>
    <cellStyle name="40% - Énfasis1 2 2 6 2 2 2" xfId="9169" xr:uid="{00000000-0005-0000-0000-0000CE230000}"/>
    <cellStyle name="40% - Énfasis1 2 2 6 2 3" xfId="9170" xr:uid="{00000000-0005-0000-0000-0000CF230000}"/>
    <cellStyle name="40% - Énfasis1 2 2 6 2 3 2" xfId="9171" xr:uid="{00000000-0005-0000-0000-0000D0230000}"/>
    <cellStyle name="40% - Énfasis1 2 2 6 2 4" xfId="9172" xr:uid="{00000000-0005-0000-0000-0000D1230000}"/>
    <cellStyle name="40% - Énfasis1 2 2 6 2 5" xfId="9173" xr:uid="{00000000-0005-0000-0000-0000D2230000}"/>
    <cellStyle name="40% - Énfasis1 2 2 6 3" xfId="9174" xr:uid="{00000000-0005-0000-0000-0000D3230000}"/>
    <cellStyle name="40% - Énfasis1 2 2 6 3 2" xfId="9175" xr:uid="{00000000-0005-0000-0000-0000D4230000}"/>
    <cellStyle name="40% - Énfasis1 2 2 6 4" xfId="9176" xr:uid="{00000000-0005-0000-0000-0000D5230000}"/>
    <cellStyle name="40% - Énfasis1 2 2 6 4 2" xfId="9177" xr:uid="{00000000-0005-0000-0000-0000D6230000}"/>
    <cellStyle name="40% - Énfasis1 2 2 6 5" xfId="9178" xr:uid="{00000000-0005-0000-0000-0000D7230000}"/>
    <cellStyle name="40% - Énfasis1 2 2 6 6" xfId="9179" xr:uid="{00000000-0005-0000-0000-0000D8230000}"/>
    <cellStyle name="40% - Énfasis1 2 2 7" xfId="9180" xr:uid="{00000000-0005-0000-0000-0000D9230000}"/>
    <cellStyle name="40% - Énfasis1 2 2 7 2" xfId="9181" xr:uid="{00000000-0005-0000-0000-0000DA230000}"/>
    <cellStyle name="40% - Énfasis1 2 2 7 2 2" xfId="9182" xr:uid="{00000000-0005-0000-0000-0000DB230000}"/>
    <cellStyle name="40% - Énfasis1 2 2 7 3" xfId="9183" xr:uid="{00000000-0005-0000-0000-0000DC230000}"/>
    <cellStyle name="40% - Énfasis1 2 2 7 3 2" xfId="9184" xr:uid="{00000000-0005-0000-0000-0000DD230000}"/>
    <cellStyle name="40% - Énfasis1 2 2 7 4" xfId="9185" xr:uid="{00000000-0005-0000-0000-0000DE230000}"/>
    <cellStyle name="40% - Énfasis1 2 2 7 5" xfId="9186" xr:uid="{00000000-0005-0000-0000-0000DF230000}"/>
    <cellStyle name="40% - Énfasis1 2 2 8" xfId="9187" xr:uid="{00000000-0005-0000-0000-0000E0230000}"/>
    <cellStyle name="40% - Énfasis1 2 2 8 2" xfId="9188" xr:uid="{00000000-0005-0000-0000-0000E1230000}"/>
    <cellStyle name="40% - Énfasis1 2 2 8 2 2" xfId="9189" xr:uid="{00000000-0005-0000-0000-0000E2230000}"/>
    <cellStyle name="40% - Énfasis1 2 2 8 3" xfId="9190" xr:uid="{00000000-0005-0000-0000-0000E3230000}"/>
    <cellStyle name="40% - Énfasis1 2 2 9" xfId="9191" xr:uid="{00000000-0005-0000-0000-0000E4230000}"/>
    <cellStyle name="40% - Énfasis1 2 2 9 2" xfId="9192" xr:uid="{00000000-0005-0000-0000-0000E5230000}"/>
    <cellStyle name="40% - Énfasis1 2 3" xfId="9193" xr:uid="{00000000-0005-0000-0000-0000E6230000}"/>
    <cellStyle name="40% - Énfasis1 2 3 10" xfId="9194" xr:uid="{00000000-0005-0000-0000-0000E7230000}"/>
    <cellStyle name="40% - Énfasis1 2 3 2" xfId="9195" xr:uid="{00000000-0005-0000-0000-0000E8230000}"/>
    <cellStyle name="40% - Énfasis1 2 3 2 2" xfId="9196" xr:uid="{00000000-0005-0000-0000-0000E9230000}"/>
    <cellStyle name="40% - Énfasis1 2 3 2 2 2" xfId="9197" xr:uid="{00000000-0005-0000-0000-0000EA230000}"/>
    <cellStyle name="40% - Énfasis1 2 3 2 2 2 2" xfId="9198" xr:uid="{00000000-0005-0000-0000-0000EB230000}"/>
    <cellStyle name="40% - Énfasis1 2 3 2 2 2 2 2" xfId="9199" xr:uid="{00000000-0005-0000-0000-0000EC230000}"/>
    <cellStyle name="40% - Énfasis1 2 3 2 2 2 2 2 2" xfId="9200" xr:uid="{00000000-0005-0000-0000-0000ED230000}"/>
    <cellStyle name="40% - Énfasis1 2 3 2 2 2 2 2 2 2" xfId="9201" xr:uid="{00000000-0005-0000-0000-0000EE230000}"/>
    <cellStyle name="40% - Énfasis1 2 3 2 2 2 2 2 3" xfId="9202" xr:uid="{00000000-0005-0000-0000-0000EF230000}"/>
    <cellStyle name="40% - Énfasis1 2 3 2 2 2 2 2 4" xfId="9203" xr:uid="{00000000-0005-0000-0000-0000F0230000}"/>
    <cellStyle name="40% - Énfasis1 2 3 2 2 2 2 3" xfId="9204" xr:uid="{00000000-0005-0000-0000-0000F1230000}"/>
    <cellStyle name="40% - Énfasis1 2 3 2 2 2 2 3 2" xfId="9205" xr:uid="{00000000-0005-0000-0000-0000F2230000}"/>
    <cellStyle name="40% - Énfasis1 2 3 2 2 2 2 4" xfId="9206" xr:uid="{00000000-0005-0000-0000-0000F3230000}"/>
    <cellStyle name="40% - Énfasis1 2 3 2 2 2 2 5" xfId="9207" xr:uid="{00000000-0005-0000-0000-0000F4230000}"/>
    <cellStyle name="40% - Énfasis1 2 3 2 2 2 3" xfId="9208" xr:uid="{00000000-0005-0000-0000-0000F5230000}"/>
    <cellStyle name="40% - Énfasis1 2 3 2 2 2 3 2" xfId="9209" xr:uid="{00000000-0005-0000-0000-0000F6230000}"/>
    <cellStyle name="40% - Énfasis1 2 3 2 2 2 3 2 2" xfId="9210" xr:uid="{00000000-0005-0000-0000-0000F7230000}"/>
    <cellStyle name="40% - Énfasis1 2 3 2 2 2 3 3" xfId="9211" xr:uid="{00000000-0005-0000-0000-0000F8230000}"/>
    <cellStyle name="40% - Énfasis1 2 3 2 2 2 3 4" xfId="9212" xr:uid="{00000000-0005-0000-0000-0000F9230000}"/>
    <cellStyle name="40% - Énfasis1 2 3 2 2 2 4" xfId="9213" xr:uid="{00000000-0005-0000-0000-0000FA230000}"/>
    <cellStyle name="40% - Énfasis1 2 3 2 2 2 4 2" xfId="9214" xr:uid="{00000000-0005-0000-0000-0000FB230000}"/>
    <cellStyle name="40% - Énfasis1 2 3 2 2 2 5" xfId="9215" xr:uid="{00000000-0005-0000-0000-0000FC230000}"/>
    <cellStyle name="40% - Énfasis1 2 3 2 2 2 6" xfId="9216" xr:uid="{00000000-0005-0000-0000-0000FD230000}"/>
    <cellStyle name="40% - Énfasis1 2 3 2 2 3" xfId="9217" xr:uid="{00000000-0005-0000-0000-0000FE230000}"/>
    <cellStyle name="40% - Énfasis1 2 3 2 2 3 2" xfId="9218" xr:uid="{00000000-0005-0000-0000-0000FF230000}"/>
    <cellStyle name="40% - Énfasis1 2 3 2 2 3 2 2" xfId="9219" xr:uid="{00000000-0005-0000-0000-000000240000}"/>
    <cellStyle name="40% - Énfasis1 2 3 2 2 3 2 2 2" xfId="9220" xr:uid="{00000000-0005-0000-0000-000001240000}"/>
    <cellStyle name="40% - Énfasis1 2 3 2 2 3 2 3" xfId="9221" xr:uid="{00000000-0005-0000-0000-000002240000}"/>
    <cellStyle name="40% - Énfasis1 2 3 2 2 3 2 4" xfId="9222" xr:uid="{00000000-0005-0000-0000-000003240000}"/>
    <cellStyle name="40% - Énfasis1 2 3 2 2 3 3" xfId="9223" xr:uid="{00000000-0005-0000-0000-000004240000}"/>
    <cellStyle name="40% - Énfasis1 2 3 2 2 3 3 2" xfId="9224" xr:uid="{00000000-0005-0000-0000-000005240000}"/>
    <cellStyle name="40% - Énfasis1 2 3 2 2 3 4" xfId="9225" xr:uid="{00000000-0005-0000-0000-000006240000}"/>
    <cellStyle name="40% - Énfasis1 2 3 2 2 3 5" xfId="9226" xr:uid="{00000000-0005-0000-0000-000007240000}"/>
    <cellStyle name="40% - Énfasis1 2 3 2 2 4" xfId="9227" xr:uid="{00000000-0005-0000-0000-000008240000}"/>
    <cellStyle name="40% - Énfasis1 2 3 2 2 4 2" xfId="9228" xr:uid="{00000000-0005-0000-0000-000009240000}"/>
    <cellStyle name="40% - Énfasis1 2 3 2 2 4 2 2" xfId="9229" xr:uid="{00000000-0005-0000-0000-00000A240000}"/>
    <cellStyle name="40% - Énfasis1 2 3 2 2 4 3" xfId="9230" xr:uid="{00000000-0005-0000-0000-00000B240000}"/>
    <cellStyle name="40% - Énfasis1 2 3 2 2 4 4" xfId="9231" xr:uid="{00000000-0005-0000-0000-00000C240000}"/>
    <cellStyle name="40% - Énfasis1 2 3 2 2 5" xfId="9232" xr:uid="{00000000-0005-0000-0000-00000D240000}"/>
    <cellStyle name="40% - Énfasis1 2 3 2 2 5 2" xfId="9233" xr:uid="{00000000-0005-0000-0000-00000E240000}"/>
    <cellStyle name="40% - Énfasis1 2 3 2 2 6" xfId="9234" xr:uid="{00000000-0005-0000-0000-00000F240000}"/>
    <cellStyle name="40% - Énfasis1 2 3 2 2 7" xfId="9235" xr:uid="{00000000-0005-0000-0000-000010240000}"/>
    <cellStyle name="40% - Énfasis1 2 3 2 3" xfId="9236" xr:uid="{00000000-0005-0000-0000-000011240000}"/>
    <cellStyle name="40% - Énfasis1 2 3 2 3 2" xfId="9237" xr:uid="{00000000-0005-0000-0000-000012240000}"/>
    <cellStyle name="40% - Énfasis1 2 3 2 3 2 2" xfId="9238" xr:uid="{00000000-0005-0000-0000-000013240000}"/>
    <cellStyle name="40% - Énfasis1 2 3 2 3 2 2 2" xfId="9239" xr:uid="{00000000-0005-0000-0000-000014240000}"/>
    <cellStyle name="40% - Énfasis1 2 3 2 3 2 2 2 2" xfId="9240" xr:uid="{00000000-0005-0000-0000-000015240000}"/>
    <cellStyle name="40% - Énfasis1 2 3 2 3 2 2 3" xfId="9241" xr:uid="{00000000-0005-0000-0000-000016240000}"/>
    <cellStyle name="40% - Énfasis1 2 3 2 3 2 2 4" xfId="9242" xr:uid="{00000000-0005-0000-0000-000017240000}"/>
    <cellStyle name="40% - Énfasis1 2 3 2 3 2 3" xfId="9243" xr:uid="{00000000-0005-0000-0000-000018240000}"/>
    <cellStyle name="40% - Énfasis1 2 3 2 3 2 3 2" xfId="9244" xr:uid="{00000000-0005-0000-0000-000019240000}"/>
    <cellStyle name="40% - Énfasis1 2 3 2 3 2 4" xfId="9245" xr:uid="{00000000-0005-0000-0000-00001A240000}"/>
    <cellStyle name="40% - Énfasis1 2 3 2 3 2 5" xfId="9246" xr:uid="{00000000-0005-0000-0000-00001B240000}"/>
    <cellStyle name="40% - Énfasis1 2 3 2 3 3" xfId="9247" xr:uid="{00000000-0005-0000-0000-00001C240000}"/>
    <cellStyle name="40% - Énfasis1 2 3 2 3 3 2" xfId="9248" xr:uid="{00000000-0005-0000-0000-00001D240000}"/>
    <cellStyle name="40% - Énfasis1 2 3 2 3 3 2 2" xfId="9249" xr:uid="{00000000-0005-0000-0000-00001E240000}"/>
    <cellStyle name="40% - Énfasis1 2 3 2 3 3 3" xfId="9250" xr:uid="{00000000-0005-0000-0000-00001F240000}"/>
    <cellStyle name="40% - Énfasis1 2 3 2 3 3 3 2" xfId="9251" xr:uid="{00000000-0005-0000-0000-000020240000}"/>
    <cellStyle name="40% - Énfasis1 2 3 2 3 3 4" xfId="9252" xr:uid="{00000000-0005-0000-0000-000021240000}"/>
    <cellStyle name="40% - Énfasis1 2 3 2 3 3 5" xfId="9253" xr:uid="{00000000-0005-0000-0000-000022240000}"/>
    <cellStyle name="40% - Énfasis1 2 3 2 3 4" xfId="9254" xr:uid="{00000000-0005-0000-0000-000023240000}"/>
    <cellStyle name="40% - Énfasis1 2 3 2 3 4 2" xfId="9255" xr:uid="{00000000-0005-0000-0000-000024240000}"/>
    <cellStyle name="40% - Énfasis1 2 3 2 3 5" xfId="9256" xr:uid="{00000000-0005-0000-0000-000025240000}"/>
    <cellStyle name="40% - Énfasis1 2 3 2 3 5 2" xfId="9257" xr:uid="{00000000-0005-0000-0000-000026240000}"/>
    <cellStyle name="40% - Énfasis1 2 3 2 3 6" xfId="9258" xr:uid="{00000000-0005-0000-0000-000027240000}"/>
    <cellStyle name="40% - Énfasis1 2 3 2 3 7" xfId="9259" xr:uid="{00000000-0005-0000-0000-000028240000}"/>
    <cellStyle name="40% - Énfasis1 2 3 2 4" xfId="9260" xr:uid="{00000000-0005-0000-0000-000029240000}"/>
    <cellStyle name="40% - Énfasis1 2 3 2 4 2" xfId="9261" xr:uid="{00000000-0005-0000-0000-00002A240000}"/>
    <cellStyle name="40% - Énfasis1 2 3 2 4 2 2" xfId="9262" xr:uid="{00000000-0005-0000-0000-00002B240000}"/>
    <cellStyle name="40% - Énfasis1 2 3 2 4 2 2 2" xfId="9263" xr:uid="{00000000-0005-0000-0000-00002C240000}"/>
    <cellStyle name="40% - Énfasis1 2 3 2 4 2 3" xfId="9264" xr:uid="{00000000-0005-0000-0000-00002D240000}"/>
    <cellStyle name="40% - Énfasis1 2 3 2 4 2 4" xfId="9265" xr:uid="{00000000-0005-0000-0000-00002E240000}"/>
    <cellStyle name="40% - Énfasis1 2 3 2 4 3" xfId="9266" xr:uid="{00000000-0005-0000-0000-00002F240000}"/>
    <cellStyle name="40% - Énfasis1 2 3 2 4 3 2" xfId="9267" xr:uid="{00000000-0005-0000-0000-000030240000}"/>
    <cellStyle name="40% - Énfasis1 2 3 2 4 4" xfId="9268" xr:uid="{00000000-0005-0000-0000-000031240000}"/>
    <cellStyle name="40% - Énfasis1 2 3 2 4 5" xfId="9269" xr:uid="{00000000-0005-0000-0000-000032240000}"/>
    <cellStyle name="40% - Énfasis1 2 3 2 5" xfId="9270" xr:uid="{00000000-0005-0000-0000-000033240000}"/>
    <cellStyle name="40% - Énfasis1 2 3 2 5 2" xfId="9271" xr:uid="{00000000-0005-0000-0000-000034240000}"/>
    <cellStyle name="40% - Énfasis1 2 3 2 5 2 2" xfId="9272" xr:uid="{00000000-0005-0000-0000-000035240000}"/>
    <cellStyle name="40% - Énfasis1 2 3 2 5 3" xfId="9273" xr:uid="{00000000-0005-0000-0000-000036240000}"/>
    <cellStyle name="40% - Énfasis1 2 3 2 5 3 2" xfId="9274" xr:uid="{00000000-0005-0000-0000-000037240000}"/>
    <cellStyle name="40% - Énfasis1 2 3 2 5 4" xfId="9275" xr:uid="{00000000-0005-0000-0000-000038240000}"/>
    <cellStyle name="40% - Énfasis1 2 3 2 5 5" xfId="9276" xr:uid="{00000000-0005-0000-0000-000039240000}"/>
    <cellStyle name="40% - Énfasis1 2 3 2 6" xfId="9277" xr:uid="{00000000-0005-0000-0000-00003A240000}"/>
    <cellStyle name="40% - Énfasis1 2 3 2 6 2" xfId="9278" xr:uid="{00000000-0005-0000-0000-00003B240000}"/>
    <cellStyle name="40% - Énfasis1 2 3 2 7" xfId="9279" xr:uid="{00000000-0005-0000-0000-00003C240000}"/>
    <cellStyle name="40% - Énfasis1 2 3 2 7 2" xfId="9280" xr:uid="{00000000-0005-0000-0000-00003D240000}"/>
    <cellStyle name="40% - Énfasis1 2 3 2 8" xfId="9281" xr:uid="{00000000-0005-0000-0000-00003E240000}"/>
    <cellStyle name="40% - Énfasis1 2 3 2 9" xfId="9282" xr:uid="{00000000-0005-0000-0000-00003F240000}"/>
    <cellStyle name="40% - Énfasis1 2 3 3" xfId="9283" xr:uid="{00000000-0005-0000-0000-000040240000}"/>
    <cellStyle name="40% - Énfasis1 2 3 3 2" xfId="9284" xr:uid="{00000000-0005-0000-0000-000041240000}"/>
    <cellStyle name="40% - Énfasis1 2 3 3 2 2" xfId="9285" xr:uid="{00000000-0005-0000-0000-000042240000}"/>
    <cellStyle name="40% - Énfasis1 2 3 3 2 2 2" xfId="9286" xr:uid="{00000000-0005-0000-0000-000043240000}"/>
    <cellStyle name="40% - Énfasis1 2 3 3 2 2 2 2" xfId="9287" xr:uid="{00000000-0005-0000-0000-000044240000}"/>
    <cellStyle name="40% - Énfasis1 2 3 3 2 2 2 2 2" xfId="9288" xr:uid="{00000000-0005-0000-0000-000045240000}"/>
    <cellStyle name="40% - Énfasis1 2 3 3 2 2 2 3" xfId="9289" xr:uid="{00000000-0005-0000-0000-000046240000}"/>
    <cellStyle name="40% - Énfasis1 2 3 3 2 2 2 4" xfId="9290" xr:uid="{00000000-0005-0000-0000-000047240000}"/>
    <cellStyle name="40% - Énfasis1 2 3 3 2 2 3" xfId="9291" xr:uid="{00000000-0005-0000-0000-000048240000}"/>
    <cellStyle name="40% - Énfasis1 2 3 3 2 2 3 2" xfId="9292" xr:uid="{00000000-0005-0000-0000-000049240000}"/>
    <cellStyle name="40% - Énfasis1 2 3 3 2 2 4" xfId="9293" xr:uid="{00000000-0005-0000-0000-00004A240000}"/>
    <cellStyle name="40% - Énfasis1 2 3 3 2 2 5" xfId="9294" xr:uid="{00000000-0005-0000-0000-00004B240000}"/>
    <cellStyle name="40% - Énfasis1 2 3 3 2 3" xfId="9295" xr:uid="{00000000-0005-0000-0000-00004C240000}"/>
    <cellStyle name="40% - Énfasis1 2 3 3 2 3 2" xfId="9296" xr:uid="{00000000-0005-0000-0000-00004D240000}"/>
    <cellStyle name="40% - Énfasis1 2 3 3 2 3 2 2" xfId="9297" xr:uid="{00000000-0005-0000-0000-00004E240000}"/>
    <cellStyle name="40% - Énfasis1 2 3 3 2 3 3" xfId="9298" xr:uid="{00000000-0005-0000-0000-00004F240000}"/>
    <cellStyle name="40% - Énfasis1 2 3 3 2 3 3 2" xfId="9299" xr:uid="{00000000-0005-0000-0000-000050240000}"/>
    <cellStyle name="40% - Énfasis1 2 3 3 2 3 4" xfId="9300" xr:uid="{00000000-0005-0000-0000-000051240000}"/>
    <cellStyle name="40% - Énfasis1 2 3 3 2 3 5" xfId="9301" xr:uid="{00000000-0005-0000-0000-000052240000}"/>
    <cellStyle name="40% - Énfasis1 2 3 3 2 4" xfId="9302" xr:uid="{00000000-0005-0000-0000-000053240000}"/>
    <cellStyle name="40% - Énfasis1 2 3 3 2 4 2" xfId="9303" xr:uid="{00000000-0005-0000-0000-000054240000}"/>
    <cellStyle name="40% - Énfasis1 2 3 3 2 5" xfId="9304" xr:uid="{00000000-0005-0000-0000-000055240000}"/>
    <cellStyle name="40% - Énfasis1 2 3 3 2 5 2" xfId="9305" xr:uid="{00000000-0005-0000-0000-000056240000}"/>
    <cellStyle name="40% - Énfasis1 2 3 3 2 6" xfId="9306" xr:uid="{00000000-0005-0000-0000-000057240000}"/>
    <cellStyle name="40% - Énfasis1 2 3 3 2 7" xfId="9307" xr:uid="{00000000-0005-0000-0000-000058240000}"/>
    <cellStyle name="40% - Énfasis1 2 3 3 3" xfId="9308" xr:uid="{00000000-0005-0000-0000-000059240000}"/>
    <cellStyle name="40% - Énfasis1 2 3 3 3 2" xfId="9309" xr:uid="{00000000-0005-0000-0000-00005A240000}"/>
    <cellStyle name="40% - Énfasis1 2 3 3 3 2 2" xfId="9310" xr:uid="{00000000-0005-0000-0000-00005B240000}"/>
    <cellStyle name="40% - Énfasis1 2 3 3 3 2 2 2" xfId="9311" xr:uid="{00000000-0005-0000-0000-00005C240000}"/>
    <cellStyle name="40% - Énfasis1 2 3 3 3 2 3" xfId="9312" xr:uid="{00000000-0005-0000-0000-00005D240000}"/>
    <cellStyle name="40% - Énfasis1 2 3 3 3 2 4" xfId="9313" xr:uid="{00000000-0005-0000-0000-00005E240000}"/>
    <cellStyle name="40% - Énfasis1 2 3 3 3 3" xfId="9314" xr:uid="{00000000-0005-0000-0000-00005F240000}"/>
    <cellStyle name="40% - Énfasis1 2 3 3 3 3 2" xfId="9315" xr:uid="{00000000-0005-0000-0000-000060240000}"/>
    <cellStyle name="40% - Énfasis1 2 3 3 3 4" xfId="9316" xr:uid="{00000000-0005-0000-0000-000061240000}"/>
    <cellStyle name="40% - Énfasis1 2 3 3 3 5" xfId="9317" xr:uid="{00000000-0005-0000-0000-000062240000}"/>
    <cellStyle name="40% - Énfasis1 2 3 3 4" xfId="9318" xr:uid="{00000000-0005-0000-0000-000063240000}"/>
    <cellStyle name="40% - Énfasis1 2 3 3 4 2" xfId="9319" xr:uid="{00000000-0005-0000-0000-000064240000}"/>
    <cellStyle name="40% - Énfasis1 2 3 3 4 2 2" xfId="9320" xr:uid="{00000000-0005-0000-0000-000065240000}"/>
    <cellStyle name="40% - Énfasis1 2 3 3 4 3" xfId="9321" xr:uid="{00000000-0005-0000-0000-000066240000}"/>
    <cellStyle name="40% - Énfasis1 2 3 3 4 3 2" xfId="9322" xr:uid="{00000000-0005-0000-0000-000067240000}"/>
    <cellStyle name="40% - Énfasis1 2 3 3 4 4" xfId="9323" xr:uid="{00000000-0005-0000-0000-000068240000}"/>
    <cellStyle name="40% - Énfasis1 2 3 3 4 5" xfId="9324" xr:uid="{00000000-0005-0000-0000-000069240000}"/>
    <cellStyle name="40% - Énfasis1 2 3 3 5" xfId="9325" xr:uid="{00000000-0005-0000-0000-00006A240000}"/>
    <cellStyle name="40% - Énfasis1 2 3 3 5 2" xfId="9326" xr:uid="{00000000-0005-0000-0000-00006B240000}"/>
    <cellStyle name="40% - Énfasis1 2 3 3 6" xfId="9327" xr:uid="{00000000-0005-0000-0000-00006C240000}"/>
    <cellStyle name="40% - Énfasis1 2 3 3 6 2" xfId="9328" xr:uid="{00000000-0005-0000-0000-00006D240000}"/>
    <cellStyle name="40% - Énfasis1 2 3 3 7" xfId="9329" xr:uid="{00000000-0005-0000-0000-00006E240000}"/>
    <cellStyle name="40% - Énfasis1 2 3 3 8" xfId="9330" xr:uid="{00000000-0005-0000-0000-00006F240000}"/>
    <cellStyle name="40% - Énfasis1 2 3 4" xfId="9331" xr:uid="{00000000-0005-0000-0000-000070240000}"/>
    <cellStyle name="40% - Énfasis1 2 3 4 2" xfId="9332" xr:uid="{00000000-0005-0000-0000-000071240000}"/>
    <cellStyle name="40% - Énfasis1 2 3 4 2 2" xfId="9333" xr:uid="{00000000-0005-0000-0000-000072240000}"/>
    <cellStyle name="40% - Énfasis1 2 3 4 2 2 2" xfId="9334" xr:uid="{00000000-0005-0000-0000-000073240000}"/>
    <cellStyle name="40% - Énfasis1 2 3 4 2 2 2 2" xfId="9335" xr:uid="{00000000-0005-0000-0000-000074240000}"/>
    <cellStyle name="40% - Énfasis1 2 3 4 2 2 3" xfId="9336" xr:uid="{00000000-0005-0000-0000-000075240000}"/>
    <cellStyle name="40% - Énfasis1 2 3 4 2 2 4" xfId="9337" xr:uid="{00000000-0005-0000-0000-000076240000}"/>
    <cellStyle name="40% - Énfasis1 2 3 4 2 3" xfId="9338" xr:uid="{00000000-0005-0000-0000-000077240000}"/>
    <cellStyle name="40% - Énfasis1 2 3 4 2 3 2" xfId="9339" xr:uid="{00000000-0005-0000-0000-000078240000}"/>
    <cellStyle name="40% - Énfasis1 2 3 4 2 4" xfId="9340" xr:uid="{00000000-0005-0000-0000-000079240000}"/>
    <cellStyle name="40% - Énfasis1 2 3 4 2 5" xfId="9341" xr:uid="{00000000-0005-0000-0000-00007A240000}"/>
    <cellStyle name="40% - Énfasis1 2 3 4 3" xfId="9342" xr:uid="{00000000-0005-0000-0000-00007B240000}"/>
    <cellStyle name="40% - Énfasis1 2 3 4 3 2" xfId="9343" xr:uid="{00000000-0005-0000-0000-00007C240000}"/>
    <cellStyle name="40% - Énfasis1 2 3 4 3 2 2" xfId="9344" xr:uid="{00000000-0005-0000-0000-00007D240000}"/>
    <cellStyle name="40% - Énfasis1 2 3 4 3 3" xfId="9345" xr:uid="{00000000-0005-0000-0000-00007E240000}"/>
    <cellStyle name="40% - Énfasis1 2 3 4 3 3 2" xfId="9346" xr:uid="{00000000-0005-0000-0000-00007F240000}"/>
    <cellStyle name="40% - Énfasis1 2 3 4 3 4" xfId="9347" xr:uid="{00000000-0005-0000-0000-000080240000}"/>
    <cellStyle name="40% - Énfasis1 2 3 4 3 5" xfId="9348" xr:uid="{00000000-0005-0000-0000-000081240000}"/>
    <cellStyle name="40% - Énfasis1 2 3 4 4" xfId="9349" xr:uid="{00000000-0005-0000-0000-000082240000}"/>
    <cellStyle name="40% - Énfasis1 2 3 4 4 2" xfId="9350" xr:uid="{00000000-0005-0000-0000-000083240000}"/>
    <cellStyle name="40% - Énfasis1 2 3 4 5" xfId="9351" xr:uid="{00000000-0005-0000-0000-000084240000}"/>
    <cellStyle name="40% - Énfasis1 2 3 4 5 2" xfId="9352" xr:uid="{00000000-0005-0000-0000-000085240000}"/>
    <cellStyle name="40% - Énfasis1 2 3 4 6" xfId="9353" xr:uid="{00000000-0005-0000-0000-000086240000}"/>
    <cellStyle name="40% - Énfasis1 2 3 4 7" xfId="9354" xr:uid="{00000000-0005-0000-0000-000087240000}"/>
    <cellStyle name="40% - Énfasis1 2 3 5" xfId="9355" xr:uid="{00000000-0005-0000-0000-000088240000}"/>
    <cellStyle name="40% - Énfasis1 2 3 5 2" xfId="9356" xr:uid="{00000000-0005-0000-0000-000089240000}"/>
    <cellStyle name="40% - Énfasis1 2 3 5 2 2" xfId="9357" xr:uid="{00000000-0005-0000-0000-00008A240000}"/>
    <cellStyle name="40% - Énfasis1 2 3 5 2 2 2" xfId="9358" xr:uid="{00000000-0005-0000-0000-00008B240000}"/>
    <cellStyle name="40% - Énfasis1 2 3 5 2 3" xfId="9359" xr:uid="{00000000-0005-0000-0000-00008C240000}"/>
    <cellStyle name="40% - Énfasis1 2 3 5 2 4" xfId="9360" xr:uid="{00000000-0005-0000-0000-00008D240000}"/>
    <cellStyle name="40% - Énfasis1 2 3 5 3" xfId="9361" xr:uid="{00000000-0005-0000-0000-00008E240000}"/>
    <cellStyle name="40% - Énfasis1 2 3 5 3 2" xfId="9362" xr:uid="{00000000-0005-0000-0000-00008F240000}"/>
    <cellStyle name="40% - Énfasis1 2 3 5 4" xfId="9363" xr:uid="{00000000-0005-0000-0000-000090240000}"/>
    <cellStyle name="40% - Énfasis1 2 3 5 5" xfId="9364" xr:uid="{00000000-0005-0000-0000-000091240000}"/>
    <cellStyle name="40% - Énfasis1 2 3 6" xfId="9365" xr:uid="{00000000-0005-0000-0000-000092240000}"/>
    <cellStyle name="40% - Énfasis1 2 3 6 2" xfId="9366" xr:uid="{00000000-0005-0000-0000-000093240000}"/>
    <cellStyle name="40% - Énfasis1 2 3 6 2 2" xfId="9367" xr:uid="{00000000-0005-0000-0000-000094240000}"/>
    <cellStyle name="40% - Énfasis1 2 3 6 3" xfId="9368" xr:uid="{00000000-0005-0000-0000-000095240000}"/>
    <cellStyle name="40% - Énfasis1 2 3 6 3 2" xfId="9369" xr:uid="{00000000-0005-0000-0000-000096240000}"/>
    <cellStyle name="40% - Énfasis1 2 3 6 4" xfId="9370" xr:uid="{00000000-0005-0000-0000-000097240000}"/>
    <cellStyle name="40% - Énfasis1 2 3 6 5" xfId="9371" xr:uid="{00000000-0005-0000-0000-000098240000}"/>
    <cellStyle name="40% - Énfasis1 2 3 7" xfId="9372" xr:uid="{00000000-0005-0000-0000-000099240000}"/>
    <cellStyle name="40% - Énfasis1 2 3 7 2" xfId="9373" xr:uid="{00000000-0005-0000-0000-00009A240000}"/>
    <cellStyle name="40% - Énfasis1 2 3 8" xfId="9374" xr:uid="{00000000-0005-0000-0000-00009B240000}"/>
    <cellStyle name="40% - Énfasis1 2 3 8 2" xfId="9375" xr:uid="{00000000-0005-0000-0000-00009C240000}"/>
    <cellStyle name="40% - Énfasis1 2 3 9" xfId="9376" xr:uid="{00000000-0005-0000-0000-00009D240000}"/>
    <cellStyle name="40% - Énfasis1 2 4" xfId="9377" xr:uid="{00000000-0005-0000-0000-00009E240000}"/>
    <cellStyle name="40% - Énfasis1 2 4 2" xfId="9378" xr:uid="{00000000-0005-0000-0000-00009F240000}"/>
    <cellStyle name="40% - Énfasis1 2 4 2 2" xfId="9379" xr:uid="{00000000-0005-0000-0000-0000A0240000}"/>
    <cellStyle name="40% - Énfasis1 2 4 2 2 2" xfId="9380" xr:uid="{00000000-0005-0000-0000-0000A1240000}"/>
    <cellStyle name="40% - Énfasis1 2 4 2 2 2 2" xfId="9381" xr:uid="{00000000-0005-0000-0000-0000A2240000}"/>
    <cellStyle name="40% - Énfasis1 2 4 2 2 2 2 2" xfId="9382" xr:uid="{00000000-0005-0000-0000-0000A3240000}"/>
    <cellStyle name="40% - Énfasis1 2 4 2 2 2 2 2 2" xfId="9383" xr:uid="{00000000-0005-0000-0000-0000A4240000}"/>
    <cellStyle name="40% - Énfasis1 2 4 2 2 2 2 3" xfId="9384" xr:uid="{00000000-0005-0000-0000-0000A5240000}"/>
    <cellStyle name="40% - Énfasis1 2 4 2 2 2 2 4" xfId="9385" xr:uid="{00000000-0005-0000-0000-0000A6240000}"/>
    <cellStyle name="40% - Énfasis1 2 4 2 2 2 3" xfId="9386" xr:uid="{00000000-0005-0000-0000-0000A7240000}"/>
    <cellStyle name="40% - Énfasis1 2 4 2 2 2 3 2" xfId="9387" xr:uid="{00000000-0005-0000-0000-0000A8240000}"/>
    <cellStyle name="40% - Énfasis1 2 4 2 2 2 4" xfId="9388" xr:uid="{00000000-0005-0000-0000-0000A9240000}"/>
    <cellStyle name="40% - Énfasis1 2 4 2 2 2 5" xfId="9389" xr:uid="{00000000-0005-0000-0000-0000AA240000}"/>
    <cellStyle name="40% - Énfasis1 2 4 2 2 3" xfId="9390" xr:uid="{00000000-0005-0000-0000-0000AB240000}"/>
    <cellStyle name="40% - Énfasis1 2 4 2 2 3 2" xfId="9391" xr:uid="{00000000-0005-0000-0000-0000AC240000}"/>
    <cellStyle name="40% - Énfasis1 2 4 2 2 3 2 2" xfId="9392" xr:uid="{00000000-0005-0000-0000-0000AD240000}"/>
    <cellStyle name="40% - Énfasis1 2 4 2 2 3 3" xfId="9393" xr:uid="{00000000-0005-0000-0000-0000AE240000}"/>
    <cellStyle name="40% - Énfasis1 2 4 2 2 3 4" xfId="9394" xr:uid="{00000000-0005-0000-0000-0000AF240000}"/>
    <cellStyle name="40% - Énfasis1 2 4 2 2 4" xfId="9395" xr:uid="{00000000-0005-0000-0000-0000B0240000}"/>
    <cellStyle name="40% - Énfasis1 2 4 2 2 4 2" xfId="9396" xr:uid="{00000000-0005-0000-0000-0000B1240000}"/>
    <cellStyle name="40% - Énfasis1 2 4 2 2 5" xfId="9397" xr:uid="{00000000-0005-0000-0000-0000B2240000}"/>
    <cellStyle name="40% - Énfasis1 2 4 2 2 6" xfId="9398" xr:uid="{00000000-0005-0000-0000-0000B3240000}"/>
    <cellStyle name="40% - Énfasis1 2 4 2 3" xfId="9399" xr:uid="{00000000-0005-0000-0000-0000B4240000}"/>
    <cellStyle name="40% - Énfasis1 2 4 2 3 2" xfId="9400" xr:uid="{00000000-0005-0000-0000-0000B5240000}"/>
    <cellStyle name="40% - Énfasis1 2 4 2 3 2 2" xfId="9401" xr:uid="{00000000-0005-0000-0000-0000B6240000}"/>
    <cellStyle name="40% - Énfasis1 2 4 2 3 2 2 2" xfId="9402" xr:uid="{00000000-0005-0000-0000-0000B7240000}"/>
    <cellStyle name="40% - Énfasis1 2 4 2 3 2 3" xfId="9403" xr:uid="{00000000-0005-0000-0000-0000B8240000}"/>
    <cellStyle name="40% - Énfasis1 2 4 2 3 2 4" xfId="9404" xr:uid="{00000000-0005-0000-0000-0000B9240000}"/>
    <cellStyle name="40% - Énfasis1 2 4 2 3 3" xfId="9405" xr:uid="{00000000-0005-0000-0000-0000BA240000}"/>
    <cellStyle name="40% - Énfasis1 2 4 2 3 3 2" xfId="9406" xr:uid="{00000000-0005-0000-0000-0000BB240000}"/>
    <cellStyle name="40% - Énfasis1 2 4 2 3 4" xfId="9407" xr:uid="{00000000-0005-0000-0000-0000BC240000}"/>
    <cellStyle name="40% - Énfasis1 2 4 2 3 5" xfId="9408" xr:uid="{00000000-0005-0000-0000-0000BD240000}"/>
    <cellStyle name="40% - Énfasis1 2 4 2 4" xfId="9409" xr:uid="{00000000-0005-0000-0000-0000BE240000}"/>
    <cellStyle name="40% - Énfasis1 2 4 2 4 2" xfId="9410" xr:uid="{00000000-0005-0000-0000-0000BF240000}"/>
    <cellStyle name="40% - Énfasis1 2 4 2 4 2 2" xfId="9411" xr:uid="{00000000-0005-0000-0000-0000C0240000}"/>
    <cellStyle name="40% - Énfasis1 2 4 2 4 3" xfId="9412" xr:uid="{00000000-0005-0000-0000-0000C1240000}"/>
    <cellStyle name="40% - Énfasis1 2 4 2 4 4" xfId="9413" xr:uid="{00000000-0005-0000-0000-0000C2240000}"/>
    <cellStyle name="40% - Énfasis1 2 4 2 5" xfId="9414" xr:uid="{00000000-0005-0000-0000-0000C3240000}"/>
    <cellStyle name="40% - Énfasis1 2 4 2 5 2" xfId="9415" xr:uid="{00000000-0005-0000-0000-0000C4240000}"/>
    <cellStyle name="40% - Énfasis1 2 4 2 6" xfId="9416" xr:uid="{00000000-0005-0000-0000-0000C5240000}"/>
    <cellStyle name="40% - Énfasis1 2 4 2 7" xfId="9417" xr:uid="{00000000-0005-0000-0000-0000C6240000}"/>
    <cellStyle name="40% - Énfasis1 2 4 3" xfId="9418" xr:uid="{00000000-0005-0000-0000-0000C7240000}"/>
    <cellStyle name="40% - Énfasis1 2 4 3 2" xfId="9419" xr:uid="{00000000-0005-0000-0000-0000C8240000}"/>
    <cellStyle name="40% - Énfasis1 2 4 3 2 2" xfId="9420" xr:uid="{00000000-0005-0000-0000-0000C9240000}"/>
    <cellStyle name="40% - Énfasis1 2 4 3 2 2 2" xfId="9421" xr:uid="{00000000-0005-0000-0000-0000CA240000}"/>
    <cellStyle name="40% - Énfasis1 2 4 3 2 2 2 2" xfId="9422" xr:uid="{00000000-0005-0000-0000-0000CB240000}"/>
    <cellStyle name="40% - Énfasis1 2 4 3 2 2 3" xfId="9423" xr:uid="{00000000-0005-0000-0000-0000CC240000}"/>
    <cellStyle name="40% - Énfasis1 2 4 3 2 2 4" xfId="9424" xr:uid="{00000000-0005-0000-0000-0000CD240000}"/>
    <cellStyle name="40% - Énfasis1 2 4 3 2 3" xfId="9425" xr:uid="{00000000-0005-0000-0000-0000CE240000}"/>
    <cellStyle name="40% - Énfasis1 2 4 3 2 3 2" xfId="9426" xr:uid="{00000000-0005-0000-0000-0000CF240000}"/>
    <cellStyle name="40% - Énfasis1 2 4 3 2 4" xfId="9427" xr:uid="{00000000-0005-0000-0000-0000D0240000}"/>
    <cellStyle name="40% - Énfasis1 2 4 3 2 5" xfId="9428" xr:uid="{00000000-0005-0000-0000-0000D1240000}"/>
    <cellStyle name="40% - Énfasis1 2 4 3 3" xfId="9429" xr:uid="{00000000-0005-0000-0000-0000D2240000}"/>
    <cellStyle name="40% - Énfasis1 2 4 3 3 2" xfId="9430" xr:uid="{00000000-0005-0000-0000-0000D3240000}"/>
    <cellStyle name="40% - Énfasis1 2 4 3 3 2 2" xfId="9431" xr:uid="{00000000-0005-0000-0000-0000D4240000}"/>
    <cellStyle name="40% - Énfasis1 2 4 3 3 3" xfId="9432" xr:uid="{00000000-0005-0000-0000-0000D5240000}"/>
    <cellStyle name="40% - Énfasis1 2 4 3 3 3 2" xfId="9433" xr:uid="{00000000-0005-0000-0000-0000D6240000}"/>
    <cellStyle name="40% - Énfasis1 2 4 3 3 4" xfId="9434" xr:uid="{00000000-0005-0000-0000-0000D7240000}"/>
    <cellStyle name="40% - Énfasis1 2 4 3 3 5" xfId="9435" xr:uid="{00000000-0005-0000-0000-0000D8240000}"/>
    <cellStyle name="40% - Énfasis1 2 4 3 4" xfId="9436" xr:uid="{00000000-0005-0000-0000-0000D9240000}"/>
    <cellStyle name="40% - Énfasis1 2 4 3 4 2" xfId="9437" xr:uid="{00000000-0005-0000-0000-0000DA240000}"/>
    <cellStyle name="40% - Énfasis1 2 4 3 5" xfId="9438" xr:uid="{00000000-0005-0000-0000-0000DB240000}"/>
    <cellStyle name="40% - Énfasis1 2 4 3 5 2" xfId="9439" xr:uid="{00000000-0005-0000-0000-0000DC240000}"/>
    <cellStyle name="40% - Énfasis1 2 4 3 6" xfId="9440" xr:uid="{00000000-0005-0000-0000-0000DD240000}"/>
    <cellStyle name="40% - Énfasis1 2 4 3 7" xfId="9441" xr:uid="{00000000-0005-0000-0000-0000DE240000}"/>
    <cellStyle name="40% - Énfasis1 2 4 4" xfId="9442" xr:uid="{00000000-0005-0000-0000-0000DF240000}"/>
    <cellStyle name="40% - Énfasis1 2 4 4 2" xfId="9443" xr:uid="{00000000-0005-0000-0000-0000E0240000}"/>
    <cellStyle name="40% - Énfasis1 2 4 4 2 2" xfId="9444" xr:uid="{00000000-0005-0000-0000-0000E1240000}"/>
    <cellStyle name="40% - Énfasis1 2 4 4 2 2 2" xfId="9445" xr:uid="{00000000-0005-0000-0000-0000E2240000}"/>
    <cellStyle name="40% - Énfasis1 2 4 4 2 3" xfId="9446" xr:uid="{00000000-0005-0000-0000-0000E3240000}"/>
    <cellStyle name="40% - Énfasis1 2 4 4 2 4" xfId="9447" xr:uid="{00000000-0005-0000-0000-0000E4240000}"/>
    <cellStyle name="40% - Énfasis1 2 4 4 3" xfId="9448" xr:uid="{00000000-0005-0000-0000-0000E5240000}"/>
    <cellStyle name="40% - Énfasis1 2 4 4 3 2" xfId="9449" xr:uid="{00000000-0005-0000-0000-0000E6240000}"/>
    <cellStyle name="40% - Énfasis1 2 4 4 4" xfId="9450" xr:uid="{00000000-0005-0000-0000-0000E7240000}"/>
    <cellStyle name="40% - Énfasis1 2 4 4 5" xfId="9451" xr:uid="{00000000-0005-0000-0000-0000E8240000}"/>
    <cellStyle name="40% - Énfasis1 2 4 5" xfId="9452" xr:uid="{00000000-0005-0000-0000-0000E9240000}"/>
    <cellStyle name="40% - Énfasis1 2 4 5 2" xfId="9453" xr:uid="{00000000-0005-0000-0000-0000EA240000}"/>
    <cellStyle name="40% - Énfasis1 2 4 5 2 2" xfId="9454" xr:uid="{00000000-0005-0000-0000-0000EB240000}"/>
    <cellStyle name="40% - Énfasis1 2 4 5 3" xfId="9455" xr:uid="{00000000-0005-0000-0000-0000EC240000}"/>
    <cellStyle name="40% - Énfasis1 2 4 5 3 2" xfId="9456" xr:uid="{00000000-0005-0000-0000-0000ED240000}"/>
    <cellStyle name="40% - Énfasis1 2 4 5 4" xfId="9457" xr:uid="{00000000-0005-0000-0000-0000EE240000}"/>
    <cellStyle name="40% - Énfasis1 2 4 5 5" xfId="9458" xr:uid="{00000000-0005-0000-0000-0000EF240000}"/>
    <cellStyle name="40% - Énfasis1 2 4 6" xfId="9459" xr:uid="{00000000-0005-0000-0000-0000F0240000}"/>
    <cellStyle name="40% - Énfasis1 2 4 6 2" xfId="9460" xr:uid="{00000000-0005-0000-0000-0000F1240000}"/>
    <cellStyle name="40% - Énfasis1 2 4 7" xfId="9461" xr:uid="{00000000-0005-0000-0000-0000F2240000}"/>
    <cellStyle name="40% - Énfasis1 2 4 7 2" xfId="9462" xr:uid="{00000000-0005-0000-0000-0000F3240000}"/>
    <cellStyle name="40% - Énfasis1 2 4 8" xfId="9463" xr:uid="{00000000-0005-0000-0000-0000F4240000}"/>
    <cellStyle name="40% - Énfasis1 2 4 9" xfId="9464" xr:uid="{00000000-0005-0000-0000-0000F5240000}"/>
    <cellStyle name="40% - Énfasis1 2 5" xfId="9465" xr:uid="{00000000-0005-0000-0000-0000F6240000}"/>
    <cellStyle name="40% - Énfasis1 2 5 2" xfId="9466" xr:uid="{00000000-0005-0000-0000-0000F7240000}"/>
    <cellStyle name="40% - Énfasis1 2 5 2 2" xfId="9467" xr:uid="{00000000-0005-0000-0000-0000F8240000}"/>
    <cellStyle name="40% - Énfasis1 2 5 2 2 2" xfId="9468" xr:uid="{00000000-0005-0000-0000-0000F9240000}"/>
    <cellStyle name="40% - Énfasis1 2 5 2 2 2 2" xfId="9469" xr:uid="{00000000-0005-0000-0000-0000FA240000}"/>
    <cellStyle name="40% - Énfasis1 2 5 2 2 2 2 2" xfId="9470" xr:uid="{00000000-0005-0000-0000-0000FB240000}"/>
    <cellStyle name="40% - Énfasis1 2 5 2 2 2 3" xfId="9471" xr:uid="{00000000-0005-0000-0000-0000FC240000}"/>
    <cellStyle name="40% - Énfasis1 2 5 2 2 2 4" xfId="9472" xr:uid="{00000000-0005-0000-0000-0000FD240000}"/>
    <cellStyle name="40% - Énfasis1 2 5 2 2 3" xfId="9473" xr:uid="{00000000-0005-0000-0000-0000FE240000}"/>
    <cellStyle name="40% - Énfasis1 2 5 2 2 3 2" xfId="9474" xr:uid="{00000000-0005-0000-0000-0000FF240000}"/>
    <cellStyle name="40% - Énfasis1 2 5 2 2 4" xfId="9475" xr:uid="{00000000-0005-0000-0000-000000250000}"/>
    <cellStyle name="40% - Énfasis1 2 5 2 2 5" xfId="9476" xr:uid="{00000000-0005-0000-0000-000001250000}"/>
    <cellStyle name="40% - Énfasis1 2 5 2 3" xfId="9477" xr:uid="{00000000-0005-0000-0000-000002250000}"/>
    <cellStyle name="40% - Énfasis1 2 5 2 3 2" xfId="9478" xr:uid="{00000000-0005-0000-0000-000003250000}"/>
    <cellStyle name="40% - Énfasis1 2 5 2 3 2 2" xfId="9479" xr:uid="{00000000-0005-0000-0000-000004250000}"/>
    <cellStyle name="40% - Énfasis1 2 5 2 3 3" xfId="9480" xr:uid="{00000000-0005-0000-0000-000005250000}"/>
    <cellStyle name="40% - Énfasis1 2 5 2 3 3 2" xfId="9481" xr:uid="{00000000-0005-0000-0000-000006250000}"/>
    <cellStyle name="40% - Énfasis1 2 5 2 3 4" xfId="9482" xr:uid="{00000000-0005-0000-0000-000007250000}"/>
    <cellStyle name="40% - Énfasis1 2 5 2 3 5" xfId="9483" xr:uid="{00000000-0005-0000-0000-000008250000}"/>
    <cellStyle name="40% - Énfasis1 2 5 2 4" xfId="9484" xr:uid="{00000000-0005-0000-0000-000009250000}"/>
    <cellStyle name="40% - Énfasis1 2 5 2 4 2" xfId="9485" xr:uid="{00000000-0005-0000-0000-00000A250000}"/>
    <cellStyle name="40% - Énfasis1 2 5 2 5" xfId="9486" xr:uid="{00000000-0005-0000-0000-00000B250000}"/>
    <cellStyle name="40% - Énfasis1 2 5 2 5 2" xfId="9487" xr:uid="{00000000-0005-0000-0000-00000C250000}"/>
    <cellStyle name="40% - Énfasis1 2 5 2 6" xfId="9488" xr:uid="{00000000-0005-0000-0000-00000D250000}"/>
    <cellStyle name="40% - Énfasis1 2 5 2 7" xfId="9489" xr:uid="{00000000-0005-0000-0000-00000E250000}"/>
    <cellStyle name="40% - Énfasis1 2 5 3" xfId="9490" xr:uid="{00000000-0005-0000-0000-00000F250000}"/>
    <cellStyle name="40% - Énfasis1 2 5 3 2" xfId="9491" xr:uid="{00000000-0005-0000-0000-000010250000}"/>
    <cellStyle name="40% - Énfasis1 2 5 3 2 2" xfId="9492" xr:uid="{00000000-0005-0000-0000-000011250000}"/>
    <cellStyle name="40% - Énfasis1 2 5 3 2 2 2" xfId="9493" xr:uid="{00000000-0005-0000-0000-000012250000}"/>
    <cellStyle name="40% - Énfasis1 2 5 3 2 3" xfId="9494" xr:uid="{00000000-0005-0000-0000-000013250000}"/>
    <cellStyle name="40% - Énfasis1 2 5 3 2 4" xfId="9495" xr:uid="{00000000-0005-0000-0000-000014250000}"/>
    <cellStyle name="40% - Énfasis1 2 5 3 3" xfId="9496" xr:uid="{00000000-0005-0000-0000-000015250000}"/>
    <cellStyle name="40% - Énfasis1 2 5 3 3 2" xfId="9497" xr:uid="{00000000-0005-0000-0000-000016250000}"/>
    <cellStyle name="40% - Énfasis1 2 5 3 4" xfId="9498" xr:uid="{00000000-0005-0000-0000-000017250000}"/>
    <cellStyle name="40% - Énfasis1 2 5 3 5" xfId="9499" xr:uid="{00000000-0005-0000-0000-000018250000}"/>
    <cellStyle name="40% - Énfasis1 2 5 4" xfId="9500" xr:uid="{00000000-0005-0000-0000-000019250000}"/>
    <cellStyle name="40% - Énfasis1 2 5 4 2" xfId="9501" xr:uid="{00000000-0005-0000-0000-00001A250000}"/>
    <cellStyle name="40% - Énfasis1 2 5 4 2 2" xfId="9502" xr:uid="{00000000-0005-0000-0000-00001B250000}"/>
    <cellStyle name="40% - Énfasis1 2 5 4 3" xfId="9503" xr:uid="{00000000-0005-0000-0000-00001C250000}"/>
    <cellStyle name="40% - Énfasis1 2 5 4 3 2" xfId="9504" xr:uid="{00000000-0005-0000-0000-00001D250000}"/>
    <cellStyle name="40% - Énfasis1 2 5 4 4" xfId="9505" xr:uid="{00000000-0005-0000-0000-00001E250000}"/>
    <cellStyle name="40% - Énfasis1 2 5 4 5" xfId="9506" xr:uid="{00000000-0005-0000-0000-00001F250000}"/>
    <cellStyle name="40% - Énfasis1 2 5 5" xfId="9507" xr:uid="{00000000-0005-0000-0000-000020250000}"/>
    <cellStyle name="40% - Énfasis1 2 5 5 2" xfId="9508" xr:uid="{00000000-0005-0000-0000-000021250000}"/>
    <cellStyle name="40% - Énfasis1 2 5 6" xfId="9509" xr:uid="{00000000-0005-0000-0000-000022250000}"/>
    <cellStyle name="40% - Énfasis1 2 5 6 2" xfId="9510" xr:uid="{00000000-0005-0000-0000-000023250000}"/>
    <cellStyle name="40% - Énfasis1 2 5 7" xfId="9511" xr:uid="{00000000-0005-0000-0000-000024250000}"/>
    <cellStyle name="40% - Énfasis1 2 5 8" xfId="9512" xr:uid="{00000000-0005-0000-0000-000025250000}"/>
    <cellStyle name="40% - Énfasis1 2 6" xfId="9513" xr:uid="{00000000-0005-0000-0000-000026250000}"/>
    <cellStyle name="40% - Énfasis1 2 6 2" xfId="9514" xr:uid="{00000000-0005-0000-0000-000027250000}"/>
    <cellStyle name="40% - Énfasis1 2 6 2 2" xfId="9515" xr:uid="{00000000-0005-0000-0000-000028250000}"/>
    <cellStyle name="40% - Énfasis1 2 6 2 2 2" xfId="9516" xr:uid="{00000000-0005-0000-0000-000029250000}"/>
    <cellStyle name="40% - Énfasis1 2 6 2 2 2 2" xfId="9517" xr:uid="{00000000-0005-0000-0000-00002A250000}"/>
    <cellStyle name="40% - Énfasis1 2 6 2 2 3" xfId="9518" xr:uid="{00000000-0005-0000-0000-00002B250000}"/>
    <cellStyle name="40% - Énfasis1 2 6 2 2 4" xfId="9519" xr:uid="{00000000-0005-0000-0000-00002C250000}"/>
    <cellStyle name="40% - Énfasis1 2 6 2 3" xfId="9520" xr:uid="{00000000-0005-0000-0000-00002D250000}"/>
    <cellStyle name="40% - Énfasis1 2 6 2 3 2" xfId="9521" xr:uid="{00000000-0005-0000-0000-00002E250000}"/>
    <cellStyle name="40% - Énfasis1 2 6 2 4" xfId="9522" xr:uid="{00000000-0005-0000-0000-00002F250000}"/>
    <cellStyle name="40% - Énfasis1 2 6 2 5" xfId="9523" xr:uid="{00000000-0005-0000-0000-000030250000}"/>
    <cellStyle name="40% - Énfasis1 2 6 3" xfId="9524" xr:uid="{00000000-0005-0000-0000-000031250000}"/>
    <cellStyle name="40% - Énfasis1 2 6 3 2" xfId="9525" xr:uid="{00000000-0005-0000-0000-000032250000}"/>
    <cellStyle name="40% - Énfasis1 2 6 3 2 2" xfId="9526" xr:uid="{00000000-0005-0000-0000-000033250000}"/>
    <cellStyle name="40% - Énfasis1 2 6 3 3" xfId="9527" xr:uid="{00000000-0005-0000-0000-000034250000}"/>
    <cellStyle name="40% - Énfasis1 2 6 3 3 2" xfId="9528" xr:uid="{00000000-0005-0000-0000-000035250000}"/>
    <cellStyle name="40% - Énfasis1 2 6 3 4" xfId="9529" xr:uid="{00000000-0005-0000-0000-000036250000}"/>
    <cellStyle name="40% - Énfasis1 2 6 3 5" xfId="9530" xr:uid="{00000000-0005-0000-0000-000037250000}"/>
    <cellStyle name="40% - Énfasis1 2 6 4" xfId="9531" xr:uid="{00000000-0005-0000-0000-000038250000}"/>
    <cellStyle name="40% - Énfasis1 2 6 4 2" xfId="9532" xr:uid="{00000000-0005-0000-0000-000039250000}"/>
    <cellStyle name="40% - Énfasis1 2 6 5" xfId="9533" xr:uid="{00000000-0005-0000-0000-00003A250000}"/>
    <cellStyle name="40% - Énfasis1 2 6 5 2" xfId="9534" xr:uid="{00000000-0005-0000-0000-00003B250000}"/>
    <cellStyle name="40% - Énfasis1 2 6 6" xfId="9535" xr:uid="{00000000-0005-0000-0000-00003C250000}"/>
    <cellStyle name="40% - Énfasis1 2 6 7" xfId="9536" xr:uid="{00000000-0005-0000-0000-00003D250000}"/>
    <cellStyle name="40% - Énfasis1 2 7" xfId="9537" xr:uid="{00000000-0005-0000-0000-00003E250000}"/>
    <cellStyle name="40% - Énfasis1 2 7 2" xfId="9538" xr:uid="{00000000-0005-0000-0000-00003F250000}"/>
    <cellStyle name="40% - Énfasis1 2 7 2 2" xfId="9539" xr:uid="{00000000-0005-0000-0000-000040250000}"/>
    <cellStyle name="40% - Énfasis1 2 7 2 2 2" xfId="9540" xr:uid="{00000000-0005-0000-0000-000041250000}"/>
    <cellStyle name="40% - Énfasis1 2 7 2 3" xfId="9541" xr:uid="{00000000-0005-0000-0000-000042250000}"/>
    <cellStyle name="40% - Énfasis1 2 7 2 4" xfId="9542" xr:uid="{00000000-0005-0000-0000-000043250000}"/>
    <cellStyle name="40% - Énfasis1 2 7 3" xfId="9543" xr:uid="{00000000-0005-0000-0000-000044250000}"/>
    <cellStyle name="40% - Énfasis1 2 7 3 2" xfId="9544" xr:uid="{00000000-0005-0000-0000-000045250000}"/>
    <cellStyle name="40% - Énfasis1 2 7 4" xfId="9545" xr:uid="{00000000-0005-0000-0000-000046250000}"/>
    <cellStyle name="40% - Énfasis1 2 7 5" xfId="9546" xr:uid="{00000000-0005-0000-0000-000047250000}"/>
    <cellStyle name="40% - Énfasis1 2 8" xfId="9547" xr:uid="{00000000-0005-0000-0000-000048250000}"/>
    <cellStyle name="40% - Énfasis1 2 8 2" xfId="9548" xr:uid="{00000000-0005-0000-0000-000049250000}"/>
    <cellStyle name="40% - Énfasis1 2 8 2 2" xfId="9549" xr:uid="{00000000-0005-0000-0000-00004A250000}"/>
    <cellStyle name="40% - Énfasis1 2 8 3" xfId="9550" xr:uid="{00000000-0005-0000-0000-00004B250000}"/>
    <cellStyle name="40% - Énfasis1 2 8 3 2" xfId="9551" xr:uid="{00000000-0005-0000-0000-00004C250000}"/>
    <cellStyle name="40% - Énfasis1 2 8 4" xfId="9552" xr:uid="{00000000-0005-0000-0000-00004D250000}"/>
    <cellStyle name="40% - Énfasis1 2 8 5" xfId="9553" xr:uid="{00000000-0005-0000-0000-00004E250000}"/>
    <cellStyle name="40% - Énfasis1 2 9" xfId="9554" xr:uid="{00000000-0005-0000-0000-00004F250000}"/>
    <cellStyle name="40% - Énfasis1 2 9 2" xfId="9555" xr:uid="{00000000-0005-0000-0000-000050250000}"/>
    <cellStyle name="40% - Énfasis1 3" xfId="9556" xr:uid="{00000000-0005-0000-0000-000051250000}"/>
    <cellStyle name="40% - Énfasis1 3 10" xfId="9557" xr:uid="{00000000-0005-0000-0000-000052250000}"/>
    <cellStyle name="40% - Énfasis1 3 10 2" xfId="9558" xr:uid="{00000000-0005-0000-0000-000053250000}"/>
    <cellStyle name="40% - Énfasis1 3 11" xfId="9559" xr:uid="{00000000-0005-0000-0000-000054250000}"/>
    <cellStyle name="40% - Énfasis1 3 12" xfId="9560" xr:uid="{00000000-0005-0000-0000-000055250000}"/>
    <cellStyle name="40% - Énfasis1 3 2" xfId="9561" xr:uid="{00000000-0005-0000-0000-000056250000}"/>
    <cellStyle name="40% - Énfasis1 3 2 10" xfId="9562" xr:uid="{00000000-0005-0000-0000-000057250000}"/>
    <cellStyle name="40% - Énfasis1 3 2 11" xfId="9563" xr:uid="{00000000-0005-0000-0000-000058250000}"/>
    <cellStyle name="40% - Énfasis1 3 2 2" xfId="9564" xr:uid="{00000000-0005-0000-0000-000059250000}"/>
    <cellStyle name="40% - Énfasis1 3 2 2 10" xfId="9565" xr:uid="{00000000-0005-0000-0000-00005A250000}"/>
    <cellStyle name="40% - Énfasis1 3 2 2 2" xfId="9566" xr:uid="{00000000-0005-0000-0000-00005B250000}"/>
    <cellStyle name="40% - Énfasis1 3 2 2 2 2" xfId="9567" xr:uid="{00000000-0005-0000-0000-00005C250000}"/>
    <cellStyle name="40% - Énfasis1 3 2 2 2 2 2" xfId="9568" xr:uid="{00000000-0005-0000-0000-00005D250000}"/>
    <cellStyle name="40% - Énfasis1 3 2 2 2 2 2 2" xfId="9569" xr:uid="{00000000-0005-0000-0000-00005E250000}"/>
    <cellStyle name="40% - Énfasis1 3 2 2 2 2 2 2 2" xfId="9570" xr:uid="{00000000-0005-0000-0000-00005F250000}"/>
    <cellStyle name="40% - Énfasis1 3 2 2 2 2 2 2 2 2" xfId="9571" xr:uid="{00000000-0005-0000-0000-000060250000}"/>
    <cellStyle name="40% - Énfasis1 3 2 2 2 2 2 2 2 2 2" xfId="9572" xr:uid="{00000000-0005-0000-0000-000061250000}"/>
    <cellStyle name="40% - Énfasis1 3 2 2 2 2 2 2 2 3" xfId="9573" xr:uid="{00000000-0005-0000-0000-000062250000}"/>
    <cellStyle name="40% - Énfasis1 3 2 2 2 2 2 2 2 4" xfId="9574" xr:uid="{00000000-0005-0000-0000-000063250000}"/>
    <cellStyle name="40% - Énfasis1 3 2 2 2 2 2 2 3" xfId="9575" xr:uid="{00000000-0005-0000-0000-000064250000}"/>
    <cellStyle name="40% - Énfasis1 3 2 2 2 2 2 2 3 2" xfId="9576" xr:uid="{00000000-0005-0000-0000-000065250000}"/>
    <cellStyle name="40% - Énfasis1 3 2 2 2 2 2 2 4" xfId="9577" xr:uid="{00000000-0005-0000-0000-000066250000}"/>
    <cellStyle name="40% - Énfasis1 3 2 2 2 2 2 2 5" xfId="9578" xr:uid="{00000000-0005-0000-0000-000067250000}"/>
    <cellStyle name="40% - Énfasis1 3 2 2 2 2 2 3" xfId="9579" xr:uid="{00000000-0005-0000-0000-000068250000}"/>
    <cellStyle name="40% - Énfasis1 3 2 2 2 2 2 3 2" xfId="9580" xr:uid="{00000000-0005-0000-0000-000069250000}"/>
    <cellStyle name="40% - Énfasis1 3 2 2 2 2 2 3 2 2" xfId="9581" xr:uid="{00000000-0005-0000-0000-00006A250000}"/>
    <cellStyle name="40% - Énfasis1 3 2 2 2 2 2 3 3" xfId="9582" xr:uid="{00000000-0005-0000-0000-00006B250000}"/>
    <cellStyle name="40% - Énfasis1 3 2 2 2 2 2 3 4" xfId="9583" xr:uid="{00000000-0005-0000-0000-00006C250000}"/>
    <cellStyle name="40% - Énfasis1 3 2 2 2 2 2 4" xfId="9584" xr:uid="{00000000-0005-0000-0000-00006D250000}"/>
    <cellStyle name="40% - Énfasis1 3 2 2 2 2 2 4 2" xfId="9585" xr:uid="{00000000-0005-0000-0000-00006E250000}"/>
    <cellStyle name="40% - Énfasis1 3 2 2 2 2 2 5" xfId="9586" xr:uid="{00000000-0005-0000-0000-00006F250000}"/>
    <cellStyle name="40% - Énfasis1 3 2 2 2 2 2 6" xfId="9587" xr:uid="{00000000-0005-0000-0000-000070250000}"/>
    <cellStyle name="40% - Énfasis1 3 2 2 2 2 3" xfId="9588" xr:uid="{00000000-0005-0000-0000-000071250000}"/>
    <cellStyle name="40% - Énfasis1 3 2 2 2 2 3 2" xfId="9589" xr:uid="{00000000-0005-0000-0000-000072250000}"/>
    <cellStyle name="40% - Énfasis1 3 2 2 2 2 3 2 2" xfId="9590" xr:uid="{00000000-0005-0000-0000-000073250000}"/>
    <cellStyle name="40% - Énfasis1 3 2 2 2 2 3 2 2 2" xfId="9591" xr:uid="{00000000-0005-0000-0000-000074250000}"/>
    <cellStyle name="40% - Énfasis1 3 2 2 2 2 3 2 3" xfId="9592" xr:uid="{00000000-0005-0000-0000-000075250000}"/>
    <cellStyle name="40% - Énfasis1 3 2 2 2 2 3 2 4" xfId="9593" xr:uid="{00000000-0005-0000-0000-000076250000}"/>
    <cellStyle name="40% - Énfasis1 3 2 2 2 2 3 3" xfId="9594" xr:uid="{00000000-0005-0000-0000-000077250000}"/>
    <cellStyle name="40% - Énfasis1 3 2 2 2 2 3 3 2" xfId="9595" xr:uid="{00000000-0005-0000-0000-000078250000}"/>
    <cellStyle name="40% - Énfasis1 3 2 2 2 2 3 4" xfId="9596" xr:uid="{00000000-0005-0000-0000-000079250000}"/>
    <cellStyle name="40% - Énfasis1 3 2 2 2 2 3 5" xfId="9597" xr:uid="{00000000-0005-0000-0000-00007A250000}"/>
    <cellStyle name="40% - Énfasis1 3 2 2 2 2 4" xfId="9598" xr:uid="{00000000-0005-0000-0000-00007B250000}"/>
    <cellStyle name="40% - Énfasis1 3 2 2 2 2 4 2" xfId="9599" xr:uid="{00000000-0005-0000-0000-00007C250000}"/>
    <cellStyle name="40% - Énfasis1 3 2 2 2 2 4 2 2" xfId="9600" xr:uid="{00000000-0005-0000-0000-00007D250000}"/>
    <cellStyle name="40% - Énfasis1 3 2 2 2 2 4 3" xfId="9601" xr:uid="{00000000-0005-0000-0000-00007E250000}"/>
    <cellStyle name="40% - Énfasis1 3 2 2 2 2 4 4" xfId="9602" xr:uid="{00000000-0005-0000-0000-00007F250000}"/>
    <cellStyle name="40% - Énfasis1 3 2 2 2 2 5" xfId="9603" xr:uid="{00000000-0005-0000-0000-000080250000}"/>
    <cellStyle name="40% - Énfasis1 3 2 2 2 2 5 2" xfId="9604" xr:uid="{00000000-0005-0000-0000-000081250000}"/>
    <cellStyle name="40% - Énfasis1 3 2 2 2 2 6" xfId="9605" xr:uid="{00000000-0005-0000-0000-000082250000}"/>
    <cellStyle name="40% - Énfasis1 3 2 2 2 2 7" xfId="9606" xr:uid="{00000000-0005-0000-0000-000083250000}"/>
    <cellStyle name="40% - Énfasis1 3 2 2 2 3" xfId="9607" xr:uid="{00000000-0005-0000-0000-000084250000}"/>
    <cellStyle name="40% - Énfasis1 3 2 2 2 3 2" xfId="9608" xr:uid="{00000000-0005-0000-0000-000085250000}"/>
    <cellStyle name="40% - Énfasis1 3 2 2 2 3 2 2" xfId="9609" xr:uid="{00000000-0005-0000-0000-000086250000}"/>
    <cellStyle name="40% - Énfasis1 3 2 2 2 3 2 2 2" xfId="9610" xr:uid="{00000000-0005-0000-0000-000087250000}"/>
    <cellStyle name="40% - Énfasis1 3 2 2 2 3 2 2 2 2" xfId="9611" xr:uid="{00000000-0005-0000-0000-000088250000}"/>
    <cellStyle name="40% - Énfasis1 3 2 2 2 3 2 2 3" xfId="9612" xr:uid="{00000000-0005-0000-0000-000089250000}"/>
    <cellStyle name="40% - Énfasis1 3 2 2 2 3 2 2 4" xfId="9613" xr:uid="{00000000-0005-0000-0000-00008A250000}"/>
    <cellStyle name="40% - Énfasis1 3 2 2 2 3 2 3" xfId="9614" xr:uid="{00000000-0005-0000-0000-00008B250000}"/>
    <cellStyle name="40% - Énfasis1 3 2 2 2 3 2 3 2" xfId="9615" xr:uid="{00000000-0005-0000-0000-00008C250000}"/>
    <cellStyle name="40% - Énfasis1 3 2 2 2 3 2 4" xfId="9616" xr:uid="{00000000-0005-0000-0000-00008D250000}"/>
    <cellStyle name="40% - Énfasis1 3 2 2 2 3 2 5" xfId="9617" xr:uid="{00000000-0005-0000-0000-00008E250000}"/>
    <cellStyle name="40% - Énfasis1 3 2 2 2 3 3" xfId="9618" xr:uid="{00000000-0005-0000-0000-00008F250000}"/>
    <cellStyle name="40% - Énfasis1 3 2 2 2 3 3 2" xfId="9619" xr:uid="{00000000-0005-0000-0000-000090250000}"/>
    <cellStyle name="40% - Énfasis1 3 2 2 2 3 3 2 2" xfId="9620" xr:uid="{00000000-0005-0000-0000-000091250000}"/>
    <cellStyle name="40% - Énfasis1 3 2 2 2 3 3 3" xfId="9621" xr:uid="{00000000-0005-0000-0000-000092250000}"/>
    <cellStyle name="40% - Énfasis1 3 2 2 2 3 3 3 2" xfId="9622" xr:uid="{00000000-0005-0000-0000-000093250000}"/>
    <cellStyle name="40% - Énfasis1 3 2 2 2 3 3 4" xfId="9623" xr:uid="{00000000-0005-0000-0000-000094250000}"/>
    <cellStyle name="40% - Énfasis1 3 2 2 2 3 3 5" xfId="9624" xr:uid="{00000000-0005-0000-0000-000095250000}"/>
    <cellStyle name="40% - Énfasis1 3 2 2 2 3 4" xfId="9625" xr:uid="{00000000-0005-0000-0000-000096250000}"/>
    <cellStyle name="40% - Énfasis1 3 2 2 2 3 4 2" xfId="9626" xr:uid="{00000000-0005-0000-0000-000097250000}"/>
    <cellStyle name="40% - Énfasis1 3 2 2 2 3 5" xfId="9627" xr:uid="{00000000-0005-0000-0000-000098250000}"/>
    <cellStyle name="40% - Énfasis1 3 2 2 2 3 5 2" xfId="9628" xr:uid="{00000000-0005-0000-0000-000099250000}"/>
    <cellStyle name="40% - Énfasis1 3 2 2 2 3 6" xfId="9629" xr:uid="{00000000-0005-0000-0000-00009A250000}"/>
    <cellStyle name="40% - Énfasis1 3 2 2 2 3 7" xfId="9630" xr:uid="{00000000-0005-0000-0000-00009B250000}"/>
    <cellStyle name="40% - Énfasis1 3 2 2 2 4" xfId="9631" xr:uid="{00000000-0005-0000-0000-00009C250000}"/>
    <cellStyle name="40% - Énfasis1 3 2 2 2 4 2" xfId="9632" xr:uid="{00000000-0005-0000-0000-00009D250000}"/>
    <cellStyle name="40% - Énfasis1 3 2 2 2 4 2 2" xfId="9633" xr:uid="{00000000-0005-0000-0000-00009E250000}"/>
    <cellStyle name="40% - Énfasis1 3 2 2 2 4 2 2 2" xfId="9634" xr:uid="{00000000-0005-0000-0000-00009F250000}"/>
    <cellStyle name="40% - Énfasis1 3 2 2 2 4 2 3" xfId="9635" xr:uid="{00000000-0005-0000-0000-0000A0250000}"/>
    <cellStyle name="40% - Énfasis1 3 2 2 2 4 2 4" xfId="9636" xr:uid="{00000000-0005-0000-0000-0000A1250000}"/>
    <cellStyle name="40% - Énfasis1 3 2 2 2 4 3" xfId="9637" xr:uid="{00000000-0005-0000-0000-0000A2250000}"/>
    <cellStyle name="40% - Énfasis1 3 2 2 2 4 3 2" xfId="9638" xr:uid="{00000000-0005-0000-0000-0000A3250000}"/>
    <cellStyle name="40% - Énfasis1 3 2 2 2 4 4" xfId="9639" xr:uid="{00000000-0005-0000-0000-0000A4250000}"/>
    <cellStyle name="40% - Énfasis1 3 2 2 2 4 5" xfId="9640" xr:uid="{00000000-0005-0000-0000-0000A5250000}"/>
    <cellStyle name="40% - Énfasis1 3 2 2 2 5" xfId="9641" xr:uid="{00000000-0005-0000-0000-0000A6250000}"/>
    <cellStyle name="40% - Énfasis1 3 2 2 2 5 2" xfId="9642" xr:uid="{00000000-0005-0000-0000-0000A7250000}"/>
    <cellStyle name="40% - Énfasis1 3 2 2 2 5 2 2" xfId="9643" xr:uid="{00000000-0005-0000-0000-0000A8250000}"/>
    <cellStyle name="40% - Énfasis1 3 2 2 2 5 3" xfId="9644" xr:uid="{00000000-0005-0000-0000-0000A9250000}"/>
    <cellStyle name="40% - Énfasis1 3 2 2 2 5 3 2" xfId="9645" xr:uid="{00000000-0005-0000-0000-0000AA250000}"/>
    <cellStyle name="40% - Énfasis1 3 2 2 2 5 4" xfId="9646" xr:uid="{00000000-0005-0000-0000-0000AB250000}"/>
    <cellStyle name="40% - Énfasis1 3 2 2 2 5 5" xfId="9647" xr:uid="{00000000-0005-0000-0000-0000AC250000}"/>
    <cellStyle name="40% - Énfasis1 3 2 2 2 6" xfId="9648" xr:uid="{00000000-0005-0000-0000-0000AD250000}"/>
    <cellStyle name="40% - Énfasis1 3 2 2 2 6 2" xfId="9649" xr:uid="{00000000-0005-0000-0000-0000AE250000}"/>
    <cellStyle name="40% - Énfasis1 3 2 2 2 7" xfId="9650" xr:uid="{00000000-0005-0000-0000-0000AF250000}"/>
    <cellStyle name="40% - Énfasis1 3 2 2 2 7 2" xfId="9651" xr:uid="{00000000-0005-0000-0000-0000B0250000}"/>
    <cellStyle name="40% - Énfasis1 3 2 2 2 8" xfId="9652" xr:uid="{00000000-0005-0000-0000-0000B1250000}"/>
    <cellStyle name="40% - Énfasis1 3 2 2 2 9" xfId="9653" xr:uid="{00000000-0005-0000-0000-0000B2250000}"/>
    <cellStyle name="40% - Énfasis1 3 2 2 3" xfId="9654" xr:uid="{00000000-0005-0000-0000-0000B3250000}"/>
    <cellStyle name="40% - Énfasis1 3 2 2 3 2" xfId="9655" xr:uid="{00000000-0005-0000-0000-0000B4250000}"/>
    <cellStyle name="40% - Énfasis1 3 2 2 3 2 2" xfId="9656" xr:uid="{00000000-0005-0000-0000-0000B5250000}"/>
    <cellStyle name="40% - Énfasis1 3 2 2 3 2 2 2" xfId="9657" xr:uid="{00000000-0005-0000-0000-0000B6250000}"/>
    <cellStyle name="40% - Énfasis1 3 2 2 3 2 2 2 2" xfId="9658" xr:uid="{00000000-0005-0000-0000-0000B7250000}"/>
    <cellStyle name="40% - Énfasis1 3 2 2 3 2 2 2 2 2" xfId="9659" xr:uid="{00000000-0005-0000-0000-0000B8250000}"/>
    <cellStyle name="40% - Énfasis1 3 2 2 3 2 2 2 3" xfId="9660" xr:uid="{00000000-0005-0000-0000-0000B9250000}"/>
    <cellStyle name="40% - Énfasis1 3 2 2 3 2 2 2 4" xfId="9661" xr:uid="{00000000-0005-0000-0000-0000BA250000}"/>
    <cellStyle name="40% - Énfasis1 3 2 2 3 2 2 3" xfId="9662" xr:uid="{00000000-0005-0000-0000-0000BB250000}"/>
    <cellStyle name="40% - Énfasis1 3 2 2 3 2 2 3 2" xfId="9663" xr:uid="{00000000-0005-0000-0000-0000BC250000}"/>
    <cellStyle name="40% - Énfasis1 3 2 2 3 2 2 4" xfId="9664" xr:uid="{00000000-0005-0000-0000-0000BD250000}"/>
    <cellStyle name="40% - Énfasis1 3 2 2 3 2 2 5" xfId="9665" xr:uid="{00000000-0005-0000-0000-0000BE250000}"/>
    <cellStyle name="40% - Énfasis1 3 2 2 3 2 3" xfId="9666" xr:uid="{00000000-0005-0000-0000-0000BF250000}"/>
    <cellStyle name="40% - Énfasis1 3 2 2 3 2 3 2" xfId="9667" xr:uid="{00000000-0005-0000-0000-0000C0250000}"/>
    <cellStyle name="40% - Énfasis1 3 2 2 3 2 3 2 2" xfId="9668" xr:uid="{00000000-0005-0000-0000-0000C1250000}"/>
    <cellStyle name="40% - Énfasis1 3 2 2 3 2 3 3" xfId="9669" xr:uid="{00000000-0005-0000-0000-0000C2250000}"/>
    <cellStyle name="40% - Énfasis1 3 2 2 3 2 3 4" xfId="9670" xr:uid="{00000000-0005-0000-0000-0000C3250000}"/>
    <cellStyle name="40% - Énfasis1 3 2 2 3 2 4" xfId="9671" xr:uid="{00000000-0005-0000-0000-0000C4250000}"/>
    <cellStyle name="40% - Énfasis1 3 2 2 3 2 4 2" xfId="9672" xr:uid="{00000000-0005-0000-0000-0000C5250000}"/>
    <cellStyle name="40% - Énfasis1 3 2 2 3 2 5" xfId="9673" xr:uid="{00000000-0005-0000-0000-0000C6250000}"/>
    <cellStyle name="40% - Énfasis1 3 2 2 3 2 6" xfId="9674" xr:uid="{00000000-0005-0000-0000-0000C7250000}"/>
    <cellStyle name="40% - Énfasis1 3 2 2 3 3" xfId="9675" xr:uid="{00000000-0005-0000-0000-0000C8250000}"/>
    <cellStyle name="40% - Énfasis1 3 2 2 3 3 2" xfId="9676" xr:uid="{00000000-0005-0000-0000-0000C9250000}"/>
    <cellStyle name="40% - Énfasis1 3 2 2 3 3 2 2" xfId="9677" xr:uid="{00000000-0005-0000-0000-0000CA250000}"/>
    <cellStyle name="40% - Énfasis1 3 2 2 3 3 2 2 2" xfId="9678" xr:uid="{00000000-0005-0000-0000-0000CB250000}"/>
    <cellStyle name="40% - Énfasis1 3 2 2 3 3 2 3" xfId="9679" xr:uid="{00000000-0005-0000-0000-0000CC250000}"/>
    <cellStyle name="40% - Énfasis1 3 2 2 3 3 2 4" xfId="9680" xr:uid="{00000000-0005-0000-0000-0000CD250000}"/>
    <cellStyle name="40% - Énfasis1 3 2 2 3 3 3" xfId="9681" xr:uid="{00000000-0005-0000-0000-0000CE250000}"/>
    <cellStyle name="40% - Énfasis1 3 2 2 3 3 3 2" xfId="9682" xr:uid="{00000000-0005-0000-0000-0000CF250000}"/>
    <cellStyle name="40% - Énfasis1 3 2 2 3 3 4" xfId="9683" xr:uid="{00000000-0005-0000-0000-0000D0250000}"/>
    <cellStyle name="40% - Énfasis1 3 2 2 3 3 5" xfId="9684" xr:uid="{00000000-0005-0000-0000-0000D1250000}"/>
    <cellStyle name="40% - Énfasis1 3 2 2 3 4" xfId="9685" xr:uid="{00000000-0005-0000-0000-0000D2250000}"/>
    <cellStyle name="40% - Énfasis1 3 2 2 3 4 2" xfId="9686" xr:uid="{00000000-0005-0000-0000-0000D3250000}"/>
    <cellStyle name="40% - Énfasis1 3 2 2 3 4 2 2" xfId="9687" xr:uid="{00000000-0005-0000-0000-0000D4250000}"/>
    <cellStyle name="40% - Énfasis1 3 2 2 3 4 3" xfId="9688" xr:uid="{00000000-0005-0000-0000-0000D5250000}"/>
    <cellStyle name="40% - Énfasis1 3 2 2 3 4 4" xfId="9689" xr:uid="{00000000-0005-0000-0000-0000D6250000}"/>
    <cellStyle name="40% - Énfasis1 3 2 2 3 5" xfId="9690" xr:uid="{00000000-0005-0000-0000-0000D7250000}"/>
    <cellStyle name="40% - Énfasis1 3 2 2 3 5 2" xfId="9691" xr:uid="{00000000-0005-0000-0000-0000D8250000}"/>
    <cellStyle name="40% - Énfasis1 3 2 2 3 6" xfId="9692" xr:uid="{00000000-0005-0000-0000-0000D9250000}"/>
    <cellStyle name="40% - Énfasis1 3 2 2 3 7" xfId="9693" xr:uid="{00000000-0005-0000-0000-0000DA250000}"/>
    <cellStyle name="40% - Énfasis1 3 2 2 4" xfId="9694" xr:uid="{00000000-0005-0000-0000-0000DB250000}"/>
    <cellStyle name="40% - Énfasis1 3 2 2 4 2" xfId="9695" xr:uid="{00000000-0005-0000-0000-0000DC250000}"/>
    <cellStyle name="40% - Énfasis1 3 2 2 4 2 2" xfId="9696" xr:uid="{00000000-0005-0000-0000-0000DD250000}"/>
    <cellStyle name="40% - Énfasis1 3 2 2 4 2 2 2" xfId="9697" xr:uid="{00000000-0005-0000-0000-0000DE250000}"/>
    <cellStyle name="40% - Énfasis1 3 2 2 4 2 2 2 2" xfId="9698" xr:uid="{00000000-0005-0000-0000-0000DF250000}"/>
    <cellStyle name="40% - Énfasis1 3 2 2 4 2 2 3" xfId="9699" xr:uid="{00000000-0005-0000-0000-0000E0250000}"/>
    <cellStyle name="40% - Énfasis1 3 2 2 4 2 2 4" xfId="9700" xr:uid="{00000000-0005-0000-0000-0000E1250000}"/>
    <cellStyle name="40% - Énfasis1 3 2 2 4 2 3" xfId="9701" xr:uid="{00000000-0005-0000-0000-0000E2250000}"/>
    <cellStyle name="40% - Énfasis1 3 2 2 4 2 3 2" xfId="9702" xr:uid="{00000000-0005-0000-0000-0000E3250000}"/>
    <cellStyle name="40% - Énfasis1 3 2 2 4 2 4" xfId="9703" xr:uid="{00000000-0005-0000-0000-0000E4250000}"/>
    <cellStyle name="40% - Énfasis1 3 2 2 4 2 5" xfId="9704" xr:uid="{00000000-0005-0000-0000-0000E5250000}"/>
    <cellStyle name="40% - Énfasis1 3 2 2 4 3" xfId="9705" xr:uid="{00000000-0005-0000-0000-0000E6250000}"/>
    <cellStyle name="40% - Énfasis1 3 2 2 4 3 2" xfId="9706" xr:uid="{00000000-0005-0000-0000-0000E7250000}"/>
    <cellStyle name="40% - Énfasis1 3 2 2 4 3 2 2" xfId="9707" xr:uid="{00000000-0005-0000-0000-0000E8250000}"/>
    <cellStyle name="40% - Énfasis1 3 2 2 4 3 3" xfId="9708" xr:uid="{00000000-0005-0000-0000-0000E9250000}"/>
    <cellStyle name="40% - Énfasis1 3 2 2 4 3 3 2" xfId="9709" xr:uid="{00000000-0005-0000-0000-0000EA250000}"/>
    <cellStyle name="40% - Énfasis1 3 2 2 4 3 4" xfId="9710" xr:uid="{00000000-0005-0000-0000-0000EB250000}"/>
    <cellStyle name="40% - Énfasis1 3 2 2 4 3 5" xfId="9711" xr:uid="{00000000-0005-0000-0000-0000EC250000}"/>
    <cellStyle name="40% - Énfasis1 3 2 2 4 4" xfId="9712" xr:uid="{00000000-0005-0000-0000-0000ED250000}"/>
    <cellStyle name="40% - Énfasis1 3 2 2 4 4 2" xfId="9713" xr:uid="{00000000-0005-0000-0000-0000EE250000}"/>
    <cellStyle name="40% - Énfasis1 3 2 2 4 5" xfId="9714" xr:uid="{00000000-0005-0000-0000-0000EF250000}"/>
    <cellStyle name="40% - Énfasis1 3 2 2 4 5 2" xfId="9715" xr:uid="{00000000-0005-0000-0000-0000F0250000}"/>
    <cellStyle name="40% - Énfasis1 3 2 2 4 6" xfId="9716" xr:uid="{00000000-0005-0000-0000-0000F1250000}"/>
    <cellStyle name="40% - Énfasis1 3 2 2 4 7" xfId="9717" xr:uid="{00000000-0005-0000-0000-0000F2250000}"/>
    <cellStyle name="40% - Énfasis1 3 2 2 5" xfId="9718" xr:uid="{00000000-0005-0000-0000-0000F3250000}"/>
    <cellStyle name="40% - Énfasis1 3 2 2 5 2" xfId="9719" xr:uid="{00000000-0005-0000-0000-0000F4250000}"/>
    <cellStyle name="40% - Énfasis1 3 2 2 5 2 2" xfId="9720" xr:uid="{00000000-0005-0000-0000-0000F5250000}"/>
    <cellStyle name="40% - Énfasis1 3 2 2 5 2 2 2" xfId="9721" xr:uid="{00000000-0005-0000-0000-0000F6250000}"/>
    <cellStyle name="40% - Énfasis1 3 2 2 5 2 3" xfId="9722" xr:uid="{00000000-0005-0000-0000-0000F7250000}"/>
    <cellStyle name="40% - Énfasis1 3 2 2 5 2 4" xfId="9723" xr:uid="{00000000-0005-0000-0000-0000F8250000}"/>
    <cellStyle name="40% - Énfasis1 3 2 2 5 3" xfId="9724" xr:uid="{00000000-0005-0000-0000-0000F9250000}"/>
    <cellStyle name="40% - Énfasis1 3 2 2 5 3 2" xfId="9725" xr:uid="{00000000-0005-0000-0000-0000FA250000}"/>
    <cellStyle name="40% - Énfasis1 3 2 2 5 4" xfId="9726" xr:uid="{00000000-0005-0000-0000-0000FB250000}"/>
    <cellStyle name="40% - Énfasis1 3 2 2 5 5" xfId="9727" xr:uid="{00000000-0005-0000-0000-0000FC250000}"/>
    <cellStyle name="40% - Énfasis1 3 2 2 6" xfId="9728" xr:uid="{00000000-0005-0000-0000-0000FD250000}"/>
    <cellStyle name="40% - Énfasis1 3 2 2 6 2" xfId="9729" xr:uid="{00000000-0005-0000-0000-0000FE250000}"/>
    <cellStyle name="40% - Énfasis1 3 2 2 6 2 2" xfId="9730" xr:uid="{00000000-0005-0000-0000-0000FF250000}"/>
    <cellStyle name="40% - Énfasis1 3 2 2 6 3" xfId="9731" xr:uid="{00000000-0005-0000-0000-000000260000}"/>
    <cellStyle name="40% - Énfasis1 3 2 2 6 3 2" xfId="9732" xr:uid="{00000000-0005-0000-0000-000001260000}"/>
    <cellStyle name="40% - Énfasis1 3 2 2 6 4" xfId="9733" xr:uid="{00000000-0005-0000-0000-000002260000}"/>
    <cellStyle name="40% - Énfasis1 3 2 2 6 5" xfId="9734" xr:uid="{00000000-0005-0000-0000-000003260000}"/>
    <cellStyle name="40% - Énfasis1 3 2 2 7" xfId="9735" xr:uid="{00000000-0005-0000-0000-000004260000}"/>
    <cellStyle name="40% - Énfasis1 3 2 2 7 2" xfId="9736" xr:uid="{00000000-0005-0000-0000-000005260000}"/>
    <cellStyle name="40% - Énfasis1 3 2 2 8" xfId="9737" xr:uid="{00000000-0005-0000-0000-000006260000}"/>
    <cellStyle name="40% - Énfasis1 3 2 2 8 2" xfId="9738" xr:uid="{00000000-0005-0000-0000-000007260000}"/>
    <cellStyle name="40% - Énfasis1 3 2 2 9" xfId="9739" xr:uid="{00000000-0005-0000-0000-000008260000}"/>
    <cellStyle name="40% - Énfasis1 3 2 3" xfId="9740" xr:uid="{00000000-0005-0000-0000-000009260000}"/>
    <cellStyle name="40% - Énfasis1 3 2 3 2" xfId="9741" xr:uid="{00000000-0005-0000-0000-00000A260000}"/>
    <cellStyle name="40% - Énfasis1 3 2 3 2 2" xfId="9742" xr:uid="{00000000-0005-0000-0000-00000B260000}"/>
    <cellStyle name="40% - Énfasis1 3 2 3 2 2 2" xfId="9743" xr:uid="{00000000-0005-0000-0000-00000C260000}"/>
    <cellStyle name="40% - Énfasis1 3 2 3 2 2 2 2" xfId="9744" xr:uid="{00000000-0005-0000-0000-00000D260000}"/>
    <cellStyle name="40% - Énfasis1 3 2 3 2 2 2 2 2" xfId="9745" xr:uid="{00000000-0005-0000-0000-00000E260000}"/>
    <cellStyle name="40% - Énfasis1 3 2 3 2 2 2 2 2 2" xfId="9746" xr:uid="{00000000-0005-0000-0000-00000F260000}"/>
    <cellStyle name="40% - Énfasis1 3 2 3 2 2 2 2 3" xfId="9747" xr:uid="{00000000-0005-0000-0000-000010260000}"/>
    <cellStyle name="40% - Énfasis1 3 2 3 2 2 2 2 4" xfId="9748" xr:uid="{00000000-0005-0000-0000-000011260000}"/>
    <cellStyle name="40% - Énfasis1 3 2 3 2 2 2 3" xfId="9749" xr:uid="{00000000-0005-0000-0000-000012260000}"/>
    <cellStyle name="40% - Énfasis1 3 2 3 2 2 2 3 2" xfId="9750" xr:uid="{00000000-0005-0000-0000-000013260000}"/>
    <cellStyle name="40% - Énfasis1 3 2 3 2 2 2 4" xfId="9751" xr:uid="{00000000-0005-0000-0000-000014260000}"/>
    <cellStyle name="40% - Énfasis1 3 2 3 2 2 2 5" xfId="9752" xr:uid="{00000000-0005-0000-0000-000015260000}"/>
    <cellStyle name="40% - Énfasis1 3 2 3 2 2 3" xfId="9753" xr:uid="{00000000-0005-0000-0000-000016260000}"/>
    <cellStyle name="40% - Énfasis1 3 2 3 2 2 3 2" xfId="9754" xr:uid="{00000000-0005-0000-0000-000017260000}"/>
    <cellStyle name="40% - Énfasis1 3 2 3 2 2 3 2 2" xfId="9755" xr:uid="{00000000-0005-0000-0000-000018260000}"/>
    <cellStyle name="40% - Énfasis1 3 2 3 2 2 3 3" xfId="9756" xr:uid="{00000000-0005-0000-0000-000019260000}"/>
    <cellStyle name="40% - Énfasis1 3 2 3 2 2 3 4" xfId="9757" xr:uid="{00000000-0005-0000-0000-00001A260000}"/>
    <cellStyle name="40% - Énfasis1 3 2 3 2 2 4" xfId="9758" xr:uid="{00000000-0005-0000-0000-00001B260000}"/>
    <cellStyle name="40% - Énfasis1 3 2 3 2 2 4 2" xfId="9759" xr:uid="{00000000-0005-0000-0000-00001C260000}"/>
    <cellStyle name="40% - Énfasis1 3 2 3 2 2 5" xfId="9760" xr:uid="{00000000-0005-0000-0000-00001D260000}"/>
    <cellStyle name="40% - Énfasis1 3 2 3 2 2 6" xfId="9761" xr:uid="{00000000-0005-0000-0000-00001E260000}"/>
    <cellStyle name="40% - Énfasis1 3 2 3 2 3" xfId="9762" xr:uid="{00000000-0005-0000-0000-00001F260000}"/>
    <cellStyle name="40% - Énfasis1 3 2 3 2 3 2" xfId="9763" xr:uid="{00000000-0005-0000-0000-000020260000}"/>
    <cellStyle name="40% - Énfasis1 3 2 3 2 3 2 2" xfId="9764" xr:uid="{00000000-0005-0000-0000-000021260000}"/>
    <cellStyle name="40% - Énfasis1 3 2 3 2 3 2 2 2" xfId="9765" xr:uid="{00000000-0005-0000-0000-000022260000}"/>
    <cellStyle name="40% - Énfasis1 3 2 3 2 3 2 3" xfId="9766" xr:uid="{00000000-0005-0000-0000-000023260000}"/>
    <cellStyle name="40% - Énfasis1 3 2 3 2 3 2 4" xfId="9767" xr:uid="{00000000-0005-0000-0000-000024260000}"/>
    <cellStyle name="40% - Énfasis1 3 2 3 2 3 3" xfId="9768" xr:uid="{00000000-0005-0000-0000-000025260000}"/>
    <cellStyle name="40% - Énfasis1 3 2 3 2 3 3 2" xfId="9769" xr:uid="{00000000-0005-0000-0000-000026260000}"/>
    <cellStyle name="40% - Énfasis1 3 2 3 2 3 4" xfId="9770" xr:uid="{00000000-0005-0000-0000-000027260000}"/>
    <cellStyle name="40% - Énfasis1 3 2 3 2 3 5" xfId="9771" xr:uid="{00000000-0005-0000-0000-000028260000}"/>
    <cellStyle name="40% - Énfasis1 3 2 3 2 4" xfId="9772" xr:uid="{00000000-0005-0000-0000-000029260000}"/>
    <cellStyle name="40% - Énfasis1 3 2 3 2 4 2" xfId="9773" xr:uid="{00000000-0005-0000-0000-00002A260000}"/>
    <cellStyle name="40% - Énfasis1 3 2 3 2 4 2 2" xfId="9774" xr:uid="{00000000-0005-0000-0000-00002B260000}"/>
    <cellStyle name="40% - Énfasis1 3 2 3 2 4 3" xfId="9775" xr:uid="{00000000-0005-0000-0000-00002C260000}"/>
    <cellStyle name="40% - Énfasis1 3 2 3 2 4 4" xfId="9776" xr:uid="{00000000-0005-0000-0000-00002D260000}"/>
    <cellStyle name="40% - Énfasis1 3 2 3 2 5" xfId="9777" xr:uid="{00000000-0005-0000-0000-00002E260000}"/>
    <cellStyle name="40% - Énfasis1 3 2 3 2 5 2" xfId="9778" xr:uid="{00000000-0005-0000-0000-00002F260000}"/>
    <cellStyle name="40% - Énfasis1 3 2 3 2 6" xfId="9779" xr:uid="{00000000-0005-0000-0000-000030260000}"/>
    <cellStyle name="40% - Énfasis1 3 2 3 2 7" xfId="9780" xr:uid="{00000000-0005-0000-0000-000031260000}"/>
    <cellStyle name="40% - Énfasis1 3 2 3 3" xfId="9781" xr:uid="{00000000-0005-0000-0000-000032260000}"/>
    <cellStyle name="40% - Énfasis1 3 2 3 3 2" xfId="9782" xr:uid="{00000000-0005-0000-0000-000033260000}"/>
    <cellStyle name="40% - Énfasis1 3 2 3 3 2 2" xfId="9783" xr:uid="{00000000-0005-0000-0000-000034260000}"/>
    <cellStyle name="40% - Énfasis1 3 2 3 3 2 2 2" xfId="9784" xr:uid="{00000000-0005-0000-0000-000035260000}"/>
    <cellStyle name="40% - Énfasis1 3 2 3 3 2 2 2 2" xfId="9785" xr:uid="{00000000-0005-0000-0000-000036260000}"/>
    <cellStyle name="40% - Énfasis1 3 2 3 3 2 2 3" xfId="9786" xr:uid="{00000000-0005-0000-0000-000037260000}"/>
    <cellStyle name="40% - Énfasis1 3 2 3 3 2 2 4" xfId="9787" xr:uid="{00000000-0005-0000-0000-000038260000}"/>
    <cellStyle name="40% - Énfasis1 3 2 3 3 2 3" xfId="9788" xr:uid="{00000000-0005-0000-0000-000039260000}"/>
    <cellStyle name="40% - Énfasis1 3 2 3 3 2 3 2" xfId="9789" xr:uid="{00000000-0005-0000-0000-00003A260000}"/>
    <cellStyle name="40% - Énfasis1 3 2 3 3 2 4" xfId="9790" xr:uid="{00000000-0005-0000-0000-00003B260000}"/>
    <cellStyle name="40% - Énfasis1 3 2 3 3 2 5" xfId="9791" xr:uid="{00000000-0005-0000-0000-00003C260000}"/>
    <cellStyle name="40% - Énfasis1 3 2 3 3 3" xfId="9792" xr:uid="{00000000-0005-0000-0000-00003D260000}"/>
    <cellStyle name="40% - Énfasis1 3 2 3 3 3 2" xfId="9793" xr:uid="{00000000-0005-0000-0000-00003E260000}"/>
    <cellStyle name="40% - Énfasis1 3 2 3 3 3 2 2" xfId="9794" xr:uid="{00000000-0005-0000-0000-00003F260000}"/>
    <cellStyle name="40% - Énfasis1 3 2 3 3 3 3" xfId="9795" xr:uid="{00000000-0005-0000-0000-000040260000}"/>
    <cellStyle name="40% - Énfasis1 3 2 3 3 3 3 2" xfId="9796" xr:uid="{00000000-0005-0000-0000-000041260000}"/>
    <cellStyle name="40% - Énfasis1 3 2 3 3 3 4" xfId="9797" xr:uid="{00000000-0005-0000-0000-000042260000}"/>
    <cellStyle name="40% - Énfasis1 3 2 3 3 3 5" xfId="9798" xr:uid="{00000000-0005-0000-0000-000043260000}"/>
    <cellStyle name="40% - Énfasis1 3 2 3 3 4" xfId="9799" xr:uid="{00000000-0005-0000-0000-000044260000}"/>
    <cellStyle name="40% - Énfasis1 3 2 3 3 4 2" xfId="9800" xr:uid="{00000000-0005-0000-0000-000045260000}"/>
    <cellStyle name="40% - Énfasis1 3 2 3 3 5" xfId="9801" xr:uid="{00000000-0005-0000-0000-000046260000}"/>
    <cellStyle name="40% - Énfasis1 3 2 3 3 5 2" xfId="9802" xr:uid="{00000000-0005-0000-0000-000047260000}"/>
    <cellStyle name="40% - Énfasis1 3 2 3 3 6" xfId="9803" xr:uid="{00000000-0005-0000-0000-000048260000}"/>
    <cellStyle name="40% - Énfasis1 3 2 3 3 7" xfId="9804" xr:uid="{00000000-0005-0000-0000-000049260000}"/>
    <cellStyle name="40% - Énfasis1 3 2 3 4" xfId="9805" xr:uid="{00000000-0005-0000-0000-00004A260000}"/>
    <cellStyle name="40% - Énfasis1 3 2 3 4 2" xfId="9806" xr:uid="{00000000-0005-0000-0000-00004B260000}"/>
    <cellStyle name="40% - Énfasis1 3 2 3 4 2 2" xfId="9807" xr:uid="{00000000-0005-0000-0000-00004C260000}"/>
    <cellStyle name="40% - Énfasis1 3 2 3 4 2 2 2" xfId="9808" xr:uid="{00000000-0005-0000-0000-00004D260000}"/>
    <cellStyle name="40% - Énfasis1 3 2 3 4 2 3" xfId="9809" xr:uid="{00000000-0005-0000-0000-00004E260000}"/>
    <cellStyle name="40% - Énfasis1 3 2 3 4 2 4" xfId="9810" xr:uid="{00000000-0005-0000-0000-00004F260000}"/>
    <cellStyle name="40% - Énfasis1 3 2 3 4 3" xfId="9811" xr:uid="{00000000-0005-0000-0000-000050260000}"/>
    <cellStyle name="40% - Énfasis1 3 2 3 4 3 2" xfId="9812" xr:uid="{00000000-0005-0000-0000-000051260000}"/>
    <cellStyle name="40% - Énfasis1 3 2 3 4 4" xfId="9813" xr:uid="{00000000-0005-0000-0000-000052260000}"/>
    <cellStyle name="40% - Énfasis1 3 2 3 4 5" xfId="9814" xr:uid="{00000000-0005-0000-0000-000053260000}"/>
    <cellStyle name="40% - Énfasis1 3 2 3 5" xfId="9815" xr:uid="{00000000-0005-0000-0000-000054260000}"/>
    <cellStyle name="40% - Énfasis1 3 2 3 5 2" xfId="9816" xr:uid="{00000000-0005-0000-0000-000055260000}"/>
    <cellStyle name="40% - Énfasis1 3 2 3 5 2 2" xfId="9817" xr:uid="{00000000-0005-0000-0000-000056260000}"/>
    <cellStyle name="40% - Énfasis1 3 2 3 5 3" xfId="9818" xr:uid="{00000000-0005-0000-0000-000057260000}"/>
    <cellStyle name="40% - Énfasis1 3 2 3 5 3 2" xfId="9819" xr:uid="{00000000-0005-0000-0000-000058260000}"/>
    <cellStyle name="40% - Énfasis1 3 2 3 5 4" xfId="9820" xr:uid="{00000000-0005-0000-0000-000059260000}"/>
    <cellStyle name="40% - Énfasis1 3 2 3 5 5" xfId="9821" xr:uid="{00000000-0005-0000-0000-00005A260000}"/>
    <cellStyle name="40% - Énfasis1 3 2 3 6" xfId="9822" xr:uid="{00000000-0005-0000-0000-00005B260000}"/>
    <cellStyle name="40% - Énfasis1 3 2 3 6 2" xfId="9823" xr:uid="{00000000-0005-0000-0000-00005C260000}"/>
    <cellStyle name="40% - Énfasis1 3 2 3 7" xfId="9824" xr:uid="{00000000-0005-0000-0000-00005D260000}"/>
    <cellStyle name="40% - Énfasis1 3 2 3 7 2" xfId="9825" xr:uid="{00000000-0005-0000-0000-00005E260000}"/>
    <cellStyle name="40% - Énfasis1 3 2 3 8" xfId="9826" xr:uid="{00000000-0005-0000-0000-00005F260000}"/>
    <cellStyle name="40% - Énfasis1 3 2 3 9" xfId="9827" xr:uid="{00000000-0005-0000-0000-000060260000}"/>
    <cellStyle name="40% - Énfasis1 3 2 4" xfId="9828" xr:uid="{00000000-0005-0000-0000-000061260000}"/>
    <cellStyle name="40% - Énfasis1 3 2 4 2" xfId="9829" xr:uid="{00000000-0005-0000-0000-000062260000}"/>
    <cellStyle name="40% - Énfasis1 3 2 4 2 2" xfId="9830" xr:uid="{00000000-0005-0000-0000-000063260000}"/>
    <cellStyle name="40% - Énfasis1 3 2 4 2 2 2" xfId="9831" xr:uid="{00000000-0005-0000-0000-000064260000}"/>
    <cellStyle name="40% - Énfasis1 3 2 4 2 2 2 2" xfId="9832" xr:uid="{00000000-0005-0000-0000-000065260000}"/>
    <cellStyle name="40% - Énfasis1 3 2 4 2 2 2 2 2" xfId="9833" xr:uid="{00000000-0005-0000-0000-000066260000}"/>
    <cellStyle name="40% - Énfasis1 3 2 4 2 2 2 3" xfId="9834" xr:uid="{00000000-0005-0000-0000-000067260000}"/>
    <cellStyle name="40% - Énfasis1 3 2 4 2 2 2 4" xfId="9835" xr:uid="{00000000-0005-0000-0000-000068260000}"/>
    <cellStyle name="40% - Énfasis1 3 2 4 2 2 3" xfId="9836" xr:uid="{00000000-0005-0000-0000-000069260000}"/>
    <cellStyle name="40% - Énfasis1 3 2 4 2 2 3 2" xfId="9837" xr:uid="{00000000-0005-0000-0000-00006A260000}"/>
    <cellStyle name="40% - Énfasis1 3 2 4 2 2 4" xfId="9838" xr:uid="{00000000-0005-0000-0000-00006B260000}"/>
    <cellStyle name="40% - Énfasis1 3 2 4 2 2 5" xfId="9839" xr:uid="{00000000-0005-0000-0000-00006C260000}"/>
    <cellStyle name="40% - Énfasis1 3 2 4 2 3" xfId="9840" xr:uid="{00000000-0005-0000-0000-00006D260000}"/>
    <cellStyle name="40% - Énfasis1 3 2 4 2 3 2" xfId="9841" xr:uid="{00000000-0005-0000-0000-00006E260000}"/>
    <cellStyle name="40% - Énfasis1 3 2 4 2 3 2 2" xfId="9842" xr:uid="{00000000-0005-0000-0000-00006F260000}"/>
    <cellStyle name="40% - Énfasis1 3 2 4 2 3 3" xfId="9843" xr:uid="{00000000-0005-0000-0000-000070260000}"/>
    <cellStyle name="40% - Énfasis1 3 2 4 2 3 3 2" xfId="9844" xr:uid="{00000000-0005-0000-0000-000071260000}"/>
    <cellStyle name="40% - Énfasis1 3 2 4 2 3 4" xfId="9845" xr:uid="{00000000-0005-0000-0000-000072260000}"/>
    <cellStyle name="40% - Énfasis1 3 2 4 2 3 5" xfId="9846" xr:uid="{00000000-0005-0000-0000-000073260000}"/>
    <cellStyle name="40% - Énfasis1 3 2 4 2 4" xfId="9847" xr:uid="{00000000-0005-0000-0000-000074260000}"/>
    <cellStyle name="40% - Énfasis1 3 2 4 2 4 2" xfId="9848" xr:uid="{00000000-0005-0000-0000-000075260000}"/>
    <cellStyle name="40% - Énfasis1 3 2 4 2 5" xfId="9849" xr:uid="{00000000-0005-0000-0000-000076260000}"/>
    <cellStyle name="40% - Énfasis1 3 2 4 2 5 2" xfId="9850" xr:uid="{00000000-0005-0000-0000-000077260000}"/>
    <cellStyle name="40% - Énfasis1 3 2 4 2 6" xfId="9851" xr:uid="{00000000-0005-0000-0000-000078260000}"/>
    <cellStyle name="40% - Énfasis1 3 2 4 2 7" xfId="9852" xr:uid="{00000000-0005-0000-0000-000079260000}"/>
    <cellStyle name="40% - Énfasis1 3 2 4 3" xfId="9853" xr:uid="{00000000-0005-0000-0000-00007A260000}"/>
    <cellStyle name="40% - Énfasis1 3 2 4 3 2" xfId="9854" xr:uid="{00000000-0005-0000-0000-00007B260000}"/>
    <cellStyle name="40% - Énfasis1 3 2 4 3 2 2" xfId="9855" xr:uid="{00000000-0005-0000-0000-00007C260000}"/>
    <cellStyle name="40% - Énfasis1 3 2 4 3 2 2 2" xfId="9856" xr:uid="{00000000-0005-0000-0000-00007D260000}"/>
    <cellStyle name="40% - Énfasis1 3 2 4 3 2 3" xfId="9857" xr:uid="{00000000-0005-0000-0000-00007E260000}"/>
    <cellStyle name="40% - Énfasis1 3 2 4 3 2 4" xfId="9858" xr:uid="{00000000-0005-0000-0000-00007F260000}"/>
    <cellStyle name="40% - Énfasis1 3 2 4 3 3" xfId="9859" xr:uid="{00000000-0005-0000-0000-000080260000}"/>
    <cellStyle name="40% - Énfasis1 3 2 4 3 3 2" xfId="9860" xr:uid="{00000000-0005-0000-0000-000081260000}"/>
    <cellStyle name="40% - Énfasis1 3 2 4 3 4" xfId="9861" xr:uid="{00000000-0005-0000-0000-000082260000}"/>
    <cellStyle name="40% - Énfasis1 3 2 4 3 5" xfId="9862" xr:uid="{00000000-0005-0000-0000-000083260000}"/>
    <cellStyle name="40% - Énfasis1 3 2 4 4" xfId="9863" xr:uid="{00000000-0005-0000-0000-000084260000}"/>
    <cellStyle name="40% - Énfasis1 3 2 4 4 2" xfId="9864" xr:uid="{00000000-0005-0000-0000-000085260000}"/>
    <cellStyle name="40% - Énfasis1 3 2 4 4 2 2" xfId="9865" xr:uid="{00000000-0005-0000-0000-000086260000}"/>
    <cellStyle name="40% - Énfasis1 3 2 4 4 3" xfId="9866" xr:uid="{00000000-0005-0000-0000-000087260000}"/>
    <cellStyle name="40% - Énfasis1 3 2 4 4 3 2" xfId="9867" xr:uid="{00000000-0005-0000-0000-000088260000}"/>
    <cellStyle name="40% - Énfasis1 3 2 4 4 4" xfId="9868" xr:uid="{00000000-0005-0000-0000-000089260000}"/>
    <cellStyle name="40% - Énfasis1 3 2 4 4 5" xfId="9869" xr:uid="{00000000-0005-0000-0000-00008A260000}"/>
    <cellStyle name="40% - Énfasis1 3 2 4 5" xfId="9870" xr:uid="{00000000-0005-0000-0000-00008B260000}"/>
    <cellStyle name="40% - Énfasis1 3 2 4 5 2" xfId="9871" xr:uid="{00000000-0005-0000-0000-00008C260000}"/>
    <cellStyle name="40% - Énfasis1 3 2 4 6" xfId="9872" xr:uid="{00000000-0005-0000-0000-00008D260000}"/>
    <cellStyle name="40% - Énfasis1 3 2 4 6 2" xfId="9873" xr:uid="{00000000-0005-0000-0000-00008E260000}"/>
    <cellStyle name="40% - Énfasis1 3 2 4 7" xfId="9874" xr:uid="{00000000-0005-0000-0000-00008F260000}"/>
    <cellStyle name="40% - Énfasis1 3 2 4 8" xfId="9875" xr:uid="{00000000-0005-0000-0000-000090260000}"/>
    <cellStyle name="40% - Énfasis1 3 2 5" xfId="9876" xr:uid="{00000000-0005-0000-0000-000091260000}"/>
    <cellStyle name="40% - Énfasis1 3 2 5 2" xfId="9877" xr:uid="{00000000-0005-0000-0000-000092260000}"/>
    <cellStyle name="40% - Énfasis1 3 2 5 2 2" xfId="9878" xr:uid="{00000000-0005-0000-0000-000093260000}"/>
    <cellStyle name="40% - Énfasis1 3 2 5 2 2 2" xfId="9879" xr:uid="{00000000-0005-0000-0000-000094260000}"/>
    <cellStyle name="40% - Énfasis1 3 2 5 2 2 2 2" xfId="9880" xr:uid="{00000000-0005-0000-0000-000095260000}"/>
    <cellStyle name="40% - Énfasis1 3 2 5 2 2 3" xfId="9881" xr:uid="{00000000-0005-0000-0000-000096260000}"/>
    <cellStyle name="40% - Énfasis1 3 2 5 2 2 4" xfId="9882" xr:uid="{00000000-0005-0000-0000-000097260000}"/>
    <cellStyle name="40% - Énfasis1 3 2 5 2 3" xfId="9883" xr:uid="{00000000-0005-0000-0000-000098260000}"/>
    <cellStyle name="40% - Énfasis1 3 2 5 2 3 2" xfId="9884" xr:uid="{00000000-0005-0000-0000-000099260000}"/>
    <cellStyle name="40% - Énfasis1 3 2 5 2 4" xfId="9885" xr:uid="{00000000-0005-0000-0000-00009A260000}"/>
    <cellStyle name="40% - Énfasis1 3 2 5 2 5" xfId="9886" xr:uid="{00000000-0005-0000-0000-00009B260000}"/>
    <cellStyle name="40% - Énfasis1 3 2 5 3" xfId="9887" xr:uid="{00000000-0005-0000-0000-00009C260000}"/>
    <cellStyle name="40% - Énfasis1 3 2 5 3 2" xfId="9888" xr:uid="{00000000-0005-0000-0000-00009D260000}"/>
    <cellStyle name="40% - Énfasis1 3 2 5 3 2 2" xfId="9889" xr:uid="{00000000-0005-0000-0000-00009E260000}"/>
    <cellStyle name="40% - Énfasis1 3 2 5 3 3" xfId="9890" xr:uid="{00000000-0005-0000-0000-00009F260000}"/>
    <cellStyle name="40% - Énfasis1 3 2 5 3 3 2" xfId="9891" xr:uid="{00000000-0005-0000-0000-0000A0260000}"/>
    <cellStyle name="40% - Énfasis1 3 2 5 3 4" xfId="9892" xr:uid="{00000000-0005-0000-0000-0000A1260000}"/>
    <cellStyle name="40% - Énfasis1 3 2 5 3 5" xfId="9893" xr:uid="{00000000-0005-0000-0000-0000A2260000}"/>
    <cellStyle name="40% - Énfasis1 3 2 5 4" xfId="9894" xr:uid="{00000000-0005-0000-0000-0000A3260000}"/>
    <cellStyle name="40% - Énfasis1 3 2 5 4 2" xfId="9895" xr:uid="{00000000-0005-0000-0000-0000A4260000}"/>
    <cellStyle name="40% - Énfasis1 3 2 5 5" xfId="9896" xr:uid="{00000000-0005-0000-0000-0000A5260000}"/>
    <cellStyle name="40% - Énfasis1 3 2 5 5 2" xfId="9897" xr:uid="{00000000-0005-0000-0000-0000A6260000}"/>
    <cellStyle name="40% - Énfasis1 3 2 5 6" xfId="9898" xr:uid="{00000000-0005-0000-0000-0000A7260000}"/>
    <cellStyle name="40% - Énfasis1 3 2 5 7" xfId="9899" xr:uid="{00000000-0005-0000-0000-0000A8260000}"/>
    <cellStyle name="40% - Énfasis1 3 2 6" xfId="9900" xr:uid="{00000000-0005-0000-0000-0000A9260000}"/>
    <cellStyle name="40% - Énfasis1 3 2 6 2" xfId="9901" xr:uid="{00000000-0005-0000-0000-0000AA260000}"/>
    <cellStyle name="40% - Énfasis1 3 2 6 2 2" xfId="9902" xr:uid="{00000000-0005-0000-0000-0000AB260000}"/>
    <cellStyle name="40% - Énfasis1 3 2 6 2 2 2" xfId="9903" xr:uid="{00000000-0005-0000-0000-0000AC260000}"/>
    <cellStyle name="40% - Énfasis1 3 2 6 2 3" xfId="9904" xr:uid="{00000000-0005-0000-0000-0000AD260000}"/>
    <cellStyle name="40% - Énfasis1 3 2 6 2 4" xfId="9905" xr:uid="{00000000-0005-0000-0000-0000AE260000}"/>
    <cellStyle name="40% - Énfasis1 3 2 6 3" xfId="9906" xr:uid="{00000000-0005-0000-0000-0000AF260000}"/>
    <cellStyle name="40% - Énfasis1 3 2 6 3 2" xfId="9907" xr:uid="{00000000-0005-0000-0000-0000B0260000}"/>
    <cellStyle name="40% - Énfasis1 3 2 6 4" xfId="9908" xr:uid="{00000000-0005-0000-0000-0000B1260000}"/>
    <cellStyle name="40% - Énfasis1 3 2 6 5" xfId="9909" xr:uid="{00000000-0005-0000-0000-0000B2260000}"/>
    <cellStyle name="40% - Énfasis1 3 2 7" xfId="9910" xr:uid="{00000000-0005-0000-0000-0000B3260000}"/>
    <cellStyle name="40% - Énfasis1 3 2 7 2" xfId="9911" xr:uid="{00000000-0005-0000-0000-0000B4260000}"/>
    <cellStyle name="40% - Énfasis1 3 2 7 2 2" xfId="9912" xr:uid="{00000000-0005-0000-0000-0000B5260000}"/>
    <cellStyle name="40% - Énfasis1 3 2 7 3" xfId="9913" xr:uid="{00000000-0005-0000-0000-0000B6260000}"/>
    <cellStyle name="40% - Énfasis1 3 2 7 3 2" xfId="9914" xr:uid="{00000000-0005-0000-0000-0000B7260000}"/>
    <cellStyle name="40% - Énfasis1 3 2 7 4" xfId="9915" xr:uid="{00000000-0005-0000-0000-0000B8260000}"/>
    <cellStyle name="40% - Énfasis1 3 2 7 5" xfId="9916" xr:uid="{00000000-0005-0000-0000-0000B9260000}"/>
    <cellStyle name="40% - Énfasis1 3 2 8" xfId="9917" xr:uid="{00000000-0005-0000-0000-0000BA260000}"/>
    <cellStyle name="40% - Énfasis1 3 2 8 2" xfId="9918" xr:uid="{00000000-0005-0000-0000-0000BB260000}"/>
    <cellStyle name="40% - Énfasis1 3 2 9" xfId="9919" xr:uid="{00000000-0005-0000-0000-0000BC260000}"/>
    <cellStyle name="40% - Énfasis1 3 2 9 2" xfId="9920" xr:uid="{00000000-0005-0000-0000-0000BD260000}"/>
    <cellStyle name="40% - Énfasis1 3 3" xfId="9921" xr:uid="{00000000-0005-0000-0000-0000BE260000}"/>
    <cellStyle name="40% - Énfasis1 3 3 10" xfId="9922" xr:uid="{00000000-0005-0000-0000-0000BF260000}"/>
    <cellStyle name="40% - Énfasis1 3 3 2" xfId="9923" xr:uid="{00000000-0005-0000-0000-0000C0260000}"/>
    <cellStyle name="40% - Énfasis1 3 3 2 2" xfId="9924" xr:uid="{00000000-0005-0000-0000-0000C1260000}"/>
    <cellStyle name="40% - Énfasis1 3 3 2 2 2" xfId="9925" xr:uid="{00000000-0005-0000-0000-0000C2260000}"/>
    <cellStyle name="40% - Énfasis1 3 3 2 2 2 2" xfId="9926" xr:uid="{00000000-0005-0000-0000-0000C3260000}"/>
    <cellStyle name="40% - Énfasis1 3 3 2 2 2 2 2" xfId="9927" xr:uid="{00000000-0005-0000-0000-0000C4260000}"/>
    <cellStyle name="40% - Énfasis1 3 3 2 2 2 2 2 2" xfId="9928" xr:uid="{00000000-0005-0000-0000-0000C5260000}"/>
    <cellStyle name="40% - Énfasis1 3 3 2 2 2 2 2 2 2" xfId="9929" xr:uid="{00000000-0005-0000-0000-0000C6260000}"/>
    <cellStyle name="40% - Énfasis1 3 3 2 2 2 2 2 3" xfId="9930" xr:uid="{00000000-0005-0000-0000-0000C7260000}"/>
    <cellStyle name="40% - Énfasis1 3 3 2 2 2 2 2 4" xfId="9931" xr:uid="{00000000-0005-0000-0000-0000C8260000}"/>
    <cellStyle name="40% - Énfasis1 3 3 2 2 2 2 3" xfId="9932" xr:uid="{00000000-0005-0000-0000-0000C9260000}"/>
    <cellStyle name="40% - Énfasis1 3 3 2 2 2 2 3 2" xfId="9933" xr:uid="{00000000-0005-0000-0000-0000CA260000}"/>
    <cellStyle name="40% - Énfasis1 3 3 2 2 2 2 4" xfId="9934" xr:uid="{00000000-0005-0000-0000-0000CB260000}"/>
    <cellStyle name="40% - Énfasis1 3 3 2 2 2 2 5" xfId="9935" xr:uid="{00000000-0005-0000-0000-0000CC260000}"/>
    <cellStyle name="40% - Énfasis1 3 3 2 2 2 3" xfId="9936" xr:uid="{00000000-0005-0000-0000-0000CD260000}"/>
    <cellStyle name="40% - Énfasis1 3 3 2 2 2 3 2" xfId="9937" xr:uid="{00000000-0005-0000-0000-0000CE260000}"/>
    <cellStyle name="40% - Énfasis1 3 3 2 2 2 3 2 2" xfId="9938" xr:uid="{00000000-0005-0000-0000-0000CF260000}"/>
    <cellStyle name="40% - Énfasis1 3 3 2 2 2 3 3" xfId="9939" xr:uid="{00000000-0005-0000-0000-0000D0260000}"/>
    <cellStyle name="40% - Énfasis1 3 3 2 2 2 3 4" xfId="9940" xr:uid="{00000000-0005-0000-0000-0000D1260000}"/>
    <cellStyle name="40% - Énfasis1 3 3 2 2 2 4" xfId="9941" xr:uid="{00000000-0005-0000-0000-0000D2260000}"/>
    <cellStyle name="40% - Énfasis1 3 3 2 2 2 4 2" xfId="9942" xr:uid="{00000000-0005-0000-0000-0000D3260000}"/>
    <cellStyle name="40% - Énfasis1 3 3 2 2 2 5" xfId="9943" xr:uid="{00000000-0005-0000-0000-0000D4260000}"/>
    <cellStyle name="40% - Énfasis1 3 3 2 2 2 6" xfId="9944" xr:uid="{00000000-0005-0000-0000-0000D5260000}"/>
    <cellStyle name="40% - Énfasis1 3 3 2 2 3" xfId="9945" xr:uid="{00000000-0005-0000-0000-0000D6260000}"/>
    <cellStyle name="40% - Énfasis1 3 3 2 2 3 2" xfId="9946" xr:uid="{00000000-0005-0000-0000-0000D7260000}"/>
    <cellStyle name="40% - Énfasis1 3 3 2 2 3 2 2" xfId="9947" xr:uid="{00000000-0005-0000-0000-0000D8260000}"/>
    <cellStyle name="40% - Énfasis1 3 3 2 2 3 2 2 2" xfId="9948" xr:uid="{00000000-0005-0000-0000-0000D9260000}"/>
    <cellStyle name="40% - Énfasis1 3 3 2 2 3 2 3" xfId="9949" xr:uid="{00000000-0005-0000-0000-0000DA260000}"/>
    <cellStyle name="40% - Énfasis1 3 3 2 2 3 2 4" xfId="9950" xr:uid="{00000000-0005-0000-0000-0000DB260000}"/>
    <cellStyle name="40% - Énfasis1 3 3 2 2 3 3" xfId="9951" xr:uid="{00000000-0005-0000-0000-0000DC260000}"/>
    <cellStyle name="40% - Énfasis1 3 3 2 2 3 3 2" xfId="9952" xr:uid="{00000000-0005-0000-0000-0000DD260000}"/>
    <cellStyle name="40% - Énfasis1 3 3 2 2 3 4" xfId="9953" xr:uid="{00000000-0005-0000-0000-0000DE260000}"/>
    <cellStyle name="40% - Énfasis1 3 3 2 2 3 5" xfId="9954" xr:uid="{00000000-0005-0000-0000-0000DF260000}"/>
    <cellStyle name="40% - Énfasis1 3 3 2 2 4" xfId="9955" xr:uid="{00000000-0005-0000-0000-0000E0260000}"/>
    <cellStyle name="40% - Énfasis1 3 3 2 2 4 2" xfId="9956" xr:uid="{00000000-0005-0000-0000-0000E1260000}"/>
    <cellStyle name="40% - Énfasis1 3 3 2 2 4 2 2" xfId="9957" xr:uid="{00000000-0005-0000-0000-0000E2260000}"/>
    <cellStyle name="40% - Énfasis1 3 3 2 2 4 3" xfId="9958" xr:uid="{00000000-0005-0000-0000-0000E3260000}"/>
    <cellStyle name="40% - Énfasis1 3 3 2 2 4 4" xfId="9959" xr:uid="{00000000-0005-0000-0000-0000E4260000}"/>
    <cellStyle name="40% - Énfasis1 3 3 2 2 5" xfId="9960" xr:uid="{00000000-0005-0000-0000-0000E5260000}"/>
    <cellStyle name="40% - Énfasis1 3 3 2 2 5 2" xfId="9961" xr:uid="{00000000-0005-0000-0000-0000E6260000}"/>
    <cellStyle name="40% - Énfasis1 3 3 2 2 6" xfId="9962" xr:uid="{00000000-0005-0000-0000-0000E7260000}"/>
    <cellStyle name="40% - Énfasis1 3 3 2 2 7" xfId="9963" xr:uid="{00000000-0005-0000-0000-0000E8260000}"/>
    <cellStyle name="40% - Énfasis1 3 3 2 3" xfId="9964" xr:uid="{00000000-0005-0000-0000-0000E9260000}"/>
    <cellStyle name="40% - Énfasis1 3 3 2 3 2" xfId="9965" xr:uid="{00000000-0005-0000-0000-0000EA260000}"/>
    <cellStyle name="40% - Énfasis1 3 3 2 3 2 2" xfId="9966" xr:uid="{00000000-0005-0000-0000-0000EB260000}"/>
    <cellStyle name="40% - Énfasis1 3 3 2 3 2 2 2" xfId="9967" xr:uid="{00000000-0005-0000-0000-0000EC260000}"/>
    <cellStyle name="40% - Énfasis1 3 3 2 3 2 2 2 2" xfId="9968" xr:uid="{00000000-0005-0000-0000-0000ED260000}"/>
    <cellStyle name="40% - Énfasis1 3 3 2 3 2 2 3" xfId="9969" xr:uid="{00000000-0005-0000-0000-0000EE260000}"/>
    <cellStyle name="40% - Énfasis1 3 3 2 3 2 2 4" xfId="9970" xr:uid="{00000000-0005-0000-0000-0000EF260000}"/>
    <cellStyle name="40% - Énfasis1 3 3 2 3 2 3" xfId="9971" xr:uid="{00000000-0005-0000-0000-0000F0260000}"/>
    <cellStyle name="40% - Énfasis1 3 3 2 3 2 3 2" xfId="9972" xr:uid="{00000000-0005-0000-0000-0000F1260000}"/>
    <cellStyle name="40% - Énfasis1 3 3 2 3 2 4" xfId="9973" xr:uid="{00000000-0005-0000-0000-0000F2260000}"/>
    <cellStyle name="40% - Énfasis1 3 3 2 3 2 5" xfId="9974" xr:uid="{00000000-0005-0000-0000-0000F3260000}"/>
    <cellStyle name="40% - Énfasis1 3 3 2 3 3" xfId="9975" xr:uid="{00000000-0005-0000-0000-0000F4260000}"/>
    <cellStyle name="40% - Énfasis1 3 3 2 3 3 2" xfId="9976" xr:uid="{00000000-0005-0000-0000-0000F5260000}"/>
    <cellStyle name="40% - Énfasis1 3 3 2 3 3 2 2" xfId="9977" xr:uid="{00000000-0005-0000-0000-0000F6260000}"/>
    <cellStyle name="40% - Énfasis1 3 3 2 3 3 3" xfId="9978" xr:uid="{00000000-0005-0000-0000-0000F7260000}"/>
    <cellStyle name="40% - Énfasis1 3 3 2 3 3 3 2" xfId="9979" xr:uid="{00000000-0005-0000-0000-0000F8260000}"/>
    <cellStyle name="40% - Énfasis1 3 3 2 3 3 4" xfId="9980" xr:uid="{00000000-0005-0000-0000-0000F9260000}"/>
    <cellStyle name="40% - Énfasis1 3 3 2 3 3 5" xfId="9981" xr:uid="{00000000-0005-0000-0000-0000FA260000}"/>
    <cellStyle name="40% - Énfasis1 3 3 2 3 4" xfId="9982" xr:uid="{00000000-0005-0000-0000-0000FB260000}"/>
    <cellStyle name="40% - Énfasis1 3 3 2 3 4 2" xfId="9983" xr:uid="{00000000-0005-0000-0000-0000FC260000}"/>
    <cellStyle name="40% - Énfasis1 3 3 2 3 5" xfId="9984" xr:uid="{00000000-0005-0000-0000-0000FD260000}"/>
    <cellStyle name="40% - Énfasis1 3 3 2 3 5 2" xfId="9985" xr:uid="{00000000-0005-0000-0000-0000FE260000}"/>
    <cellStyle name="40% - Énfasis1 3 3 2 3 6" xfId="9986" xr:uid="{00000000-0005-0000-0000-0000FF260000}"/>
    <cellStyle name="40% - Énfasis1 3 3 2 3 7" xfId="9987" xr:uid="{00000000-0005-0000-0000-000000270000}"/>
    <cellStyle name="40% - Énfasis1 3 3 2 4" xfId="9988" xr:uid="{00000000-0005-0000-0000-000001270000}"/>
    <cellStyle name="40% - Énfasis1 3 3 2 4 2" xfId="9989" xr:uid="{00000000-0005-0000-0000-000002270000}"/>
    <cellStyle name="40% - Énfasis1 3 3 2 4 2 2" xfId="9990" xr:uid="{00000000-0005-0000-0000-000003270000}"/>
    <cellStyle name="40% - Énfasis1 3 3 2 4 2 2 2" xfId="9991" xr:uid="{00000000-0005-0000-0000-000004270000}"/>
    <cellStyle name="40% - Énfasis1 3 3 2 4 2 3" xfId="9992" xr:uid="{00000000-0005-0000-0000-000005270000}"/>
    <cellStyle name="40% - Énfasis1 3 3 2 4 2 4" xfId="9993" xr:uid="{00000000-0005-0000-0000-000006270000}"/>
    <cellStyle name="40% - Énfasis1 3 3 2 4 3" xfId="9994" xr:uid="{00000000-0005-0000-0000-000007270000}"/>
    <cellStyle name="40% - Énfasis1 3 3 2 4 3 2" xfId="9995" xr:uid="{00000000-0005-0000-0000-000008270000}"/>
    <cellStyle name="40% - Énfasis1 3 3 2 4 4" xfId="9996" xr:uid="{00000000-0005-0000-0000-000009270000}"/>
    <cellStyle name="40% - Énfasis1 3 3 2 4 5" xfId="9997" xr:uid="{00000000-0005-0000-0000-00000A270000}"/>
    <cellStyle name="40% - Énfasis1 3 3 2 5" xfId="9998" xr:uid="{00000000-0005-0000-0000-00000B270000}"/>
    <cellStyle name="40% - Énfasis1 3 3 2 5 2" xfId="9999" xr:uid="{00000000-0005-0000-0000-00000C270000}"/>
    <cellStyle name="40% - Énfasis1 3 3 2 5 2 2" xfId="10000" xr:uid="{00000000-0005-0000-0000-00000D270000}"/>
    <cellStyle name="40% - Énfasis1 3 3 2 5 3" xfId="10001" xr:uid="{00000000-0005-0000-0000-00000E270000}"/>
    <cellStyle name="40% - Énfasis1 3 3 2 5 3 2" xfId="10002" xr:uid="{00000000-0005-0000-0000-00000F270000}"/>
    <cellStyle name="40% - Énfasis1 3 3 2 5 4" xfId="10003" xr:uid="{00000000-0005-0000-0000-000010270000}"/>
    <cellStyle name="40% - Énfasis1 3 3 2 5 5" xfId="10004" xr:uid="{00000000-0005-0000-0000-000011270000}"/>
    <cellStyle name="40% - Énfasis1 3 3 2 6" xfId="10005" xr:uid="{00000000-0005-0000-0000-000012270000}"/>
    <cellStyle name="40% - Énfasis1 3 3 2 6 2" xfId="10006" xr:uid="{00000000-0005-0000-0000-000013270000}"/>
    <cellStyle name="40% - Énfasis1 3 3 2 7" xfId="10007" xr:uid="{00000000-0005-0000-0000-000014270000}"/>
    <cellStyle name="40% - Énfasis1 3 3 2 7 2" xfId="10008" xr:uid="{00000000-0005-0000-0000-000015270000}"/>
    <cellStyle name="40% - Énfasis1 3 3 2 8" xfId="10009" xr:uid="{00000000-0005-0000-0000-000016270000}"/>
    <cellStyle name="40% - Énfasis1 3 3 2 9" xfId="10010" xr:uid="{00000000-0005-0000-0000-000017270000}"/>
    <cellStyle name="40% - Énfasis1 3 3 3" xfId="10011" xr:uid="{00000000-0005-0000-0000-000018270000}"/>
    <cellStyle name="40% - Énfasis1 3 3 3 2" xfId="10012" xr:uid="{00000000-0005-0000-0000-000019270000}"/>
    <cellStyle name="40% - Énfasis1 3 3 3 2 2" xfId="10013" xr:uid="{00000000-0005-0000-0000-00001A270000}"/>
    <cellStyle name="40% - Énfasis1 3 3 3 2 2 2" xfId="10014" xr:uid="{00000000-0005-0000-0000-00001B270000}"/>
    <cellStyle name="40% - Énfasis1 3 3 3 2 2 2 2" xfId="10015" xr:uid="{00000000-0005-0000-0000-00001C270000}"/>
    <cellStyle name="40% - Énfasis1 3 3 3 2 2 2 2 2" xfId="10016" xr:uid="{00000000-0005-0000-0000-00001D270000}"/>
    <cellStyle name="40% - Énfasis1 3 3 3 2 2 2 3" xfId="10017" xr:uid="{00000000-0005-0000-0000-00001E270000}"/>
    <cellStyle name="40% - Énfasis1 3 3 3 2 2 2 4" xfId="10018" xr:uid="{00000000-0005-0000-0000-00001F270000}"/>
    <cellStyle name="40% - Énfasis1 3 3 3 2 2 3" xfId="10019" xr:uid="{00000000-0005-0000-0000-000020270000}"/>
    <cellStyle name="40% - Énfasis1 3 3 3 2 2 3 2" xfId="10020" xr:uid="{00000000-0005-0000-0000-000021270000}"/>
    <cellStyle name="40% - Énfasis1 3 3 3 2 2 4" xfId="10021" xr:uid="{00000000-0005-0000-0000-000022270000}"/>
    <cellStyle name="40% - Énfasis1 3 3 3 2 2 5" xfId="10022" xr:uid="{00000000-0005-0000-0000-000023270000}"/>
    <cellStyle name="40% - Énfasis1 3 3 3 2 3" xfId="10023" xr:uid="{00000000-0005-0000-0000-000024270000}"/>
    <cellStyle name="40% - Énfasis1 3 3 3 2 3 2" xfId="10024" xr:uid="{00000000-0005-0000-0000-000025270000}"/>
    <cellStyle name="40% - Énfasis1 3 3 3 2 3 2 2" xfId="10025" xr:uid="{00000000-0005-0000-0000-000026270000}"/>
    <cellStyle name="40% - Énfasis1 3 3 3 2 3 3" xfId="10026" xr:uid="{00000000-0005-0000-0000-000027270000}"/>
    <cellStyle name="40% - Énfasis1 3 3 3 2 3 3 2" xfId="10027" xr:uid="{00000000-0005-0000-0000-000028270000}"/>
    <cellStyle name="40% - Énfasis1 3 3 3 2 3 4" xfId="10028" xr:uid="{00000000-0005-0000-0000-000029270000}"/>
    <cellStyle name="40% - Énfasis1 3 3 3 2 3 5" xfId="10029" xr:uid="{00000000-0005-0000-0000-00002A270000}"/>
    <cellStyle name="40% - Énfasis1 3 3 3 2 4" xfId="10030" xr:uid="{00000000-0005-0000-0000-00002B270000}"/>
    <cellStyle name="40% - Énfasis1 3 3 3 2 4 2" xfId="10031" xr:uid="{00000000-0005-0000-0000-00002C270000}"/>
    <cellStyle name="40% - Énfasis1 3 3 3 2 5" xfId="10032" xr:uid="{00000000-0005-0000-0000-00002D270000}"/>
    <cellStyle name="40% - Énfasis1 3 3 3 2 5 2" xfId="10033" xr:uid="{00000000-0005-0000-0000-00002E270000}"/>
    <cellStyle name="40% - Énfasis1 3 3 3 2 6" xfId="10034" xr:uid="{00000000-0005-0000-0000-00002F270000}"/>
    <cellStyle name="40% - Énfasis1 3 3 3 2 7" xfId="10035" xr:uid="{00000000-0005-0000-0000-000030270000}"/>
    <cellStyle name="40% - Énfasis1 3 3 3 3" xfId="10036" xr:uid="{00000000-0005-0000-0000-000031270000}"/>
    <cellStyle name="40% - Énfasis1 3 3 3 3 2" xfId="10037" xr:uid="{00000000-0005-0000-0000-000032270000}"/>
    <cellStyle name="40% - Énfasis1 3 3 3 3 2 2" xfId="10038" xr:uid="{00000000-0005-0000-0000-000033270000}"/>
    <cellStyle name="40% - Énfasis1 3 3 3 3 2 2 2" xfId="10039" xr:uid="{00000000-0005-0000-0000-000034270000}"/>
    <cellStyle name="40% - Énfasis1 3 3 3 3 2 3" xfId="10040" xr:uid="{00000000-0005-0000-0000-000035270000}"/>
    <cellStyle name="40% - Énfasis1 3 3 3 3 2 4" xfId="10041" xr:uid="{00000000-0005-0000-0000-000036270000}"/>
    <cellStyle name="40% - Énfasis1 3 3 3 3 3" xfId="10042" xr:uid="{00000000-0005-0000-0000-000037270000}"/>
    <cellStyle name="40% - Énfasis1 3 3 3 3 3 2" xfId="10043" xr:uid="{00000000-0005-0000-0000-000038270000}"/>
    <cellStyle name="40% - Énfasis1 3 3 3 3 4" xfId="10044" xr:uid="{00000000-0005-0000-0000-000039270000}"/>
    <cellStyle name="40% - Énfasis1 3 3 3 3 5" xfId="10045" xr:uid="{00000000-0005-0000-0000-00003A270000}"/>
    <cellStyle name="40% - Énfasis1 3 3 3 4" xfId="10046" xr:uid="{00000000-0005-0000-0000-00003B270000}"/>
    <cellStyle name="40% - Énfasis1 3 3 3 4 2" xfId="10047" xr:uid="{00000000-0005-0000-0000-00003C270000}"/>
    <cellStyle name="40% - Énfasis1 3 3 3 4 2 2" xfId="10048" xr:uid="{00000000-0005-0000-0000-00003D270000}"/>
    <cellStyle name="40% - Énfasis1 3 3 3 4 3" xfId="10049" xr:uid="{00000000-0005-0000-0000-00003E270000}"/>
    <cellStyle name="40% - Énfasis1 3 3 3 4 3 2" xfId="10050" xr:uid="{00000000-0005-0000-0000-00003F270000}"/>
    <cellStyle name="40% - Énfasis1 3 3 3 4 4" xfId="10051" xr:uid="{00000000-0005-0000-0000-000040270000}"/>
    <cellStyle name="40% - Énfasis1 3 3 3 4 5" xfId="10052" xr:uid="{00000000-0005-0000-0000-000041270000}"/>
    <cellStyle name="40% - Énfasis1 3 3 3 5" xfId="10053" xr:uid="{00000000-0005-0000-0000-000042270000}"/>
    <cellStyle name="40% - Énfasis1 3 3 3 5 2" xfId="10054" xr:uid="{00000000-0005-0000-0000-000043270000}"/>
    <cellStyle name="40% - Énfasis1 3 3 3 6" xfId="10055" xr:uid="{00000000-0005-0000-0000-000044270000}"/>
    <cellStyle name="40% - Énfasis1 3 3 3 6 2" xfId="10056" xr:uid="{00000000-0005-0000-0000-000045270000}"/>
    <cellStyle name="40% - Énfasis1 3 3 3 7" xfId="10057" xr:uid="{00000000-0005-0000-0000-000046270000}"/>
    <cellStyle name="40% - Énfasis1 3 3 3 8" xfId="10058" xr:uid="{00000000-0005-0000-0000-000047270000}"/>
    <cellStyle name="40% - Énfasis1 3 3 4" xfId="10059" xr:uid="{00000000-0005-0000-0000-000048270000}"/>
    <cellStyle name="40% - Énfasis1 3 3 4 2" xfId="10060" xr:uid="{00000000-0005-0000-0000-000049270000}"/>
    <cellStyle name="40% - Énfasis1 3 3 4 2 2" xfId="10061" xr:uid="{00000000-0005-0000-0000-00004A270000}"/>
    <cellStyle name="40% - Énfasis1 3 3 4 2 2 2" xfId="10062" xr:uid="{00000000-0005-0000-0000-00004B270000}"/>
    <cellStyle name="40% - Énfasis1 3 3 4 2 2 2 2" xfId="10063" xr:uid="{00000000-0005-0000-0000-00004C270000}"/>
    <cellStyle name="40% - Énfasis1 3 3 4 2 2 3" xfId="10064" xr:uid="{00000000-0005-0000-0000-00004D270000}"/>
    <cellStyle name="40% - Énfasis1 3 3 4 2 2 4" xfId="10065" xr:uid="{00000000-0005-0000-0000-00004E270000}"/>
    <cellStyle name="40% - Énfasis1 3 3 4 2 3" xfId="10066" xr:uid="{00000000-0005-0000-0000-00004F270000}"/>
    <cellStyle name="40% - Énfasis1 3 3 4 2 3 2" xfId="10067" xr:uid="{00000000-0005-0000-0000-000050270000}"/>
    <cellStyle name="40% - Énfasis1 3 3 4 2 4" xfId="10068" xr:uid="{00000000-0005-0000-0000-000051270000}"/>
    <cellStyle name="40% - Énfasis1 3 3 4 2 5" xfId="10069" xr:uid="{00000000-0005-0000-0000-000052270000}"/>
    <cellStyle name="40% - Énfasis1 3 3 4 3" xfId="10070" xr:uid="{00000000-0005-0000-0000-000053270000}"/>
    <cellStyle name="40% - Énfasis1 3 3 4 3 2" xfId="10071" xr:uid="{00000000-0005-0000-0000-000054270000}"/>
    <cellStyle name="40% - Énfasis1 3 3 4 3 2 2" xfId="10072" xr:uid="{00000000-0005-0000-0000-000055270000}"/>
    <cellStyle name="40% - Énfasis1 3 3 4 3 3" xfId="10073" xr:uid="{00000000-0005-0000-0000-000056270000}"/>
    <cellStyle name="40% - Énfasis1 3 3 4 3 3 2" xfId="10074" xr:uid="{00000000-0005-0000-0000-000057270000}"/>
    <cellStyle name="40% - Énfasis1 3 3 4 3 4" xfId="10075" xr:uid="{00000000-0005-0000-0000-000058270000}"/>
    <cellStyle name="40% - Énfasis1 3 3 4 3 5" xfId="10076" xr:uid="{00000000-0005-0000-0000-000059270000}"/>
    <cellStyle name="40% - Énfasis1 3 3 4 4" xfId="10077" xr:uid="{00000000-0005-0000-0000-00005A270000}"/>
    <cellStyle name="40% - Énfasis1 3 3 4 4 2" xfId="10078" xr:uid="{00000000-0005-0000-0000-00005B270000}"/>
    <cellStyle name="40% - Énfasis1 3 3 4 5" xfId="10079" xr:uid="{00000000-0005-0000-0000-00005C270000}"/>
    <cellStyle name="40% - Énfasis1 3 3 4 5 2" xfId="10080" xr:uid="{00000000-0005-0000-0000-00005D270000}"/>
    <cellStyle name="40% - Énfasis1 3 3 4 6" xfId="10081" xr:uid="{00000000-0005-0000-0000-00005E270000}"/>
    <cellStyle name="40% - Énfasis1 3 3 4 7" xfId="10082" xr:uid="{00000000-0005-0000-0000-00005F270000}"/>
    <cellStyle name="40% - Énfasis1 3 3 5" xfId="10083" xr:uid="{00000000-0005-0000-0000-000060270000}"/>
    <cellStyle name="40% - Énfasis1 3 3 5 2" xfId="10084" xr:uid="{00000000-0005-0000-0000-000061270000}"/>
    <cellStyle name="40% - Énfasis1 3 3 5 2 2" xfId="10085" xr:uid="{00000000-0005-0000-0000-000062270000}"/>
    <cellStyle name="40% - Énfasis1 3 3 5 2 2 2" xfId="10086" xr:uid="{00000000-0005-0000-0000-000063270000}"/>
    <cellStyle name="40% - Énfasis1 3 3 5 2 3" xfId="10087" xr:uid="{00000000-0005-0000-0000-000064270000}"/>
    <cellStyle name="40% - Énfasis1 3 3 5 2 4" xfId="10088" xr:uid="{00000000-0005-0000-0000-000065270000}"/>
    <cellStyle name="40% - Énfasis1 3 3 5 3" xfId="10089" xr:uid="{00000000-0005-0000-0000-000066270000}"/>
    <cellStyle name="40% - Énfasis1 3 3 5 3 2" xfId="10090" xr:uid="{00000000-0005-0000-0000-000067270000}"/>
    <cellStyle name="40% - Énfasis1 3 3 5 4" xfId="10091" xr:uid="{00000000-0005-0000-0000-000068270000}"/>
    <cellStyle name="40% - Énfasis1 3 3 5 5" xfId="10092" xr:uid="{00000000-0005-0000-0000-000069270000}"/>
    <cellStyle name="40% - Énfasis1 3 3 6" xfId="10093" xr:uid="{00000000-0005-0000-0000-00006A270000}"/>
    <cellStyle name="40% - Énfasis1 3 3 6 2" xfId="10094" xr:uid="{00000000-0005-0000-0000-00006B270000}"/>
    <cellStyle name="40% - Énfasis1 3 3 6 2 2" xfId="10095" xr:uid="{00000000-0005-0000-0000-00006C270000}"/>
    <cellStyle name="40% - Énfasis1 3 3 6 3" xfId="10096" xr:uid="{00000000-0005-0000-0000-00006D270000}"/>
    <cellStyle name="40% - Énfasis1 3 3 6 3 2" xfId="10097" xr:uid="{00000000-0005-0000-0000-00006E270000}"/>
    <cellStyle name="40% - Énfasis1 3 3 6 4" xfId="10098" xr:uid="{00000000-0005-0000-0000-00006F270000}"/>
    <cellStyle name="40% - Énfasis1 3 3 6 5" xfId="10099" xr:uid="{00000000-0005-0000-0000-000070270000}"/>
    <cellStyle name="40% - Énfasis1 3 3 7" xfId="10100" xr:uid="{00000000-0005-0000-0000-000071270000}"/>
    <cellStyle name="40% - Énfasis1 3 3 7 2" xfId="10101" xr:uid="{00000000-0005-0000-0000-000072270000}"/>
    <cellStyle name="40% - Énfasis1 3 3 8" xfId="10102" xr:uid="{00000000-0005-0000-0000-000073270000}"/>
    <cellStyle name="40% - Énfasis1 3 3 8 2" xfId="10103" xr:uid="{00000000-0005-0000-0000-000074270000}"/>
    <cellStyle name="40% - Énfasis1 3 3 9" xfId="10104" xr:uid="{00000000-0005-0000-0000-000075270000}"/>
    <cellStyle name="40% - Énfasis1 3 4" xfId="10105" xr:uid="{00000000-0005-0000-0000-000076270000}"/>
    <cellStyle name="40% - Énfasis1 3 4 2" xfId="10106" xr:uid="{00000000-0005-0000-0000-000077270000}"/>
    <cellStyle name="40% - Énfasis1 3 4 2 2" xfId="10107" xr:uid="{00000000-0005-0000-0000-000078270000}"/>
    <cellStyle name="40% - Énfasis1 3 4 2 2 2" xfId="10108" xr:uid="{00000000-0005-0000-0000-000079270000}"/>
    <cellStyle name="40% - Énfasis1 3 4 2 2 2 2" xfId="10109" xr:uid="{00000000-0005-0000-0000-00007A270000}"/>
    <cellStyle name="40% - Énfasis1 3 4 2 2 2 2 2" xfId="10110" xr:uid="{00000000-0005-0000-0000-00007B270000}"/>
    <cellStyle name="40% - Énfasis1 3 4 2 2 2 2 2 2" xfId="10111" xr:uid="{00000000-0005-0000-0000-00007C270000}"/>
    <cellStyle name="40% - Énfasis1 3 4 2 2 2 2 3" xfId="10112" xr:uid="{00000000-0005-0000-0000-00007D270000}"/>
    <cellStyle name="40% - Énfasis1 3 4 2 2 2 2 4" xfId="10113" xr:uid="{00000000-0005-0000-0000-00007E270000}"/>
    <cellStyle name="40% - Énfasis1 3 4 2 2 2 3" xfId="10114" xr:uid="{00000000-0005-0000-0000-00007F270000}"/>
    <cellStyle name="40% - Énfasis1 3 4 2 2 2 3 2" xfId="10115" xr:uid="{00000000-0005-0000-0000-000080270000}"/>
    <cellStyle name="40% - Énfasis1 3 4 2 2 2 4" xfId="10116" xr:uid="{00000000-0005-0000-0000-000081270000}"/>
    <cellStyle name="40% - Énfasis1 3 4 2 2 2 5" xfId="10117" xr:uid="{00000000-0005-0000-0000-000082270000}"/>
    <cellStyle name="40% - Énfasis1 3 4 2 2 3" xfId="10118" xr:uid="{00000000-0005-0000-0000-000083270000}"/>
    <cellStyle name="40% - Énfasis1 3 4 2 2 3 2" xfId="10119" xr:uid="{00000000-0005-0000-0000-000084270000}"/>
    <cellStyle name="40% - Énfasis1 3 4 2 2 3 2 2" xfId="10120" xr:uid="{00000000-0005-0000-0000-000085270000}"/>
    <cellStyle name="40% - Énfasis1 3 4 2 2 3 3" xfId="10121" xr:uid="{00000000-0005-0000-0000-000086270000}"/>
    <cellStyle name="40% - Énfasis1 3 4 2 2 3 4" xfId="10122" xr:uid="{00000000-0005-0000-0000-000087270000}"/>
    <cellStyle name="40% - Énfasis1 3 4 2 2 4" xfId="10123" xr:uid="{00000000-0005-0000-0000-000088270000}"/>
    <cellStyle name="40% - Énfasis1 3 4 2 2 4 2" xfId="10124" xr:uid="{00000000-0005-0000-0000-000089270000}"/>
    <cellStyle name="40% - Énfasis1 3 4 2 2 5" xfId="10125" xr:uid="{00000000-0005-0000-0000-00008A270000}"/>
    <cellStyle name="40% - Énfasis1 3 4 2 2 6" xfId="10126" xr:uid="{00000000-0005-0000-0000-00008B270000}"/>
    <cellStyle name="40% - Énfasis1 3 4 2 3" xfId="10127" xr:uid="{00000000-0005-0000-0000-00008C270000}"/>
    <cellStyle name="40% - Énfasis1 3 4 2 3 2" xfId="10128" xr:uid="{00000000-0005-0000-0000-00008D270000}"/>
    <cellStyle name="40% - Énfasis1 3 4 2 3 2 2" xfId="10129" xr:uid="{00000000-0005-0000-0000-00008E270000}"/>
    <cellStyle name="40% - Énfasis1 3 4 2 3 2 2 2" xfId="10130" xr:uid="{00000000-0005-0000-0000-00008F270000}"/>
    <cellStyle name="40% - Énfasis1 3 4 2 3 2 3" xfId="10131" xr:uid="{00000000-0005-0000-0000-000090270000}"/>
    <cellStyle name="40% - Énfasis1 3 4 2 3 2 4" xfId="10132" xr:uid="{00000000-0005-0000-0000-000091270000}"/>
    <cellStyle name="40% - Énfasis1 3 4 2 3 3" xfId="10133" xr:uid="{00000000-0005-0000-0000-000092270000}"/>
    <cellStyle name="40% - Énfasis1 3 4 2 3 3 2" xfId="10134" xr:uid="{00000000-0005-0000-0000-000093270000}"/>
    <cellStyle name="40% - Énfasis1 3 4 2 3 4" xfId="10135" xr:uid="{00000000-0005-0000-0000-000094270000}"/>
    <cellStyle name="40% - Énfasis1 3 4 2 3 5" xfId="10136" xr:uid="{00000000-0005-0000-0000-000095270000}"/>
    <cellStyle name="40% - Énfasis1 3 4 2 4" xfId="10137" xr:uid="{00000000-0005-0000-0000-000096270000}"/>
    <cellStyle name="40% - Énfasis1 3 4 2 4 2" xfId="10138" xr:uid="{00000000-0005-0000-0000-000097270000}"/>
    <cellStyle name="40% - Énfasis1 3 4 2 4 2 2" xfId="10139" xr:uid="{00000000-0005-0000-0000-000098270000}"/>
    <cellStyle name="40% - Énfasis1 3 4 2 4 3" xfId="10140" xr:uid="{00000000-0005-0000-0000-000099270000}"/>
    <cellStyle name="40% - Énfasis1 3 4 2 4 4" xfId="10141" xr:uid="{00000000-0005-0000-0000-00009A270000}"/>
    <cellStyle name="40% - Énfasis1 3 4 2 5" xfId="10142" xr:uid="{00000000-0005-0000-0000-00009B270000}"/>
    <cellStyle name="40% - Énfasis1 3 4 2 5 2" xfId="10143" xr:uid="{00000000-0005-0000-0000-00009C270000}"/>
    <cellStyle name="40% - Énfasis1 3 4 2 6" xfId="10144" xr:uid="{00000000-0005-0000-0000-00009D270000}"/>
    <cellStyle name="40% - Énfasis1 3 4 2 7" xfId="10145" xr:uid="{00000000-0005-0000-0000-00009E270000}"/>
    <cellStyle name="40% - Énfasis1 3 4 3" xfId="10146" xr:uid="{00000000-0005-0000-0000-00009F270000}"/>
    <cellStyle name="40% - Énfasis1 3 4 3 2" xfId="10147" xr:uid="{00000000-0005-0000-0000-0000A0270000}"/>
    <cellStyle name="40% - Énfasis1 3 4 3 2 2" xfId="10148" xr:uid="{00000000-0005-0000-0000-0000A1270000}"/>
    <cellStyle name="40% - Énfasis1 3 4 3 2 2 2" xfId="10149" xr:uid="{00000000-0005-0000-0000-0000A2270000}"/>
    <cellStyle name="40% - Énfasis1 3 4 3 2 2 2 2" xfId="10150" xr:uid="{00000000-0005-0000-0000-0000A3270000}"/>
    <cellStyle name="40% - Énfasis1 3 4 3 2 2 3" xfId="10151" xr:uid="{00000000-0005-0000-0000-0000A4270000}"/>
    <cellStyle name="40% - Énfasis1 3 4 3 2 2 4" xfId="10152" xr:uid="{00000000-0005-0000-0000-0000A5270000}"/>
    <cellStyle name="40% - Énfasis1 3 4 3 2 3" xfId="10153" xr:uid="{00000000-0005-0000-0000-0000A6270000}"/>
    <cellStyle name="40% - Énfasis1 3 4 3 2 3 2" xfId="10154" xr:uid="{00000000-0005-0000-0000-0000A7270000}"/>
    <cellStyle name="40% - Énfasis1 3 4 3 2 4" xfId="10155" xr:uid="{00000000-0005-0000-0000-0000A8270000}"/>
    <cellStyle name="40% - Énfasis1 3 4 3 2 5" xfId="10156" xr:uid="{00000000-0005-0000-0000-0000A9270000}"/>
    <cellStyle name="40% - Énfasis1 3 4 3 3" xfId="10157" xr:uid="{00000000-0005-0000-0000-0000AA270000}"/>
    <cellStyle name="40% - Énfasis1 3 4 3 3 2" xfId="10158" xr:uid="{00000000-0005-0000-0000-0000AB270000}"/>
    <cellStyle name="40% - Énfasis1 3 4 3 3 2 2" xfId="10159" xr:uid="{00000000-0005-0000-0000-0000AC270000}"/>
    <cellStyle name="40% - Énfasis1 3 4 3 3 3" xfId="10160" xr:uid="{00000000-0005-0000-0000-0000AD270000}"/>
    <cellStyle name="40% - Énfasis1 3 4 3 3 3 2" xfId="10161" xr:uid="{00000000-0005-0000-0000-0000AE270000}"/>
    <cellStyle name="40% - Énfasis1 3 4 3 3 4" xfId="10162" xr:uid="{00000000-0005-0000-0000-0000AF270000}"/>
    <cellStyle name="40% - Énfasis1 3 4 3 3 5" xfId="10163" xr:uid="{00000000-0005-0000-0000-0000B0270000}"/>
    <cellStyle name="40% - Énfasis1 3 4 3 4" xfId="10164" xr:uid="{00000000-0005-0000-0000-0000B1270000}"/>
    <cellStyle name="40% - Énfasis1 3 4 3 4 2" xfId="10165" xr:uid="{00000000-0005-0000-0000-0000B2270000}"/>
    <cellStyle name="40% - Énfasis1 3 4 3 5" xfId="10166" xr:uid="{00000000-0005-0000-0000-0000B3270000}"/>
    <cellStyle name="40% - Énfasis1 3 4 3 5 2" xfId="10167" xr:uid="{00000000-0005-0000-0000-0000B4270000}"/>
    <cellStyle name="40% - Énfasis1 3 4 3 6" xfId="10168" xr:uid="{00000000-0005-0000-0000-0000B5270000}"/>
    <cellStyle name="40% - Énfasis1 3 4 3 7" xfId="10169" xr:uid="{00000000-0005-0000-0000-0000B6270000}"/>
    <cellStyle name="40% - Énfasis1 3 4 4" xfId="10170" xr:uid="{00000000-0005-0000-0000-0000B7270000}"/>
    <cellStyle name="40% - Énfasis1 3 4 4 2" xfId="10171" xr:uid="{00000000-0005-0000-0000-0000B8270000}"/>
    <cellStyle name="40% - Énfasis1 3 4 4 2 2" xfId="10172" xr:uid="{00000000-0005-0000-0000-0000B9270000}"/>
    <cellStyle name="40% - Énfasis1 3 4 4 2 2 2" xfId="10173" xr:uid="{00000000-0005-0000-0000-0000BA270000}"/>
    <cellStyle name="40% - Énfasis1 3 4 4 2 3" xfId="10174" xr:uid="{00000000-0005-0000-0000-0000BB270000}"/>
    <cellStyle name="40% - Énfasis1 3 4 4 2 4" xfId="10175" xr:uid="{00000000-0005-0000-0000-0000BC270000}"/>
    <cellStyle name="40% - Énfasis1 3 4 4 3" xfId="10176" xr:uid="{00000000-0005-0000-0000-0000BD270000}"/>
    <cellStyle name="40% - Énfasis1 3 4 4 3 2" xfId="10177" xr:uid="{00000000-0005-0000-0000-0000BE270000}"/>
    <cellStyle name="40% - Énfasis1 3 4 4 4" xfId="10178" xr:uid="{00000000-0005-0000-0000-0000BF270000}"/>
    <cellStyle name="40% - Énfasis1 3 4 4 5" xfId="10179" xr:uid="{00000000-0005-0000-0000-0000C0270000}"/>
    <cellStyle name="40% - Énfasis1 3 4 5" xfId="10180" xr:uid="{00000000-0005-0000-0000-0000C1270000}"/>
    <cellStyle name="40% - Énfasis1 3 4 5 2" xfId="10181" xr:uid="{00000000-0005-0000-0000-0000C2270000}"/>
    <cellStyle name="40% - Énfasis1 3 4 5 2 2" xfId="10182" xr:uid="{00000000-0005-0000-0000-0000C3270000}"/>
    <cellStyle name="40% - Énfasis1 3 4 5 3" xfId="10183" xr:uid="{00000000-0005-0000-0000-0000C4270000}"/>
    <cellStyle name="40% - Énfasis1 3 4 5 3 2" xfId="10184" xr:uid="{00000000-0005-0000-0000-0000C5270000}"/>
    <cellStyle name="40% - Énfasis1 3 4 5 4" xfId="10185" xr:uid="{00000000-0005-0000-0000-0000C6270000}"/>
    <cellStyle name="40% - Énfasis1 3 4 5 5" xfId="10186" xr:uid="{00000000-0005-0000-0000-0000C7270000}"/>
    <cellStyle name="40% - Énfasis1 3 4 6" xfId="10187" xr:uid="{00000000-0005-0000-0000-0000C8270000}"/>
    <cellStyle name="40% - Énfasis1 3 4 6 2" xfId="10188" xr:uid="{00000000-0005-0000-0000-0000C9270000}"/>
    <cellStyle name="40% - Énfasis1 3 4 7" xfId="10189" xr:uid="{00000000-0005-0000-0000-0000CA270000}"/>
    <cellStyle name="40% - Énfasis1 3 4 7 2" xfId="10190" xr:uid="{00000000-0005-0000-0000-0000CB270000}"/>
    <cellStyle name="40% - Énfasis1 3 4 8" xfId="10191" xr:uid="{00000000-0005-0000-0000-0000CC270000}"/>
    <cellStyle name="40% - Énfasis1 3 4 9" xfId="10192" xr:uid="{00000000-0005-0000-0000-0000CD270000}"/>
    <cellStyle name="40% - Énfasis1 3 5" xfId="10193" xr:uid="{00000000-0005-0000-0000-0000CE270000}"/>
    <cellStyle name="40% - Énfasis1 3 5 2" xfId="10194" xr:uid="{00000000-0005-0000-0000-0000CF270000}"/>
    <cellStyle name="40% - Énfasis1 3 5 2 2" xfId="10195" xr:uid="{00000000-0005-0000-0000-0000D0270000}"/>
    <cellStyle name="40% - Énfasis1 3 5 2 2 2" xfId="10196" xr:uid="{00000000-0005-0000-0000-0000D1270000}"/>
    <cellStyle name="40% - Énfasis1 3 5 2 2 2 2" xfId="10197" xr:uid="{00000000-0005-0000-0000-0000D2270000}"/>
    <cellStyle name="40% - Énfasis1 3 5 2 2 2 2 2" xfId="10198" xr:uid="{00000000-0005-0000-0000-0000D3270000}"/>
    <cellStyle name="40% - Énfasis1 3 5 2 2 2 3" xfId="10199" xr:uid="{00000000-0005-0000-0000-0000D4270000}"/>
    <cellStyle name="40% - Énfasis1 3 5 2 2 2 4" xfId="10200" xr:uid="{00000000-0005-0000-0000-0000D5270000}"/>
    <cellStyle name="40% - Énfasis1 3 5 2 2 3" xfId="10201" xr:uid="{00000000-0005-0000-0000-0000D6270000}"/>
    <cellStyle name="40% - Énfasis1 3 5 2 2 3 2" xfId="10202" xr:uid="{00000000-0005-0000-0000-0000D7270000}"/>
    <cellStyle name="40% - Énfasis1 3 5 2 2 4" xfId="10203" xr:uid="{00000000-0005-0000-0000-0000D8270000}"/>
    <cellStyle name="40% - Énfasis1 3 5 2 2 5" xfId="10204" xr:uid="{00000000-0005-0000-0000-0000D9270000}"/>
    <cellStyle name="40% - Énfasis1 3 5 2 3" xfId="10205" xr:uid="{00000000-0005-0000-0000-0000DA270000}"/>
    <cellStyle name="40% - Énfasis1 3 5 2 3 2" xfId="10206" xr:uid="{00000000-0005-0000-0000-0000DB270000}"/>
    <cellStyle name="40% - Énfasis1 3 5 2 3 2 2" xfId="10207" xr:uid="{00000000-0005-0000-0000-0000DC270000}"/>
    <cellStyle name="40% - Énfasis1 3 5 2 3 3" xfId="10208" xr:uid="{00000000-0005-0000-0000-0000DD270000}"/>
    <cellStyle name="40% - Énfasis1 3 5 2 3 3 2" xfId="10209" xr:uid="{00000000-0005-0000-0000-0000DE270000}"/>
    <cellStyle name="40% - Énfasis1 3 5 2 3 4" xfId="10210" xr:uid="{00000000-0005-0000-0000-0000DF270000}"/>
    <cellStyle name="40% - Énfasis1 3 5 2 3 5" xfId="10211" xr:uid="{00000000-0005-0000-0000-0000E0270000}"/>
    <cellStyle name="40% - Énfasis1 3 5 2 4" xfId="10212" xr:uid="{00000000-0005-0000-0000-0000E1270000}"/>
    <cellStyle name="40% - Énfasis1 3 5 2 4 2" xfId="10213" xr:uid="{00000000-0005-0000-0000-0000E2270000}"/>
    <cellStyle name="40% - Énfasis1 3 5 2 5" xfId="10214" xr:uid="{00000000-0005-0000-0000-0000E3270000}"/>
    <cellStyle name="40% - Énfasis1 3 5 2 5 2" xfId="10215" xr:uid="{00000000-0005-0000-0000-0000E4270000}"/>
    <cellStyle name="40% - Énfasis1 3 5 2 6" xfId="10216" xr:uid="{00000000-0005-0000-0000-0000E5270000}"/>
    <cellStyle name="40% - Énfasis1 3 5 2 7" xfId="10217" xr:uid="{00000000-0005-0000-0000-0000E6270000}"/>
    <cellStyle name="40% - Énfasis1 3 5 3" xfId="10218" xr:uid="{00000000-0005-0000-0000-0000E7270000}"/>
    <cellStyle name="40% - Énfasis1 3 5 3 2" xfId="10219" xr:uid="{00000000-0005-0000-0000-0000E8270000}"/>
    <cellStyle name="40% - Énfasis1 3 5 3 2 2" xfId="10220" xr:uid="{00000000-0005-0000-0000-0000E9270000}"/>
    <cellStyle name="40% - Énfasis1 3 5 3 2 2 2" xfId="10221" xr:uid="{00000000-0005-0000-0000-0000EA270000}"/>
    <cellStyle name="40% - Énfasis1 3 5 3 2 3" xfId="10222" xr:uid="{00000000-0005-0000-0000-0000EB270000}"/>
    <cellStyle name="40% - Énfasis1 3 5 3 2 4" xfId="10223" xr:uid="{00000000-0005-0000-0000-0000EC270000}"/>
    <cellStyle name="40% - Énfasis1 3 5 3 3" xfId="10224" xr:uid="{00000000-0005-0000-0000-0000ED270000}"/>
    <cellStyle name="40% - Énfasis1 3 5 3 3 2" xfId="10225" xr:uid="{00000000-0005-0000-0000-0000EE270000}"/>
    <cellStyle name="40% - Énfasis1 3 5 3 4" xfId="10226" xr:uid="{00000000-0005-0000-0000-0000EF270000}"/>
    <cellStyle name="40% - Énfasis1 3 5 3 5" xfId="10227" xr:uid="{00000000-0005-0000-0000-0000F0270000}"/>
    <cellStyle name="40% - Énfasis1 3 5 4" xfId="10228" xr:uid="{00000000-0005-0000-0000-0000F1270000}"/>
    <cellStyle name="40% - Énfasis1 3 5 4 2" xfId="10229" xr:uid="{00000000-0005-0000-0000-0000F2270000}"/>
    <cellStyle name="40% - Énfasis1 3 5 4 2 2" xfId="10230" xr:uid="{00000000-0005-0000-0000-0000F3270000}"/>
    <cellStyle name="40% - Énfasis1 3 5 4 3" xfId="10231" xr:uid="{00000000-0005-0000-0000-0000F4270000}"/>
    <cellStyle name="40% - Énfasis1 3 5 4 3 2" xfId="10232" xr:uid="{00000000-0005-0000-0000-0000F5270000}"/>
    <cellStyle name="40% - Énfasis1 3 5 4 4" xfId="10233" xr:uid="{00000000-0005-0000-0000-0000F6270000}"/>
    <cellStyle name="40% - Énfasis1 3 5 4 5" xfId="10234" xr:uid="{00000000-0005-0000-0000-0000F7270000}"/>
    <cellStyle name="40% - Énfasis1 3 5 5" xfId="10235" xr:uid="{00000000-0005-0000-0000-0000F8270000}"/>
    <cellStyle name="40% - Énfasis1 3 5 5 2" xfId="10236" xr:uid="{00000000-0005-0000-0000-0000F9270000}"/>
    <cellStyle name="40% - Énfasis1 3 5 6" xfId="10237" xr:uid="{00000000-0005-0000-0000-0000FA270000}"/>
    <cellStyle name="40% - Énfasis1 3 5 6 2" xfId="10238" xr:uid="{00000000-0005-0000-0000-0000FB270000}"/>
    <cellStyle name="40% - Énfasis1 3 5 7" xfId="10239" xr:uid="{00000000-0005-0000-0000-0000FC270000}"/>
    <cellStyle name="40% - Énfasis1 3 5 8" xfId="10240" xr:uid="{00000000-0005-0000-0000-0000FD270000}"/>
    <cellStyle name="40% - Énfasis1 3 6" xfId="10241" xr:uid="{00000000-0005-0000-0000-0000FE270000}"/>
    <cellStyle name="40% - Énfasis1 3 6 2" xfId="10242" xr:uid="{00000000-0005-0000-0000-0000FF270000}"/>
    <cellStyle name="40% - Énfasis1 3 6 2 2" xfId="10243" xr:uid="{00000000-0005-0000-0000-000000280000}"/>
    <cellStyle name="40% - Énfasis1 3 6 2 2 2" xfId="10244" xr:uid="{00000000-0005-0000-0000-000001280000}"/>
    <cellStyle name="40% - Énfasis1 3 6 2 2 2 2" xfId="10245" xr:uid="{00000000-0005-0000-0000-000002280000}"/>
    <cellStyle name="40% - Énfasis1 3 6 2 2 3" xfId="10246" xr:uid="{00000000-0005-0000-0000-000003280000}"/>
    <cellStyle name="40% - Énfasis1 3 6 2 2 4" xfId="10247" xr:uid="{00000000-0005-0000-0000-000004280000}"/>
    <cellStyle name="40% - Énfasis1 3 6 2 3" xfId="10248" xr:uid="{00000000-0005-0000-0000-000005280000}"/>
    <cellStyle name="40% - Énfasis1 3 6 2 3 2" xfId="10249" xr:uid="{00000000-0005-0000-0000-000006280000}"/>
    <cellStyle name="40% - Énfasis1 3 6 2 4" xfId="10250" xr:uid="{00000000-0005-0000-0000-000007280000}"/>
    <cellStyle name="40% - Énfasis1 3 6 2 5" xfId="10251" xr:uid="{00000000-0005-0000-0000-000008280000}"/>
    <cellStyle name="40% - Énfasis1 3 6 3" xfId="10252" xr:uid="{00000000-0005-0000-0000-000009280000}"/>
    <cellStyle name="40% - Énfasis1 3 6 3 2" xfId="10253" xr:uid="{00000000-0005-0000-0000-00000A280000}"/>
    <cellStyle name="40% - Énfasis1 3 6 3 2 2" xfId="10254" xr:uid="{00000000-0005-0000-0000-00000B280000}"/>
    <cellStyle name="40% - Énfasis1 3 6 3 3" xfId="10255" xr:uid="{00000000-0005-0000-0000-00000C280000}"/>
    <cellStyle name="40% - Énfasis1 3 6 3 3 2" xfId="10256" xr:uid="{00000000-0005-0000-0000-00000D280000}"/>
    <cellStyle name="40% - Énfasis1 3 6 3 4" xfId="10257" xr:uid="{00000000-0005-0000-0000-00000E280000}"/>
    <cellStyle name="40% - Énfasis1 3 6 3 5" xfId="10258" xr:uid="{00000000-0005-0000-0000-00000F280000}"/>
    <cellStyle name="40% - Énfasis1 3 6 4" xfId="10259" xr:uid="{00000000-0005-0000-0000-000010280000}"/>
    <cellStyle name="40% - Énfasis1 3 6 4 2" xfId="10260" xr:uid="{00000000-0005-0000-0000-000011280000}"/>
    <cellStyle name="40% - Énfasis1 3 6 5" xfId="10261" xr:uid="{00000000-0005-0000-0000-000012280000}"/>
    <cellStyle name="40% - Énfasis1 3 6 5 2" xfId="10262" xr:uid="{00000000-0005-0000-0000-000013280000}"/>
    <cellStyle name="40% - Énfasis1 3 6 6" xfId="10263" xr:uid="{00000000-0005-0000-0000-000014280000}"/>
    <cellStyle name="40% - Énfasis1 3 6 7" xfId="10264" xr:uid="{00000000-0005-0000-0000-000015280000}"/>
    <cellStyle name="40% - Énfasis1 3 7" xfId="10265" xr:uid="{00000000-0005-0000-0000-000016280000}"/>
    <cellStyle name="40% - Énfasis1 3 7 2" xfId="10266" xr:uid="{00000000-0005-0000-0000-000017280000}"/>
    <cellStyle name="40% - Énfasis1 3 7 2 2" xfId="10267" xr:uid="{00000000-0005-0000-0000-000018280000}"/>
    <cellStyle name="40% - Énfasis1 3 7 2 2 2" xfId="10268" xr:uid="{00000000-0005-0000-0000-000019280000}"/>
    <cellStyle name="40% - Énfasis1 3 7 2 3" xfId="10269" xr:uid="{00000000-0005-0000-0000-00001A280000}"/>
    <cellStyle name="40% - Énfasis1 3 7 2 4" xfId="10270" xr:uid="{00000000-0005-0000-0000-00001B280000}"/>
    <cellStyle name="40% - Énfasis1 3 7 3" xfId="10271" xr:uid="{00000000-0005-0000-0000-00001C280000}"/>
    <cellStyle name="40% - Énfasis1 3 7 3 2" xfId="10272" xr:uid="{00000000-0005-0000-0000-00001D280000}"/>
    <cellStyle name="40% - Énfasis1 3 7 4" xfId="10273" xr:uid="{00000000-0005-0000-0000-00001E280000}"/>
    <cellStyle name="40% - Énfasis1 3 7 5" xfId="10274" xr:uid="{00000000-0005-0000-0000-00001F280000}"/>
    <cellStyle name="40% - Énfasis1 3 8" xfId="10275" xr:uid="{00000000-0005-0000-0000-000020280000}"/>
    <cellStyle name="40% - Énfasis1 3 8 2" xfId="10276" xr:uid="{00000000-0005-0000-0000-000021280000}"/>
    <cellStyle name="40% - Énfasis1 3 8 2 2" xfId="10277" xr:uid="{00000000-0005-0000-0000-000022280000}"/>
    <cellStyle name="40% - Énfasis1 3 8 3" xfId="10278" xr:uid="{00000000-0005-0000-0000-000023280000}"/>
    <cellStyle name="40% - Énfasis1 3 8 3 2" xfId="10279" xr:uid="{00000000-0005-0000-0000-000024280000}"/>
    <cellStyle name="40% - Énfasis1 3 8 4" xfId="10280" xr:uid="{00000000-0005-0000-0000-000025280000}"/>
    <cellStyle name="40% - Énfasis1 3 8 5" xfId="10281" xr:uid="{00000000-0005-0000-0000-000026280000}"/>
    <cellStyle name="40% - Énfasis1 3 9" xfId="10282" xr:uid="{00000000-0005-0000-0000-000027280000}"/>
    <cellStyle name="40% - Énfasis1 3 9 2" xfId="10283" xr:uid="{00000000-0005-0000-0000-000028280000}"/>
    <cellStyle name="40% - Énfasis1 4" xfId="10284" xr:uid="{00000000-0005-0000-0000-000029280000}"/>
    <cellStyle name="40% - Énfasis2 2" xfId="10285" xr:uid="{00000000-0005-0000-0000-00002A280000}"/>
    <cellStyle name="40% - Énfasis2 2 10" xfId="10286" xr:uid="{00000000-0005-0000-0000-00002B280000}"/>
    <cellStyle name="40% - Énfasis2 2 10 2" xfId="10287" xr:uid="{00000000-0005-0000-0000-00002C280000}"/>
    <cellStyle name="40% - Énfasis2 2 11" xfId="10288" xr:uid="{00000000-0005-0000-0000-00002D280000}"/>
    <cellStyle name="40% - Énfasis2 2 12" xfId="10289" xr:uid="{00000000-0005-0000-0000-00002E280000}"/>
    <cellStyle name="40% - Énfasis2 2 2" xfId="10290" xr:uid="{00000000-0005-0000-0000-00002F280000}"/>
    <cellStyle name="40% - Énfasis2 2 2 10" xfId="10291" xr:uid="{00000000-0005-0000-0000-000030280000}"/>
    <cellStyle name="40% - Énfasis2 2 2 10 2" xfId="10292" xr:uid="{00000000-0005-0000-0000-000031280000}"/>
    <cellStyle name="40% - Énfasis2 2 2 11" xfId="10293" xr:uid="{00000000-0005-0000-0000-000032280000}"/>
    <cellStyle name="40% - Énfasis2 2 2 12" xfId="10294" xr:uid="{00000000-0005-0000-0000-000033280000}"/>
    <cellStyle name="40% - Énfasis2 2 2 2" xfId="10295" xr:uid="{00000000-0005-0000-0000-000034280000}"/>
    <cellStyle name="40% - Énfasis2 2 2 2 10" xfId="10296" xr:uid="{00000000-0005-0000-0000-000035280000}"/>
    <cellStyle name="40% - Énfasis2 2 2 2 2" xfId="10297" xr:uid="{00000000-0005-0000-0000-000036280000}"/>
    <cellStyle name="40% - Énfasis2 2 2 2 2 2" xfId="10298" xr:uid="{00000000-0005-0000-0000-000037280000}"/>
    <cellStyle name="40% - Énfasis2 2 2 2 2 2 2" xfId="10299" xr:uid="{00000000-0005-0000-0000-000038280000}"/>
    <cellStyle name="40% - Énfasis2 2 2 2 2 2 2 2" xfId="10300" xr:uid="{00000000-0005-0000-0000-000039280000}"/>
    <cellStyle name="40% - Énfasis2 2 2 2 2 2 2 2 2" xfId="10301" xr:uid="{00000000-0005-0000-0000-00003A280000}"/>
    <cellStyle name="40% - Énfasis2 2 2 2 2 2 2 2 2 2" xfId="10302" xr:uid="{00000000-0005-0000-0000-00003B280000}"/>
    <cellStyle name="40% - Énfasis2 2 2 2 2 2 2 2 2 2 2" xfId="10303" xr:uid="{00000000-0005-0000-0000-00003C280000}"/>
    <cellStyle name="40% - Énfasis2 2 2 2 2 2 2 2 2 3" xfId="10304" xr:uid="{00000000-0005-0000-0000-00003D280000}"/>
    <cellStyle name="40% - Énfasis2 2 2 2 2 2 2 2 2 4" xfId="10305" xr:uid="{00000000-0005-0000-0000-00003E280000}"/>
    <cellStyle name="40% - Énfasis2 2 2 2 2 2 2 2 3" xfId="10306" xr:uid="{00000000-0005-0000-0000-00003F280000}"/>
    <cellStyle name="40% - Énfasis2 2 2 2 2 2 2 2 3 2" xfId="10307" xr:uid="{00000000-0005-0000-0000-000040280000}"/>
    <cellStyle name="40% - Énfasis2 2 2 2 2 2 2 2 4" xfId="10308" xr:uid="{00000000-0005-0000-0000-000041280000}"/>
    <cellStyle name="40% - Énfasis2 2 2 2 2 2 2 2 5" xfId="10309" xr:uid="{00000000-0005-0000-0000-000042280000}"/>
    <cellStyle name="40% - Énfasis2 2 2 2 2 2 2 3" xfId="10310" xr:uid="{00000000-0005-0000-0000-000043280000}"/>
    <cellStyle name="40% - Énfasis2 2 2 2 2 2 2 3 2" xfId="10311" xr:uid="{00000000-0005-0000-0000-000044280000}"/>
    <cellStyle name="40% - Énfasis2 2 2 2 2 2 2 3 2 2" xfId="10312" xr:uid="{00000000-0005-0000-0000-000045280000}"/>
    <cellStyle name="40% - Énfasis2 2 2 2 2 2 2 3 3" xfId="10313" xr:uid="{00000000-0005-0000-0000-000046280000}"/>
    <cellStyle name="40% - Énfasis2 2 2 2 2 2 2 3 4" xfId="10314" xr:uid="{00000000-0005-0000-0000-000047280000}"/>
    <cellStyle name="40% - Énfasis2 2 2 2 2 2 2 4" xfId="10315" xr:uid="{00000000-0005-0000-0000-000048280000}"/>
    <cellStyle name="40% - Énfasis2 2 2 2 2 2 2 4 2" xfId="10316" xr:uid="{00000000-0005-0000-0000-000049280000}"/>
    <cellStyle name="40% - Énfasis2 2 2 2 2 2 2 5" xfId="10317" xr:uid="{00000000-0005-0000-0000-00004A280000}"/>
    <cellStyle name="40% - Énfasis2 2 2 2 2 2 2 6" xfId="10318" xr:uid="{00000000-0005-0000-0000-00004B280000}"/>
    <cellStyle name="40% - Énfasis2 2 2 2 2 2 3" xfId="10319" xr:uid="{00000000-0005-0000-0000-00004C280000}"/>
    <cellStyle name="40% - Énfasis2 2 2 2 2 2 3 2" xfId="10320" xr:uid="{00000000-0005-0000-0000-00004D280000}"/>
    <cellStyle name="40% - Énfasis2 2 2 2 2 2 3 2 2" xfId="10321" xr:uid="{00000000-0005-0000-0000-00004E280000}"/>
    <cellStyle name="40% - Énfasis2 2 2 2 2 2 3 2 2 2" xfId="10322" xr:uid="{00000000-0005-0000-0000-00004F280000}"/>
    <cellStyle name="40% - Énfasis2 2 2 2 2 2 3 2 3" xfId="10323" xr:uid="{00000000-0005-0000-0000-000050280000}"/>
    <cellStyle name="40% - Énfasis2 2 2 2 2 2 3 2 4" xfId="10324" xr:uid="{00000000-0005-0000-0000-000051280000}"/>
    <cellStyle name="40% - Énfasis2 2 2 2 2 2 3 3" xfId="10325" xr:uid="{00000000-0005-0000-0000-000052280000}"/>
    <cellStyle name="40% - Énfasis2 2 2 2 2 2 3 3 2" xfId="10326" xr:uid="{00000000-0005-0000-0000-000053280000}"/>
    <cellStyle name="40% - Énfasis2 2 2 2 2 2 3 4" xfId="10327" xr:uid="{00000000-0005-0000-0000-000054280000}"/>
    <cellStyle name="40% - Énfasis2 2 2 2 2 2 3 5" xfId="10328" xr:uid="{00000000-0005-0000-0000-000055280000}"/>
    <cellStyle name="40% - Énfasis2 2 2 2 2 2 4" xfId="10329" xr:uid="{00000000-0005-0000-0000-000056280000}"/>
    <cellStyle name="40% - Énfasis2 2 2 2 2 2 4 2" xfId="10330" xr:uid="{00000000-0005-0000-0000-000057280000}"/>
    <cellStyle name="40% - Énfasis2 2 2 2 2 2 4 2 2" xfId="10331" xr:uid="{00000000-0005-0000-0000-000058280000}"/>
    <cellStyle name="40% - Énfasis2 2 2 2 2 2 4 3" xfId="10332" xr:uid="{00000000-0005-0000-0000-000059280000}"/>
    <cellStyle name="40% - Énfasis2 2 2 2 2 2 4 4" xfId="10333" xr:uid="{00000000-0005-0000-0000-00005A280000}"/>
    <cellStyle name="40% - Énfasis2 2 2 2 2 2 5" xfId="10334" xr:uid="{00000000-0005-0000-0000-00005B280000}"/>
    <cellStyle name="40% - Énfasis2 2 2 2 2 2 5 2" xfId="10335" xr:uid="{00000000-0005-0000-0000-00005C280000}"/>
    <cellStyle name="40% - Énfasis2 2 2 2 2 2 6" xfId="10336" xr:uid="{00000000-0005-0000-0000-00005D280000}"/>
    <cellStyle name="40% - Énfasis2 2 2 2 2 2 7" xfId="10337" xr:uid="{00000000-0005-0000-0000-00005E280000}"/>
    <cellStyle name="40% - Énfasis2 2 2 2 2 3" xfId="10338" xr:uid="{00000000-0005-0000-0000-00005F280000}"/>
    <cellStyle name="40% - Énfasis2 2 2 2 2 3 2" xfId="10339" xr:uid="{00000000-0005-0000-0000-000060280000}"/>
    <cellStyle name="40% - Énfasis2 2 2 2 2 3 2 2" xfId="10340" xr:uid="{00000000-0005-0000-0000-000061280000}"/>
    <cellStyle name="40% - Énfasis2 2 2 2 2 3 2 2 2" xfId="10341" xr:uid="{00000000-0005-0000-0000-000062280000}"/>
    <cellStyle name="40% - Énfasis2 2 2 2 2 3 2 2 2 2" xfId="10342" xr:uid="{00000000-0005-0000-0000-000063280000}"/>
    <cellStyle name="40% - Énfasis2 2 2 2 2 3 2 2 3" xfId="10343" xr:uid="{00000000-0005-0000-0000-000064280000}"/>
    <cellStyle name="40% - Énfasis2 2 2 2 2 3 2 2 4" xfId="10344" xr:uid="{00000000-0005-0000-0000-000065280000}"/>
    <cellStyle name="40% - Énfasis2 2 2 2 2 3 2 3" xfId="10345" xr:uid="{00000000-0005-0000-0000-000066280000}"/>
    <cellStyle name="40% - Énfasis2 2 2 2 2 3 2 3 2" xfId="10346" xr:uid="{00000000-0005-0000-0000-000067280000}"/>
    <cellStyle name="40% - Énfasis2 2 2 2 2 3 2 4" xfId="10347" xr:uid="{00000000-0005-0000-0000-000068280000}"/>
    <cellStyle name="40% - Énfasis2 2 2 2 2 3 2 5" xfId="10348" xr:uid="{00000000-0005-0000-0000-000069280000}"/>
    <cellStyle name="40% - Énfasis2 2 2 2 2 3 3" xfId="10349" xr:uid="{00000000-0005-0000-0000-00006A280000}"/>
    <cellStyle name="40% - Énfasis2 2 2 2 2 3 3 2" xfId="10350" xr:uid="{00000000-0005-0000-0000-00006B280000}"/>
    <cellStyle name="40% - Énfasis2 2 2 2 2 3 3 2 2" xfId="10351" xr:uid="{00000000-0005-0000-0000-00006C280000}"/>
    <cellStyle name="40% - Énfasis2 2 2 2 2 3 3 3" xfId="10352" xr:uid="{00000000-0005-0000-0000-00006D280000}"/>
    <cellStyle name="40% - Énfasis2 2 2 2 2 3 3 3 2" xfId="10353" xr:uid="{00000000-0005-0000-0000-00006E280000}"/>
    <cellStyle name="40% - Énfasis2 2 2 2 2 3 3 4" xfId="10354" xr:uid="{00000000-0005-0000-0000-00006F280000}"/>
    <cellStyle name="40% - Énfasis2 2 2 2 2 3 3 5" xfId="10355" xr:uid="{00000000-0005-0000-0000-000070280000}"/>
    <cellStyle name="40% - Énfasis2 2 2 2 2 3 4" xfId="10356" xr:uid="{00000000-0005-0000-0000-000071280000}"/>
    <cellStyle name="40% - Énfasis2 2 2 2 2 3 4 2" xfId="10357" xr:uid="{00000000-0005-0000-0000-000072280000}"/>
    <cellStyle name="40% - Énfasis2 2 2 2 2 3 5" xfId="10358" xr:uid="{00000000-0005-0000-0000-000073280000}"/>
    <cellStyle name="40% - Énfasis2 2 2 2 2 3 5 2" xfId="10359" xr:uid="{00000000-0005-0000-0000-000074280000}"/>
    <cellStyle name="40% - Énfasis2 2 2 2 2 3 6" xfId="10360" xr:uid="{00000000-0005-0000-0000-000075280000}"/>
    <cellStyle name="40% - Énfasis2 2 2 2 2 3 7" xfId="10361" xr:uid="{00000000-0005-0000-0000-000076280000}"/>
    <cellStyle name="40% - Énfasis2 2 2 2 2 4" xfId="10362" xr:uid="{00000000-0005-0000-0000-000077280000}"/>
    <cellStyle name="40% - Énfasis2 2 2 2 2 4 2" xfId="10363" xr:uid="{00000000-0005-0000-0000-000078280000}"/>
    <cellStyle name="40% - Énfasis2 2 2 2 2 4 2 2" xfId="10364" xr:uid="{00000000-0005-0000-0000-000079280000}"/>
    <cellStyle name="40% - Énfasis2 2 2 2 2 4 2 2 2" xfId="10365" xr:uid="{00000000-0005-0000-0000-00007A280000}"/>
    <cellStyle name="40% - Énfasis2 2 2 2 2 4 2 3" xfId="10366" xr:uid="{00000000-0005-0000-0000-00007B280000}"/>
    <cellStyle name="40% - Énfasis2 2 2 2 2 4 2 4" xfId="10367" xr:uid="{00000000-0005-0000-0000-00007C280000}"/>
    <cellStyle name="40% - Énfasis2 2 2 2 2 4 3" xfId="10368" xr:uid="{00000000-0005-0000-0000-00007D280000}"/>
    <cellStyle name="40% - Énfasis2 2 2 2 2 4 3 2" xfId="10369" xr:uid="{00000000-0005-0000-0000-00007E280000}"/>
    <cellStyle name="40% - Énfasis2 2 2 2 2 4 4" xfId="10370" xr:uid="{00000000-0005-0000-0000-00007F280000}"/>
    <cellStyle name="40% - Énfasis2 2 2 2 2 4 5" xfId="10371" xr:uid="{00000000-0005-0000-0000-000080280000}"/>
    <cellStyle name="40% - Énfasis2 2 2 2 2 5" xfId="10372" xr:uid="{00000000-0005-0000-0000-000081280000}"/>
    <cellStyle name="40% - Énfasis2 2 2 2 2 5 2" xfId="10373" xr:uid="{00000000-0005-0000-0000-000082280000}"/>
    <cellStyle name="40% - Énfasis2 2 2 2 2 5 2 2" xfId="10374" xr:uid="{00000000-0005-0000-0000-000083280000}"/>
    <cellStyle name="40% - Énfasis2 2 2 2 2 5 3" xfId="10375" xr:uid="{00000000-0005-0000-0000-000084280000}"/>
    <cellStyle name="40% - Énfasis2 2 2 2 2 5 3 2" xfId="10376" xr:uid="{00000000-0005-0000-0000-000085280000}"/>
    <cellStyle name="40% - Énfasis2 2 2 2 2 5 4" xfId="10377" xr:uid="{00000000-0005-0000-0000-000086280000}"/>
    <cellStyle name="40% - Énfasis2 2 2 2 2 5 5" xfId="10378" xr:uid="{00000000-0005-0000-0000-000087280000}"/>
    <cellStyle name="40% - Énfasis2 2 2 2 2 6" xfId="10379" xr:uid="{00000000-0005-0000-0000-000088280000}"/>
    <cellStyle name="40% - Énfasis2 2 2 2 2 6 2" xfId="10380" xr:uid="{00000000-0005-0000-0000-000089280000}"/>
    <cellStyle name="40% - Énfasis2 2 2 2 2 7" xfId="10381" xr:uid="{00000000-0005-0000-0000-00008A280000}"/>
    <cellStyle name="40% - Énfasis2 2 2 2 2 7 2" xfId="10382" xr:uid="{00000000-0005-0000-0000-00008B280000}"/>
    <cellStyle name="40% - Énfasis2 2 2 2 2 8" xfId="10383" xr:uid="{00000000-0005-0000-0000-00008C280000}"/>
    <cellStyle name="40% - Énfasis2 2 2 2 2 9" xfId="10384" xr:uid="{00000000-0005-0000-0000-00008D280000}"/>
    <cellStyle name="40% - Énfasis2 2 2 2 3" xfId="10385" xr:uid="{00000000-0005-0000-0000-00008E280000}"/>
    <cellStyle name="40% - Énfasis2 2 2 2 3 2" xfId="10386" xr:uid="{00000000-0005-0000-0000-00008F280000}"/>
    <cellStyle name="40% - Énfasis2 2 2 2 3 2 2" xfId="10387" xr:uid="{00000000-0005-0000-0000-000090280000}"/>
    <cellStyle name="40% - Énfasis2 2 2 2 3 2 2 2" xfId="10388" xr:uid="{00000000-0005-0000-0000-000091280000}"/>
    <cellStyle name="40% - Énfasis2 2 2 2 3 2 2 2 2" xfId="10389" xr:uid="{00000000-0005-0000-0000-000092280000}"/>
    <cellStyle name="40% - Énfasis2 2 2 2 3 2 2 2 2 2" xfId="10390" xr:uid="{00000000-0005-0000-0000-000093280000}"/>
    <cellStyle name="40% - Énfasis2 2 2 2 3 2 2 2 3" xfId="10391" xr:uid="{00000000-0005-0000-0000-000094280000}"/>
    <cellStyle name="40% - Énfasis2 2 2 2 3 2 2 2 4" xfId="10392" xr:uid="{00000000-0005-0000-0000-000095280000}"/>
    <cellStyle name="40% - Énfasis2 2 2 2 3 2 2 3" xfId="10393" xr:uid="{00000000-0005-0000-0000-000096280000}"/>
    <cellStyle name="40% - Énfasis2 2 2 2 3 2 2 3 2" xfId="10394" xr:uid="{00000000-0005-0000-0000-000097280000}"/>
    <cellStyle name="40% - Énfasis2 2 2 2 3 2 2 4" xfId="10395" xr:uid="{00000000-0005-0000-0000-000098280000}"/>
    <cellStyle name="40% - Énfasis2 2 2 2 3 2 2 5" xfId="10396" xr:uid="{00000000-0005-0000-0000-000099280000}"/>
    <cellStyle name="40% - Énfasis2 2 2 2 3 2 3" xfId="10397" xr:uid="{00000000-0005-0000-0000-00009A280000}"/>
    <cellStyle name="40% - Énfasis2 2 2 2 3 2 3 2" xfId="10398" xr:uid="{00000000-0005-0000-0000-00009B280000}"/>
    <cellStyle name="40% - Énfasis2 2 2 2 3 2 3 2 2" xfId="10399" xr:uid="{00000000-0005-0000-0000-00009C280000}"/>
    <cellStyle name="40% - Énfasis2 2 2 2 3 2 3 3" xfId="10400" xr:uid="{00000000-0005-0000-0000-00009D280000}"/>
    <cellStyle name="40% - Énfasis2 2 2 2 3 2 3 4" xfId="10401" xr:uid="{00000000-0005-0000-0000-00009E280000}"/>
    <cellStyle name="40% - Énfasis2 2 2 2 3 2 4" xfId="10402" xr:uid="{00000000-0005-0000-0000-00009F280000}"/>
    <cellStyle name="40% - Énfasis2 2 2 2 3 2 4 2" xfId="10403" xr:uid="{00000000-0005-0000-0000-0000A0280000}"/>
    <cellStyle name="40% - Énfasis2 2 2 2 3 2 5" xfId="10404" xr:uid="{00000000-0005-0000-0000-0000A1280000}"/>
    <cellStyle name="40% - Énfasis2 2 2 2 3 2 6" xfId="10405" xr:uid="{00000000-0005-0000-0000-0000A2280000}"/>
    <cellStyle name="40% - Énfasis2 2 2 2 3 3" xfId="10406" xr:uid="{00000000-0005-0000-0000-0000A3280000}"/>
    <cellStyle name="40% - Énfasis2 2 2 2 3 3 2" xfId="10407" xr:uid="{00000000-0005-0000-0000-0000A4280000}"/>
    <cellStyle name="40% - Énfasis2 2 2 2 3 3 2 2" xfId="10408" xr:uid="{00000000-0005-0000-0000-0000A5280000}"/>
    <cellStyle name="40% - Énfasis2 2 2 2 3 3 2 2 2" xfId="10409" xr:uid="{00000000-0005-0000-0000-0000A6280000}"/>
    <cellStyle name="40% - Énfasis2 2 2 2 3 3 2 3" xfId="10410" xr:uid="{00000000-0005-0000-0000-0000A7280000}"/>
    <cellStyle name="40% - Énfasis2 2 2 2 3 3 2 4" xfId="10411" xr:uid="{00000000-0005-0000-0000-0000A8280000}"/>
    <cellStyle name="40% - Énfasis2 2 2 2 3 3 3" xfId="10412" xr:uid="{00000000-0005-0000-0000-0000A9280000}"/>
    <cellStyle name="40% - Énfasis2 2 2 2 3 3 3 2" xfId="10413" xr:uid="{00000000-0005-0000-0000-0000AA280000}"/>
    <cellStyle name="40% - Énfasis2 2 2 2 3 3 4" xfId="10414" xr:uid="{00000000-0005-0000-0000-0000AB280000}"/>
    <cellStyle name="40% - Énfasis2 2 2 2 3 3 5" xfId="10415" xr:uid="{00000000-0005-0000-0000-0000AC280000}"/>
    <cellStyle name="40% - Énfasis2 2 2 2 3 4" xfId="10416" xr:uid="{00000000-0005-0000-0000-0000AD280000}"/>
    <cellStyle name="40% - Énfasis2 2 2 2 3 4 2" xfId="10417" xr:uid="{00000000-0005-0000-0000-0000AE280000}"/>
    <cellStyle name="40% - Énfasis2 2 2 2 3 4 2 2" xfId="10418" xr:uid="{00000000-0005-0000-0000-0000AF280000}"/>
    <cellStyle name="40% - Énfasis2 2 2 2 3 4 3" xfId="10419" xr:uid="{00000000-0005-0000-0000-0000B0280000}"/>
    <cellStyle name="40% - Énfasis2 2 2 2 3 4 4" xfId="10420" xr:uid="{00000000-0005-0000-0000-0000B1280000}"/>
    <cellStyle name="40% - Énfasis2 2 2 2 3 5" xfId="10421" xr:uid="{00000000-0005-0000-0000-0000B2280000}"/>
    <cellStyle name="40% - Énfasis2 2 2 2 3 5 2" xfId="10422" xr:uid="{00000000-0005-0000-0000-0000B3280000}"/>
    <cellStyle name="40% - Énfasis2 2 2 2 3 6" xfId="10423" xr:uid="{00000000-0005-0000-0000-0000B4280000}"/>
    <cellStyle name="40% - Énfasis2 2 2 2 3 7" xfId="10424" xr:uid="{00000000-0005-0000-0000-0000B5280000}"/>
    <cellStyle name="40% - Énfasis2 2 2 2 4" xfId="10425" xr:uid="{00000000-0005-0000-0000-0000B6280000}"/>
    <cellStyle name="40% - Énfasis2 2 2 2 4 2" xfId="10426" xr:uid="{00000000-0005-0000-0000-0000B7280000}"/>
    <cellStyle name="40% - Énfasis2 2 2 2 4 2 2" xfId="10427" xr:uid="{00000000-0005-0000-0000-0000B8280000}"/>
    <cellStyle name="40% - Énfasis2 2 2 2 4 2 2 2" xfId="10428" xr:uid="{00000000-0005-0000-0000-0000B9280000}"/>
    <cellStyle name="40% - Énfasis2 2 2 2 4 2 2 2 2" xfId="10429" xr:uid="{00000000-0005-0000-0000-0000BA280000}"/>
    <cellStyle name="40% - Énfasis2 2 2 2 4 2 2 3" xfId="10430" xr:uid="{00000000-0005-0000-0000-0000BB280000}"/>
    <cellStyle name="40% - Énfasis2 2 2 2 4 2 2 4" xfId="10431" xr:uid="{00000000-0005-0000-0000-0000BC280000}"/>
    <cellStyle name="40% - Énfasis2 2 2 2 4 2 3" xfId="10432" xr:uid="{00000000-0005-0000-0000-0000BD280000}"/>
    <cellStyle name="40% - Énfasis2 2 2 2 4 2 3 2" xfId="10433" xr:uid="{00000000-0005-0000-0000-0000BE280000}"/>
    <cellStyle name="40% - Énfasis2 2 2 2 4 2 4" xfId="10434" xr:uid="{00000000-0005-0000-0000-0000BF280000}"/>
    <cellStyle name="40% - Énfasis2 2 2 2 4 2 5" xfId="10435" xr:uid="{00000000-0005-0000-0000-0000C0280000}"/>
    <cellStyle name="40% - Énfasis2 2 2 2 4 3" xfId="10436" xr:uid="{00000000-0005-0000-0000-0000C1280000}"/>
    <cellStyle name="40% - Énfasis2 2 2 2 4 3 2" xfId="10437" xr:uid="{00000000-0005-0000-0000-0000C2280000}"/>
    <cellStyle name="40% - Énfasis2 2 2 2 4 3 2 2" xfId="10438" xr:uid="{00000000-0005-0000-0000-0000C3280000}"/>
    <cellStyle name="40% - Énfasis2 2 2 2 4 3 3" xfId="10439" xr:uid="{00000000-0005-0000-0000-0000C4280000}"/>
    <cellStyle name="40% - Énfasis2 2 2 2 4 3 3 2" xfId="10440" xr:uid="{00000000-0005-0000-0000-0000C5280000}"/>
    <cellStyle name="40% - Énfasis2 2 2 2 4 3 4" xfId="10441" xr:uid="{00000000-0005-0000-0000-0000C6280000}"/>
    <cellStyle name="40% - Énfasis2 2 2 2 4 3 5" xfId="10442" xr:uid="{00000000-0005-0000-0000-0000C7280000}"/>
    <cellStyle name="40% - Énfasis2 2 2 2 4 4" xfId="10443" xr:uid="{00000000-0005-0000-0000-0000C8280000}"/>
    <cellStyle name="40% - Énfasis2 2 2 2 4 4 2" xfId="10444" xr:uid="{00000000-0005-0000-0000-0000C9280000}"/>
    <cellStyle name="40% - Énfasis2 2 2 2 4 5" xfId="10445" xr:uid="{00000000-0005-0000-0000-0000CA280000}"/>
    <cellStyle name="40% - Énfasis2 2 2 2 4 5 2" xfId="10446" xr:uid="{00000000-0005-0000-0000-0000CB280000}"/>
    <cellStyle name="40% - Énfasis2 2 2 2 4 6" xfId="10447" xr:uid="{00000000-0005-0000-0000-0000CC280000}"/>
    <cellStyle name="40% - Énfasis2 2 2 2 4 7" xfId="10448" xr:uid="{00000000-0005-0000-0000-0000CD280000}"/>
    <cellStyle name="40% - Énfasis2 2 2 2 5" xfId="10449" xr:uid="{00000000-0005-0000-0000-0000CE280000}"/>
    <cellStyle name="40% - Énfasis2 2 2 2 5 2" xfId="10450" xr:uid="{00000000-0005-0000-0000-0000CF280000}"/>
    <cellStyle name="40% - Énfasis2 2 2 2 5 2 2" xfId="10451" xr:uid="{00000000-0005-0000-0000-0000D0280000}"/>
    <cellStyle name="40% - Énfasis2 2 2 2 5 2 2 2" xfId="10452" xr:uid="{00000000-0005-0000-0000-0000D1280000}"/>
    <cellStyle name="40% - Énfasis2 2 2 2 5 2 3" xfId="10453" xr:uid="{00000000-0005-0000-0000-0000D2280000}"/>
    <cellStyle name="40% - Énfasis2 2 2 2 5 2 4" xfId="10454" xr:uid="{00000000-0005-0000-0000-0000D3280000}"/>
    <cellStyle name="40% - Énfasis2 2 2 2 5 3" xfId="10455" xr:uid="{00000000-0005-0000-0000-0000D4280000}"/>
    <cellStyle name="40% - Énfasis2 2 2 2 5 3 2" xfId="10456" xr:uid="{00000000-0005-0000-0000-0000D5280000}"/>
    <cellStyle name="40% - Énfasis2 2 2 2 5 4" xfId="10457" xr:uid="{00000000-0005-0000-0000-0000D6280000}"/>
    <cellStyle name="40% - Énfasis2 2 2 2 5 5" xfId="10458" xr:uid="{00000000-0005-0000-0000-0000D7280000}"/>
    <cellStyle name="40% - Énfasis2 2 2 2 6" xfId="10459" xr:uid="{00000000-0005-0000-0000-0000D8280000}"/>
    <cellStyle name="40% - Énfasis2 2 2 2 6 2" xfId="10460" xr:uid="{00000000-0005-0000-0000-0000D9280000}"/>
    <cellStyle name="40% - Énfasis2 2 2 2 6 2 2" xfId="10461" xr:uid="{00000000-0005-0000-0000-0000DA280000}"/>
    <cellStyle name="40% - Énfasis2 2 2 2 6 3" xfId="10462" xr:uid="{00000000-0005-0000-0000-0000DB280000}"/>
    <cellStyle name="40% - Énfasis2 2 2 2 6 3 2" xfId="10463" xr:uid="{00000000-0005-0000-0000-0000DC280000}"/>
    <cellStyle name="40% - Énfasis2 2 2 2 6 4" xfId="10464" xr:uid="{00000000-0005-0000-0000-0000DD280000}"/>
    <cellStyle name="40% - Énfasis2 2 2 2 6 5" xfId="10465" xr:uid="{00000000-0005-0000-0000-0000DE280000}"/>
    <cellStyle name="40% - Énfasis2 2 2 2 7" xfId="10466" xr:uid="{00000000-0005-0000-0000-0000DF280000}"/>
    <cellStyle name="40% - Énfasis2 2 2 2 7 2" xfId="10467" xr:uid="{00000000-0005-0000-0000-0000E0280000}"/>
    <cellStyle name="40% - Énfasis2 2 2 2 8" xfId="10468" xr:uid="{00000000-0005-0000-0000-0000E1280000}"/>
    <cellStyle name="40% - Énfasis2 2 2 2 8 2" xfId="10469" xr:uid="{00000000-0005-0000-0000-0000E2280000}"/>
    <cellStyle name="40% - Énfasis2 2 2 2 9" xfId="10470" xr:uid="{00000000-0005-0000-0000-0000E3280000}"/>
    <cellStyle name="40% - Énfasis2 2 2 3" xfId="10471" xr:uid="{00000000-0005-0000-0000-0000E4280000}"/>
    <cellStyle name="40% - Énfasis2 2 2 3 2" xfId="10472" xr:uid="{00000000-0005-0000-0000-0000E5280000}"/>
    <cellStyle name="40% - Énfasis2 2 2 3 2 2" xfId="10473" xr:uid="{00000000-0005-0000-0000-0000E6280000}"/>
    <cellStyle name="40% - Énfasis2 2 2 3 2 2 2" xfId="10474" xr:uid="{00000000-0005-0000-0000-0000E7280000}"/>
    <cellStyle name="40% - Énfasis2 2 2 3 2 2 2 2" xfId="10475" xr:uid="{00000000-0005-0000-0000-0000E8280000}"/>
    <cellStyle name="40% - Énfasis2 2 2 3 2 2 2 2 2" xfId="10476" xr:uid="{00000000-0005-0000-0000-0000E9280000}"/>
    <cellStyle name="40% - Énfasis2 2 2 3 2 2 2 2 2 2" xfId="10477" xr:uid="{00000000-0005-0000-0000-0000EA280000}"/>
    <cellStyle name="40% - Énfasis2 2 2 3 2 2 2 2 3" xfId="10478" xr:uid="{00000000-0005-0000-0000-0000EB280000}"/>
    <cellStyle name="40% - Énfasis2 2 2 3 2 2 2 2 4" xfId="10479" xr:uid="{00000000-0005-0000-0000-0000EC280000}"/>
    <cellStyle name="40% - Énfasis2 2 2 3 2 2 2 3" xfId="10480" xr:uid="{00000000-0005-0000-0000-0000ED280000}"/>
    <cellStyle name="40% - Énfasis2 2 2 3 2 2 2 3 2" xfId="10481" xr:uid="{00000000-0005-0000-0000-0000EE280000}"/>
    <cellStyle name="40% - Énfasis2 2 2 3 2 2 2 4" xfId="10482" xr:uid="{00000000-0005-0000-0000-0000EF280000}"/>
    <cellStyle name="40% - Énfasis2 2 2 3 2 2 2 5" xfId="10483" xr:uid="{00000000-0005-0000-0000-0000F0280000}"/>
    <cellStyle name="40% - Énfasis2 2 2 3 2 2 3" xfId="10484" xr:uid="{00000000-0005-0000-0000-0000F1280000}"/>
    <cellStyle name="40% - Énfasis2 2 2 3 2 2 3 2" xfId="10485" xr:uid="{00000000-0005-0000-0000-0000F2280000}"/>
    <cellStyle name="40% - Énfasis2 2 2 3 2 2 3 2 2" xfId="10486" xr:uid="{00000000-0005-0000-0000-0000F3280000}"/>
    <cellStyle name="40% - Énfasis2 2 2 3 2 2 3 3" xfId="10487" xr:uid="{00000000-0005-0000-0000-0000F4280000}"/>
    <cellStyle name="40% - Énfasis2 2 2 3 2 2 3 4" xfId="10488" xr:uid="{00000000-0005-0000-0000-0000F5280000}"/>
    <cellStyle name="40% - Énfasis2 2 2 3 2 2 4" xfId="10489" xr:uid="{00000000-0005-0000-0000-0000F6280000}"/>
    <cellStyle name="40% - Énfasis2 2 2 3 2 2 4 2" xfId="10490" xr:uid="{00000000-0005-0000-0000-0000F7280000}"/>
    <cellStyle name="40% - Énfasis2 2 2 3 2 2 5" xfId="10491" xr:uid="{00000000-0005-0000-0000-0000F8280000}"/>
    <cellStyle name="40% - Énfasis2 2 2 3 2 2 6" xfId="10492" xr:uid="{00000000-0005-0000-0000-0000F9280000}"/>
    <cellStyle name="40% - Énfasis2 2 2 3 2 3" xfId="10493" xr:uid="{00000000-0005-0000-0000-0000FA280000}"/>
    <cellStyle name="40% - Énfasis2 2 2 3 2 3 2" xfId="10494" xr:uid="{00000000-0005-0000-0000-0000FB280000}"/>
    <cellStyle name="40% - Énfasis2 2 2 3 2 3 2 2" xfId="10495" xr:uid="{00000000-0005-0000-0000-0000FC280000}"/>
    <cellStyle name="40% - Énfasis2 2 2 3 2 3 2 2 2" xfId="10496" xr:uid="{00000000-0005-0000-0000-0000FD280000}"/>
    <cellStyle name="40% - Énfasis2 2 2 3 2 3 2 3" xfId="10497" xr:uid="{00000000-0005-0000-0000-0000FE280000}"/>
    <cellStyle name="40% - Énfasis2 2 2 3 2 3 2 4" xfId="10498" xr:uid="{00000000-0005-0000-0000-0000FF280000}"/>
    <cellStyle name="40% - Énfasis2 2 2 3 2 3 3" xfId="10499" xr:uid="{00000000-0005-0000-0000-000000290000}"/>
    <cellStyle name="40% - Énfasis2 2 2 3 2 3 3 2" xfId="10500" xr:uid="{00000000-0005-0000-0000-000001290000}"/>
    <cellStyle name="40% - Énfasis2 2 2 3 2 3 4" xfId="10501" xr:uid="{00000000-0005-0000-0000-000002290000}"/>
    <cellStyle name="40% - Énfasis2 2 2 3 2 3 5" xfId="10502" xr:uid="{00000000-0005-0000-0000-000003290000}"/>
    <cellStyle name="40% - Énfasis2 2 2 3 2 4" xfId="10503" xr:uid="{00000000-0005-0000-0000-000004290000}"/>
    <cellStyle name="40% - Énfasis2 2 2 3 2 4 2" xfId="10504" xr:uid="{00000000-0005-0000-0000-000005290000}"/>
    <cellStyle name="40% - Énfasis2 2 2 3 2 4 2 2" xfId="10505" xr:uid="{00000000-0005-0000-0000-000006290000}"/>
    <cellStyle name="40% - Énfasis2 2 2 3 2 4 3" xfId="10506" xr:uid="{00000000-0005-0000-0000-000007290000}"/>
    <cellStyle name="40% - Énfasis2 2 2 3 2 4 4" xfId="10507" xr:uid="{00000000-0005-0000-0000-000008290000}"/>
    <cellStyle name="40% - Énfasis2 2 2 3 2 5" xfId="10508" xr:uid="{00000000-0005-0000-0000-000009290000}"/>
    <cellStyle name="40% - Énfasis2 2 2 3 2 5 2" xfId="10509" xr:uid="{00000000-0005-0000-0000-00000A290000}"/>
    <cellStyle name="40% - Énfasis2 2 2 3 2 6" xfId="10510" xr:uid="{00000000-0005-0000-0000-00000B290000}"/>
    <cellStyle name="40% - Énfasis2 2 2 3 2 7" xfId="10511" xr:uid="{00000000-0005-0000-0000-00000C290000}"/>
    <cellStyle name="40% - Énfasis2 2 2 3 3" xfId="10512" xr:uid="{00000000-0005-0000-0000-00000D290000}"/>
    <cellStyle name="40% - Énfasis2 2 2 3 3 2" xfId="10513" xr:uid="{00000000-0005-0000-0000-00000E290000}"/>
    <cellStyle name="40% - Énfasis2 2 2 3 3 2 2" xfId="10514" xr:uid="{00000000-0005-0000-0000-00000F290000}"/>
    <cellStyle name="40% - Énfasis2 2 2 3 3 2 2 2" xfId="10515" xr:uid="{00000000-0005-0000-0000-000010290000}"/>
    <cellStyle name="40% - Énfasis2 2 2 3 3 2 2 2 2" xfId="10516" xr:uid="{00000000-0005-0000-0000-000011290000}"/>
    <cellStyle name="40% - Énfasis2 2 2 3 3 2 2 3" xfId="10517" xr:uid="{00000000-0005-0000-0000-000012290000}"/>
    <cellStyle name="40% - Énfasis2 2 2 3 3 2 2 4" xfId="10518" xr:uid="{00000000-0005-0000-0000-000013290000}"/>
    <cellStyle name="40% - Énfasis2 2 2 3 3 2 3" xfId="10519" xr:uid="{00000000-0005-0000-0000-000014290000}"/>
    <cellStyle name="40% - Énfasis2 2 2 3 3 2 3 2" xfId="10520" xr:uid="{00000000-0005-0000-0000-000015290000}"/>
    <cellStyle name="40% - Énfasis2 2 2 3 3 2 4" xfId="10521" xr:uid="{00000000-0005-0000-0000-000016290000}"/>
    <cellStyle name="40% - Énfasis2 2 2 3 3 2 5" xfId="10522" xr:uid="{00000000-0005-0000-0000-000017290000}"/>
    <cellStyle name="40% - Énfasis2 2 2 3 3 3" xfId="10523" xr:uid="{00000000-0005-0000-0000-000018290000}"/>
    <cellStyle name="40% - Énfasis2 2 2 3 3 3 2" xfId="10524" xr:uid="{00000000-0005-0000-0000-000019290000}"/>
    <cellStyle name="40% - Énfasis2 2 2 3 3 3 2 2" xfId="10525" xr:uid="{00000000-0005-0000-0000-00001A290000}"/>
    <cellStyle name="40% - Énfasis2 2 2 3 3 3 3" xfId="10526" xr:uid="{00000000-0005-0000-0000-00001B290000}"/>
    <cellStyle name="40% - Énfasis2 2 2 3 3 3 3 2" xfId="10527" xr:uid="{00000000-0005-0000-0000-00001C290000}"/>
    <cellStyle name="40% - Énfasis2 2 2 3 3 3 4" xfId="10528" xr:uid="{00000000-0005-0000-0000-00001D290000}"/>
    <cellStyle name="40% - Énfasis2 2 2 3 3 3 5" xfId="10529" xr:uid="{00000000-0005-0000-0000-00001E290000}"/>
    <cellStyle name="40% - Énfasis2 2 2 3 3 4" xfId="10530" xr:uid="{00000000-0005-0000-0000-00001F290000}"/>
    <cellStyle name="40% - Énfasis2 2 2 3 3 4 2" xfId="10531" xr:uid="{00000000-0005-0000-0000-000020290000}"/>
    <cellStyle name="40% - Énfasis2 2 2 3 3 5" xfId="10532" xr:uid="{00000000-0005-0000-0000-000021290000}"/>
    <cellStyle name="40% - Énfasis2 2 2 3 3 5 2" xfId="10533" xr:uid="{00000000-0005-0000-0000-000022290000}"/>
    <cellStyle name="40% - Énfasis2 2 2 3 3 6" xfId="10534" xr:uid="{00000000-0005-0000-0000-000023290000}"/>
    <cellStyle name="40% - Énfasis2 2 2 3 3 7" xfId="10535" xr:uid="{00000000-0005-0000-0000-000024290000}"/>
    <cellStyle name="40% - Énfasis2 2 2 3 4" xfId="10536" xr:uid="{00000000-0005-0000-0000-000025290000}"/>
    <cellStyle name="40% - Énfasis2 2 2 3 4 2" xfId="10537" xr:uid="{00000000-0005-0000-0000-000026290000}"/>
    <cellStyle name="40% - Énfasis2 2 2 3 4 2 2" xfId="10538" xr:uid="{00000000-0005-0000-0000-000027290000}"/>
    <cellStyle name="40% - Énfasis2 2 2 3 4 2 2 2" xfId="10539" xr:uid="{00000000-0005-0000-0000-000028290000}"/>
    <cellStyle name="40% - Énfasis2 2 2 3 4 2 3" xfId="10540" xr:uid="{00000000-0005-0000-0000-000029290000}"/>
    <cellStyle name="40% - Énfasis2 2 2 3 4 2 4" xfId="10541" xr:uid="{00000000-0005-0000-0000-00002A290000}"/>
    <cellStyle name="40% - Énfasis2 2 2 3 4 3" xfId="10542" xr:uid="{00000000-0005-0000-0000-00002B290000}"/>
    <cellStyle name="40% - Énfasis2 2 2 3 4 3 2" xfId="10543" xr:uid="{00000000-0005-0000-0000-00002C290000}"/>
    <cellStyle name="40% - Énfasis2 2 2 3 4 4" xfId="10544" xr:uid="{00000000-0005-0000-0000-00002D290000}"/>
    <cellStyle name="40% - Énfasis2 2 2 3 4 5" xfId="10545" xr:uid="{00000000-0005-0000-0000-00002E290000}"/>
    <cellStyle name="40% - Énfasis2 2 2 3 5" xfId="10546" xr:uid="{00000000-0005-0000-0000-00002F290000}"/>
    <cellStyle name="40% - Énfasis2 2 2 3 5 2" xfId="10547" xr:uid="{00000000-0005-0000-0000-000030290000}"/>
    <cellStyle name="40% - Énfasis2 2 2 3 5 2 2" xfId="10548" xr:uid="{00000000-0005-0000-0000-000031290000}"/>
    <cellStyle name="40% - Énfasis2 2 2 3 5 3" xfId="10549" xr:uid="{00000000-0005-0000-0000-000032290000}"/>
    <cellStyle name="40% - Énfasis2 2 2 3 5 3 2" xfId="10550" xr:uid="{00000000-0005-0000-0000-000033290000}"/>
    <cellStyle name="40% - Énfasis2 2 2 3 5 4" xfId="10551" xr:uid="{00000000-0005-0000-0000-000034290000}"/>
    <cellStyle name="40% - Énfasis2 2 2 3 5 5" xfId="10552" xr:uid="{00000000-0005-0000-0000-000035290000}"/>
    <cellStyle name="40% - Énfasis2 2 2 3 6" xfId="10553" xr:uid="{00000000-0005-0000-0000-000036290000}"/>
    <cellStyle name="40% - Énfasis2 2 2 3 6 2" xfId="10554" xr:uid="{00000000-0005-0000-0000-000037290000}"/>
    <cellStyle name="40% - Énfasis2 2 2 3 7" xfId="10555" xr:uid="{00000000-0005-0000-0000-000038290000}"/>
    <cellStyle name="40% - Énfasis2 2 2 3 7 2" xfId="10556" xr:uid="{00000000-0005-0000-0000-000039290000}"/>
    <cellStyle name="40% - Énfasis2 2 2 3 8" xfId="10557" xr:uid="{00000000-0005-0000-0000-00003A290000}"/>
    <cellStyle name="40% - Énfasis2 2 2 3 9" xfId="10558" xr:uid="{00000000-0005-0000-0000-00003B290000}"/>
    <cellStyle name="40% - Énfasis2 2 2 4" xfId="10559" xr:uid="{00000000-0005-0000-0000-00003C290000}"/>
    <cellStyle name="40% - Énfasis2 2 2 4 2" xfId="10560" xr:uid="{00000000-0005-0000-0000-00003D290000}"/>
    <cellStyle name="40% - Énfasis2 2 2 4 2 2" xfId="10561" xr:uid="{00000000-0005-0000-0000-00003E290000}"/>
    <cellStyle name="40% - Énfasis2 2 2 4 2 2 2" xfId="10562" xr:uid="{00000000-0005-0000-0000-00003F290000}"/>
    <cellStyle name="40% - Énfasis2 2 2 4 2 2 2 2" xfId="10563" xr:uid="{00000000-0005-0000-0000-000040290000}"/>
    <cellStyle name="40% - Énfasis2 2 2 4 2 2 2 2 2" xfId="10564" xr:uid="{00000000-0005-0000-0000-000041290000}"/>
    <cellStyle name="40% - Énfasis2 2 2 4 2 2 2 3" xfId="10565" xr:uid="{00000000-0005-0000-0000-000042290000}"/>
    <cellStyle name="40% - Énfasis2 2 2 4 2 2 2 4" xfId="10566" xr:uid="{00000000-0005-0000-0000-000043290000}"/>
    <cellStyle name="40% - Énfasis2 2 2 4 2 2 3" xfId="10567" xr:uid="{00000000-0005-0000-0000-000044290000}"/>
    <cellStyle name="40% - Énfasis2 2 2 4 2 2 3 2" xfId="10568" xr:uid="{00000000-0005-0000-0000-000045290000}"/>
    <cellStyle name="40% - Énfasis2 2 2 4 2 2 4" xfId="10569" xr:uid="{00000000-0005-0000-0000-000046290000}"/>
    <cellStyle name="40% - Énfasis2 2 2 4 2 2 5" xfId="10570" xr:uid="{00000000-0005-0000-0000-000047290000}"/>
    <cellStyle name="40% - Énfasis2 2 2 4 2 3" xfId="10571" xr:uid="{00000000-0005-0000-0000-000048290000}"/>
    <cellStyle name="40% - Énfasis2 2 2 4 2 3 2" xfId="10572" xr:uid="{00000000-0005-0000-0000-000049290000}"/>
    <cellStyle name="40% - Énfasis2 2 2 4 2 3 2 2" xfId="10573" xr:uid="{00000000-0005-0000-0000-00004A290000}"/>
    <cellStyle name="40% - Énfasis2 2 2 4 2 3 3" xfId="10574" xr:uid="{00000000-0005-0000-0000-00004B290000}"/>
    <cellStyle name="40% - Énfasis2 2 2 4 2 3 3 2" xfId="10575" xr:uid="{00000000-0005-0000-0000-00004C290000}"/>
    <cellStyle name="40% - Énfasis2 2 2 4 2 3 4" xfId="10576" xr:uid="{00000000-0005-0000-0000-00004D290000}"/>
    <cellStyle name="40% - Énfasis2 2 2 4 2 3 5" xfId="10577" xr:uid="{00000000-0005-0000-0000-00004E290000}"/>
    <cellStyle name="40% - Énfasis2 2 2 4 2 4" xfId="10578" xr:uid="{00000000-0005-0000-0000-00004F290000}"/>
    <cellStyle name="40% - Énfasis2 2 2 4 2 4 2" xfId="10579" xr:uid="{00000000-0005-0000-0000-000050290000}"/>
    <cellStyle name="40% - Énfasis2 2 2 4 2 5" xfId="10580" xr:uid="{00000000-0005-0000-0000-000051290000}"/>
    <cellStyle name="40% - Énfasis2 2 2 4 2 5 2" xfId="10581" xr:uid="{00000000-0005-0000-0000-000052290000}"/>
    <cellStyle name="40% - Énfasis2 2 2 4 2 6" xfId="10582" xr:uid="{00000000-0005-0000-0000-000053290000}"/>
    <cellStyle name="40% - Énfasis2 2 2 4 2 7" xfId="10583" xr:uid="{00000000-0005-0000-0000-000054290000}"/>
    <cellStyle name="40% - Énfasis2 2 2 4 3" xfId="10584" xr:uid="{00000000-0005-0000-0000-000055290000}"/>
    <cellStyle name="40% - Énfasis2 2 2 4 3 2" xfId="10585" xr:uid="{00000000-0005-0000-0000-000056290000}"/>
    <cellStyle name="40% - Énfasis2 2 2 4 3 2 2" xfId="10586" xr:uid="{00000000-0005-0000-0000-000057290000}"/>
    <cellStyle name="40% - Énfasis2 2 2 4 3 2 2 2" xfId="10587" xr:uid="{00000000-0005-0000-0000-000058290000}"/>
    <cellStyle name="40% - Énfasis2 2 2 4 3 2 3" xfId="10588" xr:uid="{00000000-0005-0000-0000-000059290000}"/>
    <cellStyle name="40% - Énfasis2 2 2 4 3 2 4" xfId="10589" xr:uid="{00000000-0005-0000-0000-00005A290000}"/>
    <cellStyle name="40% - Énfasis2 2 2 4 3 3" xfId="10590" xr:uid="{00000000-0005-0000-0000-00005B290000}"/>
    <cellStyle name="40% - Énfasis2 2 2 4 3 3 2" xfId="10591" xr:uid="{00000000-0005-0000-0000-00005C290000}"/>
    <cellStyle name="40% - Énfasis2 2 2 4 3 4" xfId="10592" xr:uid="{00000000-0005-0000-0000-00005D290000}"/>
    <cellStyle name="40% - Énfasis2 2 2 4 3 5" xfId="10593" xr:uid="{00000000-0005-0000-0000-00005E290000}"/>
    <cellStyle name="40% - Énfasis2 2 2 4 4" xfId="10594" xr:uid="{00000000-0005-0000-0000-00005F290000}"/>
    <cellStyle name="40% - Énfasis2 2 2 4 4 2" xfId="10595" xr:uid="{00000000-0005-0000-0000-000060290000}"/>
    <cellStyle name="40% - Énfasis2 2 2 4 4 2 2" xfId="10596" xr:uid="{00000000-0005-0000-0000-000061290000}"/>
    <cellStyle name="40% - Énfasis2 2 2 4 4 3" xfId="10597" xr:uid="{00000000-0005-0000-0000-000062290000}"/>
    <cellStyle name="40% - Énfasis2 2 2 4 4 3 2" xfId="10598" xr:uid="{00000000-0005-0000-0000-000063290000}"/>
    <cellStyle name="40% - Énfasis2 2 2 4 4 4" xfId="10599" xr:uid="{00000000-0005-0000-0000-000064290000}"/>
    <cellStyle name="40% - Énfasis2 2 2 4 4 5" xfId="10600" xr:uid="{00000000-0005-0000-0000-000065290000}"/>
    <cellStyle name="40% - Énfasis2 2 2 4 5" xfId="10601" xr:uid="{00000000-0005-0000-0000-000066290000}"/>
    <cellStyle name="40% - Énfasis2 2 2 4 5 2" xfId="10602" xr:uid="{00000000-0005-0000-0000-000067290000}"/>
    <cellStyle name="40% - Énfasis2 2 2 4 6" xfId="10603" xr:uid="{00000000-0005-0000-0000-000068290000}"/>
    <cellStyle name="40% - Énfasis2 2 2 4 6 2" xfId="10604" xr:uid="{00000000-0005-0000-0000-000069290000}"/>
    <cellStyle name="40% - Énfasis2 2 2 4 7" xfId="10605" xr:uid="{00000000-0005-0000-0000-00006A290000}"/>
    <cellStyle name="40% - Énfasis2 2 2 4 8" xfId="10606" xr:uid="{00000000-0005-0000-0000-00006B290000}"/>
    <cellStyle name="40% - Énfasis2 2 2 5" xfId="10607" xr:uid="{00000000-0005-0000-0000-00006C290000}"/>
    <cellStyle name="40% - Énfasis2 2 2 5 2" xfId="10608" xr:uid="{00000000-0005-0000-0000-00006D290000}"/>
    <cellStyle name="40% - Énfasis2 2 2 5 2 2" xfId="10609" xr:uid="{00000000-0005-0000-0000-00006E290000}"/>
    <cellStyle name="40% - Énfasis2 2 2 5 2 2 2" xfId="10610" xr:uid="{00000000-0005-0000-0000-00006F290000}"/>
    <cellStyle name="40% - Énfasis2 2 2 5 2 2 2 2" xfId="10611" xr:uid="{00000000-0005-0000-0000-000070290000}"/>
    <cellStyle name="40% - Énfasis2 2 2 5 2 2 3" xfId="10612" xr:uid="{00000000-0005-0000-0000-000071290000}"/>
    <cellStyle name="40% - Énfasis2 2 2 5 2 2 4" xfId="10613" xr:uid="{00000000-0005-0000-0000-000072290000}"/>
    <cellStyle name="40% - Énfasis2 2 2 5 2 3" xfId="10614" xr:uid="{00000000-0005-0000-0000-000073290000}"/>
    <cellStyle name="40% - Énfasis2 2 2 5 2 3 2" xfId="10615" xr:uid="{00000000-0005-0000-0000-000074290000}"/>
    <cellStyle name="40% - Énfasis2 2 2 5 2 4" xfId="10616" xr:uid="{00000000-0005-0000-0000-000075290000}"/>
    <cellStyle name="40% - Énfasis2 2 2 5 2 5" xfId="10617" xr:uid="{00000000-0005-0000-0000-000076290000}"/>
    <cellStyle name="40% - Énfasis2 2 2 5 3" xfId="10618" xr:uid="{00000000-0005-0000-0000-000077290000}"/>
    <cellStyle name="40% - Énfasis2 2 2 5 3 2" xfId="10619" xr:uid="{00000000-0005-0000-0000-000078290000}"/>
    <cellStyle name="40% - Énfasis2 2 2 5 3 3" xfId="10620" xr:uid="{00000000-0005-0000-0000-000079290000}"/>
    <cellStyle name="40% - Énfasis2 2 2 5 4" xfId="10621" xr:uid="{00000000-0005-0000-0000-00007A290000}"/>
    <cellStyle name="40% - Énfasis2 2 2 5 4 2" xfId="10622" xr:uid="{00000000-0005-0000-0000-00007B290000}"/>
    <cellStyle name="40% - Énfasis2 2 2 5 5" xfId="10623" xr:uid="{00000000-0005-0000-0000-00007C290000}"/>
    <cellStyle name="40% - Énfasis2 2 2 6" xfId="10624" xr:uid="{00000000-0005-0000-0000-00007D290000}"/>
    <cellStyle name="40% - Énfasis2 2 2 6 2" xfId="10625" xr:uid="{00000000-0005-0000-0000-00007E290000}"/>
    <cellStyle name="40% - Énfasis2 2 2 6 2 2" xfId="10626" xr:uid="{00000000-0005-0000-0000-00007F290000}"/>
    <cellStyle name="40% - Énfasis2 2 2 6 2 2 2" xfId="10627" xr:uid="{00000000-0005-0000-0000-000080290000}"/>
    <cellStyle name="40% - Énfasis2 2 2 6 2 3" xfId="10628" xr:uid="{00000000-0005-0000-0000-000081290000}"/>
    <cellStyle name="40% - Énfasis2 2 2 6 2 3 2" xfId="10629" xr:uid="{00000000-0005-0000-0000-000082290000}"/>
    <cellStyle name="40% - Énfasis2 2 2 6 2 4" xfId="10630" xr:uid="{00000000-0005-0000-0000-000083290000}"/>
    <cellStyle name="40% - Énfasis2 2 2 6 2 5" xfId="10631" xr:uid="{00000000-0005-0000-0000-000084290000}"/>
    <cellStyle name="40% - Énfasis2 2 2 6 3" xfId="10632" xr:uid="{00000000-0005-0000-0000-000085290000}"/>
    <cellStyle name="40% - Énfasis2 2 2 6 3 2" xfId="10633" xr:uid="{00000000-0005-0000-0000-000086290000}"/>
    <cellStyle name="40% - Énfasis2 2 2 6 4" xfId="10634" xr:uid="{00000000-0005-0000-0000-000087290000}"/>
    <cellStyle name="40% - Énfasis2 2 2 6 4 2" xfId="10635" xr:uid="{00000000-0005-0000-0000-000088290000}"/>
    <cellStyle name="40% - Énfasis2 2 2 6 5" xfId="10636" xr:uid="{00000000-0005-0000-0000-000089290000}"/>
    <cellStyle name="40% - Énfasis2 2 2 6 6" xfId="10637" xr:uid="{00000000-0005-0000-0000-00008A290000}"/>
    <cellStyle name="40% - Énfasis2 2 2 7" xfId="10638" xr:uid="{00000000-0005-0000-0000-00008B290000}"/>
    <cellStyle name="40% - Énfasis2 2 2 7 2" xfId="10639" xr:uid="{00000000-0005-0000-0000-00008C290000}"/>
    <cellStyle name="40% - Énfasis2 2 2 7 2 2" xfId="10640" xr:uid="{00000000-0005-0000-0000-00008D290000}"/>
    <cellStyle name="40% - Énfasis2 2 2 7 3" xfId="10641" xr:uid="{00000000-0005-0000-0000-00008E290000}"/>
    <cellStyle name="40% - Énfasis2 2 2 7 3 2" xfId="10642" xr:uid="{00000000-0005-0000-0000-00008F290000}"/>
    <cellStyle name="40% - Énfasis2 2 2 7 4" xfId="10643" xr:uid="{00000000-0005-0000-0000-000090290000}"/>
    <cellStyle name="40% - Énfasis2 2 2 7 5" xfId="10644" xr:uid="{00000000-0005-0000-0000-000091290000}"/>
    <cellStyle name="40% - Énfasis2 2 2 8" xfId="10645" xr:uid="{00000000-0005-0000-0000-000092290000}"/>
    <cellStyle name="40% - Énfasis2 2 2 8 2" xfId="10646" xr:uid="{00000000-0005-0000-0000-000093290000}"/>
    <cellStyle name="40% - Énfasis2 2 2 8 2 2" xfId="10647" xr:uid="{00000000-0005-0000-0000-000094290000}"/>
    <cellStyle name="40% - Énfasis2 2 2 8 3" xfId="10648" xr:uid="{00000000-0005-0000-0000-000095290000}"/>
    <cellStyle name="40% - Énfasis2 2 2 9" xfId="10649" xr:uid="{00000000-0005-0000-0000-000096290000}"/>
    <cellStyle name="40% - Énfasis2 2 2 9 2" xfId="10650" xr:uid="{00000000-0005-0000-0000-000097290000}"/>
    <cellStyle name="40% - Énfasis2 2 3" xfId="10651" xr:uid="{00000000-0005-0000-0000-000098290000}"/>
    <cellStyle name="40% - Énfasis2 2 3 10" xfId="10652" xr:uid="{00000000-0005-0000-0000-000099290000}"/>
    <cellStyle name="40% - Énfasis2 2 3 2" xfId="10653" xr:uid="{00000000-0005-0000-0000-00009A290000}"/>
    <cellStyle name="40% - Énfasis2 2 3 2 2" xfId="10654" xr:uid="{00000000-0005-0000-0000-00009B290000}"/>
    <cellStyle name="40% - Énfasis2 2 3 2 2 2" xfId="10655" xr:uid="{00000000-0005-0000-0000-00009C290000}"/>
    <cellStyle name="40% - Énfasis2 2 3 2 2 2 2" xfId="10656" xr:uid="{00000000-0005-0000-0000-00009D290000}"/>
    <cellStyle name="40% - Énfasis2 2 3 2 2 2 2 2" xfId="10657" xr:uid="{00000000-0005-0000-0000-00009E290000}"/>
    <cellStyle name="40% - Énfasis2 2 3 2 2 2 2 2 2" xfId="10658" xr:uid="{00000000-0005-0000-0000-00009F290000}"/>
    <cellStyle name="40% - Énfasis2 2 3 2 2 2 2 2 2 2" xfId="10659" xr:uid="{00000000-0005-0000-0000-0000A0290000}"/>
    <cellStyle name="40% - Énfasis2 2 3 2 2 2 2 2 3" xfId="10660" xr:uid="{00000000-0005-0000-0000-0000A1290000}"/>
    <cellStyle name="40% - Énfasis2 2 3 2 2 2 2 2 4" xfId="10661" xr:uid="{00000000-0005-0000-0000-0000A2290000}"/>
    <cellStyle name="40% - Énfasis2 2 3 2 2 2 2 3" xfId="10662" xr:uid="{00000000-0005-0000-0000-0000A3290000}"/>
    <cellStyle name="40% - Énfasis2 2 3 2 2 2 2 3 2" xfId="10663" xr:uid="{00000000-0005-0000-0000-0000A4290000}"/>
    <cellStyle name="40% - Énfasis2 2 3 2 2 2 2 4" xfId="10664" xr:uid="{00000000-0005-0000-0000-0000A5290000}"/>
    <cellStyle name="40% - Énfasis2 2 3 2 2 2 2 5" xfId="10665" xr:uid="{00000000-0005-0000-0000-0000A6290000}"/>
    <cellStyle name="40% - Énfasis2 2 3 2 2 2 3" xfId="10666" xr:uid="{00000000-0005-0000-0000-0000A7290000}"/>
    <cellStyle name="40% - Énfasis2 2 3 2 2 2 3 2" xfId="10667" xr:uid="{00000000-0005-0000-0000-0000A8290000}"/>
    <cellStyle name="40% - Énfasis2 2 3 2 2 2 3 2 2" xfId="10668" xr:uid="{00000000-0005-0000-0000-0000A9290000}"/>
    <cellStyle name="40% - Énfasis2 2 3 2 2 2 3 3" xfId="10669" xr:uid="{00000000-0005-0000-0000-0000AA290000}"/>
    <cellStyle name="40% - Énfasis2 2 3 2 2 2 3 4" xfId="10670" xr:uid="{00000000-0005-0000-0000-0000AB290000}"/>
    <cellStyle name="40% - Énfasis2 2 3 2 2 2 4" xfId="10671" xr:uid="{00000000-0005-0000-0000-0000AC290000}"/>
    <cellStyle name="40% - Énfasis2 2 3 2 2 2 4 2" xfId="10672" xr:uid="{00000000-0005-0000-0000-0000AD290000}"/>
    <cellStyle name="40% - Énfasis2 2 3 2 2 2 5" xfId="10673" xr:uid="{00000000-0005-0000-0000-0000AE290000}"/>
    <cellStyle name="40% - Énfasis2 2 3 2 2 2 6" xfId="10674" xr:uid="{00000000-0005-0000-0000-0000AF290000}"/>
    <cellStyle name="40% - Énfasis2 2 3 2 2 3" xfId="10675" xr:uid="{00000000-0005-0000-0000-0000B0290000}"/>
    <cellStyle name="40% - Énfasis2 2 3 2 2 3 2" xfId="10676" xr:uid="{00000000-0005-0000-0000-0000B1290000}"/>
    <cellStyle name="40% - Énfasis2 2 3 2 2 3 2 2" xfId="10677" xr:uid="{00000000-0005-0000-0000-0000B2290000}"/>
    <cellStyle name="40% - Énfasis2 2 3 2 2 3 2 2 2" xfId="10678" xr:uid="{00000000-0005-0000-0000-0000B3290000}"/>
    <cellStyle name="40% - Énfasis2 2 3 2 2 3 2 3" xfId="10679" xr:uid="{00000000-0005-0000-0000-0000B4290000}"/>
    <cellStyle name="40% - Énfasis2 2 3 2 2 3 2 4" xfId="10680" xr:uid="{00000000-0005-0000-0000-0000B5290000}"/>
    <cellStyle name="40% - Énfasis2 2 3 2 2 3 3" xfId="10681" xr:uid="{00000000-0005-0000-0000-0000B6290000}"/>
    <cellStyle name="40% - Énfasis2 2 3 2 2 3 3 2" xfId="10682" xr:uid="{00000000-0005-0000-0000-0000B7290000}"/>
    <cellStyle name="40% - Énfasis2 2 3 2 2 3 4" xfId="10683" xr:uid="{00000000-0005-0000-0000-0000B8290000}"/>
    <cellStyle name="40% - Énfasis2 2 3 2 2 3 5" xfId="10684" xr:uid="{00000000-0005-0000-0000-0000B9290000}"/>
    <cellStyle name="40% - Énfasis2 2 3 2 2 4" xfId="10685" xr:uid="{00000000-0005-0000-0000-0000BA290000}"/>
    <cellStyle name="40% - Énfasis2 2 3 2 2 4 2" xfId="10686" xr:uid="{00000000-0005-0000-0000-0000BB290000}"/>
    <cellStyle name="40% - Énfasis2 2 3 2 2 4 2 2" xfId="10687" xr:uid="{00000000-0005-0000-0000-0000BC290000}"/>
    <cellStyle name="40% - Énfasis2 2 3 2 2 4 3" xfId="10688" xr:uid="{00000000-0005-0000-0000-0000BD290000}"/>
    <cellStyle name="40% - Énfasis2 2 3 2 2 4 4" xfId="10689" xr:uid="{00000000-0005-0000-0000-0000BE290000}"/>
    <cellStyle name="40% - Énfasis2 2 3 2 2 5" xfId="10690" xr:uid="{00000000-0005-0000-0000-0000BF290000}"/>
    <cellStyle name="40% - Énfasis2 2 3 2 2 5 2" xfId="10691" xr:uid="{00000000-0005-0000-0000-0000C0290000}"/>
    <cellStyle name="40% - Énfasis2 2 3 2 2 6" xfId="10692" xr:uid="{00000000-0005-0000-0000-0000C1290000}"/>
    <cellStyle name="40% - Énfasis2 2 3 2 2 7" xfId="10693" xr:uid="{00000000-0005-0000-0000-0000C2290000}"/>
    <cellStyle name="40% - Énfasis2 2 3 2 3" xfId="10694" xr:uid="{00000000-0005-0000-0000-0000C3290000}"/>
    <cellStyle name="40% - Énfasis2 2 3 2 3 2" xfId="10695" xr:uid="{00000000-0005-0000-0000-0000C4290000}"/>
    <cellStyle name="40% - Énfasis2 2 3 2 3 2 2" xfId="10696" xr:uid="{00000000-0005-0000-0000-0000C5290000}"/>
    <cellStyle name="40% - Énfasis2 2 3 2 3 2 2 2" xfId="10697" xr:uid="{00000000-0005-0000-0000-0000C6290000}"/>
    <cellStyle name="40% - Énfasis2 2 3 2 3 2 2 2 2" xfId="10698" xr:uid="{00000000-0005-0000-0000-0000C7290000}"/>
    <cellStyle name="40% - Énfasis2 2 3 2 3 2 2 3" xfId="10699" xr:uid="{00000000-0005-0000-0000-0000C8290000}"/>
    <cellStyle name="40% - Énfasis2 2 3 2 3 2 2 4" xfId="10700" xr:uid="{00000000-0005-0000-0000-0000C9290000}"/>
    <cellStyle name="40% - Énfasis2 2 3 2 3 2 3" xfId="10701" xr:uid="{00000000-0005-0000-0000-0000CA290000}"/>
    <cellStyle name="40% - Énfasis2 2 3 2 3 2 3 2" xfId="10702" xr:uid="{00000000-0005-0000-0000-0000CB290000}"/>
    <cellStyle name="40% - Énfasis2 2 3 2 3 2 4" xfId="10703" xr:uid="{00000000-0005-0000-0000-0000CC290000}"/>
    <cellStyle name="40% - Énfasis2 2 3 2 3 2 5" xfId="10704" xr:uid="{00000000-0005-0000-0000-0000CD290000}"/>
    <cellStyle name="40% - Énfasis2 2 3 2 3 3" xfId="10705" xr:uid="{00000000-0005-0000-0000-0000CE290000}"/>
    <cellStyle name="40% - Énfasis2 2 3 2 3 3 2" xfId="10706" xr:uid="{00000000-0005-0000-0000-0000CF290000}"/>
    <cellStyle name="40% - Énfasis2 2 3 2 3 3 2 2" xfId="10707" xr:uid="{00000000-0005-0000-0000-0000D0290000}"/>
    <cellStyle name="40% - Énfasis2 2 3 2 3 3 3" xfId="10708" xr:uid="{00000000-0005-0000-0000-0000D1290000}"/>
    <cellStyle name="40% - Énfasis2 2 3 2 3 3 3 2" xfId="10709" xr:uid="{00000000-0005-0000-0000-0000D2290000}"/>
    <cellStyle name="40% - Énfasis2 2 3 2 3 3 4" xfId="10710" xr:uid="{00000000-0005-0000-0000-0000D3290000}"/>
    <cellStyle name="40% - Énfasis2 2 3 2 3 3 5" xfId="10711" xr:uid="{00000000-0005-0000-0000-0000D4290000}"/>
    <cellStyle name="40% - Énfasis2 2 3 2 3 4" xfId="10712" xr:uid="{00000000-0005-0000-0000-0000D5290000}"/>
    <cellStyle name="40% - Énfasis2 2 3 2 3 4 2" xfId="10713" xr:uid="{00000000-0005-0000-0000-0000D6290000}"/>
    <cellStyle name="40% - Énfasis2 2 3 2 3 5" xfId="10714" xr:uid="{00000000-0005-0000-0000-0000D7290000}"/>
    <cellStyle name="40% - Énfasis2 2 3 2 3 5 2" xfId="10715" xr:uid="{00000000-0005-0000-0000-0000D8290000}"/>
    <cellStyle name="40% - Énfasis2 2 3 2 3 6" xfId="10716" xr:uid="{00000000-0005-0000-0000-0000D9290000}"/>
    <cellStyle name="40% - Énfasis2 2 3 2 3 7" xfId="10717" xr:uid="{00000000-0005-0000-0000-0000DA290000}"/>
    <cellStyle name="40% - Énfasis2 2 3 2 4" xfId="10718" xr:uid="{00000000-0005-0000-0000-0000DB290000}"/>
    <cellStyle name="40% - Énfasis2 2 3 2 4 2" xfId="10719" xr:uid="{00000000-0005-0000-0000-0000DC290000}"/>
    <cellStyle name="40% - Énfasis2 2 3 2 4 2 2" xfId="10720" xr:uid="{00000000-0005-0000-0000-0000DD290000}"/>
    <cellStyle name="40% - Énfasis2 2 3 2 4 2 2 2" xfId="10721" xr:uid="{00000000-0005-0000-0000-0000DE290000}"/>
    <cellStyle name="40% - Énfasis2 2 3 2 4 2 3" xfId="10722" xr:uid="{00000000-0005-0000-0000-0000DF290000}"/>
    <cellStyle name="40% - Énfasis2 2 3 2 4 2 4" xfId="10723" xr:uid="{00000000-0005-0000-0000-0000E0290000}"/>
    <cellStyle name="40% - Énfasis2 2 3 2 4 3" xfId="10724" xr:uid="{00000000-0005-0000-0000-0000E1290000}"/>
    <cellStyle name="40% - Énfasis2 2 3 2 4 3 2" xfId="10725" xr:uid="{00000000-0005-0000-0000-0000E2290000}"/>
    <cellStyle name="40% - Énfasis2 2 3 2 4 4" xfId="10726" xr:uid="{00000000-0005-0000-0000-0000E3290000}"/>
    <cellStyle name="40% - Énfasis2 2 3 2 4 5" xfId="10727" xr:uid="{00000000-0005-0000-0000-0000E4290000}"/>
    <cellStyle name="40% - Énfasis2 2 3 2 5" xfId="10728" xr:uid="{00000000-0005-0000-0000-0000E5290000}"/>
    <cellStyle name="40% - Énfasis2 2 3 2 5 2" xfId="10729" xr:uid="{00000000-0005-0000-0000-0000E6290000}"/>
    <cellStyle name="40% - Énfasis2 2 3 2 5 2 2" xfId="10730" xr:uid="{00000000-0005-0000-0000-0000E7290000}"/>
    <cellStyle name="40% - Énfasis2 2 3 2 5 3" xfId="10731" xr:uid="{00000000-0005-0000-0000-0000E8290000}"/>
    <cellStyle name="40% - Énfasis2 2 3 2 5 3 2" xfId="10732" xr:uid="{00000000-0005-0000-0000-0000E9290000}"/>
    <cellStyle name="40% - Énfasis2 2 3 2 5 4" xfId="10733" xr:uid="{00000000-0005-0000-0000-0000EA290000}"/>
    <cellStyle name="40% - Énfasis2 2 3 2 5 5" xfId="10734" xr:uid="{00000000-0005-0000-0000-0000EB290000}"/>
    <cellStyle name="40% - Énfasis2 2 3 2 6" xfId="10735" xr:uid="{00000000-0005-0000-0000-0000EC290000}"/>
    <cellStyle name="40% - Énfasis2 2 3 2 6 2" xfId="10736" xr:uid="{00000000-0005-0000-0000-0000ED290000}"/>
    <cellStyle name="40% - Énfasis2 2 3 2 7" xfId="10737" xr:uid="{00000000-0005-0000-0000-0000EE290000}"/>
    <cellStyle name="40% - Énfasis2 2 3 2 7 2" xfId="10738" xr:uid="{00000000-0005-0000-0000-0000EF290000}"/>
    <cellStyle name="40% - Énfasis2 2 3 2 8" xfId="10739" xr:uid="{00000000-0005-0000-0000-0000F0290000}"/>
    <cellStyle name="40% - Énfasis2 2 3 2 9" xfId="10740" xr:uid="{00000000-0005-0000-0000-0000F1290000}"/>
    <cellStyle name="40% - Énfasis2 2 3 3" xfId="10741" xr:uid="{00000000-0005-0000-0000-0000F2290000}"/>
    <cellStyle name="40% - Énfasis2 2 3 3 2" xfId="10742" xr:uid="{00000000-0005-0000-0000-0000F3290000}"/>
    <cellStyle name="40% - Énfasis2 2 3 3 2 2" xfId="10743" xr:uid="{00000000-0005-0000-0000-0000F4290000}"/>
    <cellStyle name="40% - Énfasis2 2 3 3 2 2 2" xfId="10744" xr:uid="{00000000-0005-0000-0000-0000F5290000}"/>
    <cellStyle name="40% - Énfasis2 2 3 3 2 2 2 2" xfId="10745" xr:uid="{00000000-0005-0000-0000-0000F6290000}"/>
    <cellStyle name="40% - Énfasis2 2 3 3 2 2 2 2 2" xfId="10746" xr:uid="{00000000-0005-0000-0000-0000F7290000}"/>
    <cellStyle name="40% - Énfasis2 2 3 3 2 2 2 3" xfId="10747" xr:uid="{00000000-0005-0000-0000-0000F8290000}"/>
    <cellStyle name="40% - Énfasis2 2 3 3 2 2 2 4" xfId="10748" xr:uid="{00000000-0005-0000-0000-0000F9290000}"/>
    <cellStyle name="40% - Énfasis2 2 3 3 2 2 3" xfId="10749" xr:uid="{00000000-0005-0000-0000-0000FA290000}"/>
    <cellStyle name="40% - Énfasis2 2 3 3 2 2 3 2" xfId="10750" xr:uid="{00000000-0005-0000-0000-0000FB290000}"/>
    <cellStyle name="40% - Énfasis2 2 3 3 2 2 4" xfId="10751" xr:uid="{00000000-0005-0000-0000-0000FC290000}"/>
    <cellStyle name="40% - Énfasis2 2 3 3 2 2 5" xfId="10752" xr:uid="{00000000-0005-0000-0000-0000FD290000}"/>
    <cellStyle name="40% - Énfasis2 2 3 3 2 3" xfId="10753" xr:uid="{00000000-0005-0000-0000-0000FE290000}"/>
    <cellStyle name="40% - Énfasis2 2 3 3 2 3 2" xfId="10754" xr:uid="{00000000-0005-0000-0000-0000FF290000}"/>
    <cellStyle name="40% - Énfasis2 2 3 3 2 3 2 2" xfId="10755" xr:uid="{00000000-0005-0000-0000-0000002A0000}"/>
    <cellStyle name="40% - Énfasis2 2 3 3 2 3 3" xfId="10756" xr:uid="{00000000-0005-0000-0000-0000012A0000}"/>
    <cellStyle name="40% - Énfasis2 2 3 3 2 3 3 2" xfId="10757" xr:uid="{00000000-0005-0000-0000-0000022A0000}"/>
    <cellStyle name="40% - Énfasis2 2 3 3 2 3 4" xfId="10758" xr:uid="{00000000-0005-0000-0000-0000032A0000}"/>
    <cellStyle name="40% - Énfasis2 2 3 3 2 3 5" xfId="10759" xr:uid="{00000000-0005-0000-0000-0000042A0000}"/>
    <cellStyle name="40% - Énfasis2 2 3 3 2 4" xfId="10760" xr:uid="{00000000-0005-0000-0000-0000052A0000}"/>
    <cellStyle name="40% - Énfasis2 2 3 3 2 4 2" xfId="10761" xr:uid="{00000000-0005-0000-0000-0000062A0000}"/>
    <cellStyle name="40% - Énfasis2 2 3 3 2 5" xfId="10762" xr:uid="{00000000-0005-0000-0000-0000072A0000}"/>
    <cellStyle name="40% - Énfasis2 2 3 3 2 5 2" xfId="10763" xr:uid="{00000000-0005-0000-0000-0000082A0000}"/>
    <cellStyle name="40% - Énfasis2 2 3 3 2 6" xfId="10764" xr:uid="{00000000-0005-0000-0000-0000092A0000}"/>
    <cellStyle name="40% - Énfasis2 2 3 3 2 7" xfId="10765" xr:uid="{00000000-0005-0000-0000-00000A2A0000}"/>
    <cellStyle name="40% - Énfasis2 2 3 3 3" xfId="10766" xr:uid="{00000000-0005-0000-0000-00000B2A0000}"/>
    <cellStyle name="40% - Énfasis2 2 3 3 3 2" xfId="10767" xr:uid="{00000000-0005-0000-0000-00000C2A0000}"/>
    <cellStyle name="40% - Énfasis2 2 3 3 3 2 2" xfId="10768" xr:uid="{00000000-0005-0000-0000-00000D2A0000}"/>
    <cellStyle name="40% - Énfasis2 2 3 3 3 2 2 2" xfId="10769" xr:uid="{00000000-0005-0000-0000-00000E2A0000}"/>
    <cellStyle name="40% - Énfasis2 2 3 3 3 2 3" xfId="10770" xr:uid="{00000000-0005-0000-0000-00000F2A0000}"/>
    <cellStyle name="40% - Énfasis2 2 3 3 3 2 4" xfId="10771" xr:uid="{00000000-0005-0000-0000-0000102A0000}"/>
    <cellStyle name="40% - Énfasis2 2 3 3 3 3" xfId="10772" xr:uid="{00000000-0005-0000-0000-0000112A0000}"/>
    <cellStyle name="40% - Énfasis2 2 3 3 3 3 2" xfId="10773" xr:uid="{00000000-0005-0000-0000-0000122A0000}"/>
    <cellStyle name="40% - Énfasis2 2 3 3 3 4" xfId="10774" xr:uid="{00000000-0005-0000-0000-0000132A0000}"/>
    <cellStyle name="40% - Énfasis2 2 3 3 3 5" xfId="10775" xr:uid="{00000000-0005-0000-0000-0000142A0000}"/>
    <cellStyle name="40% - Énfasis2 2 3 3 4" xfId="10776" xr:uid="{00000000-0005-0000-0000-0000152A0000}"/>
    <cellStyle name="40% - Énfasis2 2 3 3 4 2" xfId="10777" xr:uid="{00000000-0005-0000-0000-0000162A0000}"/>
    <cellStyle name="40% - Énfasis2 2 3 3 4 2 2" xfId="10778" xr:uid="{00000000-0005-0000-0000-0000172A0000}"/>
    <cellStyle name="40% - Énfasis2 2 3 3 4 3" xfId="10779" xr:uid="{00000000-0005-0000-0000-0000182A0000}"/>
    <cellStyle name="40% - Énfasis2 2 3 3 4 3 2" xfId="10780" xr:uid="{00000000-0005-0000-0000-0000192A0000}"/>
    <cellStyle name="40% - Énfasis2 2 3 3 4 4" xfId="10781" xr:uid="{00000000-0005-0000-0000-00001A2A0000}"/>
    <cellStyle name="40% - Énfasis2 2 3 3 4 5" xfId="10782" xr:uid="{00000000-0005-0000-0000-00001B2A0000}"/>
    <cellStyle name="40% - Énfasis2 2 3 3 5" xfId="10783" xr:uid="{00000000-0005-0000-0000-00001C2A0000}"/>
    <cellStyle name="40% - Énfasis2 2 3 3 5 2" xfId="10784" xr:uid="{00000000-0005-0000-0000-00001D2A0000}"/>
    <cellStyle name="40% - Énfasis2 2 3 3 6" xfId="10785" xr:uid="{00000000-0005-0000-0000-00001E2A0000}"/>
    <cellStyle name="40% - Énfasis2 2 3 3 6 2" xfId="10786" xr:uid="{00000000-0005-0000-0000-00001F2A0000}"/>
    <cellStyle name="40% - Énfasis2 2 3 3 7" xfId="10787" xr:uid="{00000000-0005-0000-0000-0000202A0000}"/>
    <cellStyle name="40% - Énfasis2 2 3 3 8" xfId="10788" xr:uid="{00000000-0005-0000-0000-0000212A0000}"/>
    <cellStyle name="40% - Énfasis2 2 3 4" xfId="10789" xr:uid="{00000000-0005-0000-0000-0000222A0000}"/>
    <cellStyle name="40% - Énfasis2 2 3 4 2" xfId="10790" xr:uid="{00000000-0005-0000-0000-0000232A0000}"/>
    <cellStyle name="40% - Énfasis2 2 3 4 2 2" xfId="10791" xr:uid="{00000000-0005-0000-0000-0000242A0000}"/>
    <cellStyle name="40% - Énfasis2 2 3 4 2 2 2" xfId="10792" xr:uid="{00000000-0005-0000-0000-0000252A0000}"/>
    <cellStyle name="40% - Énfasis2 2 3 4 2 2 2 2" xfId="10793" xr:uid="{00000000-0005-0000-0000-0000262A0000}"/>
    <cellStyle name="40% - Énfasis2 2 3 4 2 2 3" xfId="10794" xr:uid="{00000000-0005-0000-0000-0000272A0000}"/>
    <cellStyle name="40% - Énfasis2 2 3 4 2 2 4" xfId="10795" xr:uid="{00000000-0005-0000-0000-0000282A0000}"/>
    <cellStyle name="40% - Énfasis2 2 3 4 2 3" xfId="10796" xr:uid="{00000000-0005-0000-0000-0000292A0000}"/>
    <cellStyle name="40% - Énfasis2 2 3 4 2 3 2" xfId="10797" xr:uid="{00000000-0005-0000-0000-00002A2A0000}"/>
    <cellStyle name="40% - Énfasis2 2 3 4 2 4" xfId="10798" xr:uid="{00000000-0005-0000-0000-00002B2A0000}"/>
    <cellStyle name="40% - Énfasis2 2 3 4 2 5" xfId="10799" xr:uid="{00000000-0005-0000-0000-00002C2A0000}"/>
    <cellStyle name="40% - Énfasis2 2 3 4 3" xfId="10800" xr:uid="{00000000-0005-0000-0000-00002D2A0000}"/>
    <cellStyle name="40% - Énfasis2 2 3 4 3 2" xfId="10801" xr:uid="{00000000-0005-0000-0000-00002E2A0000}"/>
    <cellStyle name="40% - Énfasis2 2 3 4 3 2 2" xfId="10802" xr:uid="{00000000-0005-0000-0000-00002F2A0000}"/>
    <cellStyle name="40% - Énfasis2 2 3 4 3 3" xfId="10803" xr:uid="{00000000-0005-0000-0000-0000302A0000}"/>
    <cellStyle name="40% - Énfasis2 2 3 4 3 3 2" xfId="10804" xr:uid="{00000000-0005-0000-0000-0000312A0000}"/>
    <cellStyle name="40% - Énfasis2 2 3 4 3 4" xfId="10805" xr:uid="{00000000-0005-0000-0000-0000322A0000}"/>
    <cellStyle name="40% - Énfasis2 2 3 4 3 5" xfId="10806" xr:uid="{00000000-0005-0000-0000-0000332A0000}"/>
    <cellStyle name="40% - Énfasis2 2 3 4 4" xfId="10807" xr:uid="{00000000-0005-0000-0000-0000342A0000}"/>
    <cellStyle name="40% - Énfasis2 2 3 4 4 2" xfId="10808" xr:uid="{00000000-0005-0000-0000-0000352A0000}"/>
    <cellStyle name="40% - Énfasis2 2 3 4 5" xfId="10809" xr:uid="{00000000-0005-0000-0000-0000362A0000}"/>
    <cellStyle name="40% - Énfasis2 2 3 4 5 2" xfId="10810" xr:uid="{00000000-0005-0000-0000-0000372A0000}"/>
    <cellStyle name="40% - Énfasis2 2 3 4 6" xfId="10811" xr:uid="{00000000-0005-0000-0000-0000382A0000}"/>
    <cellStyle name="40% - Énfasis2 2 3 4 7" xfId="10812" xr:uid="{00000000-0005-0000-0000-0000392A0000}"/>
    <cellStyle name="40% - Énfasis2 2 3 5" xfId="10813" xr:uid="{00000000-0005-0000-0000-00003A2A0000}"/>
    <cellStyle name="40% - Énfasis2 2 3 5 2" xfId="10814" xr:uid="{00000000-0005-0000-0000-00003B2A0000}"/>
    <cellStyle name="40% - Énfasis2 2 3 5 2 2" xfId="10815" xr:uid="{00000000-0005-0000-0000-00003C2A0000}"/>
    <cellStyle name="40% - Énfasis2 2 3 5 2 2 2" xfId="10816" xr:uid="{00000000-0005-0000-0000-00003D2A0000}"/>
    <cellStyle name="40% - Énfasis2 2 3 5 2 3" xfId="10817" xr:uid="{00000000-0005-0000-0000-00003E2A0000}"/>
    <cellStyle name="40% - Énfasis2 2 3 5 2 4" xfId="10818" xr:uid="{00000000-0005-0000-0000-00003F2A0000}"/>
    <cellStyle name="40% - Énfasis2 2 3 5 3" xfId="10819" xr:uid="{00000000-0005-0000-0000-0000402A0000}"/>
    <cellStyle name="40% - Énfasis2 2 3 5 3 2" xfId="10820" xr:uid="{00000000-0005-0000-0000-0000412A0000}"/>
    <cellStyle name="40% - Énfasis2 2 3 5 4" xfId="10821" xr:uid="{00000000-0005-0000-0000-0000422A0000}"/>
    <cellStyle name="40% - Énfasis2 2 3 5 5" xfId="10822" xr:uid="{00000000-0005-0000-0000-0000432A0000}"/>
    <cellStyle name="40% - Énfasis2 2 3 6" xfId="10823" xr:uid="{00000000-0005-0000-0000-0000442A0000}"/>
    <cellStyle name="40% - Énfasis2 2 3 6 2" xfId="10824" xr:uid="{00000000-0005-0000-0000-0000452A0000}"/>
    <cellStyle name="40% - Énfasis2 2 3 6 2 2" xfId="10825" xr:uid="{00000000-0005-0000-0000-0000462A0000}"/>
    <cellStyle name="40% - Énfasis2 2 3 6 3" xfId="10826" xr:uid="{00000000-0005-0000-0000-0000472A0000}"/>
    <cellStyle name="40% - Énfasis2 2 3 6 3 2" xfId="10827" xr:uid="{00000000-0005-0000-0000-0000482A0000}"/>
    <cellStyle name="40% - Énfasis2 2 3 6 4" xfId="10828" xr:uid="{00000000-0005-0000-0000-0000492A0000}"/>
    <cellStyle name="40% - Énfasis2 2 3 6 5" xfId="10829" xr:uid="{00000000-0005-0000-0000-00004A2A0000}"/>
    <cellStyle name="40% - Énfasis2 2 3 7" xfId="10830" xr:uid="{00000000-0005-0000-0000-00004B2A0000}"/>
    <cellStyle name="40% - Énfasis2 2 3 7 2" xfId="10831" xr:uid="{00000000-0005-0000-0000-00004C2A0000}"/>
    <cellStyle name="40% - Énfasis2 2 3 8" xfId="10832" xr:uid="{00000000-0005-0000-0000-00004D2A0000}"/>
    <cellStyle name="40% - Énfasis2 2 3 8 2" xfId="10833" xr:uid="{00000000-0005-0000-0000-00004E2A0000}"/>
    <cellStyle name="40% - Énfasis2 2 3 9" xfId="10834" xr:uid="{00000000-0005-0000-0000-00004F2A0000}"/>
    <cellStyle name="40% - Énfasis2 2 4" xfId="10835" xr:uid="{00000000-0005-0000-0000-0000502A0000}"/>
    <cellStyle name="40% - Énfasis2 2 4 2" xfId="10836" xr:uid="{00000000-0005-0000-0000-0000512A0000}"/>
    <cellStyle name="40% - Énfasis2 2 4 2 2" xfId="10837" xr:uid="{00000000-0005-0000-0000-0000522A0000}"/>
    <cellStyle name="40% - Énfasis2 2 4 2 2 2" xfId="10838" xr:uid="{00000000-0005-0000-0000-0000532A0000}"/>
    <cellStyle name="40% - Énfasis2 2 4 2 2 2 2" xfId="10839" xr:uid="{00000000-0005-0000-0000-0000542A0000}"/>
    <cellStyle name="40% - Énfasis2 2 4 2 2 2 2 2" xfId="10840" xr:uid="{00000000-0005-0000-0000-0000552A0000}"/>
    <cellStyle name="40% - Énfasis2 2 4 2 2 2 2 2 2" xfId="10841" xr:uid="{00000000-0005-0000-0000-0000562A0000}"/>
    <cellStyle name="40% - Énfasis2 2 4 2 2 2 2 3" xfId="10842" xr:uid="{00000000-0005-0000-0000-0000572A0000}"/>
    <cellStyle name="40% - Énfasis2 2 4 2 2 2 2 4" xfId="10843" xr:uid="{00000000-0005-0000-0000-0000582A0000}"/>
    <cellStyle name="40% - Énfasis2 2 4 2 2 2 3" xfId="10844" xr:uid="{00000000-0005-0000-0000-0000592A0000}"/>
    <cellStyle name="40% - Énfasis2 2 4 2 2 2 3 2" xfId="10845" xr:uid="{00000000-0005-0000-0000-00005A2A0000}"/>
    <cellStyle name="40% - Énfasis2 2 4 2 2 2 4" xfId="10846" xr:uid="{00000000-0005-0000-0000-00005B2A0000}"/>
    <cellStyle name="40% - Énfasis2 2 4 2 2 2 5" xfId="10847" xr:uid="{00000000-0005-0000-0000-00005C2A0000}"/>
    <cellStyle name="40% - Énfasis2 2 4 2 2 3" xfId="10848" xr:uid="{00000000-0005-0000-0000-00005D2A0000}"/>
    <cellStyle name="40% - Énfasis2 2 4 2 2 3 2" xfId="10849" xr:uid="{00000000-0005-0000-0000-00005E2A0000}"/>
    <cellStyle name="40% - Énfasis2 2 4 2 2 3 2 2" xfId="10850" xr:uid="{00000000-0005-0000-0000-00005F2A0000}"/>
    <cellStyle name="40% - Énfasis2 2 4 2 2 3 3" xfId="10851" xr:uid="{00000000-0005-0000-0000-0000602A0000}"/>
    <cellStyle name="40% - Énfasis2 2 4 2 2 3 4" xfId="10852" xr:uid="{00000000-0005-0000-0000-0000612A0000}"/>
    <cellStyle name="40% - Énfasis2 2 4 2 2 4" xfId="10853" xr:uid="{00000000-0005-0000-0000-0000622A0000}"/>
    <cellStyle name="40% - Énfasis2 2 4 2 2 4 2" xfId="10854" xr:uid="{00000000-0005-0000-0000-0000632A0000}"/>
    <cellStyle name="40% - Énfasis2 2 4 2 2 5" xfId="10855" xr:uid="{00000000-0005-0000-0000-0000642A0000}"/>
    <cellStyle name="40% - Énfasis2 2 4 2 2 6" xfId="10856" xr:uid="{00000000-0005-0000-0000-0000652A0000}"/>
    <cellStyle name="40% - Énfasis2 2 4 2 3" xfId="10857" xr:uid="{00000000-0005-0000-0000-0000662A0000}"/>
    <cellStyle name="40% - Énfasis2 2 4 2 3 2" xfId="10858" xr:uid="{00000000-0005-0000-0000-0000672A0000}"/>
    <cellStyle name="40% - Énfasis2 2 4 2 3 2 2" xfId="10859" xr:uid="{00000000-0005-0000-0000-0000682A0000}"/>
    <cellStyle name="40% - Énfasis2 2 4 2 3 2 2 2" xfId="10860" xr:uid="{00000000-0005-0000-0000-0000692A0000}"/>
    <cellStyle name="40% - Énfasis2 2 4 2 3 2 3" xfId="10861" xr:uid="{00000000-0005-0000-0000-00006A2A0000}"/>
    <cellStyle name="40% - Énfasis2 2 4 2 3 2 4" xfId="10862" xr:uid="{00000000-0005-0000-0000-00006B2A0000}"/>
    <cellStyle name="40% - Énfasis2 2 4 2 3 3" xfId="10863" xr:uid="{00000000-0005-0000-0000-00006C2A0000}"/>
    <cellStyle name="40% - Énfasis2 2 4 2 3 3 2" xfId="10864" xr:uid="{00000000-0005-0000-0000-00006D2A0000}"/>
    <cellStyle name="40% - Énfasis2 2 4 2 3 4" xfId="10865" xr:uid="{00000000-0005-0000-0000-00006E2A0000}"/>
    <cellStyle name="40% - Énfasis2 2 4 2 3 5" xfId="10866" xr:uid="{00000000-0005-0000-0000-00006F2A0000}"/>
    <cellStyle name="40% - Énfasis2 2 4 2 4" xfId="10867" xr:uid="{00000000-0005-0000-0000-0000702A0000}"/>
    <cellStyle name="40% - Énfasis2 2 4 2 4 2" xfId="10868" xr:uid="{00000000-0005-0000-0000-0000712A0000}"/>
    <cellStyle name="40% - Énfasis2 2 4 2 4 2 2" xfId="10869" xr:uid="{00000000-0005-0000-0000-0000722A0000}"/>
    <cellStyle name="40% - Énfasis2 2 4 2 4 3" xfId="10870" xr:uid="{00000000-0005-0000-0000-0000732A0000}"/>
    <cellStyle name="40% - Énfasis2 2 4 2 4 4" xfId="10871" xr:uid="{00000000-0005-0000-0000-0000742A0000}"/>
    <cellStyle name="40% - Énfasis2 2 4 2 5" xfId="10872" xr:uid="{00000000-0005-0000-0000-0000752A0000}"/>
    <cellStyle name="40% - Énfasis2 2 4 2 5 2" xfId="10873" xr:uid="{00000000-0005-0000-0000-0000762A0000}"/>
    <cellStyle name="40% - Énfasis2 2 4 2 6" xfId="10874" xr:uid="{00000000-0005-0000-0000-0000772A0000}"/>
    <cellStyle name="40% - Énfasis2 2 4 2 7" xfId="10875" xr:uid="{00000000-0005-0000-0000-0000782A0000}"/>
    <cellStyle name="40% - Énfasis2 2 4 3" xfId="10876" xr:uid="{00000000-0005-0000-0000-0000792A0000}"/>
    <cellStyle name="40% - Énfasis2 2 4 3 2" xfId="10877" xr:uid="{00000000-0005-0000-0000-00007A2A0000}"/>
    <cellStyle name="40% - Énfasis2 2 4 3 2 2" xfId="10878" xr:uid="{00000000-0005-0000-0000-00007B2A0000}"/>
    <cellStyle name="40% - Énfasis2 2 4 3 2 2 2" xfId="10879" xr:uid="{00000000-0005-0000-0000-00007C2A0000}"/>
    <cellStyle name="40% - Énfasis2 2 4 3 2 2 2 2" xfId="10880" xr:uid="{00000000-0005-0000-0000-00007D2A0000}"/>
    <cellStyle name="40% - Énfasis2 2 4 3 2 2 3" xfId="10881" xr:uid="{00000000-0005-0000-0000-00007E2A0000}"/>
    <cellStyle name="40% - Énfasis2 2 4 3 2 2 4" xfId="10882" xr:uid="{00000000-0005-0000-0000-00007F2A0000}"/>
    <cellStyle name="40% - Énfasis2 2 4 3 2 3" xfId="10883" xr:uid="{00000000-0005-0000-0000-0000802A0000}"/>
    <cellStyle name="40% - Énfasis2 2 4 3 2 3 2" xfId="10884" xr:uid="{00000000-0005-0000-0000-0000812A0000}"/>
    <cellStyle name="40% - Énfasis2 2 4 3 2 4" xfId="10885" xr:uid="{00000000-0005-0000-0000-0000822A0000}"/>
    <cellStyle name="40% - Énfasis2 2 4 3 2 5" xfId="10886" xr:uid="{00000000-0005-0000-0000-0000832A0000}"/>
    <cellStyle name="40% - Énfasis2 2 4 3 3" xfId="10887" xr:uid="{00000000-0005-0000-0000-0000842A0000}"/>
    <cellStyle name="40% - Énfasis2 2 4 3 3 2" xfId="10888" xr:uid="{00000000-0005-0000-0000-0000852A0000}"/>
    <cellStyle name="40% - Énfasis2 2 4 3 3 2 2" xfId="10889" xr:uid="{00000000-0005-0000-0000-0000862A0000}"/>
    <cellStyle name="40% - Énfasis2 2 4 3 3 3" xfId="10890" xr:uid="{00000000-0005-0000-0000-0000872A0000}"/>
    <cellStyle name="40% - Énfasis2 2 4 3 3 3 2" xfId="10891" xr:uid="{00000000-0005-0000-0000-0000882A0000}"/>
    <cellStyle name="40% - Énfasis2 2 4 3 3 4" xfId="10892" xr:uid="{00000000-0005-0000-0000-0000892A0000}"/>
    <cellStyle name="40% - Énfasis2 2 4 3 3 5" xfId="10893" xr:uid="{00000000-0005-0000-0000-00008A2A0000}"/>
    <cellStyle name="40% - Énfasis2 2 4 3 4" xfId="10894" xr:uid="{00000000-0005-0000-0000-00008B2A0000}"/>
    <cellStyle name="40% - Énfasis2 2 4 3 4 2" xfId="10895" xr:uid="{00000000-0005-0000-0000-00008C2A0000}"/>
    <cellStyle name="40% - Énfasis2 2 4 3 5" xfId="10896" xr:uid="{00000000-0005-0000-0000-00008D2A0000}"/>
    <cellStyle name="40% - Énfasis2 2 4 3 5 2" xfId="10897" xr:uid="{00000000-0005-0000-0000-00008E2A0000}"/>
    <cellStyle name="40% - Énfasis2 2 4 3 6" xfId="10898" xr:uid="{00000000-0005-0000-0000-00008F2A0000}"/>
    <cellStyle name="40% - Énfasis2 2 4 3 7" xfId="10899" xr:uid="{00000000-0005-0000-0000-0000902A0000}"/>
    <cellStyle name="40% - Énfasis2 2 4 4" xfId="10900" xr:uid="{00000000-0005-0000-0000-0000912A0000}"/>
    <cellStyle name="40% - Énfasis2 2 4 4 2" xfId="10901" xr:uid="{00000000-0005-0000-0000-0000922A0000}"/>
    <cellStyle name="40% - Énfasis2 2 4 4 2 2" xfId="10902" xr:uid="{00000000-0005-0000-0000-0000932A0000}"/>
    <cellStyle name="40% - Énfasis2 2 4 4 2 2 2" xfId="10903" xr:uid="{00000000-0005-0000-0000-0000942A0000}"/>
    <cellStyle name="40% - Énfasis2 2 4 4 2 3" xfId="10904" xr:uid="{00000000-0005-0000-0000-0000952A0000}"/>
    <cellStyle name="40% - Énfasis2 2 4 4 2 4" xfId="10905" xr:uid="{00000000-0005-0000-0000-0000962A0000}"/>
    <cellStyle name="40% - Énfasis2 2 4 4 3" xfId="10906" xr:uid="{00000000-0005-0000-0000-0000972A0000}"/>
    <cellStyle name="40% - Énfasis2 2 4 4 3 2" xfId="10907" xr:uid="{00000000-0005-0000-0000-0000982A0000}"/>
    <cellStyle name="40% - Énfasis2 2 4 4 4" xfId="10908" xr:uid="{00000000-0005-0000-0000-0000992A0000}"/>
    <cellStyle name="40% - Énfasis2 2 4 4 5" xfId="10909" xr:uid="{00000000-0005-0000-0000-00009A2A0000}"/>
    <cellStyle name="40% - Énfasis2 2 4 5" xfId="10910" xr:uid="{00000000-0005-0000-0000-00009B2A0000}"/>
    <cellStyle name="40% - Énfasis2 2 4 5 2" xfId="10911" xr:uid="{00000000-0005-0000-0000-00009C2A0000}"/>
    <cellStyle name="40% - Énfasis2 2 4 5 2 2" xfId="10912" xr:uid="{00000000-0005-0000-0000-00009D2A0000}"/>
    <cellStyle name="40% - Énfasis2 2 4 5 3" xfId="10913" xr:uid="{00000000-0005-0000-0000-00009E2A0000}"/>
    <cellStyle name="40% - Énfasis2 2 4 5 3 2" xfId="10914" xr:uid="{00000000-0005-0000-0000-00009F2A0000}"/>
    <cellStyle name="40% - Énfasis2 2 4 5 4" xfId="10915" xr:uid="{00000000-0005-0000-0000-0000A02A0000}"/>
    <cellStyle name="40% - Énfasis2 2 4 5 5" xfId="10916" xr:uid="{00000000-0005-0000-0000-0000A12A0000}"/>
    <cellStyle name="40% - Énfasis2 2 4 6" xfId="10917" xr:uid="{00000000-0005-0000-0000-0000A22A0000}"/>
    <cellStyle name="40% - Énfasis2 2 4 6 2" xfId="10918" xr:uid="{00000000-0005-0000-0000-0000A32A0000}"/>
    <cellStyle name="40% - Énfasis2 2 4 7" xfId="10919" xr:uid="{00000000-0005-0000-0000-0000A42A0000}"/>
    <cellStyle name="40% - Énfasis2 2 4 7 2" xfId="10920" xr:uid="{00000000-0005-0000-0000-0000A52A0000}"/>
    <cellStyle name="40% - Énfasis2 2 4 8" xfId="10921" xr:uid="{00000000-0005-0000-0000-0000A62A0000}"/>
    <cellStyle name="40% - Énfasis2 2 4 9" xfId="10922" xr:uid="{00000000-0005-0000-0000-0000A72A0000}"/>
    <cellStyle name="40% - Énfasis2 2 5" xfId="10923" xr:uid="{00000000-0005-0000-0000-0000A82A0000}"/>
    <cellStyle name="40% - Énfasis2 2 5 2" xfId="10924" xr:uid="{00000000-0005-0000-0000-0000A92A0000}"/>
    <cellStyle name="40% - Énfasis2 2 5 2 2" xfId="10925" xr:uid="{00000000-0005-0000-0000-0000AA2A0000}"/>
    <cellStyle name="40% - Énfasis2 2 5 2 2 2" xfId="10926" xr:uid="{00000000-0005-0000-0000-0000AB2A0000}"/>
    <cellStyle name="40% - Énfasis2 2 5 2 2 2 2" xfId="10927" xr:uid="{00000000-0005-0000-0000-0000AC2A0000}"/>
    <cellStyle name="40% - Énfasis2 2 5 2 2 2 2 2" xfId="10928" xr:uid="{00000000-0005-0000-0000-0000AD2A0000}"/>
    <cellStyle name="40% - Énfasis2 2 5 2 2 2 3" xfId="10929" xr:uid="{00000000-0005-0000-0000-0000AE2A0000}"/>
    <cellStyle name="40% - Énfasis2 2 5 2 2 2 4" xfId="10930" xr:uid="{00000000-0005-0000-0000-0000AF2A0000}"/>
    <cellStyle name="40% - Énfasis2 2 5 2 2 3" xfId="10931" xr:uid="{00000000-0005-0000-0000-0000B02A0000}"/>
    <cellStyle name="40% - Énfasis2 2 5 2 2 3 2" xfId="10932" xr:uid="{00000000-0005-0000-0000-0000B12A0000}"/>
    <cellStyle name="40% - Énfasis2 2 5 2 2 4" xfId="10933" xr:uid="{00000000-0005-0000-0000-0000B22A0000}"/>
    <cellStyle name="40% - Énfasis2 2 5 2 2 5" xfId="10934" xr:uid="{00000000-0005-0000-0000-0000B32A0000}"/>
    <cellStyle name="40% - Énfasis2 2 5 2 3" xfId="10935" xr:uid="{00000000-0005-0000-0000-0000B42A0000}"/>
    <cellStyle name="40% - Énfasis2 2 5 2 3 2" xfId="10936" xr:uid="{00000000-0005-0000-0000-0000B52A0000}"/>
    <cellStyle name="40% - Énfasis2 2 5 2 3 2 2" xfId="10937" xr:uid="{00000000-0005-0000-0000-0000B62A0000}"/>
    <cellStyle name="40% - Énfasis2 2 5 2 3 3" xfId="10938" xr:uid="{00000000-0005-0000-0000-0000B72A0000}"/>
    <cellStyle name="40% - Énfasis2 2 5 2 3 3 2" xfId="10939" xr:uid="{00000000-0005-0000-0000-0000B82A0000}"/>
    <cellStyle name="40% - Énfasis2 2 5 2 3 4" xfId="10940" xr:uid="{00000000-0005-0000-0000-0000B92A0000}"/>
    <cellStyle name="40% - Énfasis2 2 5 2 3 5" xfId="10941" xr:uid="{00000000-0005-0000-0000-0000BA2A0000}"/>
    <cellStyle name="40% - Énfasis2 2 5 2 4" xfId="10942" xr:uid="{00000000-0005-0000-0000-0000BB2A0000}"/>
    <cellStyle name="40% - Énfasis2 2 5 2 4 2" xfId="10943" xr:uid="{00000000-0005-0000-0000-0000BC2A0000}"/>
    <cellStyle name="40% - Énfasis2 2 5 2 5" xfId="10944" xr:uid="{00000000-0005-0000-0000-0000BD2A0000}"/>
    <cellStyle name="40% - Énfasis2 2 5 2 5 2" xfId="10945" xr:uid="{00000000-0005-0000-0000-0000BE2A0000}"/>
    <cellStyle name="40% - Énfasis2 2 5 2 6" xfId="10946" xr:uid="{00000000-0005-0000-0000-0000BF2A0000}"/>
    <cellStyle name="40% - Énfasis2 2 5 2 7" xfId="10947" xr:uid="{00000000-0005-0000-0000-0000C02A0000}"/>
    <cellStyle name="40% - Énfasis2 2 5 3" xfId="10948" xr:uid="{00000000-0005-0000-0000-0000C12A0000}"/>
    <cellStyle name="40% - Énfasis2 2 5 3 2" xfId="10949" xr:uid="{00000000-0005-0000-0000-0000C22A0000}"/>
    <cellStyle name="40% - Énfasis2 2 5 3 2 2" xfId="10950" xr:uid="{00000000-0005-0000-0000-0000C32A0000}"/>
    <cellStyle name="40% - Énfasis2 2 5 3 2 2 2" xfId="10951" xr:uid="{00000000-0005-0000-0000-0000C42A0000}"/>
    <cellStyle name="40% - Énfasis2 2 5 3 2 3" xfId="10952" xr:uid="{00000000-0005-0000-0000-0000C52A0000}"/>
    <cellStyle name="40% - Énfasis2 2 5 3 2 4" xfId="10953" xr:uid="{00000000-0005-0000-0000-0000C62A0000}"/>
    <cellStyle name="40% - Énfasis2 2 5 3 3" xfId="10954" xr:uid="{00000000-0005-0000-0000-0000C72A0000}"/>
    <cellStyle name="40% - Énfasis2 2 5 3 3 2" xfId="10955" xr:uid="{00000000-0005-0000-0000-0000C82A0000}"/>
    <cellStyle name="40% - Énfasis2 2 5 3 4" xfId="10956" xr:uid="{00000000-0005-0000-0000-0000C92A0000}"/>
    <cellStyle name="40% - Énfasis2 2 5 3 5" xfId="10957" xr:uid="{00000000-0005-0000-0000-0000CA2A0000}"/>
    <cellStyle name="40% - Énfasis2 2 5 4" xfId="10958" xr:uid="{00000000-0005-0000-0000-0000CB2A0000}"/>
    <cellStyle name="40% - Énfasis2 2 5 4 2" xfId="10959" xr:uid="{00000000-0005-0000-0000-0000CC2A0000}"/>
    <cellStyle name="40% - Énfasis2 2 5 4 2 2" xfId="10960" xr:uid="{00000000-0005-0000-0000-0000CD2A0000}"/>
    <cellStyle name="40% - Énfasis2 2 5 4 3" xfId="10961" xr:uid="{00000000-0005-0000-0000-0000CE2A0000}"/>
    <cellStyle name="40% - Énfasis2 2 5 4 3 2" xfId="10962" xr:uid="{00000000-0005-0000-0000-0000CF2A0000}"/>
    <cellStyle name="40% - Énfasis2 2 5 4 4" xfId="10963" xr:uid="{00000000-0005-0000-0000-0000D02A0000}"/>
    <cellStyle name="40% - Énfasis2 2 5 4 5" xfId="10964" xr:uid="{00000000-0005-0000-0000-0000D12A0000}"/>
    <cellStyle name="40% - Énfasis2 2 5 5" xfId="10965" xr:uid="{00000000-0005-0000-0000-0000D22A0000}"/>
    <cellStyle name="40% - Énfasis2 2 5 5 2" xfId="10966" xr:uid="{00000000-0005-0000-0000-0000D32A0000}"/>
    <cellStyle name="40% - Énfasis2 2 5 6" xfId="10967" xr:uid="{00000000-0005-0000-0000-0000D42A0000}"/>
    <cellStyle name="40% - Énfasis2 2 5 6 2" xfId="10968" xr:uid="{00000000-0005-0000-0000-0000D52A0000}"/>
    <cellStyle name="40% - Énfasis2 2 5 7" xfId="10969" xr:uid="{00000000-0005-0000-0000-0000D62A0000}"/>
    <cellStyle name="40% - Énfasis2 2 5 8" xfId="10970" xr:uid="{00000000-0005-0000-0000-0000D72A0000}"/>
    <cellStyle name="40% - Énfasis2 2 6" xfId="10971" xr:uid="{00000000-0005-0000-0000-0000D82A0000}"/>
    <cellStyle name="40% - Énfasis2 2 6 2" xfId="10972" xr:uid="{00000000-0005-0000-0000-0000D92A0000}"/>
    <cellStyle name="40% - Énfasis2 2 6 2 2" xfId="10973" xr:uid="{00000000-0005-0000-0000-0000DA2A0000}"/>
    <cellStyle name="40% - Énfasis2 2 6 2 2 2" xfId="10974" xr:uid="{00000000-0005-0000-0000-0000DB2A0000}"/>
    <cellStyle name="40% - Énfasis2 2 6 2 2 2 2" xfId="10975" xr:uid="{00000000-0005-0000-0000-0000DC2A0000}"/>
    <cellStyle name="40% - Énfasis2 2 6 2 2 3" xfId="10976" xr:uid="{00000000-0005-0000-0000-0000DD2A0000}"/>
    <cellStyle name="40% - Énfasis2 2 6 2 2 4" xfId="10977" xr:uid="{00000000-0005-0000-0000-0000DE2A0000}"/>
    <cellStyle name="40% - Énfasis2 2 6 2 3" xfId="10978" xr:uid="{00000000-0005-0000-0000-0000DF2A0000}"/>
    <cellStyle name="40% - Énfasis2 2 6 2 3 2" xfId="10979" xr:uid="{00000000-0005-0000-0000-0000E02A0000}"/>
    <cellStyle name="40% - Énfasis2 2 6 2 4" xfId="10980" xr:uid="{00000000-0005-0000-0000-0000E12A0000}"/>
    <cellStyle name="40% - Énfasis2 2 6 2 5" xfId="10981" xr:uid="{00000000-0005-0000-0000-0000E22A0000}"/>
    <cellStyle name="40% - Énfasis2 2 6 3" xfId="10982" xr:uid="{00000000-0005-0000-0000-0000E32A0000}"/>
    <cellStyle name="40% - Énfasis2 2 6 3 2" xfId="10983" xr:uid="{00000000-0005-0000-0000-0000E42A0000}"/>
    <cellStyle name="40% - Énfasis2 2 6 3 2 2" xfId="10984" xr:uid="{00000000-0005-0000-0000-0000E52A0000}"/>
    <cellStyle name="40% - Énfasis2 2 6 3 3" xfId="10985" xr:uid="{00000000-0005-0000-0000-0000E62A0000}"/>
    <cellStyle name="40% - Énfasis2 2 6 3 3 2" xfId="10986" xr:uid="{00000000-0005-0000-0000-0000E72A0000}"/>
    <cellStyle name="40% - Énfasis2 2 6 3 4" xfId="10987" xr:uid="{00000000-0005-0000-0000-0000E82A0000}"/>
    <cellStyle name="40% - Énfasis2 2 6 3 5" xfId="10988" xr:uid="{00000000-0005-0000-0000-0000E92A0000}"/>
    <cellStyle name="40% - Énfasis2 2 6 4" xfId="10989" xr:uid="{00000000-0005-0000-0000-0000EA2A0000}"/>
    <cellStyle name="40% - Énfasis2 2 6 4 2" xfId="10990" xr:uid="{00000000-0005-0000-0000-0000EB2A0000}"/>
    <cellStyle name="40% - Énfasis2 2 6 5" xfId="10991" xr:uid="{00000000-0005-0000-0000-0000EC2A0000}"/>
    <cellStyle name="40% - Énfasis2 2 6 5 2" xfId="10992" xr:uid="{00000000-0005-0000-0000-0000ED2A0000}"/>
    <cellStyle name="40% - Énfasis2 2 6 6" xfId="10993" xr:uid="{00000000-0005-0000-0000-0000EE2A0000}"/>
    <cellStyle name="40% - Énfasis2 2 6 7" xfId="10994" xr:uid="{00000000-0005-0000-0000-0000EF2A0000}"/>
    <cellStyle name="40% - Énfasis2 2 7" xfId="10995" xr:uid="{00000000-0005-0000-0000-0000F02A0000}"/>
    <cellStyle name="40% - Énfasis2 2 7 2" xfId="10996" xr:uid="{00000000-0005-0000-0000-0000F12A0000}"/>
    <cellStyle name="40% - Énfasis2 2 7 2 2" xfId="10997" xr:uid="{00000000-0005-0000-0000-0000F22A0000}"/>
    <cellStyle name="40% - Énfasis2 2 7 2 2 2" xfId="10998" xr:uid="{00000000-0005-0000-0000-0000F32A0000}"/>
    <cellStyle name="40% - Énfasis2 2 7 2 3" xfId="10999" xr:uid="{00000000-0005-0000-0000-0000F42A0000}"/>
    <cellStyle name="40% - Énfasis2 2 7 2 4" xfId="11000" xr:uid="{00000000-0005-0000-0000-0000F52A0000}"/>
    <cellStyle name="40% - Énfasis2 2 7 3" xfId="11001" xr:uid="{00000000-0005-0000-0000-0000F62A0000}"/>
    <cellStyle name="40% - Énfasis2 2 7 3 2" xfId="11002" xr:uid="{00000000-0005-0000-0000-0000F72A0000}"/>
    <cellStyle name="40% - Énfasis2 2 7 4" xfId="11003" xr:uid="{00000000-0005-0000-0000-0000F82A0000}"/>
    <cellStyle name="40% - Énfasis2 2 7 5" xfId="11004" xr:uid="{00000000-0005-0000-0000-0000F92A0000}"/>
    <cellStyle name="40% - Énfasis2 2 8" xfId="11005" xr:uid="{00000000-0005-0000-0000-0000FA2A0000}"/>
    <cellStyle name="40% - Énfasis2 2 8 2" xfId="11006" xr:uid="{00000000-0005-0000-0000-0000FB2A0000}"/>
    <cellStyle name="40% - Énfasis2 2 8 2 2" xfId="11007" xr:uid="{00000000-0005-0000-0000-0000FC2A0000}"/>
    <cellStyle name="40% - Énfasis2 2 8 3" xfId="11008" xr:uid="{00000000-0005-0000-0000-0000FD2A0000}"/>
    <cellStyle name="40% - Énfasis2 2 8 3 2" xfId="11009" xr:uid="{00000000-0005-0000-0000-0000FE2A0000}"/>
    <cellStyle name="40% - Énfasis2 2 8 4" xfId="11010" xr:uid="{00000000-0005-0000-0000-0000FF2A0000}"/>
    <cellStyle name="40% - Énfasis2 2 8 5" xfId="11011" xr:uid="{00000000-0005-0000-0000-0000002B0000}"/>
    <cellStyle name="40% - Énfasis2 2 9" xfId="11012" xr:uid="{00000000-0005-0000-0000-0000012B0000}"/>
    <cellStyle name="40% - Énfasis2 2 9 2" xfId="11013" xr:uid="{00000000-0005-0000-0000-0000022B0000}"/>
    <cellStyle name="40% - Énfasis2 3" xfId="11014" xr:uid="{00000000-0005-0000-0000-0000032B0000}"/>
    <cellStyle name="40% - Énfasis2 3 10" xfId="11015" xr:uid="{00000000-0005-0000-0000-0000042B0000}"/>
    <cellStyle name="40% - Énfasis2 3 10 2" xfId="11016" xr:uid="{00000000-0005-0000-0000-0000052B0000}"/>
    <cellStyle name="40% - Énfasis2 3 11" xfId="11017" xr:uid="{00000000-0005-0000-0000-0000062B0000}"/>
    <cellStyle name="40% - Énfasis2 3 12" xfId="11018" xr:uid="{00000000-0005-0000-0000-0000072B0000}"/>
    <cellStyle name="40% - Énfasis2 3 2" xfId="11019" xr:uid="{00000000-0005-0000-0000-0000082B0000}"/>
    <cellStyle name="40% - Énfasis2 3 2 10" xfId="11020" xr:uid="{00000000-0005-0000-0000-0000092B0000}"/>
    <cellStyle name="40% - Énfasis2 3 2 11" xfId="11021" xr:uid="{00000000-0005-0000-0000-00000A2B0000}"/>
    <cellStyle name="40% - Énfasis2 3 2 2" xfId="11022" xr:uid="{00000000-0005-0000-0000-00000B2B0000}"/>
    <cellStyle name="40% - Énfasis2 3 2 2 10" xfId="11023" xr:uid="{00000000-0005-0000-0000-00000C2B0000}"/>
    <cellStyle name="40% - Énfasis2 3 2 2 2" xfId="11024" xr:uid="{00000000-0005-0000-0000-00000D2B0000}"/>
    <cellStyle name="40% - Énfasis2 3 2 2 2 2" xfId="11025" xr:uid="{00000000-0005-0000-0000-00000E2B0000}"/>
    <cellStyle name="40% - Énfasis2 3 2 2 2 2 2" xfId="11026" xr:uid="{00000000-0005-0000-0000-00000F2B0000}"/>
    <cellStyle name="40% - Énfasis2 3 2 2 2 2 2 2" xfId="11027" xr:uid="{00000000-0005-0000-0000-0000102B0000}"/>
    <cellStyle name="40% - Énfasis2 3 2 2 2 2 2 2 2" xfId="11028" xr:uid="{00000000-0005-0000-0000-0000112B0000}"/>
    <cellStyle name="40% - Énfasis2 3 2 2 2 2 2 2 2 2" xfId="11029" xr:uid="{00000000-0005-0000-0000-0000122B0000}"/>
    <cellStyle name="40% - Énfasis2 3 2 2 2 2 2 2 2 2 2" xfId="11030" xr:uid="{00000000-0005-0000-0000-0000132B0000}"/>
    <cellStyle name="40% - Énfasis2 3 2 2 2 2 2 2 2 3" xfId="11031" xr:uid="{00000000-0005-0000-0000-0000142B0000}"/>
    <cellStyle name="40% - Énfasis2 3 2 2 2 2 2 2 2 4" xfId="11032" xr:uid="{00000000-0005-0000-0000-0000152B0000}"/>
    <cellStyle name="40% - Énfasis2 3 2 2 2 2 2 2 3" xfId="11033" xr:uid="{00000000-0005-0000-0000-0000162B0000}"/>
    <cellStyle name="40% - Énfasis2 3 2 2 2 2 2 2 3 2" xfId="11034" xr:uid="{00000000-0005-0000-0000-0000172B0000}"/>
    <cellStyle name="40% - Énfasis2 3 2 2 2 2 2 2 4" xfId="11035" xr:uid="{00000000-0005-0000-0000-0000182B0000}"/>
    <cellStyle name="40% - Énfasis2 3 2 2 2 2 2 2 5" xfId="11036" xr:uid="{00000000-0005-0000-0000-0000192B0000}"/>
    <cellStyle name="40% - Énfasis2 3 2 2 2 2 2 3" xfId="11037" xr:uid="{00000000-0005-0000-0000-00001A2B0000}"/>
    <cellStyle name="40% - Énfasis2 3 2 2 2 2 2 3 2" xfId="11038" xr:uid="{00000000-0005-0000-0000-00001B2B0000}"/>
    <cellStyle name="40% - Énfasis2 3 2 2 2 2 2 3 2 2" xfId="11039" xr:uid="{00000000-0005-0000-0000-00001C2B0000}"/>
    <cellStyle name="40% - Énfasis2 3 2 2 2 2 2 3 3" xfId="11040" xr:uid="{00000000-0005-0000-0000-00001D2B0000}"/>
    <cellStyle name="40% - Énfasis2 3 2 2 2 2 2 3 4" xfId="11041" xr:uid="{00000000-0005-0000-0000-00001E2B0000}"/>
    <cellStyle name="40% - Énfasis2 3 2 2 2 2 2 4" xfId="11042" xr:uid="{00000000-0005-0000-0000-00001F2B0000}"/>
    <cellStyle name="40% - Énfasis2 3 2 2 2 2 2 4 2" xfId="11043" xr:uid="{00000000-0005-0000-0000-0000202B0000}"/>
    <cellStyle name="40% - Énfasis2 3 2 2 2 2 2 5" xfId="11044" xr:uid="{00000000-0005-0000-0000-0000212B0000}"/>
    <cellStyle name="40% - Énfasis2 3 2 2 2 2 2 6" xfId="11045" xr:uid="{00000000-0005-0000-0000-0000222B0000}"/>
    <cellStyle name="40% - Énfasis2 3 2 2 2 2 3" xfId="11046" xr:uid="{00000000-0005-0000-0000-0000232B0000}"/>
    <cellStyle name="40% - Énfasis2 3 2 2 2 2 3 2" xfId="11047" xr:uid="{00000000-0005-0000-0000-0000242B0000}"/>
    <cellStyle name="40% - Énfasis2 3 2 2 2 2 3 2 2" xfId="11048" xr:uid="{00000000-0005-0000-0000-0000252B0000}"/>
    <cellStyle name="40% - Énfasis2 3 2 2 2 2 3 2 2 2" xfId="11049" xr:uid="{00000000-0005-0000-0000-0000262B0000}"/>
    <cellStyle name="40% - Énfasis2 3 2 2 2 2 3 2 3" xfId="11050" xr:uid="{00000000-0005-0000-0000-0000272B0000}"/>
    <cellStyle name="40% - Énfasis2 3 2 2 2 2 3 2 4" xfId="11051" xr:uid="{00000000-0005-0000-0000-0000282B0000}"/>
    <cellStyle name="40% - Énfasis2 3 2 2 2 2 3 3" xfId="11052" xr:uid="{00000000-0005-0000-0000-0000292B0000}"/>
    <cellStyle name="40% - Énfasis2 3 2 2 2 2 3 3 2" xfId="11053" xr:uid="{00000000-0005-0000-0000-00002A2B0000}"/>
    <cellStyle name="40% - Énfasis2 3 2 2 2 2 3 4" xfId="11054" xr:uid="{00000000-0005-0000-0000-00002B2B0000}"/>
    <cellStyle name="40% - Énfasis2 3 2 2 2 2 3 5" xfId="11055" xr:uid="{00000000-0005-0000-0000-00002C2B0000}"/>
    <cellStyle name="40% - Énfasis2 3 2 2 2 2 4" xfId="11056" xr:uid="{00000000-0005-0000-0000-00002D2B0000}"/>
    <cellStyle name="40% - Énfasis2 3 2 2 2 2 4 2" xfId="11057" xr:uid="{00000000-0005-0000-0000-00002E2B0000}"/>
    <cellStyle name="40% - Énfasis2 3 2 2 2 2 4 2 2" xfId="11058" xr:uid="{00000000-0005-0000-0000-00002F2B0000}"/>
    <cellStyle name="40% - Énfasis2 3 2 2 2 2 4 3" xfId="11059" xr:uid="{00000000-0005-0000-0000-0000302B0000}"/>
    <cellStyle name="40% - Énfasis2 3 2 2 2 2 4 4" xfId="11060" xr:uid="{00000000-0005-0000-0000-0000312B0000}"/>
    <cellStyle name="40% - Énfasis2 3 2 2 2 2 5" xfId="11061" xr:uid="{00000000-0005-0000-0000-0000322B0000}"/>
    <cellStyle name="40% - Énfasis2 3 2 2 2 2 5 2" xfId="11062" xr:uid="{00000000-0005-0000-0000-0000332B0000}"/>
    <cellStyle name="40% - Énfasis2 3 2 2 2 2 6" xfId="11063" xr:uid="{00000000-0005-0000-0000-0000342B0000}"/>
    <cellStyle name="40% - Énfasis2 3 2 2 2 2 7" xfId="11064" xr:uid="{00000000-0005-0000-0000-0000352B0000}"/>
    <cellStyle name="40% - Énfasis2 3 2 2 2 3" xfId="11065" xr:uid="{00000000-0005-0000-0000-0000362B0000}"/>
    <cellStyle name="40% - Énfasis2 3 2 2 2 3 2" xfId="11066" xr:uid="{00000000-0005-0000-0000-0000372B0000}"/>
    <cellStyle name="40% - Énfasis2 3 2 2 2 3 2 2" xfId="11067" xr:uid="{00000000-0005-0000-0000-0000382B0000}"/>
    <cellStyle name="40% - Énfasis2 3 2 2 2 3 2 2 2" xfId="11068" xr:uid="{00000000-0005-0000-0000-0000392B0000}"/>
    <cellStyle name="40% - Énfasis2 3 2 2 2 3 2 2 2 2" xfId="11069" xr:uid="{00000000-0005-0000-0000-00003A2B0000}"/>
    <cellStyle name="40% - Énfasis2 3 2 2 2 3 2 2 3" xfId="11070" xr:uid="{00000000-0005-0000-0000-00003B2B0000}"/>
    <cellStyle name="40% - Énfasis2 3 2 2 2 3 2 2 4" xfId="11071" xr:uid="{00000000-0005-0000-0000-00003C2B0000}"/>
    <cellStyle name="40% - Énfasis2 3 2 2 2 3 2 3" xfId="11072" xr:uid="{00000000-0005-0000-0000-00003D2B0000}"/>
    <cellStyle name="40% - Énfasis2 3 2 2 2 3 2 3 2" xfId="11073" xr:uid="{00000000-0005-0000-0000-00003E2B0000}"/>
    <cellStyle name="40% - Énfasis2 3 2 2 2 3 2 4" xfId="11074" xr:uid="{00000000-0005-0000-0000-00003F2B0000}"/>
    <cellStyle name="40% - Énfasis2 3 2 2 2 3 2 5" xfId="11075" xr:uid="{00000000-0005-0000-0000-0000402B0000}"/>
    <cellStyle name="40% - Énfasis2 3 2 2 2 3 3" xfId="11076" xr:uid="{00000000-0005-0000-0000-0000412B0000}"/>
    <cellStyle name="40% - Énfasis2 3 2 2 2 3 3 2" xfId="11077" xr:uid="{00000000-0005-0000-0000-0000422B0000}"/>
    <cellStyle name="40% - Énfasis2 3 2 2 2 3 3 2 2" xfId="11078" xr:uid="{00000000-0005-0000-0000-0000432B0000}"/>
    <cellStyle name="40% - Énfasis2 3 2 2 2 3 3 3" xfId="11079" xr:uid="{00000000-0005-0000-0000-0000442B0000}"/>
    <cellStyle name="40% - Énfasis2 3 2 2 2 3 3 3 2" xfId="11080" xr:uid="{00000000-0005-0000-0000-0000452B0000}"/>
    <cellStyle name="40% - Énfasis2 3 2 2 2 3 3 4" xfId="11081" xr:uid="{00000000-0005-0000-0000-0000462B0000}"/>
    <cellStyle name="40% - Énfasis2 3 2 2 2 3 3 5" xfId="11082" xr:uid="{00000000-0005-0000-0000-0000472B0000}"/>
    <cellStyle name="40% - Énfasis2 3 2 2 2 3 4" xfId="11083" xr:uid="{00000000-0005-0000-0000-0000482B0000}"/>
    <cellStyle name="40% - Énfasis2 3 2 2 2 3 4 2" xfId="11084" xr:uid="{00000000-0005-0000-0000-0000492B0000}"/>
    <cellStyle name="40% - Énfasis2 3 2 2 2 3 5" xfId="11085" xr:uid="{00000000-0005-0000-0000-00004A2B0000}"/>
    <cellStyle name="40% - Énfasis2 3 2 2 2 3 5 2" xfId="11086" xr:uid="{00000000-0005-0000-0000-00004B2B0000}"/>
    <cellStyle name="40% - Énfasis2 3 2 2 2 3 6" xfId="11087" xr:uid="{00000000-0005-0000-0000-00004C2B0000}"/>
    <cellStyle name="40% - Énfasis2 3 2 2 2 3 7" xfId="11088" xr:uid="{00000000-0005-0000-0000-00004D2B0000}"/>
    <cellStyle name="40% - Énfasis2 3 2 2 2 4" xfId="11089" xr:uid="{00000000-0005-0000-0000-00004E2B0000}"/>
    <cellStyle name="40% - Énfasis2 3 2 2 2 4 2" xfId="11090" xr:uid="{00000000-0005-0000-0000-00004F2B0000}"/>
    <cellStyle name="40% - Énfasis2 3 2 2 2 4 2 2" xfId="11091" xr:uid="{00000000-0005-0000-0000-0000502B0000}"/>
    <cellStyle name="40% - Énfasis2 3 2 2 2 4 2 2 2" xfId="11092" xr:uid="{00000000-0005-0000-0000-0000512B0000}"/>
    <cellStyle name="40% - Énfasis2 3 2 2 2 4 2 3" xfId="11093" xr:uid="{00000000-0005-0000-0000-0000522B0000}"/>
    <cellStyle name="40% - Énfasis2 3 2 2 2 4 2 4" xfId="11094" xr:uid="{00000000-0005-0000-0000-0000532B0000}"/>
    <cellStyle name="40% - Énfasis2 3 2 2 2 4 3" xfId="11095" xr:uid="{00000000-0005-0000-0000-0000542B0000}"/>
    <cellStyle name="40% - Énfasis2 3 2 2 2 4 3 2" xfId="11096" xr:uid="{00000000-0005-0000-0000-0000552B0000}"/>
    <cellStyle name="40% - Énfasis2 3 2 2 2 4 4" xfId="11097" xr:uid="{00000000-0005-0000-0000-0000562B0000}"/>
    <cellStyle name="40% - Énfasis2 3 2 2 2 4 5" xfId="11098" xr:uid="{00000000-0005-0000-0000-0000572B0000}"/>
    <cellStyle name="40% - Énfasis2 3 2 2 2 5" xfId="11099" xr:uid="{00000000-0005-0000-0000-0000582B0000}"/>
    <cellStyle name="40% - Énfasis2 3 2 2 2 5 2" xfId="11100" xr:uid="{00000000-0005-0000-0000-0000592B0000}"/>
    <cellStyle name="40% - Énfasis2 3 2 2 2 5 2 2" xfId="11101" xr:uid="{00000000-0005-0000-0000-00005A2B0000}"/>
    <cellStyle name="40% - Énfasis2 3 2 2 2 5 3" xfId="11102" xr:uid="{00000000-0005-0000-0000-00005B2B0000}"/>
    <cellStyle name="40% - Énfasis2 3 2 2 2 5 3 2" xfId="11103" xr:uid="{00000000-0005-0000-0000-00005C2B0000}"/>
    <cellStyle name="40% - Énfasis2 3 2 2 2 5 4" xfId="11104" xr:uid="{00000000-0005-0000-0000-00005D2B0000}"/>
    <cellStyle name="40% - Énfasis2 3 2 2 2 5 5" xfId="11105" xr:uid="{00000000-0005-0000-0000-00005E2B0000}"/>
    <cellStyle name="40% - Énfasis2 3 2 2 2 6" xfId="11106" xr:uid="{00000000-0005-0000-0000-00005F2B0000}"/>
    <cellStyle name="40% - Énfasis2 3 2 2 2 6 2" xfId="11107" xr:uid="{00000000-0005-0000-0000-0000602B0000}"/>
    <cellStyle name="40% - Énfasis2 3 2 2 2 7" xfId="11108" xr:uid="{00000000-0005-0000-0000-0000612B0000}"/>
    <cellStyle name="40% - Énfasis2 3 2 2 2 7 2" xfId="11109" xr:uid="{00000000-0005-0000-0000-0000622B0000}"/>
    <cellStyle name="40% - Énfasis2 3 2 2 2 8" xfId="11110" xr:uid="{00000000-0005-0000-0000-0000632B0000}"/>
    <cellStyle name="40% - Énfasis2 3 2 2 2 9" xfId="11111" xr:uid="{00000000-0005-0000-0000-0000642B0000}"/>
    <cellStyle name="40% - Énfasis2 3 2 2 3" xfId="11112" xr:uid="{00000000-0005-0000-0000-0000652B0000}"/>
    <cellStyle name="40% - Énfasis2 3 2 2 3 2" xfId="11113" xr:uid="{00000000-0005-0000-0000-0000662B0000}"/>
    <cellStyle name="40% - Énfasis2 3 2 2 3 2 2" xfId="11114" xr:uid="{00000000-0005-0000-0000-0000672B0000}"/>
    <cellStyle name="40% - Énfasis2 3 2 2 3 2 2 2" xfId="11115" xr:uid="{00000000-0005-0000-0000-0000682B0000}"/>
    <cellStyle name="40% - Énfasis2 3 2 2 3 2 2 2 2" xfId="11116" xr:uid="{00000000-0005-0000-0000-0000692B0000}"/>
    <cellStyle name="40% - Énfasis2 3 2 2 3 2 2 2 2 2" xfId="11117" xr:uid="{00000000-0005-0000-0000-00006A2B0000}"/>
    <cellStyle name="40% - Énfasis2 3 2 2 3 2 2 2 3" xfId="11118" xr:uid="{00000000-0005-0000-0000-00006B2B0000}"/>
    <cellStyle name="40% - Énfasis2 3 2 2 3 2 2 2 4" xfId="11119" xr:uid="{00000000-0005-0000-0000-00006C2B0000}"/>
    <cellStyle name="40% - Énfasis2 3 2 2 3 2 2 3" xfId="11120" xr:uid="{00000000-0005-0000-0000-00006D2B0000}"/>
    <cellStyle name="40% - Énfasis2 3 2 2 3 2 2 3 2" xfId="11121" xr:uid="{00000000-0005-0000-0000-00006E2B0000}"/>
    <cellStyle name="40% - Énfasis2 3 2 2 3 2 2 4" xfId="11122" xr:uid="{00000000-0005-0000-0000-00006F2B0000}"/>
    <cellStyle name="40% - Énfasis2 3 2 2 3 2 2 5" xfId="11123" xr:uid="{00000000-0005-0000-0000-0000702B0000}"/>
    <cellStyle name="40% - Énfasis2 3 2 2 3 2 3" xfId="11124" xr:uid="{00000000-0005-0000-0000-0000712B0000}"/>
    <cellStyle name="40% - Énfasis2 3 2 2 3 2 3 2" xfId="11125" xr:uid="{00000000-0005-0000-0000-0000722B0000}"/>
    <cellStyle name="40% - Énfasis2 3 2 2 3 2 3 2 2" xfId="11126" xr:uid="{00000000-0005-0000-0000-0000732B0000}"/>
    <cellStyle name="40% - Énfasis2 3 2 2 3 2 3 3" xfId="11127" xr:uid="{00000000-0005-0000-0000-0000742B0000}"/>
    <cellStyle name="40% - Énfasis2 3 2 2 3 2 3 4" xfId="11128" xr:uid="{00000000-0005-0000-0000-0000752B0000}"/>
    <cellStyle name="40% - Énfasis2 3 2 2 3 2 4" xfId="11129" xr:uid="{00000000-0005-0000-0000-0000762B0000}"/>
    <cellStyle name="40% - Énfasis2 3 2 2 3 2 4 2" xfId="11130" xr:uid="{00000000-0005-0000-0000-0000772B0000}"/>
    <cellStyle name="40% - Énfasis2 3 2 2 3 2 5" xfId="11131" xr:uid="{00000000-0005-0000-0000-0000782B0000}"/>
    <cellStyle name="40% - Énfasis2 3 2 2 3 2 6" xfId="11132" xr:uid="{00000000-0005-0000-0000-0000792B0000}"/>
    <cellStyle name="40% - Énfasis2 3 2 2 3 3" xfId="11133" xr:uid="{00000000-0005-0000-0000-00007A2B0000}"/>
    <cellStyle name="40% - Énfasis2 3 2 2 3 3 2" xfId="11134" xr:uid="{00000000-0005-0000-0000-00007B2B0000}"/>
    <cellStyle name="40% - Énfasis2 3 2 2 3 3 2 2" xfId="11135" xr:uid="{00000000-0005-0000-0000-00007C2B0000}"/>
    <cellStyle name="40% - Énfasis2 3 2 2 3 3 2 2 2" xfId="11136" xr:uid="{00000000-0005-0000-0000-00007D2B0000}"/>
    <cellStyle name="40% - Énfasis2 3 2 2 3 3 2 3" xfId="11137" xr:uid="{00000000-0005-0000-0000-00007E2B0000}"/>
    <cellStyle name="40% - Énfasis2 3 2 2 3 3 2 4" xfId="11138" xr:uid="{00000000-0005-0000-0000-00007F2B0000}"/>
    <cellStyle name="40% - Énfasis2 3 2 2 3 3 3" xfId="11139" xr:uid="{00000000-0005-0000-0000-0000802B0000}"/>
    <cellStyle name="40% - Énfasis2 3 2 2 3 3 3 2" xfId="11140" xr:uid="{00000000-0005-0000-0000-0000812B0000}"/>
    <cellStyle name="40% - Énfasis2 3 2 2 3 3 4" xfId="11141" xr:uid="{00000000-0005-0000-0000-0000822B0000}"/>
    <cellStyle name="40% - Énfasis2 3 2 2 3 3 5" xfId="11142" xr:uid="{00000000-0005-0000-0000-0000832B0000}"/>
    <cellStyle name="40% - Énfasis2 3 2 2 3 4" xfId="11143" xr:uid="{00000000-0005-0000-0000-0000842B0000}"/>
    <cellStyle name="40% - Énfasis2 3 2 2 3 4 2" xfId="11144" xr:uid="{00000000-0005-0000-0000-0000852B0000}"/>
    <cellStyle name="40% - Énfasis2 3 2 2 3 4 2 2" xfId="11145" xr:uid="{00000000-0005-0000-0000-0000862B0000}"/>
    <cellStyle name="40% - Énfasis2 3 2 2 3 4 3" xfId="11146" xr:uid="{00000000-0005-0000-0000-0000872B0000}"/>
    <cellStyle name="40% - Énfasis2 3 2 2 3 4 4" xfId="11147" xr:uid="{00000000-0005-0000-0000-0000882B0000}"/>
    <cellStyle name="40% - Énfasis2 3 2 2 3 5" xfId="11148" xr:uid="{00000000-0005-0000-0000-0000892B0000}"/>
    <cellStyle name="40% - Énfasis2 3 2 2 3 5 2" xfId="11149" xr:uid="{00000000-0005-0000-0000-00008A2B0000}"/>
    <cellStyle name="40% - Énfasis2 3 2 2 3 6" xfId="11150" xr:uid="{00000000-0005-0000-0000-00008B2B0000}"/>
    <cellStyle name="40% - Énfasis2 3 2 2 3 7" xfId="11151" xr:uid="{00000000-0005-0000-0000-00008C2B0000}"/>
    <cellStyle name="40% - Énfasis2 3 2 2 4" xfId="11152" xr:uid="{00000000-0005-0000-0000-00008D2B0000}"/>
    <cellStyle name="40% - Énfasis2 3 2 2 4 2" xfId="11153" xr:uid="{00000000-0005-0000-0000-00008E2B0000}"/>
    <cellStyle name="40% - Énfasis2 3 2 2 4 2 2" xfId="11154" xr:uid="{00000000-0005-0000-0000-00008F2B0000}"/>
    <cellStyle name="40% - Énfasis2 3 2 2 4 2 2 2" xfId="11155" xr:uid="{00000000-0005-0000-0000-0000902B0000}"/>
    <cellStyle name="40% - Énfasis2 3 2 2 4 2 2 2 2" xfId="11156" xr:uid="{00000000-0005-0000-0000-0000912B0000}"/>
    <cellStyle name="40% - Énfasis2 3 2 2 4 2 2 3" xfId="11157" xr:uid="{00000000-0005-0000-0000-0000922B0000}"/>
    <cellStyle name="40% - Énfasis2 3 2 2 4 2 2 4" xfId="11158" xr:uid="{00000000-0005-0000-0000-0000932B0000}"/>
    <cellStyle name="40% - Énfasis2 3 2 2 4 2 3" xfId="11159" xr:uid="{00000000-0005-0000-0000-0000942B0000}"/>
    <cellStyle name="40% - Énfasis2 3 2 2 4 2 3 2" xfId="11160" xr:uid="{00000000-0005-0000-0000-0000952B0000}"/>
    <cellStyle name="40% - Énfasis2 3 2 2 4 2 4" xfId="11161" xr:uid="{00000000-0005-0000-0000-0000962B0000}"/>
    <cellStyle name="40% - Énfasis2 3 2 2 4 2 5" xfId="11162" xr:uid="{00000000-0005-0000-0000-0000972B0000}"/>
    <cellStyle name="40% - Énfasis2 3 2 2 4 3" xfId="11163" xr:uid="{00000000-0005-0000-0000-0000982B0000}"/>
    <cellStyle name="40% - Énfasis2 3 2 2 4 3 2" xfId="11164" xr:uid="{00000000-0005-0000-0000-0000992B0000}"/>
    <cellStyle name="40% - Énfasis2 3 2 2 4 3 2 2" xfId="11165" xr:uid="{00000000-0005-0000-0000-00009A2B0000}"/>
    <cellStyle name="40% - Énfasis2 3 2 2 4 3 3" xfId="11166" xr:uid="{00000000-0005-0000-0000-00009B2B0000}"/>
    <cellStyle name="40% - Énfasis2 3 2 2 4 3 3 2" xfId="11167" xr:uid="{00000000-0005-0000-0000-00009C2B0000}"/>
    <cellStyle name="40% - Énfasis2 3 2 2 4 3 4" xfId="11168" xr:uid="{00000000-0005-0000-0000-00009D2B0000}"/>
    <cellStyle name="40% - Énfasis2 3 2 2 4 3 5" xfId="11169" xr:uid="{00000000-0005-0000-0000-00009E2B0000}"/>
    <cellStyle name="40% - Énfasis2 3 2 2 4 4" xfId="11170" xr:uid="{00000000-0005-0000-0000-00009F2B0000}"/>
    <cellStyle name="40% - Énfasis2 3 2 2 4 4 2" xfId="11171" xr:uid="{00000000-0005-0000-0000-0000A02B0000}"/>
    <cellStyle name="40% - Énfasis2 3 2 2 4 5" xfId="11172" xr:uid="{00000000-0005-0000-0000-0000A12B0000}"/>
    <cellStyle name="40% - Énfasis2 3 2 2 4 5 2" xfId="11173" xr:uid="{00000000-0005-0000-0000-0000A22B0000}"/>
    <cellStyle name="40% - Énfasis2 3 2 2 4 6" xfId="11174" xr:uid="{00000000-0005-0000-0000-0000A32B0000}"/>
    <cellStyle name="40% - Énfasis2 3 2 2 4 7" xfId="11175" xr:uid="{00000000-0005-0000-0000-0000A42B0000}"/>
    <cellStyle name="40% - Énfasis2 3 2 2 5" xfId="11176" xr:uid="{00000000-0005-0000-0000-0000A52B0000}"/>
    <cellStyle name="40% - Énfasis2 3 2 2 5 2" xfId="11177" xr:uid="{00000000-0005-0000-0000-0000A62B0000}"/>
    <cellStyle name="40% - Énfasis2 3 2 2 5 2 2" xfId="11178" xr:uid="{00000000-0005-0000-0000-0000A72B0000}"/>
    <cellStyle name="40% - Énfasis2 3 2 2 5 2 2 2" xfId="11179" xr:uid="{00000000-0005-0000-0000-0000A82B0000}"/>
    <cellStyle name="40% - Énfasis2 3 2 2 5 2 3" xfId="11180" xr:uid="{00000000-0005-0000-0000-0000A92B0000}"/>
    <cellStyle name="40% - Énfasis2 3 2 2 5 2 4" xfId="11181" xr:uid="{00000000-0005-0000-0000-0000AA2B0000}"/>
    <cellStyle name="40% - Énfasis2 3 2 2 5 3" xfId="11182" xr:uid="{00000000-0005-0000-0000-0000AB2B0000}"/>
    <cellStyle name="40% - Énfasis2 3 2 2 5 3 2" xfId="11183" xr:uid="{00000000-0005-0000-0000-0000AC2B0000}"/>
    <cellStyle name="40% - Énfasis2 3 2 2 5 4" xfId="11184" xr:uid="{00000000-0005-0000-0000-0000AD2B0000}"/>
    <cellStyle name="40% - Énfasis2 3 2 2 5 5" xfId="11185" xr:uid="{00000000-0005-0000-0000-0000AE2B0000}"/>
    <cellStyle name="40% - Énfasis2 3 2 2 6" xfId="11186" xr:uid="{00000000-0005-0000-0000-0000AF2B0000}"/>
    <cellStyle name="40% - Énfasis2 3 2 2 6 2" xfId="11187" xr:uid="{00000000-0005-0000-0000-0000B02B0000}"/>
    <cellStyle name="40% - Énfasis2 3 2 2 6 2 2" xfId="11188" xr:uid="{00000000-0005-0000-0000-0000B12B0000}"/>
    <cellStyle name="40% - Énfasis2 3 2 2 6 3" xfId="11189" xr:uid="{00000000-0005-0000-0000-0000B22B0000}"/>
    <cellStyle name="40% - Énfasis2 3 2 2 6 3 2" xfId="11190" xr:uid="{00000000-0005-0000-0000-0000B32B0000}"/>
    <cellStyle name="40% - Énfasis2 3 2 2 6 4" xfId="11191" xr:uid="{00000000-0005-0000-0000-0000B42B0000}"/>
    <cellStyle name="40% - Énfasis2 3 2 2 6 5" xfId="11192" xr:uid="{00000000-0005-0000-0000-0000B52B0000}"/>
    <cellStyle name="40% - Énfasis2 3 2 2 7" xfId="11193" xr:uid="{00000000-0005-0000-0000-0000B62B0000}"/>
    <cellStyle name="40% - Énfasis2 3 2 2 7 2" xfId="11194" xr:uid="{00000000-0005-0000-0000-0000B72B0000}"/>
    <cellStyle name="40% - Énfasis2 3 2 2 8" xfId="11195" xr:uid="{00000000-0005-0000-0000-0000B82B0000}"/>
    <cellStyle name="40% - Énfasis2 3 2 2 8 2" xfId="11196" xr:uid="{00000000-0005-0000-0000-0000B92B0000}"/>
    <cellStyle name="40% - Énfasis2 3 2 2 9" xfId="11197" xr:uid="{00000000-0005-0000-0000-0000BA2B0000}"/>
    <cellStyle name="40% - Énfasis2 3 2 3" xfId="11198" xr:uid="{00000000-0005-0000-0000-0000BB2B0000}"/>
    <cellStyle name="40% - Énfasis2 3 2 3 2" xfId="11199" xr:uid="{00000000-0005-0000-0000-0000BC2B0000}"/>
    <cellStyle name="40% - Énfasis2 3 2 3 2 2" xfId="11200" xr:uid="{00000000-0005-0000-0000-0000BD2B0000}"/>
    <cellStyle name="40% - Énfasis2 3 2 3 2 2 2" xfId="11201" xr:uid="{00000000-0005-0000-0000-0000BE2B0000}"/>
    <cellStyle name="40% - Énfasis2 3 2 3 2 2 2 2" xfId="11202" xr:uid="{00000000-0005-0000-0000-0000BF2B0000}"/>
    <cellStyle name="40% - Énfasis2 3 2 3 2 2 2 2 2" xfId="11203" xr:uid="{00000000-0005-0000-0000-0000C02B0000}"/>
    <cellStyle name="40% - Énfasis2 3 2 3 2 2 2 2 2 2" xfId="11204" xr:uid="{00000000-0005-0000-0000-0000C12B0000}"/>
    <cellStyle name="40% - Énfasis2 3 2 3 2 2 2 2 3" xfId="11205" xr:uid="{00000000-0005-0000-0000-0000C22B0000}"/>
    <cellStyle name="40% - Énfasis2 3 2 3 2 2 2 2 4" xfId="11206" xr:uid="{00000000-0005-0000-0000-0000C32B0000}"/>
    <cellStyle name="40% - Énfasis2 3 2 3 2 2 2 3" xfId="11207" xr:uid="{00000000-0005-0000-0000-0000C42B0000}"/>
    <cellStyle name="40% - Énfasis2 3 2 3 2 2 2 3 2" xfId="11208" xr:uid="{00000000-0005-0000-0000-0000C52B0000}"/>
    <cellStyle name="40% - Énfasis2 3 2 3 2 2 2 4" xfId="11209" xr:uid="{00000000-0005-0000-0000-0000C62B0000}"/>
    <cellStyle name="40% - Énfasis2 3 2 3 2 2 2 5" xfId="11210" xr:uid="{00000000-0005-0000-0000-0000C72B0000}"/>
    <cellStyle name="40% - Énfasis2 3 2 3 2 2 3" xfId="11211" xr:uid="{00000000-0005-0000-0000-0000C82B0000}"/>
    <cellStyle name="40% - Énfasis2 3 2 3 2 2 3 2" xfId="11212" xr:uid="{00000000-0005-0000-0000-0000C92B0000}"/>
    <cellStyle name="40% - Énfasis2 3 2 3 2 2 3 2 2" xfId="11213" xr:uid="{00000000-0005-0000-0000-0000CA2B0000}"/>
    <cellStyle name="40% - Énfasis2 3 2 3 2 2 3 3" xfId="11214" xr:uid="{00000000-0005-0000-0000-0000CB2B0000}"/>
    <cellStyle name="40% - Énfasis2 3 2 3 2 2 3 4" xfId="11215" xr:uid="{00000000-0005-0000-0000-0000CC2B0000}"/>
    <cellStyle name="40% - Énfasis2 3 2 3 2 2 4" xfId="11216" xr:uid="{00000000-0005-0000-0000-0000CD2B0000}"/>
    <cellStyle name="40% - Énfasis2 3 2 3 2 2 4 2" xfId="11217" xr:uid="{00000000-0005-0000-0000-0000CE2B0000}"/>
    <cellStyle name="40% - Énfasis2 3 2 3 2 2 5" xfId="11218" xr:uid="{00000000-0005-0000-0000-0000CF2B0000}"/>
    <cellStyle name="40% - Énfasis2 3 2 3 2 2 6" xfId="11219" xr:uid="{00000000-0005-0000-0000-0000D02B0000}"/>
    <cellStyle name="40% - Énfasis2 3 2 3 2 3" xfId="11220" xr:uid="{00000000-0005-0000-0000-0000D12B0000}"/>
    <cellStyle name="40% - Énfasis2 3 2 3 2 3 2" xfId="11221" xr:uid="{00000000-0005-0000-0000-0000D22B0000}"/>
    <cellStyle name="40% - Énfasis2 3 2 3 2 3 2 2" xfId="11222" xr:uid="{00000000-0005-0000-0000-0000D32B0000}"/>
    <cellStyle name="40% - Énfasis2 3 2 3 2 3 2 2 2" xfId="11223" xr:uid="{00000000-0005-0000-0000-0000D42B0000}"/>
    <cellStyle name="40% - Énfasis2 3 2 3 2 3 2 3" xfId="11224" xr:uid="{00000000-0005-0000-0000-0000D52B0000}"/>
    <cellStyle name="40% - Énfasis2 3 2 3 2 3 2 4" xfId="11225" xr:uid="{00000000-0005-0000-0000-0000D62B0000}"/>
    <cellStyle name="40% - Énfasis2 3 2 3 2 3 3" xfId="11226" xr:uid="{00000000-0005-0000-0000-0000D72B0000}"/>
    <cellStyle name="40% - Énfasis2 3 2 3 2 3 3 2" xfId="11227" xr:uid="{00000000-0005-0000-0000-0000D82B0000}"/>
    <cellStyle name="40% - Énfasis2 3 2 3 2 3 4" xfId="11228" xr:uid="{00000000-0005-0000-0000-0000D92B0000}"/>
    <cellStyle name="40% - Énfasis2 3 2 3 2 3 5" xfId="11229" xr:uid="{00000000-0005-0000-0000-0000DA2B0000}"/>
    <cellStyle name="40% - Énfasis2 3 2 3 2 4" xfId="11230" xr:uid="{00000000-0005-0000-0000-0000DB2B0000}"/>
    <cellStyle name="40% - Énfasis2 3 2 3 2 4 2" xfId="11231" xr:uid="{00000000-0005-0000-0000-0000DC2B0000}"/>
    <cellStyle name="40% - Énfasis2 3 2 3 2 4 2 2" xfId="11232" xr:uid="{00000000-0005-0000-0000-0000DD2B0000}"/>
    <cellStyle name="40% - Énfasis2 3 2 3 2 4 3" xfId="11233" xr:uid="{00000000-0005-0000-0000-0000DE2B0000}"/>
    <cellStyle name="40% - Énfasis2 3 2 3 2 4 4" xfId="11234" xr:uid="{00000000-0005-0000-0000-0000DF2B0000}"/>
    <cellStyle name="40% - Énfasis2 3 2 3 2 5" xfId="11235" xr:uid="{00000000-0005-0000-0000-0000E02B0000}"/>
    <cellStyle name="40% - Énfasis2 3 2 3 2 5 2" xfId="11236" xr:uid="{00000000-0005-0000-0000-0000E12B0000}"/>
    <cellStyle name="40% - Énfasis2 3 2 3 2 6" xfId="11237" xr:uid="{00000000-0005-0000-0000-0000E22B0000}"/>
    <cellStyle name="40% - Énfasis2 3 2 3 2 7" xfId="11238" xr:uid="{00000000-0005-0000-0000-0000E32B0000}"/>
    <cellStyle name="40% - Énfasis2 3 2 3 3" xfId="11239" xr:uid="{00000000-0005-0000-0000-0000E42B0000}"/>
    <cellStyle name="40% - Énfasis2 3 2 3 3 2" xfId="11240" xr:uid="{00000000-0005-0000-0000-0000E52B0000}"/>
    <cellStyle name="40% - Énfasis2 3 2 3 3 2 2" xfId="11241" xr:uid="{00000000-0005-0000-0000-0000E62B0000}"/>
    <cellStyle name="40% - Énfasis2 3 2 3 3 2 2 2" xfId="11242" xr:uid="{00000000-0005-0000-0000-0000E72B0000}"/>
    <cellStyle name="40% - Énfasis2 3 2 3 3 2 2 2 2" xfId="11243" xr:uid="{00000000-0005-0000-0000-0000E82B0000}"/>
    <cellStyle name="40% - Énfasis2 3 2 3 3 2 2 3" xfId="11244" xr:uid="{00000000-0005-0000-0000-0000E92B0000}"/>
    <cellStyle name="40% - Énfasis2 3 2 3 3 2 2 4" xfId="11245" xr:uid="{00000000-0005-0000-0000-0000EA2B0000}"/>
    <cellStyle name="40% - Énfasis2 3 2 3 3 2 3" xfId="11246" xr:uid="{00000000-0005-0000-0000-0000EB2B0000}"/>
    <cellStyle name="40% - Énfasis2 3 2 3 3 2 3 2" xfId="11247" xr:uid="{00000000-0005-0000-0000-0000EC2B0000}"/>
    <cellStyle name="40% - Énfasis2 3 2 3 3 2 4" xfId="11248" xr:uid="{00000000-0005-0000-0000-0000ED2B0000}"/>
    <cellStyle name="40% - Énfasis2 3 2 3 3 2 5" xfId="11249" xr:uid="{00000000-0005-0000-0000-0000EE2B0000}"/>
    <cellStyle name="40% - Énfasis2 3 2 3 3 3" xfId="11250" xr:uid="{00000000-0005-0000-0000-0000EF2B0000}"/>
    <cellStyle name="40% - Énfasis2 3 2 3 3 3 2" xfId="11251" xr:uid="{00000000-0005-0000-0000-0000F02B0000}"/>
    <cellStyle name="40% - Énfasis2 3 2 3 3 3 2 2" xfId="11252" xr:uid="{00000000-0005-0000-0000-0000F12B0000}"/>
    <cellStyle name="40% - Énfasis2 3 2 3 3 3 3" xfId="11253" xr:uid="{00000000-0005-0000-0000-0000F22B0000}"/>
    <cellStyle name="40% - Énfasis2 3 2 3 3 3 3 2" xfId="11254" xr:uid="{00000000-0005-0000-0000-0000F32B0000}"/>
    <cellStyle name="40% - Énfasis2 3 2 3 3 3 4" xfId="11255" xr:uid="{00000000-0005-0000-0000-0000F42B0000}"/>
    <cellStyle name="40% - Énfasis2 3 2 3 3 3 5" xfId="11256" xr:uid="{00000000-0005-0000-0000-0000F52B0000}"/>
    <cellStyle name="40% - Énfasis2 3 2 3 3 4" xfId="11257" xr:uid="{00000000-0005-0000-0000-0000F62B0000}"/>
    <cellStyle name="40% - Énfasis2 3 2 3 3 4 2" xfId="11258" xr:uid="{00000000-0005-0000-0000-0000F72B0000}"/>
    <cellStyle name="40% - Énfasis2 3 2 3 3 5" xfId="11259" xr:uid="{00000000-0005-0000-0000-0000F82B0000}"/>
    <cellStyle name="40% - Énfasis2 3 2 3 3 5 2" xfId="11260" xr:uid="{00000000-0005-0000-0000-0000F92B0000}"/>
    <cellStyle name="40% - Énfasis2 3 2 3 3 6" xfId="11261" xr:uid="{00000000-0005-0000-0000-0000FA2B0000}"/>
    <cellStyle name="40% - Énfasis2 3 2 3 3 7" xfId="11262" xr:uid="{00000000-0005-0000-0000-0000FB2B0000}"/>
    <cellStyle name="40% - Énfasis2 3 2 3 4" xfId="11263" xr:uid="{00000000-0005-0000-0000-0000FC2B0000}"/>
    <cellStyle name="40% - Énfasis2 3 2 3 4 2" xfId="11264" xr:uid="{00000000-0005-0000-0000-0000FD2B0000}"/>
    <cellStyle name="40% - Énfasis2 3 2 3 4 2 2" xfId="11265" xr:uid="{00000000-0005-0000-0000-0000FE2B0000}"/>
    <cellStyle name="40% - Énfasis2 3 2 3 4 2 2 2" xfId="11266" xr:uid="{00000000-0005-0000-0000-0000FF2B0000}"/>
    <cellStyle name="40% - Énfasis2 3 2 3 4 2 3" xfId="11267" xr:uid="{00000000-0005-0000-0000-0000002C0000}"/>
    <cellStyle name="40% - Énfasis2 3 2 3 4 2 4" xfId="11268" xr:uid="{00000000-0005-0000-0000-0000012C0000}"/>
    <cellStyle name="40% - Énfasis2 3 2 3 4 3" xfId="11269" xr:uid="{00000000-0005-0000-0000-0000022C0000}"/>
    <cellStyle name="40% - Énfasis2 3 2 3 4 3 2" xfId="11270" xr:uid="{00000000-0005-0000-0000-0000032C0000}"/>
    <cellStyle name="40% - Énfasis2 3 2 3 4 4" xfId="11271" xr:uid="{00000000-0005-0000-0000-0000042C0000}"/>
    <cellStyle name="40% - Énfasis2 3 2 3 4 5" xfId="11272" xr:uid="{00000000-0005-0000-0000-0000052C0000}"/>
    <cellStyle name="40% - Énfasis2 3 2 3 5" xfId="11273" xr:uid="{00000000-0005-0000-0000-0000062C0000}"/>
    <cellStyle name="40% - Énfasis2 3 2 3 5 2" xfId="11274" xr:uid="{00000000-0005-0000-0000-0000072C0000}"/>
    <cellStyle name="40% - Énfasis2 3 2 3 5 2 2" xfId="11275" xr:uid="{00000000-0005-0000-0000-0000082C0000}"/>
    <cellStyle name="40% - Énfasis2 3 2 3 5 3" xfId="11276" xr:uid="{00000000-0005-0000-0000-0000092C0000}"/>
    <cellStyle name="40% - Énfasis2 3 2 3 5 3 2" xfId="11277" xr:uid="{00000000-0005-0000-0000-00000A2C0000}"/>
    <cellStyle name="40% - Énfasis2 3 2 3 5 4" xfId="11278" xr:uid="{00000000-0005-0000-0000-00000B2C0000}"/>
    <cellStyle name="40% - Énfasis2 3 2 3 5 5" xfId="11279" xr:uid="{00000000-0005-0000-0000-00000C2C0000}"/>
    <cellStyle name="40% - Énfasis2 3 2 3 6" xfId="11280" xr:uid="{00000000-0005-0000-0000-00000D2C0000}"/>
    <cellStyle name="40% - Énfasis2 3 2 3 6 2" xfId="11281" xr:uid="{00000000-0005-0000-0000-00000E2C0000}"/>
    <cellStyle name="40% - Énfasis2 3 2 3 7" xfId="11282" xr:uid="{00000000-0005-0000-0000-00000F2C0000}"/>
    <cellStyle name="40% - Énfasis2 3 2 3 7 2" xfId="11283" xr:uid="{00000000-0005-0000-0000-0000102C0000}"/>
    <cellStyle name="40% - Énfasis2 3 2 3 8" xfId="11284" xr:uid="{00000000-0005-0000-0000-0000112C0000}"/>
    <cellStyle name="40% - Énfasis2 3 2 3 9" xfId="11285" xr:uid="{00000000-0005-0000-0000-0000122C0000}"/>
    <cellStyle name="40% - Énfasis2 3 2 4" xfId="11286" xr:uid="{00000000-0005-0000-0000-0000132C0000}"/>
    <cellStyle name="40% - Énfasis2 3 2 4 2" xfId="11287" xr:uid="{00000000-0005-0000-0000-0000142C0000}"/>
    <cellStyle name="40% - Énfasis2 3 2 4 2 2" xfId="11288" xr:uid="{00000000-0005-0000-0000-0000152C0000}"/>
    <cellStyle name="40% - Énfasis2 3 2 4 2 2 2" xfId="11289" xr:uid="{00000000-0005-0000-0000-0000162C0000}"/>
    <cellStyle name="40% - Énfasis2 3 2 4 2 2 2 2" xfId="11290" xr:uid="{00000000-0005-0000-0000-0000172C0000}"/>
    <cellStyle name="40% - Énfasis2 3 2 4 2 2 2 2 2" xfId="11291" xr:uid="{00000000-0005-0000-0000-0000182C0000}"/>
    <cellStyle name="40% - Énfasis2 3 2 4 2 2 2 3" xfId="11292" xr:uid="{00000000-0005-0000-0000-0000192C0000}"/>
    <cellStyle name="40% - Énfasis2 3 2 4 2 2 2 4" xfId="11293" xr:uid="{00000000-0005-0000-0000-00001A2C0000}"/>
    <cellStyle name="40% - Énfasis2 3 2 4 2 2 3" xfId="11294" xr:uid="{00000000-0005-0000-0000-00001B2C0000}"/>
    <cellStyle name="40% - Énfasis2 3 2 4 2 2 3 2" xfId="11295" xr:uid="{00000000-0005-0000-0000-00001C2C0000}"/>
    <cellStyle name="40% - Énfasis2 3 2 4 2 2 4" xfId="11296" xr:uid="{00000000-0005-0000-0000-00001D2C0000}"/>
    <cellStyle name="40% - Énfasis2 3 2 4 2 2 5" xfId="11297" xr:uid="{00000000-0005-0000-0000-00001E2C0000}"/>
    <cellStyle name="40% - Énfasis2 3 2 4 2 3" xfId="11298" xr:uid="{00000000-0005-0000-0000-00001F2C0000}"/>
    <cellStyle name="40% - Énfasis2 3 2 4 2 3 2" xfId="11299" xr:uid="{00000000-0005-0000-0000-0000202C0000}"/>
    <cellStyle name="40% - Énfasis2 3 2 4 2 3 2 2" xfId="11300" xr:uid="{00000000-0005-0000-0000-0000212C0000}"/>
    <cellStyle name="40% - Énfasis2 3 2 4 2 3 3" xfId="11301" xr:uid="{00000000-0005-0000-0000-0000222C0000}"/>
    <cellStyle name="40% - Énfasis2 3 2 4 2 3 3 2" xfId="11302" xr:uid="{00000000-0005-0000-0000-0000232C0000}"/>
    <cellStyle name="40% - Énfasis2 3 2 4 2 3 4" xfId="11303" xr:uid="{00000000-0005-0000-0000-0000242C0000}"/>
    <cellStyle name="40% - Énfasis2 3 2 4 2 3 5" xfId="11304" xr:uid="{00000000-0005-0000-0000-0000252C0000}"/>
    <cellStyle name="40% - Énfasis2 3 2 4 2 4" xfId="11305" xr:uid="{00000000-0005-0000-0000-0000262C0000}"/>
    <cellStyle name="40% - Énfasis2 3 2 4 2 4 2" xfId="11306" xr:uid="{00000000-0005-0000-0000-0000272C0000}"/>
    <cellStyle name="40% - Énfasis2 3 2 4 2 5" xfId="11307" xr:uid="{00000000-0005-0000-0000-0000282C0000}"/>
    <cellStyle name="40% - Énfasis2 3 2 4 2 5 2" xfId="11308" xr:uid="{00000000-0005-0000-0000-0000292C0000}"/>
    <cellStyle name="40% - Énfasis2 3 2 4 2 6" xfId="11309" xr:uid="{00000000-0005-0000-0000-00002A2C0000}"/>
    <cellStyle name="40% - Énfasis2 3 2 4 2 7" xfId="11310" xr:uid="{00000000-0005-0000-0000-00002B2C0000}"/>
    <cellStyle name="40% - Énfasis2 3 2 4 3" xfId="11311" xr:uid="{00000000-0005-0000-0000-00002C2C0000}"/>
    <cellStyle name="40% - Énfasis2 3 2 4 3 2" xfId="11312" xr:uid="{00000000-0005-0000-0000-00002D2C0000}"/>
    <cellStyle name="40% - Énfasis2 3 2 4 3 2 2" xfId="11313" xr:uid="{00000000-0005-0000-0000-00002E2C0000}"/>
    <cellStyle name="40% - Énfasis2 3 2 4 3 2 2 2" xfId="11314" xr:uid="{00000000-0005-0000-0000-00002F2C0000}"/>
    <cellStyle name="40% - Énfasis2 3 2 4 3 2 3" xfId="11315" xr:uid="{00000000-0005-0000-0000-0000302C0000}"/>
    <cellStyle name="40% - Énfasis2 3 2 4 3 2 4" xfId="11316" xr:uid="{00000000-0005-0000-0000-0000312C0000}"/>
    <cellStyle name="40% - Énfasis2 3 2 4 3 3" xfId="11317" xr:uid="{00000000-0005-0000-0000-0000322C0000}"/>
    <cellStyle name="40% - Énfasis2 3 2 4 3 3 2" xfId="11318" xr:uid="{00000000-0005-0000-0000-0000332C0000}"/>
    <cellStyle name="40% - Énfasis2 3 2 4 3 4" xfId="11319" xr:uid="{00000000-0005-0000-0000-0000342C0000}"/>
    <cellStyle name="40% - Énfasis2 3 2 4 3 5" xfId="11320" xr:uid="{00000000-0005-0000-0000-0000352C0000}"/>
    <cellStyle name="40% - Énfasis2 3 2 4 4" xfId="11321" xr:uid="{00000000-0005-0000-0000-0000362C0000}"/>
    <cellStyle name="40% - Énfasis2 3 2 4 4 2" xfId="11322" xr:uid="{00000000-0005-0000-0000-0000372C0000}"/>
    <cellStyle name="40% - Énfasis2 3 2 4 4 2 2" xfId="11323" xr:uid="{00000000-0005-0000-0000-0000382C0000}"/>
    <cellStyle name="40% - Énfasis2 3 2 4 4 3" xfId="11324" xr:uid="{00000000-0005-0000-0000-0000392C0000}"/>
    <cellStyle name="40% - Énfasis2 3 2 4 4 3 2" xfId="11325" xr:uid="{00000000-0005-0000-0000-00003A2C0000}"/>
    <cellStyle name="40% - Énfasis2 3 2 4 4 4" xfId="11326" xr:uid="{00000000-0005-0000-0000-00003B2C0000}"/>
    <cellStyle name="40% - Énfasis2 3 2 4 4 5" xfId="11327" xr:uid="{00000000-0005-0000-0000-00003C2C0000}"/>
    <cellStyle name="40% - Énfasis2 3 2 4 5" xfId="11328" xr:uid="{00000000-0005-0000-0000-00003D2C0000}"/>
    <cellStyle name="40% - Énfasis2 3 2 4 5 2" xfId="11329" xr:uid="{00000000-0005-0000-0000-00003E2C0000}"/>
    <cellStyle name="40% - Énfasis2 3 2 4 6" xfId="11330" xr:uid="{00000000-0005-0000-0000-00003F2C0000}"/>
    <cellStyle name="40% - Énfasis2 3 2 4 6 2" xfId="11331" xr:uid="{00000000-0005-0000-0000-0000402C0000}"/>
    <cellStyle name="40% - Énfasis2 3 2 4 7" xfId="11332" xr:uid="{00000000-0005-0000-0000-0000412C0000}"/>
    <cellStyle name="40% - Énfasis2 3 2 4 8" xfId="11333" xr:uid="{00000000-0005-0000-0000-0000422C0000}"/>
    <cellStyle name="40% - Énfasis2 3 2 5" xfId="11334" xr:uid="{00000000-0005-0000-0000-0000432C0000}"/>
    <cellStyle name="40% - Énfasis2 3 2 5 2" xfId="11335" xr:uid="{00000000-0005-0000-0000-0000442C0000}"/>
    <cellStyle name="40% - Énfasis2 3 2 5 2 2" xfId="11336" xr:uid="{00000000-0005-0000-0000-0000452C0000}"/>
    <cellStyle name="40% - Énfasis2 3 2 5 2 2 2" xfId="11337" xr:uid="{00000000-0005-0000-0000-0000462C0000}"/>
    <cellStyle name="40% - Énfasis2 3 2 5 2 2 2 2" xfId="11338" xr:uid="{00000000-0005-0000-0000-0000472C0000}"/>
    <cellStyle name="40% - Énfasis2 3 2 5 2 2 3" xfId="11339" xr:uid="{00000000-0005-0000-0000-0000482C0000}"/>
    <cellStyle name="40% - Énfasis2 3 2 5 2 2 4" xfId="11340" xr:uid="{00000000-0005-0000-0000-0000492C0000}"/>
    <cellStyle name="40% - Énfasis2 3 2 5 2 3" xfId="11341" xr:uid="{00000000-0005-0000-0000-00004A2C0000}"/>
    <cellStyle name="40% - Énfasis2 3 2 5 2 3 2" xfId="11342" xr:uid="{00000000-0005-0000-0000-00004B2C0000}"/>
    <cellStyle name="40% - Énfasis2 3 2 5 2 4" xfId="11343" xr:uid="{00000000-0005-0000-0000-00004C2C0000}"/>
    <cellStyle name="40% - Énfasis2 3 2 5 2 5" xfId="11344" xr:uid="{00000000-0005-0000-0000-00004D2C0000}"/>
    <cellStyle name="40% - Énfasis2 3 2 5 3" xfId="11345" xr:uid="{00000000-0005-0000-0000-00004E2C0000}"/>
    <cellStyle name="40% - Énfasis2 3 2 5 3 2" xfId="11346" xr:uid="{00000000-0005-0000-0000-00004F2C0000}"/>
    <cellStyle name="40% - Énfasis2 3 2 5 3 2 2" xfId="11347" xr:uid="{00000000-0005-0000-0000-0000502C0000}"/>
    <cellStyle name="40% - Énfasis2 3 2 5 3 3" xfId="11348" xr:uid="{00000000-0005-0000-0000-0000512C0000}"/>
    <cellStyle name="40% - Énfasis2 3 2 5 3 3 2" xfId="11349" xr:uid="{00000000-0005-0000-0000-0000522C0000}"/>
    <cellStyle name="40% - Énfasis2 3 2 5 3 4" xfId="11350" xr:uid="{00000000-0005-0000-0000-0000532C0000}"/>
    <cellStyle name="40% - Énfasis2 3 2 5 3 5" xfId="11351" xr:uid="{00000000-0005-0000-0000-0000542C0000}"/>
    <cellStyle name="40% - Énfasis2 3 2 5 4" xfId="11352" xr:uid="{00000000-0005-0000-0000-0000552C0000}"/>
    <cellStyle name="40% - Énfasis2 3 2 5 4 2" xfId="11353" xr:uid="{00000000-0005-0000-0000-0000562C0000}"/>
    <cellStyle name="40% - Énfasis2 3 2 5 5" xfId="11354" xr:uid="{00000000-0005-0000-0000-0000572C0000}"/>
    <cellStyle name="40% - Énfasis2 3 2 5 5 2" xfId="11355" xr:uid="{00000000-0005-0000-0000-0000582C0000}"/>
    <cellStyle name="40% - Énfasis2 3 2 5 6" xfId="11356" xr:uid="{00000000-0005-0000-0000-0000592C0000}"/>
    <cellStyle name="40% - Énfasis2 3 2 5 7" xfId="11357" xr:uid="{00000000-0005-0000-0000-00005A2C0000}"/>
    <cellStyle name="40% - Énfasis2 3 2 6" xfId="11358" xr:uid="{00000000-0005-0000-0000-00005B2C0000}"/>
    <cellStyle name="40% - Énfasis2 3 2 6 2" xfId="11359" xr:uid="{00000000-0005-0000-0000-00005C2C0000}"/>
    <cellStyle name="40% - Énfasis2 3 2 6 2 2" xfId="11360" xr:uid="{00000000-0005-0000-0000-00005D2C0000}"/>
    <cellStyle name="40% - Énfasis2 3 2 6 2 2 2" xfId="11361" xr:uid="{00000000-0005-0000-0000-00005E2C0000}"/>
    <cellStyle name="40% - Énfasis2 3 2 6 2 3" xfId="11362" xr:uid="{00000000-0005-0000-0000-00005F2C0000}"/>
    <cellStyle name="40% - Énfasis2 3 2 6 2 4" xfId="11363" xr:uid="{00000000-0005-0000-0000-0000602C0000}"/>
    <cellStyle name="40% - Énfasis2 3 2 6 3" xfId="11364" xr:uid="{00000000-0005-0000-0000-0000612C0000}"/>
    <cellStyle name="40% - Énfasis2 3 2 6 3 2" xfId="11365" xr:uid="{00000000-0005-0000-0000-0000622C0000}"/>
    <cellStyle name="40% - Énfasis2 3 2 6 4" xfId="11366" xr:uid="{00000000-0005-0000-0000-0000632C0000}"/>
    <cellStyle name="40% - Énfasis2 3 2 6 5" xfId="11367" xr:uid="{00000000-0005-0000-0000-0000642C0000}"/>
    <cellStyle name="40% - Énfasis2 3 2 7" xfId="11368" xr:uid="{00000000-0005-0000-0000-0000652C0000}"/>
    <cellStyle name="40% - Énfasis2 3 2 7 2" xfId="11369" xr:uid="{00000000-0005-0000-0000-0000662C0000}"/>
    <cellStyle name="40% - Énfasis2 3 2 7 2 2" xfId="11370" xr:uid="{00000000-0005-0000-0000-0000672C0000}"/>
    <cellStyle name="40% - Énfasis2 3 2 7 3" xfId="11371" xr:uid="{00000000-0005-0000-0000-0000682C0000}"/>
    <cellStyle name="40% - Énfasis2 3 2 7 3 2" xfId="11372" xr:uid="{00000000-0005-0000-0000-0000692C0000}"/>
    <cellStyle name="40% - Énfasis2 3 2 7 4" xfId="11373" xr:uid="{00000000-0005-0000-0000-00006A2C0000}"/>
    <cellStyle name="40% - Énfasis2 3 2 7 5" xfId="11374" xr:uid="{00000000-0005-0000-0000-00006B2C0000}"/>
    <cellStyle name="40% - Énfasis2 3 2 8" xfId="11375" xr:uid="{00000000-0005-0000-0000-00006C2C0000}"/>
    <cellStyle name="40% - Énfasis2 3 2 8 2" xfId="11376" xr:uid="{00000000-0005-0000-0000-00006D2C0000}"/>
    <cellStyle name="40% - Énfasis2 3 2 9" xfId="11377" xr:uid="{00000000-0005-0000-0000-00006E2C0000}"/>
    <cellStyle name="40% - Énfasis2 3 2 9 2" xfId="11378" xr:uid="{00000000-0005-0000-0000-00006F2C0000}"/>
    <cellStyle name="40% - Énfasis2 3 3" xfId="11379" xr:uid="{00000000-0005-0000-0000-0000702C0000}"/>
    <cellStyle name="40% - Énfasis2 3 3 10" xfId="11380" xr:uid="{00000000-0005-0000-0000-0000712C0000}"/>
    <cellStyle name="40% - Énfasis2 3 3 2" xfId="11381" xr:uid="{00000000-0005-0000-0000-0000722C0000}"/>
    <cellStyle name="40% - Énfasis2 3 3 2 2" xfId="11382" xr:uid="{00000000-0005-0000-0000-0000732C0000}"/>
    <cellStyle name="40% - Énfasis2 3 3 2 2 2" xfId="11383" xr:uid="{00000000-0005-0000-0000-0000742C0000}"/>
    <cellStyle name="40% - Énfasis2 3 3 2 2 2 2" xfId="11384" xr:uid="{00000000-0005-0000-0000-0000752C0000}"/>
    <cellStyle name="40% - Énfasis2 3 3 2 2 2 2 2" xfId="11385" xr:uid="{00000000-0005-0000-0000-0000762C0000}"/>
    <cellStyle name="40% - Énfasis2 3 3 2 2 2 2 2 2" xfId="11386" xr:uid="{00000000-0005-0000-0000-0000772C0000}"/>
    <cellStyle name="40% - Énfasis2 3 3 2 2 2 2 2 2 2" xfId="11387" xr:uid="{00000000-0005-0000-0000-0000782C0000}"/>
    <cellStyle name="40% - Énfasis2 3 3 2 2 2 2 2 3" xfId="11388" xr:uid="{00000000-0005-0000-0000-0000792C0000}"/>
    <cellStyle name="40% - Énfasis2 3 3 2 2 2 2 2 4" xfId="11389" xr:uid="{00000000-0005-0000-0000-00007A2C0000}"/>
    <cellStyle name="40% - Énfasis2 3 3 2 2 2 2 3" xfId="11390" xr:uid="{00000000-0005-0000-0000-00007B2C0000}"/>
    <cellStyle name="40% - Énfasis2 3 3 2 2 2 2 3 2" xfId="11391" xr:uid="{00000000-0005-0000-0000-00007C2C0000}"/>
    <cellStyle name="40% - Énfasis2 3 3 2 2 2 2 4" xfId="11392" xr:uid="{00000000-0005-0000-0000-00007D2C0000}"/>
    <cellStyle name="40% - Énfasis2 3 3 2 2 2 2 5" xfId="11393" xr:uid="{00000000-0005-0000-0000-00007E2C0000}"/>
    <cellStyle name="40% - Énfasis2 3 3 2 2 2 3" xfId="11394" xr:uid="{00000000-0005-0000-0000-00007F2C0000}"/>
    <cellStyle name="40% - Énfasis2 3 3 2 2 2 3 2" xfId="11395" xr:uid="{00000000-0005-0000-0000-0000802C0000}"/>
    <cellStyle name="40% - Énfasis2 3 3 2 2 2 3 2 2" xfId="11396" xr:uid="{00000000-0005-0000-0000-0000812C0000}"/>
    <cellStyle name="40% - Énfasis2 3 3 2 2 2 3 3" xfId="11397" xr:uid="{00000000-0005-0000-0000-0000822C0000}"/>
    <cellStyle name="40% - Énfasis2 3 3 2 2 2 3 4" xfId="11398" xr:uid="{00000000-0005-0000-0000-0000832C0000}"/>
    <cellStyle name="40% - Énfasis2 3 3 2 2 2 4" xfId="11399" xr:uid="{00000000-0005-0000-0000-0000842C0000}"/>
    <cellStyle name="40% - Énfasis2 3 3 2 2 2 4 2" xfId="11400" xr:uid="{00000000-0005-0000-0000-0000852C0000}"/>
    <cellStyle name="40% - Énfasis2 3 3 2 2 2 5" xfId="11401" xr:uid="{00000000-0005-0000-0000-0000862C0000}"/>
    <cellStyle name="40% - Énfasis2 3 3 2 2 2 6" xfId="11402" xr:uid="{00000000-0005-0000-0000-0000872C0000}"/>
    <cellStyle name="40% - Énfasis2 3 3 2 2 3" xfId="11403" xr:uid="{00000000-0005-0000-0000-0000882C0000}"/>
    <cellStyle name="40% - Énfasis2 3 3 2 2 3 2" xfId="11404" xr:uid="{00000000-0005-0000-0000-0000892C0000}"/>
    <cellStyle name="40% - Énfasis2 3 3 2 2 3 2 2" xfId="11405" xr:uid="{00000000-0005-0000-0000-00008A2C0000}"/>
    <cellStyle name="40% - Énfasis2 3 3 2 2 3 2 2 2" xfId="11406" xr:uid="{00000000-0005-0000-0000-00008B2C0000}"/>
    <cellStyle name="40% - Énfasis2 3 3 2 2 3 2 3" xfId="11407" xr:uid="{00000000-0005-0000-0000-00008C2C0000}"/>
    <cellStyle name="40% - Énfasis2 3 3 2 2 3 2 4" xfId="11408" xr:uid="{00000000-0005-0000-0000-00008D2C0000}"/>
    <cellStyle name="40% - Énfasis2 3 3 2 2 3 3" xfId="11409" xr:uid="{00000000-0005-0000-0000-00008E2C0000}"/>
    <cellStyle name="40% - Énfasis2 3 3 2 2 3 3 2" xfId="11410" xr:uid="{00000000-0005-0000-0000-00008F2C0000}"/>
    <cellStyle name="40% - Énfasis2 3 3 2 2 3 4" xfId="11411" xr:uid="{00000000-0005-0000-0000-0000902C0000}"/>
    <cellStyle name="40% - Énfasis2 3 3 2 2 3 5" xfId="11412" xr:uid="{00000000-0005-0000-0000-0000912C0000}"/>
    <cellStyle name="40% - Énfasis2 3 3 2 2 4" xfId="11413" xr:uid="{00000000-0005-0000-0000-0000922C0000}"/>
    <cellStyle name="40% - Énfasis2 3 3 2 2 4 2" xfId="11414" xr:uid="{00000000-0005-0000-0000-0000932C0000}"/>
    <cellStyle name="40% - Énfasis2 3 3 2 2 4 2 2" xfId="11415" xr:uid="{00000000-0005-0000-0000-0000942C0000}"/>
    <cellStyle name="40% - Énfasis2 3 3 2 2 4 3" xfId="11416" xr:uid="{00000000-0005-0000-0000-0000952C0000}"/>
    <cellStyle name="40% - Énfasis2 3 3 2 2 4 4" xfId="11417" xr:uid="{00000000-0005-0000-0000-0000962C0000}"/>
    <cellStyle name="40% - Énfasis2 3 3 2 2 5" xfId="11418" xr:uid="{00000000-0005-0000-0000-0000972C0000}"/>
    <cellStyle name="40% - Énfasis2 3 3 2 2 5 2" xfId="11419" xr:uid="{00000000-0005-0000-0000-0000982C0000}"/>
    <cellStyle name="40% - Énfasis2 3 3 2 2 6" xfId="11420" xr:uid="{00000000-0005-0000-0000-0000992C0000}"/>
    <cellStyle name="40% - Énfasis2 3 3 2 2 7" xfId="11421" xr:uid="{00000000-0005-0000-0000-00009A2C0000}"/>
    <cellStyle name="40% - Énfasis2 3 3 2 3" xfId="11422" xr:uid="{00000000-0005-0000-0000-00009B2C0000}"/>
    <cellStyle name="40% - Énfasis2 3 3 2 3 2" xfId="11423" xr:uid="{00000000-0005-0000-0000-00009C2C0000}"/>
    <cellStyle name="40% - Énfasis2 3 3 2 3 2 2" xfId="11424" xr:uid="{00000000-0005-0000-0000-00009D2C0000}"/>
    <cellStyle name="40% - Énfasis2 3 3 2 3 2 2 2" xfId="11425" xr:uid="{00000000-0005-0000-0000-00009E2C0000}"/>
    <cellStyle name="40% - Énfasis2 3 3 2 3 2 2 2 2" xfId="11426" xr:uid="{00000000-0005-0000-0000-00009F2C0000}"/>
    <cellStyle name="40% - Énfasis2 3 3 2 3 2 2 3" xfId="11427" xr:uid="{00000000-0005-0000-0000-0000A02C0000}"/>
    <cellStyle name="40% - Énfasis2 3 3 2 3 2 2 4" xfId="11428" xr:uid="{00000000-0005-0000-0000-0000A12C0000}"/>
    <cellStyle name="40% - Énfasis2 3 3 2 3 2 3" xfId="11429" xr:uid="{00000000-0005-0000-0000-0000A22C0000}"/>
    <cellStyle name="40% - Énfasis2 3 3 2 3 2 3 2" xfId="11430" xr:uid="{00000000-0005-0000-0000-0000A32C0000}"/>
    <cellStyle name="40% - Énfasis2 3 3 2 3 2 4" xfId="11431" xr:uid="{00000000-0005-0000-0000-0000A42C0000}"/>
    <cellStyle name="40% - Énfasis2 3 3 2 3 2 5" xfId="11432" xr:uid="{00000000-0005-0000-0000-0000A52C0000}"/>
    <cellStyle name="40% - Énfasis2 3 3 2 3 3" xfId="11433" xr:uid="{00000000-0005-0000-0000-0000A62C0000}"/>
    <cellStyle name="40% - Énfasis2 3 3 2 3 3 2" xfId="11434" xr:uid="{00000000-0005-0000-0000-0000A72C0000}"/>
    <cellStyle name="40% - Énfasis2 3 3 2 3 3 2 2" xfId="11435" xr:uid="{00000000-0005-0000-0000-0000A82C0000}"/>
    <cellStyle name="40% - Énfasis2 3 3 2 3 3 3" xfId="11436" xr:uid="{00000000-0005-0000-0000-0000A92C0000}"/>
    <cellStyle name="40% - Énfasis2 3 3 2 3 3 3 2" xfId="11437" xr:uid="{00000000-0005-0000-0000-0000AA2C0000}"/>
    <cellStyle name="40% - Énfasis2 3 3 2 3 3 4" xfId="11438" xr:uid="{00000000-0005-0000-0000-0000AB2C0000}"/>
    <cellStyle name="40% - Énfasis2 3 3 2 3 3 5" xfId="11439" xr:uid="{00000000-0005-0000-0000-0000AC2C0000}"/>
    <cellStyle name="40% - Énfasis2 3 3 2 3 4" xfId="11440" xr:uid="{00000000-0005-0000-0000-0000AD2C0000}"/>
    <cellStyle name="40% - Énfasis2 3 3 2 3 4 2" xfId="11441" xr:uid="{00000000-0005-0000-0000-0000AE2C0000}"/>
    <cellStyle name="40% - Énfasis2 3 3 2 3 5" xfId="11442" xr:uid="{00000000-0005-0000-0000-0000AF2C0000}"/>
    <cellStyle name="40% - Énfasis2 3 3 2 3 5 2" xfId="11443" xr:uid="{00000000-0005-0000-0000-0000B02C0000}"/>
    <cellStyle name="40% - Énfasis2 3 3 2 3 6" xfId="11444" xr:uid="{00000000-0005-0000-0000-0000B12C0000}"/>
    <cellStyle name="40% - Énfasis2 3 3 2 3 7" xfId="11445" xr:uid="{00000000-0005-0000-0000-0000B22C0000}"/>
    <cellStyle name="40% - Énfasis2 3 3 2 4" xfId="11446" xr:uid="{00000000-0005-0000-0000-0000B32C0000}"/>
    <cellStyle name="40% - Énfasis2 3 3 2 4 2" xfId="11447" xr:uid="{00000000-0005-0000-0000-0000B42C0000}"/>
    <cellStyle name="40% - Énfasis2 3 3 2 4 2 2" xfId="11448" xr:uid="{00000000-0005-0000-0000-0000B52C0000}"/>
    <cellStyle name="40% - Énfasis2 3 3 2 4 2 2 2" xfId="11449" xr:uid="{00000000-0005-0000-0000-0000B62C0000}"/>
    <cellStyle name="40% - Énfasis2 3 3 2 4 2 3" xfId="11450" xr:uid="{00000000-0005-0000-0000-0000B72C0000}"/>
    <cellStyle name="40% - Énfasis2 3 3 2 4 2 4" xfId="11451" xr:uid="{00000000-0005-0000-0000-0000B82C0000}"/>
    <cellStyle name="40% - Énfasis2 3 3 2 4 3" xfId="11452" xr:uid="{00000000-0005-0000-0000-0000B92C0000}"/>
    <cellStyle name="40% - Énfasis2 3 3 2 4 3 2" xfId="11453" xr:uid="{00000000-0005-0000-0000-0000BA2C0000}"/>
    <cellStyle name="40% - Énfasis2 3 3 2 4 4" xfId="11454" xr:uid="{00000000-0005-0000-0000-0000BB2C0000}"/>
    <cellStyle name="40% - Énfasis2 3 3 2 4 5" xfId="11455" xr:uid="{00000000-0005-0000-0000-0000BC2C0000}"/>
    <cellStyle name="40% - Énfasis2 3 3 2 5" xfId="11456" xr:uid="{00000000-0005-0000-0000-0000BD2C0000}"/>
    <cellStyle name="40% - Énfasis2 3 3 2 5 2" xfId="11457" xr:uid="{00000000-0005-0000-0000-0000BE2C0000}"/>
    <cellStyle name="40% - Énfasis2 3 3 2 5 2 2" xfId="11458" xr:uid="{00000000-0005-0000-0000-0000BF2C0000}"/>
    <cellStyle name="40% - Énfasis2 3 3 2 5 3" xfId="11459" xr:uid="{00000000-0005-0000-0000-0000C02C0000}"/>
    <cellStyle name="40% - Énfasis2 3 3 2 5 3 2" xfId="11460" xr:uid="{00000000-0005-0000-0000-0000C12C0000}"/>
    <cellStyle name="40% - Énfasis2 3 3 2 5 4" xfId="11461" xr:uid="{00000000-0005-0000-0000-0000C22C0000}"/>
    <cellStyle name="40% - Énfasis2 3 3 2 5 5" xfId="11462" xr:uid="{00000000-0005-0000-0000-0000C32C0000}"/>
    <cellStyle name="40% - Énfasis2 3 3 2 6" xfId="11463" xr:uid="{00000000-0005-0000-0000-0000C42C0000}"/>
    <cellStyle name="40% - Énfasis2 3 3 2 6 2" xfId="11464" xr:uid="{00000000-0005-0000-0000-0000C52C0000}"/>
    <cellStyle name="40% - Énfasis2 3 3 2 7" xfId="11465" xr:uid="{00000000-0005-0000-0000-0000C62C0000}"/>
    <cellStyle name="40% - Énfasis2 3 3 2 7 2" xfId="11466" xr:uid="{00000000-0005-0000-0000-0000C72C0000}"/>
    <cellStyle name="40% - Énfasis2 3 3 2 8" xfId="11467" xr:uid="{00000000-0005-0000-0000-0000C82C0000}"/>
    <cellStyle name="40% - Énfasis2 3 3 2 9" xfId="11468" xr:uid="{00000000-0005-0000-0000-0000C92C0000}"/>
    <cellStyle name="40% - Énfasis2 3 3 3" xfId="11469" xr:uid="{00000000-0005-0000-0000-0000CA2C0000}"/>
    <cellStyle name="40% - Énfasis2 3 3 3 2" xfId="11470" xr:uid="{00000000-0005-0000-0000-0000CB2C0000}"/>
    <cellStyle name="40% - Énfasis2 3 3 3 2 2" xfId="11471" xr:uid="{00000000-0005-0000-0000-0000CC2C0000}"/>
    <cellStyle name="40% - Énfasis2 3 3 3 2 2 2" xfId="11472" xr:uid="{00000000-0005-0000-0000-0000CD2C0000}"/>
    <cellStyle name="40% - Énfasis2 3 3 3 2 2 2 2" xfId="11473" xr:uid="{00000000-0005-0000-0000-0000CE2C0000}"/>
    <cellStyle name="40% - Énfasis2 3 3 3 2 2 2 2 2" xfId="11474" xr:uid="{00000000-0005-0000-0000-0000CF2C0000}"/>
    <cellStyle name="40% - Énfasis2 3 3 3 2 2 2 3" xfId="11475" xr:uid="{00000000-0005-0000-0000-0000D02C0000}"/>
    <cellStyle name="40% - Énfasis2 3 3 3 2 2 2 4" xfId="11476" xr:uid="{00000000-0005-0000-0000-0000D12C0000}"/>
    <cellStyle name="40% - Énfasis2 3 3 3 2 2 3" xfId="11477" xr:uid="{00000000-0005-0000-0000-0000D22C0000}"/>
    <cellStyle name="40% - Énfasis2 3 3 3 2 2 3 2" xfId="11478" xr:uid="{00000000-0005-0000-0000-0000D32C0000}"/>
    <cellStyle name="40% - Énfasis2 3 3 3 2 2 4" xfId="11479" xr:uid="{00000000-0005-0000-0000-0000D42C0000}"/>
    <cellStyle name="40% - Énfasis2 3 3 3 2 2 5" xfId="11480" xr:uid="{00000000-0005-0000-0000-0000D52C0000}"/>
    <cellStyle name="40% - Énfasis2 3 3 3 2 3" xfId="11481" xr:uid="{00000000-0005-0000-0000-0000D62C0000}"/>
    <cellStyle name="40% - Énfasis2 3 3 3 2 3 2" xfId="11482" xr:uid="{00000000-0005-0000-0000-0000D72C0000}"/>
    <cellStyle name="40% - Énfasis2 3 3 3 2 3 2 2" xfId="11483" xr:uid="{00000000-0005-0000-0000-0000D82C0000}"/>
    <cellStyle name="40% - Énfasis2 3 3 3 2 3 3" xfId="11484" xr:uid="{00000000-0005-0000-0000-0000D92C0000}"/>
    <cellStyle name="40% - Énfasis2 3 3 3 2 3 3 2" xfId="11485" xr:uid="{00000000-0005-0000-0000-0000DA2C0000}"/>
    <cellStyle name="40% - Énfasis2 3 3 3 2 3 4" xfId="11486" xr:uid="{00000000-0005-0000-0000-0000DB2C0000}"/>
    <cellStyle name="40% - Énfasis2 3 3 3 2 3 5" xfId="11487" xr:uid="{00000000-0005-0000-0000-0000DC2C0000}"/>
    <cellStyle name="40% - Énfasis2 3 3 3 2 4" xfId="11488" xr:uid="{00000000-0005-0000-0000-0000DD2C0000}"/>
    <cellStyle name="40% - Énfasis2 3 3 3 2 4 2" xfId="11489" xr:uid="{00000000-0005-0000-0000-0000DE2C0000}"/>
    <cellStyle name="40% - Énfasis2 3 3 3 2 5" xfId="11490" xr:uid="{00000000-0005-0000-0000-0000DF2C0000}"/>
    <cellStyle name="40% - Énfasis2 3 3 3 2 5 2" xfId="11491" xr:uid="{00000000-0005-0000-0000-0000E02C0000}"/>
    <cellStyle name="40% - Énfasis2 3 3 3 2 6" xfId="11492" xr:uid="{00000000-0005-0000-0000-0000E12C0000}"/>
    <cellStyle name="40% - Énfasis2 3 3 3 2 7" xfId="11493" xr:uid="{00000000-0005-0000-0000-0000E22C0000}"/>
    <cellStyle name="40% - Énfasis2 3 3 3 3" xfId="11494" xr:uid="{00000000-0005-0000-0000-0000E32C0000}"/>
    <cellStyle name="40% - Énfasis2 3 3 3 3 2" xfId="11495" xr:uid="{00000000-0005-0000-0000-0000E42C0000}"/>
    <cellStyle name="40% - Énfasis2 3 3 3 3 2 2" xfId="11496" xr:uid="{00000000-0005-0000-0000-0000E52C0000}"/>
    <cellStyle name="40% - Énfasis2 3 3 3 3 2 2 2" xfId="11497" xr:uid="{00000000-0005-0000-0000-0000E62C0000}"/>
    <cellStyle name="40% - Énfasis2 3 3 3 3 2 3" xfId="11498" xr:uid="{00000000-0005-0000-0000-0000E72C0000}"/>
    <cellStyle name="40% - Énfasis2 3 3 3 3 2 4" xfId="11499" xr:uid="{00000000-0005-0000-0000-0000E82C0000}"/>
    <cellStyle name="40% - Énfasis2 3 3 3 3 3" xfId="11500" xr:uid="{00000000-0005-0000-0000-0000E92C0000}"/>
    <cellStyle name="40% - Énfasis2 3 3 3 3 3 2" xfId="11501" xr:uid="{00000000-0005-0000-0000-0000EA2C0000}"/>
    <cellStyle name="40% - Énfasis2 3 3 3 3 4" xfId="11502" xr:uid="{00000000-0005-0000-0000-0000EB2C0000}"/>
    <cellStyle name="40% - Énfasis2 3 3 3 3 5" xfId="11503" xr:uid="{00000000-0005-0000-0000-0000EC2C0000}"/>
    <cellStyle name="40% - Énfasis2 3 3 3 4" xfId="11504" xr:uid="{00000000-0005-0000-0000-0000ED2C0000}"/>
    <cellStyle name="40% - Énfasis2 3 3 3 4 2" xfId="11505" xr:uid="{00000000-0005-0000-0000-0000EE2C0000}"/>
    <cellStyle name="40% - Énfasis2 3 3 3 4 2 2" xfId="11506" xr:uid="{00000000-0005-0000-0000-0000EF2C0000}"/>
    <cellStyle name="40% - Énfasis2 3 3 3 4 3" xfId="11507" xr:uid="{00000000-0005-0000-0000-0000F02C0000}"/>
    <cellStyle name="40% - Énfasis2 3 3 3 4 3 2" xfId="11508" xr:uid="{00000000-0005-0000-0000-0000F12C0000}"/>
    <cellStyle name="40% - Énfasis2 3 3 3 4 4" xfId="11509" xr:uid="{00000000-0005-0000-0000-0000F22C0000}"/>
    <cellStyle name="40% - Énfasis2 3 3 3 4 5" xfId="11510" xr:uid="{00000000-0005-0000-0000-0000F32C0000}"/>
    <cellStyle name="40% - Énfasis2 3 3 3 5" xfId="11511" xr:uid="{00000000-0005-0000-0000-0000F42C0000}"/>
    <cellStyle name="40% - Énfasis2 3 3 3 5 2" xfId="11512" xr:uid="{00000000-0005-0000-0000-0000F52C0000}"/>
    <cellStyle name="40% - Énfasis2 3 3 3 6" xfId="11513" xr:uid="{00000000-0005-0000-0000-0000F62C0000}"/>
    <cellStyle name="40% - Énfasis2 3 3 3 6 2" xfId="11514" xr:uid="{00000000-0005-0000-0000-0000F72C0000}"/>
    <cellStyle name="40% - Énfasis2 3 3 3 7" xfId="11515" xr:uid="{00000000-0005-0000-0000-0000F82C0000}"/>
    <cellStyle name="40% - Énfasis2 3 3 3 8" xfId="11516" xr:uid="{00000000-0005-0000-0000-0000F92C0000}"/>
    <cellStyle name="40% - Énfasis2 3 3 4" xfId="11517" xr:uid="{00000000-0005-0000-0000-0000FA2C0000}"/>
    <cellStyle name="40% - Énfasis2 3 3 4 2" xfId="11518" xr:uid="{00000000-0005-0000-0000-0000FB2C0000}"/>
    <cellStyle name="40% - Énfasis2 3 3 4 2 2" xfId="11519" xr:uid="{00000000-0005-0000-0000-0000FC2C0000}"/>
    <cellStyle name="40% - Énfasis2 3 3 4 2 2 2" xfId="11520" xr:uid="{00000000-0005-0000-0000-0000FD2C0000}"/>
    <cellStyle name="40% - Énfasis2 3 3 4 2 2 2 2" xfId="11521" xr:uid="{00000000-0005-0000-0000-0000FE2C0000}"/>
    <cellStyle name="40% - Énfasis2 3 3 4 2 2 3" xfId="11522" xr:uid="{00000000-0005-0000-0000-0000FF2C0000}"/>
    <cellStyle name="40% - Énfasis2 3 3 4 2 2 4" xfId="11523" xr:uid="{00000000-0005-0000-0000-0000002D0000}"/>
    <cellStyle name="40% - Énfasis2 3 3 4 2 3" xfId="11524" xr:uid="{00000000-0005-0000-0000-0000012D0000}"/>
    <cellStyle name="40% - Énfasis2 3 3 4 2 3 2" xfId="11525" xr:uid="{00000000-0005-0000-0000-0000022D0000}"/>
    <cellStyle name="40% - Énfasis2 3 3 4 2 4" xfId="11526" xr:uid="{00000000-0005-0000-0000-0000032D0000}"/>
    <cellStyle name="40% - Énfasis2 3 3 4 2 5" xfId="11527" xr:uid="{00000000-0005-0000-0000-0000042D0000}"/>
    <cellStyle name="40% - Énfasis2 3 3 4 3" xfId="11528" xr:uid="{00000000-0005-0000-0000-0000052D0000}"/>
    <cellStyle name="40% - Énfasis2 3 3 4 3 2" xfId="11529" xr:uid="{00000000-0005-0000-0000-0000062D0000}"/>
    <cellStyle name="40% - Énfasis2 3 3 4 3 2 2" xfId="11530" xr:uid="{00000000-0005-0000-0000-0000072D0000}"/>
    <cellStyle name="40% - Énfasis2 3 3 4 3 3" xfId="11531" xr:uid="{00000000-0005-0000-0000-0000082D0000}"/>
    <cellStyle name="40% - Énfasis2 3 3 4 3 3 2" xfId="11532" xr:uid="{00000000-0005-0000-0000-0000092D0000}"/>
    <cellStyle name="40% - Énfasis2 3 3 4 3 4" xfId="11533" xr:uid="{00000000-0005-0000-0000-00000A2D0000}"/>
    <cellStyle name="40% - Énfasis2 3 3 4 3 5" xfId="11534" xr:uid="{00000000-0005-0000-0000-00000B2D0000}"/>
    <cellStyle name="40% - Énfasis2 3 3 4 4" xfId="11535" xr:uid="{00000000-0005-0000-0000-00000C2D0000}"/>
    <cellStyle name="40% - Énfasis2 3 3 4 4 2" xfId="11536" xr:uid="{00000000-0005-0000-0000-00000D2D0000}"/>
    <cellStyle name="40% - Énfasis2 3 3 4 5" xfId="11537" xr:uid="{00000000-0005-0000-0000-00000E2D0000}"/>
    <cellStyle name="40% - Énfasis2 3 3 4 5 2" xfId="11538" xr:uid="{00000000-0005-0000-0000-00000F2D0000}"/>
    <cellStyle name="40% - Énfasis2 3 3 4 6" xfId="11539" xr:uid="{00000000-0005-0000-0000-0000102D0000}"/>
    <cellStyle name="40% - Énfasis2 3 3 4 7" xfId="11540" xr:uid="{00000000-0005-0000-0000-0000112D0000}"/>
    <cellStyle name="40% - Énfasis2 3 3 5" xfId="11541" xr:uid="{00000000-0005-0000-0000-0000122D0000}"/>
    <cellStyle name="40% - Énfasis2 3 3 5 2" xfId="11542" xr:uid="{00000000-0005-0000-0000-0000132D0000}"/>
    <cellStyle name="40% - Énfasis2 3 3 5 2 2" xfId="11543" xr:uid="{00000000-0005-0000-0000-0000142D0000}"/>
    <cellStyle name="40% - Énfasis2 3 3 5 2 2 2" xfId="11544" xr:uid="{00000000-0005-0000-0000-0000152D0000}"/>
    <cellStyle name="40% - Énfasis2 3 3 5 2 3" xfId="11545" xr:uid="{00000000-0005-0000-0000-0000162D0000}"/>
    <cellStyle name="40% - Énfasis2 3 3 5 2 4" xfId="11546" xr:uid="{00000000-0005-0000-0000-0000172D0000}"/>
    <cellStyle name="40% - Énfasis2 3 3 5 3" xfId="11547" xr:uid="{00000000-0005-0000-0000-0000182D0000}"/>
    <cellStyle name="40% - Énfasis2 3 3 5 3 2" xfId="11548" xr:uid="{00000000-0005-0000-0000-0000192D0000}"/>
    <cellStyle name="40% - Énfasis2 3 3 5 4" xfId="11549" xr:uid="{00000000-0005-0000-0000-00001A2D0000}"/>
    <cellStyle name="40% - Énfasis2 3 3 5 5" xfId="11550" xr:uid="{00000000-0005-0000-0000-00001B2D0000}"/>
    <cellStyle name="40% - Énfasis2 3 3 6" xfId="11551" xr:uid="{00000000-0005-0000-0000-00001C2D0000}"/>
    <cellStyle name="40% - Énfasis2 3 3 6 2" xfId="11552" xr:uid="{00000000-0005-0000-0000-00001D2D0000}"/>
    <cellStyle name="40% - Énfasis2 3 3 6 2 2" xfId="11553" xr:uid="{00000000-0005-0000-0000-00001E2D0000}"/>
    <cellStyle name="40% - Énfasis2 3 3 6 3" xfId="11554" xr:uid="{00000000-0005-0000-0000-00001F2D0000}"/>
    <cellStyle name="40% - Énfasis2 3 3 6 3 2" xfId="11555" xr:uid="{00000000-0005-0000-0000-0000202D0000}"/>
    <cellStyle name="40% - Énfasis2 3 3 6 4" xfId="11556" xr:uid="{00000000-0005-0000-0000-0000212D0000}"/>
    <cellStyle name="40% - Énfasis2 3 3 6 5" xfId="11557" xr:uid="{00000000-0005-0000-0000-0000222D0000}"/>
    <cellStyle name="40% - Énfasis2 3 3 7" xfId="11558" xr:uid="{00000000-0005-0000-0000-0000232D0000}"/>
    <cellStyle name="40% - Énfasis2 3 3 7 2" xfId="11559" xr:uid="{00000000-0005-0000-0000-0000242D0000}"/>
    <cellStyle name="40% - Énfasis2 3 3 8" xfId="11560" xr:uid="{00000000-0005-0000-0000-0000252D0000}"/>
    <cellStyle name="40% - Énfasis2 3 3 8 2" xfId="11561" xr:uid="{00000000-0005-0000-0000-0000262D0000}"/>
    <cellStyle name="40% - Énfasis2 3 3 9" xfId="11562" xr:uid="{00000000-0005-0000-0000-0000272D0000}"/>
    <cellStyle name="40% - Énfasis2 3 4" xfId="11563" xr:uid="{00000000-0005-0000-0000-0000282D0000}"/>
    <cellStyle name="40% - Énfasis2 3 4 2" xfId="11564" xr:uid="{00000000-0005-0000-0000-0000292D0000}"/>
    <cellStyle name="40% - Énfasis2 3 4 2 2" xfId="11565" xr:uid="{00000000-0005-0000-0000-00002A2D0000}"/>
    <cellStyle name="40% - Énfasis2 3 4 2 2 2" xfId="11566" xr:uid="{00000000-0005-0000-0000-00002B2D0000}"/>
    <cellStyle name="40% - Énfasis2 3 4 2 2 2 2" xfId="11567" xr:uid="{00000000-0005-0000-0000-00002C2D0000}"/>
    <cellStyle name="40% - Énfasis2 3 4 2 2 2 2 2" xfId="11568" xr:uid="{00000000-0005-0000-0000-00002D2D0000}"/>
    <cellStyle name="40% - Énfasis2 3 4 2 2 2 2 2 2" xfId="11569" xr:uid="{00000000-0005-0000-0000-00002E2D0000}"/>
    <cellStyle name="40% - Énfasis2 3 4 2 2 2 2 3" xfId="11570" xr:uid="{00000000-0005-0000-0000-00002F2D0000}"/>
    <cellStyle name="40% - Énfasis2 3 4 2 2 2 2 4" xfId="11571" xr:uid="{00000000-0005-0000-0000-0000302D0000}"/>
    <cellStyle name="40% - Énfasis2 3 4 2 2 2 3" xfId="11572" xr:uid="{00000000-0005-0000-0000-0000312D0000}"/>
    <cellStyle name="40% - Énfasis2 3 4 2 2 2 3 2" xfId="11573" xr:uid="{00000000-0005-0000-0000-0000322D0000}"/>
    <cellStyle name="40% - Énfasis2 3 4 2 2 2 4" xfId="11574" xr:uid="{00000000-0005-0000-0000-0000332D0000}"/>
    <cellStyle name="40% - Énfasis2 3 4 2 2 2 5" xfId="11575" xr:uid="{00000000-0005-0000-0000-0000342D0000}"/>
    <cellStyle name="40% - Énfasis2 3 4 2 2 3" xfId="11576" xr:uid="{00000000-0005-0000-0000-0000352D0000}"/>
    <cellStyle name="40% - Énfasis2 3 4 2 2 3 2" xfId="11577" xr:uid="{00000000-0005-0000-0000-0000362D0000}"/>
    <cellStyle name="40% - Énfasis2 3 4 2 2 3 2 2" xfId="11578" xr:uid="{00000000-0005-0000-0000-0000372D0000}"/>
    <cellStyle name="40% - Énfasis2 3 4 2 2 3 3" xfId="11579" xr:uid="{00000000-0005-0000-0000-0000382D0000}"/>
    <cellStyle name="40% - Énfasis2 3 4 2 2 3 4" xfId="11580" xr:uid="{00000000-0005-0000-0000-0000392D0000}"/>
    <cellStyle name="40% - Énfasis2 3 4 2 2 4" xfId="11581" xr:uid="{00000000-0005-0000-0000-00003A2D0000}"/>
    <cellStyle name="40% - Énfasis2 3 4 2 2 4 2" xfId="11582" xr:uid="{00000000-0005-0000-0000-00003B2D0000}"/>
    <cellStyle name="40% - Énfasis2 3 4 2 2 5" xfId="11583" xr:uid="{00000000-0005-0000-0000-00003C2D0000}"/>
    <cellStyle name="40% - Énfasis2 3 4 2 2 6" xfId="11584" xr:uid="{00000000-0005-0000-0000-00003D2D0000}"/>
    <cellStyle name="40% - Énfasis2 3 4 2 3" xfId="11585" xr:uid="{00000000-0005-0000-0000-00003E2D0000}"/>
    <cellStyle name="40% - Énfasis2 3 4 2 3 2" xfId="11586" xr:uid="{00000000-0005-0000-0000-00003F2D0000}"/>
    <cellStyle name="40% - Énfasis2 3 4 2 3 2 2" xfId="11587" xr:uid="{00000000-0005-0000-0000-0000402D0000}"/>
    <cellStyle name="40% - Énfasis2 3 4 2 3 2 2 2" xfId="11588" xr:uid="{00000000-0005-0000-0000-0000412D0000}"/>
    <cellStyle name="40% - Énfasis2 3 4 2 3 2 3" xfId="11589" xr:uid="{00000000-0005-0000-0000-0000422D0000}"/>
    <cellStyle name="40% - Énfasis2 3 4 2 3 2 4" xfId="11590" xr:uid="{00000000-0005-0000-0000-0000432D0000}"/>
    <cellStyle name="40% - Énfasis2 3 4 2 3 3" xfId="11591" xr:uid="{00000000-0005-0000-0000-0000442D0000}"/>
    <cellStyle name="40% - Énfasis2 3 4 2 3 3 2" xfId="11592" xr:uid="{00000000-0005-0000-0000-0000452D0000}"/>
    <cellStyle name="40% - Énfasis2 3 4 2 3 4" xfId="11593" xr:uid="{00000000-0005-0000-0000-0000462D0000}"/>
    <cellStyle name="40% - Énfasis2 3 4 2 3 5" xfId="11594" xr:uid="{00000000-0005-0000-0000-0000472D0000}"/>
    <cellStyle name="40% - Énfasis2 3 4 2 4" xfId="11595" xr:uid="{00000000-0005-0000-0000-0000482D0000}"/>
    <cellStyle name="40% - Énfasis2 3 4 2 4 2" xfId="11596" xr:uid="{00000000-0005-0000-0000-0000492D0000}"/>
    <cellStyle name="40% - Énfasis2 3 4 2 4 2 2" xfId="11597" xr:uid="{00000000-0005-0000-0000-00004A2D0000}"/>
    <cellStyle name="40% - Énfasis2 3 4 2 4 3" xfId="11598" xr:uid="{00000000-0005-0000-0000-00004B2D0000}"/>
    <cellStyle name="40% - Énfasis2 3 4 2 4 4" xfId="11599" xr:uid="{00000000-0005-0000-0000-00004C2D0000}"/>
    <cellStyle name="40% - Énfasis2 3 4 2 5" xfId="11600" xr:uid="{00000000-0005-0000-0000-00004D2D0000}"/>
    <cellStyle name="40% - Énfasis2 3 4 2 5 2" xfId="11601" xr:uid="{00000000-0005-0000-0000-00004E2D0000}"/>
    <cellStyle name="40% - Énfasis2 3 4 2 6" xfId="11602" xr:uid="{00000000-0005-0000-0000-00004F2D0000}"/>
    <cellStyle name="40% - Énfasis2 3 4 2 7" xfId="11603" xr:uid="{00000000-0005-0000-0000-0000502D0000}"/>
    <cellStyle name="40% - Énfasis2 3 4 3" xfId="11604" xr:uid="{00000000-0005-0000-0000-0000512D0000}"/>
    <cellStyle name="40% - Énfasis2 3 4 3 2" xfId="11605" xr:uid="{00000000-0005-0000-0000-0000522D0000}"/>
    <cellStyle name="40% - Énfasis2 3 4 3 2 2" xfId="11606" xr:uid="{00000000-0005-0000-0000-0000532D0000}"/>
    <cellStyle name="40% - Énfasis2 3 4 3 2 2 2" xfId="11607" xr:uid="{00000000-0005-0000-0000-0000542D0000}"/>
    <cellStyle name="40% - Énfasis2 3 4 3 2 2 2 2" xfId="11608" xr:uid="{00000000-0005-0000-0000-0000552D0000}"/>
    <cellStyle name="40% - Énfasis2 3 4 3 2 2 3" xfId="11609" xr:uid="{00000000-0005-0000-0000-0000562D0000}"/>
    <cellStyle name="40% - Énfasis2 3 4 3 2 2 4" xfId="11610" xr:uid="{00000000-0005-0000-0000-0000572D0000}"/>
    <cellStyle name="40% - Énfasis2 3 4 3 2 3" xfId="11611" xr:uid="{00000000-0005-0000-0000-0000582D0000}"/>
    <cellStyle name="40% - Énfasis2 3 4 3 2 3 2" xfId="11612" xr:uid="{00000000-0005-0000-0000-0000592D0000}"/>
    <cellStyle name="40% - Énfasis2 3 4 3 2 4" xfId="11613" xr:uid="{00000000-0005-0000-0000-00005A2D0000}"/>
    <cellStyle name="40% - Énfasis2 3 4 3 2 5" xfId="11614" xr:uid="{00000000-0005-0000-0000-00005B2D0000}"/>
    <cellStyle name="40% - Énfasis2 3 4 3 3" xfId="11615" xr:uid="{00000000-0005-0000-0000-00005C2D0000}"/>
    <cellStyle name="40% - Énfasis2 3 4 3 3 2" xfId="11616" xr:uid="{00000000-0005-0000-0000-00005D2D0000}"/>
    <cellStyle name="40% - Énfasis2 3 4 3 3 2 2" xfId="11617" xr:uid="{00000000-0005-0000-0000-00005E2D0000}"/>
    <cellStyle name="40% - Énfasis2 3 4 3 3 3" xfId="11618" xr:uid="{00000000-0005-0000-0000-00005F2D0000}"/>
    <cellStyle name="40% - Énfasis2 3 4 3 3 3 2" xfId="11619" xr:uid="{00000000-0005-0000-0000-0000602D0000}"/>
    <cellStyle name="40% - Énfasis2 3 4 3 3 4" xfId="11620" xr:uid="{00000000-0005-0000-0000-0000612D0000}"/>
    <cellStyle name="40% - Énfasis2 3 4 3 3 5" xfId="11621" xr:uid="{00000000-0005-0000-0000-0000622D0000}"/>
    <cellStyle name="40% - Énfasis2 3 4 3 4" xfId="11622" xr:uid="{00000000-0005-0000-0000-0000632D0000}"/>
    <cellStyle name="40% - Énfasis2 3 4 3 4 2" xfId="11623" xr:uid="{00000000-0005-0000-0000-0000642D0000}"/>
    <cellStyle name="40% - Énfasis2 3 4 3 5" xfId="11624" xr:uid="{00000000-0005-0000-0000-0000652D0000}"/>
    <cellStyle name="40% - Énfasis2 3 4 3 5 2" xfId="11625" xr:uid="{00000000-0005-0000-0000-0000662D0000}"/>
    <cellStyle name="40% - Énfasis2 3 4 3 6" xfId="11626" xr:uid="{00000000-0005-0000-0000-0000672D0000}"/>
    <cellStyle name="40% - Énfasis2 3 4 3 7" xfId="11627" xr:uid="{00000000-0005-0000-0000-0000682D0000}"/>
    <cellStyle name="40% - Énfasis2 3 4 4" xfId="11628" xr:uid="{00000000-0005-0000-0000-0000692D0000}"/>
    <cellStyle name="40% - Énfasis2 3 4 4 2" xfId="11629" xr:uid="{00000000-0005-0000-0000-00006A2D0000}"/>
    <cellStyle name="40% - Énfasis2 3 4 4 2 2" xfId="11630" xr:uid="{00000000-0005-0000-0000-00006B2D0000}"/>
    <cellStyle name="40% - Énfasis2 3 4 4 2 2 2" xfId="11631" xr:uid="{00000000-0005-0000-0000-00006C2D0000}"/>
    <cellStyle name="40% - Énfasis2 3 4 4 2 3" xfId="11632" xr:uid="{00000000-0005-0000-0000-00006D2D0000}"/>
    <cellStyle name="40% - Énfasis2 3 4 4 2 4" xfId="11633" xr:uid="{00000000-0005-0000-0000-00006E2D0000}"/>
    <cellStyle name="40% - Énfasis2 3 4 4 3" xfId="11634" xr:uid="{00000000-0005-0000-0000-00006F2D0000}"/>
    <cellStyle name="40% - Énfasis2 3 4 4 3 2" xfId="11635" xr:uid="{00000000-0005-0000-0000-0000702D0000}"/>
    <cellStyle name="40% - Énfasis2 3 4 4 4" xfId="11636" xr:uid="{00000000-0005-0000-0000-0000712D0000}"/>
    <cellStyle name="40% - Énfasis2 3 4 4 5" xfId="11637" xr:uid="{00000000-0005-0000-0000-0000722D0000}"/>
    <cellStyle name="40% - Énfasis2 3 4 5" xfId="11638" xr:uid="{00000000-0005-0000-0000-0000732D0000}"/>
    <cellStyle name="40% - Énfasis2 3 4 5 2" xfId="11639" xr:uid="{00000000-0005-0000-0000-0000742D0000}"/>
    <cellStyle name="40% - Énfasis2 3 4 5 2 2" xfId="11640" xr:uid="{00000000-0005-0000-0000-0000752D0000}"/>
    <cellStyle name="40% - Énfasis2 3 4 5 3" xfId="11641" xr:uid="{00000000-0005-0000-0000-0000762D0000}"/>
    <cellStyle name="40% - Énfasis2 3 4 5 3 2" xfId="11642" xr:uid="{00000000-0005-0000-0000-0000772D0000}"/>
    <cellStyle name="40% - Énfasis2 3 4 5 4" xfId="11643" xr:uid="{00000000-0005-0000-0000-0000782D0000}"/>
    <cellStyle name="40% - Énfasis2 3 4 5 5" xfId="11644" xr:uid="{00000000-0005-0000-0000-0000792D0000}"/>
    <cellStyle name="40% - Énfasis2 3 4 6" xfId="11645" xr:uid="{00000000-0005-0000-0000-00007A2D0000}"/>
    <cellStyle name="40% - Énfasis2 3 4 6 2" xfId="11646" xr:uid="{00000000-0005-0000-0000-00007B2D0000}"/>
    <cellStyle name="40% - Énfasis2 3 4 7" xfId="11647" xr:uid="{00000000-0005-0000-0000-00007C2D0000}"/>
    <cellStyle name="40% - Énfasis2 3 4 7 2" xfId="11648" xr:uid="{00000000-0005-0000-0000-00007D2D0000}"/>
    <cellStyle name="40% - Énfasis2 3 4 8" xfId="11649" xr:uid="{00000000-0005-0000-0000-00007E2D0000}"/>
    <cellStyle name="40% - Énfasis2 3 4 9" xfId="11650" xr:uid="{00000000-0005-0000-0000-00007F2D0000}"/>
    <cellStyle name="40% - Énfasis2 3 5" xfId="11651" xr:uid="{00000000-0005-0000-0000-0000802D0000}"/>
    <cellStyle name="40% - Énfasis2 3 5 2" xfId="11652" xr:uid="{00000000-0005-0000-0000-0000812D0000}"/>
    <cellStyle name="40% - Énfasis2 3 5 2 2" xfId="11653" xr:uid="{00000000-0005-0000-0000-0000822D0000}"/>
    <cellStyle name="40% - Énfasis2 3 5 2 2 2" xfId="11654" xr:uid="{00000000-0005-0000-0000-0000832D0000}"/>
    <cellStyle name="40% - Énfasis2 3 5 2 2 2 2" xfId="11655" xr:uid="{00000000-0005-0000-0000-0000842D0000}"/>
    <cellStyle name="40% - Énfasis2 3 5 2 2 2 2 2" xfId="11656" xr:uid="{00000000-0005-0000-0000-0000852D0000}"/>
    <cellStyle name="40% - Énfasis2 3 5 2 2 2 3" xfId="11657" xr:uid="{00000000-0005-0000-0000-0000862D0000}"/>
    <cellStyle name="40% - Énfasis2 3 5 2 2 2 4" xfId="11658" xr:uid="{00000000-0005-0000-0000-0000872D0000}"/>
    <cellStyle name="40% - Énfasis2 3 5 2 2 3" xfId="11659" xr:uid="{00000000-0005-0000-0000-0000882D0000}"/>
    <cellStyle name="40% - Énfasis2 3 5 2 2 3 2" xfId="11660" xr:uid="{00000000-0005-0000-0000-0000892D0000}"/>
    <cellStyle name="40% - Énfasis2 3 5 2 2 4" xfId="11661" xr:uid="{00000000-0005-0000-0000-00008A2D0000}"/>
    <cellStyle name="40% - Énfasis2 3 5 2 2 5" xfId="11662" xr:uid="{00000000-0005-0000-0000-00008B2D0000}"/>
    <cellStyle name="40% - Énfasis2 3 5 2 3" xfId="11663" xr:uid="{00000000-0005-0000-0000-00008C2D0000}"/>
    <cellStyle name="40% - Énfasis2 3 5 2 3 2" xfId="11664" xr:uid="{00000000-0005-0000-0000-00008D2D0000}"/>
    <cellStyle name="40% - Énfasis2 3 5 2 3 2 2" xfId="11665" xr:uid="{00000000-0005-0000-0000-00008E2D0000}"/>
    <cellStyle name="40% - Énfasis2 3 5 2 3 3" xfId="11666" xr:uid="{00000000-0005-0000-0000-00008F2D0000}"/>
    <cellStyle name="40% - Énfasis2 3 5 2 3 3 2" xfId="11667" xr:uid="{00000000-0005-0000-0000-0000902D0000}"/>
    <cellStyle name="40% - Énfasis2 3 5 2 3 4" xfId="11668" xr:uid="{00000000-0005-0000-0000-0000912D0000}"/>
    <cellStyle name="40% - Énfasis2 3 5 2 3 5" xfId="11669" xr:uid="{00000000-0005-0000-0000-0000922D0000}"/>
    <cellStyle name="40% - Énfasis2 3 5 2 4" xfId="11670" xr:uid="{00000000-0005-0000-0000-0000932D0000}"/>
    <cellStyle name="40% - Énfasis2 3 5 2 4 2" xfId="11671" xr:uid="{00000000-0005-0000-0000-0000942D0000}"/>
    <cellStyle name="40% - Énfasis2 3 5 2 5" xfId="11672" xr:uid="{00000000-0005-0000-0000-0000952D0000}"/>
    <cellStyle name="40% - Énfasis2 3 5 2 5 2" xfId="11673" xr:uid="{00000000-0005-0000-0000-0000962D0000}"/>
    <cellStyle name="40% - Énfasis2 3 5 2 6" xfId="11674" xr:uid="{00000000-0005-0000-0000-0000972D0000}"/>
    <cellStyle name="40% - Énfasis2 3 5 2 7" xfId="11675" xr:uid="{00000000-0005-0000-0000-0000982D0000}"/>
    <cellStyle name="40% - Énfasis2 3 5 3" xfId="11676" xr:uid="{00000000-0005-0000-0000-0000992D0000}"/>
    <cellStyle name="40% - Énfasis2 3 5 3 2" xfId="11677" xr:uid="{00000000-0005-0000-0000-00009A2D0000}"/>
    <cellStyle name="40% - Énfasis2 3 5 3 2 2" xfId="11678" xr:uid="{00000000-0005-0000-0000-00009B2D0000}"/>
    <cellStyle name="40% - Énfasis2 3 5 3 2 2 2" xfId="11679" xr:uid="{00000000-0005-0000-0000-00009C2D0000}"/>
    <cellStyle name="40% - Énfasis2 3 5 3 2 3" xfId="11680" xr:uid="{00000000-0005-0000-0000-00009D2D0000}"/>
    <cellStyle name="40% - Énfasis2 3 5 3 2 4" xfId="11681" xr:uid="{00000000-0005-0000-0000-00009E2D0000}"/>
    <cellStyle name="40% - Énfasis2 3 5 3 3" xfId="11682" xr:uid="{00000000-0005-0000-0000-00009F2D0000}"/>
    <cellStyle name="40% - Énfasis2 3 5 3 3 2" xfId="11683" xr:uid="{00000000-0005-0000-0000-0000A02D0000}"/>
    <cellStyle name="40% - Énfasis2 3 5 3 4" xfId="11684" xr:uid="{00000000-0005-0000-0000-0000A12D0000}"/>
    <cellStyle name="40% - Énfasis2 3 5 3 5" xfId="11685" xr:uid="{00000000-0005-0000-0000-0000A22D0000}"/>
    <cellStyle name="40% - Énfasis2 3 5 4" xfId="11686" xr:uid="{00000000-0005-0000-0000-0000A32D0000}"/>
    <cellStyle name="40% - Énfasis2 3 5 4 2" xfId="11687" xr:uid="{00000000-0005-0000-0000-0000A42D0000}"/>
    <cellStyle name="40% - Énfasis2 3 5 4 2 2" xfId="11688" xr:uid="{00000000-0005-0000-0000-0000A52D0000}"/>
    <cellStyle name="40% - Énfasis2 3 5 4 3" xfId="11689" xr:uid="{00000000-0005-0000-0000-0000A62D0000}"/>
    <cellStyle name="40% - Énfasis2 3 5 4 3 2" xfId="11690" xr:uid="{00000000-0005-0000-0000-0000A72D0000}"/>
    <cellStyle name="40% - Énfasis2 3 5 4 4" xfId="11691" xr:uid="{00000000-0005-0000-0000-0000A82D0000}"/>
    <cellStyle name="40% - Énfasis2 3 5 4 5" xfId="11692" xr:uid="{00000000-0005-0000-0000-0000A92D0000}"/>
    <cellStyle name="40% - Énfasis2 3 5 5" xfId="11693" xr:uid="{00000000-0005-0000-0000-0000AA2D0000}"/>
    <cellStyle name="40% - Énfasis2 3 5 5 2" xfId="11694" xr:uid="{00000000-0005-0000-0000-0000AB2D0000}"/>
    <cellStyle name="40% - Énfasis2 3 5 6" xfId="11695" xr:uid="{00000000-0005-0000-0000-0000AC2D0000}"/>
    <cellStyle name="40% - Énfasis2 3 5 6 2" xfId="11696" xr:uid="{00000000-0005-0000-0000-0000AD2D0000}"/>
    <cellStyle name="40% - Énfasis2 3 5 7" xfId="11697" xr:uid="{00000000-0005-0000-0000-0000AE2D0000}"/>
    <cellStyle name="40% - Énfasis2 3 5 8" xfId="11698" xr:uid="{00000000-0005-0000-0000-0000AF2D0000}"/>
    <cellStyle name="40% - Énfasis2 3 6" xfId="11699" xr:uid="{00000000-0005-0000-0000-0000B02D0000}"/>
    <cellStyle name="40% - Énfasis2 3 6 2" xfId="11700" xr:uid="{00000000-0005-0000-0000-0000B12D0000}"/>
    <cellStyle name="40% - Énfasis2 3 6 2 2" xfId="11701" xr:uid="{00000000-0005-0000-0000-0000B22D0000}"/>
    <cellStyle name="40% - Énfasis2 3 6 2 2 2" xfId="11702" xr:uid="{00000000-0005-0000-0000-0000B32D0000}"/>
    <cellStyle name="40% - Énfasis2 3 6 2 2 2 2" xfId="11703" xr:uid="{00000000-0005-0000-0000-0000B42D0000}"/>
    <cellStyle name="40% - Énfasis2 3 6 2 2 3" xfId="11704" xr:uid="{00000000-0005-0000-0000-0000B52D0000}"/>
    <cellStyle name="40% - Énfasis2 3 6 2 2 4" xfId="11705" xr:uid="{00000000-0005-0000-0000-0000B62D0000}"/>
    <cellStyle name="40% - Énfasis2 3 6 2 3" xfId="11706" xr:uid="{00000000-0005-0000-0000-0000B72D0000}"/>
    <cellStyle name="40% - Énfasis2 3 6 2 3 2" xfId="11707" xr:uid="{00000000-0005-0000-0000-0000B82D0000}"/>
    <cellStyle name="40% - Énfasis2 3 6 2 4" xfId="11708" xr:uid="{00000000-0005-0000-0000-0000B92D0000}"/>
    <cellStyle name="40% - Énfasis2 3 6 2 5" xfId="11709" xr:uid="{00000000-0005-0000-0000-0000BA2D0000}"/>
    <cellStyle name="40% - Énfasis2 3 6 3" xfId="11710" xr:uid="{00000000-0005-0000-0000-0000BB2D0000}"/>
    <cellStyle name="40% - Énfasis2 3 6 3 2" xfId="11711" xr:uid="{00000000-0005-0000-0000-0000BC2D0000}"/>
    <cellStyle name="40% - Énfasis2 3 6 3 2 2" xfId="11712" xr:uid="{00000000-0005-0000-0000-0000BD2D0000}"/>
    <cellStyle name="40% - Énfasis2 3 6 3 3" xfId="11713" xr:uid="{00000000-0005-0000-0000-0000BE2D0000}"/>
    <cellStyle name="40% - Énfasis2 3 6 3 3 2" xfId="11714" xr:uid="{00000000-0005-0000-0000-0000BF2D0000}"/>
    <cellStyle name="40% - Énfasis2 3 6 3 4" xfId="11715" xr:uid="{00000000-0005-0000-0000-0000C02D0000}"/>
    <cellStyle name="40% - Énfasis2 3 6 3 5" xfId="11716" xr:uid="{00000000-0005-0000-0000-0000C12D0000}"/>
    <cellStyle name="40% - Énfasis2 3 6 4" xfId="11717" xr:uid="{00000000-0005-0000-0000-0000C22D0000}"/>
    <cellStyle name="40% - Énfasis2 3 6 4 2" xfId="11718" xr:uid="{00000000-0005-0000-0000-0000C32D0000}"/>
    <cellStyle name="40% - Énfasis2 3 6 5" xfId="11719" xr:uid="{00000000-0005-0000-0000-0000C42D0000}"/>
    <cellStyle name="40% - Énfasis2 3 6 5 2" xfId="11720" xr:uid="{00000000-0005-0000-0000-0000C52D0000}"/>
    <cellStyle name="40% - Énfasis2 3 6 6" xfId="11721" xr:uid="{00000000-0005-0000-0000-0000C62D0000}"/>
    <cellStyle name="40% - Énfasis2 3 6 7" xfId="11722" xr:uid="{00000000-0005-0000-0000-0000C72D0000}"/>
    <cellStyle name="40% - Énfasis2 3 7" xfId="11723" xr:uid="{00000000-0005-0000-0000-0000C82D0000}"/>
    <cellStyle name="40% - Énfasis2 3 7 2" xfId="11724" xr:uid="{00000000-0005-0000-0000-0000C92D0000}"/>
    <cellStyle name="40% - Énfasis2 3 7 2 2" xfId="11725" xr:uid="{00000000-0005-0000-0000-0000CA2D0000}"/>
    <cellStyle name="40% - Énfasis2 3 7 2 2 2" xfId="11726" xr:uid="{00000000-0005-0000-0000-0000CB2D0000}"/>
    <cellStyle name="40% - Énfasis2 3 7 2 3" xfId="11727" xr:uid="{00000000-0005-0000-0000-0000CC2D0000}"/>
    <cellStyle name="40% - Énfasis2 3 7 2 4" xfId="11728" xr:uid="{00000000-0005-0000-0000-0000CD2D0000}"/>
    <cellStyle name="40% - Énfasis2 3 7 3" xfId="11729" xr:uid="{00000000-0005-0000-0000-0000CE2D0000}"/>
    <cellStyle name="40% - Énfasis2 3 7 3 2" xfId="11730" xr:uid="{00000000-0005-0000-0000-0000CF2D0000}"/>
    <cellStyle name="40% - Énfasis2 3 7 4" xfId="11731" xr:uid="{00000000-0005-0000-0000-0000D02D0000}"/>
    <cellStyle name="40% - Énfasis2 3 7 5" xfId="11732" xr:uid="{00000000-0005-0000-0000-0000D12D0000}"/>
    <cellStyle name="40% - Énfasis2 3 8" xfId="11733" xr:uid="{00000000-0005-0000-0000-0000D22D0000}"/>
    <cellStyle name="40% - Énfasis2 3 8 2" xfId="11734" xr:uid="{00000000-0005-0000-0000-0000D32D0000}"/>
    <cellStyle name="40% - Énfasis2 3 8 2 2" xfId="11735" xr:uid="{00000000-0005-0000-0000-0000D42D0000}"/>
    <cellStyle name="40% - Énfasis2 3 8 3" xfId="11736" xr:uid="{00000000-0005-0000-0000-0000D52D0000}"/>
    <cellStyle name="40% - Énfasis2 3 8 3 2" xfId="11737" xr:uid="{00000000-0005-0000-0000-0000D62D0000}"/>
    <cellStyle name="40% - Énfasis2 3 8 4" xfId="11738" xr:uid="{00000000-0005-0000-0000-0000D72D0000}"/>
    <cellStyle name="40% - Énfasis2 3 8 5" xfId="11739" xr:uid="{00000000-0005-0000-0000-0000D82D0000}"/>
    <cellStyle name="40% - Énfasis2 3 9" xfId="11740" xr:uid="{00000000-0005-0000-0000-0000D92D0000}"/>
    <cellStyle name="40% - Énfasis2 3 9 2" xfId="11741" xr:uid="{00000000-0005-0000-0000-0000DA2D0000}"/>
    <cellStyle name="40% - Énfasis2 4" xfId="11742" xr:uid="{00000000-0005-0000-0000-0000DB2D0000}"/>
    <cellStyle name="40% - Énfasis3 2" xfId="11743" xr:uid="{00000000-0005-0000-0000-0000DC2D0000}"/>
    <cellStyle name="40% - Énfasis3 2 10" xfId="11744" xr:uid="{00000000-0005-0000-0000-0000DD2D0000}"/>
    <cellStyle name="40% - Énfasis3 2 10 2" xfId="11745" xr:uid="{00000000-0005-0000-0000-0000DE2D0000}"/>
    <cellStyle name="40% - Énfasis3 2 11" xfId="11746" xr:uid="{00000000-0005-0000-0000-0000DF2D0000}"/>
    <cellStyle name="40% - Énfasis3 2 12" xfId="11747" xr:uid="{00000000-0005-0000-0000-0000E02D0000}"/>
    <cellStyle name="40% - Énfasis3 2 2" xfId="11748" xr:uid="{00000000-0005-0000-0000-0000E12D0000}"/>
    <cellStyle name="40% - Énfasis3 2 2 10" xfId="11749" xr:uid="{00000000-0005-0000-0000-0000E22D0000}"/>
    <cellStyle name="40% - Énfasis3 2 2 10 2" xfId="11750" xr:uid="{00000000-0005-0000-0000-0000E32D0000}"/>
    <cellStyle name="40% - Énfasis3 2 2 11" xfId="11751" xr:uid="{00000000-0005-0000-0000-0000E42D0000}"/>
    <cellStyle name="40% - Énfasis3 2 2 12" xfId="11752" xr:uid="{00000000-0005-0000-0000-0000E52D0000}"/>
    <cellStyle name="40% - Énfasis3 2 2 2" xfId="11753" xr:uid="{00000000-0005-0000-0000-0000E62D0000}"/>
    <cellStyle name="40% - Énfasis3 2 2 2 10" xfId="11754" xr:uid="{00000000-0005-0000-0000-0000E72D0000}"/>
    <cellStyle name="40% - Énfasis3 2 2 2 2" xfId="11755" xr:uid="{00000000-0005-0000-0000-0000E82D0000}"/>
    <cellStyle name="40% - Énfasis3 2 2 2 2 2" xfId="11756" xr:uid="{00000000-0005-0000-0000-0000E92D0000}"/>
    <cellStyle name="40% - Énfasis3 2 2 2 2 2 2" xfId="11757" xr:uid="{00000000-0005-0000-0000-0000EA2D0000}"/>
    <cellStyle name="40% - Énfasis3 2 2 2 2 2 2 2" xfId="11758" xr:uid="{00000000-0005-0000-0000-0000EB2D0000}"/>
    <cellStyle name="40% - Énfasis3 2 2 2 2 2 2 2 2" xfId="11759" xr:uid="{00000000-0005-0000-0000-0000EC2D0000}"/>
    <cellStyle name="40% - Énfasis3 2 2 2 2 2 2 2 2 2" xfId="11760" xr:uid="{00000000-0005-0000-0000-0000ED2D0000}"/>
    <cellStyle name="40% - Énfasis3 2 2 2 2 2 2 2 2 2 2" xfId="11761" xr:uid="{00000000-0005-0000-0000-0000EE2D0000}"/>
    <cellStyle name="40% - Énfasis3 2 2 2 2 2 2 2 2 3" xfId="11762" xr:uid="{00000000-0005-0000-0000-0000EF2D0000}"/>
    <cellStyle name="40% - Énfasis3 2 2 2 2 2 2 2 2 4" xfId="11763" xr:uid="{00000000-0005-0000-0000-0000F02D0000}"/>
    <cellStyle name="40% - Énfasis3 2 2 2 2 2 2 2 3" xfId="11764" xr:uid="{00000000-0005-0000-0000-0000F12D0000}"/>
    <cellStyle name="40% - Énfasis3 2 2 2 2 2 2 2 3 2" xfId="11765" xr:uid="{00000000-0005-0000-0000-0000F22D0000}"/>
    <cellStyle name="40% - Énfasis3 2 2 2 2 2 2 2 4" xfId="11766" xr:uid="{00000000-0005-0000-0000-0000F32D0000}"/>
    <cellStyle name="40% - Énfasis3 2 2 2 2 2 2 2 5" xfId="11767" xr:uid="{00000000-0005-0000-0000-0000F42D0000}"/>
    <cellStyle name="40% - Énfasis3 2 2 2 2 2 2 3" xfId="11768" xr:uid="{00000000-0005-0000-0000-0000F52D0000}"/>
    <cellStyle name="40% - Énfasis3 2 2 2 2 2 2 3 2" xfId="11769" xr:uid="{00000000-0005-0000-0000-0000F62D0000}"/>
    <cellStyle name="40% - Énfasis3 2 2 2 2 2 2 3 2 2" xfId="11770" xr:uid="{00000000-0005-0000-0000-0000F72D0000}"/>
    <cellStyle name="40% - Énfasis3 2 2 2 2 2 2 3 3" xfId="11771" xr:uid="{00000000-0005-0000-0000-0000F82D0000}"/>
    <cellStyle name="40% - Énfasis3 2 2 2 2 2 2 3 4" xfId="11772" xr:uid="{00000000-0005-0000-0000-0000F92D0000}"/>
    <cellStyle name="40% - Énfasis3 2 2 2 2 2 2 4" xfId="11773" xr:uid="{00000000-0005-0000-0000-0000FA2D0000}"/>
    <cellStyle name="40% - Énfasis3 2 2 2 2 2 2 4 2" xfId="11774" xr:uid="{00000000-0005-0000-0000-0000FB2D0000}"/>
    <cellStyle name="40% - Énfasis3 2 2 2 2 2 2 5" xfId="11775" xr:uid="{00000000-0005-0000-0000-0000FC2D0000}"/>
    <cellStyle name="40% - Énfasis3 2 2 2 2 2 2 6" xfId="11776" xr:uid="{00000000-0005-0000-0000-0000FD2D0000}"/>
    <cellStyle name="40% - Énfasis3 2 2 2 2 2 3" xfId="11777" xr:uid="{00000000-0005-0000-0000-0000FE2D0000}"/>
    <cellStyle name="40% - Énfasis3 2 2 2 2 2 3 2" xfId="11778" xr:uid="{00000000-0005-0000-0000-0000FF2D0000}"/>
    <cellStyle name="40% - Énfasis3 2 2 2 2 2 3 2 2" xfId="11779" xr:uid="{00000000-0005-0000-0000-0000002E0000}"/>
    <cellStyle name="40% - Énfasis3 2 2 2 2 2 3 2 2 2" xfId="11780" xr:uid="{00000000-0005-0000-0000-0000012E0000}"/>
    <cellStyle name="40% - Énfasis3 2 2 2 2 2 3 2 3" xfId="11781" xr:uid="{00000000-0005-0000-0000-0000022E0000}"/>
    <cellStyle name="40% - Énfasis3 2 2 2 2 2 3 2 4" xfId="11782" xr:uid="{00000000-0005-0000-0000-0000032E0000}"/>
    <cellStyle name="40% - Énfasis3 2 2 2 2 2 3 3" xfId="11783" xr:uid="{00000000-0005-0000-0000-0000042E0000}"/>
    <cellStyle name="40% - Énfasis3 2 2 2 2 2 3 3 2" xfId="11784" xr:uid="{00000000-0005-0000-0000-0000052E0000}"/>
    <cellStyle name="40% - Énfasis3 2 2 2 2 2 3 4" xfId="11785" xr:uid="{00000000-0005-0000-0000-0000062E0000}"/>
    <cellStyle name="40% - Énfasis3 2 2 2 2 2 3 5" xfId="11786" xr:uid="{00000000-0005-0000-0000-0000072E0000}"/>
    <cellStyle name="40% - Énfasis3 2 2 2 2 2 4" xfId="11787" xr:uid="{00000000-0005-0000-0000-0000082E0000}"/>
    <cellStyle name="40% - Énfasis3 2 2 2 2 2 4 2" xfId="11788" xr:uid="{00000000-0005-0000-0000-0000092E0000}"/>
    <cellStyle name="40% - Énfasis3 2 2 2 2 2 4 2 2" xfId="11789" xr:uid="{00000000-0005-0000-0000-00000A2E0000}"/>
    <cellStyle name="40% - Énfasis3 2 2 2 2 2 4 3" xfId="11790" xr:uid="{00000000-0005-0000-0000-00000B2E0000}"/>
    <cellStyle name="40% - Énfasis3 2 2 2 2 2 4 4" xfId="11791" xr:uid="{00000000-0005-0000-0000-00000C2E0000}"/>
    <cellStyle name="40% - Énfasis3 2 2 2 2 2 5" xfId="11792" xr:uid="{00000000-0005-0000-0000-00000D2E0000}"/>
    <cellStyle name="40% - Énfasis3 2 2 2 2 2 5 2" xfId="11793" xr:uid="{00000000-0005-0000-0000-00000E2E0000}"/>
    <cellStyle name="40% - Énfasis3 2 2 2 2 2 6" xfId="11794" xr:uid="{00000000-0005-0000-0000-00000F2E0000}"/>
    <cellStyle name="40% - Énfasis3 2 2 2 2 2 7" xfId="11795" xr:uid="{00000000-0005-0000-0000-0000102E0000}"/>
    <cellStyle name="40% - Énfasis3 2 2 2 2 3" xfId="11796" xr:uid="{00000000-0005-0000-0000-0000112E0000}"/>
    <cellStyle name="40% - Énfasis3 2 2 2 2 3 2" xfId="11797" xr:uid="{00000000-0005-0000-0000-0000122E0000}"/>
    <cellStyle name="40% - Énfasis3 2 2 2 2 3 2 2" xfId="11798" xr:uid="{00000000-0005-0000-0000-0000132E0000}"/>
    <cellStyle name="40% - Énfasis3 2 2 2 2 3 2 2 2" xfId="11799" xr:uid="{00000000-0005-0000-0000-0000142E0000}"/>
    <cellStyle name="40% - Énfasis3 2 2 2 2 3 2 2 2 2" xfId="11800" xr:uid="{00000000-0005-0000-0000-0000152E0000}"/>
    <cellStyle name="40% - Énfasis3 2 2 2 2 3 2 2 3" xfId="11801" xr:uid="{00000000-0005-0000-0000-0000162E0000}"/>
    <cellStyle name="40% - Énfasis3 2 2 2 2 3 2 2 4" xfId="11802" xr:uid="{00000000-0005-0000-0000-0000172E0000}"/>
    <cellStyle name="40% - Énfasis3 2 2 2 2 3 2 3" xfId="11803" xr:uid="{00000000-0005-0000-0000-0000182E0000}"/>
    <cellStyle name="40% - Énfasis3 2 2 2 2 3 2 3 2" xfId="11804" xr:uid="{00000000-0005-0000-0000-0000192E0000}"/>
    <cellStyle name="40% - Énfasis3 2 2 2 2 3 2 4" xfId="11805" xr:uid="{00000000-0005-0000-0000-00001A2E0000}"/>
    <cellStyle name="40% - Énfasis3 2 2 2 2 3 2 5" xfId="11806" xr:uid="{00000000-0005-0000-0000-00001B2E0000}"/>
    <cellStyle name="40% - Énfasis3 2 2 2 2 3 3" xfId="11807" xr:uid="{00000000-0005-0000-0000-00001C2E0000}"/>
    <cellStyle name="40% - Énfasis3 2 2 2 2 3 3 2" xfId="11808" xr:uid="{00000000-0005-0000-0000-00001D2E0000}"/>
    <cellStyle name="40% - Énfasis3 2 2 2 2 3 3 2 2" xfId="11809" xr:uid="{00000000-0005-0000-0000-00001E2E0000}"/>
    <cellStyle name="40% - Énfasis3 2 2 2 2 3 3 3" xfId="11810" xr:uid="{00000000-0005-0000-0000-00001F2E0000}"/>
    <cellStyle name="40% - Énfasis3 2 2 2 2 3 3 3 2" xfId="11811" xr:uid="{00000000-0005-0000-0000-0000202E0000}"/>
    <cellStyle name="40% - Énfasis3 2 2 2 2 3 3 4" xfId="11812" xr:uid="{00000000-0005-0000-0000-0000212E0000}"/>
    <cellStyle name="40% - Énfasis3 2 2 2 2 3 3 5" xfId="11813" xr:uid="{00000000-0005-0000-0000-0000222E0000}"/>
    <cellStyle name="40% - Énfasis3 2 2 2 2 3 4" xfId="11814" xr:uid="{00000000-0005-0000-0000-0000232E0000}"/>
    <cellStyle name="40% - Énfasis3 2 2 2 2 3 4 2" xfId="11815" xr:uid="{00000000-0005-0000-0000-0000242E0000}"/>
    <cellStyle name="40% - Énfasis3 2 2 2 2 3 5" xfId="11816" xr:uid="{00000000-0005-0000-0000-0000252E0000}"/>
    <cellStyle name="40% - Énfasis3 2 2 2 2 3 5 2" xfId="11817" xr:uid="{00000000-0005-0000-0000-0000262E0000}"/>
    <cellStyle name="40% - Énfasis3 2 2 2 2 3 6" xfId="11818" xr:uid="{00000000-0005-0000-0000-0000272E0000}"/>
    <cellStyle name="40% - Énfasis3 2 2 2 2 3 7" xfId="11819" xr:uid="{00000000-0005-0000-0000-0000282E0000}"/>
    <cellStyle name="40% - Énfasis3 2 2 2 2 4" xfId="11820" xr:uid="{00000000-0005-0000-0000-0000292E0000}"/>
    <cellStyle name="40% - Énfasis3 2 2 2 2 4 2" xfId="11821" xr:uid="{00000000-0005-0000-0000-00002A2E0000}"/>
    <cellStyle name="40% - Énfasis3 2 2 2 2 4 2 2" xfId="11822" xr:uid="{00000000-0005-0000-0000-00002B2E0000}"/>
    <cellStyle name="40% - Énfasis3 2 2 2 2 4 2 2 2" xfId="11823" xr:uid="{00000000-0005-0000-0000-00002C2E0000}"/>
    <cellStyle name="40% - Énfasis3 2 2 2 2 4 2 3" xfId="11824" xr:uid="{00000000-0005-0000-0000-00002D2E0000}"/>
    <cellStyle name="40% - Énfasis3 2 2 2 2 4 2 4" xfId="11825" xr:uid="{00000000-0005-0000-0000-00002E2E0000}"/>
    <cellStyle name="40% - Énfasis3 2 2 2 2 4 3" xfId="11826" xr:uid="{00000000-0005-0000-0000-00002F2E0000}"/>
    <cellStyle name="40% - Énfasis3 2 2 2 2 4 3 2" xfId="11827" xr:uid="{00000000-0005-0000-0000-0000302E0000}"/>
    <cellStyle name="40% - Énfasis3 2 2 2 2 4 4" xfId="11828" xr:uid="{00000000-0005-0000-0000-0000312E0000}"/>
    <cellStyle name="40% - Énfasis3 2 2 2 2 4 5" xfId="11829" xr:uid="{00000000-0005-0000-0000-0000322E0000}"/>
    <cellStyle name="40% - Énfasis3 2 2 2 2 5" xfId="11830" xr:uid="{00000000-0005-0000-0000-0000332E0000}"/>
    <cellStyle name="40% - Énfasis3 2 2 2 2 5 2" xfId="11831" xr:uid="{00000000-0005-0000-0000-0000342E0000}"/>
    <cellStyle name="40% - Énfasis3 2 2 2 2 5 2 2" xfId="11832" xr:uid="{00000000-0005-0000-0000-0000352E0000}"/>
    <cellStyle name="40% - Énfasis3 2 2 2 2 5 3" xfId="11833" xr:uid="{00000000-0005-0000-0000-0000362E0000}"/>
    <cellStyle name="40% - Énfasis3 2 2 2 2 5 3 2" xfId="11834" xr:uid="{00000000-0005-0000-0000-0000372E0000}"/>
    <cellStyle name="40% - Énfasis3 2 2 2 2 5 4" xfId="11835" xr:uid="{00000000-0005-0000-0000-0000382E0000}"/>
    <cellStyle name="40% - Énfasis3 2 2 2 2 5 5" xfId="11836" xr:uid="{00000000-0005-0000-0000-0000392E0000}"/>
    <cellStyle name="40% - Énfasis3 2 2 2 2 6" xfId="11837" xr:uid="{00000000-0005-0000-0000-00003A2E0000}"/>
    <cellStyle name="40% - Énfasis3 2 2 2 2 6 2" xfId="11838" xr:uid="{00000000-0005-0000-0000-00003B2E0000}"/>
    <cellStyle name="40% - Énfasis3 2 2 2 2 7" xfId="11839" xr:uid="{00000000-0005-0000-0000-00003C2E0000}"/>
    <cellStyle name="40% - Énfasis3 2 2 2 2 7 2" xfId="11840" xr:uid="{00000000-0005-0000-0000-00003D2E0000}"/>
    <cellStyle name="40% - Énfasis3 2 2 2 2 8" xfId="11841" xr:uid="{00000000-0005-0000-0000-00003E2E0000}"/>
    <cellStyle name="40% - Énfasis3 2 2 2 2 9" xfId="11842" xr:uid="{00000000-0005-0000-0000-00003F2E0000}"/>
    <cellStyle name="40% - Énfasis3 2 2 2 3" xfId="11843" xr:uid="{00000000-0005-0000-0000-0000402E0000}"/>
    <cellStyle name="40% - Énfasis3 2 2 2 3 2" xfId="11844" xr:uid="{00000000-0005-0000-0000-0000412E0000}"/>
    <cellStyle name="40% - Énfasis3 2 2 2 3 2 2" xfId="11845" xr:uid="{00000000-0005-0000-0000-0000422E0000}"/>
    <cellStyle name="40% - Énfasis3 2 2 2 3 2 2 2" xfId="11846" xr:uid="{00000000-0005-0000-0000-0000432E0000}"/>
    <cellStyle name="40% - Énfasis3 2 2 2 3 2 2 2 2" xfId="11847" xr:uid="{00000000-0005-0000-0000-0000442E0000}"/>
    <cellStyle name="40% - Énfasis3 2 2 2 3 2 2 2 2 2" xfId="11848" xr:uid="{00000000-0005-0000-0000-0000452E0000}"/>
    <cellStyle name="40% - Énfasis3 2 2 2 3 2 2 2 3" xfId="11849" xr:uid="{00000000-0005-0000-0000-0000462E0000}"/>
    <cellStyle name="40% - Énfasis3 2 2 2 3 2 2 2 4" xfId="11850" xr:uid="{00000000-0005-0000-0000-0000472E0000}"/>
    <cellStyle name="40% - Énfasis3 2 2 2 3 2 2 3" xfId="11851" xr:uid="{00000000-0005-0000-0000-0000482E0000}"/>
    <cellStyle name="40% - Énfasis3 2 2 2 3 2 2 3 2" xfId="11852" xr:uid="{00000000-0005-0000-0000-0000492E0000}"/>
    <cellStyle name="40% - Énfasis3 2 2 2 3 2 2 4" xfId="11853" xr:uid="{00000000-0005-0000-0000-00004A2E0000}"/>
    <cellStyle name="40% - Énfasis3 2 2 2 3 2 2 5" xfId="11854" xr:uid="{00000000-0005-0000-0000-00004B2E0000}"/>
    <cellStyle name="40% - Énfasis3 2 2 2 3 2 3" xfId="11855" xr:uid="{00000000-0005-0000-0000-00004C2E0000}"/>
    <cellStyle name="40% - Énfasis3 2 2 2 3 2 3 2" xfId="11856" xr:uid="{00000000-0005-0000-0000-00004D2E0000}"/>
    <cellStyle name="40% - Énfasis3 2 2 2 3 2 3 2 2" xfId="11857" xr:uid="{00000000-0005-0000-0000-00004E2E0000}"/>
    <cellStyle name="40% - Énfasis3 2 2 2 3 2 3 3" xfId="11858" xr:uid="{00000000-0005-0000-0000-00004F2E0000}"/>
    <cellStyle name="40% - Énfasis3 2 2 2 3 2 3 4" xfId="11859" xr:uid="{00000000-0005-0000-0000-0000502E0000}"/>
    <cellStyle name="40% - Énfasis3 2 2 2 3 2 4" xfId="11860" xr:uid="{00000000-0005-0000-0000-0000512E0000}"/>
    <cellStyle name="40% - Énfasis3 2 2 2 3 2 4 2" xfId="11861" xr:uid="{00000000-0005-0000-0000-0000522E0000}"/>
    <cellStyle name="40% - Énfasis3 2 2 2 3 2 5" xfId="11862" xr:uid="{00000000-0005-0000-0000-0000532E0000}"/>
    <cellStyle name="40% - Énfasis3 2 2 2 3 2 6" xfId="11863" xr:uid="{00000000-0005-0000-0000-0000542E0000}"/>
    <cellStyle name="40% - Énfasis3 2 2 2 3 3" xfId="11864" xr:uid="{00000000-0005-0000-0000-0000552E0000}"/>
    <cellStyle name="40% - Énfasis3 2 2 2 3 3 2" xfId="11865" xr:uid="{00000000-0005-0000-0000-0000562E0000}"/>
    <cellStyle name="40% - Énfasis3 2 2 2 3 3 2 2" xfId="11866" xr:uid="{00000000-0005-0000-0000-0000572E0000}"/>
    <cellStyle name="40% - Énfasis3 2 2 2 3 3 2 2 2" xfId="11867" xr:uid="{00000000-0005-0000-0000-0000582E0000}"/>
    <cellStyle name="40% - Énfasis3 2 2 2 3 3 2 3" xfId="11868" xr:uid="{00000000-0005-0000-0000-0000592E0000}"/>
    <cellStyle name="40% - Énfasis3 2 2 2 3 3 2 4" xfId="11869" xr:uid="{00000000-0005-0000-0000-00005A2E0000}"/>
    <cellStyle name="40% - Énfasis3 2 2 2 3 3 3" xfId="11870" xr:uid="{00000000-0005-0000-0000-00005B2E0000}"/>
    <cellStyle name="40% - Énfasis3 2 2 2 3 3 3 2" xfId="11871" xr:uid="{00000000-0005-0000-0000-00005C2E0000}"/>
    <cellStyle name="40% - Énfasis3 2 2 2 3 3 4" xfId="11872" xr:uid="{00000000-0005-0000-0000-00005D2E0000}"/>
    <cellStyle name="40% - Énfasis3 2 2 2 3 3 5" xfId="11873" xr:uid="{00000000-0005-0000-0000-00005E2E0000}"/>
    <cellStyle name="40% - Énfasis3 2 2 2 3 4" xfId="11874" xr:uid="{00000000-0005-0000-0000-00005F2E0000}"/>
    <cellStyle name="40% - Énfasis3 2 2 2 3 4 2" xfId="11875" xr:uid="{00000000-0005-0000-0000-0000602E0000}"/>
    <cellStyle name="40% - Énfasis3 2 2 2 3 4 2 2" xfId="11876" xr:uid="{00000000-0005-0000-0000-0000612E0000}"/>
    <cellStyle name="40% - Énfasis3 2 2 2 3 4 3" xfId="11877" xr:uid="{00000000-0005-0000-0000-0000622E0000}"/>
    <cellStyle name="40% - Énfasis3 2 2 2 3 4 4" xfId="11878" xr:uid="{00000000-0005-0000-0000-0000632E0000}"/>
    <cellStyle name="40% - Énfasis3 2 2 2 3 5" xfId="11879" xr:uid="{00000000-0005-0000-0000-0000642E0000}"/>
    <cellStyle name="40% - Énfasis3 2 2 2 3 5 2" xfId="11880" xr:uid="{00000000-0005-0000-0000-0000652E0000}"/>
    <cellStyle name="40% - Énfasis3 2 2 2 3 6" xfId="11881" xr:uid="{00000000-0005-0000-0000-0000662E0000}"/>
    <cellStyle name="40% - Énfasis3 2 2 2 3 7" xfId="11882" xr:uid="{00000000-0005-0000-0000-0000672E0000}"/>
    <cellStyle name="40% - Énfasis3 2 2 2 4" xfId="11883" xr:uid="{00000000-0005-0000-0000-0000682E0000}"/>
    <cellStyle name="40% - Énfasis3 2 2 2 4 2" xfId="11884" xr:uid="{00000000-0005-0000-0000-0000692E0000}"/>
    <cellStyle name="40% - Énfasis3 2 2 2 4 2 2" xfId="11885" xr:uid="{00000000-0005-0000-0000-00006A2E0000}"/>
    <cellStyle name="40% - Énfasis3 2 2 2 4 2 2 2" xfId="11886" xr:uid="{00000000-0005-0000-0000-00006B2E0000}"/>
    <cellStyle name="40% - Énfasis3 2 2 2 4 2 2 2 2" xfId="11887" xr:uid="{00000000-0005-0000-0000-00006C2E0000}"/>
    <cellStyle name="40% - Énfasis3 2 2 2 4 2 2 3" xfId="11888" xr:uid="{00000000-0005-0000-0000-00006D2E0000}"/>
    <cellStyle name="40% - Énfasis3 2 2 2 4 2 2 4" xfId="11889" xr:uid="{00000000-0005-0000-0000-00006E2E0000}"/>
    <cellStyle name="40% - Énfasis3 2 2 2 4 2 3" xfId="11890" xr:uid="{00000000-0005-0000-0000-00006F2E0000}"/>
    <cellStyle name="40% - Énfasis3 2 2 2 4 2 3 2" xfId="11891" xr:uid="{00000000-0005-0000-0000-0000702E0000}"/>
    <cellStyle name="40% - Énfasis3 2 2 2 4 2 4" xfId="11892" xr:uid="{00000000-0005-0000-0000-0000712E0000}"/>
    <cellStyle name="40% - Énfasis3 2 2 2 4 2 5" xfId="11893" xr:uid="{00000000-0005-0000-0000-0000722E0000}"/>
    <cellStyle name="40% - Énfasis3 2 2 2 4 3" xfId="11894" xr:uid="{00000000-0005-0000-0000-0000732E0000}"/>
    <cellStyle name="40% - Énfasis3 2 2 2 4 3 2" xfId="11895" xr:uid="{00000000-0005-0000-0000-0000742E0000}"/>
    <cellStyle name="40% - Énfasis3 2 2 2 4 3 2 2" xfId="11896" xr:uid="{00000000-0005-0000-0000-0000752E0000}"/>
    <cellStyle name="40% - Énfasis3 2 2 2 4 3 3" xfId="11897" xr:uid="{00000000-0005-0000-0000-0000762E0000}"/>
    <cellStyle name="40% - Énfasis3 2 2 2 4 3 3 2" xfId="11898" xr:uid="{00000000-0005-0000-0000-0000772E0000}"/>
    <cellStyle name="40% - Énfasis3 2 2 2 4 3 4" xfId="11899" xr:uid="{00000000-0005-0000-0000-0000782E0000}"/>
    <cellStyle name="40% - Énfasis3 2 2 2 4 3 5" xfId="11900" xr:uid="{00000000-0005-0000-0000-0000792E0000}"/>
    <cellStyle name="40% - Énfasis3 2 2 2 4 4" xfId="11901" xr:uid="{00000000-0005-0000-0000-00007A2E0000}"/>
    <cellStyle name="40% - Énfasis3 2 2 2 4 4 2" xfId="11902" xr:uid="{00000000-0005-0000-0000-00007B2E0000}"/>
    <cellStyle name="40% - Énfasis3 2 2 2 4 5" xfId="11903" xr:uid="{00000000-0005-0000-0000-00007C2E0000}"/>
    <cellStyle name="40% - Énfasis3 2 2 2 4 5 2" xfId="11904" xr:uid="{00000000-0005-0000-0000-00007D2E0000}"/>
    <cellStyle name="40% - Énfasis3 2 2 2 4 6" xfId="11905" xr:uid="{00000000-0005-0000-0000-00007E2E0000}"/>
    <cellStyle name="40% - Énfasis3 2 2 2 4 7" xfId="11906" xr:uid="{00000000-0005-0000-0000-00007F2E0000}"/>
    <cellStyle name="40% - Énfasis3 2 2 2 5" xfId="11907" xr:uid="{00000000-0005-0000-0000-0000802E0000}"/>
    <cellStyle name="40% - Énfasis3 2 2 2 5 2" xfId="11908" xr:uid="{00000000-0005-0000-0000-0000812E0000}"/>
    <cellStyle name="40% - Énfasis3 2 2 2 5 2 2" xfId="11909" xr:uid="{00000000-0005-0000-0000-0000822E0000}"/>
    <cellStyle name="40% - Énfasis3 2 2 2 5 2 2 2" xfId="11910" xr:uid="{00000000-0005-0000-0000-0000832E0000}"/>
    <cellStyle name="40% - Énfasis3 2 2 2 5 2 3" xfId="11911" xr:uid="{00000000-0005-0000-0000-0000842E0000}"/>
    <cellStyle name="40% - Énfasis3 2 2 2 5 2 4" xfId="11912" xr:uid="{00000000-0005-0000-0000-0000852E0000}"/>
    <cellStyle name="40% - Énfasis3 2 2 2 5 3" xfId="11913" xr:uid="{00000000-0005-0000-0000-0000862E0000}"/>
    <cellStyle name="40% - Énfasis3 2 2 2 5 3 2" xfId="11914" xr:uid="{00000000-0005-0000-0000-0000872E0000}"/>
    <cellStyle name="40% - Énfasis3 2 2 2 5 4" xfId="11915" xr:uid="{00000000-0005-0000-0000-0000882E0000}"/>
    <cellStyle name="40% - Énfasis3 2 2 2 5 5" xfId="11916" xr:uid="{00000000-0005-0000-0000-0000892E0000}"/>
    <cellStyle name="40% - Énfasis3 2 2 2 6" xfId="11917" xr:uid="{00000000-0005-0000-0000-00008A2E0000}"/>
    <cellStyle name="40% - Énfasis3 2 2 2 6 2" xfId="11918" xr:uid="{00000000-0005-0000-0000-00008B2E0000}"/>
    <cellStyle name="40% - Énfasis3 2 2 2 6 2 2" xfId="11919" xr:uid="{00000000-0005-0000-0000-00008C2E0000}"/>
    <cellStyle name="40% - Énfasis3 2 2 2 6 3" xfId="11920" xr:uid="{00000000-0005-0000-0000-00008D2E0000}"/>
    <cellStyle name="40% - Énfasis3 2 2 2 6 3 2" xfId="11921" xr:uid="{00000000-0005-0000-0000-00008E2E0000}"/>
    <cellStyle name="40% - Énfasis3 2 2 2 6 4" xfId="11922" xr:uid="{00000000-0005-0000-0000-00008F2E0000}"/>
    <cellStyle name="40% - Énfasis3 2 2 2 6 5" xfId="11923" xr:uid="{00000000-0005-0000-0000-0000902E0000}"/>
    <cellStyle name="40% - Énfasis3 2 2 2 7" xfId="11924" xr:uid="{00000000-0005-0000-0000-0000912E0000}"/>
    <cellStyle name="40% - Énfasis3 2 2 2 7 2" xfId="11925" xr:uid="{00000000-0005-0000-0000-0000922E0000}"/>
    <cellStyle name="40% - Énfasis3 2 2 2 8" xfId="11926" xr:uid="{00000000-0005-0000-0000-0000932E0000}"/>
    <cellStyle name="40% - Énfasis3 2 2 2 8 2" xfId="11927" xr:uid="{00000000-0005-0000-0000-0000942E0000}"/>
    <cellStyle name="40% - Énfasis3 2 2 2 9" xfId="11928" xr:uid="{00000000-0005-0000-0000-0000952E0000}"/>
    <cellStyle name="40% - Énfasis3 2 2 3" xfId="11929" xr:uid="{00000000-0005-0000-0000-0000962E0000}"/>
    <cellStyle name="40% - Énfasis3 2 2 3 2" xfId="11930" xr:uid="{00000000-0005-0000-0000-0000972E0000}"/>
    <cellStyle name="40% - Énfasis3 2 2 3 2 2" xfId="11931" xr:uid="{00000000-0005-0000-0000-0000982E0000}"/>
    <cellStyle name="40% - Énfasis3 2 2 3 2 2 2" xfId="11932" xr:uid="{00000000-0005-0000-0000-0000992E0000}"/>
    <cellStyle name="40% - Énfasis3 2 2 3 2 2 2 2" xfId="11933" xr:uid="{00000000-0005-0000-0000-00009A2E0000}"/>
    <cellStyle name="40% - Énfasis3 2 2 3 2 2 2 2 2" xfId="11934" xr:uid="{00000000-0005-0000-0000-00009B2E0000}"/>
    <cellStyle name="40% - Énfasis3 2 2 3 2 2 2 2 2 2" xfId="11935" xr:uid="{00000000-0005-0000-0000-00009C2E0000}"/>
    <cellStyle name="40% - Énfasis3 2 2 3 2 2 2 2 3" xfId="11936" xr:uid="{00000000-0005-0000-0000-00009D2E0000}"/>
    <cellStyle name="40% - Énfasis3 2 2 3 2 2 2 2 4" xfId="11937" xr:uid="{00000000-0005-0000-0000-00009E2E0000}"/>
    <cellStyle name="40% - Énfasis3 2 2 3 2 2 2 3" xfId="11938" xr:uid="{00000000-0005-0000-0000-00009F2E0000}"/>
    <cellStyle name="40% - Énfasis3 2 2 3 2 2 2 3 2" xfId="11939" xr:uid="{00000000-0005-0000-0000-0000A02E0000}"/>
    <cellStyle name="40% - Énfasis3 2 2 3 2 2 2 4" xfId="11940" xr:uid="{00000000-0005-0000-0000-0000A12E0000}"/>
    <cellStyle name="40% - Énfasis3 2 2 3 2 2 2 5" xfId="11941" xr:uid="{00000000-0005-0000-0000-0000A22E0000}"/>
    <cellStyle name="40% - Énfasis3 2 2 3 2 2 3" xfId="11942" xr:uid="{00000000-0005-0000-0000-0000A32E0000}"/>
    <cellStyle name="40% - Énfasis3 2 2 3 2 2 3 2" xfId="11943" xr:uid="{00000000-0005-0000-0000-0000A42E0000}"/>
    <cellStyle name="40% - Énfasis3 2 2 3 2 2 3 2 2" xfId="11944" xr:uid="{00000000-0005-0000-0000-0000A52E0000}"/>
    <cellStyle name="40% - Énfasis3 2 2 3 2 2 3 3" xfId="11945" xr:uid="{00000000-0005-0000-0000-0000A62E0000}"/>
    <cellStyle name="40% - Énfasis3 2 2 3 2 2 3 4" xfId="11946" xr:uid="{00000000-0005-0000-0000-0000A72E0000}"/>
    <cellStyle name="40% - Énfasis3 2 2 3 2 2 4" xfId="11947" xr:uid="{00000000-0005-0000-0000-0000A82E0000}"/>
    <cellStyle name="40% - Énfasis3 2 2 3 2 2 4 2" xfId="11948" xr:uid="{00000000-0005-0000-0000-0000A92E0000}"/>
    <cellStyle name="40% - Énfasis3 2 2 3 2 2 5" xfId="11949" xr:uid="{00000000-0005-0000-0000-0000AA2E0000}"/>
    <cellStyle name="40% - Énfasis3 2 2 3 2 2 6" xfId="11950" xr:uid="{00000000-0005-0000-0000-0000AB2E0000}"/>
    <cellStyle name="40% - Énfasis3 2 2 3 2 3" xfId="11951" xr:uid="{00000000-0005-0000-0000-0000AC2E0000}"/>
    <cellStyle name="40% - Énfasis3 2 2 3 2 3 2" xfId="11952" xr:uid="{00000000-0005-0000-0000-0000AD2E0000}"/>
    <cellStyle name="40% - Énfasis3 2 2 3 2 3 2 2" xfId="11953" xr:uid="{00000000-0005-0000-0000-0000AE2E0000}"/>
    <cellStyle name="40% - Énfasis3 2 2 3 2 3 2 2 2" xfId="11954" xr:uid="{00000000-0005-0000-0000-0000AF2E0000}"/>
    <cellStyle name="40% - Énfasis3 2 2 3 2 3 2 3" xfId="11955" xr:uid="{00000000-0005-0000-0000-0000B02E0000}"/>
    <cellStyle name="40% - Énfasis3 2 2 3 2 3 2 4" xfId="11956" xr:uid="{00000000-0005-0000-0000-0000B12E0000}"/>
    <cellStyle name="40% - Énfasis3 2 2 3 2 3 3" xfId="11957" xr:uid="{00000000-0005-0000-0000-0000B22E0000}"/>
    <cellStyle name="40% - Énfasis3 2 2 3 2 3 3 2" xfId="11958" xr:uid="{00000000-0005-0000-0000-0000B32E0000}"/>
    <cellStyle name="40% - Énfasis3 2 2 3 2 3 4" xfId="11959" xr:uid="{00000000-0005-0000-0000-0000B42E0000}"/>
    <cellStyle name="40% - Énfasis3 2 2 3 2 3 5" xfId="11960" xr:uid="{00000000-0005-0000-0000-0000B52E0000}"/>
    <cellStyle name="40% - Énfasis3 2 2 3 2 4" xfId="11961" xr:uid="{00000000-0005-0000-0000-0000B62E0000}"/>
    <cellStyle name="40% - Énfasis3 2 2 3 2 4 2" xfId="11962" xr:uid="{00000000-0005-0000-0000-0000B72E0000}"/>
    <cellStyle name="40% - Énfasis3 2 2 3 2 4 2 2" xfId="11963" xr:uid="{00000000-0005-0000-0000-0000B82E0000}"/>
    <cellStyle name="40% - Énfasis3 2 2 3 2 4 3" xfId="11964" xr:uid="{00000000-0005-0000-0000-0000B92E0000}"/>
    <cellStyle name="40% - Énfasis3 2 2 3 2 4 4" xfId="11965" xr:uid="{00000000-0005-0000-0000-0000BA2E0000}"/>
    <cellStyle name="40% - Énfasis3 2 2 3 2 5" xfId="11966" xr:uid="{00000000-0005-0000-0000-0000BB2E0000}"/>
    <cellStyle name="40% - Énfasis3 2 2 3 2 5 2" xfId="11967" xr:uid="{00000000-0005-0000-0000-0000BC2E0000}"/>
    <cellStyle name="40% - Énfasis3 2 2 3 2 6" xfId="11968" xr:uid="{00000000-0005-0000-0000-0000BD2E0000}"/>
    <cellStyle name="40% - Énfasis3 2 2 3 2 7" xfId="11969" xr:uid="{00000000-0005-0000-0000-0000BE2E0000}"/>
    <cellStyle name="40% - Énfasis3 2 2 3 3" xfId="11970" xr:uid="{00000000-0005-0000-0000-0000BF2E0000}"/>
    <cellStyle name="40% - Énfasis3 2 2 3 3 2" xfId="11971" xr:uid="{00000000-0005-0000-0000-0000C02E0000}"/>
    <cellStyle name="40% - Énfasis3 2 2 3 3 2 2" xfId="11972" xr:uid="{00000000-0005-0000-0000-0000C12E0000}"/>
    <cellStyle name="40% - Énfasis3 2 2 3 3 2 2 2" xfId="11973" xr:uid="{00000000-0005-0000-0000-0000C22E0000}"/>
    <cellStyle name="40% - Énfasis3 2 2 3 3 2 2 2 2" xfId="11974" xr:uid="{00000000-0005-0000-0000-0000C32E0000}"/>
    <cellStyle name="40% - Énfasis3 2 2 3 3 2 2 3" xfId="11975" xr:uid="{00000000-0005-0000-0000-0000C42E0000}"/>
    <cellStyle name="40% - Énfasis3 2 2 3 3 2 2 4" xfId="11976" xr:uid="{00000000-0005-0000-0000-0000C52E0000}"/>
    <cellStyle name="40% - Énfasis3 2 2 3 3 2 3" xfId="11977" xr:uid="{00000000-0005-0000-0000-0000C62E0000}"/>
    <cellStyle name="40% - Énfasis3 2 2 3 3 2 3 2" xfId="11978" xr:uid="{00000000-0005-0000-0000-0000C72E0000}"/>
    <cellStyle name="40% - Énfasis3 2 2 3 3 2 4" xfId="11979" xr:uid="{00000000-0005-0000-0000-0000C82E0000}"/>
    <cellStyle name="40% - Énfasis3 2 2 3 3 2 5" xfId="11980" xr:uid="{00000000-0005-0000-0000-0000C92E0000}"/>
    <cellStyle name="40% - Énfasis3 2 2 3 3 3" xfId="11981" xr:uid="{00000000-0005-0000-0000-0000CA2E0000}"/>
    <cellStyle name="40% - Énfasis3 2 2 3 3 3 2" xfId="11982" xr:uid="{00000000-0005-0000-0000-0000CB2E0000}"/>
    <cellStyle name="40% - Énfasis3 2 2 3 3 3 2 2" xfId="11983" xr:uid="{00000000-0005-0000-0000-0000CC2E0000}"/>
    <cellStyle name="40% - Énfasis3 2 2 3 3 3 3" xfId="11984" xr:uid="{00000000-0005-0000-0000-0000CD2E0000}"/>
    <cellStyle name="40% - Énfasis3 2 2 3 3 3 3 2" xfId="11985" xr:uid="{00000000-0005-0000-0000-0000CE2E0000}"/>
    <cellStyle name="40% - Énfasis3 2 2 3 3 3 4" xfId="11986" xr:uid="{00000000-0005-0000-0000-0000CF2E0000}"/>
    <cellStyle name="40% - Énfasis3 2 2 3 3 3 5" xfId="11987" xr:uid="{00000000-0005-0000-0000-0000D02E0000}"/>
    <cellStyle name="40% - Énfasis3 2 2 3 3 4" xfId="11988" xr:uid="{00000000-0005-0000-0000-0000D12E0000}"/>
    <cellStyle name="40% - Énfasis3 2 2 3 3 4 2" xfId="11989" xr:uid="{00000000-0005-0000-0000-0000D22E0000}"/>
    <cellStyle name="40% - Énfasis3 2 2 3 3 5" xfId="11990" xr:uid="{00000000-0005-0000-0000-0000D32E0000}"/>
    <cellStyle name="40% - Énfasis3 2 2 3 3 5 2" xfId="11991" xr:uid="{00000000-0005-0000-0000-0000D42E0000}"/>
    <cellStyle name="40% - Énfasis3 2 2 3 3 6" xfId="11992" xr:uid="{00000000-0005-0000-0000-0000D52E0000}"/>
    <cellStyle name="40% - Énfasis3 2 2 3 3 7" xfId="11993" xr:uid="{00000000-0005-0000-0000-0000D62E0000}"/>
    <cellStyle name="40% - Énfasis3 2 2 3 4" xfId="11994" xr:uid="{00000000-0005-0000-0000-0000D72E0000}"/>
    <cellStyle name="40% - Énfasis3 2 2 3 4 2" xfId="11995" xr:uid="{00000000-0005-0000-0000-0000D82E0000}"/>
    <cellStyle name="40% - Énfasis3 2 2 3 4 2 2" xfId="11996" xr:uid="{00000000-0005-0000-0000-0000D92E0000}"/>
    <cellStyle name="40% - Énfasis3 2 2 3 4 2 2 2" xfId="11997" xr:uid="{00000000-0005-0000-0000-0000DA2E0000}"/>
    <cellStyle name="40% - Énfasis3 2 2 3 4 2 3" xfId="11998" xr:uid="{00000000-0005-0000-0000-0000DB2E0000}"/>
    <cellStyle name="40% - Énfasis3 2 2 3 4 2 4" xfId="11999" xr:uid="{00000000-0005-0000-0000-0000DC2E0000}"/>
    <cellStyle name="40% - Énfasis3 2 2 3 4 3" xfId="12000" xr:uid="{00000000-0005-0000-0000-0000DD2E0000}"/>
    <cellStyle name="40% - Énfasis3 2 2 3 4 3 2" xfId="12001" xr:uid="{00000000-0005-0000-0000-0000DE2E0000}"/>
    <cellStyle name="40% - Énfasis3 2 2 3 4 4" xfId="12002" xr:uid="{00000000-0005-0000-0000-0000DF2E0000}"/>
    <cellStyle name="40% - Énfasis3 2 2 3 4 5" xfId="12003" xr:uid="{00000000-0005-0000-0000-0000E02E0000}"/>
    <cellStyle name="40% - Énfasis3 2 2 3 5" xfId="12004" xr:uid="{00000000-0005-0000-0000-0000E12E0000}"/>
    <cellStyle name="40% - Énfasis3 2 2 3 5 2" xfId="12005" xr:uid="{00000000-0005-0000-0000-0000E22E0000}"/>
    <cellStyle name="40% - Énfasis3 2 2 3 5 2 2" xfId="12006" xr:uid="{00000000-0005-0000-0000-0000E32E0000}"/>
    <cellStyle name="40% - Énfasis3 2 2 3 5 3" xfId="12007" xr:uid="{00000000-0005-0000-0000-0000E42E0000}"/>
    <cellStyle name="40% - Énfasis3 2 2 3 5 3 2" xfId="12008" xr:uid="{00000000-0005-0000-0000-0000E52E0000}"/>
    <cellStyle name="40% - Énfasis3 2 2 3 5 4" xfId="12009" xr:uid="{00000000-0005-0000-0000-0000E62E0000}"/>
    <cellStyle name="40% - Énfasis3 2 2 3 5 5" xfId="12010" xr:uid="{00000000-0005-0000-0000-0000E72E0000}"/>
    <cellStyle name="40% - Énfasis3 2 2 3 6" xfId="12011" xr:uid="{00000000-0005-0000-0000-0000E82E0000}"/>
    <cellStyle name="40% - Énfasis3 2 2 3 6 2" xfId="12012" xr:uid="{00000000-0005-0000-0000-0000E92E0000}"/>
    <cellStyle name="40% - Énfasis3 2 2 3 7" xfId="12013" xr:uid="{00000000-0005-0000-0000-0000EA2E0000}"/>
    <cellStyle name="40% - Énfasis3 2 2 3 7 2" xfId="12014" xr:uid="{00000000-0005-0000-0000-0000EB2E0000}"/>
    <cellStyle name="40% - Énfasis3 2 2 3 8" xfId="12015" xr:uid="{00000000-0005-0000-0000-0000EC2E0000}"/>
    <cellStyle name="40% - Énfasis3 2 2 3 9" xfId="12016" xr:uid="{00000000-0005-0000-0000-0000ED2E0000}"/>
    <cellStyle name="40% - Énfasis3 2 2 4" xfId="12017" xr:uid="{00000000-0005-0000-0000-0000EE2E0000}"/>
    <cellStyle name="40% - Énfasis3 2 2 4 2" xfId="12018" xr:uid="{00000000-0005-0000-0000-0000EF2E0000}"/>
    <cellStyle name="40% - Énfasis3 2 2 4 2 2" xfId="12019" xr:uid="{00000000-0005-0000-0000-0000F02E0000}"/>
    <cellStyle name="40% - Énfasis3 2 2 4 2 2 2" xfId="12020" xr:uid="{00000000-0005-0000-0000-0000F12E0000}"/>
    <cellStyle name="40% - Énfasis3 2 2 4 2 2 2 2" xfId="12021" xr:uid="{00000000-0005-0000-0000-0000F22E0000}"/>
    <cellStyle name="40% - Énfasis3 2 2 4 2 2 2 2 2" xfId="12022" xr:uid="{00000000-0005-0000-0000-0000F32E0000}"/>
    <cellStyle name="40% - Énfasis3 2 2 4 2 2 2 3" xfId="12023" xr:uid="{00000000-0005-0000-0000-0000F42E0000}"/>
    <cellStyle name="40% - Énfasis3 2 2 4 2 2 2 4" xfId="12024" xr:uid="{00000000-0005-0000-0000-0000F52E0000}"/>
    <cellStyle name="40% - Énfasis3 2 2 4 2 2 3" xfId="12025" xr:uid="{00000000-0005-0000-0000-0000F62E0000}"/>
    <cellStyle name="40% - Énfasis3 2 2 4 2 2 3 2" xfId="12026" xr:uid="{00000000-0005-0000-0000-0000F72E0000}"/>
    <cellStyle name="40% - Énfasis3 2 2 4 2 2 4" xfId="12027" xr:uid="{00000000-0005-0000-0000-0000F82E0000}"/>
    <cellStyle name="40% - Énfasis3 2 2 4 2 2 5" xfId="12028" xr:uid="{00000000-0005-0000-0000-0000F92E0000}"/>
    <cellStyle name="40% - Énfasis3 2 2 4 2 3" xfId="12029" xr:uid="{00000000-0005-0000-0000-0000FA2E0000}"/>
    <cellStyle name="40% - Énfasis3 2 2 4 2 3 2" xfId="12030" xr:uid="{00000000-0005-0000-0000-0000FB2E0000}"/>
    <cellStyle name="40% - Énfasis3 2 2 4 2 3 2 2" xfId="12031" xr:uid="{00000000-0005-0000-0000-0000FC2E0000}"/>
    <cellStyle name="40% - Énfasis3 2 2 4 2 3 3" xfId="12032" xr:uid="{00000000-0005-0000-0000-0000FD2E0000}"/>
    <cellStyle name="40% - Énfasis3 2 2 4 2 3 3 2" xfId="12033" xr:uid="{00000000-0005-0000-0000-0000FE2E0000}"/>
    <cellStyle name="40% - Énfasis3 2 2 4 2 3 4" xfId="12034" xr:uid="{00000000-0005-0000-0000-0000FF2E0000}"/>
    <cellStyle name="40% - Énfasis3 2 2 4 2 3 5" xfId="12035" xr:uid="{00000000-0005-0000-0000-0000002F0000}"/>
    <cellStyle name="40% - Énfasis3 2 2 4 2 4" xfId="12036" xr:uid="{00000000-0005-0000-0000-0000012F0000}"/>
    <cellStyle name="40% - Énfasis3 2 2 4 2 4 2" xfId="12037" xr:uid="{00000000-0005-0000-0000-0000022F0000}"/>
    <cellStyle name="40% - Énfasis3 2 2 4 2 5" xfId="12038" xr:uid="{00000000-0005-0000-0000-0000032F0000}"/>
    <cellStyle name="40% - Énfasis3 2 2 4 2 5 2" xfId="12039" xr:uid="{00000000-0005-0000-0000-0000042F0000}"/>
    <cellStyle name="40% - Énfasis3 2 2 4 2 6" xfId="12040" xr:uid="{00000000-0005-0000-0000-0000052F0000}"/>
    <cellStyle name="40% - Énfasis3 2 2 4 2 7" xfId="12041" xr:uid="{00000000-0005-0000-0000-0000062F0000}"/>
    <cellStyle name="40% - Énfasis3 2 2 4 3" xfId="12042" xr:uid="{00000000-0005-0000-0000-0000072F0000}"/>
    <cellStyle name="40% - Énfasis3 2 2 4 3 2" xfId="12043" xr:uid="{00000000-0005-0000-0000-0000082F0000}"/>
    <cellStyle name="40% - Énfasis3 2 2 4 3 2 2" xfId="12044" xr:uid="{00000000-0005-0000-0000-0000092F0000}"/>
    <cellStyle name="40% - Énfasis3 2 2 4 3 2 2 2" xfId="12045" xr:uid="{00000000-0005-0000-0000-00000A2F0000}"/>
    <cellStyle name="40% - Énfasis3 2 2 4 3 2 3" xfId="12046" xr:uid="{00000000-0005-0000-0000-00000B2F0000}"/>
    <cellStyle name="40% - Énfasis3 2 2 4 3 2 4" xfId="12047" xr:uid="{00000000-0005-0000-0000-00000C2F0000}"/>
    <cellStyle name="40% - Énfasis3 2 2 4 3 3" xfId="12048" xr:uid="{00000000-0005-0000-0000-00000D2F0000}"/>
    <cellStyle name="40% - Énfasis3 2 2 4 3 3 2" xfId="12049" xr:uid="{00000000-0005-0000-0000-00000E2F0000}"/>
    <cellStyle name="40% - Énfasis3 2 2 4 3 4" xfId="12050" xr:uid="{00000000-0005-0000-0000-00000F2F0000}"/>
    <cellStyle name="40% - Énfasis3 2 2 4 3 5" xfId="12051" xr:uid="{00000000-0005-0000-0000-0000102F0000}"/>
    <cellStyle name="40% - Énfasis3 2 2 4 4" xfId="12052" xr:uid="{00000000-0005-0000-0000-0000112F0000}"/>
    <cellStyle name="40% - Énfasis3 2 2 4 4 2" xfId="12053" xr:uid="{00000000-0005-0000-0000-0000122F0000}"/>
    <cellStyle name="40% - Énfasis3 2 2 4 4 2 2" xfId="12054" xr:uid="{00000000-0005-0000-0000-0000132F0000}"/>
    <cellStyle name="40% - Énfasis3 2 2 4 4 3" xfId="12055" xr:uid="{00000000-0005-0000-0000-0000142F0000}"/>
    <cellStyle name="40% - Énfasis3 2 2 4 4 3 2" xfId="12056" xr:uid="{00000000-0005-0000-0000-0000152F0000}"/>
    <cellStyle name="40% - Énfasis3 2 2 4 4 4" xfId="12057" xr:uid="{00000000-0005-0000-0000-0000162F0000}"/>
    <cellStyle name="40% - Énfasis3 2 2 4 4 5" xfId="12058" xr:uid="{00000000-0005-0000-0000-0000172F0000}"/>
    <cellStyle name="40% - Énfasis3 2 2 4 5" xfId="12059" xr:uid="{00000000-0005-0000-0000-0000182F0000}"/>
    <cellStyle name="40% - Énfasis3 2 2 4 5 2" xfId="12060" xr:uid="{00000000-0005-0000-0000-0000192F0000}"/>
    <cellStyle name="40% - Énfasis3 2 2 4 6" xfId="12061" xr:uid="{00000000-0005-0000-0000-00001A2F0000}"/>
    <cellStyle name="40% - Énfasis3 2 2 4 6 2" xfId="12062" xr:uid="{00000000-0005-0000-0000-00001B2F0000}"/>
    <cellStyle name="40% - Énfasis3 2 2 4 7" xfId="12063" xr:uid="{00000000-0005-0000-0000-00001C2F0000}"/>
    <cellStyle name="40% - Énfasis3 2 2 4 8" xfId="12064" xr:uid="{00000000-0005-0000-0000-00001D2F0000}"/>
    <cellStyle name="40% - Énfasis3 2 2 5" xfId="12065" xr:uid="{00000000-0005-0000-0000-00001E2F0000}"/>
    <cellStyle name="40% - Énfasis3 2 2 5 2" xfId="12066" xr:uid="{00000000-0005-0000-0000-00001F2F0000}"/>
    <cellStyle name="40% - Énfasis3 2 2 5 2 2" xfId="12067" xr:uid="{00000000-0005-0000-0000-0000202F0000}"/>
    <cellStyle name="40% - Énfasis3 2 2 5 2 2 2" xfId="12068" xr:uid="{00000000-0005-0000-0000-0000212F0000}"/>
    <cellStyle name="40% - Énfasis3 2 2 5 2 2 2 2" xfId="12069" xr:uid="{00000000-0005-0000-0000-0000222F0000}"/>
    <cellStyle name="40% - Énfasis3 2 2 5 2 2 3" xfId="12070" xr:uid="{00000000-0005-0000-0000-0000232F0000}"/>
    <cellStyle name="40% - Énfasis3 2 2 5 2 2 4" xfId="12071" xr:uid="{00000000-0005-0000-0000-0000242F0000}"/>
    <cellStyle name="40% - Énfasis3 2 2 5 2 3" xfId="12072" xr:uid="{00000000-0005-0000-0000-0000252F0000}"/>
    <cellStyle name="40% - Énfasis3 2 2 5 2 3 2" xfId="12073" xr:uid="{00000000-0005-0000-0000-0000262F0000}"/>
    <cellStyle name="40% - Énfasis3 2 2 5 2 4" xfId="12074" xr:uid="{00000000-0005-0000-0000-0000272F0000}"/>
    <cellStyle name="40% - Énfasis3 2 2 5 2 5" xfId="12075" xr:uid="{00000000-0005-0000-0000-0000282F0000}"/>
    <cellStyle name="40% - Énfasis3 2 2 5 3" xfId="12076" xr:uid="{00000000-0005-0000-0000-0000292F0000}"/>
    <cellStyle name="40% - Énfasis3 2 2 5 3 2" xfId="12077" xr:uid="{00000000-0005-0000-0000-00002A2F0000}"/>
    <cellStyle name="40% - Énfasis3 2 2 5 3 3" xfId="12078" xr:uid="{00000000-0005-0000-0000-00002B2F0000}"/>
    <cellStyle name="40% - Énfasis3 2 2 5 4" xfId="12079" xr:uid="{00000000-0005-0000-0000-00002C2F0000}"/>
    <cellStyle name="40% - Énfasis3 2 2 5 4 2" xfId="12080" xr:uid="{00000000-0005-0000-0000-00002D2F0000}"/>
    <cellStyle name="40% - Énfasis3 2 2 5 5" xfId="12081" xr:uid="{00000000-0005-0000-0000-00002E2F0000}"/>
    <cellStyle name="40% - Énfasis3 2 2 6" xfId="12082" xr:uid="{00000000-0005-0000-0000-00002F2F0000}"/>
    <cellStyle name="40% - Énfasis3 2 2 6 2" xfId="12083" xr:uid="{00000000-0005-0000-0000-0000302F0000}"/>
    <cellStyle name="40% - Énfasis3 2 2 6 2 2" xfId="12084" xr:uid="{00000000-0005-0000-0000-0000312F0000}"/>
    <cellStyle name="40% - Énfasis3 2 2 6 2 2 2" xfId="12085" xr:uid="{00000000-0005-0000-0000-0000322F0000}"/>
    <cellStyle name="40% - Énfasis3 2 2 6 2 3" xfId="12086" xr:uid="{00000000-0005-0000-0000-0000332F0000}"/>
    <cellStyle name="40% - Énfasis3 2 2 6 2 3 2" xfId="12087" xr:uid="{00000000-0005-0000-0000-0000342F0000}"/>
    <cellStyle name="40% - Énfasis3 2 2 6 2 4" xfId="12088" xr:uid="{00000000-0005-0000-0000-0000352F0000}"/>
    <cellStyle name="40% - Énfasis3 2 2 6 2 5" xfId="12089" xr:uid="{00000000-0005-0000-0000-0000362F0000}"/>
    <cellStyle name="40% - Énfasis3 2 2 6 3" xfId="12090" xr:uid="{00000000-0005-0000-0000-0000372F0000}"/>
    <cellStyle name="40% - Énfasis3 2 2 6 3 2" xfId="12091" xr:uid="{00000000-0005-0000-0000-0000382F0000}"/>
    <cellStyle name="40% - Énfasis3 2 2 6 4" xfId="12092" xr:uid="{00000000-0005-0000-0000-0000392F0000}"/>
    <cellStyle name="40% - Énfasis3 2 2 6 4 2" xfId="12093" xr:uid="{00000000-0005-0000-0000-00003A2F0000}"/>
    <cellStyle name="40% - Énfasis3 2 2 6 5" xfId="12094" xr:uid="{00000000-0005-0000-0000-00003B2F0000}"/>
    <cellStyle name="40% - Énfasis3 2 2 6 6" xfId="12095" xr:uid="{00000000-0005-0000-0000-00003C2F0000}"/>
    <cellStyle name="40% - Énfasis3 2 2 7" xfId="12096" xr:uid="{00000000-0005-0000-0000-00003D2F0000}"/>
    <cellStyle name="40% - Énfasis3 2 2 7 2" xfId="12097" xr:uid="{00000000-0005-0000-0000-00003E2F0000}"/>
    <cellStyle name="40% - Énfasis3 2 2 7 2 2" xfId="12098" xr:uid="{00000000-0005-0000-0000-00003F2F0000}"/>
    <cellStyle name="40% - Énfasis3 2 2 7 3" xfId="12099" xr:uid="{00000000-0005-0000-0000-0000402F0000}"/>
    <cellStyle name="40% - Énfasis3 2 2 7 3 2" xfId="12100" xr:uid="{00000000-0005-0000-0000-0000412F0000}"/>
    <cellStyle name="40% - Énfasis3 2 2 7 4" xfId="12101" xr:uid="{00000000-0005-0000-0000-0000422F0000}"/>
    <cellStyle name="40% - Énfasis3 2 2 7 5" xfId="12102" xr:uid="{00000000-0005-0000-0000-0000432F0000}"/>
    <cellStyle name="40% - Énfasis3 2 2 8" xfId="12103" xr:uid="{00000000-0005-0000-0000-0000442F0000}"/>
    <cellStyle name="40% - Énfasis3 2 2 8 2" xfId="12104" xr:uid="{00000000-0005-0000-0000-0000452F0000}"/>
    <cellStyle name="40% - Énfasis3 2 2 8 2 2" xfId="12105" xr:uid="{00000000-0005-0000-0000-0000462F0000}"/>
    <cellStyle name="40% - Énfasis3 2 2 8 3" xfId="12106" xr:uid="{00000000-0005-0000-0000-0000472F0000}"/>
    <cellStyle name="40% - Énfasis3 2 2 9" xfId="12107" xr:uid="{00000000-0005-0000-0000-0000482F0000}"/>
    <cellStyle name="40% - Énfasis3 2 2 9 2" xfId="12108" xr:uid="{00000000-0005-0000-0000-0000492F0000}"/>
    <cellStyle name="40% - Énfasis3 2 3" xfId="12109" xr:uid="{00000000-0005-0000-0000-00004A2F0000}"/>
    <cellStyle name="40% - Énfasis3 2 3 10" xfId="12110" xr:uid="{00000000-0005-0000-0000-00004B2F0000}"/>
    <cellStyle name="40% - Énfasis3 2 3 2" xfId="12111" xr:uid="{00000000-0005-0000-0000-00004C2F0000}"/>
    <cellStyle name="40% - Énfasis3 2 3 2 2" xfId="12112" xr:uid="{00000000-0005-0000-0000-00004D2F0000}"/>
    <cellStyle name="40% - Énfasis3 2 3 2 2 2" xfId="12113" xr:uid="{00000000-0005-0000-0000-00004E2F0000}"/>
    <cellStyle name="40% - Énfasis3 2 3 2 2 2 2" xfId="12114" xr:uid="{00000000-0005-0000-0000-00004F2F0000}"/>
    <cellStyle name="40% - Énfasis3 2 3 2 2 2 2 2" xfId="12115" xr:uid="{00000000-0005-0000-0000-0000502F0000}"/>
    <cellStyle name="40% - Énfasis3 2 3 2 2 2 2 2 2" xfId="12116" xr:uid="{00000000-0005-0000-0000-0000512F0000}"/>
    <cellStyle name="40% - Énfasis3 2 3 2 2 2 2 2 2 2" xfId="12117" xr:uid="{00000000-0005-0000-0000-0000522F0000}"/>
    <cellStyle name="40% - Énfasis3 2 3 2 2 2 2 2 3" xfId="12118" xr:uid="{00000000-0005-0000-0000-0000532F0000}"/>
    <cellStyle name="40% - Énfasis3 2 3 2 2 2 2 2 4" xfId="12119" xr:uid="{00000000-0005-0000-0000-0000542F0000}"/>
    <cellStyle name="40% - Énfasis3 2 3 2 2 2 2 3" xfId="12120" xr:uid="{00000000-0005-0000-0000-0000552F0000}"/>
    <cellStyle name="40% - Énfasis3 2 3 2 2 2 2 3 2" xfId="12121" xr:uid="{00000000-0005-0000-0000-0000562F0000}"/>
    <cellStyle name="40% - Énfasis3 2 3 2 2 2 2 4" xfId="12122" xr:uid="{00000000-0005-0000-0000-0000572F0000}"/>
    <cellStyle name="40% - Énfasis3 2 3 2 2 2 2 5" xfId="12123" xr:uid="{00000000-0005-0000-0000-0000582F0000}"/>
    <cellStyle name="40% - Énfasis3 2 3 2 2 2 3" xfId="12124" xr:uid="{00000000-0005-0000-0000-0000592F0000}"/>
    <cellStyle name="40% - Énfasis3 2 3 2 2 2 3 2" xfId="12125" xr:uid="{00000000-0005-0000-0000-00005A2F0000}"/>
    <cellStyle name="40% - Énfasis3 2 3 2 2 2 3 2 2" xfId="12126" xr:uid="{00000000-0005-0000-0000-00005B2F0000}"/>
    <cellStyle name="40% - Énfasis3 2 3 2 2 2 3 3" xfId="12127" xr:uid="{00000000-0005-0000-0000-00005C2F0000}"/>
    <cellStyle name="40% - Énfasis3 2 3 2 2 2 3 4" xfId="12128" xr:uid="{00000000-0005-0000-0000-00005D2F0000}"/>
    <cellStyle name="40% - Énfasis3 2 3 2 2 2 4" xfId="12129" xr:uid="{00000000-0005-0000-0000-00005E2F0000}"/>
    <cellStyle name="40% - Énfasis3 2 3 2 2 2 4 2" xfId="12130" xr:uid="{00000000-0005-0000-0000-00005F2F0000}"/>
    <cellStyle name="40% - Énfasis3 2 3 2 2 2 5" xfId="12131" xr:uid="{00000000-0005-0000-0000-0000602F0000}"/>
    <cellStyle name="40% - Énfasis3 2 3 2 2 2 6" xfId="12132" xr:uid="{00000000-0005-0000-0000-0000612F0000}"/>
    <cellStyle name="40% - Énfasis3 2 3 2 2 3" xfId="12133" xr:uid="{00000000-0005-0000-0000-0000622F0000}"/>
    <cellStyle name="40% - Énfasis3 2 3 2 2 3 2" xfId="12134" xr:uid="{00000000-0005-0000-0000-0000632F0000}"/>
    <cellStyle name="40% - Énfasis3 2 3 2 2 3 2 2" xfId="12135" xr:uid="{00000000-0005-0000-0000-0000642F0000}"/>
    <cellStyle name="40% - Énfasis3 2 3 2 2 3 2 2 2" xfId="12136" xr:uid="{00000000-0005-0000-0000-0000652F0000}"/>
    <cellStyle name="40% - Énfasis3 2 3 2 2 3 2 3" xfId="12137" xr:uid="{00000000-0005-0000-0000-0000662F0000}"/>
    <cellStyle name="40% - Énfasis3 2 3 2 2 3 2 4" xfId="12138" xr:uid="{00000000-0005-0000-0000-0000672F0000}"/>
    <cellStyle name="40% - Énfasis3 2 3 2 2 3 3" xfId="12139" xr:uid="{00000000-0005-0000-0000-0000682F0000}"/>
    <cellStyle name="40% - Énfasis3 2 3 2 2 3 3 2" xfId="12140" xr:uid="{00000000-0005-0000-0000-0000692F0000}"/>
    <cellStyle name="40% - Énfasis3 2 3 2 2 3 4" xfId="12141" xr:uid="{00000000-0005-0000-0000-00006A2F0000}"/>
    <cellStyle name="40% - Énfasis3 2 3 2 2 3 5" xfId="12142" xr:uid="{00000000-0005-0000-0000-00006B2F0000}"/>
    <cellStyle name="40% - Énfasis3 2 3 2 2 4" xfId="12143" xr:uid="{00000000-0005-0000-0000-00006C2F0000}"/>
    <cellStyle name="40% - Énfasis3 2 3 2 2 4 2" xfId="12144" xr:uid="{00000000-0005-0000-0000-00006D2F0000}"/>
    <cellStyle name="40% - Énfasis3 2 3 2 2 4 2 2" xfId="12145" xr:uid="{00000000-0005-0000-0000-00006E2F0000}"/>
    <cellStyle name="40% - Énfasis3 2 3 2 2 4 3" xfId="12146" xr:uid="{00000000-0005-0000-0000-00006F2F0000}"/>
    <cellStyle name="40% - Énfasis3 2 3 2 2 4 4" xfId="12147" xr:uid="{00000000-0005-0000-0000-0000702F0000}"/>
    <cellStyle name="40% - Énfasis3 2 3 2 2 5" xfId="12148" xr:uid="{00000000-0005-0000-0000-0000712F0000}"/>
    <cellStyle name="40% - Énfasis3 2 3 2 2 5 2" xfId="12149" xr:uid="{00000000-0005-0000-0000-0000722F0000}"/>
    <cellStyle name="40% - Énfasis3 2 3 2 2 6" xfId="12150" xr:uid="{00000000-0005-0000-0000-0000732F0000}"/>
    <cellStyle name="40% - Énfasis3 2 3 2 2 7" xfId="12151" xr:uid="{00000000-0005-0000-0000-0000742F0000}"/>
    <cellStyle name="40% - Énfasis3 2 3 2 3" xfId="12152" xr:uid="{00000000-0005-0000-0000-0000752F0000}"/>
    <cellStyle name="40% - Énfasis3 2 3 2 3 2" xfId="12153" xr:uid="{00000000-0005-0000-0000-0000762F0000}"/>
    <cellStyle name="40% - Énfasis3 2 3 2 3 2 2" xfId="12154" xr:uid="{00000000-0005-0000-0000-0000772F0000}"/>
    <cellStyle name="40% - Énfasis3 2 3 2 3 2 2 2" xfId="12155" xr:uid="{00000000-0005-0000-0000-0000782F0000}"/>
    <cellStyle name="40% - Énfasis3 2 3 2 3 2 2 2 2" xfId="12156" xr:uid="{00000000-0005-0000-0000-0000792F0000}"/>
    <cellStyle name="40% - Énfasis3 2 3 2 3 2 2 3" xfId="12157" xr:uid="{00000000-0005-0000-0000-00007A2F0000}"/>
    <cellStyle name="40% - Énfasis3 2 3 2 3 2 2 4" xfId="12158" xr:uid="{00000000-0005-0000-0000-00007B2F0000}"/>
    <cellStyle name="40% - Énfasis3 2 3 2 3 2 3" xfId="12159" xr:uid="{00000000-0005-0000-0000-00007C2F0000}"/>
    <cellStyle name="40% - Énfasis3 2 3 2 3 2 3 2" xfId="12160" xr:uid="{00000000-0005-0000-0000-00007D2F0000}"/>
    <cellStyle name="40% - Énfasis3 2 3 2 3 2 4" xfId="12161" xr:uid="{00000000-0005-0000-0000-00007E2F0000}"/>
    <cellStyle name="40% - Énfasis3 2 3 2 3 2 5" xfId="12162" xr:uid="{00000000-0005-0000-0000-00007F2F0000}"/>
    <cellStyle name="40% - Énfasis3 2 3 2 3 3" xfId="12163" xr:uid="{00000000-0005-0000-0000-0000802F0000}"/>
    <cellStyle name="40% - Énfasis3 2 3 2 3 3 2" xfId="12164" xr:uid="{00000000-0005-0000-0000-0000812F0000}"/>
    <cellStyle name="40% - Énfasis3 2 3 2 3 3 2 2" xfId="12165" xr:uid="{00000000-0005-0000-0000-0000822F0000}"/>
    <cellStyle name="40% - Énfasis3 2 3 2 3 3 3" xfId="12166" xr:uid="{00000000-0005-0000-0000-0000832F0000}"/>
    <cellStyle name="40% - Énfasis3 2 3 2 3 3 3 2" xfId="12167" xr:uid="{00000000-0005-0000-0000-0000842F0000}"/>
    <cellStyle name="40% - Énfasis3 2 3 2 3 3 4" xfId="12168" xr:uid="{00000000-0005-0000-0000-0000852F0000}"/>
    <cellStyle name="40% - Énfasis3 2 3 2 3 3 5" xfId="12169" xr:uid="{00000000-0005-0000-0000-0000862F0000}"/>
    <cellStyle name="40% - Énfasis3 2 3 2 3 4" xfId="12170" xr:uid="{00000000-0005-0000-0000-0000872F0000}"/>
    <cellStyle name="40% - Énfasis3 2 3 2 3 4 2" xfId="12171" xr:uid="{00000000-0005-0000-0000-0000882F0000}"/>
    <cellStyle name="40% - Énfasis3 2 3 2 3 5" xfId="12172" xr:uid="{00000000-0005-0000-0000-0000892F0000}"/>
    <cellStyle name="40% - Énfasis3 2 3 2 3 5 2" xfId="12173" xr:uid="{00000000-0005-0000-0000-00008A2F0000}"/>
    <cellStyle name="40% - Énfasis3 2 3 2 3 6" xfId="12174" xr:uid="{00000000-0005-0000-0000-00008B2F0000}"/>
    <cellStyle name="40% - Énfasis3 2 3 2 3 7" xfId="12175" xr:uid="{00000000-0005-0000-0000-00008C2F0000}"/>
    <cellStyle name="40% - Énfasis3 2 3 2 4" xfId="12176" xr:uid="{00000000-0005-0000-0000-00008D2F0000}"/>
    <cellStyle name="40% - Énfasis3 2 3 2 4 2" xfId="12177" xr:uid="{00000000-0005-0000-0000-00008E2F0000}"/>
    <cellStyle name="40% - Énfasis3 2 3 2 4 2 2" xfId="12178" xr:uid="{00000000-0005-0000-0000-00008F2F0000}"/>
    <cellStyle name="40% - Énfasis3 2 3 2 4 2 2 2" xfId="12179" xr:uid="{00000000-0005-0000-0000-0000902F0000}"/>
    <cellStyle name="40% - Énfasis3 2 3 2 4 2 3" xfId="12180" xr:uid="{00000000-0005-0000-0000-0000912F0000}"/>
    <cellStyle name="40% - Énfasis3 2 3 2 4 2 4" xfId="12181" xr:uid="{00000000-0005-0000-0000-0000922F0000}"/>
    <cellStyle name="40% - Énfasis3 2 3 2 4 3" xfId="12182" xr:uid="{00000000-0005-0000-0000-0000932F0000}"/>
    <cellStyle name="40% - Énfasis3 2 3 2 4 3 2" xfId="12183" xr:uid="{00000000-0005-0000-0000-0000942F0000}"/>
    <cellStyle name="40% - Énfasis3 2 3 2 4 4" xfId="12184" xr:uid="{00000000-0005-0000-0000-0000952F0000}"/>
    <cellStyle name="40% - Énfasis3 2 3 2 4 5" xfId="12185" xr:uid="{00000000-0005-0000-0000-0000962F0000}"/>
    <cellStyle name="40% - Énfasis3 2 3 2 5" xfId="12186" xr:uid="{00000000-0005-0000-0000-0000972F0000}"/>
    <cellStyle name="40% - Énfasis3 2 3 2 5 2" xfId="12187" xr:uid="{00000000-0005-0000-0000-0000982F0000}"/>
    <cellStyle name="40% - Énfasis3 2 3 2 5 2 2" xfId="12188" xr:uid="{00000000-0005-0000-0000-0000992F0000}"/>
    <cellStyle name="40% - Énfasis3 2 3 2 5 3" xfId="12189" xr:uid="{00000000-0005-0000-0000-00009A2F0000}"/>
    <cellStyle name="40% - Énfasis3 2 3 2 5 3 2" xfId="12190" xr:uid="{00000000-0005-0000-0000-00009B2F0000}"/>
    <cellStyle name="40% - Énfasis3 2 3 2 5 4" xfId="12191" xr:uid="{00000000-0005-0000-0000-00009C2F0000}"/>
    <cellStyle name="40% - Énfasis3 2 3 2 5 5" xfId="12192" xr:uid="{00000000-0005-0000-0000-00009D2F0000}"/>
    <cellStyle name="40% - Énfasis3 2 3 2 6" xfId="12193" xr:uid="{00000000-0005-0000-0000-00009E2F0000}"/>
    <cellStyle name="40% - Énfasis3 2 3 2 6 2" xfId="12194" xr:uid="{00000000-0005-0000-0000-00009F2F0000}"/>
    <cellStyle name="40% - Énfasis3 2 3 2 7" xfId="12195" xr:uid="{00000000-0005-0000-0000-0000A02F0000}"/>
    <cellStyle name="40% - Énfasis3 2 3 2 7 2" xfId="12196" xr:uid="{00000000-0005-0000-0000-0000A12F0000}"/>
    <cellStyle name="40% - Énfasis3 2 3 2 8" xfId="12197" xr:uid="{00000000-0005-0000-0000-0000A22F0000}"/>
    <cellStyle name="40% - Énfasis3 2 3 2 9" xfId="12198" xr:uid="{00000000-0005-0000-0000-0000A32F0000}"/>
    <cellStyle name="40% - Énfasis3 2 3 3" xfId="12199" xr:uid="{00000000-0005-0000-0000-0000A42F0000}"/>
    <cellStyle name="40% - Énfasis3 2 3 3 2" xfId="12200" xr:uid="{00000000-0005-0000-0000-0000A52F0000}"/>
    <cellStyle name="40% - Énfasis3 2 3 3 2 2" xfId="12201" xr:uid="{00000000-0005-0000-0000-0000A62F0000}"/>
    <cellStyle name="40% - Énfasis3 2 3 3 2 2 2" xfId="12202" xr:uid="{00000000-0005-0000-0000-0000A72F0000}"/>
    <cellStyle name="40% - Énfasis3 2 3 3 2 2 2 2" xfId="12203" xr:uid="{00000000-0005-0000-0000-0000A82F0000}"/>
    <cellStyle name="40% - Énfasis3 2 3 3 2 2 2 2 2" xfId="12204" xr:uid="{00000000-0005-0000-0000-0000A92F0000}"/>
    <cellStyle name="40% - Énfasis3 2 3 3 2 2 2 3" xfId="12205" xr:uid="{00000000-0005-0000-0000-0000AA2F0000}"/>
    <cellStyle name="40% - Énfasis3 2 3 3 2 2 2 4" xfId="12206" xr:uid="{00000000-0005-0000-0000-0000AB2F0000}"/>
    <cellStyle name="40% - Énfasis3 2 3 3 2 2 3" xfId="12207" xr:uid="{00000000-0005-0000-0000-0000AC2F0000}"/>
    <cellStyle name="40% - Énfasis3 2 3 3 2 2 3 2" xfId="12208" xr:uid="{00000000-0005-0000-0000-0000AD2F0000}"/>
    <cellStyle name="40% - Énfasis3 2 3 3 2 2 4" xfId="12209" xr:uid="{00000000-0005-0000-0000-0000AE2F0000}"/>
    <cellStyle name="40% - Énfasis3 2 3 3 2 2 5" xfId="12210" xr:uid="{00000000-0005-0000-0000-0000AF2F0000}"/>
    <cellStyle name="40% - Énfasis3 2 3 3 2 3" xfId="12211" xr:uid="{00000000-0005-0000-0000-0000B02F0000}"/>
    <cellStyle name="40% - Énfasis3 2 3 3 2 3 2" xfId="12212" xr:uid="{00000000-0005-0000-0000-0000B12F0000}"/>
    <cellStyle name="40% - Énfasis3 2 3 3 2 3 2 2" xfId="12213" xr:uid="{00000000-0005-0000-0000-0000B22F0000}"/>
    <cellStyle name="40% - Énfasis3 2 3 3 2 3 3" xfId="12214" xr:uid="{00000000-0005-0000-0000-0000B32F0000}"/>
    <cellStyle name="40% - Énfasis3 2 3 3 2 3 3 2" xfId="12215" xr:uid="{00000000-0005-0000-0000-0000B42F0000}"/>
    <cellStyle name="40% - Énfasis3 2 3 3 2 3 4" xfId="12216" xr:uid="{00000000-0005-0000-0000-0000B52F0000}"/>
    <cellStyle name="40% - Énfasis3 2 3 3 2 3 5" xfId="12217" xr:uid="{00000000-0005-0000-0000-0000B62F0000}"/>
    <cellStyle name="40% - Énfasis3 2 3 3 2 4" xfId="12218" xr:uid="{00000000-0005-0000-0000-0000B72F0000}"/>
    <cellStyle name="40% - Énfasis3 2 3 3 2 4 2" xfId="12219" xr:uid="{00000000-0005-0000-0000-0000B82F0000}"/>
    <cellStyle name="40% - Énfasis3 2 3 3 2 5" xfId="12220" xr:uid="{00000000-0005-0000-0000-0000B92F0000}"/>
    <cellStyle name="40% - Énfasis3 2 3 3 2 5 2" xfId="12221" xr:uid="{00000000-0005-0000-0000-0000BA2F0000}"/>
    <cellStyle name="40% - Énfasis3 2 3 3 2 6" xfId="12222" xr:uid="{00000000-0005-0000-0000-0000BB2F0000}"/>
    <cellStyle name="40% - Énfasis3 2 3 3 2 7" xfId="12223" xr:uid="{00000000-0005-0000-0000-0000BC2F0000}"/>
    <cellStyle name="40% - Énfasis3 2 3 3 3" xfId="12224" xr:uid="{00000000-0005-0000-0000-0000BD2F0000}"/>
    <cellStyle name="40% - Énfasis3 2 3 3 3 2" xfId="12225" xr:uid="{00000000-0005-0000-0000-0000BE2F0000}"/>
    <cellStyle name="40% - Énfasis3 2 3 3 3 2 2" xfId="12226" xr:uid="{00000000-0005-0000-0000-0000BF2F0000}"/>
    <cellStyle name="40% - Énfasis3 2 3 3 3 2 2 2" xfId="12227" xr:uid="{00000000-0005-0000-0000-0000C02F0000}"/>
    <cellStyle name="40% - Énfasis3 2 3 3 3 2 3" xfId="12228" xr:uid="{00000000-0005-0000-0000-0000C12F0000}"/>
    <cellStyle name="40% - Énfasis3 2 3 3 3 2 4" xfId="12229" xr:uid="{00000000-0005-0000-0000-0000C22F0000}"/>
    <cellStyle name="40% - Énfasis3 2 3 3 3 3" xfId="12230" xr:uid="{00000000-0005-0000-0000-0000C32F0000}"/>
    <cellStyle name="40% - Énfasis3 2 3 3 3 3 2" xfId="12231" xr:uid="{00000000-0005-0000-0000-0000C42F0000}"/>
    <cellStyle name="40% - Énfasis3 2 3 3 3 4" xfId="12232" xr:uid="{00000000-0005-0000-0000-0000C52F0000}"/>
    <cellStyle name="40% - Énfasis3 2 3 3 3 5" xfId="12233" xr:uid="{00000000-0005-0000-0000-0000C62F0000}"/>
    <cellStyle name="40% - Énfasis3 2 3 3 4" xfId="12234" xr:uid="{00000000-0005-0000-0000-0000C72F0000}"/>
    <cellStyle name="40% - Énfasis3 2 3 3 4 2" xfId="12235" xr:uid="{00000000-0005-0000-0000-0000C82F0000}"/>
    <cellStyle name="40% - Énfasis3 2 3 3 4 2 2" xfId="12236" xr:uid="{00000000-0005-0000-0000-0000C92F0000}"/>
    <cellStyle name="40% - Énfasis3 2 3 3 4 3" xfId="12237" xr:uid="{00000000-0005-0000-0000-0000CA2F0000}"/>
    <cellStyle name="40% - Énfasis3 2 3 3 4 3 2" xfId="12238" xr:uid="{00000000-0005-0000-0000-0000CB2F0000}"/>
    <cellStyle name="40% - Énfasis3 2 3 3 4 4" xfId="12239" xr:uid="{00000000-0005-0000-0000-0000CC2F0000}"/>
    <cellStyle name="40% - Énfasis3 2 3 3 4 5" xfId="12240" xr:uid="{00000000-0005-0000-0000-0000CD2F0000}"/>
    <cellStyle name="40% - Énfasis3 2 3 3 5" xfId="12241" xr:uid="{00000000-0005-0000-0000-0000CE2F0000}"/>
    <cellStyle name="40% - Énfasis3 2 3 3 5 2" xfId="12242" xr:uid="{00000000-0005-0000-0000-0000CF2F0000}"/>
    <cellStyle name="40% - Énfasis3 2 3 3 6" xfId="12243" xr:uid="{00000000-0005-0000-0000-0000D02F0000}"/>
    <cellStyle name="40% - Énfasis3 2 3 3 6 2" xfId="12244" xr:uid="{00000000-0005-0000-0000-0000D12F0000}"/>
    <cellStyle name="40% - Énfasis3 2 3 3 7" xfId="12245" xr:uid="{00000000-0005-0000-0000-0000D22F0000}"/>
    <cellStyle name="40% - Énfasis3 2 3 3 8" xfId="12246" xr:uid="{00000000-0005-0000-0000-0000D32F0000}"/>
    <cellStyle name="40% - Énfasis3 2 3 4" xfId="12247" xr:uid="{00000000-0005-0000-0000-0000D42F0000}"/>
    <cellStyle name="40% - Énfasis3 2 3 4 2" xfId="12248" xr:uid="{00000000-0005-0000-0000-0000D52F0000}"/>
    <cellStyle name="40% - Énfasis3 2 3 4 2 2" xfId="12249" xr:uid="{00000000-0005-0000-0000-0000D62F0000}"/>
    <cellStyle name="40% - Énfasis3 2 3 4 2 2 2" xfId="12250" xr:uid="{00000000-0005-0000-0000-0000D72F0000}"/>
    <cellStyle name="40% - Énfasis3 2 3 4 2 2 2 2" xfId="12251" xr:uid="{00000000-0005-0000-0000-0000D82F0000}"/>
    <cellStyle name="40% - Énfasis3 2 3 4 2 2 3" xfId="12252" xr:uid="{00000000-0005-0000-0000-0000D92F0000}"/>
    <cellStyle name="40% - Énfasis3 2 3 4 2 2 4" xfId="12253" xr:uid="{00000000-0005-0000-0000-0000DA2F0000}"/>
    <cellStyle name="40% - Énfasis3 2 3 4 2 3" xfId="12254" xr:uid="{00000000-0005-0000-0000-0000DB2F0000}"/>
    <cellStyle name="40% - Énfasis3 2 3 4 2 3 2" xfId="12255" xr:uid="{00000000-0005-0000-0000-0000DC2F0000}"/>
    <cellStyle name="40% - Énfasis3 2 3 4 2 4" xfId="12256" xr:uid="{00000000-0005-0000-0000-0000DD2F0000}"/>
    <cellStyle name="40% - Énfasis3 2 3 4 2 5" xfId="12257" xr:uid="{00000000-0005-0000-0000-0000DE2F0000}"/>
    <cellStyle name="40% - Énfasis3 2 3 4 3" xfId="12258" xr:uid="{00000000-0005-0000-0000-0000DF2F0000}"/>
    <cellStyle name="40% - Énfasis3 2 3 4 3 2" xfId="12259" xr:uid="{00000000-0005-0000-0000-0000E02F0000}"/>
    <cellStyle name="40% - Énfasis3 2 3 4 3 2 2" xfId="12260" xr:uid="{00000000-0005-0000-0000-0000E12F0000}"/>
    <cellStyle name="40% - Énfasis3 2 3 4 3 3" xfId="12261" xr:uid="{00000000-0005-0000-0000-0000E22F0000}"/>
    <cellStyle name="40% - Énfasis3 2 3 4 3 3 2" xfId="12262" xr:uid="{00000000-0005-0000-0000-0000E32F0000}"/>
    <cellStyle name="40% - Énfasis3 2 3 4 3 4" xfId="12263" xr:uid="{00000000-0005-0000-0000-0000E42F0000}"/>
    <cellStyle name="40% - Énfasis3 2 3 4 3 5" xfId="12264" xr:uid="{00000000-0005-0000-0000-0000E52F0000}"/>
    <cellStyle name="40% - Énfasis3 2 3 4 4" xfId="12265" xr:uid="{00000000-0005-0000-0000-0000E62F0000}"/>
    <cellStyle name="40% - Énfasis3 2 3 4 4 2" xfId="12266" xr:uid="{00000000-0005-0000-0000-0000E72F0000}"/>
    <cellStyle name="40% - Énfasis3 2 3 4 5" xfId="12267" xr:uid="{00000000-0005-0000-0000-0000E82F0000}"/>
    <cellStyle name="40% - Énfasis3 2 3 4 5 2" xfId="12268" xr:uid="{00000000-0005-0000-0000-0000E92F0000}"/>
    <cellStyle name="40% - Énfasis3 2 3 4 6" xfId="12269" xr:uid="{00000000-0005-0000-0000-0000EA2F0000}"/>
    <cellStyle name="40% - Énfasis3 2 3 4 7" xfId="12270" xr:uid="{00000000-0005-0000-0000-0000EB2F0000}"/>
    <cellStyle name="40% - Énfasis3 2 3 5" xfId="12271" xr:uid="{00000000-0005-0000-0000-0000EC2F0000}"/>
    <cellStyle name="40% - Énfasis3 2 3 5 2" xfId="12272" xr:uid="{00000000-0005-0000-0000-0000ED2F0000}"/>
    <cellStyle name="40% - Énfasis3 2 3 5 2 2" xfId="12273" xr:uid="{00000000-0005-0000-0000-0000EE2F0000}"/>
    <cellStyle name="40% - Énfasis3 2 3 5 2 2 2" xfId="12274" xr:uid="{00000000-0005-0000-0000-0000EF2F0000}"/>
    <cellStyle name="40% - Énfasis3 2 3 5 2 3" xfId="12275" xr:uid="{00000000-0005-0000-0000-0000F02F0000}"/>
    <cellStyle name="40% - Énfasis3 2 3 5 2 4" xfId="12276" xr:uid="{00000000-0005-0000-0000-0000F12F0000}"/>
    <cellStyle name="40% - Énfasis3 2 3 5 3" xfId="12277" xr:uid="{00000000-0005-0000-0000-0000F22F0000}"/>
    <cellStyle name="40% - Énfasis3 2 3 5 3 2" xfId="12278" xr:uid="{00000000-0005-0000-0000-0000F32F0000}"/>
    <cellStyle name="40% - Énfasis3 2 3 5 4" xfId="12279" xr:uid="{00000000-0005-0000-0000-0000F42F0000}"/>
    <cellStyle name="40% - Énfasis3 2 3 5 5" xfId="12280" xr:uid="{00000000-0005-0000-0000-0000F52F0000}"/>
    <cellStyle name="40% - Énfasis3 2 3 6" xfId="12281" xr:uid="{00000000-0005-0000-0000-0000F62F0000}"/>
    <cellStyle name="40% - Énfasis3 2 3 6 2" xfId="12282" xr:uid="{00000000-0005-0000-0000-0000F72F0000}"/>
    <cellStyle name="40% - Énfasis3 2 3 6 2 2" xfId="12283" xr:uid="{00000000-0005-0000-0000-0000F82F0000}"/>
    <cellStyle name="40% - Énfasis3 2 3 6 3" xfId="12284" xr:uid="{00000000-0005-0000-0000-0000F92F0000}"/>
    <cellStyle name="40% - Énfasis3 2 3 6 3 2" xfId="12285" xr:uid="{00000000-0005-0000-0000-0000FA2F0000}"/>
    <cellStyle name="40% - Énfasis3 2 3 6 4" xfId="12286" xr:uid="{00000000-0005-0000-0000-0000FB2F0000}"/>
    <cellStyle name="40% - Énfasis3 2 3 6 5" xfId="12287" xr:uid="{00000000-0005-0000-0000-0000FC2F0000}"/>
    <cellStyle name="40% - Énfasis3 2 3 7" xfId="12288" xr:uid="{00000000-0005-0000-0000-0000FD2F0000}"/>
    <cellStyle name="40% - Énfasis3 2 3 7 2" xfId="12289" xr:uid="{00000000-0005-0000-0000-0000FE2F0000}"/>
    <cellStyle name="40% - Énfasis3 2 3 8" xfId="12290" xr:uid="{00000000-0005-0000-0000-0000FF2F0000}"/>
    <cellStyle name="40% - Énfasis3 2 3 8 2" xfId="12291" xr:uid="{00000000-0005-0000-0000-000000300000}"/>
    <cellStyle name="40% - Énfasis3 2 3 9" xfId="12292" xr:uid="{00000000-0005-0000-0000-000001300000}"/>
    <cellStyle name="40% - Énfasis3 2 4" xfId="12293" xr:uid="{00000000-0005-0000-0000-000002300000}"/>
    <cellStyle name="40% - Énfasis3 2 4 2" xfId="12294" xr:uid="{00000000-0005-0000-0000-000003300000}"/>
    <cellStyle name="40% - Énfasis3 2 4 2 2" xfId="12295" xr:uid="{00000000-0005-0000-0000-000004300000}"/>
    <cellStyle name="40% - Énfasis3 2 4 2 2 2" xfId="12296" xr:uid="{00000000-0005-0000-0000-000005300000}"/>
    <cellStyle name="40% - Énfasis3 2 4 2 2 2 2" xfId="12297" xr:uid="{00000000-0005-0000-0000-000006300000}"/>
    <cellStyle name="40% - Énfasis3 2 4 2 2 2 2 2" xfId="12298" xr:uid="{00000000-0005-0000-0000-000007300000}"/>
    <cellStyle name="40% - Énfasis3 2 4 2 2 2 2 2 2" xfId="12299" xr:uid="{00000000-0005-0000-0000-000008300000}"/>
    <cellStyle name="40% - Énfasis3 2 4 2 2 2 2 3" xfId="12300" xr:uid="{00000000-0005-0000-0000-000009300000}"/>
    <cellStyle name="40% - Énfasis3 2 4 2 2 2 2 4" xfId="12301" xr:uid="{00000000-0005-0000-0000-00000A300000}"/>
    <cellStyle name="40% - Énfasis3 2 4 2 2 2 3" xfId="12302" xr:uid="{00000000-0005-0000-0000-00000B300000}"/>
    <cellStyle name="40% - Énfasis3 2 4 2 2 2 3 2" xfId="12303" xr:uid="{00000000-0005-0000-0000-00000C300000}"/>
    <cellStyle name="40% - Énfasis3 2 4 2 2 2 4" xfId="12304" xr:uid="{00000000-0005-0000-0000-00000D300000}"/>
    <cellStyle name="40% - Énfasis3 2 4 2 2 2 5" xfId="12305" xr:uid="{00000000-0005-0000-0000-00000E300000}"/>
    <cellStyle name="40% - Énfasis3 2 4 2 2 3" xfId="12306" xr:uid="{00000000-0005-0000-0000-00000F300000}"/>
    <cellStyle name="40% - Énfasis3 2 4 2 2 3 2" xfId="12307" xr:uid="{00000000-0005-0000-0000-000010300000}"/>
    <cellStyle name="40% - Énfasis3 2 4 2 2 3 2 2" xfId="12308" xr:uid="{00000000-0005-0000-0000-000011300000}"/>
    <cellStyle name="40% - Énfasis3 2 4 2 2 3 3" xfId="12309" xr:uid="{00000000-0005-0000-0000-000012300000}"/>
    <cellStyle name="40% - Énfasis3 2 4 2 2 3 4" xfId="12310" xr:uid="{00000000-0005-0000-0000-000013300000}"/>
    <cellStyle name="40% - Énfasis3 2 4 2 2 4" xfId="12311" xr:uid="{00000000-0005-0000-0000-000014300000}"/>
    <cellStyle name="40% - Énfasis3 2 4 2 2 4 2" xfId="12312" xr:uid="{00000000-0005-0000-0000-000015300000}"/>
    <cellStyle name="40% - Énfasis3 2 4 2 2 5" xfId="12313" xr:uid="{00000000-0005-0000-0000-000016300000}"/>
    <cellStyle name="40% - Énfasis3 2 4 2 2 6" xfId="12314" xr:uid="{00000000-0005-0000-0000-000017300000}"/>
    <cellStyle name="40% - Énfasis3 2 4 2 3" xfId="12315" xr:uid="{00000000-0005-0000-0000-000018300000}"/>
    <cellStyle name="40% - Énfasis3 2 4 2 3 2" xfId="12316" xr:uid="{00000000-0005-0000-0000-000019300000}"/>
    <cellStyle name="40% - Énfasis3 2 4 2 3 2 2" xfId="12317" xr:uid="{00000000-0005-0000-0000-00001A300000}"/>
    <cellStyle name="40% - Énfasis3 2 4 2 3 2 2 2" xfId="12318" xr:uid="{00000000-0005-0000-0000-00001B300000}"/>
    <cellStyle name="40% - Énfasis3 2 4 2 3 2 3" xfId="12319" xr:uid="{00000000-0005-0000-0000-00001C300000}"/>
    <cellStyle name="40% - Énfasis3 2 4 2 3 2 4" xfId="12320" xr:uid="{00000000-0005-0000-0000-00001D300000}"/>
    <cellStyle name="40% - Énfasis3 2 4 2 3 3" xfId="12321" xr:uid="{00000000-0005-0000-0000-00001E300000}"/>
    <cellStyle name="40% - Énfasis3 2 4 2 3 3 2" xfId="12322" xr:uid="{00000000-0005-0000-0000-00001F300000}"/>
    <cellStyle name="40% - Énfasis3 2 4 2 3 4" xfId="12323" xr:uid="{00000000-0005-0000-0000-000020300000}"/>
    <cellStyle name="40% - Énfasis3 2 4 2 3 5" xfId="12324" xr:uid="{00000000-0005-0000-0000-000021300000}"/>
    <cellStyle name="40% - Énfasis3 2 4 2 4" xfId="12325" xr:uid="{00000000-0005-0000-0000-000022300000}"/>
    <cellStyle name="40% - Énfasis3 2 4 2 4 2" xfId="12326" xr:uid="{00000000-0005-0000-0000-000023300000}"/>
    <cellStyle name="40% - Énfasis3 2 4 2 4 2 2" xfId="12327" xr:uid="{00000000-0005-0000-0000-000024300000}"/>
    <cellStyle name="40% - Énfasis3 2 4 2 4 3" xfId="12328" xr:uid="{00000000-0005-0000-0000-000025300000}"/>
    <cellStyle name="40% - Énfasis3 2 4 2 4 4" xfId="12329" xr:uid="{00000000-0005-0000-0000-000026300000}"/>
    <cellStyle name="40% - Énfasis3 2 4 2 5" xfId="12330" xr:uid="{00000000-0005-0000-0000-000027300000}"/>
    <cellStyle name="40% - Énfasis3 2 4 2 5 2" xfId="12331" xr:uid="{00000000-0005-0000-0000-000028300000}"/>
    <cellStyle name="40% - Énfasis3 2 4 2 6" xfId="12332" xr:uid="{00000000-0005-0000-0000-000029300000}"/>
    <cellStyle name="40% - Énfasis3 2 4 2 7" xfId="12333" xr:uid="{00000000-0005-0000-0000-00002A300000}"/>
    <cellStyle name="40% - Énfasis3 2 4 3" xfId="12334" xr:uid="{00000000-0005-0000-0000-00002B300000}"/>
    <cellStyle name="40% - Énfasis3 2 4 3 2" xfId="12335" xr:uid="{00000000-0005-0000-0000-00002C300000}"/>
    <cellStyle name="40% - Énfasis3 2 4 3 2 2" xfId="12336" xr:uid="{00000000-0005-0000-0000-00002D300000}"/>
    <cellStyle name="40% - Énfasis3 2 4 3 2 2 2" xfId="12337" xr:uid="{00000000-0005-0000-0000-00002E300000}"/>
    <cellStyle name="40% - Énfasis3 2 4 3 2 2 2 2" xfId="12338" xr:uid="{00000000-0005-0000-0000-00002F300000}"/>
    <cellStyle name="40% - Énfasis3 2 4 3 2 2 3" xfId="12339" xr:uid="{00000000-0005-0000-0000-000030300000}"/>
    <cellStyle name="40% - Énfasis3 2 4 3 2 2 4" xfId="12340" xr:uid="{00000000-0005-0000-0000-000031300000}"/>
    <cellStyle name="40% - Énfasis3 2 4 3 2 3" xfId="12341" xr:uid="{00000000-0005-0000-0000-000032300000}"/>
    <cellStyle name="40% - Énfasis3 2 4 3 2 3 2" xfId="12342" xr:uid="{00000000-0005-0000-0000-000033300000}"/>
    <cellStyle name="40% - Énfasis3 2 4 3 2 4" xfId="12343" xr:uid="{00000000-0005-0000-0000-000034300000}"/>
    <cellStyle name="40% - Énfasis3 2 4 3 2 5" xfId="12344" xr:uid="{00000000-0005-0000-0000-000035300000}"/>
    <cellStyle name="40% - Énfasis3 2 4 3 3" xfId="12345" xr:uid="{00000000-0005-0000-0000-000036300000}"/>
    <cellStyle name="40% - Énfasis3 2 4 3 3 2" xfId="12346" xr:uid="{00000000-0005-0000-0000-000037300000}"/>
    <cellStyle name="40% - Énfasis3 2 4 3 3 2 2" xfId="12347" xr:uid="{00000000-0005-0000-0000-000038300000}"/>
    <cellStyle name="40% - Énfasis3 2 4 3 3 3" xfId="12348" xr:uid="{00000000-0005-0000-0000-000039300000}"/>
    <cellStyle name="40% - Énfasis3 2 4 3 3 3 2" xfId="12349" xr:uid="{00000000-0005-0000-0000-00003A300000}"/>
    <cellStyle name="40% - Énfasis3 2 4 3 3 4" xfId="12350" xr:uid="{00000000-0005-0000-0000-00003B300000}"/>
    <cellStyle name="40% - Énfasis3 2 4 3 3 5" xfId="12351" xr:uid="{00000000-0005-0000-0000-00003C300000}"/>
    <cellStyle name="40% - Énfasis3 2 4 3 4" xfId="12352" xr:uid="{00000000-0005-0000-0000-00003D300000}"/>
    <cellStyle name="40% - Énfasis3 2 4 3 4 2" xfId="12353" xr:uid="{00000000-0005-0000-0000-00003E300000}"/>
    <cellStyle name="40% - Énfasis3 2 4 3 5" xfId="12354" xr:uid="{00000000-0005-0000-0000-00003F300000}"/>
    <cellStyle name="40% - Énfasis3 2 4 3 5 2" xfId="12355" xr:uid="{00000000-0005-0000-0000-000040300000}"/>
    <cellStyle name="40% - Énfasis3 2 4 3 6" xfId="12356" xr:uid="{00000000-0005-0000-0000-000041300000}"/>
    <cellStyle name="40% - Énfasis3 2 4 3 7" xfId="12357" xr:uid="{00000000-0005-0000-0000-000042300000}"/>
    <cellStyle name="40% - Énfasis3 2 4 4" xfId="12358" xr:uid="{00000000-0005-0000-0000-000043300000}"/>
    <cellStyle name="40% - Énfasis3 2 4 4 2" xfId="12359" xr:uid="{00000000-0005-0000-0000-000044300000}"/>
    <cellStyle name="40% - Énfasis3 2 4 4 2 2" xfId="12360" xr:uid="{00000000-0005-0000-0000-000045300000}"/>
    <cellStyle name="40% - Énfasis3 2 4 4 2 2 2" xfId="12361" xr:uid="{00000000-0005-0000-0000-000046300000}"/>
    <cellStyle name="40% - Énfasis3 2 4 4 2 3" xfId="12362" xr:uid="{00000000-0005-0000-0000-000047300000}"/>
    <cellStyle name="40% - Énfasis3 2 4 4 2 4" xfId="12363" xr:uid="{00000000-0005-0000-0000-000048300000}"/>
    <cellStyle name="40% - Énfasis3 2 4 4 3" xfId="12364" xr:uid="{00000000-0005-0000-0000-000049300000}"/>
    <cellStyle name="40% - Énfasis3 2 4 4 3 2" xfId="12365" xr:uid="{00000000-0005-0000-0000-00004A300000}"/>
    <cellStyle name="40% - Énfasis3 2 4 4 4" xfId="12366" xr:uid="{00000000-0005-0000-0000-00004B300000}"/>
    <cellStyle name="40% - Énfasis3 2 4 4 5" xfId="12367" xr:uid="{00000000-0005-0000-0000-00004C300000}"/>
    <cellStyle name="40% - Énfasis3 2 4 5" xfId="12368" xr:uid="{00000000-0005-0000-0000-00004D300000}"/>
    <cellStyle name="40% - Énfasis3 2 4 5 2" xfId="12369" xr:uid="{00000000-0005-0000-0000-00004E300000}"/>
    <cellStyle name="40% - Énfasis3 2 4 5 2 2" xfId="12370" xr:uid="{00000000-0005-0000-0000-00004F300000}"/>
    <cellStyle name="40% - Énfasis3 2 4 5 3" xfId="12371" xr:uid="{00000000-0005-0000-0000-000050300000}"/>
    <cellStyle name="40% - Énfasis3 2 4 5 3 2" xfId="12372" xr:uid="{00000000-0005-0000-0000-000051300000}"/>
    <cellStyle name="40% - Énfasis3 2 4 5 4" xfId="12373" xr:uid="{00000000-0005-0000-0000-000052300000}"/>
    <cellStyle name="40% - Énfasis3 2 4 5 5" xfId="12374" xr:uid="{00000000-0005-0000-0000-000053300000}"/>
    <cellStyle name="40% - Énfasis3 2 4 6" xfId="12375" xr:uid="{00000000-0005-0000-0000-000054300000}"/>
    <cellStyle name="40% - Énfasis3 2 4 6 2" xfId="12376" xr:uid="{00000000-0005-0000-0000-000055300000}"/>
    <cellStyle name="40% - Énfasis3 2 4 7" xfId="12377" xr:uid="{00000000-0005-0000-0000-000056300000}"/>
    <cellStyle name="40% - Énfasis3 2 4 7 2" xfId="12378" xr:uid="{00000000-0005-0000-0000-000057300000}"/>
    <cellStyle name="40% - Énfasis3 2 4 8" xfId="12379" xr:uid="{00000000-0005-0000-0000-000058300000}"/>
    <cellStyle name="40% - Énfasis3 2 4 9" xfId="12380" xr:uid="{00000000-0005-0000-0000-000059300000}"/>
    <cellStyle name="40% - Énfasis3 2 5" xfId="12381" xr:uid="{00000000-0005-0000-0000-00005A300000}"/>
    <cellStyle name="40% - Énfasis3 2 5 2" xfId="12382" xr:uid="{00000000-0005-0000-0000-00005B300000}"/>
    <cellStyle name="40% - Énfasis3 2 5 2 2" xfId="12383" xr:uid="{00000000-0005-0000-0000-00005C300000}"/>
    <cellStyle name="40% - Énfasis3 2 5 2 2 2" xfId="12384" xr:uid="{00000000-0005-0000-0000-00005D300000}"/>
    <cellStyle name="40% - Énfasis3 2 5 2 2 2 2" xfId="12385" xr:uid="{00000000-0005-0000-0000-00005E300000}"/>
    <cellStyle name="40% - Énfasis3 2 5 2 2 2 2 2" xfId="12386" xr:uid="{00000000-0005-0000-0000-00005F300000}"/>
    <cellStyle name="40% - Énfasis3 2 5 2 2 2 3" xfId="12387" xr:uid="{00000000-0005-0000-0000-000060300000}"/>
    <cellStyle name="40% - Énfasis3 2 5 2 2 2 4" xfId="12388" xr:uid="{00000000-0005-0000-0000-000061300000}"/>
    <cellStyle name="40% - Énfasis3 2 5 2 2 3" xfId="12389" xr:uid="{00000000-0005-0000-0000-000062300000}"/>
    <cellStyle name="40% - Énfasis3 2 5 2 2 3 2" xfId="12390" xr:uid="{00000000-0005-0000-0000-000063300000}"/>
    <cellStyle name="40% - Énfasis3 2 5 2 2 4" xfId="12391" xr:uid="{00000000-0005-0000-0000-000064300000}"/>
    <cellStyle name="40% - Énfasis3 2 5 2 2 5" xfId="12392" xr:uid="{00000000-0005-0000-0000-000065300000}"/>
    <cellStyle name="40% - Énfasis3 2 5 2 3" xfId="12393" xr:uid="{00000000-0005-0000-0000-000066300000}"/>
    <cellStyle name="40% - Énfasis3 2 5 2 3 2" xfId="12394" xr:uid="{00000000-0005-0000-0000-000067300000}"/>
    <cellStyle name="40% - Énfasis3 2 5 2 3 2 2" xfId="12395" xr:uid="{00000000-0005-0000-0000-000068300000}"/>
    <cellStyle name="40% - Énfasis3 2 5 2 3 3" xfId="12396" xr:uid="{00000000-0005-0000-0000-000069300000}"/>
    <cellStyle name="40% - Énfasis3 2 5 2 3 3 2" xfId="12397" xr:uid="{00000000-0005-0000-0000-00006A300000}"/>
    <cellStyle name="40% - Énfasis3 2 5 2 3 4" xfId="12398" xr:uid="{00000000-0005-0000-0000-00006B300000}"/>
    <cellStyle name="40% - Énfasis3 2 5 2 3 5" xfId="12399" xr:uid="{00000000-0005-0000-0000-00006C300000}"/>
    <cellStyle name="40% - Énfasis3 2 5 2 4" xfId="12400" xr:uid="{00000000-0005-0000-0000-00006D300000}"/>
    <cellStyle name="40% - Énfasis3 2 5 2 4 2" xfId="12401" xr:uid="{00000000-0005-0000-0000-00006E300000}"/>
    <cellStyle name="40% - Énfasis3 2 5 2 5" xfId="12402" xr:uid="{00000000-0005-0000-0000-00006F300000}"/>
    <cellStyle name="40% - Énfasis3 2 5 2 5 2" xfId="12403" xr:uid="{00000000-0005-0000-0000-000070300000}"/>
    <cellStyle name="40% - Énfasis3 2 5 2 6" xfId="12404" xr:uid="{00000000-0005-0000-0000-000071300000}"/>
    <cellStyle name="40% - Énfasis3 2 5 2 7" xfId="12405" xr:uid="{00000000-0005-0000-0000-000072300000}"/>
    <cellStyle name="40% - Énfasis3 2 5 3" xfId="12406" xr:uid="{00000000-0005-0000-0000-000073300000}"/>
    <cellStyle name="40% - Énfasis3 2 5 3 2" xfId="12407" xr:uid="{00000000-0005-0000-0000-000074300000}"/>
    <cellStyle name="40% - Énfasis3 2 5 3 2 2" xfId="12408" xr:uid="{00000000-0005-0000-0000-000075300000}"/>
    <cellStyle name="40% - Énfasis3 2 5 3 2 2 2" xfId="12409" xr:uid="{00000000-0005-0000-0000-000076300000}"/>
    <cellStyle name="40% - Énfasis3 2 5 3 2 3" xfId="12410" xr:uid="{00000000-0005-0000-0000-000077300000}"/>
    <cellStyle name="40% - Énfasis3 2 5 3 2 4" xfId="12411" xr:uid="{00000000-0005-0000-0000-000078300000}"/>
    <cellStyle name="40% - Énfasis3 2 5 3 3" xfId="12412" xr:uid="{00000000-0005-0000-0000-000079300000}"/>
    <cellStyle name="40% - Énfasis3 2 5 3 3 2" xfId="12413" xr:uid="{00000000-0005-0000-0000-00007A300000}"/>
    <cellStyle name="40% - Énfasis3 2 5 3 4" xfId="12414" xr:uid="{00000000-0005-0000-0000-00007B300000}"/>
    <cellStyle name="40% - Énfasis3 2 5 3 5" xfId="12415" xr:uid="{00000000-0005-0000-0000-00007C300000}"/>
    <cellStyle name="40% - Énfasis3 2 5 4" xfId="12416" xr:uid="{00000000-0005-0000-0000-00007D300000}"/>
    <cellStyle name="40% - Énfasis3 2 5 4 2" xfId="12417" xr:uid="{00000000-0005-0000-0000-00007E300000}"/>
    <cellStyle name="40% - Énfasis3 2 5 4 2 2" xfId="12418" xr:uid="{00000000-0005-0000-0000-00007F300000}"/>
    <cellStyle name="40% - Énfasis3 2 5 4 3" xfId="12419" xr:uid="{00000000-0005-0000-0000-000080300000}"/>
    <cellStyle name="40% - Énfasis3 2 5 4 3 2" xfId="12420" xr:uid="{00000000-0005-0000-0000-000081300000}"/>
    <cellStyle name="40% - Énfasis3 2 5 4 4" xfId="12421" xr:uid="{00000000-0005-0000-0000-000082300000}"/>
    <cellStyle name="40% - Énfasis3 2 5 4 5" xfId="12422" xr:uid="{00000000-0005-0000-0000-000083300000}"/>
    <cellStyle name="40% - Énfasis3 2 5 5" xfId="12423" xr:uid="{00000000-0005-0000-0000-000084300000}"/>
    <cellStyle name="40% - Énfasis3 2 5 5 2" xfId="12424" xr:uid="{00000000-0005-0000-0000-000085300000}"/>
    <cellStyle name="40% - Énfasis3 2 5 6" xfId="12425" xr:uid="{00000000-0005-0000-0000-000086300000}"/>
    <cellStyle name="40% - Énfasis3 2 5 6 2" xfId="12426" xr:uid="{00000000-0005-0000-0000-000087300000}"/>
    <cellStyle name="40% - Énfasis3 2 5 7" xfId="12427" xr:uid="{00000000-0005-0000-0000-000088300000}"/>
    <cellStyle name="40% - Énfasis3 2 5 8" xfId="12428" xr:uid="{00000000-0005-0000-0000-000089300000}"/>
    <cellStyle name="40% - Énfasis3 2 6" xfId="12429" xr:uid="{00000000-0005-0000-0000-00008A300000}"/>
    <cellStyle name="40% - Énfasis3 2 6 2" xfId="12430" xr:uid="{00000000-0005-0000-0000-00008B300000}"/>
    <cellStyle name="40% - Énfasis3 2 6 2 2" xfId="12431" xr:uid="{00000000-0005-0000-0000-00008C300000}"/>
    <cellStyle name="40% - Énfasis3 2 6 2 2 2" xfId="12432" xr:uid="{00000000-0005-0000-0000-00008D300000}"/>
    <cellStyle name="40% - Énfasis3 2 6 2 2 2 2" xfId="12433" xr:uid="{00000000-0005-0000-0000-00008E300000}"/>
    <cellStyle name="40% - Énfasis3 2 6 2 2 3" xfId="12434" xr:uid="{00000000-0005-0000-0000-00008F300000}"/>
    <cellStyle name="40% - Énfasis3 2 6 2 2 4" xfId="12435" xr:uid="{00000000-0005-0000-0000-000090300000}"/>
    <cellStyle name="40% - Énfasis3 2 6 2 3" xfId="12436" xr:uid="{00000000-0005-0000-0000-000091300000}"/>
    <cellStyle name="40% - Énfasis3 2 6 2 3 2" xfId="12437" xr:uid="{00000000-0005-0000-0000-000092300000}"/>
    <cellStyle name="40% - Énfasis3 2 6 2 4" xfId="12438" xr:uid="{00000000-0005-0000-0000-000093300000}"/>
    <cellStyle name="40% - Énfasis3 2 6 2 5" xfId="12439" xr:uid="{00000000-0005-0000-0000-000094300000}"/>
    <cellStyle name="40% - Énfasis3 2 6 3" xfId="12440" xr:uid="{00000000-0005-0000-0000-000095300000}"/>
    <cellStyle name="40% - Énfasis3 2 6 3 2" xfId="12441" xr:uid="{00000000-0005-0000-0000-000096300000}"/>
    <cellStyle name="40% - Énfasis3 2 6 3 2 2" xfId="12442" xr:uid="{00000000-0005-0000-0000-000097300000}"/>
    <cellStyle name="40% - Énfasis3 2 6 3 3" xfId="12443" xr:uid="{00000000-0005-0000-0000-000098300000}"/>
    <cellStyle name="40% - Énfasis3 2 6 3 3 2" xfId="12444" xr:uid="{00000000-0005-0000-0000-000099300000}"/>
    <cellStyle name="40% - Énfasis3 2 6 3 4" xfId="12445" xr:uid="{00000000-0005-0000-0000-00009A300000}"/>
    <cellStyle name="40% - Énfasis3 2 6 3 5" xfId="12446" xr:uid="{00000000-0005-0000-0000-00009B300000}"/>
    <cellStyle name="40% - Énfasis3 2 6 4" xfId="12447" xr:uid="{00000000-0005-0000-0000-00009C300000}"/>
    <cellStyle name="40% - Énfasis3 2 6 4 2" xfId="12448" xr:uid="{00000000-0005-0000-0000-00009D300000}"/>
    <cellStyle name="40% - Énfasis3 2 6 5" xfId="12449" xr:uid="{00000000-0005-0000-0000-00009E300000}"/>
    <cellStyle name="40% - Énfasis3 2 6 5 2" xfId="12450" xr:uid="{00000000-0005-0000-0000-00009F300000}"/>
    <cellStyle name="40% - Énfasis3 2 6 6" xfId="12451" xr:uid="{00000000-0005-0000-0000-0000A0300000}"/>
    <cellStyle name="40% - Énfasis3 2 6 7" xfId="12452" xr:uid="{00000000-0005-0000-0000-0000A1300000}"/>
    <cellStyle name="40% - Énfasis3 2 7" xfId="12453" xr:uid="{00000000-0005-0000-0000-0000A2300000}"/>
    <cellStyle name="40% - Énfasis3 2 7 2" xfId="12454" xr:uid="{00000000-0005-0000-0000-0000A3300000}"/>
    <cellStyle name="40% - Énfasis3 2 7 2 2" xfId="12455" xr:uid="{00000000-0005-0000-0000-0000A4300000}"/>
    <cellStyle name="40% - Énfasis3 2 7 2 2 2" xfId="12456" xr:uid="{00000000-0005-0000-0000-0000A5300000}"/>
    <cellStyle name="40% - Énfasis3 2 7 2 3" xfId="12457" xr:uid="{00000000-0005-0000-0000-0000A6300000}"/>
    <cellStyle name="40% - Énfasis3 2 7 2 4" xfId="12458" xr:uid="{00000000-0005-0000-0000-0000A7300000}"/>
    <cellStyle name="40% - Énfasis3 2 7 3" xfId="12459" xr:uid="{00000000-0005-0000-0000-0000A8300000}"/>
    <cellStyle name="40% - Énfasis3 2 7 3 2" xfId="12460" xr:uid="{00000000-0005-0000-0000-0000A9300000}"/>
    <cellStyle name="40% - Énfasis3 2 7 4" xfId="12461" xr:uid="{00000000-0005-0000-0000-0000AA300000}"/>
    <cellStyle name="40% - Énfasis3 2 7 5" xfId="12462" xr:uid="{00000000-0005-0000-0000-0000AB300000}"/>
    <cellStyle name="40% - Énfasis3 2 8" xfId="12463" xr:uid="{00000000-0005-0000-0000-0000AC300000}"/>
    <cellStyle name="40% - Énfasis3 2 8 2" xfId="12464" xr:uid="{00000000-0005-0000-0000-0000AD300000}"/>
    <cellStyle name="40% - Énfasis3 2 8 2 2" xfId="12465" xr:uid="{00000000-0005-0000-0000-0000AE300000}"/>
    <cellStyle name="40% - Énfasis3 2 8 3" xfId="12466" xr:uid="{00000000-0005-0000-0000-0000AF300000}"/>
    <cellStyle name="40% - Énfasis3 2 8 3 2" xfId="12467" xr:uid="{00000000-0005-0000-0000-0000B0300000}"/>
    <cellStyle name="40% - Énfasis3 2 8 4" xfId="12468" xr:uid="{00000000-0005-0000-0000-0000B1300000}"/>
    <cellStyle name="40% - Énfasis3 2 8 5" xfId="12469" xr:uid="{00000000-0005-0000-0000-0000B2300000}"/>
    <cellStyle name="40% - Énfasis3 2 9" xfId="12470" xr:uid="{00000000-0005-0000-0000-0000B3300000}"/>
    <cellStyle name="40% - Énfasis3 2 9 2" xfId="12471" xr:uid="{00000000-0005-0000-0000-0000B4300000}"/>
    <cellStyle name="40% - Énfasis3 3" xfId="12472" xr:uid="{00000000-0005-0000-0000-0000B5300000}"/>
    <cellStyle name="40% - Énfasis3 3 10" xfId="12473" xr:uid="{00000000-0005-0000-0000-0000B6300000}"/>
    <cellStyle name="40% - Énfasis3 3 10 2" xfId="12474" xr:uid="{00000000-0005-0000-0000-0000B7300000}"/>
    <cellStyle name="40% - Énfasis3 3 11" xfId="12475" xr:uid="{00000000-0005-0000-0000-0000B8300000}"/>
    <cellStyle name="40% - Énfasis3 3 12" xfId="12476" xr:uid="{00000000-0005-0000-0000-0000B9300000}"/>
    <cellStyle name="40% - Énfasis3 3 2" xfId="12477" xr:uid="{00000000-0005-0000-0000-0000BA300000}"/>
    <cellStyle name="40% - Énfasis3 3 2 10" xfId="12478" xr:uid="{00000000-0005-0000-0000-0000BB300000}"/>
    <cellStyle name="40% - Énfasis3 3 2 11" xfId="12479" xr:uid="{00000000-0005-0000-0000-0000BC300000}"/>
    <cellStyle name="40% - Énfasis3 3 2 2" xfId="12480" xr:uid="{00000000-0005-0000-0000-0000BD300000}"/>
    <cellStyle name="40% - Énfasis3 3 2 2 10" xfId="12481" xr:uid="{00000000-0005-0000-0000-0000BE300000}"/>
    <cellStyle name="40% - Énfasis3 3 2 2 2" xfId="12482" xr:uid="{00000000-0005-0000-0000-0000BF300000}"/>
    <cellStyle name="40% - Énfasis3 3 2 2 2 2" xfId="12483" xr:uid="{00000000-0005-0000-0000-0000C0300000}"/>
    <cellStyle name="40% - Énfasis3 3 2 2 2 2 2" xfId="12484" xr:uid="{00000000-0005-0000-0000-0000C1300000}"/>
    <cellStyle name="40% - Énfasis3 3 2 2 2 2 2 2" xfId="12485" xr:uid="{00000000-0005-0000-0000-0000C2300000}"/>
    <cellStyle name="40% - Énfasis3 3 2 2 2 2 2 2 2" xfId="12486" xr:uid="{00000000-0005-0000-0000-0000C3300000}"/>
    <cellStyle name="40% - Énfasis3 3 2 2 2 2 2 2 2 2" xfId="12487" xr:uid="{00000000-0005-0000-0000-0000C4300000}"/>
    <cellStyle name="40% - Énfasis3 3 2 2 2 2 2 2 2 2 2" xfId="12488" xr:uid="{00000000-0005-0000-0000-0000C5300000}"/>
    <cellStyle name="40% - Énfasis3 3 2 2 2 2 2 2 2 3" xfId="12489" xr:uid="{00000000-0005-0000-0000-0000C6300000}"/>
    <cellStyle name="40% - Énfasis3 3 2 2 2 2 2 2 2 4" xfId="12490" xr:uid="{00000000-0005-0000-0000-0000C7300000}"/>
    <cellStyle name="40% - Énfasis3 3 2 2 2 2 2 2 3" xfId="12491" xr:uid="{00000000-0005-0000-0000-0000C8300000}"/>
    <cellStyle name="40% - Énfasis3 3 2 2 2 2 2 2 3 2" xfId="12492" xr:uid="{00000000-0005-0000-0000-0000C9300000}"/>
    <cellStyle name="40% - Énfasis3 3 2 2 2 2 2 2 4" xfId="12493" xr:uid="{00000000-0005-0000-0000-0000CA300000}"/>
    <cellStyle name="40% - Énfasis3 3 2 2 2 2 2 2 5" xfId="12494" xr:uid="{00000000-0005-0000-0000-0000CB300000}"/>
    <cellStyle name="40% - Énfasis3 3 2 2 2 2 2 3" xfId="12495" xr:uid="{00000000-0005-0000-0000-0000CC300000}"/>
    <cellStyle name="40% - Énfasis3 3 2 2 2 2 2 3 2" xfId="12496" xr:uid="{00000000-0005-0000-0000-0000CD300000}"/>
    <cellStyle name="40% - Énfasis3 3 2 2 2 2 2 3 2 2" xfId="12497" xr:uid="{00000000-0005-0000-0000-0000CE300000}"/>
    <cellStyle name="40% - Énfasis3 3 2 2 2 2 2 3 3" xfId="12498" xr:uid="{00000000-0005-0000-0000-0000CF300000}"/>
    <cellStyle name="40% - Énfasis3 3 2 2 2 2 2 3 4" xfId="12499" xr:uid="{00000000-0005-0000-0000-0000D0300000}"/>
    <cellStyle name="40% - Énfasis3 3 2 2 2 2 2 4" xfId="12500" xr:uid="{00000000-0005-0000-0000-0000D1300000}"/>
    <cellStyle name="40% - Énfasis3 3 2 2 2 2 2 4 2" xfId="12501" xr:uid="{00000000-0005-0000-0000-0000D2300000}"/>
    <cellStyle name="40% - Énfasis3 3 2 2 2 2 2 5" xfId="12502" xr:uid="{00000000-0005-0000-0000-0000D3300000}"/>
    <cellStyle name="40% - Énfasis3 3 2 2 2 2 2 6" xfId="12503" xr:uid="{00000000-0005-0000-0000-0000D4300000}"/>
    <cellStyle name="40% - Énfasis3 3 2 2 2 2 3" xfId="12504" xr:uid="{00000000-0005-0000-0000-0000D5300000}"/>
    <cellStyle name="40% - Énfasis3 3 2 2 2 2 3 2" xfId="12505" xr:uid="{00000000-0005-0000-0000-0000D6300000}"/>
    <cellStyle name="40% - Énfasis3 3 2 2 2 2 3 2 2" xfId="12506" xr:uid="{00000000-0005-0000-0000-0000D7300000}"/>
    <cellStyle name="40% - Énfasis3 3 2 2 2 2 3 2 2 2" xfId="12507" xr:uid="{00000000-0005-0000-0000-0000D8300000}"/>
    <cellStyle name="40% - Énfasis3 3 2 2 2 2 3 2 3" xfId="12508" xr:uid="{00000000-0005-0000-0000-0000D9300000}"/>
    <cellStyle name="40% - Énfasis3 3 2 2 2 2 3 2 4" xfId="12509" xr:uid="{00000000-0005-0000-0000-0000DA300000}"/>
    <cellStyle name="40% - Énfasis3 3 2 2 2 2 3 3" xfId="12510" xr:uid="{00000000-0005-0000-0000-0000DB300000}"/>
    <cellStyle name="40% - Énfasis3 3 2 2 2 2 3 3 2" xfId="12511" xr:uid="{00000000-0005-0000-0000-0000DC300000}"/>
    <cellStyle name="40% - Énfasis3 3 2 2 2 2 3 4" xfId="12512" xr:uid="{00000000-0005-0000-0000-0000DD300000}"/>
    <cellStyle name="40% - Énfasis3 3 2 2 2 2 3 5" xfId="12513" xr:uid="{00000000-0005-0000-0000-0000DE300000}"/>
    <cellStyle name="40% - Énfasis3 3 2 2 2 2 4" xfId="12514" xr:uid="{00000000-0005-0000-0000-0000DF300000}"/>
    <cellStyle name="40% - Énfasis3 3 2 2 2 2 4 2" xfId="12515" xr:uid="{00000000-0005-0000-0000-0000E0300000}"/>
    <cellStyle name="40% - Énfasis3 3 2 2 2 2 4 2 2" xfId="12516" xr:uid="{00000000-0005-0000-0000-0000E1300000}"/>
    <cellStyle name="40% - Énfasis3 3 2 2 2 2 4 3" xfId="12517" xr:uid="{00000000-0005-0000-0000-0000E2300000}"/>
    <cellStyle name="40% - Énfasis3 3 2 2 2 2 4 4" xfId="12518" xr:uid="{00000000-0005-0000-0000-0000E3300000}"/>
    <cellStyle name="40% - Énfasis3 3 2 2 2 2 5" xfId="12519" xr:uid="{00000000-0005-0000-0000-0000E4300000}"/>
    <cellStyle name="40% - Énfasis3 3 2 2 2 2 5 2" xfId="12520" xr:uid="{00000000-0005-0000-0000-0000E5300000}"/>
    <cellStyle name="40% - Énfasis3 3 2 2 2 2 6" xfId="12521" xr:uid="{00000000-0005-0000-0000-0000E6300000}"/>
    <cellStyle name="40% - Énfasis3 3 2 2 2 2 7" xfId="12522" xr:uid="{00000000-0005-0000-0000-0000E7300000}"/>
    <cellStyle name="40% - Énfasis3 3 2 2 2 3" xfId="12523" xr:uid="{00000000-0005-0000-0000-0000E8300000}"/>
    <cellStyle name="40% - Énfasis3 3 2 2 2 3 2" xfId="12524" xr:uid="{00000000-0005-0000-0000-0000E9300000}"/>
    <cellStyle name="40% - Énfasis3 3 2 2 2 3 2 2" xfId="12525" xr:uid="{00000000-0005-0000-0000-0000EA300000}"/>
    <cellStyle name="40% - Énfasis3 3 2 2 2 3 2 2 2" xfId="12526" xr:uid="{00000000-0005-0000-0000-0000EB300000}"/>
    <cellStyle name="40% - Énfasis3 3 2 2 2 3 2 2 2 2" xfId="12527" xr:uid="{00000000-0005-0000-0000-0000EC300000}"/>
    <cellStyle name="40% - Énfasis3 3 2 2 2 3 2 2 3" xfId="12528" xr:uid="{00000000-0005-0000-0000-0000ED300000}"/>
    <cellStyle name="40% - Énfasis3 3 2 2 2 3 2 2 4" xfId="12529" xr:uid="{00000000-0005-0000-0000-0000EE300000}"/>
    <cellStyle name="40% - Énfasis3 3 2 2 2 3 2 3" xfId="12530" xr:uid="{00000000-0005-0000-0000-0000EF300000}"/>
    <cellStyle name="40% - Énfasis3 3 2 2 2 3 2 3 2" xfId="12531" xr:uid="{00000000-0005-0000-0000-0000F0300000}"/>
    <cellStyle name="40% - Énfasis3 3 2 2 2 3 2 4" xfId="12532" xr:uid="{00000000-0005-0000-0000-0000F1300000}"/>
    <cellStyle name="40% - Énfasis3 3 2 2 2 3 2 5" xfId="12533" xr:uid="{00000000-0005-0000-0000-0000F2300000}"/>
    <cellStyle name="40% - Énfasis3 3 2 2 2 3 3" xfId="12534" xr:uid="{00000000-0005-0000-0000-0000F3300000}"/>
    <cellStyle name="40% - Énfasis3 3 2 2 2 3 3 2" xfId="12535" xr:uid="{00000000-0005-0000-0000-0000F4300000}"/>
    <cellStyle name="40% - Énfasis3 3 2 2 2 3 3 2 2" xfId="12536" xr:uid="{00000000-0005-0000-0000-0000F5300000}"/>
    <cellStyle name="40% - Énfasis3 3 2 2 2 3 3 3" xfId="12537" xr:uid="{00000000-0005-0000-0000-0000F6300000}"/>
    <cellStyle name="40% - Énfasis3 3 2 2 2 3 3 3 2" xfId="12538" xr:uid="{00000000-0005-0000-0000-0000F7300000}"/>
    <cellStyle name="40% - Énfasis3 3 2 2 2 3 3 4" xfId="12539" xr:uid="{00000000-0005-0000-0000-0000F8300000}"/>
    <cellStyle name="40% - Énfasis3 3 2 2 2 3 3 5" xfId="12540" xr:uid="{00000000-0005-0000-0000-0000F9300000}"/>
    <cellStyle name="40% - Énfasis3 3 2 2 2 3 4" xfId="12541" xr:uid="{00000000-0005-0000-0000-0000FA300000}"/>
    <cellStyle name="40% - Énfasis3 3 2 2 2 3 4 2" xfId="12542" xr:uid="{00000000-0005-0000-0000-0000FB300000}"/>
    <cellStyle name="40% - Énfasis3 3 2 2 2 3 5" xfId="12543" xr:uid="{00000000-0005-0000-0000-0000FC300000}"/>
    <cellStyle name="40% - Énfasis3 3 2 2 2 3 5 2" xfId="12544" xr:uid="{00000000-0005-0000-0000-0000FD300000}"/>
    <cellStyle name="40% - Énfasis3 3 2 2 2 3 6" xfId="12545" xr:uid="{00000000-0005-0000-0000-0000FE300000}"/>
    <cellStyle name="40% - Énfasis3 3 2 2 2 3 7" xfId="12546" xr:uid="{00000000-0005-0000-0000-0000FF300000}"/>
    <cellStyle name="40% - Énfasis3 3 2 2 2 4" xfId="12547" xr:uid="{00000000-0005-0000-0000-000000310000}"/>
    <cellStyle name="40% - Énfasis3 3 2 2 2 4 2" xfId="12548" xr:uid="{00000000-0005-0000-0000-000001310000}"/>
    <cellStyle name="40% - Énfasis3 3 2 2 2 4 2 2" xfId="12549" xr:uid="{00000000-0005-0000-0000-000002310000}"/>
    <cellStyle name="40% - Énfasis3 3 2 2 2 4 2 2 2" xfId="12550" xr:uid="{00000000-0005-0000-0000-000003310000}"/>
    <cellStyle name="40% - Énfasis3 3 2 2 2 4 2 3" xfId="12551" xr:uid="{00000000-0005-0000-0000-000004310000}"/>
    <cellStyle name="40% - Énfasis3 3 2 2 2 4 2 4" xfId="12552" xr:uid="{00000000-0005-0000-0000-000005310000}"/>
    <cellStyle name="40% - Énfasis3 3 2 2 2 4 3" xfId="12553" xr:uid="{00000000-0005-0000-0000-000006310000}"/>
    <cellStyle name="40% - Énfasis3 3 2 2 2 4 3 2" xfId="12554" xr:uid="{00000000-0005-0000-0000-000007310000}"/>
    <cellStyle name="40% - Énfasis3 3 2 2 2 4 4" xfId="12555" xr:uid="{00000000-0005-0000-0000-000008310000}"/>
    <cellStyle name="40% - Énfasis3 3 2 2 2 4 5" xfId="12556" xr:uid="{00000000-0005-0000-0000-000009310000}"/>
    <cellStyle name="40% - Énfasis3 3 2 2 2 5" xfId="12557" xr:uid="{00000000-0005-0000-0000-00000A310000}"/>
    <cellStyle name="40% - Énfasis3 3 2 2 2 5 2" xfId="12558" xr:uid="{00000000-0005-0000-0000-00000B310000}"/>
    <cellStyle name="40% - Énfasis3 3 2 2 2 5 2 2" xfId="12559" xr:uid="{00000000-0005-0000-0000-00000C310000}"/>
    <cellStyle name="40% - Énfasis3 3 2 2 2 5 3" xfId="12560" xr:uid="{00000000-0005-0000-0000-00000D310000}"/>
    <cellStyle name="40% - Énfasis3 3 2 2 2 5 3 2" xfId="12561" xr:uid="{00000000-0005-0000-0000-00000E310000}"/>
    <cellStyle name="40% - Énfasis3 3 2 2 2 5 4" xfId="12562" xr:uid="{00000000-0005-0000-0000-00000F310000}"/>
    <cellStyle name="40% - Énfasis3 3 2 2 2 5 5" xfId="12563" xr:uid="{00000000-0005-0000-0000-000010310000}"/>
    <cellStyle name="40% - Énfasis3 3 2 2 2 6" xfId="12564" xr:uid="{00000000-0005-0000-0000-000011310000}"/>
    <cellStyle name="40% - Énfasis3 3 2 2 2 6 2" xfId="12565" xr:uid="{00000000-0005-0000-0000-000012310000}"/>
    <cellStyle name="40% - Énfasis3 3 2 2 2 7" xfId="12566" xr:uid="{00000000-0005-0000-0000-000013310000}"/>
    <cellStyle name="40% - Énfasis3 3 2 2 2 7 2" xfId="12567" xr:uid="{00000000-0005-0000-0000-000014310000}"/>
    <cellStyle name="40% - Énfasis3 3 2 2 2 8" xfId="12568" xr:uid="{00000000-0005-0000-0000-000015310000}"/>
    <cellStyle name="40% - Énfasis3 3 2 2 2 9" xfId="12569" xr:uid="{00000000-0005-0000-0000-000016310000}"/>
    <cellStyle name="40% - Énfasis3 3 2 2 3" xfId="12570" xr:uid="{00000000-0005-0000-0000-000017310000}"/>
    <cellStyle name="40% - Énfasis3 3 2 2 3 2" xfId="12571" xr:uid="{00000000-0005-0000-0000-000018310000}"/>
    <cellStyle name="40% - Énfasis3 3 2 2 3 2 2" xfId="12572" xr:uid="{00000000-0005-0000-0000-000019310000}"/>
    <cellStyle name="40% - Énfasis3 3 2 2 3 2 2 2" xfId="12573" xr:uid="{00000000-0005-0000-0000-00001A310000}"/>
    <cellStyle name="40% - Énfasis3 3 2 2 3 2 2 2 2" xfId="12574" xr:uid="{00000000-0005-0000-0000-00001B310000}"/>
    <cellStyle name="40% - Énfasis3 3 2 2 3 2 2 2 2 2" xfId="12575" xr:uid="{00000000-0005-0000-0000-00001C310000}"/>
    <cellStyle name="40% - Énfasis3 3 2 2 3 2 2 2 3" xfId="12576" xr:uid="{00000000-0005-0000-0000-00001D310000}"/>
    <cellStyle name="40% - Énfasis3 3 2 2 3 2 2 2 4" xfId="12577" xr:uid="{00000000-0005-0000-0000-00001E310000}"/>
    <cellStyle name="40% - Énfasis3 3 2 2 3 2 2 3" xfId="12578" xr:uid="{00000000-0005-0000-0000-00001F310000}"/>
    <cellStyle name="40% - Énfasis3 3 2 2 3 2 2 3 2" xfId="12579" xr:uid="{00000000-0005-0000-0000-000020310000}"/>
    <cellStyle name="40% - Énfasis3 3 2 2 3 2 2 4" xfId="12580" xr:uid="{00000000-0005-0000-0000-000021310000}"/>
    <cellStyle name="40% - Énfasis3 3 2 2 3 2 2 5" xfId="12581" xr:uid="{00000000-0005-0000-0000-000022310000}"/>
    <cellStyle name="40% - Énfasis3 3 2 2 3 2 3" xfId="12582" xr:uid="{00000000-0005-0000-0000-000023310000}"/>
    <cellStyle name="40% - Énfasis3 3 2 2 3 2 3 2" xfId="12583" xr:uid="{00000000-0005-0000-0000-000024310000}"/>
    <cellStyle name="40% - Énfasis3 3 2 2 3 2 3 2 2" xfId="12584" xr:uid="{00000000-0005-0000-0000-000025310000}"/>
    <cellStyle name="40% - Énfasis3 3 2 2 3 2 3 3" xfId="12585" xr:uid="{00000000-0005-0000-0000-000026310000}"/>
    <cellStyle name="40% - Énfasis3 3 2 2 3 2 3 4" xfId="12586" xr:uid="{00000000-0005-0000-0000-000027310000}"/>
    <cellStyle name="40% - Énfasis3 3 2 2 3 2 4" xfId="12587" xr:uid="{00000000-0005-0000-0000-000028310000}"/>
    <cellStyle name="40% - Énfasis3 3 2 2 3 2 4 2" xfId="12588" xr:uid="{00000000-0005-0000-0000-000029310000}"/>
    <cellStyle name="40% - Énfasis3 3 2 2 3 2 5" xfId="12589" xr:uid="{00000000-0005-0000-0000-00002A310000}"/>
    <cellStyle name="40% - Énfasis3 3 2 2 3 2 6" xfId="12590" xr:uid="{00000000-0005-0000-0000-00002B310000}"/>
    <cellStyle name="40% - Énfasis3 3 2 2 3 3" xfId="12591" xr:uid="{00000000-0005-0000-0000-00002C310000}"/>
    <cellStyle name="40% - Énfasis3 3 2 2 3 3 2" xfId="12592" xr:uid="{00000000-0005-0000-0000-00002D310000}"/>
    <cellStyle name="40% - Énfasis3 3 2 2 3 3 2 2" xfId="12593" xr:uid="{00000000-0005-0000-0000-00002E310000}"/>
    <cellStyle name="40% - Énfasis3 3 2 2 3 3 2 2 2" xfId="12594" xr:uid="{00000000-0005-0000-0000-00002F310000}"/>
    <cellStyle name="40% - Énfasis3 3 2 2 3 3 2 3" xfId="12595" xr:uid="{00000000-0005-0000-0000-000030310000}"/>
    <cellStyle name="40% - Énfasis3 3 2 2 3 3 2 4" xfId="12596" xr:uid="{00000000-0005-0000-0000-000031310000}"/>
    <cellStyle name="40% - Énfasis3 3 2 2 3 3 3" xfId="12597" xr:uid="{00000000-0005-0000-0000-000032310000}"/>
    <cellStyle name="40% - Énfasis3 3 2 2 3 3 3 2" xfId="12598" xr:uid="{00000000-0005-0000-0000-000033310000}"/>
    <cellStyle name="40% - Énfasis3 3 2 2 3 3 4" xfId="12599" xr:uid="{00000000-0005-0000-0000-000034310000}"/>
    <cellStyle name="40% - Énfasis3 3 2 2 3 3 5" xfId="12600" xr:uid="{00000000-0005-0000-0000-000035310000}"/>
    <cellStyle name="40% - Énfasis3 3 2 2 3 4" xfId="12601" xr:uid="{00000000-0005-0000-0000-000036310000}"/>
    <cellStyle name="40% - Énfasis3 3 2 2 3 4 2" xfId="12602" xr:uid="{00000000-0005-0000-0000-000037310000}"/>
    <cellStyle name="40% - Énfasis3 3 2 2 3 4 2 2" xfId="12603" xr:uid="{00000000-0005-0000-0000-000038310000}"/>
    <cellStyle name="40% - Énfasis3 3 2 2 3 4 3" xfId="12604" xr:uid="{00000000-0005-0000-0000-000039310000}"/>
    <cellStyle name="40% - Énfasis3 3 2 2 3 4 4" xfId="12605" xr:uid="{00000000-0005-0000-0000-00003A310000}"/>
    <cellStyle name="40% - Énfasis3 3 2 2 3 5" xfId="12606" xr:uid="{00000000-0005-0000-0000-00003B310000}"/>
    <cellStyle name="40% - Énfasis3 3 2 2 3 5 2" xfId="12607" xr:uid="{00000000-0005-0000-0000-00003C310000}"/>
    <cellStyle name="40% - Énfasis3 3 2 2 3 6" xfId="12608" xr:uid="{00000000-0005-0000-0000-00003D310000}"/>
    <cellStyle name="40% - Énfasis3 3 2 2 3 7" xfId="12609" xr:uid="{00000000-0005-0000-0000-00003E310000}"/>
    <cellStyle name="40% - Énfasis3 3 2 2 4" xfId="12610" xr:uid="{00000000-0005-0000-0000-00003F310000}"/>
    <cellStyle name="40% - Énfasis3 3 2 2 4 2" xfId="12611" xr:uid="{00000000-0005-0000-0000-000040310000}"/>
    <cellStyle name="40% - Énfasis3 3 2 2 4 2 2" xfId="12612" xr:uid="{00000000-0005-0000-0000-000041310000}"/>
    <cellStyle name="40% - Énfasis3 3 2 2 4 2 2 2" xfId="12613" xr:uid="{00000000-0005-0000-0000-000042310000}"/>
    <cellStyle name="40% - Énfasis3 3 2 2 4 2 2 2 2" xfId="12614" xr:uid="{00000000-0005-0000-0000-000043310000}"/>
    <cellStyle name="40% - Énfasis3 3 2 2 4 2 2 3" xfId="12615" xr:uid="{00000000-0005-0000-0000-000044310000}"/>
    <cellStyle name="40% - Énfasis3 3 2 2 4 2 2 4" xfId="12616" xr:uid="{00000000-0005-0000-0000-000045310000}"/>
    <cellStyle name="40% - Énfasis3 3 2 2 4 2 3" xfId="12617" xr:uid="{00000000-0005-0000-0000-000046310000}"/>
    <cellStyle name="40% - Énfasis3 3 2 2 4 2 3 2" xfId="12618" xr:uid="{00000000-0005-0000-0000-000047310000}"/>
    <cellStyle name="40% - Énfasis3 3 2 2 4 2 4" xfId="12619" xr:uid="{00000000-0005-0000-0000-000048310000}"/>
    <cellStyle name="40% - Énfasis3 3 2 2 4 2 5" xfId="12620" xr:uid="{00000000-0005-0000-0000-000049310000}"/>
    <cellStyle name="40% - Énfasis3 3 2 2 4 3" xfId="12621" xr:uid="{00000000-0005-0000-0000-00004A310000}"/>
    <cellStyle name="40% - Énfasis3 3 2 2 4 3 2" xfId="12622" xr:uid="{00000000-0005-0000-0000-00004B310000}"/>
    <cellStyle name="40% - Énfasis3 3 2 2 4 3 2 2" xfId="12623" xr:uid="{00000000-0005-0000-0000-00004C310000}"/>
    <cellStyle name="40% - Énfasis3 3 2 2 4 3 3" xfId="12624" xr:uid="{00000000-0005-0000-0000-00004D310000}"/>
    <cellStyle name="40% - Énfasis3 3 2 2 4 3 3 2" xfId="12625" xr:uid="{00000000-0005-0000-0000-00004E310000}"/>
    <cellStyle name="40% - Énfasis3 3 2 2 4 3 4" xfId="12626" xr:uid="{00000000-0005-0000-0000-00004F310000}"/>
    <cellStyle name="40% - Énfasis3 3 2 2 4 3 5" xfId="12627" xr:uid="{00000000-0005-0000-0000-000050310000}"/>
    <cellStyle name="40% - Énfasis3 3 2 2 4 4" xfId="12628" xr:uid="{00000000-0005-0000-0000-000051310000}"/>
    <cellStyle name="40% - Énfasis3 3 2 2 4 4 2" xfId="12629" xr:uid="{00000000-0005-0000-0000-000052310000}"/>
    <cellStyle name="40% - Énfasis3 3 2 2 4 5" xfId="12630" xr:uid="{00000000-0005-0000-0000-000053310000}"/>
    <cellStyle name="40% - Énfasis3 3 2 2 4 5 2" xfId="12631" xr:uid="{00000000-0005-0000-0000-000054310000}"/>
    <cellStyle name="40% - Énfasis3 3 2 2 4 6" xfId="12632" xr:uid="{00000000-0005-0000-0000-000055310000}"/>
    <cellStyle name="40% - Énfasis3 3 2 2 4 7" xfId="12633" xr:uid="{00000000-0005-0000-0000-000056310000}"/>
    <cellStyle name="40% - Énfasis3 3 2 2 5" xfId="12634" xr:uid="{00000000-0005-0000-0000-000057310000}"/>
    <cellStyle name="40% - Énfasis3 3 2 2 5 2" xfId="12635" xr:uid="{00000000-0005-0000-0000-000058310000}"/>
    <cellStyle name="40% - Énfasis3 3 2 2 5 2 2" xfId="12636" xr:uid="{00000000-0005-0000-0000-000059310000}"/>
    <cellStyle name="40% - Énfasis3 3 2 2 5 2 2 2" xfId="12637" xr:uid="{00000000-0005-0000-0000-00005A310000}"/>
    <cellStyle name="40% - Énfasis3 3 2 2 5 2 3" xfId="12638" xr:uid="{00000000-0005-0000-0000-00005B310000}"/>
    <cellStyle name="40% - Énfasis3 3 2 2 5 2 4" xfId="12639" xr:uid="{00000000-0005-0000-0000-00005C310000}"/>
    <cellStyle name="40% - Énfasis3 3 2 2 5 3" xfId="12640" xr:uid="{00000000-0005-0000-0000-00005D310000}"/>
    <cellStyle name="40% - Énfasis3 3 2 2 5 3 2" xfId="12641" xr:uid="{00000000-0005-0000-0000-00005E310000}"/>
    <cellStyle name="40% - Énfasis3 3 2 2 5 4" xfId="12642" xr:uid="{00000000-0005-0000-0000-00005F310000}"/>
    <cellStyle name="40% - Énfasis3 3 2 2 5 5" xfId="12643" xr:uid="{00000000-0005-0000-0000-000060310000}"/>
    <cellStyle name="40% - Énfasis3 3 2 2 6" xfId="12644" xr:uid="{00000000-0005-0000-0000-000061310000}"/>
    <cellStyle name="40% - Énfasis3 3 2 2 6 2" xfId="12645" xr:uid="{00000000-0005-0000-0000-000062310000}"/>
    <cellStyle name="40% - Énfasis3 3 2 2 6 2 2" xfId="12646" xr:uid="{00000000-0005-0000-0000-000063310000}"/>
    <cellStyle name="40% - Énfasis3 3 2 2 6 3" xfId="12647" xr:uid="{00000000-0005-0000-0000-000064310000}"/>
    <cellStyle name="40% - Énfasis3 3 2 2 6 3 2" xfId="12648" xr:uid="{00000000-0005-0000-0000-000065310000}"/>
    <cellStyle name="40% - Énfasis3 3 2 2 6 4" xfId="12649" xr:uid="{00000000-0005-0000-0000-000066310000}"/>
    <cellStyle name="40% - Énfasis3 3 2 2 6 5" xfId="12650" xr:uid="{00000000-0005-0000-0000-000067310000}"/>
    <cellStyle name="40% - Énfasis3 3 2 2 7" xfId="12651" xr:uid="{00000000-0005-0000-0000-000068310000}"/>
    <cellStyle name="40% - Énfasis3 3 2 2 7 2" xfId="12652" xr:uid="{00000000-0005-0000-0000-000069310000}"/>
    <cellStyle name="40% - Énfasis3 3 2 2 8" xfId="12653" xr:uid="{00000000-0005-0000-0000-00006A310000}"/>
    <cellStyle name="40% - Énfasis3 3 2 2 8 2" xfId="12654" xr:uid="{00000000-0005-0000-0000-00006B310000}"/>
    <cellStyle name="40% - Énfasis3 3 2 2 9" xfId="12655" xr:uid="{00000000-0005-0000-0000-00006C310000}"/>
    <cellStyle name="40% - Énfasis3 3 2 3" xfId="12656" xr:uid="{00000000-0005-0000-0000-00006D310000}"/>
    <cellStyle name="40% - Énfasis3 3 2 3 2" xfId="12657" xr:uid="{00000000-0005-0000-0000-00006E310000}"/>
    <cellStyle name="40% - Énfasis3 3 2 3 2 2" xfId="12658" xr:uid="{00000000-0005-0000-0000-00006F310000}"/>
    <cellStyle name="40% - Énfasis3 3 2 3 2 2 2" xfId="12659" xr:uid="{00000000-0005-0000-0000-000070310000}"/>
    <cellStyle name="40% - Énfasis3 3 2 3 2 2 2 2" xfId="12660" xr:uid="{00000000-0005-0000-0000-000071310000}"/>
    <cellStyle name="40% - Énfasis3 3 2 3 2 2 2 2 2" xfId="12661" xr:uid="{00000000-0005-0000-0000-000072310000}"/>
    <cellStyle name="40% - Énfasis3 3 2 3 2 2 2 2 2 2" xfId="12662" xr:uid="{00000000-0005-0000-0000-000073310000}"/>
    <cellStyle name="40% - Énfasis3 3 2 3 2 2 2 2 3" xfId="12663" xr:uid="{00000000-0005-0000-0000-000074310000}"/>
    <cellStyle name="40% - Énfasis3 3 2 3 2 2 2 2 4" xfId="12664" xr:uid="{00000000-0005-0000-0000-000075310000}"/>
    <cellStyle name="40% - Énfasis3 3 2 3 2 2 2 3" xfId="12665" xr:uid="{00000000-0005-0000-0000-000076310000}"/>
    <cellStyle name="40% - Énfasis3 3 2 3 2 2 2 3 2" xfId="12666" xr:uid="{00000000-0005-0000-0000-000077310000}"/>
    <cellStyle name="40% - Énfasis3 3 2 3 2 2 2 4" xfId="12667" xr:uid="{00000000-0005-0000-0000-000078310000}"/>
    <cellStyle name="40% - Énfasis3 3 2 3 2 2 2 5" xfId="12668" xr:uid="{00000000-0005-0000-0000-000079310000}"/>
    <cellStyle name="40% - Énfasis3 3 2 3 2 2 3" xfId="12669" xr:uid="{00000000-0005-0000-0000-00007A310000}"/>
    <cellStyle name="40% - Énfasis3 3 2 3 2 2 3 2" xfId="12670" xr:uid="{00000000-0005-0000-0000-00007B310000}"/>
    <cellStyle name="40% - Énfasis3 3 2 3 2 2 3 2 2" xfId="12671" xr:uid="{00000000-0005-0000-0000-00007C310000}"/>
    <cellStyle name="40% - Énfasis3 3 2 3 2 2 3 3" xfId="12672" xr:uid="{00000000-0005-0000-0000-00007D310000}"/>
    <cellStyle name="40% - Énfasis3 3 2 3 2 2 3 4" xfId="12673" xr:uid="{00000000-0005-0000-0000-00007E310000}"/>
    <cellStyle name="40% - Énfasis3 3 2 3 2 2 4" xfId="12674" xr:uid="{00000000-0005-0000-0000-00007F310000}"/>
    <cellStyle name="40% - Énfasis3 3 2 3 2 2 4 2" xfId="12675" xr:uid="{00000000-0005-0000-0000-000080310000}"/>
    <cellStyle name="40% - Énfasis3 3 2 3 2 2 5" xfId="12676" xr:uid="{00000000-0005-0000-0000-000081310000}"/>
    <cellStyle name="40% - Énfasis3 3 2 3 2 2 6" xfId="12677" xr:uid="{00000000-0005-0000-0000-000082310000}"/>
    <cellStyle name="40% - Énfasis3 3 2 3 2 3" xfId="12678" xr:uid="{00000000-0005-0000-0000-000083310000}"/>
    <cellStyle name="40% - Énfasis3 3 2 3 2 3 2" xfId="12679" xr:uid="{00000000-0005-0000-0000-000084310000}"/>
    <cellStyle name="40% - Énfasis3 3 2 3 2 3 2 2" xfId="12680" xr:uid="{00000000-0005-0000-0000-000085310000}"/>
    <cellStyle name="40% - Énfasis3 3 2 3 2 3 2 2 2" xfId="12681" xr:uid="{00000000-0005-0000-0000-000086310000}"/>
    <cellStyle name="40% - Énfasis3 3 2 3 2 3 2 3" xfId="12682" xr:uid="{00000000-0005-0000-0000-000087310000}"/>
    <cellStyle name="40% - Énfasis3 3 2 3 2 3 2 4" xfId="12683" xr:uid="{00000000-0005-0000-0000-000088310000}"/>
    <cellStyle name="40% - Énfasis3 3 2 3 2 3 3" xfId="12684" xr:uid="{00000000-0005-0000-0000-000089310000}"/>
    <cellStyle name="40% - Énfasis3 3 2 3 2 3 3 2" xfId="12685" xr:uid="{00000000-0005-0000-0000-00008A310000}"/>
    <cellStyle name="40% - Énfasis3 3 2 3 2 3 4" xfId="12686" xr:uid="{00000000-0005-0000-0000-00008B310000}"/>
    <cellStyle name="40% - Énfasis3 3 2 3 2 3 5" xfId="12687" xr:uid="{00000000-0005-0000-0000-00008C310000}"/>
    <cellStyle name="40% - Énfasis3 3 2 3 2 4" xfId="12688" xr:uid="{00000000-0005-0000-0000-00008D310000}"/>
    <cellStyle name="40% - Énfasis3 3 2 3 2 4 2" xfId="12689" xr:uid="{00000000-0005-0000-0000-00008E310000}"/>
    <cellStyle name="40% - Énfasis3 3 2 3 2 4 2 2" xfId="12690" xr:uid="{00000000-0005-0000-0000-00008F310000}"/>
    <cellStyle name="40% - Énfasis3 3 2 3 2 4 3" xfId="12691" xr:uid="{00000000-0005-0000-0000-000090310000}"/>
    <cellStyle name="40% - Énfasis3 3 2 3 2 4 4" xfId="12692" xr:uid="{00000000-0005-0000-0000-000091310000}"/>
    <cellStyle name="40% - Énfasis3 3 2 3 2 5" xfId="12693" xr:uid="{00000000-0005-0000-0000-000092310000}"/>
    <cellStyle name="40% - Énfasis3 3 2 3 2 5 2" xfId="12694" xr:uid="{00000000-0005-0000-0000-000093310000}"/>
    <cellStyle name="40% - Énfasis3 3 2 3 2 6" xfId="12695" xr:uid="{00000000-0005-0000-0000-000094310000}"/>
    <cellStyle name="40% - Énfasis3 3 2 3 2 7" xfId="12696" xr:uid="{00000000-0005-0000-0000-000095310000}"/>
    <cellStyle name="40% - Énfasis3 3 2 3 3" xfId="12697" xr:uid="{00000000-0005-0000-0000-000096310000}"/>
    <cellStyle name="40% - Énfasis3 3 2 3 3 2" xfId="12698" xr:uid="{00000000-0005-0000-0000-000097310000}"/>
    <cellStyle name="40% - Énfasis3 3 2 3 3 2 2" xfId="12699" xr:uid="{00000000-0005-0000-0000-000098310000}"/>
    <cellStyle name="40% - Énfasis3 3 2 3 3 2 2 2" xfId="12700" xr:uid="{00000000-0005-0000-0000-000099310000}"/>
    <cellStyle name="40% - Énfasis3 3 2 3 3 2 2 2 2" xfId="12701" xr:uid="{00000000-0005-0000-0000-00009A310000}"/>
    <cellStyle name="40% - Énfasis3 3 2 3 3 2 2 3" xfId="12702" xr:uid="{00000000-0005-0000-0000-00009B310000}"/>
    <cellStyle name="40% - Énfasis3 3 2 3 3 2 2 4" xfId="12703" xr:uid="{00000000-0005-0000-0000-00009C310000}"/>
    <cellStyle name="40% - Énfasis3 3 2 3 3 2 3" xfId="12704" xr:uid="{00000000-0005-0000-0000-00009D310000}"/>
    <cellStyle name="40% - Énfasis3 3 2 3 3 2 3 2" xfId="12705" xr:uid="{00000000-0005-0000-0000-00009E310000}"/>
    <cellStyle name="40% - Énfasis3 3 2 3 3 2 4" xfId="12706" xr:uid="{00000000-0005-0000-0000-00009F310000}"/>
    <cellStyle name="40% - Énfasis3 3 2 3 3 2 5" xfId="12707" xr:uid="{00000000-0005-0000-0000-0000A0310000}"/>
    <cellStyle name="40% - Énfasis3 3 2 3 3 3" xfId="12708" xr:uid="{00000000-0005-0000-0000-0000A1310000}"/>
    <cellStyle name="40% - Énfasis3 3 2 3 3 3 2" xfId="12709" xr:uid="{00000000-0005-0000-0000-0000A2310000}"/>
    <cellStyle name="40% - Énfasis3 3 2 3 3 3 2 2" xfId="12710" xr:uid="{00000000-0005-0000-0000-0000A3310000}"/>
    <cellStyle name="40% - Énfasis3 3 2 3 3 3 3" xfId="12711" xr:uid="{00000000-0005-0000-0000-0000A4310000}"/>
    <cellStyle name="40% - Énfasis3 3 2 3 3 3 3 2" xfId="12712" xr:uid="{00000000-0005-0000-0000-0000A5310000}"/>
    <cellStyle name="40% - Énfasis3 3 2 3 3 3 4" xfId="12713" xr:uid="{00000000-0005-0000-0000-0000A6310000}"/>
    <cellStyle name="40% - Énfasis3 3 2 3 3 3 5" xfId="12714" xr:uid="{00000000-0005-0000-0000-0000A7310000}"/>
    <cellStyle name="40% - Énfasis3 3 2 3 3 4" xfId="12715" xr:uid="{00000000-0005-0000-0000-0000A8310000}"/>
    <cellStyle name="40% - Énfasis3 3 2 3 3 4 2" xfId="12716" xr:uid="{00000000-0005-0000-0000-0000A9310000}"/>
    <cellStyle name="40% - Énfasis3 3 2 3 3 5" xfId="12717" xr:uid="{00000000-0005-0000-0000-0000AA310000}"/>
    <cellStyle name="40% - Énfasis3 3 2 3 3 5 2" xfId="12718" xr:uid="{00000000-0005-0000-0000-0000AB310000}"/>
    <cellStyle name="40% - Énfasis3 3 2 3 3 6" xfId="12719" xr:uid="{00000000-0005-0000-0000-0000AC310000}"/>
    <cellStyle name="40% - Énfasis3 3 2 3 3 7" xfId="12720" xr:uid="{00000000-0005-0000-0000-0000AD310000}"/>
    <cellStyle name="40% - Énfasis3 3 2 3 4" xfId="12721" xr:uid="{00000000-0005-0000-0000-0000AE310000}"/>
    <cellStyle name="40% - Énfasis3 3 2 3 4 2" xfId="12722" xr:uid="{00000000-0005-0000-0000-0000AF310000}"/>
    <cellStyle name="40% - Énfasis3 3 2 3 4 2 2" xfId="12723" xr:uid="{00000000-0005-0000-0000-0000B0310000}"/>
    <cellStyle name="40% - Énfasis3 3 2 3 4 2 2 2" xfId="12724" xr:uid="{00000000-0005-0000-0000-0000B1310000}"/>
    <cellStyle name="40% - Énfasis3 3 2 3 4 2 3" xfId="12725" xr:uid="{00000000-0005-0000-0000-0000B2310000}"/>
    <cellStyle name="40% - Énfasis3 3 2 3 4 2 4" xfId="12726" xr:uid="{00000000-0005-0000-0000-0000B3310000}"/>
    <cellStyle name="40% - Énfasis3 3 2 3 4 3" xfId="12727" xr:uid="{00000000-0005-0000-0000-0000B4310000}"/>
    <cellStyle name="40% - Énfasis3 3 2 3 4 3 2" xfId="12728" xr:uid="{00000000-0005-0000-0000-0000B5310000}"/>
    <cellStyle name="40% - Énfasis3 3 2 3 4 4" xfId="12729" xr:uid="{00000000-0005-0000-0000-0000B6310000}"/>
    <cellStyle name="40% - Énfasis3 3 2 3 4 5" xfId="12730" xr:uid="{00000000-0005-0000-0000-0000B7310000}"/>
    <cellStyle name="40% - Énfasis3 3 2 3 5" xfId="12731" xr:uid="{00000000-0005-0000-0000-0000B8310000}"/>
    <cellStyle name="40% - Énfasis3 3 2 3 5 2" xfId="12732" xr:uid="{00000000-0005-0000-0000-0000B9310000}"/>
    <cellStyle name="40% - Énfasis3 3 2 3 5 2 2" xfId="12733" xr:uid="{00000000-0005-0000-0000-0000BA310000}"/>
    <cellStyle name="40% - Énfasis3 3 2 3 5 3" xfId="12734" xr:uid="{00000000-0005-0000-0000-0000BB310000}"/>
    <cellStyle name="40% - Énfasis3 3 2 3 5 3 2" xfId="12735" xr:uid="{00000000-0005-0000-0000-0000BC310000}"/>
    <cellStyle name="40% - Énfasis3 3 2 3 5 4" xfId="12736" xr:uid="{00000000-0005-0000-0000-0000BD310000}"/>
    <cellStyle name="40% - Énfasis3 3 2 3 5 5" xfId="12737" xr:uid="{00000000-0005-0000-0000-0000BE310000}"/>
    <cellStyle name="40% - Énfasis3 3 2 3 6" xfId="12738" xr:uid="{00000000-0005-0000-0000-0000BF310000}"/>
    <cellStyle name="40% - Énfasis3 3 2 3 6 2" xfId="12739" xr:uid="{00000000-0005-0000-0000-0000C0310000}"/>
    <cellStyle name="40% - Énfasis3 3 2 3 7" xfId="12740" xr:uid="{00000000-0005-0000-0000-0000C1310000}"/>
    <cellStyle name="40% - Énfasis3 3 2 3 7 2" xfId="12741" xr:uid="{00000000-0005-0000-0000-0000C2310000}"/>
    <cellStyle name="40% - Énfasis3 3 2 3 8" xfId="12742" xr:uid="{00000000-0005-0000-0000-0000C3310000}"/>
    <cellStyle name="40% - Énfasis3 3 2 3 9" xfId="12743" xr:uid="{00000000-0005-0000-0000-0000C4310000}"/>
    <cellStyle name="40% - Énfasis3 3 2 4" xfId="12744" xr:uid="{00000000-0005-0000-0000-0000C5310000}"/>
    <cellStyle name="40% - Énfasis3 3 2 4 2" xfId="12745" xr:uid="{00000000-0005-0000-0000-0000C6310000}"/>
    <cellStyle name="40% - Énfasis3 3 2 4 2 2" xfId="12746" xr:uid="{00000000-0005-0000-0000-0000C7310000}"/>
    <cellStyle name="40% - Énfasis3 3 2 4 2 2 2" xfId="12747" xr:uid="{00000000-0005-0000-0000-0000C8310000}"/>
    <cellStyle name="40% - Énfasis3 3 2 4 2 2 2 2" xfId="12748" xr:uid="{00000000-0005-0000-0000-0000C9310000}"/>
    <cellStyle name="40% - Énfasis3 3 2 4 2 2 2 2 2" xfId="12749" xr:uid="{00000000-0005-0000-0000-0000CA310000}"/>
    <cellStyle name="40% - Énfasis3 3 2 4 2 2 2 3" xfId="12750" xr:uid="{00000000-0005-0000-0000-0000CB310000}"/>
    <cellStyle name="40% - Énfasis3 3 2 4 2 2 2 4" xfId="12751" xr:uid="{00000000-0005-0000-0000-0000CC310000}"/>
    <cellStyle name="40% - Énfasis3 3 2 4 2 2 3" xfId="12752" xr:uid="{00000000-0005-0000-0000-0000CD310000}"/>
    <cellStyle name="40% - Énfasis3 3 2 4 2 2 3 2" xfId="12753" xr:uid="{00000000-0005-0000-0000-0000CE310000}"/>
    <cellStyle name="40% - Énfasis3 3 2 4 2 2 4" xfId="12754" xr:uid="{00000000-0005-0000-0000-0000CF310000}"/>
    <cellStyle name="40% - Énfasis3 3 2 4 2 2 5" xfId="12755" xr:uid="{00000000-0005-0000-0000-0000D0310000}"/>
    <cellStyle name="40% - Énfasis3 3 2 4 2 3" xfId="12756" xr:uid="{00000000-0005-0000-0000-0000D1310000}"/>
    <cellStyle name="40% - Énfasis3 3 2 4 2 3 2" xfId="12757" xr:uid="{00000000-0005-0000-0000-0000D2310000}"/>
    <cellStyle name="40% - Énfasis3 3 2 4 2 3 2 2" xfId="12758" xr:uid="{00000000-0005-0000-0000-0000D3310000}"/>
    <cellStyle name="40% - Énfasis3 3 2 4 2 3 3" xfId="12759" xr:uid="{00000000-0005-0000-0000-0000D4310000}"/>
    <cellStyle name="40% - Énfasis3 3 2 4 2 3 3 2" xfId="12760" xr:uid="{00000000-0005-0000-0000-0000D5310000}"/>
    <cellStyle name="40% - Énfasis3 3 2 4 2 3 4" xfId="12761" xr:uid="{00000000-0005-0000-0000-0000D6310000}"/>
    <cellStyle name="40% - Énfasis3 3 2 4 2 3 5" xfId="12762" xr:uid="{00000000-0005-0000-0000-0000D7310000}"/>
    <cellStyle name="40% - Énfasis3 3 2 4 2 4" xfId="12763" xr:uid="{00000000-0005-0000-0000-0000D8310000}"/>
    <cellStyle name="40% - Énfasis3 3 2 4 2 4 2" xfId="12764" xr:uid="{00000000-0005-0000-0000-0000D9310000}"/>
    <cellStyle name="40% - Énfasis3 3 2 4 2 5" xfId="12765" xr:uid="{00000000-0005-0000-0000-0000DA310000}"/>
    <cellStyle name="40% - Énfasis3 3 2 4 2 5 2" xfId="12766" xr:uid="{00000000-0005-0000-0000-0000DB310000}"/>
    <cellStyle name="40% - Énfasis3 3 2 4 2 6" xfId="12767" xr:uid="{00000000-0005-0000-0000-0000DC310000}"/>
    <cellStyle name="40% - Énfasis3 3 2 4 2 7" xfId="12768" xr:uid="{00000000-0005-0000-0000-0000DD310000}"/>
    <cellStyle name="40% - Énfasis3 3 2 4 3" xfId="12769" xr:uid="{00000000-0005-0000-0000-0000DE310000}"/>
    <cellStyle name="40% - Énfasis3 3 2 4 3 2" xfId="12770" xr:uid="{00000000-0005-0000-0000-0000DF310000}"/>
    <cellStyle name="40% - Énfasis3 3 2 4 3 2 2" xfId="12771" xr:uid="{00000000-0005-0000-0000-0000E0310000}"/>
    <cellStyle name="40% - Énfasis3 3 2 4 3 2 2 2" xfId="12772" xr:uid="{00000000-0005-0000-0000-0000E1310000}"/>
    <cellStyle name="40% - Énfasis3 3 2 4 3 2 3" xfId="12773" xr:uid="{00000000-0005-0000-0000-0000E2310000}"/>
    <cellStyle name="40% - Énfasis3 3 2 4 3 2 4" xfId="12774" xr:uid="{00000000-0005-0000-0000-0000E3310000}"/>
    <cellStyle name="40% - Énfasis3 3 2 4 3 3" xfId="12775" xr:uid="{00000000-0005-0000-0000-0000E4310000}"/>
    <cellStyle name="40% - Énfasis3 3 2 4 3 3 2" xfId="12776" xr:uid="{00000000-0005-0000-0000-0000E5310000}"/>
    <cellStyle name="40% - Énfasis3 3 2 4 3 4" xfId="12777" xr:uid="{00000000-0005-0000-0000-0000E6310000}"/>
    <cellStyle name="40% - Énfasis3 3 2 4 3 5" xfId="12778" xr:uid="{00000000-0005-0000-0000-0000E7310000}"/>
    <cellStyle name="40% - Énfasis3 3 2 4 4" xfId="12779" xr:uid="{00000000-0005-0000-0000-0000E8310000}"/>
    <cellStyle name="40% - Énfasis3 3 2 4 4 2" xfId="12780" xr:uid="{00000000-0005-0000-0000-0000E9310000}"/>
    <cellStyle name="40% - Énfasis3 3 2 4 4 2 2" xfId="12781" xr:uid="{00000000-0005-0000-0000-0000EA310000}"/>
    <cellStyle name="40% - Énfasis3 3 2 4 4 3" xfId="12782" xr:uid="{00000000-0005-0000-0000-0000EB310000}"/>
    <cellStyle name="40% - Énfasis3 3 2 4 4 3 2" xfId="12783" xr:uid="{00000000-0005-0000-0000-0000EC310000}"/>
    <cellStyle name="40% - Énfasis3 3 2 4 4 4" xfId="12784" xr:uid="{00000000-0005-0000-0000-0000ED310000}"/>
    <cellStyle name="40% - Énfasis3 3 2 4 4 5" xfId="12785" xr:uid="{00000000-0005-0000-0000-0000EE310000}"/>
    <cellStyle name="40% - Énfasis3 3 2 4 5" xfId="12786" xr:uid="{00000000-0005-0000-0000-0000EF310000}"/>
    <cellStyle name="40% - Énfasis3 3 2 4 5 2" xfId="12787" xr:uid="{00000000-0005-0000-0000-0000F0310000}"/>
    <cellStyle name="40% - Énfasis3 3 2 4 6" xfId="12788" xr:uid="{00000000-0005-0000-0000-0000F1310000}"/>
    <cellStyle name="40% - Énfasis3 3 2 4 6 2" xfId="12789" xr:uid="{00000000-0005-0000-0000-0000F2310000}"/>
    <cellStyle name="40% - Énfasis3 3 2 4 7" xfId="12790" xr:uid="{00000000-0005-0000-0000-0000F3310000}"/>
    <cellStyle name="40% - Énfasis3 3 2 4 8" xfId="12791" xr:uid="{00000000-0005-0000-0000-0000F4310000}"/>
    <cellStyle name="40% - Énfasis3 3 2 5" xfId="12792" xr:uid="{00000000-0005-0000-0000-0000F5310000}"/>
    <cellStyle name="40% - Énfasis3 3 2 5 2" xfId="12793" xr:uid="{00000000-0005-0000-0000-0000F6310000}"/>
    <cellStyle name="40% - Énfasis3 3 2 5 2 2" xfId="12794" xr:uid="{00000000-0005-0000-0000-0000F7310000}"/>
    <cellStyle name="40% - Énfasis3 3 2 5 2 2 2" xfId="12795" xr:uid="{00000000-0005-0000-0000-0000F8310000}"/>
    <cellStyle name="40% - Énfasis3 3 2 5 2 2 2 2" xfId="12796" xr:uid="{00000000-0005-0000-0000-0000F9310000}"/>
    <cellStyle name="40% - Énfasis3 3 2 5 2 2 3" xfId="12797" xr:uid="{00000000-0005-0000-0000-0000FA310000}"/>
    <cellStyle name="40% - Énfasis3 3 2 5 2 2 4" xfId="12798" xr:uid="{00000000-0005-0000-0000-0000FB310000}"/>
    <cellStyle name="40% - Énfasis3 3 2 5 2 3" xfId="12799" xr:uid="{00000000-0005-0000-0000-0000FC310000}"/>
    <cellStyle name="40% - Énfasis3 3 2 5 2 3 2" xfId="12800" xr:uid="{00000000-0005-0000-0000-0000FD310000}"/>
    <cellStyle name="40% - Énfasis3 3 2 5 2 4" xfId="12801" xr:uid="{00000000-0005-0000-0000-0000FE310000}"/>
    <cellStyle name="40% - Énfasis3 3 2 5 2 5" xfId="12802" xr:uid="{00000000-0005-0000-0000-0000FF310000}"/>
    <cellStyle name="40% - Énfasis3 3 2 5 3" xfId="12803" xr:uid="{00000000-0005-0000-0000-000000320000}"/>
    <cellStyle name="40% - Énfasis3 3 2 5 3 2" xfId="12804" xr:uid="{00000000-0005-0000-0000-000001320000}"/>
    <cellStyle name="40% - Énfasis3 3 2 5 3 2 2" xfId="12805" xr:uid="{00000000-0005-0000-0000-000002320000}"/>
    <cellStyle name="40% - Énfasis3 3 2 5 3 3" xfId="12806" xr:uid="{00000000-0005-0000-0000-000003320000}"/>
    <cellStyle name="40% - Énfasis3 3 2 5 3 3 2" xfId="12807" xr:uid="{00000000-0005-0000-0000-000004320000}"/>
    <cellStyle name="40% - Énfasis3 3 2 5 3 4" xfId="12808" xr:uid="{00000000-0005-0000-0000-000005320000}"/>
    <cellStyle name="40% - Énfasis3 3 2 5 3 5" xfId="12809" xr:uid="{00000000-0005-0000-0000-000006320000}"/>
    <cellStyle name="40% - Énfasis3 3 2 5 4" xfId="12810" xr:uid="{00000000-0005-0000-0000-000007320000}"/>
    <cellStyle name="40% - Énfasis3 3 2 5 4 2" xfId="12811" xr:uid="{00000000-0005-0000-0000-000008320000}"/>
    <cellStyle name="40% - Énfasis3 3 2 5 5" xfId="12812" xr:uid="{00000000-0005-0000-0000-000009320000}"/>
    <cellStyle name="40% - Énfasis3 3 2 5 5 2" xfId="12813" xr:uid="{00000000-0005-0000-0000-00000A320000}"/>
    <cellStyle name="40% - Énfasis3 3 2 5 6" xfId="12814" xr:uid="{00000000-0005-0000-0000-00000B320000}"/>
    <cellStyle name="40% - Énfasis3 3 2 5 7" xfId="12815" xr:uid="{00000000-0005-0000-0000-00000C320000}"/>
    <cellStyle name="40% - Énfasis3 3 2 6" xfId="12816" xr:uid="{00000000-0005-0000-0000-00000D320000}"/>
    <cellStyle name="40% - Énfasis3 3 2 6 2" xfId="12817" xr:uid="{00000000-0005-0000-0000-00000E320000}"/>
    <cellStyle name="40% - Énfasis3 3 2 6 2 2" xfId="12818" xr:uid="{00000000-0005-0000-0000-00000F320000}"/>
    <cellStyle name="40% - Énfasis3 3 2 6 2 2 2" xfId="12819" xr:uid="{00000000-0005-0000-0000-000010320000}"/>
    <cellStyle name="40% - Énfasis3 3 2 6 2 3" xfId="12820" xr:uid="{00000000-0005-0000-0000-000011320000}"/>
    <cellStyle name="40% - Énfasis3 3 2 6 2 4" xfId="12821" xr:uid="{00000000-0005-0000-0000-000012320000}"/>
    <cellStyle name="40% - Énfasis3 3 2 6 3" xfId="12822" xr:uid="{00000000-0005-0000-0000-000013320000}"/>
    <cellStyle name="40% - Énfasis3 3 2 6 3 2" xfId="12823" xr:uid="{00000000-0005-0000-0000-000014320000}"/>
    <cellStyle name="40% - Énfasis3 3 2 6 4" xfId="12824" xr:uid="{00000000-0005-0000-0000-000015320000}"/>
    <cellStyle name="40% - Énfasis3 3 2 6 5" xfId="12825" xr:uid="{00000000-0005-0000-0000-000016320000}"/>
    <cellStyle name="40% - Énfasis3 3 2 7" xfId="12826" xr:uid="{00000000-0005-0000-0000-000017320000}"/>
    <cellStyle name="40% - Énfasis3 3 2 7 2" xfId="12827" xr:uid="{00000000-0005-0000-0000-000018320000}"/>
    <cellStyle name="40% - Énfasis3 3 2 7 2 2" xfId="12828" xr:uid="{00000000-0005-0000-0000-000019320000}"/>
    <cellStyle name="40% - Énfasis3 3 2 7 3" xfId="12829" xr:uid="{00000000-0005-0000-0000-00001A320000}"/>
    <cellStyle name="40% - Énfasis3 3 2 7 3 2" xfId="12830" xr:uid="{00000000-0005-0000-0000-00001B320000}"/>
    <cellStyle name="40% - Énfasis3 3 2 7 4" xfId="12831" xr:uid="{00000000-0005-0000-0000-00001C320000}"/>
    <cellStyle name="40% - Énfasis3 3 2 7 5" xfId="12832" xr:uid="{00000000-0005-0000-0000-00001D320000}"/>
    <cellStyle name="40% - Énfasis3 3 2 8" xfId="12833" xr:uid="{00000000-0005-0000-0000-00001E320000}"/>
    <cellStyle name="40% - Énfasis3 3 2 8 2" xfId="12834" xr:uid="{00000000-0005-0000-0000-00001F320000}"/>
    <cellStyle name="40% - Énfasis3 3 2 9" xfId="12835" xr:uid="{00000000-0005-0000-0000-000020320000}"/>
    <cellStyle name="40% - Énfasis3 3 2 9 2" xfId="12836" xr:uid="{00000000-0005-0000-0000-000021320000}"/>
    <cellStyle name="40% - Énfasis3 3 3" xfId="12837" xr:uid="{00000000-0005-0000-0000-000022320000}"/>
    <cellStyle name="40% - Énfasis3 3 3 10" xfId="12838" xr:uid="{00000000-0005-0000-0000-000023320000}"/>
    <cellStyle name="40% - Énfasis3 3 3 2" xfId="12839" xr:uid="{00000000-0005-0000-0000-000024320000}"/>
    <cellStyle name="40% - Énfasis3 3 3 2 2" xfId="12840" xr:uid="{00000000-0005-0000-0000-000025320000}"/>
    <cellStyle name="40% - Énfasis3 3 3 2 2 2" xfId="12841" xr:uid="{00000000-0005-0000-0000-000026320000}"/>
    <cellStyle name="40% - Énfasis3 3 3 2 2 2 2" xfId="12842" xr:uid="{00000000-0005-0000-0000-000027320000}"/>
    <cellStyle name="40% - Énfasis3 3 3 2 2 2 2 2" xfId="12843" xr:uid="{00000000-0005-0000-0000-000028320000}"/>
    <cellStyle name="40% - Énfasis3 3 3 2 2 2 2 2 2" xfId="12844" xr:uid="{00000000-0005-0000-0000-000029320000}"/>
    <cellStyle name="40% - Énfasis3 3 3 2 2 2 2 2 2 2" xfId="12845" xr:uid="{00000000-0005-0000-0000-00002A320000}"/>
    <cellStyle name="40% - Énfasis3 3 3 2 2 2 2 2 3" xfId="12846" xr:uid="{00000000-0005-0000-0000-00002B320000}"/>
    <cellStyle name="40% - Énfasis3 3 3 2 2 2 2 2 4" xfId="12847" xr:uid="{00000000-0005-0000-0000-00002C320000}"/>
    <cellStyle name="40% - Énfasis3 3 3 2 2 2 2 3" xfId="12848" xr:uid="{00000000-0005-0000-0000-00002D320000}"/>
    <cellStyle name="40% - Énfasis3 3 3 2 2 2 2 3 2" xfId="12849" xr:uid="{00000000-0005-0000-0000-00002E320000}"/>
    <cellStyle name="40% - Énfasis3 3 3 2 2 2 2 4" xfId="12850" xr:uid="{00000000-0005-0000-0000-00002F320000}"/>
    <cellStyle name="40% - Énfasis3 3 3 2 2 2 2 5" xfId="12851" xr:uid="{00000000-0005-0000-0000-000030320000}"/>
    <cellStyle name="40% - Énfasis3 3 3 2 2 2 3" xfId="12852" xr:uid="{00000000-0005-0000-0000-000031320000}"/>
    <cellStyle name="40% - Énfasis3 3 3 2 2 2 3 2" xfId="12853" xr:uid="{00000000-0005-0000-0000-000032320000}"/>
    <cellStyle name="40% - Énfasis3 3 3 2 2 2 3 2 2" xfId="12854" xr:uid="{00000000-0005-0000-0000-000033320000}"/>
    <cellStyle name="40% - Énfasis3 3 3 2 2 2 3 3" xfId="12855" xr:uid="{00000000-0005-0000-0000-000034320000}"/>
    <cellStyle name="40% - Énfasis3 3 3 2 2 2 3 4" xfId="12856" xr:uid="{00000000-0005-0000-0000-000035320000}"/>
    <cellStyle name="40% - Énfasis3 3 3 2 2 2 4" xfId="12857" xr:uid="{00000000-0005-0000-0000-000036320000}"/>
    <cellStyle name="40% - Énfasis3 3 3 2 2 2 4 2" xfId="12858" xr:uid="{00000000-0005-0000-0000-000037320000}"/>
    <cellStyle name="40% - Énfasis3 3 3 2 2 2 5" xfId="12859" xr:uid="{00000000-0005-0000-0000-000038320000}"/>
    <cellStyle name="40% - Énfasis3 3 3 2 2 2 6" xfId="12860" xr:uid="{00000000-0005-0000-0000-000039320000}"/>
    <cellStyle name="40% - Énfasis3 3 3 2 2 3" xfId="12861" xr:uid="{00000000-0005-0000-0000-00003A320000}"/>
    <cellStyle name="40% - Énfasis3 3 3 2 2 3 2" xfId="12862" xr:uid="{00000000-0005-0000-0000-00003B320000}"/>
    <cellStyle name="40% - Énfasis3 3 3 2 2 3 2 2" xfId="12863" xr:uid="{00000000-0005-0000-0000-00003C320000}"/>
    <cellStyle name="40% - Énfasis3 3 3 2 2 3 2 2 2" xfId="12864" xr:uid="{00000000-0005-0000-0000-00003D320000}"/>
    <cellStyle name="40% - Énfasis3 3 3 2 2 3 2 3" xfId="12865" xr:uid="{00000000-0005-0000-0000-00003E320000}"/>
    <cellStyle name="40% - Énfasis3 3 3 2 2 3 2 4" xfId="12866" xr:uid="{00000000-0005-0000-0000-00003F320000}"/>
    <cellStyle name="40% - Énfasis3 3 3 2 2 3 3" xfId="12867" xr:uid="{00000000-0005-0000-0000-000040320000}"/>
    <cellStyle name="40% - Énfasis3 3 3 2 2 3 3 2" xfId="12868" xr:uid="{00000000-0005-0000-0000-000041320000}"/>
    <cellStyle name="40% - Énfasis3 3 3 2 2 3 4" xfId="12869" xr:uid="{00000000-0005-0000-0000-000042320000}"/>
    <cellStyle name="40% - Énfasis3 3 3 2 2 3 5" xfId="12870" xr:uid="{00000000-0005-0000-0000-000043320000}"/>
    <cellStyle name="40% - Énfasis3 3 3 2 2 4" xfId="12871" xr:uid="{00000000-0005-0000-0000-000044320000}"/>
    <cellStyle name="40% - Énfasis3 3 3 2 2 4 2" xfId="12872" xr:uid="{00000000-0005-0000-0000-000045320000}"/>
    <cellStyle name="40% - Énfasis3 3 3 2 2 4 2 2" xfId="12873" xr:uid="{00000000-0005-0000-0000-000046320000}"/>
    <cellStyle name="40% - Énfasis3 3 3 2 2 4 3" xfId="12874" xr:uid="{00000000-0005-0000-0000-000047320000}"/>
    <cellStyle name="40% - Énfasis3 3 3 2 2 4 4" xfId="12875" xr:uid="{00000000-0005-0000-0000-000048320000}"/>
    <cellStyle name="40% - Énfasis3 3 3 2 2 5" xfId="12876" xr:uid="{00000000-0005-0000-0000-000049320000}"/>
    <cellStyle name="40% - Énfasis3 3 3 2 2 5 2" xfId="12877" xr:uid="{00000000-0005-0000-0000-00004A320000}"/>
    <cellStyle name="40% - Énfasis3 3 3 2 2 6" xfId="12878" xr:uid="{00000000-0005-0000-0000-00004B320000}"/>
    <cellStyle name="40% - Énfasis3 3 3 2 2 7" xfId="12879" xr:uid="{00000000-0005-0000-0000-00004C320000}"/>
    <cellStyle name="40% - Énfasis3 3 3 2 3" xfId="12880" xr:uid="{00000000-0005-0000-0000-00004D320000}"/>
    <cellStyle name="40% - Énfasis3 3 3 2 3 2" xfId="12881" xr:uid="{00000000-0005-0000-0000-00004E320000}"/>
    <cellStyle name="40% - Énfasis3 3 3 2 3 2 2" xfId="12882" xr:uid="{00000000-0005-0000-0000-00004F320000}"/>
    <cellStyle name="40% - Énfasis3 3 3 2 3 2 2 2" xfId="12883" xr:uid="{00000000-0005-0000-0000-000050320000}"/>
    <cellStyle name="40% - Énfasis3 3 3 2 3 2 2 2 2" xfId="12884" xr:uid="{00000000-0005-0000-0000-000051320000}"/>
    <cellStyle name="40% - Énfasis3 3 3 2 3 2 2 3" xfId="12885" xr:uid="{00000000-0005-0000-0000-000052320000}"/>
    <cellStyle name="40% - Énfasis3 3 3 2 3 2 2 4" xfId="12886" xr:uid="{00000000-0005-0000-0000-000053320000}"/>
    <cellStyle name="40% - Énfasis3 3 3 2 3 2 3" xfId="12887" xr:uid="{00000000-0005-0000-0000-000054320000}"/>
    <cellStyle name="40% - Énfasis3 3 3 2 3 2 3 2" xfId="12888" xr:uid="{00000000-0005-0000-0000-000055320000}"/>
    <cellStyle name="40% - Énfasis3 3 3 2 3 2 4" xfId="12889" xr:uid="{00000000-0005-0000-0000-000056320000}"/>
    <cellStyle name="40% - Énfasis3 3 3 2 3 2 5" xfId="12890" xr:uid="{00000000-0005-0000-0000-000057320000}"/>
    <cellStyle name="40% - Énfasis3 3 3 2 3 3" xfId="12891" xr:uid="{00000000-0005-0000-0000-000058320000}"/>
    <cellStyle name="40% - Énfasis3 3 3 2 3 3 2" xfId="12892" xr:uid="{00000000-0005-0000-0000-000059320000}"/>
    <cellStyle name="40% - Énfasis3 3 3 2 3 3 2 2" xfId="12893" xr:uid="{00000000-0005-0000-0000-00005A320000}"/>
    <cellStyle name="40% - Énfasis3 3 3 2 3 3 3" xfId="12894" xr:uid="{00000000-0005-0000-0000-00005B320000}"/>
    <cellStyle name="40% - Énfasis3 3 3 2 3 3 3 2" xfId="12895" xr:uid="{00000000-0005-0000-0000-00005C320000}"/>
    <cellStyle name="40% - Énfasis3 3 3 2 3 3 4" xfId="12896" xr:uid="{00000000-0005-0000-0000-00005D320000}"/>
    <cellStyle name="40% - Énfasis3 3 3 2 3 3 5" xfId="12897" xr:uid="{00000000-0005-0000-0000-00005E320000}"/>
    <cellStyle name="40% - Énfasis3 3 3 2 3 4" xfId="12898" xr:uid="{00000000-0005-0000-0000-00005F320000}"/>
    <cellStyle name="40% - Énfasis3 3 3 2 3 4 2" xfId="12899" xr:uid="{00000000-0005-0000-0000-000060320000}"/>
    <cellStyle name="40% - Énfasis3 3 3 2 3 5" xfId="12900" xr:uid="{00000000-0005-0000-0000-000061320000}"/>
    <cellStyle name="40% - Énfasis3 3 3 2 3 5 2" xfId="12901" xr:uid="{00000000-0005-0000-0000-000062320000}"/>
    <cellStyle name="40% - Énfasis3 3 3 2 3 6" xfId="12902" xr:uid="{00000000-0005-0000-0000-000063320000}"/>
    <cellStyle name="40% - Énfasis3 3 3 2 3 7" xfId="12903" xr:uid="{00000000-0005-0000-0000-000064320000}"/>
    <cellStyle name="40% - Énfasis3 3 3 2 4" xfId="12904" xr:uid="{00000000-0005-0000-0000-000065320000}"/>
    <cellStyle name="40% - Énfasis3 3 3 2 4 2" xfId="12905" xr:uid="{00000000-0005-0000-0000-000066320000}"/>
    <cellStyle name="40% - Énfasis3 3 3 2 4 2 2" xfId="12906" xr:uid="{00000000-0005-0000-0000-000067320000}"/>
    <cellStyle name="40% - Énfasis3 3 3 2 4 2 2 2" xfId="12907" xr:uid="{00000000-0005-0000-0000-000068320000}"/>
    <cellStyle name="40% - Énfasis3 3 3 2 4 2 3" xfId="12908" xr:uid="{00000000-0005-0000-0000-000069320000}"/>
    <cellStyle name="40% - Énfasis3 3 3 2 4 2 4" xfId="12909" xr:uid="{00000000-0005-0000-0000-00006A320000}"/>
    <cellStyle name="40% - Énfasis3 3 3 2 4 3" xfId="12910" xr:uid="{00000000-0005-0000-0000-00006B320000}"/>
    <cellStyle name="40% - Énfasis3 3 3 2 4 3 2" xfId="12911" xr:uid="{00000000-0005-0000-0000-00006C320000}"/>
    <cellStyle name="40% - Énfasis3 3 3 2 4 4" xfId="12912" xr:uid="{00000000-0005-0000-0000-00006D320000}"/>
    <cellStyle name="40% - Énfasis3 3 3 2 4 5" xfId="12913" xr:uid="{00000000-0005-0000-0000-00006E320000}"/>
    <cellStyle name="40% - Énfasis3 3 3 2 5" xfId="12914" xr:uid="{00000000-0005-0000-0000-00006F320000}"/>
    <cellStyle name="40% - Énfasis3 3 3 2 5 2" xfId="12915" xr:uid="{00000000-0005-0000-0000-000070320000}"/>
    <cellStyle name="40% - Énfasis3 3 3 2 5 2 2" xfId="12916" xr:uid="{00000000-0005-0000-0000-000071320000}"/>
    <cellStyle name="40% - Énfasis3 3 3 2 5 3" xfId="12917" xr:uid="{00000000-0005-0000-0000-000072320000}"/>
    <cellStyle name="40% - Énfasis3 3 3 2 5 3 2" xfId="12918" xr:uid="{00000000-0005-0000-0000-000073320000}"/>
    <cellStyle name="40% - Énfasis3 3 3 2 5 4" xfId="12919" xr:uid="{00000000-0005-0000-0000-000074320000}"/>
    <cellStyle name="40% - Énfasis3 3 3 2 5 5" xfId="12920" xr:uid="{00000000-0005-0000-0000-000075320000}"/>
    <cellStyle name="40% - Énfasis3 3 3 2 6" xfId="12921" xr:uid="{00000000-0005-0000-0000-000076320000}"/>
    <cellStyle name="40% - Énfasis3 3 3 2 6 2" xfId="12922" xr:uid="{00000000-0005-0000-0000-000077320000}"/>
    <cellStyle name="40% - Énfasis3 3 3 2 7" xfId="12923" xr:uid="{00000000-0005-0000-0000-000078320000}"/>
    <cellStyle name="40% - Énfasis3 3 3 2 7 2" xfId="12924" xr:uid="{00000000-0005-0000-0000-000079320000}"/>
    <cellStyle name="40% - Énfasis3 3 3 2 8" xfId="12925" xr:uid="{00000000-0005-0000-0000-00007A320000}"/>
    <cellStyle name="40% - Énfasis3 3 3 2 9" xfId="12926" xr:uid="{00000000-0005-0000-0000-00007B320000}"/>
    <cellStyle name="40% - Énfasis3 3 3 3" xfId="12927" xr:uid="{00000000-0005-0000-0000-00007C320000}"/>
    <cellStyle name="40% - Énfasis3 3 3 3 2" xfId="12928" xr:uid="{00000000-0005-0000-0000-00007D320000}"/>
    <cellStyle name="40% - Énfasis3 3 3 3 2 2" xfId="12929" xr:uid="{00000000-0005-0000-0000-00007E320000}"/>
    <cellStyle name="40% - Énfasis3 3 3 3 2 2 2" xfId="12930" xr:uid="{00000000-0005-0000-0000-00007F320000}"/>
    <cellStyle name="40% - Énfasis3 3 3 3 2 2 2 2" xfId="12931" xr:uid="{00000000-0005-0000-0000-000080320000}"/>
    <cellStyle name="40% - Énfasis3 3 3 3 2 2 2 2 2" xfId="12932" xr:uid="{00000000-0005-0000-0000-000081320000}"/>
    <cellStyle name="40% - Énfasis3 3 3 3 2 2 2 3" xfId="12933" xr:uid="{00000000-0005-0000-0000-000082320000}"/>
    <cellStyle name="40% - Énfasis3 3 3 3 2 2 2 4" xfId="12934" xr:uid="{00000000-0005-0000-0000-000083320000}"/>
    <cellStyle name="40% - Énfasis3 3 3 3 2 2 3" xfId="12935" xr:uid="{00000000-0005-0000-0000-000084320000}"/>
    <cellStyle name="40% - Énfasis3 3 3 3 2 2 3 2" xfId="12936" xr:uid="{00000000-0005-0000-0000-000085320000}"/>
    <cellStyle name="40% - Énfasis3 3 3 3 2 2 4" xfId="12937" xr:uid="{00000000-0005-0000-0000-000086320000}"/>
    <cellStyle name="40% - Énfasis3 3 3 3 2 2 5" xfId="12938" xr:uid="{00000000-0005-0000-0000-000087320000}"/>
    <cellStyle name="40% - Énfasis3 3 3 3 2 3" xfId="12939" xr:uid="{00000000-0005-0000-0000-000088320000}"/>
    <cellStyle name="40% - Énfasis3 3 3 3 2 3 2" xfId="12940" xr:uid="{00000000-0005-0000-0000-000089320000}"/>
    <cellStyle name="40% - Énfasis3 3 3 3 2 3 2 2" xfId="12941" xr:uid="{00000000-0005-0000-0000-00008A320000}"/>
    <cellStyle name="40% - Énfasis3 3 3 3 2 3 3" xfId="12942" xr:uid="{00000000-0005-0000-0000-00008B320000}"/>
    <cellStyle name="40% - Énfasis3 3 3 3 2 3 3 2" xfId="12943" xr:uid="{00000000-0005-0000-0000-00008C320000}"/>
    <cellStyle name="40% - Énfasis3 3 3 3 2 3 4" xfId="12944" xr:uid="{00000000-0005-0000-0000-00008D320000}"/>
    <cellStyle name="40% - Énfasis3 3 3 3 2 3 5" xfId="12945" xr:uid="{00000000-0005-0000-0000-00008E320000}"/>
    <cellStyle name="40% - Énfasis3 3 3 3 2 4" xfId="12946" xr:uid="{00000000-0005-0000-0000-00008F320000}"/>
    <cellStyle name="40% - Énfasis3 3 3 3 2 4 2" xfId="12947" xr:uid="{00000000-0005-0000-0000-000090320000}"/>
    <cellStyle name="40% - Énfasis3 3 3 3 2 5" xfId="12948" xr:uid="{00000000-0005-0000-0000-000091320000}"/>
    <cellStyle name="40% - Énfasis3 3 3 3 2 5 2" xfId="12949" xr:uid="{00000000-0005-0000-0000-000092320000}"/>
    <cellStyle name="40% - Énfasis3 3 3 3 2 6" xfId="12950" xr:uid="{00000000-0005-0000-0000-000093320000}"/>
    <cellStyle name="40% - Énfasis3 3 3 3 2 7" xfId="12951" xr:uid="{00000000-0005-0000-0000-000094320000}"/>
    <cellStyle name="40% - Énfasis3 3 3 3 3" xfId="12952" xr:uid="{00000000-0005-0000-0000-000095320000}"/>
    <cellStyle name="40% - Énfasis3 3 3 3 3 2" xfId="12953" xr:uid="{00000000-0005-0000-0000-000096320000}"/>
    <cellStyle name="40% - Énfasis3 3 3 3 3 2 2" xfId="12954" xr:uid="{00000000-0005-0000-0000-000097320000}"/>
    <cellStyle name="40% - Énfasis3 3 3 3 3 2 2 2" xfId="12955" xr:uid="{00000000-0005-0000-0000-000098320000}"/>
    <cellStyle name="40% - Énfasis3 3 3 3 3 2 3" xfId="12956" xr:uid="{00000000-0005-0000-0000-000099320000}"/>
    <cellStyle name="40% - Énfasis3 3 3 3 3 2 4" xfId="12957" xr:uid="{00000000-0005-0000-0000-00009A320000}"/>
    <cellStyle name="40% - Énfasis3 3 3 3 3 3" xfId="12958" xr:uid="{00000000-0005-0000-0000-00009B320000}"/>
    <cellStyle name="40% - Énfasis3 3 3 3 3 3 2" xfId="12959" xr:uid="{00000000-0005-0000-0000-00009C320000}"/>
    <cellStyle name="40% - Énfasis3 3 3 3 3 4" xfId="12960" xr:uid="{00000000-0005-0000-0000-00009D320000}"/>
    <cellStyle name="40% - Énfasis3 3 3 3 3 5" xfId="12961" xr:uid="{00000000-0005-0000-0000-00009E320000}"/>
    <cellStyle name="40% - Énfasis3 3 3 3 4" xfId="12962" xr:uid="{00000000-0005-0000-0000-00009F320000}"/>
    <cellStyle name="40% - Énfasis3 3 3 3 4 2" xfId="12963" xr:uid="{00000000-0005-0000-0000-0000A0320000}"/>
    <cellStyle name="40% - Énfasis3 3 3 3 4 2 2" xfId="12964" xr:uid="{00000000-0005-0000-0000-0000A1320000}"/>
    <cellStyle name="40% - Énfasis3 3 3 3 4 3" xfId="12965" xr:uid="{00000000-0005-0000-0000-0000A2320000}"/>
    <cellStyle name="40% - Énfasis3 3 3 3 4 3 2" xfId="12966" xr:uid="{00000000-0005-0000-0000-0000A3320000}"/>
    <cellStyle name="40% - Énfasis3 3 3 3 4 4" xfId="12967" xr:uid="{00000000-0005-0000-0000-0000A4320000}"/>
    <cellStyle name="40% - Énfasis3 3 3 3 4 5" xfId="12968" xr:uid="{00000000-0005-0000-0000-0000A5320000}"/>
    <cellStyle name="40% - Énfasis3 3 3 3 5" xfId="12969" xr:uid="{00000000-0005-0000-0000-0000A6320000}"/>
    <cellStyle name="40% - Énfasis3 3 3 3 5 2" xfId="12970" xr:uid="{00000000-0005-0000-0000-0000A7320000}"/>
    <cellStyle name="40% - Énfasis3 3 3 3 6" xfId="12971" xr:uid="{00000000-0005-0000-0000-0000A8320000}"/>
    <cellStyle name="40% - Énfasis3 3 3 3 6 2" xfId="12972" xr:uid="{00000000-0005-0000-0000-0000A9320000}"/>
    <cellStyle name="40% - Énfasis3 3 3 3 7" xfId="12973" xr:uid="{00000000-0005-0000-0000-0000AA320000}"/>
    <cellStyle name="40% - Énfasis3 3 3 3 8" xfId="12974" xr:uid="{00000000-0005-0000-0000-0000AB320000}"/>
    <cellStyle name="40% - Énfasis3 3 3 4" xfId="12975" xr:uid="{00000000-0005-0000-0000-0000AC320000}"/>
    <cellStyle name="40% - Énfasis3 3 3 4 2" xfId="12976" xr:uid="{00000000-0005-0000-0000-0000AD320000}"/>
    <cellStyle name="40% - Énfasis3 3 3 4 2 2" xfId="12977" xr:uid="{00000000-0005-0000-0000-0000AE320000}"/>
    <cellStyle name="40% - Énfasis3 3 3 4 2 2 2" xfId="12978" xr:uid="{00000000-0005-0000-0000-0000AF320000}"/>
    <cellStyle name="40% - Énfasis3 3 3 4 2 2 2 2" xfId="12979" xr:uid="{00000000-0005-0000-0000-0000B0320000}"/>
    <cellStyle name="40% - Énfasis3 3 3 4 2 2 3" xfId="12980" xr:uid="{00000000-0005-0000-0000-0000B1320000}"/>
    <cellStyle name="40% - Énfasis3 3 3 4 2 2 4" xfId="12981" xr:uid="{00000000-0005-0000-0000-0000B2320000}"/>
    <cellStyle name="40% - Énfasis3 3 3 4 2 3" xfId="12982" xr:uid="{00000000-0005-0000-0000-0000B3320000}"/>
    <cellStyle name="40% - Énfasis3 3 3 4 2 3 2" xfId="12983" xr:uid="{00000000-0005-0000-0000-0000B4320000}"/>
    <cellStyle name="40% - Énfasis3 3 3 4 2 4" xfId="12984" xr:uid="{00000000-0005-0000-0000-0000B5320000}"/>
    <cellStyle name="40% - Énfasis3 3 3 4 2 5" xfId="12985" xr:uid="{00000000-0005-0000-0000-0000B6320000}"/>
    <cellStyle name="40% - Énfasis3 3 3 4 3" xfId="12986" xr:uid="{00000000-0005-0000-0000-0000B7320000}"/>
    <cellStyle name="40% - Énfasis3 3 3 4 3 2" xfId="12987" xr:uid="{00000000-0005-0000-0000-0000B8320000}"/>
    <cellStyle name="40% - Énfasis3 3 3 4 3 2 2" xfId="12988" xr:uid="{00000000-0005-0000-0000-0000B9320000}"/>
    <cellStyle name="40% - Énfasis3 3 3 4 3 3" xfId="12989" xr:uid="{00000000-0005-0000-0000-0000BA320000}"/>
    <cellStyle name="40% - Énfasis3 3 3 4 3 3 2" xfId="12990" xr:uid="{00000000-0005-0000-0000-0000BB320000}"/>
    <cellStyle name="40% - Énfasis3 3 3 4 3 4" xfId="12991" xr:uid="{00000000-0005-0000-0000-0000BC320000}"/>
    <cellStyle name="40% - Énfasis3 3 3 4 3 5" xfId="12992" xr:uid="{00000000-0005-0000-0000-0000BD320000}"/>
    <cellStyle name="40% - Énfasis3 3 3 4 4" xfId="12993" xr:uid="{00000000-0005-0000-0000-0000BE320000}"/>
    <cellStyle name="40% - Énfasis3 3 3 4 4 2" xfId="12994" xr:uid="{00000000-0005-0000-0000-0000BF320000}"/>
    <cellStyle name="40% - Énfasis3 3 3 4 5" xfId="12995" xr:uid="{00000000-0005-0000-0000-0000C0320000}"/>
    <cellStyle name="40% - Énfasis3 3 3 4 5 2" xfId="12996" xr:uid="{00000000-0005-0000-0000-0000C1320000}"/>
    <cellStyle name="40% - Énfasis3 3 3 4 6" xfId="12997" xr:uid="{00000000-0005-0000-0000-0000C2320000}"/>
    <cellStyle name="40% - Énfasis3 3 3 4 7" xfId="12998" xr:uid="{00000000-0005-0000-0000-0000C3320000}"/>
    <cellStyle name="40% - Énfasis3 3 3 5" xfId="12999" xr:uid="{00000000-0005-0000-0000-0000C4320000}"/>
    <cellStyle name="40% - Énfasis3 3 3 5 2" xfId="13000" xr:uid="{00000000-0005-0000-0000-0000C5320000}"/>
    <cellStyle name="40% - Énfasis3 3 3 5 2 2" xfId="13001" xr:uid="{00000000-0005-0000-0000-0000C6320000}"/>
    <cellStyle name="40% - Énfasis3 3 3 5 2 2 2" xfId="13002" xr:uid="{00000000-0005-0000-0000-0000C7320000}"/>
    <cellStyle name="40% - Énfasis3 3 3 5 2 3" xfId="13003" xr:uid="{00000000-0005-0000-0000-0000C8320000}"/>
    <cellStyle name="40% - Énfasis3 3 3 5 2 4" xfId="13004" xr:uid="{00000000-0005-0000-0000-0000C9320000}"/>
    <cellStyle name="40% - Énfasis3 3 3 5 3" xfId="13005" xr:uid="{00000000-0005-0000-0000-0000CA320000}"/>
    <cellStyle name="40% - Énfasis3 3 3 5 3 2" xfId="13006" xr:uid="{00000000-0005-0000-0000-0000CB320000}"/>
    <cellStyle name="40% - Énfasis3 3 3 5 4" xfId="13007" xr:uid="{00000000-0005-0000-0000-0000CC320000}"/>
    <cellStyle name="40% - Énfasis3 3 3 5 5" xfId="13008" xr:uid="{00000000-0005-0000-0000-0000CD320000}"/>
    <cellStyle name="40% - Énfasis3 3 3 6" xfId="13009" xr:uid="{00000000-0005-0000-0000-0000CE320000}"/>
    <cellStyle name="40% - Énfasis3 3 3 6 2" xfId="13010" xr:uid="{00000000-0005-0000-0000-0000CF320000}"/>
    <cellStyle name="40% - Énfasis3 3 3 6 2 2" xfId="13011" xr:uid="{00000000-0005-0000-0000-0000D0320000}"/>
    <cellStyle name="40% - Énfasis3 3 3 6 3" xfId="13012" xr:uid="{00000000-0005-0000-0000-0000D1320000}"/>
    <cellStyle name="40% - Énfasis3 3 3 6 3 2" xfId="13013" xr:uid="{00000000-0005-0000-0000-0000D2320000}"/>
    <cellStyle name="40% - Énfasis3 3 3 6 4" xfId="13014" xr:uid="{00000000-0005-0000-0000-0000D3320000}"/>
    <cellStyle name="40% - Énfasis3 3 3 6 5" xfId="13015" xr:uid="{00000000-0005-0000-0000-0000D4320000}"/>
    <cellStyle name="40% - Énfasis3 3 3 7" xfId="13016" xr:uid="{00000000-0005-0000-0000-0000D5320000}"/>
    <cellStyle name="40% - Énfasis3 3 3 7 2" xfId="13017" xr:uid="{00000000-0005-0000-0000-0000D6320000}"/>
    <cellStyle name="40% - Énfasis3 3 3 8" xfId="13018" xr:uid="{00000000-0005-0000-0000-0000D7320000}"/>
    <cellStyle name="40% - Énfasis3 3 3 8 2" xfId="13019" xr:uid="{00000000-0005-0000-0000-0000D8320000}"/>
    <cellStyle name="40% - Énfasis3 3 3 9" xfId="13020" xr:uid="{00000000-0005-0000-0000-0000D9320000}"/>
    <cellStyle name="40% - Énfasis3 3 4" xfId="13021" xr:uid="{00000000-0005-0000-0000-0000DA320000}"/>
    <cellStyle name="40% - Énfasis3 3 4 2" xfId="13022" xr:uid="{00000000-0005-0000-0000-0000DB320000}"/>
    <cellStyle name="40% - Énfasis3 3 4 2 2" xfId="13023" xr:uid="{00000000-0005-0000-0000-0000DC320000}"/>
    <cellStyle name="40% - Énfasis3 3 4 2 2 2" xfId="13024" xr:uid="{00000000-0005-0000-0000-0000DD320000}"/>
    <cellStyle name="40% - Énfasis3 3 4 2 2 2 2" xfId="13025" xr:uid="{00000000-0005-0000-0000-0000DE320000}"/>
    <cellStyle name="40% - Énfasis3 3 4 2 2 2 2 2" xfId="13026" xr:uid="{00000000-0005-0000-0000-0000DF320000}"/>
    <cellStyle name="40% - Énfasis3 3 4 2 2 2 2 2 2" xfId="13027" xr:uid="{00000000-0005-0000-0000-0000E0320000}"/>
    <cellStyle name="40% - Énfasis3 3 4 2 2 2 2 3" xfId="13028" xr:uid="{00000000-0005-0000-0000-0000E1320000}"/>
    <cellStyle name="40% - Énfasis3 3 4 2 2 2 2 4" xfId="13029" xr:uid="{00000000-0005-0000-0000-0000E2320000}"/>
    <cellStyle name="40% - Énfasis3 3 4 2 2 2 3" xfId="13030" xr:uid="{00000000-0005-0000-0000-0000E3320000}"/>
    <cellStyle name="40% - Énfasis3 3 4 2 2 2 3 2" xfId="13031" xr:uid="{00000000-0005-0000-0000-0000E4320000}"/>
    <cellStyle name="40% - Énfasis3 3 4 2 2 2 4" xfId="13032" xr:uid="{00000000-0005-0000-0000-0000E5320000}"/>
    <cellStyle name="40% - Énfasis3 3 4 2 2 2 5" xfId="13033" xr:uid="{00000000-0005-0000-0000-0000E6320000}"/>
    <cellStyle name="40% - Énfasis3 3 4 2 2 3" xfId="13034" xr:uid="{00000000-0005-0000-0000-0000E7320000}"/>
    <cellStyle name="40% - Énfasis3 3 4 2 2 3 2" xfId="13035" xr:uid="{00000000-0005-0000-0000-0000E8320000}"/>
    <cellStyle name="40% - Énfasis3 3 4 2 2 3 2 2" xfId="13036" xr:uid="{00000000-0005-0000-0000-0000E9320000}"/>
    <cellStyle name="40% - Énfasis3 3 4 2 2 3 3" xfId="13037" xr:uid="{00000000-0005-0000-0000-0000EA320000}"/>
    <cellStyle name="40% - Énfasis3 3 4 2 2 3 4" xfId="13038" xr:uid="{00000000-0005-0000-0000-0000EB320000}"/>
    <cellStyle name="40% - Énfasis3 3 4 2 2 4" xfId="13039" xr:uid="{00000000-0005-0000-0000-0000EC320000}"/>
    <cellStyle name="40% - Énfasis3 3 4 2 2 4 2" xfId="13040" xr:uid="{00000000-0005-0000-0000-0000ED320000}"/>
    <cellStyle name="40% - Énfasis3 3 4 2 2 5" xfId="13041" xr:uid="{00000000-0005-0000-0000-0000EE320000}"/>
    <cellStyle name="40% - Énfasis3 3 4 2 2 6" xfId="13042" xr:uid="{00000000-0005-0000-0000-0000EF320000}"/>
    <cellStyle name="40% - Énfasis3 3 4 2 3" xfId="13043" xr:uid="{00000000-0005-0000-0000-0000F0320000}"/>
    <cellStyle name="40% - Énfasis3 3 4 2 3 2" xfId="13044" xr:uid="{00000000-0005-0000-0000-0000F1320000}"/>
    <cellStyle name="40% - Énfasis3 3 4 2 3 2 2" xfId="13045" xr:uid="{00000000-0005-0000-0000-0000F2320000}"/>
    <cellStyle name="40% - Énfasis3 3 4 2 3 2 2 2" xfId="13046" xr:uid="{00000000-0005-0000-0000-0000F3320000}"/>
    <cellStyle name="40% - Énfasis3 3 4 2 3 2 3" xfId="13047" xr:uid="{00000000-0005-0000-0000-0000F4320000}"/>
    <cellStyle name="40% - Énfasis3 3 4 2 3 2 4" xfId="13048" xr:uid="{00000000-0005-0000-0000-0000F5320000}"/>
    <cellStyle name="40% - Énfasis3 3 4 2 3 3" xfId="13049" xr:uid="{00000000-0005-0000-0000-0000F6320000}"/>
    <cellStyle name="40% - Énfasis3 3 4 2 3 3 2" xfId="13050" xr:uid="{00000000-0005-0000-0000-0000F7320000}"/>
    <cellStyle name="40% - Énfasis3 3 4 2 3 4" xfId="13051" xr:uid="{00000000-0005-0000-0000-0000F8320000}"/>
    <cellStyle name="40% - Énfasis3 3 4 2 3 5" xfId="13052" xr:uid="{00000000-0005-0000-0000-0000F9320000}"/>
    <cellStyle name="40% - Énfasis3 3 4 2 4" xfId="13053" xr:uid="{00000000-0005-0000-0000-0000FA320000}"/>
    <cellStyle name="40% - Énfasis3 3 4 2 4 2" xfId="13054" xr:uid="{00000000-0005-0000-0000-0000FB320000}"/>
    <cellStyle name="40% - Énfasis3 3 4 2 4 2 2" xfId="13055" xr:uid="{00000000-0005-0000-0000-0000FC320000}"/>
    <cellStyle name="40% - Énfasis3 3 4 2 4 3" xfId="13056" xr:uid="{00000000-0005-0000-0000-0000FD320000}"/>
    <cellStyle name="40% - Énfasis3 3 4 2 4 4" xfId="13057" xr:uid="{00000000-0005-0000-0000-0000FE320000}"/>
    <cellStyle name="40% - Énfasis3 3 4 2 5" xfId="13058" xr:uid="{00000000-0005-0000-0000-0000FF320000}"/>
    <cellStyle name="40% - Énfasis3 3 4 2 5 2" xfId="13059" xr:uid="{00000000-0005-0000-0000-000000330000}"/>
    <cellStyle name="40% - Énfasis3 3 4 2 6" xfId="13060" xr:uid="{00000000-0005-0000-0000-000001330000}"/>
    <cellStyle name="40% - Énfasis3 3 4 2 7" xfId="13061" xr:uid="{00000000-0005-0000-0000-000002330000}"/>
    <cellStyle name="40% - Énfasis3 3 4 3" xfId="13062" xr:uid="{00000000-0005-0000-0000-000003330000}"/>
    <cellStyle name="40% - Énfasis3 3 4 3 2" xfId="13063" xr:uid="{00000000-0005-0000-0000-000004330000}"/>
    <cellStyle name="40% - Énfasis3 3 4 3 2 2" xfId="13064" xr:uid="{00000000-0005-0000-0000-000005330000}"/>
    <cellStyle name="40% - Énfasis3 3 4 3 2 2 2" xfId="13065" xr:uid="{00000000-0005-0000-0000-000006330000}"/>
    <cellStyle name="40% - Énfasis3 3 4 3 2 2 2 2" xfId="13066" xr:uid="{00000000-0005-0000-0000-000007330000}"/>
    <cellStyle name="40% - Énfasis3 3 4 3 2 2 3" xfId="13067" xr:uid="{00000000-0005-0000-0000-000008330000}"/>
    <cellStyle name="40% - Énfasis3 3 4 3 2 2 4" xfId="13068" xr:uid="{00000000-0005-0000-0000-000009330000}"/>
    <cellStyle name="40% - Énfasis3 3 4 3 2 3" xfId="13069" xr:uid="{00000000-0005-0000-0000-00000A330000}"/>
    <cellStyle name="40% - Énfasis3 3 4 3 2 3 2" xfId="13070" xr:uid="{00000000-0005-0000-0000-00000B330000}"/>
    <cellStyle name="40% - Énfasis3 3 4 3 2 4" xfId="13071" xr:uid="{00000000-0005-0000-0000-00000C330000}"/>
    <cellStyle name="40% - Énfasis3 3 4 3 2 5" xfId="13072" xr:uid="{00000000-0005-0000-0000-00000D330000}"/>
    <cellStyle name="40% - Énfasis3 3 4 3 3" xfId="13073" xr:uid="{00000000-0005-0000-0000-00000E330000}"/>
    <cellStyle name="40% - Énfasis3 3 4 3 3 2" xfId="13074" xr:uid="{00000000-0005-0000-0000-00000F330000}"/>
    <cellStyle name="40% - Énfasis3 3 4 3 3 2 2" xfId="13075" xr:uid="{00000000-0005-0000-0000-000010330000}"/>
    <cellStyle name="40% - Énfasis3 3 4 3 3 3" xfId="13076" xr:uid="{00000000-0005-0000-0000-000011330000}"/>
    <cellStyle name="40% - Énfasis3 3 4 3 3 3 2" xfId="13077" xr:uid="{00000000-0005-0000-0000-000012330000}"/>
    <cellStyle name="40% - Énfasis3 3 4 3 3 4" xfId="13078" xr:uid="{00000000-0005-0000-0000-000013330000}"/>
    <cellStyle name="40% - Énfasis3 3 4 3 3 5" xfId="13079" xr:uid="{00000000-0005-0000-0000-000014330000}"/>
    <cellStyle name="40% - Énfasis3 3 4 3 4" xfId="13080" xr:uid="{00000000-0005-0000-0000-000015330000}"/>
    <cellStyle name="40% - Énfasis3 3 4 3 4 2" xfId="13081" xr:uid="{00000000-0005-0000-0000-000016330000}"/>
    <cellStyle name="40% - Énfasis3 3 4 3 5" xfId="13082" xr:uid="{00000000-0005-0000-0000-000017330000}"/>
    <cellStyle name="40% - Énfasis3 3 4 3 5 2" xfId="13083" xr:uid="{00000000-0005-0000-0000-000018330000}"/>
    <cellStyle name="40% - Énfasis3 3 4 3 6" xfId="13084" xr:uid="{00000000-0005-0000-0000-000019330000}"/>
    <cellStyle name="40% - Énfasis3 3 4 3 7" xfId="13085" xr:uid="{00000000-0005-0000-0000-00001A330000}"/>
    <cellStyle name="40% - Énfasis3 3 4 4" xfId="13086" xr:uid="{00000000-0005-0000-0000-00001B330000}"/>
    <cellStyle name="40% - Énfasis3 3 4 4 2" xfId="13087" xr:uid="{00000000-0005-0000-0000-00001C330000}"/>
    <cellStyle name="40% - Énfasis3 3 4 4 2 2" xfId="13088" xr:uid="{00000000-0005-0000-0000-00001D330000}"/>
    <cellStyle name="40% - Énfasis3 3 4 4 2 2 2" xfId="13089" xr:uid="{00000000-0005-0000-0000-00001E330000}"/>
    <cellStyle name="40% - Énfasis3 3 4 4 2 3" xfId="13090" xr:uid="{00000000-0005-0000-0000-00001F330000}"/>
    <cellStyle name="40% - Énfasis3 3 4 4 2 4" xfId="13091" xr:uid="{00000000-0005-0000-0000-000020330000}"/>
    <cellStyle name="40% - Énfasis3 3 4 4 3" xfId="13092" xr:uid="{00000000-0005-0000-0000-000021330000}"/>
    <cellStyle name="40% - Énfasis3 3 4 4 3 2" xfId="13093" xr:uid="{00000000-0005-0000-0000-000022330000}"/>
    <cellStyle name="40% - Énfasis3 3 4 4 4" xfId="13094" xr:uid="{00000000-0005-0000-0000-000023330000}"/>
    <cellStyle name="40% - Énfasis3 3 4 4 5" xfId="13095" xr:uid="{00000000-0005-0000-0000-000024330000}"/>
    <cellStyle name="40% - Énfasis3 3 4 5" xfId="13096" xr:uid="{00000000-0005-0000-0000-000025330000}"/>
    <cellStyle name="40% - Énfasis3 3 4 5 2" xfId="13097" xr:uid="{00000000-0005-0000-0000-000026330000}"/>
    <cellStyle name="40% - Énfasis3 3 4 5 2 2" xfId="13098" xr:uid="{00000000-0005-0000-0000-000027330000}"/>
    <cellStyle name="40% - Énfasis3 3 4 5 3" xfId="13099" xr:uid="{00000000-0005-0000-0000-000028330000}"/>
    <cellStyle name="40% - Énfasis3 3 4 5 3 2" xfId="13100" xr:uid="{00000000-0005-0000-0000-000029330000}"/>
    <cellStyle name="40% - Énfasis3 3 4 5 4" xfId="13101" xr:uid="{00000000-0005-0000-0000-00002A330000}"/>
    <cellStyle name="40% - Énfasis3 3 4 5 5" xfId="13102" xr:uid="{00000000-0005-0000-0000-00002B330000}"/>
    <cellStyle name="40% - Énfasis3 3 4 6" xfId="13103" xr:uid="{00000000-0005-0000-0000-00002C330000}"/>
    <cellStyle name="40% - Énfasis3 3 4 6 2" xfId="13104" xr:uid="{00000000-0005-0000-0000-00002D330000}"/>
    <cellStyle name="40% - Énfasis3 3 4 7" xfId="13105" xr:uid="{00000000-0005-0000-0000-00002E330000}"/>
    <cellStyle name="40% - Énfasis3 3 4 7 2" xfId="13106" xr:uid="{00000000-0005-0000-0000-00002F330000}"/>
    <cellStyle name="40% - Énfasis3 3 4 8" xfId="13107" xr:uid="{00000000-0005-0000-0000-000030330000}"/>
    <cellStyle name="40% - Énfasis3 3 4 9" xfId="13108" xr:uid="{00000000-0005-0000-0000-000031330000}"/>
    <cellStyle name="40% - Énfasis3 3 5" xfId="13109" xr:uid="{00000000-0005-0000-0000-000032330000}"/>
    <cellStyle name="40% - Énfasis3 3 5 2" xfId="13110" xr:uid="{00000000-0005-0000-0000-000033330000}"/>
    <cellStyle name="40% - Énfasis3 3 5 2 2" xfId="13111" xr:uid="{00000000-0005-0000-0000-000034330000}"/>
    <cellStyle name="40% - Énfasis3 3 5 2 2 2" xfId="13112" xr:uid="{00000000-0005-0000-0000-000035330000}"/>
    <cellStyle name="40% - Énfasis3 3 5 2 2 2 2" xfId="13113" xr:uid="{00000000-0005-0000-0000-000036330000}"/>
    <cellStyle name="40% - Énfasis3 3 5 2 2 2 2 2" xfId="13114" xr:uid="{00000000-0005-0000-0000-000037330000}"/>
    <cellStyle name="40% - Énfasis3 3 5 2 2 2 3" xfId="13115" xr:uid="{00000000-0005-0000-0000-000038330000}"/>
    <cellStyle name="40% - Énfasis3 3 5 2 2 2 4" xfId="13116" xr:uid="{00000000-0005-0000-0000-000039330000}"/>
    <cellStyle name="40% - Énfasis3 3 5 2 2 3" xfId="13117" xr:uid="{00000000-0005-0000-0000-00003A330000}"/>
    <cellStyle name="40% - Énfasis3 3 5 2 2 3 2" xfId="13118" xr:uid="{00000000-0005-0000-0000-00003B330000}"/>
    <cellStyle name="40% - Énfasis3 3 5 2 2 4" xfId="13119" xr:uid="{00000000-0005-0000-0000-00003C330000}"/>
    <cellStyle name="40% - Énfasis3 3 5 2 2 5" xfId="13120" xr:uid="{00000000-0005-0000-0000-00003D330000}"/>
    <cellStyle name="40% - Énfasis3 3 5 2 3" xfId="13121" xr:uid="{00000000-0005-0000-0000-00003E330000}"/>
    <cellStyle name="40% - Énfasis3 3 5 2 3 2" xfId="13122" xr:uid="{00000000-0005-0000-0000-00003F330000}"/>
    <cellStyle name="40% - Énfasis3 3 5 2 3 2 2" xfId="13123" xr:uid="{00000000-0005-0000-0000-000040330000}"/>
    <cellStyle name="40% - Énfasis3 3 5 2 3 3" xfId="13124" xr:uid="{00000000-0005-0000-0000-000041330000}"/>
    <cellStyle name="40% - Énfasis3 3 5 2 3 3 2" xfId="13125" xr:uid="{00000000-0005-0000-0000-000042330000}"/>
    <cellStyle name="40% - Énfasis3 3 5 2 3 4" xfId="13126" xr:uid="{00000000-0005-0000-0000-000043330000}"/>
    <cellStyle name="40% - Énfasis3 3 5 2 3 5" xfId="13127" xr:uid="{00000000-0005-0000-0000-000044330000}"/>
    <cellStyle name="40% - Énfasis3 3 5 2 4" xfId="13128" xr:uid="{00000000-0005-0000-0000-000045330000}"/>
    <cellStyle name="40% - Énfasis3 3 5 2 4 2" xfId="13129" xr:uid="{00000000-0005-0000-0000-000046330000}"/>
    <cellStyle name="40% - Énfasis3 3 5 2 5" xfId="13130" xr:uid="{00000000-0005-0000-0000-000047330000}"/>
    <cellStyle name="40% - Énfasis3 3 5 2 5 2" xfId="13131" xr:uid="{00000000-0005-0000-0000-000048330000}"/>
    <cellStyle name="40% - Énfasis3 3 5 2 6" xfId="13132" xr:uid="{00000000-0005-0000-0000-000049330000}"/>
    <cellStyle name="40% - Énfasis3 3 5 2 7" xfId="13133" xr:uid="{00000000-0005-0000-0000-00004A330000}"/>
    <cellStyle name="40% - Énfasis3 3 5 3" xfId="13134" xr:uid="{00000000-0005-0000-0000-00004B330000}"/>
    <cellStyle name="40% - Énfasis3 3 5 3 2" xfId="13135" xr:uid="{00000000-0005-0000-0000-00004C330000}"/>
    <cellStyle name="40% - Énfasis3 3 5 3 2 2" xfId="13136" xr:uid="{00000000-0005-0000-0000-00004D330000}"/>
    <cellStyle name="40% - Énfasis3 3 5 3 2 2 2" xfId="13137" xr:uid="{00000000-0005-0000-0000-00004E330000}"/>
    <cellStyle name="40% - Énfasis3 3 5 3 2 3" xfId="13138" xr:uid="{00000000-0005-0000-0000-00004F330000}"/>
    <cellStyle name="40% - Énfasis3 3 5 3 2 4" xfId="13139" xr:uid="{00000000-0005-0000-0000-000050330000}"/>
    <cellStyle name="40% - Énfasis3 3 5 3 3" xfId="13140" xr:uid="{00000000-0005-0000-0000-000051330000}"/>
    <cellStyle name="40% - Énfasis3 3 5 3 3 2" xfId="13141" xr:uid="{00000000-0005-0000-0000-000052330000}"/>
    <cellStyle name="40% - Énfasis3 3 5 3 4" xfId="13142" xr:uid="{00000000-0005-0000-0000-000053330000}"/>
    <cellStyle name="40% - Énfasis3 3 5 3 5" xfId="13143" xr:uid="{00000000-0005-0000-0000-000054330000}"/>
    <cellStyle name="40% - Énfasis3 3 5 4" xfId="13144" xr:uid="{00000000-0005-0000-0000-000055330000}"/>
    <cellStyle name="40% - Énfasis3 3 5 4 2" xfId="13145" xr:uid="{00000000-0005-0000-0000-000056330000}"/>
    <cellStyle name="40% - Énfasis3 3 5 4 2 2" xfId="13146" xr:uid="{00000000-0005-0000-0000-000057330000}"/>
    <cellStyle name="40% - Énfasis3 3 5 4 3" xfId="13147" xr:uid="{00000000-0005-0000-0000-000058330000}"/>
    <cellStyle name="40% - Énfasis3 3 5 4 3 2" xfId="13148" xr:uid="{00000000-0005-0000-0000-000059330000}"/>
    <cellStyle name="40% - Énfasis3 3 5 4 4" xfId="13149" xr:uid="{00000000-0005-0000-0000-00005A330000}"/>
    <cellStyle name="40% - Énfasis3 3 5 4 5" xfId="13150" xr:uid="{00000000-0005-0000-0000-00005B330000}"/>
    <cellStyle name="40% - Énfasis3 3 5 5" xfId="13151" xr:uid="{00000000-0005-0000-0000-00005C330000}"/>
    <cellStyle name="40% - Énfasis3 3 5 5 2" xfId="13152" xr:uid="{00000000-0005-0000-0000-00005D330000}"/>
    <cellStyle name="40% - Énfasis3 3 5 6" xfId="13153" xr:uid="{00000000-0005-0000-0000-00005E330000}"/>
    <cellStyle name="40% - Énfasis3 3 5 6 2" xfId="13154" xr:uid="{00000000-0005-0000-0000-00005F330000}"/>
    <cellStyle name="40% - Énfasis3 3 5 7" xfId="13155" xr:uid="{00000000-0005-0000-0000-000060330000}"/>
    <cellStyle name="40% - Énfasis3 3 5 8" xfId="13156" xr:uid="{00000000-0005-0000-0000-000061330000}"/>
    <cellStyle name="40% - Énfasis3 3 6" xfId="13157" xr:uid="{00000000-0005-0000-0000-000062330000}"/>
    <cellStyle name="40% - Énfasis3 3 6 2" xfId="13158" xr:uid="{00000000-0005-0000-0000-000063330000}"/>
    <cellStyle name="40% - Énfasis3 3 6 2 2" xfId="13159" xr:uid="{00000000-0005-0000-0000-000064330000}"/>
    <cellStyle name="40% - Énfasis3 3 6 2 2 2" xfId="13160" xr:uid="{00000000-0005-0000-0000-000065330000}"/>
    <cellStyle name="40% - Énfasis3 3 6 2 2 2 2" xfId="13161" xr:uid="{00000000-0005-0000-0000-000066330000}"/>
    <cellStyle name="40% - Énfasis3 3 6 2 2 3" xfId="13162" xr:uid="{00000000-0005-0000-0000-000067330000}"/>
    <cellStyle name="40% - Énfasis3 3 6 2 2 4" xfId="13163" xr:uid="{00000000-0005-0000-0000-000068330000}"/>
    <cellStyle name="40% - Énfasis3 3 6 2 3" xfId="13164" xr:uid="{00000000-0005-0000-0000-000069330000}"/>
    <cellStyle name="40% - Énfasis3 3 6 2 3 2" xfId="13165" xr:uid="{00000000-0005-0000-0000-00006A330000}"/>
    <cellStyle name="40% - Énfasis3 3 6 2 4" xfId="13166" xr:uid="{00000000-0005-0000-0000-00006B330000}"/>
    <cellStyle name="40% - Énfasis3 3 6 2 5" xfId="13167" xr:uid="{00000000-0005-0000-0000-00006C330000}"/>
    <cellStyle name="40% - Énfasis3 3 6 3" xfId="13168" xr:uid="{00000000-0005-0000-0000-00006D330000}"/>
    <cellStyle name="40% - Énfasis3 3 6 3 2" xfId="13169" xr:uid="{00000000-0005-0000-0000-00006E330000}"/>
    <cellStyle name="40% - Énfasis3 3 6 3 2 2" xfId="13170" xr:uid="{00000000-0005-0000-0000-00006F330000}"/>
    <cellStyle name="40% - Énfasis3 3 6 3 3" xfId="13171" xr:uid="{00000000-0005-0000-0000-000070330000}"/>
    <cellStyle name="40% - Énfasis3 3 6 3 3 2" xfId="13172" xr:uid="{00000000-0005-0000-0000-000071330000}"/>
    <cellStyle name="40% - Énfasis3 3 6 3 4" xfId="13173" xr:uid="{00000000-0005-0000-0000-000072330000}"/>
    <cellStyle name="40% - Énfasis3 3 6 3 5" xfId="13174" xr:uid="{00000000-0005-0000-0000-000073330000}"/>
    <cellStyle name="40% - Énfasis3 3 6 4" xfId="13175" xr:uid="{00000000-0005-0000-0000-000074330000}"/>
    <cellStyle name="40% - Énfasis3 3 6 4 2" xfId="13176" xr:uid="{00000000-0005-0000-0000-000075330000}"/>
    <cellStyle name="40% - Énfasis3 3 6 5" xfId="13177" xr:uid="{00000000-0005-0000-0000-000076330000}"/>
    <cellStyle name="40% - Énfasis3 3 6 5 2" xfId="13178" xr:uid="{00000000-0005-0000-0000-000077330000}"/>
    <cellStyle name="40% - Énfasis3 3 6 6" xfId="13179" xr:uid="{00000000-0005-0000-0000-000078330000}"/>
    <cellStyle name="40% - Énfasis3 3 6 7" xfId="13180" xr:uid="{00000000-0005-0000-0000-000079330000}"/>
    <cellStyle name="40% - Énfasis3 3 7" xfId="13181" xr:uid="{00000000-0005-0000-0000-00007A330000}"/>
    <cellStyle name="40% - Énfasis3 3 7 2" xfId="13182" xr:uid="{00000000-0005-0000-0000-00007B330000}"/>
    <cellStyle name="40% - Énfasis3 3 7 2 2" xfId="13183" xr:uid="{00000000-0005-0000-0000-00007C330000}"/>
    <cellStyle name="40% - Énfasis3 3 7 2 2 2" xfId="13184" xr:uid="{00000000-0005-0000-0000-00007D330000}"/>
    <cellStyle name="40% - Énfasis3 3 7 2 3" xfId="13185" xr:uid="{00000000-0005-0000-0000-00007E330000}"/>
    <cellStyle name="40% - Énfasis3 3 7 2 4" xfId="13186" xr:uid="{00000000-0005-0000-0000-00007F330000}"/>
    <cellStyle name="40% - Énfasis3 3 7 3" xfId="13187" xr:uid="{00000000-0005-0000-0000-000080330000}"/>
    <cellStyle name="40% - Énfasis3 3 7 3 2" xfId="13188" xr:uid="{00000000-0005-0000-0000-000081330000}"/>
    <cellStyle name="40% - Énfasis3 3 7 4" xfId="13189" xr:uid="{00000000-0005-0000-0000-000082330000}"/>
    <cellStyle name="40% - Énfasis3 3 7 5" xfId="13190" xr:uid="{00000000-0005-0000-0000-000083330000}"/>
    <cellStyle name="40% - Énfasis3 3 8" xfId="13191" xr:uid="{00000000-0005-0000-0000-000084330000}"/>
    <cellStyle name="40% - Énfasis3 3 8 2" xfId="13192" xr:uid="{00000000-0005-0000-0000-000085330000}"/>
    <cellStyle name="40% - Énfasis3 3 8 2 2" xfId="13193" xr:uid="{00000000-0005-0000-0000-000086330000}"/>
    <cellStyle name="40% - Énfasis3 3 8 3" xfId="13194" xr:uid="{00000000-0005-0000-0000-000087330000}"/>
    <cellStyle name="40% - Énfasis3 3 8 3 2" xfId="13195" xr:uid="{00000000-0005-0000-0000-000088330000}"/>
    <cellStyle name="40% - Énfasis3 3 8 4" xfId="13196" xr:uid="{00000000-0005-0000-0000-000089330000}"/>
    <cellStyle name="40% - Énfasis3 3 8 5" xfId="13197" xr:uid="{00000000-0005-0000-0000-00008A330000}"/>
    <cellStyle name="40% - Énfasis3 3 9" xfId="13198" xr:uid="{00000000-0005-0000-0000-00008B330000}"/>
    <cellStyle name="40% - Énfasis3 3 9 2" xfId="13199" xr:uid="{00000000-0005-0000-0000-00008C330000}"/>
    <cellStyle name="40% - Énfasis3 4" xfId="13200" xr:uid="{00000000-0005-0000-0000-00008D330000}"/>
    <cellStyle name="40% - Énfasis4 2" xfId="13201" xr:uid="{00000000-0005-0000-0000-00008E330000}"/>
    <cellStyle name="40% - Énfasis4 2 10" xfId="13202" xr:uid="{00000000-0005-0000-0000-00008F330000}"/>
    <cellStyle name="40% - Énfasis4 2 10 2" xfId="13203" xr:uid="{00000000-0005-0000-0000-000090330000}"/>
    <cellStyle name="40% - Énfasis4 2 11" xfId="13204" xr:uid="{00000000-0005-0000-0000-000091330000}"/>
    <cellStyle name="40% - Énfasis4 2 12" xfId="13205" xr:uid="{00000000-0005-0000-0000-000092330000}"/>
    <cellStyle name="40% - Énfasis4 2 2" xfId="13206" xr:uid="{00000000-0005-0000-0000-000093330000}"/>
    <cellStyle name="40% - Énfasis4 2 2 10" xfId="13207" xr:uid="{00000000-0005-0000-0000-000094330000}"/>
    <cellStyle name="40% - Énfasis4 2 2 10 2" xfId="13208" xr:uid="{00000000-0005-0000-0000-000095330000}"/>
    <cellStyle name="40% - Énfasis4 2 2 11" xfId="13209" xr:uid="{00000000-0005-0000-0000-000096330000}"/>
    <cellStyle name="40% - Énfasis4 2 2 12" xfId="13210" xr:uid="{00000000-0005-0000-0000-000097330000}"/>
    <cellStyle name="40% - Énfasis4 2 2 2" xfId="13211" xr:uid="{00000000-0005-0000-0000-000098330000}"/>
    <cellStyle name="40% - Énfasis4 2 2 2 10" xfId="13212" xr:uid="{00000000-0005-0000-0000-000099330000}"/>
    <cellStyle name="40% - Énfasis4 2 2 2 2" xfId="13213" xr:uid="{00000000-0005-0000-0000-00009A330000}"/>
    <cellStyle name="40% - Énfasis4 2 2 2 2 2" xfId="13214" xr:uid="{00000000-0005-0000-0000-00009B330000}"/>
    <cellStyle name="40% - Énfasis4 2 2 2 2 2 2" xfId="13215" xr:uid="{00000000-0005-0000-0000-00009C330000}"/>
    <cellStyle name="40% - Énfasis4 2 2 2 2 2 2 2" xfId="13216" xr:uid="{00000000-0005-0000-0000-00009D330000}"/>
    <cellStyle name="40% - Énfasis4 2 2 2 2 2 2 2 2" xfId="13217" xr:uid="{00000000-0005-0000-0000-00009E330000}"/>
    <cellStyle name="40% - Énfasis4 2 2 2 2 2 2 2 2 2" xfId="13218" xr:uid="{00000000-0005-0000-0000-00009F330000}"/>
    <cellStyle name="40% - Énfasis4 2 2 2 2 2 2 2 2 2 2" xfId="13219" xr:uid="{00000000-0005-0000-0000-0000A0330000}"/>
    <cellStyle name="40% - Énfasis4 2 2 2 2 2 2 2 2 3" xfId="13220" xr:uid="{00000000-0005-0000-0000-0000A1330000}"/>
    <cellStyle name="40% - Énfasis4 2 2 2 2 2 2 2 2 4" xfId="13221" xr:uid="{00000000-0005-0000-0000-0000A2330000}"/>
    <cellStyle name="40% - Énfasis4 2 2 2 2 2 2 2 3" xfId="13222" xr:uid="{00000000-0005-0000-0000-0000A3330000}"/>
    <cellStyle name="40% - Énfasis4 2 2 2 2 2 2 2 3 2" xfId="13223" xr:uid="{00000000-0005-0000-0000-0000A4330000}"/>
    <cellStyle name="40% - Énfasis4 2 2 2 2 2 2 2 4" xfId="13224" xr:uid="{00000000-0005-0000-0000-0000A5330000}"/>
    <cellStyle name="40% - Énfasis4 2 2 2 2 2 2 2 5" xfId="13225" xr:uid="{00000000-0005-0000-0000-0000A6330000}"/>
    <cellStyle name="40% - Énfasis4 2 2 2 2 2 2 3" xfId="13226" xr:uid="{00000000-0005-0000-0000-0000A7330000}"/>
    <cellStyle name="40% - Énfasis4 2 2 2 2 2 2 3 2" xfId="13227" xr:uid="{00000000-0005-0000-0000-0000A8330000}"/>
    <cellStyle name="40% - Énfasis4 2 2 2 2 2 2 3 2 2" xfId="13228" xr:uid="{00000000-0005-0000-0000-0000A9330000}"/>
    <cellStyle name="40% - Énfasis4 2 2 2 2 2 2 3 3" xfId="13229" xr:uid="{00000000-0005-0000-0000-0000AA330000}"/>
    <cellStyle name="40% - Énfasis4 2 2 2 2 2 2 3 4" xfId="13230" xr:uid="{00000000-0005-0000-0000-0000AB330000}"/>
    <cellStyle name="40% - Énfasis4 2 2 2 2 2 2 4" xfId="13231" xr:uid="{00000000-0005-0000-0000-0000AC330000}"/>
    <cellStyle name="40% - Énfasis4 2 2 2 2 2 2 4 2" xfId="13232" xr:uid="{00000000-0005-0000-0000-0000AD330000}"/>
    <cellStyle name="40% - Énfasis4 2 2 2 2 2 2 5" xfId="13233" xr:uid="{00000000-0005-0000-0000-0000AE330000}"/>
    <cellStyle name="40% - Énfasis4 2 2 2 2 2 2 6" xfId="13234" xr:uid="{00000000-0005-0000-0000-0000AF330000}"/>
    <cellStyle name="40% - Énfasis4 2 2 2 2 2 3" xfId="13235" xr:uid="{00000000-0005-0000-0000-0000B0330000}"/>
    <cellStyle name="40% - Énfasis4 2 2 2 2 2 3 2" xfId="13236" xr:uid="{00000000-0005-0000-0000-0000B1330000}"/>
    <cellStyle name="40% - Énfasis4 2 2 2 2 2 3 2 2" xfId="13237" xr:uid="{00000000-0005-0000-0000-0000B2330000}"/>
    <cellStyle name="40% - Énfasis4 2 2 2 2 2 3 2 2 2" xfId="13238" xr:uid="{00000000-0005-0000-0000-0000B3330000}"/>
    <cellStyle name="40% - Énfasis4 2 2 2 2 2 3 2 3" xfId="13239" xr:uid="{00000000-0005-0000-0000-0000B4330000}"/>
    <cellStyle name="40% - Énfasis4 2 2 2 2 2 3 2 4" xfId="13240" xr:uid="{00000000-0005-0000-0000-0000B5330000}"/>
    <cellStyle name="40% - Énfasis4 2 2 2 2 2 3 3" xfId="13241" xr:uid="{00000000-0005-0000-0000-0000B6330000}"/>
    <cellStyle name="40% - Énfasis4 2 2 2 2 2 3 3 2" xfId="13242" xr:uid="{00000000-0005-0000-0000-0000B7330000}"/>
    <cellStyle name="40% - Énfasis4 2 2 2 2 2 3 4" xfId="13243" xr:uid="{00000000-0005-0000-0000-0000B8330000}"/>
    <cellStyle name="40% - Énfasis4 2 2 2 2 2 3 5" xfId="13244" xr:uid="{00000000-0005-0000-0000-0000B9330000}"/>
    <cellStyle name="40% - Énfasis4 2 2 2 2 2 4" xfId="13245" xr:uid="{00000000-0005-0000-0000-0000BA330000}"/>
    <cellStyle name="40% - Énfasis4 2 2 2 2 2 4 2" xfId="13246" xr:uid="{00000000-0005-0000-0000-0000BB330000}"/>
    <cellStyle name="40% - Énfasis4 2 2 2 2 2 4 2 2" xfId="13247" xr:uid="{00000000-0005-0000-0000-0000BC330000}"/>
    <cellStyle name="40% - Énfasis4 2 2 2 2 2 4 3" xfId="13248" xr:uid="{00000000-0005-0000-0000-0000BD330000}"/>
    <cellStyle name="40% - Énfasis4 2 2 2 2 2 4 4" xfId="13249" xr:uid="{00000000-0005-0000-0000-0000BE330000}"/>
    <cellStyle name="40% - Énfasis4 2 2 2 2 2 5" xfId="13250" xr:uid="{00000000-0005-0000-0000-0000BF330000}"/>
    <cellStyle name="40% - Énfasis4 2 2 2 2 2 5 2" xfId="13251" xr:uid="{00000000-0005-0000-0000-0000C0330000}"/>
    <cellStyle name="40% - Énfasis4 2 2 2 2 2 6" xfId="13252" xr:uid="{00000000-0005-0000-0000-0000C1330000}"/>
    <cellStyle name="40% - Énfasis4 2 2 2 2 2 7" xfId="13253" xr:uid="{00000000-0005-0000-0000-0000C2330000}"/>
    <cellStyle name="40% - Énfasis4 2 2 2 2 3" xfId="13254" xr:uid="{00000000-0005-0000-0000-0000C3330000}"/>
    <cellStyle name="40% - Énfasis4 2 2 2 2 3 2" xfId="13255" xr:uid="{00000000-0005-0000-0000-0000C4330000}"/>
    <cellStyle name="40% - Énfasis4 2 2 2 2 3 2 2" xfId="13256" xr:uid="{00000000-0005-0000-0000-0000C5330000}"/>
    <cellStyle name="40% - Énfasis4 2 2 2 2 3 2 2 2" xfId="13257" xr:uid="{00000000-0005-0000-0000-0000C6330000}"/>
    <cellStyle name="40% - Énfasis4 2 2 2 2 3 2 2 2 2" xfId="13258" xr:uid="{00000000-0005-0000-0000-0000C7330000}"/>
    <cellStyle name="40% - Énfasis4 2 2 2 2 3 2 2 3" xfId="13259" xr:uid="{00000000-0005-0000-0000-0000C8330000}"/>
    <cellStyle name="40% - Énfasis4 2 2 2 2 3 2 2 4" xfId="13260" xr:uid="{00000000-0005-0000-0000-0000C9330000}"/>
    <cellStyle name="40% - Énfasis4 2 2 2 2 3 2 3" xfId="13261" xr:uid="{00000000-0005-0000-0000-0000CA330000}"/>
    <cellStyle name="40% - Énfasis4 2 2 2 2 3 2 3 2" xfId="13262" xr:uid="{00000000-0005-0000-0000-0000CB330000}"/>
    <cellStyle name="40% - Énfasis4 2 2 2 2 3 2 4" xfId="13263" xr:uid="{00000000-0005-0000-0000-0000CC330000}"/>
    <cellStyle name="40% - Énfasis4 2 2 2 2 3 2 5" xfId="13264" xr:uid="{00000000-0005-0000-0000-0000CD330000}"/>
    <cellStyle name="40% - Énfasis4 2 2 2 2 3 3" xfId="13265" xr:uid="{00000000-0005-0000-0000-0000CE330000}"/>
    <cellStyle name="40% - Énfasis4 2 2 2 2 3 3 2" xfId="13266" xr:uid="{00000000-0005-0000-0000-0000CF330000}"/>
    <cellStyle name="40% - Énfasis4 2 2 2 2 3 3 2 2" xfId="13267" xr:uid="{00000000-0005-0000-0000-0000D0330000}"/>
    <cellStyle name="40% - Énfasis4 2 2 2 2 3 3 3" xfId="13268" xr:uid="{00000000-0005-0000-0000-0000D1330000}"/>
    <cellStyle name="40% - Énfasis4 2 2 2 2 3 3 3 2" xfId="13269" xr:uid="{00000000-0005-0000-0000-0000D2330000}"/>
    <cellStyle name="40% - Énfasis4 2 2 2 2 3 3 4" xfId="13270" xr:uid="{00000000-0005-0000-0000-0000D3330000}"/>
    <cellStyle name="40% - Énfasis4 2 2 2 2 3 3 5" xfId="13271" xr:uid="{00000000-0005-0000-0000-0000D4330000}"/>
    <cellStyle name="40% - Énfasis4 2 2 2 2 3 4" xfId="13272" xr:uid="{00000000-0005-0000-0000-0000D5330000}"/>
    <cellStyle name="40% - Énfasis4 2 2 2 2 3 4 2" xfId="13273" xr:uid="{00000000-0005-0000-0000-0000D6330000}"/>
    <cellStyle name="40% - Énfasis4 2 2 2 2 3 5" xfId="13274" xr:uid="{00000000-0005-0000-0000-0000D7330000}"/>
    <cellStyle name="40% - Énfasis4 2 2 2 2 3 5 2" xfId="13275" xr:uid="{00000000-0005-0000-0000-0000D8330000}"/>
    <cellStyle name="40% - Énfasis4 2 2 2 2 3 6" xfId="13276" xr:uid="{00000000-0005-0000-0000-0000D9330000}"/>
    <cellStyle name="40% - Énfasis4 2 2 2 2 3 7" xfId="13277" xr:uid="{00000000-0005-0000-0000-0000DA330000}"/>
    <cellStyle name="40% - Énfasis4 2 2 2 2 4" xfId="13278" xr:uid="{00000000-0005-0000-0000-0000DB330000}"/>
    <cellStyle name="40% - Énfasis4 2 2 2 2 4 2" xfId="13279" xr:uid="{00000000-0005-0000-0000-0000DC330000}"/>
    <cellStyle name="40% - Énfasis4 2 2 2 2 4 2 2" xfId="13280" xr:uid="{00000000-0005-0000-0000-0000DD330000}"/>
    <cellStyle name="40% - Énfasis4 2 2 2 2 4 2 2 2" xfId="13281" xr:uid="{00000000-0005-0000-0000-0000DE330000}"/>
    <cellStyle name="40% - Énfasis4 2 2 2 2 4 2 3" xfId="13282" xr:uid="{00000000-0005-0000-0000-0000DF330000}"/>
    <cellStyle name="40% - Énfasis4 2 2 2 2 4 2 4" xfId="13283" xr:uid="{00000000-0005-0000-0000-0000E0330000}"/>
    <cellStyle name="40% - Énfasis4 2 2 2 2 4 3" xfId="13284" xr:uid="{00000000-0005-0000-0000-0000E1330000}"/>
    <cellStyle name="40% - Énfasis4 2 2 2 2 4 3 2" xfId="13285" xr:uid="{00000000-0005-0000-0000-0000E2330000}"/>
    <cellStyle name="40% - Énfasis4 2 2 2 2 4 4" xfId="13286" xr:uid="{00000000-0005-0000-0000-0000E3330000}"/>
    <cellStyle name="40% - Énfasis4 2 2 2 2 4 5" xfId="13287" xr:uid="{00000000-0005-0000-0000-0000E4330000}"/>
    <cellStyle name="40% - Énfasis4 2 2 2 2 5" xfId="13288" xr:uid="{00000000-0005-0000-0000-0000E5330000}"/>
    <cellStyle name="40% - Énfasis4 2 2 2 2 5 2" xfId="13289" xr:uid="{00000000-0005-0000-0000-0000E6330000}"/>
    <cellStyle name="40% - Énfasis4 2 2 2 2 5 2 2" xfId="13290" xr:uid="{00000000-0005-0000-0000-0000E7330000}"/>
    <cellStyle name="40% - Énfasis4 2 2 2 2 5 3" xfId="13291" xr:uid="{00000000-0005-0000-0000-0000E8330000}"/>
    <cellStyle name="40% - Énfasis4 2 2 2 2 5 3 2" xfId="13292" xr:uid="{00000000-0005-0000-0000-0000E9330000}"/>
    <cellStyle name="40% - Énfasis4 2 2 2 2 5 4" xfId="13293" xr:uid="{00000000-0005-0000-0000-0000EA330000}"/>
    <cellStyle name="40% - Énfasis4 2 2 2 2 5 5" xfId="13294" xr:uid="{00000000-0005-0000-0000-0000EB330000}"/>
    <cellStyle name="40% - Énfasis4 2 2 2 2 6" xfId="13295" xr:uid="{00000000-0005-0000-0000-0000EC330000}"/>
    <cellStyle name="40% - Énfasis4 2 2 2 2 6 2" xfId="13296" xr:uid="{00000000-0005-0000-0000-0000ED330000}"/>
    <cellStyle name="40% - Énfasis4 2 2 2 2 7" xfId="13297" xr:uid="{00000000-0005-0000-0000-0000EE330000}"/>
    <cellStyle name="40% - Énfasis4 2 2 2 2 7 2" xfId="13298" xr:uid="{00000000-0005-0000-0000-0000EF330000}"/>
    <cellStyle name="40% - Énfasis4 2 2 2 2 8" xfId="13299" xr:uid="{00000000-0005-0000-0000-0000F0330000}"/>
    <cellStyle name="40% - Énfasis4 2 2 2 2 9" xfId="13300" xr:uid="{00000000-0005-0000-0000-0000F1330000}"/>
    <cellStyle name="40% - Énfasis4 2 2 2 3" xfId="13301" xr:uid="{00000000-0005-0000-0000-0000F2330000}"/>
    <cellStyle name="40% - Énfasis4 2 2 2 3 2" xfId="13302" xr:uid="{00000000-0005-0000-0000-0000F3330000}"/>
    <cellStyle name="40% - Énfasis4 2 2 2 3 2 2" xfId="13303" xr:uid="{00000000-0005-0000-0000-0000F4330000}"/>
    <cellStyle name="40% - Énfasis4 2 2 2 3 2 2 2" xfId="13304" xr:uid="{00000000-0005-0000-0000-0000F5330000}"/>
    <cellStyle name="40% - Énfasis4 2 2 2 3 2 2 2 2" xfId="13305" xr:uid="{00000000-0005-0000-0000-0000F6330000}"/>
    <cellStyle name="40% - Énfasis4 2 2 2 3 2 2 2 2 2" xfId="13306" xr:uid="{00000000-0005-0000-0000-0000F7330000}"/>
    <cellStyle name="40% - Énfasis4 2 2 2 3 2 2 2 3" xfId="13307" xr:uid="{00000000-0005-0000-0000-0000F8330000}"/>
    <cellStyle name="40% - Énfasis4 2 2 2 3 2 2 2 4" xfId="13308" xr:uid="{00000000-0005-0000-0000-0000F9330000}"/>
    <cellStyle name="40% - Énfasis4 2 2 2 3 2 2 3" xfId="13309" xr:uid="{00000000-0005-0000-0000-0000FA330000}"/>
    <cellStyle name="40% - Énfasis4 2 2 2 3 2 2 3 2" xfId="13310" xr:uid="{00000000-0005-0000-0000-0000FB330000}"/>
    <cellStyle name="40% - Énfasis4 2 2 2 3 2 2 4" xfId="13311" xr:uid="{00000000-0005-0000-0000-0000FC330000}"/>
    <cellStyle name="40% - Énfasis4 2 2 2 3 2 2 5" xfId="13312" xr:uid="{00000000-0005-0000-0000-0000FD330000}"/>
    <cellStyle name="40% - Énfasis4 2 2 2 3 2 3" xfId="13313" xr:uid="{00000000-0005-0000-0000-0000FE330000}"/>
    <cellStyle name="40% - Énfasis4 2 2 2 3 2 3 2" xfId="13314" xr:uid="{00000000-0005-0000-0000-0000FF330000}"/>
    <cellStyle name="40% - Énfasis4 2 2 2 3 2 3 2 2" xfId="13315" xr:uid="{00000000-0005-0000-0000-000000340000}"/>
    <cellStyle name="40% - Énfasis4 2 2 2 3 2 3 3" xfId="13316" xr:uid="{00000000-0005-0000-0000-000001340000}"/>
    <cellStyle name="40% - Énfasis4 2 2 2 3 2 3 4" xfId="13317" xr:uid="{00000000-0005-0000-0000-000002340000}"/>
    <cellStyle name="40% - Énfasis4 2 2 2 3 2 4" xfId="13318" xr:uid="{00000000-0005-0000-0000-000003340000}"/>
    <cellStyle name="40% - Énfasis4 2 2 2 3 2 4 2" xfId="13319" xr:uid="{00000000-0005-0000-0000-000004340000}"/>
    <cellStyle name="40% - Énfasis4 2 2 2 3 2 5" xfId="13320" xr:uid="{00000000-0005-0000-0000-000005340000}"/>
    <cellStyle name="40% - Énfasis4 2 2 2 3 2 6" xfId="13321" xr:uid="{00000000-0005-0000-0000-000006340000}"/>
    <cellStyle name="40% - Énfasis4 2 2 2 3 3" xfId="13322" xr:uid="{00000000-0005-0000-0000-000007340000}"/>
    <cellStyle name="40% - Énfasis4 2 2 2 3 3 2" xfId="13323" xr:uid="{00000000-0005-0000-0000-000008340000}"/>
    <cellStyle name="40% - Énfasis4 2 2 2 3 3 2 2" xfId="13324" xr:uid="{00000000-0005-0000-0000-000009340000}"/>
    <cellStyle name="40% - Énfasis4 2 2 2 3 3 2 2 2" xfId="13325" xr:uid="{00000000-0005-0000-0000-00000A340000}"/>
    <cellStyle name="40% - Énfasis4 2 2 2 3 3 2 3" xfId="13326" xr:uid="{00000000-0005-0000-0000-00000B340000}"/>
    <cellStyle name="40% - Énfasis4 2 2 2 3 3 2 4" xfId="13327" xr:uid="{00000000-0005-0000-0000-00000C340000}"/>
    <cellStyle name="40% - Énfasis4 2 2 2 3 3 3" xfId="13328" xr:uid="{00000000-0005-0000-0000-00000D340000}"/>
    <cellStyle name="40% - Énfasis4 2 2 2 3 3 3 2" xfId="13329" xr:uid="{00000000-0005-0000-0000-00000E340000}"/>
    <cellStyle name="40% - Énfasis4 2 2 2 3 3 4" xfId="13330" xr:uid="{00000000-0005-0000-0000-00000F340000}"/>
    <cellStyle name="40% - Énfasis4 2 2 2 3 3 5" xfId="13331" xr:uid="{00000000-0005-0000-0000-000010340000}"/>
    <cellStyle name="40% - Énfasis4 2 2 2 3 4" xfId="13332" xr:uid="{00000000-0005-0000-0000-000011340000}"/>
    <cellStyle name="40% - Énfasis4 2 2 2 3 4 2" xfId="13333" xr:uid="{00000000-0005-0000-0000-000012340000}"/>
    <cellStyle name="40% - Énfasis4 2 2 2 3 4 2 2" xfId="13334" xr:uid="{00000000-0005-0000-0000-000013340000}"/>
    <cellStyle name="40% - Énfasis4 2 2 2 3 4 3" xfId="13335" xr:uid="{00000000-0005-0000-0000-000014340000}"/>
    <cellStyle name="40% - Énfasis4 2 2 2 3 4 4" xfId="13336" xr:uid="{00000000-0005-0000-0000-000015340000}"/>
    <cellStyle name="40% - Énfasis4 2 2 2 3 5" xfId="13337" xr:uid="{00000000-0005-0000-0000-000016340000}"/>
    <cellStyle name="40% - Énfasis4 2 2 2 3 5 2" xfId="13338" xr:uid="{00000000-0005-0000-0000-000017340000}"/>
    <cellStyle name="40% - Énfasis4 2 2 2 3 6" xfId="13339" xr:uid="{00000000-0005-0000-0000-000018340000}"/>
    <cellStyle name="40% - Énfasis4 2 2 2 3 7" xfId="13340" xr:uid="{00000000-0005-0000-0000-000019340000}"/>
    <cellStyle name="40% - Énfasis4 2 2 2 4" xfId="13341" xr:uid="{00000000-0005-0000-0000-00001A340000}"/>
    <cellStyle name="40% - Énfasis4 2 2 2 4 2" xfId="13342" xr:uid="{00000000-0005-0000-0000-00001B340000}"/>
    <cellStyle name="40% - Énfasis4 2 2 2 4 2 2" xfId="13343" xr:uid="{00000000-0005-0000-0000-00001C340000}"/>
    <cellStyle name="40% - Énfasis4 2 2 2 4 2 2 2" xfId="13344" xr:uid="{00000000-0005-0000-0000-00001D340000}"/>
    <cellStyle name="40% - Énfasis4 2 2 2 4 2 2 2 2" xfId="13345" xr:uid="{00000000-0005-0000-0000-00001E340000}"/>
    <cellStyle name="40% - Énfasis4 2 2 2 4 2 2 3" xfId="13346" xr:uid="{00000000-0005-0000-0000-00001F340000}"/>
    <cellStyle name="40% - Énfasis4 2 2 2 4 2 2 4" xfId="13347" xr:uid="{00000000-0005-0000-0000-000020340000}"/>
    <cellStyle name="40% - Énfasis4 2 2 2 4 2 3" xfId="13348" xr:uid="{00000000-0005-0000-0000-000021340000}"/>
    <cellStyle name="40% - Énfasis4 2 2 2 4 2 3 2" xfId="13349" xr:uid="{00000000-0005-0000-0000-000022340000}"/>
    <cellStyle name="40% - Énfasis4 2 2 2 4 2 4" xfId="13350" xr:uid="{00000000-0005-0000-0000-000023340000}"/>
    <cellStyle name="40% - Énfasis4 2 2 2 4 2 5" xfId="13351" xr:uid="{00000000-0005-0000-0000-000024340000}"/>
    <cellStyle name="40% - Énfasis4 2 2 2 4 3" xfId="13352" xr:uid="{00000000-0005-0000-0000-000025340000}"/>
    <cellStyle name="40% - Énfasis4 2 2 2 4 3 2" xfId="13353" xr:uid="{00000000-0005-0000-0000-000026340000}"/>
    <cellStyle name="40% - Énfasis4 2 2 2 4 3 2 2" xfId="13354" xr:uid="{00000000-0005-0000-0000-000027340000}"/>
    <cellStyle name="40% - Énfasis4 2 2 2 4 3 3" xfId="13355" xr:uid="{00000000-0005-0000-0000-000028340000}"/>
    <cellStyle name="40% - Énfasis4 2 2 2 4 3 3 2" xfId="13356" xr:uid="{00000000-0005-0000-0000-000029340000}"/>
    <cellStyle name="40% - Énfasis4 2 2 2 4 3 4" xfId="13357" xr:uid="{00000000-0005-0000-0000-00002A340000}"/>
    <cellStyle name="40% - Énfasis4 2 2 2 4 3 5" xfId="13358" xr:uid="{00000000-0005-0000-0000-00002B340000}"/>
    <cellStyle name="40% - Énfasis4 2 2 2 4 4" xfId="13359" xr:uid="{00000000-0005-0000-0000-00002C340000}"/>
    <cellStyle name="40% - Énfasis4 2 2 2 4 4 2" xfId="13360" xr:uid="{00000000-0005-0000-0000-00002D340000}"/>
    <cellStyle name="40% - Énfasis4 2 2 2 4 5" xfId="13361" xr:uid="{00000000-0005-0000-0000-00002E340000}"/>
    <cellStyle name="40% - Énfasis4 2 2 2 4 5 2" xfId="13362" xr:uid="{00000000-0005-0000-0000-00002F340000}"/>
    <cellStyle name="40% - Énfasis4 2 2 2 4 6" xfId="13363" xr:uid="{00000000-0005-0000-0000-000030340000}"/>
    <cellStyle name="40% - Énfasis4 2 2 2 4 7" xfId="13364" xr:uid="{00000000-0005-0000-0000-000031340000}"/>
    <cellStyle name="40% - Énfasis4 2 2 2 5" xfId="13365" xr:uid="{00000000-0005-0000-0000-000032340000}"/>
    <cellStyle name="40% - Énfasis4 2 2 2 5 2" xfId="13366" xr:uid="{00000000-0005-0000-0000-000033340000}"/>
    <cellStyle name="40% - Énfasis4 2 2 2 5 2 2" xfId="13367" xr:uid="{00000000-0005-0000-0000-000034340000}"/>
    <cellStyle name="40% - Énfasis4 2 2 2 5 2 2 2" xfId="13368" xr:uid="{00000000-0005-0000-0000-000035340000}"/>
    <cellStyle name="40% - Énfasis4 2 2 2 5 2 3" xfId="13369" xr:uid="{00000000-0005-0000-0000-000036340000}"/>
    <cellStyle name="40% - Énfasis4 2 2 2 5 2 4" xfId="13370" xr:uid="{00000000-0005-0000-0000-000037340000}"/>
    <cellStyle name="40% - Énfasis4 2 2 2 5 3" xfId="13371" xr:uid="{00000000-0005-0000-0000-000038340000}"/>
    <cellStyle name="40% - Énfasis4 2 2 2 5 3 2" xfId="13372" xr:uid="{00000000-0005-0000-0000-000039340000}"/>
    <cellStyle name="40% - Énfasis4 2 2 2 5 4" xfId="13373" xr:uid="{00000000-0005-0000-0000-00003A340000}"/>
    <cellStyle name="40% - Énfasis4 2 2 2 5 5" xfId="13374" xr:uid="{00000000-0005-0000-0000-00003B340000}"/>
    <cellStyle name="40% - Énfasis4 2 2 2 6" xfId="13375" xr:uid="{00000000-0005-0000-0000-00003C340000}"/>
    <cellStyle name="40% - Énfasis4 2 2 2 6 2" xfId="13376" xr:uid="{00000000-0005-0000-0000-00003D340000}"/>
    <cellStyle name="40% - Énfasis4 2 2 2 6 2 2" xfId="13377" xr:uid="{00000000-0005-0000-0000-00003E340000}"/>
    <cellStyle name="40% - Énfasis4 2 2 2 6 3" xfId="13378" xr:uid="{00000000-0005-0000-0000-00003F340000}"/>
    <cellStyle name="40% - Énfasis4 2 2 2 6 3 2" xfId="13379" xr:uid="{00000000-0005-0000-0000-000040340000}"/>
    <cellStyle name="40% - Énfasis4 2 2 2 6 4" xfId="13380" xr:uid="{00000000-0005-0000-0000-000041340000}"/>
    <cellStyle name="40% - Énfasis4 2 2 2 6 5" xfId="13381" xr:uid="{00000000-0005-0000-0000-000042340000}"/>
    <cellStyle name="40% - Énfasis4 2 2 2 7" xfId="13382" xr:uid="{00000000-0005-0000-0000-000043340000}"/>
    <cellStyle name="40% - Énfasis4 2 2 2 7 2" xfId="13383" xr:uid="{00000000-0005-0000-0000-000044340000}"/>
    <cellStyle name="40% - Énfasis4 2 2 2 8" xfId="13384" xr:uid="{00000000-0005-0000-0000-000045340000}"/>
    <cellStyle name="40% - Énfasis4 2 2 2 8 2" xfId="13385" xr:uid="{00000000-0005-0000-0000-000046340000}"/>
    <cellStyle name="40% - Énfasis4 2 2 2 9" xfId="13386" xr:uid="{00000000-0005-0000-0000-000047340000}"/>
    <cellStyle name="40% - Énfasis4 2 2 3" xfId="13387" xr:uid="{00000000-0005-0000-0000-000048340000}"/>
    <cellStyle name="40% - Énfasis4 2 2 3 2" xfId="13388" xr:uid="{00000000-0005-0000-0000-000049340000}"/>
    <cellStyle name="40% - Énfasis4 2 2 3 2 2" xfId="13389" xr:uid="{00000000-0005-0000-0000-00004A340000}"/>
    <cellStyle name="40% - Énfasis4 2 2 3 2 2 2" xfId="13390" xr:uid="{00000000-0005-0000-0000-00004B340000}"/>
    <cellStyle name="40% - Énfasis4 2 2 3 2 2 2 2" xfId="13391" xr:uid="{00000000-0005-0000-0000-00004C340000}"/>
    <cellStyle name="40% - Énfasis4 2 2 3 2 2 2 2 2" xfId="13392" xr:uid="{00000000-0005-0000-0000-00004D340000}"/>
    <cellStyle name="40% - Énfasis4 2 2 3 2 2 2 2 2 2" xfId="13393" xr:uid="{00000000-0005-0000-0000-00004E340000}"/>
    <cellStyle name="40% - Énfasis4 2 2 3 2 2 2 2 3" xfId="13394" xr:uid="{00000000-0005-0000-0000-00004F340000}"/>
    <cellStyle name="40% - Énfasis4 2 2 3 2 2 2 2 4" xfId="13395" xr:uid="{00000000-0005-0000-0000-000050340000}"/>
    <cellStyle name="40% - Énfasis4 2 2 3 2 2 2 3" xfId="13396" xr:uid="{00000000-0005-0000-0000-000051340000}"/>
    <cellStyle name="40% - Énfasis4 2 2 3 2 2 2 3 2" xfId="13397" xr:uid="{00000000-0005-0000-0000-000052340000}"/>
    <cellStyle name="40% - Énfasis4 2 2 3 2 2 2 4" xfId="13398" xr:uid="{00000000-0005-0000-0000-000053340000}"/>
    <cellStyle name="40% - Énfasis4 2 2 3 2 2 2 5" xfId="13399" xr:uid="{00000000-0005-0000-0000-000054340000}"/>
    <cellStyle name="40% - Énfasis4 2 2 3 2 2 3" xfId="13400" xr:uid="{00000000-0005-0000-0000-000055340000}"/>
    <cellStyle name="40% - Énfasis4 2 2 3 2 2 3 2" xfId="13401" xr:uid="{00000000-0005-0000-0000-000056340000}"/>
    <cellStyle name="40% - Énfasis4 2 2 3 2 2 3 2 2" xfId="13402" xr:uid="{00000000-0005-0000-0000-000057340000}"/>
    <cellStyle name="40% - Énfasis4 2 2 3 2 2 3 3" xfId="13403" xr:uid="{00000000-0005-0000-0000-000058340000}"/>
    <cellStyle name="40% - Énfasis4 2 2 3 2 2 3 4" xfId="13404" xr:uid="{00000000-0005-0000-0000-000059340000}"/>
    <cellStyle name="40% - Énfasis4 2 2 3 2 2 4" xfId="13405" xr:uid="{00000000-0005-0000-0000-00005A340000}"/>
    <cellStyle name="40% - Énfasis4 2 2 3 2 2 4 2" xfId="13406" xr:uid="{00000000-0005-0000-0000-00005B340000}"/>
    <cellStyle name="40% - Énfasis4 2 2 3 2 2 5" xfId="13407" xr:uid="{00000000-0005-0000-0000-00005C340000}"/>
    <cellStyle name="40% - Énfasis4 2 2 3 2 2 6" xfId="13408" xr:uid="{00000000-0005-0000-0000-00005D340000}"/>
    <cellStyle name="40% - Énfasis4 2 2 3 2 3" xfId="13409" xr:uid="{00000000-0005-0000-0000-00005E340000}"/>
    <cellStyle name="40% - Énfasis4 2 2 3 2 3 2" xfId="13410" xr:uid="{00000000-0005-0000-0000-00005F340000}"/>
    <cellStyle name="40% - Énfasis4 2 2 3 2 3 2 2" xfId="13411" xr:uid="{00000000-0005-0000-0000-000060340000}"/>
    <cellStyle name="40% - Énfasis4 2 2 3 2 3 2 2 2" xfId="13412" xr:uid="{00000000-0005-0000-0000-000061340000}"/>
    <cellStyle name="40% - Énfasis4 2 2 3 2 3 2 3" xfId="13413" xr:uid="{00000000-0005-0000-0000-000062340000}"/>
    <cellStyle name="40% - Énfasis4 2 2 3 2 3 2 4" xfId="13414" xr:uid="{00000000-0005-0000-0000-000063340000}"/>
    <cellStyle name="40% - Énfasis4 2 2 3 2 3 3" xfId="13415" xr:uid="{00000000-0005-0000-0000-000064340000}"/>
    <cellStyle name="40% - Énfasis4 2 2 3 2 3 3 2" xfId="13416" xr:uid="{00000000-0005-0000-0000-000065340000}"/>
    <cellStyle name="40% - Énfasis4 2 2 3 2 3 4" xfId="13417" xr:uid="{00000000-0005-0000-0000-000066340000}"/>
    <cellStyle name="40% - Énfasis4 2 2 3 2 3 5" xfId="13418" xr:uid="{00000000-0005-0000-0000-000067340000}"/>
    <cellStyle name="40% - Énfasis4 2 2 3 2 4" xfId="13419" xr:uid="{00000000-0005-0000-0000-000068340000}"/>
    <cellStyle name="40% - Énfasis4 2 2 3 2 4 2" xfId="13420" xr:uid="{00000000-0005-0000-0000-000069340000}"/>
    <cellStyle name="40% - Énfasis4 2 2 3 2 4 2 2" xfId="13421" xr:uid="{00000000-0005-0000-0000-00006A340000}"/>
    <cellStyle name="40% - Énfasis4 2 2 3 2 4 3" xfId="13422" xr:uid="{00000000-0005-0000-0000-00006B340000}"/>
    <cellStyle name="40% - Énfasis4 2 2 3 2 4 4" xfId="13423" xr:uid="{00000000-0005-0000-0000-00006C340000}"/>
    <cellStyle name="40% - Énfasis4 2 2 3 2 5" xfId="13424" xr:uid="{00000000-0005-0000-0000-00006D340000}"/>
    <cellStyle name="40% - Énfasis4 2 2 3 2 5 2" xfId="13425" xr:uid="{00000000-0005-0000-0000-00006E340000}"/>
    <cellStyle name="40% - Énfasis4 2 2 3 2 6" xfId="13426" xr:uid="{00000000-0005-0000-0000-00006F340000}"/>
    <cellStyle name="40% - Énfasis4 2 2 3 2 7" xfId="13427" xr:uid="{00000000-0005-0000-0000-000070340000}"/>
    <cellStyle name="40% - Énfasis4 2 2 3 3" xfId="13428" xr:uid="{00000000-0005-0000-0000-000071340000}"/>
    <cellStyle name="40% - Énfasis4 2 2 3 3 2" xfId="13429" xr:uid="{00000000-0005-0000-0000-000072340000}"/>
    <cellStyle name="40% - Énfasis4 2 2 3 3 2 2" xfId="13430" xr:uid="{00000000-0005-0000-0000-000073340000}"/>
    <cellStyle name="40% - Énfasis4 2 2 3 3 2 2 2" xfId="13431" xr:uid="{00000000-0005-0000-0000-000074340000}"/>
    <cellStyle name="40% - Énfasis4 2 2 3 3 2 2 2 2" xfId="13432" xr:uid="{00000000-0005-0000-0000-000075340000}"/>
    <cellStyle name="40% - Énfasis4 2 2 3 3 2 2 3" xfId="13433" xr:uid="{00000000-0005-0000-0000-000076340000}"/>
    <cellStyle name="40% - Énfasis4 2 2 3 3 2 2 4" xfId="13434" xr:uid="{00000000-0005-0000-0000-000077340000}"/>
    <cellStyle name="40% - Énfasis4 2 2 3 3 2 3" xfId="13435" xr:uid="{00000000-0005-0000-0000-000078340000}"/>
    <cellStyle name="40% - Énfasis4 2 2 3 3 2 3 2" xfId="13436" xr:uid="{00000000-0005-0000-0000-000079340000}"/>
    <cellStyle name="40% - Énfasis4 2 2 3 3 2 4" xfId="13437" xr:uid="{00000000-0005-0000-0000-00007A340000}"/>
    <cellStyle name="40% - Énfasis4 2 2 3 3 2 5" xfId="13438" xr:uid="{00000000-0005-0000-0000-00007B340000}"/>
    <cellStyle name="40% - Énfasis4 2 2 3 3 3" xfId="13439" xr:uid="{00000000-0005-0000-0000-00007C340000}"/>
    <cellStyle name="40% - Énfasis4 2 2 3 3 3 2" xfId="13440" xr:uid="{00000000-0005-0000-0000-00007D340000}"/>
    <cellStyle name="40% - Énfasis4 2 2 3 3 3 2 2" xfId="13441" xr:uid="{00000000-0005-0000-0000-00007E340000}"/>
    <cellStyle name="40% - Énfasis4 2 2 3 3 3 3" xfId="13442" xr:uid="{00000000-0005-0000-0000-00007F340000}"/>
    <cellStyle name="40% - Énfasis4 2 2 3 3 3 3 2" xfId="13443" xr:uid="{00000000-0005-0000-0000-000080340000}"/>
    <cellStyle name="40% - Énfasis4 2 2 3 3 3 4" xfId="13444" xr:uid="{00000000-0005-0000-0000-000081340000}"/>
    <cellStyle name="40% - Énfasis4 2 2 3 3 3 5" xfId="13445" xr:uid="{00000000-0005-0000-0000-000082340000}"/>
    <cellStyle name="40% - Énfasis4 2 2 3 3 4" xfId="13446" xr:uid="{00000000-0005-0000-0000-000083340000}"/>
    <cellStyle name="40% - Énfasis4 2 2 3 3 4 2" xfId="13447" xr:uid="{00000000-0005-0000-0000-000084340000}"/>
    <cellStyle name="40% - Énfasis4 2 2 3 3 5" xfId="13448" xr:uid="{00000000-0005-0000-0000-000085340000}"/>
    <cellStyle name="40% - Énfasis4 2 2 3 3 5 2" xfId="13449" xr:uid="{00000000-0005-0000-0000-000086340000}"/>
    <cellStyle name="40% - Énfasis4 2 2 3 3 6" xfId="13450" xr:uid="{00000000-0005-0000-0000-000087340000}"/>
    <cellStyle name="40% - Énfasis4 2 2 3 3 7" xfId="13451" xr:uid="{00000000-0005-0000-0000-000088340000}"/>
    <cellStyle name="40% - Énfasis4 2 2 3 4" xfId="13452" xr:uid="{00000000-0005-0000-0000-000089340000}"/>
    <cellStyle name="40% - Énfasis4 2 2 3 4 2" xfId="13453" xr:uid="{00000000-0005-0000-0000-00008A340000}"/>
    <cellStyle name="40% - Énfasis4 2 2 3 4 2 2" xfId="13454" xr:uid="{00000000-0005-0000-0000-00008B340000}"/>
    <cellStyle name="40% - Énfasis4 2 2 3 4 2 2 2" xfId="13455" xr:uid="{00000000-0005-0000-0000-00008C340000}"/>
    <cellStyle name="40% - Énfasis4 2 2 3 4 2 3" xfId="13456" xr:uid="{00000000-0005-0000-0000-00008D340000}"/>
    <cellStyle name="40% - Énfasis4 2 2 3 4 2 4" xfId="13457" xr:uid="{00000000-0005-0000-0000-00008E340000}"/>
    <cellStyle name="40% - Énfasis4 2 2 3 4 3" xfId="13458" xr:uid="{00000000-0005-0000-0000-00008F340000}"/>
    <cellStyle name="40% - Énfasis4 2 2 3 4 3 2" xfId="13459" xr:uid="{00000000-0005-0000-0000-000090340000}"/>
    <cellStyle name="40% - Énfasis4 2 2 3 4 4" xfId="13460" xr:uid="{00000000-0005-0000-0000-000091340000}"/>
    <cellStyle name="40% - Énfasis4 2 2 3 4 5" xfId="13461" xr:uid="{00000000-0005-0000-0000-000092340000}"/>
    <cellStyle name="40% - Énfasis4 2 2 3 5" xfId="13462" xr:uid="{00000000-0005-0000-0000-000093340000}"/>
    <cellStyle name="40% - Énfasis4 2 2 3 5 2" xfId="13463" xr:uid="{00000000-0005-0000-0000-000094340000}"/>
    <cellStyle name="40% - Énfasis4 2 2 3 5 2 2" xfId="13464" xr:uid="{00000000-0005-0000-0000-000095340000}"/>
    <cellStyle name="40% - Énfasis4 2 2 3 5 3" xfId="13465" xr:uid="{00000000-0005-0000-0000-000096340000}"/>
    <cellStyle name="40% - Énfasis4 2 2 3 5 3 2" xfId="13466" xr:uid="{00000000-0005-0000-0000-000097340000}"/>
    <cellStyle name="40% - Énfasis4 2 2 3 5 4" xfId="13467" xr:uid="{00000000-0005-0000-0000-000098340000}"/>
    <cellStyle name="40% - Énfasis4 2 2 3 5 5" xfId="13468" xr:uid="{00000000-0005-0000-0000-000099340000}"/>
    <cellStyle name="40% - Énfasis4 2 2 3 6" xfId="13469" xr:uid="{00000000-0005-0000-0000-00009A340000}"/>
    <cellStyle name="40% - Énfasis4 2 2 3 6 2" xfId="13470" xr:uid="{00000000-0005-0000-0000-00009B340000}"/>
    <cellStyle name="40% - Énfasis4 2 2 3 7" xfId="13471" xr:uid="{00000000-0005-0000-0000-00009C340000}"/>
    <cellStyle name="40% - Énfasis4 2 2 3 7 2" xfId="13472" xr:uid="{00000000-0005-0000-0000-00009D340000}"/>
    <cellStyle name="40% - Énfasis4 2 2 3 8" xfId="13473" xr:uid="{00000000-0005-0000-0000-00009E340000}"/>
    <cellStyle name="40% - Énfasis4 2 2 3 9" xfId="13474" xr:uid="{00000000-0005-0000-0000-00009F340000}"/>
    <cellStyle name="40% - Énfasis4 2 2 4" xfId="13475" xr:uid="{00000000-0005-0000-0000-0000A0340000}"/>
    <cellStyle name="40% - Énfasis4 2 2 4 2" xfId="13476" xr:uid="{00000000-0005-0000-0000-0000A1340000}"/>
    <cellStyle name="40% - Énfasis4 2 2 4 2 2" xfId="13477" xr:uid="{00000000-0005-0000-0000-0000A2340000}"/>
    <cellStyle name="40% - Énfasis4 2 2 4 2 2 2" xfId="13478" xr:uid="{00000000-0005-0000-0000-0000A3340000}"/>
    <cellStyle name="40% - Énfasis4 2 2 4 2 2 2 2" xfId="13479" xr:uid="{00000000-0005-0000-0000-0000A4340000}"/>
    <cellStyle name="40% - Énfasis4 2 2 4 2 2 2 2 2" xfId="13480" xr:uid="{00000000-0005-0000-0000-0000A5340000}"/>
    <cellStyle name="40% - Énfasis4 2 2 4 2 2 2 3" xfId="13481" xr:uid="{00000000-0005-0000-0000-0000A6340000}"/>
    <cellStyle name="40% - Énfasis4 2 2 4 2 2 2 4" xfId="13482" xr:uid="{00000000-0005-0000-0000-0000A7340000}"/>
    <cellStyle name="40% - Énfasis4 2 2 4 2 2 3" xfId="13483" xr:uid="{00000000-0005-0000-0000-0000A8340000}"/>
    <cellStyle name="40% - Énfasis4 2 2 4 2 2 3 2" xfId="13484" xr:uid="{00000000-0005-0000-0000-0000A9340000}"/>
    <cellStyle name="40% - Énfasis4 2 2 4 2 2 4" xfId="13485" xr:uid="{00000000-0005-0000-0000-0000AA340000}"/>
    <cellStyle name="40% - Énfasis4 2 2 4 2 2 5" xfId="13486" xr:uid="{00000000-0005-0000-0000-0000AB340000}"/>
    <cellStyle name="40% - Énfasis4 2 2 4 2 3" xfId="13487" xr:uid="{00000000-0005-0000-0000-0000AC340000}"/>
    <cellStyle name="40% - Énfasis4 2 2 4 2 3 2" xfId="13488" xr:uid="{00000000-0005-0000-0000-0000AD340000}"/>
    <cellStyle name="40% - Énfasis4 2 2 4 2 3 2 2" xfId="13489" xr:uid="{00000000-0005-0000-0000-0000AE340000}"/>
    <cellStyle name="40% - Énfasis4 2 2 4 2 3 3" xfId="13490" xr:uid="{00000000-0005-0000-0000-0000AF340000}"/>
    <cellStyle name="40% - Énfasis4 2 2 4 2 3 3 2" xfId="13491" xr:uid="{00000000-0005-0000-0000-0000B0340000}"/>
    <cellStyle name="40% - Énfasis4 2 2 4 2 3 4" xfId="13492" xr:uid="{00000000-0005-0000-0000-0000B1340000}"/>
    <cellStyle name="40% - Énfasis4 2 2 4 2 3 5" xfId="13493" xr:uid="{00000000-0005-0000-0000-0000B2340000}"/>
    <cellStyle name="40% - Énfasis4 2 2 4 2 4" xfId="13494" xr:uid="{00000000-0005-0000-0000-0000B3340000}"/>
    <cellStyle name="40% - Énfasis4 2 2 4 2 4 2" xfId="13495" xr:uid="{00000000-0005-0000-0000-0000B4340000}"/>
    <cellStyle name="40% - Énfasis4 2 2 4 2 5" xfId="13496" xr:uid="{00000000-0005-0000-0000-0000B5340000}"/>
    <cellStyle name="40% - Énfasis4 2 2 4 2 5 2" xfId="13497" xr:uid="{00000000-0005-0000-0000-0000B6340000}"/>
    <cellStyle name="40% - Énfasis4 2 2 4 2 6" xfId="13498" xr:uid="{00000000-0005-0000-0000-0000B7340000}"/>
    <cellStyle name="40% - Énfasis4 2 2 4 2 7" xfId="13499" xr:uid="{00000000-0005-0000-0000-0000B8340000}"/>
    <cellStyle name="40% - Énfasis4 2 2 4 3" xfId="13500" xr:uid="{00000000-0005-0000-0000-0000B9340000}"/>
    <cellStyle name="40% - Énfasis4 2 2 4 3 2" xfId="13501" xr:uid="{00000000-0005-0000-0000-0000BA340000}"/>
    <cellStyle name="40% - Énfasis4 2 2 4 3 2 2" xfId="13502" xr:uid="{00000000-0005-0000-0000-0000BB340000}"/>
    <cellStyle name="40% - Énfasis4 2 2 4 3 2 2 2" xfId="13503" xr:uid="{00000000-0005-0000-0000-0000BC340000}"/>
    <cellStyle name="40% - Énfasis4 2 2 4 3 2 3" xfId="13504" xr:uid="{00000000-0005-0000-0000-0000BD340000}"/>
    <cellStyle name="40% - Énfasis4 2 2 4 3 2 4" xfId="13505" xr:uid="{00000000-0005-0000-0000-0000BE340000}"/>
    <cellStyle name="40% - Énfasis4 2 2 4 3 3" xfId="13506" xr:uid="{00000000-0005-0000-0000-0000BF340000}"/>
    <cellStyle name="40% - Énfasis4 2 2 4 3 3 2" xfId="13507" xr:uid="{00000000-0005-0000-0000-0000C0340000}"/>
    <cellStyle name="40% - Énfasis4 2 2 4 3 4" xfId="13508" xr:uid="{00000000-0005-0000-0000-0000C1340000}"/>
    <cellStyle name="40% - Énfasis4 2 2 4 3 5" xfId="13509" xr:uid="{00000000-0005-0000-0000-0000C2340000}"/>
    <cellStyle name="40% - Énfasis4 2 2 4 4" xfId="13510" xr:uid="{00000000-0005-0000-0000-0000C3340000}"/>
    <cellStyle name="40% - Énfasis4 2 2 4 4 2" xfId="13511" xr:uid="{00000000-0005-0000-0000-0000C4340000}"/>
    <cellStyle name="40% - Énfasis4 2 2 4 4 2 2" xfId="13512" xr:uid="{00000000-0005-0000-0000-0000C5340000}"/>
    <cellStyle name="40% - Énfasis4 2 2 4 4 3" xfId="13513" xr:uid="{00000000-0005-0000-0000-0000C6340000}"/>
    <cellStyle name="40% - Énfasis4 2 2 4 4 3 2" xfId="13514" xr:uid="{00000000-0005-0000-0000-0000C7340000}"/>
    <cellStyle name="40% - Énfasis4 2 2 4 4 4" xfId="13515" xr:uid="{00000000-0005-0000-0000-0000C8340000}"/>
    <cellStyle name="40% - Énfasis4 2 2 4 4 5" xfId="13516" xr:uid="{00000000-0005-0000-0000-0000C9340000}"/>
    <cellStyle name="40% - Énfasis4 2 2 4 5" xfId="13517" xr:uid="{00000000-0005-0000-0000-0000CA340000}"/>
    <cellStyle name="40% - Énfasis4 2 2 4 5 2" xfId="13518" xr:uid="{00000000-0005-0000-0000-0000CB340000}"/>
    <cellStyle name="40% - Énfasis4 2 2 4 6" xfId="13519" xr:uid="{00000000-0005-0000-0000-0000CC340000}"/>
    <cellStyle name="40% - Énfasis4 2 2 4 6 2" xfId="13520" xr:uid="{00000000-0005-0000-0000-0000CD340000}"/>
    <cellStyle name="40% - Énfasis4 2 2 4 7" xfId="13521" xr:uid="{00000000-0005-0000-0000-0000CE340000}"/>
    <cellStyle name="40% - Énfasis4 2 2 4 8" xfId="13522" xr:uid="{00000000-0005-0000-0000-0000CF340000}"/>
    <cellStyle name="40% - Énfasis4 2 2 5" xfId="13523" xr:uid="{00000000-0005-0000-0000-0000D0340000}"/>
    <cellStyle name="40% - Énfasis4 2 2 5 2" xfId="13524" xr:uid="{00000000-0005-0000-0000-0000D1340000}"/>
    <cellStyle name="40% - Énfasis4 2 2 5 2 2" xfId="13525" xr:uid="{00000000-0005-0000-0000-0000D2340000}"/>
    <cellStyle name="40% - Énfasis4 2 2 5 2 2 2" xfId="13526" xr:uid="{00000000-0005-0000-0000-0000D3340000}"/>
    <cellStyle name="40% - Énfasis4 2 2 5 2 2 2 2" xfId="13527" xr:uid="{00000000-0005-0000-0000-0000D4340000}"/>
    <cellStyle name="40% - Énfasis4 2 2 5 2 2 3" xfId="13528" xr:uid="{00000000-0005-0000-0000-0000D5340000}"/>
    <cellStyle name="40% - Énfasis4 2 2 5 2 2 4" xfId="13529" xr:uid="{00000000-0005-0000-0000-0000D6340000}"/>
    <cellStyle name="40% - Énfasis4 2 2 5 2 3" xfId="13530" xr:uid="{00000000-0005-0000-0000-0000D7340000}"/>
    <cellStyle name="40% - Énfasis4 2 2 5 2 3 2" xfId="13531" xr:uid="{00000000-0005-0000-0000-0000D8340000}"/>
    <cellStyle name="40% - Énfasis4 2 2 5 2 4" xfId="13532" xr:uid="{00000000-0005-0000-0000-0000D9340000}"/>
    <cellStyle name="40% - Énfasis4 2 2 5 2 5" xfId="13533" xr:uid="{00000000-0005-0000-0000-0000DA340000}"/>
    <cellStyle name="40% - Énfasis4 2 2 5 3" xfId="13534" xr:uid="{00000000-0005-0000-0000-0000DB340000}"/>
    <cellStyle name="40% - Énfasis4 2 2 5 3 2" xfId="13535" xr:uid="{00000000-0005-0000-0000-0000DC340000}"/>
    <cellStyle name="40% - Énfasis4 2 2 5 3 3" xfId="13536" xr:uid="{00000000-0005-0000-0000-0000DD340000}"/>
    <cellStyle name="40% - Énfasis4 2 2 5 4" xfId="13537" xr:uid="{00000000-0005-0000-0000-0000DE340000}"/>
    <cellStyle name="40% - Énfasis4 2 2 5 4 2" xfId="13538" xr:uid="{00000000-0005-0000-0000-0000DF340000}"/>
    <cellStyle name="40% - Énfasis4 2 2 5 5" xfId="13539" xr:uid="{00000000-0005-0000-0000-0000E0340000}"/>
    <cellStyle name="40% - Énfasis4 2 2 6" xfId="13540" xr:uid="{00000000-0005-0000-0000-0000E1340000}"/>
    <cellStyle name="40% - Énfasis4 2 2 6 2" xfId="13541" xr:uid="{00000000-0005-0000-0000-0000E2340000}"/>
    <cellStyle name="40% - Énfasis4 2 2 6 2 2" xfId="13542" xr:uid="{00000000-0005-0000-0000-0000E3340000}"/>
    <cellStyle name="40% - Énfasis4 2 2 6 2 2 2" xfId="13543" xr:uid="{00000000-0005-0000-0000-0000E4340000}"/>
    <cellStyle name="40% - Énfasis4 2 2 6 2 3" xfId="13544" xr:uid="{00000000-0005-0000-0000-0000E5340000}"/>
    <cellStyle name="40% - Énfasis4 2 2 6 2 3 2" xfId="13545" xr:uid="{00000000-0005-0000-0000-0000E6340000}"/>
    <cellStyle name="40% - Énfasis4 2 2 6 2 4" xfId="13546" xr:uid="{00000000-0005-0000-0000-0000E7340000}"/>
    <cellStyle name="40% - Énfasis4 2 2 6 2 5" xfId="13547" xr:uid="{00000000-0005-0000-0000-0000E8340000}"/>
    <cellStyle name="40% - Énfasis4 2 2 6 3" xfId="13548" xr:uid="{00000000-0005-0000-0000-0000E9340000}"/>
    <cellStyle name="40% - Énfasis4 2 2 6 3 2" xfId="13549" xr:uid="{00000000-0005-0000-0000-0000EA340000}"/>
    <cellStyle name="40% - Énfasis4 2 2 6 4" xfId="13550" xr:uid="{00000000-0005-0000-0000-0000EB340000}"/>
    <cellStyle name="40% - Énfasis4 2 2 6 4 2" xfId="13551" xr:uid="{00000000-0005-0000-0000-0000EC340000}"/>
    <cellStyle name="40% - Énfasis4 2 2 6 5" xfId="13552" xr:uid="{00000000-0005-0000-0000-0000ED340000}"/>
    <cellStyle name="40% - Énfasis4 2 2 6 6" xfId="13553" xr:uid="{00000000-0005-0000-0000-0000EE340000}"/>
    <cellStyle name="40% - Énfasis4 2 2 7" xfId="13554" xr:uid="{00000000-0005-0000-0000-0000EF340000}"/>
    <cellStyle name="40% - Énfasis4 2 2 7 2" xfId="13555" xr:uid="{00000000-0005-0000-0000-0000F0340000}"/>
    <cellStyle name="40% - Énfasis4 2 2 7 2 2" xfId="13556" xr:uid="{00000000-0005-0000-0000-0000F1340000}"/>
    <cellStyle name="40% - Énfasis4 2 2 7 3" xfId="13557" xr:uid="{00000000-0005-0000-0000-0000F2340000}"/>
    <cellStyle name="40% - Énfasis4 2 2 7 3 2" xfId="13558" xr:uid="{00000000-0005-0000-0000-0000F3340000}"/>
    <cellStyle name="40% - Énfasis4 2 2 7 4" xfId="13559" xr:uid="{00000000-0005-0000-0000-0000F4340000}"/>
    <cellStyle name="40% - Énfasis4 2 2 7 5" xfId="13560" xr:uid="{00000000-0005-0000-0000-0000F5340000}"/>
    <cellStyle name="40% - Énfasis4 2 2 8" xfId="13561" xr:uid="{00000000-0005-0000-0000-0000F6340000}"/>
    <cellStyle name="40% - Énfasis4 2 2 8 2" xfId="13562" xr:uid="{00000000-0005-0000-0000-0000F7340000}"/>
    <cellStyle name="40% - Énfasis4 2 2 8 2 2" xfId="13563" xr:uid="{00000000-0005-0000-0000-0000F8340000}"/>
    <cellStyle name="40% - Énfasis4 2 2 8 3" xfId="13564" xr:uid="{00000000-0005-0000-0000-0000F9340000}"/>
    <cellStyle name="40% - Énfasis4 2 2 9" xfId="13565" xr:uid="{00000000-0005-0000-0000-0000FA340000}"/>
    <cellStyle name="40% - Énfasis4 2 2 9 2" xfId="13566" xr:uid="{00000000-0005-0000-0000-0000FB340000}"/>
    <cellStyle name="40% - Énfasis4 2 3" xfId="13567" xr:uid="{00000000-0005-0000-0000-0000FC340000}"/>
    <cellStyle name="40% - Énfasis4 2 3 10" xfId="13568" xr:uid="{00000000-0005-0000-0000-0000FD340000}"/>
    <cellStyle name="40% - Énfasis4 2 3 2" xfId="13569" xr:uid="{00000000-0005-0000-0000-0000FE340000}"/>
    <cellStyle name="40% - Énfasis4 2 3 2 2" xfId="13570" xr:uid="{00000000-0005-0000-0000-0000FF340000}"/>
    <cellStyle name="40% - Énfasis4 2 3 2 2 2" xfId="13571" xr:uid="{00000000-0005-0000-0000-000000350000}"/>
    <cellStyle name="40% - Énfasis4 2 3 2 2 2 2" xfId="13572" xr:uid="{00000000-0005-0000-0000-000001350000}"/>
    <cellStyle name="40% - Énfasis4 2 3 2 2 2 2 2" xfId="13573" xr:uid="{00000000-0005-0000-0000-000002350000}"/>
    <cellStyle name="40% - Énfasis4 2 3 2 2 2 2 2 2" xfId="13574" xr:uid="{00000000-0005-0000-0000-000003350000}"/>
    <cellStyle name="40% - Énfasis4 2 3 2 2 2 2 2 2 2" xfId="13575" xr:uid="{00000000-0005-0000-0000-000004350000}"/>
    <cellStyle name="40% - Énfasis4 2 3 2 2 2 2 2 3" xfId="13576" xr:uid="{00000000-0005-0000-0000-000005350000}"/>
    <cellStyle name="40% - Énfasis4 2 3 2 2 2 2 2 4" xfId="13577" xr:uid="{00000000-0005-0000-0000-000006350000}"/>
    <cellStyle name="40% - Énfasis4 2 3 2 2 2 2 3" xfId="13578" xr:uid="{00000000-0005-0000-0000-000007350000}"/>
    <cellStyle name="40% - Énfasis4 2 3 2 2 2 2 3 2" xfId="13579" xr:uid="{00000000-0005-0000-0000-000008350000}"/>
    <cellStyle name="40% - Énfasis4 2 3 2 2 2 2 4" xfId="13580" xr:uid="{00000000-0005-0000-0000-000009350000}"/>
    <cellStyle name="40% - Énfasis4 2 3 2 2 2 2 5" xfId="13581" xr:uid="{00000000-0005-0000-0000-00000A350000}"/>
    <cellStyle name="40% - Énfasis4 2 3 2 2 2 3" xfId="13582" xr:uid="{00000000-0005-0000-0000-00000B350000}"/>
    <cellStyle name="40% - Énfasis4 2 3 2 2 2 3 2" xfId="13583" xr:uid="{00000000-0005-0000-0000-00000C350000}"/>
    <cellStyle name="40% - Énfasis4 2 3 2 2 2 3 2 2" xfId="13584" xr:uid="{00000000-0005-0000-0000-00000D350000}"/>
    <cellStyle name="40% - Énfasis4 2 3 2 2 2 3 3" xfId="13585" xr:uid="{00000000-0005-0000-0000-00000E350000}"/>
    <cellStyle name="40% - Énfasis4 2 3 2 2 2 3 4" xfId="13586" xr:uid="{00000000-0005-0000-0000-00000F350000}"/>
    <cellStyle name="40% - Énfasis4 2 3 2 2 2 4" xfId="13587" xr:uid="{00000000-0005-0000-0000-000010350000}"/>
    <cellStyle name="40% - Énfasis4 2 3 2 2 2 4 2" xfId="13588" xr:uid="{00000000-0005-0000-0000-000011350000}"/>
    <cellStyle name="40% - Énfasis4 2 3 2 2 2 5" xfId="13589" xr:uid="{00000000-0005-0000-0000-000012350000}"/>
    <cellStyle name="40% - Énfasis4 2 3 2 2 2 6" xfId="13590" xr:uid="{00000000-0005-0000-0000-000013350000}"/>
    <cellStyle name="40% - Énfasis4 2 3 2 2 3" xfId="13591" xr:uid="{00000000-0005-0000-0000-000014350000}"/>
    <cellStyle name="40% - Énfasis4 2 3 2 2 3 2" xfId="13592" xr:uid="{00000000-0005-0000-0000-000015350000}"/>
    <cellStyle name="40% - Énfasis4 2 3 2 2 3 2 2" xfId="13593" xr:uid="{00000000-0005-0000-0000-000016350000}"/>
    <cellStyle name="40% - Énfasis4 2 3 2 2 3 2 2 2" xfId="13594" xr:uid="{00000000-0005-0000-0000-000017350000}"/>
    <cellStyle name="40% - Énfasis4 2 3 2 2 3 2 3" xfId="13595" xr:uid="{00000000-0005-0000-0000-000018350000}"/>
    <cellStyle name="40% - Énfasis4 2 3 2 2 3 2 4" xfId="13596" xr:uid="{00000000-0005-0000-0000-000019350000}"/>
    <cellStyle name="40% - Énfasis4 2 3 2 2 3 3" xfId="13597" xr:uid="{00000000-0005-0000-0000-00001A350000}"/>
    <cellStyle name="40% - Énfasis4 2 3 2 2 3 3 2" xfId="13598" xr:uid="{00000000-0005-0000-0000-00001B350000}"/>
    <cellStyle name="40% - Énfasis4 2 3 2 2 3 4" xfId="13599" xr:uid="{00000000-0005-0000-0000-00001C350000}"/>
    <cellStyle name="40% - Énfasis4 2 3 2 2 3 5" xfId="13600" xr:uid="{00000000-0005-0000-0000-00001D350000}"/>
    <cellStyle name="40% - Énfasis4 2 3 2 2 4" xfId="13601" xr:uid="{00000000-0005-0000-0000-00001E350000}"/>
    <cellStyle name="40% - Énfasis4 2 3 2 2 4 2" xfId="13602" xr:uid="{00000000-0005-0000-0000-00001F350000}"/>
    <cellStyle name="40% - Énfasis4 2 3 2 2 4 2 2" xfId="13603" xr:uid="{00000000-0005-0000-0000-000020350000}"/>
    <cellStyle name="40% - Énfasis4 2 3 2 2 4 3" xfId="13604" xr:uid="{00000000-0005-0000-0000-000021350000}"/>
    <cellStyle name="40% - Énfasis4 2 3 2 2 4 4" xfId="13605" xr:uid="{00000000-0005-0000-0000-000022350000}"/>
    <cellStyle name="40% - Énfasis4 2 3 2 2 5" xfId="13606" xr:uid="{00000000-0005-0000-0000-000023350000}"/>
    <cellStyle name="40% - Énfasis4 2 3 2 2 5 2" xfId="13607" xr:uid="{00000000-0005-0000-0000-000024350000}"/>
    <cellStyle name="40% - Énfasis4 2 3 2 2 6" xfId="13608" xr:uid="{00000000-0005-0000-0000-000025350000}"/>
    <cellStyle name="40% - Énfasis4 2 3 2 2 7" xfId="13609" xr:uid="{00000000-0005-0000-0000-000026350000}"/>
    <cellStyle name="40% - Énfasis4 2 3 2 3" xfId="13610" xr:uid="{00000000-0005-0000-0000-000027350000}"/>
    <cellStyle name="40% - Énfasis4 2 3 2 3 2" xfId="13611" xr:uid="{00000000-0005-0000-0000-000028350000}"/>
    <cellStyle name="40% - Énfasis4 2 3 2 3 2 2" xfId="13612" xr:uid="{00000000-0005-0000-0000-000029350000}"/>
    <cellStyle name="40% - Énfasis4 2 3 2 3 2 2 2" xfId="13613" xr:uid="{00000000-0005-0000-0000-00002A350000}"/>
    <cellStyle name="40% - Énfasis4 2 3 2 3 2 2 2 2" xfId="13614" xr:uid="{00000000-0005-0000-0000-00002B350000}"/>
    <cellStyle name="40% - Énfasis4 2 3 2 3 2 2 3" xfId="13615" xr:uid="{00000000-0005-0000-0000-00002C350000}"/>
    <cellStyle name="40% - Énfasis4 2 3 2 3 2 2 4" xfId="13616" xr:uid="{00000000-0005-0000-0000-00002D350000}"/>
    <cellStyle name="40% - Énfasis4 2 3 2 3 2 3" xfId="13617" xr:uid="{00000000-0005-0000-0000-00002E350000}"/>
    <cellStyle name="40% - Énfasis4 2 3 2 3 2 3 2" xfId="13618" xr:uid="{00000000-0005-0000-0000-00002F350000}"/>
    <cellStyle name="40% - Énfasis4 2 3 2 3 2 4" xfId="13619" xr:uid="{00000000-0005-0000-0000-000030350000}"/>
    <cellStyle name="40% - Énfasis4 2 3 2 3 2 5" xfId="13620" xr:uid="{00000000-0005-0000-0000-000031350000}"/>
    <cellStyle name="40% - Énfasis4 2 3 2 3 3" xfId="13621" xr:uid="{00000000-0005-0000-0000-000032350000}"/>
    <cellStyle name="40% - Énfasis4 2 3 2 3 3 2" xfId="13622" xr:uid="{00000000-0005-0000-0000-000033350000}"/>
    <cellStyle name="40% - Énfasis4 2 3 2 3 3 2 2" xfId="13623" xr:uid="{00000000-0005-0000-0000-000034350000}"/>
    <cellStyle name="40% - Énfasis4 2 3 2 3 3 3" xfId="13624" xr:uid="{00000000-0005-0000-0000-000035350000}"/>
    <cellStyle name="40% - Énfasis4 2 3 2 3 3 3 2" xfId="13625" xr:uid="{00000000-0005-0000-0000-000036350000}"/>
    <cellStyle name="40% - Énfasis4 2 3 2 3 3 4" xfId="13626" xr:uid="{00000000-0005-0000-0000-000037350000}"/>
    <cellStyle name="40% - Énfasis4 2 3 2 3 3 5" xfId="13627" xr:uid="{00000000-0005-0000-0000-000038350000}"/>
    <cellStyle name="40% - Énfasis4 2 3 2 3 4" xfId="13628" xr:uid="{00000000-0005-0000-0000-000039350000}"/>
    <cellStyle name="40% - Énfasis4 2 3 2 3 4 2" xfId="13629" xr:uid="{00000000-0005-0000-0000-00003A350000}"/>
    <cellStyle name="40% - Énfasis4 2 3 2 3 5" xfId="13630" xr:uid="{00000000-0005-0000-0000-00003B350000}"/>
    <cellStyle name="40% - Énfasis4 2 3 2 3 5 2" xfId="13631" xr:uid="{00000000-0005-0000-0000-00003C350000}"/>
    <cellStyle name="40% - Énfasis4 2 3 2 3 6" xfId="13632" xr:uid="{00000000-0005-0000-0000-00003D350000}"/>
    <cellStyle name="40% - Énfasis4 2 3 2 3 7" xfId="13633" xr:uid="{00000000-0005-0000-0000-00003E350000}"/>
    <cellStyle name="40% - Énfasis4 2 3 2 4" xfId="13634" xr:uid="{00000000-0005-0000-0000-00003F350000}"/>
    <cellStyle name="40% - Énfasis4 2 3 2 4 2" xfId="13635" xr:uid="{00000000-0005-0000-0000-000040350000}"/>
    <cellStyle name="40% - Énfasis4 2 3 2 4 2 2" xfId="13636" xr:uid="{00000000-0005-0000-0000-000041350000}"/>
    <cellStyle name="40% - Énfasis4 2 3 2 4 2 2 2" xfId="13637" xr:uid="{00000000-0005-0000-0000-000042350000}"/>
    <cellStyle name="40% - Énfasis4 2 3 2 4 2 3" xfId="13638" xr:uid="{00000000-0005-0000-0000-000043350000}"/>
    <cellStyle name="40% - Énfasis4 2 3 2 4 2 4" xfId="13639" xr:uid="{00000000-0005-0000-0000-000044350000}"/>
    <cellStyle name="40% - Énfasis4 2 3 2 4 3" xfId="13640" xr:uid="{00000000-0005-0000-0000-000045350000}"/>
    <cellStyle name="40% - Énfasis4 2 3 2 4 3 2" xfId="13641" xr:uid="{00000000-0005-0000-0000-000046350000}"/>
    <cellStyle name="40% - Énfasis4 2 3 2 4 4" xfId="13642" xr:uid="{00000000-0005-0000-0000-000047350000}"/>
    <cellStyle name="40% - Énfasis4 2 3 2 4 5" xfId="13643" xr:uid="{00000000-0005-0000-0000-000048350000}"/>
    <cellStyle name="40% - Énfasis4 2 3 2 5" xfId="13644" xr:uid="{00000000-0005-0000-0000-000049350000}"/>
    <cellStyle name="40% - Énfasis4 2 3 2 5 2" xfId="13645" xr:uid="{00000000-0005-0000-0000-00004A350000}"/>
    <cellStyle name="40% - Énfasis4 2 3 2 5 2 2" xfId="13646" xr:uid="{00000000-0005-0000-0000-00004B350000}"/>
    <cellStyle name="40% - Énfasis4 2 3 2 5 3" xfId="13647" xr:uid="{00000000-0005-0000-0000-00004C350000}"/>
    <cellStyle name="40% - Énfasis4 2 3 2 5 3 2" xfId="13648" xr:uid="{00000000-0005-0000-0000-00004D350000}"/>
    <cellStyle name="40% - Énfasis4 2 3 2 5 4" xfId="13649" xr:uid="{00000000-0005-0000-0000-00004E350000}"/>
    <cellStyle name="40% - Énfasis4 2 3 2 5 5" xfId="13650" xr:uid="{00000000-0005-0000-0000-00004F350000}"/>
    <cellStyle name="40% - Énfasis4 2 3 2 6" xfId="13651" xr:uid="{00000000-0005-0000-0000-000050350000}"/>
    <cellStyle name="40% - Énfasis4 2 3 2 6 2" xfId="13652" xr:uid="{00000000-0005-0000-0000-000051350000}"/>
    <cellStyle name="40% - Énfasis4 2 3 2 7" xfId="13653" xr:uid="{00000000-0005-0000-0000-000052350000}"/>
    <cellStyle name="40% - Énfasis4 2 3 2 7 2" xfId="13654" xr:uid="{00000000-0005-0000-0000-000053350000}"/>
    <cellStyle name="40% - Énfasis4 2 3 2 8" xfId="13655" xr:uid="{00000000-0005-0000-0000-000054350000}"/>
    <cellStyle name="40% - Énfasis4 2 3 2 9" xfId="13656" xr:uid="{00000000-0005-0000-0000-000055350000}"/>
    <cellStyle name="40% - Énfasis4 2 3 3" xfId="13657" xr:uid="{00000000-0005-0000-0000-000056350000}"/>
    <cellStyle name="40% - Énfasis4 2 3 3 2" xfId="13658" xr:uid="{00000000-0005-0000-0000-000057350000}"/>
    <cellStyle name="40% - Énfasis4 2 3 3 2 2" xfId="13659" xr:uid="{00000000-0005-0000-0000-000058350000}"/>
    <cellStyle name="40% - Énfasis4 2 3 3 2 2 2" xfId="13660" xr:uid="{00000000-0005-0000-0000-000059350000}"/>
    <cellStyle name="40% - Énfasis4 2 3 3 2 2 2 2" xfId="13661" xr:uid="{00000000-0005-0000-0000-00005A350000}"/>
    <cellStyle name="40% - Énfasis4 2 3 3 2 2 2 2 2" xfId="13662" xr:uid="{00000000-0005-0000-0000-00005B350000}"/>
    <cellStyle name="40% - Énfasis4 2 3 3 2 2 2 3" xfId="13663" xr:uid="{00000000-0005-0000-0000-00005C350000}"/>
    <cellStyle name="40% - Énfasis4 2 3 3 2 2 2 4" xfId="13664" xr:uid="{00000000-0005-0000-0000-00005D350000}"/>
    <cellStyle name="40% - Énfasis4 2 3 3 2 2 3" xfId="13665" xr:uid="{00000000-0005-0000-0000-00005E350000}"/>
    <cellStyle name="40% - Énfasis4 2 3 3 2 2 3 2" xfId="13666" xr:uid="{00000000-0005-0000-0000-00005F350000}"/>
    <cellStyle name="40% - Énfasis4 2 3 3 2 2 4" xfId="13667" xr:uid="{00000000-0005-0000-0000-000060350000}"/>
    <cellStyle name="40% - Énfasis4 2 3 3 2 2 5" xfId="13668" xr:uid="{00000000-0005-0000-0000-000061350000}"/>
    <cellStyle name="40% - Énfasis4 2 3 3 2 3" xfId="13669" xr:uid="{00000000-0005-0000-0000-000062350000}"/>
    <cellStyle name="40% - Énfasis4 2 3 3 2 3 2" xfId="13670" xr:uid="{00000000-0005-0000-0000-000063350000}"/>
    <cellStyle name="40% - Énfasis4 2 3 3 2 3 2 2" xfId="13671" xr:uid="{00000000-0005-0000-0000-000064350000}"/>
    <cellStyle name="40% - Énfasis4 2 3 3 2 3 3" xfId="13672" xr:uid="{00000000-0005-0000-0000-000065350000}"/>
    <cellStyle name="40% - Énfasis4 2 3 3 2 3 3 2" xfId="13673" xr:uid="{00000000-0005-0000-0000-000066350000}"/>
    <cellStyle name="40% - Énfasis4 2 3 3 2 3 4" xfId="13674" xr:uid="{00000000-0005-0000-0000-000067350000}"/>
    <cellStyle name="40% - Énfasis4 2 3 3 2 3 5" xfId="13675" xr:uid="{00000000-0005-0000-0000-000068350000}"/>
    <cellStyle name="40% - Énfasis4 2 3 3 2 4" xfId="13676" xr:uid="{00000000-0005-0000-0000-000069350000}"/>
    <cellStyle name="40% - Énfasis4 2 3 3 2 4 2" xfId="13677" xr:uid="{00000000-0005-0000-0000-00006A350000}"/>
    <cellStyle name="40% - Énfasis4 2 3 3 2 5" xfId="13678" xr:uid="{00000000-0005-0000-0000-00006B350000}"/>
    <cellStyle name="40% - Énfasis4 2 3 3 2 5 2" xfId="13679" xr:uid="{00000000-0005-0000-0000-00006C350000}"/>
    <cellStyle name="40% - Énfasis4 2 3 3 2 6" xfId="13680" xr:uid="{00000000-0005-0000-0000-00006D350000}"/>
    <cellStyle name="40% - Énfasis4 2 3 3 2 7" xfId="13681" xr:uid="{00000000-0005-0000-0000-00006E350000}"/>
    <cellStyle name="40% - Énfasis4 2 3 3 3" xfId="13682" xr:uid="{00000000-0005-0000-0000-00006F350000}"/>
    <cellStyle name="40% - Énfasis4 2 3 3 3 2" xfId="13683" xr:uid="{00000000-0005-0000-0000-000070350000}"/>
    <cellStyle name="40% - Énfasis4 2 3 3 3 2 2" xfId="13684" xr:uid="{00000000-0005-0000-0000-000071350000}"/>
    <cellStyle name="40% - Énfasis4 2 3 3 3 2 2 2" xfId="13685" xr:uid="{00000000-0005-0000-0000-000072350000}"/>
    <cellStyle name="40% - Énfasis4 2 3 3 3 2 3" xfId="13686" xr:uid="{00000000-0005-0000-0000-000073350000}"/>
    <cellStyle name="40% - Énfasis4 2 3 3 3 2 4" xfId="13687" xr:uid="{00000000-0005-0000-0000-000074350000}"/>
    <cellStyle name="40% - Énfasis4 2 3 3 3 3" xfId="13688" xr:uid="{00000000-0005-0000-0000-000075350000}"/>
    <cellStyle name="40% - Énfasis4 2 3 3 3 3 2" xfId="13689" xr:uid="{00000000-0005-0000-0000-000076350000}"/>
    <cellStyle name="40% - Énfasis4 2 3 3 3 4" xfId="13690" xr:uid="{00000000-0005-0000-0000-000077350000}"/>
    <cellStyle name="40% - Énfasis4 2 3 3 3 5" xfId="13691" xr:uid="{00000000-0005-0000-0000-000078350000}"/>
    <cellStyle name="40% - Énfasis4 2 3 3 4" xfId="13692" xr:uid="{00000000-0005-0000-0000-000079350000}"/>
    <cellStyle name="40% - Énfasis4 2 3 3 4 2" xfId="13693" xr:uid="{00000000-0005-0000-0000-00007A350000}"/>
    <cellStyle name="40% - Énfasis4 2 3 3 4 2 2" xfId="13694" xr:uid="{00000000-0005-0000-0000-00007B350000}"/>
    <cellStyle name="40% - Énfasis4 2 3 3 4 3" xfId="13695" xr:uid="{00000000-0005-0000-0000-00007C350000}"/>
    <cellStyle name="40% - Énfasis4 2 3 3 4 3 2" xfId="13696" xr:uid="{00000000-0005-0000-0000-00007D350000}"/>
    <cellStyle name="40% - Énfasis4 2 3 3 4 4" xfId="13697" xr:uid="{00000000-0005-0000-0000-00007E350000}"/>
    <cellStyle name="40% - Énfasis4 2 3 3 4 5" xfId="13698" xr:uid="{00000000-0005-0000-0000-00007F350000}"/>
    <cellStyle name="40% - Énfasis4 2 3 3 5" xfId="13699" xr:uid="{00000000-0005-0000-0000-000080350000}"/>
    <cellStyle name="40% - Énfasis4 2 3 3 5 2" xfId="13700" xr:uid="{00000000-0005-0000-0000-000081350000}"/>
    <cellStyle name="40% - Énfasis4 2 3 3 6" xfId="13701" xr:uid="{00000000-0005-0000-0000-000082350000}"/>
    <cellStyle name="40% - Énfasis4 2 3 3 6 2" xfId="13702" xr:uid="{00000000-0005-0000-0000-000083350000}"/>
    <cellStyle name="40% - Énfasis4 2 3 3 7" xfId="13703" xr:uid="{00000000-0005-0000-0000-000084350000}"/>
    <cellStyle name="40% - Énfasis4 2 3 3 8" xfId="13704" xr:uid="{00000000-0005-0000-0000-000085350000}"/>
    <cellStyle name="40% - Énfasis4 2 3 4" xfId="13705" xr:uid="{00000000-0005-0000-0000-000086350000}"/>
    <cellStyle name="40% - Énfasis4 2 3 4 2" xfId="13706" xr:uid="{00000000-0005-0000-0000-000087350000}"/>
    <cellStyle name="40% - Énfasis4 2 3 4 2 2" xfId="13707" xr:uid="{00000000-0005-0000-0000-000088350000}"/>
    <cellStyle name="40% - Énfasis4 2 3 4 2 2 2" xfId="13708" xr:uid="{00000000-0005-0000-0000-000089350000}"/>
    <cellStyle name="40% - Énfasis4 2 3 4 2 2 2 2" xfId="13709" xr:uid="{00000000-0005-0000-0000-00008A350000}"/>
    <cellStyle name="40% - Énfasis4 2 3 4 2 2 3" xfId="13710" xr:uid="{00000000-0005-0000-0000-00008B350000}"/>
    <cellStyle name="40% - Énfasis4 2 3 4 2 2 4" xfId="13711" xr:uid="{00000000-0005-0000-0000-00008C350000}"/>
    <cellStyle name="40% - Énfasis4 2 3 4 2 3" xfId="13712" xr:uid="{00000000-0005-0000-0000-00008D350000}"/>
    <cellStyle name="40% - Énfasis4 2 3 4 2 3 2" xfId="13713" xr:uid="{00000000-0005-0000-0000-00008E350000}"/>
    <cellStyle name="40% - Énfasis4 2 3 4 2 4" xfId="13714" xr:uid="{00000000-0005-0000-0000-00008F350000}"/>
    <cellStyle name="40% - Énfasis4 2 3 4 2 5" xfId="13715" xr:uid="{00000000-0005-0000-0000-000090350000}"/>
    <cellStyle name="40% - Énfasis4 2 3 4 3" xfId="13716" xr:uid="{00000000-0005-0000-0000-000091350000}"/>
    <cellStyle name="40% - Énfasis4 2 3 4 3 2" xfId="13717" xr:uid="{00000000-0005-0000-0000-000092350000}"/>
    <cellStyle name="40% - Énfasis4 2 3 4 3 2 2" xfId="13718" xr:uid="{00000000-0005-0000-0000-000093350000}"/>
    <cellStyle name="40% - Énfasis4 2 3 4 3 3" xfId="13719" xr:uid="{00000000-0005-0000-0000-000094350000}"/>
    <cellStyle name="40% - Énfasis4 2 3 4 3 3 2" xfId="13720" xr:uid="{00000000-0005-0000-0000-000095350000}"/>
    <cellStyle name="40% - Énfasis4 2 3 4 3 4" xfId="13721" xr:uid="{00000000-0005-0000-0000-000096350000}"/>
    <cellStyle name="40% - Énfasis4 2 3 4 3 5" xfId="13722" xr:uid="{00000000-0005-0000-0000-000097350000}"/>
    <cellStyle name="40% - Énfasis4 2 3 4 4" xfId="13723" xr:uid="{00000000-0005-0000-0000-000098350000}"/>
    <cellStyle name="40% - Énfasis4 2 3 4 4 2" xfId="13724" xr:uid="{00000000-0005-0000-0000-000099350000}"/>
    <cellStyle name="40% - Énfasis4 2 3 4 5" xfId="13725" xr:uid="{00000000-0005-0000-0000-00009A350000}"/>
    <cellStyle name="40% - Énfasis4 2 3 4 5 2" xfId="13726" xr:uid="{00000000-0005-0000-0000-00009B350000}"/>
    <cellStyle name="40% - Énfasis4 2 3 4 6" xfId="13727" xr:uid="{00000000-0005-0000-0000-00009C350000}"/>
    <cellStyle name="40% - Énfasis4 2 3 4 7" xfId="13728" xr:uid="{00000000-0005-0000-0000-00009D350000}"/>
    <cellStyle name="40% - Énfasis4 2 3 5" xfId="13729" xr:uid="{00000000-0005-0000-0000-00009E350000}"/>
    <cellStyle name="40% - Énfasis4 2 3 5 2" xfId="13730" xr:uid="{00000000-0005-0000-0000-00009F350000}"/>
    <cellStyle name="40% - Énfasis4 2 3 5 2 2" xfId="13731" xr:uid="{00000000-0005-0000-0000-0000A0350000}"/>
    <cellStyle name="40% - Énfasis4 2 3 5 2 2 2" xfId="13732" xr:uid="{00000000-0005-0000-0000-0000A1350000}"/>
    <cellStyle name="40% - Énfasis4 2 3 5 2 3" xfId="13733" xr:uid="{00000000-0005-0000-0000-0000A2350000}"/>
    <cellStyle name="40% - Énfasis4 2 3 5 2 4" xfId="13734" xr:uid="{00000000-0005-0000-0000-0000A3350000}"/>
    <cellStyle name="40% - Énfasis4 2 3 5 3" xfId="13735" xr:uid="{00000000-0005-0000-0000-0000A4350000}"/>
    <cellStyle name="40% - Énfasis4 2 3 5 3 2" xfId="13736" xr:uid="{00000000-0005-0000-0000-0000A5350000}"/>
    <cellStyle name="40% - Énfasis4 2 3 5 4" xfId="13737" xr:uid="{00000000-0005-0000-0000-0000A6350000}"/>
    <cellStyle name="40% - Énfasis4 2 3 5 5" xfId="13738" xr:uid="{00000000-0005-0000-0000-0000A7350000}"/>
    <cellStyle name="40% - Énfasis4 2 3 6" xfId="13739" xr:uid="{00000000-0005-0000-0000-0000A8350000}"/>
    <cellStyle name="40% - Énfasis4 2 3 6 2" xfId="13740" xr:uid="{00000000-0005-0000-0000-0000A9350000}"/>
    <cellStyle name="40% - Énfasis4 2 3 6 2 2" xfId="13741" xr:uid="{00000000-0005-0000-0000-0000AA350000}"/>
    <cellStyle name="40% - Énfasis4 2 3 6 3" xfId="13742" xr:uid="{00000000-0005-0000-0000-0000AB350000}"/>
    <cellStyle name="40% - Énfasis4 2 3 6 3 2" xfId="13743" xr:uid="{00000000-0005-0000-0000-0000AC350000}"/>
    <cellStyle name="40% - Énfasis4 2 3 6 4" xfId="13744" xr:uid="{00000000-0005-0000-0000-0000AD350000}"/>
    <cellStyle name="40% - Énfasis4 2 3 6 5" xfId="13745" xr:uid="{00000000-0005-0000-0000-0000AE350000}"/>
    <cellStyle name="40% - Énfasis4 2 3 7" xfId="13746" xr:uid="{00000000-0005-0000-0000-0000AF350000}"/>
    <cellStyle name="40% - Énfasis4 2 3 7 2" xfId="13747" xr:uid="{00000000-0005-0000-0000-0000B0350000}"/>
    <cellStyle name="40% - Énfasis4 2 3 8" xfId="13748" xr:uid="{00000000-0005-0000-0000-0000B1350000}"/>
    <cellStyle name="40% - Énfasis4 2 3 8 2" xfId="13749" xr:uid="{00000000-0005-0000-0000-0000B2350000}"/>
    <cellStyle name="40% - Énfasis4 2 3 9" xfId="13750" xr:uid="{00000000-0005-0000-0000-0000B3350000}"/>
    <cellStyle name="40% - Énfasis4 2 4" xfId="13751" xr:uid="{00000000-0005-0000-0000-0000B4350000}"/>
    <cellStyle name="40% - Énfasis4 2 4 2" xfId="13752" xr:uid="{00000000-0005-0000-0000-0000B5350000}"/>
    <cellStyle name="40% - Énfasis4 2 4 2 2" xfId="13753" xr:uid="{00000000-0005-0000-0000-0000B6350000}"/>
    <cellStyle name="40% - Énfasis4 2 4 2 2 2" xfId="13754" xr:uid="{00000000-0005-0000-0000-0000B7350000}"/>
    <cellStyle name="40% - Énfasis4 2 4 2 2 2 2" xfId="13755" xr:uid="{00000000-0005-0000-0000-0000B8350000}"/>
    <cellStyle name="40% - Énfasis4 2 4 2 2 2 2 2" xfId="13756" xr:uid="{00000000-0005-0000-0000-0000B9350000}"/>
    <cellStyle name="40% - Énfasis4 2 4 2 2 2 2 2 2" xfId="13757" xr:uid="{00000000-0005-0000-0000-0000BA350000}"/>
    <cellStyle name="40% - Énfasis4 2 4 2 2 2 2 3" xfId="13758" xr:uid="{00000000-0005-0000-0000-0000BB350000}"/>
    <cellStyle name="40% - Énfasis4 2 4 2 2 2 2 4" xfId="13759" xr:uid="{00000000-0005-0000-0000-0000BC350000}"/>
    <cellStyle name="40% - Énfasis4 2 4 2 2 2 3" xfId="13760" xr:uid="{00000000-0005-0000-0000-0000BD350000}"/>
    <cellStyle name="40% - Énfasis4 2 4 2 2 2 3 2" xfId="13761" xr:uid="{00000000-0005-0000-0000-0000BE350000}"/>
    <cellStyle name="40% - Énfasis4 2 4 2 2 2 4" xfId="13762" xr:uid="{00000000-0005-0000-0000-0000BF350000}"/>
    <cellStyle name="40% - Énfasis4 2 4 2 2 2 5" xfId="13763" xr:uid="{00000000-0005-0000-0000-0000C0350000}"/>
    <cellStyle name="40% - Énfasis4 2 4 2 2 3" xfId="13764" xr:uid="{00000000-0005-0000-0000-0000C1350000}"/>
    <cellStyle name="40% - Énfasis4 2 4 2 2 3 2" xfId="13765" xr:uid="{00000000-0005-0000-0000-0000C2350000}"/>
    <cellStyle name="40% - Énfasis4 2 4 2 2 3 2 2" xfId="13766" xr:uid="{00000000-0005-0000-0000-0000C3350000}"/>
    <cellStyle name="40% - Énfasis4 2 4 2 2 3 3" xfId="13767" xr:uid="{00000000-0005-0000-0000-0000C4350000}"/>
    <cellStyle name="40% - Énfasis4 2 4 2 2 3 4" xfId="13768" xr:uid="{00000000-0005-0000-0000-0000C5350000}"/>
    <cellStyle name="40% - Énfasis4 2 4 2 2 4" xfId="13769" xr:uid="{00000000-0005-0000-0000-0000C6350000}"/>
    <cellStyle name="40% - Énfasis4 2 4 2 2 4 2" xfId="13770" xr:uid="{00000000-0005-0000-0000-0000C7350000}"/>
    <cellStyle name="40% - Énfasis4 2 4 2 2 5" xfId="13771" xr:uid="{00000000-0005-0000-0000-0000C8350000}"/>
    <cellStyle name="40% - Énfasis4 2 4 2 2 6" xfId="13772" xr:uid="{00000000-0005-0000-0000-0000C9350000}"/>
    <cellStyle name="40% - Énfasis4 2 4 2 3" xfId="13773" xr:uid="{00000000-0005-0000-0000-0000CA350000}"/>
    <cellStyle name="40% - Énfasis4 2 4 2 3 2" xfId="13774" xr:uid="{00000000-0005-0000-0000-0000CB350000}"/>
    <cellStyle name="40% - Énfasis4 2 4 2 3 2 2" xfId="13775" xr:uid="{00000000-0005-0000-0000-0000CC350000}"/>
    <cellStyle name="40% - Énfasis4 2 4 2 3 2 2 2" xfId="13776" xr:uid="{00000000-0005-0000-0000-0000CD350000}"/>
    <cellStyle name="40% - Énfasis4 2 4 2 3 2 3" xfId="13777" xr:uid="{00000000-0005-0000-0000-0000CE350000}"/>
    <cellStyle name="40% - Énfasis4 2 4 2 3 2 4" xfId="13778" xr:uid="{00000000-0005-0000-0000-0000CF350000}"/>
    <cellStyle name="40% - Énfasis4 2 4 2 3 3" xfId="13779" xr:uid="{00000000-0005-0000-0000-0000D0350000}"/>
    <cellStyle name="40% - Énfasis4 2 4 2 3 3 2" xfId="13780" xr:uid="{00000000-0005-0000-0000-0000D1350000}"/>
    <cellStyle name="40% - Énfasis4 2 4 2 3 4" xfId="13781" xr:uid="{00000000-0005-0000-0000-0000D2350000}"/>
    <cellStyle name="40% - Énfasis4 2 4 2 3 5" xfId="13782" xr:uid="{00000000-0005-0000-0000-0000D3350000}"/>
    <cellStyle name="40% - Énfasis4 2 4 2 4" xfId="13783" xr:uid="{00000000-0005-0000-0000-0000D4350000}"/>
    <cellStyle name="40% - Énfasis4 2 4 2 4 2" xfId="13784" xr:uid="{00000000-0005-0000-0000-0000D5350000}"/>
    <cellStyle name="40% - Énfasis4 2 4 2 4 2 2" xfId="13785" xr:uid="{00000000-0005-0000-0000-0000D6350000}"/>
    <cellStyle name="40% - Énfasis4 2 4 2 4 3" xfId="13786" xr:uid="{00000000-0005-0000-0000-0000D7350000}"/>
    <cellStyle name="40% - Énfasis4 2 4 2 4 4" xfId="13787" xr:uid="{00000000-0005-0000-0000-0000D8350000}"/>
    <cellStyle name="40% - Énfasis4 2 4 2 5" xfId="13788" xr:uid="{00000000-0005-0000-0000-0000D9350000}"/>
    <cellStyle name="40% - Énfasis4 2 4 2 5 2" xfId="13789" xr:uid="{00000000-0005-0000-0000-0000DA350000}"/>
    <cellStyle name="40% - Énfasis4 2 4 2 6" xfId="13790" xr:uid="{00000000-0005-0000-0000-0000DB350000}"/>
    <cellStyle name="40% - Énfasis4 2 4 2 7" xfId="13791" xr:uid="{00000000-0005-0000-0000-0000DC350000}"/>
    <cellStyle name="40% - Énfasis4 2 4 3" xfId="13792" xr:uid="{00000000-0005-0000-0000-0000DD350000}"/>
    <cellStyle name="40% - Énfasis4 2 4 3 2" xfId="13793" xr:uid="{00000000-0005-0000-0000-0000DE350000}"/>
    <cellStyle name="40% - Énfasis4 2 4 3 2 2" xfId="13794" xr:uid="{00000000-0005-0000-0000-0000DF350000}"/>
    <cellStyle name="40% - Énfasis4 2 4 3 2 2 2" xfId="13795" xr:uid="{00000000-0005-0000-0000-0000E0350000}"/>
    <cellStyle name="40% - Énfasis4 2 4 3 2 2 2 2" xfId="13796" xr:uid="{00000000-0005-0000-0000-0000E1350000}"/>
    <cellStyle name="40% - Énfasis4 2 4 3 2 2 3" xfId="13797" xr:uid="{00000000-0005-0000-0000-0000E2350000}"/>
    <cellStyle name="40% - Énfasis4 2 4 3 2 2 4" xfId="13798" xr:uid="{00000000-0005-0000-0000-0000E3350000}"/>
    <cellStyle name="40% - Énfasis4 2 4 3 2 3" xfId="13799" xr:uid="{00000000-0005-0000-0000-0000E4350000}"/>
    <cellStyle name="40% - Énfasis4 2 4 3 2 3 2" xfId="13800" xr:uid="{00000000-0005-0000-0000-0000E5350000}"/>
    <cellStyle name="40% - Énfasis4 2 4 3 2 4" xfId="13801" xr:uid="{00000000-0005-0000-0000-0000E6350000}"/>
    <cellStyle name="40% - Énfasis4 2 4 3 2 5" xfId="13802" xr:uid="{00000000-0005-0000-0000-0000E7350000}"/>
    <cellStyle name="40% - Énfasis4 2 4 3 3" xfId="13803" xr:uid="{00000000-0005-0000-0000-0000E8350000}"/>
    <cellStyle name="40% - Énfasis4 2 4 3 3 2" xfId="13804" xr:uid="{00000000-0005-0000-0000-0000E9350000}"/>
    <cellStyle name="40% - Énfasis4 2 4 3 3 2 2" xfId="13805" xr:uid="{00000000-0005-0000-0000-0000EA350000}"/>
    <cellStyle name="40% - Énfasis4 2 4 3 3 3" xfId="13806" xr:uid="{00000000-0005-0000-0000-0000EB350000}"/>
    <cellStyle name="40% - Énfasis4 2 4 3 3 3 2" xfId="13807" xr:uid="{00000000-0005-0000-0000-0000EC350000}"/>
    <cellStyle name="40% - Énfasis4 2 4 3 3 4" xfId="13808" xr:uid="{00000000-0005-0000-0000-0000ED350000}"/>
    <cellStyle name="40% - Énfasis4 2 4 3 3 5" xfId="13809" xr:uid="{00000000-0005-0000-0000-0000EE350000}"/>
    <cellStyle name="40% - Énfasis4 2 4 3 4" xfId="13810" xr:uid="{00000000-0005-0000-0000-0000EF350000}"/>
    <cellStyle name="40% - Énfasis4 2 4 3 4 2" xfId="13811" xr:uid="{00000000-0005-0000-0000-0000F0350000}"/>
    <cellStyle name="40% - Énfasis4 2 4 3 5" xfId="13812" xr:uid="{00000000-0005-0000-0000-0000F1350000}"/>
    <cellStyle name="40% - Énfasis4 2 4 3 5 2" xfId="13813" xr:uid="{00000000-0005-0000-0000-0000F2350000}"/>
    <cellStyle name="40% - Énfasis4 2 4 3 6" xfId="13814" xr:uid="{00000000-0005-0000-0000-0000F3350000}"/>
    <cellStyle name="40% - Énfasis4 2 4 3 7" xfId="13815" xr:uid="{00000000-0005-0000-0000-0000F4350000}"/>
    <cellStyle name="40% - Énfasis4 2 4 4" xfId="13816" xr:uid="{00000000-0005-0000-0000-0000F5350000}"/>
    <cellStyle name="40% - Énfasis4 2 4 4 2" xfId="13817" xr:uid="{00000000-0005-0000-0000-0000F6350000}"/>
    <cellStyle name="40% - Énfasis4 2 4 4 2 2" xfId="13818" xr:uid="{00000000-0005-0000-0000-0000F7350000}"/>
    <cellStyle name="40% - Énfasis4 2 4 4 2 2 2" xfId="13819" xr:uid="{00000000-0005-0000-0000-0000F8350000}"/>
    <cellStyle name="40% - Énfasis4 2 4 4 2 3" xfId="13820" xr:uid="{00000000-0005-0000-0000-0000F9350000}"/>
    <cellStyle name="40% - Énfasis4 2 4 4 2 4" xfId="13821" xr:uid="{00000000-0005-0000-0000-0000FA350000}"/>
    <cellStyle name="40% - Énfasis4 2 4 4 3" xfId="13822" xr:uid="{00000000-0005-0000-0000-0000FB350000}"/>
    <cellStyle name="40% - Énfasis4 2 4 4 3 2" xfId="13823" xr:uid="{00000000-0005-0000-0000-0000FC350000}"/>
    <cellStyle name="40% - Énfasis4 2 4 4 4" xfId="13824" xr:uid="{00000000-0005-0000-0000-0000FD350000}"/>
    <cellStyle name="40% - Énfasis4 2 4 4 5" xfId="13825" xr:uid="{00000000-0005-0000-0000-0000FE350000}"/>
    <cellStyle name="40% - Énfasis4 2 4 5" xfId="13826" xr:uid="{00000000-0005-0000-0000-0000FF350000}"/>
    <cellStyle name="40% - Énfasis4 2 4 5 2" xfId="13827" xr:uid="{00000000-0005-0000-0000-000000360000}"/>
    <cellStyle name="40% - Énfasis4 2 4 5 2 2" xfId="13828" xr:uid="{00000000-0005-0000-0000-000001360000}"/>
    <cellStyle name="40% - Énfasis4 2 4 5 3" xfId="13829" xr:uid="{00000000-0005-0000-0000-000002360000}"/>
    <cellStyle name="40% - Énfasis4 2 4 5 3 2" xfId="13830" xr:uid="{00000000-0005-0000-0000-000003360000}"/>
    <cellStyle name="40% - Énfasis4 2 4 5 4" xfId="13831" xr:uid="{00000000-0005-0000-0000-000004360000}"/>
    <cellStyle name="40% - Énfasis4 2 4 5 5" xfId="13832" xr:uid="{00000000-0005-0000-0000-000005360000}"/>
    <cellStyle name="40% - Énfasis4 2 4 6" xfId="13833" xr:uid="{00000000-0005-0000-0000-000006360000}"/>
    <cellStyle name="40% - Énfasis4 2 4 6 2" xfId="13834" xr:uid="{00000000-0005-0000-0000-000007360000}"/>
    <cellStyle name="40% - Énfasis4 2 4 7" xfId="13835" xr:uid="{00000000-0005-0000-0000-000008360000}"/>
    <cellStyle name="40% - Énfasis4 2 4 7 2" xfId="13836" xr:uid="{00000000-0005-0000-0000-000009360000}"/>
    <cellStyle name="40% - Énfasis4 2 4 8" xfId="13837" xr:uid="{00000000-0005-0000-0000-00000A360000}"/>
    <cellStyle name="40% - Énfasis4 2 4 9" xfId="13838" xr:uid="{00000000-0005-0000-0000-00000B360000}"/>
    <cellStyle name="40% - Énfasis4 2 5" xfId="13839" xr:uid="{00000000-0005-0000-0000-00000C360000}"/>
    <cellStyle name="40% - Énfasis4 2 5 2" xfId="13840" xr:uid="{00000000-0005-0000-0000-00000D360000}"/>
    <cellStyle name="40% - Énfasis4 2 5 2 2" xfId="13841" xr:uid="{00000000-0005-0000-0000-00000E360000}"/>
    <cellStyle name="40% - Énfasis4 2 5 2 2 2" xfId="13842" xr:uid="{00000000-0005-0000-0000-00000F360000}"/>
    <cellStyle name="40% - Énfasis4 2 5 2 2 2 2" xfId="13843" xr:uid="{00000000-0005-0000-0000-000010360000}"/>
    <cellStyle name="40% - Énfasis4 2 5 2 2 2 2 2" xfId="13844" xr:uid="{00000000-0005-0000-0000-000011360000}"/>
    <cellStyle name="40% - Énfasis4 2 5 2 2 2 3" xfId="13845" xr:uid="{00000000-0005-0000-0000-000012360000}"/>
    <cellStyle name="40% - Énfasis4 2 5 2 2 2 4" xfId="13846" xr:uid="{00000000-0005-0000-0000-000013360000}"/>
    <cellStyle name="40% - Énfasis4 2 5 2 2 3" xfId="13847" xr:uid="{00000000-0005-0000-0000-000014360000}"/>
    <cellStyle name="40% - Énfasis4 2 5 2 2 3 2" xfId="13848" xr:uid="{00000000-0005-0000-0000-000015360000}"/>
    <cellStyle name="40% - Énfasis4 2 5 2 2 4" xfId="13849" xr:uid="{00000000-0005-0000-0000-000016360000}"/>
    <cellStyle name="40% - Énfasis4 2 5 2 2 5" xfId="13850" xr:uid="{00000000-0005-0000-0000-000017360000}"/>
    <cellStyle name="40% - Énfasis4 2 5 2 3" xfId="13851" xr:uid="{00000000-0005-0000-0000-000018360000}"/>
    <cellStyle name="40% - Énfasis4 2 5 2 3 2" xfId="13852" xr:uid="{00000000-0005-0000-0000-000019360000}"/>
    <cellStyle name="40% - Énfasis4 2 5 2 3 2 2" xfId="13853" xr:uid="{00000000-0005-0000-0000-00001A360000}"/>
    <cellStyle name="40% - Énfasis4 2 5 2 3 3" xfId="13854" xr:uid="{00000000-0005-0000-0000-00001B360000}"/>
    <cellStyle name="40% - Énfasis4 2 5 2 3 3 2" xfId="13855" xr:uid="{00000000-0005-0000-0000-00001C360000}"/>
    <cellStyle name="40% - Énfasis4 2 5 2 3 4" xfId="13856" xr:uid="{00000000-0005-0000-0000-00001D360000}"/>
    <cellStyle name="40% - Énfasis4 2 5 2 3 5" xfId="13857" xr:uid="{00000000-0005-0000-0000-00001E360000}"/>
    <cellStyle name="40% - Énfasis4 2 5 2 4" xfId="13858" xr:uid="{00000000-0005-0000-0000-00001F360000}"/>
    <cellStyle name="40% - Énfasis4 2 5 2 4 2" xfId="13859" xr:uid="{00000000-0005-0000-0000-000020360000}"/>
    <cellStyle name="40% - Énfasis4 2 5 2 5" xfId="13860" xr:uid="{00000000-0005-0000-0000-000021360000}"/>
    <cellStyle name="40% - Énfasis4 2 5 2 5 2" xfId="13861" xr:uid="{00000000-0005-0000-0000-000022360000}"/>
    <cellStyle name="40% - Énfasis4 2 5 2 6" xfId="13862" xr:uid="{00000000-0005-0000-0000-000023360000}"/>
    <cellStyle name="40% - Énfasis4 2 5 2 7" xfId="13863" xr:uid="{00000000-0005-0000-0000-000024360000}"/>
    <cellStyle name="40% - Énfasis4 2 5 3" xfId="13864" xr:uid="{00000000-0005-0000-0000-000025360000}"/>
    <cellStyle name="40% - Énfasis4 2 5 3 2" xfId="13865" xr:uid="{00000000-0005-0000-0000-000026360000}"/>
    <cellStyle name="40% - Énfasis4 2 5 3 2 2" xfId="13866" xr:uid="{00000000-0005-0000-0000-000027360000}"/>
    <cellStyle name="40% - Énfasis4 2 5 3 2 2 2" xfId="13867" xr:uid="{00000000-0005-0000-0000-000028360000}"/>
    <cellStyle name="40% - Énfasis4 2 5 3 2 3" xfId="13868" xr:uid="{00000000-0005-0000-0000-000029360000}"/>
    <cellStyle name="40% - Énfasis4 2 5 3 2 4" xfId="13869" xr:uid="{00000000-0005-0000-0000-00002A360000}"/>
    <cellStyle name="40% - Énfasis4 2 5 3 3" xfId="13870" xr:uid="{00000000-0005-0000-0000-00002B360000}"/>
    <cellStyle name="40% - Énfasis4 2 5 3 3 2" xfId="13871" xr:uid="{00000000-0005-0000-0000-00002C360000}"/>
    <cellStyle name="40% - Énfasis4 2 5 3 4" xfId="13872" xr:uid="{00000000-0005-0000-0000-00002D360000}"/>
    <cellStyle name="40% - Énfasis4 2 5 3 5" xfId="13873" xr:uid="{00000000-0005-0000-0000-00002E360000}"/>
    <cellStyle name="40% - Énfasis4 2 5 4" xfId="13874" xr:uid="{00000000-0005-0000-0000-00002F360000}"/>
    <cellStyle name="40% - Énfasis4 2 5 4 2" xfId="13875" xr:uid="{00000000-0005-0000-0000-000030360000}"/>
    <cellStyle name="40% - Énfasis4 2 5 4 2 2" xfId="13876" xr:uid="{00000000-0005-0000-0000-000031360000}"/>
    <cellStyle name="40% - Énfasis4 2 5 4 3" xfId="13877" xr:uid="{00000000-0005-0000-0000-000032360000}"/>
    <cellStyle name="40% - Énfasis4 2 5 4 3 2" xfId="13878" xr:uid="{00000000-0005-0000-0000-000033360000}"/>
    <cellStyle name="40% - Énfasis4 2 5 4 4" xfId="13879" xr:uid="{00000000-0005-0000-0000-000034360000}"/>
    <cellStyle name="40% - Énfasis4 2 5 4 5" xfId="13880" xr:uid="{00000000-0005-0000-0000-000035360000}"/>
    <cellStyle name="40% - Énfasis4 2 5 5" xfId="13881" xr:uid="{00000000-0005-0000-0000-000036360000}"/>
    <cellStyle name="40% - Énfasis4 2 5 5 2" xfId="13882" xr:uid="{00000000-0005-0000-0000-000037360000}"/>
    <cellStyle name="40% - Énfasis4 2 5 6" xfId="13883" xr:uid="{00000000-0005-0000-0000-000038360000}"/>
    <cellStyle name="40% - Énfasis4 2 5 6 2" xfId="13884" xr:uid="{00000000-0005-0000-0000-000039360000}"/>
    <cellStyle name="40% - Énfasis4 2 5 7" xfId="13885" xr:uid="{00000000-0005-0000-0000-00003A360000}"/>
    <cellStyle name="40% - Énfasis4 2 5 8" xfId="13886" xr:uid="{00000000-0005-0000-0000-00003B360000}"/>
    <cellStyle name="40% - Énfasis4 2 6" xfId="13887" xr:uid="{00000000-0005-0000-0000-00003C360000}"/>
    <cellStyle name="40% - Énfasis4 2 6 2" xfId="13888" xr:uid="{00000000-0005-0000-0000-00003D360000}"/>
    <cellStyle name="40% - Énfasis4 2 6 2 2" xfId="13889" xr:uid="{00000000-0005-0000-0000-00003E360000}"/>
    <cellStyle name="40% - Énfasis4 2 6 2 2 2" xfId="13890" xr:uid="{00000000-0005-0000-0000-00003F360000}"/>
    <cellStyle name="40% - Énfasis4 2 6 2 2 2 2" xfId="13891" xr:uid="{00000000-0005-0000-0000-000040360000}"/>
    <cellStyle name="40% - Énfasis4 2 6 2 2 3" xfId="13892" xr:uid="{00000000-0005-0000-0000-000041360000}"/>
    <cellStyle name="40% - Énfasis4 2 6 2 2 4" xfId="13893" xr:uid="{00000000-0005-0000-0000-000042360000}"/>
    <cellStyle name="40% - Énfasis4 2 6 2 3" xfId="13894" xr:uid="{00000000-0005-0000-0000-000043360000}"/>
    <cellStyle name="40% - Énfasis4 2 6 2 3 2" xfId="13895" xr:uid="{00000000-0005-0000-0000-000044360000}"/>
    <cellStyle name="40% - Énfasis4 2 6 2 4" xfId="13896" xr:uid="{00000000-0005-0000-0000-000045360000}"/>
    <cellStyle name="40% - Énfasis4 2 6 2 5" xfId="13897" xr:uid="{00000000-0005-0000-0000-000046360000}"/>
    <cellStyle name="40% - Énfasis4 2 6 3" xfId="13898" xr:uid="{00000000-0005-0000-0000-000047360000}"/>
    <cellStyle name="40% - Énfasis4 2 6 3 2" xfId="13899" xr:uid="{00000000-0005-0000-0000-000048360000}"/>
    <cellStyle name="40% - Énfasis4 2 6 3 2 2" xfId="13900" xr:uid="{00000000-0005-0000-0000-000049360000}"/>
    <cellStyle name="40% - Énfasis4 2 6 3 3" xfId="13901" xr:uid="{00000000-0005-0000-0000-00004A360000}"/>
    <cellStyle name="40% - Énfasis4 2 6 3 3 2" xfId="13902" xr:uid="{00000000-0005-0000-0000-00004B360000}"/>
    <cellStyle name="40% - Énfasis4 2 6 3 4" xfId="13903" xr:uid="{00000000-0005-0000-0000-00004C360000}"/>
    <cellStyle name="40% - Énfasis4 2 6 3 5" xfId="13904" xr:uid="{00000000-0005-0000-0000-00004D360000}"/>
    <cellStyle name="40% - Énfasis4 2 6 4" xfId="13905" xr:uid="{00000000-0005-0000-0000-00004E360000}"/>
    <cellStyle name="40% - Énfasis4 2 6 4 2" xfId="13906" xr:uid="{00000000-0005-0000-0000-00004F360000}"/>
    <cellStyle name="40% - Énfasis4 2 6 5" xfId="13907" xr:uid="{00000000-0005-0000-0000-000050360000}"/>
    <cellStyle name="40% - Énfasis4 2 6 5 2" xfId="13908" xr:uid="{00000000-0005-0000-0000-000051360000}"/>
    <cellStyle name="40% - Énfasis4 2 6 6" xfId="13909" xr:uid="{00000000-0005-0000-0000-000052360000}"/>
    <cellStyle name="40% - Énfasis4 2 6 7" xfId="13910" xr:uid="{00000000-0005-0000-0000-000053360000}"/>
    <cellStyle name="40% - Énfasis4 2 7" xfId="13911" xr:uid="{00000000-0005-0000-0000-000054360000}"/>
    <cellStyle name="40% - Énfasis4 2 7 2" xfId="13912" xr:uid="{00000000-0005-0000-0000-000055360000}"/>
    <cellStyle name="40% - Énfasis4 2 7 2 2" xfId="13913" xr:uid="{00000000-0005-0000-0000-000056360000}"/>
    <cellStyle name="40% - Énfasis4 2 7 2 2 2" xfId="13914" xr:uid="{00000000-0005-0000-0000-000057360000}"/>
    <cellStyle name="40% - Énfasis4 2 7 2 3" xfId="13915" xr:uid="{00000000-0005-0000-0000-000058360000}"/>
    <cellStyle name="40% - Énfasis4 2 7 2 4" xfId="13916" xr:uid="{00000000-0005-0000-0000-000059360000}"/>
    <cellStyle name="40% - Énfasis4 2 7 3" xfId="13917" xr:uid="{00000000-0005-0000-0000-00005A360000}"/>
    <cellStyle name="40% - Énfasis4 2 7 3 2" xfId="13918" xr:uid="{00000000-0005-0000-0000-00005B360000}"/>
    <cellStyle name="40% - Énfasis4 2 7 4" xfId="13919" xr:uid="{00000000-0005-0000-0000-00005C360000}"/>
    <cellStyle name="40% - Énfasis4 2 7 5" xfId="13920" xr:uid="{00000000-0005-0000-0000-00005D360000}"/>
    <cellStyle name="40% - Énfasis4 2 8" xfId="13921" xr:uid="{00000000-0005-0000-0000-00005E360000}"/>
    <cellStyle name="40% - Énfasis4 2 8 2" xfId="13922" xr:uid="{00000000-0005-0000-0000-00005F360000}"/>
    <cellStyle name="40% - Énfasis4 2 8 2 2" xfId="13923" xr:uid="{00000000-0005-0000-0000-000060360000}"/>
    <cellStyle name="40% - Énfasis4 2 8 3" xfId="13924" xr:uid="{00000000-0005-0000-0000-000061360000}"/>
    <cellStyle name="40% - Énfasis4 2 8 3 2" xfId="13925" xr:uid="{00000000-0005-0000-0000-000062360000}"/>
    <cellStyle name="40% - Énfasis4 2 8 4" xfId="13926" xr:uid="{00000000-0005-0000-0000-000063360000}"/>
    <cellStyle name="40% - Énfasis4 2 8 5" xfId="13927" xr:uid="{00000000-0005-0000-0000-000064360000}"/>
    <cellStyle name="40% - Énfasis4 2 9" xfId="13928" xr:uid="{00000000-0005-0000-0000-000065360000}"/>
    <cellStyle name="40% - Énfasis4 2 9 2" xfId="13929" xr:uid="{00000000-0005-0000-0000-000066360000}"/>
    <cellStyle name="40% - Énfasis4 3" xfId="13930" xr:uid="{00000000-0005-0000-0000-000067360000}"/>
    <cellStyle name="40% - Énfasis4 3 10" xfId="13931" xr:uid="{00000000-0005-0000-0000-000068360000}"/>
    <cellStyle name="40% - Énfasis4 3 10 2" xfId="13932" xr:uid="{00000000-0005-0000-0000-000069360000}"/>
    <cellStyle name="40% - Énfasis4 3 11" xfId="13933" xr:uid="{00000000-0005-0000-0000-00006A360000}"/>
    <cellStyle name="40% - Énfasis4 3 12" xfId="13934" xr:uid="{00000000-0005-0000-0000-00006B360000}"/>
    <cellStyle name="40% - Énfasis4 3 2" xfId="13935" xr:uid="{00000000-0005-0000-0000-00006C360000}"/>
    <cellStyle name="40% - Énfasis4 3 2 10" xfId="13936" xr:uid="{00000000-0005-0000-0000-00006D360000}"/>
    <cellStyle name="40% - Énfasis4 3 2 11" xfId="13937" xr:uid="{00000000-0005-0000-0000-00006E360000}"/>
    <cellStyle name="40% - Énfasis4 3 2 2" xfId="13938" xr:uid="{00000000-0005-0000-0000-00006F360000}"/>
    <cellStyle name="40% - Énfasis4 3 2 2 10" xfId="13939" xr:uid="{00000000-0005-0000-0000-000070360000}"/>
    <cellStyle name="40% - Énfasis4 3 2 2 2" xfId="13940" xr:uid="{00000000-0005-0000-0000-000071360000}"/>
    <cellStyle name="40% - Énfasis4 3 2 2 2 2" xfId="13941" xr:uid="{00000000-0005-0000-0000-000072360000}"/>
    <cellStyle name="40% - Énfasis4 3 2 2 2 2 2" xfId="13942" xr:uid="{00000000-0005-0000-0000-000073360000}"/>
    <cellStyle name="40% - Énfasis4 3 2 2 2 2 2 2" xfId="13943" xr:uid="{00000000-0005-0000-0000-000074360000}"/>
    <cellStyle name="40% - Énfasis4 3 2 2 2 2 2 2 2" xfId="13944" xr:uid="{00000000-0005-0000-0000-000075360000}"/>
    <cellStyle name="40% - Énfasis4 3 2 2 2 2 2 2 2 2" xfId="13945" xr:uid="{00000000-0005-0000-0000-000076360000}"/>
    <cellStyle name="40% - Énfasis4 3 2 2 2 2 2 2 2 2 2" xfId="13946" xr:uid="{00000000-0005-0000-0000-000077360000}"/>
    <cellStyle name="40% - Énfasis4 3 2 2 2 2 2 2 2 3" xfId="13947" xr:uid="{00000000-0005-0000-0000-000078360000}"/>
    <cellStyle name="40% - Énfasis4 3 2 2 2 2 2 2 2 4" xfId="13948" xr:uid="{00000000-0005-0000-0000-000079360000}"/>
    <cellStyle name="40% - Énfasis4 3 2 2 2 2 2 2 3" xfId="13949" xr:uid="{00000000-0005-0000-0000-00007A360000}"/>
    <cellStyle name="40% - Énfasis4 3 2 2 2 2 2 2 3 2" xfId="13950" xr:uid="{00000000-0005-0000-0000-00007B360000}"/>
    <cellStyle name="40% - Énfasis4 3 2 2 2 2 2 2 4" xfId="13951" xr:uid="{00000000-0005-0000-0000-00007C360000}"/>
    <cellStyle name="40% - Énfasis4 3 2 2 2 2 2 2 5" xfId="13952" xr:uid="{00000000-0005-0000-0000-00007D360000}"/>
    <cellStyle name="40% - Énfasis4 3 2 2 2 2 2 3" xfId="13953" xr:uid="{00000000-0005-0000-0000-00007E360000}"/>
    <cellStyle name="40% - Énfasis4 3 2 2 2 2 2 3 2" xfId="13954" xr:uid="{00000000-0005-0000-0000-00007F360000}"/>
    <cellStyle name="40% - Énfasis4 3 2 2 2 2 2 3 2 2" xfId="13955" xr:uid="{00000000-0005-0000-0000-000080360000}"/>
    <cellStyle name="40% - Énfasis4 3 2 2 2 2 2 3 3" xfId="13956" xr:uid="{00000000-0005-0000-0000-000081360000}"/>
    <cellStyle name="40% - Énfasis4 3 2 2 2 2 2 3 4" xfId="13957" xr:uid="{00000000-0005-0000-0000-000082360000}"/>
    <cellStyle name="40% - Énfasis4 3 2 2 2 2 2 4" xfId="13958" xr:uid="{00000000-0005-0000-0000-000083360000}"/>
    <cellStyle name="40% - Énfasis4 3 2 2 2 2 2 4 2" xfId="13959" xr:uid="{00000000-0005-0000-0000-000084360000}"/>
    <cellStyle name="40% - Énfasis4 3 2 2 2 2 2 5" xfId="13960" xr:uid="{00000000-0005-0000-0000-000085360000}"/>
    <cellStyle name="40% - Énfasis4 3 2 2 2 2 2 6" xfId="13961" xr:uid="{00000000-0005-0000-0000-000086360000}"/>
    <cellStyle name="40% - Énfasis4 3 2 2 2 2 3" xfId="13962" xr:uid="{00000000-0005-0000-0000-000087360000}"/>
    <cellStyle name="40% - Énfasis4 3 2 2 2 2 3 2" xfId="13963" xr:uid="{00000000-0005-0000-0000-000088360000}"/>
    <cellStyle name="40% - Énfasis4 3 2 2 2 2 3 2 2" xfId="13964" xr:uid="{00000000-0005-0000-0000-000089360000}"/>
    <cellStyle name="40% - Énfasis4 3 2 2 2 2 3 2 2 2" xfId="13965" xr:uid="{00000000-0005-0000-0000-00008A360000}"/>
    <cellStyle name="40% - Énfasis4 3 2 2 2 2 3 2 3" xfId="13966" xr:uid="{00000000-0005-0000-0000-00008B360000}"/>
    <cellStyle name="40% - Énfasis4 3 2 2 2 2 3 2 4" xfId="13967" xr:uid="{00000000-0005-0000-0000-00008C360000}"/>
    <cellStyle name="40% - Énfasis4 3 2 2 2 2 3 3" xfId="13968" xr:uid="{00000000-0005-0000-0000-00008D360000}"/>
    <cellStyle name="40% - Énfasis4 3 2 2 2 2 3 3 2" xfId="13969" xr:uid="{00000000-0005-0000-0000-00008E360000}"/>
    <cellStyle name="40% - Énfasis4 3 2 2 2 2 3 4" xfId="13970" xr:uid="{00000000-0005-0000-0000-00008F360000}"/>
    <cellStyle name="40% - Énfasis4 3 2 2 2 2 3 5" xfId="13971" xr:uid="{00000000-0005-0000-0000-000090360000}"/>
    <cellStyle name="40% - Énfasis4 3 2 2 2 2 4" xfId="13972" xr:uid="{00000000-0005-0000-0000-000091360000}"/>
    <cellStyle name="40% - Énfasis4 3 2 2 2 2 4 2" xfId="13973" xr:uid="{00000000-0005-0000-0000-000092360000}"/>
    <cellStyle name="40% - Énfasis4 3 2 2 2 2 4 2 2" xfId="13974" xr:uid="{00000000-0005-0000-0000-000093360000}"/>
    <cellStyle name="40% - Énfasis4 3 2 2 2 2 4 3" xfId="13975" xr:uid="{00000000-0005-0000-0000-000094360000}"/>
    <cellStyle name="40% - Énfasis4 3 2 2 2 2 4 4" xfId="13976" xr:uid="{00000000-0005-0000-0000-000095360000}"/>
    <cellStyle name="40% - Énfasis4 3 2 2 2 2 5" xfId="13977" xr:uid="{00000000-0005-0000-0000-000096360000}"/>
    <cellStyle name="40% - Énfasis4 3 2 2 2 2 5 2" xfId="13978" xr:uid="{00000000-0005-0000-0000-000097360000}"/>
    <cellStyle name="40% - Énfasis4 3 2 2 2 2 6" xfId="13979" xr:uid="{00000000-0005-0000-0000-000098360000}"/>
    <cellStyle name="40% - Énfasis4 3 2 2 2 2 7" xfId="13980" xr:uid="{00000000-0005-0000-0000-000099360000}"/>
    <cellStyle name="40% - Énfasis4 3 2 2 2 3" xfId="13981" xr:uid="{00000000-0005-0000-0000-00009A360000}"/>
    <cellStyle name="40% - Énfasis4 3 2 2 2 3 2" xfId="13982" xr:uid="{00000000-0005-0000-0000-00009B360000}"/>
    <cellStyle name="40% - Énfasis4 3 2 2 2 3 2 2" xfId="13983" xr:uid="{00000000-0005-0000-0000-00009C360000}"/>
    <cellStyle name="40% - Énfasis4 3 2 2 2 3 2 2 2" xfId="13984" xr:uid="{00000000-0005-0000-0000-00009D360000}"/>
    <cellStyle name="40% - Énfasis4 3 2 2 2 3 2 2 2 2" xfId="13985" xr:uid="{00000000-0005-0000-0000-00009E360000}"/>
    <cellStyle name="40% - Énfasis4 3 2 2 2 3 2 2 3" xfId="13986" xr:uid="{00000000-0005-0000-0000-00009F360000}"/>
    <cellStyle name="40% - Énfasis4 3 2 2 2 3 2 2 4" xfId="13987" xr:uid="{00000000-0005-0000-0000-0000A0360000}"/>
    <cellStyle name="40% - Énfasis4 3 2 2 2 3 2 3" xfId="13988" xr:uid="{00000000-0005-0000-0000-0000A1360000}"/>
    <cellStyle name="40% - Énfasis4 3 2 2 2 3 2 3 2" xfId="13989" xr:uid="{00000000-0005-0000-0000-0000A2360000}"/>
    <cellStyle name="40% - Énfasis4 3 2 2 2 3 2 4" xfId="13990" xr:uid="{00000000-0005-0000-0000-0000A3360000}"/>
    <cellStyle name="40% - Énfasis4 3 2 2 2 3 2 5" xfId="13991" xr:uid="{00000000-0005-0000-0000-0000A4360000}"/>
    <cellStyle name="40% - Énfasis4 3 2 2 2 3 3" xfId="13992" xr:uid="{00000000-0005-0000-0000-0000A5360000}"/>
    <cellStyle name="40% - Énfasis4 3 2 2 2 3 3 2" xfId="13993" xr:uid="{00000000-0005-0000-0000-0000A6360000}"/>
    <cellStyle name="40% - Énfasis4 3 2 2 2 3 3 2 2" xfId="13994" xr:uid="{00000000-0005-0000-0000-0000A7360000}"/>
    <cellStyle name="40% - Énfasis4 3 2 2 2 3 3 3" xfId="13995" xr:uid="{00000000-0005-0000-0000-0000A8360000}"/>
    <cellStyle name="40% - Énfasis4 3 2 2 2 3 3 3 2" xfId="13996" xr:uid="{00000000-0005-0000-0000-0000A9360000}"/>
    <cellStyle name="40% - Énfasis4 3 2 2 2 3 3 4" xfId="13997" xr:uid="{00000000-0005-0000-0000-0000AA360000}"/>
    <cellStyle name="40% - Énfasis4 3 2 2 2 3 3 5" xfId="13998" xr:uid="{00000000-0005-0000-0000-0000AB360000}"/>
    <cellStyle name="40% - Énfasis4 3 2 2 2 3 4" xfId="13999" xr:uid="{00000000-0005-0000-0000-0000AC360000}"/>
    <cellStyle name="40% - Énfasis4 3 2 2 2 3 4 2" xfId="14000" xr:uid="{00000000-0005-0000-0000-0000AD360000}"/>
    <cellStyle name="40% - Énfasis4 3 2 2 2 3 5" xfId="14001" xr:uid="{00000000-0005-0000-0000-0000AE360000}"/>
    <cellStyle name="40% - Énfasis4 3 2 2 2 3 5 2" xfId="14002" xr:uid="{00000000-0005-0000-0000-0000AF360000}"/>
    <cellStyle name="40% - Énfasis4 3 2 2 2 3 6" xfId="14003" xr:uid="{00000000-0005-0000-0000-0000B0360000}"/>
    <cellStyle name="40% - Énfasis4 3 2 2 2 3 7" xfId="14004" xr:uid="{00000000-0005-0000-0000-0000B1360000}"/>
    <cellStyle name="40% - Énfasis4 3 2 2 2 4" xfId="14005" xr:uid="{00000000-0005-0000-0000-0000B2360000}"/>
    <cellStyle name="40% - Énfasis4 3 2 2 2 4 2" xfId="14006" xr:uid="{00000000-0005-0000-0000-0000B3360000}"/>
    <cellStyle name="40% - Énfasis4 3 2 2 2 4 2 2" xfId="14007" xr:uid="{00000000-0005-0000-0000-0000B4360000}"/>
    <cellStyle name="40% - Énfasis4 3 2 2 2 4 2 2 2" xfId="14008" xr:uid="{00000000-0005-0000-0000-0000B5360000}"/>
    <cellStyle name="40% - Énfasis4 3 2 2 2 4 2 3" xfId="14009" xr:uid="{00000000-0005-0000-0000-0000B6360000}"/>
    <cellStyle name="40% - Énfasis4 3 2 2 2 4 2 4" xfId="14010" xr:uid="{00000000-0005-0000-0000-0000B7360000}"/>
    <cellStyle name="40% - Énfasis4 3 2 2 2 4 3" xfId="14011" xr:uid="{00000000-0005-0000-0000-0000B8360000}"/>
    <cellStyle name="40% - Énfasis4 3 2 2 2 4 3 2" xfId="14012" xr:uid="{00000000-0005-0000-0000-0000B9360000}"/>
    <cellStyle name="40% - Énfasis4 3 2 2 2 4 4" xfId="14013" xr:uid="{00000000-0005-0000-0000-0000BA360000}"/>
    <cellStyle name="40% - Énfasis4 3 2 2 2 4 5" xfId="14014" xr:uid="{00000000-0005-0000-0000-0000BB360000}"/>
    <cellStyle name="40% - Énfasis4 3 2 2 2 5" xfId="14015" xr:uid="{00000000-0005-0000-0000-0000BC360000}"/>
    <cellStyle name="40% - Énfasis4 3 2 2 2 5 2" xfId="14016" xr:uid="{00000000-0005-0000-0000-0000BD360000}"/>
    <cellStyle name="40% - Énfasis4 3 2 2 2 5 2 2" xfId="14017" xr:uid="{00000000-0005-0000-0000-0000BE360000}"/>
    <cellStyle name="40% - Énfasis4 3 2 2 2 5 3" xfId="14018" xr:uid="{00000000-0005-0000-0000-0000BF360000}"/>
    <cellStyle name="40% - Énfasis4 3 2 2 2 5 3 2" xfId="14019" xr:uid="{00000000-0005-0000-0000-0000C0360000}"/>
    <cellStyle name="40% - Énfasis4 3 2 2 2 5 4" xfId="14020" xr:uid="{00000000-0005-0000-0000-0000C1360000}"/>
    <cellStyle name="40% - Énfasis4 3 2 2 2 5 5" xfId="14021" xr:uid="{00000000-0005-0000-0000-0000C2360000}"/>
    <cellStyle name="40% - Énfasis4 3 2 2 2 6" xfId="14022" xr:uid="{00000000-0005-0000-0000-0000C3360000}"/>
    <cellStyle name="40% - Énfasis4 3 2 2 2 6 2" xfId="14023" xr:uid="{00000000-0005-0000-0000-0000C4360000}"/>
    <cellStyle name="40% - Énfasis4 3 2 2 2 7" xfId="14024" xr:uid="{00000000-0005-0000-0000-0000C5360000}"/>
    <cellStyle name="40% - Énfasis4 3 2 2 2 7 2" xfId="14025" xr:uid="{00000000-0005-0000-0000-0000C6360000}"/>
    <cellStyle name="40% - Énfasis4 3 2 2 2 8" xfId="14026" xr:uid="{00000000-0005-0000-0000-0000C7360000}"/>
    <cellStyle name="40% - Énfasis4 3 2 2 2 9" xfId="14027" xr:uid="{00000000-0005-0000-0000-0000C8360000}"/>
    <cellStyle name="40% - Énfasis4 3 2 2 3" xfId="14028" xr:uid="{00000000-0005-0000-0000-0000C9360000}"/>
    <cellStyle name="40% - Énfasis4 3 2 2 3 2" xfId="14029" xr:uid="{00000000-0005-0000-0000-0000CA360000}"/>
    <cellStyle name="40% - Énfasis4 3 2 2 3 2 2" xfId="14030" xr:uid="{00000000-0005-0000-0000-0000CB360000}"/>
    <cellStyle name="40% - Énfasis4 3 2 2 3 2 2 2" xfId="14031" xr:uid="{00000000-0005-0000-0000-0000CC360000}"/>
    <cellStyle name="40% - Énfasis4 3 2 2 3 2 2 2 2" xfId="14032" xr:uid="{00000000-0005-0000-0000-0000CD360000}"/>
    <cellStyle name="40% - Énfasis4 3 2 2 3 2 2 2 2 2" xfId="14033" xr:uid="{00000000-0005-0000-0000-0000CE360000}"/>
    <cellStyle name="40% - Énfasis4 3 2 2 3 2 2 2 3" xfId="14034" xr:uid="{00000000-0005-0000-0000-0000CF360000}"/>
    <cellStyle name="40% - Énfasis4 3 2 2 3 2 2 2 4" xfId="14035" xr:uid="{00000000-0005-0000-0000-0000D0360000}"/>
    <cellStyle name="40% - Énfasis4 3 2 2 3 2 2 3" xfId="14036" xr:uid="{00000000-0005-0000-0000-0000D1360000}"/>
    <cellStyle name="40% - Énfasis4 3 2 2 3 2 2 3 2" xfId="14037" xr:uid="{00000000-0005-0000-0000-0000D2360000}"/>
    <cellStyle name="40% - Énfasis4 3 2 2 3 2 2 4" xfId="14038" xr:uid="{00000000-0005-0000-0000-0000D3360000}"/>
    <cellStyle name="40% - Énfasis4 3 2 2 3 2 2 5" xfId="14039" xr:uid="{00000000-0005-0000-0000-0000D4360000}"/>
    <cellStyle name="40% - Énfasis4 3 2 2 3 2 3" xfId="14040" xr:uid="{00000000-0005-0000-0000-0000D5360000}"/>
    <cellStyle name="40% - Énfasis4 3 2 2 3 2 3 2" xfId="14041" xr:uid="{00000000-0005-0000-0000-0000D6360000}"/>
    <cellStyle name="40% - Énfasis4 3 2 2 3 2 3 2 2" xfId="14042" xr:uid="{00000000-0005-0000-0000-0000D7360000}"/>
    <cellStyle name="40% - Énfasis4 3 2 2 3 2 3 3" xfId="14043" xr:uid="{00000000-0005-0000-0000-0000D8360000}"/>
    <cellStyle name="40% - Énfasis4 3 2 2 3 2 3 4" xfId="14044" xr:uid="{00000000-0005-0000-0000-0000D9360000}"/>
    <cellStyle name="40% - Énfasis4 3 2 2 3 2 4" xfId="14045" xr:uid="{00000000-0005-0000-0000-0000DA360000}"/>
    <cellStyle name="40% - Énfasis4 3 2 2 3 2 4 2" xfId="14046" xr:uid="{00000000-0005-0000-0000-0000DB360000}"/>
    <cellStyle name="40% - Énfasis4 3 2 2 3 2 5" xfId="14047" xr:uid="{00000000-0005-0000-0000-0000DC360000}"/>
    <cellStyle name="40% - Énfasis4 3 2 2 3 2 6" xfId="14048" xr:uid="{00000000-0005-0000-0000-0000DD360000}"/>
    <cellStyle name="40% - Énfasis4 3 2 2 3 3" xfId="14049" xr:uid="{00000000-0005-0000-0000-0000DE360000}"/>
    <cellStyle name="40% - Énfasis4 3 2 2 3 3 2" xfId="14050" xr:uid="{00000000-0005-0000-0000-0000DF360000}"/>
    <cellStyle name="40% - Énfasis4 3 2 2 3 3 2 2" xfId="14051" xr:uid="{00000000-0005-0000-0000-0000E0360000}"/>
    <cellStyle name="40% - Énfasis4 3 2 2 3 3 2 2 2" xfId="14052" xr:uid="{00000000-0005-0000-0000-0000E1360000}"/>
    <cellStyle name="40% - Énfasis4 3 2 2 3 3 2 3" xfId="14053" xr:uid="{00000000-0005-0000-0000-0000E2360000}"/>
    <cellStyle name="40% - Énfasis4 3 2 2 3 3 2 4" xfId="14054" xr:uid="{00000000-0005-0000-0000-0000E3360000}"/>
    <cellStyle name="40% - Énfasis4 3 2 2 3 3 3" xfId="14055" xr:uid="{00000000-0005-0000-0000-0000E4360000}"/>
    <cellStyle name="40% - Énfasis4 3 2 2 3 3 3 2" xfId="14056" xr:uid="{00000000-0005-0000-0000-0000E5360000}"/>
    <cellStyle name="40% - Énfasis4 3 2 2 3 3 4" xfId="14057" xr:uid="{00000000-0005-0000-0000-0000E6360000}"/>
    <cellStyle name="40% - Énfasis4 3 2 2 3 3 5" xfId="14058" xr:uid="{00000000-0005-0000-0000-0000E7360000}"/>
    <cellStyle name="40% - Énfasis4 3 2 2 3 4" xfId="14059" xr:uid="{00000000-0005-0000-0000-0000E8360000}"/>
    <cellStyle name="40% - Énfasis4 3 2 2 3 4 2" xfId="14060" xr:uid="{00000000-0005-0000-0000-0000E9360000}"/>
    <cellStyle name="40% - Énfasis4 3 2 2 3 4 2 2" xfId="14061" xr:uid="{00000000-0005-0000-0000-0000EA360000}"/>
    <cellStyle name="40% - Énfasis4 3 2 2 3 4 3" xfId="14062" xr:uid="{00000000-0005-0000-0000-0000EB360000}"/>
    <cellStyle name="40% - Énfasis4 3 2 2 3 4 4" xfId="14063" xr:uid="{00000000-0005-0000-0000-0000EC360000}"/>
    <cellStyle name="40% - Énfasis4 3 2 2 3 5" xfId="14064" xr:uid="{00000000-0005-0000-0000-0000ED360000}"/>
    <cellStyle name="40% - Énfasis4 3 2 2 3 5 2" xfId="14065" xr:uid="{00000000-0005-0000-0000-0000EE360000}"/>
    <cellStyle name="40% - Énfasis4 3 2 2 3 6" xfId="14066" xr:uid="{00000000-0005-0000-0000-0000EF360000}"/>
    <cellStyle name="40% - Énfasis4 3 2 2 3 7" xfId="14067" xr:uid="{00000000-0005-0000-0000-0000F0360000}"/>
    <cellStyle name="40% - Énfasis4 3 2 2 4" xfId="14068" xr:uid="{00000000-0005-0000-0000-0000F1360000}"/>
    <cellStyle name="40% - Énfasis4 3 2 2 4 2" xfId="14069" xr:uid="{00000000-0005-0000-0000-0000F2360000}"/>
    <cellStyle name="40% - Énfasis4 3 2 2 4 2 2" xfId="14070" xr:uid="{00000000-0005-0000-0000-0000F3360000}"/>
    <cellStyle name="40% - Énfasis4 3 2 2 4 2 2 2" xfId="14071" xr:uid="{00000000-0005-0000-0000-0000F4360000}"/>
    <cellStyle name="40% - Énfasis4 3 2 2 4 2 2 2 2" xfId="14072" xr:uid="{00000000-0005-0000-0000-0000F5360000}"/>
    <cellStyle name="40% - Énfasis4 3 2 2 4 2 2 3" xfId="14073" xr:uid="{00000000-0005-0000-0000-0000F6360000}"/>
    <cellStyle name="40% - Énfasis4 3 2 2 4 2 2 4" xfId="14074" xr:uid="{00000000-0005-0000-0000-0000F7360000}"/>
    <cellStyle name="40% - Énfasis4 3 2 2 4 2 3" xfId="14075" xr:uid="{00000000-0005-0000-0000-0000F8360000}"/>
    <cellStyle name="40% - Énfasis4 3 2 2 4 2 3 2" xfId="14076" xr:uid="{00000000-0005-0000-0000-0000F9360000}"/>
    <cellStyle name="40% - Énfasis4 3 2 2 4 2 4" xfId="14077" xr:uid="{00000000-0005-0000-0000-0000FA360000}"/>
    <cellStyle name="40% - Énfasis4 3 2 2 4 2 5" xfId="14078" xr:uid="{00000000-0005-0000-0000-0000FB360000}"/>
    <cellStyle name="40% - Énfasis4 3 2 2 4 3" xfId="14079" xr:uid="{00000000-0005-0000-0000-0000FC360000}"/>
    <cellStyle name="40% - Énfasis4 3 2 2 4 3 2" xfId="14080" xr:uid="{00000000-0005-0000-0000-0000FD360000}"/>
    <cellStyle name="40% - Énfasis4 3 2 2 4 3 2 2" xfId="14081" xr:uid="{00000000-0005-0000-0000-0000FE360000}"/>
    <cellStyle name="40% - Énfasis4 3 2 2 4 3 3" xfId="14082" xr:uid="{00000000-0005-0000-0000-0000FF360000}"/>
    <cellStyle name="40% - Énfasis4 3 2 2 4 3 3 2" xfId="14083" xr:uid="{00000000-0005-0000-0000-000000370000}"/>
    <cellStyle name="40% - Énfasis4 3 2 2 4 3 4" xfId="14084" xr:uid="{00000000-0005-0000-0000-000001370000}"/>
    <cellStyle name="40% - Énfasis4 3 2 2 4 3 5" xfId="14085" xr:uid="{00000000-0005-0000-0000-000002370000}"/>
    <cellStyle name="40% - Énfasis4 3 2 2 4 4" xfId="14086" xr:uid="{00000000-0005-0000-0000-000003370000}"/>
    <cellStyle name="40% - Énfasis4 3 2 2 4 4 2" xfId="14087" xr:uid="{00000000-0005-0000-0000-000004370000}"/>
    <cellStyle name="40% - Énfasis4 3 2 2 4 5" xfId="14088" xr:uid="{00000000-0005-0000-0000-000005370000}"/>
    <cellStyle name="40% - Énfasis4 3 2 2 4 5 2" xfId="14089" xr:uid="{00000000-0005-0000-0000-000006370000}"/>
    <cellStyle name="40% - Énfasis4 3 2 2 4 6" xfId="14090" xr:uid="{00000000-0005-0000-0000-000007370000}"/>
    <cellStyle name="40% - Énfasis4 3 2 2 4 7" xfId="14091" xr:uid="{00000000-0005-0000-0000-000008370000}"/>
    <cellStyle name="40% - Énfasis4 3 2 2 5" xfId="14092" xr:uid="{00000000-0005-0000-0000-000009370000}"/>
    <cellStyle name="40% - Énfasis4 3 2 2 5 2" xfId="14093" xr:uid="{00000000-0005-0000-0000-00000A370000}"/>
    <cellStyle name="40% - Énfasis4 3 2 2 5 2 2" xfId="14094" xr:uid="{00000000-0005-0000-0000-00000B370000}"/>
    <cellStyle name="40% - Énfasis4 3 2 2 5 2 2 2" xfId="14095" xr:uid="{00000000-0005-0000-0000-00000C370000}"/>
    <cellStyle name="40% - Énfasis4 3 2 2 5 2 3" xfId="14096" xr:uid="{00000000-0005-0000-0000-00000D370000}"/>
    <cellStyle name="40% - Énfasis4 3 2 2 5 2 4" xfId="14097" xr:uid="{00000000-0005-0000-0000-00000E370000}"/>
    <cellStyle name="40% - Énfasis4 3 2 2 5 3" xfId="14098" xr:uid="{00000000-0005-0000-0000-00000F370000}"/>
    <cellStyle name="40% - Énfasis4 3 2 2 5 3 2" xfId="14099" xr:uid="{00000000-0005-0000-0000-000010370000}"/>
    <cellStyle name="40% - Énfasis4 3 2 2 5 4" xfId="14100" xr:uid="{00000000-0005-0000-0000-000011370000}"/>
    <cellStyle name="40% - Énfasis4 3 2 2 5 5" xfId="14101" xr:uid="{00000000-0005-0000-0000-000012370000}"/>
    <cellStyle name="40% - Énfasis4 3 2 2 6" xfId="14102" xr:uid="{00000000-0005-0000-0000-000013370000}"/>
    <cellStyle name="40% - Énfasis4 3 2 2 6 2" xfId="14103" xr:uid="{00000000-0005-0000-0000-000014370000}"/>
    <cellStyle name="40% - Énfasis4 3 2 2 6 2 2" xfId="14104" xr:uid="{00000000-0005-0000-0000-000015370000}"/>
    <cellStyle name="40% - Énfasis4 3 2 2 6 3" xfId="14105" xr:uid="{00000000-0005-0000-0000-000016370000}"/>
    <cellStyle name="40% - Énfasis4 3 2 2 6 3 2" xfId="14106" xr:uid="{00000000-0005-0000-0000-000017370000}"/>
    <cellStyle name="40% - Énfasis4 3 2 2 6 4" xfId="14107" xr:uid="{00000000-0005-0000-0000-000018370000}"/>
    <cellStyle name="40% - Énfasis4 3 2 2 6 5" xfId="14108" xr:uid="{00000000-0005-0000-0000-000019370000}"/>
    <cellStyle name="40% - Énfasis4 3 2 2 7" xfId="14109" xr:uid="{00000000-0005-0000-0000-00001A370000}"/>
    <cellStyle name="40% - Énfasis4 3 2 2 7 2" xfId="14110" xr:uid="{00000000-0005-0000-0000-00001B370000}"/>
    <cellStyle name="40% - Énfasis4 3 2 2 8" xfId="14111" xr:uid="{00000000-0005-0000-0000-00001C370000}"/>
    <cellStyle name="40% - Énfasis4 3 2 2 8 2" xfId="14112" xr:uid="{00000000-0005-0000-0000-00001D370000}"/>
    <cellStyle name="40% - Énfasis4 3 2 2 9" xfId="14113" xr:uid="{00000000-0005-0000-0000-00001E370000}"/>
    <cellStyle name="40% - Énfasis4 3 2 3" xfId="14114" xr:uid="{00000000-0005-0000-0000-00001F370000}"/>
    <cellStyle name="40% - Énfasis4 3 2 3 2" xfId="14115" xr:uid="{00000000-0005-0000-0000-000020370000}"/>
    <cellStyle name="40% - Énfasis4 3 2 3 2 2" xfId="14116" xr:uid="{00000000-0005-0000-0000-000021370000}"/>
    <cellStyle name="40% - Énfasis4 3 2 3 2 2 2" xfId="14117" xr:uid="{00000000-0005-0000-0000-000022370000}"/>
    <cellStyle name="40% - Énfasis4 3 2 3 2 2 2 2" xfId="14118" xr:uid="{00000000-0005-0000-0000-000023370000}"/>
    <cellStyle name="40% - Énfasis4 3 2 3 2 2 2 2 2" xfId="14119" xr:uid="{00000000-0005-0000-0000-000024370000}"/>
    <cellStyle name="40% - Énfasis4 3 2 3 2 2 2 2 2 2" xfId="14120" xr:uid="{00000000-0005-0000-0000-000025370000}"/>
    <cellStyle name="40% - Énfasis4 3 2 3 2 2 2 2 3" xfId="14121" xr:uid="{00000000-0005-0000-0000-000026370000}"/>
    <cellStyle name="40% - Énfasis4 3 2 3 2 2 2 2 4" xfId="14122" xr:uid="{00000000-0005-0000-0000-000027370000}"/>
    <cellStyle name="40% - Énfasis4 3 2 3 2 2 2 3" xfId="14123" xr:uid="{00000000-0005-0000-0000-000028370000}"/>
    <cellStyle name="40% - Énfasis4 3 2 3 2 2 2 3 2" xfId="14124" xr:uid="{00000000-0005-0000-0000-000029370000}"/>
    <cellStyle name="40% - Énfasis4 3 2 3 2 2 2 4" xfId="14125" xr:uid="{00000000-0005-0000-0000-00002A370000}"/>
    <cellStyle name="40% - Énfasis4 3 2 3 2 2 2 5" xfId="14126" xr:uid="{00000000-0005-0000-0000-00002B370000}"/>
    <cellStyle name="40% - Énfasis4 3 2 3 2 2 3" xfId="14127" xr:uid="{00000000-0005-0000-0000-00002C370000}"/>
    <cellStyle name="40% - Énfasis4 3 2 3 2 2 3 2" xfId="14128" xr:uid="{00000000-0005-0000-0000-00002D370000}"/>
    <cellStyle name="40% - Énfasis4 3 2 3 2 2 3 2 2" xfId="14129" xr:uid="{00000000-0005-0000-0000-00002E370000}"/>
    <cellStyle name="40% - Énfasis4 3 2 3 2 2 3 3" xfId="14130" xr:uid="{00000000-0005-0000-0000-00002F370000}"/>
    <cellStyle name="40% - Énfasis4 3 2 3 2 2 3 4" xfId="14131" xr:uid="{00000000-0005-0000-0000-000030370000}"/>
    <cellStyle name="40% - Énfasis4 3 2 3 2 2 4" xfId="14132" xr:uid="{00000000-0005-0000-0000-000031370000}"/>
    <cellStyle name="40% - Énfasis4 3 2 3 2 2 4 2" xfId="14133" xr:uid="{00000000-0005-0000-0000-000032370000}"/>
    <cellStyle name="40% - Énfasis4 3 2 3 2 2 5" xfId="14134" xr:uid="{00000000-0005-0000-0000-000033370000}"/>
    <cellStyle name="40% - Énfasis4 3 2 3 2 2 6" xfId="14135" xr:uid="{00000000-0005-0000-0000-000034370000}"/>
    <cellStyle name="40% - Énfasis4 3 2 3 2 3" xfId="14136" xr:uid="{00000000-0005-0000-0000-000035370000}"/>
    <cellStyle name="40% - Énfasis4 3 2 3 2 3 2" xfId="14137" xr:uid="{00000000-0005-0000-0000-000036370000}"/>
    <cellStyle name="40% - Énfasis4 3 2 3 2 3 2 2" xfId="14138" xr:uid="{00000000-0005-0000-0000-000037370000}"/>
    <cellStyle name="40% - Énfasis4 3 2 3 2 3 2 2 2" xfId="14139" xr:uid="{00000000-0005-0000-0000-000038370000}"/>
    <cellStyle name="40% - Énfasis4 3 2 3 2 3 2 3" xfId="14140" xr:uid="{00000000-0005-0000-0000-000039370000}"/>
    <cellStyle name="40% - Énfasis4 3 2 3 2 3 2 4" xfId="14141" xr:uid="{00000000-0005-0000-0000-00003A370000}"/>
    <cellStyle name="40% - Énfasis4 3 2 3 2 3 3" xfId="14142" xr:uid="{00000000-0005-0000-0000-00003B370000}"/>
    <cellStyle name="40% - Énfasis4 3 2 3 2 3 3 2" xfId="14143" xr:uid="{00000000-0005-0000-0000-00003C370000}"/>
    <cellStyle name="40% - Énfasis4 3 2 3 2 3 4" xfId="14144" xr:uid="{00000000-0005-0000-0000-00003D370000}"/>
    <cellStyle name="40% - Énfasis4 3 2 3 2 3 5" xfId="14145" xr:uid="{00000000-0005-0000-0000-00003E370000}"/>
    <cellStyle name="40% - Énfasis4 3 2 3 2 4" xfId="14146" xr:uid="{00000000-0005-0000-0000-00003F370000}"/>
    <cellStyle name="40% - Énfasis4 3 2 3 2 4 2" xfId="14147" xr:uid="{00000000-0005-0000-0000-000040370000}"/>
    <cellStyle name="40% - Énfasis4 3 2 3 2 4 2 2" xfId="14148" xr:uid="{00000000-0005-0000-0000-000041370000}"/>
    <cellStyle name="40% - Énfasis4 3 2 3 2 4 3" xfId="14149" xr:uid="{00000000-0005-0000-0000-000042370000}"/>
    <cellStyle name="40% - Énfasis4 3 2 3 2 4 4" xfId="14150" xr:uid="{00000000-0005-0000-0000-000043370000}"/>
    <cellStyle name="40% - Énfasis4 3 2 3 2 5" xfId="14151" xr:uid="{00000000-0005-0000-0000-000044370000}"/>
    <cellStyle name="40% - Énfasis4 3 2 3 2 5 2" xfId="14152" xr:uid="{00000000-0005-0000-0000-000045370000}"/>
    <cellStyle name="40% - Énfasis4 3 2 3 2 6" xfId="14153" xr:uid="{00000000-0005-0000-0000-000046370000}"/>
    <cellStyle name="40% - Énfasis4 3 2 3 2 7" xfId="14154" xr:uid="{00000000-0005-0000-0000-000047370000}"/>
    <cellStyle name="40% - Énfasis4 3 2 3 3" xfId="14155" xr:uid="{00000000-0005-0000-0000-000048370000}"/>
    <cellStyle name="40% - Énfasis4 3 2 3 3 2" xfId="14156" xr:uid="{00000000-0005-0000-0000-000049370000}"/>
    <cellStyle name="40% - Énfasis4 3 2 3 3 2 2" xfId="14157" xr:uid="{00000000-0005-0000-0000-00004A370000}"/>
    <cellStyle name="40% - Énfasis4 3 2 3 3 2 2 2" xfId="14158" xr:uid="{00000000-0005-0000-0000-00004B370000}"/>
    <cellStyle name="40% - Énfasis4 3 2 3 3 2 2 2 2" xfId="14159" xr:uid="{00000000-0005-0000-0000-00004C370000}"/>
    <cellStyle name="40% - Énfasis4 3 2 3 3 2 2 3" xfId="14160" xr:uid="{00000000-0005-0000-0000-00004D370000}"/>
    <cellStyle name="40% - Énfasis4 3 2 3 3 2 2 4" xfId="14161" xr:uid="{00000000-0005-0000-0000-00004E370000}"/>
    <cellStyle name="40% - Énfasis4 3 2 3 3 2 3" xfId="14162" xr:uid="{00000000-0005-0000-0000-00004F370000}"/>
    <cellStyle name="40% - Énfasis4 3 2 3 3 2 3 2" xfId="14163" xr:uid="{00000000-0005-0000-0000-000050370000}"/>
    <cellStyle name="40% - Énfasis4 3 2 3 3 2 4" xfId="14164" xr:uid="{00000000-0005-0000-0000-000051370000}"/>
    <cellStyle name="40% - Énfasis4 3 2 3 3 2 5" xfId="14165" xr:uid="{00000000-0005-0000-0000-000052370000}"/>
    <cellStyle name="40% - Énfasis4 3 2 3 3 3" xfId="14166" xr:uid="{00000000-0005-0000-0000-000053370000}"/>
    <cellStyle name="40% - Énfasis4 3 2 3 3 3 2" xfId="14167" xr:uid="{00000000-0005-0000-0000-000054370000}"/>
    <cellStyle name="40% - Énfasis4 3 2 3 3 3 2 2" xfId="14168" xr:uid="{00000000-0005-0000-0000-000055370000}"/>
    <cellStyle name="40% - Énfasis4 3 2 3 3 3 3" xfId="14169" xr:uid="{00000000-0005-0000-0000-000056370000}"/>
    <cellStyle name="40% - Énfasis4 3 2 3 3 3 3 2" xfId="14170" xr:uid="{00000000-0005-0000-0000-000057370000}"/>
    <cellStyle name="40% - Énfasis4 3 2 3 3 3 4" xfId="14171" xr:uid="{00000000-0005-0000-0000-000058370000}"/>
    <cellStyle name="40% - Énfasis4 3 2 3 3 3 5" xfId="14172" xr:uid="{00000000-0005-0000-0000-000059370000}"/>
    <cellStyle name="40% - Énfasis4 3 2 3 3 4" xfId="14173" xr:uid="{00000000-0005-0000-0000-00005A370000}"/>
    <cellStyle name="40% - Énfasis4 3 2 3 3 4 2" xfId="14174" xr:uid="{00000000-0005-0000-0000-00005B370000}"/>
    <cellStyle name="40% - Énfasis4 3 2 3 3 5" xfId="14175" xr:uid="{00000000-0005-0000-0000-00005C370000}"/>
    <cellStyle name="40% - Énfasis4 3 2 3 3 5 2" xfId="14176" xr:uid="{00000000-0005-0000-0000-00005D370000}"/>
    <cellStyle name="40% - Énfasis4 3 2 3 3 6" xfId="14177" xr:uid="{00000000-0005-0000-0000-00005E370000}"/>
    <cellStyle name="40% - Énfasis4 3 2 3 3 7" xfId="14178" xr:uid="{00000000-0005-0000-0000-00005F370000}"/>
    <cellStyle name="40% - Énfasis4 3 2 3 4" xfId="14179" xr:uid="{00000000-0005-0000-0000-000060370000}"/>
    <cellStyle name="40% - Énfasis4 3 2 3 4 2" xfId="14180" xr:uid="{00000000-0005-0000-0000-000061370000}"/>
    <cellStyle name="40% - Énfasis4 3 2 3 4 2 2" xfId="14181" xr:uid="{00000000-0005-0000-0000-000062370000}"/>
    <cellStyle name="40% - Énfasis4 3 2 3 4 2 2 2" xfId="14182" xr:uid="{00000000-0005-0000-0000-000063370000}"/>
    <cellStyle name="40% - Énfasis4 3 2 3 4 2 3" xfId="14183" xr:uid="{00000000-0005-0000-0000-000064370000}"/>
    <cellStyle name="40% - Énfasis4 3 2 3 4 2 4" xfId="14184" xr:uid="{00000000-0005-0000-0000-000065370000}"/>
    <cellStyle name="40% - Énfasis4 3 2 3 4 3" xfId="14185" xr:uid="{00000000-0005-0000-0000-000066370000}"/>
    <cellStyle name="40% - Énfasis4 3 2 3 4 3 2" xfId="14186" xr:uid="{00000000-0005-0000-0000-000067370000}"/>
    <cellStyle name="40% - Énfasis4 3 2 3 4 4" xfId="14187" xr:uid="{00000000-0005-0000-0000-000068370000}"/>
    <cellStyle name="40% - Énfasis4 3 2 3 4 5" xfId="14188" xr:uid="{00000000-0005-0000-0000-000069370000}"/>
    <cellStyle name="40% - Énfasis4 3 2 3 5" xfId="14189" xr:uid="{00000000-0005-0000-0000-00006A370000}"/>
    <cellStyle name="40% - Énfasis4 3 2 3 5 2" xfId="14190" xr:uid="{00000000-0005-0000-0000-00006B370000}"/>
    <cellStyle name="40% - Énfasis4 3 2 3 5 2 2" xfId="14191" xr:uid="{00000000-0005-0000-0000-00006C370000}"/>
    <cellStyle name="40% - Énfasis4 3 2 3 5 3" xfId="14192" xr:uid="{00000000-0005-0000-0000-00006D370000}"/>
    <cellStyle name="40% - Énfasis4 3 2 3 5 3 2" xfId="14193" xr:uid="{00000000-0005-0000-0000-00006E370000}"/>
    <cellStyle name="40% - Énfasis4 3 2 3 5 4" xfId="14194" xr:uid="{00000000-0005-0000-0000-00006F370000}"/>
    <cellStyle name="40% - Énfasis4 3 2 3 5 5" xfId="14195" xr:uid="{00000000-0005-0000-0000-000070370000}"/>
    <cellStyle name="40% - Énfasis4 3 2 3 6" xfId="14196" xr:uid="{00000000-0005-0000-0000-000071370000}"/>
    <cellStyle name="40% - Énfasis4 3 2 3 6 2" xfId="14197" xr:uid="{00000000-0005-0000-0000-000072370000}"/>
    <cellStyle name="40% - Énfasis4 3 2 3 7" xfId="14198" xr:uid="{00000000-0005-0000-0000-000073370000}"/>
    <cellStyle name="40% - Énfasis4 3 2 3 7 2" xfId="14199" xr:uid="{00000000-0005-0000-0000-000074370000}"/>
    <cellStyle name="40% - Énfasis4 3 2 3 8" xfId="14200" xr:uid="{00000000-0005-0000-0000-000075370000}"/>
    <cellStyle name="40% - Énfasis4 3 2 3 9" xfId="14201" xr:uid="{00000000-0005-0000-0000-000076370000}"/>
    <cellStyle name="40% - Énfasis4 3 2 4" xfId="14202" xr:uid="{00000000-0005-0000-0000-000077370000}"/>
    <cellStyle name="40% - Énfasis4 3 2 4 2" xfId="14203" xr:uid="{00000000-0005-0000-0000-000078370000}"/>
    <cellStyle name="40% - Énfasis4 3 2 4 2 2" xfId="14204" xr:uid="{00000000-0005-0000-0000-000079370000}"/>
    <cellStyle name="40% - Énfasis4 3 2 4 2 2 2" xfId="14205" xr:uid="{00000000-0005-0000-0000-00007A370000}"/>
    <cellStyle name="40% - Énfasis4 3 2 4 2 2 2 2" xfId="14206" xr:uid="{00000000-0005-0000-0000-00007B370000}"/>
    <cellStyle name="40% - Énfasis4 3 2 4 2 2 2 2 2" xfId="14207" xr:uid="{00000000-0005-0000-0000-00007C370000}"/>
    <cellStyle name="40% - Énfasis4 3 2 4 2 2 2 3" xfId="14208" xr:uid="{00000000-0005-0000-0000-00007D370000}"/>
    <cellStyle name="40% - Énfasis4 3 2 4 2 2 2 4" xfId="14209" xr:uid="{00000000-0005-0000-0000-00007E370000}"/>
    <cellStyle name="40% - Énfasis4 3 2 4 2 2 3" xfId="14210" xr:uid="{00000000-0005-0000-0000-00007F370000}"/>
    <cellStyle name="40% - Énfasis4 3 2 4 2 2 3 2" xfId="14211" xr:uid="{00000000-0005-0000-0000-000080370000}"/>
    <cellStyle name="40% - Énfasis4 3 2 4 2 2 4" xfId="14212" xr:uid="{00000000-0005-0000-0000-000081370000}"/>
    <cellStyle name="40% - Énfasis4 3 2 4 2 2 5" xfId="14213" xr:uid="{00000000-0005-0000-0000-000082370000}"/>
    <cellStyle name="40% - Énfasis4 3 2 4 2 3" xfId="14214" xr:uid="{00000000-0005-0000-0000-000083370000}"/>
    <cellStyle name="40% - Énfasis4 3 2 4 2 3 2" xfId="14215" xr:uid="{00000000-0005-0000-0000-000084370000}"/>
    <cellStyle name="40% - Énfasis4 3 2 4 2 3 2 2" xfId="14216" xr:uid="{00000000-0005-0000-0000-000085370000}"/>
    <cellStyle name="40% - Énfasis4 3 2 4 2 3 3" xfId="14217" xr:uid="{00000000-0005-0000-0000-000086370000}"/>
    <cellStyle name="40% - Énfasis4 3 2 4 2 3 3 2" xfId="14218" xr:uid="{00000000-0005-0000-0000-000087370000}"/>
    <cellStyle name="40% - Énfasis4 3 2 4 2 3 4" xfId="14219" xr:uid="{00000000-0005-0000-0000-000088370000}"/>
    <cellStyle name="40% - Énfasis4 3 2 4 2 3 5" xfId="14220" xr:uid="{00000000-0005-0000-0000-000089370000}"/>
    <cellStyle name="40% - Énfasis4 3 2 4 2 4" xfId="14221" xr:uid="{00000000-0005-0000-0000-00008A370000}"/>
    <cellStyle name="40% - Énfasis4 3 2 4 2 4 2" xfId="14222" xr:uid="{00000000-0005-0000-0000-00008B370000}"/>
    <cellStyle name="40% - Énfasis4 3 2 4 2 5" xfId="14223" xr:uid="{00000000-0005-0000-0000-00008C370000}"/>
    <cellStyle name="40% - Énfasis4 3 2 4 2 5 2" xfId="14224" xr:uid="{00000000-0005-0000-0000-00008D370000}"/>
    <cellStyle name="40% - Énfasis4 3 2 4 2 6" xfId="14225" xr:uid="{00000000-0005-0000-0000-00008E370000}"/>
    <cellStyle name="40% - Énfasis4 3 2 4 2 7" xfId="14226" xr:uid="{00000000-0005-0000-0000-00008F370000}"/>
    <cellStyle name="40% - Énfasis4 3 2 4 3" xfId="14227" xr:uid="{00000000-0005-0000-0000-000090370000}"/>
    <cellStyle name="40% - Énfasis4 3 2 4 3 2" xfId="14228" xr:uid="{00000000-0005-0000-0000-000091370000}"/>
    <cellStyle name="40% - Énfasis4 3 2 4 3 2 2" xfId="14229" xr:uid="{00000000-0005-0000-0000-000092370000}"/>
    <cellStyle name="40% - Énfasis4 3 2 4 3 2 2 2" xfId="14230" xr:uid="{00000000-0005-0000-0000-000093370000}"/>
    <cellStyle name="40% - Énfasis4 3 2 4 3 2 3" xfId="14231" xr:uid="{00000000-0005-0000-0000-000094370000}"/>
    <cellStyle name="40% - Énfasis4 3 2 4 3 2 4" xfId="14232" xr:uid="{00000000-0005-0000-0000-000095370000}"/>
    <cellStyle name="40% - Énfasis4 3 2 4 3 3" xfId="14233" xr:uid="{00000000-0005-0000-0000-000096370000}"/>
    <cellStyle name="40% - Énfasis4 3 2 4 3 3 2" xfId="14234" xr:uid="{00000000-0005-0000-0000-000097370000}"/>
    <cellStyle name="40% - Énfasis4 3 2 4 3 4" xfId="14235" xr:uid="{00000000-0005-0000-0000-000098370000}"/>
    <cellStyle name="40% - Énfasis4 3 2 4 3 5" xfId="14236" xr:uid="{00000000-0005-0000-0000-000099370000}"/>
    <cellStyle name="40% - Énfasis4 3 2 4 4" xfId="14237" xr:uid="{00000000-0005-0000-0000-00009A370000}"/>
    <cellStyle name="40% - Énfasis4 3 2 4 4 2" xfId="14238" xr:uid="{00000000-0005-0000-0000-00009B370000}"/>
    <cellStyle name="40% - Énfasis4 3 2 4 4 2 2" xfId="14239" xr:uid="{00000000-0005-0000-0000-00009C370000}"/>
    <cellStyle name="40% - Énfasis4 3 2 4 4 3" xfId="14240" xr:uid="{00000000-0005-0000-0000-00009D370000}"/>
    <cellStyle name="40% - Énfasis4 3 2 4 4 3 2" xfId="14241" xr:uid="{00000000-0005-0000-0000-00009E370000}"/>
    <cellStyle name="40% - Énfasis4 3 2 4 4 4" xfId="14242" xr:uid="{00000000-0005-0000-0000-00009F370000}"/>
    <cellStyle name="40% - Énfasis4 3 2 4 4 5" xfId="14243" xr:uid="{00000000-0005-0000-0000-0000A0370000}"/>
    <cellStyle name="40% - Énfasis4 3 2 4 5" xfId="14244" xr:uid="{00000000-0005-0000-0000-0000A1370000}"/>
    <cellStyle name="40% - Énfasis4 3 2 4 5 2" xfId="14245" xr:uid="{00000000-0005-0000-0000-0000A2370000}"/>
    <cellStyle name="40% - Énfasis4 3 2 4 6" xfId="14246" xr:uid="{00000000-0005-0000-0000-0000A3370000}"/>
    <cellStyle name="40% - Énfasis4 3 2 4 6 2" xfId="14247" xr:uid="{00000000-0005-0000-0000-0000A4370000}"/>
    <cellStyle name="40% - Énfasis4 3 2 4 7" xfId="14248" xr:uid="{00000000-0005-0000-0000-0000A5370000}"/>
    <cellStyle name="40% - Énfasis4 3 2 4 8" xfId="14249" xr:uid="{00000000-0005-0000-0000-0000A6370000}"/>
    <cellStyle name="40% - Énfasis4 3 2 5" xfId="14250" xr:uid="{00000000-0005-0000-0000-0000A7370000}"/>
    <cellStyle name="40% - Énfasis4 3 2 5 2" xfId="14251" xr:uid="{00000000-0005-0000-0000-0000A8370000}"/>
    <cellStyle name="40% - Énfasis4 3 2 5 2 2" xfId="14252" xr:uid="{00000000-0005-0000-0000-0000A9370000}"/>
    <cellStyle name="40% - Énfasis4 3 2 5 2 2 2" xfId="14253" xr:uid="{00000000-0005-0000-0000-0000AA370000}"/>
    <cellStyle name="40% - Énfasis4 3 2 5 2 2 2 2" xfId="14254" xr:uid="{00000000-0005-0000-0000-0000AB370000}"/>
    <cellStyle name="40% - Énfasis4 3 2 5 2 2 3" xfId="14255" xr:uid="{00000000-0005-0000-0000-0000AC370000}"/>
    <cellStyle name="40% - Énfasis4 3 2 5 2 2 4" xfId="14256" xr:uid="{00000000-0005-0000-0000-0000AD370000}"/>
    <cellStyle name="40% - Énfasis4 3 2 5 2 3" xfId="14257" xr:uid="{00000000-0005-0000-0000-0000AE370000}"/>
    <cellStyle name="40% - Énfasis4 3 2 5 2 3 2" xfId="14258" xr:uid="{00000000-0005-0000-0000-0000AF370000}"/>
    <cellStyle name="40% - Énfasis4 3 2 5 2 4" xfId="14259" xr:uid="{00000000-0005-0000-0000-0000B0370000}"/>
    <cellStyle name="40% - Énfasis4 3 2 5 2 5" xfId="14260" xr:uid="{00000000-0005-0000-0000-0000B1370000}"/>
    <cellStyle name="40% - Énfasis4 3 2 5 3" xfId="14261" xr:uid="{00000000-0005-0000-0000-0000B2370000}"/>
    <cellStyle name="40% - Énfasis4 3 2 5 3 2" xfId="14262" xr:uid="{00000000-0005-0000-0000-0000B3370000}"/>
    <cellStyle name="40% - Énfasis4 3 2 5 3 2 2" xfId="14263" xr:uid="{00000000-0005-0000-0000-0000B4370000}"/>
    <cellStyle name="40% - Énfasis4 3 2 5 3 3" xfId="14264" xr:uid="{00000000-0005-0000-0000-0000B5370000}"/>
    <cellStyle name="40% - Énfasis4 3 2 5 3 3 2" xfId="14265" xr:uid="{00000000-0005-0000-0000-0000B6370000}"/>
    <cellStyle name="40% - Énfasis4 3 2 5 3 4" xfId="14266" xr:uid="{00000000-0005-0000-0000-0000B7370000}"/>
    <cellStyle name="40% - Énfasis4 3 2 5 3 5" xfId="14267" xr:uid="{00000000-0005-0000-0000-0000B8370000}"/>
    <cellStyle name="40% - Énfasis4 3 2 5 4" xfId="14268" xr:uid="{00000000-0005-0000-0000-0000B9370000}"/>
    <cellStyle name="40% - Énfasis4 3 2 5 4 2" xfId="14269" xr:uid="{00000000-0005-0000-0000-0000BA370000}"/>
    <cellStyle name="40% - Énfasis4 3 2 5 5" xfId="14270" xr:uid="{00000000-0005-0000-0000-0000BB370000}"/>
    <cellStyle name="40% - Énfasis4 3 2 5 5 2" xfId="14271" xr:uid="{00000000-0005-0000-0000-0000BC370000}"/>
    <cellStyle name="40% - Énfasis4 3 2 5 6" xfId="14272" xr:uid="{00000000-0005-0000-0000-0000BD370000}"/>
    <cellStyle name="40% - Énfasis4 3 2 5 7" xfId="14273" xr:uid="{00000000-0005-0000-0000-0000BE370000}"/>
    <cellStyle name="40% - Énfasis4 3 2 6" xfId="14274" xr:uid="{00000000-0005-0000-0000-0000BF370000}"/>
    <cellStyle name="40% - Énfasis4 3 2 6 2" xfId="14275" xr:uid="{00000000-0005-0000-0000-0000C0370000}"/>
    <cellStyle name="40% - Énfasis4 3 2 6 2 2" xfId="14276" xr:uid="{00000000-0005-0000-0000-0000C1370000}"/>
    <cellStyle name="40% - Énfasis4 3 2 6 2 2 2" xfId="14277" xr:uid="{00000000-0005-0000-0000-0000C2370000}"/>
    <cellStyle name="40% - Énfasis4 3 2 6 2 3" xfId="14278" xr:uid="{00000000-0005-0000-0000-0000C3370000}"/>
    <cellStyle name="40% - Énfasis4 3 2 6 2 4" xfId="14279" xr:uid="{00000000-0005-0000-0000-0000C4370000}"/>
    <cellStyle name="40% - Énfasis4 3 2 6 3" xfId="14280" xr:uid="{00000000-0005-0000-0000-0000C5370000}"/>
    <cellStyle name="40% - Énfasis4 3 2 6 3 2" xfId="14281" xr:uid="{00000000-0005-0000-0000-0000C6370000}"/>
    <cellStyle name="40% - Énfasis4 3 2 6 4" xfId="14282" xr:uid="{00000000-0005-0000-0000-0000C7370000}"/>
    <cellStyle name="40% - Énfasis4 3 2 6 5" xfId="14283" xr:uid="{00000000-0005-0000-0000-0000C8370000}"/>
    <cellStyle name="40% - Énfasis4 3 2 7" xfId="14284" xr:uid="{00000000-0005-0000-0000-0000C9370000}"/>
    <cellStyle name="40% - Énfasis4 3 2 7 2" xfId="14285" xr:uid="{00000000-0005-0000-0000-0000CA370000}"/>
    <cellStyle name="40% - Énfasis4 3 2 7 2 2" xfId="14286" xr:uid="{00000000-0005-0000-0000-0000CB370000}"/>
    <cellStyle name="40% - Énfasis4 3 2 7 3" xfId="14287" xr:uid="{00000000-0005-0000-0000-0000CC370000}"/>
    <cellStyle name="40% - Énfasis4 3 2 7 3 2" xfId="14288" xr:uid="{00000000-0005-0000-0000-0000CD370000}"/>
    <cellStyle name="40% - Énfasis4 3 2 7 4" xfId="14289" xr:uid="{00000000-0005-0000-0000-0000CE370000}"/>
    <cellStyle name="40% - Énfasis4 3 2 7 5" xfId="14290" xr:uid="{00000000-0005-0000-0000-0000CF370000}"/>
    <cellStyle name="40% - Énfasis4 3 2 8" xfId="14291" xr:uid="{00000000-0005-0000-0000-0000D0370000}"/>
    <cellStyle name="40% - Énfasis4 3 2 8 2" xfId="14292" xr:uid="{00000000-0005-0000-0000-0000D1370000}"/>
    <cellStyle name="40% - Énfasis4 3 2 9" xfId="14293" xr:uid="{00000000-0005-0000-0000-0000D2370000}"/>
    <cellStyle name="40% - Énfasis4 3 2 9 2" xfId="14294" xr:uid="{00000000-0005-0000-0000-0000D3370000}"/>
    <cellStyle name="40% - Énfasis4 3 3" xfId="14295" xr:uid="{00000000-0005-0000-0000-0000D4370000}"/>
    <cellStyle name="40% - Énfasis4 3 3 10" xfId="14296" xr:uid="{00000000-0005-0000-0000-0000D5370000}"/>
    <cellStyle name="40% - Énfasis4 3 3 2" xfId="14297" xr:uid="{00000000-0005-0000-0000-0000D6370000}"/>
    <cellStyle name="40% - Énfasis4 3 3 2 2" xfId="14298" xr:uid="{00000000-0005-0000-0000-0000D7370000}"/>
    <cellStyle name="40% - Énfasis4 3 3 2 2 2" xfId="14299" xr:uid="{00000000-0005-0000-0000-0000D8370000}"/>
    <cellStyle name="40% - Énfasis4 3 3 2 2 2 2" xfId="14300" xr:uid="{00000000-0005-0000-0000-0000D9370000}"/>
    <cellStyle name="40% - Énfasis4 3 3 2 2 2 2 2" xfId="14301" xr:uid="{00000000-0005-0000-0000-0000DA370000}"/>
    <cellStyle name="40% - Énfasis4 3 3 2 2 2 2 2 2" xfId="14302" xr:uid="{00000000-0005-0000-0000-0000DB370000}"/>
    <cellStyle name="40% - Énfasis4 3 3 2 2 2 2 2 2 2" xfId="14303" xr:uid="{00000000-0005-0000-0000-0000DC370000}"/>
    <cellStyle name="40% - Énfasis4 3 3 2 2 2 2 2 3" xfId="14304" xr:uid="{00000000-0005-0000-0000-0000DD370000}"/>
    <cellStyle name="40% - Énfasis4 3 3 2 2 2 2 2 4" xfId="14305" xr:uid="{00000000-0005-0000-0000-0000DE370000}"/>
    <cellStyle name="40% - Énfasis4 3 3 2 2 2 2 3" xfId="14306" xr:uid="{00000000-0005-0000-0000-0000DF370000}"/>
    <cellStyle name="40% - Énfasis4 3 3 2 2 2 2 3 2" xfId="14307" xr:uid="{00000000-0005-0000-0000-0000E0370000}"/>
    <cellStyle name="40% - Énfasis4 3 3 2 2 2 2 4" xfId="14308" xr:uid="{00000000-0005-0000-0000-0000E1370000}"/>
    <cellStyle name="40% - Énfasis4 3 3 2 2 2 2 5" xfId="14309" xr:uid="{00000000-0005-0000-0000-0000E2370000}"/>
    <cellStyle name="40% - Énfasis4 3 3 2 2 2 3" xfId="14310" xr:uid="{00000000-0005-0000-0000-0000E3370000}"/>
    <cellStyle name="40% - Énfasis4 3 3 2 2 2 3 2" xfId="14311" xr:uid="{00000000-0005-0000-0000-0000E4370000}"/>
    <cellStyle name="40% - Énfasis4 3 3 2 2 2 3 2 2" xfId="14312" xr:uid="{00000000-0005-0000-0000-0000E5370000}"/>
    <cellStyle name="40% - Énfasis4 3 3 2 2 2 3 3" xfId="14313" xr:uid="{00000000-0005-0000-0000-0000E6370000}"/>
    <cellStyle name="40% - Énfasis4 3 3 2 2 2 3 4" xfId="14314" xr:uid="{00000000-0005-0000-0000-0000E7370000}"/>
    <cellStyle name="40% - Énfasis4 3 3 2 2 2 4" xfId="14315" xr:uid="{00000000-0005-0000-0000-0000E8370000}"/>
    <cellStyle name="40% - Énfasis4 3 3 2 2 2 4 2" xfId="14316" xr:uid="{00000000-0005-0000-0000-0000E9370000}"/>
    <cellStyle name="40% - Énfasis4 3 3 2 2 2 5" xfId="14317" xr:uid="{00000000-0005-0000-0000-0000EA370000}"/>
    <cellStyle name="40% - Énfasis4 3 3 2 2 2 6" xfId="14318" xr:uid="{00000000-0005-0000-0000-0000EB370000}"/>
    <cellStyle name="40% - Énfasis4 3 3 2 2 3" xfId="14319" xr:uid="{00000000-0005-0000-0000-0000EC370000}"/>
    <cellStyle name="40% - Énfasis4 3 3 2 2 3 2" xfId="14320" xr:uid="{00000000-0005-0000-0000-0000ED370000}"/>
    <cellStyle name="40% - Énfasis4 3 3 2 2 3 2 2" xfId="14321" xr:uid="{00000000-0005-0000-0000-0000EE370000}"/>
    <cellStyle name="40% - Énfasis4 3 3 2 2 3 2 2 2" xfId="14322" xr:uid="{00000000-0005-0000-0000-0000EF370000}"/>
    <cellStyle name="40% - Énfasis4 3 3 2 2 3 2 3" xfId="14323" xr:uid="{00000000-0005-0000-0000-0000F0370000}"/>
    <cellStyle name="40% - Énfasis4 3 3 2 2 3 2 4" xfId="14324" xr:uid="{00000000-0005-0000-0000-0000F1370000}"/>
    <cellStyle name="40% - Énfasis4 3 3 2 2 3 3" xfId="14325" xr:uid="{00000000-0005-0000-0000-0000F2370000}"/>
    <cellStyle name="40% - Énfasis4 3 3 2 2 3 3 2" xfId="14326" xr:uid="{00000000-0005-0000-0000-0000F3370000}"/>
    <cellStyle name="40% - Énfasis4 3 3 2 2 3 4" xfId="14327" xr:uid="{00000000-0005-0000-0000-0000F4370000}"/>
    <cellStyle name="40% - Énfasis4 3 3 2 2 3 5" xfId="14328" xr:uid="{00000000-0005-0000-0000-0000F5370000}"/>
    <cellStyle name="40% - Énfasis4 3 3 2 2 4" xfId="14329" xr:uid="{00000000-0005-0000-0000-0000F6370000}"/>
    <cellStyle name="40% - Énfasis4 3 3 2 2 4 2" xfId="14330" xr:uid="{00000000-0005-0000-0000-0000F7370000}"/>
    <cellStyle name="40% - Énfasis4 3 3 2 2 4 2 2" xfId="14331" xr:uid="{00000000-0005-0000-0000-0000F8370000}"/>
    <cellStyle name="40% - Énfasis4 3 3 2 2 4 3" xfId="14332" xr:uid="{00000000-0005-0000-0000-0000F9370000}"/>
    <cellStyle name="40% - Énfasis4 3 3 2 2 4 4" xfId="14333" xr:uid="{00000000-0005-0000-0000-0000FA370000}"/>
    <cellStyle name="40% - Énfasis4 3 3 2 2 5" xfId="14334" xr:uid="{00000000-0005-0000-0000-0000FB370000}"/>
    <cellStyle name="40% - Énfasis4 3 3 2 2 5 2" xfId="14335" xr:uid="{00000000-0005-0000-0000-0000FC370000}"/>
    <cellStyle name="40% - Énfasis4 3 3 2 2 6" xfId="14336" xr:uid="{00000000-0005-0000-0000-0000FD370000}"/>
    <cellStyle name="40% - Énfasis4 3 3 2 2 7" xfId="14337" xr:uid="{00000000-0005-0000-0000-0000FE370000}"/>
    <cellStyle name="40% - Énfasis4 3 3 2 3" xfId="14338" xr:uid="{00000000-0005-0000-0000-0000FF370000}"/>
    <cellStyle name="40% - Énfasis4 3 3 2 3 2" xfId="14339" xr:uid="{00000000-0005-0000-0000-000000380000}"/>
    <cellStyle name="40% - Énfasis4 3 3 2 3 2 2" xfId="14340" xr:uid="{00000000-0005-0000-0000-000001380000}"/>
    <cellStyle name="40% - Énfasis4 3 3 2 3 2 2 2" xfId="14341" xr:uid="{00000000-0005-0000-0000-000002380000}"/>
    <cellStyle name="40% - Énfasis4 3 3 2 3 2 2 2 2" xfId="14342" xr:uid="{00000000-0005-0000-0000-000003380000}"/>
    <cellStyle name="40% - Énfasis4 3 3 2 3 2 2 3" xfId="14343" xr:uid="{00000000-0005-0000-0000-000004380000}"/>
    <cellStyle name="40% - Énfasis4 3 3 2 3 2 2 4" xfId="14344" xr:uid="{00000000-0005-0000-0000-000005380000}"/>
    <cellStyle name="40% - Énfasis4 3 3 2 3 2 3" xfId="14345" xr:uid="{00000000-0005-0000-0000-000006380000}"/>
    <cellStyle name="40% - Énfasis4 3 3 2 3 2 3 2" xfId="14346" xr:uid="{00000000-0005-0000-0000-000007380000}"/>
    <cellStyle name="40% - Énfasis4 3 3 2 3 2 4" xfId="14347" xr:uid="{00000000-0005-0000-0000-000008380000}"/>
    <cellStyle name="40% - Énfasis4 3 3 2 3 2 5" xfId="14348" xr:uid="{00000000-0005-0000-0000-000009380000}"/>
    <cellStyle name="40% - Énfasis4 3 3 2 3 3" xfId="14349" xr:uid="{00000000-0005-0000-0000-00000A380000}"/>
    <cellStyle name="40% - Énfasis4 3 3 2 3 3 2" xfId="14350" xr:uid="{00000000-0005-0000-0000-00000B380000}"/>
    <cellStyle name="40% - Énfasis4 3 3 2 3 3 2 2" xfId="14351" xr:uid="{00000000-0005-0000-0000-00000C380000}"/>
    <cellStyle name="40% - Énfasis4 3 3 2 3 3 3" xfId="14352" xr:uid="{00000000-0005-0000-0000-00000D380000}"/>
    <cellStyle name="40% - Énfasis4 3 3 2 3 3 3 2" xfId="14353" xr:uid="{00000000-0005-0000-0000-00000E380000}"/>
    <cellStyle name="40% - Énfasis4 3 3 2 3 3 4" xfId="14354" xr:uid="{00000000-0005-0000-0000-00000F380000}"/>
    <cellStyle name="40% - Énfasis4 3 3 2 3 3 5" xfId="14355" xr:uid="{00000000-0005-0000-0000-000010380000}"/>
    <cellStyle name="40% - Énfasis4 3 3 2 3 4" xfId="14356" xr:uid="{00000000-0005-0000-0000-000011380000}"/>
    <cellStyle name="40% - Énfasis4 3 3 2 3 4 2" xfId="14357" xr:uid="{00000000-0005-0000-0000-000012380000}"/>
    <cellStyle name="40% - Énfasis4 3 3 2 3 5" xfId="14358" xr:uid="{00000000-0005-0000-0000-000013380000}"/>
    <cellStyle name="40% - Énfasis4 3 3 2 3 5 2" xfId="14359" xr:uid="{00000000-0005-0000-0000-000014380000}"/>
    <cellStyle name="40% - Énfasis4 3 3 2 3 6" xfId="14360" xr:uid="{00000000-0005-0000-0000-000015380000}"/>
    <cellStyle name="40% - Énfasis4 3 3 2 3 7" xfId="14361" xr:uid="{00000000-0005-0000-0000-000016380000}"/>
    <cellStyle name="40% - Énfasis4 3 3 2 4" xfId="14362" xr:uid="{00000000-0005-0000-0000-000017380000}"/>
    <cellStyle name="40% - Énfasis4 3 3 2 4 2" xfId="14363" xr:uid="{00000000-0005-0000-0000-000018380000}"/>
    <cellStyle name="40% - Énfasis4 3 3 2 4 2 2" xfId="14364" xr:uid="{00000000-0005-0000-0000-000019380000}"/>
    <cellStyle name="40% - Énfasis4 3 3 2 4 2 2 2" xfId="14365" xr:uid="{00000000-0005-0000-0000-00001A380000}"/>
    <cellStyle name="40% - Énfasis4 3 3 2 4 2 3" xfId="14366" xr:uid="{00000000-0005-0000-0000-00001B380000}"/>
    <cellStyle name="40% - Énfasis4 3 3 2 4 2 4" xfId="14367" xr:uid="{00000000-0005-0000-0000-00001C380000}"/>
    <cellStyle name="40% - Énfasis4 3 3 2 4 3" xfId="14368" xr:uid="{00000000-0005-0000-0000-00001D380000}"/>
    <cellStyle name="40% - Énfasis4 3 3 2 4 3 2" xfId="14369" xr:uid="{00000000-0005-0000-0000-00001E380000}"/>
    <cellStyle name="40% - Énfasis4 3 3 2 4 4" xfId="14370" xr:uid="{00000000-0005-0000-0000-00001F380000}"/>
    <cellStyle name="40% - Énfasis4 3 3 2 4 5" xfId="14371" xr:uid="{00000000-0005-0000-0000-000020380000}"/>
    <cellStyle name="40% - Énfasis4 3 3 2 5" xfId="14372" xr:uid="{00000000-0005-0000-0000-000021380000}"/>
    <cellStyle name="40% - Énfasis4 3 3 2 5 2" xfId="14373" xr:uid="{00000000-0005-0000-0000-000022380000}"/>
    <cellStyle name="40% - Énfasis4 3 3 2 5 2 2" xfId="14374" xr:uid="{00000000-0005-0000-0000-000023380000}"/>
    <cellStyle name="40% - Énfasis4 3 3 2 5 3" xfId="14375" xr:uid="{00000000-0005-0000-0000-000024380000}"/>
    <cellStyle name="40% - Énfasis4 3 3 2 5 3 2" xfId="14376" xr:uid="{00000000-0005-0000-0000-000025380000}"/>
    <cellStyle name="40% - Énfasis4 3 3 2 5 4" xfId="14377" xr:uid="{00000000-0005-0000-0000-000026380000}"/>
    <cellStyle name="40% - Énfasis4 3 3 2 5 5" xfId="14378" xr:uid="{00000000-0005-0000-0000-000027380000}"/>
    <cellStyle name="40% - Énfasis4 3 3 2 6" xfId="14379" xr:uid="{00000000-0005-0000-0000-000028380000}"/>
    <cellStyle name="40% - Énfasis4 3 3 2 6 2" xfId="14380" xr:uid="{00000000-0005-0000-0000-000029380000}"/>
    <cellStyle name="40% - Énfasis4 3 3 2 7" xfId="14381" xr:uid="{00000000-0005-0000-0000-00002A380000}"/>
    <cellStyle name="40% - Énfasis4 3 3 2 7 2" xfId="14382" xr:uid="{00000000-0005-0000-0000-00002B380000}"/>
    <cellStyle name="40% - Énfasis4 3 3 2 8" xfId="14383" xr:uid="{00000000-0005-0000-0000-00002C380000}"/>
    <cellStyle name="40% - Énfasis4 3 3 2 9" xfId="14384" xr:uid="{00000000-0005-0000-0000-00002D380000}"/>
    <cellStyle name="40% - Énfasis4 3 3 3" xfId="14385" xr:uid="{00000000-0005-0000-0000-00002E380000}"/>
    <cellStyle name="40% - Énfasis4 3 3 3 2" xfId="14386" xr:uid="{00000000-0005-0000-0000-00002F380000}"/>
    <cellStyle name="40% - Énfasis4 3 3 3 2 2" xfId="14387" xr:uid="{00000000-0005-0000-0000-000030380000}"/>
    <cellStyle name="40% - Énfasis4 3 3 3 2 2 2" xfId="14388" xr:uid="{00000000-0005-0000-0000-000031380000}"/>
    <cellStyle name="40% - Énfasis4 3 3 3 2 2 2 2" xfId="14389" xr:uid="{00000000-0005-0000-0000-000032380000}"/>
    <cellStyle name="40% - Énfasis4 3 3 3 2 2 2 2 2" xfId="14390" xr:uid="{00000000-0005-0000-0000-000033380000}"/>
    <cellStyle name="40% - Énfasis4 3 3 3 2 2 2 3" xfId="14391" xr:uid="{00000000-0005-0000-0000-000034380000}"/>
    <cellStyle name="40% - Énfasis4 3 3 3 2 2 2 4" xfId="14392" xr:uid="{00000000-0005-0000-0000-000035380000}"/>
    <cellStyle name="40% - Énfasis4 3 3 3 2 2 3" xfId="14393" xr:uid="{00000000-0005-0000-0000-000036380000}"/>
    <cellStyle name="40% - Énfasis4 3 3 3 2 2 3 2" xfId="14394" xr:uid="{00000000-0005-0000-0000-000037380000}"/>
    <cellStyle name="40% - Énfasis4 3 3 3 2 2 4" xfId="14395" xr:uid="{00000000-0005-0000-0000-000038380000}"/>
    <cellStyle name="40% - Énfasis4 3 3 3 2 2 5" xfId="14396" xr:uid="{00000000-0005-0000-0000-000039380000}"/>
    <cellStyle name="40% - Énfasis4 3 3 3 2 3" xfId="14397" xr:uid="{00000000-0005-0000-0000-00003A380000}"/>
    <cellStyle name="40% - Énfasis4 3 3 3 2 3 2" xfId="14398" xr:uid="{00000000-0005-0000-0000-00003B380000}"/>
    <cellStyle name="40% - Énfasis4 3 3 3 2 3 2 2" xfId="14399" xr:uid="{00000000-0005-0000-0000-00003C380000}"/>
    <cellStyle name="40% - Énfasis4 3 3 3 2 3 3" xfId="14400" xr:uid="{00000000-0005-0000-0000-00003D380000}"/>
    <cellStyle name="40% - Énfasis4 3 3 3 2 3 3 2" xfId="14401" xr:uid="{00000000-0005-0000-0000-00003E380000}"/>
    <cellStyle name="40% - Énfasis4 3 3 3 2 3 4" xfId="14402" xr:uid="{00000000-0005-0000-0000-00003F380000}"/>
    <cellStyle name="40% - Énfasis4 3 3 3 2 3 5" xfId="14403" xr:uid="{00000000-0005-0000-0000-000040380000}"/>
    <cellStyle name="40% - Énfasis4 3 3 3 2 4" xfId="14404" xr:uid="{00000000-0005-0000-0000-000041380000}"/>
    <cellStyle name="40% - Énfasis4 3 3 3 2 4 2" xfId="14405" xr:uid="{00000000-0005-0000-0000-000042380000}"/>
    <cellStyle name="40% - Énfasis4 3 3 3 2 5" xfId="14406" xr:uid="{00000000-0005-0000-0000-000043380000}"/>
    <cellStyle name="40% - Énfasis4 3 3 3 2 5 2" xfId="14407" xr:uid="{00000000-0005-0000-0000-000044380000}"/>
    <cellStyle name="40% - Énfasis4 3 3 3 2 6" xfId="14408" xr:uid="{00000000-0005-0000-0000-000045380000}"/>
    <cellStyle name="40% - Énfasis4 3 3 3 2 7" xfId="14409" xr:uid="{00000000-0005-0000-0000-000046380000}"/>
    <cellStyle name="40% - Énfasis4 3 3 3 3" xfId="14410" xr:uid="{00000000-0005-0000-0000-000047380000}"/>
    <cellStyle name="40% - Énfasis4 3 3 3 3 2" xfId="14411" xr:uid="{00000000-0005-0000-0000-000048380000}"/>
    <cellStyle name="40% - Énfasis4 3 3 3 3 2 2" xfId="14412" xr:uid="{00000000-0005-0000-0000-000049380000}"/>
    <cellStyle name="40% - Énfasis4 3 3 3 3 2 2 2" xfId="14413" xr:uid="{00000000-0005-0000-0000-00004A380000}"/>
    <cellStyle name="40% - Énfasis4 3 3 3 3 2 3" xfId="14414" xr:uid="{00000000-0005-0000-0000-00004B380000}"/>
    <cellStyle name="40% - Énfasis4 3 3 3 3 2 4" xfId="14415" xr:uid="{00000000-0005-0000-0000-00004C380000}"/>
    <cellStyle name="40% - Énfasis4 3 3 3 3 3" xfId="14416" xr:uid="{00000000-0005-0000-0000-00004D380000}"/>
    <cellStyle name="40% - Énfasis4 3 3 3 3 3 2" xfId="14417" xr:uid="{00000000-0005-0000-0000-00004E380000}"/>
    <cellStyle name="40% - Énfasis4 3 3 3 3 4" xfId="14418" xr:uid="{00000000-0005-0000-0000-00004F380000}"/>
    <cellStyle name="40% - Énfasis4 3 3 3 3 5" xfId="14419" xr:uid="{00000000-0005-0000-0000-000050380000}"/>
    <cellStyle name="40% - Énfasis4 3 3 3 4" xfId="14420" xr:uid="{00000000-0005-0000-0000-000051380000}"/>
    <cellStyle name="40% - Énfasis4 3 3 3 4 2" xfId="14421" xr:uid="{00000000-0005-0000-0000-000052380000}"/>
    <cellStyle name="40% - Énfasis4 3 3 3 4 2 2" xfId="14422" xr:uid="{00000000-0005-0000-0000-000053380000}"/>
    <cellStyle name="40% - Énfasis4 3 3 3 4 3" xfId="14423" xr:uid="{00000000-0005-0000-0000-000054380000}"/>
    <cellStyle name="40% - Énfasis4 3 3 3 4 3 2" xfId="14424" xr:uid="{00000000-0005-0000-0000-000055380000}"/>
    <cellStyle name="40% - Énfasis4 3 3 3 4 4" xfId="14425" xr:uid="{00000000-0005-0000-0000-000056380000}"/>
    <cellStyle name="40% - Énfasis4 3 3 3 4 5" xfId="14426" xr:uid="{00000000-0005-0000-0000-000057380000}"/>
    <cellStyle name="40% - Énfasis4 3 3 3 5" xfId="14427" xr:uid="{00000000-0005-0000-0000-000058380000}"/>
    <cellStyle name="40% - Énfasis4 3 3 3 5 2" xfId="14428" xr:uid="{00000000-0005-0000-0000-000059380000}"/>
    <cellStyle name="40% - Énfasis4 3 3 3 6" xfId="14429" xr:uid="{00000000-0005-0000-0000-00005A380000}"/>
    <cellStyle name="40% - Énfasis4 3 3 3 6 2" xfId="14430" xr:uid="{00000000-0005-0000-0000-00005B380000}"/>
    <cellStyle name="40% - Énfasis4 3 3 3 7" xfId="14431" xr:uid="{00000000-0005-0000-0000-00005C380000}"/>
    <cellStyle name="40% - Énfasis4 3 3 3 8" xfId="14432" xr:uid="{00000000-0005-0000-0000-00005D380000}"/>
    <cellStyle name="40% - Énfasis4 3 3 4" xfId="14433" xr:uid="{00000000-0005-0000-0000-00005E380000}"/>
    <cellStyle name="40% - Énfasis4 3 3 4 2" xfId="14434" xr:uid="{00000000-0005-0000-0000-00005F380000}"/>
    <cellStyle name="40% - Énfasis4 3 3 4 2 2" xfId="14435" xr:uid="{00000000-0005-0000-0000-000060380000}"/>
    <cellStyle name="40% - Énfasis4 3 3 4 2 2 2" xfId="14436" xr:uid="{00000000-0005-0000-0000-000061380000}"/>
    <cellStyle name="40% - Énfasis4 3 3 4 2 2 2 2" xfId="14437" xr:uid="{00000000-0005-0000-0000-000062380000}"/>
    <cellStyle name="40% - Énfasis4 3 3 4 2 2 3" xfId="14438" xr:uid="{00000000-0005-0000-0000-000063380000}"/>
    <cellStyle name="40% - Énfasis4 3 3 4 2 2 4" xfId="14439" xr:uid="{00000000-0005-0000-0000-000064380000}"/>
    <cellStyle name="40% - Énfasis4 3 3 4 2 3" xfId="14440" xr:uid="{00000000-0005-0000-0000-000065380000}"/>
    <cellStyle name="40% - Énfasis4 3 3 4 2 3 2" xfId="14441" xr:uid="{00000000-0005-0000-0000-000066380000}"/>
    <cellStyle name="40% - Énfasis4 3 3 4 2 4" xfId="14442" xr:uid="{00000000-0005-0000-0000-000067380000}"/>
    <cellStyle name="40% - Énfasis4 3 3 4 2 5" xfId="14443" xr:uid="{00000000-0005-0000-0000-000068380000}"/>
    <cellStyle name="40% - Énfasis4 3 3 4 3" xfId="14444" xr:uid="{00000000-0005-0000-0000-000069380000}"/>
    <cellStyle name="40% - Énfasis4 3 3 4 3 2" xfId="14445" xr:uid="{00000000-0005-0000-0000-00006A380000}"/>
    <cellStyle name="40% - Énfasis4 3 3 4 3 2 2" xfId="14446" xr:uid="{00000000-0005-0000-0000-00006B380000}"/>
    <cellStyle name="40% - Énfasis4 3 3 4 3 3" xfId="14447" xr:uid="{00000000-0005-0000-0000-00006C380000}"/>
    <cellStyle name="40% - Énfasis4 3 3 4 3 3 2" xfId="14448" xr:uid="{00000000-0005-0000-0000-00006D380000}"/>
    <cellStyle name="40% - Énfasis4 3 3 4 3 4" xfId="14449" xr:uid="{00000000-0005-0000-0000-00006E380000}"/>
    <cellStyle name="40% - Énfasis4 3 3 4 3 5" xfId="14450" xr:uid="{00000000-0005-0000-0000-00006F380000}"/>
    <cellStyle name="40% - Énfasis4 3 3 4 4" xfId="14451" xr:uid="{00000000-0005-0000-0000-000070380000}"/>
    <cellStyle name="40% - Énfasis4 3 3 4 4 2" xfId="14452" xr:uid="{00000000-0005-0000-0000-000071380000}"/>
    <cellStyle name="40% - Énfasis4 3 3 4 5" xfId="14453" xr:uid="{00000000-0005-0000-0000-000072380000}"/>
    <cellStyle name="40% - Énfasis4 3 3 4 5 2" xfId="14454" xr:uid="{00000000-0005-0000-0000-000073380000}"/>
    <cellStyle name="40% - Énfasis4 3 3 4 6" xfId="14455" xr:uid="{00000000-0005-0000-0000-000074380000}"/>
    <cellStyle name="40% - Énfasis4 3 3 4 7" xfId="14456" xr:uid="{00000000-0005-0000-0000-000075380000}"/>
    <cellStyle name="40% - Énfasis4 3 3 5" xfId="14457" xr:uid="{00000000-0005-0000-0000-000076380000}"/>
    <cellStyle name="40% - Énfasis4 3 3 5 2" xfId="14458" xr:uid="{00000000-0005-0000-0000-000077380000}"/>
    <cellStyle name="40% - Énfasis4 3 3 5 2 2" xfId="14459" xr:uid="{00000000-0005-0000-0000-000078380000}"/>
    <cellStyle name="40% - Énfasis4 3 3 5 2 2 2" xfId="14460" xr:uid="{00000000-0005-0000-0000-000079380000}"/>
    <cellStyle name="40% - Énfasis4 3 3 5 2 3" xfId="14461" xr:uid="{00000000-0005-0000-0000-00007A380000}"/>
    <cellStyle name="40% - Énfasis4 3 3 5 2 4" xfId="14462" xr:uid="{00000000-0005-0000-0000-00007B380000}"/>
    <cellStyle name="40% - Énfasis4 3 3 5 3" xfId="14463" xr:uid="{00000000-0005-0000-0000-00007C380000}"/>
    <cellStyle name="40% - Énfasis4 3 3 5 3 2" xfId="14464" xr:uid="{00000000-0005-0000-0000-00007D380000}"/>
    <cellStyle name="40% - Énfasis4 3 3 5 4" xfId="14465" xr:uid="{00000000-0005-0000-0000-00007E380000}"/>
    <cellStyle name="40% - Énfasis4 3 3 5 5" xfId="14466" xr:uid="{00000000-0005-0000-0000-00007F380000}"/>
    <cellStyle name="40% - Énfasis4 3 3 6" xfId="14467" xr:uid="{00000000-0005-0000-0000-000080380000}"/>
    <cellStyle name="40% - Énfasis4 3 3 6 2" xfId="14468" xr:uid="{00000000-0005-0000-0000-000081380000}"/>
    <cellStyle name="40% - Énfasis4 3 3 6 2 2" xfId="14469" xr:uid="{00000000-0005-0000-0000-000082380000}"/>
    <cellStyle name="40% - Énfasis4 3 3 6 3" xfId="14470" xr:uid="{00000000-0005-0000-0000-000083380000}"/>
    <cellStyle name="40% - Énfasis4 3 3 6 3 2" xfId="14471" xr:uid="{00000000-0005-0000-0000-000084380000}"/>
    <cellStyle name="40% - Énfasis4 3 3 6 4" xfId="14472" xr:uid="{00000000-0005-0000-0000-000085380000}"/>
    <cellStyle name="40% - Énfasis4 3 3 6 5" xfId="14473" xr:uid="{00000000-0005-0000-0000-000086380000}"/>
    <cellStyle name="40% - Énfasis4 3 3 7" xfId="14474" xr:uid="{00000000-0005-0000-0000-000087380000}"/>
    <cellStyle name="40% - Énfasis4 3 3 7 2" xfId="14475" xr:uid="{00000000-0005-0000-0000-000088380000}"/>
    <cellStyle name="40% - Énfasis4 3 3 8" xfId="14476" xr:uid="{00000000-0005-0000-0000-000089380000}"/>
    <cellStyle name="40% - Énfasis4 3 3 8 2" xfId="14477" xr:uid="{00000000-0005-0000-0000-00008A380000}"/>
    <cellStyle name="40% - Énfasis4 3 3 9" xfId="14478" xr:uid="{00000000-0005-0000-0000-00008B380000}"/>
    <cellStyle name="40% - Énfasis4 3 4" xfId="14479" xr:uid="{00000000-0005-0000-0000-00008C380000}"/>
    <cellStyle name="40% - Énfasis4 3 4 2" xfId="14480" xr:uid="{00000000-0005-0000-0000-00008D380000}"/>
    <cellStyle name="40% - Énfasis4 3 4 2 2" xfId="14481" xr:uid="{00000000-0005-0000-0000-00008E380000}"/>
    <cellStyle name="40% - Énfasis4 3 4 2 2 2" xfId="14482" xr:uid="{00000000-0005-0000-0000-00008F380000}"/>
    <cellStyle name="40% - Énfasis4 3 4 2 2 2 2" xfId="14483" xr:uid="{00000000-0005-0000-0000-000090380000}"/>
    <cellStyle name="40% - Énfasis4 3 4 2 2 2 2 2" xfId="14484" xr:uid="{00000000-0005-0000-0000-000091380000}"/>
    <cellStyle name="40% - Énfasis4 3 4 2 2 2 2 2 2" xfId="14485" xr:uid="{00000000-0005-0000-0000-000092380000}"/>
    <cellStyle name="40% - Énfasis4 3 4 2 2 2 2 3" xfId="14486" xr:uid="{00000000-0005-0000-0000-000093380000}"/>
    <cellStyle name="40% - Énfasis4 3 4 2 2 2 2 4" xfId="14487" xr:uid="{00000000-0005-0000-0000-000094380000}"/>
    <cellStyle name="40% - Énfasis4 3 4 2 2 2 3" xfId="14488" xr:uid="{00000000-0005-0000-0000-000095380000}"/>
    <cellStyle name="40% - Énfasis4 3 4 2 2 2 3 2" xfId="14489" xr:uid="{00000000-0005-0000-0000-000096380000}"/>
    <cellStyle name="40% - Énfasis4 3 4 2 2 2 4" xfId="14490" xr:uid="{00000000-0005-0000-0000-000097380000}"/>
    <cellStyle name="40% - Énfasis4 3 4 2 2 2 5" xfId="14491" xr:uid="{00000000-0005-0000-0000-000098380000}"/>
    <cellStyle name="40% - Énfasis4 3 4 2 2 3" xfId="14492" xr:uid="{00000000-0005-0000-0000-000099380000}"/>
    <cellStyle name="40% - Énfasis4 3 4 2 2 3 2" xfId="14493" xr:uid="{00000000-0005-0000-0000-00009A380000}"/>
    <cellStyle name="40% - Énfasis4 3 4 2 2 3 2 2" xfId="14494" xr:uid="{00000000-0005-0000-0000-00009B380000}"/>
    <cellStyle name="40% - Énfasis4 3 4 2 2 3 3" xfId="14495" xr:uid="{00000000-0005-0000-0000-00009C380000}"/>
    <cellStyle name="40% - Énfasis4 3 4 2 2 3 4" xfId="14496" xr:uid="{00000000-0005-0000-0000-00009D380000}"/>
    <cellStyle name="40% - Énfasis4 3 4 2 2 4" xfId="14497" xr:uid="{00000000-0005-0000-0000-00009E380000}"/>
    <cellStyle name="40% - Énfasis4 3 4 2 2 4 2" xfId="14498" xr:uid="{00000000-0005-0000-0000-00009F380000}"/>
    <cellStyle name="40% - Énfasis4 3 4 2 2 5" xfId="14499" xr:uid="{00000000-0005-0000-0000-0000A0380000}"/>
    <cellStyle name="40% - Énfasis4 3 4 2 2 6" xfId="14500" xr:uid="{00000000-0005-0000-0000-0000A1380000}"/>
    <cellStyle name="40% - Énfasis4 3 4 2 3" xfId="14501" xr:uid="{00000000-0005-0000-0000-0000A2380000}"/>
    <cellStyle name="40% - Énfasis4 3 4 2 3 2" xfId="14502" xr:uid="{00000000-0005-0000-0000-0000A3380000}"/>
    <cellStyle name="40% - Énfasis4 3 4 2 3 2 2" xfId="14503" xr:uid="{00000000-0005-0000-0000-0000A4380000}"/>
    <cellStyle name="40% - Énfasis4 3 4 2 3 2 2 2" xfId="14504" xr:uid="{00000000-0005-0000-0000-0000A5380000}"/>
    <cellStyle name="40% - Énfasis4 3 4 2 3 2 3" xfId="14505" xr:uid="{00000000-0005-0000-0000-0000A6380000}"/>
    <cellStyle name="40% - Énfasis4 3 4 2 3 2 4" xfId="14506" xr:uid="{00000000-0005-0000-0000-0000A7380000}"/>
    <cellStyle name="40% - Énfasis4 3 4 2 3 3" xfId="14507" xr:uid="{00000000-0005-0000-0000-0000A8380000}"/>
    <cellStyle name="40% - Énfasis4 3 4 2 3 3 2" xfId="14508" xr:uid="{00000000-0005-0000-0000-0000A9380000}"/>
    <cellStyle name="40% - Énfasis4 3 4 2 3 4" xfId="14509" xr:uid="{00000000-0005-0000-0000-0000AA380000}"/>
    <cellStyle name="40% - Énfasis4 3 4 2 3 5" xfId="14510" xr:uid="{00000000-0005-0000-0000-0000AB380000}"/>
    <cellStyle name="40% - Énfasis4 3 4 2 4" xfId="14511" xr:uid="{00000000-0005-0000-0000-0000AC380000}"/>
    <cellStyle name="40% - Énfasis4 3 4 2 4 2" xfId="14512" xr:uid="{00000000-0005-0000-0000-0000AD380000}"/>
    <cellStyle name="40% - Énfasis4 3 4 2 4 2 2" xfId="14513" xr:uid="{00000000-0005-0000-0000-0000AE380000}"/>
    <cellStyle name="40% - Énfasis4 3 4 2 4 3" xfId="14514" xr:uid="{00000000-0005-0000-0000-0000AF380000}"/>
    <cellStyle name="40% - Énfasis4 3 4 2 4 4" xfId="14515" xr:uid="{00000000-0005-0000-0000-0000B0380000}"/>
    <cellStyle name="40% - Énfasis4 3 4 2 5" xfId="14516" xr:uid="{00000000-0005-0000-0000-0000B1380000}"/>
    <cellStyle name="40% - Énfasis4 3 4 2 5 2" xfId="14517" xr:uid="{00000000-0005-0000-0000-0000B2380000}"/>
    <cellStyle name="40% - Énfasis4 3 4 2 6" xfId="14518" xr:uid="{00000000-0005-0000-0000-0000B3380000}"/>
    <cellStyle name="40% - Énfasis4 3 4 2 7" xfId="14519" xr:uid="{00000000-0005-0000-0000-0000B4380000}"/>
    <cellStyle name="40% - Énfasis4 3 4 3" xfId="14520" xr:uid="{00000000-0005-0000-0000-0000B5380000}"/>
    <cellStyle name="40% - Énfasis4 3 4 3 2" xfId="14521" xr:uid="{00000000-0005-0000-0000-0000B6380000}"/>
    <cellStyle name="40% - Énfasis4 3 4 3 2 2" xfId="14522" xr:uid="{00000000-0005-0000-0000-0000B7380000}"/>
    <cellStyle name="40% - Énfasis4 3 4 3 2 2 2" xfId="14523" xr:uid="{00000000-0005-0000-0000-0000B8380000}"/>
    <cellStyle name="40% - Énfasis4 3 4 3 2 2 2 2" xfId="14524" xr:uid="{00000000-0005-0000-0000-0000B9380000}"/>
    <cellStyle name="40% - Énfasis4 3 4 3 2 2 3" xfId="14525" xr:uid="{00000000-0005-0000-0000-0000BA380000}"/>
    <cellStyle name="40% - Énfasis4 3 4 3 2 2 4" xfId="14526" xr:uid="{00000000-0005-0000-0000-0000BB380000}"/>
    <cellStyle name="40% - Énfasis4 3 4 3 2 3" xfId="14527" xr:uid="{00000000-0005-0000-0000-0000BC380000}"/>
    <cellStyle name="40% - Énfasis4 3 4 3 2 3 2" xfId="14528" xr:uid="{00000000-0005-0000-0000-0000BD380000}"/>
    <cellStyle name="40% - Énfasis4 3 4 3 2 4" xfId="14529" xr:uid="{00000000-0005-0000-0000-0000BE380000}"/>
    <cellStyle name="40% - Énfasis4 3 4 3 2 5" xfId="14530" xr:uid="{00000000-0005-0000-0000-0000BF380000}"/>
    <cellStyle name="40% - Énfasis4 3 4 3 3" xfId="14531" xr:uid="{00000000-0005-0000-0000-0000C0380000}"/>
    <cellStyle name="40% - Énfasis4 3 4 3 3 2" xfId="14532" xr:uid="{00000000-0005-0000-0000-0000C1380000}"/>
    <cellStyle name="40% - Énfasis4 3 4 3 3 2 2" xfId="14533" xr:uid="{00000000-0005-0000-0000-0000C2380000}"/>
    <cellStyle name="40% - Énfasis4 3 4 3 3 3" xfId="14534" xr:uid="{00000000-0005-0000-0000-0000C3380000}"/>
    <cellStyle name="40% - Énfasis4 3 4 3 3 3 2" xfId="14535" xr:uid="{00000000-0005-0000-0000-0000C4380000}"/>
    <cellStyle name="40% - Énfasis4 3 4 3 3 4" xfId="14536" xr:uid="{00000000-0005-0000-0000-0000C5380000}"/>
    <cellStyle name="40% - Énfasis4 3 4 3 3 5" xfId="14537" xr:uid="{00000000-0005-0000-0000-0000C6380000}"/>
    <cellStyle name="40% - Énfasis4 3 4 3 4" xfId="14538" xr:uid="{00000000-0005-0000-0000-0000C7380000}"/>
    <cellStyle name="40% - Énfasis4 3 4 3 4 2" xfId="14539" xr:uid="{00000000-0005-0000-0000-0000C8380000}"/>
    <cellStyle name="40% - Énfasis4 3 4 3 5" xfId="14540" xr:uid="{00000000-0005-0000-0000-0000C9380000}"/>
    <cellStyle name="40% - Énfasis4 3 4 3 5 2" xfId="14541" xr:uid="{00000000-0005-0000-0000-0000CA380000}"/>
    <cellStyle name="40% - Énfasis4 3 4 3 6" xfId="14542" xr:uid="{00000000-0005-0000-0000-0000CB380000}"/>
    <cellStyle name="40% - Énfasis4 3 4 3 7" xfId="14543" xr:uid="{00000000-0005-0000-0000-0000CC380000}"/>
    <cellStyle name="40% - Énfasis4 3 4 4" xfId="14544" xr:uid="{00000000-0005-0000-0000-0000CD380000}"/>
    <cellStyle name="40% - Énfasis4 3 4 4 2" xfId="14545" xr:uid="{00000000-0005-0000-0000-0000CE380000}"/>
    <cellStyle name="40% - Énfasis4 3 4 4 2 2" xfId="14546" xr:uid="{00000000-0005-0000-0000-0000CF380000}"/>
    <cellStyle name="40% - Énfasis4 3 4 4 2 2 2" xfId="14547" xr:uid="{00000000-0005-0000-0000-0000D0380000}"/>
    <cellStyle name="40% - Énfasis4 3 4 4 2 3" xfId="14548" xr:uid="{00000000-0005-0000-0000-0000D1380000}"/>
    <cellStyle name="40% - Énfasis4 3 4 4 2 4" xfId="14549" xr:uid="{00000000-0005-0000-0000-0000D2380000}"/>
    <cellStyle name="40% - Énfasis4 3 4 4 3" xfId="14550" xr:uid="{00000000-0005-0000-0000-0000D3380000}"/>
    <cellStyle name="40% - Énfasis4 3 4 4 3 2" xfId="14551" xr:uid="{00000000-0005-0000-0000-0000D4380000}"/>
    <cellStyle name="40% - Énfasis4 3 4 4 4" xfId="14552" xr:uid="{00000000-0005-0000-0000-0000D5380000}"/>
    <cellStyle name="40% - Énfasis4 3 4 4 5" xfId="14553" xr:uid="{00000000-0005-0000-0000-0000D6380000}"/>
    <cellStyle name="40% - Énfasis4 3 4 5" xfId="14554" xr:uid="{00000000-0005-0000-0000-0000D7380000}"/>
    <cellStyle name="40% - Énfasis4 3 4 5 2" xfId="14555" xr:uid="{00000000-0005-0000-0000-0000D8380000}"/>
    <cellStyle name="40% - Énfasis4 3 4 5 2 2" xfId="14556" xr:uid="{00000000-0005-0000-0000-0000D9380000}"/>
    <cellStyle name="40% - Énfasis4 3 4 5 3" xfId="14557" xr:uid="{00000000-0005-0000-0000-0000DA380000}"/>
    <cellStyle name="40% - Énfasis4 3 4 5 3 2" xfId="14558" xr:uid="{00000000-0005-0000-0000-0000DB380000}"/>
    <cellStyle name="40% - Énfasis4 3 4 5 4" xfId="14559" xr:uid="{00000000-0005-0000-0000-0000DC380000}"/>
    <cellStyle name="40% - Énfasis4 3 4 5 5" xfId="14560" xr:uid="{00000000-0005-0000-0000-0000DD380000}"/>
    <cellStyle name="40% - Énfasis4 3 4 6" xfId="14561" xr:uid="{00000000-0005-0000-0000-0000DE380000}"/>
    <cellStyle name="40% - Énfasis4 3 4 6 2" xfId="14562" xr:uid="{00000000-0005-0000-0000-0000DF380000}"/>
    <cellStyle name="40% - Énfasis4 3 4 7" xfId="14563" xr:uid="{00000000-0005-0000-0000-0000E0380000}"/>
    <cellStyle name="40% - Énfasis4 3 4 7 2" xfId="14564" xr:uid="{00000000-0005-0000-0000-0000E1380000}"/>
    <cellStyle name="40% - Énfasis4 3 4 8" xfId="14565" xr:uid="{00000000-0005-0000-0000-0000E2380000}"/>
    <cellStyle name="40% - Énfasis4 3 4 9" xfId="14566" xr:uid="{00000000-0005-0000-0000-0000E3380000}"/>
    <cellStyle name="40% - Énfasis4 3 5" xfId="14567" xr:uid="{00000000-0005-0000-0000-0000E4380000}"/>
    <cellStyle name="40% - Énfasis4 3 5 2" xfId="14568" xr:uid="{00000000-0005-0000-0000-0000E5380000}"/>
    <cellStyle name="40% - Énfasis4 3 5 2 2" xfId="14569" xr:uid="{00000000-0005-0000-0000-0000E6380000}"/>
    <cellStyle name="40% - Énfasis4 3 5 2 2 2" xfId="14570" xr:uid="{00000000-0005-0000-0000-0000E7380000}"/>
    <cellStyle name="40% - Énfasis4 3 5 2 2 2 2" xfId="14571" xr:uid="{00000000-0005-0000-0000-0000E8380000}"/>
    <cellStyle name="40% - Énfasis4 3 5 2 2 2 2 2" xfId="14572" xr:uid="{00000000-0005-0000-0000-0000E9380000}"/>
    <cellStyle name="40% - Énfasis4 3 5 2 2 2 3" xfId="14573" xr:uid="{00000000-0005-0000-0000-0000EA380000}"/>
    <cellStyle name="40% - Énfasis4 3 5 2 2 2 4" xfId="14574" xr:uid="{00000000-0005-0000-0000-0000EB380000}"/>
    <cellStyle name="40% - Énfasis4 3 5 2 2 3" xfId="14575" xr:uid="{00000000-0005-0000-0000-0000EC380000}"/>
    <cellStyle name="40% - Énfasis4 3 5 2 2 3 2" xfId="14576" xr:uid="{00000000-0005-0000-0000-0000ED380000}"/>
    <cellStyle name="40% - Énfasis4 3 5 2 2 4" xfId="14577" xr:uid="{00000000-0005-0000-0000-0000EE380000}"/>
    <cellStyle name="40% - Énfasis4 3 5 2 2 5" xfId="14578" xr:uid="{00000000-0005-0000-0000-0000EF380000}"/>
    <cellStyle name="40% - Énfasis4 3 5 2 3" xfId="14579" xr:uid="{00000000-0005-0000-0000-0000F0380000}"/>
    <cellStyle name="40% - Énfasis4 3 5 2 3 2" xfId="14580" xr:uid="{00000000-0005-0000-0000-0000F1380000}"/>
    <cellStyle name="40% - Énfasis4 3 5 2 3 2 2" xfId="14581" xr:uid="{00000000-0005-0000-0000-0000F2380000}"/>
    <cellStyle name="40% - Énfasis4 3 5 2 3 3" xfId="14582" xr:uid="{00000000-0005-0000-0000-0000F3380000}"/>
    <cellStyle name="40% - Énfasis4 3 5 2 3 3 2" xfId="14583" xr:uid="{00000000-0005-0000-0000-0000F4380000}"/>
    <cellStyle name="40% - Énfasis4 3 5 2 3 4" xfId="14584" xr:uid="{00000000-0005-0000-0000-0000F5380000}"/>
    <cellStyle name="40% - Énfasis4 3 5 2 3 5" xfId="14585" xr:uid="{00000000-0005-0000-0000-0000F6380000}"/>
    <cellStyle name="40% - Énfasis4 3 5 2 4" xfId="14586" xr:uid="{00000000-0005-0000-0000-0000F7380000}"/>
    <cellStyle name="40% - Énfasis4 3 5 2 4 2" xfId="14587" xr:uid="{00000000-0005-0000-0000-0000F8380000}"/>
    <cellStyle name="40% - Énfasis4 3 5 2 5" xfId="14588" xr:uid="{00000000-0005-0000-0000-0000F9380000}"/>
    <cellStyle name="40% - Énfasis4 3 5 2 5 2" xfId="14589" xr:uid="{00000000-0005-0000-0000-0000FA380000}"/>
    <cellStyle name="40% - Énfasis4 3 5 2 6" xfId="14590" xr:uid="{00000000-0005-0000-0000-0000FB380000}"/>
    <cellStyle name="40% - Énfasis4 3 5 2 7" xfId="14591" xr:uid="{00000000-0005-0000-0000-0000FC380000}"/>
    <cellStyle name="40% - Énfasis4 3 5 3" xfId="14592" xr:uid="{00000000-0005-0000-0000-0000FD380000}"/>
    <cellStyle name="40% - Énfasis4 3 5 3 2" xfId="14593" xr:uid="{00000000-0005-0000-0000-0000FE380000}"/>
    <cellStyle name="40% - Énfasis4 3 5 3 2 2" xfId="14594" xr:uid="{00000000-0005-0000-0000-0000FF380000}"/>
    <cellStyle name="40% - Énfasis4 3 5 3 2 2 2" xfId="14595" xr:uid="{00000000-0005-0000-0000-000000390000}"/>
    <cellStyle name="40% - Énfasis4 3 5 3 2 3" xfId="14596" xr:uid="{00000000-0005-0000-0000-000001390000}"/>
    <cellStyle name="40% - Énfasis4 3 5 3 2 4" xfId="14597" xr:uid="{00000000-0005-0000-0000-000002390000}"/>
    <cellStyle name="40% - Énfasis4 3 5 3 3" xfId="14598" xr:uid="{00000000-0005-0000-0000-000003390000}"/>
    <cellStyle name="40% - Énfasis4 3 5 3 3 2" xfId="14599" xr:uid="{00000000-0005-0000-0000-000004390000}"/>
    <cellStyle name="40% - Énfasis4 3 5 3 4" xfId="14600" xr:uid="{00000000-0005-0000-0000-000005390000}"/>
    <cellStyle name="40% - Énfasis4 3 5 3 5" xfId="14601" xr:uid="{00000000-0005-0000-0000-000006390000}"/>
    <cellStyle name="40% - Énfasis4 3 5 4" xfId="14602" xr:uid="{00000000-0005-0000-0000-000007390000}"/>
    <cellStyle name="40% - Énfasis4 3 5 4 2" xfId="14603" xr:uid="{00000000-0005-0000-0000-000008390000}"/>
    <cellStyle name="40% - Énfasis4 3 5 4 2 2" xfId="14604" xr:uid="{00000000-0005-0000-0000-000009390000}"/>
    <cellStyle name="40% - Énfasis4 3 5 4 3" xfId="14605" xr:uid="{00000000-0005-0000-0000-00000A390000}"/>
    <cellStyle name="40% - Énfasis4 3 5 4 3 2" xfId="14606" xr:uid="{00000000-0005-0000-0000-00000B390000}"/>
    <cellStyle name="40% - Énfasis4 3 5 4 4" xfId="14607" xr:uid="{00000000-0005-0000-0000-00000C390000}"/>
    <cellStyle name="40% - Énfasis4 3 5 4 5" xfId="14608" xr:uid="{00000000-0005-0000-0000-00000D390000}"/>
    <cellStyle name="40% - Énfasis4 3 5 5" xfId="14609" xr:uid="{00000000-0005-0000-0000-00000E390000}"/>
    <cellStyle name="40% - Énfasis4 3 5 5 2" xfId="14610" xr:uid="{00000000-0005-0000-0000-00000F390000}"/>
    <cellStyle name="40% - Énfasis4 3 5 6" xfId="14611" xr:uid="{00000000-0005-0000-0000-000010390000}"/>
    <cellStyle name="40% - Énfasis4 3 5 6 2" xfId="14612" xr:uid="{00000000-0005-0000-0000-000011390000}"/>
    <cellStyle name="40% - Énfasis4 3 5 7" xfId="14613" xr:uid="{00000000-0005-0000-0000-000012390000}"/>
    <cellStyle name="40% - Énfasis4 3 5 8" xfId="14614" xr:uid="{00000000-0005-0000-0000-000013390000}"/>
    <cellStyle name="40% - Énfasis4 3 6" xfId="14615" xr:uid="{00000000-0005-0000-0000-000014390000}"/>
    <cellStyle name="40% - Énfasis4 3 6 2" xfId="14616" xr:uid="{00000000-0005-0000-0000-000015390000}"/>
    <cellStyle name="40% - Énfasis4 3 6 2 2" xfId="14617" xr:uid="{00000000-0005-0000-0000-000016390000}"/>
    <cellStyle name="40% - Énfasis4 3 6 2 2 2" xfId="14618" xr:uid="{00000000-0005-0000-0000-000017390000}"/>
    <cellStyle name="40% - Énfasis4 3 6 2 2 2 2" xfId="14619" xr:uid="{00000000-0005-0000-0000-000018390000}"/>
    <cellStyle name="40% - Énfasis4 3 6 2 2 3" xfId="14620" xr:uid="{00000000-0005-0000-0000-000019390000}"/>
    <cellStyle name="40% - Énfasis4 3 6 2 2 4" xfId="14621" xr:uid="{00000000-0005-0000-0000-00001A390000}"/>
    <cellStyle name="40% - Énfasis4 3 6 2 3" xfId="14622" xr:uid="{00000000-0005-0000-0000-00001B390000}"/>
    <cellStyle name="40% - Énfasis4 3 6 2 3 2" xfId="14623" xr:uid="{00000000-0005-0000-0000-00001C390000}"/>
    <cellStyle name="40% - Énfasis4 3 6 2 4" xfId="14624" xr:uid="{00000000-0005-0000-0000-00001D390000}"/>
    <cellStyle name="40% - Énfasis4 3 6 2 5" xfId="14625" xr:uid="{00000000-0005-0000-0000-00001E390000}"/>
    <cellStyle name="40% - Énfasis4 3 6 3" xfId="14626" xr:uid="{00000000-0005-0000-0000-00001F390000}"/>
    <cellStyle name="40% - Énfasis4 3 6 3 2" xfId="14627" xr:uid="{00000000-0005-0000-0000-000020390000}"/>
    <cellStyle name="40% - Énfasis4 3 6 3 2 2" xfId="14628" xr:uid="{00000000-0005-0000-0000-000021390000}"/>
    <cellStyle name="40% - Énfasis4 3 6 3 3" xfId="14629" xr:uid="{00000000-0005-0000-0000-000022390000}"/>
    <cellStyle name="40% - Énfasis4 3 6 3 3 2" xfId="14630" xr:uid="{00000000-0005-0000-0000-000023390000}"/>
    <cellStyle name="40% - Énfasis4 3 6 3 4" xfId="14631" xr:uid="{00000000-0005-0000-0000-000024390000}"/>
    <cellStyle name="40% - Énfasis4 3 6 3 5" xfId="14632" xr:uid="{00000000-0005-0000-0000-000025390000}"/>
    <cellStyle name="40% - Énfasis4 3 6 4" xfId="14633" xr:uid="{00000000-0005-0000-0000-000026390000}"/>
    <cellStyle name="40% - Énfasis4 3 6 4 2" xfId="14634" xr:uid="{00000000-0005-0000-0000-000027390000}"/>
    <cellStyle name="40% - Énfasis4 3 6 5" xfId="14635" xr:uid="{00000000-0005-0000-0000-000028390000}"/>
    <cellStyle name="40% - Énfasis4 3 6 5 2" xfId="14636" xr:uid="{00000000-0005-0000-0000-000029390000}"/>
    <cellStyle name="40% - Énfasis4 3 6 6" xfId="14637" xr:uid="{00000000-0005-0000-0000-00002A390000}"/>
    <cellStyle name="40% - Énfasis4 3 6 7" xfId="14638" xr:uid="{00000000-0005-0000-0000-00002B390000}"/>
    <cellStyle name="40% - Énfasis4 3 7" xfId="14639" xr:uid="{00000000-0005-0000-0000-00002C390000}"/>
    <cellStyle name="40% - Énfasis4 3 7 2" xfId="14640" xr:uid="{00000000-0005-0000-0000-00002D390000}"/>
    <cellStyle name="40% - Énfasis4 3 7 2 2" xfId="14641" xr:uid="{00000000-0005-0000-0000-00002E390000}"/>
    <cellStyle name="40% - Énfasis4 3 7 2 2 2" xfId="14642" xr:uid="{00000000-0005-0000-0000-00002F390000}"/>
    <cellStyle name="40% - Énfasis4 3 7 2 3" xfId="14643" xr:uid="{00000000-0005-0000-0000-000030390000}"/>
    <cellStyle name="40% - Énfasis4 3 7 2 4" xfId="14644" xr:uid="{00000000-0005-0000-0000-000031390000}"/>
    <cellStyle name="40% - Énfasis4 3 7 3" xfId="14645" xr:uid="{00000000-0005-0000-0000-000032390000}"/>
    <cellStyle name="40% - Énfasis4 3 7 3 2" xfId="14646" xr:uid="{00000000-0005-0000-0000-000033390000}"/>
    <cellStyle name="40% - Énfasis4 3 7 4" xfId="14647" xr:uid="{00000000-0005-0000-0000-000034390000}"/>
    <cellStyle name="40% - Énfasis4 3 7 5" xfId="14648" xr:uid="{00000000-0005-0000-0000-000035390000}"/>
    <cellStyle name="40% - Énfasis4 3 8" xfId="14649" xr:uid="{00000000-0005-0000-0000-000036390000}"/>
    <cellStyle name="40% - Énfasis4 3 8 2" xfId="14650" xr:uid="{00000000-0005-0000-0000-000037390000}"/>
    <cellStyle name="40% - Énfasis4 3 8 2 2" xfId="14651" xr:uid="{00000000-0005-0000-0000-000038390000}"/>
    <cellStyle name="40% - Énfasis4 3 8 3" xfId="14652" xr:uid="{00000000-0005-0000-0000-000039390000}"/>
    <cellStyle name="40% - Énfasis4 3 8 3 2" xfId="14653" xr:uid="{00000000-0005-0000-0000-00003A390000}"/>
    <cellStyle name="40% - Énfasis4 3 8 4" xfId="14654" xr:uid="{00000000-0005-0000-0000-00003B390000}"/>
    <cellStyle name="40% - Énfasis4 3 8 5" xfId="14655" xr:uid="{00000000-0005-0000-0000-00003C390000}"/>
    <cellStyle name="40% - Énfasis4 3 9" xfId="14656" xr:uid="{00000000-0005-0000-0000-00003D390000}"/>
    <cellStyle name="40% - Énfasis4 3 9 2" xfId="14657" xr:uid="{00000000-0005-0000-0000-00003E390000}"/>
    <cellStyle name="40% - Énfasis4 4" xfId="14658" xr:uid="{00000000-0005-0000-0000-00003F390000}"/>
    <cellStyle name="40% - Énfasis5 2" xfId="14659" xr:uid="{00000000-0005-0000-0000-000040390000}"/>
    <cellStyle name="40% - Énfasis5 2 10" xfId="14660" xr:uid="{00000000-0005-0000-0000-000041390000}"/>
    <cellStyle name="40% - Énfasis5 2 10 2" xfId="14661" xr:uid="{00000000-0005-0000-0000-000042390000}"/>
    <cellStyle name="40% - Énfasis5 2 11" xfId="14662" xr:uid="{00000000-0005-0000-0000-000043390000}"/>
    <cellStyle name="40% - Énfasis5 2 12" xfId="14663" xr:uid="{00000000-0005-0000-0000-000044390000}"/>
    <cellStyle name="40% - Énfasis5 2 2" xfId="14664" xr:uid="{00000000-0005-0000-0000-000045390000}"/>
    <cellStyle name="40% - Énfasis5 2 2 10" xfId="14665" xr:uid="{00000000-0005-0000-0000-000046390000}"/>
    <cellStyle name="40% - Énfasis5 2 2 10 2" xfId="14666" xr:uid="{00000000-0005-0000-0000-000047390000}"/>
    <cellStyle name="40% - Énfasis5 2 2 11" xfId="14667" xr:uid="{00000000-0005-0000-0000-000048390000}"/>
    <cellStyle name="40% - Énfasis5 2 2 12" xfId="14668" xr:uid="{00000000-0005-0000-0000-000049390000}"/>
    <cellStyle name="40% - Énfasis5 2 2 2" xfId="14669" xr:uid="{00000000-0005-0000-0000-00004A390000}"/>
    <cellStyle name="40% - Énfasis5 2 2 2 10" xfId="14670" xr:uid="{00000000-0005-0000-0000-00004B390000}"/>
    <cellStyle name="40% - Énfasis5 2 2 2 2" xfId="14671" xr:uid="{00000000-0005-0000-0000-00004C390000}"/>
    <cellStyle name="40% - Énfasis5 2 2 2 2 2" xfId="14672" xr:uid="{00000000-0005-0000-0000-00004D390000}"/>
    <cellStyle name="40% - Énfasis5 2 2 2 2 2 2" xfId="14673" xr:uid="{00000000-0005-0000-0000-00004E390000}"/>
    <cellStyle name="40% - Énfasis5 2 2 2 2 2 2 2" xfId="14674" xr:uid="{00000000-0005-0000-0000-00004F390000}"/>
    <cellStyle name="40% - Énfasis5 2 2 2 2 2 2 2 2" xfId="14675" xr:uid="{00000000-0005-0000-0000-000050390000}"/>
    <cellStyle name="40% - Énfasis5 2 2 2 2 2 2 2 2 2" xfId="14676" xr:uid="{00000000-0005-0000-0000-000051390000}"/>
    <cellStyle name="40% - Énfasis5 2 2 2 2 2 2 2 2 2 2" xfId="14677" xr:uid="{00000000-0005-0000-0000-000052390000}"/>
    <cellStyle name="40% - Énfasis5 2 2 2 2 2 2 2 2 3" xfId="14678" xr:uid="{00000000-0005-0000-0000-000053390000}"/>
    <cellStyle name="40% - Énfasis5 2 2 2 2 2 2 2 2 4" xfId="14679" xr:uid="{00000000-0005-0000-0000-000054390000}"/>
    <cellStyle name="40% - Énfasis5 2 2 2 2 2 2 2 3" xfId="14680" xr:uid="{00000000-0005-0000-0000-000055390000}"/>
    <cellStyle name="40% - Énfasis5 2 2 2 2 2 2 2 3 2" xfId="14681" xr:uid="{00000000-0005-0000-0000-000056390000}"/>
    <cellStyle name="40% - Énfasis5 2 2 2 2 2 2 2 4" xfId="14682" xr:uid="{00000000-0005-0000-0000-000057390000}"/>
    <cellStyle name="40% - Énfasis5 2 2 2 2 2 2 2 5" xfId="14683" xr:uid="{00000000-0005-0000-0000-000058390000}"/>
    <cellStyle name="40% - Énfasis5 2 2 2 2 2 2 3" xfId="14684" xr:uid="{00000000-0005-0000-0000-000059390000}"/>
    <cellStyle name="40% - Énfasis5 2 2 2 2 2 2 3 2" xfId="14685" xr:uid="{00000000-0005-0000-0000-00005A390000}"/>
    <cellStyle name="40% - Énfasis5 2 2 2 2 2 2 3 2 2" xfId="14686" xr:uid="{00000000-0005-0000-0000-00005B390000}"/>
    <cellStyle name="40% - Énfasis5 2 2 2 2 2 2 3 3" xfId="14687" xr:uid="{00000000-0005-0000-0000-00005C390000}"/>
    <cellStyle name="40% - Énfasis5 2 2 2 2 2 2 3 4" xfId="14688" xr:uid="{00000000-0005-0000-0000-00005D390000}"/>
    <cellStyle name="40% - Énfasis5 2 2 2 2 2 2 4" xfId="14689" xr:uid="{00000000-0005-0000-0000-00005E390000}"/>
    <cellStyle name="40% - Énfasis5 2 2 2 2 2 2 4 2" xfId="14690" xr:uid="{00000000-0005-0000-0000-00005F390000}"/>
    <cellStyle name="40% - Énfasis5 2 2 2 2 2 2 5" xfId="14691" xr:uid="{00000000-0005-0000-0000-000060390000}"/>
    <cellStyle name="40% - Énfasis5 2 2 2 2 2 2 6" xfId="14692" xr:uid="{00000000-0005-0000-0000-000061390000}"/>
    <cellStyle name="40% - Énfasis5 2 2 2 2 2 3" xfId="14693" xr:uid="{00000000-0005-0000-0000-000062390000}"/>
    <cellStyle name="40% - Énfasis5 2 2 2 2 2 3 2" xfId="14694" xr:uid="{00000000-0005-0000-0000-000063390000}"/>
    <cellStyle name="40% - Énfasis5 2 2 2 2 2 3 2 2" xfId="14695" xr:uid="{00000000-0005-0000-0000-000064390000}"/>
    <cellStyle name="40% - Énfasis5 2 2 2 2 2 3 2 2 2" xfId="14696" xr:uid="{00000000-0005-0000-0000-000065390000}"/>
    <cellStyle name="40% - Énfasis5 2 2 2 2 2 3 2 3" xfId="14697" xr:uid="{00000000-0005-0000-0000-000066390000}"/>
    <cellStyle name="40% - Énfasis5 2 2 2 2 2 3 2 4" xfId="14698" xr:uid="{00000000-0005-0000-0000-000067390000}"/>
    <cellStyle name="40% - Énfasis5 2 2 2 2 2 3 3" xfId="14699" xr:uid="{00000000-0005-0000-0000-000068390000}"/>
    <cellStyle name="40% - Énfasis5 2 2 2 2 2 3 3 2" xfId="14700" xr:uid="{00000000-0005-0000-0000-000069390000}"/>
    <cellStyle name="40% - Énfasis5 2 2 2 2 2 3 4" xfId="14701" xr:uid="{00000000-0005-0000-0000-00006A390000}"/>
    <cellStyle name="40% - Énfasis5 2 2 2 2 2 3 5" xfId="14702" xr:uid="{00000000-0005-0000-0000-00006B390000}"/>
    <cellStyle name="40% - Énfasis5 2 2 2 2 2 4" xfId="14703" xr:uid="{00000000-0005-0000-0000-00006C390000}"/>
    <cellStyle name="40% - Énfasis5 2 2 2 2 2 4 2" xfId="14704" xr:uid="{00000000-0005-0000-0000-00006D390000}"/>
    <cellStyle name="40% - Énfasis5 2 2 2 2 2 4 2 2" xfId="14705" xr:uid="{00000000-0005-0000-0000-00006E390000}"/>
    <cellStyle name="40% - Énfasis5 2 2 2 2 2 4 3" xfId="14706" xr:uid="{00000000-0005-0000-0000-00006F390000}"/>
    <cellStyle name="40% - Énfasis5 2 2 2 2 2 4 4" xfId="14707" xr:uid="{00000000-0005-0000-0000-000070390000}"/>
    <cellStyle name="40% - Énfasis5 2 2 2 2 2 5" xfId="14708" xr:uid="{00000000-0005-0000-0000-000071390000}"/>
    <cellStyle name="40% - Énfasis5 2 2 2 2 2 5 2" xfId="14709" xr:uid="{00000000-0005-0000-0000-000072390000}"/>
    <cellStyle name="40% - Énfasis5 2 2 2 2 2 6" xfId="14710" xr:uid="{00000000-0005-0000-0000-000073390000}"/>
    <cellStyle name="40% - Énfasis5 2 2 2 2 2 7" xfId="14711" xr:uid="{00000000-0005-0000-0000-000074390000}"/>
    <cellStyle name="40% - Énfasis5 2 2 2 2 3" xfId="14712" xr:uid="{00000000-0005-0000-0000-000075390000}"/>
    <cellStyle name="40% - Énfasis5 2 2 2 2 3 2" xfId="14713" xr:uid="{00000000-0005-0000-0000-000076390000}"/>
    <cellStyle name="40% - Énfasis5 2 2 2 2 3 2 2" xfId="14714" xr:uid="{00000000-0005-0000-0000-000077390000}"/>
    <cellStyle name="40% - Énfasis5 2 2 2 2 3 2 2 2" xfId="14715" xr:uid="{00000000-0005-0000-0000-000078390000}"/>
    <cellStyle name="40% - Énfasis5 2 2 2 2 3 2 2 2 2" xfId="14716" xr:uid="{00000000-0005-0000-0000-000079390000}"/>
    <cellStyle name="40% - Énfasis5 2 2 2 2 3 2 2 3" xfId="14717" xr:uid="{00000000-0005-0000-0000-00007A390000}"/>
    <cellStyle name="40% - Énfasis5 2 2 2 2 3 2 2 4" xfId="14718" xr:uid="{00000000-0005-0000-0000-00007B390000}"/>
    <cellStyle name="40% - Énfasis5 2 2 2 2 3 2 3" xfId="14719" xr:uid="{00000000-0005-0000-0000-00007C390000}"/>
    <cellStyle name="40% - Énfasis5 2 2 2 2 3 2 3 2" xfId="14720" xr:uid="{00000000-0005-0000-0000-00007D390000}"/>
    <cellStyle name="40% - Énfasis5 2 2 2 2 3 2 4" xfId="14721" xr:uid="{00000000-0005-0000-0000-00007E390000}"/>
    <cellStyle name="40% - Énfasis5 2 2 2 2 3 2 5" xfId="14722" xr:uid="{00000000-0005-0000-0000-00007F390000}"/>
    <cellStyle name="40% - Énfasis5 2 2 2 2 3 3" xfId="14723" xr:uid="{00000000-0005-0000-0000-000080390000}"/>
    <cellStyle name="40% - Énfasis5 2 2 2 2 3 3 2" xfId="14724" xr:uid="{00000000-0005-0000-0000-000081390000}"/>
    <cellStyle name="40% - Énfasis5 2 2 2 2 3 3 2 2" xfId="14725" xr:uid="{00000000-0005-0000-0000-000082390000}"/>
    <cellStyle name="40% - Énfasis5 2 2 2 2 3 3 3" xfId="14726" xr:uid="{00000000-0005-0000-0000-000083390000}"/>
    <cellStyle name="40% - Énfasis5 2 2 2 2 3 3 3 2" xfId="14727" xr:uid="{00000000-0005-0000-0000-000084390000}"/>
    <cellStyle name="40% - Énfasis5 2 2 2 2 3 3 4" xfId="14728" xr:uid="{00000000-0005-0000-0000-000085390000}"/>
    <cellStyle name="40% - Énfasis5 2 2 2 2 3 3 5" xfId="14729" xr:uid="{00000000-0005-0000-0000-000086390000}"/>
    <cellStyle name="40% - Énfasis5 2 2 2 2 3 4" xfId="14730" xr:uid="{00000000-0005-0000-0000-000087390000}"/>
    <cellStyle name="40% - Énfasis5 2 2 2 2 3 4 2" xfId="14731" xr:uid="{00000000-0005-0000-0000-000088390000}"/>
    <cellStyle name="40% - Énfasis5 2 2 2 2 3 5" xfId="14732" xr:uid="{00000000-0005-0000-0000-000089390000}"/>
    <cellStyle name="40% - Énfasis5 2 2 2 2 3 5 2" xfId="14733" xr:uid="{00000000-0005-0000-0000-00008A390000}"/>
    <cellStyle name="40% - Énfasis5 2 2 2 2 3 6" xfId="14734" xr:uid="{00000000-0005-0000-0000-00008B390000}"/>
    <cellStyle name="40% - Énfasis5 2 2 2 2 3 7" xfId="14735" xr:uid="{00000000-0005-0000-0000-00008C390000}"/>
    <cellStyle name="40% - Énfasis5 2 2 2 2 4" xfId="14736" xr:uid="{00000000-0005-0000-0000-00008D390000}"/>
    <cellStyle name="40% - Énfasis5 2 2 2 2 4 2" xfId="14737" xr:uid="{00000000-0005-0000-0000-00008E390000}"/>
    <cellStyle name="40% - Énfasis5 2 2 2 2 4 2 2" xfId="14738" xr:uid="{00000000-0005-0000-0000-00008F390000}"/>
    <cellStyle name="40% - Énfasis5 2 2 2 2 4 2 2 2" xfId="14739" xr:uid="{00000000-0005-0000-0000-000090390000}"/>
    <cellStyle name="40% - Énfasis5 2 2 2 2 4 2 3" xfId="14740" xr:uid="{00000000-0005-0000-0000-000091390000}"/>
    <cellStyle name="40% - Énfasis5 2 2 2 2 4 2 4" xfId="14741" xr:uid="{00000000-0005-0000-0000-000092390000}"/>
    <cellStyle name="40% - Énfasis5 2 2 2 2 4 3" xfId="14742" xr:uid="{00000000-0005-0000-0000-000093390000}"/>
    <cellStyle name="40% - Énfasis5 2 2 2 2 4 3 2" xfId="14743" xr:uid="{00000000-0005-0000-0000-000094390000}"/>
    <cellStyle name="40% - Énfasis5 2 2 2 2 4 4" xfId="14744" xr:uid="{00000000-0005-0000-0000-000095390000}"/>
    <cellStyle name="40% - Énfasis5 2 2 2 2 4 5" xfId="14745" xr:uid="{00000000-0005-0000-0000-000096390000}"/>
    <cellStyle name="40% - Énfasis5 2 2 2 2 5" xfId="14746" xr:uid="{00000000-0005-0000-0000-000097390000}"/>
    <cellStyle name="40% - Énfasis5 2 2 2 2 5 2" xfId="14747" xr:uid="{00000000-0005-0000-0000-000098390000}"/>
    <cellStyle name="40% - Énfasis5 2 2 2 2 5 2 2" xfId="14748" xr:uid="{00000000-0005-0000-0000-000099390000}"/>
    <cellStyle name="40% - Énfasis5 2 2 2 2 5 3" xfId="14749" xr:uid="{00000000-0005-0000-0000-00009A390000}"/>
    <cellStyle name="40% - Énfasis5 2 2 2 2 5 3 2" xfId="14750" xr:uid="{00000000-0005-0000-0000-00009B390000}"/>
    <cellStyle name="40% - Énfasis5 2 2 2 2 5 4" xfId="14751" xr:uid="{00000000-0005-0000-0000-00009C390000}"/>
    <cellStyle name="40% - Énfasis5 2 2 2 2 5 5" xfId="14752" xr:uid="{00000000-0005-0000-0000-00009D390000}"/>
    <cellStyle name="40% - Énfasis5 2 2 2 2 6" xfId="14753" xr:uid="{00000000-0005-0000-0000-00009E390000}"/>
    <cellStyle name="40% - Énfasis5 2 2 2 2 6 2" xfId="14754" xr:uid="{00000000-0005-0000-0000-00009F390000}"/>
    <cellStyle name="40% - Énfasis5 2 2 2 2 7" xfId="14755" xr:uid="{00000000-0005-0000-0000-0000A0390000}"/>
    <cellStyle name="40% - Énfasis5 2 2 2 2 7 2" xfId="14756" xr:uid="{00000000-0005-0000-0000-0000A1390000}"/>
    <cellStyle name="40% - Énfasis5 2 2 2 2 8" xfId="14757" xr:uid="{00000000-0005-0000-0000-0000A2390000}"/>
    <cellStyle name="40% - Énfasis5 2 2 2 2 9" xfId="14758" xr:uid="{00000000-0005-0000-0000-0000A3390000}"/>
    <cellStyle name="40% - Énfasis5 2 2 2 3" xfId="14759" xr:uid="{00000000-0005-0000-0000-0000A4390000}"/>
    <cellStyle name="40% - Énfasis5 2 2 2 3 2" xfId="14760" xr:uid="{00000000-0005-0000-0000-0000A5390000}"/>
    <cellStyle name="40% - Énfasis5 2 2 2 3 2 2" xfId="14761" xr:uid="{00000000-0005-0000-0000-0000A6390000}"/>
    <cellStyle name="40% - Énfasis5 2 2 2 3 2 2 2" xfId="14762" xr:uid="{00000000-0005-0000-0000-0000A7390000}"/>
    <cellStyle name="40% - Énfasis5 2 2 2 3 2 2 2 2" xfId="14763" xr:uid="{00000000-0005-0000-0000-0000A8390000}"/>
    <cellStyle name="40% - Énfasis5 2 2 2 3 2 2 2 2 2" xfId="14764" xr:uid="{00000000-0005-0000-0000-0000A9390000}"/>
    <cellStyle name="40% - Énfasis5 2 2 2 3 2 2 2 3" xfId="14765" xr:uid="{00000000-0005-0000-0000-0000AA390000}"/>
    <cellStyle name="40% - Énfasis5 2 2 2 3 2 2 2 4" xfId="14766" xr:uid="{00000000-0005-0000-0000-0000AB390000}"/>
    <cellStyle name="40% - Énfasis5 2 2 2 3 2 2 3" xfId="14767" xr:uid="{00000000-0005-0000-0000-0000AC390000}"/>
    <cellStyle name="40% - Énfasis5 2 2 2 3 2 2 3 2" xfId="14768" xr:uid="{00000000-0005-0000-0000-0000AD390000}"/>
    <cellStyle name="40% - Énfasis5 2 2 2 3 2 2 4" xfId="14769" xr:uid="{00000000-0005-0000-0000-0000AE390000}"/>
    <cellStyle name="40% - Énfasis5 2 2 2 3 2 2 5" xfId="14770" xr:uid="{00000000-0005-0000-0000-0000AF390000}"/>
    <cellStyle name="40% - Énfasis5 2 2 2 3 2 3" xfId="14771" xr:uid="{00000000-0005-0000-0000-0000B0390000}"/>
    <cellStyle name="40% - Énfasis5 2 2 2 3 2 3 2" xfId="14772" xr:uid="{00000000-0005-0000-0000-0000B1390000}"/>
    <cellStyle name="40% - Énfasis5 2 2 2 3 2 3 2 2" xfId="14773" xr:uid="{00000000-0005-0000-0000-0000B2390000}"/>
    <cellStyle name="40% - Énfasis5 2 2 2 3 2 3 3" xfId="14774" xr:uid="{00000000-0005-0000-0000-0000B3390000}"/>
    <cellStyle name="40% - Énfasis5 2 2 2 3 2 3 4" xfId="14775" xr:uid="{00000000-0005-0000-0000-0000B4390000}"/>
    <cellStyle name="40% - Énfasis5 2 2 2 3 2 4" xfId="14776" xr:uid="{00000000-0005-0000-0000-0000B5390000}"/>
    <cellStyle name="40% - Énfasis5 2 2 2 3 2 4 2" xfId="14777" xr:uid="{00000000-0005-0000-0000-0000B6390000}"/>
    <cellStyle name="40% - Énfasis5 2 2 2 3 2 5" xfId="14778" xr:uid="{00000000-0005-0000-0000-0000B7390000}"/>
    <cellStyle name="40% - Énfasis5 2 2 2 3 2 6" xfId="14779" xr:uid="{00000000-0005-0000-0000-0000B8390000}"/>
    <cellStyle name="40% - Énfasis5 2 2 2 3 3" xfId="14780" xr:uid="{00000000-0005-0000-0000-0000B9390000}"/>
    <cellStyle name="40% - Énfasis5 2 2 2 3 3 2" xfId="14781" xr:uid="{00000000-0005-0000-0000-0000BA390000}"/>
    <cellStyle name="40% - Énfasis5 2 2 2 3 3 2 2" xfId="14782" xr:uid="{00000000-0005-0000-0000-0000BB390000}"/>
    <cellStyle name="40% - Énfasis5 2 2 2 3 3 2 2 2" xfId="14783" xr:uid="{00000000-0005-0000-0000-0000BC390000}"/>
    <cellStyle name="40% - Énfasis5 2 2 2 3 3 2 3" xfId="14784" xr:uid="{00000000-0005-0000-0000-0000BD390000}"/>
    <cellStyle name="40% - Énfasis5 2 2 2 3 3 2 4" xfId="14785" xr:uid="{00000000-0005-0000-0000-0000BE390000}"/>
    <cellStyle name="40% - Énfasis5 2 2 2 3 3 3" xfId="14786" xr:uid="{00000000-0005-0000-0000-0000BF390000}"/>
    <cellStyle name="40% - Énfasis5 2 2 2 3 3 3 2" xfId="14787" xr:uid="{00000000-0005-0000-0000-0000C0390000}"/>
    <cellStyle name="40% - Énfasis5 2 2 2 3 3 4" xfId="14788" xr:uid="{00000000-0005-0000-0000-0000C1390000}"/>
    <cellStyle name="40% - Énfasis5 2 2 2 3 3 5" xfId="14789" xr:uid="{00000000-0005-0000-0000-0000C2390000}"/>
    <cellStyle name="40% - Énfasis5 2 2 2 3 4" xfId="14790" xr:uid="{00000000-0005-0000-0000-0000C3390000}"/>
    <cellStyle name="40% - Énfasis5 2 2 2 3 4 2" xfId="14791" xr:uid="{00000000-0005-0000-0000-0000C4390000}"/>
    <cellStyle name="40% - Énfasis5 2 2 2 3 4 2 2" xfId="14792" xr:uid="{00000000-0005-0000-0000-0000C5390000}"/>
    <cellStyle name="40% - Énfasis5 2 2 2 3 4 3" xfId="14793" xr:uid="{00000000-0005-0000-0000-0000C6390000}"/>
    <cellStyle name="40% - Énfasis5 2 2 2 3 4 4" xfId="14794" xr:uid="{00000000-0005-0000-0000-0000C7390000}"/>
    <cellStyle name="40% - Énfasis5 2 2 2 3 5" xfId="14795" xr:uid="{00000000-0005-0000-0000-0000C8390000}"/>
    <cellStyle name="40% - Énfasis5 2 2 2 3 5 2" xfId="14796" xr:uid="{00000000-0005-0000-0000-0000C9390000}"/>
    <cellStyle name="40% - Énfasis5 2 2 2 3 6" xfId="14797" xr:uid="{00000000-0005-0000-0000-0000CA390000}"/>
    <cellStyle name="40% - Énfasis5 2 2 2 3 7" xfId="14798" xr:uid="{00000000-0005-0000-0000-0000CB390000}"/>
    <cellStyle name="40% - Énfasis5 2 2 2 4" xfId="14799" xr:uid="{00000000-0005-0000-0000-0000CC390000}"/>
    <cellStyle name="40% - Énfasis5 2 2 2 4 2" xfId="14800" xr:uid="{00000000-0005-0000-0000-0000CD390000}"/>
    <cellStyle name="40% - Énfasis5 2 2 2 4 2 2" xfId="14801" xr:uid="{00000000-0005-0000-0000-0000CE390000}"/>
    <cellStyle name="40% - Énfasis5 2 2 2 4 2 2 2" xfId="14802" xr:uid="{00000000-0005-0000-0000-0000CF390000}"/>
    <cellStyle name="40% - Énfasis5 2 2 2 4 2 2 2 2" xfId="14803" xr:uid="{00000000-0005-0000-0000-0000D0390000}"/>
    <cellStyle name="40% - Énfasis5 2 2 2 4 2 2 3" xfId="14804" xr:uid="{00000000-0005-0000-0000-0000D1390000}"/>
    <cellStyle name="40% - Énfasis5 2 2 2 4 2 2 4" xfId="14805" xr:uid="{00000000-0005-0000-0000-0000D2390000}"/>
    <cellStyle name="40% - Énfasis5 2 2 2 4 2 3" xfId="14806" xr:uid="{00000000-0005-0000-0000-0000D3390000}"/>
    <cellStyle name="40% - Énfasis5 2 2 2 4 2 3 2" xfId="14807" xr:uid="{00000000-0005-0000-0000-0000D4390000}"/>
    <cellStyle name="40% - Énfasis5 2 2 2 4 2 4" xfId="14808" xr:uid="{00000000-0005-0000-0000-0000D5390000}"/>
    <cellStyle name="40% - Énfasis5 2 2 2 4 2 5" xfId="14809" xr:uid="{00000000-0005-0000-0000-0000D6390000}"/>
    <cellStyle name="40% - Énfasis5 2 2 2 4 3" xfId="14810" xr:uid="{00000000-0005-0000-0000-0000D7390000}"/>
    <cellStyle name="40% - Énfasis5 2 2 2 4 3 2" xfId="14811" xr:uid="{00000000-0005-0000-0000-0000D8390000}"/>
    <cellStyle name="40% - Énfasis5 2 2 2 4 3 2 2" xfId="14812" xr:uid="{00000000-0005-0000-0000-0000D9390000}"/>
    <cellStyle name="40% - Énfasis5 2 2 2 4 3 3" xfId="14813" xr:uid="{00000000-0005-0000-0000-0000DA390000}"/>
    <cellStyle name="40% - Énfasis5 2 2 2 4 3 3 2" xfId="14814" xr:uid="{00000000-0005-0000-0000-0000DB390000}"/>
    <cellStyle name="40% - Énfasis5 2 2 2 4 3 4" xfId="14815" xr:uid="{00000000-0005-0000-0000-0000DC390000}"/>
    <cellStyle name="40% - Énfasis5 2 2 2 4 3 5" xfId="14816" xr:uid="{00000000-0005-0000-0000-0000DD390000}"/>
    <cellStyle name="40% - Énfasis5 2 2 2 4 4" xfId="14817" xr:uid="{00000000-0005-0000-0000-0000DE390000}"/>
    <cellStyle name="40% - Énfasis5 2 2 2 4 4 2" xfId="14818" xr:uid="{00000000-0005-0000-0000-0000DF390000}"/>
    <cellStyle name="40% - Énfasis5 2 2 2 4 5" xfId="14819" xr:uid="{00000000-0005-0000-0000-0000E0390000}"/>
    <cellStyle name="40% - Énfasis5 2 2 2 4 5 2" xfId="14820" xr:uid="{00000000-0005-0000-0000-0000E1390000}"/>
    <cellStyle name="40% - Énfasis5 2 2 2 4 6" xfId="14821" xr:uid="{00000000-0005-0000-0000-0000E2390000}"/>
    <cellStyle name="40% - Énfasis5 2 2 2 4 7" xfId="14822" xr:uid="{00000000-0005-0000-0000-0000E3390000}"/>
    <cellStyle name="40% - Énfasis5 2 2 2 5" xfId="14823" xr:uid="{00000000-0005-0000-0000-0000E4390000}"/>
    <cellStyle name="40% - Énfasis5 2 2 2 5 2" xfId="14824" xr:uid="{00000000-0005-0000-0000-0000E5390000}"/>
    <cellStyle name="40% - Énfasis5 2 2 2 5 2 2" xfId="14825" xr:uid="{00000000-0005-0000-0000-0000E6390000}"/>
    <cellStyle name="40% - Énfasis5 2 2 2 5 2 2 2" xfId="14826" xr:uid="{00000000-0005-0000-0000-0000E7390000}"/>
    <cellStyle name="40% - Énfasis5 2 2 2 5 2 3" xfId="14827" xr:uid="{00000000-0005-0000-0000-0000E8390000}"/>
    <cellStyle name="40% - Énfasis5 2 2 2 5 2 4" xfId="14828" xr:uid="{00000000-0005-0000-0000-0000E9390000}"/>
    <cellStyle name="40% - Énfasis5 2 2 2 5 3" xfId="14829" xr:uid="{00000000-0005-0000-0000-0000EA390000}"/>
    <cellStyle name="40% - Énfasis5 2 2 2 5 3 2" xfId="14830" xr:uid="{00000000-0005-0000-0000-0000EB390000}"/>
    <cellStyle name="40% - Énfasis5 2 2 2 5 4" xfId="14831" xr:uid="{00000000-0005-0000-0000-0000EC390000}"/>
    <cellStyle name="40% - Énfasis5 2 2 2 5 5" xfId="14832" xr:uid="{00000000-0005-0000-0000-0000ED390000}"/>
    <cellStyle name="40% - Énfasis5 2 2 2 6" xfId="14833" xr:uid="{00000000-0005-0000-0000-0000EE390000}"/>
    <cellStyle name="40% - Énfasis5 2 2 2 6 2" xfId="14834" xr:uid="{00000000-0005-0000-0000-0000EF390000}"/>
    <cellStyle name="40% - Énfasis5 2 2 2 6 2 2" xfId="14835" xr:uid="{00000000-0005-0000-0000-0000F0390000}"/>
    <cellStyle name="40% - Énfasis5 2 2 2 6 3" xfId="14836" xr:uid="{00000000-0005-0000-0000-0000F1390000}"/>
    <cellStyle name="40% - Énfasis5 2 2 2 6 3 2" xfId="14837" xr:uid="{00000000-0005-0000-0000-0000F2390000}"/>
    <cellStyle name="40% - Énfasis5 2 2 2 6 4" xfId="14838" xr:uid="{00000000-0005-0000-0000-0000F3390000}"/>
    <cellStyle name="40% - Énfasis5 2 2 2 6 5" xfId="14839" xr:uid="{00000000-0005-0000-0000-0000F4390000}"/>
    <cellStyle name="40% - Énfasis5 2 2 2 7" xfId="14840" xr:uid="{00000000-0005-0000-0000-0000F5390000}"/>
    <cellStyle name="40% - Énfasis5 2 2 2 7 2" xfId="14841" xr:uid="{00000000-0005-0000-0000-0000F6390000}"/>
    <cellStyle name="40% - Énfasis5 2 2 2 8" xfId="14842" xr:uid="{00000000-0005-0000-0000-0000F7390000}"/>
    <cellStyle name="40% - Énfasis5 2 2 2 8 2" xfId="14843" xr:uid="{00000000-0005-0000-0000-0000F8390000}"/>
    <cellStyle name="40% - Énfasis5 2 2 2 9" xfId="14844" xr:uid="{00000000-0005-0000-0000-0000F9390000}"/>
    <cellStyle name="40% - Énfasis5 2 2 3" xfId="14845" xr:uid="{00000000-0005-0000-0000-0000FA390000}"/>
    <cellStyle name="40% - Énfasis5 2 2 3 2" xfId="14846" xr:uid="{00000000-0005-0000-0000-0000FB390000}"/>
    <cellStyle name="40% - Énfasis5 2 2 3 2 2" xfId="14847" xr:uid="{00000000-0005-0000-0000-0000FC390000}"/>
    <cellStyle name="40% - Énfasis5 2 2 3 2 2 2" xfId="14848" xr:uid="{00000000-0005-0000-0000-0000FD390000}"/>
    <cellStyle name="40% - Énfasis5 2 2 3 2 2 2 2" xfId="14849" xr:uid="{00000000-0005-0000-0000-0000FE390000}"/>
    <cellStyle name="40% - Énfasis5 2 2 3 2 2 2 2 2" xfId="14850" xr:uid="{00000000-0005-0000-0000-0000FF390000}"/>
    <cellStyle name="40% - Énfasis5 2 2 3 2 2 2 2 2 2" xfId="14851" xr:uid="{00000000-0005-0000-0000-0000003A0000}"/>
    <cellStyle name="40% - Énfasis5 2 2 3 2 2 2 2 3" xfId="14852" xr:uid="{00000000-0005-0000-0000-0000013A0000}"/>
    <cellStyle name="40% - Énfasis5 2 2 3 2 2 2 2 4" xfId="14853" xr:uid="{00000000-0005-0000-0000-0000023A0000}"/>
    <cellStyle name="40% - Énfasis5 2 2 3 2 2 2 3" xfId="14854" xr:uid="{00000000-0005-0000-0000-0000033A0000}"/>
    <cellStyle name="40% - Énfasis5 2 2 3 2 2 2 3 2" xfId="14855" xr:uid="{00000000-0005-0000-0000-0000043A0000}"/>
    <cellStyle name="40% - Énfasis5 2 2 3 2 2 2 4" xfId="14856" xr:uid="{00000000-0005-0000-0000-0000053A0000}"/>
    <cellStyle name="40% - Énfasis5 2 2 3 2 2 2 5" xfId="14857" xr:uid="{00000000-0005-0000-0000-0000063A0000}"/>
    <cellStyle name="40% - Énfasis5 2 2 3 2 2 3" xfId="14858" xr:uid="{00000000-0005-0000-0000-0000073A0000}"/>
    <cellStyle name="40% - Énfasis5 2 2 3 2 2 3 2" xfId="14859" xr:uid="{00000000-0005-0000-0000-0000083A0000}"/>
    <cellStyle name="40% - Énfasis5 2 2 3 2 2 3 2 2" xfId="14860" xr:uid="{00000000-0005-0000-0000-0000093A0000}"/>
    <cellStyle name="40% - Énfasis5 2 2 3 2 2 3 3" xfId="14861" xr:uid="{00000000-0005-0000-0000-00000A3A0000}"/>
    <cellStyle name="40% - Énfasis5 2 2 3 2 2 3 4" xfId="14862" xr:uid="{00000000-0005-0000-0000-00000B3A0000}"/>
    <cellStyle name="40% - Énfasis5 2 2 3 2 2 4" xfId="14863" xr:uid="{00000000-0005-0000-0000-00000C3A0000}"/>
    <cellStyle name="40% - Énfasis5 2 2 3 2 2 4 2" xfId="14864" xr:uid="{00000000-0005-0000-0000-00000D3A0000}"/>
    <cellStyle name="40% - Énfasis5 2 2 3 2 2 5" xfId="14865" xr:uid="{00000000-0005-0000-0000-00000E3A0000}"/>
    <cellStyle name="40% - Énfasis5 2 2 3 2 2 6" xfId="14866" xr:uid="{00000000-0005-0000-0000-00000F3A0000}"/>
    <cellStyle name="40% - Énfasis5 2 2 3 2 3" xfId="14867" xr:uid="{00000000-0005-0000-0000-0000103A0000}"/>
    <cellStyle name="40% - Énfasis5 2 2 3 2 3 2" xfId="14868" xr:uid="{00000000-0005-0000-0000-0000113A0000}"/>
    <cellStyle name="40% - Énfasis5 2 2 3 2 3 2 2" xfId="14869" xr:uid="{00000000-0005-0000-0000-0000123A0000}"/>
    <cellStyle name="40% - Énfasis5 2 2 3 2 3 2 2 2" xfId="14870" xr:uid="{00000000-0005-0000-0000-0000133A0000}"/>
    <cellStyle name="40% - Énfasis5 2 2 3 2 3 2 3" xfId="14871" xr:uid="{00000000-0005-0000-0000-0000143A0000}"/>
    <cellStyle name="40% - Énfasis5 2 2 3 2 3 2 4" xfId="14872" xr:uid="{00000000-0005-0000-0000-0000153A0000}"/>
    <cellStyle name="40% - Énfasis5 2 2 3 2 3 3" xfId="14873" xr:uid="{00000000-0005-0000-0000-0000163A0000}"/>
    <cellStyle name="40% - Énfasis5 2 2 3 2 3 3 2" xfId="14874" xr:uid="{00000000-0005-0000-0000-0000173A0000}"/>
    <cellStyle name="40% - Énfasis5 2 2 3 2 3 4" xfId="14875" xr:uid="{00000000-0005-0000-0000-0000183A0000}"/>
    <cellStyle name="40% - Énfasis5 2 2 3 2 3 5" xfId="14876" xr:uid="{00000000-0005-0000-0000-0000193A0000}"/>
    <cellStyle name="40% - Énfasis5 2 2 3 2 4" xfId="14877" xr:uid="{00000000-0005-0000-0000-00001A3A0000}"/>
    <cellStyle name="40% - Énfasis5 2 2 3 2 4 2" xfId="14878" xr:uid="{00000000-0005-0000-0000-00001B3A0000}"/>
    <cellStyle name="40% - Énfasis5 2 2 3 2 4 2 2" xfId="14879" xr:uid="{00000000-0005-0000-0000-00001C3A0000}"/>
    <cellStyle name="40% - Énfasis5 2 2 3 2 4 3" xfId="14880" xr:uid="{00000000-0005-0000-0000-00001D3A0000}"/>
    <cellStyle name="40% - Énfasis5 2 2 3 2 4 4" xfId="14881" xr:uid="{00000000-0005-0000-0000-00001E3A0000}"/>
    <cellStyle name="40% - Énfasis5 2 2 3 2 5" xfId="14882" xr:uid="{00000000-0005-0000-0000-00001F3A0000}"/>
    <cellStyle name="40% - Énfasis5 2 2 3 2 5 2" xfId="14883" xr:uid="{00000000-0005-0000-0000-0000203A0000}"/>
    <cellStyle name="40% - Énfasis5 2 2 3 2 6" xfId="14884" xr:uid="{00000000-0005-0000-0000-0000213A0000}"/>
    <cellStyle name="40% - Énfasis5 2 2 3 2 7" xfId="14885" xr:uid="{00000000-0005-0000-0000-0000223A0000}"/>
    <cellStyle name="40% - Énfasis5 2 2 3 3" xfId="14886" xr:uid="{00000000-0005-0000-0000-0000233A0000}"/>
    <cellStyle name="40% - Énfasis5 2 2 3 3 2" xfId="14887" xr:uid="{00000000-0005-0000-0000-0000243A0000}"/>
    <cellStyle name="40% - Énfasis5 2 2 3 3 2 2" xfId="14888" xr:uid="{00000000-0005-0000-0000-0000253A0000}"/>
    <cellStyle name="40% - Énfasis5 2 2 3 3 2 2 2" xfId="14889" xr:uid="{00000000-0005-0000-0000-0000263A0000}"/>
    <cellStyle name="40% - Énfasis5 2 2 3 3 2 2 2 2" xfId="14890" xr:uid="{00000000-0005-0000-0000-0000273A0000}"/>
    <cellStyle name="40% - Énfasis5 2 2 3 3 2 2 3" xfId="14891" xr:uid="{00000000-0005-0000-0000-0000283A0000}"/>
    <cellStyle name="40% - Énfasis5 2 2 3 3 2 2 4" xfId="14892" xr:uid="{00000000-0005-0000-0000-0000293A0000}"/>
    <cellStyle name="40% - Énfasis5 2 2 3 3 2 3" xfId="14893" xr:uid="{00000000-0005-0000-0000-00002A3A0000}"/>
    <cellStyle name="40% - Énfasis5 2 2 3 3 2 3 2" xfId="14894" xr:uid="{00000000-0005-0000-0000-00002B3A0000}"/>
    <cellStyle name="40% - Énfasis5 2 2 3 3 2 4" xfId="14895" xr:uid="{00000000-0005-0000-0000-00002C3A0000}"/>
    <cellStyle name="40% - Énfasis5 2 2 3 3 2 5" xfId="14896" xr:uid="{00000000-0005-0000-0000-00002D3A0000}"/>
    <cellStyle name="40% - Énfasis5 2 2 3 3 3" xfId="14897" xr:uid="{00000000-0005-0000-0000-00002E3A0000}"/>
    <cellStyle name="40% - Énfasis5 2 2 3 3 3 2" xfId="14898" xr:uid="{00000000-0005-0000-0000-00002F3A0000}"/>
    <cellStyle name="40% - Énfasis5 2 2 3 3 3 2 2" xfId="14899" xr:uid="{00000000-0005-0000-0000-0000303A0000}"/>
    <cellStyle name="40% - Énfasis5 2 2 3 3 3 3" xfId="14900" xr:uid="{00000000-0005-0000-0000-0000313A0000}"/>
    <cellStyle name="40% - Énfasis5 2 2 3 3 3 3 2" xfId="14901" xr:uid="{00000000-0005-0000-0000-0000323A0000}"/>
    <cellStyle name="40% - Énfasis5 2 2 3 3 3 4" xfId="14902" xr:uid="{00000000-0005-0000-0000-0000333A0000}"/>
    <cellStyle name="40% - Énfasis5 2 2 3 3 3 5" xfId="14903" xr:uid="{00000000-0005-0000-0000-0000343A0000}"/>
    <cellStyle name="40% - Énfasis5 2 2 3 3 4" xfId="14904" xr:uid="{00000000-0005-0000-0000-0000353A0000}"/>
    <cellStyle name="40% - Énfasis5 2 2 3 3 4 2" xfId="14905" xr:uid="{00000000-0005-0000-0000-0000363A0000}"/>
    <cellStyle name="40% - Énfasis5 2 2 3 3 5" xfId="14906" xr:uid="{00000000-0005-0000-0000-0000373A0000}"/>
    <cellStyle name="40% - Énfasis5 2 2 3 3 5 2" xfId="14907" xr:uid="{00000000-0005-0000-0000-0000383A0000}"/>
    <cellStyle name="40% - Énfasis5 2 2 3 3 6" xfId="14908" xr:uid="{00000000-0005-0000-0000-0000393A0000}"/>
    <cellStyle name="40% - Énfasis5 2 2 3 3 7" xfId="14909" xr:uid="{00000000-0005-0000-0000-00003A3A0000}"/>
    <cellStyle name="40% - Énfasis5 2 2 3 4" xfId="14910" xr:uid="{00000000-0005-0000-0000-00003B3A0000}"/>
    <cellStyle name="40% - Énfasis5 2 2 3 4 2" xfId="14911" xr:uid="{00000000-0005-0000-0000-00003C3A0000}"/>
    <cellStyle name="40% - Énfasis5 2 2 3 4 2 2" xfId="14912" xr:uid="{00000000-0005-0000-0000-00003D3A0000}"/>
    <cellStyle name="40% - Énfasis5 2 2 3 4 2 2 2" xfId="14913" xr:uid="{00000000-0005-0000-0000-00003E3A0000}"/>
    <cellStyle name="40% - Énfasis5 2 2 3 4 2 3" xfId="14914" xr:uid="{00000000-0005-0000-0000-00003F3A0000}"/>
    <cellStyle name="40% - Énfasis5 2 2 3 4 2 4" xfId="14915" xr:uid="{00000000-0005-0000-0000-0000403A0000}"/>
    <cellStyle name="40% - Énfasis5 2 2 3 4 3" xfId="14916" xr:uid="{00000000-0005-0000-0000-0000413A0000}"/>
    <cellStyle name="40% - Énfasis5 2 2 3 4 3 2" xfId="14917" xr:uid="{00000000-0005-0000-0000-0000423A0000}"/>
    <cellStyle name="40% - Énfasis5 2 2 3 4 4" xfId="14918" xr:uid="{00000000-0005-0000-0000-0000433A0000}"/>
    <cellStyle name="40% - Énfasis5 2 2 3 4 5" xfId="14919" xr:uid="{00000000-0005-0000-0000-0000443A0000}"/>
    <cellStyle name="40% - Énfasis5 2 2 3 5" xfId="14920" xr:uid="{00000000-0005-0000-0000-0000453A0000}"/>
    <cellStyle name="40% - Énfasis5 2 2 3 5 2" xfId="14921" xr:uid="{00000000-0005-0000-0000-0000463A0000}"/>
    <cellStyle name="40% - Énfasis5 2 2 3 5 2 2" xfId="14922" xr:uid="{00000000-0005-0000-0000-0000473A0000}"/>
    <cellStyle name="40% - Énfasis5 2 2 3 5 3" xfId="14923" xr:uid="{00000000-0005-0000-0000-0000483A0000}"/>
    <cellStyle name="40% - Énfasis5 2 2 3 5 3 2" xfId="14924" xr:uid="{00000000-0005-0000-0000-0000493A0000}"/>
    <cellStyle name="40% - Énfasis5 2 2 3 5 4" xfId="14925" xr:uid="{00000000-0005-0000-0000-00004A3A0000}"/>
    <cellStyle name="40% - Énfasis5 2 2 3 5 5" xfId="14926" xr:uid="{00000000-0005-0000-0000-00004B3A0000}"/>
    <cellStyle name="40% - Énfasis5 2 2 3 6" xfId="14927" xr:uid="{00000000-0005-0000-0000-00004C3A0000}"/>
    <cellStyle name="40% - Énfasis5 2 2 3 6 2" xfId="14928" xr:uid="{00000000-0005-0000-0000-00004D3A0000}"/>
    <cellStyle name="40% - Énfasis5 2 2 3 7" xfId="14929" xr:uid="{00000000-0005-0000-0000-00004E3A0000}"/>
    <cellStyle name="40% - Énfasis5 2 2 3 7 2" xfId="14930" xr:uid="{00000000-0005-0000-0000-00004F3A0000}"/>
    <cellStyle name="40% - Énfasis5 2 2 3 8" xfId="14931" xr:uid="{00000000-0005-0000-0000-0000503A0000}"/>
    <cellStyle name="40% - Énfasis5 2 2 3 9" xfId="14932" xr:uid="{00000000-0005-0000-0000-0000513A0000}"/>
    <cellStyle name="40% - Énfasis5 2 2 4" xfId="14933" xr:uid="{00000000-0005-0000-0000-0000523A0000}"/>
    <cellStyle name="40% - Énfasis5 2 2 4 2" xfId="14934" xr:uid="{00000000-0005-0000-0000-0000533A0000}"/>
    <cellStyle name="40% - Énfasis5 2 2 4 2 2" xfId="14935" xr:uid="{00000000-0005-0000-0000-0000543A0000}"/>
    <cellStyle name="40% - Énfasis5 2 2 4 2 2 2" xfId="14936" xr:uid="{00000000-0005-0000-0000-0000553A0000}"/>
    <cellStyle name="40% - Énfasis5 2 2 4 2 2 2 2" xfId="14937" xr:uid="{00000000-0005-0000-0000-0000563A0000}"/>
    <cellStyle name="40% - Énfasis5 2 2 4 2 2 2 2 2" xfId="14938" xr:uid="{00000000-0005-0000-0000-0000573A0000}"/>
    <cellStyle name="40% - Énfasis5 2 2 4 2 2 2 3" xfId="14939" xr:uid="{00000000-0005-0000-0000-0000583A0000}"/>
    <cellStyle name="40% - Énfasis5 2 2 4 2 2 2 4" xfId="14940" xr:uid="{00000000-0005-0000-0000-0000593A0000}"/>
    <cellStyle name="40% - Énfasis5 2 2 4 2 2 3" xfId="14941" xr:uid="{00000000-0005-0000-0000-00005A3A0000}"/>
    <cellStyle name="40% - Énfasis5 2 2 4 2 2 3 2" xfId="14942" xr:uid="{00000000-0005-0000-0000-00005B3A0000}"/>
    <cellStyle name="40% - Énfasis5 2 2 4 2 2 4" xfId="14943" xr:uid="{00000000-0005-0000-0000-00005C3A0000}"/>
    <cellStyle name="40% - Énfasis5 2 2 4 2 2 5" xfId="14944" xr:uid="{00000000-0005-0000-0000-00005D3A0000}"/>
    <cellStyle name="40% - Énfasis5 2 2 4 2 3" xfId="14945" xr:uid="{00000000-0005-0000-0000-00005E3A0000}"/>
    <cellStyle name="40% - Énfasis5 2 2 4 2 3 2" xfId="14946" xr:uid="{00000000-0005-0000-0000-00005F3A0000}"/>
    <cellStyle name="40% - Énfasis5 2 2 4 2 3 2 2" xfId="14947" xr:uid="{00000000-0005-0000-0000-0000603A0000}"/>
    <cellStyle name="40% - Énfasis5 2 2 4 2 3 3" xfId="14948" xr:uid="{00000000-0005-0000-0000-0000613A0000}"/>
    <cellStyle name="40% - Énfasis5 2 2 4 2 3 3 2" xfId="14949" xr:uid="{00000000-0005-0000-0000-0000623A0000}"/>
    <cellStyle name="40% - Énfasis5 2 2 4 2 3 4" xfId="14950" xr:uid="{00000000-0005-0000-0000-0000633A0000}"/>
    <cellStyle name="40% - Énfasis5 2 2 4 2 3 5" xfId="14951" xr:uid="{00000000-0005-0000-0000-0000643A0000}"/>
    <cellStyle name="40% - Énfasis5 2 2 4 2 4" xfId="14952" xr:uid="{00000000-0005-0000-0000-0000653A0000}"/>
    <cellStyle name="40% - Énfasis5 2 2 4 2 4 2" xfId="14953" xr:uid="{00000000-0005-0000-0000-0000663A0000}"/>
    <cellStyle name="40% - Énfasis5 2 2 4 2 5" xfId="14954" xr:uid="{00000000-0005-0000-0000-0000673A0000}"/>
    <cellStyle name="40% - Énfasis5 2 2 4 2 5 2" xfId="14955" xr:uid="{00000000-0005-0000-0000-0000683A0000}"/>
    <cellStyle name="40% - Énfasis5 2 2 4 2 6" xfId="14956" xr:uid="{00000000-0005-0000-0000-0000693A0000}"/>
    <cellStyle name="40% - Énfasis5 2 2 4 2 7" xfId="14957" xr:uid="{00000000-0005-0000-0000-00006A3A0000}"/>
    <cellStyle name="40% - Énfasis5 2 2 4 3" xfId="14958" xr:uid="{00000000-0005-0000-0000-00006B3A0000}"/>
    <cellStyle name="40% - Énfasis5 2 2 4 3 2" xfId="14959" xr:uid="{00000000-0005-0000-0000-00006C3A0000}"/>
    <cellStyle name="40% - Énfasis5 2 2 4 3 2 2" xfId="14960" xr:uid="{00000000-0005-0000-0000-00006D3A0000}"/>
    <cellStyle name="40% - Énfasis5 2 2 4 3 2 2 2" xfId="14961" xr:uid="{00000000-0005-0000-0000-00006E3A0000}"/>
    <cellStyle name="40% - Énfasis5 2 2 4 3 2 3" xfId="14962" xr:uid="{00000000-0005-0000-0000-00006F3A0000}"/>
    <cellStyle name="40% - Énfasis5 2 2 4 3 2 4" xfId="14963" xr:uid="{00000000-0005-0000-0000-0000703A0000}"/>
    <cellStyle name="40% - Énfasis5 2 2 4 3 3" xfId="14964" xr:uid="{00000000-0005-0000-0000-0000713A0000}"/>
    <cellStyle name="40% - Énfasis5 2 2 4 3 3 2" xfId="14965" xr:uid="{00000000-0005-0000-0000-0000723A0000}"/>
    <cellStyle name="40% - Énfasis5 2 2 4 3 4" xfId="14966" xr:uid="{00000000-0005-0000-0000-0000733A0000}"/>
    <cellStyle name="40% - Énfasis5 2 2 4 3 5" xfId="14967" xr:uid="{00000000-0005-0000-0000-0000743A0000}"/>
    <cellStyle name="40% - Énfasis5 2 2 4 4" xfId="14968" xr:uid="{00000000-0005-0000-0000-0000753A0000}"/>
    <cellStyle name="40% - Énfasis5 2 2 4 4 2" xfId="14969" xr:uid="{00000000-0005-0000-0000-0000763A0000}"/>
    <cellStyle name="40% - Énfasis5 2 2 4 4 2 2" xfId="14970" xr:uid="{00000000-0005-0000-0000-0000773A0000}"/>
    <cellStyle name="40% - Énfasis5 2 2 4 4 3" xfId="14971" xr:uid="{00000000-0005-0000-0000-0000783A0000}"/>
    <cellStyle name="40% - Énfasis5 2 2 4 4 3 2" xfId="14972" xr:uid="{00000000-0005-0000-0000-0000793A0000}"/>
    <cellStyle name="40% - Énfasis5 2 2 4 4 4" xfId="14973" xr:uid="{00000000-0005-0000-0000-00007A3A0000}"/>
    <cellStyle name="40% - Énfasis5 2 2 4 4 5" xfId="14974" xr:uid="{00000000-0005-0000-0000-00007B3A0000}"/>
    <cellStyle name="40% - Énfasis5 2 2 4 5" xfId="14975" xr:uid="{00000000-0005-0000-0000-00007C3A0000}"/>
    <cellStyle name="40% - Énfasis5 2 2 4 5 2" xfId="14976" xr:uid="{00000000-0005-0000-0000-00007D3A0000}"/>
    <cellStyle name="40% - Énfasis5 2 2 4 6" xfId="14977" xr:uid="{00000000-0005-0000-0000-00007E3A0000}"/>
    <cellStyle name="40% - Énfasis5 2 2 4 6 2" xfId="14978" xr:uid="{00000000-0005-0000-0000-00007F3A0000}"/>
    <cellStyle name="40% - Énfasis5 2 2 4 7" xfId="14979" xr:uid="{00000000-0005-0000-0000-0000803A0000}"/>
    <cellStyle name="40% - Énfasis5 2 2 4 8" xfId="14980" xr:uid="{00000000-0005-0000-0000-0000813A0000}"/>
    <cellStyle name="40% - Énfasis5 2 2 5" xfId="14981" xr:uid="{00000000-0005-0000-0000-0000823A0000}"/>
    <cellStyle name="40% - Énfasis5 2 2 5 2" xfId="14982" xr:uid="{00000000-0005-0000-0000-0000833A0000}"/>
    <cellStyle name="40% - Énfasis5 2 2 5 2 2" xfId="14983" xr:uid="{00000000-0005-0000-0000-0000843A0000}"/>
    <cellStyle name="40% - Énfasis5 2 2 5 2 2 2" xfId="14984" xr:uid="{00000000-0005-0000-0000-0000853A0000}"/>
    <cellStyle name="40% - Énfasis5 2 2 5 2 2 2 2" xfId="14985" xr:uid="{00000000-0005-0000-0000-0000863A0000}"/>
    <cellStyle name="40% - Énfasis5 2 2 5 2 2 3" xfId="14986" xr:uid="{00000000-0005-0000-0000-0000873A0000}"/>
    <cellStyle name="40% - Énfasis5 2 2 5 2 2 4" xfId="14987" xr:uid="{00000000-0005-0000-0000-0000883A0000}"/>
    <cellStyle name="40% - Énfasis5 2 2 5 2 3" xfId="14988" xr:uid="{00000000-0005-0000-0000-0000893A0000}"/>
    <cellStyle name="40% - Énfasis5 2 2 5 2 3 2" xfId="14989" xr:uid="{00000000-0005-0000-0000-00008A3A0000}"/>
    <cellStyle name="40% - Énfasis5 2 2 5 2 4" xfId="14990" xr:uid="{00000000-0005-0000-0000-00008B3A0000}"/>
    <cellStyle name="40% - Énfasis5 2 2 5 2 5" xfId="14991" xr:uid="{00000000-0005-0000-0000-00008C3A0000}"/>
    <cellStyle name="40% - Énfasis5 2 2 5 3" xfId="14992" xr:uid="{00000000-0005-0000-0000-00008D3A0000}"/>
    <cellStyle name="40% - Énfasis5 2 2 5 3 2" xfId="14993" xr:uid="{00000000-0005-0000-0000-00008E3A0000}"/>
    <cellStyle name="40% - Énfasis5 2 2 5 3 3" xfId="14994" xr:uid="{00000000-0005-0000-0000-00008F3A0000}"/>
    <cellStyle name="40% - Énfasis5 2 2 5 4" xfId="14995" xr:uid="{00000000-0005-0000-0000-0000903A0000}"/>
    <cellStyle name="40% - Énfasis5 2 2 5 4 2" xfId="14996" xr:uid="{00000000-0005-0000-0000-0000913A0000}"/>
    <cellStyle name="40% - Énfasis5 2 2 5 5" xfId="14997" xr:uid="{00000000-0005-0000-0000-0000923A0000}"/>
    <cellStyle name="40% - Énfasis5 2 2 6" xfId="14998" xr:uid="{00000000-0005-0000-0000-0000933A0000}"/>
    <cellStyle name="40% - Énfasis5 2 2 6 2" xfId="14999" xr:uid="{00000000-0005-0000-0000-0000943A0000}"/>
    <cellStyle name="40% - Énfasis5 2 2 6 2 2" xfId="15000" xr:uid="{00000000-0005-0000-0000-0000953A0000}"/>
    <cellStyle name="40% - Énfasis5 2 2 6 2 2 2" xfId="15001" xr:uid="{00000000-0005-0000-0000-0000963A0000}"/>
    <cellStyle name="40% - Énfasis5 2 2 6 2 3" xfId="15002" xr:uid="{00000000-0005-0000-0000-0000973A0000}"/>
    <cellStyle name="40% - Énfasis5 2 2 6 2 3 2" xfId="15003" xr:uid="{00000000-0005-0000-0000-0000983A0000}"/>
    <cellStyle name="40% - Énfasis5 2 2 6 2 4" xfId="15004" xr:uid="{00000000-0005-0000-0000-0000993A0000}"/>
    <cellStyle name="40% - Énfasis5 2 2 6 2 5" xfId="15005" xr:uid="{00000000-0005-0000-0000-00009A3A0000}"/>
    <cellStyle name="40% - Énfasis5 2 2 6 3" xfId="15006" xr:uid="{00000000-0005-0000-0000-00009B3A0000}"/>
    <cellStyle name="40% - Énfasis5 2 2 6 3 2" xfId="15007" xr:uid="{00000000-0005-0000-0000-00009C3A0000}"/>
    <cellStyle name="40% - Énfasis5 2 2 6 4" xfId="15008" xr:uid="{00000000-0005-0000-0000-00009D3A0000}"/>
    <cellStyle name="40% - Énfasis5 2 2 6 4 2" xfId="15009" xr:uid="{00000000-0005-0000-0000-00009E3A0000}"/>
    <cellStyle name="40% - Énfasis5 2 2 6 5" xfId="15010" xr:uid="{00000000-0005-0000-0000-00009F3A0000}"/>
    <cellStyle name="40% - Énfasis5 2 2 6 6" xfId="15011" xr:uid="{00000000-0005-0000-0000-0000A03A0000}"/>
    <cellStyle name="40% - Énfasis5 2 2 7" xfId="15012" xr:uid="{00000000-0005-0000-0000-0000A13A0000}"/>
    <cellStyle name="40% - Énfasis5 2 2 7 2" xfId="15013" xr:uid="{00000000-0005-0000-0000-0000A23A0000}"/>
    <cellStyle name="40% - Énfasis5 2 2 7 2 2" xfId="15014" xr:uid="{00000000-0005-0000-0000-0000A33A0000}"/>
    <cellStyle name="40% - Énfasis5 2 2 7 3" xfId="15015" xr:uid="{00000000-0005-0000-0000-0000A43A0000}"/>
    <cellStyle name="40% - Énfasis5 2 2 7 3 2" xfId="15016" xr:uid="{00000000-0005-0000-0000-0000A53A0000}"/>
    <cellStyle name="40% - Énfasis5 2 2 7 4" xfId="15017" xr:uid="{00000000-0005-0000-0000-0000A63A0000}"/>
    <cellStyle name="40% - Énfasis5 2 2 7 5" xfId="15018" xr:uid="{00000000-0005-0000-0000-0000A73A0000}"/>
    <cellStyle name="40% - Énfasis5 2 2 8" xfId="15019" xr:uid="{00000000-0005-0000-0000-0000A83A0000}"/>
    <cellStyle name="40% - Énfasis5 2 2 8 2" xfId="15020" xr:uid="{00000000-0005-0000-0000-0000A93A0000}"/>
    <cellStyle name="40% - Énfasis5 2 2 8 2 2" xfId="15021" xr:uid="{00000000-0005-0000-0000-0000AA3A0000}"/>
    <cellStyle name="40% - Énfasis5 2 2 8 3" xfId="15022" xr:uid="{00000000-0005-0000-0000-0000AB3A0000}"/>
    <cellStyle name="40% - Énfasis5 2 2 9" xfId="15023" xr:uid="{00000000-0005-0000-0000-0000AC3A0000}"/>
    <cellStyle name="40% - Énfasis5 2 2 9 2" xfId="15024" xr:uid="{00000000-0005-0000-0000-0000AD3A0000}"/>
    <cellStyle name="40% - Énfasis5 2 3" xfId="15025" xr:uid="{00000000-0005-0000-0000-0000AE3A0000}"/>
    <cellStyle name="40% - Énfasis5 2 3 10" xfId="15026" xr:uid="{00000000-0005-0000-0000-0000AF3A0000}"/>
    <cellStyle name="40% - Énfasis5 2 3 2" xfId="15027" xr:uid="{00000000-0005-0000-0000-0000B03A0000}"/>
    <cellStyle name="40% - Énfasis5 2 3 2 2" xfId="15028" xr:uid="{00000000-0005-0000-0000-0000B13A0000}"/>
    <cellStyle name="40% - Énfasis5 2 3 2 2 2" xfId="15029" xr:uid="{00000000-0005-0000-0000-0000B23A0000}"/>
    <cellStyle name="40% - Énfasis5 2 3 2 2 2 2" xfId="15030" xr:uid="{00000000-0005-0000-0000-0000B33A0000}"/>
    <cellStyle name="40% - Énfasis5 2 3 2 2 2 2 2" xfId="15031" xr:uid="{00000000-0005-0000-0000-0000B43A0000}"/>
    <cellStyle name="40% - Énfasis5 2 3 2 2 2 2 2 2" xfId="15032" xr:uid="{00000000-0005-0000-0000-0000B53A0000}"/>
    <cellStyle name="40% - Énfasis5 2 3 2 2 2 2 2 2 2" xfId="15033" xr:uid="{00000000-0005-0000-0000-0000B63A0000}"/>
    <cellStyle name="40% - Énfasis5 2 3 2 2 2 2 2 3" xfId="15034" xr:uid="{00000000-0005-0000-0000-0000B73A0000}"/>
    <cellStyle name="40% - Énfasis5 2 3 2 2 2 2 2 4" xfId="15035" xr:uid="{00000000-0005-0000-0000-0000B83A0000}"/>
    <cellStyle name="40% - Énfasis5 2 3 2 2 2 2 3" xfId="15036" xr:uid="{00000000-0005-0000-0000-0000B93A0000}"/>
    <cellStyle name="40% - Énfasis5 2 3 2 2 2 2 3 2" xfId="15037" xr:uid="{00000000-0005-0000-0000-0000BA3A0000}"/>
    <cellStyle name="40% - Énfasis5 2 3 2 2 2 2 4" xfId="15038" xr:uid="{00000000-0005-0000-0000-0000BB3A0000}"/>
    <cellStyle name="40% - Énfasis5 2 3 2 2 2 2 5" xfId="15039" xr:uid="{00000000-0005-0000-0000-0000BC3A0000}"/>
    <cellStyle name="40% - Énfasis5 2 3 2 2 2 3" xfId="15040" xr:uid="{00000000-0005-0000-0000-0000BD3A0000}"/>
    <cellStyle name="40% - Énfasis5 2 3 2 2 2 3 2" xfId="15041" xr:uid="{00000000-0005-0000-0000-0000BE3A0000}"/>
    <cellStyle name="40% - Énfasis5 2 3 2 2 2 3 2 2" xfId="15042" xr:uid="{00000000-0005-0000-0000-0000BF3A0000}"/>
    <cellStyle name="40% - Énfasis5 2 3 2 2 2 3 3" xfId="15043" xr:uid="{00000000-0005-0000-0000-0000C03A0000}"/>
    <cellStyle name="40% - Énfasis5 2 3 2 2 2 3 4" xfId="15044" xr:uid="{00000000-0005-0000-0000-0000C13A0000}"/>
    <cellStyle name="40% - Énfasis5 2 3 2 2 2 4" xfId="15045" xr:uid="{00000000-0005-0000-0000-0000C23A0000}"/>
    <cellStyle name="40% - Énfasis5 2 3 2 2 2 4 2" xfId="15046" xr:uid="{00000000-0005-0000-0000-0000C33A0000}"/>
    <cellStyle name="40% - Énfasis5 2 3 2 2 2 5" xfId="15047" xr:uid="{00000000-0005-0000-0000-0000C43A0000}"/>
    <cellStyle name="40% - Énfasis5 2 3 2 2 2 6" xfId="15048" xr:uid="{00000000-0005-0000-0000-0000C53A0000}"/>
    <cellStyle name="40% - Énfasis5 2 3 2 2 3" xfId="15049" xr:uid="{00000000-0005-0000-0000-0000C63A0000}"/>
    <cellStyle name="40% - Énfasis5 2 3 2 2 3 2" xfId="15050" xr:uid="{00000000-0005-0000-0000-0000C73A0000}"/>
    <cellStyle name="40% - Énfasis5 2 3 2 2 3 2 2" xfId="15051" xr:uid="{00000000-0005-0000-0000-0000C83A0000}"/>
    <cellStyle name="40% - Énfasis5 2 3 2 2 3 2 2 2" xfId="15052" xr:uid="{00000000-0005-0000-0000-0000C93A0000}"/>
    <cellStyle name="40% - Énfasis5 2 3 2 2 3 2 3" xfId="15053" xr:uid="{00000000-0005-0000-0000-0000CA3A0000}"/>
    <cellStyle name="40% - Énfasis5 2 3 2 2 3 2 4" xfId="15054" xr:uid="{00000000-0005-0000-0000-0000CB3A0000}"/>
    <cellStyle name="40% - Énfasis5 2 3 2 2 3 3" xfId="15055" xr:uid="{00000000-0005-0000-0000-0000CC3A0000}"/>
    <cellStyle name="40% - Énfasis5 2 3 2 2 3 3 2" xfId="15056" xr:uid="{00000000-0005-0000-0000-0000CD3A0000}"/>
    <cellStyle name="40% - Énfasis5 2 3 2 2 3 4" xfId="15057" xr:uid="{00000000-0005-0000-0000-0000CE3A0000}"/>
    <cellStyle name="40% - Énfasis5 2 3 2 2 3 5" xfId="15058" xr:uid="{00000000-0005-0000-0000-0000CF3A0000}"/>
    <cellStyle name="40% - Énfasis5 2 3 2 2 4" xfId="15059" xr:uid="{00000000-0005-0000-0000-0000D03A0000}"/>
    <cellStyle name="40% - Énfasis5 2 3 2 2 4 2" xfId="15060" xr:uid="{00000000-0005-0000-0000-0000D13A0000}"/>
    <cellStyle name="40% - Énfasis5 2 3 2 2 4 2 2" xfId="15061" xr:uid="{00000000-0005-0000-0000-0000D23A0000}"/>
    <cellStyle name="40% - Énfasis5 2 3 2 2 4 3" xfId="15062" xr:uid="{00000000-0005-0000-0000-0000D33A0000}"/>
    <cellStyle name="40% - Énfasis5 2 3 2 2 4 4" xfId="15063" xr:uid="{00000000-0005-0000-0000-0000D43A0000}"/>
    <cellStyle name="40% - Énfasis5 2 3 2 2 5" xfId="15064" xr:uid="{00000000-0005-0000-0000-0000D53A0000}"/>
    <cellStyle name="40% - Énfasis5 2 3 2 2 5 2" xfId="15065" xr:uid="{00000000-0005-0000-0000-0000D63A0000}"/>
    <cellStyle name="40% - Énfasis5 2 3 2 2 6" xfId="15066" xr:uid="{00000000-0005-0000-0000-0000D73A0000}"/>
    <cellStyle name="40% - Énfasis5 2 3 2 2 7" xfId="15067" xr:uid="{00000000-0005-0000-0000-0000D83A0000}"/>
    <cellStyle name="40% - Énfasis5 2 3 2 3" xfId="15068" xr:uid="{00000000-0005-0000-0000-0000D93A0000}"/>
    <cellStyle name="40% - Énfasis5 2 3 2 3 2" xfId="15069" xr:uid="{00000000-0005-0000-0000-0000DA3A0000}"/>
    <cellStyle name="40% - Énfasis5 2 3 2 3 2 2" xfId="15070" xr:uid="{00000000-0005-0000-0000-0000DB3A0000}"/>
    <cellStyle name="40% - Énfasis5 2 3 2 3 2 2 2" xfId="15071" xr:uid="{00000000-0005-0000-0000-0000DC3A0000}"/>
    <cellStyle name="40% - Énfasis5 2 3 2 3 2 2 2 2" xfId="15072" xr:uid="{00000000-0005-0000-0000-0000DD3A0000}"/>
    <cellStyle name="40% - Énfasis5 2 3 2 3 2 2 3" xfId="15073" xr:uid="{00000000-0005-0000-0000-0000DE3A0000}"/>
    <cellStyle name="40% - Énfasis5 2 3 2 3 2 2 4" xfId="15074" xr:uid="{00000000-0005-0000-0000-0000DF3A0000}"/>
    <cellStyle name="40% - Énfasis5 2 3 2 3 2 3" xfId="15075" xr:uid="{00000000-0005-0000-0000-0000E03A0000}"/>
    <cellStyle name="40% - Énfasis5 2 3 2 3 2 3 2" xfId="15076" xr:uid="{00000000-0005-0000-0000-0000E13A0000}"/>
    <cellStyle name="40% - Énfasis5 2 3 2 3 2 4" xfId="15077" xr:uid="{00000000-0005-0000-0000-0000E23A0000}"/>
    <cellStyle name="40% - Énfasis5 2 3 2 3 2 5" xfId="15078" xr:uid="{00000000-0005-0000-0000-0000E33A0000}"/>
    <cellStyle name="40% - Énfasis5 2 3 2 3 3" xfId="15079" xr:uid="{00000000-0005-0000-0000-0000E43A0000}"/>
    <cellStyle name="40% - Énfasis5 2 3 2 3 3 2" xfId="15080" xr:uid="{00000000-0005-0000-0000-0000E53A0000}"/>
    <cellStyle name="40% - Énfasis5 2 3 2 3 3 2 2" xfId="15081" xr:uid="{00000000-0005-0000-0000-0000E63A0000}"/>
    <cellStyle name="40% - Énfasis5 2 3 2 3 3 3" xfId="15082" xr:uid="{00000000-0005-0000-0000-0000E73A0000}"/>
    <cellStyle name="40% - Énfasis5 2 3 2 3 3 3 2" xfId="15083" xr:uid="{00000000-0005-0000-0000-0000E83A0000}"/>
    <cellStyle name="40% - Énfasis5 2 3 2 3 3 4" xfId="15084" xr:uid="{00000000-0005-0000-0000-0000E93A0000}"/>
    <cellStyle name="40% - Énfasis5 2 3 2 3 3 5" xfId="15085" xr:uid="{00000000-0005-0000-0000-0000EA3A0000}"/>
    <cellStyle name="40% - Énfasis5 2 3 2 3 4" xfId="15086" xr:uid="{00000000-0005-0000-0000-0000EB3A0000}"/>
    <cellStyle name="40% - Énfasis5 2 3 2 3 4 2" xfId="15087" xr:uid="{00000000-0005-0000-0000-0000EC3A0000}"/>
    <cellStyle name="40% - Énfasis5 2 3 2 3 5" xfId="15088" xr:uid="{00000000-0005-0000-0000-0000ED3A0000}"/>
    <cellStyle name="40% - Énfasis5 2 3 2 3 5 2" xfId="15089" xr:uid="{00000000-0005-0000-0000-0000EE3A0000}"/>
    <cellStyle name="40% - Énfasis5 2 3 2 3 6" xfId="15090" xr:uid="{00000000-0005-0000-0000-0000EF3A0000}"/>
    <cellStyle name="40% - Énfasis5 2 3 2 3 7" xfId="15091" xr:uid="{00000000-0005-0000-0000-0000F03A0000}"/>
    <cellStyle name="40% - Énfasis5 2 3 2 4" xfId="15092" xr:uid="{00000000-0005-0000-0000-0000F13A0000}"/>
    <cellStyle name="40% - Énfasis5 2 3 2 4 2" xfId="15093" xr:uid="{00000000-0005-0000-0000-0000F23A0000}"/>
    <cellStyle name="40% - Énfasis5 2 3 2 4 2 2" xfId="15094" xr:uid="{00000000-0005-0000-0000-0000F33A0000}"/>
    <cellStyle name="40% - Énfasis5 2 3 2 4 2 2 2" xfId="15095" xr:uid="{00000000-0005-0000-0000-0000F43A0000}"/>
    <cellStyle name="40% - Énfasis5 2 3 2 4 2 3" xfId="15096" xr:uid="{00000000-0005-0000-0000-0000F53A0000}"/>
    <cellStyle name="40% - Énfasis5 2 3 2 4 2 4" xfId="15097" xr:uid="{00000000-0005-0000-0000-0000F63A0000}"/>
    <cellStyle name="40% - Énfasis5 2 3 2 4 3" xfId="15098" xr:uid="{00000000-0005-0000-0000-0000F73A0000}"/>
    <cellStyle name="40% - Énfasis5 2 3 2 4 3 2" xfId="15099" xr:uid="{00000000-0005-0000-0000-0000F83A0000}"/>
    <cellStyle name="40% - Énfasis5 2 3 2 4 4" xfId="15100" xr:uid="{00000000-0005-0000-0000-0000F93A0000}"/>
    <cellStyle name="40% - Énfasis5 2 3 2 4 5" xfId="15101" xr:uid="{00000000-0005-0000-0000-0000FA3A0000}"/>
    <cellStyle name="40% - Énfasis5 2 3 2 5" xfId="15102" xr:uid="{00000000-0005-0000-0000-0000FB3A0000}"/>
    <cellStyle name="40% - Énfasis5 2 3 2 5 2" xfId="15103" xr:uid="{00000000-0005-0000-0000-0000FC3A0000}"/>
    <cellStyle name="40% - Énfasis5 2 3 2 5 2 2" xfId="15104" xr:uid="{00000000-0005-0000-0000-0000FD3A0000}"/>
    <cellStyle name="40% - Énfasis5 2 3 2 5 3" xfId="15105" xr:uid="{00000000-0005-0000-0000-0000FE3A0000}"/>
    <cellStyle name="40% - Énfasis5 2 3 2 5 3 2" xfId="15106" xr:uid="{00000000-0005-0000-0000-0000FF3A0000}"/>
    <cellStyle name="40% - Énfasis5 2 3 2 5 4" xfId="15107" xr:uid="{00000000-0005-0000-0000-0000003B0000}"/>
    <cellStyle name="40% - Énfasis5 2 3 2 5 5" xfId="15108" xr:uid="{00000000-0005-0000-0000-0000013B0000}"/>
    <cellStyle name="40% - Énfasis5 2 3 2 6" xfId="15109" xr:uid="{00000000-0005-0000-0000-0000023B0000}"/>
    <cellStyle name="40% - Énfasis5 2 3 2 6 2" xfId="15110" xr:uid="{00000000-0005-0000-0000-0000033B0000}"/>
    <cellStyle name="40% - Énfasis5 2 3 2 7" xfId="15111" xr:uid="{00000000-0005-0000-0000-0000043B0000}"/>
    <cellStyle name="40% - Énfasis5 2 3 2 7 2" xfId="15112" xr:uid="{00000000-0005-0000-0000-0000053B0000}"/>
    <cellStyle name="40% - Énfasis5 2 3 2 8" xfId="15113" xr:uid="{00000000-0005-0000-0000-0000063B0000}"/>
    <cellStyle name="40% - Énfasis5 2 3 2 9" xfId="15114" xr:uid="{00000000-0005-0000-0000-0000073B0000}"/>
    <cellStyle name="40% - Énfasis5 2 3 3" xfId="15115" xr:uid="{00000000-0005-0000-0000-0000083B0000}"/>
    <cellStyle name="40% - Énfasis5 2 3 3 2" xfId="15116" xr:uid="{00000000-0005-0000-0000-0000093B0000}"/>
    <cellStyle name="40% - Énfasis5 2 3 3 2 2" xfId="15117" xr:uid="{00000000-0005-0000-0000-00000A3B0000}"/>
    <cellStyle name="40% - Énfasis5 2 3 3 2 2 2" xfId="15118" xr:uid="{00000000-0005-0000-0000-00000B3B0000}"/>
    <cellStyle name="40% - Énfasis5 2 3 3 2 2 2 2" xfId="15119" xr:uid="{00000000-0005-0000-0000-00000C3B0000}"/>
    <cellStyle name="40% - Énfasis5 2 3 3 2 2 2 2 2" xfId="15120" xr:uid="{00000000-0005-0000-0000-00000D3B0000}"/>
    <cellStyle name="40% - Énfasis5 2 3 3 2 2 2 3" xfId="15121" xr:uid="{00000000-0005-0000-0000-00000E3B0000}"/>
    <cellStyle name="40% - Énfasis5 2 3 3 2 2 2 4" xfId="15122" xr:uid="{00000000-0005-0000-0000-00000F3B0000}"/>
    <cellStyle name="40% - Énfasis5 2 3 3 2 2 3" xfId="15123" xr:uid="{00000000-0005-0000-0000-0000103B0000}"/>
    <cellStyle name="40% - Énfasis5 2 3 3 2 2 3 2" xfId="15124" xr:uid="{00000000-0005-0000-0000-0000113B0000}"/>
    <cellStyle name="40% - Énfasis5 2 3 3 2 2 4" xfId="15125" xr:uid="{00000000-0005-0000-0000-0000123B0000}"/>
    <cellStyle name="40% - Énfasis5 2 3 3 2 2 5" xfId="15126" xr:uid="{00000000-0005-0000-0000-0000133B0000}"/>
    <cellStyle name="40% - Énfasis5 2 3 3 2 3" xfId="15127" xr:uid="{00000000-0005-0000-0000-0000143B0000}"/>
    <cellStyle name="40% - Énfasis5 2 3 3 2 3 2" xfId="15128" xr:uid="{00000000-0005-0000-0000-0000153B0000}"/>
    <cellStyle name="40% - Énfasis5 2 3 3 2 3 2 2" xfId="15129" xr:uid="{00000000-0005-0000-0000-0000163B0000}"/>
    <cellStyle name="40% - Énfasis5 2 3 3 2 3 3" xfId="15130" xr:uid="{00000000-0005-0000-0000-0000173B0000}"/>
    <cellStyle name="40% - Énfasis5 2 3 3 2 3 3 2" xfId="15131" xr:uid="{00000000-0005-0000-0000-0000183B0000}"/>
    <cellStyle name="40% - Énfasis5 2 3 3 2 3 4" xfId="15132" xr:uid="{00000000-0005-0000-0000-0000193B0000}"/>
    <cellStyle name="40% - Énfasis5 2 3 3 2 3 5" xfId="15133" xr:uid="{00000000-0005-0000-0000-00001A3B0000}"/>
    <cellStyle name="40% - Énfasis5 2 3 3 2 4" xfId="15134" xr:uid="{00000000-0005-0000-0000-00001B3B0000}"/>
    <cellStyle name="40% - Énfasis5 2 3 3 2 4 2" xfId="15135" xr:uid="{00000000-0005-0000-0000-00001C3B0000}"/>
    <cellStyle name="40% - Énfasis5 2 3 3 2 5" xfId="15136" xr:uid="{00000000-0005-0000-0000-00001D3B0000}"/>
    <cellStyle name="40% - Énfasis5 2 3 3 2 5 2" xfId="15137" xr:uid="{00000000-0005-0000-0000-00001E3B0000}"/>
    <cellStyle name="40% - Énfasis5 2 3 3 2 6" xfId="15138" xr:uid="{00000000-0005-0000-0000-00001F3B0000}"/>
    <cellStyle name="40% - Énfasis5 2 3 3 2 7" xfId="15139" xr:uid="{00000000-0005-0000-0000-0000203B0000}"/>
    <cellStyle name="40% - Énfasis5 2 3 3 3" xfId="15140" xr:uid="{00000000-0005-0000-0000-0000213B0000}"/>
    <cellStyle name="40% - Énfasis5 2 3 3 3 2" xfId="15141" xr:uid="{00000000-0005-0000-0000-0000223B0000}"/>
    <cellStyle name="40% - Énfasis5 2 3 3 3 2 2" xfId="15142" xr:uid="{00000000-0005-0000-0000-0000233B0000}"/>
    <cellStyle name="40% - Énfasis5 2 3 3 3 2 2 2" xfId="15143" xr:uid="{00000000-0005-0000-0000-0000243B0000}"/>
    <cellStyle name="40% - Énfasis5 2 3 3 3 2 3" xfId="15144" xr:uid="{00000000-0005-0000-0000-0000253B0000}"/>
    <cellStyle name="40% - Énfasis5 2 3 3 3 2 4" xfId="15145" xr:uid="{00000000-0005-0000-0000-0000263B0000}"/>
    <cellStyle name="40% - Énfasis5 2 3 3 3 3" xfId="15146" xr:uid="{00000000-0005-0000-0000-0000273B0000}"/>
    <cellStyle name="40% - Énfasis5 2 3 3 3 3 2" xfId="15147" xr:uid="{00000000-0005-0000-0000-0000283B0000}"/>
    <cellStyle name="40% - Énfasis5 2 3 3 3 4" xfId="15148" xr:uid="{00000000-0005-0000-0000-0000293B0000}"/>
    <cellStyle name="40% - Énfasis5 2 3 3 3 5" xfId="15149" xr:uid="{00000000-0005-0000-0000-00002A3B0000}"/>
    <cellStyle name="40% - Énfasis5 2 3 3 4" xfId="15150" xr:uid="{00000000-0005-0000-0000-00002B3B0000}"/>
    <cellStyle name="40% - Énfasis5 2 3 3 4 2" xfId="15151" xr:uid="{00000000-0005-0000-0000-00002C3B0000}"/>
    <cellStyle name="40% - Énfasis5 2 3 3 4 2 2" xfId="15152" xr:uid="{00000000-0005-0000-0000-00002D3B0000}"/>
    <cellStyle name="40% - Énfasis5 2 3 3 4 3" xfId="15153" xr:uid="{00000000-0005-0000-0000-00002E3B0000}"/>
    <cellStyle name="40% - Énfasis5 2 3 3 4 3 2" xfId="15154" xr:uid="{00000000-0005-0000-0000-00002F3B0000}"/>
    <cellStyle name="40% - Énfasis5 2 3 3 4 4" xfId="15155" xr:uid="{00000000-0005-0000-0000-0000303B0000}"/>
    <cellStyle name="40% - Énfasis5 2 3 3 4 5" xfId="15156" xr:uid="{00000000-0005-0000-0000-0000313B0000}"/>
    <cellStyle name="40% - Énfasis5 2 3 3 5" xfId="15157" xr:uid="{00000000-0005-0000-0000-0000323B0000}"/>
    <cellStyle name="40% - Énfasis5 2 3 3 5 2" xfId="15158" xr:uid="{00000000-0005-0000-0000-0000333B0000}"/>
    <cellStyle name="40% - Énfasis5 2 3 3 6" xfId="15159" xr:uid="{00000000-0005-0000-0000-0000343B0000}"/>
    <cellStyle name="40% - Énfasis5 2 3 3 6 2" xfId="15160" xr:uid="{00000000-0005-0000-0000-0000353B0000}"/>
    <cellStyle name="40% - Énfasis5 2 3 3 7" xfId="15161" xr:uid="{00000000-0005-0000-0000-0000363B0000}"/>
    <cellStyle name="40% - Énfasis5 2 3 3 8" xfId="15162" xr:uid="{00000000-0005-0000-0000-0000373B0000}"/>
    <cellStyle name="40% - Énfasis5 2 3 4" xfId="15163" xr:uid="{00000000-0005-0000-0000-0000383B0000}"/>
    <cellStyle name="40% - Énfasis5 2 3 4 2" xfId="15164" xr:uid="{00000000-0005-0000-0000-0000393B0000}"/>
    <cellStyle name="40% - Énfasis5 2 3 4 2 2" xfId="15165" xr:uid="{00000000-0005-0000-0000-00003A3B0000}"/>
    <cellStyle name="40% - Énfasis5 2 3 4 2 2 2" xfId="15166" xr:uid="{00000000-0005-0000-0000-00003B3B0000}"/>
    <cellStyle name="40% - Énfasis5 2 3 4 2 2 2 2" xfId="15167" xr:uid="{00000000-0005-0000-0000-00003C3B0000}"/>
    <cellStyle name="40% - Énfasis5 2 3 4 2 2 3" xfId="15168" xr:uid="{00000000-0005-0000-0000-00003D3B0000}"/>
    <cellStyle name="40% - Énfasis5 2 3 4 2 2 4" xfId="15169" xr:uid="{00000000-0005-0000-0000-00003E3B0000}"/>
    <cellStyle name="40% - Énfasis5 2 3 4 2 3" xfId="15170" xr:uid="{00000000-0005-0000-0000-00003F3B0000}"/>
    <cellStyle name="40% - Énfasis5 2 3 4 2 3 2" xfId="15171" xr:uid="{00000000-0005-0000-0000-0000403B0000}"/>
    <cellStyle name="40% - Énfasis5 2 3 4 2 4" xfId="15172" xr:uid="{00000000-0005-0000-0000-0000413B0000}"/>
    <cellStyle name="40% - Énfasis5 2 3 4 2 5" xfId="15173" xr:uid="{00000000-0005-0000-0000-0000423B0000}"/>
    <cellStyle name="40% - Énfasis5 2 3 4 3" xfId="15174" xr:uid="{00000000-0005-0000-0000-0000433B0000}"/>
    <cellStyle name="40% - Énfasis5 2 3 4 3 2" xfId="15175" xr:uid="{00000000-0005-0000-0000-0000443B0000}"/>
    <cellStyle name="40% - Énfasis5 2 3 4 3 2 2" xfId="15176" xr:uid="{00000000-0005-0000-0000-0000453B0000}"/>
    <cellStyle name="40% - Énfasis5 2 3 4 3 3" xfId="15177" xr:uid="{00000000-0005-0000-0000-0000463B0000}"/>
    <cellStyle name="40% - Énfasis5 2 3 4 3 3 2" xfId="15178" xr:uid="{00000000-0005-0000-0000-0000473B0000}"/>
    <cellStyle name="40% - Énfasis5 2 3 4 3 4" xfId="15179" xr:uid="{00000000-0005-0000-0000-0000483B0000}"/>
    <cellStyle name="40% - Énfasis5 2 3 4 3 5" xfId="15180" xr:uid="{00000000-0005-0000-0000-0000493B0000}"/>
    <cellStyle name="40% - Énfasis5 2 3 4 4" xfId="15181" xr:uid="{00000000-0005-0000-0000-00004A3B0000}"/>
    <cellStyle name="40% - Énfasis5 2 3 4 4 2" xfId="15182" xr:uid="{00000000-0005-0000-0000-00004B3B0000}"/>
    <cellStyle name="40% - Énfasis5 2 3 4 5" xfId="15183" xr:uid="{00000000-0005-0000-0000-00004C3B0000}"/>
    <cellStyle name="40% - Énfasis5 2 3 4 5 2" xfId="15184" xr:uid="{00000000-0005-0000-0000-00004D3B0000}"/>
    <cellStyle name="40% - Énfasis5 2 3 4 6" xfId="15185" xr:uid="{00000000-0005-0000-0000-00004E3B0000}"/>
    <cellStyle name="40% - Énfasis5 2 3 4 7" xfId="15186" xr:uid="{00000000-0005-0000-0000-00004F3B0000}"/>
    <cellStyle name="40% - Énfasis5 2 3 5" xfId="15187" xr:uid="{00000000-0005-0000-0000-0000503B0000}"/>
    <cellStyle name="40% - Énfasis5 2 3 5 2" xfId="15188" xr:uid="{00000000-0005-0000-0000-0000513B0000}"/>
    <cellStyle name="40% - Énfasis5 2 3 5 2 2" xfId="15189" xr:uid="{00000000-0005-0000-0000-0000523B0000}"/>
    <cellStyle name="40% - Énfasis5 2 3 5 2 2 2" xfId="15190" xr:uid="{00000000-0005-0000-0000-0000533B0000}"/>
    <cellStyle name="40% - Énfasis5 2 3 5 2 3" xfId="15191" xr:uid="{00000000-0005-0000-0000-0000543B0000}"/>
    <cellStyle name="40% - Énfasis5 2 3 5 2 4" xfId="15192" xr:uid="{00000000-0005-0000-0000-0000553B0000}"/>
    <cellStyle name="40% - Énfasis5 2 3 5 3" xfId="15193" xr:uid="{00000000-0005-0000-0000-0000563B0000}"/>
    <cellStyle name="40% - Énfasis5 2 3 5 3 2" xfId="15194" xr:uid="{00000000-0005-0000-0000-0000573B0000}"/>
    <cellStyle name="40% - Énfasis5 2 3 5 4" xfId="15195" xr:uid="{00000000-0005-0000-0000-0000583B0000}"/>
    <cellStyle name="40% - Énfasis5 2 3 5 5" xfId="15196" xr:uid="{00000000-0005-0000-0000-0000593B0000}"/>
    <cellStyle name="40% - Énfasis5 2 3 6" xfId="15197" xr:uid="{00000000-0005-0000-0000-00005A3B0000}"/>
    <cellStyle name="40% - Énfasis5 2 3 6 2" xfId="15198" xr:uid="{00000000-0005-0000-0000-00005B3B0000}"/>
    <cellStyle name="40% - Énfasis5 2 3 6 2 2" xfId="15199" xr:uid="{00000000-0005-0000-0000-00005C3B0000}"/>
    <cellStyle name="40% - Énfasis5 2 3 6 3" xfId="15200" xr:uid="{00000000-0005-0000-0000-00005D3B0000}"/>
    <cellStyle name="40% - Énfasis5 2 3 6 3 2" xfId="15201" xr:uid="{00000000-0005-0000-0000-00005E3B0000}"/>
    <cellStyle name="40% - Énfasis5 2 3 6 4" xfId="15202" xr:uid="{00000000-0005-0000-0000-00005F3B0000}"/>
    <cellStyle name="40% - Énfasis5 2 3 6 5" xfId="15203" xr:uid="{00000000-0005-0000-0000-0000603B0000}"/>
    <cellStyle name="40% - Énfasis5 2 3 7" xfId="15204" xr:uid="{00000000-0005-0000-0000-0000613B0000}"/>
    <cellStyle name="40% - Énfasis5 2 3 7 2" xfId="15205" xr:uid="{00000000-0005-0000-0000-0000623B0000}"/>
    <cellStyle name="40% - Énfasis5 2 3 8" xfId="15206" xr:uid="{00000000-0005-0000-0000-0000633B0000}"/>
    <cellStyle name="40% - Énfasis5 2 3 8 2" xfId="15207" xr:uid="{00000000-0005-0000-0000-0000643B0000}"/>
    <cellStyle name="40% - Énfasis5 2 3 9" xfId="15208" xr:uid="{00000000-0005-0000-0000-0000653B0000}"/>
    <cellStyle name="40% - Énfasis5 2 4" xfId="15209" xr:uid="{00000000-0005-0000-0000-0000663B0000}"/>
    <cellStyle name="40% - Énfasis5 2 4 2" xfId="15210" xr:uid="{00000000-0005-0000-0000-0000673B0000}"/>
    <cellStyle name="40% - Énfasis5 2 4 2 2" xfId="15211" xr:uid="{00000000-0005-0000-0000-0000683B0000}"/>
    <cellStyle name="40% - Énfasis5 2 4 2 2 2" xfId="15212" xr:uid="{00000000-0005-0000-0000-0000693B0000}"/>
    <cellStyle name="40% - Énfasis5 2 4 2 2 2 2" xfId="15213" xr:uid="{00000000-0005-0000-0000-00006A3B0000}"/>
    <cellStyle name="40% - Énfasis5 2 4 2 2 2 2 2" xfId="15214" xr:uid="{00000000-0005-0000-0000-00006B3B0000}"/>
    <cellStyle name="40% - Énfasis5 2 4 2 2 2 2 2 2" xfId="15215" xr:uid="{00000000-0005-0000-0000-00006C3B0000}"/>
    <cellStyle name="40% - Énfasis5 2 4 2 2 2 2 3" xfId="15216" xr:uid="{00000000-0005-0000-0000-00006D3B0000}"/>
    <cellStyle name="40% - Énfasis5 2 4 2 2 2 2 4" xfId="15217" xr:uid="{00000000-0005-0000-0000-00006E3B0000}"/>
    <cellStyle name="40% - Énfasis5 2 4 2 2 2 3" xfId="15218" xr:uid="{00000000-0005-0000-0000-00006F3B0000}"/>
    <cellStyle name="40% - Énfasis5 2 4 2 2 2 3 2" xfId="15219" xr:uid="{00000000-0005-0000-0000-0000703B0000}"/>
    <cellStyle name="40% - Énfasis5 2 4 2 2 2 4" xfId="15220" xr:uid="{00000000-0005-0000-0000-0000713B0000}"/>
    <cellStyle name="40% - Énfasis5 2 4 2 2 2 5" xfId="15221" xr:uid="{00000000-0005-0000-0000-0000723B0000}"/>
    <cellStyle name="40% - Énfasis5 2 4 2 2 3" xfId="15222" xr:uid="{00000000-0005-0000-0000-0000733B0000}"/>
    <cellStyle name="40% - Énfasis5 2 4 2 2 3 2" xfId="15223" xr:uid="{00000000-0005-0000-0000-0000743B0000}"/>
    <cellStyle name="40% - Énfasis5 2 4 2 2 3 2 2" xfId="15224" xr:uid="{00000000-0005-0000-0000-0000753B0000}"/>
    <cellStyle name="40% - Énfasis5 2 4 2 2 3 3" xfId="15225" xr:uid="{00000000-0005-0000-0000-0000763B0000}"/>
    <cellStyle name="40% - Énfasis5 2 4 2 2 3 4" xfId="15226" xr:uid="{00000000-0005-0000-0000-0000773B0000}"/>
    <cellStyle name="40% - Énfasis5 2 4 2 2 4" xfId="15227" xr:uid="{00000000-0005-0000-0000-0000783B0000}"/>
    <cellStyle name="40% - Énfasis5 2 4 2 2 4 2" xfId="15228" xr:uid="{00000000-0005-0000-0000-0000793B0000}"/>
    <cellStyle name="40% - Énfasis5 2 4 2 2 5" xfId="15229" xr:uid="{00000000-0005-0000-0000-00007A3B0000}"/>
    <cellStyle name="40% - Énfasis5 2 4 2 2 6" xfId="15230" xr:uid="{00000000-0005-0000-0000-00007B3B0000}"/>
    <cellStyle name="40% - Énfasis5 2 4 2 3" xfId="15231" xr:uid="{00000000-0005-0000-0000-00007C3B0000}"/>
    <cellStyle name="40% - Énfasis5 2 4 2 3 2" xfId="15232" xr:uid="{00000000-0005-0000-0000-00007D3B0000}"/>
    <cellStyle name="40% - Énfasis5 2 4 2 3 2 2" xfId="15233" xr:uid="{00000000-0005-0000-0000-00007E3B0000}"/>
    <cellStyle name="40% - Énfasis5 2 4 2 3 2 2 2" xfId="15234" xr:uid="{00000000-0005-0000-0000-00007F3B0000}"/>
    <cellStyle name="40% - Énfasis5 2 4 2 3 2 3" xfId="15235" xr:uid="{00000000-0005-0000-0000-0000803B0000}"/>
    <cellStyle name="40% - Énfasis5 2 4 2 3 2 4" xfId="15236" xr:uid="{00000000-0005-0000-0000-0000813B0000}"/>
    <cellStyle name="40% - Énfasis5 2 4 2 3 3" xfId="15237" xr:uid="{00000000-0005-0000-0000-0000823B0000}"/>
    <cellStyle name="40% - Énfasis5 2 4 2 3 3 2" xfId="15238" xr:uid="{00000000-0005-0000-0000-0000833B0000}"/>
    <cellStyle name="40% - Énfasis5 2 4 2 3 4" xfId="15239" xr:uid="{00000000-0005-0000-0000-0000843B0000}"/>
    <cellStyle name="40% - Énfasis5 2 4 2 3 5" xfId="15240" xr:uid="{00000000-0005-0000-0000-0000853B0000}"/>
    <cellStyle name="40% - Énfasis5 2 4 2 4" xfId="15241" xr:uid="{00000000-0005-0000-0000-0000863B0000}"/>
    <cellStyle name="40% - Énfasis5 2 4 2 4 2" xfId="15242" xr:uid="{00000000-0005-0000-0000-0000873B0000}"/>
    <cellStyle name="40% - Énfasis5 2 4 2 4 2 2" xfId="15243" xr:uid="{00000000-0005-0000-0000-0000883B0000}"/>
    <cellStyle name="40% - Énfasis5 2 4 2 4 3" xfId="15244" xr:uid="{00000000-0005-0000-0000-0000893B0000}"/>
    <cellStyle name="40% - Énfasis5 2 4 2 4 4" xfId="15245" xr:uid="{00000000-0005-0000-0000-00008A3B0000}"/>
    <cellStyle name="40% - Énfasis5 2 4 2 5" xfId="15246" xr:uid="{00000000-0005-0000-0000-00008B3B0000}"/>
    <cellStyle name="40% - Énfasis5 2 4 2 5 2" xfId="15247" xr:uid="{00000000-0005-0000-0000-00008C3B0000}"/>
    <cellStyle name="40% - Énfasis5 2 4 2 6" xfId="15248" xr:uid="{00000000-0005-0000-0000-00008D3B0000}"/>
    <cellStyle name="40% - Énfasis5 2 4 2 7" xfId="15249" xr:uid="{00000000-0005-0000-0000-00008E3B0000}"/>
    <cellStyle name="40% - Énfasis5 2 4 3" xfId="15250" xr:uid="{00000000-0005-0000-0000-00008F3B0000}"/>
    <cellStyle name="40% - Énfasis5 2 4 3 2" xfId="15251" xr:uid="{00000000-0005-0000-0000-0000903B0000}"/>
    <cellStyle name="40% - Énfasis5 2 4 3 2 2" xfId="15252" xr:uid="{00000000-0005-0000-0000-0000913B0000}"/>
    <cellStyle name="40% - Énfasis5 2 4 3 2 2 2" xfId="15253" xr:uid="{00000000-0005-0000-0000-0000923B0000}"/>
    <cellStyle name="40% - Énfasis5 2 4 3 2 2 2 2" xfId="15254" xr:uid="{00000000-0005-0000-0000-0000933B0000}"/>
    <cellStyle name="40% - Énfasis5 2 4 3 2 2 3" xfId="15255" xr:uid="{00000000-0005-0000-0000-0000943B0000}"/>
    <cellStyle name="40% - Énfasis5 2 4 3 2 2 4" xfId="15256" xr:uid="{00000000-0005-0000-0000-0000953B0000}"/>
    <cellStyle name="40% - Énfasis5 2 4 3 2 3" xfId="15257" xr:uid="{00000000-0005-0000-0000-0000963B0000}"/>
    <cellStyle name="40% - Énfasis5 2 4 3 2 3 2" xfId="15258" xr:uid="{00000000-0005-0000-0000-0000973B0000}"/>
    <cellStyle name="40% - Énfasis5 2 4 3 2 4" xfId="15259" xr:uid="{00000000-0005-0000-0000-0000983B0000}"/>
    <cellStyle name="40% - Énfasis5 2 4 3 2 5" xfId="15260" xr:uid="{00000000-0005-0000-0000-0000993B0000}"/>
    <cellStyle name="40% - Énfasis5 2 4 3 3" xfId="15261" xr:uid="{00000000-0005-0000-0000-00009A3B0000}"/>
    <cellStyle name="40% - Énfasis5 2 4 3 3 2" xfId="15262" xr:uid="{00000000-0005-0000-0000-00009B3B0000}"/>
    <cellStyle name="40% - Énfasis5 2 4 3 3 2 2" xfId="15263" xr:uid="{00000000-0005-0000-0000-00009C3B0000}"/>
    <cellStyle name="40% - Énfasis5 2 4 3 3 3" xfId="15264" xr:uid="{00000000-0005-0000-0000-00009D3B0000}"/>
    <cellStyle name="40% - Énfasis5 2 4 3 3 3 2" xfId="15265" xr:uid="{00000000-0005-0000-0000-00009E3B0000}"/>
    <cellStyle name="40% - Énfasis5 2 4 3 3 4" xfId="15266" xr:uid="{00000000-0005-0000-0000-00009F3B0000}"/>
    <cellStyle name="40% - Énfasis5 2 4 3 3 5" xfId="15267" xr:uid="{00000000-0005-0000-0000-0000A03B0000}"/>
    <cellStyle name="40% - Énfasis5 2 4 3 4" xfId="15268" xr:uid="{00000000-0005-0000-0000-0000A13B0000}"/>
    <cellStyle name="40% - Énfasis5 2 4 3 4 2" xfId="15269" xr:uid="{00000000-0005-0000-0000-0000A23B0000}"/>
    <cellStyle name="40% - Énfasis5 2 4 3 5" xfId="15270" xr:uid="{00000000-0005-0000-0000-0000A33B0000}"/>
    <cellStyle name="40% - Énfasis5 2 4 3 5 2" xfId="15271" xr:uid="{00000000-0005-0000-0000-0000A43B0000}"/>
    <cellStyle name="40% - Énfasis5 2 4 3 6" xfId="15272" xr:uid="{00000000-0005-0000-0000-0000A53B0000}"/>
    <cellStyle name="40% - Énfasis5 2 4 3 7" xfId="15273" xr:uid="{00000000-0005-0000-0000-0000A63B0000}"/>
    <cellStyle name="40% - Énfasis5 2 4 4" xfId="15274" xr:uid="{00000000-0005-0000-0000-0000A73B0000}"/>
    <cellStyle name="40% - Énfasis5 2 4 4 2" xfId="15275" xr:uid="{00000000-0005-0000-0000-0000A83B0000}"/>
    <cellStyle name="40% - Énfasis5 2 4 4 2 2" xfId="15276" xr:uid="{00000000-0005-0000-0000-0000A93B0000}"/>
    <cellStyle name="40% - Énfasis5 2 4 4 2 2 2" xfId="15277" xr:uid="{00000000-0005-0000-0000-0000AA3B0000}"/>
    <cellStyle name="40% - Énfasis5 2 4 4 2 3" xfId="15278" xr:uid="{00000000-0005-0000-0000-0000AB3B0000}"/>
    <cellStyle name="40% - Énfasis5 2 4 4 2 4" xfId="15279" xr:uid="{00000000-0005-0000-0000-0000AC3B0000}"/>
    <cellStyle name="40% - Énfasis5 2 4 4 3" xfId="15280" xr:uid="{00000000-0005-0000-0000-0000AD3B0000}"/>
    <cellStyle name="40% - Énfasis5 2 4 4 3 2" xfId="15281" xr:uid="{00000000-0005-0000-0000-0000AE3B0000}"/>
    <cellStyle name="40% - Énfasis5 2 4 4 4" xfId="15282" xr:uid="{00000000-0005-0000-0000-0000AF3B0000}"/>
    <cellStyle name="40% - Énfasis5 2 4 4 5" xfId="15283" xr:uid="{00000000-0005-0000-0000-0000B03B0000}"/>
    <cellStyle name="40% - Énfasis5 2 4 5" xfId="15284" xr:uid="{00000000-0005-0000-0000-0000B13B0000}"/>
    <cellStyle name="40% - Énfasis5 2 4 5 2" xfId="15285" xr:uid="{00000000-0005-0000-0000-0000B23B0000}"/>
    <cellStyle name="40% - Énfasis5 2 4 5 2 2" xfId="15286" xr:uid="{00000000-0005-0000-0000-0000B33B0000}"/>
    <cellStyle name="40% - Énfasis5 2 4 5 3" xfId="15287" xr:uid="{00000000-0005-0000-0000-0000B43B0000}"/>
    <cellStyle name="40% - Énfasis5 2 4 5 3 2" xfId="15288" xr:uid="{00000000-0005-0000-0000-0000B53B0000}"/>
    <cellStyle name="40% - Énfasis5 2 4 5 4" xfId="15289" xr:uid="{00000000-0005-0000-0000-0000B63B0000}"/>
    <cellStyle name="40% - Énfasis5 2 4 5 5" xfId="15290" xr:uid="{00000000-0005-0000-0000-0000B73B0000}"/>
    <cellStyle name="40% - Énfasis5 2 4 6" xfId="15291" xr:uid="{00000000-0005-0000-0000-0000B83B0000}"/>
    <cellStyle name="40% - Énfasis5 2 4 6 2" xfId="15292" xr:uid="{00000000-0005-0000-0000-0000B93B0000}"/>
    <cellStyle name="40% - Énfasis5 2 4 7" xfId="15293" xr:uid="{00000000-0005-0000-0000-0000BA3B0000}"/>
    <cellStyle name="40% - Énfasis5 2 4 7 2" xfId="15294" xr:uid="{00000000-0005-0000-0000-0000BB3B0000}"/>
    <cellStyle name="40% - Énfasis5 2 4 8" xfId="15295" xr:uid="{00000000-0005-0000-0000-0000BC3B0000}"/>
    <cellStyle name="40% - Énfasis5 2 4 9" xfId="15296" xr:uid="{00000000-0005-0000-0000-0000BD3B0000}"/>
    <cellStyle name="40% - Énfasis5 2 5" xfId="15297" xr:uid="{00000000-0005-0000-0000-0000BE3B0000}"/>
    <cellStyle name="40% - Énfasis5 2 5 2" xfId="15298" xr:uid="{00000000-0005-0000-0000-0000BF3B0000}"/>
    <cellStyle name="40% - Énfasis5 2 5 2 2" xfId="15299" xr:uid="{00000000-0005-0000-0000-0000C03B0000}"/>
    <cellStyle name="40% - Énfasis5 2 5 2 2 2" xfId="15300" xr:uid="{00000000-0005-0000-0000-0000C13B0000}"/>
    <cellStyle name="40% - Énfasis5 2 5 2 2 2 2" xfId="15301" xr:uid="{00000000-0005-0000-0000-0000C23B0000}"/>
    <cellStyle name="40% - Énfasis5 2 5 2 2 2 2 2" xfId="15302" xr:uid="{00000000-0005-0000-0000-0000C33B0000}"/>
    <cellStyle name="40% - Énfasis5 2 5 2 2 2 3" xfId="15303" xr:uid="{00000000-0005-0000-0000-0000C43B0000}"/>
    <cellStyle name="40% - Énfasis5 2 5 2 2 2 4" xfId="15304" xr:uid="{00000000-0005-0000-0000-0000C53B0000}"/>
    <cellStyle name="40% - Énfasis5 2 5 2 2 3" xfId="15305" xr:uid="{00000000-0005-0000-0000-0000C63B0000}"/>
    <cellStyle name="40% - Énfasis5 2 5 2 2 3 2" xfId="15306" xr:uid="{00000000-0005-0000-0000-0000C73B0000}"/>
    <cellStyle name="40% - Énfasis5 2 5 2 2 4" xfId="15307" xr:uid="{00000000-0005-0000-0000-0000C83B0000}"/>
    <cellStyle name="40% - Énfasis5 2 5 2 2 5" xfId="15308" xr:uid="{00000000-0005-0000-0000-0000C93B0000}"/>
    <cellStyle name="40% - Énfasis5 2 5 2 3" xfId="15309" xr:uid="{00000000-0005-0000-0000-0000CA3B0000}"/>
    <cellStyle name="40% - Énfasis5 2 5 2 3 2" xfId="15310" xr:uid="{00000000-0005-0000-0000-0000CB3B0000}"/>
    <cellStyle name="40% - Énfasis5 2 5 2 3 2 2" xfId="15311" xr:uid="{00000000-0005-0000-0000-0000CC3B0000}"/>
    <cellStyle name="40% - Énfasis5 2 5 2 3 3" xfId="15312" xr:uid="{00000000-0005-0000-0000-0000CD3B0000}"/>
    <cellStyle name="40% - Énfasis5 2 5 2 3 3 2" xfId="15313" xr:uid="{00000000-0005-0000-0000-0000CE3B0000}"/>
    <cellStyle name="40% - Énfasis5 2 5 2 3 4" xfId="15314" xr:uid="{00000000-0005-0000-0000-0000CF3B0000}"/>
    <cellStyle name="40% - Énfasis5 2 5 2 3 5" xfId="15315" xr:uid="{00000000-0005-0000-0000-0000D03B0000}"/>
    <cellStyle name="40% - Énfasis5 2 5 2 4" xfId="15316" xr:uid="{00000000-0005-0000-0000-0000D13B0000}"/>
    <cellStyle name="40% - Énfasis5 2 5 2 4 2" xfId="15317" xr:uid="{00000000-0005-0000-0000-0000D23B0000}"/>
    <cellStyle name="40% - Énfasis5 2 5 2 5" xfId="15318" xr:uid="{00000000-0005-0000-0000-0000D33B0000}"/>
    <cellStyle name="40% - Énfasis5 2 5 2 5 2" xfId="15319" xr:uid="{00000000-0005-0000-0000-0000D43B0000}"/>
    <cellStyle name="40% - Énfasis5 2 5 2 6" xfId="15320" xr:uid="{00000000-0005-0000-0000-0000D53B0000}"/>
    <cellStyle name="40% - Énfasis5 2 5 2 7" xfId="15321" xr:uid="{00000000-0005-0000-0000-0000D63B0000}"/>
    <cellStyle name="40% - Énfasis5 2 5 3" xfId="15322" xr:uid="{00000000-0005-0000-0000-0000D73B0000}"/>
    <cellStyle name="40% - Énfasis5 2 5 3 2" xfId="15323" xr:uid="{00000000-0005-0000-0000-0000D83B0000}"/>
    <cellStyle name="40% - Énfasis5 2 5 3 2 2" xfId="15324" xr:uid="{00000000-0005-0000-0000-0000D93B0000}"/>
    <cellStyle name="40% - Énfasis5 2 5 3 2 2 2" xfId="15325" xr:uid="{00000000-0005-0000-0000-0000DA3B0000}"/>
    <cellStyle name="40% - Énfasis5 2 5 3 2 3" xfId="15326" xr:uid="{00000000-0005-0000-0000-0000DB3B0000}"/>
    <cellStyle name="40% - Énfasis5 2 5 3 2 4" xfId="15327" xr:uid="{00000000-0005-0000-0000-0000DC3B0000}"/>
    <cellStyle name="40% - Énfasis5 2 5 3 3" xfId="15328" xr:uid="{00000000-0005-0000-0000-0000DD3B0000}"/>
    <cellStyle name="40% - Énfasis5 2 5 3 3 2" xfId="15329" xr:uid="{00000000-0005-0000-0000-0000DE3B0000}"/>
    <cellStyle name="40% - Énfasis5 2 5 3 4" xfId="15330" xr:uid="{00000000-0005-0000-0000-0000DF3B0000}"/>
    <cellStyle name="40% - Énfasis5 2 5 3 5" xfId="15331" xr:uid="{00000000-0005-0000-0000-0000E03B0000}"/>
    <cellStyle name="40% - Énfasis5 2 5 4" xfId="15332" xr:uid="{00000000-0005-0000-0000-0000E13B0000}"/>
    <cellStyle name="40% - Énfasis5 2 5 4 2" xfId="15333" xr:uid="{00000000-0005-0000-0000-0000E23B0000}"/>
    <cellStyle name="40% - Énfasis5 2 5 4 2 2" xfId="15334" xr:uid="{00000000-0005-0000-0000-0000E33B0000}"/>
    <cellStyle name="40% - Énfasis5 2 5 4 3" xfId="15335" xr:uid="{00000000-0005-0000-0000-0000E43B0000}"/>
    <cellStyle name="40% - Énfasis5 2 5 4 3 2" xfId="15336" xr:uid="{00000000-0005-0000-0000-0000E53B0000}"/>
    <cellStyle name="40% - Énfasis5 2 5 4 4" xfId="15337" xr:uid="{00000000-0005-0000-0000-0000E63B0000}"/>
    <cellStyle name="40% - Énfasis5 2 5 4 5" xfId="15338" xr:uid="{00000000-0005-0000-0000-0000E73B0000}"/>
    <cellStyle name="40% - Énfasis5 2 5 5" xfId="15339" xr:uid="{00000000-0005-0000-0000-0000E83B0000}"/>
    <cellStyle name="40% - Énfasis5 2 5 5 2" xfId="15340" xr:uid="{00000000-0005-0000-0000-0000E93B0000}"/>
    <cellStyle name="40% - Énfasis5 2 5 6" xfId="15341" xr:uid="{00000000-0005-0000-0000-0000EA3B0000}"/>
    <cellStyle name="40% - Énfasis5 2 5 6 2" xfId="15342" xr:uid="{00000000-0005-0000-0000-0000EB3B0000}"/>
    <cellStyle name="40% - Énfasis5 2 5 7" xfId="15343" xr:uid="{00000000-0005-0000-0000-0000EC3B0000}"/>
    <cellStyle name="40% - Énfasis5 2 5 8" xfId="15344" xr:uid="{00000000-0005-0000-0000-0000ED3B0000}"/>
    <cellStyle name="40% - Énfasis5 2 6" xfId="15345" xr:uid="{00000000-0005-0000-0000-0000EE3B0000}"/>
    <cellStyle name="40% - Énfasis5 2 6 2" xfId="15346" xr:uid="{00000000-0005-0000-0000-0000EF3B0000}"/>
    <cellStyle name="40% - Énfasis5 2 6 2 2" xfId="15347" xr:uid="{00000000-0005-0000-0000-0000F03B0000}"/>
    <cellStyle name="40% - Énfasis5 2 6 2 2 2" xfId="15348" xr:uid="{00000000-0005-0000-0000-0000F13B0000}"/>
    <cellStyle name="40% - Énfasis5 2 6 2 2 2 2" xfId="15349" xr:uid="{00000000-0005-0000-0000-0000F23B0000}"/>
    <cellStyle name="40% - Énfasis5 2 6 2 2 3" xfId="15350" xr:uid="{00000000-0005-0000-0000-0000F33B0000}"/>
    <cellStyle name="40% - Énfasis5 2 6 2 2 4" xfId="15351" xr:uid="{00000000-0005-0000-0000-0000F43B0000}"/>
    <cellStyle name="40% - Énfasis5 2 6 2 3" xfId="15352" xr:uid="{00000000-0005-0000-0000-0000F53B0000}"/>
    <cellStyle name="40% - Énfasis5 2 6 2 3 2" xfId="15353" xr:uid="{00000000-0005-0000-0000-0000F63B0000}"/>
    <cellStyle name="40% - Énfasis5 2 6 2 4" xfId="15354" xr:uid="{00000000-0005-0000-0000-0000F73B0000}"/>
    <cellStyle name="40% - Énfasis5 2 6 2 5" xfId="15355" xr:uid="{00000000-0005-0000-0000-0000F83B0000}"/>
    <cellStyle name="40% - Énfasis5 2 6 3" xfId="15356" xr:uid="{00000000-0005-0000-0000-0000F93B0000}"/>
    <cellStyle name="40% - Énfasis5 2 6 3 2" xfId="15357" xr:uid="{00000000-0005-0000-0000-0000FA3B0000}"/>
    <cellStyle name="40% - Énfasis5 2 6 3 2 2" xfId="15358" xr:uid="{00000000-0005-0000-0000-0000FB3B0000}"/>
    <cellStyle name="40% - Énfasis5 2 6 3 3" xfId="15359" xr:uid="{00000000-0005-0000-0000-0000FC3B0000}"/>
    <cellStyle name="40% - Énfasis5 2 6 3 3 2" xfId="15360" xr:uid="{00000000-0005-0000-0000-0000FD3B0000}"/>
    <cellStyle name="40% - Énfasis5 2 6 3 4" xfId="15361" xr:uid="{00000000-0005-0000-0000-0000FE3B0000}"/>
    <cellStyle name="40% - Énfasis5 2 6 3 5" xfId="15362" xr:uid="{00000000-0005-0000-0000-0000FF3B0000}"/>
    <cellStyle name="40% - Énfasis5 2 6 4" xfId="15363" xr:uid="{00000000-0005-0000-0000-0000003C0000}"/>
    <cellStyle name="40% - Énfasis5 2 6 4 2" xfId="15364" xr:uid="{00000000-0005-0000-0000-0000013C0000}"/>
    <cellStyle name="40% - Énfasis5 2 6 5" xfId="15365" xr:uid="{00000000-0005-0000-0000-0000023C0000}"/>
    <cellStyle name="40% - Énfasis5 2 6 5 2" xfId="15366" xr:uid="{00000000-0005-0000-0000-0000033C0000}"/>
    <cellStyle name="40% - Énfasis5 2 6 6" xfId="15367" xr:uid="{00000000-0005-0000-0000-0000043C0000}"/>
    <cellStyle name="40% - Énfasis5 2 6 7" xfId="15368" xr:uid="{00000000-0005-0000-0000-0000053C0000}"/>
    <cellStyle name="40% - Énfasis5 2 7" xfId="15369" xr:uid="{00000000-0005-0000-0000-0000063C0000}"/>
    <cellStyle name="40% - Énfasis5 2 7 2" xfId="15370" xr:uid="{00000000-0005-0000-0000-0000073C0000}"/>
    <cellStyle name="40% - Énfasis5 2 7 2 2" xfId="15371" xr:uid="{00000000-0005-0000-0000-0000083C0000}"/>
    <cellStyle name="40% - Énfasis5 2 7 2 2 2" xfId="15372" xr:uid="{00000000-0005-0000-0000-0000093C0000}"/>
    <cellStyle name="40% - Énfasis5 2 7 2 3" xfId="15373" xr:uid="{00000000-0005-0000-0000-00000A3C0000}"/>
    <cellStyle name="40% - Énfasis5 2 7 2 4" xfId="15374" xr:uid="{00000000-0005-0000-0000-00000B3C0000}"/>
    <cellStyle name="40% - Énfasis5 2 7 3" xfId="15375" xr:uid="{00000000-0005-0000-0000-00000C3C0000}"/>
    <cellStyle name="40% - Énfasis5 2 7 3 2" xfId="15376" xr:uid="{00000000-0005-0000-0000-00000D3C0000}"/>
    <cellStyle name="40% - Énfasis5 2 7 4" xfId="15377" xr:uid="{00000000-0005-0000-0000-00000E3C0000}"/>
    <cellStyle name="40% - Énfasis5 2 7 5" xfId="15378" xr:uid="{00000000-0005-0000-0000-00000F3C0000}"/>
    <cellStyle name="40% - Énfasis5 2 8" xfId="15379" xr:uid="{00000000-0005-0000-0000-0000103C0000}"/>
    <cellStyle name="40% - Énfasis5 2 8 2" xfId="15380" xr:uid="{00000000-0005-0000-0000-0000113C0000}"/>
    <cellStyle name="40% - Énfasis5 2 8 2 2" xfId="15381" xr:uid="{00000000-0005-0000-0000-0000123C0000}"/>
    <cellStyle name="40% - Énfasis5 2 8 3" xfId="15382" xr:uid="{00000000-0005-0000-0000-0000133C0000}"/>
    <cellStyle name="40% - Énfasis5 2 8 3 2" xfId="15383" xr:uid="{00000000-0005-0000-0000-0000143C0000}"/>
    <cellStyle name="40% - Énfasis5 2 8 4" xfId="15384" xr:uid="{00000000-0005-0000-0000-0000153C0000}"/>
    <cellStyle name="40% - Énfasis5 2 8 5" xfId="15385" xr:uid="{00000000-0005-0000-0000-0000163C0000}"/>
    <cellStyle name="40% - Énfasis5 2 9" xfId="15386" xr:uid="{00000000-0005-0000-0000-0000173C0000}"/>
    <cellStyle name="40% - Énfasis5 2 9 2" xfId="15387" xr:uid="{00000000-0005-0000-0000-0000183C0000}"/>
    <cellStyle name="40% - Énfasis5 3" xfId="15388" xr:uid="{00000000-0005-0000-0000-0000193C0000}"/>
    <cellStyle name="40% - Énfasis5 3 10" xfId="15389" xr:uid="{00000000-0005-0000-0000-00001A3C0000}"/>
    <cellStyle name="40% - Énfasis5 3 10 2" xfId="15390" xr:uid="{00000000-0005-0000-0000-00001B3C0000}"/>
    <cellStyle name="40% - Énfasis5 3 11" xfId="15391" xr:uid="{00000000-0005-0000-0000-00001C3C0000}"/>
    <cellStyle name="40% - Énfasis5 3 12" xfId="15392" xr:uid="{00000000-0005-0000-0000-00001D3C0000}"/>
    <cellStyle name="40% - Énfasis5 3 2" xfId="15393" xr:uid="{00000000-0005-0000-0000-00001E3C0000}"/>
    <cellStyle name="40% - Énfasis5 3 2 10" xfId="15394" xr:uid="{00000000-0005-0000-0000-00001F3C0000}"/>
    <cellStyle name="40% - Énfasis5 3 2 11" xfId="15395" xr:uid="{00000000-0005-0000-0000-0000203C0000}"/>
    <cellStyle name="40% - Énfasis5 3 2 2" xfId="15396" xr:uid="{00000000-0005-0000-0000-0000213C0000}"/>
    <cellStyle name="40% - Énfasis5 3 2 2 10" xfId="15397" xr:uid="{00000000-0005-0000-0000-0000223C0000}"/>
    <cellStyle name="40% - Énfasis5 3 2 2 2" xfId="15398" xr:uid="{00000000-0005-0000-0000-0000233C0000}"/>
    <cellStyle name="40% - Énfasis5 3 2 2 2 2" xfId="15399" xr:uid="{00000000-0005-0000-0000-0000243C0000}"/>
    <cellStyle name="40% - Énfasis5 3 2 2 2 2 2" xfId="15400" xr:uid="{00000000-0005-0000-0000-0000253C0000}"/>
    <cellStyle name="40% - Énfasis5 3 2 2 2 2 2 2" xfId="15401" xr:uid="{00000000-0005-0000-0000-0000263C0000}"/>
    <cellStyle name="40% - Énfasis5 3 2 2 2 2 2 2 2" xfId="15402" xr:uid="{00000000-0005-0000-0000-0000273C0000}"/>
    <cellStyle name="40% - Énfasis5 3 2 2 2 2 2 2 2 2" xfId="15403" xr:uid="{00000000-0005-0000-0000-0000283C0000}"/>
    <cellStyle name="40% - Énfasis5 3 2 2 2 2 2 2 2 2 2" xfId="15404" xr:uid="{00000000-0005-0000-0000-0000293C0000}"/>
    <cellStyle name="40% - Énfasis5 3 2 2 2 2 2 2 2 3" xfId="15405" xr:uid="{00000000-0005-0000-0000-00002A3C0000}"/>
    <cellStyle name="40% - Énfasis5 3 2 2 2 2 2 2 2 4" xfId="15406" xr:uid="{00000000-0005-0000-0000-00002B3C0000}"/>
    <cellStyle name="40% - Énfasis5 3 2 2 2 2 2 2 3" xfId="15407" xr:uid="{00000000-0005-0000-0000-00002C3C0000}"/>
    <cellStyle name="40% - Énfasis5 3 2 2 2 2 2 2 3 2" xfId="15408" xr:uid="{00000000-0005-0000-0000-00002D3C0000}"/>
    <cellStyle name="40% - Énfasis5 3 2 2 2 2 2 2 4" xfId="15409" xr:uid="{00000000-0005-0000-0000-00002E3C0000}"/>
    <cellStyle name="40% - Énfasis5 3 2 2 2 2 2 2 5" xfId="15410" xr:uid="{00000000-0005-0000-0000-00002F3C0000}"/>
    <cellStyle name="40% - Énfasis5 3 2 2 2 2 2 3" xfId="15411" xr:uid="{00000000-0005-0000-0000-0000303C0000}"/>
    <cellStyle name="40% - Énfasis5 3 2 2 2 2 2 3 2" xfId="15412" xr:uid="{00000000-0005-0000-0000-0000313C0000}"/>
    <cellStyle name="40% - Énfasis5 3 2 2 2 2 2 3 2 2" xfId="15413" xr:uid="{00000000-0005-0000-0000-0000323C0000}"/>
    <cellStyle name="40% - Énfasis5 3 2 2 2 2 2 3 3" xfId="15414" xr:uid="{00000000-0005-0000-0000-0000333C0000}"/>
    <cellStyle name="40% - Énfasis5 3 2 2 2 2 2 3 4" xfId="15415" xr:uid="{00000000-0005-0000-0000-0000343C0000}"/>
    <cellStyle name="40% - Énfasis5 3 2 2 2 2 2 4" xfId="15416" xr:uid="{00000000-0005-0000-0000-0000353C0000}"/>
    <cellStyle name="40% - Énfasis5 3 2 2 2 2 2 4 2" xfId="15417" xr:uid="{00000000-0005-0000-0000-0000363C0000}"/>
    <cellStyle name="40% - Énfasis5 3 2 2 2 2 2 5" xfId="15418" xr:uid="{00000000-0005-0000-0000-0000373C0000}"/>
    <cellStyle name="40% - Énfasis5 3 2 2 2 2 2 6" xfId="15419" xr:uid="{00000000-0005-0000-0000-0000383C0000}"/>
    <cellStyle name="40% - Énfasis5 3 2 2 2 2 3" xfId="15420" xr:uid="{00000000-0005-0000-0000-0000393C0000}"/>
    <cellStyle name="40% - Énfasis5 3 2 2 2 2 3 2" xfId="15421" xr:uid="{00000000-0005-0000-0000-00003A3C0000}"/>
    <cellStyle name="40% - Énfasis5 3 2 2 2 2 3 2 2" xfId="15422" xr:uid="{00000000-0005-0000-0000-00003B3C0000}"/>
    <cellStyle name="40% - Énfasis5 3 2 2 2 2 3 2 2 2" xfId="15423" xr:uid="{00000000-0005-0000-0000-00003C3C0000}"/>
    <cellStyle name="40% - Énfasis5 3 2 2 2 2 3 2 3" xfId="15424" xr:uid="{00000000-0005-0000-0000-00003D3C0000}"/>
    <cellStyle name="40% - Énfasis5 3 2 2 2 2 3 2 4" xfId="15425" xr:uid="{00000000-0005-0000-0000-00003E3C0000}"/>
    <cellStyle name="40% - Énfasis5 3 2 2 2 2 3 3" xfId="15426" xr:uid="{00000000-0005-0000-0000-00003F3C0000}"/>
    <cellStyle name="40% - Énfasis5 3 2 2 2 2 3 3 2" xfId="15427" xr:uid="{00000000-0005-0000-0000-0000403C0000}"/>
    <cellStyle name="40% - Énfasis5 3 2 2 2 2 3 4" xfId="15428" xr:uid="{00000000-0005-0000-0000-0000413C0000}"/>
    <cellStyle name="40% - Énfasis5 3 2 2 2 2 3 5" xfId="15429" xr:uid="{00000000-0005-0000-0000-0000423C0000}"/>
    <cellStyle name="40% - Énfasis5 3 2 2 2 2 4" xfId="15430" xr:uid="{00000000-0005-0000-0000-0000433C0000}"/>
    <cellStyle name="40% - Énfasis5 3 2 2 2 2 4 2" xfId="15431" xr:uid="{00000000-0005-0000-0000-0000443C0000}"/>
    <cellStyle name="40% - Énfasis5 3 2 2 2 2 4 2 2" xfId="15432" xr:uid="{00000000-0005-0000-0000-0000453C0000}"/>
    <cellStyle name="40% - Énfasis5 3 2 2 2 2 4 3" xfId="15433" xr:uid="{00000000-0005-0000-0000-0000463C0000}"/>
    <cellStyle name="40% - Énfasis5 3 2 2 2 2 4 4" xfId="15434" xr:uid="{00000000-0005-0000-0000-0000473C0000}"/>
    <cellStyle name="40% - Énfasis5 3 2 2 2 2 5" xfId="15435" xr:uid="{00000000-0005-0000-0000-0000483C0000}"/>
    <cellStyle name="40% - Énfasis5 3 2 2 2 2 5 2" xfId="15436" xr:uid="{00000000-0005-0000-0000-0000493C0000}"/>
    <cellStyle name="40% - Énfasis5 3 2 2 2 2 6" xfId="15437" xr:uid="{00000000-0005-0000-0000-00004A3C0000}"/>
    <cellStyle name="40% - Énfasis5 3 2 2 2 2 7" xfId="15438" xr:uid="{00000000-0005-0000-0000-00004B3C0000}"/>
    <cellStyle name="40% - Énfasis5 3 2 2 2 3" xfId="15439" xr:uid="{00000000-0005-0000-0000-00004C3C0000}"/>
    <cellStyle name="40% - Énfasis5 3 2 2 2 3 2" xfId="15440" xr:uid="{00000000-0005-0000-0000-00004D3C0000}"/>
    <cellStyle name="40% - Énfasis5 3 2 2 2 3 2 2" xfId="15441" xr:uid="{00000000-0005-0000-0000-00004E3C0000}"/>
    <cellStyle name="40% - Énfasis5 3 2 2 2 3 2 2 2" xfId="15442" xr:uid="{00000000-0005-0000-0000-00004F3C0000}"/>
    <cellStyle name="40% - Énfasis5 3 2 2 2 3 2 2 2 2" xfId="15443" xr:uid="{00000000-0005-0000-0000-0000503C0000}"/>
    <cellStyle name="40% - Énfasis5 3 2 2 2 3 2 2 3" xfId="15444" xr:uid="{00000000-0005-0000-0000-0000513C0000}"/>
    <cellStyle name="40% - Énfasis5 3 2 2 2 3 2 2 4" xfId="15445" xr:uid="{00000000-0005-0000-0000-0000523C0000}"/>
    <cellStyle name="40% - Énfasis5 3 2 2 2 3 2 3" xfId="15446" xr:uid="{00000000-0005-0000-0000-0000533C0000}"/>
    <cellStyle name="40% - Énfasis5 3 2 2 2 3 2 3 2" xfId="15447" xr:uid="{00000000-0005-0000-0000-0000543C0000}"/>
    <cellStyle name="40% - Énfasis5 3 2 2 2 3 2 4" xfId="15448" xr:uid="{00000000-0005-0000-0000-0000553C0000}"/>
    <cellStyle name="40% - Énfasis5 3 2 2 2 3 2 5" xfId="15449" xr:uid="{00000000-0005-0000-0000-0000563C0000}"/>
    <cellStyle name="40% - Énfasis5 3 2 2 2 3 3" xfId="15450" xr:uid="{00000000-0005-0000-0000-0000573C0000}"/>
    <cellStyle name="40% - Énfasis5 3 2 2 2 3 3 2" xfId="15451" xr:uid="{00000000-0005-0000-0000-0000583C0000}"/>
    <cellStyle name="40% - Énfasis5 3 2 2 2 3 3 2 2" xfId="15452" xr:uid="{00000000-0005-0000-0000-0000593C0000}"/>
    <cellStyle name="40% - Énfasis5 3 2 2 2 3 3 3" xfId="15453" xr:uid="{00000000-0005-0000-0000-00005A3C0000}"/>
    <cellStyle name="40% - Énfasis5 3 2 2 2 3 3 3 2" xfId="15454" xr:uid="{00000000-0005-0000-0000-00005B3C0000}"/>
    <cellStyle name="40% - Énfasis5 3 2 2 2 3 3 4" xfId="15455" xr:uid="{00000000-0005-0000-0000-00005C3C0000}"/>
    <cellStyle name="40% - Énfasis5 3 2 2 2 3 3 5" xfId="15456" xr:uid="{00000000-0005-0000-0000-00005D3C0000}"/>
    <cellStyle name="40% - Énfasis5 3 2 2 2 3 4" xfId="15457" xr:uid="{00000000-0005-0000-0000-00005E3C0000}"/>
    <cellStyle name="40% - Énfasis5 3 2 2 2 3 4 2" xfId="15458" xr:uid="{00000000-0005-0000-0000-00005F3C0000}"/>
    <cellStyle name="40% - Énfasis5 3 2 2 2 3 5" xfId="15459" xr:uid="{00000000-0005-0000-0000-0000603C0000}"/>
    <cellStyle name="40% - Énfasis5 3 2 2 2 3 5 2" xfId="15460" xr:uid="{00000000-0005-0000-0000-0000613C0000}"/>
    <cellStyle name="40% - Énfasis5 3 2 2 2 3 6" xfId="15461" xr:uid="{00000000-0005-0000-0000-0000623C0000}"/>
    <cellStyle name="40% - Énfasis5 3 2 2 2 3 7" xfId="15462" xr:uid="{00000000-0005-0000-0000-0000633C0000}"/>
    <cellStyle name="40% - Énfasis5 3 2 2 2 4" xfId="15463" xr:uid="{00000000-0005-0000-0000-0000643C0000}"/>
    <cellStyle name="40% - Énfasis5 3 2 2 2 4 2" xfId="15464" xr:uid="{00000000-0005-0000-0000-0000653C0000}"/>
    <cellStyle name="40% - Énfasis5 3 2 2 2 4 2 2" xfId="15465" xr:uid="{00000000-0005-0000-0000-0000663C0000}"/>
    <cellStyle name="40% - Énfasis5 3 2 2 2 4 2 2 2" xfId="15466" xr:uid="{00000000-0005-0000-0000-0000673C0000}"/>
    <cellStyle name="40% - Énfasis5 3 2 2 2 4 2 3" xfId="15467" xr:uid="{00000000-0005-0000-0000-0000683C0000}"/>
    <cellStyle name="40% - Énfasis5 3 2 2 2 4 2 4" xfId="15468" xr:uid="{00000000-0005-0000-0000-0000693C0000}"/>
    <cellStyle name="40% - Énfasis5 3 2 2 2 4 3" xfId="15469" xr:uid="{00000000-0005-0000-0000-00006A3C0000}"/>
    <cellStyle name="40% - Énfasis5 3 2 2 2 4 3 2" xfId="15470" xr:uid="{00000000-0005-0000-0000-00006B3C0000}"/>
    <cellStyle name="40% - Énfasis5 3 2 2 2 4 4" xfId="15471" xr:uid="{00000000-0005-0000-0000-00006C3C0000}"/>
    <cellStyle name="40% - Énfasis5 3 2 2 2 4 5" xfId="15472" xr:uid="{00000000-0005-0000-0000-00006D3C0000}"/>
    <cellStyle name="40% - Énfasis5 3 2 2 2 5" xfId="15473" xr:uid="{00000000-0005-0000-0000-00006E3C0000}"/>
    <cellStyle name="40% - Énfasis5 3 2 2 2 5 2" xfId="15474" xr:uid="{00000000-0005-0000-0000-00006F3C0000}"/>
    <cellStyle name="40% - Énfasis5 3 2 2 2 5 2 2" xfId="15475" xr:uid="{00000000-0005-0000-0000-0000703C0000}"/>
    <cellStyle name="40% - Énfasis5 3 2 2 2 5 3" xfId="15476" xr:uid="{00000000-0005-0000-0000-0000713C0000}"/>
    <cellStyle name="40% - Énfasis5 3 2 2 2 5 3 2" xfId="15477" xr:uid="{00000000-0005-0000-0000-0000723C0000}"/>
    <cellStyle name="40% - Énfasis5 3 2 2 2 5 4" xfId="15478" xr:uid="{00000000-0005-0000-0000-0000733C0000}"/>
    <cellStyle name="40% - Énfasis5 3 2 2 2 5 5" xfId="15479" xr:uid="{00000000-0005-0000-0000-0000743C0000}"/>
    <cellStyle name="40% - Énfasis5 3 2 2 2 6" xfId="15480" xr:uid="{00000000-0005-0000-0000-0000753C0000}"/>
    <cellStyle name="40% - Énfasis5 3 2 2 2 6 2" xfId="15481" xr:uid="{00000000-0005-0000-0000-0000763C0000}"/>
    <cellStyle name="40% - Énfasis5 3 2 2 2 7" xfId="15482" xr:uid="{00000000-0005-0000-0000-0000773C0000}"/>
    <cellStyle name="40% - Énfasis5 3 2 2 2 7 2" xfId="15483" xr:uid="{00000000-0005-0000-0000-0000783C0000}"/>
    <cellStyle name="40% - Énfasis5 3 2 2 2 8" xfId="15484" xr:uid="{00000000-0005-0000-0000-0000793C0000}"/>
    <cellStyle name="40% - Énfasis5 3 2 2 2 9" xfId="15485" xr:uid="{00000000-0005-0000-0000-00007A3C0000}"/>
    <cellStyle name="40% - Énfasis5 3 2 2 3" xfId="15486" xr:uid="{00000000-0005-0000-0000-00007B3C0000}"/>
    <cellStyle name="40% - Énfasis5 3 2 2 3 2" xfId="15487" xr:uid="{00000000-0005-0000-0000-00007C3C0000}"/>
    <cellStyle name="40% - Énfasis5 3 2 2 3 2 2" xfId="15488" xr:uid="{00000000-0005-0000-0000-00007D3C0000}"/>
    <cellStyle name="40% - Énfasis5 3 2 2 3 2 2 2" xfId="15489" xr:uid="{00000000-0005-0000-0000-00007E3C0000}"/>
    <cellStyle name="40% - Énfasis5 3 2 2 3 2 2 2 2" xfId="15490" xr:uid="{00000000-0005-0000-0000-00007F3C0000}"/>
    <cellStyle name="40% - Énfasis5 3 2 2 3 2 2 2 2 2" xfId="15491" xr:uid="{00000000-0005-0000-0000-0000803C0000}"/>
    <cellStyle name="40% - Énfasis5 3 2 2 3 2 2 2 3" xfId="15492" xr:uid="{00000000-0005-0000-0000-0000813C0000}"/>
    <cellStyle name="40% - Énfasis5 3 2 2 3 2 2 2 4" xfId="15493" xr:uid="{00000000-0005-0000-0000-0000823C0000}"/>
    <cellStyle name="40% - Énfasis5 3 2 2 3 2 2 3" xfId="15494" xr:uid="{00000000-0005-0000-0000-0000833C0000}"/>
    <cellStyle name="40% - Énfasis5 3 2 2 3 2 2 3 2" xfId="15495" xr:uid="{00000000-0005-0000-0000-0000843C0000}"/>
    <cellStyle name="40% - Énfasis5 3 2 2 3 2 2 4" xfId="15496" xr:uid="{00000000-0005-0000-0000-0000853C0000}"/>
    <cellStyle name="40% - Énfasis5 3 2 2 3 2 2 5" xfId="15497" xr:uid="{00000000-0005-0000-0000-0000863C0000}"/>
    <cellStyle name="40% - Énfasis5 3 2 2 3 2 3" xfId="15498" xr:uid="{00000000-0005-0000-0000-0000873C0000}"/>
    <cellStyle name="40% - Énfasis5 3 2 2 3 2 3 2" xfId="15499" xr:uid="{00000000-0005-0000-0000-0000883C0000}"/>
    <cellStyle name="40% - Énfasis5 3 2 2 3 2 3 2 2" xfId="15500" xr:uid="{00000000-0005-0000-0000-0000893C0000}"/>
    <cellStyle name="40% - Énfasis5 3 2 2 3 2 3 3" xfId="15501" xr:uid="{00000000-0005-0000-0000-00008A3C0000}"/>
    <cellStyle name="40% - Énfasis5 3 2 2 3 2 3 4" xfId="15502" xr:uid="{00000000-0005-0000-0000-00008B3C0000}"/>
    <cellStyle name="40% - Énfasis5 3 2 2 3 2 4" xfId="15503" xr:uid="{00000000-0005-0000-0000-00008C3C0000}"/>
    <cellStyle name="40% - Énfasis5 3 2 2 3 2 4 2" xfId="15504" xr:uid="{00000000-0005-0000-0000-00008D3C0000}"/>
    <cellStyle name="40% - Énfasis5 3 2 2 3 2 5" xfId="15505" xr:uid="{00000000-0005-0000-0000-00008E3C0000}"/>
    <cellStyle name="40% - Énfasis5 3 2 2 3 2 6" xfId="15506" xr:uid="{00000000-0005-0000-0000-00008F3C0000}"/>
    <cellStyle name="40% - Énfasis5 3 2 2 3 3" xfId="15507" xr:uid="{00000000-0005-0000-0000-0000903C0000}"/>
    <cellStyle name="40% - Énfasis5 3 2 2 3 3 2" xfId="15508" xr:uid="{00000000-0005-0000-0000-0000913C0000}"/>
    <cellStyle name="40% - Énfasis5 3 2 2 3 3 2 2" xfId="15509" xr:uid="{00000000-0005-0000-0000-0000923C0000}"/>
    <cellStyle name="40% - Énfasis5 3 2 2 3 3 2 2 2" xfId="15510" xr:uid="{00000000-0005-0000-0000-0000933C0000}"/>
    <cellStyle name="40% - Énfasis5 3 2 2 3 3 2 3" xfId="15511" xr:uid="{00000000-0005-0000-0000-0000943C0000}"/>
    <cellStyle name="40% - Énfasis5 3 2 2 3 3 2 4" xfId="15512" xr:uid="{00000000-0005-0000-0000-0000953C0000}"/>
    <cellStyle name="40% - Énfasis5 3 2 2 3 3 3" xfId="15513" xr:uid="{00000000-0005-0000-0000-0000963C0000}"/>
    <cellStyle name="40% - Énfasis5 3 2 2 3 3 3 2" xfId="15514" xr:uid="{00000000-0005-0000-0000-0000973C0000}"/>
    <cellStyle name="40% - Énfasis5 3 2 2 3 3 4" xfId="15515" xr:uid="{00000000-0005-0000-0000-0000983C0000}"/>
    <cellStyle name="40% - Énfasis5 3 2 2 3 3 5" xfId="15516" xr:uid="{00000000-0005-0000-0000-0000993C0000}"/>
    <cellStyle name="40% - Énfasis5 3 2 2 3 4" xfId="15517" xr:uid="{00000000-0005-0000-0000-00009A3C0000}"/>
    <cellStyle name="40% - Énfasis5 3 2 2 3 4 2" xfId="15518" xr:uid="{00000000-0005-0000-0000-00009B3C0000}"/>
    <cellStyle name="40% - Énfasis5 3 2 2 3 4 2 2" xfId="15519" xr:uid="{00000000-0005-0000-0000-00009C3C0000}"/>
    <cellStyle name="40% - Énfasis5 3 2 2 3 4 3" xfId="15520" xr:uid="{00000000-0005-0000-0000-00009D3C0000}"/>
    <cellStyle name="40% - Énfasis5 3 2 2 3 4 4" xfId="15521" xr:uid="{00000000-0005-0000-0000-00009E3C0000}"/>
    <cellStyle name="40% - Énfasis5 3 2 2 3 5" xfId="15522" xr:uid="{00000000-0005-0000-0000-00009F3C0000}"/>
    <cellStyle name="40% - Énfasis5 3 2 2 3 5 2" xfId="15523" xr:uid="{00000000-0005-0000-0000-0000A03C0000}"/>
    <cellStyle name="40% - Énfasis5 3 2 2 3 6" xfId="15524" xr:uid="{00000000-0005-0000-0000-0000A13C0000}"/>
    <cellStyle name="40% - Énfasis5 3 2 2 3 7" xfId="15525" xr:uid="{00000000-0005-0000-0000-0000A23C0000}"/>
    <cellStyle name="40% - Énfasis5 3 2 2 4" xfId="15526" xr:uid="{00000000-0005-0000-0000-0000A33C0000}"/>
    <cellStyle name="40% - Énfasis5 3 2 2 4 2" xfId="15527" xr:uid="{00000000-0005-0000-0000-0000A43C0000}"/>
    <cellStyle name="40% - Énfasis5 3 2 2 4 2 2" xfId="15528" xr:uid="{00000000-0005-0000-0000-0000A53C0000}"/>
    <cellStyle name="40% - Énfasis5 3 2 2 4 2 2 2" xfId="15529" xr:uid="{00000000-0005-0000-0000-0000A63C0000}"/>
    <cellStyle name="40% - Énfasis5 3 2 2 4 2 2 2 2" xfId="15530" xr:uid="{00000000-0005-0000-0000-0000A73C0000}"/>
    <cellStyle name="40% - Énfasis5 3 2 2 4 2 2 3" xfId="15531" xr:uid="{00000000-0005-0000-0000-0000A83C0000}"/>
    <cellStyle name="40% - Énfasis5 3 2 2 4 2 2 4" xfId="15532" xr:uid="{00000000-0005-0000-0000-0000A93C0000}"/>
    <cellStyle name="40% - Énfasis5 3 2 2 4 2 3" xfId="15533" xr:uid="{00000000-0005-0000-0000-0000AA3C0000}"/>
    <cellStyle name="40% - Énfasis5 3 2 2 4 2 3 2" xfId="15534" xr:uid="{00000000-0005-0000-0000-0000AB3C0000}"/>
    <cellStyle name="40% - Énfasis5 3 2 2 4 2 4" xfId="15535" xr:uid="{00000000-0005-0000-0000-0000AC3C0000}"/>
    <cellStyle name="40% - Énfasis5 3 2 2 4 2 5" xfId="15536" xr:uid="{00000000-0005-0000-0000-0000AD3C0000}"/>
    <cellStyle name="40% - Énfasis5 3 2 2 4 3" xfId="15537" xr:uid="{00000000-0005-0000-0000-0000AE3C0000}"/>
    <cellStyle name="40% - Énfasis5 3 2 2 4 3 2" xfId="15538" xr:uid="{00000000-0005-0000-0000-0000AF3C0000}"/>
    <cellStyle name="40% - Énfasis5 3 2 2 4 3 2 2" xfId="15539" xr:uid="{00000000-0005-0000-0000-0000B03C0000}"/>
    <cellStyle name="40% - Énfasis5 3 2 2 4 3 3" xfId="15540" xr:uid="{00000000-0005-0000-0000-0000B13C0000}"/>
    <cellStyle name="40% - Énfasis5 3 2 2 4 3 3 2" xfId="15541" xr:uid="{00000000-0005-0000-0000-0000B23C0000}"/>
    <cellStyle name="40% - Énfasis5 3 2 2 4 3 4" xfId="15542" xr:uid="{00000000-0005-0000-0000-0000B33C0000}"/>
    <cellStyle name="40% - Énfasis5 3 2 2 4 3 5" xfId="15543" xr:uid="{00000000-0005-0000-0000-0000B43C0000}"/>
    <cellStyle name="40% - Énfasis5 3 2 2 4 4" xfId="15544" xr:uid="{00000000-0005-0000-0000-0000B53C0000}"/>
    <cellStyle name="40% - Énfasis5 3 2 2 4 4 2" xfId="15545" xr:uid="{00000000-0005-0000-0000-0000B63C0000}"/>
    <cellStyle name="40% - Énfasis5 3 2 2 4 5" xfId="15546" xr:uid="{00000000-0005-0000-0000-0000B73C0000}"/>
    <cellStyle name="40% - Énfasis5 3 2 2 4 5 2" xfId="15547" xr:uid="{00000000-0005-0000-0000-0000B83C0000}"/>
    <cellStyle name="40% - Énfasis5 3 2 2 4 6" xfId="15548" xr:uid="{00000000-0005-0000-0000-0000B93C0000}"/>
    <cellStyle name="40% - Énfasis5 3 2 2 4 7" xfId="15549" xr:uid="{00000000-0005-0000-0000-0000BA3C0000}"/>
    <cellStyle name="40% - Énfasis5 3 2 2 5" xfId="15550" xr:uid="{00000000-0005-0000-0000-0000BB3C0000}"/>
    <cellStyle name="40% - Énfasis5 3 2 2 5 2" xfId="15551" xr:uid="{00000000-0005-0000-0000-0000BC3C0000}"/>
    <cellStyle name="40% - Énfasis5 3 2 2 5 2 2" xfId="15552" xr:uid="{00000000-0005-0000-0000-0000BD3C0000}"/>
    <cellStyle name="40% - Énfasis5 3 2 2 5 2 2 2" xfId="15553" xr:uid="{00000000-0005-0000-0000-0000BE3C0000}"/>
    <cellStyle name="40% - Énfasis5 3 2 2 5 2 3" xfId="15554" xr:uid="{00000000-0005-0000-0000-0000BF3C0000}"/>
    <cellStyle name="40% - Énfasis5 3 2 2 5 2 4" xfId="15555" xr:uid="{00000000-0005-0000-0000-0000C03C0000}"/>
    <cellStyle name="40% - Énfasis5 3 2 2 5 3" xfId="15556" xr:uid="{00000000-0005-0000-0000-0000C13C0000}"/>
    <cellStyle name="40% - Énfasis5 3 2 2 5 3 2" xfId="15557" xr:uid="{00000000-0005-0000-0000-0000C23C0000}"/>
    <cellStyle name="40% - Énfasis5 3 2 2 5 4" xfId="15558" xr:uid="{00000000-0005-0000-0000-0000C33C0000}"/>
    <cellStyle name="40% - Énfasis5 3 2 2 5 5" xfId="15559" xr:uid="{00000000-0005-0000-0000-0000C43C0000}"/>
    <cellStyle name="40% - Énfasis5 3 2 2 6" xfId="15560" xr:uid="{00000000-0005-0000-0000-0000C53C0000}"/>
    <cellStyle name="40% - Énfasis5 3 2 2 6 2" xfId="15561" xr:uid="{00000000-0005-0000-0000-0000C63C0000}"/>
    <cellStyle name="40% - Énfasis5 3 2 2 6 2 2" xfId="15562" xr:uid="{00000000-0005-0000-0000-0000C73C0000}"/>
    <cellStyle name="40% - Énfasis5 3 2 2 6 3" xfId="15563" xr:uid="{00000000-0005-0000-0000-0000C83C0000}"/>
    <cellStyle name="40% - Énfasis5 3 2 2 6 3 2" xfId="15564" xr:uid="{00000000-0005-0000-0000-0000C93C0000}"/>
    <cellStyle name="40% - Énfasis5 3 2 2 6 4" xfId="15565" xr:uid="{00000000-0005-0000-0000-0000CA3C0000}"/>
    <cellStyle name="40% - Énfasis5 3 2 2 6 5" xfId="15566" xr:uid="{00000000-0005-0000-0000-0000CB3C0000}"/>
    <cellStyle name="40% - Énfasis5 3 2 2 7" xfId="15567" xr:uid="{00000000-0005-0000-0000-0000CC3C0000}"/>
    <cellStyle name="40% - Énfasis5 3 2 2 7 2" xfId="15568" xr:uid="{00000000-0005-0000-0000-0000CD3C0000}"/>
    <cellStyle name="40% - Énfasis5 3 2 2 8" xfId="15569" xr:uid="{00000000-0005-0000-0000-0000CE3C0000}"/>
    <cellStyle name="40% - Énfasis5 3 2 2 8 2" xfId="15570" xr:uid="{00000000-0005-0000-0000-0000CF3C0000}"/>
    <cellStyle name="40% - Énfasis5 3 2 2 9" xfId="15571" xr:uid="{00000000-0005-0000-0000-0000D03C0000}"/>
    <cellStyle name="40% - Énfasis5 3 2 3" xfId="15572" xr:uid="{00000000-0005-0000-0000-0000D13C0000}"/>
    <cellStyle name="40% - Énfasis5 3 2 3 2" xfId="15573" xr:uid="{00000000-0005-0000-0000-0000D23C0000}"/>
    <cellStyle name="40% - Énfasis5 3 2 3 2 2" xfId="15574" xr:uid="{00000000-0005-0000-0000-0000D33C0000}"/>
    <cellStyle name="40% - Énfasis5 3 2 3 2 2 2" xfId="15575" xr:uid="{00000000-0005-0000-0000-0000D43C0000}"/>
    <cellStyle name="40% - Énfasis5 3 2 3 2 2 2 2" xfId="15576" xr:uid="{00000000-0005-0000-0000-0000D53C0000}"/>
    <cellStyle name="40% - Énfasis5 3 2 3 2 2 2 2 2" xfId="15577" xr:uid="{00000000-0005-0000-0000-0000D63C0000}"/>
    <cellStyle name="40% - Énfasis5 3 2 3 2 2 2 2 2 2" xfId="15578" xr:uid="{00000000-0005-0000-0000-0000D73C0000}"/>
    <cellStyle name="40% - Énfasis5 3 2 3 2 2 2 2 3" xfId="15579" xr:uid="{00000000-0005-0000-0000-0000D83C0000}"/>
    <cellStyle name="40% - Énfasis5 3 2 3 2 2 2 2 4" xfId="15580" xr:uid="{00000000-0005-0000-0000-0000D93C0000}"/>
    <cellStyle name="40% - Énfasis5 3 2 3 2 2 2 3" xfId="15581" xr:uid="{00000000-0005-0000-0000-0000DA3C0000}"/>
    <cellStyle name="40% - Énfasis5 3 2 3 2 2 2 3 2" xfId="15582" xr:uid="{00000000-0005-0000-0000-0000DB3C0000}"/>
    <cellStyle name="40% - Énfasis5 3 2 3 2 2 2 4" xfId="15583" xr:uid="{00000000-0005-0000-0000-0000DC3C0000}"/>
    <cellStyle name="40% - Énfasis5 3 2 3 2 2 2 5" xfId="15584" xr:uid="{00000000-0005-0000-0000-0000DD3C0000}"/>
    <cellStyle name="40% - Énfasis5 3 2 3 2 2 3" xfId="15585" xr:uid="{00000000-0005-0000-0000-0000DE3C0000}"/>
    <cellStyle name="40% - Énfasis5 3 2 3 2 2 3 2" xfId="15586" xr:uid="{00000000-0005-0000-0000-0000DF3C0000}"/>
    <cellStyle name="40% - Énfasis5 3 2 3 2 2 3 2 2" xfId="15587" xr:uid="{00000000-0005-0000-0000-0000E03C0000}"/>
    <cellStyle name="40% - Énfasis5 3 2 3 2 2 3 3" xfId="15588" xr:uid="{00000000-0005-0000-0000-0000E13C0000}"/>
    <cellStyle name="40% - Énfasis5 3 2 3 2 2 3 4" xfId="15589" xr:uid="{00000000-0005-0000-0000-0000E23C0000}"/>
    <cellStyle name="40% - Énfasis5 3 2 3 2 2 4" xfId="15590" xr:uid="{00000000-0005-0000-0000-0000E33C0000}"/>
    <cellStyle name="40% - Énfasis5 3 2 3 2 2 4 2" xfId="15591" xr:uid="{00000000-0005-0000-0000-0000E43C0000}"/>
    <cellStyle name="40% - Énfasis5 3 2 3 2 2 5" xfId="15592" xr:uid="{00000000-0005-0000-0000-0000E53C0000}"/>
    <cellStyle name="40% - Énfasis5 3 2 3 2 2 6" xfId="15593" xr:uid="{00000000-0005-0000-0000-0000E63C0000}"/>
    <cellStyle name="40% - Énfasis5 3 2 3 2 3" xfId="15594" xr:uid="{00000000-0005-0000-0000-0000E73C0000}"/>
    <cellStyle name="40% - Énfasis5 3 2 3 2 3 2" xfId="15595" xr:uid="{00000000-0005-0000-0000-0000E83C0000}"/>
    <cellStyle name="40% - Énfasis5 3 2 3 2 3 2 2" xfId="15596" xr:uid="{00000000-0005-0000-0000-0000E93C0000}"/>
    <cellStyle name="40% - Énfasis5 3 2 3 2 3 2 2 2" xfId="15597" xr:uid="{00000000-0005-0000-0000-0000EA3C0000}"/>
    <cellStyle name="40% - Énfasis5 3 2 3 2 3 2 3" xfId="15598" xr:uid="{00000000-0005-0000-0000-0000EB3C0000}"/>
    <cellStyle name="40% - Énfasis5 3 2 3 2 3 2 4" xfId="15599" xr:uid="{00000000-0005-0000-0000-0000EC3C0000}"/>
    <cellStyle name="40% - Énfasis5 3 2 3 2 3 3" xfId="15600" xr:uid="{00000000-0005-0000-0000-0000ED3C0000}"/>
    <cellStyle name="40% - Énfasis5 3 2 3 2 3 3 2" xfId="15601" xr:uid="{00000000-0005-0000-0000-0000EE3C0000}"/>
    <cellStyle name="40% - Énfasis5 3 2 3 2 3 4" xfId="15602" xr:uid="{00000000-0005-0000-0000-0000EF3C0000}"/>
    <cellStyle name="40% - Énfasis5 3 2 3 2 3 5" xfId="15603" xr:uid="{00000000-0005-0000-0000-0000F03C0000}"/>
    <cellStyle name="40% - Énfasis5 3 2 3 2 4" xfId="15604" xr:uid="{00000000-0005-0000-0000-0000F13C0000}"/>
    <cellStyle name="40% - Énfasis5 3 2 3 2 4 2" xfId="15605" xr:uid="{00000000-0005-0000-0000-0000F23C0000}"/>
    <cellStyle name="40% - Énfasis5 3 2 3 2 4 2 2" xfId="15606" xr:uid="{00000000-0005-0000-0000-0000F33C0000}"/>
    <cellStyle name="40% - Énfasis5 3 2 3 2 4 3" xfId="15607" xr:uid="{00000000-0005-0000-0000-0000F43C0000}"/>
    <cellStyle name="40% - Énfasis5 3 2 3 2 4 4" xfId="15608" xr:uid="{00000000-0005-0000-0000-0000F53C0000}"/>
    <cellStyle name="40% - Énfasis5 3 2 3 2 5" xfId="15609" xr:uid="{00000000-0005-0000-0000-0000F63C0000}"/>
    <cellStyle name="40% - Énfasis5 3 2 3 2 5 2" xfId="15610" xr:uid="{00000000-0005-0000-0000-0000F73C0000}"/>
    <cellStyle name="40% - Énfasis5 3 2 3 2 6" xfId="15611" xr:uid="{00000000-0005-0000-0000-0000F83C0000}"/>
    <cellStyle name="40% - Énfasis5 3 2 3 2 7" xfId="15612" xr:uid="{00000000-0005-0000-0000-0000F93C0000}"/>
    <cellStyle name="40% - Énfasis5 3 2 3 3" xfId="15613" xr:uid="{00000000-0005-0000-0000-0000FA3C0000}"/>
    <cellStyle name="40% - Énfasis5 3 2 3 3 2" xfId="15614" xr:uid="{00000000-0005-0000-0000-0000FB3C0000}"/>
    <cellStyle name="40% - Énfasis5 3 2 3 3 2 2" xfId="15615" xr:uid="{00000000-0005-0000-0000-0000FC3C0000}"/>
    <cellStyle name="40% - Énfasis5 3 2 3 3 2 2 2" xfId="15616" xr:uid="{00000000-0005-0000-0000-0000FD3C0000}"/>
    <cellStyle name="40% - Énfasis5 3 2 3 3 2 2 2 2" xfId="15617" xr:uid="{00000000-0005-0000-0000-0000FE3C0000}"/>
    <cellStyle name="40% - Énfasis5 3 2 3 3 2 2 3" xfId="15618" xr:uid="{00000000-0005-0000-0000-0000FF3C0000}"/>
    <cellStyle name="40% - Énfasis5 3 2 3 3 2 2 4" xfId="15619" xr:uid="{00000000-0005-0000-0000-0000003D0000}"/>
    <cellStyle name="40% - Énfasis5 3 2 3 3 2 3" xfId="15620" xr:uid="{00000000-0005-0000-0000-0000013D0000}"/>
    <cellStyle name="40% - Énfasis5 3 2 3 3 2 3 2" xfId="15621" xr:uid="{00000000-0005-0000-0000-0000023D0000}"/>
    <cellStyle name="40% - Énfasis5 3 2 3 3 2 4" xfId="15622" xr:uid="{00000000-0005-0000-0000-0000033D0000}"/>
    <cellStyle name="40% - Énfasis5 3 2 3 3 2 5" xfId="15623" xr:uid="{00000000-0005-0000-0000-0000043D0000}"/>
    <cellStyle name="40% - Énfasis5 3 2 3 3 3" xfId="15624" xr:uid="{00000000-0005-0000-0000-0000053D0000}"/>
    <cellStyle name="40% - Énfasis5 3 2 3 3 3 2" xfId="15625" xr:uid="{00000000-0005-0000-0000-0000063D0000}"/>
    <cellStyle name="40% - Énfasis5 3 2 3 3 3 2 2" xfId="15626" xr:uid="{00000000-0005-0000-0000-0000073D0000}"/>
    <cellStyle name="40% - Énfasis5 3 2 3 3 3 3" xfId="15627" xr:uid="{00000000-0005-0000-0000-0000083D0000}"/>
    <cellStyle name="40% - Énfasis5 3 2 3 3 3 3 2" xfId="15628" xr:uid="{00000000-0005-0000-0000-0000093D0000}"/>
    <cellStyle name="40% - Énfasis5 3 2 3 3 3 4" xfId="15629" xr:uid="{00000000-0005-0000-0000-00000A3D0000}"/>
    <cellStyle name="40% - Énfasis5 3 2 3 3 3 5" xfId="15630" xr:uid="{00000000-0005-0000-0000-00000B3D0000}"/>
    <cellStyle name="40% - Énfasis5 3 2 3 3 4" xfId="15631" xr:uid="{00000000-0005-0000-0000-00000C3D0000}"/>
    <cellStyle name="40% - Énfasis5 3 2 3 3 4 2" xfId="15632" xr:uid="{00000000-0005-0000-0000-00000D3D0000}"/>
    <cellStyle name="40% - Énfasis5 3 2 3 3 5" xfId="15633" xr:uid="{00000000-0005-0000-0000-00000E3D0000}"/>
    <cellStyle name="40% - Énfasis5 3 2 3 3 5 2" xfId="15634" xr:uid="{00000000-0005-0000-0000-00000F3D0000}"/>
    <cellStyle name="40% - Énfasis5 3 2 3 3 6" xfId="15635" xr:uid="{00000000-0005-0000-0000-0000103D0000}"/>
    <cellStyle name="40% - Énfasis5 3 2 3 3 7" xfId="15636" xr:uid="{00000000-0005-0000-0000-0000113D0000}"/>
    <cellStyle name="40% - Énfasis5 3 2 3 4" xfId="15637" xr:uid="{00000000-0005-0000-0000-0000123D0000}"/>
    <cellStyle name="40% - Énfasis5 3 2 3 4 2" xfId="15638" xr:uid="{00000000-0005-0000-0000-0000133D0000}"/>
    <cellStyle name="40% - Énfasis5 3 2 3 4 2 2" xfId="15639" xr:uid="{00000000-0005-0000-0000-0000143D0000}"/>
    <cellStyle name="40% - Énfasis5 3 2 3 4 2 2 2" xfId="15640" xr:uid="{00000000-0005-0000-0000-0000153D0000}"/>
    <cellStyle name="40% - Énfasis5 3 2 3 4 2 3" xfId="15641" xr:uid="{00000000-0005-0000-0000-0000163D0000}"/>
    <cellStyle name="40% - Énfasis5 3 2 3 4 2 4" xfId="15642" xr:uid="{00000000-0005-0000-0000-0000173D0000}"/>
    <cellStyle name="40% - Énfasis5 3 2 3 4 3" xfId="15643" xr:uid="{00000000-0005-0000-0000-0000183D0000}"/>
    <cellStyle name="40% - Énfasis5 3 2 3 4 3 2" xfId="15644" xr:uid="{00000000-0005-0000-0000-0000193D0000}"/>
    <cellStyle name="40% - Énfasis5 3 2 3 4 4" xfId="15645" xr:uid="{00000000-0005-0000-0000-00001A3D0000}"/>
    <cellStyle name="40% - Énfasis5 3 2 3 4 5" xfId="15646" xr:uid="{00000000-0005-0000-0000-00001B3D0000}"/>
    <cellStyle name="40% - Énfasis5 3 2 3 5" xfId="15647" xr:uid="{00000000-0005-0000-0000-00001C3D0000}"/>
    <cellStyle name="40% - Énfasis5 3 2 3 5 2" xfId="15648" xr:uid="{00000000-0005-0000-0000-00001D3D0000}"/>
    <cellStyle name="40% - Énfasis5 3 2 3 5 2 2" xfId="15649" xr:uid="{00000000-0005-0000-0000-00001E3D0000}"/>
    <cellStyle name="40% - Énfasis5 3 2 3 5 3" xfId="15650" xr:uid="{00000000-0005-0000-0000-00001F3D0000}"/>
    <cellStyle name="40% - Énfasis5 3 2 3 5 3 2" xfId="15651" xr:uid="{00000000-0005-0000-0000-0000203D0000}"/>
    <cellStyle name="40% - Énfasis5 3 2 3 5 4" xfId="15652" xr:uid="{00000000-0005-0000-0000-0000213D0000}"/>
    <cellStyle name="40% - Énfasis5 3 2 3 5 5" xfId="15653" xr:uid="{00000000-0005-0000-0000-0000223D0000}"/>
    <cellStyle name="40% - Énfasis5 3 2 3 6" xfId="15654" xr:uid="{00000000-0005-0000-0000-0000233D0000}"/>
    <cellStyle name="40% - Énfasis5 3 2 3 6 2" xfId="15655" xr:uid="{00000000-0005-0000-0000-0000243D0000}"/>
    <cellStyle name="40% - Énfasis5 3 2 3 7" xfId="15656" xr:uid="{00000000-0005-0000-0000-0000253D0000}"/>
    <cellStyle name="40% - Énfasis5 3 2 3 7 2" xfId="15657" xr:uid="{00000000-0005-0000-0000-0000263D0000}"/>
    <cellStyle name="40% - Énfasis5 3 2 3 8" xfId="15658" xr:uid="{00000000-0005-0000-0000-0000273D0000}"/>
    <cellStyle name="40% - Énfasis5 3 2 3 9" xfId="15659" xr:uid="{00000000-0005-0000-0000-0000283D0000}"/>
    <cellStyle name="40% - Énfasis5 3 2 4" xfId="15660" xr:uid="{00000000-0005-0000-0000-0000293D0000}"/>
    <cellStyle name="40% - Énfasis5 3 2 4 2" xfId="15661" xr:uid="{00000000-0005-0000-0000-00002A3D0000}"/>
    <cellStyle name="40% - Énfasis5 3 2 4 2 2" xfId="15662" xr:uid="{00000000-0005-0000-0000-00002B3D0000}"/>
    <cellStyle name="40% - Énfasis5 3 2 4 2 2 2" xfId="15663" xr:uid="{00000000-0005-0000-0000-00002C3D0000}"/>
    <cellStyle name="40% - Énfasis5 3 2 4 2 2 2 2" xfId="15664" xr:uid="{00000000-0005-0000-0000-00002D3D0000}"/>
    <cellStyle name="40% - Énfasis5 3 2 4 2 2 2 2 2" xfId="15665" xr:uid="{00000000-0005-0000-0000-00002E3D0000}"/>
    <cellStyle name="40% - Énfasis5 3 2 4 2 2 2 3" xfId="15666" xr:uid="{00000000-0005-0000-0000-00002F3D0000}"/>
    <cellStyle name="40% - Énfasis5 3 2 4 2 2 2 4" xfId="15667" xr:uid="{00000000-0005-0000-0000-0000303D0000}"/>
    <cellStyle name="40% - Énfasis5 3 2 4 2 2 3" xfId="15668" xr:uid="{00000000-0005-0000-0000-0000313D0000}"/>
    <cellStyle name="40% - Énfasis5 3 2 4 2 2 3 2" xfId="15669" xr:uid="{00000000-0005-0000-0000-0000323D0000}"/>
    <cellStyle name="40% - Énfasis5 3 2 4 2 2 4" xfId="15670" xr:uid="{00000000-0005-0000-0000-0000333D0000}"/>
    <cellStyle name="40% - Énfasis5 3 2 4 2 2 5" xfId="15671" xr:uid="{00000000-0005-0000-0000-0000343D0000}"/>
    <cellStyle name="40% - Énfasis5 3 2 4 2 3" xfId="15672" xr:uid="{00000000-0005-0000-0000-0000353D0000}"/>
    <cellStyle name="40% - Énfasis5 3 2 4 2 3 2" xfId="15673" xr:uid="{00000000-0005-0000-0000-0000363D0000}"/>
    <cellStyle name="40% - Énfasis5 3 2 4 2 3 2 2" xfId="15674" xr:uid="{00000000-0005-0000-0000-0000373D0000}"/>
    <cellStyle name="40% - Énfasis5 3 2 4 2 3 3" xfId="15675" xr:uid="{00000000-0005-0000-0000-0000383D0000}"/>
    <cellStyle name="40% - Énfasis5 3 2 4 2 3 3 2" xfId="15676" xr:uid="{00000000-0005-0000-0000-0000393D0000}"/>
    <cellStyle name="40% - Énfasis5 3 2 4 2 3 4" xfId="15677" xr:uid="{00000000-0005-0000-0000-00003A3D0000}"/>
    <cellStyle name="40% - Énfasis5 3 2 4 2 3 5" xfId="15678" xr:uid="{00000000-0005-0000-0000-00003B3D0000}"/>
    <cellStyle name="40% - Énfasis5 3 2 4 2 4" xfId="15679" xr:uid="{00000000-0005-0000-0000-00003C3D0000}"/>
    <cellStyle name="40% - Énfasis5 3 2 4 2 4 2" xfId="15680" xr:uid="{00000000-0005-0000-0000-00003D3D0000}"/>
    <cellStyle name="40% - Énfasis5 3 2 4 2 5" xfId="15681" xr:uid="{00000000-0005-0000-0000-00003E3D0000}"/>
    <cellStyle name="40% - Énfasis5 3 2 4 2 5 2" xfId="15682" xr:uid="{00000000-0005-0000-0000-00003F3D0000}"/>
    <cellStyle name="40% - Énfasis5 3 2 4 2 6" xfId="15683" xr:uid="{00000000-0005-0000-0000-0000403D0000}"/>
    <cellStyle name="40% - Énfasis5 3 2 4 2 7" xfId="15684" xr:uid="{00000000-0005-0000-0000-0000413D0000}"/>
    <cellStyle name="40% - Énfasis5 3 2 4 3" xfId="15685" xr:uid="{00000000-0005-0000-0000-0000423D0000}"/>
    <cellStyle name="40% - Énfasis5 3 2 4 3 2" xfId="15686" xr:uid="{00000000-0005-0000-0000-0000433D0000}"/>
    <cellStyle name="40% - Énfasis5 3 2 4 3 2 2" xfId="15687" xr:uid="{00000000-0005-0000-0000-0000443D0000}"/>
    <cellStyle name="40% - Énfasis5 3 2 4 3 2 2 2" xfId="15688" xr:uid="{00000000-0005-0000-0000-0000453D0000}"/>
    <cellStyle name="40% - Énfasis5 3 2 4 3 2 3" xfId="15689" xr:uid="{00000000-0005-0000-0000-0000463D0000}"/>
    <cellStyle name="40% - Énfasis5 3 2 4 3 2 4" xfId="15690" xr:uid="{00000000-0005-0000-0000-0000473D0000}"/>
    <cellStyle name="40% - Énfasis5 3 2 4 3 3" xfId="15691" xr:uid="{00000000-0005-0000-0000-0000483D0000}"/>
    <cellStyle name="40% - Énfasis5 3 2 4 3 3 2" xfId="15692" xr:uid="{00000000-0005-0000-0000-0000493D0000}"/>
    <cellStyle name="40% - Énfasis5 3 2 4 3 4" xfId="15693" xr:uid="{00000000-0005-0000-0000-00004A3D0000}"/>
    <cellStyle name="40% - Énfasis5 3 2 4 3 5" xfId="15694" xr:uid="{00000000-0005-0000-0000-00004B3D0000}"/>
    <cellStyle name="40% - Énfasis5 3 2 4 4" xfId="15695" xr:uid="{00000000-0005-0000-0000-00004C3D0000}"/>
    <cellStyle name="40% - Énfasis5 3 2 4 4 2" xfId="15696" xr:uid="{00000000-0005-0000-0000-00004D3D0000}"/>
    <cellStyle name="40% - Énfasis5 3 2 4 4 2 2" xfId="15697" xr:uid="{00000000-0005-0000-0000-00004E3D0000}"/>
    <cellStyle name="40% - Énfasis5 3 2 4 4 3" xfId="15698" xr:uid="{00000000-0005-0000-0000-00004F3D0000}"/>
    <cellStyle name="40% - Énfasis5 3 2 4 4 3 2" xfId="15699" xr:uid="{00000000-0005-0000-0000-0000503D0000}"/>
    <cellStyle name="40% - Énfasis5 3 2 4 4 4" xfId="15700" xr:uid="{00000000-0005-0000-0000-0000513D0000}"/>
    <cellStyle name="40% - Énfasis5 3 2 4 4 5" xfId="15701" xr:uid="{00000000-0005-0000-0000-0000523D0000}"/>
    <cellStyle name="40% - Énfasis5 3 2 4 5" xfId="15702" xr:uid="{00000000-0005-0000-0000-0000533D0000}"/>
    <cellStyle name="40% - Énfasis5 3 2 4 5 2" xfId="15703" xr:uid="{00000000-0005-0000-0000-0000543D0000}"/>
    <cellStyle name="40% - Énfasis5 3 2 4 6" xfId="15704" xr:uid="{00000000-0005-0000-0000-0000553D0000}"/>
    <cellStyle name="40% - Énfasis5 3 2 4 6 2" xfId="15705" xr:uid="{00000000-0005-0000-0000-0000563D0000}"/>
    <cellStyle name="40% - Énfasis5 3 2 4 7" xfId="15706" xr:uid="{00000000-0005-0000-0000-0000573D0000}"/>
    <cellStyle name="40% - Énfasis5 3 2 4 8" xfId="15707" xr:uid="{00000000-0005-0000-0000-0000583D0000}"/>
    <cellStyle name="40% - Énfasis5 3 2 5" xfId="15708" xr:uid="{00000000-0005-0000-0000-0000593D0000}"/>
    <cellStyle name="40% - Énfasis5 3 2 5 2" xfId="15709" xr:uid="{00000000-0005-0000-0000-00005A3D0000}"/>
    <cellStyle name="40% - Énfasis5 3 2 5 2 2" xfId="15710" xr:uid="{00000000-0005-0000-0000-00005B3D0000}"/>
    <cellStyle name="40% - Énfasis5 3 2 5 2 2 2" xfId="15711" xr:uid="{00000000-0005-0000-0000-00005C3D0000}"/>
    <cellStyle name="40% - Énfasis5 3 2 5 2 2 2 2" xfId="15712" xr:uid="{00000000-0005-0000-0000-00005D3D0000}"/>
    <cellStyle name="40% - Énfasis5 3 2 5 2 2 3" xfId="15713" xr:uid="{00000000-0005-0000-0000-00005E3D0000}"/>
    <cellStyle name="40% - Énfasis5 3 2 5 2 2 4" xfId="15714" xr:uid="{00000000-0005-0000-0000-00005F3D0000}"/>
    <cellStyle name="40% - Énfasis5 3 2 5 2 3" xfId="15715" xr:uid="{00000000-0005-0000-0000-0000603D0000}"/>
    <cellStyle name="40% - Énfasis5 3 2 5 2 3 2" xfId="15716" xr:uid="{00000000-0005-0000-0000-0000613D0000}"/>
    <cellStyle name="40% - Énfasis5 3 2 5 2 4" xfId="15717" xr:uid="{00000000-0005-0000-0000-0000623D0000}"/>
    <cellStyle name="40% - Énfasis5 3 2 5 2 5" xfId="15718" xr:uid="{00000000-0005-0000-0000-0000633D0000}"/>
    <cellStyle name="40% - Énfasis5 3 2 5 3" xfId="15719" xr:uid="{00000000-0005-0000-0000-0000643D0000}"/>
    <cellStyle name="40% - Énfasis5 3 2 5 3 2" xfId="15720" xr:uid="{00000000-0005-0000-0000-0000653D0000}"/>
    <cellStyle name="40% - Énfasis5 3 2 5 3 2 2" xfId="15721" xr:uid="{00000000-0005-0000-0000-0000663D0000}"/>
    <cellStyle name="40% - Énfasis5 3 2 5 3 3" xfId="15722" xr:uid="{00000000-0005-0000-0000-0000673D0000}"/>
    <cellStyle name="40% - Énfasis5 3 2 5 3 3 2" xfId="15723" xr:uid="{00000000-0005-0000-0000-0000683D0000}"/>
    <cellStyle name="40% - Énfasis5 3 2 5 3 4" xfId="15724" xr:uid="{00000000-0005-0000-0000-0000693D0000}"/>
    <cellStyle name="40% - Énfasis5 3 2 5 3 5" xfId="15725" xr:uid="{00000000-0005-0000-0000-00006A3D0000}"/>
    <cellStyle name="40% - Énfasis5 3 2 5 4" xfId="15726" xr:uid="{00000000-0005-0000-0000-00006B3D0000}"/>
    <cellStyle name="40% - Énfasis5 3 2 5 4 2" xfId="15727" xr:uid="{00000000-0005-0000-0000-00006C3D0000}"/>
    <cellStyle name="40% - Énfasis5 3 2 5 5" xfId="15728" xr:uid="{00000000-0005-0000-0000-00006D3D0000}"/>
    <cellStyle name="40% - Énfasis5 3 2 5 5 2" xfId="15729" xr:uid="{00000000-0005-0000-0000-00006E3D0000}"/>
    <cellStyle name="40% - Énfasis5 3 2 5 6" xfId="15730" xr:uid="{00000000-0005-0000-0000-00006F3D0000}"/>
    <cellStyle name="40% - Énfasis5 3 2 5 7" xfId="15731" xr:uid="{00000000-0005-0000-0000-0000703D0000}"/>
    <cellStyle name="40% - Énfasis5 3 2 6" xfId="15732" xr:uid="{00000000-0005-0000-0000-0000713D0000}"/>
    <cellStyle name="40% - Énfasis5 3 2 6 2" xfId="15733" xr:uid="{00000000-0005-0000-0000-0000723D0000}"/>
    <cellStyle name="40% - Énfasis5 3 2 6 2 2" xfId="15734" xr:uid="{00000000-0005-0000-0000-0000733D0000}"/>
    <cellStyle name="40% - Énfasis5 3 2 6 2 2 2" xfId="15735" xr:uid="{00000000-0005-0000-0000-0000743D0000}"/>
    <cellStyle name="40% - Énfasis5 3 2 6 2 3" xfId="15736" xr:uid="{00000000-0005-0000-0000-0000753D0000}"/>
    <cellStyle name="40% - Énfasis5 3 2 6 2 4" xfId="15737" xr:uid="{00000000-0005-0000-0000-0000763D0000}"/>
    <cellStyle name="40% - Énfasis5 3 2 6 3" xfId="15738" xr:uid="{00000000-0005-0000-0000-0000773D0000}"/>
    <cellStyle name="40% - Énfasis5 3 2 6 3 2" xfId="15739" xr:uid="{00000000-0005-0000-0000-0000783D0000}"/>
    <cellStyle name="40% - Énfasis5 3 2 6 4" xfId="15740" xr:uid="{00000000-0005-0000-0000-0000793D0000}"/>
    <cellStyle name="40% - Énfasis5 3 2 6 5" xfId="15741" xr:uid="{00000000-0005-0000-0000-00007A3D0000}"/>
    <cellStyle name="40% - Énfasis5 3 2 7" xfId="15742" xr:uid="{00000000-0005-0000-0000-00007B3D0000}"/>
    <cellStyle name="40% - Énfasis5 3 2 7 2" xfId="15743" xr:uid="{00000000-0005-0000-0000-00007C3D0000}"/>
    <cellStyle name="40% - Énfasis5 3 2 7 2 2" xfId="15744" xr:uid="{00000000-0005-0000-0000-00007D3D0000}"/>
    <cellStyle name="40% - Énfasis5 3 2 7 3" xfId="15745" xr:uid="{00000000-0005-0000-0000-00007E3D0000}"/>
    <cellStyle name="40% - Énfasis5 3 2 7 3 2" xfId="15746" xr:uid="{00000000-0005-0000-0000-00007F3D0000}"/>
    <cellStyle name="40% - Énfasis5 3 2 7 4" xfId="15747" xr:uid="{00000000-0005-0000-0000-0000803D0000}"/>
    <cellStyle name="40% - Énfasis5 3 2 7 5" xfId="15748" xr:uid="{00000000-0005-0000-0000-0000813D0000}"/>
    <cellStyle name="40% - Énfasis5 3 2 8" xfId="15749" xr:uid="{00000000-0005-0000-0000-0000823D0000}"/>
    <cellStyle name="40% - Énfasis5 3 2 8 2" xfId="15750" xr:uid="{00000000-0005-0000-0000-0000833D0000}"/>
    <cellStyle name="40% - Énfasis5 3 2 9" xfId="15751" xr:uid="{00000000-0005-0000-0000-0000843D0000}"/>
    <cellStyle name="40% - Énfasis5 3 2 9 2" xfId="15752" xr:uid="{00000000-0005-0000-0000-0000853D0000}"/>
    <cellStyle name="40% - Énfasis5 3 3" xfId="15753" xr:uid="{00000000-0005-0000-0000-0000863D0000}"/>
    <cellStyle name="40% - Énfasis5 3 3 10" xfId="15754" xr:uid="{00000000-0005-0000-0000-0000873D0000}"/>
    <cellStyle name="40% - Énfasis5 3 3 2" xfId="15755" xr:uid="{00000000-0005-0000-0000-0000883D0000}"/>
    <cellStyle name="40% - Énfasis5 3 3 2 2" xfId="15756" xr:uid="{00000000-0005-0000-0000-0000893D0000}"/>
    <cellStyle name="40% - Énfasis5 3 3 2 2 2" xfId="15757" xr:uid="{00000000-0005-0000-0000-00008A3D0000}"/>
    <cellStyle name="40% - Énfasis5 3 3 2 2 2 2" xfId="15758" xr:uid="{00000000-0005-0000-0000-00008B3D0000}"/>
    <cellStyle name="40% - Énfasis5 3 3 2 2 2 2 2" xfId="15759" xr:uid="{00000000-0005-0000-0000-00008C3D0000}"/>
    <cellStyle name="40% - Énfasis5 3 3 2 2 2 2 2 2" xfId="15760" xr:uid="{00000000-0005-0000-0000-00008D3D0000}"/>
    <cellStyle name="40% - Énfasis5 3 3 2 2 2 2 2 2 2" xfId="15761" xr:uid="{00000000-0005-0000-0000-00008E3D0000}"/>
    <cellStyle name="40% - Énfasis5 3 3 2 2 2 2 2 3" xfId="15762" xr:uid="{00000000-0005-0000-0000-00008F3D0000}"/>
    <cellStyle name="40% - Énfasis5 3 3 2 2 2 2 2 4" xfId="15763" xr:uid="{00000000-0005-0000-0000-0000903D0000}"/>
    <cellStyle name="40% - Énfasis5 3 3 2 2 2 2 3" xfId="15764" xr:uid="{00000000-0005-0000-0000-0000913D0000}"/>
    <cellStyle name="40% - Énfasis5 3 3 2 2 2 2 3 2" xfId="15765" xr:uid="{00000000-0005-0000-0000-0000923D0000}"/>
    <cellStyle name="40% - Énfasis5 3 3 2 2 2 2 4" xfId="15766" xr:uid="{00000000-0005-0000-0000-0000933D0000}"/>
    <cellStyle name="40% - Énfasis5 3 3 2 2 2 2 5" xfId="15767" xr:uid="{00000000-0005-0000-0000-0000943D0000}"/>
    <cellStyle name="40% - Énfasis5 3 3 2 2 2 3" xfId="15768" xr:uid="{00000000-0005-0000-0000-0000953D0000}"/>
    <cellStyle name="40% - Énfasis5 3 3 2 2 2 3 2" xfId="15769" xr:uid="{00000000-0005-0000-0000-0000963D0000}"/>
    <cellStyle name="40% - Énfasis5 3 3 2 2 2 3 2 2" xfId="15770" xr:uid="{00000000-0005-0000-0000-0000973D0000}"/>
    <cellStyle name="40% - Énfasis5 3 3 2 2 2 3 3" xfId="15771" xr:uid="{00000000-0005-0000-0000-0000983D0000}"/>
    <cellStyle name="40% - Énfasis5 3 3 2 2 2 3 4" xfId="15772" xr:uid="{00000000-0005-0000-0000-0000993D0000}"/>
    <cellStyle name="40% - Énfasis5 3 3 2 2 2 4" xfId="15773" xr:uid="{00000000-0005-0000-0000-00009A3D0000}"/>
    <cellStyle name="40% - Énfasis5 3 3 2 2 2 4 2" xfId="15774" xr:uid="{00000000-0005-0000-0000-00009B3D0000}"/>
    <cellStyle name="40% - Énfasis5 3 3 2 2 2 5" xfId="15775" xr:uid="{00000000-0005-0000-0000-00009C3D0000}"/>
    <cellStyle name="40% - Énfasis5 3 3 2 2 2 6" xfId="15776" xr:uid="{00000000-0005-0000-0000-00009D3D0000}"/>
    <cellStyle name="40% - Énfasis5 3 3 2 2 3" xfId="15777" xr:uid="{00000000-0005-0000-0000-00009E3D0000}"/>
    <cellStyle name="40% - Énfasis5 3 3 2 2 3 2" xfId="15778" xr:uid="{00000000-0005-0000-0000-00009F3D0000}"/>
    <cellStyle name="40% - Énfasis5 3 3 2 2 3 2 2" xfId="15779" xr:uid="{00000000-0005-0000-0000-0000A03D0000}"/>
    <cellStyle name="40% - Énfasis5 3 3 2 2 3 2 2 2" xfId="15780" xr:uid="{00000000-0005-0000-0000-0000A13D0000}"/>
    <cellStyle name="40% - Énfasis5 3 3 2 2 3 2 3" xfId="15781" xr:uid="{00000000-0005-0000-0000-0000A23D0000}"/>
    <cellStyle name="40% - Énfasis5 3 3 2 2 3 2 4" xfId="15782" xr:uid="{00000000-0005-0000-0000-0000A33D0000}"/>
    <cellStyle name="40% - Énfasis5 3 3 2 2 3 3" xfId="15783" xr:uid="{00000000-0005-0000-0000-0000A43D0000}"/>
    <cellStyle name="40% - Énfasis5 3 3 2 2 3 3 2" xfId="15784" xr:uid="{00000000-0005-0000-0000-0000A53D0000}"/>
    <cellStyle name="40% - Énfasis5 3 3 2 2 3 4" xfId="15785" xr:uid="{00000000-0005-0000-0000-0000A63D0000}"/>
    <cellStyle name="40% - Énfasis5 3 3 2 2 3 5" xfId="15786" xr:uid="{00000000-0005-0000-0000-0000A73D0000}"/>
    <cellStyle name="40% - Énfasis5 3 3 2 2 4" xfId="15787" xr:uid="{00000000-0005-0000-0000-0000A83D0000}"/>
    <cellStyle name="40% - Énfasis5 3 3 2 2 4 2" xfId="15788" xr:uid="{00000000-0005-0000-0000-0000A93D0000}"/>
    <cellStyle name="40% - Énfasis5 3 3 2 2 4 2 2" xfId="15789" xr:uid="{00000000-0005-0000-0000-0000AA3D0000}"/>
    <cellStyle name="40% - Énfasis5 3 3 2 2 4 3" xfId="15790" xr:uid="{00000000-0005-0000-0000-0000AB3D0000}"/>
    <cellStyle name="40% - Énfasis5 3 3 2 2 4 4" xfId="15791" xr:uid="{00000000-0005-0000-0000-0000AC3D0000}"/>
    <cellStyle name="40% - Énfasis5 3 3 2 2 5" xfId="15792" xr:uid="{00000000-0005-0000-0000-0000AD3D0000}"/>
    <cellStyle name="40% - Énfasis5 3 3 2 2 5 2" xfId="15793" xr:uid="{00000000-0005-0000-0000-0000AE3D0000}"/>
    <cellStyle name="40% - Énfasis5 3 3 2 2 6" xfId="15794" xr:uid="{00000000-0005-0000-0000-0000AF3D0000}"/>
    <cellStyle name="40% - Énfasis5 3 3 2 2 7" xfId="15795" xr:uid="{00000000-0005-0000-0000-0000B03D0000}"/>
    <cellStyle name="40% - Énfasis5 3 3 2 3" xfId="15796" xr:uid="{00000000-0005-0000-0000-0000B13D0000}"/>
    <cellStyle name="40% - Énfasis5 3 3 2 3 2" xfId="15797" xr:uid="{00000000-0005-0000-0000-0000B23D0000}"/>
    <cellStyle name="40% - Énfasis5 3 3 2 3 2 2" xfId="15798" xr:uid="{00000000-0005-0000-0000-0000B33D0000}"/>
    <cellStyle name="40% - Énfasis5 3 3 2 3 2 2 2" xfId="15799" xr:uid="{00000000-0005-0000-0000-0000B43D0000}"/>
    <cellStyle name="40% - Énfasis5 3 3 2 3 2 2 2 2" xfId="15800" xr:uid="{00000000-0005-0000-0000-0000B53D0000}"/>
    <cellStyle name="40% - Énfasis5 3 3 2 3 2 2 3" xfId="15801" xr:uid="{00000000-0005-0000-0000-0000B63D0000}"/>
    <cellStyle name="40% - Énfasis5 3 3 2 3 2 2 4" xfId="15802" xr:uid="{00000000-0005-0000-0000-0000B73D0000}"/>
    <cellStyle name="40% - Énfasis5 3 3 2 3 2 3" xfId="15803" xr:uid="{00000000-0005-0000-0000-0000B83D0000}"/>
    <cellStyle name="40% - Énfasis5 3 3 2 3 2 3 2" xfId="15804" xr:uid="{00000000-0005-0000-0000-0000B93D0000}"/>
    <cellStyle name="40% - Énfasis5 3 3 2 3 2 4" xfId="15805" xr:uid="{00000000-0005-0000-0000-0000BA3D0000}"/>
    <cellStyle name="40% - Énfasis5 3 3 2 3 2 5" xfId="15806" xr:uid="{00000000-0005-0000-0000-0000BB3D0000}"/>
    <cellStyle name="40% - Énfasis5 3 3 2 3 3" xfId="15807" xr:uid="{00000000-0005-0000-0000-0000BC3D0000}"/>
    <cellStyle name="40% - Énfasis5 3 3 2 3 3 2" xfId="15808" xr:uid="{00000000-0005-0000-0000-0000BD3D0000}"/>
    <cellStyle name="40% - Énfasis5 3 3 2 3 3 2 2" xfId="15809" xr:uid="{00000000-0005-0000-0000-0000BE3D0000}"/>
    <cellStyle name="40% - Énfasis5 3 3 2 3 3 3" xfId="15810" xr:uid="{00000000-0005-0000-0000-0000BF3D0000}"/>
    <cellStyle name="40% - Énfasis5 3 3 2 3 3 3 2" xfId="15811" xr:uid="{00000000-0005-0000-0000-0000C03D0000}"/>
    <cellStyle name="40% - Énfasis5 3 3 2 3 3 4" xfId="15812" xr:uid="{00000000-0005-0000-0000-0000C13D0000}"/>
    <cellStyle name="40% - Énfasis5 3 3 2 3 3 5" xfId="15813" xr:uid="{00000000-0005-0000-0000-0000C23D0000}"/>
    <cellStyle name="40% - Énfasis5 3 3 2 3 4" xfId="15814" xr:uid="{00000000-0005-0000-0000-0000C33D0000}"/>
    <cellStyle name="40% - Énfasis5 3 3 2 3 4 2" xfId="15815" xr:uid="{00000000-0005-0000-0000-0000C43D0000}"/>
    <cellStyle name="40% - Énfasis5 3 3 2 3 5" xfId="15816" xr:uid="{00000000-0005-0000-0000-0000C53D0000}"/>
    <cellStyle name="40% - Énfasis5 3 3 2 3 5 2" xfId="15817" xr:uid="{00000000-0005-0000-0000-0000C63D0000}"/>
    <cellStyle name="40% - Énfasis5 3 3 2 3 6" xfId="15818" xr:uid="{00000000-0005-0000-0000-0000C73D0000}"/>
    <cellStyle name="40% - Énfasis5 3 3 2 3 7" xfId="15819" xr:uid="{00000000-0005-0000-0000-0000C83D0000}"/>
    <cellStyle name="40% - Énfasis5 3 3 2 4" xfId="15820" xr:uid="{00000000-0005-0000-0000-0000C93D0000}"/>
    <cellStyle name="40% - Énfasis5 3 3 2 4 2" xfId="15821" xr:uid="{00000000-0005-0000-0000-0000CA3D0000}"/>
    <cellStyle name="40% - Énfasis5 3 3 2 4 2 2" xfId="15822" xr:uid="{00000000-0005-0000-0000-0000CB3D0000}"/>
    <cellStyle name="40% - Énfasis5 3 3 2 4 2 2 2" xfId="15823" xr:uid="{00000000-0005-0000-0000-0000CC3D0000}"/>
    <cellStyle name="40% - Énfasis5 3 3 2 4 2 3" xfId="15824" xr:uid="{00000000-0005-0000-0000-0000CD3D0000}"/>
    <cellStyle name="40% - Énfasis5 3 3 2 4 2 4" xfId="15825" xr:uid="{00000000-0005-0000-0000-0000CE3D0000}"/>
    <cellStyle name="40% - Énfasis5 3 3 2 4 3" xfId="15826" xr:uid="{00000000-0005-0000-0000-0000CF3D0000}"/>
    <cellStyle name="40% - Énfasis5 3 3 2 4 3 2" xfId="15827" xr:uid="{00000000-0005-0000-0000-0000D03D0000}"/>
    <cellStyle name="40% - Énfasis5 3 3 2 4 4" xfId="15828" xr:uid="{00000000-0005-0000-0000-0000D13D0000}"/>
    <cellStyle name="40% - Énfasis5 3 3 2 4 5" xfId="15829" xr:uid="{00000000-0005-0000-0000-0000D23D0000}"/>
    <cellStyle name="40% - Énfasis5 3 3 2 5" xfId="15830" xr:uid="{00000000-0005-0000-0000-0000D33D0000}"/>
    <cellStyle name="40% - Énfasis5 3 3 2 5 2" xfId="15831" xr:uid="{00000000-0005-0000-0000-0000D43D0000}"/>
    <cellStyle name="40% - Énfasis5 3 3 2 5 2 2" xfId="15832" xr:uid="{00000000-0005-0000-0000-0000D53D0000}"/>
    <cellStyle name="40% - Énfasis5 3 3 2 5 3" xfId="15833" xr:uid="{00000000-0005-0000-0000-0000D63D0000}"/>
    <cellStyle name="40% - Énfasis5 3 3 2 5 3 2" xfId="15834" xr:uid="{00000000-0005-0000-0000-0000D73D0000}"/>
    <cellStyle name="40% - Énfasis5 3 3 2 5 4" xfId="15835" xr:uid="{00000000-0005-0000-0000-0000D83D0000}"/>
    <cellStyle name="40% - Énfasis5 3 3 2 5 5" xfId="15836" xr:uid="{00000000-0005-0000-0000-0000D93D0000}"/>
    <cellStyle name="40% - Énfasis5 3 3 2 6" xfId="15837" xr:uid="{00000000-0005-0000-0000-0000DA3D0000}"/>
    <cellStyle name="40% - Énfasis5 3 3 2 6 2" xfId="15838" xr:uid="{00000000-0005-0000-0000-0000DB3D0000}"/>
    <cellStyle name="40% - Énfasis5 3 3 2 7" xfId="15839" xr:uid="{00000000-0005-0000-0000-0000DC3D0000}"/>
    <cellStyle name="40% - Énfasis5 3 3 2 7 2" xfId="15840" xr:uid="{00000000-0005-0000-0000-0000DD3D0000}"/>
    <cellStyle name="40% - Énfasis5 3 3 2 8" xfId="15841" xr:uid="{00000000-0005-0000-0000-0000DE3D0000}"/>
    <cellStyle name="40% - Énfasis5 3 3 2 9" xfId="15842" xr:uid="{00000000-0005-0000-0000-0000DF3D0000}"/>
    <cellStyle name="40% - Énfasis5 3 3 3" xfId="15843" xr:uid="{00000000-0005-0000-0000-0000E03D0000}"/>
    <cellStyle name="40% - Énfasis5 3 3 3 2" xfId="15844" xr:uid="{00000000-0005-0000-0000-0000E13D0000}"/>
    <cellStyle name="40% - Énfasis5 3 3 3 2 2" xfId="15845" xr:uid="{00000000-0005-0000-0000-0000E23D0000}"/>
    <cellStyle name="40% - Énfasis5 3 3 3 2 2 2" xfId="15846" xr:uid="{00000000-0005-0000-0000-0000E33D0000}"/>
    <cellStyle name="40% - Énfasis5 3 3 3 2 2 2 2" xfId="15847" xr:uid="{00000000-0005-0000-0000-0000E43D0000}"/>
    <cellStyle name="40% - Énfasis5 3 3 3 2 2 2 2 2" xfId="15848" xr:uid="{00000000-0005-0000-0000-0000E53D0000}"/>
    <cellStyle name="40% - Énfasis5 3 3 3 2 2 2 3" xfId="15849" xr:uid="{00000000-0005-0000-0000-0000E63D0000}"/>
    <cellStyle name="40% - Énfasis5 3 3 3 2 2 2 4" xfId="15850" xr:uid="{00000000-0005-0000-0000-0000E73D0000}"/>
    <cellStyle name="40% - Énfasis5 3 3 3 2 2 3" xfId="15851" xr:uid="{00000000-0005-0000-0000-0000E83D0000}"/>
    <cellStyle name="40% - Énfasis5 3 3 3 2 2 3 2" xfId="15852" xr:uid="{00000000-0005-0000-0000-0000E93D0000}"/>
    <cellStyle name="40% - Énfasis5 3 3 3 2 2 4" xfId="15853" xr:uid="{00000000-0005-0000-0000-0000EA3D0000}"/>
    <cellStyle name="40% - Énfasis5 3 3 3 2 2 5" xfId="15854" xr:uid="{00000000-0005-0000-0000-0000EB3D0000}"/>
    <cellStyle name="40% - Énfasis5 3 3 3 2 3" xfId="15855" xr:uid="{00000000-0005-0000-0000-0000EC3D0000}"/>
    <cellStyle name="40% - Énfasis5 3 3 3 2 3 2" xfId="15856" xr:uid="{00000000-0005-0000-0000-0000ED3D0000}"/>
    <cellStyle name="40% - Énfasis5 3 3 3 2 3 2 2" xfId="15857" xr:uid="{00000000-0005-0000-0000-0000EE3D0000}"/>
    <cellStyle name="40% - Énfasis5 3 3 3 2 3 3" xfId="15858" xr:uid="{00000000-0005-0000-0000-0000EF3D0000}"/>
    <cellStyle name="40% - Énfasis5 3 3 3 2 3 3 2" xfId="15859" xr:uid="{00000000-0005-0000-0000-0000F03D0000}"/>
    <cellStyle name="40% - Énfasis5 3 3 3 2 3 4" xfId="15860" xr:uid="{00000000-0005-0000-0000-0000F13D0000}"/>
    <cellStyle name="40% - Énfasis5 3 3 3 2 3 5" xfId="15861" xr:uid="{00000000-0005-0000-0000-0000F23D0000}"/>
    <cellStyle name="40% - Énfasis5 3 3 3 2 4" xfId="15862" xr:uid="{00000000-0005-0000-0000-0000F33D0000}"/>
    <cellStyle name="40% - Énfasis5 3 3 3 2 4 2" xfId="15863" xr:uid="{00000000-0005-0000-0000-0000F43D0000}"/>
    <cellStyle name="40% - Énfasis5 3 3 3 2 5" xfId="15864" xr:uid="{00000000-0005-0000-0000-0000F53D0000}"/>
    <cellStyle name="40% - Énfasis5 3 3 3 2 5 2" xfId="15865" xr:uid="{00000000-0005-0000-0000-0000F63D0000}"/>
    <cellStyle name="40% - Énfasis5 3 3 3 2 6" xfId="15866" xr:uid="{00000000-0005-0000-0000-0000F73D0000}"/>
    <cellStyle name="40% - Énfasis5 3 3 3 2 7" xfId="15867" xr:uid="{00000000-0005-0000-0000-0000F83D0000}"/>
    <cellStyle name="40% - Énfasis5 3 3 3 3" xfId="15868" xr:uid="{00000000-0005-0000-0000-0000F93D0000}"/>
    <cellStyle name="40% - Énfasis5 3 3 3 3 2" xfId="15869" xr:uid="{00000000-0005-0000-0000-0000FA3D0000}"/>
    <cellStyle name="40% - Énfasis5 3 3 3 3 2 2" xfId="15870" xr:uid="{00000000-0005-0000-0000-0000FB3D0000}"/>
    <cellStyle name="40% - Énfasis5 3 3 3 3 2 2 2" xfId="15871" xr:uid="{00000000-0005-0000-0000-0000FC3D0000}"/>
    <cellStyle name="40% - Énfasis5 3 3 3 3 2 3" xfId="15872" xr:uid="{00000000-0005-0000-0000-0000FD3D0000}"/>
    <cellStyle name="40% - Énfasis5 3 3 3 3 2 4" xfId="15873" xr:uid="{00000000-0005-0000-0000-0000FE3D0000}"/>
    <cellStyle name="40% - Énfasis5 3 3 3 3 3" xfId="15874" xr:uid="{00000000-0005-0000-0000-0000FF3D0000}"/>
    <cellStyle name="40% - Énfasis5 3 3 3 3 3 2" xfId="15875" xr:uid="{00000000-0005-0000-0000-0000003E0000}"/>
    <cellStyle name="40% - Énfasis5 3 3 3 3 4" xfId="15876" xr:uid="{00000000-0005-0000-0000-0000013E0000}"/>
    <cellStyle name="40% - Énfasis5 3 3 3 3 5" xfId="15877" xr:uid="{00000000-0005-0000-0000-0000023E0000}"/>
    <cellStyle name="40% - Énfasis5 3 3 3 4" xfId="15878" xr:uid="{00000000-0005-0000-0000-0000033E0000}"/>
    <cellStyle name="40% - Énfasis5 3 3 3 4 2" xfId="15879" xr:uid="{00000000-0005-0000-0000-0000043E0000}"/>
    <cellStyle name="40% - Énfasis5 3 3 3 4 2 2" xfId="15880" xr:uid="{00000000-0005-0000-0000-0000053E0000}"/>
    <cellStyle name="40% - Énfasis5 3 3 3 4 3" xfId="15881" xr:uid="{00000000-0005-0000-0000-0000063E0000}"/>
    <cellStyle name="40% - Énfasis5 3 3 3 4 3 2" xfId="15882" xr:uid="{00000000-0005-0000-0000-0000073E0000}"/>
    <cellStyle name="40% - Énfasis5 3 3 3 4 4" xfId="15883" xr:uid="{00000000-0005-0000-0000-0000083E0000}"/>
    <cellStyle name="40% - Énfasis5 3 3 3 4 5" xfId="15884" xr:uid="{00000000-0005-0000-0000-0000093E0000}"/>
    <cellStyle name="40% - Énfasis5 3 3 3 5" xfId="15885" xr:uid="{00000000-0005-0000-0000-00000A3E0000}"/>
    <cellStyle name="40% - Énfasis5 3 3 3 5 2" xfId="15886" xr:uid="{00000000-0005-0000-0000-00000B3E0000}"/>
    <cellStyle name="40% - Énfasis5 3 3 3 6" xfId="15887" xr:uid="{00000000-0005-0000-0000-00000C3E0000}"/>
    <cellStyle name="40% - Énfasis5 3 3 3 6 2" xfId="15888" xr:uid="{00000000-0005-0000-0000-00000D3E0000}"/>
    <cellStyle name="40% - Énfasis5 3 3 3 7" xfId="15889" xr:uid="{00000000-0005-0000-0000-00000E3E0000}"/>
    <cellStyle name="40% - Énfasis5 3 3 3 8" xfId="15890" xr:uid="{00000000-0005-0000-0000-00000F3E0000}"/>
    <cellStyle name="40% - Énfasis5 3 3 4" xfId="15891" xr:uid="{00000000-0005-0000-0000-0000103E0000}"/>
    <cellStyle name="40% - Énfasis5 3 3 4 2" xfId="15892" xr:uid="{00000000-0005-0000-0000-0000113E0000}"/>
    <cellStyle name="40% - Énfasis5 3 3 4 2 2" xfId="15893" xr:uid="{00000000-0005-0000-0000-0000123E0000}"/>
    <cellStyle name="40% - Énfasis5 3 3 4 2 2 2" xfId="15894" xr:uid="{00000000-0005-0000-0000-0000133E0000}"/>
    <cellStyle name="40% - Énfasis5 3 3 4 2 2 2 2" xfId="15895" xr:uid="{00000000-0005-0000-0000-0000143E0000}"/>
    <cellStyle name="40% - Énfasis5 3 3 4 2 2 3" xfId="15896" xr:uid="{00000000-0005-0000-0000-0000153E0000}"/>
    <cellStyle name="40% - Énfasis5 3 3 4 2 2 4" xfId="15897" xr:uid="{00000000-0005-0000-0000-0000163E0000}"/>
    <cellStyle name="40% - Énfasis5 3 3 4 2 3" xfId="15898" xr:uid="{00000000-0005-0000-0000-0000173E0000}"/>
    <cellStyle name="40% - Énfasis5 3 3 4 2 3 2" xfId="15899" xr:uid="{00000000-0005-0000-0000-0000183E0000}"/>
    <cellStyle name="40% - Énfasis5 3 3 4 2 4" xfId="15900" xr:uid="{00000000-0005-0000-0000-0000193E0000}"/>
    <cellStyle name="40% - Énfasis5 3 3 4 2 5" xfId="15901" xr:uid="{00000000-0005-0000-0000-00001A3E0000}"/>
    <cellStyle name="40% - Énfasis5 3 3 4 3" xfId="15902" xr:uid="{00000000-0005-0000-0000-00001B3E0000}"/>
    <cellStyle name="40% - Énfasis5 3 3 4 3 2" xfId="15903" xr:uid="{00000000-0005-0000-0000-00001C3E0000}"/>
    <cellStyle name="40% - Énfasis5 3 3 4 3 2 2" xfId="15904" xr:uid="{00000000-0005-0000-0000-00001D3E0000}"/>
    <cellStyle name="40% - Énfasis5 3 3 4 3 3" xfId="15905" xr:uid="{00000000-0005-0000-0000-00001E3E0000}"/>
    <cellStyle name="40% - Énfasis5 3 3 4 3 3 2" xfId="15906" xr:uid="{00000000-0005-0000-0000-00001F3E0000}"/>
    <cellStyle name="40% - Énfasis5 3 3 4 3 4" xfId="15907" xr:uid="{00000000-0005-0000-0000-0000203E0000}"/>
    <cellStyle name="40% - Énfasis5 3 3 4 3 5" xfId="15908" xr:uid="{00000000-0005-0000-0000-0000213E0000}"/>
    <cellStyle name="40% - Énfasis5 3 3 4 4" xfId="15909" xr:uid="{00000000-0005-0000-0000-0000223E0000}"/>
    <cellStyle name="40% - Énfasis5 3 3 4 4 2" xfId="15910" xr:uid="{00000000-0005-0000-0000-0000233E0000}"/>
    <cellStyle name="40% - Énfasis5 3 3 4 5" xfId="15911" xr:uid="{00000000-0005-0000-0000-0000243E0000}"/>
    <cellStyle name="40% - Énfasis5 3 3 4 5 2" xfId="15912" xr:uid="{00000000-0005-0000-0000-0000253E0000}"/>
    <cellStyle name="40% - Énfasis5 3 3 4 6" xfId="15913" xr:uid="{00000000-0005-0000-0000-0000263E0000}"/>
    <cellStyle name="40% - Énfasis5 3 3 4 7" xfId="15914" xr:uid="{00000000-0005-0000-0000-0000273E0000}"/>
    <cellStyle name="40% - Énfasis5 3 3 5" xfId="15915" xr:uid="{00000000-0005-0000-0000-0000283E0000}"/>
    <cellStyle name="40% - Énfasis5 3 3 5 2" xfId="15916" xr:uid="{00000000-0005-0000-0000-0000293E0000}"/>
    <cellStyle name="40% - Énfasis5 3 3 5 2 2" xfId="15917" xr:uid="{00000000-0005-0000-0000-00002A3E0000}"/>
    <cellStyle name="40% - Énfasis5 3 3 5 2 2 2" xfId="15918" xr:uid="{00000000-0005-0000-0000-00002B3E0000}"/>
    <cellStyle name="40% - Énfasis5 3 3 5 2 3" xfId="15919" xr:uid="{00000000-0005-0000-0000-00002C3E0000}"/>
    <cellStyle name="40% - Énfasis5 3 3 5 2 4" xfId="15920" xr:uid="{00000000-0005-0000-0000-00002D3E0000}"/>
    <cellStyle name="40% - Énfasis5 3 3 5 3" xfId="15921" xr:uid="{00000000-0005-0000-0000-00002E3E0000}"/>
    <cellStyle name="40% - Énfasis5 3 3 5 3 2" xfId="15922" xr:uid="{00000000-0005-0000-0000-00002F3E0000}"/>
    <cellStyle name="40% - Énfasis5 3 3 5 4" xfId="15923" xr:uid="{00000000-0005-0000-0000-0000303E0000}"/>
    <cellStyle name="40% - Énfasis5 3 3 5 5" xfId="15924" xr:uid="{00000000-0005-0000-0000-0000313E0000}"/>
    <cellStyle name="40% - Énfasis5 3 3 6" xfId="15925" xr:uid="{00000000-0005-0000-0000-0000323E0000}"/>
    <cellStyle name="40% - Énfasis5 3 3 6 2" xfId="15926" xr:uid="{00000000-0005-0000-0000-0000333E0000}"/>
    <cellStyle name="40% - Énfasis5 3 3 6 2 2" xfId="15927" xr:uid="{00000000-0005-0000-0000-0000343E0000}"/>
    <cellStyle name="40% - Énfasis5 3 3 6 3" xfId="15928" xr:uid="{00000000-0005-0000-0000-0000353E0000}"/>
    <cellStyle name="40% - Énfasis5 3 3 6 3 2" xfId="15929" xr:uid="{00000000-0005-0000-0000-0000363E0000}"/>
    <cellStyle name="40% - Énfasis5 3 3 6 4" xfId="15930" xr:uid="{00000000-0005-0000-0000-0000373E0000}"/>
    <cellStyle name="40% - Énfasis5 3 3 6 5" xfId="15931" xr:uid="{00000000-0005-0000-0000-0000383E0000}"/>
    <cellStyle name="40% - Énfasis5 3 3 7" xfId="15932" xr:uid="{00000000-0005-0000-0000-0000393E0000}"/>
    <cellStyle name="40% - Énfasis5 3 3 7 2" xfId="15933" xr:uid="{00000000-0005-0000-0000-00003A3E0000}"/>
    <cellStyle name="40% - Énfasis5 3 3 8" xfId="15934" xr:uid="{00000000-0005-0000-0000-00003B3E0000}"/>
    <cellStyle name="40% - Énfasis5 3 3 8 2" xfId="15935" xr:uid="{00000000-0005-0000-0000-00003C3E0000}"/>
    <cellStyle name="40% - Énfasis5 3 3 9" xfId="15936" xr:uid="{00000000-0005-0000-0000-00003D3E0000}"/>
    <cellStyle name="40% - Énfasis5 3 4" xfId="15937" xr:uid="{00000000-0005-0000-0000-00003E3E0000}"/>
    <cellStyle name="40% - Énfasis5 3 4 2" xfId="15938" xr:uid="{00000000-0005-0000-0000-00003F3E0000}"/>
    <cellStyle name="40% - Énfasis5 3 4 2 2" xfId="15939" xr:uid="{00000000-0005-0000-0000-0000403E0000}"/>
    <cellStyle name="40% - Énfasis5 3 4 2 2 2" xfId="15940" xr:uid="{00000000-0005-0000-0000-0000413E0000}"/>
    <cellStyle name="40% - Énfasis5 3 4 2 2 2 2" xfId="15941" xr:uid="{00000000-0005-0000-0000-0000423E0000}"/>
    <cellStyle name="40% - Énfasis5 3 4 2 2 2 2 2" xfId="15942" xr:uid="{00000000-0005-0000-0000-0000433E0000}"/>
    <cellStyle name="40% - Énfasis5 3 4 2 2 2 2 2 2" xfId="15943" xr:uid="{00000000-0005-0000-0000-0000443E0000}"/>
    <cellStyle name="40% - Énfasis5 3 4 2 2 2 2 3" xfId="15944" xr:uid="{00000000-0005-0000-0000-0000453E0000}"/>
    <cellStyle name="40% - Énfasis5 3 4 2 2 2 2 4" xfId="15945" xr:uid="{00000000-0005-0000-0000-0000463E0000}"/>
    <cellStyle name="40% - Énfasis5 3 4 2 2 2 3" xfId="15946" xr:uid="{00000000-0005-0000-0000-0000473E0000}"/>
    <cellStyle name="40% - Énfasis5 3 4 2 2 2 3 2" xfId="15947" xr:uid="{00000000-0005-0000-0000-0000483E0000}"/>
    <cellStyle name="40% - Énfasis5 3 4 2 2 2 4" xfId="15948" xr:uid="{00000000-0005-0000-0000-0000493E0000}"/>
    <cellStyle name="40% - Énfasis5 3 4 2 2 2 5" xfId="15949" xr:uid="{00000000-0005-0000-0000-00004A3E0000}"/>
    <cellStyle name="40% - Énfasis5 3 4 2 2 3" xfId="15950" xr:uid="{00000000-0005-0000-0000-00004B3E0000}"/>
    <cellStyle name="40% - Énfasis5 3 4 2 2 3 2" xfId="15951" xr:uid="{00000000-0005-0000-0000-00004C3E0000}"/>
    <cellStyle name="40% - Énfasis5 3 4 2 2 3 2 2" xfId="15952" xr:uid="{00000000-0005-0000-0000-00004D3E0000}"/>
    <cellStyle name="40% - Énfasis5 3 4 2 2 3 3" xfId="15953" xr:uid="{00000000-0005-0000-0000-00004E3E0000}"/>
    <cellStyle name="40% - Énfasis5 3 4 2 2 3 4" xfId="15954" xr:uid="{00000000-0005-0000-0000-00004F3E0000}"/>
    <cellStyle name="40% - Énfasis5 3 4 2 2 4" xfId="15955" xr:uid="{00000000-0005-0000-0000-0000503E0000}"/>
    <cellStyle name="40% - Énfasis5 3 4 2 2 4 2" xfId="15956" xr:uid="{00000000-0005-0000-0000-0000513E0000}"/>
    <cellStyle name="40% - Énfasis5 3 4 2 2 5" xfId="15957" xr:uid="{00000000-0005-0000-0000-0000523E0000}"/>
    <cellStyle name="40% - Énfasis5 3 4 2 2 6" xfId="15958" xr:uid="{00000000-0005-0000-0000-0000533E0000}"/>
    <cellStyle name="40% - Énfasis5 3 4 2 3" xfId="15959" xr:uid="{00000000-0005-0000-0000-0000543E0000}"/>
    <cellStyle name="40% - Énfasis5 3 4 2 3 2" xfId="15960" xr:uid="{00000000-0005-0000-0000-0000553E0000}"/>
    <cellStyle name="40% - Énfasis5 3 4 2 3 2 2" xfId="15961" xr:uid="{00000000-0005-0000-0000-0000563E0000}"/>
    <cellStyle name="40% - Énfasis5 3 4 2 3 2 2 2" xfId="15962" xr:uid="{00000000-0005-0000-0000-0000573E0000}"/>
    <cellStyle name="40% - Énfasis5 3 4 2 3 2 3" xfId="15963" xr:uid="{00000000-0005-0000-0000-0000583E0000}"/>
    <cellStyle name="40% - Énfasis5 3 4 2 3 2 4" xfId="15964" xr:uid="{00000000-0005-0000-0000-0000593E0000}"/>
    <cellStyle name="40% - Énfasis5 3 4 2 3 3" xfId="15965" xr:uid="{00000000-0005-0000-0000-00005A3E0000}"/>
    <cellStyle name="40% - Énfasis5 3 4 2 3 3 2" xfId="15966" xr:uid="{00000000-0005-0000-0000-00005B3E0000}"/>
    <cellStyle name="40% - Énfasis5 3 4 2 3 4" xfId="15967" xr:uid="{00000000-0005-0000-0000-00005C3E0000}"/>
    <cellStyle name="40% - Énfasis5 3 4 2 3 5" xfId="15968" xr:uid="{00000000-0005-0000-0000-00005D3E0000}"/>
    <cellStyle name="40% - Énfasis5 3 4 2 4" xfId="15969" xr:uid="{00000000-0005-0000-0000-00005E3E0000}"/>
    <cellStyle name="40% - Énfasis5 3 4 2 4 2" xfId="15970" xr:uid="{00000000-0005-0000-0000-00005F3E0000}"/>
    <cellStyle name="40% - Énfasis5 3 4 2 4 2 2" xfId="15971" xr:uid="{00000000-0005-0000-0000-0000603E0000}"/>
    <cellStyle name="40% - Énfasis5 3 4 2 4 3" xfId="15972" xr:uid="{00000000-0005-0000-0000-0000613E0000}"/>
    <cellStyle name="40% - Énfasis5 3 4 2 4 4" xfId="15973" xr:uid="{00000000-0005-0000-0000-0000623E0000}"/>
    <cellStyle name="40% - Énfasis5 3 4 2 5" xfId="15974" xr:uid="{00000000-0005-0000-0000-0000633E0000}"/>
    <cellStyle name="40% - Énfasis5 3 4 2 5 2" xfId="15975" xr:uid="{00000000-0005-0000-0000-0000643E0000}"/>
    <cellStyle name="40% - Énfasis5 3 4 2 6" xfId="15976" xr:uid="{00000000-0005-0000-0000-0000653E0000}"/>
    <cellStyle name="40% - Énfasis5 3 4 2 7" xfId="15977" xr:uid="{00000000-0005-0000-0000-0000663E0000}"/>
    <cellStyle name="40% - Énfasis5 3 4 3" xfId="15978" xr:uid="{00000000-0005-0000-0000-0000673E0000}"/>
    <cellStyle name="40% - Énfasis5 3 4 3 2" xfId="15979" xr:uid="{00000000-0005-0000-0000-0000683E0000}"/>
    <cellStyle name="40% - Énfasis5 3 4 3 2 2" xfId="15980" xr:uid="{00000000-0005-0000-0000-0000693E0000}"/>
    <cellStyle name="40% - Énfasis5 3 4 3 2 2 2" xfId="15981" xr:uid="{00000000-0005-0000-0000-00006A3E0000}"/>
    <cellStyle name="40% - Énfasis5 3 4 3 2 2 2 2" xfId="15982" xr:uid="{00000000-0005-0000-0000-00006B3E0000}"/>
    <cellStyle name="40% - Énfasis5 3 4 3 2 2 3" xfId="15983" xr:uid="{00000000-0005-0000-0000-00006C3E0000}"/>
    <cellStyle name="40% - Énfasis5 3 4 3 2 2 4" xfId="15984" xr:uid="{00000000-0005-0000-0000-00006D3E0000}"/>
    <cellStyle name="40% - Énfasis5 3 4 3 2 3" xfId="15985" xr:uid="{00000000-0005-0000-0000-00006E3E0000}"/>
    <cellStyle name="40% - Énfasis5 3 4 3 2 3 2" xfId="15986" xr:uid="{00000000-0005-0000-0000-00006F3E0000}"/>
    <cellStyle name="40% - Énfasis5 3 4 3 2 4" xfId="15987" xr:uid="{00000000-0005-0000-0000-0000703E0000}"/>
    <cellStyle name="40% - Énfasis5 3 4 3 2 5" xfId="15988" xr:uid="{00000000-0005-0000-0000-0000713E0000}"/>
    <cellStyle name="40% - Énfasis5 3 4 3 3" xfId="15989" xr:uid="{00000000-0005-0000-0000-0000723E0000}"/>
    <cellStyle name="40% - Énfasis5 3 4 3 3 2" xfId="15990" xr:uid="{00000000-0005-0000-0000-0000733E0000}"/>
    <cellStyle name="40% - Énfasis5 3 4 3 3 2 2" xfId="15991" xr:uid="{00000000-0005-0000-0000-0000743E0000}"/>
    <cellStyle name="40% - Énfasis5 3 4 3 3 3" xfId="15992" xr:uid="{00000000-0005-0000-0000-0000753E0000}"/>
    <cellStyle name="40% - Énfasis5 3 4 3 3 3 2" xfId="15993" xr:uid="{00000000-0005-0000-0000-0000763E0000}"/>
    <cellStyle name="40% - Énfasis5 3 4 3 3 4" xfId="15994" xr:uid="{00000000-0005-0000-0000-0000773E0000}"/>
    <cellStyle name="40% - Énfasis5 3 4 3 3 5" xfId="15995" xr:uid="{00000000-0005-0000-0000-0000783E0000}"/>
    <cellStyle name="40% - Énfasis5 3 4 3 4" xfId="15996" xr:uid="{00000000-0005-0000-0000-0000793E0000}"/>
    <cellStyle name="40% - Énfasis5 3 4 3 4 2" xfId="15997" xr:uid="{00000000-0005-0000-0000-00007A3E0000}"/>
    <cellStyle name="40% - Énfasis5 3 4 3 5" xfId="15998" xr:uid="{00000000-0005-0000-0000-00007B3E0000}"/>
    <cellStyle name="40% - Énfasis5 3 4 3 5 2" xfId="15999" xr:uid="{00000000-0005-0000-0000-00007C3E0000}"/>
    <cellStyle name="40% - Énfasis5 3 4 3 6" xfId="16000" xr:uid="{00000000-0005-0000-0000-00007D3E0000}"/>
    <cellStyle name="40% - Énfasis5 3 4 3 7" xfId="16001" xr:uid="{00000000-0005-0000-0000-00007E3E0000}"/>
    <cellStyle name="40% - Énfasis5 3 4 4" xfId="16002" xr:uid="{00000000-0005-0000-0000-00007F3E0000}"/>
    <cellStyle name="40% - Énfasis5 3 4 4 2" xfId="16003" xr:uid="{00000000-0005-0000-0000-0000803E0000}"/>
    <cellStyle name="40% - Énfasis5 3 4 4 2 2" xfId="16004" xr:uid="{00000000-0005-0000-0000-0000813E0000}"/>
    <cellStyle name="40% - Énfasis5 3 4 4 2 2 2" xfId="16005" xr:uid="{00000000-0005-0000-0000-0000823E0000}"/>
    <cellStyle name="40% - Énfasis5 3 4 4 2 3" xfId="16006" xr:uid="{00000000-0005-0000-0000-0000833E0000}"/>
    <cellStyle name="40% - Énfasis5 3 4 4 2 4" xfId="16007" xr:uid="{00000000-0005-0000-0000-0000843E0000}"/>
    <cellStyle name="40% - Énfasis5 3 4 4 3" xfId="16008" xr:uid="{00000000-0005-0000-0000-0000853E0000}"/>
    <cellStyle name="40% - Énfasis5 3 4 4 3 2" xfId="16009" xr:uid="{00000000-0005-0000-0000-0000863E0000}"/>
    <cellStyle name="40% - Énfasis5 3 4 4 4" xfId="16010" xr:uid="{00000000-0005-0000-0000-0000873E0000}"/>
    <cellStyle name="40% - Énfasis5 3 4 4 5" xfId="16011" xr:uid="{00000000-0005-0000-0000-0000883E0000}"/>
    <cellStyle name="40% - Énfasis5 3 4 5" xfId="16012" xr:uid="{00000000-0005-0000-0000-0000893E0000}"/>
    <cellStyle name="40% - Énfasis5 3 4 5 2" xfId="16013" xr:uid="{00000000-0005-0000-0000-00008A3E0000}"/>
    <cellStyle name="40% - Énfasis5 3 4 5 2 2" xfId="16014" xr:uid="{00000000-0005-0000-0000-00008B3E0000}"/>
    <cellStyle name="40% - Énfasis5 3 4 5 3" xfId="16015" xr:uid="{00000000-0005-0000-0000-00008C3E0000}"/>
    <cellStyle name="40% - Énfasis5 3 4 5 3 2" xfId="16016" xr:uid="{00000000-0005-0000-0000-00008D3E0000}"/>
    <cellStyle name="40% - Énfasis5 3 4 5 4" xfId="16017" xr:uid="{00000000-0005-0000-0000-00008E3E0000}"/>
    <cellStyle name="40% - Énfasis5 3 4 5 5" xfId="16018" xr:uid="{00000000-0005-0000-0000-00008F3E0000}"/>
    <cellStyle name="40% - Énfasis5 3 4 6" xfId="16019" xr:uid="{00000000-0005-0000-0000-0000903E0000}"/>
    <cellStyle name="40% - Énfasis5 3 4 6 2" xfId="16020" xr:uid="{00000000-0005-0000-0000-0000913E0000}"/>
    <cellStyle name="40% - Énfasis5 3 4 7" xfId="16021" xr:uid="{00000000-0005-0000-0000-0000923E0000}"/>
    <cellStyle name="40% - Énfasis5 3 4 7 2" xfId="16022" xr:uid="{00000000-0005-0000-0000-0000933E0000}"/>
    <cellStyle name="40% - Énfasis5 3 4 8" xfId="16023" xr:uid="{00000000-0005-0000-0000-0000943E0000}"/>
    <cellStyle name="40% - Énfasis5 3 4 9" xfId="16024" xr:uid="{00000000-0005-0000-0000-0000953E0000}"/>
    <cellStyle name="40% - Énfasis5 3 5" xfId="16025" xr:uid="{00000000-0005-0000-0000-0000963E0000}"/>
    <cellStyle name="40% - Énfasis5 3 5 2" xfId="16026" xr:uid="{00000000-0005-0000-0000-0000973E0000}"/>
    <cellStyle name="40% - Énfasis5 3 5 2 2" xfId="16027" xr:uid="{00000000-0005-0000-0000-0000983E0000}"/>
    <cellStyle name="40% - Énfasis5 3 5 2 2 2" xfId="16028" xr:uid="{00000000-0005-0000-0000-0000993E0000}"/>
    <cellStyle name="40% - Énfasis5 3 5 2 2 2 2" xfId="16029" xr:uid="{00000000-0005-0000-0000-00009A3E0000}"/>
    <cellStyle name="40% - Énfasis5 3 5 2 2 2 2 2" xfId="16030" xr:uid="{00000000-0005-0000-0000-00009B3E0000}"/>
    <cellStyle name="40% - Énfasis5 3 5 2 2 2 3" xfId="16031" xr:uid="{00000000-0005-0000-0000-00009C3E0000}"/>
    <cellStyle name="40% - Énfasis5 3 5 2 2 2 4" xfId="16032" xr:uid="{00000000-0005-0000-0000-00009D3E0000}"/>
    <cellStyle name="40% - Énfasis5 3 5 2 2 3" xfId="16033" xr:uid="{00000000-0005-0000-0000-00009E3E0000}"/>
    <cellStyle name="40% - Énfasis5 3 5 2 2 3 2" xfId="16034" xr:uid="{00000000-0005-0000-0000-00009F3E0000}"/>
    <cellStyle name="40% - Énfasis5 3 5 2 2 4" xfId="16035" xr:uid="{00000000-0005-0000-0000-0000A03E0000}"/>
    <cellStyle name="40% - Énfasis5 3 5 2 2 5" xfId="16036" xr:uid="{00000000-0005-0000-0000-0000A13E0000}"/>
    <cellStyle name="40% - Énfasis5 3 5 2 3" xfId="16037" xr:uid="{00000000-0005-0000-0000-0000A23E0000}"/>
    <cellStyle name="40% - Énfasis5 3 5 2 3 2" xfId="16038" xr:uid="{00000000-0005-0000-0000-0000A33E0000}"/>
    <cellStyle name="40% - Énfasis5 3 5 2 3 2 2" xfId="16039" xr:uid="{00000000-0005-0000-0000-0000A43E0000}"/>
    <cellStyle name="40% - Énfasis5 3 5 2 3 3" xfId="16040" xr:uid="{00000000-0005-0000-0000-0000A53E0000}"/>
    <cellStyle name="40% - Énfasis5 3 5 2 3 3 2" xfId="16041" xr:uid="{00000000-0005-0000-0000-0000A63E0000}"/>
    <cellStyle name="40% - Énfasis5 3 5 2 3 4" xfId="16042" xr:uid="{00000000-0005-0000-0000-0000A73E0000}"/>
    <cellStyle name="40% - Énfasis5 3 5 2 3 5" xfId="16043" xr:uid="{00000000-0005-0000-0000-0000A83E0000}"/>
    <cellStyle name="40% - Énfasis5 3 5 2 4" xfId="16044" xr:uid="{00000000-0005-0000-0000-0000A93E0000}"/>
    <cellStyle name="40% - Énfasis5 3 5 2 4 2" xfId="16045" xr:uid="{00000000-0005-0000-0000-0000AA3E0000}"/>
    <cellStyle name="40% - Énfasis5 3 5 2 5" xfId="16046" xr:uid="{00000000-0005-0000-0000-0000AB3E0000}"/>
    <cellStyle name="40% - Énfasis5 3 5 2 5 2" xfId="16047" xr:uid="{00000000-0005-0000-0000-0000AC3E0000}"/>
    <cellStyle name="40% - Énfasis5 3 5 2 6" xfId="16048" xr:uid="{00000000-0005-0000-0000-0000AD3E0000}"/>
    <cellStyle name="40% - Énfasis5 3 5 2 7" xfId="16049" xr:uid="{00000000-0005-0000-0000-0000AE3E0000}"/>
    <cellStyle name="40% - Énfasis5 3 5 3" xfId="16050" xr:uid="{00000000-0005-0000-0000-0000AF3E0000}"/>
    <cellStyle name="40% - Énfasis5 3 5 3 2" xfId="16051" xr:uid="{00000000-0005-0000-0000-0000B03E0000}"/>
    <cellStyle name="40% - Énfasis5 3 5 3 2 2" xfId="16052" xr:uid="{00000000-0005-0000-0000-0000B13E0000}"/>
    <cellStyle name="40% - Énfasis5 3 5 3 2 2 2" xfId="16053" xr:uid="{00000000-0005-0000-0000-0000B23E0000}"/>
    <cellStyle name="40% - Énfasis5 3 5 3 2 3" xfId="16054" xr:uid="{00000000-0005-0000-0000-0000B33E0000}"/>
    <cellStyle name="40% - Énfasis5 3 5 3 2 4" xfId="16055" xr:uid="{00000000-0005-0000-0000-0000B43E0000}"/>
    <cellStyle name="40% - Énfasis5 3 5 3 3" xfId="16056" xr:uid="{00000000-0005-0000-0000-0000B53E0000}"/>
    <cellStyle name="40% - Énfasis5 3 5 3 3 2" xfId="16057" xr:uid="{00000000-0005-0000-0000-0000B63E0000}"/>
    <cellStyle name="40% - Énfasis5 3 5 3 4" xfId="16058" xr:uid="{00000000-0005-0000-0000-0000B73E0000}"/>
    <cellStyle name="40% - Énfasis5 3 5 3 5" xfId="16059" xr:uid="{00000000-0005-0000-0000-0000B83E0000}"/>
    <cellStyle name="40% - Énfasis5 3 5 4" xfId="16060" xr:uid="{00000000-0005-0000-0000-0000B93E0000}"/>
    <cellStyle name="40% - Énfasis5 3 5 4 2" xfId="16061" xr:uid="{00000000-0005-0000-0000-0000BA3E0000}"/>
    <cellStyle name="40% - Énfasis5 3 5 4 2 2" xfId="16062" xr:uid="{00000000-0005-0000-0000-0000BB3E0000}"/>
    <cellStyle name="40% - Énfasis5 3 5 4 3" xfId="16063" xr:uid="{00000000-0005-0000-0000-0000BC3E0000}"/>
    <cellStyle name="40% - Énfasis5 3 5 4 3 2" xfId="16064" xr:uid="{00000000-0005-0000-0000-0000BD3E0000}"/>
    <cellStyle name="40% - Énfasis5 3 5 4 4" xfId="16065" xr:uid="{00000000-0005-0000-0000-0000BE3E0000}"/>
    <cellStyle name="40% - Énfasis5 3 5 4 5" xfId="16066" xr:uid="{00000000-0005-0000-0000-0000BF3E0000}"/>
    <cellStyle name="40% - Énfasis5 3 5 5" xfId="16067" xr:uid="{00000000-0005-0000-0000-0000C03E0000}"/>
    <cellStyle name="40% - Énfasis5 3 5 5 2" xfId="16068" xr:uid="{00000000-0005-0000-0000-0000C13E0000}"/>
    <cellStyle name="40% - Énfasis5 3 5 6" xfId="16069" xr:uid="{00000000-0005-0000-0000-0000C23E0000}"/>
    <cellStyle name="40% - Énfasis5 3 5 6 2" xfId="16070" xr:uid="{00000000-0005-0000-0000-0000C33E0000}"/>
    <cellStyle name="40% - Énfasis5 3 5 7" xfId="16071" xr:uid="{00000000-0005-0000-0000-0000C43E0000}"/>
    <cellStyle name="40% - Énfasis5 3 5 8" xfId="16072" xr:uid="{00000000-0005-0000-0000-0000C53E0000}"/>
    <cellStyle name="40% - Énfasis5 3 6" xfId="16073" xr:uid="{00000000-0005-0000-0000-0000C63E0000}"/>
    <cellStyle name="40% - Énfasis5 3 6 2" xfId="16074" xr:uid="{00000000-0005-0000-0000-0000C73E0000}"/>
    <cellStyle name="40% - Énfasis5 3 6 2 2" xfId="16075" xr:uid="{00000000-0005-0000-0000-0000C83E0000}"/>
    <cellStyle name="40% - Énfasis5 3 6 2 2 2" xfId="16076" xr:uid="{00000000-0005-0000-0000-0000C93E0000}"/>
    <cellStyle name="40% - Énfasis5 3 6 2 2 2 2" xfId="16077" xr:uid="{00000000-0005-0000-0000-0000CA3E0000}"/>
    <cellStyle name="40% - Énfasis5 3 6 2 2 3" xfId="16078" xr:uid="{00000000-0005-0000-0000-0000CB3E0000}"/>
    <cellStyle name="40% - Énfasis5 3 6 2 2 4" xfId="16079" xr:uid="{00000000-0005-0000-0000-0000CC3E0000}"/>
    <cellStyle name="40% - Énfasis5 3 6 2 3" xfId="16080" xr:uid="{00000000-0005-0000-0000-0000CD3E0000}"/>
    <cellStyle name="40% - Énfasis5 3 6 2 3 2" xfId="16081" xr:uid="{00000000-0005-0000-0000-0000CE3E0000}"/>
    <cellStyle name="40% - Énfasis5 3 6 2 4" xfId="16082" xr:uid="{00000000-0005-0000-0000-0000CF3E0000}"/>
    <cellStyle name="40% - Énfasis5 3 6 2 5" xfId="16083" xr:uid="{00000000-0005-0000-0000-0000D03E0000}"/>
    <cellStyle name="40% - Énfasis5 3 6 3" xfId="16084" xr:uid="{00000000-0005-0000-0000-0000D13E0000}"/>
    <cellStyle name="40% - Énfasis5 3 6 3 2" xfId="16085" xr:uid="{00000000-0005-0000-0000-0000D23E0000}"/>
    <cellStyle name="40% - Énfasis5 3 6 3 2 2" xfId="16086" xr:uid="{00000000-0005-0000-0000-0000D33E0000}"/>
    <cellStyle name="40% - Énfasis5 3 6 3 3" xfId="16087" xr:uid="{00000000-0005-0000-0000-0000D43E0000}"/>
    <cellStyle name="40% - Énfasis5 3 6 3 3 2" xfId="16088" xr:uid="{00000000-0005-0000-0000-0000D53E0000}"/>
    <cellStyle name="40% - Énfasis5 3 6 3 4" xfId="16089" xr:uid="{00000000-0005-0000-0000-0000D63E0000}"/>
    <cellStyle name="40% - Énfasis5 3 6 3 5" xfId="16090" xr:uid="{00000000-0005-0000-0000-0000D73E0000}"/>
    <cellStyle name="40% - Énfasis5 3 6 4" xfId="16091" xr:uid="{00000000-0005-0000-0000-0000D83E0000}"/>
    <cellStyle name="40% - Énfasis5 3 6 4 2" xfId="16092" xr:uid="{00000000-0005-0000-0000-0000D93E0000}"/>
    <cellStyle name="40% - Énfasis5 3 6 5" xfId="16093" xr:uid="{00000000-0005-0000-0000-0000DA3E0000}"/>
    <cellStyle name="40% - Énfasis5 3 6 5 2" xfId="16094" xr:uid="{00000000-0005-0000-0000-0000DB3E0000}"/>
    <cellStyle name="40% - Énfasis5 3 6 6" xfId="16095" xr:uid="{00000000-0005-0000-0000-0000DC3E0000}"/>
    <cellStyle name="40% - Énfasis5 3 6 7" xfId="16096" xr:uid="{00000000-0005-0000-0000-0000DD3E0000}"/>
    <cellStyle name="40% - Énfasis5 3 7" xfId="16097" xr:uid="{00000000-0005-0000-0000-0000DE3E0000}"/>
    <cellStyle name="40% - Énfasis5 3 7 2" xfId="16098" xr:uid="{00000000-0005-0000-0000-0000DF3E0000}"/>
    <cellStyle name="40% - Énfasis5 3 7 2 2" xfId="16099" xr:uid="{00000000-0005-0000-0000-0000E03E0000}"/>
    <cellStyle name="40% - Énfasis5 3 7 2 2 2" xfId="16100" xr:uid="{00000000-0005-0000-0000-0000E13E0000}"/>
    <cellStyle name="40% - Énfasis5 3 7 2 3" xfId="16101" xr:uid="{00000000-0005-0000-0000-0000E23E0000}"/>
    <cellStyle name="40% - Énfasis5 3 7 2 4" xfId="16102" xr:uid="{00000000-0005-0000-0000-0000E33E0000}"/>
    <cellStyle name="40% - Énfasis5 3 7 3" xfId="16103" xr:uid="{00000000-0005-0000-0000-0000E43E0000}"/>
    <cellStyle name="40% - Énfasis5 3 7 3 2" xfId="16104" xr:uid="{00000000-0005-0000-0000-0000E53E0000}"/>
    <cellStyle name="40% - Énfasis5 3 7 4" xfId="16105" xr:uid="{00000000-0005-0000-0000-0000E63E0000}"/>
    <cellStyle name="40% - Énfasis5 3 7 5" xfId="16106" xr:uid="{00000000-0005-0000-0000-0000E73E0000}"/>
    <cellStyle name="40% - Énfasis5 3 8" xfId="16107" xr:uid="{00000000-0005-0000-0000-0000E83E0000}"/>
    <cellStyle name="40% - Énfasis5 3 8 2" xfId="16108" xr:uid="{00000000-0005-0000-0000-0000E93E0000}"/>
    <cellStyle name="40% - Énfasis5 3 8 2 2" xfId="16109" xr:uid="{00000000-0005-0000-0000-0000EA3E0000}"/>
    <cellStyle name="40% - Énfasis5 3 8 3" xfId="16110" xr:uid="{00000000-0005-0000-0000-0000EB3E0000}"/>
    <cellStyle name="40% - Énfasis5 3 8 3 2" xfId="16111" xr:uid="{00000000-0005-0000-0000-0000EC3E0000}"/>
    <cellStyle name="40% - Énfasis5 3 8 4" xfId="16112" xr:uid="{00000000-0005-0000-0000-0000ED3E0000}"/>
    <cellStyle name="40% - Énfasis5 3 8 5" xfId="16113" xr:uid="{00000000-0005-0000-0000-0000EE3E0000}"/>
    <cellStyle name="40% - Énfasis5 3 9" xfId="16114" xr:uid="{00000000-0005-0000-0000-0000EF3E0000}"/>
    <cellStyle name="40% - Énfasis5 3 9 2" xfId="16115" xr:uid="{00000000-0005-0000-0000-0000F03E0000}"/>
    <cellStyle name="40% - Énfasis5 4" xfId="16116" xr:uid="{00000000-0005-0000-0000-0000F13E0000}"/>
    <cellStyle name="40% - Énfasis6 2" xfId="16117" xr:uid="{00000000-0005-0000-0000-0000F23E0000}"/>
    <cellStyle name="40% - Énfasis6 2 10" xfId="16118" xr:uid="{00000000-0005-0000-0000-0000F33E0000}"/>
    <cellStyle name="40% - Énfasis6 2 10 2" xfId="16119" xr:uid="{00000000-0005-0000-0000-0000F43E0000}"/>
    <cellStyle name="40% - Énfasis6 2 11" xfId="16120" xr:uid="{00000000-0005-0000-0000-0000F53E0000}"/>
    <cellStyle name="40% - Énfasis6 2 12" xfId="16121" xr:uid="{00000000-0005-0000-0000-0000F63E0000}"/>
    <cellStyle name="40% - Énfasis6 2 2" xfId="16122" xr:uid="{00000000-0005-0000-0000-0000F73E0000}"/>
    <cellStyle name="40% - Énfasis6 2 2 10" xfId="16123" xr:uid="{00000000-0005-0000-0000-0000F83E0000}"/>
    <cellStyle name="40% - Énfasis6 2 2 10 2" xfId="16124" xr:uid="{00000000-0005-0000-0000-0000F93E0000}"/>
    <cellStyle name="40% - Énfasis6 2 2 11" xfId="16125" xr:uid="{00000000-0005-0000-0000-0000FA3E0000}"/>
    <cellStyle name="40% - Énfasis6 2 2 12" xfId="16126" xr:uid="{00000000-0005-0000-0000-0000FB3E0000}"/>
    <cellStyle name="40% - Énfasis6 2 2 2" xfId="16127" xr:uid="{00000000-0005-0000-0000-0000FC3E0000}"/>
    <cellStyle name="40% - Énfasis6 2 2 2 10" xfId="16128" xr:uid="{00000000-0005-0000-0000-0000FD3E0000}"/>
    <cellStyle name="40% - Énfasis6 2 2 2 2" xfId="16129" xr:uid="{00000000-0005-0000-0000-0000FE3E0000}"/>
    <cellStyle name="40% - Énfasis6 2 2 2 2 2" xfId="16130" xr:uid="{00000000-0005-0000-0000-0000FF3E0000}"/>
    <cellStyle name="40% - Énfasis6 2 2 2 2 2 2" xfId="16131" xr:uid="{00000000-0005-0000-0000-0000003F0000}"/>
    <cellStyle name="40% - Énfasis6 2 2 2 2 2 2 2" xfId="16132" xr:uid="{00000000-0005-0000-0000-0000013F0000}"/>
    <cellStyle name="40% - Énfasis6 2 2 2 2 2 2 2 2" xfId="16133" xr:uid="{00000000-0005-0000-0000-0000023F0000}"/>
    <cellStyle name="40% - Énfasis6 2 2 2 2 2 2 2 2 2" xfId="16134" xr:uid="{00000000-0005-0000-0000-0000033F0000}"/>
    <cellStyle name="40% - Énfasis6 2 2 2 2 2 2 2 2 2 2" xfId="16135" xr:uid="{00000000-0005-0000-0000-0000043F0000}"/>
    <cellStyle name="40% - Énfasis6 2 2 2 2 2 2 2 2 3" xfId="16136" xr:uid="{00000000-0005-0000-0000-0000053F0000}"/>
    <cellStyle name="40% - Énfasis6 2 2 2 2 2 2 2 2 4" xfId="16137" xr:uid="{00000000-0005-0000-0000-0000063F0000}"/>
    <cellStyle name="40% - Énfasis6 2 2 2 2 2 2 2 3" xfId="16138" xr:uid="{00000000-0005-0000-0000-0000073F0000}"/>
    <cellStyle name="40% - Énfasis6 2 2 2 2 2 2 2 3 2" xfId="16139" xr:uid="{00000000-0005-0000-0000-0000083F0000}"/>
    <cellStyle name="40% - Énfasis6 2 2 2 2 2 2 2 4" xfId="16140" xr:uid="{00000000-0005-0000-0000-0000093F0000}"/>
    <cellStyle name="40% - Énfasis6 2 2 2 2 2 2 2 5" xfId="16141" xr:uid="{00000000-0005-0000-0000-00000A3F0000}"/>
    <cellStyle name="40% - Énfasis6 2 2 2 2 2 2 3" xfId="16142" xr:uid="{00000000-0005-0000-0000-00000B3F0000}"/>
    <cellStyle name="40% - Énfasis6 2 2 2 2 2 2 3 2" xfId="16143" xr:uid="{00000000-0005-0000-0000-00000C3F0000}"/>
    <cellStyle name="40% - Énfasis6 2 2 2 2 2 2 3 2 2" xfId="16144" xr:uid="{00000000-0005-0000-0000-00000D3F0000}"/>
    <cellStyle name="40% - Énfasis6 2 2 2 2 2 2 3 3" xfId="16145" xr:uid="{00000000-0005-0000-0000-00000E3F0000}"/>
    <cellStyle name="40% - Énfasis6 2 2 2 2 2 2 3 4" xfId="16146" xr:uid="{00000000-0005-0000-0000-00000F3F0000}"/>
    <cellStyle name="40% - Énfasis6 2 2 2 2 2 2 4" xfId="16147" xr:uid="{00000000-0005-0000-0000-0000103F0000}"/>
    <cellStyle name="40% - Énfasis6 2 2 2 2 2 2 4 2" xfId="16148" xr:uid="{00000000-0005-0000-0000-0000113F0000}"/>
    <cellStyle name="40% - Énfasis6 2 2 2 2 2 2 5" xfId="16149" xr:uid="{00000000-0005-0000-0000-0000123F0000}"/>
    <cellStyle name="40% - Énfasis6 2 2 2 2 2 2 6" xfId="16150" xr:uid="{00000000-0005-0000-0000-0000133F0000}"/>
    <cellStyle name="40% - Énfasis6 2 2 2 2 2 3" xfId="16151" xr:uid="{00000000-0005-0000-0000-0000143F0000}"/>
    <cellStyle name="40% - Énfasis6 2 2 2 2 2 3 2" xfId="16152" xr:uid="{00000000-0005-0000-0000-0000153F0000}"/>
    <cellStyle name="40% - Énfasis6 2 2 2 2 2 3 2 2" xfId="16153" xr:uid="{00000000-0005-0000-0000-0000163F0000}"/>
    <cellStyle name="40% - Énfasis6 2 2 2 2 2 3 2 2 2" xfId="16154" xr:uid="{00000000-0005-0000-0000-0000173F0000}"/>
    <cellStyle name="40% - Énfasis6 2 2 2 2 2 3 2 3" xfId="16155" xr:uid="{00000000-0005-0000-0000-0000183F0000}"/>
    <cellStyle name="40% - Énfasis6 2 2 2 2 2 3 2 4" xfId="16156" xr:uid="{00000000-0005-0000-0000-0000193F0000}"/>
    <cellStyle name="40% - Énfasis6 2 2 2 2 2 3 3" xfId="16157" xr:uid="{00000000-0005-0000-0000-00001A3F0000}"/>
    <cellStyle name="40% - Énfasis6 2 2 2 2 2 3 3 2" xfId="16158" xr:uid="{00000000-0005-0000-0000-00001B3F0000}"/>
    <cellStyle name="40% - Énfasis6 2 2 2 2 2 3 4" xfId="16159" xr:uid="{00000000-0005-0000-0000-00001C3F0000}"/>
    <cellStyle name="40% - Énfasis6 2 2 2 2 2 3 5" xfId="16160" xr:uid="{00000000-0005-0000-0000-00001D3F0000}"/>
    <cellStyle name="40% - Énfasis6 2 2 2 2 2 4" xfId="16161" xr:uid="{00000000-0005-0000-0000-00001E3F0000}"/>
    <cellStyle name="40% - Énfasis6 2 2 2 2 2 4 2" xfId="16162" xr:uid="{00000000-0005-0000-0000-00001F3F0000}"/>
    <cellStyle name="40% - Énfasis6 2 2 2 2 2 4 2 2" xfId="16163" xr:uid="{00000000-0005-0000-0000-0000203F0000}"/>
    <cellStyle name="40% - Énfasis6 2 2 2 2 2 4 3" xfId="16164" xr:uid="{00000000-0005-0000-0000-0000213F0000}"/>
    <cellStyle name="40% - Énfasis6 2 2 2 2 2 4 4" xfId="16165" xr:uid="{00000000-0005-0000-0000-0000223F0000}"/>
    <cellStyle name="40% - Énfasis6 2 2 2 2 2 5" xfId="16166" xr:uid="{00000000-0005-0000-0000-0000233F0000}"/>
    <cellStyle name="40% - Énfasis6 2 2 2 2 2 5 2" xfId="16167" xr:uid="{00000000-0005-0000-0000-0000243F0000}"/>
    <cellStyle name="40% - Énfasis6 2 2 2 2 2 6" xfId="16168" xr:uid="{00000000-0005-0000-0000-0000253F0000}"/>
    <cellStyle name="40% - Énfasis6 2 2 2 2 2 7" xfId="16169" xr:uid="{00000000-0005-0000-0000-0000263F0000}"/>
    <cellStyle name="40% - Énfasis6 2 2 2 2 3" xfId="16170" xr:uid="{00000000-0005-0000-0000-0000273F0000}"/>
    <cellStyle name="40% - Énfasis6 2 2 2 2 3 2" xfId="16171" xr:uid="{00000000-0005-0000-0000-0000283F0000}"/>
    <cellStyle name="40% - Énfasis6 2 2 2 2 3 2 2" xfId="16172" xr:uid="{00000000-0005-0000-0000-0000293F0000}"/>
    <cellStyle name="40% - Énfasis6 2 2 2 2 3 2 2 2" xfId="16173" xr:uid="{00000000-0005-0000-0000-00002A3F0000}"/>
    <cellStyle name="40% - Énfasis6 2 2 2 2 3 2 2 2 2" xfId="16174" xr:uid="{00000000-0005-0000-0000-00002B3F0000}"/>
    <cellStyle name="40% - Énfasis6 2 2 2 2 3 2 2 3" xfId="16175" xr:uid="{00000000-0005-0000-0000-00002C3F0000}"/>
    <cellStyle name="40% - Énfasis6 2 2 2 2 3 2 2 4" xfId="16176" xr:uid="{00000000-0005-0000-0000-00002D3F0000}"/>
    <cellStyle name="40% - Énfasis6 2 2 2 2 3 2 3" xfId="16177" xr:uid="{00000000-0005-0000-0000-00002E3F0000}"/>
    <cellStyle name="40% - Énfasis6 2 2 2 2 3 2 3 2" xfId="16178" xr:uid="{00000000-0005-0000-0000-00002F3F0000}"/>
    <cellStyle name="40% - Énfasis6 2 2 2 2 3 2 4" xfId="16179" xr:uid="{00000000-0005-0000-0000-0000303F0000}"/>
    <cellStyle name="40% - Énfasis6 2 2 2 2 3 2 5" xfId="16180" xr:uid="{00000000-0005-0000-0000-0000313F0000}"/>
    <cellStyle name="40% - Énfasis6 2 2 2 2 3 3" xfId="16181" xr:uid="{00000000-0005-0000-0000-0000323F0000}"/>
    <cellStyle name="40% - Énfasis6 2 2 2 2 3 3 2" xfId="16182" xr:uid="{00000000-0005-0000-0000-0000333F0000}"/>
    <cellStyle name="40% - Énfasis6 2 2 2 2 3 3 2 2" xfId="16183" xr:uid="{00000000-0005-0000-0000-0000343F0000}"/>
    <cellStyle name="40% - Énfasis6 2 2 2 2 3 3 3" xfId="16184" xr:uid="{00000000-0005-0000-0000-0000353F0000}"/>
    <cellStyle name="40% - Énfasis6 2 2 2 2 3 3 3 2" xfId="16185" xr:uid="{00000000-0005-0000-0000-0000363F0000}"/>
    <cellStyle name="40% - Énfasis6 2 2 2 2 3 3 4" xfId="16186" xr:uid="{00000000-0005-0000-0000-0000373F0000}"/>
    <cellStyle name="40% - Énfasis6 2 2 2 2 3 3 5" xfId="16187" xr:uid="{00000000-0005-0000-0000-0000383F0000}"/>
    <cellStyle name="40% - Énfasis6 2 2 2 2 3 4" xfId="16188" xr:uid="{00000000-0005-0000-0000-0000393F0000}"/>
    <cellStyle name="40% - Énfasis6 2 2 2 2 3 4 2" xfId="16189" xr:uid="{00000000-0005-0000-0000-00003A3F0000}"/>
    <cellStyle name="40% - Énfasis6 2 2 2 2 3 5" xfId="16190" xr:uid="{00000000-0005-0000-0000-00003B3F0000}"/>
    <cellStyle name="40% - Énfasis6 2 2 2 2 3 5 2" xfId="16191" xr:uid="{00000000-0005-0000-0000-00003C3F0000}"/>
    <cellStyle name="40% - Énfasis6 2 2 2 2 3 6" xfId="16192" xr:uid="{00000000-0005-0000-0000-00003D3F0000}"/>
    <cellStyle name="40% - Énfasis6 2 2 2 2 3 7" xfId="16193" xr:uid="{00000000-0005-0000-0000-00003E3F0000}"/>
    <cellStyle name="40% - Énfasis6 2 2 2 2 4" xfId="16194" xr:uid="{00000000-0005-0000-0000-00003F3F0000}"/>
    <cellStyle name="40% - Énfasis6 2 2 2 2 4 2" xfId="16195" xr:uid="{00000000-0005-0000-0000-0000403F0000}"/>
    <cellStyle name="40% - Énfasis6 2 2 2 2 4 2 2" xfId="16196" xr:uid="{00000000-0005-0000-0000-0000413F0000}"/>
    <cellStyle name="40% - Énfasis6 2 2 2 2 4 2 2 2" xfId="16197" xr:uid="{00000000-0005-0000-0000-0000423F0000}"/>
    <cellStyle name="40% - Énfasis6 2 2 2 2 4 2 3" xfId="16198" xr:uid="{00000000-0005-0000-0000-0000433F0000}"/>
    <cellStyle name="40% - Énfasis6 2 2 2 2 4 2 4" xfId="16199" xr:uid="{00000000-0005-0000-0000-0000443F0000}"/>
    <cellStyle name="40% - Énfasis6 2 2 2 2 4 3" xfId="16200" xr:uid="{00000000-0005-0000-0000-0000453F0000}"/>
    <cellStyle name="40% - Énfasis6 2 2 2 2 4 3 2" xfId="16201" xr:uid="{00000000-0005-0000-0000-0000463F0000}"/>
    <cellStyle name="40% - Énfasis6 2 2 2 2 4 4" xfId="16202" xr:uid="{00000000-0005-0000-0000-0000473F0000}"/>
    <cellStyle name="40% - Énfasis6 2 2 2 2 4 5" xfId="16203" xr:uid="{00000000-0005-0000-0000-0000483F0000}"/>
    <cellStyle name="40% - Énfasis6 2 2 2 2 5" xfId="16204" xr:uid="{00000000-0005-0000-0000-0000493F0000}"/>
    <cellStyle name="40% - Énfasis6 2 2 2 2 5 2" xfId="16205" xr:uid="{00000000-0005-0000-0000-00004A3F0000}"/>
    <cellStyle name="40% - Énfasis6 2 2 2 2 5 2 2" xfId="16206" xr:uid="{00000000-0005-0000-0000-00004B3F0000}"/>
    <cellStyle name="40% - Énfasis6 2 2 2 2 5 3" xfId="16207" xr:uid="{00000000-0005-0000-0000-00004C3F0000}"/>
    <cellStyle name="40% - Énfasis6 2 2 2 2 5 3 2" xfId="16208" xr:uid="{00000000-0005-0000-0000-00004D3F0000}"/>
    <cellStyle name="40% - Énfasis6 2 2 2 2 5 4" xfId="16209" xr:uid="{00000000-0005-0000-0000-00004E3F0000}"/>
    <cellStyle name="40% - Énfasis6 2 2 2 2 5 5" xfId="16210" xr:uid="{00000000-0005-0000-0000-00004F3F0000}"/>
    <cellStyle name="40% - Énfasis6 2 2 2 2 6" xfId="16211" xr:uid="{00000000-0005-0000-0000-0000503F0000}"/>
    <cellStyle name="40% - Énfasis6 2 2 2 2 6 2" xfId="16212" xr:uid="{00000000-0005-0000-0000-0000513F0000}"/>
    <cellStyle name="40% - Énfasis6 2 2 2 2 7" xfId="16213" xr:uid="{00000000-0005-0000-0000-0000523F0000}"/>
    <cellStyle name="40% - Énfasis6 2 2 2 2 7 2" xfId="16214" xr:uid="{00000000-0005-0000-0000-0000533F0000}"/>
    <cellStyle name="40% - Énfasis6 2 2 2 2 8" xfId="16215" xr:uid="{00000000-0005-0000-0000-0000543F0000}"/>
    <cellStyle name="40% - Énfasis6 2 2 2 2 9" xfId="16216" xr:uid="{00000000-0005-0000-0000-0000553F0000}"/>
    <cellStyle name="40% - Énfasis6 2 2 2 3" xfId="16217" xr:uid="{00000000-0005-0000-0000-0000563F0000}"/>
    <cellStyle name="40% - Énfasis6 2 2 2 3 2" xfId="16218" xr:uid="{00000000-0005-0000-0000-0000573F0000}"/>
    <cellStyle name="40% - Énfasis6 2 2 2 3 2 2" xfId="16219" xr:uid="{00000000-0005-0000-0000-0000583F0000}"/>
    <cellStyle name="40% - Énfasis6 2 2 2 3 2 2 2" xfId="16220" xr:uid="{00000000-0005-0000-0000-0000593F0000}"/>
    <cellStyle name="40% - Énfasis6 2 2 2 3 2 2 2 2" xfId="16221" xr:uid="{00000000-0005-0000-0000-00005A3F0000}"/>
    <cellStyle name="40% - Énfasis6 2 2 2 3 2 2 2 2 2" xfId="16222" xr:uid="{00000000-0005-0000-0000-00005B3F0000}"/>
    <cellStyle name="40% - Énfasis6 2 2 2 3 2 2 2 3" xfId="16223" xr:uid="{00000000-0005-0000-0000-00005C3F0000}"/>
    <cellStyle name="40% - Énfasis6 2 2 2 3 2 2 2 4" xfId="16224" xr:uid="{00000000-0005-0000-0000-00005D3F0000}"/>
    <cellStyle name="40% - Énfasis6 2 2 2 3 2 2 3" xfId="16225" xr:uid="{00000000-0005-0000-0000-00005E3F0000}"/>
    <cellStyle name="40% - Énfasis6 2 2 2 3 2 2 3 2" xfId="16226" xr:uid="{00000000-0005-0000-0000-00005F3F0000}"/>
    <cellStyle name="40% - Énfasis6 2 2 2 3 2 2 4" xfId="16227" xr:uid="{00000000-0005-0000-0000-0000603F0000}"/>
    <cellStyle name="40% - Énfasis6 2 2 2 3 2 2 5" xfId="16228" xr:uid="{00000000-0005-0000-0000-0000613F0000}"/>
    <cellStyle name="40% - Énfasis6 2 2 2 3 2 3" xfId="16229" xr:uid="{00000000-0005-0000-0000-0000623F0000}"/>
    <cellStyle name="40% - Énfasis6 2 2 2 3 2 3 2" xfId="16230" xr:uid="{00000000-0005-0000-0000-0000633F0000}"/>
    <cellStyle name="40% - Énfasis6 2 2 2 3 2 3 2 2" xfId="16231" xr:uid="{00000000-0005-0000-0000-0000643F0000}"/>
    <cellStyle name="40% - Énfasis6 2 2 2 3 2 3 3" xfId="16232" xr:uid="{00000000-0005-0000-0000-0000653F0000}"/>
    <cellStyle name="40% - Énfasis6 2 2 2 3 2 3 4" xfId="16233" xr:uid="{00000000-0005-0000-0000-0000663F0000}"/>
    <cellStyle name="40% - Énfasis6 2 2 2 3 2 4" xfId="16234" xr:uid="{00000000-0005-0000-0000-0000673F0000}"/>
    <cellStyle name="40% - Énfasis6 2 2 2 3 2 4 2" xfId="16235" xr:uid="{00000000-0005-0000-0000-0000683F0000}"/>
    <cellStyle name="40% - Énfasis6 2 2 2 3 2 5" xfId="16236" xr:uid="{00000000-0005-0000-0000-0000693F0000}"/>
    <cellStyle name="40% - Énfasis6 2 2 2 3 2 6" xfId="16237" xr:uid="{00000000-0005-0000-0000-00006A3F0000}"/>
    <cellStyle name="40% - Énfasis6 2 2 2 3 3" xfId="16238" xr:uid="{00000000-0005-0000-0000-00006B3F0000}"/>
    <cellStyle name="40% - Énfasis6 2 2 2 3 3 2" xfId="16239" xr:uid="{00000000-0005-0000-0000-00006C3F0000}"/>
    <cellStyle name="40% - Énfasis6 2 2 2 3 3 2 2" xfId="16240" xr:uid="{00000000-0005-0000-0000-00006D3F0000}"/>
    <cellStyle name="40% - Énfasis6 2 2 2 3 3 2 2 2" xfId="16241" xr:uid="{00000000-0005-0000-0000-00006E3F0000}"/>
    <cellStyle name="40% - Énfasis6 2 2 2 3 3 2 3" xfId="16242" xr:uid="{00000000-0005-0000-0000-00006F3F0000}"/>
    <cellStyle name="40% - Énfasis6 2 2 2 3 3 2 4" xfId="16243" xr:uid="{00000000-0005-0000-0000-0000703F0000}"/>
    <cellStyle name="40% - Énfasis6 2 2 2 3 3 3" xfId="16244" xr:uid="{00000000-0005-0000-0000-0000713F0000}"/>
    <cellStyle name="40% - Énfasis6 2 2 2 3 3 3 2" xfId="16245" xr:uid="{00000000-0005-0000-0000-0000723F0000}"/>
    <cellStyle name="40% - Énfasis6 2 2 2 3 3 4" xfId="16246" xr:uid="{00000000-0005-0000-0000-0000733F0000}"/>
    <cellStyle name="40% - Énfasis6 2 2 2 3 3 5" xfId="16247" xr:uid="{00000000-0005-0000-0000-0000743F0000}"/>
    <cellStyle name="40% - Énfasis6 2 2 2 3 4" xfId="16248" xr:uid="{00000000-0005-0000-0000-0000753F0000}"/>
    <cellStyle name="40% - Énfasis6 2 2 2 3 4 2" xfId="16249" xr:uid="{00000000-0005-0000-0000-0000763F0000}"/>
    <cellStyle name="40% - Énfasis6 2 2 2 3 4 2 2" xfId="16250" xr:uid="{00000000-0005-0000-0000-0000773F0000}"/>
    <cellStyle name="40% - Énfasis6 2 2 2 3 4 3" xfId="16251" xr:uid="{00000000-0005-0000-0000-0000783F0000}"/>
    <cellStyle name="40% - Énfasis6 2 2 2 3 4 4" xfId="16252" xr:uid="{00000000-0005-0000-0000-0000793F0000}"/>
    <cellStyle name="40% - Énfasis6 2 2 2 3 5" xfId="16253" xr:uid="{00000000-0005-0000-0000-00007A3F0000}"/>
    <cellStyle name="40% - Énfasis6 2 2 2 3 5 2" xfId="16254" xr:uid="{00000000-0005-0000-0000-00007B3F0000}"/>
    <cellStyle name="40% - Énfasis6 2 2 2 3 6" xfId="16255" xr:uid="{00000000-0005-0000-0000-00007C3F0000}"/>
    <cellStyle name="40% - Énfasis6 2 2 2 3 7" xfId="16256" xr:uid="{00000000-0005-0000-0000-00007D3F0000}"/>
    <cellStyle name="40% - Énfasis6 2 2 2 4" xfId="16257" xr:uid="{00000000-0005-0000-0000-00007E3F0000}"/>
    <cellStyle name="40% - Énfasis6 2 2 2 4 2" xfId="16258" xr:uid="{00000000-0005-0000-0000-00007F3F0000}"/>
    <cellStyle name="40% - Énfasis6 2 2 2 4 2 2" xfId="16259" xr:uid="{00000000-0005-0000-0000-0000803F0000}"/>
    <cellStyle name="40% - Énfasis6 2 2 2 4 2 2 2" xfId="16260" xr:uid="{00000000-0005-0000-0000-0000813F0000}"/>
    <cellStyle name="40% - Énfasis6 2 2 2 4 2 2 2 2" xfId="16261" xr:uid="{00000000-0005-0000-0000-0000823F0000}"/>
    <cellStyle name="40% - Énfasis6 2 2 2 4 2 2 3" xfId="16262" xr:uid="{00000000-0005-0000-0000-0000833F0000}"/>
    <cellStyle name="40% - Énfasis6 2 2 2 4 2 2 4" xfId="16263" xr:uid="{00000000-0005-0000-0000-0000843F0000}"/>
    <cellStyle name="40% - Énfasis6 2 2 2 4 2 3" xfId="16264" xr:uid="{00000000-0005-0000-0000-0000853F0000}"/>
    <cellStyle name="40% - Énfasis6 2 2 2 4 2 3 2" xfId="16265" xr:uid="{00000000-0005-0000-0000-0000863F0000}"/>
    <cellStyle name="40% - Énfasis6 2 2 2 4 2 4" xfId="16266" xr:uid="{00000000-0005-0000-0000-0000873F0000}"/>
    <cellStyle name="40% - Énfasis6 2 2 2 4 2 5" xfId="16267" xr:uid="{00000000-0005-0000-0000-0000883F0000}"/>
    <cellStyle name="40% - Énfasis6 2 2 2 4 3" xfId="16268" xr:uid="{00000000-0005-0000-0000-0000893F0000}"/>
    <cellStyle name="40% - Énfasis6 2 2 2 4 3 2" xfId="16269" xr:uid="{00000000-0005-0000-0000-00008A3F0000}"/>
    <cellStyle name="40% - Énfasis6 2 2 2 4 3 2 2" xfId="16270" xr:uid="{00000000-0005-0000-0000-00008B3F0000}"/>
    <cellStyle name="40% - Énfasis6 2 2 2 4 3 3" xfId="16271" xr:uid="{00000000-0005-0000-0000-00008C3F0000}"/>
    <cellStyle name="40% - Énfasis6 2 2 2 4 3 3 2" xfId="16272" xr:uid="{00000000-0005-0000-0000-00008D3F0000}"/>
    <cellStyle name="40% - Énfasis6 2 2 2 4 3 4" xfId="16273" xr:uid="{00000000-0005-0000-0000-00008E3F0000}"/>
    <cellStyle name="40% - Énfasis6 2 2 2 4 3 5" xfId="16274" xr:uid="{00000000-0005-0000-0000-00008F3F0000}"/>
    <cellStyle name="40% - Énfasis6 2 2 2 4 4" xfId="16275" xr:uid="{00000000-0005-0000-0000-0000903F0000}"/>
    <cellStyle name="40% - Énfasis6 2 2 2 4 4 2" xfId="16276" xr:uid="{00000000-0005-0000-0000-0000913F0000}"/>
    <cellStyle name="40% - Énfasis6 2 2 2 4 5" xfId="16277" xr:uid="{00000000-0005-0000-0000-0000923F0000}"/>
    <cellStyle name="40% - Énfasis6 2 2 2 4 5 2" xfId="16278" xr:uid="{00000000-0005-0000-0000-0000933F0000}"/>
    <cellStyle name="40% - Énfasis6 2 2 2 4 6" xfId="16279" xr:uid="{00000000-0005-0000-0000-0000943F0000}"/>
    <cellStyle name="40% - Énfasis6 2 2 2 4 7" xfId="16280" xr:uid="{00000000-0005-0000-0000-0000953F0000}"/>
    <cellStyle name="40% - Énfasis6 2 2 2 5" xfId="16281" xr:uid="{00000000-0005-0000-0000-0000963F0000}"/>
    <cellStyle name="40% - Énfasis6 2 2 2 5 2" xfId="16282" xr:uid="{00000000-0005-0000-0000-0000973F0000}"/>
    <cellStyle name="40% - Énfasis6 2 2 2 5 2 2" xfId="16283" xr:uid="{00000000-0005-0000-0000-0000983F0000}"/>
    <cellStyle name="40% - Énfasis6 2 2 2 5 2 2 2" xfId="16284" xr:uid="{00000000-0005-0000-0000-0000993F0000}"/>
    <cellStyle name="40% - Énfasis6 2 2 2 5 2 3" xfId="16285" xr:uid="{00000000-0005-0000-0000-00009A3F0000}"/>
    <cellStyle name="40% - Énfasis6 2 2 2 5 2 4" xfId="16286" xr:uid="{00000000-0005-0000-0000-00009B3F0000}"/>
    <cellStyle name="40% - Énfasis6 2 2 2 5 3" xfId="16287" xr:uid="{00000000-0005-0000-0000-00009C3F0000}"/>
    <cellStyle name="40% - Énfasis6 2 2 2 5 3 2" xfId="16288" xr:uid="{00000000-0005-0000-0000-00009D3F0000}"/>
    <cellStyle name="40% - Énfasis6 2 2 2 5 4" xfId="16289" xr:uid="{00000000-0005-0000-0000-00009E3F0000}"/>
    <cellStyle name="40% - Énfasis6 2 2 2 5 5" xfId="16290" xr:uid="{00000000-0005-0000-0000-00009F3F0000}"/>
    <cellStyle name="40% - Énfasis6 2 2 2 6" xfId="16291" xr:uid="{00000000-0005-0000-0000-0000A03F0000}"/>
    <cellStyle name="40% - Énfasis6 2 2 2 6 2" xfId="16292" xr:uid="{00000000-0005-0000-0000-0000A13F0000}"/>
    <cellStyle name="40% - Énfasis6 2 2 2 6 2 2" xfId="16293" xr:uid="{00000000-0005-0000-0000-0000A23F0000}"/>
    <cellStyle name="40% - Énfasis6 2 2 2 6 3" xfId="16294" xr:uid="{00000000-0005-0000-0000-0000A33F0000}"/>
    <cellStyle name="40% - Énfasis6 2 2 2 6 3 2" xfId="16295" xr:uid="{00000000-0005-0000-0000-0000A43F0000}"/>
    <cellStyle name="40% - Énfasis6 2 2 2 6 4" xfId="16296" xr:uid="{00000000-0005-0000-0000-0000A53F0000}"/>
    <cellStyle name="40% - Énfasis6 2 2 2 6 5" xfId="16297" xr:uid="{00000000-0005-0000-0000-0000A63F0000}"/>
    <cellStyle name="40% - Énfasis6 2 2 2 7" xfId="16298" xr:uid="{00000000-0005-0000-0000-0000A73F0000}"/>
    <cellStyle name="40% - Énfasis6 2 2 2 7 2" xfId="16299" xr:uid="{00000000-0005-0000-0000-0000A83F0000}"/>
    <cellStyle name="40% - Énfasis6 2 2 2 8" xfId="16300" xr:uid="{00000000-0005-0000-0000-0000A93F0000}"/>
    <cellStyle name="40% - Énfasis6 2 2 2 8 2" xfId="16301" xr:uid="{00000000-0005-0000-0000-0000AA3F0000}"/>
    <cellStyle name="40% - Énfasis6 2 2 2 9" xfId="16302" xr:uid="{00000000-0005-0000-0000-0000AB3F0000}"/>
    <cellStyle name="40% - Énfasis6 2 2 3" xfId="16303" xr:uid="{00000000-0005-0000-0000-0000AC3F0000}"/>
    <cellStyle name="40% - Énfasis6 2 2 3 2" xfId="16304" xr:uid="{00000000-0005-0000-0000-0000AD3F0000}"/>
    <cellStyle name="40% - Énfasis6 2 2 3 2 2" xfId="16305" xr:uid="{00000000-0005-0000-0000-0000AE3F0000}"/>
    <cellStyle name="40% - Énfasis6 2 2 3 2 2 2" xfId="16306" xr:uid="{00000000-0005-0000-0000-0000AF3F0000}"/>
    <cellStyle name="40% - Énfasis6 2 2 3 2 2 2 2" xfId="16307" xr:uid="{00000000-0005-0000-0000-0000B03F0000}"/>
    <cellStyle name="40% - Énfasis6 2 2 3 2 2 2 2 2" xfId="16308" xr:uid="{00000000-0005-0000-0000-0000B13F0000}"/>
    <cellStyle name="40% - Énfasis6 2 2 3 2 2 2 2 2 2" xfId="16309" xr:uid="{00000000-0005-0000-0000-0000B23F0000}"/>
    <cellStyle name="40% - Énfasis6 2 2 3 2 2 2 2 3" xfId="16310" xr:uid="{00000000-0005-0000-0000-0000B33F0000}"/>
    <cellStyle name="40% - Énfasis6 2 2 3 2 2 2 2 4" xfId="16311" xr:uid="{00000000-0005-0000-0000-0000B43F0000}"/>
    <cellStyle name="40% - Énfasis6 2 2 3 2 2 2 3" xfId="16312" xr:uid="{00000000-0005-0000-0000-0000B53F0000}"/>
    <cellStyle name="40% - Énfasis6 2 2 3 2 2 2 3 2" xfId="16313" xr:uid="{00000000-0005-0000-0000-0000B63F0000}"/>
    <cellStyle name="40% - Énfasis6 2 2 3 2 2 2 4" xfId="16314" xr:uid="{00000000-0005-0000-0000-0000B73F0000}"/>
    <cellStyle name="40% - Énfasis6 2 2 3 2 2 2 5" xfId="16315" xr:uid="{00000000-0005-0000-0000-0000B83F0000}"/>
    <cellStyle name="40% - Énfasis6 2 2 3 2 2 3" xfId="16316" xr:uid="{00000000-0005-0000-0000-0000B93F0000}"/>
    <cellStyle name="40% - Énfasis6 2 2 3 2 2 3 2" xfId="16317" xr:uid="{00000000-0005-0000-0000-0000BA3F0000}"/>
    <cellStyle name="40% - Énfasis6 2 2 3 2 2 3 2 2" xfId="16318" xr:uid="{00000000-0005-0000-0000-0000BB3F0000}"/>
    <cellStyle name="40% - Énfasis6 2 2 3 2 2 3 3" xfId="16319" xr:uid="{00000000-0005-0000-0000-0000BC3F0000}"/>
    <cellStyle name="40% - Énfasis6 2 2 3 2 2 3 4" xfId="16320" xr:uid="{00000000-0005-0000-0000-0000BD3F0000}"/>
    <cellStyle name="40% - Énfasis6 2 2 3 2 2 4" xfId="16321" xr:uid="{00000000-0005-0000-0000-0000BE3F0000}"/>
    <cellStyle name="40% - Énfasis6 2 2 3 2 2 4 2" xfId="16322" xr:uid="{00000000-0005-0000-0000-0000BF3F0000}"/>
    <cellStyle name="40% - Énfasis6 2 2 3 2 2 5" xfId="16323" xr:uid="{00000000-0005-0000-0000-0000C03F0000}"/>
    <cellStyle name="40% - Énfasis6 2 2 3 2 2 6" xfId="16324" xr:uid="{00000000-0005-0000-0000-0000C13F0000}"/>
    <cellStyle name="40% - Énfasis6 2 2 3 2 3" xfId="16325" xr:uid="{00000000-0005-0000-0000-0000C23F0000}"/>
    <cellStyle name="40% - Énfasis6 2 2 3 2 3 2" xfId="16326" xr:uid="{00000000-0005-0000-0000-0000C33F0000}"/>
    <cellStyle name="40% - Énfasis6 2 2 3 2 3 2 2" xfId="16327" xr:uid="{00000000-0005-0000-0000-0000C43F0000}"/>
    <cellStyle name="40% - Énfasis6 2 2 3 2 3 2 2 2" xfId="16328" xr:uid="{00000000-0005-0000-0000-0000C53F0000}"/>
    <cellStyle name="40% - Énfasis6 2 2 3 2 3 2 3" xfId="16329" xr:uid="{00000000-0005-0000-0000-0000C63F0000}"/>
    <cellStyle name="40% - Énfasis6 2 2 3 2 3 2 4" xfId="16330" xr:uid="{00000000-0005-0000-0000-0000C73F0000}"/>
    <cellStyle name="40% - Énfasis6 2 2 3 2 3 3" xfId="16331" xr:uid="{00000000-0005-0000-0000-0000C83F0000}"/>
    <cellStyle name="40% - Énfasis6 2 2 3 2 3 3 2" xfId="16332" xr:uid="{00000000-0005-0000-0000-0000C93F0000}"/>
    <cellStyle name="40% - Énfasis6 2 2 3 2 3 4" xfId="16333" xr:uid="{00000000-0005-0000-0000-0000CA3F0000}"/>
    <cellStyle name="40% - Énfasis6 2 2 3 2 3 5" xfId="16334" xr:uid="{00000000-0005-0000-0000-0000CB3F0000}"/>
    <cellStyle name="40% - Énfasis6 2 2 3 2 4" xfId="16335" xr:uid="{00000000-0005-0000-0000-0000CC3F0000}"/>
    <cellStyle name="40% - Énfasis6 2 2 3 2 4 2" xfId="16336" xr:uid="{00000000-0005-0000-0000-0000CD3F0000}"/>
    <cellStyle name="40% - Énfasis6 2 2 3 2 4 2 2" xfId="16337" xr:uid="{00000000-0005-0000-0000-0000CE3F0000}"/>
    <cellStyle name="40% - Énfasis6 2 2 3 2 4 3" xfId="16338" xr:uid="{00000000-0005-0000-0000-0000CF3F0000}"/>
    <cellStyle name="40% - Énfasis6 2 2 3 2 4 4" xfId="16339" xr:uid="{00000000-0005-0000-0000-0000D03F0000}"/>
    <cellStyle name="40% - Énfasis6 2 2 3 2 5" xfId="16340" xr:uid="{00000000-0005-0000-0000-0000D13F0000}"/>
    <cellStyle name="40% - Énfasis6 2 2 3 2 5 2" xfId="16341" xr:uid="{00000000-0005-0000-0000-0000D23F0000}"/>
    <cellStyle name="40% - Énfasis6 2 2 3 2 6" xfId="16342" xr:uid="{00000000-0005-0000-0000-0000D33F0000}"/>
    <cellStyle name="40% - Énfasis6 2 2 3 2 7" xfId="16343" xr:uid="{00000000-0005-0000-0000-0000D43F0000}"/>
    <cellStyle name="40% - Énfasis6 2 2 3 3" xfId="16344" xr:uid="{00000000-0005-0000-0000-0000D53F0000}"/>
    <cellStyle name="40% - Énfasis6 2 2 3 3 2" xfId="16345" xr:uid="{00000000-0005-0000-0000-0000D63F0000}"/>
    <cellStyle name="40% - Énfasis6 2 2 3 3 2 2" xfId="16346" xr:uid="{00000000-0005-0000-0000-0000D73F0000}"/>
    <cellStyle name="40% - Énfasis6 2 2 3 3 2 2 2" xfId="16347" xr:uid="{00000000-0005-0000-0000-0000D83F0000}"/>
    <cellStyle name="40% - Énfasis6 2 2 3 3 2 2 2 2" xfId="16348" xr:uid="{00000000-0005-0000-0000-0000D93F0000}"/>
    <cellStyle name="40% - Énfasis6 2 2 3 3 2 2 3" xfId="16349" xr:uid="{00000000-0005-0000-0000-0000DA3F0000}"/>
    <cellStyle name="40% - Énfasis6 2 2 3 3 2 2 4" xfId="16350" xr:uid="{00000000-0005-0000-0000-0000DB3F0000}"/>
    <cellStyle name="40% - Énfasis6 2 2 3 3 2 3" xfId="16351" xr:uid="{00000000-0005-0000-0000-0000DC3F0000}"/>
    <cellStyle name="40% - Énfasis6 2 2 3 3 2 3 2" xfId="16352" xr:uid="{00000000-0005-0000-0000-0000DD3F0000}"/>
    <cellStyle name="40% - Énfasis6 2 2 3 3 2 4" xfId="16353" xr:uid="{00000000-0005-0000-0000-0000DE3F0000}"/>
    <cellStyle name="40% - Énfasis6 2 2 3 3 2 5" xfId="16354" xr:uid="{00000000-0005-0000-0000-0000DF3F0000}"/>
    <cellStyle name="40% - Énfasis6 2 2 3 3 3" xfId="16355" xr:uid="{00000000-0005-0000-0000-0000E03F0000}"/>
    <cellStyle name="40% - Énfasis6 2 2 3 3 3 2" xfId="16356" xr:uid="{00000000-0005-0000-0000-0000E13F0000}"/>
    <cellStyle name="40% - Énfasis6 2 2 3 3 3 2 2" xfId="16357" xr:uid="{00000000-0005-0000-0000-0000E23F0000}"/>
    <cellStyle name="40% - Énfasis6 2 2 3 3 3 3" xfId="16358" xr:uid="{00000000-0005-0000-0000-0000E33F0000}"/>
    <cellStyle name="40% - Énfasis6 2 2 3 3 3 3 2" xfId="16359" xr:uid="{00000000-0005-0000-0000-0000E43F0000}"/>
    <cellStyle name="40% - Énfasis6 2 2 3 3 3 4" xfId="16360" xr:uid="{00000000-0005-0000-0000-0000E53F0000}"/>
    <cellStyle name="40% - Énfasis6 2 2 3 3 3 5" xfId="16361" xr:uid="{00000000-0005-0000-0000-0000E63F0000}"/>
    <cellStyle name="40% - Énfasis6 2 2 3 3 4" xfId="16362" xr:uid="{00000000-0005-0000-0000-0000E73F0000}"/>
    <cellStyle name="40% - Énfasis6 2 2 3 3 4 2" xfId="16363" xr:uid="{00000000-0005-0000-0000-0000E83F0000}"/>
    <cellStyle name="40% - Énfasis6 2 2 3 3 5" xfId="16364" xr:uid="{00000000-0005-0000-0000-0000E93F0000}"/>
    <cellStyle name="40% - Énfasis6 2 2 3 3 5 2" xfId="16365" xr:uid="{00000000-0005-0000-0000-0000EA3F0000}"/>
    <cellStyle name="40% - Énfasis6 2 2 3 3 6" xfId="16366" xr:uid="{00000000-0005-0000-0000-0000EB3F0000}"/>
    <cellStyle name="40% - Énfasis6 2 2 3 3 7" xfId="16367" xr:uid="{00000000-0005-0000-0000-0000EC3F0000}"/>
    <cellStyle name="40% - Énfasis6 2 2 3 4" xfId="16368" xr:uid="{00000000-0005-0000-0000-0000ED3F0000}"/>
    <cellStyle name="40% - Énfasis6 2 2 3 4 2" xfId="16369" xr:uid="{00000000-0005-0000-0000-0000EE3F0000}"/>
    <cellStyle name="40% - Énfasis6 2 2 3 4 2 2" xfId="16370" xr:uid="{00000000-0005-0000-0000-0000EF3F0000}"/>
    <cellStyle name="40% - Énfasis6 2 2 3 4 2 2 2" xfId="16371" xr:uid="{00000000-0005-0000-0000-0000F03F0000}"/>
    <cellStyle name="40% - Énfasis6 2 2 3 4 2 3" xfId="16372" xr:uid="{00000000-0005-0000-0000-0000F13F0000}"/>
    <cellStyle name="40% - Énfasis6 2 2 3 4 2 4" xfId="16373" xr:uid="{00000000-0005-0000-0000-0000F23F0000}"/>
    <cellStyle name="40% - Énfasis6 2 2 3 4 3" xfId="16374" xr:uid="{00000000-0005-0000-0000-0000F33F0000}"/>
    <cellStyle name="40% - Énfasis6 2 2 3 4 3 2" xfId="16375" xr:uid="{00000000-0005-0000-0000-0000F43F0000}"/>
    <cellStyle name="40% - Énfasis6 2 2 3 4 4" xfId="16376" xr:uid="{00000000-0005-0000-0000-0000F53F0000}"/>
    <cellStyle name="40% - Énfasis6 2 2 3 4 5" xfId="16377" xr:uid="{00000000-0005-0000-0000-0000F63F0000}"/>
    <cellStyle name="40% - Énfasis6 2 2 3 5" xfId="16378" xr:uid="{00000000-0005-0000-0000-0000F73F0000}"/>
    <cellStyle name="40% - Énfasis6 2 2 3 5 2" xfId="16379" xr:uid="{00000000-0005-0000-0000-0000F83F0000}"/>
    <cellStyle name="40% - Énfasis6 2 2 3 5 2 2" xfId="16380" xr:uid="{00000000-0005-0000-0000-0000F93F0000}"/>
    <cellStyle name="40% - Énfasis6 2 2 3 5 3" xfId="16381" xr:uid="{00000000-0005-0000-0000-0000FA3F0000}"/>
    <cellStyle name="40% - Énfasis6 2 2 3 5 3 2" xfId="16382" xr:uid="{00000000-0005-0000-0000-0000FB3F0000}"/>
    <cellStyle name="40% - Énfasis6 2 2 3 5 4" xfId="16383" xr:uid="{00000000-0005-0000-0000-0000FC3F0000}"/>
    <cellStyle name="40% - Énfasis6 2 2 3 5 5" xfId="16384" xr:uid="{00000000-0005-0000-0000-0000FD3F0000}"/>
    <cellStyle name="40% - Énfasis6 2 2 3 6" xfId="16385" xr:uid="{00000000-0005-0000-0000-0000FE3F0000}"/>
    <cellStyle name="40% - Énfasis6 2 2 3 6 2" xfId="16386" xr:uid="{00000000-0005-0000-0000-0000FF3F0000}"/>
    <cellStyle name="40% - Énfasis6 2 2 3 7" xfId="16387" xr:uid="{00000000-0005-0000-0000-000000400000}"/>
    <cellStyle name="40% - Énfasis6 2 2 3 7 2" xfId="16388" xr:uid="{00000000-0005-0000-0000-000001400000}"/>
    <cellStyle name="40% - Énfasis6 2 2 3 8" xfId="16389" xr:uid="{00000000-0005-0000-0000-000002400000}"/>
    <cellStyle name="40% - Énfasis6 2 2 3 9" xfId="16390" xr:uid="{00000000-0005-0000-0000-000003400000}"/>
    <cellStyle name="40% - Énfasis6 2 2 4" xfId="16391" xr:uid="{00000000-0005-0000-0000-000004400000}"/>
    <cellStyle name="40% - Énfasis6 2 2 4 2" xfId="16392" xr:uid="{00000000-0005-0000-0000-000005400000}"/>
    <cellStyle name="40% - Énfasis6 2 2 4 2 2" xfId="16393" xr:uid="{00000000-0005-0000-0000-000006400000}"/>
    <cellStyle name="40% - Énfasis6 2 2 4 2 2 2" xfId="16394" xr:uid="{00000000-0005-0000-0000-000007400000}"/>
    <cellStyle name="40% - Énfasis6 2 2 4 2 2 2 2" xfId="16395" xr:uid="{00000000-0005-0000-0000-000008400000}"/>
    <cellStyle name="40% - Énfasis6 2 2 4 2 2 2 2 2" xfId="16396" xr:uid="{00000000-0005-0000-0000-000009400000}"/>
    <cellStyle name="40% - Énfasis6 2 2 4 2 2 2 3" xfId="16397" xr:uid="{00000000-0005-0000-0000-00000A400000}"/>
    <cellStyle name="40% - Énfasis6 2 2 4 2 2 2 4" xfId="16398" xr:uid="{00000000-0005-0000-0000-00000B400000}"/>
    <cellStyle name="40% - Énfasis6 2 2 4 2 2 3" xfId="16399" xr:uid="{00000000-0005-0000-0000-00000C400000}"/>
    <cellStyle name="40% - Énfasis6 2 2 4 2 2 3 2" xfId="16400" xr:uid="{00000000-0005-0000-0000-00000D400000}"/>
    <cellStyle name="40% - Énfasis6 2 2 4 2 2 4" xfId="16401" xr:uid="{00000000-0005-0000-0000-00000E400000}"/>
    <cellStyle name="40% - Énfasis6 2 2 4 2 2 5" xfId="16402" xr:uid="{00000000-0005-0000-0000-00000F400000}"/>
    <cellStyle name="40% - Énfasis6 2 2 4 2 3" xfId="16403" xr:uid="{00000000-0005-0000-0000-000010400000}"/>
    <cellStyle name="40% - Énfasis6 2 2 4 2 3 2" xfId="16404" xr:uid="{00000000-0005-0000-0000-000011400000}"/>
    <cellStyle name="40% - Énfasis6 2 2 4 2 3 2 2" xfId="16405" xr:uid="{00000000-0005-0000-0000-000012400000}"/>
    <cellStyle name="40% - Énfasis6 2 2 4 2 3 3" xfId="16406" xr:uid="{00000000-0005-0000-0000-000013400000}"/>
    <cellStyle name="40% - Énfasis6 2 2 4 2 3 3 2" xfId="16407" xr:uid="{00000000-0005-0000-0000-000014400000}"/>
    <cellStyle name="40% - Énfasis6 2 2 4 2 3 4" xfId="16408" xr:uid="{00000000-0005-0000-0000-000015400000}"/>
    <cellStyle name="40% - Énfasis6 2 2 4 2 3 5" xfId="16409" xr:uid="{00000000-0005-0000-0000-000016400000}"/>
    <cellStyle name="40% - Énfasis6 2 2 4 2 4" xfId="16410" xr:uid="{00000000-0005-0000-0000-000017400000}"/>
    <cellStyle name="40% - Énfasis6 2 2 4 2 4 2" xfId="16411" xr:uid="{00000000-0005-0000-0000-000018400000}"/>
    <cellStyle name="40% - Énfasis6 2 2 4 2 5" xfId="16412" xr:uid="{00000000-0005-0000-0000-000019400000}"/>
    <cellStyle name="40% - Énfasis6 2 2 4 2 5 2" xfId="16413" xr:uid="{00000000-0005-0000-0000-00001A400000}"/>
    <cellStyle name="40% - Énfasis6 2 2 4 2 6" xfId="16414" xr:uid="{00000000-0005-0000-0000-00001B400000}"/>
    <cellStyle name="40% - Énfasis6 2 2 4 2 7" xfId="16415" xr:uid="{00000000-0005-0000-0000-00001C400000}"/>
    <cellStyle name="40% - Énfasis6 2 2 4 3" xfId="16416" xr:uid="{00000000-0005-0000-0000-00001D400000}"/>
    <cellStyle name="40% - Énfasis6 2 2 4 3 2" xfId="16417" xr:uid="{00000000-0005-0000-0000-00001E400000}"/>
    <cellStyle name="40% - Énfasis6 2 2 4 3 2 2" xfId="16418" xr:uid="{00000000-0005-0000-0000-00001F400000}"/>
    <cellStyle name="40% - Énfasis6 2 2 4 3 2 2 2" xfId="16419" xr:uid="{00000000-0005-0000-0000-000020400000}"/>
    <cellStyle name="40% - Énfasis6 2 2 4 3 2 3" xfId="16420" xr:uid="{00000000-0005-0000-0000-000021400000}"/>
    <cellStyle name="40% - Énfasis6 2 2 4 3 2 4" xfId="16421" xr:uid="{00000000-0005-0000-0000-000022400000}"/>
    <cellStyle name="40% - Énfasis6 2 2 4 3 3" xfId="16422" xr:uid="{00000000-0005-0000-0000-000023400000}"/>
    <cellStyle name="40% - Énfasis6 2 2 4 3 3 2" xfId="16423" xr:uid="{00000000-0005-0000-0000-000024400000}"/>
    <cellStyle name="40% - Énfasis6 2 2 4 3 4" xfId="16424" xr:uid="{00000000-0005-0000-0000-000025400000}"/>
    <cellStyle name="40% - Énfasis6 2 2 4 3 5" xfId="16425" xr:uid="{00000000-0005-0000-0000-000026400000}"/>
    <cellStyle name="40% - Énfasis6 2 2 4 4" xfId="16426" xr:uid="{00000000-0005-0000-0000-000027400000}"/>
    <cellStyle name="40% - Énfasis6 2 2 4 4 2" xfId="16427" xr:uid="{00000000-0005-0000-0000-000028400000}"/>
    <cellStyle name="40% - Énfasis6 2 2 4 4 2 2" xfId="16428" xr:uid="{00000000-0005-0000-0000-000029400000}"/>
    <cellStyle name="40% - Énfasis6 2 2 4 4 3" xfId="16429" xr:uid="{00000000-0005-0000-0000-00002A400000}"/>
    <cellStyle name="40% - Énfasis6 2 2 4 4 3 2" xfId="16430" xr:uid="{00000000-0005-0000-0000-00002B400000}"/>
    <cellStyle name="40% - Énfasis6 2 2 4 4 4" xfId="16431" xr:uid="{00000000-0005-0000-0000-00002C400000}"/>
    <cellStyle name="40% - Énfasis6 2 2 4 4 5" xfId="16432" xr:uid="{00000000-0005-0000-0000-00002D400000}"/>
    <cellStyle name="40% - Énfasis6 2 2 4 5" xfId="16433" xr:uid="{00000000-0005-0000-0000-00002E400000}"/>
    <cellStyle name="40% - Énfasis6 2 2 4 5 2" xfId="16434" xr:uid="{00000000-0005-0000-0000-00002F400000}"/>
    <cellStyle name="40% - Énfasis6 2 2 4 6" xfId="16435" xr:uid="{00000000-0005-0000-0000-000030400000}"/>
    <cellStyle name="40% - Énfasis6 2 2 4 6 2" xfId="16436" xr:uid="{00000000-0005-0000-0000-000031400000}"/>
    <cellStyle name="40% - Énfasis6 2 2 4 7" xfId="16437" xr:uid="{00000000-0005-0000-0000-000032400000}"/>
    <cellStyle name="40% - Énfasis6 2 2 4 8" xfId="16438" xr:uid="{00000000-0005-0000-0000-000033400000}"/>
    <cellStyle name="40% - Énfasis6 2 2 5" xfId="16439" xr:uid="{00000000-0005-0000-0000-000034400000}"/>
    <cellStyle name="40% - Énfasis6 2 2 5 2" xfId="16440" xr:uid="{00000000-0005-0000-0000-000035400000}"/>
    <cellStyle name="40% - Énfasis6 2 2 5 2 2" xfId="16441" xr:uid="{00000000-0005-0000-0000-000036400000}"/>
    <cellStyle name="40% - Énfasis6 2 2 5 2 2 2" xfId="16442" xr:uid="{00000000-0005-0000-0000-000037400000}"/>
    <cellStyle name="40% - Énfasis6 2 2 5 2 2 2 2" xfId="16443" xr:uid="{00000000-0005-0000-0000-000038400000}"/>
    <cellStyle name="40% - Énfasis6 2 2 5 2 2 3" xfId="16444" xr:uid="{00000000-0005-0000-0000-000039400000}"/>
    <cellStyle name="40% - Énfasis6 2 2 5 2 2 4" xfId="16445" xr:uid="{00000000-0005-0000-0000-00003A400000}"/>
    <cellStyle name="40% - Énfasis6 2 2 5 2 3" xfId="16446" xr:uid="{00000000-0005-0000-0000-00003B400000}"/>
    <cellStyle name="40% - Énfasis6 2 2 5 2 3 2" xfId="16447" xr:uid="{00000000-0005-0000-0000-00003C400000}"/>
    <cellStyle name="40% - Énfasis6 2 2 5 2 4" xfId="16448" xr:uid="{00000000-0005-0000-0000-00003D400000}"/>
    <cellStyle name="40% - Énfasis6 2 2 5 2 5" xfId="16449" xr:uid="{00000000-0005-0000-0000-00003E400000}"/>
    <cellStyle name="40% - Énfasis6 2 2 5 3" xfId="16450" xr:uid="{00000000-0005-0000-0000-00003F400000}"/>
    <cellStyle name="40% - Énfasis6 2 2 5 3 2" xfId="16451" xr:uid="{00000000-0005-0000-0000-000040400000}"/>
    <cellStyle name="40% - Énfasis6 2 2 5 3 3" xfId="16452" xr:uid="{00000000-0005-0000-0000-000041400000}"/>
    <cellStyle name="40% - Énfasis6 2 2 5 4" xfId="16453" xr:uid="{00000000-0005-0000-0000-000042400000}"/>
    <cellStyle name="40% - Énfasis6 2 2 5 4 2" xfId="16454" xr:uid="{00000000-0005-0000-0000-000043400000}"/>
    <cellStyle name="40% - Énfasis6 2 2 5 5" xfId="16455" xr:uid="{00000000-0005-0000-0000-000044400000}"/>
    <cellStyle name="40% - Énfasis6 2 2 6" xfId="16456" xr:uid="{00000000-0005-0000-0000-000045400000}"/>
    <cellStyle name="40% - Énfasis6 2 2 6 2" xfId="16457" xr:uid="{00000000-0005-0000-0000-000046400000}"/>
    <cellStyle name="40% - Énfasis6 2 2 6 2 2" xfId="16458" xr:uid="{00000000-0005-0000-0000-000047400000}"/>
    <cellStyle name="40% - Énfasis6 2 2 6 2 2 2" xfId="16459" xr:uid="{00000000-0005-0000-0000-000048400000}"/>
    <cellStyle name="40% - Énfasis6 2 2 6 2 3" xfId="16460" xr:uid="{00000000-0005-0000-0000-000049400000}"/>
    <cellStyle name="40% - Énfasis6 2 2 6 2 3 2" xfId="16461" xr:uid="{00000000-0005-0000-0000-00004A400000}"/>
    <cellStyle name="40% - Énfasis6 2 2 6 2 4" xfId="16462" xr:uid="{00000000-0005-0000-0000-00004B400000}"/>
    <cellStyle name="40% - Énfasis6 2 2 6 2 5" xfId="16463" xr:uid="{00000000-0005-0000-0000-00004C400000}"/>
    <cellStyle name="40% - Énfasis6 2 2 6 3" xfId="16464" xr:uid="{00000000-0005-0000-0000-00004D400000}"/>
    <cellStyle name="40% - Énfasis6 2 2 6 3 2" xfId="16465" xr:uid="{00000000-0005-0000-0000-00004E400000}"/>
    <cellStyle name="40% - Énfasis6 2 2 6 4" xfId="16466" xr:uid="{00000000-0005-0000-0000-00004F400000}"/>
    <cellStyle name="40% - Énfasis6 2 2 6 4 2" xfId="16467" xr:uid="{00000000-0005-0000-0000-000050400000}"/>
    <cellStyle name="40% - Énfasis6 2 2 6 5" xfId="16468" xr:uid="{00000000-0005-0000-0000-000051400000}"/>
    <cellStyle name="40% - Énfasis6 2 2 6 6" xfId="16469" xr:uid="{00000000-0005-0000-0000-000052400000}"/>
    <cellStyle name="40% - Énfasis6 2 2 7" xfId="16470" xr:uid="{00000000-0005-0000-0000-000053400000}"/>
    <cellStyle name="40% - Énfasis6 2 2 7 2" xfId="16471" xr:uid="{00000000-0005-0000-0000-000054400000}"/>
    <cellStyle name="40% - Énfasis6 2 2 7 2 2" xfId="16472" xr:uid="{00000000-0005-0000-0000-000055400000}"/>
    <cellStyle name="40% - Énfasis6 2 2 7 3" xfId="16473" xr:uid="{00000000-0005-0000-0000-000056400000}"/>
    <cellStyle name="40% - Énfasis6 2 2 7 3 2" xfId="16474" xr:uid="{00000000-0005-0000-0000-000057400000}"/>
    <cellStyle name="40% - Énfasis6 2 2 7 4" xfId="16475" xr:uid="{00000000-0005-0000-0000-000058400000}"/>
    <cellStyle name="40% - Énfasis6 2 2 7 5" xfId="16476" xr:uid="{00000000-0005-0000-0000-000059400000}"/>
    <cellStyle name="40% - Énfasis6 2 2 8" xfId="16477" xr:uid="{00000000-0005-0000-0000-00005A400000}"/>
    <cellStyle name="40% - Énfasis6 2 2 8 2" xfId="16478" xr:uid="{00000000-0005-0000-0000-00005B400000}"/>
    <cellStyle name="40% - Énfasis6 2 2 8 2 2" xfId="16479" xr:uid="{00000000-0005-0000-0000-00005C400000}"/>
    <cellStyle name="40% - Énfasis6 2 2 8 3" xfId="16480" xr:uid="{00000000-0005-0000-0000-00005D400000}"/>
    <cellStyle name="40% - Énfasis6 2 2 9" xfId="16481" xr:uid="{00000000-0005-0000-0000-00005E400000}"/>
    <cellStyle name="40% - Énfasis6 2 2 9 2" xfId="16482" xr:uid="{00000000-0005-0000-0000-00005F400000}"/>
    <cellStyle name="40% - Énfasis6 2 3" xfId="16483" xr:uid="{00000000-0005-0000-0000-000060400000}"/>
    <cellStyle name="40% - Énfasis6 2 3 10" xfId="16484" xr:uid="{00000000-0005-0000-0000-000061400000}"/>
    <cellStyle name="40% - Énfasis6 2 3 2" xfId="16485" xr:uid="{00000000-0005-0000-0000-000062400000}"/>
    <cellStyle name="40% - Énfasis6 2 3 2 2" xfId="16486" xr:uid="{00000000-0005-0000-0000-000063400000}"/>
    <cellStyle name="40% - Énfasis6 2 3 2 2 2" xfId="16487" xr:uid="{00000000-0005-0000-0000-000064400000}"/>
    <cellStyle name="40% - Énfasis6 2 3 2 2 2 2" xfId="16488" xr:uid="{00000000-0005-0000-0000-000065400000}"/>
    <cellStyle name="40% - Énfasis6 2 3 2 2 2 2 2" xfId="16489" xr:uid="{00000000-0005-0000-0000-000066400000}"/>
    <cellStyle name="40% - Énfasis6 2 3 2 2 2 2 2 2" xfId="16490" xr:uid="{00000000-0005-0000-0000-000067400000}"/>
    <cellStyle name="40% - Énfasis6 2 3 2 2 2 2 2 2 2" xfId="16491" xr:uid="{00000000-0005-0000-0000-000068400000}"/>
    <cellStyle name="40% - Énfasis6 2 3 2 2 2 2 2 3" xfId="16492" xr:uid="{00000000-0005-0000-0000-000069400000}"/>
    <cellStyle name="40% - Énfasis6 2 3 2 2 2 2 2 4" xfId="16493" xr:uid="{00000000-0005-0000-0000-00006A400000}"/>
    <cellStyle name="40% - Énfasis6 2 3 2 2 2 2 3" xfId="16494" xr:uid="{00000000-0005-0000-0000-00006B400000}"/>
    <cellStyle name="40% - Énfasis6 2 3 2 2 2 2 3 2" xfId="16495" xr:uid="{00000000-0005-0000-0000-00006C400000}"/>
    <cellStyle name="40% - Énfasis6 2 3 2 2 2 2 4" xfId="16496" xr:uid="{00000000-0005-0000-0000-00006D400000}"/>
    <cellStyle name="40% - Énfasis6 2 3 2 2 2 2 5" xfId="16497" xr:uid="{00000000-0005-0000-0000-00006E400000}"/>
    <cellStyle name="40% - Énfasis6 2 3 2 2 2 3" xfId="16498" xr:uid="{00000000-0005-0000-0000-00006F400000}"/>
    <cellStyle name="40% - Énfasis6 2 3 2 2 2 3 2" xfId="16499" xr:uid="{00000000-0005-0000-0000-000070400000}"/>
    <cellStyle name="40% - Énfasis6 2 3 2 2 2 3 2 2" xfId="16500" xr:uid="{00000000-0005-0000-0000-000071400000}"/>
    <cellStyle name="40% - Énfasis6 2 3 2 2 2 3 3" xfId="16501" xr:uid="{00000000-0005-0000-0000-000072400000}"/>
    <cellStyle name="40% - Énfasis6 2 3 2 2 2 3 4" xfId="16502" xr:uid="{00000000-0005-0000-0000-000073400000}"/>
    <cellStyle name="40% - Énfasis6 2 3 2 2 2 4" xfId="16503" xr:uid="{00000000-0005-0000-0000-000074400000}"/>
    <cellStyle name="40% - Énfasis6 2 3 2 2 2 4 2" xfId="16504" xr:uid="{00000000-0005-0000-0000-000075400000}"/>
    <cellStyle name="40% - Énfasis6 2 3 2 2 2 5" xfId="16505" xr:uid="{00000000-0005-0000-0000-000076400000}"/>
    <cellStyle name="40% - Énfasis6 2 3 2 2 2 6" xfId="16506" xr:uid="{00000000-0005-0000-0000-000077400000}"/>
    <cellStyle name="40% - Énfasis6 2 3 2 2 3" xfId="16507" xr:uid="{00000000-0005-0000-0000-000078400000}"/>
    <cellStyle name="40% - Énfasis6 2 3 2 2 3 2" xfId="16508" xr:uid="{00000000-0005-0000-0000-000079400000}"/>
    <cellStyle name="40% - Énfasis6 2 3 2 2 3 2 2" xfId="16509" xr:uid="{00000000-0005-0000-0000-00007A400000}"/>
    <cellStyle name="40% - Énfasis6 2 3 2 2 3 2 2 2" xfId="16510" xr:uid="{00000000-0005-0000-0000-00007B400000}"/>
    <cellStyle name="40% - Énfasis6 2 3 2 2 3 2 3" xfId="16511" xr:uid="{00000000-0005-0000-0000-00007C400000}"/>
    <cellStyle name="40% - Énfasis6 2 3 2 2 3 2 4" xfId="16512" xr:uid="{00000000-0005-0000-0000-00007D400000}"/>
    <cellStyle name="40% - Énfasis6 2 3 2 2 3 3" xfId="16513" xr:uid="{00000000-0005-0000-0000-00007E400000}"/>
    <cellStyle name="40% - Énfasis6 2 3 2 2 3 3 2" xfId="16514" xr:uid="{00000000-0005-0000-0000-00007F400000}"/>
    <cellStyle name="40% - Énfasis6 2 3 2 2 3 4" xfId="16515" xr:uid="{00000000-0005-0000-0000-000080400000}"/>
    <cellStyle name="40% - Énfasis6 2 3 2 2 3 5" xfId="16516" xr:uid="{00000000-0005-0000-0000-000081400000}"/>
    <cellStyle name="40% - Énfasis6 2 3 2 2 4" xfId="16517" xr:uid="{00000000-0005-0000-0000-000082400000}"/>
    <cellStyle name="40% - Énfasis6 2 3 2 2 4 2" xfId="16518" xr:uid="{00000000-0005-0000-0000-000083400000}"/>
    <cellStyle name="40% - Énfasis6 2 3 2 2 4 2 2" xfId="16519" xr:uid="{00000000-0005-0000-0000-000084400000}"/>
    <cellStyle name="40% - Énfasis6 2 3 2 2 4 3" xfId="16520" xr:uid="{00000000-0005-0000-0000-000085400000}"/>
    <cellStyle name="40% - Énfasis6 2 3 2 2 4 4" xfId="16521" xr:uid="{00000000-0005-0000-0000-000086400000}"/>
    <cellStyle name="40% - Énfasis6 2 3 2 2 5" xfId="16522" xr:uid="{00000000-0005-0000-0000-000087400000}"/>
    <cellStyle name="40% - Énfasis6 2 3 2 2 5 2" xfId="16523" xr:uid="{00000000-0005-0000-0000-000088400000}"/>
    <cellStyle name="40% - Énfasis6 2 3 2 2 6" xfId="16524" xr:uid="{00000000-0005-0000-0000-000089400000}"/>
    <cellStyle name="40% - Énfasis6 2 3 2 2 7" xfId="16525" xr:uid="{00000000-0005-0000-0000-00008A400000}"/>
    <cellStyle name="40% - Énfasis6 2 3 2 3" xfId="16526" xr:uid="{00000000-0005-0000-0000-00008B400000}"/>
    <cellStyle name="40% - Énfasis6 2 3 2 3 2" xfId="16527" xr:uid="{00000000-0005-0000-0000-00008C400000}"/>
    <cellStyle name="40% - Énfasis6 2 3 2 3 2 2" xfId="16528" xr:uid="{00000000-0005-0000-0000-00008D400000}"/>
    <cellStyle name="40% - Énfasis6 2 3 2 3 2 2 2" xfId="16529" xr:uid="{00000000-0005-0000-0000-00008E400000}"/>
    <cellStyle name="40% - Énfasis6 2 3 2 3 2 2 2 2" xfId="16530" xr:uid="{00000000-0005-0000-0000-00008F400000}"/>
    <cellStyle name="40% - Énfasis6 2 3 2 3 2 2 3" xfId="16531" xr:uid="{00000000-0005-0000-0000-000090400000}"/>
    <cellStyle name="40% - Énfasis6 2 3 2 3 2 2 4" xfId="16532" xr:uid="{00000000-0005-0000-0000-000091400000}"/>
    <cellStyle name="40% - Énfasis6 2 3 2 3 2 3" xfId="16533" xr:uid="{00000000-0005-0000-0000-000092400000}"/>
    <cellStyle name="40% - Énfasis6 2 3 2 3 2 3 2" xfId="16534" xr:uid="{00000000-0005-0000-0000-000093400000}"/>
    <cellStyle name="40% - Énfasis6 2 3 2 3 2 4" xfId="16535" xr:uid="{00000000-0005-0000-0000-000094400000}"/>
    <cellStyle name="40% - Énfasis6 2 3 2 3 2 5" xfId="16536" xr:uid="{00000000-0005-0000-0000-000095400000}"/>
    <cellStyle name="40% - Énfasis6 2 3 2 3 3" xfId="16537" xr:uid="{00000000-0005-0000-0000-000096400000}"/>
    <cellStyle name="40% - Énfasis6 2 3 2 3 3 2" xfId="16538" xr:uid="{00000000-0005-0000-0000-000097400000}"/>
    <cellStyle name="40% - Énfasis6 2 3 2 3 3 2 2" xfId="16539" xr:uid="{00000000-0005-0000-0000-000098400000}"/>
    <cellStyle name="40% - Énfasis6 2 3 2 3 3 3" xfId="16540" xr:uid="{00000000-0005-0000-0000-000099400000}"/>
    <cellStyle name="40% - Énfasis6 2 3 2 3 3 3 2" xfId="16541" xr:uid="{00000000-0005-0000-0000-00009A400000}"/>
    <cellStyle name="40% - Énfasis6 2 3 2 3 3 4" xfId="16542" xr:uid="{00000000-0005-0000-0000-00009B400000}"/>
    <cellStyle name="40% - Énfasis6 2 3 2 3 3 5" xfId="16543" xr:uid="{00000000-0005-0000-0000-00009C400000}"/>
    <cellStyle name="40% - Énfasis6 2 3 2 3 4" xfId="16544" xr:uid="{00000000-0005-0000-0000-00009D400000}"/>
    <cellStyle name="40% - Énfasis6 2 3 2 3 4 2" xfId="16545" xr:uid="{00000000-0005-0000-0000-00009E400000}"/>
    <cellStyle name="40% - Énfasis6 2 3 2 3 5" xfId="16546" xr:uid="{00000000-0005-0000-0000-00009F400000}"/>
    <cellStyle name="40% - Énfasis6 2 3 2 3 5 2" xfId="16547" xr:uid="{00000000-0005-0000-0000-0000A0400000}"/>
    <cellStyle name="40% - Énfasis6 2 3 2 3 6" xfId="16548" xr:uid="{00000000-0005-0000-0000-0000A1400000}"/>
    <cellStyle name="40% - Énfasis6 2 3 2 3 7" xfId="16549" xr:uid="{00000000-0005-0000-0000-0000A2400000}"/>
    <cellStyle name="40% - Énfasis6 2 3 2 4" xfId="16550" xr:uid="{00000000-0005-0000-0000-0000A3400000}"/>
    <cellStyle name="40% - Énfasis6 2 3 2 4 2" xfId="16551" xr:uid="{00000000-0005-0000-0000-0000A4400000}"/>
    <cellStyle name="40% - Énfasis6 2 3 2 4 2 2" xfId="16552" xr:uid="{00000000-0005-0000-0000-0000A5400000}"/>
    <cellStyle name="40% - Énfasis6 2 3 2 4 2 2 2" xfId="16553" xr:uid="{00000000-0005-0000-0000-0000A6400000}"/>
    <cellStyle name="40% - Énfasis6 2 3 2 4 2 3" xfId="16554" xr:uid="{00000000-0005-0000-0000-0000A7400000}"/>
    <cellStyle name="40% - Énfasis6 2 3 2 4 2 4" xfId="16555" xr:uid="{00000000-0005-0000-0000-0000A8400000}"/>
    <cellStyle name="40% - Énfasis6 2 3 2 4 3" xfId="16556" xr:uid="{00000000-0005-0000-0000-0000A9400000}"/>
    <cellStyle name="40% - Énfasis6 2 3 2 4 3 2" xfId="16557" xr:uid="{00000000-0005-0000-0000-0000AA400000}"/>
    <cellStyle name="40% - Énfasis6 2 3 2 4 4" xfId="16558" xr:uid="{00000000-0005-0000-0000-0000AB400000}"/>
    <cellStyle name="40% - Énfasis6 2 3 2 4 5" xfId="16559" xr:uid="{00000000-0005-0000-0000-0000AC400000}"/>
    <cellStyle name="40% - Énfasis6 2 3 2 5" xfId="16560" xr:uid="{00000000-0005-0000-0000-0000AD400000}"/>
    <cellStyle name="40% - Énfasis6 2 3 2 5 2" xfId="16561" xr:uid="{00000000-0005-0000-0000-0000AE400000}"/>
    <cellStyle name="40% - Énfasis6 2 3 2 5 2 2" xfId="16562" xr:uid="{00000000-0005-0000-0000-0000AF400000}"/>
    <cellStyle name="40% - Énfasis6 2 3 2 5 3" xfId="16563" xr:uid="{00000000-0005-0000-0000-0000B0400000}"/>
    <cellStyle name="40% - Énfasis6 2 3 2 5 3 2" xfId="16564" xr:uid="{00000000-0005-0000-0000-0000B1400000}"/>
    <cellStyle name="40% - Énfasis6 2 3 2 5 4" xfId="16565" xr:uid="{00000000-0005-0000-0000-0000B2400000}"/>
    <cellStyle name="40% - Énfasis6 2 3 2 5 5" xfId="16566" xr:uid="{00000000-0005-0000-0000-0000B3400000}"/>
    <cellStyle name="40% - Énfasis6 2 3 2 6" xfId="16567" xr:uid="{00000000-0005-0000-0000-0000B4400000}"/>
    <cellStyle name="40% - Énfasis6 2 3 2 6 2" xfId="16568" xr:uid="{00000000-0005-0000-0000-0000B5400000}"/>
    <cellStyle name="40% - Énfasis6 2 3 2 7" xfId="16569" xr:uid="{00000000-0005-0000-0000-0000B6400000}"/>
    <cellStyle name="40% - Énfasis6 2 3 2 7 2" xfId="16570" xr:uid="{00000000-0005-0000-0000-0000B7400000}"/>
    <cellStyle name="40% - Énfasis6 2 3 2 8" xfId="16571" xr:uid="{00000000-0005-0000-0000-0000B8400000}"/>
    <cellStyle name="40% - Énfasis6 2 3 2 9" xfId="16572" xr:uid="{00000000-0005-0000-0000-0000B9400000}"/>
    <cellStyle name="40% - Énfasis6 2 3 3" xfId="16573" xr:uid="{00000000-0005-0000-0000-0000BA400000}"/>
    <cellStyle name="40% - Énfasis6 2 3 3 2" xfId="16574" xr:uid="{00000000-0005-0000-0000-0000BB400000}"/>
    <cellStyle name="40% - Énfasis6 2 3 3 2 2" xfId="16575" xr:uid="{00000000-0005-0000-0000-0000BC400000}"/>
    <cellStyle name="40% - Énfasis6 2 3 3 2 2 2" xfId="16576" xr:uid="{00000000-0005-0000-0000-0000BD400000}"/>
    <cellStyle name="40% - Énfasis6 2 3 3 2 2 2 2" xfId="16577" xr:uid="{00000000-0005-0000-0000-0000BE400000}"/>
    <cellStyle name="40% - Énfasis6 2 3 3 2 2 2 2 2" xfId="16578" xr:uid="{00000000-0005-0000-0000-0000BF400000}"/>
    <cellStyle name="40% - Énfasis6 2 3 3 2 2 2 3" xfId="16579" xr:uid="{00000000-0005-0000-0000-0000C0400000}"/>
    <cellStyle name="40% - Énfasis6 2 3 3 2 2 2 4" xfId="16580" xr:uid="{00000000-0005-0000-0000-0000C1400000}"/>
    <cellStyle name="40% - Énfasis6 2 3 3 2 2 3" xfId="16581" xr:uid="{00000000-0005-0000-0000-0000C2400000}"/>
    <cellStyle name="40% - Énfasis6 2 3 3 2 2 3 2" xfId="16582" xr:uid="{00000000-0005-0000-0000-0000C3400000}"/>
    <cellStyle name="40% - Énfasis6 2 3 3 2 2 4" xfId="16583" xr:uid="{00000000-0005-0000-0000-0000C4400000}"/>
    <cellStyle name="40% - Énfasis6 2 3 3 2 2 5" xfId="16584" xr:uid="{00000000-0005-0000-0000-0000C5400000}"/>
    <cellStyle name="40% - Énfasis6 2 3 3 2 3" xfId="16585" xr:uid="{00000000-0005-0000-0000-0000C6400000}"/>
    <cellStyle name="40% - Énfasis6 2 3 3 2 3 2" xfId="16586" xr:uid="{00000000-0005-0000-0000-0000C7400000}"/>
    <cellStyle name="40% - Énfasis6 2 3 3 2 3 2 2" xfId="16587" xr:uid="{00000000-0005-0000-0000-0000C8400000}"/>
    <cellStyle name="40% - Énfasis6 2 3 3 2 3 3" xfId="16588" xr:uid="{00000000-0005-0000-0000-0000C9400000}"/>
    <cellStyle name="40% - Énfasis6 2 3 3 2 3 3 2" xfId="16589" xr:uid="{00000000-0005-0000-0000-0000CA400000}"/>
    <cellStyle name="40% - Énfasis6 2 3 3 2 3 4" xfId="16590" xr:uid="{00000000-0005-0000-0000-0000CB400000}"/>
    <cellStyle name="40% - Énfasis6 2 3 3 2 3 5" xfId="16591" xr:uid="{00000000-0005-0000-0000-0000CC400000}"/>
    <cellStyle name="40% - Énfasis6 2 3 3 2 4" xfId="16592" xr:uid="{00000000-0005-0000-0000-0000CD400000}"/>
    <cellStyle name="40% - Énfasis6 2 3 3 2 4 2" xfId="16593" xr:uid="{00000000-0005-0000-0000-0000CE400000}"/>
    <cellStyle name="40% - Énfasis6 2 3 3 2 5" xfId="16594" xr:uid="{00000000-0005-0000-0000-0000CF400000}"/>
    <cellStyle name="40% - Énfasis6 2 3 3 2 5 2" xfId="16595" xr:uid="{00000000-0005-0000-0000-0000D0400000}"/>
    <cellStyle name="40% - Énfasis6 2 3 3 2 6" xfId="16596" xr:uid="{00000000-0005-0000-0000-0000D1400000}"/>
    <cellStyle name="40% - Énfasis6 2 3 3 2 7" xfId="16597" xr:uid="{00000000-0005-0000-0000-0000D2400000}"/>
    <cellStyle name="40% - Énfasis6 2 3 3 3" xfId="16598" xr:uid="{00000000-0005-0000-0000-0000D3400000}"/>
    <cellStyle name="40% - Énfasis6 2 3 3 3 2" xfId="16599" xr:uid="{00000000-0005-0000-0000-0000D4400000}"/>
    <cellStyle name="40% - Énfasis6 2 3 3 3 2 2" xfId="16600" xr:uid="{00000000-0005-0000-0000-0000D5400000}"/>
    <cellStyle name="40% - Énfasis6 2 3 3 3 2 2 2" xfId="16601" xr:uid="{00000000-0005-0000-0000-0000D6400000}"/>
    <cellStyle name="40% - Énfasis6 2 3 3 3 2 3" xfId="16602" xr:uid="{00000000-0005-0000-0000-0000D7400000}"/>
    <cellStyle name="40% - Énfasis6 2 3 3 3 2 4" xfId="16603" xr:uid="{00000000-0005-0000-0000-0000D8400000}"/>
    <cellStyle name="40% - Énfasis6 2 3 3 3 3" xfId="16604" xr:uid="{00000000-0005-0000-0000-0000D9400000}"/>
    <cellStyle name="40% - Énfasis6 2 3 3 3 3 2" xfId="16605" xr:uid="{00000000-0005-0000-0000-0000DA400000}"/>
    <cellStyle name="40% - Énfasis6 2 3 3 3 4" xfId="16606" xr:uid="{00000000-0005-0000-0000-0000DB400000}"/>
    <cellStyle name="40% - Énfasis6 2 3 3 3 5" xfId="16607" xr:uid="{00000000-0005-0000-0000-0000DC400000}"/>
    <cellStyle name="40% - Énfasis6 2 3 3 4" xfId="16608" xr:uid="{00000000-0005-0000-0000-0000DD400000}"/>
    <cellStyle name="40% - Énfasis6 2 3 3 4 2" xfId="16609" xr:uid="{00000000-0005-0000-0000-0000DE400000}"/>
    <cellStyle name="40% - Énfasis6 2 3 3 4 2 2" xfId="16610" xr:uid="{00000000-0005-0000-0000-0000DF400000}"/>
    <cellStyle name="40% - Énfasis6 2 3 3 4 3" xfId="16611" xr:uid="{00000000-0005-0000-0000-0000E0400000}"/>
    <cellStyle name="40% - Énfasis6 2 3 3 4 3 2" xfId="16612" xr:uid="{00000000-0005-0000-0000-0000E1400000}"/>
    <cellStyle name="40% - Énfasis6 2 3 3 4 4" xfId="16613" xr:uid="{00000000-0005-0000-0000-0000E2400000}"/>
    <cellStyle name="40% - Énfasis6 2 3 3 4 5" xfId="16614" xr:uid="{00000000-0005-0000-0000-0000E3400000}"/>
    <cellStyle name="40% - Énfasis6 2 3 3 5" xfId="16615" xr:uid="{00000000-0005-0000-0000-0000E4400000}"/>
    <cellStyle name="40% - Énfasis6 2 3 3 5 2" xfId="16616" xr:uid="{00000000-0005-0000-0000-0000E5400000}"/>
    <cellStyle name="40% - Énfasis6 2 3 3 6" xfId="16617" xr:uid="{00000000-0005-0000-0000-0000E6400000}"/>
    <cellStyle name="40% - Énfasis6 2 3 3 6 2" xfId="16618" xr:uid="{00000000-0005-0000-0000-0000E7400000}"/>
    <cellStyle name="40% - Énfasis6 2 3 3 7" xfId="16619" xr:uid="{00000000-0005-0000-0000-0000E8400000}"/>
    <cellStyle name="40% - Énfasis6 2 3 3 8" xfId="16620" xr:uid="{00000000-0005-0000-0000-0000E9400000}"/>
    <cellStyle name="40% - Énfasis6 2 3 4" xfId="16621" xr:uid="{00000000-0005-0000-0000-0000EA400000}"/>
    <cellStyle name="40% - Énfasis6 2 3 4 2" xfId="16622" xr:uid="{00000000-0005-0000-0000-0000EB400000}"/>
    <cellStyle name="40% - Énfasis6 2 3 4 2 2" xfId="16623" xr:uid="{00000000-0005-0000-0000-0000EC400000}"/>
    <cellStyle name="40% - Énfasis6 2 3 4 2 2 2" xfId="16624" xr:uid="{00000000-0005-0000-0000-0000ED400000}"/>
    <cellStyle name="40% - Énfasis6 2 3 4 2 2 2 2" xfId="16625" xr:uid="{00000000-0005-0000-0000-0000EE400000}"/>
    <cellStyle name="40% - Énfasis6 2 3 4 2 2 3" xfId="16626" xr:uid="{00000000-0005-0000-0000-0000EF400000}"/>
    <cellStyle name="40% - Énfasis6 2 3 4 2 2 4" xfId="16627" xr:uid="{00000000-0005-0000-0000-0000F0400000}"/>
    <cellStyle name="40% - Énfasis6 2 3 4 2 3" xfId="16628" xr:uid="{00000000-0005-0000-0000-0000F1400000}"/>
    <cellStyle name="40% - Énfasis6 2 3 4 2 3 2" xfId="16629" xr:uid="{00000000-0005-0000-0000-0000F2400000}"/>
    <cellStyle name="40% - Énfasis6 2 3 4 2 4" xfId="16630" xr:uid="{00000000-0005-0000-0000-0000F3400000}"/>
    <cellStyle name="40% - Énfasis6 2 3 4 2 5" xfId="16631" xr:uid="{00000000-0005-0000-0000-0000F4400000}"/>
    <cellStyle name="40% - Énfasis6 2 3 4 3" xfId="16632" xr:uid="{00000000-0005-0000-0000-0000F5400000}"/>
    <cellStyle name="40% - Énfasis6 2 3 4 3 2" xfId="16633" xr:uid="{00000000-0005-0000-0000-0000F6400000}"/>
    <cellStyle name="40% - Énfasis6 2 3 4 3 2 2" xfId="16634" xr:uid="{00000000-0005-0000-0000-0000F7400000}"/>
    <cellStyle name="40% - Énfasis6 2 3 4 3 3" xfId="16635" xr:uid="{00000000-0005-0000-0000-0000F8400000}"/>
    <cellStyle name="40% - Énfasis6 2 3 4 3 3 2" xfId="16636" xr:uid="{00000000-0005-0000-0000-0000F9400000}"/>
    <cellStyle name="40% - Énfasis6 2 3 4 3 4" xfId="16637" xr:uid="{00000000-0005-0000-0000-0000FA400000}"/>
    <cellStyle name="40% - Énfasis6 2 3 4 3 5" xfId="16638" xr:uid="{00000000-0005-0000-0000-0000FB400000}"/>
    <cellStyle name="40% - Énfasis6 2 3 4 4" xfId="16639" xr:uid="{00000000-0005-0000-0000-0000FC400000}"/>
    <cellStyle name="40% - Énfasis6 2 3 4 4 2" xfId="16640" xr:uid="{00000000-0005-0000-0000-0000FD400000}"/>
    <cellStyle name="40% - Énfasis6 2 3 4 5" xfId="16641" xr:uid="{00000000-0005-0000-0000-0000FE400000}"/>
    <cellStyle name="40% - Énfasis6 2 3 4 5 2" xfId="16642" xr:uid="{00000000-0005-0000-0000-0000FF400000}"/>
    <cellStyle name="40% - Énfasis6 2 3 4 6" xfId="16643" xr:uid="{00000000-0005-0000-0000-000000410000}"/>
    <cellStyle name="40% - Énfasis6 2 3 4 7" xfId="16644" xr:uid="{00000000-0005-0000-0000-000001410000}"/>
    <cellStyle name="40% - Énfasis6 2 3 5" xfId="16645" xr:uid="{00000000-0005-0000-0000-000002410000}"/>
    <cellStyle name="40% - Énfasis6 2 3 5 2" xfId="16646" xr:uid="{00000000-0005-0000-0000-000003410000}"/>
    <cellStyle name="40% - Énfasis6 2 3 5 2 2" xfId="16647" xr:uid="{00000000-0005-0000-0000-000004410000}"/>
    <cellStyle name="40% - Énfasis6 2 3 5 2 2 2" xfId="16648" xr:uid="{00000000-0005-0000-0000-000005410000}"/>
    <cellStyle name="40% - Énfasis6 2 3 5 2 3" xfId="16649" xr:uid="{00000000-0005-0000-0000-000006410000}"/>
    <cellStyle name="40% - Énfasis6 2 3 5 2 4" xfId="16650" xr:uid="{00000000-0005-0000-0000-000007410000}"/>
    <cellStyle name="40% - Énfasis6 2 3 5 3" xfId="16651" xr:uid="{00000000-0005-0000-0000-000008410000}"/>
    <cellStyle name="40% - Énfasis6 2 3 5 3 2" xfId="16652" xr:uid="{00000000-0005-0000-0000-000009410000}"/>
    <cellStyle name="40% - Énfasis6 2 3 5 4" xfId="16653" xr:uid="{00000000-0005-0000-0000-00000A410000}"/>
    <cellStyle name="40% - Énfasis6 2 3 5 5" xfId="16654" xr:uid="{00000000-0005-0000-0000-00000B410000}"/>
    <cellStyle name="40% - Énfasis6 2 3 6" xfId="16655" xr:uid="{00000000-0005-0000-0000-00000C410000}"/>
    <cellStyle name="40% - Énfasis6 2 3 6 2" xfId="16656" xr:uid="{00000000-0005-0000-0000-00000D410000}"/>
    <cellStyle name="40% - Énfasis6 2 3 6 2 2" xfId="16657" xr:uid="{00000000-0005-0000-0000-00000E410000}"/>
    <cellStyle name="40% - Énfasis6 2 3 6 3" xfId="16658" xr:uid="{00000000-0005-0000-0000-00000F410000}"/>
    <cellStyle name="40% - Énfasis6 2 3 6 3 2" xfId="16659" xr:uid="{00000000-0005-0000-0000-000010410000}"/>
    <cellStyle name="40% - Énfasis6 2 3 6 4" xfId="16660" xr:uid="{00000000-0005-0000-0000-000011410000}"/>
    <cellStyle name="40% - Énfasis6 2 3 6 5" xfId="16661" xr:uid="{00000000-0005-0000-0000-000012410000}"/>
    <cellStyle name="40% - Énfasis6 2 3 7" xfId="16662" xr:uid="{00000000-0005-0000-0000-000013410000}"/>
    <cellStyle name="40% - Énfasis6 2 3 7 2" xfId="16663" xr:uid="{00000000-0005-0000-0000-000014410000}"/>
    <cellStyle name="40% - Énfasis6 2 3 8" xfId="16664" xr:uid="{00000000-0005-0000-0000-000015410000}"/>
    <cellStyle name="40% - Énfasis6 2 3 8 2" xfId="16665" xr:uid="{00000000-0005-0000-0000-000016410000}"/>
    <cellStyle name="40% - Énfasis6 2 3 9" xfId="16666" xr:uid="{00000000-0005-0000-0000-000017410000}"/>
    <cellStyle name="40% - Énfasis6 2 4" xfId="16667" xr:uid="{00000000-0005-0000-0000-000018410000}"/>
    <cellStyle name="40% - Énfasis6 2 4 2" xfId="16668" xr:uid="{00000000-0005-0000-0000-000019410000}"/>
    <cellStyle name="40% - Énfasis6 2 4 2 2" xfId="16669" xr:uid="{00000000-0005-0000-0000-00001A410000}"/>
    <cellStyle name="40% - Énfasis6 2 4 2 2 2" xfId="16670" xr:uid="{00000000-0005-0000-0000-00001B410000}"/>
    <cellStyle name="40% - Énfasis6 2 4 2 2 2 2" xfId="16671" xr:uid="{00000000-0005-0000-0000-00001C410000}"/>
    <cellStyle name="40% - Énfasis6 2 4 2 2 2 2 2" xfId="16672" xr:uid="{00000000-0005-0000-0000-00001D410000}"/>
    <cellStyle name="40% - Énfasis6 2 4 2 2 2 2 2 2" xfId="16673" xr:uid="{00000000-0005-0000-0000-00001E410000}"/>
    <cellStyle name="40% - Énfasis6 2 4 2 2 2 2 3" xfId="16674" xr:uid="{00000000-0005-0000-0000-00001F410000}"/>
    <cellStyle name="40% - Énfasis6 2 4 2 2 2 2 4" xfId="16675" xr:uid="{00000000-0005-0000-0000-000020410000}"/>
    <cellStyle name="40% - Énfasis6 2 4 2 2 2 3" xfId="16676" xr:uid="{00000000-0005-0000-0000-000021410000}"/>
    <cellStyle name="40% - Énfasis6 2 4 2 2 2 3 2" xfId="16677" xr:uid="{00000000-0005-0000-0000-000022410000}"/>
    <cellStyle name="40% - Énfasis6 2 4 2 2 2 4" xfId="16678" xr:uid="{00000000-0005-0000-0000-000023410000}"/>
    <cellStyle name="40% - Énfasis6 2 4 2 2 2 5" xfId="16679" xr:uid="{00000000-0005-0000-0000-000024410000}"/>
    <cellStyle name="40% - Énfasis6 2 4 2 2 3" xfId="16680" xr:uid="{00000000-0005-0000-0000-000025410000}"/>
    <cellStyle name="40% - Énfasis6 2 4 2 2 3 2" xfId="16681" xr:uid="{00000000-0005-0000-0000-000026410000}"/>
    <cellStyle name="40% - Énfasis6 2 4 2 2 3 2 2" xfId="16682" xr:uid="{00000000-0005-0000-0000-000027410000}"/>
    <cellStyle name="40% - Énfasis6 2 4 2 2 3 3" xfId="16683" xr:uid="{00000000-0005-0000-0000-000028410000}"/>
    <cellStyle name="40% - Énfasis6 2 4 2 2 3 4" xfId="16684" xr:uid="{00000000-0005-0000-0000-000029410000}"/>
    <cellStyle name="40% - Énfasis6 2 4 2 2 4" xfId="16685" xr:uid="{00000000-0005-0000-0000-00002A410000}"/>
    <cellStyle name="40% - Énfasis6 2 4 2 2 4 2" xfId="16686" xr:uid="{00000000-0005-0000-0000-00002B410000}"/>
    <cellStyle name="40% - Énfasis6 2 4 2 2 5" xfId="16687" xr:uid="{00000000-0005-0000-0000-00002C410000}"/>
    <cellStyle name="40% - Énfasis6 2 4 2 2 6" xfId="16688" xr:uid="{00000000-0005-0000-0000-00002D410000}"/>
    <cellStyle name="40% - Énfasis6 2 4 2 3" xfId="16689" xr:uid="{00000000-0005-0000-0000-00002E410000}"/>
    <cellStyle name="40% - Énfasis6 2 4 2 3 2" xfId="16690" xr:uid="{00000000-0005-0000-0000-00002F410000}"/>
    <cellStyle name="40% - Énfasis6 2 4 2 3 2 2" xfId="16691" xr:uid="{00000000-0005-0000-0000-000030410000}"/>
    <cellStyle name="40% - Énfasis6 2 4 2 3 2 2 2" xfId="16692" xr:uid="{00000000-0005-0000-0000-000031410000}"/>
    <cellStyle name="40% - Énfasis6 2 4 2 3 2 3" xfId="16693" xr:uid="{00000000-0005-0000-0000-000032410000}"/>
    <cellStyle name="40% - Énfasis6 2 4 2 3 2 4" xfId="16694" xr:uid="{00000000-0005-0000-0000-000033410000}"/>
    <cellStyle name="40% - Énfasis6 2 4 2 3 3" xfId="16695" xr:uid="{00000000-0005-0000-0000-000034410000}"/>
    <cellStyle name="40% - Énfasis6 2 4 2 3 3 2" xfId="16696" xr:uid="{00000000-0005-0000-0000-000035410000}"/>
    <cellStyle name="40% - Énfasis6 2 4 2 3 4" xfId="16697" xr:uid="{00000000-0005-0000-0000-000036410000}"/>
    <cellStyle name="40% - Énfasis6 2 4 2 3 5" xfId="16698" xr:uid="{00000000-0005-0000-0000-000037410000}"/>
    <cellStyle name="40% - Énfasis6 2 4 2 4" xfId="16699" xr:uid="{00000000-0005-0000-0000-000038410000}"/>
    <cellStyle name="40% - Énfasis6 2 4 2 4 2" xfId="16700" xr:uid="{00000000-0005-0000-0000-000039410000}"/>
    <cellStyle name="40% - Énfasis6 2 4 2 4 2 2" xfId="16701" xr:uid="{00000000-0005-0000-0000-00003A410000}"/>
    <cellStyle name="40% - Énfasis6 2 4 2 4 3" xfId="16702" xr:uid="{00000000-0005-0000-0000-00003B410000}"/>
    <cellStyle name="40% - Énfasis6 2 4 2 4 4" xfId="16703" xr:uid="{00000000-0005-0000-0000-00003C410000}"/>
    <cellStyle name="40% - Énfasis6 2 4 2 5" xfId="16704" xr:uid="{00000000-0005-0000-0000-00003D410000}"/>
    <cellStyle name="40% - Énfasis6 2 4 2 5 2" xfId="16705" xr:uid="{00000000-0005-0000-0000-00003E410000}"/>
    <cellStyle name="40% - Énfasis6 2 4 2 6" xfId="16706" xr:uid="{00000000-0005-0000-0000-00003F410000}"/>
    <cellStyle name="40% - Énfasis6 2 4 2 7" xfId="16707" xr:uid="{00000000-0005-0000-0000-000040410000}"/>
    <cellStyle name="40% - Énfasis6 2 4 3" xfId="16708" xr:uid="{00000000-0005-0000-0000-000041410000}"/>
    <cellStyle name="40% - Énfasis6 2 4 3 2" xfId="16709" xr:uid="{00000000-0005-0000-0000-000042410000}"/>
    <cellStyle name="40% - Énfasis6 2 4 3 2 2" xfId="16710" xr:uid="{00000000-0005-0000-0000-000043410000}"/>
    <cellStyle name="40% - Énfasis6 2 4 3 2 2 2" xfId="16711" xr:uid="{00000000-0005-0000-0000-000044410000}"/>
    <cellStyle name="40% - Énfasis6 2 4 3 2 2 2 2" xfId="16712" xr:uid="{00000000-0005-0000-0000-000045410000}"/>
    <cellStyle name="40% - Énfasis6 2 4 3 2 2 3" xfId="16713" xr:uid="{00000000-0005-0000-0000-000046410000}"/>
    <cellStyle name="40% - Énfasis6 2 4 3 2 2 4" xfId="16714" xr:uid="{00000000-0005-0000-0000-000047410000}"/>
    <cellStyle name="40% - Énfasis6 2 4 3 2 3" xfId="16715" xr:uid="{00000000-0005-0000-0000-000048410000}"/>
    <cellStyle name="40% - Énfasis6 2 4 3 2 3 2" xfId="16716" xr:uid="{00000000-0005-0000-0000-000049410000}"/>
    <cellStyle name="40% - Énfasis6 2 4 3 2 4" xfId="16717" xr:uid="{00000000-0005-0000-0000-00004A410000}"/>
    <cellStyle name="40% - Énfasis6 2 4 3 2 5" xfId="16718" xr:uid="{00000000-0005-0000-0000-00004B410000}"/>
    <cellStyle name="40% - Énfasis6 2 4 3 3" xfId="16719" xr:uid="{00000000-0005-0000-0000-00004C410000}"/>
    <cellStyle name="40% - Énfasis6 2 4 3 3 2" xfId="16720" xr:uid="{00000000-0005-0000-0000-00004D410000}"/>
    <cellStyle name="40% - Énfasis6 2 4 3 3 2 2" xfId="16721" xr:uid="{00000000-0005-0000-0000-00004E410000}"/>
    <cellStyle name="40% - Énfasis6 2 4 3 3 3" xfId="16722" xr:uid="{00000000-0005-0000-0000-00004F410000}"/>
    <cellStyle name="40% - Énfasis6 2 4 3 3 3 2" xfId="16723" xr:uid="{00000000-0005-0000-0000-000050410000}"/>
    <cellStyle name="40% - Énfasis6 2 4 3 3 4" xfId="16724" xr:uid="{00000000-0005-0000-0000-000051410000}"/>
    <cellStyle name="40% - Énfasis6 2 4 3 3 5" xfId="16725" xr:uid="{00000000-0005-0000-0000-000052410000}"/>
    <cellStyle name="40% - Énfasis6 2 4 3 4" xfId="16726" xr:uid="{00000000-0005-0000-0000-000053410000}"/>
    <cellStyle name="40% - Énfasis6 2 4 3 4 2" xfId="16727" xr:uid="{00000000-0005-0000-0000-000054410000}"/>
    <cellStyle name="40% - Énfasis6 2 4 3 5" xfId="16728" xr:uid="{00000000-0005-0000-0000-000055410000}"/>
    <cellStyle name="40% - Énfasis6 2 4 3 5 2" xfId="16729" xr:uid="{00000000-0005-0000-0000-000056410000}"/>
    <cellStyle name="40% - Énfasis6 2 4 3 6" xfId="16730" xr:uid="{00000000-0005-0000-0000-000057410000}"/>
    <cellStyle name="40% - Énfasis6 2 4 3 7" xfId="16731" xr:uid="{00000000-0005-0000-0000-000058410000}"/>
    <cellStyle name="40% - Énfasis6 2 4 4" xfId="16732" xr:uid="{00000000-0005-0000-0000-000059410000}"/>
    <cellStyle name="40% - Énfasis6 2 4 4 2" xfId="16733" xr:uid="{00000000-0005-0000-0000-00005A410000}"/>
    <cellStyle name="40% - Énfasis6 2 4 4 2 2" xfId="16734" xr:uid="{00000000-0005-0000-0000-00005B410000}"/>
    <cellStyle name="40% - Énfasis6 2 4 4 2 2 2" xfId="16735" xr:uid="{00000000-0005-0000-0000-00005C410000}"/>
    <cellStyle name="40% - Énfasis6 2 4 4 2 3" xfId="16736" xr:uid="{00000000-0005-0000-0000-00005D410000}"/>
    <cellStyle name="40% - Énfasis6 2 4 4 2 4" xfId="16737" xr:uid="{00000000-0005-0000-0000-00005E410000}"/>
    <cellStyle name="40% - Énfasis6 2 4 4 3" xfId="16738" xr:uid="{00000000-0005-0000-0000-00005F410000}"/>
    <cellStyle name="40% - Énfasis6 2 4 4 3 2" xfId="16739" xr:uid="{00000000-0005-0000-0000-000060410000}"/>
    <cellStyle name="40% - Énfasis6 2 4 4 4" xfId="16740" xr:uid="{00000000-0005-0000-0000-000061410000}"/>
    <cellStyle name="40% - Énfasis6 2 4 4 5" xfId="16741" xr:uid="{00000000-0005-0000-0000-000062410000}"/>
    <cellStyle name="40% - Énfasis6 2 4 5" xfId="16742" xr:uid="{00000000-0005-0000-0000-000063410000}"/>
    <cellStyle name="40% - Énfasis6 2 4 5 2" xfId="16743" xr:uid="{00000000-0005-0000-0000-000064410000}"/>
    <cellStyle name="40% - Énfasis6 2 4 5 2 2" xfId="16744" xr:uid="{00000000-0005-0000-0000-000065410000}"/>
    <cellStyle name="40% - Énfasis6 2 4 5 3" xfId="16745" xr:uid="{00000000-0005-0000-0000-000066410000}"/>
    <cellStyle name="40% - Énfasis6 2 4 5 3 2" xfId="16746" xr:uid="{00000000-0005-0000-0000-000067410000}"/>
    <cellStyle name="40% - Énfasis6 2 4 5 4" xfId="16747" xr:uid="{00000000-0005-0000-0000-000068410000}"/>
    <cellStyle name="40% - Énfasis6 2 4 5 5" xfId="16748" xr:uid="{00000000-0005-0000-0000-000069410000}"/>
    <cellStyle name="40% - Énfasis6 2 4 6" xfId="16749" xr:uid="{00000000-0005-0000-0000-00006A410000}"/>
    <cellStyle name="40% - Énfasis6 2 4 6 2" xfId="16750" xr:uid="{00000000-0005-0000-0000-00006B410000}"/>
    <cellStyle name="40% - Énfasis6 2 4 7" xfId="16751" xr:uid="{00000000-0005-0000-0000-00006C410000}"/>
    <cellStyle name="40% - Énfasis6 2 4 7 2" xfId="16752" xr:uid="{00000000-0005-0000-0000-00006D410000}"/>
    <cellStyle name="40% - Énfasis6 2 4 8" xfId="16753" xr:uid="{00000000-0005-0000-0000-00006E410000}"/>
    <cellStyle name="40% - Énfasis6 2 4 9" xfId="16754" xr:uid="{00000000-0005-0000-0000-00006F410000}"/>
    <cellStyle name="40% - Énfasis6 2 5" xfId="16755" xr:uid="{00000000-0005-0000-0000-000070410000}"/>
    <cellStyle name="40% - Énfasis6 2 5 2" xfId="16756" xr:uid="{00000000-0005-0000-0000-000071410000}"/>
    <cellStyle name="40% - Énfasis6 2 5 2 2" xfId="16757" xr:uid="{00000000-0005-0000-0000-000072410000}"/>
    <cellStyle name="40% - Énfasis6 2 5 2 2 2" xfId="16758" xr:uid="{00000000-0005-0000-0000-000073410000}"/>
    <cellStyle name="40% - Énfasis6 2 5 2 2 2 2" xfId="16759" xr:uid="{00000000-0005-0000-0000-000074410000}"/>
    <cellStyle name="40% - Énfasis6 2 5 2 2 2 2 2" xfId="16760" xr:uid="{00000000-0005-0000-0000-000075410000}"/>
    <cellStyle name="40% - Énfasis6 2 5 2 2 2 3" xfId="16761" xr:uid="{00000000-0005-0000-0000-000076410000}"/>
    <cellStyle name="40% - Énfasis6 2 5 2 2 2 4" xfId="16762" xr:uid="{00000000-0005-0000-0000-000077410000}"/>
    <cellStyle name="40% - Énfasis6 2 5 2 2 3" xfId="16763" xr:uid="{00000000-0005-0000-0000-000078410000}"/>
    <cellStyle name="40% - Énfasis6 2 5 2 2 3 2" xfId="16764" xr:uid="{00000000-0005-0000-0000-000079410000}"/>
    <cellStyle name="40% - Énfasis6 2 5 2 2 4" xfId="16765" xr:uid="{00000000-0005-0000-0000-00007A410000}"/>
    <cellStyle name="40% - Énfasis6 2 5 2 2 5" xfId="16766" xr:uid="{00000000-0005-0000-0000-00007B410000}"/>
    <cellStyle name="40% - Énfasis6 2 5 2 3" xfId="16767" xr:uid="{00000000-0005-0000-0000-00007C410000}"/>
    <cellStyle name="40% - Énfasis6 2 5 2 3 2" xfId="16768" xr:uid="{00000000-0005-0000-0000-00007D410000}"/>
    <cellStyle name="40% - Énfasis6 2 5 2 3 2 2" xfId="16769" xr:uid="{00000000-0005-0000-0000-00007E410000}"/>
    <cellStyle name="40% - Énfasis6 2 5 2 3 3" xfId="16770" xr:uid="{00000000-0005-0000-0000-00007F410000}"/>
    <cellStyle name="40% - Énfasis6 2 5 2 3 3 2" xfId="16771" xr:uid="{00000000-0005-0000-0000-000080410000}"/>
    <cellStyle name="40% - Énfasis6 2 5 2 3 4" xfId="16772" xr:uid="{00000000-0005-0000-0000-000081410000}"/>
    <cellStyle name="40% - Énfasis6 2 5 2 3 5" xfId="16773" xr:uid="{00000000-0005-0000-0000-000082410000}"/>
    <cellStyle name="40% - Énfasis6 2 5 2 4" xfId="16774" xr:uid="{00000000-0005-0000-0000-000083410000}"/>
    <cellStyle name="40% - Énfasis6 2 5 2 4 2" xfId="16775" xr:uid="{00000000-0005-0000-0000-000084410000}"/>
    <cellStyle name="40% - Énfasis6 2 5 2 5" xfId="16776" xr:uid="{00000000-0005-0000-0000-000085410000}"/>
    <cellStyle name="40% - Énfasis6 2 5 2 5 2" xfId="16777" xr:uid="{00000000-0005-0000-0000-000086410000}"/>
    <cellStyle name="40% - Énfasis6 2 5 2 6" xfId="16778" xr:uid="{00000000-0005-0000-0000-000087410000}"/>
    <cellStyle name="40% - Énfasis6 2 5 2 7" xfId="16779" xr:uid="{00000000-0005-0000-0000-000088410000}"/>
    <cellStyle name="40% - Énfasis6 2 5 3" xfId="16780" xr:uid="{00000000-0005-0000-0000-000089410000}"/>
    <cellStyle name="40% - Énfasis6 2 5 3 2" xfId="16781" xr:uid="{00000000-0005-0000-0000-00008A410000}"/>
    <cellStyle name="40% - Énfasis6 2 5 3 2 2" xfId="16782" xr:uid="{00000000-0005-0000-0000-00008B410000}"/>
    <cellStyle name="40% - Énfasis6 2 5 3 2 2 2" xfId="16783" xr:uid="{00000000-0005-0000-0000-00008C410000}"/>
    <cellStyle name="40% - Énfasis6 2 5 3 2 3" xfId="16784" xr:uid="{00000000-0005-0000-0000-00008D410000}"/>
    <cellStyle name="40% - Énfasis6 2 5 3 2 4" xfId="16785" xr:uid="{00000000-0005-0000-0000-00008E410000}"/>
    <cellStyle name="40% - Énfasis6 2 5 3 3" xfId="16786" xr:uid="{00000000-0005-0000-0000-00008F410000}"/>
    <cellStyle name="40% - Énfasis6 2 5 3 3 2" xfId="16787" xr:uid="{00000000-0005-0000-0000-000090410000}"/>
    <cellStyle name="40% - Énfasis6 2 5 3 4" xfId="16788" xr:uid="{00000000-0005-0000-0000-000091410000}"/>
    <cellStyle name="40% - Énfasis6 2 5 3 5" xfId="16789" xr:uid="{00000000-0005-0000-0000-000092410000}"/>
    <cellStyle name="40% - Énfasis6 2 5 4" xfId="16790" xr:uid="{00000000-0005-0000-0000-000093410000}"/>
    <cellStyle name="40% - Énfasis6 2 5 4 2" xfId="16791" xr:uid="{00000000-0005-0000-0000-000094410000}"/>
    <cellStyle name="40% - Énfasis6 2 5 4 2 2" xfId="16792" xr:uid="{00000000-0005-0000-0000-000095410000}"/>
    <cellStyle name="40% - Énfasis6 2 5 4 3" xfId="16793" xr:uid="{00000000-0005-0000-0000-000096410000}"/>
    <cellStyle name="40% - Énfasis6 2 5 4 3 2" xfId="16794" xr:uid="{00000000-0005-0000-0000-000097410000}"/>
    <cellStyle name="40% - Énfasis6 2 5 4 4" xfId="16795" xr:uid="{00000000-0005-0000-0000-000098410000}"/>
    <cellStyle name="40% - Énfasis6 2 5 4 5" xfId="16796" xr:uid="{00000000-0005-0000-0000-000099410000}"/>
    <cellStyle name="40% - Énfasis6 2 5 5" xfId="16797" xr:uid="{00000000-0005-0000-0000-00009A410000}"/>
    <cellStyle name="40% - Énfasis6 2 5 5 2" xfId="16798" xr:uid="{00000000-0005-0000-0000-00009B410000}"/>
    <cellStyle name="40% - Énfasis6 2 5 6" xfId="16799" xr:uid="{00000000-0005-0000-0000-00009C410000}"/>
    <cellStyle name="40% - Énfasis6 2 5 6 2" xfId="16800" xr:uid="{00000000-0005-0000-0000-00009D410000}"/>
    <cellStyle name="40% - Énfasis6 2 5 7" xfId="16801" xr:uid="{00000000-0005-0000-0000-00009E410000}"/>
    <cellStyle name="40% - Énfasis6 2 5 8" xfId="16802" xr:uid="{00000000-0005-0000-0000-00009F410000}"/>
    <cellStyle name="40% - Énfasis6 2 6" xfId="16803" xr:uid="{00000000-0005-0000-0000-0000A0410000}"/>
    <cellStyle name="40% - Énfasis6 2 6 2" xfId="16804" xr:uid="{00000000-0005-0000-0000-0000A1410000}"/>
    <cellStyle name="40% - Énfasis6 2 6 2 2" xfId="16805" xr:uid="{00000000-0005-0000-0000-0000A2410000}"/>
    <cellStyle name="40% - Énfasis6 2 6 2 2 2" xfId="16806" xr:uid="{00000000-0005-0000-0000-0000A3410000}"/>
    <cellStyle name="40% - Énfasis6 2 6 2 2 2 2" xfId="16807" xr:uid="{00000000-0005-0000-0000-0000A4410000}"/>
    <cellStyle name="40% - Énfasis6 2 6 2 2 3" xfId="16808" xr:uid="{00000000-0005-0000-0000-0000A5410000}"/>
    <cellStyle name="40% - Énfasis6 2 6 2 2 4" xfId="16809" xr:uid="{00000000-0005-0000-0000-0000A6410000}"/>
    <cellStyle name="40% - Énfasis6 2 6 2 3" xfId="16810" xr:uid="{00000000-0005-0000-0000-0000A7410000}"/>
    <cellStyle name="40% - Énfasis6 2 6 2 3 2" xfId="16811" xr:uid="{00000000-0005-0000-0000-0000A8410000}"/>
    <cellStyle name="40% - Énfasis6 2 6 2 4" xfId="16812" xr:uid="{00000000-0005-0000-0000-0000A9410000}"/>
    <cellStyle name="40% - Énfasis6 2 6 2 5" xfId="16813" xr:uid="{00000000-0005-0000-0000-0000AA410000}"/>
    <cellStyle name="40% - Énfasis6 2 6 3" xfId="16814" xr:uid="{00000000-0005-0000-0000-0000AB410000}"/>
    <cellStyle name="40% - Énfasis6 2 6 3 2" xfId="16815" xr:uid="{00000000-0005-0000-0000-0000AC410000}"/>
    <cellStyle name="40% - Énfasis6 2 6 3 2 2" xfId="16816" xr:uid="{00000000-0005-0000-0000-0000AD410000}"/>
    <cellStyle name="40% - Énfasis6 2 6 3 3" xfId="16817" xr:uid="{00000000-0005-0000-0000-0000AE410000}"/>
    <cellStyle name="40% - Énfasis6 2 6 3 3 2" xfId="16818" xr:uid="{00000000-0005-0000-0000-0000AF410000}"/>
    <cellStyle name="40% - Énfasis6 2 6 3 4" xfId="16819" xr:uid="{00000000-0005-0000-0000-0000B0410000}"/>
    <cellStyle name="40% - Énfasis6 2 6 3 5" xfId="16820" xr:uid="{00000000-0005-0000-0000-0000B1410000}"/>
    <cellStyle name="40% - Énfasis6 2 6 4" xfId="16821" xr:uid="{00000000-0005-0000-0000-0000B2410000}"/>
    <cellStyle name="40% - Énfasis6 2 6 4 2" xfId="16822" xr:uid="{00000000-0005-0000-0000-0000B3410000}"/>
    <cellStyle name="40% - Énfasis6 2 6 5" xfId="16823" xr:uid="{00000000-0005-0000-0000-0000B4410000}"/>
    <cellStyle name="40% - Énfasis6 2 6 5 2" xfId="16824" xr:uid="{00000000-0005-0000-0000-0000B5410000}"/>
    <cellStyle name="40% - Énfasis6 2 6 6" xfId="16825" xr:uid="{00000000-0005-0000-0000-0000B6410000}"/>
    <cellStyle name="40% - Énfasis6 2 6 7" xfId="16826" xr:uid="{00000000-0005-0000-0000-0000B7410000}"/>
    <cellStyle name="40% - Énfasis6 2 7" xfId="16827" xr:uid="{00000000-0005-0000-0000-0000B8410000}"/>
    <cellStyle name="40% - Énfasis6 2 7 2" xfId="16828" xr:uid="{00000000-0005-0000-0000-0000B9410000}"/>
    <cellStyle name="40% - Énfasis6 2 7 2 2" xfId="16829" xr:uid="{00000000-0005-0000-0000-0000BA410000}"/>
    <cellStyle name="40% - Énfasis6 2 7 2 2 2" xfId="16830" xr:uid="{00000000-0005-0000-0000-0000BB410000}"/>
    <cellStyle name="40% - Énfasis6 2 7 2 3" xfId="16831" xr:uid="{00000000-0005-0000-0000-0000BC410000}"/>
    <cellStyle name="40% - Énfasis6 2 7 2 4" xfId="16832" xr:uid="{00000000-0005-0000-0000-0000BD410000}"/>
    <cellStyle name="40% - Énfasis6 2 7 3" xfId="16833" xr:uid="{00000000-0005-0000-0000-0000BE410000}"/>
    <cellStyle name="40% - Énfasis6 2 7 3 2" xfId="16834" xr:uid="{00000000-0005-0000-0000-0000BF410000}"/>
    <cellStyle name="40% - Énfasis6 2 7 4" xfId="16835" xr:uid="{00000000-0005-0000-0000-0000C0410000}"/>
    <cellStyle name="40% - Énfasis6 2 7 5" xfId="16836" xr:uid="{00000000-0005-0000-0000-0000C1410000}"/>
    <cellStyle name="40% - Énfasis6 2 8" xfId="16837" xr:uid="{00000000-0005-0000-0000-0000C2410000}"/>
    <cellStyle name="40% - Énfasis6 2 8 2" xfId="16838" xr:uid="{00000000-0005-0000-0000-0000C3410000}"/>
    <cellStyle name="40% - Énfasis6 2 8 2 2" xfId="16839" xr:uid="{00000000-0005-0000-0000-0000C4410000}"/>
    <cellStyle name="40% - Énfasis6 2 8 3" xfId="16840" xr:uid="{00000000-0005-0000-0000-0000C5410000}"/>
    <cellStyle name="40% - Énfasis6 2 8 3 2" xfId="16841" xr:uid="{00000000-0005-0000-0000-0000C6410000}"/>
    <cellStyle name="40% - Énfasis6 2 8 4" xfId="16842" xr:uid="{00000000-0005-0000-0000-0000C7410000}"/>
    <cellStyle name="40% - Énfasis6 2 8 5" xfId="16843" xr:uid="{00000000-0005-0000-0000-0000C8410000}"/>
    <cellStyle name="40% - Énfasis6 2 9" xfId="16844" xr:uid="{00000000-0005-0000-0000-0000C9410000}"/>
    <cellStyle name="40% - Énfasis6 2 9 2" xfId="16845" xr:uid="{00000000-0005-0000-0000-0000CA410000}"/>
    <cellStyle name="40% - Énfasis6 3" xfId="16846" xr:uid="{00000000-0005-0000-0000-0000CB410000}"/>
    <cellStyle name="40% - Énfasis6 3 10" xfId="16847" xr:uid="{00000000-0005-0000-0000-0000CC410000}"/>
    <cellStyle name="40% - Énfasis6 3 10 2" xfId="16848" xr:uid="{00000000-0005-0000-0000-0000CD410000}"/>
    <cellStyle name="40% - Énfasis6 3 11" xfId="16849" xr:uid="{00000000-0005-0000-0000-0000CE410000}"/>
    <cellStyle name="40% - Énfasis6 3 12" xfId="16850" xr:uid="{00000000-0005-0000-0000-0000CF410000}"/>
    <cellStyle name="40% - Énfasis6 3 2" xfId="16851" xr:uid="{00000000-0005-0000-0000-0000D0410000}"/>
    <cellStyle name="40% - Énfasis6 3 2 10" xfId="16852" xr:uid="{00000000-0005-0000-0000-0000D1410000}"/>
    <cellStyle name="40% - Énfasis6 3 2 11" xfId="16853" xr:uid="{00000000-0005-0000-0000-0000D2410000}"/>
    <cellStyle name="40% - Énfasis6 3 2 2" xfId="16854" xr:uid="{00000000-0005-0000-0000-0000D3410000}"/>
    <cellStyle name="40% - Énfasis6 3 2 2 10" xfId="16855" xr:uid="{00000000-0005-0000-0000-0000D4410000}"/>
    <cellStyle name="40% - Énfasis6 3 2 2 2" xfId="16856" xr:uid="{00000000-0005-0000-0000-0000D5410000}"/>
    <cellStyle name="40% - Énfasis6 3 2 2 2 2" xfId="16857" xr:uid="{00000000-0005-0000-0000-0000D6410000}"/>
    <cellStyle name="40% - Énfasis6 3 2 2 2 2 2" xfId="16858" xr:uid="{00000000-0005-0000-0000-0000D7410000}"/>
    <cellStyle name="40% - Énfasis6 3 2 2 2 2 2 2" xfId="16859" xr:uid="{00000000-0005-0000-0000-0000D8410000}"/>
    <cellStyle name="40% - Énfasis6 3 2 2 2 2 2 2 2" xfId="16860" xr:uid="{00000000-0005-0000-0000-0000D9410000}"/>
    <cellStyle name="40% - Énfasis6 3 2 2 2 2 2 2 2 2" xfId="16861" xr:uid="{00000000-0005-0000-0000-0000DA410000}"/>
    <cellStyle name="40% - Énfasis6 3 2 2 2 2 2 2 2 2 2" xfId="16862" xr:uid="{00000000-0005-0000-0000-0000DB410000}"/>
    <cellStyle name="40% - Énfasis6 3 2 2 2 2 2 2 2 3" xfId="16863" xr:uid="{00000000-0005-0000-0000-0000DC410000}"/>
    <cellStyle name="40% - Énfasis6 3 2 2 2 2 2 2 2 4" xfId="16864" xr:uid="{00000000-0005-0000-0000-0000DD410000}"/>
    <cellStyle name="40% - Énfasis6 3 2 2 2 2 2 2 3" xfId="16865" xr:uid="{00000000-0005-0000-0000-0000DE410000}"/>
    <cellStyle name="40% - Énfasis6 3 2 2 2 2 2 2 3 2" xfId="16866" xr:uid="{00000000-0005-0000-0000-0000DF410000}"/>
    <cellStyle name="40% - Énfasis6 3 2 2 2 2 2 2 4" xfId="16867" xr:uid="{00000000-0005-0000-0000-0000E0410000}"/>
    <cellStyle name="40% - Énfasis6 3 2 2 2 2 2 2 5" xfId="16868" xr:uid="{00000000-0005-0000-0000-0000E1410000}"/>
    <cellStyle name="40% - Énfasis6 3 2 2 2 2 2 3" xfId="16869" xr:uid="{00000000-0005-0000-0000-0000E2410000}"/>
    <cellStyle name="40% - Énfasis6 3 2 2 2 2 2 3 2" xfId="16870" xr:uid="{00000000-0005-0000-0000-0000E3410000}"/>
    <cellStyle name="40% - Énfasis6 3 2 2 2 2 2 3 2 2" xfId="16871" xr:uid="{00000000-0005-0000-0000-0000E4410000}"/>
    <cellStyle name="40% - Énfasis6 3 2 2 2 2 2 3 3" xfId="16872" xr:uid="{00000000-0005-0000-0000-0000E5410000}"/>
    <cellStyle name="40% - Énfasis6 3 2 2 2 2 2 3 4" xfId="16873" xr:uid="{00000000-0005-0000-0000-0000E6410000}"/>
    <cellStyle name="40% - Énfasis6 3 2 2 2 2 2 4" xfId="16874" xr:uid="{00000000-0005-0000-0000-0000E7410000}"/>
    <cellStyle name="40% - Énfasis6 3 2 2 2 2 2 4 2" xfId="16875" xr:uid="{00000000-0005-0000-0000-0000E8410000}"/>
    <cellStyle name="40% - Énfasis6 3 2 2 2 2 2 5" xfId="16876" xr:uid="{00000000-0005-0000-0000-0000E9410000}"/>
    <cellStyle name="40% - Énfasis6 3 2 2 2 2 2 6" xfId="16877" xr:uid="{00000000-0005-0000-0000-0000EA410000}"/>
    <cellStyle name="40% - Énfasis6 3 2 2 2 2 3" xfId="16878" xr:uid="{00000000-0005-0000-0000-0000EB410000}"/>
    <cellStyle name="40% - Énfasis6 3 2 2 2 2 3 2" xfId="16879" xr:uid="{00000000-0005-0000-0000-0000EC410000}"/>
    <cellStyle name="40% - Énfasis6 3 2 2 2 2 3 2 2" xfId="16880" xr:uid="{00000000-0005-0000-0000-0000ED410000}"/>
    <cellStyle name="40% - Énfasis6 3 2 2 2 2 3 2 2 2" xfId="16881" xr:uid="{00000000-0005-0000-0000-0000EE410000}"/>
    <cellStyle name="40% - Énfasis6 3 2 2 2 2 3 2 3" xfId="16882" xr:uid="{00000000-0005-0000-0000-0000EF410000}"/>
    <cellStyle name="40% - Énfasis6 3 2 2 2 2 3 2 4" xfId="16883" xr:uid="{00000000-0005-0000-0000-0000F0410000}"/>
    <cellStyle name="40% - Énfasis6 3 2 2 2 2 3 3" xfId="16884" xr:uid="{00000000-0005-0000-0000-0000F1410000}"/>
    <cellStyle name="40% - Énfasis6 3 2 2 2 2 3 3 2" xfId="16885" xr:uid="{00000000-0005-0000-0000-0000F2410000}"/>
    <cellStyle name="40% - Énfasis6 3 2 2 2 2 3 4" xfId="16886" xr:uid="{00000000-0005-0000-0000-0000F3410000}"/>
    <cellStyle name="40% - Énfasis6 3 2 2 2 2 3 5" xfId="16887" xr:uid="{00000000-0005-0000-0000-0000F4410000}"/>
    <cellStyle name="40% - Énfasis6 3 2 2 2 2 4" xfId="16888" xr:uid="{00000000-0005-0000-0000-0000F5410000}"/>
    <cellStyle name="40% - Énfasis6 3 2 2 2 2 4 2" xfId="16889" xr:uid="{00000000-0005-0000-0000-0000F6410000}"/>
    <cellStyle name="40% - Énfasis6 3 2 2 2 2 4 2 2" xfId="16890" xr:uid="{00000000-0005-0000-0000-0000F7410000}"/>
    <cellStyle name="40% - Énfasis6 3 2 2 2 2 4 3" xfId="16891" xr:uid="{00000000-0005-0000-0000-0000F8410000}"/>
    <cellStyle name="40% - Énfasis6 3 2 2 2 2 4 4" xfId="16892" xr:uid="{00000000-0005-0000-0000-0000F9410000}"/>
    <cellStyle name="40% - Énfasis6 3 2 2 2 2 5" xfId="16893" xr:uid="{00000000-0005-0000-0000-0000FA410000}"/>
    <cellStyle name="40% - Énfasis6 3 2 2 2 2 5 2" xfId="16894" xr:uid="{00000000-0005-0000-0000-0000FB410000}"/>
    <cellStyle name="40% - Énfasis6 3 2 2 2 2 6" xfId="16895" xr:uid="{00000000-0005-0000-0000-0000FC410000}"/>
    <cellStyle name="40% - Énfasis6 3 2 2 2 2 7" xfId="16896" xr:uid="{00000000-0005-0000-0000-0000FD410000}"/>
    <cellStyle name="40% - Énfasis6 3 2 2 2 3" xfId="16897" xr:uid="{00000000-0005-0000-0000-0000FE410000}"/>
    <cellStyle name="40% - Énfasis6 3 2 2 2 3 2" xfId="16898" xr:uid="{00000000-0005-0000-0000-0000FF410000}"/>
    <cellStyle name="40% - Énfasis6 3 2 2 2 3 2 2" xfId="16899" xr:uid="{00000000-0005-0000-0000-000000420000}"/>
    <cellStyle name="40% - Énfasis6 3 2 2 2 3 2 2 2" xfId="16900" xr:uid="{00000000-0005-0000-0000-000001420000}"/>
    <cellStyle name="40% - Énfasis6 3 2 2 2 3 2 2 2 2" xfId="16901" xr:uid="{00000000-0005-0000-0000-000002420000}"/>
    <cellStyle name="40% - Énfasis6 3 2 2 2 3 2 2 3" xfId="16902" xr:uid="{00000000-0005-0000-0000-000003420000}"/>
    <cellStyle name="40% - Énfasis6 3 2 2 2 3 2 2 4" xfId="16903" xr:uid="{00000000-0005-0000-0000-000004420000}"/>
    <cellStyle name="40% - Énfasis6 3 2 2 2 3 2 3" xfId="16904" xr:uid="{00000000-0005-0000-0000-000005420000}"/>
    <cellStyle name="40% - Énfasis6 3 2 2 2 3 2 3 2" xfId="16905" xr:uid="{00000000-0005-0000-0000-000006420000}"/>
    <cellStyle name="40% - Énfasis6 3 2 2 2 3 2 4" xfId="16906" xr:uid="{00000000-0005-0000-0000-000007420000}"/>
    <cellStyle name="40% - Énfasis6 3 2 2 2 3 2 5" xfId="16907" xr:uid="{00000000-0005-0000-0000-000008420000}"/>
    <cellStyle name="40% - Énfasis6 3 2 2 2 3 3" xfId="16908" xr:uid="{00000000-0005-0000-0000-000009420000}"/>
    <cellStyle name="40% - Énfasis6 3 2 2 2 3 3 2" xfId="16909" xr:uid="{00000000-0005-0000-0000-00000A420000}"/>
    <cellStyle name="40% - Énfasis6 3 2 2 2 3 3 2 2" xfId="16910" xr:uid="{00000000-0005-0000-0000-00000B420000}"/>
    <cellStyle name="40% - Énfasis6 3 2 2 2 3 3 3" xfId="16911" xr:uid="{00000000-0005-0000-0000-00000C420000}"/>
    <cellStyle name="40% - Énfasis6 3 2 2 2 3 3 3 2" xfId="16912" xr:uid="{00000000-0005-0000-0000-00000D420000}"/>
    <cellStyle name="40% - Énfasis6 3 2 2 2 3 3 4" xfId="16913" xr:uid="{00000000-0005-0000-0000-00000E420000}"/>
    <cellStyle name="40% - Énfasis6 3 2 2 2 3 3 5" xfId="16914" xr:uid="{00000000-0005-0000-0000-00000F420000}"/>
    <cellStyle name="40% - Énfasis6 3 2 2 2 3 4" xfId="16915" xr:uid="{00000000-0005-0000-0000-000010420000}"/>
    <cellStyle name="40% - Énfasis6 3 2 2 2 3 4 2" xfId="16916" xr:uid="{00000000-0005-0000-0000-000011420000}"/>
    <cellStyle name="40% - Énfasis6 3 2 2 2 3 5" xfId="16917" xr:uid="{00000000-0005-0000-0000-000012420000}"/>
    <cellStyle name="40% - Énfasis6 3 2 2 2 3 5 2" xfId="16918" xr:uid="{00000000-0005-0000-0000-000013420000}"/>
    <cellStyle name="40% - Énfasis6 3 2 2 2 3 6" xfId="16919" xr:uid="{00000000-0005-0000-0000-000014420000}"/>
    <cellStyle name="40% - Énfasis6 3 2 2 2 3 7" xfId="16920" xr:uid="{00000000-0005-0000-0000-000015420000}"/>
    <cellStyle name="40% - Énfasis6 3 2 2 2 4" xfId="16921" xr:uid="{00000000-0005-0000-0000-000016420000}"/>
    <cellStyle name="40% - Énfasis6 3 2 2 2 4 2" xfId="16922" xr:uid="{00000000-0005-0000-0000-000017420000}"/>
    <cellStyle name="40% - Énfasis6 3 2 2 2 4 2 2" xfId="16923" xr:uid="{00000000-0005-0000-0000-000018420000}"/>
    <cellStyle name="40% - Énfasis6 3 2 2 2 4 2 2 2" xfId="16924" xr:uid="{00000000-0005-0000-0000-000019420000}"/>
    <cellStyle name="40% - Énfasis6 3 2 2 2 4 2 3" xfId="16925" xr:uid="{00000000-0005-0000-0000-00001A420000}"/>
    <cellStyle name="40% - Énfasis6 3 2 2 2 4 2 4" xfId="16926" xr:uid="{00000000-0005-0000-0000-00001B420000}"/>
    <cellStyle name="40% - Énfasis6 3 2 2 2 4 3" xfId="16927" xr:uid="{00000000-0005-0000-0000-00001C420000}"/>
    <cellStyle name="40% - Énfasis6 3 2 2 2 4 3 2" xfId="16928" xr:uid="{00000000-0005-0000-0000-00001D420000}"/>
    <cellStyle name="40% - Énfasis6 3 2 2 2 4 4" xfId="16929" xr:uid="{00000000-0005-0000-0000-00001E420000}"/>
    <cellStyle name="40% - Énfasis6 3 2 2 2 4 5" xfId="16930" xr:uid="{00000000-0005-0000-0000-00001F420000}"/>
    <cellStyle name="40% - Énfasis6 3 2 2 2 5" xfId="16931" xr:uid="{00000000-0005-0000-0000-000020420000}"/>
    <cellStyle name="40% - Énfasis6 3 2 2 2 5 2" xfId="16932" xr:uid="{00000000-0005-0000-0000-000021420000}"/>
    <cellStyle name="40% - Énfasis6 3 2 2 2 5 2 2" xfId="16933" xr:uid="{00000000-0005-0000-0000-000022420000}"/>
    <cellStyle name="40% - Énfasis6 3 2 2 2 5 3" xfId="16934" xr:uid="{00000000-0005-0000-0000-000023420000}"/>
    <cellStyle name="40% - Énfasis6 3 2 2 2 5 3 2" xfId="16935" xr:uid="{00000000-0005-0000-0000-000024420000}"/>
    <cellStyle name="40% - Énfasis6 3 2 2 2 5 4" xfId="16936" xr:uid="{00000000-0005-0000-0000-000025420000}"/>
    <cellStyle name="40% - Énfasis6 3 2 2 2 5 5" xfId="16937" xr:uid="{00000000-0005-0000-0000-000026420000}"/>
    <cellStyle name="40% - Énfasis6 3 2 2 2 6" xfId="16938" xr:uid="{00000000-0005-0000-0000-000027420000}"/>
    <cellStyle name="40% - Énfasis6 3 2 2 2 6 2" xfId="16939" xr:uid="{00000000-0005-0000-0000-000028420000}"/>
    <cellStyle name="40% - Énfasis6 3 2 2 2 7" xfId="16940" xr:uid="{00000000-0005-0000-0000-000029420000}"/>
    <cellStyle name="40% - Énfasis6 3 2 2 2 7 2" xfId="16941" xr:uid="{00000000-0005-0000-0000-00002A420000}"/>
    <cellStyle name="40% - Énfasis6 3 2 2 2 8" xfId="16942" xr:uid="{00000000-0005-0000-0000-00002B420000}"/>
    <cellStyle name="40% - Énfasis6 3 2 2 2 9" xfId="16943" xr:uid="{00000000-0005-0000-0000-00002C420000}"/>
    <cellStyle name="40% - Énfasis6 3 2 2 3" xfId="16944" xr:uid="{00000000-0005-0000-0000-00002D420000}"/>
    <cellStyle name="40% - Énfasis6 3 2 2 3 2" xfId="16945" xr:uid="{00000000-0005-0000-0000-00002E420000}"/>
    <cellStyle name="40% - Énfasis6 3 2 2 3 2 2" xfId="16946" xr:uid="{00000000-0005-0000-0000-00002F420000}"/>
    <cellStyle name="40% - Énfasis6 3 2 2 3 2 2 2" xfId="16947" xr:uid="{00000000-0005-0000-0000-000030420000}"/>
    <cellStyle name="40% - Énfasis6 3 2 2 3 2 2 2 2" xfId="16948" xr:uid="{00000000-0005-0000-0000-000031420000}"/>
    <cellStyle name="40% - Énfasis6 3 2 2 3 2 2 2 2 2" xfId="16949" xr:uid="{00000000-0005-0000-0000-000032420000}"/>
    <cellStyle name="40% - Énfasis6 3 2 2 3 2 2 2 3" xfId="16950" xr:uid="{00000000-0005-0000-0000-000033420000}"/>
    <cellStyle name="40% - Énfasis6 3 2 2 3 2 2 2 4" xfId="16951" xr:uid="{00000000-0005-0000-0000-000034420000}"/>
    <cellStyle name="40% - Énfasis6 3 2 2 3 2 2 3" xfId="16952" xr:uid="{00000000-0005-0000-0000-000035420000}"/>
    <cellStyle name="40% - Énfasis6 3 2 2 3 2 2 3 2" xfId="16953" xr:uid="{00000000-0005-0000-0000-000036420000}"/>
    <cellStyle name="40% - Énfasis6 3 2 2 3 2 2 4" xfId="16954" xr:uid="{00000000-0005-0000-0000-000037420000}"/>
    <cellStyle name="40% - Énfasis6 3 2 2 3 2 2 5" xfId="16955" xr:uid="{00000000-0005-0000-0000-000038420000}"/>
    <cellStyle name="40% - Énfasis6 3 2 2 3 2 3" xfId="16956" xr:uid="{00000000-0005-0000-0000-000039420000}"/>
    <cellStyle name="40% - Énfasis6 3 2 2 3 2 3 2" xfId="16957" xr:uid="{00000000-0005-0000-0000-00003A420000}"/>
    <cellStyle name="40% - Énfasis6 3 2 2 3 2 3 2 2" xfId="16958" xr:uid="{00000000-0005-0000-0000-00003B420000}"/>
    <cellStyle name="40% - Énfasis6 3 2 2 3 2 3 3" xfId="16959" xr:uid="{00000000-0005-0000-0000-00003C420000}"/>
    <cellStyle name="40% - Énfasis6 3 2 2 3 2 3 4" xfId="16960" xr:uid="{00000000-0005-0000-0000-00003D420000}"/>
    <cellStyle name="40% - Énfasis6 3 2 2 3 2 4" xfId="16961" xr:uid="{00000000-0005-0000-0000-00003E420000}"/>
    <cellStyle name="40% - Énfasis6 3 2 2 3 2 4 2" xfId="16962" xr:uid="{00000000-0005-0000-0000-00003F420000}"/>
    <cellStyle name="40% - Énfasis6 3 2 2 3 2 5" xfId="16963" xr:uid="{00000000-0005-0000-0000-000040420000}"/>
    <cellStyle name="40% - Énfasis6 3 2 2 3 2 6" xfId="16964" xr:uid="{00000000-0005-0000-0000-000041420000}"/>
    <cellStyle name="40% - Énfasis6 3 2 2 3 3" xfId="16965" xr:uid="{00000000-0005-0000-0000-000042420000}"/>
    <cellStyle name="40% - Énfasis6 3 2 2 3 3 2" xfId="16966" xr:uid="{00000000-0005-0000-0000-000043420000}"/>
    <cellStyle name="40% - Énfasis6 3 2 2 3 3 2 2" xfId="16967" xr:uid="{00000000-0005-0000-0000-000044420000}"/>
    <cellStyle name="40% - Énfasis6 3 2 2 3 3 2 2 2" xfId="16968" xr:uid="{00000000-0005-0000-0000-000045420000}"/>
    <cellStyle name="40% - Énfasis6 3 2 2 3 3 2 3" xfId="16969" xr:uid="{00000000-0005-0000-0000-000046420000}"/>
    <cellStyle name="40% - Énfasis6 3 2 2 3 3 2 4" xfId="16970" xr:uid="{00000000-0005-0000-0000-000047420000}"/>
    <cellStyle name="40% - Énfasis6 3 2 2 3 3 3" xfId="16971" xr:uid="{00000000-0005-0000-0000-000048420000}"/>
    <cellStyle name="40% - Énfasis6 3 2 2 3 3 3 2" xfId="16972" xr:uid="{00000000-0005-0000-0000-000049420000}"/>
    <cellStyle name="40% - Énfasis6 3 2 2 3 3 4" xfId="16973" xr:uid="{00000000-0005-0000-0000-00004A420000}"/>
    <cellStyle name="40% - Énfasis6 3 2 2 3 3 5" xfId="16974" xr:uid="{00000000-0005-0000-0000-00004B420000}"/>
    <cellStyle name="40% - Énfasis6 3 2 2 3 4" xfId="16975" xr:uid="{00000000-0005-0000-0000-00004C420000}"/>
    <cellStyle name="40% - Énfasis6 3 2 2 3 4 2" xfId="16976" xr:uid="{00000000-0005-0000-0000-00004D420000}"/>
    <cellStyle name="40% - Énfasis6 3 2 2 3 4 2 2" xfId="16977" xr:uid="{00000000-0005-0000-0000-00004E420000}"/>
    <cellStyle name="40% - Énfasis6 3 2 2 3 4 3" xfId="16978" xr:uid="{00000000-0005-0000-0000-00004F420000}"/>
    <cellStyle name="40% - Énfasis6 3 2 2 3 4 4" xfId="16979" xr:uid="{00000000-0005-0000-0000-000050420000}"/>
    <cellStyle name="40% - Énfasis6 3 2 2 3 5" xfId="16980" xr:uid="{00000000-0005-0000-0000-000051420000}"/>
    <cellStyle name="40% - Énfasis6 3 2 2 3 5 2" xfId="16981" xr:uid="{00000000-0005-0000-0000-000052420000}"/>
    <cellStyle name="40% - Énfasis6 3 2 2 3 6" xfId="16982" xr:uid="{00000000-0005-0000-0000-000053420000}"/>
    <cellStyle name="40% - Énfasis6 3 2 2 3 7" xfId="16983" xr:uid="{00000000-0005-0000-0000-000054420000}"/>
    <cellStyle name="40% - Énfasis6 3 2 2 4" xfId="16984" xr:uid="{00000000-0005-0000-0000-000055420000}"/>
    <cellStyle name="40% - Énfasis6 3 2 2 4 2" xfId="16985" xr:uid="{00000000-0005-0000-0000-000056420000}"/>
    <cellStyle name="40% - Énfasis6 3 2 2 4 2 2" xfId="16986" xr:uid="{00000000-0005-0000-0000-000057420000}"/>
    <cellStyle name="40% - Énfasis6 3 2 2 4 2 2 2" xfId="16987" xr:uid="{00000000-0005-0000-0000-000058420000}"/>
    <cellStyle name="40% - Énfasis6 3 2 2 4 2 2 2 2" xfId="16988" xr:uid="{00000000-0005-0000-0000-000059420000}"/>
    <cellStyle name="40% - Énfasis6 3 2 2 4 2 2 3" xfId="16989" xr:uid="{00000000-0005-0000-0000-00005A420000}"/>
    <cellStyle name="40% - Énfasis6 3 2 2 4 2 2 4" xfId="16990" xr:uid="{00000000-0005-0000-0000-00005B420000}"/>
    <cellStyle name="40% - Énfasis6 3 2 2 4 2 3" xfId="16991" xr:uid="{00000000-0005-0000-0000-00005C420000}"/>
    <cellStyle name="40% - Énfasis6 3 2 2 4 2 3 2" xfId="16992" xr:uid="{00000000-0005-0000-0000-00005D420000}"/>
    <cellStyle name="40% - Énfasis6 3 2 2 4 2 4" xfId="16993" xr:uid="{00000000-0005-0000-0000-00005E420000}"/>
    <cellStyle name="40% - Énfasis6 3 2 2 4 2 5" xfId="16994" xr:uid="{00000000-0005-0000-0000-00005F420000}"/>
    <cellStyle name="40% - Énfasis6 3 2 2 4 3" xfId="16995" xr:uid="{00000000-0005-0000-0000-000060420000}"/>
    <cellStyle name="40% - Énfasis6 3 2 2 4 3 2" xfId="16996" xr:uid="{00000000-0005-0000-0000-000061420000}"/>
    <cellStyle name="40% - Énfasis6 3 2 2 4 3 2 2" xfId="16997" xr:uid="{00000000-0005-0000-0000-000062420000}"/>
    <cellStyle name="40% - Énfasis6 3 2 2 4 3 3" xfId="16998" xr:uid="{00000000-0005-0000-0000-000063420000}"/>
    <cellStyle name="40% - Énfasis6 3 2 2 4 3 3 2" xfId="16999" xr:uid="{00000000-0005-0000-0000-000064420000}"/>
    <cellStyle name="40% - Énfasis6 3 2 2 4 3 4" xfId="17000" xr:uid="{00000000-0005-0000-0000-000065420000}"/>
    <cellStyle name="40% - Énfasis6 3 2 2 4 3 5" xfId="17001" xr:uid="{00000000-0005-0000-0000-000066420000}"/>
    <cellStyle name="40% - Énfasis6 3 2 2 4 4" xfId="17002" xr:uid="{00000000-0005-0000-0000-000067420000}"/>
    <cellStyle name="40% - Énfasis6 3 2 2 4 4 2" xfId="17003" xr:uid="{00000000-0005-0000-0000-000068420000}"/>
    <cellStyle name="40% - Énfasis6 3 2 2 4 5" xfId="17004" xr:uid="{00000000-0005-0000-0000-000069420000}"/>
    <cellStyle name="40% - Énfasis6 3 2 2 4 5 2" xfId="17005" xr:uid="{00000000-0005-0000-0000-00006A420000}"/>
    <cellStyle name="40% - Énfasis6 3 2 2 4 6" xfId="17006" xr:uid="{00000000-0005-0000-0000-00006B420000}"/>
    <cellStyle name="40% - Énfasis6 3 2 2 4 7" xfId="17007" xr:uid="{00000000-0005-0000-0000-00006C420000}"/>
    <cellStyle name="40% - Énfasis6 3 2 2 5" xfId="17008" xr:uid="{00000000-0005-0000-0000-00006D420000}"/>
    <cellStyle name="40% - Énfasis6 3 2 2 5 2" xfId="17009" xr:uid="{00000000-0005-0000-0000-00006E420000}"/>
    <cellStyle name="40% - Énfasis6 3 2 2 5 2 2" xfId="17010" xr:uid="{00000000-0005-0000-0000-00006F420000}"/>
    <cellStyle name="40% - Énfasis6 3 2 2 5 2 2 2" xfId="17011" xr:uid="{00000000-0005-0000-0000-000070420000}"/>
    <cellStyle name="40% - Énfasis6 3 2 2 5 2 3" xfId="17012" xr:uid="{00000000-0005-0000-0000-000071420000}"/>
    <cellStyle name="40% - Énfasis6 3 2 2 5 2 4" xfId="17013" xr:uid="{00000000-0005-0000-0000-000072420000}"/>
    <cellStyle name="40% - Énfasis6 3 2 2 5 3" xfId="17014" xr:uid="{00000000-0005-0000-0000-000073420000}"/>
    <cellStyle name="40% - Énfasis6 3 2 2 5 3 2" xfId="17015" xr:uid="{00000000-0005-0000-0000-000074420000}"/>
    <cellStyle name="40% - Énfasis6 3 2 2 5 4" xfId="17016" xr:uid="{00000000-0005-0000-0000-000075420000}"/>
    <cellStyle name="40% - Énfasis6 3 2 2 5 5" xfId="17017" xr:uid="{00000000-0005-0000-0000-000076420000}"/>
    <cellStyle name="40% - Énfasis6 3 2 2 6" xfId="17018" xr:uid="{00000000-0005-0000-0000-000077420000}"/>
    <cellStyle name="40% - Énfasis6 3 2 2 6 2" xfId="17019" xr:uid="{00000000-0005-0000-0000-000078420000}"/>
    <cellStyle name="40% - Énfasis6 3 2 2 6 2 2" xfId="17020" xr:uid="{00000000-0005-0000-0000-000079420000}"/>
    <cellStyle name="40% - Énfasis6 3 2 2 6 3" xfId="17021" xr:uid="{00000000-0005-0000-0000-00007A420000}"/>
    <cellStyle name="40% - Énfasis6 3 2 2 6 3 2" xfId="17022" xr:uid="{00000000-0005-0000-0000-00007B420000}"/>
    <cellStyle name="40% - Énfasis6 3 2 2 6 4" xfId="17023" xr:uid="{00000000-0005-0000-0000-00007C420000}"/>
    <cellStyle name="40% - Énfasis6 3 2 2 6 5" xfId="17024" xr:uid="{00000000-0005-0000-0000-00007D420000}"/>
    <cellStyle name="40% - Énfasis6 3 2 2 7" xfId="17025" xr:uid="{00000000-0005-0000-0000-00007E420000}"/>
    <cellStyle name="40% - Énfasis6 3 2 2 7 2" xfId="17026" xr:uid="{00000000-0005-0000-0000-00007F420000}"/>
    <cellStyle name="40% - Énfasis6 3 2 2 8" xfId="17027" xr:uid="{00000000-0005-0000-0000-000080420000}"/>
    <cellStyle name="40% - Énfasis6 3 2 2 8 2" xfId="17028" xr:uid="{00000000-0005-0000-0000-000081420000}"/>
    <cellStyle name="40% - Énfasis6 3 2 2 9" xfId="17029" xr:uid="{00000000-0005-0000-0000-000082420000}"/>
    <cellStyle name="40% - Énfasis6 3 2 3" xfId="17030" xr:uid="{00000000-0005-0000-0000-000083420000}"/>
    <cellStyle name="40% - Énfasis6 3 2 3 2" xfId="17031" xr:uid="{00000000-0005-0000-0000-000084420000}"/>
    <cellStyle name="40% - Énfasis6 3 2 3 2 2" xfId="17032" xr:uid="{00000000-0005-0000-0000-000085420000}"/>
    <cellStyle name="40% - Énfasis6 3 2 3 2 2 2" xfId="17033" xr:uid="{00000000-0005-0000-0000-000086420000}"/>
    <cellStyle name="40% - Énfasis6 3 2 3 2 2 2 2" xfId="17034" xr:uid="{00000000-0005-0000-0000-000087420000}"/>
    <cellStyle name="40% - Énfasis6 3 2 3 2 2 2 2 2" xfId="17035" xr:uid="{00000000-0005-0000-0000-000088420000}"/>
    <cellStyle name="40% - Énfasis6 3 2 3 2 2 2 2 2 2" xfId="17036" xr:uid="{00000000-0005-0000-0000-000089420000}"/>
    <cellStyle name="40% - Énfasis6 3 2 3 2 2 2 2 3" xfId="17037" xr:uid="{00000000-0005-0000-0000-00008A420000}"/>
    <cellStyle name="40% - Énfasis6 3 2 3 2 2 2 2 4" xfId="17038" xr:uid="{00000000-0005-0000-0000-00008B420000}"/>
    <cellStyle name="40% - Énfasis6 3 2 3 2 2 2 3" xfId="17039" xr:uid="{00000000-0005-0000-0000-00008C420000}"/>
    <cellStyle name="40% - Énfasis6 3 2 3 2 2 2 3 2" xfId="17040" xr:uid="{00000000-0005-0000-0000-00008D420000}"/>
    <cellStyle name="40% - Énfasis6 3 2 3 2 2 2 4" xfId="17041" xr:uid="{00000000-0005-0000-0000-00008E420000}"/>
    <cellStyle name="40% - Énfasis6 3 2 3 2 2 2 5" xfId="17042" xr:uid="{00000000-0005-0000-0000-00008F420000}"/>
    <cellStyle name="40% - Énfasis6 3 2 3 2 2 3" xfId="17043" xr:uid="{00000000-0005-0000-0000-000090420000}"/>
    <cellStyle name="40% - Énfasis6 3 2 3 2 2 3 2" xfId="17044" xr:uid="{00000000-0005-0000-0000-000091420000}"/>
    <cellStyle name="40% - Énfasis6 3 2 3 2 2 3 2 2" xfId="17045" xr:uid="{00000000-0005-0000-0000-000092420000}"/>
    <cellStyle name="40% - Énfasis6 3 2 3 2 2 3 3" xfId="17046" xr:uid="{00000000-0005-0000-0000-000093420000}"/>
    <cellStyle name="40% - Énfasis6 3 2 3 2 2 3 4" xfId="17047" xr:uid="{00000000-0005-0000-0000-000094420000}"/>
    <cellStyle name="40% - Énfasis6 3 2 3 2 2 4" xfId="17048" xr:uid="{00000000-0005-0000-0000-000095420000}"/>
    <cellStyle name="40% - Énfasis6 3 2 3 2 2 4 2" xfId="17049" xr:uid="{00000000-0005-0000-0000-000096420000}"/>
    <cellStyle name="40% - Énfasis6 3 2 3 2 2 5" xfId="17050" xr:uid="{00000000-0005-0000-0000-000097420000}"/>
    <cellStyle name="40% - Énfasis6 3 2 3 2 2 6" xfId="17051" xr:uid="{00000000-0005-0000-0000-000098420000}"/>
    <cellStyle name="40% - Énfasis6 3 2 3 2 3" xfId="17052" xr:uid="{00000000-0005-0000-0000-000099420000}"/>
    <cellStyle name="40% - Énfasis6 3 2 3 2 3 2" xfId="17053" xr:uid="{00000000-0005-0000-0000-00009A420000}"/>
    <cellStyle name="40% - Énfasis6 3 2 3 2 3 2 2" xfId="17054" xr:uid="{00000000-0005-0000-0000-00009B420000}"/>
    <cellStyle name="40% - Énfasis6 3 2 3 2 3 2 2 2" xfId="17055" xr:uid="{00000000-0005-0000-0000-00009C420000}"/>
    <cellStyle name="40% - Énfasis6 3 2 3 2 3 2 3" xfId="17056" xr:uid="{00000000-0005-0000-0000-00009D420000}"/>
    <cellStyle name="40% - Énfasis6 3 2 3 2 3 2 4" xfId="17057" xr:uid="{00000000-0005-0000-0000-00009E420000}"/>
    <cellStyle name="40% - Énfasis6 3 2 3 2 3 3" xfId="17058" xr:uid="{00000000-0005-0000-0000-00009F420000}"/>
    <cellStyle name="40% - Énfasis6 3 2 3 2 3 3 2" xfId="17059" xr:uid="{00000000-0005-0000-0000-0000A0420000}"/>
    <cellStyle name="40% - Énfasis6 3 2 3 2 3 4" xfId="17060" xr:uid="{00000000-0005-0000-0000-0000A1420000}"/>
    <cellStyle name="40% - Énfasis6 3 2 3 2 3 5" xfId="17061" xr:uid="{00000000-0005-0000-0000-0000A2420000}"/>
    <cellStyle name="40% - Énfasis6 3 2 3 2 4" xfId="17062" xr:uid="{00000000-0005-0000-0000-0000A3420000}"/>
    <cellStyle name="40% - Énfasis6 3 2 3 2 4 2" xfId="17063" xr:uid="{00000000-0005-0000-0000-0000A4420000}"/>
    <cellStyle name="40% - Énfasis6 3 2 3 2 4 2 2" xfId="17064" xr:uid="{00000000-0005-0000-0000-0000A5420000}"/>
    <cellStyle name="40% - Énfasis6 3 2 3 2 4 3" xfId="17065" xr:uid="{00000000-0005-0000-0000-0000A6420000}"/>
    <cellStyle name="40% - Énfasis6 3 2 3 2 4 4" xfId="17066" xr:uid="{00000000-0005-0000-0000-0000A7420000}"/>
    <cellStyle name="40% - Énfasis6 3 2 3 2 5" xfId="17067" xr:uid="{00000000-0005-0000-0000-0000A8420000}"/>
    <cellStyle name="40% - Énfasis6 3 2 3 2 5 2" xfId="17068" xr:uid="{00000000-0005-0000-0000-0000A9420000}"/>
    <cellStyle name="40% - Énfasis6 3 2 3 2 6" xfId="17069" xr:uid="{00000000-0005-0000-0000-0000AA420000}"/>
    <cellStyle name="40% - Énfasis6 3 2 3 2 7" xfId="17070" xr:uid="{00000000-0005-0000-0000-0000AB420000}"/>
    <cellStyle name="40% - Énfasis6 3 2 3 3" xfId="17071" xr:uid="{00000000-0005-0000-0000-0000AC420000}"/>
    <cellStyle name="40% - Énfasis6 3 2 3 3 2" xfId="17072" xr:uid="{00000000-0005-0000-0000-0000AD420000}"/>
    <cellStyle name="40% - Énfasis6 3 2 3 3 2 2" xfId="17073" xr:uid="{00000000-0005-0000-0000-0000AE420000}"/>
    <cellStyle name="40% - Énfasis6 3 2 3 3 2 2 2" xfId="17074" xr:uid="{00000000-0005-0000-0000-0000AF420000}"/>
    <cellStyle name="40% - Énfasis6 3 2 3 3 2 2 2 2" xfId="17075" xr:uid="{00000000-0005-0000-0000-0000B0420000}"/>
    <cellStyle name="40% - Énfasis6 3 2 3 3 2 2 3" xfId="17076" xr:uid="{00000000-0005-0000-0000-0000B1420000}"/>
    <cellStyle name="40% - Énfasis6 3 2 3 3 2 2 4" xfId="17077" xr:uid="{00000000-0005-0000-0000-0000B2420000}"/>
    <cellStyle name="40% - Énfasis6 3 2 3 3 2 3" xfId="17078" xr:uid="{00000000-0005-0000-0000-0000B3420000}"/>
    <cellStyle name="40% - Énfasis6 3 2 3 3 2 3 2" xfId="17079" xr:uid="{00000000-0005-0000-0000-0000B4420000}"/>
    <cellStyle name="40% - Énfasis6 3 2 3 3 2 4" xfId="17080" xr:uid="{00000000-0005-0000-0000-0000B5420000}"/>
    <cellStyle name="40% - Énfasis6 3 2 3 3 2 5" xfId="17081" xr:uid="{00000000-0005-0000-0000-0000B6420000}"/>
    <cellStyle name="40% - Énfasis6 3 2 3 3 3" xfId="17082" xr:uid="{00000000-0005-0000-0000-0000B7420000}"/>
    <cellStyle name="40% - Énfasis6 3 2 3 3 3 2" xfId="17083" xr:uid="{00000000-0005-0000-0000-0000B8420000}"/>
    <cellStyle name="40% - Énfasis6 3 2 3 3 3 2 2" xfId="17084" xr:uid="{00000000-0005-0000-0000-0000B9420000}"/>
    <cellStyle name="40% - Énfasis6 3 2 3 3 3 3" xfId="17085" xr:uid="{00000000-0005-0000-0000-0000BA420000}"/>
    <cellStyle name="40% - Énfasis6 3 2 3 3 3 3 2" xfId="17086" xr:uid="{00000000-0005-0000-0000-0000BB420000}"/>
    <cellStyle name="40% - Énfasis6 3 2 3 3 3 4" xfId="17087" xr:uid="{00000000-0005-0000-0000-0000BC420000}"/>
    <cellStyle name="40% - Énfasis6 3 2 3 3 3 5" xfId="17088" xr:uid="{00000000-0005-0000-0000-0000BD420000}"/>
    <cellStyle name="40% - Énfasis6 3 2 3 3 4" xfId="17089" xr:uid="{00000000-0005-0000-0000-0000BE420000}"/>
    <cellStyle name="40% - Énfasis6 3 2 3 3 4 2" xfId="17090" xr:uid="{00000000-0005-0000-0000-0000BF420000}"/>
    <cellStyle name="40% - Énfasis6 3 2 3 3 5" xfId="17091" xr:uid="{00000000-0005-0000-0000-0000C0420000}"/>
    <cellStyle name="40% - Énfasis6 3 2 3 3 5 2" xfId="17092" xr:uid="{00000000-0005-0000-0000-0000C1420000}"/>
    <cellStyle name="40% - Énfasis6 3 2 3 3 6" xfId="17093" xr:uid="{00000000-0005-0000-0000-0000C2420000}"/>
    <cellStyle name="40% - Énfasis6 3 2 3 3 7" xfId="17094" xr:uid="{00000000-0005-0000-0000-0000C3420000}"/>
    <cellStyle name="40% - Énfasis6 3 2 3 4" xfId="17095" xr:uid="{00000000-0005-0000-0000-0000C4420000}"/>
    <cellStyle name="40% - Énfasis6 3 2 3 4 2" xfId="17096" xr:uid="{00000000-0005-0000-0000-0000C5420000}"/>
    <cellStyle name="40% - Énfasis6 3 2 3 4 2 2" xfId="17097" xr:uid="{00000000-0005-0000-0000-0000C6420000}"/>
    <cellStyle name="40% - Énfasis6 3 2 3 4 2 2 2" xfId="17098" xr:uid="{00000000-0005-0000-0000-0000C7420000}"/>
    <cellStyle name="40% - Énfasis6 3 2 3 4 2 3" xfId="17099" xr:uid="{00000000-0005-0000-0000-0000C8420000}"/>
    <cellStyle name="40% - Énfasis6 3 2 3 4 2 4" xfId="17100" xr:uid="{00000000-0005-0000-0000-0000C9420000}"/>
    <cellStyle name="40% - Énfasis6 3 2 3 4 3" xfId="17101" xr:uid="{00000000-0005-0000-0000-0000CA420000}"/>
    <cellStyle name="40% - Énfasis6 3 2 3 4 3 2" xfId="17102" xr:uid="{00000000-0005-0000-0000-0000CB420000}"/>
    <cellStyle name="40% - Énfasis6 3 2 3 4 4" xfId="17103" xr:uid="{00000000-0005-0000-0000-0000CC420000}"/>
    <cellStyle name="40% - Énfasis6 3 2 3 4 5" xfId="17104" xr:uid="{00000000-0005-0000-0000-0000CD420000}"/>
    <cellStyle name="40% - Énfasis6 3 2 3 5" xfId="17105" xr:uid="{00000000-0005-0000-0000-0000CE420000}"/>
    <cellStyle name="40% - Énfasis6 3 2 3 5 2" xfId="17106" xr:uid="{00000000-0005-0000-0000-0000CF420000}"/>
    <cellStyle name="40% - Énfasis6 3 2 3 5 2 2" xfId="17107" xr:uid="{00000000-0005-0000-0000-0000D0420000}"/>
    <cellStyle name="40% - Énfasis6 3 2 3 5 3" xfId="17108" xr:uid="{00000000-0005-0000-0000-0000D1420000}"/>
    <cellStyle name="40% - Énfasis6 3 2 3 5 3 2" xfId="17109" xr:uid="{00000000-0005-0000-0000-0000D2420000}"/>
    <cellStyle name="40% - Énfasis6 3 2 3 5 4" xfId="17110" xr:uid="{00000000-0005-0000-0000-0000D3420000}"/>
    <cellStyle name="40% - Énfasis6 3 2 3 5 5" xfId="17111" xr:uid="{00000000-0005-0000-0000-0000D4420000}"/>
    <cellStyle name="40% - Énfasis6 3 2 3 6" xfId="17112" xr:uid="{00000000-0005-0000-0000-0000D5420000}"/>
    <cellStyle name="40% - Énfasis6 3 2 3 6 2" xfId="17113" xr:uid="{00000000-0005-0000-0000-0000D6420000}"/>
    <cellStyle name="40% - Énfasis6 3 2 3 7" xfId="17114" xr:uid="{00000000-0005-0000-0000-0000D7420000}"/>
    <cellStyle name="40% - Énfasis6 3 2 3 7 2" xfId="17115" xr:uid="{00000000-0005-0000-0000-0000D8420000}"/>
    <cellStyle name="40% - Énfasis6 3 2 3 8" xfId="17116" xr:uid="{00000000-0005-0000-0000-0000D9420000}"/>
    <cellStyle name="40% - Énfasis6 3 2 3 9" xfId="17117" xr:uid="{00000000-0005-0000-0000-0000DA420000}"/>
    <cellStyle name="40% - Énfasis6 3 2 4" xfId="17118" xr:uid="{00000000-0005-0000-0000-0000DB420000}"/>
    <cellStyle name="40% - Énfasis6 3 2 4 2" xfId="17119" xr:uid="{00000000-0005-0000-0000-0000DC420000}"/>
    <cellStyle name="40% - Énfasis6 3 2 4 2 2" xfId="17120" xr:uid="{00000000-0005-0000-0000-0000DD420000}"/>
    <cellStyle name="40% - Énfasis6 3 2 4 2 2 2" xfId="17121" xr:uid="{00000000-0005-0000-0000-0000DE420000}"/>
    <cellStyle name="40% - Énfasis6 3 2 4 2 2 2 2" xfId="17122" xr:uid="{00000000-0005-0000-0000-0000DF420000}"/>
    <cellStyle name="40% - Énfasis6 3 2 4 2 2 2 2 2" xfId="17123" xr:uid="{00000000-0005-0000-0000-0000E0420000}"/>
    <cellStyle name="40% - Énfasis6 3 2 4 2 2 2 3" xfId="17124" xr:uid="{00000000-0005-0000-0000-0000E1420000}"/>
    <cellStyle name="40% - Énfasis6 3 2 4 2 2 2 4" xfId="17125" xr:uid="{00000000-0005-0000-0000-0000E2420000}"/>
    <cellStyle name="40% - Énfasis6 3 2 4 2 2 3" xfId="17126" xr:uid="{00000000-0005-0000-0000-0000E3420000}"/>
    <cellStyle name="40% - Énfasis6 3 2 4 2 2 3 2" xfId="17127" xr:uid="{00000000-0005-0000-0000-0000E4420000}"/>
    <cellStyle name="40% - Énfasis6 3 2 4 2 2 4" xfId="17128" xr:uid="{00000000-0005-0000-0000-0000E5420000}"/>
    <cellStyle name="40% - Énfasis6 3 2 4 2 2 5" xfId="17129" xr:uid="{00000000-0005-0000-0000-0000E6420000}"/>
    <cellStyle name="40% - Énfasis6 3 2 4 2 3" xfId="17130" xr:uid="{00000000-0005-0000-0000-0000E7420000}"/>
    <cellStyle name="40% - Énfasis6 3 2 4 2 3 2" xfId="17131" xr:uid="{00000000-0005-0000-0000-0000E8420000}"/>
    <cellStyle name="40% - Énfasis6 3 2 4 2 3 2 2" xfId="17132" xr:uid="{00000000-0005-0000-0000-0000E9420000}"/>
    <cellStyle name="40% - Énfasis6 3 2 4 2 3 3" xfId="17133" xr:uid="{00000000-0005-0000-0000-0000EA420000}"/>
    <cellStyle name="40% - Énfasis6 3 2 4 2 3 3 2" xfId="17134" xr:uid="{00000000-0005-0000-0000-0000EB420000}"/>
    <cellStyle name="40% - Énfasis6 3 2 4 2 3 4" xfId="17135" xr:uid="{00000000-0005-0000-0000-0000EC420000}"/>
    <cellStyle name="40% - Énfasis6 3 2 4 2 3 5" xfId="17136" xr:uid="{00000000-0005-0000-0000-0000ED420000}"/>
    <cellStyle name="40% - Énfasis6 3 2 4 2 4" xfId="17137" xr:uid="{00000000-0005-0000-0000-0000EE420000}"/>
    <cellStyle name="40% - Énfasis6 3 2 4 2 4 2" xfId="17138" xr:uid="{00000000-0005-0000-0000-0000EF420000}"/>
    <cellStyle name="40% - Énfasis6 3 2 4 2 5" xfId="17139" xr:uid="{00000000-0005-0000-0000-0000F0420000}"/>
    <cellStyle name="40% - Énfasis6 3 2 4 2 5 2" xfId="17140" xr:uid="{00000000-0005-0000-0000-0000F1420000}"/>
    <cellStyle name="40% - Énfasis6 3 2 4 2 6" xfId="17141" xr:uid="{00000000-0005-0000-0000-0000F2420000}"/>
    <cellStyle name="40% - Énfasis6 3 2 4 2 7" xfId="17142" xr:uid="{00000000-0005-0000-0000-0000F3420000}"/>
    <cellStyle name="40% - Énfasis6 3 2 4 3" xfId="17143" xr:uid="{00000000-0005-0000-0000-0000F4420000}"/>
    <cellStyle name="40% - Énfasis6 3 2 4 3 2" xfId="17144" xr:uid="{00000000-0005-0000-0000-0000F5420000}"/>
    <cellStyle name="40% - Énfasis6 3 2 4 3 2 2" xfId="17145" xr:uid="{00000000-0005-0000-0000-0000F6420000}"/>
    <cellStyle name="40% - Énfasis6 3 2 4 3 2 2 2" xfId="17146" xr:uid="{00000000-0005-0000-0000-0000F7420000}"/>
    <cellStyle name="40% - Énfasis6 3 2 4 3 2 3" xfId="17147" xr:uid="{00000000-0005-0000-0000-0000F8420000}"/>
    <cellStyle name="40% - Énfasis6 3 2 4 3 2 4" xfId="17148" xr:uid="{00000000-0005-0000-0000-0000F9420000}"/>
    <cellStyle name="40% - Énfasis6 3 2 4 3 3" xfId="17149" xr:uid="{00000000-0005-0000-0000-0000FA420000}"/>
    <cellStyle name="40% - Énfasis6 3 2 4 3 3 2" xfId="17150" xr:uid="{00000000-0005-0000-0000-0000FB420000}"/>
    <cellStyle name="40% - Énfasis6 3 2 4 3 4" xfId="17151" xr:uid="{00000000-0005-0000-0000-0000FC420000}"/>
    <cellStyle name="40% - Énfasis6 3 2 4 3 5" xfId="17152" xr:uid="{00000000-0005-0000-0000-0000FD420000}"/>
    <cellStyle name="40% - Énfasis6 3 2 4 4" xfId="17153" xr:uid="{00000000-0005-0000-0000-0000FE420000}"/>
    <cellStyle name="40% - Énfasis6 3 2 4 4 2" xfId="17154" xr:uid="{00000000-0005-0000-0000-0000FF420000}"/>
    <cellStyle name="40% - Énfasis6 3 2 4 4 2 2" xfId="17155" xr:uid="{00000000-0005-0000-0000-000000430000}"/>
    <cellStyle name="40% - Énfasis6 3 2 4 4 3" xfId="17156" xr:uid="{00000000-0005-0000-0000-000001430000}"/>
    <cellStyle name="40% - Énfasis6 3 2 4 4 3 2" xfId="17157" xr:uid="{00000000-0005-0000-0000-000002430000}"/>
    <cellStyle name="40% - Énfasis6 3 2 4 4 4" xfId="17158" xr:uid="{00000000-0005-0000-0000-000003430000}"/>
    <cellStyle name="40% - Énfasis6 3 2 4 4 5" xfId="17159" xr:uid="{00000000-0005-0000-0000-000004430000}"/>
    <cellStyle name="40% - Énfasis6 3 2 4 5" xfId="17160" xr:uid="{00000000-0005-0000-0000-000005430000}"/>
    <cellStyle name="40% - Énfasis6 3 2 4 5 2" xfId="17161" xr:uid="{00000000-0005-0000-0000-000006430000}"/>
    <cellStyle name="40% - Énfasis6 3 2 4 6" xfId="17162" xr:uid="{00000000-0005-0000-0000-000007430000}"/>
    <cellStyle name="40% - Énfasis6 3 2 4 6 2" xfId="17163" xr:uid="{00000000-0005-0000-0000-000008430000}"/>
    <cellStyle name="40% - Énfasis6 3 2 4 7" xfId="17164" xr:uid="{00000000-0005-0000-0000-000009430000}"/>
    <cellStyle name="40% - Énfasis6 3 2 4 8" xfId="17165" xr:uid="{00000000-0005-0000-0000-00000A430000}"/>
    <cellStyle name="40% - Énfasis6 3 2 5" xfId="17166" xr:uid="{00000000-0005-0000-0000-00000B430000}"/>
    <cellStyle name="40% - Énfasis6 3 2 5 2" xfId="17167" xr:uid="{00000000-0005-0000-0000-00000C430000}"/>
    <cellStyle name="40% - Énfasis6 3 2 5 2 2" xfId="17168" xr:uid="{00000000-0005-0000-0000-00000D430000}"/>
    <cellStyle name="40% - Énfasis6 3 2 5 2 2 2" xfId="17169" xr:uid="{00000000-0005-0000-0000-00000E430000}"/>
    <cellStyle name="40% - Énfasis6 3 2 5 2 2 2 2" xfId="17170" xr:uid="{00000000-0005-0000-0000-00000F430000}"/>
    <cellStyle name="40% - Énfasis6 3 2 5 2 2 3" xfId="17171" xr:uid="{00000000-0005-0000-0000-000010430000}"/>
    <cellStyle name="40% - Énfasis6 3 2 5 2 2 4" xfId="17172" xr:uid="{00000000-0005-0000-0000-000011430000}"/>
    <cellStyle name="40% - Énfasis6 3 2 5 2 3" xfId="17173" xr:uid="{00000000-0005-0000-0000-000012430000}"/>
    <cellStyle name="40% - Énfasis6 3 2 5 2 3 2" xfId="17174" xr:uid="{00000000-0005-0000-0000-000013430000}"/>
    <cellStyle name="40% - Énfasis6 3 2 5 2 4" xfId="17175" xr:uid="{00000000-0005-0000-0000-000014430000}"/>
    <cellStyle name="40% - Énfasis6 3 2 5 2 5" xfId="17176" xr:uid="{00000000-0005-0000-0000-000015430000}"/>
    <cellStyle name="40% - Énfasis6 3 2 5 3" xfId="17177" xr:uid="{00000000-0005-0000-0000-000016430000}"/>
    <cellStyle name="40% - Énfasis6 3 2 5 3 2" xfId="17178" xr:uid="{00000000-0005-0000-0000-000017430000}"/>
    <cellStyle name="40% - Énfasis6 3 2 5 3 2 2" xfId="17179" xr:uid="{00000000-0005-0000-0000-000018430000}"/>
    <cellStyle name="40% - Énfasis6 3 2 5 3 3" xfId="17180" xr:uid="{00000000-0005-0000-0000-000019430000}"/>
    <cellStyle name="40% - Énfasis6 3 2 5 3 3 2" xfId="17181" xr:uid="{00000000-0005-0000-0000-00001A430000}"/>
    <cellStyle name="40% - Énfasis6 3 2 5 3 4" xfId="17182" xr:uid="{00000000-0005-0000-0000-00001B430000}"/>
    <cellStyle name="40% - Énfasis6 3 2 5 3 5" xfId="17183" xr:uid="{00000000-0005-0000-0000-00001C430000}"/>
    <cellStyle name="40% - Énfasis6 3 2 5 4" xfId="17184" xr:uid="{00000000-0005-0000-0000-00001D430000}"/>
    <cellStyle name="40% - Énfasis6 3 2 5 4 2" xfId="17185" xr:uid="{00000000-0005-0000-0000-00001E430000}"/>
    <cellStyle name="40% - Énfasis6 3 2 5 5" xfId="17186" xr:uid="{00000000-0005-0000-0000-00001F430000}"/>
    <cellStyle name="40% - Énfasis6 3 2 5 5 2" xfId="17187" xr:uid="{00000000-0005-0000-0000-000020430000}"/>
    <cellStyle name="40% - Énfasis6 3 2 5 6" xfId="17188" xr:uid="{00000000-0005-0000-0000-000021430000}"/>
    <cellStyle name="40% - Énfasis6 3 2 5 7" xfId="17189" xr:uid="{00000000-0005-0000-0000-000022430000}"/>
    <cellStyle name="40% - Énfasis6 3 2 6" xfId="17190" xr:uid="{00000000-0005-0000-0000-000023430000}"/>
    <cellStyle name="40% - Énfasis6 3 2 6 2" xfId="17191" xr:uid="{00000000-0005-0000-0000-000024430000}"/>
    <cellStyle name="40% - Énfasis6 3 2 6 2 2" xfId="17192" xr:uid="{00000000-0005-0000-0000-000025430000}"/>
    <cellStyle name="40% - Énfasis6 3 2 6 2 2 2" xfId="17193" xr:uid="{00000000-0005-0000-0000-000026430000}"/>
    <cellStyle name="40% - Énfasis6 3 2 6 2 3" xfId="17194" xr:uid="{00000000-0005-0000-0000-000027430000}"/>
    <cellStyle name="40% - Énfasis6 3 2 6 2 4" xfId="17195" xr:uid="{00000000-0005-0000-0000-000028430000}"/>
    <cellStyle name="40% - Énfasis6 3 2 6 3" xfId="17196" xr:uid="{00000000-0005-0000-0000-000029430000}"/>
    <cellStyle name="40% - Énfasis6 3 2 6 3 2" xfId="17197" xr:uid="{00000000-0005-0000-0000-00002A430000}"/>
    <cellStyle name="40% - Énfasis6 3 2 6 4" xfId="17198" xr:uid="{00000000-0005-0000-0000-00002B430000}"/>
    <cellStyle name="40% - Énfasis6 3 2 6 5" xfId="17199" xr:uid="{00000000-0005-0000-0000-00002C430000}"/>
    <cellStyle name="40% - Énfasis6 3 2 7" xfId="17200" xr:uid="{00000000-0005-0000-0000-00002D430000}"/>
    <cellStyle name="40% - Énfasis6 3 2 7 2" xfId="17201" xr:uid="{00000000-0005-0000-0000-00002E430000}"/>
    <cellStyle name="40% - Énfasis6 3 2 7 2 2" xfId="17202" xr:uid="{00000000-0005-0000-0000-00002F430000}"/>
    <cellStyle name="40% - Énfasis6 3 2 7 3" xfId="17203" xr:uid="{00000000-0005-0000-0000-000030430000}"/>
    <cellStyle name="40% - Énfasis6 3 2 7 3 2" xfId="17204" xr:uid="{00000000-0005-0000-0000-000031430000}"/>
    <cellStyle name="40% - Énfasis6 3 2 7 4" xfId="17205" xr:uid="{00000000-0005-0000-0000-000032430000}"/>
    <cellStyle name="40% - Énfasis6 3 2 7 5" xfId="17206" xr:uid="{00000000-0005-0000-0000-000033430000}"/>
    <cellStyle name="40% - Énfasis6 3 2 8" xfId="17207" xr:uid="{00000000-0005-0000-0000-000034430000}"/>
    <cellStyle name="40% - Énfasis6 3 2 8 2" xfId="17208" xr:uid="{00000000-0005-0000-0000-000035430000}"/>
    <cellStyle name="40% - Énfasis6 3 2 9" xfId="17209" xr:uid="{00000000-0005-0000-0000-000036430000}"/>
    <cellStyle name="40% - Énfasis6 3 2 9 2" xfId="17210" xr:uid="{00000000-0005-0000-0000-000037430000}"/>
    <cellStyle name="40% - Énfasis6 3 3" xfId="17211" xr:uid="{00000000-0005-0000-0000-000038430000}"/>
    <cellStyle name="40% - Énfasis6 3 3 10" xfId="17212" xr:uid="{00000000-0005-0000-0000-000039430000}"/>
    <cellStyle name="40% - Énfasis6 3 3 2" xfId="17213" xr:uid="{00000000-0005-0000-0000-00003A430000}"/>
    <cellStyle name="40% - Énfasis6 3 3 2 2" xfId="17214" xr:uid="{00000000-0005-0000-0000-00003B430000}"/>
    <cellStyle name="40% - Énfasis6 3 3 2 2 2" xfId="17215" xr:uid="{00000000-0005-0000-0000-00003C430000}"/>
    <cellStyle name="40% - Énfasis6 3 3 2 2 2 2" xfId="17216" xr:uid="{00000000-0005-0000-0000-00003D430000}"/>
    <cellStyle name="40% - Énfasis6 3 3 2 2 2 2 2" xfId="17217" xr:uid="{00000000-0005-0000-0000-00003E430000}"/>
    <cellStyle name="40% - Énfasis6 3 3 2 2 2 2 2 2" xfId="17218" xr:uid="{00000000-0005-0000-0000-00003F430000}"/>
    <cellStyle name="40% - Énfasis6 3 3 2 2 2 2 2 2 2" xfId="17219" xr:uid="{00000000-0005-0000-0000-000040430000}"/>
    <cellStyle name="40% - Énfasis6 3 3 2 2 2 2 2 3" xfId="17220" xr:uid="{00000000-0005-0000-0000-000041430000}"/>
    <cellStyle name="40% - Énfasis6 3 3 2 2 2 2 2 4" xfId="17221" xr:uid="{00000000-0005-0000-0000-000042430000}"/>
    <cellStyle name="40% - Énfasis6 3 3 2 2 2 2 3" xfId="17222" xr:uid="{00000000-0005-0000-0000-000043430000}"/>
    <cellStyle name="40% - Énfasis6 3 3 2 2 2 2 3 2" xfId="17223" xr:uid="{00000000-0005-0000-0000-000044430000}"/>
    <cellStyle name="40% - Énfasis6 3 3 2 2 2 2 4" xfId="17224" xr:uid="{00000000-0005-0000-0000-000045430000}"/>
    <cellStyle name="40% - Énfasis6 3 3 2 2 2 2 5" xfId="17225" xr:uid="{00000000-0005-0000-0000-000046430000}"/>
    <cellStyle name="40% - Énfasis6 3 3 2 2 2 3" xfId="17226" xr:uid="{00000000-0005-0000-0000-000047430000}"/>
    <cellStyle name="40% - Énfasis6 3 3 2 2 2 3 2" xfId="17227" xr:uid="{00000000-0005-0000-0000-000048430000}"/>
    <cellStyle name="40% - Énfasis6 3 3 2 2 2 3 2 2" xfId="17228" xr:uid="{00000000-0005-0000-0000-000049430000}"/>
    <cellStyle name="40% - Énfasis6 3 3 2 2 2 3 3" xfId="17229" xr:uid="{00000000-0005-0000-0000-00004A430000}"/>
    <cellStyle name="40% - Énfasis6 3 3 2 2 2 3 4" xfId="17230" xr:uid="{00000000-0005-0000-0000-00004B430000}"/>
    <cellStyle name="40% - Énfasis6 3 3 2 2 2 4" xfId="17231" xr:uid="{00000000-0005-0000-0000-00004C430000}"/>
    <cellStyle name="40% - Énfasis6 3 3 2 2 2 4 2" xfId="17232" xr:uid="{00000000-0005-0000-0000-00004D430000}"/>
    <cellStyle name="40% - Énfasis6 3 3 2 2 2 5" xfId="17233" xr:uid="{00000000-0005-0000-0000-00004E430000}"/>
    <cellStyle name="40% - Énfasis6 3 3 2 2 2 6" xfId="17234" xr:uid="{00000000-0005-0000-0000-00004F430000}"/>
    <cellStyle name="40% - Énfasis6 3 3 2 2 3" xfId="17235" xr:uid="{00000000-0005-0000-0000-000050430000}"/>
    <cellStyle name="40% - Énfasis6 3 3 2 2 3 2" xfId="17236" xr:uid="{00000000-0005-0000-0000-000051430000}"/>
    <cellStyle name="40% - Énfasis6 3 3 2 2 3 2 2" xfId="17237" xr:uid="{00000000-0005-0000-0000-000052430000}"/>
    <cellStyle name="40% - Énfasis6 3 3 2 2 3 2 2 2" xfId="17238" xr:uid="{00000000-0005-0000-0000-000053430000}"/>
    <cellStyle name="40% - Énfasis6 3 3 2 2 3 2 3" xfId="17239" xr:uid="{00000000-0005-0000-0000-000054430000}"/>
    <cellStyle name="40% - Énfasis6 3 3 2 2 3 2 4" xfId="17240" xr:uid="{00000000-0005-0000-0000-000055430000}"/>
    <cellStyle name="40% - Énfasis6 3 3 2 2 3 3" xfId="17241" xr:uid="{00000000-0005-0000-0000-000056430000}"/>
    <cellStyle name="40% - Énfasis6 3 3 2 2 3 3 2" xfId="17242" xr:uid="{00000000-0005-0000-0000-000057430000}"/>
    <cellStyle name="40% - Énfasis6 3 3 2 2 3 4" xfId="17243" xr:uid="{00000000-0005-0000-0000-000058430000}"/>
    <cellStyle name="40% - Énfasis6 3 3 2 2 3 5" xfId="17244" xr:uid="{00000000-0005-0000-0000-000059430000}"/>
    <cellStyle name="40% - Énfasis6 3 3 2 2 4" xfId="17245" xr:uid="{00000000-0005-0000-0000-00005A430000}"/>
    <cellStyle name="40% - Énfasis6 3 3 2 2 4 2" xfId="17246" xr:uid="{00000000-0005-0000-0000-00005B430000}"/>
    <cellStyle name="40% - Énfasis6 3 3 2 2 4 2 2" xfId="17247" xr:uid="{00000000-0005-0000-0000-00005C430000}"/>
    <cellStyle name="40% - Énfasis6 3 3 2 2 4 3" xfId="17248" xr:uid="{00000000-0005-0000-0000-00005D430000}"/>
    <cellStyle name="40% - Énfasis6 3 3 2 2 4 4" xfId="17249" xr:uid="{00000000-0005-0000-0000-00005E430000}"/>
    <cellStyle name="40% - Énfasis6 3 3 2 2 5" xfId="17250" xr:uid="{00000000-0005-0000-0000-00005F430000}"/>
    <cellStyle name="40% - Énfasis6 3 3 2 2 5 2" xfId="17251" xr:uid="{00000000-0005-0000-0000-000060430000}"/>
    <cellStyle name="40% - Énfasis6 3 3 2 2 6" xfId="17252" xr:uid="{00000000-0005-0000-0000-000061430000}"/>
    <cellStyle name="40% - Énfasis6 3 3 2 2 7" xfId="17253" xr:uid="{00000000-0005-0000-0000-000062430000}"/>
    <cellStyle name="40% - Énfasis6 3 3 2 3" xfId="17254" xr:uid="{00000000-0005-0000-0000-000063430000}"/>
    <cellStyle name="40% - Énfasis6 3 3 2 3 2" xfId="17255" xr:uid="{00000000-0005-0000-0000-000064430000}"/>
    <cellStyle name="40% - Énfasis6 3 3 2 3 2 2" xfId="17256" xr:uid="{00000000-0005-0000-0000-000065430000}"/>
    <cellStyle name="40% - Énfasis6 3 3 2 3 2 2 2" xfId="17257" xr:uid="{00000000-0005-0000-0000-000066430000}"/>
    <cellStyle name="40% - Énfasis6 3 3 2 3 2 2 2 2" xfId="17258" xr:uid="{00000000-0005-0000-0000-000067430000}"/>
    <cellStyle name="40% - Énfasis6 3 3 2 3 2 2 3" xfId="17259" xr:uid="{00000000-0005-0000-0000-000068430000}"/>
    <cellStyle name="40% - Énfasis6 3 3 2 3 2 2 4" xfId="17260" xr:uid="{00000000-0005-0000-0000-000069430000}"/>
    <cellStyle name="40% - Énfasis6 3 3 2 3 2 3" xfId="17261" xr:uid="{00000000-0005-0000-0000-00006A430000}"/>
    <cellStyle name="40% - Énfasis6 3 3 2 3 2 3 2" xfId="17262" xr:uid="{00000000-0005-0000-0000-00006B430000}"/>
    <cellStyle name="40% - Énfasis6 3 3 2 3 2 4" xfId="17263" xr:uid="{00000000-0005-0000-0000-00006C430000}"/>
    <cellStyle name="40% - Énfasis6 3 3 2 3 2 5" xfId="17264" xr:uid="{00000000-0005-0000-0000-00006D430000}"/>
    <cellStyle name="40% - Énfasis6 3 3 2 3 3" xfId="17265" xr:uid="{00000000-0005-0000-0000-00006E430000}"/>
    <cellStyle name="40% - Énfasis6 3 3 2 3 3 2" xfId="17266" xr:uid="{00000000-0005-0000-0000-00006F430000}"/>
    <cellStyle name="40% - Énfasis6 3 3 2 3 3 2 2" xfId="17267" xr:uid="{00000000-0005-0000-0000-000070430000}"/>
    <cellStyle name="40% - Énfasis6 3 3 2 3 3 3" xfId="17268" xr:uid="{00000000-0005-0000-0000-000071430000}"/>
    <cellStyle name="40% - Énfasis6 3 3 2 3 3 3 2" xfId="17269" xr:uid="{00000000-0005-0000-0000-000072430000}"/>
    <cellStyle name="40% - Énfasis6 3 3 2 3 3 4" xfId="17270" xr:uid="{00000000-0005-0000-0000-000073430000}"/>
    <cellStyle name="40% - Énfasis6 3 3 2 3 3 5" xfId="17271" xr:uid="{00000000-0005-0000-0000-000074430000}"/>
    <cellStyle name="40% - Énfasis6 3 3 2 3 4" xfId="17272" xr:uid="{00000000-0005-0000-0000-000075430000}"/>
    <cellStyle name="40% - Énfasis6 3 3 2 3 4 2" xfId="17273" xr:uid="{00000000-0005-0000-0000-000076430000}"/>
    <cellStyle name="40% - Énfasis6 3 3 2 3 5" xfId="17274" xr:uid="{00000000-0005-0000-0000-000077430000}"/>
    <cellStyle name="40% - Énfasis6 3 3 2 3 5 2" xfId="17275" xr:uid="{00000000-0005-0000-0000-000078430000}"/>
    <cellStyle name="40% - Énfasis6 3 3 2 3 6" xfId="17276" xr:uid="{00000000-0005-0000-0000-000079430000}"/>
    <cellStyle name="40% - Énfasis6 3 3 2 3 7" xfId="17277" xr:uid="{00000000-0005-0000-0000-00007A430000}"/>
    <cellStyle name="40% - Énfasis6 3 3 2 4" xfId="17278" xr:uid="{00000000-0005-0000-0000-00007B430000}"/>
    <cellStyle name="40% - Énfasis6 3 3 2 4 2" xfId="17279" xr:uid="{00000000-0005-0000-0000-00007C430000}"/>
    <cellStyle name="40% - Énfasis6 3 3 2 4 2 2" xfId="17280" xr:uid="{00000000-0005-0000-0000-00007D430000}"/>
    <cellStyle name="40% - Énfasis6 3 3 2 4 2 2 2" xfId="17281" xr:uid="{00000000-0005-0000-0000-00007E430000}"/>
    <cellStyle name="40% - Énfasis6 3 3 2 4 2 3" xfId="17282" xr:uid="{00000000-0005-0000-0000-00007F430000}"/>
    <cellStyle name="40% - Énfasis6 3 3 2 4 2 4" xfId="17283" xr:uid="{00000000-0005-0000-0000-000080430000}"/>
    <cellStyle name="40% - Énfasis6 3 3 2 4 3" xfId="17284" xr:uid="{00000000-0005-0000-0000-000081430000}"/>
    <cellStyle name="40% - Énfasis6 3 3 2 4 3 2" xfId="17285" xr:uid="{00000000-0005-0000-0000-000082430000}"/>
    <cellStyle name="40% - Énfasis6 3 3 2 4 4" xfId="17286" xr:uid="{00000000-0005-0000-0000-000083430000}"/>
    <cellStyle name="40% - Énfasis6 3 3 2 4 5" xfId="17287" xr:uid="{00000000-0005-0000-0000-000084430000}"/>
    <cellStyle name="40% - Énfasis6 3 3 2 5" xfId="17288" xr:uid="{00000000-0005-0000-0000-000085430000}"/>
    <cellStyle name="40% - Énfasis6 3 3 2 5 2" xfId="17289" xr:uid="{00000000-0005-0000-0000-000086430000}"/>
    <cellStyle name="40% - Énfasis6 3 3 2 5 2 2" xfId="17290" xr:uid="{00000000-0005-0000-0000-000087430000}"/>
    <cellStyle name="40% - Énfasis6 3 3 2 5 3" xfId="17291" xr:uid="{00000000-0005-0000-0000-000088430000}"/>
    <cellStyle name="40% - Énfasis6 3 3 2 5 3 2" xfId="17292" xr:uid="{00000000-0005-0000-0000-000089430000}"/>
    <cellStyle name="40% - Énfasis6 3 3 2 5 4" xfId="17293" xr:uid="{00000000-0005-0000-0000-00008A430000}"/>
    <cellStyle name="40% - Énfasis6 3 3 2 5 5" xfId="17294" xr:uid="{00000000-0005-0000-0000-00008B430000}"/>
    <cellStyle name="40% - Énfasis6 3 3 2 6" xfId="17295" xr:uid="{00000000-0005-0000-0000-00008C430000}"/>
    <cellStyle name="40% - Énfasis6 3 3 2 6 2" xfId="17296" xr:uid="{00000000-0005-0000-0000-00008D430000}"/>
    <cellStyle name="40% - Énfasis6 3 3 2 7" xfId="17297" xr:uid="{00000000-0005-0000-0000-00008E430000}"/>
    <cellStyle name="40% - Énfasis6 3 3 2 7 2" xfId="17298" xr:uid="{00000000-0005-0000-0000-00008F430000}"/>
    <cellStyle name="40% - Énfasis6 3 3 2 8" xfId="17299" xr:uid="{00000000-0005-0000-0000-000090430000}"/>
    <cellStyle name="40% - Énfasis6 3 3 2 9" xfId="17300" xr:uid="{00000000-0005-0000-0000-000091430000}"/>
    <cellStyle name="40% - Énfasis6 3 3 3" xfId="17301" xr:uid="{00000000-0005-0000-0000-000092430000}"/>
    <cellStyle name="40% - Énfasis6 3 3 3 2" xfId="17302" xr:uid="{00000000-0005-0000-0000-000093430000}"/>
    <cellStyle name="40% - Énfasis6 3 3 3 2 2" xfId="17303" xr:uid="{00000000-0005-0000-0000-000094430000}"/>
    <cellStyle name="40% - Énfasis6 3 3 3 2 2 2" xfId="17304" xr:uid="{00000000-0005-0000-0000-000095430000}"/>
    <cellStyle name="40% - Énfasis6 3 3 3 2 2 2 2" xfId="17305" xr:uid="{00000000-0005-0000-0000-000096430000}"/>
    <cellStyle name="40% - Énfasis6 3 3 3 2 2 2 2 2" xfId="17306" xr:uid="{00000000-0005-0000-0000-000097430000}"/>
    <cellStyle name="40% - Énfasis6 3 3 3 2 2 2 3" xfId="17307" xr:uid="{00000000-0005-0000-0000-000098430000}"/>
    <cellStyle name="40% - Énfasis6 3 3 3 2 2 2 4" xfId="17308" xr:uid="{00000000-0005-0000-0000-000099430000}"/>
    <cellStyle name="40% - Énfasis6 3 3 3 2 2 3" xfId="17309" xr:uid="{00000000-0005-0000-0000-00009A430000}"/>
    <cellStyle name="40% - Énfasis6 3 3 3 2 2 3 2" xfId="17310" xr:uid="{00000000-0005-0000-0000-00009B430000}"/>
    <cellStyle name="40% - Énfasis6 3 3 3 2 2 4" xfId="17311" xr:uid="{00000000-0005-0000-0000-00009C430000}"/>
    <cellStyle name="40% - Énfasis6 3 3 3 2 2 5" xfId="17312" xr:uid="{00000000-0005-0000-0000-00009D430000}"/>
    <cellStyle name="40% - Énfasis6 3 3 3 2 3" xfId="17313" xr:uid="{00000000-0005-0000-0000-00009E430000}"/>
    <cellStyle name="40% - Énfasis6 3 3 3 2 3 2" xfId="17314" xr:uid="{00000000-0005-0000-0000-00009F430000}"/>
    <cellStyle name="40% - Énfasis6 3 3 3 2 3 2 2" xfId="17315" xr:uid="{00000000-0005-0000-0000-0000A0430000}"/>
    <cellStyle name="40% - Énfasis6 3 3 3 2 3 3" xfId="17316" xr:uid="{00000000-0005-0000-0000-0000A1430000}"/>
    <cellStyle name="40% - Énfasis6 3 3 3 2 3 3 2" xfId="17317" xr:uid="{00000000-0005-0000-0000-0000A2430000}"/>
    <cellStyle name="40% - Énfasis6 3 3 3 2 3 4" xfId="17318" xr:uid="{00000000-0005-0000-0000-0000A3430000}"/>
    <cellStyle name="40% - Énfasis6 3 3 3 2 3 5" xfId="17319" xr:uid="{00000000-0005-0000-0000-0000A4430000}"/>
    <cellStyle name="40% - Énfasis6 3 3 3 2 4" xfId="17320" xr:uid="{00000000-0005-0000-0000-0000A5430000}"/>
    <cellStyle name="40% - Énfasis6 3 3 3 2 4 2" xfId="17321" xr:uid="{00000000-0005-0000-0000-0000A6430000}"/>
    <cellStyle name="40% - Énfasis6 3 3 3 2 5" xfId="17322" xr:uid="{00000000-0005-0000-0000-0000A7430000}"/>
    <cellStyle name="40% - Énfasis6 3 3 3 2 5 2" xfId="17323" xr:uid="{00000000-0005-0000-0000-0000A8430000}"/>
    <cellStyle name="40% - Énfasis6 3 3 3 2 6" xfId="17324" xr:uid="{00000000-0005-0000-0000-0000A9430000}"/>
    <cellStyle name="40% - Énfasis6 3 3 3 2 7" xfId="17325" xr:uid="{00000000-0005-0000-0000-0000AA430000}"/>
    <cellStyle name="40% - Énfasis6 3 3 3 3" xfId="17326" xr:uid="{00000000-0005-0000-0000-0000AB430000}"/>
    <cellStyle name="40% - Énfasis6 3 3 3 3 2" xfId="17327" xr:uid="{00000000-0005-0000-0000-0000AC430000}"/>
    <cellStyle name="40% - Énfasis6 3 3 3 3 2 2" xfId="17328" xr:uid="{00000000-0005-0000-0000-0000AD430000}"/>
    <cellStyle name="40% - Énfasis6 3 3 3 3 2 2 2" xfId="17329" xr:uid="{00000000-0005-0000-0000-0000AE430000}"/>
    <cellStyle name="40% - Énfasis6 3 3 3 3 2 3" xfId="17330" xr:uid="{00000000-0005-0000-0000-0000AF430000}"/>
    <cellStyle name="40% - Énfasis6 3 3 3 3 2 4" xfId="17331" xr:uid="{00000000-0005-0000-0000-0000B0430000}"/>
    <cellStyle name="40% - Énfasis6 3 3 3 3 3" xfId="17332" xr:uid="{00000000-0005-0000-0000-0000B1430000}"/>
    <cellStyle name="40% - Énfasis6 3 3 3 3 3 2" xfId="17333" xr:uid="{00000000-0005-0000-0000-0000B2430000}"/>
    <cellStyle name="40% - Énfasis6 3 3 3 3 4" xfId="17334" xr:uid="{00000000-0005-0000-0000-0000B3430000}"/>
    <cellStyle name="40% - Énfasis6 3 3 3 3 5" xfId="17335" xr:uid="{00000000-0005-0000-0000-0000B4430000}"/>
    <cellStyle name="40% - Énfasis6 3 3 3 4" xfId="17336" xr:uid="{00000000-0005-0000-0000-0000B5430000}"/>
    <cellStyle name="40% - Énfasis6 3 3 3 4 2" xfId="17337" xr:uid="{00000000-0005-0000-0000-0000B6430000}"/>
    <cellStyle name="40% - Énfasis6 3 3 3 4 2 2" xfId="17338" xr:uid="{00000000-0005-0000-0000-0000B7430000}"/>
    <cellStyle name="40% - Énfasis6 3 3 3 4 3" xfId="17339" xr:uid="{00000000-0005-0000-0000-0000B8430000}"/>
    <cellStyle name="40% - Énfasis6 3 3 3 4 3 2" xfId="17340" xr:uid="{00000000-0005-0000-0000-0000B9430000}"/>
    <cellStyle name="40% - Énfasis6 3 3 3 4 4" xfId="17341" xr:uid="{00000000-0005-0000-0000-0000BA430000}"/>
    <cellStyle name="40% - Énfasis6 3 3 3 4 5" xfId="17342" xr:uid="{00000000-0005-0000-0000-0000BB430000}"/>
    <cellStyle name="40% - Énfasis6 3 3 3 5" xfId="17343" xr:uid="{00000000-0005-0000-0000-0000BC430000}"/>
    <cellStyle name="40% - Énfasis6 3 3 3 5 2" xfId="17344" xr:uid="{00000000-0005-0000-0000-0000BD430000}"/>
    <cellStyle name="40% - Énfasis6 3 3 3 6" xfId="17345" xr:uid="{00000000-0005-0000-0000-0000BE430000}"/>
    <cellStyle name="40% - Énfasis6 3 3 3 6 2" xfId="17346" xr:uid="{00000000-0005-0000-0000-0000BF430000}"/>
    <cellStyle name="40% - Énfasis6 3 3 3 7" xfId="17347" xr:uid="{00000000-0005-0000-0000-0000C0430000}"/>
    <cellStyle name="40% - Énfasis6 3 3 3 8" xfId="17348" xr:uid="{00000000-0005-0000-0000-0000C1430000}"/>
    <cellStyle name="40% - Énfasis6 3 3 4" xfId="17349" xr:uid="{00000000-0005-0000-0000-0000C2430000}"/>
    <cellStyle name="40% - Énfasis6 3 3 4 2" xfId="17350" xr:uid="{00000000-0005-0000-0000-0000C3430000}"/>
    <cellStyle name="40% - Énfasis6 3 3 4 2 2" xfId="17351" xr:uid="{00000000-0005-0000-0000-0000C4430000}"/>
    <cellStyle name="40% - Énfasis6 3 3 4 2 2 2" xfId="17352" xr:uid="{00000000-0005-0000-0000-0000C5430000}"/>
    <cellStyle name="40% - Énfasis6 3 3 4 2 2 2 2" xfId="17353" xr:uid="{00000000-0005-0000-0000-0000C6430000}"/>
    <cellStyle name="40% - Énfasis6 3 3 4 2 2 3" xfId="17354" xr:uid="{00000000-0005-0000-0000-0000C7430000}"/>
    <cellStyle name="40% - Énfasis6 3 3 4 2 2 4" xfId="17355" xr:uid="{00000000-0005-0000-0000-0000C8430000}"/>
    <cellStyle name="40% - Énfasis6 3 3 4 2 3" xfId="17356" xr:uid="{00000000-0005-0000-0000-0000C9430000}"/>
    <cellStyle name="40% - Énfasis6 3 3 4 2 3 2" xfId="17357" xr:uid="{00000000-0005-0000-0000-0000CA430000}"/>
    <cellStyle name="40% - Énfasis6 3 3 4 2 4" xfId="17358" xr:uid="{00000000-0005-0000-0000-0000CB430000}"/>
    <cellStyle name="40% - Énfasis6 3 3 4 2 5" xfId="17359" xr:uid="{00000000-0005-0000-0000-0000CC430000}"/>
    <cellStyle name="40% - Énfasis6 3 3 4 3" xfId="17360" xr:uid="{00000000-0005-0000-0000-0000CD430000}"/>
    <cellStyle name="40% - Énfasis6 3 3 4 3 2" xfId="17361" xr:uid="{00000000-0005-0000-0000-0000CE430000}"/>
    <cellStyle name="40% - Énfasis6 3 3 4 3 2 2" xfId="17362" xr:uid="{00000000-0005-0000-0000-0000CF430000}"/>
    <cellStyle name="40% - Énfasis6 3 3 4 3 3" xfId="17363" xr:uid="{00000000-0005-0000-0000-0000D0430000}"/>
    <cellStyle name="40% - Énfasis6 3 3 4 3 3 2" xfId="17364" xr:uid="{00000000-0005-0000-0000-0000D1430000}"/>
    <cellStyle name="40% - Énfasis6 3 3 4 3 4" xfId="17365" xr:uid="{00000000-0005-0000-0000-0000D2430000}"/>
    <cellStyle name="40% - Énfasis6 3 3 4 3 5" xfId="17366" xr:uid="{00000000-0005-0000-0000-0000D3430000}"/>
    <cellStyle name="40% - Énfasis6 3 3 4 4" xfId="17367" xr:uid="{00000000-0005-0000-0000-0000D4430000}"/>
    <cellStyle name="40% - Énfasis6 3 3 4 4 2" xfId="17368" xr:uid="{00000000-0005-0000-0000-0000D5430000}"/>
    <cellStyle name="40% - Énfasis6 3 3 4 5" xfId="17369" xr:uid="{00000000-0005-0000-0000-0000D6430000}"/>
    <cellStyle name="40% - Énfasis6 3 3 4 5 2" xfId="17370" xr:uid="{00000000-0005-0000-0000-0000D7430000}"/>
    <cellStyle name="40% - Énfasis6 3 3 4 6" xfId="17371" xr:uid="{00000000-0005-0000-0000-0000D8430000}"/>
    <cellStyle name="40% - Énfasis6 3 3 4 7" xfId="17372" xr:uid="{00000000-0005-0000-0000-0000D9430000}"/>
    <cellStyle name="40% - Énfasis6 3 3 5" xfId="17373" xr:uid="{00000000-0005-0000-0000-0000DA430000}"/>
    <cellStyle name="40% - Énfasis6 3 3 5 2" xfId="17374" xr:uid="{00000000-0005-0000-0000-0000DB430000}"/>
    <cellStyle name="40% - Énfasis6 3 3 5 2 2" xfId="17375" xr:uid="{00000000-0005-0000-0000-0000DC430000}"/>
    <cellStyle name="40% - Énfasis6 3 3 5 2 2 2" xfId="17376" xr:uid="{00000000-0005-0000-0000-0000DD430000}"/>
    <cellStyle name="40% - Énfasis6 3 3 5 2 3" xfId="17377" xr:uid="{00000000-0005-0000-0000-0000DE430000}"/>
    <cellStyle name="40% - Énfasis6 3 3 5 2 4" xfId="17378" xr:uid="{00000000-0005-0000-0000-0000DF430000}"/>
    <cellStyle name="40% - Énfasis6 3 3 5 3" xfId="17379" xr:uid="{00000000-0005-0000-0000-0000E0430000}"/>
    <cellStyle name="40% - Énfasis6 3 3 5 3 2" xfId="17380" xr:uid="{00000000-0005-0000-0000-0000E1430000}"/>
    <cellStyle name="40% - Énfasis6 3 3 5 4" xfId="17381" xr:uid="{00000000-0005-0000-0000-0000E2430000}"/>
    <cellStyle name="40% - Énfasis6 3 3 5 5" xfId="17382" xr:uid="{00000000-0005-0000-0000-0000E3430000}"/>
    <cellStyle name="40% - Énfasis6 3 3 6" xfId="17383" xr:uid="{00000000-0005-0000-0000-0000E4430000}"/>
    <cellStyle name="40% - Énfasis6 3 3 6 2" xfId="17384" xr:uid="{00000000-0005-0000-0000-0000E5430000}"/>
    <cellStyle name="40% - Énfasis6 3 3 6 2 2" xfId="17385" xr:uid="{00000000-0005-0000-0000-0000E6430000}"/>
    <cellStyle name="40% - Énfasis6 3 3 6 3" xfId="17386" xr:uid="{00000000-0005-0000-0000-0000E7430000}"/>
    <cellStyle name="40% - Énfasis6 3 3 6 3 2" xfId="17387" xr:uid="{00000000-0005-0000-0000-0000E8430000}"/>
    <cellStyle name="40% - Énfasis6 3 3 6 4" xfId="17388" xr:uid="{00000000-0005-0000-0000-0000E9430000}"/>
    <cellStyle name="40% - Énfasis6 3 3 6 5" xfId="17389" xr:uid="{00000000-0005-0000-0000-0000EA430000}"/>
    <cellStyle name="40% - Énfasis6 3 3 7" xfId="17390" xr:uid="{00000000-0005-0000-0000-0000EB430000}"/>
    <cellStyle name="40% - Énfasis6 3 3 7 2" xfId="17391" xr:uid="{00000000-0005-0000-0000-0000EC430000}"/>
    <cellStyle name="40% - Énfasis6 3 3 8" xfId="17392" xr:uid="{00000000-0005-0000-0000-0000ED430000}"/>
    <cellStyle name="40% - Énfasis6 3 3 8 2" xfId="17393" xr:uid="{00000000-0005-0000-0000-0000EE430000}"/>
    <cellStyle name="40% - Énfasis6 3 3 9" xfId="17394" xr:uid="{00000000-0005-0000-0000-0000EF430000}"/>
    <cellStyle name="40% - Énfasis6 3 4" xfId="17395" xr:uid="{00000000-0005-0000-0000-0000F0430000}"/>
    <cellStyle name="40% - Énfasis6 3 4 2" xfId="17396" xr:uid="{00000000-0005-0000-0000-0000F1430000}"/>
    <cellStyle name="40% - Énfasis6 3 4 2 2" xfId="17397" xr:uid="{00000000-0005-0000-0000-0000F2430000}"/>
    <cellStyle name="40% - Énfasis6 3 4 2 2 2" xfId="17398" xr:uid="{00000000-0005-0000-0000-0000F3430000}"/>
    <cellStyle name="40% - Énfasis6 3 4 2 2 2 2" xfId="17399" xr:uid="{00000000-0005-0000-0000-0000F4430000}"/>
    <cellStyle name="40% - Énfasis6 3 4 2 2 2 2 2" xfId="17400" xr:uid="{00000000-0005-0000-0000-0000F5430000}"/>
    <cellStyle name="40% - Énfasis6 3 4 2 2 2 2 2 2" xfId="17401" xr:uid="{00000000-0005-0000-0000-0000F6430000}"/>
    <cellStyle name="40% - Énfasis6 3 4 2 2 2 2 3" xfId="17402" xr:uid="{00000000-0005-0000-0000-0000F7430000}"/>
    <cellStyle name="40% - Énfasis6 3 4 2 2 2 2 4" xfId="17403" xr:uid="{00000000-0005-0000-0000-0000F8430000}"/>
    <cellStyle name="40% - Énfasis6 3 4 2 2 2 3" xfId="17404" xr:uid="{00000000-0005-0000-0000-0000F9430000}"/>
    <cellStyle name="40% - Énfasis6 3 4 2 2 2 3 2" xfId="17405" xr:uid="{00000000-0005-0000-0000-0000FA430000}"/>
    <cellStyle name="40% - Énfasis6 3 4 2 2 2 4" xfId="17406" xr:uid="{00000000-0005-0000-0000-0000FB430000}"/>
    <cellStyle name="40% - Énfasis6 3 4 2 2 2 5" xfId="17407" xr:uid="{00000000-0005-0000-0000-0000FC430000}"/>
    <cellStyle name="40% - Énfasis6 3 4 2 2 3" xfId="17408" xr:uid="{00000000-0005-0000-0000-0000FD430000}"/>
    <cellStyle name="40% - Énfasis6 3 4 2 2 3 2" xfId="17409" xr:uid="{00000000-0005-0000-0000-0000FE430000}"/>
    <cellStyle name="40% - Énfasis6 3 4 2 2 3 2 2" xfId="17410" xr:uid="{00000000-0005-0000-0000-0000FF430000}"/>
    <cellStyle name="40% - Énfasis6 3 4 2 2 3 3" xfId="17411" xr:uid="{00000000-0005-0000-0000-000000440000}"/>
    <cellStyle name="40% - Énfasis6 3 4 2 2 3 4" xfId="17412" xr:uid="{00000000-0005-0000-0000-000001440000}"/>
    <cellStyle name="40% - Énfasis6 3 4 2 2 4" xfId="17413" xr:uid="{00000000-0005-0000-0000-000002440000}"/>
    <cellStyle name="40% - Énfasis6 3 4 2 2 4 2" xfId="17414" xr:uid="{00000000-0005-0000-0000-000003440000}"/>
    <cellStyle name="40% - Énfasis6 3 4 2 2 5" xfId="17415" xr:uid="{00000000-0005-0000-0000-000004440000}"/>
    <cellStyle name="40% - Énfasis6 3 4 2 2 6" xfId="17416" xr:uid="{00000000-0005-0000-0000-000005440000}"/>
    <cellStyle name="40% - Énfasis6 3 4 2 3" xfId="17417" xr:uid="{00000000-0005-0000-0000-000006440000}"/>
    <cellStyle name="40% - Énfasis6 3 4 2 3 2" xfId="17418" xr:uid="{00000000-0005-0000-0000-000007440000}"/>
    <cellStyle name="40% - Énfasis6 3 4 2 3 2 2" xfId="17419" xr:uid="{00000000-0005-0000-0000-000008440000}"/>
    <cellStyle name="40% - Énfasis6 3 4 2 3 2 2 2" xfId="17420" xr:uid="{00000000-0005-0000-0000-000009440000}"/>
    <cellStyle name="40% - Énfasis6 3 4 2 3 2 3" xfId="17421" xr:uid="{00000000-0005-0000-0000-00000A440000}"/>
    <cellStyle name="40% - Énfasis6 3 4 2 3 2 4" xfId="17422" xr:uid="{00000000-0005-0000-0000-00000B440000}"/>
    <cellStyle name="40% - Énfasis6 3 4 2 3 3" xfId="17423" xr:uid="{00000000-0005-0000-0000-00000C440000}"/>
    <cellStyle name="40% - Énfasis6 3 4 2 3 3 2" xfId="17424" xr:uid="{00000000-0005-0000-0000-00000D440000}"/>
    <cellStyle name="40% - Énfasis6 3 4 2 3 4" xfId="17425" xr:uid="{00000000-0005-0000-0000-00000E440000}"/>
    <cellStyle name="40% - Énfasis6 3 4 2 3 5" xfId="17426" xr:uid="{00000000-0005-0000-0000-00000F440000}"/>
    <cellStyle name="40% - Énfasis6 3 4 2 4" xfId="17427" xr:uid="{00000000-0005-0000-0000-000010440000}"/>
    <cellStyle name="40% - Énfasis6 3 4 2 4 2" xfId="17428" xr:uid="{00000000-0005-0000-0000-000011440000}"/>
    <cellStyle name="40% - Énfasis6 3 4 2 4 2 2" xfId="17429" xr:uid="{00000000-0005-0000-0000-000012440000}"/>
    <cellStyle name="40% - Énfasis6 3 4 2 4 3" xfId="17430" xr:uid="{00000000-0005-0000-0000-000013440000}"/>
    <cellStyle name="40% - Énfasis6 3 4 2 4 4" xfId="17431" xr:uid="{00000000-0005-0000-0000-000014440000}"/>
    <cellStyle name="40% - Énfasis6 3 4 2 5" xfId="17432" xr:uid="{00000000-0005-0000-0000-000015440000}"/>
    <cellStyle name="40% - Énfasis6 3 4 2 5 2" xfId="17433" xr:uid="{00000000-0005-0000-0000-000016440000}"/>
    <cellStyle name="40% - Énfasis6 3 4 2 6" xfId="17434" xr:uid="{00000000-0005-0000-0000-000017440000}"/>
    <cellStyle name="40% - Énfasis6 3 4 2 7" xfId="17435" xr:uid="{00000000-0005-0000-0000-000018440000}"/>
    <cellStyle name="40% - Énfasis6 3 4 3" xfId="17436" xr:uid="{00000000-0005-0000-0000-000019440000}"/>
    <cellStyle name="40% - Énfasis6 3 4 3 2" xfId="17437" xr:uid="{00000000-0005-0000-0000-00001A440000}"/>
    <cellStyle name="40% - Énfasis6 3 4 3 2 2" xfId="17438" xr:uid="{00000000-0005-0000-0000-00001B440000}"/>
    <cellStyle name="40% - Énfasis6 3 4 3 2 2 2" xfId="17439" xr:uid="{00000000-0005-0000-0000-00001C440000}"/>
    <cellStyle name="40% - Énfasis6 3 4 3 2 2 2 2" xfId="17440" xr:uid="{00000000-0005-0000-0000-00001D440000}"/>
    <cellStyle name="40% - Énfasis6 3 4 3 2 2 3" xfId="17441" xr:uid="{00000000-0005-0000-0000-00001E440000}"/>
    <cellStyle name="40% - Énfasis6 3 4 3 2 2 4" xfId="17442" xr:uid="{00000000-0005-0000-0000-00001F440000}"/>
    <cellStyle name="40% - Énfasis6 3 4 3 2 3" xfId="17443" xr:uid="{00000000-0005-0000-0000-000020440000}"/>
    <cellStyle name="40% - Énfasis6 3 4 3 2 3 2" xfId="17444" xr:uid="{00000000-0005-0000-0000-000021440000}"/>
    <cellStyle name="40% - Énfasis6 3 4 3 2 4" xfId="17445" xr:uid="{00000000-0005-0000-0000-000022440000}"/>
    <cellStyle name="40% - Énfasis6 3 4 3 2 5" xfId="17446" xr:uid="{00000000-0005-0000-0000-000023440000}"/>
    <cellStyle name="40% - Énfasis6 3 4 3 3" xfId="17447" xr:uid="{00000000-0005-0000-0000-000024440000}"/>
    <cellStyle name="40% - Énfasis6 3 4 3 3 2" xfId="17448" xr:uid="{00000000-0005-0000-0000-000025440000}"/>
    <cellStyle name="40% - Énfasis6 3 4 3 3 2 2" xfId="17449" xr:uid="{00000000-0005-0000-0000-000026440000}"/>
    <cellStyle name="40% - Énfasis6 3 4 3 3 3" xfId="17450" xr:uid="{00000000-0005-0000-0000-000027440000}"/>
    <cellStyle name="40% - Énfasis6 3 4 3 3 3 2" xfId="17451" xr:uid="{00000000-0005-0000-0000-000028440000}"/>
    <cellStyle name="40% - Énfasis6 3 4 3 3 4" xfId="17452" xr:uid="{00000000-0005-0000-0000-000029440000}"/>
    <cellStyle name="40% - Énfasis6 3 4 3 3 5" xfId="17453" xr:uid="{00000000-0005-0000-0000-00002A440000}"/>
    <cellStyle name="40% - Énfasis6 3 4 3 4" xfId="17454" xr:uid="{00000000-0005-0000-0000-00002B440000}"/>
    <cellStyle name="40% - Énfasis6 3 4 3 4 2" xfId="17455" xr:uid="{00000000-0005-0000-0000-00002C440000}"/>
    <cellStyle name="40% - Énfasis6 3 4 3 5" xfId="17456" xr:uid="{00000000-0005-0000-0000-00002D440000}"/>
    <cellStyle name="40% - Énfasis6 3 4 3 5 2" xfId="17457" xr:uid="{00000000-0005-0000-0000-00002E440000}"/>
    <cellStyle name="40% - Énfasis6 3 4 3 6" xfId="17458" xr:uid="{00000000-0005-0000-0000-00002F440000}"/>
    <cellStyle name="40% - Énfasis6 3 4 3 7" xfId="17459" xr:uid="{00000000-0005-0000-0000-000030440000}"/>
    <cellStyle name="40% - Énfasis6 3 4 4" xfId="17460" xr:uid="{00000000-0005-0000-0000-000031440000}"/>
    <cellStyle name="40% - Énfasis6 3 4 4 2" xfId="17461" xr:uid="{00000000-0005-0000-0000-000032440000}"/>
    <cellStyle name="40% - Énfasis6 3 4 4 2 2" xfId="17462" xr:uid="{00000000-0005-0000-0000-000033440000}"/>
    <cellStyle name="40% - Énfasis6 3 4 4 2 2 2" xfId="17463" xr:uid="{00000000-0005-0000-0000-000034440000}"/>
    <cellStyle name="40% - Énfasis6 3 4 4 2 3" xfId="17464" xr:uid="{00000000-0005-0000-0000-000035440000}"/>
    <cellStyle name="40% - Énfasis6 3 4 4 2 4" xfId="17465" xr:uid="{00000000-0005-0000-0000-000036440000}"/>
    <cellStyle name="40% - Énfasis6 3 4 4 3" xfId="17466" xr:uid="{00000000-0005-0000-0000-000037440000}"/>
    <cellStyle name="40% - Énfasis6 3 4 4 3 2" xfId="17467" xr:uid="{00000000-0005-0000-0000-000038440000}"/>
    <cellStyle name="40% - Énfasis6 3 4 4 4" xfId="17468" xr:uid="{00000000-0005-0000-0000-000039440000}"/>
    <cellStyle name="40% - Énfasis6 3 4 4 5" xfId="17469" xr:uid="{00000000-0005-0000-0000-00003A440000}"/>
    <cellStyle name="40% - Énfasis6 3 4 5" xfId="17470" xr:uid="{00000000-0005-0000-0000-00003B440000}"/>
    <cellStyle name="40% - Énfasis6 3 4 5 2" xfId="17471" xr:uid="{00000000-0005-0000-0000-00003C440000}"/>
    <cellStyle name="40% - Énfasis6 3 4 5 2 2" xfId="17472" xr:uid="{00000000-0005-0000-0000-00003D440000}"/>
    <cellStyle name="40% - Énfasis6 3 4 5 3" xfId="17473" xr:uid="{00000000-0005-0000-0000-00003E440000}"/>
    <cellStyle name="40% - Énfasis6 3 4 5 3 2" xfId="17474" xr:uid="{00000000-0005-0000-0000-00003F440000}"/>
    <cellStyle name="40% - Énfasis6 3 4 5 4" xfId="17475" xr:uid="{00000000-0005-0000-0000-000040440000}"/>
    <cellStyle name="40% - Énfasis6 3 4 5 5" xfId="17476" xr:uid="{00000000-0005-0000-0000-000041440000}"/>
    <cellStyle name="40% - Énfasis6 3 4 6" xfId="17477" xr:uid="{00000000-0005-0000-0000-000042440000}"/>
    <cellStyle name="40% - Énfasis6 3 4 6 2" xfId="17478" xr:uid="{00000000-0005-0000-0000-000043440000}"/>
    <cellStyle name="40% - Énfasis6 3 4 7" xfId="17479" xr:uid="{00000000-0005-0000-0000-000044440000}"/>
    <cellStyle name="40% - Énfasis6 3 4 7 2" xfId="17480" xr:uid="{00000000-0005-0000-0000-000045440000}"/>
    <cellStyle name="40% - Énfasis6 3 4 8" xfId="17481" xr:uid="{00000000-0005-0000-0000-000046440000}"/>
    <cellStyle name="40% - Énfasis6 3 4 9" xfId="17482" xr:uid="{00000000-0005-0000-0000-000047440000}"/>
    <cellStyle name="40% - Énfasis6 3 5" xfId="17483" xr:uid="{00000000-0005-0000-0000-000048440000}"/>
    <cellStyle name="40% - Énfasis6 3 5 2" xfId="17484" xr:uid="{00000000-0005-0000-0000-000049440000}"/>
    <cellStyle name="40% - Énfasis6 3 5 2 2" xfId="17485" xr:uid="{00000000-0005-0000-0000-00004A440000}"/>
    <cellStyle name="40% - Énfasis6 3 5 2 2 2" xfId="17486" xr:uid="{00000000-0005-0000-0000-00004B440000}"/>
    <cellStyle name="40% - Énfasis6 3 5 2 2 2 2" xfId="17487" xr:uid="{00000000-0005-0000-0000-00004C440000}"/>
    <cellStyle name="40% - Énfasis6 3 5 2 2 2 2 2" xfId="17488" xr:uid="{00000000-0005-0000-0000-00004D440000}"/>
    <cellStyle name="40% - Énfasis6 3 5 2 2 2 3" xfId="17489" xr:uid="{00000000-0005-0000-0000-00004E440000}"/>
    <cellStyle name="40% - Énfasis6 3 5 2 2 2 4" xfId="17490" xr:uid="{00000000-0005-0000-0000-00004F440000}"/>
    <cellStyle name="40% - Énfasis6 3 5 2 2 3" xfId="17491" xr:uid="{00000000-0005-0000-0000-000050440000}"/>
    <cellStyle name="40% - Énfasis6 3 5 2 2 3 2" xfId="17492" xr:uid="{00000000-0005-0000-0000-000051440000}"/>
    <cellStyle name="40% - Énfasis6 3 5 2 2 4" xfId="17493" xr:uid="{00000000-0005-0000-0000-000052440000}"/>
    <cellStyle name="40% - Énfasis6 3 5 2 2 5" xfId="17494" xr:uid="{00000000-0005-0000-0000-000053440000}"/>
    <cellStyle name="40% - Énfasis6 3 5 2 3" xfId="17495" xr:uid="{00000000-0005-0000-0000-000054440000}"/>
    <cellStyle name="40% - Énfasis6 3 5 2 3 2" xfId="17496" xr:uid="{00000000-0005-0000-0000-000055440000}"/>
    <cellStyle name="40% - Énfasis6 3 5 2 3 2 2" xfId="17497" xr:uid="{00000000-0005-0000-0000-000056440000}"/>
    <cellStyle name="40% - Énfasis6 3 5 2 3 3" xfId="17498" xr:uid="{00000000-0005-0000-0000-000057440000}"/>
    <cellStyle name="40% - Énfasis6 3 5 2 3 3 2" xfId="17499" xr:uid="{00000000-0005-0000-0000-000058440000}"/>
    <cellStyle name="40% - Énfasis6 3 5 2 3 4" xfId="17500" xr:uid="{00000000-0005-0000-0000-000059440000}"/>
    <cellStyle name="40% - Énfasis6 3 5 2 3 5" xfId="17501" xr:uid="{00000000-0005-0000-0000-00005A440000}"/>
    <cellStyle name="40% - Énfasis6 3 5 2 4" xfId="17502" xr:uid="{00000000-0005-0000-0000-00005B440000}"/>
    <cellStyle name="40% - Énfasis6 3 5 2 4 2" xfId="17503" xr:uid="{00000000-0005-0000-0000-00005C440000}"/>
    <cellStyle name="40% - Énfasis6 3 5 2 5" xfId="17504" xr:uid="{00000000-0005-0000-0000-00005D440000}"/>
    <cellStyle name="40% - Énfasis6 3 5 2 5 2" xfId="17505" xr:uid="{00000000-0005-0000-0000-00005E440000}"/>
    <cellStyle name="40% - Énfasis6 3 5 2 6" xfId="17506" xr:uid="{00000000-0005-0000-0000-00005F440000}"/>
    <cellStyle name="40% - Énfasis6 3 5 2 7" xfId="17507" xr:uid="{00000000-0005-0000-0000-000060440000}"/>
    <cellStyle name="40% - Énfasis6 3 5 3" xfId="17508" xr:uid="{00000000-0005-0000-0000-000061440000}"/>
    <cellStyle name="40% - Énfasis6 3 5 3 2" xfId="17509" xr:uid="{00000000-0005-0000-0000-000062440000}"/>
    <cellStyle name="40% - Énfasis6 3 5 3 2 2" xfId="17510" xr:uid="{00000000-0005-0000-0000-000063440000}"/>
    <cellStyle name="40% - Énfasis6 3 5 3 2 2 2" xfId="17511" xr:uid="{00000000-0005-0000-0000-000064440000}"/>
    <cellStyle name="40% - Énfasis6 3 5 3 2 3" xfId="17512" xr:uid="{00000000-0005-0000-0000-000065440000}"/>
    <cellStyle name="40% - Énfasis6 3 5 3 2 4" xfId="17513" xr:uid="{00000000-0005-0000-0000-000066440000}"/>
    <cellStyle name="40% - Énfasis6 3 5 3 3" xfId="17514" xr:uid="{00000000-0005-0000-0000-000067440000}"/>
    <cellStyle name="40% - Énfasis6 3 5 3 3 2" xfId="17515" xr:uid="{00000000-0005-0000-0000-000068440000}"/>
    <cellStyle name="40% - Énfasis6 3 5 3 4" xfId="17516" xr:uid="{00000000-0005-0000-0000-000069440000}"/>
    <cellStyle name="40% - Énfasis6 3 5 3 5" xfId="17517" xr:uid="{00000000-0005-0000-0000-00006A440000}"/>
    <cellStyle name="40% - Énfasis6 3 5 4" xfId="17518" xr:uid="{00000000-0005-0000-0000-00006B440000}"/>
    <cellStyle name="40% - Énfasis6 3 5 4 2" xfId="17519" xr:uid="{00000000-0005-0000-0000-00006C440000}"/>
    <cellStyle name="40% - Énfasis6 3 5 4 2 2" xfId="17520" xr:uid="{00000000-0005-0000-0000-00006D440000}"/>
    <cellStyle name="40% - Énfasis6 3 5 4 3" xfId="17521" xr:uid="{00000000-0005-0000-0000-00006E440000}"/>
    <cellStyle name="40% - Énfasis6 3 5 4 3 2" xfId="17522" xr:uid="{00000000-0005-0000-0000-00006F440000}"/>
    <cellStyle name="40% - Énfasis6 3 5 4 4" xfId="17523" xr:uid="{00000000-0005-0000-0000-000070440000}"/>
    <cellStyle name="40% - Énfasis6 3 5 4 5" xfId="17524" xr:uid="{00000000-0005-0000-0000-000071440000}"/>
    <cellStyle name="40% - Énfasis6 3 5 5" xfId="17525" xr:uid="{00000000-0005-0000-0000-000072440000}"/>
    <cellStyle name="40% - Énfasis6 3 5 5 2" xfId="17526" xr:uid="{00000000-0005-0000-0000-000073440000}"/>
    <cellStyle name="40% - Énfasis6 3 5 6" xfId="17527" xr:uid="{00000000-0005-0000-0000-000074440000}"/>
    <cellStyle name="40% - Énfasis6 3 5 6 2" xfId="17528" xr:uid="{00000000-0005-0000-0000-000075440000}"/>
    <cellStyle name="40% - Énfasis6 3 5 7" xfId="17529" xr:uid="{00000000-0005-0000-0000-000076440000}"/>
    <cellStyle name="40% - Énfasis6 3 5 8" xfId="17530" xr:uid="{00000000-0005-0000-0000-000077440000}"/>
    <cellStyle name="40% - Énfasis6 3 6" xfId="17531" xr:uid="{00000000-0005-0000-0000-000078440000}"/>
    <cellStyle name="40% - Énfasis6 3 6 2" xfId="17532" xr:uid="{00000000-0005-0000-0000-000079440000}"/>
    <cellStyle name="40% - Énfasis6 3 6 2 2" xfId="17533" xr:uid="{00000000-0005-0000-0000-00007A440000}"/>
    <cellStyle name="40% - Énfasis6 3 6 2 2 2" xfId="17534" xr:uid="{00000000-0005-0000-0000-00007B440000}"/>
    <cellStyle name="40% - Énfasis6 3 6 2 2 2 2" xfId="17535" xr:uid="{00000000-0005-0000-0000-00007C440000}"/>
    <cellStyle name="40% - Énfasis6 3 6 2 2 3" xfId="17536" xr:uid="{00000000-0005-0000-0000-00007D440000}"/>
    <cellStyle name="40% - Énfasis6 3 6 2 2 4" xfId="17537" xr:uid="{00000000-0005-0000-0000-00007E440000}"/>
    <cellStyle name="40% - Énfasis6 3 6 2 3" xfId="17538" xr:uid="{00000000-0005-0000-0000-00007F440000}"/>
    <cellStyle name="40% - Énfasis6 3 6 2 3 2" xfId="17539" xr:uid="{00000000-0005-0000-0000-000080440000}"/>
    <cellStyle name="40% - Énfasis6 3 6 2 4" xfId="17540" xr:uid="{00000000-0005-0000-0000-000081440000}"/>
    <cellStyle name="40% - Énfasis6 3 6 2 5" xfId="17541" xr:uid="{00000000-0005-0000-0000-000082440000}"/>
    <cellStyle name="40% - Énfasis6 3 6 3" xfId="17542" xr:uid="{00000000-0005-0000-0000-000083440000}"/>
    <cellStyle name="40% - Énfasis6 3 6 3 2" xfId="17543" xr:uid="{00000000-0005-0000-0000-000084440000}"/>
    <cellStyle name="40% - Énfasis6 3 6 3 2 2" xfId="17544" xr:uid="{00000000-0005-0000-0000-000085440000}"/>
    <cellStyle name="40% - Énfasis6 3 6 3 3" xfId="17545" xr:uid="{00000000-0005-0000-0000-000086440000}"/>
    <cellStyle name="40% - Énfasis6 3 6 3 3 2" xfId="17546" xr:uid="{00000000-0005-0000-0000-000087440000}"/>
    <cellStyle name="40% - Énfasis6 3 6 3 4" xfId="17547" xr:uid="{00000000-0005-0000-0000-000088440000}"/>
    <cellStyle name="40% - Énfasis6 3 6 3 5" xfId="17548" xr:uid="{00000000-0005-0000-0000-000089440000}"/>
    <cellStyle name="40% - Énfasis6 3 6 4" xfId="17549" xr:uid="{00000000-0005-0000-0000-00008A440000}"/>
    <cellStyle name="40% - Énfasis6 3 6 4 2" xfId="17550" xr:uid="{00000000-0005-0000-0000-00008B440000}"/>
    <cellStyle name="40% - Énfasis6 3 6 5" xfId="17551" xr:uid="{00000000-0005-0000-0000-00008C440000}"/>
    <cellStyle name="40% - Énfasis6 3 6 5 2" xfId="17552" xr:uid="{00000000-0005-0000-0000-00008D440000}"/>
    <cellStyle name="40% - Énfasis6 3 6 6" xfId="17553" xr:uid="{00000000-0005-0000-0000-00008E440000}"/>
    <cellStyle name="40% - Énfasis6 3 6 7" xfId="17554" xr:uid="{00000000-0005-0000-0000-00008F440000}"/>
    <cellStyle name="40% - Énfasis6 3 7" xfId="17555" xr:uid="{00000000-0005-0000-0000-000090440000}"/>
    <cellStyle name="40% - Énfasis6 3 7 2" xfId="17556" xr:uid="{00000000-0005-0000-0000-000091440000}"/>
    <cellStyle name="40% - Énfasis6 3 7 2 2" xfId="17557" xr:uid="{00000000-0005-0000-0000-000092440000}"/>
    <cellStyle name="40% - Énfasis6 3 7 2 2 2" xfId="17558" xr:uid="{00000000-0005-0000-0000-000093440000}"/>
    <cellStyle name="40% - Énfasis6 3 7 2 3" xfId="17559" xr:uid="{00000000-0005-0000-0000-000094440000}"/>
    <cellStyle name="40% - Énfasis6 3 7 2 4" xfId="17560" xr:uid="{00000000-0005-0000-0000-000095440000}"/>
    <cellStyle name="40% - Énfasis6 3 7 3" xfId="17561" xr:uid="{00000000-0005-0000-0000-000096440000}"/>
    <cellStyle name="40% - Énfasis6 3 7 3 2" xfId="17562" xr:uid="{00000000-0005-0000-0000-000097440000}"/>
    <cellStyle name="40% - Énfasis6 3 7 4" xfId="17563" xr:uid="{00000000-0005-0000-0000-000098440000}"/>
    <cellStyle name="40% - Énfasis6 3 7 5" xfId="17564" xr:uid="{00000000-0005-0000-0000-000099440000}"/>
    <cellStyle name="40% - Énfasis6 3 8" xfId="17565" xr:uid="{00000000-0005-0000-0000-00009A440000}"/>
    <cellStyle name="40% - Énfasis6 3 8 2" xfId="17566" xr:uid="{00000000-0005-0000-0000-00009B440000}"/>
    <cellStyle name="40% - Énfasis6 3 8 2 2" xfId="17567" xr:uid="{00000000-0005-0000-0000-00009C440000}"/>
    <cellStyle name="40% - Énfasis6 3 8 3" xfId="17568" xr:uid="{00000000-0005-0000-0000-00009D440000}"/>
    <cellStyle name="40% - Énfasis6 3 8 3 2" xfId="17569" xr:uid="{00000000-0005-0000-0000-00009E440000}"/>
    <cellStyle name="40% - Énfasis6 3 8 4" xfId="17570" xr:uid="{00000000-0005-0000-0000-00009F440000}"/>
    <cellStyle name="40% - Énfasis6 3 8 5" xfId="17571" xr:uid="{00000000-0005-0000-0000-0000A0440000}"/>
    <cellStyle name="40% - Énfasis6 3 9" xfId="17572" xr:uid="{00000000-0005-0000-0000-0000A1440000}"/>
    <cellStyle name="40% - Énfasis6 3 9 2" xfId="17573" xr:uid="{00000000-0005-0000-0000-0000A2440000}"/>
    <cellStyle name="40% - Énfasis6 4" xfId="17574" xr:uid="{00000000-0005-0000-0000-0000A3440000}"/>
    <cellStyle name="5" xfId="17575" xr:uid="{00000000-0005-0000-0000-0000A4440000}"/>
    <cellStyle name="6" xfId="17576" xr:uid="{00000000-0005-0000-0000-0000A5440000}"/>
    <cellStyle name="60% - Accent1" xfId="17577" xr:uid="{00000000-0005-0000-0000-0000A6440000}"/>
    <cellStyle name="60% - Accent1 2" xfId="17578" xr:uid="{00000000-0005-0000-0000-0000A7440000}"/>
    <cellStyle name="60% - Accent2" xfId="17579" xr:uid="{00000000-0005-0000-0000-0000A8440000}"/>
    <cellStyle name="60% - Accent2 2" xfId="17580" xr:uid="{00000000-0005-0000-0000-0000A9440000}"/>
    <cellStyle name="60% - Accent3" xfId="17581" xr:uid="{00000000-0005-0000-0000-0000AA440000}"/>
    <cellStyle name="60% - Accent3 2" xfId="17582" xr:uid="{00000000-0005-0000-0000-0000AB440000}"/>
    <cellStyle name="60% - Accent4" xfId="17583" xr:uid="{00000000-0005-0000-0000-0000AC440000}"/>
    <cellStyle name="60% - Accent4 2" xfId="17584" xr:uid="{00000000-0005-0000-0000-0000AD440000}"/>
    <cellStyle name="60% - Accent5" xfId="17585" xr:uid="{00000000-0005-0000-0000-0000AE440000}"/>
    <cellStyle name="60% - Accent5 2" xfId="17586" xr:uid="{00000000-0005-0000-0000-0000AF440000}"/>
    <cellStyle name="60% - Accent6" xfId="17587" xr:uid="{00000000-0005-0000-0000-0000B0440000}"/>
    <cellStyle name="60% - Accent6 2" xfId="17588" xr:uid="{00000000-0005-0000-0000-0000B1440000}"/>
    <cellStyle name="60% - Énfasis1 2" xfId="17589" xr:uid="{00000000-0005-0000-0000-0000B2440000}"/>
    <cellStyle name="60% - Énfasis1 2 2" xfId="17590" xr:uid="{00000000-0005-0000-0000-0000B3440000}"/>
    <cellStyle name="60% - Énfasis1 3" xfId="17591" xr:uid="{00000000-0005-0000-0000-0000B4440000}"/>
    <cellStyle name="60% - Énfasis2 2" xfId="17592" xr:uid="{00000000-0005-0000-0000-0000B5440000}"/>
    <cellStyle name="60% - Énfasis2 2 2" xfId="17593" xr:uid="{00000000-0005-0000-0000-0000B6440000}"/>
    <cellStyle name="60% - Énfasis2 3" xfId="17594" xr:uid="{00000000-0005-0000-0000-0000B7440000}"/>
    <cellStyle name="60% - Énfasis3 2" xfId="17595" xr:uid="{00000000-0005-0000-0000-0000B8440000}"/>
    <cellStyle name="60% - Énfasis3 2 2" xfId="17596" xr:uid="{00000000-0005-0000-0000-0000B9440000}"/>
    <cellStyle name="60% - Énfasis3 3" xfId="17597" xr:uid="{00000000-0005-0000-0000-0000BA440000}"/>
    <cellStyle name="60% - Énfasis4 2" xfId="17598" xr:uid="{00000000-0005-0000-0000-0000BB440000}"/>
    <cellStyle name="60% - Énfasis4 2 2" xfId="17599" xr:uid="{00000000-0005-0000-0000-0000BC440000}"/>
    <cellStyle name="60% - Énfasis4 3" xfId="17600" xr:uid="{00000000-0005-0000-0000-0000BD440000}"/>
    <cellStyle name="60% - Énfasis5 2" xfId="17601" xr:uid="{00000000-0005-0000-0000-0000BE440000}"/>
    <cellStyle name="60% - Énfasis5 2 2" xfId="17602" xr:uid="{00000000-0005-0000-0000-0000BF440000}"/>
    <cellStyle name="60% - Énfasis5 3" xfId="17603" xr:uid="{00000000-0005-0000-0000-0000C0440000}"/>
    <cellStyle name="60% - Énfasis6 2" xfId="17604" xr:uid="{00000000-0005-0000-0000-0000C1440000}"/>
    <cellStyle name="60% - Énfasis6 2 2" xfId="17605" xr:uid="{00000000-0005-0000-0000-0000C2440000}"/>
    <cellStyle name="60% - Énfasis6 3" xfId="17606" xr:uid="{00000000-0005-0000-0000-0000C3440000}"/>
    <cellStyle name="9" xfId="17607" xr:uid="{00000000-0005-0000-0000-0000C4440000}"/>
    <cellStyle name="Accent1" xfId="17608" xr:uid="{00000000-0005-0000-0000-0000C5440000}"/>
    <cellStyle name="Accent1 2" xfId="17609" xr:uid="{00000000-0005-0000-0000-0000C6440000}"/>
    <cellStyle name="Accent2" xfId="17610" xr:uid="{00000000-0005-0000-0000-0000C7440000}"/>
    <cellStyle name="Accent2 2" xfId="17611" xr:uid="{00000000-0005-0000-0000-0000C8440000}"/>
    <cellStyle name="Accent3" xfId="17612" xr:uid="{00000000-0005-0000-0000-0000C9440000}"/>
    <cellStyle name="Accent3 2" xfId="17613" xr:uid="{00000000-0005-0000-0000-0000CA440000}"/>
    <cellStyle name="Accent4" xfId="17614" xr:uid="{00000000-0005-0000-0000-0000CB440000}"/>
    <cellStyle name="Accent4 2" xfId="17615" xr:uid="{00000000-0005-0000-0000-0000CC440000}"/>
    <cellStyle name="Accent5" xfId="17616" xr:uid="{00000000-0005-0000-0000-0000CD440000}"/>
    <cellStyle name="Accent5 2" xfId="17617" xr:uid="{00000000-0005-0000-0000-0000CE440000}"/>
    <cellStyle name="Accent6" xfId="17618" xr:uid="{00000000-0005-0000-0000-0000CF440000}"/>
    <cellStyle name="Accent6 2" xfId="17619" xr:uid="{00000000-0005-0000-0000-0000D0440000}"/>
    <cellStyle name="Bad" xfId="17620" xr:uid="{00000000-0005-0000-0000-0000D1440000}"/>
    <cellStyle name="Bad 2" xfId="17621" xr:uid="{00000000-0005-0000-0000-0000D2440000}"/>
    <cellStyle name="Brand Align Left Text" xfId="17622" xr:uid="{00000000-0005-0000-0000-0000D3440000}"/>
    <cellStyle name="Brand Default" xfId="17623" xr:uid="{00000000-0005-0000-0000-0000D4440000}"/>
    <cellStyle name="Brand Percent" xfId="17624" xr:uid="{00000000-0005-0000-0000-0000D5440000}"/>
    <cellStyle name="Brand Source" xfId="17625" xr:uid="{00000000-0005-0000-0000-0000D6440000}"/>
    <cellStyle name="Brand Subtitle with Underline" xfId="17626" xr:uid="{00000000-0005-0000-0000-0000D7440000}"/>
    <cellStyle name="Brand Subtitle without Underline" xfId="17627" xr:uid="{00000000-0005-0000-0000-0000D8440000}"/>
    <cellStyle name="Brand Title" xfId="17628" xr:uid="{00000000-0005-0000-0000-0000D9440000}"/>
    <cellStyle name="Buena 2" xfId="17629" xr:uid="{00000000-0005-0000-0000-0000DA440000}"/>
    <cellStyle name="Buena 2 2" xfId="17630" xr:uid="{00000000-0005-0000-0000-0000DB440000}"/>
    <cellStyle name="Buena 3" xfId="17631" xr:uid="{00000000-0005-0000-0000-0000DC440000}"/>
    <cellStyle name="C|‰" xfId="17632" xr:uid="{00000000-0005-0000-0000-0000DD440000}"/>
    <cellStyle name="C|‰ 2" xfId="17633" xr:uid="{00000000-0005-0000-0000-0000DE440000}"/>
    <cellStyle name="Cabecera 1" xfId="17634" xr:uid="{00000000-0005-0000-0000-0000DF440000}"/>
    <cellStyle name="Cabecera 1 2" xfId="17635" xr:uid="{00000000-0005-0000-0000-0000E0440000}"/>
    <cellStyle name="Cabecera 2" xfId="17636" xr:uid="{00000000-0005-0000-0000-0000E1440000}"/>
    <cellStyle name="Cabecera 2 2" xfId="17637" xr:uid="{00000000-0005-0000-0000-0000E2440000}"/>
    <cellStyle name="Calculation" xfId="17638" xr:uid="{00000000-0005-0000-0000-0000E3440000}"/>
    <cellStyle name="Calculation 2" xfId="17639" xr:uid="{00000000-0005-0000-0000-0000E4440000}"/>
    <cellStyle name="Cálculo 2" xfId="17640" xr:uid="{00000000-0005-0000-0000-0000E5440000}"/>
    <cellStyle name="Cálculo 2 2" xfId="17641" xr:uid="{00000000-0005-0000-0000-0000E6440000}"/>
    <cellStyle name="Cálculo 3" xfId="17642" xr:uid="{00000000-0005-0000-0000-0000E7440000}"/>
    <cellStyle name="Celda de comprobación 2" xfId="17643" xr:uid="{00000000-0005-0000-0000-0000E8440000}"/>
    <cellStyle name="Celda de comprobación 2 2" xfId="17644" xr:uid="{00000000-0005-0000-0000-0000E9440000}"/>
    <cellStyle name="Celda de comprobación 3" xfId="17645" xr:uid="{00000000-0005-0000-0000-0000EA440000}"/>
    <cellStyle name="Celda vinculada 2" xfId="17646" xr:uid="{00000000-0005-0000-0000-0000EB440000}"/>
    <cellStyle name="Celda vinculada 2 2" xfId="17647" xr:uid="{00000000-0005-0000-0000-0000EC440000}"/>
    <cellStyle name="Celda vinculada 3" xfId="17648" xr:uid="{00000000-0005-0000-0000-0000ED440000}"/>
    <cellStyle name="Check Cell" xfId="17649" xr:uid="{00000000-0005-0000-0000-0000EE440000}"/>
    <cellStyle name="Check Cell 2" xfId="17650" xr:uid="{00000000-0005-0000-0000-0000EF440000}"/>
    <cellStyle name="ColumnHeading" xfId="17651" xr:uid="{00000000-0005-0000-0000-0000F0440000}"/>
    <cellStyle name="CountryTitle" xfId="17652" xr:uid="{00000000-0005-0000-0000-0000F1440000}"/>
    <cellStyle name="Encabezado 4 2" xfId="17653" xr:uid="{00000000-0005-0000-0000-0000F4440000}"/>
    <cellStyle name="Encabezado 4 2 2" xfId="17654" xr:uid="{00000000-0005-0000-0000-0000F5440000}"/>
    <cellStyle name="Encabezado 4 3" xfId="17655" xr:uid="{00000000-0005-0000-0000-0000F6440000}"/>
    <cellStyle name="Énfasis1 2" xfId="17656" xr:uid="{00000000-0005-0000-0000-0000F7440000}"/>
    <cellStyle name="Énfasis1 2 2" xfId="17657" xr:uid="{00000000-0005-0000-0000-0000F8440000}"/>
    <cellStyle name="Énfasis1 3" xfId="17658" xr:uid="{00000000-0005-0000-0000-0000F9440000}"/>
    <cellStyle name="Énfasis2 2" xfId="17659" xr:uid="{00000000-0005-0000-0000-0000FA440000}"/>
    <cellStyle name="Énfasis2 2 2" xfId="17660" xr:uid="{00000000-0005-0000-0000-0000FB440000}"/>
    <cellStyle name="Énfasis2 3" xfId="17661" xr:uid="{00000000-0005-0000-0000-0000FC440000}"/>
    <cellStyle name="Énfasis3 2" xfId="17662" xr:uid="{00000000-0005-0000-0000-0000FD440000}"/>
    <cellStyle name="Énfasis3 2 2" xfId="17663" xr:uid="{00000000-0005-0000-0000-0000FE440000}"/>
    <cellStyle name="Énfasis3 3" xfId="17664" xr:uid="{00000000-0005-0000-0000-0000FF440000}"/>
    <cellStyle name="Énfasis4 2" xfId="17665" xr:uid="{00000000-0005-0000-0000-000000450000}"/>
    <cellStyle name="Énfasis4 2 2" xfId="17666" xr:uid="{00000000-0005-0000-0000-000001450000}"/>
    <cellStyle name="Énfasis4 3" xfId="17667" xr:uid="{00000000-0005-0000-0000-000002450000}"/>
    <cellStyle name="Énfasis5 2" xfId="17668" xr:uid="{00000000-0005-0000-0000-000003450000}"/>
    <cellStyle name="Énfasis5 2 2" xfId="17669" xr:uid="{00000000-0005-0000-0000-000004450000}"/>
    <cellStyle name="Énfasis5 3" xfId="17670" xr:uid="{00000000-0005-0000-0000-000005450000}"/>
    <cellStyle name="Énfasis6 2" xfId="17671" xr:uid="{00000000-0005-0000-0000-000006450000}"/>
    <cellStyle name="Énfasis6 2 2" xfId="17672" xr:uid="{00000000-0005-0000-0000-000007450000}"/>
    <cellStyle name="Énfasis6 3" xfId="17673" xr:uid="{00000000-0005-0000-0000-000008450000}"/>
    <cellStyle name="Entrada 2" xfId="17674" xr:uid="{00000000-0005-0000-0000-000009450000}"/>
    <cellStyle name="Entrada 2 2" xfId="17675" xr:uid="{00000000-0005-0000-0000-00000A450000}"/>
    <cellStyle name="Entrada 3" xfId="17676" xr:uid="{00000000-0005-0000-0000-00000B450000}"/>
    <cellStyle name="Estilo 1" xfId="17677" xr:uid="{00000000-0005-0000-0000-00000C450000}"/>
    <cellStyle name="Estilo 1 2" xfId="17678" xr:uid="{00000000-0005-0000-0000-00000D450000}"/>
    <cellStyle name="Estilo 2" xfId="17679" xr:uid="{00000000-0005-0000-0000-00000E450000}"/>
    <cellStyle name="Estilo 2 2" xfId="17680" xr:uid="{00000000-0005-0000-0000-00000F450000}"/>
    <cellStyle name="Estilo 3" xfId="17681" xr:uid="{00000000-0005-0000-0000-000010450000}"/>
    <cellStyle name="Estilo 3 2" xfId="17682" xr:uid="{00000000-0005-0000-0000-000011450000}"/>
    <cellStyle name="Euro" xfId="17683" xr:uid="{00000000-0005-0000-0000-000012450000}"/>
    <cellStyle name="Euro 2" xfId="17684" xr:uid="{00000000-0005-0000-0000-000013450000}"/>
    <cellStyle name="Euro 2 2" xfId="17685" xr:uid="{00000000-0005-0000-0000-000014450000}"/>
    <cellStyle name="Euro 2 3" xfId="17686" xr:uid="{00000000-0005-0000-0000-000015450000}"/>
    <cellStyle name="Euro 3" xfId="17687" xr:uid="{00000000-0005-0000-0000-000016450000}"/>
    <cellStyle name="Euro 3 2" xfId="17688" xr:uid="{00000000-0005-0000-0000-000017450000}"/>
    <cellStyle name="Euro 4" xfId="17689" xr:uid="{00000000-0005-0000-0000-000018450000}"/>
    <cellStyle name="Euro 5" xfId="17690" xr:uid="{00000000-0005-0000-0000-000019450000}"/>
    <cellStyle name="Euro 5 2" xfId="17691" xr:uid="{00000000-0005-0000-0000-00001A450000}"/>
    <cellStyle name="Euro 6" xfId="17692" xr:uid="{00000000-0005-0000-0000-00001B450000}"/>
    <cellStyle name="Explanatory Text" xfId="17693" xr:uid="{00000000-0005-0000-0000-00001C450000}"/>
    <cellStyle name="Explanatory Text 2" xfId="17694" xr:uid="{00000000-0005-0000-0000-00001D450000}"/>
    <cellStyle name="Fecha" xfId="17695" xr:uid="{00000000-0005-0000-0000-00001E450000}"/>
    <cellStyle name="Fecha 2" xfId="17696" xr:uid="{00000000-0005-0000-0000-00001F450000}"/>
    <cellStyle name="Fijo" xfId="17697" xr:uid="{00000000-0005-0000-0000-000020450000}"/>
    <cellStyle name="Fijo 2" xfId="17698" xr:uid="{00000000-0005-0000-0000-000021450000}"/>
    <cellStyle name="Followed Hyperlink" xfId="17699" xr:uid="{00000000-0005-0000-0000-000022450000}"/>
    <cellStyle name="Footnote" xfId="17700" xr:uid="{00000000-0005-0000-0000-000023450000}"/>
    <cellStyle name="Good" xfId="17701" xr:uid="{00000000-0005-0000-0000-000024450000}"/>
    <cellStyle name="Good 2" xfId="17702" xr:uid="{00000000-0005-0000-0000-000025450000}"/>
    <cellStyle name="Header1" xfId="17703" xr:uid="{00000000-0005-0000-0000-000026450000}"/>
    <cellStyle name="Header2" xfId="17704" xr:uid="{00000000-0005-0000-0000-000027450000}"/>
    <cellStyle name="Heading" xfId="17705" xr:uid="{00000000-0005-0000-0000-000028450000}"/>
    <cellStyle name="Heading 1" xfId="17706" xr:uid="{00000000-0005-0000-0000-000029450000}"/>
    <cellStyle name="Heading 2" xfId="17707" xr:uid="{00000000-0005-0000-0000-00002A450000}"/>
    <cellStyle name="Heading 3" xfId="17708" xr:uid="{00000000-0005-0000-0000-00002B450000}"/>
    <cellStyle name="Heading 4" xfId="17709" xr:uid="{00000000-0005-0000-0000-00002C450000}"/>
    <cellStyle name="Hipervínculo 2" xfId="17710" xr:uid="{00000000-0005-0000-0000-00002D450000}"/>
    <cellStyle name="Hipervínculo 2 2" xfId="17711" xr:uid="{00000000-0005-0000-0000-00002E450000}"/>
    <cellStyle name="Hipervínculo 2 2 2" xfId="17712" xr:uid="{00000000-0005-0000-0000-00002F450000}"/>
    <cellStyle name="Hipervínculo 2 3" xfId="62550" xr:uid="{00000000-0005-0000-0000-000030450000}"/>
    <cellStyle name="Hipervínculo 3" xfId="17713" xr:uid="{00000000-0005-0000-0000-000031450000}"/>
    <cellStyle name="Hipervínculo 3 2" xfId="17714" xr:uid="{00000000-0005-0000-0000-000032450000}"/>
    <cellStyle name="Hyperlink" xfId="17715" xr:uid="{00000000-0005-0000-0000-000033450000}"/>
    <cellStyle name="Incorrecto 2" xfId="17716" xr:uid="{00000000-0005-0000-0000-000034450000}"/>
    <cellStyle name="Incorrecto 2 2" xfId="17717" xr:uid="{00000000-0005-0000-0000-000035450000}"/>
    <cellStyle name="Incorrecto 2 3" xfId="17718" xr:uid="{00000000-0005-0000-0000-000036450000}"/>
    <cellStyle name="Incorrecto 3" xfId="17719" xr:uid="{00000000-0005-0000-0000-000037450000}"/>
    <cellStyle name="Input" xfId="17720" xr:uid="{00000000-0005-0000-0000-000038450000}"/>
    <cellStyle name="Input 2" xfId="17721" xr:uid="{00000000-0005-0000-0000-000039450000}"/>
    <cellStyle name="Komma" xfId="17722" xr:uid="{00000000-0005-0000-0000-00003A450000}"/>
    <cellStyle name="Komma 2" xfId="17723" xr:uid="{00000000-0005-0000-0000-00003B450000}"/>
    <cellStyle name="Linked Cell" xfId="17724" xr:uid="{00000000-0005-0000-0000-00003C450000}"/>
    <cellStyle name="Linked Cell 2" xfId="17725" xr:uid="{00000000-0005-0000-0000-00003D450000}"/>
    <cellStyle name="Millares [0] 2" xfId="17726" xr:uid="{00000000-0005-0000-0000-00003E450000}"/>
    <cellStyle name="Millares [0] 2 2" xfId="17727" xr:uid="{00000000-0005-0000-0000-00003F450000}"/>
    <cellStyle name="Millares [0] 2 2 2" xfId="17728" xr:uid="{00000000-0005-0000-0000-000040450000}"/>
    <cellStyle name="Millares [0] 2 2 2 2" xfId="17729" xr:uid="{00000000-0005-0000-0000-000041450000}"/>
    <cellStyle name="Millares [0] 2 2 3" xfId="17730" xr:uid="{00000000-0005-0000-0000-000042450000}"/>
    <cellStyle name="Millares [0] 2 3" xfId="17731" xr:uid="{00000000-0005-0000-0000-000043450000}"/>
    <cellStyle name="Millares [0] 3" xfId="17732" xr:uid="{00000000-0005-0000-0000-000044450000}"/>
    <cellStyle name="Millares [0] 3 2" xfId="17733" xr:uid="{00000000-0005-0000-0000-000045450000}"/>
    <cellStyle name="Millares [0] 3 2 2" xfId="17734" xr:uid="{00000000-0005-0000-0000-000046450000}"/>
    <cellStyle name="Millares [0] 3 3" xfId="17735" xr:uid="{00000000-0005-0000-0000-000047450000}"/>
    <cellStyle name="Millares [0] 4" xfId="17736" xr:uid="{00000000-0005-0000-0000-000048450000}"/>
    <cellStyle name="Millares [0] 4 2" xfId="17737" xr:uid="{00000000-0005-0000-0000-000049450000}"/>
    <cellStyle name="Millares 10" xfId="17738" xr:uid="{00000000-0005-0000-0000-00004A450000}"/>
    <cellStyle name="Millares 10 2" xfId="17739" xr:uid="{00000000-0005-0000-0000-00004B450000}"/>
    <cellStyle name="Millares 10 2 2" xfId="17740" xr:uid="{00000000-0005-0000-0000-00004C450000}"/>
    <cellStyle name="Millares 10 2 2 2" xfId="17741" xr:uid="{00000000-0005-0000-0000-00004D450000}"/>
    <cellStyle name="Millares 10 2 3" xfId="17742" xr:uid="{00000000-0005-0000-0000-00004E450000}"/>
    <cellStyle name="Millares 10 3" xfId="17743" xr:uid="{00000000-0005-0000-0000-00004F450000}"/>
    <cellStyle name="Millares 100" xfId="17744" xr:uid="{00000000-0005-0000-0000-000050450000}"/>
    <cellStyle name="Millares 101" xfId="17745" xr:uid="{00000000-0005-0000-0000-000051450000}"/>
    <cellStyle name="Millares 102" xfId="17746" xr:uid="{00000000-0005-0000-0000-000052450000}"/>
    <cellStyle name="Millares 103" xfId="17747" xr:uid="{00000000-0005-0000-0000-000053450000}"/>
    <cellStyle name="Millares 104" xfId="17748" xr:uid="{00000000-0005-0000-0000-000054450000}"/>
    <cellStyle name="Millares 105" xfId="17749" xr:uid="{00000000-0005-0000-0000-000055450000}"/>
    <cellStyle name="Millares 106" xfId="17750" xr:uid="{00000000-0005-0000-0000-000056450000}"/>
    <cellStyle name="Millares 107" xfId="17751" xr:uid="{00000000-0005-0000-0000-000057450000}"/>
    <cellStyle name="Millares 108" xfId="17752" xr:uid="{00000000-0005-0000-0000-000058450000}"/>
    <cellStyle name="Millares 109" xfId="17753" xr:uid="{00000000-0005-0000-0000-000059450000}"/>
    <cellStyle name="Millares 11" xfId="17754" xr:uid="{00000000-0005-0000-0000-00005A450000}"/>
    <cellStyle name="Millares 11 2" xfId="17755" xr:uid="{00000000-0005-0000-0000-00005B450000}"/>
    <cellStyle name="Millares 11 2 2" xfId="17756" xr:uid="{00000000-0005-0000-0000-00005C450000}"/>
    <cellStyle name="Millares 11 3" xfId="17757" xr:uid="{00000000-0005-0000-0000-00005D450000}"/>
    <cellStyle name="Millares 110" xfId="17758" xr:uid="{00000000-0005-0000-0000-00005E450000}"/>
    <cellStyle name="Millares 111" xfId="17759" xr:uid="{00000000-0005-0000-0000-00005F450000}"/>
    <cellStyle name="Millares 112" xfId="17760" xr:uid="{00000000-0005-0000-0000-000060450000}"/>
    <cellStyle name="Millares 113" xfId="17761" xr:uid="{00000000-0005-0000-0000-000061450000}"/>
    <cellStyle name="Millares 114" xfId="17762" xr:uid="{00000000-0005-0000-0000-000062450000}"/>
    <cellStyle name="Millares 115" xfId="17763" xr:uid="{00000000-0005-0000-0000-000063450000}"/>
    <cellStyle name="Millares 116" xfId="17764" xr:uid="{00000000-0005-0000-0000-000064450000}"/>
    <cellStyle name="Millares 117" xfId="17765" xr:uid="{00000000-0005-0000-0000-000065450000}"/>
    <cellStyle name="Millares 118" xfId="17766" xr:uid="{00000000-0005-0000-0000-000066450000}"/>
    <cellStyle name="Millares 119" xfId="17767" xr:uid="{00000000-0005-0000-0000-000067450000}"/>
    <cellStyle name="Millares 12" xfId="17768" xr:uid="{00000000-0005-0000-0000-000068450000}"/>
    <cellStyle name="Millares 12 2" xfId="17769" xr:uid="{00000000-0005-0000-0000-000069450000}"/>
    <cellStyle name="Millares 12 2 2" xfId="17770" xr:uid="{00000000-0005-0000-0000-00006A450000}"/>
    <cellStyle name="Millares 12 3" xfId="17771" xr:uid="{00000000-0005-0000-0000-00006B450000}"/>
    <cellStyle name="Millares 12 3 2" xfId="17772" xr:uid="{00000000-0005-0000-0000-00006C450000}"/>
    <cellStyle name="Millares 12 4" xfId="17773" xr:uid="{00000000-0005-0000-0000-00006D450000}"/>
    <cellStyle name="Millares 13" xfId="17774" xr:uid="{00000000-0005-0000-0000-00006E450000}"/>
    <cellStyle name="Millares 13 2" xfId="17775" xr:uid="{00000000-0005-0000-0000-00006F450000}"/>
    <cellStyle name="Millares 13 2 2" xfId="17776" xr:uid="{00000000-0005-0000-0000-000070450000}"/>
    <cellStyle name="Millares 13 3" xfId="17777" xr:uid="{00000000-0005-0000-0000-000071450000}"/>
    <cellStyle name="Millares 13 3 2" xfId="17778" xr:uid="{00000000-0005-0000-0000-000072450000}"/>
    <cellStyle name="Millares 13 4" xfId="17779" xr:uid="{00000000-0005-0000-0000-000073450000}"/>
    <cellStyle name="Millares 14" xfId="17780" xr:uid="{00000000-0005-0000-0000-000074450000}"/>
    <cellStyle name="Millares 14 2" xfId="17781" xr:uid="{00000000-0005-0000-0000-000075450000}"/>
    <cellStyle name="Millares 14 2 2" xfId="17782" xr:uid="{00000000-0005-0000-0000-000076450000}"/>
    <cellStyle name="Millares 14 3" xfId="17783" xr:uid="{00000000-0005-0000-0000-000077450000}"/>
    <cellStyle name="Millares 14 3 2" xfId="17784" xr:uid="{00000000-0005-0000-0000-000078450000}"/>
    <cellStyle name="Millares 14 4" xfId="17785" xr:uid="{00000000-0005-0000-0000-000079450000}"/>
    <cellStyle name="Millares 15" xfId="17786" xr:uid="{00000000-0005-0000-0000-00007A450000}"/>
    <cellStyle name="Millares 15 2" xfId="17787" xr:uid="{00000000-0005-0000-0000-00007B450000}"/>
    <cellStyle name="Millares 15 2 2" xfId="17788" xr:uid="{00000000-0005-0000-0000-00007C450000}"/>
    <cellStyle name="Millares 15 3" xfId="17789" xr:uid="{00000000-0005-0000-0000-00007D450000}"/>
    <cellStyle name="Millares 16" xfId="17790" xr:uid="{00000000-0005-0000-0000-00007E450000}"/>
    <cellStyle name="Millares 16 2" xfId="17791" xr:uid="{00000000-0005-0000-0000-00007F450000}"/>
    <cellStyle name="Millares 16 2 2" xfId="17792" xr:uid="{00000000-0005-0000-0000-000080450000}"/>
    <cellStyle name="Millares 16 3" xfId="17793" xr:uid="{00000000-0005-0000-0000-000081450000}"/>
    <cellStyle name="Millares 17" xfId="17794" xr:uid="{00000000-0005-0000-0000-000082450000}"/>
    <cellStyle name="Millares 17 2" xfId="17795" xr:uid="{00000000-0005-0000-0000-000083450000}"/>
    <cellStyle name="Millares 17 2 2" xfId="17796" xr:uid="{00000000-0005-0000-0000-000084450000}"/>
    <cellStyle name="Millares 17 3" xfId="17797" xr:uid="{00000000-0005-0000-0000-000085450000}"/>
    <cellStyle name="Millares 18" xfId="17798" xr:uid="{00000000-0005-0000-0000-000086450000}"/>
    <cellStyle name="Millares 18 2" xfId="17799" xr:uid="{00000000-0005-0000-0000-000087450000}"/>
    <cellStyle name="Millares 19" xfId="17800" xr:uid="{00000000-0005-0000-0000-000088450000}"/>
    <cellStyle name="Millares 19 2" xfId="17801" xr:uid="{00000000-0005-0000-0000-000089450000}"/>
    <cellStyle name="Millares 2" xfId="17802" xr:uid="{00000000-0005-0000-0000-00008A450000}"/>
    <cellStyle name="Millares 2 2" xfId="17803" xr:uid="{00000000-0005-0000-0000-00008B450000}"/>
    <cellStyle name="Millares 2 2 2" xfId="17804" xr:uid="{00000000-0005-0000-0000-00008C450000}"/>
    <cellStyle name="Millares 2 2 3" xfId="17805" xr:uid="{00000000-0005-0000-0000-00008D450000}"/>
    <cellStyle name="Millares 2 3" xfId="17806" xr:uid="{00000000-0005-0000-0000-00008E450000}"/>
    <cellStyle name="Millares 2 3 2" xfId="17807" xr:uid="{00000000-0005-0000-0000-00008F450000}"/>
    <cellStyle name="Millares 2 4" xfId="17808" xr:uid="{00000000-0005-0000-0000-000090450000}"/>
    <cellStyle name="Millares 2 4 2" xfId="17809" xr:uid="{00000000-0005-0000-0000-000091450000}"/>
    <cellStyle name="Millares 2 5" xfId="17810" xr:uid="{00000000-0005-0000-0000-000092450000}"/>
    <cellStyle name="Millares 2 6" xfId="17811" xr:uid="{00000000-0005-0000-0000-000093450000}"/>
    <cellStyle name="Millares 20" xfId="17812" xr:uid="{00000000-0005-0000-0000-000094450000}"/>
    <cellStyle name="Millares 20 2" xfId="17813" xr:uid="{00000000-0005-0000-0000-000095450000}"/>
    <cellStyle name="Millares 21" xfId="17814" xr:uid="{00000000-0005-0000-0000-000096450000}"/>
    <cellStyle name="Millares 21 2" xfId="17815" xr:uid="{00000000-0005-0000-0000-000097450000}"/>
    <cellStyle name="Millares 22" xfId="17816" xr:uid="{00000000-0005-0000-0000-000098450000}"/>
    <cellStyle name="Millares 22 2" xfId="17817" xr:uid="{00000000-0005-0000-0000-000099450000}"/>
    <cellStyle name="Millares 23" xfId="17818" xr:uid="{00000000-0005-0000-0000-00009A450000}"/>
    <cellStyle name="Millares 23 2" xfId="17819" xr:uid="{00000000-0005-0000-0000-00009B450000}"/>
    <cellStyle name="Millares 24" xfId="17820" xr:uid="{00000000-0005-0000-0000-00009C450000}"/>
    <cellStyle name="Millares 24 2" xfId="17821" xr:uid="{00000000-0005-0000-0000-00009D450000}"/>
    <cellStyle name="Millares 25" xfId="17822" xr:uid="{00000000-0005-0000-0000-00009E450000}"/>
    <cellStyle name="Millares 25 2" xfId="17823" xr:uid="{00000000-0005-0000-0000-00009F450000}"/>
    <cellStyle name="Millares 26" xfId="17824" xr:uid="{00000000-0005-0000-0000-0000A0450000}"/>
    <cellStyle name="Millares 26 2" xfId="17825" xr:uid="{00000000-0005-0000-0000-0000A1450000}"/>
    <cellStyle name="Millares 27" xfId="17826" xr:uid="{00000000-0005-0000-0000-0000A2450000}"/>
    <cellStyle name="Millares 27 2" xfId="17827" xr:uid="{00000000-0005-0000-0000-0000A3450000}"/>
    <cellStyle name="Millares 28" xfId="17828" xr:uid="{00000000-0005-0000-0000-0000A4450000}"/>
    <cellStyle name="Millares 28 2" xfId="17829" xr:uid="{00000000-0005-0000-0000-0000A5450000}"/>
    <cellStyle name="Millares 29" xfId="17830" xr:uid="{00000000-0005-0000-0000-0000A6450000}"/>
    <cellStyle name="Millares 29 2" xfId="17831" xr:uid="{00000000-0005-0000-0000-0000A7450000}"/>
    <cellStyle name="Millares 3" xfId="17832" xr:uid="{00000000-0005-0000-0000-0000A8450000}"/>
    <cellStyle name="Millares 3 2" xfId="17833" xr:uid="{00000000-0005-0000-0000-0000A9450000}"/>
    <cellStyle name="Millares 3 2 2" xfId="17834" xr:uid="{00000000-0005-0000-0000-0000AA450000}"/>
    <cellStyle name="Millares 3 3" xfId="17835" xr:uid="{00000000-0005-0000-0000-0000AB450000}"/>
    <cellStyle name="Millares 3 4" xfId="17836" xr:uid="{00000000-0005-0000-0000-0000AC450000}"/>
    <cellStyle name="Millares 3 5" xfId="17837" xr:uid="{00000000-0005-0000-0000-0000AD450000}"/>
    <cellStyle name="Millares 3 6" xfId="17838" xr:uid="{00000000-0005-0000-0000-0000AE450000}"/>
    <cellStyle name="Millares 30" xfId="17839" xr:uid="{00000000-0005-0000-0000-0000AF450000}"/>
    <cellStyle name="Millares 30 2" xfId="17840" xr:uid="{00000000-0005-0000-0000-0000B0450000}"/>
    <cellStyle name="Millares 31" xfId="17841" xr:uid="{00000000-0005-0000-0000-0000B1450000}"/>
    <cellStyle name="Millares 31 2" xfId="17842" xr:uid="{00000000-0005-0000-0000-0000B2450000}"/>
    <cellStyle name="Millares 32" xfId="17843" xr:uid="{00000000-0005-0000-0000-0000B3450000}"/>
    <cellStyle name="Millares 32 2" xfId="17844" xr:uid="{00000000-0005-0000-0000-0000B4450000}"/>
    <cellStyle name="Millares 33" xfId="17845" xr:uid="{00000000-0005-0000-0000-0000B5450000}"/>
    <cellStyle name="Millares 33 2" xfId="17846" xr:uid="{00000000-0005-0000-0000-0000B6450000}"/>
    <cellStyle name="Millares 34" xfId="17847" xr:uid="{00000000-0005-0000-0000-0000B7450000}"/>
    <cellStyle name="Millares 34 2" xfId="17848" xr:uid="{00000000-0005-0000-0000-0000B8450000}"/>
    <cellStyle name="Millares 35" xfId="17849" xr:uid="{00000000-0005-0000-0000-0000B9450000}"/>
    <cellStyle name="Millares 35 2" xfId="17850" xr:uid="{00000000-0005-0000-0000-0000BA450000}"/>
    <cellStyle name="Millares 36" xfId="17851" xr:uid="{00000000-0005-0000-0000-0000BB450000}"/>
    <cellStyle name="Millares 36 2" xfId="17852" xr:uid="{00000000-0005-0000-0000-0000BC450000}"/>
    <cellStyle name="Millares 37" xfId="17853" xr:uid="{00000000-0005-0000-0000-0000BD450000}"/>
    <cellStyle name="Millares 37 2" xfId="17854" xr:uid="{00000000-0005-0000-0000-0000BE450000}"/>
    <cellStyle name="Millares 38" xfId="17855" xr:uid="{00000000-0005-0000-0000-0000BF450000}"/>
    <cellStyle name="Millares 38 2" xfId="17856" xr:uid="{00000000-0005-0000-0000-0000C0450000}"/>
    <cellStyle name="Millares 39" xfId="17857" xr:uid="{00000000-0005-0000-0000-0000C1450000}"/>
    <cellStyle name="Millares 39 2" xfId="17858" xr:uid="{00000000-0005-0000-0000-0000C2450000}"/>
    <cellStyle name="Millares 4" xfId="17859" xr:uid="{00000000-0005-0000-0000-0000C3450000}"/>
    <cellStyle name="Millares 4 2" xfId="17860" xr:uid="{00000000-0005-0000-0000-0000C4450000}"/>
    <cellStyle name="Millares 4 2 2" xfId="17861" xr:uid="{00000000-0005-0000-0000-0000C5450000}"/>
    <cellStyle name="Millares 4 2 2 2" xfId="17862" xr:uid="{00000000-0005-0000-0000-0000C6450000}"/>
    <cellStyle name="Millares 4 2 2 2 2" xfId="17863" xr:uid="{00000000-0005-0000-0000-0000C7450000}"/>
    <cellStyle name="Millares 4 2 2 2 2 2" xfId="17864" xr:uid="{00000000-0005-0000-0000-0000C8450000}"/>
    <cellStyle name="Millares 4 2 2 2 3" xfId="17865" xr:uid="{00000000-0005-0000-0000-0000C9450000}"/>
    <cellStyle name="Millares 4 2 2 3" xfId="17866" xr:uid="{00000000-0005-0000-0000-0000CA450000}"/>
    <cellStyle name="Millares 4 2 2 3 2" xfId="17867" xr:uid="{00000000-0005-0000-0000-0000CB450000}"/>
    <cellStyle name="Millares 4 2 2 4" xfId="17868" xr:uid="{00000000-0005-0000-0000-0000CC450000}"/>
    <cellStyle name="Millares 4 2 3" xfId="17869" xr:uid="{00000000-0005-0000-0000-0000CD450000}"/>
    <cellStyle name="Millares 4 2 3 2" xfId="17870" xr:uid="{00000000-0005-0000-0000-0000CE450000}"/>
    <cellStyle name="Millares 4 2 3 2 2" xfId="17871" xr:uid="{00000000-0005-0000-0000-0000CF450000}"/>
    <cellStyle name="Millares 4 2 3 2 2 2" xfId="17872" xr:uid="{00000000-0005-0000-0000-0000D0450000}"/>
    <cellStyle name="Millares 4 2 3 2 3" xfId="17873" xr:uid="{00000000-0005-0000-0000-0000D1450000}"/>
    <cellStyle name="Millares 4 2 3 3" xfId="17874" xr:uid="{00000000-0005-0000-0000-0000D2450000}"/>
    <cellStyle name="Millares 4 2 3 3 2" xfId="17875" xr:uid="{00000000-0005-0000-0000-0000D3450000}"/>
    <cellStyle name="Millares 4 2 3 4" xfId="17876" xr:uid="{00000000-0005-0000-0000-0000D4450000}"/>
    <cellStyle name="Millares 4 2 4" xfId="17877" xr:uid="{00000000-0005-0000-0000-0000D5450000}"/>
    <cellStyle name="Millares 4 3" xfId="17878" xr:uid="{00000000-0005-0000-0000-0000D6450000}"/>
    <cellStyle name="Millares 4 3 2" xfId="17879" xr:uid="{00000000-0005-0000-0000-0000D7450000}"/>
    <cellStyle name="Millares 4 4" xfId="17880" xr:uid="{00000000-0005-0000-0000-0000D8450000}"/>
    <cellStyle name="Millares 4 4 2" xfId="17881" xr:uid="{00000000-0005-0000-0000-0000D9450000}"/>
    <cellStyle name="Millares 4 5" xfId="17882" xr:uid="{00000000-0005-0000-0000-0000DA450000}"/>
    <cellStyle name="Millares 40" xfId="17883" xr:uid="{00000000-0005-0000-0000-0000DB450000}"/>
    <cellStyle name="Millares 40 2" xfId="17884" xr:uid="{00000000-0005-0000-0000-0000DC450000}"/>
    <cellStyle name="Millares 41" xfId="17885" xr:uid="{00000000-0005-0000-0000-0000DD450000}"/>
    <cellStyle name="Millares 41 2" xfId="17886" xr:uid="{00000000-0005-0000-0000-0000DE450000}"/>
    <cellStyle name="Millares 42" xfId="17887" xr:uid="{00000000-0005-0000-0000-0000DF450000}"/>
    <cellStyle name="Millares 42 2" xfId="17888" xr:uid="{00000000-0005-0000-0000-0000E0450000}"/>
    <cellStyle name="Millares 43" xfId="17889" xr:uid="{00000000-0005-0000-0000-0000E1450000}"/>
    <cellStyle name="Millares 43 2" xfId="17890" xr:uid="{00000000-0005-0000-0000-0000E2450000}"/>
    <cellStyle name="Millares 44" xfId="17891" xr:uid="{00000000-0005-0000-0000-0000E3450000}"/>
    <cellStyle name="Millares 45" xfId="17892" xr:uid="{00000000-0005-0000-0000-0000E4450000}"/>
    <cellStyle name="Millares 46" xfId="17893" xr:uid="{00000000-0005-0000-0000-0000E5450000}"/>
    <cellStyle name="Millares 47" xfId="17894" xr:uid="{00000000-0005-0000-0000-0000E6450000}"/>
    <cellStyle name="Millares 48" xfId="17895" xr:uid="{00000000-0005-0000-0000-0000E7450000}"/>
    <cellStyle name="Millares 49" xfId="17896" xr:uid="{00000000-0005-0000-0000-0000E8450000}"/>
    <cellStyle name="Millares 5" xfId="17897" xr:uid="{00000000-0005-0000-0000-0000E9450000}"/>
    <cellStyle name="Millares 5 2" xfId="17898" xr:uid="{00000000-0005-0000-0000-0000EA450000}"/>
    <cellStyle name="Millares 5 2 2" xfId="17899" xr:uid="{00000000-0005-0000-0000-0000EB450000}"/>
    <cellStyle name="Millares 5 2 2 2" xfId="17900" xr:uid="{00000000-0005-0000-0000-0000EC450000}"/>
    <cellStyle name="Millares 5 2 3" xfId="17901" xr:uid="{00000000-0005-0000-0000-0000ED450000}"/>
    <cellStyle name="Millares 5 3" xfId="17902" xr:uid="{00000000-0005-0000-0000-0000EE450000}"/>
    <cellStyle name="Millares 5 4" xfId="17903" xr:uid="{00000000-0005-0000-0000-0000EF450000}"/>
    <cellStyle name="Millares 50" xfId="17904" xr:uid="{00000000-0005-0000-0000-0000F0450000}"/>
    <cellStyle name="Millares 51" xfId="17905" xr:uid="{00000000-0005-0000-0000-0000F1450000}"/>
    <cellStyle name="Millares 52" xfId="17906" xr:uid="{00000000-0005-0000-0000-0000F2450000}"/>
    <cellStyle name="Millares 53" xfId="17907" xr:uid="{00000000-0005-0000-0000-0000F3450000}"/>
    <cellStyle name="Millares 54" xfId="17908" xr:uid="{00000000-0005-0000-0000-0000F4450000}"/>
    <cellStyle name="Millares 55" xfId="17909" xr:uid="{00000000-0005-0000-0000-0000F5450000}"/>
    <cellStyle name="Millares 56" xfId="17910" xr:uid="{00000000-0005-0000-0000-0000F6450000}"/>
    <cellStyle name="Millares 57" xfId="17911" xr:uid="{00000000-0005-0000-0000-0000F7450000}"/>
    <cellStyle name="Millares 58" xfId="17912" xr:uid="{00000000-0005-0000-0000-0000F8450000}"/>
    <cellStyle name="Millares 59" xfId="17913" xr:uid="{00000000-0005-0000-0000-0000F9450000}"/>
    <cellStyle name="Millares 6" xfId="17914" xr:uid="{00000000-0005-0000-0000-0000FA450000}"/>
    <cellStyle name="Millares 6 2" xfId="17915" xr:uid="{00000000-0005-0000-0000-0000FB450000}"/>
    <cellStyle name="Millares 6 2 2" xfId="17916" xr:uid="{00000000-0005-0000-0000-0000FC450000}"/>
    <cellStyle name="Millares 6 3" xfId="17917" xr:uid="{00000000-0005-0000-0000-0000FD450000}"/>
    <cellStyle name="Millares 6 4" xfId="17918" xr:uid="{00000000-0005-0000-0000-0000FE450000}"/>
    <cellStyle name="Millares 60" xfId="17919" xr:uid="{00000000-0005-0000-0000-0000FF450000}"/>
    <cellStyle name="Millares 61" xfId="17920" xr:uid="{00000000-0005-0000-0000-000000460000}"/>
    <cellStyle name="Millares 62" xfId="17921" xr:uid="{00000000-0005-0000-0000-000001460000}"/>
    <cellStyle name="Millares 63" xfId="17922" xr:uid="{00000000-0005-0000-0000-000002460000}"/>
    <cellStyle name="Millares 64" xfId="17923" xr:uid="{00000000-0005-0000-0000-000003460000}"/>
    <cellStyle name="Millares 65" xfId="17924" xr:uid="{00000000-0005-0000-0000-000004460000}"/>
    <cellStyle name="Millares 66" xfId="17925" xr:uid="{00000000-0005-0000-0000-000005460000}"/>
    <cellStyle name="Millares 67" xfId="17926" xr:uid="{00000000-0005-0000-0000-000006460000}"/>
    <cellStyle name="Millares 68" xfId="17927" xr:uid="{00000000-0005-0000-0000-000007460000}"/>
    <cellStyle name="Millares 69" xfId="17928" xr:uid="{00000000-0005-0000-0000-000008460000}"/>
    <cellStyle name="Millares 7" xfId="17929" xr:uid="{00000000-0005-0000-0000-000009460000}"/>
    <cellStyle name="Millares 7 2" xfId="17930" xr:uid="{00000000-0005-0000-0000-00000A460000}"/>
    <cellStyle name="Millares 7 2 2" xfId="17931" xr:uid="{00000000-0005-0000-0000-00000B460000}"/>
    <cellStyle name="Millares 7 3" xfId="17932" xr:uid="{00000000-0005-0000-0000-00000C460000}"/>
    <cellStyle name="Millares 7 4" xfId="17933" xr:uid="{00000000-0005-0000-0000-00000D460000}"/>
    <cellStyle name="Millares 70" xfId="17934" xr:uid="{00000000-0005-0000-0000-00000E460000}"/>
    <cellStyle name="Millares 71" xfId="17935" xr:uid="{00000000-0005-0000-0000-00000F460000}"/>
    <cellStyle name="Millares 72" xfId="17936" xr:uid="{00000000-0005-0000-0000-000010460000}"/>
    <cellStyle name="Millares 73" xfId="17937" xr:uid="{00000000-0005-0000-0000-000011460000}"/>
    <cellStyle name="Millares 74" xfId="17938" xr:uid="{00000000-0005-0000-0000-000012460000}"/>
    <cellStyle name="Millares 75" xfId="17939" xr:uid="{00000000-0005-0000-0000-000013460000}"/>
    <cellStyle name="Millares 76" xfId="17940" xr:uid="{00000000-0005-0000-0000-000014460000}"/>
    <cellStyle name="Millares 77" xfId="17941" xr:uid="{00000000-0005-0000-0000-000015460000}"/>
    <cellStyle name="Millares 78" xfId="17942" xr:uid="{00000000-0005-0000-0000-000016460000}"/>
    <cellStyle name="Millares 79" xfId="17943" xr:uid="{00000000-0005-0000-0000-000017460000}"/>
    <cellStyle name="Millares 8" xfId="17944" xr:uid="{00000000-0005-0000-0000-000018460000}"/>
    <cellStyle name="Millares 8 2" xfId="17945" xr:uid="{00000000-0005-0000-0000-000019460000}"/>
    <cellStyle name="Millares 8 2 2" xfId="17946" xr:uid="{00000000-0005-0000-0000-00001A460000}"/>
    <cellStyle name="Millares 8 3" xfId="17947" xr:uid="{00000000-0005-0000-0000-00001B460000}"/>
    <cellStyle name="Millares 8 4" xfId="17948" xr:uid="{00000000-0005-0000-0000-00001C460000}"/>
    <cellStyle name="Millares 80" xfId="17949" xr:uid="{00000000-0005-0000-0000-00001D460000}"/>
    <cellStyle name="Millares 81" xfId="17950" xr:uid="{00000000-0005-0000-0000-00001E460000}"/>
    <cellStyle name="Millares 82" xfId="17951" xr:uid="{00000000-0005-0000-0000-00001F460000}"/>
    <cellStyle name="Millares 83" xfId="17952" xr:uid="{00000000-0005-0000-0000-000020460000}"/>
    <cellStyle name="Millares 84" xfId="17953" xr:uid="{00000000-0005-0000-0000-000021460000}"/>
    <cellStyle name="Millares 85" xfId="17954" xr:uid="{00000000-0005-0000-0000-000022460000}"/>
    <cellStyle name="Millares 86" xfId="17955" xr:uid="{00000000-0005-0000-0000-000023460000}"/>
    <cellStyle name="Millares 87" xfId="17956" xr:uid="{00000000-0005-0000-0000-000024460000}"/>
    <cellStyle name="Millares 88" xfId="17957" xr:uid="{00000000-0005-0000-0000-000025460000}"/>
    <cellStyle name="Millares 89" xfId="17958" xr:uid="{00000000-0005-0000-0000-000026460000}"/>
    <cellStyle name="Millares 9" xfId="17959" xr:uid="{00000000-0005-0000-0000-000027460000}"/>
    <cellStyle name="Millares 9 2" xfId="17960" xr:uid="{00000000-0005-0000-0000-000028460000}"/>
    <cellStyle name="Millares 9 2 2" xfId="17961" xr:uid="{00000000-0005-0000-0000-000029460000}"/>
    <cellStyle name="Millares 9 2 2 2" xfId="17962" xr:uid="{00000000-0005-0000-0000-00002A460000}"/>
    <cellStyle name="Millares 9 2 3" xfId="17963" xr:uid="{00000000-0005-0000-0000-00002B460000}"/>
    <cellStyle name="Millares 9 3" xfId="17964" xr:uid="{00000000-0005-0000-0000-00002C460000}"/>
    <cellStyle name="Millares 9 3 2" xfId="17965" xr:uid="{00000000-0005-0000-0000-00002D460000}"/>
    <cellStyle name="Millares 9 4" xfId="17966" xr:uid="{00000000-0005-0000-0000-00002E460000}"/>
    <cellStyle name="Millares 9 5" xfId="17967" xr:uid="{00000000-0005-0000-0000-00002F460000}"/>
    <cellStyle name="Millares 90" xfId="17968" xr:uid="{00000000-0005-0000-0000-000030460000}"/>
    <cellStyle name="Millares 91" xfId="17969" xr:uid="{00000000-0005-0000-0000-000031460000}"/>
    <cellStyle name="Millares 92" xfId="17970" xr:uid="{00000000-0005-0000-0000-000032460000}"/>
    <cellStyle name="Millares 93" xfId="17971" xr:uid="{00000000-0005-0000-0000-000033460000}"/>
    <cellStyle name="Millares 94" xfId="17972" xr:uid="{00000000-0005-0000-0000-000034460000}"/>
    <cellStyle name="Millares 95" xfId="17973" xr:uid="{00000000-0005-0000-0000-000035460000}"/>
    <cellStyle name="Millares 96" xfId="17974" xr:uid="{00000000-0005-0000-0000-000036460000}"/>
    <cellStyle name="Millares 97" xfId="17975" xr:uid="{00000000-0005-0000-0000-000037460000}"/>
    <cellStyle name="Millares 98" xfId="17976" xr:uid="{00000000-0005-0000-0000-000038460000}"/>
    <cellStyle name="Millares 99" xfId="17977" xr:uid="{00000000-0005-0000-0000-000039460000}"/>
    <cellStyle name="Milliers [0]_ITB-App 4-Part 4.3" xfId="17978" xr:uid="{00000000-0005-0000-0000-00003A460000}"/>
    <cellStyle name="Milliers_ITB-App 4-Part 4.3" xfId="17979" xr:uid="{00000000-0005-0000-0000-00003B460000}"/>
    <cellStyle name="mio" xfId="17980" xr:uid="{00000000-0005-0000-0000-00003C460000}"/>
    <cellStyle name="Moneda 2" xfId="17981" xr:uid="{00000000-0005-0000-0000-00003D460000}"/>
    <cellStyle name="Moneda 2 2" xfId="17982" xr:uid="{00000000-0005-0000-0000-00003E460000}"/>
    <cellStyle name="Moneda 2 3" xfId="17983" xr:uid="{00000000-0005-0000-0000-00003F460000}"/>
    <cellStyle name="Moneda 3" xfId="17984" xr:uid="{00000000-0005-0000-0000-000040460000}"/>
    <cellStyle name="Moneda 3 2" xfId="17985" xr:uid="{00000000-0005-0000-0000-000041460000}"/>
    <cellStyle name="Moneda 4" xfId="17986" xr:uid="{00000000-0005-0000-0000-000042460000}"/>
    <cellStyle name="Monétaire [0]_ITB-App 4-Part 4.3" xfId="17987" xr:uid="{00000000-0005-0000-0000-000043460000}"/>
    <cellStyle name="Monétaire_ITB-App 4-Part 4.3" xfId="17988" xr:uid="{00000000-0005-0000-0000-000044460000}"/>
    <cellStyle name="Monetario0" xfId="17989" xr:uid="{00000000-0005-0000-0000-000045460000}"/>
    <cellStyle name="Monetario0 2" xfId="17990" xr:uid="{00000000-0005-0000-0000-000046460000}"/>
    <cellStyle name="Neutral 2" xfId="17991" xr:uid="{00000000-0005-0000-0000-000047460000}"/>
    <cellStyle name="Neutral 2 2" xfId="17992" xr:uid="{00000000-0005-0000-0000-000048460000}"/>
    <cellStyle name="Neutral 2 3" xfId="17993" xr:uid="{00000000-0005-0000-0000-000049460000}"/>
    <cellStyle name="Neutral 3" xfId="17994" xr:uid="{00000000-0005-0000-0000-00004A460000}"/>
    <cellStyle name="No-definido" xfId="17995" xr:uid="{00000000-0005-0000-0000-00004B460000}"/>
    <cellStyle name="No-definido 2" xfId="17996" xr:uid="{00000000-0005-0000-0000-00004C460000}"/>
    <cellStyle name="Normal" xfId="0" builtinId="0"/>
    <cellStyle name="Normal [0]" xfId="17997" xr:uid="{00000000-0005-0000-0000-00004E460000}"/>
    <cellStyle name="Normal [2]" xfId="17998" xr:uid="{00000000-0005-0000-0000-00004F460000}"/>
    <cellStyle name="Normal 10" xfId="17999" xr:uid="{00000000-0005-0000-0000-000050460000}"/>
    <cellStyle name="Normal 10 10" xfId="18000" xr:uid="{00000000-0005-0000-0000-000051460000}"/>
    <cellStyle name="Normal 10 10 2" xfId="18001" xr:uid="{00000000-0005-0000-0000-000052460000}"/>
    <cellStyle name="Normal 10 11" xfId="18002" xr:uid="{00000000-0005-0000-0000-000053460000}"/>
    <cellStyle name="Normal 10 11 2" xfId="18003" xr:uid="{00000000-0005-0000-0000-000054460000}"/>
    <cellStyle name="Normal 10 12" xfId="18004" xr:uid="{00000000-0005-0000-0000-000055460000}"/>
    <cellStyle name="Normal 10 12 2" xfId="18005" xr:uid="{00000000-0005-0000-0000-000056460000}"/>
    <cellStyle name="Normal 10 13" xfId="18006" xr:uid="{00000000-0005-0000-0000-000057460000}"/>
    <cellStyle name="Normal 10 13 2" xfId="18007" xr:uid="{00000000-0005-0000-0000-000058460000}"/>
    <cellStyle name="Normal 10 14" xfId="18008" xr:uid="{00000000-0005-0000-0000-000059460000}"/>
    <cellStyle name="Normal 10 14 2" xfId="18009" xr:uid="{00000000-0005-0000-0000-00005A460000}"/>
    <cellStyle name="Normal 10 15" xfId="18010" xr:uid="{00000000-0005-0000-0000-00005B460000}"/>
    <cellStyle name="Normal 10 15 2" xfId="18011" xr:uid="{00000000-0005-0000-0000-00005C460000}"/>
    <cellStyle name="Normal 10 16" xfId="18012" xr:uid="{00000000-0005-0000-0000-00005D460000}"/>
    <cellStyle name="Normal 10 16 2" xfId="18013" xr:uid="{00000000-0005-0000-0000-00005E460000}"/>
    <cellStyle name="Normal 10 17" xfId="18014" xr:uid="{00000000-0005-0000-0000-00005F460000}"/>
    <cellStyle name="Normal 10 17 2" xfId="18015" xr:uid="{00000000-0005-0000-0000-000060460000}"/>
    <cellStyle name="Normal 10 18" xfId="18016" xr:uid="{00000000-0005-0000-0000-000061460000}"/>
    <cellStyle name="Normal 10 18 2" xfId="18017" xr:uid="{00000000-0005-0000-0000-000062460000}"/>
    <cellStyle name="Normal 10 19" xfId="18018" xr:uid="{00000000-0005-0000-0000-000063460000}"/>
    <cellStyle name="Normal 10 19 2" xfId="18019" xr:uid="{00000000-0005-0000-0000-000064460000}"/>
    <cellStyle name="Normal 10 2" xfId="18020" xr:uid="{00000000-0005-0000-0000-000065460000}"/>
    <cellStyle name="Normal 10 2 2" xfId="18021" xr:uid="{00000000-0005-0000-0000-000066460000}"/>
    <cellStyle name="Normal 10 2 2 2" xfId="18022" xr:uid="{00000000-0005-0000-0000-000067460000}"/>
    <cellStyle name="Normal 10 2 2 2 2" xfId="18023" xr:uid="{00000000-0005-0000-0000-000068460000}"/>
    <cellStyle name="Normal 10 2 2 2 2 2" xfId="18024" xr:uid="{00000000-0005-0000-0000-000069460000}"/>
    <cellStyle name="Normal 10 2 2 2 3" xfId="18025" xr:uid="{00000000-0005-0000-0000-00006A460000}"/>
    <cellStyle name="Normal 10 2 2 3" xfId="18026" xr:uid="{00000000-0005-0000-0000-00006B460000}"/>
    <cellStyle name="Normal 10 2 2 3 2" xfId="18027" xr:uid="{00000000-0005-0000-0000-00006C460000}"/>
    <cellStyle name="Normal 10 2 2 4" xfId="18028" xr:uid="{00000000-0005-0000-0000-00006D460000}"/>
    <cellStyle name="Normal 10 2 3" xfId="18029" xr:uid="{00000000-0005-0000-0000-00006E460000}"/>
    <cellStyle name="Normal 10 2 3 2" xfId="18030" xr:uid="{00000000-0005-0000-0000-00006F460000}"/>
    <cellStyle name="Normal 10 2 3 2 2" xfId="18031" xr:uid="{00000000-0005-0000-0000-000070460000}"/>
    <cellStyle name="Normal 10 2 3 3" xfId="18032" xr:uid="{00000000-0005-0000-0000-000071460000}"/>
    <cellStyle name="Normal 10 2 4" xfId="18033" xr:uid="{00000000-0005-0000-0000-000072460000}"/>
    <cellStyle name="Normal 10 2 4 2" xfId="18034" xr:uid="{00000000-0005-0000-0000-000073460000}"/>
    <cellStyle name="Normal 10 2 5" xfId="18035" xr:uid="{00000000-0005-0000-0000-000074460000}"/>
    <cellStyle name="Normal 10 20" xfId="18036" xr:uid="{00000000-0005-0000-0000-000075460000}"/>
    <cellStyle name="Normal 10 20 2" xfId="18037" xr:uid="{00000000-0005-0000-0000-000076460000}"/>
    <cellStyle name="Normal 10 21" xfId="18038" xr:uid="{00000000-0005-0000-0000-000077460000}"/>
    <cellStyle name="Normal 10 21 2" xfId="18039" xr:uid="{00000000-0005-0000-0000-000078460000}"/>
    <cellStyle name="Normal 10 22" xfId="18040" xr:uid="{00000000-0005-0000-0000-000079460000}"/>
    <cellStyle name="Normal 10 22 2" xfId="18041" xr:uid="{00000000-0005-0000-0000-00007A460000}"/>
    <cellStyle name="Normal 10 23" xfId="18042" xr:uid="{00000000-0005-0000-0000-00007B460000}"/>
    <cellStyle name="Normal 10 23 2" xfId="18043" xr:uid="{00000000-0005-0000-0000-00007C460000}"/>
    <cellStyle name="Normal 10 24" xfId="18044" xr:uid="{00000000-0005-0000-0000-00007D460000}"/>
    <cellStyle name="Normal 10 24 2" xfId="18045" xr:uid="{00000000-0005-0000-0000-00007E460000}"/>
    <cellStyle name="Normal 10 25" xfId="18046" xr:uid="{00000000-0005-0000-0000-00007F460000}"/>
    <cellStyle name="Normal 10 25 2" xfId="18047" xr:uid="{00000000-0005-0000-0000-000080460000}"/>
    <cellStyle name="Normal 10 26" xfId="18048" xr:uid="{00000000-0005-0000-0000-000081460000}"/>
    <cellStyle name="Normal 10 26 2" xfId="18049" xr:uid="{00000000-0005-0000-0000-000082460000}"/>
    <cellStyle name="Normal 10 27" xfId="18050" xr:uid="{00000000-0005-0000-0000-000083460000}"/>
    <cellStyle name="Normal 10 27 2" xfId="18051" xr:uid="{00000000-0005-0000-0000-000084460000}"/>
    <cellStyle name="Normal 10 28" xfId="18052" xr:uid="{00000000-0005-0000-0000-000085460000}"/>
    <cellStyle name="Normal 10 28 2" xfId="18053" xr:uid="{00000000-0005-0000-0000-000086460000}"/>
    <cellStyle name="Normal 10 29" xfId="18054" xr:uid="{00000000-0005-0000-0000-000087460000}"/>
    <cellStyle name="Normal 10 29 2" xfId="18055" xr:uid="{00000000-0005-0000-0000-000088460000}"/>
    <cellStyle name="Normal 10 3" xfId="18056" xr:uid="{00000000-0005-0000-0000-000089460000}"/>
    <cellStyle name="Normal 10 3 2" xfId="18057" xr:uid="{00000000-0005-0000-0000-00008A460000}"/>
    <cellStyle name="Normal 10 3 3" xfId="18058" xr:uid="{00000000-0005-0000-0000-00008B460000}"/>
    <cellStyle name="Normal 10 3 5" xfId="18059" xr:uid="{00000000-0005-0000-0000-00008C460000}"/>
    <cellStyle name="Normal 10 30" xfId="18060" xr:uid="{00000000-0005-0000-0000-00008D460000}"/>
    <cellStyle name="Normal 10 30 2" xfId="18061" xr:uid="{00000000-0005-0000-0000-00008E460000}"/>
    <cellStyle name="Normal 10 31" xfId="18062" xr:uid="{00000000-0005-0000-0000-00008F460000}"/>
    <cellStyle name="Normal 10 31 2" xfId="18063" xr:uid="{00000000-0005-0000-0000-000090460000}"/>
    <cellStyle name="Normal 10 32" xfId="18064" xr:uid="{00000000-0005-0000-0000-000091460000}"/>
    <cellStyle name="Normal 10 32 2" xfId="18065" xr:uid="{00000000-0005-0000-0000-000092460000}"/>
    <cellStyle name="Normal 10 33" xfId="18066" xr:uid="{00000000-0005-0000-0000-000093460000}"/>
    <cellStyle name="Normal 10 33 2" xfId="18067" xr:uid="{00000000-0005-0000-0000-000094460000}"/>
    <cellStyle name="Normal 10 34" xfId="18068" xr:uid="{00000000-0005-0000-0000-000095460000}"/>
    <cellStyle name="Normal 10 34 2" xfId="18069" xr:uid="{00000000-0005-0000-0000-000096460000}"/>
    <cellStyle name="Normal 10 35" xfId="18070" xr:uid="{00000000-0005-0000-0000-000097460000}"/>
    <cellStyle name="Normal 10 35 2" xfId="18071" xr:uid="{00000000-0005-0000-0000-000098460000}"/>
    <cellStyle name="Normal 10 36" xfId="18072" xr:uid="{00000000-0005-0000-0000-000099460000}"/>
    <cellStyle name="Normal 10 36 2" xfId="18073" xr:uid="{00000000-0005-0000-0000-00009A460000}"/>
    <cellStyle name="Normal 10 37" xfId="18074" xr:uid="{00000000-0005-0000-0000-00009B460000}"/>
    <cellStyle name="Normal 10 37 2" xfId="18075" xr:uid="{00000000-0005-0000-0000-00009C460000}"/>
    <cellStyle name="Normal 10 38" xfId="18076" xr:uid="{00000000-0005-0000-0000-00009D460000}"/>
    <cellStyle name="Normal 10 38 2" xfId="18077" xr:uid="{00000000-0005-0000-0000-00009E460000}"/>
    <cellStyle name="Normal 10 39" xfId="18078" xr:uid="{00000000-0005-0000-0000-00009F460000}"/>
    <cellStyle name="Normal 10 39 2" xfId="18079" xr:uid="{00000000-0005-0000-0000-0000A0460000}"/>
    <cellStyle name="Normal 10 4" xfId="18080" xr:uid="{00000000-0005-0000-0000-0000A1460000}"/>
    <cellStyle name="Normal 10 4 2" xfId="18081" xr:uid="{00000000-0005-0000-0000-0000A2460000}"/>
    <cellStyle name="Normal 10 4 2 2" xfId="18082" xr:uid="{00000000-0005-0000-0000-0000A3460000}"/>
    <cellStyle name="Normal 10 4 3" xfId="18083" xr:uid="{00000000-0005-0000-0000-0000A4460000}"/>
    <cellStyle name="Normal 10 40" xfId="18084" xr:uid="{00000000-0005-0000-0000-0000A5460000}"/>
    <cellStyle name="Normal 10 40 2" xfId="18085" xr:uid="{00000000-0005-0000-0000-0000A6460000}"/>
    <cellStyle name="Normal 10 41" xfId="18086" xr:uid="{00000000-0005-0000-0000-0000A7460000}"/>
    <cellStyle name="Normal 10 41 2" xfId="18087" xr:uid="{00000000-0005-0000-0000-0000A8460000}"/>
    <cellStyle name="Normal 10 42" xfId="18088" xr:uid="{00000000-0005-0000-0000-0000A9460000}"/>
    <cellStyle name="Normal 10 42 2" xfId="18089" xr:uid="{00000000-0005-0000-0000-0000AA460000}"/>
    <cellStyle name="Normal 10 43" xfId="18090" xr:uid="{00000000-0005-0000-0000-0000AB460000}"/>
    <cellStyle name="Normal 10 43 2" xfId="18091" xr:uid="{00000000-0005-0000-0000-0000AC460000}"/>
    <cellStyle name="Normal 10 44" xfId="18092" xr:uid="{00000000-0005-0000-0000-0000AD460000}"/>
    <cellStyle name="Normal 10 44 2" xfId="18093" xr:uid="{00000000-0005-0000-0000-0000AE460000}"/>
    <cellStyle name="Normal 10 45" xfId="18094" xr:uid="{00000000-0005-0000-0000-0000AF460000}"/>
    <cellStyle name="Normal 10 45 2" xfId="18095" xr:uid="{00000000-0005-0000-0000-0000B0460000}"/>
    <cellStyle name="Normal 10 46" xfId="18096" xr:uid="{00000000-0005-0000-0000-0000B1460000}"/>
    <cellStyle name="Normal 10 46 2" xfId="18097" xr:uid="{00000000-0005-0000-0000-0000B2460000}"/>
    <cellStyle name="Normal 10 47" xfId="18098" xr:uid="{00000000-0005-0000-0000-0000B3460000}"/>
    <cellStyle name="Normal 10 47 2" xfId="18099" xr:uid="{00000000-0005-0000-0000-0000B4460000}"/>
    <cellStyle name="Normal 10 48" xfId="18100" xr:uid="{00000000-0005-0000-0000-0000B5460000}"/>
    <cellStyle name="Normal 10 48 2" xfId="18101" xr:uid="{00000000-0005-0000-0000-0000B6460000}"/>
    <cellStyle name="Normal 10 49" xfId="18102" xr:uid="{00000000-0005-0000-0000-0000B7460000}"/>
    <cellStyle name="Normal 10 49 2" xfId="18103" xr:uid="{00000000-0005-0000-0000-0000B8460000}"/>
    <cellStyle name="Normal 10 5" xfId="18104" xr:uid="{00000000-0005-0000-0000-0000B9460000}"/>
    <cellStyle name="Normal 10 5 2" xfId="18105" xr:uid="{00000000-0005-0000-0000-0000BA460000}"/>
    <cellStyle name="Normal 10 5 2 2" xfId="18106" xr:uid="{00000000-0005-0000-0000-0000BB460000}"/>
    <cellStyle name="Normal 10 5 2 2 2" xfId="18107" xr:uid="{00000000-0005-0000-0000-0000BC460000}"/>
    <cellStyle name="Normal 10 5 2 3" xfId="18108" xr:uid="{00000000-0005-0000-0000-0000BD460000}"/>
    <cellStyle name="Normal 10 5 3" xfId="18109" xr:uid="{00000000-0005-0000-0000-0000BE460000}"/>
    <cellStyle name="Normal 10 5 3 2" xfId="18110" xr:uid="{00000000-0005-0000-0000-0000BF460000}"/>
    <cellStyle name="Normal 10 5 4" xfId="18111" xr:uid="{00000000-0005-0000-0000-0000C0460000}"/>
    <cellStyle name="Normal 10 50" xfId="18112" xr:uid="{00000000-0005-0000-0000-0000C1460000}"/>
    <cellStyle name="Normal 10 50 2" xfId="18113" xr:uid="{00000000-0005-0000-0000-0000C2460000}"/>
    <cellStyle name="Normal 10 51" xfId="18114" xr:uid="{00000000-0005-0000-0000-0000C3460000}"/>
    <cellStyle name="Normal 10 51 2" xfId="18115" xr:uid="{00000000-0005-0000-0000-0000C4460000}"/>
    <cellStyle name="Normal 10 52" xfId="18116" xr:uid="{00000000-0005-0000-0000-0000C5460000}"/>
    <cellStyle name="Normal 10 52 2" xfId="18117" xr:uid="{00000000-0005-0000-0000-0000C6460000}"/>
    <cellStyle name="Normal 10 53" xfId="18118" xr:uid="{00000000-0005-0000-0000-0000C7460000}"/>
    <cellStyle name="Normal 10 53 2" xfId="18119" xr:uid="{00000000-0005-0000-0000-0000C8460000}"/>
    <cellStyle name="Normal 10 54" xfId="18120" xr:uid="{00000000-0005-0000-0000-0000C9460000}"/>
    <cellStyle name="Normal 10 54 2" xfId="18121" xr:uid="{00000000-0005-0000-0000-0000CA460000}"/>
    <cellStyle name="Normal 10 55" xfId="18122" xr:uid="{00000000-0005-0000-0000-0000CB460000}"/>
    <cellStyle name="Normal 10 55 2" xfId="18123" xr:uid="{00000000-0005-0000-0000-0000CC460000}"/>
    <cellStyle name="Normal 10 56" xfId="18124" xr:uid="{00000000-0005-0000-0000-0000CD460000}"/>
    <cellStyle name="Normal 10 56 2" xfId="18125" xr:uid="{00000000-0005-0000-0000-0000CE460000}"/>
    <cellStyle name="Normal 10 57" xfId="18126" xr:uid="{00000000-0005-0000-0000-0000CF460000}"/>
    <cellStyle name="Normal 10 57 2" xfId="18127" xr:uid="{00000000-0005-0000-0000-0000D0460000}"/>
    <cellStyle name="Normal 10 58" xfId="18128" xr:uid="{00000000-0005-0000-0000-0000D1460000}"/>
    <cellStyle name="Normal 10 58 2" xfId="18129" xr:uid="{00000000-0005-0000-0000-0000D2460000}"/>
    <cellStyle name="Normal 10 59" xfId="18130" xr:uid="{00000000-0005-0000-0000-0000D3460000}"/>
    <cellStyle name="Normal 10 59 2" xfId="18131" xr:uid="{00000000-0005-0000-0000-0000D4460000}"/>
    <cellStyle name="Normal 10 6" xfId="18132" xr:uid="{00000000-0005-0000-0000-0000D5460000}"/>
    <cellStyle name="Normal 10 6 2" xfId="18133" xr:uid="{00000000-0005-0000-0000-0000D6460000}"/>
    <cellStyle name="Normal 10 6 3" xfId="18134" xr:uid="{00000000-0005-0000-0000-0000D7460000}"/>
    <cellStyle name="Normal 10 60" xfId="18135" xr:uid="{00000000-0005-0000-0000-0000D8460000}"/>
    <cellStyle name="Normal 10 60 2" xfId="18136" xr:uid="{00000000-0005-0000-0000-0000D9460000}"/>
    <cellStyle name="Normal 10 61" xfId="18137" xr:uid="{00000000-0005-0000-0000-0000DA460000}"/>
    <cellStyle name="Normal 10 61 2" xfId="18138" xr:uid="{00000000-0005-0000-0000-0000DB460000}"/>
    <cellStyle name="Normal 10 62" xfId="18139" xr:uid="{00000000-0005-0000-0000-0000DC460000}"/>
    <cellStyle name="Normal 10 62 2" xfId="18140" xr:uid="{00000000-0005-0000-0000-0000DD460000}"/>
    <cellStyle name="Normal 10 63" xfId="18141" xr:uid="{00000000-0005-0000-0000-0000DE460000}"/>
    <cellStyle name="Normal 10 63 2" xfId="18142" xr:uid="{00000000-0005-0000-0000-0000DF460000}"/>
    <cellStyle name="Normal 10 63 3" xfId="18143" xr:uid="{00000000-0005-0000-0000-0000E0460000}"/>
    <cellStyle name="Normal 10 64" xfId="18144" xr:uid="{00000000-0005-0000-0000-0000E1460000}"/>
    <cellStyle name="Normal 10 7" xfId="18145" xr:uid="{00000000-0005-0000-0000-0000E2460000}"/>
    <cellStyle name="Normal 10 7 2" xfId="18146" xr:uid="{00000000-0005-0000-0000-0000E3460000}"/>
    <cellStyle name="Normal 10 8" xfId="18147" xr:uid="{00000000-0005-0000-0000-0000E4460000}"/>
    <cellStyle name="Normal 10 8 2" xfId="18148" xr:uid="{00000000-0005-0000-0000-0000E5460000}"/>
    <cellStyle name="Normal 10 9" xfId="18149" xr:uid="{00000000-0005-0000-0000-0000E6460000}"/>
    <cellStyle name="Normal 10 9 2" xfId="18150" xr:uid="{00000000-0005-0000-0000-0000E7460000}"/>
    <cellStyle name="Normal 100" xfId="18151" xr:uid="{00000000-0005-0000-0000-0000E8460000}"/>
    <cellStyle name="Normal 100 10" xfId="18152" xr:uid="{00000000-0005-0000-0000-0000E9460000}"/>
    <cellStyle name="Normal 100 10 2" xfId="18153" xr:uid="{00000000-0005-0000-0000-0000EA460000}"/>
    <cellStyle name="Normal 100 11" xfId="18154" xr:uid="{00000000-0005-0000-0000-0000EB460000}"/>
    <cellStyle name="Normal 100 11 2" xfId="18155" xr:uid="{00000000-0005-0000-0000-0000EC460000}"/>
    <cellStyle name="Normal 100 12" xfId="18156" xr:uid="{00000000-0005-0000-0000-0000ED460000}"/>
    <cellStyle name="Normal 100 12 2" xfId="18157" xr:uid="{00000000-0005-0000-0000-0000EE460000}"/>
    <cellStyle name="Normal 100 13" xfId="18158" xr:uid="{00000000-0005-0000-0000-0000EF460000}"/>
    <cellStyle name="Normal 100 13 2" xfId="18159" xr:uid="{00000000-0005-0000-0000-0000F0460000}"/>
    <cellStyle name="Normal 100 14" xfId="18160" xr:uid="{00000000-0005-0000-0000-0000F1460000}"/>
    <cellStyle name="Normal 100 14 2" xfId="18161" xr:uid="{00000000-0005-0000-0000-0000F2460000}"/>
    <cellStyle name="Normal 100 15" xfId="18162" xr:uid="{00000000-0005-0000-0000-0000F3460000}"/>
    <cellStyle name="Normal 100 15 2" xfId="18163" xr:uid="{00000000-0005-0000-0000-0000F4460000}"/>
    <cellStyle name="Normal 100 16" xfId="18164" xr:uid="{00000000-0005-0000-0000-0000F5460000}"/>
    <cellStyle name="Normal 100 16 2" xfId="18165" xr:uid="{00000000-0005-0000-0000-0000F6460000}"/>
    <cellStyle name="Normal 100 17" xfId="18166" xr:uid="{00000000-0005-0000-0000-0000F7460000}"/>
    <cellStyle name="Normal 100 17 2" xfId="18167" xr:uid="{00000000-0005-0000-0000-0000F8460000}"/>
    <cellStyle name="Normal 100 18" xfId="18168" xr:uid="{00000000-0005-0000-0000-0000F9460000}"/>
    <cellStyle name="Normal 100 18 2" xfId="18169" xr:uid="{00000000-0005-0000-0000-0000FA460000}"/>
    <cellStyle name="Normal 100 19" xfId="18170" xr:uid="{00000000-0005-0000-0000-0000FB460000}"/>
    <cellStyle name="Normal 100 19 2" xfId="18171" xr:uid="{00000000-0005-0000-0000-0000FC460000}"/>
    <cellStyle name="Normal 100 2" xfId="18172" xr:uid="{00000000-0005-0000-0000-0000FD460000}"/>
    <cellStyle name="Normal 100 2 2" xfId="18173" xr:uid="{00000000-0005-0000-0000-0000FE460000}"/>
    <cellStyle name="Normal 100 20" xfId="18174" xr:uid="{00000000-0005-0000-0000-0000FF460000}"/>
    <cellStyle name="Normal 100 20 2" xfId="18175" xr:uid="{00000000-0005-0000-0000-000000470000}"/>
    <cellStyle name="Normal 100 21" xfId="18176" xr:uid="{00000000-0005-0000-0000-000001470000}"/>
    <cellStyle name="Normal 100 21 2" xfId="18177" xr:uid="{00000000-0005-0000-0000-000002470000}"/>
    <cellStyle name="Normal 100 22" xfId="18178" xr:uid="{00000000-0005-0000-0000-000003470000}"/>
    <cellStyle name="Normal 100 22 2" xfId="18179" xr:uid="{00000000-0005-0000-0000-000004470000}"/>
    <cellStyle name="Normal 100 23" xfId="18180" xr:uid="{00000000-0005-0000-0000-000005470000}"/>
    <cellStyle name="Normal 100 23 2" xfId="18181" xr:uid="{00000000-0005-0000-0000-000006470000}"/>
    <cellStyle name="Normal 100 24" xfId="18182" xr:uid="{00000000-0005-0000-0000-000007470000}"/>
    <cellStyle name="Normal 100 24 2" xfId="18183" xr:uid="{00000000-0005-0000-0000-000008470000}"/>
    <cellStyle name="Normal 100 25" xfId="18184" xr:uid="{00000000-0005-0000-0000-000009470000}"/>
    <cellStyle name="Normal 100 25 2" xfId="18185" xr:uid="{00000000-0005-0000-0000-00000A470000}"/>
    <cellStyle name="Normal 100 26" xfId="18186" xr:uid="{00000000-0005-0000-0000-00000B470000}"/>
    <cellStyle name="Normal 100 26 2" xfId="18187" xr:uid="{00000000-0005-0000-0000-00000C470000}"/>
    <cellStyle name="Normal 100 27" xfId="18188" xr:uid="{00000000-0005-0000-0000-00000D470000}"/>
    <cellStyle name="Normal 100 27 2" xfId="18189" xr:uid="{00000000-0005-0000-0000-00000E470000}"/>
    <cellStyle name="Normal 100 28" xfId="18190" xr:uid="{00000000-0005-0000-0000-00000F470000}"/>
    <cellStyle name="Normal 100 28 2" xfId="18191" xr:uid="{00000000-0005-0000-0000-000010470000}"/>
    <cellStyle name="Normal 100 29" xfId="18192" xr:uid="{00000000-0005-0000-0000-000011470000}"/>
    <cellStyle name="Normal 100 29 2" xfId="18193" xr:uid="{00000000-0005-0000-0000-000012470000}"/>
    <cellStyle name="Normal 100 3" xfId="18194" xr:uid="{00000000-0005-0000-0000-000013470000}"/>
    <cellStyle name="Normal 100 3 2" xfId="18195" xr:uid="{00000000-0005-0000-0000-000014470000}"/>
    <cellStyle name="Normal 100 30" xfId="18196" xr:uid="{00000000-0005-0000-0000-000015470000}"/>
    <cellStyle name="Normal 100 30 2" xfId="18197" xr:uid="{00000000-0005-0000-0000-000016470000}"/>
    <cellStyle name="Normal 100 31" xfId="18198" xr:uid="{00000000-0005-0000-0000-000017470000}"/>
    <cellStyle name="Normal 100 31 2" xfId="18199" xr:uid="{00000000-0005-0000-0000-000018470000}"/>
    <cellStyle name="Normal 100 32" xfId="18200" xr:uid="{00000000-0005-0000-0000-000019470000}"/>
    <cellStyle name="Normal 100 32 2" xfId="18201" xr:uid="{00000000-0005-0000-0000-00001A470000}"/>
    <cellStyle name="Normal 100 33" xfId="18202" xr:uid="{00000000-0005-0000-0000-00001B470000}"/>
    <cellStyle name="Normal 100 33 2" xfId="18203" xr:uid="{00000000-0005-0000-0000-00001C470000}"/>
    <cellStyle name="Normal 100 34" xfId="18204" xr:uid="{00000000-0005-0000-0000-00001D470000}"/>
    <cellStyle name="Normal 100 34 2" xfId="18205" xr:uid="{00000000-0005-0000-0000-00001E470000}"/>
    <cellStyle name="Normal 100 35" xfId="18206" xr:uid="{00000000-0005-0000-0000-00001F470000}"/>
    <cellStyle name="Normal 100 35 2" xfId="18207" xr:uid="{00000000-0005-0000-0000-000020470000}"/>
    <cellStyle name="Normal 100 36" xfId="18208" xr:uid="{00000000-0005-0000-0000-000021470000}"/>
    <cellStyle name="Normal 100 36 2" xfId="18209" xr:uid="{00000000-0005-0000-0000-000022470000}"/>
    <cellStyle name="Normal 100 37" xfId="18210" xr:uid="{00000000-0005-0000-0000-000023470000}"/>
    <cellStyle name="Normal 100 37 2" xfId="18211" xr:uid="{00000000-0005-0000-0000-000024470000}"/>
    <cellStyle name="Normal 100 38" xfId="18212" xr:uid="{00000000-0005-0000-0000-000025470000}"/>
    <cellStyle name="Normal 100 38 2" xfId="18213" xr:uid="{00000000-0005-0000-0000-000026470000}"/>
    <cellStyle name="Normal 100 39" xfId="18214" xr:uid="{00000000-0005-0000-0000-000027470000}"/>
    <cellStyle name="Normal 100 39 2" xfId="18215" xr:uid="{00000000-0005-0000-0000-000028470000}"/>
    <cellStyle name="Normal 100 4" xfId="18216" xr:uid="{00000000-0005-0000-0000-000029470000}"/>
    <cellStyle name="Normal 100 4 2" xfId="18217" xr:uid="{00000000-0005-0000-0000-00002A470000}"/>
    <cellStyle name="Normal 100 40" xfId="18218" xr:uid="{00000000-0005-0000-0000-00002B470000}"/>
    <cellStyle name="Normal 100 40 2" xfId="18219" xr:uid="{00000000-0005-0000-0000-00002C470000}"/>
    <cellStyle name="Normal 100 41" xfId="18220" xr:uid="{00000000-0005-0000-0000-00002D470000}"/>
    <cellStyle name="Normal 100 41 2" xfId="18221" xr:uid="{00000000-0005-0000-0000-00002E470000}"/>
    <cellStyle name="Normal 100 42" xfId="18222" xr:uid="{00000000-0005-0000-0000-00002F470000}"/>
    <cellStyle name="Normal 100 42 2" xfId="18223" xr:uid="{00000000-0005-0000-0000-000030470000}"/>
    <cellStyle name="Normal 100 43" xfId="18224" xr:uid="{00000000-0005-0000-0000-000031470000}"/>
    <cellStyle name="Normal 100 43 2" xfId="18225" xr:uid="{00000000-0005-0000-0000-000032470000}"/>
    <cellStyle name="Normal 100 44" xfId="18226" xr:uid="{00000000-0005-0000-0000-000033470000}"/>
    <cellStyle name="Normal 100 44 2" xfId="18227" xr:uid="{00000000-0005-0000-0000-000034470000}"/>
    <cellStyle name="Normal 100 45" xfId="18228" xr:uid="{00000000-0005-0000-0000-000035470000}"/>
    <cellStyle name="Normal 100 45 2" xfId="18229" xr:uid="{00000000-0005-0000-0000-000036470000}"/>
    <cellStyle name="Normal 100 46" xfId="18230" xr:uid="{00000000-0005-0000-0000-000037470000}"/>
    <cellStyle name="Normal 100 46 2" xfId="18231" xr:uid="{00000000-0005-0000-0000-000038470000}"/>
    <cellStyle name="Normal 100 47" xfId="18232" xr:uid="{00000000-0005-0000-0000-000039470000}"/>
    <cellStyle name="Normal 100 47 2" xfId="18233" xr:uid="{00000000-0005-0000-0000-00003A470000}"/>
    <cellStyle name="Normal 100 48" xfId="18234" xr:uid="{00000000-0005-0000-0000-00003B470000}"/>
    <cellStyle name="Normal 100 48 2" xfId="18235" xr:uid="{00000000-0005-0000-0000-00003C470000}"/>
    <cellStyle name="Normal 100 49" xfId="18236" xr:uid="{00000000-0005-0000-0000-00003D470000}"/>
    <cellStyle name="Normal 100 49 2" xfId="18237" xr:uid="{00000000-0005-0000-0000-00003E470000}"/>
    <cellStyle name="Normal 100 5" xfId="18238" xr:uid="{00000000-0005-0000-0000-00003F470000}"/>
    <cellStyle name="Normal 100 5 2" xfId="18239" xr:uid="{00000000-0005-0000-0000-000040470000}"/>
    <cellStyle name="Normal 100 50" xfId="18240" xr:uid="{00000000-0005-0000-0000-000041470000}"/>
    <cellStyle name="Normal 100 50 2" xfId="18241" xr:uid="{00000000-0005-0000-0000-000042470000}"/>
    <cellStyle name="Normal 100 51" xfId="18242" xr:uid="{00000000-0005-0000-0000-000043470000}"/>
    <cellStyle name="Normal 100 51 2" xfId="18243" xr:uid="{00000000-0005-0000-0000-000044470000}"/>
    <cellStyle name="Normal 100 52" xfId="18244" xr:uid="{00000000-0005-0000-0000-000045470000}"/>
    <cellStyle name="Normal 100 52 2" xfId="18245" xr:uid="{00000000-0005-0000-0000-000046470000}"/>
    <cellStyle name="Normal 100 53" xfId="18246" xr:uid="{00000000-0005-0000-0000-000047470000}"/>
    <cellStyle name="Normal 100 53 2" xfId="18247" xr:uid="{00000000-0005-0000-0000-000048470000}"/>
    <cellStyle name="Normal 100 54" xfId="18248" xr:uid="{00000000-0005-0000-0000-000049470000}"/>
    <cellStyle name="Normal 100 54 2" xfId="18249" xr:uid="{00000000-0005-0000-0000-00004A470000}"/>
    <cellStyle name="Normal 100 55" xfId="18250" xr:uid="{00000000-0005-0000-0000-00004B470000}"/>
    <cellStyle name="Normal 100 55 2" xfId="18251" xr:uid="{00000000-0005-0000-0000-00004C470000}"/>
    <cellStyle name="Normal 100 56" xfId="18252" xr:uid="{00000000-0005-0000-0000-00004D470000}"/>
    <cellStyle name="Normal 100 56 2" xfId="18253" xr:uid="{00000000-0005-0000-0000-00004E470000}"/>
    <cellStyle name="Normal 100 57" xfId="18254" xr:uid="{00000000-0005-0000-0000-00004F470000}"/>
    <cellStyle name="Normal 100 57 2" xfId="18255" xr:uid="{00000000-0005-0000-0000-000050470000}"/>
    <cellStyle name="Normal 100 58" xfId="18256" xr:uid="{00000000-0005-0000-0000-000051470000}"/>
    <cellStyle name="Normal 100 58 2" xfId="18257" xr:uid="{00000000-0005-0000-0000-000052470000}"/>
    <cellStyle name="Normal 100 59" xfId="18258" xr:uid="{00000000-0005-0000-0000-000053470000}"/>
    <cellStyle name="Normal 100 6" xfId="18259" xr:uid="{00000000-0005-0000-0000-000054470000}"/>
    <cellStyle name="Normal 100 6 2" xfId="18260" xr:uid="{00000000-0005-0000-0000-000055470000}"/>
    <cellStyle name="Normal 100 7" xfId="18261" xr:uid="{00000000-0005-0000-0000-000056470000}"/>
    <cellStyle name="Normal 100 7 2" xfId="18262" xr:uid="{00000000-0005-0000-0000-000057470000}"/>
    <cellStyle name="Normal 100 8" xfId="18263" xr:uid="{00000000-0005-0000-0000-000058470000}"/>
    <cellStyle name="Normal 100 8 2" xfId="18264" xr:uid="{00000000-0005-0000-0000-000059470000}"/>
    <cellStyle name="Normal 100 9" xfId="18265" xr:uid="{00000000-0005-0000-0000-00005A470000}"/>
    <cellStyle name="Normal 100 9 2" xfId="18266" xr:uid="{00000000-0005-0000-0000-00005B470000}"/>
    <cellStyle name="Normal 101" xfId="18267" xr:uid="{00000000-0005-0000-0000-00005C470000}"/>
    <cellStyle name="Normal 101 10" xfId="18268" xr:uid="{00000000-0005-0000-0000-00005D470000}"/>
    <cellStyle name="Normal 101 10 2" xfId="18269" xr:uid="{00000000-0005-0000-0000-00005E470000}"/>
    <cellStyle name="Normal 101 11" xfId="18270" xr:uid="{00000000-0005-0000-0000-00005F470000}"/>
    <cellStyle name="Normal 101 11 2" xfId="18271" xr:uid="{00000000-0005-0000-0000-000060470000}"/>
    <cellStyle name="Normal 101 12" xfId="18272" xr:uid="{00000000-0005-0000-0000-000061470000}"/>
    <cellStyle name="Normal 101 12 2" xfId="18273" xr:uid="{00000000-0005-0000-0000-000062470000}"/>
    <cellStyle name="Normal 101 13" xfId="18274" xr:uid="{00000000-0005-0000-0000-000063470000}"/>
    <cellStyle name="Normal 101 13 2" xfId="18275" xr:uid="{00000000-0005-0000-0000-000064470000}"/>
    <cellStyle name="Normal 101 14" xfId="18276" xr:uid="{00000000-0005-0000-0000-000065470000}"/>
    <cellStyle name="Normal 101 14 2" xfId="18277" xr:uid="{00000000-0005-0000-0000-000066470000}"/>
    <cellStyle name="Normal 101 15" xfId="18278" xr:uid="{00000000-0005-0000-0000-000067470000}"/>
    <cellStyle name="Normal 101 15 2" xfId="18279" xr:uid="{00000000-0005-0000-0000-000068470000}"/>
    <cellStyle name="Normal 101 16" xfId="18280" xr:uid="{00000000-0005-0000-0000-000069470000}"/>
    <cellStyle name="Normal 101 16 2" xfId="18281" xr:uid="{00000000-0005-0000-0000-00006A470000}"/>
    <cellStyle name="Normal 101 17" xfId="18282" xr:uid="{00000000-0005-0000-0000-00006B470000}"/>
    <cellStyle name="Normal 101 17 2" xfId="18283" xr:uid="{00000000-0005-0000-0000-00006C470000}"/>
    <cellStyle name="Normal 101 18" xfId="18284" xr:uid="{00000000-0005-0000-0000-00006D470000}"/>
    <cellStyle name="Normal 101 18 2" xfId="18285" xr:uid="{00000000-0005-0000-0000-00006E470000}"/>
    <cellStyle name="Normal 101 19" xfId="18286" xr:uid="{00000000-0005-0000-0000-00006F470000}"/>
    <cellStyle name="Normal 101 19 2" xfId="18287" xr:uid="{00000000-0005-0000-0000-000070470000}"/>
    <cellStyle name="Normal 101 2" xfId="18288" xr:uid="{00000000-0005-0000-0000-000071470000}"/>
    <cellStyle name="Normal 101 2 2" xfId="18289" xr:uid="{00000000-0005-0000-0000-000072470000}"/>
    <cellStyle name="Normal 101 20" xfId="18290" xr:uid="{00000000-0005-0000-0000-000073470000}"/>
    <cellStyle name="Normal 101 20 2" xfId="18291" xr:uid="{00000000-0005-0000-0000-000074470000}"/>
    <cellStyle name="Normal 101 21" xfId="18292" xr:uid="{00000000-0005-0000-0000-000075470000}"/>
    <cellStyle name="Normal 101 21 2" xfId="18293" xr:uid="{00000000-0005-0000-0000-000076470000}"/>
    <cellStyle name="Normal 101 22" xfId="18294" xr:uid="{00000000-0005-0000-0000-000077470000}"/>
    <cellStyle name="Normal 101 22 2" xfId="18295" xr:uid="{00000000-0005-0000-0000-000078470000}"/>
    <cellStyle name="Normal 101 23" xfId="18296" xr:uid="{00000000-0005-0000-0000-000079470000}"/>
    <cellStyle name="Normal 101 23 2" xfId="18297" xr:uid="{00000000-0005-0000-0000-00007A470000}"/>
    <cellStyle name="Normal 101 24" xfId="18298" xr:uid="{00000000-0005-0000-0000-00007B470000}"/>
    <cellStyle name="Normal 101 24 2" xfId="18299" xr:uid="{00000000-0005-0000-0000-00007C470000}"/>
    <cellStyle name="Normal 101 25" xfId="18300" xr:uid="{00000000-0005-0000-0000-00007D470000}"/>
    <cellStyle name="Normal 101 25 2" xfId="18301" xr:uid="{00000000-0005-0000-0000-00007E470000}"/>
    <cellStyle name="Normal 101 26" xfId="18302" xr:uid="{00000000-0005-0000-0000-00007F470000}"/>
    <cellStyle name="Normal 101 26 2" xfId="18303" xr:uid="{00000000-0005-0000-0000-000080470000}"/>
    <cellStyle name="Normal 101 27" xfId="18304" xr:uid="{00000000-0005-0000-0000-000081470000}"/>
    <cellStyle name="Normal 101 27 2" xfId="18305" xr:uid="{00000000-0005-0000-0000-000082470000}"/>
    <cellStyle name="Normal 101 28" xfId="18306" xr:uid="{00000000-0005-0000-0000-000083470000}"/>
    <cellStyle name="Normal 101 28 2" xfId="18307" xr:uid="{00000000-0005-0000-0000-000084470000}"/>
    <cellStyle name="Normal 101 29" xfId="18308" xr:uid="{00000000-0005-0000-0000-000085470000}"/>
    <cellStyle name="Normal 101 29 2" xfId="18309" xr:uid="{00000000-0005-0000-0000-000086470000}"/>
    <cellStyle name="Normal 101 3" xfId="18310" xr:uid="{00000000-0005-0000-0000-000087470000}"/>
    <cellStyle name="Normal 101 3 2" xfId="18311" xr:uid="{00000000-0005-0000-0000-000088470000}"/>
    <cellStyle name="Normal 101 30" xfId="18312" xr:uid="{00000000-0005-0000-0000-000089470000}"/>
    <cellStyle name="Normal 101 30 2" xfId="18313" xr:uid="{00000000-0005-0000-0000-00008A470000}"/>
    <cellStyle name="Normal 101 31" xfId="18314" xr:uid="{00000000-0005-0000-0000-00008B470000}"/>
    <cellStyle name="Normal 101 31 2" xfId="18315" xr:uid="{00000000-0005-0000-0000-00008C470000}"/>
    <cellStyle name="Normal 101 32" xfId="18316" xr:uid="{00000000-0005-0000-0000-00008D470000}"/>
    <cellStyle name="Normal 101 32 2" xfId="18317" xr:uid="{00000000-0005-0000-0000-00008E470000}"/>
    <cellStyle name="Normal 101 33" xfId="18318" xr:uid="{00000000-0005-0000-0000-00008F470000}"/>
    <cellStyle name="Normal 101 33 2" xfId="18319" xr:uid="{00000000-0005-0000-0000-000090470000}"/>
    <cellStyle name="Normal 101 34" xfId="18320" xr:uid="{00000000-0005-0000-0000-000091470000}"/>
    <cellStyle name="Normal 101 34 2" xfId="18321" xr:uid="{00000000-0005-0000-0000-000092470000}"/>
    <cellStyle name="Normal 101 35" xfId="18322" xr:uid="{00000000-0005-0000-0000-000093470000}"/>
    <cellStyle name="Normal 101 35 2" xfId="18323" xr:uid="{00000000-0005-0000-0000-000094470000}"/>
    <cellStyle name="Normal 101 36" xfId="18324" xr:uid="{00000000-0005-0000-0000-000095470000}"/>
    <cellStyle name="Normal 101 36 2" xfId="18325" xr:uid="{00000000-0005-0000-0000-000096470000}"/>
    <cellStyle name="Normal 101 37" xfId="18326" xr:uid="{00000000-0005-0000-0000-000097470000}"/>
    <cellStyle name="Normal 101 37 2" xfId="18327" xr:uid="{00000000-0005-0000-0000-000098470000}"/>
    <cellStyle name="Normal 101 38" xfId="18328" xr:uid="{00000000-0005-0000-0000-000099470000}"/>
    <cellStyle name="Normal 101 38 2" xfId="18329" xr:uid="{00000000-0005-0000-0000-00009A470000}"/>
    <cellStyle name="Normal 101 39" xfId="18330" xr:uid="{00000000-0005-0000-0000-00009B470000}"/>
    <cellStyle name="Normal 101 39 2" xfId="18331" xr:uid="{00000000-0005-0000-0000-00009C470000}"/>
    <cellStyle name="Normal 101 4" xfId="18332" xr:uid="{00000000-0005-0000-0000-00009D470000}"/>
    <cellStyle name="Normal 101 4 2" xfId="18333" xr:uid="{00000000-0005-0000-0000-00009E470000}"/>
    <cellStyle name="Normal 101 40" xfId="18334" xr:uid="{00000000-0005-0000-0000-00009F470000}"/>
    <cellStyle name="Normal 101 40 2" xfId="18335" xr:uid="{00000000-0005-0000-0000-0000A0470000}"/>
    <cellStyle name="Normal 101 41" xfId="18336" xr:uid="{00000000-0005-0000-0000-0000A1470000}"/>
    <cellStyle name="Normal 101 41 2" xfId="18337" xr:uid="{00000000-0005-0000-0000-0000A2470000}"/>
    <cellStyle name="Normal 101 42" xfId="18338" xr:uid="{00000000-0005-0000-0000-0000A3470000}"/>
    <cellStyle name="Normal 101 42 2" xfId="18339" xr:uid="{00000000-0005-0000-0000-0000A4470000}"/>
    <cellStyle name="Normal 101 43" xfId="18340" xr:uid="{00000000-0005-0000-0000-0000A5470000}"/>
    <cellStyle name="Normal 101 43 2" xfId="18341" xr:uid="{00000000-0005-0000-0000-0000A6470000}"/>
    <cellStyle name="Normal 101 44" xfId="18342" xr:uid="{00000000-0005-0000-0000-0000A7470000}"/>
    <cellStyle name="Normal 101 44 2" xfId="18343" xr:uid="{00000000-0005-0000-0000-0000A8470000}"/>
    <cellStyle name="Normal 101 45" xfId="18344" xr:uid="{00000000-0005-0000-0000-0000A9470000}"/>
    <cellStyle name="Normal 101 45 2" xfId="18345" xr:uid="{00000000-0005-0000-0000-0000AA470000}"/>
    <cellStyle name="Normal 101 46" xfId="18346" xr:uid="{00000000-0005-0000-0000-0000AB470000}"/>
    <cellStyle name="Normal 101 46 2" xfId="18347" xr:uid="{00000000-0005-0000-0000-0000AC470000}"/>
    <cellStyle name="Normal 101 47" xfId="18348" xr:uid="{00000000-0005-0000-0000-0000AD470000}"/>
    <cellStyle name="Normal 101 47 2" xfId="18349" xr:uid="{00000000-0005-0000-0000-0000AE470000}"/>
    <cellStyle name="Normal 101 48" xfId="18350" xr:uid="{00000000-0005-0000-0000-0000AF470000}"/>
    <cellStyle name="Normal 101 48 2" xfId="18351" xr:uid="{00000000-0005-0000-0000-0000B0470000}"/>
    <cellStyle name="Normal 101 49" xfId="18352" xr:uid="{00000000-0005-0000-0000-0000B1470000}"/>
    <cellStyle name="Normal 101 49 2" xfId="18353" xr:uid="{00000000-0005-0000-0000-0000B2470000}"/>
    <cellStyle name="Normal 101 5" xfId="18354" xr:uid="{00000000-0005-0000-0000-0000B3470000}"/>
    <cellStyle name="Normal 101 5 2" xfId="18355" xr:uid="{00000000-0005-0000-0000-0000B4470000}"/>
    <cellStyle name="Normal 101 50" xfId="18356" xr:uid="{00000000-0005-0000-0000-0000B5470000}"/>
    <cellStyle name="Normal 101 50 2" xfId="18357" xr:uid="{00000000-0005-0000-0000-0000B6470000}"/>
    <cellStyle name="Normal 101 51" xfId="18358" xr:uid="{00000000-0005-0000-0000-0000B7470000}"/>
    <cellStyle name="Normal 101 51 2" xfId="18359" xr:uid="{00000000-0005-0000-0000-0000B8470000}"/>
    <cellStyle name="Normal 101 52" xfId="18360" xr:uid="{00000000-0005-0000-0000-0000B9470000}"/>
    <cellStyle name="Normal 101 52 2" xfId="18361" xr:uid="{00000000-0005-0000-0000-0000BA470000}"/>
    <cellStyle name="Normal 101 53" xfId="18362" xr:uid="{00000000-0005-0000-0000-0000BB470000}"/>
    <cellStyle name="Normal 101 53 2" xfId="18363" xr:uid="{00000000-0005-0000-0000-0000BC470000}"/>
    <cellStyle name="Normal 101 54" xfId="18364" xr:uid="{00000000-0005-0000-0000-0000BD470000}"/>
    <cellStyle name="Normal 101 54 2" xfId="18365" xr:uid="{00000000-0005-0000-0000-0000BE470000}"/>
    <cellStyle name="Normal 101 55" xfId="18366" xr:uid="{00000000-0005-0000-0000-0000BF470000}"/>
    <cellStyle name="Normal 101 55 2" xfId="18367" xr:uid="{00000000-0005-0000-0000-0000C0470000}"/>
    <cellStyle name="Normal 101 56" xfId="18368" xr:uid="{00000000-0005-0000-0000-0000C1470000}"/>
    <cellStyle name="Normal 101 56 2" xfId="18369" xr:uid="{00000000-0005-0000-0000-0000C2470000}"/>
    <cellStyle name="Normal 101 57" xfId="18370" xr:uid="{00000000-0005-0000-0000-0000C3470000}"/>
    <cellStyle name="Normal 101 57 2" xfId="18371" xr:uid="{00000000-0005-0000-0000-0000C4470000}"/>
    <cellStyle name="Normal 101 58" xfId="18372" xr:uid="{00000000-0005-0000-0000-0000C5470000}"/>
    <cellStyle name="Normal 101 58 2" xfId="18373" xr:uid="{00000000-0005-0000-0000-0000C6470000}"/>
    <cellStyle name="Normal 101 59" xfId="18374" xr:uid="{00000000-0005-0000-0000-0000C7470000}"/>
    <cellStyle name="Normal 101 59 2" xfId="18375" xr:uid="{00000000-0005-0000-0000-0000C8470000}"/>
    <cellStyle name="Normal 101 6" xfId="18376" xr:uid="{00000000-0005-0000-0000-0000C9470000}"/>
    <cellStyle name="Normal 101 6 2" xfId="18377" xr:uid="{00000000-0005-0000-0000-0000CA470000}"/>
    <cellStyle name="Normal 101 60" xfId="18378" xr:uid="{00000000-0005-0000-0000-0000CB470000}"/>
    <cellStyle name="Normal 101 60 2" xfId="18379" xr:uid="{00000000-0005-0000-0000-0000CC470000}"/>
    <cellStyle name="Normal 101 61" xfId="18380" xr:uid="{00000000-0005-0000-0000-0000CD470000}"/>
    <cellStyle name="Normal 101 61 2" xfId="18381" xr:uid="{00000000-0005-0000-0000-0000CE470000}"/>
    <cellStyle name="Normal 101 62" xfId="18382" xr:uid="{00000000-0005-0000-0000-0000CF470000}"/>
    <cellStyle name="Normal 101 62 2" xfId="18383" xr:uid="{00000000-0005-0000-0000-0000D0470000}"/>
    <cellStyle name="Normal 101 62 3" xfId="18384" xr:uid="{00000000-0005-0000-0000-0000D1470000}"/>
    <cellStyle name="Normal 101 63" xfId="18385" xr:uid="{00000000-0005-0000-0000-0000D2470000}"/>
    <cellStyle name="Normal 101 7" xfId="18386" xr:uid="{00000000-0005-0000-0000-0000D3470000}"/>
    <cellStyle name="Normal 101 7 2" xfId="18387" xr:uid="{00000000-0005-0000-0000-0000D4470000}"/>
    <cellStyle name="Normal 101 8" xfId="18388" xr:uid="{00000000-0005-0000-0000-0000D5470000}"/>
    <cellStyle name="Normal 101 8 2" xfId="18389" xr:uid="{00000000-0005-0000-0000-0000D6470000}"/>
    <cellStyle name="Normal 101 9" xfId="18390" xr:uid="{00000000-0005-0000-0000-0000D7470000}"/>
    <cellStyle name="Normal 101 9 2" xfId="18391" xr:uid="{00000000-0005-0000-0000-0000D8470000}"/>
    <cellStyle name="Normal 102" xfId="18392" xr:uid="{00000000-0005-0000-0000-0000D9470000}"/>
    <cellStyle name="Normal 102 2" xfId="18393" xr:uid="{00000000-0005-0000-0000-0000DA470000}"/>
    <cellStyle name="Normal 103" xfId="18394" xr:uid="{00000000-0005-0000-0000-0000DB470000}"/>
    <cellStyle name="Normal 103 2" xfId="18395" xr:uid="{00000000-0005-0000-0000-0000DC470000}"/>
    <cellStyle name="Normal 104" xfId="18396" xr:uid="{00000000-0005-0000-0000-0000DD470000}"/>
    <cellStyle name="Normal 104 10" xfId="18397" xr:uid="{00000000-0005-0000-0000-0000DE470000}"/>
    <cellStyle name="Normal 104 10 2" xfId="18398" xr:uid="{00000000-0005-0000-0000-0000DF470000}"/>
    <cellStyle name="Normal 104 11" xfId="18399" xr:uid="{00000000-0005-0000-0000-0000E0470000}"/>
    <cellStyle name="Normal 104 11 2" xfId="18400" xr:uid="{00000000-0005-0000-0000-0000E1470000}"/>
    <cellStyle name="Normal 104 12" xfId="18401" xr:uid="{00000000-0005-0000-0000-0000E2470000}"/>
    <cellStyle name="Normal 104 12 2" xfId="18402" xr:uid="{00000000-0005-0000-0000-0000E3470000}"/>
    <cellStyle name="Normal 104 13" xfId="18403" xr:uid="{00000000-0005-0000-0000-0000E4470000}"/>
    <cellStyle name="Normal 104 13 2" xfId="18404" xr:uid="{00000000-0005-0000-0000-0000E5470000}"/>
    <cellStyle name="Normal 104 14" xfId="18405" xr:uid="{00000000-0005-0000-0000-0000E6470000}"/>
    <cellStyle name="Normal 104 14 2" xfId="18406" xr:uid="{00000000-0005-0000-0000-0000E7470000}"/>
    <cellStyle name="Normal 104 15" xfId="18407" xr:uid="{00000000-0005-0000-0000-0000E8470000}"/>
    <cellStyle name="Normal 104 15 2" xfId="18408" xr:uid="{00000000-0005-0000-0000-0000E9470000}"/>
    <cellStyle name="Normal 104 16" xfId="18409" xr:uid="{00000000-0005-0000-0000-0000EA470000}"/>
    <cellStyle name="Normal 104 16 2" xfId="18410" xr:uid="{00000000-0005-0000-0000-0000EB470000}"/>
    <cellStyle name="Normal 104 17" xfId="18411" xr:uid="{00000000-0005-0000-0000-0000EC470000}"/>
    <cellStyle name="Normal 104 17 2" xfId="18412" xr:uid="{00000000-0005-0000-0000-0000ED470000}"/>
    <cellStyle name="Normal 104 18" xfId="18413" xr:uid="{00000000-0005-0000-0000-0000EE470000}"/>
    <cellStyle name="Normal 104 18 2" xfId="18414" xr:uid="{00000000-0005-0000-0000-0000EF470000}"/>
    <cellStyle name="Normal 104 19" xfId="18415" xr:uid="{00000000-0005-0000-0000-0000F0470000}"/>
    <cellStyle name="Normal 104 19 2" xfId="18416" xr:uid="{00000000-0005-0000-0000-0000F1470000}"/>
    <cellStyle name="Normal 104 2" xfId="18417" xr:uid="{00000000-0005-0000-0000-0000F2470000}"/>
    <cellStyle name="Normal 104 2 2" xfId="18418" xr:uid="{00000000-0005-0000-0000-0000F3470000}"/>
    <cellStyle name="Normal 104 20" xfId="18419" xr:uid="{00000000-0005-0000-0000-0000F4470000}"/>
    <cellStyle name="Normal 104 20 2" xfId="18420" xr:uid="{00000000-0005-0000-0000-0000F5470000}"/>
    <cellStyle name="Normal 104 21" xfId="18421" xr:uid="{00000000-0005-0000-0000-0000F6470000}"/>
    <cellStyle name="Normal 104 21 2" xfId="18422" xr:uid="{00000000-0005-0000-0000-0000F7470000}"/>
    <cellStyle name="Normal 104 22" xfId="18423" xr:uid="{00000000-0005-0000-0000-0000F8470000}"/>
    <cellStyle name="Normal 104 22 2" xfId="18424" xr:uid="{00000000-0005-0000-0000-0000F9470000}"/>
    <cellStyle name="Normal 104 23" xfId="18425" xr:uid="{00000000-0005-0000-0000-0000FA470000}"/>
    <cellStyle name="Normal 104 23 2" xfId="18426" xr:uid="{00000000-0005-0000-0000-0000FB470000}"/>
    <cellStyle name="Normal 104 24" xfId="18427" xr:uid="{00000000-0005-0000-0000-0000FC470000}"/>
    <cellStyle name="Normal 104 24 2" xfId="18428" xr:uid="{00000000-0005-0000-0000-0000FD470000}"/>
    <cellStyle name="Normal 104 25" xfId="18429" xr:uid="{00000000-0005-0000-0000-0000FE470000}"/>
    <cellStyle name="Normal 104 25 2" xfId="18430" xr:uid="{00000000-0005-0000-0000-0000FF470000}"/>
    <cellStyle name="Normal 104 26" xfId="18431" xr:uid="{00000000-0005-0000-0000-000000480000}"/>
    <cellStyle name="Normal 104 26 2" xfId="18432" xr:uid="{00000000-0005-0000-0000-000001480000}"/>
    <cellStyle name="Normal 104 27" xfId="18433" xr:uid="{00000000-0005-0000-0000-000002480000}"/>
    <cellStyle name="Normal 104 27 2" xfId="18434" xr:uid="{00000000-0005-0000-0000-000003480000}"/>
    <cellStyle name="Normal 104 28" xfId="18435" xr:uid="{00000000-0005-0000-0000-000004480000}"/>
    <cellStyle name="Normal 104 28 2" xfId="18436" xr:uid="{00000000-0005-0000-0000-000005480000}"/>
    <cellStyle name="Normal 104 29" xfId="18437" xr:uid="{00000000-0005-0000-0000-000006480000}"/>
    <cellStyle name="Normal 104 29 2" xfId="18438" xr:uid="{00000000-0005-0000-0000-000007480000}"/>
    <cellStyle name="Normal 104 3" xfId="18439" xr:uid="{00000000-0005-0000-0000-000008480000}"/>
    <cellStyle name="Normal 104 3 2" xfId="18440" xr:uid="{00000000-0005-0000-0000-000009480000}"/>
    <cellStyle name="Normal 104 30" xfId="18441" xr:uid="{00000000-0005-0000-0000-00000A480000}"/>
    <cellStyle name="Normal 104 30 2" xfId="18442" xr:uid="{00000000-0005-0000-0000-00000B480000}"/>
    <cellStyle name="Normal 104 31" xfId="18443" xr:uid="{00000000-0005-0000-0000-00000C480000}"/>
    <cellStyle name="Normal 104 31 2" xfId="18444" xr:uid="{00000000-0005-0000-0000-00000D480000}"/>
    <cellStyle name="Normal 104 32" xfId="18445" xr:uid="{00000000-0005-0000-0000-00000E480000}"/>
    <cellStyle name="Normal 104 32 2" xfId="18446" xr:uid="{00000000-0005-0000-0000-00000F480000}"/>
    <cellStyle name="Normal 104 33" xfId="18447" xr:uid="{00000000-0005-0000-0000-000010480000}"/>
    <cellStyle name="Normal 104 33 2" xfId="18448" xr:uid="{00000000-0005-0000-0000-000011480000}"/>
    <cellStyle name="Normal 104 34" xfId="18449" xr:uid="{00000000-0005-0000-0000-000012480000}"/>
    <cellStyle name="Normal 104 34 2" xfId="18450" xr:uid="{00000000-0005-0000-0000-000013480000}"/>
    <cellStyle name="Normal 104 35" xfId="18451" xr:uid="{00000000-0005-0000-0000-000014480000}"/>
    <cellStyle name="Normal 104 35 2" xfId="18452" xr:uid="{00000000-0005-0000-0000-000015480000}"/>
    <cellStyle name="Normal 104 36" xfId="18453" xr:uid="{00000000-0005-0000-0000-000016480000}"/>
    <cellStyle name="Normal 104 36 2" xfId="18454" xr:uid="{00000000-0005-0000-0000-000017480000}"/>
    <cellStyle name="Normal 104 37" xfId="18455" xr:uid="{00000000-0005-0000-0000-000018480000}"/>
    <cellStyle name="Normal 104 37 2" xfId="18456" xr:uid="{00000000-0005-0000-0000-000019480000}"/>
    <cellStyle name="Normal 104 38" xfId="18457" xr:uid="{00000000-0005-0000-0000-00001A480000}"/>
    <cellStyle name="Normal 104 38 2" xfId="18458" xr:uid="{00000000-0005-0000-0000-00001B480000}"/>
    <cellStyle name="Normal 104 39" xfId="18459" xr:uid="{00000000-0005-0000-0000-00001C480000}"/>
    <cellStyle name="Normal 104 39 2" xfId="18460" xr:uid="{00000000-0005-0000-0000-00001D480000}"/>
    <cellStyle name="Normal 104 4" xfId="18461" xr:uid="{00000000-0005-0000-0000-00001E480000}"/>
    <cellStyle name="Normal 104 4 2" xfId="18462" xr:uid="{00000000-0005-0000-0000-00001F480000}"/>
    <cellStyle name="Normal 104 40" xfId="18463" xr:uid="{00000000-0005-0000-0000-000020480000}"/>
    <cellStyle name="Normal 104 40 2" xfId="18464" xr:uid="{00000000-0005-0000-0000-000021480000}"/>
    <cellStyle name="Normal 104 41" xfId="18465" xr:uid="{00000000-0005-0000-0000-000022480000}"/>
    <cellStyle name="Normal 104 41 2" xfId="18466" xr:uid="{00000000-0005-0000-0000-000023480000}"/>
    <cellStyle name="Normal 104 42" xfId="18467" xr:uid="{00000000-0005-0000-0000-000024480000}"/>
    <cellStyle name="Normal 104 42 2" xfId="18468" xr:uid="{00000000-0005-0000-0000-000025480000}"/>
    <cellStyle name="Normal 104 43" xfId="18469" xr:uid="{00000000-0005-0000-0000-000026480000}"/>
    <cellStyle name="Normal 104 43 2" xfId="18470" xr:uid="{00000000-0005-0000-0000-000027480000}"/>
    <cellStyle name="Normal 104 44" xfId="18471" xr:uid="{00000000-0005-0000-0000-000028480000}"/>
    <cellStyle name="Normal 104 44 2" xfId="18472" xr:uid="{00000000-0005-0000-0000-000029480000}"/>
    <cellStyle name="Normal 104 45" xfId="18473" xr:uid="{00000000-0005-0000-0000-00002A480000}"/>
    <cellStyle name="Normal 104 45 2" xfId="18474" xr:uid="{00000000-0005-0000-0000-00002B480000}"/>
    <cellStyle name="Normal 104 46" xfId="18475" xr:uid="{00000000-0005-0000-0000-00002C480000}"/>
    <cellStyle name="Normal 104 46 2" xfId="18476" xr:uid="{00000000-0005-0000-0000-00002D480000}"/>
    <cellStyle name="Normal 104 47" xfId="18477" xr:uid="{00000000-0005-0000-0000-00002E480000}"/>
    <cellStyle name="Normal 104 47 2" xfId="18478" xr:uid="{00000000-0005-0000-0000-00002F480000}"/>
    <cellStyle name="Normal 104 48" xfId="18479" xr:uid="{00000000-0005-0000-0000-000030480000}"/>
    <cellStyle name="Normal 104 48 2" xfId="18480" xr:uid="{00000000-0005-0000-0000-000031480000}"/>
    <cellStyle name="Normal 104 49" xfId="18481" xr:uid="{00000000-0005-0000-0000-000032480000}"/>
    <cellStyle name="Normal 104 49 2" xfId="18482" xr:uid="{00000000-0005-0000-0000-000033480000}"/>
    <cellStyle name="Normal 104 5" xfId="18483" xr:uid="{00000000-0005-0000-0000-000034480000}"/>
    <cellStyle name="Normal 104 5 2" xfId="18484" xr:uid="{00000000-0005-0000-0000-000035480000}"/>
    <cellStyle name="Normal 104 50" xfId="18485" xr:uid="{00000000-0005-0000-0000-000036480000}"/>
    <cellStyle name="Normal 104 50 2" xfId="18486" xr:uid="{00000000-0005-0000-0000-000037480000}"/>
    <cellStyle name="Normal 104 51" xfId="18487" xr:uid="{00000000-0005-0000-0000-000038480000}"/>
    <cellStyle name="Normal 104 51 2" xfId="18488" xr:uid="{00000000-0005-0000-0000-000039480000}"/>
    <cellStyle name="Normal 104 52" xfId="18489" xr:uid="{00000000-0005-0000-0000-00003A480000}"/>
    <cellStyle name="Normal 104 52 2" xfId="18490" xr:uid="{00000000-0005-0000-0000-00003B480000}"/>
    <cellStyle name="Normal 104 53" xfId="18491" xr:uid="{00000000-0005-0000-0000-00003C480000}"/>
    <cellStyle name="Normal 104 53 2" xfId="18492" xr:uid="{00000000-0005-0000-0000-00003D480000}"/>
    <cellStyle name="Normal 104 54" xfId="18493" xr:uid="{00000000-0005-0000-0000-00003E480000}"/>
    <cellStyle name="Normal 104 54 2" xfId="18494" xr:uid="{00000000-0005-0000-0000-00003F480000}"/>
    <cellStyle name="Normal 104 55" xfId="18495" xr:uid="{00000000-0005-0000-0000-000040480000}"/>
    <cellStyle name="Normal 104 55 2" xfId="18496" xr:uid="{00000000-0005-0000-0000-000041480000}"/>
    <cellStyle name="Normal 104 56" xfId="18497" xr:uid="{00000000-0005-0000-0000-000042480000}"/>
    <cellStyle name="Normal 104 56 2" xfId="18498" xr:uid="{00000000-0005-0000-0000-000043480000}"/>
    <cellStyle name="Normal 104 57" xfId="18499" xr:uid="{00000000-0005-0000-0000-000044480000}"/>
    <cellStyle name="Normal 104 57 2" xfId="18500" xr:uid="{00000000-0005-0000-0000-000045480000}"/>
    <cellStyle name="Normal 104 58" xfId="18501" xr:uid="{00000000-0005-0000-0000-000046480000}"/>
    <cellStyle name="Normal 104 58 2" xfId="18502" xr:uid="{00000000-0005-0000-0000-000047480000}"/>
    <cellStyle name="Normal 104 59" xfId="18503" xr:uid="{00000000-0005-0000-0000-000048480000}"/>
    <cellStyle name="Normal 104 59 2" xfId="18504" xr:uid="{00000000-0005-0000-0000-000049480000}"/>
    <cellStyle name="Normal 104 6" xfId="18505" xr:uid="{00000000-0005-0000-0000-00004A480000}"/>
    <cellStyle name="Normal 104 6 2" xfId="18506" xr:uid="{00000000-0005-0000-0000-00004B480000}"/>
    <cellStyle name="Normal 104 60" xfId="18507" xr:uid="{00000000-0005-0000-0000-00004C480000}"/>
    <cellStyle name="Normal 104 60 2" xfId="18508" xr:uid="{00000000-0005-0000-0000-00004D480000}"/>
    <cellStyle name="Normal 104 61" xfId="18509" xr:uid="{00000000-0005-0000-0000-00004E480000}"/>
    <cellStyle name="Normal 104 61 2" xfId="18510" xr:uid="{00000000-0005-0000-0000-00004F480000}"/>
    <cellStyle name="Normal 104 62" xfId="18511" xr:uid="{00000000-0005-0000-0000-000050480000}"/>
    <cellStyle name="Normal 104 62 2" xfId="18512" xr:uid="{00000000-0005-0000-0000-000051480000}"/>
    <cellStyle name="Normal 104 62 3" xfId="18513" xr:uid="{00000000-0005-0000-0000-000052480000}"/>
    <cellStyle name="Normal 104 63" xfId="18514" xr:uid="{00000000-0005-0000-0000-000053480000}"/>
    <cellStyle name="Normal 104 7" xfId="18515" xr:uid="{00000000-0005-0000-0000-000054480000}"/>
    <cellStyle name="Normal 104 7 2" xfId="18516" xr:uid="{00000000-0005-0000-0000-000055480000}"/>
    <cellStyle name="Normal 104 8" xfId="18517" xr:uid="{00000000-0005-0000-0000-000056480000}"/>
    <cellStyle name="Normal 104 8 2" xfId="18518" xr:uid="{00000000-0005-0000-0000-000057480000}"/>
    <cellStyle name="Normal 104 9" xfId="18519" xr:uid="{00000000-0005-0000-0000-000058480000}"/>
    <cellStyle name="Normal 104 9 2" xfId="18520" xr:uid="{00000000-0005-0000-0000-000059480000}"/>
    <cellStyle name="Normal 105" xfId="18521" xr:uid="{00000000-0005-0000-0000-00005A480000}"/>
    <cellStyle name="Normal 105 10" xfId="18522" xr:uid="{00000000-0005-0000-0000-00005B480000}"/>
    <cellStyle name="Normal 105 10 2" xfId="18523" xr:uid="{00000000-0005-0000-0000-00005C480000}"/>
    <cellStyle name="Normal 105 11" xfId="18524" xr:uid="{00000000-0005-0000-0000-00005D480000}"/>
    <cellStyle name="Normal 105 11 2" xfId="18525" xr:uid="{00000000-0005-0000-0000-00005E480000}"/>
    <cellStyle name="Normal 105 12" xfId="18526" xr:uid="{00000000-0005-0000-0000-00005F480000}"/>
    <cellStyle name="Normal 105 12 2" xfId="18527" xr:uid="{00000000-0005-0000-0000-000060480000}"/>
    <cellStyle name="Normal 105 13" xfId="18528" xr:uid="{00000000-0005-0000-0000-000061480000}"/>
    <cellStyle name="Normal 105 13 2" xfId="18529" xr:uid="{00000000-0005-0000-0000-000062480000}"/>
    <cellStyle name="Normal 105 14" xfId="18530" xr:uid="{00000000-0005-0000-0000-000063480000}"/>
    <cellStyle name="Normal 105 14 2" xfId="18531" xr:uid="{00000000-0005-0000-0000-000064480000}"/>
    <cellStyle name="Normal 105 15" xfId="18532" xr:uid="{00000000-0005-0000-0000-000065480000}"/>
    <cellStyle name="Normal 105 15 2" xfId="18533" xr:uid="{00000000-0005-0000-0000-000066480000}"/>
    <cellStyle name="Normal 105 16" xfId="18534" xr:uid="{00000000-0005-0000-0000-000067480000}"/>
    <cellStyle name="Normal 105 16 2" xfId="18535" xr:uid="{00000000-0005-0000-0000-000068480000}"/>
    <cellStyle name="Normal 105 17" xfId="18536" xr:uid="{00000000-0005-0000-0000-000069480000}"/>
    <cellStyle name="Normal 105 17 2" xfId="18537" xr:uid="{00000000-0005-0000-0000-00006A480000}"/>
    <cellStyle name="Normal 105 18" xfId="18538" xr:uid="{00000000-0005-0000-0000-00006B480000}"/>
    <cellStyle name="Normal 105 18 2" xfId="18539" xr:uid="{00000000-0005-0000-0000-00006C480000}"/>
    <cellStyle name="Normal 105 19" xfId="18540" xr:uid="{00000000-0005-0000-0000-00006D480000}"/>
    <cellStyle name="Normal 105 19 2" xfId="18541" xr:uid="{00000000-0005-0000-0000-00006E480000}"/>
    <cellStyle name="Normal 105 2" xfId="18542" xr:uid="{00000000-0005-0000-0000-00006F480000}"/>
    <cellStyle name="Normal 105 2 2" xfId="18543" xr:uid="{00000000-0005-0000-0000-000070480000}"/>
    <cellStyle name="Normal 105 20" xfId="18544" xr:uid="{00000000-0005-0000-0000-000071480000}"/>
    <cellStyle name="Normal 105 20 2" xfId="18545" xr:uid="{00000000-0005-0000-0000-000072480000}"/>
    <cellStyle name="Normal 105 21" xfId="18546" xr:uid="{00000000-0005-0000-0000-000073480000}"/>
    <cellStyle name="Normal 105 21 2" xfId="18547" xr:uid="{00000000-0005-0000-0000-000074480000}"/>
    <cellStyle name="Normal 105 22" xfId="18548" xr:uid="{00000000-0005-0000-0000-000075480000}"/>
    <cellStyle name="Normal 105 22 2" xfId="18549" xr:uid="{00000000-0005-0000-0000-000076480000}"/>
    <cellStyle name="Normal 105 23" xfId="18550" xr:uid="{00000000-0005-0000-0000-000077480000}"/>
    <cellStyle name="Normal 105 23 2" xfId="18551" xr:uid="{00000000-0005-0000-0000-000078480000}"/>
    <cellStyle name="Normal 105 24" xfId="18552" xr:uid="{00000000-0005-0000-0000-000079480000}"/>
    <cellStyle name="Normal 105 24 2" xfId="18553" xr:uid="{00000000-0005-0000-0000-00007A480000}"/>
    <cellStyle name="Normal 105 25" xfId="18554" xr:uid="{00000000-0005-0000-0000-00007B480000}"/>
    <cellStyle name="Normal 105 25 2" xfId="18555" xr:uid="{00000000-0005-0000-0000-00007C480000}"/>
    <cellStyle name="Normal 105 26" xfId="18556" xr:uid="{00000000-0005-0000-0000-00007D480000}"/>
    <cellStyle name="Normal 105 26 2" xfId="18557" xr:uid="{00000000-0005-0000-0000-00007E480000}"/>
    <cellStyle name="Normal 105 27" xfId="18558" xr:uid="{00000000-0005-0000-0000-00007F480000}"/>
    <cellStyle name="Normal 105 27 2" xfId="18559" xr:uid="{00000000-0005-0000-0000-000080480000}"/>
    <cellStyle name="Normal 105 28" xfId="18560" xr:uid="{00000000-0005-0000-0000-000081480000}"/>
    <cellStyle name="Normal 105 28 2" xfId="18561" xr:uid="{00000000-0005-0000-0000-000082480000}"/>
    <cellStyle name="Normal 105 29" xfId="18562" xr:uid="{00000000-0005-0000-0000-000083480000}"/>
    <cellStyle name="Normal 105 29 2" xfId="18563" xr:uid="{00000000-0005-0000-0000-000084480000}"/>
    <cellStyle name="Normal 105 3" xfId="18564" xr:uid="{00000000-0005-0000-0000-000085480000}"/>
    <cellStyle name="Normal 105 3 2" xfId="18565" xr:uid="{00000000-0005-0000-0000-000086480000}"/>
    <cellStyle name="Normal 105 30" xfId="18566" xr:uid="{00000000-0005-0000-0000-000087480000}"/>
    <cellStyle name="Normal 105 30 2" xfId="18567" xr:uid="{00000000-0005-0000-0000-000088480000}"/>
    <cellStyle name="Normal 105 31" xfId="18568" xr:uid="{00000000-0005-0000-0000-000089480000}"/>
    <cellStyle name="Normal 105 31 2" xfId="18569" xr:uid="{00000000-0005-0000-0000-00008A480000}"/>
    <cellStyle name="Normal 105 32" xfId="18570" xr:uid="{00000000-0005-0000-0000-00008B480000}"/>
    <cellStyle name="Normal 105 32 2" xfId="18571" xr:uid="{00000000-0005-0000-0000-00008C480000}"/>
    <cellStyle name="Normal 105 33" xfId="18572" xr:uid="{00000000-0005-0000-0000-00008D480000}"/>
    <cellStyle name="Normal 105 33 2" xfId="18573" xr:uid="{00000000-0005-0000-0000-00008E480000}"/>
    <cellStyle name="Normal 105 34" xfId="18574" xr:uid="{00000000-0005-0000-0000-00008F480000}"/>
    <cellStyle name="Normal 105 34 2" xfId="18575" xr:uid="{00000000-0005-0000-0000-000090480000}"/>
    <cellStyle name="Normal 105 35" xfId="18576" xr:uid="{00000000-0005-0000-0000-000091480000}"/>
    <cellStyle name="Normal 105 35 2" xfId="18577" xr:uid="{00000000-0005-0000-0000-000092480000}"/>
    <cellStyle name="Normal 105 36" xfId="18578" xr:uid="{00000000-0005-0000-0000-000093480000}"/>
    <cellStyle name="Normal 105 36 2" xfId="18579" xr:uid="{00000000-0005-0000-0000-000094480000}"/>
    <cellStyle name="Normal 105 37" xfId="18580" xr:uid="{00000000-0005-0000-0000-000095480000}"/>
    <cellStyle name="Normal 105 37 2" xfId="18581" xr:uid="{00000000-0005-0000-0000-000096480000}"/>
    <cellStyle name="Normal 105 38" xfId="18582" xr:uid="{00000000-0005-0000-0000-000097480000}"/>
    <cellStyle name="Normal 105 38 2" xfId="18583" xr:uid="{00000000-0005-0000-0000-000098480000}"/>
    <cellStyle name="Normal 105 39" xfId="18584" xr:uid="{00000000-0005-0000-0000-000099480000}"/>
    <cellStyle name="Normal 105 39 2" xfId="18585" xr:uid="{00000000-0005-0000-0000-00009A480000}"/>
    <cellStyle name="Normal 105 4" xfId="18586" xr:uid="{00000000-0005-0000-0000-00009B480000}"/>
    <cellStyle name="Normal 105 4 2" xfId="18587" xr:uid="{00000000-0005-0000-0000-00009C480000}"/>
    <cellStyle name="Normal 105 40" xfId="18588" xr:uid="{00000000-0005-0000-0000-00009D480000}"/>
    <cellStyle name="Normal 105 40 2" xfId="18589" xr:uid="{00000000-0005-0000-0000-00009E480000}"/>
    <cellStyle name="Normal 105 41" xfId="18590" xr:uid="{00000000-0005-0000-0000-00009F480000}"/>
    <cellStyle name="Normal 105 41 2" xfId="18591" xr:uid="{00000000-0005-0000-0000-0000A0480000}"/>
    <cellStyle name="Normal 105 42" xfId="18592" xr:uid="{00000000-0005-0000-0000-0000A1480000}"/>
    <cellStyle name="Normal 105 42 2" xfId="18593" xr:uid="{00000000-0005-0000-0000-0000A2480000}"/>
    <cellStyle name="Normal 105 43" xfId="18594" xr:uid="{00000000-0005-0000-0000-0000A3480000}"/>
    <cellStyle name="Normal 105 43 2" xfId="18595" xr:uid="{00000000-0005-0000-0000-0000A4480000}"/>
    <cellStyle name="Normal 105 44" xfId="18596" xr:uid="{00000000-0005-0000-0000-0000A5480000}"/>
    <cellStyle name="Normal 105 44 2" xfId="18597" xr:uid="{00000000-0005-0000-0000-0000A6480000}"/>
    <cellStyle name="Normal 105 45" xfId="18598" xr:uid="{00000000-0005-0000-0000-0000A7480000}"/>
    <cellStyle name="Normal 105 45 2" xfId="18599" xr:uid="{00000000-0005-0000-0000-0000A8480000}"/>
    <cellStyle name="Normal 105 46" xfId="18600" xr:uid="{00000000-0005-0000-0000-0000A9480000}"/>
    <cellStyle name="Normal 105 46 2" xfId="18601" xr:uid="{00000000-0005-0000-0000-0000AA480000}"/>
    <cellStyle name="Normal 105 47" xfId="18602" xr:uid="{00000000-0005-0000-0000-0000AB480000}"/>
    <cellStyle name="Normal 105 47 2" xfId="18603" xr:uid="{00000000-0005-0000-0000-0000AC480000}"/>
    <cellStyle name="Normal 105 48" xfId="18604" xr:uid="{00000000-0005-0000-0000-0000AD480000}"/>
    <cellStyle name="Normal 105 48 2" xfId="18605" xr:uid="{00000000-0005-0000-0000-0000AE480000}"/>
    <cellStyle name="Normal 105 49" xfId="18606" xr:uid="{00000000-0005-0000-0000-0000AF480000}"/>
    <cellStyle name="Normal 105 49 2" xfId="18607" xr:uid="{00000000-0005-0000-0000-0000B0480000}"/>
    <cellStyle name="Normal 105 5" xfId="18608" xr:uid="{00000000-0005-0000-0000-0000B1480000}"/>
    <cellStyle name="Normal 105 5 2" xfId="18609" xr:uid="{00000000-0005-0000-0000-0000B2480000}"/>
    <cellStyle name="Normal 105 50" xfId="18610" xr:uid="{00000000-0005-0000-0000-0000B3480000}"/>
    <cellStyle name="Normal 105 50 2" xfId="18611" xr:uid="{00000000-0005-0000-0000-0000B4480000}"/>
    <cellStyle name="Normal 105 51" xfId="18612" xr:uid="{00000000-0005-0000-0000-0000B5480000}"/>
    <cellStyle name="Normal 105 51 2" xfId="18613" xr:uid="{00000000-0005-0000-0000-0000B6480000}"/>
    <cellStyle name="Normal 105 52" xfId="18614" xr:uid="{00000000-0005-0000-0000-0000B7480000}"/>
    <cellStyle name="Normal 105 52 2" xfId="18615" xr:uid="{00000000-0005-0000-0000-0000B8480000}"/>
    <cellStyle name="Normal 105 53" xfId="18616" xr:uid="{00000000-0005-0000-0000-0000B9480000}"/>
    <cellStyle name="Normal 105 53 2" xfId="18617" xr:uid="{00000000-0005-0000-0000-0000BA480000}"/>
    <cellStyle name="Normal 105 54" xfId="18618" xr:uid="{00000000-0005-0000-0000-0000BB480000}"/>
    <cellStyle name="Normal 105 54 2" xfId="18619" xr:uid="{00000000-0005-0000-0000-0000BC480000}"/>
    <cellStyle name="Normal 105 55" xfId="18620" xr:uid="{00000000-0005-0000-0000-0000BD480000}"/>
    <cellStyle name="Normal 105 55 2" xfId="18621" xr:uid="{00000000-0005-0000-0000-0000BE480000}"/>
    <cellStyle name="Normal 105 56" xfId="18622" xr:uid="{00000000-0005-0000-0000-0000BF480000}"/>
    <cellStyle name="Normal 105 56 2" xfId="18623" xr:uid="{00000000-0005-0000-0000-0000C0480000}"/>
    <cellStyle name="Normal 105 57" xfId="18624" xr:uid="{00000000-0005-0000-0000-0000C1480000}"/>
    <cellStyle name="Normal 105 57 2" xfId="18625" xr:uid="{00000000-0005-0000-0000-0000C2480000}"/>
    <cellStyle name="Normal 105 58" xfId="18626" xr:uid="{00000000-0005-0000-0000-0000C3480000}"/>
    <cellStyle name="Normal 105 58 2" xfId="18627" xr:uid="{00000000-0005-0000-0000-0000C4480000}"/>
    <cellStyle name="Normal 105 59" xfId="18628" xr:uid="{00000000-0005-0000-0000-0000C5480000}"/>
    <cellStyle name="Normal 105 59 2" xfId="18629" xr:uid="{00000000-0005-0000-0000-0000C6480000}"/>
    <cellStyle name="Normal 105 6" xfId="18630" xr:uid="{00000000-0005-0000-0000-0000C7480000}"/>
    <cellStyle name="Normal 105 6 2" xfId="18631" xr:uid="{00000000-0005-0000-0000-0000C8480000}"/>
    <cellStyle name="Normal 105 60" xfId="18632" xr:uid="{00000000-0005-0000-0000-0000C9480000}"/>
    <cellStyle name="Normal 105 60 2" xfId="18633" xr:uid="{00000000-0005-0000-0000-0000CA480000}"/>
    <cellStyle name="Normal 105 61" xfId="18634" xr:uid="{00000000-0005-0000-0000-0000CB480000}"/>
    <cellStyle name="Normal 105 61 2" xfId="18635" xr:uid="{00000000-0005-0000-0000-0000CC480000}"/>
    <cellStyle name="Normal 105 62" xfId="18636" xr:uid="{00000000-0005-0000-0000-0000CD480000}"/>
    <cellStyle name="Normal 105 62 2" xfId="18637" xr:uid="{00000000-0005-0000-0000-0000CE480000}"/>
    <cellStyle name="Normal 105 62 3" xfId="18638" xr:uid="{00000000-0005-0000-0000-0000CF480000}"/>
    <cellStyle name="Normal 105 63" xfId="18639" xr:uid="{00000000-0005-0000-0000-0000D0480000}"/>
    <cellStyle name="Normal 105 7" xfId="18640" xr:uid="{00000000-0005-0000-0000-0000D1480000}"/>
    <cellStyle name="Normal 105 7 2" xfId="18641" xr:uid="{00000000-0005-0000-0000-0000D2480000}"/>
    <cellStyle name="Normal 105 8" xfId="18642" xr:uid="{00000000-0005-0000-0000-0000D3480000}"/>
    <cellStyle name="Normal 105 8 2" xfId="18643" xr:uid="{00000000-0005-0000-0000-0000D4480000}"/>
    <cellStyle name="Normal 105 9" xfId="18644" xr:uid="{00000000-0005-0000-0000-0000D5480000}"/>
    <cellStyle name="Normal 105 9 2" xfId="18645" xr:uid="{00000000-0005-0000-0000-0000D6480000}"/>
    <cellStyle name="Normal 106" xfId="18646" xr:uid="{00000000-0005-0000-0000-0000D7480000}"/>
    <cellStyle name="Normal 106 10" xfId="18647" xr:uid="{00000000-0005-0000-0000-0000D8480000}"/>
    <cellStyle name="Normal 106 10 2" xfId="18648" xr:uid="{00000000-0005-0000-0000-0000D9480000}"/>
    <cellStyle name="Normal 106 11" xfId="18649" xr:uid="{00000000-0005-0000-0000-0000DA480000}"/>
    <cellStyle name="Normal 106 11 2" xfId="18650" xr:uid="{00000000-0005-0000-0000-0000DB480000}"/>
    <cellStyle name="Normal 106 12" xfId="18651" xr:uid="{00000000-0005-0000-0000-0000DC480000}"/>
    <cellStyle name="Normal 106 12 2" xfId="18652" xr:uid="{00000000-0005-0000-0000-0000DD480000}"/>
    <cellStyle name="Normal 106 13" xfId="18653" xr:uid="{00000000-0005-0000-0000-0000DE480000}"/>
    <cellStyle name="Normal 106 13 2" xfId="18654" xr:uid="{00000000-0005-0000-0000-0000DF480000}"/>
    <cellStyle name="Normal 106 14" xfId="18655" xr:uid="{00000000-0005-0000-0000-0000E0480000}"/>
    <cellStyle name="Normal 106 14 2" xfId="18656" xr:uid="{00000000-0005-0000-0000-0000E1480000}"/>
    <cellStyle name="Normal 106 15" xfId="18657" xr:uid="{00000000-0005-0000-0000-0000E2480000}"/>
    <cellStyle name="Normal 106 15 2" xfId="18658" xr:uid="{00000000-0005-0000-0000-0000E3480000}"/>
    <cellStyle name="Normal 106 16" xfId="18659" xr:uid="{00000000-0005-0000-0000-0000E4480000}"/>
    <cellStyle name="Normal 106 16 2" xfId="18660" xr:uid="{00000000-0005-0000-0000-0000E5480000}"/>
    <cellStyle name="Normal 106 17" xfId="18661" xr:uid="{00000000-0005-0000-0000-0000E6480000}"/>
    <cellStyle name="Normal 106 17 2" xfId="18662" xr:uid="{00000000-0005-0000-0000-0000E7480000}"/>
    <cellStyle name="Normal 106 18" xfId="18663" xr:uid="{00000000-0005-0000-0000-0000E8480000}"/>
    <cellStyle name="Normal 106 18 2" xfId="18664" xr:uid="{00000000-0005-0000-0000-0000E9480000}"/>
    <cellStyle name="Normal 106 19" xfId="18665" xr:uid="{00000000-0005-0000-0000-0000EA480000}"/>
    <cellStyle name="Normal 106 19 2" xfId="18666" xr:uid="{00000000-0005-0000-0000-0000EB480000}"/>
    <cellStyle name="Normal 106 2" xfId="18667" xr:uid="{00000000-0005-0000-0000-0000EC480000}"/>
    <cellStyle name="Normal 106 2 2" xfId="18668" xr:uid="{00000000-0005-0000-0000-0000ED480000}"/>
    <cellStyle name="Normal 106 20" xfId="18669" xr:uid="{00000000-0005-0000-0000-0000EE480000}"/>
    <cellStyle name="Normal 106 20 2" xfId="18670" xr:uid="{00000000-0005-0000-0000-0000EF480000}"/>
    <cellStyle name="Normal 106 21" xfId="18671" xr:uid="{00000000-0005-0000-0000-0000F0480000}"/>
    <cellStyle name="Normal 106 21 2" xfId="18672" xr:uid="{00000000-0005-0000-0000-0000F1480000}"/>
    <cellStyle name="Normal 106 22" xfId="18673" xr:uid="{00000000-0005-0000-0000-0000F2480000}"/>
    <cellStyle name="Normal 106 22 2" xfId="18674" xr:uid="{00000000-0005-0000-0000-0000F3480000}"/>
    <cellStyle name="Normal 106 23" xfId="18675" xr:uid="{00000000-0005-0000-0000-0000F4480000}"/>
    <cellStyle name="Normal 106 23 2" xfId="18676" xr:uid="{00000000-0005-0000-0000-0000F5480000}"/>
    <cellStyle name="Normal 106 24" xfId="18677" xr:uid="{00000000-0005-0000-0000-0000F6480000}"/>
    <cellStyle name="Normal 106 24 2" xfId="18678" xr:uid="{00000000-0005-0000-0000-0000F7480000}"/>
    <cellStyle name="Normal 106 25" xfId="18679" xr:uid="{00000000-0005-0000-0000-0000F8480000}"/>
    <cellStyle name="Normal 106 25 2" xfId="18680" xr:uid="{00000000-0005-0000-0000-0000F9480000}"/>
    <cellStyle name="Normal 106 26" xfId="18681" xr:uid="{00000000-0005-0000-0000-0000FA480000}"/>
    <cellStyle name="Normal 106 26 2" xfId="18682" xr:uid="{00000000-0005-0000-0000-0000FB480000}"/>
    <cellStyle name="Normal 106 27" xfId="18683" xr:uid="{00000000-0005-0000-0000-0000FC480000}"/>
    <cellStyle name="Normal 106 27 2" xfId="18684" xr:uid="{00000000-0005-0000-0000-0000FD480000}"/>
    <cellStyle name="Normal 106 28" xfId="18685" xr:uid="{00000000-0005-0000-0000-0000FE480000}"/>
    <cellStyle name="Normal 106 28 2" xfId="18686" xr:uid="{00000000-0005-0000-0000-0000FF480000}"/>
    <cellStyle name="Normal 106 29" xfId="18687" xr:uid="{00000000-0005-0000-0000-000000490000}"/>
    <cellStyle name="Normal 106 29 2" xfId="18688" xr:uid="{00000000-0005-0000-0000-000001490000}"/>
    <cellStyle name="Normal 106 3" xfId="18689" xr:uid="{00000000-0005-0000-0000-000002490000}"/>
    <cellStyle name="Normal 106 3 2" xfId="18690" xr:uid="{00000000-0005-0000-0000-000003490000}"/>
    <cellStyle name="Normal 106 30" xfId="18691" xr:uid="{00000000-0005-0000-0000-000004490000}"/>
    <cellStyle name="Normal 106 30 2" xfId="18692" xr:uid="{00000000-0005-0000-0000-000005490000}"/>
    <cellStyle name="Normal 106 31" xfId="18693" xr:uid="{00000000-0005-0000-0000-000006490000}"/>
    <cellStyle name="Normal 106 31 2" xfId="18694" xr:uid="{00000000-0005-0000-0000-000007490000}"/>
    <cellStyle name="Normal 106 32" xfId="18695" xr:uid="{00000000-0005-0000-0000-000008490000}"/>
    <cellStyle name="Normal 106 32 2" xfId="18696" xr:uid="{00000000-0005-0000-0000-000009490000}"/>
    <cellStyle name="Normal 106 33" xfId="18697" xr:uid="{00000000-0005-0000-0000-00000A490000}"/>
    <cellStyle name="Normal 106 33 2" xfId="18698" xr:uid="{00000000-0005-0000-0000-00000B490000}"/>
    <cellStyle name="Normal 106 34" xfId="18699" xr:uid="{00000000-0005-0000-0000-00000C490000}"/>
    <cellStyle name="Normal 106 34 2" xfId="18700" xr:uid="{00000000-0005-0000-0000-00000D490000}"/>
    <cellStyle name="Normal 106 35" xfId="18701" xr:uid="{00000000-0005-0000-0000-00000E490000}"/>
    <cellStyle name="Normal 106 35 2" xfId="18702" xr:uid="{00000000-0005-0000-0000-00000F490000}"/>
    <cellStyle name="Normal 106 36" xfId="18703" xr:uid="{00000000-0005-0000-0000-000010490000}"/>
    <cellStyle name="Normal 106 36 2" xfId="18704" xr:uid="{00000000-0005-0000-0000-000011490000}"/>
    <cellStyle name="Normal 106 37" xfId="18705" xr:uid="{00000000-0005-0000-0000-000012490000}"/>
    <cellStyle name="Normal 106 37 2" xfId="18706" xr:uid="{00000000-0005-0000-0000-000013490000}"/>
    <cellStyle name="Normal 106 38" xfId="18707" xr:uid="{00000000-0005-0000-0000-000014490000}"/>
    <cellStyle name="Normal 106 38 2" xfId="18708" xr:uid="{00000000-0005-0000-0000-000015490000}"/>
    <cellStyle name="Normal 106 39" xfId="18709" xr:uid="{00000000-0005-0000-0000-000016490000}"/>
    <cellStyle name="Normal 106 39 2" xfId="18710" xr:uid="{00000000-0005-0000-0000-000017490000}"/>
    <cellStyle name="Normal 106 4" xfId="18711" xr:uid="{00000000-0005-0000-0000-000018490000}"/>
    <cellStyle name="Normal 106 4 2" xfId="18712" xr:uid="{00000000-0005-0000-0000-000019490000}"/>
    <cellStyle name="Normal 106 40" xfId="18713" xr:uid="{00000000-0005-0000-0000-00001A490000}"/>
    <cellStyle name="Normal 106 40 2" xfId="18714" xr:uid="{00000000-0005-0000-0000-00001B490000}"/>
    <cellStyle name="Normal 106 41" xfId="18715" xr:uid="{00000000-0005-0000-0000-00001C490000}"/>
    <cellStyle name="Normal 106 41 2" xfId="18716" xr:uid="{00000000-0005-0000-0000-00001D490000}"/>
    <cellStyle name="Normal 106 42" xfId="18717" xr:uid="{00000000-0005-0000-0000-00001E490000}"/>
    <cellStyle name="Normal 106 42 2" xfId="18718" xr:uid="{00000000-0005-0000-0000-00001F490000}"/>
    <cellStyle name="Normal 106 43" xfId="18719" xr:uid="{00000000-0005-0000-0000-000020490000}"/>
    <cellStyle name="Normal 106 43 2" xfId="18720" xr:uid="{00000000-0005-0000-0000-000021490000}"/>
    <cellStyle name="Normal 106 44" xfId="18721" xr:uid="{00000000-0005-0000-0000-000022490000}"/>
    <cellStyle name="Normal 106 44 2" xfId="18722" xr:uid="{00000000-0005-0000-0000-000023490000}"/>
    <cellStyle name="Normal 106 45" xfId="18723" xr:uid="{00000000-0005-0000-0000-000024490000}"/>
    <cellStyle name="Normal 106 45 2" xfId="18724" xr:uid="{00000000-0005-0000-0000-000025490000}"/>
    <cellStyle name="Normal 106 46" xfId="18725" xr:uid="{00000000-0005-0000-0000-000026490000}"/>
    <cellStyle name="Normal 106 46 2" xfId="18726" xr:uid="{00000000-0005-0000-0000-000027490000}"/>
    <cellStyle name="Normal 106 47" xfId="18727" xr:uid="{00000000-0005-0000-0000-000028490000}"/>
    <cellStyle name="Normal 106 47 2" xfId="18728" xr:uid="{00000000-0005-0000-0000-000029490000}"/>
    <cellStyle name="Normal 106 48" xfId="18729" xr:uid="{00000000-0005-0000-0000-00002A490000}"/>
    <cellStyle name="Normal 106 48 2" xfId="18730" xr:uid="{00000000-0005-0000-0000-00002B490000}"/>
    <cellStyle name="Normal 106 49" xfId="18731" xr:uid="{00000000-0005-0000-0000-00002C490000}"/>
    <cellStyle name="Normal 106 49 2" xfId="18732" xr:uid="{00000000-0005-0000-0000-00002D490000}"/>
    <cellStyle name="Normal 106 5" xfId="18733" xr:uid="{00000000-0005-0000-0000-00002E490000}"/>
    <cellStyle name="Normal 106 5 2" xfId="18734" xr:uid="{00000000-0005-0000-0000-00002F490000}"/>
    <cellStyle name="Normal 106 50" xfId="18735" xr:uid="{00000000-0005-0000-0000-000030490000}"/>
    <cellStyle name="Normal 106 50 2" xfId="18736" xr:uid="{00000000-0005-0000-0000-000031490000}"/>
    <cellStyle name="Normal 106 51" xfId="18737" xr:uid="{00000000-0005-0000-0000-000032490000}"/>
    <cellStyle name="Normal 106 51 2" xfId="18738" xr:uid="{00000000-0005-0000-0000-000033490000}"/>
    <cellStyle name="Normal 106 52" xfId="18739" xr:uid="{00000000-0005-0000-0000-000034490000}"/>
    <cellStyle name="Normal 106 52 2" xfId="18740" xr:uid="{00000000-0005-0000-0000-000035490000}"/>
    <cellStyle name="Normal 106 53" xfId="18741" xr:uid="{00000000-0005-0000-0000-000036490000}"/>
    <cellStyle name="Normal 106 53 2" xfId="18742" xr:uid="{00000000-0005-0000-0000-000037490000}"/>
    <cellStyle name="Normal 106 54" xfId="18743" xr:uid="{00000000-0005-0000-0000-000038490000}"/>
    <cellStyle name="Normal 106 54 2" xfId="18744" xr:uid="{00000000-0005-0000-0000-000039490000}"/>
    <cellStyle name="Normal 106 55" xfId="18745" xr:uid="{00000000-0005-0000-0000-00003A490000}"/>
    <cellStyle name="Normal 106 55 2" xfId="18746" xr:uid="{00000000-0005-0000-0000-00003B490000}"/>
    <cellStyle name="Normal 106 56" xfId="18747" xr:uid="{00000000-0005-0000-0000-00003C490000}"/>
    <cellStyle name="Normal 106 56 2" xfId="18748" xr:uid="{00000000-0005-0000-0000-00003D490000}"/>
    <cellStyle name="Normal 106 57" xfId="18749" xr:uid="{00000000-0005-0000-0000-00003E490000}"/>
    <cellStyle name="Normal 106 57 2" xfId="18750" xr:uid="{00000000-0005-0000-0000-00003F490000}"/>
    <cellStyle name="Normal 106 58" xfId="18751" xr:uid="{00000000-0005-0000-0000-000040490000}"/>
    <cellStyle name="Normal 106 58 2" xfId="18752" xr:uid="{00000000-0005-0000-0000-000041490000}"/>
    <cellStyle name="Normal 106 59" xfId="18753" xr:uid="{00000000-0005-0000-0000-000042490000}"/>
    <cellStyle name="Normal 106 59 2" xfId="18754" xr:uid="{00000000-0005-0000-0000-000043490000}"/>
    <cellStyle name="Normal 106 6" xfId="18755" xr:uid="{00000000-0005-0000-0000-000044490000}"/>
    <cellStyle name="Normal 106 6 2" xfId="18756" xr:uid="{00000000-0005-0000-0000-000045490000}"/>
    <cellStyle name="Normal 106 60" xfId="18757" xr:uid="{00000000-0005-0000-0000-000046490000}"/>
    <cellStyle name="Normal 106 60 2" xfId="18758" xr:uid="{00000000-0005-0000-0000-000047490000}"/>
    <cellStyle name="Normal 106 61" xfId="18759" xr:uid="{00000000-0005-0000-0000-000048490000}"/>
    <cellStyle name="Normal 106 61 2" xfId="18760" xr:uid="{00000000-0005-0000-0000-000049490000}"/>
    <cellStyle name="Normal 106 62" xfId="18761" xr:uid="{00000000-0005-0000-0000-00004A490000}"/>
    <cellStyle name="Normal 106 62 2" xfId="18762" xr:uid="{00000000-0005-0000-0000-00004B490000}"/>
    <cellStyle name="Normal 106 62 3" xfId="18763" xr:uid="{00000000-0005-0000-0000-00004C490000}"/>
    <cellStyle name="Normal 106 63" xfId="18764" xr:uid="{00000000-0005-0000-0000-00004D490000}"/>
    <cellStyle name="Normal 106 7" xfId="18765" xr:uid="{00000000-0005-0000-0000-00004E490000}"/>
    <cellStyle name="Normal 106 7 2" xfId="18766" xr:uid="{00000000-0005-0000-0000-00004F490000}"/>
    <cellStyle name="Normal 106 8" xfId="18767" xr:uid="{00000000-0005-0000-0000-000050490000}"/>
    <cellStyle name="Normal 106 8 2" xfId="18768" xr:uid="{00000000-0005-0000-0000-000051490000}"/>
    <cellStyle name="Normal 106 9" xfId="18769" xr:uid="{00000000-0005-0000-0000-000052490000}"/>
    <cellStyle name="Normal 106 9 2" xfId="18770" xr:uid="{00000000-0005-0000-0000-000053490000}"/>
    <cellStyle name="Normal 107" xfId="18771" xr:uid="{00000000-0005-0000-0000-000054490000}"/>
    <cellStyle name="Normal 107 10" xfId="18772" xr:uid="{00000000-0005-0000-0000-000055490000}"/>
    <cellStyle name="Normal 107 10 2" xfId="18773" xr:uid="{00000000-0005-0000-0000-000056490000}"/>
    <cellStyle name="Normal 107 11" xfId="18774" xr:uid="{00000000-0005-0000-0000-000057490000}"/>
    <cellStyle name="Normal 107 11 2" xfId="18775" xr:uid="{00000000-0005-0000-0000-000058490000}"/>
    <cellStyle name="Normal 107 12" xfId="18776" xr:uid="{00000000-0005-0000-0000-000059490000}"/>
    <cellStyle name="Normal 107 12 2" xfId="18777" xr:uid="{00000000-0005-0000-0000-00005A490000}"/>
    <cellStyle name="Normal 107 13" xfId="18778" xr:uid="{00000000-0005-0000-0000-00005B490000}"/>
    <cellStyle name="Normal 107 13 2" xfId="18779" xr:uid="{00000000-0005-0000-0000-00005C490000}"/>
    <cellStyle name="Normal 107 14" xfId="18780" xr:uid="{00000000-0005-0000-0000-00005D490000}"/>
    <cellStyle name="Normal 107 14 2" xfId="18781" xr:uid="{00000000-0005-0000-0000-00005E490000}"/>
    <cellStyle name="Normal 107 15" xfId="18782" xr:uid="{00000000-0005-0000-0000-00005F490000}"/>
    <cellStyle name="Normal 107 15 2" xfId="18783" xr:uid="{00000000-0005-0000-0000-000060490000}"/>
    <cellStyle name="Normal 107 16" xfId="18784" xr:uid="{00000000-0005-0000-0000-000061490000}"/>
    <cellStyle name="Normal 107 16 2" xfId="18785" xr:uid="{00000000-0005-0000-0000-000062490000}"/>
    <cellStyle name="Normal 107 17" xfId="18786" xr:uid="{00000000-0005-0000-0000-000063490000}"/>
    <cellStyle name="Normal 107 17 2" xfId="18787" xr:uid="{00000000-0005-0000-0000-000064490000}"/>
    <cellStyle name="Normal 107 18" xfId="18788" xr:uid="{00000000-0005-0000-0000-000065490000}"/>
    <cellStyle name="Normal 107 18 2" xfId="18789" xr:uid="{00000000-0005-0000-0000-000066490000}"/>
    <cellStyle name="Normal 107 19" xfId="18790" xr:uid="{00000000-0005-0000-0000-000067490000}"/>
    <cellStyle name="Normal 107 19 2" xfId="18791" xr:uid="{00000000-0005-0000-0000-000068490000}"/>
    <cellStyle name="Normal 107 2" xfId="18792" xr:uid="{00000000-0005-0000-0000-000069490000}"/>
    <cellStyle name="Normal 107 2 2" xfId="18793" xr:uid="{00000000-0005-0000-0000-00006A490000}"/>
    <cellStyle name="Normal 107 20" xfId="18794" xr:uid="{00000000-0005-0000-0000-00006B490000}"/>
    <cellStyle name="Normal 107 20 2" xfId="18795" xr:uid="{00000000-0005-0000-0000-00006C490000}"/>
    <cellStyle name="Normal 107 21" xfId="18796" xr:uid="{00000000-0005-0000-0000-00006D490000}"/>
    <cellStyle name="Normal 107 21 2" xfId="18797" xr:uid="{00000000-0005-0000-0000-00006E490000}"/>
    <cellStyle name="Normal 107 22" xfId="18798" xr:uid="{00000000-0005-0000-0000-00006F490000}"/>
    <cellStyle name="Normal 107 22 2" xfId="18799" xr:uid="{00000000-0005-0000-0000-000070490000}"/>
    <cellStyle name="Normal 107 23" xfId="18800" xr:uid="{00000000-0005-0000-0000-000071490000}"/>
    <cellStyle name="Normal 107 23 2" xfId="18801" xr:uid="{00000000-0005-0000-0000-000072490000}"/>
    <cellStyle name="Normal 107 24" xfId="18802" xr:uid="{00000000-0005-0000-0000-000073490000}"/>
    <cellStyle name="Normal 107 24 2" xfId="18803" xr:uid="{00000000-0005-0000-0000-000074490000}"/>
    <cellStyle name="Normal 107 25" xfId="18804" xr:uid="{00000000-0005-0000-0000-000075490000}"/>
    <cellStyle name="Normal 107 25 2" xfId="18805" xr:uid="{00000000-0005-0000-0000-000076490000}"/>
    <cellStyle name="Normal 107 26" xfId="18806" xr:uid="{00000000-0005-0000-0000-000077490000}"/>
    <cellStyle name="Normal 107 26 2" xfId="18807" xr:uid="{00000000-0005-0000-0000-000078490000}"/>
    <cellStyle name="Normal 107 27" xfId="18808" xr:uid="{00000000-0005-0000-0000-000079490000}"/>
    <cellStyle name="Normal 107 27 2" xfId="18809" xr:uid="{00000000-0005-0000-0000-00007A490000}"/>
    <cellStyle name="Normal 107 28" xfId="18810" xr:uid="{00000000-0005-0000-0000-00007B490000}"/>
    <cellStyle name="Normal 107 28 2" xfId="18811" xr:uid="{00000000-0005-0000-0000-00007C490000}"/>
    <cellStyle name="Normal 107 29" xfId="18812" xr:uid="{00000000-0005-0000-0000-00007D490000}"/>
    <cellStyle name="Normal 107 29 2" xfId="18813" xr:uid="{00000000-0005-0000-0000-00007E490000}"/>
    <cellStyle name="Normal 107 3" xfId="18814" xr:uid="{00000000-0005-0000-0000-00007F490000}"/>
    <cellStyle name="Normal 107 3 2" xfId="18815" xr:uid="{00000000-0005-0000-0000-000080490000}"/>
    <cellStyle name="Normal 107 30" xfId="18816" xr:uid="{00000000-0005-0000-0000-000081490000}"/>
    <cellStyle name="Normal 107 30 2" xfId="18817" xr:uid="{00000000-0005-0000-0000-000082490000}"/>
    <cellStyle name="Normal 107 31" xfId="18818" xr:uid="{00000000-0005-0000-0000-000083490000}"/>
    <cellStyle name="Normal 107 31 2" xfId="18819" xr:uid="{00000000-0005-0000-0000-000084490000}"/>
    <cellStyle name="Normal 107 32" xfId="18820" xr:uid="{00000000-0005-0000-0000-000085490000}"/>
    <cellStyle name="Normal 107 32 2" xfId="18821" xr:uid="{00000000-0005-0000-0000-000086490000}"/>
    <cellStyle name="Normal 107 33" xfId="18822" xr:uid="{00000000-0005-0000-0000-000087490000}"/>
    <cellStyle name="Normal 107 33 2" xfId="18823" xr:uid="{00000000-0005-0000-0000-000088490000}"/>
    <cellStyle name="Normal 107 34" xfId="18824" xr:uid="{00000000-0005-0000-0000-000089490000}"/>
    <cellStyle name="Normal 107 34 2" xfId="18825" xr:uid="{00000000-0005-0000-0000-00008A490000}"/>
    <cellStyle name="Normal 107 35" xfId="18826" xr:uid="{00000000-0005-0000-0000-00008B490000}"/>
    <cellStyle name="Normal 107 35 2" xfId="18827" xr:uid="{00000000-0005-0000-0000-00008C490000}"/>
    <cellStyle name="Normal 107 36" xfId="18828" xr:uid="{00000000-0005-0000-0000-00008D490000}"/>
    <cellStyle name="Normal 107 36 2" xfId="18829" xr:uid="{00000000-0005-0000-0000-00008E490000}"/>
    <cellStyle name="Normal 107 37" xfId="18830" xr:uid="{00000000-0005-0000-0000-00008F490000}"/>
    <cellStyle name="Normal 107 37 2" xfId="18831" xr:uid="{00000000-0005-0000-0000-000090490000}"/>
    <cellStyle name="Normal 107 38" xfId="18832" xr:uid="{00000000-0005-0000-0000-000091490000}"/>
    <cellStyle name="Normal 107 38 2" xfId="18833" xr:uid="{00000000-0005-0000-0000-000092490000}"/>
    <cellStyle name="Normal 107 39" xfId="18834" xr:uid="{00000000-0005-0000-0000-000093490000}"/>
    <cellStyle name="Normal 107 39 2" xfId="18835" xr:uid="{00000000-0005-0000-0000-000094490000}"/>
    <cellStyle name="Normal 107 4" xfId="18836" xr:uid="{00000000-0005-0000-0000-000095490000}"/>
    <cellStyle name="Normal 107 4 2" xfId="18837" xr:uid="{00000000-0005-0000-0000-000096490000}"/>
    <cellStyle name="Normal 107 40" xfId="18838" xr:uid="{00000000-0005-0000-0000-000097490000}"/>
    <cellStyle name="Normal 107 40 2" xfId="18839" xr:uid="{00000000-0005-0000-0000-000098490000}"/>
    <cellStyle name="Normal 107 41" xfId="18840" xr:uid="{00000000-0005-0000-0000-000099490000}"/>
    <cellStyle name="Normal 107 41 2" xfId="18841" xr:uid="{00000000-0005-0000-0000-00009A490000}"/>
    <cellStyle name="Normal 107 42" xfId="18842" xr:uid="{00000000-0005-0000-0000-00009B490000}"/>
    <cellStyle name="Normal 107 42 2" xfId="18843" xr:uid="{00000000-0005-0000-0000-00009C490000}"/>
    <cellStyle name="Normal 107 43" xfId="18844" xr:uid="{00000000-0005-0000-0000-00009D490000}"/>
    <cellStyle name="Normal 107 43 2" xfId="18845" xr:uid="{00000000-0005-0000-0000-00009E490000}"/>
    <cellStyle name="Normal 107 44" xfId="18846" xr:uid="{00000000-0005-0000-0000-00009F490000}"/>
    <cellStyle name="Normal 107 44 2" xfId="18847" xr:uid="{00000000-0005-0000-0000-0000A0490000}"/>
    <cellStyle name="Normal 107 45" xfId="18848" xr:uid="{00000000-0005-0000-0000-0000A1490000}"/>
    <cellStyle name="Normal 107 45 2" xfId="18849" xr:uid="{00000000-0005-0000-0000-0000A2490000}"/>
    <cellStyle name="Normal 107 46" xfId="18850" xr:uid="{00000000-0005-0000-0000-0000A3490000}"/>
    <cellStyle name="Normal 107 46 2" xfId="18851" xr:uid="{00000000-0005-0000-0000-0000A4490000}"/>
    <cellStyle name="Normal 107 47" xfId="18852" xr:uid="{00000000-0005-0000-0000-0000A5490000}"/>
    <cellStyle name="Normal 107 47 2" xfId="18853" xr:uid="{00000000-0005-0000-0000-0000A6490000}"/>
    <cellStyle name="Normal 107 48" xfId="18854" xr:uid="{00000000-0005-0000-0000-0000A7490000}"/>
    <cellStyle name="Normal 107 48 2" xfId="18855" xr:uid="{00000000-0005-0000-0000-0000A8490000}"/>
    <cellStyle name="Normal 107 49" xfId="18856" xr:uid="{00000000-0005-0000-0000-0000A9490000}"/>
    <cellStyle name="Normal 107 49 2" xfId="18857" xr:uid="{00000000-0005-0000-0000-0000AA490000}"/>
    <cellStyle name="Normal 107 5" xfId="18858" xr:uid="{00000000-0005-0000-0000-0000AB490000}"/>
    <cellStyle name="Normal 107 5 2" xfId="18859" xr:uid="{00000000-0005-0000-0000-0000AC490000}"/>
    <cellStyle name="Normal 107 50" xfId="18860" xr:uid="{00000000-0005-0000-0000-0000AD490000}"/>
    <cellStyle name="Normal 107 50 2" xfId="18861" xr:uid="{00000000-0005-0000-0000-0000AE490000}"/>
    <cellStyle name="Normal 107 51" xfId="18862" xr:uid="{00000000-0005-0000-0000-0000AF490000}"/>
    <cellStyle name="Normal 107 51 2" xfId="18863" xr:uid="{00000000-0005-0000-0000-0000B0490000}"/>
    <cellStyle name="Normal 107 52" xfId="18864" xr:uid="{00000000-0005-0000-0000-0000B1490000}"/>
    <cellStyle name="Normal 107 52 2" xfId="18865" xr:uid="{00000000-0005-0000-0000-0000B2490000}"/>
    <cellStyle name="Normal 107 53" xfId="18866" xr:uid="{00000000-0005-0000-0000-0000B3490000}"/>
    <cellStyle name="Normal 107 53 2" xfId="18867" xr:uid="{00000000-0005-0000-0000-0000B4490000}"/>
    <cellStyle name="Normal 107 54" xfId="18868" xr:uid="{00000000-0005-0000-0000-0000B5490000}"/>
    <cellStyle name="Normal 107 54 2" xfId="18869" xr:uid="{00000000-0005-0000-0000-0000B6490000}"/>
    <cellStyle name="Normal 107 55" xfId="18870" xr:uid="{00000000-0005-0000-0000-0000B7490000}"/>
    <cellStyle name="Normal 107 55 2" xfId="18871" xr:uid="{00000000-0005-0000-0000-0000B8490000}"/>
    <cellStyle name="Normal 107 56" xfId="18872" xr:uid="{00000000-0005-0000-0000-0000B9490000}"/>
    <cellStyle name="Normal 107 56 2" xfId="18873" xr:uid="{00000000-0005-0000-0000-0000BA490000}"/>
    <cellStyle name="Normal 107 57" xfId="18874" xr:uid="{00000000-0005-0000-0000-0000BB490000}"/>
    <cellStyle name="Normal 107 57 2" xfId="18875" xr:uid="{00000000-0005-0000-0000-0000BC490000}"/>
    <cellStyle name="Normal 107 58" xfId="18876" xr:uid="{00000000-0005-0000-0000-0000BD490000}"/>
    <cellStyle name="Normal 107 58 2" xfId="18877" xr:uid="{00000000-0005-0000-0000-0000BE490000}"/>
    <cellStyle name="Normal 107 59" xfId="18878" xr:uid="{00000000-0005-0000-0000-0000BF490000}"/>
    <cellStyle name="Normal 107 59 2" xfId="18879" xr:uid="{00000000-0005-0000-0000-0000C0490000}"/>
    <cellStyle name="Normal 107 6" xfId="18880" xr:uid="{00000000-0005-0000-0000-0000C1490000}"/>
    <cellStyle name="Normal 107 6 2" xfId="18881" xr:uid="{00000000-0005-0000-0000-0000C2490000}"/>
    <cellStyle name="Normal 107 60" xfId="18882" xr:uid="{00000000-0005-0000-0000-0000C3490000}"/>
    <cellStyle name="Normal 107 60 2" xfId="18883" xr:uid="{00000000-0005-0000-0000-0000C4490000}"/>
    <cellStyle name="Normal 107 61" xfId="18884" xr:uid="{00000000-0005-0000-0000-0000C5490000}"/>
    <cellStyle name="Normal 107 61 2" xfId="18885" xr:uid="{00000000-0005-0000-0000-0000C6490000}"/>
    <cellStyle name="Normal 107 62" xfId="18886" xr:uid="{00000000-0005-0000-0000-0000C7490000}"/>
    <cellStyle name="Normal 107 62 2" xfId="18887" xr:uid="{00000000-0005-0000-0000-0000C8490000}"/>
    <cellStyle name="Normal 107 62 3" xfId="18888" xr:uid="{00000000-0005-0000-0000-0000C9490000}"/>
    <cellStyle name="Normal 107 63" xfId="18889" xr:uid="{00000000-0005-0000-0000-0000CA490000}"/>
    <cellStyle name="Normal 107 7" xfId="18890" xr:uid="{00000000-0005-0000-0000-0000CB490000}"/>
    <cellStyle name="Normal 107 7 2" xfId="18891" xr:uid="{00000000-0005-0000-0000-0000CC490000}"/>
    <cellStyle name="Normal 107 8" xfId="18892" xr:uid="{00000000-0005-0000-0000-0000CD490000}"/>
    <cellStyle name="Normal 107 8 2" xfId="18893" xr:uid="{00000000-0005-0000-0000-0000CE490000}"/>
    <cellStyle name="Normal 107 9" xfId="18894" xr:uid="{00000000-0005-0000-0000-0000CF490000}"/>
    <cellStyle name="Normal 107 9 2" xfId="18895" xr:uid="{00000000-0005-0000-0000-0000D0490000}"/>
    <cellStyle name="Normal 108" xfId="18896" xr:uid="{00000000-0005-0000-0000-0000D1490000}"/>
    <cellStyle name="Normal 108 10" xfId="18897" xr:uid="{00000000-0005-0000-0000-0000D2490000}"/>
    <cellStyle name="Normal 108 10 2" xfId="18898" xr:uid="{00000000-0005-0000-0000-0000D3490000}"/>
    <cellStyle name="Normal 108 11" xfId="18899" xr:uid="{00000000-0005-0000-0000-0000D4490000}"/>
    <cellStyle name="Normal 108 11 2" xfId="18900" xr:uid="{00000000-0005-0000-0000-0000D5490000}"/>
    <cellStyle name="Normal 108 12" xfId="18901" xr:uid="{00000000-0005-0000-0000-0000D6490000}"/>
    <cellStyle name="Normal 108 12 2" xfId="18902" xr:uid="{00000000-0005-0000-0000-0000D7490000}"/>
    <cellStyle name="Normal 108 13" xfId="18903" xr:uid="{00000000-0005-0000-0000-0000D8490000}"/>
    <cellStyle name="Normal 108 13 2" xfId="18904" xr:uid="{00000000-0005-0000-0000-0000D9490000}"/>
    <cellStyle name="Normal 108 14" xfId="18905" xr:uid="{00000000-0005-0000-0000-0000DA490000}"/>
    <cellStyle name="Normal 108 14 2" xfId="18906" xr:uid="{00000000-0005-0000-0000-0000DB490000}"/>
    <cellStyle name="Normal 108 15" xfId="18907" xr:uid="{00000000-0005-0000-0000-0000DC490000}"/>
    <cellStyle name="Normal 108 15 2" xfId="18908" xr:uid="{00000000-0005-0000-0000-0000DD490000}"/>
    <cellStyle name="Normal 108 16" xfId="18909" xr:uid="{00000000-0005-0000-0000-0000DE490000}"/>
    <cellStyle name="Normal 108 16 2" xfId="18910" xr:uid="{00000000-0005-0000-0000-0000DF490000}"/>
    <cellStyle name="Normal 108 17" xfId="18911" xr:uid="{00000000-0005-0000-0000-0000E0490000}"/>
    <cellStyle name="Normal 108 17 2" xfId="18912" xr:uid="{00000000-0005-0000-0000-0000E1490000}"/>
    <cellStyle name="Normal 108 18" xfId="18913" xr:uid="{00000000-0005-0000-0000-0000E2490000}"/>
    <cellStyle name="Normal 108 18 2" xfId="18914" xr:uid="{00000000-0005-0000-0000-0000E3490000}"/>
    <cellStyle name="Normal 108 19" xfId="18915" xr:uid="{00000000-0005-0000-0000-0000E4490000}"/>
    <cellStyle name="Normal 108 19 2" xfId="18916" xr:uid="{00000000-0005-0000-0000-0000E5490000}"/>
    <cellStyle name="Normal 108 2" xfId="18917" xr:uid="{00000000-0005-0000-0000-0000E6490000}"/>
    <cellStyle name="Normal 108 2 2" xfId="18918" xr:uid="{00000000-0005-0000-0000-0000E7490000}"/>
    <cellStyle name="Normal 108 20" xfId="18919" xr:uid="{00000000-0005-0000-0000-0000E8490000}"/>
    <cellStyle name="Normal 108 20 2" xfId="18920" xr:uid="{00000000-0005-0000-0000-0000E9490000}"/>
    <cellStyle name="Normal 108 21" xfId="18921" xr:uid="{00000000-0005-0000-0000-0000EA490000}"/>
    <cellStyle name="Normal 108 21 2" xfId="18922" xr:uid="{00000000-0005-0000-0000-0000EB490000}"/>
    <cellStyle name="Normal 108 22" xfId="18923" xr:uid="{00000000-0005-0000-0000-0000EC490000}"/>
    <cellStyle name="Normal 108 22 2" xfId="18924" xr:uid="{00000000-0005-0000-0000-0000ED490000}"/>
    <cellStyle name="Normal 108 23" xfId="18925" xr:uid="{00000000-0005-0000-0000-0000EE490000}"/>
    <cellStyle name="Normal 108 23 2" xfId="18926" xr:uid="{00000000-0005-0000-0000-0000EF490000}"/>
    <cellStyle name="Normal 108 24" xfId="18927" xr:uid="{00000000-0005-0000-0000-0000F0490000}"/>
    <cellStyle name="Normal 108 24 2" xfId="18928" xr:uid="{00000000-0005-0000-0000-0000F1490000}"/>
    <cellStyle name="Normal 108 25" xfId="18929" xr:uid="{00000000-0005-0000-0000-0000F2490000}"/>
    <cellStyle name="Normal 108 25 2" xfId="18930" xr:uid="{00000000-0005-0000-0000-0000F3490000}"/>
    <cellStyle name="Normal 108 26" xfId="18931" xr:uid="{00000000-0005-0000-0000-0000F4490000}"/>
    <cellStyle name="Normal 108 26 2" xfId="18932" xr:uid="{00000000-0005-0000-0000-0000F5490000}"/>
    <cellStyle name="Normal 108 27" xfId="18933" xr:uid="{00000000-0005-0000-0000-0000F6490000}"/>
    <cellStyle name="Normal 108 27 2" xfId="18934" xr:uid="{00000000-0005-0000-0000-0000F7490000}"/>
    <cellStyle name="Normal 108 28" xfId="18935" xr:uid="{00000000-0005-0000-0000-0000F8490000}"/>
    <cellStyle name="Normal 108 28 2" xfId="18936" xr:uid="{00000000-0005-0000-0000-0000F9490000}"/>
    <cellStyle name="Normal 108 29" xfId="18937" xr:uid="{00000000-0005-0000-0000-0000FA490000}"/>
    <cellStyle name="Normal 108 29 2" xfId="18938" xr:uid="{00000000-0005-0000-0000-0000FB490000}"/>
    <cellStyle name="Normal 108 3" xfId="18939" xr:uid="{00000000-0005-0000-0000-0000FC490000}"/>
    <cellStyle name="Normal 108 3 2" xfId="18940" xr:uid="{00000000-0005-0000-0000-0000FD490000}"/>
    <cellStyle name="Normal 108 30" xfId="18941" xr:uid="{00000000-0005-0000-0000-0000FE490000}"/>
    <cellStyle name="Normal 108 30 2" xfId="18942" xr:uid="{00000000-0005-0000-0000-0000FF490000}"/>
    <cellStyle name="Normal 108 31" xfId="18943" xr:uid="{00000000-0005-0000-0000-0000004A0000}"/>
    <cellStyle name="Normal 108 31 2" xfId="18944" xr:uid="{00000000-0005-0000-0000-0000014A0000}"/>
    <cellStyle name="Normal 108 32" xfId="18945" xr:uid="{00000000-0005-0000-0000-0000024A0000}"/>
    <cellStyle name="Normal 108 32 2" xfId="18946" xr:uid="{00000000-0005-0000-0000-0000034A0000}"/>
    <cellStyle name="Normal 108 33" xfId="18947" xr:uid="{00000000-0005-0000-0000-0000044A0000}"/>
    <cellStyle name="Normal 108 33 2" xfId="18948" xr:uid="{00000000-0005-0000-0000-0000054A0000}"/>
    <cellStyle name="Normal 108 34" xfId="18949" xr:uid="{00000000-0005-0000-0000-0000064A0000}"/>
    <cellStyle name="Normal 108 34 2" xfId="18950" xr:uid="{00000000-0005-0000-0000-0000074A0000}"/>
    <cellStyle name="Normal 108 35" xfId="18951" xr:uid="{00000000-0005-0000-0000-0000084A0000}"/>
    <cellStyle name="Normal 108 35 2" xfId="18952" xr:uid="{00000000-0005-0000-0000-0000094A0000}"/>
    <cellStyle name="Normal 108 36" xfId="18953" xr:uid="{00000000-0005-0000-0000-00000A4A0000}"/>
    <cellStyle name="Normal 108 36 2" xfId="18954" xr:uid="{00000000-0005-0000-0000-00000B4A0000}"/>
    <cellStyle name="Normal 108 37" xfId="18955" xr:uid="{00000000-0005-0000-0000-00000C4A0000}"/>
    <cellStyle name="Normal 108 37 2" xfId="18956" xr:uid="{00000000-0005-0000-0000-00000D4A0000}"/>
    <cellStyle name="Normal 108 38" xfId="18957" xr:uid="{00000000-0005-0000-0000-00000E4A0000}"/>
    <cellStyle name="Normal 108 38 2" xfId="18958" xr:uid="{00000000-0005-0000-0000-00000F4A0000}"/>
    <cellStyle name="Normal 108 39" xfId="18959" xr:uid="{00000000-0005-0000-0000-0000104A0000}"/>
    <cellStyle name="Normal 108 39 2" xfId="18960" xr:uid="{00000000-0005-0000-0000-0000114A0000}"/>
    <cellStyle name="Normal 108 4" xfId="18961" xr:uid="{00000000-0005-0000-0000-0000124A0000}"/>
    <cellStyle name="Normal 108 4 2" xfId="18962" xr:uid="{00000000-0005-0000-0000-0000134A0000}"/>
    <cellStyle name="Normal 108 40" xfId="18963" xr:uid="{00000000-0005-0000-0000-0000144A0000}"/>
    <cellStyle name="Normal 108 40 2" xfId="18964" xr:uid="{00000000-0005-0000-0000-0000154A0000}"/>
    <cellStyle name="Normal 108 41" xfId="18965" xr:uid="{00000000-0005-0000-0000-0000164A0000}"/>
    <cellStyle name="Normal 108 41 2" xfId="18966" xr:uid="{00000000-0005-0000-0000-0000174A0000}"/>
    <cellStyle name="Normal 108 42" xfId="18967" xr:uid="{00000000-0005-0000-0000-0000184A0000}"/>
    <cellStyle name="Normal 108 42 2" xfId="18968" xr:uid="{00000000-0005-0000-0000-0000194A0000}"/>
    <cellStyle name="Normal 108 43" xfId="18969" xr:uid="{00000000-0005-0000-0000-00001A4A0000}"/>
    <cellStyle name="Normal 108 43 2" xfId="18970" xr:uid="{00000000-0005-0000-0000-00001B4A0000}"/>
    <cellStyle name="Normal 108 44" xfId="18971" xr:uid="{00000000-0005-0000-0000-00001C4A0000}"/>
    <cellStyle name="Normal 108 44 2" xfId="18972" xr:uid="{00000000-0005-0000-0000-00001D4A0000}"/>
    <cellStyle name="Normal 108 45" xfId="18973" xr:uid="{00000000-0005-0000-0000-00001E4A0000}"/>
    <cellStyle name="Normal 108 45 2" xfId="18974" xr:uid="{00000000-0005-0000-0000-00001F4A0000}"/>
    <cellStyle name="Normal 108 46" xfId="18975" xr:uid="{00000000-0005-0000-0000-0000204A0000}"/>
    <cellStyle name="Normal 108 46 2" xfId="18976" xr:uid="{00000000-0005-0000-0000-0000214A0000}"/>
    <cellStyle name="Normal 108 47" xfId="18977" xr:uid="{00000000-0005-0000-0000-0000224A0000}"/>
    <cellStyle name="Normal 108 47 2" xfId="18978" xr:uid="{00000000-0005-0000-0000-0000234A0000}"/>
    <cellStyle name="Normal 108 48" xfId="18979" xr:uid="{00000000-0005-0000-0000-0000244A0000}"/>
    <cellStyle name="Normal 108 48 2" xfId="18980" xr:uid="{00000000-0005-0000-0000-0000254A0000}"/>
    <cellStyle name="Normal 108 49" xfId="18981" xr:uid="{00000000-0005-0000-0000-0000264A0000}"/>
    <cellStyle name="Normal 108 49 2" xfId="18982" xr:uid="{00000000-0005-0000-0000-0000274A0000}"/>
    <cellStyle name="Normal 108 5" xfId="18983" xr:uid="{00000000-0005-0000-0000-0000284A0000}"/>
    <cellStyle name="Normal 108 5 2" xfId="18984" xr:uid="{00000000-0005-0000-0000-0000294A0000}"/>
    <cellStyle name="Normal 108 50" xfId="18985" xr:uid="{00000000-0005-0000-0000-00002A4A0000}"/>
    <cellStyle name="Normal 108 50 2" xfId="18986" xr:uid="{00000000-0005-0000-0000-00002B4A0000}"/>
    <cellStyle name="Normal 108 51" xfId="18987" xr:uid="{00000000-0005-0000-0000-00002C4A0000}"/>
    <cellStyle name="Normal 108 51 2" xfId="18988" xr:uid="{00000000-0005-0000-0000-00002D4A0000}"/>
    <cellStyle name="Normal 108 52" xfId="18989" xr:uid="{00000000-0005-0000-0000-00002E4A0000}"/>
    <cellStyle name="Normal 108 52 2" xfId="18990" xr:uid="{00000000-0005-0000-0000-00002F4A0000}"/>
    <cellStyle name="Normal 108 53" xfId="18991" xr:uid="{00000000-0005-0000-0000-0000304A0000}"/>
    <cellStyle name="Normal 108 53 2" xfId="18992" xr:uid="{00000000-0005-0000-0000-0000314A0000}"/>
    <cellStyle name="Normal 108 54" xfId="18993" xr:uid="{00000000-0005-0000-0000-0000324A0000}"/>
    <cellStyle name="Normal 108 54 2" xfId="18994" xr:uid="{00000000-0005-0000-0000-0000334A0000}"/>
    <cellStyle name="Normal 108 55" xfId="18995" xr:uid="{00000000-0005-0000-0000-0000344A0000}"/>
    <cellStyle name="Normal 108 55 2" xfId="18996" xr:uid="{00000000-0005-0000-0000-0000354A0000}"/>
    <cellStyle name="Normal 108 56" xfId="18997" xr:uid="{00000000-0005-0000-0000-0000364A0000}"/>
    <cellStyle name="Normal 108 56 2" xfId="18998" xr:uid="{00000000-0005-0000-0000-0000374A0000}"/>
    <cellStyle name="Normal 108 57" xfId="18999" xr:uid="{00000000-0005-0000-0000-0000384A0000}"/>
    <cellStyle name="Normal 108 57 2" xfId="19000" xr:uid="{00000000-0005-0000-0000-0000394A0000}"/>
    <cellStyle name="Normal 108 58" xfId="19001" xr:uid="{00000000-0005-0000-0000-00003A4A0000}"/>
    <cellStyle name="Normal 108 58 2" xfId="19002" xr:uid="{00000000-0005-0000-0000-00003B4A0000}"/>
    <cellStyle name="Normal 108 59" xfId="19003" xr:uid="{00000000-0005-0000-0000-00003C4A0000}"/>
    <cellStyle name="Normal 108 59 2" xfId="19004" xr:uid="{00000000-0005-0000-0000-00003D4A0000}"/>
    <cellStyle name="Normal 108 6" xfId="19005" xr:uid="{00000000-0005-0000-0000-00003E4A0000}"/>
    <cellStyle name="Normal 108 6 2" xfId="19006" xr:uid="{00000000-0005-0000-0000-00003F4A0000}"/>
    <cellStyle name="Normal 108 60" xfId="19007" xr:uid="{00000000-0005-0000-0000-0000404A0000}"/>
    <cellStyle name="Normal 108 60 2" xfId="19008" xr:uid="{00000000-0005-0000-0000-0000414A0000}"/>
    <cellStyle name="Normal 108 61" xfId="19009" xr:uid="{00000000-0005-0000-0000-0000424A0000}"/>
    <cellStyle name="Normal 108 61 2" xfId="19010" xr:uid="{00000000-0005-0000-0000-0000434A0000}"/>
    <cellStyle name="Normal 108 62" xfId="19011" xr:uid="{00000000-0005-0000-0000-0000444A0000}"/>
    <cellStyle name="Normal 108 62 2" xfId="19012" xr:uid="{00000000-0005-0000-0000-0000454A0000}"/>
    <cellStyle name="Normal 108 62 3" xfId="19013" xr:uid="{00000000-0005-0000-0000-0000464A0000}"/>
    <cellStyle name="Normal 108 63" xfId="19014" xr:uid="{00000000-0005-0000-0000-0000474A0000}"/>
    <cellStyle name="Normal 108 7" xfId="19015" xr:uid="{00000000-0005-0000-0000-0000484A0000}"/>
    <cellStyle name="Normal 108 7 2" xfId="19016" xr:uid="{00000000-0005-0000-0000-0000494A0000}"/>
    <cellStyle name="Normal 108 8" xfId="19017" xr:uid="{00000000-0005-0000-0000-00004A4A0000}"/>
    <cellStyle name="Normal 108 8 2" xfId="19018" xr:uid="{00000000-0005-0000-0000-00004B4A0000}"/>
    <cellStyle name="Normal 108 9" xfId="19019" xr:uid="{00000000-0005-0000-0000-00004C4A0000}"/>
    <cellStyle name="Normal 108 9 2" xfId="19020" xr:uid="{00000000-0005-0000-0000-00004D4A0000}"/>
    <cellStyle name="Normal 109" xfId="19021" xr:uid="{00000000-0005-0000-0000-00004E4A0000}"/>
    <cellStyle name="Normal 109 10" xfId="19022" xr:uid="{00000000-0005-0000-0000-00004F4A0000}"/>
    <cellStyle name="Normal 109 10 2" xfId="19023" xr:uid="{00000000-0005-0000-0000-0000504A0000}"/>
    <cellStyle name="Normal 109 11" xfId="19024" xr:uid="{00000000-0005-0000-0000-0000514A0000}"/>
    <cellStyle name="Normal 109 11 2" xfId="19025" xr:uid="{00000000-0005-0000-0000-0000524A0000}"/>
    <cellStyle name="Normal 109 12" xfId="19026" xr:uid="{00000000-0005-0000-0000-0000534A0000}"/>
    <cellStyle name="Normal 109 12 2" xfId="19027" xr:uid="{00000000-0005-0000-0000-0000544A0000}"/>
    <cellStyle name="Normal 109 13" xfId="19028" xr:uid="{00000000-0005-0000-0000-0000554A0000}"/>
    <cellStyle name="Normal 109 13 2" xfId="19029" xr:uid="{00000000-0005-0000-0000-0000564A0000}"/>
    <cellStyle name="Normal 109 14" xfId="19030" xr:uid="{00000000-0005-0000-0000-0000574A0000}"/>
    <cellStyle name="Normal 109 14 2" xfId="19031" xr:uid="{00000000-0005-0000-0000-0000584A0000}"/>
    <cellStyle name="Normal 109 15" xfId="19032" xr:uid="{00000000-0005-0000-0000-0000594A0000}"/>
    <cellStyle name="Normal 109 15 2" xfId="19033" xr:uid="{00000000-0005-0000-0000-00005A4A0000}"/>
    <cellStyle name="Normal 109 16" xfId="19034" xr:uid="{00000000-0005-0000-0000-00005B4A0000}"/>
    <cellStyle name="Normal 109 16 2" xfId="19035" xr:uid="{00000000-0005-0000-0000-00005C4A0000}"/>
    <cellStyle name="Normal 109 17" xfId="19036" xr:uid="{00000000-0005-0000-0000-00005D4A0000}"/>
    <cellStyle name="Normal 109 17 2" xfId="19037" xr:uid="{00000000-0005-0000-0000-00005E4A0000}"/>
    <cellStyle name="Normal 109 18" xfId="19038" xr:uid="{00000000-0005-0000-0000-00005F4A0000}"/>
    <cellStyle name="Normal 109 18 2" xfId="19039" xr:uid="{00000000-0005-0000-0000-0000604A0000}"/>
    <cellStyle name="Normal 109 19" xfId="19040" xr:uid="{00000000-0005-0000-0000-0000614A0000}"/>
    <cellStyle name="Normal 109 19 2" xfId="19041" xr:uid="{00000000-0005-0000-0000-0000624A0000}"/>
    <cellStyle name="Normal 109 2" xfId="19042" xr:uid="{00000000-0005-0000-0000-0000634A0000}"/>
    <cellStyle name="Normal 109 2 2" xfId="19043" xr:uid="{00000000-0005-0000-0000-0000644A0000}"/>
    <cellStyle name="Normal 109 20" xfId="19044" xr:uid="{00000000-0005-0000-0000-0000654A0000}"/>
    <cellStyle name="Normal 109 20 2" xfId="19045" xr:uid="{00000000-0005-0000-0000-0000664A0000}"/>
    <cellStyle name="Normal 109 21" xfId="19046" xr:uid="{00000000-0005-0000-0000-0000674A0000}"/>
    <cellStyle name="Normal 109 21 2" xfId="19047" xr:uid="{00000000-0005-0000-0000-0000684A0000}"/>
    <cellStyle name="Normal 109 22" xfId="19048" xr:uid="{00000000-0005-0000-0000-0000694A0000}"/>
    <cellStyle name="Normal 109 22 2" xfId="19049" xr:uid="{00000000-0005-0000-0000-00006A4A0000}"/>
    <cellStyle name="Normal 109 23" xfId="19050" xr:uid="{00000000-0005-0000-0000-00006B4A0000}"/>
    <cellStyle name="Normal 109 23 2" xfId="19051" xr:uid="{00000000-0005-0000-0000-00006C4A0000}"/>
    <cellStyle name="Normal 109 24" xfId="19052" xr:uid="{00000000-0005-0000-0000-00006D4A0000}"/>
    <cellStyle name="Normal 109 24 2" xfId="19053" xr:uid="{00000000-0005-0000-0000-00006E4A0000}"/>
    <cellStyle name="Normal 109 25" xfId="19054" xr:uid="{00000000-0005-0000-0000-00006F4A0000}"/>
    <cellStyle name="Normal 109 25 2" xfId="19055" xr:uid="{00000000-0005-0000-0000-0000704A0000}"/>
    <cellStyle name="Normal 109 26" xfId="19056" xr:uid="{00000000-0005-0000-0000-0000714A0000}"/>
    <cellStyle name="Normal 109 26 2" xfId="19057" xr:uid="{00000000-0005-0000-0000-0000724A0000}"/>
    <cellStyle name="Normal 109 27" xfId="19058" xr:uid="{00000000-0005-0000-0000-0000734A0000}"/>
    <cellStyle name="Normal 109 27 2" xfId="19059" xr:uid="{00000000-0005-0000-0000-0000744A0000}"/>
    <cellStyle name="Normal 109 28" xfId="19060" xr:uid="{00000000-0005-0000-0000-0000754A0000}"/>
    <cellStyle name="Normal 109 28 2" xfId="19061" xr:uid="{00000000-0005-0000-0000-0000764A0000}"/>
    <cellStyle name="Normal 109 29" xfId="19062" xr:uid="{00000000-0005-0000-0000-0000774A0000}"/>
    <cellStyle name="Normal 109 29 2" xfId="19063" xr:uid="{00000000-0005-0000-0000-0000784A0000}"/>
    <cellStyle name="Normal 109 3" xfId="19064" xr:uid="{00000000-0005-0000-0000-0000794A0000}"/>
    <cellStyle name="Normal 109 3 2" xfId="19065" xr:uid="{00000000-0005-0000-0000-00007A4A0000}"/>
    <cellStyle name="Normal 109 30" xfId="19066" xr:uid="{00000000-0005-0000-0000-00007B4A0000}"/>
    <cellStyle name="Normal 109 30 2" xfId="19067" xr:uid="{00000000-0005-0000-0000-00007C4A0000}"/>
    <cellStyle name="Normal 109 31" xfId="19068" xr:uid="{00000000-0005-0000-0000-00007D4A0000}"/>
    <cellStyle name="Normal 109 31 2" xfId="19069" xr:uid="{00000000-0005-0000-0000-00007E4A0000}"/>
    <cellStyle name="Normal 109 32" xfId="19070" xr:uid="{00000000-0005-0000-0000-00007F4A0000}"/>
    <cellStyle name="Normal 109 32 2" xfId="19071" xr:uid="{00000000-0005-0000-0000-0000804A0000}"/>
    <cellStyle name="Normal 109 33" xfId="19072" xr:uid="{00000000-0005-0000-0000-0000814A0000}"/>
    <cellStyle name="Normal 109 33 2" xfId="19073" xr:uid="{00000000-0005-0000-0000-0000824A0000}"/>
    <cellStyle name="Normal 109 34" xfId="19074" xr:uid="{00000000-0005-0000-0000-0000834A0000}"/>
    <cellStyle name="Normal 109 34 2" xfId="19075" xr:uid="{00000000-0005-0000-0000-0000844A0000}"/>
    <cellStyle name="Normal 109 35" xfId="19076" xr:uid="{00000000-0005-0000-0000-0000854A0000}"/>
    <cellStyle name="Normal 109 35 2" xfId="19077" xr:uid="{00000000-0005-0000-0000-0000864A0000}"/>
    <cellStyle name="Normal 109 36" xfId="19078" xr:uid="{00000000-0005-0000-0000-0000874A0000}"/>
    <cellStyle name="Normal 109 36 2" xfId="19079" xr:uid="{00000000-0005-0000-0000-0000884A0000}"/>
    <cellStyle name="Normal 109 37" xfId="19080" xr:uid="{00000000-0005-0000-0000-0000894A0000}"/>
    <cellStyle name="Normal 109 37 2" xfId="19081" xr:uid="{00000000-0005-0000-0000-00008A4A0000}"/>
    <cellStyle name="Normal 109 38" xfId="19082" xr:uid="{00000000-0005-0000-0000-00008B4A0000}"/>
    <cellStyle name="Normal 109 38 2" xfId="19083" xr:uid="{00000000-0005-0000-0000-00008C4A0000}"/>
    <cellStyle name="Normal 109 39" xfId="19084" xr:uid="{00000000-0005-0000-0000-00008D4A0000}"/>
    <cellStyle name="Normal 109 39 2" xfId="19085" xr:uid="{00000000-0005-0000-0000-00008E4A0000}"/>
    <cellStyle name="Normal 109 4" xfId="19086" xr:uid="{00000000-0005-0000-0000-00008F4A0000}"/>
    <cellStyle name="Normal 109 4 2" xfId="19087" xr:uid="{00000000-0005-0000-0000-0000904A0000}"/>
    <cellStyle name="Normal 109 40" xfId="19088" xr:uid="{00000000-0005-0000-0000-0000914A0000}"/>
    <cellStyle name="Normal 109 40 2" xfId="19089" xr:uid="{00000000-0005-0000-0000-0000924A0000}"/>
    <cellStyle name="Normal 109 41" xfId="19090" xr:uid="{00000000-0005-0000-0000-0000934A0000}"/>
    <cellStyle name="Normal 109 41 2" xfId="19091" xr:uid="{00000000-0005-0000-0000-0000944A0000}"/>
    <cellStyle name="Normal 109 42" xfId="19092" xr:uid="{00000000-0005-0000-0000-0000954A0000}"/>
    <cellStyle name="Normal 109 42 2" xfId="19093" xr:uid="{00000000-0005-0000-0000-0000964A0000}"/>
    <cellStyle name="Normal 109 43" xfId="19094" xr:uid="{00000000-0005-0000-0000-0000974A0000}"/>
    <cellStyle name="Normal 109 43 2" xfId="19095" xr:uid="{00000000-0005-0000-0000-0000984A0000}"/>
    <cellStyle name="Normal 109 44" xfId="19096" xr:uid="{00000000-0005-0000-0000-0000994A0000}"/>
    <cellStyle name="Normal 109 44 2" xfId="19097" xr:uid="{00000000-0005-0000-0000-00009A4A0000}"/>
    <cellStyle name="Normal 109 45" xfId="19098" xr:uid="{00000000-0005-0000-0000-00009B4A0000}"/>
    <cellStyle name="Normal 109 45 2" xfId="19099" xr:uid="{00000000-0005-0000-0000-00009C4A0000}"/>
    <cellStyle name="Normal 109 46" xfId="19100" xr:uid="{00000000-0005-0000-0000-00009D4A0000}"/>
    <cellStyle name="Normal 109 46 2" xfId="19101" xr:uid="{00000000-0005-0000-0000-00009E4A0000}"/>
    <cellStyle name="Normal 109 47" xfId="19102" xr:uid="{00000000-0005-0000-0000-00009F4A0000}"/>
    <cellStyle name="Normal 109 47 2" xfId="19103" xr:uid="{00000000-0005-0000-0000-0000A04A0000}"/>
    <cellStyle name="Normal 109 48" xfId="19104" xr:uid="{00000000-0005-0000-0000-0000A14A0000}"/>
    <cellStyle name="Normal 109 48 2" xfId="19105" xr:uid="{00000000-0005-0000-0000-0000A24A0000}"/>
    <cellStyle name="Normal 109 49" xfId="19106" xr:uid="{00000000-0005-0000-0000-0000A34A0000}"/>
    <cellStyle name="Normal 109 49 2" xfId="19107" xr:uid="{00000000-0005-0000-0000-0000A44A0000}"/>
    <cellStyle name="Normal 109 5" xfId="19108" xr:uid="{00000000-0005-0000-0000-0000A54A0000}"/>
    <cellStyle name="Normal 109 5 2" xfId="19109" xr:uid="{00000000-0005-0000-0000-0000A64A0000}"/>
    <cellStyle name="Normal 109 50" xfId="19110" xr:uid="{00000000-0005-0000-0000-0000A74A0000}"/>
    <cellStyle name="Normal 109 50 2" xfId="19111" xr:uid="{00000000-0005-0000-0000-0000A84A0000}"/>
    <cellStyle name="Normal 109 51" xfId="19112" xr:uid="{00000000-0005-0000-0000-0000A94A0000}"/>
    <cellStyle name="Normal 109 51 2" xfId="19113" xr:uid="{00000000-0005-0000-0000-0000AA4A0000}"/>
    <cellStyle name="Normal 109 52" xfId="19114" xr:uid="{00000000-0005-0000-0000-0000AB4A0000}"/>
    <cellStyle name="Normal 109 52 2" xfId="19115" xr:uid="{00000000-0005-0000-0000-0000AC4A0000}"/>
    <cellStyle name="Normal 109 53" xfId="19116" xr:uid="{00000000-0005-0000-0000-0000AD4A0000}"/>
    <cellStyle name="Normal 109 53 2" xfId="19117" xr:uid="{00000000-0005-0000-0000-0000AE4A0000}"/>
    <cellStyle name="Normal 109 54" xfId="19118" xr:uid="{00000000-0005-0000-0000-0000AF4A0000}"/>
    <cellStyle name="Normal 109 54 2" xfId="19119" xr:uid="{00000000-0005-0000-0000-0000B04A0000}"/>
    <cellStyle name="Normal 109 55" xfId="19120" xr:uid="{00000000-0005-0000-0000-0000B14A0000}"/>
    <cellStyle name="Normal 109 55 2" xfId="19121" xr:uid="{00000000-0005-0000-0000-0000B24A0000}"/>
    <cellStyle name="Normal 109 56" xfId="19122" xr:uid="{00000000-0005-0000-0000-0000B34A0000}"/>
    <cellStyle name="Normal 109 56 2" xfId="19123" xr:uid="{00000000-0005-0000-0000-0000B44A0000}"/>
    <cellStyle name="Normal 109 57" xfId="19124" xr:uid="{00000000-0005-0000-0000-0000B54A0000}"/>
    <cellStyle name="Normal 109 57 2" xfId="19125" xr:uid="{00000000-0005-0000-0000-0000B64A0000}"/>
    <cellStyle name="Normal 109 58" xfId="19126" xr:uid="{00000000-0005-0000-0000-0000B74A0000}"/>
    <cellStyle name="Normal 109 58 2" xfId="19127" xr:uid="{00000000-0005-0000-0000-0000B84A0000}"/>
    <cellStyle name="Normal 109 59" xfId="19128" xr:uid="{00000000-0005-0000-0000-0000B94A0000}"/>
    <cellStyle name="Normal 109 59 2" xfId="19129" xr:uid="{00000000-0005-0000-0000-0000BA4A0000}"/>
    <cellStyle name="Normal 109 6" xfId="19130" xr:uid="{00000000-0005-0000-0000-0000BB4A0000}"/>
    <cellStyle name="Normal 109 6 2" xfId="19131" xr:uid="{00000000-0005-0000-0000-0000BC4A0000}"/>
    <cellStyle name="Normal 109 60" xfId="19132" xr:uid="{00000000-0005-0000-0000-0000BD4A0000}"/>
    <cellStyle name="Normal 109 60 2" xfId="19133" xr:uid="{00000000-0005-0000-0000-0000BE4A0000}"/>
    <cellStyle name="Normal 109 61" xfId="19134" xr:uid="{00000000-0005-0000-0000-0000BF4A0000}"/>
    <cellStyle name="Normal 109 61 2" xfId="19135" xr:uid="{00000000-0005-0000-0000-0000C04A0000}"/>
    <cellStyle name="Normal 109 62" xfId="19136" xr:uid="{00000000-0005-0000-0000-0000C14A0000}"/>
    <cellStyle name="Normal 109 62 2" xfId="19137" xr:uid="{00000000-0005-0000-0000-0000C24A0000}"/>
    <cellStyle name="Normal 109 62 3" xfId="19138" xr:uid="{00000000-0005-0000-0000-0000C34A0000}"/>
    <cellStyle name="Normal 109 63" xfId="19139" xr:uid="{00000000-0005-0000-0000-0000C44A0000}"/>
    <cellStyle name="Normal 109 7" xfId="19140" xr:uid="{00000000-0005-0000-0000-0000C54A0000}"/>
    <cellStyle name="Normal 109 7 2" xfId="19141" xr:uid="{00000000-0005-0000-0000-0000C64A0000}"/>
    <cellStyle name="Normal 109 8" xfId="19142" xr:uid="{00000000-0005-0000-0000-0000C74A0000}"/>
    <cellStyle name="Normal 109 8 2" xfId="19143" xr:uid="{00000000-0005-0000-0000-0000C84A0000}"/>
    <cellStyle name="Normal 109 9" xfId="19144" xr:uid="{00000000-0005-0000-0000-0000C94A0000}"/>
    <cellStyle name="Normal 109 9 2" xfId="19145" xr:uid="{00000000-0005-0000-0000-0000CA4A0000}"/>
    <cellStyle name="Normal 11" xfId="19146" xr:uid="{00000000-0005-0000-0000-0000CB4A0000}"/>
    <cellStyle name="Normal 11 10" xfId="19147" xr:uid="{00000000-0005-0000-0000-0000CC4A0000}"/>
    <cellStyle name="Normal 11 10 2" xfId="19148" xr:uid="{00000000-0005-0000-0000-0000CD4A0000}"/>
    <cellStyle name="Normal 11 11" xfId="19149" xr:uid="{00000000-0005-0000-0000-0000CE4A0000}"/>
    <cellStyle name="Normal 11 11 2" xfId="19150" xr:uid="{00000000-0005-0000-0000-0000CF4A0000}"/>
    <cellStyle name="Normal 11 12" xfId="19151" xr:uid="{00000000-0005-0000-0000-0000D04A0000}"/>
    <cellStyle name="Normal 11 12 2" xfId="19152" xr:uid="{00000000-0005-0000-0000-0000D14A0000}"/>
    <cellStyle name="Normal 11 13" xfId="19153" xr:uid="{00000000-0005-0000-0000-0000D24A0000}"/>
    <cellStyle name="Normal 11 13 2" xfId="19154" xr:uid="{00000000-0005-0000-0000-0000D34A0000}"/>
    <cellStyle name="Normal 11 14" xfId="19155" xr:uid="{00000000-0005-0000-0000-0000D44A0000}"/>
    <cellStyle name="Normal 11 14 2" xfId="19156" xr:uid="{00000000-0005-0000-0000-0000D54A0000}"/>
    <cellStyle name="Normal 11 15" xfId="19157" xr:uid="{00000000-0005-0000-0000-0000D64A0000}"/>
    <cellStyle name="Normal 11 15 2" xfId="19158" xr:uid="{00000000-0005-0000-0000-0000D74A0000}"/>
    <cellStyle name="Normal 11 16" xfId="19159" xr:uid="{00000000-0005-0000-0000-0000D84A0000}"/>
    <cellStyle name="Normal 11 16 2" xfId="19160" xr:uid="{00000000-0005-0000-0000-0000D94A0000}"/>
    <cellStyle name="Normal 11 17" xfId="19161" xr:uid="{00000000-0005-0000-0000-0000DA4A0000}"/>
    <cellStyle name="Normal 11 17 2" xfId="19162" xr:uid="{00000000-0005-0000-0000-0000DB4A0000}"/>
    <cellStyle name="Normal 11 18" xfId="19163" xr:uid="{00000000-0005-0000-0000-0000DC4A0000}"/>
    <cellStyle name="Normal 11 18 2" xfId="19164" xr:uid="{00000000-0005-0000-0000-0000DD4A0000}"/>
    <cellStyle name="Normal 11 19" xfId="19165" xr:uid="{00000000-0005-0000-0000-0000DE4A0000}"/>
    <cellStyle name="Normal 11 19 2" xfId="19166" xr:uid="{00000000-0005-0000-0000-0000DF4A0000}"/>
    <cellStyle name="Normal 11 2" xfId="19167" xr:uid="{00000000-0005-0000-0000-0000E04A0000}"/>
    <cellStyle name="Normal 11 2 2" xfId="19168" xr:uid="{00000000-0005-0000-0000-0000E14A0000}"/>
    <cellStyle name="Normal 11 2 2 2" xfId="19169" xr:uid="{00000000-0005-0000-0000-0000E24A0000}"/>
    <cellStyle name="Normal 11 2 2 3" xfId="19170" xr:uid="{00000000-0005-0000-0000-0000E34A0000}"/>
    <cellStyle name="Normal 11 2 3" xfId="19171" xr:uid="{00000000-0005-0000-0000-0000E44A0000}"/>
    <cellStyle name="Normal 11 2 4" xfId="19172" xr:uid="{00000000-0005-0000-0000-0000E54A0000}"/>
    <cellStyle name="Normal 11 20" xfId="19173" xr:uid="{00000000-0005-0000-0000-0000E64A0000}"/>
    <cellStyle name="Normal 11 20 2" xfId="19174" xr:uid="{00000000-0005-0000-0000-0000E74A0000}"/>
    <cellStyle name="Normal 11 21" xfId="19175" xr:uid="{00000000-0005-0000-0000-0000E84A0000}"/>
    <cellStyle name="Normal 11 21 2" xfId="19176" xr:uid="{00000000-0005-0000-0000-0000E94A0000}"/>
    <cellStyle name="Normal 11 22" xfId="19177" xr:uid="{00000000-0005-0000-0000-0000EA4A0000}"/>
    <cellStyle name="Normal 11 22 2" xfId="19178" xr:uid="{00000000-0005-0000-0000-0000EB4A0000}"/>
    <cellStyle name="Normal 11 23" xfId="19179" xr:uid="{00000000-0005-0000-0000-0000EC4A0000}"/>
    <cellStyle name="Normal 11 23 2" xfId="19180" xr:uid="{00000000-0005-0000-0000-0000ED4A0000}"/>
    <cellStyle name="Normal 11 24" xfId="19181" xr:uid="{00000000-0005-0000-0000-0000EE4A0000}"/>
    <cellStyle name="Normal 11 24 2" xfId="19182" xr:uid="{00000000-0005-0000-0000-0000EF4A0000}"/>
    <cellStyle name="Normal 11 25" xfId="19183" xr:uid="{00000000-0005-0000-0000-0000F04A0000}"/>
    <cellStyle name="Normal 11 25 2" xfId="19184" xr:uid="{00000000-0005-0000-0000-0000F14A0000}"/>
    <cellStyle name="Normal 11 26" xfId="19185" xr:uid="{00000000-0005-0000-0000-0000F24A0000}"/>
    <cellStyle name="Normal 11 26 2" xfId="19186" xr:uid="{00000000-0005-0000-0000-0000F34A0000}"/>
    <cellStyle name="Normal 11 27" xfId="19187" xr:uid="{00000000-0005-0000-0000-0000F44A0000}"/>
    <cellStyle name="Normal 11 27 2" xfId="19188" xr:uid="{00000000-0005-0000-0000-0000F54A0000}"/>
    <cellStyle name="Normal 11 28" xfId="19189" xr:uid="{00000000-0005-0000-0000-0000F64A0000}"/>
    <cellStyle name="Normal 11 28 2" xfId="19190" xr:uid="{00000000-0005-0000-0000-0000F74A0000}"/>
    <cellStyle name="Normal 11 29" xfId="19191" xr:uid="{00000000-0005-0000-0000-0000F84A0000}"/>
    <cellStyle name="Normal 11 29 2" xfId="19192" xr:uid="{00000000-0005-0000-0000-0000F94A0000}"/>
    <cellStyle name="Normal 11 3" xfId="19193" xr:uid="{00000000-0005-0000-0000-0000FA4A0000}"/>
    <cellStyle name="Normal 11 3 2" xfId="19194" xr:uid="{00000000-0005-0000-0000-0000FB4A0000}"/>
    <cellStyle name="Normal 11 3 2 2" xfId="19195" xr:uid="{00000000-0005-0000-0000-0000FC4A0000}"/>
    <cellStyle name="Normal 11 3 2 2 2" xfId="19196" xr:uid="{00000000-0005-0000-0000-0000FD4A0000}"/>
    <cellStyle name="Normal 11 3 2 3" xfId="19197" xr:uid="{00000000-0005-0000-0000-0000FE4A0000}"/>
    <cellStyle name="Normal 11 3 3" xfId="19198" xr:uid="{00000000-0005-0000-0000-0000FF4A0000}"/>
    <cellStyle name="Normal 11 3 3 2" xfId="19199" xr:uid="{00000000-0005-0000-0000-0000004B0000}"/>
    <cellStyle name="Normal 11 3 4" xfId="19200" xr:uid="{00000000-0005-0000-0000-0000014B0000}"/>
    <cellStyle name="Normal 11 30" xfId="19201" xr:uid="{00000000-0005-0000-0000-0000024B0000}"/>
    <cellStyle name="Normal 11 30 2" xfId="19202" xr:uid="{00000000-0005-0000-0000-0000034B0000}"/>
    <cellStyle name="Normal 11 31" xfId="19203" xr:uid="{00000000-0005-0000-0000-0000044B0000}"/>
    <cellStyle name="Normal 11 31 2" xfId="19204" xr:uid="{00000000-0005-0000-0000-0000054B0000}"/>
    <cellStyle name="Normal 11 32" xfId="19205" xr:uid="{00000000-0005-0000-0000-0000064B0000}"/>
    <cellStyle name="Normal 11 32 2" xfId="19206" xr:uid="{00000000-0005-0000-0000-0000074B0000}"/>
    <cellStyle name="Normal 11 33" xfId="19207" xr:uid="{00000000-0005-0000-0000-0000084B0000}"/>
    <cellStyle name="Normal 11 33 2" xfId="19208" xr:uid="{00000000-0005-0000-0000-0000094B0000}"/>
    <cellStyle name="Normal 11 34" xfId="19209" xr:uid="{00000000-0005-0000-0000-00000A4B0000}"/>
    <cellStyle name="Normal 11 34 2" xfId="19210" xr:uid="{00000000-0005-0000-0000-00000B4B0000}"/>
    <cellStyle name="Normal 11 35" xfId="19211" xr:uid="{00000000-0005-0000-0000-00000C4B0000}"/>
    <cellStyle name="Normal 11 35 2" xfId="19212" xr:uid="{00000000-0005-0000-0000-00000D4B0000}"/>
    <cellStyle name="Normal 11 36" xfId="19213" xr:uid="{00000000-0005-0000-0000-00000E4B0000}"/>
    <cellStyle name="Normal 11 36 2" xfId="19214" xr:uid="{00000000-0005-0000-0000-00000F4B0000}"/>
    <cellStyle name="Normal 11 37" xfId="19215" xr:uid="{00000000-0005-0000-0000-0000104B0000}"/>
    <cellStyle name="Normal 11 37 2" xfId="19216" xr:uid="{00000000-0005-0000-0000-0000114B0000}"/>
    <cellStyle name="Normal 11 38" xfId="19217" xr:uid="{00000000-0005-0000-0000-0000124B0000}"/>
    <cellStyle name="Normal 11 38 2" xfId="19218" xr:uid="{00000000-0005-0000-0000-0000134B0000}"/>
    <cellStyle name="Normal 11 39" xfId="19219" xr:uid="{00000000-0005-0000-0000-0000144B0000}"/>
    <cellStyle name="Normal 11 39 2" xfId="19220" xr:uid="{00000000-0005-0000-0000-0000154B0000}"/>
    <cellStyle name="Normal 11 4" xfId="19221" xr:uid="{00000000-0005-0000-0000-0000164B0000}"/>
    <cellStyle name="Normal 11 4 2" xfId="2" xr:uid="{00000000-0005-0000-0000-0000174B0000}"/>
    <cellStyle name="Normal 11 4 3" xfId="19222" xr:uid="{00000000-0005-0000-0000-0000184B0000}"/>
    <cellStyle name="Normal 11 40" xfId="19223" xr:uid="{00000000-0005-0000-0000-0000194B0000}"/>
    <cellStyle name="Normal 11 40 2" xfId="19224" xr:uid="{00000000-0005-0000-0000-00001A4B0000}"/>
    <cellStyle name="Normal 11 41" xfId="19225" xr:uid="{00000000-0005-0000-0000-00001B4B0000}"/>
    <cellStyle name="Normal 11 41 2" xfId="19226" xr:uid="{00000000-0005-0000-0000-00001C4B0000}"/>
    <cellStyle name="Normal 11 42" xfId="19227" xr:uid="{00000000-0005-0000-0000-00001D4B0000}"/>
    <cellStyle name="Normal 11 42 2" xfId="19228" xr:uid="{00000000-0005-0000-0000-00001E4B0000}"/>
    <cellStyle name="Normal 11 43" xfId="19229" xr:uid="{00000000-0005-0000-0000-00001F4B0000}"/>
    <cellStyle name="Normal 11 43 2" xfId="19230" xr:uid="{00000000-0005-0000-0000-0000204B0000}"/>
    <cellStyle name="Normal 11 44" xfId="19231" xr:uid="{00000000-0005-0000-0000-0000214B0000}"/>
    <cellStyle name="Normal 11 44 2" xfId="19232" xr:uid="{00000000-0005-0000-0000-0000224B0000}"/>
    <cellStyle name="Normal 11 45" xfId="19233" xr:uid="{00000000-0005-0000-0000-0000234B0000}"/>
    <cellStyle name="Normal 11 45 2" xfId="19234" xr:uid="{00000000-0005-0000-0000-0000244B0000}"/>
    <cellStyle name="Normal 11 46" xfId="19235" xr:uid="{00000000-0005-0000-0000-0000254B0000}"/>
    <cellStyle name="Normal 11 46 2" xfId="19236" xr:uid="{00000000-0005-0000-0000-0000264B0000}"/>
    <cellStyle name="Normal 11 47" xfId="19237" xr:uid="{00000000-0005-0000-0000-0000274B0000}"/>
    <cellStyle name="Normal 11 47 2" xfId="19238" xr:uid="{00000000-0005-0000-0000-0000284B0000}"/>
    <cellStyle name="Normal 11 48" xfId="19239" xr:uid="{00000000-0005-0000-0000-0000294B0000}"/>
    <cellStyle name="Normal 11 48 2" xfId="19240" xr:uid="{00000000-0005-0000-0000-00002A4B0000}"/>
    <cellStyle name="Normal 11 49" xfId="19241" xr:uid="{00000000-0005-0000-0000-00002B4B0000}"/>
    <cellStyle name="Normal 11 49 2" xfId="19242" xr:uid="{00000000-0005-0000-0000-00002C4B0000}"/>
    <cellStyle name="Normal 11 5" xfId="19243" xr:uid="{00000000-0005-0000-0000-00002D4B0000}"/>
    <cellStyle name="Normal 11 5 2" xfId="19244" xr:uid="{00000000-0005-0000-0000-00002E4B0000}"/>
    <cellStyle name="Normal 11 50" xfId="19245" xr:uid="{00000000-0005-0000-0000-00002F4B0000}"/>
    <cellStyle name="Normal 11 50 2" xfId="19246" xr:uid="{00000000-0005-0000-0000-0000304B0000}"/>
    <cellStyle name="Normal 11 51" xfId="19247" xr:uid="{00000000-0005-0000-0000-0000314B0000}"/>
    <cellStyle name="Normal 11 51 2" xfId="19248" xr:uid="{00000000-0005-0000-0000-0000324B0000}"/>
    <cellStyle name="Normal 11 52" xfId="19249" xr:uid="{00000000-0005-0000-0000-0000334B0000}"/>
    <cellStyle name="Normal 11 52 2" xfId="19250" xr:uid="{00000000-0005-0000-0000-0000344B0000}"/>
    <cellStyle name="Normal 11 53" xfId="19251" xr:uid="{00000000-0005-0000-0000-0000354B0000}"/>
    <cellStyle name="Normal 11 53 2" xfId="19252" xr:uid="{00000000-0005-0000-0000-0000364B0000}"/>
    <cellStyle name="Normal 11 54" xfId="19253" xr:uid="{00000000-0005-0000-0000-0000374B0000}"/>
    <cellStyle name="Normal 11 54 2" xfId="19254" xr:uid="{00000000-0005-0000-0000-0000384B0000}"/>
    <cellStyle name="Normal 11 55" xfId="19255" xr:uid="{00000000-0005-0000-0000-0000394B0000}"/>
    <cellStyle name="Normal 11 55 2" xfId="19256" xr:uid="{00000000-0005-0000-0000-00003A4B0000}"/>
    <cellStyle name="Normal 11 56" xfId="19257" xr:uid="{00000000-0005-0000-0000-00003B4B0000}"/>
    <cellStyle name="Normal 11 56 2" xfId="19258" xr:uid="{00000000-0005-0000-0000-00003C4B0000}"/>
    <cellStyle name="Normal 11 57" xfId="19259" xr:uid="{00000000-0005-0000-0000-00003D4B0000}"/>
    <cellStyle name="Normal 11 57 2" xfId="19260" xr:uid="{00000000-0005-0000-0000-00003E4B0000}"/>
    <cellStyle name="Normal 11 58" xfId="19261" xr:uid="{00000000-0005-0000-0000-00003F4B0000}"/>
    <cellStyle name="Normal 11 58 2" xfId="19262" xr:uid="{00000000-0005-0000-0000-0000404B0000}"/>
    <cellStyle name="Normal 11 59" xfId="19263" xr:uid="{00000000-0005-0000-0000-0000414B0000}"/>
    <cellStyle name="Normal 11 59 2" xfId="19264" xr:uid="{00000000-0005-0000-0000-0000424B0000}"/>
    <cellStyle name="Normal 11 6" xfId="19265" xr:uid="{00000000-0005-0000-0000-0000434B0000}"/>
    <cellStyle name="Normal 11 6 2" xfId="19266" xr:uid="{00000000-0005-0000-0000-0000444B0000}"/>
    <cellStyle name="Normal 11 60" xfId="19267" xr:uid="{00000000-0005-0000-0000-0000454B0000}"/>
    <cellStyle name="Normal 11 7" xfId="19268" xr:uid="{00000000-0005-0000-0000-0000464B0000}"/>
    <cellStyle name="Normal 11 7 2" xfId="19269" xr:uid="{00000000-0005-0000-0000-0000474B0000}"/>
    <cellStyle name="Normal 11 8" xfId="19270" xr:uid="{00000000-0005-0000-0000-0000484B0000}"/>
    <cellStyle name="Normal 11 8 2" xfId="19271" xr:uid="{00000000-0005-0000-0000-0000494B0000}"/>
    <cellStyle name="Normal 11 9" xfId="19272" xr:uid="{00000000-0005-0000-0000-00004A4B0000}"/>
    <cellStyle name="Normal 11 9 2" xfId="19273" xr:uid="{00000000-0005-0000-0000-00004B4B0000}"/>
    <cellStyle name="Normal 110" xfId="19274" xr:uid="{00000000-0005-0000-0000-00004C4B0000}"/>
    <cellStyle name="Normal 110 2" xfId="19275" xr:uid="{00000000-0005-0000-0000-00004D4B0000}"/>
    <cellStyle name="Normal 111" xfId="19276" xr:uid="{00000000-0005-0000-0000-00004E4B0000}"/>
    <cellStyle name="Normal 111 2" xfId="19277" xr:uid="{00000000-0005-0000-0000-00004F4B0000}"/>
    <cellStyle name="Normal 112" xfId="19278" xr:uid="{00000000-0005-0000-0000-0000504B0000}"/>
    <cellStyle name="Normal 112 2" xfId="19279" xr:uid="{00000000-0005-0000-0000-0000514B0000}"/>
    <cellStyle name="Normal 113" xfId="19280" xr:uid="{00000000-0005-0000-0000-0000524B0000}"/>
    <cellStyle name="Normal 113 2" xfId="19281" xr:uid="{00000000-0005-0000-0000-0000534B0000}"/>
    <cellStyle name="Normal 114" xfId="19282" xr:uid="{00000000-0005-0000-0000-0000544B0000}"/>
    <cellStyle name="Normal 114 2" xfId="19283" xr:uid="{00000000-0005-0000-0000-0000554B0000}"/>
    <cellStyle name="Normal 115" xfId="19284" xr:uid="{00000000-0005-0000-0000-0000564B0000}"/>
    <cellStyle name="Normal 115 10" xfId="19285" xr:uid="{00000000-0005-0000-0000-0000574B0000}"/>
    <cellStyle name="Normal 115 10 2" xfId="19286" xr:uid="{00000000-0005-0000-0000-0000584B0000}"/>
    <cellStyle name="Normal 115 11" xfId="19287" xr:uid="{00000000-0005-0000-0000-0000594B0000}"/>
    <cellStyle name="Normal 115 11 2" xfId="19288" xr:uid="{00000000-0005-0000-0000-00005A4B0000}"/>
    <cellStyle name="Normal 115 12" xfId="19289" xr:uid="{00000000-0005-0000-0000-00005B4B0000}"/>
    <cellStyle name="Normal 115 12 2" xfId="19290" xr:uid="{00000000-0005-0000-0000-00005C4B0000}"/>
    <cellStyle name="Normal 115 13" xfId="19291" xr:uid="{00000000-0005-0000-0000-00005D4B0000}"/>
    <cellStyle name="Normal 115 13 2" xfId="19292" xr:uid="{00000000-0005-0000-0000-00005E4B0000}"/>
    <cellStyle name="Normal 115 14" xfId="19293" xr:uid="{00000000-0005-0000-0000-00005F4B0000}"/>
    <cellStyle name="Normal 115 14 2" xfId="19294" xr:uid="{00000000-0005-0000-0000-0000604B0000}"/>
    <cellStyle name="Normal 115 15" xfId="19295" xr:uid="{00000000-0005-0000-0000-0000614B0000}"/>
    <cellStyle name="Normal 115 15 2" xfId="19296" xr:uid="{00000000-0005-0000-0000-0000624B0000}"/>
    <cellStyle name="Normal 115 16" xfId="19297" xr:uid="{00000000-0005-0000-0000-0000634B0000}"/>
    <cellStyle name="Normal 115 16 2" xfId="19298" xr:uid="{00000000-0005-0000-0000-0000644B0000}"/>
    <cellStyle name="Normal 115 17" xfId="19299" xr:uid="{00000000-0005-0000-0000-0000654B0000}"/>
    <cellStyle name="Normal 115 17 2" xfId="19300" xr:uid="{00000000-0005-0000-0000-0000664B0000}"/>
    <cellStyle name="Normal 115 18" xfId="19301" xr:uid="{00000000-0005-0000-0000-0000674B0000}"/>
    <cellStyle name="Normal 115 18 2" xfId="19302" xr:uid="{00000000-0005-0000-0000-0000684B0000}"/>
    <cellStyle name="Normal 115 19" xfId="19303" xr:uid="{00000000-0005-0000-0000-0000694B0000}"/>
    <cellStyle name="Normal 115 19 2" xfId="19304" xr:uid="{00000000-0005-0000-0000-00006A4B0000}"/>
    <cellStyle name="Normal 115 2" xfId="19305" xr:uid="{00000000-0005-0000-0000-00006B4B0000}"/>
    <cellStyle name="Normal 115 2 2" xfId="19306" xr:uid="{00000000-0005-0000-0000-00006C4B0000}"/>
    <cellStyle name="Normal 115 20" xfId="19307" xr:uid="{00000000-0005-0000-0000-00006D4B0000}"/>
    <cellStyle name="Normal 115 20 2" xfId="19308" xr:uid="{00000000-0005-0000-0000-00006E4B0000}"/>
    <cellStyle name="Normal 115 21" xfId="19309" xr:uid="{00000000-0005-0000-0000-00006F4B0000}"/>
    <cellStyle name="Normal 115 21 2" xfId="19310" xr:uid="{00000000-0005-0000-0000-0000704B0000}"/>
    <cellStyle name="Normal 115 22" xfId="19311" xr:uid="{00000000-0005-0000-0000-0000714B0000}"/>
    <cellStyle name="Normal 115 22 2" xfId="19312" xr:uid="{00000000-0005-0000-0000-0000724B0000}"/>
    <cellStyle name="Normal 115 23" xfId="19313" xr:uid="{00000000-0005-0000-0000-0000734B0000}"/>
    <cellStyle name="Normal 115 23 2" xfId="19314" xr:uid="{00000000-0005-0000-0000-0000744B0000}"/>
    <cellStyle name="Normal 115 24" xfId="19315" xr:uid="{00000000-0005-0000-0000-0000754B0000}"/>
    <cellStyle name="Normal 115 24 2" xfId="19316" xr:uid="{00000000-0005-0000-0000-0000764B0000}"/>
    <cellStyle name="Normal 115 25" xfId="19317" xr:uid="{00000000-0005-0000-0000-0000774B0000}"/>
    <cellStyle name="Normal 115 25 2" xfId="19318" xr:uid="{00000000-0005-0000-0000-0000784B0000}"/>
    <cellStyle name="Normal 115 26" xfId="19319" xr:uid="{00000000-0005-0000-0000-0000794B0000}"/>
    <cellStyle name="Normal 115 26 2" xfId="19320" xr:uid="{00000000-0005-0000-0000-00007A4B0000}"/>
    <cellStyle name="Normal 115 27" xfId="19321" xr:uid="{00000000-0005-0000-0000-00007B4B0000}"/>
    <cellStyle name="Normal 115 27 2" xfId="19322" xr:uid="{00000000-0005-0000-0000-00007C4B0000}"/>
    <cellStyle name="Normal 115 28" xfId="19323" xr:uid="{00000000-0005-0000-0000-00007D4B0000}"/>
    <cellStyle name="Normal 115 28 2" xfId="19324" xr:uid="{00000000-0005-0000-0000-00007E4B0000}"/>
    <cellStyle name="Normal 115 29" xfId="19325" xr:uid="{00000000-0005-0000-0000-00007F4B0000}"/>
    <cellStyle name="Normal 115 29 2" xfId="19326" xr:uid="{00000000-0005-0000-0000-0000804B0000}"/>
    <cellStyle name="Normal 115 3" xfId="19327" xr:uid="{00000000-0005-0000-0000-0000814B0000}"/>
    <cellStyle name="Normal 115 3 2" xfId="19328" xr:uid="{00000000-0005-0000-0000-0000824B0000}"/>
    <cellStyle name="Normal 115 30" xfId="19329" xr:uid="{00000000-0005-0000-0000-0000834B0000}"/>
    <cellStyle name="Normal 115 30 2" xfId="19330" xr:uid="{00000000-0005-0000-0000-0000844B0000}"/>
    <cellStyle name="Normal 115 31" xfId="19331" xr:uid="{00000000-0005-0000-0000-0000854B0000}"/>
    <cellStyle name="Normal 115 31 2" xfId="19332" xr:uid="{00000000-0005-0000-0000-0000864B0000}"/>
    <cellStyle name="Normal 115 32" xfId="19333" xr:uid="{00000000-0005-0000-0000-0000874B0000}"/>
    <cellStyle name="Normal 115 32 2" xfId="19334" xr:uid="{00000000-0005-0000-0000-0000884B0000}"/>
    <cellStyle name="Normal 115 33" xfId="19335" xr:uid="{00000000-0005-0000-0000-0000894B0000}"/>
    <cellStyle name="Normal 115 33 2" xfId="19336" xr:uid="{00000000-0005-0000-0000-00008A4B0000}"/>
    <cellStyle name="Normal 115 34" xfId="19337" xr:uid="{00000000-0005-0000-0000-00008B4B0000}"/>
    <cellStyle name="Normal 115 34 2" xfId="19338" xr:uid="{00000000-0005-0000-0000-00008C4B0000}"/>
    <cellStyle name="Normal 115 35" xfId="19339" xr:uid="{00000000-0005-0000-0000-00008D4B0000}"/>
    <cellStyle name="Normal 115 35 2" xfId="19340" xr:uid="{00000000-0005-0000-0000-00008E4B0000}"/>
    <cellStyle name="Normal 115 36" xfId="19341" xr:uid="{00000000-0005-0000-0000-00008F4B0000}"/>
    <cellStyle name="Normal 115 36 2" xfId="19342" xr:uid="{00000000-0005-0000-0000-0000904B0000}"/>
    <cellStyle name="Normal 115 37" xfId="19343" xr:uid="{00000000-0005-0000-0000-0000914B0000}"/>
    <cellStyle name="Normal 115 37 2" xfId="19344" xr:uid="{00000000-0005-0000-0000-0000924B0000}"/>
    <cellStyle name="Normal 115 38" xfId="19345" xr:uid="{00000000-0005-0000-0000-0000934B0000}"/>
    <cellStyle name="Normal 115 38 2" xfId="19346" xr:uid="{00000000-0005-0000-0000-0000944B0000}"/>
    <cellStyle name="Normal 115 39" xfId="19347" xr:uid="{00000000-0005-0000-0000-0000954B0000}"/>
    <cellStyle name="Normal 115 39 2" xfId="19348" xr:uid="{00000000-0005-0000-0000-0000964B0000}"/>
    <cellStyle name="Normal 115 4" xfId="19349" xr:uid="{00000000-0005-0000-0000-0000974B0000}"/>
    <cellStyle name="Normal 115 4 2" xfId="19350" xr:uid="{00000000-0005-0000-0000-0000984B0000}"/>
    <cellStyle name="Normal 115 40" xfId="19351" xr:uid="{00000000-0005-0000-0000-0000994B0000}"/>
    <cellStyle name="Normal 115 40 2" xfId="19352" xr:uid="{00000000-0005-0000-0000-00009A4B0000}"/>
    <cellStyle name="Normal 115 41" xfId="19353" xr:uid="{00000000-0005-0000-0000-00009B4B0000}"/>
    <cellStyle name="Normal 115 41 2" xfId="19354" xr:uid="{00000000-0005-0000-0000-00009C4B0000}"/>
    <cellStyle name="Normal 115 42" xfId="19355" xr:uid="{00000000-0005-0000-0000-00009D4B0000}"/>
    <cellStyle name="Normal 115 42 2" xfId="19356" xr:uid="{00000000-0005-0000-0000-00009E4B0000}"/>
    <cellStyle name="Normal 115 43" xfId="19357" xr:uid="{00000000-0005-0000-0000-00009F4B0000}"/>
    <cellStyle name="Normal 115 43 2" xfId="19358" xr:uid="{00000000-0005-0000-0000-0000A04B0000}"/>
    <cellStyle name="Normal 115 44" xfId="19359" xr:uid="{00000000-0005-0000-0000-0000A14B0000}"/>
    <cellStyle name="Normal 115 44 2" xfId="19360" xr:uid="{00000000-0005-0000-0000-0000A24B0000}"/>
    <cellStyle name="Normal 115 45" xfId="19361" xr:uid="{00000000-0005-0000-0000-0000A34B0000}"/>
    <cellStyle name="Normal 115 45 2" xfId="19362" xr:uid="{00000000-0005-0000-0000-0000A44B0000}"/>
    <cellStyle name="Normal 115 46" xfId="19363" xr:uid="{00000000-0005-0000-0000-0000A54B0000}"/>
    <cellStyle name="Normal 115 46 2" xfId="19364" xr:uid="{00000000-0005-0000-0000-0000A64B0000}"/>
    <cellStyle name="Normal 115 47" xfId="19365" xr:uid="{00000000-0005-0000-0000-0000A74B0000}"/>
    <cellStyle name="Normal 115 47 2" xfId="19366" xr:uid="{00000000-0005-0000-0000-0000A84B0000}"/>
    <cellStyle name="Normal 115 48" xfId="19367" xr:uid="{00000000-0005-0000-0000-0000A94B0000}"/>
    <cellStyle name="Normal 115 48 2" xfId="19368" xr:uid="{00000000-0005-0000-0000-0000AA4B0000}"/>
    <cellStyle name="Normal 115 49" xfId="19369" xr:uid="{00000000-0005-0000-0000-0000AB4B0000}"/>
    <cellStyle name="Normal 115 49 2" xfId="19370" xr:uid="{00000000-0005-0000-0000-0000AC4B0000}"/>
    <cellStyle name="Normal 115 5" xfId="19371" xr:uid="{00000000-0005-0000-0000-0000AD4B0000}"/>
    <cellStyle name="Normal 115 5 2" xfId="19372" xr:uid="{00000000-0005-0000-0000-0000AE4B0000}"/>
    <cellStyle name="Normal 115 50" xfId="19373" xr:uid="{00000000-0005-0000-0000-0000AF4B0000}"/>
    <cellStyle name="Normal 115 50 2" xfId="19374" xr:uid="{00000000-0005-0000-0000-0000B04B0000}"/>
    <cellStyle name="Normal 115 51" xfId="19375" xr:uid="{00000000-0005-0000-0000-0000B14B0000}"/>
    <cellStyle name="Normal 115 51 2" xfId="19376" xr:uid="{00000000-0005-0000-0000-0000B24B0000}"/>
    <cellStyle name="Normal 115 52" xfId="19377" xr:uid="{00000000-0005-0000-0000-0000B34B0000}"/>
    <cellStyle name="Normal 115 52 2" xfId="19378" xr:uid="{00000000-0005-0000-0000-0000B44B0000}"/>
    <cellStyle name="Normal 115 53" xfId="19379" xr:uid="{00000000-0005-0000-0000-0000B54B0000}"/>
    <cellStyle name="Normal 115 53 2" xfId="19380" xr:uid="{00000000-0005-0000-0000-0000B64B0000}"/>
    <cellStyle name="Normal 115 54" xfId="19381" xr:uid="{00000000-0005-0000-0000-0000B74B0000}"/>
    <cellStyle name="Normal 115 54 2" xfId="19382" xr:uid="{00000000-0005-0000-0000-0000B84B0000}"/>
    <cellStyle name="Normal 115 55" xfId="19383" xr:uid="{00000000-0005-0000-0000-0000B94B0000}"/>
    <cellStyle name="Normal 115 55 2" xfId="19384" xr:uid="{00000000-0005-0000-0000-0000BA4B0000}"/>
    <cellStyle name="Normal 115 56" xfId="19385" xr:uid="{00000000-0005-0000-0000-0000BB4B0000}"/>
    <cellStyle name="Normal 115 56 2" xfId="19386" xr:uid="{00000000-0005-0000-0000-0000BC4B0000}"/>
    <cellStyle name="Normal 115 57" xfId="19387" xr:uid="{00000000-0005-0000-0000-0000BD4B0000}"/>
    <cellStyle name="Normal 115 57 2" xfId="19388" xr:uid="{00000000-0005-0000-0000-0000BE4B0000}"/>
    <cellStyle name="Normal 115 58" xfId="19389" xr:uid="{00000000-0005-0000-0000-0000BF4B0000}"/>
    <cellStyle name="Normal 115 58 2" xfId="19390" xr:uid="{00000000-0005-0000-0000-0000C04B0000}"/>
    <cellStyle name="Normal 115 59" xfId="19391" xr:uid="{00000000-0005-0000-0000-0000C14B0000}"/>
    <cellStyle name="Normal 115 59 2" xfId="19392" xr:uid="{00000000-0005-0000-0000-0000C24B0000}"/>
    <cellStyle name="Normal 115 6" xfId="19393" xr:uid="{00000000-0005-0000-0000-0000C34B0000}"/>
    <cellStyle name="Normal 115 6 2" xfId="19394" xr:uid="{00000000-0005-0000-0000-0000C44B0000}"/>
    <cellStyle name="Normal 115 60" xfId="19395" xr:uid="{00000000-0005-0000-0000-0000C54B0000}"/>
    <cellStyle name="Normal 115 60 2" xfId="19396" xr:uid="{00000000-0005-0000-0000-0000C64B0000}"/>
    <cellStyle name="Normal 115 61" xfId="19397" xr:uid="{00000000-0005-0000-0000-0000C74B0000}"/>
    <cellStyle name="Normal 115 61 2" xfId="19398" xr:uid="{00000000-0005-0000-0000-0000C84B0000}"/>
    <cellStyle name="Normal 115 62" xfId="19399" xr:uid="{00000000-0005-0000-0000-0000C94B0000}"/>
    <cellStyle name="Normal 115 62 2" xfId="19400" xr:uid="{00000000-0005-0000-0000-0000CA4B0000}"/>
    <cellStyle name="Normal 115 62 3" xfId="19401" xr:uid="{00000000-0005-0000-0000-0000CB4B0000}"/>
    <cellStyle name="Normal 115 63" xfId="19402" xr:uid="{00000000-0005-0000-0000-0000CC4B0000}"/>
    <cellStyle name="Normal 115 7" xfId="19403" xr:uid="{00000000-0005-0000-0000-0000CD4B0000}"/>
    <cellStyle name="Normal 115 7 2" xfId="19404" xr:uid="{00000000-0005-0000-0000-0000CE4B0000}"/>
    <cellStyle name="Normal 115 8" xfId="19405" xr:uid="{00000000-0005-0000-0000-0000CF4B0000}"/>
    <cellStyle name="Normal 115 8 2" xfId="19406" xr:uid="{00000000-0005-0000-0000-0000D04B0000}"/>
    <cellStyle name="Normal 115 9" xfId="19407" xr:uid="{00000000-0005-0000-0000-0000D14B0000}"/>
    <cellStyle name="Normal 115 9 2" xfId="19408" xr:uid="{00000000-0005-0000-0000-0000D24B0000}"/>
    <cellStyle name="Normal 116" xfId="19409" xr:uid="{00000000-0005-0000-0000-0000D34B0000}"/>
    <cellStyle name="Normal 116 10" xfId="19410" xr:uid="{00000000-0005-0000-0000-0000D44B0000}"/>
    <cellStyle name="Normal 116 10 2" xfId="19411" xr:uid="{00000000-0005-0000-0000-0000D54B0000}"/>
    <cellStyle name="Normal 116 11" xfId="19412" xr:uid="{00000000-0005-0000-0000-0000D64B0000}"/>
    <cellStyle name="Normal 116 11 2" xfId="19413" xr:uid="{00000000-0005-0000-0000-0000D74B0000}"/>
    <cellStyle name="Normal 116 12" xfId="19414" xr:uid="{00000000-0005-0000-0000-0000D84B0000}"/>
    <cellStyle name="Normal 116 12 2" xfId="19415" xr:uid="{00000000-0005-0000-0000-0000D94B0000}"/>
    <cellStyle name="Normal 116 13" xfId="19416" xr:uid="{00000000-0005-0000-0000-0000DA4B0000}"/>
    <cellStyle name="Normal 116 13 2" xfId="19417" xr:uid="{00000000-0005-0000-0000-0000DB4B0000}"/>
    <cellStyle name="Normal 116 14" xfId="19418" xr:uid="{00000000-0005-0000-0000-0000DC4B0000}"/>
    <cellStyle name="Normal 116 14 2" xfId="19419" xr:uid="{00000000-0005-0000-0000-0000DD4B0000}"/>
    <cellStyle name="Normal 116 15" xfId="19420" xr:uid="{00000000-0005-0000-0000-0000DE4B0000}"/>
    <cellStyle name="Normal 116 15 2" xfId="19421" xr:uid="{00000000-0005-0000-0000-0000DF4B0000}"/>
    <cellStyle name="Normal 116 16" xfId="19422" xr:uid="{00000000-0005-0000-0000-0000E04B0000}"/>
    <cellStyle name="Normal 116 16 2" xfId="19423" xr:uid="{00000000-0005-0000-0000-0000E14B0000}"/>
    <cellStyle name="Normal 116 17" xfId="19424" xr:uid="{00000000-0005-0000-0000-0000E24B0000}"/>
    <cellStyle name="Normal 116 17 2" xfId="19425" xr:uid="{00000000-0005-0000-0000-0000E34B0000}"/>
    <cellStyle name="Normal 116 18" xfId="19426" xr:uid="{00000000-0005-0000-0000-0000E44B0000}"/>
    <cellStyle name="Normal 116 18 2" xfId="19427" xr:uid="{00000000-0005-0000-0000-0000E54B0000}"/>
    <cellStyle name="Normal 116 19" xfId="19428" xr:uid="{00000000-0005-0000-0000-0000E64B0000}"/>
    <cellStyle name="Normal 116 19 2" xfId="19429" xr:uid="{00000000-0005-0000-0000-0000E74B0000}"/>
    <cellStyle name="Normal 116 2" xfId="19430" xr:uid="{00000000-0005-0000-0000-0000E84B0000}"/>
    <cellStyle name="Normal 116 2 2" xfId="19431" xr:uid="{00000000-0005-0000-0000-0000E94B0000}"/>
    <cellStyle name="Normal 116 20" xfId="19432" xr:uid="{00000000-0005-0000-0000-0000EA4B0000}"/>
    <cellStyle name="Normal 116 20 2" xfId="19433" xr:uid="{00000000-0005-0000-0000-0000EB4B0000}"/>
    <cellStyle name="Normal 116 21" xfId="19434" xr:uid="{00000000-0005-0000-0000-0000EC4B0000}"/>
    <cellStyle name="Normal 116 21 2" xfId="19435" xr:uid="{00000000-0005-0000-0000-0000ED4B0000}"/>
    <cellStyle name="Normal 116 22" xfId="19436" xr:uid="{00000000-0005-0000-0000-0000EE4B0000}"/>
    <cellStyle name="Normal 116 22 2" xfId="19437" xr:uid="{00000000-0005-0000-0000-0000EF4B0000}"/>
    <cellStyle name="Normal 116 23" xfId="19438" xr:uid="{00000000-0005-0000-0000-0000F04B0000}"/>
    <cellStyle name="Normal 116 23 2" xfId="19439" xr:uid="{00000000-0005-0000-0000-0000F14B0000}"/>
    <cellStyle name="Normal 116 24" xfId="19440" xr:uid="{00000000-0005-0000-0000-0000F24B0000}"/>
    <cellStyle name="Normal 116 24 2" xfId="19441" xr:uid="{00000000-0005-0000-0000-0000F34B0000}"/>
    <cellStyle name="Normal 116 25" xfId="19442" xr:uid="{00000000-0005-0000-0000-0000F44B0000}"/>
    <cellStyle name="Normal 116 25 2" xfId="19443" xr:uid="{00000000-0005-0000-0000-0000F54B0000}"/>
    <cellStyle name="Normal 116 26" xfId="19444" xr:uid="{00000000-0005-0000-0000-0000F64B0000}"/>
    <cellStyle name="Normal 116 26 2" xfId="19445" xr:uid="{00000000-0005-0000-0000-0000F74B0000}"/>
    <cellStyle name="Normal 116 27" xfId="19446" xr:uid="{00000000-0005-0000-0000-0000F84B0000}"/>
    <cellStyle name="Normal 116 27 2" xfId="19447" xr:uid="{00000000-0005-0000-0000-0000F94B0000}"/>
    <cellStyle name="Normal 116 28" xfId="19448" xr:uid="{00000000-0005-0000-0000-0000FA4B0000}"/>
    <cellStyle name="Normal 116 28 2" xfId="19449" xr:uid="{00000000-0005-0000-0000-0000FB4B0000}"/>
    <cellStyle name="Normal 116 29" xfId="19450" xr:uid="{00000000-0005-0000-0000-0000FC4B0000}"/>
    <cellStyle name="Normal 116 29 2" xfId="19451" xr:uid="{00000000-0005-0000-0000-0000FD4B0000}"/>
    <cellStyle name="Normal 116 3" xfId="19452" xr:uid="{00000000-0005-0000-0000-0000FE4B0000}"/>
    <cellStyle name="Normal 116 3 2" xfId="19453" xr:uid="{00000000-0005-0000-0000-0000FF4B0000}"/>
    <cellStyle name="Normal 116 30" xfId="19454" xr:uid="{00000000-0005-0000-0000-0000004C0000}"/>
    <cellStyle name="Normal 116 30 2" xfId="19455" xr:uid="{00000000-0005-0000-0000-0000014C0000}"/>
    <cellStyle name="Normal 116 31" xfId="19456" xr:uid="{00000000-0005-0000-0000-0000024C0000}"/>
    <cellStyle name="Normal 116 31 2" xfId="19457" xr:uid="{00000000-0005-0000-0000-0000034C0000}"/>
    <cellStyle name="Normal 116 32" xfId="19458" xr:uid="{00000000-0005-0000-0000-0000044C0000}"/>
    <cellStyle name="Normal 116 32 2" xfId="19459" xr:uid="{00000000-0005-0000-0000-0000054C0000}"/>
    <cellStyle name="Normal 116 33" xfId="19460" xr:uid="{00000000-0005-0000-0000-0000064C0000}"/>
    <cellStyle name="Normal 116 33 2" xfId="19461" xr:uid="{00000000-0005-0000-0000-0000074C0000}"/>
    <cellStyle name="Normal 116 34" xfId="19462" xr:uid="{00000000-0005-0000-0000-0000084C0000}"/>
    <cellStyle name="Normal 116 34 2" xfId="19463" xr:uid="{00000000-0005-0000-0000-0000094C0000}"/>
    <cellStyle name="Normal 116 35" xfId="19464" xr:uid="{00000000-0005-0000-0000-00000A4C0000}"/>
    <cellStyle name="Normal 116 35 2" xfId="19465" xr:uid="{00000000-0005-0000-0000-00000B4C0000}"/>
    <cellStyle name="Normal 116 36" xfId="19466" xr:uid="{00000000-0005-0000-0000-00000C4C0000}"/>
    <cellStyle name="Normal 116 36 2" xfId="19467" xr:uid="{00000000-0005-0000-0000-00000D4C0000}"/>
    <cellStyle name="Normal 116 37" xfId="19468" xr:uid="{00000000-0005-0000-0000-00000E4C0000}"/>
    <cellStyle name="Normal 116 37 2" xfId="19469" xr:uid="{00000000-0005-0000-0000-00000F4C0000}"/>
    <cellStyle name="Normal 116 38" xfId="19470" xr:uid="{00000000-0005-0000-0000-0000104C0000}"/>
    <cellStyle name="Normal 116 38 2" xfId="19471" xr:uid="{00000000-0005-0000-0000-0000114C0000}"/>
    <cellStyle name="Normal 116 39" xfId="19472" xr:uid="{00000000-0005-0000-0000-0000124C0000}"/>
    <cellStyle name="Normal 116 39 2" xfId="19473" xr:uid="{00000000-0005-0000-0000-0000134C0000}"/>
    <cellStyle name="Normal 116 4" xfId="19474" xr:uid="{00000000-0005-0000-0000-0000144C0000}"/>
    <cellStyle name="Normal 116 4 2" xfId="19475" xr:uid="{00000000-0005-0000-0000-0000154C0000}"/>
    <cellStyle name="Normal 116 40" xfId="19476" xr:uid="{00000000-0005-0000-0000-0000164C0000}"/>
    <cellStyle name="Normal 116 40 2" xfId="19477" xr:uid="{00000000-0005-0000-0000-0000174C0000}"/>
    <cellStyle name="Normal 116 41" xfId="19478" xr:uid="{00000000-0005-0000-0000-0000184C0000}"/>
    <cellStyle name="Normal 116 41 2" xfId="19479" xr:uid="{00000000-0005-0000-0000-0000194C0000}"/>
    <cellStyle name="Normal 116 42" xfId="19480" xr:uid="{00000000-0005-0000-0000-00001A4C0000}"/>
    <cellStyle name="Normal 116 42 2" xfId="19481" xr:uid="{00000000-0005-0000-0000-00001B4C0000}"/>
    <cellStyle name="Normal 116 43" xfId="19482" xr:uid="{00000000-0005-0000-0000-00001C4C0000}"/>
    <cellStyle name="Normal 116 43 2" xfId="19483" xr:uid="{00000000-0005-0000-0000-00001D4C0000}"/>
    <cellStyle name="Normal 116 44" xfId="19484" xr:uid="{00000000-0005-0000-0000-00001E4C0000}"/>
    <cellStyle name="Normal 116 44 2" xfId="19485" xr:uid="{00000000-0005-0000-0000-00001F4C0000}"/>
    <cellStyle name="Normal 116 45" xfId="19486" xr:uid="{00000000-0005-0000-0000-0000204C0000}"/>
    <cellStyle name="Normal 116 45 2" xfId="19487" xr:uid="{00000000-0005-0000-0000-0000214C0000}"/>
    <cellStyle name="Normal 116 46" xfId="19488" xr:uid="{00000000-0005-0000-0000-0000224C0000}"/>
    <cellStyle name="Normal 116 46 2" xfId="19489" xr:uid="{00000000-0005-0000-0000-0000234C0000}"/>
    <cellStyle name="Normal 116 47" xfId="19490" xr:uid="{00000000-0005-0000-0000-0000244C0000}"/>
    <cellStyle name="Normal 116 47 2" xfId="19491" xr:uid="{00000000-0005-0000-0000-0000254C0000}"/>
    <cellStyle name="Normal 116 48" xfId="19492" xr:uid="{00000000-0005-0000-0000-0000264C0000}"/>
    <cellStyle name="Normal 116 48 2" xfId="19493" xr:uid="{00000000-0005-0000-0000-0000274C0000}"/>
    <cellStyle name="Normal 116 49" xfId="19494" xr:uid="{00000000-0005-0000-0000-0000284C0000}"/>
    <cellStyle name="Normal 116 49 2" xfId="19495" xr:uid="{00000000-0005-0000-0000-0000294C0000}"/>
    <cellStyle name="Normal 116 5" xfId="19496" xr:uid="{00000000-0005-0000-0000-00002A4C0000}"/>
    <cellStyle name="Normal 116 5 2" xfId="19497" xr:uid="{00000000-0005-0000-0000-00002B4C0000}"/>
    <cellStyle name="Normal 116 50" xfId="19498" xr:uid="{00000000-0005-0000-0000-00002C4C0000}"/>
    <cellStyle name="Normal 116 50 2" xfId="19499" xr:uid="{00000000-0005-0000-0000-00002D4C0000}"/>
    <cellStyle name="Normal 116 51" xfId="19500" xr:uid="{00000000-0005-0000-0000-00002E4C0000}"/>
    <cellStyle name="Normal 116 51 2" xfId="19501" xr:uid="{00000000-0005-0000-0000-00002F4C0000}"/>
    <cellStyle name="Normal 116 52" xfId="19502" xr:uid="{00000000-0005-0000-0000-0000304C0000}"/>
    <cellStyle name="Normal 116 52 2" xfId="19503" xr:uid="{00000000-0005-0000-0000-0000314C0000}"/>
    <cellStyle name="Normal 116 53" xfId="19504" xr:uid="{00000000-0005-0000-0000-0000324C0000}"/>
    <cellStyle name="Normal 116 53 2" xfId="19505" xr:uid="{00000000-0005-0000-0000-0000334C0000}"/>
    <cellStyle name="Normal 116 54" xfId="19506" xr:uid="{00000000-0005-0000-0000-0000344C0000}"/>
    <cellStyle name="Normal 116 54 2" xfId="19507" xr:uid="{00000000-0005-0000-0000-0000354C0000}"/>
    <cellStyle name="Normal 116 55" xfId="19508" xr:uid="{00000000-0005-0000-0000-0000364C0000}"/>
    <cellStyle name="Normal 116 55 2" xfId="19509" xr:uid="{00000000-0005-0000-0000-0000374C0000}"/>
    <cellStyle name="Normal 116 56" xfId="19510" xr:uid="{00000000-0005-0000-0000-0000384C0000}"/>
    <cellStyle name="Normal 116 56 2" xfId="19511" xr:uid="{00000000-0005-0000-0000-0000394C0000}"/>
    <cellStyle name="Normal 116 57" xfId="19512" xr:uid="{00000000-0005-0000-0000-00003A4C0000}"/>
    <cellStyle name="Normal 116 57 2" xfId="19513" xr:uid="{00000000-0005-0000-0000-00003B4C0000}"/>
    <cellStyle name="Normal 116 58" xfId="19514" xr:uid="{00000000-0005-0000-0000-00003C4C0000}"/>
    <cellStyle name="Normal 116 58 2" xfId="19515" xr:uid="{00000000-0005-0000-0000-00003D4C0000}"/>
    <cellStyle name="Normal 116 59" xfId="19516" xr:uid="{00000000-0005-0000-0000-00003E4C0000}"/>
    <cellStyle name="Normal 116 59 2" xfId="19517" xr:uid="{00000000-0005-0000-0000-00003F4C0000}"/>
    <cellStyle name="Normal 116 6" xfId="19518" xr:uid="{00000000-0005-0000-0000-0000404C0000}"/>
    <cellStyle name="Normal 116 6 2" xfId="19519" xr:uid="{00000000-0005-0000-0000-0000414C0000}"/>
    <cellStyle name="Normal 116 60" xfId="19520" xr:uid="{00000000-0005-0000-0000-0000424C0000}"/>
    <cellStyle name="Normal 116 60 2" xfId="19521" xr:uid="{00000000-0005-0000-0000-0000434C0000}"/>
    <cellStyle name="Normal 116 61" xfId="19522" xr:uid="{00000000-0005-0000-0000-0000444C0000}"/>
    <cellStyle name="Normal 116 61 2" xfId="19523" xr:uid="{00000000-0005-0000-0000-0000454C0000}"/>
    <cellStyle name="Normal 116 62" xfId="19524" xr:uid="{00000000-0005-0000-0000-0000464C0000}"/>
    <cellStyle name="Normal 116 62 2" xfId="19525" xr:uid="{00000000-0005-0000-0000-0000474C0000}"/>
    <cellStyle name="Normal 116 62 3" xfId="19526" xr:uid="{00000000-0005-0000-0000-0000484C0000}"/>
    <cellStyle name="Normal 116 63" xfId="19527" xr:uid="{00000000-0005-0000-0000-0000494C0000}"/>
    <cellStyle name="Normal 116 7" xfId="19528" xr:uid="{00000000-0005-0000-0000-00004A4C0000}"/>
    <cellStyle name="Normal 116 7 2" xfId="19529" xr:uid="{00000000-0005-0000-0000-00004B4C0000}"/>
    <cellStyle name="Normal 116 8" xfId="19530" xr:uid="{00000000-0005-0000-0000-00004C4C0000}"/>
    <cellStyle name="Normal 116 8 2" xfId="19531" xr:uid="{00000000-0005-0000-0000-00004D4C0000}"/>
    <cellStyle name="Normal 116 9" xfId="19532" xr:uid="{00000000-0005-0000-0000-00004E4C0000}"/>
    <cellStyle name="Normal 116 9 2" xfId="19533" xr:uid="{00000000-0005-0000-0000-00004F4C0000}"/>
    <cellStyle name="Normal 117" xfId="19534" xr:uid="{00000000-0005-0000-0000-0000504C0000}"/>
    <cellStyle name="Normal 117 2" xfId="19535" xr:uid="{00000000-0005-0000-0000-0000514C0000}"/>
    <cellStyle name="Normal 118" xfId="19536" xr:uid="{00000000-0005-0000-0000-0000524C0000}"/>
    <cellStyle name="Normal 118 2" xfId="19537" xr:uid="{00000000-0005-0000-0000-0000534C0000}"/>
    <cellStyle name="Normal 119" xfId="19538" xr:uid="{00000000-0005-0000-0000-0000544C0000}"/>
    <cellStyle name="Normal 119 10" xfId="19539" xr:uid="{00000000-0005-0000-0000-0000554C0000}"/>
    <cellStyle name="Normal 119 10 2" xfId="19540" xr:uid="{00000000-0005-0000-0000-0000564C0000}"/>
    <cellStyle name="Normal 119 11" xfId="19541" xr:uid="{00000000-0005-0000-0000-0000574C0000}"/>
    <cellStyle name="Normal 119 11 2" xfId="19542" xr:uid="{00000000-0005-0000-0000-0000584C0000}"/>
    <cellStyle name="Normal 119 12" xfId="19543" xr:uid="{00000000-0005-0000-0000-0000594C0000}"/>
    <cellStyle name="Normal 119 12 2" xfId="19544" xr:uid="{00000000-0005-0000-0000-00005A4C0000}"/>
    <cellStyle name="Normal 119 13" xfId="19545" xr:uid="{00000000-0005-0000-0000-00005B4C0000}"/>
    <cellStyle name="Normal 119 13 2" xfId="19546" xr:uid="{00000000-0005-0000-0000-00005C4C0000}"/>
    <cellStyle name="Normal 119 14" xfId="19547" xr:uid="{00000000-0005-0000-0000-00005D4C0000}"/>
    <cellStyle name="Normal 119 14 2" xfId="19548" xr:uid="{00000000-0005-0000-0000-00005E4C0000}"/>
    <cellStyle name="Normal 119 15" xfId="19549" xr:uid="{00000000-0005-0000-0000-00005F4C0000}"/>
    <cellStyle name="Normal 119 15 2" xfId="19550" xr:uid="{00000000-0005-0000-0000-0000604C0000}"/>
    <cellStyle name="Normal 119 16" xfId="19551" xr:uid="{00000000-0005-0000-0000-0000614C0000}"/>
    <cellStyle name="Normal 119 16 2" xfId="19552" xr:uid="{00000000-0005-0000-0000-0000624C0000}"/>
    <cellStyle name="Normal 119 17" xfId="19553" xr:uid="{00000000-0005-0000-0000-0000634C0000}"/>
    <cellStyle name="Normal 119 17 2" xfId="19554" xr:uid="{00000000-0005-0000-0000-0000644C0000}"/>
    <cellStyle name="Normal 119 18" xfId="19555" xr:uid="{00000000-0005-0000-0000-0000654C0000}"/>
    <cellStyle name="Normal 119 18 2" xfId="19556" xr:uid="{00000000-0005-0000-0000-0000664C0000}"/>
    <cellStyle name="Normal 119 19" xfId="19557" xr:uid="{00000000-0005-0000-0000-0000674C0000}"/>
    <cellStyle name="Normal 119 19 2" xfId="19558" xr:uid="{00000000-0005-0000-0000-0000684C0000}"/>
    <cellStyle name="Normal 119 2" xfId="19559" xr:uid="{00000000-0005-0000-0000-0000694C0000}"/>
    <cellStyle name="Normal 119 2 2" xfId="19560" xr:uid="{00000000-0005-0000-0000-00006A4C0000}"/>
    <cellStyle name="Normal 119 20" xfId="19561" xr:uid="{00000000-0005-0000-0000-00006B4C0000}"/>
    <cellStyle name="Normal 119 20 2" xfId="19562" xr:uid="{00000000-0005-0000-0000-00006C4C0000}"/>
    <cellStyle name="Normal 119 21" xfId="19563" xr:uid="{00000000-0005-0000-0000-00006D4C0000}"/>
    <cellStyle name="Normal 119 21 2" xfId="19564" xr:uid="{00000000-0005-0000-0000-00006E4C0000}"/>
    <cellStyle name="Normal 119 22" xfId="19565" xr:uid="{00000000-0005-0000-0000-00006F4C0000}"/>
    <cellStyle name="Normal 119 22 2" xfId="19566" xr:uid="{00000000-0005-0000-0000-0000704C0000}"/>
    <cellStyle name="Normal 119 23" xfId="19567" xr:uid="{00000000-0005-0000-0000-0000714C0000}"/>
    <cellStyle name="Normal 119 23 2" xfId="19568" xr:uid="{00000000-0005-0000-0000-0000724C0000}"/>
    <cellStyle name="Normal 119 24" xfId="19569" xr:uid="{00000000-0005-0000-0000-0000734C0000}"/>
    <cellStyle name="Normal 119 24 2" xfId="19570" xr:uid="{00000000-0005-0000-0000-0000744C0000}"/>
    <cellStyle name="Normal 119 25" xfId="19571" xr:uid="{00000000-0005-0000-0000-0000754C0000}"/>
    <cellStyle name="Normal 119 25 2" xfId="19572" xr:uid="{00000000-0005-0000-0000-0000764C0000}"/>
    <cellStyle name="Normal 119 26" xfId="19573" xr:uid="{00000000-0005-0000-0000-0000774C0000}"/>
    <cellStyle name="Normal 119 26 2" xfId="19574" xr:uid="{00000000-0005-0000-0000-0000784C0000}"/>
    <cellStyle name="Normal 119 27" xfId="19575" xr:uid="{00000000-0005-0000-0000-0000794C0000}"/>
    <cellStyle name="Normal 119 27 2" xfId="19576" xr:uid="{00000000-0005-0000-0000-00007A4C0000}"/>
    <cellStyle name="Normal 119 28" xfId="19577" xr:uid="{00000000-0005-0000-0000-00007B4C0000}"/>
    <cellStyle name="Normal 119 28 2" xfId="19578" xr:uid="{00000000-0005-0000-0000-00007C4C0000}"/>
    <cellStyle name="Normal 119 29" xfId="19579" xr:uid="{00000000-0005-0000-0000-00007D4C0000}"/>
    <cellStyle name="Normal 119 29 2" xfId="19580" xr:uid="{00000000-0005-0000-0000-00007E4C0000}"/>
    <cellStyle name="Normal 119 3" xfId="19581" xr:uid="{00000000-0005-0000-0000-00007F4C0000}"/>
    <cellStyle name="Normal 119 3 2" xfId="19582" xr:uid="{00000000-0005-0000-0000-0000804C0000}"/>
    <cellStyle name="Normal 119 30" xfId="19583" xr:uid="{00000000-0005-0000-0000-0000814C0000}"/>
    <cellStyle name="Normal 119 30 2" xfId="19584" xr:uid="{00000000-0005-0000-0000-0000824C0000}"/>
    <cellStyle name="Normal 119 31" xfId="19585" xr:uid="{00000000-0005-0000-0000-0000834C0000}"/>
    <cellStyle name="Normal 119 31 2" xfId="19586" xr:uid="{00000000-0005-0000-0000-0000844C0000}"/>
    <cellStyle name="Normal 119 32" xfId="19587" xr:uid="{00000000-0005-0000-0000-0000854C0000}"/>
    <cellStyle name="Normal 119 32 2" xfId="19588" xr:uid="{00000000-0005-0000-0000-0000864C0000}"/>
    <cellStyle name="Normal 119 33" xfId="19589" xr:uid="{00000000-0005-0000-0000-0000874C0000}"/>
    <cellStyle name="Normal 119 33 2" xfId="19590" xr:uid="{00000000-0005-0000-0000-0000884C0000}"/>
    <cellStyle name="Normal 119 34" xfId="19591" xr:uid="{00000000-0005-0000-0000-0000894C0000}"/>
    <cellStyle name="Normal 119 34 2" xfId="19592" xr:uid="{00000000-0005-0000-0000-00008A4C0000}"/>
    <cellStyle name="Normal 119 35" xfId="19593" xr:uid="{00000000-0005-0000-0000-00008B4C0000}"/>
    <cellStyle name="Normal 119 35 2" xfId="19594" xr:uid="{00000000-0005-0000-0000-00008C4C0000}"/>
    <cellStyle name="Normal 119 36" xfId="19595" xr:uid="{00000000-0005-0000-0000-00008D4C0000}"/>
    <cellStyle name="Normal 119 36 2" xfId="19596" xr:uid="{00000000-0005-0000-0000-00008E4C0000}"/>
    <cellStyle name="Normal 119 37" xfId="19597" xr:uid="{00000000-0005-0000-0000-00008F4C0000}"/>
    <cellStyle name="Normal 119 37 2" xfId="19598" xr:uid="{00000000-0005-0000-0000-0000904C0000}"/>
    <cellStyle name="Normal 119 38" xfId="19599" xr:uid="{00000000-0005-0000-0000-0000914C0000}"/>
    <cellStyle name="Normal 119 38 2" xfId="19600" xr:uid="{00000000-0005-0000-0000-0000924C0000}"/>
    <cellStyle name="Normal 119 39" xfId="19601" xr:uid="{00000000-0005-0000-0000-0000934C0000}"/>
    <cellStyle name="Normal 119 39 2" xfId="19602" xr:uid="{00000000-0005-0000-0000-0000944C0000}"/>
    <cellStyle name="Normal 119 4" xfId="19603" xr:uid="{00000000-0005-0000-0000-0000954C0000}"/>
    <cellStyle name="Normal 119 4 2" xfId="19604" xr:uid="{00000000-0005-0000-0000-0000964C0000}"/>
    <cellStyle name="Normal 119 40" xfId="19605" xr:uid="{00000000-0005-0000-0000-0000974C0000}"/>
    <cellStyle name="Normal 119 40 2" xfId="19606" xr:uid="{00000000-0005-0000-0000-0000984C0000}"/>
    <cellStyle name="Normal 119 41" xfId="19607" xr:uid="{00000000-0005-0000-0000-0000994C0000}"/>
    <cellStyle name="Normal 119 41 2" xfId="19608" xr:uid="{00000000-0005-0000-0000-00009A4C0000}"/>
    <cellStyle name="Normal 119 42" xfId="19609" xr:uid="{00000000-0005-0000-0000-00009B4C0000}"/>
    <cellStyle name="Normal 119 42 2" xfId="19610" xr:uid="{00000000-0005-0000-0000-00009C4C0000}"/>
    <cellStyle name="Normal 119 43" xfId="19611" xr:uid="{00000000-0005-0000-0000-00009D4C0000}"/>
    <cellStyle name="Normal 119 43 2" xfId="19612" xr:uid="{00000000-0005-0000-0000-00009E4C0000}"/>
    <cellStyle name="Normal 119 44" xfId="19613" xr:uid="{00000000-0005-0000-0000-00009F4C0000}"/>
    <cellStyle name="Normal 119 44 2" xfId="19614" xr:uid="{00000000-0005-0000-0000-0000A04C0000}"/>
    <cellStyle name="Normal 119 45" xfId="19615" xr:uid="{00000000-0005-0000-0000-0000A14C0000}"/>
    <cellStyle name="Normal 119 45 2" xfId="19616" xr:uid="{00000000-0005-0000-0000-0000A24C0000}"/>
    <cellStyle name="Normal 119 46" xfId="19617" xr:uid="{00000000-0005-0000-0000-0000A34C0000}"/>
    <cellStyle name="Normal 119 46 2" xfId="19618" xr:uid="{00000000-0005-0000-0000-0000A44C0000}"/>
    <cellStyle name="Normal 119 47" xfId="19619" xr:uid="{00000000-0005-0000-0000-0000A54C0000}"/>
    <cellStyle name="Normal 119 47 2" xfId="19620" xr:uid="{00000000-0005-0000-0000-0000A64C0000}"/>
    <cellStyle name="Normal 119 48" xfId="19621" xr:uid="{00000000-0005-0000-0000-0000A74C0000}"/>
    <cellStyle name="Normal 119 48 2" xfId="19622" xr:uid="{00000000-0005-0000-0000-0000A84C0000}"/>
    <cellStyle name="Normal 119 49" xfId="19623" xr:uid="{00000000-0005-0000-0000-0000A94C0000}"/>
    <cellStyle name="Normal 119 49 2" xfId="19624" xr:uid="{00000000-0005-0000-0000-0000AA4C0000}"/>
    <cellStyle name="Normal 119 5" xfId="19625" xr:uid="{00000000-0005-0000-0000-0000AB4C0000}"/>
    <cellStyle name="Normal 119 5 2" xfId="19626" xr:uid="{00000000-0005-0000-0000-0000AC4C0000}"/>
    <cellStyle name="Normal 119 50" xfId="19627" xr:uid="{00000000-0005-0000-0000-0000AD4C0000}"/>
    <cellStyle name="Normal 119 50 2" xfId="19628" xr:uid="{00000000-0005-0000-0000-0000AE4C0000}"/>
    <cellStyle name="Normal 119 51" xfId="19629" xr:uid="{00000000-0005-0000-0000-0000AF4C0000}"/>
    <cellStyle name="Normal 119 51 2" xfId="19630" xr:uid="{00000000-0005-0000-0000-0000B04C0000}"/>
    <cellStyle name="Normal 119 52" xfId="19631" xr:uid="{00000000-0005-0000-0000-0000B14C0000}"/>
    <cellStyle name="Normal 119 52 2" xfId="19632" xr:uid="{00000000-0005-0000-0000-0000B24C0000}"/>
    <cellStyle name="Normal 119 53" xfId="19633" xr:uid="{00000000-0005-0000-0000-0000B34C0000}"/>
    <cellStyle name="Normal 119 53 2" xfId="19634" xr:uid="{00000000-0005-0000-0000-0000B44C0000}"/>
    <cellStyle name="Normal 119 54" xfId="19635" xr:uid="{00000000-0005-0000-0000-0000B54C0000}"/>
    <cellStyle name="Normal 119 54 2" xfId="19636" xr:uid="{00000000-0005-0000-0000-0000B64C0000}"/>
    <cellStyle name="Normal 119 55" xfId="19637" xr:uid="{00000000-0005-0000-0000-0000B74C0000}"/>
    <cellStyle name="Normal 119 55 2" xfId="19638" xr:uid="{00000000-0005-0000-0000-0000B84C0000}"/>
    <cellStyle name="Normal 119 56" xfId="19639" xr:uid="{00000000-0005-0000-0000-0000B94C0000}"/>
    <cellStyle name="Normal 119 56 2" xfId="19640" xr:uid="{00000000-0005-0000-0000-0000BA4C0000}"/>
    <cellStyle name="Normal 119 57" xfId="19641" xr:uid="{00000000-0005-0000-0000-0000BB4C0000}"/>
    <cellStyle name="Normal 119 57 2" xfId="19642" xr:uid="{00000000-0005-0000-0000-0000BC4C0000}"/>
    <cellStyle name="Normal 119 58" xfId="19643" xr:uid="{00000000-0005-0000-0000-0000BD4C0000}"/>
    <cellStyle name="Normal 119 58 2" xfId="19644" xr:uid="{00000000-0005-0000-0000-0000BE4C0000}"/>
    <cellStyle name="Normal 119 59" xfId="19645" xr:uid="{00000000-0005-0000-0000-0000BF4C0000}"/>
    <cellStyle name="Normal 119 59 2" xfId="19646" xr:uid="{00000000-0005-0000-0000-0000C04C0000}"/>
    <cellStyle name="Normal 119 6" xfId="19647" xr:uid="{00000000-0005-0000-0000-0000C14C0000}"/>
    <cellStyle name="Normal 119 6 2" xfId="19648" xr:uid="{00000000-0005-0000-0000-0000C24C0000}"/>
    <cellStyle name="Normal 119 60" xfId="19649" xr:uid="{00000000-0005-0000-0000-0000C34C0000}"/>
    <cellStyle name="Normal 119 60 2" xfId="19650" xr:uid="{00000000-0005-0000-0000-0000C44C0000}"/>
    <cellStyle name="Normal 119 61" xfId="19651" xr:uid="{00000000-0005-0000-0000-0000C54C0000}"/>
    <cellStyle name="Normal 119 61 2" xfId="19652" xr:uid="{00000000-0005-0000-0000-0000C64C0000}"/>
    <cellStyle name="Normal 119 62" xfId="19653" xr:uid="{00000000-0005-0000-0000-0000C74C0000}"/>
    <cellStyle name="Normal 119 62 2" xfId="19654" xr:uid="{00000000-0005-0000-0000-0000C84C0000}"/>
    <cellStyle name="Normal 119 62 3" xfId="19655" xr:uid="{00000000-0005-0000-0000-0000C94C0000}"/>
    <cellStyle name="Normal 119 63" xfId="19656" xr:uid="{00000000-0005-0000-0000-0000CA4C0000}"/>
    <cellStyle name="Normal 119 7" xfId="19657" xr:uid="{00000000-0005-0000-0000-0000CB4C0000}"/>
    <cellStyle name="Normal 119 7 2" xfId="19658" xr:uid="{00000000-0005-0000-0000-0000CC4C0000}"/>
    <cellStyle name="Normal 119 8" xfId="19659" xr:uid="{00000000-0005-0000-0000-0000CD4C0000}"/>
    <cellStyle name="Normal 119 8 2" xfId="19660" xr:uid="{00000000-0005-0000-0000-0000CE4C0000}"/>
    <cellStyle name="Normal 119 9" xfId="19661" xr:uid="{00000000-0005-0000-0000-0000CF4C0000}"/>
    <cellStyle name="Normal 119 9 2" xfId="19662" xr:uid="{00000000-0005-0000-0000-0000D04C0000}"/>
    <cellStyle name="Normal 12" xfId="19663" xr:uid="{00000000-0005-0000-0000-0000D14C0000}"/>
    <cellStyle name="Normal 12 10" xfId="19664" xr:uid="{00000000-0005-0000-0000-0000D24C0000}"/>
    <cellStyle name="Normal 12 10 2" xfId="19665" xr:uid="{00000000-0005-0000-0000-0000D34C0000}"/>
    <cellStyle name="Normal 12 11" xfId="19666" xr:uid="{00000000-0005-0000-0000-0000D44C0000}"/>
    <cellStyle name="Normal 12 11 2" xfId="19667" xr:uid="{00000000-0005-0000-0000-0000D54C0000}"/>
    <cellStyle name="Normal 12 12" xfId="19668" xr:uid="{00000000-0005-0000-0000-0000D64C0000}"/>
    <cellStyle name="Normal 12 12 2" xfId="19669" xr:uid="{00000000-0005-0000-0000-0000D74C0000}"/>
    <cellStyle name="Normal 12 13" xfId="19670" xr:uid="{00000000-0005-0000-0000-0000D84C0000}"/>
    <cellStyle name="Normal 12 13 2" xfId="19671" xr:uid="{00000000-0005-0000-0000-0000D94C0000}"/>
    <cellStyle name="Normal 12 13 3" xfId="62540" xr:uid="{00000000-0005-0000-0000-0000DA4C0000}"/>
    <cellStyle name="Normal 12 14" xfId="19672" xr:uid="{00000000-0005-0000-0000-0000DB4C0000}"/>
    <cellStyle name="Normal 12 14 2" xfId="19673" xr:uid="{00000000-0005-0000-0000-0000DC4C0000}"/>
    <cellStyle name="Normal 12 15" xfId="19674" xr:uid="{00000000-0005-0000-0000-0000DD4C0000}"/>
    <cellStyle name="Normal 12 15 2" xfId="19675" xr:uid="{00000000-0005-0000-0000-0000DE4C0000}"/>
    <cellStyle name="Normal 12 16" xfId="19676" xr:uid="{00000000-0005-0000-0000-0000DF4C0000}"/>
    <cellStyle name="Normal 12 16 2" xfId="19677" xr:uid="{00000000-0005-0000-0000-0000E04C0000}"/>
    <cellStyle name="Normal 12 17" xfId="19678" xr:uid="{00000000-0005-0000-0000-0000E14C0000}"/>
    <cellStyle name="Normal 12 17 2" xfId="19679" xr:uid="{00000000-0005-0000-0000-0000E24C0000}"/>
    <cellStyle name="Normal 12 18" xfId="19680" xr:uid="{00000000-0005-0000-0000-0000E34C0000}"/>
    <cellStyle name="Normal 12 18 2" xfId="19681" xr:uid="{00000000-0005-0000-0000-0000E44C0000}"/>
    <cellStyle name="Normal 12 19" xfId="19682" xr:uid="{00000000-0005-0000-0000-0000E54C0000}"/>
    <cellStyle name="Normal 12 19 2" xfId="19683" xr:uid="{00000000-0005-0000-0000-0000E64C0000}"/>
    <cellStyle name="Normal 12 2" xfId="19684" xr:uid="{00000000-0005-0000-0000-0000E74C0000}"/>
    <cellStyle name="Normal 12 2 10" xfId="19685" xr:uid="{00000000-0005-0000-0000-0000E84C0000}"/>
    <cellStyle name="Normal 12 2 10 2" xfId="19686" xr:uid="{00000000-0005-0000-0000-0000E94C0000}"/>
    <cellStyle name="Normal 12 2 11" xfId="19687" xr:uid="{00000000-0005-0000-0000-0000EA4C0000}"/>
    <cellStyle name="Normal 12 2 12" xfId="19688" xr:uid="{00000000-0005-0000-0000-0000EB4C0000}"/>
    <cellStyle name="Normal 12 2 13" xfId="19689" xr:uid="{00000000-0005-0000-0000-0000EC4C0000}"/>
    <cellStyle name="Normal 12 2 2" xfId="19690" xr:uid="{00000000-0005-0000-0000-0000ED4C0000}"/>
    <cellStyle name="Normal 12 2 2 10" xfId="19691" xr:uid="{00000000-0005-0000-0000-0000EE4C0000}"/>
    <cellStyle name="Normal 12 2 2 11" xfId="62541" xr:uid="{00000000-0005-0000-0000-0000EF4C0000}"/>
    <cellStyle name="Normal 12 2 2 2" xfId="19692" xr:uid="{00000000-0005-0000-0000-0000F04C0000}"/>
    <cellStyle name="Normal 12 2 2 2 2" xfId="19693" xr:uid="{00000000-0005-0000-0000-0000F14C0000}"/>
    <cellStyle name="Normal 12 2 2 2 2 2" xfId="19694" xr:uid="{00000000-0005-0000-0000-0000F24C0000}"/>
    <cellStyle name="Normal 12 2 2 2 2 2 2" xfId="19695" xr:uid="{00000000-0005-0000-0000-0000F34C0000}"/>
    <cellStyle name="Normal 12 2 2 2 2 2 2 2" xfId="19696" xr:uid="{00000000-0005-0000-0000-0000F44C0000}"/>
    <cellStyle name="Normal 12 2 2 2 2 2 2 2 2" xfId="19697" xr:uid="{00000000-0005-0000-0000-0000F54C0000}"/>
    <cellStyle name="Normal 12 2 2 2 2 2 2 2 2 2" xfId="19698" xr:uid="{00000000-0005-0000-0000-0000F64C0000}"/>
    <cellStyle name="Normal 12 2 2 2 2 2 2 2 3" xfId="19699" xr:uid="{00000000-0005-0000-0000-0000F74C0000}"/>
    <cellStyle name="Normal 12 2 2 2 2 2 2 2 4" xfId="19700" xr:uid="{00000000-0005-0000-0000-0000F84C0000}"/>
    <cellStyle name="Normal 12 2 2 2 2 2 2 3" xfId="19701" xr:uid="{00000000-0005-0000-0000-0000F94C0000}"/>
    <cellStyle name="Normal 12 2 2 2 2 2 2 3 2" xfId="19702" xr:uid="{00000000-0005-0000-0000-0000FA4C0000}"/>
    <cellStyle name="Normal 12 2 2 2 2 2 2 4" xfId="19703" xr:uid="{00000000-0005-0000-0000-0000FB4C0000}"/>
    <cellStyle name="Normal 12 2 2 2 2 2 2 5" xfId="19704" xr:uid="{00000000-0005-0000-0000-0000FC4C0000}"/>
    <cellStyle name="Normal 12 2 2 2 2 2 2 6" xfId="62542" xr:uid="{00000000-0005-0000-0000-0000FD4C0000}"/>
    <cellStyle name="Normal 12 2 2 2 2 2 3" xfId="19705" xr:uid="{00000000-0005-0000-0000-0000FE4C0000}"/>
    <cellStyle name="Normal 12 2 2 2 2 2 3 2" xfId="19706" xr:uid="{00000000-0005-0000-0000-0000FF4C0000}"/>
    <cellStyle name="Normal 12 2 2 2 2 2 3 2 2" xfId="19707" xr:uid="{00000000-0005-0000-0000-0000004D0000}"/>
    <cellStyle name="Normal 12 2 2 2 2 2 3 3" xfId="19708" xr:uid="{00000000-0005-0000-0000-0000014D0000}"/>
    <cellStyle name="Normal 12 2 2 2 2 2 3 4" xfId="19709" xr:uid="{00000000-0005-0000-0000-0000024D0000}"/>
    <cellStyle name="Normal 12 2 2 2 2 2 4" xfId="19710" xr:uid="{00000000-0005-0000-0000-0000034D0000}"/>
    <cellStyle name="Normal 12 2 2 2 2 2 4 2" xfId="19711" xr:uid="{00000000-0005-0000-0000-0000044D0000}"/>
    <cellStyle name="Normal 12 2 2 2 2 2 5" xfId="19712" xr:uid="{00000000-0005-0000-0000-0000054D0000}"/>
    <cellStyle name="Normal 12 2 2 2 2 2 6" xfId="19713" xr:uid="{00000000-0005-0000-0000-0000064D0000}"/>
    <cellStyle name="Normal 12 2 2 2 2 3" xfId="19714" xr:uid="{00000000-0005-0000-0000-0000074D0000}"/>
    <cellStyle name="Normal 12 2 2 2 2 3 2" xfId="19715" xr:uid="{00000000-0005-0000-0000-0000084D0000}"/>
    <cellStyle name="Normal 12 2 2 2 2 3 2 2" xfId="19716" xr:uid="{00000000-0005-0000-0000-0000094D0000}"/>
    <cellStyle name="Normal 12 2 2 2 2 3 2 2 2" xfId="19717" xr:uid="{00000000-0005-0000-0000-00000A4D0000}"/>
    <cellStyle name="Normal 12 2 2 2 2 3 2 3" xfId="19718" xr:uid="{00000000-0005-0000-0000-00000B4D0000}"/>
    <cellStyle name="Normal 12 2 2 2 2 3 2 4" xfId="19719" xr:uid="{00000000-0005-0000-0000-00000C4D0000}"/>
    <cellStyle name="Normal 12 2 2 2 2 3 3" xfId="19720" xr:uid="{00000000-0005-0000-0000-00000D4D0000}"/>
    <cellStyle name="Normal 12 2 2 2 2 3 3 2" xfId="19721" xr:uid="{00000000-0005-0000-0000-00000E4D0000}"/>
    <cellStyle name="Normal 12 2 2 2 2 3 4" xfId="19722" xr:uid="{00000000-0005-0000-0000-00000F4D0000}"/>
    <cellStyle name="Normal 12 2 2 2 2 3 5" xfId="19723" xr:uid="{00000000-0005-0000-0000-0000104D0000}"/>
    <cellStyle name="Normal 12 2 2 2 2 4" xfId="19724" xr:uid="{00000000-0005-0000-0000-0000114D0000}"/>
    <cellStyle name="Normal 12 2 2 2 2 4 2" xfId="19725" xr:uid="{00000000-0005-0000-0000-0000124D0000}"/>
    <cellStyle name="Normal 12 2 2 2 2 4 2 2" xfId="19726" xr:uid="{00000000-0005-0000-0000-0000134D0000}"/>
    <cellStyle name="Normal 12 2 2 2 2 4 3" xfId="19727" xr:uid="{00000000-0005-0000-0000-0000144D0000}"/>
    <cellStyle name="Normal 12 2 2 2 2 4 4" xfId="19728" xr:uid="{00000000-0005-0000-0000-0000154D0000}"/>
    <cellStyle name="Normal 12 2 2 2 2 5" xfId="19729" xr:uid="{00000000-0005-0000-0000-0000164D0000}"/>
    <cellStyle name="Normal 12 2 2 2 2 5 2" xfId="19730" xr:uid="{00000000-0005-0000-0000-0000174D0000}"/>
    <cellStyle name="Normal 12 2 2 2 2 6" xfId="19731" xr:uid="{00000000-0005-0000-0000-0000184D0000}"/>
    <cellStyle name="Normal 12 2 2 2 2 7" xfId="19732" xr:uid="{00000000-0005-0000-0000-0000194D0000}"/>
    <cellStyle name="Normal 12 2 2 2 3" xfId="19733" xr:uid="{00000000-0005-0000-0000-00001A4D0000}"/>
    <cellStyle name="Normal 12 2 2 2 3 2" xfId="19734" xr:uid="{00000000-0005-0000-0000-00001B4D0000}"/>
    <cellStyle name="Normal 12 2 2 2 3 2 2" xfId="19735" xr:uid="{00000000-0005-0000-0000-00001C4D0000}"/>
    <cellStyle name="Normal 12 2 2 2 3 2 2 2" xfId="19736" xr:uid="{00000000-0005-0000-0000-00001D4D0000}"/>
    <cellStyle name="Normal 12 2 2 2 3 2 2 2 2" xfId="19737" xr:uid="{00000000-0005-0000-0000-00001E4D0000}"/>
    <cellStyle name="Normal 12 2 2 2 3 2 2 3" xfId="19738" xr:uid="{00000000-0005-0000-0000-00001F4D0000}"/>
    <cellStyle name="Normal 12 2 2 2 3 2 2 4" xfId="19739" xr:uid="{00000000-0005-0000-0000-0000204D0000}"/>
    <cellStyle name="Normal 12 2 2 2 3 2 3" xfId="19740" xr:uid="{00000000-0005-0000-0000-0000214D0000}"/>
    <cellStyle name="Normal 12 2 2 2 3 2 3 2" xfId="19741" xr:uid="{00000000-0005-0000-0000-0000224D0000}"/>
    <cellStyle name="Normal 12 2 2 2 3 2 4" xfId="19742" xr:uid="{00000000-0005-0000-0000-0000234D0000}"/>
    <cellStyle name="Normal 12 2 2 2 3 2 5" xfId="19743" xr:uid="{00000000-0005-0000-0000-0000244D0000}"/>
    <cellStyle name="Normal 12 2 2 2 3 3" xfId="19744" xr:uid="{00000000-0005-0000-0000-0000254D0000}"/>
    <cellStyle name="Normal 12 2 2 2 3 3 2" xfId="19745" xr:uid="{00000000-0005-0000-0000-0000264D0000}"/>
    <cellStyle name="Normal 12 2 2 2 3 3 2 2" xfId="19746" xr:uid="{00000000-0005-0000-0000-0000274D0000}"/>
    <cellStyle name="Normal 12 2 2 2 3 3 3" xfId="19747" xr:uid="{00000000-0005-0000-0000-0000284D0000}"/>
    <cellStyle name="Normal 12 2 2 2 3 3 3 2" xfId="19748" xr:uid="{00000000-0005-0000-0000-0000294D0000}"/>
    <cellStyle name="Normal 12 2 2 2 3 3 4" xfId="19749" xr:uid="{00000000-0005-0000-0000-00002A4D0000}"/>
    <cellStyle name="Normal 12 2 2 2 3 3 5" xfId="19750" xr:uid="{00000000-0005-0000-0000-00002B4D0000}"/>
    <cellStyle name="Normal 12 2 2 2 3 4" xfId="19751" xr:uid="{00000000-0005-0000-0000-00002C4D0000}"/>
    <cellStyle name="Normal 12 2 2 2 3 4 2" xfId="19752" xr:uid="{00000000-0005-0000-0000-00002D4D0000}"/>
    <cellStyle name="Normal 12 2 2 2 3 5" xfId="19753" xr:uid="{00000000-0005-0000-0000-00002E4D0000}"/>
    <cellStyle name="Normal 12 2 2 2 3 5 2" xfId="19754" xr:uid="{00000000-0005-0000-0000-00002F4D0000}"/>
    <cellStyle name="Normal 12 2 2 2 3 6" xfId="19755" xr:uid="{00000000-0005-0000-0000-0000304D0000}"/>
    <cellStyle name="Normal 12 2 2 2 3 7" xfId="19756" xr:uid="{00000000-0005-0000-0000-0000314D0000}"/>
    <cellStyle name="Normal 12 2 2 2 4" xfId="19757" xr:uid="{00000000-0005-0000-0000-0000324D0000}"/>
    <cellStyle name="Normal 12 2 2 2 4 2" xfId="19758" xr:uid="{00000000-0005-0000-0000-0000334D0000}"/>
    <cellStyle name="Normal 12 2 2 2 4 2 2" xfId="19759" xr:uid="{00000000-0005-0000-0000-0000344D0000}"/>
    <cellStyle name="Normal 12 2 2 2 4 2 2 2" xfId="19760" xr:uid="{00000000-0005-0000-0000-0000354D0000}"/>
    <cellStyle name="Normal 12 2 2 2 4 2 3" xfId="19761" xr:uid="{00000000-0005-0000-0000-0000364D0000}"/>
    <cellStyle name="Normal 12 2 2 2 4 2 4" xfId="19762" xr:uid="{00000000-0005-0000-0000-0000374D0000}"/>
    <cellStyle name="Normal 12 2 2 2 4 3" xfId="19763" xr:uid="{00000000-0005-0000-0000-0000384D0000}"/>
    <cellStyle name="Normal 12 2 2 2 4 3 2" xfId="19764" xr:uid="{00000000-0005-0000-0000-0000394D0000}"/>
    <cellStyle name="Normal 12 2 2 2 4 4" xfId="19765" xr:uid="{00000000-0005-0000-0000-00003A4D0000}"/>
    <cellStyle name="Normal 12 2 2 2 4 5" xfId="19766" xr:uid="{00000000-0005-0000-0000-00003B4D0000}"/>
    <cellStyle name="Normal 12 2 2 2 5" xfId="19767" xr:uid="{00000000-0005-0000-0000-00003C4D0000}"/>
    <cellStyle name="Normal 12 2 2 2 5 2" xfId="19768" xr:uid="{00000000-0005-0000-0000-00003D4D0000}"/>
    <cellStyle name="Normal 12 2 2 2 5 2 2" xfId="19769" xr:uid="{00000000-0005-0000-0000-00003E4D0000}"/>
    <cellStyle name="Normal 12 2 2 2 5 3" xfId="19770" xr:uid="{00000000-0005-0000-0000-00003F4D0000}"/>
    <cellStyle name="Normal 12 2 2 2 5 3 2" xfId="19771" xr:uid="{00000000-0005-0000-0000-0000404D0000}"/>
    <cellStyle name="Normal 12 2 2 2 5 4" xfId="19772" xr:uid="{00000000-0005-0000-0000-0000414D0000}"/>
    <cellStyle name="Normal 12 2 2 2 5 5" xfId="19773" xr:uid="{00000000-0005-0000-0000-0000424D0000}"/>
    <cellStyle name="Normal 12 2 2 2 6" xfId="19774" xr:uid="{00000000-0005-0000-0000-0000434D0000}"/>
    <cellStyle name="Normal 12 2 2 2 6 2" xfId="19775" xr:uid="{00000000-0005-0000-0000-0000444D0000}"/>
    <cellStyle name="Normal 12 2 2 2 7" xfId="19776" xr:uid="{00000000-0005-0000-0000-0000454D0000}"/>
    <cellStyle name="Normal 12 2 2 2 7 2" xfId="19777" xr:uid="{00000000-0005-0000-0000-0000464D0000}"/>
    <cellStyle name="Normal 12 2 2 2 8" xfId="19778" xr:uid="{00000000-0005-0000-0000-0000474D0000}"/>
    <cellStyle name="Normal 12 2 2 2 9" xfId="19779" xr:uid="{00000000-0005-0000-0000-0000484D0000}"/>
    <cellStyle name="Normal 12 2 2 3" xfId="19780" xr:uid="{00000000-0005-0000-0000-0000494D0000}"/>
    <cellStyle name="Normal 12 2 2 3 2" xfId="19781" xr:uid="{00000000-0005-0000-0000-00004A4D0000}"/>
    <cellStyle name="Normal 12 2 2 3 2 2" xfId="19782" xr:uid="{00000000-0005-0000-0000-00004B4D0000}"/>
    <cellStyle name="Normal 12 2 2 3 2 2 2" xfId="19783" xr:uid="{00000000-0005-0000-0000-00004C4D0000}"/>
    <cellStyle name="Normal 12 2 2 3 2 2 2 2" xfId="19784" xr:uid="{00000000-0005-0000-0000-00004D4D0000}"/>
    <cellStyle name="Normal 12 2 2 3 2 2 2 2 2" xfId="19785" xr:uid="{00000000-0005-0000-0000-00004E4D0000}"/>
    <cellStyle name="Normal 12 2 2 3 2 2 2 3" xfId="19786" xr:uid="{00000000-0005-0000-0000-00004F4D0000}"/>
    <cellStyle name="Normal 12 2 2 3 2 2 2 4" xfId="19787" xr:uid="{00000000-0005-0000-0000-0000504D0000}"/>
    <cellStyle name="Normal 12 2 2 3 2 2 3" xfId="19788" xr:uid="{00000000-0005-0000-0000-0000514D0000}"/>
    <cellStyle name="Normal 12 2 2 3 2 2 3 2" xfId="19789" xr:uid="{00000000-0005-0000-0000-0000524D0000}"/>
    <cellStyle name="Normal 12 2 2 3 2 2 4" xfId="19790" xr:uid="{00000000-0005-0000-0000-0000534D0000}"/>
    <cellStyle name="Normal 12 2 2 3 2 2 5" xfId="19791" xr:uid="{00000000-0005-0000-0000-0000544D0000}"/>
    <cellStyle name="Normal 12 2 2 3 2 3" xfId="19792" xr:uid="{00000000-0005-0000-0000-0000554D0000}"/>
    <cellStyle name="Normal 12 2 2 3 2 3 2" xfId="19793" xr:uid="{00000000-0005-0000-0000-0000564D0000}"/>
    <cellStyle name="Normal 12 2 2 3 2 3 2 2" xfId="19794" xr:uid="{00000000-0005-0000-0000-0000574D0000}"/>
    <cellStyle name="Normal 12 2 2 3 2 3 3" xfId="19795" xr:uid="{00000000-0005-0000-0000-0000584D0000}"/>
    <cellStyle name="Normal 12 2 2 3 2 3 4" xfId="19796" xr:uid="{00000000-0005-0000-0000-0000594D0000}"/>
    <cellStyle name="Normal 12 2 2 3 2 4" xfId="19797" xr:uid="{00000000-0005-0000-0000-00005A4D0000}"/>
    <cellStyle name="Normal 12 2 2 3 2 4 2" xfId="19798" xr:uid="{00000000-0005-0000-0000-00005B4D0000}"/>
    <cellStyle name="Normal 12 2 2 3 2 5" xfId="19799" xr:uid="{00000000-0005-0000-0000-00005C4D0000}"/>
    <cellStyle name="Normal 12 2 2 3 2 6" xfId="19800" xr:uid="{00000000-0005-0000-0000-00005D4D0000}"/>
    <cellStyle name="Normal 12 2 2 3 3" xfId="19801" xr:uid="{00000000-0005-0000-0000-00005E4D0000}"/>
    <cellStyle name="Normal 12 2 2 3 3 2" xfId="19802" xr:uid="{00000000-0005-0000-0000-00005F4D0000}"/>
    <cellStyle name="Normal 12 2 2 3 3 2 2" xfId="19803" xr:uid="{00000000-0005-0000-0000-0000604D0000}"/>
    <cellStyle name="Normal 12 2 2 3 3 2 2 2" xfId="19804" xr:uid="{00000000-0005-0000-0000-0000614D0000}"/>
    <cellStyle name="Normal 12 2 2 3 3 2 3" xfId="19805" xr:uid="{00000000-0005-0000-0000-0000624D0000}"/>
    <cellStyle name="Normal 12 2 2 3 3 2 4" xfId="19806" xr:uid="{00000000-0005-0000-0000-0000634D0000}"/>
    <cellStyle name="Normal 12 2 2 3 3 3" xfId="19807" xr:uid="{00000000-0005-0000-0000-0000644D0000}"/>
    <cellStyle name="Normal 12 2 2 3 3 3 2" xfId="19808" xr:uid="{00000000-0005-0000-0000-0000654D0000}"/>
    <cellStyle name="Normal 12 2 2 3 3 4" xfId="19809" xr:uid="{00000000-0005-0000-0000-0000664D0000}"/>
    <cellStyle name="Normal 12 2 2 3 3 5" xfId="19810" xr:uid="{00000000-0005-0000-0000-0000674D0000}"/>
    <cellStyle name="Normal 12 2 2 3 4" xfId="19811" xr:uid="{00000000-0005-0000-0000-0000684D0000}"/>
    <cellStyle name="Normal 12 2 2 3 4 2" xfId="19812" xr:uid="{00000000-0005-0000-0000-0000694D0000}"/>
    <cellStyle name="Normal 12 2 2 3 4 2 2" xfId="19813" xr:uid="{00000000-0005-0000-0000-00006A4D0000}"/>
    <cellStyle name="Normal 12 2 2 3 4 3" xfId="19814" xr:uid="{00000000-0005-0000-0000-00006B4D0000}"/>
    <cellStyle name="Normal 12 2 2 3 4 4" xfId="19815" xr:uid="{00000000-0005-0000-0000-00006C4D0000}"/>
    <cellStyle name="Normal 12 2 2 3 5" xfId="19816" xr:uid="{00000000-0005-0000-0000-00006D4D0000}"/>
    <cellStyle name="Normal 12 2 2 3 5 2" xfId="19817" xr:uid="{00000000-0005-0000-0000-00006E4D0000}"/>
    <cellStyle name="Normal 12 2 2 3 6" xfId="19818" xr:uid="{00000000-0005-0000-0000-00006F4D0000}"/>
    <cellStyle name="Normal 12 2 2 3 7" xfId="19819" xr:uid="{00000000-0005-0000-0000-0000704D0000}"/>
    <cellStyle name="Normal 12 2 2 4" xfId="19820" xr:uid="{00000000-0005-0000-0000-0000714D0000}"/>
    <cellStyle name="Normal 12 2 2 4 2" xfId="19821" xr:uid="{00000000-0005-0000-0000-0000724D0000}"/>
    <cellStyle name="Normal 12 2 2 4 2 2" xfId="19822" xr:uid="{00000000-0005-0000-0000-0000734D0000}"/>
    <cellStyle name="Normal 12 2 2 4 2 2 2" xfId="19823" xr:uid="{00000000-0005-0000-0000-0000744D0000}"/>
    <cellStyle name="Normal 12 2 2 4 2 2 2 2" xfId="19824" xr:uid="{00000000-0005-0000-0000-0000754D0000}"/>
    <cellStyle name="Normal 12 2 2 4 2 2 3" xfId="19825" xr:uid="{00000000-0005-0000-0000-0000764D0000}"/>
    <cellStyle name="Normal 12 2 2 4 2 2 4" xfId="19826" xr:uid="{00000000-0005-0000-0000-0000774D0000}"/>
    <cellStyle name="Normal 12 2 2 4 2 3" xfId="19827" xr:uid="{00000000-0005-0000-0000-0000784D0000}"/>
    <cellStyle name="Normal 12 2 2 4 2 3 2" xfId="19828" xr:uid="{00000000-0005-0000-0000-0000794D0000}"/>
    <cellStyle name="Normal 12 2 2 4 2 4" xfId="19829" xr:uid="{00000000-0005-0000-0000-00007A4D0000}"/>
    <cellStyle name="Normal 12 2 2 4 2 5" xfId="19830" xr:uid="{00000000-0005-0000-0000-00007B4D0000}"/>
    <cellStyle name="Normal 12 2 2 4 3" xfId="19831" xr:uid="{00000000-0005-0000-0000-00007C4D0000}"/>
    <cellStyle name="Normal 12 2 2 4 3 2" xfId="19832" xr:uid="{00000000-0005-0000-0000-00007D4D0000}"/>
    <cellStyle name="Normal 12 2 2 4 3 2 2" xfId="19833" xr:uid="{00000000-0005-0000-0000-00007E4D0000}"/>
    <cellStyle name="Normal 12 2 2 4 3 3" xfId="19834" xr:uid="{00000000-0005-0000-0000-00007F4D0000}"/>
    <cellStyle name="Normal 12 2 2 4 3 3 2" xfId="19835" xr:uid="{00000000-0005-0000-0000-0000804D0000}"/>
    <cellStyle name="Normal 12 2 2 4 3 4" xfId="19836" xr:uid="{00000000-0005-0000-0000-0000814D0000}"/>
    <cellStyle name="Normal 12 2 2 4 3 5" xfId="19837" xr:uid="{00000000-0005-0000-0000-0000824D0000}"/>
    <cellStyle name="Normal 12 2 2 4 4" xfId="19838" xr:uid="{00000000-0005-0000-0000-0000834D0000}"/>
    <cellStyle name="Normal 12 2 2 4 4 2" xfId="19839" xr:uid="{00000000-0005-0000-0000-0000844D0000}"/>
    <cellStyle name="Normal 12 2 2 4 5" xfId="19840" xr:uid="{00000000-0005-0000-0000-0000854D0000}"/>
    <cellStyle name="Normal 12 2 2 4 5 2" xfId="19841" xr:uid="{00000000-0005-0000-0000-0000864D0000}"/>
    <cellStyle name="Normal 12 2 2 4 6" xfId="19842" xr:uid="{00000000-0005-0000-0000-0000874D0000}"/>
    <cellStyle name="Normal 12 2 2 4 7" xfId="19843" xr:uid="{00000000-0005-0000-0000-0000884D0000}"/>
    <cellStyle name="Normal 12 2 2 5" xfId="19844" xr:uid="{00000000-0005-0000-0000-0000894D0000}"/>
    <cellStyle name="Normal 12 2 2 5 2" xfId="19845" xr:uid="{00000000-0005-0000-0000-00008A4D0000}"/>
    <cellStyle name="Normal 12 2 2 5 2 2" xfId="19846" xr:uid="{00000000-0005-0000-0000-00008B4D0000}"/>
    <cellStyle name="Normal 12 2 2 5 2 2 2" xfId="19847" xr:uid="{00000000-0005-0000-0000-00008C4D0000}"/>
    <cellStyle name="Normal 12 2 2 5 2 3" xfId="19848" xr:uid="{00000000-0005-0000-0000-00008D4D0000}"/>
    <cellStyle name="Normal 12 2 2 5 2 4" xfId="19849" xr:uid="{00000000-0005-0000-0000-00008E4D0000}"/>
    <cellStyle name="Normal 12 2 2 5 3" xfId="19850" xr:uid="{00000000-0005-0000-0000-00008F4D0000}"/>
    <cellStyle name="Normal 12 2 2 5 3 2" xfId="19851" xr:uid="{00000000-0005-0000-0000-0000904D0000}"/>
    <cellStyle name="Normal 12 2 2 5 4" xfId="19852" xr:uid="{00000000-0005-0000-0000-0000914D0000}"/>
    <cellStyle name="Normal 12 2 2 5 5" xfId="19853" xr:uid="{00000000-0005-0000-0000-0000924D0000}"/>
    <cellStyle name="Normal 12 2 2 6" xfId="19854" xr:uid="{00000000-0005-0000-0000-0000934D0000}"/>
    <cellStyle name="Normal 12 2 2 6 2" xfId="19855" xr:uid="{00000000-0005-0000-0000-0000944D0000}"/>
    <cellStyle name="Normal 12 2 2 6 2 2" xfId="19856" xr:uid="{00000000-0005-0000-0000-0000954D0000}"/>
    <cellStyle name="Normal 12 2 2 6 3" xfId="19857" xr:uid="{00000000-0005-0000-0000-0000964D0000}"/>
    <cellStyle name="Normal 12 2 2 6 3 2" xfId="19858" xr:uid="{00000000-0005-0000-0000-0000974D0000}"/>
    <cellStyle name="Normal 12 2 2 6 4" xfId="19859" xr:uid="{00000000-0005-0000-0000-0000984D0000}"/>
    <cellStyle name="Normal 12 2 2 6 5" xfId="19860" xr:uid="{00000000-0005-0000-0000-0000994D0000}"/>
    <cellStyle name="Normal 12 2 2 7" xfId="19861" xr:uid="{00000000-0005-0000-0000-00009A4D0000}"/>
    <cellStyle name="Normal 12 2 2 7 2" xfId="19862" xr:uid="{00000000-0005-0000-0000-00009B4D0000}"/>
    <cellStyle name="Normal 12 2 2 8" xfId="19863" xr:uid="{00000000-0005-0000-0000-00009C4D0000}"/>
    <cellStyle name="Normal 12 2 2 8 2" xfId="19864" xr:uid="{00000000-0005-0000-0000-00009D4D0000}"/>
    <cellStyle name="Normal 12 2 2 9" xfId="19865" xr:uid="{00000000-0005-0000-0000-00009E4D0000}"/>
    <cellStyle name="Normal 12 2 3" xfId="19866" xr:uid="{00000000-0005-0000-0000-00009F4D0000}"/>
    <cellStyle name="Normal 12 2 3 10" xfId="19867" xr:uid="{00000000-0005-0000-0000-0000A04D0000}"/>
    <cellStyle name="Normal 12 2 3 2" xfId="19868" xr:uid="{00000000-0005-0000-0000-0000A14D0000}"/>
    <cellStyle name="Normal 12 2 3 2 2" xfId="19869" xr:uid="{00000000-0005-0000-0000-0000A24D0000}"/>
    <cellStyle name="Normal 12 2 3 2 2 2" xfId="19870" xr:uid="{00000000-0005-0000-0000-0000A34D0000}"/>
    <cellStyle name="Normal 12 2 3 2 2 2 2" xfId="19871" xr:uid="{00000000-0005-0000-0000-0000A44D0000}"/>
    <cellStyle name="Normal 12 2 3 2 2 2 2 2" xfId="19872" xr:uid="{00000000-0005-0000-0000-0000A54D0000}"/>
    <cellStyle name="Normal 12 2 3 2 2 2 2 2 2" xfId="19873" xr:uid="{00000000-0005-0000-0000-0000A64D0000}"/>
    <cellStyle name="Normal 12 2 3 2 2 2 2 3" xfId="19874" xr:uid="{00000000-0005-0000-0000-0000A74D0000}"/>
    <cellStyle name="Normal 12 2 3 2 2 2 2 4" xfId="19875" xr:uid="{00000000-0005-0000-0000-0000A84D0000}"/>
    <cellStyle name="Normal 12 2 3 2 2 2 3" xfId="19876" xr:uid="{00000000-0005-0000-0000-0000A94D0000}"/>
    <cellStyle name="Normal 12 2 3 2 2 2 3 2" xfId="19877" xr:uid="{00000000-0005-0000-0000-0000AA4D0000}"/>
    <cellStyle name="Normal 12 2 3 2 2 2 4" xfId="19878" xr:uid="{00000000-0005-0000-0000-0000AB4D0000}"/>
    <cellStyle name="Normal 12 2 3 2 2 2 5" xfId="19879" xr:uid="{00000000-0005-0000-0000-0000AC4D0000}"/>
    <cellStyle name="Normal 12 2 3 2 2 3" xfId="19880" xr:uid="{00000000-0005-0000-0000-0000AD4D0000}"/>
    <cellStyle name="Normal 12 2 3 2 2 3 2" xfId="19881" xr:uid="{00000000-0005-0000-0000-0000AE4D0000}"/>
    <cellStyle name="Normal 12 2 3 2 2 3 2 2" xfId="19882" xr:uid="{00000000-0005-0000-0000-0000AF4D0000}"/>
    <cellStyle name="Normal 12 2 3 2 2 3 3" xfId="19883" xr:uid="{00000000-0005-0000-0000-0000B04D0000}"/>
    <cellStyle name="Normal 12 2 3 2 2 3 4" xfId="19884" xr:uid="{00000000-0005-0000-0000-0000B14D0000}"/>
    <cellStyle name="Normal 12 2 3 2 2 4" xfId="19885" xr:uid="{00000000-0005-0000-0000-0000B24D0000}"/>
    <cellStyle name="Normal 12 2 3 2 2 4 2" xfId="19886" xr:uid="{00000000-0005-0000-0000-0000B34D0000}"/>
    <cellStyle name="Normal 12 2 3 2 2 5" xfId="19887" xr:uid="{00000000-0005-0000-0000-0000B44D0000}"/>
    <cellStyle name="Normal 12 2 3 2 2 6" xfId="19888" xr:uid="{00000000-0005-0000-0000-0000B54D0000}"/>
    <cellStyle name="Normal 12 2 3 2 3" xfId="19889" xr:uid="{00000000-0005-0000-0000-0000B64D0000}"/>
    <cellStyle name="Normal 12 2 3 2 3 2" xfId="19890" xr:uid="{00000000-0005-0000-0000-0000B74D0000}"/>
    <cellStyle name="Normal 12 2 3 2 3 2 2" xfId="19891" xr:uid="{00000000-0005-0000-0000-0000B84D0000}"/>
    <cellStyle name="Normal 12 2 3 2 3 2 2 2" xfId="19892" xr:uid="{00000000-0005-0000-0000-0000B94D0000}"/>
    <cellStyle name="Normal 12 2 3 2 3 2 3" xfId="19893" xr:uid="{00000000-0005-0000-0000-0000BA4D0000}"/>
    <cellStyle name="Normal 12 2 3 2 3 2 4" xfId="19894" xr:uid="{00000000-0005-0000-0000-0000BB4D0000}"/>
    <cellStyle name="Normal 12 2 3 2 3 3" xfId="19895" xr:uid="{00000000-0005-0000-0000-0000BC4D0000}"/>
    <cellStyle name="Normal 12 2 3 2 3 3 2" xfId="19896" xr:uid="{00000000-0005-0000-0000-0000BD4D0000}"/>
    <cellStyle name="Normal 12 2 3 2 3 4" xfId="19897" xr:uid="{00000000-0005-0000-0000-0000BE4D0000}"/>
    <cellStyle name="Normal 12 2 3 2 3 5" xfId="19898" xr:uid="{00000000-0005-0000-0000-0000BF4D0000}"/>
    <cellStyle name="Normal 12 2 3 2 4" xfId="19899" xr:uid="{00000000-0005-0000-0000-0000C04D0000}"/>
    <cellStyle name="Normal 12 2 3 2 4 2" xfId="19900" xr:uid="{00000000-0005-0000-0000-0000C14D0000}"/>
    <cellStyle name="Normal 12 2 3 2 4 2 2" xfId="19901" xr:uid="{00000000-0005-0000-0000-0000C24D0000}"/>
    <cellStyle name="Normal 12 2 3 2 4 3" xfId="19902" xr:uid="{00000000-0005-0000-0000-0000C34D0000}"/>
    <cellStyle name="Normal 12 2 3 2 4 4" xfId="19903" xr:uid="{00000000-0005-0000-0000-0000C44D0000}"/>
    <cellStyle name="Normal 12 2 3 2 5" xfId="19904" xr:uid="{00000000-0005-0000-0000-0000C54D0000}"/>
    <cellStyle name="Normal 12 2 3 2 5 2" xfId="19905" xr:uid="{00000000-0005-0000-0000-0000C64D0000}"/>
    <cellStyle name="Normal 12 2 3 2 6" xfId="19906" xr:uid="{00000000-0005-0000-0000-0000C74D0000}"/>
    <cellStyle name="Normal 12 2 3 2 7" xfId="19907" xr:uid="{00000000-0005-0000-0000-0000C84D0000}"/>
    <cellStyle name="Normal 12 2 3 3" xfId="19908" xr:uid="{00000000-0005-0000-0000-0000C94D0000}"/>
    <cellStyle name="Normal 12 2 3 3 2" xfId="19909" xr:uid="{00000000-0005-0000-0000-0000CA4D0000}"/>
    <cellStyle name="Normal 12 2 3 3 2 2" xfId="19910" xr:uid="{00000000-0005-0000-0000-0000CB4D0000}"/>
    <cellStyle name="Normal 12 2 3 3 2 2 2" xfId="19911" xr:uid="{00000000-0005-0000-0000-0000CC4D0000}"/>
    <cellStyle name="Normal 12 2 3 3 2 2 2 2" xfId="19912" xr:uid="{00000000-0005-0000-0000-0000CD4D0000}"/>
    <cellStyle name="Normal 12 2 3 3 2 2 3" xfId="19913" xr:uid="{00000000-0005-0000-0000-0000CE4D0000}"/>
    <cellStyle name="Normal 12 2 3 3 2 2 4" xfId="19914" xr:uid="{00000000-0005-0000-0000-0000CF4D0000}"/>
    <cellStyle name="Normal 12 2 3 3 2 3" xfId="19915" xr:uid="{00000000-0005-0000-0000-0000D04D0000}"/>
    <cellStyle name="Normal 12 2 3 3 2 3 2" xfId="19916" xr:uid="{00000000-0005-0000-0000-0000D14D0000}"/>
    <cellStyle name="Normal 12 2 3 3 2 4" xfId="19917" xr:uid="{00000000-0005-0000-0000-0000D24D0000}"/>
    <cellStyle name="Normal 12 2 3 3 2 5" xfId="19918" xr:uid="{00000000-0005-0000-0000-0000D34D0000}"/>
    <cellStyle name="Normal 12 2 3 3 3" xfId="19919" xr:uid="{00000000-0005-0000-0000-0000D44D0000}"/>
    <cellStyle name="Normal 12 2 3 3 3 2" xfId="19920" xr:uid="{00000000-0005-0000-0000-0000D54D0000}"/>
    <cellStyle name="Normal 12 2 3 3 3 2 2" xfId="19921" xr:uid="{00000000-0005-0000-0000-0000D64D0000}"/>
    <cellStyle name="Normal 12 2 3 3 3 3" xfId="19922" xr:uid="{00000000-0005-0000-0000-0000D74D0000}"/>
    <cellStyle name="Normal 12 2 3 3 3 3 2" xfId="19923" xr:uid="{00000000-0005-0000-0000-0000D84D0000}"/>
    <cellStyle name="Normal 12 2 3 3 3 4" xfId="19924" xr:uid="{00000000-0005-0000-0000-0000D94D0000}"/>
    <cellStyle name="Normal 12 2 3 3 3 5" xfId="19925" xr:uid="{00000000-0005-0000-0000-0000DA4D0000}"/>
    <cellStyle name="Normal 12 2 3 3 4" xfId="19926" xr:uid="{00000000-0005-0000-0000-0000DB4D0000}"/>
    <cellStyle name="Normal 12 2 3 3 4 2" xfId="19927" xr:uid="{00000000-0005-0000-0000-0000DC4D0000}"/>
    <cellStyle name="Normal 12 2 3 3 5" xfId="19928" xr:uid="{00000000-0005-0000-0000-0000DD4D0000}"/>
    <cellStyle name="Normal 12 2 3 3 5 2" xfId="19929" xr:uid="{00000000-0005-0000-0000-0000DE4D0000}"/>
    <cellStyle name="Normal 12 2 3 3 6" xfId="19930" xr:uid="{00000000-0005-0000-0000-0000DF4D0000}"/>
    <cellStyle name="Normal 12 2 3 3 7" xfId="19931" xr:uid="{00000000-0005-0000-0000-0000E04D0000}"/>
    <cellStyle name="Normal 12 2 3 4" xfId="19932" xr:uid="{00000000-0005-0000-0000-0000E14D0000}"/>
    <cellStyle name="Normal 12 2 3 4 2" xfId="19933" xr:uid="{00000000-0005-0000-0000-0000E24D0000}"/>
    <cellStyle name="Normal 12 2 3 4 2 2" xfId="19934" xr:uid="{00000000-0005-0000-0000-0000E34D0000}"/>
    <cellStyle name="Normal 12 2 3 4 2 2 2" xfId="19935" xr:uid="{00000000-0005-0000-0000-0000E44D0000}"/>
    <cellStyle name="Normal 12 2 3 4 2 3" xfId="19936" xr:uid="{00000000-0005-0000-0000-0000E54D0000}"/>
    <cellStyle name="Normal 12 2 3 4 2 4" xfId="19937" xr:uid="{00000000-0005-0000-0000-0000E64D0000}"/>
    <cellStyle name="Normal 12 2 3 4 3" xfId="19938" xr:uid="{00000000-0005-0000-0000-0000E74D0000}"/>
    <cellStyle name="Normal 12 2 3 4 3 2" xfId="19939" xr:uid="{00000000-0005-0000-0000-0000E84D0000}"/>
    <cellStyle name="Normal 12 2 3 4 4" xfId="19940" xr:uid="{00000000-0005-0000-0000-0000E94D0000}"/>
    <cellStyle name="Normal 12 2 3 4 5" xfId="19941" xr:uid="{00000000-0005-0000-0000-0000EA4D0000}"/>
    <cellStyle name="Normal 12 2 3 5" xfId="19942" xr:uid="{00000000-0005-0000-0000-0000EB4D0000}"/>
    <cellStyle name="Normal 12 2 3 5 2" xfId="19943" xr:uid="{00000000-0005-0000-0000-0000EC4D0000}"/>
    <cellStyle name="Normal 12 2 3 5 2 2" xfId="19944" xr:uid="{00000000-0005-0000-0000-0000ED4D0000}"/>
    <cellStyle name="Normal 12 2 3 5 3" xfId="19945" xr:uid="{00000000-0005-0000-0000-0000EE4D0000}"/>
    <cellStyle name="Normal 12 2 3 5 3 2" xfId="19946" xr:uid="{00000000-0005-0000-0000-0000EF4D0000}"/>
    <cellStyle name="Normal 12 2 3 5 4" xfId="19947" xr:uid="{00000000-0005-0000-0000-0000F04D0000}"/>
    <cellStyle name="Normal 12 2 3 5 5" xfId="19948" xr:uid="{00000000-0005-0000-0000-0000F14D0000}"/>
    <cellStyle name="Normal 12 2 3 6" xfId="19949" xr:uid="{00000000-0005-0000-0000-0000F24D0000}"/>
    <cellStyle name="Normal 12 2 3 6 2" xfId="19950" xr:uid="{00000000-0005-0000-0000-0000F34D0000}"/>
    <cellStyle name="Normal 12 2 3 7" xfId="19951" xr:uid="{00000000-0005-0000-0000-0000F44D0000}"/>
    <cellStyle name="Normal 12 2 3 7 2" xfId="19952" xr:uid="{00000000-0005-0000-0000-0000F54D0000}"/>
    <cellStyle name="Normal 12 2 3 8" xfId="19953" xr:uid="{00000000-0005-0000-0000-0000F64D0000}"/>
    <cellStyle name="Normal 12 2 3 9" xfId="19954" xr:uid="{00000000-0005-0000-0000-0000F74D0000}"/>
    <cellStyle name="Normal 12 2 4" xfId="19955" xr:uid="{00000000-0005-0000-0000-0000F84D0000}"/>
    <cellStyle name="Normal 12 2 4 2" xfId="19956" xr:uid="{00000000-0005-0000-0000-0000F94D0000}"/>
    <cellStyle name="Normal 12 2 4 2 2" xfId="19957" xr:uid="{00000000-0005-0000-0000-0000FA4D0000}"/>
    <cellStyle name="Normal 12 2 4 2 2 2" xfId="19958" xr:uid="{00000000-0005-0000-0000-0000FB4D0000}"/>
    <cellStyle name="Normal 12 2 4 2 2 2 2" xfId="19959" xr:uid="{00000000-0005-0000-0000-0000FC4D0000}"/>
    <cellStyle name="Normal 12 2 4 2 2 2 2 2" xfId="19960" xr:uid="{00000000-0005-0000-0000-0000FD4D0000}"/>
    <cellStyle name="Normal 12 2 4 2 2 2 3" xfId="19961" xr:uid="{00000000-0005-0000-0000-0000FE4D0000}"/>
    <cellStyle name="Normal 12 2 4 2 2 2 4" xfId="19962" xr:uid="{00000000-0005-0000-0000-0000FF4D0000}"/>
    <cellStyle name="Normal 12 2 4 2 2 3" xfId="19963" xr:uid="{00000000-0005-0000-0000-0000004E0000}"/>
    <cellStyle name="Normal 12 2 4 2 2 3 2" xfId="19964" xr:uid="{00000000-0005-0000-0000-0000014E0000}"/>
    <cellStyle name="Normal 12 2 4 2 2 4" xfId="19965" xr:uid="{00000000-0005-0000-0000-0000024E0000}"/>
    <cellStyle name="Normal 12 2 4 2 2 5" xfId="19966" xr:uid="{00000000-0005-0000-0000-0000034E0000}"/>
    <cellStyle name="Normal 12 2 4 2 3" xfId="19967" xr:uid="{00000000-0005-0000-0000-0000044E0000}"/>
    <cellStyle name="Normal 12 2 4 2 3 2" xfId="19968" xr:uid="{00000000-0005-0000-0000-0000054E0000}"/>
    <cellStyle name="Normal 12 2 4 2 3 2 2" xfId="19969" xr:uid="{00000000-0005-0000-0000-0000064E0000}"/>
    <cellStyle name="Normal 12 2 4 2 3 3" xfId="19970" xr:uid="{00000000-0005-0000-0000-0000074E0000}"/>
    <cellStyle name="Normal 12 2 4 2 3 3 2" xfId="19971" xr:uid="{00000000-0005-0000-0000-0000084E0000}"/>
    <cellStyle name="Normal 12 2 4 2 3 4" xfId="19972" xr:uid="{00000000-0005-0000-0000-0000094E0000}"/>
    <cellStyle name="Normal 12 2 4 2 3 5" xfId="19973" xr:uid="{00000000-0005-0000-0000-00000A4E0000}"/>
    <cellStyle name="Normal 12 2 4 2 4" xfId="19974" xr:uid="{00000000-0005-0000-0000-00000B4E0000}"/>
    <cellStyle name="Normal 12 2 4 2 4 2" xfId="19975" xr:uid="{00000000-0005-0000-0000-00000C4E0000}"/>
    <cellStyle name="Normal 12 2 4 2 5" xfId="19976" xr:uid="{00000000-0005-0000-0000-00000D4E0000}"/>
    <cellStyle name="Normal 12 2 4 2 5 2" xfId="19977" xr:uid="{00000000-0005-0000-0000-00000E4E0000}"/>
    <cellStyle name="Normal 12 2 4 2 6" xfId="19978" xr:uid="{00000000-0005-0000-0000-00000F4E0000}"/>
    <cellStyle name="Normal 12 2 4 2 7" xfId="19979" xr:uid="{00000000-0005-0000-0000-0000104E0000}"/>
    <cellStyle name="Normal 12 2 4 3" xfId="19980" xr:uid="{00000000-0005-0000-0000-0000114E0000}"/>
    <cellStyle name="Normal 12 2 4 3 2" xfId="19981" xr:uid="{00000000-0005-0000-0000-0000124E0000}"/>
    <cellStyle name="Normal 12 2 4 3 2 2" xfId="19982" xr:uid="{00000000-0005-0000-0000-0000134E0000}"/>
    <cellStyle name="Normal 12 2 4 3 2 2 2" xfId="19983" xr:uid="{00000000-0005-0000-0000-0000144E0000}"/>
    <cellStyle name="Normal 12 2 4 3 2 3" xfId="19984" xr:uid="{00000000-0005-0000-0000-0000154E0000}"/>
    <cellStyle name="Normal 12 2 4 3 2 4" xfId="19985" xr:uid="{00000000-0005-0000-0000-0000164E0000}"/>
    <cellStyle name="Normal 12 2 4 3 3" xfId="19986" xr:uid="{00000000-0005-0000-0000-0000174E0000}"/>
    <cellStyle name="Normal 12 2 4 3 3 2" xfId="19987" xr:uid="{00000000-0005-0000-0000-0000184E0000}"/>
    <cellStyle name="Normal 12 2 4 3 4" xfId="19988" xr:uid="{00000000-0005-0000-0000-0000194E0000}"/>
    <cellStyle name="Normal 12 2 4 3 5" xfId="19989" xr:uid="{00000000-0005-0000-0000-00001A4E0000}"/>
    <cellStyle name="Normal 12 2 4 4" xfId="19990" xr:uid="{00000000-0005-0000-0000-00001B4E0000}"/>
    <cellStyle name="Normal 12 2 4 4 2" xfId="19991" xr:uid="{00000000-0005-0000-0000-00001C4E0000}"/>
    <cellStyle name="Normal 12 2 4 4 2 2" xfId="19992" xr:uid="{00000000-0005-0000-0000-00001D4E0000}"/>
    <cellStyle name="Normal 12 2 4 4 3" xfId="19993" xr:uid="{00000000-0005-0000-0000-00001E4E0000}"/>
    <cellStyle name="Normal 12 2 4 4 3 2" xfId="19994" xr:uid="{00000000-0005-0000-0000-00001F4E0000}"/>
    <cellStyle name="Normal 12 2 4 4 4" xfId="19995" xr:uid="{00000000-0005-0000-0000-0000204E0000}"/>
    <cellStyle name="Normal 12 2 4 4 5" xfId="19996" xr:uid="{00000000-0005-0000-0000-0000214E0000}"/>
    <cellStyle name="Normal 12 2 4 5" xfId="19997" xr:uid="{00000000-0005-0000-0000-0000224E0000}"/>
    <cellStyle name="Normal 12 2 4 5 2" xfId="19998" xr:uid="{00000000-0005-0000-0000-0000234E0000}"/>
    <cellStyle name="Normal 12 2 4 6" xfId="19999" xr:uid="{00000000-0005-0000-0000-0000244E0000}"/>
    <cellStyle name="Normal 12 2 4 6 2" xfId="20000" xr:uid="{00000000-0005-0000-0000-0000254E0000}"/>
    <cellStyle name="Normal 12 2 4 7" xfId="20001" xr:uid="{00000000-0005-0000-0000-0000264E0000}"/>
    <cellStyle name="Normal 12 2 4 8" xfId="20002" xr:uid="{00000000-0005-0000-0000-0000274E0000}"/>
    <cellStyle name="Normal 12 2 5" xfId="20003" xr:uid="{00000000-0005-0000-0000-0000284E0000}"/>
    <cellStyle name="Normal 12 2 5 2" xfId="20004" xr:uid="{00000000-0005-0000-0000-0000294E0000}"/>
    <cellStyle name="Normal 12 2 5 2 2" xfId="20005" xr:uid="{00000000-0005-0000-0000-00002A4E0000}"/>
    <cellStyle name="Normal 12 2 5 2 2 2" xfId="20006" xr:uid="{00000000-0005-0000-0000-00002B4E0000}"/>
    <cellStyle name="Normal 12 2 5 2 2 2 2" xfId="20007" xr:uid="{00000000-0005-0000-0000-00002C4E0000}"/>
    <cellStyle name="Normal 12 2 5 2 2 3" xfId="20008" xr:uid="{00000000-0005-0000-0000-00002D4E0000}"/>
    <cellStyle name="Normal 12 2 5 2 2 4" xfId="20009" xr:uid="{00000000-0005-0000-0000-00002E4E0000}"/>
    <cellStyle name="Normal 12 2 5 2 3" xfId="20010" xr:uid="{00000000-0005-0000-0000-00002F4E0000}"/>
    <cellStyle name="Normal 12 2 5 2 3 2" xfId="20011" xr:uid="{00000000-0005-0000-0000-0000304E0000}"/>
    <cellStyle name="Normal 12 2 5 2 4" xfId="20012" xr:uid="{00000000-0005-0000-0000-0000314E0000}"/>
    <cellStyle name="Normal 12 2 5 2 5" xfId="20013" xr:uid="{00000000-0005-0000-0000-0000324E0000}"/>
    <cellStyle name="Normal 12 2 5 3" xfId="20014" xr:uid="{00000000-0005-0000-0000-0000334E0000}"/>
    <cellStyle name="Normal 12 2 5 3 2" xfId="20015" xr:uid="{00000000-0005-0000-0000-0000344E0000}"/>
    <cellStyle name="Normal 12 2 5 3 3" xfId="20016" xr:uid="{00000000-0005-0000-0000-0000354E0000}"/>
    <cellStyle name="Normal 12 2 5 4" xfId="20017" xr:uid="{00000000-0005-0000-0000-0000364E0000}"/>
    <cellStyle name="Normal 12 2 5 4 2" xfId="20018" xr:uid="{00000000-0005-0000-0000-0000374E0000}"/>
    <cellStyle name="Normal 12 2 5 5" xfId="20019" xr:uid="{00000000-0005-0000-0000-0000384E0000}"/>
    <cellStyle name="Normal 12 2 6" xfId="20020" xr:uid="{00000000-0005-0000-0000-0000394E0000}"/>
    <cellStyle name="Normal 12 2 6 2" xfId="20021" xr:uid="{00000000-0005-0000-0000-00003A4E0000}"/>
    <cellStyle name="Normal 12 2 6 2 2" xfId="20022" xr:uid="{00000000-0005-0000-0000-00003B4E0000}"/>
    <cellStyle name="Normal 12 2 6 2 2 2" xfId="20023" xr:uid="{00000000-0005-0000-0000-00003C4E0000}"/>
    <cellStyle name="Normal 12 2 6 2 3" xfId="20024" xr:uid="{00000000-0005-0000-0000-00003D4E0000}"/>
    <cellStyle name="Normal 12 2 6 2 3 2" xfId="20025" xr:uid="{00000000-0005-0000-0000-00003E4E0000}"/>
    <cellStyle name="Normal 12 2 6 2 4" xfId="20026" xr:uid="{00000000-0005-0000-0000-00003F4E0000}"/>
    <cellStyle name="Normal 12 2 6 2 5" xfId="20027" xr:uid="{00000000-0005-0000-0000-0000404E0000}"/>
    <cellStyle name="Normal 12 2 6 3" xfId="20028" xr:uid="{00000000-0005-0000-0000-0000414E0000}"/>
    <cellStyle name="Normal 12 2 6 3 2" xfId="20029" xr:uid="{00000000-0005-0000-0000-0000424E0000}"/>
    <cellStyle name="Normal 12 2 6 4" xfId="20030" xr:uid="{00000000-0005-0000-0000-0000434E0000}"/>
    <cellStyle name="Normal 12 2 6 4 2" xfId="20031" xr:uid="{00000000-0005-0000-0000-0000444E0000}"/>
    <cellStyle name="Normal 12 2 6 5" xfId="20032" xr:uid="{00000000-0005-0000-0000-0000454E0000}"/>
    <cellStyle name="Normal 12 2 6 6" xfId="20033" xr:uid="{00000000-0005-0000-0000-0000464E0000}"/>
    <cellStyle name="Normal 12 2 7" xfId="20034" xr:uid="{00000000-0005-0000-0000-0000474E0000}"/>
    <cellStyle name="Normal 12 2 7 2" xfId="20035" xr:uid="{00000000-0005-0000-0000-0000484E0000}"/>
    <cellStyle name="Normal 12 2 7 2 2" xfId="20036" xr:uid="{00000000-0005-0000-0000-0000494E0000}"/>
    <cellStyle name="Normal 12 2 7 3" xfId="20037" xr:uid="{00000000-0005-0000-0000-00004A4E0000}"/>
    <cellStyle name="Normal 12 2 7 3 2" xfId="20038" xr:uid="{00000000-0005-0000-0000-00004B4E0000}"/>
    <cellStyle name="Normal 12 2 7 4" xfId="20039" xr:uid="{00000000-0005-0000-0000-00004C4E0000}"/>
    <cellStyle name="Normal 12 2 7 5" xfId="20040" xr:uid="{00000000-0005-0000-0000-00004D4E0000}"/>
    <cellStyle name="Normal 12 2 8" xfId="20041" xr:uid="{00000000-0005-0000-0000-00004E4E0000}"/>
    <cellStyle name="Normal 12 2 8 2" xfId="20042" xr:uid="{00000000-0005-0000-0000-00004F4E0000}"/>
    <cellStyle name="Normal 12 2 8 2 2" xfId="20043" xr:uid="{00000000-0005-0000-0000-0000504E0000}"/>
    <cellStyle name="Normal 12 2 8 3" xfId="20044" xr:uid="{00000000-0005-0000-0000-0000514E0000}"/>
    <cellStyle name="Normal 12 2 9" xfId="20045" xr:uid="{00000000-0005-0000-0000-0000524E0000}"/>
    <cellStyle name="Normal 12 2 9 2" xfId="20046" xr:uid="{00000000-0005-0000-0000-0000534E0000}"/>
    <cellStyle name="Normal 12 20" xfId="20047" xr:uid="{00000000-0005-0000-0000-0000544E0000}"/>
    <cellStyle name="Normal 12 20 2" xfId="20048" xr:uid="{00000000-0005-0000-0000-0000554E0000}"/>
    <cellStyle name="Normal 12 21" xfId="20049" xr:uid="{00000000-0005-0000-0000-0000564E0000}"/>
    <cellStyle name="Normal 12 21 2" xfId="20050" xr:uid="{00000000-0005-0000-0000-0000574E0000}"/>
    <cellStyle name="Normal 12 22" xfId="20051" xr:uid="{00000000-0005-0000-0000-0000584E0000}"/>
    <cellStyle name="Normal 12 22 2" xfId="20052" xr:uid="{00000000-0005-0000-0000-0000594E0000}"/>
    <cellStyle name="Normal 12 23" xfId="20053" xr:uid="{00000000-0005-0000-0000-00005A4E0000}"/>
    <cellStyle name="Normal 12 23 2" xfId="20054" xr:uid="{00000000-0005-0000-0000-00005B4E0000}"/>
    <cellStyle name="Normal 12 24" xfId="20055" xr:uid="{00000000-0005-0000-0000-00005C4E0000}"/>
    <cellStyle name="Normal 12 24 2" xfId="20056" xr:uid="{00000000-0005-0000-0000-00005D4E0000}"/>
    <cellStyle name="Normal 12 25" xfId="20057" xr:uid="{00000000-0005-0000-0000-00005E4E0000}"/>
    <cellStyle name="Normal 12 25 2" xfId="20058" xr:uid="{00000000-0005-0000-0000-00005F4E0000}"/>
    <cellStyle name="Normal 12 26" xfId="20059" xr:uid="{00000000-0005-0000-0000-0000604E0000}"/>
    <cellStyle name="Normal 12 26 2" xfId="20060" xr:uid="{00000000-0005-0000-0000-0000614E0000}"/>
    <cellStyle name="Normal 12 27" xfId="20061" xr:uid="{00000000-0005-0000-0000-0000624E0000}"/>
    <cellStyle name="Normal 12 27 2" xfId="20062" xr:uid="{00000000-0005-0000-0000-0000634E0000}"/>
    <cellStyle name="Normal 12 28" xfId="20063" xr:uid="{00000000-0005-0000-0000-0000644E0000}"/>
    <cellStyle name="Normal 12 28 2" xfId="20064" xr:uid="{00000000-0005-0000-0000-0000654E0000}"/>
    <cellStyle name="Normal 12 29" xfId="20065" xr:uid="{00000000-0005-0000-0000-0000664E0000}"/>
    <cellStyle name="Normal 12 29 2" xfId="20066" xr:uid="{00000000-0005-0000-0000-0000674E0000}"/>
    <cellStyle name="Normal 12 3" xfId="20067" xr:uid="{00000000-0005-0000-0000-0000684E0000}"/>
    <cellStyle name="Normal 12 3 10" xfId="20068" xr:uid="{00000000-0005-0000-0000-0000694E0000}"/>
    <cellStyle name="Normal 12 3 2" xfId="20069" xr:uid="{00000000-0005-0000-0000-00006A4E0000}"/>
    <cellStyle name="Normal 12 3 2 2" xfId="20070" xr:uid="{00000000-0005-0000-0000-00006B4E0000}"/>
    <cellStyle name="Normal 12 3 2 2 2" xfId="20071" xr:uid="{00000000-0005-0000-0000-00006C4E0000}"/>
    <cellStyle name="Normal 12 3 2 2 2 2" xfId="20072" xr:uid="{00000000-0005-0000-0000-00006D4E0000}"/>
    <cellStyle name="Normal 12 3 2 2 2 2 2" xfId="20073" xr:uid="{00000000-0005-0000-0000-00006E4E0000}"/>
    <cellStyle name="Normal 12 3 2 2 2 2 2 2" xfId="20074" xr:uid="{00000000-0005-0000-0000-00006F4E0000}"/>
    <cellStyle name="Normal 12 3 2 2 2 2 2 2 2" xfId="20075" xr:uid="{00000000-0005-0000-0000-0000704E0000}"/>
    <cellStyle name="Normal 12 3 2 2 2 2 2 3" xfId="20076" xr:uid="{00000000-0005-0000-0000-0000714E0000}"/>
    <cellStyle name="Normal 12 3 2 2 2 2 2 4" xfId="20077" xr:uid="{00000000-0005-0000-0000-0000724E0000}"/>
    <cellStyle name="Normal 12 3 2 2 2 2 3" xfId="20078" xr:uid="{00000000-0005-0000-0000-0000734E0000}"/>
    <cellStyle name="Normal 12 3 2 2 2 2 3 2" xfId="20079" xr:uid="{00000000-0005-0000-0000-0000744E0000}"/>
    <cellStyle name="Normal 12 3 2 2 2 2 4" xfId="20080" xr:uid="{00000000-0005-0000-0000-0000754E0000}"/>
    <cellStyle name="Normal 12 3 2 2 2 2 5" xfId="20081" xr:uid="{00000000-0005-0000-0000-0000764E0000}"/>
    <cellStyle name="Normal 12 3 2 2 2 3" xfId="20082" xr:uid="{00000000-0005-0000-0000-0000774E0000}"/>
    <cellStyle name="Normal 12 3 2 2 2 3 2" xfId="20083" xr:uid="{00000000-0005-0000-0000-0000784E0000}"/>
    <cellStyle name="Normal 12 3 2 2 2 3 2 2" xfId="20084" xr:uid="{00000000-0005-0000-0000-0000794E0000}"/>
    <cellStyle name="Normal 12 3 2 2 2 3 3" xfId="20085" xr:uid="{00000000-0005-0000-0000-00007A4E0000}"/>
    <cellStyle name="Normal 12 3 2 2 2 3 4" xfId="20086" xr:uid="{00000000-0005-0000-0000-00007B4E0000}"/>
    <cellStyle name="Normal 12 3 2 2 2 4" xfId="20087" xr:uid="{00000000-0005-0000-0000-00007C4E0000}"/>
    <cellStyle name="Normal 12 3 2 2 2 4 2" xfId="20088" xr:uid="{00000000-0005-0000-0000-00007D4E0000}"/>
    <cellStyle name="Normal 12 3 2 2 2 5" xfId="20089" xr:uid="{00000000-0005-0000-0000-00007E4E0000}"/>
    <cellStyle name="Normal 12 3 2 2 2 6" xfId="20090" xr:uid="{00000000-0005-0000-0000-00007F4E0000}"/>
    <cellStyle name="Normal 12 3 2 2 3" xfId="20091" xr:uid="{00000000-0005-0000-0000-0000804E0000}"/>
    <cellStyle name="Normal 12 3 2 2 3 2" xfId="20092" xr:uid="{00000000-0005-0000-0000-0000814E0000}"/>
    <cellStyle name="Normal 12 3 2 2 3 2 2" xfId="20093" xr:uid="{00000000-0005-0000-0000-0000824E0000}"/>
    <cellStyle name="Normal 12 3 2 2 3 2 2 2" xfId="20094" xr:uid="{00000000-0005-0000-0000-0000834E0000}"/>
    <cellStyle name="Normal 12 3 2 2 3 2 3" xfId="20095" xr:uid="{00000000-0005-0000-0000-0000844E0000}"/>
    <cellStyle name="Normal 12 3 2 2 3 2 4" xfId="20096" xr:uid="{00000000-0005-0000-0000-0000854E0000}"/>
    <cellStyle name="Normal 12 3 2 2 3 3" xfId="20097" xr:uid="{00000000-0005-0000-0000-0000864E0000}"/>
    <cellStyle name="Normal 12 3 2 2 3 3 2" xfId="20098" xr:uid="{00000000-0005-0000-0000-0000874E0000}"/>
    <cellStyle name="Normal 12 3 2 2 3 4" xfId="20099" xr:uid="{00000000-0005-0000-0000-0000884E0000}"/>
    <cellStyle name="Normal 12 3 2 2 3 5" xfId="20100" xr:uid="{00000000-0005-0000-0000-0000894E0000}"/>
    <cellStyle name="Normal 12 3 2 2 4" xfId="20101" xr:uid="{00000000-0005-0000-0000-00008A4E0000}"/>
    <cellStyle name="Normal 12 3 2 2 4 2" xfId="20102" xr:uid="{00000000-0005-0000-0000-00008B4E0000}"/>
    <cellStyle name="Normal 12 3 2 2 4 2 2" xfId="20103" xr:uid="{00000000-0005-0000-0000-00008C4E0000}"/>
    <cellStyle name="Normal 12 3 2 2 4 3" xfId="20104" xr:uid="{00000000-0005-0000-0000-00008D4E0000}"/>
    <cellStyle name="Normal 12 3 2 2 4 4" xfId="20105" xr:uid="{00000000-0005-0000-0000-00008E4E0000}"/>
    <cellStyle name="Normal 12 3 2 2 5" xfId="20106" xr:uid="{00000000-0005-0000-0000-00008F4E0000}"/>
    <cellStyle name="Normal 12 3 2 2 5 2" xfId="20107" xr:uid="{00000000-0005-0000-0000-0000904E0000}"/>
    <cellStyle name="Normal 12 3 2 2 6" xfId="20108" xr:uid="{00000000-0005-0000-0000-0000914E0000}"/>
    <cellStyle name="Normal 12 3 2 2 7" xfId="20109" xr:uid="{00000000-0005-0000-0000-0000924E0000}"/>
    <cellStyle name="Normal 12 3 2 3" xfId="20110" xr:uid="{00000000-0005-0000-0000-0000934E0000}"/>
    <cellStyle name="Normal 12 3 2 3 2" xfId="20111" xr:uid="{00000000-0005-0000-0000-0000944E0000}"/>
    <cellStyle name="Normal 12 3 2 3 2 2" xfId="20112" xr:uid="{00000000-0005-0000-0000-0000954E0000}"/>
    <cellStyle name="Normal 12 3 2 3 2 2 2" xfId="20113" xr:uid="{00000000-0005-0000-0000-0000964E0000}"/>
    <cellStyle name="Normal 12 3 2 3 2 2 2 2" xfId="20114" xr:uid="{00000000-0005-0000-0000-0000974E0000}"/>
    <cellStyle name="Normal 12 3 2 3 2 2 3" xfId="20115" xr:uid="{00000000-0005-0000-0000-0000984E0000}"/>
    <cellStyle name="Normal 12 3 2 3 2 2 4" xfId="20116" xr:uid="{00000000-0005-0000-0000-0000994E0000}"/>
    <cellStyle name="Normal 12 3 2 3 2 3" xfId="20117" xr:uid="{00000000-0005-0000-0000-00009A4E0000}"/>
    <cellStyle name="Normal 12 3 2 3 2 3 2" xfId="20118" xr:uid="{00000000-0005-0000-0000-00009B4E0000}"/>
    <cellStyle name="Normal 12 3 2 3 2 4" xfId="20119" xr:uid="{00000000-0005-0000-0000-00009C4E0000}"/>
    <cellStyle name="Normal 12 3 2 3 2 5" xfId="20120" xr:uid="{00000000-0005-0000-0000-00009D4E0000}"/>
    <cellStyle name="Normal 12 3 2 3 3" xfId="20121" xr:uid="{00000000-0005-0000-0000-00009E4E0000}"/>
    <cellStyle name="Normal 12 3 2 3 3 2" xfId="20122" xr:uid="{00000000-0005-0000-0000-00009F4E0000}"/>
    <cellStyle name="Normal 12 3 2 3 3 2 2" xfId="20123" xr:uid="{00000000-0005-0000-0000-0000A04E0000}"/>
    <cellStyle name="Normal 12 3 2 3 3 3" xfId="20124" xr:uid="{00000000-0005-0000-0000-0000A14E0000}"/>
    <cellStyle name="Normal 12 3 2 3 3 3 2" xfId="20125" xr:uid="{00000000-0005-0000-0000-0000A24E0000}"/>
    <cellStyle name="Normal 12 3 2 3 3 4" xfId="20126" xr:uid="{00000000-0005-0000-0000-0000A34E0000}"/>
    <cellStyle name="Normal 12 3 2 3 3 5" xfId="20127" xr:uid="{00000000-0005-0000-0000-0000A44E0000}"/>
    <cellStyle name="Normal 12 3 2 3 4" xfId="20128" xr:uid="{00000000-0005-0000-0000-0000A54E0000}"/>
    <cellStyle name="Normal 12 3 2 3 4 2" xfId="20129" xr:uid="{00000000-0005-0000-0000-0000A64E0000}"/>
    <cellStyle name="Normal 12 3 2 3 5" xfId="20130" xr:uid="{00000000-0005-0000-0000-0000A74E0000}"/>
    <cellStyle name="Normal 12 3 2 3 5 2" xfId="20131" xr:uid="{00000000-0005-0000-0000-0000A84E0000}"/>
    <cellStyle name="Normal 12 3 2 3 6" xfId="20132" xr:uid="{00000000-0005-0000-0000-0000A94E0000}"/>
    <cellStyle name="Normal 12 3 2 3 7" xfId="20133" xr:uid="{00000000-0005-0000-0000-0000AA4E0000}"/>
    <cellStyle name="Normal 12 3 2 4" xfId="20134" xr:uid="{00000000-0005-0000-0000-0000AB4E0000}"/>
    <cellStyle name="Normal 12 3 2 4 2" xfId="20135" xr:uid="{00000000-0005-0000-0000-0000AC4E0000}"/>
    <cellStyle name="Normal 12 3 2 4 2 2" xfId="20136" xr:uid="{00000000-0005-0000-0000-0000AD4E0000}"/>
    <cellStyle name="Normal 12 3 2 4 2 2 2" xfId="20137" xr:uid="{00000000-0005-0000-0000-0000AE4E0000}"/>
    <cellStyle name="Normal 12 3 2 4 2 3" xfId="20138" xr:uid="{00000000-0005-0000-0000-0000AF4E0000}"/>
    <cellStyle name="Normal 12 3 2 4 2 4" xfId="20139" xr:uid="{00000000-0005-0000-0000-0000B04E0000}"/>
    <cellStyle name="Normal 12 3 2 4 3" xfId="20140" xr:uid="{00000000-0005-0000-0000-0000B14E0000}"/>
    <cellStyle name="Normal 12 3 2 4 3 2" xfId="20141" xr:uid="{00000000-0005-0000-0000-0000B24E0000}"/>
    <cellStyle name="Normal 12 3 2 4 4" xfId="20142" xr:uid="{00000000-0005-0000-0000-0000B34E0000}"/>
    <cellStyle name="Normal 12 3 2 4 5" xfId="20143" xr:uid="{00000000-0005-0000-0000-0000B44E0000}"/>
    <cellStyle name="Normal 12 3 2 5" xfId="20144" xr:uid="{00000000-0005-0000-0000-0000B54E0000}"/>
    <cellStyle name="Normal 12 3 2 5 2" xfId="20145" xr:uid="{00000000-0005-0000-0000-0000B64E0000}"/>
    <cellStyle name="Normal 12 3 2 5 2 2" xfId="20146" xr:uid="{00000000-0005-0000-0000-0000B74E0000}"/>
    <cellStyle name="Normal 12 3 2 5 3" xfId="20147" xr:uid="{00000000-0005-0000-0000-0000B84E0000}"/>
    <cellStyle name="Normal 12 3 2 5 3 2" xfId="20148" xr:uid="{00000000-0005-0000-0000-0000B94E0000}"/>
    <cellStyle name="Normal 12 3 2 5 4" xfId="20149" xr:uid="{00000000-0005-0000-0000-0000BA4E0000}"/>
    <cellStyle name="Normal 12 3 2 5 5" xfId="20150" xr:uid="{00000000-0005-0000-0000-0000BB4E0000}"/>
    <cellStyle name="Normal 12 3 2 6" xfId="20151" xr:uid="{00000000-0005-0000-0000-0000BC4E0000}"/>
    <cellStyle name="Normal 12 3 2 6 2" xfId="20152" xr:uid="{00000000-0005-0000-0000-0000BD4E0000}"/>
    <cellStyle name="Normal 12 3 2 7" xfId="20153" xr:uid="{00000000-0005-0000-0000-0000BE4E0000}"/>
    <cellStyle name="Normal 12 3 2 7 2" xfId="20154" xr:uid="{00000000-0005-0000-0000-0000BF4E0000}"/>
    <cellStyle name="Normal 12 3 2 8" xfId="20155" xr:uid="{00000000-0005-0000-0000-0000C04E0000}"/>
    <cellStyle name="Normal 12 3 2 9" xfId="20156" xr:uid="{00000000-0005-0000-0000-0000C14E0000}"/>
    <cellStyle name="Normal 12 3 3" xfId="20157" xr:uid="{00000000-0005-0000-0000-0000C24E0000}"/>
    <cellStyle name="Normal 12 3 3 2" xfId="20158" xr:uid="{00000000-0005-0000-0000-0000C34E0000}"/>
    <cellStyle name="Normal 12 3 3 2 2" xfId="20159" xr:uid="{00000000-0005-0000-0000-0000C44E0000}"/>
    <cellStyle name="Normal 12 3 3 2 2 2" xfId="20160" xr:uid="{00000000-0005-0000-0000-0000C54E0000}"/>
    <cellStyle name="Normal 12 3 3 2 2 2 2" xfId="20161" xr:uid="{00000000-0005-0000-0000-0000C64E0000}"/>
    <cellStyle name="Normal 12 3 3 2 2 2 2 2" xfId="20162" xr:uid="{00000000-0005-0000-0000-0000C74E0000}"/>
    <cellStyle name="Normal 12 3 3 2 2 2 3" xfId="20163" xr:uid="{00000000-0005-0000-0000-0000C84E0000}"/>
    <cellStyle name="Normal 12 3 3 2 2 2 4" xfId="20164" xr:uid="{00000000-0005-0000-0000-0000C94E0000}"/>
    <cellStyle name="Normal 12 3 3 2 2 3" xfId="20165" xr:uid="{00000000-0005-0000-0000-0000CA4E0000}"/>
    <cellStyle name="Normal 12 3 3 2 2 3 2" xfId="20166" xr:uid="{00000000-0005-0000-0000-0000CB4E0000}"/>
    <cellStyle name="Normal 12 3 3 2 2 4" xfId="20167" xr:uid="{00000000-0005-0000-0000-0000CC4E0000}"/>
    <cellStyle name="Normal 12 3 3 2 2 5" xfId="20168" xr:uid="{00000000-0005-0000-0000-0000CD4E0000}"/>
    <cellStyle name="Normal 12 3 3 2 3" xfId="20169" xr:uid="{00000000-0005-0000-0000-0000CE4E0000}"/>
    <cellStyle name="Normal 12 3 3 2 3 2" xfId="20170" xr:uid="{00000000-0005-0000-0000-0000CF4E0000}"/>
    <cellStyle name="Normal 12 3 3 2 3 2 2" xfId="20171" xr:uid="{00000000-0005-0000-0000-0000D04E0000}"/>
    <cellStyle name="Normal 12 3 3 2 3 3" xfId="20172" xr:uid="{00000000-0005-0000-0000-0000D14E0000}"/>
    <cellStyle name="Normal 12 3 3 2 3 3 2" xfId="20173" xr:uid="{00000000-0005-0000-0000-0000D24E0000}"/>
    <cellStyle name="Normal 12 3 3 2 3 4" xfId="20174" xr:uid="{00000000-0005-0000-0000-0000D34E0000}"/>
    <cellStyle name="Normal 12 3 3 2 3 5" xfId="20175" xr:uid="{00000000-0005-0000-0000-0000D44E0000}"/>
    <cellStyle name="Normal 12 3 3 2 4" xfId="20176" xr:uid="{00000000-0005-0000-0000-0000D54E0000}"/>
    <cellStyle name="Normal 12 3 3 2 4 2" xfId="20177" xr:uid="{00000000-0005-0000-0000-0000D64E0000}"/>
    <cellStyle name="Normal 12 3 3 2 5" xfId="20178" xr:uid="{00000000-0005-0000-0000-0000D74E0000}"/>
    <cellStyle name="Normal 12 3 3 2 5 2" xfId="20179" xr:uid="{00000000-0005-0000-0000-0000D84E0000}"/>
    <cellStyle name="Normal 12 3 3 2 6" xfId="20180" xr:uid="{00000000-0005-0000-0000-0000D94E0000}"/>
    <cellStyle name="Normal 12 3 3 2 7" xfId="20181" xr:uid="{00000000-0005-0000-0000-0000DA4E0000}"/>
    <cellStyle name="Normal 12 3 3 3" xfId="20182" xr:uid="{00000000-0005-0000-0000-0000DB4E0000}"/>
    <cellStyle name="Normal 12 3 3 3 2" xfId="20183" xr:uid="{00000000-0005-0000-0000-0000DC4E0000}"/>
    <cellStyle name="Normal 12 3 3 3 2 2" xfId="20184" xr:uid="{00000000-0005-0000-0000-0000DD4E0000}"/>
    <cellStyle name="Normal 12 3 3 3 2 2 2" xfId="20185" xr:uid="{00000000-0005-0000-0000-0000DE4E0000}"/>
    <cellStyle name="Normal 12 3 3 3 2 3" xfId="20186" xr:uid="{00000000-0005-0000-0000-0000DF4E0000}"/>
    <cellStyle name="Normal 12 3 3 3 2 4" xfId="20187" xr:uid="{00000000-0005-0000-0000-0000E04E0000}"/>
    <cellStyle name="Normal 12 3 3 3 3" xfId="20188" xr:uid="{00000000-0005-0000-0000-0000E14E0000}"/>
    <cellStyle name="Normal 12 3 3 3 3 2" xfId="20189" xr:uid="{00000000-0005-0000-0000-0000E24E0000}"/>
    <cellStyle name="Normal 12 3 3 3 4" xfId="20190" xr:uid="{00000000-0005-0000-0000-0000E34E0000}"/>
    <cellStyle name="Normal 12 3 3 3 5" xfId="20191" xr:uid="{00000000-0005-0000-0000-0000E44E0000}"/>
    <cellStyle name="Normal 12 3 3 4" xfId="20192" xr:uid="{00000000-0005-0000-0000-0000E54E0000}"/>
    <cellStyle name="Normal 12 3 3 4 2" xfId="20193" xr:uid="{00000000-0005-0000-0000-0000E64E0000}"/>
    <cellStyle name="Normal 12 3 3 4 2 2" xfId="20194" xr:uid="{00000000-0005-0000-0000-0000E74E0000}"/>
    <cellStyle name="Normal 12 3 3 4 3" xfId="20195" xr:uid="{00000000-0005-0000-0000-0000E84E0000}"/>
    <cellStyle name="Normal 12 3 3 4 3 2" xfId="20196" xr:uid="{00000000-0005-0000-0000-0000E94E0000}"/>
    <cellStyle name="Normal 12 3 3 4 4" xfId="20197" xr:uid="{00000000-0005-0000-0000-0000EA4E0000}"/>
    <cellStyle name="Normal 12 3 3 4 5" xfId="20198" xr:uid="{00000000-0005-0000-0000-0000EB4E0000}"/>
    <cellStyle name="Normal 12 3 3 5" xfId="20199" xr:uid="{00000000-0005-0000-0000-0000EC4E0000}"/>
    <cellStyle name="Normal 12 3 3 5 2" xfId="20200" xr:uid="{00000000-0005-0000-0000-0000ED4E0000}"/>
    <cellStyle name="Normal 12 3 3 6" xfId="20201" xr:uid="{00000000-0005-0000-0000-0000EE4E0000}"/>
    <cellStyle name="Normal 12 3 3 6 2" xfId="20202" xr:uid="{00000000-0005-0000-0000-0000EF4E0000}"/>
    <cellStyle name="Normal 12 3 3 7" xfId="20203" xr:uid="{00000000-0005-0000-0000-0000F04E0000}"/>
    <cellStyle name="Normal 12 3 3 8" xfId="20204" xr:uid="{00000000-0005-0000-0000-0000F14E0000}"/>
    <cellStyle name="Normal 12 3 4" xfId="20205" xr:uid="{00000000-0005-0000-0000-0000F24E0000}"/>
    <cellStyle name="Normal 12 3 4 2" xfId="20206" xr:uid="{00000000-0005-0000-0000-0000F34E0000}"/>
    <cellStyle name="Normal 12 3 4 2 2" xfId="20207" xr:uid="{00000000-0005-0000-0000-0000F44E0000}"/>
    <cellStyle name="Normal 12 3 4 2 2 2" xfId="20208" xr:uid="{00000000-0005-0000-0000-0000F54E0000}"/>
    <cellStyle name="Normal 12 3 4 2 2 2 2" xfId="20209" xr:uid="{00000000-0005-0000-0000-0000F64E0000}"/>
    <cellStyle name="Normal 12 3 4 2 2 3" xfId="20210" xr:uid="{00000000-0005-0000-0000-0000F74E0000}"/>
    <cellStyle name="Normal 12 3 4 2 2 4" xfId="20211" xr:uid="{00000000-0005-0000-0000-0000F84E0000}"/>
    <cellStyle name="Normal 12 3 4 2 3" xfId="20212" xr:uid="{00000000-0005-0000-0000-0000F94E0000}"/>
    <cellStyle name="Normal 12 3 4 2 3 2" xfId="20213" xr:uid="{00000000-0005-0000-0000-0000FA4E0000}"/>
    <cellStyle name="Normal 12 3 4 2 4" xfId="20214" xr:uid="{00000000-0005-0000-0000-0000FB4E0000}"/>
    <cellStyle name="Normal 12 3 4 2 5" xfId="20215" xr:uid="{00000000-0005-0000-0000-0000FC4E0000}"/>
    <cellStyle name="Normal 12 3 4 3" xfId="20216" xr:uid="{00000000-0005-0000-0000-0000FD4E0000}"/>
    <cellStyle name="Normal 12 3 4 3 2" xfId="20217" xr:uid="{00000000-0005-0000-0000-0000FE4E0000}"/>
    <cellStyle name="Normal 12 3 4 3 2 2" xfId="20218" xr:uid="{00000000-0005-0000-0000-0000FF4E0000}"/>
    <cellStyle name="Normal 12 3 4 3 3" xfId="20219" xr:uid="{00000000-0005-0000-0000-0000004F0000}"/>
    <cellStyle name="Normal 12 3 4 3 3 2" xfId="20220" xr:uid="{00000000-0005-0000-0000-0000014F0000}"/>
    <cellStyle name="Normal 12 3 4 3 4" xfId="20221" xr:uid="{00000000-0005-0000-0000-0000024F0000}"/>
    <cellStyle name="Normal 12 3 4 3 5" xfId="20222" xr:uid="{00000000-0005-0000-0000-0000034F0000}"/>
    <cellStyle name="Normal 12 3 4 4" xfId="20223" xr:uid="{00000000-0005-0000-0000-0000044F0000}"/>
    <cellStyle name="Normal 12 3 4 4 2" xfId="20224" xr:uid="{00000000-0005-0000-0000-0000054F0000}"/>
    <cellStyle name="Normal 12 3 4 5" xfId="20225" xr:uid="{00000000-0005-0000-0000-0000064F0000}"/>
    <cellStyle name="Normal 12 3 4 5 2" xfId="20226" xr:uid="{00000000-0005-0000-0000-0000074F0000}"/>
    <cellStyle name="Normal 12 3 4 6" xfId="20227" xr:uid="{00000000-0005-0000-0000-0000084F0000}"/>
    <cellStyle name="Normal 12 3 4 7" xfId="20228" xr:uid="{00000000-0005-0000-0000-0000094F0000}"/>
    <cellStyle name="Normal 12 3 5" xfId="20229" xr:uid="{00000000-0005-0000-0000-00000A4F0000}"/>
    <cellStyle name="Normal 12 3 5 2" xfId="20230" xr:uid="{00000000-0005-0000-0000-00000B4F0000}"/>
    <cellStyle name="Normal 12 3 5 2 2" xfId="20231" xr:uid="{00000000-0005-0000-0000-00000C4F0000}"/>
    <cellStyle name="Normal 12 3 5 2 2 2" xfId="20232" xr:uid="{00000000-0005-0000-0000-00000D4F0000}"/>
    <cellStyle name="Normal 12 3 5 2 3" xfId="20233" xr:uid="{00000000-0005-0000-0000-00000E4F0000}"/>
    <cellStyle name="Normal 12 3 5 2 4" xfId="20234" xr:uid="{00000000-0005-0000-0000-00000F4F0000}"/>
    <cellStyle name="Normal 12 3 5 3" xfId="20235" xr:uid="{00000000-0005-0000-0000-0000104F0000}"/>
    <cellStyle name="Normal 12 3 5 3 2" xfId="20236" xr:uid="{00000000-0005-0000-0000-0000114F0000}"/>
    <cellStyle name="Normal 12 3 5 4" xfId="20237" xr:uid="{00000000-0005-0000-0000-0000124F0000}"/>
    <cellStyle name="Normal 12 3 5 5" xfId="20238" xr:uid="{00000000-0005-0000-0000-0000134F0000}"/>
    <cellStyle name="Normal 12 3 6" xfId="20239" xr:uid="{00000000-0005-0000-0000-0000144F0000}"/>
    <cellStyle name="Normal 12 3 6 2" xfId="20240" xr:uid="{00000000-0005-0000-0000-0000154F0000}"/>
    <cellStyle name="Normal 12 3 6 2 2" xfId="20241" xr:uid="{00000000-0005-0000-0000-0000164F0000}"/>
    <cellStyle name="Normal 12 3 6 3" xfId="20242" xr:uid="{00000000-0005-0000-0000-0000174F0000}"/>
    <cellStyle name="Normal 12 3 6 3 2" xfId="20243" xr:uid="{00000000-0005-0000-0000-0000184F0000}"/>
    <cellStyle name="Normal 12 3 6 4" xfId="20244" xr:uid="{00000000-0005-0000-0000-0000194F0000}"/>
    <cellStyle name="Normal 12 3 6 5" xfId="20245" xr:uid="{00000000-0005-0000-0000-00001A4F0000}"/>
    <cellStyle name="Normal 12 3 7" xfId="20246" xr:uid="{00000000-0005-0000-0000-00001B4F0000}"/>
    <cellStyle name="Normal 12 3 7 2" xfId="20247" xr:uid="{00000000-0005-0000-0000-00001C4F0000}"/>
    <cellStyle name="Normal 12 3 8" xfId="20248" xr:uid="{00000000-0005-0000-0000-00001D4F0000}"/>
    <cellStyle name="Normal 12 3 8 2" xfId="20249" xr:uid="{00000000-0005-0000-0000-00001E4F0000}"/>
    <cellStyle name="Normal 12 3 9" xfId="20250" xr:uid="{00000000-0005-0000-0000-00001F4F0000}"/>
    <cellStyle name="Normal 12 30" xfId="20251" xr:uid="{00000000-0005-0000-0000-0000204F0000}"/>
    <cellStyle name="Normal 12 30 2" xfId="20252" xr:uid="{00000000-0005-0000-0000-0000214F0000}"/>
    <cellStyle name="Normal 12 31" xfId="20253" xr:uid="{00000000-0005-0000-0000-0000224F0000}"/>
    <cellStyle name="Normal 12 31 2" xfId="20254" xr:uid="{00000000-0005-0000-0000-0000234F0000}"/>
    <cellStyle name="Normal 12 32" xfId="20255" xr:uid="{00000000-0005-0000-0000-0000244F0000}"/>
    <cellStyle name="Normal 12 32 2" xfId="20256" xr:uid="{00000000-0005-0000-0000-0000254F0000}"/>
    <cellStyle name="Normal 12 33" xfId="20257" xr:uid="{00000000-0005-0000-0000-0000264F0000}"/>
    <cellStyle name="Normal 12 33 2" xfId="20258" xr:uid="{00000000-0005-0000-0000-0000274F0000}"/>
    <cellStyle name="Normal 12 34" xfId="20259" xr:uid="{00000000-0005-0000-0000-0000284F0000}"/>
    <cellStyle name="Normal 12 34 2" xfId="20260" xr:uid="{00000000-0005-0000-0000-0000294F0000}"/>
    <cellStyle name="Normal 12 35" xfId="20261" xr:uid="{00000000-0005-0000-0000-00002A4F0000}"/>
    <cellStyle name="Normal 12 35 2" xfId="20262" xr:uid="{00000000-0005-0000-0000-00002B4F0000}"/>
    <cellStyle name="Normal 12 36" xfId="20263" xr:uid="{00000000-0005-0000-0000-00002C4F0000}"/>
    <cellStyle name="Normal 12 36 2" xfId="20264" xr:uid="{00000000-0005-0000-0000-00002D4F0000}"/>
    <cellStyle name="Normal 12 37" xfId="20265" xr:uid="{00000000-0005-0000-0000-00002E4F0000}"/>
    <cellStyle name="Normal 12 37 2" xfId="20266" xr:uid="{00000000-0005-0000-0000-00002F4F0000}"/>
    <cellStyle name="Normal 12 38" xfId="20267" xr:uid="{00000000-0005-0000-0000-0000304F0000}"/>
    <cellStyle name="Normal 12 38 2" xfId="20268" xr:uid="{00000000-0005-0000-0000-0000314F0000}"/>
    <cellStyle name="Normal 12 39" xfId="20269" xr:uid="{00000000-0005-0000-0000-0000324F0000}"/>
    <cellStyle name="Normal 12 39 2" xfId="20270" xr:uid="{00000000-0005-0000-0000-0000334F0000}"/>
    <cellStyle name="Normal 12 4" xfId="20271" xr:uid="{00000000-0005-0000-0000-0000344F0000}"/>
    <cellStyle name="Normal 12 4 2" xfId="20272" xr:uid="{00000000-0005-0000-0000-0000354F0000}"/>
    <cellStyle name="Normal 12 4 2 2" xfId="20273" xr:uid="{00000000-0005-0000-0000-0000364F0000}"/>
    <cellStyle name="Normal 12 4 2 2 2" xfId="20274" xr:uid="{00000000-0005-0000-0000-0000374F0000}"/>
    <cellStyle name="Normal 12 4 2 2 2 2" xfId="20275" xr:uid="{00000000-0005-0000-0000-0000384F0000}"/>
    <cellStyle name="Normal 12 4 2 2 2 2 2" xfId="20276" xr:uid="{00000000-0005-0000-0000-0000394F0000}"/>
    <cellStyle name="Normal 12 4 2 2 2 2 2 2" xfId="20277" xr:uid="{00000000-0005-0000-0000-00003A4F0000}"/>
    <cellStyle name="Normal 12 4 2 2 2 2 3" xfId="20278" xr:uid="{00000000-0005-0000-0000-00003B4F0000}"/>
    <cellStyle name="Normal 12 4 2 2 2 2 4" xfId="20279" xr:uid="{00000000-0005-0000-0000-00003C4F0000}"/>
    <cellStyle name="Normal 12 4 2 2 2 3" xfId="20280" xr:uid="{00000000-0005-0000-0000-00003D4F0000}"/>
    <cellStyle name="Normal 12 4 2 2 2 3 2" xfId="20281" xr:uid="{00000000-0005-0000-0000-00003E4F0000}"/>
    <cellStyle name="Normal 12 4 2 2 2 4" xfId="20282" xr:uid="{00000000-0005-0000-0000-00003F4F0000}"/>
    <cellStyle name="Normal 12 4 2 2 2 5" xfId="20283" xr:uid="{00000000-0005-0000-0000-0000404F0000}"/>
    <cellStyle name="Normal 12 4 2 2 3" xfId="20284" xr:uid="{00000000-0005-0000-0000-0000414F0000}"/>
    <cellStyle name="Normal 12 4 2 2 3 2" xfId="20285" xr:uid="{00000000-0005-0000-0000-0000424F0000}"/>
    <cellStyle name="Normal 12 4 2 2 3 2 2" xfId="20286" xr:uid="{00000000-0005-0000-0000-0000434F0000}"/>
    <cellStyle name="Normal 12 4 2 2 3 3" xfId="20287" xr:uid="{00000000-0005-0000-0000-0000444F0000}"/>
    <cellStyle name="Normal 12 4 2 2 3 4" xfId="20288" xr:uid="{00000000-0005-0000-0000-0000454F0000}"/>
    <cellStyle name="Normal 12 4 2 2 4" xfId="20289" xr:uid="{00000000-0005-0000-0000-0000464F0000}"/>
    <cellStyle name="Normal 12 4 2 2 4 2" xfId="20290" xr:uid="{00000000-0005-0000-0000-0000474F0000}"/>
    <cellStyle name="Normal 12 4 2 2 5" xfId="20291" xr:uid="{00000000-0005-0000-0000-0000484F0000}"/>
    <cellStyle name="Normal 12 4 2 2 6" xfId="20292" xr:uid="{00000000-0005-0000-0000-0000494F0000}"/>
    <cellStyle name="Normal 12 4 2 3" xfId="20293" xr:uid="{00000000-0005-0000-0000-00004A4F0000}"/>
    <cellStyle name="Normal 12 4 2 3 2" xfId="20294" xr:uid="{00000000-0005-0000-0000-00004B4F0000}"/>
    <cellStyle name="Normal 12 4 2 3 2 2" xfId="20295" xr:uid="{00000000-0005-0000-0000-00004C4F0000}"/>
    <cellStyle name="Normal 12 4 2 3 2 2 2" xfId="20296" xr:uid="{00000000-0005-0000-0000-00004D4F0000}"/>
    <cellStyle name="Normal 12 4 2 3 2 3" xfId="20297" xr:uid="{00000000-0005-0000-0000-00004E4F0000}"/>
    <cellStyle name="Normal 12 4 2 3 2 4" xfId="20298" xr:uid="{00000000-0005-0000-0000-00004F4F0000}"/>
    <cellStyle name="Normal 12 4 2 3 3" xfId="20299" xr:uid="{00000000-0005-0000-0000-0000504F0000}"/>
    <cellStyle name="Normal 12 4 2 3 3 2" xfId="20300" xr:uid="{00000000-0005-0000-0000-0000514F0000}"/>
    <cellStyle name="Normal 12 4 2 3 4" xfId="20301" xr:uid="{00000000-0005-0000-0000-0000524F0000}"/>
    <cellStyle name="Normal 12 4 2 3 5" xfId="20302" xr:uid="{00000000-0005-0000-0000-0000534F0000}"/>
    <cellStyle name="Normal 12 4 2 4" xfId="20303" xr:uid="{00000000-0005-0000-0000-0000544F0000}"/>
    <cellStyle name="Normal 12 4 2 4 2" xfId="20304" xr:uid="{00000000-0005-0000-0000-0000554F0000}"/>
    <cellStyle name="Normal 12 4 2 4 2 2" xfId="20305" xr:uid="{00000000-0005-0000-0000-0000564F0000}"/>
    <cellStyle name="Normal 12 4 2 4 3" xfId="20306" xr:uid="{00000000-0005-0000-0000-0000574F0000}"/>
    <cellStyle name="Normal 12 4 2 4 4" xfId="20307" xr:uid="{00000000-0005-0000-0000-0000584F0000}"/>
    <cellStyle name="Normal 12 4 2 5" xfId="20308" xr:uid="{00000000-0005-0000-0000-0000594F0000}"/>
    <cellStyle name="Normal 12 4 2 5 2" xfId="20309" xr:uid="{00000000-0005-0000-0000-00005A4F0000}"/>
    <cellStyle name="Normal 12 4 2 6" xfId="20310" xr:uid="{00000000-0005-0000-0000-00005B4F0000}"/>
    <cellStyle name="Normal 12 4 2 7" xfId="20311" xr:uid="{00000000-0005-0000-0000-00005C4F0000}"/>
    <cellStyle name="Normal 12 4 3" xfId="20312" xr:uid="{00000000-0005-0000-0000-00005D4F0000}"/>
    <cellStyle name="Normal 12 4 3 2" xfId="20313" xr:uid="{00000000-0005-0000-0000-00005E4F0000}"/>
    <cellStyle name="Normal 12 4 3 2 2" xfId="20314" xr:uid="{00000000-0005-0000-0000-00005F4F0000}"/>
    <cellStyle name="Normal 12 4 3 2 2 2" xfId="20315" xr:uid="{00000000-0005-0000-0000-0000604F0000}"/>
    <cellStyle name="Normal 12 4 3 2 2 2 2" xfId="20316" xr:uid="{00000000-0005-0000-0000-0000614F0000}"/>
    <cellStyle name="Normal 12 4 3 2 2 3" xfId="20317" xr:uid="{00000000-0005-0000-0000-0000624F0000}"/>
    <cellStyle name="Normal 12 4 3 2 2 4" xfId="20318" xr:uid="{00000000-0005-0000-0000-0000634F0000}"/>
    <cellStyle name="Normal 12 4 3 2 3" xfId="20319" xr:uid="{00000000-0005-0000-0000-0000644F0000}"/>
    <cellStyle name="Normal 12 4 3 2 3 2" xfId="20320" xr:uid="{00000000-0005-0000-0000-0000654F0000}"/>
    <cellStyle name="Normal 12 4 3 2 4" xfId="20321" xr:uid="{00000000-0005-0000-0000-0000664F0000}"/>
    <cellStyle name="Normal 12 4 3 2 5" xfId="20322" xr:uid="{00000000-0005-0000-0000-0000674F0000}"/>
    <cellStyle name="Normal 12 4 3 3" xfId="20323" xr:uid="{00000000-0005-0000-0000-0000684F0000}"/>
    <cellStyle name="Normal 12 4 3 3 2" xfId="20324" xr:uid="{00000000-0005-0000-0000-0000694F0000}"/>
    <cellStyle name="Normal 12 4 3 3 2 2" xfId="20325" xr:uid="{00000000-0005-0000-0000-00006A4F0000}"/>
    <cellStyle name="Normal 12 4 3 3 3" xfId="20326" xr:uid="{00000000-0005-0000-0000-00006B4F0000}"/>
    <cellStyle name="Normal 12 4 3 3 3 2" xfId="20327" xr:uid="{00000000-0005-0000-0000-00006C4F0000}"/>
    <cellStyle name="Normal 12 4 3 3 4" xfId="20328" xr:uid="{00000000-0005-0000-0000-00006D4F0000}"/>
    <cellStyle name="Normal 12 4 3 3 5" xfId="20329" xr:uid="{00000000-0005-0000-0000-00006E4F0000}"/>
    <cellStyle name="Normal 12 4 3 4" xfId="20330" xr:uid="{00000000-0005-0000-0000-00006F4F0000}"/>
    <cellStyle name="Normal 12 4 3 4 2" xfId="20331" xr:uid="{00000000-0005-0000-0000-0000704F0000}"/>
    <cellStyle name="Normal 12 4 3 5" xfId="20332" xr:uid="{00000000-0005-0000-0000-0000714F0000}"/>
    <cellStyle name="Normal 12 4 3 5 2" xfId="20333" xr:uid="{00000000-0005-0000-0000-0000724F0000}"/>
    <cellStyle name="Normal 12 4 3 6" xfId="20334" xr:uid="{00000000-0005-0000-0000-0000734F0000}"/>
    <cellStyle name="Normal 12 4 3 7" xfId="20335" xr:uid="{00000000-0005-0000-0000-0000744F0000}"/>
    <cellStyle name="Normal 12 4 4" xfId="20336" xr:uid="{00000000-0005-0000-0000-0000754F0000}"/>
    <cellStyle name="Normal 12 4 4 2" xfId="20337" xr:uid="{00000000-0005-0000-0000-0000764F0000}"/>
    <cellStyle name="Normal 12 4 4 2 2" xfId="20338" xr:uid="{00000000-0005-0000-0000-0000774F0000}"/>
    <cellStyle name="Normal 12 4 4 2 2 2" xfId="20339" xr:uid="{00000000-0005-0000-0000-0000784F0000}"/>
    <cellStyle name="Normal 12 4 4 2 3" xfId="20340" xr:uid="{00000000-0005-0000-0000-0000794F0000}"/>
    <cellStyle name="Normal 12 4 4 2 4" xfId="20341" xr:uid="{00000000-0005-0000-0000-00007A4F0000}"/>
    <cellStyle name="Normal 12 4 4 3" xfId="20342" xr:uid="{00000000-0005-0000-0000-00007B4F0000}"/>
    <cellStyle name="Normal 12 4 4 3 2" xfId="20343" xr:uid="{00000000-0005-0000-0000-00007C4F0000}"/>
    <cellStyle name="Normal 12 4 4 4" xfId="20344" xr:uid="{00000000-0005-0000-0000-00007D4F0000}"/>
    <cellStyle name="Normal 12 4 4 5" xfId="20345" xr:uid="{00000000-0005-0000-0000-00007E4F0000}"/>
    <cellStyle name="Normal 12 4 5" xfId="20346" xr:uid="{00000000-0005-0000-0000-00007F4F0000}"/>
    <cellStyle name="Normal 12 4 5 2" xfId="20347" xr:uid="{00000000-0005-0000-0000-0000804F0000}"/>
    <cellStyle name="Normal 12 4 5 2 2" xfId="20348" xr:uid="{00000000-0005-0000-0000-0000814F0000}"/>
    <cellStyle name="Normal 12 4 5 3" xfId="20349" xr:uid="{00000000-0005-0000-0000-0000824F0000}"/>
    <cellStyle name="Normal 12 4 5 3 2" xfId="20350" xr:uid="{00000000-0005-0000-0000-0000834F0000}"/>
    <cellStyle name="Normal 12 4 5 4" xfId="20351" xr:uid="{00000000-0005-0000-0000-0000844F0000}"/>
    <cellStyle name="Normal 12 4 5 5" xfId="20352" xr:uid="{00000000-0005-0000-0000-0000854F0000}"/>
    <cellStyle name="Normal 12 4 6" xfId="20353" xr:uid="{00000000-0005-0000-0000-0000864F0000}"/>
    <cellStyle name="Normal 12 4 6 2" xfId="20354" xr:uid="{00000000-0005-0000-0000-0000874F0000}"/>
    <cellStyle name="Normal 12 4 7" xfId="20355" xr:uid="{00000000-0005-0000-0000-0000884F0000}"/>
    <cellStyle name="Normal 12 4 7 2" xfId="20356" xr:uid="{00000000-0005-0000-0000-0000894F0000}"/>
    <cellStyle name="Normal 12 4 8" xfId="20357" xr:uid="{00000000-0005-0000-0000-00008A4F0000}"/>
    <cellStyle name="Normal 12 4 9" xfId="20358" xr:uid="{00000000-0005-0000-0000-00008B4F0000}"/>
    <cellStyle name="Normal 12 40" xfId="20359" xr:uid="{00000000-0005-0000-0000-00008C4F0000}"/>
    <cellStyle name="Normal 12 40 2" xfId="20360" xr:uid="{00000000-0005-0000-0000-00008D4F0000}"/>
    <cellStyle name="Normal 12 41" xfId="20361" xr:uid="{00000000-0005-0000-0000-00008E4F0000}"/>
    <cellStyle name="Normal 12 41 2" xfId="20362" xr:uid="{00000000-0005-0000-0000-00008F4F0000}"/>
    <cellStyle name="Normal 12 42" xfId="20363" xr:uid="{00000000-0005-0000-0000-0000904F0000}"/>
    <cellStyle name="Normal 12 42 2" xfId="20364" xr:uid="{00000000-0005-0000-0000-0000914F0000}"/>
    <cellStyle name="Normal 12 43" xfId="20365" xr:uid="{00000000-0005-0000-0000-0000924F0000}"/>
    <cellStyle name="Normal 12 43 2" xfId="20366" xr:uid="{00000000-0005-0000-0000-0000934F0000}"/>
    <cellStyle name="Normal 12 44" xfId="20367" xr:uid="{00000000-0005-0000-0000-0000944F0000}"/>
    <cellStyle name="Normal 12 44 2" xfId="20368" xr:uid="{00000000-0005-0000-0000-0000954F0000}"/>
    <cellStyle name="Normal 12 45" xfId="20369" xr:uid="{00000000-0005-0000-0000-0000964F0000}"/>
    <cellStyle name="Normal 12 45 2" xfId="20370" xr:uid="{00000000-0005-0000-0000-0000974F0000}"/>
    <cellStyle name="Normal 12 46" xfId="20371" xr:uid="{00000000-0005-0000-0000-0000984F0000}"/>
    <cellStyle name="Normal 12 46 2" xfId="20372" xr:uid="{00000000-0005-0000-0000-0000994F0000}"/>
    <cellStyle name="Normal 12 47" xfId="20373" xr:uid="{00000000-0005-0000-0000-00009A4F0000}"/>
    <cellStyle name="Normal 12 47 2" xfId="20374" xr:uid="{00000000-0005-0000-0000-00009B4F0000}"/>
    <cellStyle name="Normal 12 48" xfId="20375" xr:uid="{00000000-0005-0000-0000-00009C4F0000}"/>
    <cellStyle name="Normal 12 48 2" xfId="20376" xr:uid="{00000000-0005-0000-0000-00009D4F0000}"/>
    <cellStyle name="Normal 12 49" xfId="20377" xr:uid="{00000000-0005-0000-0000-00009E4F0000}"/>
    <cellStyle name="Normal 12 49 2" xfId="20378" xr:uid="{00000000-0005-0000-0000-00009F4F0000}"/>
    <cellStyle name="Normal 12 5" xfId="20379" xr:uid="{00000000-0005-0000-0000-0000A04F0000}"/>
    <cellStyle name="Normal 12 5 2" xfId="20380" xr:uid="{00000000-0005-0000-0000-0000A14F0000}"/>
    <cellStyle name="Normal 12 5 2 2" xfId="20381" xr:uid="{00000000-0005-0000-0000-0000A24F0000}"/>
    <cellStyle name="Normal 12 5 2 2 2" xfId="20382" xr:uid="{00000000-0005-0000-0000-0000A34F0000}"/>
    <cellStyle name="Normal 12 5 2 2 2 2" xfId="20383" xr:uid="{00000000-0005-0000-0000-0000A44F0000}"/>
    <cellStyle name="Normal 12 5 2 2 2 2 2" xfId="20384" xr:uid="{00000000-0005-0000-0000-0000A54F0000}"/>
    <cellStyle name="Normal 12 5 2 2 2 3" xfId="20385" xr:uid="{00000000-0005-0000-0000-0000A64F0000}"/>
    <cellStyle name="Normal 12 5 2 2 2 4" xfId="20386" xr:uid="{00000000-0005-0000-0000-0000A74F0000}"/>
    <cellStyle name="Normal 12 5 2 2 3" xfId="20387" xr:uid="{00000000-0005-0000-0000-0000A84F0000}"/>
    <cellStyle name="Normal 12 5 2 2 3 2" xfId="20388" xr:uid="{00000000-0005-0000-0000-0000A94F0000}"/>
    <cellStyle name="Normal 12 5 2 2 4" xfId="20389" xr:uid="{00000000-0005-0000-0000-0000AA4F0000}"/>
    <cellStyle name="Normal 12 5 2 2 5" xfId="20390" xr:uid="{00000000-0005-0000-0000-0000AB4F0000}"/>
    <cellStyle name="Normal 12 5 2 3" xfId="20391" xr:uid="{00000000-0005-0000-0000-0000AC4F0000}"/>
    <cellStyle name="Normal 12 5 2 3 2" xfId="20392" xr:uid="{00000000-0005-0000-0000-0000AD4F0000}"/>
    <cellStyle name="Normal 12 5 2 3 2 2" xfId="20393" xr:uid="{00000000-0005-0000-0000-0000AE4F0000}"/>
    <cellStyle name="Normal 12 5 2 3 3" xfId="20394" xr:uid="{00000000-0005-0000-0000-0000AF4F0000}"/>
    <cellStyle name="Normal 12 5 2 3 3 2" xfId="20395" xr:uid="{00000000-0005-0000-0000-0000B04F0000}"/>
    <cellStyle name="Normal 12 5 2 3 4" xfId="20396" xr:uid="{00000000-0005-0000-0000-0000B14F0000}"/>
    <cellStyle name="Normal 12 5 2 3 5" xfId="20397" xr:uid="{00000000-0005-0000-0000-0000B24F0000}"/>
    <cellStyle name="Normal 12 5 2 4" xfId="20398" xr:uid="{00000000-0005-0000-0000-0000B34F0000}"/>
    <cellStyle name="Normal 12 5 2 4 2" xfId="20399" xr:uid="{00000000-0005-0000-0000-0000B44F0000}"/>
    <cellStyle name="Normal 12 5 2 5" xfId="20400" xr:uid="{00000000-0005-0000-0000-0000B54F0000}"/>
    <cellStyle name="Normal 12 5 2 5 2" xfId="20401" xr:uid="{00000000-0005-0000-0000-0000B64F0000}"/>
    <cellStyle name="Normal 12 5 2 6" xfId="20402" xr:uid="{00000000-0005-0000-0000-0000B74F0000}"/>
    <cellStyle name="Normal 12 5 2 7" xfId="20403" xr:uid="{00000000-0005-0000-0000-0000B84F0000}"/>
    <cellStyle name="Normal 12 5 3" xfId="20404" xr:uid="{00000000-0005-0000-0000-0000B94F0000}"/>
    <cellStyle name="Normal 12 5 3 2" xfId="20405" xr:uid="{00000000-0005-0000-0000-0000BA4F0000}"/>
    <cellStyle name="Normal 12 5 3 2 2" xfId="20406" xr:uid="{00000000-0005-0000-0000-0000BB4F0000}"/>
    <cellStyle name="Normal 12 5 3 2 2 2" xfId="20407" xr:uid="{00000000-0005-0000-0000-0000BC4F0000}"/>
    <cellStyle name="Normal 12 5 3 2 3" xfId="20408" xr:uid="{00000000-0005-0000-0000-0000BD4F0000}"/>
    <cellStyle name="Normal 12 5 3 2 4" xfId="20409" xr:uid="{00000000-0005-0000-0000-0000BE4F0000}"/>
    <cellStyle name="Normal 12 5 3 3" xfId="20410" xr:uid="{00000000-0005-0000-0000-0000BF4F0000}"/>
    <cellStyle name="Normal 12 5 3 3 2" xfId="20411" xr:uid="{00000000-0005-0000-0000-0000C04F0000}"/>
    <cellStyle name="Normal 12 5 3 4" xfId="20412" xr:uid="{00000000-0005-0000-0000-0000C14F0000}"/>
    <cellStyle name="Normal 12 5 3 5" xfId="20413" xr:uid="{00000000-0005-0000-0000-0000C24F0000}"/>
    <cellStyle name="Normal 12 5 4" xfId="20414" xr:uid="{00000000-0005-0000-0000-0000C34F0000}"/>
    <cellStyle name="Normal 12 5 4 2" xfId="20415" xr:uid="{00000000-0005-0000-0000-0000C44F0000}"/>
    <cellStyle name="Normal 12 5 4 2 2" xfId="20416" xr:uid="{00000000-0005-0000-0000-0000C54F0000}"/>
    <cellStyle name="Normal 12 5 4 3" xfId="20417" xr:uid="{00000000-0005-0000-0000-0000C64F0000}"/>
    <cellStyle name="Normal 12 5 4 3 2" xfId="20418" xr:uid="{00000000-0005-0000-0000-0000C74F0000}"/>
    <cellStyle name="Normal 12 5 4 4" xfId="20419" xr:uid="{00000000-0005-0000-0000-0000C84F0000}"/>
    <cellStyle name="Normal 12 5 4 5" xfId="20420" xr:uid="{00000000-0005-0000-0000-0000C94F0000}"/>
    <cellStyle name="Normal 12 5 5" xfId="20421" xr:uid="{00000000-0005-0000-0000-0000CA4F0000}"/>
    <cellStyle name="Normal 12 5 5 2" xfId="20422" xr:uid="{00000000-0005-0000-0000-0000CB4F0000}"/>
    <cellStyle name="Normal 12 5 6" xfId="20423" xr:uid="{00000000-0005-0000-0000-0000CC4F0000}"/>
    <cellStyle name="Normal 12 5 6 2" xfId="20424" xr:uid="{00000000-0005-0000-0000-0000CD4F0000}"/>
    <cellStyle name="Normal 12 5 7" xfId="20425" xr:uid="{00000000-0005-0000-0000-0000CE4F0000}"/>
    <cellStyle name="Normal 12 5 8" xfId="20426" xr:uid="{00000000-0005-0000-0000-0000CF4F0000}"/>
    <cellStyle name="Normal 12 50" xfId="20427" xr:uid="{00000000-0005-0000-0000-0000D04F0000}"/>
    <cellStyle name="Normal 12 50 2" xfId="20428" xr:uid="{00000000-0005-0000-0000-0000D14F0000}"/>
    <cellStyle name="Normal 12 51" xfId="20429" xr:uid="{00000000-0005-0000-0000-0000D24F0000}"/>
    <cellStyle name="Normal 12 51 2" xfId="20430" xr:uid="{00000000-0005-0000-0000-0000D34F0000}"/>
    <cellStyle name="Normal 12 52" xfId="20431" xr:uid="{00000000-0005-0000-0000-0000D44F0000}"/>
    <cellStyle name="Normal 12 52 2" xfId="20432" xr:uid="{00000000-0005-0000-0000-0000D54F0000}"/>
    <cellStyle name="Normal 12 53" xfId="20433" xr:uid="{00000000-0005-0000-0000-0000D64F0000}"/>
    <cellStyle name="Normal 12 53 2" xfId="20434" xr:uid="{00000000-0005-0000-0000-0000D74F0000}"/>
    <cellStyle name="Normal 12 54" xfId="20435" xr:uid="{00000000-0005-0000-0000-0000D84F0000}"/>
    <cellStyle name="Normal 12 54 2" xfId="20436" xr:uid="{00000000-0005-0000-0000-0000D94F0000}"/>
    <cellStyle name="Normal 12 55" xfId="20437" xr:uid="{00000000-0005-0000-0000-0000DA4F0000}"/>
    <cellStyle name="Normal 12 55 2" xfId="20438" xr:uid="{00000000-0005-0000-0000-0000DB4F0000}"/>
    <cellStyle name="Normal 12 56" xfId="20439" xr:uid="{00000000-0005-0000-0000-0000DC4F0000}"/>
    <cellStyle name="Normal 12 56 2" xfId="20440" xr:uid="{00000000-0005-0000-0000-0000DD4F0000}"/>
    <cellStyle name="Normal 12 57" xfId="20441" xr:uid="{00000000-0005-0000-0000-0000DE4F0000}"/>
    <cellStyle name="Normal 12 57 2" xfId="20442" xr:uid="{00000000-0005-0000-0000-0000DF4F0000}"/>
    <cellStyle name="Normal 12 58" xfId="20443" xr:uid="{00000000-0005-0000-0000-0000E04F0000}"/>
    <cellStyle name="Normal 12 58 2" xfId="20444" xr:uid="{00000000-0005-0000-0000-0000E14F0000}"/>
    <cellStyle name="Normal 12 59" xfId="20445" xr:uid="{00000000-0005-0000-0000-0000E24F0000}"/>
    <cellStyle name="Normal 12 59 2" xfId="20446" xr:uid="{00000000-0005-0000-0000-0000E34F0000}"/>
    <cellStyle name="Normal 12 6" xfId="20447" xr:uid="{00000000-0005-0000-0000-0000E44F0000}"/>
    <cellStyle name="Normal 12 6 2" xfId="20448" xr:uid="{00000000-0005-0000-0000-0000E54F0000}"/>
    <cellStyle name="Normal 12 6 2 2" xfId="20449" xr:uid="{00000000-0005-0000-0000-0000E64F0000}"/>
    <cellStyle name="Normal 12 6 2 2 2" xfId="20450" xr:uid="{00000000-0005-0000-0000-0000E74F0000}"/>
    <cellStyle name="Normal 12 6 2 2 2 2" xfId="20451" xr:uid="{00000000-0005-0000-0000-0000E84F0000}"/>
    <cellStyle name="Normal 12 6 2 2 3" xfId="20452" xr:uid="{00000000-0005-0000-0000-0000E94F0000}"/>
    <cellStyle name="Normal 12 6 2 2 4" xfId="20453" xr:uid="{00000000-0005-0000-0000-0000EA4F0000}"/>
    <cellStyle name="Normal 12 6 2 3" xfId="20454" xr:uid="{00000000-0005-0000-0000-0000EB4F0000}"/>
    <cellStyle name="Normal 12 6 2 3 2" xfId="20455" xr:uid="{00000000-0005-0000-0000-0000EC4F0000}"/>
    <cellStyle name="Normal 12 6 2 4" xfId="20456" xr:uid="{00000000-0005-0000-0000-0000ED4F0000}"/>
    <cellStyle name="Normal 12 6 2 5" xfId="20457" xr:uid="{00000000-0005-0000-0000-0000EE4F0000}"/>
    <cellStyle name="Normal 12 6 3" xfId="20458" xr:uid="{00000000-0005-0000-0000-0000EF4F0000}"/>
    <cellStyle name="Normal 12 6 3 2" xfId="20459" xr:uid="{00000000-0005-0000-0000-0000F04F0000}"/>
    <cellStyle name="Normal 12 6 3 2 2" xfId="20460" xr:uid="{00000000-0005-0000-0000-0000F14F0000}"/>
    <cellStyle name="Normal 12 6 3 3" xfId="20461" xr:uid="{00000000-0005-0000-0000-0000F24F0000}"/>
    <cellStyle name="Normal 12 6 3 3 2" xfId="20462" xr:uid="{00000000-0005-0000-0000-0000F34F0000}"/>
    <cellStyle name="Normal 12 6 3 4" xfId="20463" xr:uid="{00000000-0005-0000-0000-0000F44F0000}"/>
    <cellStyle name="Normal 12 6 3 5" xfId="20464" xr:uid="{00000000-0005-0000-0000-0000F54F0000}"/>
    <cellStyle name="Normal 12 6 4" xfId="20465" xr:uid="{00000000-0005-0000-0000-0000F64F0000}"/>
    <cellStyle name="Normal 12 6 4 2" xfId="20466" xr:uid="{00000000-0005-0000-0000-0000F74F0000}"/>
    <cellStyle name="Normal 12 6 5" xfId="20467" xr:uid="{00000000-0005-0000-0000-0000F84F0000}"/>
    <cellStyle name="Normal 12 6 5 2" xfId="20468" xr:uid="{00000000-0005-0000-0000-0000F94F0000}"/>
    <cellStyle name="Normal 12 6 6" xfId="20469" xr:uid="{00000000-0005-0000-0000-0000FA4F0000}"/>
    <cellStyle name="Normal 12 6 7" xfId="20470" xr:uid="{00000000-0005-0000-0000-0000FB4F0000}"/>
    <cellStyle name="Normal 12 60" xfId="20471" xr:uid="{00000000-0005-0000-0000-0000FC4F0000}"/>
    <cellStyle name="Normal 12 7" xfId="20472" xr:uid="{00000000-0005-0000-0000-0000FD4F0000}"/>
    <cellStyle name="Normal 12 7 2" xfId="20473" xr:uid="{00000000-0005-0000-0000-0000FE4F0000}"/>
    <cellStyle name="Normal 12 7 2 2" xfId="20474" xr:uid="{00000000-0005-0000-0000-0000FF4F0000}"/>
    <cellStyle name="Normal 12 7 2 2 2" xfId="20475" xr:uid="{00000000-0005-0000-0000-000000500000}"/>
    <cellStyle name="Normal 12 7 2 3" xfId="20476" xr:uid="{00000000-0005-0000-0000-000001500000}"/>
    <cellStyle name="Normal 12 7 2 4" xfId="20477" xr:uid="{00000000-0005-0000-0000-000002500000}"/>
    <cellStyle name="Normal 12 7 3" xfId="20478" xr:uid="{00000000-0005-0000-0000-000003500000}"/>
    <cellStyle name="Normal 12 7 3 2" xfId="20479" xr:uid="{00000000-0005-0000-0000-000004500000}"/>
    <cellStyle name="Normal 12 7 4" xfId="20480" xr:uid="{00000000-0005-0000-0000-000005500000}"/>
    <cellStyle name="Normal 12 7 5" xfId="20481" xr:uid="{00000000-0005-0000-0000-000006500000}"/>
    <cellStyle name="Normal 12 8" xfId="20482" xr:uid="{00000000-0005-0000-0000-000007500000}"/>
    <cellStyle name="Normal 12 8 2" xfId="20483" xr:uid="{00000000-0005-0000-0000-000008500000}"/>
    <cellStyle name="Normal 12 8 2 2" xfId="20484" xr:uid="{00000000-0005-0000-0000-000009500000}"/>
    <cellStyle name="Normal 12 8 3" xfId="20485" xr:uid="{00000000-0005-0000-0000-00000A500000}"/>
    <cellStyle name="Normal 12 8 3 2" xfId="20486" xr:uid="{00000000-0005-0000-0000-00000B500000}"/>
    <cellStyle name="Normal 12 8 4" xfId="20487" xr:uid="{00000000-0005-0000-0000-00000C500000}"/>
    <cellStyle name="Normal 12 8 5" xfId="20488" xr:uid="{00000000-0005-0000-0000-00000D500000}"/>
    <cellStyle name="Normal 12 9" xfId="20489" xr:uid="{00000000-0005-0000-0000-00000E500000}"/>
    <cellStyle name="Normal 12 9 2" xfId="20490" xr:uid="{00000000-0005-0000-0000-00000F500000}"/>
    <cellStyle name="Normal 120" xfId="20491" xr:uid="{00000000-0005-0000-0000-000010500000}"/>
    <cellStyle name="Normal 120 2" xfId="20492" xr:uid="{00000000-0005-0000-0000-000011500000}"/>
    <cellStyle name="Normal 121" xfId="20493" xr:uid="{00000000-0005-0000-0000-000012500000}"/>
    <cellStyle name="Normal 121 2" xfId="20494" xr:uid="{00000000-0005-0000-0000-000013500000}"/>
    <cellStyle name="Normal 122" xfId="20495" xr:uid="{00000000-0005-0000-0000-000014500000}"/>
    <cellStyle name="Normal 122 10" xfId="20496" xr:uid="{00000000-0005-0000-0000-000015500000}"/>
    <cellStyle name="Normal 122 10 2" xfId="20497" xr:uid="{00000000-0005-0000-0000-000016500000}"/>
    <cellStyle name="Normal 122 11" xfId="20498" xr:uid="{00000000-0005-0000-0000-000017500000}"/>
    <cellStyle name="Normal 122 11 2" xfId="20499" xr:uid="{00000000-0005-0000-0000-000018500000}"/>
    <cellStyle name="Normal 122 12" xfId="20500" xr:uid="{00000000-0005-0000-0000-000019500000}"/>
    <cellStyle name="Normal 122 12 2" xfId="20501" xr:uid="{00000000-0005-0000-0000-00001A500000}"/>
    <cellStyle name="Normal 122 13" xfId="20502" xr:uid="{00000000-0005-0000-0000-00001B500000}"/>
    <cellStyle name="Normal 122 13 2" xfId="20503" xr:uid="{00000000-0005-0000-0000-00001C500000}"/>
    <cellStyle name="Normal 122 14" xfId="20504" xr:uid="{00000000-0005-0000-0000-00001D500000}"/>
    <cellStyle name="Normal 122 14 2" xfId="20505" xr:uid="{00000000-0005-0000-0000-00001E500000}"/>
    <cellStyle name="Normal 122 15" xfId="20506" xr:uid="{00000000-0005-0000-0000-00001F500000}"/>
    <cellStyle name="Normal 122 15 2" xfId="20507" xr:uid="{00000000-0005-0000-0000-000020500000}"/>
    <cellStyle name="Normal 122 16" xfId="20508" xr:uid="{00000000-0005-0000-0000-000021500000}"/>
    <cellStyle name="Normal 122 16 2" xfId="20509" xr:uid="{00000000-0005-0000-0000-000022500000}"/>
    <cellStyle name="Normal 122 17" xfId="20510" xr:uid="{00000000-0005-0000-0000-000023500000}"/>
    <cellStyle name="Normal 122 17 2" xfId="20511" xr:uid="{00000000-0005-0000-0000-000024500000}"/>
    <cellStyle name="Normal 122 18" xfId="20512" xr:uid="{00000000-0005-0000-0000-000025500000}"/>
    <cellStyle name="Normal 122 18 2" xfId="20513" xr:uid="{00000000-0005-0000-0000-000026500000}"/>
    <cellStyle name="Normal 122 19" xfId="20514" xr:uid="{00000000-0005-0000-0000-000027500000}"/>
    <cellStyle name="Normal 122 19 2" xfId="20515" xr:uid="{00000000-0005-0000-0000-000028500000}"/>
    <cellStyle name="Normal 122 2" xfId="20516" xr:uid="{00000000-0005-0000-0000-000029500000}"/>
    <cellStyle name="Normal 122 2 2" xfId="20517" xr:uid="{00000000-0005-0000-0000-00002A500000}"/>
    <cellStyle name="Normal 122 20" xfId="20518" xr:uid="{00000000-0005-0000-0000-00002B500000}"/>
    <cellStyle name="Normal 122 20 2" xfId="20519" xr:uid="{00000000-0005-0000-0000-00002C500000}"/>
    <cellStyle name="Normal 122 21" xfId="20520" xr:uid="{00000000-0005-0000-0000-00002D500000}"/>
    <cellStyle name="Normal 122 21 2" xfId="20521" xr:uid="{00000000-0005-0000-0000-00002E500000}"/>
    <cellStyle name="Normal 122 22" xfId="20522" xr:uid="{00000000-0005-0000-0000-00002F500000}"/>
    <cellStyle name="Normal 122 22 2" xfId="20523" xr:uid="{00000000-0005-0000-0000-000030500000}"/>
    <cellStyle name="Normal 122 23" xfId="20524" xr:uid="{00000000-0005-0000-0000-000031500000}"/>
    <cellStyle name="Normal 122 23 2" xfId="20525" xr:uid="{00000000-0005-0000-0000-000032500000}"/>
    <cellStyle name="Normal 122 24" xfId="20526" xr:uid="{00000000-0005-0000-0000-000033500000}"/>
    <cellStyle name="Normal 122 24 2" xfId="20527" xr:uid="{00000000-0005-0000-0000-000034500000}"/>
    <cellStyle name="Normal 122 25" xfId="20528" xr:uid="{00000000-0005-0000-0000-000035500000}"/>
    <cellStyle name="Normal 122 25 2" xfId="20529" xr:uid="{00000000-0005-0000-0000-000036500000}"/>
    <cellStyle name="Normal 122 26" xfId="20530" xr:uid="{00000000-0005-0000-0000-000037500000}"/>
    <cellStyle name="Normal 122 26 2" xfId="20531" xr:uid="{00000000-0005-0000-0000-000038500000}"/>
    <cellStyle name="Normal 122 27" xfId="20532" xr:uid="{00000000-0005-0000-0000-000039500000}"/>
    <cellStyle name="Normal 122 27 2" xfId="20533" xr:uid="{00000000-0005-0000-0000-00003A500000}"/>
    <cellStyle name="Normal 122 28" xfId="20534" xr:uid="{00000000-0005-0000-0000-00003B500000}"/>
    <cellStyle name="Normal 122 28 2" xfId="20535" xr:uid="{00000000-0005-0000-0000-00003C500000}"/>
    <cellStyle name="Normal 122 29" xfId="20536" xr:uid="{00000000-0005-0000-0000-00003D500000}"/>
    <cellStyle name="Normal 122 29 2" xfId="20537" xr:uid="{00000000-0005-0000-0000-00003E500000}"/>
    <cellStyle name="Normal 122 3" xfId="20538" xr:uid="{00000000-0005-0000-0000-00003F500000}"/>
    <cellStyle name="Normal 122 3 2" xfId="20539" xr:uid="{00000000-0005-0000-0000-000040500000}"/>
    <cellStyle name="Normal 122 30" xfId="20540" xr:uid="{00000000-0005-0000-0000-000041500000}"/>
    <cellStyle name="Normal 122 30 2" xfId="20541" xr:uid="{00000000-0005-0000-0000-000042500000}"/>
    <cellStyle name="Normal 122 31" xfId="20542" xr:uid="{00000000-0005-0000-0000-000043500000}"/>
    <cellStyle name="Normal 122 31 2" xfId="20543" xr:uid="{00000000-0005-0000-0000-000044500000}"/>
    <cellStyle name="Normal 122 32" xfId="20544" xr:uid="{00000000-0005-0000-0000-000045500000}"/>
    <cellStyle name="Normal 122 32 2" xfId="20545" xr:uid="{00000000-0005-0000-0000-000046500000}"/>
    <cellStyle name="Normal 122 33" xfId="20546" xr:uid="{00000000-0005-0000-0000-000047500000}"/>
    <cellStyle name="Normal 122 33 2" xfId="20547" xr:uid="{00000000-0005-0000-0000-000048500000}"/>
    <cellStyle name="Normal 122 34" xfId="20548" xr:uid="{00000000-0005-0000-0000-000049500000}"/>
    <cellStyle name="Normal 122 34 2" xfId="20549" xr:uid="{00000000-0005-0000-0000-00004A500000}"/>
    <cellStyle name="Normal 122 35" xfId="20550" xr:uid="{00000000-0005-0000-0000-00004B500000}"/>
    <cellStyle name="Normal 122 35 2" xfId="20551" xr:uid="{00000000-0005-0000-0000-00004C500000}"/>
    <cellStyle name="Normal 122 36" xfId="20552" xr:uid="{00000000-0005-0000-0000-00004D500000}"/>
    <cellStyle name="Normal 122 36 2" xfId="20553" xr:uid="{00000000-0005-0000-0000-00004E500000}"/>
    <cellStyle name="Normal 122 37" xfId="20554" xr:uid="{00000000-0005-0000-0000-00004F500000}"/>
    <cellStyle name="Normal 122 37 2" xfId="20555" xr:uid="{00000000-0005-0000-0000-000050500000}"/>
    <cellStyle name="Normal 122 38" xfId="20556" xr:uid="{00000000-0005-0000-0000-000051500000}"/>
    <cellStyle name="Normal 122 38 2" xfId="20557" xr:uid="{00000000-0005-0000-0000-000052500000}"/>
    <cellStyle name="Normal 122 39" xfId="20558" xr:uid="{00000000-0005-0000-0000-000053500000}"/>
    <cellStyle name="Normal 122 39 2" xfId="20559" xr:uid="{00000000-0005-0000-0000-000054500000}"/>
    <cellStyle name="Normal 122 4" xfId="20560" xr:uid="{00000000-0005-0000-0000-000055500000}"/>
    <cellStyle name="Normal 122 4 2" xfId="20561" xr:uid="{00000000-0005-0000-0000-000056500000}"/>
    <cellStyle name="Normal 122 40" xfId="20562" xr:uid="{00000000-0005-0000-0000-000057500000}"/>
    <cellStyle name="Normal 122 40 2" xfId="20563" xr:uid="{00000000-0005-0000-0000-000058500000}"/>
    <cellStyle name="Normal 122 41" xfId="20564" xr:uid="{00000000-0005-0000-0000-000059500000}"/>
    <cellStyle name="Normal 122 41 2" xfId="20565" xr:uid="{00000000-0005-0000-0000-00005A500000}"/>
    <cellStyle name="Normal 122 42" xfId="20566" xr:uid="{00000000-0005-0000-0000-00005B500000}"/>
    <cellStyle name="Normal 122 42 2" xfId="20567" xr:uid="{00000000-0005-0000-0000-00005C500000}"/>
    <cellStyle name="Normal 122 43" xfId="20568" xr:uid="{00000000-0005-0000-0000-00005D500000}"/>
    <cellStyle name="Normal 122 43 2" xfId="20569" xr:uid="{00000000-0005-0000-0000-00005E500000}"/>
    <cellStyle name="Normal 122 44" xfId="20570" xr:uid="{00000000-0005-0000-0000-00005F500000}"/>
    <cellStyle name="Normal 122 44 2" xfId="20571" xr:uid="{00000000-0005-0000-0000-000060500000}"/>
    <cellStyle name="Normal 122 45" xfId="20572" xr:uid="{00000000-0005-0000-0000-000061500000}"/>
    <cellStyle name="Normal 122 45 2" xfId="20573" xr:uid="{00000000-0005-0000-0000-000062500000}"/>
    <cellStyle name="Normal 122 46" xfId="20574" xr:uid="{00000000-0005-0000-0000-000063500000}"/>
    <cellStyle name="Normal 122 46 2" xfId="20575" xr:uid="{00000000-0005-0000-0000-000064500000}"/>
    <cellStyle name="Normal 122 47" xfId="20576" xr:uid="{00000000-0005-0000-0000-000065500000}"/>
    <cellStyle name="Normal 122 47 2" xfId="20577" xr:uid="{00000000-0005-0000-0000-000066500000}"/>
    <cellStyle name="Normal 122 48" xfId="20578" xr:uid="{00000000-0005-0000-0000-000067500000}"/>
    <cellStyle name="Normal 122 48 2" xfId="20579" xr:uid="{00000000-0005-0000-0000-000068500000}"/>
    <cellStyle name="Normal 122 49" xfId="20580" xr:uid="{00000000-0005-0000-0000-000069500000}"/>
    <cellStyle name="Normal 122 49 2" xfId="20581" xr:uid="{00000000-0005-0000-0000-00006A500000}"/>
    <cellStyle name="Normal 122 5" xfId="20582" xr:uid="{00000000-0005-0000-0000-00006B500000}"/>
    <cellStyle name="Normal 122 5 2" xfId="20583" xr:uid="{00000000-0005-0000-0000-00006C500000}"/>
    <cellStyle name="Normal 122 50" xfId="20584" xr:uid="{00000000-0005-0000-0000-00006D500000}"/>
    <cellStyle name="Normal 122 50 2" xfId="20585" xr:uid="{00000000-0005-0000-0000-00006E500000}"/>
    <cellStyle name="Normal 122 51" xfId="20586" xr:uid="{00000000-0005-0000-0000-00006F500000}"/>
    <cellStyle name="Normal 122 51 2" xfId="20587" xr:uid="{00000000-0005-0000-0000-000070500000}"/>
    <cellStyle name="Normal 122 52" xfId="20588" xr:uid="{00000000-0005-0000-0000-000071500000}"/>
    <cellStyle name="Normal 122 52 2" xfId="20589" xr:uid="{00000000-0005-0000-0000-000072500000}"/>
    <cellStyle name="Normal 122 53" xfId="20590" xr:uid="{00000000-0005-0000-0000-000073500000}"/>
    <cellStyle name="Normal 122 53 2" xfId="20591" xr:uid="{00000000-0005-0000-0000-000074500000}"/>
    <cellStyle name="Normal 122 54" xfId="20592" xr:uid="{00000000-0005-0000-0000-000075500000}"/>
    <cellStyle name="Normal 122 54 2" xfId="20593" xr:uid="{00000000-0005-0000-0000-000076500000}"/>
    <cellStyle name="Normal 122 55" xfId="20594" xr:uid="{00000000-0005-0000-0000-000077500000}"/>
    <cellStyle name="Normal 122 55 2" xfId="20595" xr:uid="{00000000-0005-0000-0000-000078500000}"/>
    <cellStyle name="Normal 122 56" xfId="20596" xr:uid="{00000000-0005-0000-0000-000079500000}"/>
    <cellStyle name="Normal 122 56 2" xfId="20597" xr:uid="{00000000-0005-0000-0000-00007A500000}"/>
    <cellStyle name="Normal 122 57" xfId="20598" xr:uid="{00000000-0005-0000-0000-00007B500000}"/>
    <cellStyle name="Normal 122 57 2" xfId="20599" xr:uid="{00000000-0005-0000-0000-00007C500000}"/>
    <cellStyle name="Normal 122 58" xfId="20600" xr:uid="{00000000-0005-0000-0000-00007D500000}"/>
    <cellStyle name="Normal 122 58 2" xfId="20601" xr:uid="{00000000-0005-0000-0000-00007E500000}"/>
    <cellStyle name="Normal 122 59" xfId="20602" xr:uid="{00000000-0005-0000-0000-00007F500000}"/>
    <cellStyle name="Normal 122 59 2" xfId="20603" xr:uid="{00000000-0005-0000-0000-000080500000}"/>
    <cellStyle name="Normal 122 6" xfId="20604" xr:uid="{00000000-0005-0000-0000-000081500000}"/>
    <cellStyle name="Normal 122 6 2" xfId="20605" xr:uid="{00000000-0005-0000-0000-000082500000}"/>
    <cellStyle name="Normal 122 60" xfId="20606" xr:uid="{00000000-0005-0000-0000-000083500000}"/>
    <cellStyle name="Normal 122 60 2" xfId="20607" xr:uid="{00000000-0005-0000-0000-000084500000}"/>
    <cellStyle name="Normal 122 61" xfId="20608" xr:uid="{00000000-0005-0000-0000-000085500000}"/>
    <cellStyle name="Normal 122 61 2" xfId="20609" xr:uid="{00000000-0005-0000-0000-000086500000}"/>
    <cellStyle name="Normal 122 62" xfId="20610" xr:uid="{00000000-0005-0000-0000-000087500000}"/>
    <cellStyle name="Normal 122 62 2" xfId="20611" xr:uid="{00000000-0005-0000-0000-000088500000}"/>
    <cellStyle name="Normal 122 62 3" xfId="20612" xr:uid="{00000000-0005-0000-0000-000089500000}"/>
    <cellStyle name="Normal 122 63" xfId="20613" xr:uid="{00000000-0005-0000-0000-00008A500000}"/>
    <cellStyle name="Normal 122 7" xfId="20614" xr:uid="{00000000-0005-0000-0000-00008B500000}"/>
    <cellStyle name="Normal 122 7 2" xfId="20615" xr:uid="{00000000-0005-0000-0000-00008C500000}"/>
    <cellStyle name="Normal 122 8" xfId="20616" xr:uid="{00000000-0005-0000-0000-00008D500000}"/>
    <cellStyle name="Normal 122 8 2" xfId="20617" xr:uid="{00000000-0005-0000-0000-00008E500000}"/>
    <cellStyle name="Normal 122 9" xfId="20618" xr:uid="{00000000-0005-0000-0000-00008F500000}"/>
    <cellStyle name="Normal 122 9 2" xfId="20619" xr:uid="{00000000-0005-0000-0000-000090500000}"/>
    <cellStyle name="Normal 123" xfId="20620" xr:uid="{00000000-0005-0000-0000-000091500000}"/>
    <cellStyle name="Normal 123 2" xfId="20621" xr:uid="{00000000-0005-0000-0000-000092500000}"/>
    <cellStyle name="Normal 124" xfId="20622" xr:uid="{00000000-0005-0000-0000-000093500000}"/>
    <cellStyle name="Normal 124 2" xfId="20623" xr:uid="{00000000-0005-0000-0000-000094500000}"/>
    <cellStyle name="Normal 125" xfId="20624" xr:uid="{00000000-0005-0000-0000-000095500000}"/>
    <cellStyle name="Normal 125 10" xfId="20625" xr:uid="{00000000-0005-0000-0000-000096500000}"/>
    <cellStyle name="Normal 125 10 2" xfId="20626" xr:uid="{00000000-0005-0000-0000-000097500000}"/>
    <cellStyle name="Normal 125 11" xfId="20627" xr:uid="{00000000-0005-0000-0000-000098500000}"/>
    <cellStyle name="Normal 125 11 2" xfId="20628" xr:uid="{00000000-0005-0000-0000-000099500000}"/>
    <cellStyle name="Normal 125 12" xfId="20629" xr:uid="{00000000-0005-0000-0000-00009A500000}"/>
    <cellStyle name="Normal 125 12 2" xfId="20630" xr:uid="{00000000-0005-0000-0000-00009B500000}"/>
    <cellStyle name="Normal 125 13" xfId="20631" xr:uid="{00000000-0005-0000-0000-00009C500000}"/>
    <cellStyle name="Normal 125 13 2" xfId="20632" xr:uid="{00000000-0005-0000-0000-00009D500000}"/>
    <cellStyle name="Normal 125 14" xfId="20633" xr:uid="{00000000-0005-0000-0000-00009E500000}"/>
    <cellStyle name="Normal 125 14 2" xfId="20634" xr:uid="{00000000-0005-0000-0000-00009F500000}"/>
    <cellStyle name="Normal 125 15" xfId="20635" xr:uid="{00000000-0005-0000-0000-0000A0500000}"/>
    <cellStyle name="Normal 125 15 2" xfId="20636" xr:uid="{00000000-0005-0000-0000-0000A1500000}"/>
    <cellStyle name="Normal 125 16" xfId="20637" xr:uid="{00000000-0005-0000-0000-0000A2500000}"/>
    <cellStyle name="Normal 125 16 2" xfId="20638" xr:uid="{00000000-0005-0000-0000-0000A3500000}"/>
    <cellStyle name="Normal 125 17" xfId="20639" xr:uid="{00000000-0005-0000-0000-0000A4500000}"/>
    <cellStyle name="Normal 125 17 2" xfId="20640" xr:uid="{00000000-0005-0000-0000-0000A5500000}"/>
    <cellStyle name="Normal 125 18" xfId="20641" xr:uid="{00000000-0005-0000-0000-0000A6500000}"/>
    <cellStyle name="Normal 125 18 2" xfId="20642" xr:uid="{00000000-0005-0000-0000-0000A7500000}"/>
    <cellStyle name="Normal 125 19" xfId="20643" xr:uid="{00000000-0005-0000-0000-0000A8500000}"/>
    <cellStyle name="Normal 125 19 2" xfId="20644" xr:uid="{00000000-0005-0000-0000-0000A9500000}"/>
    <cellStyle name="Normal 125 2" xfId="20645" xr:uid="{00000000-0005-0000-0000-0000AA500000}"/>
    <cellStyle name="Normal 125 2 2" xfId="20646" xr:uid="{00000000-0005-0000-0000-0000AB500000}"/>
    <cellStyle name="Normal 125 20" xfId="20647" xr:uid="{00000000-0005-0000-0000-0000AC500000}"/>
    <cellStyle name="Normal 125 20 2" xfId="20648" xr:uid="{00000000-0005-0000-0000-0000AD500000}"/>
    <cellStyle name="Normal 125 21" xfId="20649" xr:uid="{00000000-0005-0000-0000-0000AE500000}"/>
    <cellStyle name="Normal 125 21 2" xfId="20650" xr:uid="{00000000-0005-0000-0000-0000AF500000}"/>
    <cellStyle name="Normal 125 22" xfId="20651" xr:uid="{00000000-0005-0000-0000-0000B0500000}"/>
    <cellStyle name="Normal 125 22 2" xfId="20652" xr:uid="{00000000-0005-0000-0000-0000B1500000}"/>
    <cellStyle name="Normal 125 23" xfId="20653" xr:uid="{00000000-0005-0000-0000-0000B2500000}"/>
    <cellStyle name="Normal 125 23 2" xfId="20654" xr:uid="{00000000-0005-0000-0000-0000B3500000}"/>
    <cellStyle name="Normal 125 24" xfId="20655" xr:uid="{00000000-0005-0000-0000-0000B4500000}"/>
    <cellStyle name="Normal 125 24 2" xfId="20656" xr:uid="{00000000-0005-0000-0000-0000B5500000}"/>
    <cellStyle name="Normal 125 25" xfId="20657" xr:uid="{00000000-0005-0000-0000-0000B6500000}"/>
    <cellStyle name="Normal 125 25 2" xfId="20658" xr:uid="{00000000-0005-0000-0000-0000B7500000}"/>
    <cellStyle name="Normal 125 26" xfId="20659" xr:uid="{00000000-0005-0000-0000-0000B8500000}"/>
    <cellStyle name="Normal 125 26 2" xfId="20660" xr:uid="{00000000-0005-0000-0000-0000B9500000}"/>
    <cellStyle name="Normal 125 27" xfId="20661" xr:uid="{00000000-0005-0000-0000-0000BA500000}"/>
    <cellStyle name="Normal 125 27 2" xfId="20662" xr:uid="{00000000-0005-0000-0000-0000BB500000}"/>
    <cellStyle name="Normal 125 28" xfId="20663" xr:uid="{00000000-0005-0000-0000-0000BC500000}"/>
    <cellStyle name="Normal 125 28 2" xfId="20664" xr:uid="{00000000-0005-0000-0000-0000BD500000}"/>
    <cellStyle name="Normal 125 29" xfId="20665" xr:uid="{00000000-0005-0000-0000-0000BE500000}"/>
    <cellStyle name="Normal 125 29 2" xfId="20666" xr:uid="{00000000-0005-0000-0000-0000BF500000}"/>
    <cellStyle name="Normal 125 3" xfId="20667" xr:uid="{00000000-0005-0000-0000-0000C0500000}"/>
    <cellStyle name="Normal 125 3 2" xfId="20668" xr:uid="{00000000-0005-0000-0000-0000C1500000}"/>
    <cellStyle name="Normal 125 30" xfId="20669" xr:uid="{00000000-0005-0000-0000-0000C2500000}"/>
    <cellStyle name="Normal 125 30 2" xfId="20670" xr:uid="{00000000-0005-0000-0000-0000C3500000}"/>
    <cellStyle name="Normal 125 31" xfId="20671" xr:uid="{00000000-0005-0000-0000-0000C4500000}"/>
    <cellStyle name="Normal 125 31 2" xfId="20672" xr:uid="{00000000-0005-0000-0000-0000C5500000}"/>
    <cellStyle name="Normal 125 32" xfId="20673" xr:uid="{00000000-0005-0000-0000-0000C6500000}"/>
    <cellStyle name="Normal 125 32 2" xfId="20674" xr:uid="{00000000-0005-0000-0000-0000C7500000}"/>
    <cellStyle name="Normal 125 33" xfId="20675" xr:uid="{00000000-0005-0000-0000-0000C8500000}"/>
    <cellStyle name="Normal 125 33 2" xfId="20676" xr:uid="{00000000-0005-0000-0000-0000C9500000}"/>
    <cellStyle name="Normal 125 34" xfId="20677" xr:uid="{00000000-0005-0000-0000-0000CA500000}"/>
    <cellStyle name="Normal 125 34 2" xfId="20678" xr:uid="{00000000-0005-0000-0000-0000CB500000}"/>
    <cellStyle name="Normal 125 35" xfId="20679" xr:uid="{00000000-0005-0000-0000-0000CC500000}"/>
    <cellStyle name="Normal 125 35 2" xfId="20680" xr:uid="{00000000-0005-0000-0000-0000CD500000}"/>
    <cellStyle name="Normal 125 36" xfId="20681" xr:uid="{00000000-0005-0000-0000-0000CE500000}"/>
    <cellStyle name="Normal 125 36 2" xfId="20682" xr:uid="{00000000-0005-0000-0000-0000CF500000}"/>
    <cellStyle name="Normal 125 37" xfId="20683" xr:uid="{00000000-0005-0000-0000-0000D0500000}"/>
    <cellStyle name="Normal 125 37 2" xfId="20684" xr:uid="{00000000-0005-0000-0000-0000D1500000}"/>
    <cellStyle name="Normal 125 38" xfId="20685" xr:uid="{00000000-0005-0000-0000-0000D2500000}"/>
    <cellStyle name="Normal 125 38 2" xfId="20686" xr:uid="{00000000-0005-0000-0000-0000D3500000}"/>
    <cellStyle name="Normal 125 39" xfId="20687" xr:uid="{00000000-0005-0000-0000-0000D4500000}"/>
    <cellStyle name="Normal 125 39 2" xfId="20688" xr:uid="{00000000-0005-0000-0000-0000D5500000}"/>
    <cellStyle name="Normal 125 4" xfId="20689" xr:uid="{00000000-0005-0000-0000-0000D6500000}"/>
    <cellStyle name="Normal 125 4 2" xfId="20690" xr:uid="{00000000-0005-0000-0000-0000D7500000}"/>
    <cellStyle name="Normal 125 40" xfId="20691" xr:uid="{00000000-0005-0000-0000-0000D8500000}"/>
    <cellStyle name="Normal 125 40 2" xfId="20692" xr:uid="{00000000-0005-0000-0000-0000D9500000}"/>
    <cellStyle name="Normal 125 41" xfId="20693" xr:uid="{00000000-0005-0000-0000-0000DA500000}"/>
    <cellStyle name="Normal 125 41 2" xfId="20694" xr:uid="{00000000-0005-0000-0000-0000DB500000}"/>
    <cellStyle name="Normal 125 42" xfId="20695" xr:uid="{00000000-0005-0000-0000-0000DC500000}"/>
    <cellStyle name="Normal 125 42 2" xfId="20696" xr:uid="{00000000-0005-0000-0000-0000DD500000}"/>
    <cellStyle name="Normal 125 43" xfId="20697" xr:uid="{00000000-0005-0000-0000-0000DE500000}"/>
    <cellStyle name="Normal 125 43 2" xfId="20698" xr:uid="{00000000-0005-0000-0000-0000DF500000}"/>
    <cellStyle name="Normal 125 44" xfId="20699" xr:uid="{00000000-0005-0000-0000-0000E0500000}"/>
    <cellStyle name="Normal 125 44 2" xfId="20700" xr:uid="{00000000-0005-0000-0000-0000E1500000}"/>
    <cellStyle name="Normal 125 45" xfId="20701" xr:uid="{00000000-0005-0000-0000-0000E2500000}"/>
    <cellStyle name="Normal 125 45 2" xfId="20702" xr:uid="{00000000-0005-0000-0000-0000E3500000}"/>
    <cellStyle name="Normal 125 46" xfId="20703" xr:uid="{00000000-0005-0000-0000-0000E4500000}"/>
    <cellStyle name="Normal 125 46 2" xfId="20704" xr:uid="{00000000-0005-0000-0000-0000E5500000}"/>
    <cellStyle name="Normal 125 47" xfId="20705" xr:uid="{00000000-0005-0000-0000-0000E6500000}"/>
    <cellStyle name="Normal 125 47 2" xfId="20706" xr:uid="{00000000-0005-0000-0000-0000E7500000}"/>
    <cellStyle name="Normal 125 48" xfId="20707" xr:uid="{00000000-0005-0000-0000-0000E8500000}"/>
    <cellStyle name="Normal 125 48 2" xfId="20708" xr:uid="{00000000-0005-0000-0000-0000E9500000}"/>
    <cellStyle name="Normal 125 49" xfId="20709" xr:uid="{00000000-0005-0000-0000-0000EA500000}"/>
    <cellStyle name="Normal 125 49 2" xfId="20710" xr:uid="{00000000-0005-0000-0000-0000EB500000}"/>
    <cellStyle name="Normal 125 5" xfId="20711" xr:uid="{00000000-0005-0000-0000-0000EC500000}"/>
    <cellStyle name="Normal 125 5 2" xfId="20712" xr:uid="{00000000-0005-0000-0000-0000ED500000}"/>
    <cellStyle name="Normal 125 50" xfId="20713" xr:uid="{00000000-0005-0000-0000-0000EE500000}"/>
    <cellStyle name="Normal 125 50 2" xfId="20714" xr:uid="{00000000-0005-0000-0000-0000EF500000}"/>
    <cellStyle name="Normal 125 51" xfId="20715" xr:uid="{00000000-0005-0000-0000-0000F0500000}"/>
    <cellStyle name="Normal 125 51 2" xfId="20716" xr:uid="{00000000-0005-0000-0000-0000F1500000}"/>
    <cellStyle name="Normal 125 52" xfId="20717" xr:uid="{00000000-0005-0000-0000-0000F2500000}"/>
    <cellStyle name="Normal 125 52 2" xfId="20718" xr:uid="{00000000-0005-0000-0000-0000F3500000}"/>
    <cellStyle name="Normal 125 53" xfId="20719" xr:uid="{00000000-0005-0000-0000-0000F4500000}"/>
    <cellStyle name="Normal 125 53 2" xfId="20720" xr:uid="{00000000-0005-0000-0000-0000F5500000}"/>
    <cellStyle name="Normal 125 54" xfId="20721" xr:uid="{00000000-0005-0000-0000-0000F6500000}"/>
    <cellStyle name="Normal 125 54 2" xfId="20722" xr:uid="{00000000-0005-0000-0000-0000F7500000}"/>
    <cellStyle name="Normal 125 55" xfId="20723" xr:uid="{00000000-0005-0000-0000-0000F8500000}"/>
    <cellStyle name="Normal 125 55 2" xfId="20724" xr:uid="{00000000-0005-0000-0000-0000F9500000}"/>
    <cellStyle name="Normal 125 56" xfId="20725" xr:uid="{00000000-0005-0000-0000-0000FA500000}"/>
    <cellStyle name="Normal 125 56 2" xfId="20726" xr:uid="{00000000-0005-0000-0000-0000FB500000}"/>
    <cellStyle name="Normal 125 57" xfId="20727" xr:uid="{00000000-0005-0000-0000-0000FC500000}"/>
    <cellStyle name="Normal 125 57 2" xfId="20728" xr:uid="{00000000-0005-0000-0000-0000FD500000}"/>
    <cellStyle name="Normal 125 58" xfId="20729" xr:uid="{00000000-0005-0000-0000-0000FE500000}"/>
    <cellStyle name="Normal 125 58 2" xfId="20730" xr:uid="{00000000-0005-0000-0000-0000FF500000}"/>
    <cellStyle name="Normal 125 59" xfId="20731" xr:uid="{00000000-0005-0000-0000-000000510000}"/>
    <cellStyle name="Normal 125 59 2" xfId="20732" xr:uid="{00000000-0005-0000-0000-000001510000}"/>
    <cellStyle name="Normal 125 6" xfId="20733" xr:uid="{00000000-0005-0000-0000-000002510000}"/>
    <cellStyle name="Normal 125 6 2" xfId="20734" xr:uid="{00000000-0005-0000-0000-000003510000}"/>
    <cellStyle name="Normal 125 60" xfId="20735" xr:uid="{00000000-0005-0000-0000-000004510000}"/>
    <cellStyle name="Normal 125 60 2" xfId="20736" xr:uid="{00000000-0005-0000-0000-000005510000}"/>
    <cellStyle name="Normal 125 61" xfId="20737" xr:uid="{00000000-0005-0000-0000-000006510000}"/>
    <cellStyle name="Normal 125 61 2" xfId="20738" xr:uid="{00000000-0005-0000-0000-000007510000}"/>
    <cellStyle name="Normal 125 62" xfId="20739" xr:uid="{00000000-0005-0000-0000-000008510000}"/>
    <cellStyle name="Normal 125 62 2" xfId="20740" xr:uid="{00000000-0005-0000-0000-000009510000}"/>
    <cellStyle name="Normal 125 62 3" xfId="20741" xr:uid="{00000000-0005-0000-0000-00000A510000}"/>
    <cellStyle name="Normal 125 63" xfId="20742" xr:uid="{00000000-0005-0000-0000-00000B510000}"/>
    <cellStyle name="Normal 125 7" xfId="20743" xr:uid="{00000000-0005-0000-0000-00000C510000}"/>
    <cellStyle name="Normal 125 7 2" xfId="20744" xr:uid="{00000000-0005-0000-0000-00000D510000}"/>
    <cellStyle name="Normal 125 8" xfId="20745" xr:uid="{00000000-0005-0000-0000-00000E510000}"/>
    <cellStyle name="Normal 125 8 2" xfId="20746" xr:uid="{00000000-0005-0000-0000-00000F510000}"/>
    <cellStyle name="Normal 125 9" xfId="20747" xr:uid="{00000000-0005-0000-0000-000010510000}"/>
    <cellStyle name="Normal 125 9 2" xfId="20748" xr:uid="{00000000-0005-0000-0000-000011510000}"/>
    <cellStyle name="Normal 126" xfId="20749" xr:uid="{00000000-0005-0000-0000-000012510000}"/>
    <cellStyle name="Normal 126 2" xfId="20750" xr:uid="{00000000-0005-0000-0000-000013510000}"/>
    <cellStyle name="Normal 127" xfId="20751" xr:uid="{00000000-0005-0000-0000-000014510000}"/>
    <cellStyle name="Normal 127 2" xfId="20752" xr:uid="{00000000-0005-0000-0000-000015510000}"/>
    <cellStyle name="Normal 128" xfId="20753" xr:uid="{00000000-0005-0000-0000-000016510000}"/>
    <cellStyle name="Normal 128 10" xfId="20754" xr:uid="{00000000-0005-0000-0000-000017510000}"/>
    <cellStyle name="Normal 128 10 2" xfId="20755" xr:uid="{00000000-0005-0000-0000-000018510000}"/>
    <cellStyle name="Normal 128 11" xfId="20756" xr:uid="{00000000-0005-0000-0000-000019510000}"/>
    <cellStyle name="Normal 128 11 2" xfId="20757" xr:uid="{00000000-0005-0000-0000-00001A510000}"/>
    <cellStyle name="Normal 128 12" xfId="20758" xr:uid="{00000000-0005-0000-0000-00001B510000}"/>
    <cellStyle name="Normal 128 12 2" xfId="20759" xr:uid="{00000000-0005-0000-0000-00001C510000}"/>
    <cellStyle name="Normal 128 13" xfId="20760" xr:uid="{00000000-0005-0000-0000-00001D510000}"/>
    <cellStyle name="Normal 128 13 2" xfId="20761" xr:uid="{00000000-0005-0000-0000-00001E510000}"/>
    <cellStyle name="Normal 128 14" xfId="20762" xr:uid="{00000000-0005-0000-0000-00001F510000}"/>
    <cellStyle name="Normal 128 14 2" xfId="20763" xr:uid="{00000000-0005-0000-0000-000020510000}"/>
    <cellStyle name="Normal 128 15" xfId="20764" xr:uid="{00000000-0005-0000-0000-000021510000}"/>
    <cellStyle name="Normal 128 15 2" xfId="20765" xr:uid="{00000000-0005-0000-0000-000022510000}"/>
    <cellStyle name="Normal 128 16" xfId="20766" xr:uid="{00000000-0005-0000-0000-000023510000}"/>
    <cellStyle name="Normal 128 16 2" xfId="20767" xr:uid="{00000000-0005-0000-0000-000024510000}"/>
    <cellStyle name="Normal 128 17" xfId="20768" xr:uid="{00000000-0005-0000-0000-000025510000}"/>
    <cellStyle name="Normal 128 17 2" xfId="20769" xr:uid="{00000000-0005-0000-0000-000026510000}"/>
    <cellStyle name="Normal 128 18" xfId="20770" xr:uid="{00000000-0005-0000-0000-000027510000}"/>
    <cellStyle name="Normal 128 18 2" xfId="20771" xr:uid="{00000000-0005-0000-0000-000028510000}"/>
    <cellStyle name="Normal 128 19" xfId="20772" xr:uid="{00000000-0005-0000-0000-000029510000}"/>
    <cellStyle name="Normal 128 19 2" xfId="20773" xr:uid="{00000000-0005-0000-0000-00002A510000}"/>
    <cellStyle name="Normal 128 2" xfId="20774" xr:uid="{00000000-0005-0000-0000-00002B510000}"/>
    <cellStyle name="Normal 128 2 2" xfId="20775" xr:uid="{00000000-0005-0000-0000-00002C510000}"/>
    <cellStyle name="Normal 128 20" xfId="20776" xr:uid="{00000000-0005-0000-0000-00002D510000}"/>
    <cellStyle name="Normal 128 20 2" xfId="20777" xr:uid="{00000000-0005-0000-0000-00002E510000}"/>
    <cellStyle name="Normal 128 21" xfId="20778" xr:uid="{00000000-0005-0000-0000-00002F510000}"/>
    <cellStyle name="Normal 128 21 2" xfId="20779" xr:uid="{00000000-0005-0000-0000-000030510000}"/>
    <cellStyle name="Normal 128 22" xfId="20780" xr:uid="{00000000-0005-0000-0000-000031510000}"/>
    <cellStyle name="Normal 128 22 2" xfId="20781" xr:uid="{00000000-0005-0000-0000-000032510000}"/>
    <cellStyle name="Normal 128 23" xfId="20782" xr:uid="{00000000-0005-0000-0000-000033510000}"/>
    <cellStyle name="Normal 128 23 2" xfId="20783" xr:uid="{00000000-0005-0000-0000-000034510000}"/>
    <cellStyle name="Normal 128 24" xfId="20784" xr:uid="{00000000-0005-0000-0000-000035510000}"/>
    <cellStyle name="Normal 128 24 2" xfId="20785" xr:uid="{00000000-0005-0000-0000-000036510000}"/>
    <cellStyle name="Normal 128 25" xfId="20786" xr:uid="{00000000-0005-0000-0000-000037510000}"/>
    <cellStyle name="Normal 128 25 2" xfId="20787" xr:uid="{00000000-0005-0000-0000-000038510000}"/>
    <cellStyle name="Normal 128 26" xfId="20788" xr:uid="{00000000-0005-0000-0000-000039510000}"/>
    <cellStyle name="Normal 128 26 2" xfId="20789" xr:uid="{00000000-0005-0000-0000-00003A510000}"/>
    <cellStyle name="Normal 128 27" xfId="20790" xr:uid="{00000000-0005-0000-0000-00003B510000}"/>
    <cellStyle name="Normal 128 27 2" xfId="20791" xr:uid="{00000000-0005-0000-0000-00003C510000}"/>
    <cellStyle name="Normal 128 28" xfId="20792" xr:uid="{00000000-0005-0000-0000-00003D510000}"/>
    <cellStyle name="Normal 128 28 2" xfId="20793" xr:uid="{00000000-0005-0000-0000-00003E510000}"/>
    <cellStyle name="Normal 128 29" xfId="20794" xr:uid="{00000000-0005-0000-0000-00003F510000}"/>
    <cellStyle name="Normal 128 29 2" xfId="20795" xr:uid="{00000000-0005-0000-0000-000040510000}"/>
    <cellStyle name="Normal 128 3" xfId="20796" xr:uid="{00000000-0005-0000-0000-000041510000}"/>
    <cellStyle name="Normal 128 3 2" xfId="20797" xr:uid="{00000000-0005-0000-0000-000042510000}"/>
    <cellStyle name="Normal 128 30" xfId="20798" xr:uid="{00000000-0005-0000-0000-000043510000}"/>
    <cellStyle name="Normal 128 30 2" xfId="20799" xr:uid="{00000000-0005-0000-0000-000044510000}"/>
    <cellStyle name="Normal 128 31" xfId="20800" xr:uid="{00000000-0005-0000-0000-000045510000}"/>
    <cellStyle name="Normal 128 31 2" xfId="20801" xr:uid="{00000000-0005-0000-0000-000046510000}"/>
    <cellStyle name="Normal 128 32" xfId="20802" xr:uid="{00000000-0005-0000-0000-000047510000}"/>
    <cellStyle name="Normal 128 32 2" xfId="20803" xr:uid="{00000000-0005-0000-0000-000048510000}"/>
    <cellStyle name="Normal 128 33" xfId="20804" xr:uid="{00000000-0005-0000-0000-000049510000}"/>
    <cellStyle name="Normal 128 33 2" xfId="20805" xr:uid="{00000000-0005-0000-0000-00004A510000}"/>
    <cellStyle name="Normal 128 34" xfId="20806" xr:uid="{00000000-0005-0000-0000-00004B510000}"/>
    <cellStyle name="Normal 128 34 2" xfId="20807" xr:uid="{00000000-0005-0000-0000-00004C510000}"/>
    <cellStyle name="Normal 128 35" xfId="20808" xr:uid="{00000000-0005-0000-0000-00004D510000}"/>
    <cellStyle name="Normal 128 35 2" xfId="20809" xr:uid="{00000000-0005-0000-0000-00004E510000}"/>
    <cellStyle name="Normal 128 36" xfId="20810" xr:uid="{00000000-0005-0000-0000-00004F510000}"/>
    <cellStyle name="Normal 128 36 2" xfId="20811" xr:uid="{00000000-0005-0000-0000-000050510000}"/>
    <cellStyle name="Normal 128 37" xfId="20812" xr:uid="{00000000-0005-0000-0000-000051510000}"/>
    <cellStyle name="Normal 128 37 2" xfId="20813" xr:uid="{00000000-0005-0000-0000-000052510000}"/>
    <cellStyle name="Normal 128 38" xfId="20814" xr:uid="{00000000-0005-0000-0000-000053510000}"/>
    <cellStyle name="Normal 128 38 2" xfId="20815" xr:uid="{00000000-0005-0000-0000-000054510000}"/>
    <cellStyle name="Normal 128 39" xfId="20816" xr:uid="{00000000-0005-0000-0000-000055510000}"/>
    <cellStyle name="Normal 128 39 2" xfId="20817" xr:uid="{00000000-0005-0000-0000-000056510000}"/>
    <cellStyle name="Normal 128 4" xfId="20818" xr:uid="{00000000-0005-0000-0000-000057510000}"/>
    <cellStyle name="Normal 128 4 2" xfId="20819" xr:uid="{00000000-0005-0000-0000-000058510000}"/>
    <cellStyle name="Normal 128 40" xfId="20820" xr:uid="{00000000-0005-0000-0000-000059510000}"/>
    <cellStyle name="Normal 128 40 2" xfId="20821" xr:uid="{00000000-0005-0000-0000-00005A510000}"/>
    <cellStyle name="Normal 128 41" xfId="20822" xr:uid="{00000000-0005-0000-0000-00005B510000}"/>
    <cellStyle name="Normal 128 41 2" xfId="20823" xr:uid="{00000000-0005-0000-0000-00005C510000}"/>
    <cellStyle name="Normal 128 42" xfId="20824" xr:uid="{00000000-0005-0000-0000-00005D510000}"/>
    <cellStyle name="Normal 128 42 2" xfId="20825" xr:uid="{00000000-0005-0000-0000-00005E510000}"/>
    <cellStyle name="Normal 128 43" xfId="20826" xr:uid="{00000000-0005-0000-0000-00005F510000}"/>
    <cellStyle name="Normal 128 43 2" xfId="20827" xr:uid="{00000000-0005-0000-0000-000060510000}"/>
    <cellStyle name="Normal 128 44" xfId="20828" xr:uid="{00000000-0005-0000-0000-000061510000}"/>
    <cellStyle name="Normal 128 44 2" xfId="20829" xr:uid="{00000000-0005-0000-0000-000062510000}"/>
    <cellStyle name="Normal 128 45" xfId="20830" xr:uid="{00000000-0005-0000-0000-000063510000}"/>
    <cellStyle name="Normal 128 45 2" xfId="20831" xr:uid="{00000000-0005-0000-0000-000064510000}"/>
    <cellStyle name="Normal 128 46" xfId="20832" xr:uid="{00000000-0005-0000-0000-000065510000}"/>
    <cellStyle name="Normal 128 46 2" xfId="20833" xr:uid="{00000000-0005-0000-0000-000066510000}"/>
    <cellStyle name="Normal 128 47" xfId="20834" xr:uid="{00000000-0005-0000-0000-000067510000}"/>
    <cellStyle name="Normal 128 47 2" xfId="20835" xr:uid="{00000000-0005-0000-0000-000068510000}"/>
    <cellStyle name="Normal 128 48" xfId="20836" xr:uid="{00000000-0005-0000-0000-000069510000}"/>
    <cellStyle name="Normal 128 48 2" xfId="20837" xr:uid="{00000000-0005-0000-0000-00006A510000}"/>
    <cellStyle name="Normal 128 49" xfId="20838" xr:uid="{00000000-0005-0000-0000-00006B510000}"/>
    <cellStyle name="Normal 128 49 2" xfId="20839" xr:uid="{00000000-0005-0000-0000-00006C510000}"/>
    <cellStyle name="Normal 128 5" xfId="20840" xr:uid="{00000000-0005-0000-0000-00006D510000}"/>
    <cellStyle name="Normal 128 5 2" xfId="20841" xr:uid="{00000000-0005-0000-0000-00006E510000}"/>
    <cellStyle name="Normal 128 50" xfId="20842" xr:uid="{00000000-0005-0000-0000-00006F510000}"/>
    <cellStyle name="Normal 128 50 2" xfId="20843" xr:uid="{00000000-0005-0000-0000-000070510000}"/>
    <cellStyle name="Normal 128 51" xfId="20844" xr:uid="{00000000-0005-0000-0000-000071510000}"/>
    <cellStyle name="Normal 128 51 2" xfId="20845" xr:uid="{00000000-0005-0000-0000-000072510000}"/>
    <cellStyle name="Normal 128 52" xfId="20846" xr:uid="{00000000-0005-0000-0000-000073510000}"/>
    <cellStyle name="Normal 128 52 2" xfId="20847" xr:uid="{00000000-0005-0000-0000-000074510000}"/>
    <cellStyle name="Normal 128 53" xfId="20848" xr:uid="{00000000-0005-0000-0000-000075510000}"/>
    <cellStyle name="Normal 128 53 2" xfId="20849" xr:uid="{00000000-0005-0000-0000-000076510000}"/>
    <cellStyle name="Normal 128 54" xfId="20850" xr:uid="{00000000-0005-0000-0000-000077510000}"/>
    <cellStyle name="Normal 128 54 2" xfId="20851" xr:uid="{00000000-0005-0000-0000-000078510000}"/>
    <cellStyle name="Normal 128 55" xfId="20852" xr:uid="{00000000-0005-0000-0000-000079510000}"/>
    <cellStyle name="Normal 128 55 2" xfId="20853" xr:uid="{00000000-0005-0000-0000-00007A510000}"/>
    <cellStyle name="Normal 128 56" xfId="20854" xr:uid="{00000000-0005-0000-0000-00007B510000}"/>
    <cellStyle name="Normal 128 56 2" xfId="20855" xr:uid="{00000000-0005-0000-0000-00007C510000}"/>
    <cellStyle name="Normal 128 57" xfId="20856" xr:uid="{00000000-0005-0000-0000-00007D510000}"/>
    <cellStyle name="Normal 128 57 2" xfId="20857" xr:uid="{00000000-0005-0000-0000-00007E510000}"/>
    <cellStyle name="Normal 128 58" xfId="20858" xr:uid="{00000000-0005-0000-0000-00007F510000}"/>
    <cellStyle name="Normal 128 58 2" xfId="20859" xr:uid="{00000000-0005-0000-0000-000080510000}"/>
    <cellStyle name="Normal 128 59" xfId="20860" xr:uid="{00000000-0005-0000-0000-000081510000}"/>
    <cellStyle name="Normal 128 59 2" xfId="20861" xr:uid="{00000000-0005-0000-0000-000082510000}"/>
    <cellStyle name="Normal 128 6" xfId="20862" xr:uid="{00000000-0005-0000-0000-000083510000}"/>
    <cellStyle name="Normal 128 6 2" xfId="20863" xr:uid="{00000000-0005-0000-0000-000084510000}"/>
    <cellStyle name="Normal 128 60" xfId="20864" xr:uid="{00000000-0005-0000-0000-000085510000}"/>
    <cellStyle name="Normal 128 60 2" xfId="20865" xr:uid="{00000000-0005-0000-0000-000086510000}"/>
    <cellStyle name="Normal 128 61" xfId="20866" xr:uid="{00000000-0005-0000-0000-000087510000}"/>
    <cellStyle name="Normal 128 61 2" xfId="20867" xr:uid="{00000000-0005-0000-0000-000088510000}"/>
    <cellStyle name="Normal 128 62" xfId="20868" xr:uid="{00000000-0005-0000-0000-000089510000}"/>
    <cellStyle name="Normal 128 62 2" xfId="20869" xr:uid="{00000000-0005-0000-0000-00008A510000}"/>
    <cellStyle name="Normal 128 62 3" xfId="20870" xr:uid="{00000000-0005-0000-0000-00008B510000}"/>
    <cellStyle name="Normal 128 63" xfId="20871" xr:uid="{00000000-0005-0000-0000-00008C510000}"/>
    <cellStyle name="Normal 128 7" xfId="20872" xr:uid="{00000000-0005-0000-0000-00008D510000}"/>
    <cellStyle name="Normal 128 7 2" xfId="20873" xr:uid="{00000000-0005-0000-0000-00008E510000}"/>
    <cellStyle name="Normal 128 8" xfId="20874" xr:uid="{00000000-0005-0000-0000-00008F510000}"/>
    <cellStyle name="Normal 128 8 2" xfId="20875" xr:uid="{00000000-0005-0000-0000-000090510000}"/>
    <cellStyle name="Normal 128 9" xfId="20876" xr:uid="{00000000-0005-0000-0000-000091510000}"/>
    <cellStyle name="Normal 128 9 2" xfId="20877" xr:uid="{00000000-0005-0000-0000-000092510000}"/>
    <cellStyle name="Normal 129" xfId="20878" xr:uid="{00000000-0005-0000-0000-000093510000}"/>
    <cellStyle name="Normal 129 2" xfId="20879" xr:uid="{00000000-0005-0000-0000-000094510000}"/>
    <cellStyle name="Normal 13" xfId="20880" xr:uid="{00000000-0005-0000-0000-000095510000}"/>
    <cellStyle name="Normal 13 10" xfId="20881" xr:uid="{00000000-0005-0000-0000-000096510000}"/>
    <cellStyle name="Normal 13 10 2" xfId="20882" xr:uid="{00000000-0005-0000-0000-000097510000}"/>
    <cellStyle name="Normal 13 11" xfId="20883" xr:uid="{00000000-0005-0000-0000-000098510000}"/>
    <cellStyle name="Normal 13 11 2" xfId="20884" xr:uid="{00000000-0005-0000-0000-000099510000}"/>
    <cellStyle name="Normal 13 12" xfId="20885" xr:uid="{00000000-0005-0000-0000-00009A510000}"/>
    <cellStyle name="Normal 13 12 2" xfId="20886" xr:uid="{00000000-0005-0000-0000-00009B510000}"/>
    <cellStyle name="Normal 13 13" xfId="20887" xr:uid="{00000000-0005-0000-0000-00009C510000}"/>
    <cellStyle name="Normal 13 13 2" xfId="20888" xr:uid="{00000000-0005-0000-0000-00009D510000}"/>
    <cellStyle name="Normal 13 14" xfId="20889" xr:uid="{00000000-0005-0000-0000-00009E510000}"/>
    <cellStyle name="Normal 13 14 2" xfId="20890" xr:uid="{00000000-0005-0000-0000-00009F510000}"/>
    <cellStyle name="Normal 13 15" xfId="20891" xr:uid="{00000000-0005-0000-0000-0000A0510000}"/>
    <cellStyle name="Normal 13 15 2" xfId="20892" xr:uid="{00000000-0005-0000-0000-0000A1510000}"/>
    <cellStyle name="Normal 13 16" xfId="20893" xr:uid="{00000000-0005-0000-0000-0000A2510000}"/>
    <cellStyle name="Normal 13 16 2" xfId="20894" xr:uid="{00000000-0005-0000-0000-0000A3510000}"/>
    <cellStyle name="Normal 13 17" xfId="20895" xr:uid="{00000000-0005-0000-0000-0000A4510000}"/>
    <cellStyle name="Normal 13 17 2" xfId="20896" xr:uid="{00000000-0005-0000-0000-0000A5510000}"/>
    <cellStyle name="Normal 13 18" xfId="20897" xr:uid="{00000000-0005-0000-0000-0000A6510000}"/>
    <cellStyle name="Normal 13 18 2" xfId="20898" xr:uid="{00000000-0005-0000-0000-0000A7510000}"/>
    <cellStyle name="Normal 13 19" xfId="20899" xr:uid="{00000000-0005-0000-0000-0000A8510000}"/>
    <cellStyle name="Normal 13 19 2" xfId="20900" xr:uid="{00000000-0005-0000-0000-0000A9510000}"/>
    <cellStyle name="Normal 13 2" xfId="20901" xr:uid="{00000000-0005-0000-0000-0000AA510000}"/>
    <cellStyle name="Normal 13 2 10" xfId="20902" xr:uid="{00000000-0005-0000-0000-0000AB510000}"/>
    <cellStyle name="Normal 13 2 11" xfId="20903" xr:uid="{00000000-0005-0000-0000-0000AC510000}"/>
    <cellStyle name="Normal 13 2 2" xfId="20904" xr:uid="{00000000-0005-0000-0000-0000AD510000}"/>
    <cellStyle name="Normal 13 2 2 10" xfId="20905" xr:uid="{00000000-0005-0000-0000-0000AE510000}"/>
    <cellStyle name="Normal 13 2 2 2" xfId="20906" xr:uid="{00000000-0005-0000-0000-0000AF510000}"/>
    <cellStyle name="Normal 13 2 2 2 2" xfId="20907" xr:uid="{00000000-0005-0000-0000-0000B0510000}"/>
    <cellStyle name="Normal 13 2 2 2 2 2" xfId="20908" xr:uid="{00000000-0005-0000-0000-0000B1510000}"/>
    <cellStyle name="Normal 13 2 2 2 2 2 2" xfId="20909" xr:uid="{00000000-0005-0000-0000-0000B2510000}"/>
    <cellStyle name="Normal 13 2 2 2 2 2 2 2" xfId="20910" xr:uid="{00000000-0005-0000-0000-0000B3510000}"/>
    <cellStyle name="Normal 13 2 2 2 2 2 2 2 2" xfId="20911" xr:uid="{00000000-0005-0000-0000-0000B4510000}"/>
    <cellStyle name="Normal 13 2 2 2 2 2 2 2 2 2" xfId="20912" xr:uid="{00000000-0005-0000-0000-0000B5510000}"/>
    <cellStyle name="Normal 13 2 2 2 2 2 2 2 3" xfId="20913" xr:uid="{00000000-0005-0000-0000-0000B6510000}"/>
    <cellStyle name="Normal 13 2 2 2 2 2 2 2 4" xfId="20914" xr:uid="{00000000-0005-0000-0000-0000B7510000}"/>
    <cellStyle name="Normal 13 2 2 2 2 2 2 3" xfId="20915" xr:uid="{00000000-0005-0000-0000-0000B8510000}"/>
    <cellStyle name="Normal 13 2 2 2 2 2 2 3 2" xfId="20916" xr:uid="{00000000-0005-0000-0000-0000B9510000}"/>
    <cellStyle name="Normal 13 2 2 2 2 2 2 4" xfId="20917" xr:uid="{00000000-0005-0000-0000-0000BA510000}"/>
    <cellStyle name="Normal 13 2 2 2 2 2 2 5" xfId="20918" xr:uid="{00000000-0005-0000-0000-0000BB510000}"/>
    <cellStyle name="Normal 13 2 2 2 2 2 3" xfId="20919" xr:uid="{00000000-0005-0000-0000-0000BC510000}"/>
    <cellStyle name="Normal 13 2 2 2 2 2 3 2" xfId="20920" xr:uid="{00000000-0005-0000-0000-0000BD510000}"/>
    <cellStyle name="Normal 13 2 2 2 2 2 3 2 2" xfId="20921" xr:uid="{00000000-0005-0000-0000-0000BE510000}"/>
    <cellStyle name="Normal 13 2 2 2 2 2 3 3" xfId="20922" xr:uid="{00000000-0005-0000-0000-0000BF510000}"/>
    <cellStyle name="Normal 13 2 2 2 2 2 3 4" xfId="20923" xr:uid="{00000000-0005-0000-0000-0000C0510000}"/>
    <cellStyle name="Normal 13 2 2 2 2 2 4" xfId="20924" xr:uid="{00000000-0005-0000-0000-0000C1510000}"/>
    <cellStyle name="Normal 13 2 2 2 2 2 4 2" xfId="20925" xr:uid="{00000000-0005-0000-0000-0000C2510000}"/>
    <cellStyle name="Normal 13 2 2 2 2 2 5" xfId="20926" xr:uid="{00000000-0005-0000-0000-0000C3510000}"/>
    <cellStyle name="Normal 13 2 2 2 2 2 6" xfId="20927" xr:uid="{00000000-0005-0000-0000-0000C4510000}"/>
    <cellStyle name="Normal 13 2 2 2 2 3" xfId="20928" xr:uid="{00000000-0005-0000-0000-0000C5510000}"/>
    <cellStyle name="Normal 13 2 2 2 2 3 2" xfId="20929" xr:uid="{00000000-0005-0000-0000-0000C6510000}"/>
    <cellStyle name="Normal 13 2 2 2 2 3 2 2" xfId="20930" xr:uid="{00000000-0005-0000-0000-0000C7510000}"/>
    <cellStyle name="Normal 13 2 2 2 2 3 2 2 2" xfId="20931" xr:uid="{00000000-0005-0000-0000-0000C8510000}"/>
    <cellStyle name="Normal 13 2 2 2 2 3 2 3" xfId="20932" xr:uid="{00000000-0005-0000-0000-0000C9510000}"/>
    <cellStyle name="Normal 13 2 2 2 2 3 2 4" xfId="20933" xr:uid="{00000000-0005-0000-0000-0000CA510000}"/>
    <cellStyle name="Normal 13 2 2 2 2 3 3" xfId="20934" xr:uid="{00000000-0005-0000-0000-0000CB510000}"/>
    <cellStyle name="Normal 13 2 2 2 2 3 3 2" xfId="20935" xr:uid="{00000000-0005-0000-0000-0000CC510000}"/>
    <cellStyle name="Normal 13 2 2 2 2 3 4" xfId="20936" xr:uid="{00000000-0005-0000-0000-0000CD510000}"/>
    <cellStyle name="Normal 13 2 2 2 2 3 5" xfId="20937" xr:uid="{00000000-0005-0000-0000-0000CE510000}"/>
    <cellStyle name="Normal 13 2 2 2 2 4" xfId="20938" xr:uid="{00000000-0005-0000-0000-0000CF510000}"/>
    <cellStyle name="Normal 13 2 2 2 2 4 2" xfId="20939" xr:uid="{00000000-0005-0000-0000-0000D0510000}"/>
    <cellStyle name="Normal 13 2 2 2 2 4 2 2" xfId="20940" xr:uid="{00000000-0005-0000-0000-0000D1510000}"/>
    <cellStyle name="Normal 13 2 2 2 2 4 3" xfId="20941" xr:uid="{00000000-0005-0000-0000-0000D2510000}"/>
    <cellStyle name="Normal 13 2 2 2 2 4 4" xfId="20942" xr:uid="{00000000-0005-0000-0000-0000D3510000}"/>
    <cellStyle name="Normal 13 2 2 2 2 5" xfId="20943" xr:uid="{00000000-0005-0000-0000-0000D4510000}"/>
    <cellStyle name="Normal 13 2 2 2 2 5 2" xfId="20944" xr:uid="{00000000-0005-0000-0000-0000D5510000}"/>
    <cellStyle name="Normal 13 2 2 2 2 6" xfId="20945" xr:uid="{00000000-0005-0000-0000-0000D6510000}"/>
    <cellStyle name="Normal 13 2 2 2 2 7" xfId="20946" xr:uid="{00000000-0005-0000-0000-0000D7510000}"/>
    <cellStyle name="Normal 13 2 2 2 3" xfId="20947" xr:uid="{00000000-0005-0000-0000-0000D8510000}"/>
    <cellStyle name="Normal 13 2 2 2 3 2" xfId="20948" xr:uid="{00000000-0005-0000-0000-0000D9510000}"/>
    <cellStyle name="Normal 13 2 2 2 3 2 2" xfId="20949" xr:uid="{00000000-0005-0000-0000-0000DA510000}"/>
    <cellStyle name="Normal 13 2 2 2 3 2 2 2" xfId="20950" xr:uid="{00000000-0005-0000-0000-0000DB510000}"/>
    <cellStyle name="Normal 13 2 2 2 3 2 2 2 2" xfId="20951" xr:uid="{00000000-0005-0000-0000-0000DC510000}"/>
    <cellStyle name="Normal 13 2 2 2 3 2 2 3" xfId="20952" xr:uid="{00000000-0005-0000-0000-0000DD510000}"/>
    <cellStyle name="Normal 13 2 2 2 3 2 2 4" xfId="20953" xr:uid="{00000000-0005-0000-0000-0000DE510000}"/>
    <cellStyle name="Normal 13 2 2 2 3 2 3" xfId="20954" xr:uid="{00000000-0005-0000-0000-0000DF510000}"/>
    <cellStyle name="Normal 13 2 2 2 3 2 3 2" xfId="20955" xr:uid="{00000000-0005-0000-0000-0000E0510000}"/>
    <cellStyle name="Normal 13 2 2 2 3 2 4" xfId="20956" xr:uid="{00000000-0005-0000-0000-0000E1510000}"/>
    <cellStyle name="Normal 13 2 2 2 3 2 5" xfId="20957" xr:uid="{00000000-0005-0000-0000-0000E2510000}"/>
    <cellStyle name="Normal 13 2 2 2 3 3" xfId="20958" xr:uid="{00000000-0005-0000-0000-0000E3510000}"/>
    <cellStyle name="Normal 13 2 2 2 3 3 2" xfId="20959" xr:uid="{00000000-0005-0000-0000-0000E4510000}"/>
    <cellStyle name="Normal 13 2 2 2 3 3 2 2" xfId="20960" xr:uid="{00000000-0005-0000-0000-0000E5510000}"/>
    <cellStyle name="Normal 13 2 2 2 3 3 3" xfId="20961" xr:uid="{00000000-0005-0000-0000-0000E6510000}"/>
    <cellStyle name="Normal 13 2 2 2 3 3 3 2" xfId="20962" xr:uid="{00000000-0005-0000-0000-0000E7510000}"/>
    <cellStyle name="Normal 13 2 2 2 3 3 4" xfId="20963" xr:uid="{00000000-0005-0000-0000-0000E8510000}"/>
    <cellStyle name="Normal 13 2 2 2 3 3 5" xfId="20964" xr:uid="{00000000-0005-0000-0000-0000E9510000}"/>
    <cellStyle name="Normal 13 2 2 2 3 4" xfId="20965" xr:uid="{00000000-0005-0000-0000-0000EA510000}"/>
    <cellStyle name="Normal 13 2 2 2 3 4 2" xfId="20966" xr:uid="{00000000-0005-0000-0000-0000EB510000}"/>
    <cellStyle name="Normal 13 2 2 2 3 5" xfId="20967" xr:uid="{00000000-0005-0000-0000-0000EC510000}"/>
    <cellStyle name="Normal 13 2 2 2 3 5 2" xfId="20968" xr:uid="{00000000-0005-0000-0000-0000ED510000}"/>
    <cellStyle name="Normal 13 2 2 2 3 6" xfId="20969" xr:uid="{00000000-0005-0000-0000-0000EE510000}"/>
    <cellStyle name="Normal 13 2 2 2 3 7" xfId="20970" xr:uid="{00000000-0005-0000-0000-0000EF510000}"/>
    <cellStyle name="Normal 13 2 2 2 4" xfId="20971" xr:uid="{00000000-0005-0000-0000-0000F0510000}"/>
    <cellStyle name="Normal 13 2 2 2 4 2" xfId="20972" xr:uid="{00000000-0005-0000-0000-0000F1510000}"/>
    <cellStyle name="Normal 13 2 2 2 4 2 2" xfId="20973" xr:uid="{00000000-0005-0000-0000-0000F2510000}"/>
    <cellStyle name="Normal 13 2 2 2 4 2 2 2" xfId="20974" xr:uid="{00000000-0005-0000-0000-0000F3510000}"/>
    <cellStyle name="Normal 13 2 2 2 4 2 3" xfId="20975" xr:uid="{00000000-0005-0000-0000-0000F4510000}"/>
    <cellStyle name="Normal 13 2 2 2 4 2 4" xfId="20976" xr:uid="{00000000-0005-0000-0000-0000F5510000}"/>
    <cellStyle name="Normal 13 2 2 2 4 3" xfId="20977" xr:uid="{00000000-0005-0000-0000-0000F6510000}"/>
    <cellStyle name="Normal 13 2 2 2 4 3 2" xfId="20978" xr:uid="{00000000-0005-0000-0000-0000F7510000}"/>
    <cellStyle name="Normal 13 2 2 2 4 4" xfId="20979" xr:uid="{00000000-0005-0000-0000-0000F8510000}"/>
    <cellStyle name="Normal 13 2 2 2 4 5" xfId="20980" xr:uid="{00000000-0005-0000-0000-0000F9510000}"/>
    <cellStyle name="Normal 13 2 2 2 5" xfId="20981" xr:uid="{00000000-0005-0000-0000-0000FA510000}"/>
    <cellStyle name="Normal 13 2 2 2 5 2" xfId="20982" xr:uid="{00000000-0005-0000-0000-0000FB510000}"/>
    <cellStyle name="Normal 13 2 2 2 5 2 2" xfId="20983" xr:uid="{00000000-0005-0000-0000-0000FC510000}"/>
    <cellStyle name="Normal 13 2 2 2 5 3" xfId="20984" xr:uid="{00000000-0005-0000-0000-0000FD510000}"/>
    <cellStyle name="Normal 13 2 2 2 5 3 2" xfId="20985" xr:uid="{00000000-0005-0000-0000-0000FE510000}"/>
    <cellStyle name="Normal 13 2 2 2 5 4" xfId="20986" xr:uid="{00000000-0005-0000-0000-0000FF510000}"/>
    <cellStyle name="Normal 13 2 2 2 5 5" xfId="20987" xr:uid="{00000000-0005-0000-0000-000000520000}"/>
    <cellStyle name="Normal 13 2 2 2 6" xfId="20988" xr:uid="{00000000-0005-0000-0000-000001520000}"/>
    <cellStyle name="Normal 13 2 2 2 6 2" xfId="20989" xr:uid="{00000000-0005-0000-0000-000002520000}"/>
    <cellStyle name="Normal 13 2 2 2 7" xfId="20990" xr:uid="{00000000-0005-0000-0000-000003520000}"/>
    <cellStyle name="Normal 13 2 2 2 7 2" xfId="20991" xr:uid="{00000000-0005-0000-0000-000004520000}"/>
    <cellStyle name="Normal 13 2 2 2 8" xfId="20992" xr:uid="{00000000-0005-0000-0000-000005520000}"/>
    <cellStyle name="Normal 13 2 2 2 9" xfId="20993" xr:uid="{00000000-0005-0000-0000-000006520000}"/>
    <cellStyle name="Normal 13 2 2 3" xfId="20994" xr:uid="{00000000-0005-0000-0000-000007520000}"/>
    <cellStyle name="Normal 13 2 2 3 2" xfId="20995" xr:uid="{00000000-0005-0000-0000-000008520000}"/>
    <cellStyle name="Normal 13 2 2 3 2 2" xfId="20996" xr:uid="{00000000-0005-0000-0000-000009520000}"/>
    <cellStyle name="Normal 13 2 2 3 2 2 2" xfId="20997" xr:uid="{00000000-0005-0000-0000-00000A520000}"/>
    <cellStyle name="Normal 13 2 2 3 2 2 2 2" xfId="20998" xr:uid="{00000000-0005-0000-0000-00000B520000}"/>
    <cellStyle name="Normal 13 2 2 3 2 2 2 2 2" xfId="20999" xr:uid="{00000000-0005-0000-0000-00000C520000}"/>
    <cellStyle name="Normal 13 2 2 3 2 2 2 3" xfId="21000" xr:uid="{00000000-0005-0000-0000-00000D520000}"/>
    <cellStyle name="Normal 13 2 2 3 2 2 2 4" xfId="21001" xr:uid="{00000000-0005-0000-0000-00000E520000}"/>
    <cellStyle name="Normal 13 2 2 3 2 2 3" xfId="21002" xr:uid="{00000000-0005-0000-0000-00000F520000}"/>
    <cellStyle name="Normal 13 2 2 3 2 2 3 2" xfId="21003" xr:uid="{00000000-0005-0000-0000-000010520000}"/>
    <cellStyle name="Normal 13 2 2 3 2 2 4" xfId="21004" xr:uid="{00000000-0005-0000-0000-000011520000}"/>
    <cellStyle name="Normal 13 2 2 3 2 2 5" xfId="21005" xr:uid="{00000000-0005-0000-0000-000012520000}"/>
    <cellStyle name="Normal 13 2 2 3 2 3" xfId="21006" xr:uid="{00000000-0005-0000-0000-000013520000}"/>
    <cellStyle name="Normal 13 2 2 3 2 3 2" xfId="21007" xr:uid="{00000000-0005-0000-0000-000014520000}"/>
    <cellStyle name="Normal 13 2 2 3 2 3 2 2" xfId="21008" xr:uid="{00000000-0005-0000-0000-000015520000}"/>
    <cellStyle name="Normal 13 2 2 3 2 3 3" xfId="21009" xr:uid="{00000000-0005-0000-0000-000016520000}"/>
    <cellStyle name="Normal 13 2 2 3 2 3 4" xfId="21010" xr:uid="{00000000-0005-0000-0000-000017520000}"/>
    <cellStyle name="Normal 13 2 2 3 2 4" xfId="21011" xr:uid="{00000000-0005-0000-0000-000018520000}"/>
    <cellStyle name="Normal 13 2 2 3 2 4 2" xfId="21012" xr:uid="{00000000-0005-0000-0000-000019520000}"/>
    <cellStyle name="Normal 13 2 2 3 2 5" xfId="21013" xr:uid="{00000000-0005-0000-0000-00001A520000}"/>
    <cellStyle name="Normal 13 2 2 3 2 6" xfId="21014" xr:uid="{00000000-0005-0000-0000-00001B520000}"/>
    <cellStyle name="Normal 13 2 2 3 3" xfId="21015" xr:uid="{00000000-0005-0000-0000-00001C520000}"/>
    <cellStyle name="Normal 13 2 2 3 3 2" xfId="21016" xr:uid="{00000000-0005-0000-0000-00001D520000}"/>
    <cellStyle name="Normal 13 2 2 3 3 2 2" xfId="21017" xr:uid="{00000000-0005-0000-0000-00001E520000}"/>
    <cellStyle name="Normal 13 2 2 3 3 2 2 2" xfId="21018" xr:uid="{00000000-0005-0000-0000-00001F520000}"/>
    <cellStyle name="Normal 13 2 2 3 3 2 3" xfId="21019" xr:uid="{00000000-0005-0000-0000-000020520000}"/>
    <cellStyle name="Normal 13 2 2 3 3 2 4" xfId="21020" xr:uid="{00000000-0005-0000-0000-000021520000}"/>
    <cellStyle name="Normal 13 2 2 3 3 3" xfId="21021" xr:uid="{00000000-0005-0000-0000-000022520000}"/>
    <cellStyle name="Normal 13 2 2 3 3 3 2" xfId="21022" xr:uid="{00000000-0005-0000-0000-000023520000}"/>
    <cellStyle name="Normal 13 2 2 3 3 4" xfId="21023" xr:uid="{00000000-0005-0000-0000-000024520000}"/>
    <cellStyle name="Normal 13 2 2 3 3 5" xfId="21024" xr:uid="{00000000-0005-0000-0000-000025520000}"/>
    <cellStyle name="Normal 13 2 2 3 4" xfId="21025" xr:uid="{00000000-0005-0000-0000-000026520000}"/>
    <cellStyle name="Normal 13 2 2 3 4 2" xfId="21026" xr:uid="{00000000-0005-0000-0000-000027520000}"/>
    <cellStyle name="Normal 13 2 2 3 4 2 2" xfId="21027" xr:uid="{00000000-0005-0000-0000-000028520000}"/>
    <cellStyle name="Normal 13 2 2 3 4 3" xfId="21028" xr:uid="{00000000-0005-0000-0000-000029520000}"/>
    <cellStyle name="Normal 13 2 2 3 4 4" xfId="21029" xr:uid="{00000000-0005-0000-0000-00002A520000}"/>
    <cellStyle name="Normal 13 2 2 3 5" xfId="21030" xr:uid="{00000000-0005-0000-0000-00002B520000}"/>
    <cellStyle name="Normal 13 2 2 3 5 2" xfId="21031" xr:uid="{00000000-0005-0000-0000-00002C520000}"/>
    <cellStyle name="Normal 13 2 2 3 6" xfId="21032" xr:uid="{00000000-0005-0000-0000-00002D520000}"/>
    <cellStyle name="Normal 13 2 2 3 7" xfId="21033" xr:uid="{00000000-0005-0000-0000-00002E520000}"/>
    <cellStyle name="Normal 13 2 2 4" xfId="21034" xr:uid="{00000000-0005-0000-0000-00002F520000}"/>
    <cellStyle name="Normal 13 2 2 4 2" xfId="21035" xr:uid="{00000000-0005-0000-0000-000030520000}"/>
    <cellStyle name="Normal 13 2 2 4 2 2" xfId="21036" xr:uid="{00000000-0005-0000-0000-000031520000}"/>
    <cellStyle name="Normal 13 2 2 4 2 2 2" xfId="21037" xr:uid="{00000000-0005-0000-0000-000032520000}"/>
    <cellStyle name="Normal 13 2 2 4 2 2 2 2" xfId="21038" xr:uid="{00000000-0005-0000-0000-000033520000}"/>
    <cellStyle name="Normal 13 2 2 4 2 2 3" xfId="21039" xr:uid="{00000000-0005-0000-0000-000034520000}"/>
    <cellStyle name="Normal 13 2 2 4 2 2 4" xfId="21040" xr:uid="{00000000-0005-0000-0000-000035520000}"/>
    <cellStyle name="Normal 13 2 2 4 2 3" xfId="21041" xr:uid="{00000000-0005-0000-0000-000036520000}"/>
    <cellStyle name="Normal 13 2 2 4 2 3 2" xfId="21042" xr:uid="{00000000-0005-0000-0000-000037520000}"/>
    <cellStyle name="Normal 13 2 2 4 2 4" xfId="21043" xr:uid="{00000000-0005-0000-0000-000038520000}"/>
    <cellStyle name="Normal 13 2 2 4 2 5" xfId="21044" xr:uid="{00000000-0005-0000-0000-000039520000}"/>
    <cellStyle name="Normal 13 2 2 4 3" xfId="21045" xr:uid="{00000000-0005-0000-0000-00003A520000}"/>
    <cellStyle name="Normal 13 2 2 4 3 2" xfId="21046" xr:uid="{00000000-0005-0000-0000-00003B520000}"/>
    <cellStyle name="Normal 13 2 2 4 3 2 2" xfId="21047" xr:uid="{00000000-0005-0000-0000-00003C520000}"/>
    <cellStyle name="Normal 13 2 2 4 3 3" xfId="21048" xr:uid="{00000000-0005-0000-0000-00003D520000}"/>
    <cellStyle name="Normal 13 2 2 4 3 3 2" xfId="21049" xr:uid="{00000000-0005-0000-0000-00003E520000}"/>
    <cellStyle name="Normal 13 2 2 4 3 4" xfId="21050" xr:uid="{00000000-0005-0000-0000-00003F520000}"/>
    <cellStyle name="Normal 13 2 2 4 3 5" xfId="21051" xr:uid="{00000000-0005-0000-0000-000040520000}"/>
    <cellStyle name="Normal 13 2 2 4 4" xfId="21052" xr:uid="{00000000-0005-0000-0000-000041520000}"/>
    <cellStyle name="Normal 13 2 2 4 4 2" xfId="21053" xr:uid="{00000000-0005-0000-0000-000042520000}"/>
    <cellStyle name="Normal 13 2 2 4 5" xfId="21054" xr:uid="{00000000-0005-0000-0000-000043520000}"/>
    <cellStyle name="Normal 13 2 2 4 5 2" xfId="21055" xr:uid="{00000000-0005-0000-0000-000044520000}"/>
    <cellStyle name="Normal 13 2 2 4 6" xfId="21056" xr:uid="{00000000-0005-0000-0000-000045520000}"/>
    <cellStyle name="Normal 13 2 2 4 7" xfId="21057" xr:uid="{00000000-0005-0000-0000-000046520000}"/>
    <cellStyle name="Normal 13 2 2 5" xfId="21058" xr:uid="{00000000-0005-0000-0000-000047520000}"/>
    <cellStyle name="Normal 13 2 2 5 2" xfId="21059" xr:uid="{00000000-0005-0000-0000-000048520000}"/>
    <cellStyle name="Normal 13 2 2 5 2 2" xfId="21060" xr:uid="{00000000-0005-0000-0000-000049520000}"/>
    <cellStyle name="Normal 13 2 2 5 2 2 2" xfId="21061" xr:uid="{00000000-0005-0000-0000-00004A520000}"/>
    <cellStyle name="Normal 13 2 2 5 2 3" xfId="21062" xr:uid="{00000000-0005-0000-0000-00004B520000}"/>
    <cellStyle name="Normal 13 2 2 5 2 4" xfId="21063" xr:uid="{00000000-0005-0000-0000-00004C520000}"/>
    <cellStyle name="Normal 13 2 2 5 3" xfId="21064" xr:uid="{00000000-0005-0000-0000-00004D520000}"/>
    <cellStyle name="Normal 13 2 2 5 3 2" xfId="21065" xr:uid="{00000000-0005-0000-0000-00004E520000}"/>
    <cellStyle name="Normal 13 2 2 5 4" xfId="21066" xr:uid="{00000000-0005-0000-0000-00004F520000}"/>
    <cellStyle name="Normal 13 2 2 5 5" xfId="21067" xr:uid="{00000000-0005-0000-0000-000050520000}"/>
    <cellStyle name="Normal 13 2 2 6" xfId="21068" xr:uid="{00000000-0005-0000-0000-000051520000}"/>
    <cellStyle name="Normal 13 2 2 6 2" xfId="21069" xr:uid="{00000000-0005-0000-0000-000052520000}"/>
    <cellStyle name="Normal 13 2 2 6 2 2" xfId="21070" xr:uid="{00000000-0005-0000-0000-000053520000}"/>
    <cellStyle name="Normal 13 2 2 6 3" xfId="21071" xr:uid="{00000000-0005-0000-0000-000054520000}"/>
    <cellStyle name="Normal 13 2 2 6 3 2" xfId="21072" xr:uid="{00000000-0005-0000-0000-000055520000}"/>
    <cellStyle name="Normal 13 2 2 6 4" xfId="21073" xr:uid="{00000000-0005-0000-0000-000056520000}"/>
    <cellStyle name="Normal 13 2 2 6 5" xfId="21074" xr:uid="{00000000-0005-0000-0000-000057520000}"/>
    <cellStyle name="Normal 13 2 2 7" xfId="21075" xr:uid="{00000000-0005-0000-0000-000058520000}"/>
    <cellStyle name="Normal 13 2 2 7 2" xfId="21076" xr:uid="{00000000-0005-0000-0000-000059520000}"/>
    <cellStyle name="Normal 13 2 2 8" xfId="21077" xr:uid="{00000000-0005-0000-0000-00005A520000}"/>
    <cellStyle name="Normal 13 2 2 8 2" xfId="21078" xr:uid="{00000000-0005-0000-0000-00005B520000}"/>
    <cellStyle name="Normal 13 2 2 9" xfId="21079" xr:uid="{00000000-0005-0000-0000-00005C520000}"/>
    <cellStyle name="Normal 13 2 3" xfId="21080" xr:uid="{00000000-0005-0000-0000-00005D520000}"/>
    <cellStyle name="Normal 13 2 3 2" xfId="21081" xr:uid="{00000000-0005-0000-0000-00005E520000}"/>
    <cellStyle name="Normal 13 2 3 2 2" xfId="21082" xr:uid="{00000000-0005-0000-0000-00005F520000}"/>
    <cellStyle name="Normal 13 2 3 2 2 2" xfId="21083" xr:uid="{00000000-0005-0000-0000-000060520000}"/>
    <cellStyle name="Normal 13 2 3 2 2 2 2" xfId="21084" xr:uid="{00000000-0005-0000-0000-000061520000}"/>
    <cellStyle name="Normal 13 2 3 2 2 2 2 2" xfId="21085" xr:uid="{00000000-0005-0000-0000-000062520000}"/>
    <cellStyle name="Normal 13 2 3 2 2 2 2 2 2" xfId="21086" xr:uid="{00000000-0005-0000-0000-000063520000}"/>
    <cellStyle name="Normal 13 2 3 2 2 2 2 3" xfId="21087" xr:uid="{00000000-0005-0000-0000-000064520000}"/>
    <cellStyle name="Normal 13 2 3 2 2 2 2 4" xfId="21088" xr:uid="{00000000-0005-0000-0000-000065520000}"/>
    <cellStyle name="Normal 13 2 3 2 2 2 3" xfId="21089" xr:uid="{00000000-0005-0000-0000-000066520000}"/>
    <cellStyle name="Normal 13 2 3 2 2 2 3 2" xfId="21090" xr:uid="{00000000-0005-0000-0000-000067520000}"/>
    <cellStyle name="Normal 13 2 3 2 2 2 4" xfId="21091" xr:uid="{00000000-0005-0000-0000-000068520000}"/>
    <cellStyle name="Normal 13 2 3 2 2 2 5" xfId="21092" xr:uid="{00000000-0005-0000-0000-000069520000}"/>
    <cellStyle name="Normal 13 2 3 2 2 3" xfId="21093" xr:uid="{00000000-0005-0000-0000-00006A520000}"/>
    <cellStyle name="Normal 13 2 3 2 2 3 2" xfId="21094" xr:uid="{00000000-0005-0000-0000-00006B520000}"/>
    <cellStyle name="Normal 13 2 3 2 2 3 2 2" xfId="21095" xr:uid="{00000000-0005-0000-0000-00006C520000}"/>
    <cellStyle name="Normal 13 2 3 2 2 3 3" xfId="21096" xr:uid="{00000000-0005-0000-0000-00006D520000}"/>
    <cellStyle name="Normal 13 2 3 2 2 3 4" xfId="21097" xr:uid="{00000000-0005-0000-0000-00006E520000}"/>
    <cellStyle name="Normal 13 2 3 2 2 4" xfId="21098" xr:uid="{00000000-0005-0000-0000-00006F520000}"/>
    <cellStyle name="Normal 13 2 3 2 2 4 2" xfId="21099" xr:uid="{00000000-0005-0000-0000-000070520000}"/>
    <cellStyle name="Normal 13 2 3 2 2 5" xfId="21100" xr:uid="{00000000-0005-0000-0000-000071520000}"/>
    <cellStyle name="Normal 13 2 3 2 2 6" xfId="21101" xr:uid="{00000000-0005-0000-0000-000072520000}"/>
    <cellStyle name="Normal 13 2 3 2 3" xfId="21102" xr:uid="{00000000-0005-0000-0000-000073520000}"/>
    <cellStyle name="Normal 13 2 3 2 3 2" xfId="21103" xr:uid="{00000000-0005-0000-0000-000074520000}"/>
    <cellStyle name="Normal 13 2 3 2 3 2 2" xfId="21104" xr:uid="{00000000-0005-0000-0000-000075520000}"/>
    <cellStyle name="Normal 13 2 3 2 3 2 2 2" xfId="21105" xr:uid="{00000000-0005-0000-0000-000076520000}"/>
    <cellStyle name="Normal 13 2 3 2 3 2 3" xfId="21106" xr:uid="{00000000-0005-0000-0000-000077520000}"/>
    <cellStyle name="Normal 13 2 3 2 3 2 4" xfId="21107" xr:uid="{00000000-0005-0000-0000-000078520000}"/>
    <cellStyle name="Normal 13 2 3 2 3 3" xfId="21108" xr:uid="{00000000-0005-0000-0000-000079520000}"/>
    <cellStyle name="Normal 13 2 3 2 3 3 2" xfId="21109" xr:uid="{00000000-0005-0000-0000-00007A520000}"/>
    <cellStyle name="Normal 13 2 3 2 3 4" xfId="21110" xr:uid="{00000000-0005-0000-0000-00007B520000}"/>
    <cellStyle name="Normal 13 2 3 2 3 5" xfId="21111" xr:uid="{00000000-0005-0000-0000-00007C520000}"/>
    <cellStyle name="Normal 13 2 3 2 4" xfId="21112" xr:uid="{00000000-0005-0000-0000-00007D520000}"/>
    <cellStyle name="Normal 13 2 3 2 4 2" xfId="21113" xr:uid="{00000000-0005-0000-0000-00007E520000}"/>
    <cellStyle name="Normal 13 2 3 2 4 2 2" xfId="21114" xr:uid="{00000000-0005-0000-0000-00007F520000}"/>
    <cellStyle name="Normal 13 2 3 2 4 3" xfId="21115" xr:uid="{00000000-0005-0000-0000-000080520000}"/>
    <cellStyle name="Normal 13 2 3 2 4 4" xfId="21116" xr:uid="{00000000-0005-0000-0000-000081520000}"/>
    <cellStyle name="Normal 13 2 3 2 5" xfId="21117" xr:uid="{00000000-0005-0000-0000-000082520000}"/>
    <cellStyle name="Normal 13 2 3 2 5 2" xfId="21118" xr:uid="{00000000-0005-0000-0000-000083520000}"/>
    <cellStyle name="Normal 13 2 3 2 6" xfId="21119" xr:uid="{00000000-0005-0000-0000-000084520000}"/>
    <cellStyle name="Normal 13 2 3 2 7" xfId="21120" xr:uid="{00000000-0005-0000-0000-000085520000}"/>
    <cellStyle name="Normal 13 2 3 3" xfId="21121" xr:uid="{00000000-0005-0000-0000-000086520000}"/>
    <cellStyle name="Normal 13 2 3 3 2" xfId="21122" xr:uid="{00000000-0005-0000-0000-000087520000}"/>
    <cellStyle name="Normal 13 2 3 3 2 2" xfId="21123" xr:uid="{00000000-0005-0000-0000-000088520000}"/>
    <cellStyle name="Normal 13 2 3 3 2 2 2" xfId="21124" xr:uid="{00000000-0005-0000-0000-000089520000}"/>
    <cellStyle name="Normal 13 2 3 3 2 2 2 2" xfId="21125" xr:uid="{00000000-0005-0000-0000-00008A520000}"/>
    <cellStyle name="Normal 13 2 3 3 2 2 3" xfId="21126" xr:uid="{00000000-0005-0000-0000-00008B520000}"/>
    <cellStyle name="Normal 13 2 3 3 2 2 4" xfId="21127" xr:uid="{00000000-0005-0000-0000-00008C520000}"/>
    <cellStyle name="Normal 13 2 3 3 2 3" xfId="21128" xr:uid="{00000000-0005-0000-0000-00008D520000}"/>
    <cellStyle name="Normal 13 2 3 3 2 3 2" xfId="21129" xr:uid="{00000000-0005-0000-0000-00008E520000}"/>
    <cellStyle name="Normal 13 2 3 3 2 4" xfId="21130" xr:uid="{00000000-0005-0000-0000-00008F520000}"/>
    <cellStyle name="Normal 13 2 3 3 2 5" xfId="21131" xr:uid="{00000000-0005-0000-0000-000090520000}"/>
    <cellStyle name="Normal 13 2 3 3 3" xfId="21132" xr:uid="{00000000-0005-0000-0000-000091520000}"/>
    <cellStyle name="Normal 13 2 3 3 3 2" xfId="21133" xr:uid="{00000000-0005-0000-0000-000092520000}"/>
    <cellStyle name="Normal 13 2 3 3 3 2 2" xfId="21134" xr:uid="{00000000-0005-0000-0000-000093520000}"/>
    <cellStyle name="Normal 13 2 3 3 3 3" xfId="21135" xr:uid="{00000000-0005-0000-0000-000094520000}"/>
    <cellStyle name="Normal 13 2 3 3 3 3 2" xfId="21136" xr:uid="{00000000-0005-0000-0000-000095520000}"/>
    <cellStyle name="Normal 13 2 3 3 3 4" xfId="21137" xr:uid="{00000000-0005-0000-0000-000096520000}"/>
    <cellStyle name="Normal 13 2 3 3 3 5" xfId="21138" xr:uid="{00000000-0005-0000-0000-000097520000}"/>
    <cellStyle name="Normal 13 2 3 3 4" xfId="21139" xr:uid="{00000000-0005-0000-0000-000098520000}"/>
    <cellStyle name="Normal 13 2 3 3 4 2" xfId="21140" xr:uid="{00000000-0005-0000-0000-000099520000}"/>
    <cellStyle name="Normal 13 2 3 3 5" xfId="21141" xr:uid="{00000000-0005-0000-0000-00009A520000}"/>
    <cellStyle name="Normal 13 2 3 3 5 2" xfId="21142" xr:uid="{00000000-0005-0000-0000-00009B520000}"/>
    <cellStyle name="Normal 13 2 3 3 6" xfId="21143" xr:uid="{00000000-0005-0000-0000-00009C520000}"/>
    <cellStyle name="Normal 13 2 3 3 7" xfId="21144" xr:uid="{00000000-0005-0000-0000-00009D520000}"/>
    <cellStyle name="Normal 13 2 3 4" xfId="21145" xr:uid="{00000000-0005-0000-0000-00009E520000}"/>
    <cellStyle name="Normal 13 2 3 4 2" xfId="21146" xr:uid="{00000000-0005-0000-0000-00009F520000}"/>
    <cellStyle name="Normal 13 2 3 4 2 2" xfId="21147" xr:uid="{00000000-0005-0000-0000-0000A0520000}"/>
    <cellStyle name="Normal 13 2 3 4 2 2 2" xfId="21148" xr:uid="{00000000-0005-0000-0000-0000A1520000}"/>
    <cellStyle name="Normal 13 2 3 4 2 3" xfId="21149" xr:uid="{00000000-0005-0000-0000-0000A2520000}"/>
    <cellStyle name="Normal 13 2 3 4 2 4" xfId="21150" xr:uid="{00000000-0005-0000-0000-0000A3520000}"/>
    <cellStyle name="Normal 13 2 3 4 3" xfId="21151" xr:uid="{00000000-0005-0000-0000-0000A4520000}"/>
    <cellStyle name="Normal 13 2 3 4 3 2" xfId="21152" xr:uid="{00000000-0005-0000-0000-0000A5520000}"/>
    <cellStyle name="Normal 13 2 3 4 4" xfId="21153" xr:uid="{00000000-0005-0000-0000-0000A6520000}"/>
    <cellStyle name="Normal 13 2 3 4 5" xfId="21154" xr:uid="{00000000-0005-0000-0000-0000A7520000}"/>
    <cellStyle name="Normal 13 2 3 5" xfId="21155" xr:uid="{00000000-0005-0000-0000-0000A8520000}"/>
    <cellStyle name="Normal 13 2 3 5 2" xfId="21156" xr:uid="{00000000-0005-0000-0000-0000A9520000}"/>
    <cellStyle name="Normal 13 2 3 5 2 2" xfId="21157" xr:uid="{00000000-0005-0000-0000-0000AA520000}"/>
    <cellStyle name="Normal 13 2 3 5 3" xfId="21158" xr:uid="{00000000-0005-0000-0000-0000AB520000}"/>
    <cellStyle name="Normal 13 2 3 5 3 2" xfId="21159" xr:uid="{00000000-0005-0000-0000-0000AC520000}"/>
    <cellStyle name="Normal 13 2 3 5 4" xfId="21160" xr:uid="{00000000-0005-0000-0000-0000AD520000}"/>
    <cellStyle name="Normal 13 2 3 5 5" xfId="21161" xr:uid="{00000000-0005-0000-0000-0000AE520000}"/>
    <cellStyle name="Normal 13 2 3 6" xfId="21162" xr:uid="{00000000-0005-0000-0000-0000AF520000}"/>
    <cellStyle name="Normal 13 2 3 6 2" xfId="21163" xr:uid="{00000000-0005-0000-0000-0000B0520000}"/>
    <cellStyle name="Normal 13 2 3 7" xfId="21164" xr:uid="{00000000-0005-0000-0000-0000B1520000}"/>
    <cellStyle name="Normal 13 2 3 7 2" xfId="21165" xr:uid="{00000000-0005-0000-0000-0000B2520000}"/>
    <cellStyle name="Normal 13 2 3 8" xfId="21166" xr:uid="{00000000-0005-0000-0000-0000B3520000}"/>
    <cellStyle name="Normal 13 2 3 9" xfId="21167" xr:uid="{00000000-0005-0000-0000-0000B4520000}"/>
    <cellStyle name="Normal 13 2 4" xfId="21168" xr:uid="{00000000-0005-0000-0000-0000B5520000}"/>
    <cellStyle name="Normal 13 2 4 2" xfId="21169" xr:uid="{00000000-0005-0000-0000-0000B6520000}"/>
    <cellStyle name="Normal 13 2 4 2 2" xfId="21170" xr:uid="{00000000-0005-0000-0000-0000B7520000}"/>
    <cellStyle name="Normal 13 2 4 2 2 2" xfId="21171" xr:uid="{00000000-0005-0000-0000-0000B8520000}"/>
    <cellStyle name="Normal 13 2 4 2 2 2 2" xfId="21172" xr:uid="{00000000-0005-0000-0000-0000B9520000}"/>
    <cellStyle name="Normal 13 2 4 2 2 2 2 2" xfId="21173" xr:uid="{00000000-0005-0000-0000-0000BA520000}"/>
    <cellStyle name="Normal 13 2 4 2 2 2 3" xfId="21174" xr:uid="{00000000-0005-0000-0000-0000BB520000}"/>
    <cellStyle name="Normal 13 2 4 2 2 2 4" xfId="21175" xr:uid="{00000000-0005-0000-0000-0000BC520000}"/>
    <cellStyle name="Normal 13 2 4 2 2 3" xfId="21176" xr:uid="{00000000-0005-0000-0000-0000BD520000}"/>
    <cellStyle name="Normal 13 2 4 2 2 3 2" xfId="21177" xr:uid="{00000000-0005-0000-0000-0000BE520000}"/>
    <cellStyle name="Normal 13 2 4 2 2 4" xfId="21178" xr:uid="{00000000-0005-0000-0000-0000BF520000}"/>
    <cellStyle name="Normal 13 2 4 2 2 5" xfId="21179" xr:uid="{00000000-0005-0000-0000-0000C0520000}"/>
    <cellStyle name="Normal 13 2 4 2 3" xfId="21180" xr:uid="{00000000-0005-0000-0000-0000C1520000}"/>
    <cellStyle name="Normal 13 2 4 2 3 2" xfId="21181" xr:uid="{00000000-0005-0000-0000-0000C2520000}"/>
    <cellStyle name="Normal 13 2 4 2 3 2 2" xfId="21182" xr:uid="{00000000-0005-0000-0000-0000C3520000}"/>
    <cellStyle name="Normal 13 2 4 2 3 3" xfId="21183" xr:uid="{00000000-0005-0000-0000-0000C4520000}"/>
    <cellStyle name="Normal 13 2 4 2 3 3 2" xfId="21184" xr:uid="{00000000-0005-0000-0000-0000C5520000}"/>
    <cellStyle name="Normal 13 2 4 2 3 4" xfId="21185" xr:uid="{00000000-0005-0000-0000-0000C6520000}"/>
    <cellStyle name="Normal 13 2 4 2 3 5" xfId="21186" xr:uid="{00000000-0005-0000-0000-0000C7520000}"/>
    <cellStyle name="Normal 13 2 4 2 4" xfId="21187" xr:uid="{00000000-0005-0000-0000-0000C8520000}"/>
    <cellStyle name="Normal 13 2 4 2 4 2" xfId="21188" xr:uid="{00000000-0005-0000-0000-0000C9520000}"/>
    <cellStyle name="Normal 13 2 4 2 5" xfId="21189" xr:uid="{00000000-0005-0000-0000-0000CA520000}"/>
    <cellStyle name="Normal 13 2 4 2 5 2" xfId="21190" xr:uid="{00000000-0005-0000-0000-0000CB520000}"/>
    <cellStyle name="Normal 13 2 4 2 6" xfId="21191" xr:uid="{00000000-0005-0000-0000-0000CC520000}"/>
    <cellStyle name="Normal 13 2 4 2 7" xfId="21192" xr:uid="{00000000-0005-0000-0000-0000CD520000}"/>
    <cellStyle name="Normal 13 2 4 3" xfId="21193" xr:uid="{00000000-0005-0000-0000-0000CE520000}"/>
    <cellStyle name="Normal 13 2 4 3 2" xfId="21194" xr:uid="{00000000-0005-0000-0000-0000CF520000}"/>
    <cellStyle name="Normal 13 2 4 3 2 2" xfId="21195" xr:uid="{00000000-0005-0000-0000-0000D0520000}"/>
    <cellStyle name="Normal 13 2 4 3 2 2 2" xfId="21196" xr:uid="{00000000-0005-0000-0000-0000D1520000}"/>
    <cellStyle name="Normal 13 2 4 3 2 3" xfId="21197" xr:uid="{00000000-0005-0000-0000-0000D2520000}"/>
    <cellStyle name="Normal 13 2 4 3 2 4" xfId="21198" xr:uid="{00000000-0005-0000-0000-0000D3520000}"/>
    <cellStyle name="Normal 13 2 4 3 3" xfId="21199" xr:uid="{00000000-0005-0000-0000-0000D4520000}"/>
    <cellStyle name="Normal 13 2 4 3 3 2" xfId="21200" xr:uid="{00000000-0005-0000-0000-0000D5520000}"/>
    <cellStyle name="Normal 13 2 4 3 4" xfId="21201" xr:uid="{00000000-0005-0000-0000-0000D6520000}"/>
    <cellStyle name="Normal 13 2 4 3 5" xfId="21202" xr:uid="{00000000-0005-0000-0000-0000D7520000}"/>
    <cellStyle name="Normal 13 2 4 4" xfId="21203" xr:uid="{00000000-0005-0000-0000-0000D8520000}"/>
    <cellStyle name="Normal 13 2 4 4 2" xfId="21204" xr:uid="{00000000-0005-0000-0000-0000D9520000}"/>
    <cellStyle name="Normal 13 2 4 4 2 2" xfId="21205" xr:uid="{00000000-0005-0000-0000-0000DA520000}"/>
    <cellStyle name="Normal 13 2 4 4 3" xfId="21206" xr:uid="{00000000-0005-0000-0000-0000DB520000}"/>
    <cellStyle name="Normal 13 2 4 4 3 2" xfId="21207" xr:uid="{00000000-0005-0000-0000-0000DC520000}"/>
    <cellStyle name="Normal 13 2 4 4 4" xfId="21208" xr:uid="{00000000-0005-0000-0000-0000DD520000}"/>
    <cellStyle name="Normal 13 2 4 4 5" xfId="21209" xr:uid="{00000000-0005-0000-0000-0000DE520000}"/>
    <cellStyle name="Normal 13 2 4 5" xfId="21210" xr:uid="{00000000-0005-0000-0000-0000DF520000}"/>
    <cellStyle name="Normal 13 2 4 5 2" xfId="21211" xr:uid="{00000000-0005-0000-0000-0000E0520000}"/>
    <cellStyle name="Normal 13 2 4 6" xfId="21212" xr:uid="{00000000-0005-0000-0000-0000E1520000}"/>
    <cellStyle name="Normal 13 2 4 6 2" xfId="21213" xr:uid="{00000000-0005-0000-0000-0000E2520000}"/>
    <cellStyle name="Normal 13 2 4 7" xfId="21214" xr:uid="{00000000-0005-0000-0000-0000E3520000}"/>
    <cellStyle name="Normal 13 2 4 8" xfId="21215" xr:uid="{00000000-0005-0000-0000-0000E4520000}"/>
    <cellStyle name="Normal 13 2 5" xfId="21216" xr:uid="{00000000-0005-0000-0000-0000E5520000}"/>
    <cellStyle name="Normal 13 2 5 2" xfId="21217" xr:uid="{00000000-0005-0000-0000-0000E6520000}"/>
    <cellStyle name="Normal 13 2 5 2 2" xfId="21218" xr:uid="{00000000-0005-0000-0000-0000E7520000}"/>
    <cellStyle name="Normal 13 2 5 2 2 2" xfId="21219" xr:uid="{00000000-0005-0000-0000-0000E8520000}"/>
    <cellStyle name="Normal 13 2 5 2 2 2 2" xfId="21220" xr:uid="{00000000-0005-0000-0000-0000E9520000}"/>
    <cellStyle name="Normal 13 2 5 2 2 3" xfId="21221" xr:uid="{00000000-0005-0000-0000-0000EA520000}"/>
    <cellStyle name="Normal 13 2 5 2 2 4" xfId="21222" xr:uid="{00000000-0005-0000-0000-0000EB520000}"/>
    <cellStyle name="Normal 13 2 5 2 3" xfId="21223" xr:uid="{00000000-0005-0000-0000-0000EC520000}"/>
    <cellStyle name="Normal 13 2 5 2 3 2" xfId="21224" xr:uid="{00000000-0005-0000-0000-0000ED520000}"/>
    <cellStyle name="Normal 13 2 5 2 4" xfId="21225" xr:uid="{00000000-0005-0000-0000-0000EE520000}"/>
    <cellStyle name="Normal 13 2 5 2 5" xfId="21226" xr:uid="{00000000-0005-0000-0000-0000EF520000}"/>
    <cellStyle name="Normal 13 2 5 3" xfId="21227" xr:uid="{00000000-0005-0000-0000-0000F0520000}"/>
    <cellStyle name="Normal 13 2 5 3 2" xfId="21228" xr:uid="{00000000-0005-0000-0000-0000F1520000}"/>
    <cellStyle name="Normal 13 2 5 3 2 2" xfId="21229" xr:uid="{00000000-0005-0000-0000-0000F2520000}"/>
    <cellStyle name="Normal 13 2 5 3 3" xfId="21230" xr:uid="{00000000-0005-0000-0000-0000F3520000}"/>
    <cellStyle name="Normal 13 2 5 3 3 2" xfId="21231" xr:uid="{00000000-0005-0000-0000-0000F4520000}"/>
    <cellStyle name="Normal 13 2 5 3 4" xfId="21232" xr:uid="{00000000-0005-0000-0000-0000F5520000}"/>
    <cellStyle name="Normal 13 2 5 3 5" xfId="21233" xr:uid="{00000000-0005-0000-0000-0000F6520000}"/>
    <cellStyle name="Normal 13 2 5 4" xfId="21234" xr:uid="{00000000-0005-0000-0000-0000F7520000}"/>
    <cellStyle name="Normal 13 2 5 4 2" xfId="21235" xr:uid="{00000000-0005-0000-0000-0000F8520000}"/>
    <cellStyle name="Normal 13 2 5 5" xfId="21236" xr:uid="{00000000-0005-0000-0000-0000F9520000}"/>
    <cellStyle name="Normal 13 2 5 5 2" xfId="21237" xr:uid="{00000000-0005-0000-0000-0000FA520000}"/>
    <cellStyle name="Normal 13 2 5 6" xfId="21238" xr:uid="{00000000-0005-0000-0000-0000FB520000}"/>
    <cellStyle name="Normal 13 2 5 7" xfId="21239" xr:uid="{00000000-0005-0000-0000-0000FC520000}"/>
    <cellStyle name="Normal 13 2 6" xfId="21240" xr:uid="{00000000-0005-0000-0000-0000FD520000}"/>
    <cellStyle name="Normal 13 2 6 2" xfId="21241" xr:uid="{00000000-0005-0000-0000-0000FE520000}"/>
    <cellStyle name="Normal 13 2 6 2 2" xfId="21242" xr:uid="{00000000-0005-0000-0000-0000FF520000}"/>
    <cellStyle name="Normal 13 2 6 2 2 2" xfId="21243" xr:uid="{00000000-0005-0000-0000-000000530000}"/>
    <cellStyle name="Normal 13 2 6 2 3" xfId="21244" xr:uid="{00000000-0005-0000-0000-000001530000}"/>
    <cellStyle name="Normal 13 2 6 2 4" xfId="21245" xr:uid="{00000000-0005-0000-0000-000002530000}"/>
    <cellStyle name="Normal 13 2 6 3" xfId="21246" xr:uid="{00000000-0005-0000-0000-000003530000}"/>
    <cellStyle name="Normal 13 2 6 3 2" xfId="21247" xr:uid="{00000000-0005-0000-0000-000004530000}"/>
    <cellStyle name="Normal 13 2 6 4" xfId="21248" xr:uid="{00000000-0005-0000-0000-000005530000}"/>
    <cellStyle name="Normal 13 2 6 5" xfId="21249" xr:uid="{00000000-0005-0000-0000-000006530000}"/>
    <cellStyle name="Normal 13 2 7" xfId="21250" xr:uid="{00000000-0005-0000-0000-000007530000}"/>
    <cellStyle name="Normal 13 2 7 2" xfId="21251" xr:uid="{00000000-0005-0000-0000-000008530000}"/>
    <cellStyle name="Normal 13 2 7 2 2" xfId="21252" xr:uid="{00000000-0005-0000-0000-000009530000}"/>
    <cellStyle name="Normal 13 2 7 3" xfId="21253" xr:uid="{00000000-0005-0000-0000-00000A530000}"/>
    <cellStyle name="Normal 13 2 7 3 2" xfId="21254" xr:uid="{00000000-0005-0000-0000-00000B530000}"/>
    <cellStyle name="Normal 13 2 7 4" xfId="21255" xr:uid="{00000000-0005-0000-0000-00000C530000}"/>
    <cellStyle name="Normal 13 2 7 5" xfId="21256" xr:uid="{00000000-0005-0000-0000-00000D530000}"/>
    <cellStyle name="Normal 13 2 8" xfId="21257" xr:uid="{00000000-0005-0000-0000-00000E530000}"/>
    <cellStyle name="Normal 13 2 8 2" xfId="21258" xr:uid="{00000000-0005-0000-0000-00000F530000}"/>
    <cellStyle name="Normal 13 2 9" xfId="21259" xr:uid="{00000000-0005-0000-0000-000010530000}"/>
    <cellStyle name="Normal 13 2 9 2" xfId="21260" xr:uid="{00000000-0005-0000-0000-000011530000}"/>
    <cellStyle name="Normal 13 20" xfId="21261" xr:uid="{00000000-0005-0000-0000-000012530000}"/>
    <cellStyle name="Normal 13 20 2" xfId="21262" xr:uid="{00000000-0005-0000-0000-000013530000}"/>
    <cellStyle name="Normal 13 21" xfId="21263" xr:uid="{00000000-0005-0000-0000-000014530000}"/>
    <cellStyle name="Normal 13 21 2" xfId="21264" xr:uid="{00000000-0005-0000-0000-000015530000}"/>
    <cellStyle name="Normal 13 22" xfId="21265" xr:uid="{00000000-0005-0000-0000-000016530000}"/>
    <cellStyle name="Normal 13 22 2" xfId="21266" xr:uid="{00000000-0005-0000-0000-000017530000}"/>
    <cellStyle name="Normal 13 23" xfId="21267" xr:uid="{00000000-0005-0000-0000-000018530000}"/>
    <cellStyle name="Normal 13 23 2" xfId="21268" xr:uid="{00000000-0005-0000-0000-000019530000}"/>
    <cellStyle name="Normal 13 24" xfId="21269" xr:uid="{00000000-0005-0000-0000-00001A530000}"/>
    <cellStyle name="Normal 13 24 2" xfId="21270" xr:uid="{00000000-0005-0000-0000-00001B530000}"/>
    <cellStyle name="Normal 13 25" xfId="21271" xr:uid="{00000000-0005-0000-0000-00001C530000}"/>
    <cellStyle name="Normal 13 25 2" xfId="21272" xr:uid="{00000000-0005-0000-0000-00001D530000}"/>
    <cellStyle name="Normal 13 26" xfId="21273" xr:uid="{00000000-0005-0000-0000-00001E530000}"/>
    <cellStyle name="Normal 13 26 2" xfId="21274" xr:uid="{00000000-0005-0000-0000-00001F530000}"/>
    <cellStyle name="Normal 13 27" xfId="21275" xr:uid="{00000000-0005-0000-0000-000020530000}"/>
    <cellStyle name="Normal 13 27 2" xfId="21276" xr:uid="{00000000-0005-0000-0000-000021530000}"/>
    <cellStyle name="Normal 13 28" xfId="21277" xr:uid="{00000000-0005-0000-0000-000022530000}"/>
    <cellStyle name="Normal 13 28 2" xfId="21278" xr:uid="{00000000-0005-0000-0000-000023530000}"/>
    <cellStyle name="Normal 13 29" xfId="21279" xr:uid="{00000000-0005-0000-0000-000024530000}"/>
    <cellStyle name="Normal 13 29 2" xfId="21280" xr:uid="{00000000-0005-0000-0000-000025530000}"/>
    <cellStyle name="Normal 13 3" xfId="21281" xr:uid="{00000000-0005-0000-0000-000026530000}"/>
    <cellStyle name="Normal 13 3 10" xfId="21282" xr:uid="{00000000-0005-0000-0000-000027530000}"/>
    <cellStyle name="Normal 13 3 2" xfId="21283" xr:uid="{00000000-0005-0000-0000-000028530000}"/>
    <cellStyle name="Normal 13 3 2 2" xfId="21284" xr:uid="{00000000-0005-0000-0000-000029530000}"/>
    <cellStyle name="Normal 13 3 2 2 2" xfId="21285" xr:uid="{00000000-0005-0000-0000-00002A530000}"/>
    <cellStyle name="Normal 13 3 2 2 2 2" xfId="21286" xr:uid="{00000000-0005-0000-0000-00002B530000}"/>
    <cellStyle name="Normal 13 3 2 2 2 2 2" xfId="21287" xr:uid="{00000000-0005-0000-0000-00002C530000}"/>
    <cellStyle name="Normal 13 3 2 2 2 2 2 2" xfId="21288" xr:uid="{00000000-0005-0000-0000-00002D530000}"/>
    <cellStyle name="Normal 13 3 2 2 2 2 2 2 2" xfId="21289" xr:uid="{00000000-0005-0000-0000-00002E530000}"/>
    <cellStyle name="Normal 13 3 2 2 2 2 2 3" xfId="21290" xr:uid="{00000000-0005-0000-0000-00002F530000}"/>
    <cellStyle name="Normal 13 3 2 2 2 2 2 4" xfId="21291" xr:uid="{00000000-0005-0000-0000-000030530000}"/>
    <cellStyle name="Normal 13 3 2 2 2 2 3" xfId="21292" xr:uid="{00000000-0005-0000-0000-000031530000}"/>
    <cellStyle name="Normal 13 3 2 2 2 2 3 2" xfId="21293" xr:uid="{00000000-0005-0000-0000-000032530000}"/>
    <cellStyle name="Normal 13 3 2 2 2 2 4" xfId="21294" xr:uid="{00000000-0005-0000-0000-000033530000}"/>
    <cellStyle name="Normal 13 3 2 2 2 2 5" xfId="21295" xr:uid="{00000000-0005-0000-0000-000034530000}"/>
    <cellStyle name="Normal 13 3 2 2 2 3" xfId="21296" xr:uid="{00000000-0005-0000-0000-000035530000}"/>
    <cellStyle name="Normal 13 3 2 2 2 3 2" xfId="21297" xr:uid="{00000000-0005-0000-0000-000036530000}"/>
    <cellStyle name="Normal 13 3 2 2 2 3 2 2" xfId="21298" xr:uid="{00000000-0005-0000-0000-000037530000}"/>
    <cellStyle name="Normal 13 3 2 2 2 3 3" xfId="21299" xr:uid="{00000000-0005-0000-0000-000038530000}"/>
    <cellStyle name="Normal 13 3 2 2 2 3 4" xfId="21300" xr:uid="{00000000-0005-0000-0000-000039530000}"/>
    <cellStyle name="Normal 13 3 2 2 2 4" xfId="21301" xr:uid="{00000000-0005-0000-0000-00003A530000}"/>
    <cellStyle name="Normal 13 3 2 2 2 4 2" xfId="21302" xr:uid="{00000000-0005-0000-0000-00003B530000}"/>
    <cellStyle name="Normal 13 3 2 2 2 5" xfId="21303" xr:uid="{00000000-0005-0000-0000-00003C530000}"/>
    <cellStyle name="Normal 13 3 2 2 2 6" xfId="21304" xr:uid="{00000000-0005-0000-0000-00003D530000}"/>
    <cellStyle name="Normal 13 3 2 2 3" xfId="21305" xr:uid="{00000000-0005-0000-0000-00003E530000}"/>
    <cellStyle name="Normal 13 3 2 2 3 2" xfId="21306" xr:uid="{00000000-0005-0000-0000-00003F530000}"/>
    <cellStyle name="Normal 13 3 2 2 3 2 2" xfId="21307" xr:uid="{00000000-0005-0000-0000-000040530000}"/>
    <cellStyle name="Normal 13 3 2 2 3 2 2 2" xfId="21308" xr:uid="{00000000-0005-0000-0000-000041530000}"/>
    <cellStyle name="Normal 13 3 2 2 3 2 3" xfId="21309" xr:uid="{00000000-0005-0000-0000-000042530000}"/>
    <cellStyle name="Normal 13 3 2 2 3 2 4" xfId="21310" xr:uid="{00000000-0005-0000-0000-000043530000}"/>
    <cellStyle name="Normal 13 3 2 2 3 3" xfId="21311" xr:uid="{00000000-0005-0000-0000-000044530000}"/>
    <cellStyle name="Normal 13 3 2 2 3 3 2" xfId="21312" xr:uid="{00000000-0005-0000-0000-000045530000}"/>
    <cellStyle name="Normal 13 3 2 2 3 4" xfId="21313" xr:uid="{00000000-0005-0000-0000-000046530000}"/>
    <cellStyle name="Normal 13 3 2 2 3 5" xfId="21314" xr:uid="{00000000-0005-0000-0000-000047530000}"/>
    <cellStyle name="Normal 13 3 2 2 4" xfId="21315" xr:uid="{00000000-0005-0000-0000-000048530000}"/>
    <cellStyle name="Normal 13 3 2 2 4 2" xfId="21316" xr:uid="{00000000-0005-0000-0000-000049530000}"/>
    <cellStyle name="Normal 13 3 2 2 4 2 2" xfId="21317" xr:uid="{00000000-0005-0000-0000-00004A530000}"/>
    <cellStyle name="Normal 13 3 2 2 4 3" xfId="21318" xr:uid="{00000000-0005-0000-0000-00004B530000}"/>
    <cellStyle name="Normal 13 3 2 2 4 4" xfId="21319" xr:uid="{00000000-0005-0000-0000-00004C530000}"/>
    <cellStyle name="Normal 13 3 2 2 5" xfId="21320" xr:uid="{00000000-0005-0000-0000-00004D530000}"/>
    <cellStyle name="Normal 13 3 2 2 5 2" xfId="21321" xr:uid="{00000000-0005-0000-0000-00004E530000}"/>
    <cellStyle name="Normal 13 3 2 2 6" xfId="21322" xr:uid="{00000000-0005-0000-0000-00004F530000}"/>
    <cellStyle name="Normal 13 3 2 2 7" xfId="21323" xr:uid="{00000000-0005-0000-0000-000050530000}"/>
    <cellStyle name="Normal 13 3 2 3" xfId="21324" xr:uid="{00000000-0005-0000-0000-000051530000}"/>
    <cellStyle name="Normal 13 3 2 3 2" xfId="21325" xr:uid="{00000000-0005-0000-0000-000052530000}"/>
    <cellStyle name="Normal 13 3 2 3 2 2" xfId="21326" xr:uid="{00000000-0005-0000-0000-000053530000}"/>
    <cellStyle name="Normal 13 3 2 3 2 2 2" xfId="21327" xr:uid="{00000000-0005-0000-0000-000054530000}"/>
    <cellStyle name="Normal 13 3 2 3 2 2 2 2" xfId="21328" xr:uid="{00000000-0005-0000-0000-000055530000}"/>
    <cellStyle name="Normal 13 3 2 3 2 2 3" xfId="21329" xr:uid="{00000000-0005-0000-0000-000056530000}"/>
    <cellStyle name="Normal 13 3 2 3 2 2 4" xfId="21330" xr:uid="{00000000-0005-0000-0000-000057530000}"/>
    <cellStyle name="Normal 13 3 2 3 2 3" xfId="21331" xr:uid="{00000000-0005-0000-0000-000058530000}"/>
    <cellStyle name="Normal 13 3 2 3 2 3 2" xfId="21332" xr:uid="{00000000-0005-0000-0000-000059530000}"/>
    <cellStyle name="Normal 13 3 2 3 2 4" xfId="21333" xr:uid="{00000000-0005-0000-0000-00005A530000}"/>
    <cellStyle name="Normal 13 3 2 3 2 5" xfId="21334" xr:uid="{00000000-0005-0000-0000-00005B530000}"/>
    <cellStyle name="Normal 13 3 2 3 3" xfId="21335" xr:uid="{00000000-0005-0000-0000-00005C530000}"/>
    <cellStyle name="Normal 13 3 2 3 3 2" xfId="21336" xr:uid="{00000000-0005-0000-0000-00005D530000}"/>
    <cellStyle name="Normal 13 3 2 3 3 2 2" xfId="21337" xr:uid="{00000000-0005-0000-0000-00005E530000}"/>
    <cellStyle name="Normal 13 3 2 3 3 3" xfId="21338" xr:uid="{00000000-0005-0000-0000-00005F530000}"/>
    <cellStyle name="Normal 13 3 2 3 3 3 2" xfId="21339" xr:uid="{00000000-0005-0000-0000-000060530000}"/>
    <cellStyle name="Normal 13 3 2 3 3 4" xfId="21340" xr:uid="{00000000-0005-0000-0000-000061530000}"/>
    <cellStyle name="Normal 13 3 2 3 3 5" xfId="21341" xr:uid="{00000000-0005-0000-0000-000062530000}"/>
    <cellStyle name="Normal 13 3 2 3 4" xfId="21342" xr:uid="{00000000-0005-0000-0000-000063530000}"/>
    <cellStyle name="Normal 13 3 2 3 4 2" xfId="21343" xr:uid="{00000000-0005-0000-0000-000064530000}"/>
    <cellStyle name="Normal 13 3 2 3 5" xfId="21344" xr:uid="{00000000-0005-0000-0000-000065530000}"/>
    <cellStyle name="Normal 13 3 2 3 5 2" xfId="21345" xr:uid="{00000000-0005-0000-0000-000066530000}"/>
    <cellStyle name="Normal 13 3 2 3 6" xfId="21346" xr:uid="{00000000-0005-0000-0000-000067530000}"/>
    <cellStyle name="Normal 13 3 2 3 7" xfId="21347" xr:uid="{00000000-0005-0000-0000-000068530000}"/>
    <cellStyle name="Normal 13 3 2 4" xfId="21348" xr:uid="{00000000-0005-0000-0000-000069530000}"/>
    <cellStyle name="Normal 13 3 2 4 2" xfId="21349" xr:uid="{00000000-0005-0000-0000-00006A530000}"/>
    <cellStyle name="Normal 13 3 2 4 2 2" xfId="21350" xr:uid="{00000000-0005-0000-0000-00006B530000}"/>
    <cellStyle name="Normal 13 3 2 4 2 2 2" xfId="21351" xr:uid="{00000000-0005-0000-0000-00006C530000}"/>
    <cellStyle name="Normal 13 3 2 4 2 3" xfId="21352" xr:uid="{00000000-0005-0000-0000-00006D530000}"/>
    <cellStyle name="Normal 13 3 2 4 2 4" xfId="21353" xr:uid="{00000000-0005-0000-0000-00006E530000}"/>
    <cellStyle name="Normal 13 3 2 4 3" xfId="21354" xr:uid="{00000000-0005-0000-0000-00006F530000}"/>
    <cellStyle name="Normal 13 3 2 4 3 2" xfId="21355" xr:uid="{00000000-0005-0000-0000-000070530000}"/>
    <cellStyle name="Normal 13 3 2 4 4" xfId="21356" xr:uid="{00000000-0005-0000-0000-000071530000}"/>
    <cellStyle name="Normal 13 3 2 4 5" xfId="21357" xr:uid="{00000000-0005-0000-0000-000072530000}"/>
    <cellStyle name="Normal 13 3 2 5" xfId="21358" xr:uid="{00000000-0005-0000-0000-000073530000}"/>
    <cellStyle name="Normal 13 3 2 5 2" xfId="21359" xr:uid="{00000000-0005-0000-0000-000074530000}"/>
    <cellStyle name="Normal 13 3 2 5 2 2" xfId="21360" xr:uid="{00000000-0005-0000-0000-000075530000}"/>
    <cellStyle name="Normal 13 3 2 5 3" xfId="21361" xr:uid="{00000000-0005-0000-0000-000076530000}"/>
    <cellStyle name="Normal 13 3 2 5 3 2" xfId="21362" xr:uid="{00000000-0005-0000-0000-000077530000}"/>
    <cellStyle name="Normal 13 3 2 5 4" xfId="21363" xr:uid="{00000000-0005-0000-0000-000078530000}"/>
    <cellStyle name="Normal 13 3 2 5 5" xfId="21364" xr:uid="{00000000-0005-0000-0000-000079530000}"/>
    <cellStyle name="Normal 13 3 2 6" xfId="21365" xr:uid="{00000000-0005-0000-0000-00007A530000}"/>
    <cellStyle name="Normal 13 3 2 6 2" xfId="21366" xr:uid="{00000000-0005-0000-0000-00007B530000}"/>
    <cellStyle name="Normal 13 3 2 7" xfId="21367" xr:uid="{00000000-0005-0000-0000-00007C530000}"/>
    <cellStyle name="Normal 13 3 2 7 2" xfId="21368" xr:uid="{00000000-0005-0000-0000-00007D530000}"/>
    <cellStyle name="Normal 13 3 2 8" xfId="21369" xr:uid="{00000000-0005-0000-0000-00007E530000}"/>
    <cellStyle name="Normal 13 3 2 9" xfId="21370" xr:uid="{00000000-0005-0000-0000-00007F530000}"/>
    <cellStyle name="Normal 13 3 3" xfId="21371" xr:uid="{00000000-0005-0000-0000-000080530000}"/>
    <cellStyle name="Normal 13 3 3 2" xfId="21372" xr:uid="{00000000-0005-0000-0000-000081530000}"/>
    <cellStyle name="Normal 13 3 3 2 2" xfId="21373" xr:uid="{00000000-0005-0000-0000-000082530000}"/>
    <cellStyle name="Normal 13 3 3 2 2 2" xfId="21374" xr:uid="{00000000-0005-0000-0000-000083530000}"/>
    <cellStyle name="Normal 13 3 3 2 2 2 2" xfId="21375" xr:uid="{00000000-0005-0000-0000-000084530000}"/>
    <cellStyle name="Normal 13 3 3 2 2 2 2 2" xfId="21376" xr:uid="{00000000-0005-0000-0000-000085530000}"/>
    <cellStyle name="Normal 13 3 3 2 2 2 3" xfId="21377" xr:uid="{00000000-0005-0000-0000-000086530000}"/>
    <cellStyle name="Normal 13 3 3 2 2 2 4" xfId="21378" xr:uid="{00000000-0005-0000-0000-000087530000}"/>
    <cellStyle name="Normal 13 3 3 2 2 3" xfId="21379" xr:uid="{00000000-0005-0000-0000-000088530000}"/>
    <cellStyle name="Normal 13 3 3 2 2 3 2" xfId="21380" xr:uid="{00000000-0005-0000-0000-000089530000}"/>
    <cellStyle name="Normal 13 3 3 2 2 4" xfId="21381" xr:uid="{00000000-0005-0000-0000-00008A530000}"/>
    <cellStyle name="Normal 13 3 3 2 2 5" xfId="21382" xr:uid="{00000000-0005-0000-0000-00008B530000}"/>
    <cellStyle name="Normal 13 3 3 2 3" xfId="21383" xr:uid="{00000000-0005-0000-0000-00008C530000}"/>
    <cellStyle name="Normal 13 3 3 2 3 2" xfId="21384" xr:uid="{00000000-0005-0000-0000-00008D530000}"/>
    <cellStyle name="Normal 13 3 3 2 3 2 2" xfId="21385" xr:uid="{00000000-0005-0000-0000-00008E530000}"/>
    <cellStyle name="Normal 13 3 3 2 3 3" xfId="21386" xr:uid="{00000000-0005-0000-0000-00008F530000}"/>
    <cellStyle name="Normal 13 3 3 2 3 4" xfId="21387" xr:uid="{00000000-0005-0000-0000-000090530000}"/>
    <cellStyle name="Normal 13 3 3 2 4" xfId="21388" xr:uid="{00000000-0005-0000-0000-000091530000}"/>
    <cellStyle name="Normal 13 3 3 2 4 2" xfId="21389" xr:uid="{00000000-0005-0000-0000-000092530000}"/>
    <cellStyle name="Normal 13 3 3 2 5" xfId="21390" xr:uid="{00000000-0005-0000-0000-000093530000}"/>
    <cellStyle name="Normal 13 3 3 2 6" xfId="21391" xr:uid="{00000000-0005-0000-0000-000094530000}"/>
    <cellStyle name="Normal 13 3 3 3" xfId="21392" xr:uid="{00000000-0005-0000-0000-000095530000}"/>
    <cellStyle name="Normal 13 3 3 3 2" xfId="21393" xr:uid="{00000000-0005-0000-0000-000096530000}"/>
    <cellStyle name="Normal 13 3 3 3 2 2" xfId="21394" xr:uid="{00000000-0005-0000-0000-000097530000}"/>
    <cellStyle name="Normal 13 3 3 3 2 2 2" xfId="21395" xr:uid="{00000000-0005-0000-0000-000098530000}"/>
    <cellStyle name="Normal 13 3 3 3 2 3" xfId="21396" xr:uid="{00000000-0005-0000-0000-000099530000}"/>
    <cellStyle name="Normal 13 3 3 3 2 4" xfId="21397" xr:uid="{00000000-0005-0000-0000-00009A530000}"/>
    <cellStyle name="Normal 13 3 3 3 3" xfId="21398" xr:uid="{00000000-0005-0000-0000-00009B530000}"/>
    <cellStyle name="Normal 13 3 3 3 3 2" xfId="21399" xr:uid="{00000000-0005-0000-0000-00009C530000}"/>
    <cellStyle name="Normal 13 3 3 3 4" xfId="21400" xr:uid="{00000000-0005-0000-0000-00009D530000}"/>
    <cellStyle name="Normal 13 3 3 3 5" xfId="21401" xr:uid="{00000000-0005-0000-0000-00009E530000}"/>
    <cellStyle name="Normal 13 3 3 4" xfId="21402" xr:uid="{00000000-0005-0000-0000-00009F530000}"/>
    <cellStyle name="Normal 13 3 3 4 2" xfId="21403" xr:uid="{00000000-0005-0000-0000-0000A0530000}"/>
    <cellStyle name="Normal 13 3 3 4 2 2" xfId="21404" xr:uid="{00000000-0005-0000-0000-0000A1530000}"/>
    <cellStyle name="Normal 13 3 3 4 3" xfId="21405" xr:uid="{00000000-0005-0000-0000-0000A2530000}"/>
    <cellStyle name="Normal 13 3 3 4 4" xfId="21406" xr:uid="{00000000-0005-0000-0000-0000A3530000}"/>
    <cellStyle name="Normal 13 3 3 5" xfId="21407" xr:uid="{00000000-0005-0000-0000-0000A4530000}"/>
    <cellStyle name="Normal 13 3 3 5 2" xfId="21408" xr:uid="{00000000-0005-0000-0000-0000A5530000}"/>
    <cellStyle name="Normal 13 3 3 6" xfId="21409" xr:uid="{00000000-0005-0000-0000-0000A6530000}"/>
    <cellStyle name="Normal 13 3 3 7" xfId="21410" xr:uid="{00000000-0005-0000-0000-0000A7530000}"/>
    <cellStyle name="Normal 13 3 4" xfId="21411" xr:uid="{00000000-0005-0000-0000-0000A8530000}"/>
    <cellStyle name="Normal 13 3 4 2" xfId="21412" xr:uid="{00000000-0005-0000-0000-0000A9530000}"/>
    <cellStyle name="Normal 13 3 4 2 2" xfId="21413" xr:uid="{00000000-0005-0000-0000-0000AA530000}"/>
    <cellStyle name="Normal 13 3 4 2 2 2" xfId="21414" xr:uid="{00000000-0005-0000-0000-0000AB530000}"/>
    <cellStyle name="Normal 13 3 4 2 2 2 2" xfId="21415" xr:uid="{00000000-0005-0000-0000-0000AC530000}"/>
    <cellStyle name="Normal 13 3 4 2 2 3" xfId="21416" xr:uid="{00000000-0005-0000-0000-0000AD530000}"/>
    <cellStyle name="Normal 13 3 4 2 2 4" xfId="21417" xr:uid="{00000000-0005-0000-0000-0000AE530000}"/>
    <cellStyle name="Normal 13 3 4 2 3" xfId="21418" xr:uid="{00000000-0005-0000-0000-0000AF530000}"/>
    <cellStyle name="Normal 13 3 4 2 3 2" xfId="21419" xr:uid="{00000000-0005-0000-0000-0000B0530000}"/>
    <cellStyle name="Normal 13 3 4 2 4" xfId="21420" xr:uid="{00000000-0005-0000-0000-0000B1530000}"/>
    <cellStyle name="Normal 13 3 4 2 5" xfId="21421" xr:uid="{00000000-0005-0000-0000-0000B2530000}"/>
    <cellStyle name="Normal 13 3 4 3" xfId="21422" xr:uid="{00000000-0005-0000-0000-0000B3530000}"/>
    <cellStyle name="Normal 13 3 4 3 2" xfId="21423" xr:uid="{00000000-0005-0000-0000-0000B4530000}"/>
    <cellStyle name="Normal 13 3 4 3 2 2" xfId="21424" xr:uid="{00000000-0005-0000-0000-0000B5530000}"/>
    <cellStyle name="Normal 13 3 4 3 3" xfId="21425" xr:uid="{00000000-0005-0000-0000-0000B6530000}"/>
    <cellStyle name="Normal 13 3 4 3 3 2" xfId="21426" xr:uid="{00000000-0005-0000-0000-0000B7530000}"/>
    <cellStyle name="Normal 13 3 4 3 4" xfId="21427" xr:uid="{00000000-0005-0000-0000-0000B8530000}"/>
    <cellStyle name="Normal 13 3 4 3 5" xfId="21428" xr:uid="{00000000-0005-0000-0000-0000B9530000}"/>
    <cellStyle name="Normal 13 3 4 4" xfId="21429" xr:uid="{00000000-0005-0000-0000-0000BA530000}"/>
    <cellStyle name="Normal 13 3 4 4 2" xfId="21430" xr:uid="{00000000-0005-0000-0000-0000BB530000}"/>
    <cellStyle name="Normal 13 3 4 5" xfId="21431" xr:uid="{00000000-0005-0000-0000-0000BC530000}"/>
    <cellStyle name="Normal 13 3 4 5 2" xfId="21432" xr:uid="{00000000-0005-0000-0000-0000BD530000}"/>
    <cellStyle name="Normal 13 3 4 6" xfId="21433" xr:uid="{00000000-0005-0000-0000-0000BE530000}"/>
    <cellStyle name="Normal 13 3 4 7" xfId="21434" xr:uid="{00000000-0005-0000-0000-0000BF530000}"/>
    <cellStyle name="Normal 13 3 5" xfId="21435" xr:uid="{00000000-0005-0000-0000-0000C0530000}"/>
    <cellStyle name="Normal 13 3 5 2" xfId="21436" xr:uid="{00000000-0005-0000-0000-0000C1530000}"/>
    <cellStyle name="Normal 13 3 5 2 2" xfId="21437" xr:uid="{00000000-0005-0000-0000-0000C2530000}"/>
    <cellStyle name="Normal 13 3 5 2 2 2" xfId="21438" xr:uid="{00000000-0005-0000-0000-0000C3530000}"/>
    <cellStyle name="Normal 13 3 5 2 3" xfId="21439" xr:uid="{00000000-0005-0000-0000-0000C4530000}"/>
    <cellStyle name="Normal 13 3 5 2 4" xfId="21440" xr:uid="{00000000-0005-0000-0000-0000C5530000}"/>
    <cellStyle name="Normal 13 3 5 3" xfId="21441" xr:uid="{00000000-0005-0000-0000-0000C6530000}"/>
    <cellStyle name="Normal 13 3 5 3 2" xfId="21442" xr:uid="{00000000-0005-0000-0000-0000C7530000}"/>
    <cellStyle name="Normal 13 3 5 4" xfId="21443" xr:uid="{00000000-0005-0000-0000-0000C8530000}"/>
    <cellStyle name="Normal 13 3 5 5" xfId="21444" xr:uid="{00000000-0005-0000-0000-0000C9530000}"/>
    <cellStyle name="Normal 13 3 6" xfId="21445" xr:uid="{00000000-0005-0000-0000-0000CA530000}"/>
    <cellStyle name="Normal 13 3 6 2" xfId="21446" xr:uid="{00000000-0005-0000-0000-0000CB530000}"/>
    <cellStyle name="Normal 13 3 6 2 2" xfId="21447" xr:uid="{00000000-0005-0000-0000-0000CC530000}"/>
    <cellStyle name="Normal 13 3 6 3" xfId="21448" xr:uid="{00000000-0005-0000-0000-0000CD530000}"/>
    <cellStyle name="Normal 13 3 6 3 2" xfId="21449" xr:uid="{00000000-0005-0000-0000-0000CE530000}"/>
    <cellStyle name="Normal 13 3 6 4" xfId="21450" xr:uid="{00000000-0005-0000-0000-0000CF530000}"/>
    <cellStyle name="Normal 13 3 6 5" xfId="21451" xr:uid="{00000000-0005-0000-0000-0000D0530000}"/>
    <cellStyle name="Normal 13 3 7" xfId="21452" xr:uid="{00000000-0005-0000-0000-0000D1530000}"/>
    <cellStyle name="Normal 13 3 7 2" xfId="21453" xr:uid="{00000000-0005-0000-0000-0000D2530000}"/>
    <cellStyle name="Normal 13 3 8" xfId="21454" xr:uid="{00000000-0005-0000-0000-0000D3530000}"/>
    <cellStyle name="Normal 13 3 8 2" xfId="21455" xr:uid="{00000000-0005-0000-0000-0000D4530000}"/>
    <cellStyle name="Normal 13 3 9" xfId="21456" xr:uid="{00000000-0005-0000-0000-0000D5530000}"/>
    <cellStyle name="Normal 13 30" xfId="21457" xr:uid="{00000000-0005-0000-0000-0000D6530000}"/>
    <cellStyle name="Normal 13 30 2" xfId="21458" xr:uid="{00000000-0005-0000-0000-0000D7530000}"/>
    <cellStyle name="Normal 13 31" xfId="21459" xr:uid="{00000000-0005-0000-0000-0000D8530000}"/>
    <cellStyle name="Normal 13 31 2" xfId="21460" xr:uid="{00000000-0005-0000-0000-0000D9530000}"/>
    <cellStyle name="Normal 13 32" xfId="21461" xr:uid="{00000000-0005-0000-0000-0000DA530000}"/>
    <cellStyle name="Normal 13 32 2" xfId="21462" xr:uid="{00000000-0005-0000-0000-0000DB530000}"/>
    <cellStyle name="Normal 13 33" xfId="21463" xr:uid="{00000000-0005-0000-0000-0000DC530000}"/>
    <cellStyle name="Normal 13 33 2" xfId="21464" xr:uid="{00000000-0005-0000-0000-0000DD530000}"/>
    <cellStyle name="Normal 13 34" xfId="21465" xr:uid="{00000000-0005-0000-0000-0000DE530000}"/>
    <cellStyle name="Normal 13 34 2" xfId="21466" xr:uid="{00000000-0005-0000-0000-0000DF530000}"/>
    <cellStyle name="Normal 13 35" xfId="21467" xr:uid="{00000000-0005-0000-0000-0000E0530000}"/>
    <cellStyle name="Normal 13 35 2" xfId="21468" xr:uid="{00000000-0005-0000-0000-0000E1530000}"/>
    <cellStyle name="Normal 13 36" xfId="21469" xr:uid="{00000000-0005-0000-0000-0000E2530000}"/>
    <cellStyle name="Normal 13 36 2" xfId="21470" xr:uid="{00000000-0005-0000-0000-0000E3530000}"/>
    <cellStyle name="Normal 13 37" xfId="21471" xr:uid="{00000000-0005-0000-0000-0000E4530000}"/>
    <cellStyle name="Normal 13 37 2" xfId="21472" xr:uid="{00000000-0005-0000-0000-0000E5530000}"/>
    <cellStyle name="Normal 13 38" xfId="21473" xr:uid="{00000000-0005-0000-0000-0000E6530000}"/>
    <cellStyle name="Normal 13 38 2" xfId="21474" xr:uid="{00000000-0005-0000-0000-0000E7530000}"/>
    <cellStyle name="Normal 13 39" xfId="21475" xr:uid="{00000000-0005-0000-0000-0000E8530000}"/>
    <cellStyle name="Normal 13 39 2" xfId="21476" xr:uid="{00000000-0005-0000-0000-0000E9530000}"/>
    <cellStyle name="Normal 13 4" xfId="21477" xr:uid="{00000000-0005-0000-0000-0000EA530000}"/>
    <cellStyle name="Normal 13 4 2" xfId="21478" xr:uid="{00000000-0005-0000-0000-0000EB530000}"/>
    <cellStyle name="Normal 13 4 2 2" xfId="21479" xr:uid="{00000000-0005-0000-0000-0000EC530000}"/>
    <cellStyle name="Normal 13 4 2 2 2" xfId="21480" xr:uid="{00000000-0005-0000-0000-0000ED530000}"/>
    <cellStyle name="Normal 13 4 2 2 2 2" xfId="21481" xr:uid="{00000000-0005-0000-0000-0000EE530000}"/>
    <cellStyle name="Normal 13 4 2 2 2 2 2" xfId="21482" xr:uid="{00000000-0005-0000-0000-0000EF530000}"/>
    <cellStyle name="Normal 13 4 2 2 2 2 2 2" xfId="21483" xr:uid="{00000000-0005-0000-0000-0000F0530000}"/>
    <cellStyle name="Normal 13 4 2 2 2 2 3" xfId="21484" xr:uid="{00000000-0005-0000-0000-0000F1530000}"/>
    <cellStyle name="Normal 13 4 2 2 2 2 4" xfId="21485" xr:uid="{00000000-0005-0000-0000-0000F2530000}"/>
    <cellStyle name="Normal 13 4 2 2 2 3" xfId="21486" xr:uid="{00000000-0005-0000-0000-0000F3530000}"/>
    <cellStyle name="Normal 13 4 2 2 2 3 2" xfId="21487" xr:uid="{00000000-0005-0000-0000-0000F4530000}"/>
    <cellStyle name="Normal 13 4 2 2 2 4" xfId="21488" xr:uid="{00000000-0005-0000-0000-0000F5530000}"/>
    <cellStyle name="Normal 13 4 2 2 2 5" xfId="21489" xr:uid="{00000000-0005-0000-0000-0000F6530000}"/>
    <cellStyle name="Normal 13 4 2 2 3" xfId="21490" xr:uid="{00000000-0005-0000-0000-0000F7530000}"/>
    <cellStyle name="Normal 13 4 2 2 3 2" xfId="21491" xr:uid="{00000000-0005-0000-0000-0000F8530000}"/>
    <cellStyle name="Normal 13 4 2 2 3 2 2" xfId="21492" xr:uid="{00000000-0005-0000-0000-0000F9530000}"/>
    <cellStyle name="Normal 13 4 2 2 3 3" xfId="21493" xr:uid="{00000000-0005-0000-0000-0000FA530000}"/>
    <cellStyle name="Normal 13 4 2 2 3 4" xfId="21494" xr:uid="{00000000-0005-0000-0000-0000FB530000}"/>
    <cellStyle name="Normal 13 4 2 2 4" xfId="21495" xr:uid="{00000000-0005-0000-0000-0000FC530000}"/>
    <cellStyle name="Normal 13 4 2 2 4 2" xfId="21496" xr:uid="{00000000-0005-0000-0000-0000FD530000}"/>
    <cellStyle name="Normal 13 4 2 2 5" xfId="21497" xr:uid="{00000000-0005-0000-0000-0000FE530000}"/>
    <cellStyle name="Normal 13 4 2 2 6" xfId="21498" xr:uid="{00000000-0005-0000-0000-0000FF530000}"/>
    <cellStyle name="Normal 13 4 2 3" xfId="21499" xr:uid="{00000000-0005-0000-0000-000000540000}"/>
    <cellStyle name="Normal 13 4 2 3 2" xfId="21500" xr:uid="{00000000-0005-0000-0000-000001540000}"/>
    <cellStyle name="Normal 13 4 2 3 2 2" xfId="21501" xr:uid="{00000000-0005-0000-0000-000002540000}"/>
    <cellStyle name="Normal 13 4 2 3 2 2 2" xfId="21502" xr:uid="{00000000-0005-0000-0000-000003540000}"/>
    <cellStyle name="Normal 13 4 2 3 2 3" xfId="21503" xr:uid="{00000000-0005-0000-0000-000004540000}"/>
    <cellStyle name="Normal 13 4 2 3 2 4" xfId="21504" xr:uid="{00000000-0005-0000-0000-000005540000}"/>
    <cellStyle name="Normal 13 4 2 3 3" xfId="21505" xr:uid="{00000000-0005-0000-0000-000006540000}"/>
    <cellStyle name="Normal 13 4 2 3 3 2" xfId="21506" xr:uid="{00000000-0005-0000-0000-000007540000}"/>
    <cellStyle name="Normal 13 4 2 3 4" xfId="21507" xr:uid="{00000000-0005-0000-0000-000008540000}"/>
    <cellStyle name="Normal 13 4 2 3 5" xfId="21508" xr:uid="{00000000-0005-0000-0000-000009540000}"/>
    <cellStyle name="Normal 13 4 2 4" xfId="21509" xr:uid="{00000000-0005-0000-0000-00000A540000}"/>
    <cellStyle name="Normal 13 4 2 4 2" xfId="21510" xr:uid="{00000000-0005-0000-0000-00000B540000}"/>
    <cellStyle name="Normal 13 4 2 4 2 2" xfId="21511" xr:uid="{00000000-0005-0000-0000-00000C540000}"/>
    <cellStyle name="Normal 13 4 2 4 3" xfId="21512" xr:uid="{00000000-0005-0000-0000-00000D540000}"/>
    <cellStyle name="Normal 13 4 2 4 4" xfId="21513" xr:uid="{00000000-0005-0000-0000-00000E540000}"/>
    <cellStyle name="Normal 13 4 2 5" xfId="21514" xr:uid="{00000000-0005-0000-0000-00000F540000}"/>
    <cellStyle name="Normal 13 4 2 5 2" xfId="21515" xr:uid="{00000000-0005-0000-0000-000010540000}"/>
    <cellStyle name="Normal 13 4 2 6" xfId="21516" xr:uid="{00000000-0005-0000-0000-000011540000}"/>
    <cellStyle name="Normal 13 4 2 7" xfId="21517" xr:uid="{00000000-0005-0000-0000-000012540000}"/>
    <cellStyle name="Normal 13 4 3" xfId="21518" xr:uid="{00000000-0005-0000-0000-000013540000}"/>
    <cellStyle name="Normal 13 4 3 2" xfId="21519" xr:uid="{00000000-0005-0000-0000-000014540000}"/>
    <cellStyle name="Normal 13 4 3 2 2" xfId="21520" xr:uid="{00000000-0005-0000-0000-000015540000}"/>
    <cellStyle name="Normal 13 4 3 2 2 2" xfId="21521" xr:uid="{00000000-0005-0000-0000-000016540000}"/>
    <cellStyle name="Normal 13 4 3 2 2 2 2" xfId="21522" xr:uid="{00000000-0005-0000-0000-000017540000}"/>
    <cellStyle name="Normal 13 4 3 2 2 3" xfId="21523" xr:uid="{00000000-0005-0000-0000-000018540000}"/>
    <cellStyle name="Normal 13 4 3 2 2 4" xfId="21524" xr:uid="{00000000-0005-0000-0000-000019540000}"/>
    <cellStyle name="Normal 13 4 3 2 3" xfId="21525" xr:uid="{00000000-0005-0000-0000-00001A540000}"/>
    <cellStyle name="Normal 13 4 3 2 3 2" xfId="21526" xr:uid="{00000000-0005-0000-0000-00001B540000}"/>
    <cellStyle name="Normal 13 4 3 2 4" xfId="21527" xr:uid="{00000000-0005-0000-0000-00001C540000}"/>
    <cellStyle name="Normal 13 4 3 2 5" xfId="21528" xr:uid="{00000000-0005-0000-0000-00001D540000}"/>
    <cellStyle name="Normal 13 4 3 3" xfId="21529" xr:uid="{00000000-0005-0000-0000-00001E540000}"/>
    <cellStyle name="Normal 13 4 3 3 2" xfId="21530" xr:uid="{00000000-0005-0000-0000-00001F540000}"/>
    <cellStyle name="Normal 13 4 3 3 2 2" xfId="21531" xr:uid="{00000000-0005-0000-0000-000020540000}"/>
    <cellStyle name="Normal 13 4 3 3 3" xfId="21532" xr:uid="{00000000-0005-0000-0000-000021540000}"/>
    <cellStyle name="Normal 13 4 3 3 3 2" xfId="21533" xr:uid="{00000000-0005-0000-0000-000022540000}"/>
    <cellStyle name="Normal 13 4 3 3 4" xfId="21534" xr:uid="{00000000-0005-0000-0000-000023540000}"/>
    <cellStyle name="Normal 13 4 3 3 5" xfId="21535" xr:uid="{00000000-0005-0000-0000-000024540000}"/>
    <cellStyle name="Normal 13 4 3 4" xfId="21536" xr:uid="{00000000-0005-0000-0000-000025540000}"/>
    <cellStyle name="Normal 13 4 3 4 2" xfId="21537" xr:uid="{00000000-0005-0000-0000-000026540000}"/>
    <cellStyle name="Normal 13 4 3 5" xfId="21538" xr:uid="{00000000-0005-0000-0000-000027540000}"/>
    <cellStyle name="Normal 13 4 3 5 2" xfId="21539" xr:uid="{00000000-0005-0000-0000-000028540000}"/>
    <cellStyle name="Normal 13 4 3 6" xfId="21540" xr:uid="{00000000-0005-0000-0000-000029540000}"/>
    <cellStyle name="Normal 13 4 3 7" xfId="21541" xr:uid="{00000000-0005-0000-0000-00002A540000}"/>
    <cellStyle name="Normal 13 4 4" xfId="21542" xr:uid="{00000000-0005-0000-0000-00002B540000}"/>
    <cellStyle name="Normal 13 4 4 2" xfId="21543" xr:uid="{00000000-0005-0000-0000-00002C540000}"/>
    <cellStyle name="Normal 13 4 4 2 2" xfId="21544" xr:uid="{00000000-0005-0000-0000-00002D540000}"/>
    <cellStyle name="Normal 13 4 4 2 2 2" xfId="21545" xr:uid="{00000000-0005-0000-0000-00002E540000}"/>
    <cellStyle name="Normal 13 4 4 2 3" xfId="21546" xr:uid="{00000000-0005-0000-0000-00002F540000}"/>
    <cellStyle name="Normal 13 4 4 2 4" xfId="21547" xr:uid="{00000000-0005-0000-0000-000030540000}"/>
    <cellStyle name="Normal 13 4 4 3" xfId="21548" xr:uid="{00000000-0005-0000-0000-000031540000}"/>
    <cellStyle name="Normal 13 4 4 3 2" xfId="21549" xr:uid="{00000000-0005-0000-0000-000032540000}"/>
    <cellStyle name="Normal 13 4 4 4" xfId="21550" xr:uid="{00000000-0005-0000-0000-000033540000}"/>
    <cellStyle name="Normal 13 4 4 5" xfId="21551" xr:uid="{00000000-0005-0000-0000-000034540000}"/>
    <cellStyle name="Normal 13 4 5" xfId="21552" xr:uid="{00000000-0005-0000-0000-000035540000}"/>
    <cellStyle name="Normal 13 4 5 2" xfId="21553" xr:uid="{00000000-0005-0000-0000-000036540000}"/>
    <cellStyle name="Normal 13 4 5 2 2" xfId="21554" xr:uid="{00000000-0005-0000-0000-000037540000}"/>
    <cellStyle name="Normal 13 4 5 3" xfId="21555" xr:uid="{00000000-0005-0000-0000-000038540000}"/>
    <cellStyle name="Normal 13 4 5 3 2" xfId="21556" xr:uid="{00000000-0005-0000-0000-000039540000}"/>
    <cellStyle name="Normal 13 4 5 4" xfId="21557" xr:uid="{00000000-0005-0000-0000-00003A540000}"/>
    <cellStyle name="Normal 13 4 5 5" xfId="21558" xr:uid="{00000000-0005-0000-0000-00003B540000}"/>
    <cellStyle name="Normal 13 4 6" xfId="21559" xr:uid="{00000000-0005-0000-0000-00003C540000}"/>
    <cellStyle name="Normal 13 4 6 2" xfId="21560" xr:uid="{00000000-0005-0000-0000-00003D540000}"/>
    <cellStyle name="Normal 13 4 7" xfId="21561" xr:uid="{00000000-0005-0000-0000-00003E540000}"/>
    <cellStyle name="Normal 13 4 7 2" xfId="21562" xr:uid="{00000000-0005-0000-0000-00003F540000}"/>
    <cellStyle name="Normal 13 4 8" xfId="21563" xr:uid="{00000000-0005-0000-0000-000040540000}"/>
    <cellStyle name="Normal 13 4 9" xfId="21564" xr:uid="{00000000-0005-0000-0000-000041540000}"/>
    <cellStyle name="Normal 13 40" xfId="21565" xr:uid="{00000000-0005-0000-0000-000042540000}"/>
    <cellStyle name="Normal 13 40 2" xfId="21566" xr:uid="{00000000-0005-0000-0000-000043540000}"/>
    <cellStyle name="Normal 13 41" xfId="21567" xr:uid="{00000000-0005-0000-0000-000044540000}"/>
    <cellStyle name="Normal 13 41 2" xfId="21568" xr:uid="{00000000-0005-0000-0000-000045540000}"/>
    <cellStyle name="Normal 13 42" xfId="21569" xr:uid="{00000000-0005-0000-0000-000046540000}"/>
    <cellStyle name="Normal 13 42 2" xfId="21570" xr:uid="{00000000-0005-0000-0000-000047540000}"/>
    <cellStyle name="Normal 13 43" xfId="21571" xr:uid="{00000000-0005-0000-0000-000048540000}"/>
    <cellStyle name="Normal 13 43 2" xfId="21572" xr:uid="{00000000-0005-0000-0000-000049540000}"/>
    <cellStyle name="Normal 13 44" xfId="21573" xr:uid="{00000000-0005-0000-0000-00004A540000}"/>
    <cellStyle name="Normal 13 44 2" xfId="21574" xr:uid="{00000000-0005-0000-0000-00004B540000}"/>
    <cellStyle name="Normal 13 45" xfId="21575" xr:uid="{00000000-0005-0000-0000-00004C540000}"/>
    <cellStyle name="Normal 13 45 2" xfId="21576" xr:uid="{00000000-0005-0000-0000-00004D540000}"/>
    <cellStyle name="Normal 13 46" xfId="21577" xr:uid="{00000000-0005-0000-0000-00004E540000}"/>
    <cellStyle name="Normal 13 46 2" xfId="21578" xr:uid="{00000000-0005-0000-0000-00004F540000}"/>
    <cellStyle name="Normal 13 47" xfId="21579" xr:uid="{00000000-0005-0000-0000-000050540000}"/>
    <cellStyle name="Normal 13 47 2" xfId="21580" xr:uid="{00000000-0005-0000-0000-000051540000}"/>
    <cellStyle name="Normal 13 48" xfId="21581" xr:uid="{00000000-0005-0000-0000-000052540000}"/>
    <cellStyle name="Normal 13 48 2" xfId="21582" xr:uid="{00000000-0005-0000-0000-000053540000}"/>
    <cellStyle name="Normal 13 49" xfId="21583" xr:uid="{00000000-0005-0000-0000-000054540000}"/>
    <cellStyle name="Normal 13 49 2" xfId="21584" xr:uid="{00000000-0005-0000-0000-000055540000}"/>
    <cellStyle name="Normal 13 5" xfId="21585" xr:uid="{00000000-0005-0000-0000-000056540000}"/>
    <cellStyle name="Normal 13 5 2" xfId="21586" xr:uid="{00000000-0005-0000-0000-000057540000}"/>
    <cellStyle name="Normal 13 5 2 2" xfId="21587" xr:uid="{00000000-0005-0000-0000-000058540000}"/>
    <cellStyle name="Normal 13 5 2 2 2" xfId="21588" xr:uid="{00000000-0005-0000-0000-000059540000}"/>
    <cellStyle name="Normal 13 5 2 2 2 2" xfId="21589" xr:uid="{00000000-0005-0000-0000-00005A540000}"/>
    <cellStyle name="Normal 13 5 2 2 2 2 2" xfId="21590" xr:uid="{00000000-0005-0000-0000-00005B540000}"/>
    <cellStyle name="Normal 13 5 2 2 2 3" xfId="21591" xr:uid="{00000000-0005-0000-0000-00005C540000}"/>
    <cellStyle name="Normal 13 5 2 2 2 4" xfId="21592" xr:uid="{00000000-0005-0000-0000-00005D540000}"/>
    <cellStyle name="Normal 13 5 2 2 3" xfId="21593" xr:uid="{00000000-0005-0000-0000-00005E540000}"/>
    <cellStyle name="Normal 13 5 2 2 3 2" xfId="21594" xr:uid="{00000000-0005-0000-0000-00005F540000}"/>
    <cellStyle name="Normal 13 5 2 2 4" xfId="21595" xr:uid="{00000000-0005-0000-0000-000060540000}"/>
    <cellStyle name="Normal 13 5 2 2 5" xfId="21596" xr:uid="{00000000-0005-0000-0000-000061540000}"/>
    <cellStyle name="Normal 13 5 2 3" xfId="21597" xr:uid="{00000000-0005-0000-0000-000062540000}"/>
    <cellStyle name="Normal 13 5 2 3 2" xfId="21598" xr:uid="{00000000-0005-0000-0000-000063540000}"/>
    <cellStyle name="Normal 13 5 2 3 2 2" xfId="21599" xr:uid="{00000000-0005-0000-0000-000064540000}"/>
    <cellStyle name="Normal 13 5 2 3 3" xfId="21600" xr:uid="{00000000-0005-0000-0000-000065540000}"/>
    <cellStyle name="Normal 13 5 2 3 3 2" xfId="21601" xr:uid="{00000000-0005-0000-0000-000066540000}"/>
    <cellStyle name="Normal 13 5 2 3 4" xfId="21602" xr:uid="{00000000-0005-0000-0000-000067540000}"/>
    <cellStyle name="Normal 13 5 2 3 5" xfId="21603" xr:uid="{00000000-0005-0000-0000-000068540000}"/>
    <cellStyle name="Normal 13 5 2 4" xfId="21604" xr:uid="{00000000-0005-0000-0000-000069540000}"/>
    <cellStyle name="Normal 13 5 2 4 2" xfId="21605" xr:uid="{00000000-0005-0000-0000-00006A540000}"/>
    <cellStyle name="Normal 13 5 2 5" xfId="21606" xr:uid="{00000000-0005-0000-0000-00006B540000}"/>
    <cellStyle name="Normal 13 5 2 5 2" xfId="21607" xr:uid="{00000000-0005-0000-0000-00006C540000}"/>
    <cellStyle name="Normal 13 5 2 6" xfId="21608" xr:uid="{00000000-0005-0000-0000-00006D540000}"/>
    <cellStyle name="Normal 13 5 2 7" xfId="21609" xr:uid="{00000000-0005-0000-0000-00006E540000}"/>
    <cellStyle name="Normal 13 5 3" xfId="21610" xr:uid="{00000000-0005-0000-0000-00006F540000}"/>
    <cellStyle name="Normal 13 5 3 2" xfId="21611" xr:uid="{00000000-0005-0000-0000-000070540000}"/>
    <cellStyle name="Normal 13 5 3 2 2" xfId="21612" xr:uid="{00000000-0005-0000-0000-000071540000}"/>
    <cellStyle name="Normal 13 5 3 2 2 2" xfId="21613" xr:uid="{00000000-0005-0000-0000-000072540000}"/>
    <cellStyle name="Normal 13 5 3 2 3" xfId="21614" xr:uid="{00000000-0005-0000-0000-000073540000}"/>
    <cellStyle name="Normal 13 5 3 2 4" xfId="21615" xr:uid="{00000000-0005-0000-0000-000074540000}"/>
    <cellStyle name="Normal 13 5 3 3" xfId="21616" xr:uid="{00000000-0005-0000-0000-000075540000}"/>
    <cellStyle name="Normal 13 5 3 3 2" xfId="21617" xr:uid="{00000000-0005-0000-0000-000076540000}"/>
    <cellStyle name="Normal 13 5 3 4" xfId="21618" xr:uid="{00000000-0005-0000-0000-000077540000}"/>
    <cellStyle name="Normal 13 5 3 5" xfId="21619" xr:uid="{00000000-0005-0000-0000-000078540000}"/>
    <cellStyle name="Normal 13 5 4" xfId="21620" xr:uid="{00000000-0005-0000-0000-000079540000}"/>
    <cellStyle name="Normal 13 5 4 2" xfId="21621" xr:uid="{00000000-0005-0000-0000-00007A540000}"/>
    <cellStyle name="Normal 13 5 4 2 2" xfId="21622" xr:uid="{00000000-0005-0000-0000-00007B540000}"/>
    <cellStyle name="Normal 13 5 4 3" xfId="21623" xr:uid="{00000000-0005-0000-0000-00007C540000}"/>
    <cellStyle name="Normal 13 5 4 3 2" xfId="21624" xr:uid="{00000000-0005-0000-0000-00007D540000}"/>
    <cellStyle name="Normal 13 5 4 4" xfId="21625" xr:uid="{00000000-0005-0000-0000-00007E540000}"/>
    <cellStyle name="Normal 13 5 4 5" xfId="21626" xr:uid="{00000000-0005-0000-0000-00007F540000}"/>
    <cellStyle name="Normal 13 5 5" xfId="21627" xr:uid="{00000000-0005-0000-0000-000080540000}"/>
    <cellStyle name="Normal 13 5 5 2" xfId="21628" xr:uid="{00000000-0005-0000-0000-000081540000}"/>
    <cellStyle name="Normal 13 5 6" xfId="21629" xr:uid="{00000000-0005-0000-0000-000082540000}"/>
    <cellStyle name="Normal 13 5 6 2" xfId="21630" xr:uid="{00000000-0005-0000-0000-000083540000}"/>
    <cellStyle name="Normal 13 5 7" xfId="21631" xr:uid="{00000000-0005-0000-0000-000084540000}"/>
    <cellStyle name="Normal 13 5 8" xfId="21632" xr:uid="{00000000-0005-0000-0000-000085540000}"/>
    <cellStyle name="Normal 13 50" xfId="21633" xr:uid="{00000000-0005-0000-0000-000086540000}"/>
    <cellStyle name="Normal 13 50 2" xfId="21634" xr:uid="{00000000-0005-0000-0000-000087540000}"/>
    <cellStyle name="Normal 13 51" xfId="21635" xr:uid="{00000000-0005-0000-0000-000088540000}"/>
    <cellStyle name="Normal 13 51 2" xfId="21636" xr:uid="{00000000-0005-0000-0000-000089540000}"/>
    <cellStyle name="Normal 13 52" xfId="21637" xr:uid="{00000000-0005-0000-0000-00008A540000}"/>
    <cellStyle name="Normal 13 52 2" xfId="21638" xr:uid="{00000000-0005-0000-0000-00008B540000}"/>
    <cellStyle name="Normal 13 53" xfId="21639" xr:uid="{00000000-0005-0000-0000-00008C540000}"/>
    <cellStyle name="Normal 13 53 2" xfId="21640" xr:uid="{00000000-0005-0000-0000-00008D540000}"/>
    <cellStyle name="Normal 13 54" xfId="21641" xr:uid="{00000000-0005-0000-0000-00008E540000}"/>
    <cellStyle name="Normal 13 54 2" xfId="21642" xr:uid="{00000000-0005-0000-0000-00008F540000}"/>
    <cellStyle name="Normal 13 55" xfId="21643" xr:uid="{00000000-0005-0000-0000-000090540000}"/>
    <cellStyle name="Normal 13 55 2" xfId="21644" xr:uid="{00000000-0005-0000-0000-000091540000}"/>
    <cellStyle name="Normal 13 56" xfId="21645" xr:uid="{00000000-0005-0000-0000-000092540000}"/>
    <cellStyle name="Normal 13 56 2" xfId="21646" xr:uid="{00000000-0005-0000-0000-000093540000}"/>
    <cellStyle name="Normal 13 57" xfId="21647" xr:uid="{00000000-0005-0000-0000-000094540000}"/>
    <cellStyle name="Normal 13 57 2" xfId="21648" xr:uid="{00000000-0005-0000-0000-000095540000}"/>
    <cellStyle name="Normal 13 58" xfId="21649" xr:uid="{00000000-0005-0000-0000-000096540000}"/>
    <cellStyle name="Normal 13 58 2" xfId="21650" xr:uid="{00000000-0005-0000-0000-000097540000}"/>
    <cellStyle name="Normal 13 59" xfId="21651" xr:uid="{00000000-0005-0000-0000-000098540000}"/>
    <cellStyle name="Normal 13 6" xfId="21652" xr:uid="{00000000-0005-0000-0000-000099540000}"/>
    <cellStyle name="Normal 13 6 2" xfId="21653" xr:uid="{00000000-0005-0000-0000-00009A540000}"/>
    <cellStyle name="Normal 13 6 2 2" xfId="21654" xr:uid="{00000000-0005-0000-0000-00009B540000}"/>
    <cellStyle name="Normal 13 6 2 2 2" xfId="21655" xr:uid="{00000000-0005-0000-0000-00009C540000}"/>
    <cellStyle name="Normal 13 6 2 2 2 2" xfId="21656" xr:uid="{00000000-0005-0000-0000-00009D540000}"/>
    <cellStyle name="Normal 13 6 2 2 3" xfId="21657" xr:uid="{00000000-0005-0000-0000-00009E540000}"/>
    <cellStyle name="Normal 13 6 2 2 4" xfId="21658" xr:uid="{00000000-0005-0000-0000-00009F540000}"/>
    <cellStyle name="Normal 13 6 2 3" xfId="21659" xr:uid="{00000000-0005-0000-0000-0000A0540000}"/>
    <cellStyle name="Normal 13 6 2 3 2" xfId="21660" xr:uid="{00000000-0005-0000-0000-0000A1540000}"/>
    <cellStyle name="Normal 13 6 2 4" xfId="21661" xr:uid="{00000000-0005-0000-0000-0000A2540000}"/>
    <cellStyle name="Normal 13 6 2 5" xfId="21662" xr:uid="{00000000-0005-0000-0000-0000A3540000}"/>
    <cellStyle name="Normal 13 6 3" xfId="21663" xr:uid="{00000000-0005-0000-0000-0000A4540000}"/>
    <cellStyle name="Normal 13 6 3 2" xfId="21664" xr:uid="{00000000-0005-0000-0000-0000A5540000}"/>
    <cellStyle name="Normal 13 6 3 2 2" xfId="21665" xr:uid="{00000000-0005-0000-0000-0000A6540000}"/>
    <cellStyle name="Normal 13 6 3 3" xfId="21666" xr:uid="{00000000-0005-0000-0000-0000A7540000}"/>
    <cellStyle name="Normal 13 6 3 3 2" xfId="21667" xr:uid="{00000000-0005-0000-0000-0000A8540000}"/>
    <cellStyle name="Normal 13 6 3 4" xfId="21668" xr:uid="{00000000-0005-0000-0000-0000A9540000}"/>
    <cellStyle name="Normal 13 6 3 5" xfId="21669" xr:uid="{00000000-0005-0000-0000-0000AA540000}"/>
    <cellStyle name="Normal 13 6 4" xfId="21670" xr:uid="{00000000-0005-0000-0000-0000AB540000}"/>
    <cellStyle name="Normal 13 6 4 2" xfId="21671" xr:uid="{00000000-0005-0000-0000-0000AC540000}"/>
    <cellStyle name="Normal 13 6 5" xfId="21672" xr:uid="{00000000-0005-0000-0000-0000AD540000}"/>
    <cellStyle name="Normal 13 6 5 2" xfId="21673" xr:uid="{00000000-0005-0000-0000-0000AE540000}"/>
    <cellStyle name="Normal 13 6 6" xfId="21674" xr:uid="{00000000-0005-0000-0000-0000AF540000}"/>
    <cellStyle name="Normal 13 6 7" xfId="21675" xr:uid="{00000000-0005-0000-0000-0000B0540000}"/>
    <cellStyle name="Normal 13 7" xfId="21676" xr:uid="{00000000-0005-0000-0000-0000B1540000}"/>
    <cellStyle name="Normal 13 7 2" xfId="21677" xr:uid="{00000000-0005-0000-0000-0000B2540000}"/>
    <cellStyle name="Normal 13 7 2 2" xfId="21678" xr:uid="{00000000-0005-0000-0000-0000B3540000}"/>
    <cellStyle name="Normal 13 7 2 2 2" xfId="21679" xr:uid="{00000000-0005-0000-0000-0000B4540000}"/>
    <cellStyle name="Normal 13 7 2 3" xfId="21680" xr:uid="{00000000-0005-0000-0000-0000B5540000}"/>
    <cellStyle name="Normal 13 7 2 4" xfId="21681" xr:uid="{00000000-0005-0000-0000-0000B6540000}"/>
    <cellStyle name="Normal 13 7 3" xfId="21682" xr:uid="{00000000-0005-0000-0000-0000B7540000}"/>
    <cellStyle name="Normal 13 7 3 2" xfId="21683" xr:uid="{00000000-0005-0000-0000-0000B8540000}"/>
    <cellStyle name="Normal 13 7 4" xfId="21684" xr:uid="{00000000-0005-0000-0000-0000B9540000}"/>
    <cellStyle name="Normal 13 7 5" xfId="21685" xr:uid="{00000000-0005-0000-0000-0000BA540000}"/>
    <cellStyle name="Normal 13 8" xfId="21686" xr:uid="{00000000-0005-0000-0000-0000BB540000}"/>
    <cellStyle name="Normal 13 8 2" xfId="21687" xr:uid="{00000000-0005-0000-0000-0000BC540000}"/>
    <cellStyle name="Normal 13 8 2 2" xfId="21688" xr:uid="{00000000-0005-0000-0000-0000BD540000}"/>
    <cellStyle name="Normal 13 8 3" xfId="21689" xr:uid="{00000000-0005-0000-0000-0000BE540000}"/>
    <cellStyle name="Normal 13 8 3 2" xfId="21690" xr:uid="{00000000-0005-0000-0000-0000BF540000}"/>
    <cellStyle name="Normal 13 8 4" xfId="21691" xr:uid="{00000000-0005-0000-0000-0000C0540000}"/>
    <cellStyle name="Normal 13 8 5" xfId="21692" xr:uid="{00000000-0005-0000-0000-0000C1540000}"/>
    <cellStyle name="Normal 13 9" xfId="21693" xr:uid="{00000000-0005-0000-0000-0000C2540000}"/>
    <cellStyle name="Normal 13 9 2" xfId="21694" xr:uid="{00000000-0005-0000-0000-0000C3540000}"/>
    <cellStyle name="Normal 130" xfId="21695" xr:uid="{00000000-0005-0000-0000-0000C4540000}"/>
    <cellStyle name="Normal 130 2" xfId="21696" xr:uid="{00000000-0005-0000-0000-0000C5540000}"/>
    <cellStyle name="Normal 131" xfId="21697" xr:uid="{00000000-0005-0000-0000-0000C6540000}"/>
    <cellStyle name="Normal 131 10" xfId="21698" xr:uid="{00000000-0005-0000-0000-0000C7540000}"/>
    <cellStyle name="Normal 131 10 2" xfId="21699" xr:uid="{00000000-0005-0000-0000-0000C8540000}"/>
    <cellStyle name="Normal 131 11" xfId="21700" xr:uid="{00000000-0005-0000-0000-0000C9540000}"/>
    <cellStyle name="Normal 131 11 2" xfId="21701" xr:uid="{00000000-0005-0000-0000-0000CA540000}"/>
    <cellStyle name="Normal 131 12" xfId="21702" xr:uid="{00000000-0005-0000-0000-0000CB540000}"/>
    <cellStyle name="Normal 131 12 2" xfId="21703" xr:uid="{00000000-0005-0000-0000-0000CC540000}"/>
    <cellStyle name="Normal 131 13" xfId="21704" xr:uid="{00000000-0005-0000-0000-0000CD540000}"/>
    <cellStyle name="Normal 131 13 2" xfId="21705" xr:uid="{00000000-0005-0000-0000-0000CE540000}"/>
    <cellStyle name="Normal 131 14" xfId="21706" xr:uid="{00000000-0005-0000-0000-0000CF540000}"/>
    <cellStyle name="Normal 131 14 2" xfId="21707" xr:uid="{00000000-0005-0000-0000-0000D0540000}"/>
    <cellStyle name="Normal 131 15" xfId="21708" xr:uid="{00000000-0005-0000-0000-0000D1540000}"/>
    <cellStyle name="Normal 131 15 2" xfId="21709" xr:uid="{00000000-0005-0000-0000-0000D2540000}"/>
    <cellStyle name="Normal 131 16" xfId="21710" xr:uid="{00000000-0005-0000-0000-0000D3540000}"/>
    <cellStyle name="Normal 131 16 2" xfId="21711" xr:uid="{00000000-0005-0000-0000-0000D4540000}"/>
    <cellStyle name="Normal 131 17" xfId="21712" xr:uid="{00000000-0005-0000-0000-0000D5540000}"/>
    <cellStyle name="Normal 131 17 2" xfId="21713" xr:uid="{00000000-0005-0000-0000-0000D6540000}"/>
    <cellStyle name="Normal 131 18" xfId="21714" xr:uid="{00000000-0005-0000-0000-0000D7540000}"/>
    <cellStyle name="Normal 131 18 2" xfId="21715" xr:uid="{00000000-0005-0000-0000-0000D8540000}"/>
    <cellStyle name="Normal 131 19" xfId="21716" xr:uid="{00000000-0005-0000-0000-0000D9540000}"/>
    <cellStyle name="Normal 131 19 2" xfId="21717" xr:uid="{00000000-0005-0000-0000-0000DA540000}"/>
    <cellStyle name="Normal 131 2" xfId="21718" xr:uid="{00000000-0005-0000-0000-0000DB540000}"/>
    <cellStyle name="Normal 131 2 2" xfId="21719" xr:uid="{00000000-0005-0000-0000-0000DC540000}"/>
    <cellStyle name="Normal 131 20" xfId="21720" xr:uid="{00000000-0005-0000-0000-0000DD540000}"/>
    <cellStyle name="Normal 131 20 2" xfId="21721" xr:uid="{00000000-0005-0000-0000-0000DE540000}"/>
    <cellStyle name="Normal 131 21" xfId="21722" xr:uid="{00000000-0005-0000-0000-0000DF540000}"/>
    <cellStyle name="Normal 131 21 2" xfId="21723" xr:uid="{00000000-0005-0000-0000-0000E0540000}"/>
    <cellStyle name="Normal 131 22" xfId="21724" xr:uid="{00000000-0005-0000-0000-0000E1540000}"/>
    <cellStyle name="Normal 131 22 2" xfId="21725" xr:uid="{00000000-0005-0000-0000-0000E2540000}"/>
    <cellStyle name="Normal 131 23" xfId="21726" xr:uid="{00000000-0005-0000-0000-0000E3540000}"/>
    <cellStyle name="Normal 131 23 2" xfId="21727" xr:uid="{00000000-0005-0000-0000-0000E4540000}"/>
    <cellStyle name="Normal 131 24" xfId="21728" xr:uid="{00000000-0005-0000-0000-0000E5540000}"/>
    <cellStyle name="Normal 131 24 2" xfId="21729" xr:uid="{00000000-0005-0000-0000-0000E6540000}"/>
    <cellStyle name="Normal 131 25" xfId="21730" xr:uid="{00000000-0005-0000-0000-0000E7540000}"/>
    <cellStyle name="Normal 131 25 2" xfId="21731" xr:uid="{00000000-0005-0000-0000-0000E8540000}"/>
    <cellStyle name="Normal 131 26" xfId="21732" xr:uid="{00000000-0005-0000-0000-0000E9540000}"/>
    <cellStyle name="Normal 131 26 2" xfId="21733" xr:uid="{00000000-0005-0000-0000-0000EA540000}"/>
    <cellStyle name="Normal 131 27" xfId="21734" xr:uid="{00000000-0005-0000-0000-0000EB540000}"/>
    <cellStyle name="Normal 131 27 2" xfId="21735" xr:uid="{00000000-0005-0000-0000-0000EC540000}"/>
    <cellStyle name="Normal 131 28" xfId="21736" xr:uid="{00000000-0005-0000-0000-0000ED540000}"/>
    <cellStyle name="Normal 131 28 2" xfId="21737" xr:uid="{00000000-0005-0000-0000-0000EE540000}"/>
    <cellStyle name="Normal 131 29" xfId="21738" xr:uid="{00000000-0005-0000-0000-0000EF540000}"/>
    <cellStyle name="Normal 131 29 2" xfId="21739" xr:uid="{00000000-0005-0000-0000-0000F0540000}"/>
    <cellStyle name="Normal 131 3" xfId="21740" xr:uid="{00000000-0005-0000-0000-0000F1540000}"/>
    <cellStyle name="Normal 131 3 2" xfId="21741" xr:uid="{00000000-0005-0000-0000-0000F2540000}"/>
    <cellStyle name="Normal 131 30" xfId="21742" xr:uid="{00000000-0005-0000-0000-0000F3540000}"/>
    <cellStyle name="Normal 131 30 2" xfId="21743" xr:uid="{00000000-0005-0000-0000-0000F4540000}"/>
    <cellStyle name="Normal 131 31" xfId="21744" xr:uid="{00000000-0005-0000-0000-0000F5540000}"/>
    <cellStyle name="Normal 131 31 2" xfId="21745" xr:uid="{00000000-0005-0000-0000-0000F6540000}"/>
    <cellStyle name="Normal 131 32" xfId="21746" xr:uid="{00000000-0005-0000-0000-0000F7540000}"/>
    <cellStyle name="Normal 131 32 2" xfId="21747" xr:uid="{00000000-0005-0000-0000-0000F8540000}"/>
    <cellStyle name="Normal 131 33" xfId="21748" xr:uid="{00000000-0005-0000-0000-0000F9540000}"/>
    <cellStyle name="Normal 131 33 2" xfId="21749" xr:uid="{00000000-0005-0000-0000-0000FA540000}"/>
    <cellStyle name="Normal 131 34" xfId="21750" xr:uid="{00000000-0005-0000-0000-0000FB540000}"/>
    <cellStyle name="Normal 131 34 2" xfId="21751" xr:uid="{00000000-0005-0000-0000-0000FC540000}"/>
    <cellStyle name="Normal 131 35" xfId="21752" xr:uid="{00000000-0005-0000-0000-0000FD540000}"/>
    <cellStyle name="Normal 131 35 2" xfId="21753" xr:uid="{00000000-0005-0000-0000-0000FE540000}"/>
    <cellStyle name="Normal 131 36" xfId="21754" xr:uid="{00000000-0005-0000-0000-0000FF540000}"/>
    <cellStyle name="Normal 131 36 2" xfId="21755" xr:uid="{00000000-0005-0000-0000-000000550000}"/>
    <cellStyle name="Normal 131 37" xfId="21756" xr:uid="{00000000-0005-0000-0000-000001550000}"/>
    <cellStyle name="Normal 131 37 2" xfId="21757" xr:uid="{00000000-0005-0000-0000-000002550000}"/>
    <cellStyle name="Normal 131 38" xfId="21758" xr:uid="{00000000-0005-0000-0000-000003550000}"/>
    <cellStyle name="Normal 131 38 2" xfId="21759" xr:uid="{00000000-0005-0000-0000-000004550000}"/>
    <cellStyle name="Normal 131 39" xfId="21760" xr:uid="{00000000-0005-0000-0000-000005550000}"/>
    <cellStyle name="Normal 131 39 2" xfId="21761" xr:uid="{00000000-0005-0000-0000-000006550000}"/>
    <cellStyle name="Normal 131 4" xfId="21762" xr:uid="{00000000-0005-0000-0000-000007550000}"/>
    <cellStyle name="Normal 131 4 2" xfId="21763" xr:uid="{00000000-0005-0000-0000-000008550000}"/>
    <cellStyle name="Normal 131 40" xfId="21764" xr:uid="{00000000-0005-0000-0000-000009550000}"/>
    <cellStyle name="Normal 131 40 2" xfId="21765" xr:uid="{00000000-0005-0000-0000-00000A550000}"/>
    <cellStyle name="Normal 131 41" xfId="21766" xr:uid="{00000000-0005-0000-0000-00000B550000}"/>
    <cellStyle name="Normal 131 41 2" xfId="21767" xr:uid="{00000000-0005-0000-0000-00000C550000}"/>
    <cellStyle name="Normal 131 42" xfId="21768" xr:uid="{00000000-0005-0000-0000-00000D550000}"/>
    <cellStyle name="Normal 131 42 2" xfId="21769" xr:uid="{00000000-0005-0000-0000-00000E550000}"/>
    <cellStyle name="Normal 131 43" xfId="21770" xr:uid="{00000000-0005-0000-0000-00000F550000}"/>
    <cellStyle name="Normal 131 43 2" xfId="21771" xr:uid="{00000000-0005-0000-0000-000010550000}"/>
    <cellStyle name="Normal 131 44" xfId="21772" xr:uid="{00000000-0005-0000-0000-000011550000}"/>
    <cellStyle name="Normal 131 44 2" xfId="21773" xr:uid="{00000000-0005-0000-0000-000012550000}"/>
    <cellStyle name="Normal 131 45" xfId="21774" xr:uid="{00000000-0005-0000-0000-000013550000}"/>
    <cellStyle name="Normal 131 45 2" xfId="21775" xr:uid="{00000000-0005-0000-0000-000014550000}"/>
    <cellStyle name="Normal 131 46" xfId="21776" xr:uid="{00000000-0005-0000-0000-000015550000}"/>
    <cellStyle name="Normal 131 46 2" xfId="21777" xr:uid="{00000000-0005-0000-0000-000016550000}"/>
    <cellStyle name="Normal 131 47" xfId="21778" xr:uid="{00000000-0005-0000-0000-000017550000}"/>
    <cellStyle name="Normal 131 47 2" xfId="21779" xr:uid="{00000000-0005-0000-0000-000018550000}"/>
    <cellStyle name="Normal 131 48" xfId="21780" xr:uid="{00000000-0005-0000-0000-000019550000}"/>
    <cellStyle name="Normal 131 48 2" xfId="21781" xr:uid="{00000000-0005-0000-0000-00001A550000}"/>
    <cellStyle name="Normal 131 49" xfId="21782" xr:uid="{00000000-0005-0000-0000-00001B550000}"/>
    <cellStyle name="Normal 131 49 2" xfId="21783" xr:uid="{00000000-0005-0000-0000-00001C550000}"/>
    <cellStyle name="Normal 131 5" xfId="21784" xr:uid="{00000000-0005-0000-0000-00001D550000}"/>
    <cellStyle name="Normal 131 5 2" xfId="21785" xr:uid="{00000000-0005-0000-0000-00001E550000}"/>
    <cellStyle name="Normal 131 50" xfId="21786" xr:uid="{00000000-0005-0000-0000-00001F550000}"/>
    <cellStyle name="Normal 131 50 2" xfId="21787" xr:uid="{00000000-0005-0000-0000-000020550000}"/>
    <cellStyle name="Normal 131 51" xfId="21788" xr:uid="{00000000-0005-0000-0000-000021550000}"/>
    <cellStyle name="Normal 131 51 2" xfId="21789" xr:uid="{00000000-0005-0000-0000-000022550000}"/>
    <cellStyle name="Normal 131 52" xfId="21790" xr:uid="{00000000-0005-0000-0000-000023550000}"/>
    <cellStyle name="Normal 131 52 2" xfId="21791" xr:uid="{00000000-0005-0000-0000-000024550000}"/>
    <cellStyle name="Normal 131 53" xfId="21792" xr:uid="{00000000-0005-0000-0000-000025550000}"/>
    <cellStyle name="Normal 131 53 2" xfId="21793" xr:uid="{00000000-0005-0000-0000-000026550000}"/>
    <cellStyle name="Normal 131 54" xfId="21794" xr:uid="{00000000-0005-0000-0000-000027550000}"/>
    <cellStyle name="Normal 131 54 2" xfId="21795" xr:uid="{00000000-0005-0000-0000-000028550000}"/>
    <cellStyle name="Normal 131 55" xfId="21796" xr:uid="{00000000-0005-0000-0000-000029550000}"/>
    <cellStyle name="Normal 131 55 2" xfId="21797" xr:uid="{00000000-0005-0000-0000-00002A550000}"/>
    <cellStyle name="Normal 131 56" xfId="21798" xr:uid="{00000000-0005-0000-0000-00002B550000}"/>
    <cellStyle name="Normal 131 56 2" xfId="21799" xr:uid="{00000000-0005-0000-0000-00002C550000}"/>
    <cellStyle name="Normal 131 57" xfId="21800" xr:uid="{00000000-0005-0000-0000-00002D550000}"/>
    <cellStyle name="Normal 131 57 2" xfId="21801" xr:uid="{00000000-0005-0000-0000-00002E550000}"/>
    <cellStyle name="Normal 131 58" xfId="21802" xr:uid="{00000000-0005-0000-0000-00002F550000}"/>
    <cellStyle name="Normal 131 58 2" xfId="21803" xr:uid="{00000000-0005-0000-0000-000030550000}"/>
    <cellStyle name="Normal 131 59" xfId="21804" xr:uid="{00000000-0005-0000-0000-000031550000}"/>
    <cellStyle name="Normal 131 59 2" xfId="21805" xr:uid="{00000000-0005-0000-0000-000032550000}"/>
    <cellStyle name="Normal 131 6" xfId="21806" xr:uid="{00000000-0005-0000-0000-000033550000}"/>
    <cellStyle name="Normal 131 6 2" xfId="21807" xr:uid="{00000000-0005-0000-0000-000034550000}"/>
    <cellStyle name="Normal 131 60" xfId="21808" xr:uid="{00000000-0005-0000-0000-000035550000}"/>
    <cellStyle name="Normal 131 60 2" xfId="21809" xr:uid="{00000000-0005-0000-0000-000036550000}"/>
    <cellStyle name="Normal 131 61" xfId="21810" xr:uid="{00000000-0005-0000-0000-000037550000}"/>
    <cellStyle name="Normal 131 61 2" xfId="21811" xr:uid="{00000000-0005-0000-0000-000038550000}"/>
    <cellStyle name="Normal 131 62" xfId="21812" xr:uid="{00000000-0005-0000-0000-000039550000}"/>
    <cellStyle name="Normal 131 62 2" xfId="21813" xr:uid="{00000000-0005-0000-0000-00003A550000}"/>
    <cellStyle name="Normal 131 62 3" xfId="21814" xr:uid="{00000000-0005-0000-0000-00003B550000}"/>
    <cellStyle name="Normal 131 63" xfId="21815" xr:uid="{00000000-0005-0000-0000-00003C550000}"/>
    <cellStyle name="Normal 131 7" xfId="21816" xr:uid="{00000000-0005-0000-0000-00003D550000}"/>
    <cellStyle name="Normal 131 7 2" xfId="21817" xr:uid="{00000000-0005-0000-0000-00003E550000}"/>
    <cellStyle name="Normal 131 8" xfId="21818" xr:uid="{00000000-0005-0000-0000-00003F550000}"/>
    <cellStyle name="Normal 131 8 2" xfId="21819" xr:uid="{00000000-0005-0000-0000-000040550000}"/>
    <cellStyle name="Normal 131 9" xfId="21820" xr:uid="{00000000-0005-0000-0000-000041550000}"/>
    <cellStyle name="Normal 131 9 2" xfId="21821" xr:uid="{00000000-0005-0000-0000-000042550000}"/>
    <cellStyle name="Normal 132" xfId="21822" xr:uid="{00000000-0005-0000-0000-000043550000}"/>
    <cellStyle name="Normal 132 2" xfId="21823" xr:uid="{00000000-0005-0000-0000-000044550000}"/>
    <cellStyle name="Normal 133" xfId="21824" xr:uid="{00000000-0005-0000-0000-000045550000}"/>
    <cellStyle name="Normal 133 2" xfId="21825" xr:uid="{00000000-0005-0000-0000-000046550000}"/>
    <cellStyle name="Normal 134" xfId="21826" xr:uid="{00000000-0005-0000-0000-000047550000}"/>
    <cellStyle name="Normal 134 2" xfId="21827" xr:uid="{00000000-0005-0000-0000-000048550000}"/>
    <cellStyle name="Normal 135" xfId="21828" xr:uid="{00000000-0005-0000-0000-000049550000}"/>
    <cellStyle name="Normal 135 2" xfId="21829" xr:uid="{00000000-0005-0000-0000-00004A550000}"/>
    <cellStyle name="Normal 136" xfId="21830" xr:uid="{00000000-0005-0000-0000-00004B550000}"/>
    <cellStyle name="Normal 136 10" xfId="21831" xr:uid="{00000000-0005-0000-0000-00004C550000}"/>
    <cellStyle name="Normal 136 10 2" xfId="21832" xr:uid="{00000000-0005-0000-0000-00004D550000}"/>
    <cellStyle name="Normal 136 11" xfId="21833" xr:uid="{00000000-0005-0000-0000-00004E550000}"/>
    <cellStyle name="Normal 136 11 2" xfId="21834" xr:uid="{00000000-0005-0000-0000-00004F550000}"/>
    <cellStyle name="Normal 136 12" xfId="21835" xr:uid="{00000000-0005-0000-0000-000050550000}"/>
    <cellStyle name="Normal 136 12 2" xfId="21836" xr:uid="{00000000-0005-0000-0000-000051550000}"/>
    <cellStyle name="Normal 136 13" xfId="21837" xr:uid="{00000000-0005-0000-0000-000052550000}"/>
    <cellStyle name="Normal 136 13 2" xfId="21838" xr:uid="{00000000-0005-0000-0000-000053550000}"/>
    <cellStyle name="Normal 136 14" xfId="21839" xr:uid="{00000000-0005-0000-0000-000054550000}"/>
    <cellStyle name="Normal 136 14 2" xfId="21840" xr:uid="{00000000-0005-0000-0000-000055550000}"/>
    <cellStyle name="Normal 136 15" xfId="21841" xr:uid="{00000000-0005-0000-0000-000056550000}"/>
    <cellStyle name="Normal 136 15 2" xfId="21842" xr:uid="{00000000-0005-0000-0000-000057550000}"/>
    <cellStyle name="Normal 136 16" xfId="21843" xr:uid="{00000000-0005-0000-0000-000058550000}"/>
    <cellStyle name="Normal 136 16 2" xfId="21844" xr:uid="{00000000-0005-0000-0000-000059550000}"/>
    <cellStyle name="Normal 136 17" xfId="21845" xr:uid="{00000000-0005-0000-0000-00005A550000}"/>
    <cellStyle name="Normal 136 17 2" xfId="21846" xr:uid="{00000000-0005-0000-0000-00005B550000}"/>
    <cellStyle name="Normal 136 18" xfId="21847" xr:uid="{00000000-0005-0000-0000-00005C550000}"/>
    <cellStyle name="Normal 136 18 2" xfId="21848" xr:uid="{00000000-0005-0000-0000-00005D550000}"/>
    <cellStyle name="Normal 136 19" xfId="21849" xr:uid="{00000000-0005-0000-0000-00005E550000}"/>
    <cellStyle name="Normal 136 19 2" xfId="21850" xr:uid="{00000000-0005-0000-0000-00005F550000}"/>
    <cellStyle name="Normal 136 2" xfId="21851" xr:uid="{00000000-0005-0000-0000-000060550000}"/>
    <cellStyle name="Normal 136 2 2" xfId="21852" xr:uid="{00000000-0005-0000-0000-000061550000}"/>
    <cellStyle name="Normal 136 20" xfId="21853" xr:uid="{00000000-0005-0000-0000-000062550000}"/>
    <cellStyle name="Normal 136 20 2" xfId="21854" xr:uid="{00000000-0005-0000-0000-000063550000}"/>
    <cellStyle name="Normal 136 21" xfId="21855" xr:uid="{00000000-0005-0000-0000-000064550000}"/>
    <cellStyle name="Normal 136 21 2" xfId="21856" xr:uid="{00000000-0005-0000-0000-000065550000}"/>
    <cellStyle name="Normal 136 22" xfId="21857" xr:uid="{00000000-0005-0000-0000-000066550000}"/>
    <cellStyle name="Normal 136 22 2" xfId="21858" xr:uid="{00000000-0005-0000-0000-000067550000}"/>
    <cellStyle name="Normal 136 23" xfId="21859" xr:uid="{00000000-0005-0000-0000-000068550000}"/>
    <cellStyle name="Normal 136 23 2" xfId="21860" xr:uid="{00000000-0005-0000-0000-000069550000}"/>
    <cellStyle name="Normal 136 24" xfId="21861" xr:uid="{00000000-0005-0000-0000-00006A550000}"/>
    <cellStyle name="Normal 136 24 2" xfId="21862" xr:uid="{00000000-0005-0000-0000-00006B550000}"/>
    <cellStyle name="Normal 136 25" xfId="21863" xr:uid="{00000000-0005-0000-0000-00006C550000}"/>
    <cellStyle name="Normal 136 25 2" xfId="21864" xr:uid="{00000000-0005-0000-0000-00006D550000}"/>
    <cellStyle name="Normal 136 26" xfId="21865" xr:uid="{00000000-0005-0000-0000-00006E550000}"/>
    <cellStyle name="Normal 136 26 2" xfId="21866" xr:uid="{00000000-0005-0000-0000-00006F550000}"/>
    <cellStyle name="Normal 136 27" xfId="21867" xr:uid="{00000000-0005-0000-0000-000070550000}"/>
    <cellStyle name="Normal 136 27 2" xfId="21868" xr:uid="{00000000-0005-0000-0000-000071550000}"/>
    <cellStyle name="Normal 136 28" xfId="21869" xr:uid="{00000000-0005-0000-0000-000072550000}"/>
    <cellStyle name="Normal 136 28 2" xfId="21870" xr:uid="{00000000-0005-0000-0000-000073550000}"/>
    <cellStyle name="Normal 136 29" xfId="21871" xr:uid="{00000000-0005-0000-0000-000074550000}"/>
    <cellStyle name="Normal 136 29 2" xfId="21872" xr:uid="{00000000-0005-0000-0000-000075550000}"/>
    <cellStyle name="Normal 136 3" xfId="21873" xr:uid="{00000000-0005-0000-0000-000076550000}"/>
    <cellStyle name="Normal 136 3 2" xfId="21874" xr:uid="{00000000-0005-0000-0000-000077550000}"/>
    <cellStyle name="Normal 136 30" xfId="21875" xr:uid="{00000000-0005-0000-0000-000078550000}"/>
    <cellStyle name="Normal 136 30 2" xfId="21876" xr:uid="{00000000-0005-0000-0000-000079550000}"/>
    <cellStyle name="Normal 136 31" xfId="21877" xr:uid="{00000000-0005-0000-0000-00007A550000}"/>
    <cellStyle name="Normal 136 31 2" xfId="21878" xr:uid="{00000000-0005-0000-0000-00007B550000}"/>
    <cellStyle name="Normal 136 32" xfId="21879" xr:uid="{00000000-0005-0000-0000-00007C550000}"/>
    <cellStyle name="Normal 136 32 2" xfId="21880" xr:uid="{00000000-0005-0000-0000-00007D550000}"/>
    <cellStyle name="Normal 136 33" xfId="21881" xr:uid="{00000000-0005-0000-0000-00007E550000}"/>
    <cellStyle name="Normal 136 33 2" xfId="21882" xr:uid="{00000000-0005-0000-0000-00007F550000}"/>
    <cellStyle name="Normal 136 34" xfId="21883" xr:uid="{00000000-0005-0000-0000-000080550000}"/>
    <cellStyle name="Normal 136 34 2" xfId="21884" xr:uid="{00000000-0005-0000-0000-000081550000}"/>
    <cellStyle name="Normal 136 35" xfId="21885" xr:uid="{00000000-0005-0000-0000-000082550000}"/>
    <cellStyle name="Normal 136 35 2" xfId="21886" xr:uid="{00000000-0005-0000-0000-000083550000}"/>
    <cellStyle name="Normal 136 36" xfId="21887" xr:uid="{00000000-0005-0000-0000-000084550000}"/>
    <cellStyle name="Normal 136 36 2" xfId="21888" xr:uid="{00000000-0005-0000-0000-000085550000}"/>
    <cellStyle name="Normal 136 37" xfId="21889" xr:uid="{00000000-0005-0000-0000-000086550000}"/>
    <cellStyle name="Normal 136 37 2" xfId="21890" xr:uid="{00000000-0005-0000-0000-000087550000}"/>
    <cellStyle name="Normal 136 38" xfId="21891" xr:uid="{00000000-0005-0000-0000-000088550000}"/>
    <cellStyle name="Normal 136 38 2" xfId="21892" xr:uid="{00000000-0005-0000-0000-000089550000}"/>
    <cellStyle name="Normal 136 39" xfId="21893" xr:uid="{00000000-0005-0000-0000-00008A550000}"/>
    <cellStyle name="Normal 136 39 2" xfId="21894" xr:uid="{00000000-0005-0000-0000-00008B550000}"/>
    <cellStyle name="Normal 136 4" xfId="21895" xr:uid="{00000000-0005-0000-0000-00008C550000}"/>
    <cellStyle name="Normal 136 4 2" xfId="21896" xr:uid="{00000000-0005-0000-0000-00008D550000}"/>
    <cellStyle name="Normal 136 40" xfId="21897" xr:uid="{00000000-0005-0000-0000-00008E550000}"/>
    <cellStyle name="Normal 136 40 2" xfId="21898" xr:uid="{00000000-0005-0000-0000-00008F550000}"/>
    <cellStyle name="Normal 136 41" xfId="21899" xr:uid="{00000000-0005-0000-0000-000090550000}"/>
    <cellStyle name="Normal 136 41 2" xfId="21900" xr:uid="{00000000-0005-0000-0000-000091550000}"/>
    <cellStyle name="Normal 136 42" xfId="21901" xr:uid="{00000000-0005-0000-0000-000092550000}"/>
    <cellStyle name="Normal 136 42 2" xfId="21902" xr:uid="{00000000-0005-0000-0000-000093550000}"/>
    <cellStyle name="Normal 136 43" xfId="21903" xr:uid="{00000000-0005-0000-0000-000094550000}"/>
    <cellStyle name="Normal 136 43 2" xfId="21904" xr:uid="{00000000-0005-0000-0000-000095550000}"/>
    <cellStyle name="Normal 136 44" xfId="21905" xr:uid="{00000000-0005-0000-0000-000096550000}"/>
    <cellStyle name="Normal 136 44 2" xfId="21906" xr:uid="{00000000-0005-0000-0000-000097550000}"/>
    <cellStyle name="Normal 136 45" xfId="21907" xr:uid="{00000000-0005-0000-0000-000098550000}"/>
    <cellStyle name="Normal 136 45 2" xfId="21908" xr:uid="{00000000-0005-0000-0000-000099550000}"/>
    <cellStyle name="Normal 136 46" xfId="21909" xr:uid="{00000000-0005-0000-0000-00009A550000}"/>
    <cellStyle name="Normal 136 46 2" xfId="21910" xr:uid="{00000000-0005-0000-0000-00009B550000}"/>
    <cellStyle name="Normal 136 47" xfId="21911" xr:uid="{00000000-0005-0000-0000-00009C550000}"/>
    <cellStyle name="Normal 136 47 2" xfId="21912" xr:uid="{00000000-0005-0000-0000-00009D550000}"/>
    <cellStyle name="Normal 136 48" xfId="21913" xr:uid="{00000000-0005-0000-0000-00009E550000}"/>
    <cellStyle name="Normal 136 48 2" xfId="21914" xr:uid="{00000000-0005-0000-0000-00009F550000}"/>
    <cellStyle name="Normal 136 49" xfId="21915" xr:uid="{00000000-0005-0000-0000-0000A0550000}"/>
    <cellStyle name="Normal 136 49 2" xfId="21916" xr:uid="{00000000-0005-0000-0000-0000A1550000}"/>
    <cellStyle name="Normal 136 5" xfId="21917" xr:uid="{00000000-0005-0000-0000-0000A2550000}"/>
    <cellStyle name="Normal 136 5 2" xfId="21918" xr:uid="{00000000-0005-0000-0000-0000A3550000}"/>
    <cellStyle name="Normal 136 50" xfId="21919" xr:uid="{00000000-0005-0000-0000-0000A4550000}"/>
    <cellStyle name="Normal 136 50 2" xfId="21920" xr:uid="{00000000-0005-0000-0000-0000A5550000}"/>
    <cellStyle name="Normal 136 51" xfId="21921" xr:uid="{00000000-0005-0000-0000-0000A6550000}"/>
    <cellStyle name="Normal 136 51 2" xfId="21922" xr:uid="{00000000-0005-0000-0000-0000A7550000}"/>
    <cellStyle name="Normal 136 52" xfId="21923" xr:uid="{00000000-0005-0000-0000-0000A8550000}"/>
    <cellStyle name="Normal 136 52 2" xfId="21924" xr:uid="{00000000-0005-0000-0000-0000A9550000}"/>
    <cellStyle name="Normal 136 53" xfId="21925" xr:uid="{00000000-0005-0000-0000-0000AA550000}"/>
    <cellStyle name="Normal 136 53 2" xfId="21926" xr:uid="{00000000-0005-0000-0000-0000AB550000}"/>
    <cellStyle name="Normal 136 54" xfId="21927" xr:uid="{00000000-0005-0000-0000-0000AC550000}"/>
    <cellStyle name="Normal 136 54 2" xfId="21928" xr:uid="{00000000-0005-0000-0000-0000AD550000}"/>
    <cellStyle name="Normal 136 55" xfId="21929" xr:uid="{00000000-0005-0000-0000-0000AE550000}"/>
    <cellStyle name="Normal 136 55 2" xfId="21930" xr:uid="{00000000-0005-0000-0000-0000AF550000}"/>
    <cellStyle name="Normal 136 56" xfId="21931" xr:uid="{00000000-0005-0000-0000-0000B0550000}"/>
    <cellStyle name="Normal 136 56 2" xfId="21932" xr:uid="{00000000-0005-0000-0000-0000B1550000}"/>
    <cellStyle name="Normal 136 57" xfId="21933" xr:uid="{00000000-0005-0000-0000-0000B2550000}"/>
    <cellStyle name="Normal 136 57 2" xfId="21934" xr:uid="{00000000-0005-0000-0000-0000B3550000}"/>
    <cellStyle name="Normal 136 58" xfId="21935" xr:uid="{00000000-0005-0000-0000-0000B4550000}"/>
    <cellStyle name="Normal 136 58 2" xfId="21936" xr:uid="{00000000-0005-0000-0000-0000B5550000}"/>
    <cellStyle name="Normal 136 59" xfId="21937" xr:uid="{00000000-0005-0000-0000-0000B6550000}"/>
    <cellStyle name="Normal 136 59 2" xfId="21938" xr:uid="{00000000-0005-0000-0000-0000B7550000}"/>
    <cellStyle name="Normal 136 6" xfId="21939" xr:uid="{00000000-0005-0000-0000-0000B8550000}"/>
    <cellStyle name="Normal 136 6 2" xfId="21940" xr:uid="{00000000-0005-0000-0000-0000B9550000}"/>
    <cellStyle name="Normal 136 60" xfId="21941" xr:uid="{00000000-0005-0000-0000-0000BA550000}"/>
    <cellStyle name="Normal 136 60 2" xfId="21942" xr:uid="{00000000-0005-0000-0000-0000BB550000}"/>
    <cellStyle name="Normal 136 61" xfId="21943" xr:uid="{00000000-0005-0000-0000-0000BC550000}"/>
    <cellStyle name="Normal 136 61 2" xfId="21944" xr:uid="{00000000-0005-0000-0000-0000BD550000}"/>
    <cellStyle name="Normal 136 62" xfId="21945" xr:uid="{00000000-0005-0000-0000-0000BE550000}"/>
    <cellStyle name="Normal 136 62 2" xfId="21946" xr:uid="{00000000-0005-0000-0000-0000BF550000}"/>
    <cellStyle name="Normal 136 62 3" xfId="21947" xr:uid="{00000000-0005-0000-0000-0000C0550000}"/>
    <cellStyle name="Normal 136 63" xfId="21948" xr:uid="{00000000-0005-0000-0000-0000C1550000}"/>
    <cellStyle name="Normal 136 7" xfId="21949" xr:uid="{00000000-0005-0000-0000-0000C2550000}"/>
    <cellStyle name="Normal 136 7 2" xfId="21950" xr:uid="{00000000-0005-0000-0000-0000C3550000}"/>
    <cellStyle name="Normal 136 8" xfId="21951" xr:uid="{00000000-0005-0000-0000-0000C4550000}"/>
    <cellStyle name="Normal 136 8 2" xfId="21952" xr:uid="{00000000-0005-0000-0000-0000C5550000}"/>
    <cellStyle name="Normal 136 9" xfId="21953" xr:uid="{00000000-0005-0000-0000-0000C6550000}"/>
    <cellStyle name="Normal 136 9 2" xfId="21954" xr:uid="{00000000-0005-0000-0000-0000C7550000}"/>
    <cellStyle name="Normal 137" xfId="21955" xr:uid="{00000000-0005-0000-0000-0000C8550000}"/>
    <cellStyle name="Normal 137 10" xfId="21956" xr:uid="{00000000-0005-0000-0000-0000C9550000}"/>
    <cellStyle name="Normal 137 10 2" xfId="21957" xr:uid="{00000000-0005-0000-0000-0000CA550000}"/>
    <cellStyle name="Normal 137 11" xfId="21958" xr:uid="{00000000-0005-0000-0000-0000CB550000}"/>
    <cellStyle name="Normal 137 11 2" xfId="21959" xr:uid="{00000000-0005-0000-0000-0000CC550000}"/>
    <cellStyle name="Normal 137 12" xfId="21960" xr:uid="{00000000-0005-0000-0000-0000CD550000}"/>
    <cellStyle name="Normal 137 12 2" xfId="21961" xr:uid="{00000000-0005-0000-0000-0000CE550000}"/>
    <cellStyle name="Normal 137 13" xfId="21962" xr:uid="{00000000-0005-0000-0000-0000CF550000}"/>
    <cellStyle name="Normal 137 13 2" xfId="21963" xr:uid="{00000000-0005-0000-0000-0000D0550000}"/>
    <cellStyle name="Normal 137 14" xfId="21964" xr:uid="{00000000-0005-0000-0000-0000D1550000}"/>
    <cellStyle name="Normal 137 14 2" xfId="21965" xr:uid="{00000000-0005-0000-0000-0000D2550000}"/>
    <cellStyle name="Normal 137 15" xfId="21966" xr:uid="{00000000-0005-0000-0000-0000D3550000}"/>
    <cellStyle name="Normal 137 15 2" xfId="21967" xr:uid="{00000000-0005-0000-0000-0000D4550000}"/>
    <cellStyle name="Normal 137 16" xfId="21968" xr:uid="{00000000-0005-0000-0000-0000D5550000}"/>
    <cellStyle name="Normal 137 16 2" xfId="21969" xr:uid="{00000000-0005-0000-0000-0000D6550000}"/>
    <cellStyle name="Normal 137 17" xfId="21970" xr:uid="{00000000-0005-0000-0000-0000D7550000}"/>
    <cellStyle name="Normal 137 17 2" xfId="21971" xr:uid="{00000000-0005-0000-0000-0000D8550000}"/>
    <cellStyle name="Normal 137 18" xfId="21972" xr:uid="{00000000-0005-0000-0000-0000D9550000}"/>
    <cellStyle name="Normal 137 18 2" xfId="21973" xr:uid="{00000000-0005-0000-0000-0000DA550000}"/>
    <cellStyle name="Normal 137 19" xfId="21974" xr:uid="{00000000-0005-0000-0000-0000DB550000}"/>
    <cellStyle name="Normal 137 19 2" xfId="21975" xr:uid="{00000000-0005-0000-0000-0000DC550000}"/>
    <cellStyle name="Normal 137 2" xfId="21976" xr:uid="{00000000-0005-0000-0000-0000DD550000}"/>
    <cellStyle name="Normal 137 2 2" xfId="21977" xr:uid="{00000000-0005-0000-0000-0000DE550000}"/>
    <cellStyle name="Normal 137 20" xfId="21978" xr:uid="{00000000-0005-0000-0000-0000DF550000}"/>
    <cellStyle name="Normal 137 20 2" xfId="21979" xr:uid="{00000000-0005-0000-0000-0000E0550000}"/>
    <cellStyle name="Normal 137 21" xfId="21980" xr:uid="{00000000-0005-0000-0000-0000E1550000}"/>
    <cellStyle name="Normal 137 21 2" xfId="21981" xr:uid="{00000000-0005-0000-0000-0000E2550000}"/>
    <cellStyle name="Normal 137 22" xfId="21982" xr:uid="{00000000-0005-0000-0000-0000E3550000}"/>
    <cellStyle name="Normal 137 22 2" xfId="21983" xr:uid="{00000000-0005-0000-0000-0000E4550000}"/>
    <cellStyle name="Normal 137 23" xfId="21984" xr:uid="{00000000-0005-0000-0000-0000E5550000}"/>
    <cellStyle name="Normal 137 23 2" xfId="21985" xr:uid="{00000000-0005-0000-0000-0000E6550000}"/>
    <cellStyle name="Normal 137 24" xfId="21986" xr:uid="{00000000-0005-0000-0000-0000E7550000}"/>
    <cellStyle name="Normal 137 24 2" xfId="21987" xr:uid="{00000000-0005-0000-0000-0000E8550000}"/>
    <cellStyle name="Normal 137 25" xfId="21988" xr:uid="{00000000-0005-0000-0000-0000E9550000}"/>
    <cellStyle name="Normal 137 25 2" xfId="21989" xr:uid="{00000000-0005-0000-0000-0000EA550000}"/>
    <cellStyle name="Normal 137 26" xfId="21990" xr:uid="{00000000-0005-0000-0000-0000EB550000}"/>
    <cellStyle name="Normal 137 26 2" xfId="21991" xr:uid="{00000000-0005-0000-0000-0000EC550000}"/>
    <cellStyle name="Normal 137 27" xfId="21992" xr:uid="{00000000-0005-0000-0000-0000ED550000}"/>
    <cellStyle name="Normal 137 27 2" xfId="21993" xr:uid="{00000000-0005-0000-0000-0000EE550000}"/>
    <cellStyle name="Normal 137 28" xfId="21994" xr:uid="{00000000-0005-0000-0000-0000EF550000}"/>
    <cellStyle name="Normal 137 28 2" xfId="21995" xr:uid="{00000000-0005-0000-0000-0000F0550000}"/>
    <cellStyle name="Normal 137 29" xfId="21996" xr:uid="{00000000-0005-0000-0000-0000F1550000}"/>
    <cellStyle name="Normal 137 29 2" xfId="21997" xr:uid="{00000000-0005-0000-0000-0000F2550000}"/>
    <cellStyle name="Normal 137 3" xfId="21998" xr:uid="{00000000-0005-0000-0000-0000F3550000}"/>
    <cellStyle name="Normal 137 3 2" xfId="21999" xr:uid="{00000000-0005-0000-0000-0000F4550000}"/>
    <cellStyle name="Normal 137 30" xfId="22000" xr:uid="{00000000-0005-0000-0000-0000F5550000}"/>
    <cellStyle name="Normal 137 30 2" xfId="22001" xr:uid="{00000000-0005-0000-0000-0000F6550000}"/>
    <cellStyle name="Normal 137 31" xfId="22002" xr:uid="{00000000-0005-0000-0000-0000F7550000}"/>
    <cellStyle name="Normal 137 31 2" xfId="22003" xr:uid="{00000000-0005-0000-0000-0000F8550000}"/>
    <cellStyle name="Normal 137 32" xfId="22004" xr:uid="{00000000-0005-0000-0000-0000F9550000}"/>
    <cellStyle name="Normal 137 32 2" xfId="22005" xr:uid="{00000000-0005-0000-0000-0000FA550000}"/>
    <cellStyle name="Normal 137 33" xfId="22006" xr:uid="{00000000-0005-0000-0000-0000FB550000}"/>
    <cellStyle name="Normal 137 33 2" xfId="22007" xr:uid="{00000000-0005-0000-0000-0000FC550000}"/>
    <cellStyle name="Normal 137 34" xfId="22008" xr:uid="{00000000-0005-0000-0000-0000FD550000}"/>
    <cellStyle name="Normal 137 34 2" xfId="22009" xr:uid="{00000000-0005-0000-0000-0000FE550000}"/>
    <cellStyle name="Normal 137 35" xfId="22010" xr:uid="{00000000-0005-0000-0000-0000FF550000}"/>
    <cellStyle name="Normal 137 35 2" xfId="22011" xr:uid="{00000000-0005-0000-0000-000000560000}"/>
    <cellStyle name="Normal 137 36" xfId="22012" xr:uid="{00000000-0005-0000-0000-000001560000}"/>
    <cellStyle name="Normal 137 36 2" xfId="22013" xr:uid="{00000000-0005-0000-0000-000002560000}"/>
    <cellStyle name="Normal 137 37" xfId="22014" xr:uid="{00000000-0005-0000-0000-000003560000}"/>
    <cellStyle name="Normal 137 37 2" xfId="22015" xr:uid="{00000000-0005-0000-0000-000004560000}"/>
    <cellStyle name="Normal 137 38" xfId="22016" xr:uid="{00000000-0005-0000-0000-000005560000}"/>
    <cellStyle name="Normal 137 38 2" xfId="22017" xr:uid="{00000000-0005-0000-0000-000006560000}"/>
    <cellStyle name="Normal 137 39" xfId="22018" xr:uid="{00000000-0005-0000-0000-000007560000}"/>
    <cellStyle name="Normal 137 39 2" xfId="22019" xr:uid="{00000000-0005-0000-0000-000008560000}"/>
    <cellStyle name="Normal 137 4" xfId="22020" xr:uid="{00000000-0005-0000-0000-000009560000}"/>
    <cellStyle name="Normal 137 4 2" xfId="22021" xr:uid="{00000000-0005-0000-0000-00000A560000}"/>
    <cellStyle name="Normal 137 40" xfId="22022" xr:uid="{00000000-0005-0000-0000-00000B560000}"/>
    <cellStyle name="Normal 137 40 2" xfId="22023" xr:uid="{00000000-0005-0000-0000-00000C560000}"/>
    <cellStyle name="Normal 137 41" xfId="22024" xr:uid="{00000000-0005-0000-0000-00000D560000}"/>
    <cellStyle name="Normal 137 41 2" xfId="22025" xr:uid="{00000000-0005-0000-0000-00000E560000}"/>
    <cellStyle name="Normal 137 42" xfId="22026" xr:uid="{00000000-0005-0000-0000-00000F560000}"/>
    <cellStyle name="Normal 137 42 2" xfId="22027" xr:uid="{00000000-0005-0000-0000-000010560000}"/>
    <cellStyle name="Normal 137 43" xfId="22028" xr:uid="{00000000-0005-0000-0000-000011560000}"/>
    <cellStyle name="Normal 137 43 2" xfId="22029" xr:uid="{00000000-0005-0000-0000-000012560000}"/>
    <cellStyle name="Normal 137 44" xfId="22030" xr:uid="{00000000-0005-0000-0000-000013560000}"/>
    <cellStyle name="Normal 137 44 2" xfId="22031" xr:uid="{00000000-0005-0000-0000-000014560000}"/>
    <cellStyle name="Normal 137 45" xfId="22032" xr:uid="{00000000-0005-0000-0000-000015560000}"/>
    <cellStyle name="Normal 137 45 2" xfId="22033" xr:uid="{00000000-0005-0000-0000-000016560000}"/>
    <cellStyle name="Normal 137 46" xfId="22034" xr:uid="{00000000-0005-0000-0000-000017560000}"/>
    <cellStyle name="Normal 137 46 2" xfId="22035" xr:uid="{00000000-0005-0000-0000-000018560000}"/>
    <cellStyle name="Normal 137 47" xfId="22036" xr:uid="{00000000-0005-0000-0000-000019560000}"/>
    <cellStyle name="Normal 137 47 2" xfId="22037" xr:uid="{00000000-0005-0000-0000-00001A560000}"/>
    <cellStyle name="Normal 137 48" xfId="22038" xr:uid="{00000000-0005-0000-0000-00001B560000}"/>
    <cellStyle name="Normal 137 48 2" xfId="22039" xr:uid="{00000000-0005-0000-0000-00001C560000}"/>
    <cellStyle name="Normal 137 49" xfId="22040" xr:uid="{00000000-0005-0000-0000-00001D560000}"/>
    <cellStyle name="Normal 137 49 2" xfId="22041" xr:uid="{00000000-0005-0000-0000-00001E560000}"/>
    <cellStyle name="Normal 137 5" xfId="22042" xr:uid="{00000000-0005-0000-0000-00001F560000}"/>
    <cellStyle name="Normal 137 5 2" xfId="22043" xr:uid="{00000000-0005-0000-0000-000020560000}"/>
    <cellStyle name="Normal 137 50" xfId="22044" xr:uid="{00000000-0005-0000-0000-000021560000}"/>
    <cellStyle name="Normal 137 50 2" xfId="22045" xr:uid="{00000000-0005-0000-0000-000022560000}"/>
    <cellStyle name="Normal 137 51" xfId="22046" xr:uid="{00000000-0005-0000-0000-000023560000}"/>
    <cellStyle name="Normal 137 51 2" xfId="22047" xr:uid="{00000000-0005-0000-0000-000024560000}"/>
    <cellStyle name="Normal 137 52" xfId="22048" xr:uid="{00000000-0005-0000-0000-000025560000}"/>
    <cellStyle name="Normal 137 52 2" xfId="22049" xr:uid="{00000000-0005-0000-0000-000026560000}"/>
    <cellStyle name="Normal 137 53" xfId="22050" xr:uid="{00000000-0005-0000-0000-000027560000}"/>
    <cellStyle name="Normal 137 53 2" xfId="22051" xr:uid="{00000000-0005-0000-0000-000028560000}"/>
    <cellStyle name="Normal 137 54" xfId="22052" xr:uid="{00000000-0005-0000-0000-000029560000}"/>
    <cellStyle name="Normal 137 54 2" xfId="22053" xr:uid="{00000000-0005-0000-0000-00002A560000}"/>
    <cellStyle name="Normal 137 55" xfId="22054" xr:uid="{00000000-0005-0000-0000-00002B560000}"/>
    <cellStyle name="Normal 137 55 2" xfId="22055" xr:uid="{00000000-0005-0000-0000-00002C560000}"/>
    <cellStyle name="Normal 137 56" xfId="22056" xr:uid="{00000000-0005-0000-0000-00002D560000}"/>
    <cellStyle name="Normal 137 56 2" xfId="22057" xr:uid="{00000000-0005-0000-0000-00002E560000}"/>
    <cellStyle name="Normal 137 57" xfId="22058" xr:uid="{00000000-0005-0000-0000-00002F560000}"/>
    <cellStyle name="Normal 137 57 2" xfId="22059" xr:uid="{00000000-0005-0000-0000-000030560000}"/>
    <cellStyle name="Normal 137 58" xfId="22060" xr:uid="{00000000-0005-0000-0000-000031560000}"/>
    <cellStyle name="Normal 137 58 2" xfId="22061" xr:uid="{00000000-0005-0000-0000-000032560000}"/>
    <cellStyle name="Normal 137 59" xfId="22062" xr:uid="{00000000-0005-0000-0000-000033560000}"/>
    <cellStyle name="Normal 137 59 2" xfId="22063" xr:uid="{00000000-0005-0000-0000-000034560000}"/>
    <cellStyle name="Normal 137 6" xfId="22064" xr:uid="{00000000-0005-0000-0000-000035560000}"/>
    <cellStyle name="Normal 137 6 2" xfId="22065" xr:uid="{00000000-0005-0000-0000-000036560000}"/>
    <cellStyle name="Normal 137 60" xfId="22066" xr:uid="{00000000-0005-0000-0000-000037560000}"/>
    <cellStyle name="Normal 137 60 2" xfId="22067" xr:uid="{00000000-0005-0000-0000-000038560000}"/>
    <cellStyle name="Normal 137 61" xfId="22068" xr:uid="{00000000-0005-0000-0000-000039560000}"/>
    <cellStyle name="Normal 137 61 2" xfId="22069" xr:uid="{00000000-0005-0000-0000-00003A560000}"/>
    <cellStyle name="Normal 137 62" xfId="22070" xr:uid="{00000000-0005-0000-0000-00003B560000}"/>
    <cellStyle name="Normal 137 62 2" xfId="22071" xr:uid="{00000000-0005-0000-0000-00003C560000}"/>
    <cellStyle name="Normal 137 62 3" xfId="22072" xr:uid="{00000000-0005-0000-0000-00003D560000}"/>
    <cellStyle name="Normal 137 63" xfId="22073" xr:uid="{00000000-0005-0000-0000-00003E560000}"/>
    <cellStyle name="Normal 137 7" xfId="22074" xr:uid="{00000000-0005-0000-0000-00003F560000}"/>
    <cellStyle name="Normal 137 7 2" xfId="22075" xr:uid="{00000000-0005-0000-0000-000040560000}"/>
    <cellStyle name="Normal 137 8" xfId="22076" xr:uid="{00000000-0005-0000-0000-000041560000}"/>
    <cellStyle name="Normal 137 8 2" xfId="22077" xr:uid="{00000000-0005-0000-0000-000042560000}"/>
    <cellStyle name="Normal 137 9" xfId="22078" xr:uid="{00000000-0005-0000-0000-000043560000}"/>
    <cellStyle name="Normal 137 9 2" xfId="22079" xr:uid="{00000000-0005-0000-0000-000044560000}"/>
    <cellStyle name="Normal 138" xfId="22080" xr:uid="{00000000-0005-0000-0000-000045560000}"/>
    <cellStyle name="Normal 138 2" xfId="22081" xr:uid="{00000000-0005-0000-0000-000046560000}"/>
    <cellStyle name="Normal 139" xfId="22082" xr:uid="{00000000-0005-0000-0000-000047560000}"/>
    <cellStyle name="Normal 139 2" xfId="22083" xr:uid="{00000000-0005-0000-0000-000048560000}"/>
    <cellStyle name="Normal 14" xfId="22084" xr:uid="{00000000-0005-0000-0000-000049560000}"/>
    <cellStyle name="Normal 14 10" xfId="22085" xr:uid="{00000000-0005-0000-0000-00004A560000}"/>
    <cellStyle name="Normal 14 10 2" xfId="22086" xr:uid="{00000000-0005-0000-0000-00004B560000}"/>
    <cellStyle name="Normal 14 11" xfId="22087" xr:uid="{00000000-0005-0000-0000-00004C560000}"/>
    <cellStyle name="Normal 14 11 2" xfId="22088" xr:uid="{00000000-0005-0000-0000-00004D560000}"/>
    <cellStyle name="Normal 14 12" xfId="22089" xr:uid="{00000000-0005-0000-0000-00004E560000}"/>
    <cellStyle name="Normal 14 12 2" xfId="22090" xr:uid="{00000000-0005-0000-0000-00004F560000}"/>
    <cellStyle name="Normal 14 13" xfId="22091" xr:uid="{00000000-0005-0000-0000-000050560000}"/>
    <cellStyle name="Normal 14 13 2" xfId="22092" xr:uid="{00000000-0005-0000-0000-000051560000}"/>
    <cellStyle name="Normal 14 14" xfId="22093" xr:uid="{00000000-0005-0000-0000-000052560000}"/>
    <cellStyle name="Normal 14 14 2" xfId="22094" xr:uid="{00000000-0005-0000-0000-000053560000}"/>
    <cellStyle name="Normal 14 15" xfId="22095" xr:uid="{00000000-0005-0000-0000-000054560000}"/>
    <cellStyle name="Normal 14 15 2" xfId="22096" xr:uid="{00000000-0005-0000-0000-000055560000}"/>
    <cellStyle name="Normal 14 16" xfId="22097" xr:uid="{00000000-0005-0000-0000-000056560000}"/>
    <cellStyle name="Normal 14 16 2" xfId="22098" xr:uid="{00000000-0005-0000-0000-000057560000}"/>
    <cellStyle name="Normal 14 17" xfId="22099" xr:uid="{00000000-0005-0000-0000-000058560000}"/>
    <cellStyle name="Normal 14 17 2" xfId="22100" xr:uid="{00000000-0005-0000-0000-000059560000}"/>
    <cellStyle name="Normal 14 18" xfId="22101" xr:uid="{00000000-0005-0000-0000-00005A560000}"/>
    <cellStyle name="Normal 14 18 2" xfId="22102" xr:uid="{00000000-0005-0000-0000-00005B560000}"/>
    <cellStyle name="Normal 14 19" xfId="22103" xr:uid="{00000000-0005-0000-0000-00005C560000}"/>
    <cellStyle name="Normal 14 19 2" xfId="22104" xr:uid="{00000000-0005-0000-0000-00005D560000}"/>
    <cellStyle name="Normal 14 2" xfId="22105" xr:uid="{00000000-0005-0000-0000-00005E560000}"/>
    <cellStyle name="Normal 14 2 2" xfId="22106" xr:uid="{00000000-0005-0000-0000-00005F560000}"/>
    <cellStyle name="Normal 14 2 3" xfId="22107" xr:uid="{00000000-0005-0000-0000-000060560000}"/>
    <cellStyle name="Normal 14 20" xfId="22108" xr:uid="{00000000-0005-0000-0000-000061560000}"/>
    <cellStyle name="Normal 14 20 2" xfId="22109" xr:uid="{00000000-0005-0000-0000-000062560000}"/>
    <cellStyle name="Normal 14 21" xfId="22110" xr:uid="{00000000-0005-0000-0000-000063560000}"/>
    <cellStyle name="Normal 14 21 2" xfId="22111" xr:uid="{00000000-0005-0000-0000-000064560000}"/>
    <cellStyle name="Normal 14 22" xfId="22112" xr:uid="{00000000-0005-0000-0000-000065560000}"/>
    <cellStyle name="Normal 14 22 2" xfId="22113" xr:uid="{00000000-0005-0000-0000-000066560000}"/>
    <cellStyle name="Normal 14 23" xfId="22114" xr:uid="{00000000-0005-0000-0000-000067560000}"/>
    <cellStyle name="Normal 14 23 2" xfId="22115" xr:uid="{00000000-0005-0000-0000-000068560000}"/>
    <cellStyle name="Normal 14 24" xfId="22116" xr:uid="{00000000-0005-0000-0000-000069560000}"/>
    <cellStyle name="Normal 14 24 2" xfId="22117" xr:uid="{00000000-0005-0000-0000-00006A560000}"/>
    <cellStyle name="Normal 14 25" xfId="22118" xr:uid="{00000000-0005-0000-0000-00006B560000}"/>
    <cellStyle name="Normal 14 25 2" xfId="22119" xr:uid="{00000000-0005-0000-0000-00006C560000}"/>
    <cellStyle name="Normal 14 26" xfId="22120" xr:uid="{00000000-0005-0000-0000-00006D560000}"/>
    <cellStyle name="Normal 14 26 2" xfId="22121" xr:uid="{00000000-0005-0000-0000-00006E560000}"/>
    <cellStyle name="Normal 14 27" xfId="22122" xr:uid="{00000000-0005-0000-0000-00006F560000}"/>
    <cellStyle name="Normal 14 27 2" xfId="22123" xr:uid="{00000000-0005-0000-0000-000070560000}"/>
    <cellStyle name="Normal 14 28" xfId="22124" xr:uid="{00000000-0005-0000-0000-000071560000}"/>
    <cellStyle name="Normal 14 28 2" xfId="22125" xr:uid="{00000000-0005-0000-0000-000072560000}"/>
    <cellStyle name="Normal 14 29" xfId="22126" xr:uid="{00000000-0005-0000-0000-000073560000}"/>
    <cellStyle name="Normal 14 29 2" xfId="22127" xr:uid="{00000000-0005-0000-0000-000074560000}"/>
    <cellStyle name="Normal 14 3" xfId="22128" xr:uid="{00000000-0005-0000-0000-000075560000}"/>
    <cellStyle name="Normal 14 3 2" xfId="22129" xr:uid="{00000000-0005-0000-0000-000076560000}"/>
    <cellStyle name="Normal 14 30" xfId="22130" xr:uid="{00000000-0005-0000-0000-000077560000}"/>
    <cellStyle name="Normal 14 30 2" xfId="22131" xr:uid="{00000000-0005-0000-0000-000078560000}"/>
    <cellStyle name="Normal 14 31" xfId="22132" xr:uid="{00000000-0005-0000-0000-000079560000}"/>
    <cellStyle name="Normal 14 31 2" xfId="22133" xr:uid="{00000000-0005-0000-0000-00007A560000}"/>
    <cellStyle name="Normal 14 32" xfId="22134" xr:uid="{00000000-0005-0000-0000-00007B560000}"/>
    <cellStyle name="Normal 14 32 2" xfId="22135" xr:uid="{00000000-0005-0000-0000-00007C560000}"/>
    <cellStyle name="Normal 14 33" xfId="22136" xr:uid="{00000000-0005-0000-0000-00007D560000}"/>
    <cellStyle name="Normal 14 33 2" xfId="22137" xr:uid="{00000000-0005-0000-0000-00007E560000}"/>
    <cellStyle name="Normal 14 34" xfId="22138" xr:uid="{00000000-0005-0000-0000-00007F560000}"/>
    <cellStyle name="Normal 14 34 2" xfId="22139" xr:uid="{00000000-0005-0000-0000-000080560000}"/>
    <cellStyle name="Normal 14 35" xfId="22140" xr:uid="{00000000-0005-0000-0000-000081560000}"/>
    <cellStyle name="Normal 14 35 2" xfId="22141" xr:uid="{00000000-0005-0000-0000-000082560000}"/>
    <cellStyle name="Normal 14 36" xfId="22142" xr:uid="{00000000-0005-0000-0000-000083560000}"/>
    <cellStyle name="Normal 14 36 2" xfId="22143" xr:uid="{00000000-0005-0000-0000-000084560000}"/>
    <cellStyle name="Normal 14 37" xfId="22144" xr:uid="{00000000-0005-0000-0000-000085560000}"/>
    <cellStyle name="Normal 14 37 2" xfId="22145" xr:uid="{00000000-0005-0000-0000-000086560000}"/>
    <cellStyle name="Normal 14 38" xfId="22146" xr:uid="{00000000-0005-0000-0000-000087560000}"/>
    <cellStyle name="Normal 14 38 2" xfId="22147" xr:uid="{00000000-0005-0000-0000-000088560000}"/>
    <cellStyle name="Normal 14 39" xfId="22148" xr:uid="{00000000-0005-0000-0000-000089560000}"/>
    <cellStyle name="Normal 14 39 2" xfId="22149" xr:uid="{00000000-0005-0000-0000-00008A560000}"/>
    <cellStyle name="Normal 14 4" xfId="22150" xr:uid="{00000000-0005-0000-0000-00008B560000}"/>
    <cellStyle name="Normal 14 4 2" xfId="22151" xr:uid="{00000000-0005-0000-0000-00008C560000}"/>
    <cellStyle name="Normal 14 40" xfId="22152" xr:uid="{00000000-0005-0000-0000-00008D560000}"/>
    <cellStyle name="Normal 14 40 2" xfId="22153" xr:uid="{00000000-0005-0000-0000-00008E560000}"/>
    <cellStyle name="Normal 14 41" xfId="22154" xr:uid="{00000000-0005-0000-0000-00008F560000}"/>
    <cellStyle name="Normal 14 41 2" xfId="22155" xr:uid="{00000000-0005-0000-0000-000090560000}"/>
    <cellStyle name="Normal 14 42" xfId="22156" xr:uid="{00000000-0005-0000-0000-000091560000}"/>
    <cellStyle name="Normal 14 42 2" xfId="22157" xr:uid="{00000000-0005-0000-0000-000092560000}"/>
    <cellStyle name="Normal 14 43" xfId="22158" xr:uid="{00000000-0005-0000-0000-000093560000}"/>
    <cellStyle name="Normal 14 43 2" xfId="22159" xr:uid="{00000000-0005-0000-0000-000094560000}"/>
    <cellStyle name="Normal 14 44" xfId="22160" xr:uid="{00000000-0005-0000-0000-000095560000}"/>
    <cellStyle name="Normal 14 44 2" xfId="22161" xr:uid="{00000000-0005-0000-0000-000096560000}"/>
    <cellStyle name="Normal 14 45" xfId="22162" xr:uid="{00000000-0005-0000-0000-000097560000}"/>
    <cellStyle name="Normal 14 45 2" xfId="22163" xr:uid="{00000000-0005-0000-0000-000098560000}"/>
    <cellStyle name="Normal 14 46" xfId="22164" xr:uid="{00000000-0005-0000-0000-000099560000}"/>
    <cellStyle name="Normal 14 46 2" xfId="22165" xr:uid="{00000000-0005-0000-0000-00009A560000}"/>
    <cellStyle name="Normal 14 47" xfId="22166" xr:uid="{00000000-0005-0000-0000-00009B560000}"/>
    <cellStyle name="Normal 14 47 2" xfId="22167" xr:uid="{00000000-0005-0000-0000-00009C560000}"/>
    <cellStyle name="Normal 14 48" xfId="22168" xr:uid="{00000000-0005-0000-0000-00009D560000}"/>
    <cellStyle name="Normal 14 48 2" xfId="22169" xr:uid="{00000000-0005-0000-0000-00009E560000}"/>
    <cellStyle name="Normal 14 49" xfId="22170" xr:uid="{00000000-0005-0000-0000-00009F560000}"/>
    <cellStyle name="Normal 14 49 2" xfId="22171" xr:uid="{00000000-0005-0000-0000-0000A0560000}"/>
    <cellStyle name="Normal 14 5" xfId="22172" xr:uid="{00000000-0005-0000-0000-0000A1560000}"/>
    <cellStyle name="Normal 14 5 2" xfId="22173" xr:uid="{00000000-0005-0000-0000-0000A2560000}"/>
    <cellStyle name="Normal 14 50" xfId="22174" xr:uid="{00000000-0005-0000-0000-0000A3560000}"/>
    <cellStyle name="Normal 14 50 2" xfId="22175" xr:uid="{00000000-0005-0000-0000-0000A4560000}"/>
    <cellStyle name="Normal 14 51" xfId="22176" xr:uid="{00000000-0005-0000-0000-0000A5560000}"/>
    <cellStyle name="Normal 14 51 2" xfId="22177" xr:uid="{00000000-0005-0000-0000-0000A6560000}"/>
    <cellStyle name="Normal 14 52" xfId="22178" xr:uid="{00000000-0005-0000-0000-0000A7560000}"/>
    <cellStyle name="Normal 14 52 2" xfId="22179" xr:uid="{00000000-0005-0000-0000-0000A8560000}"/>
    <cellStyle name="Normal 14 53" xfId="22180" xr:uid="{00000000-0005-0000-0000-0000A9560000}"/>
    <cellStyle name="Normal 14 53 2" xfId="22181" xr:uid="{00000000-0005-0000-0000-0000AA560000}"/>
    <cellStyle name="Normal 14 54" xfId="22182" xr:uid="{00000000-0005-0000-0000-0000AB560000}"/>
    <cellStyle name="Normal 14 54 2" xfId="22183" xr:uid="{00000000-0005-0000-0000-0000AC560000}"/>
    <cellStyle name="Normal 14 55" xfId="22184" xr:uid="{00000000-0005-0000-0000-0000AD560000}"/>
    <cellStyle name="Normal 14 55 2" xfId="22185" xr:uid="{00000000-0005-0000-0000-0000AE560000}"/>
    <cellStyle name="Normal 14 56" xfId="22186" xr:uid="{00000000-0005-0000-0000-0000AF560000}"/>
    <cellStyle name="Normal 14 56 2" xfId="22187" xr:uid="{00000000-0005-0000-0000-0000B0560000}"/>
    <cellStyle name="Normal 14 57" xfId="22188" xr:uid="{00000000-0005-0000-0000-0000B1560000}"/>
    <cellStyle name="Normal 14 57 2" xfId="22189" xr:uid="{00000000-0005-0000-0000-0000B2560000}"/>
    <cellStyle name="Normal 14 58" xfId="22190" xr:uid="{00000000-0005-0000-0000-0000B3560000}"/>
    <cellStyle name="Normal 14 58 2" xfId="22191" xr:uid="{00000000-0005-0000-0000-0000B4560000}"/>
    <cellStyle name="Normal 14 59" xfId="22192" xr:uid="{00000000-0005-0000-0000-0000B5560000}"/>
    <cellStyle name="Normal 14 6" xfId="22193" xr:uid="{00000000-0005-0000-0000-0000B6560000}"/>
    <cellStyle name="Normal 14 6 2" xfId="22194" xr:uid="{00000000-0005-0000-0000-0000B7560000}"/>
    <cellStyle name="Normal 14 60" xfId="22195" xr:uid="{00000000-0005-0000-0000-0000B8560000}"/>
    <cellStyle name="Normal 14 7" xfId="22196" xr:uid="{00000000-0005-0000-0000-0000B9560000}"/>
    <cellStyle name="Normal 14 7 2" xfId="22197" xr:uid="{00000000-0005-0000-0000-0000BA560000}"/>
    <cellStyle name="Normal 14 8" xfId="22198" xr:uid="{00000000-0005-0000-0000-0000BB560000}"/>
    <cellStyle name="Normal 14 8 2" xfId="22199" xr:uid="{00000000-0005-0000-0000-0000BC560000}"/>
    <cellStyle name="Normal 14 9" xfId="22200" xr:uid="{00000000-0005-0000-0000-0000BD560000}"/>
    <cellStyle name="Normal 14 9 2" xfId="22201" xr:uid="{00000000-0005-0000-0000-0000BE560000}"/>
    <cellStyle name="Normal 140" xfId="22202" xr:uid="{00000000-0005-0000-0000-0000BF560000}"/>
    <cellStyle name="Normal 140 10" xfId="22203" xr:uid="{00000000-0005-0000-0000-0000C0560000}"/>
    <cellStyle name="Normal 140 10 2" xfId="22204" xr:uid="{00000000-0005-0000-0000-0000C1560000}"/>
    <cellStyle name="Normal 140 11" xfId="22205" xr:uid="{00000000-0005-0000-0000-0000C2560000}"/>
    <cellStyle name="Normal 140 11 2" xfId="22206" xr:uid="{00000000-0005-0000-0000-0000C3560000}"/>
    <cellStyle name="Normal 140 12" xfId="22207" xr:uid="{00000000-0005-0000-0000-0000C4560000}"/>
    <cellStyle name="Normal 140 12 2" xfId="22208" xr:uid="{00000000-0005-0000-0000-0000C5560000}"/>
    <cellStyle name="Normal 140 13" xfId="22209" xr:uid="{00000000-0005-0000-0000-0000C6560000}"/>
    <cellStyle name="Normal 140 13 2" xfId="22210" xr:uid="{00000000-0005-0000-0000-0000C7560000}"/>
    <cellStyle name="Normal 140 14" xfId="22211" xr:uid="{00000000-0005-0000-0000-0000C8560000}"/>
    <cellStyle name="Normal 140 14 2" xfId="22212" xr:uid="{00000000-0005-0000-0000-0000C9560000}"/>
    <cellStyle name="Normal 140 15" xfId="22213" xr:uid="{00000000-0005-0000-0000-0000CA560000}"/>
    <cellStyle name="Normal 140 15 2" xfId="22214" xr:uid="{00000000-0005-0000-0000-0000CB560000}"/>
    <cellStyle name="Normal 140 16" xfId="22215" xr:uid="{00000000-0005-0000-0000-0000CC560000}"/>
    <cellStyle name="Normal 140 16 2" xfId="22216" xr:uid="{00000000-0005-0000-0000-0000CD560000}"/>
    <cellStyle name="Normal 140 17" xfId="22217" xr:uid="{00000000-0005-0000-0000-0000CE560000}"/>
    <cellStyle name="Normal 140 17 2" xfId="22218" xr:uid="{00000000-0005-0000-0000-0000CF560000}"/>
    <cellStyle name="Normal 140 18" xfId="22219" xr:uid="{00000000-0005-0000-0000-0000D0560000}"/>
    <cellStyle name="Normal 140 18 2" xfId="22220" xr:uid="{00000000-0005-0000-0000-0000D1560000}"/>
    <cellStyle name="Normal 140 19" xfId="22221" xr:uid="{00000000-0005-0000-0000-0000D2560000}"/>
    <cellStyle name="Normal 140 19 2" xfId="22222" xr:uid="{00000000-0005-0000-0000-0000D3560000}"/>
    <cellStyle name="Normal 140 2" xfId="22223" xr:uid="{00000000-0005-0000-0000-0000D4560000}"/>
    <cellStyle name="Normal 140 2 2" xfId="22224" xr:uid="{00000000-0005-0000-0000-0000D5560000}"/>
    <cellStyle name="Normal 140 20" xfId="22225" xr:uid="{00000000-0005-0000-0000-0000D6560000}"/>
    <cellStyle name="Normal 140 20 2" xfId="22226" xr:uid="{00000000-0005-0000-0000-0000D7560000}"/>
    <cellStyle name="Normal 140 21" xfId="22227" xr:uid="{00000000-0005-0000-0000-0000D8560000}"/>
    <cellStyle name="Normal 140 21 2" xfId="22228" xr:uid="{00000000-0005-0000-0000-0000D9560000}"/>
    <cellStyle name="Normal 140 22" xfId="22229" xr:uid="{00000000-0005-0000-0000-0000DA560000}"/>
    <cellStyle name="Normal 140 22 2" xfId="22230" xr:uid="{00000000-0005-0000-0000-0000DB560000}"/>
    <cellStyle name="Normal 140 23" xfId="22231" xr:uid="{00000000-0005-0000-0000-0000DC560000}"/>
    <cellStyle name="Normal 140 23 2" xfId="22232" xr:uid="{00000000-0005-0000-0000-0000DD560000}"/>
    <cellStyle name="Normal 140 24" xfId="22233" xr:uid="{00000000-0005-0000-0000-0000DE560000}"/>
    <cellStyle name="Normal 140 24 2" xfId="22234" xr:uid="{00000000-0005-0000-0000-0000DF560000}"/>
    <cellStyle name="Normal 140 25" xfId="22235" xr:uid="{00000000-0005-0000-0000-0000E0560000}"/>
    <cellStyle name="Normal 140 25 2" xfId="22236" xr:uid="{00000000-0005-0000-0000-0000E1560000}"/>
    <cellStyle name="Normal 140 26" xfId="22237" xr:uid="{00000000-0005-0000-0000-0000E2560000}"/>
    <cellStyle name="Normal 140 26 2" xfId="22238" xr:uid="{00000000-0005-0000-0000-0000E3560000}"/>
    <cellStyle name="Normal 140 27" xfId="22239" xr:uid="{00000000-0005-0000-0000-0000E4560000}"/>
    <cellStyle name="Normal 140 27 2" xfId="22240" xr:uid="{00000000-0005-0000-0000-0000E5560000}"/>
    <cellStyle name="Normal 140 28" xfId="22241" xr:uid="{00000000-0005-0000-0000-0000E6560000}"/>
    <cellStyle name="Normal 140 28 2" xfId="22242" xr:uid="{00000000-0005-0000-0000-0000E7560000}"/>
    <cellStyle name="Normal 140 29" xfId="22243" xr:uid="{00000000-0005-0000-0000-0000E8560000}"/>
    <cellStyle name="Normal 140 29 2" xfId="22244" xr:uid="{00000000-0005-0000-0000-0000E9560000}"/>
    <cellStyle name="Normal 140 3" xfId="22245" xr:uid="{00000000-0005-0000-0000-0000EA560000}"/>
    <cellStyle name="Normal 140 3 2" xfId="22246" xr:uid="{00000000-0005-0000-0000-0000EB560000}"/>
    <cellStyle name="Normal 140 30" xfId="22247" xr:uid="{00000000-0005-0000-0000-0000EC560000}"/>
    <cellStyle name="Normal 140 30 2" xfId="22248" xr:uid="{00000000-0005-0000-0000-0000ED560000}"/>
    <cellStyle name="Normal 140 31" xfId="22249" xr:uid="{00000000-0005-0000-0000-0000EE560000}"/>
    <cellStyle name="Normal 140 31 2" xfId="22250" xr:uid="{00000000-0005-0000-0000-0000EF560000}"/>
    <cellStyle name="Normal 140 32" xfId="22251" xr:uid="{00000000-0005-0000-0000-0000F0560000}"/>
    <cellStyle name="Normal 140 32 2" xfId="22252" xr:uid="{00000000-0005-0000-0000-0000F1560000}"/>
    <cellStyle name="Normal 140 33" xfId="22253" xr:uid="{00000000-0005-0000-0000-0000F2560000}"/>
    <cellStyle name="Normal 140 33 2" xfId="22254" xr:uid="{00000000-0005-0000-0000-0000F3560000}"/>
    <cellStyle name="Normal 140 34" xfId="22255" xr:uid="{00000000-0005-0000-0000-0000F4560000}"/>
    <cellStyle name="Normal 140 34 2" xfId="22256" xr:uid="{00000000-0005-0000-0000-0000F5560000}"/>
    <cellStyle name="Normal 140 35" xfId="22257" xr:uid="{00000000-0005-0000-0000-0000F6560000}"/>
    <cellStyle name="Normal 140 35 2" xfId="22258" xr:uid="{00000000-0005-0000-0000-0000F7560000}"/>
    <cellStyle name="Normal 140 36" xfId="22259" xr:uid="{00000000-0005-0000-0000-0000F8560000}"/>
    <cellStyle name="Normal 140 36 2" xfId="22260" xr:uid="{00000000-0005-0000-0000-0000F9560000}"/>
    <cellStyle name="Normal 140 37" xfId="22261" xr:uid="{00000000-0005-0000-0000-0000FA560000}"/>
    <cellStyle name="Normal 140 37 2" xfId="22262" xr:uid="{00000000-0005-0000-0000-0000FB560000}"/>
    <cellStyle name="Normal 140 38" xfId="22263" xr:uid="{00000000-0005-0000-0000-0000FC560000}"/>
    <cellStyle name="Normal 140 38 2" xfId="22264" xr:uid="{00000000-0005-0000-0000-0000FD560000}"/>
    <cellStyle name="Normal 140 39" xfId="22265" xr:uid="{00000000-0005-0000-0000-0000FE560000}"/>
    <cellStyle name="Normal 140 39 2" xfId="22266" xr:uid="{00000000-0005-0000-0000-0000FF560000}"/>
    <cellStyle name="Normal 140 4" xfId="22267" xr:uid="{00000000-0005-0000-0000-000000570000}"/>
    <cellStyle name="Normal 140 4 2" xfId="22268" xr:uid="{00000000-0005-0000-0000-000001570000}"/>
    <cellStyle name="Normal 140 40" xfId="22269" xr:uid="{00000000-0005-0000-0000-000002570000}"/>
    <cellStyle name="Normal 140 40 2" xfId="22270" xr:uid="{00000000-0005-0000-0000-000003570000}"/>
    <cellStyle name="Normal 140 41" xfId="22271" xr:uid="{00000000-0005-0000-0000-000004570000}"/>
    <cellStyle name="Normal 140 41 2" xfId="22272" xr:uid="{00000000-0005-0000-0000-000005570000}"/>
    <cellStyle name="Normal 140 42" xfId="22273" xr:uid="{00000000-0005-0000-0000-000006570000}"/>
    <cellStyle name="Normal 140 42 2" xfId="22274" xr:uid="{00000000-0005-0000-0000-000007570000}"/>
    <cellStyle name="Normal 140 43" xfId="22275" xr:uid="{00000000-0005-0000-0000-000008570000}"/>
    <cellStyle name="Normal 140 43 2" xfId="22276" xr:uid="{00000000-0005-0000-0000-000009570000}"/>
    <cellStyle name="Normal 140 44" xfId="22277" xr:uid="{00000000-0005-0000-0000-00000A570000}"/>
    <cellStyle name="Normal 140 44 2" xfId="22278" xr:uid="{00000000-0005-0000-0000-00000B570000}"/>
    <cellStyle name="Normal 140 45" xfId="22279" xr:uid="{00000000-0005-0000-0000-00000C570000}"/>
    <cellStyle name="Normal 140 45 2" xfId="22280" xr:uid="{00000000-0005-0000-0000-00000D570000}"/>
    <cellStyle name="Normal 140 46" xfId="22281" xr:uid="{00000000-0005-0000-0000-00000E570000}"/>
    <cellStyle name="Normal 140 46 2" xfId="22282" xr:uid="{00000000-0005-0000-0000-00000F570000}"/>
    <cellStyle name="Normal 140 47" xfId="22283" xr:uid="{00000000-0005-0000-0000-000010570000}"/>
    <cellStyle name="Normal 140 47 2" xfId="22284" xr:uid="{00000000-0005-0000-0000-000011570000}"/>
    <cellStyle name="Normal 140 48" xfId="22285" xr:uid="{00000000-0005-0000-0000-000012570000}"/>
    <cellStyle name="Normal 140 48 2" xfId="22286" xr:uid="{00000000-0005-0000-0000-000013570000}"/>
    <cellStyle name="Normal 140 49" xfId="22287" xr:uid="{00000000-0005-0000-0000-000014570000}"/>
    <cellStyle name="Normal 140 49 2" xfId="22288" xr:uid="{00000000-0005-0000-0000-000015570000}"/>
    <cellStyle name="Normal 140 5" xfId="22289" xr:uid="{00000000-0005-0000-0000-000016570000}"/>
    <cellStyle name="Normal 140 5 2" xfId="22290" xr:uid="{00000000-0005-0000-0000-000017570000}"/>
    <cellStyle name="Normal 140 50" xfId="22291" xr:uid="{00000000-0005-0000-0000-000018570000}"/>
    <cellStyle name="Normal 140 50 2" xfId="22292" xr:uid="{00000000-0005-0000-0000-000019570000}"/>
    <cellStyle name="Normal 140 51" xfId="22293" xr:uid="{00000000-0005-0000-0000-00001A570000}"/>
    <cellStyle name="Normal 140 51 2" xfId="22294" xr:uid="{00000000-0005-0000-0000-00001B570000}"/>
    <cellStyle name="Normal 140 52" xfId="22295" xr:uid="{00000000-0005-0000-0000-00001C570000}"/>
    <cellStyle name="Normal 140 52 2" xfId="22296" xr:uid="{00000000-0005-0000-0000-00001D570000}"/>
    <cellStyle name="Normal 140 53" xfId="22297" xr:uid="{00000000-0005-0000-0000-00001E570000}"/>
    <cellStyle name="Normal 140 53 2" xfId="22298" xr:uid="{00000000-0005-0000-0000-00001F570000}"/>
    <cellStyle name="Normal 140 54" xfId="22299" xr:uid="{00000000-0005-0000-0000-000020570000}"/>
    <cellStyle name="Normal 140 54 2" xfId="22300" xr:uid="{00000000-0005-0000-0000-000021570000}"/>
    <cellStyle name="Normal 140 55" xfId="22301" xr:uid="{00000000-0005-0000-0000-000022570000}"/>
    <cellStyle name="Normal 140 55 2" xfId="22302" xr:uid="{00000000-0005-0000-0000-000023570000}"/>
    <cellStyle name="Normal 140 56" xfId="22303" xr:uid="{00000000-0005-0000-0000-000024570000}"/>
    <cellStyle name="Normal 140 56 2" xfId="22304" xr:uid="{00000000-0005-0000-0000-000025570000}"/>
    <cellStyle name="Normal 140 57" xfId="22305" xr:uid="{00000000-0005-0000-0000-000026570000}"/>
    <cellStyle name="Normal 140 57 2" xfId="22306" xr:uid="{00000000-0005-0000-0000-000027570000}"/>
    <cellStyle name="Normal 140 58" xfId="22307" xr:uid="{00000000-0005-0000-0000-000028570000}"/>
    <cellStyle name="Normal 140 58 2" xfId="22308" xr:uid="{00000000-0005-0000-0000-000029570000}"/>
    <cellStyle name="Normal 140 59" xfId="22309" xr:uid="{00000000-0005-0000-0000-00002A570000}"/>
    <cellStyle name="Normal 140 59 2" xfId="22310" xr:uid="{00000000-0005-0000-0000-00002B570000}"/>
    <cellStyle name="Normal 140 6" xfId="22311" xr:uid="{00000000-0005-0000-0000-00002C570000}"/>
    <cellStyle name="Normal 140 6 2" xfId="22312" xr:uid="{00000000-0005-0000-0000-00002D570000}"/>
    <cellStyle name="Normal 140 60" xfId="22313" xr:uid="{00000000-0005-0000-0000-00002E570000}"/>
    <cellStyle name="Normal 140 60 2" xfId="22314" xr:uid="{00000000-0005-0000-0000-00002F570000}"/>
    <cellStyle name="Normal 140 61" xfId="22315" xr:uid="{00000000-0005-0000-0000-000030570000}"/>
    <cellStyle name="Normal 140 61 2" xfId="22316" xr:uid="{00000000-0005-0000-0000-000031570000}"/>
    <cellStyle name="Normal 140 62" xfId="22317" xr:uid="{00000000-0005-0000-0000-000032570000}"/>
    <cellStyle name="Normal 140 62 2" xfId="22318" xr:uid="{00000000-0005-0000-0000-000033570000}"/>
    <cellStyle name="Normal 140 62 3" xfId="22319" xr:uid="{00000000-0005-0000-0000-000034570000}"/>
    <cellStyle name="Normal 140 63" xfId="22320" xr:uid="{00000000-0005-0000-0000-000035570000}"/>
    <cellStyle name="Normal 140 7" xfId="22321" xr:uid="{00000000-0005-0000-0000-000036570000}"/>
    <cellStyle name="Normal 140 7 2" xfId="22322" xr:uid="{00000000-0005-0000-0000-000037570000}"/>
    <cellStyle name="Normal 140 8" xfId="22323" xr:uid="{00000000-0005-0000-0000-000038570000}"/>
    <cellStyle name="Normal 140 8 2" xfId="22324" xr:uid="{00000000-0005-0000-0000-000039570000}"/>
    <cellStyle name="Normal 140 9" xfId="22325" xr:uid="{00000000-0005-0000-0000-00003A570000}"/>
    <cellStyle name="Normal 140 9 2" xfId="22326" xr:uid="{00000000-0005-0000-0000-00003B570000}"/>
    <cellStyle name="Normal 141" xfId="22327" xr:uid="{00000000-0005-0000-0000-00003C570000}"/>
    <cellStyle name="Normal 141 2" xfId="22328" xr:uid="{00000000-0005-0000-0000-00003D570000}"/>
    <cellStyle name="Normal 142" xfId="22329" xr:uid="{00000000-0005-0000-0000-00003E570000}"/>
    <cellStyle name="Normal 142 2" xfId="22330" xr:uid="{00000000-0005-0000-0000-00003F570000}"/>
    <cellStyle name="Normal 143" xfId="22331" xr:uid="{00000000-0005-0000-0000-000040570000}"/>
    <cellStyle name="Normal 143 10" xfId="22332" xr:uid="{00000000-0005-0000-0000-000041570000}"/>
    <cellStyle name="Normal 143 10 2" xfId="22333" xr:uid="{00000000-0005-0000-0000-000042570000}"/>
    <cellStyle name="Normal 143 11" xfId="22334" xr:uid="{00000000-0005-0000-0000-000043570000}"/>
    <cellStyle name="Normal 143 11 2" xfId="22335" xr:uid="{00000000-0005-0000-0000-000044570000}"/>
    <cellStyle name="Normal 143 12" xfId="22336" xr:uid="{00000000-0005-0000-0000-000045570000}"/>
    <cellStyle name="Normal 143 12 2" xfId="22337" xr:uid="{00000000-0005-0000-0000-000046570000}"/>
    <cellStyle name="Normal 143 13" xfId="22338" xr:uid="{00000000-0005-0000-0000-000047570000}"/>
    <cellStyle name="Normal 143 13 2" xfId="22339" xr:uid="{00000000-0005-0000-0000-000048570000}"/>
    <cellStyle name="Normal 143 14" xfId="22340" xr:uid="{00000000-0005-0000-0000-000049570000}"/>
    <cellStyle name="Normal 143 14 2" xfId="22341" xr:uid="{00000000-0005-0000-0000-00004A570000}"/>
    <cellStyle name="Normal 143 15" xfId="22342" xr:uid="{00000000-0005-0000-0000-00004B570000}"/>
    <cellStyle name="Normal 143 15 2" xfId="22343" xr:uid="{00000000-0005-0000-0000-00004C570000}"/>
    <cellStyle name="Normal 143 16" xfId="22344" xr:uid="{00000000-0005-0000-0000-00004D570000}"/>
    <cellStyle name="Normal 143 16 2" xfId="22345" xr:uid="{00000000-0005-0000-0000-00004E570000}"/>
    <cellStyle name="Normal 143 17" xfId="22346" xr:uid="{00000000-0005-0000-0000-00004F570000}"/>
    <cellStyle name="Normal 143 17 2" xfId="22347" xr:uid="{00000000-0005-0000-0000-000050570000}"/>
    <cellStyle name="Normal 143 18" xfId="22348" xr:uid="{00000000-0005-0000-0000-000051570000}"/>
    <cellStyle name="Normal 143 18 2" xfId="22349" xr:uid="{00000000-0005-0000-0000-000052570000}"/>
    <cellStyle name="Normal 143 19" xfId="22350" xr:uid="{00000000-0005-0000-0000-000053570000}"/>
    <cellStyle name="Normal 143 19 2" xfId="22351" xr:uid="{00000000-0005-0000-0000-000054570000}"/>
    <cellStyle name="Normal 143 2" xfId="22352" xr:uid="{00000000-0005-0000-0000-000055570000}"/>
    <cellStyle name="Normal 143 2 2" xfId="22353" xr:uid="{00000000-0005-0000-0000-000056570000}"/>
    <cellStyle name="Normal 143 20" xfId="22354" xr:uid="{00000000-0005-0000-0000-000057570000}"/>
    <cellStyle name="Normal 143 20 2" xfId="22355" xr:uid="{00000000-0005-0000-0000-000058570000}"/>
    <cellStyle name="Normal 143 21" xfId="22356" xr:uid="{00000000-0005-0000-0000-000059570000}"/>
    <cellStyle name="Normal 143 21 2" xfId="22357" xr:uid="{00000000-0005-0000-0000-00005A570000}"/>
    <cellStyle name="Normal 143 22" xfId="22358" xr:uid="{00000000-0005-0000-0000-00005B570000}"/>
    <cellStyle name="Normal 143 22 2" xfId="22359" xr:uid="{00000000-0005-0000-0000-00005C570000}"/>
    <cellStyle name="Normal 143 23" xfId="22360" xr:uid="{00000000-0005-0000-0000-00005D570000}"/>
    <cellStyle name="Normal 143 23 2" xfId="22361" xr:uid="{00000000-0005-0000-0000-00005E570000}"/>
    <cellStyle name="Normal 143 24" xfId="22362" xr:uid="{00000000-0005-0000-0000-00005F570000}"/>
    <cellStyle name="Normal 143 24 2" xfId="22363" xr:uid="{00000000-0005-0000-0000-000060570000}"/>
    <cellStyle name="Normal 143 25" xfId="22364" xr:uid="{00000000-0005-0000-0000-000061570000}"/>
    <cellStyle name="Normal 143 25 2" xfId="22365" xr:uid="{00000000-0005-0000-0000-000062570000}"/>
    <cellStyle name="Normal 143 26" xfId="22366" xr:uid="{00000000-0005-0000-0000-000063570000}"/>
    <cellStyle name="Normal 143 26 2" xfId="22367" xr:uid="{00000000-0005-0000-0000-000064570000}"/>
    <cellStyle name="Normal 143 27" xfId="22368" xr:uid="{00000000-0005-0000-0000-000065570000}"/>
    <cellStyle name="Normal 143 27 2" xfId="22369" xr:uid="{00000000-0005-0000-0000-000066570000}"/>
    <cellStyle name="Normal 143 28" xfId="22370" xr:uid="{00000000-0005-0000-0000-000067570000}"/>
    <cellStyle name="Normal 143 28 2" xfId="22371" xr:uid="{00000000-0005-0000-0000-000068570000}"/>
    <cellStyle name="Normal 143 29" xfId="22372" xr:uid="{00000000-0005-0000-0000-000069570000}"/>
    <cellStyle name="Normal 143 29 2" xfId="22373" xr:uid="{00000000-0005-0000-0000-00006A570000}"/>
    <cellStyle name="Normal 143 3" xfId="22374" xr:uid="{00000000-0005-0000-0000-00006B570000}"/>
    <cellStyle name="Normal 143 3 2" xfId="22375" xr:uid="{00000000-0005-0000-0000-00006C570000}"/>
    <cellStyle name="Normal 143 30" xfId="22376" xr:uid="{00000000-0005-0000-0000-00006D570000}"/>
    <cellStyle name="Normal 143 30 2" xfId="22377" xr:uid="{00000000-0005-0000-0000-00006E570000}"/>
    <cellStyle name="Normal 143 31" xfId="22378" xr:uid="{00000000-0005-0000-0000-00006F570000}"/>
    <cellStyle name="Normal 143 31 2" xfId="22379" xr:uid="{00000000-0005-0000-0000-000070570000}"/>
    <cellStyle name="Normal 143 32" xfId="22380" xr:uid="{00000000-0005-0000-0000-000071570000}"/>
    <cellStyle name="Normal 143 32 2" xfId="22381" xr:uid="{00000000-0005-0000-0000-000072570000}"/>
    <cellStyle name="Normal 143 33" xfId="22382" xr:uid="{00000000-0005-0000-0000-000073570000}"/>
    <cellStyle name="Normal 143 33 2" xfId="22383" xr:uid="{00000000-0005-0000-0000-000074570000}"/>
    <cellStyle name="Normal 143 34" xfId="22384" xr:uid="{00000000-0005-0000-0000-000075570000}"/>
    <cellStyle name="Normal 143 34 2" xfId="22385" xr:uid="{00000000-0005-0000-0000-000076570000}"/>
    <cellStyle name="Normal 143 35" xfId="22386" xr:uid="{00000000-0005-0000-0000-000077570000}"/>
    <cellStyle name="Normal 143 35 2" xfId="22387" xr:uid="{00000000-0005-0000-0000-000078570000}"/>
    <cellStyle name="Normal 143 36" xfId="22388" xr:uid="{00000000-0005-0000-0000-000079570000}"/>
    <cellStyle name="Normal 143 36 2" xfId="22389" xr:uid="{00000000-0005-0000-0000-00007A570000}"/>
    <cellStyle name="Normal 143 37" xfId="22390" xr:uid="{00000000-0005-0000-0000-00007B570000}"/>
    <cellStyle name="Normal 143 37 2" xfId="22391" xr:uid="{00000000-0005-0000-0000-00007C570000}"/>
    <cellStyle name="Normal 143 38" xfId="22392" xr:uid="{00000000-0005-0000-0000-00007D570000}"/>
    <cellStyle name="Normal 143 38 2" xfId="22393" xr:uid="{00000000-0005-0000-0000-00007E570000}"/>
    <cellStyle name="Normal 143 39" xfId="22394" xr:uid="{00000000-0005-0000-0000-00007F570000}"/>
    <cellStyle name="Normal 143 39 2" xfId="22395" xr:uid="{00000000-0005-0000-0000-000080570000}"/>
    <cellStyle name="Normal 143 4" xfId="22396" xr:uid="{00000000-0005-0000-0000-000081570000}"/>
    <cellStyle name="Normal 143 4 2" xfId="22397" xr:uid="{00000000-0005-0000-0000-000082570000}"/>
    <cellStyle name="Normal 143 40" xfId="22398" xr:uid="{00000000-0005-0000-0000-000083570000}"/>
    <cellStyle name="Normal 143 40 2" xfId="22399" xr:uid="{00000000-0005-0000-0000-000084570000}"/>
    <cellStyle name="Normal 143 41" xfId="22400" xr:uid="{00000000-0005-0000-0000-000085570000}"/>
    <cellStyle name="Normal 143 41 2" xfId="22401" xr:uid="{00000000-0005-0000-0000-000086570000}"/>
    <cellStyle name="Normal 143 42" xfId="22402" xr:uid="{00000000-0005-0000-0000-000087570000}"/>
    <cellStyle name="Normal 143 42 2" xfId="22403" xr:uid="{00000000-0005-0000-0000-000088570000}"/>
    <cellStyle name="Normal 143 43" xfId="22404" xr:uid="{00000000-0005-0000-0000-000089570000}"/>
    <cellStyle name="Normal 143 43 2" xfId="22405" xr:uid="{00000000-0005-0000-0000-00008A570000}"/>
    <cellStyle name="Normal 143 44" xfId="22406" xr:uid="{00000000-0005-0000-0000-00008B570000}"/>
    <cellStyle name="Normal 143 44 2" xfId="22407" xr:uid="{00000000-0005-0000-0000-00008C570000}"/>
    <cellStyle name="Normal 143 45" xfId="22408" xr:uid="{00000000-0005-0000-0000-00008D570000}"/>
    <cellStyle name="Normal 143 45 2" xfId="22409" xr:uid="{00000000-0005-0000-0000-00008E570000}"/>
    <cellStyle name="Normal 143 46" xfId="22410" xr:uid="{00000000-0005-0000-0000-00008F570000}"/>
    <cellStyle name="Normal 143 46 2" xfId="22411" xr:uid="{00000000-0005-0000-0000-000090570000}"/>
    <cellStyle name="Normal 143 47" xfId="22412" xr:uid="{00000000-0005-0000-0000-000091570000}"/>
    <cellStyle name="Normal 143 47 2" xfId="22413" xr:uid="{00000000-0005-0000-0000-000092570000}"/>
    <cellStyle name="Normal 143 48" xfId="22414" xr:uid="{00000000-0005-0000-0000-000093570000}"/>
    <cellStyle name="Normal 143 48 2" xfId="22415" xr:uid="{00000000-0005-0000-0000-000094570000}"/>
    <cellStyle name="Normal 143 49" xfId="22416" xr:uid="{00000000-0005-0000-0000-000095570000}"/>
    <cellStyle name="Normal 143 49 2" xfId="22417" xr:uid="{00000000-0005-0000-0000-000096570000}"/>
    <cellStyle name="Normal 143 5" xfId="22418" xr:uid="{00000000-0005-0000-0000-000097570000}"/>
    <cellStyle name="Normal 143 5 2" xfId="22419" xr:uid="{00000000-0005-0000-0000-000098570000}"/>
    <cellStyle name="Normal 143 50" xfId="22420" xr:uid="{00000000-0005-0000-0000-000099570000}"/>
    <cellStyle name="Normal 143 50 2" xfId="22421" xr:uid="{00000000-0005-0000-0000-00009A570000}"/>
    <cellStyle name="Normal 143 51" xfId="22422" xr:uid="{00000000-0005-0000-0000-00009B570000}"/>
    <cellStyle name="Normal 143 51 2" xfId="22423" xr:uid="{00000000-0005-0000-0000-00009C570000}"/>
    <cellStyle name="Normal 143 52" xfId="22424" xr:uid="{00000000-0005-0000-0000-00009D570000}"/>
    <cellStyle name="Normal 143 52 2" xfId="22425" xr:uid="{00000000-0005-0000-0000-00009E570000}"/>
    <cellStyle name="Normal 143 53" xfId="22426" xr:uid="{00000000-0005-0000-0000-00009F570000}"/>
    <cellStyle name="Normal 143 53 2" xfId="22427" xr:uid="{00000000-0005-0000-0000-0000A0570000}"/>
    <cellStyle name="Normal 143 54" xfId="22428" xr:uid="{00000000-0005-0000-0000-0000A1570000}"/>
    <cellStyle name="Normal 143 54 2" xfId="22429" xr:uid="{00000000-0005-0000-0000-0000A2570000}"/>
    <cellStyle name="Normal 143 55" xfId="22430" xr:uid="{00000000-0005-0000-0000-0000A3570000}"/>
    <cellStyle name="Normal 143 55 2" xfId="22431" xr:uid="{00000000-0005-0000-0000-0000A4570000}"/>
    <cellStyle name="Normal 143 56" xfId="22432" xr:uid="{00000000-0005-0000-0000-0000A5570000}"/>
    <cellStyle name="Normal 143 56 2" xfId="22433" xr:uid="{00000000-0005-0000-0000-0000A6570000}"/>
    <cellStyle name="Normal 143 57" xfId="22434" xr:uid="{00000000-0005-0000-0000-0000A7570000}"/>
    <cellStyle name="Normal 143 57 2" xfId="22435" xr:uid="{00000000-0005-0000-0000-0000A8570000}"/>
    <cellStyle name="Normal 143 58" xfId="22436" xr:uid="{00000000-0005-0000-0000-0000A9570000}"/>
    <cellStyle name="Normal 143 58 2" xfId="22437" xr:uid="{00000000-0005-0000-0000-0000AA570000}"/>
    <cellStyle name="Normal 143 59" xfId="22438" xr:uid="{00000000-0005-0000-0000-0000AB570000}"/>
    <cellStyle name="Normal 143 59 2" xfId="22439" xr:uid="{00000000-0005-0000-0000-0000AC570000}"/>
    <cellStyle name="Normal 143 6" xfId="22440" xr:uid="{00000000-0005-0000-0000-0000AD570000}"/>
    <cellStyle name="Normal 143 6 2" xfId="22441" xr:uid="{00000000-0005-0000-0000-0000AE570000}"/>
    <cellStyle name="Normal 143 60" xfId="22442" xr:uid="{00000000-0005-0000-0000-0000AF570000}"/>
    <cellStyle name="Normal 143 60 2" xfId="22443" xr:uid="{00000000-0005-0000-0000-0000B0570000}"/>
    <cellStyle name="Normal 143 61" xfId="22444" xr:uid="{00000000-0005-0000-0000-0000B1570000}"/>
    <cellStyle name="Normal 143 61 2" xfId="22445" xr:uid="{00000000-0005-0000-0000-0000B2570000}"/>
    <cellStyle name="Normal 143 62" xfId="22446" xr:uid="{00000000-0005-0000-0000-0000B3570000}"/>
    <cellStyle name="Normal 143 62 2" xfId="22447" xr:uid="{00000000-0005-0000-0000-0000B4570000}"/>
    <cellStyle name="Normal 143 62 3" xfId="22448" xr:uid="{00000000-0005-0000-0000-0000B5570000}"/>
    <cellStyle name="Normal 143 63" xfId="22449" xr:uid="{00000000-0005-0000-0000-0000B6570000}"/>
    <cellStyle name="Normal 143 7" xfId="22450" xr:uid="{00000000-0005-0000-0000-0000B7570000}"/>
    <cellStyle name="Normal 143 7 2" xfId="22451" xr:uid="{00000000-0005-0000-0000-0000B8570000}"/>
    <cellStyle name="Normal 143 8" xfId="22452" xr:uid="{00000000-0005-0000-0000-0000B9570000}"/>
    <cellStyle name="Normal 143 8 2" xfId="22453" xr:uid="{00000000-0005-0000-0000-0000BA570000}"/>
    <cellStyle name="Normal 143 9" xfId="22454" xr:uid="{00000000-0005-0000-0000-0000BB570000}"/>
    <cellStyle name="Normal 143 9 2" xfId="22455" xr:uid="{00000000-0005-0000-0000-0000BC570000}"/>
    <cellStyle name="Normal 144" xfId="22456" xr:uid="{00000000-0005-0000-0000-0000BD570000}"/>
    <cellStyle name="Normal 144 2" xfId="22457" xr:uid="{00000000-0005-0000-0000-0000BE570000}"/>
    <cellStyle name="Normal 145" xfId="22458" xr:uid="{00000000-0005-0000-0000-0000BF570000}"/>
    <cellStyle name="Normal 145 2" xfId="22459" xr:uid="{00000000-0005-0000-0000-0000C0570000}"/>
    <cellStyle name="Normal 146" xfId="22460" xr:uid="{00000000-0005-0000-0000-0000C1570000}"/>
    <cellStyle name="Normal 146 2" xfId="22461" xr:uid="{00000000-0005-0000-0000-0000C2570000}"/>
    <cellStyle name="Normal 147" xfId="22462" xr:uid="{00000000-0005-0000-0000-0000C3570000}"/>
    <cellStyle name="Normal 147 2" xfId="22463" xr:uid="{00000000-0005-0000-0000-0000C4570000}"/>
    <cellStyle name="Normal 148" xfId="22464" xr:uid="{00000000-0005-0000-0000-0000C5570000}"/>
    <cellStyle name="Normal 148 10" xfId="22465" xr:uid="{00000000-0005-0000-0000-0000C6570000}"/>
    <cellStyle name="Normal 148 10 2" xfId="22466" xr:uid="{00000000-0005-0000-0000-0000C7570000}"/>
    <cellStyle name="Normal 148 11" xfId="22467" xr:uid="{00000000-0005-0000-0000-0000C8570000}"/>
    <cellStyle name="Normal 148 11 2" xfId="22468" xr:uid="{00000000-0005-0000-0000-0000C9570000}"/>
    <cellStyle name="Normal 148 12" xfId="22469" xr:uid="{00000000-0005-0000-0000-0000CA570000}"/>
    <cellStyle name="Normal 148 12 2" xfId="22470" xr:uid="{00000000-0005-0000-0000-0000CB570000}"/>
    <cellStyle name="Normal 148 13" xfId="22471" xr:uid="{00000000-0005-0000-0000-0000CC570000}"/>
    <cellStyle name="Normal 148 13 2" xfId="22472" xr:uid="{00000000-0005-0000-0000-0000CD570000}"/>
    <cellStyle name="Normal 148 14" xfId="22473" xr:uid="{00000000-0005-0000-0000-0000CE570000}"/>
    <cellStyle name="Normal 148 14 2" xfId="22474" xr:uid="{00000000-0005-0000-0000-0000CF570000}"/>
    <cellStyle name="Normal 148 15" xfId="22475" xr:uid="{00000000-0005-0000-0000-0000D0570000}"/>
    <cellStyle name="Normal 148 15 2" xfId="22476" xr:uid="{00000000-0005-0000-0000-0000D1570000}"/>
    <cellStyle name="Normal 148 16" xfId="22477" xr:uid="{00000000-0005-0000-0000-0000D2570000}"/>
    <cellStyle name="Normal 148 16 2" xfId="22478" xr:uid="{00000000-0005-0000-0000-0000D3570000}"/>
    <cellStyle name="Normal 148 17" xfId="22479" xr:uid="{00000000-0005-0000-0000-0000D4570000}"/>
    <cellStyle name="Normal 148 17 2" xfId="22480" xr:uid="{00000000-0005-0000-0000-0000D5570000}"/>
    <cellStyle name="Normal 148 18" xfId="22481" xr:uid="{00000000-0005-0000-0000-0000D6570000}"/>
    <cellStyle name="Normal 148 18 2" xfId="22482" xr:uid="{00000000-0005-0000-0000-0000D7570000}"/>
    <cellStyle name="Normal 148 19" xfId="22483" xr:uid="{00000000-0005-0000-0000-0000D8570000}"/>
    <cellStyle name="Normal 148 19 2" xfId="22484" xr:uid="{00000000-0005-0000-0000-0000D9570000}"/>
    <cellStyle name="Normal 148 2" xfId="22485" xr:uid="{00000000-0005-0000-0000-0000DA570000}"/>
    <cellStyle name="Normal 148 2 2" xfId="22486" xr:uid="{00000000-0005-0000-0000-0000DB570000}"/>
    <cellStyle name="Normal 148 20" xfId="22487" xr:uid="{00000000-0005-0000-0000-0000DC570000}"/>
    <cellStyle name="Normal 148 20 2" xfId="22488" xr:uid="{00000000-0005-0000-0000-0000DD570000}"/>
    <cellStyle name="Normal 148 21" xfId="22489" xr:uid="{00000000-0005-0000-0000-0000DE570000}"/>
    <cellStyle name="Normal 148 21 2" xfId="22490" xr:uid="{00000000-0005-0000-0000-0000DF570000}"/>
    <cellStyle name="Normal 148 22" xfId="22491" xr:uid="{00000000-0005-0000-0000-0000E0570000}"/>
    <cellStyle name="Normal 148 22 2" xfId="22492" xr:uid="{00000000-0005-0000-0000-0000E1570000}"/>
    <cellStyle name="Normal 148 23" xfId="22493" xr:uid="{00000000-0005-0000-0000-0000E2570000}"/>
    <cellStyle name="Normal 148 23 2" xfId="22494" xr:uid="{00000000-0005-0000-0000-0000E3570000}"/>
    <cellStyle name="Normal 148 24" xfId="22495" xr:uid="{00000000-0005-0000-0000-0000E4570000}"/>
    <cellStyle name="Normal 148 24 2" xfId="22496" xr:uid="{00000000-0005-0000-0000-0000E5570000}"/>
    <cellStyle name="Normal 148 25" xfId="22497" xr:uid="{00000000-0005-0000-0000-0000E6570000}"/>
    <cellStyle name="Normal 148 25 2" xfId="22498" xr:uid="{00000000-0005-0000-0000-0000E7570000}"/>
    <cellStyle name="Normal 148 26" xfId="22499" xr:uid="{00000000-0005-0000-0000-0000E8570000}"/>
    <cellStyle name="Normal 148 26 2" xfId="22500" xr:uid="{00000000-0005-0000-0000-0000E9570000}"/>
    <cellStyle name="Normal 148 27" xfId="22501" xr:uid="{00000000-0005-0000-0000-0000EA570000}"/>
    <cellStyle name="Normal 148 27 2" xfId="22502" xr:uid="{00000000-0005-0000-0000-0000EB570000}"/>
    <cellStyle name="Normal 148 28" xfId="22503" xr:uid="{00000000-0005-0000-0000-0000EC570000}"/>
    <cellStyle name="Normal 148 28 2" xfId="22504" xr:uid="{00000000-0005-0000-0000-0000ED570000}"/>
    <cellStyle name="Normal 148 29" xfId="22505" xr:uid="{00000000-0005-0000-0000-0000EE570000}"/>
    <cellStyle name="Normal 148 29 2" xfId="22506" xr:uid="{00000000-0005-0000-0000-0000EF570000}"/>
    <cellStyle name="Normal 148 3" xfId="22507" xr:uid="{00000000-0005-0000-0000-0000F0570000}"/>
    <cellStyle name="Normal 148 3 2" xfId="22508" xr:uid="{00000000-0005-0000-0000-0000F1570000}"/>
    <cellStyle name="Normal 148 30" xfId="22509" xr:uid="{00000000-0005-0000-0000-0000F2570000}"/>
    <cellStyle name="Normal 148 30 2" xfId="22510" xr:uid="{00000000-0005-0000-0000-0000F3570000}"/>
    <cellStyle name="Normal 148 31" xfId="22511" xr:uid="{00000000-0005-0000-0000-0000F4570000}"/>
    <cellStyle name="Normal 148 31 2" xfId="22512" xr:uid="{00000000-0005-0000-0000-0000F5570000}"/>
    <cellStyle name="Normal 148 32" xfId="22513" xr:uid="{00000000-0005-0000-0000-0000F6570000}"/>
    <cellStyle name="Normal 148 32 2" xfId="22514" xr:uid="{00000000-0005-0000-0000-0000F7570000}"/>
    <cellStyle name="Normal 148 33" xfId="22515" xr:uid="{00000000-0005-0000-0000-0000F8570000}"/>
    <cellStyle name="Normal 148 33 2" xfId="22516" xr:uid="{00000000-0005-0000-0000-0000F9570000}"/>
    <cellStyle name="Normal 148 34" xfId="22517" xr:uid="{00000000-0005-0000-0000-0000FA570000}"/>
    <cellStyle name="Normal 148 34 2" xfId="22518" xr:uid="{00000000-0005-0000-0000-0000FB570000}"/>
    <cellStyle name="Normal 148 35" xfId="22519" xr:uid="{00000000-0005-0000-0000-0000FC570000}"/>
    <cellStyle name="Normal 148 35 2" xfId="22520" xr:uid="{00000000-0005-0000-0000-0000FD570000}"/>
    <cellStyle name="Normal 148 36" xfId="22521" xr:uid="{00000000-0005-0000-0000-0000FE570000}"/>
    <cellStyle name="Normal 148 36 2" xfId="22522" xr:uid="{00000000-0005-0000-0000-0000FF570000}"/>
    <cellStyle name="Normal 148 37" xfId="22523" xr:uid="{00000000-0005-0000-0000-000000580000}"/>
    <cellStyle name="Normal 148 37 2" xfId="22524" xr:uid="{00000000-0005-0000-0000-000001580000}"/>
    <cellStyle name="Normal 148 38" xfId="22525" xr:uid="{00000000-0005-0000-0000-000002580000}"/>
    <cellStyle name="Normal 148 38 2" xfId="22526" xr:uid="{00000000-0005-0000-0000-000003580000}"/>
    <cellStyle name="Normal 148 39" xfId="22527" xr:uid="{00000000-0005-0000-0000-000004580000}"/>
    <cellStyle name="Normal 148 39 2" xfId="22528" xr:uid="{00000000-0005-0000-0000-000005580000}"/>
    <cellStyle name="Normal 148 4" xfId="22529" xr:uid="{00000000-0005-0000-0000-000006580000}"/>
    <cellStyle name="Normal 148 4 2" xfId="22530" xr:uid="{00000000-0005-0000-0000-000007580000}"/>
    <cellStyle name="Normal 148 40" xfId="22531" xr:uid="{00000000-0005-0000-0000-000008580000}"/>
    <cellStyle name="Normal 148 40 2" xfId="22532" xr:uid="{00000000-0005-0000-0000-000009580000}"/>
    <cellStyle name="Normal 148 41" xfId="22533" xr:uid="{00000000-0005-0000-0000-00000A580000}"/>
    <cellStyle name="Normal 148 41 2" xfId="22534" xr:uid="{00000000-0005-0000-0000-00000B580000}"/>
    <cellStyle name="Normal 148 42" xfId="22535" xr:uid="{00000000-0005-0000-0000-00000C580000}"/>
    <cellStyle name="Normal 148 42 2" xfId="22536" xr:uid="{00000000-0005-0000-0000-00000D580000}"/>
    <cellStyle name="Normal 148 43" xfId="22537" xr:uid="{00000000-0005-0000-0000-00000E580000}"/>
    <cellStyle name="Normal 148 43 2" xfId="22538" xr:uid="{00000000-0005-0000-0000-00000F580000}"/>
    <cellStyle name="Normal 148 44" xfId="22539" xr:uid="{00000000-0005-0000-0000-000010580000}"/>
    <cellStyle name="Normal 148 44 2" xfId="22540" xr:uid="{00000000-0005-0000-0000-000011580000}"/>
    <cellStyle name="Normal 148 45" xfId="22541" xr:uid="{00000000-0005-0000-0000-000012580000}"/>
    <cellStyle name="Normal 148 45 2" xfId="22542" xr:uid="{00000000-0005-0000-0000-000013580000}"/>
    <cellStyle name="Normal 148 46" xfId="22543" xr:uid="{00000000-0005-0000-0000-000014580000}"/>
    <cellStyle name="Normal 148 46 2" xfId="22544" xr:uid="{00000000-0005-0000-0000-000015580000}"/>
    <cellStyle name="Normal 148 47" xfId="22545" xr:uid="{00000000-0005-0000-0000-000016580000}"/>
    <cellStyle name="Normal 148 47 2" xfId="22546" xr:uid="{00000000-0005-0000-0000-000017580000}"/>
    <cellStyle name="Normal 148 48" xfId="22547" xr:uid="{00000000-0005-0000-0000-000018580000}"/>
    <cellStyle name="Normal 148 48 2" xfId="22548" xr:uid="{00000000-0005-0000-0000-000019580000}"/>
    <cellStyle name="Normal 148 49" xfId="22549" xr:uid="{00000000-0005-0000-0000-00001A580000}"/>
    <cellStyle name="Normal 148 49 2" xfId="22550" xr:uid="{00000000-0005-0000-0000-00001B580000}"/>
    <cellStyle name="Normal 148 5" xfId="22551" xr:uid="{00000000-0005-0000-0000-00001C580000}"/>
    <cellStyle name="Normal 148 5 2" xfId="22552" xr:uid="{00000000-0005-0000-0000-00001D580000}"/>
    <cellStyle name="Normal 148 50" xfId="22553" xr:uid="{00000000-0005-0000-0000-00001E580000}"/>
    <cellStyle name="Normal 148 50 2" xfId="22554" xr:uid="{00000000-0005-0000-0000-00001F580000}"/>
    <cellStyle name="Normal 148 51" xfId="22555" xr:uid="{00000000-0005-0000-0000-000020580000}"/>
    <cellStyle name="Normal 148 51 2" xfId="22556" xr:uid="{00000000-0005-0000-0000-000021580000}"/>
    <cellStyle name="Normal 148 52" xfId="22557" xr:uid="{00000000-0005-0000-0000-000022580000}"/>
    <cellStyle name="Normal 148 52 2" xfId="22558" xr:uid="{00000000-0005-0000-0000-000023580000}"/>
    <cellStyle name="Normal 148 53" xfId="22559" xr:uid="{00000000-0005-0000-0000-000024580000}"/>
    <cellStyle name="Normal 148 53 2" xfId="22560" xr:uid="{00000000-0005-0000-0000-000025580000}"/>
    <cellStyle name="Normal 148 54" xfId="22561" xr:uid="{00000000-0005-0000-0000-000026580000}"/>
    <cellStyle name="Normal 148 54 2" xfId="22562" xr:uid="{00000000-0005-0000-0000-000027580000}"/>
    <cellStyle name="Normal 148 55" xfId="22563" xr:uid="{00000000-0005-0000-0000-000028580000}"/>
    <cellStyle name="Normal 148 55 2" xfId="22564" xr:uid="{00000000-0005-0000-0000-000029580000}"/>
    <cellStyle name="Normal 148 56" xfId="22565" xr:uid="{00000000-0005-0000-0000-00002A580000}"/>
    <cellStyle name="Normal 148 56 2" xfId="22566" xr:uid="{00000000-0005-0000-0000-00002B580000}"/>
    <cellStyle name="Normal 148 57" xfId="22567" xr:uid="{00000000-0005-0000-0000-00002C580000}"/>
    <cellStyle name="Normal 148 57 2" xfId="22568" xr:uid="{00000000-0005-0000-0000-00002D580000}"/>
    <cellStyle name="Normal 148 58" xfId="22569" xr:uid="{00000000-0005-0000-0000-00002E580000}"/>
    <cellStyle name="Normal 148 58 2" xfId="22570" xr:uid="{00000000-0005-0000-0000-00002F580000}"/>
    <cellStyle name="Normal 148 59" xfId="22571" xr:uid="{00000000-0005-0000-0000-000030580000}"/>
    <cellStyle name="Normal 148 59 2" xfId="22572" xr:uid="{00000000-0005-0000-0000-000031580000}"/>
    <cellStyle name="Normal 148 6" xfId="22573" xr:uid="{00000000-0005-0000-0000-000032580000}"/>
    <cellStyle name="Normal 148 6 2" xfId="22574" xr:uid="{00000000-0005-0000-0000-000033580000}"/>
    <cellStyle name="Normal 148 60" xfId="22575" xr:uid="{00000000-0005-0000-0000-000034580000}"/>
    <cellStyle name="Normal 148 60 2" xfId="22576" xr:uid="{00000000-0005-0000-0000-000035580000}"/>
    <cellStyle name="Normal 148 61" xfId="22577" xr:uid="{00000000-0005-0000-0000-000036580000}"/>
    <cellStyle name="Normal 148 61 2" xfId="22578" xr:uid="{00000000-0005-0000-0000-000037580000}"/>
    <cellStyle name="Normal 148 62" xfId="22579" xr:uid="{00000000-0005-0000-0000-000038580000}"/>
    <cellStyle name="Normal 148 62 2" xfId="22580" xr:uid="{00000000-0005-0000-0000-000039580000}"/>
    <cellStyle name="Normal 148 62 3" xfId="22581" xr:uid="{00000000-0005-0000-0000-00003A580000}"/>
    <cellStyle name="Normal 148 63" xfId="22582" xr:uid="{00000000-0005-0000-0000-00003B580000}"/>
    <cellStyle name="Normal 148 7" xfId="22583" xr:uid="{00000000-0005-0000-0000-00003C580000}"/>
    <cellStyle name="Normal 148 7 2" xfId="22584" xr:uid="{00000000-0005-0000-0000-00003D580000}"/>
    <cellStyle name="Normal 148 8" xfId="22585" xr:uid="{00000000-0005-0000-0000-00003E580000}"/>
    <cellStyle name="Normal 148 8 2" xfId="22586" xr:uid="{00000000-0005-0000-0000-00003F580000}"/>
    <cellStyle name="Normal 148 9" xfId="22587" xr:uid="{00000000-0005-0000-0000-000040580000}"/>
    <cellStyle name="Normal 148 9 2" xfId="22588" xr:uid="{00000000-0005-0000-0000-000041580000}"/>
    <cellStyle name="Normal 149" xfId="22589" xr:uid="{00000000-0005-0000-0000-000042580000}"/>
    <cellStyle name="Normal 149 2" xfId="22590" xr:uid="{00000000-0005-0000-0000-000043580000}"/>
    <cellStyle name="Normal 15" xfId="22591" xr:uid="{00000000-0005-0000-0000-000044580000}"/>
    <cellStyle name="Normal 15 10" xfId="22592" xr:uid="{00000000-0005-0000-0000-000045580000}"/>
    <cellStyle name="Normal 15 10 2" xfId="22593" xr:uid="{00000000-0005-0000-0000-000046580000}"/>
    <cellStyle name="Normal 15 11" xfId="22594" xr:uid="{00000000-0005-0000-0000-000047580000}"/>
    <cellStyle name="Normal 15 11 2" xfId="22595" xr:uid="{00000000-0005-0000-0000-000048580000}"/>
    <cellStyle name="Normal 15 12" xfId="22596" xr:uid="{00000000-0005-0000-0000-000049580000}"/>
    <cellStyle name="Normal 15 12 2" xfId="22597" xr:uid="{00000000-0005-0000-0000-00004A580000}"/>
    <cellStyle name="Normal 15 13" xfId="22598" xr:uid="{00000000-0005-0000-0000-00004B580000}"/>
    <cellStyle name="Normal 15 13 2" xfId="22599" xr:uid="{00000000-0005-0000-0000-00004C580000}"/>
    <cellStyle name="Normal 15 14" xfId="22600" xr:uid="{00000000-0005-0000-0000-00004D580000}"/>
    <cellStyle name="Normal 15 14 2" xfId="22601" xr:uid="{00000000-0005-0000-0000-00004E580000}"/>
    <cellStyle name="Normal 15 15" xfId="22602" xr:uid="{00000000-0005-0000-0000-00004F580000}"/>
    <cellStyle name="Normal 15 15 2" xfId="22603" xr:uid="{00000000-0005-0000-0000-000050580000}"/>
    <cellStyle name="Normal 15 16" xfId="22604" xr:uid="{00000000-0005-0000-0000-000051580000}"/>
    <cellStyle name="Normal 15 16 2" xfId="22605" xr:uid="{00000000-0005-0000-0000-000052580000}"/>
    <cellStyle name="Normal 15 17" xfId="22606" xr:uid="{00000000-0005-0000-0000-000053580000}"/>
    <cellStyle name="Normal 15 17 2" xfId="22607" xr:uid="{00000000-0005-0000-0000-000054580000}"/>
    <cellStyle name="Normal 15 18" xfId="22608" xr:uid="{00000000-0005-0000-0000-000055580000}"/>
    <cellStyle name="Normal 15 18 2" xfId="22609" xr:uid="{00000000-0005-0000-0000-000056580000}"/>
    <cellStyle name="Normal 15 19" xfId="22610" xr:uid="{00000000-0005-0000-0000-000057580000}"/>
    <cellStyle name="Normal 15 19 2" xfId="22611" xr:uid="{00000000-0005-0000-0000-000058580000}"/>
    <cellStyle name="Normal 15 2" xfId="22612" xr:uid="{00000000-0005-0000-0000-000059580000}"/>
    <cellStyle name="Normal 15 2 10" xfId="22613" xr:uid="{00000000-0005-0000-0000-00005A580000}"/>
    <cellStyle name="Normal 15 2 11" xfId="22614" xr:uid="{00000000-0005-0000-0000-00005B580000}"/>
    <cellStyle name="Normal 15 2 2" xfId="22615" xr:uid="{00000000-0005-0000-0000-00005C580000}"/>
    <cellStyle name="Normal 15 2 2 2" xfId="22616" xr:uid="{00000000-0005-0000-0000-00005D580000}"/>
    <cellStyle name="Normal 15 2 2 2 2" xfId="22617" xr:uid="{00000000-0005-0000-0000-00005E580000}"/>
    <cellStyle name="Normal 15 2 2 2 2 2" xfId="22618" xr:uid="{00000000-0005-0000-0000-00005F580000}"/>
    <cellStyle name="Normal 15 2 2 2 2 2 2" xfId="22619" xr:uid="{00000000-0005-0000-0000-000060580000}"/>
    <cellStyle name="Normal 15 2 2 2 2 2 2 2" xfId="22620" xr:uid="{00000000-0005-0000-0000-000061580000}"/>
    <cellStyle name="Normal 15 2 2 2 2 2 2 2 2" xfId="22621" xr:uid="{00000000-0005-0000-0000-000062580000}"/>
    <cellStyle name="Normal 15 2 2 2 2 2 2 3" xfId="22622" xr:uid="{00000000-0005-0000-0000-000063580000}"/>
    <cellStyle name="Normal 15 2 2 2 2 2 2 4" xfId="22623" xr:uid="{00000000-0005-0000-0000-000064580000}"/>
    <cellStyle name="Normal 15 2 2 2 2 2 3" xfId="22624" xr:uid="{00000000-0005-0000-0000-000065580000}"/>
    <cellStyle name="Normal 15 2 2 2 2 2 3 2" xfId="22625" xr:uid="{00000000-0005-0000-0000-000066580000}"/>
    <cellStyle name="Normal 15 2 2 2 2 2 4" xfId="22626" xr:uid="{00000000-0005-0000-0000-000067580000}"/>
    <cellStyle name="Normal 15 2 2 2 2 2 5" xfId="22627" xr:uid="{00000000-0005-0000-0000-000068580000}"/>
    <cellStyle name="Normal 15 2 2 2 2 3" xfId="22628" xr:uid="{00000000-0005-0000-0000-000069580000}"/>
    <cellStyle name="Normal 15 2 2 2 2 3 2" xfId="22629" xr:uid="{00000000-0005-0000-0000-00006A580000}"/>
    <cellStyle name="Normal 15 2 2 2 2 3 2 2" xfId="22630" xr:uid="{00000000-0005-0000-0000-00006B580000}"/>
    <cellStyle name="Normal 15 2 2 2 2 3 3" xfId="22631" xr:uid="{00000000-0005-0000-0000-00006C580000}"/>
    <cellStyle name="Normal 15 2 2 2 2 3 4" xfId="22632" xr:uid="{00000000-0005-0000-0000-00006D580000}"/>
    <cellStyle name="Normal 15 2 2 2 2 4" xfId="22633" xr:uid="{00000000-0005-0000-0000-00006E580000}"/>
    <cellStyle name="Normal 15 2 2 2 2 4 2" xfId="22634" xr:uid="{00000000-0005-0000-0000-00006F580000}"/>
    <cellStyle name="Normal 15 2 2 2 2 5" xfId="22635" xr:uid="{00000000-0005-0000-0000-000070580000}"/>
    <cellStyle name="Normal 15 2 2 2 2 6" xfId="22636" xr:uid="{00000000-0005-0000-0000-000071580000}"/>
    <cellStyle name="Normal 15 2 2 2 3" xfId="22637" xr:uid="{00000000-0005-0000-0000-000072580000}"/>
    <cellStyle name="Normal 15 2 2 2 3 2" xfId="22638" xr:uid="{00000000-0005-0000-0000-000073580000}"/>
    <cellStyle name="Normal 15 2 2 2 3 2 2" xfId="22639" xr:uid="{00000000-0005-0000-0000-000074580000}"/>
    <cellStyle name="Normal 15 2 2 2 3 2 2 2" xfId="22640" xr:uid="{00000000-0005-0000-0000-000075580000}"/>
    <cellStyle name="Normal 15 2 2 2 3 2 3" xfId="22641" xr:uid="{00000000-0005-0000-0000-000076580000}"/>
    <cellStyle name="Normal 15 2 2 2 3 2 4" xfId="22642" xr:uid="{00000000-0005-0000-0000-000077580000}"/>
    <cellStyle name="Normal 15 2 2 2 3 3" xfId="22643" xr:uid="{00000000-0005-0000-0000-000078580000}"/>
    <cellStyle name="Normal 15 2 2 2 3 3 2" xfId="22644" xr:uid="{00000000-0005-0000-0000-000079580000}"/>
    <cellStyle name="Normal 15 2 2 2 3 4" xfId="22645" xr:uid="{00000000-0005-0000-0000-00007A580000}"/>
    <cellStyle name="Normal 15 2 2 2 3 5" xfId="22646" xr:uid="{00000000-0005-0000-0000-00007B580000}"/>
    <cellStyle name="Normal 15 2 2 2 4" xfId="22647" xr:uid="{00000000-0005-0000-0000-00007C580000}"/>
    <cellStyle name="Normal 15 2 2 2 4 2" xfId="22648" xr:uid="{00000000-0005-0000-0000-00007D580000}"/>
    <cellStyle name="Normal 15 2 2 2 4 2 2" xfId="22649" xr:uid="{00000000-0005-0000-0000-00007E580000}"/>
    <cellStyle name="Normal 15 2 2 2 4 3" xfId="22650" xr:uid="{00000000-0005-0000-0000-00007F580000}"/>
    <cellStyle name="Normal 15 2 2 2 4 4" xfId="22651" xr:uid="{00000000-0005-0000-0000-000080580000}"/>
    <cellStyle name="Normal 15 2 2 2 5" xfId="22652" xr:uid="{00000000-0005-0000-0000-000081580000}"/>
    <cellStyle name="Normal 15 2 2 2 5 2" xfId="22653" xr:uid="{00000000-0005-0000-0000-000082580000}"/>
    <cellStyle name="Normal 15 2 2 2 6" xfId="22654" xr:uid="{00000000-0005-0000-0000-000083580000}"/>
    <cellStyle name="Normal 15 2 2 2 7" xfId="22655" xr:uid="{00000000-0005-0000-0000-000084580000}"/>
    <cellStyle name="Normal 15 2 2 3" xfId="22656" xr:uid="{00000000-0005-0000-0000-000085580000}"/>
    <cellStyle name="Normal 15 2 2 3 2" xfId="22657" xr:uid="{00000000-0005-0000-0000-000086580000}"/>
    <cellStyle name="Normal 15 2 2 3 2 2" xfId="22658" xr:uid="{00000000-0005-0000-0000-000087580000}"/>
    <cellStyle name="Normal 15 2 2 3 2 2 2" xfId="22659" xr:uid="{00000000-0005-0000-0000-000088580000}"/>
    <cellStyle name="Normal 15 2 2 3 2 2 2 2" xfId="22660" xr:uid="{00000000-0005-0000-0000-000089580000}"/>
    <cellStyle name="Normal 15 2 2 3 2 2 3" xfId="22661" xr:uid="{00000000-0005-0000-0000-00008A580000}"/>
    <cellStyle name="Normal 15 2 2 3 2 2 4" xfId="22662" xr:uid="{00000000-0005-0000-0000-00008B580000}"/>
    <cellStyle name="Normal 15 2 2 3 2 3" xfId="22663" xr:uid="{00000000-0005-0000-0000-00008C580000}"/>
    <cellStyle name="Normal 15 2 2 3 2 3 2" xfId="22664" xr:uid="{00000000-0005-0000-0000-00008D580000}"/>
    <cellStyle name="Normal 15 2 2 3 2 4" xfId="22665" xr:uid="{00000000-0005-0000-0000-00008E580000}"/>
    <cellStyle name="Normal 15 2 2 3 2 5" xfId="22666" xr:uid="{00000000-0005-0000-0000-00008F580000}"/>
    <cellStyle name="Normal 15 2 2 3 3" xfId="22667" xr:uid="{00000000-0005-0000-0000-000090580000}"/>
    <cellStyle name="Normal 15 2 2 3 3 2" xfId="22668" xr:uid="{00000000-0005-0000-0000-000091580000}"/>
    <cellStyle name="Normal 15 2 2 3 3 2 2" xfId="22669" xr:uid="{00000000-0005-0000-0000-000092580000}"/>
    <cellStyle name="Normal 15 2 2 3 3 3" xfId="22670" xr:uid="{00000000-0005-0000-0000-000093580000}"/>
    <cellStyle name="Normal 15 2 2 3 3 3 2" xfId="22671" xr:uid="{00000000-0005-0000-0000-000094580000}"/>
    <cellStyle name="Normal 15 2 2 3 3 4" xfId="22672" xr:uid="{00000000-0005-0000-0000-000095580000}"/>
    <cellStyle name="Normal 15 2 2 3 3 5" xfId="22673" xr:uid="{00000000-0005-0000-0000-000096580000}"/>
    <cellStyle name="Normal 15 2 2 3 4" xfId="22674" xr:uid="{00000000-0005-0000-0000-000097580000}"/>
    <cellStyle name="Normal 15 2 2 3 4 2" xfId="22675" xr:uid="{00000000-0005-0000-0000-000098580000}"/>
    <cellStyle name="Normal 15 2 2 3 5" xfId="22676" xr:uid="{00000000-0005-0000-0000-000099580000}"/>
    <cellStyle name="Normal 15 2 2 3 5 2" xfId="22677" xr:uid="{00000000-0005-0000-0000-00009A580000}"/>
    <cellStyle name="Normal 15 2 2 3 6" xfId="22678" xr:uid="{00000000-0005-0000-0000-00009B580000}"/>
    <cellStyle name="Normal 15 2 2 3 7" xfId="22679" xr:uid="{00000000-0005-0000-0000-00009C580000}"/>
    <cellStyle name="Normal 15 2 2 4" xfId="22680" xr:uid="{00000000-0005-0000-0000-00009D580000}"/>
    <cellStyle name="Normal 15 2 2 4 2" xfId="22681" xr:uid="{00000000-0005-0000-0000-00009E580000}"/>
    <cellStyle name="Normal 15 2 2 4 2 2" xfId="22682" xr:uid="{00000000-0005-0000-0000-00009F580000}"/>
    <cellStyle name="Normal 15 2 2 4 2 2 2" xfId="22683" xr:uid="{00000000-0005-0000-0000-0000A0580000}"/>
    <cellStyle name="Normal 15 2 2 4 2 3" xfId="22684" xr:uid="{00000000-0005-0000-0000-0000A1580000}"/>
    <cellStyle name="Normal 15 2 2 4 2 4" xfId="22685" xr:uid="{00000000-0005-0000-0000-0000A2580000}"/>
    <cellStyle name="Normal 15 2 2 4 3" xfId="22686" xr:uid="{00000000-0005-0000-0000-0000A3580000}"/>
    <cellStyle name="Normal 15 2 2 4 3 2" xfId="22687" xr:uid="{00000000-0005-0000-0000-0000A4580000}"/>
    <cellStyle name="Normal 15 2 2 4 4" xfId="22688" xr:uid="{00000000-0005-0000-0000-0000A5580000}"/>
    <cellStyle name="Normal 15 2 2 4 5" xfId="22689" xr:uid="{00000000-0005-0000-0000-0000A6580000}"/>
    <cellStyle name="Normal 15 2 2 5" xfId="22690" xr:uid="{00000000-0005-0000-0000-0000A7580000}"/>
    <cellStyle name="Normal 15 2 2 5 2" xfId="22691" xr:uid="{00000000-0005-0000-0000-0000A8580000}"/>
    <cellStyle name="Normal 15 2 2 5 2 2" xfId="22692" xr:uid="{00000000-0005-0000-0000-0000A9580000}"/>
    <cellStyle name="Normal 15 2 2 5 3" xfId="22693" xr:uid="{00000000-0005-0000-0000-0000AA580000}"/>
    <cellStyle name="Normal 15 2 2 5 3 2" xfId="22694" xr:uid="{00000000-0005-0000-0000-0000AB580000}"/>
    <cellStyle name="Normal 15 2 2 5 4" xfId="22695" xr:uid="{00000000-0005-0000-0000-0000AC580000}"/>
    <cellStyle name="Normal 15 2 2 5 5" xfId="22696" xr:uid="{00000000-0005-0000-0000-0000AD580000}"/>
    <cellStyle name="Normal 15 2 2 6" xfId="22697" xr:uid="{00000000-0005-0000-0000-0000AE580000}"/>
    <cellStyle name="Normal 15 2 2 6 2" xfId="22698" xr:uid="{00000000-0005-0000-0000-0000AF580000}"/>
    <cellStyle name="Normal 15 2 2 7" xfId="22699" xr:uid="{00000000-0005-0000-0000-0000B0580000}"/>
    <cellStyle name="Normal 15 2 2 7 2" xfId="22700" xr:uid="{00000000-0005-0000-0000-0000B1580000}"/>
    <cellStyle name="Normal 15 2 2 8" xfId="22701" xr:uid="{00000000-0005-0000-0000-0000B2580000}"/>
    <cellStyle name="Normal 15 2 2 9" xfId="22702" xr:uid="{00000000-0005-0000-0000-0000B3580000}"/>
    <cellStyle name="Normal 15 2 3" xfId="22703" xr:uid="{00000000-0005-0000-0000-0000B4580000}"/>
    <cellStyle name="Normal 15 2 3 2" xfId="22704" xr:uid="{00000000-0005-0000-0000-0000B5580000}"/>
    <cellStyle name="Normal 15 2 3 2 2" xfId="22705" xr:uid="{00000000-0005-0000-0000-0000B6580000}"/>
    <cellStyle name="Normal 15 2 3 2 2 2" xfId="22706" xr:uid="{00000000-0005-0000-0000-0000B7580000}"/>
    <cellStyle name="Normal 15 2 3 2 2 2 2" xfId="22707" xr:uid="{00000000-0005-0000-0000-0000B8580000}"/>
    <cellStyle name="Normal 15 2 3 2 2 2 2 2" xfId="22708" xr:uid="{00000000-0005-0000-0000-0000B9580000}"/>
    <cellStyle name="Normal 15 2 3 2 2 2 3" xfId="22709" xr:uid="{00000000-0005-0000-0000-0000BA580000}"/>
    <cellStyle name="Normal 15 2 3 2 2 2 4" xfId="22710" xr:uid="{00000000-0005-0000-0000-0000BB580000}"/>
    <cellStyle name="Normal 15 2 3 2 2 3" xfId="22711" xr:uid="{00000000-0005-0000-0000-0000BC580000}"/>
    <cellStyle name="Normal 15 2 3 2 2 3 2" xfId="22712" xr:uid="{00000000-0005-0000-0000-0000BD580000}"/>
    <cellStyle name="Normal 15 2 3 2 2 4" xfId="22713" xr:uid="{00000000-0005-0000-0000-0000BE580000}"/>
    <cellStyle name="Normal 15 2 3 2 2 5" xfId="22714" xr:uid="{00000000-0005-0000-0000-0000BF580000}"/>
    <cellStyle name="Normal 15 2 3 2 3" xfId="22715" xr:uid="{00000000-0005-0000-0000-0000C0580000}"/>
    <cellStyle name="Normal 15 2 3 2 3 2" xfId="22716" xr:uid="{00000000-0005-0000-0000-0000C1580000}"/>
    <cellStyle name="Normal 15 2 3 2 3 2 2" xfId="22717" xr:uid="{00000000-0005-0000-0000-0000C2580000}"/>
    <cellStyle name="Normal 15 2 3 2 3 3" xfId="22718" xr:uid="{00000000-0005-0000-0000-0000C3580000}"/>
    <cellStyle name="Normal 15 2 3 2 3 4" xfId="22719" xr:uid="{00000000-0005-0000-0000-0000C4580000}"/>
    <cellStyle name="Normal 15 2 3 2 4" xfId="22720" xr:uid="{00000000-0005-0000-0000-0000C5580000}"/>
    <cellStyle name="Normal 15 2 3 2 4 2" xfId="22721" xr:uid="{00000000-0005-0000-0000-0000C6580000}"/>
    <cellStyle name="Normal 15 2 3 2 5" xfId="22722" xr:uid="{00000000-0005-0000-0000-0000C7580000}"/>
    <cellStyle name="Normal 15 2 3 2 6" xfId="22723" xr:uid="{00000000-0005-0000-0000-0000C8580000}"/>
    <cellStyle name="Normal 15 2 3 3" xfId="22724" xr:uid="{00000000-0005-0000-0000-0000C9580000}"/>
    <cellStyle name="Normal 15 2 3 3 2" xfId="22725" xr:uid="{00000000-0005-0000-0000-0000CA580000}"/>
    <cellStyle name="Normal 15 2 3 3 2 2" xfId="22726" xr:uid="{00000000-0005-0000-0000-0000CB580000}"/>
    <cellStyle name="Normal 15 2 3 3 2 2 2" xfId="22727" xr:uid="{00000000-0005-0000-0000-0000CC580000}"/>
    <cellStyle name="Normal 15 2 3 3 2 3" xfId="22728" xr:uid="{00000000-0005-0000-0000-0000CD580000}"/>
    <cellStyle name="Normal 15 2 3 3 2 4" xfId="22729" xr:uid="{00000000-0005-0000-0000-0000CE580000}"/>
    <cellStyle name="Normal 15 2 3 3 3" xfId="22730" xr:uid="{00000000-0005-0000-0000-0000CF580000}"/>
    <cellStyle name="Normal 15 2 3 3 3 2" xfId="22731" xr:uid="{00000000-0005-0000-0000-0000D0580000}"/>
    <cellStyle name="Normal 15 2 3 3 4" xfId="22732" xr:uid="{00000000-0005-0000-0000-0000D1580000}"/>
    <cellStyle name="Normal 15 2 3 3 5" xfId="22733" xr:uid="{00000000-0005-0000-0000-0000D2580000}"/>
    <cellStyle name="Normal 15 2 3 4" xfId="22734" xr:uid="{00000000-0005-0000-0000-0000D3580000}"/>
    <cellStyle name="Normal 15 2 3 4 2" xfId="22735" xr:uid="{00000000-0005-0000-0000-0000D4580000}"/>
    <cellStyle name="Normal 15 2 3 4 2 2" xfId="22736" xr:uid="{00000000-0005-0000-0000-0000D5580000}"/>
    <cellStyle name="Normal 15 2 3 4 3" xfId="22737" xr:uid="{00000000-0005-0000-0000-0000D6580000}"/>
    <cellStyle name="Normal 15 2 3 4 4" xfId="22738" xr:uid="{00000000-0005-0000-0000-0000D7580000}"/>
    <cellStyle name="Normal 15 2 3 5" xfId="22739" xr:uid="{00000000-0005-0000-0000-0000D8580000}"/>
    <cellStyle name="Normal 15 2 3 5 2" xfId="22740" xr:uid="{00000000-0005-0000-0000-0000D9580000}"/>
    <cellStyle name="Normal 15 2 3 6" xfId="22741" xr:uid="{00000000-0005-0000-0000-0000DA580000}"/>
    <cellStyle name="Normal 15 2 3 7" xfId="22742" xr:uid="{00000000-0005-0000-0000-0000DB580000}"/>
    <cellStyle name="Normal 15 2 4" xfId="22743" xr:uid="{00000000-0005-0000-0000-0000DC580000}"/>
    <cellStyle name="Normal 15 2 4 2" xfId="22744" xr:uid="{00000000-0005-0000-0000-0000DD580000}"/>
    <cellStyle name="Normal 15 2 4 2 2" xfId="22745" xr:uid="{00000000-0005-0000-0000-0000DE580000}"/>
    <cellStyle name="Normal 15 2 4 2 2 2" xfId="22746" xr:uid="{00000000-0005-0000-0000-0000DF580000}"/>
    <cellStyle name="Normal 15 2 4 2 2 2 2" xfId="22747" xr:uid="{00000000-0005-0000-0000-0000E0580000}"/>
    <cellStyle name="Normal 15 2 4 2 2 3" xfId="22748" xr:uid="{00000000-0005-0000-0000-0000E1580000}"/>
    <cellStyle name="Normal 15 2 4 2 2 4" xfId="22749" xr:uid="{00000000-0005-0000-0000-0000E2580000}"/>
    <cellStyle name="Normal 15 2 4 2 3" xfId="22750" xr:uid="{00000000-0005-0000-0000-0000E3580000}"/>
    <cellStyle name="Normal 15 2 4 2 3 2" xfId="22751" xr:uid="{00000000-0005-0000-0000-0000E4580000}"/>
    <cellStyle name="Normal 15 2 4 2 4" xfId="22752" xr:uid="{00000000-0005-0000-0000-0000E5580000}"/>
    <cellStyle name="Normal 15 2 4 2 5" xfId="22753" xr:uid="{00000000-0005-0000-0000-0000E6580000}"/>
    <cellStyle name="Normal 15 2 4 3" xfId="22754" xr:uid="{00000000-0005-0000-0000-0000E7580000}"/>
    <cellStyle name="Normal 15 2 4 3 2" xfId="22755" xr:uid="{00000000-0005-0000-0000-0000E8580000}"/>
    <cellStyle name="Normal 15 2 4 3 2 2" xfId="22756" xr:uid="{00000000-0005-0000-0000-0000E9580000}"/>
    <cellStyle name="Normal 15 2 4 3 3" xfId="22757" xr:uid="{00000000-0005-0000-0000-0000EA580000}"/>
    <cellStyle name="Normal 15 2 4 3 3 2" xfId="22758" xr:uid="{00000000-0005-0000-0000-0000EB580000}"/>
    <cellStyle name="Normal 15 2 4 3 4" xfId="22759" xr:uid="{00000000-0005-0000-0000-0000EC580000}"/>
    <cellStyle name="Normal 15 2 4 3 5" xfId="22760" xr:uid="{00000000-0005-0000-0000-0000ED580000}"/>
    <cellStyle name="Normal 15 2 4 4" xfId="22761" xr:uid="{00000000-0005-0000-0000-0000EE580000}"/>
    <cellStyle name="Normal 15 2 4 4 2" xfId="22762" xr:uid="{00000000-0005-0000-0000-0000EF580000}"/>
    <cellStyle name="Normal 15 2 4 5" xfId="22763" xr:uid="{00000000-0005-0000-0000-0000F0580000}"/>
    <cellStyle name="Normal 15 2 4 5 2" xfId="22764" xr:uid="{00000000-0005-0000-0000-0000F1580000}"/>
    <cellStyle name="Normal 15 2 4 6" xfId="22765" xr:uid="{00000000-0005-0000-0000-0000F2580000}"/>
    <cellStyle name="Normal 15 2 4 7" xfId="22766" xr:uid="{00000000-0005-0000-0000-0000F3580000}"/>
    <cellStyle name="Normal 15 2 5" xfId="22767" xr:uid="{00000000-0005-0000-0000-0000F4580000}"/>
    <cellStyle name="Normal 15 2 5 2" xfId="22768" xr:uid="{00000000-0005-0000-0000-0000F5580000}"/>
    <cellStyle name="Normal 15 2 5 2 2" xfId="22769" xr:uid="{00000000-0005-0000-0000-0000F6580000}"/>
    <cellStyle name="Normal 15 2 5 2 2 2" xfId="22770" xr:uid="{00000000-0005-0000-0000-0000F7580000}"/>
    <cellStyle name="Normal 15 2 5 2 3" xfId="22771" xr:uid="{00000000-0005-0000-0000-0000F8580000}"/>
    <cellStyle name="Normal 15 2 5 2 4" xfId="22772" xr:uid="{00000000-0005-0000-0000-0000F9580000}"/>
    <cellStyle name="Normal 15 2 5 3" xfId="22773" xr:uid="{00000000-0005-0000-0000-0000FA580000}"/>
    <cellStyle name="Normal 15 2 5 3 2" xfId="22774" xr:uid="{00000000-0005-0000-0000-0000FB580000}"/>
    <cellStyle name="Normal 15 2 5 4" xfId="22775" xr:uid="{00000000-0005-0000-0000-0000FC580000}"/>
    <cellStyle name="Normal 15 2 5 5" xfId="22776" xr:uid="{00000000-0005-0000-0000-0000FD580000}"/>
    <cellStyle name="Normal 15 2 6" xfId="22777" xr:uid="{00000000-0005-0000-0000-0000FE580000}"/>
    <cellStyle name="Normal 15 2 6 2" xfId="22778" xr:uid="{00000000-0005-0000-0000-0000FF580000}"/>
    <cellStyle name="Normal 15 2 6 2 2" xfId="22779" xr:uid="{00000000-0005-0000-0000-000000590000}"/>
    <cellStyle name="Normal 15 2 6 3" xfId="22780" xr:uid="{00000000-0005-0000-0000-000001590000}"/>
    <cellStyle name="Normal 15 2 6 3 2" xfId="22781" xr:uid="{00000000-0005-0000-0000-000002590000}"/>
    <cellStyle name="Normal 15 2 6 4" xfId="22782" xr:uid="{00000000-0005-0000-0000-000003590000}"/>
    <cellStyle name="Normal 15 2 6 5" xfId="22783" xr:uid="{00000000-0005-0000-0000-000004590000}"/>
    <cellStyle name="Normal 15 2 7" xfId="22784" xr:uid="{00000000-0005-0000-0000-000005590000}"/>
    <cellStyle name="Normal 15 2 7 2" xfId="22785" xr:uid="{00000000-0005-0000-0000-000006590000}"/>
    <cellStyle name="Normal 15 2 8" xfId="22786" xr:uid="{00000000-0005-0000-0000-000007590000}"/>
    <cellStyle name="Normal 15 2 8 2" xfId="22787" xr:uid="{00000000-0005-0000-0000-000008590000}"/>
    <cellStyle name="Normal 15 2 9" xfId="22788" xr:uid="{00000000-0005-0000-0000-000009590000}"/>
    <cellStyle name="Normal 15 20" xfId="22789" xr:uid="{00000000-0005-0000-0000-00000A590000}"/>
    <cellStyle name="Normal 15 20 2" xfId="22790" xr:uid="{00000000-0005-0000-0000-00000B590000}"/>
    <cellStyle name="Normal 15 21" xfId="22791" xr:uid="{00000000-0005-0000-0000-00000C590000}"/>
    <cellStyle name="Normal 15 21 2" xfId="22792" xr:uid="{00000000-0005-0000-0000-00000D590000}"/>
    <cellStyle name="Normal 15 22" xfId="22793" xr:uid="{00000000-0005-0000-0000-00000E590000}"/>
    <cellStyle name="Normal 15 22 2" xfId="22794" xr:uid="{00000000-0005-0000-0000-00000F590000}"/>
    <cellStyle name="Normal 15 23" xfId="22795" xr:uid="{00000000-0005-0000-0000-000010590000}"/>
    <cellStyle name="Normal 15 23 2" xfId="22796" xr:uid="{00000000-0005-0000-0000-000011590000}"/>
    <cellStyle name="Normal 15 24" xfId="22797" xr:uid="{00000000-0005-0000-0000-000012590000}"/>
    <cellStyle name="Normal 15 24 2" xfId="22798" xr:uid="{00000000-0005-0000-0000-000013590000}"/>
    <cellStyle name="Normal 15 25" xfId="22799" xr:uid="{00000000-0005-0000-0000-000014590000}"/>
    <cellStyle name="Normal 15 25 2" xfId="22800" xr:uid="{00000000-0005-0000-0000-000015590000}"/>
    <cellStyle name="Normal 15 26" xfId="22801" xr:uid="{00000000-0005-0000-0000-000016590000}"/>
    <cellStyle name="Normal 15 26 2" xfId="22802" xr:uid="{00000000-0005-0000-0000-000017590000}"/>
    <cellStyle name="Normal 15 27" xfId="22803" xr:uid="{00000000-0005-0000-0000-000018590000}"/>
    <cellStyle name="Normal 15 27 2" xfId="22804" xr:uid="{00000000-0005-0000-0000-000019590000}"/>
    <cellStyle name="Normal 15 28" xfId="22805" xr:uid="{00000000-0005-0000-0000-00001A590000}"/>
    <cellStyle name="Normal 15 28 2" xfId="22806" xr:uid="{00000000-0005-0000-0000-00001B590000}"/>
    <cellStyle name="Normal 15 29" xfId="22807" xr:uid="{00000000-0005-0000-0000-00001C590000}"/>
    <cellStyle name="Normal 15 29 2" xfId="22808" xr:uid="{00000000-0005-0000-0000-00001D590000}"/>
    <cellStyle name="Normal 15 3" xfId="22809" xr:uid="{00000000-0005-0000-0000-00001E590000}"/>
    <cellStyle name="Normal 15 3 2" xfId="22810" xr:uid="{00000000-0005-0000-0000-00001F590000}"/>
    <cellStyle name="Normal 15 3 2 2" xfId="22811" xr:uid="{00000000-0005-0000-0000-000020590000}"/>
    <cellStyle name="Normal 15 3 2 2 2" xfId="22812" xr:uid="{00000000-0005-0000-0000-000021590000}"/>
    <cellStyle name="Normal 15 3 2 2 2 2" xfId="22813" xr:uid="{00000000-0005-0000-0000-000022590000}"/>
    <cellStyle name="Normal 15 3 2 2 2 2 2" xfId="22814" xr:uid="{00000000-0005-0000-0000-000023590000}"/>
    <cellStyle name="Normal 15 3 2 2 2 2 2 2" xfId="22815" xr:uid="{00000000-0005-0000-0000-000024590000}"/>
    <cellStyle name="Normal 15 3 2 2 2 2 3" xfId="22816" xr:uid="{00000000-0005-0000-0000-000025590000}"/>
    <cellStyle name="Normal 15 3 2 2 2 2 4" xfId="22817" xr:uid="{00000000-0005-0000-0000-000026590000}"/>
    <cellStyle name="Normal 15 3 2 2 2 3" xfId="22818" xr:uid="{00000000-0005-0000-0000-000027590000}"/>
    <cellStyle name="Normal 15 3 2 2 2 3 2" xfId="22819" xr:uid="{00000000-0005-0000-0000-000028590000}"/>
    <cellStyle name="Normal 15 3 2 2 2 4" xfId="22820" xr:uid="{00000000-0005-0000-0000-000029590000}"/>
    <cellStyle name="Normal 15 3 2 2 2 5" xfId="22821" xr:uid="{00000000-0005-0000-0000-00002A590000}"/>
    <cellStyle name="Normal 15 3 2 2 3" xfId="22822" xr:uid="{00000000-0005-0000-0000-00002B590000}"/>
    <cellStyle name="Normal 15 3 2 2 3 2" xfId="22823" xr:uid="{00000000-0005-0000-0000-00002C590000}"/>
    <cellStyle name="Normal 15 3 2 2 3 2 2" xfId="22824" xr:uid="{00000000-0005-0000-0000-00002D590000}"/>
    <cellStyle name="Normal 15 3 2 2 3 3" xfId="22825" xr:uid="{00000000-0005-0000-0000-00002E590000}"/>
    <cellStyle name="Normal 15 3 2 2 3 4" xfId="22826" xr:uid="{00000000-0005-0000-0000-00002F590000}"/>
    <cellStyle name="Normal 15 3 2 2 4" xfId="22827" xr:uid="{00000000-0005-0000-0000-000030590000}"/>
    <cellStyle name="Normal 15 3 2 2 4 2" xfId="22828" xr:uid="{00000000-0005-0000-0000-000031590000}"/>
    <cellStyle name="Normal 15 3 2 2 5" xfId="22829" xr:uid="{00000000-0005-0000-0000-000032590000}"/>
    <cellStyle name="Normal 15 3 2 2 6" xfId="22830" xr:uid="{00000000-0005-0000-0000-000033590000}"/>
    <cellStyle name="Normal 15 3 2 3" xfId="22831" xr:uid="{00000000-0005-0000-0000-000034590000}"/>
    <cellStyle name="Normal 15 3 2 3 2" xfId="22832" xr:uid="{00000000-0005-0000-0000-000035590000}"/>
    <cellStyle name="Normal 15 3 2 3 2 2" xfId="22833" xr:uid="{00000000-0005-0000-0000-000036590000}"/>
    <cellStyle name="Normal 15 3 2 3 2 2 2" xfId="22834" xr:uid="{00000000-0005-0000-0000-000037590000}"/>
    <cellStyle name="Normal 15 3 2 3 2 3" xfId="22835" xr:uid="{00000000-0005-0000-0000-000038590000}"/>
    <cellStyle name="Normal 15 3 2 3 2 4" xfId="22836" xr:uid="{00000000-0005-0000-0000-000039590000}"/>
    <cellStyle name="Normal 15 3 2 3 3" xfId="22837" xr:uid="{00000000-0005-0000-0000-00003A590000}"/>
    <cellStyle name="Normal 15 3 2 3 3 2" xfId="22838" xr:uid="{00000000-0005-0000-0000-00003B590000}"/>
    <cellStyle name="Normal 15 3 2 3 4" xfId="22839" xr:uid="{00000000-0005-0000-0000-00003C590000}"/>
    <cellStyle name="Normal 15 3 2 3 5" xfId="22840" xr:uid="{00000000-0005-0000-0000-00003D590000}"/>
    <cellStyle name="Normal 15 3 2 4" xfId="22841" xr:uid="{00000000-0005-0000-0000-00003E590000}"/>
    <cellStyle name="Normal 15 3 2 4 2" xfId="22842" xr:uid="{00000000-0005-0000-0000-00003F590000}"/>
    <cellStyle name="Normal 15 3 2 4 2 2" xfId="22843" xr:uid="{00000000-0005-0000-0000-000040590000}"/>
    <cellStyle name="Normal 15 3 2 4 3" xfId="22844" xr:uid="{00000000-0005-0000-0000-000041590000}"/>
    <cellStyle name="Normal 15 3 2 4 4" xfId="22845" xr:uid="{00000000-0005-0000-0000-000042590000}"/>
    <cellStyle name="Normal 15 3 2 5" xfId="22846" xr:uid="{00000000-0005-0000-0000-000043590000}"/>
    <cellStyle name="Normal 15 3 2 5 2" xfId="22847" xr:uid="{00000000-0005-0000-0000-000044590000}"/>
    <cellStyle name="Normal 15 3 2 6" xfId="22848" xr:uid="{00000000-0005-0000-0000-000045590000}"/>
    <cellStyle name="Normal 15 3 2 7" xfId="22849" xr:uid="{00000000-0005-0000-0000-000046590000}"/>
    <cellStyle name="Normal 15 3 3" xfId="22850" xr:uid="{00000000-0005-0000-0000-000047590000}"/>
    <cellStyle name="Normal 15 3 3 2" xfId="22851" xr:uid="{00000000-0005-0000-0000-000048590000}"/>
    <cellStyle name="Normal 15 3 3 2 2" xfId="22852" xr:uid="{00000000-0005-0000-0000-000049590000}"/>
    <cellStyle name="Normal 15 3 3 2 2 2" xfId="22853" xr:uid="{00000000-0005-0000-0000-00004A590000}"/>
    <cellStyle name="Normal 15 3 3 2 2 2 2" xfId="22854" xr:uid="{00000000-0005-0000-0000-00004B590000}"/>
    <cellStyle name="Normal 15 3 3 2 2 3" xfId="22855" xr:uid="{00000000-0005-0000-0000-00004C590000}"/>
    <cellStyle name="Normal 15 3 3 2 2 4" xfId="22856" xr:uid="{00000000-0005-0000-0000-00004D590000}"/>
    <cellStyle name="Normal 15 3 3 2 3" xfId="22857" xr:uid="{00000000-0005-0000-0000-00004E590000}"/>
    <cellStyle name="Normal 15 3 3 2 3 2" xfId="22858" xr:uid="{00000000-0005-0000-0000-00004F590000}"/>
    <cellStyle name="Normal 15 3 3 2 4" xfId="22859" xr:uid="{00000000-0005-0000-0000-000050590000}"/>
    <cellStyle name="Normal 15 3 3 2 5" xfId="22860" xr:uid="{00000000-0005-0000-0000-000051590000}"/>
    <cellStyle name="Normal 15 3 3 3" xfId="22861" xr:uid="{00000000-0005-0000-0000-000052590000}"/>
    <cellStyle name="Normal 15 3 3 3 2" xfId="22862" xr:uid="{00000000-0005-0000-0000-000053590000}"/>
    <cellStyle name="Normal 15 3 3 3 2 2" xfId="22863" xr:uid="{00000000-0005-0000-0000-000054590000}"/>
    <cellStyle name="Normal 15 3 3 3 3" xfId="22864" xr:uid="{00000000-0005-0000-0000-000055590000}"/>
    <cellStyle name="Normal 15 3 3 3 3 2" xfId="22865" xr:uid="{00000000-0005-0000-0000-000056590000}"/>
    <cellStyle name="Normal 15 3 3 3 4" xfId="22866" xr:uid="{00000000-0005-0000-0000-000057590000}"/>
    <cellStyle name="Normal 15 3 3 3 5" xfId="22867" xr:uid="{00000000-0005-0000-0000-000058590000}"/>
    <cellStyle name="Normal 15 3 3 4" xfId="22868" xr:uid="{00000000-0005-0000-0000-000059590000}"/>
    <cellStyle name="Normal 15 3 3 4 2" xfId="22869" xr:uid="{00000000-0005-0000-0000-00005A590000}"/>
    <cellStyle name="Normal 15 3 3 5" xfId="22870" xr:uid="{00000000-0005-0000-0000-00005B590000}"/>
    <cellStyle name="Normal 15 3 3 5 2" xfId="22871" xr:uid="{00000000-0005-0000-0000-00005C590000}"/>
    <cellStyle name="Normal 15 3 3 6" xfId="22872" xr:uid="{00000000-0005-0000-0000-00005D590000}"/>
    <cellStyle name="Normal 15 3 3 7" xfId="22873" xr:uid="{00000000-0005-0000-0000-00005E590000}"/>
    <cellStyle name="Normal 15 3 4" xfId="22874" xr:uid="{00000000-0005-0000-0000-00005F590000}"/>
    <cellStyle name="Normal 15 3 4 2" xfId="22875" xr:uid="{00000000-0005-0000-0000-000060590000}"/>
    <cellStyle name="Normal 15 3 4 2 2" xfId="22876" xr:uid="{00000000-0005-0000-0000-000061590000}"/>
    <cellStyle name="Normal 15 3 4 2 2 2" xfId="22877" xr:uid="{00000000-0005-0000-0000-000062590000}"/>
    <cellStyle name="Normal 15 3 4 2 3" xfId="22878" xr:uid="{00000000-0005-0000-0000-000063590000}"/>
    <cellStyle name="Normal 15 3 4 2 4" xfId="22879" xr:uid="{00000000-0005-0000-0000-000064590000}"/>
    <cellStyle name="Normal 15 3 4 3" xfId="22880" xr:uid="{00000000-0005-0000-0000-000065590000}"/>
    <cellStyle name="Normal 15 3 4 3 2" xfId="22881" xr:uid="{00000000-0005-0000-0000-000066590000}"/>
    <cellStyle name="Normal 15 3 4 4" xfId="22882" xr:uid="{00000000-0005-0000-0000-000067590000}"/>
    <cellStyle name="Normal 15 3 4 5" xfId="22883" xr:uid="{00000000-0005-0000-0000-000068590000}"/>
    <cellStyle name="Normal 15 3 5" xfId="22884" xr:uid="{00000000-0005-0000-0000-000069590000}"/>
    <cellStyle name="Normal 15 3 5 2" xfId="22885" xr:uid="{00000000-0005-0000-0000-00006A590000}"/>
    <cellStyle name="Normal 15 3 5 2 2" xfId="22886" xr:uid="{00000000-0005-0000-0000-00006B590000}"/>
    <cellStyle name="Normal 15 3 5 3" xfId="22887" xr:uid="{00000000-0005-0000-0000-00006C590000}"/>
    <cellStyle name="Normal 15 3 5 3 2" xfId="22888" xr:uid="{00000000-0005-0000-0000-00006D590000}"/>
    <cellStyle name="Normal 15 3 5 4" xfId="22889" xr:uid="{00000000-0005-0000-0000-00006E590000}"/>
    <cellStyle name="Normal 15 3 5 5" xfId="22890" xr:uid="{00000000-0005-0000-0000-00006F590000}"/>
    <cellStyle name="Normal 15 3 6" xfId="22891" xr:uid="{00000000-0005-0000-0000-000070590000}"/>
    <cellStyle name="Normal 15 3 6 2" xfId="22892" xr:uid="{00000000-0005-0000-0000-000071590000}"/>
    <cellStyle name="Normal 15 3 7" xfId="22893" xr:uid="{00000000-0005-0000-0000-000072590000}"/>
    <cellStyle name="Normal 15 3 7 2" xfId="22894" xr:uid="{00000000-0005-0000-0000-000073590000}"/>
    <cellStyle name="Normal 15 3 8" xfId="22895" xr:uid="{00000000-0005-0000-0000-000074590000}"/>
    <cellStyle name="Normal 15 3 9" xfId="22896" xr:uid="{00000000-0005-0000-0000-000075590000}"/>
    <cellStyle name="Normal 15 30" xfId="22897" xr:uid="{00000000-0005-0000-0000-000076590000}"/>
    <cellStyle name="Normal 15 30 2" xfId="22898" xr:uid="{00000000-0005-0000-0000-000077590000}"/>
    <cellStyle name="Normal 15 31" xfId="22899" xr:uid="{00000000-0005-0000-0000-000078590000}"/>
    <cellStyle name="Normal 15 31 2" xfId="22900" xr:uid="{00000000-0005-0000-0000-000079590000}"/>
    <cellStyle name="Normal 15 32" xfId="22901" xr:uid="{00000000-0005-0000-0000-00007A590000}"/>
    <cellStyle name="Normal 15 32 2" xfId="22902" xr:uid="{00000000-0005-0000-0000-00007B590000}"/>
    <cellStyle name="Normal 15 33" xfId="22903" xr:uid="{00000000-0005-0000-0000-00007C590000}"/>
    <cellStyle name="Normal 15 33 2" xfId="22904" xr:uid="{00000000-0005-0000-0000-00007D590000}"/>
    <cellStyle name="Normal 15 34" xfId="22905" xr:uid="{00000000-0005-0000-0000-00007E590000}"/>
    <cellStyle name="Normal 15 34 2" xfId="22906" xr:uid="{00000000-0005-0000-0000-00007F590000}"/>
    <cellStyle name="Normal 15 35" xfId="22907" xr:uid="{00000000-0005-0000-0000-000080590000}"/>
    <cellStyle name="Normal 15 35 2" xfId="22908" xr:uid="{00000000-0005-0000-0000-000081590000}"/>
    <cellStyle name="Normal 15 36" xfId="22909" xr:uid="{00000000-0005-0000-0000-000082590000}"/>
    <cellStyle name="Normal 15 36 2" xfId="22910" xr:uid="{00000000-0005-0000-0000-000083590000}"/>
    <cellStyle name="Normal 15 37" xfId="22911" xr:uid="{00000000-0005-0000-0000-000084590000}"/>
    <cellStyle name="Normal 15 37 2" xfId="22912" xr:uid="{00000000-0005-0000-0000-000085590000}"/>
    <cellStyle name="Normal 15 38" xfId="22913" xr:uid="{00000000-0005-0000-0000-000086590000}"/>
    <cellStyle name="Normal 15 38 2" xfId="22914" xr:uid="{00000000-0005-0000-0000-000087590000}"/>
    <cellStyle name="Normal 15 39" xfId="22915" xr:uid="{00000000-0005-0000-0000-000088590000}"/>
    <cellStyle name="Normal 15 39 2" xfId="22916" xr:uid="{00000000-0005-0000-0000-000089590000}"/>
    <cellStyle name="Normal 15 4" xfId="22917" xr:uid="{00000000-0005-0000-0000-00008A590000}"/>
    <cellStyle name="Normal 15 4 2" xfId="22918" xr:uid="{00000000-0005-0000-0000-00008B590000}"/>
    <cellStyle name="Normal 15 4 2 2" xfId="22919" xr:uid="{00000000-0005-0000-0000-00008C590000}"/>
    <cellStyle name="Normal 15 4 2 2 2" xfId="22920" xr:uid="{00000000-0005-0000-0000-00008D590000}"/>
    <cellStyle name="Normal 15 4 2 2 2 2" xfId="22921" xr:uid="{00000000-0005-0000-0000-00008E590000}"/>
    <cellStyle name="Normal 15 4 2 2 2 2 2" xfId="22922" xr:uid="{00000000-0005-0000-0000-00008F590000}"/>
    <cellStyle name="Normal 15 4 2 2 2 3" xfId="22923" xr:uid="{00000000-0005-0000-0000-000090590000}"/>
    <cellStyle name="Normal 15 4 2 2 2 4" xfId="22924" xr:uid="{00000000-0005-0000-0000-000091590000}"/>
    <cellStyle name="Normal 15 4 2 2 3" xfId="22925" xr:uid="{00000000-0005-0000-0000-000092590000}"/>
    <cellStyle name="Normal 15 4 2 2 3 2" xfId="22926" xr:uid="{00000000-0005-0000-0000-000093590000}"/>
    <cellStyle name="Normal 15 4 2 2 4" xfId="22927" xr:uid="{00000000-0005-0000-0000-000094590000}"/>
    <cellStyle name="Normal 15 4 2 2 5" xfId="22928" xr:uid="{00000000-0005-0000-0000-000095590000}"/>
    <cellStyle name="Normal 15 4 2 3" xfId="22929" xr:uid="{00000000-0005-0000-0000-000096590000}"/>
    <cellStyle name="Normal 15 4 2 3 2" xfId="22930" xr:uid="{00000000-0005-0000-0000-000097590000}"/>
    <cellStyle name="Normal 15 4 2 3 2 2" xfId="22931" xr:uid="{00000000-0005-0000-0000-000098590000}"/>
    <cellStyle name="Normal 15 4 2 3 3" xfId="22932" xr:uid="{00000000-0005-0000-0000-000099590000}"/>
    <cellStyle name="Normal 15 4 2 3 3 2" xfId="22933" xr:uid="{00000000-0005-0000-0000-00009A590000}"/>
    <cellStyle name="Normal 15 4 2 3 4" xfId="22934" xr:uid="{00000000-0005-0000-0000-00009B590000}"/>
    <cellStyle name="Normal 15 4 2 3 5" xfId="22935" xr:uid="{00000000-0005-0000-0000-00009C590000}"/>
    <cellStyle name="Normal 15 4 2 4" xfId="22936" xr:uid="{00000000-0005-0000-0000-00009D590000}"/>
    <cellStyle name="Normal 15 4 2 4 2" xfId="22937" xr:uid="{00000000-0005-0000-0000-00009E590000}"/>
    <cellStyle name="Normal 15 4 2 5" xfId="22938" xr:uid="{00000000-0005-0000-0000-00009F590000}"/>
    <cellStyle name="Normal 15 4 2 5 2" xfId="22939" xr:uid="{00000000-0005-0000-0000-0000A0590000}"/>
    <cellStyle name="Normal 15 4 2 6" xfId="22940" xr:uid="{00000000-0005-0000-0000-0000A1590000}"/>
    <cellStyle name="Normal 15 4 2 7" xfId="22941" xr:uid="{00000000-0005-0000-0000-0000A2590000}"/>
    <cellStyle name="Normal 15 4 3" xfId="22942" xr:uid="{00000000-0005-0000-0000-0000A3590000}"/>
    <cellStyle name="Normal 15 4 3 2" xfId="22943" xr:uid="{00000000-0005-0000-0000-0000A4590000}"/>
    <cellStyle name="Normal 15 4 3 2 2" xfId="22944" xr:uid="{00000000-0005-0000-0000-0000A5590000}"/>
    <cellStyle name="Normal 15 4 3 2 2 2" xfId="22945" xr:uid="{00000000-0005-0000-0000-0000A6590000}"/>
    <cellStyle name="Normal 15 4 3 2 3" xfId="22946" xr:uid="{00000000-0005-0000-0000-0000A7590000}"/>
    <cellStyle name="Normal 15 4 3 2 4" xfId="22947" xr:uid="{00000000-0005-0000-0000-0000A8590000}"/>
    <cellStyle name="Normal 15 4 3 3" xfId="22948" xr:uid="{00000000-0005-0000-0000-0000A9590000}"/>
    <cellStyle name="Normal 15 4 3 3 2" xfId="22949" xr:uid="{00000000-0005-0000-0000-0000AA590000}"/>
    <cellStyle name="Normal 15 4 3 4" xfId="22950" xr:uid="{00000000-0005-0000-0000-0000AB590000}"/>
    <cellStyle name="Normal 15 4 3 5" xfId="22951" xr:uid="{00000000-0005-0000-0000-0000AC590000}"/>
    <cellStyle name="Normal 15 4 4" xfId="22952" xr:uid="{00000000-0005-0000-0000-0000AD590000}"/>
    <cellStyle name="Normal 15 4 4 2" xfId="22953" xr:uid="{00000000-0005-0000-0000-0000AE590000}"/>
    <cellStyle name="Normal 15 4 4 2 2" xfId="22954" xr:uid="{00000000-0005-0000-0000-0000AF590000}"/>
    <cellStyle name="Normal 15 4 4 3" xfId="22955" xr:uid="{00000000-0005-0000-0000-0000B0590000}"/>
    <cellStyle name="Normal 15 4 4 3 2" xfId="22956" xr:uid="{00000000-0005-0000-0000-0000B1590000}"/>
    <cellStyle name="Normal 15 4 4 4" xfId="22957" xr:uid="{00000000-0005-0000-0000-0000B2590000}"/>
    <cellStyle name="Normal 15 4 4 5" xfId="22958" xr:uid="{00000000-0005-0000-0000-0000B3590000}"/>
    <cellStyle name="Normal 15 4 5" xfId="22959" xr:uid="{00000000-0005-0000-0000-0000B4590000}"/>
    <cellStyle name="Normal 15 4 5 2" xfId="22960" xr:uid="{00000000-0005-0000-0000-0000B5590000}"/>
    <cellStyle name="Normal 15 4 6" xfId="22961" xr:uid="{00000000-0005-0000-0000-0000B6590000}"/>
    <cellStyle name="Normal 15 4 6 2" xfId="22962" xr:uid="{00000000-0005-0000-0000-0000B7590000}"/>
    <cellStyle name="Normal 15 4 7" xfId="22963" xr:uid="{00000000-0005-0000-0000-0000B8590000}"/>
    <cellStyle name="Normal 15 4 8" xfId="22964" xr:uid="{00000000-0005-0000-0000-0000B9590000}"/>
    <cellStyle name="Normal 15 40" xfId="22965" xr:uid="{00000000-0005-0000-0000-0000BA590000}"/>
    <cellStyle name="Normal 15 40 2" xfId="22966" xr:uid="{00000000-0005-0000-0000-0000BB590000}"/>
    <cellStyle name="Normal 15 41" xfId="22967" xr:uid="{00000000-0005-0000-0000-0000BC590000}"/>
    <cellStyle name="Normal 15 41 2" xfId="22968" xr:uid="{00000000-0005-0000-0000-0000BD590000}"/>
    <cellStyle name="Normal 15 42" xfId="22969" xr:uid="{00000000-0005-0000-0000-0000BE590000}"/>
    <cellStyle name="Normal 15 42 2" xfId="22970" xr:uid="{00000000-0005-0000-0000-0000BF590000}"/>
    <cellStyle name="Normal 15 43" xfId="22971" xr:uid="{00000000-0005-0000-0000-0000C0590000}"/>
    <cellStyle name="Normal 15 43 2" xfId="22972" xr:uid="{00000000-0005-0000-0000-0000C1590000}"/>
    <cellStyle name="Normal 15 44" xfId="22973" xr:uid="{00000000-0005-0000-0000-0000C2590000}"/>
    <cellStyle name="Normal 15 44 2" xfId="22974" xr:uid="{00000000-0005-0000-0000-0000C3590000}"/>
    <cellStyle name="Normal 15 45" xfId="22975" xr:uid="{00000000-0005-0000-0000-0000C4590000}"/>
    <cellStyle name="Normal 15 45 2" xfId="22976" xr:uid="{00000000-0005-0000-0000-0000C5590000}"/>
    <cellStyle name="Normal 15 46" xfId="22977" xr:uid="{00000000-0005-0000-0000-0000C6590000}"/>
    <cellStyle name="Normal 15 46 2" xfId="22978" xr:uid="{00000000-0005-0000-0000-0000C7590000}"/>
    <cellStyle name="Normal 15 47" xfId="22979" xr:uid="{00000000-0005-0000-0000-0000C8590000}"/>
    <cellStyle name="Normal 15 47 2" xfId="22980" xr:uid="{00000000-0005-0000-0000-0000C9590000}"/>
    <cellStyle name="Normal 15 48" xfId="22981" xr:uid="{00000000-0005-0000-0000-0000CA590000}"/>
    <cellStyle name="Normal 15 48 2" xfId="22982" xr:uid="{00000000-0005-0000-0000-0000CB590000}"/>
    <cellStyle name="Normal 15 49" xfId="22983" xr:uid="{00000000-0005-0000-0000-0000CC590000}"/>
    <cellStyle name="Normal 15 49 2" xfId="22984" xr:uid="{00000000-0005-0000-0000-0000CD590000}"/>
    <cellStyle name="Normal 15 5" xfId="22985" xr:uid="{00000000-0005-0000-0000-0000CE590000}"/>
    <cellStyle name="Normal 15 5 2" xfId="22986" xr:uid="{00000000-0005-0000-0000-0000CF590000}"/>
    <cellStyle name="Normal 15 5 2 2" xfId="22987" xr:uid="{00000000-0005-0000-0000-0000D0590000}"/>
    <cellStyle name="Normal 15 5 2 2 2" xfId="22988" xr:uid="{00000000-0005-0000-0000-0000D1590000}"/>
    <cellStyle name="Normal 15 5 2 2 2 2" xfId="22989" xr:uid="{00000000-0005-0000-0000-0000D2590000}"/>
    <cellStyle name="Normal 15 5 2 2 3" xfId="22990" xr:uid="{00000000-0005-0000-0000-0000D3590000}"/>
    <cellStyle name="Normal 15 5 2 2 4" xfId="22991" xr:uid="{00000000-0005-0000-0000-0000D4590000}"/>
    <cellStyle name="Normal 15 5 2 3" xfId="22992" xr:uid="{00000000-0005-0000-0000-0000D5590000}"/>
    <cellStyle name="Normal 15 5 2 3 2" xfId="22993" xr:uid="{00000000-0005-0000-0000-0000D6590000}"/>
    <cellStyle name="Normal 15 5 2 4" xfId="22994" xr:uid="{00000000-0005-0000-0000-0000D7590000}"/>
    <cellStyle name="Normal 15 5 2 5" xfId="22995" xr:uid="{00000000-0005-0000-0000-0000D8590000}"/>
    <cellStyle name="Normal 15 5 3" xfId="22996" xr:uid="{00000000-0005-0000-0000-0000D9590000}"/>
    <cellStyle name="Normal 15 5 3 2" xfId="22997" xr:uid="{00000000-0005-0000-0000-0000DA590000}"/>
    <cellStyle name="Normal 15 5 3 3" xfId="22998" xr:uid="{00000000-0005-0000-0000-0000DB590000}"/>
    <cellStyle name="Normal 15 5 4" xfId="22999" xr:uid="{00000000-0005-0000-0000-0000DC590000}"/>
    <cellStyle name="Normal 15 5 4 2" xfId="23000" xr:uid="{00000000-0005-0000-0000-0000DD590000}"/>
    <cellStyle name="Normal 15 5 5" xfId="23001" xr:uid="{00000000-0005-0000-0000-0000DE590000}"/>
    <cellStyle name="Normal 15 50" xfId="23002" xr:uid="{00000000-0005-0000-0000-0000DF590000}"/>
    <cellStyle name="Normal 15 50 2" xfId="23003" xr:uid="{00000000-0005-0000-0000-0000E0590000}"/>
    <cellStyle name="Normal 15 51" xfId="23004" xr:uid="{00000000-0005-0000-0000-0000E1590000}"/>
    <cellStyle name="Normal 15 51 2" xfId="23005" xr:uid="{00000000-0005-0000-0000-0000E2590000}"/>
    <cellStyle name="Normal 15 52" xfId="23006" xr:uid="{00000000-0005-0000-0000-0000E3590000}"/>
    <cellStyle name="Normal 15 52 2" xfId="23007" xr:uid="{00000000-0005-0000-0000-0000E4590000}"/>
    <cellStyle name="Normal 15 53" xfId="23008" xr:uid="{00000000-0005-0000-0000-0000E5590000}"/>
    <cellStyle name="Normal 15 53 2" xfId="23009" xr:uid="{00000000-0005-0000-0000-0000E6590000}"/>
    <cellStyle name="Normal 15 54" xfId="23010" xr:uid="{00000000-0005-0000-0000-0000E7590000}"/>
    <cellStyle name="Normal 15 54 2" xfId="23011" xr:uid="{00000000-0005-0000-0000-0000E8590000}"/>
    <cellStyle name="Normal 15 55" xfId="23012" xr:uid="{00000000-0005-0000-0000-0000E9590000}"/>
    <cellStyle name="Normal 15 55 2" xfId="23013" xr:uid="{00000000-0005-0000-0000-0000EA590000}"/>
    <cellStyle name="Normal 15 56" xfId="23014" xr:uid="{00000000-0005-0000-0000-0000EB590000}"/>
    <cellStyle name="Normal 15 56 2" xfId="23015" xr:uid="{00000000-0005-0000-0000-0000EC590000}"/>
    <cellStyle name="Normal 15 57" xfId="23016" xr:uid="{00000000-0005-0000-0000-0000ED590000}"/>
    <cellStyle name="Normal 15 57 2" xfId="23017" xr:uid="{00000000-0005-0000-0000-0000EE590000}"/>
    <cellStyle name="Normal 15 58" xfId="23018" xr:uid="{00000000-0005-0000-0000-0000EF590000}"/>
    <cellStyle name="Normal 15 58 2" xfId="23019" xr:uid="{00000000-0005-0000-0000-0000F0590000}"/>
    <cellStyle name="Normal 15 59" xfId="23020" xr:uid="{00000000-0005-0000-0000-0000F1590000}"/>
    <cellStyle name="Normal 15 6" xfId="23021" xr:uid="{00000000-0005-0000-0000-0000F2590000}"/>
    <cellStyle name="Normal 15 6 2" xfId="23022" xr:uid="{00000000-0005-0000-0000-0000F3590000}"/>
    <cellStyle name="Normal 15 6 2 2" xfId="23023" xr:uid="{00000000-0005-0000-0000-0000F4590000}"/>
    <cellStyle name="Normal 15 6 2 2 2" xfId="23024" xr:uid="{00000000-0005-0000-0000-0000F5590000}"/>
    <cellStyle name="Normal 15 6 2 3" xfId="23025" xr:uid="{00000000-0005-0000-0000-0000F6590000}"/>
    <cellStyle name="Normal 15 6 2 3 2" xfId="23026" xr:uid="{00000000-0005-0000-0000-0000F7590000}"/>
    <cellStyle name="Normal 15 6 2 4" xfId="23027" xr:uid="{00000000-0005-0000-0000-0000F8590000}"/>
    <cellStyle name="Normal 15 6 2 5" xfId="23028" xr:uid="{00000000-0005-0000-0000-0000F9590000}"/>
    <cellStyle name="Normal 15 6 3" xfId="23029" xr:uid="{00000000-0005-0000-0000-0000FA590000}"/>
    <cellStyle name="Normal 15 6 3 2" xfId="23030" xr:uid="{00000000-0005-0000-0000-0000FB590000}"/>
    <cellStyle name="Normal 15 6 4" xfId="23031" xr:uid="{00000000-0005-0000-0000-0000FC590000}"/>
    <cellStyle name="Normal 15 6 4 2" xfId="23032" xr:uid="{00000000-0005-0000-0000-0000FD590000}"/>
    <cellStyle name="Normal 15 6 5" xfId="23033" xr:uid="{00000000-0005-0000-0000-0000FE590000}"/>
    <cellStyle name="Normal 15 6 6" xfId="23034" xr:uid="{00000000-0005-0000-0000-0000FF590000}"/>
    <cellStyle name="Normal 15 60" xfId="23035" xr:uid="{00000000-0005-0000-0000-0000005A0000}"/>
    <cellStyle name="Normal 15 7" xfId="23036" xr:uid="{00000000-0005-0000-0000-0000015A0000}"/>
    <cellStyle name="Normal 15 7 2" xfId="23037" xr:uid="{00000000-0005-0000-0000-0000025A0000}"/>
    <cellStyle name="Normal 15 7 2 2" xfId="23038" xr:uid="{00000000-0005-0000-0000-0000035A0000}"/>
    <cellStyle name="Normal 15 7 3" xfId="23039" xr:uid="{00000000-0005-0000-0000-0000045A0000}"/>
    <cellStyle name="Normal 15 7 3 2" xfId="23040" xr:uid="{00000000-0005-0000-0000-0000055A0000}"/>
    <cellStyle name="Normal 15 7 4" xfId="23041" xr:uid="{00000000-0005-0000-0000-0000065A0000}"/>
    <cellStyle name="Normal 15 7 5" xfId="23042" xr:uid="{00000000-0005-0000-0000-0000075A0000}"/>
    <cellStyle name="Normal 15 8" xfId="23043" xr:uid="{00000000-0005-0000-0000-0000085A0000}"/>
    <cellStyle name="Normal 15 8 2" xfId="23044" xr:uid="{00000000-0005-0000-0000-0000095A0000}"/>
    <cellStyle name="Normal 15 8 2 2" xfId="23045" xr:uid="{00000000-0005-0000-0000-00000A5A0000}"/>
    <cellStyle name="Normal 15 8 3" xfId="23046" xr:uid="{00000000-0005-0000-0000-00000B5A0000}"/>
    <cellStyle name="Normal 15 9" xfId="23047" xr:uid="{00000000-0005-0000-0000-00000C5A0000}"/>
    <cellStyle name="Normal 15 9 2" xfId="23048" xr:uid="{00000000-0005-0000-0000-00000D5A0000}"/>
    <cellStyle name="Normal 150" xfId="23049" xr:uid="{00000000-0005-0000-0000-00000E5A0000}"/>
    <cellStyle name="Normal 150 2" xfId="23050" xr:uid="{00000000-0005-0000-0000-00000F5A0000}"/>
    <cellStyle name="Normal 151" xfId="23051" xr:uid="{00000000-0005-0000-0000-0000105A0000}"/>
    <cellStyle name="Normal 151 10" xfId="23052" xr:uid="{00000000-0005-0000-0000-0000115A0000}"/>
    <cellStyle name="Normal 151 10 2" xfId="23053" xr:uid="{00000000-0005-0000-0000-0000125A0000}"/>
    <cellStyle name="Normal 151 11" xfId="23054" xr:uid="{00000000-0005-0000-0000-0000135A0000}"/>
    <cellStyle name="Normal 151 11 2" xfId="23055" xr:uid="{00000000-0005-0000-0000-0000145A0000}"/>
    <cellStyle name="Normal 151 12" xfId="23056" xr:uid="{00000000-0005-0000-0000-0000155A0000}"/>
    <cellStyle name="Normal 151 12 2" xfId="23057" xr:uid="{00000000-0005-0000-0000-0000165A0000}"/>
    <cellStyle name="Normal 151 13" xfId="23058" xr:uid="{00000000-0005-0000-0000-0000175A0000}"/>
    <cellStyle name="Normal 151 13 2" xfId="23059" xr:uid="{00000000-0005-0000-0000-0000185A0000}"/>
    <cellStyle name="Normal 151 14" xfId="23060" xr:uid="{00000000-0005-0000-0000-0000195A0000}"/>
    <cellStyle name="Normal 151 14 2" xfId="23061" xr:uid="{00000000-0005-0000-0000-00001A5A0000}"/>
    <cellStyle name="Normal 151 15" xfId="23062" xr:uid="{00000000-0005-0000-0000-00001B5A0000}"/>
    <cellStyle name="Normal 151 15 2" xfId="23063" xr:uid="{00000000-0005-0000-0000-00001C5A0000}"/>
    <cellStyle name="Normal 151 16" xfId="23064" xr:uid="{00000000-0005-0000-0000-00001D5A0000}"/>
    <cellStyle name="Normal 151 16 2" xfId="23065" xr:uid="{00000000-0005-0000-0000-00001E5A0000}"/>
    <cellStyle name="Normal 151 17" xfId="23066" xr:uid="{00000000-0005-0000-0000-00001F5A0000}"/>
    <cellStyle name="Normal 151 17 2" xfId="23067" xr:uid="{00000000-0005-0000-0000-0000205A0000}"/>
    <cellStyle name="Normal 151 18" xfId="23068" xr:uid="{00000000-0005-0000-0000-0000215A0000}"/>
    <cellStyle name="Normal 151 18 2" xfId="23069" xr:uid="{00000000-0005-0000-0000-0000225A0000}"/>
    <cellStyle name="Normal 151 19" xfId="23070" xr:uid="{00000000-0005-0000-0000-0000235A0000}"/>
    <cellStyle name="Normal 151 19 2" xfId="23071" xr:uid="{00000000-0005-0000-0000-0000245A0000}"/>
    <cellStyle name="Normal 151 2" xfId="23072" xr:uid="{00000000-0005-0000-0000-0000255A0000}"/>
    <cellStyle name="Normal 151 2 2" xfId="23073" xr:uid="{00000000-0005-0000-0000-0000265A0000}"/>
    <cellStyle name="Normal 151 20" xfId="23074" xr:uid="{00000000-0005-0000-0000-0000275A0000}"/>
    <cellStyle name="Normal 151 20 2" xfId="23075" xr:uid="{00000000-0005-0000-0000-0000285A0000}"/>
    <cellStyle name="Normal 151 21" xfId="23076" xr:uid="{00000000-0005-0000-0000-0000295A0000}"/>
    <cellStyle name="Normal 151 21 2" xfId="23077" xr:uid="{00000000-0005-0000-0000-00002A5A0000}"/>
    <cellStyle name="Normal 151 22" xfId="23078" xr:uid="{00000000-0005-0000-0000-00002B5A0000}"/>
    <cellStyle name="Normal 151 22 2" xfId="23079" xr:uid="{00000000-0005-0000-0000-00002C5A0000}"/>
    <cellStyle name="Normal 151 23" xfId="23080" xr:uid="{00000000-0005-0000-0000-00002D5A0000}"/>
    <cellStyle name="Normal 151 23 2" xfId="23081" xr:uid="{00000000-0005-0000-0000-00002E5A0000}"/>
    <cellStyle name="Normal 151 24" xfId="23082" xr:uid="{00000000-0005-0000-0000-00002F5A0000}"/>
    <cellStyle name="Normal 151 24 2" xfId="23083" xr:uid="{00000000-0005-0000-0000-0000305A0000}"/>
    <cellStyle name="Normal 151 25" xfId="23084" xr:uid="{00000000-0005-0000-0000-0000315A0000}"/>
    <cellStyle name="Normal 151 25 2" xfId="23085" xr:uid="{00000000-0005-0000-0000-0000325A0000}"/>
    <cellStyle name="Normal 151 26" xfId="23086" xr:uid="{00000000-0005-0000-0000-0000335A0000}"/>
    <cellStyle name="Normal 151 26 2" xfId="23087" xr:uid="{00000000-0005-0000-0000-0000345A0000}"/>
    <cellStyle name="Normal 151 27" xfId="23088" xr:uid="{00000000-0005-0000-0000-0000355A0000}"/>
    <cellStyle name="Normal 151 27 2" xfId="23089" xr:uid="{00000000-0005-0000-0000-0000365A0000}"/>
    <cellStyle name="Normal 151 28" xfId="23090" xr:uid="{00000000-0005-0000-0000-0000375A0000}"/>
    <cellStyle name="Normal 151 28 2" xfId="23091" xr:uid="{00000000-0005-0000-0000-0000385A0000}"/>
    <cellStyle name="Normal 151 29" xfId="23092" xr:uid="{00000000-0005-0000-0000-0000395A0000}"/>
    <cellStyle name="Normal 151 29 2" xfId="23093" xr:uid="{00000000-0005-0000-0000-00003A5A0000}"/>
    <cellStyle name="Normal 151 3" xfId="23094" xr:uid="{00000000-0005-0000-0000-00003B5A0000}"/>
    <cellStyle name="Normal 151 3 2" xfId="23095" xr:uid="{00000000-0005-0000-0000-00003C5A0000}"/>
    <cellStyle name="Normal 151 30" xfId="23096" xr:uid="{00000000-0005-0000-0000-00003D5A0000}"/>
    <cellStyle name="Normal 151 30 2" xfId="23097" xr:uid="{00000000-0005-0000-0000-00003E5A0000}"/>
    <cellStyle name="Normal 151 31" xfId="23098" xr:uid="{00000000-0005-0000-0000-00003F5A0000}"/>
    <cellStyle name="Normal 151 31 2" xfId="23099" xr:uid="{00000000-0005-0000-0000-0000405A0000}"/>
    <cellStyle name="Normal 151 32" xfId="23100" xr:uid="{00000000-0005-0000-0000-0000415A0000}"/>
    <cellStyle name="Normal 151 32 2" xfId="23101" xr:uid="{00000000-0005-0000-0000-0000425A0000}"/>
    <cellStyle name="Normal 151 33" xfId="23102" xr:uid="{00000000-0005-0000-0000-0000435A0000}"/>
    <cellStyle name="Normal 151 33 2" xfId="23103" xr:uid="{00000000-0005-0000-0000-0000445A0000}"/>
    <cellStyle name="Normal 151 34" xfId="23104" xr:uid="{00000000-0005-0000-0000-0000455A0000}"/>
    <cellStyle name="Normal 151 34 2" xfId="23105" xr:uid="{00000000-0005-0000-0000-0000465A0000}"/>
    <cellStyle name="Normal 151 35" xfId="23106" xr:uid="{00000000-0005-0000-0000-0000475A0000}"/>
    <cellStyle name="Normal 151 35 2" xfId="23107" xr:uid="{00000000-0005-0000-0000-0000485A0000}"/>
    <cellStyle name="Normal 151 36" xfId="23108" xr:uid="{00000000-0005-0000-0000-0000495A0000}"/>
    <cellStyle name="Normal 151 36 2" xfId="23109" xr:uid="{00000000-0005-0000-0000-00004A5A0000}"/>
    <cellStyle name="Normal 151 37" xfId="23110" xr:uid="{00000000-0005-0000-0000-00004B5A0000}"/>
    <cellStyle name="Normal 151 37 2" xfId="23111" xr:uid="{00000000-0005-0000-0000-00004C5A0000}"/>
    <cellStyle name="Normal 151 38" xfId="23112" xr:uid="{00000000-0005-0000-0000-00004D5A0000}"/>
    <cellStyle name="Normal 151 38 2" xfId="23113" xr:uid="{00000000-0005-0000-0000-00004E5A0000}"/>
    <cellStyle name="Normal 151 39" xfId="23114" xr:uid="{00000000-0005-0000-0000-00004F5A0000}"/>
    <cellStyle name="Normal 151 39 2" xfId="23115" xr:uid="{00000000-0005-0000-0000-0000505A0000}"/>
    <cellStyle name="Normal 151 4" xfId="23116" xr:uid="{00000000-0005-0000-0000-0000515A0000}"/>
    <cellStyle name="Normal 151 4 2" xfId="23117" xr:uid="{00000000-0005-0000-0000-0000525A0000}"/>
    <cellStyle name="Normal 151 40" xfId="23118" xr:uid="{00000000-0005-0000-0000-0000535A0000}"/>
    <cellStyle name="Normal 151 40 2" xfId="23119" xr:uid="{00000000-0005-0000-0000-0000545A0000}"/>
    <cellStyle name="Normal 151 41" xfId="23120" xr:uid="{00000000-0005-0000-0000-0000555A0000}"/>
    <cellStyle name="Normal 151 41 2" xfId="23121" xr:uid="{00000000-0005-0000-0000-0000565A0000}"/>
    <cellStyle name="Normal 151 42" xfId="23122" xr:uid="{00000000-0005-0000-0000-0000575A0000}"/>
    <cellStyle name="Normal 151 42 2" xfId="23123" xr:uid="{00000000-0005-0000-0000-0000585A0000}"/>
    <cellStyle name="Normal 151 43" xfId="23124" xr:uid="{00000000-0005-0000-0000-0000595A0000}"/>
    <cellStyle name="Normal 151 43 2" xfId="23125" xr:uid="{00000000-0005-0000-0000-00005A5A0000}"/>
    <cellStyle name="Normal 151 44" xfId="23126" xr:uid="{00000000-0005-0000-0000-00005B5A0000}"/>
    <cellStyle name="Normal 151 44 2" xfId="23127" xr:uid="{00000000-0005-0000-0000-00005C5A0000}"/>
    <cellStyle name="Normal 151 45" xfId="23128" xr:uid="{00000000-0005-0000-0000-00005D5A0000}"/>
    <cellStyle name="Normal 151 45 2" xfId="23129" xr:uid="{00000000-0005-0000-0000-00005E5A0000}"/>
    <cellStyle name="Normal 151 46" xfId="23130" xr:uid="{00000000-0005-0000-0000-00005F5A0000}"/>
    <cellStyle name="Normal 151 46 2" xfId="23131" xr:uid="{00000000-0005-0000-0000-0000605A0000}"/>
    <cellStyle name="Normal 151 47" xfId="23132" xr:uid="{00000000-0005-0000-0000-0000615A0000}"/>
    <cellStyle name="Normal 151 47 2" xfId="23133" xr:uid="{00000000-0005-0000-0000-0000625A0000}"/>
    <cellStyle name="Normal 151 48" xfId="23134" xr:uid="{00000000-0005-0000-0000-0000635A0000}"/>
    <cellStyle name="Normal 151 48 2" xfId="23135" xr:uid="{00000000-0005-0000-0000-0000645A0000}"/>
    <cellStyle name="Normal 151 49" xfId="23136" xr:uid="{00000000-0005-0000-0000-0000655A0000}"/>
    <cellStyle name="Normal 151 49 2" xfId="23137" xr:uid="{00000000-0005-0000-0000-0000665A0000}"/>
    <cellStyle name="Normal 151 5" xfId="23138" xr:uid="{00000000-0005-0000-0000-0000675A0000}"/>
    <cellStyle name="Normal 151 5 2" xfId="23139" xr:uid="{00000000-0005-0000-0000-0000685A0000}"/>
    <cellStyle name="Normal 151 50" xfId="23140" xr:uid="{00000000-0005-0000-0000-0000695A0000}"/>
    <cellStyle name="Normal 151 50 2" xfId="23141" xr:uid="{00000000-0005-0000-0000-00006A5A0000}"/>
    <cellStyle name="Normal 151 51" xfId="23142" xr:uid="{00000000-0005-0000-0000-00006B5A0000}"/>
    <cellStyle name="Normal 151 51 2" xfId="23143" xr:uid="{00000000-0005-0000-0000-00006C5A0000}"/>
    <cellStyle name="Normal 151 52" xfId="23144" xr:uid="{00000000-0005-0000-0000-00006D5A0000}"/>
    <cellStyle name="Normal 151 52 2" xfId="23145" xr:uid="{00000000-0005-0000-0000-00006E5A0000}"/>
    <cellStyle name="Normal 151 53" xfId="23146" xr:uid="{00000000-0005-0000-0000-00006F5A0000}"/>
    <cellStyle name="Normal 151 53 2" xfId="23147" xr:uid="{00000000-0005-0000-0000-0000705A0000}"/>
    <cellStyle name="Normal 151 54" xfId="23148" xr:uid="{00000000-0005-0000-0000-0000715A0000}"/>
    <cellStyle name="Normal 151 54 2" xfId="23149" xr:uid="{00000000-0005-0000-0000-0000725A0000}"/>
    <cellStyle name="Normal 151 55" xfId="23150" xr:uid="{00000000-0005-0000-0000-0000735A0000}"/>
    <cellStyle name="Normal 151 55 2" xfId="23151" xr:uid="{00000000-0005-0000-0000-0000745A0000}"/>
    <cellStyle name="Normal 151 56" xfId="23152" xr:uid="{00000000-0005-0000-0000-0000755A0000}"/>
    <cellStyle name="Normal 151 56 2" xfId="23153" xr:uid="{00000000-0005-0000-0000-0000765A0000}"/>
    <cellStyle name="Normal 151 57" xfId="23154" xr:uid="{00000000-0005-0000-0000-0000775A0000}"/>
    <cellStyle name="Normal 151 57 2" xfId="23155" xr:uid="{00000000-0005-0000-0000-0000785A0000}"/>
    <cellStyle name="Normal 151 58" xfId="23156" xr:uid="{00000000-0005-0000-0000-0000795A0000}"/>
    <cellStyle name="Normal 151 58 2" xfId="23157" xr:uid="{00000000-0005-0000-0000-00007A5A0000}"/>
    <cellStyle name="Normal 151 59" xfId="23158" xr:uid="{00000000-0005-0000-0000-00007B5A0000}"/>
    <cellStyle name="Normal 151 59 2" xfId="23159" xr:uid="{00000000-0005-0000-0000-00007C5A0000}"/>
    <cellStyle name="Normal 151 6" xfId="23160" xr:uid="{00000000-0005-0000-0000-00007D5A0000}"/>
    <cellStyle name="Normal 151 6 2" xfId="23161" xr:uid="{00000000-0005-0000-0000-00007E5A0000}"/>
    <cellStyle name="Normal 151 60" xfId="23162" xr:uid="{00000000-0005-0000-0000-00007F5A0000}"/>
    <cellStyle name="Normal 151 60 2" xfId="23163" xr:uid="{00000000-0005-0000-0000-0000805A0000}"/>
    <cellStyle name="Normal 151 61" xfId="23164" xr:uid="{00000000-0005-0000-0000-0000815A0000}"/>
    <cellStyle name="Normal 151 61 2" xfId="23165" xr:uid="{00000000-0005-0000-0000-0000825A0000}"/>
    <cellStyle name="Normal 151 62" xfId="23166" xr:uid="{00000000-0005-0000-0000-0000835A0000}"/>
    <cellStyle name="Normal 151 62 2" xfId="23167" xr:uid="{00000000-0005-0000-0000-0000845A0000}"/>
    <cellStyle name="Normal 151 62 3" xfId="23168" xr:uid="{00000000-0005-0000-0000-0000855A0000}"/>
    <cellStyle name="Normal 151 63" xfId="23169" xr:uid="{00000000-0005-0000-0000-0000865A0000}"/>
    <cellStyle name="Normal 151 7" xfId="23170" xr:uid="{00000000-0005-0000-0000-0000875A0000}"/>
    <cellStyle name="Normal 151 7 2" xfId="23171" xr:uid="{00000000-0005-0000-0000-0000885A0000}"/>
    <cellStyle name="Normal 151 8" xfId="23172" xr:uid="{00000000-0005-0000-0000-0000895A0000}"/>
    <cellStyle name="Normal 151 8 2" xfId="23173" xr:uid="{00000000-0005-0000-0000-00008A5A0000}"/>
    <cellStyle name="Normal 151 9" xfId="23174" xr:uid="{00000000-0005-0000-0000-00008B5A0000}"/>
    <cellStyle name="Normal 151 9 2" xfId="23175" xr:uid="{00000000-0005-0000-0000-00008C5A0000}"/>
    <cellStyle name="Normal 152" xfId="23176" xr:uid="{00000000-0005-0000-0000-00008D5A0000}"/>
    <cellStyle name="Normal 152 10" xfId="23177" xr:uid="{00000000-0005-0000-0000-00008E5A0000}"/>
    <cellStyle name="Normal 152 10 2" xfId="23178" xr:uid="{00000000-0005-0000-0000-00008F5A0000}"/>
    <cellStyle name="Normal 152 11" xfId="23179" xr:uid="{00000000-0005-0000-0000-0000905A0000}"/>
    <cellStyle name="Normal 152 11 2" xfId="23180" xr:uid="{00000000-0005-0000-0000-0000915A0000}"/>
    <cellStyle name="Normal 152 12" xfId="23181" xr:uid="{00000000-0005-0000-0000-0000925A0000}"/>
    <cellStyle name="Normal 152 12 2" xfId="23182" xr:uid="{00000000-0005-0000-0000-0000935A0000}"/>
    <cellStyle name="Normal 152 13" xfId="23183" xr:uid="{00000000-0005-0000-0000-0000945A0000}"/>
    <cellStyle name="Normal 152 13 2" xfId="23184" xr:uid="{00000000-0005-0000-0000-0000955A0000}"/>
    <cellStyle name="Normal 152 14" xfId="23185" xr:uid="{00000000-0005-0000-0000-0000965A0000}"/>
    <cellStyle name="Normal 152 14 2" xfId="23186" xr:uid="{00000000-0005-0000-0000-0000975A0000}"/>
    <cellStyle name="Normal 152 15" xfId="23187" xr:uid="{00000000-0005-0000-0000-0000985A0000}"/>
    <cellStyle name="Normal 152 15 2" xfId="23188" xr:uid="{00000000-0005-0000-0000-0000995A0000}"/>
    <cellStyle name="Normal 152 16" xfId="23189" xr:uid="{00000000-0005-0000-0000-00009A5A0000}"/>
    <cellStyle name="Normal 152 16 2" xfId="23190" xr:uid="{00000000-0005-0000-0000-00009B5A0000}"/>
    <cellStyle name="Normal 152 17" xfId="23191" xr:uid="{00000000-0005-0000-0000-00009C5A0000}"/>
    <cellStyle name="Normal 152 17 2" xfId="23192" xr:uid="{00000000-0005-0000-0000-00009D5A0000}"/>
    <cellStyle name="Normal 152 18" xfId="23193" xr:uid="{00000000-0005-0000-0000-00009E5A0000}"/>
    <cellStyle name="Normal 152 18 2" xfId="23194" xr:uid="{00000000-0005-0000-0000-00009F5A0000}"/>
    <cellStyle name="Normal 152 19" xfId="23195" xr:uid="{00000000-0005-0000-0000-0000A05A0000}"/>
    <cellStyle name="Normal 152 19 2" xfId="23196" xr:uid="{00000000-0005-0000-0000-0000A15A0000}"/>
    <cellStyle name="Normal 152 2" xfId="23197" xr:uid="{00000000-0005-0000-0000-0000A25A0000}"/>
    <cellStyle name="Normal 152 2 2" xfId="23198" xr:uid="{00000000-0005-0000-0000-0000A35A0000}"/>
    <cellStyle name="Normal 152 20" xfId="23199" xr:uid="{00000000-0005-0000-0000-0000A45A0000}"/>
    <cellStyle name="Normal 152 20 2" xfId="23200" xr:uid="{00000000-0005-0000-0000-0000A55A0000}"/>
    <cellStyle name="Normal 152 21" xfId="23201" xr:uid="{00000000-0005-0000-0000-0000A65A0000}"/>
    <cellStyle name="Normal 152 21 2" xfId="23202" xr:uid="{00000000-0005-0000-0000-0000A75A0000}"/>
    <cellStyle name="Normal 152 22" xfId="23203" xr:uid="{00000000-0005-0000-0000-0000A85A0000}"/>
    <cellStyle name="Normal 152 22 2" xfId="23204" xr:uid="{00000000-0005-0000-0000-0000A95A0000}"/>
    <cellStyle name="Normal 152 23" xfId="23205" xr:uid="{00000000-0005-0000-0000-0000AA5A0000}"/>
    <cellStyle name="Normal 152 23 2" xfId="23206" xr:uid="{00000000-0005-0000-0000-0000AB5A0000}"/>
    <cellStyle name="Normal 152 24" xfId="23207" xr:uid="{00000000-0005-0000-0000-0000AC5A0000}"/>
    <cellStyle name="Normal 152 24 2" xfId="23208" xr:uid="{00000000-0005-0000-0000-0000AD5A0000}"/>
    <cellStyle name="Normal 152 25" xfId="23209" xr:uid="{00000000-0005-0000-0000-0000AE5A0000}"/>
    <cellStyle name="Normal 152 25 2" xfId="23210" xr:uid="{00000000-0005-0000-0000-0000AF5A0000}"/>
    <cellStyle name="Normal 152 26" xfId="23211" xr:uid="{00000000-0005-0000-0000-0000B05A0000}"/>
    <cellStyle name="Normal 152 26 2" xfId="23212" xr:uid="{00000000-0005-0000-0000-0000B15A0000}"/>
    <cellStyle name="Normal 152 27" xfId="23213" xr:uid="{00000000-0005-0000-0000-0000B25A0000}"/>
    <cellStyle name="Normal 152 27 2" xfId="23214" xr:uid="{00000000-0005-0000-0000-0000B35A0000}"/>
    <cellStyle name="Normal 152 28" xfId="23215" xr:uid="{00000000-0005-0000-0000-0000B45A0000}"/>
    <cellStyle name="Normal 152 28 2" xfId="23216" xr:uid="{00000000-0005-0000-0000-0000B55A0000}"/>
    <cellStyle name="Normal 152 29" xfId="23217" xr:uid="{00000000-0005-0000-0000-0000B65A0000}"/>
    <cellStyle name="Normal 152 29 2" xfId="23218" xr:uid="{00000000-0005-0000-0000-0000B75A0000}"/>
    <cellStyle name="Normal 152 3" xfId="23219" xr:uid="{00000000-0005-0000-0000-0000B85A0000}"/>
    <cellStyle name="Normal 152 3 2" xfId="23220" xr:uid="{00000000-0005-0000-0000-0000B95A0000}"/>
    <cellStyle name="Normal 152 30" xfId="23221" xr:uid="{00000000-0005-0000-0000-0000BA5A0000}"/>
    <cellStyle name="Normal 152 30 2" xfId="23222" xr:uid="{00000000-0005-0000-0000-0000BB5A0000}"/>
    <cellStyle name="Normal 152 31" xfId="23223" xr:uid="{00000000-0005-0000-0000-0000BC5A0000}"/>
    <cellStyle name="Normal 152 31 2" xfId="23224" xr:uid="{00000000-0005-0000-0000-0000BD5A0000}"/>
    <cellStyle name="Normal 152 32" xfId="23225" xr:uid="{00000000-0005-0000-0000-0000BE5A0000}"/>
    <cellStyle name="Normal 152 32 2" xfId="23226" xr:uid="{00000000-0005-0000-0000-0000BF5A0000}"/>
    <cellStyle name="Normal 152 33" xfId="23227" xr:uid="{00000000-0005-0000-0000-0000C05A0000}"/>
    <cellStyle name="Normal 152 33 2" xfId="23228" xr:uid="{00000000-0005-0000-0000-0000C15A0000}"/>
    <cellStyle name="Normal 152 34" xfId="23229" xr:uid="{00000000-0005-0000-0000-0000C25A0000}"/>
    <cellStyle name="Normal 152 34 2" xfId="23230" xr:uid="{00000000-0005-0000-0000-0000C35A0000}"/>
    <cellStyle name="Normal 152 35" xfId="23231" xr:uid="{00000000-0005-0000-0000-0000C45A0000}"/>
    <cellStyle name="Normal 152 35 2" xfId="23232" xr:uid="{00000000-0005-0000-0000-0000C55A0000}"/>
    <cellStyle name="Normal 152 36" xfId="23233" xr:uid="{00000000-0005-0000-0000-0000C65A0000}"/>
    <cellStyle name="Normal 152 36 2" xfId="23234" xr:uid="{00000000-0005-0000-0000-0000C75A0000}"/>
    <cellStyle name="Normal 152 37" xfId="23235" xr:uid="{00000000-0005-0000-0000-0000C85A0000}"/>
    <cellStyle name="Normal 152 37 2" xfId="23236" xr:uid="{00000000-0005-0000-0000-0000C95A0000}"/>
    <cellStyle name="Normal 152 38" xfId="23237" xr:uid="{00000000-0005-0000-0000-0000CA5A0000}"/>
    <cellStyle name="Normal 152 38 2" xfId="23238" xr:uid="{00000000-0005-0000-0000-0000CB5A0000}"/>
    <cellStyle name="Normal 152 39" xfId="23239" xr:uid="{00000000-0005-0000-0000-0000CC5A0000}"/>
    <cellStyle name="Normal 152 39 2" xfId="23240" xr:uid="{00000000-0005-0000-0000-0000CD5A0000}"/>
    <cellStyle name="Normal 152 4" xfId="23241" xr:uid="{00000000-0005-0000-0000-0000CE5A0000}"/>
    <cellStyle name="Normal 152 4 2" xfId="23242" xr:uid="{00000000-0005-0000-0000-0000CF5A0000}"/>
    <cellStyle name="Normal 152 40" xfId="23243" xr:uid="{00000000-0005-0000-0000-0000D05A0000}"/>
    <cellStyle name="Normal 152 40 2" xfId="23244" xr:uid="{00000000-0005-0000-0000-0000D15A0000}"/>
    <cellStyle name="Normal 152 41" xfId="23245" xr:uid="{00000000-0005-0000-0000-0000D25A0000}"/>
    <cellStyle name="Normal 152 41 2" xfId="23246" xr:uid="{00000000-0005-0000-0000-0000D35A0000}"/>
    <cellStyle name="Normal 152 42" xfId="23247" xr:uid="{00000000-0005-0000-0000-0000D45A0000}"/>
    <cellStyle name="Normal 152 42 2" xfId="23248" xr:uid="{00000000-0005-0000-0000-0000D55A0000}"/>
    <cellStyle name="Normal 152 43" xfId="23249" xr:uid="{00000000-0005-0000-0000-0000D65A0000}"/>
    <cellStyle name="Normal 152 43 2" xfId="23250" xr:uid="{00000000-0005-0000-0000-0000D75A0000}"/>
    <cellStyle name="Normal 152 44" xfId="23251" xr:uid="{00000000-0005-0000-0000-0000D85A0000}"/>
    <cellStyle name="Normal 152 44 2" xfId="23252" xr:uid="{00000000-0005-0000-0000-0000D95A0000}"/>
    <cellStyle name="Normal 152 45" xfId="23253" xr:uid="{00000000-0005-0000-0000-0000DA5A0000}"/>
    <cellStyle name="Normal 152 45 2" xfId="23254" xr:uid="{00000000-0005-0000-0000-0000DB5A0000}"/>
    <cellStyle name="Normal 152 46" xfId="23255" xr:uid="{00000000-0005-0000-0000-0000DC5A0000}"/>
    <cellStyle name="Normal 152 46 2" xfId="23256" xr:uid="{00000000-0005-0000-0000-0000DD5A0000}"/>
    <cellStyle name="Normal 152 47" xfId="23257" xr:uid="{00000000-0005-0000-0000-0000DE5A0000}"/>
    <cellStyle name="Normal 152 47 2" xfId="23258" xr:uid="{00000000-0005-0000-0000-0000DF5A0000}"/>
    <cellStyle name="Normal 152 48" xfId="23259" xr:uid="{00000000-0005-0000-0000-0000E05A0000}"/>
    <cellStyle name="Normal 152 48 2" xfId="23260" xr:uid="{00000000-0005-0000-0000-0000E15A0000}"/>
    <cellStyle name="Normal 152 49" xfId="23261" xr:uid="{00000000-0005-0000-0000-0000E25A0000}"/>
    <cellStyle name="Normal 152 49 2" xfId="23262" xr:uid="{00000000-0005-0000-0000-0000E35A0000}"/>
    <cellStyle name="Normal 152 5" xfId="23263" xr:uid="{00000000-0005-0000-0000-0000E45A0000}"/>
    <cellStyle name="Normal 152 5 2" xfId="23264" xr:uid="{00000000-0005-0000-0000-0000E55A0000}"/>
    <cellStyle name="Normal 152 50" xfId="23265" xr:uid="{00000000-0005-0000-0000-0000E65A0000}"/>
    <cellStyle name="Normal 152 50 2" xfId="23266" xr:uid="{00000000-0005-0000-0000-0000E75A0000}"/>
    <cellStyle name="Normal 152 51" xfId="23267" xr:uid="{00000000-0005-0000-0000-0000E85A0000}"/>
    <cellStyle name="Normal 152 51 2" xfId="23268" xr:uid="{00000000-0005-0000-0000-0000E95A0000}"/>
    <cellStyle name="Normal 152 52" xfId="23269" xr:uid="{00000000-0005-0000-0000-0000EA5A0000}"/>
    <cellStyle name="Normal 152 52 2" xfId="23270" xr:uid="{00000000-0005-0000-0000-0000EB5A0000}"/>
    <cellStyle name="Normal 152 53" xfId="23271" xr:uid="{00000000-0005-0000-0000-0000EC5A0000}"/>
    <cellStyle name="Normal 152 53 2" xfId="23272" xr:uid="{00000000-0005-0000-0000-0000ED5A0000}"/>
    <cellStyle name="Normal 152 54" xfId="23273" xr:uid="{00000000-0005-0000-0000-0000EE5A0000}"/>
    <cellStyle name="Normal 152 54 2" xfId="23274" xr:uid="{00000000-0005-0000-0000-0000EF5A0000}"/>
    <cellStyle name="Normal 152 55" xfId="23275" xr:uid="{00000000-0005-0000-0000-0000F05A0000}"/>
    <cellStyle name="Normal 152 55 2" xfId="23276" xr:uid="{00000000-0005-0000-0000-0000F15A0000}"/>
    <cellStyle name="Normal 152 56" xfId="23277" xr:uid="{00000000-0005-0000-0000-0000F25A0000}"/>
    <cellStyle name="Normal 152 56 2" xfId="23278" xr:uid="{00000000-0005-0000-0000-0000F35A0000}"/>
    <cellStyle name="Normal 152 57" xfId="23279" xr:uid="{00000000-0005-0000-0000-0000F45A0000}"/>
    <cellStyle name="Normal 152 57 2" xfId="23280" xr:uid="{00000000-0005-0000-0000-0000F55A0000}"/>
    <cellStyle name="Normal 152 58" xfId="23281" xr:uid="{00000000-0005-0000-0000-0000F65A0000}"/>
    <cellStyle name="Normal 152 58 2" xfId="23282" xr:uid="{00000000-0005-0000-0000-0000F75A0000}"/>
    <cellStyle name="Normal 152 59" xfId="23283" xr:uid="{00000000-0005-0000-0000-0000F85A0000}"/>
    <cellStyle name="Normal 152 59 2" xfId="23284" xr:uid="{00000000-0005-0000-0000-0000F95A0000}"/>
    <cellStyle name="Normal 152 6" xfId="23285" xr:uid="{00000000-0005-0000-0000-0000FA5A0000}"/>
    <cellStyle name="Normal 152 6 2" xfId="23286" xr:uid="{00000000-0005-0000-0000-0000FB5A0000}"/>
    <cellStyle name="Normal 152 60" xfId="23287" xr:uid="{00000000-0005-0000-0000-0000FC5A0000}"/>
    <cellStyle name="Normal 152 60 2" xfId="23288" xr:uid="{00000000-0005-0000-0000-0000FD5A0000}"/>
    <cellStyle name="Normal 152 61" xfId="23289" xr:uid="{00000000-0005-0000-0000-0000FE5A0000}"/>
    <cellStyle name="Normal 152 61 2" xfId="23290" xr:uid="{00000000-0005-0000-0000-0000FF5A0000}"/>
    <cellStyle name="Normal 152 62" xfId="23291" xr:uid="{00000000-0005-0000-0000-0000005B0000}"/>
    <cellStyle name="Normal 152 62 2" xfId="23292" xr:uid="{00000000-0005-0000-0000-0000015B0000}"/>
    <cellStyle name="Normal 152 62 3" xfId="23293" xr:uid="{00000000-0005-0000-0000-0000025B0000}"/>
    <cellStyle name="Normal 152 63" xfId="23294" xr:uid="{00000000-0005-0000-0000-0000035B0000}"/>
    <cellStyle name="Normal 152 7" xfId="23295" xr:uid="{00000000-0005-0000-0000-0000045B0000}"/>
    <cellStyle name="Normal 152 7 2" xfId="23296" xr:uid="{00000000-0005-0000-0000-0000055B0000}"/>
    <cellStyle name="Normal 152 8" xfId="23297" xr:uid="{00000000-0005-0000-0000-0000065B0000}"/>
    <cellStyle name="Normal 152 8 2" xfId="23298" xr:uid="{00000000-0005-0000-0000-0000075B0000}"/>
    <cellStyle name="Normal 152 9" xfId="23299" xr:uid="{00000000-0005-0000-0000-0000085B0000}"/>
    <cellStyle name="Normal 152 9 2" xfId="23300" xr:uid="{00000000-0005-0000-0000-0000095B0000}"/>
    <cellStyle name="Normal 153" xfId="23301" xr:uid="{00000000-0005-0000-0000-00000A5B0000}"/>
    <cellStyle name="Normal 153 2" xfId="23302" xr:uid="{00000000-0005-0000-0000-00000B5B0000}"/>
    <cellStyle name="Normal 154" xfId="23303" xr:uid="{00000000-0005-0000-0000-00000C5B0000}"/>
    <cellStyle name="Normal 154 2" xfId="23304" xr:uid="{00000000-0005-0000-0000-00000D5B0000}"/>
    <cellStyle name="Normal 155" xfId="23305" xr:uid="{00000000-0005-0000-0000-00000E5B0000}"/>
    <cellStyle name="Normal 155 10" xfId="23306" xr:uid="{00000000-0005-0000-0000-00000F5B0000}"/>
    <cellStyle name="Normal 155 10 2" xfId="23307" xr:uid="{00000000-0005-0000-0000-0000105B0000}"/>
    <cellStyle name="Normal 155 11" xfId="23308" xr:uid="{00000000-0005-0000-0000-0000115B0000}"/>
    <cellStyle name="Normal 155 11 2" xfId="23309" xr:uid="{00000000-0005-0000-0000-0000125B0000}"/>
    <cellStyle name="Normal 155 12" xfId="23310" xr:uid="{00000000-0005-0000-0000-0000135B0000}"/>
    <cellStyle name="Normal 155 12 2" xfId="23311" xr:uid="{00000000-0005-0000-0000-0000145B0000}"/>
    <cellStyle name="Normal 155 13" xfId="23312" xr:uid="{00000000-0005-0000-0000-0000155B0000}"/>
    <cellStyle name="Normal 155 13 2" xfId="23313" xr:uid="{00000000-0005-0000-0000-0000165B0000}"/>
    <cellStyle name="Normal 155 14" xfId="23314" xr:uid="{00000000-0005-0000-0000-0000175B0000}"/>
    <cellStyle name="Normal 155 14 2" xfId="23315" xr:uid="{00000000-0005-0000-0000-0000185B0000}"/>
    <cellStyle name="Normal 155 15" xfId="23316" xr:uid="{00000000-0005-0000-0000-0000195B0000}"/>
    <cellStyle name="Normal 155 15 2" xfId="23317" xr:uid="{00000000-0005-0000-0000-00001A5B0000}"/>
    <cellStyle name="Normal 155 16" xfId="23318" xr:uid="{00000000-0005-0000-0000-00001B5B0000}"/>
    <cellStyle name="Normal 155 16 2" xfId="23319" xr:uid="{00000000-0005-0000-0000-00001C5B0000}"/>
    <cellStyle name="Normal 155 17" xfId="23320" xr:uid="{00000000-0005-0000-0000-00001D5B0000}"/>
    <cellStyle name="Normal 155 17 2" xfId="23321" xr:uid="{00000000-0005-0000-0000-00001E5B0000}"/>
    <cellStyle name="Normal 155 18" xfId="23322" xr:uid="{00000000-0005-0000-0000-00001F5B0000}"/>
    <cellStyle name="Normal 155 18 2" xfId="23323" xr:uid="{00000000-0005-0000-0000-0000205B0000}"/>
    <cellStyle name="Normal 155 19" xfId="23324" xr:uid="{00000000-0005-0000-0000-0000215B0000}"/>
    <cellStyle name="Normal 155 19 2" xfId="23325" xr:uid="{00000000-0005-0000-0000-0000225B0000}"/>
    <cellStyle name="Normal 155 2" xfId="23326" xr:uid="{00000000-0005-0000-0000-0000235B0000}"/>
    <cellStyle name="Normal 155 2 2" xfId="23327" xr:uid="{00000000-0005-0000-0000-0000245B0000}"/>
    <cellStyle name="Normal 155 20" xfId="23328" xr:uid="{00000000-0005-0000-0000-0000255B0000}"/>
    <cellStyle name="Normal 155 20 2" xfId="23329" xr:uid="{00000000-0005-0000-0000-0000265B0000}"/>
    <cellStyle name="Normal 155 21" xfId="23330" xr:uid="{00000000-0005-0000-0000-0000275B0000}"/>
    <cellStyle name="Normal 155 21 2" xfId="23331" xr:uid="{00000000-0005-0000-0000-0000285B0000}"/>
    <cellStyle name="Normal 155 22" xfId="23332" xr:uid="{00000000-0005-0000-0000-0000295B0000}"/>
    <cellStyle name="Normal 155 22 2" xfId="23333" xr:uid="{00000000-0005-0000-0000-00002A5B0000}"/>
    <cellStyle name="Normal 155 23" xfId="23334" xr:uid="{00000000-0005-0000-0000-00002B5B0000}"/>
    <cellStyle name="Normal 155 23 2" xfId="23335" xr:uid="{00000000-0005-0000-0000-00002C5B0000}"/>
    <cellStyle name="Normal 155 24" xfId="23336" xr:uid="{00000000-0005-0000-0000-00002D5B0000}"/>
    <cellStyle name="Normal 155 24 2" xfId="23337" xr:uid="{00000000-0005-0000-0000-00002E5B0000}"/>
    <cellStyle name="Normal 155 25" xfId="23338" xr:uid="{00000000-0005-0000-0000-00002F5B0000}"/>
    <cellStyle name="Normal 155 25 2" xfId="23339" xr:uid="{00000000-0005-0000-0000-0000305B0000}"/>
    <cellStyle name="Normal 155 26" xfId="23340" xr:uid="{00000000-0005-0000-0000-0000315B0000}"/>
    <cellStyle name="Normal 155 26 2" xfId="23341" xr:uid="{00000000-0005-0000-0000-0000325B0000}"/>
    <cellStyle name="Normal 155 27" xfId="23342" xr:uid="{00000000-0005-0000-0000-0000335B0000}"/>
    <cellStyle name="Normal 155 27 2" xfId="23343" xr:uid="{00000000-0005-0000-0000-0000345B0000}"/>
    <cellStyle name="Normal 155 28" xfId="23344" xr:uid="{00000000-0005-0000-0000-0000355B0000}"/>
    <cellStyle name="Normal 155 28 2" xfId="23345" xr:uid="{00000000-0005-0000-0000-0000365B0000}"/>
    <cellStyle name="Normal 155 29" xfId="23346" xr:uid="{00000000-0005-0000-0000-0000375B0000}"/>
    <cellStyle name="Normal 155 29 2" xfId="23347" xr:uid="{00000000-0005-0000-0000-0000385B0000}"/>
    <cellStyle name="Normal 155 3" xfId="23348" xr:uid="{00000000-0005-0000-0000-0000395B0000}"/>
    <cellStyle name="Normal 155 3 2" xfId="23349" xr:uid="{00000000-0005-0000-0000-00003A5B0000}"/>
    <cellStyle name="Normal 155 30" xfId="23350" xr:uid="{00000000-0005-0000-0000-00003B5B0000}"/>
    <cellStyle name="Normal 155 30 2" xfId="23351" xr:uid="{00000000-0005-0000-0000-00003C5B0000}"/>
    <cellStyle name="Normal 155 31" xfId="23352" xr:uid="{00000000-0005-0000-0000-00003D5B0000}"/>
    <cellStyle name="Normal 155 31 2" xfId="23353" xr:uid="{00000000-0005-0000-0000-00003E5B0000}"/>
    <cellStyle name="Normal 155 32" xfId="23354" xr:uid="{00000000-0005-0000-0000-00003F5B0000}"/>
    <cellStyle name="Normal 155 32 2" xfId="23355" xr:uid="{00000000-0005-0000-0000-0000405B0000}"/>
    <cellStyle name="Normal 155 33" xfId="23356" xr:uid="{00000000-0005-0000-0000-0000415B0000}"/>
    <cellStyle name="Normal 155 33 2" xfId="23357" xr:uid="{00000000-0005-0000-0000-0000425B0000}"/>
    <cellStyle name="Normal 155 34" xfId="23358" xr:uid="{00000000-0005-0000-0000-0000435B0000}"/>
    <cellStyle name="Normal 155 34 2" xfId="23359" xr:uid="{00000000-0005-0000-0000-0000445B0000}"/>
    <cellStyle name="Normal 155 35" xfId="23360" xr:uid="{00000000-0005-0000-0000-0000455B0000}"/>
    <cellStyle name="Normal 155 35 2" xfId="23361" xr:uid="{00000000-0005-0000-0000-0000465B0000}"/>
    <cellStyle name="Normal 155 36" xfId="23362" xr:uid="{00000000-0005-0000-0000-0000475B0000}"/>
    <cellStyle name="Normal 155 36 2" xfId="23363" xr:uid="{00000000-0005-0000-0000-0000485B0000}"/>
    <cellStyle name="Normal 155 37" xfId="23364" xr:uid="{00000000-0005-0000-0000-0000495B0000}"/>
    <cellStyle name="Normal 155 37 2" xfId="23365" xr:uid="{00000000-0005-0000-0000-00004A5B0000}"/>
    <cellStyle name="Normal 155 38" xfId="23366" xr:uid="{00000000-0005-0000-0000-00004B5B0000}"/>
    <cellStyle name="Normal 155 38 2" xfId="23367" xr:uid="{00000000-0005-0000-0000-00004C5B0000}"/>
    <cellStyle name="Normal 155 39" xfId="23368" xr:uid="{00000000-0005-0000-0000-00004D5B0000}"/>
    <cellStyle name="Normal 155 39 2" xfId="23369" xr:uid="{00000000-0005-0000-0000-00004E5B0000}"/>
    <cellStyle name="Normal 155 4" xfId="23370" xr:uid="{00000000-0005-0000-0000-00004F5B0000}"/>
    <cellStyle name="Normal 155 4 2" xfId="23371" xr:uid="{00000000-0005-0000-0000-0000505B0000}"/>
    <cellStyle name="Normal 155 40" xfId="23372" xr:uid="{00000000-0005-0000-0000-0000515B0000}"/>
    <cellStyle name="Normal 155 40 2" xfId="23373" xr:uid="{00000000-0005-0000-0000-0000525B0000}"/>
    <cellStyle name="Normal 155 41" xfId="23374" xr:uid="{00000000-0005-0000-0000-0000535B0000}"/>
    <cellStyle name="Normal 155 41 2" xfId="23375" xr:uid="{00000000-0005-0000-0000-0000545B0000}"/>
    <cellStyle name="Normal 155 42" xfId="23376" xr:uid="{00000000-0005-0000-0000-0000555B0000}"/>
    <cellStyle name="Normal 155 42 2" xfId="23377" xr:uid="{00000000-0005-0000-0000-0000565B0000}"/>
    <cellStyle name="Normal 155 43" xfId="23378" xr:uid="{00000000-0005-0000-0000-0000575B0000}"/>
    <cellStyle name="Normal 155 43 2" xfId="23379" xr:uid="{00000000-0005-0000-0000-0000585B0000}"/>
    <cellStyle name="Normal 155 44" xfId="23380" xr:uid="{00000000-0005-0000-0000-0000595B0000}"/>
    <cellStyle name="Normal 155 44 2" xfId="23381" xr:uid="{00000000-0005-0000-0000-00005A5B0000}"/>
    <cellStyle name="Normal 155 45" xfId="23382" xr:uid="{00000000-0005-0000-0000-00005B5B0000}"/>
    <cellStyle name="Normal 155 45 2" xfId="23383" xr:uid="{00000000-0005-0000-0000-00005C5B0000}"/>
    <cellStyle name="Normal 155 46" xfId="23384" xr:uid="{00000000-0005-0000-0000-00005D5B0000}"/>
    <cellStyle name="Normal 155 46 2" xfId="23385" xr:uid="{00000000-0005-0000-0000-00005E5B0000}"/>
    <cellStyle name="Normal 155 47" xfId="23386" xr:uid="{00000000-0005-0000-0000-00005F5B0000}"/>
    <cellStyle name="Normal 155 47 2" xfId="23387" xr:uid="{00000000-0005-0000-0000-0000605B0000}"/>
    <cellStyle name="Normal 155 48" xfId="23388" xr:uid="{00000000-0005-0000-0000-0000615B0000}"/>
    <cellStyle name="Normal 155 48 2" xfId="23389" xr:uid="{00000000-0005-0000-0000-0000625B0000}"/>
    <cellStyle name="Normal 155 49" xfId="23390" xr:uid="{00000000-0005-0000-0000-0000635B0000}"/>
    <cellStyle name="Normal 155 49 2" xfId="23391" xr:uid="{00000000-0005-0000-0000-0000645B0000}"/>
    <cellStyle name="Normal 155 5" xfId="23392" xr:uid="{00000000-0005-0000-0000-0000655B0000}"/>
    <cellStyle name="Normal 155 5 2" xfId="23393" xr:uid="{00000000-0005-0000-0000-0000665B0000}"/>
    <cellStyle name="Normal 155 50" xfId="23394" xr:uid="{00000000-0005-0000-0000-0000675B0000}"/>
    <cellStyle name="Normal 155 50 2" xfId="23395" xr:uid="{00000000-0005-0000-0000-0000685B0000}"/>
    <cellStyle name="Normal 155 51" xfId="23396" xr:uid="{00000000-0005-0000-0000-0000695B0000}"/>
    <cellStyle name="Normal 155 51 2" xfId="23397" xr:uid="{00000000-0005-0000-0000-00006A5B0000}"/>
    <cellStyle name="Normal 155 52" xfId="23398" xr:uid="{00000000-0005-0000-0000-00006B5B0000}"/>
    <cellStyle name="Normal 155 52 2" xfId="23399" xr:uid="{00000000-0005-0000-0000-00006C5B0000}"/>
    <cellStyle name="Normal 155 53" xfId="23400" xr:uid="{00000000-0005-0000-0000-00006D5B0000}"/>
    <cellStyle name="Normal 155 53 2" xfId="23401" xr:uid="{00000000-0005-0000-0000-00006E5B0000}"/>
    <cellStyle name="Normal 155 54" xfId="23402" xr:uid="{00000000-0005-0000-0000-00006F5B0000}"/>
    <cellStyle name="Normal 155 54 2" xfId="23403" xr:uid="{00000000-0005-0000-0000-0000705B0000}"/>
    <cellStyle name="Normal 155 55" xfId="23404" xr:uid="{00000000-0005-0000-0000-0000715B0000}"/>
    <cellStyle name="Normal 155 55 2" xfId="23405" xr:uid="{00000000-0005-0000-0000-0000725B0000}"/>
    <cellStyle name="Normal 155 56" xfId="23406" xr:uid="{00000000-0005-0000-0000-0000735B0000}"/>
    <cellStyle name="Normal 155 56 2" xfId="23407" xr:uid="{00000000-0005-0000-0000-0000745B0000}"/>
    <cellStyle name="Normal 155 57" xfId="23408" xr:uid="{00000000-0005-0000-0000-0000755B0000}"/>
    <cellStyle name="Normal 155 57 2" xfId="23409" xr:uid="{00000000-0005-0000-0000-0000765B0000}"/>
    <cellStyle name="Normal 155 58" xfId="23410" xr:uid="{00000000-0005-0000-0000-0000775B0000}"/>
    <cellStyle name="Normal 155 58 2" xfId="23411" xr:uid="{00000000-0005-0000-0000-0000785B0000}"/>
    <cellStyle name="Normal 155 59" xfId="23412" xr:uid="{00000000-0005-0000-0000-0000795B0000}"/>
    <cellStyle name="Normal 155 59 2" xfId="23413" xr:uid="{00000000-0005-0000-0000-00007A5B0000}"/>
    <cellStyle name="Normal 155 6" xfId="23414" xr:uid="{00000000-0005-0000-0000-00007B5B0000}"/>
    <cellStyle name="Normal 155 6 2" xfId="23415" xr:uid="{00000000-0005-0000-0000-00007C5B0000}"/>
    <cellStyle name="Normal 155 60" xfId="23416" xr:uid="{00000000-0005-0000-0000-00007D5B0000}"/>
    <cellStyle name="Normal 155 60 2" xfId="23417" xr:uid="{00000000-0005-0000-0000-00007E5B0000}"/>
    <cellStyle name="Normal 155 61" xfId="23418" xr:uid="{00000000-0005-0000-0000-00007F5B0000}"/>
    <cellStyle name="Normal 155 61 2" xfId="23419" xr:uid="{00000000-0005-0000-0000-0000805B0000}"/>
    <cellStyle name="Normal 155 62" xfId="23420" xr:uid="{00000000-0005-0000-0000-0000815B0000}"/>
    <cellStyle name="Normal 155 62 2" xfId="23421" xr:uid="{00000000-0005-0000-0000-0000825B0000}"/>
    <cellStyle name="Normal 155 62 3" xfId="23422" xr:uid="{00000000-0005-0000-0000-0000835B0000}"/>
    <cellStyle name="Normal 155 63" xfId="23423" xr:uid="{00000000-0005-0000-0000-0000845B0000}"/>
    <cellStyle name="Normal 155 7" xfId="23424" xr:uid="{00000000-0005-0000-0000-0000855B0000}"/>
    <cellStyle name="Normal 155 7 2" xfId="23425" xr:uid="{00000000-0005-0000-0000-0000865B0000}"/>
    <cellStyle name="Normal 155 8" xfId="23426" xr:uid="{00000000-0005-0000-0000-0000875B0000}"/>
    <cellStyle name="Normal 155 8 2" xfId="23427" xr:uid="{00000000-0005-0000-0000-0000885B0000}"/>
    <cellStyle name="Normal 155 9" xfId="23428" xr:uid="{00000000-0005-0000-0000-0000895B0000}"/>
    <cellStyle name="Normal 155 9 2" xfId="23429" xr:uid="{00000000-0005-0000-0000-00008A5B0000}"/>
    <cellStyle name="Normal 156" xfId="23430" xr:uid="{00000000-0005-0000-0000-00008B5B0000}"/>
    <cellStyle name="Normal 156 10" xfId="23431" xr:uid="{00000000-0005-0000-0000-00008C5B0000}"/>
    <cellStyle name="Normal 156 10 2" xfId="23432" xr:uid="{00000000-0005-0000-0000-00008D5B0000}"/>
    <cellStyle name="Normal 156 11" xfId="23433" xr:uid="{00000000-0005-0000-0000-00008E5B0000}"/>
    <cellStyle name="Normal 156 11 2" xfId="23434" xr:uid="{00000000-0005-0000-0000-00008F5B0000}"/>
    <cellStyle name="Normal 156 12" xfId="23435" xr:uid="{00000000-0005-0000-0000-0000905B0000}"/>
    <cellStyle name="Normal 156 12 2" xfId="23436" xr:uid="{00000000-0005-0000-0000-0000915B0000}"/>
    <cellStyle name="Normal 156 13" xfId="23437" xr:uid="{00000000-0005-0000-0000-0000925B0000}"/>
    <cellStyle name="Normal 156 13 2" xfId="23438" xr:uid="{00000000-0005-0000-0000-0000935B0000}"/>
    <cellStyle name="Normal 156 14" xfId="23439" xr:uid="{00000000-0005-0000-0000-0000945B0000}"/>
    <cellStyle name="Normal 156 14 2" xfId="23440" xr:uid="{00000000-0005-0000-0000-0000955B0000}"/>
    <cellStyle name="Normal 156 15" xfId="23441" xr:uid="{00000000-0005-0000-0000-0000965B0000}"/>
    <cellStyle name="Normal 156 15 2" xfId="23442" xr:uid="{00000000-0005-0000-0000-0000975B0000}"/>
    <cellStyle name="Normal 156 16" xfId="23443" xr:uid="{00000000-0005-0000-0000-0000985B0000}"/>
    <cellStyle name="Normal 156 16 2" xfId="23444" xr:uid="{00000000-0005-0000-0000-0000995B0000}"/>
    <cellStyle name="Normal 156 17" xfId="23445" xr:uid="{00000000-0005-0000-0000-00009A5B0000}"/>
    <cellStyle name="Normal 156 17 2" xfId="23446" xr:uid="{00000000-0005-0000-0000-00009B5B0000}"/>
    <cellStyle name="Normal 156 18" xfId="23447" xr:uid="{00000000-0005-0000-0000-00009C5B0000}"/>
    <cellStyle name="Normal 156 18 2" xfId="23448" xr:uid="{00000000-0005-0000-0000-00009D5B0000}"/>
    <cellStyle name="Normal 156 19" xfId="23449" xr:uid="{00000000-0005-0000-0000-00009E5B0000}"/>
    <cellStyle name="Normal 156 19 2" xfId="23450" xr:uid="{00000000-0005-0000-0000-00009F5B0000}"/>
    <cellStyle name="Normal 156 2" xfId="23451" xr:uid="{00000000-0005-0000-0000-0000A05B0000}"/>
    <cellStyle name="Normal 156 2 2" xfId="23452" xr:uid="{00000000-0005-0000-0000-0000A15B0000}"/>
    <cellStyle name="Normal 156 20" xfId="23453" xr:uid="{00000000-0005-0000-0000-0000A25B0000}"/>
    <cellStyle name="Normal 156 20 2" xfId="23454" xr:uid="{00000000-0005-0000-0000-0000A35B0000}"/>
    <cellStyle name="Normal 156 21" xfId="23455" xr:uid="{00000000-0005-0000-0000-0000A45B0000}"/>
    <cellStyle name="Normal 156 21 2" xfId="23456" xr:uid="{00000000-0005-0000-0000-0000A55B0000}"/>
    <cellStyle name="Normal 156 22" xfId="23457" xr:uid="{00000000-0005-0000-0000-0000A65B0000}"/>
    <cellStyle name="Normal 156 22 2" xfId="23458" xr:uid="{00000000-0005-0000-0000-0000A75B0000}"/>
    <cellStyle name="Normal 156 23" xfId="23459" xr:uid="{00000000-0005-0000-0000-0000A85B0000}"/>
    <cellStyle name="Normal 156 23 2" xfId="23460" xr:uid="{00000000-0005-0000-0000-0000A95B0000}"/>
    <cellStyle name="Normal 156 24" xfId="23461" xr:uid="{00000000-0005-0000-0000-0000AA5B0000}"/>
    <cellStyle name="Normal 156 24 2" xfId="23462" xr:uid="{00000000-0005-0000-0000-0000AB5B0000}"/>
    <cellStyle name="Normal 156 25" xfId="23463" xr:uid="{00000000-0005-0000-0000-0000AC5B0000}"/>
    <cellStyle name="Normal 156 25 2" xfId="23464" xr:uid="{00000000-0005-0000-0000-0000AD5B0000}"/>
    <cellStyle name="Normal 156 26" xfId="23465" xr:uid="{00000000-0005-0000-0000-0000AE5B0000}"/>
    <cellStyle name="Normal 156 26 2" xfId="23466" xr:uid="{00000000-0005-0000-0000-0000AF5B0000}"/>
    <cellStyle name="Normal 156 27" xfId="23467" xr:uid="{00000000-0005-0000-0000-0000B05B0000}"/>
    <cellStyle name="Normal 156 27 2" xfId="23468" xr:uid="{00000000-0005-0000-0000-0000B15B0000}"/>
    <cellStyle name="Normal 156 28" xfId="23469" xr:uid="{00000000-0005-0000-0000-0000B25B0000}"/>
    <cellStyle name="Normal 156 28 2" xfId="23470" xr:uid="{00000000-0005-0000-0000-0000B35B0000}"/>
    <cellStyle name="Normal 156 29" xfId="23471" xr:uid="{00000000-0005-0000-0000-0000B45B0000}"/>
    <cellStyle name="Normal 156 29 2" xfId="23472" xr:uid="{00000000-0005-0000-0000-0000B55B0000}"/>
    <cellStyle name="Normal 156 3" xfId="23473" xr:uid="{00000000-0005-0000-0000-0000B65B0000}"/>
    <cellStyle name="Normal 156 3 2" xfId="23474" xr:uid="{00000000-0005-0000-0000-0000B75B0000}"/>
    <cellStyle name="Normal 156 30" xfId="23475" xr:uid="{00000000-0005-0000-0000-0000B85B0000}"/>
    <cellStyle name="Normal 156 30 2" xfId="23476" xr:uid="{00000000-0005-0000-0000-0000B95B0000}"/>
    <cellStyle name="Normal 156 31" xfId="23477" xr:uid="{00000000-0005-0000-0000-0000BA5B0000}"/>
    <cellStyle name="Normal 156 31 2" xfId="23478" xr:uid="{00000000-0005-0000-0000-0000BB5B0000}"/>
    <cellStyle name="Normal 156 32" xfId="23479" xr:uid="{00000000-0005-0000-0000-0000BC5B0000}"/>
    <cellStyle name="Normal 156 32 2" xfId="23480" xr:uid="{00000000-0005-0000-0000-0000BD5B0000}"/>
    <cellStyle name="Normal 156 33" xfId="23481" xr:uid="{00000000-0005-0000-0000-0000BE5B0000}"/>
    <cellStyle name="Normal 156 33 2" xfId="23482" xr:uid="{00000000-0005-0000-0000-0000BF5B0000}"/>
    <cellStyle name="Normal 156 34" xfId="23483" xr:uid="{00000000-0005-0000-0000-0000C05B0000}"/>
    <cellStyle name="Normal 156 34 2" xfId="23484" xr:uid="{00000000-0005-0000-0000-0000C15B0000}"/>
    <cellStyle name="Normal 156 35" xfId="23485" xr:uid="{00000000-0005-0000-0000-0000C25B0000}"/>
    <cellStyle name="Normal 156 35 2" xfId="23486" xr:uid="{00000000-0005-0000-0000-0000C35B0000}"/>
    <cellStyle name="Normal 156 36" xfId="23487" xr:uid="{00000000-0005-0000-0000-0000C45B0000}"/>
    <cellStyle name="Normal 156 36 2" xfId="23488" xr:uid="{00000000-0005-0000-0000-0000C55B0000}"/>
    <cellStyle name="Normal 156 37" xfId="23489" xr:uid="{00000000-0005-0000-0000-0000C65B0000}"/>
    <cellStyle name="Normal 156 37 2" xfId="23490" xr:uid="{00000000-0005-0000-0000-0000C75B0000}"/>
    <cellStyle name="Normal 156 38" xfId="23491" xr:uid="{00000000-0005-0000-0000-0000C85B0000}"/>
    <cellStyle name="Normal 156 38 2" xfId="23492" xr:uid="{00000000-0005-0000-0000-0000C95B0000}"/>
    <cellStyle name="Normal 156 39" xfId="23493" xr:uid="{00000000-0005-0000-0000-0000CA5B0000}"/>
    <cellStyle name="Normal 156 39 2" xfId="23494" xr:uid="{00000000-0005-0000-0000-0000CB5B0000}"/>
    <cellStyle name="Normal 156 4" xfId="23495" xr:uid="{00000000-0005-0000-0000-0000CC5B0000}"/>
    <cellStyle name="Normal 156 4 2" xfId="23496" xr:uid="{00000000-0005-0000-0000-0000CD5B0000}"/>
    <cellStyle name="Normal 156 40" xfId="23497" xr:uid="{00000000-0005-0000-0000-0000CE5B0000}"/>
    <cellStyle name="Normal 156 40 2" xfId="23498" xr:uid="{00000000-0005-0000-0000-0000CF5B0000}"/>
    <cellStyle name="Normal 156 41" xfId="23499" xr:uid="{00000000-0005-0000-0000-0000D05B0000}"/>
    <cellStyle name="Normal 156 41 2" xfId="23500" xr:uid="{00000000-0005-0000-0000-0000D15B0000}"/>
    <cellStyle name="Normal 156 42" xfId="23501" xr:uid="{00000000-0005-0000-0000-0000D25B0000}"/>
    <cellStyle name="Normal 156 42 2" xfId="23502" xr:uid="{00000000-0005-0000-0000-0000D35B0000}"/>
    <cellStyle name="Normal 156 43" xfId="23503" xr:uid="{00000000-0005-0000-0000-0000D45B0000}"/>
    <cellStyle name="Normal 156 43 2" xfId="23504" xr:uid="{00000000-0005-0000-0000-0000D55B0000}"/>
    <cellStyle name="Normal 156 44" xfId="23505" xr:uid="{00000000-0005-0000-0000-0000D65B0000}"/>
    <cellStyle name="Normal 156 44 2" xfId="23506" xr:uid="{00000000-0005-0000-0000-0000D75B0000}"/>
    <cellStyle name="Normal 156 45" xfId="23507" xr:uid="{00000000-0005-0000-0000-0000D85B0000}"/>
    <cellStyle name="Normal 156 45 2" xfId="23508" xr:uid="{00000000-0005-0000-0000-0000D95B0000}"/>
    <cellStyle name="Normal 156 46" xfId="23509" xr:uid="{00000000-0005-0000-0000-0000DA5B0000}"/>
    <cellStyle name="Normal 156 46 2" xfId="23510" xr:uid="{00000000-0005-0000-0000-0000DB5B0000}"/>
    <cellStyle name="Normal 156 47" xfId="23511" xr:uid="{00000000-0005-0000-0000-0000DC5B0000}"/>
    <cellStyle name="Normal 156 47 2" xfId="23512" xr:uid="{00000000-0005-0000-0000-0000DD5B0000}"/>
    <cellStyle name="Normal 156 48" xfId="23513" xr:uid="{00000000-0005-0000-0000-0000DE5B0000}"/>
    <cellStyle name="Normal 156 48 2" xfId="23514" xr:uid="{00000000-0005-0000-0000-0000DF5B0000}"/>
    <cellStyle name="Normal 156 49" xfId="23515" xr:uid="{00000000-0005-0000-0000-0000E05B0000}"/>
    <cellStyle name="Normal 156 49 2" xfId="23516" xr:uid="{00000000-0005-0000-0000-0000E15B0000}"/>
    <cellStyle name="Normal 156 5" xfId="23517" xr:uid="{00000000-0005-0000-0000-0000E25B0000}"/>
    <cellStyle name="Normal 156 5 2" xfId="23518" xr:uid="{00000000-0005-0000-0000-0000E35B0000}"/>
    <cellStyle name="Normal 156 50" xfId="23519" xr:uid="{00000000-0005-0000-0000-0000E45B0000}"/>
    <cellStyle name="Normal 156 50 2" xfId="23520" xr:uid="{00000000-0005-0000-0000-0000E55B0000}"/>
    <cellStyle name="Normal 156 51" xfId="23521" xr:uid="{00000000-0005-0000-0000-0000E65B0000}"/>
    <cellStyle name="Normal 156 51 2" xfId="23522" xr:uid="{00000000-0005-0000-0000-0000E75B0000}"/>
    <cellStyle name="Normal 156 52" xfId="23523" xr:uid="{00000000-0005-0000-0000-0000E85B0000}"/>
    <cellStyle name="Normal 156 52 2" xfId="23524" xr:uid="{00000000-0005-0000-0000-0000E95B0000}"/>
    <cellStyle name="Normal 156 53" xfId="23525" xr:uid="{00000000-0005-0000-0000-0000EA5B0000}"/>
    <cellStyle name="Normal 156 53 2" xfId="23526" xr:uid="{00000000-0005-0000-0000-0000EB5B0000}"/>
    <cellStyle name="Normal 156 54" xfId="23527" xr:uid="{00000000-0005-0000-0000-0000EC5B0000}"/>
    <cellStyle name="Normal 156 54 2" xfId="23528" xr:uid="{00000000-0005-0000-0000-0000ED5B0000}"/>
    <cellStyle name="Normal 156 55" xfId="23529" xr:uid="{00000000-0005-0000-0000-0000EE5B0000}"/>
    <cellStyle name="Normal 156 55 2" xfId="23530" xr:uid="{00000000-0005-0000-0000-0000EF5B0000}"/>
    <cellStyle name="Normal 156 56" xfId="23531" xr:uid="{00000000-0005-0000-0000-0000F05B0000}"/>
    <cellStyle name="Normal 156 56 2" xfId="23532" xr:uid="{00000000-0005-0000-0000-0000F15B0000}"/>
    <cellStyle name="Normal 156 57" xfId="23533" xr:uid="{00000000-0005-0000-0000-0000F25B0000}"/>
    <cellStyle name="Normal 156 57 2" xfId="23534" xr:uid="{00000000-0005-0000-0000-0000F35B0000}"/>
    <cellStyle name="Normal 156 58" xfId="23535" xr:uid="{00000000-0005-0000-0000-0000F45B0000}"/>
    <cellStyle name="Normal 156 58 2" xfId="23536" xr:uid="{00000000-0005-0000-0000-0000F55B0000}"/>
    <cellStyle name="Normal 156 59" xfId="23537" xr:uid="{00000000-0005-0000-0000-0000F65B0000}"/>
    <cellStyle name="Normal 156 59 2" xfId="23538" xr:uid="{00000000-0005-0000-0000-0000F75B0000}"/>
    <cellStyle name="Normal 156 6" xfId="23539" xr:uid="{00000000-0005-0000-0000-0000F85B0000}"/>
    <cellStyle name="Normal 156 6 2" xfId="23540" xr:uid="{00000000-0005-0000-0000-0000F95B0000}"/>
    <cellStyle name="Normal 156 60" xfId="23541" xr:uid="{00000000-0005-0000-0000-0000FA5B0000}"/>
    <cellStyle name="Normal 156 60 2" xfId="23542" xr:uid="{00000000-0005-0000-0000-0000FB5B0000}"/>
    <cellStyle name="Normal 156 61" xfId="23543" xr:uid="{00000000-0005-0000-0000-0000FC5B0000}"/>
    <cellStyle name="Normal 156 61 2" xfId="23544" xr:uid="{00000000-0005-0000-0000-0000FD5B0000}"/>
    <cellStyle name="Normal 156 62" xfId="23545" xr:uid="{00000000-0005-0000-0000-0000FE5B0000}"/>
    <cellStyle name="Normal 156 62 2" xfId="23546" xr:uid="{00000000-0005-0000-0000-0000FF5B0000}"/>
    <cellStyle name="Normal 156 62 3" xfId="23547" xr:uid="{00000000-0005-0000-0000-0000005C0000}"/>
    <cellStyle name="Normal 156 63" xfId="23548" xr:uid="{00000000-0005-0000-0000-0000015C0000}"/>
    <cellStyle name="Normal 156 7" xfId="23549" xr:uid="{00000000-0005-0000-0000-0000025C0000}"/>
    <cellStyle name="Normal 156 7 2" xfId="23550" xr:uid="{00000000-0005-0000-0000-0000035C0000}"/>
    <cellStyle name="Normal 156 8" xfId="23551" xr:uid="{00000000-0005-0000-0000-0000045C0000}"/>
    <cellStyle name="Normal 156 8 2" xfId="23552" xr:uid="{00000000-0005-0000-0000-0000055C0000}"/>
    <cellStyle name="Normal 156 9" xfId="23553" xr:uid="{00000000-0005-0000-0000-0000065C0000}"/>
    <cellStyle name="Normal 156 9 2" xfId="23554" xr:uid="{00000000-0005-0000-0000-0000075C0000}"/>
    <cellStyle name="Normal 157" xfId="23555" xr:uid="{00000000-0005-0000-0000-0000085C0000}"/>
    <cellStyle name="Normal 157 10" xfId="23556" xr:uid="{00000000-0005-0000-0000-0000095C0000}"/>
    <cellStyle name="Normal 157 10 2" xfId="23557" xr:uid="{00000000-0005-0000-0000-00000A5C0000}"/>
    <cellStyle name="Normal 157 11" xfId="23558" xr:uid="{00000000-0005-0000-0000-00000B5C0000}"/>
    <cellStyle name="Normal 157 11 2" xfId="23559" xr:uid="{00000000-0005-0000-0000-00000C5C0000}"/>
    <cellStyle name="Normal 157 12" xfId="23560" xr:uid="{00000000-0005-0000-0000-00000D5C0000}"/>
    <cellStyle name="Normal 157 12 2" xfId="23561" xr:uid="{00000000-0005-0000-0000-00000E5C0000}"/>
    <cellStyle name="Normal 157 13" xfId="23562" xr:uid="{00000000-0005-0000-0000-00000F5C0000}"/>
    <cellStyle name="Normal 157 13 2" xfId="23563" xr:uid="{00000000-0005-0000-0000-0000105C0000}"/>
    <cellStyle name="Normal 157 14" xfId="23564" xr:uid="{00000000-0005-0000-0000-0000115C0000}"/>
    <cellStyle name="Normal 157 14 2" xfId="23565" xr:uid="{00000000-0005-0000-0000-0000125C0000}"/>
    <cellStyle name="Normal 157 15" xfId="23566" xr:uid="{00000000-0005-0000-0000-0000135C0000}"/>
    <cellStyle name="Normal 157 15 2" xfId="23567" xr:uid="{00000000-0005-0000-0000-0000145C0000}"/>
    <cellStyle name="Normal 157 16" xfId="23568" xr:uid="{00000000-0005-0000-0000-0000155C0000}"/>
    <cellStyle name="Normal 157 16 2" xfId="23569" xr:uid="{00000000-0005-0000-0000-0000165C0000}"/>
    <cellStyle name="Normal 157 17" xfId="23570" xr:uid="{00000000-0005-0000-0000-0000175C0000}"/>
    <cellStyle name="Normal 157 17 2" xfId="23571" xr:uid="{00000000-0005-0000-0000-0000185C0000}"/>
    <cellStyle name="Normal 157 18" xfId="23572" xr:uid="{00000000-0005-0000-0000-0000195C0000}"/>
    <cellStyle name="Normal 157 18 2" xfId="23573" xr:uid="{00000000-0005-0000-0000-00001A5C0000}"/>
    <cellStyle name="Normal 157 19" xfId="23574" xr:uid="{00000000-0005-0000-0000-00001B5C0000}"/>
    <cellStyle name="Normal 157 19 2" xfId="23575" xr:uid="{00000000-0005-0000-0000-00001C5C0000}"/>
    <cellStyle name="Normal 157 2" xfId="23576" xr:uid="{00000000-0005-0000-0000-00001D5C0000}"/>
    <cellStyle name="Normal 157 2 2" xfId="23577" xr:uid="{00000000-0005-0000-0000-00001E5C0000}"/>
    <cellStyle name="Normal 157 20" xfId="23578" xr:uid="{00000000-0005-0000-0000-00001F5C0000}"/>
    <cellStyle name="Normal 157 20 2" xfId="23579" xr:uid="{00000000-0005-0000-0000-0000205C0000}"/>
    <cellStyle name="Normal 157 21" xfId="23580" xr:uid="{00000000-0005-0000-0000-0000215C0000}"/>
    <cellStyle name="Normal 157 21 2" xfId="23581" xr:uid="{00000000-0005-0000-0000-0000225C0000}"/>
    <cellStyle name="Normal 157 22" xfId="23582" xr:uid="{00000000-0005-0000-0000-0000235C0000}"/>
    <cellStyle name="Normal 157 22 2" xfId="23583" xr:uid="{00000000-0005-0000-0000-0000245C0000}"/>
    <cellStyle name="Normal 157 23" xfId="23584" xr:uid="{00000000-0005-0000-0000-0000255C0000}"/>
    <cellStyle name="Normal 157 23 2" xfId="23585" xr:uid="{00000000-0005-0000-0000-0000265C0000}"/>
    <cellStyle name="Normal 157 24" xfId="23586" xr:uid="{00000000-0005-0000-0000-0000275C0000}"/>
    <cellStyle name="Normal 157 24 2" xfId="23587" xr:uid="{00000000-0005-0000-0000-0000285C0000}"/>
    <cellStyle name="Normal 157 25" xfId="23588" xr:uid="{00000000-0005-0000-0000-0000295C0000}"/>
    <cellStyle name="Normal 157 25 2" xfId="23589" xr:uid="{00000000-0005-0000-0000-00002A5C0000}"/>
    <cellStyle name="Normal 157 26" xfId="23590" xr:uid="{00000000-0005-0000-0000-00002B5C0000}"/>
    <cellStyle name="Normal 157 26 2" xfId="23591" xr:uid="{00000000-0005-0000-0000-00002C5C0000}"/>
    <cellStyle name="Normal 157 27" xfId="23592" xr:uid="{00000000-0005-0000-0000-00002D5C0000}"/>
    <cellStyle name="Normal 157 27 2" xfId="23593" xr:uid="{00000000-0005-0000-0000-00002E5C0000}"/>
    <cellStyle name="Normal 157 28" xfId="23594" xr:uid="{00000000-0005-0000-0000-00002F5C0000}"/>
    <cellStyle name="Normal 157 28 2" xfId="23595" xr:uid="{00000000-0005-0000-0000-0000305C0000}"/>
    <cellStyle name="Normal 157 29" xfId="23596" xr:uid="{00000000-0005-0000-0000-0000315C0000}"/>
    <cellStyle name="Normal 157 29 2" xfId="23597" xr:uid="{00000000-0005-0000-0000-0000325C0000}"/>
    <cellStyle name="Normal 157 3" xfId="23598" xr:uid="{00000000-0005-0000-0000-0000335C0000}"/>
    <cellStyle name="Normal 157 3 2" xfId="23599" xr:uid="{00000000-0005-0000-0000-0000345C0000}"/>
    <cellStyle name="Normal 157 30" xfId="23600" xr:uid="{00000000-0005-0000-0000-0000355C0000}"/>
    <cellStyle name="Normal 157 30 2" xfId="23601" xr:uid="{00000000-0005-0000-0000-0000365C0000}"/>
    <cellStyle name="Normal 157 31" xfId="23602" xr:uid="{00000000-0005-0000-0000-0000375C0000}"/>
    <cellStyle name="Normal 157 31 2" xfId="23603" xr:uid="{00000000-0005-0000-0000-0000385C0000}"/>
    <cellStyle name="Normal 157 32" xfId="23604" xr:uid="{00000000-0005-0000-0000-0000395C0000}"/>
    <cellStyle name="Normal 157 32 2" xfId="23605" xr:uid="{00000000-0005-0000-0000-00003A5C0000}"/>
    <cellStyle name="Normal 157 33" xfId="23606" xr:uid="{00000000-0005-0000-0000-00003B5C0000}"/>
    <cellStyle name="Normal 157 33 2" xfId="23607" xr:uid="{00000000-0005-0000-0000-00003C5C0000}"/>
    <cellStyle name="Normal 157 34" xfId="23608" xr:uid="{00000000-0005-0000-0000-00003D5C0000}"/>
    <cellStyle name="Normal 157 34 2" xfId="23609" xr:uid="{00000000-0005-0000-0000-00003E5C0000}"/>
    <cellStyle name="Normal 157 35" xfId="23610" xr:uid="{00000000-0005-0000-0000-00003F5C0000}"/>
    <cellStyle name="Normal 157 35 2" xfId="23611" xr:uid="{00000000-0005-0000-0000-0000405C0000}"/>
    <cellStyle name="Normal 157 36" xfId="23612" xr:uid="{00000000-0005-0000-0000-0000415C0000}"/>
    <cellStyle name="Normal 157 36 2" xfId="23613" xr:uid="{00000000-0005-0000-0000-0000425C0000}"/>
    <cellStyle name="Normal 157 37" xfId="23614" xr:uid="{00000000-0005-0000-0000-0000435C0000}"/>
    <cellStyle name="Normal 157 37 2" xfId="23615" xr:uid="{00000000-0005-0000-0000-0000445C0000}"/>
    <cellStyle name="Normal 157 38" xfId="23616" xr:uid="{00000000-0005-0000-0000-0000455C0000}"/>
    <cellStyle name="Normal 157 38 2" xfId="23617" xr:uid="{00000000-0005-0000-0000-0000465C0000}"/>
    <cellStyle name="Normal 157 39" xfId="23618" xr:uid="{00000000-0005-0000-0000-0000475C0000}"/>
    <cellStyle name="Normal 157 39 2" xfId="23619" xr:uid="{00000000-0005-0000-0000-0000485C0000}"/>
    <cellStyle name="Normal 157 4" xfId="23620" xr:uid="{00000000-0005-0000-0000-0000495C0000}"/>
    <cellStyle name="Normal 157 4 2" xfId="23621" xr:uid="{00000000-0005-0000-0000-00004A5C0000}"/>
    <cellStyle name="Normal 157 40" xfId="23622" xr:uid="{00000000-0005-0000-0000-00004B5C0000}"/>
    <cellStyle name="Normal 157 40 2" xfId="23623" xr:uid="{00000000-0005-0000-0000-00004C5C0000}"/>
    <cellStyle name="Normal 157 41" xfId="23624" xr:uid="{00000000-0005-0000-0000-00004D5C0000}"/>
    <cellStyle name="Normal 157 41 2" xfId="23625" xr:uid="{00000000-0005-0000-0000-00004E5C0000}"/>
    <cellStyle name="Normal 157 42" xfId="23626" xr:uid="{00000000-0005-0000-0000-00004F5C0000}"/>
    <cellStyle name="Normal 157 42 2" xfId="23627" xr:uid="{00000000-0005-0000-0000-0000505C0000}"/>
    <cellStyle name="Normal 157 43" xfId="23628" xr:uid="{00000000-0005-0000-0000-0000515C0000}"/>
    <cellStyle name="Normal 157 43 2" xfId="23629" xr:uid="{00000000-0005-0000-0000-0000525C0000}"/>
    <cellStyle name="Normal 157 44" xfId="23630" xr:uid="{00000000-0005-0000-0000-0000535C0000}"/>
    <cellStyle name="Normal 157 44 2" xfId="23631" xr:uid="{00000000-0005-0000-0000-0000545C0000}"/>
    <cellStyle name="Normal 157 45" xfId="23632" xr:uid="{00000000-0005-0000-0000-0000555C0000}"/>
    <cellStyle name="Normal 157 45 2" xfId="23633" xr:uid="{00000000-0005-0000-0000-0000565C0000}"/>
    <cellStyle name="Normal 157 46" xfId="23634" xr:uid="{00000000-0005-0000-0000-0000575C0000}"/>
    <cellStyle name="Normal 157 46 2" xfId="23635" xr:uid="{00000000-0005-0000-0000-0000585C0000}"/>
    <cellStyle name="Normal 157 47" xfId="23636" xr:uid="{00000000-0005-0000-0000-0000595C0000}"/>
    <cellStyle name="Normal 157 47 2" xfId="23637" xr:uid="{00000000-0005-0000-0000-00005A5C0000}"/>
    <cellStyle name="Normal 157 48" xfId="23638" xr:uid="{00000000-0005-0000-0000-00005B5C0000}"/>
    <cellStyle name="Normal 157 48 2" xfId="23639" xr:uid="{00000000-0005-0000-0000-00005C5C0000}"/>
    <cellStyle name="Normal 157 49" xfId="23640" xr:uid="{00000000-0005-0000-0000-00005D5C0000}"/>
    <cellStyle name="Normal 157 49 2" xfId="23641" xr:uid="{00000000-0005-0000-0000-00005E5C0000}"/>
    <cellStyle name="Normal 157 5" xfId="23642" xr:uid="{00000000-0005-0000-0000-00005F5C0000}"/>
    <cellStyle name="Normal 157 5 2" xfId="23643" xr:uid="{00000000-0005-0000-0000-0000605C0000}"/>
    <cellStyle name="Normal 157 50" xfId="23644" xr:uid="{00000000-0005-0000-0000-0000615C0000}"/>
    <cellStyle name="Normal 157 50 2" xfId="23645" xr:uid="{00000000-0005-0000-0000-0000625C0000}"/>
    <cellStyle name="Normal 157 51" xfId="23646" xr:uid="{00000000-0005-0000-0000-0000635C0000}"/>
    <cellStyle name="Normal 157 51 2" xfId="23647" xr:uid="{00000000-0005-0000-0000-0000645C0000}"/>
    <cellStyle name="Normal 157 52" xfId="23648" xr:uid="{00000000-0005-0000-0000-0000655C0000}"/>
    <cellStyle name="Normal 157 52 2" xfId="23649" xr:uid="{00000000-0005-0000-0000-0000665C0000}"/>
    <cellStyle name="Normal 157 53" xfId="23650" xr:uid="{00000000-0005-0000-0000-0000675C0000}"/>
    <cellStyle name="Normal 157 53 2" xfId="23651" xr:uid="{00000000-0005-0000-0000-0000685C0000}"/>
    <cellStyle name="Normal 157 54" xfId="23652" xr:uid="{00000000-0005-0000-0000-0000695C0000}"/>
    <cellStyle name="Normal 157 54 2" xfId="23653" xr:uid="{00000000-0005-0000-0000-00006A5C0000}"/>
    <cellStyle name="Normal 157 55" xfId="23654" xr:uid="{00000000-0005-0000-0000-00006B5C0000}"/>
    <cellStyle name="Normal 157 55 2" xfId="23655" xr:uid="{00000000-0005-0000-0000-00006C5C0000}"/>
    <cellStyle name="Normal 157 56" xfId="23656" xr:uid="{00000000-0005-0000-0000-00006D5C0000}"/>
    <cellStyle name="Normal 157 56 2" xfId="23657" xr:uid="{00000000-0005-0000-0000-00006E5C0000}"/>
    <cellStyle name="Normal 157 57" xfId="23658" xr:uid="{00000000-0005-0000-0000-00006F5C0000}"/>
    <cellStyle name="Normal 157 57 2" xfId="23659" xr:uid="{00000000-0005-0000-0000-0000705C0000}"/>
    <cellStyle name="Normal 157 58" xfId="23660" xr:uid="{00000000-0005-0000-0000-0000715C0000}"/>
    <cellStyle name="Normal 157 58 2" xfId="23661" xr:uid="{00000000-0005-0000-0000-0000725C0000}"/>
    <cellStyle name="Normal 157 59" xfId="23662" xr:uid="{00000000-0005-0000-0000-0000735C0000}"/>
    <cellStyle name="Normal 157 59 2" xfId="23663" xr:uid="{00000000-0005-0000-0000-0000745C0000}"/>
    <cellStyle name="Normal 157 6" xfId="23664" xr:uid="{00000000-0005-0000-0000-0000755C0000}"/>
    <cellStyle name="Normal 157 6 2" xfId="23665" xr:uid="{00000000-0005-0000-0000-0000765C0000}"/>
    <cellStyle name="Normal 157 60" xfId="23666" xr:uid="{00000000-0005-0000-0000-0000775C0000}"/>
    <cellStyle name="Normal 157 60 2" xfId="23667" xr:uid="{00000000-0005-0000-0000-0000785C0000}"/>
    <cellStyle name="Normal 157 61" xfId="23668" xr:uid="{00000000-0005-0000-0000-0000795C0000}"/>
    <cellStyle name="Normal 157 61 2" xfId="23669" xr:uid="{00000000-0005-0000-0000-00007A5C0000}"/>
    <cellStyle name="Normal 157 62" xfId="23670" xr:uid="{00000000-0005-0000-0000-00007B5C0000}"/>
    <cellStyle name="Normal 157 62 2" xfId="23671" xr:uid="{00000000-0005-0000-0000-00007C5C0000}"/>
    <cellStyle name="Normal 157 62 3" xfId="23672" xr:uid="{00000000-0005-0000-0000-00007D5C0000}"/>
    <cellStyle name="Normal 157 63" xfId="23673" xr:uid="{00000000-0005-0000-0000-00007E5C0000}"/>
    <cellStyle name="Normal 157 7" xfId="23674" xr:uid="{00000000-0005-0000-0000-00007F5C0000}"/>
    <cellStyle name="Normal 157 7 2" xfId="23675" xr:uid="{00000000-0005-0000-0000-0000805C0000}"/>
    <cellStyle name="Normal 157 8" xfId="23676" xr:uid="{00000000-0005-0000-0000-0000815C0000}"/>
    <cellStyle name="Normal 157 8 2" xfId="23677" xr:uid="{00000000-0005-0000-0000-0000825C0000}"/>
    <cellStyle name="Normal 157 9" xfId="23678" xr:uid="{00000000-0005-0000-0000-0000835C0000}"/>
    <cellStyle name="Normal 157 9 2" xfId="23679" xr:uid="{00000000-0005-0000-0000-0000845C0000}"/>
    <cellStyle name="Normal 158" xfId="23680" xr:uid="{00000000-0005-0000-0000-0000855C0000}"/>
    <cellStyle name="Normal 158 10" xfId="23681" xr:uid="{00000000-0005-0000-0000-0000865C0000}"/>
    <cellStyle name="Normal 158 10 2" xfId="23682" xr:uid="{00000000-0005-0000-0000-0000875C0000}"/>
    <cellStyle name="Normal 158 11" xfId="23683" xr:uid="{00000000-0005-0000-0000-0000885C0000}"/>
    <cellStyle name="Normal 158 11 2" xfId="23684" xr:uid="{00000000-0005-0000-0000-0000895C0000}"/>
    <cellStyle name="Normal 158 12" xfId="23685" xr:uid="{00000000-0005-0000-0000-00008A5C0000}"/>
    <cellStyle name="Normal 158 12 2" xfId="23686" xr:uid="{00000000-0005-0000-0000-00008B5C0000}"/>
    <cellStyle name="Normal 158 13" xfId="23687" xr:uid="{00000000-0005-0000-0000-00008C5C0000}"/>
    <cellStyle name="Normal 158 13 2" xfId="23688" xr:uid="{00000000-0005-0000-0000-00008D5C0000}"/>
    <cellStyle name="Normal 158 14" xfId="23689" xr:uid="{00000000-0005-0000-0000-00008E5C0000}"/>
    <cellStyle name="Normal 158 14 2" xfId="23690" xr:uid="{00000000-0005-0000-0000-00008F5C0000}"/>
    <cellStyle name="Normal 158 15" xfId="23691" xr:uid="{00000000-0005-0000-0000-0000905C0000}"/>
    <cellStyle name="Normal 158 15 2" xfId="23692" xr:uid="{00000000-0005-0000-0000-0000915C0000}"/>
    <cellStyle name="Normal 158 16" xfId="23693" xr:uid="{00000000-0005-0000-0000-0000925C0000}"/>
    <cellStyle name="Normal 158 16 2" xfId="23694" xr:uid="{00000000-0005-0000-0000-0000935C0000}"/>
    <cellStyle name="Normal 158 17" xfId="23695" xr:uid="{00000000-0005-0000-0000-0000945C0000}"/>
    <cellStyle name="Normal 158 17 2" xfId="23696" xr:uid="{00000000-0005-0000-0000-0000955C0000}"/>
    <cellStyle name="Normal 158 18" xfId="23697" xr:uid="{00000000-0005-0000-0000-0000965C0000}"/>
    <cellStyle name="Normal 158 18 2" xfId="23698" xr:uid="{00000000-0005-0000-0000-0000975C0000}"/>
    <cellStyle name="Normal 158 19" xfId="23699" xr:uid="{00000000-0005-0000-0000-0000985C0000}"/>
    <cellStyle name="Normal 158 19 2" xfId="23700" xr:uid="{00000000-0005-0000-0000-0000995C0000}"/>
    <cellStyle name="Normal 158 2" xfId="23701" xr:uid="{00000000-0005-0000-0000-00009A5C0000}"/>
    <cellStyle name="Normal 158 2 2" xfId="23702" xr:uid="{00000000-0005-0000-0000-00009B5C0000}"/>
    <cellStyle name="Normal 158 20" xfId="23703" xr:uid="{00000000-0005-0000-0000-00009C5C0000}"/>
    <cellStyle name="Normal 158 20 2" xfId="23704" xr:uid="{00000000-0005-0000-0000-00009D5C0000}"/>
    <cellStyle name="Normal 158 21" xfId="23705" xr:uid="{00000000-0005-0000-0000-00009E5C0000}"/>
    <cellStyle name="Normal 158 21 2" xfId="23706" xr:uid="{00000000-0005-0000-0000-00009F5C0000}"/>
    <cellStyle name="Normal 158 22" xfId="23707" xr:uid="{00000000-0005-0000-0000-0000A05C0000}"/>
    <cellStyle name="Normal 158 22 2" xfId="23708" xr:uid="{00000000-0005-0000-0000-0000A15C0000}"/>
    <cellStyle name="Normal 158 23" xfId="23709" xr:uid="{00000000-0005-0000-0000-0000A25C0000}"/>
    <cellStyle name="Normal 158 23 2" xfId="23710" xr:uid="{00000000-0005-0000-0000-0000A35C0000}"/>
    <cellStyle name="Normal 158 24" xfId="23711" xr:uid="{00000000-0005-0000-0000-0000A45C0000}"/>
    <cellStyle name="Normal 158 24 2" xfId="23712" xr:uid="{00000000-0005-0000-0000-0000A55C0000}"/>
    <cellStyle name="Normal 158 25" xfId="23713" xr:uid="{00000000-0005-0000-0000-0000A65C0000}"/>
    <cellStyle name="Normal 158 25 2" xfId="23714" xr:uid="{00000000-0005-0000-0000-0000A75C0000}"/>
    <cellStyle name="Normal 158 26" xfId="23715" xr:uid="{00000000-0005-0000-0000-0000A85C0000}"/>
    <cellStyle name="Normal 158 26 2" xfId="23716" xr:uid="{00000000-0005-0000-0000-0000A95C0000}"/>
    <cellStyle name="Normal 158 27" xfId="23717" xr:uid="{00000000-0005-0000-0000-0000AA5C0000}"/>
    <cellStyle name="Normal 158 27 2" xfId="23718" xr:uid="{00000000-0005-0000-0000-0000AB5C0000}"/>
    <cellStyle name="Normal 158 28" xfId="23719" xr:uid="{00000000-0005-0000-0000-0000AC5C0000}"/>
    <cellStyle name="Normal 158 28 2" xfId="23720" xr:uid="{00000000-0005-0000-0000-0000AD5C0000}"/>
    <cellStyle name="Normal 158 29" xfId="23721" xr:uid="{00000000-0005-0000-0000-0000AE5C0000}"/>
    <cellStyle name="Normal 158 29 2" xfId="23722" xr:uid="{00000000-0005-0000-0000-0000AF5C0000}"/>
    <cellStyle name="Normal 158 3" xfId="23723" xr:uid="{00000000-0005-0000-0000-0000B05C0000}"/>
    <cellStyle name="Normal 158 3 2" xfId="23724" xr:uid="{00000000-0005-0000-0000-0000B15C0000}"/>
    <cellStyle name="Normal 158 30" xfId="23725" xr:uid="{00000000-0005-0000-0000-0000B25C0000}"/>
    <cellStyle name="Normal 158 30 2" xfId="23726" xr:uid="{00000000-0005-0000-0000-0000B35C0000}"/>
    <cellStyle name="Normal 158 31" xfId="23727" xr:uid="{00000000-0005-0000-0000-0000B45C0000}"/>
    <cellStyle name="Normal 158 31 2" xfId="23728" xr:uid="{00000000-0005-0000-0000-0000B55C0000}"/>
    <cellStyle name="Normal 158 32" xfId="23729" xr:uid="{00000000-0005-0000-0000-0000B65C0000}"/>
    <cellStyle name="Normal 158 32 2" xfId="23730" xr:uid="{00000000-0005-0000-0000-0000B75C0000}"/>
    <cellStyle name="Normal 158 33" xfId="23731" xr:uid="{00000000-0005-0000-0000-0000B85C0000}"/>
    <cellStyle name="Normal 158 33 2" xfId="23732" xr:uid="{00000000-0005-0000-0000-0000B95C0000}"/>
    <cellStyle name="Normal 158 34" xfId="23733" xr:uid="{00000000-0005-0000-0000-0000BA5C0000}"/>
    <cellStyle name="Normal 158 34 2" xfId="23734" xr:uid="{00000000-0005-0000-0000-0000BB5C0000}"/>
    <cellStyle name="Normal 158 35" xfId="23735" xr:uid="{00000000-0005-0000-0000-0000BC5C0000}"/>
    <cellStyle name="Normal 158 35 2" xfId="23736" xr:uid="{00000000-0005-0000-0000-0000BD5C0000}"/>
    <cellStyle name="Normal 158 36" xfId="23737" xr:uid="{00000000-0005-0000-0000-0000BE5C0000}"/>
    <cellStyle name="Normal 158 36 2" xfId="23738" xr:uid="{00000000-0005-0000-0000-0000BF5C0000}"/>
    <cellStyle name="Normal 158 37" xfId="23739" xr:uid="{00000000-0005-0000-0000-0000C05C0000}"/>
    <cellStyle name="Normal 158 37 2" xfId="23740" xr:uid="{00000000-0005-0000-0000-0000C15C0000}"/>
    <cellStyle name="Normal 158 38" xfId="23741" xr:uid="{00000000-0005-0000-0000-0000C25C0000}"/>
    <cellStyle name="Normal 158 38 2" xfId="23742" xr:uid="{00000000-0005-0000-0000-0000C35C0000}"/>
    <cellStyle name="Normal 158 39" xfId="23743" xr:uid="{00000000-0005-0000-0000-0000C45C0000}"/>
    <cellStyle name="Normal 158 39 2" xfId="23744" xr:uid="{00000000-0005-0000-0000-0000C55C0000}"/>
    <cellStyle name="Normal 158 4" xfId="23745" xr:uid="{00000000-0005-0000-0000-0000C65C0000}"/>
    <cellStyle name="Normal 158 4 2" xfId="23746" xr:uid="{00000000-0005-0000-0000-0000C75C0000}"/>
    <cellStyle name="Normal 158 40" xfId="23747" xr:uid="{00000000-0005-0000-0000-0000C85C0000}"/>
    <cellStyle name="Normal 158 40 2" xfId="23748" xr:uid="{00000000-0005-0000-0000-0000C95C0000}"/>
    <cellStyle name="Normal 158 41" xfId="23749" xr:uid="{00000000-0005-0000-0000-0000CA5C0000}"/>
    <cellStyle name="Normal 158 41 2" xfId="23750" xr:uid="{00000000-0005-0000-0000-0000CB5C0000}"/>
    <cellStyle name="Normal 158 42" xfId="23751" xr:uid="{00000000-0005-0000-0000-0000CC5C0000}"/>
    <cellStyle name="Normal 158 42 2" xfId="23752" xr:uid="{00000000-0005-0000-0000-0000CD5C0000}"/>
    <cellStyle name="Normal 158 43" xfId="23753" xr:uid="{00000000-0005-0000-0000-0000CE5C0000}"/>
    <cellStyle name="Normal 158 43 2" xfId="23754" xr:uid="{00000000-0005-0000-0000-0000CF5C0000}"/>
    <cellStyle name="Normal 158 44" xfId="23755" xr:uid="{00000000-0005-0000-0000-0000D05C0000}"/>
    <cellStyle name="Normal 158 44 2" xfId="23756" xr:uid="{00000000-0005-0000-0000-0000D15C0000}"/>
    <cellStyle name="Normal 158 45" xfId="23757" xr:uid="{00000000-0005-0000-0000-0000D25C0000}"/>
    <cellStyle name="Normal 158 45 2" xfId="23758" xr:uid="{00000000-0005-0000-0000-0000D35C0000}"/>
    <cellStyle name="Normal 158 46" xfId="23759" xr:uid="{00000000-0005-0000-0000-0000D45C0000}"/>
    <cellStyle name="Normal 158 46 2" xfId="23760" xr:uid="{00000000-0005-0000-0000-0000D55C0000}"/>
    <cellStyle name="Normal 158 47" xfId="23761" xr:uid="{00000000-0005-0000-0000-0000D65C0000}"/>
    <cellStyle name="Normal 158 47 2" xfId="23762" xr:uid="{00000000-0005-0000-0000-0000D75C0000}"/>
    <cellStyle name="Normal 158 48" xfId="23763" xr:uid="{00000000-0005-0000-0000-0000D85C0000}"/>
    <cellStyle name="Normal 158 48 2" xfId="23764" xr:uid="{00000000-0005-0000-0000-0000D95C0000}"/>
    <cellStyle name="Normal 158 49" xfId="23765" xr:uid="{00000000-0005-0000-0000-0000DA5C0000}"/>
    <cellStyle name="Normal 158 49 2" xfId="23766" xr:uid="{00000000-0005-0000-0000-0000DB5C0000}"/>
    <cellStyle name="Normal 158 5" xfId="23767" xr:uid="{00000000-0005-0000-0000-0000DC5C0000}"/>
    <cellStyle name="Normal 158 5 2" xfId="23768" xr:uid="{00000000-0005-0000-0000-0000DD5C0000}"/>
    <cellStyle name="Normal 158 50" xfId="23769" xr:uid="{00000000-0005-0000-0000-0000DE5C0000}"/>
    <cellStyle name="Normal 158 50 2" xfId="23770" xr:uid="{00000000-0005-0000-0000-0000DF5C0000}"/>
    <cellStyle name="Normal 158 51" xfId="23771" xr:uid="{00000000-0005-0000-0000-0000E05C0000}"/>
    <cellStyle name="Normal 158 51 2" xfId="23772" xr:uid="{00000000-0005-0000-0000-0000E15C0000}"/>
    <cellStyle name="Normal 158 52" xfId="23773" xr:uid="{00000000-0005-0000-0000-0000E25C0000}"/>
    <cellStyle name="Normal 158 52 2" xfId="23774" xr:uid="{00000000-0005-0000-0000-0000E35C0000}"/>
    <cellStyle name="Normal 158 53" xfId="23775" xr:uid="{00000000-0005-0000-0000-0000E45C0000}"/>
    <cellStyle name="Normal 158 53 2" xfId="23776" xr:uid="{00000000-0005-0000-0000-0000E55C0000}"/>
    <cellStyle name="Normal 158 54" xfId="23777" xr:uid="{00000000-0005-0000-0000-0000E65C0000}"/>
    <cellStyle name="Normal 158 54 2" xfId="23778" xr:uid="{00000000-0005-0000-0000-0000E75C0000}"/>
    <cellStyle name="Normal 158 55" xfId="23779" xr:uid="{00000000-0005-0000-0000-0000E85C0000}"/>
    <cellStyle name="Normal 158 55 2" xfId="23780" xr:uid="{00000000-0005-0000-0000-0000E95C0000}"/>
    <cellStyle name="Normal 158 56" xfId="23781" xr:uid="{00000000-0005-0000-0000-0000EA5C0000}"/>
    <cellStyle name="Normal 158 56 2" xfId="23782" xr:uid="{00000000-0005-0000-0000-0000EB5C0000}"/>
    <cellStyle name="Normal 158 57" xfId="23783" xr:uid="{00000000-0005-0000-0000-0000EC5C0000}"/>
    <cellStyle name="Normal 158 57 2" xfId="23784" xr:uid="{00000000-0005-0000-0000-0000ED5C0000}"/>
    <cellStyle name="Normal 158 58" xfId="23785" xr:uid="{00000000-0005-0000-0000-0000EE5C0000}"/>
    <cellStyle name="Normal 158 58 2" xfId="23786" xr:uid="{00000000-0005-0000-0000-0000EF5C0000}"/>
    <cellStyle name="Normal 158 59" xfId="23787" xr:uid="{00000000-0005-0000-0000-0000F05C0000}"/>
    <cellStyle name="Normal 158 59 2" xfId="23788" xr:uid="{00000000-0005-0000-0000-0000F15C0000}"/>
    <cellStyle name="Normal 158 6" xfId="23789" xr:uid="{00000000-0005-0000-0000-0000F25C0000}"/>
    <cellStyle name="Normal 158 6 2" xfId="23790" xr:uid="{00000000-0005-0000-0000-0000F35C0000}"/>
    <cellStyle name="Normal 158 60" xfId="23791" xr:uid="{00000000-0005-0000-0000-0000F45C0000}"/>
    <cellStyle name="Normal 158 60 2" xfId="23792" xr:uid="{00000000-0005-0000-0000-0000F55C0000}"/>
    <cellStyle name="Normal 158 61" xfId="23793" xr:uid="{00000000-0005-0000-0000-0000F65C0000}"/>
    <cellStyle name="Normal 158 61 2" xfId="23794" xr:uid="{00000000-0005-0000-0000-0000F75C0000}"/>
    <cellStyle name="Normal 158 62" xfId="23795" xr:uid="{00000000-0005-0000-0000-0000F85C0000}"/>
    <cellStyle name="Normal 158 62 2" xfId="23796" xr:uid="{00000000-0005-0000-0000-0000F95C0000}"/>
    <cellStyle name="Normal 158 62 3" xfId="23797" xr:uid="{00000000-0005-0000-0000-0000FA5C0000}"/>
    <cellStyle name="Normal 158 63" xfId="23798" xr:uid="{00000000-0005-0000-0000-0000FB5C0000}"/>
    <cellStyle name="Normal 158 7" xfId="23799" xr:uid="{00000000-0005-0000-0000-0000FC5C0000}"/>
    <cellStyle name="Normal 158 7 2" xfId="23800" xr:uid="{00000000-0005-0000-0000-0000FD5C0000}"/>
    <cellStyle name="Normal 158 8" xfId="23801" xr:uid="{00000000-0005-0000-0000-0000FE5C0000}"/>
    <cellStyle name="Normal 158 8 2" xfId="23802" xr:uid="{00000000-0005-0000-0000-0000FF5C0000}"/>
    <cellStyle name="Normal 158 9" xfId="23803" xr:uid="{00000000-0005-0000-0000-0000005D0000}"/>
    <cellStyle name="Normal 158 9 2" xfId="23804" xr:uid="{00000000-0005-0000-0000-0000015D0000}"/>
    <cellStyle name="Normal 159" xfId="23805" xr:uid="{00000000-0005-0000-0000-0000025D0000}"/>
    <cellStyle name="Normal 159 2" xfId="23806" xr:uid="{00000000-0005-0000-0000-0000035D0000}"/>
    <cellStyle name="Normal 16" xfId="23807" xr:uid="{00000000-0005-0000-0000-0000045D0000}"/>
    <cellStyle name="Normal 16 10" xfId="23808" xr:uid="{00000000-0005-0000-0000-0000055D0000}"/>
    <cellStyle name="Normal 16 10 2" xfId="23809" xr:uid="{00000000-0005-0000-0000-0000065D0000}"/>
    <cellStyle name="Normal 16 11" xfId="23810" xr:uid="{00000000-0005-0000-0000-0000075D0000}"/>
    <cellStyle name="Normal 16 11 2" xfId="23811" xr:uid="{00000000-0005-0000-0000-0000085D0000}"/>
    <cellStyle name="Normal 16 12" xfId="23812" xr:uid="{00000000-0005-0000-0000-0000095D0000}"/>
    <cellStyle name="Normal 16 12 2" xfId="23813" xr:uid="{00000000-0005-0000-0000-00000A5D0000}"/>
    <cellStyle name="Normal 16 13" xfId="23814" xr:uid="{00000000-0005-0000-0000-00000B5D0000}"/>
    <cellStyle name="Normal 16 13 2" xfId="23815" xr:uid="{00000000-0005-0000-0000-00000C5D0000}"/>
    <cellStyle name="Normal 16 14" xfId="23816" xr:uid="{00000000-0005-0000-0000-00000D5D0000}"/>
    <cellStyle name="Normal 16 14 2" xfId="23817" xr:uid="{00000000-0005-0000-0000-00000E5D0000}"/>
    <cellStyle name="Normal 16 15" xfId="23818" xr:uid="{00000000-0005-0000-0000-00000F5D0000}"/>
    <cellStyle name="Normal 16 15 2" xfId="23819" xr:uid="{00000000-0005-0000-0000-0000105D0000}"/>
    <cellStyle name="Normal 16 16" xfId="23820" xr:uid="{00000000-0005-0000-0000-0000115D0000}"/>
    <cellStyle name="Normal 16 16 2" xfId="23821" xr:uid="{00000000-0005-0000-0000-0000125D0000}"/>
    <cellStyle name="Normal 16 17" xfId="23822" xr:uid="{00000000-0005-0000-0000-0000135D0000}"/>
    <cellStyle name="Normal 16 17 2" xfId="23823" xr:uid="{00000000-0005-0000-0000-0000145D0000}"/>
    <cellStyle name="Normal 16 18" xfId="23824" xr:uid="{00000000-0005-0000-0000-0000155D0000}"/>
    <cellStyle name="Normal 16 18 2" xfId="23825" xr:uid="{00000000-0005-0000-0000-0000165D0000}"/>
    <cellStyle name="Normal 16 19" xfId="23826" xr:uid="{00000000-0005-0000-0000-0000175D0000}"/>
    <cellStyle name="Normal 16 19 2" xfId="23827" xr:uid="{00000000-0005-0000-0000-0000185D0000}"/>
    <cellStyle name="Normal 16 2" xfId="23828" xr:uid="{00000000-0005-0000-0000-0000195D0000}"/>
    <cellStyle name="Normal 16 2 2" xfId="23829" xr:uid="{00000000-0005-0000-0000-00001A5D0000}"/>
    <cellStyle name="Normal 16 2 2 2" xfId="23830" xr:uid="{00000000-0005-0000-0000-00001B5D0000}"/>
    <cellStyle name="Normal 16 2 2 2 2" xfId="23831" xr:uid="{00000000-0005-0000-0000-00001C5D0000}"/>
    <cellStyle name="Normal 16 2 2 2 2 2" xfId="23832" xr:uid="{00000000-0005-0000-0000-00001D5D0000}"/>
    <cellStyle name="Normal 16 2 2 2 2 2 2" xfId="23833" xr:uid="{00000000-0005-0000-0000-00001E5D0000}"/>
    <cellStyle name="Normal 16 2 2 2 2 2 2 2" xfId="23834" xr:uid="{00000000-0005-0000-0000-00001F5D0000}"/>
    <cellStyle name="Normal 16 2 2 2 2 2 3" xfId="23835" xr:uid="{00000000-0005-0000-0000-0000205D0000}"/>
    <cellStyle name="Normal 16 2 2 2 2 2 4" xfId="23836" xr:uid="{00000000-0005-0000-0000-0000215D0000}"/>
    <cellStyle name="Normal 16 2 2 2 2 3" xfId="23837" xr:uid="{00000000-0005-0000-0000-0000225D0000}"/>
    <cellStyle name="Normal 16 2 2 2 2 3 2" xfId="23838" xr:uid="{00000000-0005-0000-0000-0000235D0000}"/>
    <cellStyle name="Normal 16 2 2 2 2 4" xfId="23839" xr:uid="{00000000-0005-0000-0000-0000245D0000}"/>
    <cellStyle name="Normal 16 2 2 2 2 5" xfId="23840" xr:uid="{00000000-0005-0000-0000-0000255D0000}"/>
    <cellStyle name="Normal 16 2 2 2 3" xfId="23841" xr:uid="{00000000-0005-0000-0000-0000265D0000}"/>
    <cellStyle name="Normal 16 2 2 2 3 2" xfId="23842" xr:uid="{00000000-0005-0000-0000-0000275D0000}"/>
    <cellStyle name="Normal 16 2 2 2 3 2 2" xfId="23843" xr:uid="{00000000-0005-0000-0000-0000285D0000}"/>
    <cellStyle name="Normal 16 2 2 2 3 3" xfId="23844" xr:uid="{00000000-0005-0000-0000-0000295D0000}"/>
    <cellStyle name="Normal 16 2 2 2 3 4" xfId="23845" xr:uid="{00000000-0005-0000-0000-00002A5D0000}"/>
    <cellStyle name="Normal 16 2 2 2 4" xfId="23846" xr:uid="{00000000-0005-0000-0000-00002B5D0000}"/>
    <cellStyle name="Normal 16 2 2 2 4 2" xfId="23847" xr:uid="{00000000-0005-0000-0000-00002C5D0000}"/>
    <cellStyle name="Normal 16 2 2 2 5" xfId="23848" xr:uid="{00000000-0005-0000-0000-00002D5D0000}"/>
    <cellStyle name="Normal 16 2 2 2 6" xfId="23849" xr:uid="{00000000-0005-0000-0000-00002E5D0000}"/>
    <cellStyle name="Normal 16 2 2 3" xfId="23850" xr:uid="{00000000-0005-0000-0000-00002F5D0000}"/>
    <cellStyle name="Normal 16 2 2 3 2" xfId="23851" xr:uid="{00000000-0005-0000-0000-0000305D0000}"/>
    <cellStyle name="Normal 16 2 2 3 2 2" xfId="23852" xr:uid="{00000000-0005-0000-0000-0000315D0000}"/>
    <cellStyle name="Normal 16 2 2 3 2 2 2" xfId="23853" xr:uid="{00000000-0005-0000-0000-0000325D0000}"/>
    <cellStyle name="Normal 16 2 2 3 2 3" xfId="23854" xr:uid="{00000000-0005-0000-0000-0000335D0000}"/>
    <cellStyle name="Normal 16 2 2 3 2 4" xfId="23855" xr:uid="{00000000-0005-0000-0000-0000345D0000}"/>
    <cellStyle name="Normal 16 2 2 3 3" xfId="23856" xr:uid="{00000000-0005-0000-0000-0000355D0000}"/>
    <cellStyle name="Normal 16 2 2 3 3 2" xfId="23857" xr:uid="{00000000-0005-0000-0000-0000365D0000}"/>
    <cellStyle name="Normal 16 2 2 3 4" xfId="23858" xr:uid="{00000000-0005-0000-0000-0000375D0000}"/>
    <cellStyle name="Normal 16 2 2 3 5" xfId="23859" xr:uid="{00000000-0005-0000-0000-0000385D0000}"/>
    <cellStyle name="Normal 16 2 2 4" xfId="23860" xr:uid="{00000000-0005-0000-0000-0000395D0000}"/>
    <cellStyle name="Normal 16 2 2 4 2" xfId="23861" xr:uid="{00000000-0005-0000-0000-00003A5D0000}"/>
    <cellStyle name="Normal 16 2 2 4 2 2" xfId="23862" xr:uid="{00000000-0005-0000-0000-00003B5D0000}"/>
    <cellStyle name="Normal 16 2 2 4 3" xfId="23863" xr:uid="{00000000-0005-0000-0000-00003C5D0000}"/>
    <cellStyle name="Normal 16 2 2 4 4" xfId="23864" xr:uid="{00000000-0005-0000-0000-00003D5D0000}"/>
    <cellStyle name="Normal 16 2 2 5" xfId="23865" xr:uid="{00000000-0005-0000-0000-00003E5D0000}"/>
    <cellStyle name="Normal 16 2 2 5 2" xfId="23866" xr:uid="{00000000-0005-0000-0000-00003F5D0000}"/>
    <cellStyle name="Normal 16 2 2 6" xfId="23867" xr:uid="{00000000-0005-0000-0000-0000405D0000}"/>
    <cellStyle name="Normal 16 2 2 7" xfId="23868" xr:uid="{00000000-0005-0000-0000-0000415D0000}"/>
    <cellStyle name="Normal 16 2 3" xfId="23869" xr:uid="{00000000-0005-0000-0000-0000425D0000}"/>
    <cellStyle name="Normal 16 2 3 2" xfId="23870" xr:uid="{00000000-0005-0000-0000-0000435D0000}"/>
    <cellStyle name="Normal 16 2 3 2 2" xfId="23871" xr:uid="{00000000-0005-0000-0000-0000445D0000}"/>
    <cellStyle name="Normal 16 2 3 2 2 2" xfId="23872" xr:uid="{00000000-0005-0000-0000-0000455D0000}"/>
    <cellStyle name="Normal 16 2 3 2 2 2 2" xfId="23873" xr:uid="{00000000-0005-0000-0000-0000465D0000}"/>
    <cellStyle name="Normal 16 2 3 2 2 3" xfId="23874" xr:uid="{00000000-0005-0000-0000-0000475D0000}"/>
    <cellStyle name="Normal 16 2 3 2 2 4" xfId="23875" xr:uid="{00000000-0005-0000-0000-0000485D0000}"/>
    <cellStyle name="Normal 16 2 3 2 3" xfId="23876" xr:uid="{00000000-0005-0000-0000-0000495D0000}"/>
    <cellStyle name="Normal 16 2 3 2 3 2" xfId="23877" xr:uid="{00000000-0005-0000-0000-00004A5D0000}"/>
    <cellStyle name="Normal 16 2 3 2 4" xfId="23878" xr:uid="{00000000-0005-0000-0000-00004B5D0000}"/>
    <cellStyle name="Normal 16 2 3 2 5" xfId="23879" xr:uid="{00000000-0005-0000-0000-00004C5D0000}"/>
    <cellStyle name="Normal 16 2 3 3" xfId="23880" xr:uid="{00000000-0005-0000-0000-00004D5D0000}"/>
    <cellStyle name="Normal 16 2 3 3 2" xfId="23881" xr:uid="{00000000-0005-0000-0000-00004E5D0000}"/>
    <cellStyle name="Normal 16 2 3 3 2 2" xfId="23882" xr:uid="{00000000-0005-0000-0000-00004F5D0000}"/>
    <cellStyle name="Normal 16 2 3 3 3" xfId="23883" xr:uid="{00000000-0005-0000-0000-0000505D0000}"/>
    <cellStyle name="Normal 16 2 3 3 3 2" xfId="23884" xr:uid="{00000000-0005-0000-0000-0000515D0000}"/>
    <cellStyle name="Normal 16 2 3 3 4" xfId="23885" xr:uid="{00000000-0005-0000-0000-0000525D0000}"/>
    <cellStyle name="Normal 16 2 3 3 5" xfId="23886" xr:uid="{00000000-0005-0000-0000-0000535D0000}"/>
    <cellStyle name="Normal 16 2 3 4" xfId="23887" xr:uid="{00000000-0005-0000-0000-0000545D0000}"/>
    <cellStyle name="Normal 16 2 3 4 2" xfId="23888" xr:uid="{00000000-0005-0000-0000-0000555D0000}"/>
    <cellStyle name="Normal 16 2 3 5" xfId="23889" xr:uid="{00000000-0005-0000-0000-0000565D0000}"/>
    <cellStyle name="Normal 16 2 3 5 2" xfId="23890" xr:uid="{00000000-0005-0000-0000-0000575D0000}"/>
    <cellStyle name="Normal 16 2 3 6" xfId="23891" xr:uid="{00000000-0005-0000-0000-0000585D0000}"/>
    <cellStyle name="Normal 16 2 3 7" xfId="23892" xr:uid="{00000000-0005-0000-0000-0000595D0000}"/>
    <cellStyle name="Normal 16 2 4" xfId="23893" xr:uid="{00000000-0005-0000-0000-00005A5D0000}"/>
    <cellStyle name="Normal 16 2 4 2" xfId="23894" xr:uid="{00000000-0005-0000-0000-00005B5D0000}"/>
    <cellStyle name="Normal 16 2 4 2 2" xfId="23895" xr:uid="{00000000-0005-0000-0000-00005C5D0000}"/>
    <cellStyle name="Normal 16 2 4 2 2 2" xfId="23896" xr:uid="{00000000-0005-0000-0000-00005D5D0000}"/>
    <cellStyle name="Normal 16 2 4 2 3" xfId="23897" xr:uid="{00000000-0005-0000-0000-00005E5D0000}"/>
    <cellStyle name="Normal 16 2 4 2 4" xfId="23898" xr:uid="{00000000-0005-0000-0000-00005F5D0000}"/>
    <cellStyle name="Normal 16 2 4 3" xfId="23899" xr:uid="{00000000-0005-0000-0000-0000605D0000}"/>
    <cellStyle name="Normal 16 2 4 3 2" xfId="23900" xr:uid="{00000000-0005-0000-0000-0000615D0000}"/>
    <cellStyle name="Normal 16 2 4 4" xfId="23901" xr:uid="{00000000-0005-0000-0000-0000625D0000}"/>
    <cellStyle name="Normal 16 2 4 5" xfId="23902" xr:uid="{00000000-0005-0000-0000-0000635D0000}"/>
    <cellStyle name="Normal 16 2 5" xfId="23903" xr:uid="{00000000-0005-0000-0000-0000645D0000}"/>
    <cellStyle name="Normal 16 2 5 2" xfId="23904" xr:uid="{00000000-0005-0000-0000-0000655D0000}"/>
    <cellStyle name="Normal 16 2 5 2 2" xfId="23905" xr:uid="{00000000-0005-0000-0000-0000665D0000}"/>
    <cellStyle name="Normal 16 2 5 3" xfId="23906" xr:uid="{00000000-0005-0000-0000-0000675D0000}"/>
    <cellStyle name="Normal 16 2 5 3 2" xfId="23907" xr:uid="{00000000-0005-0000-0000-0000685D0000}"/>
    <cellStyle name="Normal 16 2 5 4" xfId="23908" xr:uid="{00000000-0005-0000-0000-0000695D0000}"/>
    <cellStyle name="Normal 16 2 5 5" xfId="23909" xr:uid="{00000000-0005-0000-0000-00006A5D0000}"/>
    <cellStyle name="Normal 16 2 6" xfId="23910" xr:uid="{00000000-0005-0000-0000-00006B5D0000}"/>
    <cellStyle name="Normal 16 2 6 2" xfId="23911" xr:uid="{00000000-0005-0000-0000-00006C5D0000}"/>
    <cellStyle name="Normal 16 2 7" xfId="23912" xr:uid="{00000000-0005-0000-0000-00006D5D0000}"/>
    <cellStyle name="Normal 16 2 7 2" xfId="23913" xr:uid="{00000000-0005-0000-0000-00006E5D0000}"/>
    <cellStyle name="Normal 16 2 8" xfId="23914" xr:uid="{00000000-0005-0000-0000-00006F5D0000}"/>
    <cellStyle name="Normal 16 2 9" xfId="23915" xr:uid="{00000000-0005-0000-0000-0000705D0000}"/>
    <cellStyle name="Normal 16 20" xfId="23916" xr:uid="{00000000-0005-0000-0000-0000715D0000}"/>
    <cellStyle name="Normal 16 20 2" xfId="23917" xr:uid="{00000000-0005-0000-0000-0000725D0000}"/>
    <cellStyle name="Normal 16 21" xfId="23918" xr:uid="{00000000-0005-0000-0000-0000735D0000}"/>
    <cellStyle name="Normal 16 21 2" xfId="23919" xr:uid="{00000000-0005-0000-0000-0000745D0000}"/>
    <cellStyle name="Normal 16 22" xfId="23920" xr:uid="{00000000-0005-0000-0000-0000755D0000}"/>
    <cellStyle name="Normal 16 22 2" xfId="23921" xr:uid="{00000000-0005-0000-0000-0000765D0000}"/>
    <cellStyle name="Normal 16 23" xfId="23922" xr:uid="{00000000-0005-0000-0000-0000775D0000}"/>
    <cellStyle name="Normal 16 23 2" xfId="23923" xr:uid="{00000000-0005-0000-0000-0000785D0000}"/>
    <cellStyle name="Normal 16 24" xfId="23924" xr:uid="{00000000-0005-0000-0000-0000795D0000}"/>
    <cellStyle name="Normal 16 24 2" xfId="23925" xr:uid="{00000000-0005-0000-0000-00007A5D0000}"/>
    <cellStyle name="Normal 16 25" xfId="23926" xr:uid="{00000000-0005-0000-0000-00007B5D0000}"/>
    <cellStyle name="Normal 16 25 2" xfId="23927" xr:uid="{00000000-0005-0000-0000-00007C5D0000}"/>
    <cellStyle name="Normal 16 26" xfId="23928" xr:uid="{00000000-0005-0000-0000-00007D5D0000}"/>
    <cellStyle name="Normal 16 26 2" xfId="23929" xr:uid="{00000000-0005-0000-0000-00007E5D0000}"/>
    <cellStyle name="Normal 16 27" xfId="23930" xr:uid="{00000000-0005-0000-0000-00007F5D0000}"/>
    <cellStyle name="Normal 16 27 2" xfId="23931" xr:uid="{00000000-0005-0000-0000-0000805D0000}"/>
    <cellStyle name="Normal 16 28" xfId="23932" xr:uid="{00000000-0005-0000-0000-0000815D0000}"/>
    <cellStyle name="Normal 16 28 2" xfId="23933" xr:uid="{00000000-0005-0000-0000-0000825D0000}"/>
    <cellStyle name="Normal 16 29" xfId="23934" xr:uid="{00000000-0005-0000-0000-0000835D0000}"/>
    <cellStyle name="Normal 16 29 2" xfId="23935" xr:uid="{00000000-0005-0000-0000-0000845D0000}"/>
    <cellStyle name="Normal 16 3" xfId="23936" xr:uid="{00000000-0005-0000-0000-0000855D0000}"/>
    <cellStyle name="Normal 16 3 2" xfId="23937" xr:uid="{00000000-0005-0000-0000-0000865D0000}"/>
    <cellStyle name="Normal 16 3 2 2" xfId="23938" xr:uid="{00000000-0005-0000-0000-0000875D0000}"/>
    <cellStyle name="Normal 16 3 2 2 2" xfId="23939" xr:uid="{00000000-0005-0000-0000-0000885D0000}"/>
    <cellStyle name="Normal 16 3 2 2 2 2" xfId="23940" xr:uid="{00000000-0005-0000-0000-0000895D0000}"/>
    <cellStyle name="Normal 16 3 2 2 2 2 2" xfId="23941" xr:uid="{00000000-0005-0000-0000-00008A5D0000}"/>
    <cellStyle name="Normal 16 3 2 2 2 3" xfId="23942" xr:uid="{00000000-0005-0000-0000-00008B5D0000}"/>
    <cellStyle name="Normal 16 3 2 2 2 4" xfId="23943" xr:uid="{00000000-0005-0000-0000-00008C5D0000}"/>
    <cellStyle name="Normal 16 3 2 2 3" xfId="23944" xr:uid="{00000000-0005-0000-0000-00008D5D0000}"/>
    <cellStyle name="Normal 16 3 2 2 3 2" xfId="23945" xr:uid="{00000000-0005-0000-0000-00008E5D0000}"/>
    <cellStyle name="Normal 16 3 2 2 4" xfId="23946" xr:uid="{00000000-0005-0000-0000-00008F5D0000}"/>
    <cellStyle name="Normal 16 3 2 2 5" xfId="23947" xr:uid="{00000000-0005-0000-0000-0000905D0000}"/>
    <cellStyle name="Normal 16 3 2 3" xfId="23948" xr:uid="{00000000-0005-0000-0000-0000915D0000}"/>
    <cellStyle name="Normal 16 3 2 3 2" xfId="23949" xr:uid="{00000000-0005-0000-0000-0000925D0000}"/>
    <cellStyle name="Normal 16 3 2 3 2 2" xfId="23950" xr:uid="{00000000-0005-0000-0000-0000935D0000}"/>
    <cellStyle name="Normal 16 3 2 3 3" xfId="23951" xr:uid="{00000000-0005-0000-0000-0000945D0000}"/>
    <cellStyle name="Normal 16 3 2 3 3 2" xfId="23952" xr:uid="{00000000-0005-0000-0000-0000955D0000}"/>
    <cellStyle name="Normal 16 3 2 3 4" xfId="23953" xr:uid="{00000000-0005-0000-0000-0000965D0000}"/>
    <cellStyle name="Normal 16 3 2 3 5" xfId="23954" xr:uid="{00000000-0005-0000-0000-0000975D0000}"/>
    <cellStyle name="Normal 16 3 2 4" xfId="23955" xr:uid="{00000000-0005-0000-0000-0000985D0000}"/>
    <cellStyle name="Normal 16 3 2 4 2" xfId="23956" xr:uid="{00000000-0005-0000-0000-0000995D0000}"/>
    <cellStyle name="Normal 16 3 2 5" xfId="23957" xr:uid="{00000000-0005-0000-0000-00009A5D0000}"/>
    <cellStyle name="Normal 16 3 2 5 2" xfId="23958" xr:uid="{00000000-0005-0000-0000-00009B5D0000}"/>
    <cellStyle name="Normal 16 3 2 6" xfId="23959" xr:uid="{00000000-0005-0000-0000-00009C5D0000}"/>
    <cellStyle name="Normal 16 3 2 7" xfId="23960" xr:uid="{00000000-0005-0000-0000-00009D5D0000}"/>
    <cellStyle name="Normal 16 3 3" xfId="23961" xr:uid="{00000000-0005-0000-0000-00009E5D0000}"/>
    <cellStyle name="Normal 16 3 3 2" xfId="23962" xr:uid="{00000000-0005-0000-0000-00009F5D0000}"/>
    <cellStyle name="Normal 16 3 3 2 2" xfId="23963" xr:uid="{00000000-0005-0000-0000-0000A05D0000}"/>
    <cellStyle name="Normal 16 3 3 2 2 2" xfId="23964" xr:uid="{00000000-0005-0000-0000-0000A15D0000}"/>
    <cellStyle name="Normal 16 3 3 2 3" xfId="23965" xr:uid="{00000000-0005-0000-0000-0000A25D0000}"/>
    <cellStyle name="Normal 16 3 3 2 4" xfId="23966" xr:uid="{00000000-0005-0000-0000-0000A35D0000}"/>
    <cellStyle name="Normal 16 3 3 3" xfId="23967" xr:uid="{00000000-0005-0000-0000-0000A45D0000}"/>
    <cellStyle name="Normal 16 3 3 3 2" xfId="23968" xr:uid="{00000000-0005-0000-0000-0000A55D0000}"/>
    <cellStyle name="Normal 16 3 3 4" xfId="23969" xr:uid="{00000000-0005-0000-0000-0000A65D0000}"/>
    <cellStyle name="Normal 16 3 3 5" xfId="23970" xr:uid="{00000000-0005-0000-0000-0000A75D0000}"/>
    <cellStyle name="Normal 16 3 4" xfId="23971" xr:uid="{00000000-0005-0000-0000-0000A85D0000}"/>
    <cellStyle name="Normal 16 3 4 2" xfId="23972" xr:uid="{00000000-0005-0000-0000-0000A95D0000}"/>
    <cellStyle name="Normal 16 3 4 2 2" xfId="23973" xr:uid="{00000000-0005-0000-0000-0000AA5D0000}"/>
    <cellStyle name="Normal 16 3 4 3" xfId="23974" xr:uid="{00000000-0005-0000-0000-0000AB5D0000}"/>
    <cellStyle name="Normal 16 3 4 3 2" xfId="23975" xr:uid="{00000000-0005-0000-0000-0000AC5D0000}"/>
    <cellStyle name="Normal 16 3 4 4" xfId="23976" xr:uid="{00000000-0005-0000-0000-0000AD5D0000}"/>
    <cellStyle name="Normal 16 3 4 5" xfId="23977" xr:uid="{00000000-0005-0000-0000-0000AE5D0000}"/>
    <cellStyle name="Normal 16 3 5" xfId="23978" xr:uid="{00000000-0005-0000-0000-0000AF5D0000}"/>
    <cellStyle name="Normal 16 3 5 2" xfId="23979" xr:uid="{00000000-0005-0000-0000-0000B05D0000}"/>
    <cellStyle name="Normal 16 3 6" xfId="23980" xr:uid="{00000000-0005-0000-0000-0000B15D0000}"/>
    <cellStyle name="Normal 16 3 6 2" xfId="23981" xr:uid="{00000000-0005-0000-0000-0000B25D0000}"/>
    <cellStyle name="Normal 16 3 7" xfId="23982" xr:uid="{00000000-0005-0000-0000-0000B35D0000}"/>
    <cellStyle name="Normal 16 3 8" xfId="23983" xr:uid="{00000000-0005-0000-0000-0000B45D0000}"/>
    <cellStyle name="Normal 16 30" xfId="23984" xr:uid="{00000000-0005-0000-0000-0000B55D0000}"/>
    <cellStyle name="Normal 16 30 2" xfId="23985" xr:uid="{00000000-0005-0000-0000-0000B65D0000}"/>
    <cellStyle name="Normal 16 31" xfId="23986" xr:uid="{00000000-0005-0000-0000-0000B75D0000}"/>
    <cellStyle name="Normal 16 31 2" xfId="23987" xr:uid="{00000000-0005-0000-0000-0000B85D0000}"/>
    <cellStyle name="Normal 16 32" xfId="23988" xr:uid="{00000000-0005-0000-0000-0000B95D0000}"/>
    <cellStyle name="Normal 16 32 2" xfId="23989" xr:uid="{00000000-0005-0000-0000-0000BA5D0000}"/>
    <cellStyle name="Normal 16 33" xfId="23990" xr:uid="{00000000-0005-0000-0000-0000BB5D0000}"/>
    <cellStyle name="Normal 16 33 2" xfId="23991" xr:uid="{00000000-0005-0000-0000-0000BC5D0000}"/>
    <cellStyle name="Normal 16 34" xfId="23992" xr:uid="{00000000-0005-0000-0000-0000BD5D0000}"/>
    <cellStyle name="Normal 16 34 2" xfId="23993" xr:uid="{00000000-0005-0000-0000-0000BE5D0000}"/>
    <cellStyle name="Normal 16 35" xfId="23994" xr:uid="{00000000-0005-0000-0000-0000BF5D0000}"/>
    <cellStyle name="Normal 16 35 2" xfId="23995" xr:uid="{00000000-0005-0000-0000-0000C05D0000}"/>
    <cellStyle name="Normal 16 36" xfId="23996" xr:uid="{00000000-0005-0000-0000-0000C15D0000}"/>
    <cellStyle name="Normal 16 36 2" xfId="23997" xr:uid="{00000000-0005-0000-0000-0000C25D0000}"/>
    <cellStyle name="Normal 16 37" xfId="23998" xr:uid="{00000000-0005-0000-0000-0000C35D0000}"/>
    <cellStyle name="Normal 16 37 2" xfId="23999" xr:uid="{00000000-0005-0000-0000-0000C45D0000}"/>
    <cellStyle name="Normal 16 38" xfId="24000" xr:uid="{00000000-0005-0000-0000-0000C55D0000}"/>
    <cellStyle name="Normal 16 38 2" xfId="24001" xr:uid="{00000000-0005-0000-0000-0000C65D0000}"/>
    <cellStyle name="Normal 16 39" xfId="24002" xr:uid="{00000000-0005-0000-0000-0000C75D0000}"/>
    <cellStyle name="Normal 16 39 2" xfId="24003" xr:uid="{00000000-0005-0000-0000-0000C85D0000}"/>
    <cellStyle name="Normal 16 4" xfId="24004" xr:uid="{00000000-0005-0000-0000-0000C95D0000}"/>
    <cellStyle name="Normal 16 4 2" xfId="24005" xr:uid="{00000000-0005-0000-0000-0000CA5D0000}"/>
    <cellStyle name="Normal 16 4 2 2" xfId="24006" xr:uid="{00000000-0005-0000-0000-0000CB5D0000}"/>
    <cellStyle name="Normal 16 4 2 2 2" xfId="24007" xr:uid="{00000000-0005-0000-0000-0000CC5D0000}"/>
    <cellStyle name="Normal 16 4 2 2 2 2" xfId="24008" xr:uid="{00000000-0005-0000-0000-0000CD5D0000}"/>
    <cellStyle name="Normal 16 4 2 2 3" xfId="24009" xr:uid="{00000000-0005-0000-0000-0000CE5D0000}"/>
    <cellStyle name="Normal 16 4 2 2 4" xfId="24010" xr:uid="{00000000-0005-0000-0000-0000CF5D0000}"/>
    <cellStyle name="Normal 16 4 2 3" xfId="24011" xr:uid="{00000000-0005-0000-0000-0000D05D0000}"/>
    <cellStyle name="Normal 16 4 2 3 2" xfId="24012" xr:uid="{00000000-0005-0000-0000-0000D15D0000}"/>
    <cellStyle name="Normal 16 4 2 4" xfId="24013" xr:uid="{00000000-0005-0000-0000-0000D25D0000}"/>
    <cellStyle name="Normal 16 4 2 5" xfId="24014" xr:uid="{00000000-0005-0000-0000-0000D35D0000}"/>
    <cellStyle name="Normal 16 4 3" xfId="24015" xr:uid="{00000000-0005-0000-0000-0000D45D0000}"/>
    <cellStyle name="Normal 16 4 3 2" xfId="24016" xr:uid="{00000000-0005-0000-0000-0000D55D0000}"/>
    <cellStyle name="Normal 16 4 3 2 2" xfId="24017" xr:uid="{00000000-0005-0000-0000-0000D65D0000}"/>
    <cellStyle name="Normal 16 4 3 3" xfId="24018" xr:uid="{00000000-0005-0000-0000-0000D75D0000}"/>
    <cellStyle name="Normal 16 4 3 3 2" xfId="24019" xr:uid="{00000000-0005-0000-0000-0000D85D0000}"/>
    <cellStyle name="Normal 16 4 3 4" xfId="24020" xr:uid="{00000000-0005-0000-0000-0000D95D0000}"/>
    <cellStyle name="Normal 16 4 3 5" xfId="24021" xr:uid="{00000000-0005-0000-0000-0000DA5D0000}"/>
    <cellStyle name="Normal 16 4 4" xfId="24022" xr:uid="{00000000-0005-0000-0000-0000DB5D0000}"/>
    <cellStyle name="Normal 16 4 4 2" xfId="24023" xr:uid="{00000000-0005-0000-0000-0000DC5D0000}"/>
    <cellStyle name="Normal 16 4 5" xfId="24024" xr:uid="{00000000-0005-0000-0000-0000DD5D0000}"/>
    <cellStyle name="Normal 16 4 5 2" xfId="24025" xr:uid="{00000000-0005-0000-0000-0000DE5D0000}"/>
    <cellStyle name="Normal 16 4 6" xfId="24026" xr:uid="{00000000-0005-0000-0000-0000DF5D0000}"/>
    <cellStyle name="Normal 16 4 7" xfId="24027" xr:uid="{00000000-0005-0000-0000-0000E05D0000}"/>
    <cellStyle name="Normal 16 40" xfId="24028" xr:uid="{00000000-0005-0000-0000-0000E15D0000}"/>
    <cellStyle name="Normal 16 40 2" xfId="24029" xr:uid="{00000000-0005-0000-0000-0000E25D0000}"/>
    <cellStyle name="Normal 16 41" xfId="24030" xr:uid="{00000000-0005-0000-0000-0000E35D0000}"/>
    <cellStyle name="Normal 16 41 2" xfId="24031" xr:uid="{00000000-0005-0000-0000-0000E45D0000}"/>
    <cellStyle name="Normal 16 42" xfId="24032" xr:uid="{00000000-0005-0000-0000-0000E55D0000}"/>
    <cellStyle name="Normal 16 42 2" xfId="24033" xr:uid="{00000000-0005-0000-0000-0000E65D0000}"/>
    <cellStyle name="Normal 16 43" xfId="24034" xr:uid="{00000000-0005-0000-0000-0000E75D0000}"/>
    <cellStyle name="Normal 16 43 2" xfId="24035" xr:uid="{00000000-0005-0000-0000-0000E85D0000}"/>
    <cellStyle name="Normal 16 44" xfId="24036" xr:uid="{00000000-0005-0000-0000-0000E95D0000}"/>
    <cellStyle name="Normal 16 44 2" xfId="24037" xr:uid="{00000000-0005-0000-0000-0000EA5D0000}"/>
    <cellStyle name="Normal 16 45" xfId="24038" xr:uid="{00000000-0005-0000-0000-0000EB5D0000}"/>
    <cellStyle name="Normal 16 45 2" xfId="24039" xr:uid="{00000000-0005-0000-0000-0000EC5D0000}"/>
    <cellStyle name="Normal 16 46" xfId="24040" xr:uid="{00000000-0005-0000-0000-0000ED5D0000}"/>
    <cellStyle name="Normal 16 46 2" xfId="24041" xr:uid="{00000000-0005-0000-0000-0000EE5D0000}"/>
    <cellStyle name="Normal 16 47" xfId="24042" xr:uid="{00000000-0005-0000-0000-0000EF5D0000}"/>
    <cellStyle name="Normal 16 47 2" xfId="24043" xr:uid="{00000000-0005-0000-0000-0000F05D0000}"/>
    <cellStyle name="Normal 16 48" xfId="24044" xr:uid="{00000000-0005-0000-0000-0000F15D0000}"/>
    <cellStyle name="Normal 16 48 2" xfId="24045" xr:uid="{00000000-0005-0000-0000-0000F25D0000}"/>
    <cellStyle name="Normal 16 49" xfId="24046" xr:uid="{00000000-0005-0000-0000-0000F35D0000}"/>
    <cellStyle name="Normal 16 49 2" xfId="24047" xr:uid="{00000000-0005-0000-0000-0000F45D0000}"/>
    <cellStyle name="Normal 16 5" xfId="24048" xr:uid="{00000000-0005-0000-0000-0000F55D0000}"/>
    <cellStyle name="Normal 16 5 2" xfId="24049" xr:uid="{00000000-0005-0000-0000-0000F65D0000}"/>
    <cellStyle name="Normal 16 5 2 2" xfId="24050" xr:uid="{00000000-0005-0000-0000-0000F75D0000}"/>
    <cellStyle name="Normal 16 5 2 2 2" xfId="24051" xr:uid="{00000000-0005-0000-0000-0000F85D0000}"/>
    <cellStyle name="Normal 16 5 2 3" xfId="24052" xr:uid="{00000000-0005-0000-0000-0000F95D0000}"/>
    <cellStyle name="Normal 16 5 2 4" xfId="24053" xr:uid="{00000000-0005-0000-0000-0000FA5D0000}"/>
    <cellStyle name="Normal 16 5 3" xfId="24054" xr:uid="{00000000-0005-0000-0000-0000FB5D0000}"/>
    <cellStyle name="Normal 16 5 3 2" xfId="24055" xr:uid="{00000000-0005-0000-0000-0000FC5D0000}"/>
    <cellStyle name="Normal 16 5 4" xfId="24056" xr:uid="{00000000-0005-0000-0000-0000FD5D0000}"/>
    <cellStyle name="Normal 16 5 5" xfId="24057" xr:uid="{00000000-0005-0000-0000-0000FE5D0000}"/>
    <cellStyle name="Normal 16 50" xfId="24058" xr:uid="{00000000-0005-0000-0000-0000FF5D0000}"/>
    <cellStyle name="Normal 16 50 2" xfId="24059" xr:uid="{00000000-0005-0000-0000-0000005E0000}"/>
    <cellStyle name="Normal 16 51" xfId="24060" xr:uid="{00000000-0005-0000-0000-0000015E0000}"/>
    <cellStyle name="Normal 16 51 2" xfId="24061" xr:uid="{00000000-0005-0000-0000-0000025E0000}"/>
    <cellStyle name="Normal 16 52" xfId="24062" xr:uid="{00000000-0005-0000-0000-0000035E0000}"/>
    <cellStyle name="Normal 16 52 2" xfId="24063" xr:uid="{00000000-0005-0000-0000-0000045E0000}"/>
    <cellStyle name="Normal 16 53" xfId="24064" xr:uid="{00000000-0005-0000-0000-0000055E0000}"/>
    <cellStyle name="Normal 16 53 2" xfId="24065" xr:uid="{00000000-0005-0000-0000-0000065E0000}"/>
    <cellStyle name="Normal 16 54" xfId="24066" xr:uid="{00000000-0005-0000-0000-0000075E0000}"/>
    <cellStyle name="Normal 16 54 2" xfId="24067" xr:uid="{00000000-0005-0000-0000-0000085E0000}"/>
    <cellStyle name="Normal 16 55" xfId="24068" xr:uid="{00000000-0005-0000-0000-0000095E0000}"/>
    <cellStyle name="Normal 16 55 2" xfId="24069" xr:uid="{00000000-0005-0000-0000-00000A5E0000}"/>
    <cellStyle name="Normal 16 56" xfId="24070" xr:uid="{00000000-0005-0000-0000-00000B5E0000}"/>
    <cellStyle name="Normal 16 56 2" xfId="24071" xr:uid="{00000000-0005-0000-0000-00000C5E0000}"/>
    <cellStyle name="Normal 16 57" xfId="24072" xr:uid="{00000000-0005-0000-0000-00000D5E0000}"/>
    <cellStyle name="Normal 16 57 2" xfId="24073" xr:uid="{00000000-0005-0000-0000-00000E5E0000}"/>
    <cellStyle name="Normal 16 58" xfId="24074" xr:uid="{00000000-0005-0000-0000-00000F5E0000}"/>
    <cellStyle name="Normal 16 58 2" xfId="24075" xr:uid="{00000000-0005-0000-0000-0000105E0000}"/>
    <cellStyle name="Normal 16 59" xfId="24076" xr:uid="{00000000-0005-0000-0000-0000115E0000}"/>
    <cellStyle name="Normal 16 6" xfId="24077" xr:uid="{00000000-0005-0000-0000-0000125E0000}"/>
    <cellStyle name="Normal 16 6 2" xfId="24078" xr:uid="{00000000-0005-0000-0000-0000135E0000}"/>
    <cellStyle name="Normal 16 6 3" xfId="24079" xr:uid="{00000000-0005-0000-0000-0000145E0000}"/>
    <cellStyle name="Normal 16 7" xfId="24080" xr:uid="{00000000-0005-0000-0000-0000155E0000}"/>
    <cellStyle name="Normal 16 7 2" xfId="24081" xr:uid="{00000000-0005-0000-0000-0000165E0000}"/>
    <cellStyle name="Normal 16 8" xfId="24082" xr:uid="{00000000-0005-0000-0000-0000175E0000}"/>
    <cellStyle name="Normal 16 8 2" xfId="24083" xr:uid="{00000000-0005-0000-0000-0000185E0000}"/>
    <cellStyle name="Normal 16 8 3" xfId="24084" xr:uid="{00000000-0005-0000-0000-0000195E0000}"/>
    <cellStyle name="Normal 16 9" xfId="24085" xr:uid="{00000000-0005-0000-0000-00001A5E0000}"/>
    <cellStyle name="Normal 16 9 2" xfId="24086" xr:uid="{00000000-0005-0000-0000-00001B5E0000}"/>
    <cellStyle name="Normal 160" xfId="24087" xr:uid="{00000000-0005-0000-0000-00001C5E0000}"/>
    <cellStyle name="Normal 160 2" xfId="24088" xr:uid="{00000000-0005-0000-0000-00001D5E0000}"/>
    <cellStyle name="Normal 161" xfId="24089" xr:uid="{00000000-0005-0000-0000-00001E5E0000}"/>
    <cellStyle name="Normal 161 2" xfId="24090" xr:uid="{00000000-0005-0000-0000-00001F5E0000}"/>
    <cellStyle name="Normal 162" xfId="24091" xr:uid="{00000000-0005-0000-0000-0000205E0000}"/>
    <cellStyle name="Normal 162 2" xfId="24092" xr:uid="{00000000-0005-0000-0000-0000215E0000}"/>
    <cellStyle name="Normal 163" xfId="24093" xr:uid="{00000000-0005-0000-0000-0000225E0000}"/>
    <cellStyle name="Normal 163 10" xfId="24094" xr:uid="{00000000-0005-0000-0000-0000235E0000}"/>
    <cellStyle name="Normal 163 10 2" xfId="24095" xr:uid="{00000000-0005-0000-0000-0000245E0000}"/>
    <cellStyle name="Normal 163 11" xfId="24096" xr:uid="{00000000-0005-0000-0000-0000255E0000}"/>
    <cellStyle name="Normal 163 11 2" xfId="24097" xr:uid="{00000000-0005-0000-0000-0000265E0000}"/>
    <cellStyle name="Normal 163 12" xfId="24098" xr:uid="{00000000-0005-0000-0000-0000275E0000}"/>
    <cellStyle name="Normal 163 12 2" xfId="24099" xr:uid="{00000000-0005-0000-0000-0000285E0000}"/>
    <cellStyle name="Normal 163 13" xfId="24100" xr:uid="{00000000-0005-0000-0000-0000295E0000}"/>
    <cellStyle name="Normal 163 13 2" xfId="24101" xr:uid="{00000000-0005-0000-0000-00002A5E0000}"/>
    <cellStyle name="Normal 163 14" xfId="24102" xr:uid="{00000000-0005-0000-0000-00002B5E0000}"/>
    <cellStyle name="Normal 163 14 2" xfId="24103" xr:uid="{00000000-0005-0000-0000-00002C5E0000}"/>
    <cellStyle name="Normal 163 15" xfId="24104" xr:uid="{00000000-0005-0000-0000-00002D5E0000}"/>
    <cellStyle name="Normal 163 15 2" xfId="24105" xr:uid="{00000000-0005-0000-0000-00002E5E0000}"/>
    <cellStyle name="Normal 163 16" xfId="24106" xr:uid="{00000000-0005-0000-0000-00002F5E0000}"/>
    <cellStyle name="Normal 163 16 2" xfId="24107" xr:uid="{00000000-0005-0000-0000-0000305E0000}"/>
    <cellStyle name="Normal 163 17" xfId="24108" xr:uid="{00000000-0005-0000-0000-0000315E0000}"/>
    <cellStyle name="Normal 163 17 2" xfId="24109" xr:uid="{00000000-0005-0000-0000-0000325E0000}"/>
    <cellStyle name="Normal 163 18" xfId="24110" xr:uid="{00000000-0005-0000-0000-0000335E0000}"/>
    <cellStyle name="Normal 163 18 2" xfId="24111" xr:uid="{00000000-0005-0000-0000-0000345E0000}"/>
    <cellStyle name="Normal 163 19" xfId="24112" xr:uid="{00000000-0005-0000-0000-0000355E0000}"/>
    <cellStyle name="Normal 163 19 2" xfId="24113" xr:uid="{00000000-0005-0000-0000-0000365E0000}"/>
    <cellStyle name="Normal 163 2" xfId="24114" xr:uid="{00000000-0005-0000-0000-0000375E0000}"/>
    <cellStyle name="Normal 163 2 2" xfId="24115" xr:uid="{00000000-0005-0000-0000-0000385E0000}"/>
    <cellStyle name="Normal 163 20" xfId="24116" xr:uid="{00000000-0005-0000-0000-0000395E0000}"/>
    <cellStyle name="Normal 163 20 2" xfId="24117" xr:uid="{00000000-0005-0000-0000-00003A5E0000}"/>
    <cellStyle name="Normal 163 21" xfId="24118" xr:uid="{00000000-0005-0000-0000-00003B5E0000}"/>
    <cellStyle name="Normal 163 21 2" xfId="24119" xr:uid="{00000000-0005-0000-0000-00003C5E0000}"/>
    <cellStyle name="Normal 163 22" xfId="24120" xr:uid="{00000000-0005-0000-0000-00003D5E0000}"/>
    <cellStyle name="Normal 163 22 2" xfId="24121" xr:uid="{00000000-0005-0000-0000-00003E5E0000}"/>
    <cellStyle name="Normal 163 23" xfId="24122" xr:uid="{00000000-0005-0000-0000-00003F5E0000}"/>
    <cellStyle name="Normal 163 23 2" xfId="24123" xr:uid="{00000000-0005-0000-0000-0000405E0000}"/>
    <cellStyle name="Normal 163 24" xfId="24124" xr:uid="{00000000-0005-0000-0000-0000415E0000}"/>
    <cellStyle name="Normal 163 24 2" xfId="24125" xr:uid="{00000000-0005-0000-0000-0000425E0000}"/>
    <cellStyle name="Normal 163 25" xfId="24126" xr:uid="{00000000-0005-0000-0000-0000435E0000}"/>
    <cellStyle name="Normal 163 25 2" xfId="24127" xr:uid="{00000000-0005-0000-0000-0000445E0000}"/>
    <cellStyle name="Normal 163 26" xfId="24128" xr:uid="{00000000-0005-0000-0000-0000455E0000}"/>
    <cellStyle name="Normal 163 26 2" xfId="24129" xr:uid="{00000000-0005-0000-0000-0000465E0000}"/>
    <cellStyle name="Normal 163 27" xfId="24130" xr:uid="{00000000-0005-0000-0000-0000475E0000}"/>
    <cellStyle name="Normal 163 27 2" xfId="24131" xr:uid="{00000000-0005-0000-0000-0000485E0000}"/>
    <cellStyle name="Normal 163 28" xfId="24132" xr:uid="{00000000-0005-0000-0000-0000495E0000}"/>
    <cellStyle name="Normal 163 28 2" xfId="24133" xr:uid="{00000000-0005-0000-0000-00004A5E0000}"/>
    <cellStyle name="Normal 163 29" xfId="24134" xr:uid="{00000000-0005-0000-0000-00004B5E0000}"/>
    <cellStyle name="Normal 163 29 2" xfId="24135" xr:uid="{00000000-0005-0000-0000-00004C5E0000}"/>
    <cellStyle name="Normal 163 3" xfId="24136" xr:uid="{00000000-0005-0000-0000-00004D5E0000}"/>
    <cellStyle name="Normal 163 3 2" xfId="24137" xr:uid="{00000000-0005-0000-0000-00004E5E0000}"/>
    <cellStyle name="Normal 163 30" xfId="24138" xr:uid="{00000000-0005-0000-0000-00004F5E0000}"/>
    <cellStyle name="Normal 163 30 2" xfId="24139" xr:uid="{00000000-0005-0000-0000-0000505E0000}"/>
    <cellStyle name="Normal 163 31" xfId="24140" xr:uid="{00000000-0005-0000-0000-0000515E0000}"/>
    <cellStyle name="Normal 163 31 2" xfId="24141" xr:uid="{00000000-0005-0000-0000-0000525E0000}"/>
    <cellStyle name="Normal 163 32" xfId="24142" xr:uid="{00000000-0005-0000-0000-0000535E0000}"/>
    <cellStyle name="Normal 163 32 2" xfId="24143" xr:uid="{00000000-0005-0000-0000-0000545E0000}"/>
    <cellStyle name="Normal 163 33" xfId="24144" xr:uid="{00000000-0005-0000-0000-0000555E0000}"/>
    <cellStyle name="Normal 163 33 2" xfId="24145" xr:uid="{00000000-0005-0000-0000-0000565E0000}"/>
    <cellStyle name="Normal 163 34" xfId="24146" xr:uid="{00000000-0005-0000-0000-0000575E0000}"/>
    <cellStyle name="Normal 163 34 2" xfId="24147" xr:uid="{00000000-0005-0000-0000-0000585E0000}"/>
    <cellStyle name="Normal 163 35" xfId="24148" xr:uid="{00000000-0005-0000-0000-0000595E0000}"/>
    <cellStyle name="Normal 163 35 2" xfId="24149" xr:uid="{00000000-0005-0000-0000-00005A5E0000}"/>
    <cellStyle name="Normal 163 36" xfId="24150" xr:uid="{00000000-0005-0000-0000-00005B5E0000}"/>
    <cellStyle name="Normal 163 36 2" xfId="24151" xr:uid="{00000000-0005-0000-0000-00005C5E0000}"/>
    <cellStyle name="Normal 163 37" xfId="24152" xr:uid="{00000000-0005-0000-0000-00005D5E0000}"/>
    <cellStyle name="Normal 163 37 2" xfId="24153" xr:uid="{00000000-0005-0000-0000-00005E5E0000}"/>
    <cellStyle name="Normal 163 38" xfId="24154" xr:uid="{00000000-0005-0000-0000-00005F5E0000}"/>
    <cellStyle name="Normal 163 38 2" xfId="24155" xr:uid="{00000000-0005-0000-0000-0000605E0000}"/>
    <cellStyle name="Normal 163 39" xfId="24156" xr:uid="{00000000-0005-0000-0000-0000615E0000}"/>
    <cellStyle name="Normal 163 39 2" xfId="24157" xr:uid="{00000000-0005-0000-0000-0000625E0000}"/>
    <cellStyle name="Normal 163 4" xfId="24158" xr:uid="{00000000-0005-0000-0000-0000635E0000}"/>
    <cellStyle name="Normal 163 4 2" xfId="24159" xr:uid="{00000000-0005-0000-0000-0000645E0000}"/>
    <cellStyle name="Normal 163 40" xfId="24160" xr:uid="{00000000-0005-0000-0000-0000655E0000}"/>
    <cellStyle name="Normal 163 40 2" xfId="24161" xr:uid="{00000000-0005-0000-0000-0000665E0000}"/>
    <cellStyle name="Normal 163 41" xfId="24162" xr:uid="{00000000-0005-0000-0000-0000675E0000}"/>
    <cellStyle name="Normal 163 41 2" xfId="24163" xr:uid="{00000000-0005-0000-0000-0000685E0000}"/>
    <cellStyle name="Normal 163 42" xfId="24164" xr:uid="{00000000-0005-0000-0000-0000695E0000}"/>
    <cellStyle name="Normal 163 42 2" xfId="24165" xr:uid="{00000000-0005-0000-0000-00006A5E0000}"/>
    <cellStyle name="Normal 163 43" xfId="24166" xr:uid="{00000000-0005-0000-0000-00006B5E0000}"/>
    <cellStyle name="Normal 163 43 2" xfId="24167" xr:uid="{00000000-0005-0000-0000-00006C5E0000}"/>
    <cellStyle name="Normal 163 44" xfId="24168" xr:uid="{00000000-0005-0000-0000-00006D5E0000}"/>
    <cellStyle name="Normal 163 44 2" xfId="24169" xr:uid="{00000000-0005-0000-0000-00006E5E0000}"/>
    <cellStyle name="Normal 163 45" xfId="24170" xr:uid="{00000000-0005-0000-0000-00006F5E0000}"/>
    <cellStyle name="Normal 163 45 2" xfId="24171" xr:uid="{00000000-0005-0000-0000-0000705E0000}"/>
    <cellStyle name="Normal 163 46" xfId="24172" xr:uid="{00000000-0005-0000-0000-0000715E0000}"/>
    <cellStyle name="Normal 163 46 2" xfId="24173" xr:uid="{00000000-0005-0000-0000-0000725E0000}"/>
    <cellStyle name="Normal 163 47" xfId="24174" xr:uid="{00000000-0005-0000-0000-0000735E0000}"/>
    <cellStyle name="Normal 163 47 2" xfId="24175" xr:uid="{00000000-0005-0000-0000-0000745E0000}"/>
    <cellStyle name="Normal 163 48" xfId="24176" xr:uid="{00000000-0005-0000-0000-0000755E0000}"/>
    <cellStyle name="Normal 163 48 2" xfId="24177" xr:uid="{00000000-0005-0000-0000-0000765E0000}"/>
    <cellStyle name="Normal 163 49" xfId="24178" xr:uid="{00000000-0005-0000-0000-0000775E0000}"/>
    <cellStyle name="Normal 163 49 2" xfId="24179" xr:uid="{00000000-0005-0000-0000-0000785E0000}"/>
    <cellStyle name="Normal 163 5" xfId="24180" xr:uid="{00000000-0005-0000-0000-0000795E0000}"/>
    <cellStyle name="Normal 163 5 2" xfId="24181" xr:uid="{00000000-0005-0000-0000-00007A5E0000}"/>
    <cellStyle name="Normal 163 50" xfId="24182" xr:uid="{00000000-0005-0000-0000-00007B5E0000}"/>
    <cellStyle name="Normal 163 50 2" xfId="24183" xr:uid="{00000000-0005-0000-0000-00007C5E0000}"/>
    <cellStyle name="Normal 163 51" xfId="24184" xr:uid="{00000000-0005-0000-0000-00007D5E0000}"/>
    <cellStyle name="Normal 163 51 2" xfId="24185" xr:uid="{00000000-0005-0000-0000-00007E5E0000}"/>
    <cellStyle name="Normal 163 52" xfId="24186" xr:uid="{00000000-0005-0000-0000-00007F5E0000}"/>
    <cellStyle name="Normal 163 52 2" xfId="24187" xr:uid="{00000000-0005-0000-0000-0000805E0000}"/>
    <cellStyle name="Normal 163 53" xfId="24188" xr:uid="{00000000-0005-0000-0000-0000815E0000}"/>
    <cellStyle name="Normal 163 53 2" xfId="24189" xr:uid="{00000000-0005-0000-0000-0000825E0000}"/>
    <cellStyle name="Normal 163 54" xfId="24190" xr:uid="{00000000-0005-0000-0000-0000835E0000}"/>
    <cellStyle name="Normal 163 54 2" xfId="24191" xr:uid="{00000000-0005-0000-0000-0000845E0000}"/>
    <cellStyle name="Normal 163 55" xfId="24192" xr:uid="{00000000-0005-0000-0000-0000855E0000}"/>
    <cellStyle name="Normal 163 55 2" xfId="24193" xr:uid="{00000000-0005-0000-0000-0000865E0000}"/>
    <cellStyle name="Normal 163 56" xfId="24194" xr:uid="{00000000-0005-0000-0000-0000875E0000}"/>
    <cellStyle name="Normal 163 56 2" xfId="24195" xr:uid="{00000000-0005-0000-0000-0000885E0000}"/>
    <cellStyle name="Normal 163 57" xfId="24196" xr:uid="{00000000-0005-0000-0000-0000895E0000}"/>
    <cellStyle name="Normal 163 57 2" xfId="24197" xr:uid="{00000000-0005-0000-0000-00008A5E0000}"/>
    <cellStyle name="Normal 163 58" xfId="24198" xr:uid="{00000000-0005-0000-0000-00008B5E0000}"/>
    <cellStyle name="Normal 163 58 2" xfId="24199" xr:uid="{00000000-0005-0000-0000-00008C5E0000}"/>
    <cellStyle name="Normal 163 59" xfId="24200" xr:uid="{00000000-0005-0000-0000-00008D5E0000}"/>
    <cellStyle name="Normal 163 59 2" xfId="24201" xr:uid="{00000000-0005-0000-0000-00008E5E0000}"/>
    <cellStyle name="Normal 163 6" xfId="24202" xr:uid="{00000000-0005-0000-0000-00008F5E0000}"/>
    <cellStyle name="Normal 163 6 2" xfId="24203" xr:uid="{00000000-0005-0000-0000-0000905E0000}"/>
    <cellStyle name="Normal 163 60" xfId="24204" xr:uid="{00000000-0005-0000-0000-0000915E0000}"/>
    <cellStyle name="Normal 163 60 2" xfId="24205" xr:uid="{00000000-0005-0000-0000-0000925E0000}"/>
    <cellStyle name="Normal 163 61" xfId="24206" xr:uid="{00000000-0005-0000-0000-0000935E0000}"/>
    <cellStyle name="Normal 163 61 2" xfId="24207" xr:uid="{00000000-0005-0000-0000-0000945E0000}"/>
    <cellStyle name="Normal 163 62" xfId="24208" xr:uid="{00000000-0005-0000-0000-0000955E0000}"/>
    <cellStyle name="Normal 163 62 2" xfId="24209" xr:uid="{00000000-0005-0000-0000-0000965E0000}"/>
    <cellStyle name="Normal 163 62 3" xfId="24210" xr:uid="{00000000-0005-0000-0000-0000975E0000}"/>
    <cellStyle name="Normal 163 63" xfId="24211" xr:uid="{00000000-0005-0000-0000-0000985E0000}"/>
    <cellStyle name="Normal 163 7" xfId="24212" xr:uid="{00000000-0005-0000-0000-0000995E0000}"/>
    <cellStyle name="Normal 163 7 2" xfId="24213" xr:uid="{00000000-0005-0000-0000-00009A5E0000}"/>
    <cellStyle name="Normal 163 8" xfId="24214" xr:uid="{00000000-0005-0000-0000-00009B5E0000}"/>
    <cellStyle name="Normal 163 8 2" xfId="24215" xr:uid="{00000000-0005-0000-0000-00009C5E0000}"/>
    <cellStyle name="Normal 163 9" xfId="24216" xr:uid="{00000000-0005-0000-0000-00009D5E0000}"/>
    <cellStyle name="Normal 163 9 2" xfId="24217" xr:uid="{00000000-0005-0000-0000-00009E5E0000}"/>
    <cellStyle name="Normal 164" xfId="24218" xr:uid="{00000000-0005-0000-0000-00009F5E0000}"/>
    <cellStyle name="Normal 164 10" xfId="24219" xr:uid="{00000000-0005-0000-0000-0000A05E0000}"/>
    <cellStyle name="Normal 164 10 2" xfId="24220" xr:uid="{00000000-0005-0000-0000-0000A15E0000}"/>
    <cellStyle name="Normal 164 11" xfId="24221" xr:uid="{00000000-0005-0000-0000-0000A25E0000}"/>
    <cellStyle name="Normal 164 11 2" xfId="24222" xr:uid="{00000000-0005-0000-0000-0000A35E0000}"/>
    <cellStyle name="Normal 164 12" xfId="24223" xr:uid="{00000000-0005-0000-0000-0000A45E0000}"/>
    <cellStyle name="Normal 164 12 2" xfId="24224" xr:uid="{00000000-0005-0000-0000-0000A55E0000}"/>
    <cellStyle name="Normal 164 13" xfId="24225" xr:uid="{00000000-0005-0000-0000-0000A65E0000}"/>
    <cellStyle name="Normal 164 13 2" xfId="24226" xr:uid="{00000000-0005-0000-0000-0000A75E0000}"/>
    <cellStyle name="Normal 164 14" xfId="24227" xr:uid="{00000000-0005-0000-0000-0000A85E0000}"/>
    <cellStyle name="Normal 164 14 2" xfId="24228" xr:uid="{00000000-0005-0000-0000-0000A95E0000}"/>
    <cellStyle name="Normal 164 15" xfId="24229" xr:uid="{00000000-0005-0000-0000-0000AA5E0000}"/>
    <cellStyle name="Normal 164 15 2" xfId="24230" xr:uid="{00000000-0005-0000-0000-0000AB5E0000}"/>
    <cellStyle name="Normal 164 16" xfId="24231" xr:uid="{00000000-0005-0000-0000-0000AC5E0000}"/>
    <cellStyle name="Normal 164 16 2" xfId="24232" xr:uid="{00000000-0005-0000-0000-0000AD5E0000}"/>
    <cellStyle name="Normal 164 17" xfId="24233" xr:uid="{00000000-0005-0000-0000-0000AE5E0000}"/>
    <cellStyle name="Normal 164 17 2" xfId="24234" xr:uid="{00000000-0005-0000-0000-0000AF5E0000}"/>
    <cellStyle name="Normal 164 18" xfId="24235" xr:uid="{00000000-0005-0000-0000-0000B05E0000}"/>
    <cellStyle name="Normal 164 18 2" xfId="24236" xr:uid="{00000000-0005-0000-0000-0000B15E0000}"/>
    <cellStyle name="Normal 164 19" xfId="24237" xr:uid="{00000000-0005-0000-0000-0000B25E0000}"/>
    <cellStyle name="Normal 164 19 2" xfId="24238" xr:uid="{00000000-0005-0000-0000-0000B35E0000}"/>
    <cellStyle name="Normal 164 2" xfId="24239" xr:uid="{00000000-0005-0000-0000-0000B45E0000}"/>
    <cellStyle name="Normal 164 2 2" xfId="24240" xr:uid="{00000000-0005-0000-0000-0000B55E0000}"/>
    <cellStyle name="Normal 164 20" xfId="24241" xr:uid="{00000000-0005-0000-0000-0000B65E0000}"/>
    <cellStyle name="Normal 164 20 2" xfId="24242" xr:uid="{00000000-0005-0000-0000-0000B75E0000}"/>
    <cellStyle name="Normal 164 21" xfId="24243" xr:uid="{00000000-0005-0000-0000-0000B85E0000}"/>
    <cellStyle name="Normal 164 21 2" xfId="24244" xr:uid="{00000000-0005-0000-0000-0000B95E0000}"/>
    <cellStyle name="Normal 164 22" xfId="24245" xr:uid="{00000000-0005-0000-0000-0000BA5E0000}"/>
    <cellStyle name="Normal 164 22 2" xfId="24246" xr:uid="{00000000-0005-0000-0000-0000BB5E0000}"/>
    <cellStyle name="Normal 164 23" xfId="24247" xr:uid="{00000000-0005-0000-0000-0000BC5E0000}"/>
    <cellStyle name="Normal 164 23 2" xfId="24248" xr:uid="{00000000-0005-0000-0000-0000BD5E0000}"/>
    <cellStyle name="Normal 164 24" xfId="24249" xr:uid="{00000000-0005-0000-0000-0000BE5E0000}"/>
    <cellStyle name="Normal 164 24 2" xfId="24250" xr:uid="{00000000-0005-0000-0000-0000BF5E0000}"/>
    <cellStyle name="Normal 164 25" xfId="24251" xr:uid="{00000000-0005-0000-0000-0000C05E0000}"/>
    <cellStyle name="Normal 164 25 2" xfId="24252" xr:uid="{00000000-0005-0000-0000-0000C15E0000}"/>
    <cellStyle name="Normal 164 26" xfId="24253" xr:uid="{00000000-0005-0000-0000-0000C25E0000}"/>
    <cellStyle name="Normal 164 26 2" xfId="24254" xr:uid="{00000000-0005-0000-0000-0000C35E0000}"/>
    <cellStyle name="Normal 164 27" xfId="24255" xr:uid="{00000000-0005-0000-0000-0000C45E0000}"/>
    <cellStyle name="Normal 164 27 2" xfId="24256" xr:uid="{00000000-0005-0000-0000-0000C55E0000}"/>
    <cellStyle name="Normal 164 28" xfId="24257" xr:uid="{00000000-0005-0000-0000-0000C65E0000}"/>
    <cellStyle name="Normal 164 28 2" xfId="24258" xr:uid="{00000000-0005-0000-0000-0000C75E0000}"/>
    <cellStyle name="Normal 164 29" xfId="24259" xr:uid="{00000000-0005-0000-0000-0000C85E0000}"/>
    <cellStyle name="Normal 164 29 2" xfId="24260" xr:uid="{00000000-0005-0000-0000-0000C95E0000}"/>
    <cellStyle name="Normal 164 3" xfId="24261" xr:uid="{00000000-0005-0000-0000-0000CA5E0000}"/>
    <cellStyle name="Normal 164 3 2" xfId="24262" xr:uid="{00000000-0005-0000-0000-0000CB5E0000}"/>
    <cellStyle name="Normal 164 30" xfId="24263" xr:uid="{00000000-0005-0000-0000-0000CC5E0000}"/>
    <cellStyle name="Normal 164 30 2" xfId="24264" xr:uid="{00000000-0005-0000-0000-0000CD5E0000}"/>
    <cellStyle name="Normal 164 31" xfId="24265" xr:uid="{00000000-0005-0000-0000-0000CE5E0000}"/>
    <cellStyle name="Normal 164 31 2" xfId="24266" xr:uid="{00000000-0005-0000-0000-0000CF5E0000}"/>
    <cellStyle name="Normal 164 32" xfId="24267" xr:uid="{00000000-0005-0000-0000-0000D05E0000}"/>
    <cellStyle name="Normal 164 32 2" xfId="24268" xr:uid="{00000000-0005-0000-0000-0000D15E0000}"/>
    <cellStyle name="Normal 164 33" xfId="24269" xr:uid="{00000000-0005-0000-0000-0000D25E0000}"/>
    <cellStyle name="Normal 164 33 2" xfId="24270" xr:uid="{00000000-0005-0000-0000-0000D35E0000}"/>
    <cellStyle name="Normal 164 34" xfId="24271" xr:uid="{00000000-0005-0000-0000-0000D45E0000}"/>
    <cellStyle name="Normal 164 34 2" xfId="24272" xr:uid="{00000000-0005-0000-0000-0000D55E0000}"/>
    <cellStyle name="Normal 164 35" xfId="24273" xr:uid="{00000000-0005-0000-0000-0000D65E0000}"/>
    <cellStyle name="Normal 164 35 2" xfId="24274" xr:uid="{00000000-0005-0000-0000-0000D75E0000}"/>
    <cellStyle name="Normal 164 36" xfId="24275" xr:uid="{00000000-0005-0000-0000-0000D85E0000}"/>
    <cellStyle name="Normal 164 36 2" xfId="24276" xr:uid="{00000000-0005-0000-0000-0000D95E0000}"/>
    <cellStyle name="Normal 164 37" xfId="24277" xr:uid="{00000000-0005-0000-0000-0000DA5E0000}"/>
    <cellStyle name="Normal 164 37 2" xfId="24278" xr:uid="{00000000-0005-0000-0000-0000DB5E0000}"/>
    <cellStyle name="Normal 164 38" xfId="24279" xr:uid="{00000000-0005-0000-0000-0000DC5E0000}"/>
    <cellStyle name="Normal 164 38 2" xfId="24280" xr:uid="{00000000-0005-0000-0000-0000DD5E0000}"/>
    <cellStyle name="Normal 164 39" xfId="24281" xr:uid="{00000000-0005-0000-0000-0000DE5E0000}"/>
    <cellStyle name="Normal 164 39 2" xfId="24282" xr:uid="{00000000-0005-0000-0000-0000DF5E0000}"/>
    <cellStyle name="Normal 164 4" xfId="24283" xr:uid="{00000000-0005-0000-0000-0000E05E0000}"/>
    <cellStyle name="Normal 164 4 2" xfId="24284" xr:uid="{00000000-0005-0000-0000-0000E15E0000}"/>
    <cellStyle name="Normal 164 40" xfId="24285" xr:uid="{00000000-0005-0000-0000-0000E25E0000}"/>
    <cellStyle name="Normal 164 40 2" xfId="24286" xr:uid="{00000000-0005-0000-0000-0000E35E0000}"/>
    <cellStyle name="Normal 164 41" xfId="24287" xr:uid="{00000000-0005-0000-0000-0000E45E0000}"/>
    <cellStyle name="Normal 164 41 2" xfId="24288" xr:uid="{00000000-0005-0000-0000-0000E55E0000}"/>
    <cellStyle name="Normal 164 42" xfId="24289" xr:uid="{00000000-0005-0000-0000-0000E65E0000}"/>
    <cellStyle name="Normal 164 42 2" xfId="24290" xr:uid="{00000000-0005-0000-0000-0000E75E0000}"/>
    <cellStyle name="Normal 164 43" xfId="24291" xr:uid="{00000000-0005-0000-0000-0000E85E0000}"/>
    <cellStyle name="Normal 164 43 2" xfId="24292" xr:uid="{00000000-0005-0000-0000-0000E95E0000}"/>
    <cellStyle name="Normal 164 44" xfId="24293" xr:uid="{00000000-0005-0000-0000-0000EA5E0000}"/>
    <cellStyle name="Normal 164 44 2" xfId="24294" xr:uid="{00000000-0005-0000-0000-0000EB5E0000}"/>
    <cellStyle name="Normal 164 45" xfId="24295" xr:uid="{00000000-0005-0000-0000-0000EC5E0000}"/>
    <cellStyle name="Normal 164 45 2" xfId="24296" xr:uid="{00000000-0005-0000-0000-0000ED5E0000}"/>
    <cellStyle name="Normal 164 46" xfId="24297" xr:uid="{00000000-0005-0000-0000-0000EE5E0000}"/>
    <cellStyle name="Normal 164 46 2" xfId="24298" xr:uid="{00000000-0005-0000-0000-0000EF5E0000}"/>
    <cellStyle name="Normal 164 47" xfId="24299" xr:uid="{00000000-0005-0000-0000-0000F05E0000}"/>
    <cellStyle name="Normal 164 47 2" xfId="24300" xr:uid="{00000000-0005-0000-0000-0000F15E0000}"/>
    <cellStyle name="Normal 164 48" xfId="24301" xr:uid="{00000000-0005-0000-0000-0000F25E0000}"/>
    <cellStyle name="Normal 164 48 2" xfId="24302" xr:uid="{00000000-0005-0000-0000-0000F35E0000}"/>
    <cellStyle name="Normal 164 49" xfId="24303" xr:uid="{00000000-0005-0000-0000-0000F45E0000}"/>
    <cellStyle name="Normal 164 49 2" xfId="24304" xr:uid="{00000000-0005-0000-0000-0000F55E0000}"/>
    <cellStyle name="Normal 164 5" xfId="24305" xr:uid="{00000000-0005-0000-0000-0000F65E0000}"/>
    <cellStyle name="Normal 164 5 2" xfId="24306" xr:uid="{00000000-0005-0000-0000-0000F75E0000}"/>
    <cellStyle name="Normal 164 50" xfId="24307" xr:uid="{00000000-0005-0000-0000-0000F85E0000}"/>
    <cellStyle name="Normal 164 50 2" xfId="24308" xr:uid="{00000000-0005-0000-0000-0000F95E0000}"/>
    <cellStyle name="Normal 164 51" xfId="24309" xr:uid="{00000000-0005-0000-0000-0000FA5E0000}"/>
    <cellStyle name="Normal 164 51 2" xfId="24310" xr:uid="{00000000-0005-0000-0000-0000FB5E0000}"/>
    <cellStyle name="Normal 164 52" xfId="24311" xr:uid="{00000000-0005-0000-0000-0000FC5E0000}"/>
    <cellStyle name="Normal 164 52 2" xfId="24312" xr:uid="{00000000-0005-0000-0000-0000FD5E0000}"/>
    <cellStyle name="Normal 164 53" xfId="24313" xr:uid="{00000000-0005-0000-0000-0000FE5E0000}"/>
    <cellStyle name="Normal 164 53 2" xfId="24314" xr:uid="{00000000-0005-0000-0000-0000FF5E0000}"/>
    <cellStyle name="Normal 164 54" xfId="24315" xr:uid="{00000000-0005-0000-0000-0000005F0000}"/>
    <cellStyle name="Normal 164 54 2" xfId="24316" xr:uid="{00000000-0005-0000-0000-0000015F0000}"/>
    <cellStyle name="Normal 164 55" xfId="24317" xr:uid="{00000000-0005-0000-0000-0000025F0000}"/>
    <cellStyle name="Normal 164 55 2" xfId="24318" xr:uid="{00000000-0005-0000-0000-0000035F0000}"/>
    <cellStyle name="Normal 164 56" xfId="24319" xr:uid="{00000000-0005-0000-0000-0000045F0000}"/>
    <cellStyle name="Normal 164 56 2" xfId="24320" xr:uid="{00000000-0005-0000-0000-0000055F0000}"/>
    <cellStyle name="Normal 164 57" xfId="24321" xr:uid="{00000000-0005-0000-0000-0000065F0000}"/>
    <cellStyle name="Normal 164 57 2" xfId="24322" xr:uid="{00000000-0005-0000-0000-0000075F0000}"/>
    <cellStyle name="Normal 164 58" xfId="24323" xr:uid="{00000000-0005-0000-0000-0000085F0000}"/>
    <cellStyle name="Normal 164 58 2" xfId="24324" xr:uid="{00000000-0005-0000-0000-0000095F0000}"/>
    <cellStyle name="Normal 164 59" xfId="24325" xr:uid="{00000000-0005-0000-0000-00000A5F0000}"/>
    <cellStyle name="Normal 164 59 2" xfId="24326" xr:uid="{00000000-0005-0000-0000-00000B5F0000}"/>
    <cellStyle name="Normal 164 6" xfId="24327" xr:uid="{00000000-0005-0000-0000-00000C5F0000}"/>
    <cellStyle name="Normal 164 6 2" xfId="24328" xr:uid="{00000000-0005-0000-0000-00000D5F0000}"/>
    <cellStyle name="Normal 164 60" xfId="24329" xr:uid="{00000000-0005-0000-0000-00000E5F0000}"/>
    <cellStyle name="Normal 164 60 2" xfId="24330" xr:uid="{00000000-0005-0000-0000-00000F5F0000}"/>
    <cellStyle name="Normal 164 61" xfId="24331" xr:uid="{00000000-0005-0000-0000-0000105F0000}"/>
    <cellStyle name="Normal 164 61 2" xfId="24332" xr:uid="{00000000-0005-0000-0000-0000115F0000}"/>
    <cellStyle name="Normal 164 62" xfId="24333" xr:uid="{00000000-0005-0000-0000-0000125F0000}"/>
    <cellStyle name="Normal 164 62 2" xfId="24334" xr:uid="{00000000-0005-0000-0000-0000135F0000}"/>
    <cellStyle name="Normal 164 62 3" xfId="24335" xr:uid="{00000000-0005-0000-0000-0000145F0000}"/>
    <cellStyle name="Normal 164 63" xfId="24336" xr:uid="{00000000-0005-0000-0000-0000155F0000}"/>
    <cellStyle name="Normal 164 7" xfId="24337" xr:uid="{00000000-0005-0000-0000-0000165F0000}"/>
    <cellStyle name="Normal 164 7 2" xfId="24338" xr:uid="{00000000-0005-0000-0000-0000175F0000}"/>
    <cellStyle name="Normal 164 8" xfId="24339" xr:uid="{00000000-0005-0000-0000-0000185F0000}"/>
    <cellStyle name="Normal 164 8 2" xfId="24340" xr:uid="{00000000-0005-0000-0000-0000195F0000}"/>
    <cellStyle name="Normal 164 9" xfId="24341" xr:uid="{00000000-0005-0000-0000-00001A5F0000}"/>
    <cellStyle name="Normal 164 9 2" xfId="24342" xr:uid="{00000000-0005-0000-0000-00001B5F0000}"/>
    <cellStyle name="Normal 165" xfId="24343" xr:uid="{00000000-0005-0000-0000-00001C5F0000}"/>
    <cellStyle name="Normal 165 10" xfId="24344" xr:uid="{00000000-0005-0000-0000-00001D5F0000}"/>
    <cellStyle name="Normal 165 10 2" xfId="24345" xr:uid="{00000000-0005-0000-0000-00001E5F0000}"/>
    <cellStyle name="Normal 165 11" xfId="24346" xr:uid="{00000000-0005-0000-0000-00001F5F0000}"/>
    <cellStyle name="Normal 165 11 2" xfId="24347" xr:uid="{00000000-0005-0000-0000-0000205F0000}"/>
    <cellStyle name="Normal 165 12" xfId="24348" xr:uid="{00000000-0005-0000-0000-0000215F0000}"/>
    <cellStyle name="Normal 165 12 2" xfId="24349" xr:uid="{00000000-0005-0000-0000-0000225F0000}"/>
    <cellStyle name="Normal 165 13" xfId="24350" xr:uid="{00000000-0005-0000-0000-0000235F0000}"/>
    <cellStyle name="Normal 165 13 2" xfId="24351" xr:uid="{00000000-0005-0000-0000-0000245F0000}"/>
    <cellStyle name="Normal 165 14" xfId="24352" xr:uid="{00000000-0005-0000-0000-0000255F0000}"/>
    <cellStyle name="Normal 165 14 2" xfId="24353" xr:uid="{00000000-0005-0000-0000-0000265F0000}"/>
    <cellStyle name="Normal 165 15" xfId="24354" xr:uid="{00000000-0005-0000-0000-0000275F0000}"/>
    <cellStyle name="Normal 165 15 2" xfId="24355" xr:uid="{00000000-0005-0000-0000-0000285F0000}"/>
    <cellStyle name="Normal 165 16" xfId="24356" xr:uid="{00000000-0005-0000-0000-0000295F0000}"/>
    <cellStyle name="Normal 165 16 2" xfId="24357" xr:uid="{00000000-0005-0000-0000-00002A5F0000}"/>
    <cellStyle name="Normal 165 17" xfId="24358" xr:uid="{00000000-0005-0000-0000-00002B5F0000}"/>
    <cellStyle name="Normal 165 17 2" xfId="24359" xr:uid="{00000000-0005-0000-0000-00002C5F0000}"/>
    <cellStyle name="Normal 165 18" xfId="24360" xr:uid="{00000000-0005-0000-0000-00002D5F0000}"/>
    <cellStyle name="Normal 165 18 2" xfId="24361" xr:uid="{00000000-0005-0000-0000-00002E5F0000}"/>
    <cellStyle name="Normal 165 19" xfId="24362" xr:uid="{00000000-0005-0000-0000-00002F5F0000}"/>
    <cellStyle name="Normal 165 19 2" xfId="24363" xr:uid="{00000000-0005-0000-0000-0000305F0000}"/>
    <cellStyle name="Normal 165 2" xfId="24364" xr:uid="{00000000-0005-0000-0000-0000315F0000}"/>
    <cellStyle name="Normal 165 2 2" xfId="24365" xr:uid="{00000000-0005-0000-0000-0000325F0000}"/>
    <cellStyle name="Normal 165 20" xfId="24366" xr:uid="{00000000-0005-0000-0000-0000335F0000}"/>
    <cellStyle name="Normal 165 20 2" xfId="24367" xr:uid="{00000000-0005-0000-0000-0000345F0000}"/>
    <cellStyle name="Normal 165 21" xfId="24368" xr:uid="{00000000-0005-0000-0000-0000355F0000}"/>
    <cellStyle name="Normal 165 21 2" xfId="24369" xr:uid="{00000000-0005-0000-0000-0000365F0000}"/>
    <cellStyle name="Normal 165 22" xfId="24370" xr:uid="{00000000-0005-0000-0000-0000375F0000}"/>
    <cellStyle name="Normal 165 22 2" xfId="24371" xr:uid="{00000000-0005-0000-0000-0000385F0000}"/>
    <cellStyle name="Normal 165 23" xfId="24372" xr:uid="{00000000-0005-0000-0000-0000395F0000}"/>
    <cellStyle name="Normal 165 23 2" xfId="24373" xr:uid="{00000000-0005-0000-0000-00003A5F0000}"/>
    <cellStyle name="Normal 165 24" xfId="24374" xr:uid="{00000000-0005-0000-0000-00003B5F0000}"/>
    <cellStyle name="Normal 165 24 2" xfId="24375" xr:uid="{00000000-0005-0000-0000-00003C5F0000}"/>
    <cellStyle name="Normal 165 25" xfId="24376" xr:uid="{00000000-0005-0000-0000-00003D5F0000}"/>
    <cellStyle name="Normal 165 25 2" xfId="24377" xr:uid="{00000000-0005-0000-0000-00003E5F0000}"/>
    <cellStyle name="Normal 165 26" xfId="24378" xr:uid="{00000000-0005-0000-0000-00003F5F0000}"/>
    <cellStyle name="Normal 165 26 2" xfId="24379" xr:uid="{00000000-0005-0000-0000-0000405F0000}"/>
    <cellStyle name="Normal 165 27" xfId="24380" xr:uid="{00000000-0005-0000-0000-0000415F0000}"/>
    <cellStyle name="Normal 165 27 2" xfId="24381" xr:uid="{00000000-0005-0000-0000-0000425F0000}"/>
    <cellStyle name="Normal 165 28" xfId="24382" xr:uid="{00000000-0005-0000-0000-0000435F0000}"/>
    <cellStyle name="Normal 165 28 2" xfId="24383" xr:uid="{00000000-0005-0000-0000-0000445F0000}"/>
    <cellStyle name="Normal 165 29" xfId="24384" xr:uid="{00000000-0005-0000-0000-0000455F0000}"/>
    <cellStyle name="Normal 165 29 2" xfId="24385" xr:uid="{00000000-0005-0000-0000-0000465F0000}"/>
    <cellStyle name="Normal 165 3" xfId="24386" xr:uid="{00000000-0005-0000-0000-0000475F0000}"/>
    <cellStyle name="Normal 165 3 2" xfId="24387" xr:uid="{00000000-0005-0000-0000-0000485F0000}"/>
    <cellStyle name="Normal 165 30" xfId="24388" xr:uid="{00000000-0005-0000-0000-0000495F0000}"/>
    <cellStyle name="Normal 165 30 2" xfId="24389" xr:uid="{00000000-0005-0000-0000-00004A5F0000}"/>
    <cellStyle name="Normal 165 31" xfId="24390" xr:uid="{00000000-0005-0000-0000-00004B5F0000}"/>
    <cellStyle name="Normal 165 31 2" xfId="24391" xr:uid="{00000000-0005-0000-0000-00004C5F0000}"/>
    <cellStyle name="Normal 165 32" xfId="24392" xr:uid="{00000000-0005-0000-0000-00004D5F0000}"/>
    <cellStyle name="Normal 165 32 2" xfId="24393" xr:uid="{00000000-0005-0000-0000-00004E5F0000}"/>
    <cellStyle name="Normal 165 33" xfId="24394" xr:uid="{00000000-0005-0000-0000-00004F5F0000}"/>
    <cellStyle name="Normal 165 33 2" xfId="24395" xr:uid="{00000000-0005-0000-0000-0000505F0000}"/>
    <cellStyle name="Normal 165 34" xfId="24396" xr:uid="{00000000-0005-0000-0000-0000515F0000}"/>
    <cellStyle name="Normal 165 34 2" xfId="24397" xr:uid="{00000000-0005-0000-0000-0000525F0000}"/>
    <cellStyle name="Normal 165 35" xfId="24398" xr:uid="{00000000-0005-0000-0000-0000535F0000}"/>
    <cellStyle name="Normal 165 35 2" xfId="24399" xr:uid="{00000000-0005-0000-0000-0000545F0000}"/>
    <cellStyle name="Normal 165 36" xfId="24400" xr:uid="{00000000-0005-0000-0000-0000555F0000}"/>
    <cellStyle name="Normal 165 36 2" xfId="24401" xr:uid="{00000000-0005-0000-0000-0000565F0000}"/>
    <cellStyle name="Normal 165 37" xfId="24402" xr:uid="{00000000-0005-0000-0000-0000575F0000}"/>
    <cellStyle name="Normal 165 37 2" xfId="24403" xr:uid="{00000000-0005-0000-0000-0000585F0000}"/>
    <cellStyle name="Normal 165 38" xfId="24404" xr:uid="{00000000-0005-0000-0000-0000595F0000}"/>
    <cellStyle name="Normal 165 38 2" xfId="24405" xr:uid="{00000000-0005-0000-0000-00005A5F0000}"/>
    <cellStyle name="Normal 165 39" xfId="24406" xr:uid="{00000000-0005-0000-0000-00005B5F0000}"/>
    <cellStyle name="Normal 165 39 2" xfId="24407" xr:uid="{00000000-0005-0000-0000-00005C5F0000}"/>
    <cellStyle name="Normal 165 4" xfId="24408" xr:uid="{00000000-0005-0000-0000-00005D5F0000}"/>
    <cellStyle name="Normal 165 4 2" xfId="24409" xr:uid="{00000000-0005-0000-0000-00005E5F0000}"/>
    <cellStyle name="Normal 165 40" xfId="24410" xr:uid="{00000000-0005-0000-0000-00005F5F0000}"/>
    <cellStyle name="Normal 165 40 2" xfId="24411" xr:uid="{00000000-0005-0000-0000-0000605F0000}"/>
    <cellStyle name="Normal 165 41" xfId="24412" xr:uid="{00000000-0005-0000-0000-0000615F0000}"/>
    <cellStyle name="Normal 165 41 2" xfId="24413" xr:uid="{00000000-0005-0000-0000-0000625F0000}"/>
    <cellStyle name="Normal 165 42" xfId="24414" xr:uid="{00000000-0005-0000-0000-0000635F0000}"/>
    <cellStyle name="Normal 165 42 2" xfId="24415" xr:uid="{00000000-0005-0000-0000-0000645F0000}"/>
    <cellStyle name="Normal 165 43" xfId="24416" xr:uid="{00000000-0005-0000-0000-0000655F0000}"/>
    <cellStyle name="Normal 165 43 2" xfId="24417" xr:uid="{00000000-0005-0000-0000-0000665F0000}"/>
    <cellStyle name="Normal 165 44" xfId="24418" xr:uid="{00000000-0005-0000-0000-0000675F0000}"/>
    <cellStyle name="Normal 165 44 2" xfId="24419" xr:uid="{00000000-0005-0000-0000-0000685F0000}"/>
    <cellStyle name="Normal 165 45" xfId="24420" xr:uid="{00000000-0005-0000-0000-0000695F0000}"/>
    <cellStyle name="Normal 165 45 2" xfId="24421" xr:uid="{00000000-0005-0000-0000-00006A5F0000}"/>
    <cellStyle name="Normal 165 46" xfId="24422" xr:uid="{00000000-0005-0000-0000-00006B5F0000}"/>
    <cellStyle name="Normal 165 46 2" xfId="24423" xr:uid="{00000000-0005-0000-0000-00006C5F0000}"/>
    <cellStyle name="Normal 165 47" xfId="24424" xr:uid="{00000000-0005-0000-0000-00006D5F0000}"/>
    <cellStyle name="Normal 165 47 2" xfId="24425" xr:uid="{00000000-0005-0000-0000-00006E5F0000}"/>
    <cellStyle name="Normal 165 48" xfId="24426" xr:uid="{00000000-0005-0000-0000-00006F5F0000}"/>
    <cellStyle name="Normal 165 48 2" xfId="24427" xr:uid="{00000000-0005-0000-0000-0000705F0000}"/>
    <cellStyle name="Normal 165 49" xfId="24428" xr:uid="{00000000-0005-0000-0000-0000715F0000}"/>
    <cellStyle name="Normal 165 49 2" xfId="24429" xr:uid="{00000000-0005-0000-0000-0000725F0000}"/>
    <cellStyle name="Normal 165 5" xfId="24430" xr:uid="{00000000-0005-0000-0000-0000735F0000}"/>
    <cellStyle name="Normal 165 5 2" xfId="24431" xr:uid="{00000000-0005-0000-0000-0000745F0000}"/>
    <cellStyle name="Normal 165 50" xfId="24432" xr:uid="{00000000-0005-0000-0000-0000755F0000}"/>
    <cellStyle name="Normal 165 50 2" xfId="24433" xr:uid="{00000000-0005-0000-0000-0000765F0000}"/>
    <cellStyle name="Normal 165 51" xfId="24434" xr:uid="{00000000-0005-0000-0000-0000775F0000}"/>
    <cellStyle name="Normal 165 51 2" xfId="24435" xr:uid="{00000000-0005-0000-0000-0000785F0000}"/>
    <cellStyle name="Normal 165 52" xfId="24436" xr:uid="{00000000-0005-0000-0000-0000795F0000}"/>
    <cellStyle name="Normal 165 52 2" xfId="24437" xr:uid="{00000000-0005-0000-0000-00007A5F0000}"/>
    <cellStyle name="Normal 165 53" xfId="24438" xr:uid="{00000000-0005-0000-0000-00007B5F0000}"/>
    <cellStyle name="Normal 165 53 2" xfId="24439" xr:uid="{00000000-0005-0000-0000-00007C5F0000}"/>
    <cellStyle name="Normal 165 54" xfId="24440" xr:uid="{00000000-0005-0000-0000-00007D5F0000}"/>
    <cellStyle name="Normal 165 54 2" xfId="24441" xr:uid="{00000000-0005-0000-0000-00007E5F0000}"/>
    <cellStyle name="Normal 165 55" xfId="24442" xr:uid="{00000000-0005-0000-0000-00007F5F0000}"/>
    <cellStyle name="Normal 165 55 2" xfId="24443" xr:uid="{00000000-0005-0000-0000-0000805F0000}"/>
    <cellStyle name="Normal 165 56" xfId="24444" xr:uid="{00000000-0005-0000-0000-0000815F0000}"/>
    <cellStyle name="Normal 165 56 2" xfId="24445" xr:uid="{00000000-0005-0000-0000-0000825F0000}"/>
    <cellStyle name="Normal 165 57" xfId="24446" xr:uid="{00000000-0005-0000-0000-0000835F0000}"/>
    <cellStyle name="Normal 165 57 2" xfId="24447" xr:uid="{00000000-0005-0000-0000-0000845F0000}"/>
    <cellStyle name="Normal 165 58" xfId="24448" xr:uid="{00000000-0005-0000-0000-0000855F0000}"/>
    <cellStyle name="Normal 165 58 2" xfId="24449" xr:uid="{00000000-0005-0000-0000-0000865F0000}"/>
    <cellStyle name="Normal 165 59" xfId="24450" xr:uid="{00000000-0005-0000-0000-0000875F0000}"/>
    <cellStyle name="Normal 165 59 2" xfId="24451" xr:uid="{00000000-0005-0000-0000-0000885F0000}"/>
    <cellStyle name="Normal 165 6" xfId="24452" xr:uid="{00000000-0005-0000-0000-0000895F0000}"/>
    <cellStyle name="Normal 165 6 2" xfId="24453" xr:uid="{00000000-0005-0000-0000-00008A5F0000}"/>
    <cellStyle name="Normal 165 60" xfId="24454" xr:uid="{00000000-0005-0000-0000-00008B5F0000}"/>
    <cellStyle name="Normal 165 60 2" xfId="24455" xr:uid="{00000000-0005-0000-0000-00008C5F0000}"/>
    <cellStyle name="Normal 165 61" xfId="24456" xr:uid="{00000000-0005-0000-0000-00008D5F0000}"/>
    <cellStyle name="Normal 165 61 2" xfId="24457" xr:uid="{00000000-0005-0000-0000-00008E5F0000}"/>
    <cellStyle name="Normal 165 62" xfId="24458" xr:uid="{00000000-0005-0000-0000-00008F5F0000}"/>
    <cellStyle name="Normal 165 62 2" xfId="24459" xr:uid="{00000000-0005-0000-0000-0000905F0000}"/>
    <cellStyle name="Normal 165 62 3" xfId="24460" xr:uid="{00000000-0005-0000-0000-0000915F0000}"/>
    <cellStyle name="Normal 165 63" xfId="24461" xr:uid="{00000000-0005-0000-0000-0000925F0000}"/>
    <cellStyle name="Normal 165 7" xfId="24462" xr:uid="{00000000-0005-0000-0000-0000935F0000}"/>
    <cellStyle name="Normal 165 7 2" xfId="24463" xr:uid="{00000000-0005-0000-0000-0000945F0000}"/>
    <cellStyle name="Normal 165 8" xfId="24464" xr:uid="{00000000-0005-0000-0000-0000955F0000}"/>
    <cellStyle name="Normal 165 8 2" xfId="24465" xr:uid="{00000000-0005-0000-0000-0000965F0000}"/>
    <cellStyle name="Normal 165 9" xfId="24466" xr:uid="{00000000-0005-0000-0000-0000975F0000}"/>
    <cellStyle name="Normal 165 9 2" xfId="24467" xr:uid="{00000000-0005-0000-0000-0000985F0000}"/>
    <cellStyle name="Normal 166" xfId="24468" xr:uid="{00000000-0005-0000-0000-0000995F0000}"/>
    <cellStyle name="Normal 166 10" xfId="24469" xr:uid="{00000000-0005-0000-0000-00009A5F0000}"/>
    <cellStyle name="Normal 166 10 2" xfId="24470" xr:uid="{00000000-0005-0000-0000-00009B5F0000}"/>
    <cellStyle name="Normal 166 11" xfId="24471" xr:uid="{00000000-0005-0000-0000-00009C5F0000}"/>
    <cellStyle name="Normal 166 11 2" xfId="24472" xr:uid="{00000000-0005-0000-0000-00009D5F0000}"/>
    <cellStyle name="Normal 166 12" xfId="24473" xr:uid="{00000000-0005-0000-0000-00009E5F0000}"/>
    <cellStyle name="Normal 166 12 2" xfId="24474" xr:uid="{00000000-0005-0000-0000-00009F5F0000}"/>
    <cellStyle name="Normal 166 13" xfId="24475" xr:uid="{00000000-0005-0000-0000-0000A05F0000}"/>
    <cellStyle name="Normal 166 13 2" xfId="24476" xr:uid="{00000000-0005-0000-0000-0000A15F0000}"/>
    <cellStyle name="Normal 166 14" xfId="24477" xr:uid="{00000000-0005-0000-0000-0000A25F0000}"/>
    <cellStyle name="Normal 166 14 2" xfId="24478" xr:uid="{00000000-0005-0000-0000-0000A35F0000}"/>
    <cellStyle name="Normal 166 15" xfId="24479" xr:uid="{00000000-0005-0000-0000-0000A45F0000}"/>
    <cellStyle name="Normal 166 15 2" xfId="24480" xr:uid="{00000000-0005-0000-0000-0000A55F0000}"/>
    <cellStyle name="Normal 166 16" xfId="24481" xr:uid="{00000000-0005-0000-0000-0000A65F0000}"/>
    <cellStyle name="Normal 166 16 2" xfId="24482" xr:uid="{00000000-0005-0000-0000-0000A75F0000}"/>
    <cellStyle name="Normal 166 17" xfId="24483" xr:uid="{00000000-0005-0000-0000-0000A85F0000}"/>
    <cellStyle name="Normal 166 17 2" xfId="24484" xr:uid="{00000000-0005-0000-0000-0000A95F0000}"/>
    <cellStyle name="Normal 166 18" xfId="24485" xr:uid="{00000000-0005-0000-0000-0000AA5F0000}"/>
    <cellStyle name="Normal 166 18 2" xfId="24486" xr:uid="{00000000-0005-0000-0000-0000AB5F0000}"/>
    <cellStyle name="Normal 166 19" xfId="24487" xr:uid="{00000000-0005-0000-0000-0000AC5F0000}"/>
    <cellStyle name="Normal 166 19 2" xfId="24488" xr:uid="{00000000-0005-0000-0000-0000AD5F0000}"/>
    <cellStyle name="Normal 166 2" xfId="24489" xr:uid="{00000000-0005-0000-0000-0000AE5F0000}"/>
    <cellStyle name="Normal 166 2 2" xfId="24490" xr:uid="{00000000-0005-0000-0000-0000AF5F0000}"/>
    <cellStyle name="Normal 166 20" xfId="24491" xr:uid="{00000000-0005-0000-0000-0000B05F0000}"/>
    <cellStyle name="Normal 166 20 2" xfId="24492" xr:uid="{00000000-0005-0000-0000-0000B15F0000}"/>
    <cellStyle name="Normal 166 21" xfId="24493" xr:uid="{00000000-0005-0000-0000-0000B25F0000}"/>
    <cellStyle name="Normal 166 21 2" xfId="24494" xr:uid="{00000000-0005-0000-0000-0000B35F0000}"/>
    <cellStyle name="Normal 166 22" xfId="24495" xr:uid="{00000000-0005-0000-0000-0000B45F0000}"/>
    <cellStyle name="Normal 166 22 2" xfId="24496" xr:uid="{00000000-0005-0000-0000-0000B55F0000}"/>
    <cellStyle name="Normal 166 23" xfId="24497" xr:uid="{00000000-0005-0000-0000-0000B65F0000}"/>
    <cellStyle name="Normal 166 23 2" xfId="24498" xr:uid="{00000000-0005-0000-0000-0000B75F0000}"/>
    <cellStyle name="Normal 166 24" xfId="24499" xr:uid="{00000000-0005-0000-0000-0000B85F0000}"/>
    <cellStyle name="Normal 166 24 2" xfId="24500" xr:uid="{00000000-0005-0000-0000-0000B95F0000}"/>
    <cellStyle name="Normal 166 25" xfId="24501" xr:uid="{00000000-0005-0000-0000-0000BA5F0000}"/>
    <cellStyle name="Normal 166 25 2" xfId="24502" xr:uid="{00000000-0005-0000-0000-0000BB5F0000}"/>
    <cellStyle name="Normal 166 26" xfId="24503" xr:uid="{00000000-0005-0000-0000-0000BC5F0000}"/>
    <cellStyle name="Normal 166 26 2" xfId="24504" xr:uid="{00000000-0005-0000-0000-0000BD5F0000}"/>
    <cellStyle name="Normal 166 27" xfId="24505" xr:uid="{00000000-0005-0000-0000-0000BE5F0000}"/>
    <cellStyle name="Normal 166 27 2" xfId="24506" xr:uid="{00000000-0005-0000-0000-0000BF5F0000}"/>
    <cellStyle name="Normal 166 28" xfId="24507" xr:uid="{00000000-0005-0000-0000-0000C05F0000}"/>
    <cellStyle name="Normal 166 28 2" xfId="24508" xr:uid="{00000000-0005-0000-0000-0000C15F0000}"/>
    <cellStyle name="Normal 166 29" xfId="24509" xr:uid="{00000000-0005-0000-0000-0000C25F0000}"/>
    <cellStyle name="Normal 166 29 2" xfId="24510" xr:uid="{00000000-0005-0000-0000-0000C35F0000}"/>
    <cellStyle name="Normal 166 3" xfId="24511" xr:uid="{00000000-0005-0000-0000-0000C45F0000}"/>
    <cellStyle name="Normal 166 3 2" xfId="24512" xr:uid="{00000000-0005-0000-0000-0000C55F0000}"/>
    <cellStyle name="Normal 166 30" xfId="24513" xr:uid="{00000000-0005-0000-0000-0000C65F0000}"/>
    <cellStyle name="Normal 166 30 2" xfId="24514" xr:uid="{00000000-0005-0000-0000-0000C75F0000}"/>
    <cellStyle name="Normal 166 31" xfId="24515" xr:uid="{00000000-0005-0000-0000-0000C85F0000}"/>
    <cellStyle name="Normal 166 31 2" xfId="24516" xr:uid="{00000000-0005-0000-0000-0000C95F0000}"/>
    <cellStyle name="Normal 166 32" xfId="24517" xr:uid="{00000000-0005-0000-0000-0000CA5F0000}"/>
    <cellStyle name="Normal 166 32 2" xfId="24518" xr:uid="{00000000-0005-0000-0000-0000CB5F0000}"/>
    <cellStyle name="Normal 166 33" xfId="24519" xr:uid="{00000000-0005-0000-0000-0000CC5F0000}"/>
    <cellStyle name="Normal 166 33 2" xfId="24520" xr:uid="{00000000-0005-0000-0000-0000CD5F0000}"/>
    <cellStyle name="Normal 166 34" xfId="24521" xr:uid="{00000000-0005-0000-0000-0000CE5F0000}"/>
    <cellStyle name="Normal 166 34 2" xfId="24522" xr:uid="{00000000-0005-0000-0000-0000CF5F0000}"/>
    <cellStyle name="Normal 166 35" xfId="24523" xr:uid="{00000000-0005-0000-0000-0000D05F0000}"/>
    <cellStyle name="Normal 166 35 2" xfId="24524" xr:uid="{00000000-0005-0000-0000-0000D15F0000}"/>
    <cellStyle name="Normal 166 36" xfId="24525" xr:uid="{00000000-0005-0000-0000-0000D25F0000}"/>
    <cellStyle name="Normal 166 36 2" xfId="24526" xr:uid="{00000000-0005-0000-0000-0000D35F0000}"/>
    <cellStyle name="Normal 166 37" xfId="24527" xr:uid="{00000000-0005-0000-0000-0000D45F0000}"/>
    <cellStyle name="Normal 166 37 2" xfId="24528" xr:uid="{00000000-0005-0000-0000-0000D55F0000}"/>
    <cellStyle name="Normal 166 38" xfId="24529" xr:uid="{00000000-0005-0000-0000-0000D65F0000}"/>
    <cellStyle name="Normal 166 38 2" xfId="24530" xr:uid="{00000000-0005-0000-0000-0000D75F0000}"/>
    <cellStyle name="Normal 166 39" xfId="24531" xr:uid="{00000000-0005-0000-0000-0000D85F0000}"/>
    <cellStyle name="Normal 166 39 2" xfId="24532" xr:uid="{00000000-0005-0000-0000-0000D95F0000}"/>
    <cellStyle name="Normal 166 4" xfId="24533" xr:uid="{00000000-0005-0000-0000-0000DA5F0000}"/>
    <cellStyle name="Normal 166 4 2" xfId="24534" xr:uid="{00000000-0005-0000-0000-0000DB5F0000}"/>
    <cellStyle name="Normal 166 40" xfId="24535" xr:uid="{00000000-0005-0000-0000-0000DC5F0000}"/>
    <cellStyle name="Normal 166 40 2" xfId="24536" xr:uid="{00000000-0005-0000-0000-0000DD5F0000}"/>
    <cellStyle name="Normal 166 41" xfId="24537" xr:uid="{00000000-0005-0000-0000-0000DE5F0000}"/>
    <cellStyle name="Normal 166 41 2" xfId="24538" xr:uid="{00000000-0005-0000-0000-0000DF5F0000}"/>
    <cellStyle name="Normal 166 42" xfId="24539" xr:uid="{00000000-0005-0000-0000-0000E05F0000}"/>
    <cellStyle name="Normal 166 42 2" xfId="24540" xr:uid="{00000000-0005-0000-0000-0000E15F0000}"/>
    <cellStyle name="Normal 166 43" xfId="24541" xr:uid="{00000000-0005-0000-0000-0000E25F0000}"/>
    <cellStyle name="Normal 166 43 2" xfId="24542" xr:uid="{00000000-0005-0000-0000-0000E35F0000}"/>
    <cellStyle name="Normal 166 44" xfId="24543" xr:uid="{00000000-0005-0000-0000-0000E45F0000}"/>
    <cellStyle name="Normal 166 44 2" xfId="24544" xr:uid="{00000000-0005-0000-0000-0000E55F0000}"/>
    <cellStyle name="Normal 166 45" xfId="24545" xr:uid="{00000000-0005-0000-0000-0000E65F0000}"/>
    <cellStyle name="Normal 166 45 2" xfId="24546" xr:uid="{00000000-0005-0000-0000-0000E75F0000}"/>
    <cellStyle name="Normal 166 46" xfId="24547" xr:uid="{00000000-0005-0000-0000-0000E85F0000}"/>
    <cellStyle name="Normal 166 46 2" xfId="24548" xr:uid="{00000000-0005-0000-0000-0000E95F0000}"/>
    <cellStyle name="Normal 166 47" xfId="24549" xr:uid="{00000000-0005-0000-0000-0000EA5F0000}"/>
    <cellStyle name="Normal 166 47 2" xfId="24550" xr:uid="{00000000-0005-0000-0000-0000EB5F0000}"/>
    <cellStyle name="Normal 166 48" xfId="24551" xr:uid="{00000000-0005-0000-0000-0000EC5F0000}"/>
    <cellStyle name="Normal 166 48 2" xfId="24552" xr:uid="{00000000-0005-0000-0000-0000ED5F0000}"/>
    <cellStyle name="Normal 166 49" xfId="24553" xr:uid="{00000000-0005-0000-0000-0000EE5F0000}"/>
    <cellStyle name="Normal 166 49 2" xfId="24554" xr:uid="{00000000-0005-0000-0000-0000EF5F0000}"/>
    <cellStyle name="Normal 166 5" xfId="24555" xr:uid="{00000000-0005-0000-0000-0000F05F0000}"/>
    <cellStyle name="Normal 166 5 2" xfId="24556" xr:uid="{00000000-0005-0000-0000-0000F15F0000}"/>
    <cellStyle name="Normal 166 50" xfId="24557" xr:uid="{00000000-0005-0000-0000-0000F25F0000}"/>
    <cellStyle name="Normal 166 50 2" xfId="24558" xr:uid="{00000000-0005-0000-0000-0000F35F0000}"/>
    <cellStyle name="Normal 166 51" xfId="24559" xr:uid="{00000000-0005-0000-0000-0000F45F0000}"/>
    <cellStyle name="Normal 166 51 2" xfId="24560" xr:uid="{00000000-0005-0000-0000-0000F55F0000}"/>
    <cellStyle name="Normal 166 52" xfId="24561" xr:uid="{00000000-0005-0000-0000-0000F65F0000}"/>
    <cellStyle name="Normal 166 52 2" xfId="24562" xr:uid="{00000000-0005-0000-0000-0000F75F0000}"/>
    <cellStyle name="Normal 166 53" xfId="24563" xr:uid="{00000000-0005-0000-0000-0000F85F0000}"/>
    <cellStyle name="Normal 166 53 2" xfId="24564" xr:uid="{00000000-0005-0000-0000-0000F95F0000}"/>
    <cellStyle name="Normal 166 54" xfId="24565" xr:uid="{00000000-0005-0000-0000-0000FA5F0000}"/>
    <cellStyle name="Normal 166 54 2" xfId="24566" xr:uid="{00000000-0005-0000-0000-0000FB5F0000}"/>
    <cellStyle name="Normal 166 55" xfId="24567" xr:uid="{00000000-0005-0000-0000-0000FC5F0000}"/>
    <cellStyle name="Normal 166 55 2" xfId="24568" xr:uid="{00000000-0005-0000-0000-0000FD5F0000}"/>
    <cellStyle name="Normal 166 56" xfId="24569" xr:uid="{00000000-0005-0000-0000-0000FE5F0000}"/>
    <cellStyle name="Normal 166 56 2" xfId="24570" xr:uid="{00000000-0005-0000-0000-0000FF5F0000}"/>
    <cellStyle name="Normal 166 57" xfId="24571" xr:uid="{00000000-0005-0000-0000-000000600000}"/>
    <cellStyle name="Normal 166 57 2" xfId="24572" xr:uid="{00000000-0005-0000-0000-000001600000}"/>
    <cellStyle name="Normal 166 58" xfId="24573" xr:uid="{00000000-0005-0000-0000-000002600000}"/>
    <cellStyle name="Normal 166 58 2" xfId="24574" xr:uid="{00000000-0005-0000-0000-000003600000}"/>
    <cellStyle name="Normal 166 59" xfId="24575" xr:uid="{00000000-0005-0000-0000-000004600000}"/>
    <cellStyle name="Normal 166 59 2" xfId="24576" xr:uid="{00000000-0005-0000-0000-000005600000}"/>
    <cellStyle name="Normal 166 6" xfId="24577" xr:uid="{00000000-0005-0000-0000-000006600000}"/>
    <cellStyle name="Normal 166 6 2" xfId="24578" xr:uid="{00000000-0005-0000-0000-000007600000}"/>
    <cellStyle name="Normal 166 60" xfId="24579" xr:uid="{00000000-0005-0000-0000-000008600000}"/>
    <cellStyle name="Normal 166 60 2" xfId="24580" xr:uid="{00000000-0005-0000-0000-000009600000}"/>
    <cellStyle name="Normal 166 61" xfId="24581" xr:uid="{00000000-0005-0000-0000-00000A600000}"/>
    <cellStyle name="Normal 166 61 2" xfId="24582" xr:uid="{00000000-0005-0000-0000-00000B600000}"/>
    <cellStyle name="Normal 166 62" xfId="24583" xr:uid="{00000000-0005-0000-0000-00000C600000}"/>
    <cellStyle name="Normal 166 62 2" xfId="24584" xr:uid="{00000000-0005-0000-0000-00000D600000}"/>
    <cellStyle name="Normal 166 62 3" xfId="24585" xr:uid="{00000000-0005-0000-0000-00000E600000}"/>
    <cellStyle name="Normal 166 63" xfId="24586" xr:uid="{00000000-0005-0000-0000-00000F600000}"/>
    <cellStyle name="Normal 166 7" xfId="24587" xr:uid="{00000000-0005-0000-0000-000010600000}"/>
    <cellStyle name="Normal 166 7 2" xfId="24588" xr:uid="{00000000-0005-0000-0000-000011600000}"/>
    <cellStyle name="Normal 166 8" xfId="24589" xr:uid="{00000000-0005-0000-0000-000012600000}"/>
    <cellStyle name="Normal 166 8 2" xfId="24590" xr:uid="{00000000-0005-0000-0000-000013600000}"/>
    <cellStyle name="Normal 166 9" xfId="24591" xr:uid="{00000000-0005-0000-0000-000014600000}"/>
    <cellStyle name="Normal 166 9 2" xfId="24592" xr:uid="{00000000-0005-0000-0000-000015600000}"/>
    <cellStyle name="Normal 167" xfId="24593" xr:uid="{00000000-0005-0000-0000-000016600000}"/>
    <cellStyle name="Normal 167 2" xfId="24594" xr:uid="{00000000-0005-0000-0000-000017600000}"/>
    <cellStyle name="Normal 168" xfId="24595" xr:uid="{00000000-0005-0000-0000-000018600000}"/>
    <cellStyle name="Normal 168 2" xfId="24596" xr:uid="{00000000-0005-0000-0000-000019600000}"/>
    <cellStyle name="Normal 169" xfId="24597" xr:uid="{00000000-0005-0000-0000-00001A600000}"/>
    <cellStyle name="Normal 169 2" xfId="24598" xr:uid="{00000000-0005-0000-0000-00001B600000}"/>
    <cellStyle name="Normal 17" xfId="24599" xr:uid="{00000000-0005-0000-0000-00001C600000}"/>
    <cellStyle name="Normal 17 10" xfId="24600" xr:uid="{00000000-0005-0000-0000-00001D600000}"/>
    <cellStyle name="Normal 17 10 2" xfId="24601" xr:uid="{00000000-0005-0000-0000-00001E600000}"/>
    <cellStyle name="Normal 17 11" xfId="24602" xr:uid="{00000000-0005-0000-0000-00001F600000}"/>
    <cellStyle name="Normal 17 11 2" xfId="24603" xr:uid="{00000000-0005-0000-0000-000020600000}"/>
    <cellStyle name="Normal 17 12" xfId="24604" xr:uid="{00000000-0005-0000-0000-000021600000}"/>
    <cellStyle name="Normal 17 12 2" xfId="24605" xr:uid="{00000000-0005-0000-0000-000022600000}"/>
    <cellStyle name="Normal 17 13" xfId="24606" xr:uid="{00000000-0005-0000-0000-000023600000}"/>
    <cellStyle name="Normal 17 13 2" xfId="24607" xr:uid="{00000000-0005-0000-0000-000024600000}"/>
    <cellStyle name="Normal 17 14" xfId="24608" xr:uid="{00000000-0005-0000-0000-000025600000}"/>
    <cellStyle name="Normal 17 14 2" xfId="24609" xr:uid="{00000000-0005-0000-0000-000026600000}"/>
    <cellStyle name="Normal 17 15" xfId="24610" xr:uid="{00000000-0005-0000-0000-000027600000}"/>
    <cellStyle name="Normal 17 15 2" xfId="24611" xr:uid="{00000000-0005-0000-0000-000028600000}"/>
    <cellStyle name="Normal 17 16" xfId="24612" xr:uid="{00000000-0005-0000-0000-000029600000}"/>
    <cellStyle name="Normal 17 16 2" xfId="24613" xr:uid="{00000000-0005-0000-0000-00002A600000}"/>
    <cellStyle name="Normal 17 17" xfId="24614" xr:uid="{00000000-0005-0000-0000-00002B600000}"/>
    <cellStyle name="Normal 17 17 2" xfId="24615" xr:uid="{00000000-0005-0000-0000-00002C600000}"/>
    <cellStyle name="Normal 17 18" xfId="24616" xr:uid="{00000000-0005-0000-0000-00002D600000}"/>
    <cellStyle name="Normal 17 18 2" xfId="24617" xr:uid="{00000000-0005-0000-0000-00002E600000}"/>
    <cellStyle name="Normal 17 19" xfId="24618" xr:uid="{00000000-0005-0000-0000-00002F600000}"/>
    <cellStyle name="Normal 17 19 2" xfId="24619" xr:uid="{00000000-0005-0000-0000-000030600000}"/>
    <cellStyle name="Normal 17 2" xfId="24620" xr:uid="{00000000-0005-0000-0000-000031600000}"/>
    <cellStyle name="Normal 17 2 2" xfId="24621" xr:uid="{00000000-0005-0000-0000-000032600000}"/>
    <cellStyle name="Normal 17 2 2 2" xfId="24622" xr:uid="{00000000-0005-0000-0000-000033600000}"/>
    <cellStyle name="Normal 17 2 2 2 2" xfId="24623" xr:uid="{00000000-0005-0000-0000-000034600000}"/>
    <cellStyle name="Normal 17 2 2 2 2 2" xfId="24624" xr:uid="{00000000-0005-0000-0000-000035600000}"/>
    <cellStyle name="Normal 17 2 2 2 2 2 2" xfId="24625" xr:uid="{00000000-0005-0000-0000-000036600000}"/>
    <cellStyle name="Normal 17 2 2 2 2 3" xfId="24626" xr:uid="{00000000-0005-0000-0000-000037600000}"/>
    <cellStyle name="Normal 17 2 2 2 2 4" xfId="24627" xr:uid="{00000000-0005-0000-0000-000038600000}"/>
    <cellStyle name="Normal 17 2 2 2 3" xfId="24628" xr:uid="{00000000-0005-0000-0000-000039600000}"/>
    <cellStyle name="Normal 17 2 2 2 3 2" xfId="24629" xr:uid="{00000000-0005-0000-0000-00003A600000}"/>
    <cellStyle name="Normal 17 2 2 2 4" xfId="24630" xr:uid="{00000000-0005-0000-0000-00003B600000}"/>
    <cellStyle name="Normal 17 2 2 2 5" xfId="24631" xr:uid="{00000000-0005-0000-0000-00003C600000}"/>
    <cellStyle name="Normal 17 2 2 3" xfId="24632" xr:uid="{00000000-0005-0000-0000-00003D600000}"/>
    <cellStyle name="Normal 17 2 2 3 2" xfId="24633" xr:uid="{00000000-0005-0000-0000-00003E600000}"/>
    <cellStyle name="Normal 17 2 2 3 2 2" xfId="24634" xr:uid="{00000000-0005-0000-0000-00003F600000}"/>
    <cellStyle name="Normal 17 2 2 3 3" xfId="24635" xr:uid="{00000000-0005-0000-0000-000040600000}"/>
    <cellStyle name="Normal 17 2 2 3 3 2" xfId="24636" xr:uid="{00000000-0005-0000-0000-000041600000}"/>
    <cellStyle name="Normal 17 2 2 3 4" xfId="24637" xr:uid="{00000000-0005-0000-0000-000042600000}"/>
    <cellStyle name="Normal 17 2 2 3 5" xfId="24638" xr:uid="{00000000-0005-0000-0000-000043600000}"/>
    <cellStyle name="Normal 17 2 2 4" xfId="24639" xr:uid="{00000000-0005-0000-0000-000044600000}"/>
    <cellStyle name="Normal 17 2 2 4 2" xfId="24640" xr:uid="{00000000-0005-0000-0000-000045600000}"/>
    <cellStyle name="Normal 17 2 2 5" xfId="24641" xr:uid="{00000000-0005-0000-0000-000046600000}"/>
    <cellStyle name="Normal 17 2 2 5 2" xfId="24642" xr:uid="{00000000-0005-0000-0000-000047600000}"/>
    <cellStyle name="Normal 17 2 2 6" xfId="24643" xr:uid="{00000000-0005-0000-0000-000048600000}"/>
    <cellStyle name="Normal 17 2 2 7" xfId="24644" xr:uid="{00000000-0005-0000-0000-000049600000}"/>
    <cellStyle name="Normal 17 2 3" xfId="24645" xr:uid="{00000000-0005-0000-0000-00004A600000}"/>
    <cellStyle name="Normal 17 2 3 2" xfId="24646" xr:uid="{00000000-0005-0000-0000-00004B600000}"/>
    <cellStyle name="Normal 17 2 3 2 2" xfId="24647" xr:uid="{00000000-0005-0000-0000-00004C600000}"/>
    <cellStyle name="Normal 17 2 3 2 2 2" xfId="24648" xr:uid="{00000000-0005-0000-0000-00004D600000}"/>
    <cellStyle name="Normal 17 2 3 2 3" xfId="24649" xr:uid="{00000000-0005-0000-0000-00004E600000}"/>
    <cellStyle name="Normal 17 2 3 2 4" xfId="24650" xr:uid="{00000000-0005-0000-0000-00004F600000}"/>
    <cellStyle name="Normal 17 2 3 3" xfId="24651" xr:uid="{00000000-0005-0000-0000-000050600000}"/>
    <cellStyle name="Normal 17 2 3 3 2" xfId="24652" xr:uid="{00000000-0005-0000-0000-000051600000}"/>
    <cellStyle name="Normal 17 2 3 4" xfId="24653" xr:uid="{00000000-0005-0000-0000-000052600000}"/>
    <cellStyle name="Normal 17 2 3 5" xfId="24654" xr:uid="{00000000-0005-0000-0000-000053600000}"/>
    <cellStyle name="Normal 17 2 4" xfId="24655" xr:uid="{00000000-0005-0000-0000-000054600000}"/>
    <cellStyle name="Normal 17 2 4 2" xfId="24656" xr:uid="{00000000-0005-0000-0000-000055600000}"/>
    <cellStyle name="Normal 17 2 4 3" xfId="24657" xr:uid="{00000000-0005-0000-0000-000056600000}"/>
    <cellStyle name="Normal 17 2 5" xfId="24658" xr:uid="{00000000-0005-0000-0000-000057600000}"/>
    <cellStyle name="Normal 17 2 5 2" xfId="24659" xr:uid="{00000000-0005-0000-0000-000058600000}"/>
    <cellStyle name="Normal 17 2 6" xfId="24660" xr:uid="{00000000-0005-0000-0000-000059600000}"/>
    <cellStyle name="Normal 17 20" xfId="24661" xr:uid="{00000000-0005-0000-0000-00005A600000}"/>
    <cellStyle name="Normal 17 20 2" xfId="24662" xr:uid="{00000000-0005-0000-0000-00005B600000}"/>
    <cellStyle name="Normal 17 21" xfId="24663" xr:uid="{00000000-0005-0000-0000-00005C600000}"/>
    <cellStyle name="Normal 17 21 2" xfId="24664" xr:uid="{00000000-0005-0000-0000-00005D600000}"/>
    <cellStyle name="Normal 17 22" xfId="24665" xr:uid="{00000000-0005-0000-0000-00005E600000}"/>
    <cellStyle name="Normal 17 22 2" xfId="24666" xr:uid="{00000000-0005-0000-0000-00005F600000}"/>
    <cellStyle name="Normal 17 23" xfId="24667" xr:uid="{00000000-0005-0000-0000-000060600000}"/>
    <cellStyle name="Normal 17 23 2" xfId="24668" xr:uid="{00000000-0005-0000-0000-000061600000}"/>
    <cellStyle name="Normal 17 24" xfId="24669" xr:uid="{00000000-0005-0000-0000-000062600000}"/>
    <cellStyle name="Normal 17 24 2" xfId="24670" xr:uid="{00000000-0005-0000-0000-000063600000}"/>
    <cellStyle name="Normal 17 25" xfId="24671" xr:uid="{00000000-0005-0000-0000-000064600000}"/>
    <cellStyle name="Normal 17 25 2" xfId="24672" xr:uid="{00000000-0005-0000-0000-000065600000}"/>
    <cellStyle name="Normal 17 26" xfId="24673" xr:uid="{00000000-0005-0000-0000-000066600000}"/>
    <cellStyle name="Normal 17 26 2" xfId="24674" xr:uid="{00000000-0005-0000-0000-000067600000}"/>
    <cellStyle name="Normal 17 27" xfId="24675" xr:uid="{00000000-0005-0000-0000-000068600000}"/>
    <cellStyle name="Normal 17 27 2" xfId="24676" xr:uid="{00000000-0005-0000-0000-000069600000}"/>
    <cellStyle name="Normal 17 28" xfId="24677" xr:uid="{00000000-0005-0000-0000-00006A600000}"/>
    <cellStyle name="Normal 17 28 2" xfId="24678" xr:uid="{00000000-0005-0000-0000-00006B600000}"/>
    <cellStyle name="Normal 17 29" xfId="24679" xr:uid="{00000000-0005-0000-0000-00006C600000}"/>
    <cellStyle name="Normal 17 29 2" xfId="24680" xr:uid="{00000000-0005-0000-0000-00006D600000}"/>
    <cellStyle name="Normal 17 3" xfId="24681" xr:uid="{00000000-0005-0000-0000-00006E600000}"/>
    <cellStyle name="Normal 17 3 2" xfId="24682" xr:uid="{00000000-0005-0000-0000-00006F600000}"/>
    <cellStyle name="Normal 17 3 2 2" xfId="24683" xr:uid="{00000000-0005-0000-0000-000070600000}"/>
    <cellStyle name="Normal 17 3 2 2 2" xfId="24684" xr:uid="{00000000-0005-0000-0000-000071600000}"/>
    <cellStyle name="Normal 17 3 2 2 2 2" xfId="24685" xr:uid="{00000000-0005-0000-0000-000072600000}"/>
    <cellStyle name="Normal 17 3 2 2 3" xfId="24686" xr:uid="{00000000-0005-0000-0000-000073600000}"/>
    <cellStyle name="Normal 17 3 2 2 4" xfId="24687" xr:uid="{00000000-0005-0000-0000-000074600000}"/>
    <cellStyle name="Normal 17 3 2 3" xfId="24688" xr:uid="{00000000-0005-0000-0000-000075600000}"/>
    <cellStyle name="Normal 17 3 2 3 2" xfId="24689" xr:uid="{00000000-0005-0000-0000-000076600000}"/>
    <cellStyle name="Normal 17 3 2 4" xfId="24690" xr:uid="{00000000-0005-0000-0000-000077600000}"/>
    <cellStyle name="Normal 17 3 2 5" xfId="24691" xr:uid="{00000000-0005-0000-0000-000078600000}"/>
    <cellStyle name="Normal 17 3 3" xfId="24692" xr:uid="{00000000-0005-0000-0000-000079600000}"/>
    <cellStyle name="Normal 17 3 3 2" xfId="24693" xr:uid="{00000000-0005-0000-0000-00007A600000}"/>
    <cellStyle name="Normal 17 3 3 2 2" xfId="24694" xr:uid="{00000000-0005-0000-0000-00007B600000}"/>
    <cellStyle name="Normal 17 3 3 3" xfId="24695" xr:uid="{00000000-0005-0000-0000-00007C600000}"/>
    <cellStyle name="Normal 17 3 3 3 2" xfId="24696" xr:uid="{00000000-0005-0000-0000-00007D600000}"/>
    <cellStyle name="Normal 17 3 3 4" xfId="24697" xr:uid="{00000000-0005-0000-0000-00007E600000}"/>
    <cellStyle name="Normal 17 3 3 5" xfId="24698" xr:uid="{00000000-0005-0000-0000-00007F600000}"/>
    <cellStyle name="Normal 17 3 4" xfId="24699" xr:uid="{00000000-0005-0000-0000-000080600000}"/>
    <cellStyle name="Normal 17 3 4 2" xfId="24700" xr:uid="{00000000-0005-0000-0000-000081600000}"/>
    <cellStyle name="Normal 17 3 5" xfId="24701" xr:uid="{00000000-0005-0000-0000-000082600000}"/>
    <cellStyle name="Normal 17 3 5 2" xfId="24702" xr:uid="{00000000-0005-0000-0000-000083600000}"/>
    <cellStyle name="Normal 17 3 6" xfId="24703" xr:uid="{00000000-0005-0000-0000-000084600000}"/>
    <cellStyle name="Normal 17 3 7" xfId="24704" xr:uid="{00000000-0005-0000-0000-000085600000}"/>
    <cellStyle name="Normal 17 30" xfId="24705" xr:uid="{00000000-0005-0000-0000-000086600000}"/>
    <cellStyle name="Normal 17 30 2" xfId="24706" xr:uid="{00000000-0005-0000-0000-000087600000}"/>
    <cellStyle name="Normal 17 31" xfId="24707" xr:uid="{00000000-0005-0000-0000-000088600000}"/>
    <cellStyle name="Normal 17 31 2" xfId="24708" xr:uid="{00000000-0005-0000-0000-000089600000}"/>
    <cellStyle name="Normal 17 32" xfId="24709" xr:uid="{00000000-0005-0000-0000-00008A600000}"/>
    <cellStyle name="Normal 17 32 2" xfId="24710" xr:uid="{00000000-0005-0000-0000-00008B600000}"/>
    <cellStyle name="Normal 17 33" xfId="24711" xr:uid="{00000000-0005-0000-0000-00008C600000}"/>
    <cellStyle name="Normal 17 33 2" xfId="24712" xr:uid="{00000000-0005-0000-0000-00008D600000}"/>
    <cellStyle name="Normal 17 34" xfId="24713" xr:uid="{00000000-0005-0000-0000-00008E600000}"/>
    <cellStyle name="Normal 17 34 2" xfId="24714" xr:uid="{00000000-0005-0000-0000-00008F600000}"/>
    <cellStyle name="Normal 17 35" xfId="24715" xr:uid="{00000000-0005-0000-0000-000090600000}"/>
    <cellStyle name="Normal 17 35 2" xfId="24716" xr:uid="{00000000-0005-0000-0000-000091600000}"/>
    <cellStyle name="Normal 17 36" xfId="24717" xr:uid="{00000000-0005-0000-0000-000092600000}"/>
    <cellStyle name="Normal 17 36 2" xfId="24718" xr:uid="{00000000-0005-0000-0000-000093600000}"/>
    <cellStyle name="Normal 17 37" xfId="24719" xr:uid="{00000000-0005-0000-0000-000094600000}"/>
    <cellStyle name="Normal 17 37 2" xfId="24720" xr:uid="{00000000-0005-0000-0000-000095600000}"/>
    <cellStyle name="Normal 17 38" xfId="24721" xr:uid="{00000000-0005-0000-0000-000096600000}"/>
    <cellStyle name="Normal 17 38 2" xfId="24722" xr:uid="{00000000-0005-0000-0000-000097600000}"/>
    <cellStyle name="Normal 17 39" xfId="24723" xr:uid="{00000000-0005-0000-0000-000098600000}"/>
    <cellStyle name="Normal 17 39 2" xfId="24724" xr:uid="{00000000-0005-0000-0000-000099600000}"/>
    <cellStyle name="Normal 17 4" xfId="24725" xr:uid="{00000000-0005-0000-0000-00009A600000}"/>
    <cellStyle name="Normal 17 4 2" xfId="24726" xr:uid="{00000000-0005-0000-0000-00009B600000}"/>
    <cellStyle name="Normal 17 4 2 2" xfId="24727" xr:uid="{00000000-0005-0000-0000-00009C600000}"/>
    <cellStyle name="Normal 17 4 2 2 2" xfId="24728" xr:uid="{00000000-0005-0000-0000-00009D600000}"/>
    <cellStyle name="Normal 17 4 2 3" xfId="24729" xr:uid="{00000000-0005-0000-0000-00009E600000}"/>
    <cellStyle name="Normal 17 4 2 4" xfId="24730" xr:uid="{00000000-0005-0000-0000-00009F600000}"/>
    <cellStyle name="Normal 17 4 3" xfId="24731" xr:uid="{00000000-0005-0000-0000-0000A0600000}"/>
    <cellStyle name="Normal 17 4 3 2" xfId="24732" xr:uid="{00000000-0005-0000-0000-0000A1600000}"/>
    <cellStyle name="Normal 17 4 4" xfId="24733" xr:uid="{00000000-0005-0000-0000-0000A2600000}"/>
    <cellStyle name="Normal 17 4 5" xfId="24734" xr:uid="{00000000-0005-0000-0000-0000A3600000}"/>
    <cellStyle name="Normal 17 40" xfId="24735" xr:uid="{00000000-0005-0000-0000-0000A4600000}"/>
    <cellStyle name="Normal 17 40 2" xfId="24736" xr:uid="{00000000-0005-0000-0000-0000A5600000}"/>
    <cellStyle name="Normal 17 41" xfId="24737" xr:uid="{00000000-0005-0000-0000-0000A6600000}"/>
    <cellStyle name="Normal 17 41 2" xfId="24738" xr:uid="{00000000-0005-0000-0000-0000A7600000}"/>
    <cellStyle name="Normal 17 42" xfId="24739" xr:uid="{00000000-0005-0000-0000-0000A8600000}"/>
    <cellStyle name="Normal 17 42 2" xfId="24740" xr:uid="{00000000-0005-0000-0000-0000A9600000}"/>
    <cellStyle name="Normal 17 43" xfId="24741" xr:uid="{00000000-0005-0000-0000-0000AA600000}"/>
    <cellStyle name="Normal 17 43 2" xfId="24742" xr:uid="{00000000-0005-0000-0000-0000AB600000}"/>
    <cellStyle name="Normal 17 44" xfId="24743" xr:uid="{00000000-0005-0000-0000-0000AC600000}"/>
    <cellStyle name="Normal 17 44 2" xfId="24744" xr:uid="{00000000-0005-0000-0000-0000AD600000}"/>
    <cellStyle name="Normal 17 45" xfId="24745" xr:uid="{00000000-0005-0000-0000-0000AE600000}"/>
    <cellStyle name="Normal 17 45 2" xfId="24746" xr:uid="{00000000-0005-0000-0000-0000AF600000}"/>
    <cellStyle name="Normal 17 46" xfId="24747" xr:uid="{00000000-0005-0000-0000-0000B0600000}"/>
    <cellStyle name="Normal 17 46 2" xfId="24748" xr:uid="{00000000-0005-0000-0000-0000B1600000}"/>
    <cellStyle name="Normal 17 47" xfId="24749" xr:uid="{00000000-0005-0000-0000-0000B2600000}"/>
    <cellStyle name="Normal 17 47 2" xfId="24750" xr:uid="{00000000-0005-0000-0000-0000B3600000}"/>
    <cellStyle name="Normal 17 48" xfId="24751" xr:uid="{00000000-0005-0000-0000-0000B4600000}"/>
    <cellStyle name="Normal 17 48 2" xfId="24752" xr:uid="{00000000-0005-0000-0000-0000B5600000}"/>
    <cellStyle name="Normal 17 49" xfId="24753" xr:uid="{00000000-0005-0000-0000-0000B6600000}"/>
    <cellStyle name="Normal 17 49 2" xfId="24754" xr:uid="{00000000-0005-0000-0000-0000B7600000}"/>
    <cellStyle name="Normal 17 5" xfId="24755" xr:uid="{00000000-0005-0000-0000-0000B8600000}"/>
    <cellStyle name="Normal 17 5 2" xfId="24756" xr:uid="{00000000-0005-0000-0000-0000B9600000}"/>
    <cellStyle name="Normal 17 5 2 2" xfId="24757" xr:uid="{00000000-0005-0000-0000-0000BA600000}"/>
    <cellStyle name="Normal 17 5 3" xfId="24758" xr:uid="{00000000-0005-0000-0000-0000BB600000}"/>
    <cellStyle name="Normal 17 5 3 2" xfId="24759" xr:uid="{00000000-0005-0000-0000-0000BC600000}"/>
    <cellStyle name="Normal 17 5 4" xfId="24760" xr:uid="{00000000-0005-0000-0000-0000BD600000}"/>
    <cellStyle name="Normal 17 5 5" xfId="24761" xr:uid="{00000000-0005-0000-0000-0000BE600000}"/>
    <cellStyle name="Normal 17 50" xfId="24762" xr:uid="{00000000-0005-0000-0000-0000BF600000}"/>
    <cellStyle name="Normal 17 50 2" xfId="24763" xr:uid="{00000000-0005-0000-0000-0000C0600000}"/>
    <cellStyle name="Normal 17 51" xfId="24764" xr:uid="{00000000-0005-0000-0000-0000C1600000}"/>
    <cellStyle name="Normal 17 51 2" xfId="24765" xr:uid="{00000000-0005-0000-0000-0000C2600000}"/>
    <cellStyle name="Normal 17 52" xfId="24766" xr:uid="{00000000-0005-0000-0000-0000C3600000}"/>
    <cellStyle name="Normal 17 52 2" xfId="24767" xr:uid="{00000000-0005-0000-0000-0000C4600000}"/>
    <cellStyle name="Normal 17 53" xfId="24768" xr:uid="{00000000-0005-0000-0000-0000C5600000}"/>
    <cellStyle name="Normal 17 53 2" xfId="24769" xr:uid="{00000000-0005-0000-0000-0000C6600000}"/>
    <cellStyle name="Normal 17 54" xfId="24770" xr:uid="{00000000-0005-0000-0000-0000C7600000}"/>
    <cellStyle name="Normal 17 54 2" xfId="24771" xr:uid="{00000000-0005-0000-0000-0000C8600000}"/>
    <cellStyle name="Normal 17 55" xfId="24772" xr:uid="{00000000-0005-0000-0000-0000C9600000}"/>
    <cellStyle name="Normal 17 55 2" xfId="24773" xr:uid="{00000000-0005-0000-0000-0000CA600000}"/>
    <cellStyle name="Normal 17 56" xfId="24774" xr:uid="{00000000-0005-0000-0000-0000CB600000}"/>
    <cellStyle name="Normal 17 56 2" xfId="24775" xr:uid="{00000000-0005-0000-0000-0000CC600000}"/>
    <cellStyle name="Normal 17 57" xfId="24776" xr:uid="{00000000-0005-0000-0000-0000CD600000}"/>
    <cellStyle name="Normal 17 57 2" xfId="24777" xr:uid="{00000000-0005-0000-0000-0000CE600000}"/>
    <cellStyle name="Normal 17 58" xfId="24778" xr:uid="{00000000-0005-0000-0000-0000CF600000}"/>
    <cellStyle name="Normal 17 58 2" xfId="24779" xr:uid="{00000000-0005-0000-0000-0000D0600000}"/>
    <cellStyle name="Normal 17 59" xfId="24780" xr:uid="{00000000-0005-0000-0000-0000D1600000}"/>
    <cellStyle name="Normal 17 6" xfId="24781" xr:uid="{00000000-0005-0000-0000-0000D2600000}"/>
    <cellStyle name="Normal 17 6 2" xfId="24782" xr:uid="{00000000-0005-0000-0000-0000D3600000}"/>
    <cellStyle name="Normal 17 60" xfId="24783" xr:uid="{00000000-0005-0000-0000-0000D4600000}"/>
    <cellStyle name="Normal 17 7" xfId="24784" xr:uid="{00000000-0005-0000-0000-0000D5600000}"/>
    <cellStyle name="Normal 17 7 2" xfId="24785" xr:uid="{00000000-0005-0000-0000-0000D6600000}"/>
    <cellStyle name="Normal 17 8" xfId="24786" xr:uid="{00000000-0005-0000-0000-0000D7600000}"/>
    <cellStyle name="Normal 17 8 2" xfId="24787" xr:uid="{00000000-0005-0000-0000-0000D8600000}"/>
    <cellStyle name="Normal 17 9" xfId="24788" xr:uid="{00000000-0005-0000-0000-0000D9600000}"/>
    <cellStyle name="Normal 17 9 2" xfId="24789" xr:uid="{00000000-0005-0000-0000-0000DA600000}"/>
    <cellStyle name="Normal 170" xfId="24790" xr:uid="{00000000-0005-0000-0000-0000DB600000}"/>
    <cellStyle name="Normal 170 2" xfId="24791" xr:uid="{00000000-0005-0000-0000-0000DC600000}"/>
    <cellStyle name="Normal 171" xfId="24792" xr:uid="{00000000-0005-0000-0000-0000DD600000}"/>
    <cellStyle name="Normal 171 10" xfId="24793" xr:uid="{00000000-0005-0000-0000-0000DE600000}"/>
    <cellStyle name="Normal 171 10 2" xfId="24794" xr:uid="{00000000-0005-0000-0000-0000DF600000}"/>
    <cellStyle name="Normal 171 11" xfId="24795" xr:uid="{00000000-0005-0000-0000-0000E0600000}"/>
    <cellStyle name="Normal 171 11 2" xfId="24796" xr:uid="{00000000-0005-0000-0000-0000E1600000}"/>
    <cellStyle name="Normal 171 12" xfId="24797" xr:uid="{00000000-0005-0000-0000-0000E2600000}"/>
    <cellStyle name="Normal 171 12 2" xfId="24798" xr:uid="{00000000-0005-0000-0000-0000E3600000}"/>
    <cellStyle name="Normal 171 13" xfId="24799" xr:uid="{00000000-0005-0000-0000-0000E4600000}"/>
    <cellStyle name="Normal 171 13 2" xfId="24800" xr:uid="{00000000-0005-0000-0000-0000E5600000}"/>
    <cellStyle name="Normal 171 14" xfId="24801" xr:uid="{00000000-0005-0000-0000-0000E6600000}"/>
    <cellStyle name="Normal 171 14 2" xfId="24802" xr:uid="{00000000-0005-0000-0000-0000E7600000}"/>
    <cellStyle name="Normal 171 15" xfId="24803" xr:uid="{00000000-0005-0000-0000-0000E8600000}"/>
    <cellStyle name="Normal 171 15 2" xfId="24804" xr:uid="{00000000-0005-0000-0000-0000E9600000}"/>
    <cellStyle name="Normal 171 16" xfId="24805" xr:uid="{00000000-0005-0000-0000-0000EA600000}"/>
    <cellStyle name="Normal 171 16 2" xfId="24806" xr:uid="{00000000-0005-0000-0000-0000EB600000}"/>
    <cellStyle name="Normal 171 17" xfId="24807" xr:uid="{00000000-0005-0000-0000-0000EC600000}"/>
    <cellStyle name="Normal 171 17 2" xfId="24808" xr:uid="{00000000-0005-0000-0000-0000ED600000}"/>
    <cellStyle name="Normal 171 18" xfId="24809" xr:uid="{00000000-0005-0000-0000-0000EE600000}"/>
    <cellStyle name="Normal 171 18 2" xfId="24810" xr:uid="{00000000-0005-0000-0000-0000EF600000}"/>
    <cellStyle name="Normal 171 19" xfId="24811" xr:uid="{00000000-0005-0000-0000-0000F0600000}"/>
    <cellStyle name="Normal 171 19 2" xfId="24812" xr:uid="{00000000-0005-0000-0000-0000F1600000}"/>
    <cellStyle name="Normal 171 2" xfId="24813" xr:uid="{00000000-0005-0000-0000-0000F2600000}"/>
    <cellStyle name="Normal 171 2 2" xfId="24814" xr:uid="{00000000-0005-0000-0000-0000F3600000}"/>
    <cellStyle name="Normal 171 20" xfId="24815" xr:uid="{00000000-0005-0000-0000-0000F4600000}"/>
    <cellStyle name="Normal 171 20 2" xfId="24816" xr:uid="{00000000-0005-0000-0000-0000F5600000}"/>
    <cellStyle name="Normal 171 21" xfId="24817" xr:uid="{00000000-0005-0000-0000-0000F6600000}"/>
    <cellStyle name="Normal 171 21 2" xfId="24818" xr:uid="{00000000-0005-0000-0000-0000F7600000}"/>
    <cellStyle name="Normal 171 22" xfId="24819" xr:uid="{00000000-0005-0000-0000-0000F8600000}"/>
    <cellStyle name="Normal 171 22 2" xfId="24820" xr:uid="{00000000-0005-0000-0000-0000F9600000}"/>
    <cellStyle name="Normal 171 23" xfId="24821" xr:uid="{00000000-0005-0000-0000-0000FA600000}"/>
    <cellStyle name="Normal 171 23 2" xfId="24822" xr:uid="{00000000-0005-0000-0000-0000FB600000}"/>
    <cellStyle name="Normal 171 24" xfId="24823" xr:uid="{00000000-0005-0000-0000-0000FC600000}"/>
    <cellStyle name="Normal 171 24 2" xfId="24824" xr:uid="{00000000-0005-0000-0000-0000FD600000}"/>
    <cellStyle name="Normal 171 25" xfId="24825" xr:uid="{00000000-0005-0000-0000-0000FE600000}"/>
    <cellStyle name="Normal 171 25 2" xfId="24826" xr:uid="{00000000-0005-0000-0000-0000FF600000}"/>
    <cellStyle name="Normal 171 26" xfId="24827" xr:uid="{00000000-0005-0000-0000-000000610000}"/>
    <cellStyle name="Normal 171 26 2" xfId="24828" xr:uid="{00000000-0005-0000-0000-000001610000}"/>
    <cellStyle name="Normal 171 27" xfId="24829" xr:uid="{00000000-0005-0000-0000-000002610000}"/>
    <cellStyle name="Normal 171 27 2" xfId="24830" xr:uid="{00000000-0005-0000-0000-000003610000}"/>
    <cellStyle name="Normal 171 28" xfId="24831" xr:uid="{00000000-0005-0000-0000-000004610000}"/>
    <cellStyle name="Normal 171 28 2" xfId="24832" xr:uid="{00000000-0005-0000-0000-000005610000}"/>
    <cellStyle name="Normal 171 29" xfId="24833" xr:uid="{00000000-0005-0000-0000-000006610000}"/>
    <cellStyle name="Normal 171 29 2" xfId="24834" xr:uid="{00000000-0005-0000-0000-000007610000}"/>
    <cellStyle name="Normal 171 3" xfId="24835" xr:uid="{00000000-0005-0000-0000-000008610000}"/>
    <cellStyle name="Normal 171 3 2" xfId="24836" xr:uid="{00000000-0005-0000-0000-000009610000}"/>
    <cellStyle name="Normal 171 30" xfId="24837" xr:uid="{00000000-0005-0000-0000-00000A610000}"/>
    <cellStyle name="Normal 171 30 2" xfId="24838" xr:uid="{00000000-0005-0000-0000-00000B610000}"/>
    <cellStyle name="Normal 171 31" xfId="24839" xr:uid="{00000000-0005-0000-0000-00000C610000}"/>
    <cellStyle name="Normal 171 31 2" xfId="24840" xr:uid="{00000000-0005-0000-0000-00000D610000}"/>
    <cellStyle name="Normal 171 32" xfId="24841" xr:uid="{00000000-0005-0000-0000-00000E610000}"/>
    <cellStyle name="Normal 171 32 2" xfId="24842" xr:uid="{00000000-0005-0000-0000-00000F610000}"/>
    <cellStyle name="Normal 171 33" xfId="24843" xr:uid="{00000000-0005-0000-0000-000010610000}"/>
    <cellStyle name="Normal 171 33 2" xfId="24844" xr:uid="{00000000-0005-0000-0000-000011610000}"/>
    <cellStyle name="Normal 171 34" xfId="24845" xr:uid="{00000000-0005-0000-0000-000012610000}"/>
    <cellStyle name="Normal 171 34 2" xfId="24846" xr:uid="{00000000-0005-0000-0000-000013610000}"/>
    <cellStyle name="Normal 171 35" xfId="24847" xr:uid="{00000000-0005-0000-0000-000014610000}"/>
    <cellStyle name="Normal 171 35 2" xfId="24848" xr:uid="{00000000-0005-0000-0000-000015610000}"/>
    <cellStyle name="Normal 171 36" xfId="24849" xr:uid="{00000000-0005-0000-0000-000016610000}"/>
    <cellStyle name="Normal 171 36 2" xfId="24850" xr:uid="{00000000-0005-0000-0000-000017610000}"/>
    <cellStyle name="Normal 171 37" xfId="24851" xr:uid="{00000000-0005-0000-0000-000018610000}"/>
    <cellStyle name="Normal 171 37 2" xfId="24852" xr:uid="{00000000-0005-0000-0000-000019610000}"/>
    <cellStyle name="Normal 171 38" xfId="24853" xr:uid="{00000000-0005-0000-0000-00001A610000}"/>
    <cellStyle name="Normal 171 38 2" xfId="24854" xr:uid="{00000000-0005-0000-0000-00001B610000}"/>
    <cellStyle name="Normal 171 39" xfId="24855" xr:uid="{00000000-0005-0000-0000-00001C610000}"/>
    <cellStyle name="Normal 171 39 2" xfId="24856" xr:uid="{00000000-0005-0000-0000-00001D610000}"/>
    <cellStyle name="Normal 171 4" xfId="24857" xr:uid="{00000000-0005-0000-0000-00001E610000}"/>
    <cellStyle name="Normal 171 4 2" xfId="24858" xr:uid="{00000000-0005-0000-0000-00001F610000}"/>
    <cellStyle name="Normal 171 40" xfId="24859" xr:uid="{00000000-0005-0000-0000-000020610000}"/>
    <cellStyle name="Normal 171 40 2" xfId="24860" xr:uid="{00000000-0005-0000-0000-000021610000}"/>
    <cellStyle name="Normal 171 41" xfId="24861" xr:uid="{00000000-0005-0000-0000-000022610000}"/>
    <cellStyle name="Normal 171 41 2" xfId="24862" xr:uid="{00000000-0005-0000-0000-000023610000}"/>
    <cellStyle name="Normal 171 42" xfId="24863" xr:uid="{00000000-0005-0000-0000-000024610000}"/>
    <cellStyle name="Normal 171 42 2" xfId="24864" xr:uid="{00000000-0005-0000-0000-000025610000}"/>
    <cellStyle name="Normal 171 43" xfId="24865" xr:uid="{00000000-0005-0000-0000-000026610000}"/>
    <cellStyle name="Normal 171 43 2" xfId="24866" xr:uid="{00000000-0005-0000-0000-000027610000}"/>
    <cellStyle name="Normal 171 44" xfId="24867" xr:uid="{00000000-0005-0000-0000-000028610000}"/>
    <cellStyle name="Normal 171 44 2" xfId="24868" xr:uid="{00000000-0005-0000-0000-000029610000}"/>
    <cellStyle name="Normal 171 45" xfId="24869" xr:uid="{00000000-0005-0000-0000-00002A610000}"/>
    <cellStyle name="Normal 171 45 2" xfId="24870" xr:uid="{00000000-0005-0000-0000-00002B610000}"/>
    <cellStyle name="Normal 171 46" xfId="24871" xr:uid="{00000000-0005-0000-0000-00002C610000}"/>
    <cellStyle name="Normal 171 46 2" xfId="24872" xr:uid="{00000000-0005-0000-0000-00002D610000}"/>
    <cellStyle name="Normal 171 47" xfId="24873" xr:uid="{00000000-0005-0000-0000-00002E610000}"/>
    <cellStyle name="Normal 171 47 2" xfId="24874" xr:uid="{00000000-0005-0000-0000-00002F610000}"/>
    <cellStyle name="Normal 171 48" xfId="24875" xr:uid="{00000000-0005-0000-0000-000030610000}"/>
    <cellStyle name="Normal 171 48 2" xfId="24876" xr:uid="{00000000-0005-0000-0000-000031610000}"/>
    <cellStyle name="Normal 171 49" xfId="24877" xr:uid="{00000000-0005-0000-0000-000032610000}"/>
    <cellStyle name="Normal 171 49 2" xfId="24878" xr:uid="{00000000-0005-0000-0000-000033610000}"/>
    <cellStyle name="Normal 171 5" xfId="24879" xr:uid="{00000000-0005-0000-0000-000034610000}"/>
    <cellStyle name="Normal 171 5 2" xfId="24880" xr:uid="{00000000-0005-0000-0000-000035610000}"/>
    <cellStyle name="Normal 171 50" xfId="24881" xr:uid="{00000000-0005-0000-0000-000036610000}"/>
    <cellStyle name="Normal 171 50 2" xfId="24882" xr:uid="{00000000-0005-0000-0000-000037610000}"/>
    <cellStyle name="Normal 171 51" xfId="24883" xr:uid="{00000000-0005-0000-0000-000038610000}"/>
    <cellStyle name="Normal 171 51 2" xfId="24884" xr:uid="{00000000-0005-0000-0000-000039610000}"/>
    <cellStyle name="Normal 171 52" xfId="24885" xr:uid="{00000000-0005-0000-0000-00003A610000}"/>
    <cellStyle name="Normal 171 52 2" xfId="24886" xr:uid="{00000000-0005-0000-0000-00003B610000}"/>
    <cellStyle name="Normal 171 53" xfId="24887" xr:uid="{00000000-0005-0000-0000-00003C610000}"/>
    <cellStyle name="Normal 171 53 2" xfId="24888" xr:uid="{00000000-0005-0000-0000-00003D610000}"/>
    <cellStyle name="Normal 171 54" xfId="24889" xr:uid="{00000000-0005-0000-0000-00003E610000}"/>
    <cellStyle name="Normal 171 54 2" xfId="24890" xr:uid="{00000000-0005-0000-0000-00003F610000}"/>
    <cellStyle name="Normal 171 55" xfId="24891" xr:uid="{00000000-0005-0000-0000-000040610000}"/>
    <cellStyle name="Normal 171 55 2" xfId="24892" xr:uid="{00000000-0005-0000-0000-000041610000}"/>
    <cellStyle name="Normal 171 56" xfId="24893" xr:uid="{00000000-0005-0000-0000-000042610000}"/>
    <cellStyle name="Normal 171 56 2" xfId="24894" xr:uid="{00000000-0005-0000-0000-000043610000}"/>
    <cellStyle name="Normal 171 57" xfId="24895" xr:uid="{00000000-0005-0000-0000-000044610000}"/>
    <cellStyle name="Normal 171 57 2" xfId="24896" xr:uid="{00000000-0005-0000-0000-000045610000}"/>
    <cellStyle name="Normal 171 58" xfId="24897" xr:uid="{00000000-0005-0000-0000-000046610000}"/>
    <cellStyle name="Normal 171 58 2" xfId="24898" xr:uid="{00000000-0005-0000-0000-000047610000}"/>
    <cellStyle name="Normal 171 59" xfId="24899" xr:uid="{00000000-0005-0000-0000-000048610000}"/>
    <cellStyle name="Normal 171 59 2" xfId="24900" xr:uid="{00000000-0005-0000-0000-000049610000}"/>
    <cellStyle name="Normal 171 6" xfId="24901" xr:uid="{00000000-0005-0000-0000-00004A610000}"/>
    <cellStyle name="Normal 171 6 2" xfId="24902" xr:uid="{00000000-0005-0000-0000-00004B610000}"/>
    <cellStyle name="Normal 171 60" xfId="24903" xr:uid="{00000000-0005-0000-0000-00004C610000}"/>
    <cellStyle name="Normal 171 60 2" xfId="24904" xr:uid="{00000000-0005-0000-0000-00004D610000}"/>
    <cellStyle name="Normal 171 61" xfId="24905" xr:uid="{00000000-0005-0000-0000-00004E610000}"/>
    <cellStyle name="Normal 171 61 2" xfId="24906" xr:uid="{00000000-0005-0000-0000-00004F610000}"/>
    <cellStyle name="Normal 171 62" xfId="24907" xr:uid="{00000000-0005-0000-0000-000050610000}"/>
    <cellStyle name="Normal 171 62 2" xfId="24908" xr:uid="{00000000-0005-0000-0000-000051610000}"/>
    <cellStyle name="Normal 171 62 3" xfId="24909" xr:uid="{00000000-0005-0000-0000-000052610000}"/>
    <cellStyle name="Normal 171 63" xfId="24910" xr:uid="{00000000-0005-0000-0000-000053610000}"/>
    <cellStyle name="Normal 171 7" xfId="24911" xr:uid="{00000000-0005-0000-0000-000054610000}"/>
    <cellStyle name="Normal 171 7 2" xfId="24912" xr:uid="{00000000-0005-0000-0000-000055610000}"/>
    <cellStyle name="Normal 171 8" xfId="24913" xr:uid="{00000000-0005-0000-0000-000056610000}"/>
    <cellStyle name="Normal 171 8 2" xfId="24914" xr:uid="{00000000-0005-0000-0000-000057610000}"/>
    <cellStyle name="Normal 171 9" xfId="24915" xr:uid="{00000000-0005-0000-0000-000058610000}"/>
    <cellStyle name="Normal 171 9 2" xfId="24916" xr:uid="{00000000-0005-0000-0000-000059610000}"/>
    <cellStyle name="Normal 172" xfId="24917" xr:uid="{00000000-0005-0000-0000-00005A610000}"/>
    <cellStyle name="Normal 172 2" xfId="24918" xr:uid="{00000000-0005-0000-0000-00005B610000}"/>
    <cellStyle name="Normal 173" xfId="24919" xr:uid="{00000000-0005-0000-0000-00005C610000}"/>
    <cellStyle name="Normal 173 2" xfId="24920" xr:uid="{00000000-0005-0000-0000-00005D610000}"/>
    <cellStyle name="Normal 174" xfId="24921" xr:uid="{00000000-0005-0000-0000-00005E610000}"/>
    <cellStyle name="Normal 174 2" xfId="24922" xr:uid="{00000000-0005-0000-0000-00005F610000}"/>
    <cellStyle name="Normal 175" xfId="24923" xr:uid="{00000000-0005-0000-0000-000060610000}"/>
    <cellStyle name="Normal 175 10" xfId="24924" xr:uid="{00000000-0005-0000-0000-000061610000}"/>
    <cellStyle name="Normal 175 10 2" xfId="24925" xr:uid="{00000000-0005-0000-0000-000062610000}"/>
    <cellStyle name="Normal 175 11" xfId="24926" xr:uid="{00000000-0005-0000-0000-000063610000}"/>
    <cellStyle name="Normal 175 11 2" xfId="24927" xr:uid="{00000000-0005-0000-0000-000064610000}"/>
    <cellStyle name="Normal 175 12" xfId="24928" xr:uid="{00000000-0005-0000-0000-000065610000}"/>
    <cellStyle name="Normal 175 12 2" xfId="24929" xr:uid="{00000000-0005-0000-0000-000066610000}"/>
    <cellStyle name="Normal 175 13" xfId="24930" xr:uid="{00000000-0005-0000-0000-000067610000}"/>
    <cellStyle name="Normal 175 13 2" xfId="24931" xr:uid="{00000000-0005-0000-0000-000068610000}"/>
    <cellStyle name="Normal 175 14" xfId="24932" xr:uid="{00000000-0005-0000-0000-000069610000}"/>
    <cellStyle name="Normal 175 14 2" xfId="24933" xr:uid="{00000000-0005-0000-0000-00006A610000}"/>
    <cellStyle name="Normal 175 15" xfId="24934" xr:uid="{00000000-0005-0000-0000-00006B610000}"/>
    <cellStyle name="Normal 175 15 2" xfId="24935" xr:uid="{00000000-0005-0000-0000-00006C610000}"/>
    <cellStyle name="Normal 175 16" xfId="24936" xr:uid="{00000000-0005-0000-0000-00006D610000}"/>
    <cellStyle name="Normal 175 16 2" xfId="24937" xr:uid="{00000000-0005-0000-0000-00006E610000}"/>
    <cellStyle name="Normal 175 17" xfId="24938" xr:uid="{00000000-0005-0000-0000-00006F610000}"/>
    <cellStyle name="Normal 175 17 2" xfId="24939" xr:uid="{00000000-0005-0000-0000-000070610000}"/>
    <cellStyle name="Normal 175 18" xfId="24940" xr:uid="{00000000-0005-0000-0000-000071610000}"/>
    <cellStyle name="Normal 175 18 2" xfId="24941" xr:uid="{00000000-0005-0000-0000-000072610000}"/>
    <cellStyle name="Normal 175 19" xfId="24942" xr:uid="{00000000-0005-0000-0000-000073610000}"/>
    <cellStyle name="Normal 175 19 2" xfId="24943" xr:uid="{00000000-0005-0000-0000-000074610000}"/>
    <cellStyle name="Normal 175 2" xfId="24944" xr:uid="{00000000-0005-0000-0000-000075610000}"/>
    <cellStyle name="Normal 175 2 2" xfId="24945" xr:uid="{00000000-0005-0000-0000-000076610000}"/>
    <cellStyle name="Normal 175 20" xfId="24946" xr:uid="{00000000-0005-0000-0000-000077610000}"/>
    <cellStyle name="Normal 175 20 2" xfId="24947" xr:uid="{00000000-0005-0000-0000-000078610000}"/>
    <cellStyle name="Normal 175 21" xfId="24948" xr:uid="{00000000-0005-0000-0000-000079610000}"/>
    <cellStyle name="Normal 175 21 2" xfId="24949" xr:uid="{00000000-0005-0000-0000-00007A610000}"/>
    <cellStyle name="Normal 175 22" xfId="24950" xr:uid="{00000000-0005-0000-0000-00007B610000}"/>
    <cellStyle name="Normal 175 22 2" xfId="24951" xr:uid="{00000000-0005-0000-0000-00007C610000}"/>
    <cellStyle name="Normal 175 23" xfId="24952" xr:uid="{00000000-0005-0000-0000-00007D610000}"/>
    <cellStyle name="Normal 175 23 2" xfId="24953" xr:uid="{00000000-0005-0000-0000-00007E610000}"/>
    <cellStyle name="Normal 175 24" xfId="24954" xr:uid="{00000000-0005-0000-0000-00007F610000}"/>
    <cellStyle name="Normal 175 24 2" xfId="24955" xr:uid="{00000000-0005-0000-0000-000080610000}"/>
    <cellStyle name="Normal 175 25" xfId="24956" xr:uid="{00000000-0005-0000-0000-000081610000}"/>
    <cellStyle name="Normal 175 25 2" xfId="24957" xr:uid="{00000000-0005-0000-0000-000082610000}"/>
    <cellStyle name="Normal 175 26" xfId="24958" xr:uid="{00000000-0005-0000-0000-000083610000}"/>
    <cellStyle name="Normal 175 26 2" xfId="24959" xr:uid="{00000000-0005-0000-0000-000084610000}"/>
    <cellStyle name="Normal 175 27" xfId="24960" xr:uid="{00000000-0005-0000-0000-000085610000}"/>
    <cellStyle name="Normal 175 27 2" xfId="24961" xr:uid="{00000000-0005-0000-0000-000086610000}"/>
    <cellStyle name="Normal 175 28" xfId="24962" xr:uid="{00000000-0005-0000-0000-000087610000}"/>
    <cellStyle name="Normal 175 28 2" xfId="24963" xr:uid="{00000000-0005-0000-0000-000088610000}"/>
    <cellStyle name="Normal 175 29" xfId="24964" xr:uid="{00000000-0005-0000-0000-000089610000}"/>
    <cellStyle name="Normal 175 29 2" xfId="24965" xr:uid="{00000000-0005-0000-0000-00008A610000}"/>
    <cellStyle name="Normal 175 3" xfId="24966" xr:uid="{00000000-0005-0000-0000-00008B610000}"/>
    <cellStyle name="Normal 175 3 2" xfId="24967" xr:uid="{00000000-0005-0000-0000-00008C610000}"/>
    <cellStyle name="Normal 175 30" xfId="24968" xr:uid="{00000000-0005-0000-0000-00008D610000}"/>
    <cellStyle name="Normal 175 30 2" xfId="24969" xr:uid="{00000000-0005-0000-0000-00008E610000}"/>
    <cellStyle name="Normal 175 31" xfId="24970" xr:uid="{00000000-0005-0000-0000-00008F610000}"/>
    <cellStyle name="Normal 175 31 2" xfId="24971" xr:uid="{00000000-0005-0000-0000-000090610000}"/>
    <cellStyle name="Normal 175 32" xfId="24972" xr:uid="{00000000-0005-0000-0000-000091610000}"/>
    <cellStyle name="Normal 175 32 2" xfId="24973" xr:uid="{00000000-0005-0000-0000-000092610000}"/>
    <cellStyle name="Normal 175 33" xfId="24974" xr:uid="{00000000-0005-0000-0000-000093610000}"/>
    <cellStyle name="Normal 175 33 2" xfId="24975" xr:uid="{00000000-0005-0000-0000-000094610000}"/>
    <cellStyle name="Normal 175 34" xfId="24976" xr:uid="{00000000-0005-0000-0000-000095610000}"/>
    <cellStyle name="Normal 175 34 2" xfId="24977" xr:uid="{00000000-0005-0000-0000-000096610000}"/>
    <cellStyle name="Normal 175 35" xfId="24978" xr:uid="{00000000-0005-0000-0000-000097610000}"/>
    <cellStyle name="Normal 175 35 2" xfId="24979" xr:uid="{00000000-0005-0000-0000-000098610000}"/>
    <cellStyle name="Normal 175 36" xfId="24980" xr:uid="{00000000-0005-0000-0000-000099610000}"/>
    <cellStyle name="Normal 175 36 2" xfId="24981" xr:uid="{00000000-0005-0000-0000-00009A610000}"/>
    <cellStyle name="Normal 175 37" xfId="24982" xr:uid="{00000000-0005-0000-0000-00009B610000}"/>
    <cellStyle name="Normal 175 37 2" xfId="24983" xr:uid="{00000000-0005-0000-0000-00009C610000}"/>
    <cellStyle name="Normal 175 38" xfId="24984" xr:uid="{00000000-0005-0000-0000-00009D610000}"/>
    <cellStyle name="Normal 175 38 2" xfId="24985" xr:uid="{00000000-0005-0000-0000-00009E610000}"/>
    <cellStyle name="Normal 175 39" xfId="24986" xr:uid="{00000000-0005-0000-0000-00009F610000}"/>
    <cellStyle name="Normal 175 39 2" xfId="24987" xr:uid="{00000000-0005-0000-0000-0000A0610000}"/>
    <cellStyle name="Normal 175 4" xfId="24988" xr:uid="{00000000-0005-0000-0000-0000A1610000}"/>
    <cellStyle name="Normal 175 4 2" xfId="24989" xr:uid="{00000000-0005-0000-0000-0000A2610000}"/>
    <cellStyle name="Normal 175 40" xfId="24990" xr:uid="{00000000-0005-0000-0000-0000A3610000}"/>
    <cellStyle name="Normal 175 40 2" xfId="24991" xr:uid="{00000000-0005-0000-0000-0000A4610000}"/>
    <cellStyle name="Normal 175 41" xfId="24992" xr:uid="{00000000-0005-0000-0000-0000A5610000}"/>
    <cellStyle name="Normal 175 41 2" xfId="24993" xr:uid="{00000000-0005-0000-0000-0000A6610000}"/>
    <cellStyle name="Normal 175 42" xfId="24994" xr:uid="{00000000-0005-0000-0000-0000A7610000}"/>
    <cellStyle name="Normal 175 42 2" xfId="24995" xr:uid="{00000000-0005-0000-0000-0000A8610000}"/>
    <cellStyle name="Normal 175 43" xfId="24996" xr:uid="{00000000-0005-0000-0000-0000A9610000}"/>
    <cellStyle name="Normal 175 43 2" xfId="24997" xr:uid="{00000000-0005-0000-0000-0000AA610000}"/>
    <cellStyle name="Normal 175 44" xfId="24998" xr:uid="{00000000-0005-0000-0000-0000AB610000}"/>
    <cellStyle name="Normal 175 44 2" xfId="24999" xr:uid="{00000000-0005-0000-0000-0000AC610000}"/>
    <cellStyle name="Normal 175 45" xfId="25000" xr:uid="{00000000-0005-0000-0000-0000AD610000}"/>
    <cellStyle name="Normal 175 45 2" xfId="25001" xr:uid="{00000000-0005-0000-0000-0000AE610000}"/>
    <cellStyle name="Normal 175 46" xfId="25002" xr:uid="{00000000-0005-0000-0000-0000AF610000}"/>
    <cellStyle name="Normal 175 46 2" xfId="25003" xr:uid="{00000000-0005-0000-0000-0000B0610000}"/>
    <cellStyle name="Normal 175 47" xfId="25004" xr:uid="{00000000-0005-0000-0000-0000B1610000}"/>
    <cellStyle name="Normal 175 47 2" xfId="25005" xr:uid="{00000000-0005-0000-0000-0000B2610000}"/>
    <cellStyle name="Normal 175 48" xfId="25006" xr:uid="{00000000-0005-0000-0000-0000B3610000}"/>
    <cellStyle name="Normal 175 48 2" xfId="25007" xr:uid="{00000000-0005-0000-0000-0000B4610000}"/>
    <cellStyle name="Normal 175 49" xfId="25008" xr:uid="{00000000-0005-0000-0000-0000B5610000}"/>
    <cellStyle name="Normal 175 49 2" xfId="25009" xr:uid="{00000000-0005-0000-0000-0000B6610000}"/>
    <cellStyle name="Normal 175 5" xfId="25010" xr:uid="{00000000-0005-0000-0000-0000B7610000}"/>
    <cellStyle name="Normal 175 5 2" xfId="25011" xr:uid="{00000000-0005-0000-0000-0000B8610000}"/>
    <cellStyle name="Normal 175 50" xfId="25012" xr:uid="{00000000-0005-0000-0000-0000B9610000}"/>
    <cellStyle name="Normal 175 50 2" xfId="25013" xr:uid="{00000000-0005-0000-0000-0000BA610000}"/>
    <cellStyle name="Normal 175 51" xfId="25014" xr:uid="{00000000-0005-0000-0000-0000BB610000}"/>
    <cellStyle name="Normal 175 51 2" xfId="25015" xr:uid="{00000000-0005-0000-0000-0000BC610000}"/>
    <cellStyle name="Normal 175 52" xfId="25016" xr:uid="{00000000-0005-0000-0000-0000BD610000}"/>
    <cellStyle name="Normal 175 52 2" xfId="25017" xr:uid="{00000000-0005-0000-0000-0000BE610000}"/>
    <cellStyle name="Normal 175 53" xfId="25018" xr:uid="{00000000-0005-0000-0000-0000BF610000}"/>
    <cellStyle name="Normal 175 53 2" xfId="25019" xr:uid="{00000000-0005-0000-0000-0000C0610000}"/>
    <cellStyle name="Normal 175 54" xfId="25020" xr:uid="{00000000-0005-0000-0000-0000C1610000}"/>
    <cellStyle name="Normal 175 54 2" xfId="25021" xr:uid="{00000000-0005-0000-0000-0000C2610000}"/>
    <cellStyle name="Normal 175 55" xfId="25022" xr:uid="{00000000-0005-0000-0000-0000C3610000}"/>
    <cellStyle name="Normal 175 55 2" xfId="25023" xr:uid="{00000000-0005-0000-0000-0000C4610000}"/>
    <cellStyle name="Normal 175 56" xfId="25024" xr:uid="{00000000-0005-0000-0000-0000C5610000}"/>
    <cellStyle name="Normal 175 56 2" xfId="25025" xr:uid="{00000000-0005-0000-0000-0000C6610000}"/>
    <cellStyle name="Normal 175 57" xfId="25026" xr:uid="{00000000-0005-0000-0000-0000C7610000}"/>
    <cellStyle name="Normal 175 57 2" xfId="25027" xr:uid="{00000000-0005-0000-0000-0000C8610000}"/>
    <cellStyle name="Normal 175 58" xfId="25028" xr:uid="{00000000-0005-0000-0000-0000C9610000}"/>
    <cellStyle name="Normal 175 58 2" xfId="25029" xr:uid="{00000000-0005-0000-0000-0000CA610000}"/>
    <cellStyle name="Normal 175 59" xfId="25030" xr:uid="{00000000-0005-0000-0000-0000CB610000}"/>
    <cellStyle name="Normal 175 59 2" xfId="25031" xr:uid="{00000000-0005-0000-0000-0000CC610000}"/>
    <cellStyle name="Normal 175 6" xfId="25032" xr:uid="{00000000-0005-0000-0000-0000CD610000}"/>
    <cellStyle name="Normal 175 6 2" xfId="25033" xr:uid="{00000000-0005-0000-0000-0000CE610000}"/>
    <cellStyle name="Normal 175 60" xfId="25034" xr:uid="{00000000-0005-0000-0000-0000CF610000}"/>
    <cellStyle name="Normal 175 60 2" xfId="25035" xr:uid="{00000000-0005-0000-0000-0000D0610000}"/>
    <cellStyle name="Normal 175 61" xfId="25036" xr:uid="{00000000-0005-0000-0000-0000D1610000}"/>
    <cellStyle name="Normal 175 61 2" xfId="25037" xr:uid="{00000000-0005-0000-0000-0000D2610000}"/>
    <cellStyle name="Normal 175 62" xfId="25038" xr:uid="{00000000-0005-0000-0000-0000D3610000}"/>
    <cellStyle name="Normal 175 62 2" xfId="25039" xr:uid="{00000000-0005-0000-0000-0000D4610000}"/>
    <cellStyle name="Normal 175 62 3" xfId="25040" xr:uid="{00000000-0005-0000-0000-0000D5610000}"/>
    <cellStyle name="Normal 175 63" xfId="25041" xr:uid="{00000000-0005-0000-0000-0000D6610000}"/>
    <cellStyle name="Normal 175 7" xfId="25042" xr:uid="{00000000-0005-0000-0000-0000D7610000}"/>
    <cellStyle name="Normal 175 7 2" xfId="25043" xr:uid="{00000000-0005-0000-0000-0000D8610000}"/>
    <cellStyle name="Normal 175 8" xfId="25044" xr:uid="{00000000-0005-0000-0000-0000D9610000}"/>
    <cellStyle name="Normal 175 8 2" xfId="25045" xr:uid="{00000000-0005-0000-0000-0000DA610000}"/>
    <cellStyle name="Normal 175 9" xfId="25046" xr:uid="{00000000-0005-0000-0000-0000DB610000}"/>
    <cellStyle name="Normal 175 9 2" xfId="25047" xr:uid="{00000000-0005-0000-0000-0000DC610000}"/>
    <cellStyle name="Normal 176" xfId="25048" xr:uid="{00000000-0005-0000-0000-0000DD610000}"/>
    <cellStyle name="Normal 176 2" xfId="25049" xr:uid="{00000000-0005-0000-0000-0000DE610000}"/>
    <cellStyle name="Normal 177" xfId="25050" xr:uid="{00000000-0005-0000-0000-0000DF610000}"/>
    <cellStyle name="Normal 177 2" xfId="25051" xr:uid="{00000000-0005-0000-0000-0000E0610000}"/>
    <cellStyle name="Normal 178" xfId="25052" xr:uid="{00000000-0005-0000-0000-0000E1610000}"/>
    <cellStyle name="Normal 178 10" xfId="25053" xr:uid="{00000000-0005-0000-0000-0000E2610000}"/>
    <cellStyle name="Normal 178 10 2" xfId="25054" xr:uid="{00000000-0005-0000-0000-0000E3610000}"/>
    <cellStyle name="Normal 178 11" xfId="25055" xr:uid="{00000000-0005-0000-0000-0000E4610000}"/>
    <cellStyle name="Normal 178 11 2" xfId="25056" xr:uid="{00000000-0005-0000-0000-0000E5610000}"/>
    <cellStyle name="Normal 178 12" xfId="25057" xr:uid="{00000000-0005-0000-0000-0000E6610000}"/>
    <cellStyle name="Normal 178 12 2" xfId="25058" xr:uid="{00000000-0005-0000-0000-0000E7610000}"/>
    <cellStyle name="Normal 178 13" xfId="25059" xr:uid="{00000000-0005-0000-0000-0000E8610000}"/>
    <cellStyle name="Normal 178 13 2" xfId="25060" xr:uid="{00000000-0005-0000-0000-0000E9610000}"/>
    <cellStyle name="Normal 178 14" xfId="25061" xr:uid="{00000000-0005-0000-0000-0000EA610000}"/>
    <cellStyle name="Normal 178 14 2" xfId="25062" xr:uid="{00000000-0005-0000-0000-0000EB610000}"/>
    <cellStyle name="Normal 178 15" xfId="25063" xr:uid="{00000000-0005-0000-0000-0000EC610000}"/>
    <cellStyle name="Normal 178 15 2" xfId="25064" xr:uid="{00000000-0005-0000-0000-0000ED610000}"/>
    <cellStyle name="Normal 178 16" xfId="25065" xr:uid="{00000000-0005-0000-0000-0000EE610000}"/>
    <cellStyle name="Normal 178 16 2" xfId="25066" xr:uid="{00000000-0005-0000-0000-0000EF610000}"/>
    <cellStyle name="Normal 178 17" xfId="25067" xr:uid="{00000000-0005-0000-0000-0000F0610000}"/>
    <cellStyle name="Normal 178 17 2" xfId="25068" xr:uid="{00000000-0005-0000-0000-0000F1610000}"/>
    <cellStyle name="Normal 178 18" xfId="25069" xr:uid="{00000000-0005-0000-0000-0000F2610000}"/>
    <cellStyle name="Normal 178 18 2" xfId="25070" xr:uid="{00000000-0005-0000-0000-0000F3610000}"/>
    <cellStyle name="Normal 178 19" xfId="25071" xr:uid="{00000000-0005-0000-0000-0000F4610000}"/>
    <cellStyle name="Normal 178 19 2" xfId="25072" xr:uid="{00000000-0005-0000-0000-0000F5610000}"/>
    <cellStyle name="Normal 178 2" xfId="25073" xr:uid="{00000000-0005-0000-0000-0000F6610000}"/>
    <cellStyle name="Normal 178 2 2" xfId="25074" xr:uid="{00000000-0005-0000-0000-0000F7610000}"/>
    <cellStyle name="Normal 178 20" xfId="25075" xr:uid="{00000000-0005-0000-0000-0000F8610000}"/>
    <cellStyle name="Normal 178 20 2" xfId="25076" xr:uid="{00000000-0005-0000-0000-0000F9610000}"/>
    <cellStyle name="Normal 178 21" xfId="25077" xr:uid="{00000000-0005-0000-0000-0000FA610000}"/>
    <cellStyle name="Normal 178 21 2" xfId="25078" xr:uid="{00000000-0005-0000-0000-0000FB610000}"/>
    <cellStyle name="Normal 178 22" xfId="25079" xr:uid="{00000000-0005-0000-0000-0000FC610000}"/>
    <cellStyle name="Normal 178 22 2" xfId="25080" xr:uid="{00000000-0005-0000-0000-0000FD610000}"/>
    <cellStyle name="Normal 178 23" xfId="25081" xr:uid="{00000000-0005-0000-0000-0000FE610000}"/>
    <cellStyle name="Normal 178 23 2" xfId="25082" xr:uid="{00000000-0005-0000-0000-0000FF610000}"/>
    <cellStyle name="Normal 178 24" xfId="25083" xr:uid="{00000000-0005-0000-0000-000000620000}"/>
    <cellStyle name="Normal 178 24 2" xfId="25084" xr:uid="{00000000-0005-0000-0000-000001620000}"/>
    <cellStyle name="Normal 178 25" xfId="25085" xr:uid="{00000000-0005-0000-0000-000002620000}"/>
    <cellStyle name="Normal 178 25 2" xfId="25086" xr:uid="{00000000-0005-0000-0000-000003620000}"/>
    <cellStyle name="Normal 178 26" xfId="25087" xr:uid="{00000000-0005-0000-0000-000004620000}"/>
    <cellStyle name="Normal 178 26 2" xfId="25088" xr:uid="{00000000-0005-0000-0000-000005620000}"/>
    <cellStyle name="Normal 178 27" xfId="25089" xr:uid="{00000000-0005-0000-0000-000006620000}"/>
    <cellStyle name="Normal 178 27 2" xfId="25090" xr:uid="{00000000-0005-0000-0000-000007620000}"/>
    <cellStyle name="Normal 178 28" xfId="25091" xr:uid="{00000000-0005-0000-0000-000008620000}"/>
    <cellStyle name="Normal 178 28 2" xfId="25092" xr:uid="{00000000-0005-0000-0000-000009620000}"/>
    <cellStyle name="Normal 178 29" xfId="25093" xr:uid="{00000000-0005-0000-0000-00000A620000}"/>
    <cellStyle name="Normal 178 29 2" xfId="25094" xr:uid="{00000000-0005-0000-0000-00000B620000}"/>
    <cellStyle name="Normal 178 3" xfId="25095" xr:uid="{00000000-0005-0000-0000-00000C620000}"/>
    <cellStyle name="Normal 178 3 2" xfId="25096" xr:uid="{00000000-0005-0000-0000-00000D620000}"/>
    <cellStyle name="Normal 178 30" xfId="25097" xr:uid="{00000000-0005-0000-0000-00000E620000}"/>
    <cellStyle name="Normal 178 30 2" xfId="25098" xr:uid="{00000000-0005-0000-0000-00000F620000}"/>
    <cellStyle name="Normal 178 31" xfId="25099" xr:uid="{00000000-0005-0000-0000-000010620000}"/>
    <cellStyle name="Normal 178 31 2" xfId="25100" xr:uid="{00000000-0005-0000-0000-000011620000}"/>
    <cellStyle name="Normal 178 32" xfId="25101" xr:uid="{00000000-0005-0000-0000-000012620000}"/>
    <cellStyle name="Normal 178 32 2" xfId="25102" xr:uid="{00000000-0005-0000-0000-000013620000}"/>
    <cellStyle name="Normal 178 33" xfId="25103" xr:uid="{00000000-0005-0000-0000-000014620000}"/>
    <cellStyle name="Normal 178 33 2" xfId="25104" xr:uid="{00000000-0005-0000-0000-000015620000}"/>
    <cellStyle name="Normal 178 34" xfId="25105" xr:uid="{00000000-0005-0000-0000-000016620000}"/>
    <cellStyle name="Normal 178 34 2" xfId="25106" xr:uid="{00000000-0005-0000-0000-000017620000}"/>
    <cellStyle name="Normal 178 35" xfId="25107" xr:uid="{00000000-0005-0000-0000-000018620000}"/>
    <cellStyle name="Normal 178 35 2" xfId="25108" xr:uid="{00000000-0005-0000-0000-000019620000}"/>
    <cellStyle name="Normal 178 36" xfId="25109" xr:uid="{00000000-0005-0000-0000-00001A620000}"/>
    <cellStyle name="Normal 178 36 2" xfId="25110" xr:uid="{00000000-0005-0000-0000-00001B620000}"/>
    <cellStyle name="Normal 178 37" xfId="25111" xr:uid="{00000000-0005-0000-0000-00001C620000}"/>
    <cellStyle name="Normal 178 37 2" xfId="25112" xr:uid="{00000000-0005-0000-0000-00001D620000}"/>
    <cellStyle name="Normal 178 38" xfId="25113" xr:uid="{00000000-0005-0000-0000-00001E620000}"/>
    <cellStyle name="Normal 178 38 2" xfId="25114" xr:uid="{00000000-0005-0000-0000-00001F620000}"/>
    <cellStyle name="Normal 178 39" xfId="25115" xr:uid="{00000000-0005-0000-0000-000020620000}"/>
    <cellStyle name="Normal 178 39 2" xfId="25116" xr:uid="{00000000-0005-0000-0000-000021620000}"/>
    <cellStyle name="Normal 178 4" xfId="25117" xr:uid="{00000000-0005-0000-0000-000022620000}"/>
    <cellStyle name="Normal 178 4 2" xfId="25118" xr:uid="{00000000-0005-0000-0000-000023620000}"/>
    <cellStyle name="Normal 178 40" xfId="25119" xr:uid="{00000000-0005-0000-0000-000024620000}"/>
    <cellStyle name="Normal 178 40 2" xfId="25120" xr:uid="{00000000-0005-0000-0000-000025620000}"/>
    <cellStyle name="Normal 178 41" xfId="25121" xr:uid="{00000000-0005-0000-0000-000026620000}"/>
    <cellStyle name="Normal 178 41 2" xfId="25122" xr:uid="{00000000-0005-0000-0000-000027620000}"/>
    <cellStyle name="Normal 178 42" xfId="25123" xr:uid="{00000000-0005-0000-0000-000028620000}"/>
    <cellStyle name="Normal 178 42 2" xfId="25124" xr:uid="{00000000-0005-0000-0000-000029620000}"/>
    <cellStyle name="Normal 178 43" xfId="25125" xr:uid="{00000000-0005-0000-0000-00002A620000}"/>
    <cellStyle name="Normal 178 43 2" xfId="25126" xr:uid="{00000000-0005-0000-0000-00002B620000}"/>
    <cellStyle name="Normal 178 44" xfId="25127" xr:uid="{00000000-0005-0000-0000-00002C620000}"/>
    <cellStyle name="Normal 178 44 2" xfId="25128" xr:uid="{00000000-0005-0000-0000-00002D620000}"/>
    <cellStyle name="Normal 178 45" xfId="25129" xr:uid="{00000000-0005-0000-0000-00002E620000}"/>
    <cellStyle name="Normal 178 45 2" xfId="25130" xr:uid="{00000000-0005-0000-0000-00002F620000}"/>
    <cellStyle name="Normal 178 46" xfId="25131" xr:uid="{00000000-0005-0000-0000-000030620000}"/>
    <cellStyle name="Normal 178 46 2" xfId="25132" xr:uid="{00000000-0005-0000-0000-000031620000}"/>
    <cellStyle name="Normal 178 47" xfId="25133" xr:uid="{00000000-0005-0000-0000-000032620000}"/>
    <cellStyle name="Normal 178 47 2" xfId="25134" xr:uid="{00000000-0005-0000-0000-000033620000}"/>
    <cellStyle name="Normal 178 48" xfId="25135" xr:uid="{00000000-0005-0000-0000-000034620000}"/>
    <cellStyle name="Normal 178 48 2" xfId="25136" xr:uid="{00000000-0005-0000-0000-000035620000}"/>
    <cellStyle name="Normal 178 49" xfId="25137" xr:uid="{00000000-0005-0000-0000-000036620000}"/>
    <cellStyle name="Normal 178 49 2" xfId="25138" xr:uid="{00000000-0005-0000-0000-000037620000}"/>
    <cellStyle name="Normal 178 5" xfId="25139" xr:uid="{00000000-0005-0000-0000-000038620000}"/>
    <cellStyle name="Normal 178 5 2" xfId="25140" xr:uid="{00000000-0005-0000-0000-000039620000}"/>
    <cellStyle name="Normal 178 50" xfId="25141" xr:uid="{00000000-0005-0000-0000-00003A620000}"/>
    <cellStyle name="Normal 178 50 2" xfId="25142" xr:uid="{00000000-0005-0000-0000-00003B620000}"/>
    <cellStyle name="Normal 178 51" xfId="25143" xr:uid="{00000000-0005-0000-0000-00003C620000}"/>
    <cellStyle name="Normal 178 51 2" xfId="25144" xr:uid="{00000000-0005-0000-0000-00003D620000}"/>
    <cellStyle name="Normal 178 52" xfId="25145" xr:uid="{00000000-0005-0000-0000-00003E620000}"/>
    <cellStyle name="Normal 178 52 2" xfId="25146" xr:uid="{00000000-0005-0000-0000-00003F620000}"/>
    <cellStyle name="Normal 178 53" xfId="25147" xr:uid="{00000000-0005-0000-0000-000040620000}"/>
    <cellStyle name="Normal 178 53 2" xfId="25148" xr:uid="{00000000-0005-0000-0000-000041620000}"/>
    <cellStyle name="Normal 178 54" xfId="25149" xr:uid="{00000000-0005-0000-0000-000042620000}"/>
    <cellStyle name="Normal 178 54 2" xfId="25150" xr:uid="{00000000-0005-0000-0000-000043620000}"/>
    <cellStyle name="Normal 178 55" xfId="25151" xr:uid="{00000000-0005-0000-0000-000044620000}"/>
    <cellStyle name="Normal 178 55 2" xfId="25152" xr:uid="{00000000-0005-0000-0000-000045620000}"/>
    <cellStyle name="Normal 178 56" xfId="25153" xr:uid="{00000000-0005-0000-0000-000046620000}"/>
    <cellStyle name="Normal 178 56 2" xfId="25154" xr:uid="{00000000-0005-0000-0000-000047620000}"/>
    <cellStyle name="Normal 178 57" xfId="25155" xr:uid="{00000000-0005-0000-0000-000048620000}"/>
    <cellStyle name="Normal 178 57 2" xfId="25156" xr:uid="{00000000-0005-0000-0000-000049620000}"/>
    <cellStyle name="Normal 178 58" xfId="25157" xr:uid="{00000000-0005-0000-0000-00004A620000}"/>
    <cellStyle name="Normal 178 58 2" xfId="25158" xr:uid="{00000000-0005-0000-0000-00004B620000}"/>
    <cellStyle name="Normal 178 59" xfId="25159" xr:uid="{00000000-0005-0000-0000-00004C620000}"/>
    <cellStyle name="Normal 178 59 2" xfId="25160" xr:uid="{00000000-0005-0000-0000-00004D620000}"/>
    <cellStyle name="Normal 178 6" xfId="25161" xr:uid="{00000000-0005-0000-0000-00004E620000}"/>
    <cellStyle name="Normal 178 6 2" xfId="25162" xr:uid="{00000000-0005-0000-0000-00004F620000}"/>
    <cellStyle name="Normal 178 60" xfId="25163" xr:uid="{00000000-0005-0000-0000-000050620000}"/>
    <cellStyle name="Normal 178 60 2" xfId="25164" xr:uid="{00000000-0005-0000-0000-000051620000}"/>
    <cellStyle name="Normal 178 61" xfId="25165" xr:uid="{00000000-0005-0000-0000-000052620000}"/>
    <cellStyle name="Normal 178 61 2" xfId="25166" xr:uid="{00000000-0005-0000-0000-000053620000}"/>
    <cellStyle name="Normal 178 62" xfId="25167" xr:uid="{00000000-0005-0000-0000-000054620000}"/>
    <cellStyle name="Normal 178 62 2" xfId="25168" xr:uid="{00000000-0005-0000-0000-000055620000}"/>
    <cellStyle name="Normal 178 62 3" xfId="25169" xr:uid="{00000000-0005-0000-0000-000056620000}"/>
    <cellStyle name="Normal 178 63" xfId="25170" xr:uid="{00000000-0005-0000-0000-000057620000}"/>
    <cellStyle name="Normal 178 7" xfId="25171" xr:uid="{00000000-0005-0000-0000-000058620000}"/>
    <cellStyle name="Normal 178 7 2" xfId="25172" xr:uid="{00000000-0005-0000-0000-000059620000}"/>
    <cellStyle name="Normal 178 8" xfId="25173" xr:uid="{00000000-0005-0000-0000-00005A620000}"/>
    <cellStyle name="Normal 178 8 2" xfId="25174" xr:uid="{00000000-0005-0000-0000-00005B620000}"/>
    <cellStyle name="Normal 178 9" xfId="25175" xr:uid="{00000000-0005-0000-0000-00005C620000}"/>
    <cellStyle name="Normal 178 9 2" xfId="25176" xr:uid="{00000000-0005-0000-0000-00005D620000}"/>
    <cellStyle name="Normal 179" xfId="25177" xr:uid="{00000000-0005-0000-0000-00005E620000}"/>
    <cellStyle name="Normal 179 2" xfId="25178" xr:uid="{00000000-0005-0000-0000-00005F620000}"/>
    <cellStyle name="Normal 18" xfId="25179" xr:uid="{00000000-0005-0000-0000-000060620000}"/>
    <cellStyle name="Normal 18 10" xfId="25180" xr:uid="{00000000-0005-0000-0000-000061620000}"/>
    <cellStyle name="Normal 18 10 2" xfId="25181" xr:uid="{00000000-0005-0000-0000-000062620000}"/>
    <cellStyle name="Normal 18 11" xfId="25182" xr:uid="{00000000-0005-0000-0000-000063620000}"/>
    <cellStyle name="Normal 18 11 2" xfId="25183" xr:uid="{00000000-0005-0000-0000-000064620000}"/>
    <cellStyle name="Normal 18 12" xfId="25184" xr:uid="{00000000-0005-0000-0000-000065620000}"/>
    <cellStyle name="Normal 18 12 2" xfId="25185" xr:uid="{00000000-0005-0000-0000-000066620000}"/>
    <cellStyle name="Normal 18 13" xfId="25186" xr:uid="{00000000-0005-0000-0000-000067620000}"/>
    <cellStyle name="Normal 18 13 2" xfId="25187" xr:uid="{00000000-0005-0000-0000-000068620000}"/>
    <cellStyle name="Normal 18 14" xfId="25188" xr:uid="{00000000-0005-0000-0000-000069620000}"/>
    <cellStyle name="Normal 18 14 2" xfId="25189" xr:uid="{00000000-0005-0000-0000-00006A620000}"/>
    <cellStyle name="Normal 18 15" xfId="25190" xr:uid="{00000000-0005-0000-0000-00006B620000}"/>
    <cellStyle name="Normal 18 15 2" xfId="25191" xr:uid="{00000000-0005-0000-0000-00006C620000}"/>
    <cellStyle name="Normal 18 16" xfId="25192" xr:uid="{00000000-0005-0000-0000-00006D620000}"/>
    <cellStyle name="Normal 18 16 2" xfId="25193" xr:uid="{00000000-0005-0000-0000-00006E620000}"/>
    <cellStyle name="Normal 18 17" xfId="25194" xr:uid="{00000000-0005-0000-0000-00006F620000}"/>
    <cellStyle name="Normal 18 17 2" xfId="25195" xr:uid="{00000000-0005-0000-0000-000070620000}"/>
    <cellStyle name="Normal 18 18" xfId="25196" xr:uid="{00000000-0005-0000-0000-000071620000}"/>
    <cellStyle name="Normal 18 18 2" xfId="25197" xr:uid="{00000000-0005-0000-0000-000072620000}"/>
    <cellStyle name="Normal 18 19" xfId="25198" xr:uid="{00000000-0005-0000-0000-000073620000}"/>
    <cellStyle name="Normal 18 19 2" xfId="25199" xr:uid="{00000000-0005-0000-0000-000074620000}"/>
    <cellStyle name="Normal 18 2" xfId="25200" xr:uid="{00000000-0005-0000-0000-000075620000}"/>
    <cellStyle name="Normal 18 2 2" xfId="25201" xr:uid="{00000000-0005-0000-0000-000076620000}"/>
    <cellStyle name="Normal 18 2 2 2" xfId="25202" xr:uid="{00000000-0005-0000-0000-000077620000}"/>
    <cellStyle name="Normal 18 2 2 2 2" xfId="25203" xr:uid="{00000000-0005-0000-0000-000078620000}"/>
    <cellStyle name="Normal 18 2 2 2 2 2" xfId="25204" xr:uid="{00000000-0005-0000-0000-000079620000}"/>
    <cellStyle name="Normal 18 2 2 2 3" xfId="25205" xr:uid="{00000000-0005-0000-0000-00007A620000}"/>
    <cellStyle name="Normal 18 2 2 2 4" xfId="25206" xr:uid="{00000000-0005-0000-0000-00007B620000}"/>
    <cellStyle name="Normal 18 2 2 3" xfId="25207" xr:uid="{00000000-0005-0000-0000-00007C620000}"/>
    <cellStyle name="Normal 18 2 2 3 2" xfId="25208" xr:uid="{00000000-0005-0000-0000-00007D620000}"/>
    <cellStyle name="Normal 18 2 2 4" xfId="25209" xr:uid="{00000000-0005-0000-0000-00007E620000}"/>
    <cellStyle name="Normal 18 2 2 5" xfId="25210" xr:uid="{00000000-0005-0000-0000-00007F620000}"/>
    <cellStyle name="Normal 18 2 3" xfId="25211" xr:uid="{00000000-0005-0000-0000-000080620000}"/>
    <cellStyle name="Normal 18 2 3 2" xfId="25212" xr:uid="{00000000-0005-0000-0000-000081620000}"/>
    <cellStyle name="Normal 18 2 3 2 2" xfId="25213" xr:uid="{00000000-0005-0000-0000-000082620000}"/>
    <cellStyle name="Normal 18 2 3 3" xfId="25214" xr:uid="{00000000-0005-0000-0000-000083620000}"/>
    <cellStyle name="Normal 18 2 3 3 2" xfId="25215" xr:uid="{00000000-0005-0000-0000-000084620000}"/>
    <cellStyle name="Normal 18 2 3 4" xfId="25216" xr:uid="{00000000-0005-0000-0000-000085620000}"/>
    <cellStyle name="Normal 18 2 3 5" xfId="25217" xr:uid="{00000000-0005-0000-0000-000086620000}"/>
    <cellStyle name="Normal 18 2 4" xfId="25218" xr:uid="{00000000-0005-0000-0000-000087620000}"/>
    <cellStyle name="Normal 18 2 4 2" xfId="25219" xr:uid="{00000000-0005-0000-0000-000088620000}"/>
    <cellStyle name="Normal 18 2 5" xfId="25220" xr:uid="{00000000-0005-0000-0000-000089620000}"/>
    <cellStyle name="Normal 18 2 5 2" xfId="25221" xr:uid="{00000000-0005-0000-0000-00008A620000}"/>
    <cellStyle name="Normal 18 2 6" xfId="25222" xr:uid="{00000000-0005-0000-0000-00008B620000}"/>
    <cellStyle name="Normal 18 2 7" xfId="25223" xr:uid="{00000000-0005-0000-0000-00008C620000}"/>
    <cellStyle name="Normal 18 20" xfId="25224" xr:uid="{00000000-0005-0000-0000-00008D620000}"/>
    <cellStyle name="Normal 18 20 2" xfId="25225" xr:uid="{00000000-0005-0000-0000-00008E620000}"/>
    <cellStyle name="Normal 18 21" xfId="25226" xr:uid="{00000000-0005-0000-0000-00008F620000}"/>
    <cellStyle name="Normal 18 21 2" xfId="25227" xr:uid="{00000000-0005-0000-0000-000090620000}"/>
    <cellStyle name="Normal 18 22" xfId="25228" xr:uid="{00000000-0005-0000-0000-000091620000}"/>
    <cellStyle name="Normal 18 22 2" xfId="25229" xr:uid="{00000000-0005-0000-0000-000092620000}"/>
    <cellStyle name="Normal 18 23" xfId="25230" xr:uid="{00000000-0005-0000-0000-000093620000}"/>
    <cellStyle name="Normal 18 23 2" xfId="25231" xr:uid="{00000000-0005-0000-0000-000094620000}"/>
    <cellStyle name="Normal 18 24" xfId="25232" xr:uid="{00000000-0005-0000-0000-000095620000}"/>
    <cellStyle name="Normal 18 24 2" xfId="25233" xr:uid="{00000000-0005-0000-0000-000096620000}"/>
    <cellStyle name="Normal 18 25" xfId="25234" xr:uid="{00000000-0005-0000-0000-000097620000}"/>
    <cellStyle name="Normal 18 25 2" xfId="25235" xr:uid="{00000000-0005-0000-0000-000098620000}"/>
    <cellStyle name="Normal 18 26" xfId="25236" xr:uid="{00000000-0005-0000-0000-000099620000}"/>
    <cellStyle name="Normal 18 26 2" xfId="25237" xr:uid="{00000000-0005-0000-0000-00009A620000}"/>
    <cellStyle name="Normal 18 27" xfId="25238" xr:uid="{00000000-0005-0000-0000-00009B620000}"/>
    <cellStyle name="Normal 18 27 2" xfId="25239" xr:uid="{00000000-0005-0000-0000-00009C620000}"/>
    <cellStyle name="Normal 18 28" xfId="25240" xr:uid="{00000000-0005-0000-0000-00009D620000}"/>
    <cellStyle name="Normal 18 28 2" xfId="25241" xr:uid="{00000000-0005-0000-0000-00009E620000}"/>
    <cellStyle name="Normal 18 29" xfId="25242" xr:uid="{00000000-0005-0000-0000-00009F620000}"/>
    <cellStyle name="Normal 18 29 2" xfId="25243" xr:uid="{00000000-0005-0000-0000-0000A0620000}"/>
    <cellStyle name="Normal 18 3" xfId="25244" xr:uid="{00000000-0005-0000-0000-0000A1620000}"/>
    <cellStyle name="Normal 18 3 2" xfId="25245" xr:uid="{00000000-0005-0000-0000-0000A2620000}"/>
    <cellStyle name="Normal 18 3 2 2" xfId="25246" xr:uid="{00000000-0005-0000-0000-0000A3620000}"/>
    <cellStyle name="Normal 18 3 2 2 2" xfId="25247" xr:uid="{00000000-0005-0000-0000-0000A4620000}"/>
    <cellStyle name="Normal 18 3 2 3" xfId="25248" xr:uid="{00000000-0005-0000-0000-0000A5620000}"/>
    <cellStyle name="Normal 18 3 2 4" xfId="25249" xr:uid="{00000000-0005-0000-0000-0000A6620000}"/>
    <cellStyle name="Normal 18 3 3" xfId="25250" xr:uid="{00000000-0005-0000-0000-0000A7620000}"/>
    <cellStyle name="Normal 18 3 3 2" xfId="25251" xr:uid="{00000000-0005-0000-0000-0000A8620000}"/>
    <cellStyle name="Normal 18 3 4" xfId="25252" xr:uid="{00000000-0005-0000-0000-0000A9620000}"/>
    <cellStyle name="Normal 18 3 5" xfId="25253" xr:uid="{00000000-0005-0000-0000-0000AA620000}"/>
    <cellStyle name="Normal 18 30" xfId="25254" xr:uid="{00000000-0005-0000-0000-0000AB620000}"/>
    <cellStyle name="Normal 18 30 2" xfId="25255" xr:uid="{00000000-0005-0000-0000-0000AC620000}"/>
    <cellStyle name="Normal 18 31" xfId="25256" xr:uid="{00000000-0005-0000-0000-0000AD620000}"/>
    <cellStyle name="Normal 18 31 2" xfId="25257" xr:uid="{00000000-0005-0000-0000-0000AE620000}"/>
    <cellStyle name="Normal 18 32" xfId="25258" xr:uid="{00000000-0005-0000-0000-0000AF620000}"/>
    <cellStyle name="Normal 18 32 2" xfId="25259" xr:uid="{00000000-0005-0000-0000-0000B0620000}"/>
    <cellStyle name="Normal 18 33" xfId="25260" xr:uid="{00000000-0005-0000-0000-0000B1620000}"/>
    <cellStyle name="Normal 18 33 2" xfId="25261" xr:uid="{00000000-0005-0000-0000-0000B2620000}"/>
    <cellStyle name="Normal 18 34" xfId="25262" xr:uid="{00000000-0005-0000-0000-0000B3620000}"/>
    <cellStyle name="Normal 18 34 2" xfId="25263" xr:uid="{00000000-0005-0000-0000-0000B4620000}"/>
    <cellStyle name="Normal 18 35" xfId="25264" xr:uid="{00000000-0005-0000-0000-0000B5620000}"/>
    <cellStyle name="Normal 18 35 2" xfId="25265" xr:uid="{00000000-0005-0000-0000-0000B6620000}"/>
    <cellStyle name="Normal 18 36" xfId="25266" xr:uid="{00000000-0005-0000-0000-0000B7620000}"/>
    <cellStyle name="Normal 18 36 2" xfId="25267" xr:uid="{00000000-0005-0000-0000-0000B8620000}"/>
    <cellStyle name="Normal 18 37" xfId="25268" xr:uid="{00000000-0005-0000-0000-0000B9620000}"/>
    <cellStyle name="Normal 18 37 2" xfId="25269" xr:uid="{00000000-0005-0000-0000-0000BA620000}"/>
    <cellStyle name="Normal 18 38" xfId="25270" xr:uid="{00000000-0005-0000-0000-0000BB620000}"/>
    <cellStyle name="Normal 18 38 2" xfId="25271" xr:uid="{00000000-0005-0000-0000-0000BC620000}"/>
    <cellStyle name="Normal 18 39" xfId="25272" xr:uid="{00000000-0005-0000-0000-0000BD620000}"/>
    <cellStyle name="Normal 18 39 2" xfId="25273" xr:uid="{00000000-0005-0000-0000-0000BE620000}"/>
    <cellStyle name="Normal 18 4" xfId="25274" xr:uid="{00000000-0005-0000-0000-0000BF620000}"/>
    <cellStyle name="Normal 18 4 2" xfId="25275" xr:uid="{00000000-0005-0000-0000-0000C0620000}"/>
    <cellStyle name="Normal 18 4 2 2" xfId="25276" xr:uid="{00000000-0005-0000-0000-0000C1620000}"/>
    <cellStyle name="Normal 18 4 3" xfId="25277" xr:uid="{00000000-0005-0000-0000-0000C2620000}"/>
    <cellStyle name="Normal 18 4 3 2" xfId="25278" xr:uid="{00000000-0005-0000-0000-0000C3620000}"/>
    <cellStyle name="Normal 18 4 4" xfId="25279" xr:uid="{00000000-0005-0000-0000-0000C4620000}"/>
    <cellStyle name="Normal 18 4 5" xfId="25280" xr:uid="{00000000-0005-0000-0000-0000C5620000}"/>
    <cellStyle name="Normal 18 40" xfId="25281" xr:uid="{00000000-0005-0000-0000-0000C6620000}"/>
    <cellStyle name="Normal 18 40 2" xfId="25282" xr:uid="{00000000-0005-0000-0000-0000C7620000}"/>
    <cellStyle name="Normal 18 41" xfId="25283" xr:uid="{00000000-0005-0000-0000-0000C8620000}"/>
    <cellStyle name="Normal 18 41 2" xfId="25284" xr:uid="{00000000-0005-0000-0000-0000C9620000}"/>
    <cellStyle name="Normal 18 42" xfId="25285" xr:uid="{00000000-0005-0000-0000-0000CA620000}"/>
    <cellStyle name="Normal 18 42 2" xfId="25286" xr:uid="{00000000-0005-0000-0000-0000CB620000}"/>
    <cellStyle name="Normal 18 43" xfId="25287" xr:uid="{00000000-0005-0000-0000-0000CC620000}"/>
    <cellStyle name="Normal 18 43 2" xfId="25288" xr:uid="{00000000-0005-0000-0000-0000CD620000}"/>
    <cellStyle name="Normal 18 44" xfId="25289" xr:uid="{00000000-0005-0000-0000-0000CE620000}"/>
    <cellStyle name="Normal 18 44 2" xfId="25290" xr:uid="{00000000-0005-0000-0000-0000CF620000}"/>
    <cellStyle name="Normal 18 45" xfId="25291" xr:uid="{00000000-0005-0000-0000-0000D0620000}"/>
    <cellStyle name="Normal 18 45 2" xfId="25292" xr:uid="{00000000-0005-0000-0000-0000D1620000}"/>
    <cellStyle name="Normal 18 46" xfId="25293" xr:uid="{00000000-0005-0000-0000-0000D2620000}"/>
    <cellStyle name="Normal 18 46 2" xfId="25294" xr:uid="{00000000-0005-0000-0000-0000D3620000}"/>
    <cellStyle name="Normal 18 47" xfId="25295" xr:uid="{00000000-0005-0000-0000-0000D4620000}"/>
    <cellStyle name="Normal 18 47 2" xfId="25296" xr:uid="{00000000-0005-0000-0000-0000D5620000}"/>
    <cellStyle name="Normal 18 48" xfId="25297" xr:uid="{00000000-0005-0000-0000-0000D6620000}"/>
    <cellStyle name="Normal 18 48 2" xfId="25298" xr:uid="{00000000-0005-0000-0000-0000D7620000}"/>
    <cellStyle name="Normal 18 49" xfId="25299" xr:uid="{00000000-0005-0000-0000-0000D8620000}"/>
    <cellStyle name="Normal 18 49 2" xfId="25300" xr:uid="{00000000-0005-0000-0000-0000D9620000}"/>
    <cellStyle name="Normal 18 5" xfId="25301" xr:uid="{00000000-0005-0000-0000-0000DA620000}"/>
    <cellStyle name="Normal 18 5 2" xfId="25302" xr:uid="{00000000-0005-0000-0000-0000DB620000}"/>
    <cellStyle name="Normal 18 50" xfId="25303" xr:uid="{00000000-0005-0000-0000-0000DC620000}"/>
    <cellStyle name="Normal 18 50 2" xfId="25304" xr:uid="{00000000-0005-0000-0000-0000DD620000}"/>
    <cellStyle name="Normal 18 51" xfId="25305" xr:uid="{00000000-0005-0000-0000-0000DE620000}"/>
    <cellStyle name="Normal 18 51 2" xfId="25306" xr:uid="{00000000-0005-0000-0000-0000DF620000}"/>
    <cellStyle name="Normal 18 52" xfId="25307" xr:uid="{00000000-0005-0000-0000-0000E0620000}"/>
    <cellStyle name="Normal 18 52 2" xfId="25308" xr:uid="{00000000-0005-0000-0000-0000E1620000}"/>
    <cellStyle name="Normal 18 53" xfId="25309" xr:uid="{00000000-0005-0000-0000-0000E2620000}"/>
    <cellStyle name="Normal 18 53 2" xfId="25310" xr:uid="{00000000-0005-0000-0000-0000E3620000}"/>
    <cellStyle name="Normal 18 54" xfId="25311" xr:uid="{00000000-0005-0000-0000-0000E4620000}"/>
    <cellStyle name="Normal 18 54 2" xfId="25312" xr:uid="{00000000-0005-0000-0000-0000E5620000}"/>
    <cellStyle name="Normal 18 55" xfId="25313" xr:uid="{00000000-0005-0000-0000-0000E6620000}"/>
    <cellStyle name="Normal 18 55 2" xfId="25314" xr:uid="{00000000-0005-0000-0000-0000E7620000}"/>
    <cellStyle name="Normal 18 56" xfId="25315" xr:uid="{00000000-0005-0000-0000-0000E8620000}"/>
    <cellStyle name="Normal 18 56 2" xfId="25316" xr:uid="{00000000-0005-0000-0000-0000E9620000}"/>
    <cellStyle name="Normal 18 57" xfId="25317" xr:uid="{00000000-0005-0000-0000-0000EA620000}"/>
    <cellStyle name="Normal 18 57 2" xfId="25318" xr:uid="{00000000-0005-0000-0000-0000EB620000}"/>
    <cellStyle name="Normal 18 58" xfId="25319" xr:uid="{00000000-0005-0000-0000-0000EC620000}"/>
    <cellStyle name="Normal 18 58 2" xfId="25320" xr:uid="{00000000-0005-0000-0000-0000ED620000}"/>
    <cellStyle name="Normal 18 59" xfId="25321" xr:uid="{00000000-0005-0000-0000-0000EE620000}"/>
    <cellStyle name="Normal 18 6" xfId="25322" xr:uid="{00000000-0005-0000-0000-0000EF620000}"/>
    <cellStyle name="Normal 18 6 2" xfId="25323" xr:uid="{00000000-0005-0000-0000-0000F0620000}"/>
    <cellStyle name="Normal 18 7" xfId="25324" xr:uid="{00000000-0005-0000-0000-0000F1620000}"/>
    <cellStyle name="Normal 18 7 2" xfId="25325" xr:uid="{00000000-0005-0000-0000-0000F2620000}"/>
    <cellStyle name="Normal 18 8" xfId="25326" xr:uid="{00000000-0005-0000-0000-0000F3620000}"/>
    <cellStyle name="Normal 18 8 2" xfId="25327" xr:uid="{00000000-0005-0000-0000-0000F4620000}"/>
    <cellStyle name="Normal 18 9" xfId="25328" xr:uid="{00000000-0005-0000-0000-0000F5620000}"/>
    <cellStyle name="Normal 18 9 2" xfId="25329" xr:uid="{00000000-0005-0000-0000-0000F6620000}"/>
    <cellStyle name="Normal 18 9 3" xfId="62543" xr:uid="{00000000-0005-0000-0000-0000F7620000}"/>
    <cellStyle name="Normal 180" xfId="25330" xr:uid="{00000000-0005-0000-0000-0000F8620000}"/>
    <cellStyle name="Normal 180 2" xfId="25331" xr:uid="{00000000-0005-0000-0000-0000F9620000}"/>
    <cellStyle name="Normal 181" xfId="25332" xr:uid="{00000000-0005-0000-0000-0000FA620000}"/>
    <cellStyle name="Normal 181 10" xfId="25333" xr:uid="{00000000-0005-0000-0000-0000FB620000}"/>
    <cellStyle name="Normal 181 10 2" xfId="25334" xr:uid="{00000000-0005-0000-0000-0000FC620000}"/>
    <cellStyle name="Normal 181 11" xfId="25335" xr:uid="{00000000-0005-0000-0000-0000FD620000}"/>
    <cellStyle name="Normal 181 11 2" xfId="25336" xr:uid="{00000000-0005-0000-0000-0000FE620000}"/>
    <cellStyle name="Normal 181 12" xfId="25337" xr:uid="{00000000-0005-0000-0000-0000FF620000}"/>
    <cellStyle name="Normal 181 12 2" xfId="25338" xr:uid="{00000000-0005-0000-0000-000000630000}"/>
    <cellStyle name="Normal 181 13" xfId="25339" xr:uid="{00000000-0005-0000-0000-000001630000}"/>
    <cellStyle name="Normal 181 13 2" xfId="25340" xr:uid="{00000000-0005-0000-0000-000002630000}"/>
    <cellStyle name="Normal 181 14" xfId="25341" xr:uid="{00000000-0005-0000-0000-000003630000}"/>
    <cellStyle name="Normal 181 14 2" xfId="25342" xr:uid="{00000000-0005-0000-0000-000004630000}"/>
    <cellStyle name="Normal 181 15" xfId="25343" xr:uid="{00000000-0005-0000-0000-000005630000}"/>
    <cellStyle name="Normal 181 15 2" xfId="25344" xr:uid="{00000000-0005-0000-0000-000006630000}"/>
    <cellStyle name="Normal 181 16" xfId="25345" xr:uid="{00000000-0005-0000-0000-000007630000}"/>
    <cellStyle name="Normal 181 16 2" xfId="25346" xr:uid="{00000000-0005-0000-0000-000008630000}"/>
    <cellStyle name="Normal 181 17" xfId="25347" xr:uid="{00000000-0005-0000-0000-000009630000}"/>
    <cellStyle name="Normal 181 17 2" xfId="25348" xr:uid="{00000000-0005-0000-0000-00000A630000}"/>
    <cellStyle name="Normal 181 18" xfId="25349" xr:uid="{00000000-0005-0000-0000-00000B630000}"/>
    <cellStyle name="Normal 181 18 2" xfId="25350" xr:uid="{00000000-0005-0000-0000-00000C630000}"/>
    <cellStyle name="Normal 181 19" xfId="25351" xr:uid="{00000000-0005-0000-0000-00000D630000}"/>
    <cellStyle name="Normal 181 19 2" xfId="25352" xr:uid="{00000000-0005-0000-0000-00000E630000}"/>
    <cellStyle name="Normal 181 2" xfId="25353" xr:uid="{00000000-0005-0000-0000-00000F630000}"/>
    <cellStyle name="Normal 181 2 2" xfId="25354" xr:uid="{00000000-0005-0000-0000-000010630000}"/>
    <cellStyle name="Normal 181 20" xfId="25355" xr:uid="{00000000-0005-0000-0000-000011630000}"/>
    <cellStyle name="Normal 181 20 2" xfId="25356" xr:uid="{00000000-0005-0000-0000-000012630000}"/>
    <cellStyle name="Normal 181 21" xfId="25357" xr:uid="{00000000-0005-0000-0000-000013630000}"/>
    <cellStyle name="Normal 181 21 2" xfId="25358" xr:uid="{00000000-0005-0000-0000-000014630000}"/>
    <cellStyle name="Normal 181 22" xfId="25359" xr:uid="{00000000-0005-0000-0000-000015630000}"/>
    <cellStyle name="Normal 181 22 2" xfId="25360" xr:uid="{00000000-0005-0000-0000-000016630000}"/>
    <cellStyle name="Normal 181 23" xfId="25361" xr:uid="{00000000-0005-0000-0000-000017630000}"/>
    <cellStyle name="Normal 181 23 2" xfId="25362" xr:uid="{00000000-0005-0000-0000-000018630000}"/>
    <cellStyle name="Normal 181 24" xfId="25363" xr:uid="{00000000-0005-0000-0000-000019630000}"/>
    <cellStyle name="Normal 181 24 2" xfId="25364" xr:uid="{00000000-0005-0000-0000-00001A630000}"/>
    <cellStyle name="Normal 181 25" xfId="25365" xr:uid="{00000000-0005-0000-0000-00001B630000}"/>
    <cellStyle name="Normal 181 25 2" xfId="25366" xr:uid="{00000000-0005-0000-0000-00001C630000}"/>
    <cellStyle name="Normal 181 26" xfId="25367" xr:uid="{00000000-0005-0000-0000-00001D630000}"/>
    <cellStyle name="Normal 181 26 2" xfId="25368" xr:uid="{00000000-0005-0000-0000-00001E630000}"/>
    <cellStyle name="Normal 181 27" xfId="25369" xr:uid="{00000000-0005-0000-0000-00001F630000}"/>
    <cellStyle name="Normal 181 27 2" xfId="25370" xr:uid="{00000000-0005-0000-0000-000020630000}"/>
    <cellStyle name="Normal 181 28" xfId="25371" xr:uid="{00000000-0005-0000-0000-000021630000}"/>
    <cellStyle name="Normal 181 28 2" xfId="25372" xr:uid="{00000000-0005-0000-0000-000022630000}"/>
    <cellStyle name="Normal 181 29" xfId="25373" xr:uid="{00000000-0005-0000-0000-000023630000}"/>
    <cellStyle name="Normal 181 29 2" xfId="25374" xr:uid="{00000000-0005-0000-0000-000024630000}"/>
    <cellStyle name="Normal 181 3" xfId="25375" xr:uid="{00000000-0005-0000-0000-000025630000}"/>
    <cellStyle name="Normal 181 3 2" xfId="25376" xr:uid="{00000000-0005-0000-0000-000026630000}"/>
    <cellStyle name="Normal 181 30" xfId="25377" xr:uid="{00000000-0005-0000-0000-000027630000}"/>
    <cellStyle name="Normal 181 30 2" xfId="25378" xr:uid="{00000000-0005-0000-0000-000028630000}"/>
    <cellStyle name="Normal 181 31" xfId="25379" xr:uid="{00000000-0005-0000-0000-000029630000}"/>
    <cellStyle name="Normal 181 31 2" xfId="25380" xr:uid="{00000000-0005-0000-0000-00002A630000}"/>
    <cellStyle name="Normal 181 32" xfId="25381" xr:uid="{00000000-0005-0000-0000-00002B630000}"/>
    <cellStyle name="Normal 181 32 2" xfId="25382" xr:uid="{00000000-0005-0000-0000-00002C630000}"/>
    <cellStyle name="Normal 181 33" xfId="25383" xr:uid="{00000000-0005-0000-0000-00002D630000}"/>
    <cellStyle name="Normal 181 33 2" xfId="25384" xr:uid="{00000000-0005-0000-0000-00002E630000}"/>
    <cellStyle name="Normal 181 34" xfId="25385" xr:uid="{00000000-0005-0000-0000-00002F630000}"/>
    <cellStyle name="Normal 181 34 2" xfId="25386" xr:uid="{00000000-0005-0000-0000-000030630000}"/>
    <cellStyle name="Normal 181 35" xfId="25387" xr:uid="{00000000-0005-0000-0000-000031630000}"/>
    <cellStyle name="Normal 181 35 2" xfId="25388" xr:uid="{00000000-0005-0000-0000-000032630000}"/>
    <cellStyle name="Normal 181 36" xfId="25389" xr:uid="{00000000-0005-0000-0000-000033630000}"/>
    <cellStyle name="Normal 181 36 2" xfId="25390" xr:uid="{00000000-0005-0000-0000-000034630000}"/>
    <cellStyle name="Normal 181 37" xfId="25391" xr:uid="{00000000-0005-0000-0000-000035630000}"/>
    <cellStyle name="Normal 181 37 2" xfId="25392" xr:uid="{00000000-0005-0000-0000-000036630000}"/>
    <cellStyle name="Normal 181 38" xfId="25393" xr:uid="{00000000-0005-0000-0000-000037630000}"/>
    <cellStyle name="Normal 181 38 2" xfId="25394" xr:uid="{00000000-0005-0000-0000-000038630000}"/>
    <cellStyle name="Normal 181 39" xfId="25395" xr:uid="{00000000-0005-0000-0000-000039630000}"/>
    <cellStyle name="Normal 181 39 2" xfId="25396" xr:uid="{00000000-0005-0000-0000-00003A630000}"/>
    <cellStyle name="Normal 181 4" xfId="25397" xr:uid="{00000000-0005-0000-0000-00003B630000}"/>
    <cellStyle name="Normal 181 4 2" xfId="25398" xr:uid="{00000000-0005-0000-0000-00003C630000}"/>
    <cellStyle name="Normal 181 40" xfId="25399" xr:uid="{00000000-0005-0000-0000-00003D630000}"/>
    <cellStyle name="Normal 181 40 2" xfId="25400" xr:uid="{00000000-0005-0000-0000-00003E630000}"/>
    <cellStyle name="Normal 181 41" xfId="25401" xr:uid="{00000000-0005-0000-0000-00003F630000}"/>
    <cellStyle name="Normal 181 41 2" xfId="25402" xr:uid="{00000000-0005-0000-0000-000040630000}"/>
    <cellStyle name="Normal 181 42" xfId="25403" xr:uid="{00000000-0005-0000-0000-000041630000}"/>
    <cellStyle name="Normal 181 42 2" xfId="25404" xr:uid="{00000000-0005-0000-0000-000042630000}"/>
    <cellStyle name="Normal 181 43" xfId="25405" xr:uid="{00000000-0005-0000-0000-000043630000}"/>
    <cellStyle name="Normal 181 43 2" xfId="25406" xr:uid="{00000000-0005-0000-0000-000044630000}"/>
    <cellStyle name="Normal 181 44" xfId="25407" xr:uid="{00000000-0005-0000-0000-000045630000}"/>
    <cellStyle name="Normal 181 44 2" xfId="25408" xr:uid="{00000000-0005-0000-0000-000046630000}"/>
    <cellStyle name="Normal 181 45" xfId="25409" xr:uid="{00000000-0005-0000-0000-000047630000}"/>
    <cellStyle name="Normal 181 45 2" xfId="25410" xr:uid="{00000000-0005-0000-0000-000048630000}"/>
    <cellStyle name="Normal 181 46" xfId="25411" xr:uid="{00000000-0005-0000-0000-000049630000}"/>
    <cellStyle name="Normal 181 46 2" xfId="25412" xr:uid="{00000000-0005-0000-0000-00004A630000}"/>
    <cellStyle name="Normal 181 47" xfId="25413" xr:uid="{00000000-0005-0000-0000-00004B630000}"/>
    <cellStyle name="Normal 181 47 2" xfId="25414" xr:uid="{00000000-0005-0000-0000-00004C630000}"/>
    <cellStyle name="Normal 181 48" xfId="25415" xr:uid="{00000000-0005-0000-0000-00004D630000}"/>
    <cellStyle name="Normal 181 48 2" xfId="25416" xr:uid="{00000000-0005-0000-0000-00004E630000}"/>
    <cellStyle name="Normal 181 49" xfId="25417" xr:uid="{00000000-0005-0000-0000-00004F630000}"/>
    <cellStyle name="Normal 181 49 2" xfId="25418" xr:uid="{00000000-0005-0000-0000-000050630000}"/>
    <cellStyle name="Normal 181 5" xfId="25419" xr:uid="{00000000-0005-0000-0000-000051630000}"/>
    <cellStyle name="Normal 181 5 2" xfId="25420" xr:uid="{00000000-0005-0000-0000-000052630000}"/>
    <cellStyle name="Normal 181 50" xfId="25421" xr:uid="{00000000-0005-0000-0000-000053630000}"/>
    <cellStyle name="Normal 181 50 2" xfId="25422" xr:uid="{00000000-0005-0000-0000-000054630000}"/>
    <cellStyle name="Normal 181 51" xfId="25423" xr:uid="{00000000-0005-0000-0000-000055630000}"/>
    <cellStyle name="Normal 181 51 2" xfId="25424" xr:uid="{00000000-0005-0000-0000-000056630000}"/>
    <cellStyle name="Normal 181 52" xfId="25425" xr:uid="{00000000-0005-0000-0000-000057630000}"/>
    <cellStyle name="Normal 181 52 2" xfId="25426" xr:uid="{00000000-0005-0000-0000-000058630000}"/>
    <cellStyle name="Normal 181 53" xfId="25427" xr:uid="{00000000-0005-0000-0000-000059630000}"/>
    <cellStyle name="Normal 181 53 2" xfId="25428" xr:uid="{00000000-0005-0000-0000-00005A630000}"/>
    <cellStyle name="Normal 181 54" xfId="25429" xr:uid="{00000000-0005-0000-0000-00005B630000}"/>
    <cellStyle name="Normal 181 54 2" xfId="25430" xr:uid="{00000000-0005-0000-0000-00005C630000}"/>
    <cellStyle name="Normal 181 55" xfId="25431" xr:uid="{00000000-0005-0000-0000-00005D630000}"/>
    <cellStyle name="Normal 181 55 2" xfId="25432" xr:uid="{00000000-0005-0000-0000-00005E630000}"/>
    <cellStyle name="Normal 181 56" xfId="25433" xr:uid="{00000000-0005-0000-0000-00005F630000}"/>
    <cellStyle name="Normal 181 56 2" xfId="25434" xr:uid="{00000000-0005-0000-0000-000060630000}"/>
    <cellStyle name="Normal 181 57" xfId="25435" xr:uid="{00000000-0005-0000-0000-000061630000}"/>
    <cellStyle name="Normal 181 57 2" xfId="25436" xr:uid="{00000000-0005-0000-0000-000062630000}"/>
    <cellStyle name="Normal 181 58" xfId="25437" xr:uid="{00000000-0005-0000-0000-000063630000}"/>
    <cellStyle name="Normal 181 58 2" xfId="25438" xr:uid="{00000000-0005-0000-0000-000064630000}"/>
    <cellStyle name="Normal 181 59" xfId="25439" xr:uid="{00000000-0005-0000-0000-000065630000}"/>
    <cellStyle name="Normal 181 59 2" xfId="25440" xr:uid="{00000000-0005-0000-0000-000066630000}"/>
    <cellStyle name="Normal 181 6" xfId="25441" xr:uid="{00000000-0005-0000-0000-000067630000}"/>
    <cellStyle name="Normal 181 6 2" xfId="25442" xr:uid="{00000000-0005-0000-0000-000068630000}"/>
    <cellStyle name="Normal 181 60" xfId="25443" xr:uid="{00000000-0005-0000-0000-000069630000}"/>
    <cellStyle name="Normal 181 60 2" xfId="25444" xr:uid="{00000000-0005-0000-0000-00006A630000}"/>
    <cellStyle name="Normal 181 61" xfId="25445" xr:uid="{00000000-0005-0000-0000-00006B630000}"/>
    <cellStyle name="Normal 181 61 2" xfId="25446" xr:uid="{00000000-0005-0000-0000-00006C630000}"/>
    <cellStyle name="Normal 181 62" xfId="25447" xr:uid="{00000000-0005-0000-0000-00006D630000}"/>
    <cellStyle name="Normal 181 62 2" xfId="25448" xr:uid="{00000000-0005-0000-0000-00006E630000}"/>
    <cellStyle name="Normal 181 62 3" xfId="25449" xr:uid="{00000000-0005-0000-0000-00006F630000}"/>
    <cellStyle name="Normal 181 63" xfId="25450" xr:uid="{00000000-0005-0000-0000-000070630000}"/>
    <cellStyle name="Normal 181 7" xfId="25451" xr:uid="{00000000-0005-0000-0000-000071630000}"/>
    <cellStyle name="Normal 181 7 2" xfId="25452" xr:uid="{00000000-0005-0000-0000-000072630000}"/>
    <cellStyle name="Normal 181 8" xfId="25453" xr:uid="{00000000-0005-0000-0000-000073630000}"/>
    <cellStyle name="Normal 181 8 2" xfId="25454" xr:uid="{00000000-0005-0000-0000-000074630000}"/>
    <cellStyle name="Normal 181 9" xfId="25455" xr:uid="{00000000-0005-0000-0000-000075630000}"/>
    <cellStyle name="Normal 181 9 2" xfId="25456" xr:uid="{00000000-0005-0000-0000-000076630000}"/>
    <cellStyle name="Normal 182" xfId="25457" xr:uid="{00000000-0005-0000-0000-000077630000}"/>
    <cellStyle name="Normal 182 10" xfId="25458" xr:uid="{00000000-0005-0000-0000-000078630000}"/>
    <cellStyle name="Normal 182 10 2" xfId="25459" xr:uid="{00000000-0005-0000-0000-000079630000}"/>
    <cellStyle name="Normal 182 11" xfId="25460" xr:uid="{00000000-0005-0000-0000-00007A630000}"/>
    <cellStyle name="Normal 182 11 2" xfId="25461" xr:uid="{00000000-0005-0000-0000-00007B630000}"/>
    <cellStyle name="Normal 182 12" xfId="25462" xr:uid="{00000000-0005-0000-0000-00007C630000}"/>
    <cellStyle name="Normal 182 12 2" xfId="25463" xr:uid="{00000000-0005-0000-0000-00007D630000}"/>
    <cellStyle name="Normal 182 13" xfId="25464" xr:uid="{00000000-0005-0000-0000-00007E630000}"/>
    <cellStyle name="Normal 182 13 2" xfId="25465" xr:uid="{00000000-0005-0000-0000-00007F630000}"/>
    <cellStyle name="Normal 182 14" xfId="25466" xr:uid="{00000000-0005-0000-0000-000080630000}"/>
    <cellStyle name="Normal 182 14 2" xfId="25467" xr:uid="{00000000-0005-0000-0000-000081630000}"/>
    <cellStyle name="Normal 182 15" xfId="25468" xr:uid="{00000000-0005-0000-0000-000082630000}"/>
    <cellStyle name="Normal 182 15 2" xfId="25469" xr:uid="{00000000-0005-0000-0000-000083630000}"/>
    <cellStyle name="Normal 182 16" xfId="25470" xr:uid="{00000000-0005-0000-0000-000084630000}"/>
    <cellStyle name="Normal 182 16 2" xfId="25471" xr:uid="{00000000-0005-0000-0000-000085630000}"/>
    <cellStyle name="Normal 182 17" xfId="25472" xr:uid="{00000000-0005-0000-0000-000086630000}"/>
    <cellStyle name="Normal 182 17 2" xfId="25473" xr:uid="{00000000-0005-0000-0000-000087630000}"/>
    <cellStyle name="Normal 182 18" xfId="25474" xr:uid="{00000000-0005-0000-0000-000088630000}"/>
    <cellStyle name="Normal 182 18 2" xfId="25475" xr:uid="{00000000-0005-0000-0000-000089630000}"/>
    <cellStyle name="Normal 182 19" xfId="25476" xr:uid="{00000000-0005-0000-0000-00008A630000}"/>
    <cellStyle name="Normal 182 19 2" xfId="25477" xr:uid="{00000000-0005-0000-0000-00008B630000}"/>
    <cellStyle name="Normal 182 2" xfId="25478" xr:uid="{00000000-0005-0000-0000-00008C630000}"/>
    <cellStyle name="Normal 182 2 2" xfId="25479" xr:uid="{00000000-0005-0000-0000-00008D630000}"/>
    <cellStyle name="Normal 182 20" xfId="25480" xr:uid="{00000000-0005-0000-0000-00008E630000}"/>
    <cellStyle name="Normal 182 20 2" xfId="25481" xr:uid="{00000000-0005-0000-0000-00008F630000}"/>
    <cellStyle name="Normal 182 21" xfId="25482" xr:uid="{00000000-0005-0000-0000-000090630000}"/>
    <cellStyle name="Normal 182 21 2" xfId="25483" xr:uid="{00000000-0005-0000-0000-000091630000}"/>
    <cellStyle name="Normal 182 22" xfId="25484" xr:uid="{00000000-0005-0000-0000-000092630000}"/>
    <cellStyle name="Normal 182 22 2" xfId="25485" xr:uid="{00000000-0005-0000-0000-000093630000}"/>
    <cellStyle name="Normal 182 23" xfId="25486" xr:uid="{00000000-0005-0000-0000-000094630000}"/>
    <cellStyle name="Normal 182 23 2" xfId="25487" xr:uid="{00000000-0005-0000-0000-000095630000}"/>
    <cellStyle name="Normal 182 24" xfId="25488" xr:uid="{00000000-0005-0000-0000-000096630000}"/>
    <cellStyle name="Normal 182 24 2" xfId="25489" xr:uid="{00000000-0005-0000-0000-000097630000}"/>
    <cellStyle name="Normal 182 25" xfId="25490" xr:uid="{00000000-0005-0000-0000-000098630000}"/>
    <cellStyle name="Normal 182 25 2" xfId="25491" xr:uid="{00000000-0005-0000-0000-000099630000}"/>
    <cellStyle name="Normal 182 26" xfId="25492" xr:uid="{00000000-0005-0000-0000-00009A630000}"/>
    <cellStyle name="Normal 182 26 2" xfId="25493" xr:uid="{00000000-0005-0000-0000-00009B630000}"/>
    <cellStyle name="Normal 182 27" xfId="25494" xr:uid="{00000000-0005-0000-0000-00009C630000}"/>
    <cellStyle name="Normal 182 27 2" xfId="25495" xr:uid="{00000000-0005-0000-0000-00009D630000}"/>
    <cellStyle name="Normal 182 28" xfId="25496" xr:uid="{00000000-0005-0000-0000-00009E630000}"/>
    <cellStyle name="Normal 182 28 2" xfId="25497" xr:uid="{00000000-0005-0000-0000-00009F630000}"/>
    <cellStyle name="Normal 182 29" xfId="25498" xr:uid="{00000000-0005-0000-0000-0000A0630000}"/>
    <cellStyle name="Normal 182 29 2" xfId="25499" xr:uid="{00000000-0005-0000-0000-0000A1630000}"/>
    <cellStyle name="Normal 182 3" xfId="25500" xr:uid="{00000000-0005-0000-0000-0000A2630000}"/>
    <cellStyle name="Normal 182 3 2" xfId="25501" xr:uid="{00000000-0005-0000-0000-0000A3630000}"/>
    <cellStyle name="Normal 182 30" xfId="25502" xr:uid="{00000000-0005-0000-0000-0000A4630000}"/>
    <cellStyle name="Normal 182 30 2" xfId="25503" xr:uid="{00000000-0005-0000-0000-0000A5630000}"/>
    <cellStyle name="Normal 182 31" xfId="25504" xr:uid="{00000000-0005-0000-0000-0000A6630000}"/>
    <cellStyle name="Normal 182 31 2" xfId="25505" xr:uid="{00000000-0005-0000-0000-0000A7630000}"/>
    <cellStyle name="Normal 182 32" xfId="25506" xr:uid="{00000000-0005-0000-0000-0000A8630000}"/>
    <cellStyle name="Normal 182 32 2" xfId="25507" xr:uid="{00000000-0005-0000-0000-0000A9630000}"/>
    <cellStyle name="Normal 182 33" xfId="25508" xr:uid="{00000000-0005-0000-0000-0000AA630000}"/>
    <cellStyle name="Normal 182 33 2" xfId="25509" xr:uid="{00000000-0005-0000-0000-0000AB630000}"/>
    <cellStyle name="Normal 182 34" xfId="25510" xr:uid="{00000000-0005-0000-0000-0000AC630000}"/>
    <cellStyle name="Normal 182 34 2" xfId="25511" xr:uid="{00000000-0005-0000-0000-0000AD630000}"/>
    <cellStyle name="Normal 182 35" xfId="25512" xr:uid="{00000000-0005-0000-0000-0000AE630000}"/>
    <cellStyle name="Normal 182 35 2" xfId="25513" xr:uid="{00000000-0005-0000-0000-0000AF630000}"/>
    <cellStyle name="Normal 182 36" xfId="25514" xr:uid="{00000000-0005-0000-0000-0000B0630000}"/>
    <cellStyle name="Normal 182 36 2" xfId="25515" xr:uid="{00000000-0005-0000-0000-0000B1630000}"/>
    <cellStyle name="Normal 182 37" xfId="25516" xr:uid="{00000000-0005-0000-0000-0000B2630000}"/>
    <cellStyle name="Normal 182 37 2" xfId="25517" xr:uid="{00000000-0005-0000-0000-0000B3630000}"/>
    <cellStyle name="Normal 182 38" xfId="25518" xr:uid="{00000000-0005-0000-0000-0000B4630000}"/>
    <cellStyle name="Normal 182 38 2" xfId="25519" xr:uid="{00000000-0005-0000-0000-0000B5630000}"/>
    <cellStyle name="Normal 182 39" xfId="25520" xr:uid="{00000000-0005-0000-0000-0000B6630000}"/>
    <cellStyle name="Normal 182 39 2" xfId="25521" xr:uid="{00000000-0005-0000-0000-0000B7630000}"/>
    <cellStyle name="Normal 182 4" xfId="25522" xr:uid="{00000000-0005-0000-0000-0000B8630000}"/>
    <cellStyle name="Normal 182 4 2" xfId="25523" xr:uid="{00000000-0005-0000-0000-0000B9630000}"/>
    <cellStyle name="Normal 182 40" xfId="25524" xr:uid="{00000000-0005-0000-0000-0000BA630000}"/>
    <cellStyle name="Normal 182 40 2" xfId="25525" xr:uid="{00000000-0005-0000-0000-0000BB630000}"/>
    <cellStyle name="Normal 182 41" xfId="25526" xr:uid="{00000000-0005-0000-0000-0000BC630000}"/>
    <cellStyle name="Normal 182 41 2" xfId="25527" xr:uid="{00000000-0005-0000-0000-0000BD630000}"/>
    <cellStyle name="Normal 182 42" xfId="25528" xr:uid="{00000000-0005-0000-0000-0000BE630000}"/>
    <cellStyle name="Normal 182 42 2" xfId="25529" xr:uid="{00000000-0005-0000-0000-0000BF630000}"/>
    <cellStyle name="Normal 182 43" xfId="25530" xr:uid="{00000000-0005-0000-0000-0000C0630000}"/>
    <cellStyle name="Normal 182 43 2" xfId="25531" xr:uid="{00000000-0005-0000-0000-0000C1630000}"/>
    <cellStyle name="Normal 182 44" xfId="25532" xr:uid="{00000000-0005-0000-0000-0000C2630000}"/>
    <cellStyle name="Normal 182 44 2" xfId="25533" xr:uid="{00000000-0005-0000-0000-0000C3630000}"/>
    <cellStyle name="Normal 182 45" xfId="25534" xr:uid="{00000000-0005-0000-0000-0000C4630000}"/>
    <cellStyle name="Normal 182 45 2" xfId="25535" xr:uid="{00000000-0005-0000-0000-0000C5630000}"/>
    <cellStyle name="Normal 182 46" xfId="25536" xr:uid="{00000000-0005-0000-0000-0000C6630000}"/>
    <cellStyle name="Normal 182 46 2" xfId="25537" xr:uid="{00000000-0005-0000-0000-0000C7630000}"/>
    <cellStyle name="Normal 182 47" xfId="25538" xr:uid="{00000000-0005-0000-0000-0000C8630000}"/>
    <cellStyle name="Normal 182 47 2" xfId="25539" xr:uid="{00000000-0005-0000-0000-0000C9630000}"/>
    <cellStyle name="Normal 182 48" xfId="25540" xr:uid="{00000000-0005-0000-0000-0000CA630000}"/>
    <cellStyle name="Normal 182 48 2" xfId="25541" xr:uid="{00000000-0005-0000-0000-0000CB630000}"/>
    <cellStyle name="Normal 182 49" xfId="25542" xr:uid="{00000000-0005-0000-0000-0000CC630000}"/>
    <cellStyle name="Normal 182 49 2" xfId="25543" xr:uid="{00000000-0005-0000-0000-0000CD630000}"/>
    <cellStyle name="Normal 182 5" xfId="25544" xr:uid="{00000000-0005-0000-0000-0000CE630000}"/>
    <cellStyle name="Normal 182 5 2" xfId="25545" xr:uid="{00000000-0005-0000-0000-0000CF630000}"/>
    <cellStyle name="Normal 182 50" xfId="25546" xr:uid="{00000000-0005-0000-0000-0000D0630000}"/>
    <cellStyle name="Normal 182 50 2" xfId="25547" xr:uid="{00000000-0005-0000-0000-0000D1630000}"/>
    <cellStyle name="Normal 182 51" xfId="25548" xr:uid="{00000000-0005-0000-0000-0000D2630000}"/>
    <cellStyle name="Normal 182 51 2" xfId="25549" xr:uid="{00000000-0005-0000-0000-0000D3630000}"/>
    <cellStyle name="Normal 182 52" xfId="25550" xr:uid="{00000000-0005-0000-0000-0000D4630000}"/>
    <cellStyle name="Normal 182 52 2" xfId="25551" xr:uid="{00000000-0005-0000-0000-0000D5630000}"/>
    <cellStyle name="Normal 182 53" xfId="25552" xr:uid="{00000000-0005-0000-0000-0000D6630000}"/>
    <cellStyle name="Normal 182 53 2" xfId="25553" xr:uid="{00000000-0005-0000-0000-0000D7630000}"/>
    <cellStyle name="Normal 182 54" xfId="25554" xr:uid="{00000000-0005-0000-0000-0000D8630000}"/>
    <cellStyle name="Normal 182 54 2" xfId="25555" xr:uid="{00000000-0005-0000-0000-0000D9630000}"/>
    <cellStyle name="Normal 182 55" xfId="25556" xr:uid="{00000000-0005-0000-0000-0000DA630000}"/>
    <cellStyle name="Normal 182 55 2" xfId="25557" xr:uid="{00000000-0005-0000-0000-0000DB630000}"/>
    <cellStyle name="Normal 182 56" xfId="25558" xr:uid="{00000000-0005-0000-0000-0000DC630000}"/>
    <cellStyle name="Normal 182 56 2" xfId="25559" xr:uid="{00000000-0005-0000-0000-0000DD630000}"/>
    <cellStyle name="Normal 182 57" xfId="25560" xr:uid="{00000000-0005-0000-0000-0000DE630000}"/>
    <cellStyle name="Normal 182 57 2" xfId="25561" xr:uid="{00000000-0005-0000-0000-0000DF630000}"/>
    <cellStyle name="Normal 182 58" xfId="25562" xr:uid="{00000000-0005-0000-0000-0000E0630000}"/>
    <cellStyle name="Normal 182 58 2" xfId="25563" xr:uid="{00000000-0005-0000-0000-0000E1630000}"/>
    <cellStyle name="Normal 182 59" xfId="25564" xr:uid="{00000000-0005-0000-0000-0000E2630000}"/>
    <cellStyle name="Normal 182 59 2" xfId="25565" xr:uid="{00000000-0005-0000-0000-0000E3630000}"/>
    <cellStyle name="Normal 182 6" xfId="25566" xr:uid="{00000000-0005-0000-0000-0000E4630000}"/>
    <cellStyle name="Normal 182 6 2" xfId="25567" xr:uid="{00000000-0005-0000-0000-0000E5630000}"/>
    <cellStyle name="Normal 182 60" xfId="25568" xr:uid="{00000000-0005-0000-0000-0000E6630000}"/>
    <cellStyle name="Normal 182 60 2" xfId="25569" xr:uid="{00000000-0005-0000-0000-0000E7630000}"/>
    <cellStyle name="Normal 182 61" xfId="25570" xr:uid="{00000000-0005-0000-0000-0000E8630000}"/>
    <cellStyle name="Normal 182 61 2" xfId="25571" xr:uid="{00000000-0005-0000-0000-0000E9630000}"/>
    <cellStyle name="Normal 182 62" xfId="25572" xr:uid="{00000000-0005-0000-0000-0000EA630000}"/>
    <cellStyle name="Normal 182 62 2" xfId="25573" xr:uid="{00000000-0005-0000-0000-0000EB630000}"/>
    <cellStyle name="Normal 182 62 3" xfId="25574" xr:uid="{00000000-0005-0000-0000-0000EC630000}"/>
    <cellStyle name="Normal 182 63" xfId="25575" xr:uid="{00000000-0005-0000-0000-0000ED630000}"/>
    <cellStyle name="Normal 182 7" xfId="25576" xr:uid="{00000000-0005-0000-0000-0000EE630000}"/>
    <cellStyle name="Normal 182 7 2" xfId="25577" xr:uid="{00000000-0005-0000-0000-0000EF630000}"/>
    <cellStyle name="Normal 182 8" xfId="25578" xr:uid="{00000000-0005-0000-0000-0000F0630000}"/>
    <cellStyle name="Normal 182 8 2" xfId="25579" xr:uid="{00000000-0005-0000-0000-0000F1630000}"/>
    <cellStyle name="Normal 182 9" xfId="25580" xr:uid="{00000000-0005-0000-0000-0000F2630000}"/>
    <cellStyle name="Normal 182 9 2" xfId="25581" xr:uid="{00000000-0005-0000-0000-0000F3630000}"/>
    <cellStyle name="Normal 183" xfId="25582" xr:uid="{00000000-0005-0000-0000-0000F4630000}"/>
    <cellStyle name="Normal 183 2" xfId="25583" xr:uid="{00000000-0005-0000-0000-0000F5630000}"/>
    <cellStyle name="Normal 184" xfId="25584" xr:uid="{00000000-0005-0000-0000-0000F6630000}"/>
    <cellStyle name="Normal 184 2" xfId="25585" xr:uid="{00000000-0005-0000-0000-0000F7630000}"/>
    <cellStyle name="Normal 185" xfId="25586" xr:uid="{00000000-0005-0000-0000-0000F8630000}"/>
    <cellStyle name="Normal 185 2" xfId="25587" xr:uid="{00000000-0005-0000-0000-0000F9630000}"/>
    <cellStyle name="Normal 186" xfId="25588" xr:uid="{00000000-0005-0000-0000-0000FA630000}"/>
    <cellStyle name="Normal 186 10" xfId="25589" xr:uid="{00000000-0005-0000-0000-0000FB630000}"/>
    <cellStyle name="Normal 186 10 2" xfId="25590" xr:uid="{00000000-0005-0000-0000-0000FC630000}"/>
    <cellStyle name="Normal 186 11" xfId="25591" xr:uid="{00000000-0005-0000-0000-0000FD630000}"/>
    <cellStyle name="Normal 186 11 2" xfId="25592" xr:uid="{00000000-0005-0000-0000-0000FE630000}"/>
    <cellStyle name="Normal 186 12" xfId="25593" xr:uid="{00000000-0005-0000-0000-0000FF630000}"/>
    <cellStyle name="Normal 186 12 2" xfId="25594" xr:uid="{00000000-0005-0000-0000-000000640000}"/>
    <cellStyle name="Normal 186 13" xfId="25595" xr:uid="{00000000-0005-0000-0000-000001640000}"/>
    <cellStyle name="Normal 186 13 2" xfId="25596" xr:uid="{00000000-0005-0000-0000-000002640000}"/>
    <cellStyle name="Normal 186 14" xfId="25597" xr:uid="{00000000-0005-0000-0000-000003640000}"/>
    <cellStyle name="Normal 186 14 2" xfId="25598" xr:uid="{00000000-0005-0000-0000-000004640000}"/>
    <cellStyle name="Normal 186 15" xfId="25599" xr:uid="{00000000-0005-0000-0000-000005640000}"/>
    <cellStyle name="Normal 186 15 2" xfId="25600" xr:uid="{00000000-0005-0000-0000-000006640000}"/>
    <cellStyle name="Normal 186 16" xfId="25601" xr:uid="{00000000-0005-0000-0000-000007640000}"/>
    <cellStyle name="Normal 186 16 2" xfId="25602" xr:uid="{00000000-0005-0000-0000-000008640000}"/>
    <cellStyle name="Normal 186 17" xfId="25603" xr:uid="{00000000-0005-0000-0000-000009640000}"/>
    <cellStyle name="Normal 186 17 2" xfId="25604" xr:uid="{00000000-0005-0000-0000-00000A640000}"/>
    <cellStyle name="Normal 186 18" xfId="25605" xr:uid="{00000000-0005-0000-0000-00000B640000}"/>
    <cellStyle name="Normal 186 18 2" xfId="25606" xr:uid="{00000000-0005-0000-0000-00000C640000}"/>
    <cellStyle name="Normal 186 19" xfId="25607" xr:uid="{00000000-0005-0000-0000-00000D640000}"/>
    <cellStyle name="Normal 186 19 2" xfId="25608" xr:uid="{00000000-0005-0000-0000-00000E640000}"/>
    <cellStyle name="Normal 186 2" xfId="25609" xr:uid="{00000000-0005-0000-0000-00000F640000}"/>
    <cellStyle name="Normal 186 2 2" xfId="25610" xr:uid="{00000000-0005-0000-0000-000010640000}"/>
    <cellStyle name="Normal 186 20" xfId="25611" xr:uid="{00000000-0005-0000-0000-000011640000}"/>
    <cellStyle name="Normal 186 20 2" xfId="25612" xr:uid="{00000000-0005-0000-0000-000012640000}"/>
    <cellStyle name="Normal 186 21" xfId="25613" xr:uid="{00000000-0005-0000-0000-000013640000}"/>
    <cellStyle name="Normal 186 21 2" xfId="25614" xr:uid="{00000000-0005-0000-0000-000014640000}"/>
    <cellStyle name="Normal 186 22" xfId="25615" xr:uid="{00000000-0005-0000-0000-000015640000}"/>
    <cellStyle name="Normal 186 22 2" xfId="25616" xr:uid="{00000000-0005-0000-0000-000016640000}"/>
    <cellStyle name="Normal 186 23" xfId="25617" xr:uid="{00000000-0005-0000-0000-000017640000}"/>
    <cellStyle name="Normal 186 23 2" xfId="25618" xr:uid="{00000000-0005-0000-0000-000018640000}"/>
    <cellStyle name="Normal 186 24" xfId="25619" xr:uid="{00000000-0005-0000-0000-000019640000}"/>
    <cellStyle name="Normal 186 24 2" xfId="25620" xr:uid="{00000000-0005-0000-0000-00001A640000}"/>
    <cellStyle name="Normal 186 25" xfId="25621" xr:uid="{00000000-0005-0000-0000-00001B640000}"/>
    <cellStyle name="Normal 186 25 2" xfId="25622" xr:uid="{00000000-0005-0000-0000-00001C640000}"/>
    <cellStyle name="Normal 186 26" xfId="25623" xr:uid="{00000000-0005-0000-0000-00001D640000}"/>
    <cellStyle name="Normal 186 26 2" xfId="25624" xr:uid="{00000000-0005-0000-0000-00001E640000}"/>
    <cellStyle name="Normal 186 27" xfId="25625" xr:uid="{00000000-0005-0000-0000-00001F640000}"/>
    <cellStyle name="Normal 186 27 2" xfId="25626" xr:uid="{00000000-0005-0000-0000-000020640000}"/>
    <cellStyle name="Normal 186 28" xfId="25627" xr:uid="{00000000-0005-0000-0000-000021640000}"/>
    <cellStyle name="Normal 186 28 2" xfId="25628" xr:uid="{00000000-0005-0000-0000-000022640000}"/>
    <cellStyle name="Normal 186 29" xfId="25629" xr:uid="{00000000-0005-0000-0000-000023640000}"/>
    <cellStyle name="Normal 186 29 2" xfId="25630" xr:uid="{00000000-0005-0000-0000-000024640000}"/>
    <cellStyle name="Normal 186 3" xfId="25631" xr:uid="{00000000-0005-0000-0000-000025640000}"/>
    <cellStyle name="Normal 186 3 2" xfId="25632" xr:uid="{00000000-0005-0000-0000-000026640000}"/>
    <cellStyle name="Normal 186 30" xfId="25633" xr:uid="{00000000-0005-0000-0000-000027640000}"/>
    <cellStyle name="Normal 186 30 2" xfId="25634" xr:uid="{00000000-0005-0000-0000-000028640000}"/>
    <cellStyle name="Normal 186 31" xfId="25635" xr:uid="{00000000-0005-0000-0000-000029640000}"/>
    <cellStyle name="Normal 186 31 2" xfId="25636" xr:uid="{00000000-0005-0000-0000-00002A640000}"/>
    <cellStyle name="Normal 186 32" xfId="25637" xr:uid="{00000000-0005-0000-0000-00002B640000}"/>
    <cellStyle name="Normal 186 32 2" xfId="25638" xr:uid="{00000000-0005-0000-0000-00002C640000}"/>
    <cellStyle name="Normal 186 33" xfId="25639" xr:uid="{00000000-0005-0000-0000-00002D640000}"/>
    <cellStyle name="Normal 186 33 2" xfId="25640" xr:uid="{00000000-0005-0000-0000-00002E640000}"/>
    <cellStyle name="Normal 186 34" xfId="25641" xr:uid="{00000000-0005-0000-0000-00002F640000}"/>
    <cellStyle name="Normal 186 34 2" xfId="25642" xr:uid="{00000000-0005-0000-0000-000030640000}"/>
    <cellStyle name="Normal 186 35" xfId="25643" xr:uid="{00000000-0005-0000-0000-000031640000}"/>
    <cellStyle name="Normal 186 35 2" xfId="25644" xr:uid="{00000000-0005-0000-0000-000032640000}"/>
    <cellStyle name="Normal 186 36" xfId="25645" xr:uid="{00000000-0005-0000-0000-000033640000}"/>
    <cellStyle name="Normal 186 36 2" xfId="25646" xr:uid="{00000000-0005-0000-0000-000034640000}"/>
    <cellStyle name="Normal 186 37" xfId="25647" xr:uid="{00000000-0005-0000-0000-000035640000}"/>
    <cellStyle name="Normal 186 37 2" xfId="25648" xr:uid="{00000000-0005-0000-0000-000036640000}"/>
    <cellStyle name="Normal 186 38" xfId="25649" xr:uid="{00000000-0005-0000-0000-000037640000}"/>
    <cellStyle name="Normal 186 38 2" xfId="25650" xr:uid="{00000000-0005-0000-0000-000038640000}"/>
    <cellStyle name="Normal 186 39" xfId="25651" xr:uid="{00000000-0005-0000-0000-000039640000}"/>
    <cellStyle name="Normal 186 39 2" xfId="25652" xr:uid="{00000000-0005-0000-0000-00003A640000}"/>
    <cellStyle name="Normal 186 4" xfId="25653" xr:uid="{00000000-0005-0000-0000-00003B640000}"/>
    <cellStyle name="Normal 186 4 2" xfId="25654" xr:uid="{00000000-0005-0000-0000-00003C640000}"/>
    <cellStyle name="Normal 186 40" xfId="25655" xr:uid="{00000000-0005-0000-0000-00003D640000}"/>
    <cellStyle name="Normal 186 40 2" xfId="25656" xr:uid="{00000000-0005-0000-0000-00003E640000}"/>
    <cellStyle name="Normal 186 41" xfId="25657" xr:uid="{00000000-0005-0000-0000-00003F640000}"/>
    <cellStyle name="Normal 186 41 2" xfId="25658" xr:uid="{00000000-0005-0000-0000-000040640000}"/>
    <cellStyle name="Normal 186 42" xfId="25659" xr:uid="{00000000-0005-0000-0000-000041640000}"/>
    <cellStyle name="Normal 186 42 2" xfId="25660" xr:uid="{00000000-0005-0000-0000-000042640000}"/>
    <cellStyle name="Normal 186 43" xfId="25661" xr:uid="{00000000-0005-0000-0000-000043640000}"/>
    <cellStyle name="Normal 186 43 2" xfId="25662" xr:uid="{00000000-0005-0000-0000-000044640000}"/>
    <cellStyle name="Normal 186 44" xfId="25663" xr:uid="{00000000-0005-0000-0000-000045640000}"/>
    <cellStyle name="Normal 186 44 2" xfId="25664" xr:uid="{00000000-0005-0000-0000-000046640000}"/>
    <cellStyle name="Normal 186 45" xfId="25665" xr:uid="{00000000-0005-0000-0000-000047640000}"/>
    <cellStyle name="Normal 186 45 2" xfId="25666" xr:uid="{00000000-0005-0000-0000-000048640000}"/>
    <cellStyle name="Normal 186 46" xfId="25667" xr:uid="{00000000-0005-0000-0000-000049640000}"/>
    <cellStyle name="Normal 186 46 2" xfId="25668" xr:uid="{00000000-0005-0000-0000-00004A640000}"/>
    <cellStyle name="Normal 186 47" xfId="25669" xr:uid="{00000000-0005-0000-0000-00004B640000}"/>
    <cellStyle name="Normal 186 47 2" xfId="25670" xr:uid="{00000000-0005-0000-0000-00004C640000}"/>
    <cellStyle name="Normal 186 48" xfId="25671" xr:uid="{00000000-0005-0000-0000-00004D640000}"/>
    <cellStyle name="Normal 186 48 2" xfId="25672" xr:uid="{00000000-0005-0000-0000-00004E640000}"/>
    <cellStyle name="Normal 186 49" xfId="25673" xr:uid="{00000000-0005-0000-0000-00004F640000}"/>
    <cellStyle name="Normal 186 49 2" xfId="25674" xr:uid="{00000000-0005-0000-0000-000050640000}"/>
    <cellStyle name="Normal 186 5" xfId="25675" xr:uid="{00000000-0005-0000-0000-000051640000}"/>
    <cellStyle name="Normal 186 5 2" xfId="25676" xr:uid="{00000000-0005-0000-0000-000052640000}"/>
    <cellStyle name="Normal 186 50" xfId="25677" xr:uid="{00000000-0005-0000-0000-000053640000}"/>
    <cellStyle name="Normal 186 50 2" xfId="25678" xr:uid="{00000000-0005-0000-0000-000054640000}"/>
    <cellStyle name="Normal 186 51" xfId="25679" xr:uid="{00000000-0005-0000-0000-000055640000}"/>
    <cellStyle name="Normal 186 51 2" xfId="25680" xr:uid="{00000000-0005-0000-0000-000056640000}"/>
    <cellStyle name="Normal 186 52" xfId="25681" xr:uid="{00000000-0005-0000-0000-000057640000}"/>
    <cellStyle name="Normal 186 52 2" xfId="25682" xr:uid="{00000000-0005-0000-0000-000058640000}"/>
    <cellStyle name="Normal 186 53" xfId="25683" xr:uid="{00000000-0005-0000-0000-000059640000}"/>
    <cellStyle name="Normal 186 53 2" xfId="25684" xr:uid="{00000000-0005-0000-0000-00005A640000}"/>
    <cellStyle name="Normal 186 54" xfId="25685" xr:uid="{00000000-0005-0000-0000-00005B640000}"/>
    <cellStyle name="Normal 186 54 2" xfId="25686" xr:uid="{00000000-0005-0000-0000-00005C640000}"/>
    <cellStyle name="Normal 186 55" xfId="25687" xr:uid="{00000000-0005-0000-0000-00005D640000}"/>
    <cellStyle name="Normal 186 55 2" xfId="25688" xr:uid="{00000000-0005-0000-0000-00005E640000}"/>
    <cellStyle name="Normal 186 56" xfId="25689" xr:uid="{00000000-0005-0000-0000-00005F640000}"/>
    <cellStyle name="Normal 186 56 2" xfId="25690" xr:uid="{00000000-0005-0000-0000-000060640000}"/>
    <cellStyle name="Normal 186 57" xfId="25691" xr:uid="{00000000-0005-0000-0000-000061640000}"/>
    <cellStyle name="Normal 186 57 2" xfId="25692" xr:uid="{00000000-0005-0000-0000-000062640000}"/>
    <cellStyle name="Normal 186 58" xfId="25693" xr:uid="{00000000-0005-0000-0000-000063640000}"/>
    <cellStyle name="Normal 186 58 2" xfId="25694" xr:uid="{00000000-0005-0000-0000-000064640000}"/>
    <cellStyle name="Normal 186 59" xfId="25695" xr:uid="{00000000-0005-0000-0000-000065640000}"/>
    <cellStyle name="Normal 186 59 2" xfId="25696" xr:uid="{00000000-0005-0000-0000-000066640000}"/>
    <cellStyle name="Normal 186 6" xfId="25697" xr:uid="{00000000-0005-0000-0000-000067640000}"/>
    <cellStyle name="Normal 186 6 2" xfId="25698" xr:uid="{00000000-0005-0000-0000-000068640000}"/>
    <cellStyle name="Normal 186 60" xfId="25699" xr:uid="{00000000-0005-0000-0000-000069640000}"/>
    <cellStyle name="Normal 186 60 2" xfId="25700" xr:uid="{00000000-0005-0000-0000-00006A640000}"/>
    <cellStyle name="Normal 186 61" xfId="25701" xr:uid="{00000000-0005-0000-0000-00006B640000}"/>
    <cellStyle name="Normal 186 61 2" xfId="25702" xr:uid="{00000000-0005-0000-0000-00006C640000}"/>
    <cellStyle name="Normal 186 62" xfId="25703" xr:uid="{00000000-0005-0000-0000-00006D640000}"/>
    <cellStyle name="Normal 186 62 2" xfId="25704" xr:uid="{00000000-0005-0000-0000-00006E640000}"/>
    <cellStyle name="Normal 186 62 3" xfId="25705" xr:uid="{00000000-0005-0000-0000-00006F640000}"/>
    <cellStyle name="Normal 186 63" xfId="25706" xr:uid="{00000000-0005-0000-0000-000070640000}"/>
    <cellStyle name="Normal 186 7" xfId="25707" xr:uid="{00000000-0005-0000-0000-000071640000}"/>
    <cellStyle name="Normal 186 7 2" xfId="25708" xr:uid="{00000000-0005-0000-0000-000072640000}"/>
    <cellStyle name="Normal 186 8" xfId="25709" xr:uid="{00000000-0005-0000-0000-000073640000}"/>
    <cellStyle name="Normal 186 8 2" xfId="25710" xr:uid="{00000000-0005-0000-0000-000074640000}"/>
    <cellStyle name="Normal 186 9" xfId="25711" xr:uid="{00000000-0005-0000-0000-000075640000}"/>
    <cellStyle name="Normal 186 9 2" xfId="25712" xr:uid="{00000000-0005-0000-0000-000076640000}"/>
    <cellStyle name="Normal 187" xfId="25713" xr:uid="{00000000-0005-0000-0000-000077640000}"/>
    <cellStyle name="Normal 187 2" xfId="25714" xr:uid="{00000000-0005-0000-0000-000078640000}"/>
    <cellStyle name="Normal 188" xfId="25715" xr:uid="{00000000-0005-0000-0000-000079640000}"/>
    <cellStyle name="Normal 188 2" xfId="25716" xr:uid="{00000000-0005-0000-0000-00007A640000}"/>
    <cellStyle name="Normal 189" xfId="25717" xr:uid="{00000000-0005-0000-0000-00007B640000}"/>
    <cellStyle name="Normal 189 2" xfId="25718" xr:uid="{00000000-0005-0000-0000-00007C640000}"/>
    <cellStyle name="Normal 19" xfId="25719" xr:uid="{00000000-0005-0000-0000-00007D640000}"/>
    <cellStyle name="Normal 19 10" xfId="25720" xr:uid="{00000000-0005-0000-0000-00007E640000}"/>
    <cellStyle name="Normal 19 10 2" xfId="25721" xr:uid="{00000000-0005-0000-0000-00007F640000}"/>
    <cellStyle name="Normal 19 11" xfId="25722" xr:uid="{00000000-0005-0000-0000-000080640000}"/>
    <cellStyle name="Normal 19 11 2" xfId="25723" xr:uid="{00000000-0005-0000-0000-000081640000}"/>
    <cellStyle name="Normal 19 12" xfId="25724" xr:uid="{00000000-0005-0000-0000-000082640000}"/>
    <cellStyle name="Normal 19 12 2" xfId="25725" xr:uid="{00000000-0005-0000-0000-000083640000}"/>
    <cellStyle name="Normal 19 13" xfId="25726" xr:uid="{00000000-0005-0000-0000-000084640000}"/>
    <cellStyle name="Normal 19 13 2" xfId="25727" xr:uid="{00000000-0005-0000-0000-000085640000}"/>
    <cellStyle name="Normal 19 14" xfId="25728" xr:uid="{00000000-0005-0000-0000-000086640000}"/>
    <cellStyle name="Normal 19 14 2" xfId="25729" xr:uid="{00000000-0005-0000-0000-000087640000}"/>
    <cellStyle name="Normal 19 15" xfId="25730" xr:uid="{00000000-0005-0000-0000-000088640000}"/>
    <cellStyle name="Normal 19 15 2" xfId="25731" xr:uid="{00000000-0005-0000-0000-000089640000}"/>
    <cellStyle name="Normal 19 16" xfId="25732" xr:uid="{00000000-0005-0000-0000-00008A640000}"/>
    <cellStyle name="Normal 19 16 2" xfId="25733" xr:uid="{00000000-0005-0000-0000-00008B640000}"/>
    <cellStyle name="Normal 19 17" xfId="25734" xr:uid="{00000000-0005-0000-0000-00008C640000}"/>
    <cellStyle name="Normal 19 17 2" xfId="25735" xr:uid="{00000000-0005-0000-0000-00008D640000}"/>
    <cellStyle name="Normal 19 18" xfId="25736" xr:uid="{00000000-0005-0000-0000-00008E640000}"/>
    <cellStyle name="Normal 19 18 2" xfId="25737" xr:uid="{00000000-0005-0000-0000-00008F640000}"/>
    <cellStyle name="Normal 19 19" xfId="25738" xr:uid="{00000000-0005-0000-0000-000090640000}"/>
    <cellStyle name="Normal 19 19 2" xfId="25739" xr:uid="{00000000-0005-0000-0000-000091640000}"/>
    <cellStyle name="Normal 19 2" xfId="25740" xr:uid="{00000000-0005-0000-0000-000092640000}"/>
    <cellStyle name="Normal 19 2 2" xfId="25741" xr:uid="{00000000-0005-0000-0000-000093640000}"/>
    <cellStyle name="Normal 19 2 3" xfId="25742" xr:uid="{00000000-0005-0000-0000-000094640000}"/>
    <cellStyle name="Normal 19 20" xfId="25743" xr:uid="{00000000-0005-0000-0000-000095640000}"/>
    <cellStyle name="Normal 19 20 2" xfId="25744" xr:uid="{00000000-0005-0000-0000-000096640000}"/>
    <cellStyle name="Normal 19 21" xfId="25745" xr:uid="{00000000-0005-0000-0000-000097640000}"/>
    <cellStyle name="Normal 19 21 2" xfId="25746" xr:uid="{00000000-0005-0000-0000-000098640000}"/>
    <cellStyle name="Normal 19 22" xfId="25747" xr:uid="{00000000-0005-0000-0000-000099640000}"/>
    <cellStyle name="Normal 19 22 2" xfId="25748" xr:uid="{00000000-0005-0000-0000-00009A640000}"/>
    <cellStyle name="Normal 19 23" xfId="25749" xr:uid="{00000000-0005-0000-0000-00009B640000}"/>
    <cellStyle name="Normal 19 23 2" xfId="25750" xr:uid="{00000000-0005-0000-0000-00009C640000}"/>
    <cellStyle name="Normal 19 24" xfId="25751" xr:uid="{00000000-0005-0000-0000-00009D640000}"/>
    <cellStyle name="Normal 19 24 2" xfId="25752" xr:uid="{00000000-0005-0000-0000-00009E640000}"/>
    <cellStyle name="Normal 19 25" xfId="25753" xr:uid="{00000000-0005-0000-0000-00009F640000}"/>
    <cellStyle name="Normal 19 25 2" xfId="25754" xr:uid="{00000000-0005-0000-0000-0000A0640000}"/>
    <cellStyle name="Normal 19 26" xfId="25755" xr:uid="{00000000-0005-0000-0000-0000A1640000}"/>
    <cellStyle name="Normal 19 26 2" xfId="25756" xr:uid="{00000000-0005-0000-0000-0000A2640000}"/>
    <cellStyle name="Normal 19 27" xfId="25757" xr:uid="{00000000-0005-0000-0000-0000A3640000}"/>
    <cellStyle name="Normal 19 27 2" xfId="25758" xr:uid="{00000000-0005-0000-0000-0000A4640000}"/>
    <cellStyle name="Normal 19 28" xfId="25759" xr:uid="{00000000-0005-0000-0000-0000A5640000}"/>
    <cellStyle name="Normal 19 28 2" xfId="25760" xr:uid="{00000000-0005-0000-0000-0000A6640000}"/>
    <cellStyle name="Normal 19 29" xfId="25761" xr:uid="{00000000-0005-0000-0000-0000A7640000}"/>
    <cellStyle name="Normal 19 29 2" xfId="25762" xr:uid="{00000000-0005-0000-0000-0000A8640000}"/>
    <cellStyle name="Normal 19 3" xfId="25763" xr:uid="{00000000-0005-0000-0000-0000A9640000}"/>
    <cellStyle name="Normal 19 3 2" xfId="25764" xr:uid="{00000000-0005-0000-0000-0000AA640000}"/>
    <cellStyle name="Normal 19 30" xfId="25765" xr:uid="{00000000-0005-0000-0000-0000AB640000}"/>
    <cellStyle name="Normal 19 30 2" xfId="25766" xr:uid="{00000000-0005-0000-0000-0000AC640000}"/>
    <cellStyle name="Normal 19 31" xfId="25767" xr:uid="{00000000-0005-0000-0000-0000AD640000}"/>
    <cellStyle name="Normal 19 31 2" xfId="25768" xr:uid="{00000000-0005-0000-0000-0000AE640000}"/>
    <cellStyle name="Normal 19 32" xfId="25769" xr:uid="{00000000-0005-0000-0000-0000AF640000}"/>
    <cellStyle name="Normal 19 32 2" xfId="25770" xr:uid="{00000000-0005-0000-0000-0000B0640000}"/>
    <cellStyle name="Normal 19 33" xfId="25771" xr:uid="{00000000-0005-0000-0000-0000B1640000}"/>
    <cellStyle name="Normal 19 33 2" xfId="25772" xr:uid="{00000000-0005-0000-0000-0000B2640000}"/>
    <cellStyle name="Normal 19 34" xfId="25773" xr:uid="{00000000-0005-0000-0000-0000B3640000}"/>
    <cellStyle name="Normal 19 34 2" xfId="25774" xr:uid="{00000000-0005-0000-0000-0000B4640000}"/>
    <cellStyle name="Normal 19 35" xfId="25775" xr:uid="{00000000-0005-0000-0000-0000B5640000}"/>
    <cellStyle name="Normal 19 35 2" xfId="25776" xr:uid="{00000000-0005-0000-0000-0000B6640000}"/>
    <cellStyle name="Normal 19 36" xfId="25777" xr:uid="{00000000-0005-0000-0000-0000B7640000}"/>
    <cellStyle name="Normal 19 36 2" xfId="25778" xr:uid="{00000000-0005-0000-0000-0000B8640000}"/>
    <cellStyle name="Normal 19 37" xfId="25779" xr:uid="{00000000-0005-0000-0000-0000B9640000}"/>
    <cellStyle name="Normal 19 37 2" xfId="25780" xr:uid="{00000000-0005-0000-0000-0000BA640000}"/>
    <cellStyle name="Normal 19 38" xfId="25781" xr:uid="{00000000-0005-0000-0000-0000BB640000}"/>
    <cellStyle name="Normal 19 38 2" xfId="25782" xr:uid="{00000000-0005-0000-0000-0000BC640000}"/>
    <cellStyle name="Normal 19 39" xfId="25783" xr:uid="{00000000-0005-0000-0000-0000BD640000}"/>
    <cellStyle name="Normal 19 39 2" xfId="25784" xr:uid="{00000000-0005-0000-0000-0000BE640000}"/>
    <cellStyle name="Normal 19 4" xfId="25785" xr:uid="{00000000-0005-0000-0000-0000BF640000}"/>
    <cellStyle name="Normal 19 4 2" xfId="25786" xr:uid="{00000000-0005-0000-0000-0000C0640000}"/>
    <cellStyle name="Normal 19 40" xfId="25787" xr:uid="{00000000-0005-0000-0000-0000C1640000}"/>
    <cellStyle name="Normal 19 40 2" xfId="25788" xr:uid="{00000000-0005-0000-0000-0000C2640000}"/>
    <cellStyle name="Normal 19 41" xfId="25789" xr:uid="{00000000-0005-0000-0000-0000C3640000}"/>
    <cellStyle name="Normal 19 41 2" xfId="25790" xr:uid="{00000000-0005-0000-0000-0000C4640000}"/>
    <cellStyle name="Normal 19 42" xfId="25791" xr:uid="{00000000-0005-0000-0000-0000C5640000}"/>
    <cellStyle name="Normal 19 42 2" xfId="25792" xr:uid="{00000000-0005-0000-0000-0000C6640000}"/>
    <cellStyle name="Normal 19 43" xfId="25793" xr:uid="{00000000-0005-0000-0000-0000C7640000}"/>
    <cellStyle name="Normal 19 43 2" xfId="25794" xr:uid="{00000000-0005-0000-0000-0000C8640000}"/>
    <cellStyle name="Normal 19 44" xfId="25795" xr:uid="{00000000-0005-0000-0000-0000C9640000}"/>
    <cellStyle name="Normal 19 44 2" xfId="25796" xr:uid="{00000000-0005-0000-0000-0000CA640000}"/>
    <cellStyle name="Normal 19 45" xfId="25797" xr:uid="{00000000-0005-0000-0000-0000CB640000}"/>
    <cellStyle name="Normal 19 45 2" xfId="25798" xr:uid="{00000000-0005-0000-0000-0000CC640000}"/>
    <cellStyle name="Normal 19 46" xfId="25799" xr:uid="{00000000-0005-0000-0000-0000CD640000}"/>
    <cellStyle name="Normal 19 46 2" xfId="25800" xr:uid="{00000000-0005-0000-0000-0000CE640000}"/>
    <cellStyle name="Normal 19 47" xfId="25801" xr:uid="{00000000-0005-0000-0000-0000CF640000}"/>
    <cellStyle name="Normal 19 47 2" xfId="25802" xr:uid="{00000000-0005-0000-0000-0000D0640000}"/>
    <cellStyle name="Normal 19 48" xfId="25803" xr:uid="{00000000-0005-0000-0000-0000D1640000}"/>
    <cellStyle name="Normal 19 48 2" xfId="25804" xr:uid="{00000000-0005-0000-0000-0000D2640000}"/>
    <cellStyle name="Normal 19 49" xfId="25805" xr:uid="{00000000-0005-0000-0000-0000D3640000}"/>
    <cellStyle name="Normal 19 49 2" xfId="25806" xr:uid="{00000000-0005-0000-0000-0000D4640000}"/>
    <cellStyle name="Normal 19 5" xfId="25807" xr:uid="{00000000-0005-0000-0000-0000D5640000}"/>
    <cellStyle name="Normal 19 5 2" xfId="25808" xr:uid="{00000000-0005-0000-0000-0000D6640000}"/>
    <cellStyle name="Normal 19 50" xfId="25809" xr:uid="{00000000-0005-0000-0000-0000D7640000}"/>
    <cellStyle name="Normal 19 50 2" xfId="25810" xr:uid="{00000000-0005-0000-0000-0000D8640000}"/>
    <cellStyle name="Normal 19 51" xfId="25811" xr:uid="{00000000-0005-0000-0000-0000D9640000}"/>
    <cellStyle name="Normal 19 51 2" xfId="25812" xr:uid="{00000000-0005-0000-0000-0000DA640000}"/>
    <cellStyle name="Normal 19 52" xfId="25813" xr:uid="{00000000-0005-0000-0000-0000DB640000}"/>
    <cellStyle name="Normal 19 52 2" xfId="25814" xr:uid="{00000000-0005-0000-0000-0000DC640000}"/>
    <cellStyle name="Normal 19 53" xfId="25815" xr:uid="{00000000-0005-0000-0000-0000DD640000}"/>
    <cellStyle name="Normal 19 53 2" xfId="25816" xr:uid="{00000000-0005-0000-0000-0000DE640000}"/>
    <cellStyle name="Normal 19 54" xfId="25817" xr:uid="{00000000-0005-0000-0000-0000DF640000}"/>
    <cellStyle name="Normal 19 54 2" xfId="25818" xr:uid="{00000000-0005-0000-0000-0000E0640000}"/>
    <cellStyle name="Normal 19 55" xfId="25819" xr:uid="{00000000-0005-0000-0000-0000E1640000}"/>
    <cellStyle name="Normal 19 55 2" xfId="25820" xr:uid="{00000000-0005-0000-0000-0000E2640000}"/>
    <cellStyle name="Normal 19 56" xfId="25821" xr:uid="{00000000-0005-0000-0000-0000E3640000}"/>
    <cellStyle name="Normal 19 56 2" xfId="25822" xr:uid="{00000000-0005-0000-0000-0000E4640000}"/>
    <cellStyle name="Normal 19 57" xfId="25823" xr:uid="{00000000-0005-0000-0000-0000E5640000}"/>
    <cellStyle name="Normal 19 57 2" xfId="25824" xr:uid="{00000000-0005-0000-0000-0000E6640000}"/>
    <cellStyle name="Normal 19 58" xfId="25825" xr:uid="{00000000-0005-0000-0000-0000E7640000}"/>
    <cellStyle name="Normal 19 58 2" xfId="25826" xr:uid="{00000000-0005-0000-0000-0000E8640000}"/>
    <cellStyle name="Normal 19 59" xfId="25827" xr:uid="{00000000-0005-0000-0000-0000E9640000}"/>
    <cellStyle name="Normal 19 6" xfId="25828" xr:uid="{00000000-0005-0000-0000-0000EA640000}"/>
    <cellStyle name="Normal 19 6 2" xfId="25829" xr:uid="{00000000-0005-0000-0000-0000EB640000}"/>
    <cellStyle name="Normal 19 60" xfId="25830" xr:uid="{00000000-0005-0000-0000-0000EC640000}"/>
    <cellStyle name="Normal 19 7" xfId="25831" xr:uid="{00000000-0005-0000-0000-0000ED640000}"/>
    <cellStyle name="Normal 19 7 2" xfId="25832" xr:uid="{00000000-0005-0000-0000-0000EE640000}"/>
    <cellStyle name="Normal 19 8" xfId="25833" xr:uid="{00000000-0005-0000-0000-0000EF640000}"/>
    <cellStyle name="Normal 19 8 2" xfId="25834" xr:uid="{00000000-0005-0000-0000-0000F0640000}"/>
    <cellStyle name="Normal 19 9" xfId="25835" xr:uid="{00000000-0005-0000-0000-0000F1640000}"/>
    <cellStyle name="Normal 19 9 2" xfId="25836" xr:uid="{00000000-0005-0000-0000-0000F2640000}"/>
    <cellStyle name="Normal 190" xfId="25837" xr:uid="{00000000-0005-0000-0000-0000F3640000}"/>
    <cellStyle name="Normal 190 2" xfId="25838" xr:uid="{00000000-0005-0000-0000-0000F4640000}"/>
    <cellStyle name="Normal 191" xfId="25839" xr:uid="{00000000-0005-0000-0000-0000F5640000}"/>
    <cellStyle name="Normal 191 10" xfId="25840" xr:uid="{00000000-0005-0000-0000-0000F6640000}"/>
    <cellStyle name="Normal 191 10 2" xfId="25841" xr:uid="{00000000-0005-0000-0000-0000F7640000}"/>
    <cellStyle name="Normal 191 11" xfId="25842" xr:uid="{00000000-0005-0000-0000-0000F8640000}"/>
    <cellStyle name="Normal 191 11 2" xfId="25843" xr:uid="{00000000-0005-0000-0000-0000F9640000}"/>
    <cellStyle name="Normal 191 12" xfId="25844" xr:uid="{00000000-0005-0000-0000-0000FA640000}"/>
    <cellStyle name="Normal 191 12 2" xfId="25845" xr:uid="{00000000-0005-0000-0000-0000FB640000}"/>
    <cellStyle name="Normal 191 13" xfId="25846" xr:uid="{00000000-0005-0000-0000-0000FC640000}"/>
    <cellStyle name="Normal 191 13 2" xfId="25847" xr:uid="{00000000-0005-0000-0000-0000FD640000}"/>
    <cellStyle name="Normal 191 14" xfId="25848" xr:uid="{00000000-0005-0000-0000-0000FE640000}"/>
    <cellStyle name="Normal 191 14 2" xfId="25849" xr:uid="{00000000-0005-0000-0000-0000FF640000}"/>
    <cellStyle name="Normal 191 15" xfId="25850" xr:uid="{00000000-0005-0000-0000-000000650000}"/>
    <cellStyle name="Normal 191 15 2" xfId="25851" xr:uid="{00000000-0005-0000-0000-000001650000}"/>
    <cellStyle name="Normal 191 16" xfId="25852" xr:uid="{00000000-0005-0000-0000-000002650000}"/>
    <cellStyle name="Normal 191 16 2" xfId="25853" xr:uid="{00000000-0005-0000-0000-000003650000}"/>
    <cellStyle name="Normal 191 17" xfId="25854" xr:uid="{00000000-0005-0000-0000-000004650000}"/>
    <cellStyle name="Normal 191 17 2" xfId="25855" xr:uid="{00000000-0005-0000-0000-000005650000}"/>
    <cellStyle name="Normal 191 18" xfId="25856" xr:uid="{00000000-0005-0000-0000-000006650000}"/>
    <cellStyle name="Normal 191 18 2" xfId="25857" xr:uid="{00000000-0005-0000-0000-000007650000}"/>
    <cellStyle name="Normal 191 19" xfId="25858" xr:uid="{00000000-0005-0000-0000-000008650000}"/>
    <cellStyle name="Normal 191 19 2" xfId="25859" xr:uid="{00000000-0005-0000-0000-000009650000}"/>
    <cellStyle name="Normal 191 2" xfId="25860" xr:uid="{00000000-0005-0000-0000-00000A650000}"/>
    <cellStyle name="Normal 191 2 2" xfId="25861" xr:uid="{00000000-0005-0000-0000-00000B650000}"/>
    <cellStyle name="Normal 191 20" xfId="25862" xr:uid="{00000000-0005-0000-0000-00000C650000}"/>
    <cellStyle name="Normal 191 20 2" xfId="25863" xr:uid="{00000000-0005-0000-0000-00000D650000}"/>
    <cellStyle name="Normal 191 21" xfId="25864" xr:uid="{00000000-0005-0000-0000-00000E650000}"/>
    <cellStyle name="Normal 191 21 2" xfId="25865" xr:uid="{00000000-0005-0000-0000-00000F650000}"/>
    <cellStyle name="Normal 191 22" xfId="25866" xr:uid="{00000000-0005-0000-0000-000010650000}"/>
    <cellStyle name="Normal 191 22 2" xfId="25867" xr:uid="{00000000-0005-0000-0000-000011650000}"/>
    <cellStyle name="Normal 191 23" xfId="25868" xr:uid="{00000000-0005-0000-0000-000012650000}"/>
    <cellStyle name="Normal 191 23 2" xfId="25869" xr:uid="{00000000-0005-0000-0000-000013650000}"/>
    <cellStyle name="Normal 191 24" xfId="25870" xr:uid="{00000000-0005-0000-0000-000014650000}"/>
    <cellStyle name="Normal 191 24 2" xfId="25871" xr:uid="{00000000-0005-0000-0000-000015650000}"/>
    <cellStyle name="Normal 191 25" xfId="25872" xr:uid="{00000000-0005-0000-0000-000016650000}"/>
    <cellStyle name="Normal 191 25 2" xfId="25873" xr:uid="{00000000-0005-0000-0000-000017650000}"/>
    <cellStyle name="Normal 191 26" xfId="25874" xr:uid="{00000000-0005-0000-0000-000018650000}"/>
    <cellStyle name="Normal 191 26 2" xfId="25875" xr:uid="{00000000-0005-0000-0000-000019650000}"/>
    <cellStyle name="Normal 191 27" xfId="25876" xr:uid="{00000000-0005-0000-0000-00001A650000}"/>
    <cellStyle name="Normal 191 27 2" xfId="25877" xr:uid="{00000000-0005-0000-0000-00001B650000}"/>
    <cellStyle name="Normal 191 28" xfId="25878" xr:uid="{00000000-0005-0000-0000-00001C650000}"/>
    <cellStyle name="Normal 191 28 2" xfId="25879" xr:uid="{00000000-0005-0000-0000-00001D650000}"/>
    <cellStyle name="Normal 191 29" xfId="25880" xr:uid="{00000000-0005-0000-0000-00001E650000}"/>
    <cellStyle name="Normal 191 29 2" xfId="25881" xr:uid="{00000000-0005-0000-0000-00001F650000}"/>
    <cellStyle name="Normal 191 3" xfId="25882" xr:uid="{00000000-0005-0000-0000-000020650000}"/>
    <cellStyle name="Normal 191 3 2" xfId="25883" xr:uid="{00000000-0005-0000-0000-000021650000}"/>
    <cellStyle name="Normal 191 30" xfId="25884" xr:uid="{00000000-0005-0000-0000-000022650000}"/>
    <cellStyle name="Normal 191 30 2" xfId="25885" xr:uid="{00000000-0005-0000-0000-000023650000}"/>
    <cellStyle name="Normal 191 31" xfId="25886" xr:uid="{00000000-0005-0000-0000-000024650000}"/>
    <cellStyle name="Normal 191 31 2" xfId="25887" xr:uid="{00000000-0005-0000-0000-000025650000}"/>
    <cellStyle name="Normal 191 32" xfId="25888" xr:uid="{00000000-0005-0000-0000-000026650000}"/>
    <cellStyle name="Normal 191 32 2" xfId="25889" xr:uid="{00000000-0005-0000-0000-000027650000}"/>
    <cellStyle name="Normal 191 33" xfId="25890" xr:uid="{00000000-0005-0000-0000-000028650000}"/>
    <cellStyle name="Normal 191 33 2" xfId="25891" xr:uid="{00000000-0005-0000-0000-000029650000}"/>
    <cellStyle name="Normal 191 34" xfId="25892" xr:uid="{00000000-0005-0000-0000-00002A650000}"/>
    <cellStyle name="Normal 191 34 2" xfId="25893" xr:uid="{00000000-0005-0000-0000-00002B650000}"/>
    <cellStyle name="Normal 191 35" xfId="25894" xr:uid="{00000000-0005-0000-0000-00002C650000}"/>
    <cellStyle name="Normal 191 35 2" xfId="25895" xr:uid="{00000000-0005-0000-0000-00002D650000}"/>
    <cellStyle name="Normal 191 36" xfId="25896" xr:uid="{00000000-0005-0000-0000-00002E650000}"/>
    <cellStyle name="Normal 191 36 2" xfId="25897" xr:uid="{00000000-0005-0000-0000-00002F650000}"/>
    <cellStyle name="Normal 191 37" xfId="25898" xr:uid="{00000000-0005-0000-0000-000030650000}"/>
    <cellStyle name="Normal 191 37 2" xfId="25899" xr:uid="{00000000-0005-0000-0000-000031650000}"/>
    <cellStyle name="Normal 191 38" xfId="25900" xr:uid="{00000000-0005-0000-0000-000032650000}"/>
    <cellStyle name="Normal 191 38 2" xfId="25901" xr:uid="{00000000-0005-0000-0000-000033650000}"/>
    <cellStyle name="Normal 191 39" xfId="25902" xr:uid="{00000000-0005-0000-0000-000034650000}"/>
    <cellStyle name="Normal 191 39 2" xfId="25903" xr:uid="{00000000-0005-0000-0000-000035650000}"/>
    <cellStyle name="Normal 191 4" xfId="25904" xr:uid="{00000000-0005-0000-0000-000036650000}"/>
    <cellStyle name="Normal 191 4 2" xfId="25905" xr:uid="{00000000-0005-0000-0000-000037650000}"/>
    <cellStyle name="Normal 191 40" xfId="25906" xr:uid="{00000000-0005-0000-0000-000038650000}"/>
    <cellStyle name="Normal 191 40 2" xfId="25907" xr:uid="{00000000-0005-0000-0000-000039650000}"/>
    <cellStyle name="Normal 191 41" xfId="25908" xr:uid="{00000000-0005-0000-0000-00003A650000}"/>
    <cellStyle name="Normal 191 41 2" xfId="25909" xr:uid="{00000000-0005-0000-0000-00003B650000}"/>
    <cellStyle name="Normal 191 42" xfId="25910" xr:uid="{00000000-0005-0000-0000-00003C650000}"/>
    <cellStyle name="Normal 191 42 2" xfId="25911" xr:uid="{00000000-0005-0000-0000-00003D650000}"/>
    <cellStyle name="Normal 191 43" xfId="25912" xr:uid="{00000000-0005-0000-0000-00003E650000}"/>
    <cellStyle name="Normal 191 43 2" xfId="25913" xr:uid="{00000000-0005-0000-0000-00003F650000}"/>
    <cellStyle name="Normal 191 44" xfId="25914" xr:uid="{00000000-0005-0000-0000-000040650000}"/>
    <cellStyle name="Normal 191 44 2" xfId="25915" xr:uid="{00000000-0005-0000-0000-000041650000}"/>
    <cellStyle name="Normal 191 45" xfId="25916" xr:uid="{00000000-0005-0000-0000-000042650000}"/>
    <cellStyle name="Normal 191 45 2" xfId="25917" xr:uid="{00000000-0005-0000-0000-000043650000}"/>
    <cellStyle name="Normal 191 46" xfId="25918" xr:uid="{00000000-0005-0000-0000-000044650000}"/>
    <cellStyle name="Normal 191 46 2" xfId="25919" xr:uid="{00000000-0005-0000-0000-000045650000}"/>
    <cellStyle name="Normal 191 47" xfId="25920" xr:uid="{00000000-0005-0000-0000-000046650000}"/>
    <cellStyle name="Normal 191 47 2" xfId="25921" xr:uid="{00000000-0005-0000-0000-000047650000}"/>
    <cellStyle name="Normal 191 48" xfId="25922" xr:uid="{00000000-0005-0000-0000-000048650000}"/>
    <cellStyle name="Normal 191 48 2" xfId="25923" xr:uid="{00000000-0005-0000-0000-000049650000}"/>
    <cellStyle name="Normal 191 49" xfId="25924" xr:uid="{00000000-0005-0000-0000-00004A650000}"/>
    <cellStyle name="Normal 191 49 2" xfId="25925" xr:uid="{00000000-0005-0000-0000-00004B650000}"/>
    <cellStyle name="Normal 191 5" xfId="25926" xr:uid="{00000000-0005-0000-0000-00004C650000}"/>
    <cellStyle name="Normal 191 5 2" xfId="25927" xr:uid="{00000000-0005-0000-0000-00004D650000}"/>
    <cellStyle name="Normal 191 50" xfId="25928" xr:uid="{00000000-0005-0000-0000-00004E650000}"/>
    <cellStyle name="Normal 191 50 2" xfId="25929" xr:uid="{00000000-0005-0000-0000-00004F650000}"/>
    <cellStyle name="Normal 191 51" xfId="25930" xr:uid="{00000000-0005-0000-0000-000050650000}"/>
    <cellStyle name="Normal 191 51 2" xfId="25931" xr:uid="{00000000-0005-0000-0000-000051650000}"/>
    <cellStyle name="Normal 191 52" xfId="25932" xr:uid="{00000000-0005-0000-0000-000052650000}"/>
    <cellStyle name="Normal 191 52 2" xfId="25933" xr:uid="{00000000-0005-0000-0000-000053650000}"/>
    <cellStyle name="Normal 191 53" xfId="25934" xr:uid="{00000000-0005-0000-0000-000054650000}"/>
    <cellStyle name="Normal 191 53 2" xfId="25935" xr:uid="{00000000-0005-0000-0000-000055650000}"/>
    <cellStyle name="Normal 191 54" xfId="25936" xr:uid="{00000000-0005-0000-0000-000056650000}"/>
    <cellStyle name="Normal 191 54 2" xfId="25937" xr:uid="{00000000-0005-0000-0000-000057650000}"/>
    <cellStyle name="Normal 191 55" xfId="25938" xr:uid="{00000000-0005-0000-0000-000058650000}"/>
    <cellStyle name="Normal 191 55 2" xfId="25939" xr:uid="{00000000-0005-0000-0000-000059650000}"/>
    <cellStyle name="Normal 191 56" xfId="25940" xr:uid="{00000000-0005-0000-0000-00005A650000}"/>
    <cellStyle name="Normal 191 56 2" xfId="25941" xr:uid="{00000000-0005-0000-0000-00005B650000}"/>
    <cellStyle name="Normal 191 57" xfId="25942" xr:uid="{00000000-0005-0000-0000-00005C650000}"/>
    <cellStyle name="Normal 191 57 2" xfId="25943" xr:uid="{00000000-0005-0000-0000-00005D650000}"/>
    <cellStyle name="Normal 191 58" xfId="25944" xr:uid="{00000000-0005-0000-0000-00005E650000}"/>
    <cellStyle name="Normal 191 58 2" xfId="25945" xr:uid="{00000000-0005-0000-0000-00005F650000}"/>
    <cellStyle name="Normal 191 59" xfId="25946" xr:uid="{00000000-0005-0000-0000-000060650000}"/>
    <cellStyle name="Normal 191 59 2" xfId="25947" xr:uid="{00000000-0005-0000-0000-000061650000}"/>
    <cellStyle name="Normal 191 6" xfId="25948" xr:uid="{00000000-0005-0000-0000-000062650000}"/>
    <cellStyle name="Normal 191 6 2" xfId="25949" xr:uid="{00000000-0005-0000-0000-000063650000}"/>
    <cellStyle name="Normal 191 60" xfId="25950" xr:uid="{00000000-0005-0000-0000-000064650000}"/>
    <cellStyle name="Normal 191 60 2" xfId="25951" xr:uid="{00000000-0005-0000-0000-000065650000}"/>
    <cellStyle name="Normal 191 61" xfId="25952" xr:uid="{00000000-0005-0000-0000-000066650000}"/>
    <cellStyle name="Normal 191 61 2" xfId="25953" xr:uid="{00000000-0005-0000-0000-000067650000}"/>
    <cellStyle name="Normal 191 62" xfId="25954" xr:uid="{00000000-0005-0000-0000-000068650000}"/>
    <cellStyle name="Normal 191 62 2" xfId="25955" xr:uid="{00000000-0005-0000-0000-000069650000}"/>
    <cellStyle name="Normal 191 62 3" xfId="25956" xr:uid="{00000000-0005-0000-0000-00006A650000}"/>
    <cellStyle name="Normal 191 63" xfId="25957" xr:uid="{00000000-0005-0000-0000-00006B650000}"/>
    <cellStyle name="Normal 191 7" xfId="25958" xr:uid="{00000000-0005-0000-0000-00006C650000}"/>
    <cellStyle name="Normal 191 7 2" xfId="25959" xr:uid="{00000000-0005-0000-0000-00006D650000}"/>
    <cellStyle name="Normal 191 8" xfId="25960" xr:uid="{00000000-0005-0000-0000-00006E650000}"/>
    <cellStyle name="Normal 191 8 2" xfId="25961" xr:uid="{00000000-0005-0000-0000-00006F650000}"/>
    <cellStyle name="Normal 191 9" xfId="25962" xr:uid="{00000000-0005-0000-0000-000070650000}"/>
    <cellStyle name="Normal 191 9 2" xfId="25963" xr:uid="{00000000-0005-0000-0000-000071650000}"/>
    <cellStyle name="Normal 192" xfId="25964" xr:uid="{00000000-0005-0000-0000-000072650000}"/>
    <cellStyle name="Normal 192 10" xfId="25965" xr:uid="{00000000-0005-0000-0000-000073650000}"/>
    <cellStyle name="Normal 192 10 2" xfId="25966" xr:uid="{00000000-0005-0000-0000-000074650000}"/>
    <cellStyle name="Normal 192 11" xfId="25967" xr:uid="{00000000-0005-0000-0000-000075650000}"/>
    <cellStyle name="Normal 192 11 2" xfId="25968" xr:uid="{00000000-0005-0000-0000-000076650000}"/>
    <cellStyle name="Normal 192 12" xfId="25969" xr:uid="{00000000-0005-0000-0000-000077650000}"/>
    <cellStyle name="Normal 192 12 2" xfId="25970" xr:uid="{00000000-0005-0000-0000-000078650000}"/>
    <cellStyle name="Normal 192 13" xfId="25971" xr:uid="{00000000-0005-0000-0000-000079650000}"/>
    <cellStyle name="Normal 192 13 2" xfId="25972" xr:uid="{00000000-0005-0000-0000-00007A650000}"/>
    <cellStyle name="Normal 192 14" xfId="25973" xr:uid="{00000000-0005-0000-0000-00007B650000}"/>
    <cellStyle name="Normal 192 14 2" xfId="25974" xr:uid="{00000000-0005-0000-0000-00007C650000}"/>
    <cellStyle name="Normal 192 15" xfId="25975" xr:uid="{00000000-0005-0000-0000-00007D650000}"/>
    <cellStyle name="Normal 192 15 2" xfId="25976" xr:uid="{00000000-0005-0000-0000-00007E650000}"/>
    <cellStyle name="Normal 192 16" xfId="25977" xr:uid="{00000000-0005-0000-0000-00007F650000}"/>
    <cellStyle name="Normal 192 16 2" xfId="25978" xr:uid="{00000000-0005-0000-0000-000080650000}"/>
    <cellStyle name="Normal 192 17" xfId="25979" xr:uid="{00000000-0005-0000-0000-000081650000}"/>
    <cellStyle name="Normal 192 17 2" xfId="25980" xr:uid="{00000000-0005-0000-0000-000082650000}"/>
    <cellStyle name="Normal 192 18" xfId="25981" xr:uid="{00000000-0005-0000-0000-000083650000}"/>
    <cellStyle name="Normal 192 18 2" xfId="25982" xr:uid="{00000000-0005-0000-0000-000084650000}"/>
    <cellStyle name="Normal 192 19" xfId="25983" xr:uid="{00000000-0005-0000-0000-000085650000}"/>
    <cellStyle name="Normal 192 19 2" xfId="25984" xr:uid="{00000000-0005-0000-0000-000086650000}"/>
    <cellStyle name="Normal 192 2" xfId="25985" xr:uid="{00000000-0005-0000-0000-000087650000}"/>
    <cellStyle name="Normal 192 2 2" xfId="25986" xr:uid="{00000000-0005-0000-0000-000088650000}"/>
    <cellStyle name="Normal 192 20" xfId="25987" xr:uid="{00000000-0005-0000-0000-000089650000}"/>
    <cellStyle name="Normal 192 20 2" xfId="25988" xr:uid="{00000000-0005-0000-0000-00008A650000}"/>
    <cellStyle name="Normal 192 21" xfId="25989" xr:uid="{00000000-0005-0000-0000-00008B650000}"/>
    <cellStyle name="Normal 192 21 2" xfId="25990" xr:uid="{00000000-0005-0000-0000-00008C650000}"/>
    <cellStyle name="Normal 192 22" xfId="25991" xr:uid="{00000000-0005-0000-0000-00008D650000}"/>
    <cellStyle name="Normal 192 22 2" xfId="25992" xr:uid="{00000000-0005-0000-0000-00008E650000}"/>
    <cellStyle name="Normal 192 23" xfId="25993" xr:uid="{00000000-0005-0000-0000-00008F650000}"/>
    <cellStyle name="Normal 192 23 2" xfId="25994" xr:uid="{00000000-0005-0000-0000-000090650000}"/>
    <cellStyle name="Normal 192 24" xfId="25995" xr:uid="{00000000-0005-0000-0000-000091650000}"/>
    <cellStyle name="Normal 192 24 2" xfId="25996" xr:uid="{00000000-0005-0000-0000-000092650000}"/>
    <cellStyle name="Normal 192 25" xfId="25997" xr:uid="{00000000-0005-0000-0000-000093650000}"/>
    <cellStyle name="Normal 192 25 2" xfId="25998" xr:uid="{00000000-0005-0000-0000-000094650000}"/>
    <cellStyle name="Normal 192 26" xfId="25999" xr:uid="{00000000-0005-0000-0000-000095650000}"/>
    <cellStyle name="Normal 192 26 2" xfId="26000" xr:uid="{00000000-0005-0000-0000-000096650000}"/>
    <cellStyle name="Normal 192 27" xfId="26001" xr:uid="{00000000-0005-0000-0000-000097650000}"/>
    <cellStyle name="Normal 192 27 2" xfId="26002" xr:uid="{00000000-0005-0000-0000-000098650000}"/>
    <cellStyle name="Normal 192 28" xfId="26003" xr:uid="{00000000-0005-0000-0000-000099650000}"/>
    <cellStyle name="Normal 192 28 2" xfId="26004" xr:uid="{00000000-0005-0000-0000-00009A650000}"/>
    <cellStyle name="Normal 192 29" xfId="26005" xr:uid="{00000000-0005-0000-0000-00009B650000}"/>
    <cellStyle name="Normal 192 29 2" xfId="26006" xr:uid="{00000000-0005-0000-0000-00009C650000}"/>
    <cellStyle name="Normal 192 3" xfId="26007" xr:uid="{00000000-0005-0000-0000-00009D650000}"/>
    <cellStyle name="Normal 192 3 2" xfId="26008" xr:uid="{00000000-0005-0000-0000-00009E650000}"/>
    <cellStyle name="Normal 192 30" xfId="26009" xr:uid="{00000000-0005-0000-0000-00009F650000}"/>
    <cellStyle name="Normal 192 30 2" xfId="26010" xr:uid="{00000000-0005-0000-0000-0000A0650000}"/>
    <cellStyle name="Normal 192 31" xfId="26011" xr:uid="{00000000-0005-0000-0000-0000A1650000}"/>
    <cellStyle name="Normal 192 31 2" xfId="26012" xr:uid="{00000000-0005-0000-0000-0000A2650000}"/>
    <cellStyle name="Normal 192 32" xfId="26013" xr:uid="{00000000-0005-0000-0000-0000A3650000}"/>
    <cellStyle name="Normal 192 32 2" xfId="26014" xr:uid="{00000000-0005-0000-0000-0000A4650000}"/>
    <cellStyle name="Normal 192 33" xfId="26015" xr:uid="{00000000-0005-0000-0000-0000A5650000}"/>
    <cellStyle name="Normal 192 33 2" xfId="26016" xr:uid="{00000000-0005-0000-0000-0000A6650000}"/>
    <cellStyle name="Normal 192 34" xfId="26017" xr:uid="{00000000-0005-0000-0000-0000A7650000}"/>
    <cellStyle name="Normal 192 34 2" xfId="26018" xr:uid="{00000000-0005-0000-0000-0000A8650000}"/>
    <cellStyle name="Normal 192 35" xfId="26019" xr:uid="{00000000-0005-0000-0000-0000A9650000}"/>
    <cellStyle name="Normal 192 35 2" xfId="26020" xr:uid="{00000000-0005-0000-0000-0000AA650000}"/>
    <cellStyle name="Normal 192 36" xfId="26021" xr:uid="{00000000-0005-0000-0000-0000AB650000}"/>
    <cellStyle name="Normal 192 36 2" xfId="26022" xr:uid="{00000000-0005-0000-0000-0000AC650000}"/>
    <cellStyle name="Normal 192 37" xfId="26023" xr:uid="{00000000-0005-0000-0000-0000AD650000}"/>
    <cellStyle name="Normal 192 37 2" xfId="26024" xr:uid="{00000000-0005-0000-0000-0000AE650000}"/>
    <cellStyle name="Normal 192 38" xfId="26025" xr:uid="{00000000-0005-0000-0000-0000AF650000}"/>
    <cellStyle name="Normal 192 38 2" xfId="26026" xr:uid="{00000000-0005-0000-0000-0000B0650000}"/>
    <cellStyle name="Normal 192 39" xfId="26027" xr:uid="{00000000-0005-0000-0000-0000B1650000}"/>
    <cellStyle name="Normal 192 39 2" xfId="26028" xr:uid="{00000000-0005-0000-0000-0000B2650000}"/>
    <cellStyle name="Normal 192 4" xfId="26029" xr:uid="{00000000-0005-0000-0000-0000B3650000}"/>
    <cellStyle name="Normal 192 4 2" xfId="26030" xr:uid="{00000000-0005-0000-0000-0000B4650000}"/>
    <cellStyle name="Normal 192 40" xfId="26031" xr:uid="{00000000-0005-0000-0000-0000B5650000}"/>
    <cellStyle name="Normal 192 40 2" xfId="26032" xr:uid="{00000000-0005-0000-0000-0000B6650000}"/>
    <cellStyle name="Normal 192 41" xfId="26033" xr:uid="{00000000-0005-0000-0000-0000B7650000}"/>
    <cellStyle name="Normal 192 41 2" xfId="26034" xr:uid="{00000000-0005-0000-0000-0000B8650000}"/>
    <cellStyle name="Normal 192 42" xfId="26035" xr:uid="{00000000-0005-0000-0000-0000B9650000}"/>
    <cellStyle name="Normal 192 42 2" xfId="26036" xr:uid="{00000000-0005-0000-0000-0000BA650000}"/>
    <cellStyle name="Normal 192 43" xfId="26037" xr:uid="{00000000-0005-0000-0000-0000BB650000}"/>
    <cellStyle name="Normal 192 43 2" xfId="26038" xr:uid="{00000000-0005-0000-0000-0000BC650000}"/>
    <cellStyle name="Normal 192 44" xfId="26039" xr:uid="{00000000-0005-0000-0000-0000BD650000}"/>
    <cellStyle name="Normal 192 44 2" xfId="26040" xr:uid="{00000000-0005-0000-0000-0000BE650000}"/>
    <cellStyle name="Normal 192 45" xfId="26041" xr:uid="{00000000-0005-0000-0000-0000BF650000}"/>
    <cellStyle name="Normal 192 45 2" xfId="26042" xr:uid="{00000000-0005-0000-0000-0000C0650000}"/>
    <cellStyle name="Normal 192 46" xfId="26043" xr:uid="{00000000-0005-0000-0000-0000C1650000}"/>
    <cellStyle name="Normal 192 46 2" xfId="26044" xr:uid="{00000000-0005-0000-0000-0000C2650000}"/>
    <cellStyle name="Normal 192 47" xfId="26045" xr:uid="{00000000-0005-0000-0000-0000C3650000}"/>
    <cellStyle name="Normal 192 47 2" xfId="26046" xr:uid="{00000000-0005-0000-0000-0000C4650000}"/>
    <cellStyle name="Normal 192 48" xfId="26047" xr:uid="{00000000-0005-0000-0000-0000C5650000}"/>
    <cellStyle name="Normal 192 48 2" xfId="26048" xr:uid="{00000000-0005-0000-0000-0000C6650000}"/>
    <cellStyle name="Normal 192 49" xfId="26049" xr:uid="{00000000-0005-0000-0000-0000C7650000}"/>
    <cellStyle name="Normal 192 49 2" xfId="26050" xr:uid="{00000000-0005-0000-0000-0000C8650000}"/>
    <cellStyle name="Normal 192 5" xfId="26051" xr:uid="{00000000-0005-0000-0000-0000C9650000}"/>
    <cellStyle name="Normal 192 5 2" xfId="26052" xr:uid="{00000000-0005-0000-0000-0000CA650000}"/>
    <cellStyle name="Normal 192 50" xfId="26053" xr:uid="{00000000-0005-0000-0000-0000CB650000}"/>
    <cellStyle name="Normal 192 50 2" xfId="26054" xr:uid="{00000000-0005-0000-0000-0000CC650000}"/>
    <cellStyle name="Normal 192 51" xfId="26055" xr:uid="{00000000-0005-0000-0000-0000CD650000}"/>
    <cellStyle name="Normal 192 51 2" xfId="26056" xr:uid="{00000000-0005-0000-0000-0000CE650000}"/>
    <cellStyle name="Normal 192 52" xfId="26057" xr:uid="{00000000-0005-0000-0000-0000CF650000}"/>
    <cellStyle name="Normal 192 52 2" xfId="26058" xr:uid="{00000000-0005-0000-0000-0000D0650000}"/>
    <cellStyle name="Normal 192 53" xfId="26059" xr:uid="{00000000-0005-0000-0000-0000D1650000}"/>
    <cellStyle name="Normal 192 53 2" xfId="26060" xr:uid="{00000000-0005-0000-0000-0000D2650000}"/>
    <cellStyle name="Normal 192 54" xfId="26061" xr:uid="{00000000-0005-0000-0000-0000D3650000}"/>
    <cellStyle name="Normal 192 54 2" xfId="26062" xr:uid="{00000000-0005-0000-0000-0000D4650000}"/>
    <cellStyle name="Normal 192 55" xfId="26063" xr:uid="{00000000-0005-0000-0000-0000D5650000}"/>
    <cellStyle name="Normal 192 55 2" xfId="26064" xr:uid="{00000000-0005-0000-0000-0000D6650000}"/>
    <cellStyle name="Normal 192 56" xfId="26065" xr:uid="{00000000-0005-0000-0000-0000D7650000}"/>
    <cellStyle name="Normal 192 56 2" xfId="26066" xr:uid="{00000000-0005-0000-0000-0000D8650000}"/>
    <cellStyle name="Normal 192 57" xfId="26067" xr:uid="{00000000-0005-0000-0000-0000D9650000}"/>
    <cellStyle name="Normal 192 57 2" xfId="26068" xr:uid="{00000000-0005-0000-0000-0000DA650000}"/>
    <cellStyle name="Normal 192 58" xfId="26069" xr:uid="{00000000-0005-0000-0000-0000DB650000}"/>
    <cellStyle name="Normal 192 58 2" xfId="26070" xr:uid="{00000000-0005-0000-0000-0000DC650000}"/>
    <cellStyle name="Normal 192 59" xfId="26071" xr:uid="{00000000-0005-0000-0000-0000DD650000}"/>
    <cellStyle name="Normal 192 59 2" xfId="26072" xr:uid="{00000000-0005-0000-0000-0000DE650000}"/>
    <cellStyle name="Normal 192 6" xfId="26073" xr:uid="{00000000-0005-0000-0000-0000DF650000}"/>
    <cellStyle name="Normal 192 6 2" xfId="26074" xr:uid="{00000000-0005-0000-0000-0000E0650000}"/>
    <cellStyle name="Normal 192 60" xfId="26075" xr:uid="{00000000-0005-0000-0000-0000E1650000}"/>
    <cellStyle name="Normal 192 60 2" xfId="26076" xr:uid="{00000000-0005-0000-0000-0000E2650000}"/>
    <cellStyle name="Normal 192 61" xfId="26077" xr:uid="{00000000-0005-0000-0000-0000E3650000}"/>
    <cellStyle name="Normal 192 61 2" xfId="26078" xr:uid="{00000000-0005-0000-0000-0000E4650000}"/>
    <cellStyle name="Normal 192 62" xfId="26079" xr:uid="{00000000-0005-0000-0000-0000E5650000}"/>
    <cellStyle name="Normal 192 62 2" xfId="26080" xr:uid="{00000000-0005-0000-0000-0000E6650000}"/>
    <cellStyle name="Normal 192 62 3" xfId="26081" xr:uid="{00000000-0005-0000-0000-0000E7650000}"/>
    <cellStyle name="Normal 192 63" xfId="26082" xr:uid="{00000000-0005-0000-0000-0000E8650000}"/>
    <cellStyle name="Normal 192 7" xfId="26083" xr:uid="{00000000-0005-0000-0000-0000E9650000}"/>
    <cellStyle name="Normal 192 7 2" xfId="26084" xr:uid="{00000000-0005-0000-0000-0000EA650000}"/>
    <cellStyle name="Normal 192 8" xfId="26085" xr:uid="{00000000-0005-0000-0000-0000EB650000}"/>
    <cellStyle name="Normal 192 8 2" xfId="26086" xr:uid="{00000000-0005-0000-0000-0000EC650000}"/>
    <cellStyle name="Normal 192 9" xfId="26087" xr:uid="{00000000-0005-0000-0000-0000ED650000}"/>
    <cellStyle name="Normal 192 9 2" xfId="26088" xr:uid="{00000000-0005-0000-0000-0000EE650000}"/>
    <cellStyle name="Normal 193" xfId="26089" xr:uid="{00000000-0005-0000-0000-0000EF650000}"/>
    <cellStyle name="Normal 193 2" xfId="26090" xr:uid="{00000000-0005-0000-0000-0000F0650000}"/>
    <cellStyle name="Normal 194" xfId="26091" xr:uid="{00000000-0005-0000-0000-0000F1650000}"/>
    <cellStyle name="Normal 194 2" xfId="26092" xr:uid="{00000000-0005-0000-0000-0000F2650000}"/>
    <cellStyle name="Normal 195" xfId="26093" xr:uid="{00000000-0005-0000-0000-0000F3650000}"/>
    <cellStyle name="Normal 195 2" xfId="26094" xr:uid="{00000000-0005-0000-0000-0000F4650000}"/>
    <cellStyle name="Normal 196" xfId="26095" xr:uid="{00000000-0005-0000-0000-0000F5650000}"/>
    <cellStyle name="Normal 196 2" xfId="26096" xr:uid="{00000000-0005-0000-0000-0000F6650000}"/>
    <cellStyle name="Normal 197" xfId="26097" xr:uid="{00000000-0005-0000-0000-0000F7650000}"/>
    <cellStyle name="Normal 197 10" xfId="26098" xr:uid="{00000000-0005-0000-0000-0000F8650000}"/>
    <cellStyle name="Normal 197 10 2" xfId="26099" xr:uid="{00000000-0005-0000-0000-0000F9650000}"/>
    <cellStyle name="Normal 197 11" xfId="26100" xr:uid="{00000000-0005-0000-0000-0000FA650000}"/>
    <cellStyle name="Normal 197 11 2" xfId="26101" xr:uid="{00000000-0005-0000-0000-0000FB650000}"/>
    <cellStyle name="Normal 197 12" xfId="26102" xr:uid="{00000000-0005-0000-0000-0000FC650000}"/>
    <cellStyle name="Normal 197 12 2" xfId="26103" xr:uid="{00000000-0005-0000-0000-0000FD650000}"/>
    <cellStyle name="Normal 197 13" xfId="26104" xr:uid="{00000000-0005-0000-0000-0000FE650000}"/>
    <cellStyle name="Normal 197 13 2" xfId="26105" xr:uid="{00000000-0005-0000-0000-0000FF650000}"/>
    <cellStyle name="Normal 197 14" xfId="26106" xr:uid="{00000000-0005-0000-0000-000000660000}"/>
    <cellStyle name="Normal 197 14 2" xfId="26107" xr:uid="{00000000-0005-0000-0000-000001660000}"/>
    <cellStyle name="Normal 197 15" xfId="26108" xr:uid="{00000000-0005-0000-0000-000002660000}"/>
    <cellStyle name="Normal 197 15 2" xfId="26109" xr:uid="{00000000-0005-0000-0000-000003660000}"/>
    <cellStyle name="Normal 197 16" xfId="26110" xr:uid="{00000000-0005-0000-0000-000004660000}"/>
    <cellStyle name="Normal 197 16 2" xfId="26111" xr:uid="{00000000-0005-0000-0000-000005660000}"/>
    <cellStyle name="Normal 197 17" xfId="26112" xr:uid="{00000000-0005-0000-0000-000006660000}"/>
    <cellStyle name="Normal 197 17 2" xfId="26113" xr:uid="{00000000-0005-0000-0000-000007660000}"/>
    <cellStyle name="Normal 197 18" xfId="26114" xr:uid="{00000000-0005-0000-0000-000008660000}"/>
    <cellStyle name="Normal 197 18 2" xfId="26115" xr:uid="{00000000-0005-0000-0000-000009660000}"/>
    <cellStyle name="Normal 197 19" xfId="26116" xr:uid="{00000000-0005-0000-0000-00000A660000}"/>
    <cellStyle name="Normal 197 19 2" xfId="26117" xr:uid="{00000000-0005-0000-0000-00000B660000}"/>
    <cellStyle name="Normal 197 2" xfId="26118" xr:uid="{00000000-0005-0000-0000-00000C660000}"/>
    <cellStyle name="Normal 197 2 2" xfId="26119" xr:uid="{00000000-0005-0000-0000-00000D660000}"/>
    <cellStyle name="Normal 197 20" xfId="26120" xr:uid="{00000000-0005-0000-0000-00000E660000}"/>
    <cellStyle name="Normal 197 20 2" xfId="26121" xr:uid="{00000000-0005-0000-0000-00000F660000}"/>
    <cellStyle name="Normal 197 21" xfId="26122" xr:uid="{00000000-0005-0000-0000-000010660000}"/>
    <cellStyle name="Normal 197 21 2" xfId="26123" xr:uid="{00000000-0005-0000-0000-000011660000}"/>
    <cellStyle name="Normal 197 22" xfId="26124" xr:uid="{00000000-0005-0000-0000-000012660000}"/>
    <cellStyle name="Normal 197 22 2" xfId="26125" xr:uid="{00000000-0005-0000-0000-000013660000}"/>
    <cellStyle name="Normal 197 23" xfId="26126" xr:uid="{00000000-0005-0000-0000-000014660000}"/>
    <cellStyle name="Normal 197 23 2" xfId="26127" xr:uid="{00000000-0005-0000-0000-000015660000}"/>
    <cellStyle name="Normal 197 24" xfId="26128" xr:uid="{00000000-0005-0000-0000-000016660000}"/>
    <cellStyle name="Normal 197 24 2" xfId="26129" xr:uid="{00000000-0005-0000-0000-000017660000}"/>
    <cellStyle name="Normal 197 25" xfId="26130" xr:uid="{00000000-0005-0000-0000-000018660000}"/>
    <cellStyle name="Normal 197 25 2" xfId="26131" xr:uid="{00000000-0005-0000-0000-000019660000}"/>
    <cellStyle name="Normal 197 26" xfId="26132" xr:uid="{00000000-0005-0000-0000-00001A660000}"/>
    <cellStyle name="Normal 197 26 2" xfId="26133" xr:uid="{00000000-0005-0000-0000-00001B660000}"/>
    <cellStyle name="Normal 197 27" xfId="26134" xr:uid="{00000000-0005-0000-0000-00001C660000}"/>
    <cellStyle name="Normal 197 27 2" xfId="26135" xr:uid="{00000000-0005-0000-0000-00001D660000}"/>
    <cellStyle name="Normal 197 28" xfId="26136" xr:uid="{00000000-0005-0000-0000-00001E660000}"/>
    <cellStyle name="Normal 197 28 2" xfId="26137" xr:uid="{00000000-0005-0000-0000-00001F660000}"/>
    <cellStyle name="Normal 197 29" xfId="26138" xr:uid="{00000000-0005-0000-0000-000020660000}"/>
    <cellStyle name="Normal 197 29 2" xfId="26139" xr:uid="{00000000-0005-0000-0000-000021660000}"/>
    <cellStyle name="Normal 197 3" xfId="26140" xr:uid="{00000000-0005-0000-0000-000022660000}"/>
    <cellStyle name="Normal 197 3 2" xfId="26141" xr:uid="{00000000-0005-0000-0000-000023660000}"/>
    <cellStyle name="Normal 197 30" xfId="26142" xr:uid="{00000000-0005-0000-0000-000024660000}"/>
    <cellStyle name="Normal 197 30 2" xfId="26143" xr:uid="{00000000-0005-0000-0000-000025660000}"/>
    <cellStyle name="Normal 197 31" xfId="26144" xr:uid="{00000000-0005-0000-0000-000026660000}"/>
    <cellStyle name="Normal 197 31 2" xfId="26145" xr:uid="{00000000-0005-0000-0000-000027660000}"/>
    <cellStyle name="Normal 197 32" xfId="26146" xr:uid="{00000000-0005-0000-0000-000028660000}"/>
    <cellStyle name="Normal 197 32 2" xfId="26147" xr:uid="{00000000-0005-0000-0000-000029660000}"/>
    <cellStyle name="Normal 197 33" xfId="26148" xr:uid="{00000000-0005-0000-0000-00002A660000}"/>
    <cellStyle name="Normal 197 33 2" xfId="26149" xr:uid="{00000000-0005-0000-0000-00002B660000}"/>
    <cellStyle name="Normal 197 34" xfId="26150" xr:uid="{00000000-0005-0000-0000-00002C660000}"/>
    <cellStyle name="Normal 197 34 2" xfId="26151" xr:uid="{00000000-0005-0000-0000-00002D660000}"/>
    <cellStyle name="Normal 197 35" xfId="26152" xr:uid="{00000000-0005-0000-0000-00002E660000}"/>
    <cellStyle name="Normal 197 35 2" xfId="26153" xr:uid="{00000000-0005-0000-0000-00002F660000}"/>
    <cellStyle name="Normal 197 36" xfId="26154" xr:uid="{00000000-0005-0000-0000-000030660000}"/>
    <cellStyle name="Normal 197 36 2" xfId="26155" xr:uid="{00000000-0005-0000-0000-000031660000}"/>
    <cellStyle name="Normal 197 37" xfId="26156" xr:uid="{00000000-0005-0000-0000-000032660000}"/>
    <cellStyle name="Normal 197 37 2" xfId="26157" xr:uid="{00000000-0005-0000-0000-000033660000}"/>
    <cellStyle name="Normal 197 38" xfId="26158" xr:uid="{00000000-0005-0000-0000-000034660000}"/>
    <cellStyle name="Normal 197 38 2" xfId="26159" xr:uid="{00000000-0005-0000-0000-000035660000}"/>
    <cellStyle name="Normal 197 39" xfId="26160" xr:uid="{00000000-0005-0000-0000-000036660000}"/>
    <cellStyle name="Normal 197 39 2" xfId="26161" xr:uid="{00000000-0005-0000-0000-000037660000}"/>
    <cellStyle name="Normal 197 4" xfId="26162" xr:uid="{00000000-0005-0000-0000-000038660000}"/>
    <cellStyle name="Normal 197 4 2" xfId="26163" xr:uid="{00000000-0005-0000-0000-000039660000}"/>
    <cellStyle name="Normal 197 40" xfId="26164" xr:uid="{00000000-0005-0000-0000-00003A660000}"/>
    <cellStyle name="Normal 197 40 2" xfId="26165" xr:uid="{00000000-0005-0000-0000-00003B660000}"/>
    <cellStyle name="Normal 197 41" xfId="26166" xr:uid="{00000000-0005-0000-0000-00003C660000}"/>
    <cellStyle name="Normal 197 41 2" xfId="26167" xr:uid="{00000000-0005-0000-0000-00003D660000}"/>
    <cellStyle name="Normal 197 42" xfId="26168" xr:uid="{00000000-0005-0000-0000-00003E660000}"/>
    <cellStyle name="Normal 197 42 2" xfId="26169" xr:uid="{00000000-0005-0000-0000-00003F660000}"/>
    <cellStyle name="Normal 197 43" xfId="26170" xr:uid="{00000000-0005-0000-0000-000040660000}"/>
    <cellStyle name="Normal 197 43 2" xfId="26171" xr:uid="{00000000-0005-0000-0000-000041660000}"/>
    <cellStyle name="Normal 197 44" xfId="26172" xr:uid="{00000000-0005-0000-0000-000042660000}"/>
    <cellStyle name="Normal 197 44 2" xfId="26173" xr:uid="{00000000-0005-0000-0000-000043660000}"/>
    <cellStyle name="Normal 197 45" xfId="26174" xr:uid="{00000000-0005-0000-0000-000044660000}"/>
    <cellStyle name="Normal 197 45 2" xfId="26175" xr:uid="{00000000-0005-0000-0000-000045660000}"/>
    <cellStyle name="Normal 197 46" xfId="26176" xr:uid="{00000000-0005-0000-0000-000046660000}"/>
    <cellStyle name="Normal 197 46 2" xfId="26177" xr:uid="{00000000-0005-0000-0000-000047660000}"/>
    <cellStyle name="Normal 197 47" xfId="26178" xr:uid="{00000000-0005-0000-0000-000048660000}"/>
    <cellStyle name="Normal 197 47 2" xfId="26179" xr:uid="{00000000-0005-0000-0000-000049660000}"/>
    <cellStyle name="Normal 197 48" xfId="26180" xr:uid="{00000000-0005-0000-0000-00004A660000}"/>
    <cellStyle name="Normal 197 48 2" xfId="26181" xr:uid="{00000000-0005-0000-0000-00004B660000}"/>
    <cellStyle name="Normal 197 49" xfId="26182" xr:uid="{00000000-0005-0000-0000-00004C660000}"/>
    <cellStyle name="Normal 197 49 2" xfId="26183" xr:uid="{00000000-0005-0000-0000-00004D660000}"/>
    <cellStyle name="Normal 197 5" xfId="26184" xr:uid="{00000000-0005-0000-0000-00004E660000}"/>
    <cellStyle name="Normal 197 5 2" xfId="26185" xr:uid="{00000000-0005-0000-0000-00004F660000}"/>
    <cellStyle name="Normal 197 50" xfId="26186" xr:uid="{00000000-0005-0000-0000-000050660000}"/>
    <cellStyle name="Normal 197 50 2" xfId="26187" xr:uid="{00000000-0005-0000-0000-000051660000}"/>
    <cellStyle name="Normal 197 51" xfId="26188" xr:uid="{00000000-0005-0000-0000-000052660000}"/>
    <cellStyle name="Normal 197 51 2" xfId="26189" xr:uid="{00000000-0005-0000-0000-000053660000}"/>
    <cellStyle name="Normal 197 52" xfId="26190" xr:uid="{00000000-0005-0000-0000-000054660000}"/>
    <cellStyle name="Normal 197 52 2" xfId="26191" xr:uid="{00000000-0005-0000-0000-000055660000}"/>
    <cellStyle name="Normal 197 53" xfId="26192" xr:uid="{00000000-0005-0000-0000-000056660000}"/>
    <cellStyle name="Normal 197 53 2" xfId="26193" xr:uid="{00000000-0005-0000-0000-000057660000}"/>
    <cellStyle name="Normal 197 54" xfId="26194" xr:uid="{00000000-0005-0000-0000-000058660000}"/>
    <cellStyle name="Normal 197 54 2" xfId="26195" xr:uid="{00000000-0005-0000-0000-000059660000}"/>
    <cellStyle name="Normal 197 55" xfId="26196" xr:uid="{00000000-0005-0000-0000-00005A660000}"/>
    <cellStyle name="Normal 197 55 2" xfId="26197" xr:uid="{00000000-0005-0000-0000-00005B660000}"/>
    <cellStyle name="Normal 197 56" xfId="26198" xr:uid="{00000000-0005-0000-0000-00005C660000}"/>
    <cellStyle name="Normal 197 56 2" xfId="26199" xr:uid="{00000000-0005-0000-0000-00005D660000}"/>
    <cellStyle name="Normal 197 57" xfId="26200" xr:uid="{00000000-0005-0000-0000-00005E660000}"/>
    <cellStyle name="Normal 197 57 2" xfId="26201" xr:uid="{00000000-0005-0000-0000-00005F660000}"/>
    <cellStyle name="Normal 197 58" xfId="26202" xr:uid="{00000000-0005-0000-0000-000060660000}"/>
    <cellStyle name="Normal 197 58 2" xfId="26203" xr:uid="{00000000-0005-0000-0000-000061660000}"/>
    <cellStyle name="Normal 197 59" xfId="26204" xr:uid="{00000000-0005-0000-0000-000062660000}"/>
    <cellStyle name="Normal 197 59 2" xfId="26205" xr:uid="{00000000-0005-0000-0000-000063660000}"/>
    <cellStyle name="Normal 197 6" xfId="26206" xr:uid="{00000000-0005-0000-0000-000064660000}"/>
    <cellStyle name="Normal 197 6 2" xfId="26207" xr:uid="{00000000-0005-0000-0000-000065660000}"/>
    <cellStyle name="Normal 197 60" xfId="26208" xr:uid="{00000000-0005-0000-0000-000066660000}"/>
    <cellStyle name="Normal 197 60 2" xfId="26209" xr:uid="{00000000-0005-0000-0000-000067660000}"/>
    <cellStyle name="Normal 197 61" xfId="26210" xr:uid="{00000000-0005-0000-0000-000068660000}"/>
    <cellStyle name="Normal 197 61 2" xfId="26211" xr:uid="{00000000-0005-0000-0000-000069660000}"/>
    <cellStyle name="Normal 197 62" xfId="26212" xr:uid="{00000000-0005-0000-0000-00006A660000}"/>
    <cellStyle name="Normal 197 62 2" xfId="26213" xr:uid="{00000000-0005-0000-0000-00006B660000}"/>
    <cellStyle name="Normal 197 62 3" xfId="26214" xr:uid="{00000000-0005-0000-0000-00006C660000}"/>
    <cellStyle name="Normal 197 63" xfId="26215" xr:uid="{00000000-0005-0000-0000-00006D660000}"/>
    <cellStyle name="Normal 197 7" xfId="26216" xr:uid="{00000000-0005-0000-0000-00006E660000}"/>
    <cellStyle name="Normal 197 7 2" xfId="26217" xr:uid="{00000000-0005-0000-0000-00006F660000}"/>
    <cellStyle name="Normal 197 8" xfId="26218" xr:uid="{00000000-0005-0000-0000-000070660000}"/>
    <cellStyle name="Normal 197 8 2" xfId="26219" xr:uid="{00000000-0005-0000-0000-000071660000}"/>
    <cellStyle name="Normal 197 9" xfId="26220" xr:uid="{00000000-0005-0000-0000-000072660000}"/>
    <cellStyle name="Normal 197 9 2" xfId="26221" xr:uid="{00000000-0005-0000-0000-000073660000}"/>
    <cellStyle name="Normal 198" xfId="26222" xr:uid="{00000000-0005-0000-0000-000074660000}"/>
    <cellStyle name="Normal 198 10" xfId="26223" xr:uid="{00000000-0005-0000-0000-000075660000}"/>
    <cellStyle name="Normal 198 10 2" xfId="26224" xr:uid="{00000000-0005-0000-0000-000076660000}"/>
    <cellStyle name="Normal 198 11" xfId="26225" xr:uid="{00000000-0005-0000-0000-000077660000}"/>
    <cellStyle name="Normal 198 11 2" xfId="26226" xr:uid="{00000000-0005-0000-0000-000078660000}"/>
    <cellStyle name="Normal 198 12" xfId="26227" xr:uid="{00000000-0005-0000-0000-000079660000}"/>
    <cellStyle name="Normal 198 12 2" xfId="26228" xr:uid="{00000000-0005-0000-0000-00007A660000}"/>
    <cellStyle name="Normal 198 13" xfId="26229" xr:uid="{00000000-0005-0000-0000-00007B660000}"/>
    <cellStyle name="Normal 198 13 2" xfId="26230" xr:uid="{00000000-0005-0000-0000-00007C660000}"/>
    <cellStyle name="Normal 198 14" xfId="26231" xr:uid="{00000000-0005-0000-0000-00007D660000}"/>
    <cellStyle name="Normal 198 14 2" xfId="26232" xr:uid="{00000000-0005-0000-0000-00007E660000}"/>
    <cellStyle name="Normal 198 15" xfId="26233" xr:uid="{00000000-0005-0000-0000-00007F660000}"/>
    <cellStyle name="Normal 198 15 2" xfId="26234" xr:uid="{00000000-0005-0000-0000-000080660000}"/>
    <cellStyle name="Normal 198 16" xfId="26235" xr:uid="{00000000-0005-0000-0000-000081660000}"/>
    <cellStyle name="Normal 198 16 2" xfId="26236" xr:uid="{00000000-0005-0000-0000-000082660000}"/>
    <cellStyle name="Normal 198 17" xfId="26237" xr:uid="{00000000-0005-0000-0000-000083660000}"/>
    <cellStyle name="Normal 198 17 2" xfId="26238" xr:uid="{00000000-0005-0000-0000-000084660000}"/>
    <cellStyle name="Normal 198 18" xfId="26239" xr:uid="{00000000-0005-0000-0000-000085660000}"/>
    <cellStyle name="Normal 198 18 2" xfId="26240" xr:uid="{00000000-0005-0000-0000-000086660000}"/>
    <cellStyle name="Normal 198 19" xfId="26241" xr:uid="{00000000-0005-0000-0000-000087660000}"/>
    <cellStyle name="Normal 198 19 2" xfId="26242" xr:uid="{00000000-0005-0000-0000-000088660000}"/>
    <cellStyle name="Normal 198 2" xfId="26243" xr:uid="{00000000-0005-0000-0000-000089660000}"/>
    <cellStyle name="Normal 198 2 2" xfId="26244" xr:uid="{00000000-0005-0000-0000-00008A660000}"/>
    <cellStyle name="Normal 198 20" xfId="26245" xr:uid="{00000000-0005-0000-0000-00008B660000}"/>
    <cellStyle name="Normal 198 20 2" xfId="26246" xr:uid="{00000000-0005-0000-0000-00008C660000}"/>
    <cellStyle name="Normal 198 21" xfId="26247" xr:uid="{00000000-0005-0000-0000-00008D660000}"/>
    <cellStyle name="Normal 198 21 2" xfId="26248" xr:uid="{00000000-0005-0000-0000-00008E660000}"/>
    <cellStyle name="Normal 198 22" xfId="26249" xr:uid="{00000000-0005-0000-0000-00008F660000}"/>
    <cellStyle name="Normal 198 22 2" xfId="26250" xr:uid="{00000000-0005-0000-0000-000090660000}"/>
    <cellStyle name="Normal 198 23" xfId="26251" xr:uid="{00000000-0005-0000-0000-000091660000}"/>
    <cellStyle name="Normal 198 23 2" xfId="26252" xr:uid="{00000000-0005-0000-0000-000092660000}"/>
    <cellStyle name="Normal 198 24" xfId="26253" xr:uid="{00000000-0005-0000-0000-000093660000}"/>
    <cellStyle name="Normal 198 24 2" xfId="26254" xr:uid="{00000000-0005-0000-0000-000094660000}"/>
    <cellStyle name="Normal 198 25" xfId="26255" xr:uid="{00000000-0005-0000-0000-000095660000}"/>
    <cellStyle name="Normal 198 25 2" xfId="26256" xr:uid="{00000000-0005-0000-0000-000096660000}"/>
    <cellStyle name="Normal 198 26" xfId="26257" xr:uid="{00000000-0005-0000-0000-000097660000}"/>
    <cellStyle name="Normal 198 26 2" xfId="26258" xr:uid="{00000000-0005-0000-0000-000098660000}"/>
    <cellStyle name="Normal 198 27" xfId="26259" xr:uid="{00000000-0005-0000-0000-000099660000}"/>
    <cellStyle name="Normal 198 27 2" xfId="26260" xr:uid="{00000000-0005-0000-0000-00009A660000}"/>
    <cellStyle name="Normal 198 28" xfId="26261" xr:uid="{00000000-0005-0000-0000-00009B660000}"/>
    <cellStyle name="Normal 198 28 2" xfId="26262" xr:uid="{00000000-0005-0000-0000-00009C660000}"/>
    <cellStyle name="Normal 198 29" xfId="26263" xr:uid="{00000000-0005-0000-0000-00009D660000}"/>
    <cellStyle name="Normal 198 29 2" xfId="26264" xr:uid="{00000000-0005-0000-0000-00009E660000}"/>
    <cellStyle name="Normal 198 3" xfId="26265" xr:uid="{00000000-0005-0000-0000-00009F660000}"/>
    <cellStyle name="Normal 198 3 2" xfId="26266" xr:uid="{00000000-0005-0000-0000-0000A0660000}"/>
    <cellStyle name="Normal 198 30" xfId="26267" xr:uid="{00000000-0005-0000-0000-0000A1660000}"/>
    <cellStyle name="Normal 198 30 2" xfId="26268" xr:uid="{00000000-0005-0000-0000-0000A2660000}"/>
    <cellStyle name="Normal 198 31" xfId="26269" xr:uid="{00000000-0005-0000-0000-0000A3660000}"/>
    <cellStyle name="Normal 198 31 2" xfId="26270" xr:uid="{00000000-0005-0000-0000-0000A4660000}"/>
    <cellStyle name="Normal 198 32" xfId="26271" xr:uid="{00000000-0005-0000-0000-0000A5660000}"/>
    <cellStyle name="Normal 198 32 2" xfId="26272" xr:uid="{00000000-0005-0000-0000-0000A6660000}"/>
    <cellStyle name="Normal 198 33" xfId="26273" xr:uid="{00000000-0005-0000-0000-0000A7660000}"/>
    <cellStyle name="Normal 198 33 2" xfId="26274" xr:uid="{00000000-0005-0000-0000-0000A8660000}"/>
    <cellStyle name="Normal 198 34" xfId="26275" xr:uid="{00000000-0005-0000-0000-0000A9660000}"/>
    <cellStyle name="Normal 198 34 2" xfId="26276" xr:uid="{00000000-0005-0000-0000-0000AA660000}"/>
    <cellStyle name="Normal 198 35" xfId="26277" xr:uid="{00000000-0005-0000-0000-0000AB660000}"/>
    <cellStyle name="Normal 198 35 2" xfId="26278" xr:uid="{00000000-0005-0000-0000-0000AC660000}"/>
    <cellStyle name="Normal 198 36" xfId="26279" xr:uid="{00000000-0005-0000-0000-0000AD660000}"/>
    <cellStyle name="Normal 198 36 2" xfId="26280" xr:uid="{00000000-0005-0000-0000-0000AE660000}"/>
    <cellStyle name="Normal 198 37" xfId="26281" xr:uid="{00000000-0005-0000-0000-0000AF660000}"/>
    <cellStyle name="Normal 198 37 2" xfId="26282" xr:uid="{00000000-0005-0000-0000-0000B0660000}"/>
    <cellStyle name="Normal 198 38" xfId="26283" xr:uid="{00000000-0005-0000-0000-0000B1660000}"/>
    <cellStyle name="Normal 198 38 2" xfId="26284" xr:uid="{00000000-0005-0000-0000-0000B2660000}"/>
    <cellStyle name="Normal 198 39" xfId="26285" xr:uid="{00000000-0005-0000-0000-0000B3660000}"/>
    <cellStyle name="Normal 198 39 2" xfId="26286" xr:uid="{00000000-0005-0000-0000-0000B4660000}"/>
    <cellStyle name="Normal 198 4" xfId="26287" xr:uid="{00000000-0005-0000-0000-0000B5660000}"/>
    <cellStyle name="Normal 198 4 2" xfId="26288" xr:uid="{00000000-0005-0000-0000-0000B6660000}"/>
    <cellStyle name="Normal 198 40" xfId="26289" xr:uid="{00000000-0005-0000-0000-0000B7660000}"/>
    <cellStyle name="Normal 198 40 2" xfId="26290" xr:uid="{00000000-0005-0000-0000-0000B8660000}"/>
    <cellStyle name="Normal 198 41" xfId="26291" xr:uid="{00000000-0005-0000-0000-0000B9660000}"/>
    <cellStyle name="Normal 198 41 2" xfId="26292" xr:uid="{00000000-0005-0000-0000-0000BA660000}"/>
    <cellStyle name="Normal 198 42" xfId="26293" xr:uid="{00000000-0005-0000-0000-0000BB660000}"/>
    <cellStyle name="Normal 198 42 2" xfId="26294" xr:uid="{00000000-0005-0000-0000-0000BC660000}"/>
    <cellStyle name="Normal 198 43" xfId="26295" xr:uid="{00000000-0005-0000-0000-0000BD660000}"/>
    <cellStyle name="Normal 198 43 2" xfId="26296" xr:uid="{00000000-0005-0000-0000-0000BE660000}"/>
    <cellStyle name="Normal 198 44" xfId="26297" xr:uid="{00000000-0005-0000-0000-0000BF660000}"/>
    <cellStyle name="Normal 198 44 2" xfId="26298" xr:uid="{00000000-0005-0000-0000-0000C0660000}"/>
    <cellStyle name="Normal 198 45" xfId="26299" xr:uid="{00000000-0005-0000-0000-0000C1660000}"/>
    <cellStyle name="Normal 198 45 2" xfId="26300" xr:uid="{00000000-0005-0000-0000-0000C2660000}"/>
    <cellStyle name="Normal 198 46" xfId="26301" xr:uid="{00000000-0005-0000-0000-0000C3660000}"/>
    <cellStyle name="Normal 198 46 2" xfId="26302" xr:uid="{00000000-0005-0000-0000-0000C4660000}"/>
    <cellStyle name="Normal 198 47" xfId="26303" xr:uid="{00000000-0005-0000-0000-0000C5660000}"/>
    <cellStyle name="Normal 198 47 2" xfId="26304" xr:uid="{00000000-0005-0000-0000-0000C6660000}"/>
    <cellStyle name="Normal 198 48" xfId="26305" xr:uid="{00000000-0005-0000-0000-0000C7660000}"/>
    <cellStyle name="Normal 198 48 2" xfId="26306" xr:uid="{00000000-0005-0000-0000-0000C8660000}"/>
    <cellStyle name="Normal 198 49" xfId="26307" xr:uid="{00000000-0005-0000-0000-0000C9660000}"/>
    <cellStyle name="Normal 198 49 2" xfId="26308" xr:uid="{00000000-0005-0000-0000-0000CA660000}"/>
    <cellStyle name="Normal 198 5" xfId="26309" xr:uid="{00000000-0005-0000-0000-0000CB660000}"/>
    <cellStyle name="Normal 198 5 2" xfId="26310" xr:uid="{00000000-0005-0000-0000-0000CC660000}"/>
    <cellStyle name="Normal 198 50" xfId="26311" xr:uid="{00000000-0005-0000-0000-0000CD660000}"/>
    <cellStyle name="Normal 198 50 2" xfId="26312" xr:uid="{00000000-0005-0000-0000-0000CE660000}"/>
    <cellStyle name="Normal 198 51" xfId="26313" xr:uid="{00000000-0005-0000-0000-0000CF660000}"/>
    <cellStyle name="Normal 198 51 2" xfId="26314" xr:uid="{00000000-0005-0000-0000-0000D0660000}"/>
    <cellStyle name="Normal 198 52" xfId="26315" xr:uid="{00000000-0005-0000-0000-0000D1660000}"/>
    <cellStyle name="Normal 198 52 2" xfId="26316" xr:uid="{00000000-0005-0000-0000-0000D2660000}"/>
    <cellStyle name="Normal 198 53" xfId="26317" xr:uid="{00000000-0005-0000-0000-0000D3660000}"/>
    <cellStyle name="Normal 198 53 2" xfId="26318" xr:uid="{00000000-0005-0000-0000-0000D4660000}"/>
    <cellStyle name="Normal 198 54" xfId="26319" xr:uid="{00000000-0005-0000-0000-0000D5660000}"/>
    <cellStyle name="Normal 198 54 2" xfId="26320" xr:uid="{00000000-0005-0000-0000-0000D6660000}"/>
    <cellStyle name="Normal 198 55" xfId="26321" xr:uid="{00000000-0005-0000-0000-0000D7660000}"/>
    <cellStyle name="Normal 198 55 2" xfId="26322" xr:uid="{00000000-0005-0000-0000-0000D8660000}"/>
    <cellStyle name="Normal 198 56" xfId="26323" xr:uid="{00000000-0005-0000-0000-0000D9660000}"/>
    <cellStyle name="Normal 198 56 2" xfId="26324" xr:uid="{00000000-0005-0000-0000-0000DA660000}"/>
    <cellStyle name="Normal 198 57" xfId="26325" xr:uid="{00000000-0005-0000-0000-0000DB660000}"/>
    <cellStyle name="Normal 198 57 2" xfId="26326" xr:uid="{00000000-0005-0000-0000-0000DC660000}"/>
    <cellStyle name="Normal 198 58" xfId="26327" xr:uid="{00000000-0005-0000-0000-0000DD660000}"/>
    <cellStyle name="Normal 198 58 2" xfId="26328" xr:uid="{00000000-0005-0000-0000-0000DE660000}"/>
    <cellStyle name="Normal 198 59" xfId="26329" xr:uid="{00000000-0005-0000-0000-0000DF660000}"/>
    <cellStyle name="Normal 198 59 2" xfId="26330" xr:uid="{00000000-0005-0000-0000-0000E0660000}"/>
    <cellStyle name="Normal 198 6" xfId="26331" xr:uid="{00000000-0005-0000-0000-0000E1660000}"/>
    <cellStyle name="Normal 198 6 2" xfId="26332" xr:uid="{00000000-0005-0000-0000-0000E2660000}"/>
    <cellStyle name="Normal 198 60" xfId="26333" xr:uid="{00000000-0005-0000-0000-0000E3660000}"/>
    <cellStyle name="Normal 198 60 2" xfId="26334" xr:uid="{00000000-0005-0000-0000-0000E4660000}"/>
    <cellStyle name="Normal 198 61" xfId="26335" xr:uid="{00000000-0005-0000-0000-0000E5660000}"/>
    <cellStyle name="Normal 198 61 2" xfId="26336" xr:uid="{00000000-0005-0000-0000-0000E6660000}"/>
    <cellStyle name="Normal 198 62" xfId="26337" xr:uid="{00000000-0005-0000-0000-0000E7660000}"/>
    <cellStyle name="Normal 198 62 2" xfId="26338" xr:uid="{00000000-0005-0000-0000-0000E8660000}"/>
    <cellStyle name="Normal 198 62 3" xfId="26339" xr:uid="{00000000-0005-0000-0000-0000E9660000}"/>
    <cellStyle name="Normal 198 63" xfId="26340" xr:uid="{00000000-0005-0000-0000-0000EA660000}"/>
    <cellStyle name="Normal 198 7" xfId="26341" xr:uid="{00000000-0005-0000-0000-0000EB660000}"/>
    <cellStyle name="Normal 198 7 2" xfId="26342" xr:uid="{00000000-0005-0000-0000-0000EC660000}"/>
    <cellStyle name="Normal 198 8" xfId="26343" xr:uid="{00000000-0005-0000-0000-0000ED660000}"/>
    <cellStyle name="Normal 198 8 2" xfId="26344" xr:uid="{00000000-0005-0000-0000-0000EE660000}"/>
    <cellStyle name="Normal 198 9" xfId="26345" xr:uid="{00000000-0005-0000-0000-0000EF660000}"/>
    <cellStyle name="Normal 198 9 2" xfId="26346" xr:uid="{00000000-0005-0000-0000-0000F0660000}"/>
    <cellStyle name="Normal 199" xfId="26347" xr:uid="{00000000-0005-0000-0000-0000F1660000}"/>
    <cellStyle name="Normal 199 2" xfId="26348" xr:uid="{00000000-0005-0000-0000-0000F2660000}"/>
    <cellStyle name="Normal 2" xfId="26349" xr:uid="{00000000-0005-0000-0000-0000F3660000}"/>
    <cellStyle name="Normal 2 10" xfId="26350" xr:uid="{00000000-0005-0000-0000-0000F4660000}"/>
    <cellStyle name="Normal 2 2" xfId="26351" xr:uid="{00000000-0005-0000-0000-0000F5660000}"/>
    <cellStyle name="Normal 2 2 2" xfId="26352" xr:uid="{00000000-0005-0000-0000-0000F6660000}"/>
    <cellStyle name="Normal 2 2 2 2" xfId="26353" xr:uid="{00000000-0005-0000-0000-0000F7660000}"/>
    <cellStyle name="Normal 2 2 2 2 2" xfId="26354" xr:uid="{00000000-0005-0000-0000-0000F8660000}"/>
    <cellStyle name="Normal 2 2 2 2 2 2" xfId="26355" xr:uid="{00000000-0005-0000-0000-0000F9660000}"/>
    <cellStyle name="Normal 2 2 2 2 2 2 2" xfId="26356" xr:uid="{00000000-0005-0000-0000-0000FA660000}"/>
    <cellStyle name="Normal 2 2 2 2 2 3" xfId="26357" xr:uid="{00000000-0005-0000-0000-0000FB660000}"/>
    <cellStyle name="Normal 2 2 2 2 3" xfId="26358" xr:uid="{00000000-0005-0000-0000-0000FC660000}"/>
    <cellStyle name="Normal 2 2 2 2 3 2" xfId="26359" xr:uid="{00000000-0005-0000-0000-0000FD660000}"/>
    <cellStyle name="Normal 2 2 2 2 3 3" xfId="26360" xr:uid="{00000000-0005-0000-0000-0000FE660000}"/>
    <cellStyle name="Normal 2 2 2 2 4" xfId="26361" xr:uid="{00000000-0005-0000-0000-0000FF660000}"/>
    <cellStyle name="Normal 2 2 2 3" xfId="26362" xr:uid="{00000000-0005-0000-0000-000000670000}"/>
    <cellStyle name="Normal 2 2 2 3 2" xfId="26363" xr:uid="{00000000-0005-0000-0000-000001670000}"/>
    <cellStyle name="Normal 2 2 2 3 2 2" xfId="26364" xr:uid="{00000000-0005-0000-0000-000002670000}"/>
    <cellStyle name="Normal 2 2 2 3 2 2 2" xfId="26365" xr:uid="{00000000-0005-0000-0000-000003670000}"/>
    <cellStyle name="Normal 2 2 2 3 2 3" xfId="26366" xr:uid="{00000000-0005-0000-0000-000004670000}"/>
    <cellStyle name="Normal 2 2 2 3 3" xfId="26367" xr:uid="{00000000-0005-0000-0000-000005670000}"/>
    <cellStyle name="Normal 2 2 2 3 3 2" xfId="26368" xr:uid="{00000000-0005-0000-0000-000006670000}"/>
    <cellStyle name="Normal 2 2 2 3 4" xfId="26369" xr:uid="{00000000-0005-0000-0000-000007670000}"/>
    <cellStyle name="Normal 2 2 3" xfId="26370" xr:uid="{00000000-0005-0000-0000-000008670000}"/>
    <cellStyle name="Normal 2 2 4" xfId="26371" xr:uid="{00000000-0005-0000-0000-000009670000}"/>
    <cellStyle name="Normal 2 2 4 2" xfId="26372" xr:uid="{00000000-0005-0000-0000-00000A670000}"/>
    <cellStyle name="Normal 2 2 4 2 2" xfId="26373" xr:uid="{00000000-0005-0000-0000-00000B670000}"/>
    <cellStyle name="Normal 2 2 4 2 2 2" xfId="26374" xr:uid="{00000000-0005-0000-0000-00000C670000}"/>
    <cellStyle name="Normal 2 2 4 2 3" xfId="26375" xr:uid="{00000000-0005-0000-0000-00000D670000}"/>
    <cellStyle name="Normal 2 2 4 3" xfId="26376" xr:uid="{00000000-0005-0000-0000-00000E670000}"/>
    <cellStyle name="Normal 2 2 4 3 2" xfId="26377" xr:uid="{00000000-0005-0000-0000-00000F670000}"/>
    <cellStyle name="Normal 2 2 4 4" xfId="26378" xr:uid="{00000000-0005-0000-0000-000010670000}"/>
    <cellStyle name="Normal 2 2 5" xfId="26379" xr:uid="{00000000-0005-0000-0000-000011670000}"/>
    <cellStyle name="Normal 2 2 6" xfId="26380" xr:uid="{00000000-0005-0000-0000-000012670000}"/>
    <cellStyle name="Normal 2 2 6 2" xfId="26381" xr:uid="{00000000-0005-0000-0000-000013670000}"/>
    <cellStyle name="Normal 2 2 6 2 2" xfId="26382" xr:uid="{00000000-0005-0000-0000-000014670000}"/>
    <cellStyle name="Normal 2 2 7" xfId="26383" xr:uid="{00000000-0005-0000-0000-000015670000}"/>
    <cellStyle name="Normal 2 2 8" xfId="26384" xr:uid="{00000000-0005-0000-0000-000016670000}"/>
    <cellStyle name="Normal 2 3" xfId="26385" xr:uid="{00000000-0005-0000-0000-000017670000}"/>
    <cellStyle name="Normal 2 3 10" xfId="26386" xr:uid="{00000000-0005-0000-0000-000018670000}"/>
    <cellStyle name="Normal 2 3 10 2" xfId="26387" xr:uid="{00000000-0005-0000-0000-000019670000}"/>
    <cellStyle name="Normal 2 3 11" xfId="26388" xr:uid="{00000000-0005-0000-0000-00001A670000}"/>
    <cellStyle name="Normal 2 3 11 2" xfId="26389" xr:uid="{00000000-0005-0000-0000-00001B670000}"/>
    <cellStyle name="Normal 2 3 12" xfId="26390" xr:uid="{00000000-0005-0000-0000-00001C670000}"/>
    <cellStyle name="Normal 2 3 13" xfId="26391" xr:uid="{00000000-0005-0000-0000-00001D670000}"/>
    <cellStyle name="Normal 2 3 14" xfId="26392" xr:uid="{00000000-0005-0000-0000-00001E670000}"/>
    <cellStyle name="Normal 2 3 2" xfId="26393" xr:uid="{00000000-0005-0000-0000-00001F670000}"/>
    <cellStyle name="Normal 2 3 2 2" xfId="26394" xr:uid="{00000000-0005-0000-0000-000020670000}"/>
    <cellStyle name="Normal 2 3 2 2 2" xfId="26395" xr:uid="{00000000-0005-0000-0000-000021670000}"/>
    <cellStyle name="Normal 2 3 2 2 2 2" xfId="26396" xr:uid="{00000000-0005-0000-0000-000022670000}"/>
    <cellStyle name="Normal 2 3 2 2 2 2 2" xfId="26397" xr:uid="{00000000-0005-0000-0000-000023670000}"/>
    <cellStyle name="Normal 2 3 2 2 2 3" xfId="26398" xr:uid="{00000000-0005-0000-0000-000024670000}"/>
    <cellStyle name="Normal 2 3 2 2 3" xfId="26399" xr:uid="{00000000-0005-0000-0000-000025670000}"/>
    <cellStyle name="Normal 2 3 2 2 3 2" xfId="26400" xr:uid="{00000000-0005-0000-0000-000026670000}"/>
    <cellStyle name="Normal 2 3 2 2 4" xfId="26401" xr:uid="{00000000-0005-0000-0000-000027670000}"/>
    <cellStyle name="Normal 2 3 3" xfId="26402" xr:uid="{00000000-0005-0000-0000-000028670000}"/>
    <cellStyle name="Normal 2 3 3 10" xfId="26403" xr:uid="{00000000-0005-0000-0000-000029670000}"/>
    <cellStyle name="Normal 2 3 3 11" xfId="26404" xr:uid="{00000000-0005-0000-0000-00002A670000}"/>
    <cellStyle name="Normal 2 3 3 2" xfId="26405" xr:uid="{00000000-0005-0000-0000-00002B670000}"/>
    <cellStyle name="Normal 2 3 3 2 10" xfId="26406" xr:uid="{00000000-0005-0000-0000-00002C670000}"/>
    <cellStyle name="Normal 2 3 3 2 2" xfId="26407" xr:uid="{00000000-0005-0000-0000-00002D670000}"/>
    <cellStyle name="Normal 2 3 3 2 2 2" xfId="26408" xr:uid="{00000000-0005-0000-0000-00002E670000}"/>
    <cellStyle name="Normal 2 3 3 2 2 2 2" xfId="26409" xr:uid="{00000000-0005-0000-0000-00002F670000}"/>
    <cellStyle name="Normal 2 3 3 2 2 2 2 2" xfId="26410" xr:uid="{00000000-0005-0000-0000-000030670000}"/>
    <cellStyle name="Normal 2 3 3 2 2 2 2 2 2" xfId="26411" xr:uid="{00000000-0005-0000-0000-000031670000}"/>
    <cellStyle name="Normal 2 3 3 2 2 2 2 2 2 2" xfId="26412" xr:uid="{00000000-0005-0000-0000-000032670000}"/>
    <cellStyle name="Normal 2 3 3 2 2 2 2 2 2 2 2" xfId="26413" xr:uid="{00000000-0005-0000-0000-000033670000}"/>
    <cellStyle name="Normal 2 3 3 2 2 2 2 2 2 3" xfId="26414" xr:uid="{00000000-0005-0000-0000-000034670000}"/>
    <cellStyle name="Normal 2 3 3 2 2 2 2 2 2 4" xfId="26415" xr:uid="{00000000-0005-0000-0000-000035670000}"/>
    <cellStyle name="Normal 2 3 3 2 2 2 2 2 3" xfId="26416" xr:uid="{00000000-0005-0000-0000-000036670000}"/>
    <cellStyle name="Normal 2 3 3 2 2 2 2 2 3 2" xfId="26417" xr:uid="{00000000-0005-0000-0000-000037670000}"/>
    <cellStyle name="Normal 2 3 3 2 2 2 2 2 4" xfId="26418" xr:uid="{00000000-0005-0000-0000-000038670000}"/>
    <cellStyle name="Normal 2 3 3 2 2 2 2 2 5" xfId="26419" xr:uid="{00000000-0005-0000-0000-000039670000}"/>
    <cellStyle name="Normal 2 3 3 2 2 2 2 3" xfId="26420" xr:uid="{00000000-0005-0000-0000-00003A670000}"/>
    <cellStyle name="Normal 2 3 3 2 2 2 2 3 2" xfId="26421" xr:uid="{00000000-0005-0000-0000-00003B670000}"/>
    <cellStyle name="Normal 2 3 3 2 2 2 2 3 2 2" xfId="26422" xr:uid="{00000000-0005-0000-0000-00003C670000}"/>
    <cellStyle name="Normal 2 3 3 2 2 2 2 3 3" xfId="26423" xr:uid="{00000000-0005-0000-0000-00003D670000}"/>
    <cellStyle name="Normal 2 3 3 2 2 2 2 3 4" xfId="26424" xr:uid="{00000000-0005-0000-0000-00003E670000}"/>
    <cellStyle name="Normal 2 3 3 2 2 2 2 4" xfId="26425" xr:uid="{00000000-0005-0000-0000-00003F670000}"/>
    <cellStyle name="Normal 2 3 3 2 2 2 2 4 2" xfId="26426" xr:uid="{00000000-0005-0000-0000-000040670000}"/>
    <cellStyle name="Normal 2 3 3 2 2 2 2 5" xfId="26427" xr:uid="{00000000-0005-0000-0000-000041670000}"/>
    <cellStyle name="Normal 2 3 3 2 2 2 2 6" xfId="26428" xr:uid="{00000000-0005-0000-0000-000042670000}"/>
    <cellStyle name="Normal 2 3 3 2 2 2 3" xfId="26429" xr:uid="{00000000-0005-0000-0000-000043670000}"/>
    <cellStyle name="Normal 2 3 3 2 2 2 3 2" xfId="26430" xr:uid="{00000000-0005-0000-0000-000044670000}"/>
    <cellStyle name="Normal 2 3 3 2 2 2 3 2 2" xfId="26431" xr:uid="{00000000-0005-0000-0000-000045670000}"/>
    <cellStyle name="Normal 2 3 3 2 2 2 3 2 2 2" xfId="26432" xr:uid="{00000000-0005-0000-0000-000046670000}"/>
    <cellStyle name="Normal 2 3 3 2 2 2 3 2 3" xfId="26433" xr:uid="{00000000-0005-0000-0000-000047670000}"/>
    <cellStyle name="Normal 2 3 3 2 2 2 3 2 4" xfId="26434" xr:uid="{00000000-0005-0000-0000-000048670000}"/>
    <cellStyle name="Normal 2 3 3 2 2 2 3 3" xfId="26435" xr:uid="{00000000-0005-0000-0000-000049670000}"/>
    <cellStyle name="Normal 2 3 3 2 2 2 3 3 2" xfId="26436" xr:uid="{00000000-0005-0000-0000-00004A670000}"/>
    <cellStyle name="Normal 2 3 3 2 2 2 3 4" xfId="26437" xr:uid="{00000000-0005-0000-0000-00004B670000}"/>
    <cellStyle name="Normal 2 3 3 2 2 2 3 5" xfId="26438" xr:uid="{00000000-0005-0000-0000-00004C670000}"/>
    <cellStyle name="Normal 2 3 3 2 2 2 4" xfId="26439" xr:uid="{00000000-0005-0000-0000-00004D670000}"/>
    <cellStyle name="Normal 2 3 3 2 2 2 4 2" xfId="26440" xr:uid="{00000000-0005-0000-0000-00004E670000}"/>
    <cellStyle name="Normal 2 3 3 2 2 2 4 2 2" xfId="26441" xr:uid="{00000000-0005-0000-0000-00004F670000}"/>
    <cellStyle name="Normal 2 3 3 2 2 2 4 3" xfId="26442" xr:uid="{00000000-0005-0000-0000-000050670000}"/>
    <cellStyle name="Normal 2 3 3 2 2 2 4 4" xfId="26443" xr:uid="{00000000-0005-0000-0000-000051670000}"/>
    <cellStyle name="Normal 2 3 3 2 2 2 5" xfId="26444" xr:uid="{00000000-0005-0000-0000-000052670000}"/>
    <cellStyle name="Normal 2 3 3 2 2 2 5 2" xfId="26445" xr:uid="{00000000-0005-0000-0000-000053670000}"/>
    <cellStyle name="Normal 2 3 3 2 2 2 6" xfId="26446" xr:uid="{00000000-0005-0000-0000-000054670000}"/>
    <cellStyle name="Normal 2 3 3 2 2 2 7" xfId="26447" xr:uid="{00000000-0005-0000-0000-000055670000}"/>
    <cellStyle name="Normal 2 3 3 2 2 3" xfId="26448" xr:uid="{00000000-0005-0000-0000-000056670000}"/>
    <cellStyle name="Normal 2 3 3 2 2 3 2" xfId="26449" xr:uid="{00000000-0005-0000-0000-000057670000}"/>
    <cellStyle name="Normal 2 3 3 2 2 3 2 2" xfId="26450" xr:uid="{00000000-0005-0000-0000-000058670000}"/>
    <cellStyle name="Normal 2 3 3 2 2 3 2 2 2" xfId="26451" xr:uid="{00000000-0005-0000-0000-000059670000}"/>
    <cellStyle name="Normal 2 3 3 2 2 3 2 2 2 2" xfId="26452" xr:uid="{00000000-0005-0000-0000-00005A670000}"/>
    <cellStyle name="Normal 2 3 3 2 2 3 2 2 3" xfId="26453" xr:uid="{00000000-0005-0000-0000-00005B670000}"/>
    <cellStyle name="Normal 2 3 3 2 2 3 2 2 4" xfId="26454" xr:uid="{00000000-0005-0000-0000-00005C670000}"/>
    <cellStyle name="Normal 2 3 3 2 2 3 2 3" xfId="26455" xr:uid="{00000000-0005-0000-0000-00005D670000}"/>
    <cellStyle name="Normal 2 3 3 2 2 3 2 3 2" xfId="26456" xr:uid="{00000000-0005-0000-0000-00005E670000}"/>
    <cellStyle name="Normal 2 3 3 2 2 3 2 4" xfId="26457" xr:uid="{00000000-0005-0000-0000-00005F670000}"/>
    <cellStyle name="Normal 2 3 3 2 2 3 2 5" xfId="26458" xr:uid="{00000000-0005-0000-0000-000060670000}"/>
    <cellStyle name="Normal 2 3 3 2 2 3 3" xfId="26459" xr:uid="{00000000-0005-0000-0000-000061670000}"/>
    <cellStyle name="Normal 2 3 3 2 2 3 3 2" xfId="26460" xr:uid="{00000000-0005-0000-0000-000062670000}"/>
    <cellStyle name="Normal 2 3 3 2 2 3 3 2 2" xfId="26461" xr:uid="{00000000-0005-0000-0000-000063670000}"/>
    <cellStyle name="Normal 2 3 3 2 2 3 3 3" xfId="26462" xr:uid="{00000000-0005-0000-0000-000064670000}"/>
    <cellStyle name="Normal 2 3 3 2 2 3 3 3 2" xfId="26463" xr:uid="{00000000-0005-0000-0000-000065670000}"/>
    <cellStyle name="Normal 2 3 3 2 2 3 3 4" xfId="26464" xr:uid="{00000000-0005-0000-0000-000066670000}"/>
    <cellStyle name="Normal 2 3 3 2 2 3 3 5" xfId="26465" xr:uid="{00000000-0005-0000-0000-000067670000}"/>
    <cellStyle name="Normal 2 3 3 2 2 3 4" xfId="26466" xr:uid="{00000000-0005-0000-0000-000068670000}"/>
    <cellStyle name="Normal 2 3 3 2 2 3 4 2" xfId="26467" xr:uid="{00000000-0005-0000-0000-000069670000}"/>
    <cellStyle name="Normal 2 3 3 2 2 3 5" xfId="26468" xr:uid="{00000000-0005-0000-0000-00006A670000}"/>
    <cellStyle name="Normal 2 3 3 2 2 3 5 2" xfId="26469" xr:uid="{00000000-0005-0000-0000-00006B670000}"/>
    <cellStyle name="Normal 2 3 3 2 2 3 6" xfId="26470" xr:uid="{00000000-0005-0000-0000-00006C670000}"/>
    <cellStyle name="Normal 2 3 3 2 2 3 7" xfId="26471" xr:uid="{00000000-0005-0000-0000-00006D670000}"/>
    <cellStyle name="Normal 2 3 3 2 2 4" xfId="26472" xr:uid="{00000000-0005-0000-0000-00006E670000}"/>
    <cellStyle name="Normal 2 3 3 2 2 4 2" xfId="26473" xr:uid="{00000000-0005-0000-0000-00006F670000}"/>
    <cellStyle name="Normal 2 3 3 2 2 4 2 2" xfId="26474" xr:uid="{00000000-0005-0000-0000-000070670000}"/>
    <cellStyle name="Normal 2 3 3 2 2 4 2 2 2" xfId="26475" xr:uid="{00000000-0005-0000-0000-000071670000}"/>
    <cellStyle name="Normal 2 3 3 2 2 4 2 3" xfId="26476" xr:uid="{00000000-0005-0000-0000-000072670000}"/>
    <cellStyle name="Normal 2 3 3 2 2 4 2 4" xfId="26477" xr:uid="{00000000-0005-0000-0000-000073670000}"/>
    <cellStyle name="Normal 2 3 3 2 2 4 3" xfId="26478" xr:uid="{00000000-0005-0000-0000-000074670000}"/>
    <cellStyle name="Normal 2 3 3 2 2 4 3 2" xfId="26479" xr:uid="{00000000-0005-0000-0000-000075670000}"/>
    <cellStyle name="Normal 2 3 3 2 2 4 4" xfId="26480" xr:uid="{00000000-0005-0000-0000-000076670000}"/>
    <cellStyle name="Normal 2 3 3 2 2 4 5" xfId="26481" xr:uid="{00000000-0005-0000-0000-000077670000}"/>
    <cellStyle name="Normal 2 3 3 2 2 5" xfId="26482" xr:uid="{00000000-0005-0000-0000-000078670000}"/>
    <cellStyle name="Normal 2 3 3 2 2 5 2" xfId="26483" xr:uid="{00000000-0005-0000-0000-000079670000}"/>
    <cellStyle name="Normal 2 3 3 2 2 5 2 2" xfId="26484" xr:uid="{00000000-0005-0000-0000-00007A670000}"/>
    <cellStyle name="Normal 2 3 3 2 2 5 3" xfId="26485" xr:uid="{00000000-0005-0000-0000-00007B670000}"/>
    <cellStyle name="Normal 2 3 3 2 2 5 3 2" xfId="26486" xr:uid="{00000000-0005-0000-0000-00007C670000}"/>
    <cellStyle name="Normal 2 3 3 2 2 5 4" xfId="26487" xr:uid="{00000000-0005-0000-0000-00007D670000}"/>
    <cellStyle name="Normal 2 3 3 2 2 5 5" xfId="26488" xr:uid="{00000000-0005-0000-0000-00007E670000}"/>
    <cellStyle name="Normal 2 3 3 2 2 6" xfId="26489" xr:uid="{00000000-0005-0000-0000-00007F670000}"/>
    <cellStyle name="Normal 2 3 3 2 2 6 2" xfId="26490" xr:uid="{00000000-0005-0000-0000-000080670000}"/>
    <cellStyle name="Normal 2 3 3 2 2 7" xfId="26491" xr:uid="{00000000-0005-0000-0000-000081670000}"/>
    <cellStyle name="Normal 2 3 3 2 2 7 2" xfId="26492" xr:uid="{00000000-0005-0000-0000-000082670000}"/>
    <cellStyle name="Normal 2 3 3 2 2 8" xfId="26493" xr:uid="{00000000-0005-0000-0000-000083670000}"/>
    <cellStyle name="Normal 2 3 3 2 2 9" xfId="26494" xr:uid="{00000000-0005-0000-0000-000084670000}"/>
    <cellStyle name="Normal 2 3 3 2 3" xfId="26495" xr:uid="{00000000-0005-0000-0000-000085670000}"/>
    <cellStyle name="Normal 2 3 3 2 3 2" xfId="26496" xr:uid="{00000000-0005-0000-0000-000086670000}"/>
    <cellStyle name="Normal 2 3 3 2 3 2 2" xfId="26497" xr:uid="{00000000-0005-0000-0000-000087670000}"/>
    <cellStyle name="Normal 2 3 3 2 3 2 2 2" xfId="26498" xr:uid="{00000000-0005-0000-0000-000088670000}"/>
    <cellStyle name="Normal 2 3 3 2 3 2 2 2 2" xfId="26499" xr:uid="{00000000-0005-0000-0000-000089670000}"/>
    <cellStyle name="Normal 2 3 3 2 3 2 2 2 2 2" xfId="26500" xr:uid="{00000000-0005-0000-0000-00008A670000}"/>
    <cellStyle name="Normal 2 3 3 2 3 2 2 2 3" xfId="26501" xr:uid="{00000000-0005-0000-0000-00008B670000}"/>
    <cellStyle name="Normal 2 3 3 2 3 2 2 2 4" xfId="26502" xr:uid="{00000000-0005-0000-0000-00008C670000}"/>
    <cellStyle name="Normal 2 3 3 2 3 2 2 3" xfId="26503" xr:uid="{00000000-0005-0000-0000-00008D670000}"/>
    <cellStyle name="Normal 2 3 3 2 3 2 2 3 2" xfId="26504" xr:uid="{00000000-0005-0000-0000-00008E670000}"/>
    <cellStyle name="Normal 2 3 3 2 3 2 2 4" xfId="26505" xr:uid="{00000000-0005-0000-0000-00008F670000}"/>
    <cellStyle name="Normal 2 3 3 2 3 2 2 5" xfId="26506" xr:uid="{00000000-0005-0000-0000-000090670000}"/>
    <cellStyle name="Normal 2 3 3 2 3 2 3" xfId="26507" xr:uid="{00000000-0005-0000-0000-000091670000}"/>
    <cellStyle name="Normal 2 3 3 2 3 2 3 2" xfId="26508" xr:uid="{00000000-0005-0000-0000-000092670000}"/>
    <cellStyle name="Normal 2 3 3 2 3 2 3 2 2" xfId="26509" xr:uid="{00000000-0005-0000-0000-000093670000}"/>
    <cellStyle name="Normal 2 3 3 2 3 2 3 3" xfId="26510" xr:uid="{00000000-0005-0000-0000-000094670000}"/>
    <cellStyle name="Normal 2 3 3 2 3 2 3 4" xfId="26511" xr:uid="{00000000-0005-0000-0000-000095670000}"/>
    <cellStyle name="Normal 2 3 3 2 3 2 4" xfId="26512" xr:uid="{00000000-0005-0000-0000-000096670000}"/>
    <cellStyle name="Normal 2 3 3 2 3 2 4 2" xfId="26513" xr:uid="{00000000-0005-0000-0000-000097670000}"/>
    <cellStyle name="Normal 2 3 3 2 3 2 5" xfId="26514" xr:uid="{00000000-0005-0000-0000-000098670000}"/>
    <cellStyle name="Normal 2 3 3 2 3 2 6" xfId="26515" xr:uid="{00000000-0005-0000-0000-000099670000}"/>
    <cellStyle name="Normal 2 3 3 2 3 3" xfId="26516" xr:uid="{00000000-0005-0000-0000-00009A670000}"/>
    <cellStyle name="Normal 2 3 3 2 3 3 2" xfId="26517" xr:uid="{00000000-0005-0000-0000-00009B670000}"/>
    <cellStyle name="Normal 2 3 3 2 3 3 2 2" xfId="26518" xr:uid="{00000000-0005-0000-0000-00009C670000}"/>
    <cellStyle name="Normal 2 3 3 2 3 3 2 2 2" xfId="26519" xr:uid="{00000000-0005-0000-0000-00009D670000}"/>
    <cellStyle name="Normal 2 3 3 2 3 3 2 3" xfId="26520" xr:uid="{00000000-0005-0000-0000-00009E670000}"/>
    <cellStyle name="Normal 2 3 3 2 3 3 2 4" xfId="26521" xr:uid="{00000000-0005-0000-0000-00009F670000}"/>
    <cellStyle name="Normal 2 3 3 2 3 3 3" xfId="26522" xr:uid="{00000000-0005-0000-0000-0000A0670000}"/>
    <cellStyle name="Normal 2 3 3 2 3 3 3 2" xfId="26523" xr:uid="{00000000-0005-0000-0000-0000A1670000}"/>
    <cellStyle name="Normal 2 3 3 2 3 3 4" xfId="26524" xr:uid="{00000000-0005-0000-0000-0000A2670000}"/>
    <cellStyle name="Normal 2 3 3 2 3 3 5" xfId="26525" xr:uid="{00000000-0005-0000-0000-0000A3670000}"/>
    <cellStyle name="Normal 2 3 3 2 3 4" xfId="26526" xr:uid="{00000000-0005-0000-0000-0000A4670000}"/>
    <cellStyle name="Normal 2 3 3 2 3 4 2" xfId="26527" xr:uid="{00000000-0005-0000-0000-0000A5670000}"/>
    <cellStyle name="Normal 2 3 3 2 3 4 2 2" xfId="26528" xr:uid="{00000000-0005-0000-0000-0000A6670000}"/>
    <cellStyle name="Normal 2 3 3 2 3 4 3" xfId="26529" xr:uid="{00000000-0005-0000-0000-0000A7670000}"/>
    <cellStyle name="Normal 2 3 3 2 3 4 4" xfId="26530" xr:uid="{00000000-0005-0000-0000-0000A8670000}"/>
    <cellStyle name="Normal 2 3 3 2 3 5" xfId="26531" xr:uid="{00000000-0005-0000-0000-0000A9670000}"/>
    <cellStyle name="Normal 2 3 3 2 3 5 2" xfId="26532" xr:uid="{00000000-0005-0000-0000-0000AA670000}"/>
    <cellStyle name="Normal 2 3 3 2 3 6" xfId="26533" xr:uid="{00000000-0005-0000-0000-0000AB670000}"/>
    <cellStyle name="Normal 2 3 3 2 3 7" xfId="26534" xr:uid="{00000000-0005-0000-0000-0000AC670000}"/>
    <cellStyle name="Normal 2 3 3 2 4" xfId="26535" xr:uid="{00000000-0005-0000-0000-0000AD670000}"/>
    <cellStyle name="Normal 2 3 3 2 4 2" xfId="26536" xr:uid="{00000000-0005-0000-0000-0000AE670000}"/>
    <cellStyle name="Normal 2 3 3 2 4 2 2" xfId="26537" xr:uid="{00000000-0005-0000-0000-0000AF670000}"/>
    <cellStyle name="Normal 2 3 3 2 4 2 2 2" xfId="26538" xr:uid="{00000000-0005-0000-0000-0000B0670000}"/>
    <cellStyle name="Normal 2 3 3 2 4 2 2 2 2" xfId="26539" xr:uid="{00000000-0005-0000-0000-0000B1670000}"/>
    <cellStyle name="Normal 2 3 3 2 4 2 2 3" xfId="26540" xr:uid="{00000000-0005-0000-0000-0000B2670000}"/>
    <cellStyle name="Normal 2 3 3 2 4 2 2 4" xfId="26541" xr:uid="{00000000-0005-0000-0000-0000B3670000}"/>
    <cellStyle name="Normal 2 3 3 2 4 2 3" xfId="26542" xr:uid="{00000000-0005-0000-0000-0000B4670000}"/>
    <cellStyle name="Normal 2 3 3 2 4 2 3 2" xfId="26543" xr:uid="{00000000-0005-0000-0000-0000B5670000}"/>
    <cellStyle name="Normal 2 3 3 2 4 2 4" xfId="26544" xr:uid="{00000000-0005-0000-0000-0000B6670000}"/>
    <cellStyle name="Normal 2 3 3 2 4 2 5" xfId="26545" xr:uid="{00000000-0005-0000-0000-0000B7670000}"/>
    <cellStyle name="Normal 2 3 3 2 4 3" xfId="26546" xr:uid="{00000000-0005-0000-0000-0000B8670000}"/>
    <cellStyle name="Normal 2 3 3 2 4 3 2" xfId="26547" xr:uid="{00000000-0005-0000-0000-0000B9670000}"/>
    <cellStyle name="Normal 2 3 3 2 4 3 2 2" xfId="26548" xr:uid="{00000000-0005-0000-0000-0000BA670000}"/>
    <cellStyle name="Normal 2 3 3 2 4 3 3" xfId="26549" xr:uid="{00000000-0005-0000-0000-0000BB670000}"/>
    <cellStyle name="Normal 2 3 3 2 4 3 3 2" xfId="26550" xr:uid="{00000000-0005-0000-0000-0000BC670000}"/>
    <cellStyle name="Normal 2 3 3 2 4 3 4" xfId="26551" xr:uid="{00000000-0005-0000-0000-0000BD670000}"/>
    <cellStyle name="Normal 2 3 3 2 4 3 5" xfId="26552" xr:uid="{00000000-0005-0000-0000-0000BE670000}"/>
    <cellStyle name="Normal 2 3 3 2 4 4" xfId="26553" xr:uid="{00000000-0005-0000-0000-0000BF670000}"/>
    <cellStyle name="Normal 2 3 3 2 4 4 2" xfId="26554" xr:uid="{00000000-0005-0000-0000-0000C0670000}"/>
    <cellStyle name="Normal 2 3 3 2 4 5" xfId="26555" xr:uid="{00000000-0005-0000-0000-0000C1670000}"/>
    <cellStyle name="Normal 2 3 3 2 4 5 2" xfId="26556" xr:uid="{00000000-0005-0000-0000-0000C2670000}"/>
    <cellStyle name="Normal 2 3 3 2 4 6" xfId="26557" xr:uid="{00000000-0005-0000-0000-0000C3670000}"/>
    <cellStyle name="Normal 2 3 3 2 4 7" xfId="26558" xr:uid="{00000000-0005-0000-0000-0000C4670000}"/>
    <cellStyle name="Normal 2 3 3 2 5" xfId="26559" xr:uid="{00000000-0005-0000-0000-0000C5670000}"/>
    <cellStyle name="Normal 2 3 3 2 5 2" xfId="26560" xr:uid="{00000000-0005-0000-0000-0000C6670000}"/>
    <cellStyle name="Normal 2 3 3 2 5 2 2" xfId="26561" xr:uid="{00000000-0005-0000-0000-0000C7670000}"/>
    <cellStyle name="Normal 2 3 3 2 5 2 2 2" xfId="26562" xr:uid="{00000000-0005-0000-0000-0000C8670000}"/>
    <cellStyle name="Normal 2 3 3 2 5 2 3" xfId="26563" xr:uid="{00000000-0005-0000-0000-0000C9670000}"/>
    <cellStyle name="Normal 2 3 3 2 5 2 4" xfId="26564" xr:uid="{00000000-0005-0000-0000-0000CA670000}"/>
    <cellStyle name="Normal 2 3 3 2 5 3" xfId="26565" xr:uid="{00000000-0005-0000-0000-0000CB670000}"/>
    <cellStyle name="Normal 2 3 3 2 5 3 2" xfId="26566" xr:uid="{00000000-0005-0000-0000-0000CC670000}"/>
    <cellStyle name="Normal 2 3 3 2 5 4" xfId="26567" xr:uid="{00000000-0005-0000-0000-0000CD670000}"/>
    <cellStyle name="Normal 2 3 3 2 5 5" xfId="26568" xr:uid="{00000000-0005-0000-0000-0000CE670000}"/>
    <cellStyle name="Normal 2 3 3 2 6" xfId="26569" xr:uid="{00000000-0005-0000-0000-0000CF670000}"/>
    <cellStyle name="Normal 2 3 3 2 6 2" xfId="26570" xr:uid="{00000000-0005-0000-0000-0000D0670000}"/>
    <cellStyle name="Normal 2 3 3 2 6 2 2" xfId="26571" xr:uid="{00000000-0005-0000-0000-0000D1670000}"/>
    <cellStyle name="Normal 2 3 3 2 6 3" xfId="26572" xr:uid="{00000000-0005-0000-0000-0000D2670000}"/>
    <cellStyle name="Normal 2 3 3 2 6 3 2" xfId="26573" xr:uid="{00000000-0005-0000-0000-0000D3670000}"/>
    <cellStyle name="Normal 2 3 3 2 6 4" xfId="26574" xr:uid="{00000000-0005-0000-0000-0000D4670000}"/>
    <cellStyle name="Normal 2 3 3 2 6 5" xfId="26575" xr:uid="{00000000-0005-0000-0000-0000D5670000}"/>
    <cellStyle name="Normal 2 3 3 2 7" xfId="26576" xr:uid="{00000000-0005-0000-0000-0000D6670000}"/>
    <cellStyle name="Normal 2 3 3 2 7 2" xfId="26577" xr:uid="{00000000-0005-0000-0000-0000D7670000}"/>
    <cellStyle name="Normal 2 3 3 2 8" xfId="26578" xr:uid="{00000000-0005-0000-0000-0000D8670000}"/>
    <cellStyle name="Normal 2 3 3 2 8 2" xfId="26579" xr:uid="{00000000-0005-0000-0000-0000D9670000}"/>
    <cellStyle name="Normal 2 3 3 2 9" xfId="26580" xr:uid="{00000000-0005-0000-0000-0000DA670000}"/>
    <cellStyle name="Normal 2 3 3 3" xfId="26581" xr:uid="{00000000-0005-0000-0000-0000DB670000}"/>
    <cellStyle name="Normal 2 3 3 3 2" xfId="26582" xr:uid="{00000000-0005-0000-0000-0000DC670000}"/>
    <cellStyle name="Normal 2 3 3 3 2 2" xfId="26583" xr:uid="{00000000-0005-0000-0000-0000DD670000}"/>
    <cellStyle name="Normal 2 3 3 3 2 2 2" xfId="26584" xr:uid="{00000000-0005-0000-0000-0000DE670000}"/>
    <cellStyle name="Normal 2 3 3 3 2 2 2 2" xfId="26585" xr:uid="{00000000-0005-0000-0000-0000DF670000}"/>
    <cellStyle name="Normal 2 3 3 3 2 2 2 2 2" xfId="26586" xr:uid="{00000000-0005-0000-0000-0000E0670000}"/>
    <cellStyle name="Normal 2 3 3 3 2 2 2 2 2 2" xfId="26587" xr:uid="{00000000-0005-0000-0000-0000E1670000}"/>
    <cellStyle name="Normal 2 3 3 3 2 2 2 2 3" xfId="26588" xr:uid="{00000000-0005-0000-0000-0000E2670000}"/>
    <cellStyle name="Normal 2 3 3 3 2 2 2 2 4" xfId="26589" xr:uid="{00000000-0005-0000-0000-0000E3670000}"/>
    <cellStyle name="Normal 2 3 3 3 2 2 2 3" xfId="26590" xr:uid="{00000000-0005-0000-0000-0000E4670000}"/>
    <cellStyle name="Normal 2 3 3 3 2 2 2 3 2" xfId="26591" xr:uid="{00000000-0005-0000-0000-0000E5670000}"/>
    <cellStyle name="Normal 2 3 3 3 2 2 2 4" xfId="26592" xr:uid="{00000000-0005-0000-0000-0000E6670000}"/>
    <cellStyle name="Normal 2 3 3 3 2 2 2 5" xfId="26593" xr:uid="{00000000-0005-0000-0000-0000E7670000}"/>
    <cellStyle name="Normal 2 3 3 3 2 2 3" xfId="26594" xr:uid="{00000000-0005-0000-0000-0000E8670000}"/>
    <cellStyle name="Normal 2 3 3 3 2 2 3 2" xfId="26595" xr:uid="{00000000-0005-0000-0000-0000E9670000}"/>
    <cellStyle name="Normal 2 3 3 3 2 2 3 2 2" xfId="26596" xr:uid="{00000000-0005-0000-0000-0000EA670000}"/>
    <cellStyle name="Normal 2 3 3 3 2 2 3 3" xfId="26597" xr:uid="{00000000-0005-0000-0000-0000EB670000}"/>
    <cellStyle name="Normal 2 3 3 3 2 2 3 4" xfId="26598" xr:uid="{00000000-0005-0000-0000-0000EC670000}"/>
    <cellStyle name="Normal 2 3 3 3 2 2 4" xfId="26599" xr:uid="{00000000-0005-0000-0000-0000ED670000}"/>
    <cellStyle name="Normal 2 3 3 3 2 2 4 2" xfId="26600" xr:uid="{00000000-0005-0000-0000-0000EE670000}"/>
    <cellStyle name="Normal 2 3 3 3 2 2 5" xfId="26601" xr:uid="{00000000-0005-0000-0000-0000EF670000}"/>
    <cellStyle name="Normal 2 3 3 3 2 2 6" xfId="26602" xr:uid="{00000000-0005-0000-0000-0000F0670000}"/>
    <cellStyle name="Normal 2 3 3 3 2 3" xfId="26603" xr:uid="{00000000-0005-0000-0000-0000F1670000}"/>
    <cellStyle name="Normal 2 3 3 3 2 3 2" xfId="26604" xr:uid="{00000000-0005-0000-0000-0000F2670000}"/>
    <cellStyle name="Normal 2 3 3 3 2 3 2 2" xfId="26605" xr:uid="{00000000-0005-0000-0000-0000F3670000}"/>
    <cellStyle name="Normal 2 3 3 3 2 3 2 2 2" xfId="26606" xr:uid="{00000000-0005-0000-0000-0000F4670000}"/>
    <cellStyle name="Normal 2 3 3 3 2 3 2 3" xfId="26607" xr:uid="{00000000-0005-0000-0000-0000F5670000}"/>
    <cellStyle name="Normal 2 3 3 3 2 3 2 4" xfId="26608" xr:uid="{00000000-0005-0000-0000-0000F6670000}"/>
    <cellStyle name="Normal 2 3 3 3 2 3 3" xfId="26609" xr:uid="{00000000-0005-0000-0000-0000F7670000}"/>
    <cellStyle name="Normal 2 3 3 3 2 3 3 2" xfId="26610" xr:uid="{00000000-0005-0000-0000-0000F8670000}"/>
    <cellStyle name="Normal 2 3 3 3 2 3 4" xfId="26611" xr:uid="{00000000-0005-0000-0000-0000F9670000}"/>
    <cellStyle name="Normal 2 3 3 3 2 3 5" xfId="26612" xr:uid="{00000000-0005-0000-0000-0000FA670000}"/>
    <cellStyle name="Normal 2 3 3 3 2 4" xfId="26613" xr:uid="{00000000-0005-0000-0000-0000FB670000}"/>
    <cellStyle name="Normal 2 3 3 3 2 4 2" xfId="26614" xr:uid="{00000000-0005-0000-0000-0000FC670000}"/>
    <cellStyle name="Normal 2 3 3 3 2 4 2 2" xfId="26615" xr:uid="{00000000-0005-0000-0000-0000FD670000}"/>
    <cellStyle name="Normal 2 3 3 3 2 4 3" xfId="26616" xr:uid="{00000000-0005-0000-0000-0000FE670000}"/>
    <cellStyle name="Normal 2 3 3 3 2 4 4" xfId="26617" xr:uid="{00000000-0005-0000-0000-0000FF670000}"/>
    <cellStyle name="Normal 2 3 3 3 2 5" xfId="26618" xr:uid="{00000000-0005-0000-0000-000000680000}"/>
    <cellStyle name="Normal 2 3 3 3 2 5 2" xfId="26619" xr:uid="{00000000-0005-0000-0000-000001680000}"/>
    <cellStyle name="Normal 2 3 3 3 2 6" xfId="26620" xr:uid="{00000000-0005-0000-0000-000002680000}"/>
    <cellStyle name="Normal 2 3 3 3 2 7" xfId="26621" xr:uid="{00000000-0005-0000-0000-000003680000}"/>
    <cellStyle name="Normal 2 3 3 3 3" xfId="26622" xr:uid="{00000000-0005-0000-0000-000004680000}"/>
    <cellStyle name="Normal 2 3 3 3 3 2" xfId="26623" xr:uid="{00000000-0005-0000-0000-000005680000}"/>
    <cellStyle name="Normal 2 3 3 3 3 2 2" xfId="26624" xr:uid="{00000000-0005-0000-0000-000006680000}"/>
    <cellStyle name="Normal 2 3 3 3 3 2 2 2" xfId="26625" xr:uid="{00000000-0005-0000-0000-000007680000}"/>
    <cellStyle name="Normal 2 3 3 3 3 2 2 2 2" xfId="26626" xr:uid="{00000000-0005-0000-0000-000008680000}"/>
    <cellStyle name="Normal 2 3 3 3 3 2 2 3" xfId="26627" xr:uid="{00000000-0005-0000-0000-000009680000}"/>
    <cellStyle name="Normal 2 3 3 3 3 2 2 4" xfId="26628" xr:uid="{00000000-0005-0000-0000-00000A680000}"/>
    <cellStyle name="Normal 2 3 3 3 3 2 3" xfId="26629" xr:uid="{00000000-0005-0000-0000-00000B680000}"/>
    <cellStyle name="Normal 2 3 3 3 3 2 3 2" xfId="26630" xr:uid="{00000000-0005-0000-0000-00000C680000}"/>
    <cellStyle name="Normal 2 3 3 3 3 2 4" xfId="26631" xr:uid="{00000000-0005-0000-0000-00000D680000}"/>
    <cellStyle name="Normal 2 3 3 3 3 2 5" xfId="26632" xr:uid="{00000000-0005-0000-0000-00000E680000}"/>
    <cellStyle name="Normal 2 3 3 3 3 3" xfId="26633" xr:uid="{00000000-0005-0000-0000-00000F680000}"/>
    <cellStyle name="Normal 2 3 3 3 3 3 2" xfId="26634" xr:uid="{00000000-0005-0000-0000-000010680000}"/>
    <cellStyle name="Normal 2 3 3 3 3 3 2 2" xfId="26635" xr:uid="{00000000-0005-0000-0000-000011680000}"/>
    <cellStyle name="Normal 2 3 3 3 3 3 3" xfId="26636" xr:uid="{00000000-0005-0000-0000-000012680000}"/>
    <cellStyle name="Normal 2 3 3 3 3 3 3 2" xfId="26637" xr:uid="{00000000-0005-0000-0000-000013680000}"/>
    <cellStyle name="Normal 2 3 3 3 3 3 4" xfId="26638" xr:uid="{00000000-0005-0000-0000-000014680000}"/>
    <cellStyle name="Normal 2 3 3 3 3 3 5" xfId="26639" xr:uid="{00000000-0005-0000-0000-000015680000}"/>
    <cellStyle name="Normal 2 3 3 3 3 4" xfId="26640" xr:uid="{00000000-0005-0000-0000-000016680000}"/>
    <cellStyle name="Normal 2 3 3 3 3 4 2" xfId="26641" xr:uid="{00000000-0005-0000-0000-000017680000}"/>
    <cellStyle name="Normal 2 3 3 3 3 5" xfId="26642" xr:uid="{00000000-0005-0000-0000-000018680000}"/>
    <cellStyle name="Normal 2 3 3 3 3 5 2" xfId="26643" xr:uid="{00000000-0005-0000-0000-000019680000}"/>
    <cellStyle name="Normal 2 3 3 3 3 6" xfId="26644" xr:uid="{00000000-0005-0000-0000-00001A680000}"/>
    <cellStyle name="Normal 2 3 3 3 3 7" xfId="26645" xr:uid="{00000000-0005-0000-0000-00001B680000}"/>
    <cellStyle name="Normal 2 3 3 3 4" xfId="26646" xr:uid="{00000000-0005-0000-0000-00001C680000}"/>
    <cellStyle name="Normal 2 3 3 3 4 2" xfId="26647" xr:uid="{00000000-0005-0000-0000-00001D680000}"/>
    <cellStyle name="Normal 2 3 3 3 4 2 2" xfId="26648" xr:uid="{00000000-0005-0000-0000-00001E680000}"/>
    <cellStyle name="Normal 2 3 3 3 4 2 2 2" xfId="26649" xr:uid="{00000000-0005-0000-0000-00001F680000}"/>
    <cellStyle name="Normal 2 3 3 3 4 2 3" xfId="26650" xr:uid="{00000000-0005-0000-0000-000020680000}"/>
    <cellStyle name="Normal 2 3 3 3 4 2 4" xfId="26651" xr:uid="{00000000-0005-0000-0000-000021680000}"/>
    <cellStyle name="Normal 2 3 3 3 4 3" xfId="26652" xr:uid="{00000000-0005-0000-0000-000022680000}"/>
    <cellStyle name="Normal 2 3 3 3 4 3 2" xfId="26653" xr:uid="{00000000-0005-0000-0000-000023680000}"/>
    <cellStyle name="Normal 2 3 3 3 4 4" xfId="26654" xr:uid="{00000000-0005-0000-0000-000024680000}"/>
    <cellStyle name="Normal 2 3 3 3 4 5" xfId="26655" xr:uid="{00000000-0005-0000-0000-000025680000}"/>
    <cellStyle name="Normal 2 3 3 3 5" xfId="26656" xr:uid="{00000000-0005-0000-0000-000026680000}"/>
    <cellStyle name="Normal 2 3 3 3 5 2" xfId="26657" xr:uid="{00000000-0005-0000-0000-000027680000}"/>
    <cellStyle name="Normal 2 3 3 3 5 2 2" xfId="26658" xr:uid="{00000000-0005-0000-0000-000028680000}"/>
    <cellStyle name="Normal 2 3 3 3 5 3" xfId="26659" xr:uid="{00000000-0005-0000-0000-000029680000}"/>
    <cellStyle name="Normal 2 3 3 3 5 3 2" xfId="26660" xr:uid="{00000000-0005-0000-0000-00002A680000}"/>
    <cellStyle name="Normal 2 3 3 3 5 4" xfId="26661" xr:uid="{00000000-0005-0000-0000-00002B680000}"/>
    <cellStyle name="Normal 2 3 3 3 5 5" xfId="26662" xr:uid="{00000000-0005-0000-0000-00002C680000}"/>
    <cellStyle name="Normal 2 3 3 3 6" xfId="26663" xr:uid="{00000000-0005-0000-0000-00002D680000}"/>
    <cellStyle name="Normal 2 3 3 3 6 2" xfId="26664" xr:uid="{00000000-0005-0000-0000-00002E680000}"/>
    <cellStyle name="Normal 2 3 3 3 7" xfId="26665" xr:uid="{00000000-0005-0000-0000-00002F680000}"/>
    <cellStyle name="Normal 2 3 3 3 7 2" xfId="26666" xr:uid="{00000000-0005-0000-0000-000030680000}"/>
    <cellStyle name="Normal 2 3 3 3 8" xfId="26667" xr:uid="{00000000-0005-0000-0000-000031680000}"/>
    <cellStyle name="Normal 2 3 3 3 9" xfId="26668" xr:uid="{00000000-0005-0000-0000-000032680000}"/>
    <cellStyle name="Normal 2 3 3 4" xfId="26669" xr:uid="{00000000-0005-0000-0000-000033680000}"/>
    <cellStyle name="Normal 2 3 3 4 2" xfId="26670" xr:uid="{00000000-0005-0000-0000-000034680000}"/>
    <cellStyle name="Normal 2 3 3 4 2 2" xfId="26671" xr:uid="{00000000-0005-0000-0000-000035680000}"/>
    <cellStyle name="Normal 2 3 3 4 2 2 2" xfId="26672" xr:uid="{00000000-0005-0000-0000-000036680000}"/>
    <cellStyle name="Normal 2 3 3 4 2 2 2 2" xfId="26673" xr:uid="{00000000-0005-0000-0000-000037680000}"/>
    <cellStyle name="Normal 2 3 3 4 2 2 2 2 2" xfId="26674" xr:uid="{00000000-0005-0000-0000-000038680000}"/>
    <cellStyle name="Normal 2 3 3 4 2 2 2 3" xfId="26675" xr:uid="{00000000-0005-0000-0000-000039680000}"/>
    <cellStyle name="Normal 2 3 3 4 2 2 2 4" xfId="26676" xr:uid="{00000000-0005-0000-0000-00003A680000}"/>
    <cellStyle name="Normal 2 3 3 4 2 2 3" xfId="26677" xr:uid="{00000000-0005-0000-0000-00003B680000}"/>
    <cellStyle name="Normal 2 3 3 4 2 2 3 2" xfId="26678" xr:uid="{00000000-0005-0000-0000-00003C680000}"/>
    <cellStyle name="Normal 2 3 3 4 2 2 4" xfId="26679" xr:uid="{00000000-0005-0000-0000-00003D680000}"/>
    <cellStyle name="Normal 2 3 3 4 2 2 5" xfId="26680" xr:uid="{00000000-0005-0000-0000-00003E680000}"/>
    <cellStyle name="Normal 2 3 3 4 2 3" xfId="26681" xr:uid="{00000000-0005-0000-0000-00003F680000}"/>
    <cellStyle name="Normal 2 3 3 4 2 3 2" xfId="26682" xr:uid="{00000000-0005-0000-0000-000040680000}"/>
    <cellStyle name="Normal 2 3 3 4 2 3 2 2" xfId="26683" xr:uid="{00000000-0005-0000-0000-000041680000}"/>
    <cellStyle name="Normal 2 3 3 4 2 3 3" xfId="26684" xr:uid="{00000000-0005-0000-0000-000042680000}"/>
    <cellStyle name="Normal 2 3 3 4 2 3 3 2" xfId="26685" xr:uid="{00000000-0005-0000-0000-000043680000}"/>
    <cellStyle name="Normal 2 3 3 4 2 3 4" xfId="26686" xr:uid="{00000000-0005-0000-0000-000044680000}"/>
    <cellStyle name="Normal 2 3 3 4 2 3 5" xfId="26687" xr:uid="{00000000-0005-0000-0000-000045680000}"/>
    <cellStyle name="Normal 2 3 3 4 2 4" xfId="26688" xr:uid="{00000000-0005-0000-0000-000046680000}"/>
    <cellStyle name="Normal 2 3 3 4 2 4 2" xfId="26689" xr:uid="{00000000-0005-0000-0000-000047680000}"/>
    <cellStyle name="Normal 2 3 3 4 2 5" xfId="26690" xr:uid="{00000000-0005-0000-0000-000048680000}"/>
    <cellStyle name="Normal 2 3 3 4 2 5 2" xfId="26691" xr:uid="{00000000-0005-0000-0000-000049680000}"/>
    <cellStyle name="Normal 2 3 3 4 2 6" xfId="26692" xr:uid="{00000000-0005-0000-0000-00004A680000}"/>
    <cellStyle name="Normal 2 3 3 4 2 7" xfId="26693" xr:uid="{00000000-0005-0000-0000-00004B680000}"/>
    <cellStyle name="Normal 2 3 3 4 3" xfId="26694" xr:uid="{00000000-0005-0000-0000-00004C680000}"/>
    <cellStyle name="Normal 2 3 3 4 3 2" xfId="26695" xr:uid="{00000000-0005-0000-0000-00004D680000}"/>
    <cellStyle name="Normal 2 3 3 4 3 2 2" xfId="26696" xr:uid="{00000000-0005-0000-0000-00004E680000}"/>
    <cellStyle name="Normal 2 3 3 4 3 2 2 2" xfId="26697" xr:uid="{00000000-0005-0000-0000-00004F680000}"/>
    <cellStyle name="Normal 2 3 3 4 3 2 3" xfId="26698" xr:uid="{00000000-0005-0000-0000-000050680000}"/>
    <cellStyle name="Normal 2 3 3 4 3 2 4" xfId="26699" xr:uid="{00000000-0005-0000-0000-000051680000}"/>
    <cellStyle name="Normal 2 3 3 4 3 3" xfId="26700" xr:uid="{00000000-0005-0000-0000-000052680000}"/>
    <cellStyle name="Normal 2 3 3 4 3 3 2" xfId="26701" xr:uid="{00000000-0005-0000-0000-000053680000}"/>
    <cellStyle name="Normal 2 3 3 4 3 4" xfId="26702" xr:uid="{00000000-0005-0000-0000-000054680000}"/>
    <cellStyle name="Normal 2 3 3 4 3 5" xfId="26703" xr:uid="{00000000-0005-0000-0000-000055680000}"/>
    <cellStyle name="Normal 2 3 3 4 4" xfId="26704" xr:uid="{00000000-0005-0000-0000-000056680000}"/>
    <cellStyle name="Normal 2 3 3 4 4 2" xfId="26705" xr:uid="{00000000-0005-0000-0000-000057680000}"/>
    <cellStyle name="Normal 2 3 3 4 4 2 2" xfId="26706" xr:uid="{00000000-0005-0000-0000-000058680000}"/>
    <cellStyle name="Normal 2 3 3 4 4 3" xfId="26707" xr:uid="{00000000-0005-0000-0000-000059680000}"/>
    <cellStyle name="Normal 2 3 3 4 4 3 2" xfId="26708" xr:uid="{00000000-0005-0000-0000-00005A680000}"/>
    <cellStyle name="Normal 2 3 3 4 4 4" xfId="26709" xr:uid="{00000000-0005-0000-0000-00005B680000}"/>
    <cellStyle name="Normal 2 3 3 4 4 5" xfId="26710" xr:uid="{00000000-0005-0000-0000-00005C680000}"/>
    <cellStyle name="Normal 2 3 3 4 5" xfId="26711" xr:uid="{00000000-0005-0000-0000-00005D680000}"/>
    <cellStyle name="Normal 2 3 3 4 5 2" xfId="26712" xr:uid="{00000000-0005-0000-0000-00005E680000}"/>
    <cellStyle name="Normal 2 3 3 4 6" xfId="26713" xr:uid="{00000000-0005-0000-0000-00005F680000}"/>
    <cellStyle name="Normal 2 3 3 4 6 2" xfId="26714" xr:uid="{00000000-0005-0000-0000-000060680000}"/>
    <cellStyle name="Normal 2 3 3 4 7" xfId="26715" xr:uid="{00000000-0005-0000-0000-000061680000}"/>
    <cellStyle name="Normal 2 3 3 4 8" xfId="26716" xr:uid="{00000000-0005-0000-0000-000062680000}"/>
    <cellStyle name="Normal 2 3 3 5" xfId="26717" xr:uid="{00000000-0005-0000-0000-000063680000}"/>
    <cellStyle name="Normal 2 3 3 5 2" xfId="26718" xr:uid="{00000000-0005-0000-0000-000064680000}"/>
    <cellStyle name="Normal 2 3 3 5 2 2" xfId="26719" xr:uid="{00000000-0005-0000-0000-000065680000}"/>
    <cellStyle name="Normal 2 3 3 5 2 2 2" xfId="26720" xr:uid="{00000000-0005-0000-0000-000066680000}"/>
    <cellStyle name="Normal 2 3 3 5 2 2 2 2" xfId="26721" xr:uid="{00000000-0005-0000-0000-000067680000}"/>
    <cellStyle name="Normal 2 3 3 5 2 2 3" xfId="26722" xr:uid="{00000000-0005-0000-0000-000068680000}"/>
    <cellStyle name="Normal 2 3 3 5 2 2 4" xfId="26723" xr:uid="{00000000-0005-0000-0000-000069680000}"/>
    <cellStyle name="Normal 2 3 3 5 2 3" xfId="26724" xr:uid="{00000000-0005-0000-0000-00006A680000}"/>
    <cellStyle name="Normal 2 3 3 5 2 3 2" xfId="26725" xr:uid="{00000000-0005-0000-0000-00006B680000}"/>
    <cellStyle name="Normal 2 3 3 5 2 4" xfId="26726" xr:uid="{00000000-0005-0000-0000-00006C680000}"/>
    <cellStyle name="Normal 2 3 3 5 2 5" xfId="26727" xr:uid="{00000000-0005-0000-0000-00006D680000}"/>
    <cellStyle name="Normal 2 3 3 5 3" xfId="26728" xr:uid="{00000000-0005-0000-0000-00006E680000}"/>
    <cellStyle name="Normal 2 3 3 5 3 2" xfId="26729" xr:uid="{00000000-0005-0000-0000-00006F680000}"/>
    <cellStyle name="Normal 2 3 3 5 3 2 2" xfId="26730" xr:uid="{00000000-0005-0000-0000-000070680000}"/>
    <cellStyle name="Normal 2 3 3 5 3 3" xfId="26731" xr:uid="{00000000-0005-0000-0000-000071680000}"/>
    <cellStyle name="Normal 2 3 3 5 3 3 2" xfId="26732" xr:uid="{00000000-0005-0000-0000-000072680000}"/>
    <cellStyle name="Normal 2 3 3 5 3 4" xfId="26733" xr:uid="{00000000-0005-0000-0000-000073680000}"/>
    <cellStyle name="Normal 2 3 3 5 3 5" xfId="26734" xr:uid="{00000000-0005-0000-0000-000074680000}"/>
    <cellStyle name="Normal 2 3 3 5 4" xfId="26735" xr:uid="{00000000-0005-0000-0000-000075680000}"/>
    <cellStyle name="Normal 2 3 3 5 4 2" xfId="26736" xr:uid="{00000000-0005-0000-0000-000076680000}"/>
    <cellStyle name="Normal 2 3 3 5 5" xfId="26737" xr:uid="{00000000-0005-0000-0000-000077680000}"/>
    <cellStyle name="Normal 2 3 3 5 5 2" xfId="26738" xr:uid="{00000000-0005-0000-0000-000078680000}"/>
    <cellStyle name="Normal 2 3 3 5 6" xfId="26739" xr:uid="{00000000-0005-0000-0000-000079680000}"/>
    <cellStyle name="Normal 2 3 3 5 7" xfId="26740" xr:uid="{00000000-0005-0000-0000-00007A680000}"/>
    <cellStyle name="Normal 2 3 3 6" xfId="26741" xr:uid="{00000000-0005-0000-0000-00007B680000}"/>
    <cellStyle name="Normal 2 3 3 6 2" xfId="26742" xr:uid="{00000000-0005-0000-0000-00007C680000}"/>
    <cellStyle name="Normal 2 3 3 6 2 2" xfId="26743" xr:uid="{00000000-0005-0000-0000-00007D680000}"/>
    <cellStyle name="Normal 2 3 3 6 2 2 2" xfId="26744" xr:uid="{00000000-0005-0000-0000-00007E680000}"/>
    <cellStyle name="Normal 2 3 3 6 2 3" xfId="26745" xr:uid="{00000000-0005-0000-0000-00007F680000}"/>
    <cellStyle name="Normal 2 3 3 6 2 4" xfId="26746" xr:uid="{00000000-0005-0000-0000-000080680000}"/>
    <cellStyle name="Normal 2 3 3 6 3" xfId="26747" xr:uid="{00000000-0005-0000-0000-000081680000}"/>
    <cellStyle name="Normal 2 3 3 6 3 2" xfId="26748" xr:uid="{00000000-0005-0000-0000-000082680000}"/>
    <cellStyle name="Normal 2 3 3 6 4" xfId="26749" xr:uid="{00000000-0005-0000-0000-000083680000}"/>
    <cellStyle name="Normal 2 3 3 6 5" xfId="26750" xr:uid="{00000000-0005-0000-0000-000084680000}"/>
    <cellStyle name="Normal 2 3 3 7" xfId="26751" xr:uid="{00000000-0005-0000-0000-000085680000}"/>
    <cellStyle name="Normal 2 3 3 7 2" xfId="26752" xr:uid="{00000000-0005-0000-0000-000086680000}"/>
    <cellStyle name="Normal 2 3 3 7 2 2" xfId="26753" xr:uid="{00000000-0005-0000-0000-000087680000}"/>
    <cellStyle name="Normal 2 3 3 7 3" xfId="26754" xr:uid="{00000000-0005-0000-0000-000088680000}"/>
    <cellStyle name="Normal 2 3 3 7 3 2" xfId="26755" xr:uid="{00000000-0005-0000-0000-000089680000}"/>
    <cellStyle name="Normal 2 3 3 7 4" xfId="26756" xr:uid="{00000000-0005-0000-0000-00008A680000}"/>
    <cellStyle name="Normal 2 3 3 7 5" xfId="26757" xr:uid="{00000000-0005-0000-0000-00008B680000}"/>
    <cellStyle name="Normal 2 3 3 8" xfId="26758" xr:uid="{00000000-0005-0000-0000-00008C680000}"/>
    <cellStyle name="Normal 2 3 3 8 2" xfId="26759" xr:uid="{00000000-0005-0000-0000-00008D680000}"/>
    <cellStyle name="Normal 2 3 3 9" xfId="26760" xr:uid="{00000000-0005-0000-0000-00008E680000}"/>
    <cellStyle name="Normal 2 3 3 9 2" xfId="26761" xr:uid="{00000000-0005-0000-0000-00008F680000}"/>
    <cellStyle name="Normal 2 3 4" xfId="26762" xr:uid="{00000000-0005-0000-0000-000090680000}"/>
    <cellStyle name="Normal 2 3 4 10" xfId="26763" xr:uid="{00000000-0005-0000-0000-000091680000}"/>
    <cellStyle name="Normal 2 3 4 2" xfId="26764" xr:uid="{00000000-0005-0000-0000-000092680000}"/>
    <cellStyle name="Normal 2 3 4 2 2" xfId="26765" xr:uid="{00000000-0005-0000-0000-000093680000}"/>
    <cellStyle name="Normal 2 3 4 2 2 2" xfId="26766" xr:uid="{00000000-0005-0000-0000-000094680000}"/>
    <cellStyle name="Normal 2 3 4 2 2 2 2" xfId="26767" xr:uid="{00000000-0005-0000-0000-000095680000}"/>
    <cellStyle name="Normal 2 3 4 2 2 2 2 2" xfId="26768" xr:uid="{00000000-0005-0000-0000-000096680000}"/>
    <cellStyle name="Normal 2 3 4 2 2 2 2 2 2" xfId="26769" xr:uid="{00000000-0005-0000-0000-000097680000}"/>
    <cellStyle name="Normal 2 3 4 2 2 2 2 2 2 2" xfId="26770" xr:uid="{00000000-0005-0000-0000-000098680000}"/>
    <cellStyle name="Normal 2 3 4 2 2 2 2 2 3" xfId="26771" xr:uid="{00000000-0005-0000-0000-000099680000}"/>
    <cellStyle name="Normal 2 3 4 2 2 2 2 2 4" xfId="26772" xr:uid="{00000000-0005-0000-0000-00009A680000}"/>
    <cellStyle name="Normal 2 3 4 2 2 2 2 3" xfId="26773" xr:uid="{00000000-0005-0000-0000-00009B680000}"/>
    <cellStyle name="Normal 2 3 4 2 2 2 2 3 2" xfId="26774" xr:uid="{00000000-0005-0000-0000-00009C680000}"/>
    <cellStyle name="Normal 2 3 4 2 2 2 2 4" xfId="26775" xr:uid="{00000000-0005-0000-0000-00009D680000}"/>
    <cellStyle name="Normal 2 3 4 2 2 2 2 5" xfId="26776" xr:uid="{00000000-0005-0000-0000-00009E680000}"/>
    <cellStyle name="Normal 2 3 4 2 2 2 3" xfId="26777" xr:uid="{00000000-0005-0000-0000-00009F680000}"/>
    <cellStyle name="Normal 2 3 4 2 2 2 3 2" xfId="26778" xr:uid="{00000000-0005-0000-0000-0000A0680000}"/>
    <cellStyle name="Normal 2 3 4 2 2 2 3 2 2" xfId="26779" xr:uid="{00000000-0005-0000-0000-0000A1680000}"/>
    <cellStyle name="Normal 2 3 4 2 2 2 3 3" xfId="26780" xr:uid="{00000000-0005-0000-0000-0000A2680000}"/>
    <cellStyle name="Normal 2 3 4 2 2 2 3 4" xfId="26781" xr:uid="{00000000-0005-0000-0000-0000A3680000}"/>
    <cellStyle name="Normal 2 3 4 2 2 2 4" xfId="26782" xr:uid="{00000000-0005-0000-0000-0000A4680000}"/>
    <cellStyle name="Normal 2 3 4 2 2 2 4 2" xfId="26783" xr:uid="{00000000-0005-0000-0000-0000A5680000}"/>
    <cellStyle name="Normal 2 3 4 2 2 2 5" xfId="26784" xr:uid="{00000000-0005-0000-0000-0000A6680000}"/>
    <cellStyle name="Normal 2 3 4 2 2 2 6" xfId="26785" xr:uid="{00000000-0005-0000-0000-0000A7680000}"/>
    <cellStyle name="Normal 2 3 4 2 2 3" xfId="26786" xr:uid="{00000000-0005-0000-0000-0000A8680000}"/>
    <cellStyle name="Normal 2 3 4 2 2 3 2" xfId="26787" xr:uid="{00000000-0005-0000-0000-0000A9680000}"/>
    <cellStyle name="Normal 2 3 4 2 2 3 2 2" xfId="26788" xr:uid="{00000000-0005-0000-0000-0000AA680000}"/>
    <cellStyle name="Normal 2 3 4 2 2 3 2 2 2" xfId="26789" xr:uid="{00000000-0005-0000-0000-0000AB680000}"/>
    <cellStyle name="Normal 2 3 4 2 2 3 2 3" xfId="26790" xr:uid="{00000000-0005-0000-0000-0000AC680000}"/>
    <cellStyle name="Normal 2 3 4 2 2 3 2 4" xfId="26791" xr:uid="{00000000-0005-0000-0000-0000AD680000}"/>
    <cellStyle name="Normal 2 3 4 2 2 3 3" xfId="26792" xr:uid="{00000000-0005-0000-0000-0000AE680000}"/>
    <cellStyle name="Normal 2 3 4 2 2 3 3 2" xfId="26793" xr:uid="{00000000-0005-0000-0000-0000AF680000}"/>
    <cellStyle name="Normal 2 3 4 2 2 3 4" xfId="26794" xr:uid="{00000000-0005-0000-0000-0000B0680000}"/>
    <cellStyle name="Normal 2 3 4 2 2 3 5" xfId="26795" xr:uid="{00000000-0005-0000-0000-0000B1680000}"/>
    <cellStyle name="Normal 2 3 4 2 2 4" xfId="26796" xr:uid="{00000000-0005-0000-0000-0000B2680000}"/>
    <cellStyle name="Normal 2 3 4 2 2 4 2" xfId="26797" xr:uid="{00000000-0005-0000-0000-0000B3680000}"/>
    <cellStyle name="Normal 2 3 4 2 2 4 2 2" xfId="26798" xr:uid="{00000000-0005-0000-0000-0000B4680000}"/>
    <cellStyle name="Normal 2 3 4 2 2 4 3" xfId="26799" xr:uid="{00000000-0005-0000-0000-0000B5680000}"/>
    <cellStyle name="Normal 2 3 4 2 2 4 4" xfId="26800" xr:uid="{00000000-0005-0000-0000-0000B6680000}"/>
    <cellStyle name="Normal 2 3 4 2 2 5" xfId="26801" xr:uid="{00000000-0005-0000-0000-0000B7680000}"/>
    <cellStyle name="Normal 2 3 4 2 2 5 2" xfId="26802" xr:uid="{00000000-0005-0000-0000-0000B8680000}"/>
    <cellStyle name="Normal 2 3 4 2 2 6" xfId="26803" xr:uid="{00000000-0005-0000-0000-0000B9680000}"/>
    <cellStyle name="Normal 2 3 4 2 2 7" xfId="26804" xr:uid="{00000000-0005-0000-0000-0000BA680000}"/>
    <cellStyle name="Normal 2 3 4 2 3" xfId="26805" xr:uid="{00000000-0005-0000-0000-0000BB680000}"/>
    <cellStyle name="Normal 2 3 4 2 3 2" xfId="26806" xr:uid="{00000000-0005-0000-0000-0000BC680000}"/>
    <cellStyle name="Normal 2 3 4 2 3 2 2" xfId="26807" xr:uid="{00000000-0005-0000-0000-0000BD680000}"/>
    <cellStyle name="Normal 2 3 4 2 3 2 2 2" xfId="26808" xr:uid="{00000000-0005-0000-0000-0000BE680000}"/>
    <cellStyle name="Normal 2 3 4 2 3 2 2 2 2" xfId="26809" xr:uid="{00000000-0005-0000-0000-0000BF680000}"/>
    <cellStyle name="Normal 2 3 4 2 3 2 2 3" xfId="26810" xr:uid="{00000000-0005-0000-0000-0000C0680000}"/>
    <cellStyle name="Normal 2 3 4 2 3 2 2 4" xfId="26811" xr:uid="{00000000-0005-0000-0000-0000C1680000}"/>
    <cellStyle name="Normal 2 3 4 2 3 2 3" xfId="26812" xr:uid="{00000000-0005-0000-0000-0000C2680000}"/>
    <cellStyle name="Normal 2 3 4 2 3 2 3 2" xfId="26813" xr:uid="{00000000-0005-0000-0000-0000C3680000}"/>
    <cellStyle name="Normal 2 3 4 2 3 2 4" xfId="26814" xr:uid="{00000000-0005-0000-0000-0000C4680000}"/>
    <cellStyle name="Normal 2 3 4 2 3 2 5" xfId="26815" xr:uid="{00000000-0005-0000-0000-0000C5680000}"/>
    <cellStyle name="Normal 2 3 4 2 3 3" xfId="26816" xr:uid="{00000000-0005-0000-0000-0000C6680000}"/>
    <cellStyle name="Normal 2 3 4 2 3 3 2" xfId="26817" xr:uid="{00000000-0005-0000-0000-0000C7680000}"/>
    <cellStyle name="Normal 2 3 4 2 3 3 2 2" xfId="26818" xr:uid="{00000000-0005-0000-0000-0000C8680000}"/>
    <cellStyle name="Normal 2 3 4 2 3 3 3" xfId="26819" xr:uid="{00000000-0005-0000-0000-0000C9680000}"/>
    <cellStyle name="Normal 2 3 4 2 3 3 3 2" xfId="26820" xr:uid="{00000000-0005-0000-0000-0000CA680000}"/>
    <cellStyle name="Normal 2 3 4 2 3 3 4" xfId="26821" xr:uid="{00000000-0005-0000-0000-0000CB680000}"/>
    <cellStyle name="Normal 2 3 4 2 3 3 5" xfId="26822" xr:uid="{00000000-0005-0000-0000-0000CC680000}"/>
    <cellStyle name="Normal 2 3 4 2 3 4" xfId="26823" xr:uid="{00000000-0005-0000-0000-0000CD680000}"/>
    <cellStyle name="Normal 2 3 4 2 3 4 2" xfId="26824" xr:uid="{00000000-0005-0000-0000-0000CE680000}"/>
    <cellStyle name="Normal 2 3 4 2 3 5" xfId="26825" xr:uid="{00000000-0005-0000-0000-0000CF680000}"/>
    <cellStyle name="Normal 2 3 4 2 3 5 2" xfId="26826" xr:uid="{00000000-0005-0000-0000-0000D0680000}"/>
    <cellStyle name="Normal 2 3 4 2 3 6" xfId="26827" xr:uid="{00000000-0005-0000-0000-0000D1680000}"/>
    <cellStyle name="Normal 2 3 4 2 3 7" xfId="26828" xr:uid="{00000000-0005-0000-0000-0000D2680000}"/>
    <cellStyle name="Normal 2 3 4 2 4" xfId="26829" xr:uid="{00000000-0005-0000-0000-0000D3680000}"/>
    <cellStyle name="Normal 2 3 4 2 4 2" xfId="26830" xr:uid="{00000000-0005-0000-0000-0000D4680000}"/>
    <cellStyle name="Normal 2 3 4 2 4 2 2" xfId="26831" xr:uid="{00000000-0005-0000-0000-0000D5680000}"/>
    <cellStyle name="Normal 2 3 4 2 4 2 2 2" xfId="26832" xr:uid="{00000000-0005-0000-0000-0000D6680000}"/>
    <cellStyle name="Normal 2 3 4 2 4 2 3" xfId="26833" xr:uid="{00000000-0005-0000-0000-0000D7680000}"/>
    <cellStyle name="Normal 2 3 4 2 4 2 4" xfId="26834" xr:uid="{00000000-0005-0000-0000-0000D8680000}"/>
    <cellStyle name="Normal 2 3 4 2 4 3" xfId="26835" xr:uid="{00000000-0005-0000-0000-0000D9680000}"/>
    <cellStyle name="Normal 2 3 4 2 4 3 2" xfId="26836" xr:uid="{00000000-0005-0000-0000-0000DA680000}"/>
    <cellStyle name="Normal 2 3 4 2 4 4" xfId="26837" xr:uid="{00000000-0005-0000-0000-0000DB680000}"/>
    <cellStyle name="Normal 2 3 4 2 4 5" xfId="26838" xr:uid="{00000000-0005-0000-0000-0000DC680000}"/>
    <cellStyle name="Normal 2 3 4 2 5" xfId="26839" xr:uid="{00000000-0005-0000-0000-0000DD680000}"/>
    <cellStyle name="Normal 2 3 4 2 5 2" xfId="26840" xr:uid="{00000000-0005-0000-0000-0000DE680000}"/>
    <cellStyle name="Normal 2 3 4 2 5 2 2" xfId="26841" xr:uid="{00000000-0005-0000-0000-0000DF680000}"/>
    <cellStyle name="Normal 2 3 4 2 5 3" xfId="26842" xr:uid="{00000000-0005-0000-0000-0000E0680000}"/>
    <cellStyle name="Normal 2 3 4 2 5 3 2" xfId="26843" xr:uid="{00000000-0005-0000-0000-0000E1680000}"/>
    <cellStyle name="Normal 2 3 4 2 5 4" xfId="26844" xr:uid="{00000000-0005-0000-0000-0000E2680000}"/>
    <cellStyle name="Normal 2 3 4 2 5 5" xfId="26845" xr:uid="{00000000-0005-0000-0000-0000E3680000}"/>
    <cellStyle name="Normal 2 3 4 2 6" xfId="26846" xr:uid="{00000000-0005-0000-0000-0000E4680000}"/>
    <cellStyle name="Normal 2 3 4 2 6 2" xfId="26847" xr:uid="{00000000-0005-0000-0000-0000E5680000}"/>
    <cellStyle name="Normal 2 3 4 2 7" xfId="26848" xr:uid="{00000000-0005-0000-0000-0000E6680000}"/>
    <cellStyle name="Normal 2 3 4 2 7 2" xfId="26849" xr:uid="{00000000-0005-0000-0000-0000E7680000}"/>
    <cellStyle name="Normal 2 3 4 2 8" xfId="26850" xr:uid="{00000000-0005-0000-0000-0000E8680000}"/>
    <cellStyle name="Normal 2 3 4 2 9" xfId="26851" xr:uid="{00000000-0005-0000-0000-0000E9680000}"/>
    <cellStyle name="Normal 2 3 4 3" xfId="26852" xr:uid="{00000000-0005-0000-0000-0000EA680000}"/>
    <cellStyle name="Normal 2 3 4 3 2" xfId="26853" xr:uid="{00000000-0005-0000-0000-0000EB680000}"/>
    <cellStyle name="Normal 2 3 4 3 2 2" xfId="26854" xr:uid="{00000000-0005-0000-0000-0000EC680000}"/>
    <cellStyle name="Normal 2 3 4 3 2 2 2" xfId="26855" xr:uid="{00000000-0005-0000-0000-0000ED680000}"/>
    <cellStyle name="Normal 2 3 4 3 2 2 2 2" xfId="26856" xr:uid="{00000000-0005-0000-0000-0000EE680000}"/>
    <cellStyle name="Normal 2 3 4 3 2 2 2 2 2" xfId="26857" xr:uid="{00000000-0005-0000-0000-0000EF680000}"/>
    <cellStyle name="Normal 2 3 4 3 2 2 2 3" xfId="26858" xr:uid="{00000000-0005-0000-0000-0000F0680000}"/>
    <cellStyle name="Normal 2 3 4 3 2 2 2 4" xfId="26859" xr:uid="{00000000-0005-0000-0000-0000F1680000}"/>
    <cellStyle name="Normal 2 3 4 3 2 2 3" xfId="26860" xr:uid="{00000000-0005-0000-0000-0000F2680000}"/>
    <cellStyle name="Normal 2 3 4 3 2 2 3 2" xfId="26861" xr:uid="{00000000-0005-0000-0000-0000F3680000}"/>
    <cellStyle name="Normal 2 3 4 3 2 2 4" xfId="26862" xr:uid="{00000000-0005-0000-0000-0000F4680000}"/>
    <cellStyle name="Normal 2 3 4 3 2 2 5" xfId="26863" xr:uid="{00000000-0005-0000-0000-0000F5680000}"/>
    <cellStyle name="Normal 2 3 4 3 2 3" xfId="26864" xr:uid="{00000000-0005-0000-0000-0000F6680000}"/>
    <cellStyle name="Normal 2 3 4 3 2 3 2" xfId="26865" xr:uid="{00000000-0005-0000-0000-0000F7680000}"/>
    <cellStyle name="Normal 2 3 4 3 2 3 2 2" xfId="26866" xr:uid="{00000000-0005-0000-0000-0000F8680000}"/>
    <cellStyle name="Normal 2 3 4 3 2 3 3" xfId="26867" xr:uid="{00000000-0005-0000-0000-0000F9680000}"/>
    <cellStyle name="Normal 2 3 4 3 2 3 3 2" xfId="26868" xr:uid="{00000000-0005-0000-0000-0000FA680000}"/>
    <cellStyle name="Normal 2 3 4 3 2 3 4" xfId="26869" xr:uid="{00000000-0005-0000-0000-0000FB680000}"/>
    <cellStyle name="Normal 2 3 4 3 2 3 5" xfId="26870" xr:uid="{00000000-0005-0000-0000-0000FC680000}"/>
    <cellStyle name="Normal 2 3 4 3 2 4" xfId="26871" xr:uid="{00000000-0005-0000-0000-0000FD680000}"/>
    <cellStyle name="Normal 2 3 4 3 2 4 2" xfId="26872" xr:uid="{00000000-0005-0000-0000-0000FE680000}"/>
    <cellStyle name="Normal 2 3 4 3 2 5" xfId="26873" xr:uid="{00000000-0005-0000-0000-0000FF680000}"/>
    <cellStyle name="Normal 2 3 4 3 2 5 2" xfId="26874" xr:uid="{00000000-0005-0000-0000-000000690000}"/>
    <cellStyle name="Normal 2 3 4 3 2 6" xfId="26875" xr:uid="{00000000-0005-0000-0000-000001690000}"/>
    <cellStyle name="Normal 2 3 4 3 2 7" xfId="26876" xr:uid="{00000000-0005-0000-0000-000002690000}"/>
    <cellStyle name="Normal 2 3 4 3 3" xfId="26877" xr:uid="{00000000-0005-0000-0000-000003690000}"/>
    <cellStyle name="Normal 2 3 4 3 3 2" xfId="26878" xr:uid="{00000000-0005-0000-0000-000004690000}"/>
    <cellStyle name="Normal 2 3 4 3 3 2 2" xfId="26879" xr:uid="{00000000-0005-0000-0000-000005690000}"/>
    <cellStyle name="Normal 2 3 4 3 3 2 2 2" xfId="26880" xr:uid="{00000000-0005-0000-0000-000006690000}"/>
    <cellStyle name="Normal 2 3 4 3 3 2 3" xfId="26881" xr:uid="{00000000-0005-0000-0000-000007690000}"/>
    <cellStyle name="Normal 2 3 4 3 3 2 4" xfId="26882" xr:uid="{00000000-0005-0000-0000-000008690000}"/>
    <cellStyle name="Normal 2 3 4 3 3 3" xfId="26883" xr:uid="{00000000-0005-0000-0000-000009690000}"/>
    <cellStyle name="Normal 2 3 4 3 3 3 2" xfId="26884" xr:uid="{00000000-0005-0000-0000-00000A690000}"/>
    <cellStyle name="Normal 2 3 4 3 3 4" xfId="26885" xr:uid="{00000000-0005-0000-0000-00000B690000}"/>
    <cellStyle name="Normal 2 3 4 3 3 5" xfId="26886" xr:uid="{00000000-0005-0000-0000-00000C690000}"/>
    <cellStyle name="Normal 2 3 4 3 4" xfId="26887" xr:uid="{00000000-0005-0000-0000-00000D690000}"/>
    <cellStyle name="Normal 2 3 4 3 4 2" xfId="26888" xr:uid="{00000000-0005-0000-0000-00000E690000}"/>
    <cellStyle name="Normal 2 3 4 3 4 2 2" xfId="26889" xr:uid="{00000000-0005-0000-0000-00000F690000}"/>
    <cellStyle name="Normal 2 3 4 3 4 3" xfId="26890" xr:uid="{00000000-0005-0000-0000-000010690000}"/>
    <cellStyle name="Normal 2 3 4 3 4 3 2" xfId="26891" xr:uid="{00000000-0005-0000-0000-000011690000}"/>
    <cellStyle name="Normal 2 3 4 3 4 4" xfId="26892" xr:uid="{00000000-0005-0000-0000-000012690000}"/>
    <cellStyle name="Normal 2 3 4 3 4 5" xfId="26893" xr:uid="{00000000-0005-0000-0000-000013690000}"/>
    <cellStyle name="Normal 2 3 4 3 5" xfId="26894" xr:uid="{00000000-0005-0000-0000-000014690000}"/>
    <cellStyle name="Normal 2 3 4 3 5 2" xfId="26895" xr:uid="{00000000-0005-0000-0000-000015690000}"/>
    <cellStyle name="Normal 2 3 4 3 6" xfId="26896" xr:uid="{00000000-0005-0000-0000-000016690000}"/>
    <cellStyle name="Normal 2 3 4 3 6 2" xfId="26897" xr:uid="{00000000-0005-0000-0000-000017690000}"/>
    <cellStyle name="Normal 2 3 4 3 7" xfId="26898" xr:uid="{00000000-0005-0000-0000-000018690000}"/>
    <cellStyle name="Normal 2 3 4 3 8" xfId="26899" xr:uid="{00000000-0005-0000-0000-000019690000}"/>
    <cellStyle name="Normal 2 3 4 4" xfId="26900" xr:uid="{00000000-0005-0000-0000-00001A690000}"/>
    <cellStyle name="Normal 2 3 4 4 2" xfId="26901" xr:uid="{00000000-0005-0000-0000-00001B690000}"/>
    <cellStyle name="Normal 2 3 4 4 2 2" xfId="26902" xr:uid="{00000000-0005-0000-0000-00001C690000}"/>
    <cellStyle name="Normal 2 3 4 4 2 2 2" xfId="26903" xr:uid="{00000000-0005-0000-0000-00001D690000}"/>
    <cellStyle name="Normal 2 3 4 4 2 2 2 2" xfId="26904" xr:uid="{00000000-0005-0000-0000-00001E690000}"/>
    <cellStyle name="Normal 2 3 4 4 2 2 3" xfId="26905" xr:uid="{00000000-0005-0000-0000-00001F690000}"/>
    <cellStyle name="Normal 2 3 4 4 2 2 4" xfId="26906" xr:uid="{00000000-0005-0000-0000-000020690000}"/>
    <cellStyle name="Normal 2 3 4 4 2 3" xfId="26907" xr:uid="{00000000-0005-0000-0000-000021690000}"/>
    <cellStyle name="Normal 2 3 4 4 2 3 2" xfId="26908" xr:uid="{00000000-0005-0000-0000-000022690000}"/>
    <cellStyle name="Normal 2 3 4 4 2 4" xfId="26909" xr:uid="{00000000-0005-0000-0000-000023690000}"/>
    <cellStyle name="Normal 2 3 4 4 2 5" xfId="26910" xr:uid="{00000000-0005-0000-0000-000024690000}"/>
    <cellStyle name="Normal 2 3 4 4 3" xfId="26911" xr:uid="{00000000-0005-0000-0000-000025690000}"/>
    <cellStyle name="Normal 2 3 4 4 3 2" xfId="26912" xr:uid="{00000000-0005-0000-0000-000026690000}"/>
    <cellStyle name="Normal 2 3 4 4 3 2 2" xfId="26913" xr:uid="{00000000-0005-0000-0000-000027690000}"/>
    <cellStyle name="Normal 2 3 4 4 3 3" xfId="26914" xr:uid="{00000000-0005-0000-0000-000028690000}"/>
    <cellStyle name="Normal 2 3 4 4 3 3 2" xfId="26915" xr:uid="{00000000-0005-0000-0000-000029690000}"/>
    <cellStyle name="Normal 2 3 4 4 3 4" xfId="26916" xr:uid="{00000000-0005-0000-0000-00002A690000}"/>
    <cellStyle name="Normal 2 3 4 4 3 5" xfId="26917" xr:uid="{00000000-0005-0000-0000-00002B690000}"/>
    <cellStyle name="Normal 2 3 4 4 4" xfId="26918" xr:uid="{00000000-0005-0000-0000-00002C690000}"/>
    <cellStyle name="Normal 2 3 4 4 4 2" xfId="26919" xr:uid="{00000000-0005-0000-0000-00002D690000}"/>
    <cellStyle name="Normal 2 3 4 4 5" xfId="26920" xr:uid="{00000000-0005-0000-0000-00002E690000}"/>
    <cellStyle name="Normal 2 3 4 4 5 2" xfId="26921" xr:uid="{00000000-0005-0000-0000-00002F690000}"/>
    <cellStyle name="Normal 2 3 4 4 6" xfId="26922" xr:uid="{00000000-0005-0000-0000-000030690000}"/>
    <cellStyle name="Normal 2 3 4 4 7" xfId="26923" xr:uid="{00000000-0005-0000-0000-000031690000}"/>
    <cellStyle name="Normal 2 3 4 5" xfId="26924" xr:uid="{00000000-0005-0000-0000-000032690000}"/>
    <cellStyle name="Normal 2 3 4 5 2" xfId="26925" xr:uid="{00000000-0005-0000-0000-000033690000}"/>
    <cellStyle name="Normal 2 3 4 5 2 2" xfId="26926" xr:uid="{00000000-0005-0000-0000-000034690000}"/>
    <cellStyle name="Normal 2 3 4 5 2 2 2" xfId="26927" xr:uid="{00000000-0005-0000-0000-000035690000}"/>
    <cellStyle name="Normal 2 3 4 5 2 3" xfId="26928" xr:uid="{00000000-0005-0000-0000-000036690000}"/>
    <cellStyle name="Normal 2 3 4 5 2 4" xfId="26929" xr:uid="{00000000-0005-0000-0000-000037690000}"/>
    <cellStyle name="Normal 2 3 4 5 3" xfId="26930" xr:uid="{00000000-0005-0000-0000-000038690000}"/>
    <cellStyle name="Normal 2 3 4 5 3 2" xfId="26931" xr:uid="{00000000-0005-0000-0000-000039690000}"/>
    <cellStyle name="Normal 2 3 4 5 4" xfId="26932" xr:uid="{00000000-0005-0000-0000-00003A690000}"/>
    <cellStyle name="Normal 2 3 4 5 5" xfId="26933" xr:uid="{00000000-0005-0000-0000-00003B690000}"/>
    <cellStyle name="Normal 2 3 4 6" xfId="26934" xr:uid="{00000000-0005-0000-0000-00003C690000}"/>
    <cellStyle name="Normal 2 3 4 6 2" xfId="26935" xr:uid="{00000000-0005-0000-0000-00003D690000}"/>
    <cellStyle name="Normal 2 3 4 6 2 2" xfId="26936" xr:uid="{00000000-0005-0000-0000-00003E690000}"/>
    <cellStyle name="Normal 2 3 4 6 3" xfId="26937" xr:uid="{00000000-0005-0000-0000-00003F690000}"/>
    <cellStyle name="Normal 2 3 4 6 3 2" xfId="26938" xr:uid="{00000000-0005-0000-0000-000040690000}"/>
    <cellStyle name="Normal 2 3 4 6 4" xfId="26939" xr:uid="{00000000-0005-0000-0000-000041690000}"/>
    <cellStyle name="Normal 2 3 4 6 5" xfId="26940" xr:uid="{00000000-0005-0000-0000-000042690000}"/>
    <cellStyle name="Normal 2 3 4 7" xfId="26941" xr:uid="{00000000-0005-0000-0000-000043690000}"/>
    <cellStyle name="Normal 2 3 4 7 2" xfId="26942" xr:uid="{00000000-0005-0000-0000-000044690000}"/>
    <cellStyle name="Normal 2 3 4 8" xfId="26943" xr:uid="{00000000-0005-0000-0000-000045690000}"/>
    <cellStyle name="Normal 2 3 4 8 2" xfId="26944" xr:uid="{00000000-0005-0000-0000-000046690000}"/>
    <cellStyle name="Normal 2 3 4 9" xfId="26945" xr:uid="{00000000-0005-0000-0000-000047690000}"/>
    <cellStyle name="Normal 2 3 5" xfId="26946" xr:uid="{00000000-0005-0000-0000-000048690000}"/>
    <cellStyle name="Normal 2 3 5 2" xfId="26947" xr:uid="{00000000-0005-0000-0000-000049690000}"/>
    <cellStyle name="Normal 2 3 5 2 2" xfId="26948" xr:uid="{00000000-0005-0000-0000-00004A690000}"/>
    <cellStyle name="Normal 2 3 5 2 2 2" xfId="26949" xr:uid="{00000000-0005-0000-0000-00004B690000}"/>
    <cellStyle name="Normal 2 3 5 2 2 2 2" xfId="26950" xr:uid="{00000000-0005-0000-0000-00004C690000}"/>
    <cellStyle name="Normal 2 3 5 2 2 2 2 2" xfId="26951" xr:uid="{00000000-0005-0000-0000-00004D690000}"/>
    <cellStyle name="Normal 2 3 5 2 2 2 2 2 2" xfId="26952" xr:uid="{00000000-0005-0000-0000-00004E690000}"/>
    <cellStyle name="Normal 2 3 5 2 2 2 2 3" xfId="26953" xr:uid="{00000000-0005-0000-0000-00004F690000}"/>
    <cellStyle name="Normal 2 3 5 2 2 2 2 4" xfId="26954" xr:uid="{00000000-0005-0000-0000-000050690000}"/>
    <cellStyle name="Normal 2 3 5 2 2 2 3" xfId="26955" xr:uid="{00000000-0005-0000-0000-000051690000}"/>
    <cellStyle name="Normal 2 3 5 2 2 2 3 2" xfId="26956" xr:uid="{00000000-0005-0000-0000-000052690000}"/>
    <cellStyle name="Normal 2 3 5 2 2 2 4" xfId="26957" xr:uid="{00000000-0005-0000-0000-000053690000}"/>
    <cellStyle name="Normal 2 3 5 2 2 2 5" xfId="26958" xr:uid="{00000000-0005-0000-0000-000054690000}"/>
    <cellStyle name="Normal 2 3 5 2 2 3" xfId="26959" xr:uid="{00000000-0005-0000-0000-000055690000}"/>
    <cellStyle name="Normal 2 3 5 2 2 3 2" xfId="26960" xr:uid="{00000000-0005-0000-0000-000056690000}"/>
    <cellStyle name="Normal 2 3 5 2 2 3 2 2" xfId="26961" xr:uid="{00000000-0005-0000-0000-000057690000}"/>
    <cellStyle name="Normal 2 3 5 2 2 3 3" xfId="26962" xr:uid="{00000000-0005-0000-0000-000058690000}"/>
    <cellStyle name="Normal 2 3 5 2 2 3 4" xfId="26963" xr:uid="{00000000-0005-0000-0000-000059690000}"/>
    <cellStyle name="Normal 2 3 5 2 2 4" xfId="26964" xr:uid="{00000000-0005-0000-0000-00005A690000}"/>
    <cellStyle name="Normal 2 3 5 2 2 4 2" xfId="26965" xr:uid="{00000000-0005-0000-0000-00005B690000}"/>
    <cellStyle name="Normal 2 3 5 2 2 5" xfId="26966" xr:uid="{00000000-0005-0000-0000-00005C690000}"/>
    <cellStyle name="Normal 2 3 5 2 2 6" xfId="26967" xr:uid="{00000000-0005-0000-0000-00005D690000}"/>
    <cellStyle name="Normal 2 3 5 2 3" xfId="26968" xr:uid="{00000000-0005-0000-0000-00005E690000}"/>
    <cellStyle name="Normal 2 3 5 2 3 2" xfId="26969" xr:uid="{00000000-0005-0000-0000-00005F690000}"/>
    <cellStyle name="Normal 2 3 5 2 3 2 2" xfId="26970" xr:uid="{00000000-0005-0000-0000-000060690000}"/>
    <cellStyle name="Normal 2 3 5 2 3 2 2 2" xfId="26971" xr:uid="{00000000-0005-0000-0000-000061690000}"/>
    <cellStyle name="Normal 2 3 5 2 3 2 3" xfId="26972" xr:uid="{00000000-0005-0000-0000-000062690000}"/>
    <cellStyle name="Normal 2 3 5 2 3 2 4" xfId="26973" xr:uid="{00000000-0005-0000-0000-000063690000}"/>
    <cellStyle name="Normal 2 3 5 2 3 3" xfId="26974" xr:uid="{00000000-0005-0000-0000-000064690000}"/>
    <cellStyle name="Normal 2 3 5 2 3 3 2" xfId="26975" xr:uid="{00000000-0005-0000-0000-000065690000}"/>
    <cellStyle name="Normal 2 3 5 2 3 4" xfId="26976" xr:uid="{00000000-0005-0000-0000-000066690000}"/>
    <cellStyle name="Normal 2 3 5 2 3 5" xfId="26977" xr:uid="{00000000-0005-0000-0000-000067690000}"/>
    <cellStyle name="Normal 2 3 5 2 4" xfId="26978" xr:uid="{00000000-0005-0000-0000-000068690000}"/>
    <cellStyle name="Normal 2 3 5 2 4 2" xfId="26979" xr:uid="{00000000-0005-0000-0000-000069690000}"/>
    <cellStyle name="Normal 2 3 5 2 4 2 2" xfId="26980" xr:uid="{00000000-0005-0000-0000-00006A690000}"/>
    <cellStyle name="Normal 2 3 5 2 4 3" xfId="26981" xr:uid="{00000000-0005-0000-0000-00006B690000}"/>
    <cellStyle name="Normal 2 3 5 2 4 4" xfId="26982" xr:uid="{00000000-0005-0000-0000-00006C690000}"/>
    <cellStyle name="Normal 2 3 5 2 5" xfId="26983" xr:uid="{00000000-0005-0000-0000-00006D690000}"/>
    <cellStyle name="Normal 2 3 5 2 5 2" xfId="26984" xr:uid="{00000000-0005-0000-0000-00006E690000}"/>
    <cellStyle name="Normal 2 3 5 2 6" xfId="26985" xr:uid="{00000000-0005-0000-0000-00006F690000}"/>
    <cellStyle name="Normal 2 3 5 2 7" xfId="26986" xr:uid="{00000000-0005-0000-0000-000070690000}"/>
    <cellStyle name="Normal 2 3 5 3" xfId="26987" xr:uid="{00000000-0005-0000-0000-000071690000}"/>
    <cellStyle name="Normal 2 3 5 3 2" xfId="26988" xr:uid="{00000000-0005-0000-0000-000072690000}"/>
    <cellStyle name="Normal 2 3 5 3 2 2" xfId="26989" xr:uid="{00000000-0005-0000-0000-000073690000}"/>
    <cellStyle name="Normal 2 3 5 3 2 2 2" xfId="26990" xr:uid="{00000000-0005-0000-0000-000074690000}"/>
    <cellStyle name="Normal 2 3 5 3 2 2 2 2" xfId="26991" xr:uid="{00000000-0005-0000-0000-000075690000}"/>
    <cellStyle name="Normal 2 3 5 3 2 2 3" xfId="26992" xr:uid="{00000000-0005-0000-0000-000076690000}"/>
    <cellStyle name="Normal 2 3 5 3 2 2 4" xfId="26993" xr:uid="{00000000-0005-0000-0000-000077690000}"/>
    <cellStyle name="Normal 2 3 5 3 2 3" xfId="26994" xr:uid="{00000000-0005-0000-0000-000078690000}"/>
    <cellStyle name="Normal 2 3 5 3 2 3 2" xfId="26995" xr:uid="{00000000-0005-0000-0000-000079690000}"/>
    <cellStyle name="Normal 2 3 5 3 2 4" xfId="26996" xr:uid="{00000000-0005-0000-0000-00007A690000}"/>
    <cellStyle name="Normal 2 3 5 3 2 5" xfId="26997" xr:uid="{00000000-0005-0000-0000-00007B690000}"/>
    <cellStyle name="Normal 2 3 5 3 3" xfId="26998" xr:uid="{00000000-0005-0000-0000-00007C690000}"/>
    <cellStyle name="Normal 2 3 5 3 3 2" xfId="26999" xr:uid="{00000000-0005-0000-0000-00007D690000}"/>
    <cellStyle name="Normal 2 3 5 3 3 2 2" xfId="27000" xr:uid="{00000000-0005-0000-0000-00007E690000}"/>
    <cellStyle name="Normal 2 3 5 3 3 3" xfId="27001" xr:uid="{00000000-0005-0000-0000-00007F690000}"/>
    <cellStyle name="Normal 2 3 5 3 3 3 2" xfId="27002" xr:uid="{00000000-0005-0000-0000-000080690000}"/>
    <cellStyle name="Normal 2 3 5 3 3 4" xfId="27003" xr:uid="{00000000-0005-0000-0000-000081690000}"/>
    <cellStyle name="Normal 2 3 5 3 3 5" xfId="27004" xr:uid="{00000000-0005-0000-0000-000082690000}"/>
    <cellStyle name="Normal 2 3 5 3 4" xfId="27005" xr:uid="{00000000-0005-0000-0000-000083690000}"/>
    <cellStyle name="Normal 2 3 5 3 4 2" xfId="27006" xr:uid="{00000000-0005-0000-0000-000084690000}"/>
    <cellStyle name="Normal 2 3 5 3 5" xfId="27007" xr:uid="{00000000-0005-0000-0000-000085690000}"/>
    <cellStyle name="Normal 2 3 5 3 5 2" xfId="27008" xr:uid="{00000000-0005-0000-0000-000086690000}"/>
    <cellStyle name="Normal 2 3 5 3 6" xfId="27009" xr:uid="{00000000-0005-0000-0000-000087690000}"/>
    <cellStyle name="Normal 2 3 5 3 7" xfId="27010" xr:uid="{00000000-0005-0000-0000-000088690000}"/>
    <cellStyle name="Normal 2 3 5 4" xfId="27011" xr:uid="{00000000-0005-0000-0000-000089690000}"/>
    <cellStyle name="Normal 2 3 5 4 2" xfId="27012" xr:uid="{00000000-0005-0000-0000-00008A690000}"/>
    <cellStyle name="Normal 2 3 5 4 2 2" xfId="27013" xr:uid="{00000000-0005-0000-0000-00008B690000}"/>
    <cellStyle name="Normal 2 3 5 4 2 2 2" xfId="27014" xr:uid="{00000000-0005-0000-0000-00008C690000}"/>
    <cellStyle name="Normal 2 3 5 4 2 3" xfId="27015" xr:uid="{00000000-0005-0000-0000-00008D690000}"/>
    <cellStyle name="Normal 2 3 5 4 2 4" xfId="27016" xr:uid="{00000000-0005-0000-0000-00008E690000}"/>
    <cellStyle name="Normal 2 3 5 4 3" xfId="27017" xr:uid="{00000000-0005-0000-0000-00008F690000}"/>
    <cellStyle name="Normal 2 3 5 4 3 2" xfId="27018" xr:uid="{00000000-0005-0000-0000-000090690000}"/>
    <cellStyle name="Normal 2 3 5 4 4" xfId="27019" xr:uid="{00000000-0005-0000-0000-000091690000}"/>
    <cellStyle name="Normal 2 3 5 4 5" xfId="27020" xr:uid="{00000000-0005-0000-0000-000092690000}"/>
    <cellStyle name="Normal 2 3 5 5" xfId="27021" xr:uid="{00000000-0005-0000-0000-000093690000}"/>
    <cellStyle name="Normal 2 3 5 5 2" xfId="27022" xr:uid="{00000000-0005-0000-0000-000094690000}"/>
    <cellStyle name="Normal 2 3 5 5 2 2" xfId="27023" xr:uid="{00000000-0005-0000-0000-000095690000}"/>
    <cellStyle name="Normal 2 3 5 5 3" xfId="27024" xr:uid="{00000000-0005-0000-0000-000096690000}"/>
    <cellStyle name="Normal 2 3 5 5 3 2" xfId="27025" xr:uid="{00000000-0005-0000-0000-000097690000}"/>
    <cellStyle name="Normal 2 3 5 5 4" xfId="27026" xr:uid="{00000000-0005-0000-0000-000098690000}"/>
    <cellStyle name="Normal 2 3 5 5 5" xfId="27027" xr:uid="{00000000-0005-0000-0000-000099690000}"/>
    <cellStyle name="Normal 2 3 5 6" xfId="27028" xr:uid="{00000000-0005-0000-0000-00009A690000}"/>
    <cellStyle name="Normal 2 3 5 6 2" xfId="27029" xr:uid="{00000000-0005-0000-0000-00009B690000}"/>
    <cellStyle name="Normal 2 3 5 7" xfId="27030" xr:uid="{00000000-0005-0000-0000-00009C690000}"/>
    <cellStyle name="Normal 2 3 5 7 2" xfId="27031" xr:uid="{00000000-0005-0000-0000-00009D690000}"/>
    <cellStyle name="Normal 2 3 5 8" xfId="27032" xr:uid="{00000000-0005-0000-0000-00009E690000}"/>
    <cellStyle name="Normal 2 3 5 9" xfId="27033" xr:uid="{00000000-0005-0000-0000-00009F690000}"/>
    <cellStyle name="Normal 2 3 6" xfId="27034" xr:uid="{00000000-0005-0000-0000-0000A0690000}"/>
    <cellStyle name="Normal 2 3 6 2" xfId="27035" xr:uid="{00000000-0005-0000-0000-0000A1690000}"/>
    <cellStyle name="Normal 2 3 6 2 2" xfId="27036" xr:uid="{00000000-0005-0000-0000-0000A2690000}"/>
    <cellStyle name="Normal 2 3 6 2 2 2" xfId="27037" xr:uid="{00000000-0005-0000-0000-0000A3690000}"/>
    <cellStyle name="Normal 2 3 6 2 2 2 2" xfId="27038" xr:uid="{00000000-0005-0000-0000-0000A4690000}"/>
    <cellStyle name="Normal 2 3 6 2 2 2 2 2" xfId="27039" xr:uid="{00000000-0005-0000-0000-0000A5690000}"/>
    <cellStyle name="Normal 2 3 6 2 2 2 3" xfId="27040" xr:uid="{00000000-0005-0000-0000-0000A6690000}"/>
    <cellStyle name="Normal 2 3 6 2 2 2 4" xfId="27041" xr:uid="{00000000-0005-0000-0000-0000A7690000}"/>
    <cellStyle name="Normal 2 3 6 2 2 3" xfId="27042" xr:uid="{00000000-0005-0000-0000-0000A8690000}"/>
    <cellStyle name="Normal 2 3 6 2 2 3 2" xfId="27043" xr:uid="{00000000-0005-0000-0000-0000A9690000}"/>
    <cellStyle name="Normal 2 3 6 2 2 4" xfId="27044" xr:uid="{00000000-0005-0000-0000-0000AA690000}"/>
    <cellStyle name="Normal 2 3 6 2 2 5" xfId="27045" xr:uid="{00000000-0005-0000-0000-0000AB690000}"/>
    <cellStyle name="Normal 2 3 6 2 3" xfId="27046" xr:uid="{00000000-0005-0000-0000-0000AC690000}"/>
    <cellStyle name="Normal 2 3 6 2 3 2" xfId="27047" xr:uid="{00000000-0005-0000-0000-0000AD690000}"/>
    <cellStyle name="Normal 2 3 6 2 3 2 2" xfId="27048" xr:uid="{00000000-0005-0000-0000-0000AE690000}"/>
    <cellStyle name="Normal 2 3 6 2 3 3" xfId="27049" xr:uid="{00000000-0005-0000-0000-0000AF690000}"/>
    <cellStyle name="Normal 2 3 6 2 3 3 2" xfId="27050" xr:uid="{00000000-0005-0000-0000-0000B0690000}"/>
    <cellStyle name="Normal 2 3 6 2 3 4" xfId="27051" xr:uid="{00000000-0005-0000-0000-0000B1690000}"/>
    <cellStyle name="Normal 2 3 6 2 3 5" xfId="27052" xr:uid="{00000000-0005-0000-0000-0000B2690000}"/>
    <cellStyle name="Normal 2 3 6 2 4" xfId="27053" xr:uid="{00000000-0005-0000-0000-0000B3690000}"/>
    <cellStyle name="Normal 2 3 6 2 4 2" xfId="27054" xr:uid="{00000000-0005-0000-0000-0000B4690000}"/>
    <cellStyle name="Normal 2 3 6 2 5" xfId="27055" xr:uid="{00000000-0005-0000-0000-0000B5690000}"/>
    <cellStyle name="Normal 2 3 6 2 5 2" xfId="27056" xr:uid="{00000000-0005-0000-0000-0000B6690000}"/>
    <cellStyle name="Normal 2 3 6 2 6" xfId="27057" xr:uid="{00000000-0005-0000-0000-0000B7690000}"/>
    <cellStyle name="Normal 2 3 6 2 7" xfId="27058" xr:uid="{00000000-0005-0000-0000-0000B8690000}"/>
    <cellStyle name="Normal 2 3 6 3" xfId="27059" xr:uid="{00000000-0005-0000-0000-0000B9690000}"/>
    <cellStyle name="Normal 2 3 6 3 2" xfId="27060" xr:uid="{00000000-0005-0000-0000-0000BA690000}"/>
    <cellStyle name="Normal 2 3 6 3 2 2" xfId="27061" xr:uid="{00000000-0005-0000-0000-0000BB690000}"/>
    <cellStyle name="Normal 2 3 6 3 2 2 2" xfId="27062" xr:uid="{00000000-0005-0000-0000-0000BC690000}"/>
    <cellStyle name="Normal 2 3 6 3 2 3" xfId="27063" xr:uid="{00000000-0005-0000-0000-0000BD690000}"/>
    <cellStyle name="Normal 2 3 6 3 2 4" xfId="27064" xr:uid="{00000000-0005-0000-0000-0000BE690000}"/>
    <cellStyle name="Normal 2 3 6 3 3" xfId="27065" xr:uid="{00000000-0005-0000-0000-0000BF690000}"/>
    <cellStyle name="Normal 2 3 6 3 3 2" xfId="27066" xr:uid="{00000000-0005-0000-0000-0000C0690000}"/>
    <cellStyle name="Normal 2 3 6 3 4" xfId="27067" xr:uid="{00000000-0005-0000-0000-0000C1690000}"/>
    <cellStyle name="Normal 2 3 6 3 5" xfId="27068" xr:uid="{00000000-0005-0000-0000-0000C2690000}"/>
    <cellStyle name="Normal 2 3 6 4" xfId="27069" xr:uid="{00000000-0005-0000-0000-0000C3690000}"/>
    <cellStyle name="Normal 2 3 6 4 2" xfId="27070" xr:uid="{00000000-0005-0000-0000-0000C4690000}"/>
    <cellStyle name="Normal 2 3 6 4 2 2" xfId="27071" xr:uid="{00000000-0005-0000-0000-0000C5690000}"/>
    <cellStyle name="Normal 2 3 6 4 3" xfId="27072" xr:uid="{00000000-0005-0000-0000-0000C6690000}"/>
    <cellStyle name="Normal 2 3 6 4 3 2" xfId="27073" xr:uid="{00000000-0005-0000-0000-0000C7690000}"/>
    <cellStyle name="Normal 2 3 6 4 4" xfId="27074" xr:uid="{00000000-0005-0000-0000-0000C8690000}"/>
    <cellStyle name="Normal 2 3 6 4 5" xfId="27075" xr:uid="{00000000-0005-0000-0000-0000C9690000}"/>
    <cellStyle name="Normal 2 3 6 5" xfId="27076" xr:uid="{00000000-0005-0000-0000-0000CA690000}"/>
    <cellStyle name="Normal 2 3 6 5 2" xfId="27077" xr:uid="{00000000-0005-0000-0000-0000CB690000}"/>
    <cellStyle name="Normal 2 3 6 6" xfId="27078" xr:uid="{00000000-0005-0000-0000-0000CC690000}"/>
    <cellStyle name="Normal 2 3 6 6 2" xfId="27079" xr:uid="{00000000-0005-0000-0000-0000CD690000}"/>
    <cellStyle name="Normal 2 3 6 7" xfId="27080" xr:uid="{00000000-0005-0000-0000-0000CE690000}"/>
    <cellStyle name="Normal 2 3 6 8" xfId="27081" xr:uid="{00000000-0005-0000-0000-0000CF690000}"/>
    <cellStyle name="Normal 2 3 7" xfId="27082" xr:uid="{00000000-0005-0000-0000-0000D0690000}"/>
    <cellStyle name="Normal 2 3 7 2" xfId="27083" xr:uid="{00000000-0005-0000-0000-0000D1690000}"/>
    <cellStyle name="Normal 2 3 7 2 2" xfId="27084" xr:uid="{00000000-0005-0000-0000-0000D2690000}"/>
    <cellStyle name="Normal 2 3 7 2 2 2" xfId="27085" xr:uid="{00000000-0005-0000-0000-0000D3690000}"/>
    <cellStyle name="Normal 2 3 7 2 2 2 2" xfId="27086" xr:uid="{00000000-0005-0000-0000-0000D4690000}"/>
    <cellStyle name="Normal 2 3 7 2 2 3" xfId="27087" xr:uid="{00000000-0005-0000-0000-0000D5690000}"/>
    <cellStyle name="Normal 2 3 7 2 2 4" xfId="27088" xr:uid="{00000000-0005-0000-0000-0000D6690000}"/>
    <cellStyle name="Normal 2 3 7 2 3" xfId="27089" xr:uid="{00000000-0005-0000-0000-0000D7690000}"/>
    <cellStyle name="Normal 2 3 7 2 3 2" xfId="27090" xr:uid="{00000000-0005-0000-0000-0000D8690000}"/>
    <cellStyle name="Normal 2 3 7 2 4" xfId="27091" xr:uid="{00000000-0005-0000-0000-0000D9690000}"/>
    <cellStyle name="Normal 2 3 7 2 5" xfId="27092" xr:uid="{00000000-0005-0000-0000-0000DA690000}"/>
    <cellStyle name="Normal 2 3 7 3" xfId="27093" xr:uid="{00000000-0005-0000-0000-0000DB690000}"/>
    <cellStyle name="Normal 2 3 7 3 2" xfId="27094" xr:uid="{00000000-0005-0000-0000-0000DC690000}"/>
    <cellStyle name="Normal 2 3 7 3 2 2" xfId="27095" xr:uid="{00000000-0005-0000-0000-0000DD690000}"/>
    <cellStyle name="Normal 2 3 7 3 3" xfId="27096" xr:uid="{00000000-0005-0000-0000-0000DE690000}"/>
    <cellStyle name="Normal 2 3 7 3 3 2" xfId="27097" xr:uid="{00000000-0005-0000-0000-0000DF690000}"/>
    <cellStyle name="Normal 2 3 7 3 4" xfId="27098" xr:uid="{00000000-0005-0000-0000-0000E0690000}"/>
    <cellStyle name="Normal 2 3 7 3 5" xfId="27099" xr:uid="{00000000-0005-0000-0000-0000E1690000}"/>
    <cellStyle name="Normal 2 3 7 4" xfId="27100" xr:uid="{00000000-0005-0000-0000-0000E2690000}"/>
    <cellStyle name="Normal 2 3 7 4 2" xfId="27101" xr:uid="{00000000-0005-0000-0000-0000E3690000}"/>
    <cellStyle name="Normal 2 3 7 5" xfId="27102" xr:uid="{00000000-0005-0000-0000-0000E4690000}"/>
    <cellStyle name="Normal 2 3 7 5 2" xfId="27103" xr:uid="{00000000-0005-0000-0000-0000E5690000}"/>
    <cellStyle name="Normal 2 3 7 6" xfId="27104" xr:uid="{00000000-0005-0000-0000-0000E6690000}"/>
    <cellStyle name="Normal 2 3 7 7" xfId="27105" xr:uid="{00000000-0005-0000-0000-0000E7690000}"/>
    <cellStyle name="Normal 2 3 8" xfId="27106" xr:uid="{00000000-0005-0000-0000-0000E8690000}"/>
    <cellStyle name="Normal 2 3 8 2" xfId="27107" xr:uid="{00000000-0005-0000-0000-0000E9690000}"/>
    <cellStyle name="Normal 2 3 8 2 2" xfId="27108" xr:uid="{00000000-0005-0000-0000-0000EA690000}"/>
    <cellStyle name="Normal 2 3 8 2 2 2" xfId="27109" xr:uid="{00000000-0005-0000-0000-0000EB690000}"/>
    <cellStyle name="Normal 2 3 8 2 3" xfId="27110" xr:uid="{00000000-0005-0000-0000-0000EC690000}"/>
    <cellStyle name="Normal 2 3 8 2 4" xfId="27111" xr:uid="{00000000-0005-0000-0000-0000ED690000}"/>
    <cellStyle name="Normal 2 3 8 3" xfId="27112" xr:uid="{00000000-0005-0000-0000-0000EE690000}"/>
    <cellStyle name="Normal 2 3 8 3 2" xfId="27113" xr:uid="{00000000-0005-0000-0000-0000EF690000}"/>
    <cellStyle name="Normal 2 3 8 4" xfId="27114" xr:uid="{00000000-0005-0000-0000-0000F0690000}"/>
    <cellStyle name="Normal 2 3 8 5" xfId="27115" xr:uid="{00000000-0005-0000-0000-0000F1690000}"/>
    <cellStyle name="Normal 2 3 9" xfId="27116" xr:uid="{00000000-0005-0000-0000-0000F2690000}"/>
    <cellStyle name="Normal 2 3 9 2" xfId="27117" xr:uid="{00000000-0005-0000-0000-0000F3690000}"/>
    <cellStyle name="Normal 2 3 9 2 2" xfId="27118" xr:uid="{00000000-0005-0000-0000-0000F4690000}"/>
    <cellStyle name="Normal 2 3 9 3" xfId="27119" xr:uid="{00000000-0005-0000-0000-0000F5690000}"/>
    <cellStyle name="Normal 2 3 9 3 2" xfId="27120" xr:uid="{00000000-0005-0000-0000-0000F6690000}"/>
    <cellStyle name="Normal 2 3 9 4" xfId="27121" xr:uid="{00000000-0005-0000-0000-0000F7690000}"/>
    <cellStyle name="Normal 2 3 9 5" xfId="27122" xr:uid="{00000000-0005-0000-0000-0000F8690000}"/>
    <cellStyle name="Normal 2 4" xfId="27123" xr:uid="{00000000-0005-0000-0000-0000F9690000}"/>
    <cellStyle name="Normal 2 4 2" xfId="27124" xr:uid="{00000000-0005-0000-0000-0000FA690000}"/>
    <cellStyle name="Normal 2 4 2 2" xfId="27125" xr:uid="{00000000-0005-0000-0000-0000FB690000}"/>
    <cellStyle name="Normal 2 4 2 2 2" xfId="27126" xr:uid="{00000000-0005-0000-0000-0000FC690000}"/>
    <cellStyle name="Normal 2 4 2 2 2 2" xfId="27127" xr:uid="{00000000-0005-0000-0000-0000FD690000}"/>
    <cellStyle name="Normal 2 4 2 2 3" xfId="27128" xr:uid="{00000000-0005-0000-0000-0000FE690000}"/>
    <cellStyle name="Normal 2 4 2 3" xfId="27129" xr:uid="{00000000-0005-0000-0000-0000FF690000}"/>
    <cellStyle name="Normal 2 4 2 3 2" xfId="27130" xr:uid="{00000000-0005-0000-0000-0000006A0000}"/>
    <cellStyle name="Normal 2 4 2 4" xfId="27131" xr:uid="{00000000-0005-0000-0000-0000016A0000}"/>
    <cellStyle name="Normal 2 4 3" xfId="27132" xr:uid="{00000000-0005-0000-0000-0000026A0000}"/>
    <cellStyle name="Normal 2 4 3 2" xfId="27133" xr:uid="{00000000-0005-0000-0000-0000036A0000}"/>
    <cellStyle name="Normal 2 4 3 2 2" xfId="27134" xr:uid="{00000000-0005-0000-0000-0000046A0000}"/>
    <cellStyle name="Normal 2 4 3 2 2 2" xfId="27135" xr:uid="{00000000-0005-0000-0000-0000056A0000}"/>
    <cellStyle name="Normal 2 4 3 2 3" xfId="27136" xr:uid="{00000000-0005-0000-0000-0000066A0000}"/>
    <cellStyle name="Normal 2 4 3 3" xfId="27137" xr:uid="{00000000-0005-0000-0000-0000076A0000}"/>
    <cellStyle name="Normal 2 4 3 3 2" xfId="27138" xr:uid="{00000000-0005-0000-0000-0000086A0000}"/>
    <cellStyle name="Normal 2 4 3 4" xfId="27139" xr:uid="{00000000-0005-0000-0000-0000096A0000}"/>
    <cellStyle name="Normal 2 5" xfId="27140" xr:uid="{00000000-0005-0000-0000-00000A6A0000}"/>
    <cellStyle name="Normal 2 6" xfId="27141" xr:uid="{00000000-0005-0000-0000-00000B6A0000}"/>
    <cellStyle name="Normal 2 6 2" xfId="27142" xr:uid="{00000000-0005-0000-0000-00000C6A0000}"/>
    <cellStyle name="Normal 2 6 2 2" xfId="27143" xr:uid="{00000000-0005-0000-0000-00000D6A0000}"/>
    <cellStyle name="Normal 2 6 2 2 2" xfId="27144" xr:uid="{00000000-0005-0000-0000-00000E6A0000}"/>
    <cellStyle name="Normal 2 6 2 3" xfId="27145" xr:uid="{00000000-0005-0000-0000-00000F6A0000}"/>
    <cellStyle name="Normal 2 6 3" xfId="27146" xr:uid="{00000000-0005-0000-0000-0000106A0000}"/>
    <cellStyle name="Normal 2 6 3 2" xfId="27147" xr:uid="{00000000-0005-0000-0000-0000116A0000}"/>
    <cellStyle name="Normal 2 6 4" xfId="27148" xr:uid="{00000000-0005-0000-0000-0000126A0000}"/>
    <cellStyle name="Normal 2 7" xfId="27149" xr:uid="{00000000-0005-0000-0000-0000136A0000}"/>
    <cellStyle name="Normal 2 7 2" xfId="27150" xr:uid="{00000000-0005-0000-0000-0000146A0000}"/>
    <cellStyle name="Normal 2 7 2 2" xfId="27151" xr:uid="{00000000-0005-0000-0000-0000156A0000}"/>
    <cellStyle name="Normal 2 7 2 2 2" xfId="27152" xr:uid="{00000000-0005-0000-0000-0000166A0000}"/>
    <cellStyle name="Normal 2 7 2 3" xfId="27153" xr:uid="{00000000-0005-0000-0000-0000176A0000}"/>
    <cellStyle name="Normal 2 7 3" xfId="27154" xr:uid="{00000000-0005-0000-0000-0000186A0000}"/>
    <cellStyle name="Normal 2 7 3 2" xfId="27155" xr:uid="{00000000-0005-0000-0000-0000196A0000}"/>
    <cellStyle name="Normal 2 7 4" xfId="27156" xr:uid="{00000000-0005-0000-0000-00001A6A0000}"/>
    <cellStyle name="Normal 2 8" xfId="27157" xr:uid="{00000000-0005-0000-0000-00001B6A0000}"/>
    <cellStyle name="Normal 2 8 2" xfId="27158" xr:uid="{00000000-0005-0000-0000-00001C6A0000}"/>
    <cellStyle name="Normal 2 9" xfId="27159" xr:uid="{00000000-0005-0000-0000-00001D6A0000}"/>
    <cellStyle name="Normal 2_Libro3" xfId="27160" xr:uid="{00000000-0005-0000-0000-00001E6A0000}"/>
    <cellStyle name="Normal 20" xfId="27161" xr:uid="{00000000-0005-0000-0000-00001F6A0000}"/>
    <cellStyle name="Normal 20 2" xfId="27162" xr:uid="{00000000-0005-0000-0000-0000206A0000}"/>
    <cellStyle name="Normal 20 2 2" xfId="27163" xr:uid="{00000000-0005-0000-0000-0000216A0000}"/>
    <cellStyle name="Normal 20 2 3" xfId="27164" xr:uid="{00000000-0005-0000-0000-0000226A0000}"/>
    <cellStyle name="Normal 20 3" xfId="27165" xr:uid="{00000000-0005-0000-0000-0000236A0000}"/>
    <cellStyle name="Normal 20 3 2" xfId="27166" xr:uid="{00000000-0005-0000-0000-0000246A0000}"/>
    <cellStyle name="Normal 20 4" xfId="27167" xr:uid="{00000000-0005-0000-0000-0000256A0000}"/>
    <cellStyle name="Normal 20 5" xfId="27168" xr:uid="{00000000-0005-0000-0000-0000266A0000}"/>
    <cellStyle name="Normal 20 6" xfId="27169" xr:uid="{00000000-0005-0000-0000-0000276A0000}"/>
    <cellStyle name="Normal 200" xfId="27170" xr:uid="{00000000-0005-0000-0000-0000286A0000}"/>
    <cellStyle name="Normal 200 2" xfId="27171" xr:uid="{00000000-0005-0000-0000-0000296A0000}"/>
    <cellStyle name="Normal 201" xfId="27172" xr:uid="{00000000-0005-0000-0000-00002A6A0000}"/>
    <cellStyle name="Normal 201 2" xfId="27173" xr:uid="{00000000-0005-0000-0000-00002B6A0000}"/>
    <cellStyle name="Normal 202" xfId="27174" xr:uid="{00000000-0005-0000-0000-00002C6A0000}"/>
    <cellStyle name="Normal 202 2" xfId="27175" xr:uid="{00000000-0005-0000-0000-00002D6A0000}"/>
    <cellStyle name="Normal 203" xfId="27176" xr:uid="{00000000-0005-0000-0000-00002E6A0000}"/>
    <cellStyle name="Normal 203 10" xfId="27177" xr:uid="{00000000-0005-0000-0000-00002F6A0000}"/>
    <cellStyle name="Normal 203 10 2" xfId="27178" xr:uid="{00000000-0005-0000-0000-0000306A0000}"/>
    <cellStyle name="Normal 203 11" xfId="27179" xr:uid="{00000000-0005-0000-0000-0000316A0000}"/>
    <cellStyle name="Normal 203 11 2" xfId="27180" xr:uid="{00000000-0005-0000-0000-0000326A0000}"/>
    <cellStyle name="Normal 203 12" xfId="27181" xr:uid="{00000000-0005-0000-0000-0000336A0000}"/>
    <cellStyle name="Normal 203 12 2" xfId="27182" xr:uid="{00000000-0005-0000-0000-0000346A0000}"/>
    <cellStyle name="Normal 203 13" xfId="27183" xr:uid="{00000000-0005-0000-0000-0000356A0000}"/>
    <cellStyle name="Normal 203 13 2" xfId="27184" xr:uid="{00000000-0005-0000-0000-0000366A0000}"/>
    <cellStyle name="Normal 203 14" xfId="27185" xr:uid="{00000000-0005-0000-0000-0000376A0000}"/>
    <cellStyle name="Normal 203 14 2" xfId="27186" xr:uid="{00000000-0005-0000-0000-0000386A0000}"/>
    <cellStyle name="Normal 203 15" xfId="27187" xr:uid="{00000000-0005-0000-0000-0000396A0000}"/>
    <cellStyle name="Normal 203 15 2" xfId="27188" xr:uid="{00000000-0005-0000-0000-00003A6A0000}"/>
    <cellStyle name="Normal 203 16" xfId="27189" xr:uid="{00000000-0005-0000-0000-00003B6A0000}"/>
    <cellStyle name="Normal 203 16 2" xfId="27190" xr:uid="{00000000-0005-0000-0000-00003C6A0000}"/>
    <cellStyle name="Normal 203 17" xfId="27191" xr:uid="{00000000-0005-0000-0000-00003D6A0000}"/>
    <cellStyle name="Normal 203 17 2" xfId="27192" xr:uid="{00000000-0005-0000-0000-00003E6A0000}"/>
    <cellStyle name="Normal 203 18" xfId="27193" xr:uid="{00000000-0005-0000-0000-00003F6A0000}"/>
    <cellStyle name="Normal 203 18 2" xfId="27194" xr:uid="{00000000-0005-0000-0000-0000406A0000}"/>
    <cellStyle name="Normal 203 19" xfId="27195" xr:uid="{00000000-0005-0000-0000-0000416A0000}"/>
    <cellStyle name="Normal 203 19 2" xfId="27196" xr:uid="{00000000-0005-0000-0000-0000426A0000}"/>
    <cellStyle name="Normal 203 2" xfId="27197" xr:uid="{00000000-0005-0000-0000-0000436A0000}"/>
    <cellStyle name="Normal 203 2 2" xfId="27198" xr:uid="{00000000-0005-0000-0000-0000446A0000}"/>
    <cellStyle name="Normal 203 20" xfId="27199" xr:uid="{00000000-0005-0000-0000-0000456A0000}"/>
    <cellStyle name="Normal 203 20 2" xfId="27200" xr:uid="{00000000-0005-0000-0000-0000466A0000}"/>
    <cellStyle name="Normal 203 21" xfId="27201" xr:uid="{00000000-0005-0000-0000-0000476A0000}"/>
    <cellStyle name="Normal 203 21 2" xfId="27202" xr:uid="{00000000-0005-0000-0000-0000486A0000}"/>
    <cellStyle name="Normal 203 22" xfId="27203" xr:uid="{00000000-0005-0000-0000-0000496A0000}"/>
    <cellStyle name="Normal 203 22 2" xfId="27204" xr:uid="{00000000-0005-0000-0000-00004A6A0000}"/>
    <cellStyle name="Normal 203 23" xfId="27205" xr:uid="{00000000-0005-0000-0000-00004B6A0000}"/>
    <cellStyle name="Normal 203 23 2" xfId="27206" xr:uid="{00000000-0005-0000-0000-00004C6A0000}"/>
    <cellStyle name="Normal 203 24" xfId="27207" xr:uid="{00000000-0005-0000-0000-00004D6A0000}"/>
    <cellStyle name="Normal 203 24 2" xfId="27208" xr:uid="{00000000-0005-0000-0000-00004E6A0000}"/>
    <cellStyle name="Normal 203 25" xfId="27209" xr:uid="{00000000-0005-0000-0000-00004F6A0000}"/>
    <cellStyle name="Normal 203 25 2" xfId="27210" xr:uid="{00000000-0005-0000-0000-0000506A0000}"/>
    <cellStyle name="Normal 203 26" xfId="27211" xr:uid="{00000000-0005-0000-0000-0000516A0000}"/>
    <cellStyle name="Normal 203 26 2" xfId="27212" xr:uid="{00000000-0005-0000-0000-0000526A0000}"/>
    <cellStyle name="Normal 203 27" xfId="27213" xr:uid="{00000000-0005-0000-0000-0000536A0000}"/>
    <cellStyle name="Normal 203 27 2" xfId="27214" xr:uid="{00000000-0005-0000-0000-0000546A0000}"/>
    <cellStyle name="Normal 203 28" xfId="27215" xr:uid="{00000000-0005-0000-0000-0000556A0000}"/>
    <cellStyle name="Normal 203 28 2" xfId="27216" xr:uid="{00000000-0005-0000-0000-0000566A0000}"/>
    <cellStyle name="Normal 203 29" xfId="27217" xr:uid="{00000000-0005-0000-0000-0000576A0000}"/>
    <cellStyle name="Normal 203 29 2" xfId="27218" xr:uid="{00000000-0005-0000-0000-0000586A0000}"/>
    <cellStyle name="Normal 203 3" xfId="27219" xr:uid="{00000000-0005-0000-0000-0000596A0000}"/>
    <cellStyle name="Normal 203 3 2" xfId="27220" xr:uid="{00000000-0005-0000-0000-00005A6A0000}"/>
    <cellStyle name="Normal 203 30" xfId="27221" xr:uid="{00000000-0005-0000-0000-00005B6A0000}"/>
    <cellStyle name="Normal 203 30 2" xfId="27222" xr:uid="{00000000-0005-0000-0000-00005C6A0000}"/>
    <cellStyle name="Normal 203 31" xfId="27223" xr:uid="{00000000-0005-0000-0000-00005D6A0000}"/>
    <cellStyle name="Normal 203 31 2" xfId="27224" xr:uid="{00000000-0005-0000-0000-00005E6A0000}"/>
    <cellStyle name="Normal 203 32" xfId="27225" xr:uid="{00000000-0005-0000-0000-00005F6A0000}"/>
    <cellStyle name="Normal 203 32 2" xfId="27226" xr:uid="{00000000-0005-0000-0000-0000606A0000}"/>
    <cellStyle name="Normal 203 33" xfId="27227" xr:uid="{00000000-0005-0000-0000-0000616A0000}"/>
    <cellStyle name="Normal 203 33 2" xfId="27228" xr:uid="{00000000-0005-0000-0000-0000626A0000}"/>
    <cellStyle name="Normal 203 34" xfId="27229" xr:uid="{00000000-0005-0000-0000-0000636A0000}"/>
    <cellStyle name="Normal 203 34 2" xfId="27230" xr:uid="{00000000-0005-0000-0000-0000646A0000}"/>
    <cellStyle name="Normal 203 35" xfId="27231" xr:uid="{00000000-0005-0000-0000-0000656A0000}"/>
    <cellStyle name="Normal 203 35 2" xfId="27232" xr:uid="{00000000-0005-0000-0000-0000666A0000}"/>
    <cellStyle name="Normal 203 36" xfId="27233" xr:uid="{00000000-0005-0000-0000-0000676A0000}"/>
    <cellStyle name="Normal 203 36 2" xfId="27234" xr:uid="{00000000-0005-0000-0000-0000686A0000}"/>
    <cellStyle name="Normal 203 37" xfId="27235" xr:uid="{00000000-0005-0000-0000-0000696A0000}"/>
    <cellStyle name="Normal 203 37 2" xfId="27236" xr:uid="{00000000-0005-0000-0000-00006A6A0000}"/>
    <cellStyle name="Normal 203 38" xfId="27237" xr:uid="{00000000-0005-0000-0000-00006B6A0000}"/>
    <cellStyle name="Normal 203 38 2" xfId="27238" xr:uid="{00000000-0005-0000-0000-00006C6A0000}"/>
    <cellStyle name="Normal 203 39" xfId="27239" xr:uid="{00000000-0005-0000-0000-00006D6A0000}"/>
    <cellStyle name="Normal 203 39 2" xfId="27240" xr:uid="{00000000-0005-0000-0000-00006E6A0000}"/>
    <cellStyle name="Normal 203 4" xfId="27241" xr:uid="{00000000-0005-0000-0000-00006F6A0000}"/>
    <cellStyle name="Normal 203 4 2" xfId="27242" xr:uid="{00000000-0005-0000-0000-0000706A0000}"/>
    <cellStyle name="Normal 203 40" xfId="27243" xr:uid="{00000000-0005-0000-0000-0000716A0000}"/>
    <cellStyle name="Normal 203 40 2" xfId="27244" xr:uid="{00000000-0005-0000-0000-0000726A0000}"/>
    <cellStyle name="Normal 203 41" xfId="27245" xr:uid="{00000000-0005-0000-0000-0000736A0000}"/>
    <cellStyle name="Normal 203 41 2" xfId="27246" xr:uid="{00000000-0005-0000-0000-0000746A0000}"/>
    <cellStyle name="Normal 203 42" xfId="27247" xr:uid="{00000000-0005-0000-0000-0000756A0000}"/>
    <cellStyle name="Normal 203 42 2" xfId="27248" xr:uid="{00000000-0005-0000-0000-0000766A0000}"/>
    <cellStyle name="Normal 203 43" xfId="27249" xr:uid="{00000000-0005-0000-0000-0000776A0000}"/>
    <cellStyle name="Normal 203 43 2" xfId="27250" xr:uid="{00000000-0005-0000-0000-0000786A0000}"/>
    <cellStyle name="Normal 203 44" xfId="27251" xr:uid="{00000000-0005-0000-0000-0000796A0000}"/>
    <cellStyle name="Normal 203 44 2" xfId="27252" xr:uid="{00000000-0005-0000-0000-00007A6A0000}"/>
    <cellStyle name="Normal 203 45" xfId="27253" xr:uid="{00000000-0005-0000-0000-00007B6A0000}"/>
    <cellStyle name="Normal 203 45 2" xfId="27254" xr:uid="{00000000-0005-0000-0000-00007C6A0000}"/>
    <cellStyle name="Normal 203 46" xfId="27255" xr:uid="{00000000-0005-0000-0000-00007D6A0000}"/>
    <cellStyle name="Normal 203 46 2" xfId="27256" xr:uid="{00000000-0005-0000-0000-00007E6A0000}"/>
    <cellStyle name="Normal 203 47" xfId="27257" xr:uid="{00000000-0005-0000-0000-00007F6A0000}"/>
    <cellStyle name="Normal 203 47 2" xfId="27258" xr:uid="{00000000-0005-0000-0000-0000806A0000}"/>
    <cellStyle name="Normal 203 48" xfId="27259" xr:uid="{00000000-0005-0000-0000-0000816A0000}"/>
    <cellStyle name="Normal 203 48 2" xfId="27260" xr:uid="{00000000-0005-0000-0000-0000826A0000}"/>
    <cellStyle name="Normal 203 49" xfId="27261" xr:uid="{00000000-0005-0000-0000-0000836A0000}"/>
    <cellStyle name="Normal 203 49 2" xfId="27262" xr:uid="{00000000-0005-0000-0000-0000846A0000}"/>
    <cellStyle name="Normal 203 5" xfId="27263" xr:uid="{00000000-0005-0000-0000-0000856A0000}"/>
    <cellStyle name="Normal 203 5 2" xfId="27264" xr:uid="{00000000-0005-0000-0000-0000866A0000}"/>
    <cellStyle name="Normal 203 50" xfId="27265" xr:uid="{00000000-0005-0000-0000-0000876A0000}"/>
    <cellStyle name="Normal 203 50 2" xfId="27266" xr:uid="{00000000-0005-0000-0000-0000886A0000}"/>
    <cellStyle name="Normal 203 51" xfId="27267" xr:uid="{00000000-0005-0000-0000-0000896A0000}"/>
    <cellStyle name="Normal 203 51 2" xfId="27268" xr:uid="{00000000-0005-0000-0000-00008A6A0000}"/>
    <cellStyle name="Normal 203 52" xfId="27269" xr:uid="{00000000-0005-0000-0000-00008B6A0000}"/>
    <cellStyle name="Normal 203 52 2" xfId="27270" xr:uid="{00000000-0005-0000-0000-00008C6A0000}"/>
    <cellStyle name="Normal 203 53" xfId="27271" xr:uid="{00000000-0005-0000-0000-00008D6A0000}"/>
    <cellStyle name="Normal 203 53 2" xfId="27272" xr:uid="{00000000-0005-0000-0000-00008E6A0000}"/>
    <cellStyle name="Normal 203 54" xfId="27273" xr:uid="{00000000-0005-0000-0000-00008F6A0000}"/>
    <cellStyle name="Normal 203 54 2" xfId="27274" xr:uid="{00000000-0005-0000-0000-0000906A0000}"/>
    <cellStyle name="Normal 203 55" xfId="27275" xr:uid="{00000000-0005-0000-0000-0000916A0000}"/>
    <cellStyle name="Normal 203 55 2" xfId="27276" xr:uid="{00000000-0005-0000-0000-0000926A0000}"/>
    <cellStyle name="Normal 203 56" xfId="27277" xr:uid="{00000000-0005-0000-0000-0000936A0000}"/>
    <cellStyle name="Normal 203 56 2" xfId="27278" xr:uid="{00000000-0005-0000-0000-0000946A0000}"/>
    <cellStyle name="Normal 203 57" xfId="27279" xr:uid="{00000000-0005-0000-0000-0000956A0000}"/>
    <cellStyle name="Normal 203 57 2" xfId="27280" xr:uid="{00000000-0005-0000-0000-0000966A0000}"/>
    <cellStyle name="Normal 203 58" xfId="27281" xr:uid="{00000000-0005-0000-0000-0000976A0000}"/>
    <cellStyle name="Normal 203 58 2" xfId="27282" xr:uid="{00000000-0005-0000-0000-0000986A0000}"/>
    <cellStyle name="Normal 203 59" xfId="27283" xr:uid="{00000000-0005-0000-0000-0000996A0000}"/>
    <cellStyle name="Normal 203 59 2" xfId="27284" xr:uid="{00000000-0005-0000-0000-00009A6A0000}"/>
    <cellStyle name="Normal 203 6" xfId="27285" xr:uid="{00000000-0005-0000-0000-00009B6A0000}"/>
    <cellStyle name="Normal 203 6 2" xfId="27286" xr:uid="{00000000-0005-0000-0000-00009C6A0000}"/>
    <cellStyle name="Normal 203 60" xfId="27287" xr:uid="{00000000-0005-0000-0000-00009D6A0000}"/>
    <cellStyle name="Normal 203 60 2" xfId="27288" xr:uid="{00000000-0005-0000-0000-00009E6A0000}"/>
    <cellStyle name="Normal 203 61" xfId="27289" xr:uid="{00000000-0005-0000-0000-00009F6A0000}"/>
    <cellStyle name="Normal 203 61 2" xfId="27290" xr:uid="{00000000-0005-0000-0000-0000A06A0000}"/>
    <cellStyle name="Normal 203 62" xfId="27291" xr:uid="{00000000-0005-0000-0000-0000A16A0000}"/>
    <cellStyle name="Normal 203 62 2" xfId="27292" xr:uid="{00000000-0005-0000-0000-0000A26A0000}"/>
    <cellStyle name="Normal 203 62 3" xfId="27293" xr:uid="{00000000-0005-0000-0000-0000A36A0000}"/>
    <cellStyle name="Normal 203 63" xfId="27294" xr:uid="{00000000-0005-0000-0000-0000A46A0000}"/>
    <cellStyle name="Normal 203 7" xfId="27295" xr:uid="{00000000-0005-0000-0000-0000A56A0000}"/>
    <cellStyle name="Normal 203 7 2" xfId="27296" xr:uid="{00000000-0005-0000-0000-0000A66A0000}"/>
    <cellStyle name="Normal 203 8" xfId="27297" xr:uid="{00000000-0005-0000-0000-0000A76A0000}"/>
    <cellStyle name="Normal 203 8 2" xfId="27298" xr:uid="{00000000-0005-0000-0000-0000A86A0000}"/>
    <cellStyle name="Normal 203 9" xfId="27299" xr:uid="{00000000-0005-0000-0000-0000A96A0000}"/>
    <cellStyle name="Normal 203 9 2" xfId="27300" xr:uid="{00000000-0005-0000-0000-0000AA6A0000}"/>
    <cellStyle name="Normal 204" xfId="27301" xr:uid="{00000000-0005-0000-0000-0000AB6A0000}"/>
    <cellStyle name="Normal 204 10" xfId="27302" xr:uid="{00000000-0005-0000-0000-0000AC6A0000}"/>
    <cellStyle name="Normal 204 10 2" xfId="27303" xr:uid="{00000000-0005-0000-0000-0000AD6A0000}"/>
    <cellStyle name="Normal 204 11" xfId="27304" xr:uid="{00000000-0005-0000-0000-0000AE6A0000}"/>
    <cellStyle name="Normal 204 11 2" xfId="27305" xr:uid="{00000000-0005-0000-0000-0000AF6A0000}"/>
    <cellStyle name="Normal 204 12" xfId="27306" xr:uid="{00000000-0005-0000-0000-0000B06A0000}"/>
    <cellStyle name="Normal 204 12 2" xfId="27307" xr:uid="{00000000-0005-0000-0000-0000B16A0000}"/>
    <cellStyle name="Normal 204 13" xfId="27308" xr:uid="{00000000-0005-0000-0000-0000B26A0000}"/>
    <cellStyle name="Normal 204 13 2" xfId="27309" xr:uid="{00000000-0005-0000-0000-0000B36A0000}"/>
    <cellStyle name="Normal 204 14" xfId="27310" xr:uid="{00000000-0005-0000-0000-0000B46A0000}"/>
    <cellStyle name="Normal 204 14 2" xfId="27311" xr:uid="{00000000-0005-0000-0000-0000B56A0000}"/>
    <cellStyle name="Normal 204 15" xfId="27312" xr:uid="{00000000-0005-0000-0000-0000B66A0000}"/>
    <cellStyle name="Normal 204 15 2" xfId="27313" xr:uid="{00000000-0005-0000-0000-0000B76A0000}"/>
    <cellStyle name="Normal 204 16" xfId="27314" xr:uid="{00000000-0005-0000-0000-0000B86A0000}"/>
    <cellStyle name="Normal 204 16 2" xfId="27315" xr:uid="{00000000-0005-0000-0000-0000B96A0000}"/>
    <cellStyle name="Normal 204 17" xfId="27316" xr:uid="{00000000-0005-0000-0000-0000BA6A0000}"/>
    <cellStyle name="Normal 204 17 2" xfId="27317" xr:uid="{00000000-0005-0000-0000-0000BB6A0000}"/>
    <cellStyle name="Normal 204 18" xfId="27318" xr:uid="{00000000-0005-0000-0000-0000BC6A0000}"/>
    <cellStyle name="Normal 204 18 2" xfId="27319" xr:uid="{00000000-0005-0000-0000-0000BD6A0000}"/>
    <cellStyle name="Normal 204 19" xfId="27320" xr:uid="{00000000-0005-0000-0000-0000BE6A0000}"/>
    <cellStyle name="Normal 204 19 2" xfId="27321" xr:uid="{00000000-0005-0000-0000-0000BF6A0000}"/>
    <cellStyle name="Normal 204 2" xfId="27322" xr:uid="{00000000-0005-0000-0000-0000C06A0000}"/>
    <cellStyle name="Normal 204 2 2" xfId="27323" xr:uid="{00000000-0005-0000-0000-0000C16A0000}"/>
    <cellStyle name="Normal 204 20" xfId="27324" xr:uid="{00000000-0005-0000-0000-0000C26A0000}"/>
    <cellStyle name="Normal 204 20 2" xfId="27325" xr:uid="{00000000-0005-0000-0000-0000C36A0000}"/>
    <cellStyle name="Normal 204 21" xfId="27326" xr:uid="{00000000-0005-0000-0000-0000C46A0000}"/>
    <cellStyle name="Normal 204 21 2" xfId="27327" xr:uid="{00000000-0005-0000-0000-0000C56A0000}"/>
    <cellStyle name="Normal 204 22" xfId="27328" xr:uid="{00000000-0005-0000-0000-0000C66A0000}"/>
    <cellStyle name="Normal 204 22 2" xfId="27329" xr:uid="{00000000-0005-0000-0000-0000C76A0000}"/>
    <cellStyle name="Normal 204 23" xfId="27330" xr:uid="{00000000-0005-0000-0000-0000C86A0000}"/>
    <cellStyle name="Normal 204 23 2" xfId="27331" xr:uid="{00000000-0005-0000-0000-0000C96A0000}"/>
    <cellStyle name="Normal 204 24" xfId="27332" xr:uid="{00000000-0005-0000-0000-0000CA6A0000}"/>
    <cellStyle name="Normal 204 24 2" xfId="27333" xr:uid="{00000000-0005-0000-0000-0000CB6A0000}"/>
    <cellStyle name="Normal 204 25" xfId="27334" xr:uid="{00000000-0005-0000-0000-0000CC6A0000}"/>
    <cellStyle name="Normal 204 25 2" xfId="27335" xr:uid="{00000000-0005-0000-0000-0000CD6A0000}"/>
    <cellStyle name="Normal 204 26" xfId="27336" xr:uid="{00000000-0005-0000-0000-0000CE6A0000}"/>
    <cellStyle name="Normal 204 26 2" xfId="27337" xr:uid="{00000000-0005-0000-0000-0000CF6A0000}"/>
    <cellStyle name="Normal 204 27" xfId="27338" xr:uid="{00000000-0005-0000-0000-0000D06A0000}"/>
    <cellStyle name="Normal 204 27 2" xfId="27339" xr:uid="{00000000-0005-0000-0000-0000D16A0000}"/>
    <cellStyle name="Normal 204 28" xfId="27340" xr:uid="{00000000-0005-0000-0000-0000D26A0000}"/>
    <cellStyle name="Normal 204 28 2" xfId="27341" xr:uid="{00000000-0005-0000-0000-0000D36A0000}"/>
    <cellStyle name="Normal 204 29" xfId="27342" xr:uid="{00000000-0005-0000-0000-0000D46A0000}"/>
    <cellStyle name="Normal 204 29 2" xfId="27343" xr:uid="{00000000-0005-0000-0000-0000D56A0000}"/>
    <cellStyle name="Normal 204 3" xfId="27344" xr:uid="{00000000-0005-0000-0000-0000D66A0000}"/>
    <cellStyle name="Normal 204 3 2" xfId="27345" xr:uid="{00000000-0005-0000-0000-0000D76A0000}"/>
    <cellStyle name="Normal 204 30" xfId="27346" xr:uid="{00000000-0005-0000-0000-0000D86A0000}"/>
    <cellStyle name="Normal 204 30 2" xfId="27347" xr:uid="{00000000-0005-0000-0000-0000D96A0000}"/>
    <cellStyle name="Normal 204 31" xfId="27348" xr:uid="{00000000-0005-0000-0000-0000DA6A0000}"/>
    <cellStyle name="Normal 204 31 2" xfId="27349" xr:uid="{00000000-0005-0000-0000-0000DB6A0000}"/>
    <cellStyle name="Normal 204 32" xfId="27350" xr:uid="{00000000-0005-0000-0000-0000DC6A0000}"/>
    <cellStyle name="Normal 204 32 2" xfId="27351" xr:uid="{00000000-0005-0000-0000-0000DD6A0000}"/>
    <cellStyle name="Normal 204 33" xfId="27352" xr:uid="{00000000-0005-0000-0000-0000DE6A0000}"/>
    <cellStyle name="Normal 204 33 2" xfId="27353" xr:uid="{00000000-0005-0000-0000-0000DF6A0000}"/>
    <cellStyle name="Normal 204 34" xfId="27354" xr:uid="{00000000-0005-0000-0000-0000E06A0000}"/>
    <cellStyle name="Normal 204 34 2" xfId="27355" xr:uid="{00000000-0005-0000-0000-0000E16A0000}"/>
    <cellStyle name="Normal 204 35" xfId="27356" xr:uid="{00000000-0005-0000-0000-0000E26A0000}"/>
    <cellStyle name="Normal 204 35 2" xfId="27357" xr:uid="{00000000-0005-0000-0000-0000E36A0000}"/>
    <cellStyle name="Normal 204 36" xfId="27358" xr:uid="{00000000-0005-0000-0000-0000E46A0000}"/>
    <cellStyle name="Normal 204 36 2" xfId="27359" xr:uid="{00000000-0005-0000-0000-0000E56A0000}"/>
    <cellStyle name="Normal 204 37" xfId="27360" xr:uid="{00000000-0005-0000-0000-0000E66A0000}"/>
    <cellStyle name="Normal 204 37 2" xfId="27361" xr:uid="{00000000-0005-0000-0000-0000E76A0000}"/>
    <cellStyle name="Normal 204 38" xfId="27362" xr:uid="{00000000-0005-0000-0000-0000E86A0000}"/>
    <cellStyle name="Normal 204 38 2" xfId="27363" xr:uid="{00000000-0005-0000-0000-0000E96A0000}"/>
    <cellStyle name="Normal 204 39" xfId="27364" xr:uid="{00000000-0005-0000-0000-0000EA6A0000}"/>
    <cellStyle name="Normal 204 39 2" xfId="27365" xr:uid="{00000000-0005-0000-0000-0000EB6A0000}"/>
    <cellStyle name="Normal 204 4" xfId="27366" xr:uid="{00000000-0005-0000-0000-0000EC6A0000}"/>
    <cellStyle name="Normal 204 4 2" xfId="27367" xr:uid="{00000000-0005-0000-0000-0000ED6A0000}"/>
    <cellStyle name="Normal 204 40" xfId="27368" xr:uid="{00000000-0005-0000-0000-0000EE6A0000}"/>
    <cellStyle name="Normal 204 40 2" xfId="27369" xr:uid="{00000000-0005-0000-0000-0000EF6A0000}"/>
    <cellStyle name="Normal 204 41" xfId="27370" xr:uid="{00000000-0005-0000-0000-0000F06A0000}"/>
    <cellStyle name="Normal 204 41 2" xfId="27371" xr:uid="{00000000-0005-0000-0000-0000F16A0000}"/>
    <cellStyle name="Normal 204 42" xfId="27372" xr:uid="{00000000-0005-0000-0000-0000F26A0000}"/>
    <cellStyle name="Normal 204 42 2" xfId="27373" xr:uid="{00000000-0005-0000-0000-0000F36A0000}"/>
    <cellStyle name="Normal 204 43" xfId="27374" xr:uid="{00000000-0005-0000-0000-0000F46A0000}"/>
    <cellStyle name="Normal 204 43 2" xfId="27375" xr:uid="{00000000-0005-0000-0000-0000F56A0000}"/>
    <cellStyle name="Normal 204 44" xfId="27376" xr:uid="{00000000-0005-0000-0000-0000F66A0000}"/>
    <cellStyle name="Normal 204 44 2" xfId="27377" xr:uid="{00000000-0005-0000-0000-0000F76A0000}"/>
    <cellStyle name="Normal 204 45" xfId="27378" xr:uid="{00000000-0005-0000-0000-0000F86A0000}"/>
    <cellStyle name="Normal 204 45 2" xfId="27379" xr:uid="{00000000-0005-0000-0000-0000F96A0000}"/>
    <cellStyle name="Normal 204 46" xfId="27380" xr:uid="{00000000-0005-0000-0000-0000FA6A0000}"/>
    <cellStyle name="Normal 204 46 2" xfId="27381" xr:uid="{00000000-0005-0000-0000-0000FB6A0000}"/>
    <cellStyle name="Normal 204 47" xfId="27382" xr:uid="{00000000-0005-0000-0000-0000FC6A0000}"/>
    <cellStyle name="Normal 204 47 2" xfId="27383" xr:uid="{00000000-0005-0000-0000-0000FD6A0000}"/>
    <cellStyle name="Normal 204 48" xfId="27384" xr:uid="{00000000-0005-0000-0000-0000FE6A0000}"/>
    <cellStyle name="Normal 204 48 2" xfId="27385" xr:uid="{00000000-0005-0000-0000-0000FF6A0000}"/>
    <cellStyle name="Normal 204 49" xfId="27386" xr:uid="{00000000-0005-0000-0000-0000006B0000}"/>
    <cellStyle name="Normal 204 49 2" xfId="27387" xr:uid="{00000000-0005-0000-0000-0000016B0000}"/>
    <cellStyle name="Normal 204 5" xfId="27388" xr:uid="{00000000-0005-0000-0000-0000026B0000}"/>
    <cellStyle name="Normal 204 5 2" xfId="27389" xr:uid="{00000000-0005-0000-0000-0000036B0000}"/>
    <cellStyle name="Normal 204 50" xfId="27390" xr:uid="{00000000-0005-0000-0000-0000046B0000}"/>
    <cellStyle name="Normal 204 50 2" xfId="27391" xr:uid="{00000000-0005-0000-0000-0000056B0000}"/>
    <cellStyle name="Normal 204 51" xfId="27392" xr:uid="{00000000-0005-0000-0000-0000066B0000}"/>
    <cellStyle name="Normal 204 51 2" xfId="27393" xr:uid="{00000000-0005-0000-0000-0000076B0000}"/>
    <cellStyle name="Normal 204 52" xfId="27394" xr:uid="{00000000-0005-0000-0000-0000086B0000}"/>
    <cellStyle name="Normal 204 52 2" xfId="27395" xr:uid="{00000000-0005-0000-0000-0000096B0000}"/>
    <cellStyle name="Normal 204 53" xfId="27396" xr:uid="{00000000-0005-0000-0000-00000A6B0000}"/>
    <cellStyle name="Normal 204 53 2" xfId="27397" xr:uid="{00000000-0005-0000-0000-00000B6B0000}"/>
    <cellStyle name="Normal 204 54" xfId="27398" xr:uid="{00000000-0005-0000-0000-00000C6B0000}"/>
    <cellStyle name="Normal 204 54 2" xfId="27399" xr:uid="{00000000-0005-0000-0000-00000D6B0000}"/>
    <cellStyle name="Normal 204 55" xfId="27400" xr:uid="{00000000-0005-0000-0000-00000E6B0000}"/>
    <cellStyle name="Normal 204 55 2" xfId="27401" xr:uid="{00000000-0005-0000-0000-00000F6B0000}"/>
    <cellStyle name="Normal 204 56" xfId="27402" xr:uid="{00000000-0005-0000-0000-0000106B0000}"/>
    <cellStyle name="Normal 204 56 2" xfId="27403" xr:uid="{00000000-0005-0000-0000-0000116B0000}"/>
    <cellStyle name="Normal 204 57" xfId="27404" xr:uid="{00000000-0005-0000-0000-0000126B0000}"/>
    <cellStyle name="Normal 204 57 2" xfId="27405" xr:uid="{00000000-0005-0000-0000-0000136B0000}"/>
    <cellStyle name="Normal 204 58" xfId="27406" xr:uid="{00000000-0005-0000-0000-0000146B0000}"/>
    <cellStyle name="Normal 204 58 2" xfId="27407" xr:uid="{00000000-0005-0000-0000-0000156B0000}"/>
    <cellStyle name="Normal 204 59" xfId="27408" xr:uid="{00000000-0005-0000-0000-0000166B0000}"/>
    <cellStyle name="Normal 204 59 2" xfId="27409" xr:uid="{00000000-0005-0000-0000-0000176B0000}"/>
    <cellStyle name="Normal 204 6" xfId="27410" xr:uid="{00000000-0005-0000-0000-0000186B0000}"/>
    <cellStyle name="Normal 204 6 2" xfId="27411" xr:uid="{00000000-0005-0000-0000-0000196B0000}"/>
    <cellStyle name="Normal 204 60" xfId="27412" xr:uid="{00000000-0005-0000-0000-00001A6B0000}"/>
    <cellStyle name="Normal 204 60 2" xfId="27413" xr:uid="{00000000-0005-0000-0000-00001B6B0000}"/>
    <cellStyle name="Normal 204 61" xfId="27414" xr:uid="{00000000-0005-0000-0000-00001C6B0000}"/>
    <cellStyle name="Normal 204 61 2" xfId="27415" xr:uid="{00000000-0005-0000-0000-00001D6B0000}"/>
    <cellStyle name="Normal 204 62" xfId="27416" xr:uid="{00000000-0005-0000-0000-00001E6B0000}"/>
    <cellStyle name="Normal 204 62 2" xfId="27417" xr:uid="{00000000-0005-0000-0000-00001F6B0000}"/>
    <cellStyle name="Normal 204 62 3" xfId="27418" xr:uid="{00000000-0005-0000-0000-0000206B0000}"/>
    <cellStyle name="Normal 204 63" xfId="27419" xr:uid="{00000000-0005-0000-0000-0000216B0000}"/>
    <cellStyle name="Normal 204 7" xfId="27420" xr:uid="{00000000-0005-0000-0000-0000226B0000}"/>
    <cellStyle name="Normal 204 7 2" xfId="27421" xr:uid="{00000000-0005-0000-0000-0000236B0000}"/>
    <cellStyle name="Normal 204 8" xfId="27422" xr:uid="{00000000-0005-0000-0000-0000246B0000}"/>
    <cellStyle name="Normal 204 8 2" xfId="27423" xr:uid="{00000000-0005-0000-0000-0000256B0000}"/>
    <cellStyle name="Normal 204 9" xfId="27424" xr:uid="{00000000-0005-0000-0000-0000266B0000}"/>
    <cellStyle name="Normal 204 9 2" xfId="27425" xr:uid="{00000000-0005-0000-0000-0000276B0000}"/>
    <cellStyle name="Normal 205" xfId="27426" xr:uid="{00000000-0005-0000-0000-0000286B0000}"/>
    <cellStyle name="Normal 205 2" xfId="27427" xr:uid="{00000000-0005-0000-0000-0000296B0000}"/>
    <cellStyle name="Normal 206" xfId="27428" xr:uid="{00000000-0005-0000-0000-00002A6B0000}"/>
    <cellStyle name="Normal 206 2" xfId="27429" xr:uid="{00000000-0005-0000-0000-00002B6B0000}"/>
    <cellStyle name="Normal 207" xfId="27430" xr:uid="{00000000-0005-0000-0000-00002C6B0000}"/>
    <cellStyle name="Normal 207 2" xfId="27431" xr:uid="{00000000-0005-0000-0000-00002D6B0000}"/>
    <cellStyle name="Normal 208" xfId="27432" xr:uid="{00000000-0005-0000-0000-00002E6B0000}"/>
    <cellStyle name="Normal 208 2" xfId="27433" xr:uid="{00000000-0005-0000-0000-00002F6B0000}"/>
    <cellStyle name="Normal 209" xfId="27434" xr:uid="{00000000-0005-0000-0000-0000306B0000}"/>
    <cellStyle name="Normal 209 2" xfId="27435" xr:uid="{00000000-0005-0000-0000-0000316B0000}"/>
    <cellStyle name="Normal 21" xfId="27436" xr:uid="{00000000-0005-0000-0000-0000326B0000}"/>
    <cellStyle name="Normal 21 10" xfId="27437" xr:uid="{00000000-0005-0000-0000-0000336B0000}"/>
    <cellStyle name="Normal 21 10 2" xfId="27438" xr:uid="{00000000-0005-0000-0000-0000346B0000}"/>
    <cellStyle name="Normal 21 11" xfId="27439" xr:uid="{00000000-0005-0000-0000-0000356B0000}"/>
    <cellStyle name="Normal 21 11 2" xfId="27440" xr:uid="{00000000-0005-0000-0000-0000366B0000}"/>
    <cellStyle name="Normal 21 12" xfId="27441" xr:uid="{00000000-0005-0000-0000-0000376B0000}"/>
    <cellStyle name="Normal 21 12 2" xfId="27442" xr:uid="{00000000-0005-0000-0000-0000386B0000}"/>
    <cellStyle name="Normal 21 13" xfId="27443" xr:uid="{00000000-0005-0000-0000-0000396B0000}"/>
    <cellStyle name="Normal 21 13 2" xfId="27444" xr:uid="{00000000-0005-0000-0000-00003A6B0000}"/>
    <cellStyle name="Normal 21 14" xfId="27445" xr:uid="{00000000-0005-0000-0000-00003B6B0000}"/>
    <cellStyle name="Normal 21 14 2" xfId="27446" xr:uid="{00000000-0005-0000-0000-00003C6B0000}"/>
    <cellStyle name="Normal 21 15" xfId="27447" xr:uid="{00000000-0005-0000-0000-00003D6B0000}"/>
    <cellStyle name="Normal 21 15 2" xfId="27448" xr:uid="{00000000-0005-0000-0000-00003E6B0000}"/>
    <cellStyle name="Normal 21 16" xfId="27449" xr:uid="{00000000-0005-0000-0000-00003F6B0000}"/>
    <cellStyle name="Normal 21 16 2" xfId="27450" xr:uid="{00000000-0005-0000-0000-0000406B0000}"/>
    <cellStyle name="Normal 21 17" xfId="27451" xr:uid="{00000000-0005-0000-0000-0000416B0000}"/>
    <cellStyle name="Normal 21 17 2" xfId="27452" xr:uid="{00000000-0005-0000-0000-0000426B0000}"/>
    <cellStyle name="Normal 21 18" xfId="27453" xr:uid="{00000000-0005-0000-0000-0000436B0000}"/>
    <cellStyle name="Normal 21 18 2" xfId="27454" xr:uid="{00000000-0005-0000-0000-0000446B0000}"/>
    <cellStyle name="Normal 21 19" xfId="27455" xr:uid="{00000000-0005-0000-0000-0000456B0000}"/>
    <cellStyle name="Normal 21 19 2" xfId="27456" xr:uid="{00000000-0005-0000-0000-0000466B0000}"/>
    <cellStyle name="Normal 21 2" xfId="27457" xr:uid="{00000000-0005-0000-0000-0000476B0000}"/>
    <cellStyle name="Normal 21 2 2" xfId="27458" xr:uid="{00000000-0005-0000-0000-0000486B0000}"/>
    <cellStyle name="Normal 21 20" xfId="27459" xr:uid="{00000000-0005-0000-0000-0000496B0000}"/>
    <cellStyle name="Normal 21 20 2" xfId="27460" xr:uid="{00000000-0005-0000-0000-00004A6B0000}"/>
    <cellStyle name="Normal 21 21" xfId="27461" xr:uid="{00000000-0005-0000-0000-00004B6B0000}"/>
    <cellStyle name="Normal 21 21 2" xfId="27462" xr:uid="{00000000-0005-0000-0000-00004C6B0000}"/>
    <cellStyle name="Normal 21 22" xfId="27463" xr:uid="{00000000-0005-0000-0000-00004D6B0000}"/>
    <cellStyle name="Normal 21 22 2" xfId="27464" xr:uid="{00000000-0005-0000-0000-00004E6B0000}"/>
    <cellStyle name="Normal 21 23" xfId="27465" xr:uid="{00000000-0005-0000-0000-00004F6B0000}"/>
    <cellStyle name="Normal 21 23 2" xfId="27466" xr:uid="{00000000-0005-0000-0000-0000506B0000}"/>
    <cellStyle name="Normal 21 24" xfId="27467" xr:uid="{00000000-0005-0000-0000-0000516B0000}"/>
    <cellStyle name="Normal 21 24 2" xfId="27468" xr:uid="{00000000-0005-0000-0000-0000526B0000}"/>
    <cellStyle name="Normal 21 25" xfId="27469" xr:uid="{00000000-0005-0000-0000-0000536B0000}"/>
    <cellStyle name="Normal 21 25 2" xfId="27470" xr:uid="{00000000-0005-0000-0000-0000546B0000}"/>
    <cellStyle name="Normal 21 26" xfId="27471" xr:uid="{00000000-0005-0000-0000-0000556B0000}"/>
    <cellStyle name="Normal 21 26 2" xfId="27472" xr:uid="{00000000-0005-0000-0000-0000566B0000}"/>
    <cellStyle name="Normal 21 27" xfId="27473" xr:uid="{00000000-0005-0000-0000-0000576B0000}"/>
    <cellStyle name="Normal 21 27 2" xfId="27474" xr:uid="{00000000-0005-0000-0000-0000586B0000}"/>
    <cellStyle name="Normal 21 28" xfId="27475" xr:uid="{00000000-0005-0000-0000-0000596B0000}"/>
    <cellStyle name="Normal 21 28 2" xfId="27476" xr:uid="{00000000-0005-0000-0000-00005A6B0000}"/>
    <cellStyle name="Normal 21 29" xfId="27477" xr:uid="{00000000-0005-0000-0000-00005B6B0000}"/>
    <cellStyle name="Normal 21 29 2" xfId="27478" xr:uid="{00000000-0005-0000-0000-00005C6B0000}"/>
    <cellStyle name="Normal 21 3" xfId="27479" xr:uid="{00000000-0005-0000-0000-00005D6B0000}"/>
    <cellStyle name="Normal 21 3 2" xfId="27480" xr:uid="{00000000-0005-0000-0000-00005E6B0000}"/>
    <cellStyle name="Normal 21 30" xfId="27481" xr:uid="{00000000-0005-0000-0000-00005F6B0000}"/>
    <cellStyle name="Normal 21 30 2" xfId="27482" xr:uid="{00000000-0005-0000-0000-0000606B0000}"/>
    <cellStyle name="Normal 21 31" xfId="27483" xr:uid="{00000000-0005-0000-0000-0000616B0000}"/>
    <cellStyle name="Normal 21 31 2" xfId="27484" xr:uid="{00000000-0005-0000-0000-0000626B0000}"/>
    <cellStyle name="Normal 21 32" xfId="27485" xr:uid="{00000000-0005-0000-0000-0000636B0000}"/>
    <cellStyle name="Normal 21 32 2" xfId="27486" xr:uid="{00000000-0005-0000-0000-0000646B0000}"/>
    <cellStyle name="Normal 21 33" xfId="27487" xr:uid="{00000000-0005-0000-0000-0000656B0000}"/>
    <cellStyle name="Normal 21 33 2" xfId="27488" xr:uid="{00000000-0005-0000-0000-0000666B0000}"/>
    <cellStyle name="Normal 21 34" xfId="27489" xr:uid="{00000000-0005-0000-0000-0000676B0000}"/>
    <cellStyle name="Normal 21 34 2" xfId="27490" xr:uid="{00000000-0005-0000-0000-0000686B0000}"/>
    <cellStyle name="Normal 21 35" xfId="27491" xr:uid="{00000000-0005-0000-0000-0000696B0000}"/>
    <cellStyle name="Normal 21 35 2" xfId="27492" xr:uid="{00000000-0005-0000-0000-00006A6B0000}"/>
    <cellStyle name="Normal 21 36" xfId="27493" xr:uid="{00000000-0005-0000-0000-00006B6B0000}"/>
    <cellStyle name="Normal 21 36 2" xfId="27494" xr:uid="{00000000-0005-0000-0000-00006C6B0000}"/>
    <cellStyle name="Normal 21 37" xfId="27495" xr:uid="{00000000-0005-0000-0000-00006D6B0000}"/>
    <cellStyle name="Normal 21 37 2" xfId="27496" xr:uid="{00000000-0005-0000-0000-00006E6B0000}"/>
    <cellStyle name="Normal 21 38" xfId="27497" xr:uid="{00000000-0005-0000-0000-00006F6B0000}"/>
    <cellStyle name="Normal 21 38 2" xfId="27498" xr:uid="{00000000-0005-0000-0000-0000706B0000}"/>
    <cellStyle name="Normal 21 39" xfId="27499" xr:uid="{00000000-0005-0000-0000-0000716B0000}"/>
    <cellStyle name="Normal 21 39 2" xfId="27500" xr:uid="{00000000-0005-0000-0000-0000726B0000}"/>
    <cellStyle name="Normal 21 4" xfId="27501" xr:uid="{00000000-0005-0000-0000-0000736B0000}"/>
    <cellStyle name="Normal 21 4 2" xfId="27502" xr:uid="{00000000-0005-0000-0000-0000746B0000}"/>
    <cellStyle name="Normal 21 40" xfId="27503" xr:uid="{00000000-0005-0000-0000-0000756B0000}"/>
    <cellStyle name="Normal 21 40 2" xfId="27504" xr:uid="{00000000-0005-0000-0000-0000766B0000}"/>
    <cellStyle name="Normal 21 41" xfId="27505" xr:uid="{00000000-0005-0000-0000-0000776B0000}"/>
    <cellStyle name="Normal 21 41 2" xfId="27506" xr:uid="{00000000-0005-0000-0000-0000786B0000}"/>
    <cellStyle name="Normal 21 42" xfId="27507" xr:uid="{00000000-0005-0000-0000-0000796B0000}"/>
    <cellStyle name="Normal 21 42 2" xfId="27508" xr:uid="{00000000-0005-0000-0000-00007A6B0000}"/>
    <cellStyle name="Normal 21 43" xfId="27509" xr:uid="{00000000-0005-0000-0000-00007B6B0000}"/>
    <cellStyle name="Normal 21 43 2" xfId="27510" xr:uid="{00000000-0005-0000-0000-00007C6B0000}"/>
    <cellStyle name="Normal 21 44" xfId="27511" xr:uid="{00000000-0005-0000-0000-00007D6B0000}"/>
    <cellStyle name="Normal 21 44 2" xfId="27512" xr:uid="{00000000-0005-0000-0000-00007E6B0000}"/>
    <cellStyle name="Normal 21 45" xfId="27513" xr:uid="{00000000-0005-0000-0000-00007F6B0000}"/>
    <cellStyle name="Normal 21 45 2" xfId="27514" xr:uid="{00000000-0005-0000-0000-0000806B0000}"/>
    <cellStyle name="Normal 21 46" xfId="27515" xr:uid="{00000000-0005-0000-0000-0000816B0000}"/>
    <cellStyle name="Normal 21 46 2" xfId="27516" xr:uid="{00000000-0005-0000-0000-0000826B0000}"/>
    <cellStyle name="Normal 21 47" xfId="27517" xr:uid="{00000000-0005-0000-0000-0000836B0000}"/>
    <cellStyle name="Normal 21 47 2" xfId="27518" xr:uid="{00000000-0005-0000-0000-0000846B0000}"/>
    <cellStyle name="Normal 21 48" xfId="27519" xr:uid="{00000000-0005-0000-0000-0000856B0000}"/>
    <cellStyle name="Normal 21 48 2" xfId="27520" xr:uid="{00000000-0005-0000-0000-0000866B0000}"/>
    <cellStyle name="Normal 21 49" xfId="27521" xr:uid="{00000000-0005-0000-0000-0000876B0000}"/>
    <cellStyle name="Normal 21 49 2" xfId="27522" xr:uid="{00000000-0005-0000-0000-0000886B0000}"/>
    <cellStyle name="Normal 21 5" xfId="27523" xr:uid="{00000000-0005-0000-0000-0000896B0000}"/>
    <cellStyle name="Normal 21 5 2" xfId="27524" xr:uid="{00000000-0005-0000-0000-00008A6B0000}"/>
    <cellStyle name="Normal 21 50" xfId="27525" xr:uid="{00000000-0005-0000-0000-00008B6B0000}"/>
    <cellStyle name="Normal 21 50 2" xfId="27526" xr:uid="{00000000-0005-0000-0000-00008C6B0000}"/>
    <cellStyle name="Normal 21 51" xfId="27527" xr:uid="{00000000-0005-0000-0000-00008D6B0000}"/>
    <cellStyle name="Normal 21 51 2" xfId="27528" xr:uid="{00000000-0005-0000-0000-00008E6B0000}"/>
    <cellStyle name="Normal 21 52" xfId="27529" xr:uid="{00000000-0005-0000-0000-00008F6B0000}"/>
    <cellStyle name="Normal 21 52 2" xfId="27530" xr:uid="{00000000-0005-0000-0000-0000906B0000}"/>
    <cellStyle name="Normal 21 53" xfId="27531" xr:uid="{00000000-0005-0000-0000-0000916B0000}"/>
    <cellStyle name="Normal 21 53 2" xfId="27532" xr:uid="{00000000-0005-0000-0000-0000926B0000}"/>
    <cellStyle name="Normal 21 54" xfId="27533" xr:uid="{00000000-0005-0000-0000-0000936B0000}"/>
    <cellStyle name="Normal 21 54 2" xfId="27534" xr:uid="{00000000-0005-0000-0000-0000946B0000}"/>
    <cellStyle name="Normal 21 55" xfId="27535" xr:uid="{00000000-0005-0000-0000-0000956B0000}"/>
    <cellStyle name="Normal 21 55 2" xfId="27536" xr:uid="{00000000-0005-0000-0000-0000966B0000}"/>
    <cellStyle name="Normal 21 56" xfId="27537" xr:uid="{00000000-0005-0000-0000-0000976B0000}"/>
    <cellStyle name="Normal 21 56 2" xfId="27538" xr:uid="{00000000-0005-0000-0000-0000986B0000}"/>
    <cellStyle name="Normal 21 57" xfId="27539" xr:uid="{00000000-0005-0000-0000-0000996B0000}"/>
    <cellStyle name="Normal 21 57 2" xfId="27540" xr:uid="{00000000-0005-0000-0000-00009A6B0000}"/>
    <cellStyle name="Normal 21 58" xfId="27541" xr:uid="{00000000-0005-0000-0000-00009B6B0000}"/>
    <cellStyle name="Normal 21 58 2" xfId="27542" xr:uid="{00000000-0005-0000-0000-00009C6B0000}"/>
    <cellStyle name="Normal 21 59" xfId="27543" xr:uid="{00000000-0005-0000-0000-00009D6B0000}"/>
    <cellStyle name="Normal 21 6" xfId="27544" xr:uid="{00000000-0005-0000-0000-00009E6B0000}"/>
    <cellStyle name="Normal 21 6 2" xfId="27545" xr:uid="{00000000-0005-0000-0000-00009F6B0000}"/>
    <cellStyle name="Normal 21 60" xfId="27546" xr:uid="{00000000-0005-0000-0000-0000A06B0000}"/>
    <cellStyle name="Normal 21 7" xfId="27547" xr:uid="{00000000-0005-0000-0000-0000A16B0000}"/>
    <cellStyle name="Normal 21 7 2" xfId="27548" xr:uid="{00000000-0005-0000-0000-0000A26B0000}"/>
    <cellStyle name="Normal 21 8" xfId="27549" xr:uid="{00000000-0005-0000-0000-0000A36B0000}"/>
    <cellStyle name="Normal 21 8 2" xfId="27550" xr:uid="{00000000-0005-0000-0000-0000A46B0000}"/>
    <cellStyle name="Normal 21 9" xfId="27551" xr:uid="{00000000-0005-0000-0000-0000A56B0000}"/>
    <cellStyle name="Normal 21 9 2" xfId="27552" xr:uid="{00000000-0005-0000-0000-0000A66B0000}"/>
    <cellStyle name="Normal 210" xfId="27553" xr:uid="{00000000-0005-0000-0000-0000A76B0000}"/>
    <cellStyle name="Normal 210 10" xfId="27554" xr:uid="{00000000-0005-0000-0000-0000A86B0000}"/>
    <cellStyle name="Normal 210 10 2" xfId="27555" xr:uid="{00000000-0005-0000-0000-0000A96B0000}"/>
    <cellStyle name="Normal 210 11" xfId="27556" xr:uid="{00000000-0005-0000-0000-0000AA6B0000}"/>
    <cellStyle name="Normal 210 11 2" xfId="27557" xr:uid="{00000000-0005-0000-0000-0000AB6B0000}"/>
    <cellStyle name="Normal 210 12" xfId="27558" xr:uid="{00000000-0005-0000-0000-0000AC6B0000}"/>
    <cellStyle name="Normal 210 12 2" xfId="27559" xr:uid="{00000000-0005-0000-0000-0000AD6B0000}"/>
    <cellStyle name="Normal 210 13" xfId="27560" xr:uid="{00000000-0005-0000-0000-0000AE6B0000}"/>
    <cellStyle name="Normal 210 13 2" xfId="27561" xr:uid="{00000000-0005-0000-0000-0000AF6B0000}"/>
    <cellStyle name="Normal 210 14" xfId="27562" xr:uid="{00000000-0005-0000-0000-0000B06B0000}"/>
    <cellStyle name="Normal 210 14 2" xfId="27563" xr:uid="{00000000-0005-0000-0000-0000B16B0000}"/>
    <cellStyle name="Normal 210 15" xfId="27564" xr:uid="{00000000-0005-0000-0000-0000B26B0000}"/>
    <cellStyle name="Normal 210 15 2" xfId="27565" xr:uid="{00000000-0005-0000-0000-0000B36B0000}"/>
    <cellStyle name="Normal 210 16" xfId="27566" xr:uid="{00000000-0005-0000-0000-0000B46B0000}"/>
    <cellStyle name="Normal 210 16 2" xfId="27567" xr:uid="{00000000-0005-0000-0000-0000B56B0000}"/>
    <cellStyle name="Normal 210 17" xfId="27568" xr:uid="{00000000-0005-0000-0000-0000B66B0000}"/>
    <cellStyle name="Normal 210 17 2" xfId="27569" xr:uid="{00000000-0005-0000-0000-0000B76B0000}"/>
    <cellStyle name="Normal 210 18" xfId="27570" xr:uid="{00000000-0005-0000-0000-0000B86B0000}"/>
    <cellStyle name="Normal 210 18 2" xfId="27571" xr:uid="{00000000-0005-0000-0000-0000B96B0000}"/>
    <cellStyle name="Normal 210 19" xfId="27572" xr:uid="{00000000-0005-0000-0000-0000BA6B0000}"/>
    <cellStyle name="Normal 210 19 2" xfId="27573" xr:uid="{00000000-0005-0000-0000-0000BB6B0000}"/>
    <cellStyle name="Normal 210 2" xfId="27574" xr:uid="{00000000-0005-0000-0000-0000BC6B0000}"/>
    <cellStyle name="Normal 210 2 2" xfId="27575" xr:uid="{00000000-0005-0000-0000-0000BD6B0000}"/>
    <cellStyle name="Normal 210 20" xfId="27576" xr:uid="{00000000-0005-0000-0000-0000BE6B0000}"/>
    <cellStyle name="Normal 210 20 2" xfId="27577" xr:uid="{00000000-0005-0000-0000-0000BF6B0000}"/>
    <cellStyle name="Normal 210 21" xfId="27578" xr:uid="{00000000-0005-0000-0000-0000C06B0000}"/>
    <cellStyle name="Normal 210 21 2" xfId="27579" xr:uid="{00000000-0005-0000-0000-0000C16B0000}"/>
    <cellStyle name="Normal 210 22" xfId="27580" xr:uid="{00000000-0005-0000-0000-0000C26B0000}"/>
    <cellStyle name="Normal 210 22 2" xfId="27581" xr:uid="{00000000-0005-0000-0000-0000C36B0000}"/>
    <cellStyle name="Normal 210 23" xfId="27582" xr:uid="{00000000-0005-0000-0000-0000C46B0000}"/>
    <cellStyle name="Normal 210 23 2" xfId="27583" xr:uid="{00000000-0005-0000-0000-0000C56B0000}"/>
    <cellStyle name="Normal 210 24" xfId="27584" xr:uid="{00000000-0005-0000-0000-0000C66B0000}"/>
    <cellStyle name="Normal 210 24 2" xfId="27585" xr:uid="{00000000-0005-0000-0000-0000C76B0000}"/>
    <cellStyle name="Normal 210 25" xfId="27586" xr:uid="{00000000-0005-0000-0000-0000C86B0000}"/>
    <cellStyle name="Normal 210 25 2" xfId="27587" xr:uid="{00000000-0005-0000-0000-0000C96B0000}"/>
    <cellStyle name="Normal 210 26" xfId="27588" xr:uid="{00000000-0005-0000-0000-0000CA6B0000}"/>
    <cellStyle name="Normal 210 26 2" xfId="27589" xr:uid="{00000000-0005-0000-0000-0000CB6B0000}"/>
    <cellStyle name="Normal 210 27" xfId="27590" xr:uid="{00000000-0005-0000-0000-0000CC6B0000}"/>
    <cellStyle name="Normal 210 27 2" xfId="27591" xr:uid="{00000000-0005-0000-0000-0000CD6B0000}"/>
    <cellStyle name="Normal 210 28" xfId="27592" xr:uid="{00000000-0005-0000-0000-0000CE6B0000}"/>
    <cellStyle name="Normal 210 28 2" xfId="27593" xr:uid="{00000000-0005-0000-0000-0000CF6B0000}"/>
    <cellStyle name="Normal 210 29" xfId="27594" xr:uid="{00000000-0005-0000-0000-0000D06B0000}"/>
    <cellStyle name="Normal 210 29 2" xfId="27595" xr:uid="{00000000-0005-0000-0000-0000D16B0000}"/>
    <cellStyle name="Normal 210 3" xfId="27596" xr:uid="{00000000-0005-0000-0000-0000D26B0000}"/>
    <cellStyle name="Normal 210 3 2" xfId="27597" xr:uid="{00000000-0005-0000-0000-0000D36B0000}"/>
    <cellStyle name="Normal 210 30" xfId="27598" xr:uid="{00000000-0005-0000-0000-0000D46B0000}"/>
    <cellStyle name="Normal 210 30 2" xfId="27599" xr:uid="{00000000-0005-0000-0000-0000D56B0000}"/>
    <cellStyle name="Normal 210 31" xfId="27600" xr:uid="{00000000-0005-0000-0000-0000D66B0000}"/>
    <cellStyle name="Normal 210 31 2" xfId="27601" xr:uid="{00000000-0005-0000-0000-0000D76B0000}"/>
    <cellStyle name="Normal 210 32" xfId="27602" xr:uid="{00000000-0005-0000-0000-0000D86B0000}"/>
    <cellStyle name="Normal 210 32 2" xfId="27603" xr:uid="{00000000-0005-0000-0000-0000D96B0000}"/>
    <cellStyle name="Normal 210 33" xfId="27604" xr:uid="{00000000-0005-0000-0000-0000DA6B0000}"/>
    <cellStyle name="Normal 210 33 2" xfId="27605" xr:uid="{00000000-0005-0000-0000-0000DB6B0000}"/>
    <cellStyle name="Normal 210 34" xfId="27606" xr:uid="{00000000-0005-0000-0000-0000DC6B0000}"/>
    <cellStyle name="Normal 210 34 2" xfId="27607" xr:uid="{00000000-0005-0000-0000-0000DD6B0000}"/>
    <cellStyle name="Normal 210 35" xfId="27608" xr:uid="{00000000-0005-0000-0000-0000DE6B0000}"/>
    <cellStyle name="Normal 210 35 2" xfId="27609" xr:uid="{00000000-0005-0000-0000-0000DF6B0000}"/>
    <cellStyle name="Normal 210 36" xfId="27610" xr:uid="{00000000-0005-0000-0000-0000E06B0000}"/>
    <cellStyle name="Normal 210 36 2" xfId="27611" xr:uid="{00000000-0005-0000-0000-0000E16B0000}"/>
    <cellStyle name="Normal 210 37" xfId="27612" xr:uid="{00000000-0005-0000-0000-0000E26B0000}"/>
    <cellStyle name="Normal 210 37 2" xfId="27613" xr:uid="{00000000-0005-0000-0000-0000E36B0000}"/>
    <cellStyle name="Normal 210 38" xfId="27614" xr:uid="{00000000-0005-0000-0000-0000E46B0000}"/>
    <cellStyle name="Normal 210 38 2" xfId="27615" xr:uid="{00000000-0005-0000-0000-0000E56B0000}"/>
    <cellStyle name="Normal 210 39" xfId="27616" xr:uid="{00000000-0005-0000-0000-0000E66B0000}"/>
    <cellStyle name="Normal 210 39 2" xfId="27617" xr:uid="{00000000-0005-0000-0000-0000E76B0000}"/>
    <cellStyle name="Normal 210 4" xfId="27618" xr:uid="{00000000-0005-0000-0000-0000E86B0000}"/>
    <cellStyle name="Normal 210 4 2" xfId="27619" xr:uid="{00000000-0005-0000-0000-0000E96B0000}"/>
    <cellStyle name="Normal 210 40" xfId="27620" xr:uid="{00000000-0005-0000-0000-0000EA6B0000}"/>
    <cellStyle name="Normal 210 40 2" xfId="27621" xr:uid="{00000000-0005-0000-0000-0000EB6B0000}"/>
    <cellStyle name="Normal 210 41" xfId="27622" xr:uid="{00000000-0005-0000-0000-0000EC6B0000}"/>
    <cellStyle name="Normal 210 41 2" xfId="27623" xr:uid="{00000000-0005-0000-0000-0000ED6B0000}"/>
    <cellStyle name="Normal 210 42" xfId="27624" xr:uid="{00000000-0005-0000-0000-0000EE6B0000}"/>
    <cellStyle name="Normal 210 42 2" xfId="27625" xr:uid="{00000000-0005-0000-0000-0000EF6B0000}"/>
    <cellStyle name="Normal 210 43" xfId="27626" xr:uid="{00000000-0005-0000-0000-0000F06B0000}"/>
    <cellStyle name="Normal 210 43 2" xfId="27627" xr:uid="{00000000-0005-0000-0000-0000F16B0000}"/>
    <cellStyle name="Normal 210 44" xfId="27628" xr:uid="{00000000-0005-0000-0000-0000F26B0000}"/>
    <cellStyle name="Normal 210 44 2" xfId="27629" xr:uid="{00000000-0005-0000-0000-0000F36B0000}"/>
    <cellStyle name="Normal 210 45" xfId="27630" xr:uid="{00000000-0005-0000-0000-0000F46B0000}"/>
    <cellStyle name="Normal 210 45 2" xfId="27631" xr:uid="{00000000-0005-0000-0000-0000F56B0000}"/>
    <cellStyle name="Normal 210 46" xfId="27632" xr:uid="{00000000-0005-0000-0000-0000F66B0000}"/>
    <cellStyle name="Normal 210 46 2" xfId="27633" xr:uid="{00000000-0005-0000-0000-0000F76B0000}"/>
    <cellStyle name="Normal 210 47" xfId="27634" xr:uid="{00000000-0005-0000-0000-0000F86B0000}"/>
    <cellStyle name="Normal 210 47 2" xfId="27635" xr:uid="{00000000-0005-0000-0000-0000F96B0000}"/>
    <cellStyle name="Normal 210 48" xfId="27636" xr:uid="{00000000-0005-0000-0000-0000FA6B0000}"/>
    <cellStyle name="Normal 210 48 2" xfId="27637" xr:uid="{00000000-0005-0000-0000-0000FB6B0000}"/>
    <cellStyle name="Normal 210 49" xfId="27638" xr:uid="{00000000-0005-0000-0000-0000FC6B0000}"/>
    <cellStyle name="Normal 210 49 2" xfId="27639" xr:uid="{00000000-0005-0000-0000-0000FD6B0000}"/>
    <cellStyle name="Normal 210 5" xfId="27640" xr:uid="{00000000-0005-0000-0000-0000FE6B0000}"/>
    <cellStyle name="Normal 210 5 2" xfId="27641" xr:uid="{00000000-0005-0000-0000-0000FF6B0000}"/>
    <cellStyle name="Normal 210 50" xfId="27642" xr:uid="{00000000-0005-0000-0000-0000006C0000}"/>
    <cellStyle name="Normal 210 50 2" xfId="27643" xr:uid="{00000000-0005-0000-0000-0000016C0000}"/>
    <cellStyle name="Normal 210 51" xfId="27644" xr:uid="{00000000-0005-0000-0000-0000026C0000}"/>
    <cellStyle name="Normal 210 51 2" xfId="27645" xr:uid="{00000000-0005-0000-0000-0000036C0000}"/>
    <cellStyle name="Normal 210 52" xfId="27646" xr:uid="{00000000-0005-0000-0000-0000046C0000}"/>
    <cellStyle name="Normal 210 52 2" xfId="27647" xr:uid="{00000000-0005-0000-0000-0000056C0000}"/>
    <cellStyle name="Normal 210 53" xfId="27648" xr:uid="{00000000-0005-0000-0000-0000066C0000}"/>
    <cellStyle name="Normal 210 53 2" xfId="27649" xr:uid="{00000000-0005-0000-0000-0000076C0000}"/>
    <cellStyle name="Normal 210 54" xfId="27650" xr:uid="{00000000-0005-0000-0000-0000086C0000}"/>
    <cellStyle name="Normal 210 54 2" xfId="27651" xr:uid="{00000000-0005-0000-0000-0000096C0000}"/>
    <cellStyle name="Normal 210 55" xfId="27652" xr:uid="{00000000-0005-0000-0000-00000A6C0000}"/>
    <cellStyle name="Normal 210 55 2" xfId="27653" xr:uid="{00000000-0005-0000-0000-00000B6C0000}"/>
    <cellStyle name="Normal 210 56" xfId="27654" xr:uid="{00000000-0005-0000-0000-00000C6C0000}"/>
    <cellStyle name="Normal 210 56 2" xfId="27655" xr:uid="{00000000-0005-0000-0000-00000D6C0000}"/>
    <cellStyle name="Normal 210 57" xfId="27656" xr:uid="{00000000-0005-0000-0000-00000E6C0000}"/>
    <cellStyle name="Normal 210 57 2" xfId="27657" xr:uid="{00000000-0005-0000-0000-00000F6C0000}"/>
    <cellStyle name="Normal 210 58" xfId="27658" xr:uid="{00000000-0005-0000-0000-0000106C0000}"/>
    <cellStyle name="Normal 210 58 2" xfId="27659" xr:uid="{00000000-0005-0000-0000-0000116C0000}"/>
    <cellStyle name="Normal 210 59" xfId="27660" xr:uid="{00000000-0005-0000-0000-0000126C0000}"/>
    <cellStyle name="Normal 210 59 2" xfId="27661" xr:uid="{00000000-0005-0000-0000-0000136C0000}"/>
    <cellStyle name="Normal 210 6" xfId="27662" xr:uid="{00000000-0005-0000-0000-0000146C0000}"/>
    <cellStyle name="Normal 210 6 2" xfId="27663" xr:uid="{00000000-0005-0000-0000-0000156C0000}"/>
    <cellStyle name="Normal 210 60" xfId="27664" xr:uid="{00000000-0005-0000-0000-0000166C0000}"/>
    <cellStyle name="Normal 210 60 2" xfId="27665" xr:uid="{00000000-0005-0000-0000-0000176C0000}"/>
    <cellStyle name="Normal 210 61" xfId="27666" xr:uid="{00000000-0005-0000-0000-0000186C0000}"/>
    <cellStyle name="Normal 210 61 2" xfId="27667" xr:uid="{00000000-0005-0000-0000-0000196C0000}"/>
    <cellStyle name="Normal 210 62" xfId="27668" xr:uid="{00000000-0005-0000-0000-00001A6C0000}"/>
    <cellStyle name="Normal 210 62 2" xfId="27669" xr:uid="{00000000-0005-0000-0000-00001B6C0000}"/>
    <cellStyle name="Normal 210 62 3" xfId="27670" xr:uid="{00000000-0005-0000-0000-00001C6C0000}"/>
    <cellStyle name="Normal 210 63" xfId="27671" xr:uid="{00000000-0005-0000-0000-00001D6C0000}"/>
    <cellStyle name="Normal 210 7" xfId="27672" xr:uid="{00000000-0005-0000-0000-00001E6C0000}"/>
    <cellStyle name="Normal 210 7 2" xfId="27673" xr:uid="{00000000-0005-0000-0000-00001F6C0000}"/>
    <cellStyle name="Normal 210 8" xfId="27674" xr:uid="{00000000-0005-0000-0000-0000206C0000}"/>
    <cellStyle name="Normal 210 8 2" xfId="27675" xr:uid="{00000000-0005-0000-0000-0000216C0000}"/>
    <cellStyle name="Normal 210 9" xfId="27676" xr:uid="{00000000-0005-0000-0000-0000226C0000}"/>
    <cellStyle name="Normal 210 9 2" xfId="27677" xr:uid="{00000000-0005-0000-0000-0000236C0000}"/>
    <cellStyle name="Normal 211" xfId="27678" xr:uid="{00000000-0005-0000-0000-0000246C0000}"/>
    <cellStyle name="Normal 211 2" xfId="27679" xr:uid="{00000000-0005-0000-0000-0000256C0000}"/>
    <cellStyle name="Normal 212" xfId="27680" xr:uid="{00000000-0005-0000-0000-0000266C0000}"/>
    <cellStyle name="Normal 212 2" xfId="27681" xr:uid="{00000000-0005-0000-0000-0000276C0000}"/>
    <cellStyle name="Normal 213" xfId="27682" xr:uid="{00000000-0005-0000-0000-0000286C0000}"/>
    <cellStyle name="Normal 213 2" xfId="27683" xr:uid="{00000000-0005-0000-0000-0000296C0000}"/>
    <cellStyle name="Normal 214" xfId="27684" xr:uid="{00000000-0005-0000-0000-00002A6C0000}"/>
    <cellStyle name="Normal 214 2" xfId="27685" xr:uid="{00000000-0005-0000-0000-00002B6C0000}"/>
    <cellStyle name="Normal 215" xfId="27686" xr:uid="{00000000-0005-0000-0000-00002C6C0000}"/>
    <cellStyle name="Normal 215 10" xfId="27687" xr:uid="{00000000-0005-0000-0000-00002D6C0000}"/>
    <cellStyle name="Normal 215 10 2" xfId="27688" xr:uid="{00000000-0005-0000-0000-00002E6C0000}"/>
    <cellStyle name="Normal 215 11" xfId="27689" xr:uid="{00000000-0005-0000-0000-00002F6C0000}"/>
    <cellStyle name="Normal 215 11 2" xfId="27690" xr:uid="{00000000-0005-0000-0000-0000306C0000}"/>
    <cellStyle name="Normal 215 12" xfId="27691" xr:uid="{00000000-0005-0000-0000-0000316C0000}"/>
    <cellStyle name="Normal 215 12 2" xfId="27692" xr:uid="{00000000-0005-0000-0000-0000326C0000}"/>
    <cellStyle name="Normal 215 13" xfId="27693" xr:uid="{00000000-0005-0000-0000-0000336C0000}"/>
    <cellStyle name="Normal 215 13 2" xfId="27694" xr:uid="{00000000-0005-0000-0000-0000346C0000}"/>
    <cellStyle name="Normal 215 14" xfId="27695" xr:uid="{00000000-0005-0000-0000-0000356C0000}"/>
    <cellStyle name="Normal 215 14 2" xfId="27696" xr:uid="{00000000-0005-0000-0000-0000366C0000}"/>
    <cellStyle name="Normal 215 15" xfId="27697" xr:uid="{00000000-0005-0000-0000-0000376C0000}"/>
    <cellStyle name="Normal 215 15 2" xfId="27698" xr:uid="{00000000-0005-0000-0000-0000386C0000}"/>
    <cellStyle name="Normal 215 16" xfId="27699" xr:uid="{00000000-0005-0000-0000-0000396C0000}"/>
    <cellStyle name="Normal 215 16 2" xfId="27700" xr:uid="{00000000-0005-0000-0000-00003A6C0000}"/>
    <cellStyle name="Normal 215 17" xfId="27701" xr:uid="{00000000-0005-0000-0000-00003B6C0000}"/>
    <cellStyle name="Normal 215 17 2" xfId="27702" xr:uid="{00000000-0005-0000-0000-00003C6C0000}"/>
    <cellStyle name="Normal 215 18" xfId="27703" xr:uid="{00000000-0005-0000-0000-00003D6C0000}"/>
    <cellStyle name="Normal 215 18 2" xfId="27704" xr:uid="{00000000-0005-0000-0000-00003E6C0000}"/>
    <cellStyle name="Normal 215 19" xfId="27705" xr:uid="{00000000-0005-0000-0000-00003F6C0000}"/>
    <cellStyle name="Normal 215 19 2" xfId="27706" xr:uid="{00000000-0005-0000-0000-0000406C0000}"/>
    <cellStyle name="Normal 215 2" xfId="27707" xr:uid="{00000000-0005-0000-0000-0000416C0000}"/>
    <cellStyle name="Normal 215 2 2" xfId="27708" xr:uid="{00000000-0005-0000-0000-0000426C0000}"/>
    <cellStyle name="Normal 215 20" xfId="27709" xr:uid="{00000000-0005-0000-0000-0000436C0000}"/>
    <cellStyle name="Normal 215 20 2" xfId="27710" xr:uid="{00000000-0005-0000-0000-0000446C0000}"/>
    <cellStyle name="Normal 215 21" xfId="27711" xr:uid="{00000000-0005-0000-0000-0000456C0000}"/>
    <cellStyle name="Normal 215 21 2" xfId="27712" xr:uid="{00000000-0005-0000-0000-0000466C0000}"/>
    <cellStyle name="Normal 215 22" xfId="27713" xr:uid="{00000000-0005-0000-0000-0000476C0000}"/>
    <cellStyle name="Normal 215 22 2" xfId="27714" xr:uid="{00000000-0005-0000-0000-0000486C0000}"/>
    <cellStyle name="Normal 215 23" xfId="27715" xr:uid="{00000000-0005-0000-0000-0000496C0000}"/>
    <cellStyle name="Normal 215 23 2" xfId="27716" xr:uid="{00000000-0005-0000-0000-00004A6C0000}"/>
    <cellStyle name="Normal 215 24" xfId="27717" xr:uid="{00000000-0005-0000-0000-00004B6C0000}"/>
    <cellStyle name="Normal 215 24 2" xfId="27718" xr:uid="{00000000-0005-0000-0000-00004C6C0000}"/>
    <cellStyle name="Normal 215 25" xfId="27719" xr:uid="{00000000-0005-0000-0000-00004D6C0000}"/>
    <cellStyle name="Normal 215 25 2" xfId="27720" xr:uid="{00000000-0005-0000-0000-00004E6C0000}"/>
    <cellStyle name="Normal 215 26" xfId="27721" xr:uid="{00000000-0005-0000-0000-00004F6C0000}"/>
    <cellStyle name="Normal 215 26 2" xfId="27722" xr:uid="{00000000-0005-0000-0000-0000506C0000}"/>
    <cellStyle name="Normal 215 27" xfId="27723" xr:uid="{00000000-0005-0000-0000-0000516C0000}"/>
    <cellStyle name="Normal 215 27 2" xfId="27724" xr:uid="{00000000-0005-0000-0000-0000526C0000}"/>
    <cellStyle name="Normal 215 28" xfId="27725" xr:uid="{00000000-0005-0000-0000-0000536C0000}"/>
    <cellStyle name="Normal 215 28 2" xfId="27726" xr:uid="{00000000-0005-0000-0000-0000546C0000}"/>
    <cellStyle name="Normal 215 29" xfId="27727" xr:uid="{00000000-0005-0000-0000-0000556C0000}"/>
    <cellStyle name="Normal 215 29 2" xfId="27728" xr:uid="{00000000-0005-0000-0000-0000566C0000}"/>
    <cellStyle name="Normal 215 3" xfId="27729" xr:uid="{00000000-0005-0000-0000-0000576C0000}"/>
    <cellStyle name="Normal 215 3 2" xfId="27730" xr:uid="{00000000-0005-0000-0000-0000586C0000}"/>
    <cellStyle name="Normal 215 30" xfId="27731" xr:uid="{00000000-0005-0000-0000-0000596C0000}"/>
    <cellStyle name="Normal 215 30 2" xfId="27732" xr:uid="{00000000-0005-0000-0000-00005A6C0000}"/>
    <cellStyle name="Normal 215 31" xfId="27733" xr:uid="{00000000-0005-0000-0000-00005B6C0000}"/>
    <cellStyle name="Normal 215 31 2" xfId="27734" xr:uid="{00000000-0005-0000-0000-00005C6C0000}"/>
    <cellStyle name="Normal 215 32" xfId="27735" xr:uid="{00000000-0005-0000-0000-00005D6C0000}"/>
    <cellStyle name="Normal 215 32 2" xfId="27736" xr:uid="{00000000-0005-0000-0000-00005E6C0000}"/>
    <cellStyle name="Normal 215 33" xfId="27737" xr:uid="{00000000-0005-0000-0000-00005F6C0000}"/>
    <cellStyle name="Normal 215 33 2" xfId="27738" xr:uid="{00000000-0005-0000-0000-0000606C0000}"/>
    <cellStyle name="Normal 215 34" xfId="27739" xr:uid="{00000000-0005-0000-0000-0000616C0000}"/>
    <cellStyle name="Normal 215 34 2" xfId="27740" xr:uid="{00000000-0005-0000-0000-0000626C0000}"/>
    <cellStyle name="Normal 215 35" xfId="27741" xr:uid="{00000000-0005-0000-0000-0000636C0000}"/>
    <cellStyle name="Normal 215 35 2" xfId="27742" xr:uid="{00000000-0005-0000-0000-0000646C0000}"/>
    <cellStyle name="Normal 215 36" xfId="27743" xr:uid="{00000000-0005-0000-0000-0000656C0000}"/>
    <cellStyle name="Normal 215 36 2" xfId="27744" xr:uid="{00000000-0005-0000-0000-0000666C0000}"/>
    <cellStyle name="Normal 215 37" xfId="27745" xr:uid="{00000000-0005-0000-0000-0000676C0000}"/>
    <cellStyle name="Normal 215 37 2" xfId="27746" xr:uid="{00000000-0005-0000-0000-0000686C0000}"/>
    <cellStyle name="Normal 215 38" xfId="27747" xr:uid="{00000000-0005-0000-0000-0000696C0000}"/>
    <cellStyle name="Normal 215 38 2" xfId="27748" xr:uid="{00000000-0005-0000-0000-00006A6C0000}"/>
    <cellStyle name="Normal 215 39" xfId="27749" xr:uid="{00000000-0005-0000-0000-00006B6C0000}"/>
    <cellStyle name="Normal 215 39 2" xfId="27750" xr:uid="{00000000-0005-0000-0000-00006C6C0000}"/>
    <cellStyle name="Normal 215 4" xfId="27751" xr:uid="{00000000-0005-0000-0000-00006D6C0000}"/>
    <cellStyle name="Normal 215 4 2" xfId="27752" xr:uid="{00000000-0005-0000-0000-00006E6C0000}"/>
    <cellStyle name="Normal 215 40" xfId="27753" xr:uid="{00000000-0005-0000-0000-00006F6C0000}"/>
    <cellStyle name="Normal 215 40 2" xfId="27754" xr:uid="{00000000-0005-0000-0000-0000706C0000}"/>
    <cellStyle name="Normal 215 41" xfId="27755" xr:uid="{00000000-0005-0000-0000-0000716C0000}"/>
    <cellStyle name="Normal 215 41 2" xfId="27756" xr:uid="{00000000-0005-0000-0000-0000726C0000}"/>
    <cellStyle name="Normal 215 42" xfId="27757" xr:uid="{00000000-0005-0000-0000-0000736C0000}"/>
    <cellStyle name="Normal 215 42 2" xfId="27758" xr:uid="{00000000-0005-0000-0000-0000746C0000}"/>
    <cellStyle name="Normal 215 43" xfId="27759" xr:uid="{00000000-0005-0000-0000-0000756C0000}"/>
    <cellStyle name="Normal 215 43 2" xfId="27760" xr:uid="{00000000-0005-0000-0000-0000766C0000}"/>
    <cellStyle name="Normal 215 44" xfId="27761" xr:uid="{00000000-0005-0000-0000-0000776C0000}"/>
    <cellStyle name="Normal 215 44 2" xfId="27762" xr:uid="{00000000-0005-0000-0000-0000786C0000}"/>
    <cellStyle name="Normal 215 45" xfId="27763" xr:uid="{00000000-0005-0000-0000-0000796C0000}"/>
    <cellStyle name="Normal 215 45 2" xfId="27764" xr:uid="{00000000-0005-0000-0000-00007A6C0000}"/>
    <cellStyle name="Normal 215 46" xfId="27765" xr:uid="{00000000-0005-0000-0000-00007B6C0000}"/>
    <cellStyle name="Normal 215 46 2" xfId="27766" xr:uid="{00000000-0005-0000-0000-00007C6C0000}"/>
    <cellStyle name="Normal 215 47" xfId="27767" xr:uid="{00000000-0005-0000-0000-00007D6C0000}"/>
    <cellStyle name="Normal 215 47 2" xfId="27768" xr:uid="{00000000-0005-0000-0000-00007E6C0000}"/>
    <cellStyle name="Normal 215 48" xfId="27769" xr:uid="{00000000-0005-0000-0000-00007F6C0000}"/>
    <cellStyle name="Normal 215 48 2" xfId="27770" xr:uid="{00000000-0005-0000-0000-0000806C0000}"/>
    <cellStyle name="Normal 215 49" xfId="27771" xr:uid="{00000000-0005-0000-0000-0000816C0000}"/>
    <cellStyle name="Normal 215 49 2" xfId="27772" xr:uid="{00000000-0005-0000-0000-0000826C0000}"/>
    <cellStyle name="Normal 215 5" xfId="27773" xr:uid="{00000000-0005-0000-0000-0000836C0000}"/>
    <cellStyle name="Normal 215 5 2" xfId="27774" xr:uid="{00000000-0005-0000-0000-0000846C0000}"/>
    <cellStyle name="Normal 215 50" xfId="27775" xr:uid="{00000000-0005-0000-0000-0000856C0000}"/>
    <cellStyle name="Normal 215 50 2" xfId="27776" xr:uid="{00000000-0005-0000-0000-0000866C0000}"/>
    <cellStyle name="Normal 215 51" xfId="27777" xr:uid="{00000000-0005-0000-0000-0000876C0000}"/>
    <cellStyle name="Normal 215 51 2" xfId="27778" xr:uid="{00000000-0005-0000-0000-0000886C0000}"/>
    <cellStyle name="Normal 215 52" xfId="27779" xr:uid="{00000000-0005-0000-0000-0000896C0000}"/>
    <cellStyle name="Normal 215 52 2" xfId="27780" xr:uid="{00000000-0005-0000-0000-00008A6C0000}"/>
    <cellStyle name="Normal 215 53" xfId="27781" xr:uid="{00000000-0005-0000-0000-00008B6C0000}"/>
    <cellStyle name="Normal 215 53 2" xfId="27782" xr:uid="{00000000-0005-0000-0000-00008C6C0000}"/>
    <cellStyle name="Normal 215 54" xfId="27783" xr:uid="{00000000-0005-0000-0000-00008D6C0000}"/>
    <cellStyle name="Normal 215 54 2" xfId="27784" xr:uid="{00000000-0005-0000-0000-00008E6C0000}"/>
    <cellStyle name="Normal 215 55" xfId="27785" xr:uid="{00000000-0005-0000-0000-00008F6C0000}"/>
    <cellStyle name="Normal 215 55 2" xfId="27786" xr:uid="{00000000-0005-0000-0000-0000906C0000}"/>
    <cellStyle name="Normal 215 56" xfId="27787" xr:uid="{00000000-0005-0000-0000-0000916C0000}"/>
    <cellStyle name="Normal 215 56 2" xfId="27788" xr:uid="{00000000-0005-0000-0000-0000926C0000}"/>
    <cellStyle name="Normal 215 57" xfId="27789" xr:uid="{00000000-0005-0000-0000-0000936C0000}"/>
    <cellStyle name="Normal 215 57 2" xfId="27790" xr:uid="{00000000-0005-0000-0000-0000946C0000}"/>
    <cellStyle name="Normal 215 58" xfId="27791" xr:uid="{00000000-0005-0000-0000-0000956C0000}"/>
    <cellStyle name="Normal 215 58 2" xfId="27792" xr:uid="{00000000-0005-0000-0000-0000966C0000}"/>
    <cellStyle name="Normal 215 59" xfId="27793" xr:uid="{00000000-0005-0000-0000-0000976C0000}"/>
    <cellStyle name="Normal 215 59 2" xfId="27794" xr:uid="{00000000-0005-0000-0000-0000986C0000}"/>
    <cellStyle name="Normal 215 6" xfId="27795" xr:uid="{00000000-0005-0000-0000-0000996C0000}"/>
    <cellStyle name="Normal 215 6 2" xfId="27796" xr:uid="{00000000-0005-0000-0000-00009A6C0000}"/>
    <cellStyle name="Normal 215 60" xfId="27797" xr:uid="{00000000-0005-0000-0000-00009B6C0000}"/>
    <cellStyle name="Normal 215 60 2" xfId="27798" xr:uid="{00000000-0005-0000-0000-00009C6C0000}"/>
    <cellStyle name="Normal 215 61" xfId="27799" xr:uid="{00000000-0005-0000-0000-00009D6C0000}"/>
    <cellStyle name="Normal 215 61 2" xfId="27800" xr:uid="{00000000-0005-0000-0000-00009E6C0000}"/>
    <cellStyle name="Normal 215 62" xfId="27801" xr:uid="{00000000-0005-0000-0000-00009F6C0000}"/>
    <cellStyle name="Normal 215 62 2" xfId="27802" xr:uid="{00000000-0005-0000-0000-0000A06C0000}"/>
    <cellStyle name="Normal 215 62 3" xfId="27803" xr:uid="{00000000-0005-0000-0000-0000A16C0000}"/>
    <cellStyle name="Normal 215 63" xfId="27804" xr:uid="{00000000-0005-0000-0000-0000A26C0000}"/>
    <cellStyle name="Normal 215 7" xfId="27805" xr:uid="{00000000-0005-0000-0000-0000A36C0000}"/>
    <cellStyle name="Normal 215 7 2" xfId="27806" xr:uid="{00000000-0005-0000-0000-0000A46C0000}"/>
    <cellStyle name="Normal 215 8" xfId="27807" xr:uid="{00000000-0005-0000-0000-0000A56C0000}"/>
    <cellStyle name="Normal 215 8 2" xfId="27808" xr:uid="{00000000-0005-0000-0000-0000A66C0000}"/>
    <cellStyle name="Normal 215 9" xfId="27809" xr:uid="{00000000-0005-0000-0000-0000A76C0000}"/>
    <cellStyle name="Normal 215 9 2" xfId="27810" xr:uid="{00000000-0005-0000-0000-0000A86C0000}"/>
    <cellStyle name="Normal 216" xfId="27811" xr:uid="{00000000-0005-0000-0000-0000A96C0000}"/>
    <cellStyle name="Normal 216 10" xfId="27812" xr:uid="{00000000-0005-0000-0000-0000AA6C0000}"/>
    <cellStyle name="Normal 216 10 2" xfId="27813" xr:uid="{00000000-0005-0000-0000-0000AB6C0000}"/>
    <cellStyle name="Normal 216 11" xfId="27814" xr:uid="{00000000-0005-0000-0000-0000AC6C0000}"/>
    <cellStyle name="Normal 216 11 2" xfId="27815" xr:uid="{00000000-0005-0000-0000-0000AD6C0000}"/>
    <cellStyle name="Normal 216 12" xfId="27816" xr:uid="{00000000-0005-0000-0000-0000AE6C0000}"/>
    <cellStyle name="Normal 216 12 2" xfId="27817" xr:uid="{00000000-0005-0000-0000-0000AF6C0000}"/>
    <cellStyle name="Normal 216 13" xfId="27818" xr:uid="{00000000-0005-0000-0000-0000B06C0000}"/>
    <cellStyle name="Normal 216 13 2" xfId="27819" xr:uid="{00000000-0005-0000-0000-0000B16C0000}"/>
    <cellStyle name="Normal 216 14" xfId="27820" xr:uid="{00000000-0005-0000-0000-0000B26C0000}"/>
    <cellStyle name="Normal 216 14 2" xfId="27821" xr:uid="{00000000-0005-0000-0000-0000B36C0000}"/>
    <cellStyle name="Normal 216 15" xfId="27822" xr:uid="{00000000-0005-0000-0000-0000B46C0000}"/>
    <cellStyle name="Normal 216 15 2" xfId="27823" xr:uid="{00000000-0005-0000-0000-0000B56C0000}"/>
    <cellStyle name="Normal 216 16" xfId="27824" xr:uid="{00000000-0005-0000-0000-0000B66C0000}"/>
    <cellStyle name="Normal 216 16 2" xfId="27825" xr:uid="{00000000-0005-0000-0000-0000B76C0000}"/>
    <cellStyle name="Normal 216 17" xfId="27826" xr:uid="{00000000-0005-0000-0000-0000B86C0000}"/>
    <cellStyle name="Normal 216 17 2" xfId="27827" xr:uid="{00000000-0005-0000-0000-0000B96C0000}"/>
    <cellStyle name="Normal 216 18" xfId="27828" xr:uid="{00000000-0005-0000-0000-0000BA6C0000}"/>
    <cellStyle name="Normal 216 18 2" xfId="27829" xr:uid="{00000000-0005-0000-0000-0000BB6C0000}"/>
    <cellStyle name="Normal 216 19" xfId="27830" xr:uid="{00000000-0005-0000-0000-0000BC6C0000}"/>
    <cellStyle name="Normal 216 19 2" xfId="27831" xr:uid="{00000000-0005-0000-0000-0000BD6C0000}"/>
    <cellStyle name="Normal 216 2" xfId="27832" xr:uid="{00000000-0005-0000-0000-0000BE6C0000}"/>
    <cellStyle name="Normal 216 2 2" xfId="27833" xr:uid="{00000000-0005-0000-0000-0000BF6C0000}"/>
    <cellStyle name="Normal 216 20" xfId="27834" xr:uid="{00000000-0005-0000-0000-0000C06C0000}"/>
    <cellStyle name="Normal 216 20 2" xfId="27835" xr:uid="{00000000-0005-0000-0000-0000C16C0000}"/>
    <cellStyle name="Normal 216 21" xfId="27836" xr:uid="{00000000-0005-0000-0000-0000C26C0000}"/>
    <cellStyle name="Normal 216 21 2" xfId="27837" xr:uid="{00000000-0005-0000-0000-0000C36C0000}"/>
    <cellStyle name="Normal 216 22" xfId="27838" xr:uid="{00000000-0005-0000-0000-0000C46C0000}"/>
    <cellStyle name="Normal 216 22 2" xfId="27839" xr:uid="{00000000-0005-0000-0000-0000C56C0000}"/>
    <cellStyle name="Normal 216 23" xfId="27840" xr:uid="{00000000-0005-0000-0000-0000C66C0000}"/>
    <cellStyle name="Normal 216 23 2" xfId="27841" xr:uid="{00000000-0005-0000-0000-0000C76C0000}"/>
    <cellStyle name="Normal 216 24" xfId="27842" xr:uid="{00000000-0005-0000-0000-0000C86C0000}"/>
    <cellStyle name="Normal 216 24 2" xfId="27843" xr:uid="{00000000-0005-0000-0000-0000C96C0000}"/>
    <cellStyle name="Normal 216 25" xfId="27844" xr:uid="{00000000-0005-0000-0000-0000CA6C0000}"/>
    <cellStyle name="Normal 216 25 2" xfId="27845" xr:uid="{00000000-0005-0000-0000-0000CB6C0000}"/>
    <cellStyle name="Normal 216 26" xfId="27846" xr:uid="{00000000-0005-0000-0000-0000CC6C0000}"/>
    <cellStyle name="Normal 216 26 2" xfId="27847" xr:uid="{00000000-0005-0000-0000-0000CD6C0000}"/>
    <cellStyle name="Normal 216 27" xfId="27848" xr:uid="{00000000-0005-0000-0000-0000CE6C0000}"/>
    <cellStyle name="Normal 216 27 2" xfId="27849" xr:uid="{00000000-0005-0000-0000-0000CF6C0000}"/>
    <cellStyle name="Normal 216 28" xfId="27850" xr:uid="{00000000-0005-0000-0000-0000D06C0000}"/>
    <cellStyle name="Normal 216 28 2" xfId="27851" xr:uid="{00000000-0005-0000-0000-0000D16C0000}"/>
    <cellStyle name="Normal 216 29" xfId="27852" xr:uid="{00000000-0005-0000-0000-0000D26C0000}"/>
    <cellStyle name="Normal 216 29 2" xfId="27853" xr:uid="{00000000-0005-0000-0000-0000D36C0000}"/>
    <cellStyle name="Normal 216 3" xfId="27854" xr:uid="{00000000-0005-0000-0000-0000D46C0000}"/>
    <cellStyle name="Normal 216 3 2" xfId="27855" xr:uid="{00000000-0005-0000-0000-0000D56C0000}"/>
    <cellStyle name="Normal 216 30" xfId="27856" xr:uid="{00000000-0005-0000-0000-0000D66C0000}"/>
    <cellStyle name="Normal 216 30 2" xfId="27857" xr:uid="{00000000-0005-0000-0000-0000D76C0000}"/>
    <cellStyle name="Normal 216 31" xfId="27858" xr:uid="{00000000-0005-0000-0000-0000D86C0000}"/>
    <cellStyle name="Normal 216 31 2" xfId="27859" xr:uid="{00000000-0005-0000-0000-0000D96C0000}"/>
    <cellStyle name="Normal 216 32" xfId="27860" xr:uid="{00000000-0005-0000-0000-0000DA6C0000}"/>
    <cellStyle name="Normal 216 32 2" xfId="27861" xr:uid="{00000000-0005-0000-0000-0000DB6C0000}"/>
    <cellStyle name="Normal 216 33" xfId="27862" xr:uid="{00000000-0005-0000-0000-0000DC6C0000}"/>
    <cellStyle name="Normal 216 33 2" xfId="27863" xr:uid="{00000000-0005-0000-0000-0000DD6C0000}"/>
    <cellStyle name="Normal 216 34" xfId="27864" xr:uid="{00000000-0005-0000-0000-0000DE6C0000}"/>
    <cellStyle name="Normal 216 34 2" xfId="27865" xr:uid="{00000000-0005-0000-0000-0000DF6C0000}"/>
    <cellStyle name="Normal 216 35" xfId="27866" xr:uid="{00000000-0005-0000-0000-0000E06C0000}"/>
    <cellStyle name="Normal 216 35 2" xfId="27867" xr:uid="{00000000-0005-0000-0000-0000E16C0000}"/>
    <cellStyle name="Normal 216 36" xfId="27868" xr:uid="{00000000-0005-0000-0000-0000E26C0000}"/>
    <cellStyle name="Normal 216 36 2" xfId="27869" xr:uid="{00000000-0005-0000-0000-0000E36C0000}"/>
    <cellStyle name="Normal 216 37" xfId="27870" xr:uid="{00000000-0005-0000-0000-0000E46C0000}"/>
    <cellStyle name="Normal 216 37 2" xfId="27871" xr:uid="{00000000-0005-0000-0000-0000E56C0000}"/>
    <cellStyle name="Normal 216 38" xfId="27872" xr:uid="{00000000-0005-0000-0000-0000E66C0000}"/>
    <cellStyle name="Normal 216 38 2" xfId="27873" xr:uid="{00000000-0005-0000-0000-0000E76C0000}"/>
    <cellStyle name="Normal 216 39" xfId="27874" xr:uid="{00000000-0005-0000-0000-0000E86C0000}"/>
    <cellStyle name="Normal 216 39 2" xfId="27875" xr:uid="{00000000-0005-0000-0000-0000E96C0000}"/>
    <cellStyle name="Normal 216 4" xfId="27876" xr:uid="{00000000-0005-0000-0000-0000EA6C0000}"/>
    <cellStyle name="Normal 216 4 2" xfId="27877" xr:uid="{00000000-0005-0000-0000-0000EB6C0000}"/>
    <cellStyle name="Normal 216 40" xfId="27878" xr:uid="{00000000-0005-0000-0000-0000EC6C0000}"/>
    <cellStyle name="Normal 216 40 2" xfId="27879" xr:uid="{00000000-0005-0000-0000-0000ED6C0000}"/>
    <cellStyle name="Normal 216 41" xfId="27880" xr:uid="{00000000-0005-0000-0000-0000EE6C0000}"/>
    <cellStyle name="Normal 216 41 2" xfId="27881" xr:uid="{00000000-0005-0000-0000-0000EF6C0000}"/>
    <cellStyle name="Normal 216 42" xfId="27882" xr:uid="{00000000-0005-0000-0000-0000F06C0000}"/>
    <cellStyle name="Normal 216 42 2" xfId="27883" xr:uid="{00000000-0005-0000-0000-0000F16C0000}"/>
    <cellStyle name="Normal 216 43" xfId="27884" xr:uid="{00000000-0005-0000-0000-0000F26C0000}"/>
    <cellStyle name="Normal 216 43 2" xfId="27885" xr:uid="{00000000-0005-0000-0000-0000F36C0000}"/>
    <cellStyle name="Normal 216 44" xfId="27886" xr:uid="{00000000-0005-0000-0000-0000F46C0000}"/>
    <cellStyle name="Normal 216 44 2" xfId="27887" xr:uid="{00000000-0005-0000-0000-0000F56C0000}"/>
    <cellStyle name="Normal 216 45" xfId="27888" xr:uid="{00000000-0005-0000-0000-0000F66C0000}"/>
    <cellStyle name="Normal 216 45 2" xfId="27889" xr:uid="{00000000-0005-0000-0000-0000F76C0000}"/>
    <cellStyle name="Normal 216 46" xfId="27890" xr:uid="{00000000-0005-0000-0000-0000F86C0000}"/>
    <cellStyle name="Normal 216 46 2" xfId="27891" xr:uid="{00000000-0005-0000-0000-0000F96C0000}"/>
    <cellStyle name="Normal 216 47" xfId="27892" xr:uid="{00000000-0005-0000-0000-0000FA6C0000}"/>
    <cellStyle name="Normal 216 47 2" xfId="27893" xr:uid="{00000000-0005-0000-0000-0000FB6C0000}"/>
    <cellStyle name="Normal 216 48" xfId="27894" xr:uid="{00000000-0005-0000-0000-0000FC6C0000}"/>
    <cellStyle name="Normal 216 48 2" xfId="27895" xr:uid="{00000000-0005-0000-0000-0000FD6C0000}"/>
    <cellStyle name="Normal 216 49" xfId="27896" xr:uid="{00000000-0005-0000-0000-0000FE6C0000}"/>
    <cellStyle name="Normal 216 49 2" xfId="27897" xr:uid="{00000000-0005-0000-0000-0000FF6C0000}"/>
    <cellStyle name="Normal 216 5" xfId="27898" xr:uid="{00000000-0005-0000-0000-0000006D0000}"/>
    <cellStyle name="Normal 216 5 2" xfId="27899" xr:uid="{00000000-0005-0000-0000-0000016D0000}"/>
    <cellStyle name="Normal 216 50" xfId="27900" xr:uid="{00000000-0005-0000-0000-0000026D0000}"/>
    <cellStyle name="Normal 216 50 2" xfId="27901" xr:uid="{00000000-0005-0000-0000-0000036D0000}"/>
    <cellStyle name="Normal 216 51" xfId="27902" xr:uid="{00000000-0005-0000-0000-0000046D0000}"/>
    <cellStyle name="Normal 216 51 2" xfId="27903" xr:uid="{00000000-0005-0000-0000-0000056D0000}"/>
    <cellStyle name="Normal 216 52" xfId="27904" xr:uid="{00000000-0005-0000-0000-0000066D0000}"/>
    <cellStyle name="Normal 216 52 2" xfId="27905" xr:uid="{00000000-0005-0000-0000-0000076D0000}"/>
    <cellStyle name="Normal 216 53" xfId="27906" xr:uid="{00000000-0005-0000-0000-0000086D0000}"/>
    <cellStyle name="Normal 216 53 2" xfId="27907" xr:uid="{00000000-0005-0000-0000-0000096D0000}"/>
    <cellStyle name="Normal 216 54" xfId="27908" xr:uid="{00000000-0005-0000-0000-00000A6D0000}"/>
    <cellStyle name="Normal 216 54 2" xfId="27909" xr:uid="{00000000-0005-0000-0000-00000B6D0000}"/>
    <cellStyle name="Normal 216 55" xfId="27910" xr:uid="{00000000-0005-0000-0000-00000C6D0000}"/>
    <cellStyle name="Normal 216 55 2" xfId="27911" xr:uid="{00000000-0005-0000-0000-00000D6D0000}"/>
    <cellStyle name="Normal 216 56" xfId="27912" xr:uid="{00000000-0005-0000-0000-00000E6D0000}"/>
    <cellStyle name="Normal 216 56 2" xfId="27913" xr:uid="{00000000-0005-0000-0000-00000F6D0000}"/>
    <cellStyle name="Normal 216 57" xfId="27914" xr:uid="{00000000-0005-0000-0000-0000106D0000}"/>
    <cellStyle name="Normal 216 57 2" xfId="27915" xr:uid="{00000000-0005-0000-0000-0000116D0000}"/>
    <cellStyle name="Normal 216 58" xfId="27916" xr:uid="{00000000-0005-0000-0000-0000126D0000}"/>
    <cellStyle name="Normal 216 58 2" xfId="27917" xr:uid="{00000000-0005-0000-0000-0000136D0000}"/>
    <cellStyle name="Normal 216 59" xfId="27918" xr:uid="{00000000-0005-0000-0000-0000146D0000}"/>
    <cellStyle name="Normal 216 59 2" xfId="27919" xr:uid="{00000000-0005-0000-0000-0000156D0000}"/>
    <cellStyle name="Normal 216 6" xfId="27920" xr:uid="{00000000-0005-0000-0000-0000166D0000}"/>
    <cellStyle name="Normal 216 6 2" xfId="27921" xr:uid="{00000000-0005-0000-0000-0000176D0000}"/>
    <cellStyle name="Normal 216 60" xfId="27922" xr:uid="{00000000-0005-0000-0000-0000186D0000}"/>
    <cellStyle name="Normal 216 60 2" xfId="27923" xr:uid="{00000000-0005-0000-0000-0000196D0000}"/>
    <cellStyle name="Normal 216 61" xfId="27924" xr:uid="{00000000-0005-0000-0000-00001A6D0000}"/>
    <cellStyle name="Normal 216 61 2" xfId="27925" xr:uid="{00000000-0005-0000-0000-00001B6D0000}"/>
    <cellStyle name="Normal 216 62" xfId="27926" xr:uid="{00000000-0005-0000-0000-00001C6D0000}"/>
    <cellStyle name="Normal 216 62 2" xfId="27927" xr:uid="{00000000-0005-0000-0000-00001D6D0000}"/>
    <cellStyle name="Normal 216 62 3" xfId="27928" xr:uid="{00000000-0005-0000-0000-00001E6D0000}"/>
    <cellStyle name="Normal 216 63" xfId="27929" xr:uid="{00000000-0005-0000-0000-00001F6D0000}"/>
    <cellStyle name="Normal 216 7" xfId="27930" xr:uid="{00000000-0005-0000-0000-0000206D0000}"/>
    <cellStyle name="Normal 216 7 2" xfId="27931" xr:uid="{00000000-0005-0000-0000-0000216D0000}"/>
    <cellStyle name="Normal 216 8" xfId="27932" xr:uid="{00000000-0005-0000-0000-0000226D0000}"/>
    <cellStyle name="Normal 216 8 2" xfId="27933" xr:uid="{00000000-0005-0000-0000-0000236D0000}"/>
    <cellStyle name="Normal 216 9" xfId="27934" xr:uid="{00000000-0005-0000-0000-0000246D0000}"/>
    <cellStyle name="Normal 216 9 2" xfId="27935" xr:uid="{00000000-0005-0000-0000-0000256D0000}"/>
    <cellStyle name="Normal 217" xfId="27936" xr:uid="{00000000-0005-0000-0000-0000266D0000}"/>
    <cellStyle name="Normal 217 2" xfId="27937" xr:uid="{00000000-0005-0000-0000-0000276D0000}"/>
    <cellStyle name="Normal 218" xfId="27938" xr:uid="{00000000-0005-0000-0000-0000286D0000}"/>
    <cellStyle name="Normal 218 2" xfId="27939" xr:uid="{00000000-0005-0000-0000-0000296D0000}"/>
    <cellStyle name="Normal 219" xfId="27940" xr:uid="{00000000-0005-0000-0000-00002A6D0000}"/>
    <cellStyle name="Normal 219 2" xfId="27941" xr:uid="{00000000-0005-0000-0000-00002B6D0000}"/>
    <cellStyle name="Normal 22" xfId="27942" xr:uid="{00000000-0005-0000-0000-00002C6D0000}"/>
    <cellStyle name="Normal 22 10" xfId="27943" xr:uid="{00000000-0005-0000-0000-00002D6D0000}"/>
    <cellStyle name="Normal 22 10 2" xfId="27944" xr:uid="{00000000-0005-0000-0000-00002E6D0000}"/>
    <cellStyle name="Normal 22 11" xfId="27945" xr:uid="{00000000-0005-0000-0000-00002F6D0000}"/>
    <cellStyle name="Normal 22 11 2" xfId="27946" xr:uid="{00000000-0005-0000-0000-0000306D0000}"/>
    <cellStyle name="Normal 22 12" xfId="27947" xr:uid="{00000000-0005-0000-0000-0000316D0000}"/>
    <cellStyle name="Normal 22 12 2" xfId="27948" xr:uid="{00000000-0005-0000-0000-0000326D0000}"/>
    <cellStyle name="Normal 22 13" xfId="27949" xr:uid="{00000000-0005-0000-0000-0000336D0000}"/>
    <cellStyle name="Normal 22 13 2" xfId="27950" xr:uid="{00000000-0005-0000-0000-0000346D0000}"/>
    <cellStyle name="Normal 22 14" xfId="27951" xr:uid="{00000000-0005-0000-0000-0000356D0000}"/>
    <cellStyle name="Normal 22 14 2" xfId="27952" xr:uid="{00000000-0005-0000-0000-0000366D0000}"/>
    <cellStyle name="Normal 22 15" xfId="27953" xr:uid="{00000000-0005-0000-0000-0000376D0000}"/>
    <cellStyle name="Normal 22 15 2" xfId="27954" xr:uid="{00000000-0005-0000-0000-0000386D0000}"/>
    <cellStyle name="Normal 22 16" xfId="27955" xr:uid="{00000000-0005-0000-0000-0000396D0000}"/>
    <cellStyle name="Normal 22 16 2" xfId="27956" xr:uid="{00000000-0005-0000-0000-00003A6D0000}"/>
    <cellStyle name="Normal 22 17" xfId="27957" xr:uid="{00000000-0005-0000-0000-00003B6D0000}"/>
    <cellStyle name="Normal 22 17 2" xfId="27958" xr:uid="{00000000-0005-0000-0000-00003C6D0000}"/>
    <cellStyle name="Normal 22 18" xfId="27959" xr:uid="{00000000-0005-0000-0000-00003D6D0000}"/>
    <cellStyle name="Normal 22 18 2" xfId="27960" xr:uid="{00000000-0005-0000-0000-00003E6D0000}"/>
    <cellStyle name="Normal 22 19" xfId="27961" xr:uid="{00000000-0005-0000-0000-00003F6D0000}"/>
    <cellStyle name="Normal 22 19 2" xfId="27962" xr:uid="{00000000-0005-0000-0000-0000406D0000}"/>
    <cellStyle name="Normal 22 2" xfId="27963" xr:uid="{00000000-0005-0000-0000-0000416D0000}"/>
    <cellStyle name="Normal 22 2 2" xfId="27964" xr:uid="{00000000-0005-0000-0000-0000426D0000}"/>
    <cellStyle name="Normal 22 20" xfId="27965" xr:uid="{00000000-0005-0000-0000-0000436D0000}"/>
    <cellStyle name="Normal 22 20 2" xfId="27966" xr:uid="{00000000-0005-0000-0000-0000446D0000}"/>
    <cellStyle name="Normal 22 21" xfId="27967" xr:uid="{00000000-0005-0000-0000-0000456D0000}"/>
    <cellStyle name="Normal 22 21 2" xfId="27968" xr:uid="{00000000-0005-0000-0000-0000466D0000}"/>
    <cellStyle name="Normal 22 22" xfId="27969" xr:uid="{00000000-0005-0000-0000-0000476D0000}"/>
    <cellStyle name="Normal 22 22 2" xfId="27970" xr:uid="{00000000-0005-0000-0000-0000486D0000}"/>
    <cellStyle name="Normal 22 23" xfId="27971" xr:uid="{00000000-0005-0000-0000-0000496D0000}"/>
    <cellStyle name="Normal 22 23 2" xfId="27972" xr:uid="{00000000-0005-0000-0000-00004A6D0000}"/>
    <cellStyle name="Normal 22 24" xfId="27973" xr:uid="{00000000-0005-0000-0000-00004B6D0000}"/>
    <cellStyle name="Normal 22 24 2" xfId="27974" xr:uid="{00000000-0005-0000-0000-00004C6D0000}"/>
    <cellStyle name="Normal 22 25" xfId="27975" xr:uid="{00000000-0005-0000-0000-00004D6D0000}"/>
    <cellStyle name="Normal 22 25 2" xfId="27976" xr:uid="{00000000-0005-0000-0000-00004E6D0000}"/>
    <cellStyle name="Normal 22 26" xfId="27977" xr:uid="{00000000-0005-0000-0000-00004F6D0000}"/>
    <cellStyle name="Normal 22 26 2" xfId="27978" xr:uid="{00000000-0005-0000-0000-0000506D0000}"/>
    <cellStyle name="Normal 22 27" xfId="27979" xr:uid="{00000000-0005-0000-0000-0000516D0000}"/>
    <cellStyle name="Normal 22 27 2" xfId="27980" xr:uid="{00000000-0005-0000-0000-0000526D0000}"/>
    <cellStyle name="Normal 22 28" xfId="27981" xr:uid="{00000000-0005-0000-0000-0000536D0000}"/>
    <cellStyle name="Normal 22 28 2" xfId="27982" xr:uid="{00000000-0005-0000-0000-0000546D0000}"/>
    <cellStyle name="Normal 22 29" xfId="27983" xr:uid="{00000000-0005-0000-0000-0000556D0000}"/>
    <cellStyle name="Normal 22 29 2" xfId="27984" xr:uid="{00000000-0005-0000-0000-0000566D0000}"/>
    <cellStyle name="Normal 22 3" xfId="27985" xr:uid="{00000000-0005-0000-0000-0000576D0000}"/>
    <cellStyle name="Normal 22 3 2" xfId="27986" xr:uid="{00000000-0005-0000-0000-0000586D0000}"/>
    <cellStyle name="Normal 22 30" xfId="27987" xr:uid="{00000000-0005-0000-0000-0000596D0000}"/>
    <cellStyle name="Normal 22 30 2" xfId="27988" xr:uid="{00000000-0005-0000-0000-00005A6D0000}"/>
    <cellStyle name="Normal 22 31" xfId="27989" xr:uid="{00000000-0005-0000-0000-00005B6D0000}"/>
    <cellStyle name="Normal 22 31 2" xfId="27990" xr:uid="{00000000-0005-0000-0000-00005C6D0000}"/>
    <cellStyle name="Normal 22 32" xfId="27991" xr:uid="{00000000-0005-0000-0000-00005D6D0000}"/>
    <cellStyle name="Normal 22 32 2" xfId="27992" xr:uid="{00000000-0005-0000-0000-00005E6D0000}"/>
    <cellStyle name="Normal 22 33" xfId="27993" xr:uid="{00000000-0005-0000-0000-00005F6D0000}"/>
    <cellStyle name="Normal 22 33 2" xfId="27994" xr:uid="{00000000-0005-0000-0000-0000606D0000}"/>
    <cellStyle name="Normal 22 34" xfId="27995" xr:uid="{00000000-0005-0000-0000-0000616D0000}"/>
    <cellStyle name="Normal 22 34 2" xfId="27996" xr:uid="{00000000-0005-0000-0000-0000626D0000}"/>
    <cellStyle name="Normal 22 35" xfId="27997" xr:uid="{00000000-0005-0000-0000-0000636D0000}"/>
    <cellStyle name="Normal 22 35 2" xfId="27998" xr:uid="{00000000-0005-0000-0000-0000646D0000}"/>
    <cellStyle name="Normal 22 36" xfId="27999" xr:uid="{00000000-0005-0000-0000-0000656D0000}"/>
    <cellStyle name="Normal 22 36 2" xfId="28000" xr:uid="{00000000-0005-0000-0000-0000666D0000}"/>
    <cellStyle name="Normal 22 37" xfId="28001" xr:uid="{00000000-0005-0000-0000-0000676D0000}"/>
    <cellStyle name="Normal 22 37 2" xfId="28002" xr:uid="{00000000-0005-0000-0000-0000686D0000}"/>
    <cellStyle name="Normal 22 38" xfId="28003" xr:uid="{00000000-0005-0000-0000-0000696D0000}"/>
    <cellStyle name="Normal 22 38 2" xfId="28004" xr:uid="{00000000-0005-0000-0000-00006A6D0000}"/>
    <cellStyle name="Normal 22 39" xfId="28005" xr:uid="{00000000-0005-0000-0000-00006B6D0000}"/>
    <cellStyle name="Normal 22 39 2" xfId="28006" xr:uid="{00000000-0005-0000-0000-00006C6D0000}"/>
    <cellStyle name="Normal 22 4" xfId="28007" xr:uid="{00000000-0005-0000-0000-00006D6D0000}"/>
    <cellStyle name="Normal 22 4 2" xfId="28008" xr:uid="{00000000-0005-0000-0000-00006E6D0000}"/>
    <cellStyle name="Normal 22 40" xfId="28009" xr:uid="{00000000-0005-0000-0000-00006F6D0000}"/>
    <cellStyle name="Normal 22 40 2" xfId="28010" xr:uid="{00000000-0005-0000-0000-0000706D0000}"/>
    <cellStyle name="Normal 22 41" xfId="28011" xr:uid="{00000000-0005-0000-0000-0000716D0000}"/>
    <cellStyle name="Normal 22 41 2" xfId="28012" xr:uid="{00000000-0005-0000-0000-0000726D0000}"/>
    <cellStyle name="Normal 22 42" xfId="28013" xr:uid="{00000000-0005-0000-0000-0000736D0000}"/>
    <cellStyle name="Normal 22 42 2" xfId="28014" xr:uid="{00000000-0005-0000-0000-0000746D0000}"/>
    <cellStyle name="Normal 22 43" xfId="28015" xr:uid="{00000000-0005-0000-0000-0000756D0000}"/>
    <cellStyle name="Normal 22 43 2" xfId="28016" xr:uid="{00000000-0005-0000-0000-0000766D0000}"/>
    <cellStyle name="Normal 22 44" xfId="28017" xr:uid="{00000000-0005-0000-0000-0000776D0000}"/>
    <cellStyle name="Normal 22 44 2" xfId="28018" xr:uid="{00000000-0005-0000-0000-0000786D0000}"/>
    <cellStyle name="Normal 22 45" xfId="28019" xr:uid="{00000000-0005-0000-0000-0000796D0000}"/>
    <cellStyle name="Normal 22 45 2" xfId="28020" xr:uid="{00000000-0005-0000-0000-00007A6D0000}"/>
    <cellStyle name="Normal 22 46" xfId="28021" xr:uid="{00000000-0005-0000-0000-00007B6D0000}"/>
    <cellStyle name="Normal 22 46 2" xfId="28022" xr:uid="{00000000-0005-0000-0000-00007C6D0000}"/>
    <cellStyle name="Normal 22 47" xfId="28023" xr:uid="{00000000-0005-0000-0000-00007D6D0000}"/>
    <cellStyle name="Normal 22 47 2" xfId="28024" xr:uid="{00000000-0005-0000-0000-00007E6D0000}"/>
    <cellStyle name="Normal 22 48" xfId="28025" xr:uid="{00000000-0005-0000-0000-00007F6D0000}"/>
    <cellStyle name="Normal 22 48 2" xfId="28026" xr:uid="{00000000-0005-0000-0000-0000806D0000}"/>
    <cellStyle name="Normal 22 49" xfId="28027" xr:uid="{00000000-0005-0000-0000-0000816D0000}"/>
    <cellStyle name="Normal 22 49 2" xfId="28028" xr:uid="{00000000-0005-0000-0000-0000826D0000}"/>
    <cellStyle name="Normal 22 5" xfId="28029" xr:uid="{00000000-0005-0000-0000-0000836D0000}"/>
    <cellStyle name="Normal 22 5 2" xfId="28030" xr:uid="{00000000-0005-0000-0000-0000846D0000}"/>
    <cellStyle name="Normal 22 50" xfId="28031" xr:uid="{00000000-0005-0000-0000-0000856D0000}"/>
    <cellStyle name="Normal 22 50 2" xfId="28032" xr:uid="{00000000-0005-0000-0000-0000866D0000}"/>
    <cellStyle name="Normal 22 51" xfId="28033" xr:uid="{00000000-0005-0000-0000-0000876D0000}"/>
    <cellStyle name="Normal 22 51 2" xfId="28034" xr:uid="{00000000-0005-0000-0000-0000886D0000}"/>
    <cellStyle name="Normal 22 52" xfId="28035" xr:uid="{00000000-0005-0000-0000-0000896D0000}"/>
    <cellStyle name="Normal 22 52 2" xfId="28036" xr:uid="{00000000-0005-0000-0000-00008A6D0000}"/>
    <cellStyle name="Normal 22 53" xfId="28037" xr:uid="{00000000-0005-0000-0000-00008B6D0000}"/>
    <cellStyle name="Normal 22 53 2" xfId="28038" xr:uid="{00000000-0005-0000-0000-00008C6D0000}"/>
    <cellStyle name="Normal 22 54" xfId="28039" xr:uid="{00000000-0005-0000-0000-00008D6D0000}"/>
    <cellStyle name="Normal 22 54 2" xfId="28040" xr:uid="{00000000-0005-0000-0000-00008E6D0000}"/>
    <cellStyle name="Normal 22 55" xfId="28041" xr:uid="{00000000-0005-0000-0000-00008F6D0000}"/>
    <cellStyle name="Normal 22 55 2" xfId="28042" xr:uid="{00000000-0005-0000-0000-0000906D0000}"/>
    <cellStyle name="Normal 22 56" xfId="28043" xr:uid="{00000000-0005-0000-0000-0000916D0000}"/>
    <cellStyle name="Normal 22 56 2" xfId="28044" xr:uid="{00000000-0005-0000-0000-0000926D0000}"/>
    <cellStyle name="Normal 22 57" xfId="28045" xr:uid="{00000000-0005-0000-0000-0000936D0000}"/>
    <cellStyle name="Normal 22 57 2" xfId="28046" xr:uid="{00000000-0005-0000-0000-0000946D0000}"/>
    <cellStyle name="Normal 22 58" xfId="28047" xr:uid="{00000000-0005-0000-0000-0000956D0000}"/>
    <cellStyle name="Normal 22 58 2" xfId="28048" xr:uid="{00000000-0005-0000-0000-0000966D0000}"/>
    <cellStyle name="Normal 22 59" xfId="28049" xr:uid="{00000000-0005-0000-0000-0000976D0000}"/>
    <cellStyle name="Normal 22 6" xfId="28050" xr:uid="{00000000-0005-0000-0000-0000986D0000}"/>
    <cellStyle name="Normal 22 6 2" xfId="28051" xr:uid="{00000000-0005-0000-0000-0000996D0000}"/>
    <cellStyle name="Normal 22 60" xfId="28052" xr:uid="{00000000-0005-0000-0000-00009A6D0000}"/>
    <cellStyle name="Normal 22 7" xfId="28053" xr:uid="{00000000-0005-0000-0000-00009B6D0000}"/>
    <cellStyle name="Normal 22 7 2" xfId="28054" xr:uid="{00000000-0005-0000-0000-00009C6D0000}"/>
    <cellStyle name="Normal 22 8" xfId="28055" xr:uid="{00000000-0005-0000-0000-00009D6D0000}"/>
    <cellStyle name="Normal 22 8 2" xfId="28056" xr:uid="{00000000-0005-0000-0000-00009E6D0000}"/>
    <cellStyle name="Normal 22 9" xfId="28057" xr:uid="{00000000-0005-0000-0000-00009F6D0000}"/>
    <cellStyle name="Normal 22 9 2" xfId="28058" xr:uid="{00000000-0005-0000-0000-0000A06D0000}"/>
    <cellStyle name="Normal 220" xfId="28059" xr:uid="{00000000-0005-0000-0000-0000A16D0000}"/>
    <cellStyle name="Normal 220 10" xfId="28060" xr:uid="{00000000-0005-0000-0000-0000A26D0000}"/>
    <cellStyle name="Normal 220 10 2" xfId="28061" xr:uid="{00000000-0005-0000-0000-0000A36D0000}"/>
    <cellStyle name="Normal 220 11" xfId="28062" xr:uid="{00000000-0005-0000-0000-0000A46D0000}"/>
    <cellStyle name="Normal 220 11 2" xfId="28063" xr:uid="{00000000-0005-0000-0000-0000A56D0000}"/>
    <cellStyle name="Normal 220 12" xfId="28064" xr:uid="{00000000-0005-0000-0000-0000A66D0000}"/>
    <cellStyle name="Normal 220 12 2" xfId="28065" xr:uid="{00000000-0005-0000-0000-0000A76D0000}"/>
    <cellStyle name="Normal 220 13" xfId="28066" xr:uid="{00000000-0005-0000-0000-0000A86D0000}"/>
    <cellStyle name="Normal 220 13 2" xfId="28067" xr:uid="{00000000-0005-0000-0000-0000A96D0000}"/>
    <cellStyle name="Normal 220 14" xfId="28068" xr:uid="{00000000-0005-0000-0000-0000AA6D0000}"/>
    <cellStyle name="Normal 220 14 2" xfId="28069" xr:uid="{00000000-0005-0000-0000-0000AB6D0000}"/>
    <cellStyle name="Normal 220 15" xfId="28070" xr:uid="{00000000-0005-0000-0000-0000AC6D0000}"/>
    <cellStyle name="Normal 220 15 2" xfId="28071" xr:uid="{00000000-0005-0000-0000-0000AD6D0000}"/>
    <cellStyle name="Normal 220 16" xfId="28072" xr:uid="{00000000-0005-0000-0000-0000AE6D0000}"/>
    <cellStyle name="Normal 220 16 2" xfId="28073" xr:uid="{00000000-0005-0000-0000-0000AF6D0000}"/>
    <cellStyle name="Normal 220 17" xfId="28074" xr:uid="{00000000-0005-0000-0000-0000B06D0000}"/>
    <cellStyle name="Normal 220 17 2" xfId="28075" xr:uid="{00000000-0005-0000-0000-0000B16D0000}"/>
    <cellStyle name="Normal 220 18" xfId="28076" xr:uid="{00000000-0005-0000-0000-0000B26D0000}"/>
    <cellStyle name="Normal 220 18 2" xfId="28077" xr:uid="{00000000-0005-0000-0000-0000B36D0000}"/>
    <cellStyle name="Normal 220 19" xfId="28078" xr:uid="{00000000-0005-0000-0000-0000B46D0000}"/>
    <cellStyle name="Normal 220 19 2" xfId="28079" xr:uid="{00000000-0005-0000-0000-0000B56D0000}"/>
    <cellStyle name="Normal 220 2" xfId="28080" xr:uid="{00000000-0005-0000-0000-0000B66D0000}"/>
    <cellStyle name="Normal 220 2 2" xfId="28081" xr:uid="{00000000-0005-0000-0000-0000B76D0000}"/>
    <cellStyle name="Normal 220 20" xfId="28082" xr:uid="{00000000-0005-0000-0000-0000B86D0000}"/>
    <cellStyle name="Normal 220 20 2" xfId="28083" xr:uid="{00000000-0005-0000-0000-0000B96D0000}"/>
    <cellStyle name="Normal 220 21" xfId="28084" xr:uid="{00000000-0005-0000-0000-0000BA6D0000}"/>
    <cellStyle name="Normal 220 21 2" xfId="28085" xr:uid="{00000000-0005-0000-0000-0000BB6D0000}"/>
    <cellStyle name="Normal 220 22" xfId="28086" xr:uid="{00000000-0005-0000-0000-0000BC6D0000}"/>
    <cellStyle name="Normal 220 22 2" xfId="28087" xr:uid="{00000000-0005-0000-0000-0000BD6D0000}"/>
    <cellStyle name="Normal 220 23" xfId="28088" xr:uid="{00000000-0005-0000-0000-0000BE6D0000}"/>
    <cellStyle name="Normal 220 23 2" xfId="28089" xr:uid="{00000000-0005-0000-0000-0000BF6D0000}"/>
    <cellStyle name="Normal 220 24" xfId="28090" xr:uid="{00000000-0005-0000-0000-0000C06D0000}"/>
    <cellStyle name="Normal 220 24 2" xfId="28091" xr:uid="{00000000-0005-0000-0000-0000C16D0000}"/>
    <cellStyle name="Normal 220 25" xfId="28092" xr:uid="{00000000-0005-0000-0000-0000C26D0000}"/>
    <cellStyle name="Normal 220 25 2" xfId="28093" xr:uid="{00000000-0005-0000-0000-0000C36D0000}"/>
    <cellStyle name="Normal 220 26" xfId="28094" xr:uid="{00000000-0005-0000-0000-0000C46D0000}"/>
    <cellStyle name="Normal 220 26 2" xfId="28095" xr:uid="{00000000-0005-0000-0000-0000C56D0000}"/>
    <cellStyle name="Normal 220 27" xfId="28096" xr:uid="{00000000-0005-0000-0000-0000C66D0000}"/>
    <cellStyle name="Normal 220 27 2" xfId="28097" xr:uid="{00000000-0005-0000-0000-0000C76D0000}"/>
    <cellStyle name="Normal 220 28" xfId="28098" xr:uid="{00000000-0005-0000-0000-0000C86D0000}"/>
    <cellStyle name="Normal 220 28 2" xfId="28099" xr:uid="{00000000-0005-0000-0000-0000C96D0000}"/>
    <cellStyle name="Normal 220 29" xfId="28100" xr:uid="{00000000-0005-0000-0000-0000CA6D0000}"/>
    <cellStyle name="Normal 220 29 2" xfId="28101" xr:uid="{00000000-0005-0000-0000-0000CB6D0000}"/>
    <cellStyle name="Normal 220 3" xfId="28102" xr:uid="{00000000-0005-0000-0000-0000CC6D0000}"/>
    <cellStyle name="Normal 220 3 2" xfId="28103" xr:uid="{00000000-0005-0000-0000-0000CD6D0000}"/>
    <cellStyle name="Normal 220 30" xfId="28104" xr:uid="{00000000-0005-0000-0000-0000CE6D0000}"/>
    <cellStyle name="Normal 220 30 2" xfId="28105" xr:uid="{00000000-0005-0000-0000-0000CF6D0000}"/>
    <cellStyle name="Normal 220 31" xfId="28106" xr:uid="{00000000-0005-0000-0000-0000D06D0000}"/>
    <cellStyle name="Normal 220 31 2" xfId="28107" xr:uid="{00000000-0005-0000-0000-0000D16D0000}"/>
    <cellStyle name="Normal 220 32" xfId="28108" xr:uid="{00000000-0005-0000-0000-0000D26D0000}"/>
    <cellStyle name="Normal 220 32 2" xfId="28109" xr:uid="{00000000-0005-0000-0000-0000D36D0000}"/>
    <cellStyle name="Normal 220 33" xfId="28110" xr:uid="{00000000-0005-0000-0000-0000D46D0000}"/>
    <cellStyle name="Normal 220 33 2" xfId="28111" xr:uid="{00000000-0005-0000-0000-0000D56D0000}"/>
    <cellStyle name="Normal 220 34" xfId="28112" xr:uid="{00000000-0005-0000-0000-0000D66D0000}"/>
    <cellStyle name="Normal 220 34 2" xfId="28113" xr:uid="{00000000-0005-0000-0000-0000D76D0000}"/>
    <cellStyle name="Normal 220 35" xfId="28114" xr:uid="{00000000-0005-0000-0000-0000D86D0000}"/>
    <cellStyle name="Normal 220 35 2" xfId="28115" xr:uid="{00000000-0005-0000-0000-0000D96D0000}"/>
    <cellStyle name="Normal 220 36" xfId="28116" xr:uid="{00000000-0005-0000-0000-0000DA6D0000}"/>
    <cellStyle name="Normal 220 36 2" xfId="28117" xr:uid="{00000000-0005-0000-0000-0000DB6D0000}"/>
    <cellStyle name="Normal 220 37" xfId="28118" xr:uid="{00000000-0005-0000-0000-0000DC6D0000}"/>
    <cellStyle name="Normal 220 37 2" xfId="28119" xr:uid="{00000000-0005-0000-0000-0000DD6D0000}"/>
    <cellStyle name="Normal 220 38" xfId="28120" xr:uid="{00000000-0005-0000-0000-0000DE6D0000}"/>
    <cellStyle name="Normal 220 38 2" xfId="28121" xr:uid="{00000000-0005-0000-0000-0000DF6D0000}"/>
    <cellStyle name="Normal 220 39" xfId="28122" xr:uid="{00000000-0005-0000-0000-0000E06D0000}"/>
    <cellStyle name="Normal 220 39 2" xfId="28123" xr:uid="{00000000-0005-0000-0000-0000E16D0000}"/>
    <cellStyle name="Normal 220 4" xfId="28124" xr:uid="{00000000-0005-0000-0000-0000E26D0000}"/>
    <cellStyle name="Normal 220 4 2" xfId="28125" xr:uid="{00000000-0005-0000-0000-0000E36D0000}"/>
    <cellStyle name="Normal 220 40" xfId="28126" xr:uid="{00000000-0005-0000-0000-0000E46D0000}"/>
    <cellStyle name="Normal 220 40 2" xfId="28127" xr:uid="{00000000-0005-0000-0000-0000E56D0000}"/>
    <cellStyle name="Normal 220 41" xfId="28128" xr:uid="{00000000-0005-0000-0000-0000E66D0000}"/>
    <cellStyle name="Normal 220 41 2" xfId="28129" xr:uid="{00000000-0005-0000-0000-0000E76D0000}"/>
    <cellStyle name="Normal 220 42" xfId="28130" xr:uid="{00000000-0005-0000-0000-0000E86D0000}"/>
    <cellStyle name="Normal 220 42 2" xfId="28131" xr:uid="{00000000-0005-0000-0000-0000E96D0000}"/>
    <cellStyle name="Normal 220 43" xfId="28132" xr:uid="{00000000-0005-0000-0000-0000EA6D0000}"/>
    <cellStyle name="Normal 220 43 2" xfId="28133" xr:uid="{00000000-0005-0000-0000-0000EB6D0000}"/>
    <cellStyle name="Normal 220 44" xfId="28134" xr:uid="{00000000-0005-0000-0000-0000EC6D0000}"/>
    <cellStyle name="Normal 220 44 2" xfId="28135" xr:uid="{00000000-0005-0000-0000-0000ED6D0000}"/>
    <cellStyle name="Normal 220 45" xfId="28136" xr:uid="{00000000-0005-0000-0000-0000EE6D0000}"/>
    <cellStyle name="Normal 220 45 2" xfId="28137" xr:uid="{00000000-0005-0000-0000-0000EF6D0000}"/>
    <cellStyle name="Normal 220 46" xfId="28138" xr:uid="{00000000-0005-0000-0000-0000F06D0000}"/>
    <cellStyle name="Normal 220 46 2" xfId="28139" xr:uid="{00000000-0005-0000-0000-0000F16D0000}"/>
    <cellStyle name="Normal 220 47" xfId="28140" xr:uid="{00000000-0005-0000-0000-0000F26D0000}"/>
    <cellStyle name="Normal 220 47 2" xfId="28141" xr:uid="{00000000-0005-0000-0000-0000F36D0000}"/>
    <cellStyle name="Normal 220 48" xfId="28142" xr:uid="{00000000-0005-0000-0000-0000F46D0000}"/>
    <cellStyle name="Normal 220 48 2" xfId="28143" xr:uid="{00000000-0005-0000-0000-0000F56D0000}"/>
    <cellStyle name="Normal 220 49" xfId="28144" xr:uid="{00000000-0005-0000-0000-0000F66D0000}"/>
    <cellStyle name="Normal 220 49 2" xfId="28145" xr:uid="{00000000-0005-0000-0000-0000F76D0000}"/>
    <cellStyle name="Normal 220 5" xfId="28146" xr:uid="{00000000-0005-0000-0000-0000F86D0000}"/>
    <cellStyle name="Normal 220 5 2" xfId="28147" xr:uid="{00000000-0005-0000-0000-0000F96D0000}"/>
    <cellStyle name="Normal 220 50" xfId="28148" xr:uid="{00000000-0005-0000-0000-0000FA6D0000}"/>
    <cellStyle name="Normal 220 50 2" xfId="28149" xr:uid="{00000000-0005-0000-0000-0000FB6D0000}"/>
    <cellStyle name="Normal 220 51" xfId="28150" xr:uid="{00000000-0005-0000-0000-0000FC6D0000}"/>
    <cellStyle name="Normal 220 51 2" xfId="28151" xr:uid="{00000000-0005-0000-0000-0000FD6D0000}"/>
    <cellStyle name="Normal 220 52" xfId="28152" xr:uid="{00000000-0005-0000-0000-0000FE6D0000}"/>
    <cellStyle name="Normal 220 52 2" xfId="28153" xr:uid="{00000000-0005-0000-0000-0000FF6D0000}"/>
    <cellStyle name="Normal 220 53" xfId="28154" xr:uid="{00000000-0005-0000-0000-0000006E0000}"/>
    <cellStyle name="Normal 220 53 2" xfId="28155" xr:uid="{00000000-0005-0000-0000-0000016E0000}"/>
    <cellStyle name="Normal 220 54" xfId="28156" xr:uid="{00000000-0005-0000-0000-0000026E0000}"/>
    <cellStyle name="Normal 220 54 2" xfId="28157" xr:uid="{00000000-0005-0000-0000-0000036E0000}"/>
    <cellStyle name="Normal 220 55" xfId="28158" xr:uid="{00000000-0005-0000-0000-0000046E0000}"/>
    <cellStyle name="Normal 220 55 2" xfId="28159" xr:uid="{00000000-0005-0000-0000-0000056E0000}"/>
    <cellStyle name="Normal 220 56" xfId="28160" xr:uid="{00000000-0005-0000-0000-0000066E0000}"/>
    <cellStyle name="Normal 220 56 2" xfId="28161" xr:uid="{00000000-0005-0000-0000-0000076E0000}"/>
    <cellStyle name="Normal 220 57" xfId="28162" xr:uid="{00000000-0005-0000-0000-0000086E0000}"/>
    <cellStyle name="Normal 220 57 2" xfId="28163" xr:uid="{00000000-0005-0000-0000-0000096E0000}"/>
    <cellStyle name="Normal 220 58" xfId="28164" xr:uid="{00000000-0005-0000-0000-00000A6E0000}"/>
    <cellStyle name="Normal 220 58 2" xfId="28165" xr:uid="{00000000-0005-0000-0000-00000B6E0000}"/>
    <cellStyle name="Normal 220 59" xfId="28166" xr:uid="{00000000-0005-0000-0000-00000C6E0000}"/>
    <cellStyle name="Normal 220 59 2" xfId="28167" xr:uid="{00000000-0005-0000-0000-00000D6E0000}"/>
    <cellStyle name="Normal 220 6" xfId="28168" xr:uid="{00000000-0005-0000-0000-00000E6E0000}"/>
    <cellStyle name="Normal 220 6 2" xfId="28169" xr:uid="{00000000-0005-0000-0000-00000F6E0000}"/>
    <cellStyle name="Normal 220 60" xfId="28170" xr:uid="{00000000-0005-0000-0000-0000106E0000}"/>
    <cellStyle name="Normal 220 60 2" xfId="28171" xr:uid="{00000000-0005-0000-0000-0000116E0000}"/>
    <cellStyle name="Normal 220 61" xfId="28172" xr:uid="{00000000-0005-0000-0000-0000126E0000}"/>
    <cellStyle name="Normal 220 61 2" xfId="28173" xr:uid="{00000000-0005-0000-0000-0000136E0000}"/>
    <cellStyle name="Normal 220 62" xfId="28174" xr:uid="{00000000-0005-0000-0000-0000146E0000}"/>
    <cellStyle name="Normal 220 62 2" xfId="28175" xr:uid="{00000000-0005-0000-0000-0000156E0000}"/>
    <cellStyle name="Normal 220 62 3" xfId="28176" xr:uid="{00000000-0005-0000-0000-0000166E0000}"/>
    <cellStyle name="Normal 220 63" xfId="28177" xr:uid="{00000000-0005-0000-0000-0000176E0000}"/>
    <cellStyle name="Normal 220 7" xfId="28178" xr:uid="{00000000-0005-0000-0000-0000186E0000}"/>
    <cellStyle name="Normal 220 7 2" xfId="28179" xr:uid="{00000000-0005-0000-0000-0000196E0000}"/>
    <cellStyle name="Normal 220 8" xfId="28180" xr:uid="{00000000-0005-0000-0000-00001A6E0000}"/>
    <cellStyle name="Normal 220 8 2" xfId="28181" xr:uid="{00000000-0005-0000-0000-00001B6E0000}"/>
    <cellStyle name="Normal 220 9" xfId="28182" xr:uid="{00000000-0005-0000-0000-00001C6E0000}"/>
    <cellStyle name="Normal 220 9 2" xfId="28183" xr:uid="{00000000-0005-0000-0000-00001D6E0000}"/>
    <cellStyle name="Normal 221" xfId="28184" xr:uid="{00000000-0005-0000-0000-00001E6E0000}"/>
    <cellStyle name="Normal 221 2" xfId="28185" xr:uid="{00000000-0005-0000-0000-00001F6E0000}"/>
    <cellStyle name="Normal 222" xfId="28186" xr:uid="{00000000-0005-0000-0000-0000206E0000}"/>
    <cellStyle name="Normal 222 2" xfId="28187" xr:uid="{00000000-0005-0000-0000-0000216E0000}"/>
    <cellStyle name="Normal 223" xfId="28188" xr:uid="{00000000-0005-0000-0000-0000226E0000}"/>
    <cellStyle name="Normal 223 2" xfId="28189" xr:uid="{00000000-0005-0000-0000-0000236E0000}"/>
    <cellStyle name="Normal 224" xfId="28190" xr:uid="{00000000-0005-0000-0000-0000246E0000}"/>
    <cellStyle name="Normal 224 10" xfId="28191" xr:uid="{00000000-0005-0000-0000-0000256E0000}"/>
    <cellStyle name="Normal 224 10 2" xfId="28192" xr:uid="{00000000-0005-0000-0000-0000266E0000}"/>
    <cellStyle name="Normal 224 11" xfId="28193" xr:uid="{00000000-0005-0000-0000-0000276E0000}"/>
    <cellStyle name="Normal 224 11 2" xfId="28194" xr:uid="{00000000-0005-0000-0000-0000286E0000}"/>
    <cellStyle name="Normal 224 12" xfId="28195" xr:uid="{00000000-0005-0000-0000-0000296E0000}"/>
    <cellStyle name="Normal 224 12 2" xfId="28196" xr:uid="{00000000-0005-0000-0000-00002A6E0000}"/>
    <cellStyle name="Normal 224 13" xfId="28197" xr:uid="{00000000-0005-0000-0000-00002B6E0000}"/>
    <cellStyle name="Normal 224 13 2" xfId="28198" xr:uid="{00000000-0005-0000-0000-00002C6E0000}"/>
    <cellStyle name="Normal 224 14" xfId="28199" xr:uid="{00000000-0005-0000-0000-00002D6E0000}"/>
    <cellStyle name="Normal 224 14 2" xfId="28200" xr:uid="{00000000-0005-0000-0000-00002E6E0000}"/>
    <cellStyle name="Normal 224 15" xfId="28201" xr:uid="{00000000-0005-0000-0000-00002F6E0000}"/>
    <cellStyle name="Normal 224 15 2" xfId="28202" xr:uid="{00000000-0005-0000-0000-0000306E0000}"/>
    <cellStyle name="Normal 224 16" xfId="28203" xr:uid="{00000000-0005-0000-0000-0000316E0000}"/>
    <cellStyle name="Normal 224 16 2" xfId="28204" xr:uid="{00000000-0005-0000-0000-0000326E0000}"/>
    <cellStyle name="Normal 224 17" xfId="28205" xr:uid="{00000000-0005-0000-0000-0000336E0000}"/>
    <cellStyle name="Normal 224 17 2" xfId="28206" xr:uid="{00000000-0005-0000-0000-0000346E0000}"/>
    <cellStyle name="Normal 224 18" xfId="28207" xr:uid="{00000000-0005-0000-0000-0000356E0000}"/>
    <cellStyle name="Normal 224 18 2" xfId="28208" xr:uid="{00000000-0005-0000-0000-0000366E0000}"/>
    <cellStyle name="Normal 224 19" xfId="28209" xr:uid="{00000000-0005-0000-0000-0000376E0000}"/>
    <cellStyle name="Normal 224 19 2" xfId="28210" xr:uid="{00000000-0005-0000-0000-0000386E0000}"/>
    <cellStyle name="Normal 224 2" xfId="28211" xr:uid="{00000000-0005-0000-0000-0000396E0000}"/>
    <cellStyle name="Normal 224 2 2" xfId="28212" xr:uid="{00000000-0005-0000-0000-00003A6E0000}"/>
    <cellStyle name="Normal 224 20" xfId="28213" xr:uid="{00000000-0005-0000-0000-00003B6E0000}"/>
    <cellStyle name="Normal 224 20 2" xfId="28214" xr:uid="{00000000-0005-0000-0000-00003C6E0000}"/>
    <cellStyle name="Normal 224 21" xfId="28215" xr:uid="{00000000-0005-0000-0000-00003D6E0000}"/>
    <cellStyle name="Normal 224 21 2" xfId="28216" xr:uid="{00000000-0005-0000-0000-00003E6E0000}"/>
    <cellStyle name="Normal 224 22" xfId="28217" xr:uid="{00000000-0005-0000-0000-00003F6E0000}"/>
    <cellStyle name="Normal 224 22 2" xfId="28218" xr:uid="{00000000-0005-0000-0000-0000406E0000}"/>
    <cellStyle name="Normal 224 23" xfId="28219" xr:uid="{00000000-0005-0000-0000-0000416E0000}"/>
    <cellStyle name="Normal 224 23 2" xfId="28220" xr:uid="{00000000-0005-0000-0000-0000426E0000}"/>
    <cellStyle name="Normal 224 24" xfId="28221" xr:uid="{00000000-0005-0000-0000-0000436E0000}"/>
    <cellStyle name="Normal 224 24 2" xfId="28222" xr:uid="{00000000-0005-0000-0000-0000446E0000}"/>
    <cellStyle name="Normal 224 25" xfId="28223" xr:uid="{00000000-0005-0000-0000-0000456E0000}"/>
    <cellStyle name="Normal 224 25 2" xfId="28224" xr:uid="{00000000-0005-0000-0000-0000466E0000}"/>
    <cellStyle name="Normal 224 26" xfId="28225" xr:uid="{00000000-0005-0000-0000-0000476E0000}"/>
    <cellStyle name="Normal 224 26 2" xfId="28226" xr:uid="{00000000-0005-0000-0000-0000486E0000}"/>
    <cellStyle name="Normal 224 27" xfId="28227" xr:uid="{00000000-0005-0000-0000-0000496E0000}"/>
    <cellStyle name="Normal 224 27 2" xfId="28228" xr:uid="{00000000-0005-0000-0000-00004A6E0000}"/>
    <cellStyle name="Normal 224 28" xfId="28229" xr:uid="{00000000-0005-0000-0000-00004B6E0000}"/>
    <cellStyle name="Normal 224 28 2" xfId="28230" xr:uid="{00000000-0005-0000-0000-00004C6E0000}"/>
    <cellStyle name="Normal 224 29" xfId="28231" xr:uid="{00000000-0005-0000-0000-00004D6E0000}"/>
    <cellStyle name="Normal 224 29 2" xfId="28232" xr:uid="{00000000-0005-0000-0000-00004E6E0000}"/>
    <cellStyle name="Normal 224 3" xfId="28233" xr:uid="{00000000-0005-0000-0000-00004F6E0000}"/>
    <cellStyle name="Normal 224 3 2" xfId="28234" xr:uid="{00000000-0005-0000-0000-0000506E0000}"/>
    <cellStyle name="Normal 224 30" xfId="28235" xr:uid="{00000000-0005-0000-0000-0000516E0000}"/>
    <cellStyle name="Normal 224 30 2" xfId="28236" xr:uid="{00000000-0005-0000-0000-0000526E0000}"/>
    <cellStyle name="Normal 224 31" xfId="28237" xr:uid="{00000000-0005-0000-0000-0000536E0000}"/>
    <cellStyle name="Normal 224 31 2" xfId="28238" xr:uid="{00000000-0005-0000-0000-0000546E0000}"/>
    <cellStyle name="Normal 224 32" xfId="28239" xr:uid="{00000000-0005-0000-0000-0000556E0000}"/>
    <cellStyle name="Normal 224 32 2" xfId="28240" xr:uid="{00000000-0005-0000-0000-0000566E0000}"/>
    <cellStyle name="Normal 224 33" xfId="28241" xr:uid="{00000000-0005-0000-0000-0000576E0000}"/>
    <cellStyle name="Normal 224 33 2" xfId="28242" xr:uid="{00000000-0005-0000-0000-0000586E0000}"/>
    <cellStyle name="Normal 224 34" xfId="28243" xr:uid="{00000000-0005-0000-0000-0000596E0000}"/>
    <cellStyle name="Normal 224 34 2" xfId="28244" xr:uid="{00000000-0005-0000-0000-00005A6E0000}"/>
    <cellStyle name="Normal 224 35" xfId="28245" xr:uid="{00000000-0005-0000-0000-00005B6E0000}"/>
    <cellStyle name="Normal 224 35 2" xfId="28246" xr:uid="{00000000-0005-0000-0000-00005C6E0000}"/>
    <cellStyle name="Normal 224 36" xfId="28247" xr:uid="{00000000-0005-0000-0000-00005D6E0000}"/>
    <cellStyle name="Normal 224 36 2" xfId="28248" xr:uid="{00000000-0005-0000-0000-00005E6E0000}"/>
    <cellStyle name="Normal 224 37" xfId="28249" xr:uid="{00000000-0005-0000-0000-00005F6E0000}"/>
    <cellStyle name="Normal 224 37 2" xfId="28250" xr:uid="{00000000-0005-0000-0000-0000606E0000}"/>
    <cellStyle name="Normal 224 38" xfId="28251" xr:uid="{00000000-0005-0000-0000-0000616E0000}"/>
    <cellStyle name="Normal 224 38 2" xfId="28252" xr:uid="{00000000-0005-0000-0000-0000626E0000}"/>
    <cellStyle name="Normal 224 39" xfId="28253" xr:uid="{00000000-0005-0000-0000-0000636E0000}"/>
    <cellStyle name="Normal 224 39 2" xfId="28254" xr:uid="{00000000-0005-0000-0000-0000646E0000}"/>
    <cellStyle name="Normal 224 4" xfId="28255" xr:uid="{00000000-0005-0000-0000-0000656E0000}"/>
    <cellStyle name="Normal 224 4 2" xfId="28256" xr:uid="{00000000-0005-0000-0000-0000666E0000}"/>
    <cellStyle name="Normal 224 40" xfId="28257" xr:uid="{00000000-0005-0000-0000-0000676E0000}"/>
    <cellStyle name="Normal 224 40 2" xfId="28258" xr:uid="{00000000-0005-0000-0000-0000686E0000}"/>
    <cellStyle name="Normal 224 41" xfId="28259" xr:uid="{00000000-0005-0000-0000-0000696E0000}"/>
    <cellStyle name="Normal 224 41 2" xfId="28260" xr:uid="{00000000-0005-0000-0000-00006A6E0000}"/>
    <cellStyle name="Normal 224 42" xfId="28261" xr:uid="{00000000-0005-0000-0000-00006B6E0000}"/>
    <cellStyle name="Normal 224 42 2" xfId="28262" xr:uid="{00000000-0005-0000-0000-00006C6E0000}"/>
    <cellStyle name="Normal 224 43" xfId="28263" xr:uid="{00000000-0005-0000-0000-00006D6E0000}"/>
    <cellStyle name="Normal 224 43 2" xfId="28264" xr:uid="{00000000-0005-0000-0000-00006E6E0000}"/>
    <cellStyle name="Normal 224 44" xfId="28265" xr:uid="{00000000-0005-0000-0000-00006F6E0000}"/>
    <cellStyle name="Normal 224 44 2" xfId="28266" xr:uid="{00000000-0005-0000-0000-0000706E0000}"/>
    <cellStyle name="Normal 224 45" xfId="28267" xr:uid="{00000000-0005-0000-0000-0000716E0000}"/>
    <cellStyle name="Normal 224 45 2" xfId="28268" xr:uid="{00000000-0005-0000-0000-0000726E0000}"/>
    <cellStyle name="Normal 224 46" xfId="28269" xr:uid="{00000000-0005-0000-0000-0000736E0000}"/>
    <cellStyle name="Normal 224 46 2" xfId="28270" xr:uid="{00000000-0005-0000-0000-0000746E0000}"/>
    <cellStyle name="Normal 224 47" xfId="28271" xr:uid="{00000000-0005-0000-0000-0000756E0000}"/>
    <cellStyle name="Normal 224 47 2" xfId="28272" xr:uid="{00000000-0005-0000-0000-0000766E0000}"/>
    <cellStyle name="Normal 224 48" xfId="28273" xr:uid="{00000000-0005-0000-0000-0000776E0000}"/>
    <cellStyle name="Normal 224 48 2" xfId="28274" xr:uid="{00000000-0005-0000-0000-0000786E0000}"/>
    <cellStyle name="Normal 224 49" xfId="28275" xr:uid="{00000000-0005-0000-0000-0000796E0000}"/>
    <cellStyle name="Normal 224 49 2" xfId="28276" xr:uid="{00000000-0005-0000-0000-00007A6E0000}"/>
    <cellStyle name="Normal 224 5" xfId="28277" xr:uid="{00000000-0005-0000-0000-00007B6E0000}"/>
    <cellStyle name="Normal 224 5 2" xfId="28278" xr:uid="{00000000-0005-0000-0000-00007C6E0000}"/>
    <cellStyle name="Normal 224 50" xfId="28279" xr:uid="{00000000-0005-0000-0000-00007D6E0000}"/>
    <cellStyle name="Normal 224 50 2" xfId="28280" xr:uid="{00000000-0005-0000-0000-00007E6E0000}"/>
    <cellStyle name="Normal 224 51" xfId="28281" xr:uid="{00000000-0005-0000-0000-00007F6E0000}"/>
    <cellStyle name="Normal 224 51 2" xfId="28282" xr:uid="{00000000-0005-0000-0000-0000806E0000}"/>
    <cellStyle name="Normal 224 52" xfId="28283" xr:uid="{00000000-0005-0000-0000-0000816E0000}"/>
    <cellStyle name="Normal 224 52 2" xfId="28284" xr:uid="{00000000-0005-0000-0000-0000826E0000}"/>
    <cellStyle name="Normal 224 53" xfId="28285" xr:uid="{00000000-0005-0000-0000-0000836E0000}"/>
    <cellStyle name="Normal 224 53 2" xfId="28286" xr:uid="{00000000-0005-0000-0000-0000846E0000}"/>
    <cellStyle name="Normal 224 54" xfId="28287" xr:uid="{00000000-0005-0000-0000-0000856E0000}"/>
    <cellStyle name="Normal 224 54 2" xfId="28288" xr:uid="{00000000-0005-0000-0000-0000866E0000}"/>
    <cellStyle name="Normal 224 55" xfId="28289" xr:uid="{00000000-0005-0000-0000-0000876E0000}"/>
    <cellStyle name="Normal 224 55 2" xfId="28290" xr:uid="{00000000-0005-0000-0000-0000886E0000}"/>
    <cellStyle name="Normal 224 56" xfId="28291" xr:uid="{00000000-0005-0000-0000-0000896E0000}"/>
    <cellStyle name="Normal 224 56 2" xfId="28292" xr:uid="{00000000-0005-0000-0000-00008A6E0000}"/>
    <cellStyle name="Normal 224 57" xfId="28293" xr:uid="{00000000-0005-0000-0000-00008B6E0000}"/>
    <cellStyle name="Normal 224 57 2" xfId="28294" xr:uid="{00000000-0005-0000-0000-00008C6E0000}"/>
    <cellStyle name="Normal 224 58" xfId="28295" xr:uid="{00000000-0005-0000-0000-00008D6E0000}"/>
    <cellStyle name="Normal 224 58 2" xfId="28296" xr:uid="{00000000-0005-0000-0000-00008E6E0000}"/>
    <cellStyle name="Normal 224 59" xfId="28297" xr:uid="{00000000-0005-0000-0000-00008F6E0000}"/>
    <cellStyle name="Normal 224 59 2" xfId="28298" xr:uid="{00000000-0005-0000-0000-0000906E0000}"/>
    <cellStyle name="Normal 224 6" xfId="28299" xr:uid="{00000000-0005-0000-0000-0000916E0000}"/>
    <cellStyle name="Normal 224 6 2" xfId="28300" xr:uid="{00000000-0005-0000-0000-0000926E0000}"/>
    <cellStyle name="Normal 224 60" xfId="28301" xr:uid="{00000000-0005-0000-0000-0000936E0000}"/>
    <cellStyle name="Normal 224 60 2" xfId="28302" xr:uid="{00000000-0005-0000-0000-0000946E0000}"/>
    <cellStyle name="Normal 224 61" xfId="28303" xr:uid="{00000000-0005-0000-0000-0000956E0000}"/>
    <cellStyle name="Normal 224 61 2" xfId="28304" xr:uid="{00000000-0005-0000-0000-0000966E0000}"/>
    <cellStyle name="Normal 224 62" xfId="28305" xr:uid="{00000000-0005-0000-0000-0000976E0000}"/>
    <cellStyle name="Normal 224 62 2" xfId="28306" xr:uid="{00000000-0005-0000-0000-0000986E0000}"/>
    <cellStyle name="Normal 224 62 3" xfId="28307" xr:uid="{00000000-0005-0000-0000-0000996E0000}"/>
    <cellStyle name="Normal 224 63" xfId="28308" xr:uid="{00000000-0005-0000-0000-00009A6E0000}"/>
    <cellStyle name="Normal 224 7" xfId="28309" xr:uid="{00000000-0005-0000-0000-00009B6E0000}"/>
    <cellStyle name="Normal 224 7 2" xfId="28310" xr:uid="{00000000-0005-0000-0000-00009C6E0000}"/>
    <cellStyle name="Normal 224 8" xfId="28311" xr:uid="{00000000-0005-0000-0000-00009D6E0000}"/>
    <cellStyle name="Normal 224 8 2" xfId="28312" xr:uid="{00000000-0005-0000-0000-00009E6E0000}"/>
    <cellStyle name="Normal 224 9" xfId="28313" xr:uid="{00000000-0005-0000-0000-00009F6E0000}"/>
    <cellStyle name="Normal 224 9 2" xfId="28314" xr:uid="{00000000-0005-0000-0000-0000A06E0000}"/>
    <cellStyle name="Normal 225" xfId="28315" xr:uid="{00000000-0005-0000-0000-0000A16E0000}"/>
    <cellStyle name="Normal 225 10" xfId="28316" xr:uid="{00000000-0005-0000-0000-0000A26E0000}"/>
    <cellStyle name="Normal 225 10 2" xfId="28317" xr:uid="{00000000-0005-0000-0000-0000A36E0000}"/>
    <cellStyle name="Normal 225 11" xfId="28318" xr:uid="{00000000-0005-0000-0000-0000A46E0000}"/>
    <cellStyle name="Normal 225 11 2" xfId="28319" xr:uid="{00000000-0005-0000-0000-0000A56E0000}"/>
    <cellStyle name="Normal 225 12" xfId="28320" xr:uid="{00000000-0005-0000-0000-0000A66E0000}"/>
    <cellStyle name="Normal 225 12 2" xfId="28321" xr:uid="{00000000-0005-0000-0000-0000A76E0000}"/>
    <cellStyle name="Normal 225 13" xfId="28322" xr:uid="{00000000-0005-0000-0000-0000A86E0000}"/>
    <cellStyle name="Normal 225 13 2" xfId="28323" xr:uid="{00000000-0005-0000-0000-0000A96E0000}"/>
    <cellStyle name="Normal 225 14" xfId="28324" xr:uid="{00000000-0005-0000-0000-0000AA6E0000}"/>
    <cellStyle name="Normal 225 14 2" xfId="28325" xr:uid="{00000000-0005-0000-0000-0000AB6E0000}"/>
    <cellStyle name="Normal 225 15" xfId="28326" xr:uid="{00000000-0005-0000-0000-0000AC6E0000}"/>
    <cellStyle name="Normal 225 15 2" xfId="28327" xr:uid="{00000000-0005-0000-0000-0000AD6E0000}"/>
    <cellStyle name="Normal 225 16" xfId="28328" xr:uid="{00000000-0005-0000-0000-0000AE6E0000}"/>
    <cellStyle name="Normal 225 16 2" xfId="28329" xr:uid="{00000000-0005-0000-0000-0000AF6E0000}"/>
    <cellStyle name="Normal 225 17" xfId="28330" xr:uid="{00000000-0005-0000-0000-0000B06E0000}"/>
    <cellStyle name="Normal 225 17 2" xfId="28331" xr:uid="{00000000-0005-0000-0000-0000B16E0000}"/>
    <cellStyle name="Normal 225 18" xfId="28332" xr:uid="{00000000-0005-0000-0000-0000B26E0000}"/>
    <cellStyle name="Normal 225 18 2" xfId="28333" xr:uid="{00000000-0005-0000-0000-0000B36E0000}"/>
    <cellStyle name="Normal 225 19" xfId="28334" xr:uid="{00000000-0005-0000-0000-0000B46E0000}"/>
    <cellStyle name="Normal 225 19 2" xfId="28335" xr:uid="{00000000-0005-0000-0000-0000B56E0000}"/>
    <cellStyle name="Normal 225 2" xfId="28336" xr:uid="{00000000-0005-0000-0000-0000B66E0000}"/>
    <cellStyle name="Normal 225 2 2" xfId="28337" xr:uid="{00000000-0005-0000-0000-0000B76E0000}"/>
    <cellStyle name="Normal 225 20" xfId="28338" xr:uid="{00000000-0005-0000-0000-0000B86E0000}"/>
    <cellStyle name="Normal 225 20 2" xfId="28339" xr:uid="{00000000-0005-0000-0000-0000B96E0000}"/>
    <cellStyle name="Normal 225 21" xfId="28340" xr:uid="{00000000-0005-0000-0000-0000BA6E0000}"/>
    <cellStyle name="Normal 225 21 2" xfId="28341" xr:uid="{00000000-0005-0000-0000-0000BB6E0000}"/>
    <cellStyle name="Normal 225 22" xfId="28342" xr:uid="{00000000-0005-0000-0000-0000BC6E0000}"/>
    <cellStyle name="Normal 225 22 2" xfId="28343" xr:uid="{00000000-0005-0000-0000-0000BD6E0000}"/>
    <cellStyle name="Normal 225 23" xfId="28344" xr:uid="{00000000-0005-0000-0000-0000BE6E0000}"/>
    <cellStyle name="Normal 225 23 2" xfId="28345" xr:uid="{00000000-0005-0000-0000-0000BF6E0000}"/>
    <cellStyle name="Normal 225 24" xfId="28346" xr:uid="{00000000-0005-0000-0000-0000C06E0000}"/>
    <cellStyle name="Normal 225 24 2" xfId="28347" xr:uid="{00000000-0005-0000-0000-0000C16E0000}"/>
    <cellStyle name="Normal 225 25" xfId="28348" xr:uid="{00000000-0005-0000-0000-0000C26E0000}"/>
    <cellStyle name="Normal 225 25 2" xfId="28349" xr:uid="{00000000-0005-0000-0000-0000C36E0000}"/>
    <cellStyle name="Normal 225 26" xfId="28350" xr:uid="{00000000-0005-0000-0000-0000C46E0000}"/>
    <cellStyle name="Normal 225 26 2" xfId="28351" xr:uid="{00000000-0005-0000-0000-0000C56E0000}"/>
    <cellStyle name="Normal 225 27" xfId="28352" xr:uid="{00000000-0005-0000-0000-0000C66E0000}"/>
    <cellStyle name="Normal 225 27 2" xfId="28353" xr:uid="{00000000-0005-0000-0000-0000C76E0000}"/>
    <cellStyle name="Normal 225 28" xfId="28354" xr:uid="{00000000-0005-0000-0000-0000C86E0000}"/>
    <cellStyle name="Normal 225 28 2" xfId="28355" xr:uid="{00000000-0005-0000-0000-0000C96E0000}"/>
    <cellStyle name="Normal 225 29" xfId="28356" xr:uid="{00000000-0005-0000-0000-0000CA6E0000}"/>
    <cellStyle name="Normal 225 29 2" xfId="28357" xr:uid="{00000000-0005-0000-0000-0000CB6E0000}"/>
    <cellStyle name="Normal 225 3" xfId="28358" xr:uid="{00000000-0005-0000-0000-0000CC6E0000}"/>
    <cellStyle name="Normal 225 3 2" xfId="28359" xr:uid="{00000000-0005-0000-0000-0000CD6E0000}"/>
    <cellStyle name="Normal 225 30" xfId="28360" xr:uid="{00000000-0005-0000-0000-0000CE6E0000}"/>
    <cellStyle name="Normal 225 30 2" xfId="28361" xr:uid="{00000000-0005-0000-0000-0000CF6E0000}"/>
    <cellStyle name="Normal 225 31" xfId="28362" xr:uid="{00000000-0005-0000-0000-0000D06E0000}"/>
    <cellStyle name="Normal 225 31 2" xfId="28363" xr:uid="{00000000-0005-0000-0000-0000D16E0000}"/>
    <cellStyle name="Normal 225 32" xfId="28364" xr:uid="{00000000-0005-0000-0000-0000D26E0000}"/>
    <cellStyle name="Normal 225 32 2" xfId="28365" xr:uid="{00000000-0005-0000-0000-0000D36E0000}"/>
    <cellStyle name="Normal 225 33" xfId="28366" xr:uid="{00000000-0005-0000-0000-0000D46E0000}"/>
    <cellStyle name="Normal 225 33 2" xfId="28367" xr:uid="{00000000-0005-0000-0000-0000D56E0000}"/>
    <cellStyle name="Normal 225 34" xfId="28368" xr:uid="{00000000-0005-0000-0000-0000D66E0000}"/>
    <cellStyle name="Normal 225 34 2" xfId="28369" xr:uid="{00000000-0005-0000-0000-0000D76E0000}"/>
    <cellStyle name="Normal 225 35" xfId="28370" xr:uid="{00000000-0005-0000-0000-0000D86E0000}"/>
    <cellStyle name="Normal 225 35 2" xfId="28371" xr:uid="{00000000-0005-0000-0000-0000D96E0000}"/>
    <cellStyle name="Normal 225 36" xfId="28372" xr:uid="{00000000-0005-0000-0000-0000DA6E0000}"/>
    <cellStyle name="Normal 225 36 2" xfId="28373" xr:uid="{00000000-0005-0000-0000-0000DB6E0000}"/>
    <cellStyle name="Normal 225 37" xfId="28374" xr:uid="{00000000-0005-0000-0000-0000DC6E0000}"/>
    <cellStyle name="Normal 225 37 2" xfId="28375" xr:uid="{00000000-0005-0000-0000-0000DD6E0000}"/>
    <cellStyle name="Normal 225 38" xfId="28376" xr:uid="{00000000-0005-0000-0000-0000DE6E0000}"/>
    <cellStyle name="Normal 225 38 2" xfId="28377" xr:uid="{00000000-0005-0000-0000-0000DF6E0000}"/>
    <cellStyle name="Normal 225 39" xfId="28378" xr:uid="{00000000-0005-0000-0000-0000E06E0000}"/>
    <cellStyle name="Normal 225 39 2" xfId="28379" xr:uid="{00000000-0005-0000-0000-0000E16E0000}"/>
    <cellStyle name="Normal 225 4" xfId="28380" xr:uid="{00000000-0005-0000-0000-0000E26E0000}"/>
    <cellStyle name="Normal 225 4 2" xfId="28381" xr:uid="{00000000-0005-0000-0000-0000E36E0000}"/>
    <cellStyle name="Normal 225 40" xfId="28382" xr:uid="{00000000-0005-0000-0000-0000E46E0000}"/>
    <cellStyle name="Normal 225 40 2" xfId="28383" xr:uid="{00000000-0005-0000-0000-0000E56E0000}"/>
    <cellStyle name="Normal 225 41" xfId="28384" xr:uid="{00000000-0005-0000-0000-0000E66E0000}"/>
    <cellStyle name="Normal 225 41 2" xfId="28385" xr:uid="{00000000-0005-0000-0000-0000E76E0000}"/>
    <cellStyle name="Normal 225 42" xfId="28386" xr:uid="{00000000-0005-0000-0000-0000E86E0000}"/>
    <cellStyle name="Normal 225 42 2" xfId="28387" xr:uid="{00000000-0005-0000-0000-0000E96E0000}"/>
    <cellStyle name="Normal 225 43" xfId="28388" xr:uid="{00000000-0005-0000-0000-0000EA6E0000}"/>
    <cellStyle name="Normal 225 43 2" xfId="28389" xr:uid="{00000000-0005-0000-0000-0000EB6E0000}"/>
    <cellStyle name="Normal 225 44" xfId="28390" xr:uid="{00000000-0005-0000-0000-0000EC6E0000}"/>
    <cellStyle name="Normal 225 44 2" xfId="28391" xr:uid="{00000000-0005-0000-0000-0000ED6E0000}"/>
    <cellStyle name="Normal 225 45" xfId="28392" xr:uid="{00000000-0005-0000-0000-0000EE6E0000}"/>
    <cellStyle name="Normal 225 45 2" xfId="28393" xr:uid="{00000000-0005-0000-0000-0000EF6E0000}"/>
    <cellStyle name="Normal 225 46" xfId="28394" xr:uid="{00000000-0005-0000-0000-0000F06E0000}"/>
    <cellStyle name="Normal 225 46 2" xfId="28395" xr:uid="{00000000-0005-0000-0000-0000F16E0000}"/>
    <cellStyle name="Normal 225 47" xfId="28396" xr:uid="{00000000-0005-0000-0000-0000F26E0000}"/>
    <cellStyle name="Normal 225 47 2" xfId="28397" xr:uid="{00000000-0005-0000-0000-0000F36E0000}"/>
    <cellStyle name="Normal 225 48" xfId="28398" xr:uid="{00000000-0005-0000-0000-0000F46E0000}"/>
    <cellStyle name="Normal 225 48 2" xfId="28399" xr:uid="{00000000-0005-0000-0000-0000F56E0000}"/>
    <cellStyle name="Normal 225 49" xfId="28400" xr:uid="{00000000-0005-0000-0000-0000F66E0000}"/>
    <cellStyle name="Normal 225 49 2" xfId="28401" xr:uid="{00000000-0005-0000-0000-0000F76E0000}"/>
    <cellStyle name="Normal 225 5" xfId="28402" xr:uid="{00000000-0005-0000-0000-0000F86E0000}"/>
    <cellStyle name="Normal 225 5 2" xfId="28403" xr:uid="{00000000-0005-0000-0000-0000F96E0000}"/>
    <cellStyle name="Normal 225 50" xfId="28404" xr:uid="{00000000-0005-0000-0000-0000FA6E0000}"/>
    <cellStyle name="Normal 225 50 2" xfId="28405" xr:uid="{00000000-0005-0000-0000-0000FB6E0000}"/>
    <cellStyle name="Normal 225 51" xfId="28406" xr:uid="{00000000-0005-0000-0000-0000FC6E0000}"/>
    <cellStyle name="Normal 225 51 2" xfId="28407" xr:uid="{00000000-0005-0000-0000-0000FD6E0000}"/>
    <cellStyle name="Normal 225 52" xfId="28408" xr:uid="{00000000-0005-0000-0000-0000FE6E0000}"/>
    <cellStyle name="Normal 225 52 2" xfId="28409" xr:uid="{00000000-0005-0000-0000-0000FF6E0000}"/>
    <cellStyle name="Normal 225 53" xfId="28410" xr:uid="{00000000-0005-0000-0000-0000006F0000}"/>
    <cellStyle name="Normal 225 53 2" xfId="28411" xr:uid="{00000000-0005-0000-0000-0000016F0000}"/>
    <cellStyle name="Normal 225 54" xfId="28412" xr:uid="{00000000-0005-0000-0000-0000026F0000}"/>
    <cellStyle name="Normal 225 54 2" xfId="28413" xr:uid="{00000000-0005-0000-0000-0000036F0000}"/>
    <cellStyle name="Normal 225 55" xfId="28414" xr:uid="{00000000-0005-0000-0000-0000046F0000}"/>
    <cellStyle name="Normal 225 55 2" xfId="28415" xr:uid="{00000000-0005-0000-0000-0000056F0000}"/>
    <cellStyle name="Normal 225 56" xfId="28416" xr:uid="{00000000-0005-0000-0000-0000066F0000}"/>
    <cellStyle name="Normal 225 56 2" xfId="28417" xr:uid="{00000000-0005-0000-0000-0000076F0000}"/>
    <cellStyle name="Normal 225 57" xfId="28418" xr:uid="{00000000-0005-0000-0000-0000086F0000}"/>
    <cellStyle name="Normal 225 57 2" xfId="28419" xr:uid="{00000000-0005-0000-0000-0000096F0000}"/>
    <cellStyle name="Normal 225 58" xfId="28420" xr:uid="{00000000-0005-0000-0000-00000A6F0000}"/>
    <cellStyle name="Normal 225 58 2" xfId="28421" xr:uid="{00000000-0005-0000-0000-00000B6F0000}"/>
    <cellStyle name="Normal 225 59" xfId="28422" xr:uid="{00000000-0005-0000-0000-00000C6F0000}"/>
    <cellStyle name="Normal 225 59 2" xfId="28423" xr:uid="{00000000-0005-0000-0000-00000D6F0000}"/>
    <cellStyle name="Normal 225 6" xfId="28424" xr:uid="{00000000-0005-0000-0000-00000E6F0000}"/>
    <cellStyle name="Normal 225 6 2" xfId="28425" xr:uid="{00000000-0005-0000-0000-00000F6F0000}"/>
    <cellStyle name="Normal 225 60" xfId="28426" xr:uid="{00000000-0005-0000-0000-0000106F0000}"/>
    <cellStyle name="Normal 225 60 2" xfId="28427" xr:uid="{00000000-0005-0000-0000-0000116F0000}"/>
    <cellStyle name="Normal 225 61" xfId="28428" xr:uid="{00000000-0005-0000-0000-0000126F0000}"/>
    <cellStyle name="Normal 225 61 2" xfId="28429" xr:uid="{00000000-0005-0000-0000-0000136F0000}"/>
    <cellStyle name="Normal 225 62" xfId="28430" xr:uid="{00000000-0005-0000-0000-0000146F0000}"/>
    <cellStyle name="Normal 225 62 2" xfId="28431" xr:uid="{00000000-0005-0000-0000-0000156F0000}"/>
    <cellStyle name="Normal 225 62 3" xfId="28432" xr:uid="{00000000-0005-0000-0000-0000166F0000}"/>
    <cellStyle name="Normal 225 63" xfId="28433" xr:uid="{00000000-0005-0000-0000-0000176F0000}"/>
    <cellStyle name="Normal 225 7" xfId="28434" xr:uid="{00000000-0005-0000-0000-0000186F0000}"/>
    <cellStyle name="Normal 225 7 2" xfId="28435" xr:uid="{00000000-0005-0000-0000-0000196F0000}"/>
    <cellStyle name="Normal 225 8" xfId="28436" xr:uid="{00000000-0005-0000-0000-00001A6F0000}"/>
    <cellStyle name="Normal 225 8 2" xfId="28437" xr:uid="{00000000-0005-0000-0000-00001B6F0000}"/>
    <cellStyle name="Normal 225 9" xfId="28438" xr:uid="{00000000-0005-0000-0000-00001C6F0000}"/>
    <cellStyle name="Normal 225 9 2" xfId="28439" xr:uid="{00000000-0005-0000-0000-00001D6F0000}"/>
    <cellStyle name="Normal 226" xfId="28440" xr:uid="{00000000-0005-0000-0000-00001E6F0000}"/>
    <cellStyle name="Normal 226 2" xfId="28441" xr:uid="{00000000-0005-0000-0000-00001F6F0000}"/>
    <cellStyle name="Normal 227" xfId="28442" xr:uid="{00000000-0005-0000-0000-0000206F0000}"/>
    <cellStyle name="Normal 227 2" xfId="28443" xr:uid="{00000000-0005-0000-0000-0000216F0000}"/>
    <cellStyle name="Normal 228" xfId="28444" xr:uid="{00000000-0005-0000-0000-0000226F0000}"/>
    <cellStyle name="Normal 228 2" xfId="28445" xr:uid="{00000000-0005-0000-0000-0000236F0000}"/>
    <cellStyle name="Normal 229" xfId="28446" xr:uid="{00000000-0005-0000-0000-0000246F0000}"/>
    <cellStyle name="Normal 229 2" xfId="28447" xr:uid="{00000000-0005-0000-0000-0000256F0000}"/>
    <cellStyle name="Normal 23" xfId="28448" xr:uid="{00000000-0005-0000-0000-0000266F0000}"/>
    <cellStyle name="Normal 23 10" xfId="28449" xr:uid="{00000000-0005-0000-0000-0000276F0000}"/>
    <cellStyle name="Normal 23 10 2" xfId="28450" xr:uid="{00000000-0005-0000-0000-0000286F0000}"/>
    <cellStyle name="Normal 23 11" xfId="28451" xr:uid="{00000000-0005-0000-0000-0000296F0000}"/>
    <cellStyle name="Normal 23 11 2" xfId="28452" xr:uid="{00000000-0005-0000-0000-00002A6F0000}"/>
    <cellStyle name="Normal 23 12" xfId="28453" xr:uid="{00000000-0005-0000-0000-00002B6F0000}"/>
    <cellStyle name="Normal 23 12 2" xfId="28454" xr:uid="{00000000-0005-0000-0000-00002C6F0000}"/>
    <cellStyle name="Normal 23 13" xfId="28455" xr:uid="{00000000-0005-0000-0000-00002D6F0000}"/>
    <cellStyle name="Normal 23 13 2" xfId="28456" xr:uid="{00000000-0005-0000-0000-00002E6F0000}"/>
    <cellStyle name="Normal 23 14" xfId="28457" xr:uid="{00000000-0005-0000-0000-00002F6F0000}"/>
    <cellStyle name="Normal 23 14 2" xfId="28458" xr:uid="{00000000-0005-0000-0000-0000306F0000}"/>
    <cellStyle name="Normal 23 15" xfId="28459" xr:uid="{00000000-0005-0000-0000-0000316F0000}"/>
    <cellStyle name="Normal 23 15 2" xfId="28460" xr:uid="{00000000-0005-0000-0000-0000326F0000}"/>
    <cellStyle name="Normal 23 16" xfId="28461" xr:uid="{00000000-0005-0000-0000-0000336F0000}"/>
    <cellStyle name="Normal 23 16 2" xfId="28462" xr:uid="{00000000-0005-0000-0000-0000346F0000}"/>
    <cellStyle name="Normal 23 17" xfId="28463" xr:uid="{00000000-0005-0000-0000-0000356F0000}"/>
    <cellStyle name="Normal 23 17 2" xfId="28464" xr:uid="{00000000-0005-0000-0000-0000366F0000}"/>
    <cellStyle name="Normal 23 18" xfId="28465" xr:uid="{00000000-0005-0000-0000-0000376F0000}"/>
    <cellStyle name="Normal 23 18 2" xfId="28466" xr:uid="{00000000-0005-0000-0000-0000386F0000}"/>
    <cellStyle name="Normal 23 19" xfId="28467" xr:uid="{00000000-0005-0000-0000-0000396F0000}"/>
    <cellStyle name="Normal 23 19 2" xfId="28468" xr:uid="{00000000-0005-0000-0000-00003A6F0000}"/>
    <cellStyle name="Normal 23 2" xfId="28469" xr:uid="{00000000-0005-0000-0000-00003B6F0000}"/>
    <cellStyle name="Normal 23 2 2" xfId="28470" xr:uid="{00000000-0005-0000-0000-00003C6F0000}"/>
    <cellStyle name="Normal 23 20" xfId="28471" xr:uid="{00000000-0005-0000-0000-00003D6F0000}"/>
    <cellStyle name="Normal 23 20 2" xfId="28472" xr:uid="{00000000-0005-0000-0000-00003E6F0000}"/>
    <cellStyle name="Normal 23 21" xfId="28473" xr:uid="{00000000-0005-0000-0000-00003F6F0000}"/>
    <cellStyle name="Normal 23 21 2" xfId="28474" xr:uid="{00000000-0005-0000-0000-0000406F0000}"/>
    <cellStyle name="Normal 23 22" xfId="28475" xr:uid="{00000000-0005-0000-0000-0000416F0000}"/>
    <cellStyle name="Normal 23 22 2" xfId="28476" xr:uid="{00000000-0005-0000-0000-0000426F0000}"/>
    <cellStyle name="Normal 23 23" xfId="28477" xr:uid="{00000000-0005-0000-0000-0000436F0000}"/>
    <cellStyle name="Normal 23 23 2" xfId="28478" xr:uid="{00000000-0005-0000-0000-0000446F0000}"/>
    <cellStyle name="Normal 23 24" xfId="28479" xr:uid="{00000000-0005-0000-0000-0000456F0000}"/>
    <cellStyle name="Normal 23 24 2" xfId="28480" xr:uid="{00000000-0005-0000-0000-0000466F0000}"/>
    <cellStyle name="Normal 23 25" xfId="28481" xr:uid="{00000000-0005-0000-0000-0000476F0000}"/>
    <cellStyle name="Normal 23 25 2" xfId="28482" xr:uid="{00000000-0005-0000-0000-0000486F0000}"/>
    <cellStyle name="Normal 23 26" xfId="28483" xr:uid="{00000000-0005-0000-0000-0000496F0000}"/>
    <cellStyle name="Normal 23 26 2" xfId="28484" xr:uid="{00000000-0005-0000-0000-00004A6F0000}"/>
    <cellStyle name="Normal 23 27" xfId="28485" xr:uid="{00000000-0005-0000-0000-00004B6F0000}"/>
    <cellStyle name="Normal 23 27 2" xfId="28486" xr:uid="{00000000-0005-0000-0000-00004C6F0000}"/>
    <cellStyle name="Normal 23 28" xfId="28487" xr:uid="{00000000-0005-0000-0000-00004D6F0000}"/>
    <cellStyle name="Normal 23 28 2" xfId="28488" xr:uid="{00000000-0005-0000-0000-00004E6F0000}"/>
    <cellStyle name="Normal 23 29" xfId="28489" xr:uid="{00000000-0005-0000-0000-00004F6F0000}"/>
    <cellStyle name="Normal 23 29 2" xfId="28490" xr:uid="{00000000-0005-0000-0000-0000506F0000}"/>
    <cellStyle name="Normal 23 3" xfId="28491" xr:uid="{00000000-0005-0000-0000-0000516F0000}"/>
    <cellStyle name="Normal 23 3 2" xfId="28492" xr:uid="{00000000-0005-0000-0000-0000526F0000}"/>
    <cellStyle name="Normal 23 30" xfId="28493" xr:uid="{00000000-0005-0000-0000-0000536F0000}"/>
    <cellStyle name="Normal 23 30 2" xfId="28494" xr:uid="{00000000-0005-0000-0000-0000546F0000}"/>
    <cellStyle name="Normal 23 31" xfId="28495" xr:uid="{00000000-0005-0000-0000-0000556F0000}"/>
    <cellStyle name="Normal 23 31 2" xfId="28496" xr:uid="{00000000-0005-0000-0000-0000566F0000}"/>
    <cellStyle name="Normal 23 32" xfId="28497" xr:uid="{00000000-0005-0000-0000-0000576F0000}"/>
    <cellStyle name="Normal 23 32 2" xfId="28498" xr:uid="{00000000-0005-0000-0000-0000586F0000}"/>
    <cellStyle name="Normal 23 33" xfId="28499" xr:uid="{00000000-0005-0000-0000-0000596F0000}"/>
    <cellStyle name="Normal 23 33 2" xfId="28500" xr:uid="{00000000-0005-0000-0000-00005A6F0000}"/>
    <cellStyle name="Normal 23 34" xfId="28501" xr:uid="{00000000-0005-0000-0000-00005B6F0000}"/>
    <cellStyle name="Normal 23 34 2" xfId="28502" xr:uid="{00000000-0005-0000-0000-00005C6F0000}"/>
    <cellStyle name="Normal 23 35" xfId="28503" xr:uid="{00000000-0005-0000-0000-00005D6F0000}"/>
    <cellStyle name="Normal 23 35 2" xfId="28504" xr:uid="{00000000-0005-0000-0000-00005E6F0000}"/>
    <cellStyle name="Normal 23 36" xfId="28505" xr:uid="{00000000-0005-0000-0000-00005F6F0000}"/>
    <cellStyle name="Normal 23 36 2" xfId="28506" xr:uid="{00000000-0005-0000-0000-0000606F0000}"/>
    <cellStyle name="Normal 23 37" xfId="28507" xr:uid="{00000000-0005-0000-0000-0000616F0000}"/>
    <cellStyle name="Normal 23 37 2" xfId="28508" xr:uid="{00000000-0005-0000-0000-0000626F0000}"/>
    <cellStyle name="Normal 23 38" xfId="28509" xr:uid="{00000000-0005-0000-0000-0000636F0000}"/>
    <cellStyle name="Normal 23 38 2" xfId="28510" xr:uid="{00000000-0005-0000-0000-0000646F0000}"/>
    <cellStyle name="Normal 23 39" xfId="28511" xr:uid="{00000000-0005-0000-0000-0000656F0000}"/>
    <cellStyle name="Normal 23 39 2" xfId="28512" xr:uid="{00000000-0005-0000-0000-0000666F0000}"/>
    <cellStyle name="Normal 23 4" xfId="28513" xr:uid="{00000000-0005-0000-0000-0000676F0000}"/>
    <cellStyle name="Normal 23 4 2" xfId="28514" xr:uid="{00000000-0005-0000-0000-0000686F0000}"/>
    <cellStyle name="Normal 23 40" xfId="28515" xr:uid="{00000000-0005-0000-0000-0000696F0000}"/>
    <cellStyle name="Normal 23 40 2" xfId="28516" xr:uid="{00000000-0005-0000-0000-00006A6F0000}"/>
    <cellStyle name="Normal 23 41" xfId="28517" xr:uid="{00000000-0005-0000-0000-00006B6F0000}"/>
    <cellStyle name="Normal 23 41 2" xfId="28518" xr:uid="{00000000-0005-0000-0000-00006C6F0000}"/>
    <cellStyle name="Normal 23 42" xfId="28519" xr:uid="{00000000-0005-0000-0000-00006D6F0000}"/>
    <cellStyle name="Normal 23 42 2" xfId="28520" xr:uid="{00000000-0005-0000-0000-00006E6F0000}"/>
    <cellStyle name="Normal 23 43" xfId="28521" xr:uid="{00000000-0005-0000-0000-00006F6F0000}"/>
    <cellStyle name="Normal 23 43 2" xfId="28522" xr:uid="{00000000-0005-0000-0000-0000706F0000}"/>
    <cellStyle name="Normal 23 44" xfId="28523" xr:uid="{00000000-0005-0000-0000-0000716F0000}"/>
    <cellStyle name="Normal 23 44 2" xfId="28524" xr:uid="{00000000-0005-0000-0000-0000726F0000}"/>
    <cellStyle name="Normal 23 45" xfId="28525" xr:uid="{00000000-0005-0000-0000-0000736F0000}"/>
    <cellStyle name="Normal 23 45 2" xfId="28526" xr:uid="{00000000-0005-0000-0000-0000746F0000}"/>
    <cellStyle name="Normal 23 46" xfId="28527" xr:uid="{00000000-0005-0000-0000-0000756F0000}"/>
    <cellStyle name="Normal 23 46 2" xfId="28528" xr:uid="{00000000-0005-0000-0000-0000766F0000}"/>
    <cellStyle name="Normal 23 47" xfId="28529" xr:uid="{00000000-0005-0000-0000-0000776F0000}"/>
    <cellStyle name="Normal 23 47 2" xfId="28530" xr:uid="{00000000-0005-0000-0000-0000786F0000}"/>
    <cellStyle name="Normal 23 48" xfId="28531" xr:uid="{00000000-0005-0000-0000-0000796F0000}"/>
    <cellStyle name="Normal 23 48 2" xfId="28532" xr:uid="{00000000-0005-0000-0000-00007A6F0000}"/>
    <cellStyle name="Normal 23 49" xfId="28533" xr:uid="{00000000-0005-0000-0000-00007B6F0000}"/>
    <cellStyle name="Normal 23 49 2" xfId="28534" xr:uid="{00000000-0005-0000-0000-00007C6F0000}"/>
    <cellStyle name="Normal 23 5" xfId="28535" xr:uid="{00000000-0005-0000-0000-00007D6F0000}"/>
    <cellStyle name="Normal 23 5 2" xfId="28536" xr:uid="{00000000-0005-0000-0000-00007E6F0000}"/>
    <cellStyle name="Normal 23 50" xfId="28537" xr:uid="{00000000-0005-0000-0000-00007F6F0000}"/>
    <cellStyle name="Normal 23 50 2" xfId="28538" xr:uid="{00000000-0005-0000-0000-0000806F0000}"/>
    <cellStyle name="Normal 23 51" xfId="28539" xr:uid="{00000000-0005-0000-0000-0000816F0000}"/>
    <cellStyle name="Normal 23 51 2" xfId="28540" xr:uid="{00000000-0005-0000-0000-0000826F0000}"/>
    <cellStyle name="Normal 23 52" xfId="28541" xr:uid="{00000000-0005-0000-0000-0000836F0000}"/>
    <cellStyle name="Normal 23 52 2" xfId="28542" xr:uid="{00000000-0005-0000-0000-0000846F0000}"/>
    <cellStyle name="Normal 23 53" xfId="28543" xr:uid="{00000000-0005-0000-0000-0000856F0000}"/>
    <cellStyle name="Normal 23 53 2" xfId="28544" xr:uid="{00000000-0005-0000-0000-0000866F0000}"/>
    <cellStyle name="Normal 23 54" xfId="28545" xr:uid="{00000000-0005-0000-0000-0000876F0000}"/>
    <cellStyle name="Normal 23 54 2" xfId="28546" xr:uid="{00000000-0005-0000-0000-0000886F0000}"/>
    <cellStyle name="Normal 23 55" xfId="28547" xr:uid="{00000000-0005-0000-0000-0000896F0000}"/>
    <cellStyle name="Normal 23 55 2" xfId="28548" xr:uid="{00000000-0005-0000-0000-00008A6F0000}"/>
    <cellStyle name="Normal 23 56" xfId="28549" xr:uid="{00000000-0005-0000-0000-00008B6F0000}"/>
    <cellStyle name="Normal 23 56 2" xfId="28550" xr:uid="{00000000-0005-0000-0000-00008C6F0000}"/>
    <cellStyle name="Normal 23 57" xfId="28551" xr:uid="{00000000-0005-0000-0000-00008D6F0000}"/>
    <cellStyle name="Normal 23 57 2" xfId="28552" xr:uid="{00000000-0005-0000-0000-00008E6F0000}"/>
    <cellStyle name="Normal 23 58" xfId="28553" xr:uid="{00000000-0005-0000-0000-00008F6F0000}"/>
    <cellStyle name="Normal 23 58 2" xfId="28554" xr:uid="{00000000-0005-0000-0000-0000906F0000}"/>
    <cellStyle name="Normal 23 59" xfId="28555" xr:uid="{00000000-0005-0000-0000-0000916F0000}"/>
    <cellStyle name="Normal 23 6" xfId="28556" xr:uid="{00000000-0005-0000-0000-0000926F0000}"/>
    <cellStyle name="Normal 23 6 2" xfId="28557" xr:uid="{00000000-0005-0000-0000-0000936F0000}"/>
    <cellStyle name="Normal 23 60" xfId="28558" xr:uid="{00000000-0005-0000-0000-0000946F0000}"/>
    <cellStyle name="Normal 23 7" xfId="28559" xr:uid="{00000000-0005-0000-0000-0000956F0000}"/>
    <cellStyle name="Normal 23 7 2" xfId="28560" xr:uid="{00000000-0005-0000-0000-0000966F0000}"/>
    <cellStyle name="Normal 23 8" xfId="28561" xr:uid="{00000000-0005-0000-0000-0000976F0000}"/>
    <cellStyle name="Normal 23 8 2" xfId="28562" xr:uid="{00000000-0005-0000-0000-0000986F0000}"/>
    <cellStyle name="Normal 23 9" xfId="28563" xr:uid="{00000000-0005-0000-0000-0000996F0000}"/>
    <cellStyle name="Normal 23 9 2" xfId="28564" xr:uid="{00000000-0005-0000-0000-00009A6F0000}"/>
    <cellStyle name="Normal 230" xfId="28565" xr:uid="{00000000-0005-0000-0000-00009B6F0000}"/>
    <cellStyle name="Normal 230 2" xfId="28566" xr:uid="{00000000-0005-0000-0000-00009C6F0000}"/>
    <cellStyle name="Normal 231" xfId="28567" xr:uid="{00000000-0005-0000-0000-00009D6F0000}"/>
    <cellStyle name="Normal 231 10" xfId="28568" xr:uid="{00000000-0005-0000-0000-00009E6F0000}"/>
    <cellStyle name="Normal 231 10 2" xfId="28569" xr:uid="{00000000-0005-0000-0000-00009F6F0000}"/>
    <cellStyle name="Normal 231 11" xfId="28570" xr:uid="{00000000-0005-0000-0000-0000A06F0000}"/>
    <cellStyle name="Normal 231 11 2" xfId="28571" xr:uid="{00000000-0005-0000-0000-0000A16F0000}"/>
    <cellStyle name="Normal 231 12" xfId="28572" xr:uid="{00000000-0005-0000-0000-0000A26F0000}"/>
    <cellStyle name="Normal 231 12 2" xfId="28573" xr:uid="{00000000-0005-0000-0000-0000A36F0000}"/>
    <cellStyle name="Normal 231 13" xfId="28574" xr:uid="{00000000-0005-0000-0000-0000A46F0000}"/>
    <cellStyle name="Normal 231 13 2" xfId="28575" xr:uid="{00000000-0005-0000-0000-0000A56F0000}"/>
    <cellStyle name="Normal 231 14" xfId="28576" xr:uid="{00000000-0005-0000-0000-0000A66F0000}"/>
    <cellStyle name="Normal 231 14 2" xfId="28577" xr:uid="{00000000-0005-0000-0000-0000A76F0000}"/>
    <cellStyle name="Normal 231 15" xfId="28578" xr:uid="{00000000-0005-0000-0000-0000A86F0000}"/>
    <cellStyle name="Normal 231 15 2" xfId="28579" xr:uid="{00000000-0005-0000-0000-0000A96F0000}"/>
    <cellStyle name="Normal 231 16" xfId="28580" xr:uid="{00000000-0005-0000-0000-0000AA6F0000}"/>
    <cellStyle name="Normal 231 16 2" xfId="28581" xr:uid="{00000000-0005-0000-0000-0000AB6F0000}"/>
    <cellStyle name="Normal 231 17" xfId="28582" xr:uid="{00000000-0005-0000-0000-0000AC6F0000}"/>
    <cellStyle name="Normal 231 17 2" xfId="28583" xr:uid="{00000000-0005-0000-0000-0000AD6F0000}"/>
    <cellStyle name="Normal 231 18" xfId="28584" xr:uid="{00000000-0005-0000-0000-0000AE6F0000}"/>
    <cellStyle name="Normal 231 18 2" xfId="28585" xr:uid="{00000000-0005-0000-0000-0000AF6F0000}"/>
    <cellStyle name="Normal 231 19" xfId="28586" xr:uid="{00000000-0005-0000-0000-0000B06F0000}"/>
    <cellStyle name="Normal 231 19 2" xfId="28587" xr:uid="{00000000-0005-0000-0000-0000B16F0000}"/>
    <cellStyle name="Normal 231 2" xfId="28588" xr:uid="{00000000-0005-0000-0000-0000B26F0000}"/>
    <cellStyle name="Normal 231 2 2" xfId="28589" xr:uid="{00000000-0005-0000-0000-0000B36F0000}"/>
    <cellStyle name="Normal 231 20" xfId="28590" xr:uid="{00000000-0005-0000-0000-0000B46F0000}"/>
    <cellStyle name="Normal 231 20 2" xfId="28591" xr:uid="{00000000-0005-0000-0000-0000B56F0000}"/>
    <cellStyle name="Normal 231 21" xfId="28592" xr:uid="{00000000-0005-0000-0000-0000B66F0000}"/>
    <cellStyle name="Normal 231 21 2" xfId="28593" xr:uid="{00000000-0005-0000-0000-0000B76F0000}"/>
    <cellStyle name="Normal 231 22" xfId="28594" xr:uid="{00000000-0005-0000-0000-0000B86F0000}"/>
    <cellStyle name="Normal 231 22 2" xfId="28595" xr:uid="{00000000-0005-0000-0000-0000B96F0000}"/>
    <cellStyle name="Normal 231 23" xfId="28596" xr:uid="{00000000-0005-0000-0000-0000BA6F0000}"/>
    <cellStyle name="Normal 231 23 2" xfId="28597" xr:uid="{00000000-0005-0000-0000-0000BB6F0000}"/>
    <cellStyle name="Normal 231 24" xfId="28598" xr:uid="{00000000-0005-0000-0000-0000BC6F0000}"/>
    <cellStyle name="Normal 231 24 2" xfId="28599" xr:uid="{00000000-0005-0000-0000-0000BD6F0000}"/>
    <cellStyle name="Normal 231 25" xfId="28600" xr:uid="{00000000-0005-0000-0000-0000BE6F0000}"/>
    <cellStyle name="Normal 231 25 2" xfId="28601" xr:uid="{00000000-0005-0000-0000-0000BF6F0000}"/>
    <cellStyle name="Normal 231 26" xfId="28602" xr:uid="{00000000-0005-0000-0000-0000C06F0000}"/>
    <cellStyle name="Normal 231 26 2" xfId="28603" xr:uid="{00000000-0005-0000-0000-0000C16F0000}"/>
    <cellStyle name="Normal 231 27" xfId="28604" xr:uid="{00000000-0005-0000-0000-0000C26F0000}"/>
    <cellStyle name="Normal 231 27 2" xfId="28605" xr:uid="{00000000-0005-0000-0000-0000C36F0000}"/>
    <cellStyle name="Normal 231 28" xfId="28606" xr:uid="{00000000-0005-0000-0000-0000C46F0000}"/>
    <cellStyle name="Normal 231 28 2" xfId="28607" xr:uid="{00000000-0005-0000-0000-0000C56F0000}"/>
    <cellStyle name="Normal 231 29" xfId="28608" xr:uid="{00000000-0005-0000-0000-0000C66F0000}"/>
    <cellStyle name="Normal 231 29 2" xfId="28609" xr:uid="{00000000-0005-0000-0000-0000C76F0000}"/>
    <cellStyle name="Normal 231 3" xfId="28610" xr:uid="{00000000-0005-0000-0000-0000C86F0000}"/>
    <cellStyle name="Normal 231 3 2" xfId="28611" xr:uid="{00000000-0005-0000-0000-0000C96F0000}"/>
    <cellStyle name="Normal 231 30" xfId="28612" xr:uid="{00000000-0005-0000-0000-0000CA6F0000}"/>
    <cellStyle name="Normal 231 30 2" xfId="28613" xr:uid="{00000000-0005-0000-0000-0000CB6F0000}"/>
    <cellStyle name="Normal 231 31" xfId="28614" xr:uid="{00000000-0005-0000-0000-0000CC6F0000}"/>
    <cellStyle name="Normal 231 31 2" xfId="28615" xr:uid="{00000000-0005-0000-0000-0000CD6F0000}"/>
    <cellStyle name="Normal 231 32" xfId="28616" xr:uid="{00000000-0005-0000-0000-0000CE6F0000}"/>
    <cellStyle name="Normal 231 32 2" xfId="28617" xr:uid="{00000000-0005-0000-0000-0000CF6F0000}"/>
    <cellStyle name="Normal 231 33" xfId="28618" xr:uid="{00000000-0005-0000-0000-0000D06F0000}"/>
    <cellStyle name="Normal 231 33 2" xfId="28619" xr:uid="{00000000-0005-0000-0000-0000D16F0000}"/>
    <cellStyle name="Normal 231 34" xfId="28620" xr:uid="{00000000-0005-0000-0000-0000D26F0000}"/>
    <cellStyle name="Normal 231 34 2" xfId="28621" xr:uid="{00000000-0005-0000-0000-0000D36F0000}"/>
    <cellStyle name="Normal 231 35" xfId="28622" xr:uid="{00000000-0005-0000-0000-0000D46F0000}"/>
    <cellStyle name="Normal 231 35 2" xfId="28623" xr:uid="{00000000-0005-0000-0000-0000D56F0000}"/>
    <cellStyle name="Normal 231 36" xfId="28624" xr:uid="{00000000-0005-0000-0000-0000D66F0000}"/>
    <cellStyle name="Normal 231 36 2" xfId="28625" xr:uid="{00000000-0005-0000-0000-0000D76F0000}"/>
    <cellStyle name="Normal 231 37" xfId="28626" xr:uid="{00000000-0005-0000-0000-0000D86F0000}"/>
    <cellStyle name="Normal 231 37 2" xfId="28627" xr:uid="{00000000-0005-0000-0000-0000D96F0000}"/>
    <cellStyle name="Normal 231 38" xfId="28628" xr:uid="{00000000-0005-0000-0000-0000DA6F0000}"/>
    <cellStyle name="Normal 231 38 2" xfId="28629" xr:uid="{00000000-0005-0000-0000-0000DB6F0000}"/>
    <cellStyle name="Normal 231 39" xfId="28630" xr:uid="{00000000-0005-0000-0000-0000DC6F0000}"/>
    <cellStyle name="Normal 231 39 2" xfId="28631" xr:uid="{00000000-0005-0000-0000-0000DD6F0000}"/>
    <cellStyle name="Normal 231 4" xfId="28632" xr:uid="{00000000-0005-0000-0000-0000DE6F0000}"/>
    <cellStyle name="Normal 231 4 2" xfId="28633" xr:uid="{00000000-0005-0000-0000-0000DF6F0000}"/>
    <cellStyle name="Normal 231 40" xfId="28634" xr:uid="{00000000-0005-0000-0000-0000E06F0000}"/>
    <cellStyle name="Normal 231 40 2" xfId="28635" xr:uid="{00000000-0005-0000-0000-0000E16F0000}"/>
    <cellStyle name="Normal 231 41" xfId="28636" xr:uid="{00000000-0005-0000-0000-0000E26F0000}"/>
    <cellStyle name="Normal 231 41 2" xfId="28637" xr:uid="{00000000-0005-0000-0000-0000E36F0000}"/>
    <cellStyle name="Normal 231 42" xfId="28638" xr:uid="{00000000-0005-0000-0000-0000E46F0000}"/>
    <cellStyle name="Normal 231 42 2" xfId="28639" xr:uid="{00000000-0005-0000-0000-0000E56F0000}"/>
    <cellStyle name="Normal 231 43" xfId="28640" xr:uid="{00000000-0005-0000-0000-0000E66F0000}"/>
    <cellStyle name="Normal 231 43 2" xfId="28641" xr:uid="{00000000-0005-0000-0000-0000E76F0000}"/>
    <cellStyle name="Normal 231 44" xfId="28642" xr:uid="{00000000-0005-0000-0000-0000E86F0000}"/>
    <cellStyle name="Normal 231 44 2" xfId="28643" xr:uid="{00000000-0005-0000-0000-0000E96F0000}"/>
    <cellStyle name="Normal 231 45" xfId="28644" xr:uid="{00000000-0005-0000-0000-0000EA6F0000}"/>
    <cellStyle name="Normal 231 45 2" xfId="28645" xr:uid="{00000000-0005-0000-0000-0000EB6F0000}"/>
    <cellStyle name="Normal 231 46" xfId="28646" xr:uid="{00000000-0005-0000-0000-0000EC6F0000}"/>
    <cellStyle name="Normal 231 46 2" xfId="28647" xr:uid="{00000000-0005-0000-0000-0000ED6F0000}"/>
    <cellStyle name="Normal 231 47" xfId="28648" xr:uid="{00000000-0005-0000-0000-0000EE6F0000}"/>
    <cellStyle name="Normal 231 47 2" xfId="28649" xr:uid="{00000000-0005-0000-0000-0000EF6F0000}"/>
    <cellStyle name="Normal 231 48" xfId="28650" xr:uid="{00000000-0005-0000-0000-0000F06F0000}"/>
    <cellStyle name="Normal 231 48 2" xfId="28651" xr:uid="{00000000-0005-0000-0000-0000F16F0000}"/>
    <cellStyle name="Normal 231 49" xfId="28652" xr:uid="{00000000-0005-0000-0000-0000F26F0000}"/>
    <cellStyle name="Normal 231 49 2" xfId="28653" xr:uid="{00000000-0005-0000-0000-0000F36F0000}"/>
    <cellStyle name="Normal 231 5" xfId="28654" xr:uid="{00000000-0005-0000-0000-0000F46F0000}"/>
    <cellStyle name="Normal 231 5 2" xfId="28655" xr:uid="{00000000-0005-0000-0000-0000F56F0000}"/>
    <cellStyle name="Normal 231 50" xfId="28656" xr:uid="{00000000-0005-0000-0000-0000F66F0000}"/>
    <cellStyle name="Normal 231 50 2" xfId="28657" xr:uid="{00000000-0005-0000-0000-0000F76F0000}"/>
    <cellStyle name="Normal 231 51" xfId="28658" xr:uid="{00000000-0005-0000-0000-0000F86F0000}"/>
    <cellStyle name="Normal 231 51 2" xfId="28659" xr:uid="{00000000-0005-0000-0000-0000F96F0000}"/>
    <cellStyle name="Normal 231 52" xfId="28660" xr:uid="{00000000-0005-0000-0000-0000FA6F0000}"/>
    <cellStyle name="Normal 231 52 2" xfId="28661" xr:uid="{00000000-0005-0000-0000-0000FB6F0000}"/>
    <cellStyle name="Normal 231 53" xfId="28662" xr:uid="{00000000-0005-0000-0000-0000FC6F0000}"/>
    <cellStyle name="Normal 231 53 2" xfId="28663" xr:uid="{00000000-0005-0000-0000-0000FD6F0000}"/>
    <cellStyle name="Normal 231 54" xfId="28664" xr:uid="{00000000-0005-0000-0000-0000FE6F0000}"/>
    <cellStyle name="Normal 231 54 2" xfId="28665" xr:uid="{00000000-0005-0000-0000-0000FF6F0000}"/>
    <cellStyle name="Normal 231 55" xfId="28666" xr:uid="{00000000-0005-0000-0000-000000700000}"/>
    <cellStyle name="Normal 231 55 2" xfId="28667" xr:uid="{00000000-0005-0000-0000-000001700000}"/>
    <cellStyle name="Normal 231 56" xfId="28668" xr:uid="{00000000-0005-0000-0000-000002700000}"/>
    <cellStyle name="Normal 231 56 2" xfId="28669" xr:uid="{00000000-0005-0000-0000-000003700000}"/>
    <cellStyle name="Normal 231 57" xfId="28670" xr:uid="{00000000-0005-0000-0000-000004700000}"/>
    <cellStyle name="Normal 231 57 2" xfId="28671" xr:uid="{00000000-0005-0000-0000-000005700000}"/>
    <cellStyle name="Normal 231 58" xfId="28672" xr:uid="{00000000-0005-0000-0000-000006700000}"/>
    <cellStyle name="Normal 231 58 2" xfId="28673" xr:uid="{00000000-0005-0000-0000-000007700000}"/>
    <cellStyle name="Normal 231 59" xfId="28674" xr:uid="{00000000-0005-0000-0000-000008700000}"/>
    <cellStyle name="Normal 231 59 2" xfId="28675" xr:uid="{00000000-0005-0000-0000-000009700000}"/>
    <cellStyle name="Normal 231 6" xfId="28676" xr:uid="{00000000-0005-0000-0000-00000A700000}"/>
    <cellStyle name="Normal 231 6 2" xfId="28677" xr:uid="{00000000-0005-0000-0000-00000B700000}"/>
    <cellStyle name="Normal 231 60" xfId="28678" xr:uid="{00000000-0005-0000-0000-00000C700000}"/>
    <cellStyle name="Normal 231 60 2" xfId="28679" xr:uid="{00000000-0005-0000-0000-00000D700000}"/>
    <cellStyle name="Normal 231 61" xfId="28680" xr:uid="{00000000-0005-0000-0000-00000E700000}"/>
    <cellStyle name="Normal 231 61 2" xfId="28681" xr:uid="{00000000-0005-0000-0000-00000F700000}"/>
    <cellStyle name="Normal 231 62" xfId="28682" xr:uid="{00000000-0005-0000-0000-000010700000}"/>
    <cellStyle name="Normal 231 62 2" xfId="28683" xr:uid="{00000000-0005-0000-0000-000011700000}"/>
    <cellStyle name="Normal 231 62 3" xfId="28684" xr:uid="{00000000-0005-0000-0000-000012700000}"/>
    <cellStyle name="Normal 231 63" xfId="28685" xr:uid="{00000000-0005-0000-0000-000013700000}"/>
    <cellStyle name="Normal 231 7" xfId="28686" xr:uid="{00000000-0005-0000-0000-000014700000}"/>
    <cellStyle name="Normal 231 7 2" xfId="28687" xr:uid="{00000000-0005-0000-0000-000015700000}"/>
    <cellStyle name="Normal 231 8" xfId="28688" xr:uid="{00000000-0005-0000-0000-000016700000}"/>
    <cellStyle name="Normal 231 8 2" xfId="28689" xr:uid="{00000000-0005-0000-0000-000017700000}"/>
    <cellStyle name="Normal 231 9" xfId="28690" xr:uid="{00000000-0005-0000-0000-000018700000}"/>
    <cellStyle name="Normal 231 9 2" xfId="28691" xr:uid="{00000000-0005-0000-0000-000019700000}"/>
    <cellStyle name="Normal 232" xfId="28692" xr:uid="{00000000-0005-0000-0000-00001A700000}"/>
    <cellStyle name="Normal 232 2" xfId="28693" xr:uid="{00000000-0005-0000-0000-00001B700000}"/>
    <cellStyle name="Normal 233" xfId="28694" xr:uid="{00000000-0005-0000-0000-00001C700000}"/>
    <cellStyle name="Normal 233 2" xfId="28695" xr:uid="{00000000-0005-0000-0000-00001D700000}"/>
    <cellStyle name="Normal 234" xfId="28696" xr:uid="{00000000-0005-0000-0000-00001E700000}"/>
    <cellStyle name="Normal 234 10" xfId="28697" xr:uid="{00000000-0005-0000-0000-00001F700000}"/>
    <cellStyle name="Normal 234 10 2" xfId="28698" xr:uid="{00000000-0005-0000-0000-000020700000}"/>
    <cellStyle name="Normal 234 11" xfId="28699" xr:uid="{00000000-0005-0000-0000-000021700000}"/>
    <cellStyle name="Normal 234 11 2" xfId="28700" xr:uid="{00000000-0005-0000-0000-000022700000}"/>
    <cellStyle name="Normal 234 12" xfId="28701" xr:uid="{00000000-0005-0000-0000-000023700000}"/>
    <cellStyle name="Normal 234 12 2" xfId="28702" xr:uid="{00000000-0005-0000-0000-000024700000}"/>
    <cellStyle name="Normal 234 13" xfId="28703" xr:uid="{00000000-0005-0000-0000-000025700000}"/>
    <cellStyle name="Normal 234 13 2" xfId="28704" xr:uid="{00000000-0005-0000-0000-000026700000}"/>
    <cellStyle name="Normal 234 14" xfId="28705" xr:uid="{00000000-0005-0000-0000-000027700000}"/>
    <cellStyle name="Normal 234 14 2" xfId="28706" xr:uid="{00000000-0005-0000-0000-000028700000}"/>
    <cellStyle name="Normal 234 15" xfId="28707" xr:uid="{00000000-0005-0000-0000-000029700000}"/>
    <cellStyle name="Normal 234 15 2" xfId="28708" xr:uid="{00000000-0005-0000-0000-00002A700000}"/>
    <cellStyle name="Normal 234 16" xfId="28709" xr:uid="{00000000-0005-0000-0000-00002B700000}"/>
    <cellStyle name="Normal 234 16 2" xfId="28710" xr:uid="{00000000-0005-0000-0000-00002C700000}"/>
    <cellStyle name="Normal 234 17" xfId="28711" xr:uid="{00000000-0005-0000-0000-00002D700000}"/>
    <cellStyle name="Normal 234 17 2" xfId="28712" xr:uid="{00000000-0005-0000-0000-00002E700000}"/>
    <cellStyle name="Normal 234 18" xfId="28713" xr:uid="{00000000-0005-0000-0000-00002F700000}"/>
    <cellStyle name="Normal 234 18 2" xfId="28714" xr:uid="{00000000-0005-0000-0000-000030700000}"/>
    <cellStyle name="Normal 234 19" xfId="28715" xr:uid="{00000000-0005-0000-0000-000031700000}"/>
    <cellStyle name="Normal 234 19 2" xfId="28716" xr:uid="{00000000-0005-0000-0000-000032700000}"/>
    <cellStyle name="Normal 234 2" xfId="28717" xr:uid="{00000000-0005-0000-0000-000033700000}"/>
    <cellStyle name="Normal 234 2 2" xfId="28718" xr:uid="{00000000-0005-0000-0000-000034700000}"/>
    <cellStyle name="Normal 234 20" xfId="28719" xr:uid="{00000000-0005-0000-0000-000035700000}"/>
    <cellStyle name="Normal 234 20 2" xfId="28720" xr:uid="{00000000-0005-0000-0000-000036700000}"/>
    <cellStyle name="Normal 234 21" xfId="28721" xr:uid="{00000000-0005-0000-0000-000037700000}"/>
    <cellStyle name="Normal 234 21 2" xfId="28722" xr:uid="{00000000-0005-0000-0000-000038700000}"/>
    <cellStyle name="Normal 234 22" xfId="28723" xr:uid="{00000000-0005-0000-0000-000039700000}"/>
    <cellStyle name="Normal 234 22 2" xfId="28724" xr:uid="{00000000-0005-0000-0000-00003A700000}"/>
    <cellStyle name="Normal 234 23" xfId="28725" xr:uid="{00000000-0005-0000-0000-00003B700000}"/>
    <cellStyle name="Normal 234 23 2" xfId="28726" xr:uid="{00000000-0005-0000-0000-00003C700000}"/>
    <cellStyle name="Normal 234 24" xfId="28727" xr:uid="{00000000-0005-0000-0000-00003D700000}"/>
    <cellStyle name="Normal 234 24 2" xfId="28728" xr:uid="{00000000-0005-0000-0000-00003E700000}"/>
    <cellStyle name="Normal 234 25" xfId="28729" xr:uid="{00000000-0005-0000-0000-00003F700000}"/>
    <cellStyle name="Normal 234 25 2" xfId="28730" xr:uid="{00000000-0005-0000-0000-000040700000}"/>
    <cellStyle name="Normal 234 26" xfId="28731" xr:uid="{00000000-0005-0000-0000-000041700000}"/>
    <cellStyle name="Normal 234 26 2" xfId="28732" xr:uid="{00000000-0005-0000-0000-000042700000}"/>
    <cellStyle name="Normal 234 27" xfId="28733" xr:uid="{00000000-0005-0000-0000-000043700000}"/>
    <cellStyle name="Normal 234 27 2" xfId="28734" xr:uid="{00000000-0005-0000-0000-000044700000}"/>
    <cellStyle name="Normal 234 28" xfId="28735" xr:uid="{00000000-0005-0000-0000-000045700000}"/>
    <cellStyle name="Normal 234 28 2" xfId="28736" xr:uid="{00000000-0005-0000-0000-000046700000}"/>
    <cellStyle name="Normal 234 29" xfId="28737" xr:uid="{00000000-0005-0000-0000-000047700000}"/>
    <cellStyle name="Normal 234 29 2" xfId="28738" xr:uid="{00000000-0005-0000-0000-000048700000}"/>
    <cellStyle name="Normal 234 3" xfId="28739" xr:uid="{00000000-0005-0000-0000-000049700000}"/>
    <cellStyle name="Normal 234 3 2" xfId="28740" xr:uid="{00000000-0005-0000-0000-00004A700000}"/>
    <cellStyle name="Normal 234 30" xfId="28741" xr:uid="{00000000-0005-0000-0000-00004B700000}"/>
    <cellStyle name="Normal 234 30 2" xfId="28742" xr:uid="{00000000-0005-0000-0000-00004C700000}"/>
    <cellStyle name="Normal 234 31" xfId="28743" xr:uid="{00000000-0005-0000-0000-00004D700000}"/>
    <cellStyle name="Normal 234 31 2" xfId="28744" xr:uid="{00000000-0005-0000-0000-00004E700000}"/>
    <cellStyle name="Normal 234 32" xfId="28745" xr:uid="{00000000-0005-0000-0000-00004F700000}"/>
    <cellStyle name="Normal 234 32 2" xfId="28746" xr:uid="{00000000-0005-0000-0000-000050700000}"/>
    <cellStyle name="Normal 234 33" xfId="28747" xr:uid="{00000000-0005-0000-0000-000051700000}"/>
    <cellStyle name="Normal 234 33 2" xfId="28748" xr:uid="{00000000-0005-0000-0000-000052700000}"/>
    <cellStyle name="Normal 234 34" xfId="28749" xr:uid="{00000000-0005-0000-0000-000053700000}"/>
    <cellStyle name="Normal 234 34 2" xfId="28750" xr:uid="{00000000-0005-0000-0000-000054700000}"/>
    <cellStyle name="Normal 234 35" xfId="28751" xr:uid="{00000000-0005-0000-0000-000055700000}"/>
    <cellStyle name="Normal 234 35 2" xfId="28752" xr:uid="{00000000-0005-0000-0000-000056700000}"/>
    <cellStyle name="Normal 234 36" xfId="28753" xr:uid="{00000000-0005-0000-0000-000057700000}"/>
    <cellStyle name="Normal 234 36 2" xfId="28754" xr:uid="{00000000-0005-0000-0000-000058700000}"/>
    <cellStyle name="Normal 234 37" xfId="28755" xr:uid="{00000000-0005-0000-0000-000059700000}"/>
    <cellStyle name="Normal 234 37 2" xfId="28756" xr:uid="{00000000-0005-0000-0000-00005A700000}"/>
    <cellStyle name="Normal 234 38" xfId="28757" xr:uid="{00000000-0005-0000-0000-00005B700000}"/>
    <cellStyle name="Normal 234 38 2" xfId="28758" xr:uid="{00000000-0005-0000-0000-00005C700000}"/>
    <cellStyle name="Normal 234 39" xfId="28759" xr:uid="{00000000-0005-0000-0000-00005D700000}"/>
    <cellStyle name="Normal 234 39 2" xfId="28760" xr:uid="{00000000-0005-0000-0000-00005E700000}"/>
    <cellStyle name="Normal 234 4" xfId="28761" xr:uid="{00000000-0005-0000-0000-00005F700000}"/>
    <cellStyle name="Normal 234 4 2" xfId="28762" xr:uid="{00000000-0005-0000-0000-000060700000}"/>
    <cellStyle name="Normal 234 40" xfId="28763" xr:uid="{00000000-0005-0000-0000-000061700000}"/>
    <cellStyle name="Normal 234 40 2" xfId="28764" xr:uid="{00000000-0005-0000-0000-000062700000}"/>
    <cellStyle name="Normal 234 41" xfId="28765" xr:uid="{00000000-0005-0000-0000-000063700000}"/>
    <cellStyle name="Normal 234 41 2" xfId="28766" xr:uid="{00000000-0005-0000-0000-000064700000}"/>
    <cellStyle name="Normal 234 42" xfId="28767" xr:uid="{00000000-0005-0000-0000-000065700000}"/>
    <cellStyle name="Normal 234 42 2" xfId="28768" xr:uid="{00000000-0005-0000-0000-000066700000}"/>
    <cellStyle name="Normal 234 43" xfId="28769" xr:uid="{00000000-0005-0000-0000-000067700000}"/>
    <cellStyle name="Normal 234 43 2" xfId="28770" xr:uid="{00000000-0005-0000-0000-000068700000}"/>
    <cellStyle name="Normal 234 44" xfId="28771" xr:uid="{00000000-0005-0000-0000-000069700000}"/>
    <cellStyle name="Normal 234 44 2" xfId="28772" xr:uid="{00000000-0005-0000-0000-00006A700000}"/>
    <cellStyle name="Normal 234 45" xfId="28773" xr:uid="{00000000-0005-0000-0000-00006B700000}"/>
    <cellStyle name="Normal 234 45 2" xfId="28774" xr:uid="{00000000-0005-0000-0000-00006C700000}"/>
    <cellStyle name="Normal 234 46" xfId="28775" xr:uid="{00000000-0005-0000-0000-00006D700000}"/>
    <cellStyle name="Normal 234 46 2" xfId="28776" xr:uid="{00000000-0005-0000-0000-00006E700000}"/>
    <cellStyle name="Normal 234 47" xfId="28777" xr:uid="{00000000-0005-0000-0000-00006F700000}"/>
    <cellStyle name="Normal 234 47 2" xfId="28778" xr:uid="{00000000-0005-0000-0000-000070700000}"/>
    <cellStyle name="Normal 234 48" xfId="28779" xr:uid="{00000000-0005-0000-0000-000071700000}"/>
    <cellStyle name="Normal 234 48 2" xfId="28780" xr:uid="{00000000-0005-0000-0000-000072700000}"/>
    <cellStyle name="Normal 234 49" xfId="28781" xr:uid="{00000000-0005-0000-0000-000073700000}"/>
    <cellStyle name="Normal 234 49 2" xfId="28782" xr:uid="{00000000-0005-0000-0000-000074700000}"/>
    <cellStyle name="Normal 234 5" xfId="28783" xr:uid="{00000000-0005-0000-0000-000075700000}"/>
    <cellStyle name="Normal 234 5 2" xfId="28784" xr:uid="{00000000-0005-0000-0000-000076700000}"/>
    <cellStyle name="Normal 234 50" xfId="28785" xr:uid="{00000000-0005-0000-0000-000077700000}"/>
    <cellStyle name="Normal 234 50 2" xfId="28786" xr:uid="{00000000-0005-0000-0000-000078700000}"/>
    <cellStyle name="Normal 234 51" xfId="28787" xr:uid="{00000000-0005-0000-0000-000079700000}"/>
    <cellStyle name="Normal 234 51 2" xfId="28788" xr:uid="{00000000-0005-0000-0000-00007A700000}"/>
    <cellStyle name="Normal 234 52" xfId="28789" xr:uid="{00000000-0005-0000-0000-00007B700000}"/>
    <cellStyle name="Normal 234 52 2" xfId="28790" xr:uid="{00000000-0005-0000-0000-00007C700000}"/>
    <cellStyle name="Normal 234 53" xfId="28791" xr:uid="{00000000-0005-0000-0000-00007D700000}"/>
    <cellStyle name="Normal 234 53 2" xfId="28792" xr:uid="{00000000-0005-0000-0000-00007E700000}"/>
    <cellStyle name="Normal 234 54" xfId="28793" xr:uid="{00000000-0005-0000-0000-00007F700000}"/>
    <cellStyle name="Normal 234 54 2" xfId="28794" xr:uid="{00000000-0005-0000-0000-000080700000}"/>
    <cellStyle name="Normal 234 55" xfId="28795" xr:uid="{00000000-0005-0000-0000-000081700000}"/>
    <cellStyle name="Normal 234 55 2" xfId="28796" xr:uid="{00000000-0005-0000-0000-000082700000}"/>
    <cellStyle name="Normal 234 56" xfId="28797" xr:uid="{00000000-0005-0000-0000-000083700000}"/>
    <cellStyle name="Normal 234 56 2" xfId="28798" xr:uid="{00000000-0005-0000-0000-000084700000}"/>
    <cellStyle name="Normal 234 57" xfId="28799" xr:uid="{00000000-0005-0000-0000-000085700000}"/>
    <cellStyle name="Normal 234 57 2" xfId="28800" xr:uid="{00000000-0005-0000-0000-000086700000}"/>
    <cellStyle name="Normal 234 58" xfId="28801" xr:uid="{00000000-0005-0000-0000-000087700000}"/>
    <cellStyle name="Normal 234 58 2" xfId="28802" xr:uid="{00000000-0005-0000-0000-000088700000}"/>
    <cellStyle name="Normal 234 59" xfId="28803" xr:uid="{00000000-0005-0000-0000-000089700000}"/>
    <cellStyle name="Normal 234 59 2" xfId="28804" xr:uid="{00000000-0005-0000-0000-00008A700000}"/>
    <cellStyle name="Normal 234 6" xfId="28805" xr:uid="{00000000-0005-0000-0000-00008B700000}"/>
    <cellStyle name="Normal 234 6 2" xfId="28806" xr:uid="{00000000-0005-0000-0000-00008C700000}"/>
    <cellStyle name="Normal 234 60" xfId="28807" xr:uid="{00000000-0005-0000-0000-00008D700000}"/>
    <cellStyle name="Normal 234 60 2" xfId="28808" xr:uid="{00000000-0005-0000-0000-00008E700000}"/>
    <cellStyle name="Normal 234 61" xfId="28809" xr:uid="{00000000-0005-0000-0000-00008F700000}"/>
    <cellStyle name="Normal 234 61 2" xfId="28810" xr:uid="{00000000-0005-0000-0000-000090700000}"/>
    <cellStyle name="Normal 234 62" xfId="28811" xr:uid="{00000000-0005-0000-0000-000091700000}"/>
    <cellStyle name="Normal 234 62 2" xfId="28812" xr:uid="{00000000-0005-0000-0000-000092700000}"/>
    <cellStyle name="Normal 234 62 3" xfId="28813" xr:uid="{00000000-0005-0000-0000-000093700000}"/>
    <cellStyle name="Normal 234 63" xfId="28814" xr:uid="{00000000-0005-0000-0000-000094700000}"/>
    <cellStyle name="Normal 234 7" xfId="28815" xr:uid="{00000000-0005-0000-0000-000095700000}"/>
    <cellStyle name="Normal 234 7 2" xfId="28816" xr:uid="{00000000-0005-0000-0000-000096700000}"/>
    <cellStyle name="Normal 234 8" xfId="28817" xr:uid="{00000000-0005-0000-0000-000097700000}"/>
    <cellStyle name="Normal 234 8 2" xfId="28818" xr:uid="{00000000-0005-0000-0000-000098700000}"/>
    <cellStyle name="Normal 234 9" xfId="28819" xr:uid="{00000000-0005-0000-0000-000099700000}"/>
    <cellStyle name="Normal 234 9 2" xfId="28820" xr:uid="{00000000-0005-0000-0000-00009A700000}"/>
    <cellStyle name="Normal 235" xfId="28821" xr:uid="{00000000-0005-0000-0000-00009B700000}"/>
    <cellStyle name="Normal 235 10" xfId="28822" xr:uid="{00000000-0005-0000-0000-00009C700000}"/>
    <cellStyle name="Normal 235 10 2" xfId="28823" xr:uid="{00000000-0005-0000-0000-00009D700000}"/>
    <cellStyle name="Normal 235 11" xfId="28824" xr:uid="{00000000-0005-0000-0000-00009E700000}"/>
    <cellStyle name="Normal 235 11 2" xfId="28825" xr:uid="{00000000-0005-0000-0000-00009F700000}"/>
    <cellStyle name="Normal 235 12" xfId="28826" xr:uid="{00000000-0005-0000-0000-0000A0700000}"/>
    <cellStyle name="Normal 235 12 2" xfId="28827" xr:uid="{00000000-0005-0000-0000-0000A1700000}"/>
    <cellStyle name="Normal 235 13" xfId="28828" xr:uid="{00000000-0005-0000-0000-0000A2700000}"/>
    <cellStyle name="Normal 235 13 2" xfId="28829" xr:uid="{00000000-0005-0000-0000-0000A3700000}"/>
    <cellStyle name="Normal 235 14" xfId="28830" xr:uid="{00000000-0005-0000-0000-0000A4700000}"/>
    <cellStyle name="Normal 235 14 2" xfId="28831" xr:uid="{00000000-0005-0000-0000-0000A5700000}"/>
    <cellStyle name="Normal 235 15" xfId="28832" xr:uid="{00000000-0005-0000-0000-0000A6700000}"/>
    <cellStyle name="Normal 235 15 2" xfId="28833" xr:uid="{00000000-0005-0000-0000-0000A7700000}"/>
    <cellStyle name="Normal 235 16" xfId="28834" xr:uid="{00000000-0005-0000-0000-0000A8700000}"/>
    <cellStyle name="Normal 235 16 2" xfId="28835" xr:uid="{00000000-0005-0000-0000-0000A9700000}"/>
    <cellStyle name="Normal 235 17" xfId="28836" xr:uid="{00000000-0005-0000-0000-0000AA700000}"/>
    <cellStyle name="Normal 235 17 2" xfId="28837" xr:uid="{00000000-0005-0000-0000-0000AB700000}"/>
    <cellStyle name="Normal 235 18" xfId="28838" xr:uid="{00000000-0005-0000-0000-0000AC700000}"/>
    <cellStyle name="Normal 235 18 2" xfId="28839" xr:uid="{00000000-0005-0000-0000-0000AD700000}"/>
    <cellStyle name="Normal 235 19" xfId="28840" xr:uid="{00000000-0005-0000-0000-0000AE700000}"/>
    <cellStyle name="Normal 235 19 2" xfId="28841" xr:uid="{00000000-0005-0000-0000-0000AF700000}"/>
    <cellStyle name="Normal 235 2" xfId="28842" xr:uid="{00000000-0005-0000-0000-0000B0700000}"/>
    <cellStyle name="Normal 235 2 2" xfId="28843" xr:uid="{00000000-0005-0000-0000-0000B1700000}"/>
    <cellStyle name="Normal 235 20" xfId="28844" xr:uid="{00000000-0005-0000-0000-0000B2700000}"/>
    <cellStyle name="Normal 235 20 2" xfId="28845" xr:uid="{00000000-0005-0000-0000-0000B3700000}"/>
    <cellStyle name="Normal 235 21" xfId="28846" xr:uid="{00000000-0005-0000-0000-0000B4700000}"/>
    <cellStyle name="Normal 235 21 2" xfId="28847" xr:uid="{00000000-0005-0000-0000-0000B5700000}"/>
    <cellStyle name="Normal 235 22" xfId="28848" xr:uid="{00000000-0005-0000-0000-0000B6700000}"/>
    <cellStyle name="Normal 235 22 2" xfId="28849" xr:uid="{00000000-0005-0000-0000-0000B7700000}"/>
    <cellStyle name="Normal 235 23" xfId="28850" xr:uid="{00000000-0005-0000-0000-0000B8700000}"/>
    <cellStyle name="Normal 235 23 2" xfId="28851" xr:uid="{00000000-0005-0000-0000-0000B9700000}"/>
    <cellStyle name="Normal 235 24" xfId="28852" xr:uid="{00000000-0005-0000-0000-0000BA700000}"/>
    <cellStyle name="Normal 235 24 2" xfId="28853" xr:uid="{00000000-0005-0000-0000-0000BB700000}"/>
    <cellStyle name="Normal 235 25" xfId="28854" xr:uid="{00000000-0005-0000-0000-0000BC700000}"/>
    <cellStyle name="Normal 235 25 2" xfId="28855" xr:uid="{00000000-0005-0000-0000-0000BD700000}"/>
    <cellStyle name="Normal 235 26" xfId="28856" xr:uid="{00000000-0005-0000-0000-0000BE700000}"/>
    <cellStyle name="Normal 235 26 2" xfId="28857" xr:uid="{00000000-0005-0000-0000-0000BF700000}"/>
    <cellStyle name="Normal 235 27" xfId="28858" xr:uid="{00000000-0005-0000-0000-0000C0700000}"/>
    <cellStyle name="Normal 235 27 2" xfId="28859" xr:uid="{00000000-0005-0000-0000-0000C1700000}"/>
    <cellStyle name="Normal 235 28" xfId="28860" xr:uid="{00000000-0005-0000-0000-0000C2700000}"/>
    <cellStyle name="Normal 235 28 2" xfId="28861" xr:uid="{00000000-0005-0000-0000-0000C3700000}"/>
    <cellStyle name="Normal 235 29" xfId="28862" xr:uid="{00000000-0005-0000-0000-0000C4700000}"/>
    <cellStyle name="Normal 235 29 2" xfId="28863" xr:uid="{00000000-0005-0000-0000-0000C5700000}"/>
    <cellStyle name="Normal 235 3" xfId="28864" xr:uid="{00000000-0005-0000-0000-0000C6700000}"/>
    <cellStyle name="Normal 235 3 2" xfId="28865" xr:uid="{00000000-0005-0000-0000-0000C7700000}"/>
    <cellStyle name="Normal 235 30" xfId="28866" xr:uid="{00000000-0005-0000-0000-0000C8700000}"/>
    <cellStyle name="Normal 235 30 2" xfId="28867" xr:uid="{00000000-0005-0000-0000-0000C9700000}"/>
    <cellStyle name="Normal 235 31" xfId="28868" xr:uid="{00000000-0005-0000-0000-0000CA700000}"/>
    <cellStyle name="Normal 235 31 2" xfId="28869" xr:uid="{00000000-0005-0000-0000-0000CB700000}"/>
    <cellStyle name="Normal 235 32" xfId="28870" xr:uid="{00000000-0005-0000-0000-0000CC700000}"/>
    <cellStyle name="Normal 235 32 2" xfId="28871" xr:uid="{00000000-0005-0000-0000-0000CD700000}"/>
    <cellStyle name="Normal 235 33" xfId="28872" xr:uid="{00000000-0005-0000-0000-0000CE700000}"/>
    <cellStyle name="Normal 235 33 2" xfId="28873" xr:uid="{00000000-0005-0000-0000-0000CF700000}"/>
    <cellStyle name="Normal 235 34" xfId="28874" xr:uid="{00000000-0005-0000-0000-0000D0700000}"/>
    <cellStyle name="Normal 235 34 2" xfId="28875" xr:uid="{00000000-0005-0000-0000-0000D1700000}"/>
    <cellStyle name="Normal 235 35" xfId="28876" xr:uid="{00000000-0005-0000-0000-0000D2700000}"/>
    <cellStyle name="Normal 235 35 2" xfId="28877" xr:uid="{00000000-0005-0000-0000-0000D3700000}"/>
    <cellStyle name="Normal 235 36" xfId="28878" xr:uid="{00000000-0005-0000-0000-0000D4700000}"/>
    <cellStyle name="Normal 235 36 2" xfId="28879" xr:uid="{00000000-0005-0000-0000-0000D5700000}"/>
    <cellStyle name="Normal 235 37" xfId="28880" xr:uid="{00000000-0005-0000-0000-0000D6700000}"/>
    <cellStyle name="Normal 235 37 2" xfId="28881" xr:uid="{00000000-0005-0000-0000-0000D7700000}"/>
    <cellStyle name="Normal 235 38" xfId="28882" xr:uid="{00000000-0005-0000-0000-0000D8700000}"/>
    <cellStyle name="Normal 235 38 2" xfId="28883" xr:uid="{00000000-0005-0000-0000-0000D9700000}"/>
    <cellStyle name="Normal 235 39" xfId="28884" xr:uid="{00000000-0005-0000-0000-0000DA700000}"/>
    <cellStyle name="Normal 235 39 2" xfId="28885" xr:uid="{00000000-0005-0000-0000-0000DB700000}"/>
    <cellStyle name="Normal 235 4" xfId="28886" xr:uid="{00000000-0005-0000-0000-0000DC700000}"/>
    <cellStyle name="Normal 235 4 2" xfId="28887" xr:uid="{00000000-0005-0000-0000-0000DD700000}"/>
    <cellStyle name="Normal 235 40" xfId="28888" xr:uid="{00000000-0005-0000-0000-0000DE700000}"/>
    <cellStyle name="Normal 235 40 2" xfId="28889" xr:uid="{00000000-0005-0000-0000-0000DF700000}"/>
    <cellStyle name="Normal 235 41" xfId="28890" xr:uid="{00000000-0005-0000-0000-0000E0700000}"/>
    <cellStyle name="Normal 235 41 2" xfId="28891" xr:uid="{00000000-0005-0000-0000-0000E1700000}"/>
    <cellStyle name="Normal 235 42" xfId="28892" xr:uid="{00000000-0005-0000-0000-0000E2700000}"/>
    <cellStyle name="Normal 235 42 2" xfId="28893" xr:uid="{00000000-0005-0000-0000-0000E3700000}"/>
    <cellStyle name="Normal 235 43" xfId="28894" xr:uid="{00000000-0005-0000-0000-0000E4700000}"/>
    <cellStyle name="Normal 235 43 2" xfId="28895" xr:uid="{00000000-0005-0000-0000-0000E5700000}"/>
    <cellStyle name="Normal 235 44" xfId="28896" xr:uid="{00000000-0005-0000-0000-0000E6700000}"/>
    <cellStyle name="Normal 235 44 2" xfId="28897" xr:uid="{00000000-0005-0000-0000-0000E7700000}"/>
    <cellStyle name="Normal 235 45" xfId="28898" xr:uid="{00000000-0005-0000-0000-0000E8700000}"/>
    <cellStyle name="Normal 235 45 2" xfId="28899" xr:uid="{00000000-0005-0000-0000-0000E9700000}"/>
    <cellStyle name="Normal 235 46" xfId="28900" xr:uid="{00000000-0005-0000-0000-0000EA700000}"/>
    <cellStyle name="Normal 235 46 2" xfId="28901" xr:uid="{00000000-0005-0000-0000-0000EB700000}"/>
    <cellStyle name="Normal 235 47" xfId="28902" xr:uid="{00000000-0005-0000-0000-0000EC700000}"/>
    <cellStyle name="Normal 235 47 2" xfId="28903" xr:uid="{00000000-0005-0000-0000-0000ED700000}"/>
    <cellStyle name="Normal 235 48" xfId="28904" xr:uid="{00000000-0005-0000-0000-0000EE700000}"/>
    <cellStyle name="Normal 235 48 2" xfId="28905" xr:uid="{00000000-0005-0000-0000-0000EF700000}"/>
    <cellStyle name="Normal 235 49" xfId="28906" xr:uid="{00000000-0005-0000-0000-0000F0700000}"/>
    <cellStyle name="Normal 235 49 2" xfId="28907" xr:uid="{00000000-0005-0000-0000-0000F1700000}"/>
    <cellStyle name="Normal 235 5" xfId="28908" xr:uid="{00000000-0005-0000-0000-0000F2700000}"/>
    <cellStyle name="Normal 235 5 2" xfId="28909" xr:uid="{00000000-0005-0000-0000-0000F3700000}"/>
    <cellStyle name="Normal 235 50" xfId="28910" xr:uid="{00000000-0005-0000-0000-0000F4700000}"/>
    <cellStyle name="Normal 235 50 2" xfId="28911" xr:uid="{00000000-0005-0000-0000-0000F5700000}"/>
    <cellStyle name="Normal 235 51" xfId="28912" xr:uid="{00000000-0005-0000-0000-0000F6700000}"/>
    <cellStyle name="Normal 235 51 2" xfId="28913" xr:uid="{00000000-0005-0000-0000-0000F7700000}"/>
    <cellStyle name="Normal 235 52" xfId="28914" xr:uid="{00000000-0005-0000-0000-0000F8700000}"/>
    <cellStyle name="Normal 235 52 2" xfId="28915" xr:uid="{00000000-0005-0000-0000-0000F9700000}"/>
    <cellStyle name="Normal 235 53" xfId="28916" xr:uid="{00000000-0005-0000-0000-0000FA700000}"/>
    <cellStyle name="Normal 235 53 2" xfId="28917" xr:uid="{00000000-0005-0000-0000-0000FB700000}"/>
    <cellStyle name="Normal 235 54" xfId="28918" xr:uid="{00000000-0005-0000-0000-0000FC700000}"/>
    <cellStyle name="Normal 235 54 2" xfId="28919" xr:uid="{00000000-0005-0000-0000-0000FD700000}"/>
    <cellStyle name="Normal 235 55" xfId="28920" xr:uid="{00000000-0005-0000-0000-0000FE700000}"/>
    <cellStyle name="Normal 235 55 2" xfId="28921" xr:uid="{00000000-0005-0000-0000-0000FF700000}"/>
    <cellStyle name="Normal 235 56" xfId="28922" xr:uid="{00000000-0005-0000-0000-000000710000}"/>
    <cellStyle name="Normal 235 56 2" xfId="28923" xr:uid="{00000000-0005-0000-0000-000001710000}"/>
    <cellStyle name="Normal 235 57" xfId="28924" xr:uid="{00000000-0005-0000-0000-000002710000}"/>
    <cellStyle name="Normal 235 57 2" xfId="28925" xr:uid="{00000000-0005-0000-0000-000003710000}"/>
    <cellStyle name="Normal 235 58" xfId="28926" xr:uid="{00000000-0005-0000-0000-000004710000}"/>
    <cellStyle name="Normal 235 58 2" xfId="28927" xr:uid="{00000000-0005-0000-0000-000005710000}"/>
    <cellStyle name="Normal 235 59" xfId="28928" xr:uid="{00000000-0005-0000-0000-000006710000}"/>
    <cellStyle name="Normal 235 59 2" xfId="28929" xr:uid="{00000000-0005-0000-0000-000007710000}"/>
    <cellStyle name="Normal 235 6" xfId="28930" xr:uid="{00000000-0005-0000-0000-000008710000}"/>
    <cellStyle name="Normal 235 6 2" xfId="28931" xr:uid="{00000000-0005-0000-0000-000009710000}"/>
    <cellStyle name="Normal 235 60" xfId="28932" xr:uid="{00000000-0005-0000-0000-00000A710000}"/>
    <cellStyle name="Normal 235 60 2" xfId="28933" xr:uid="{00000000-0005-0000-0000-00000B710000}"/>
    <cellStyle name="Normal 235 61" xfId="28934" xr:uid="{00000000-0005-0000-0000-00000C710000}"/>
    <cellStyle name="Normal 235 61 2" xfId="28935" xr:uid="{00000000-0005-0000-0000-00000D710000}"/>
    <cellStyle name="Normal 235 62" xfId="28936" xr:uid="{00000000-0005-0000-0000-00000E710000}"/>
    <cellStyle name="Normal 235 62 2" xfId="28937" xr:uid="{00000000-0005-0000-0000-00000F710000}"/>
    <cellStyle name="Normal 235 62 3" xfId="28938" xr:uid="{00000000-0005-0000-0000-000010710000}"/>
    <cellStyle name="Normal 235 63" xfId="28939" xr:uid="{00000000-0005-0000-0000-000011710000}"/>
    <cellStyle name="Normal 235 7" xfId="28940" xr:uid="{00000000-0005-0000-0000-000012710000}"/>
    <cellStyle name="Normal 235 7 2" xfId="28941" xr:uid="{00000000-0005-0000-0000-000013710000}"/>
    <cellStyle name="Normal 235 8" xfId="28942" xr:uid="{00000000-0005-0000-0000-000014710000}"/>
    <cellStyle name="Normal 235 8 2" xfId="28943" xr:uid="{00000000-0005-0000-0000-000015710000}"/>
    <cellStyle name="Normal 235 9" xfId="28944" xr:uid="{00000000-0005-0000-0000-000016710000}"/>
    <cellStyle name="Normal 235 9 2" xfId="28945" xr:uid="{00000000-0005-0000-0000-000017710000}"/>
    <cellStyle name="Normal 236" xfId="28946" xr:uid="{00000000-0005-0000-0000-000018710000}"/>
    <cellStyle name="Normal 237" xfId="28947" xr:uid="{00000000-0005-0000-0000-000019710000}"/>
    <cellStyle name="Normal 237 10" xfId="28948" xr:uid="{00000000-0005-0000-0000-00001A710000}"/>
    <cellStyle name="Normal 237 10 2" xfId="28949" xr:uid="{00000000-0005-0000-0000-00001B710000}"/>
    <cellStyle name="Normal 237 11" xfId="28950" xr:uid="{00000000-0005-0000-0000-00001C710000}"/>
    <cellStyle name="Normal 237 11 2" xfId="28951" xr:uid="{00000000-0005-0000-0000-00001D710000}"/>
    <cellStyle name="Normal 237 12" xfId="28952" xr:uid="{00000000-0005-0000-0000-00001E710000}"/>
    <cellStyle name="Normal 237 12 2" xfId="28953" xr:uid="{00000000-0005-0000-0000-00001F710000}"/>
    <cellStyle name="Normal 237 13" xfId="28954" xr:uid="{00000000-0005-0000-0000-000020710000}"/>
    <cellStyle name="Normal 237 13 2" xfId="28955" xr:uid="{00000000-0005-0000-0000-000021710000}"/>
    <cellStyle name="Normal 237 14" xfId="28956" xr:uid="{00000000-0005-0000-0000-000022710000}"/>
    <cellStyle name="Normal 237 14 2" xfId="28957" xr:uid="{00000000-0005-0000-0000-000023710000}"/>
    <cellStyle name="Normal 237 15" xfId="28958" xr:uid="{00000000-0005-0000-0000-000024710000}"/>
    <cellStyle name="Normal 237 15 2" xfId="28959" xr:uid="{00000000-0005-0000-0000-000025710000}"/>
    <cellStyle name="Normal 237 16" xfId="28960" xr:uid="{00000000-0005-0000-0000-000026710000}"/>
    <cellStyle name="Normal 237 16 2" xfId="28961" xr:uid="{00000000-0005-0000-0000-000027710000}"/>
    <cellStyle name="Normal 237 17" xfId="28962" xr:uid="{00000000-0005-0000-0000-000028710000}"/>
    <cellStyle name="Normal 237 17 2" xfId="28963" xr:uid="{00000000-0005-0000-0000-000029710000}"/>
    <cellStyle name="Normal 237 18" xfId="28964" xr:uid="{00000000-0005-0000-0000-00002A710000}"/>
    <cellStyle name="Normal 237 18 2" xfId="28965" xr:uid="{00000000-0005-0000-0000-00002B710000}"/>
    <cellStyle name="Normal 237 19" xfId="28966" xr:uid="{00000000-0005-0000-0000-00002C710000}"/>
    <cellStyle name="Normal 237 19 2" xfId="28967" xr:uid="{00000000-0005-0000-0000-00002D710000}"/>
    <cellStyle name="Normal 237 2" xfId="28968" xr:uid="{00000000-0005-0000-0000-00002E710000}"/>
    <cellStyle name="Normal 237 2 2" xfId="28969" xr:uid="{00000000-0005-0000-0000-00002F710000}"/>
    <cellStyle name="Normal 237 20" xfId="28970" xr:uid="{00000000-0005-0000-0000-000030710000}"/>
    <cellStyle name="Normal 237 20 2" xfId="28971" xr:uid="{00000000-0005-0000-0000-000031710000}"/>
    <cellStyle name="Normal 237 21" xfId="28972" xr:uid="{00000000-0005-0000-0000-000032710000}"/>
    <cellStyle name="Normal 237 21 2" xfId="28973" xr:uid="{00000000-0005-0000-0000-000033710000}"/>
    <cellStyle name="Normal 237 22" xfId="28974" xr:uid="{00000000-0005-0000-0000-000034710000}"/>
    <cellStyle name="Normal 237 22 2" xfId="28975" xr:uid="{00000000-0005-0000-0000-000035710000}"/>
    <cellStyle name="Normal 237 23" xfId="28976" xr:uid="{00000000-0005-0000-0000-000036710000}"/>
    <cellStyle name="Normal 237 23 2" xfId="28977" xr:uid="{00000000-0005-0000-0000-000037710000}"/>
    <cellStyle name="Normal 237 24" xfId="28978" xr:uid="{00000000-0005-0000-0000-000038710000}"/>
    <cellStyle name="Normal 237 24 2" xfId="28979" xr:uid="{00000000-0005-0000-0000-000039710000}"/>
    <cellStyle name="Normal 237 25" xfId="28980" xr:uid="{00000000-0005-0000-0000-00003A710000}"/>
    <cellStyle name="Normal 237 25 2" xfId="28981" xr:uid="{00000000-0005-0000-0000-00003B710000}"/>
    <cellStyle name="Normal 237 26" xfId="28982" xr:uid="{00000000-0005-0000-0000-00003C710000}"/>
    <cellStyle name="Normal 237 26 2" xfId="28983" xr:uid="{00000000-0005-0000-0000-00003D710000}"/>
    <cellStyle name="Normal 237 27" xfId="28984" xr:uid="{00000000-0005-0000-0000-00003E710000}"/>
    <cellStyle name="Normal 237 27 2" xfId="28985" xr:uid="{00000000-0005-0000-0000-00003F710000}"/>
    <cellStyle name="Normal 237 28" xfId="28986" xr:uid="{00000000-0005-0000-0000-000040710000}"/>
    <cellStyle name="Normal 237 28 2" xfId="28987" xr:uid="{00000000-0005-0000-0000-000041710000}"/>
    <cellStyle name="Normal 237 29" xfId="28988" xr:uid="{00000000-0005-0000-0000-000042710000}"/>
    <cellStyle name="Normal 237 29 2" xfId="28989" xr:uid="{00000000-0005-0000-0000-000043710000}"/>
    <cellStyle name="Normal 237 3" xfId="28990" xr:uid="{00000000-0005-0000-0000-000044710000}"/>
    <cellStyle name="Normal 237 3 2" xfId="28991" xr:uid="{00000000-0005-0000-0000-000045710000}"/>
    <cellStyle name="Normal 237 30" xfId="28992" xr:uid="{00000000-0005-0000-0000-000046710000}"/>
    <cellStyle name="Normal 237 30 2" xfId="28993" xr:uid="{00000000-0005-0000-0000-000047710000}"/>
    <cellStyle name="Normal 237 31" xfId="28994" xr:uid="{00000000-0005-0000-0000-000048710000}"/>
    <cellStyle name="Normal 237 31 2" xfId="28995" xr:uid="{00000000-0005-0000-0000-000049710000}"/>
    <cellStyle name="Normal 237 32" xfId="28996" xr:uid="{00000000-0005-0000-0000-00004A710000}"/>
    <cellStyle name="Normal 237 32 2" xfId="28997" xr:uid="{00000000-0005-0000-0000-00004B710000}"/>
    <cellStyle name="Normal 237 33" xfId="28998" xr:uid="{00000000-0005-0000-0000-00004C710000}"/>
    <cellStyle name="Normal 237 33 2" xfId="28999" xr:uid="{00000000-0005-0000-0000-00004D710000}"/>
    <cellStyle name="Normal 237 34" xfId="29000" xr:uid="{00000000-0005-0000-0000-00004E710000}"/>
    <cellStyle name="Normal 237 34 2" xfId="29001" xr:uid="{00000000-0005-0000-0000-00004F710000}"/>
    <cellStyle name="Normal 237 35" xfId="29002" xr:uid="{00000000-0005-0000-0000-000050710000}"/>
    <cellStyle name="Normal 237 35 2" xfId="29003" xr:uid="{00000000-0005-0000-0000-000051710000}"/>
    <cellStyle name="Normal 237 36" xfId="29004" xr:uid="{00000000-0005-0000-0000-000052710000}"/>
    <cellStyle name="Normal 237 36 2" xfId="29005" xr:uid="{00000000-0005-0000-0000-000053710000}"/>
    <cellStyle name="Normal 237 37" xfId="29006" xr:uid="{00000000-0005-0000-0000-000054710000}"/>
    <cellStyle name="Normal 237 37 2" xfId="29007" xr:uid="{00000000-0005-0000-0000-000055710000}"/>
    <cellStyle name="Normal 237 38" xfId="29008" xr:uid="{00000000-0005-0000-0000-000056710000}"/>
    <cellStyle name="Normal 237 38 2" xfId="29009" xr:uid="{00000000-0005-0000-0000-000057710000}"/>
    <cellStyle name="Normal 237 39" xfId="29010" xr:uid="{00000000-0005-0000-0000-000058710000}"/>
    <cellStyle name="Normal 237 39 2" xfId="29011" xr:uid="{00000000-0005-0000-0000-000059710000}"/>
    <cellStyle name="Normal 237 4" xfId="29012" xr:uid="{00000000-0005-0000-0000-00005A710000}"/>
    <cellStyle name="Normal 237 4 2" xfId="29013" xr:uid="{00000000-0005-0000-0000-00005B710000}"/>
    <cellStyle name="Normal 237 40" xfId="29014" xr:uid="{00000000-0005-0000-0000-00005C710000}"/>
    <cellStyle name="Normal 237 40 2" xfId="29015" xr:uid="{00000000-0005-0000-0000-00005D710000}"/>
    <cellStyle name="Normal 237 41" xfId="29016" xr:uid="{00000000-0005-0000-0000-00005E710000}"/>
    <cellStyle name="Normal 237 41 2" xfId="29017" xr:uid="{00000000-0005-0000-0000-00005F710000}"/>
    <cellStyle name="Normal 237 42" xfId="29018" xr:uid="{00000000-0005-0000-0000-000060710000}"/>
    <cellStyle name="Normal 237 42 2" xfId="29019" xr:uid="{00000000-0005-0000-0000-000061710000}"/>
    <cellStyle name="Normal 237 43" xfId="29020" xr:uid="{00000000-0005-0000-0000-000062710000}"/>
    <cellStyle name="Normal 237 43 2" xfId="29021" xr:uid="{00000000-0005-0000-0000-000063710000}"/>
    <cellStyle name="Normal 237 44" xfId="29022" xr:uid="{00000000-0005-0000-0000-000064710000}"/>
    <cellStyle name="Normal 237 44 2" xfId="29023" xr:uid="{00000000-0005-0000-0000-000065710000}"/>
    <cellStyle name="Normal 237 45" xfId="29024" xr:uid="{00000000-0005-0000-0000-000066710000}"/>
    <cellStyle name="Normal 237 45 2" xfId="29025" xr:uid="{00000000-0005-0000-0000-000067710000}"/>
    <cellStyle name="Normal 237 46" xfId="29026" xr:uid="{00000000-0005-0000-0000-000068710000}"/>
    <cellStyle name="Normal 237 46 2" xfId="29027" xr:uid="{00000000-0005-0000-0000-000069710000}"/>
    <cellStyle name="Normal 237 47" xfId="29028" xr:uid="{00000000-0005-0000-0000-00006A710000}"/>
    <cellStyle name="Normal 237 47 2" xfId="29029" xr:uid="{00000000-0005-0000-0000-00006B710000}"/>
    <cellStyle name="Normal 237 48" xfId="29030" xr:uid="{00000000-0005-0000-0000-00006C710000}"/>
    <cellStyle name="Normal 237 48 2" xfId="29031" xr:uid="{00000000-0005-0000-0000-00006D710000}"/>
    <cellStyle name="Normal 237 49" xfId="29032" xr:uid="{00000000-0005-0000-0000-00006E710000}"/>
    <cellStyle name="Normal 237 49 2" xfId="29033" xr:uid="{00000000-0005-0000-0000-00006F710000}"/>
    <cellStyle name="Normal 237 5" xfId="29034" xr:uid="{00000000-0005-0000-0000-000070710000}"/>
    <cellStyle name="Normal 237 5 2" xfId="29035" xr:uid="{00000000-0005-0000-0000-000071710000}"/>
    <cellStyle name="Normal 237 50" xfId="29036" xr:uid="{00000000-0005-0000-0000-000072710000}"/>
    <cellStyle name="Normal 237 50 2" xfId="29037" xr:uid="{00000000-0005-0000-0000-000073710000}"/>
    <cellStyle name="Normal 237 51" xfId="29038" xr:uid="{00000000-0005-0000-0000-000074710000}"/>
    <cellStyle name="Normal 237 51 2" xfId="29039" xr:uid="{00000000-0005-0000-0000-000075710000}"/>
    <cellStyle name="Normal 237 52" xfId="29040" xr:uid="{00000000-0005-0000-0000-000076710000}"/>
    <cellStyle name="Normal 237 52 2" xfId="29041" xr:uid="{00000000-0005-0000-0000-000077710000}"/>
    <cellStyle name="Normal 237 53" xfId="29042" xr:uid="{00000000-0005-0000-0000-000078710000}"/>
    <cellStyle name="Normal 237 53 2" xfId="29043" xr:uid="{00000000-0005-0000-0000-000079710000}"/>
    <cellStyle name="Normal 237 54" xfId="29044" xr:uid="{00000000-0005-0000-0000-00007A710000}"/>
    <cellStyle name="Normal 237 54 2" xfId="29045" xr:uid="{00000000-0005-0000-0000-00007B710000}"/>
    <cellStyle name="Normal 237 55" xfId="29046" xr:uid="{00000000-0005-0000-0000-00007C710000}"/>
    <cellStyle name="Normal 237 55 2" xfId="29047" xr:uid="{00000000-0005-0000-0000-00007D710000}"/>
    <cellStyle name="Normal 237 56" xfId="29048" xr:uid="{00000000-0005-0000-0000-00007E710000}"/>
    <cellStyle name="Normal 237 56 2" xfId="29049" xr:uid="{00000000-0005-0000-0000-00007F710000}"/>
    <cellStyle name="Normal 237 57" xfId="29050" xr:uid="{00000000-0005-0000-0000-000080710000}"/>
    <cellStyle name="Normal 237 57 2" xfId="29051" xr:uid="{00000000-0005-0000-0000-000081710000}"/>
    <cellStyle name="Normal 237 58" xfId="29052" xr:uid="{00000000-0005-0000-0000-000082710000}"/>
    <cellStyle name="Normal 237 58 2" xfId="29053" xr:uid="{00000000-0005-0000-0000-000083710000}"/>
    <cellStyle name="Normal 237 59" xfId="29054" xr:uid="{00000000-0005-0000-0000-000084710000}"/>
    <cellStyle name="Normal 237 59 2" xfId="29055" xr:uid="{00000000-0005-0000-0000-000085710000}"/>
    <cellStyle name="Normal 237 6" xfId="29056" xr:uid="{00000000-0005-0000-0000-000086710000}"/>
    <cellStyle name="Normal 237 6 2" xfId="29057" xr:uid="{00000000-0005-0000-0000-000087710000}"/>
    <cellStyle name="Normal 237 60" xfId="29058" xr:uid="{00000000-0005-0000-0000-000088710000}"/>
    <cellStyle name="Normal 237 60 2" xfId="29059" xr:uid="{00000000-0005-0000-0000-000089710000}"/>
    <cellStyle name="Normal 237 61" xfId="29060" xr:uid="{00000000-0005-0000-0000-00008A710000}"/>
    <cellStyle name="Normal 237 61 2" xfId="29061" xr:uid="{00000000-0005-0000-0000-00008B710000}"/>
    <cellStyle name="Normal 237 62" xfId="29062" xr:uid="{00000000-0005-0000-0000-00008C710000}"/>
    <cellStyle name="Normal 237 62 2" xfId="29063" xr:uid="{00000000-0005-0000-0000-00008D710000}"/>
    <cellStyle name="Normal 237 62 3" xfId="29064" xr:uid="{00000000-0005-0000-0000-00008E710000}"/>
    <cellStyle name="Normal 237 63" xfId="29065" xr:uid="{00000000-0005-0000-0000-00008F710000}"/>
    <cellStyle name="Normal 237 7" xfId="29066" xr:uid="{00000000-0005-0000-0000-000090710000}"/>
    <cellStyle name="Normal 237 7 2" xfId="29067" xr:uid="{00000000-0005-0000-0000-000091710000}"/>
    <cellStyle name="Normal 237 8" xfId="29068" xr:uid="{00000000-0005-0000-0000-000092710000}"/>
    <cellStyle name="Normal 237 8 2" xfId="29069" xr:uid="{00000000-0005-0000-0000-000093710000}"/>
    <cellStyle name="Normal 237 9" xfId="29070" xr:uid="{00000000-0005-0000-0000-000094710000}"/>
    <cellStyle name="Normal 237 9 2" xfId="29071" xr:uid="{00000000-0005-0000-0000-000095710000}"/>
    <cellStyle name="Normal 238" xfId="29072" xr:uid="{00000000-0005-0000-0000-000096710000}"/>
    <cellStyle name="Normal 239" xfId="29073" xr:uid="{00000000-0005-0000-0000-000097710000}"/>
    <cellStyle name="Normal 24" xfId="29074" xr:uid="{00000000-0005-0000-0000-000098710000}"/>
    <cellStyle name="Normal 24 10" xfId="29075" xr:uid="{00000000-0005-0000-0000-000099710000}"/>
    <cellStyle name="Normal 24 10 2" xfId="29076" xr:uid="{00000000-0005-0000-0000-00009A710000}"/>
    <cellStyle name="Normal 24 11" xfId="29077" xr:uid="{00000000-0005-0000-0000-00009B710000}"/>
    <cellStyle name="Normal 24 11 2" xfId="29078" xr:uid="{00000000-0005-0000-0000-00009C710000}"/>
    <cellStyle name="Normal 24 12" xfId="29079" xr:uid="{00000000-0005-0000-0000-00009D710000}"/>
    <cellStyle name="Normal 24 12 2" xfId="29080" xr:uid="{00000000-0005-0000-0000-00009E710000}"/>
    <cellStyle name="Normal 24 13" xfId="29081" xr:uid="{00000000-0005-0000-0000-00009F710000}"/>
    <cellStyle name="Normal 24 13 2" xfId="29082" xr:uid="{00000000-0005-0000-0000-0000A0710000}"/>
    <cellStyle name="Normal 24 14" xfId="29083" xr:uid="{00000000-0005-0000-0000-0000A1710000}"/>
    <cellStyle name="Normal 24 14 2" xfId="29084" xr:uid="{00000000-0005-0000-0000-0000A2710000}"/>
    <cellStyle name="Normal 24 15" xfId="29085" xr:uid="{00000000-0005-0000-0000-0000A3710000}"/>
    <cellStyle name="Normal 24 15 2" xfId="29086" xr:uid="{00000000-0005-0000-0000-0000A4710000}"/>
    <cellStyle name="Normal 24 16" xfId="29087" xr:uid="{00000000-0005-0000-0000-0000A5710000}"/>
    <cellStyle name="Normal 24 16 2" xfId="29088" xr:uid="{00000000-0005-0000-0000-0000A6710000}"/>
    <cellStyle name="Normal 24 17" xfId="29089" xr:uid="{00000000-0005-0000-0000-0000A7710000}"/>
    <cellStyle name="Normal 24 17 2" xfId="29090" xr:uid="{00000000-0005-0000-0000-0000A8710000}"/>
    <cellStyle name="Normal 24 18" xfId="29091" xr:uid="{00000000-0005-0000-0000-0000A9710000}"/>
    <cellStyle name="Normal 24 18 2" xfId="29092" xr:uid="{00000000-0005-0000-0000-0000AA710000}"/>
    <cellStyle name="Normal 24 19" xfId="29093" xr:uid="{00000000-0005-0000-0000-0000AB710000}"/>
    <cellStyle name="Normal 24 19 2" xfId="29094" xr:uid="{00000000-0005-0000-0000-0000AC710000}"/>
    <cellStyle name="Normal 24 2" xfId="29095" xr:uid="{00000000-0005-0000-0000-0000AD710000}"/>
    <cellStyle name="Normal 24 2 2" xfId="29096" xr:uid="{00000000-0005-0000-0000-0000AE710000}"/>
    <cellStyle name="Normal 24 20" xfId="29097" xr:uid="{00000000-0005-0000-0000-0000AF710000}"/>
    <cellStyle name="Normal 24 20 2" xfId="29098" xr:uid="{00000000-0005-0000-0000-0000B0710000}"/>
    <cellStyle name="Normal 24 21" xfId="29099" xr:uid="{00000000-0005-0000-0000-0000B1710000}"/>
    <cellStyle name="Normal 24 21 2" xfId="29100" xr:uid="{00000000-0005-0000-0000-0000B2710000}"/>
    <cellStyle name="Normal 24 22" xfId="29101" xr:uid="{00000000-0005-0000-0000-0000B3710000}"/>
    <cellStyle name="Normal 24 22 2" xfId="29102" xr:uid="{00000000-0005-0000-0000-0000B4710000}"/>
    <cellStyle name="Normal 24 23" xfId="29103" xr:uid="{00000000-0005-0000-0000-0000B5710000}"/>
    <cellStyle name="Normal 24 23 2" xfId="29104" xr:uid="{00000000-0005-0000-0000-0000B6710000}"/>
    <cellStyle name="Normal 24 24" xfId="29105" xr:uid="{00000000-0005-0000-0000-0000B7710000}"/>
    <cellStyle name="Normal 24 24 2" xfId="29106" xr:uid="{00000000-0005-0000-0000-0000B8710000}"/>
    <cellStyle name="Normal 24 25" xfId="29107" xr:uid="{00000000-0005-0000-0000-0000B9710000}"/>
    <cellStyle name="Normal 24 25 2" xfId="29108" xr:uid="{00000000-0005-0000-0000-0000BA710000}"/>
    <cellStyle name="Normal 24 26" xfId="29109" xr:uid="{00000000-0005-0000-0000-0000BB710000}"/>
    <cellStyle name="Normal 24 26 2" xfId="29110" xr:uid="{00000000-0005-0000-0000-0000BC710000}"/>
    <cellStyle name="Normal 24 27" xfId="29111" xr:uid="{00000000-0005-0000-0000-0000BD710000}"/>
    <cellStyle name="Normal 24 27 2" xfId="29112" xr:uid="{00000000-0005-0000-0000-0000BE710000}"/>
    <cellStyle name="Normal 24 28" xfId="29113" xr:uid="{00000000-0005-0000-0000-0000BF710000}"/>
    <cellStyle name="Normal 24 28 2" xfId="29114" xr:uid="{00000000-0005-0000-0000-0000C0710000}"/>
    <cellStyle name="Normal 24 29" xfId="29115" xr:uid="{00000000-0005-0000-0000-0000C1710000}"/>
    <cellStyle name="Normal 24 29 2" xfId="29116" xr:uid="{00000000-0005-0000-0000-0000C2710000}"/>
    <cellStyle name="Normal 24 3" xfId="29117" xr:uid="{00000000-0005-0000-0000-0000C3710000}"/>
    <cellStyle name="Normal 24 3 2" xfId="29118" xr:uid="{00000000-0005-0000-0000-0000C4710000}"/>
    <cellStyle name="Normal 24 30" xfId="29119" xr:uid="{00000000-0005-0000-0000-0000C5710000}"/>
    <cellStyle name="Normal 24 30 2" xfId="29120" xr:uid="{00000000-0005-0000-0000-0000C6710000}"/>
    <cellStyle name="Normal 24 31" xfId="29121" xr:uid="{00000000-0005-0000-0000-0000C7710000}"/>
    <cellStyle name="Normal 24 31 2" xfId="29122" xr:uid="{00000000-0005-0000-0000-0000C8710000}"/>
    <cellStyle name="Normal 24 32" xfId="29123" xr:uid="{00000000-0005-0000-0000-0000C9710000}"/>
    <cellStyle name="Normal 24 32 2" xfId="29124" xr:uid="{00000000-0005-0000-0000-0000CA710000}"/>
    <cellStyle name="Normal 24 33" xfId="29125" xr:uid="{00000000-0005-0000-0000-0000CB710000}"/>
    <cellStyle name="Normal 24 33 2" xfId="29126" xr:uid="{00000000-0005-0000-0000-0000CC710000}"/>
    <cellStyle name="Normal 24 34" xfId="29127" xr:uid="{00000000-0005-0000-0000-0000CD710000}"/>
    <cellStyle name="Normal 24 34 2" xfId="29128" xr:uid="{00000000-0005-0000-0000-0000CE710000}"/>
    <cellStyle name="Normal 24 35" xfId="29129" xr:uid="{00000000-0005-0000-0000-0000CF710000}"/>
    <cellStyle name="Normal 24 35 2" xfId="29130" xr:uid="{00000000-0005-0000-0000-0000D0710000}"/>
    <cellStyle name="Normal 24 36" xfId="29131" xr:uid="{00000000-0005-0000-0000-0000D1710000}"/>
    <cellStyle name="Normal 24 36 2" xfId="29132" xr:uid="{00000000-0005-0000-0000-0000D2710000}"/>
    <cellStyle name="Normal 24 37" xfId="29133" xr:uid="{00000000-0005-0000-0000-0000D3710000}"/>
    <cellStyle name="Normal 24 37 2" xfId="29134" xr:uid="{00000000-0005-0000-0000-0000D4710000}"/>
    <cellStyle name="Normal 24 38" xfId="29135" xr:uid="{00000000-0005-0000-0000-0000D5710000}"/>
    <cellStyle name="Normal 24 38 2" xfId="29136" xr:uid="{00000000-0005-0000-0000-0000D6710000}"/>
    <cellStyle name="Normal 24 39" xfId="29137" xr:uid="{00000000-0005-0000-0000-0000D7710000}"/>
    <cellStyle name="Normal 24 39 2" xfId="29138" xr:uid="{00000000-0005-0000-0000-0000D8710000}"/>
    <cellStyle name="Normal 24 4" xfId="29139" xr:uid="{00000000-0005-0000-0000-0000D9710000}"/>
    <cellStyle name="Normal 24 4 2" xfId="29140" xr:uid="{00000000-0005-0000-0000-0000DA710000}"/>
    <cellStyle name="Normal 24 40" xfId="29141" xr:uid="{00000000-0005-0000-0000-0000DB710000}"/>
    <cellStyle name="Normal 24 40 2" xfId="29142" xr:uid="{00000000-0005-0000-0000-0000DC710000}"/>
    <cellStyle name="Normal 24 41" xfId="29143" xr:uid="{00000000-0005-0000-0000-0000DD710000}"/>
    <cellStyle name="Normal 24 41 2" xfId="29144" xr:uid="{00000000-0005-0000-0000-0000DE710000}"/>
    <cellStyle name="Normal 24 42" xfId="29145" xr:uid="{00000000-0005-0000-0000-0000DF710000}"/>
    <cellStyle name="Normal 24 42 2" xfId="29146" xr:uid="{00000000-0005-0000-0000-0000E0710000}"/>
    <cellStyle name="Normal 24 43" xfId="29147" xr:uid="{00000000-0005-0000-0000-0000E1710000}"/>
    <cellStyle name="Normal 24 43 2" xfId="29148" xr:uid="{00000000-0005-0000-0000-0000E2710000}"/>
    <cellStyle name="Normal 24 44" xfId="29149" xr:uid="{00000000-0005-0000-0000-0000E3710000}"/>
    <cellStyle name="Normal 24 44 2" xfId="29150" xr:uid="{00000000-0005-0000-0000-0000E4710000}"/>
    <cellStyle name="Normal 24 45" xfId="29151" xr:uid="{00000000-0005-0000-0000-0000E5710000}"/>
    <cellStyle name="Normal 24 45 2" xfId="29152" xr:uid="{00000000-0005-0000-0000-0000E6710000}"/>
    <cellStyle name="Normal 24 46" xfId="29153" xr:uid="{00000000-0005-0000-0000-0000E7710000}"/>
    <cellStyle name="Normal 24 46 2" xfId="29154" xr:uid="{00000000-0005-0000-0000-0000E8710000}"/>
    <cellStyle name="Normal 24 47" xfId="29155" xr:uid="{00000000-0005-0000-0000-0000E9710000}"/>
    <cellStyle name="Normal 24 47 2" xfId="29156" xr:uid="{00000000-0005-0000-0000-0000EA710000}"/>
    <cellStyle name="Normal 24 48" xfId="29157" xr:uid="{00000000-0005-0000-0000-0000EB710000}"/>
    <cellStyle name="Normal 24 48 2" xfId="29158" xr:uid="{00000000-0005-0000-0000-0000EC710000}"/>
    <cellStyle name="Normal 24 49" xfId="29159" xr:uid="{00000000-0005-0000-0000-0000ED710000}"/>
    <cellStyle name="Normal 24 49 2" xfId="29160" xr:uid="{00000000-0005-0000-0000-0000EE710000}"/>
    <cellStyle name="Normal 24 5" xfId="29161" xr:uid="{00000000-0005-0000-0000-0000EF710000}"/>
    <cellStyle name="Normal 24 5 2" xfId="29162" xr:uid="{00000000-0005-0000-0000-0000F0710000}"/>
    <cellStyle name="Normal 24 50" xfId="29163" xr:uid="{00000000-0005-0000-0000-0000F1710000}"/>
    <cellStyle name="Normal 24 50 2" xfId="29164" xr:uid="{00000000-0005-0000-0000-0000F2710000}"/>
    <cellStyle name="Normal 24 51" xfId="29165" xr:uid="{00000000-0005-0000-0000-0000F3710000}"/>
    <cellStyle name="Normal 24 51 2" xfId="29166" xr:uid="{00000000-0005-0000-0000-0000F4710000}"/>
    <cellStyle name="Normal 24 52" xfId="29167" xr:uid="{00000000-0005-0000-0000-0000F5710000}"/>
    <cellStyle name="Normal 24 52 2" xfId="29168" xr:uid="{00000000-0005-0000-0000-0000F6710000}"/>
    <cellStyle name="Normal 24 53" xfId="29169" xr:uid="{00000000-0005-0000-0000-0000F7710000}"/>
    <cellStyle name="Normal 24 53 2" xfId="29170" xr:uid="{00000000-0005-0000-0000-0000F8710000}"/>
    <cellStyle name="Normal 24 54" xfId="29171" xr:uid="{00000000-0005-0000-0000-0000F9710000}"/>
    <cellStyle name="Normal 24 54 2" xfId="29172" xr:uid="{00000000-0005-0000-0000-0000FA710000}"/>
    <cellStyle name="Normal 24 55" xfId="29173" xr:uid="{00000000-0005-0000-0000-0000FB710000}"/>
    <cellStyle name="Normal 24 55 2" xfId="29174" xr:uid="{00000000-0005-0000-0000-0000FC710000}"/>
    <cellStyle name="Normal 24 56" xfId="29175" xr:uid="{00000000-0005-0000-0000-0000FD710000}"/>
    <cellStyle name="Normal 24 56 2" xfId="29176" xr:uid="{00000000-0005-0000-0000-0000FE710000}"/>
    <cellStyle name="Normal 24 57" xfId="29177" xr:uid="{00000000-0005-0000-0000-0000FF710000}"/>
    <cellStyle name="Normal 24 57 2" xfId="29178" xr:uid="{00000000-0005-0000-0000-000000720000}"/>
    <cellStyle name="Normal 24 58" xfId="29179" xr:uid="{00000000-0005-0000-0000-000001720000}"/>
    <cellStyle name="Normal 24 58 2" xfId="29180" xr:uid="{00000000-0005-0000-0000-000002720000}"/>
    <cellStyle name="Normal 24 59" xfId="29181" xr:uid="{00000000-0005-0000-0000-000003720000}"/>
    <cellStyle name="Normal 24 6" xfId="29182" xr:uid="{00000000-0005-0000-0000-000004720000}"/>
    <cellStyle name="Normal 24 6 2" xfId="29183" xr:uid="{00000000-0005-0000-0000-000005720000}"/>
    <cellStyle name="Normal 24 60" xfId="29184" xr:uid="{00000000-0005-0000-0000-000006720000}"/>
    <cellStyle name="Normal 24 7" xfId="29185" xr:uid="{00000000-0005-0000-0000-000007720000}"/>
    <cellStyle name="Normal 24 7 2" xfId="29186" xr:uid="{00000000-0005-0000-0000-000008720000}"/>
    <cellStyle name="Normal 24 8" xfId="29187" xr:uid="{00000000-0005-0000-0000-000009720000}"/>
    <cellStyle name="Normal 24 8 2" xfId="29188" xr:uid="{00000000-0005-0000-0000-00000A720000}"/>
    <cellStyle name="Normal 24 9" xfId="29189" xr:uid="{00000000-0005-0000-0000-00000B720000}"/>
    <cellStyle name="Normal 24 9 2" xfId="29190" xr:uid="{00000000-0005-0000-0000-00000C720000}"/>
    <cellStyle name="Normal 240" xfId="29191" xr:uid="{00000000-0005-0000-0000-00000D720000}"/>
    <cellStyle name="Normal 240 10" xfId="29192" xr:uid="{00000000-0005-0000-0000-00000E720000}"/>
    <cellStyle name="Normal 240 10 2" xfId="29193" xr:uid="{00000000-0005-0000-0000-00000F720000}"/>
    <cellStyle name="Normal 240 11" xfId="29194" xr:uid="{00000000-0005-0000-0000-000010720000}"/>
    <cellStyle name="Normal 240 11 2" xfId="29195" xr:uid="{00000000-0005-0000-0000-000011720000}"/>
    <cellStyle name="Normal 240 12" xfId="29196" xr:uid="{00000000-0005-0000-0000-000012720000}"/>
    <cellStyle name="Normal 240 12 2" xfId="29197" xr:uid="{00000000-0005-0000-0000-000013720000}"/>
    <cellStyle name="Normal 240 13" xfId="29198" xr:uid="{00000000-0005-0000-0000-000014720000}"/>
    <cellStyle name="Normal 240 13 2" xfId="29199" xr:uid="{00000000-0005-0000-0000-000015720000}"/>
    <cellStyle name="Normal 240 14" xfId="29200" xr:uid="{00000000-0005-0000-0000-000016720000}"/>
    <cellStyle name="Normal 240 14 2" xfId="29201" xr:uid="{00000000-0005-0000-0000-000017720000}"/>
    <cellStyle name="Normal 240 15" xfId="29202" xr:uid="{00000000-0005-0000-0000-000018720000}"/>
    <cellStyle name="Normal 240 15 2" xfId="29203" xr:uid="{00000000-0005-0000-0000-000019720000}"/>
    <cellStyle name="Normal 240 16" xfId="29204" xr:uid="{00000000-0005-0000-0000-00001A720000}"/>
    <cellStyle name="Normal 240 16 2" xfId="29205" xr:uid="{00000000-0005-0000-0000-00001B720000}"/>
    <cellStyle name="Normal 240 17" xfId="29206" xr:uid="{00000000-0005-0000-0000-00001C720000}"/>
    <cellStyle name="Normal 240 17 2" xfId="29207" xr:uid="{00000000-0005-0000-0000-00001D720000}"/>
    <cellStyle name="Normal 240 18" xfId="29208" xr:uid="{00000000-0005-0000-0000-00001E720000}"/>
    <cellStyle name="Normal 240 18 2" xfId="29209" xr:uid="{00000000-0005-0000-0000-00001F720000}"/>
    <cellStyle name="Normal 240 19" xfId="29210" xr:uid="{00000000-0005-0000-0000-000020720000}"/>
    <cellStyle name="Normal 240 19 2" xfId="29211" xr:uid="{00000000-0005-0000-0000-000021720000}"/>
    <cellStyle name="Normal 240 2" xfId="29212" xr:uid="{00000000-0005-0000-0000-000022720000}"/>
    <cellStyle name="Normal 240 2 2" xfId="29213" xr:uid="{00000000-0005-0000-0000-000023720000}"/>
    <cellStyle name="Normal 240 20" xfId="29214" xr:uid="{00000000-0005-0000-0000-000024720000}"/>
    <cellStyle name="Normal 240 20 2" xfId="29215" xr:uid="{00000000-0005-0000-0000-000025720000}"/>
    <cellStyle name="Normal 240 21" xfId="29216" xr:uid="{00000000-0005-0000-0000-000026720000}"/>
    <cellStyle name="Normal 240 21 2" xfId="29217" xr:uid="{00000000-0005-0000-0000-000027720000}"/>
    <cellStyle name="Normal 240 22" xfId="29218" xr:uid="{00000000-0005-0000-0000-000028720000}"/>
    <cellStyle name="Normal 240 22 2" xfId="29219" xr:uid="{00000000-0005-0000-0000-000029720000}"/>
    <cellStyle name="Normal 240 23" xfId="29220" xr:uid="{00000000-0005-0000-0000-00002A720000}"/>
    <cellStyle name="Normal 240 23 2" xfId="29221" xr:uid="{00000000-0005-0000-0000-00002B720000}"/>
    <cellStyle name="Normal 240 24" xfId="29222" xr:uid="{00000000-0005-0000-0000-00002C720000}"/>
    <cellStyle name="Normal 240 24 2" xfId="29223" xr:uid="{00000000-0005-0000-0000-00002D720000}"/>
    <cellStyle name="Normal 240 25" xfId="29224" xr:uid="{00000000-0005-0000-0000-00002E720000}"/>
    <cellStyle name="Normal 240 25 2" xfId="29225" xr:uid="{00000000-0005-0000-0000-00002F720000}"/>
    <cellStyle name="Normal 240 26" xfId="29226" xr:uid="{00000000-0005-0000-0000-000030720000}"/>
    <cellStyle name="Normal 240 26 2" xfId="29227" xr:uid="{00000000-0005-0000-0000-000031720000}"/>
    <cellStyle name="Normal 240 27" xfId="29228" xr:uid="{00000000-0005-0000-0000-000032720000}"/>
    <cellStyle name="Normal 240 27 2" xfId="29229" xr:uid="{00000000-0005-0000-0000-000033720000}"/>
    <cellStyle name="Normal 240 28" xfId="29230" xr:uid="{00000000-0005-0000-0000-000034720000}"/>
    <cellStyle name="Normal 240 28 2" xfId="29231" xr:uid="{00000000-0005-0000-0000-000035720000}"/>
    <cellStyle name="Normal 240 29" xfId="29232" xr:uid="{00000000-0005-0000-0000-000036720000}"/>
    <cellStyle name="Normal 240 29 2" xfId="29233" xr:uid="{00000000-0005-0000-0000-000037720000}"/>
    <cellStyle name="Normal 240 3" xfId="29234" xr:uid="{00000000-0005-0000-0000-000038720000}"/>
    <cellStyle name="Normal 240 3 2" xfId="29235" xr:uid="{00000000-0005-0000-0000-000039720000}"/>
    <cellStyle name="Normal 240 30" xfId="29236" xr:uid="{00000000-0005-0000-0000-00003A720000}"/>
    <cellStyle name="Normal 240 30 2" xfId="29237" xr:uid="{00000000-0005-0000-0000-00003B720000}"/>
    <cellStyle name="Normal 240 31" xfId="29238" xr:uid="{00000000-0005-0000-0000-00003C720000}"/>
    <cellStyle name="Normal 240 31 2" xfId="29239" xr:uid="{00000000-0005-0000-0000-00003D720000}"/>
    <cellStyle name="Normal 240 32" xfId="29240" xr:uid="{00000000-0005-0000-0000-00003E720000}"/>
    <cellStyle name="Normal 240 32 2" xfId="29241" xr:uid="{00000000-0005-0000-0000-00003F720000}"/>
    <cellStyle name="Normal 240 33" xfId="29242" xr:uid="{00000000-0005-0000-0000-000040720000}"/>
    <cellStyle name="Normal 240 33 2" xfId="29243" xr:uid="{00000000-0005-0000-0000-000041720000}"/>
    <cellStyle name="Normal 240 34" xfId="29244" xr:uid="{00000000-0005-0000-0000-000042720000}"/>
    <cellStyle name="Normal 240 34 2" xfId="29245" xr:uid="{00000000-0005-0000-0000-000043720000}"/>
    <cellStyle name="Normal 240 35" xfId="29246" xr:uid="{00000000-0005-0000-0000-000044720000}"/>
    <cellStyle name="Normal 240 35 2" xfId="29247" xr:uid="{00000000-0005-0000-0000-000045720000}"/>
    <cellStyle name="Normal 240 36" xfId="29248" xr:uid="{00000000-0005-0000-0000-000046720000}"/>
    <cellStyle name="Normal 240 36 2" xfId="29249" xr:uid="{00000000-0005-0000-0000-000047720000}"/>
    <cellStyle name="Normal 240 37" xfId="29250" xr:uid="{00000000-0005-0000-0000-000048720000}"/>
    <cellStyle name="Normal 240 37 2" xfId="29251" xr:uid="{00000000-0005-0000-0000-000049720000}"/>
    <cellStyle name="Normal 240 38" xfId="29252" xr:uid="{00000000-0005-0000-0000-00004A720000}"/>
    <cellStyle name="Normal 240 38 2" xfId="29253" xr:uid="{00000000-0005-0000-0000-00004B720000}"/>
    <cellStyle name="Normal 240 39" xfId="29254" xr:uid="{00000000-0005-0000-0000-00004C720000}"/>
    <cellStyle name="Normal 240 39 2" xfId="29255" xr:uid="{00000000-0005-0000-0000-00004D720000}"/>
    <cellStyle name="Normal 240 4" xfId="29256" xr:uid="{00000000-0005-0000-0000-00004E720000}"/>
    <cellStyle name="Normal 240 4 2" xfId="29257" xr:uid="{00000000-0005-0000-0000-00004F720000}"/>
    <cellStyle name="Normal 240 40" xfId="29258" xr:uid="{00000000-0005-0000-0000-000050720000}"/>
    <cellStyle name="Normal 240 40 2" xfId="29259" xr:uid="{00000000-0005-0000-0000-000051720000}"/>
    <cellStyle name="Normal 240 41" xfId="29260" xr:uid="{00000000-0005-0000-0000-000052720000}"/>
    <cellStyle name="Normal 240 41 2" xfId="29261" xr:uid="{00000000-0005-0000-0000-000053720000}"/>
    <cellStyle name="Normal 240 42" xfId="29262" xr:uid="{00000000-0005-0000-0000-000054720000}"/>
    <cellStyle name="Normal 240 42 2" xfId="29263" xr:uid="{00000000-0005-0000-0000-000055720000}"/>
    <cellStyle name="Normal 240 43" xfId="29264" xr:uid="{00000000-0005-0000-0000-000056720000}"/>
    <cellStyle name="Normal 240 43 2" xfId="29265" xr:uid="{00000000-0005-0000-0000-000057720000}"/>
    <cellStyle name="Normal 240 44" xfId="29266" xr:uid="{00000000-0005-0000-0000-000058720000}"/>
    <cellStyle name="Normal 240 44 2" xfId="29267" xr:uid="{00000000-0005-0000-0000-000059720000}"/>
    <cellStyle name="Normal 240 45" xfId="29268" xr:uid="{00000000-0005-0000-0000-00005A720000}"/>
    <cellStyle name="Normal 240 45 2" xfId="29269" xr:uid="{00000000-0005-0000-0000-00005B720000}"/>
    <cellStyle name="Normal 240 46" xfId="29270" xr:uid="{00000000-0005-0000-0000-00005C720000}"/>
    <cellStyle name="Normal 240 46 2" xfId="29271" xr:uid="{00000000-0005-0000-0000-00005D720000}"/>
    <cellStyle name="Normal 240 47" xfId="29272" xr:uid="{00000000-0005-0000-0000-00005E720000}"/>
    <cellStyle name="Normal 240 47 2" xfId="29273" xr:uid="{00000000-0005-0000-0000-00005F720000}"/>
    <cellStyle name="Normal 240 48" xfId="29274" xr:uid="{00000000-0005-0000-0000-000060720000}"/>
    <cellStyle name="Normal 240 48 2" xfId="29275" xr:uid="{00000000-0005-0000-0000-000061720000}"/>
    <cellStyle name="Normal 240 49" xfId="29276" xr:uid="{00000000-0005-0000-0000-000062720000}"/>
    <cellStyle name="Normal 240 49 2" xfId="29277" xr:uid="{00000000-0005-0000-0000-000063720000}"/>
    <cellStyle name="Normal 240 5" xfId="29278" xr:uid="{00000000-0005-0000-0000-000064720000}"/>
    <cellStyle name="Normal 240 5 2" xfId="29279" xr:uid="{00000000-0005-0000-0000-000065720000}"/>
    <cellStyle name="Normal 240 50" xfId="29280" xr:uid="{00000000-0005-0000-0000-000066720000}"/>
    <cellStyle name="Normal 240 50 2" xfId="29281" xr:uid="{00000000-0005-0000-0000-000067720000}"/>
    <cellStyle name="Normal 240 51" xfId="29282" xr:uid="{00000000-0005-0000-0000-000068720000}"/>
    <cellStyle name="Normal 240 51 2" xfId="29283" xr:uid="{00000000-0005-0000-0000-000069720000}"/>
    <cellStyle name="Normal 240 52" xfId="29284" xr:uid="{00000000-0005-0000-0000-00006A720000}"/>
    <cellStyle name="Normal 240 52 2" xfId="29285" xr:uid="{00000000-0005-0000-0000-00006B720000}"/>
    <cellStyle name="Normal 240 53" xfId="29286" xr:uid="{00000000-0005-0000-0000-00006C720000}"/>
    <cellStyle name="Normal 240 53 2" xfId="29287" xr:uid="{00000000-0005-0000-0000-00006D720000}"/>
    <cellStyle name="Normal 240 54" xfId="29288" xr:uid="{00000000-0005-0000-0000-00006E720000}"/>
    <cellStyle name="Normal 240 54 2" xfId="29289" xr:uid="{00000000-0005-0000-0000-00006F720000}"/>
    <cellStyle name="Normal 240 55" xfId="29290" xr:uid="{00000000-0005-0000-0000-000070720000}"/>
    <cellStyle name="Normal 240 55 2" xfId="29291" xr:uid="{00000000-0005-0000-0000-000071720000}"/>
    <cellStyle name="Normal 240 56" xfId="29292" xr:uid="{00000000-0005-0000-0000-000072720000}"/>
    <cellStyle name="Normal 240 56 2" xfId="29293" xr:uid="{00000000-0005-0000-0000-000073720000}"/>
    <cellStyle name="Normal 240 57" xfId="29294" xr:uid="{00000000-0005-0000-0000-000074720000}"/>
    <cellStyle name="Normal 240 57 2" xfId="29295" xr:uid="{00000000-0005-0000-0000-000075720000}"/>
    <cellStyle name="Normal 240 58" xfId="29296" xr:uid="{00000000-0005-0000-0000-000076720000}"/>
    <cellStyle name="Normal 240 58 2" xfId="29297" xr:uid="{00000000-0005-0000-0000-000077720000}"/>
    <cellStyle name="Normal 240 59" xfId="29298" xr:uid="{00000000-0005-0000-0000-000078720000}"/>
    <cellStyle name="Normal 240 59 2" xfId="29299" xr:uid="{00000000-0005-0000-0000-000079720000}"/>
    <cellStyle name="Normal 240 6" xfId="29300" xr:uid="{00000000-0005-0000-0000-00007A720000}"/>
    <cellStyle name="Normal 240 6 2" xfId="29301" xr:uid="{00000000-0005-0000-0000-00007B720000}"/>
    <cellStyle name="Normal 240 60" xfId="29302" xr:uid="{00000000-0005-0000-0000-00007C720000}"/>
    <cellStyle name="Normal 240 60 2" xfId="29303" xr:uid="{00000000-0005-0000-0000-00007D720000}"/>
    <cellStyle name="Normal 240 61" xfId="29304" xr:uid="{00000000-0005-0000-0000-00007E720000}"/>
    <cellStyle name="Normal 240 61 2" xfId="29305" xr:uid="{00000000-0005-0000-0000-00007F720000}"/>
    <cellStyle name="Normal 240 62" xfId="29306" xr:uid="{00000000-0005-0000-0000-000080720000}"/>
    <cellStyle name="Normal 240 62 2" xfId="29307" xr:uid="{00000000-0005-0000-0000-000081720000}"/>
    <cellStyle name="Normal 240 62 3" xfId="29308" xr:uid="{00000000-0005-0000-0000-000082720000}"/>
    <cellStyle name="Normal 240 63" xfId="29309" xr:uid="{00000000-0005-0000-0000-000083720000}"/>
    <cellStyle name="Normal 240 7" xfId="29310" xr:uid="{00000000-0005-0000-0000-000084720000}"/>
    <cellStyle name="Normal 240 7 2" xfId="29311" xr:uid="{00000000-0005-0000-0000-000085720000}"/>
    <cellStyle name="Normal 240 8" xfId="29312" xr:uid="{00000000-0005-0000-0000-000086720000}"/>
    <cellStyle name="Normal 240 8 2" xfId="29313" xr:uid="{00000000-0005-0000-0000-000087720000}"/>
    <cellStyle name="Normal 240 9" xfId="29314" xr:uid="{00000000-0005-0000-0000-000088720000}"/>
    <cellStyle name="Normal 240 9 2" xfId="29315" xr:uid="{00000000-0005-0000-0000-000089720000}"/>
    <cellStyle name="Normal 241" xfId="29316" xr:uid="{00000000-0005-0000-0000-00008A720000}"/>
    <cellStyle name="Normal 242" xfId="29317" xr:uid="{00000000-0005-0000-0000-00008B720000}"/>
    <cellStyle name="Normal 243" xfId="29318" xr:uid="{00000000-0005-0000-0000-00008C720000}"/>
    <cellStyle name="Normal 243 10" xfId="29319" xr:uid="{00000000-0005-0000-0000-00008D720000}"/>
    <cellStyle name="Normal 243 10 2" xfId="29320" xr:uid="{00000000-0005-0000-0000-00008E720000}"/>
    <cellStyle name="Normal 243 11" xfId="29321" xr:uid="{00000000-0005-0000-0000-00008F720000}"/>
    <cellStyle name="Normal 243 11 2" xfId="29322" xr:uid="{00000000-0005-0000-0000-000090720000}"/>
    <cellStyle name="Normal 243 12" xfId="29323" xr:uid="{00000000-0005-0000-0000-000091720000}"/>
    <cellStyle name="Normal 243 12 2" xfId="29324" xr:uid="{00000000-0005-0000-0000-000092720000}"/>
    <cellStyle name="Normal 243 13" xfId="29325" xr:uid="{00000000-0005-0000-0000-000093720000}"/>
    <cellStyle name="Normal 243 13 2" xfId="29326" xr:uid="{00000000-0005-0000-0000-000094720000}"/>
    <cellStyle name="Normal 243 14" xfId="29327" xr:uid="{00000000-0005-0000-0000-000095720000}"/>
    <cellStyle name="Normal 243 14 2" xfId="29328" xr:uid="{00000000-0005-0000-0000-000096720000}"/>
    <cellStyle name="Normal 243 15" xfId="29329" xr:uid="{00000000-0005-0000-0000-000097720000}"/>
    <cellStyle name="Normal 243 15 2" xfId="29330" xr:uid="{00000000-0005-0000-0000-000098720000}"/>
    <cellStyle name="Normal 243 16" xfId="29331" xr:uid="{00000000-0005-0000-0000-000099720000}"/>
    <cellStyle name="Normal 243 16 2" xfId="29332" xr:uid="{00000000-0005-0000-0000-00009A720000}"/>
    <cellStyle name="Normal 243 17" xfId="29333" xr:uid="{00000000-0005-0000-0000-00009B720000}"/>
    <cellStyle name="Normal 243 17 2" xfId="29334" xr:uid="{00000000-0005-0000-0000-00009C720000}"/>
    <cellStyle name="Normal 243 18" xfId="29335" xr:uid="{00000000-0005-0000-0000-00009D720000}"/>
    <cellStyle name="Normal 243 18 2" xfId="29336" xr:uid="{00000000-0005-0000-0000-00009E720000}"/>
    <cellStyle name="Normal 243 19" xfId="29337" xr:uid="{00000000-0005-0000-0000-00009F720000}"/>
    <cellStyle name="Normal 243 19 2" xfId="29338" xr:uid="{00000000-0005-0000-0000-0000A0720000}"/>
    <cellStyle name="Normal 243 2" xfId="29339" xr:uid="{00000000-0005-0000-0000-0000A1720000}"/>
    <cellStyle name="Normal 243 2 2" xfId="29340" xr:uid="{00000000-0005-0000-0000-0000A2720000}"/>
    <cellStyle name="Normal 243 20" xfId="29341" xr:uid="{00000000-0005-0000-0000-0000A3720000}"/>
    <cellStyle name="Normal 243 20 2" xfId="29342" xr:uid="{00000000-0005-0000-0000-0000A4720000}"/>
    <cellStyle name="Normal 243 21" xfId="29343" xr:uid="{00000000-0005-0000-0000-0000A5720000}"/>
    <cellStyle name="Normal 243 21 2" xfId="29344" xr:uid="{00000000-0005-0000-0000-0000A6720000}"/>
    <cellStyle name="Normal 243 22" xfId="29345" xr:uid="{00000000-0005-0000-0000-0000A7720000}"/>
    <cellStyle name="Normal 243 22 2" xfId="29346" xr:uid="{00000000-0005-0000-0000-0000A8720000}"/>
    <cellStyle name="Normal 243 23" xfId="29347" xr:uid="{00000000-0005-0000-0000-0000A9720000}"/>
    <cellStyle name="Normal 243 23 2" xfId="29348" xr:uid="{00000000-0005-0000-0000-0000AA720000}"/>
    <cellStyle name="Normal 243 24" xfId="29349" xr:uid="{00000000-0005-0000-0000-0000AB720000}"/>
    <cellStyle name="Normal 243 24 2" xfId="29350" xr:uid="{00000000-0005-0000-0000-0000AC720000}"/>
    <cellStyle name="Normal 243 25" xfId="29351" xr:uid="{00000000-0005-0000-0000-0000AD720000}"/>
    <cellStyle name="Normal 243 25 2" xfId="29352" xr:uid="{00000000-0005-0000-0000-0000AE720000}"/>
    <cellStyle name="Normal 243 26" xfId="29353" xr:uid="{00000000-0005-0000-0000-0000AF720000}"/>
    <cellStyle name="Normal 243 26 2" xfId="29354" xr:uid="{00000000-0005-0000-0000-0000B0720000}"/>
    <cellStyle name="Normal 243 27" xfId="29355" xr:uid="{00000000-0005-0000-0000-0000B1720000}"/>
    <cellStyle name="Normal 243 27 2" xfId="29356" xr:uid="{00000000-0005-0000-0000-0000B2720000}"/>
    <cellStyle name="Normal 243 28" xfId="29357" xr:uid="{00000000-0005-0000-0000-0000B3720000}"/>
    <cellStyle name="Normal 243 28 2" xfId="29358" xr:uid="{00000000-0005-0000-0000-0000B4720000}"/>
    <cellStyle name="Normal 243 29" xfId="29359" xr:uid="{00000000-0005-0000-0000-0000B5720000}"/>
    <cellStyle name="Normal 243 29 2" xfId="29360" xr:uid="{00000000-0005-0000-0000-0000B6720000}"/>
    <cellStyle name="Normal 243 3" xfId="29361" xr:uid="{00000000-0005-0000-0000-0000B7720000}"/>
    <cellStyle name="Normal 243 3 2" xfId="29362" xr:uid="{00000000-0005-0000-0000-0000B8720000}"/>
    <cellStyle name="Normal 243 30" xfId="29363" xr:uid="{00000000-0005-0000-0000-0000B9720000}"/>
    <cellStyle name="Normal 243 30 2" xfId="29364" xr:uid="{00000000-0005-0000-0000-0000BA720000}"/>
    <cellStyle name="Normal 243 31" xfId="29365" xr:uid="{00000000-0005-0000-0000-0000BB720000}"/>
    <cellStyle name="Normal 243 31 2" xfId="29366" xr:uid="{00000000-0005-0000-0000-0000BC720000}"/>
    <cellStyle name="Normal 243 32" xfId="29367" xr:uid="{00000000-0005-0000-0000-0000BD720000}"/>
    <cellStyle name="Normal 243 32 2" xfId="29368" xr:uid="{00000000-0005-0000-0000-0000BE720000}"/>
    <cellStyle name="Normal 243 33" xfId="29369" xr:uid="{00000000-0005-0000-0000-0000BF720000}"/>
    <cellStyle name="Normal 243 33 2" xfId="29370" xr:uid="{00000000-0005-0000-0000-0000C0720000}"/>
    <cellStyle name="Normal 243 34" xfId="29371" xr:uid="{00000000-0005-0000-0000-0000C1720000}"/>
    <cellStyle name="Normal 243 34 2" xfId="29372" xr:uid="{00000000-0005-0000-0000-0000C2720000}"/>
    <cellStyle name="Normal 243 35" xfId="29373" xr:uid="{00000000-0005-0000-0000-0000C3720000}"/>
    <cellStyle name="Normal 243 35 2" xfId="29374" xr:uid="{00000000-0005-0000-0000-0000C4720000}"/>
    <cellStyle name="Normal 243 36" xfId="29375" xr:uid="{00000000-0005-0000-0000-0000C5720000}"/>
    <cellStyle name="Normal 243 36 2" xfId="29376" xr:uid="{00000000-0005-0000-0000-0000C6720000}"/>
    <cellStyle name="Normal 243 37" xfId="29377" xr:uid="{00000000-0005-0000-0000-0000C7720000}"/>
    <cellStyle name="Normal 243 37 2" xfId="29378" xr:uid="{00000000-0005-0000-0000-0000C8720000}"/>
    <cellStyle name="Normal 243 38" xfId="29379" xr:uid="{00000000-0005-0000-0000-0000C9720000}"/>
    <cellStyle name="Normal 243 38 2" xfId="29380" xr:uid="{00000000-0005-0000-0000-0000CA720000}"/>
    <cellStyle name="Normal 243 39" xfId="29381" xr:uid="{00000000-0005-0000-0000-0000CB720000}"/>
    <cellStyle name="Normal 243 39 2" xfId="29382" xr:uid="{00000000-0005-0000-0000-0000CC720000}"/>
    <cellStyle name="Normal 243 4" xfId="29383" xr:uid="{00000000-0005-0000-0000-0000CD720000}"/>
    <cellStyle name="Normal 243 4 2" xfId="29384" xr:uid="{00000000-0005-0000-0000-0000CE720000}"/>
    <cellStyle name="Normal 243 40" xfId="29385" xr:uid="{00000000-0005-0000-0000-0000CF720000}"/>
    <cellStyle name="Normal 243 40 2" xfId="29386" xr:uid="{00000000-0005-0000-0000-0000D0720000}"/>
    <cellStyle name="Normal 243 41" xfId="29387" xr:uid="{00000000-0005-0000-0000-0000D1720000}"/>
    <cellStyle name="Normal 243 41 2" xfId="29388" xr:uid="{00000000-0005-0000-0000-0000D2720000}"/>
    <cellStyle name="Normal 243 42" xfId="29389" xr:uid="{00000000-0005-0000-0000-0000D3720000}"/>
    <cellStyle name="Normal 243 42 2" xfId="29390" xr:uid="{00000000-0005-0000-0000-0000D4720000}"/>
    <cellStyle name="Normal 243 43" xfId="29391" xr:uid="{00000000-0005-0000-0000-0000D5720000}"/>
    <cellStyle name="Normal 243 43 2" xfId="29392" xr:uid="{00000000-0005-0000-0000-0000D6720000}"/>
    <cellStyle name="Normal 243 44" xfId="29393" xr:uid="{00000000-0005-0000-0000-0000D7720000}"/>
    <cellStyle name="Normal 243 44 2" xfId="29394" xr:uid="{00000000-0005-0000-0000-0000D8720000}"/>
    <cellStyle name="Normal 243 45" xfId="29395" xr:uid="{00000000-0005-0000-0000-0000D9720000}"/>
    <cellStyle name="Normal 243 45 2" xfId="29396" xr:uid="{00000000-0005-0000-0000-0000DA720000}"/>
    <cellStyle name="Normal 243 46" xfId="29397" xr:uid="{00000000-0005-0000-0000-0000DB720000}"/>
    <cellStyle name="Normal 243 46 2" xfId="29398" xr:uid="{00000000-0005-0000-0000-0000DC720000}"/>
    <cellStyle name="Normal 243 47" xfId="29399" xr:uid="{00000000-0005-0000-0000-0000DD720000}"/>
    <cellStyle name="Normal 243 47 2" xfId="29400" xr:uid="{00000000-0005-0000-0000-0000DE720000}"/>
    <cellStyle name="Normal 243 48" xfId="29401" xr:uid="{00000000-0005-0000-0000-0000DF720000}"/>
    <cellStyle name="Normal 243 48 2" xfId="29402" xr:uid="{00000000-0005-0000-0000-0000E0720000}"/>
    <cellStyle name="Normal 243 49" xfId="29403" xr:uid="{00000000-0005-0000-0000-0000E1720000}"/>
    <cellStyle name="Normal 243 49 2" xfId="29404" xr:uid="{00000000-0005-0000-0000-0000E2720000}"/>
    <cellStyle name="Normal 243 5" xfId="29405" xr:uid="{00000000-0005-0000-0000-0000E3720000}"/>
    <cellStyle name="Normal 243 5 2" xfId="29406" xr:uid="{00000000-0005-0000-0000-0000E4720000}"/>
    <cellStyle name="Normal 243 50" xfId="29407" xr:uid="{00000000-0005-0000-0000-0000E5720000}"/>
    <cellStyle name="Normal 243 50 2" xfId="29408" xr:uid="{00000000-0005-0000-0000-0000E6720000}"/>
    <cellStyle name="Normal 243 51" xfId="29409" xr:uid="{00000000-0005-0000-0000-0000E7720000}"/>
    <cellStyle name="Normal 243 51 2" xfId="29410" xr:uid="{00000000-0005-0000-0000-0000E8720000}"/>
    <cellStyle name="Normal 243 52" xfId="29411" xr:uid="{00000000-0005-0000-0000-0000E9720000}"/>
    <cellStyle name="Normal 243 52 2" xfId="29412" xr:uid="{00000000-0005-0000-0000-0000EA720000}"/>
    <cellStyle name="Normal 243 53" xfId="29413" xr:uid="{00000000-0005-0000-0000-0000EB720000}"/>
    <cellStyle name="Normal 243 53 2" xfId="29414" xr:uid="{00000000-0005-0000-0000-0000EC720000}"/>
    <cellStyle name="Normal 243 54" xfId="29415" xr:uid="{00000000-0005-0000-0000-0000ED720000}"/>
    <cellStyle name="Normal 243 54 2" xfId="29416" xr:uid="{00000000-0005-0000-0000-0000EE720000}"/>
    <cellStyle name="Normal 243 55" xfId="29417" xr:uid="{00000000-0005-0000-0000-0000EF720000}"/>
    <cellStyle name="Normal 243 55 2" xfId="29418" xr:uid="{00000000-0005-0000-0000-0000F0720000}"/>
    <cellStyle name="Normal 243 56" xfId="29419" xr:uid="{00000000-0005-0000-0000-0000F1720000}"/>
    <cellStyle name="Normal 243 56 2" xfId="29420" xr:uid="{00000000-0005-0000-0000-0000F2720000}"/>
    <cellStyle name="Normal 243 57" xfId="29421" xr:uid="{00000000-0005-0000-0000-0000F3720000}"/>
    <cellStyle name="Normal 243 57 2" xfId="29422" xr:uid="{00000000-0005-0000-0000-0000F4720000}"/>
    <cellStyle name="Normal 243 58" xfId="29423" xr:uid="{00000000-0005-0000-0000-0000F5720000}"/>
    <cellStyle name="Normal 243 58 2" xfId="29424" xr:uid="{00000000-0005-0000-0000-0000F6720000}"/>
    <cellStyle name="Normal 243 59" xfId="29425" xr:uid="{00000000-0005-0000-0000-0000F7720000}"/>
    <cellStyle name="Normal 243 59 2" xfId="29426" xr:uid="{00000000-0005-0000-0000-0000F8720000}"/>
    <cellStyle name="Normal 243 6" xfId="29427" xr:uid="{00000000-0005-0000-0000-0000F9720000}"/>
    <cellStyle name="Normal 243 6 2" xfId="29428" xr:uid="{00000000-0005-0000-0000-0000FA720000}"/>
    <cellStyle name="Normal 243 60" xfId="29429" xr:uid="{00000000-0005-0000-0000-0000FB720000}"/>
    <cellStyle name="Normal 243 60 2" xfId="29430" xr:uid="{00000000-0005-0000-0000-0000FC720000}"/>
    <cellStyle name="Normal 243 61" xfId="29431" xr:uid="{00000000-0005-0000-0000-0000FD720000}"/>
    <cellStyle name="Normal 243 61 2" xfId="29432" xr:uid="{00000000-0005-0000-0000-0000FE720000}"/>
    <cellStyle name="Normal 243 62" xfId="29433" xr:uid="{00000000-0005-0000-0000-0000FF720000}"/>
    <cellStyle name="Normal 243 62 2" xfId="29434" xr:uid="{00000000-0005-0000-0000-000000730000}"/>
    <cellStyle name="Normal 243 62 3" xfId="29435" xr:uid="{00000000-0005-0000-0000-000001730000}"/>
    <cellStyle name="Normal 243 63" xfId="29436" xr:uid="{00000000-0005-0000-0000-000002730000}"/>
    <cellStyle name="Normal 243 7" xfId="29437" xr:uid="{00000000-0005-0000-0000-000003730000}"/>
    <cellStyle name="Normal 243 7 2" xfId="29438" xr:uid="{00000000-0005-0000-0000-000004730000}"/>
    <cellStyle name="Normal 243 8" xfId="29439" xr:uid="{00000000-0005-0000-0000-000005730000}"/>
    <cellStyle name="Normal 243 8 2" xfId="29440" xr:uid="{00000000-0005-0000-0000-000006730000}"/>
    <cellStyle name="Normal 243 9" xfId="29441" xr:uid="{00000000-0005-0000-0000-000007730000}"/>
    <cellStyle name="Normal 243 9 2" xfId="29442" xr:uid="{00000000-0005-0000-0000-000008730000}"/>
    <cellStyle name="Normal 244" xfId="29443" xr:uid="{00000000-0005-0000-0000-000009730000}"/>
    <cellStyle name="Normal 245" xfId="29444" xr:uid="{00000000-0005-0000-0000-00000A730000}"/>
    <cellStyle name="Normal 246" xfId="29445" xr:uid="{00000000-0005-0000-0000-00000B730000}"/>
    <cellStyle name="Normal 247" xfId="29446" xr:uid="{00000000-0005-0000-0000-00000C730000}"/>
    <cellStyle name="Normal 248" xfId="29447" xr:uid="{00000000-0005-0000-0000-00000D730000}"/>
    <cellStyle name="Normal 248 10" xfId="29448" xr:uid="{00000000-0005-0000-0000-00000E730000}"/>
    <cellStyle name="Normal 248 10 2" xfId="29449" xr:uid="{00000000-0005-0000-0000-00000F730000}"/>
    <cellStyle name="Normal 248 11" xfId="29450" xr:uid="{00000000-0005-0000-0000-000010730000}"/>
    <cellStyle name="Normal 248 11 2" xfId="29451" xr:uid="{00000000-0005-0000-0000-000011730000}"/>
    <cellStyle name="Normal 248 12" xfId="29452" xr:uid="{00000000-0005-0000-0000-000012730000}"/>
    <cellStyle name="Normal 248 12 2" xfId="29453" xr:uid="{00000000-0005-0000-0000-000013730000}"/>
    <cellStyle name="Normal 248 13" xfId="29454" xr:uid="{00000000-0005-0000-0000-000014730000}"/>
    <cellStyle name="Normal 248 13 2" xfId="29455" xr:uid="{00000000-0005-0000-0000-000015730000}"/>
    <cellStyle name="Normal 248 14" xfId="29456" xr:uid="{00000000-0005-0000-0000-000016730000}"/>
    <cellStyle name="Normal 248 14 2" xfId="29457" xr:uid="{00000000-0005-0000-0000-000017730000}"/>
    <cellStyle name="Normal 248 15" xfId="29458" xr:uid="{00000000-0005-0000-0000-000018730000}"/>
    <cellStyle name="Normal 248 15 2" xfId="29459" xr:uid="{00000000-0005-0000-0000-000019730000}"/>
    <cellStyle name="Normal 248 16" xfId="29460" xr:uid="{00000000-0005-0000-0000-00001A730000}"/>
    <cellStyle name="Normal 248 16 2" xfId="29461" xr:uid="{00000000-0005-0000-0000-00001B730000}"/>
    <cellStyle name="Normal 248 17" xfId="29462" xr:uid="{00000000-0005-0000-0000-00001C730000}"/>
    <cellStyle name="Normal 248 17 2" xfId="29463" xr:uid="{00000000-0005-0000-0000-00001D730000}"/>
    <cellStyle name="Normal 248 18" xfId="29464" xr:uid="{00000000-0005-0000-0000-00001E730000}"/>
    <cellStyle name="Normal 248 18 2" xfId="29465" xr:uid="{00000000-0005-0000-0000-00001F730000}"/>
    <cellStyle name="Normal 248 19" xfId="29466" xr:uid="{00000000-0005-0000-0000-000020730000}"/>
    <cellStyle name="Normal 248 19 2" xfId="29467" xr:uid="{00000000-0005-0000-0000-000021730000}"/>
    <cellStyle name="Normal 248 2" xfId="29468" xr:uid="{00000000-0005-0000-0000-000022730000}"/>
    <cellStyle name="Normal 248 2 2" xfId="29469" xr:uid="{00000000-0005-0000-0000-000023730000}"/>
    <cellStyle name="Normal 248 20" xfId="29470" xr:uid="{00000000-0005-0000-0000-000024730000}"/>
    <cellStyle name="Normal 248 20 2" xfId="29471" xr:uid="{00000000-0005-0000-0000-000025730000}"/>
    <cellStyle name="Normal 248 21" xfId="29472" xr:uid="{00000000-0005-0000-0000-000026730000}"/>
    <cellStyle name="Normal 248 21 2" xfId="29473" xr:uid="{00000000-0005-0000-0000-000027730000}"/>
    <cellStyle name="Normal 248 22" xfId="29474" xr:uid="{00000000-0005-0000-0000-000028730000}"/>
    <cellStyle name="Normal 248 22 2" xfId="29475" xr:uid="{00000000-0005-0000-0000-000029730000}"/>
    <cellStyle name="Normal 248 23" xfId="29476" xr:uid="{00000000-0005-0000-0000-00002A730000}"/>
    <cellStyle name="Normal 248 23 2" xfId="29477" xr:uid="{00000000-0005-0000-0000-00002B730000}"/>
    <cellStyle name="Normal 248 24" xfId="29478" xr:uid="{00000000-0005-0000-0000-00002C730000}"/>
    <cellStyle name="Normal 248 24 2" xfId="29479" xr:uid="{00000000-0005-0000-0000-00002D730000}"/>
    <cellStyle name="Normal 248 25" xfId="29480" xr:uid="{00000000-0005-0000-0000-00002E730000}"/>
    <cellStyle name="Normal 248 25 2" xfId="29481" xr:uid="{00000000-0005-0000-0000-00002F730000}"/>
    <cellStyle name="Normal 248 26" xfId="29482" xr:uid="{00000000-0005-0000-0000-000030730000}"/>
    <cellStyle name="Normal 248 26 2" xfId="29483" xr:uid="{00000000-0005-0000-0000-000031730000}"/>
    <cellStyle name="Normal 248 27" xfId="29484" xr:uid="{00000000-0005-0000-0000-000032730000}"/>
    <cellStyle name="Normal 248 27 2" xfId="29485" xr:uid="{00000000-0005-0000-0000-000033730000}"/>
    <cellStyle name="Normal 248 28" xfId="29486" xr:uid="{00000000-0005-0000-0000-000034730000}"/>
    <cellStyle name="Normal 248 28 2" xfId="29487" xr:uid="{00000000-0005-0000-0000-000035730000}"/>
    <cellStyle name="Normal 248 29" xfId="29488" xr:uid="{00000000-0005-0000-0000-000036730000}"/>
    <cellStyle name="Normal 248 29 2" xfId="29489" xr:uid="{00000000-0005-0000-0000-000037730000}"/>
    <cellStyle name="Normal 248 3" xfId="29490" xr:uid="{00000000-0005-0000-0000-000038730000}"/>
    <cellStyle name="Normal 248 3 2" xfId="29491" xr:uid="{00000000-0005-0000-0000-000039730000}"/>
    <cellStyle name="Normal 248 30" xfId="29492" xr:uid="{00000000-0005-0000-0000-00003A730000}"/>
    <cellStyle name="Normal 248 30 2" xfId="29493" xr:uid="{00000000-0005-0000-0000-00003B730000}"/>
    <cellStyle name="Normal 248 31" xfId="29494" xr:uid="{00000000-0005-0000-0000-00003C730000}"/>
    <cellStyle name="Normal 248 31 2" xfId="29495" xr:uid="{00000000-0005-0000-0000-00003D730000}"/>
    <cellStyle name="Normal 248 32" xfId="29496" xr:uid="{00000000-0005-0000-0000-00003E730000}"/>
    <cellStyle name="Normal 248 32 2" xfId="29497" xr:uid="{00000000-0005-0000-0000-00003F730000}"/>
    <cellStyle name="Normal 248 33" xfId="29498" xr:uid="{00000000-0005-0000-0000-000040730000}"/>
    <cellStyle name="Normal 248 33 2" xfId="29499" xr:uid="{00000000-0005-0000-0000-000041730000}"/>
    <cellStyle name="Normal 248 34" xfId="29500" xr:uid="{00000000-0005-0000-0000-000042730000}"/>
    <cellStyle name="Normal 248 34 2" xfId="29501" xr:uid="{00000000-0005-0000-0000-000043730000}"/>
    <cellStyle name="Normal 248 35" xfId="29502" xr:uid="{00000000-0005-0000-0000-000044730000}"/>
    <cellStyle name="Normal 248 35 2" xfId="29503" xr:uid="{00000000-0005-0000-0000-000045730000}"/>
    <cellStyle name="Normal 248 36" xfId="29504" xr:uid="{00000000-0005-0000-0000-000046730000}"/>
    <cellStyle name="Normal 248 36 2" xfId="29505" xr:uid="{00000000-0005-0000-0000-000047730000}"/>
    <cellStyle name="Normal 248 37" xfId="29506" xr:uid="{00000000-0005-0000-0000-000048730000}"/>
    <cellStyle name="Normal 248 37 2" xfId="29507" xr:uid="{00000000-0005-0000-0000-000049730000}"/>
    <cellStyle name="Normal 248 38" xfId="29508" xr:uid="{00000000-0005-0000-0000-00004A730000}"/>
    <cellStyle name="Normal 248 38 2" xfId="29509" xr:uid="{00000000-0005-0000-0000-00004B730000}"/>
    <cellStyle name="Normal 248 39" xfId="29510" xr:uid="{00000000-0005-0000-0000-00004C730000}"/>
    <cellStyle name="Normal 248 39 2" xfId="29511" xr:uid="{00000000-0005-0000-0000-00004D730000}"/>
    <cellStyle name="Normal 248 4" xfId="29512" xr:uid="{00000000-0005-0000-0000-00004E730000}"/>
    <cellStyle name="Normal 248 4 2" xfId="29513" xr:uid="{00000000-0005-0000-0000-00004F730000}"/>
    <cellStyle name="Normal 248 40" xfId="29514" xr:uid="{00000000-0005-0000-0000-000050730000}"/>
    <cellStyle name="Normal 248 40 2" xfId="29515" xr:uid="{00000000-0005-0000-0000-000051730000}"/>
    <cellStyle name="Normal 248 41" xfId="29516" xr:uid="{00000000-0005-0000-0000-000052730000}"/>
    <cellStyle name="Normal 248 41 2" xfId="29517" xr:uid="{00000000-0005-0000-0000-000053730000}"/>
    <cellStyle name="Normal 248 42" xfId="29518" xr:uid="{00000000-0005-0000-0000-000054730000}"/>
    <cellStyle name="Normal 248 42 2" xfId="29519" xr:uid="{00000000-0005-0000-0000-000055730000}"/>
    <cellStyle name="Normal 248 43" xfId="29520" xr:uid="{00000000-0005-0000-0000-000056730000}"/>
    <cellStyle name="Normal 248 43 2" xfId="29521" xr:uid="{00000000-0005-0000-0000-000057730000}"/>
    <cellStyle name="Normal 248 44" xfId="29522" xr:uid="{00000000-0005-0000-0000-000058730000}"/>
    <cellStyle name="Normal 248 44 2" xfId="29523" xr:uid="{00000000-0005-0000-0000-000059730000}"/>
    <cellStyle name="Normal 248 45" xfId="29524" xr:uid="{00000000-0005-0000-0000-00005A730000}"/>
    <cellStyle name="Normal 248 45 2" xfId="29525" xr:uid="{00000000-0005-0000-0000-00005B730000}"/>
    <cellStyle name="Normal 248 46" xfId="29526" xr:uid="{00000000-0005-0000-0000-00005C730000}"/>
    <cellStyle name="Normal 248 46 2" xfId="29527" xr:uid="{00000000-0005-0000-0000-00005D730000}"/>
    <cellStyle name="Normal 248 47" xfId="29528" xr:uid="{00000000-0005-0000-0000-00005E730000}"/>
    <cellStyle name="Normal 248 47 2" xfId="29529" xr:uid="{00000000-0005-0000-0000-00005F730000}"/>
    <cellStyle name="Normal 248 48" xfId="29530" xr:uid="{00000000-0005-0000-0000-000060730000}"/>
    <cellStyle name="Normal 248 48 2" xfId="29531" xr:uid="{00000000-0005-0000-0000-000061730000}"/>
    <cellStyle name="Normal 248 49" xfId="29532" xr:uid="{00000000-0005-0000-0000-000062730000}"/>
    <cellStyle name="Normal 248 49 2" xfId="29533" xr:uid="{00000000-0005-0000-0000-000063730000}"/>
    <cellStyle name="Normal 248 5" xfId="29534" xr:uid="{00000000-0005-0000-0000-000064730000}"/>
    <cellStyle name="Normal 248 5 2" xfId="29535" xr:uid="{00000000-0005-0000-0000-000065730000}"/>
    <cellStyle name="Normal 248 50" xfId="29536" xr:uid="{00000000-0005-0000-0000-000066730000}"/>
    <cellStyle name="Normal 248 50 2" xfId="29537" xr:uid="{00000000-0005-0000-0000-000067730000}"/>
    <cellStyle name="Normal 248 51" xfId="29538" xr:uid="{00000000-0005-0000-0000-000068730000}"/>
    <cellStyle name="Normal 248 51 2" xfId="29539" xr:uid="{00000000-0005-0000-0000-000069730000}"/>
    <cellStyle name="Normal 248 52" xfId="29540" xr:uid="{00000000-0005-0000-0000-00006A730000}"/>
    <cellStyle name="Normal 248 52 2" xfId="29541" xr:uid="{00000000-0005-0000-0000-00006B730000}"/>
    <cellStyle name="Normal 248 53" xfId="29542" xr:uid="{00000000-0005-0000-0000-00006C730000}"/>
    <cellStyle name="Normal 248 53 2" xfId="29543" xr:uid="{00000000-0005-0000-0000-00006D730000}"/>
    <cellStyle name="Normal 248 54" xfId="29544" xr:uid="{00000000-0005-0000-0000-00006E730000}"/>
    <cellStyle name="Normal 248 54 2" xfId="29545" xr:uid="{00000000-0005-0000-0000-00006F730000}"/>
    <cellStyle name="Normal 248 55" xfId="29546" xr:uid="{00000000-0005-0000-0000-000070730000}"/>
    <cellStyle name="Normal 248 55 2" xfId="29547" xr:uid="{00000000-0005-0000-0000-000071730000}"/>
    <cellStyle name="Normal 248 56" xfId="29548" xr:uid="{00000000-0005-0000-0000-000072730000}"/>
    <cellStyle name="Normal 248 56 2" xfId="29549" xr:uid="{00000000-0005-0000-0000-000073730000}"/>
    <cellStyle name="Normal 248 57" xfId="29550" xr:uid="{00000000-0005-0000-0000-000074730000}"/>
    <cellStyle name="Normal 248 57 2" xfId="29551" xr:uid="{00000000-0005-0000-0000-000075730000}"/>
    <cellStyle name="Normal 248 58" xfId="29552" xr:uid="{00000000-0005-0000-0000-000076730000}"/>
    <cellStyle name="Normal 248 58 2" xfId="29553" xr:uid="{00000000-0005-0000-0000-000077730000}"/>
    <cellStyle name="Normal 248 59" xfId="29554" xr:uid="{00000000-0005-0000-0000-000078730000}"/>
    <cellStyle name="Normal 248 59 2" xfId="29555" xr:uid="{00000000-0005-0000-0000-000079730000}"/>
    <cellStyle name="Normal 248 6" xfId="29556" xr:uid="{00000000-0005-0000-0000-00007A730000}"/>
    <cellStyle name="Normal 248 6 2" xfId="29557" xr:uid="{00000000-0005-0000-0000-00007B730000}"/>
    <cellStyle name="Normal 248 60" xfId="29558" xr:uid="{00000000-0005-0000-0000-00007C730000}"/>
    <cellStyle name="Normal 248 60 2" xfId="29559" xr:uid="{00000000-0005-0000-0000-00007D730000}"/>
    <cellStyle name="Normal 248 61" xfId="29560" xr:uid="{00000000-0005-0000-0000-00007E730000}"/>
    <cellStyle name="Normal 248 61 2" xfId="29561" xr:uid="{00000000-0005-0000-0000-00007F730000}"/>
    <cellStyle name="Normal 248 62" xfId="29562" xr:uid="{00000000-0005-0000-0000-000080730000}"/>
    <cellStyle name="Normal 248 62 2" xfId="29563" xr:uid="{00000000-0005-0000-0000-000081730000}"/>
    <cellStyle name="Normal 248 62 3" xfId="29564" xr:uid="{00000000-0005-0000-0000-000082730000}"/>
    <cellStyle name="Normal 248 63" xfId="29565" xr:uid="{00000000-0005-0000-0000-000083730000}"/>
    <cellStyle name="Normal 248 7" xfId="29566" xr:uid="{00000000-0005-0000-0000-000084730000}"/>
    <cellStyle name="Normal 248 7 2" xfId="29567" xr:uid="{00000000-0005-0000-0000-000085730000}"/>
    <cellStyle name="Normal 248 8" xfId="29568" xr:uid="{00000000-0005-0000-0000-000086730000}"/>
    <cellStyle name="Normal 248 8 2" xfId="29569" xr:uid="{00000000-0005-0000-0000-000087730000}"/>
    <cellStyle name="Normal 248 9" xfId="29570" xr:uid="{00000000-0005-0000-0000-000088730000}"/>
    <cellStyle name="Normal 248 9 2" xfId="29571" xr:uid="{00000000-0005-0000-0000-000089730000}"/>
    <cellStyle name="Normal 249" xfId="29572" xr:uid="{00000000-0005-0000-0000-00008A730000}"/>
    <cellStyle name="Normal 25" xfId="29573" xr:uid="{00000000-0005-0000-0000-00008B730000}"/>
    <cellStyle name="Normal 25 10" xfId="29574" xr:uid="{00000000-0005-0000-0000-00008C730000}"/>
    <cellStyle name="Normal 25 10 2" xfId="29575" xr:uid="{00000000-0005-0000-0000-00008D730000}"/>
    <cellStyle name="Normal 25 11" xfId="29576" xr:uid="{00000000-0005-0000-0000-00008E730000}"/>
    <cellStyle name="Normal 25 11 2" xfId="29577" xr:uid="{00000000-0005-0000-0000-00008F730000}"/>
    <cellStyle name="Normal 25 12" xfId="29578" xr:uid="{00000000-0005-0000-0000-000090730000}"/>
    <cellStyle name="Normal 25 12 2" xfId="29579" xr:uid="{00000000-0005-0000-0000-000091730000}"/>
    <cellStyle name="Normal 25 13" xfId="29580" xr:uid="{00000000-0005-0000-0000-000092730000}"/>
    <cellStyle name="Normal 25 13 2" xfId="29581" xr:uid="{00000000-0005-0000-0000-000093730000}"/>
    <cellStyle name="Normal 25 14" xfId="29582" xr:uid="{00000000-0005-0000-0000-000094730000}"/>
    <cellStyle name="Normal 25 14 2" xfId="29583" xr:uid="{00000000-0005-0000-0000-000095730000}"/>
    <cellStyle name="Normal 25 15" xfId="29584" xr:uid="{00000000-0005-0000-0000-000096730000}"/>
    <cellStyle name="Normal 25 15 2" xfId="29585" xr:uid="{00000000-0005-0000-0000-000097730000}"/>
    <cellStyle name="Normal 25 16" xfId="29586" xr:uid="{00000000-0005-0000-0000-000098730000}"/>
    <cellStyle name="Normal 25 16 2" xfId="29587" xr:uid="{00000000-0005-0000-0000-000099730000}"/>
    <cellStyle name="Normal 25 17" xfId="29588" xr:uid="{00000000-0005-0000-0000-00009A730000}"/>
    <cellStyle name="Normal 25 17 2" xfId="29589" xr:uid="{00000000-0005-0000-0000-00009B730000}"/>
    <cellStyle name="Normal 25 18" xfId="29590" xr:uid="{00000000-0005-0000-0000-00009C730000}"/>
    <cellStyle name="Normal 25 18 2" xfId="29591" xr:uid="{00000000-0005-0000-0000-00009D730000}"/>
    <cellStyle name="Normal 25 19" xfId="29592" xr:uid="{00000000-0005-0000-0000-00009E730000}"/>
    <cellStyle name="Normal 25 19 2" xfId="29593" xr:uid="{00000000-0005-0000-0000-00009F730000}"/>
    <cellStyle name="Normal 25 2" xfId="29594" xr:uid="{00000000-0005-0000-0000-0000A0730000}"/>
    <cellStyle name="Normal 25 2 2" xfId="29595" xr:uid="{00000000-0005-0000-0000-0000A1730000}"/>
    <cellStyle name="Normal 25 20" xfId="29596" xr:uid="{00000000-0005-0000-0000-0000A2730000}"/>
    <cellStyle name="Normal 25 20 2" xfId="29597" xr:uid="{00000000-0005-0000-0000-0000A3730000}"/>
    <cellStyle name="Normal 25 21" xfId="29598" xr:uid="{00000000-0005-0000-0000-0000A4730000}"/>
    <cellStyle name="Normal 25 21 2" xfId="29599" xr:uid="{00000000-0005-0000-0000-0000A5730000}"/>
    <cellStyle name="Normal 25 22" xfId="29600" xr:uid="{00000000-0005-0000-0000-0000A6730000}"/>
    <cellStyle name="Normal 25 22 2" xfId="29601" xr:uid="{00000000-0005-0000-0000-0000A7730000}"/>
    <cellStyle name="Normal 25 23" xfId="29602" xr:uid="{00000000-0005-0000-0000-0000A8730000}"/>
    <cellStyle name="Normal 25 23 2" xfId="29603" xr:uid="{00000000-0005-0000-0000-0000A9730000}"/>
    <cellStyle name="Normal 25 24" xfId="29604" xr:uid="{00000000-0005-0000-0000-0000AA730000}"/>
    <cellStyle name="Normal 25 24 2" xfId="29605" xr:uid="{00000000-0005-0000-0000-0000AB730000}"/>
    <cellStyle name="Normal 25 25" xfId="29606" xr:uid="{00000000-0005-0000-0000-0000AC730000}"/>
    <cellStyle name="Normal 25 25 2" xfId="29607" xr:uid="{00000000-0005-0000-0000-0000AD730000}"/>
    <cellStyle name="Normal 25 26" xfId="29608" xr:uid="{00000000-0005-0000-0000-0000AE730000}"/>
    <cellStyle name="Normal 25 26 2" xfId="29609" xr:uid="{00000000-0005-0000-0000-0000AF730000}"/>
    <cellStyle name="Normal 25 27" xfId="29610" xr:uid="{00000000-0005-0000-0000-0000B0730000}"/>
    <cellStyle name="Normal 25 27 2" xfId="29611" xr:uid="{00000000-0005-0000-0000-0000B1730000}"/>
    <cellStyle name="Normal 25 28" xfId="29612" xr:uid="{00000000-0005-0000-0000-0000B2730000}"/>
    <cellStyle name="Normal 25 28 2" xfId="29613" xr:uid="{00000000-0005-0000-0000-0000B3730000}"/>
    <cellStyle name="Normal 25 29" xfId="29614" xr:uid="{00000000-0005-0000-0000-0000B4730000}"/>
    <cellStyle name="Normal 25 29 2" xfId="29615" xr:uid="{00000000-0005-0000-0000-0000B5730000}"/>
    <cellStyle name="Normal 25 3" xfId="29616" xr:uid="{00000000-0005-0000-0000-0000B6730000}"/>
    <cellStyle name="Normal 25 3 2" xfId="29617" xr:uid="{00000000-0005-0000-0000-0000B7730000}"/>
    <cellStyle name="Normal 25 30" xfId="29618" xr:uid="{00000000-0005-0000-0000-0000B8730000}"/>
    <cellStyle name="Normal 25 30 2" xfId="29619" xr:uid="{00000000-0005-0000-0000-0000B9730000}"/>
    <cellStyle name="Normal 25 31" xfId="29620" xr:uid="{00000000-0005-0000-0000-0000BA730000}"/>
    <cellStyle name="Normal 25 31 2" xfId="29621" xr:uid="{00000000-0005-0000-0000-0000BB730000}"/>
    <cellStyle name="Normal 25 32" xfId="29622" xr:uid="{00000000-0005-0000-0000-0000BC730000}"/>
    <cellStyle name="Normal 25 32 2" xfId="29623" xr:uid="{00000000-0005-0000-0000-0000BD730000}"/>
    <cellStyle name="Normal 25 33" xfId="29624" xr:uid="{00000000-0005-0000-0000-0000BE730000}"/>
    <cellStyle name="Normal 25 33 2" xfId="29625" xr:uid="{00000000-0005-0000-0000-0000BF730000}"/>
    <cellStyle name="Normal 25 34" xfId="29626" xr:uid="{00000000-0005-0000-0000-0000C0730000}"/>
    <cellStyle name="Normal 25 34 2" xfId="29627" xr:uid="{00000000-0005-0000-0000-0000C1730000}"/>
    <cellStyle name="Normal 25 35" xfId="29628" xr:uid="{00000000-0005-0000-0000-0000C2730000}"/>
    <cellStyle name="Normal 25 35 2" xfId="29629" xr:uid="{00000000-0005-0000-0000-0000C3730000}"/>
    <cellStyle name="Normal 25 36" xfId="29630" xr:uid="{00000000-0005-0000-0000-0000C4730000}"/>
    <cellStyle name="Normal 25 36 2" xfId="29631" xr:uid="{00000000-0005-0000-0000-0000C5730000}"/>
    <cellStyle name="Normal 25 37" xfId="29632" xr:uid="{00000000-0005-0000-0000-0000C6730000}"/>
    <cellStyle name="Normal 25 37 2" xfId="29633" xr:uid="{00000000-0005-0000-0000-0000C7730000}"/>
    <cellStyle name="Normal 25 38" xfId="29634" xr:uid="{00000000-0005-0000-0000-0000C8730000}"/>
    <cellStyle name="Normal 25 38 2" xfId="29635" xr:uid="{00000000-0005-0000-0000-0000C9730000}"/>
    <cellStyle name="Normal 25 39" xfId="29636" xr:uid="{00000000-0005-0000-0000-0000CA730000}"/>
    <cellStyle name="Normal 25 39 2" xfId="29637" xr:uid="{00000000-0005-0000-0000-0000CB730000}"/>
    <cellStyle name="Normal 25 4" xfId="29638" xr:uid="{00000000-0005-0000-0000-0000CC730000}"/>
    <cellStyle name="Normal 25 4 2" xfId="29639" xr:uid="{00000000-0005-0000-0000-0000CD730000}"/>
    <cellStyle name="Normal 25 40" xfId="29640" xr:uid="{00000000-0005-0000-0000-0000CE730000}"/>
    <cellStyle name="Normal 25 40 2" xfId="29641" xr:uid="{00000000-0005-0000-0000-0000CF730000}"/>
    <cellStyle name="Normal 25 41" xfId="29642" xr:uid="{00000000-0005-0000-0000-0000D0730000}"/>
    <cellStyle name="Normal 25 41 2" xfId="29643" xr:uid="{00000000-0005-0000-0000-0000D1730000}"/>
    <cellStyle name="Normal 25 42" xfId="29644" xr:uid="{00000000-0005-0000-0000-0000D2730000}"/>
    <cellStyle name="Normal 25 42 2" xfId="29645" xr:uid="{00000000-0005-0000-0000-0000D3730000}"/>
    <cellStyle name="Normal 25 43" xfId="29646" xr:uid="{00000000-0005-0000-0000-0000D4730000}"/>
    <cellStyle name="Normal 25 43 2" xfId="29647" xr:uid="{00000000-0005-0000-0000-0000D5730000}"/>
    <cellStyle name="Normal 25 44" xfId="29648" xr:uid="{00000000-0005-0000-0000-0000D6730000}"/>
    <cellStyle name="Normal 25 44 2" xfId="29649" xr:uid="{00000000-0005-0000-0000-0000D7730000}"/>
    <cellStyle name="Normal 25 45" xfId="29650" xr:uid="{00000000-0005-0000-0000-0000D8730000}"/>
    <cellStyle name="Normal 25 45 2" xfId="29651" xr:uid="{00000000-0005-0000-0000-0000D9730000}"/>
    <cellStyle name="Normal 25 46" xfId="29652" xr:uid="{00000000-0005-0000-0000-0000DA730000}"/>
    <cellStyle name="Normal 25 46 2" xfId="29653" xr:uid="{00000000-0005-0000-0000-0000DB730000}"/>
    <cellStyle name="Normal 25 47" xfId="29654" xr:uid="{00000000-0005-0000-0000-0000DC730000}"/>
    <cellStyle name="Normal 25 47 2" xfId="29655" xr:uid="{00000000-0005-0000-0000-0000DD730000}"/>
    <cellStyle name="Normal 25 48" xfId="29656" xr:uid="{00000000-0005-0000-0000-0000DE730000}"/>
    <cellStyle name="Normal 25 48 2" xfId="29657" xr:uid="{00000000-0005-0000-0000-0000DF730000}"/>
    <cellStyle name="Normal 25 49" xfId="29658" xr:uid="{00000000-0005-0000-0000-0000E0730000}"/>
    <cellStyle name="Normal 25 49 2" xfId="29659" xr:uid="{00000000-0005-0000-0000-0000E1730000}"/>
    <cellStyle name="Normal 25 5" xfId="29660" xr:uid="{00000000-0005-0000-0000-0000E2730000}"/>
    <cellStyle name="Normal 25 5 2" xfId="29661" xr:uid="{00000000-0005-0000-0000-0000E3730000}"/>
    <cellStyle name="Normal 25 50" xfId="29662" xr:uid="{00000000-0005-0000-0000-0000E4730000}"/>
    <cellStyle name="Normal 25 50 2" xfId="29663" xr:uid="{00000000-0005-0000-0000-0000E5730000}"/>
    <cellStyle name="Normal 25 51" xfId="29664" xr:uid="{00000000-0005-0000-0000-0000E6730000}"/>
    <cellStyle name="Normal 25 51 2" xfId="29665" xr:uid="{00000000-0005-0000-0000-0000E7730000}"/>
    <cellStyle name="Normal 25 52" xfId="29666" xr:uid="{00000000-0005-0000-0000-0000E8730000}"/>
    <cellStyle name="Normal 25 52 2" xfId="29667" xr:uid="{00000000-0005-0000-0000-0000E9730000}"/>
    <cellStyle name="Normal 25 53" xfId="29668" xr:uid="{00000000-0005-0000-0000-0000EA730000}"/>
    <cellStyle name="Normal 25 53 2" xfId="29669" xr:uid="{00000000-0005-0000-0000-0000EB730000}"/>
    <cellStyle name="Normal 25 54" xfId="29670" xr:uid="{00000000-0005-0000-0000-0000EC730000}"/>
    <cellStyle name="Normal 25 54 2" xfId="29671" xr:uid="{00000000-0005-0000-0000-0000ED730000}"/>
    <cellStyle name="Normal 25 55" xfId="29672" xr:uid="{00000000-0005-0000-0000-0000EE730000}"/>
    <cellStyle name="Normal 25 55 2" xfId="29673" xr:uid="{00000000-0005-0000-0000-0000EF730000}"/>
    <cellStyle name="Normal 25 56" xfId="29674" xr:uid="{00000000-0005-0000-0000-0000F0730000}"/>
    <cellStyle name="Normal 25 56 2" xfId="29675" xr:uid="{00000000-0005-0000-0000-0000F1730000}"/>
    <cellStyle name="Normal 25 57" xfId="29676" xr:uid="{00000000-0005-0000-0000-0000F2730000}"/>
    <cellStyle name="Normal 25 57 2" xfId="29677" xr:uid="{00000000-0005-0000-0000-0000F3730000}"/>
    <cellStyle name="Normal 25 58" xfId="29678" xr:uid="{00000000-0005-0000-0000-0000F4730000}"/>
    <cellStyle name="Normal 25 58 2" xfId="29679" xr:uid="{00000000-0005-0000-0000-0000F5730000}"/>
    <cellStyle name="Normal 25 59" xfId="29680" xr:uid="{00000000-0005-0000-0000-0000F6730000}"/>
    <cellStyle name="Normal 25 6" xfId="29681" xr:uid="{00000000-0005-0000-0000-0000F7730000}"/>
    <cellStyle name="Normal 25 6 2" xfId="29682" xr:uid="{00000000-0005-0000-0000-0000F8730000}"/>
    <cellStyle name="Normal 25 60" xfId="29683" xr:uid="{00000000-0005-0000-0000-0000F9730000}"/>
    <cellStyle name="Normal 25 7" xfId="29684" xr:uid="{00000000-0005-0000-0000-0000FA730000}"/>
    <cellStyle name="Normal 25 7 2" xfId="29685" xr:uid="{00000000-0005-0000-0000-0000FB730000}"/>
    <cellStyle name="Normal 25 8" xfId="29686" xr:uid="{00000000-0005-0000-0000-0000FC730000}"/>
    <cellStyle name="Normal 25 8 2" xfId="29687" xr:uid="{00000000-0005-0000-0000-0000FD730000}"/>
    <cellStyle name="Normal 25 9" xfId="29688" xr:uid="{00000000-0005-0000-0000-0000FE730000}"/>
    <cellStyle name="Normal 25 9 2" xfId="29689" xr:uid="{00000000-0005-0000-0000-0000FF730000}"/>
    <cellStyle name="Normal 250" xfId="29690" xr:uid="{00000000-0005-0000-0000-000000740000}"/>
    <cellStyle name="Normal 251" xfId="29691" xr:uid="{00000000-0005-0000-0000-000001740000}"/>
    <cellStyle name="Normal 251 10" xfId="29692" xr:uid="{00000000-0005-0000-0000-000002740000}"/>
    <cellStyle name="Normal 251 10 2" xfId="29693" xr:uid="{00000000-0005-0000-0000-000003740000}"/>
    <cellStyle name="Normal 251 11" xfId="29694" xr:uid="{00000000-0005-0000-0000-000004740000}"/>
    <cellStyle name="Normal 251 11 2" xfId="29695" xr:uid="{00000000-0005-0000-0000-000005740000}"/>
    <cellStyle name="Normal 251 12" xfId="29696" xr:uid="{00000000-0005-0000-0000-000006740000}"/>
    <cellStyle name="Normal 251 12 2" xfId="29697" xr:uid="{00000000-0005-0000-0000-000007740000}"/>
    <cellStyle name="Normal 251 13" xfId="29698" xr:uid="{00000000-0005-0000-0000-000008740000}"/>
    <cellStyle name="Normal 251 13 2" xfId="29699" xr:uid="{00000000-0005-0000-0000-000009740000}"/>
    <cellStyle name="Normal 251 14" xfId="29700" xr:uid="{00000000-0005-0000-0000-00000A740000}"/>
    <cellStyle name="Normal 251 14 2" xfId="29701" xr:uid="{00000000-0005-0000-0000-00000B740000}"/>
    <cellStyle name="Normal 251 15" xfId="29702" xr:uid="{00000000-0005-0000-0000-00000C740000}"/>
    <cellStyle name="Normal 251 15 2" xfId="29703" xr:uid="{00000000-0005-0000-0000-00000D740000}"/>
    <cellStyle name="Normal 251 16" xfId="29704" xr:uid="{00000000-0005-0000-0000-00000E740000}"/>
    <cellStyle name="Normal 251 16 2" xfId="29705" xr:uid="{00000000-0005-0000-0000-00000F740000}"/>
    <cellStyle name="Normal 251 17" xfId="29706" xr:uid="{00000000-0005-0000-0000-000010740000}"/>
    <cellStyle name="Normal 251 17 2" xfId="29707" xr:uid="{00000000-0005-0000-0000-000011740000}"/>
    <cellStyle name="Normal 251 18" xfId="29708" xr:uid="{00000000-0005-0000-0000-000012740000}"/>
    <cellStyle name="Normal 251 18 2" xfId="29709" xr:uid="{00000000-0005-0000-0000-000013740000}"/>
    <cellStyle name="Normal 251 19" xfId="29710" xr:uid="{00000000-0005-0000-0000-000014740000}"/>
    <cellStyle name="Normal 251 19 2" xfId="29711" xr:uid="{00000000-0005-0000-0000-000015740000}"/>
    <cellStyle name="Normal 251 2" xfId="29712" xr:uid="{00000000-0005-0000-0000-000016740000}"/>
    <cellStyle name="Normal 251 2 2" xfId="29713" xr:uid="{00000000-0005-0000-0000-000017740000}"/>
    <cellStyle name="Normal 251 20" xfId="29714" xr:uid="{00000000-0005-0000-0000-000018740000}"/>
    <cellStyle name="Normal 251 20 2" xfId="29715" xr:uid="{00000000-0005-0000-0000-000019740000}"/>
    <cellStyle name="Normal 251 21" xfId="29716" xr:uid="{00000000-0005-0000-0000-00001A740000}"/>
    <cellStyle name="Normal 251 21 2" xfId="29717" xr:uid="{00000000-0005-0000-0000-00001B740000}"/>
    <cellStyle name="Normal 251 22" xfId="29718" xr:uid="{00000000-0005-0000-0000-00001C740000}"/>
    <cellStyle name="Normal 251 22 2" xfId="29719" xr:uid="{00000000-0005-0000-0000-00001D740000}"/>
    <cellStyle name="Normal 251 23" xfId="29720" xr:uid="{00000000-0005-0000-0000-00001E740000}"/>
    <cellStyle name="Normal 251 23 2" xfId="29721" xr:uid="{00000000-0005-0000-0000-00001F740000}"/>
    <cellStyle name="Normal 251 24" xfId="29722" xr:uid="{00000000-0005-0000-0000-000020740000}"/>
    <cellStyle name="Normal 251 24 2" xfId="29723" xr:uid="{00000000-0005-0000-0000-000021740000}"/>
    <cellStyle name="Normal 251 25" xfId="29724" xr:uid="{00000000-0005-0000-0000-000022740000}"/>
    <cellStyle name="Normal 251 25 2" xfId="29725" xr:uid="{00000000-0005-0000-0000-000023740000}"/>
    <cellStyle name="Normal 251 26" xfId="29726" xr:uid="{00000000-0005-0000-0000-000024740000}"/>
    <cellStyle name="Normal 251 26 2" xfId="29727" xr:uid="{00000000-0005-0000-0000-000025740000}"/>
    <cellStyle name="Normal 251 27" xfId="29728" xr:uid="{00000000-0005-0000-0000-000026740000}"/>
    <cellStyle name="Normal 251 27 2" xfId="29729" xr:uid="{00000000-0005-0000-0000-000027740000}"/>
    <cellStyle name="Normal 251 28" xfId="29730" xr:uid="{00000000-0005-0000-0000-000028740000}"/>
    <cellStyle name="Normal 251 28 2" xfId="29731" xr:uid="{00000000-0005-0000-0000-000029740000}"/>
    <cellStyle name="Normal 251 29" xfId="29732" xr:uid="{00000000-0005-0000-0000-00002A740000}"/>
    <cellStyle name="Normal 251 29 2" xfId="29733" xr:uid="{00000000-0005-0000-0000-00002B740000}"/>
    <cellStyle name="Normal 251 3" xfId="29734" xr:uid="{00000000-0005-0000-0000-00002C740000}"/>
    <cellStyle name="Normal 251 3 2" xfId="29735" xr:uid="{00000000-0005-0000-0000-00002D740000}"/>
    <cellStyle name="Normal 251 30" xfId="29736" xr:uid="{00000000-0005-0000-0000-00002E740000}"/>
    <cellStyle name="Normal 251 30 2" xfId="29737" xr:uid="{00000000-0005-0000-0000-00002F740000}"/>
    <cellStyle name="Normal 251 31" xfId="29738" xr:uid="{00000000-0005-0000-0000-000030740000}"/>
    <cellStyle name="Normal 251 31 2" xfId="29739" xr:uid="{00000000-0005-0000-0000-000031740000}"/>
    <cellStyle name="Normal 251 32" xfId="29740" xr:uid="{00000000-0005-0000-0000-000032740000}"/>
    <cellStyle name="Normal 251 32 2" xfId="29741" xr:uid="{00000000-0005-0000-0000-000033740000}"/>
    <cellStyle name="Normal 251 33" xfId="29742" xr:uid="{00000000-0005-0000-0000-000034740000}"/>
    <cellStyle name="Normal 251 33 2" xfId="29743" xr:uid="{00000000-0005-0000-0000-000035740000}"/>
    <cellStyle name="Normal 251 34" xfId="29744" xr:uid="{00000000-0005-0000-0000-000036740000}"/>
    <cellStyle name="Normal 251 34 2" xfId="29745" xr:uid="{00000000-0005-0000-0000-000037740000}"/>
    <cellStyle name="Normal 251 35" xfId="29746" xr:uid="{00000000-0005-0000-0000-000038740000}"/>
    <cellStyle name="Normal 251 35 2" xfId="29747" xr:uid="{00000000-0005-0000-0000-000039740000}"/>
    <cellStyle name="Normal 251 36" xfId="29748" xr:uid="{00000000-0005-0000-0000-00003A740000}"/>
    <cellStyle name="Normal 251 36 2" xfId="29749" xr:uid="{00000000-0005-0000-0000-00003B740000}"/>
    <cellStyle name="Normal 251 37" xfId="29750" xr:uid="{00000000-0005-0000-0000-00003C740000}"/>
    <cellStyle name="Normal 251 37 2" xfId="29751" xr:uid="{00000000-0005-0000-0000-00003D740000}"/>
    <cellStyle name="Normal 251 38" xfId="29752" xr:uid="{00000000-0005-0000-0000-00003E740000}"/>
    <cellStyle name="Normal 251 38 2" xfId="29753" xr:uid="{00000000-0005-0000-0000-00003F740000}"/>
    <cellStyle name="Normal 251 39" xfId="29754" xr:uid="{00000000-0005-0000-0000-000040740000}"/>
    <cellStyle name="Normal 251 39 2" xfId="29755" xr:uid="{00000000-0005-0000-0000-000041740000}"/>
    <cellStyle name="Normal 251 4" xfId="29756" xr:uid="{00000000-0005-0000-0000-000042740000}"/>
    <cellStyle name="Normal 251 4 2" xfId="29757" xr:uid="{00000000-0005-0000-0000-000043740000}"/>
    <cellStyle name="Normal 251 40" xfId="29758" xr:uid="{00000000-0005-0000-0000-000044740000}"/>
    <cellStyle name="Normal 251 40 2" xfId="29759" xr:uid="{00000000-0005-0000-0000-000045740000}"/>
    <cellStyle name="Normal 251 41" xfId="29760" xr:uid="{00000000-0005-0000-0000-000046740000}"/>
    <cellStyle name="Normal 251 41 2" xfId="29761" xr:uid="{00000000-0005-0000-0000-000047740000}"/>
    <cellStyle name="Normal 251 42" xfId="29762" xr:uid="{00000000-0005-0000-0000-000048740000}"/>
    <cellStyle name="Normal 251 42 2" xfId="29763" xr:uid="{00000000-0005-0000-0000-000049740000}"/>
    <cellStyle name="Normal 251 43" xfId="29764" xr:uid="{00000000-0005-0000-0000-00004A740000}"/>
    <cellStyle name="Normal 251 43 2" xfId="29765" xr:uid="{00000000-0005-0000-0000-00004B740000}"/>
    <cellStyle name="Normal 251 44" xfId="29766" xr:uid="{00000000-0005-0000-0000-00004C740000}"/>
    <cellStyle name="Normal 251 44 2" xfId="29767" xr:uid="{00000000-0005-0000-0000-00004D740000}"/>
    <cellStyle name="Normal 251 45" xfId="29768" xr:uid="{00000000-0005-0000-0000-00004E740000}"/>
    <cellStyle name="Normal 251 45 2" xfId="29769" xr:uid="{00000000-0005-0000-0000-00004F740000}"/>
    <cellStyle name="Normal 251 46" xfId="29770" xr:uid="{00000000-0005-0000-0000-000050740000}"/>
    <cellStyle name="Normal 251 46 2" xfId="29771" xr:uid="{00000000-0005-0000-0000-000051740000}"/>
    <cellStyle name="Normal 251 47" xfId="29772" xr:uid="{00000000-0005-0000-0000-000052740000}"/>
    <cellStyle name="Normal 251 47 2" xfId="29773" xr:uid="{00000000-0005-0000-0000-000053740000}"/>
    <cellStyle name="Normal 251 48" xfId="29774" xr:uid="{00000000-0005-0000-0000-000054740000}"/>
    <cellStyle name="Normal 251 48 2" xfId="29775" xr:uid="{00000000-0005-0000-0000-000055740000}"/>
    <cellStyle name="Normal 251 49" xfId="29776" xr:uid="{00000000-0005-0000-0000-000056740000}"/>
    <cellStyle name="Normal 251 49 2" xfId="29777" xr:uid="{00000000-0005-0000-0000-000057740000}"/>
    <cellStyle name="Normal 251 5" xfId="29778" xr:uid="{00000000-0005-0000-0000-000058740000}"/>
    <cellStyle name="Normal 251 5 2" xfId="29779" xr:uid="{00000000-0005-0000-0000-000059740000}"/>
    <cellStyle name="Normal 251 50" xfId="29780" xr:uid="{00000000-0005-0000-0000-00005A740000}"/>
    <cellStyle name="Normal 251 50 2" xfId="29781" xr:uid="{00000000-0005-0000-0000-00005B740000}"/>
    <cellStyle name="Normal 251 51" xfId="29782" xr:uid="{00000000-0005-0000-0000-00005C740000}"/>
    <cellStyle name="Normal 251 51 2" xfId="29783" xr:uid="{00000000-0005-0000-0000-00005D740000}"/>
    <cellStyle name="Normal 251 52" xfId="29784" xr:uid="{00000000-0005-0000-0000-00005E740000}"/>
    <cellStyle name="Normal 251 52 2" xfId="29785" xr:uid="{00000000-0005-0000-0000-00005F740000}"/>
    <cellStyle name="Normal 251 53" xfId="29786" xr:uid="{00000000-0005-0000-0000-000060740000}"/>
    <cellStyle name="Normal 251 53 2" xfId="29787" xr:uid="{00000000-0005-0000-0000-000061740000}"/>
    <cellStyle name="Normal 251 54" xfId="29788" xr:uid="{00000000-0005-0000-0000-000062740000}"/>
    <cellStyle name="Normal 251 54 2" xfId="29789" xr:uid="{00000000-0005-0000-0000-000063740000}"/>
    <cellStyle name="Normal 251 55" xfId="29790" xr:uid="{00000000-0005-0000-0000-000064740000}"/>
    <cellStyle name="Normal 251 55 2" xfId="29791" xr:uid="{00000000-0005-0000-0000-000065740000}"/>
    <cellStyle name="Normal 251 56" xfId="29792" xr:uid="{00000000-0005-0000-0000-000066740000}"/>
    <cellStyle name="Normal 251 56 2" xfId="29793" xr:uid="{00000000-0005-0000-0000-000067740000}"/>
    <cellStyle name="Normal 251 57" xfId="29794" xr:uid="{00000000-0005-0000-0000-000068740000}"/>
    <cellStyle name="Normal 251 57 2" xfId="29795" xr:uid="{00000000-0005-0000-0000-000069740000}"/>
    <cellStyle name="Normal 251 58" xfId="29796" xr:uid="{00000000-0005-0000-0000-00006A740000}"/>
    <cellStyle name="Normal 251 58 2" xfId="29797" xr:uid="{00000000-0005-0000-0000-00006B740000}"/>
    <cellStyle name="Normal 251 59" xfId="29798" xr:uid="{00000000-0005-0000-0000-00006C740000}"/>
    <cellStyle name="Normal 251 59 2" xfId="29799" xr:uid="{00000000-0005-0000-0000-00006D740000}"/>
    <cellStyle name="Normal 251 6" xfId="29800" xr:uid="{00000000-0005-0000-0000-00006E740000}"/>
    <cellStyle name="Normal 251 6 2" xfId="29801" xr:uid="{00000000-0005-0000-0000-00006F740000}"/>
    <cellStyle name="Normal 251 60" xfId="29802" xr:uid="{00000000-0005-0000-0000-000070740000}"/>
    <cellStyle name="Normal 251 60 2" xfId="29803" xr:uid="{00000000-0005-0000-0000-000071740000}"/>
    <cellStyle name="Normal 251 61" xfId="29804" xr:uid="{00000000-0005-0000-0000-000072740000}"/>
    <cellStyle name="Normal 251 61 2" xfId="29805" xr:uid="{00000000-0005-0000-0000-000073740000}"/>
    <cellStyle name="Normal 251 62" xfId="29806" xr:uid="{00000000-0005-0000-0000-000074740000}"/>
    <cellStyle name="Normal 251 62 2" xfId="29807" xr:uid="{00000000-0005-0000-0000-000075740000}"/>
    <cellStyle name="Normal 251 62 3" xfId="29808" xr:uid="{00000000-0005-0000-0000-000076740000}"/>
    <cellStyle name="Normal 251 63" xfId="29809" xr:uid="{00000000-0005-0000-0000-000077740000}"/>
    <cellStyle name="Normal 251 7" xfId="29810" xr:uid="{00000000-0005-0000-0000-000078740000}"/>
    <cellStyle name="Normal 251 7 2" xfId="29811" xr:uid="{00000000-0005-0000-0000-000079740000}"/>
    <cellStyle name="Normal 251 8" xfId="29812" xr:uid="{00000000-0005-0000-0000-00007A740000}"/>
    <cellStyle name="Normal 251 8 2" xfId="29813" xr:uid="{00000000-0005-0000-0000-00007B740000}"/>
    <cellStyle name="Normal 251 9" xfId="29814" xr:uid="{00000000-0005-0000-0000-00007C740000}"/>
    <cellStyle name="Normal 251 9 2" xfId="29815" xr:uid="{00000000-0005-0000-0000-00007D740000}"/>
    <cellStyle name="Normal 252" xfId="29816" xr:uid="{00000000-0005-0000-0000-00007E740000}"/>
    <cellStyle name="Normal 252 10" xfId="29817" xr:uid="{00000000-0005-0000-0000-00007F740000}"/>
    <cellStyle name="Normal 252 10 2" xfId="29818" xr:uid="{00000000-0005-0000-0000-000080740000}"/>
    <cellStyle name="Normal 252 11" xfId="29819" xr:uid="{00000000-0005-0000-0000-000081740000}"/>
    <cellStyle name="Normal 252 11 2" xfId="29820" xr:uid="{00000000-0005-0000-0000-000082740000}"/>
    <cellStyle name="Normal 252 12" xfId="29821" xr:uid="{00000000-0005-0000-0000-000083740000}"/>
    <cellStyle name="Normal 252 12 2" xfId="29822" xr:uid="{00000000-0005-0000-0000-000084740000}"/>
    <cellStyle name="Normal 252 13" xfId="29823" xr:uid="{00000000-0005-0000-0000-000085740000}"/>
    <cellStyle name="Normal 252 13 2" xfId="29824" xr:uid="{00000000-0005-0000-0000-000086740000}"/>
    <cellStyle name="Normal 252 14" xfId="29825" xr:uid="{00000000-0005-0000-0000-000087740000}"/>
    <cellStyle name="Normal 252 14 2" xfId="29826" xr:uid="{00000000-0005-0000-0000-000088740000}"/>
    <cellStyle name="Normal 252 15" xfId="29827" xr:uid="{00000000-0005-0000-0000-000089740000}"/>
    <cellStyle name="Normal 252 15 2" xfId="29828" xr:uid="{00000000-0005-0000-0000-00008A740000}"/>
    <cellStyle name="Normal 252 16" xfId="29829" xr:uid="{00000000-0005-0000-0000-00008B740000}"/>
    <cellStyle name="Normal 252 16 2" xfId="29830" xr:uid="{00000000-0005-0000-0000-00008C740000}"/>
    <cellStyle name="Normal 252 17" xfId="29831" xr:uid="{00000000-0005-0000-0000-00008D740000}"/>
    <cellStyle name="Normal 252 17 2" xfId="29832" xr:uid="{00000000-0005-0000-0000-00008E740000}"/>
    <cellStyle name="Normal 252 18" xfId="29833" xr:uid="{00000000-0005-0000-0000-00008F740000}"/>
    <cellStyle name="Normal 252 18 2" xfId="29834" xr:uid="{00000000-0005-0000-0000-000090740000}"/>
    <cellStyle name="Normal 252 19" xfId="29835" xr:uid="{00000000-0005-0000-0000-000091740000}"/>
    <cellStyle name="Normal 252 19 2" xfId="29836" xr:uid="{00000000-0005-0000-0000-000092740000}"/>
    <cellStyle name="Normal 252 2" xfId="29837" xr:uid="{00000000-0005-0000-0000-000093740000}"/>
    <cellStyle name="Normal 252 2 2" xfId="29838" xr:uid="{00000000-0005-0000-0000-000094740000}"/>
    <cellStyle name="Normal 252 20" xfId="29839" xr:uid="{00000000-0005-0000-0000-000095740000}"/>
    <cellStyle name="Normal 252 20 2" xfId="29840" xr:uid="{00000000-0005-0000-0000-000096740000}"/>
    <cellStyle name="Normal 252 21" xfId="29841" xr:uid="{00000000-0005-0000-0000-000097740000}"/>
    <cellStyle name="Normal 252 21 2" xfId="29842" xr:uid="{00000000-0005-0000-0000-000098740000}"/>
    <cellStyle name="Normal 252 22" xfId="29843" xr:uid="{00000000-0005-0000-0000-000099740000}"/>
    <cellStyle name="Normal 252 22 2" xfId="29844" xr:uid="{00000000-0005-0000-0000-00009A740000}"/>
    <cellStyle name="Normal 252 23" xfId="29845" xr:uid="{00000000-0005-0000-0000-00009B740000}"/>
    <cellStyle name="Normal 252 23 2" xfId="29846" xr:uid="{00000000-0005-0000-0000-00009C740000}"/>
    <cellStyle name="Normal 252 24" xfId="29847" xr:uid="{00000000-0005-0000-0000-00009D740000}"/>
    <cellStyle name="Normal 252 24 2" xfId="29848" xr:uid="{00000000-0005-0000-0000-00009E740000}"/>
    <cellStyle name="Normal 252 25" xfId="29849" xr:uid="{00000000-0005-0000-0000-00009F740000}"/>
    <cellStyle name="Normal 252 25 2" xfId="29850" xr:uid="{00000000-0005-0000-0000-0000A0740000}"/>
    <cellStyle name="Normal 252 26" xfId="29851" xr:uid="{00000000-0005-0000-0000-0000A1740000}"/>
    <cellStyle name="Normal 252 26 2" xfId="29852" xr:uid="{00000000-0005-0000-0000-0000A2740000}"/>
    <cellStyle name="Normal 252 27" xfId="29853" xr:uid="{00000000-0005-0000-0000-0000A3740000}"/>
    <cellStyle name="Normal 252 27 2" xfId="29854" xr:uid="{00000000-0005-0000-0000-0000A4740000}"/>
    <cellStyle name="Normal 252 28" xfId="29855" xr:uid="{00000000-0005-0000-0000-0000A5740000}"/>
    <cellStyle name="Normal 252 28 2" xfId="29856" xr:uid="{00000000-0005-0000-0000-0000A6740000}"/>
    <cellStyle name="Normal 252 29" xfId="29857" xr:uid="{00000000-0005-0000-0000-0000A7740000}"/>
    <cellStyle name="Normal 252 29 2" xfId="29858" xr:uid="{00000000-0005-0000-0000-0000A8740000}"/>
    <cellStyle name="Normal 252 3" xfId="29859" xr:uid="{00000000-0005-0000-0000-0000A9740000}"/>
    <cellStyle name="Normal 252 3 2" xfId="29860" xr:uid="{00000000-0005-0000-0000-0000AA740000}"/>
    <cellStyle name="Normal 252 30" xfId="29861" xr:uid="{00000000-0005-0000-0000-0000AB740000}"/>
    <cellStyle name="Normal 252 30 2" xfId="29862" xr:uid="{00000000-0005-0000-0000-0000AC740000}"/>
    <cellStyle name="Normal 252 31" xfId="29863" xr:uid="{00000000-0005-0000-0000-0000AD740000}"/>
    <cellStyle name="Normal 252 31 2" xfId="29864" xr:uid="{00000000-0005-0000-0000-0000AE740000}"/>
    <cellStyle name="Normal 252 32" xfId="29865" xr:uid="{00000000-0005-0000-0000-0000AF740000}"/>
    <cellStyle name="Normal 252 32 2" xfId="29866" xr:uid="{00000000-0005-0000-0000-0000B0740000}"/>
    <cellStyle name="Normal 252 33" xfId="29867" xr:uid="{00000000-0005-0000-0000-0000B1740000}"/>
    <cellStyle name="Normal 252 33 2" xfId="29868" xr:uid="{00000000-0005-0000-0000-0000B2740000}"/>
    <cellStyle name="Normal 252 34" xfId="29869" xr:uid="{00000000-0005-0000-0000-0000B3740000}"/>
    <cellStyle name="Normal 252 34 2" xfId="29870" xr:uid="{00000000-0005-0000-0000-0000B4740000}"/>
    <cellStyle name="Normal 252 35" xfId="29871" xr:uid="{00000000-0005-0000-0000-0000B5740000}"/>
    <cellStyle name="Normal 252 35 2" xfId="29872" xr:uid="{00000000-0005-0000-0000-0000B6740000}"/>
    <cellStyle name="Normal 252 36" xfId="29873" xr:uid="{00000000-0005-0000-0000-0000B7740000}"/>
    <cellStyle name="Normal 252 36 2" xfId="29874" xr:uid="{00000000-0005-0000-0000-0000B8740000}"/>
    <cellStyle name="Normal 252 37" xfId="29875" xr:uid="{00000000-0005-0000-0000-0000B9740000}"/>
    <cellStyle name="Normal 252 37 2" xfId="29876" xr:uid="{00000000-0005-0000-0000-0000BA740000}"/>
    <cellStyle name="Normal 252 38" xfId="29877" xr:uid="{00000000-0005-0000-0000-0000BB740000}"/>
    <cellStyle name="Normal 252 38 2" xfId="29878" xr:uid="{00000000-0005-0000-0000-0000BC740000}"/>
    <cellStyle name="Normal 252 39" xfId="29879" xr:uid="{00000000-0005-0000-0000-0000BD740000}"/>
    <cellStyle name="Normal 252 39 2" xfId="29880" xr:uid="{00000000-0005-0000-0000-0000BE740000}"/>
    <cellStyle name="Normal 252 4" xfId="29881" xr:uid="{00000000-0005-0000-0000-0000BF740000}"/>
    <cellStyle name="Normal 252 4 2" xfId="29882" xr:uid="{00000000-0005-0000-0000-0000C0740000}"/>
    <cellStyle name="Normal 252 40" xfId="29883" xr:uid="{00000000-0005-0000-0000-0000C1740000}"/>
    <cellStyle name="Normal 252 40 2" xfId="29884" xr:uid="{00000000-0005-0000-0000-0000C2740000}"/>
    <cellStyle name="Normal 252 41" xfId="29885" xr:uid="{00000000-0005-0000-0000-0000C3740000}"/>
    <cellStyle name="Normal 252 41 2" xfId="29886" xr:uid="{00000000-0005-0000-0000-0000C4740000}"/>
    <cellStyle name="Normal 252 42" xfId="29887" xr:uid="{00000000-0005-0000-0000-0000C5740000}"/>
    <cellStyle name="Normal 252 42 2" xfId="29888" xr:uid="{00000000-0005-0000-0000-0000C6740000}"/>
    <cellStyle name="Normal 252 43" xfId="29889" xr:uid="{00000000-0005-0000-0000-0000C7740000}"/>
    <cellStyle name="Normal 252 43 2" xfId="29890" xr:uid="{00000000-0005-0000-0000-0000C8740000}"/>
    <cellStyle name="Normal 252 44" xfId="29891" xr:uid="{00000000-0005-0000-0000-0000C9740000}"/>
    <cellStyle name="Normal 252 44 2" xfId="29892" xr:uid="{00000000-0005-0000-0000-0000CA740000}"/>
    <cellStyle name="Normal 252 45" xfId="29893" xr:uid="{00000000-0005-0000-0000-0000CB740000}"/>
    <cellStyle name="Normal 252 45 2" xfId="29894" xr:uid="{00000000-0005-0000-0000-0000CC740000}"/>
    <cellStyle name="Normal 252 46" xfId="29895" xr:uid="{00000000-0005-0000-0000-0000CD740000}"/>
    <cellStyle name="Normal 252 46 2" xfId="29896" xr:uid="{00000000-0005-0000-0000-0000CE740000}"/>
    <cellStyle name="Normal 252 47" xfId="29897" xr:uid="{00000000-0005-0000-0000-0000CF740000}"/>
    <cellStyle name="Normal 252 47 2" xfId="29898" xr:uid="{00000000-0005-0000-0000-0000D0740000}"/>
    <cellStyle name="Normal 252 48" xfId="29899" xr:uid="{00000000-0005-0000-0000-0000D1740000}"/>
    <cellStyle name="Normal 252 48 2" xfId="29900" xr:uid="{00000000-0005-0000-0000-0000D2740000}"/>
    <cellStyle name="Normal 252 49" xfId="29901" xr:uid="{00000000-0005-0000-0000-0000D3740000}"/>
    <cellStyle name="Normal 252 49 2" xfId="29902" xr:uid="{00000000-0005-0000-0000-0000D4740000}"/>
    <cellStyle name="Normal 252 5" xfId="29903" xr:uid="{00000000-0005-0000-0000-0000D5740000}"/>
    <cellStyle name="Normal 252 5 2" xfId="29904" xr:uid="{00000000-0005-0000-0000-0000D6740000}"/>
    <cellStyle name="Normal 252 50" xfId="29905" xr:uid="{00000000-0005-0000-0000-0000D7740000}"/>
    <cellStyle name="Normal 252 50 2" xfId="29906" xr:uid="{00000000-0005-0000-0000-0000D8740000}"/>
    <cellStyle name="Normal 252 51" xfId="29907" xr:uid="{00000000-0005-0000-0000-0000D9740000}"/>
    <cellStyle name="Normal 252 51 2" xfId="29908" xr:uid="{00000000-0005-0000-0000-0000DA740000}"/>
    <cellStyle name="Normal 252 52" xfId="29909" xr:uid="{00000000-0005-0000-0000-0000DB740000}"/>
    <cellStyle name="Normal 252 52 2" xfId="29910" xr:uid="{00000000-0005-0000-0000-0000DC740000}"/>
    <cellStyle name="Normal 252 53" xfId="29911" xr:uid="{00000000-0005-0000-0000-0000DD740000}"/>
    <cellStyle name="Normal 252 53 2" xfId="29912" xr:uid="{00000000-0005-0000-0000-0000DE740000}"/>
    <cellStyle name="Normal 252 54" xfId="29913" xr:uid="{00000000-0005-0000-0000-0000DF740000}"/>
    <cellStyle name="Normal 252 54 2" xfId="29914" xr:uid="{00000000-0005-0000-0000-0000E0740000}"/>
    <cellStyle name="Normal 252 55" xfId="29915" xr:uid="{00000000-0005-0000-0000-0000E1740000}"/>
    <cellStyle name="Normal 252 55 2" xfId="29916" xr:uid="{00000000-0005-0000-0000-0000E2740000}"/>
    <cellStyle name="Normal 252 56" xfId="29917" xr:uid="{00000000-0005-0000-0000-0000E3740000}"/>
    <cellStyle name="Normal 252 56 2" xfId="29918" xr:uid="{00000000-0005-0000-0000-0000E4740000}"/>
    <cellStyle name="Normal 252 57" xfId="29919" xr:uid="{00000000-0005-0000-0000-0000E5740000}"/>
    <cellStyle name="Normal 252 57 2" xfId="29920" xr:uid="{00000000-0005-0000-0000-0000E6740000}"/>
    <cellStyle name="Normal 252 58" xfId="29921" xr:uid="{00000000-0005-0000-0000-0000E7740000}"/>
    <cellStyle name="Normal 252 58 2" xfId="29922" xr:uid="{00000000-0005-0000-0000-0000E8740000}"/>
    <cellStyle name="Normal 252 59" xfId="29923" xr:uid="{00000000-0005-0000-0000-0000E9740000}"/>
    <cellStyle name="Normal 252 59 2" xfId="29924" xr:uid="{00000000-0005-0000-0000-0000EA740000}"/>
    <cellStyle name="Normal 252 6" xfId="29925" xr:uid="{00000000-0005-0000-0000-0000EB740000}"/>
    <cellStyle name="Normal 252 6 2" xfId="29926" xr:uid="{00000000-0005-0000-0000-0000EC740000}"/>
    <cellStyle name="Normal 252 60" xfId="29927" xr:uid="{00000000-0005-0000-0000-0000ED740000}"/>
    <cellStyle name="Normal 252 60 2" xfId="29928" xr:uid="{00000000-0005-0000-0000-0000EE740000}"/>
    <cellStyle name="Normal 252 61" xfId="29929" xr:uid="{00000000-0005-0000-0000-0000EF740000}"/>
    <cellStyle name="Normal 252 61 2" xfId="29930" xr:uid="{00000000-0005-0000-0000-0000F0740000}"/>
    <cellStyle name="Normal 252 61 3" xfId="29931" xr:uid="{00000000-0005-0000-0000-0000F1740000}"/>
    <cellStyle name="Normal 252 62" xfId="29932" xr:uid="{00000000-0005-0000-0000-0000F2740000}"/>
    <cellStyle name="Normal 252 7" xfId="29933" xr:uid="{00000000-0005-0000-0000-0000F3740000}"/>
    <cellStyle name="Normal 252 7 2" xfId="29934" xr:uid="{00000000-0005-0000-0000-0000F4740000}"/>
    <cellStyle name="Normal 252 8" xfId="29935" xr:uid="{00000000-0005-0000-0000-0000F5740000}"/>
    <cellStyle name="Normal 252 8 2" xfId="29936" xr:uid="{00000000-0005-0000-0000-0000F6740000}"/>
    <cellStyle name="Normal 252 9" xfId="29937" xr:uid="{00000000-0005-0000-0000-0000F7740000}"/>
    <cellStyle name="Normal 252 9 2" xfId="29938" xr:uid="{00000000-0005-0000-0000-0000F8740000}"/>
    <cellStyle name="Normal 253" xfId="29939" xr:uid="{00000000-0005-0000-0000-0000F9740000}"/>
    <cellStyle name="Normal 254" xfId="29940" xr:uid="{00000000-0005-0000-0000-0000FA740000}"/>
    <cellStyle name="Normal 255" xfId="29941" xr:uid="{00000000-0005-0000-0000-0000FB740000}"/>
    <cellStyle name="Normal 255 10" xfId="29942" xr:uid="{00000000-0005-0000-0000-0000FC740000}"/>
    <cellStyle name="Normal 255 10 2" xfId="29943" xr:uid="{00000000-0005-0000-0000-0000FD740000}"/>
    <cellStyle name="Normal 255 11" xfId="29944" xr:uid="{00000000-0005-0000-0000-0000FE740000}"/>
    <cellStyle name="Normal 255 11 2" xfId="29945" xr:uid="{00000000-0005-0000-0000-0000FF740000}"/>
    <cellStyle name="Normal 255 12" xfId="29946" xr:uid="{00000000-0005-0000-0000-000000750000}"/>
    <cellStyle name="Normal 255 12 2" xfId="29947" xr:uid="{00000000-0005-0000-0000-000001750000}"/>
    <cellStyle name="Normal 255 13" xfId="29948" xr:uid="{00000000-0005-0000-0000-000002750000}"/>
    <cellStyle name="Normal 255 13 2" xfId="29949" xr:uid="{00000000-0005-0000-0000-000003750000}"/>
    <cellStyle name="Normal 255 14" xfId="29950" xr:uid="{00000000-0005-0000-0000-000004750000}"/>
    <cellStyle name="Normal 255 14 2" xfId="29951" xr:uid="{00000000-0005-0000-0000-000005750000}"/>
    <cellStyle name="Normal 255 15" xfId="29952" xr:uid="{00000000-0005-0000-0000-000006750000}"/>
    <cellStyle name="Normal 255 15 2" xfId="29953" xr:uid="{00000000-0005-0000-0000-000007750000}"/>
    <cellStyle name="Normal 255 16" xfId="29954" xr:uid="{00000000-0005-0000-0000-000008750000}"/>
    <cellStyle name="Normal 255 16 2" xfId="29955" xr:uid="{00000000-0005-0000-0000-000009750000}"/>
    <cellStyle name="Normal 255 17" xfId="29956" xr:uid="{00000000-0005-0000-0000-00000A750000}"/>
    <cellStyle name="Normal 255 17 2" xfId="29957" xr:uid="{00000000-0005-0000-0000-00000B750000}"/>
    <cellStyle name="Normal 255 18" xfId="29958" xr:uid="{00000000-0005-0000-0000-00000C750000}"/>
    <cellStyle name="Normal 255 18 2" xfId="29959" xr:uid="{00000000-0005-0000-0000-00000D750000}"/>
    <cellStyle name="Normal 255 19" xfId="29960" xr:uid="{00000000-0005-0000-0000-00000E750000}"/>
    <cellStyle name="Normal 255 19 2" xfId="29961" xr:uid="{00000000-0005-0000-0000-00000F750000}"/>
    <cellStyle name="Normal 255 2" xfId="29962" xr:uid="{00000000-0005-0000-0000-000010750000}"/>
    <cellStyle name="Normal 255 2 2" xfId="29963" xr:uid="{00000000-0005-0000-0000-000011750000}"/>
    <cellStyle name="Normal 255 20" xfId="29964" xr:uid="{00000000-0005-0000-0000-000012750000}"/>
    <cellStyle name="Normal 255 20 2" xfId="29965" xr:uid="{00000000-0005-0000-0000-000013750000}"/>
    <cellStyle name="Normal 255 21" xfId="29966" xr:uid="{00000000-0005-0000-0000-000014750000}"/>
    <cellStyle name="Normal 255 21 2" xfId="29967" xr:uid="{00000000-0005-0000-0000-000015750000}"/>
    <cellStyle name="Normal 255 22" xfId="29968" xr:uid="{00000000-0005-0000-0000-000016750000}"/>
    <cellStyle name="Normal 255 22 2" xfId="29969" xr:uid="{00000000-0005-0000-0000-000017750000}"/>
    <cellStyle name="Normal 255 23" xfId="29970" xr:uid="{00000000-0005-0000-0000-000018750000}"/>
    <cellStyle name="Normal 255 23 2" xfId="29971" xr:uid="{00000000-0005-0000-0000-000019750000}"/>
    <cellStyle name="Normal 255 24" xfId="29972" xr:uid="{00000000-0005-0000-0000-00001A750000}"/>
    <cellStyle name="Normal 255 24 2" xfId="29973" xr:uid="{00000000-0005-0000-0000-00001B750000}"/>
    <cellStyle name="Normal 255 25" xfId="29974" xr:uid="{00000000-0005-0000-0000-00001C750000}"/>
    <cellStyle name="Normal 255 25 2" xfId="29975" xr:uid="{00000000-0005-0000-0000-00001D750000}"/>
    <cellStyle name="Normal 255 26" xfId="29976" xr:uid="{00000000-0005-0000-0000-00001E750000}"/>
    <cellStyle name="Normal 255 26 2" xfId="29977" xr:uid="{00000000-0005-0000-0000-00001F750000}"/>
    <cellStyle name="Normal 255 27" xfId="29978" xr:uid="{00000000-0005-0000-0000-000020750000}"/>
    <cellStyle name="Normal 255 27 2" xfId="29979" xr:uid="{00000000-0005-0000-0000-000021750000}"/>
    <cellStyle name="Normal 255 28" xfId="29980" xr:uid="{00000000-0005-0000-0000-000022750000}"/>
    <cellStyle name="Normal 255 28 2" xfId="29981" xr:uid="{00000000-0005-0000-0000-000023750000}"/>
    <cellStyle name="Normal 255 29" xfId="29982" xr:uid="{00000000-0005-0000-0000-000024750000}"/>
    <cellStyle name="Normal 255 29 2" xfId="29983" xr:uid="{00000000-0005-0000-0000-000025750000}"/>
    <cellStyle name="Normal 255 3" xfId="29984" xr:uid="{00000000-0005-0000-0000-000026750000}"/>
    <cellStyle name="Normal 255 3 2" xfId="29985" xr:uid="{00000000-0005-0000-0000-000027750000}"/>
    <cellStyle name="Normal 255 30" xfId="29986" xr:uid="{00000000-0005-0000-0000-000028750000}"/>
    <cellStyle name="Normal 255 30 2" xfId="29987" xr:uid="{00000000-0005-0000-0000-000029750000}"/>
    <cellStyle name="Normal 255 31" xfId="29988" xr:uid="{00000000-0005-0000-0000-00002A750000}"/>
    <cellStyle name="Normal 255 31 2" xfId="29989" xr:uid="{00000000-0005-0000-0000-00002B750000}"/>
    <cellStyle name="Normal 255 32" xfId="29990" xr:uid="{00000000-0005-0000-0000-00002C750000}"/>
    <cellStyle name="Normal 255 32 2" xfId="29991" xr:uid="{00000000-0005-0000-0000-00002D750000}"/>
    <cellStyle name="Normal 255 33" xfId="29992" xr:uid="{00000000-0005-0000-0000-00002E750000}"/>
    <cellStyle name="Normal 255 33 2" xfId="29993" xr:uid="{00000000-0005-0000-0000-00002F750000}"/>
    <cellStyle name="Normal 255 34" xfId="29994" xr:uid="{00000000-0005-0000-0000-000030750000}"/>
    <cellStyle name="Normal 255 34 2" xfId="29995" xr:uid="{00000000-0005-0000-0000-000031750000}"/>
    <cellStyle name="Normal 255 35" xfId="29996" xr:uid="{00000000-0005-0000-0000-000032750000}"/>
    <cellStyle name="Normal 255 35 2" xfId="29997" xr:uid="{00000000-0005-0000-0000-000033750000}"/>
    <cellStyle name="Normal 255 36" xfId="29998" xr:uid="{00000000-0005-0000-0000-000034750000}"/>
    <cellStyle name="Normal 255 36 2" xfId="29999" xr:uid="{00000000-0005-0000-0000-000035750000}"/>
    <cellStyle name="Normal 255 37" xfId="30000" xr:uid="{00000000-0005-0000-0000-000036750000}"/>
    <cellStyle name="Normal 255 37 2" xfId="30001" xr:uid="{00000000-0005-0000-0000-000037750000}"/>
    <cellStyle name="Normal 255 38" xfId="30002" xr:uid="{00000000-0005-0000-0000-000038750000}"/>
    <cellStyle name="Normal 255 38 2" xfId="30003" xr:uid="{00000000-0005-0000-0000-000039750000}"/>
    <cellStyle name="Normal 255 39" xfId="30004" xr:uid="{00000000-0005-0000-0000-00003A750000}"/>
    <cellStyle name="Normal 255 39 2" xfId="30005" xr:uid="{00000000-0005-0000-0000-00003B750000}"/>
    <cellStyle name="Normal 255 4" xfId="30006" xr:uid="{00000000-0005-0000-0000-00003C750000}"/>
    <cellStyle name="Normal 255 4 2" xfId="30007" xr:uid="{00000000-0005-0000-0000-00003D750000}"/>
    <cellStyle name="Normal 255 40" xfId="30008" xr:uid="{00000000-0005-0000-0000-00003E750000}"/>
    <cellStyle name="Normal 255 40 2" xfId="30009" xr:uid="{00000000-0005-0000-0000-00003F750000}"/>
    <cellStyle name="Normal 255 41" xfId="30010" xr:uid="{00000000-0005-0000-0000-000040750000}"/>
    <cellStyle name="Normal 255 41 2" xfId="30011" xr:uid="{00000000-0005-0000-0000-000041750000}"/>
    <cellStyle name="Normal 255 42" xfId="30012" xr:uid="{00000000-0005-0000-0000-000042750000}"/>
    <cellStyle name="Normal 255 42 2" xfId="30013" xr:uid="{00000000-0005-0000-0000-000043750000}"/>
    <cellStyle name="Normal 255 43" xfId="30014" xr:uid="{00000000-0005-0000-0000-000044750000}"/>
    <cellStyle name="Normal 255 43 2" xfId="30015" xr:uid="{00000000-0005-0000-0000-000045750000}"/>
    <cellStyle name="Normal 255 44" xfId="30016" xr:uid="{00000000-0005-0000-0000-000046750000}"/>
    <cellStyle name="Normal 255 44 2" xfId="30017" xr:uid="{00000000-0005-0000-0000-000047750000}"/>
    <cellStyle name="Normal 255 45" xfId="30018" xr:uid="{00000000-0005-0000-0000-000048750000}"/>
    <cellStyle name="Normal 255 45 2" xfId="30019" xr:uid="{00000000-0005-0000-0000-000049750000}"/>
    <cellStyle name="Normal 255 46" xfId="30020" xr:uid="{00000000-0005-0000-0000-00004A750000}"/>
    <cellStyle name="Normal 255 46 2" xfId="30021" xr:uid="{00000000-0005-0000-0000-00004B750000}"/>
    <cellStyle name="Normal 255 47" xfId="30022" xr:uid="{00000000-0005-0000-0000-00004C750000}"/>
    <cellStyle name="Normal 255 47 2" xfId="30023" xr:uid="{00000000-0005-0000-0000-00004D750000}"/>
    <cellStyle name="Normal 255 48" xfId="30024" xr:uid="{00000000-0005-0000-0000-00004E750000}"/>
    <cellStyle name="Normal 255 48 2" xfId="30025" xr:uid="{00000000-0005-0000-0000-00004F750000}"/>
    <cellStyle name="Normal 255 49" xfId="30026" xr:uid="{00000000-0005-0000-0000-000050750000}"/>
    <cellStyle name="Normal 255 49 2" xfId="30027" xr:uid="{00000000-0005-0000-0000-000051750000}"/>
    <cellStyle name="Normal 255 5" xfId="30028" xr:uid="{00000000-0005-0000-0000-000052750000}"/>
    <cellStyle name="Normal 255 5 2" xfId="30029" xr:uid="{00000000-0005-0000-0000-000053750000}"/>
    <cellStyle name="Normal 255 50" xfId="30030" xr:uid="{00000000-0005-0000-0000-000054750000}"/>
    <cellStyle name="Normal 255 50 2" xfId="30031" xr:uid="{00000000-0005-0000-0000-000055750000}"/>
    <cellStyle name="Normal 255 51" xfId="30032" xr:uid="{00000000-0005-0000-0000-000056750000}"/>
    <cellStyle name="Normal 255 51 2" xfId="30033" xr:uid="{00000000-0005-0000-0000-000057750000}"/>
    <cellStyle name="Normal 255 52" xfId="30034" xr:uid="{00000000-0005-0000-0000-000058750000}"/>
    <cellStyle name="Normal 255 52 2" xfId="30035" xr:uid="{00000000-0005-0000-0000-000059750000}"/>
    <cellStyle name="Normal 255 53" xfId="30036" xr:uid="{00000000-0005-0000-0000-00005A750000}"/>
    <cellStyle name="Normal 255 53 2" xfId="30037" xr:uid="{00000000-0005-0000-0000-00005B750000}"/>
    <cellStyle name="Normal 255 54" xfId="30038" xr:uid="{00000000-0005-0000-0000-00005C750000}"/>
    <cellStyle name="Normal 255 54 2" xfId="30039" xr:uid="{00000000-0005-0000-0000-00005D750000}"/>
    <cellStyle name="Normal 255 55" xfId="30040" xr:uid="{00000000-0005-0000-0000-00005E750000}"/>
    <cellStyle name="Normal 255 55 2" xfId="30041" xr:uid="{00000000-0005-0000-0000-00005F750000}"/>
    <cellStyle name="Normal 255 56" xfId="30042" xr:uid="{00000000-0005-0000-0000-000060750000}"/>
    <cellStyle name="Normal 255 56 2" xfId="30043" xr:uid="{00000000-0005-0000-0000-000061750000}"/>
    <cellStyle name="Normal 255 57" xfId="30044" xr:uid="{00000000-0005-0000-0000-000062750000}"/>
    <cellStyle name="Normal 255 57 2" xfId="30045" xr:uid="{00000000-0005-0000-0000-000063750000}"/>
    <cellStyle name="Normal 255 58" xfId="30046" xr:uid="{00000000-0005-0000-0000-000064750000}"/>
    <cellStyle name="Normal 255 58 2" xfId="30047" xr:uid="{00000000-0005-0000-0000-000065750000}"/>
    <cellStyle name="Normal 255 59" xfId="30048" xr:uid="{00000000-0005-0000-0000-000066750000}"/>
    <cellStyle name="Normal 255 59 2" xfId="30049" xr:uid="{00000000-0005-0000-0000-000067750000}"/>
    <cellStyle name="Normal 255 6" xfId="30050" xr:uid="{00000000-0005-0000-0000-000068750000}"/>
    <cellStyle name="Normal 255 6 2" xfId="30051" xr:uid="{00000000-0005-0000-0000-000069750000}"/>
    <cellStyle name="Normal 255 60" xfId="30052" xr:uid="{00000000-0005-0000-0000-00006A750000}"/>
    <cellStyle name="Normal 255 60 2" xfId="30053" xr:uid="{00000000-0005-0000-0000-00006B750000}"/>
    <cellStyle name="Normal 255 61" xfId="30054" xr:uid="{00000000-0005-0000-0000-00006C750000}"/>
    <cellStyle name="Normal 255 61 2" xfId="30055" xr:uid="{00000000-0005-0000-0000-00006D750000}"/>
    <cellStyle name="Normal 255 61 3" xfId="30056" xr:uid="{00000000-0005-0000-0000-00006E750000}"/>
    <cellStyle name="Normal 255 62" xfId="30057" xr:uid="{00000000-0005-0000-0000-00006F750000}"/>
    <cellStyle name="Normal 255 7" xfId="30058" xr:uid="{00000000-0005-0000-0000-000070750000}"/>
    <cellStyle name="Normal 255 7 2" xfId="30059" xr:uid="{00000000-0005-0000-0000-000071750000}"/>
    <cellStyle name="Normal 255 8" xfId="30060" xr:uid="{00000000-0005-0000-0000-000072750000}"/>
    <cellStyle name="Normal 255 8 2" xfId="30061" xr:uid="{00000000-0005-0000-0000-000073750000}"/>
    <cellStyle name="Normal 255 9" xfId="30062" xr:uid="{00000000-0005-0000-0000-000074750000}"/>
    <cellStyle name="Normal 255 9 2" xfId="30063" xr:uid="{00000000-0005-0000-0000-000075750000}"/>
    <cellStyle name="Normal 256" xfId="30064" xr:uid="{00000000-0005-0000-0000-000076750000}"/>
    <cellStyle name="Normal 257" xfId="30065" xr:uid="{00000000-0005-0000-0000-000077750000}"/>
    <cellStyle name="Normal 258" xfId="30066" xr:uid="{00000000-0005-0000-0000-000078750000}"/>
    <cellStyle name="Normal 258 10" xfId="30067" xr:uid="{00000000-0005-0000-0000-000079750000}"/>
    <cellStyle name="Normal 258 10 2" xfId="30068" xr:uid="{00000000-0005-0000-0000-00007A750000}"/>
    <cellStyle name="Normal 258 11" xfId="30069" xr:uid="{00000000-0005-0000-0000-00007B750000}"/>
    <cellStyle name="Normal 258 11 2" xfId="30070" xr:uid="{00000000-0005-0000-0000-00007C750000}"/>
    <cellStyle name="Normal 258 12" xfId="30071" xr:uid="{00000000-0005-0000-0000-00007D750000}"/>
    <cellStyle name="Normal 258 12 2" xfId="30072" xr:uid="{00000000-0005-0000-0000-00007E750000}"/>
    <cellStyle name="Normal 258 13" xfId="30073" xr:uid="{00000000-0005-0000-0000-00007F750000}"/>
    <cellStyle name="Normal 258 13 2" xfId="30074" xr:uid="{00000000-0005-0000-0000-000080750000}"/>
    <cellStyle name="Normal 258 14" xfId="30075" xr:uid="{00000000-0005-0000-0000-000081750000}"/>
    <cellStyle name="Normal 258 14 2" xfId="30076" xr:uid="{00000000-0005-0000-0000-000082750000}"/>
    <cellStyle name="Normal 258 15" xfId="30077" xr:uid="{00000000-0005-0000-0000-000083750000}"/>
    <cellStyle name="Normal 258 15 2" xfId="30078" xr:uid="{00000000-0005-0000-0000-000084750000}"/>
    <cellStyle name="Normal 258 16" xfId="30079" xr:uid="{00000000-0005-0000-0000-000085750000}"/>
    <cellStyle name="Normal 258 16 2" xfId="30080" xr:uid="{00000000-0005-0000-0000-000086750000}"/>
    <cellStyle name="Normal 258 17" xfId="30081" xr:uid="{00000000-0005-0000-0000-000087750000}"/>
    <cellStyle name="Normal 258 17 2" xfId="30082" xr:uid="{00000000-0005-0000-0000-000088750000}"/>
    <cellStyle name="Normal 258 18" xfId="30083" xr:uid="{00000000-0005-0000-0000-000089750000}"/>
    <cellStyle name="Normal 258 18 2" xfId="30084" xr:uid="{00000000-0005-0000-0000-00008A750000}"/>
    <cellStyle name="Normal 258 19" xfId="30085" xr:uid="{00000000-0005-0000-0000-00008B750000}"/>
    <cellStyle name="Normal 258 19 2" xfId="30086" xr:uid="{00000000-0005-0000-0000-00008C750000}"/>
    <cellStyle name="Normal 258 2" xfId="30087" xr:uid="{00000000-0005-0000-0000-00008D750000}"/>
    <cellStyle name="Normal 258 2 2" xfId="30088" xr:uid="{00000000-0005-0000-0000-00008E750000}"/>
    <cellStyle name="Normal 258 20" xfId="30089" xr:uid="{00000000-0005-0000-0000-00008F750000}"/>
    <cellStyle name="Normal 258 20 2" xfId="30090" xr:uid="{00000000-0005-0000-0000-000090750000}"/>
    <cellStyle name="Normal 258 21" xfId="30091" xr:uid="{00000000-0005-0000-0000-000091750000}"/>
    <cellStyle name="Normal 258 21 2" xfId="30092" xr:uid="{00000000-0005-0000-0000-000092750000}"/>
    <cellStyle name="Normal 258 22" xfId="30093" xr:uid="{00000000-0005-0000-0000-000093750000}"/>
    <cellStyle name="Normal 258 22 2" xfId="30094" xr:uid="{00000000-0005-0000-0000-000094750000}"/>
    <cellStyle name="Normal 258 23" xfId="30095" xr:uid="{00000000-0005-0000-0000-000095750000}"/>
    <cellStyle name="Normal 258 23 2" xfId="30096" xr:uid="{00000000-0005-0000-0000-000096750000}"/>
    <cellStyle name="Normal 258 24" xfId="30097" xr:uid="{00000000-0005-0000-0000-000097750000}"/>
    <cellStyle name="Normal 258 24 2" xfId="30098" xr:uid="{00000000-0005-0000-0000-000098750000}"/>
    <cellStyle name="Normal 258 25" xfId="30099" xr:uid="{00000000-0005-0000-0000-000099750000}"/>
    <cellStyle name="Normal 258 25 2" xfId="30100" xr:uid="{00000000-0005-0000-0000-00009A750000}"/>
    <cellStyle name="Normal 258 26" xfId="30101" xr:uid="{00000000-0005-0000-0000-00009B750000}"/>
    <cellStyle name="Normal 258 26 2" xfId="30102" xr:uid="{00000000-0005-0000-0000-00009C750000}"/>
    <cellStyle name="Normal 258 27" xfId="30103" xr:uid="{00000000-0005-0000-0000-00009D750000}"/>
    <cellStyle name="Normal 258 27 2" xfId="30104" xr:uid="{00000000-0005-0000-0000-00009E750000}"/>
    <cellStyle name="Normal 258 28" xfId="30105" xr:uid="{00000000-0005-0000-0000-00009F750000}"/>
    <cellStyle name="Normal 258 28 2" xfId="30106" xr:uid="{00000000-0005-0000-0000-0000A0750000}"/>
    <cellStyle name="Normal 258 29" xfId="30107" xr:uid="{00000000-0005-0000-0000-0000A1750000}"/>
    <cellStyle name="Normal 258 29 2" xfId="30108" xr:uid="{00000000-0005-0000-0000-0000A2750000}"/>
    <cellStyle name="Normal 258 3" xfId="30109" xr:uid="{00000000-0005-0000-0000-0000A3750000}"/>
    <cellStyle name="Normal 258 3 2" xfId="30110" xr:uid="{00000000-0005-0000-0000-0000A4750000}"/>
    <cellStyle name="Normal 258 30" xfId="30111" xr:uid="{00000000-0005-0000-0000-0000A5750000}"/>
    <cellStyle name="Normal 258 30 2" xfId="30112" xr:uid="{00000000-0005-0000-0000-0000A6750000}"/>
    <cellStyle name="Normal 258 31" xfId="30113" xr:uid="{00000000-0005-0000-0000-0000A7750000}"/>
    <cellStyle name="Normal 258 31 2" xfId="30114" xr:uid="{00000000-0005-0000-0000-0000A8750000}"/>
    <cellStyle name="Normal 258 32" xfId="30115" xr:uid="{00000000-0005-0000-0000-0000A9750000}"/>
    <cellStyle name="Normal 258 32 2" xfId="30116" xr:uid="{00000000-0005-0000-0000-0000AA750000}"/>
    <cellStyle name="Normal 258 33" xfId="30117" xr:uid="{00000000-0005-0000-0000-0000AB750000}"/>
    <cellStyle name="Normal 258 33 2" xfId="30118" xr:uid="{00000000-0005-0000-0000-0000AC750000}"/>
    <cellStyle name="Normal 258 34" xfId="30119" xr:uid="{00000000-0005-0000-0000-0000AD750000}"/>
    <cellStyle name="Normal 258 34 2" xfId="30120" xr:uid="{00000000-0005-0000-0000-0000AE750000}"/>
    <cellStyle name="Normal 258 35" xfId="30121" xr:uid="{00000000-0005-0000-0000-0000AF750000}"/>
    <cellStyle name="Normal 258 35 2" xfId="30122" xr:uid="{00000000-0005-0000-0000-0000B0750000}"/>
    <cellStyle name="Normal 258 36" xfId="30123" xr:uid="{00000000-0005-0000-0000-0000B1750000}"/>
    <cellStyle name="Normal 258 36 2" xfId="30124" xr:uid="{00000000-0005-0000-0000-0000B2750000}"/>
    <cellStyle name="Normal 258 37" xfId="30125" xr:uid="{00000000-0005-0000-0000-0000B3750000}"/>
    <cellStyle name="Normal 258 37 2" xfId="30126" xr:uid="{00000000-0005-0000-0000-0000B4750000}"/>
    <cellStyle name="Normal 258 38" xfId="30127" xr:uid="{00000000-0005-0000-0000-0000B5750000}"/>
    <cellStyle name="Normal 258 38 2" xfId="30128" xr:uid="{00000000-0005-0000-0000-0000B6750000}"/>
    <cellStyle name="Normal 258 39" xfId="30129" xr:uid="{00000000-0005-0000-0000-0000B7750000}"/>
    <cellStyle name="Normal 258 39 2" xfId="30130" xr:uid="{00000000-0005-0000-0000-0000B8750000}"/>
    <cellStyle name="Normal 258 4" xfId="30131" xr:uid="{00000000-0005-0000-0000-0000B9750000}"/>
    <cellStyle name="Normal 258 4 2" xfId="30132" xr:uid="{00000000-0005-0000-0000-0000BA750000}"/>
    <cellStyle name="Normal 258 40" xfId="30133" xr:uid="{00000000-0005-0000-0000-0000BB750000}"/>
    <cellStyle name="Normal 258 40 2" xfId="30134" xr:uid="{00000000-0005-0000-0000-0000BC750000}"/>
    <cellStyle name="Normal 258 41" xfId="30135" xr:uid="{00000000-0005-0000-0000-0000BD750000}"/>
    <cellStyle name="Normal 258 41 2" xfId="30136" xr:uid="{00000000-0005-0000-0000-0000BE750000}"/>
    <cellStyle name="Normal 258 42" xfId="30137" xr:uid="{00000000-0005-0000-0000-0000BF750000}"/>
    <cellStyle name="Normal 258 42 2" xfId="30138" xr:uid="{00000000-0005-0000-0000-0000C0750000}"/>
    <cellStyle name="Normal 258 43" xfId="30139" xr:uid="{00000000-0005-0000-0000-0000C1750000}"/>
    <cellStyle name="Normal 258 43 2" xfId="30140" xr:uid="{00000000-0005-0000-0000-0000C2750000}"/>
    <cellStyle name="Normal 258 44" xfId="30141" xr:uid="{00000000-0005-0000-0000-0000C3750000}"/>
    <cellStyle name="Normal 258 44 2" xfId="30142" xr:uid="{00000000-0005-0000-0000-0000C4750000}"/>
    <cellStyle name="Normal 258 45" xfId="30143" xr:uid="{00000000-0005-0000-0000-0000C5750000}"/>
    <cellStyle name="Normal 258 45 2" xfId="30144" xr:uid="{00000000-0005-0000-0000-0000C6750000}"/>
    <cellStyle name="Normal 258 46" xfId="30145" xr:uid="{00000000-0005-0000-0000-0000C7750000}"/>
    <cellStyle name="Normal 258 46 2" xfId="30146" xr:uid="{00000000-0005-0000-0000-0000C8750000}"/>
    <cellStyle name="Normal 258 47" xfId="30147" xr:uid="{00000000-0005-0000-0000-0000C9750000}"/>
    <cellStyle name="Normal 258 47 2" xfId="30148" xr:uid="{00000000-0005-0000-0000-0000CA750000}"/>
    <cellStyle name="Normal 258 48" xfId="30149" xr:uid="{00000000-0005-0000-0000-0000CB750000}"/>
    <cellStyle name="Normal 258 48 2" xfId="30150" xr:uid="{00000000-0005-0000-0000-0000CC750000}"/>
    <cellStyle name="Normal 258 49" xfId="30151" xr:uid="{00000000-0005-0000-0000-0000CD750000}"/>
    <cellStyle name="Normal 258 49 2" xfId="30152" xr:uid="{00000000-0005-0000-0000-0000CE750000}"/>
    <cellStyle name="Normal 258 5" xfId="30153" xr:uid="{00000000-0005-0000-0000-0000CF750000}"/>
    <cellStyle name="Normal 258 5 2" xfId="30154" xr:uid="{00000000-0005-0000-0000-0000D0750000}"/>
    <cellStyle name="Normal 258 50" xfId="30155" xr:uid="{00000000-0005-0000-0000-0000D1750000}"/>
    <cellStyle name="Normal 258 50 2" xfId="30156" xr:uid="{00000000-0005-0000-0000-0000D2750000}"/>
    <cellStyle name="Normal 258 51" xfId="30157" xr:uid="{00000000-0005-0000-0000-0000D3750000}"/>
    <cellStyle name="Normal 258 51 2" xfId="30158" xr:uid="{00000000-0005-0000-0000-0000D4750000}"/>
    <cellStyle name="Normal 258 52" xfId="30159" xr:uid="{00000000-0005-0000-0000-0000D5750000}"/>
    <cellStyle name="Normal 258 52 2" xfId="30160" xr:uid="{00000000-0005-0000-0000-0000D6750000}"/>
    <cellStyle name="Normal 258 53" xfId="30161" xr:uid="{00000000-0005-0000-0000-0000D7750000}"/>
    <cellStyle name="Normal 258 53 2" xfId="30162" xr:uid="{00000000-0005-0000-0000-0000D8750000}"/>
    <cellStyle name="Normal 258 54" xfId="30163" xr:uid="{00000000-0005-0000-0000-0000D9750000}"/>
    <cellStyle name="Normal 258 54 2" xfId="30164" xr:uid="{00000000-0005-0000-0000-0000DA750000}"/>
    <cellStyle name="Normal 258 55" xfId="30165" xr:uid="{00000000-0005-0000-0000-0000DB750000}"/>
    <cellStyle name="Normal 258 55 2" xfId="30166" xr:uid="{00000000-0005-0000-0000-0000DC750000}"/>
    <cellStyle name="Normal 258 56" xfId="30167" xr:uid="{00000000-0005-0000-0000-0000DD750000}"/>
    <cellStyle name="Normal 258 56 2" xfId="30168" xr:uid="{00000000-0005-0000-0000-0000DE750000}"/>
    <cellStyle name="Normal 258 57" xfId="30169" xr:uid="{00000000-0005-0000-0000-0000DF750000}"/>
    <cellStyle name="Normal 258 57 2" xfId="30170" xr:uid="{00000000-0005-0000-0000-0000E0750000}"/>
    <cellStyle name="Normal 258 58" xfId="30171" xr:uid="{00000000-0005-0000-0000-0000E1750000}"/>
    <cellStyle name="Normal 258 58 2" xfId="30172" xr:uid="{00000000-0005-0000-0000-0000E2750000}"/>
    <cellStyle name="Normal 258 59" xfId="30173" xr:uid="{00000000-0005-0000-0000-0000E3750000}"/>
    <cellStyle name="Normal 258 59 2" xfId="30174" xr:uid="{00000000-0005-0000-0000-0000E4750000}"/>
    <cellStyle name="Normal 258 6" xfId="30175" xr:uid="{00000000-0005-0000-0000-0000E5750000}"/>
    <cellStyle name="Normal 258 6 2" xfId="30176" xr:uid="{00000000-0005-0000-0000-0000E6750000}"/>
    <cellStyle name="Normal 258 60" xfId="30177" xr:uid="{00000000-0005-0000-0000-0000E7750000}"/>
    <cellStyle name="Normal 258 60 2" xfId="30178" xr:uid="{00000000-0005-0000-0000-0000E8750000}"/>
    <cellStyle name="Normal 258 61" xfId="30179" xr:uid="{00000000-0005-0000-0000-0000E9750000}"/>
    <cellStyle name="Normal 258 61 2" xfId="30180" xr:uid="{00000000-0005-0000-0000-0000EA750000}"/>
    <cellStyle name="Normal 258 61 3" xfId="30181" xr:uid="{00000000-0005-0000-0000-0000EB750000}"/>
    <cellStyle name="Normal 258 62" xfId="30182" xr:uid="{00000000-0005-0000-0000-0000EC750000}"/>
    <cellStyle name="Normal 258 7" xfId="30183" xr:uid="{00000000-0005-0000-0000-0000ED750000}"/>
    <cellStyle name="Normal 258 7 2" xfId="30184" xr:uid="{00000000-0005-0000-0000-0000EE750000}"/>
    <cellStyle name="Normal 258 8" xfId="30185" xr:uid="{00000000-0005-0000-0000-0000EF750000}"/>
    <cellStyle name="Normal 258 8 2" xfId="30186" xr:uid="{00000000-0005-0000-0000-0000F0750000}"/>
    <cellStyle name="Normal 258 9" xfId="30187" xr:uid="{00000000-0005-0000-0000-0000F1750000}"/>
    <cellStyle name="Normal 258 9 2" xfId="30188" xr:uid="{00000000-0005-0000-0000-0000F2750000}"/>
    <cellStyle name="Normal 259" xfId="30189" xr:uid="{00000000-0005-0000-0000-0000F3750000}"/>
    <cellStyle name="Normal 26" xfId="30190" xr:uid="{00000000-0005-0000-0000-0000F4750000}"/>
    <cellStyle name="Normal 26 10" xfId="30191" xr:uid="{00000000-0005-0000-0000-0000F5750000}"/>
    <cellStyle name="Normal 26 10 2" xfId="30192" xr:uid="{00000000-0005-0000-0000-0000F6750000}"/>
    <cellStyle name="Normal 26 11" xfId="30193" xr:uid="{00000000-0005-0000-0000-0000F7750000}"/>
    <cellStyle name="Normal 26 11 2" xfId="30194" xr:uid="{00000000-0005-0000-0000-0000F8750000}"/>
    <cellStyle name="Normal 26 12" xfId="30195" xr:uid="{00000000-0005-0000-0000-0000F9750000}"/>
    <cellStyle name="Normal 26 12 2" xfId="30196" xr:uid="{00000000-0005-0000-0000-0000FA750000}"/>
    <cellStyle name="Normal 26 13" xfId="30197" xr:uid="{00000000-0005-0000-0000-0000FB750000}"/>
    <cellStyle name="Normal 26 13 2" xfId="30198" xr:uid="{00000000-0005-0000-0000-0000FC750000}"/>
    <cellStyle name="Normal 26 14" xfId="30199" xr:uid="{00000000-0005-0000-0000-0000FD750000}"/>
    <cellStyle name="Normal 26 14 2" xfId="30200" xr:uid="{00000000-0005-0000-0000-0000FE750000}"/>
    <cellStyle name="Normal 26 15" xfId="30201" xr:uid="{00000000-0005-0000-0000-0000FF750000}"/>
    <cellStyle name="Normal 26 15 2" xfId="30202" xr:uid="{00000000-0005-0000-0000-000000760000}"/>
    <cellStyle name="Normal 26 16" xfId="30203" xr:uid="{00000000-0005-0000-0000-000001760000}"/>
    <cellStyle name="Normal 26 16 2" xfId="30204" xr:uid="{00000000-0005-0000-0000-000002760000}"/>
    <cellStyle name="Normal 26 17" xfId="30205" xr:uid="{00000000-0005-0000-0000-000003760000}"/>
    <cellStyle name="Normal 26 17 2" xfId="30206" xr:uid="{00000000-0005-0000-0000-000004760000}"/>
    <cellStyle name="Normal 26 18" xfId="30207" xr:uid="{00000000-0005-0000-0000-000005760000}"/>
    <cellStyle name="Normal 26 18 2" xfId="30208" xr:uid="{00000000-0005-0000-0000-000006760000}"/>
    <cellStyle name="Normal 26 19" xfId="30209" xr:uid="{00000000-0005-0000-0000-000007760000}"/>
    <cellStyle name="Normal 26 19 2" xfId="30210" xr:uid="{00000000-0005-0000-0000-000008760000}"/>
    <cellStyle name="Normal 26 2" xfId="30211" xr:uid="{00000000-0005-0000-0000-000009760000}"/>
    <cellStyle name="Normal 26 2 2" xfId="30212" xr:uid="{00000000-0005-0000-0000-00000A760000}"/>
    <cellStyle name="Normal 26 20" xfId="30213" xr:uid="{00000000-0005-0000-0000-00000B760000}"/>
    <cellStyle name="Normal 26 20 2" xfId="30214" xr:uid="{00000000-0005-0000-0000-00000C760000}"/>
    <cellStyle name="Normal 26 21" xfId="30215" xr:uid="{00000000-0005-0000-0000-00000D760000}"/>
    <cellStyle name="Normal 26 21 2" xfId="30216" xr:uid="{00000000-0005-0000-0000-00000E760000}"/>
    <cellStyle name="Normal 26 22" xfId="30217" xr:uid="{00000000-0005-0000-0000-00000F760000}"/>
    <cellStyle name="Normal 26 22 2" xfId="30218" xr:uid="{00000000-0005-0000-0000-000010760000}"/>
    <cellStyle name="Normal 26 23" xfId="30219" xr:uid="{00000000-0005-0000-0000-000011760000}"/>
    <cellStyle name="Normal 26 23 2" xfId="30220" xr:uid="{00000000-0005-0000-0000-000012760000}"/>
    <cellStyle name="Normal 26 24" xfId="30221" xr:uid="{00000000-0005-0000-0000-000013760000}"/>
    <cellStyle name="Normal 26 24 2" xfId="30222" xr:uid="{00000000-0005-0000-0000-000014760000}"/>
    <cellStyle name="Normal 26 25" xfId="30223" xr:uid="{00000000-0005-0000-0000-000015760000}"/>
    <cellStyle name="Normal 26 25 2" xfId="30224" xr:uid="{00000000-0005-0000-0000-000016760000}"/>
    <cellStyle name="Normal 26 26" xfId="30225" xr:uid="{00000000-0005-0000-0000-000017760000}"/>
    <cellStyle name="Normal 26 26 2" xfId="30226" xr:uid="{00000000-0005-0000-0000-000018760000}"/>
    <cellStyle name="Normal 26 27" xfId="30227" xr:uid="{00000000-0005-0000-0000-000019760000}"/>
    <cellStyle name="Normal 26 27 2" xfId="30228" xr:uid="{00000000-0005-0000-0000-00001A760000}"/>
    <cellStyle name="Normal 26 28" xfId="30229" xr:uid="{00000000-0005-0000-0000-00001B760000}"/>
    <cellStyle name="Normal 26 28 2" xfId="30230" xr:uid="{00000000-0005-0000-0000-00001C760000}"/>
    <cellStyle name="Normal 26 29" xfId="30231" xr:uid="{00000000-0005-0000-0000-00001D760000}"/>
    <cellStyle name="Normal 26 29 2" xfId="30232" xr:uid="{00000000-0005-0000-0000-00001E760000}"/>
    <cellStyle name="Normal 26 3" xfId="30233" xr:uid="{00000000-0005-0000-0000-00001F760000}"/>
    <cellStyle name="Normal 26 3 2" xfId="30234" xr:uid="{00000000-0005-0000-0000-000020760000}"/>
    <cellStyle name="Normal 26 30" xfId="30235" xr:uid="{00000000-0005-0000-0000-000021760000}"/>
    <cellStyle name="Normal 26 30 2" xfId="30236" xr:uid="{00000000-0005-0000-0000-000022760000}"/>
    <cellStyle name="Normal 26 31" xfId="30237" xr:uid="{00000000-0005-0000-0000-000023760000}"/>
    <cellStyle name="Normal 26 31 2" xfId="30238" xr:uid="{00000000-0005-0000-0000-000024760000}"/>
    <cellStyle name="Normal 26 32" xfId="30239" xr:uid="{00000000-0005-0000-0000-000025760000}"/>
    <cellStyle name="Normal 26 32 2" xfId="30240" xr:uid="{00000000-0005-0000-0000-000026760000}"/>
    <cellStyle name="Normal 26 33" xfId="30241" xr:uid="{00000000-0005-0000-0000-000027760000}"/>
    <cellStyle name="Normal 26 33 2" xfId="30242" xr:uid="{00000000-0005-0000-0000-000028760000}"/>
    <cellStyle name="Normal 26 34" xfId="30243" xr:uid="{00000000-0005-0000-0000-000029760000}"/>
    <cellStyle name="Normal 26 34 2" xfId="30244" xr:uid="{00000000-0005-0000-0000-00002A760000}"/>
    <cellStyle name="Normal 26 35" xfId="30245" xr:uid="{00000000-0005-0000-0000-00002B760000}"/>
    <cellStyle name="Normal 26 35 2" xfId="30246" xr:uid="{00000000-0005-0000-0000-00002C760000}"/>
    <cellStyle name="Normal 26 36" xfId="30247" xr:uid="{00000000-0005-0000-0000-00002D760000}"/>
    <cellStyle name="Normal 26 36 2" xfId="30248" xr:uid="{00000000-0005-0000-0000-00002E760000}"/>
    <cellStyle name="Normal 26 37" xfId="30249" xr:uid="{00000000-0005-0000-0000-00002F760000}"/>
    <cellStyle name="Normal 26 37 2" xfId="30250" xr:uid="{00000000-0005-0000-0000-000030760000}"/>
    <cellStyle name="Normal 26 38" xfId="30251" xr:uid="{00000000-0005-0000-0000-000031760000}"/>
    <cellStyle name="Normal 26 38 2" xfId="30252" xr:uid="{00000000-0005-0000-0000-000032760000}"/>
    <cellStyle name="Normal 26 39" xfId="30253" xr:uid="{00000000-0005-0000-0000-000033760000}"/>
    <cellStyle name="Normal 26 39 2" xfId="30254" xr:uid="{00000000-0005-0000-0000-000034760000}"/>
    <cellStyle name="Normal 26 4" xfId="30255" xr:uid="{00000000-0005-0000-0000-000035760000}"/>
    <cellStyle name="Normal 26 4 2" xfId="30256" xr:uid="{00000000-0005-0000-0000-000036760000}"/>
    <cellStyle name="Normal 26 40" xfId="30257" xr:uid="{00000000-0005-0000-0000-000037760000}"/>
    <cellStyle name="Normal 26 40 2" xfId="30258" xr:uid="{00000000-0005-0000-0000-000038760000}"/>
    <cellStyle name="Normal 26 41" xfId="30259" xr:uid="{00000000-0005-0000-0000-000039760000}"/>
    <cellStyle name="Normal 26 41 2" xfId="30260" xr:uid="{00000000-0005-0000-0000-00003A760000}"/>
    <cellStyle name="Normal 26 42" xfId="30261" xr:uid="{00000000-0005-0000-0000-00003B760000}"/>
    <cellStyle name="Normal 26 42 2" xfId="30262" xr:uid="{00000000-0005-0000-0000-00003C760000}"/>
    <cellStyle name="Normal 26 43" xfId="30263" xr:uid="{00000000-0005-0000-0000-00003D760000}"/>
    <cellStyle name="Normal 26 43 2" xfId="30264" xr:uid="{00000000-0005-0000-0000-00003E760000}"/>
    <cellStyle name="Normal 26 44" xfId="30265" xr:uid="{00000000-0005-0000-0000-00003F760000}"/>
    <cellStyle name="Normal 26 44 2" xfId="30266" xr:uid="{00000000-0005-0000-0000-000040760000}"/>
    <cellStyle name="Normal 26 45" xfId="30267" xr:uid="{00000000-0005-0000-0000-000041760000}"/>
    <cellStyle name="Normal 26 45 2" xfId="30268" xr:uid="{00000000-0005-0000-0000-000042760000}"/>
    <cellStyle name="Normal 26 46" xfId="30269" xr:uid="{00000000-0005-0000-0000-000043760000}"/>
    <cellStyle name="Normal 26 46 2" xfId="30270" xr:uid="{00000000-0005-0000-0000-000044760000}"/>
    <cellStyle name="Normal 26 47" xfId="30271" xr:uid="{00000000-0005-0000-0000-000045760000}"/>
    <cellStyle name="Normal 26 47 2" xfId="30272" xr:uid="{00000000-0005-0000-0000-000046760000}"/>
    <cellStyle name="Normal 26 48" xfId="30273" xr:uid="{00000000-0005-0000-0000-000047760000}"/>
    <cellStyle name="Normal 26 48 2" xfId="30274" xr:uid="{00000000-0005-0000-0000-000048760000}"/>
    <cellStyle name="Normal 26 49" xfId="30275" xr:uid="{00000000-0005-0000-0000-000049760000}"/>
    <cellStyle name="Normal 26 49 2" xfId="30276" xr:uid="{00000000-0005-0000-0000-00004A760000}"/>
    <cellStyle name="Normal 26 5" xfId="30277" xr:uid="{00000000-0005-0000-0000-00004B760000}"/>
    <cellStyle name="Normal 26 5 2" xfId="30278" xr:uid="{00000000-0005-0000-0000-00004C760000}"/>
    <cellStyle name="Normal 26 50" xfId="30279" xr:uid="{00000000-0005-0000-0000-00004D760000}"/>
    <cellStyle name="Normal 26 50 2" xfId="30280" xr:uid="{00000000-0005-0000-0000-00004E760000}"/>
    <cellStyle name="Normal 26 51" xfId="30281" xr:uid="{00000000-0005-0000-0000-00004F760000}"/>
    <cellStyle name="Normal 26 51 2" xfId="30282" xr:uid="{00000000-0005-0000-0000-000050760000}"/>
    <cellStyle name="Normal 26 52" xfId="30283" xr:uid="{00000000-0005-0000-0000-000051760000}"/>
    <cellStyle name="Normal 26 52 2" xfId="30284" xr:uid="{00000000-0005-0000-0000-000052760000}"/>
    <cellStyle name="Normal 26 53" xfId="30285" xr:uid="{00000000-0005-0000-0000-000053760000}"/>
    <cellStyle name="Normal 26 53 2" xfId="30286" xr:uid="{00000000-0005-0000-0000-000054760000}"/>
    <cellStyle name="Normal 26 54" xfId="30287" xr:uid="{00000000-0005-0000-0000-000055760000}"/>
    <cellStyle name="Normal 26 54 2" xfId="30288" xr:uid="{00000000-0005-0000-0000-000056760000}"/>
    <cellStyle name="Normal 26 55" xfId="30289" xr:uid="{00000000-0005-0000-0000-000057760000}"/>
    <cellStyle name="Normal 26 55 2" xfId="30290" xr:uid="{00000000-0005-0000-0000-000058760000}"/>
    <cellStyle name="Normal 26 56" xfId="30291" xr:uid="{00000000-0005-0000-0000-000059760000}"/>
    <cellStyle name="Normal 26 56 2" xfId="30292" xr:uid="{00000000-0005-0000-0000-00005A760000}"/>
    <cellStyle name="Normal 26 57" xfId="30293" xr:uid="{00000000-0005-0000-0000-00005B760000}"/>
    <cellStyle name="Normal 26 57 2" xfId="30294" xr:uid="{00000000-0005-0000-0000-00005C760000}"/>
    <cellStyle name="Normal 26 58" xfId="30295" xr:uid="{00000000-0005-0000-0000-00005D760000}"/>
    <cellStyle name="Normal 26 58 2" xfId="30296" xr:uid="{00000000-0005-0000-0000-00005E760000}"/>
    <cellStyle name="Normal 26 59" xfId="30297" xr:uid="{00000000-0005-0000-0000-00005F760000}"/>
    <cellStyle name="Normal 26 6" xfId="30298" xr:uid="{00000000-0005-0000-0000-000060760000}"/>
    <cellStyle name="Normal 26 6 2" xfId="30299" xr:uid="{00000000-0005-0000-0000-000061760000}"/>
    <cellStyle name="Normal 26 60" xfId="30300" xr:uid="{00000000-0005-0000-0000-000062760000}"/>
    <cellStyle name="Normal 26 7" xfId="30301" xr:uid="{00000000-0005-0000-0000-000063760000}"/>
    <cellStyle name="Normal 26 7 2" xfId="30302" xr:uid="{00000000-0005-0000-0000-000064760000}"/>
    <cellStyle name="Normal 26 8" xfId="30303" xr:uid="{00000000-0005-0000-0000-000065760000}"/>
    <cellStyle name="Normal 26 8 2" xfId="30304" xr:uid="{00000000-0005-0000-0000-000066760000}"/>
    <cellStyle name="Normal 26 9" xfId="30305" xr:uid="{00000000-0005-0000-0000-000067760000}"/>
    <cellStyle name="Normal 26 9 2" xfId="30306" xr:uid="{00000000-0005-0000-0000-000068760000}"/>
    <cellStyle name="Normal 260" xfId="30307" xr:uid="{00000000-0005-0000-0000-000069760000}"/>
    <cellStyle name="Normal 261" xfId="30308" xr:uid="{00000000-0005-0000-0000-00006A760000}"/>
    <cellStyle name="Normal 262" xfId="30309" xr:uid="{00000000-0005-0000-0000-00006B760000}"/>
    <cellStyle name="Normal 263" xfId="30310" xr:uid="{00000000-0005-0000-0000-00006C760000}"/>
    <cellStyle name="Normal 263 10" xfId="30311" xr:uid="{00000000-0005-0000-0000-00006D760000}"/>
    <cellStyle name="Normal 263 10 2" xfId="30312" xr:uid="{00000000-0005-0000-0000-00006E760000}"/>
    <cellStyle name="Normal 263 11" xfId="30313" xr:uid="{00000000-0005-0000-0000-00006F760000}"/>
    <cellStyle name="Normal 263 11 2" xfId="30314" xr:uid="{00000000-0005-0000-0000-000070760000}"/>
    <cellStyle name="Normal 263 12" xfId="30315" xr:uid="{00000000-0005-0000-0000-000071760000}"/>
    <cellStyle name="Normal 263 12 2" xfId="30316" xr:uid="{00000000-0005-0000-0000-000072760000}"/>
    <cellStyle name="Normal 263 13" xfId="30317" xr:uid="{00000000-0005-0000-0000-000073760000}"/>
    <cellStyle name="Normal 263 13 2" xfId="30318" xr:uid="{00000000-0005-0000-0000-000074760000}"/>
    <cellStyle name="Normal 263 14" xfId="30319" xr:uid="{00000000-0005-0000-0000-000075760000}"/>
    <cellStyle name="Normal 263 14 2" xfId="30320" xr:uid="{00000000-0005-0000-0000-000076760000}"/>
    <cellStyle name="Normal 263 15" xfId="30321" xr:uid="{00000000-0005-0000-0000-000077760000}"/>
    <cellStyle name="Normal 263 15 2" xfId="30322" xr:uid="{00000000-0005-0000-0000-000078760000}"/>
    <cellStyle name="Normal 263 16" xfId="30323" xr:uid="{00000000-0005-0000-0000-000079760000}"/>
    <cellStyle name="Normal 263 16 2" xfId="30324" xr:uid="{00000000-0005-0000-0000-00007A760000}"/>
    <cellStyle name="Normal 263 17" xfId="30325" xr:uid="{00000000-0005-0000-0000-00007B760000}"/>
    <cellStyle name="Normal 263 17 2" xfId="30326" xr:uid="{00000000-0005-0000-0000-00007C760000}"/>
    <cellStyle name="Normal 263 18" xfId="30327" xr:uid="{00000000-0005-0000-0000-00007D760000}"/>
    <cellStyle name="Normal 263 18 2" xfId="30328" xr:uid="{00000000-0005-0000-0000-00007E760000}"/>
    <cellStyle name="Normal 263 19" xfId="30329" xr:uid="{00000000-0005-0000-0000-00007F760000}"/>
    <cellStyle name="Normal 263 19 2" xfId="30330" xr:uid="{00000000-0005-0000-0000-000080760000}"/>
    <cellStyle name="Normal 263 2" xfId="30331" xr:uid="{00000000-0005-0000-0000-000081760000}"/>
    <cellStyle name="Normal 263 2 2" xfId="30332" xr:uid="{00000000-0005-0000-0000-000082760000}"/>
    <cellStyle name="Normal 263 20" xfId="30333" xr:uid="{00000000-0005-0000-0000-000083760000}"/>
    <cellStyle name="Normal 263 20 2" xfId="30334" xr:uid="{00000000-0005-0000-0000-000084760000}"/>
    <cellStyle name="Normal 263 21" xfId="30335" xr:uid="{00000000-0005-0000-0000-000085760000}"/>
    <cellStyle name="Normal 263 21 2" xfId="30336" xr:uid="{00000000-0005-0000-0000-000086760000}"/>
    <cellStyle name="Normal 263 22" xfId="30337" xr:uid="{00000000-0005-0000-0000-000087760000}"/>
    <cellStyle name="Normal 263 22 2" xfId="30338" xr:uid="{00000000-0005-0000-0000-000088760000}"/>
    <cellStyle name="Normal 263 23" xfId="30339" xr:uid="{00000000-0005-0000-0000-000089760000}"/>
    <cellStyle name="Normal 263 23 2" xfId="30340" xr:uid="{00000000-0005-0000-0000-00008A760000}"/>
    <cellStyle name="Normal 263 24" xfId="30341" xr:uid="{00000000-0005-0000-0000-00008B760000}"/>
    <cellStyle name="Normal 263 24 2" xfId="30342" xr:uid="{00000000-0005-0000-0000-00008C760000}"/>
    <cellStyle name="Normal 263 25" xfId="30343" xr:uid="{00000000-0005-0000-0000-00008D760000}"/>
    <cellStyle name="Normal 263 25 2" xfId="30344" xr:uid="{00000000-0005-0000-0000-00008E760000}"/>
    <cellStyle name="Normal 263 26" xfId="30345" xr:uid="{00000000-0005-0000-0000-00008F760000}"/>
    <cellStyle name="Normal 263 26 2" xfId="30346" xr:uid="{00000000-0005-0000-0000-000090760000}"/>
    <cellStyle name="Normal 263 27" xfId="30347" xr:uid="{00000000-0005-0000-0000-000091760000}"/>
    <cellStyle name="Normal 263 27 2" xfId="30348" xr:uid="{00000000-0005-0000-0000-000092760000}"/>
    <cellStyle name="Normal 263 28" xfId="30349" xr:uid="{00000000-0005-0000-0000-000093760000}"/>
    <cellStyle name="Normal 263 28 2" xfId="30350" xr:uid="{00000000-0005-0000-0000-000094760000}"/>
    <cellStyle name="Normal 263 29" xfId="30351" xr:uid="{00000000-0005-0000-0000-000095760000}"/>
    <cellStyle name="Normal 263 29 2" xfId="30352" xr:uid="{00000000-0005-0000-0000-000096760000}"/>
    <cellStyle name="Normal 263 3" xfId="30353" xr:uid="{00000000-0005-0000-0000-000097760000}"/>
    <cellStyle name="Normal 263 3 2" xfId="30354" xr:uid="{00000000-0005-0000-0000-000098760000}"/>
    <cellStyle name="Normal 263 30" xfId="30355" xr:uid="{00000000-0005-0000-0000-000099760000}"/>
    <cellStyle name="Normal 263 30 2" xfId="30356" xr:uid="{00000000-0005-0000-0000-00009A760000}"/>
    <cellStyle name="Normal 263 31" xfId="30357" xr:uid="{00000000-0005-0000-0000-00009B760000}"/>
    <cellStyle name="Normal 263 31 2" xfId="30358" xr:uid="{00000000-0005-0000-0000-00009C760000}"/>
    <cellStyle name="Normal 263 32" xfId="30359" xr:uid="{00000000-0005-0000-0000-00009D760000}"/>
    <cellStyle name="Normal 263 32 2" xfId="30360" xr:uid="{00000000-0005-0000-0000-00009E760000}"/>
    <cellStyle name="Normal 263 33" xfId="30361" xr:uid="{00000000-0005-0000-0000-00009F760000}"/>
    <cellStyle name="Normal 263 33 2" xfId="30362" xr:uid="{00000000-0005-0000-0000-0000A0760000}"/>
    <cellStyle name="Normal 263 34" xfId="30363" xr:uid="{00000000-0005-0000-0000-0000A1760000}"/>
    <cellStyle name="Normal 263 34 2" xfId="30364" xr:uid="{00000000-0005-0000-0000-0000A2760000}"/>
    <cellStyle name="Normal 263 35" xfId="30365" xr:uid="{00000000-0005-0000-0000-0000A3760000}"/>
    <cellStyle name="Normal 263 35 2" xfId="30366" xr:uid="{00000000-0005-0000-0000-0000A4760000}"/>
    <cellStyle name="Normal 263 36" xfId="30367" xr:uid="{00000000-0005-0000-0000-0000A5760000}"/>
    <cellStyle name="Normal 263 36 2" xfId="30368" xr:uid="{00000000-0005-0000-0000-0000A6760000}"/>
    <cellStyle name="Normal 263 37" xfId="30369" xr:uid="{00000000-0005-0000-0000-0000A7760000}"/>
    <cellStyle name="Normal 263 37 2" xfId="30370" xr:uid="{00000000-0005-0000-0000-0000A8760000}"/>
    <cellStyle name="Normal 263 38" xfId="30371" xr:uid="{00000000-0005-0000-0000-0000A9760000}"/>
    <cellStyle name="Normal 263 38 2" xfId="30372" xr:uid="{00000000-0005-0000-0000-0000AA760000}"/>
    <cellStyle name="Normal 263 39" xfId="30373" xr:uid="{00000000-0005-0000-0000-0000AB760000}"/>
    <cellStyle name="Normal 263 39 2" xfId="30374" xr:uid="{00000000-0005-0000-0000-0000AC760000}"/>
    <cellStyle name="Normal 263 4" xfId="30375" xr:uid="{00000000-0005-0000-0000-0000AD760000}"/>
    <cellStyle name="Normal 263 4 2" xfId="30376" xr:uid="{00000000-0005-0000-0000-0000AE760000}"/>
    <cellStyle name="Normal 263 40" xfId="30377" xr:uid="{00000000-0005-0000-0000-0000AF760000}"/>
    <cellStyle name="Normal 263 40 2" xfId="30378" xr:uid="{00000000-0005-0000-0000-0000B0760000}"/>
    <cellStyle name="Normal 263 41" xfId="30379" xr:uid="{00000000-0005-0000-0000-0000B1760000}"/>
    <cellStyle name="Normal 263 41 2" xfId="30380" xr:uid="{00000000-0005-0000-0000-0000B2760000}"/>
    <cellStyle name="Normal 263 42" xfId="30381" xr:uid="{00000000-0005-0000-0000-0000B3760000}"/>
    <cellStyle name="Normal 263 42 2" xfId="30382" xr:uid="{00000000-0005-0000-0000-0000B4760000}"/>
    <cellStyle name="Normal 263 43" xfId="30383" xr:uid="{00000000-0005-0000-0000-0000B5760000}"/>
    <cellStyle name="Normal 263 43 2" xfId="30384" xr:uid="{00000000-0005-0000-0000-0000B6760000}"/>
    <cellStyle name="Normal 263 44" xfId="30385" xr:uid="{00000000-0005-0000-0000-0000B7760000}"/>
    <cellStyle name="Normal 263 44 2" xfId="30386" xr:uid="{00000000-0005-0000-0000-0000B8760000}"/>
    <cellStyle name="Normal 263 45" xfId="30387" xr:uid="{00000000-0005-0000-0000-0000B9760000}"/>
    <cellStyle name="Normal 263 45 2" xfId="30388" xr:uid="{00000000-0005-0000-0000-0000BA760000}"/>
    <cellStyle name="Normal 263 46" xfId="30389" xr:uid="{00000000-0005-0000-0000-0000BB760000}"/>
    <cellStyle name="Normal 263 46 2" xfId="30390" xr:uid="{00000000-0005-0000-0000-0000BC760000}"/>
    <cellStyle name="Normal 263 47" xfId="30391" xr:uid="{00000000-0005-0000-0000-0000BD760000}"/>
    <cellStyle name="Normal 263 47 2" xfId="30392" xr:uid="{00000000-0005-0000-0000-0000BE760000}"/>
    <cellStyle name="Normal 263 48" xfId="30393" xr:uid="{00000000-0005-0000-0000-0000BF760000}"/>
    <cellStyle name="Normal 263 48 2" xfId="30394" xr:uid="{00000000-0005-0000-0000-0000C0760000}"/>
    <cellStyle name="Normal 263 49" xfId="30395" xr:uid="{00000000-0005-0000-0000-0000C1760000}"/>
    <cellStyle name="Normal 263 49 2" xfId="30396" xr:uid="{00000000-0005-0000-0000-0000C2760000}"/>
    <cellStyle name="Normal 263 5" xfId="30397" xr:uid="{00000000-0005-0000-0000-0000C3760000}"/>
    <cellStyle name="Normal 263 5 2" xfId="30398" xr:uid="{00000000-0005-0000-0000-0000C4760000}"/>
    <cellStyle name="Normal 263 50" xfId="30399" xr:uid="{00000000-0005-0000-0000-0000C5760000}"/>
    <cellStyle name="Normal 263 50 2" xfId="30400" xr:uid="{00000000-0005-0000-0000-0000C6760000}"/>
    <cellStyle name="Normal 263 51" xfId="30401" xr:uid="{00000000-0005-0000-0000-0000C7760000}"/>
    <cellStyle name="Normal 263 51 2" xfId="30402" xr:uid="{00000000-0005-0000-0000-0000C8760000}"/>
    <cellStyle name="Normal 263 52" xfId="30403" xr:uid="{00000000-0005-0000-0000-0000C9760000}"/>
    <cellStyle name="Normal 263 52 2" xfId="30404" xr:uid="{00000000-0005-0000-0000-0000CA760000}"/>
    <cellStyle name="Normal 263 53" xfId="30405" xr:uid="{00000000-0005-0000-0000-0000CB760000}"/>
    <cellStyle name="Normal 263 53 2" xfId="30406" xr:uid="{00000000-0005-0000-0000-0000CC760000}"/>
    <cellStyle name="Normal 263 54" xfId="30407" xr:uid="{00000000-0005-0000-0000-0000CD760000}"/>
    <cellStyle name="Normal 263 54 2" xfId="30408" xr:uid="{00000000-0005-0000-0000-0000CE760000}"/>
    <cellStyle name="Normal 263 55" xfId="30409" xr:uid="{00000000-0005-0000-0000-0000CF760000}"/>
    <cellStyle name="Normal 263 55 2" xfId="30410" xr:uid="{00000000-0005-0000-0000-0000D0760000}"/>
    <cellStyle name="Normal 263 56" xfId="30411" xr:uid="{00000000-0005-0000-0000-0000D1760000}"/>
    <cellStyle name="Normal 263 56 2" xfId="30412" xr:uid="{00000000-0005-0000-0000-0000D2760000}"/>
    <cellStyle name="Normal 263 57" xfId="30413" xr:uid="{00000000-0005-0000-0000-0000D3760000}"/>
    <cellStyle name="Normal 263 57 2" xfId="30414" xr:uid="{00000000-0005-0000-0000-0000D4760000}"/>
    <cellStyle name="Normal 263 58" xfId="30415" xr:uid="{00000000-0005-0000-0000-0000D5760000}"/>
    <cellStyle name="Normal 263 58 2" xfId="30416" xr:uid="{00000000-0005-0000-0000-0000D6760000}"/>
    <cellStyle name="Normal 263 59" xfId="30417" xr:uid="{00000000-0005-0000-0000-0000D7760000}"/>
    <cellStyle name="Normal 263 59 2" xfId="30418" xr:uid="{00000000-0005-0000-0000-0000D8760000}"/>
    <cellStyle name="Normal 263 6" xfId="30419" xr:uid="{00000000-0005-0000-0000-0000D9760000}"/>
    <cellStyle name="Normal 263 6 2" xfId="30420" xr:uid="{00000000-0005-0000-0000-0000DA760000}"/>
    <cellStyle name="Normal 263 60" xfId="30421" xr:uid="{00000000-0005-0000-0000-0000DB760000}"/>
    <cellStyle name="Normal 263 60 2" xfId="30422" xr:uid="{00000000-0005-0000-0000-0000DC760000}"/>
    <cellStyle name="Normal 263 61" xfId="30423" xr:uid="{00000000-0005-0000-0000-0000DD760000}"/>
    <cellStyle name="Normal 263 61 2" xfId="30424" xr:uid="{00000000-0005-0000-0000-0000DE760000}"/>
    <cellStyle name="Normal 263 61 3" xfId="30425" xr:uid="{00000000-0005-0000-0000-0000DF760000}"/>
    <cellStyle name="Normal 263 62" xfId="30426" xr:uid="{00000000-0005-0000-0000-0000E0760000}"/>
    <cellStyle name="Normal 263 7" xfId="30427" xr:uid="{00000000-0005-0000-0000-0000E1760000}"/>
    <cellStyle name="Normal 263 7 2" xfId="30428" xr:uid="{00000000-0005-0000-0000-0000E2760000}"/>
    <cellStyle name="Normal 263 8" xfId="30429" xr:uid="{00000000-0005-0000-0000-0000E3760000}"/>
    <cellStyle name="Normal 263 8 2" xfId="30430" xr:uid="{00000000-0005-0000-0000-0000E4760000}"/>
    <cellStyle name="Normal 263 9" xfId="30431" xr:uid="{00000000-0005-0000-0000-0000E5760000}"/>
    <cellStyle name="Normal 263 9 2" xfId="30432" xr:uid="{00000000-0005-0000-0000-0000E6760000}"/>
    <cellStyle name="Normal 264" xfId="30433" xr:uid="{00000000-0005-0000-0000-0000E7760000}"/>
    <cellStyle name="Normal 264 10" xfId="30434" xr:uid="{00000000-0005-0000-0000-0000E8760000}"/>
    <cellStyle name="Normal 264 10 2" xfId="30435" xr:uid="{00000000-0005-0000-0000-0000E9760000}"/>
    <cellStyle name="Normal 264 11" xfId="30436" xr:uid="{00000000-0005-0000-0000-0000EA760000}"/>
    <cellStyle name="Normal 264 11 2" xfId="30437" xr:uid="{00000000-0005-0000-0000-0000EB760000}"/>
    <cellStyle name="Normal 264 12" xfId="30438" xr:uid="{00000000-0005-0000-0000-0000EC760000}"/>
    <cellStyle name="Normal 264 12 2" xfId="30439" xr:uid="{00000000-0005-0000-0000-0000ED760000}"/>
    <cellStyle name="Normal 264 13" xfId="30440" xr:uid="{00000000-0005-0000-0000-0000EE760000}"/>
    <cellStyle name="Normal 264 13 2" xfId="30441" xr:uid="{00000000-0005-0000-0000-0000EF760000}"/>
    <cellStyle name="Normal 264 14" xfId="30442" xr:uid="{00000000-0005-0000-0000-0000F0760000}"/>
    <cellStyle name="Normal 264 14 2" xfId="30443" xr:uid="{00000000-0005-0000-0000-0000F1760000}"/>
    <cellStyle name="Normal 264 15" xfId="30444" xr:uid="{00000000-0005-0000-0000-0000F2760000}"/>
    <cellStyle name="Normal 264 15 2" xfId="30445" xr:uid="{00000000-0005-0000-0000-0000F3760000}"/>
    <cellStyle name="Normal 264 16" xfId="30446" xr:uid="{00000000-0005-0000-0000-0000F4760000}"/>
    <cellStyle name="Normal 264 16 2" xfId="30447" xr:uid="{00000000-0005-0000-0000-0000F5760000}"/>
    <cellStyle name="Normal 264 17" xfId="30448" xr:uid="{00000000-0005-0000-0000-0000F6760000}"/>
    <cellStyle name="Normal 264 17 2" xfId="30449" xr:uid="{00000000-0005-0000-0000-0000F7760000}"/>
    <cellStyle name="Normal 264 18" xfId="30450" xr:uid="{00000000-0005-0000-0000-0000F8760000}"/>
    <cellStyle name="Normal 264 18 2" xfId="30451" xr:uid="{00000000-0005-0000-0000-0000F9760000}"/>
    <cellStyle name="Normal 264 19" xfId="30452" xr:uid="{00000000-0005-0000-0000-0000FA760000}"/>
    <cellStyle name="Normal 264 19 2" xfId="30453" xr:uid="{00000000-0005-0000-0000-0000FB760000}"/>
    <cellStyle name="Normal 264 2" xfId="30454" xr:uid="{00000000-0005-0000-0000-0000FC760000}"/>
    <cellStyle name="Normal 264 2 2" xfId="30455" xr:uid="{00000000-0005-0000-0000-0000FD760000}"/>
    <cellStyle name="Normal 264 20" xfId="30456" xr:uid="{00000000-0005-0000-0000-0000FE760000}"/>
    <cellStyle name="Normal 264 20 2" xfId="30457" xr:uid="{00000000-0005-0000-0000-0000FF760000}"/>
    <cellStyle name="Normal 264 21" xfId="30458" xr:uid="{00000000-0005-0000-0000-000000770000}"/>
    <cellStyle name="Normal 264 21 2" xfId="30459" xr:uid="{00000000-0005-0000-0000-000001770000}"/>
    <cellStyle name="Normal 264 22" xfId="30460" xr:uid="{00000000-0005-0000-0000-000002770000}"/>
    <cellStyle name="Normal 264 22 2" xfId="30461" xr:uid="{00000000-0005-0000-0000-000003770000}"/>
    <cellStyle name="Normal 264 23" xfId="30462" xr:uid="{00000000-0005-0000-0000-000004770000}"/>
    <cellStyle name="Normal 264 23 2" xfId="30463" xr:uid="{00000000-0005-0000-0000-000005770000}"/>
    <cellStyle name="Normal 264 24" xfId="30464" xr:uid="{00000000-0005-0000-0000-000006770000}"/>
    <cellStyle name="Normal 264 24 2" xfId="30465" xr:uid="{00000000-0005-0000-0000-000007770000}"/>
    <cellStyle name="Normal 264 25" xfId="30466" xr:uid="{00000000-0005-0000-0000-000008770000}"/>
    <cellStyle name="Normal 264 25 2" xfId="30467" xr:uid="{00000000-0005-0000-0000-000009770000}"/>
    <cellStyle name="Normal 264 26" xfId="30468" xr:uid="{00000000-0005-0000-0000-00000A770000}"/>
    <cellStyle name="Normal 264 26 2" xfId="30469" xr:uid="{00000000-0005-0000-0000-00000B770000}"/>
    <cellStyle name="Normal 264 27" xfId="30470" xr:uid="{00000000-0005-0000-0000-00000C770000}"/>
    <cellStyle name="Normal 264 27 2" xfId="30471" xr:uid="{00000000-0005-0000-0000-00000D770000}"/>
    <cellStyle name="Normal 264 28" xfId="30472" xr:uid="{00000000-0005-0000-0000-00000E770000}"/>
    <cellStyle name="Normal 264 28 2" xfId="30473" xr:uid="{00000000-0005-0000-0000-00000F770000}"/>
    <cellStyle name="Normal 264 29" xfId="30474" xr:uid="{00000000-0005-0000-0000-000010770000}"/>
    <cellStyle name="Normal 264 29 2" xfId="30475" xr:uid="{00000000-0005-0000-0000-000011770000}"/>
    <cellStyle name="Normal 264 3" xfId="30476" xr:uid="{00000000-0005-0000-0000-000012770000}"/>
    <cellStyle name="Normal 264 3 2" xfId="30477" xr:uid="{00000000-0005-0000-0000-000013770000}"/>
    <cellStyle name="Normal 264 30" xfId="30478" xr:uid="{00000000-0005-0000-0000-000014770000}"/>
    <cellStyle name="Normal 264 30 2" xfId="30479" xr:uid="{00000000-0005-0000-0000-000015770000}"/>
    <cellStyle name="Normal 264 31" xfId="30480" xr:uid="{00000000-0005-0000-0000-000016770000}"/>
    <cellStyle name="Normal 264 31 2" xfId="30481" xr:uid="{00000000-0005-0000-0000-000017770000}"/>
    <cellStyle name="Normal 264 32" xfId="30482" xr:uid="{00000000-0005-0000-0000-000018770000}"/>
    <cellStyle name="Normal 264 32 2" xfId="30483" xr:uid="{00000000-0005-0000-0000-000019770000}"/>
    <cellStyle name="Normal 264 33" xfId="30484" xr:uid="{00000000-0005-0000-0000-00001A770000}"/>
    <cellStyle name="Normal 264 33 2" xfId="30485" xr:uid="{00000000-0005-0000-0000-00001B770000}"/>
    <cellStyle name="Normal 264 34" xfId="30486" xr:uid="{00000000-0005-0000-0000-00001C770000}"/>
    <cellStyle name="Normal 264 34 2" xfId="30487" xr:uid="{00000000-0005-0000-0000-00001D770000}"/>
    <cellStyle name="Normal 264 35" xfId="30488" xr:uid="{00000000-0005-0000-0000-00001E770000}"/>
    <cellStyle name="Normal 264 35 2" xfId="30489" xr:uid="{00000000-0005-0000-0000-00001F770000}"/>
    <cellStyle name="Normal 264 36" xfId="30490" xr:uid="{00000000-0005-0000-0000-000020770000}"/>
    <cellStyle name="Normal 264 36 2" xfId="30491" xr:uid="{00000000-0005-0000-0000-000021770000}"/>
    <cellStyle name="Normal 264 37" xfId="30492" xr:uid="{00000000-0005-0000-0000-000022770000}"/>
    <cellStyle name="Normal 264 37 2" xfId="30493" xr:uid="{00000000-0005-0000-0000-000023770000}"/>
    <cellStyle name="Normal 264 38" xfId="30494" xr:uid="{00000000-0005-0000-0000-000024770000}"/>
    <cellStyle name="Normal 264 38 2" xfId="30495" xr:uid="{00000000-0005-0000-0000-000025770000}"/>
    <cellStyle name="Normal 264 39" xfId="30496" xr:uid="{00000000-0005-0000-0000-000026770000}"/>
    <cellStyle name="Normal 264 39 2" xfId="30497" xr:uid="{00000000-0005-0000-0000-000027770000}"/>
    <cellStyle name="Normal 264 4" xfId="30498" xr:uid="{00000000-0005-0000-0000-000028770000}"/>
    <cellStyle name="Normal 264 4 2" xfId="30499" xr:uid="{00000000-0005-0000-0000-000029770000}"/>
    <cellStyle name="Normal 264 40" xfId="30500" xr:uid="{00000000-0005-0000-0000-00002A770000}"/>
    <cellStyle name="Normal 264 40 2" xfId="30501" xr:uid="{00000000-0005-0000-0000-00002B770000}"/>
    <cellStyle name="Normal 264 41" xfId="30502" xr:uid="{00000000-0005-0000-0000-00002C770000}"/>
    <cellStyle name="Normal 264 41 2" xfId="30503" xr:uid="{00000000-0005-0000-0000-00002D770000}"/>
    <cellStyle name="Normal 264 42" xfId="30504" xr:uid="{00000000-0005-0000-0000-00002E770000}"/>
    <cellStyle name="Normal 264 42 2" xfId="30505" xr:uid="{00000000-0005-0000-0000-00002F770000}"/>
    <cellStyle name="Normal 264 43" xfId="30506" xr:uid="{00000000-0005-0000-0000-000030770000}"/>
    <cellStyle name="Normal 264 43 2" xfId="30507" xr:uid="{00000000-0005-0000-0000-000031770000}"/>
    <cellStyle name="Normal 264 44" xfId="30508" xr:uid="{00000000-0005-0000-0000-000032770000}"/>
    <cellStyle name="Normal 264 44 2" xfId="30509" xr:uid="{00000000-0005-0000-0000-000033770000}"/>
    <cellStyle name="Normal 264 45" xfId="30510" xr:uid="{00000000-0005-0000-0000-000034770000}"/>
    <cellStyle name="Normal 264 45 2" xfId="30511" xr:uid="{00000000-0005-0000-0000-000035770000}"/>
    <cellStyle name="Normal 264 46" xfId="30512" xr:uid="{00000000-0005-0000-0000-000036770000}"/>
    <cellStyle name="Normal 264 46 2" xfId="30513" xr:uid="{00000000-0005-0000-0000-000037770000}"/>
    <cellStyle name="Normal 264 47" xfId="30514" xr:uid="{00000000-0005-0000-0000-000038770000}"/>
    <cellStyle name="Normal 264 47 2" xfId="30515" xr:uid="{00000000-0005-0000-0000-000039770000}"/>
    <cellStyle name="Normal 264 48" xfId="30516" xr:uid="{00000000-0005-0000-0000-00003A770000}"/>
    <cellStyle name="Normal 264 48 2" xfId="30517" xr:uid="{00000000-0005-0000-0000-00003B770000}"/>
    <cellStyle name="Normal 264 49" xfId="30518" xr:uid="{00000000-0005-0000-0000-00003C770000}"/>
    <cellStyle name="Normal 264 49 2" xfId="30519" xr:uid="{00000000-0005-0000-0000-00003D770000}"/>
    <cellStyle name="Normal 264 5" xfId="30520" xr:uid="{00000000-0005-0000-0000-00003E770000}"/>
    <cellStyle name="Normal 264 5 2" xfId="30521" xr:uid="{00000000-0005-0000-0000-00003F770000}"/>
    <cellStyle name="Normal 264 50" xfId="30522" xr:uid="{00000000-0005-0000-0000-000040770000}"/>
    <cellStyle name="Normal 264 50 2" xfId="30523" xr:uid="{00000000-0005-0000-0000-000041770000}"/>
    <cellStyle name="Normal 264 51" xfId="30524" xr:uid="{00000000-0005-0000-0000-000042770000}"/>
    <cellStyle name="Normal 264 51 2" xfId="30525" xr:uid="{00000000-0005-0000-0000-000043770000}"/>
    <cellStyle name="Normal 264 52" xfId="30526" xr:uid="{00000000-0005-0000-0000-000044770000}"/>
    <cellStyle name="Normal 264 52 2" xfId="30527" xr:uid="{00000000-0005-0000-0000-000045770000}"/>
    <cellStyle name="Normal 264 53" xfId="30528" xr:uid="{00000000-0005-0000-0000-000046770000}"/>
    <cellStyle name="Normal 264 53 2" xfId="30529" xr:uid="{00000000-0005-0000-0000-000047770000}"/>
    <cellStyle name="Normal 264 54" xfId="30530" xr:uid="{00000000-0005-0000-0000-000048770000}"/>
    <cellStyle name="Normal 264 54 2" xfId="30531" xr:uid="{00000000-0005-0000-0000-000049770000}"/>
    <cellStyle name="Normal 264 55" xfId="30532" xr:uid="{00000000-0005-0000-0000-00004A770000}"/>
    <cellStyle name="Normal 264 55 2" xfId="30533" xr:uid="{00000000-0005-0000-0000-00004B770000}"/>
    <cellStyle name="Normal 264 56" xfId="30534" xr:uid="{00000000-0005-0000-0000-00004C770000}"/>
    <cellStyle name="Normal 264 56 2" xfId="30535" xr:uid="{00000000-0005-0000-0000-00004D770000}"/>
    <cellStyle name="Normal 264 57" xfId="30536" xr:uid="{00000000-0005-0000-0000-00004E770000}"/>
    <cellStyle name="Normal 264 57 2" xfId="30537" xr:uid="{00000000-0005-0000-0000-00004F770000}"/>
    <cellStyle name="Normal 264 58" xfId="30538" xr:uid="{00000000-0005-0000-0000-000050770000}"/>
    <cellStyle name="Normal 264 58 2" xfId="30539" xr:uid="{00000000-0005-0000-0000-000051770000}"/>
    <cellStyle name="Normal 264 59" xfId="30540" xr:uid="{00000000-0005-0000-0000-000052770000}"/>
    <cellStyle name="Normal 264 59 2" xfId="30541" xr:uid="{00000000-0005-0000-0000-000053770000}"/>
    <cellStyle name="Normal 264 6" xfId="30542" xr:uid="{00000000-0005-0000-0000-000054770000}"/>
    <cellStyle name="Normal 264 6 2" xfId="30543" xr:uid="{00000000-0005-0000-0000-000055770000}"/>
    <cellStyle name="Normal 264 60" xfId="30544" xr:uid="{00000000-0005-0000-0000-000056770000}"/>
    <cellStyle name="Normal 264 60 2" xfId="30545" xr:uid="{00000000-0005-0000-0000-000057770000}"/>
    <cellStyle name="Normal 264 61" xfId="30546" xr:uid="{00000000-0005-0000-0000-000058770000}"/>
    <cellStyle name="Normal 264 61 2" xfId="30547" xr:uid="{00000000-0005-0000-0000-000059770000}"/>
    <cellStyle name="Normal 264 61 3" xfId="30548" xr:uid="{00000000-0005-0000-0000-00005A770000}"/>
    <cellStyle name="Normal 264 62" xfId="30549" xr:uid="{00000000-0005-0000-0000-00005B770000}"/>
    <cellStyle name="Normal 264 7" xfId="30550" xr:uid="{00000000-0005-0000-0000-00005C770000}"/>
    <cellStyle name="Normal 264 7 2" xfId="30551" xr:uid="{00000000-0005-0000-0000-00005D770000}"/>
    <cellStyle name="Normal 264 8" xfId="30552" xr:uid="{00000000-0005-0000-0000-00005E770000}"/>
    <cellStyle name="Normal 264 8 2" xfId="30553" xr:uid="{00000000-0005-0000-0000-00005F770000}"/>
    <cellStyle name="Normal 264 9" xfId="30554" xr:uid="{00000000-0005-0000-0000-000060770000}"/>
    <cellStyle name="Normal 264 9 2" xfId="30555" xr:uid="{00000000-0005-0000-0000-000061770000}"/>
    <cellStyle name="Normal 265" xfId="30556" xr:uid="{00000000-0005-0000-0000-000062770000}"/>
    <cellStyle name="Normal 266" xfId="30557" xr:uid="{00000000-0005-0000-0000-000063770000}"/>
    <cellStyle name="Normal 267" xfId="30558" xr:uid="{00000000-0005-0000-0000-000064770000}"/>
    <cellStyle name="Normal 268" xfId="30559" xr:uid="{00000000-0005-0000-0000-000065770000}"/>
    <cellStyle name="Normal 269" xfId="30560" xr:uid="{00000000-0005-0000-0000-000066770000}"/>
    <cellStyle name="Normal 269 10" xfId="30561" xr:uid="{00000000-0005-0000-0000-000067770000}"/>
    <cellStyle name="Normal 269 10 2" xfId="30562" xr:uid="{00000000-0005-0000-0000-000068770000}"/>
    <cellStyle name="Normal 269 11" xfId="30563" xr:uid="{00000000-0005-0000-0000-000069770000}"/>
    <cellStyle name="Normal 269 11 2" xfId="30564" xr:uid="{00000000-0005-0000-0000-00006A770000}"/>
    <cellStyle name="Normal 269 12" xfId="30565" xr:uid="{00000000-0005-0000-0000-00006B770000}"/>
    <cellStyle name="Normal 269 12 2" xfId="30566" xr:uid="{00000000-0005-0000-0000-00006C770000}"/>
    <cellStyle name="Normal 269 13" xfId="30567" xr:uid="{00000000-0005-0000-0000-00006D770000}"/>
    <cellStyle name="Normal 269 13 2" xfId="30568" xr:uid="{00000000-0005-0000-0000-00006E770000}"/>
    <cellStyle name="Normal 269 14" xfId="30569" xr:uid="{00000000-0005-0000-0000-00006F770000}"/>
    <cellStyle name="Normal 269 14 2" xfId="30570" xr:uid="{00000000-0005-0000-0000-000070770000}"/>
    <cellStyle name="Normal 269 15" xfId="30571" xr:uid="{00000000-0005-0000-0000-000071770000}"/>
    <cellStyle name="Normal 269 15 2" xfId="30572" xr:uid="{00000000-0005-0000-0000-000072770000}"/>
    <cellStyle name="Normal 269 16" xfId="30573" xr:uid="{00000000-0005-0000-0000-000073770000}"/>
    <cellStyle name="Normal 269 16 2" xfId="30574" xr:uid="{00000000-0005-0000-0000-000074770000}"/>
    <cellStyle name="Normal 269 17" xfId="30575" xr:uid="{00000000-0005-0000-0000-000075770000}"/>
    <cellStyle name="Normal 269 17 2" xfId="30576" xr:uid="{00000000-0005-0000-0000-000076770000}"/>
    <cellStyle name="Normal 269 18" xfId="30577" xr:uid="{00000000-0005-0000-0000-000077770000}"/>
    <cellStyle name="Normal 269 18 2" xfId="30578" xr:uid="{00000000-0005-0000-0000-000078770000}"/>
    <cellStyle name="Normal 269 19" xfId="30579" xr:uid="{00000000-0005-0000-0000-000079770000}"/>
    <cellStyle name="Normal 269 19 2" xfId="30580" xr:uid="{00000000-0005-0000-0000-00007A770000}"/>
    <cellStyle name="Normal 269 2" xfId="30581" xr:uid="{00000000-0005-0000-0000-00007B770000}"/>
    <cellStyle name="Normal 269 2 2" xfId="30582" xr:uid="{00000000-0005-0000-0000-00007C770000}"/>
    <cellStyle name="Normal 269 20" xfId="30583" xr:uid="{00000000-0005-0000-0000-00007D770000}"/>
    <cellStyle name="Normal 269 20 2" xfId="30584" xr:uid="{00000000-0005-0000-0000-00007E770000}"/>
    <cellStyle name="Normal 269 21" xfId="30585" xr:uid="{00000000-0005-0000-0000-00007F770000}"/>
    <cellStyle name="Normal 269 21 2" xfId="30586" xr:uid="{00000000-0005-0000-0000-000080770000}"/>
    <cellStyle name="Normal 269 22" xfId="30587" xr:uid="{00000000-0005-0000-0000-000081770000}"/>
    <cellStyle name="Normal 269 22 2" xfId="30588" xr:uid="{00000000-0005-0000-0000-000082770000}"/>
    <cellStyle name="Normal 269 23" xfId="30589" xr:uid="{00000000-0005-0000-0000-000083770000}"/>
    <cellStyle name="Normal 269 23 2" xfId="30590" xr:uid="{00000000-0005-0000-0000-000084770000}"/>
    <cellStyle name="Normal 269 24" xfId="30591" xr:uid="{00000000-0005-0000-0000-000085770000}"/>
    <cellStyle name="Normal 269 24 2" xfId="30592" xr:uid="{00000000-0005-0000-0000-000086770000}"/>
    <cellStyle name="Normal 269 25" xfId="30593" xr:uid="{00000000-0005-0000-0000-000087770000}"/>
    <cellStyle name="Normal 269 25 2" xfId="30594" xr:uid="{00000000-0005-0000-0000-000088770000}"/>
    <cellStyle name="Normal 269 26" xfId="30595" xr:uid="{00000000-0005-0000-0000-000089770000}"/>
    <cellStyle name="Normal 269 26 2" xfId="30596" xr:uid="{00000000-0005-0000-0000-00008A770000}"/>
    <cellStyle name="Normal 269 27" xfId="30597" xr:uid="{00000000-0005-0000-0000-00008B770000}"/>
    <cellStyle name="Normal 269 27 2" xfId="30598" xr:uid="{00000000-0005-0000-0000-00008C770000}"/>
    <cellStyle name="Normal 269 28" xfId="30599" xr:uid="{00000000-0005-0000-0000-00008D770000}"/>
    <cellStyle name="Normal 269 28 2" xfId="30600" xr:uid="{00000000-0005-0000-0000-00008E770000}"/>
    <cellStyle name="Normal 269 29" xfId="30601" xr:uid="{00000000-0005-0000-0000-00008F770000}"/>
    <cellStyle name="Normal 269 29 2" xfId="30602" xr:uid="{00000000-0005-0000-0000-000090770000}"/>
    <cellStyle name="Normal 269 3" xfId="30603" xr:uid="{00000000-0005-0000-0000-000091770000}"/>
    <cellStyle name="Normal 269 3 2" xfId="30604" xr:uid="{00000000-0005-0000-0000-000092770000}"/>
    <cellStyle name="Normal 269 30" xfId="30605" xr:uid="{00000000-0005-0000-0000-000093770000}"/>
    <cellStyle name="Normal 269 30 2" xfId="30606" xr:uid="{00000000-0005-0000-0000-000094770000}"/>
    <cellStyle name="Normal 269 31" xfId="30607" xr:uid="{00000000-0005-0000-0000-000095770000}"/>
    <cellStyle name="Normal 269 31 2" xfId="30608" xr:uid="{00000000-0005-0000-0000-000096770000}"/>
    <cellStyle name="Normal 269 32" xfId="30609" xr:uid="{00000000-0005-0000-0000-000097770000}"/>
    <cellStyle name="Normal 269 32 2" xfId="30610" xr:uid="{00000000-0005-0000-0000-000098770000}"/>
    <cellStyle name="Normal 269 33" xfId="30611" xr:uid="{00000000-0005-0000-0000-000099770000}"/>
    <cellStyle name="Normal 269 33 2" xfId="30612" xr:uid="{00000000-0005-0000-0000-00009A770000}"/>
    <cellStyle name="Normal 269 34" xfId="30613" xr:uid="{00000000-0005-0000-0000-00009B770000}"/>
    <cellStyle name="Normal 269 34 2" xfId="30614" xr:uid="{00000000-0005-0000-0000-00009C770000}"/>
    <cellStyle name="Normal 269 35" xfId="30615" xr:uid="{00000000-0005-0000-0000-00009D770000}"/>
    <cellStyle name="Normal 269 35 2" xfId="30616" xr:uid="{00000000-0005-0000-0000-00009E770000}"/>
    <cellStyle name="Normal 269 36" xfId="30617" xr:uid="{00000000-0005-0000-0000-00009F770000}"/>
    <cellStyle name="Normal 269 36 2" xfId="30618" xr:uid="{00000000-0005-0000-0000-0000A0770000}"/>
    <cellStyle name="Normal 269 37" xfId="30619" xr:uid="{00000000-0005-0000-0000-0000A1770000}"/>
    <cellStyle name="Normal 269 37 2" xfId="30620" xr:uid="{00000000-0005-0000-0000-0000A2770000}"/>
    <cellStyle name="Normal 269 38" xfId="30621" xr:uid="{00000000-0005-0000-0000-0000A3770000}"/>
    <cellStyle name="Normal 269 38 2" xfId="30622" xr:uid="{00000000-0005-0000-0000-0000A4770000}"/>
    <cellStyle name="Normal 269 39" xfId="30623" xr:uid="{00000000-0005-0000-0000-0000A5770000}"/>
    <cellStyle name="Normal 269 39 2" xfId="30624" xr:uid="{00000000-0005-0000-0000-0000A6770000}"/>
    <cellStyle name="Normal 269 4" xfId="30625" xr:uid="{00000000-0005-0000-0000-0000A7770000}"/>
    <cellStyle name="Normal 269 4 2" xfId="30626" xr:uid="{00000000-0005-0000-0000-0000A8770000}"/>
    <cellStyle name="Normal 269 40" xfId="30627" xr:uid="{00000000-0005-0000-0000-0000A9770000}"/>
    <cellStyle name="Normal 269 40 2" xfId="30628" xr:uid="{00000000-0005-0000-0000-0000AA770000}"/>
    <cellStyle name="Normal 269 41" xfId="30629" xr:uid="{00000000-0005-0000-0000-0000AB770000}"/>
    <cellStyle name="Normal 269 41 2" xfId="30630" xr:uid="{00000000-0005-0000-0000-0000AC770000}"/>
    <cellStyle name="Normal 269 42" xfId="30631" xr:uid="{00000000-0005-0000-0000-0000AD770000}"/>
    <cellStyle name="Normal 269 42 2" xfId="30632" xr:uid="{00000000-0005-0000-0000-0000AE770000}"/>
    <cellStyle name="Normal 269 43" xfId="30633" xr:uid="{00000000-0005-0000-0000-0000AF770000}"/>
    <cellStyle name="Normal 269 43 2" xfId="30634" xr:uid="{00000000-0005-0000-0000-0000B0770000}"/>
    <cellStyle name="Normal 269 44" xfId="30635" xr:uid="{00000000-0005-0000-0000-0000B1770000}"/>
    <cellStyle name="Normal 269 44 2" xfId="30636" xr:uid="{00000000-0005-0000-0000-0000B2770000}"/>
    <cellStyle name="Normal 269 45" xfId="30637" xr:uid="{00000000-0005-0000-0000-0000B3770000}"/>
    <cellStyle name="Normal 269 45 2" xfId="30638" xr:uid="{00000000-0005-0000-0000-0000B4770000}"/>
    <cellStyle name="Normal 269 46" xfId="30639" xr:uid="{00000000-0005-0000-0000-0000B5770000}"/>
    <cellStyle name="Normal 269 46 2" xfId="30640" xr:uid="{00000000-0005-0000-0000-0000B6770000}"/>
    <cellStyle name="Normal 269 47" xfId="30641" xr:uid="{00000000-0005-0000-0000-0000B7770000}"/>
    <cellStyle name="Normal 269 47 2" xfId="30642" xr:uid="{00000000-0005-0000-0000-0000B8770000}"/>
    <cellStyle name="Normal 269 48" xfId="30643" xr:uid="{00000000-0005-0000-0000-0000B9770000}"/>
    <cellStyle name="Normal 269 48 2" xfId="30644" xr:uid="{00000000-0005-0000-0000-0000BA770000}"/>
    <cellStyle name="Normal 269 49" xfId="30645" xr:uid="{00000000-0005-0000-0000-0000BB770000}"/>
    <cellStyle name="Normal 269 49 2" xfId="30646" xr:uid="{00000000-0005-0000-0000-0000BC770000}"/>
    <cellStyle name="Normal 269 5" xfId="30647" xr:uid="{00000000-0005-0000-0000-0000BD770000}"/>
    <cellStyle name="Normal 269 5 2" xfId="30648" xr:uid="{00000000-0005-0000-0000-0000BE770000}"/>
    <cellStyle name="Normal 269 50" xfId="30649" xr:uid="{00000000-0005-0000-0000-0000BF770000}"/>
    <cellStyle name="Normal 269 50 2" xfId="30650" xr:uid="{00000000-0005-0000-0000-0000C0770000}"/>
    <cellStyle name="Normal 269 51" xfId="30651" xr:uid="{00000000-0005-0000-0000-0000C1770000}"/>
    <cellStyle name="Normal 269 51 2" xfId="30652" xr:uid="{00000000-0005-0000-0000-0000C2770000}"/>
    <cellStyle name="Normal 269 52" xfId="30653" xr:uid="{00000000-0005-0000-0000-0000C3770000}"/>
    <cellStyle name="Normal 269 52 2" xfId="30654" xr:uid="{00000000-0005-0000-0000-0000C4770000}"/>
    <cellStyle name="Normal 269 53" xfId="30655" xr:uid="{00000000-0005-0000-0000-0000C5770000}"/>
    <cellStyle name="Normal 269 53 2" xfId="30656" xr:uid="{00000000-0005-0000-0000-0000C6770000}"/>
    <cellStyle name="Normal 269 54" xfId="30657" xr:uid="{00000000-0005-0000-0000-0000C7770000}"/>
    <cellStyle name="Normal 269 54 2" xfId="30658" xr:uid="{00000000-0005-0000-0000-0000C8770000}"/>
    <cellStyle name="Normal 269 55" xfId="30659" xr:uid="{00000000-0005-0000-0000-0000C9770000}"/>
    <cellStyle name="Normal 269 55 2" xfId="30660" xr:uid="{00000000-0005-0000-0000-0000CA770000}"/>
    <cellStyle name="Normal 269 56" xfId="30661" xr:uid="{00000000-0005-0000-0000-0000CB770000}"/>
    <cellStyle name="Normal 269 56 2" xfId="30662" xr:uid="{00000000-0005-0000-0000-0000CC770000}"/>
    <cellStyle name="Normal 269 57" xfId="30663" xr:uid="{00000000-0005-0000-0000-0000CD770000}"/>
    <cellStyle name="Normal 269 57 2" xfId="30664" xr:uid="{00000000-0005-0000-0000-0000CE770000}"/>
    <cellStyle name="Normal 269 58" xfId="30665" xr:uid="{00000000-0005-0000-0000-0000CF770000}"/>
    <cellStyle name="Normal 269 58 2" xfId="30666" xr:uid="{00000000-0005-0000-0000-0000D0770000}"/>
    <cellStyle name="Normal 269 59" xfId="30667" xr:uid="{00000000-0005-0000-0000-0000D1770000}"/>
    <cellStyle name="Normal 269 59 2" xfId="30668" xr:uid="{00000000-0005-0000-0000-0000D2770000}"/>
    <cellStyle name="Normal 269 6" xfId="30669" xr:uid="{00000000-0005-0000-0000-0000D3770000}"/>
    <cellStyle name="Normal 269 6 2" xfId="30670" xr:uid="{00000000-0005-0000-0000-0000D4770000}"/>
    <cellStyle name="Normal 269 60" xfId="30671" xr:uid="{00000000-0005-0000-0000-0000D5770000}"/>
    <cellStyle name="Normal 269 60 2" xfId="30672" xr:uid="{00000000-0005-0000-0000-0000D6770000}"/>
    <cellStyle name="Normal 269 61" xfId="30673" xr:uid="{00000000-0005-0000-0000-0000D7770000}"/>
    <cellStyle name="Normal 269 61 2" xfId="30674" xr:uid="{00000000-0005-0000-0000-0000D8770000}"/>
    <cellStyle name="Normal 269 61 3" xfId="30675" xr:uid="{00000000-0005-0000-0000-0000D9770000}"/>
    <cellStyle name="Normal 269 62" xfId="30676" xr:uid="{00000000-0005-0000-0000-0000DA770000}"/>
    <cellStyle name="Normal 269 7" xfId="30677" xr:uid="{00000000-0005-0000-0000-0000DB770000}"/>
    <cellStyle name="Normal 269 7 2" xfId="30678" xr:uid="{00000000-0005-0000-0000-0000DC770000}"/>
    <cellStyle name="Normal 269 8" xfId="30679" xr:uid="{00000000-0005-0000-0000-0000DD770000}"/>
    <cellStyle name="Normal 269 8 2" xfId="30680" xr:uid="{00000000-0005-0000-0000-0000DE770000}"/>
    <cellStyle name="Normal 269 9" xfId="30681" xr:uid="{00000000-0005-0000-0000-0000DF770000}"/>
    <cellStyle name="Normal 269 9 2" xfId="30682" xr:uid="{00000000-0005-0000-0000-0000E0770000}"/>
    <cellStyle name="Normal 27" xfId="30683" xr:uid="{00000000-0005-0000-0000-0000E1770000}"/>
    <cellStyle name="Normal 27 10" xfId="30684" xr:uid="{00000000-0005-0000-0000-0000E2770000}"/>
    <cellStyle name="Normal 27 10 2" xfId="30685" xr:uid="{00000000-0005-0000-0000-0000E3770000}"/>
    <cellStyle name="Normal 27 11" xfId="30686" xr:uid="{00000000-0005-0000-0000-0000E4770000}"/>
    <cellStyle name="Normal 27 11 2" xfId="30687" xr:uid="{00000000-0005-0000-0000-0000E5770000}"/>
    <cellStyle name="Normal 27 12" xfId="30688" xr:uid="{00000000-0005-0000-0000-0000E6770000}"/>
    <cellStyle name="Normal 27 12 2" xfId="30689" xr:uid="{00000000-0005-0000-0000-0000E7770000}"/>
    <cellStyle name="Normal 27 13" xfId="30690" xr:uid="{00000000-0005-0000-0000-0000E8770000}"/>
    <cellStyle name="Normal 27 13 2" xfId="30691" xr:uid="{00000000-0005-0000-0000-0000E9770000}"/>
    <cellStyle name="Normal 27 14" xfId="30692" xr:uid="{00000000-0005-0000-0000-0000EA770000}"/>
    <cellStyle name="Normal 27 14 2" xfId="30693" xr:uid="{00000000-0005-0000-0000-0000EB770000}"/>
    <cellStyle name="Normal 27 15" xfId="30694" xr:uid="{00000000-0005-0000-0000-0000EC770000}"/>
    <cellStyle name="Normal 27 15 2" xfId="30695" xr:uid="{00000000-0005-0000-0000-0000ED770000}"/>
    <cellStyle name="Normal 27 16" xfId="30696" xr:uid="{00000000-0005-0000-0000-0000EE770000}"/>
    <cellStyle name="Normal 27 16 2" xfId="30697" xr:uid="{00000000-0005-0000-0000-0000EF770000}"/>
    <cellStyle name="Normal 27 17" xfId="30698" xr:uid="{00000000-0005-0000-0000-0000F0770000}"/>
    <cellStyle name="Normal 27 17 2" xfId="30699" xr:uid="{00000000-0005-0000-0000-0000F1770000}"/>
    <cellStyle name="Normal 27 18" xfId="30700" xr:uid="{00000000-0005-0000-0000-0000F2770000}"/>
    <cellStyle name="Normal 27 18 2" xfId="30701" xr:uid="{00000000-0005-0000-0000-0000F3770000}"/>
    <cellStyle name="Normal 27 19" xfId="30702" xr:uid="{00000000-0005-0000-0000-0000F4770000}"/>
    <cellStyle name="Normal 27 19 2" xfId="30703" xr:uid="{00000000-0005-0000-0000-0000F5770000}"/>
    <cellStyle name="Normal 27 2" xfId="30704" xr:uid="{00000000-0005-0000-0000-0000F6770000}"/>
    <cellStyle name="Normal 27 2 2" xfId="30705" xr:uid="{00000000-0005-0000-0000-0000F7770000}"/>
    <cellStyle name="Normal 27 20" xfId="30706" xr:uid="{00000000-0005-0000-0000-0000F8770000}"/>
    <cellStyle name="Normal 27 20 2" xfId="30707" xr:uid="{00000000-0005-0000-0000-0000F9770000}"/>
    <cellStyle name="Normal 27 21" xfId="30708" xr:uid="{00000000-0005-0000-0000-0000FA770000}"/>
    <cellStyle name="Normal 27 21 2" xfId="30709" xr:uid="{00000000-0005-0000-0000-0000FB770000}"/>
    <cellStyle name="Normal 27 22" xfId="30710" xr:uid="{00000000-0005-0000-0000-0000FC770000}"/>
    <cellStyle name="Normal 27 22 2" xfId="30711" xr:uid="{00000000-0005-0000-0000-0000FD770000}"/>
    <cellStyle name="Normal 27 23" xfId="30712" xr:uid="{00000000-0005-0000-0000-0000FE770000}"/>
    <cellStyle name="Normal 27 23 2" xfId="30713" xr:uid="{00000000-0005-0000-0000-0000FF770000}"/>
    <cellStyle name="Normal 27 24" xfId="30714" xr:uid="{00000000-0005-0000-0000-000000780000}"/>
    <cellStyle name="Normal 27 24 2" xfId="30715" xr:uid="{00000000-0005-0000-0000-000001780000}"/>
    <cellStyle name="Normal 27 25" xfId="30716" xr:uid="{00000000-0005-0000-0000-000002780000}"/>
    <cellStyle name="Normal 27 25 2" xfId="30717" xr:uid="{00000000-0005-0000-0000-000003780000}"/>
    <cellStyle name="Normal 27 26" xfId="30718" xr:uid="{00000000-0005-0000-0000-000004780000}"/>
    <cellStyle name="Normal 27 26 2" xfId="30719" xr:uid="{00000000-0005-0000-0000-000005780000}"/>
    <cellStyle name="Normal 27 27" xfId="30720" xr:uid="{00000000-0005-0000-0000-000006780000}"/>
    <cellStyle name="Normal 27 27 2" xfId="30721" xr:uid="{00000000-0005-0000-0000-000007780000}"/>
    <cellStyle name="Normal 27 28" xfId="30722" xr:uid="{00000000-0005-0000-0000-000008780000}"/>
    <cellStyle name="Normal 27 28 2" xfId="30723" xr:uid="{00000000-0005-0000-0000-000009780000}"/>
    <cellStyle name="Normal 27 29" xfId="30724" xr:uid="{00000000-0005-0000-0000-00000A780000}"/>
    <cellStyle name="Normal 27 29 2" xfId="30725" xr:uid="{00000000-0005-0000-0000-00000B780000}"/>
    <cellStyle name="Normal 27 3" xfId="30726" xr:uid="{00000000-0005-0000-0000-00000C780000}"/>
    <cellStyle name="Normal 27 3 2" xfId="30727" xr:uid="{00000000-0005-0000-0000-00000D780000}"/>
    <cellStyle name="Normal 27 30" xfId="30728" xr:uid="{00000000-0005-0000-0000-00000E780000}"/>
    <cellStyle name="Normal 27 30 2" xfId="30729" xr:uid="{00000000-0005-0000-0000-00000F780000}"/>
    <cellStyle name="Normal 27 31" xfId="30730" xr:uid="{00000000-0005-0000-0000-000010780000}"/>
    <cellStyle name="Normal 27 31 2" xfId="30731" xr:uid="{00000000-0005-0000-0000-000011780000}"/>
    <cellStyle name="Normal 27 32" xfId="30732" xr:uid="{00000000-0005-0000-0000-000012780000}"/>
    <cellStyle name="Normal 27 32 2" xfId="30733" xr:uid="{00000000-0005-0000-0000-000013780000}"/>
    <cellStyle name="Normal 27 33" xfId="30734" xr:uid="{00000000-0005-0000-0000-000014780000}"/>
    <cellStyle name="Normal 27 33 2" xfId="30735" xr:uid="{00000000-0005-0000-0000-000015780000}"/>
    <cellStyle name="Normal 27 34" xfId="30736" xr:uid="{00000000-0005-0000-0000-000016780000}"/>
    <cellStyle name="Normal 27 34 2" xfId="30737" xr:uid="{00000000-0005-0000-0000-000017780000}"/>
    <cellStyle name="Normal 27 35" xfId="30738" xr:uid="{00000000-0005-0000-0000-000018780000}"/>
    <cellStyle name="Normal 27 35 2" xfId="30739" xr:uid="{00000000-0005-0000-0000-000019780000}"/>
    <cellStyle name="Normal 27 36" xfId="30740" xr:uid="{00000000-0005-0000-0000-00001A780000}"/>
    <cellStyle name="Normal 27 36 2" xfId="30741" xr:uid="{00000000-0005-0000-0000-00001B780000}"/>
    <cellStyle name="Normal 27 37" xfId="30742" xr:uid="{00000000-0005-0000-0000-00001C780000}"/>
    <cellStyle name="Normal 27 37 2" xfId="30743" xr:uid="{00000000-0005-0000-0000-00001D780000}"/>
    <cellStyle name="Normal 27 38" xfId="30744" xr:uid="{00000000-0005-0000-0000-00001E780000}"/>
    <cellStyle name="Normal 27 38 2" xfId="30745" xr:uid="{00000000-0005-0000-0000-00001F780000}"/>
    <cellStyle name="Normal 27 39" xfId="30746" xr:uid="{00000000-0005-0000-0000-000020780000}"/>
    <cellStyle name="Normal 27 39 2" xfId="30747" xr:uid="{00000000-0005-0000-0000-000021780000}"/>
    <cellStyle name="Normal 27 4" xfId="30748" xr:uid="{00000000-0005-0000-0000-000022780000}"/>
    <cellStyle name="Normal 27 4 2" xfId="30749" xr:uid="{00000000-0005-0000-0000-000023780000}"/>
    <cellStyle name="Normal 27 40" xfId="30750" xr:uid="{00000000-0005-0000-0000-000024780000}"/>
    <cellStyle name="Normal 27 40 2" xfId="30751" xr:uid="{00000000-0005-0000-0000-000025780000}"/>
    <cellStyle name="Normal 27 41" xfId="30752" xr:uid="{00000000-0005-0000-0000-000026780000}"/>
    <cellStyle name="Normal 27 41 2" xfId="30753" xr:uid="{00000000-0005-0000-0000-000027780000}"/>
    <cellStyle name="Normal 27 42" xfId="30754" xr:uid="{00000000-0005-0000-0000-000028780000}"/>
    <cellStyle name="Normal 27 42 2" xfId="30755" xr:uid="{00000000-0005-0000-0000-000029780000}"/>
    <cellStyle name="Normal 27 43" xfId="30756" xr:uid="{00000000-0005-0000-0000-00002A780000}"/>
    <cellStyle name="Normal 27 43 2" xfId="30757" xr:uid="{00000000-0005-0000-0000-00002B780000}"/>
    <cellStyle name="Normal 27 44" xfId="30758" xr:uid="{00000000-0005-0000-0000-00002C780000}"/>
    <cellStyle name="Normal 27 44 2" xfId="30759" xr:uid="{00000000-0005-0000-0000-00002D780000}"/>
    <cellStyle name="Normal 27 45" xfId="30760" xr:uid="{00000000-0005-0000-0000-00002E780000}"/>
    <cellStyle name="Normal 27 45 2" xfId="30761" xr:uid="{00000000-0005-0000-0000-00002F780000}"/>
    <cellStyle name="Normal 27 46" xfId="30762" xr:uid="{00000000-0005-0000-0000-000030780000}"/>
    <cellStyle name="Normal 27 46 2" xfId="30763" xr:uid="{00000000-0005-0000-0000-000031780000}"/>
    <cellStyle name="Normal 27 47" xfId="30764" xr:uid="{00000000-0005-0000-0000-000032780000}"/>
    <cellStyle name="Normal 27 47 2" xfId="30765" xr:uid="{00000000-0005-0000-0000-000033780000}"/>
    <cellStyle name="Normal 27 48" xfId="30766" xr:uid="{00000000-0005-0000-0000-000034780000}"/>
    <cellStyle name="Normal 27 48 2" xfId="30767" xr:uid="{00000000-0005-0000-0000-000035780000}"/>
    <cellStyle name="Normal 27 49" xfId="30768" xr:uid="{00000000-0005-0000-0000-000036780000}"/>
    <cellStyle name="Normal 27 49 2" xfId="30769" xr:uid="{00000000-0005-0000-0000-000037780000}"/>
    <cellStyle name="Normal 27 5" xfId="30770" xr:uid="{00000000-0005-0000-0000-000038780000}"/>
    <cellStyle name="Normal 27 5 2" xfId="30771" xr:uid="{00000000-0005-0000-0000-000039780000}"/>
    <cellStyle name="Normal 27 50" xfId="30772" xr:uid="{00000000-0005-0000-0000-00003A780000}"/>
    <cellStyle name="Normal 27 50 2" xfId="30773" xr:uid="{00000000-0005-0000-0000-00003B780000}"/>
    <cellStyle name="Normal 27 51" xfId="30774" xr:uid="{00000000-0005-0000-0000-00003C780000}"/>
    <cellStyle name="Normal 27 51 2" xfId="30775" xr:uid="{00000000-0005-0000-0000-00003D780000}"/>
    <cellStyle name="Normal 27 52" xfId="30776" xr:uid="{00000000-0005-0000-0000-00003E780000}"/>
    <cellStyle name="Normal 27 52 2" xfId="30777" xr:uid="{00000000-0005-0000-0000-00003F780000}"/>
    <cellStyle name="Normal 27 53" xfId="30778" xr:uid="{00000000-0005-0000-0000-000040780000}"/>
    <cellStyle name="Normal 27 53 2" xfId="30779" xr:uid="{00000000-0005-0000-0000-000041780000}"/>
    <cellStyle name="Normal 27 54" xfId="30780" xr:uid="{00000000-0005-0000-0000-000042780000}"/>
    <cellStyle name="Normal 27 54 2" xfId="30781" xr:uid="{00000000-0005-0000-0000-000043780000}"/>
    <cellStyle name="Normal 27 55" xfId="30782" xr:uid="{00000000-0005-0000-0000-000044780000}"/>
    <cellStyle name="Normal 27 55 2" xfId="30783" xr:uid="{00000000-0005-0000-0000-000045780000}"/>
    <cellStyle name="Normal 27 56" xfId="30784" xr:uid="{00000000-0005-0000-0000-000046780000}"/>
    <cellStyle name="Normal 27 56 2" xfId="30785" xr:uid="{00000000-0005-0000-0000-000047780000}"/>
    <cellStyle name="Normal 27 57" xfId="30786" xr:uid="{00000000-0005-0000-0000-000048780000}"/>
    <cellStyle name="Normal 27 57 2" xfId="30787" xr:uid="{00000000-0005-0000-0000-000049780000}"/>
    <cellStyle name="Normal 27 58" xfId="30788" xr:uid="{00000000-0005-0000-0000-00004A780000}"/>
    <cellStyle name="Normal 27 58 2" xfId="30789" xr:uid="{00000000-0005-0000-0000-00004B780000}"/>
    <cellStyle name="Normal 27 59" xfId="30790" xr:uid="{00000000-0005-0000-0000-00004C780000}"/>
    <cellStyle name="Normal 27 6" xfId="30791" xr:uid="{00000000-0005-0000-0000-00004D780000}"/>
    <cellStyle name="Normal 27 6 2" xfId="30792" xr:uid="{00000000-0005-0000-0000-00004E780000}"/>
    <cellStyle name="Normal 27 60" xfId="30793" xr:uid="{00000000-0005-0000-0000-00004F780000}"/>
    <cellStyle name="Normal 27 7" xfId="30794" xr:uid="{00000000-0005-0000-0000-000050780000}"/>
    <cellStyle name="Normal 27 7 2" xfId="30795" xr:uid="{00000000-0005-0000-0000-000051780000}"/>
    <cellStyle name="Normal 27 8" xfId="30796" xr:uid="{00000000-0005-0000-0000-000052780000}"/>
    <cellStyle name="Normal 27 8 2" xfId="30797" xr:uid="{00000000-0005-0000-0000-000053780000}"/>
    <cellStyle name="Normal 27 9" xfId="30798" xr:uid="{00000000-0005-0000-0000-000054780000}"/>
    <cellStyle name="Normal 27 9 2" xfId="30799" xr:uid="{00000000-0005-0000-0000-000055780000}"/>
    <cellStyle name="Normal 270" xfId="30800" xr:uid="{00000000-0005-0000-0000-000056780000}"/>
    <cellStyle name="Normal 270 10" xfId="30801" xr:uid="{00000000-0005-0000-0000-000057780000}"/>
    <cellStyle name="Normal 270 10 2" xfId="30802" xr:uid="{00000000-0005-0000-0000-000058780000}"/>
    <cellStyle name="Normal 270 11" xfId="30803" xr:uid="{00000000-0005-0000-0000-000059780000}"/>
    <cellStyle name="Normal 270 11 2" xfId="30804" xr:uid="{00000000-0005-0000-0000-00005A780000}"/>
    <cellStyle name="Normal 270 12" xfId="30805" xr:uid="{00000000-0005-0000-0000-00005B780000}"/>
    <cellStyle name="Normal 270 12 2" xfId="30806" xr:uid="{00000000-0005-0000-0000-00005C780000}"/>
    <cellStyle name="Normal 270 13" xfId="30807" xr:uid="{00000000-0005-0000-0000-00005D780000}"/>
    <cellStyle name="Normal 270 13 2" xfId="30808" xr:uid="{00000000-0005-0000-0000-00005E780000}"/>
    <cellStyle name="Normal 270 14" xfId="30809" xr:uid="{00000000-0005-0000-0000-00005F780000}"/>
    <cellStyle name="Normal 270 14 2" xfId="30810" xr:uid="{00000000-0005-0000-0000-000060780000}"/>
    <cellStyle name="Normal 270 15" xfId="30811" xr:uid="{00000000-0005-0000-0000-000061780000}"/>
    <cellStyle name="Normal 270 15 2" xfId="30812" xr:uid="{00000000-0005-0000-0000-000062780000}"/>
    <cellStyle name="Normal 270 16" xfId="30813" xr:uid="{00000000-0005-0000-0000-000063780000}"/>
    <cellStyle name="Normal 270 16 2" xfId="30814" xr:uid="{00000000-0005-0000-0000-000064780000}"/>
    <cellStyle name="Normal 270 17" xfId="30815" xr:uid="{00000000-0005-0000-0000-000065780000}"/>
    <cellStyle name="Normal 270 17 2" xfId="30816" xr:uid="{00000000-0005-0000-0000-000066780000}"/>
    <cellStyle name="Normal 270 18" xfId="30817" xr:uid="{00000000-0005-0000-0000-000067780000}"/>
    <cellStyle name="Normal 270 18 2" xfId="30818" xr:uid="{00000000-0005-0000-0000-000068780000}"/>
    <cellStyle name="Normal 270 19" xfId="30819" xr:uid="{00000000-0005-0000-0000-000069780000}"/>
    <cellStyle name="Normal 270 19 2" xfId="30820" xr:uid="{00000000-0005-0000-0000-00006A780000}"/>
    <cellStyle name="Normal 270 2" xfId="30821" xr:uid="{00000000-0005-0000-0000-00006B780000}"/>
    <cellStyle name="Normal 270 2 2" xfId="30822" xr:uid="{00000000-0005-0000-0000-00006C780000}"/>
    <cellStyle name="Normal 270 20" xfId="30823" xr:uid="{00000000-0005-0000-0000-00006D780000}"/>
    <cellStyle name="Normal 270 20 2" xfId="30824" xr:uid="{00000000-0005-0000-0000-00006E780000}"/>
    <cellStyle name="Normal 270 21" xfId="30825" xr:uid="{00000000-0005-0000-0000-00006F780000}"/>
    <cellStyle name="Normal 270 21 2" xfId="30826" xr:uid="{00000000-0005-0000-0000-000070780000}"/>
    <cellStyle name="Normal 270 22" xfId="30827" xr:uid="{00000000-0005-0000-0000-000071780000}"/>
    <cellStyle name="Normal 270 22 2" xfId="30828" xr:uid="{00000000-0005-0000-0000-000072780000}"/>
    <cellStyle name="Normal 270 23" xfId="30829" xr:uid="{00000000-0005-0000-0000-000073780000}"/>
    <cellStyle name="Normal 270 23 2" xfId="30830" xr:uid="{00000000-0005-0000-0000-000074780000}"/>
    <cellStyle name="Normal 270 24" xfId="30831" xr:uid="{00000000-0005-0000-0000-000075780000}"/>
    <cellStyle name="Normal 270 24 2" xfId="30832" xr:uid="{00000000-0005-0000-0000-000076780000}"/>
    <cellStyle name="Normal 270 25" xfId="30833" xr:uid="{00000000-0005-0000-0000-000077780000}"/>
    <cellStyle name="Normal 270 25 2" xfId="30834" xr:uid="{00000000-0005-0000-0000-000078780000}"/>
    <cellStyle name="Normal 270 26" xfId="30835" xr:uid="{00000000-0005-0000-0000-000079780000}"/>
    <cellStyle name="Normal 270 26 2" xfId="30836" xr:uid="{00000000-0005-0000-0000-00007A780000}"/>
    <cellStyle name="Normal 270 27" xfId="30837" xr:uid="{00000000-0005-0000-0000-00007B780000}"/>
    <cellStyle name="Normal 270 27 2" xfId="30838" xr:uid="{00000000-0005-0000-0000-00007C780000}"/>
    <cellStyle name="Normal 270 28" xfId="30839" xr:uid="{00000000-0005-0000-0000-00007D780000}"/>
    <cellStyle name="Normal 270 28 2" xfId="30840" xr:uid="{00000000-0005-0000-0000-00007E780000}"/>
    <cellStyle name="Normal 270 29" xfId="30841" xr:uid="{00000000-0005-0000-0000-00007F780000}"/>
    <cellStyle name="Normal 270 29 2" xfId="30842" xr:uid="{00000000-0005-0000-0000-000080780000}"/>
    <cellStyle name="Normal 270 3" xfId="30843" xr:uid="{00000000-0005-0000-0000-000081780000}"/>
    <cellStyle name="Normal 270 3 2" xfId="30844" xr:uid="{00000000-0005-0000-0000-000082780000}"/>
    <cellStyle name="Normal 270 30" xfId="30845" xr:uid="{00000000-0005-0000-0000-000083780000}"/>
    <cellStyle name="Normal 270 30 2" xfId="30846" xr:uid="{00000000-0005-0000-0000-000084780000}"/>
    <cellStyle name="Normal 270 31" xfId="30847" xr:uid="{00000000-0005-0000-0000-000085780000}"/>
    <cellStyle name="Normal 270 31 2" xfId="30848" xr:uid="{00000000-0005-0000-0000-000086780000}"/>
    <cellStyle name="Normal 270 32" xfId="30849" xr:uid="{00000000-0005-0000-0000-000087780000}"/>
    <cellStyle name="Normal 270 32 2" xfId="30850" xr:uid="{00000000-0005-0000-0000-000088780000}"/>
    <cellStyle name="Normal 270 33" xfId="30851" xr:uid="{00000000-0005-0000-0000-000089780000}"/>
    <cellStyle name="Normal 270 33 2" xfId="30852" xr:uid="{00000000-0005-0000-0000-00008A780000}"/>
    <cellStyle name="Normal 270 34" xfId="30853" xr:uid="{00000000-0005-0000-0000-00008B780000}"/>
    <cellStyle name="Normal 270 34 2" xfId="30854" xr:uid="{00000000-0005-0000-0000-00008C780000}"/>
    <cellStyle name="Normal 270 35" xfId="30855" xr:uid="{00000000-0005-0000-0000-00008D780000}"/>
    <cellStyle name="Normal 270 35 2" xfId="30856" xr:uid="{00000000-0005-0000-0000-00008E780000}"/>
    <cellStyle name="Normal 270 36" xfId="30857" xr:uid="{00000000-0005-0000-0000-00008F780000}"/>
    <cellStyle name="Normal 270 36 2" xfId="30858" xr:uid="{00000000-0005-0000-0000-000090780000}"/>
    <cellStyle name="Normal 270 37" xfId="30859" xr:uid="{00000000-0005-0000-0000-000091780000}"/>
    <cellStyle name="Normal 270 37 2" xfId="30860" xr:uid="{00000000-0005-0000-0000-000092780000}"/>
    <cellStyle name="Normal 270 38" xfId="30861" xr:uid="{00000000-0005-0000-0000-000093780000}"/>
    <cellStyle name="Normal 270 38 2" xfId="30862" xr:uid="{00000000-0005-0000-0000-000094780000}"/>
    <cellStyle name="Normal 270 39" xfId="30863" xr:uid="{00000000-0005-0000-0000-000095780000}"/>
    <cellStyle name="Normal 270 39 2" xfId="30864" xr:uid="{00000000-0005-0000-0000-000096780000}"/>
    <cellStyle name="Normal 270 4" xfId="30865" xr:uid="{00000000-0005-0000-0000-000097780000}"/>
    <cellStyle name="Normal 270 4 2" xfId="30866" xr:uid="{00000000-0005-0000-0000-000098780000}"/>
    <cellStyle name="Normal 270 40" xfId="30867" xr:uid="{00000000-0005-0000-0000-000099780000}"/>
    <cellStyle name="Normal 270 40 2" xfId="30868" xr:uid="{00000000-0005-0000-0000-00009A780000}"/>
    <cellStyle name="Normal 270 41" xfId="30869" xr:uid="{00000000-0005-0000-0000-00009B780000}"/>
    <cellStyle name="Normal 270 41 2" xfId="30870" xr:uid="{00000000-0005-0000-0000-00009C780000}"/>
    <cellStyle name="Normal 270 42" xfId="30871" xr:uid="{00000000-0005-0000-0000-00009D780000}"/>
    <cellStyle name="Normal 270 42 2" xfId="30872" xr:uid="{00000000-0005-0000-0000-00009E780000}"/>
    <cellStyle name="Normal 270 43" xfId="30873" xr:uid="{00000000-0005-0000-0000-00009F780000}"/>
    <cellStyle name="Normal 270 43 2" xfId="30874" xr:uid="{00000000-0005-0000-0000-0000A0780000}"/>
    <cellStyle name="Normal 270 44" xfId="30875" xr:uid="{00000000-0005-0000-0000-0000A1780000}"/>
    <cellStyle name="Normal 270 44 2" xfId="30876" xr:uid="{00000000-0005-0000-0000-0000A2780000}"/>
    <cellStyle name="Normal 270 45" xfId="30877" xr:uid="{00000000-0005-0000-0000-0000A3780000}"/>
    <cellStyle name="Normal 270 45 2" xfId="30878" xr:uid="{00000000-0005-0000-0000-0000A4780000}"/>
    <cellStyle name="Normal 270 46" xfId="30879" xr:uid="{00000000-0005-0000-0000-0000A5780000}"/>
    <cellStyle name="Normal 270 46 2" xfId="30880" xr:uid="{00000000-0005-0000-0000-0000A6780000}"/>
    <cellStyle name="Normal 270 47" xfId="30881" xr:uid="{00000000-0005-0000-0000-0000A7780000}"/>
    <cellStyle name="Normal 270 47 2" xfId="30882" xr:uid="{00000000-0005-0000-0000-0000A8780000}"/>
    <cellStyle name="Normal 270 48" xfId="30883" xr:uid="{00000000-0005-0000-0000-0000A9780000}"/>
    <cellStyle name="Normal 270 48 2" xfId="30884" xr:uid="{00000000-0005-0000-0000-0000AA780000}"/>
    <cellStyle name="Normal 270 49" xfId="30885" xr:uid="{00000000-0005-0000-0000-0000AB780000}"/>
    <cellStyle name="Normal 270 49 2" xfId="30886" xr:uid="{00000000-0005-0000-0000-0000AC780000}"/>
    <cellStyle name="Normal 270 5" xfId="30887" xr:uid="{00000000-0005-0000-0000-0000AD780000}"/>
    <cellStyle name="Normal 270 5 2" xfId="30888" xr:uid="{00000000-0005-0000-0000-0000AE780000}"/>
    <cellStyle name="Normal 270 50" xfId="30889" xr:uid="{00000000-0005-0000-0000-0000AF780000}"/>
    <cellStyle name="Normal 270 50 2" xfId="30890" xr:uid="{00000000-0005-0000-0000-0000B0780000}"/>
    <cellStyle name="Normal 270 51" xfId="30891" xr:uid="{00000000-0005-0000-0000-0000B1780000}"/>
    <cellStyle name="Normal 270 51 2" xfId="30892" xr:uid="{00000000-0005-0000-0000-0000B2780000}"/>
    <cellStyle name="Normal 270 52" xfId="30893" xr:uid="{00000000-0005-0000-0000-0000B3780000}"/>
    <cellStyle name="Normal 270 52 2" xfId="30894" xr:uid="{00000000-0005-0000-0000-0000B4780000}"/>
    <cellStyle name="Normal 270 53" xfId="30895" xr:uid="{00000000-0005-0000-0000-0000B5780000}"/>
    <cellStyle name="Normal 270 53 2" xfId="30896" xr:uid="{00000000-0005-0000-0000-0000B6780000}"/>
    <cellStyle name="Normal 270 54" xfId="30897" xr:uid="{00000000-0005-0000-0000-0000B7780000}"/>
    <cellStyle name="Normal 270 54 2" xfId="30898" xr:uid="{00000000-0005-0000-0000-0000B8780000}"/>
    <cellStyle name="Normal 270 55" xfId="30899" xr:uid="{00000000-0005-0000-0000-0000B9780000}"/>
    <cellStyle name="Normal 270 55 2" xfId="30900" xr:uid="{00000000-0005-0000-0000-0000BA780000}"/>
    <cellStyle name="Normal 270 56" xfId="30901" xr:uid="{00000000-0005-0000-0000-0000BB780000}"/>
    <cellStyle name="Normal 270 56 2" xfId="30902" xr:uid="{00000000-0005-0000-0000-0000BC780000}"/>
    <cellStyle name="Normal 270 57" xfId="30903" xr:uid="{00000000-0005-0000-0000-0000BD780000}"/>
    <cellStyle name="Normal 270 57 2" xfId="30904" xr:uid="{00000000-0005-0000-0000-0000BE780000}"/>
    <cellStyle name="Normal 270 58" xfId="30905" xr:uid="{00000000-0005-0000-0000-0000BF780000}"/>
    <cellStyle name="Normal 270 58 2" xfId="30906" xr:uid="{00000000-0005-0000-0000-0000C0780000}"/>
    <cellStyle name="Normal 270 59" xfId="30907" xr:uid="{00000000-0005-0000-0000-0000C1780000}"/>
    <cellStyle name="Normal 270 59 2" xfId="30908" xr:uid="{00000000-0005-0000-0000-0000C2780000}"/>
    <cellStyle name="Normal 270 6" xfId="30909" xr:uid="{00000000-0005-0000-0000-0000C3780000}"/>
    <cellStyle name="Normal 270 6 2" xfId="30910" xr:uid="{00000000-0005-0000-0000-0000C4780000}"/>
    <cellStyle name="Normal 270 60" xfId="30911" xr:uid="{00000000-0005-0000-0000-0000C5780000}"/>
    <cellStyle name="Normal 270 60 2" xfId="30912" xr:uid="{00000000-0005-0000-0000-0000C6780000}"/>
    <cellStyle name="Normal 270 61" xfId="30913" xr:uid="{00000000-0005-0000-0000-0000C7780000}"/>
    <cellStyle name="Normal 270 61 2" xfId="30914" xr:uid="{00000000-0005-0000-0000-0000C8780000}"/>
    <cellStyle name="Normal 270 61 3" xfId="30915" xr:uid="{00000000-0005-0000-0000-0000C9780000}"/>
    <cellStyle name="Normal 270 62" xfId="30916" xr:uid="{00000000-0005-0000-0000-0000CA780000}"/>
    <cellStyle name="Normal 270 7" xfId="30917" xr:uid="{00000000-0005-0000-0000-0000CB780000}"/>
    <cellStyle name="Normal 270 7 2" xfId="30918" xr:uid="{00000000-0005-0000-0000-0000CC780000}"/>
    <cellStyle name="Normal 270 8" xfId="30919" xr:uid="{00000000-0005-0000-0000-0000CD780000}"/>
    <cellStyle name="Normal 270 8 2" xfId="30920" xr:uid="{00000000-0005-0000-0000-0000CE780000}"/>
    <cellStyle name="Normal 270 9" xfId="30921" xr:uid="{00000000-0005-0000-0000-0000CF780000}"/>
    <cellStyle name="Normal 270 9 2" xfId="30922" xr:uid="{00000000-0005-0000-0000-0000D0780000}"/>
    <cellStyle name="Normal 271" xfId="30923" xr:uid="{00000000-0005-0000-0000-0000D1780000}"/>
    <cellStyle name="Normal 272" xfId="30924" xr:uid="{00000000-0005-0000-0000-0000D2780000}"/>
    <cellStyle name="Normal 273" xfId="30925" xr:uid="{00000000-0005-0000-0000-0000D3780000}"/>
    <cellStyle name="Normal 273 10" xfId="30926" xr:uid="{00000000-0005-0000-0000-0000D4780000}"/>
    <cellStyle name="Normal 273 10 2" xfId="30927" xr:uid="{00000000-0005-0000-0000-0000D5780000}"/>
    <cellStyle name="Normal 273 11" xfId="30928" xr:uid="{00000000-0005-0000-0000-0000D6780000}"/>
    <cellStyle name="Normal 273 11 2" xfId="30929" xr:uid="{00000000-0005-0000-0000-0000D7780000}"/>
    <cellStyle name="Normal 273 12" xfId="30930" xr:uid="{00000000-0005-0000-0000-0000D8780000}"/>
    <cellStyle name="Normal 273 12 2" xfId="30931" xr:uid="{00000000-0005-0000-0000-0000D9780000}"/>
    <cellStyle name="Normal 273 13" xfId="30932" xr:uid="{00000000-0005-0000-0000-0000DA780000}"/>
    <cellStyle name="Normal 273 13 2" xfId="30933" xr:uid="{00000000-0005-0000-0000-0000DB780000}"/>
    <cellStyle name="Normal 273 14" xfId="30934" xr:uid="{00000000-0005-0000-0000-0000DC780000}"/>
    <cellStyle name="Normal 273 14 2" xfId="30935" xr:uid="{00000000-0005-0000-0000-0000DD780000}"/>
    <cellStyle name="Normal 273 15" xfId="30936" xr:uid="{00000000-0005-0000-0000-0000DE780000}"/>
    <cellStyle name="Normal 273 15 2" xfId="30937" xr:uid="{00000000-0005-0000-0000-0000DF780000}"/>
    <cellStyle name="Normal 273 16" xfId="30938" xr:uid="{00000000-0005-0000-0000-0000E0780000}"/>
    <cellStyle name="Normal 273 16 2" xfId="30939" xr:uid="{00000000-0005-0000-0000-0000E1780000}"/>
    <cellStyle name="Normal 273 17" xfId="30940" xr:uid="{00000000-0005-0000-0000-0000E2780000}"/>
    <cellStyle name="Normal 273 17 2" xfId="30941" xr:uid="{00000000-0005-0000-0000-0000E3780000}"/>
    <cellStyle name="Normal 273 18" xfId="30942" xr:uid="{00000000-0005-0000-0000-0000E4780000}"/>
    <cellStyle name="Normal 273 18 2" xfId="30943" xr:uid="{00000000-0005-0000-0000-0000E5780000}"/>
    <cellStyle name="Normal 273 19" xfId="30944" xr:uid="{00000000-0005-0000-0000-0000E6780000}"/>
    <cellStyle name="Normal 273 19 2" xfId="30945" xr:uid="{00000000-0005-0000-0000-0000E7780000}"/>
    <cellStyle name="Normal 273 2" xfId="30946" xr:uid="{00000000-0005-0000-0000-0000E8780000}"/>
    <cellStyle name="Normal 273 2 2" xfId="30947" xr:uid="{00000000-0005-0000-0000-0000E9780000}"/>
    <cellStyle name="Normal 273 20" xfId="30948" xr:uid="{00000000-0005-0000-0000-0000EA780000}"/>
    <cellStyle name="Normal 273 20 2" xfId="30949" xr:uid="{00000000-0005-0000-0000-0000EB780000}"/>
    <cellStyle name="Normal 273 21" xfId="30950" xr:uid="{00000000-0005-0000-0000-0000EC780000}"/>
    <cellStyle name="Normal 273 21 2" xfId="30951" xr:uid="{00000000-0005-0000-0000-0000ED780000}"/>
    <cellStyle name="Normal 273 22" xfId="30952" xr:uid="{00000000-0005-0000-0000-0000EE780000}"/>
    <cellStyle name="Normal 273 22 2" xfId="30953" xr:uid="{00000000-0005-0000-0000-0000EF780000}"/>
    <cellStyle name="Normal 273 23" xfId="30954" xr:uid="{00000000-0005-0000-0000-0000F0780000}"/>
    <cellStyle name="Normal 273 23 2" xfId="30955" xr:uid="{00000000-0005-0000-0000-0000F1780000}"/>
    <cellStyle name="Normal 273 24" xfId="30956" xr:uid="{00000000-0005-0000-0000-0000F2780000}"/>
    <cellStyle name="Normal 273 24 2" xfId="30957" xr:uid="{00000000-0005-0000-0000-0000F3780000}"/>
    <cellStyle name="Normal 273 25" xfId="30958" xr:uid="{00000000-0005-0000-0000-0000F4780000}"/>
    <cellStyle name="Normal 273 25 2" xfId="30959" xr:uid="{00000000-0005-0000-0000-0000F5780000}"/>
    <cellStyle name="Normal 273 26" xfId="30960" xr:uid="{00000000-0005-0000-0000-0000F6780000}"/>
    <cellStyle name="Normal 273 26 2" xfId="30961" xr:uid="{00000000-0005-0000-0000-0000F7780000}"/>
    <cellStyle name="Normal 273 27" xfId="30962" xr:uid="{00000000-0005-0000-0000-0000F8780000}"/>
    <cellStyle name="Normal 273 27 2" xfId="30963" xr:uid="{00000000-0005-0000-0000-0000F9780000}"/>
    <cellStyle name="Normal 273 28" xfId="30964" xr:uid="{00000000-0005-0000-0000-0000FA780000}"/>
    <cellStyle name="Normal 273 28 2" xfId="30965" xr:uid="{00000000-0005-0000-0000-0000FB780000}"/>
    <cellStyle name="Normal 273 29" xfId="30966" xr:uid="{00000000-0005-0000-0000-0000FC780000}"/>
    <cellStyle name="Normal 273 29 2" xfId="30967" xr:uid="{00000000-0005-0000-0000-0000FD780000}"/>
    <cellStyle name="Normal 273 3" xfId="30968" xr:uid="{00000000-0005-0000-0000-0000FE780000}"/>
    <cellStyle name="Normal 273 3 2" xfId="30969" xr:uid="{00000000-0005-0000-0000-0000FF780000}"/>
    <cellStyle name="Normal 273 30" xfId="30970" xr:uid="{00000000-0005-0000-0000-000000790000}"/>
    <cellStyle name="Normal 273 30 2" xfId="30971" xr:uid="{00000000-0005-0000-0000-000001790000}"/>
    <cellStyle name="Normal 273 31" xfId="30972" xr:uid="{00000000-0005-0000-0000-000002790000}"/>
    <cellStyle name="Normal 273 31 2" xfId="30973" xr:uid="{00000000-0005-0000-0000-000003790000}"/>
    <cellStyle name="Normal 273 32" xfId="30974" xr:uid="{00000000-0005-0000-0000-000004790000}"/>
    <cellStyle name="Normal 273 32 2" xfId="30975" xr:uid="{00000000-0005-0000-0000-000005790000}"/>
    <cellStyle name="Normal 273 33" xfId="30976" xr:uid="{00000000-0005-0000-0000-000006790000}"/>
    <cellStyle name="Normal 273 33 2" xfId="30977" xr:uid="{00000000-0005-0000-0000-000007790000}"/>
    <cellStyle name="Normal 273 34" xfId="30978" xr:uid="{00000000-0005-0000-0000-000008790000}"/>
    <cellStyle name="Normal 273 34 2" xfId="30979" xr:uid="{00000000-0005-0000-0000-000009790000}"/>
    <cellStyle name="Normal 273 35" xfId="30980" xr:uid="{00000000-0005-0000-0000-00000A790000}"/>
    <cellStyle name="Normal 273 35 2" xfId="30981" xr:uid="{00000000-0005-0000-0000-00000B790000}"/>
    <cellStyle name="Normal 273 36" xfId="30982" xr:uid="{00000000-0005-0000-0000-00000C790000}"/>
    <cellStyle name="Normal 273 36 2" xfId="30983" xr:uid="{00000000-0005-0000-0000-00000D790000}"/>
    <cellStyle name="Normal 273 37" xfId="30984" xr:uid="{00000000-0005-0000-0000-00000E790000}"/>
    <cellStyle name="Normal 273 37 2" xfId="30985" xr:uid="{00000000-0005-0000-0000-00000F790000}"/>
    <cellStyle name="Normal 273 38" xfId="30986" xr:uid="{00000000-0005-0000-0000-000010790000}"/>
    <cellStyle name="Normal 273 38 2" xfId="30987" xr:uid="{00000000-0005-0000-0000-000011790000}"/>
    <cellStyle name="Normal 273 39" xfId="30988" xr:uid="{00000000-0005-0000-0000-000012790000}"/>
    <cellStyle name="Normal 273 39 2" xfId="30989" xr:uid="{00000000-0005-0000-0000-000013790000}"/>
    <cellStyle name="Normal 273 4" xfId="30990" xr:uid="{00000000-0005-0000-0000-000014790000}"/>
    <cellStyle name="Normal 273 4 2" xfId="30991" xr:uid="{00000000-0005-0000-0000-000015790000}"/>
    <cellStyle name="Normal 273 40" xfId="30992" xr:uid="{00000000-0005-0000-0000-000016790000}"/>
    <cellStyle name="Normal 273 40 2" xfId="30993" xr:uid="{00000000-0005-0000-0000-000017790000}"/>
    <cellStyle name="Normal 273 41" xfId="30994" xr:uid="{00000000-0005-0000-0000-000018790000}"/>
    <cellStyle name="Normal 273 41 2" xfId="30995" xr:uid="{00000000-0005-0000-0000-000019790000}"/>
    <cellStyle name="Normal 273 42" xfId="30996" xr:uid="{00000000-0005-0000-0000-00001A790000}"/>
    <cellStyle name="Normal 273 42 2" xfId="30997" xr:uid="{00000000-0005-0000-0000-00001B790000}"/>
    <cellStyle name="Normal 273 43" xfId="30998" xr:uid="{00000000-0005-0000-0000-00001C790000}"/>
    <cellStyle name="Normal 273 43 2" xfId="30999" xr:uid="{00000000-0005-0000-0000-00001D790000}"/>
    <cellStyle name="Normal 273 44" xfId="31000" xr:uid="{00000000-0005-0000-0000-00001E790000}"/>
    <cellStyle name="Normal 273 44 2" xfId="31001" xr:uid="{00000000-0005-0000-0000-00001F790000}"/>
    <cellStyle name="Normal 273 45" xfId="31002" xr:uid="{00000000-0005-0000-0000-000020790000}"/>
    <cellStyle name="Normal 273 45 2" xfId="31003" xr:uid="{00000000-0005-0000-0000-000021790000}"/>
    <cellStyle name="Normal 273 46" xfId="31004" xr:uid="{00000000-0005-0000-0000-000022790000}"/>
    <cellStyle name="Normal 273 46 2" xfId="31005" xr:uid="{00000000-0005-0000-0000-000023790000}"/>
    <cellStyle name="Normal 273 47" xfId="31006" xr:uid="{00000000-0005-0000-0000-000024790000}"/>
    <cellStyle name="Normal 273 47 2" xfId="31007" xr:uid="{00000000-0005-0000-0000-000025790000}"/>
    <cellStyle name="Normal 273 48" xfId="31008" xr:uid="{00000000-0005-0000-0000-000026790000}"/>
    <cellStyle name="Normal 273 48 2" xfId="31009" xr:uid="{00000000-0005-0000-0000-000027790000}"/>
    <cellStyle name="Normal 273 49" xfId="31010" xr:uid="{00000000-0005-0000-0000-000028790000}"/>
    <cellStyle name="Normal 273 49 2" xfId="31011" xr:uid="{00000000-0005-0000-0000-000029790000}"/>
    <cellStyle name="Normal 273 5" xfId="31012" xr:uid="{00000000-0005-0000-0000-00002A790000}"/>
    <cellStyle name="Normal 273 5 2" xfId="31013" xr:uid="{00000000-0005-0000-0000-00002B790000}"/>
    <cellStyle name="Normal 273 50" xfId="31014" xr:uid="{00000000-0005-0000-0000-00002C790000}"/>
    <cellStyle name="Normal 273 50 2" xfId="31015" xr:uid="{00000000-0005-0000-0000-00002D790000}"/>
    <cellStyle name="Normal 273 51" xfId="31016" xr:uid="{00000000-0005-0000-0000-00002E790000}"/>
    <cellStyle name="Normal 273 51 2" xfId="31017" xr:uid="{00000000-0005-0000-0000-00002F790000}"/>
    <cellStyle name="Normal 273 52" xfId="31018" xr:uid="{00000000-0005-0000-0000-000030790000}"/>
    <cellStyle name="Normal 273 52 2" xfId="31019" xr:uid="{00000000-0005-0000-0000-000031790000}"/>
    <cellStyle name="Normal 273 53" xfId="31020" xr:uid="{00000000-0005-0000-0000-000032790000}"/>
    <cellStyle name="Normal 273 53 2" xfId="31021" xr:uid="{00000000-0005-0000-0000-000033790000}"/>
    <cellStyle name="Normal 273 54" xfId="31022" xr:uid="{00000000-0005-0000-0000-000034790000}"/>
    <cellStyle name="Normal 273 54 2" xfId="31023" xr:uid="{00000000-0005-0000-0000-000035790000}"/>
    <cellStyle name="Normal 273 55" xfId="31024" xr:uid="{00000000-0005-0000-0000-000036790000}"/>
    <cellStyle name="Normal 273 55 2" xfId="31025" xr:uid="{00000000-0005-0000-0000-000037790000}"/>
    <cellStyle name="Normal 273 56" xfId="31026" xr:uid="{00000000-0005-0000-0000-000038790000}"/>
    <cellStyle name="Normal 273 56 2" xfId="31027" xr:uid="{00000000-0005-0000-0000-000039790000}"/>
    <cellStyle name="Normal 273 57" xfId="31028" xr:uid="{00000000-0005-0000-0000-00003A790000}"/>
    <cellStyle name="Normal 273 57 2" xfId="31029" xr:uid="{00000000-0005-0000-0000-00003B790000}"/>
    <cellStyle name="Normal 273 58" xfId="31030" xr:uid="{00000000-0005-0000-0000-00003C790000}"/>
    <cellStyle name="Normal 273 58 2" xfId="31031" xr:uid="{00000000-0005-0000-0000-00003D790000}"/>
    <cellStyle name="Normal 273 59" xfId="31032" xr:uid="{00000000-0005-0000-0000-00003E790000}"/>
    <cellStyle name="Normal 273 59 2" xfId="31033" xr:uid="{00000000-0005-0000-0000-00003F790000}"/>
    <cellStyle name="Normal 273 6" xfId="31034" xr:uid="{00000000-0005-0000-0000-000040790000}"/>
    <cellStyle name="Normal 273 6 2" xfId="31035" xr:uid="{00000000-0005-0000-0000-000041790000}"/>
    <cellStyle name="Normal 273 60" xfId="31036" xr:uid="{00000000-0005-0000-0000-000042790000}"/>
    <cellStyle name="Normal 273 60 2" xfId="31037" xr:uid="{00000000-0005-0000-0000-000043790000}"/>
    <cellStyle name="Normal 273 61" xfId="31038" xr:uid="{00000000-0005-0000-0000-000044790000}"/>
    <cellStyle name="Normal 273 61 2" xfId="31039" xr:uid="{00000000-0005-0000-0000-000045790000}"/>
    <cellStyle name="Normal 273 61 3" xfId="31040" xr:uid="{00000000-0005-0000-0000-000046790000}"/>
    <cellStyle name="Normal 273 62" xfId="31041" xr:uid="{00000000-0005-0000-0000-000047790000}"/>
    <cellStyle name="Normal 273 7" xfId="31042" xr:uid="{00000000-0005-0000-0000-000048790000}"/>
    <cellStyle name="Normal 273 7 2" xfId="31043" xr:uid="{00000000-0005-0000-0000-000049790000}"/>
    <cellStyle name="Normal 273 8" xfId="31044" xr:uid="{00000000-0005-0000-0000-00004A790000}"/>
    <cellStyle name="Normal 273 8 2" xfId="31045" xr:uid="{00000000-0005-0000-0000-00004B790000}"/>
    <cellStyle name="Normal 273 9" xfId="31046" xr:uid="{00000000-0005-0000-0000-00004C790000}"/>
    <cellStyle name="Normal 273 9 2" xfId="31047" xr:uid="{00000000-0005-0000-0000-00004D790000}"/>
    <cellStyle name="Normal 274" xfId="31048" xr:uid="{00000000-0005-0000-0000-00004E790000}"/>
    <cellStyle name="Normal 275" xfId="31049" xr:uid="{00000000-0005-0000-0000-00004F790000}"/>
    <cellStyle name="Normal 276" xfId="31050" xr:uid="{00000000-0005-0000-0000-000050790000}"/>
    <cellStyle name="Normal 276 10" xfId="31051" xr:uid="{00000000-0005-0000-0000-000051790000}"/>
    <cellStyle name="Normal 276 10 2" xfId="31052" xr:uid="{00000000-0005-0000-0000-000052790000}"/>
    <cellStyle name="Normal 276 11" xfId="31053" xr:uid="{00000000-0005-0000-0000-000053790000}"/>
    <cellStyle name="Normal 276 11 2" xfId="31054" xr:uid="{00000000-0005-0000-0000-000054790000}"/>
    <cellStyle name="Normal 276 12" xfId="31055" xr:uid="{00000000-0005-0000-0000-000055790000}"/>
    <cellStyle name="Normal 276 12 2" xfId="31056" xr:uid="{00000000-0005-0000-0000-000056790000}"/>
    <cellStyle name="Normal 276 13" xfId="31057" xr:uid="{00000000-0005-0000-0000-000057790000}"/>
    <cellStyle name="Normal 276 13 2" xfId="31058" xr:uid="{00000000-0005-0000-0000-000058790000}"/>
    <cellStyle name="Normal 276 14" xfId="31059" xr:uid="{00000000-0005-0000-0000-000059790000}"/>
    <cellStyle name="Normal 276 14 2" xfId="31060" xr:uid="{00000000-0005-0000-0000-00005A790000}"/>
    <cellStyle name="Normal 276 15" xfId="31061" xr:uid="{00000000-0005-0000-0000-00005B790000}"/>
    <cellStyle name="Normal 276 15 2" xfId="31062" xr:uid="{00000000-0005-0000-0000-00005C790000}"/>
    <cellStyle name="Normal 276 16" xfId="31063" xr:uid="{00000000-0005-0000-0000-00005D790000}"/>
    <cellStyle name="Normal 276 16 2" xfId="31064" xr:uid="{00000000-0005-0000-0000-00005E790000}"/>
    <cellStyle name="Normal 276 17" xfId="31065" xr:uid="{00000000-0005-0000-0000-00005F790000}"/>
    <cellStyle name="Normal 276 17 2" xfId="31066" xr:uid="{00000000-0005-0000-0000-000060790000}"/>
    <cellStyle name="Normal 276 18" xfId="31067" xr:uid="{00000000-0005-0000-0000-000061790000}"/>
    <cellStyle name="Normal 276 18 2" xfId="31068" xr:uid="{00000000-0005-0000-0000-000062790000}"/>
    <cellStyle name="Normal 276 19" xfId="31069" xr:uid="{00000000-0005-0000-0000-000063790000}"/>
    <cellStyle name="Normal 276 19 2" xfId="31070" xr:uid="{00000000-0005-0000-0000-000064790000}"/>
    <cellStyle name="Normal 276 2" xfId="31071" xr:uid="{00000000-0005-0000-0000-000065790000}"/>
    <cellStyle name="Normal 276 2 2" xfId="31072" xr:uid="{00000000-0005-0000-0000-000066790000}"/>
    <cellStyle name="Normal 276 20" xfId="31073" xr:uid="{00000000-0005-0000-0000-000067790000}"/>
    <cellStyle name="Normal 276 20 2" xfId="31074" xr:uid="{00000000-0005-0000-0000-000068790000}"/>
    <cellStyle name="Normal 276 21" xfId="31075" xr:uid="{00000000-0005-0000-0000-000069790000}"/>
    <cellStyle name="Normal 276 21 2" xfId="31076" xr:uid="{00000000-0005-0000-0000-00006A790000}"/>
    <cellStyle name="Normal 276 22" xfId="31077" xr:uid="{00000000-0005-0000-0000-00006B790000}"/>
    <cellStyle name="Normal 276 22 2" xfId="31078" xr:uid="{00000000-0005-0000-0000-00006C790000}"/>
    <cellStyle name="Normal 276 23" xfId="31079" xr:uid="{00000000-0005-0000-0000-00006D790000}"/>
    <cellStyle name="Normal 276 23 2" xfId="31080" xr:uid="{00000000-0005-0000-0000-00006E790000}"/>
    <cellStyle name="Normal 276 24" xfId="31081" xr:uid="{00000000-0005-0000-0000-00006F790000}"/>
    <cellStyle name="Normal 276 24 2" xfId="31082" xr:uid="{00000000-0005-0000-0000-000070790000}"/>
    <cellStyle name="Normal 276 25" xfId="31083" xr:uid="{00000000-0005-0000-0000-000071790000}"/>
    <cellStyle name="Normal 276 25 2" xfId="31084" xr:uid="{00000000-0005-0000-0000-000072790000}"/>
    <cellStyle name="Normal 276 26" xfId="31085" xr:uid="{00000000-0005-0000-0000-000073790000}"/>
    <cellStyle name="Normal 276 26 2" xfId="31086" xr:uid="{00000000-0005-0000-0000-000074790000}"/>
    <cellStyle name="Normal 276 27" xfId="31087" xr:uid="{00000000-0005-0000-0000-000075790000}"/>
    <cellStyle name="Normal 276 27 2" xfId="31088" xr:uid="{00000000-0005-0000-0000-000076790000}"/>
    <cellStyle name="Normal 276 28" xfId="31089" xr:uid="{00000000-0005-0000-0000-000077790000}"/>
    <cellStyle name="Normal 276 28 2" xfId="31090" xr:uid="{00000000-0005-0000-0000-000078790000}"/>
    <cellStyle name="Normal 276 29" xfId="31091" xr:uid="{00000000-0005-0000-0000-000079790000}"/>
    <cellStyle name="Normal 276 29 2" xfId="31092" xr:uid="{00000000-0005-0000-0000-00007A790000}"/>
    <cellStyle name="Normal 276 3" xfId="31093" xr:uid="{00000000-0005-0000-0000-00007B790000}"/>
    <cellStyle name="Normal 276 3 2" xfId="31094" xr:uid="{00000000-0005-0000-0000-00007C790000}"/>
    <cellStyle name="Normal 276 30" xfId="31095" xr:uid="{00000000-0005-0000-0000-00007D790000}"/>
    <cellStyle name="Normal 276 30 2" xfId="31096" xr:uid="{00000000-0005-0000-0000-00007E790000}"/>
    <cellStyle name="Normal 276 31" xfId="31097" xr:uid="{00000000-0005-0000-0000-00007F790000}"/>
    <cellStyle name="Normal 276 31 2" xfId="31098" xr:uid="{00000000-0005-0000-0000-000080790000}"/>
    <cellStyle name="Normal 276 32" xfId="31099" xr:uid="{00000000-0005-0000-0000-000081790000}"/>
    <cellStyle name="Normal 276 32 2" xfId="31100" xr:uid="{00000000-0005-0000-0000-000082790000}"/>
    <cellStyle name="Normal 276 33" xfId="31101" xr:uid="{00000000-0005-0000-0000-000083790000}"/>
    <cellStyle name="Normal 276 33 2" xfId="31102" xr:uid="{00000000-0005-0000-0000-000084790000}"/>
    <cellStyle name="Normal 276 34" xfId="31103" xr:uid="{00000000-0005-0000-0000-000085790000}"/>
    <cellStyle name="Normal 276 34 2" xfId="31104" xr:uid="{00000000-0005-0000-0000-000086790000}"/>
    <cellStyle name="Normal 276 35" xfId="31105" xr:uid="{00000000-0005-0000-0000-000087790000}"/>
    <cellStyle name="Normal 276 35 2" xfId="31106" xr:uid="{00000000-0005-0000-0000-000088790000}"/>
    <cellStyle name="Normal 276 36" xfId="31107" xr:uid="{00000000-0005-0000-0000-000089790000}"/>
    <cellStyle name="Normal 276 36 2" xfId="31108" xr:uid="{00000000-0005-0000-0000-00008A790000}"/>
    <cellStyle name="Normal 276 37" xfId="31109" xr:uid="{00000000-0005-0000-0000-00008B790000}"/>
    <cellStyle name="Normal 276 37 2" xfId="31110" xr:uid="{00000000-0005-0000-0000-00008C790000}"/>
    <cellStyle name="Normal 276 38" xfId="31111" xr:uid="{00000000-0005-0000-0000-00008D790000}"/>
    <cellStyle name="Normal 276 38 2" xfId="31112" xr:uid="{00000000-0005-0000-0000-00008E790000}"/>
    <cellStyle name="Normal 276 39" xfId="31113" xr:uid="{00000000-0005-0000-0000-00008F790000}"/>
    <cellStyle name="Normal 276 39 2" xfId="31114" xr:uid="{00000000-0005-0000-0000-000090790000}"/>
    <cellStyle name="Normal 276 4" xfId="31115" xr:uid="{00000000-0005-0000-0000-000091790000}"/>
    <cellStyle name="Normal 276 4 2" xfId="31116" xr:uid="{00000000-0005-0000-0000-000092790000}"/>
    <cellStyle name="Normal 276 40" xfId="31117" xr:uid="{00000000-0005-0000-0000-000093790000}"/>
    <cellStyle name="Normal 276 40 2" xfId="31118" xr:uid="{00000000-0005-0000-0000-000094790000}"/>
    <cellStyle name="Normal 276 41" xfId="31119" xr:uid="{00000000-0005-0000-0000-000095790000}"/>
    <cellStyle name="Normal 276 41 2" xfId="31120" xr:uid="{00000000-0005-0000-0000-000096790000}"/>
    <cellStyle name="Normal 276 42" xfId="31121" xr:uid="{00000000-0005-0000-0000-000097790000}"/>
    <cellStyle name="Normal 276 42 2" xfId="31122" xr:uid="{00000000-0005-0000-0000-000098790000}"/>
    <cellStyle name="Normal 276 43" xfId="31123" xr:uid="{00000000-0005-0000-0000-000099790000}"/>
    <cellStyle name="Normal 276 43 2" xfId="31124" xr:uid="{00000000-0005-0000-0000-00009A790000}"/>
    <cellStyle name="Normal 276 44" xfId="31125" xr:uid="{00000000-0005-0000-0000-00009B790000}"/>
    <cellStyle name="Normal 276 44 2" xfId="31126" xr:uid="{00000000-0005-0000-0000-00009C790000}"/>
    <cellStyle name="Normal 276 45" xfId="31127" xr:uid="{00000000-0005-0000-0000-00009D790000}"/>
    <cellStyle name="Normal 276 45 2" xfId="31128" xr:uid="{00000000-0005-0000-0000-00009E790000}"/>
    <cellStyle name="Normal 276 46" xfId="31129" xr:uid="{00000000-0005-0000-0000-00009F790000}"/>
    <cellStyle name="Normal 276 46 2" xfId="31130" xr:uid="{00000000-0005-0000-0000-0000A0790000}"/>
    <cellStyle name="Normal 276 47" xfId="31131" xr:uid="{00000000-0005-0000-0000-0000A1790000}"/>
    <cellStyle name="Normal 276 47 2" xfId="31132" xr:uid="{00000000-0005-0000-0000-0000A2790000}"/>
    <cellStyle name="Normal 276 48" xfId="31133" xr:uid="{00000000-0005-0000-0000-0000A3790000}"/>
    <cellStyle name="Normal 276 48 2" xfId="31134" xr:uid="{00000000-0005-0000-0000-0000A4790000}"/>
    <cellStyle name="Normal 276 49" xfId="31135" xr:uid="{00000000-0005-0000-0000-0000A5790000}"/>
    <cellStyle name="Normal 276 49 2" xfId="31136" xr:uid="{00000000-0005-0000-0000-0000A6790000}"/>
    <cellStyle name="Normal 276 5" xfId="31137" xr:uid="{00000000-0005-0000-0000-0000A7790000}"/>
    <cellStyle name="Normal 276 5 2" xfId="31138" xr:uid="{00000000-0005-0000-0000-0000A8790000}"/>
    <cellStyle name="Normal 276 50" xfId="31139" xr:uid="{00000000-0005-0000-0000-0000A9790000}"/>
    <cellStyle name="Normal 276 50 2" xfId="31140" xr:uid="{00000000-0005-0000-0000-0000AA790000}"/>
    <cellStyle name="Normal 276 51" xfId="31141" xr:uid="{00000000-0005-0000-0000-0000AB790000}"/>
    <cellStyle name="Normal 276 51 2" xfId="31142" xr:uid="{00000000-0005-0000-0000-0000AC790000}"/>
    <cellStyle name="Normal 276 52" xfId="31143" xr:uid="{00000000-0005-0000-0000-0000AD790000}"/>
    <cellStyle name="Normal 276 52 2" xfId="31144" xr:uid="{00000000-0005-0000-0000-0000AE790000}"/>
    <cellStyle name="Normal 276 53" xfId="31145" xr:uid="{00000000-0005-0000-0000-0000AF790000}"/>
    <cellStyle name="Normal 276 53 2" xfId="31146" xr:uid="{00000000-0005-0000-0000-0000B0790000}"/>
    <cellStyle name="Normal 276 54" xfId="31147" xr:uid="{00000000-0005-0000-0000-0000B1790000}"/>
    <cellStyle name="Normal 276 54 2" xfId="31148" xr:uid="{00000000-0005-0000-0000-0000B2790000}"/>
    <cellStyle name="Normal 276 55" xfId="31149" xr:uid="{00000000-0005-0000-0000-0000B3790000}"/>
    <cellStyle name="Normal 276 55 2" xfId="31150" xr:uid="{00000000-0005-0000-0000-0000B4790000}"/>
    <cellStyle name="Normal 276 56" xfId="31151" xr:uid="{00000000-0005-0000-0000-0000B5790000}"/>
    <cellStyle name="Normal 276 56 2" xfId="31152" xr:uid="{00000000-0005-0000-0000-0000B6790000}"/>
    <cellStyle name="Normal 276 57" xfId="31153" xr:uid="{00000000-0005-0000-0000-0000B7790000}"/>
    <cellStyle name="Normal 276 57 2" xfId="31154" xr:uid="{00000000-0005-0000-0000-0000B8790000}"/>
    <cellStyle name="Normal 276 58" xfId="31155" xr:uid="{00000000-0005-0000-0000-0000B9790000}"/>
    <cellStyle name="Normal 276 58 2" xfId="31156" xr:uid="{00000000-0005-0000-0000-0000BA790000}"/>
    <cellStyle name="Normal 276 59" xfId="31157" xr:uid="{00000000-0005-0000-0000-0000BB790000}"/>
    <cellStyle name="Normal 276 59 2" xfId="31158" xr:uid="{00000000-0005-0000-0000-0000BC790000}"/>
    <cellStyle name="Normal 276 6" xfId="31159" xr:uid="{00000000-0005-0000-0000-0000BD790000}"/>
    <cellStyle name="Normal 276 6 2" xfId="31160" xr:uid="{00000000-0005-0000-0000-0000BE790000}"/>
    <cellStyle name="Normal 276 60" xfId="31161" xr:uid="{00000000-0005-0000-0000-0000BF790000}"/>
    <cellStyle name="Normal 276 60 2" xfId="31162" xr:uid="{00000000-0005-0000-0000-0000C0790000}"/>
    <cellStyle name="Normal 276 61" xfId="31163" xr:uid="{00000000-0005-0000-0000-0000C1790000}"/>
    <cellStyle name="Normal 276 61 2" xfId="31164" xr:uid="{00000000-0005-0000-0000-0000C2790000}"/>
    <cellStyle name="Normal 276 61 3" xfId="31165" xr:uid="{00000000-0005-0000-0000-0000C3790000}"/>
    <cellStyle name="Normal 276 62" xfId="31166" xr:uid="{00000000-0005-0000-0000-0000C4790000}"/>
    <cellStyle name="Normal 276 7" xfId="31167" xr:uid="{00000000-0005-0000-0000-0000C5790000}"/>
    <cellStyle name="Normal 276 7 2" xfId="31168" xr:uid="{00000000-0005-0000-0000-0000C6790000}"/>
    <cellStyle name="Normal 276 8" xfId="31169" xr:uid="{00000000-0005-0000-0000-0000C7790000}"/>
    <cellStyle name="Normal 276 8 2" xfId="31170" xr:uid="{00000000-0005-0000-0000-0000C8790000}"/>
    <cellStyle name="Normal 276 9" xfId="31171" xr:uid="{00000000-0005-0000-0000-0000C9790000}"/>
    <cellStyle name="Normal 276 9 2" xfId="31172" xr:uid="{00000000-0005-0000-0000-0000CA790000}"/>
    <cellStyle name="Normal 277" xfId="31173" xr:uid="{00000000-0005-0000-0000-0000CB790000}"/>
    <cellStyle name="Normal 278" xfId="31174" xr:uid="{00000000-0005-0000-0000-0000CC790000}"/>
    <cellStyle name="Normal 279" xfId="31175" xr:uid="{00000000-0005-0000-0000-0000CD790000}"/>
    <cellStyle name="Normal 28" xfId="31176" xr:uid="{00000000-0005-0000-0000-0000CE790000}"/>
    <cellStyle name="Normal 28 10" xfId="31177" xr:uid="{00000000-0005-0000-0000-0000CF790000}"/>
    <cellStyle name="Normal 28 10 2" xfId="31178" xr:uid="{00000000-0005-0000-0000-0000D0790000}"/>
    <cellStyle name="Normal 28 11" xfId="31179" xr:uid="{00000000-0005-0000-0000-0000D1790000}"/>
    <cellStyle name="Normal 28 11 2" xfId="31180" xr:uid="{00000000-0005-0000-0000-0000D2790000}"/>
    <cellStyle name="Normal 28 12" xfId="31181" xr:uid="{00000000-0005-0000-0000-0000D3790000}"/>
    <cellStyle name="Normal 28 12 2" xfId="31182" xr:uid="{00000000-0005-0000-0000-0000D4790000}"/>
    <cellStyle name="Normal 28 13" xfId="31183" xr:uid="{00000000-0005-0000-0000-0000D5790000}"/>
    <cellStyle name="Normal 28 13 2" xfId="31184" xr:uid="{00000000-0005-0000-0000-0000D6790000}"/>
    <cellStyle name="Normal 28 14" xfId="31185" xr:uid="{00000000-0005-0000-0000-0000D7790000}"/>
    <cellStyle name="Normal 28 14 2" xfId="31186" xr:uid="{00000000-0005-0000-0000-0000D8790000}"/>
    <cellStyle name="Normal 28 15" xfId="31187" xr:uid="{00000000-0005-0000-0000-0000D9790000}"/>
    <cellStyle name="Normal 28 15 2" xfId="31188" xr:uid="{00000000-0005-0000-0000-0000DA790000}"/>
    <cellStyle name="Normal 28 16" xfId="31189" xr:uid="{00000000-0005-0000-0000-0000DB790000}"/>
    <cellStyle name="Normal 28 16 2" xfId="31190" xr:uid="{00000000-0005-0000-0000-0000DC790000}"/>
    <cellStyle name="Normal 28 17" xfId="31191" xr:uid="{00000000-0005-0000-0000-0000DD790000}"/>
    <cellStyle name="Normal 28 17 2" xfId="31192" xr:uid="{00000000-0005-0000-0000-0000DE790000}"/>
    <cellStyle name="Normal 28 18" xfId="31193" xr:uid="{00000000-0005-0000-0000-0000DF790000}"/>
    <cellStyle name="Normal 28 18 2" xfId="31194" xr:uid="{00000000-0005-0000-0000-0000E0790000}"/>
    <cellStyle name="Normal 28 19" xfId="31195" xr:uid="{00000000-0005-0000-0000-0000E1790000}"/>
    <cellStyle name="Normal 28 19 2" xfId="31196" xr:uid="{00000000-0005-0000-0000-0000E2790000}"/>
    <cellStyle name="Normal 28 2" xfId="31197" xr:uid="{00000000-0005-0000-0000-0000E3790000}"/>
    <cellStyle name="Normal 28 2 2" xfId="31198" xr:uid="{00000000-0005-0000-0000-0000E4790000}"/>
    <cellStyle name="Normal 28 20" xfId="31199" xr:uid="{00000000-0005-0000-0000-0000E5790000}"/>
    <cellStyle name="Normal 28 20 2" xfId="31200" xr:uid="{00000000-0005-0000-0000-0000E6790000}"/>
    <cellStyle name="Normal 28 21" xfId="31201" xr:uid="{00000000-0005-0000-0000-0000E7790000}"/>
    <cellStyle name="Normal 28 21 2" xfId="31202" xr:uid="{00000000-0005-0000-0000-0000E8790000}"/>
    <cellStyle name="Normal 28 22" xfId="31203" xr:uid="{00000000-0005-0000-0000-0000E9790000}"/>
    <cellStyle name="Normal 28 22 2" xfId="31204" xr:uid="{00000000-0005-0000-0000-0000EA790000}"/>
    <cellStyle name="Normal 28 23" xfId="31205" xr:uid="{00000000-0005-0000-0000-0000EB790000}"/>
    <cellStyle name="Normal 28 23 2" xfId="31206" xr:uid="{00000000-0005-0000-0000-0000EC790000}"/>
    <cellStyle name="Normal 28 24" xfId="31207" xr:uid="{00000000-0005-0000-0000-0000ED790000}"/>
    <cellStyle name="Normal 28 24 2" xfId="31208" xr:uid="{00000000-0005-0000-0000-0000EE790000}"/>
    <cellStyle name="Normal 28 25" xfId="31209" xr:uid="{00000000-0005-0000-0000-0000EF790000}"/>
    <cellStyle name="Normal 28 25 2" xfId="31210" xr:uid="{00000000-0005-0000-0000-0000F0790000}"/>
    <cellStyle name="Normal 28 26" xfId="31211" xr:uid="{00000000-0005-0000-0000-0000F1790000}"/>
    <cellStyle name="Normal 28 26 2" xfId="31212" xr:uid="{00000000-0005-0000-0000-0000F2790000}"/>
    <cellStyle name="Normal 28 27" xfId="31213" xr:uid="{00000000-0005-0000-0000-0000F3790000}"/>
    <cellStyle name="Normal 28 27 2" xfId="31214" xr:uid="{00000000-0005-0000-0000-0000F4790000}"/>
    <cellStyle name="Normal 28 28" xfId="31215" xr:uid="{00000000-0005-0000-0000-0000F5790000}"/>
    <cellStyle name="Normal 28 28 2" xfId="31216" xr:uid="{00000000-0005-0000-0000-0000F6790000}"/>
    <cellStyle name="Normal 28 29" xfId="31217" xr:uid="{00000000-0005-0000-0000-0000F7790000}"/>
    <cellStyle name="Normal 28 29 2" xfId="31218" xr:uid="{00000000-0005-0000-0000-0000F8790000}"/>
    <cellStyle name="Normal 28 3" xfId="31219" xr:uid="{00000000-0005-0000-0000-0000F9790000}"/>
    <cellStyle name="Normal 28 3 2" xfId="31220" xr:uid="{00000000-0005-0000-0000-0000FA790000}"/>
    <cellStyle name="Normal 28 30" xfId="31221" xr:uid="{00000000-0005-0000-0000-0000FB790000}"/>
    <cellStyle name="Normal 28 30 2" xfId="31222" xr:uid="{00000000-0005-0000-0000-0000FC790000}"/>
    <cellStyle name="Normal 28 31" xfId="31223" xr:uid="{00000000-0005-0000-0000-0000FD790000}"/>
    <cellStyle name="Normal 28 31 2" xfId="31224" xr:uid="{00000000-0005-0000-0000-0000FE790000}"/>
    <cellStyle name="Normal 28 32" xfId="31225" xr:uid="{00000000-0005-0000-0000-0000FF790000}"/>
    <cellStyle name="Normal 28 32 2" xfId="31226" xr:uid="{00000000-0005-0000-0000-0000007A0000}"/>
    <cellStyle name="Normal 28 33" xfId="31227" xr:uid="{00000000-0005-0000-0000-0000017A0000}"/>
    <cellStyle name="Normal 28 33 2" xfId="31228" xr:uid="{00000000-0005-0000-0000-0000027A0000}"/>
    <cellStyle name="Normal 28 34" xfId="31229" xr:uid="{00000000-0005-0000-0000-0000037A0000}"/>
    <cellStyle name="Normal 28 34 2" xfId="31230" xr:uid="{00000000-0005-0000-0000-0000047A0000}"/>
    <cellStyle name="Normal 28 35" xfId="31231" xr:uid="{00000000-0005-0000-0000-0000057A0000}"/>
    <cellStyle name="Normal 28 35 2" xfId="31232" xr:uid="{00000000-0005-0000-0000-0000067A0000}"/>
    <cellStyle name="Normal 28 36" xfId="31233" xr:uid="{00000000-0005-0000-0000-0000077A0000}"/>
    <cellStyle name="Normal 28 36 2" xfId="31234" xr:uid="{00000000-0005-0000-0000-0000087A0000}"/>
    <cellStyle name="Normal 28 37" xfId="31235" xr:uid="{00000000-0005-0000-0000-0000097A0000}"/>
    <cellStyle name="Normal 28 37 2" xfId="31236" xr:uid="{00000000-0005-0000-0000-00000A7A0000}"/>
    <cellStyle name="Normal 28 38" xfId="31237" xr:uid="{00000000-0005-0000-0000-00000B7A0000}"/>
    <cellStyle name="Normal 28 38 2" xfId="31238" xr:uid="{00000000-0005-0000-0000-00000C7A0000}"/>
    <cellStyle name="Normal 28 39" xfId="31239" xr:uid="{00000000-0005-0000-0000-00000D7A0000}"/>
    <cellStyle name="Normal 28 39 2" xfId="31240" xr:uid="{00000000-0005-0000-0000-00000E7A0000}"/>
    <cellStyle name="Normal 28 4" xfId="31241" xr:uid="{00000000-0005-0000-0000-00000F7A0000}"/>
    <cellStyle name="Normal 28 4 2" xfId="31242" xr:uid="{00000000-0005-0000-0000-0000107A0000}"/>
    <cellStyle name="Normal 28 40" xfId="31243" xr:uid="{00000000-0005-0000-0000-0000117A0000}"/>
    <cellStyle name="Normal 28 40 2" xfId="31244" xr:uid="{00000000-0005-0000-0000-0000127A0000}"/>
    <cellStyle name="Normal 28 41" xfId="31245" xr:uid="{00000000-0005-0000-0000-0000137A0000}"/>
    <cellStyle name="Normal 28 41 2" xfId="31246" xr:uid="{00000000-0005-0000-0000-0000147A0000}"/>
    <cellStyle name="Normal 28 42" xfId="31247" xr:uid="{00000000-0005-0000-0000-0000157A0000}"/>
    <cellStyle name="Normal 28 42 2" xfId="31248" xr:uid="{00000000-0005-0000-0000-0000167A0000}"/>
    <cellStyle name="Normal 28 43" xfId="31249" xr:uid="{00000000-0005-0000-0000-0000177A0000}"/>
    <cellStyle name="Normal 28 43 2" xfId="31250" xr:uid="{00000000-0005-0000-0000-0000187A0000}"/>
    <cellStyle name="Normal 28 44" xfId="31251" xr:uid="{00000000-0005-0000-0000-0000197A0000}"/>
    <cellStyle name="Normal 28 44 2" xfId="31252" xr:uid="{00000000-0005-0000-0000-00001A7A0000}"/>
    <cellStyle name="Normal 28 45" xfId="31253" xr:uid="{00000000-0005-0000-0000-00001B7A0000}"/>
    <cellStyle name="Normal 28 45 2" xfId="31254" xr:uid="{00000000-0005-0000-0000-00001C7A0000}"/>
    <cellStyle name="Normal 28 46" xfId="31255" xr:uid="{00000000-0005-0000-0000-00001D7A0000}"/>
    <cellStyle name="Normal 28 46 2" xfId="31256" xr:uid="{00000000-0005-0000-0000-00001E7A0000}"/>
    <cellStyle name="Normal 28 47" xfId="31257" xr:uid="{00000000-0005-0000-0000-00001F7A0000}"/>
    <cellStyle name="Normal 28 47 2" xfId="31258" xr:uid="{00000000-0005-0000-0000-0000207A0000}"/>
    <cellStyle name="Normal 28 48" xfId="31259" xr:uid="{00000000-0005-0000-0000-0000217A0000}"/>
    <cellStyle name="Normal 28 48 2" xfId="31260" xr:uid="{00000000-0005-0000-0000-0000227A0000}"/>
    <cellStyle name="Normal 28 49" xfId="31261" xr:uid="{00000000-0005-0000-0000-0000237A0000}"/>
    <cellStyle name="Normal 28 49 2" xfId="31262" xr:uid="{00000000-0005-0000-0000-0000247A0000}"/>
    <cellStyle name="Normal 28 5" xfId="31263" xr:uid="{00000000-0005-0000-0000-0000257A0000}"/>
    <cellStyle name="Normal 28 5 2" xfId="31264" xr:uid="{00000000-0005-0000-0000-0000267A0000}"/>
    <cellStyle name="Normal 28 50" xfId="31265" xr:uid="{00000000-0005-0000-0000-0000277A0000}"/>
    <cellStyle name="Normal 28 50 2" xfId="31266" xr:uid="{00000000-0005-0000-0000-0000287A0000}"/>
    <cellStyle name="Normal 28 51" xfId="31267" xr:uid="{00000000-0005-0000-0000-0000297A0000}"/>
    <cellStyle name="Normal 28 51 2" xfId="31268" xr:uid="{00000000-0005-0000-0000-00002A7A0000}"/>
    <cellStyle name="Normal 28 52" xfId="31269" xr:uid="{00000000-0005-0000-0000-00002B7A0000}"/>
    <cellStyle name="Normal 28 52 2" xfId="31270" xr:uid="{00000000-0005-0000-0000-00002C7A0000}"/>
    <cellStyle name="Normal 28 53" xfId="31271" xr:uid="{00000000-0005-0000-0000-00002D7A0000}"/>
    <cellStyle name="Normal 28 53 2" xfId="31272" xr:uid="{00000000-0005-0000-0000-00002E7A0000}"/>
    <cellStyle name="Normal 28 54" xfId="31273" xr:uid="{00000000-0005-0000-0000-00002F7A0000}"/>
    <cellStyle name="Normal 28 54 2" xfId="31274" xr:uid="{00000000-0005-0000-0000-0000307A0000}"/>
    <cellStyle name="Normal 28 55" xfId="31275" xr:uid="{00000000-0005-0000-0000-0000317A0000}"/>
    <cellStyle name="Normal 28 55 2" xfId="31276" xr:uid="{00000000-0005-0000-0000-0000327A0000}"/>
    <cellStyle name="Normal 28 56" xfId="31277" xr:uid="{00000000-0005-0000-0000-0000337A0000}"/>
    <cellStyle name="Normal 28 56 2" xfId="31278" xr:uid="{00000000-0005-0000-0000-0000347A0000}"/>
    <cellStyle name="Normal 28 57" xfId="31279" xr:uid="{00000000-0005-0000-0000-0000357A0000}"/>
    <cellStyle name="Normal 28 57 2" xfId="31280" xr:uid="{00000000-0005-0000-0000-0000367A0000}"/>
    <cellStyle name="Normal 28 58" xfId="31281" xr:uid="{00000000-0005-0000-0000-0000377A0000}"/>
    <cellStyle name="Normal 28 58 2" xfId="31282" xr:uid="{00000000-0005-0000-0000-0000387A0000}"/>
    <cellStyle name="Normal 28 59" xfId="31283" xr:uid="{00000000-0005-0000-0000-0000397A0000}"/>
    <cellStyle name="Normal 28 6" xfId="31284" xr:uid="{00000000-0005-0000-0000-00003A7A0000}"/>
    <cellStyle name="Normal 28 6 2" xfId="31285" xr:uid="{00000000-0005-0000-0000-00003B7A0000}"/>
    <cellStyle name="Normal 28 7" xfId="31286" xr:uid="{00000000-0005-0000-0000-00003C7A0000}"/>
    <cellStyle name="Normal 28 7 2" xfId="31287" xr:uid="{00000000-0005-0000-0000-00003D7A0000}"/>
    <cellStyle name="Normal 28 8" xfId="31288" xr:uid="{00000000-0005-0000-0000-00003E7A0000}"/>
    <cellStyle name="Normal 28 8 2" xfId="31289" xr:uid="{00000000-0005-0000-0000-00003F7A0000}"/>
    <cellStyle name="Normal 28 9" xfId="31290" xr:uid="{00000000-0005-0000-0000-0000407A0000}"/>
    <cellStyle name="Normal 28 9 2" xfId="31291" xr:uid="{00000000-0005-0000-0000-0000417A0000}"/>
    <cellStyle name="Normal 280" xfId="31292" xr:uid="{00000000-0005-0000-0000-0000427A0000}"/>
    <cellStyle name="Normal 281" xfId="31293" xr:uid="{00000000-0005-0000-0000-0000437A0000}"/>
    <cellStyle name="Normal 281 10" xfId="31294" xr:uid="{00000000-0005-0000-0000-0000447A0000}"/>
    <cellStyle name="Normal 281 10 2" xfId="31295" xr:uid="{00000000-0005-0000-0000-0000457A0000}"/>
    <cellStyle name="Normal 281 11" xfId="31296" xr:uid="{00000000-0005-0000-0000-0000467A0000}"/>
    <cellStyle name="Normal 281 11 2" xfId="31297" xr:uid="{00000000-0005-0000-0000-0000477A0000}"/>
    <cellStyle name="Normal 281 12" xfId="31298" xr:uid="{00000000-0005-0000-0000-0000487A0000}"/>
    <cellStyle name="Normal 281 12 2" xfId="31299" xr:uid="{00000000-0005-0000-0000-0000497A0000}"/>
    <cellStyle name="Normal 281 13" xfId="31300" xr:uid="{00000000-0005-0000-0000-00004A7A0000}"/>
    <cellStyle name="Normal 281 13 2" xfId="31301" xr:uid="{00000000-0005-0000-0000-00004B7A0000}"/>
    <cellStyle name="Normal 281 14" xfId="31302" xr:uid="{00000000-0005-0000-0000-00004C7A0000}"/>
    <cellStyle name="Normal 281 14 2" xfId="31303" xr:uid="{00000000-0005-0000-0000-00004D7A0000}"/>
    <cellStyle name="Normal 281 15" xfId="31304" xr:uid="{00000000-0005-0000-0000-00004E7A0000}"/>
    <cellStyle name="Normal 281 15 2" xfId="31305" xr:uid="{00000000-0005-0000-0000-00004F7A0000}"/>
    <cellStyle name="Normal 281 16" xfId="31306" xr:uid="{00000000-0005-0000-0000-0000507A0000}"/>
    <cellStyle name="Normal 281 16 2" xfId="31307" xr:uid="{00000000-0005-0000-0000-0000517A0000}"/>
    <cellStyle name="Normal 281 17" xfId="31308" xr:uid="{00000000-0005-0000-0000-0000527A0000}"/>
    <cellStyle name="Normal 281 17 2" xfId="31309" xr:uid="{00000000-0005-0000-0000-0000537A0000}"/>
    <cellStyle name="Normal 281 18" xfId="31310" xr:uid="{00000000-0005-0000-0000-0000547A0000}"/>
    <cellStyle name="Normal 281 18 2" xfId="31311" xr:uid="{00000000-0005-0000-0000-0000557A0000}"/>
    <cellStyle name="Normal 281 19" xfId="31312" xr:uid="{00000000-0005-0000-0000-0000567A0000}"/>
    <cellStyle name="Normal 281 19 2" xfId="31313" xr:uid="{00000000-0005-0000-0000-0000577A0000}"/>
    <cellStyle name="Normal 281 2" xfId="31314" xr:uid="{00000000-0005-0000-0000-0000587A0000}"/>
    <cellStyle name="Normal 281 2 2" xfId="31315" xr:uid="{00000000-0005-0000-0000-0000597A0000}"/>
    <cellStyle name="Normal 281 20" xfId="31316" xr:uid="{00000000-0005-0000-0000-00005A7A0000}"/>
    <cellStyle name="Normal 281 20 2" xfId="31317" xr:uid="{00000000-0005-0000-0000-00005B7A0000}"/>
    <cellStyle name="Normal 281 21" xfId="31318" xr:uid="{00000000-0005-0000-0000-00005C7A0000}"/>
    <cellStyle name="Normal 281 21 2" xfId="31319" xr:uid="{00000000-0005-0000-0000-00005D7A0000}"/>
    <cellStyle name="Normal 281 22" xfId="31320" xr:uid="{00000000-0005-0000-0000-00005E7A0000}"/>
    <cellStyle name="Normal 281 22 2" xfId="31321" xr:uid="{00000000-0005-0000-0000-00005F7A0000}"/>
    <cellStyle name="Normal 281 23" xfId="31322" xr:uid="{00000000-0005-0000-0000-0000607A0000}"/>
    <cellStyle name="Normal 281 23 2" xfId="31323" xr:uid="{00000000-0005-0000-0000-0000617A0000}"/>
    <cellStyle name="Normal 281 24" xfId="31324" xr:uid="{00000000-0005-0000-0000-0000627A0000}"/>
    <cellStyle name="Normal 281 24 2" xfId="31325" xr:uid="{00000000-0005-0000-0000-0000637A0000}"/>
    <cellStyle name="Normal 281 25" xfId="31326" xr:uid="{00000000-0005-0000-0000-0000647A0000}"/>
    <cellStyle name="Normal 281 25 2" xfId="31327" xr:uid="{00000000-0005-0000-0000-0000657A0000}"/>
    <cellStyle name="Normal 281 26" xfId="31328" xr:uid="{00000000-0005-0000-0000-0000667A0000}"/>
    <cellStyle name="Normal 281 26 2" xfId="31329" xr:uid="{00000000-0005-0000-0000-0000677A0000}"/>
    <cellStyle name="Normal 281 27" xfId="31330" xr:uid="{00000000-0005-0000-0000-0000687A0000}"/>
    <cellStyle name="Normal 281 27 2" xfId="31331" xr:uid="{00000000-0005-0000-0000-0000697A0000}"/>
    <cellStyle name="Normal 281 28" xfId="31332" xr:uid="{00000000-0005-0000-0000-00006A7A0000}"/>
    <cellStyle name="Normal 281 28 2" xfId="31333" xr:uid="{00000000-0005-0000-0000-00006B7A0000}"/>
    <cellStyle name="Normal 281 29" xfId="31334" xr:uid="{00000000-0005-0000-0000-00006C7A0000}"/>
    <cellStyle name="Normal 281 29 2" xfId="31335" xr:uid="{00000000-0005-0000-0000-00006D7A0000}"/>
    <cellStyle name="Normal 281 3" xfId="31336" xr:uid="{00000000-0005-0000-0000-00006E7A0000}"/>
    <cellStyle name="Normal 281 3 2" xfId="31337" xr:uid="{00000000-0005-0000-0000-00006F7A0000}"/>
    <cellStyle name="Normal 281 30" xfId="31338" xr:uid="{00000000-0005-0000-0000-0000707A0000}"/>
    <cellStyle name="Normal 281 30 2" xfId="31339" xr:uid="{00000000-0005-0000-0000-0000717A0000}"/>
    <cellStyle name="Normal 281 31" xfId="31340" xr:uid="{00000000-0005-0000-0000-0000727A0000}"/>
    <cellStyle name="Normal 281 31 2" xfId="31341" xr:uid="{00000000-0005-0000-0000-0000737A0000}"/>
    <cellStyle name="Normal 281 32" xfId="31342" xr:uid="{00000000-0005-0000-0000-0000747A0000}"/>
    <cellStyle name="Normal 281 32 2" xfId="31343" xr:uid="{00000000-0005-0000-0000-0000757A0000}"/>
    <cellStyle name="Normal 281 33" xfId="31344" xr:uid="{00000000-0005-0000-0000-0000767A0000}"/>
    <cellStyle name="Normal 281 33 2" xfId="31345" xr:uid="{00000000-0005-0000-0000-0000777A0000}"/>
    <cellStyle name="Normal 281 34" xfId="31346" xr:uid="{00000000-0005-0000-0000-0000787A0000}"/>
    <cellStyle name="Normal 281 34 2" xfId="31347" xr:uid="{00000000-0005-0000-0000-0000797A0000}"/>
    <cellStyle name="Normal 281 35" xfId="31348" xr:uid="{00000000-0005-0000-0000-00007A7A0000}"/>
    <cellStyle name="Normal 281 35 2" xfId="31349" xr:uid="{00000000-0005-0000-0000-00007B7A0000}"/>
    <cellStyle name="Normal 281 36" xfId="31350" xr:uid="{00000000-0005-0000-0000-00007C7A0000}"/>
    <cellStyle name="Normal 281 36 2" xfId="31351" xr:uid="{00000000-0005-0000-0000-00007D7A0000}"/>
    <cellStyle name="Normal 281 37" xfId="31352" xr:uid="{00000000-0005-0000-0000-00007E7A0000}"/>
    <cellStyle name="Normal 281 37 2" xfId="31353" xr:uid="{00000000-0005-0000-0000-00007F7A0000}"/>
    <cellStyle name="Normal 281 38" xfId="31354" xr:uid="{00000000-0005-0000-0000-0000807A0000}"/>
    <cellStyle name="Normal 281 38 2" xfId="31355" xr:uid="{00000000-0005-0000-0000-0000817A0000}"/>
    <cellStyle name="Normal 281 39" xfId="31356" xr:uid="{00000000-0005-0000-0000-0000827A0000}"/>
    <cellStyle name="Normal 281 39 2" xfId="31357" xr:uid="{00000000-0005-0000-0000-0000837A0000}"/>
    <cellStyle name="Normal 281 4" xfId="31358" xr:uid="{00000000-0005-0000-0000-0000847A0000}"/>
    <cellStyle name="Normal 281 4 2" xfId="31359" xr:uid="{00000000-0005-0000-0000-0000857A0000}"/>
    <cellStyle name="Normal 281 40" xfId="31360" xr:uid="{00000000-0005-0000-0000-0000867A0000}"/>
    <cellStyle name="Normal 281 40 2" xfId="31361" xr:uid="{00000000-0005-0000-0000-0000877A0000}"/>
    <cellStyle name="Normal 281 41" xfId="31362" xr:uid="{00000000-0005-0000-0000-0000887A0000}"/>
    <cellStyle name="Normal 281 41 2" xfId="31363" xr:uid="{00000000-0005-0000-0000-0000897A0000}"/>
    <cellStyle name="Normal 281 42" xfId="31364" xr:uid="{00000000-0005-0000-0000-00008A7A0000}"/>
    <cellStyle name="Normal 281 42 2" xfId="31365" xr:uid="{00000000-0005-0000-0000-00008B7A0000}"/>
    <cellStyle name="Normal 281 43" xfId="31366" xr:uid="{00000000-0005-0000-0000-00008C7A0000}"/>
    <cellStyle name="Normal 281 43 2" xfId="31367" xr:uid="{00000000-0005-0000-0000-00008D7A0000}"/>
    <cellStyle name="Normal 281 44" xfId="31368" xr:uid="{00000000-0005-0000-0000-00008E7A0000}"/>
    <cellStyle name="Normal 281 44 2" xfId="31369" xr:uid="{00000000-0005-0000-0000-00008F7A0000}"/>
    <cellStyle name="Normal 281 45" xfId="31370" xr:uid="{00000000-0005-0000-0000-0000907A0000}"/>
    <cellStyle name="Normal 281 45 2" xfId="31371" xr:uid="{00000000-0005-0000-0000-0000917A0000}"/>
    <cellStyle name="Normal 281 46" xfId="31372" xr:uid="{00000000-0005-0000-0000-0000927A0000}"/>
    <cellStyle name="Normal 281 46 2" xfId="31373" xr:uid="{00000000-0005-0000-0000-0000937A0000}"/>
    <cellStyle name="Normal 281 47" xfId="31374" xr:uid="{00000000-0005-0000-0000-0000947A0000}"/>
    <cellStyle name="Normal 281 47 2" xfId="31375" xr:uid="{00000000-0005-0000-0000-0000957A0000}"/>
    <cellStyle name="Normal 281 48" xfId="31376" xr:uid="{00000000-0005-0000-0000-0000967A0000}"/>
    <cellStyle name="Normal 281 48 2" xfId="31377" xr:uid="{00000000-0005-0000-0000-0000977A0000}"/>
    <cellStyle name="Normal 281 49" xfId="31378" xr:uid="{00000000-0005-0000-0000-0000987A0000}"/>
    <cellStyle name="Normal 281 49 2" xfId="31379" xr:uid="{00000000-0005-0000-0000-0000997A0000}"/>
    <cellStyle name="Normal 281 5" xfId="31380" xr:uid="{00000000-0005-0000-0000-00009A7A0000}"/>
    <cellStyle name="Normal 281 5 2" xfId="31381" xr:uid="{00000000-0005-0000-0000-00009B7A0000}"/>
    <cellStyle name="Normal 281 50" xfId="31382" xr:uid="{00000000-0005-0000-0000-00009C7A0000}"/>
    <cellStyle name="Normal 281 50 2" xfId="31383" xr:uid="{00000000-0005-0000-0000-00009D7A0000}"/>
    <cellStyle name="Normal 281 51" xfId="31384" xr:uid="{00000000-0005-0000-0000-00009E7A0000}"/>
    <cellStyle name="Normal 281 51 2" xfId="31385" xr:uid="{00000000-0005-0000-0000-00009F7A0000}"/>
    <cellStyle name="Normal 281 52" xfId="31386" xr:uid="{00000000-0005-0000-0000-0000A07A0000}"/>
    <cellStyle name="Normal 281 52 2" xfId="31387" xr:uid="{00000000-0005-0000-0000-0000A17A0000}"/>
    <cellStyle name="Normal 281 53" xfId="31388" xr:uid="{00000000-0005-0000-0000-0000A27A0000}"/>
    <cellStyle name="Normal 281 53 2" xfId="31389" xr:uid="{00000000-0005-0000-0000-0000A37A0000}"/>
    <cellStyle name="Normal 281 54" xfId="31390" xr:uid="{00000000-0005-0000-0000-0000A47A0000}"/>
    <cellStyle name="Normal 281 54 2" xfId="31391" xr:uid="{00000000-0005-0000-0000-0000A57A0000}"/>
    <cellStyle name="Normal 281 55" xfId="31392" xr:uid="{00000000-0005-0000-0000-0000A67A0000}"/>
    <cellStyle name="Normal 281 55 2" xfId="31393" xr:uid="{00000000-0005-0000-0000-0000A77A0000}"/>
    <cellStyle name="Normal 281 56" xfId="31394" xr:uid="{00000000-0005-0000-0000-0000A87A0000}"/>
    <cellStyle name="Normal 281 56 2" xfId="31395" xr:uid="{00000000-0005-0000-0000-0000A97A0000}"/>
    <cellStyle name="Normal 281 57" xfId="31396" xr:uid="{00000000-0005-0000-0000-0000AA7A0000}"/>
    <cellStyle name="Normal 281 57 2" xfId="31397" xr:uid="{00000000-0005-0000-0000-0000AB7A0000}"/>
    <cellStyle name="Normal 281 58" xfId="31398" xr:uid="{00000000-0005-0000-0000-0000AC7A0000}"/>
    <cellStyle name="Normal 281 58 2" xfId="31399" xr:uid="{00000000-0005-0000-0000-0000AD7A0000}"/>
    <cellStyle name="Normal 281 59" xfId="31400" xr:uid="{00000000-0005-0000-0000-0000AE7A0000}"/>
    <cellStyle name="Normal 281 59 2" xfId="31401" xr:uid="{00000000-0005-0000-0000-0000AF7A0000}"/>
    <cellStyle name="Normal 281 6" xfId="31402" xr:uid="{00000000-0005-0000-0000-0000B07A0000}"/>
    <cellStyle name="Normal 281 6 2" xfId="31403" xr:uid="{00000000-0005-0000-0000-0000B17A0000}"/>
    <cellStyle name="Normal 281 60" xfId="31404" xr:uid="{00000000-0005-0000-0000-0000B27A0000}"/>
    <cellStyle name="Normal 281 60 2" xfId="31405" xr:uid="{00000000-0005-0000-0000-0000B37A0000}"/>
    <cellStyle name="Normal 281 61" xfId="31406" xr:uid="{00000000-0005-0000-0000-0000B47A0000}"/>
    <cellStyle name="Normal 281 61 2" xfId="31407" xr:uid="{00000000-0005-0000-0000-0000B57A0000}"/>
    <cellStyle name="Normal 281 61 3" xfId="31408" xr:uid="{00000000-0005-0000-0000-0000B67A0000}"/>
    <cellStyle name="Normal 281 62" xfId="31409" xr:uid="{00000000-0005-0000-0000-0000B77A0000}"/>
    <cellStyle name="Normal 281 7" xfId="31410" xr:uid="{00000000-0005-0000-0000-0000B87A0000}"/>
    <cellStyle name="Normal 281 7 2" xfId="31411" xr:uid="{00000000-0005-0000-0000-0000B97A0000}"/>
    <cellStyle name="Normal 281 8" xfId="31412" xr:uid="{00000000-0005-0000-0000-0000BA7A0000}"/>
    <cellStyle name="Normal 281 8 2" xfId="31413" xr:uid="{00000000-0005-0000-0000-0000BB7A0000}"/>
    <cellStyle name="Normal 281 9" xfId="31414" xr:uid="{00000000-0005-0000-0000-0000BC7A0000}"/>
    <cellStyle name="Normal 281 9 2" xfId="31415" xr:uid="{00000000-0005-0000-0000-0000BD7A0000}"/>
    <cellStyle name="Normal 282" xfId="31416" xr:uid="{00000000-0005-0000-0000-0000BE7A0000}"/>
    <cellStyle name="Normal 282 10" xfId="31417" xr:uid="{00000000-0005-0000-0000-0000BF7A0000}"/>
    <cellStyle name="Normal 282 10 2" xfId="31418" xr:uid="{00000000-0005-0000-0000-0000C07A0000}"/>
    <cellStyle name="Normal 282 11" xfId="31419" xr:uid="{00000000-0005-0000-0000-0000C17A0000}"/>
    <cellStyle name="Normal 282 11 2" xfId="31420" xr:uid="{00000000-0005-0000-0000-0000C27A0000}"/>
    <cellStyle name="Normal 282 12" xfId="31421" xr:uid="{00000000-0005-0000-0000-0000C37A0000}"/>
    <cellStyle name="Normal 282 12 2" xfId="31422" xr:uid="{00000000-0005-0000-0000-0000C47A0000}"/>
    <cellStyle name="Normal 282 13" xfId="31423" xr:uid="{00000000-0005-0000-0000-0000C57A0000}"/>
    <cellStyle name="Normal 282 13 2" xfId="31424" xr:uid="{00000000-0005-0000-0000-0000C67A0000}"/>
    <cellStyle name="Normal 282 14" xfId="31425" xr:uid="{00000000-0005-0000-0000-0000C77A0000}"/>
    <cellStyle name="Normal 282 14 2" xfId="31426" xr:uid="{00000000-0005-0000-0000-0000C87A0000}"/>
    <cellStyle name="Normal 282 15" xfId="31427" xr:uid="{00000000-0005-0000-0000-0000C97A0000}"/>
    <cellStyle name="Normal 282 15 2" xfId="31428" xr:uid="{00000000-0005-0000-0000-0000CA7A0000}"/>
    <cellStyle name="Normal 282 16" xfId="31429" xr:uid="{00000000-0005-0000-0000-0000CB7A0000}"/>
    <cellStyle name="Normal 282 16 2" xfId="31430" xr:uid="{00000000-0005-0000-0000-0000CC7A0000}"/>
    <cellStyle name="Normal 282 17" xfId="31431" xr:uid="{00000000-0005-0000-0000-0000CD7A0000}"/>
    <cellStyle name="Normal 282 17 2" xfId="31432" xr:uid="{00000000-0005-0000-0000-0000CE7A0000}"/>
    <cellStyle name="Normal 282 18" xfId="31433" xr:uid="{00000000-0005-0000-0000-0000CF7A0000}"/>
    <cellStyle name="Normal 282 18 2" xfId="31434" xr:uid="{00000000-0005-0000-0000-0000D07A0000}"/>
    <cellStyle name="Normal 282 19" xfId="31435" xr:uid="{00000000-0005-0000-0000-0000D17A0000}"/>
    <cellStyle name="Normal 282 19 2" xfId="31436" xr:uid="{00000000-0005-0000-0000-0000D27A0000}"/>
    <cellStyle name="Normal 282 2" xfId="31437" xr:uid="{00000000-0005-0000-0000-0000D37A0000}"/>
    <cellStyle name="Normal 282 2 2" xfId="31438" xr:uid="{00000000-0005-0000-0000-0000D47A0000}"/>
    <cellStyle name="Normal 282 20" xfId="31439" xr:uid="{00000000-0005-0000-0000-0000D57A0000}"/>
    <cellStyle name="Normal 282 20 2" xfId="31440" xr:uid="{00000000-0005-0000-0000-0000D67A0000}"/>
    <cellStyle name="Normal 282 21" xfId="31441" xr:uid="{00000000-0005-0000-0000-0000D77A0000}"/>
    <cellStyle name="Normal 282 21 2" xfId="31442" xr:uid="{00000000-0005-0000-0000-0000D87A0000}"/>
    <cellStyle name="Normal 282 22" xfId="31443" xr:uid="{00000000-0005-0000-0000-0000D97A0000}"/>
    <cellStyle name="Normal 282 22 2" xfId="31444" xr:uid="{00000000-0005-0000-0000-0000DA7A0000}"/>
    <cellStyle name="Normal 282 23" xfId="31445" xr:uid="{00000000-0005-0000-0000-0000DB7A0000}"/>
    <cellStyle name="Normal 282 23 2" xfId="31446" xr:uid="{00000000-0005-0000-0000-0000DC7A0000}"/>
    <cellStyle name="Normal 282 24" xfId="31447" xr:uid="{00000000-0005-0000-0000-0000DD7A0000}"/>
    <cellStyle name="Normal 282 24 2" xfId="31448" xr:uid="{00000000-0005-0000-0000-0000DE7A0000}"/>
    <cellStyle name="Normal 282 25" xfId="31449" xr:uid="{00000000-0005-0000-0000-0000DF7A0000}"/>
    <cellStyle name="Normal 282 25 2" xfId="31450" xr:uid="{00000000-0005-0000-0000-0000E07A0000}"/>
    <cellStyle name="Normal 282 26" xfId="31451" xr:uid="{00000000-0005-0000-0000-0000E17A0000}"/>
    <cellStyle name="Normal 282 26 2" xfId="31452" xr:uid="{00000000-0005-0000-0000-0000E27A0000}"/>
    <cellStyle name="Normal 282 27" xfId="31453" xr:uid="{00000000-0005-0000-0000-0000E37A0000}"/>
    <cellStyle name="Normal 282 27 2" xfId="31454" xr:uid="{00000000-0005-0000-0000-0000E47A0000}"/>
    <cellStyle name="Normal 282 28" xfId="31455" xr:uid="{00000000-0005-0000-0000-0000E57A0000}"/>
    <cellStyle name="Normal 282 28 2" xfId="31456" xr:uid="{00000000-0005-0000-0000-0000E67A0000}"/>
    <cellStyle name="Normal 282 29" xfId="31457" xr:uid="{00000000-0005-0000-0000-0000E77A0000}"/>
    <cellStyle name="Normal 282 29 2" xfId="31458" xr:uid="{00000000-0005-0000-0000-0000E87A0000}"/>
    <cellStyle name="Normal 282 3" xfId="31459" xr:uid="{00000000-0005-0000-0000-0000E97A0000}"/>
    <cellStyle name="Normal 282 3 2" xfId="31460" xr:uid="{00000000-0005-0000-0000-0000EA7A0000}"/>
    <cellStyle name="Normal 282 30" xfId="31461" xr:uid="{00000000-0005-0000-0000-0000EB7A0000}"/>
    <cellStyle name="Normal 282 30 2" xfId="31462" xr:uid="{00000000-0005-0000-0000-0000EC7A0000}"/>
    <cellStyle name="Normal 282 31" xfId="31463" xr:uid="{00000000-0005-0000-0000-0000ED7A0000}"/>
    <cellStyle name="Normal 282 31 2" xfId="31464" xr:uid="{00000000-0005-0000-0000-0000EE7A0000}"/>
    <cellStyle name="Normal 282 32" xfId="31465" xr:uid="{00000000-0005-0000-0000-0000EF7A0000}"/>
    <cellStyle name="Normal 282 32 2" xfId="31466" xr:uid="{00000000-0005-0000-0000-0000F07A0000}"/>
    <cellStyle name="Normal 282 33" xfId="31467" xr:uid="{00000000-0005-0000-0000-0000F17A0000}"/>
    <cellStyle name="Normal 282 33 2" xfId="31468" xr:uid="{00000000-0005-0000-0000-0000F27A0000}"/>
    <cellStyle name="Normal 282 34" xfId="31469" xr:uid="{00000000-0005-0000-0000-0000F37A0000}"/>
    <cellStyle name="Normal 282 34 2" xfId="31470" xr:uid="{00000000-0005-0000-0000-0000F47A0000}"/>
    <cellStyle name="Normal 282 35" xfId="31471" xr:uid="{00000000-0005-0000-0000-0000F57A0000}"/>
    <cellStyle name="Normal 282 35 2" xfId="31472" xr:uid="{00000000-0005-0000-0000-0000F67A0000}"/>
    <cellStyle name="Normal 282 36" xfId="31473" xr:uid="{00000000-0005-0000-0000-0000F77A0000}"/>
    <cellStyle name="Normal 282 36 2" xfId="31474" xr:uid="{00000000-0005-0000-0000-0000F87A0000}"/>
    <cellStyle name="Normal 282 37" xfId="31475" xr:uid="{00000000-0005-0000-0000-0000F97A0000}"/>
    <cellStyle name="Normal 282 37 2" xfId="31476" xr:uid="{00000000-0005-0000-0000-0000FA7A0000}"/>
    <cellStyle name="Normal 282 38" xfId="31477" xr:uid="{00000000-0005-0000-0000-0000FB7A0000}"/>
    <cellStyle name="Normal 282 38 2" xfId="31478" xr:uid="{00000000-0005-0000-0000-0000FC7A0000}"/>
    <cellStyle name="Normal 282 39" xfId="31479" xr:uid="{00000000-0005-0000-0000-0000FD7A0000}"/>
    <cellStyle name="Normal 282 39 2" xfId="31480" xr:uid="{00000000-0005-0000-0000-0000FE7A0000}"/>
    <cellStyle name="Normal 282 4" xfId="31481" xr:uid="{00000000-0005-0000-0000-0000FF7A0000}"/>
    <cellStyle name="Normal 282 4 2" xfId="31482" xr:uid="{00000000-0005-0000-0000-0000007B0000}"/>
    <cellStyle name="Normal 282 40" xfId="31483" xr:uid="{00000000-0005-0000-0000-0000017B0000}"/>
    <cellStyle name="Normal 282 40 2" xfId="31484" xr:uid="{00000000-0005-0000-0000-0000027B0000}"/>
    <cellStyle name="Normal 282 41" xfId="31485" xr:uid="{00000000-0005-0000-0000-0000037B0000}"/>
    <cellStyle name="Normal 282 41 2" xfId="31486" xr:uid="{00000000-0005-0000-0000-0000047B0000}"/>
    <cellStyle name="Normal 282 42" xfId="31487" xr:uid="{00000000-0005-0000-0000-0000057B0000}"/>
    <cellStyle name="Normal 282 42 2" xfId="31488" xr:uid="{00000000-0005-0000-0000-0000067B0000}"/>
    <cellStyle name="Normal 282 43" xfId="31489" xr:uid="{00000000-0005-0000-0000-0000077B0000}"/>
    <cellStyle name="Normal 282 43 2" xfId="31490" xr:uid="{00000000-0005-0000-0000-0000087B0000}"/>
    <cellStyle name="Normal 282 44" xfId="31491" xr:uid="{00000000-0005-0000-0000-0000097B0000}"/>
    <cellStyle name="Normal 282 44 2" xfId="31492" xr:uid="{00000000-0005-0000-0000-00000A7B0000}"/>
    <cellStyle name="Normal 282 45" xfId="31493" xr:uid="{00000000-0005-0000-0000-00000B7B0000}"/>
    <cellStyle name="Normal 282 45 2" xfId="31494" xr:uid="{00000000-0005-0000-0000-00000C7B0000}"/>
    <cellStyle name="Normal 282 46" xfId="31495" xr:uid="{00000000-0005-0000-0000-00000D7B0000}"/>
    <cellStyle name="Normal 282 46 2" xfId="31496" xr:uid="{00000000-0005-0000-0000-00000E7B0000}"/>
    <cellStyle name="Normal 282 47" xfId="31497" xr:uid="{00000000-0005-0000-0000-00000F7B0000}"/>
    <cellStyle name="Normal 282 47 2" xfId="31498" xr:uid="{00000000-0005-0000-0000-0000107B0000}"/>
    <cellStyle name="Normal 282 48" xfId="31499" xr:uid="{00000000-0005-0000-0000-0000117B0000}"/>
    <cellStyle name="Normal 282 48 2" xfId="31500" xr:uid="{00000000-0005-0000-0000-0000127B0000}"/>
    <cellStyle name="Normal 282 49" xfId="31501" xr:uid="{00000000-0005-0000-0000-0000137B0000}"/>
    <cellStyle name="Normal 282 49 2" xfId="31502" xr:uid="{00000000-0005-0000-0000-0000147B0000}"/>
    <cellStyle name="Normal 282 5" xfId="31503" xr:uid="{00000000-0005-0000-0000-0000157B0000}"/>
    <cellStyle name="Normal 282 5 2" xfId="31504" xr:uid="{00000000-0005-0000-0000-0000167B0000}"/>
    <cellStyle name="Normal 282 50" xfId="31505" xr:uid="{00000000-0005-0000-0000-0000177B0000}"/>
    <cellStyle name="Normal 282 50 2" xfId="31506" xr:uid="{00000000-0005-0000-0000-0000187B0000}"/>
    <cellStyle name="Normal 282 51" xfId="31507" xr:uid="{00000000-0005-0000-0000-0000197B0000}"/>
    <cellStyle name="Normal 282 51 2" xfId="31508" xr:uid="{00000000-0005-0000-0000-00001A7B0000}"/>
    <cellStyle name="Normal 282 52" xfId="31509" xr:uid="{00000000-0005-0000-0000-00001B7B0000}"/>
    <cellStyle name="Normal 282 52 2" xfId="31510" xr:uid="{00000000-0005-0000-0000-00001C7B0000}"/>
    <cellStyle name="Normal 282 53" xfId="31511" xr:uid="{00000000-0005-0000-0000-00001D7B0000}"/>
    <cellStyle name="Normal 282 53 2" xfId="31512" xr:uid="{00000000-0005-0000-0000-00001E7B0000}"/>
    <cellStyle name="Normal 282 54" xfId="31513" xr:uid="{00000000-0005-0000-0000-00001F7B0000}"/>
    <cellStyle name="Normal 282 54 2" xfId="31514" xr:uid="{00000000-0005-0000-0000-0000207B0000}"/>
    <cellStyle name="Normal 282 55" xfId="31515" xr:uid="{00000000-0005-0000-0000-0000217B0000}"/>
    <cellStyle name="Normal 282 55 2" xfId="31516" xr:uid="{00000000-0005-0000-0000-0000227B0000}"/>
    <cellStyle name="Normal 282 56" xfId="31517" xr:uid="{00000000-0005-0000-0000-0000237B0000}"/>
    <cellStyle name="Normal 282 56 2" xfId="31518" xr:uid="{00000000-0005-0000-0000-0000247B0000}"/>
    <cellStyle name="Normal 282 57" xfId="31519" xr:uid="{00000000-0005-0000-0000-0000257B0000}"/>
    <cellStyle name="Normal 282 57 2" xfId="31520" xr:uid="{00000000-0005-0000-0000-0000267B0000}"/>
    <cellStyle name="Normal 282 58" xfId="31521" xr:uid="{00000000-0005-0000-0000-0000277B0000}"/>
    <cellStyle name="Normal 282 58 2" xfId="31522" xr:uid="{00000000-0005-0000-0000-0000287B0000}"/>
    <cellStyle name="Normal 282 59" xfId="31523" xr:uid="{00000000-0005-0000-0000-0000297B0000}"/>
    <cellStyle name="Normal 282 59 2" xfId="31524" xr:uid="{00000000-0005-0000-0000-00002A7B0000}"/>
    <cellStyle name="Normal 282 6" xfId="31525" xr:uid="{00000000-0005-0000-0000-00002B7B0000}"/>
    <cellStyle name="Normal 282 6 2" xfId="31526" xr:uid="{00000000-0005-0000-0000-00002C7B0000}"/>
    <cellStyle name="Normal 282 60" xfId="31527" xr:uid="{00000000-0005-0000-0000-00002D7B0000}"/>
    <cellStyle name="Normal 282 60 2" xfId="31528" xr:uid="{00000000-0005-0000-0000-00002E7B0000}"/>
    <cellStyle name="Normal 282 61" xfId="31529" xr:uid="{00000000-0005-0000-0000-00002F7B0000}"/>
    <cellStyle name="Normal 282 61 2" xfId="31530" xr:uid="{00000000-0005-0000-0000-0000307B0000}"/>
    <cellStyle name="Normal 282 61 3" xfId="31531" xr:uid="{00000000-0005-0000-0000-0000317B0000}"/>
    <cellStyle name="Normal 282 62" xfId="31532" xr:uid="{00000000-0005-0000-0000-0000327B0000}"/>
    <cellStyle name="Normal 282 7" xfId="31533" xr:uid="{00000000-0005-0000-0000-0000337B0000}"/>
    <cellStyle name="Normal 282 7 2" xfId="31534" xr:uid="{00000000-0005-0000-0000-0000347B0000}"/>
    <cellStyle name="Normal 282 8" xfId="31535" xr:uid="{00000000-0005-0000-0000-0000357B0000}"/>
    <cellStyle name="Normal 282 8 2" xfId="31536" xr:uid="{00000000-0005-0000-0000-0000367B0000}"/>
    <cellStyle name="Normal 282 9" xfId="31537" xr:uid="{00000000-0005-0000-0000-0000377B0000}"/>
    <cellStyle name="Normal 282 9 2" xfId="31538" xr:uid="{00000000-0005-0000-0000-0000387B0000}"/>
    <cellStyle name="Normal 283" xfId="31539" xr:uid="{00000000-0005-0000-0000-0000397B0000}"/>
    <cellStyle name="Normal 284" xfId="31540" xr:uid="{00000000-0005-0000-0000-00003A7B0000}"/>
    <cellStyle name="Normal 285" xfId="31541" xr:uid="{00000000-0005-0000-0000-00003B7B0000}"/>
    <cellStyle name="Normal 285 10" xfId="31542" xr:uid="{00000000-0005-0000-0000-00003C7B0000}"/>
    <cellStyle name="Normal 285 10 2" xfId="31543" xr:uid="{00000000-0005-0000-0000-00003D7B0000}"/>
    <cellStyle name="Normal 285 11" xfId="31544" xr:uid="{00000000-0005-0000-0000-00003E7B0000}"/>
    <cellStyle name="Normal 285 11 2" xfId="31545" xr:uid="{00000000-0005-0000-0000-00003F7B0000}"/>
    <cellStyle name="Normal 285 12" xfId="31546" xr:uid="{00000000-0005-0000-0000-0000407B0000}"/>
    <cellStyle name="Normal 285 12 2" xfId="31547" xr:uid="{00000000-0005-0000-0000-0000417B0000}"/>
    <cellStyle name="Normal 285 13" xfId="31548" xr:uid="{00000000-0005-0000-0000-0000427B0000}"/>
    <cellStyle name="Normal 285 13 2" xfId="31549" xr:uid="{00000000-0005-0000-0000-0000437B0000}"/>
    <cellStyle name="Normal 285 14" xfId="31550" xr:uid="{00000000-0005-0000-0000-0000447B0000}"/>
    <cellStyle name="Normal 285 14 2" xfId="31551" xr:uid="{00000000-0005-0000-0000-0000457B0000}"/>
    <cellStyle name="Normal 285 15" xfId="31552" xr:uid="{00000000-0005-0000-0000-0000467B0000}"/>
    <cellStyle name="Normal 285 15 2" xfId="31553" xr:uid="{00000000-0005-0000-0000-0000477B0000}"/>
    <cellStyle name="Normal 285 16" xfId="31554" xr:uid="{00000000-0005-0000-0000-0000487B0000}"/>
    <cellStyle name="Normal 285 16 2" xfId="31555" xr:uid="{00000000-0005-0000-0000-0000497B0000}"/>
    <cellStyle name="Normal 285 17" xfId="31556" xr:uid="{00000000-0005-0000-0000-00004A7B0000}"/>
    <cellStyle name="Normal 285 17 2" xfId="31557" xr:uid="{00000000-0005-0000-0000-00004B7B0000}"/>
    <cellStyle name="Normal 285 18" xfId="31558" xr:uid="{00000000-0005-0000-0000-00004C7B0000}"/>
    <cellStyle name="Normal 285 18 2" xfId="31559" xr:uid="{00000000-0005-0000-0000-00004D7B0000}"/>
    <cellStyle name="Normal 285 19" xfId="31560" xr:uid="{00000000-0005-0000-0000-00004E7B0000}"/>
    <cellStyle name="Normal 285 19 2" xfId="31561" xr:uid="{00000000-0005-0000-0000-00004F7B0000}"/>
    <cellStyle name="Normal 285 2" xfId="31562" xr:uid="{00000000-0005-0000-0000-0000507B0000}"/>
    <cellStyle name="Normal 285 2 2" xfId="31563" xr:uid="{00000000-0005-0000-0000-0000517B0000}"/>
    <cellStyle name="Normal 285 20" xfId="31564" xr:uid="{00000000-0005-0000-0000-0000527B0000}"/>
    <cellStyle name="Normal 285 20 2" xfId="31565" xr:uid="{00000000-0005-0000-0000-0000537B0000}"/>
    <cellStyle name="Normal 285 21" xfId="31566" xr:uid="{00000000-0005-0000-0000-0000547B0000}"/>
    <cellStyle name="Normal 285 21 2" xfId="31567" xr:uid="{00000000-0005-0000-0000-0000557B0000}"/>
    <cellStyle name="Normal 285 22" xfId="31568" xr:uid="{00000000-0005-0000-0000-0000567B0000}"/>
    <cellStyle name="Normal 285 22 2" xfId="31569" xr:uid="{00000000-0005-0000-0000-0000577B0000}"/>
    <cellStyle name="Normal 285 23" xfId="31570" xr:uid="{00000000-0005-0000-0000-0000587B0000}"/>
    <cellStyle name="Normal 285 23 2" xfId="31571" xr:uid="{00000000-0005-0000-0000-0000597B0000}"/>
    <cellStyle name="Normal 285 24" xfId="31572" xr:uid="{00000000-0005-0000-0000-00005A7B0000}"/>
    <cellStyle name="Normal 285 24 2" xfId="31573" xr:uid="{00000000-0005-0000-0000-00005B7B0000}"/>
    <cellStyle name="Normal 285 25" xfId="31574" xr:uid="{00000000-0005-0000-0000-00005C7B0000}"/>
    <cellStyle name="Normal 285 25 2" xfId="31575" xr:uid="{00000000-0005-0000-0000-00005D7B0000}"/>
    <cellStyle name="Normal 285 26" xfId="31576" xr:uid="{00000000-0005-0000-0000-00005E7B0000}"/>
    <cellStyle name="Normal 285 26 2" xfId="31577" xr:uid="{00000000-0005-0000-0000-00005F7B0000}"/>
    <cellStyle name="Normal 285 27" xfId="31578" xr:uid="{00000000-0005-0000-0000-0000607B0000}"/>
    <cellStyle name="Normal 285 27 2" xfId="31579" xr:uid="{00000000-0005-0000-0000-0000617B0000}"/>
    <cellStyle name="Normal 285 28" xfId="31580" xr:uid="{00000000-0005-0000-0000-0000627B0000}"/>
    <cellStyle name="Normal 285 28 2" xfId="31581" xr:uid="{00000000-0005-0000-0000-0000637B0000}"/>
    <cellStyle name="Normal 285 29" xfId="31582" xr:uid="{00000000-0005-0000-0000-0000647B0000}"/>
    <cellStyle name="Normal 285 29 2" xfId="31583" xr:uid="{00000000-0005-0000-0000-0000657B0000}"/>
    <cellStyle name="Normal 285 3" xfId="31584" xr:uid="{00000000-0005-0000-0000-0000667B0000}"/>
    <cellStyle name="Normal 285 3 2" xfId="31585" xr:uid="{00000000-0005-0000-0000-0000677B0000}"/>
    <cellStyle name="Normal 285 30" xfId="31586" xr:uid="{00000000-0005-0000-0000-0000687B0000}"/>
    <cellStyle name="Normal 285 30 2" xfId="31587" xr:uid="{00000000-0005-0000-0000-0000697B0000}"/>
    <cellStyle name="Normal 285 31" xfId="31588" xr:uid="{00000000-0005-0000-0000-00006A7B0000}"/>
    <cellStyle name="Normal 285 31 2" xfId="31589" xr:uid="{00000000-0005-0000-0000-00006B7B0000}"/>
    <cellStyle name="Normal 285 32" xfId="31590" xr:uid="{00000000-0005-0000-0000-00006C7B0000}"/>
    <cellStyle name="Normal 285 32 2" xfId="31591" xr:uid="{00000000-0005-0000-0000-00006D7B0000}"/>
    <cellStyle name="Normal 285 33" xfId="31592" xr:uid="{00000000-0005-0000-0000-00006E7B0000}"/>
    <cellStyle name="Normal 285 33 2" xfId="31593" xr:uid="{00000000-0005-0000-0000-00006F7B0000}"/>
    <cellStyle name="Normal 285 34" xfId="31594" xr:uid="{00000000-0005-0000-0000-0000707B0000}"/>
    <cellStyle name="Normal 285 34 2" xfId="31595" xr:uid="{00000000-0005-0000-0000-0000717B0000}"/>
    <cellStyle name="Normal 285 35" xfId="31596" xr:uid="{00000000-0005-0000-0000-0000727B0000}"/>
    <cellStyle name="Normal 285 35 2" xfId="31597" xr:uid="{00000000-0005-0000-0000-0000737B0000}"/>
    <cellStyle name="Normal 285 36" xfId="31598" xr:uid="{00000000-0005-0000-0000-0000747B0000}"/>
    <cellStyle name="Normal 285 36 2" xfId="31599" xr:uid="{00000000-0005-0000-0000-0000757B0000}"/>
    <cellStyle name="Normal 285 37" xfId="31600" xr:uid="{00000000-0005-0000-0000-0000767B0000}"/>
    <cellStyle name="Normal 285 37 2" xfId="31601" xr:uid="{00000000-0005-0000-0000-0000777B0000}"/>
    <cellStyle name="Normal 285 38" xfId="31602" xr:uid="{00000000-0005-0000-0000-0000787B0000}"/>
    <cellStyle name="Normal 285 38 2" xfId="31603" xr:uid="{00000000-0005-0000-0000-0000797B0000}"/>
    <cellStyle name="Normal 285 39" xfId="31604" xr:uid="{00000000-0005-0000-0000-00007A7B0000}"/>
    <cellStyle name="Normal 285 39 2" xfId="31605" xr:uid="{00000000-0005-0000-0000-00007B7B0000}"/>
    <cellStyle name="Normal 285 4" xfId="31606" xr:uid="{00000000-0005-0000-0000-00007C7B0000}"/>
    <cellStyle name="Normal 285 4 2" xfId="31607" xr:uid="{00000000-0005-0000-0000-00007D7B0000}"/>
    <cellStyle name="Normal 285 40" xfId="31608" xr:uid="{00000000-0005-0000-0000-00007E7B0000}"/>
    <cellStyle name="Normal 285 40 2" xfId="31609" xr:uid="{00000000-0005-0000-0000-00007F7B0000}"/>
    <cellStyle name="Normal 285 41" xfId="31610" xr:uid="{00000000-0005-0000-0000-0000807B0000}"/>
    <cellStyle name="Normal 285 41 2" xfId="31611" xr:uid="{00000000-0005-0000-0000-0000817B0000}"/>
    <cellStyle name="Normal 285 42" xfId="31612" xr:uid="{00000000-0005-0000-0000-0000827B0000}"/>
    <cellStyle name="Normal 285 42 2" xfId="31613" xr:uid="{00000000-0005-0000-0000-0000837B0000}"/>
    <cellStyle name="Normal 285 43" xfId="31614" xr:uid="{00000000-0005-0000-0000-0000847B0000}"/>
    <cellStyle name="Normal 285 43 2" xfId="31615" xr:uid="{00000000-0005-0000-0000-0000857B0000}"/>
    <cellStyle name="Normal 285 44" xfId="31616" xr:uid="{00000000-0005-0000-0000-0000867B0000}"/>
    <cellStyle name="Normal 285 44 2" xfId="31617" xr:uid="{00000000-0005-0000-0000-0000877B0000}"/>
    <cellStyle name="Normal 285 45" xfId="31618" xr:uid="{00000000-0005-0000-0000-0000887B0000}"/>
    <cellStyle name="Normal 285 45 2" xfId="31619" xr:uid="{00000000-0005-0000-0000-0000897B0000}"/>
    <cellStyle name="Normal 285 46" xfId="31620" xr:uid="{00000000-0005-0000-0000-00008A7B0000}"/>
    <cellStyle name="Normal 285 46 2" xfId="31621" xr:uid="{00000000-0005-0000-0000-00008B7B0000}"/>
    <cellStyle name="Normal 285 47" xfId="31622" xr:uid="{00000000-0005-0000-0000-00008C7B0000}"/>
    <cellStyle name="Normal 285 47 2" xfId="31623" xr:uid="{00000000-0005-0000-0000-00008D7B0000}"/>
    <cellStyle name="Normal 285 48" xfId="31624" xr:uid="{00000000-0005-0000-0000-00008E7B0000}"/>
    <cellStyle name="Normal 285 48 2" xfId="31625" xr:uid="{00000000-0005-0000-0000-00008F7B0000}"/>
    <cellStyle name="Normal 285 49" xfId="31626" xr:uid="{00000000-0005-0000-0000-0000907B0000}"/>
    <cellStyle name="Normal 285 49 2" xfId="31627" xr:uid="{00000000-0005-0000-0000-0000917B0000}"/>
    <cellStyle name="Normal 285 5" xfId="31628" xr:uid="{00000000-0005-0000-0000-0000927B0000}"/>
    <cellStyle name="Normal 285 5 2" xfId="31629" xr:uid="{00000000-0005-0000-0000-0000937B0000}"/>
    <cellStyle name="Normal 285 50" xfId="31630" xr:uid="{00000000-0005-0000-0000-0000947B0000}"/>
    <cellStyle name="Normal 285 50 2" xfId="31631" xr:uid="{00000000-0005-0000-0000-0000957B0000}"/>
    <cellStyle name="Normal 285 51" xfId="31632" xr:uid="{00000000-0005-0000-0000-0000967B0000}"/>
    <cellStyle name="Normal 285 51 2" xfId="31633" xr:uid="{00000000-0005-0000-0000-0000977B0000}"/>
    <cellStyle name="Normal 285 52" xfId="31634" xr:uid="{00000000-0005-0000-0000-0000987B0000}"/>
    <cellStyle name="Normal 285 52 2" xfId="31635" xr:uid="{00000000-0005-0000-0000-0000997B0000}"/>
    <cellStyle name="Normal 285 53" xfId="31636" xr:uid="{00000000-0005-0000-0000-00009A7B0000}"/>
    <cellStyle name="Normal 285 53 2" xfId="31637" xr:uid="{00000000-0005-0000-0000-00009B7B0000}"/>
    <cellStyle name="Normal 285 54" xfId="31638" xr:uid="{00000000-0005-0000-0000-00009C7B0000}"/>
    <cellStyle name="Normal 285 54 2" xfId="31639" xr:uid="{00000000-0005-0000-0000-00009D7B0000}"/>
    <cellStyle name="Normal 285 55" xfId="31640" xr:uid="{00000000-0005-0000-0000-00009E7B0000}"/>
    <cellStyle name="Normal 285 55 2" xfId="31641" xr:uid="{00000000-0005-0000-0000-00009F7B0000}"/>
    <cellStyle name="Normal 285 56" xfId="31642" xr:uid="{00000000-0005-0000-0000-0000A07B0000}"/>
    <cellStyle name="Normal 285 56 2" xfId="31643" xr:uid="{00000000-0005-0000-0000-0000A17B0000}"/>
    <cellStyle name="Normal 285 57" xfId="31644" xr:uid="{00000000-0005-0000-0000-0000A27B0000}"/>
    <cellStyle name="Normal 285 57 2" xfId="31645" xr:uid="{00000000-0005-0000-0000-0000A37B0000}"/>
    <cellStyle name="Normal 285 58" xfId="31646" xr:uid="{00000000-0005-0000-0000-0000A47B0000}"/>
    <cellStyle name="Normal 285 58 2" xfId="31647" xr:uid="{00000000-0005-0000-0000-0000A57B0000}"/>
    <cellStyle name="Normal 285 59" xfId="31648" xr:uid="{00000000-0005-0000-0000-0000A67B0000}"/>
    <cellStyle name="Normal 285 59 2" xfId="31649" xr:uid="{00000000-0005-0000-0000-0000A77B0000}"/>
    <cellStyle name="Normal 285 6" xfId="31650" xr:uid="{00000000-0005-0000-0000-0000A87B0000}"/>
    <cellStyle name="Normal 285 6 2" xfId="31651" xr:uid="{00000000-0005-0000-0000-0000A97B0000}"/>
    <cellStyle name="Normal 285 60" xfId="31652" xr:uid="{00000000-0005-0000-0000-0000AA7B0000}"/>
    <cellStyle name="Normal 285 60 2" xfId="31653" xr:uid="{00000000-0005-0000-0000-0000AB7B0000}"/>
    <cellStyle name="Normal 285 61" xfId="31654" xr:uid="{00000000-0005-0000-0000-0000AC7B0000}"/>
    <cellStyle name="Normal 285 61 2" xfId="31655" xr:uid="{00000000-0005-0000-0000-0000AD7B0000}"/>
    <cellStyle name="Normal 285 61 3" xfId="31656" xr:uid="{00000000-0005-0000-0000-0000AE7B0000}"/>
    <cellStyle name="Normal 285 62" xfId="31657" xr:uid="{00000000-0005-0000-0000-0000AF7B0000}"/>
    <cellStyle name="Normal 285 7" xfId="31658" xr:uid="{00000000-0005-0000-0000-0000B07B0000}"/>
    <cellStyle name="Normal 285 7 2" xfId="31659" xr:uid="{00000000-0005-0000-0000-0000B17B0000}"/>
    <cellStyle name="Normal 285 8" xfId="31660" xr:uid="{00000000-0005-0000-0000-0000B27B0000}"/>
    <cellStyle name="Normal 285 8 2" xfId="31661" xr:uid="{00000000-0005-0000-0000-0000B37B0000}"/>
    <cellStyle name="Normal 285 9" xfId="31662" xr:uid="{00000000-0005-0000-0000-0000B47B0000}"/>
    <cellStyle name="Normal 285 9 2" xfId="31663" xr:uid="{00000000-0005-0000-0000-0000B57B0000}"/>
    <cellStyle name="Normal 286" xfId="31664" xr:uid="{00000000-0005-0000-0000-0000B67B0000}"/>
    <cellStyle name="Normal 287" xfId="31665" xr:uid="{00000000-0005-0000-0000-0000B77B0000}"/>
    <cellStyle name="Normal 288" xfId="31666" xr:uid="{00000000-0005-0000-0000-0000B87B0000}"/>
    <cellStyle name="Normal 288 10" xfId="31667" xr:uid="{00000000-0005-0000-0000-0000B97B0000}"/>
    <cellStyle name="Normal 288 10 2" xfId="31668" xr:uid="{00000000-0005-0000-0000-0000BA7B0000}"/>
    <cellStyle name="Normal 288 11" xfId="31669" xr:uid="{00000000-0005-0000-0000-0000BB7B0000}"/>
    <cellStyle name="Normal 288 11 2" xfId="31670" xr:uid="{00000000-0005-0000-0000-0000BC7B0000}"/>
    <cellStyle name="Normal 288 12" xfId="31671" xr:uid="{00000000-0005-0000-0000-0000BD7B0000}"/>
    <cellStyle name="Normal 288 12 2" xfId="31672" xr:uid="{00000000-0005-0000-0000-0000BE7B0000}"/>
    <cellStyle name="Normal 288 13" xfId="31673" xr:uid="{00000000-0005-0000-0000-0000BF7B0000}"/>
    <cellStyle name="Normal 288 13 2" xfId="31674" xr:uid="{00000000-0005-0000-0000-0000C07B0000}"/>
    <cellStyle name="Normal 288 14" xfId="31675" xr:uid="{00000000-0005-0000-0000-0000C17B0000}"/>
    <cellStyle name="Normal 288 14 2" xfId="31676" xr:uid="{00000000-0005-0000-0000-0000C27B0000}"/>
    <cellStyle name="Normal 288 15" xfId="31677" xr:uid="{00000000-0005-0000-0000-0000C37B0000}"/>
    <cellStyle name="Normal 288 15 2" xfId="31678" xr:uid="{00000000-0005-0000-0000-0000C47B0000}"/>
    <cellStyle name="Normal 288 16" xfId="31679" xr:uid="{00000000-0005-0000-0000-0000C57B0000}"/>
    <cellStyle name="Normal 288 16 2" xfId="31680" xr:uid="{00000000-0005-0000-0000-0000C67B0000}"/>
    <cellStyle name="Normal 288 17" xfId="31681" xr:uid="{00000000-0005-0000-0000-0000C77B0000}"/>
    <cellStyle name="Normal 288 17 2" xfId="31682" xr:uid="{00000000-0005-0000-0000-0000C87B0000}"/>
    <cellStyle name="Normal 288 18" xfId="31683" xr:uid="{00000000-0005-0000-0000-0000C97B0000}"/>
    <cellStyle name="Normal 288 18 2" xfId="31684" xr:uid="{00000000-0005-0000-0000-0000CA7B0000}"/>
    <cellStyle name="Normal 288 19" xfId="31685" xr:uid="{00000000-0005-0000-0000-0000CB7B0000}"/>
    <cellStyle name="Normal 288 19 2" xfId="31686" xr:uid="{00000000-0005-0000-0000-0000CC7B0000}"/>
    <cellStyle name="Normal 288 2" xfId="31687" xr:uid="{00000000-0005-0000-0000-0000CD7B0000}"/>
    <cellStyle name="Normal 288 2 2" xfId="31688" xr:uid="{00000000-0005-0000-0000-0000CE7B0000}"/>
    <cellStyle name="Normal 288 20" xfId="31689" xr:uid="{00000000-0005-0000-0000-0000CF7B0000}"/>
    <cellStyle name="Normal 288 20 2" xfId="31690" xr:uid="{00000000-0005-0000-0000-0000D07B0000}"/>
    <cellStyle name="Normal 288 21" xfId="31691" xr:uid="{00000000-0005-0000-0000-0000D17B0000}"/>
    <cellStyle name="Normal 288 21 2" xfId="31692" xr:uid="{00000000-0005-0000-0000-0000D27B0000}"/>
    <cellStyle name="Normal 288 22" xfId="31693" xr:uid="{00000000-0005-0000-0000-0000D37B0000}"/>
    <cellStyle name="Normal 288 22 2" xfId="31694" xr:uid="{00000000-0005-0000-0000-0000D47B0000}"/>
    <cellStyle name="Normal 288 23" xfId="31695" xr:uid="{00000000-0005-0000-0000-0000D57B0000}"/>
    <cellStyle name="Normal 288 23 2" xfId="31696" xr:uid="{00000000-0005-0000-0000-0000D67B0000}"/>
    <cellStyle name="Normal 288 24" xfId="31697" xr:uid="{00000000-0005-0000-0000-0000D77B0000}"/>
    <cellStyle name="Normal 288 24 2" xfId="31698" xr:uid="{00000000-0005-0000-0000-0000D87B0000}"/>
    <cellStyle name="Normal 288 25" xfId="31699" xr:uid="{00000000-0005-0000-0000-0000D97B0000}"/>
    <cellStyle name="Normal 288 25 2" xfId="31700" xr:uid="{00000000-0005-0000-0000-0000DA7B0000}"/>
    <cellStyle name="Normal 288 26" xfId="31701" xr:uid="{00000000-0005-0000-0000-0000DB7B0000}"/>
    <cellStyle name="Normal 288 26 2" xfId="31702" xr:uid="{00000000-0005-0000-0000-0000DC7B0000}"/>
    <cellStyle name="Normal 288 27" xfId="31703" xr:uid="{00000000-0005-0000-0000-0000DD7B0000}"/>
    <cellStyle name="Normal 288 27 2" xfId="31704" xr:uid="{00000000-0005-0000-0000-0000DE7B0000}"/>
    <cellStyle name="Normal 288 28" xfId="31705" xr:uid="{00000000-0005-0000-0000-0000DF7B0000}"/>
    <cellStyle name="Normal 288 28 2" xfId="31706" xr:uid="{00000000-0005-0000-0000-0000E07B0000}"/>
    <cellStyle name="Normal 288 29" xfId="31707" xr:uid="{00000000-0005-0000-0000-0000E17B0000}"/>
    <cellStyle name="Normal 288 29 2" xfId="31708" xr:uid="{00000000-0005-0000-0000-0000E27B0000}"/>
    <cellStyle name="Normal 288 3" xfId="31709" xr:uid="{00000000-0005-0000-0000-0000E37B0000}"/>
    <cellStyle name="Normal 288 3 2" xfId="31710" xr:uid="{00000000-0005-0000-0000-0000E47B0000}"/>
    <cellStyle name="Normal 288 30" xfId="31711" xr:uid="{00000000-0005-0000-0000-0000E57B0000}"/>
    <cellStyle name="Normal 288 30 2" xfId="31712" xr:uid="{00000000-0005-0000-0000-0000E67B0000}"/>
    <cellStyle name="Normal 288 31" xfId="31713" xr:uid="{00000000-0005-0000-0000-0000E77B0000}"/>
    <cellStyle name="Normal 288 31 2" xfId="31714" xr:uid="{00000000-0005-0000-0000-0000E87B0000}"/>
    <cellStyle name="Normal 288 32" xfId="31715" xr:uid="{00000000-0005-0000-0000-0000E97B0000}"/>
    <cellStyle name="Normal 288 32 2" xfId="31716" xr:uid="{00000000-0005-0000-0000-0000EA7B0000}"/>
    <cellStyle name="Normal 288 33" xfId="31717" xr:uid="{00000000-0005-0000-0000-0000EB7B0000}"/>
    <cellStyle name="Normal 288 33 2" xfId="31718" xr:uid="{00000000-0005-0000-0000-0000EC7B0000}"/>
    <cellStyle name="Normal 288 34" xfId="31719" xr:uid="{00000000-0005-0000-0000-0000ED7B0000}"/>
    <cellStyle name="Normal 288 34 2" xfId="31720" xr:uid="{00000000-0005-0000-0000-0000EE7B0000}"/>
    <cellStyle name="Normal 288 35" xfId="31721" xr:uid="{00000000-0005-0000-0000-0000EF7B0000}"/>
    <cellStyle name="Normal 288 35 2" xfId="31722" xr:uid="{00000000-0005-0000-0000-0000F07B0000}"/>
    <cellStyle name="Normal 288 36" xfId="31723" xr:uid="{00000000-0005-0000-0000-0000F17B0000}"/>
    <cellStyle name="Normal 288 36 2" xfId="31724" xr:uid="{00000000-0005-0000-0000-0000F27B0000}"/>
    <cellStyle name="Normal 288 37" xfId="31725" xr:uid="{00000000-0005-0000-0000-0000F37B0000}"/>
    <cellStyle name="Normal 288 37 2" xfId="31726" xr:uid="{00000000-0005-0000-0000-0000F47B0000}"/>
    <cellStyle name="Normal 288 38" xfId="31727" xr:uid="{00000000-0005-0000-0000-0000F57B0000}"/>
    <cellStyle name="Normal 288 38 2" xfId="31728" xr:uid="{00000000-0005-0000-0000-0000F67B0000}"/>
    <cellStyle name="Normal 288 39" xfId="31729" xr:uid="{00000000-0005-0000-0000-0000F77B0000}"/>
    <cellStyle name="Normal 288 39 2" xfId="31730" xr:uid="{00000000-0005-0000-0000-0000F87B0000}"/>
    <cellStyle name="Normal 288 4" xfId="31731" xr:uid="{00000000-0005-0000-0000-0000F97B0000}"/>
    <cellStyle name="Normal 288 4 2" xfId="31732" xr:uid="{00000000-0005-0000-0000-0000FA7B0000}"/>
    <cellStyle name="Normal 288 40" xfId="31733" xr:uid="{00000000-0005-0000-0000-0000FB7B0000}"/>
    <cellStyle name="Normal 288 40 2" xfId="31734" xr:uid="{00000000-0005-0000-0000-0000FC7B0000}"/>
    <cellStyle name="Normal 288 41" xfId="31735" xr:uid="{00000000-0005-0000-0000-0000FD7B0000}"/>
    <cellStyle name="Normal 288 41 2" xfId="31736" xr:uid="{00000000-0005-0000-0000-0000FE7B0000}"/>
    <cellStyle name="Normal 288 42" xfId="31737" xr:uid="{00000000-0005-0000-0000-0000FF7B0000}"/>
    <cellStyle name="Normal 288 42 2" xfId="31738" xr:uid="{00000000-0005-0000-0000-0000007C0000}"/>
    <cellStyle name="Normal 288 43" xfId="31739" xr:uid="{00000000-0005-0000-0000-0000017C0000}"/>
    <cellStyle name="Normal 288 43 2" xfId="31740" xr:uid="{00000000-0005-0000-0000-0000027C0000}"/>
    <cellStyle name="Normal 288 44" xfId="31741" xr:uid="{00000000-0005-0000-0000-0000037C0000}"/>
    <cellStyle name="Normal 288 44 2" xfId="31742" xr:uid="{00000000-0005-0000-0000-0000047C0000}"/>
    <cellStyle name="Normal 288 45" xfId="31743" xr:uid="{00000000-0005-0000-0000-0000057C0000}"/>
    <cellStyle name="Normal 288 45 2" xfId="31744" xr:uid="{00000000-0005-0000-0000-0000067C0000}"/>
    <cellStyle name="Normal 288 46" xfId="31745" xr:uid="{00000000-0005-0000-0000-0000077C0000}"/>
    <cellStyle name="Normal 288 46 2" xfId="31746" xr:uid="{00000000-0005-0000-0000-0000087C0000}"/>
    <cellStyle name="Normal 288 47" xfId="31747" xr:uid="{00000000-0005-0000-0000-0000097C0000}"/>
    <cellStyle name="Normal 288 47 2" xfId="31748" xr:uid="{00000000-0005-0000-0000-00000A7C0000}"/>
    <cellStyle name="Normal 288 48" xfId="31749" xr:uid="{00000000-0005-0000-0000-00000B7C0000}"/>
    <cellStyle name="Normal 288 48 2" xfId="31750" xr:uid="{00000000-0005-0000-0000-00000C7C0000}"/>
    <cellStyle name="Normal 288 49" xfId="31751" xr:uid="{00000000-0005-0000-0000-00000D7C0000}"/>
    <cellStyle name="Normal 288 49 2" xfId="31752" xr:uid="{00000000-0005-0000-0000-00000E7C0000}"/>
    <cellStyle name="Normal 288 5" xfId="31753" xr:uid="{00000000-0005-0000-0000-00000F7C0000}"/>
    <cellStyle name="Normal 288 5 2" xfId="31754" xr:uid="{00000000-0005-0000-0000-0000107C0000}"/>
    <cellStyle name="Normal 288 50" xfId="31755" xr:uid="{00000000-0005-0000-0000-0000117C0000}"/>
    <cellStyle name="Normal 288 50 2" xfId="31756" xr:uid="{00000000-0005-0000-0000-0000127C0000}"/>
    <cellStyle name="Normal 288 51" xfId="31757" xr:uid="{00000000-0005-0000-0000-0000137C0000}"/>
    <cellStyle name="Normal 288 51 2" xfId="31758" xr:uid="{00000000-0005-0000-0000-0000147C0000}"/>
    <cellStyle name="Normal 288 52" xfId="31759" xr:uid="{00000000-0005-0000-0000-0000157C0000}"/>
    <cellStyle name="Normal 288 52 2" xfId="31760" xr:uid="{00000000-0005-0000-0000-0000167C0000}"/>
    <cellStyle name="Normal 288 53" xfId="31761" xr:uid="{00000000-0005-0000-0000-0000177C0000}"/>
    <cellStyle name="Normal 288 53 2" xfId="31762" xr:uid="{00000000-0005-0000-0000-0000187C0000}"/>
    <cellStyle name="Normal 288 54" xfId="31763" xr:uid="{00000000-0005-0000-0000-0000197C0000}"/>
    <cellStyle name="Normal 288 54 2" xfId="31764" xr:uid="{00000000-0005-0000-0000-00001A7C0000}"/>
    <cellStyle name="Normal 288 55" xfId="31765" xr:uid="{00000000-0005-0000-0000-00001B7C0000}"/>
    <cellStyle name="Normal 288 55 2" xfId="31766" xr:uid="{00000000-0005-0000-0000-00001C7C0000}"/>
    <cellStyle name="Normal 288 56" xfId="31767" xr:uid="{00000000-0005-0000-0000-00001D7C0000}"/>
    <cellStyle name="Normal 288 56 2" xfId="31768" xr:uid="{00000000-0005-0000-0000-00001E7C0000}"/>
    <cellStyle name="Normal 288 57" xfId="31769" xr:uid="{00000000-0005-0000-0000-00001F7C0000}"/>
    <cellStyle name="Normal 288 57 2" xfId="31770" xr:uid="{00000000-0005-0000-0000-0000207C0000}"/>
    <cellStyle name="Normal 288 58" xfId="31771" xr:uid="{00000000-0005-0000-0000-0000217C0000}"/>
    <cellStyle name="Normal 288 58 2" xfId="31772" xr:uid="{00000000-0005-0000-0000-0000227C0000}"/>
    <cellStyle name="Normal 288 59" xfId="31773" xr:uid="{00000000-0005-0000-0000-0000237C0000}"/>
    <cellStyle name="Normal 288 59 2" xfId="31774" xr:uid="{00000000-0005-0000-0000-0000247C0000}"/>
    <cellStyle name="Normal 288 6" xfId="31775" xr:uid="{00000000-0005-0000-0000-0000257C0000}"/>
    <cellStyle name="Normal 288 6 2" xfId="31776" xr:uid="{00000000-0005-0000-0000-0000267C0000}"/>
    <cellStyle name="Normal 288 60" xfId="31777" xr:uid="{00000000-0005-0000-0000-0000277C0000}"/>
    <cellStyle name="Normal 288 60 2" xfId="31778" xr:uid="{00000000-0005-0000-0000-0000287C0000}"/>
    <cellStyle name="Normal 288 61" xfId="31779" xr:uid="{00000000-0005-0000-0000-0000297C0000}"/>
    <cellStyle name="Normal 288 61 2" xfId="31780" xr:uid="{00000000-0005-0000-0000-00002A7C0000}"/>
    <cellStyle name="Normal 288 61 3" xfId="31781" xr:uid="{00000000-0005-0000-0000-00002B7C0000}"/>
    <cellStyle name="Normal 288 62" xfId="31782" xr:uid="{00000000-0005-0000-0000-00002C7C0000}"/>
    <cellStyle name="Normal 288 7" xfId="31783" xr:uid="{00000000-0005-0000-0000-00002D7C0000}"/>
    <cellStyle name="Normal 288 7 2" xfId="31784" xr:uid="{00000000-0005-0000-0000-00002E7C0000}"/>
    <cellStyle name="Normal 288 8" xfId="31785" xr:uid="{00000000-0005-0000-0000-00002F7C0000}"/>
    <cellStyle name="Normal 288 8 2" xfId="31786" xr:uid="{00000000-0005-0000-0000-0000307C0000}"/>
    <cellStyle name="Normal 288 9" xfId="31787" xr:uid="{00000000-0005-0000-0000-0000317C0000}"/>
    <cellStyle name="Normal 288 9 2" xfId="31788" xr:uid="{00000000-0005-0000-0000-0000327C0000}"/>
    <cellStyle name="Normal 289" xfId="31789" xr:uid="{00000000-0005-0000-0000-0000337C0000}"/>
    <cellStyle name="Normal 29" xfId="31790" xr:uid="{00000000-0005-0000-0000-0000347C0000}"/>
    <cellStyle name="Normal 29 10" xfId="31791" xr:uid="{00000000-0005-0000-0000-0000357C0000}"/>
    <cellStyle name="Normal 29 10 2" xfId="31792" xr:uid="{00000000-0005-0000-0000-0000367C0000}"/>
    <cellStyle name="Normal 29 11" xfId="31793" xr:uid="{00000000-0005-0000-0000-0000377C0000}"/>
    <cellStyle name="Normal 29 11 2" xfId="31794" xr:uid="{00000000-0005-0000-0000-0000387C0000}"/>
    <cellStyle name="Normal 29 12" xfId="31795" xr:uid="{00000000-0005-0000-0000-0000397C0000}"/>
    <cellStyle name="Normal 29 12 2" xfId="31796" xr:uid="{00000000-0005-0000-0000-00003A7C0000}"/>
    <cellStyle name="Normal 29 13" xfId="31797" xr:uid="{00000000-0005-0000-0000-00003B7C0000}"/>
    <cellStyle name="Normal 29 13 2" xfId="31798" xr:uid="{00000000-0005-0000-0000-00003C7C0000}"/>
    <cellStyle name="Normal 29 14" xfId="31799" xr:uid="{00000000-0005-0000-0000-00003D7C0000}"/>
    <cellStyle name="Normal 29 14 2" xfId="31800" xr:uid="{00000000-0005-0000-0000-00003E7C0000}"/>
    <cellStyle name="Normal 29 15" xfId="31801" xr:uid="{00000000-0005-0000-0000-00003F7C0000}"/>
    <cellStyle name="Normal 29 15 2" xfId="31802" xr:uid="{00000000-0005-0000-0000-0000407C0000}"/>
    <cellStyle name="Normal 29 16" xfId="31803" xr:uid="{00000000-0005-0000-0000-0000417C0000}"/>
    <cellStyle name="Normal 29 16 2" xfId="31804" xr:uid="{00000000-0005-0000-0000-0000427C0000}"/>
    <cellStyle name="Normal 29 17" xfId="31805" xr:uid="{00000000-0005-0000-0000-0000437C0000}"/>
    <cellStyle name="Normal 29 17 2" xfId="31806" xr:uid="{00000000-0005-0000-0000-0000447C0000}"/>
    <cellStyle name="Normal 29 18" xfId="31807" xr:uid="{00000000-0005-0000-0000-0000457C0000}"/>
    <cellStyle name="Normal 29 18 2" xfId="31808" xr:uid="{00000000-0005-0000-0000-0000467C0000}"/>
    <cellStyle name="Normal 29 19" xfId="31809" xr:uid="{00000000-0005-0000-0000-0000477C0000}"/>
    <cellStyle name="Normal 29 19 2" xfId="31810" xr:uid="{00000000-0005-0000-0000-0000487C0000}"/>
    <cellStyle name="Normal 29 2" xfId="31811" xr:uid="{00000000-0005-0000-0000-0000497C0000}"/>
    <cellStyle name="Normal 29 2 2" xfId="31812" xr:uid="{00000000-0005-0000-0000-00004A7C0000}"/>
    <cellStyle name="Normal 29 20" xfId="31813" xr:uid="{00000000-0005-0000-0000-00004B7C0000}"/>
    <cellStyle name="Normal 29 20 2" xfId="31814" xr:uid="{00000000-0005-0000-0000-00004C7C0000}"/>
    <cellStyle name="Normal 29 21" xfId="31815" xr:uid="{00000000-0005-0000-0000-00004D7C0000}"/>
    <cellStyle name="Normal 29 21 2" xfId="31816" xr:uid="{00000000-0005-0000-0000-00004E7C0000}"/>
    <cellStyle name="Normal 29 22" xfId="31817" xr:uid="{00000000-0005-0000-0000-00004F7C0000}"/>
    <cellStyle name="Normal 29 22 2" xfId="31818" xr:uid="{00000000-0005-0000-0000-0000507C0000}"/>
    <cellStyle name="Normal 29 23" xfId="31819" xr:uid="{00000000-0005-0000-0000-0000517C0000}"/>
    <cellStyle name="Normal 29 23 2" xfId="31820" xr:uid="{00000000-0005-0000-0000-0000527C0000}"/>
    <cellStyle name="Normal 29 24" xfId="31821" xr:uid="{00000000-0005-0000-0000-0000537C0000}"/>
    <cellStyle name="Normal 29 24 2" xfId="31822" xr:uid="{00000000-0005-0000-0000-0000547C0000}"/>
    <cellStyle name="Normal 29 25" xfId="31823" xr:uid="{00000000-0005-0000-0000-0000557C0000}"/>
    <cellStyle name="Normal 29 25 2" xfId="31824" xr:uid="{00000000-0005-0000-0000-0000567C0000}"/>
    <cellStyle name="Normal 29 26" xfId="31825" xr:uid="{00000000-0005-0000-0000-0000577C0000}"/>
    <cellStyle name="Normal 29 26 2" xfId="31826" xr:uid="{00000000-0005-0000-0000-0000587C0000}"/>
    <cellStyle name="Normal 29 27" xfId="31827" xr:uid="{00000000-0005-0000-0000-0000597C0000}"/>
    <cellStyle name="Normal 29 27 2" xfId="31828" xr:uid="{00000000-0005-0000-0000-00005A7C0000}"/>
    <cellStyle name="Normal 29 28" xfId="31829" xr:uid="{00000000-0005-0000-0000-00005B7C0000}"/>
    <cellStyle name="Normal 29 28 2" xfId="31830" xr:uid="{00000000-0005-0000-0000-00005C7C0000}"/>
    <cellStyle name="Normal 29 29" xfId="31831" xr:uid="{00000000-0005-0000-0000-00005D7C0000}"/>
    <cellStyle name="Normal 29 29 2" xfId="31832" xr:uid="{00000000-0005-0000-0000-00005E7C0000}"/>
    <cellStyle name="Normal 29 3" xfId="31833" xr:uid="{00000000-0005-0000-0000-00005F7C0000}"/>
    <cellStyle name="Normal 29 3 2" xfId="31834" xr:uid="{00000000-0005-0000-0000-0000607C0000}"/>
    <cellStyle name="Normal 29 30" xfId="31835" xr:uid="{00000000-0005-0000-0000-0000617C0000}"/>
    <cellStyle name="Normal 29 30 2" xfId="31836" xr:uid="{00000000-0005-0000-0000-0000627C0000}"/>
    <cellStyle name="Normal 29 31" xfId="31837" xr:uid="{00000000-0005-0000-0000-0000637C0000}"/>
    <cellStyle name="Normal 29 31 2" xfId="31838" xr:uid="{00000000-0005-0000-0000-0000647C0000}"/>
    <cellStyle name="Normal 29 32" xfId="31839" xr:uid="{00000000-0005-0000-0000-0000657C0000}"/>
    <cellStyle name="Normal 29 32 2" xfId="31840" xr:uid="{00000000-0005-0000-0000-0000667C0000}"/>
    <cellStyle name="Normal 29 33" xfId="31841" xr:uid="{00000000-0005-0000-0000-0000677C0000}"/>
    <cellStyle name="Normal 29 33 2" xfId="31842" xr:uid="{00000000-0005-0000-0000-0000687C0000}"/>
    <cellStyle name="Normal 29 34" xfId="31843" xr:uid="{00000000-0005-0000-0000-0000697C0000}"/>
    <cellStyle name="Normal 29 34 2" xfId="31844" xr:uid="{00000000-0005-0000-0000-00006A7C0000}"/>
    <cellStyle name="Normal 29 35" xfId="31845" xr:uid="{00000000-0005-0000-0000-00006B7C0000}"/>
    <cellStyle name="Normal 29 35 2" xfId="31846" xr:uid="{00000000-0005-0000-0000-00006C7C0000}"/>
    <cellStyle name="Normal 29 36" xfId="31847" xr:uid="{00000000-0005-0000-0000-00006D7C0000}"/>
    <cellStyle name="Normal 29 36 2" xfId="31848" xr:uid="{00000000-0005-0000-0000-00006E7C0000}"/>
    <cellStyle name="Normal 29 37" xfId="31849" xr:uid="{00000000-0005-0000-0000-00006F7C0000}"/>
    <cellStyle name="Normal 29 37 2" xfId="31850" xr:uid="{00000000-0005-0000-0000-0000707C0000}"/>
    <cellStyle name="Normal 29 38" xfId="31851" xr:uid="{00000000-0005-0000-0000-0000717C0000}"/>
    <cellStyle name="Normal 29 38 2" xfId="31852" xr:uid="{00000000-0005-0000-0000-0000727C0000}"/>
    <cellStyle name="Normal 29 39" xfId="31853" xr:uid="{00000000-0005-0000-0000-0000737C0000}"/>
    <cellStyle name="Normal 29 39 2" xfId="31854" xr:uid="{00000000-0005-0000-0000-0000747C0000}"/>
    <cellStyle name="Normal 29 4" xfId="31855" xr:uid="{00000000-0005-0000-0000-0000757C0000}"/>
    <cellStyle name="Normal 29 4 2" xfId="31856" xr:uid="{00000000-0005-0000-0000-0000767C0000}"/>
    <cellStyle name="Normal 29 40" xfId="31857" xr:uid="{00000000-0005-0000-0000-0000777C0000}"/>
    <cellStyle name="Normal 29 40 2" xfId="31858" xr:uid="{00000000-0005-0000-0000-0000787C0000}"/>
    <cellStyle name="Normal 29 41" xfId="31859" xr:uid="{00000000-0005-0000-0000-0000797C0000}"/>
    <cellStyle name="Normal 29 41 2" xfId="31860" xr:uid="{00000000-0005-0000-0000-00007A7C0000}"/>
    <cellStyle name="Normal 29 42" xfId="31861" xr:uid="{00000000-0005-0000-0000-00007B7C0000}"/>
    <cellStyle name="Normal 29 42 2" xfId="31862" xr:uid="{00000000-0005-0000-0000-00007C7C0000}"/>
    <cellStyle name="Normal 29 43" xfId="31863" xr:uid="{00000000-0005-0000-0000-00007D7C0000}"/>
    <cellStyle name="Normal 29 43 2" xfId="31864" xr:uid="{00000000-0005-0000-0000-00007E7C0000}"/>
    <cellStyle name="Normal 29 44" xfId="31865" xr:uid="{00000000-0005-0000-0000-00007F7C0000}"/>
    <cellStyle name="Normal 29 44 2" xfId="31866" xr:uid="{00000000-0005-0000-0000-0000807C0000}"/>
    <cellStyle name="Normal 29 45" xfId="31867" xr:uid="{00000000-0005-0000-0000-0000817C0000}"/>
    <cellStyle name="Normal 29 45 2" xfId="31868" xr:uid="{00000000-0005-0000-0000-0000827C0000}"/>
    <cellStyle name="Normal 29 46" xfId="31869" xr:uid="{00000000-0005-0000-0000-0000837C0000}"/>
    <cellStyle name="Normal 29 46 2" xfId="31870" xr:uid="{00000000-0005-0000-0000-0000847C0000}"/>
    <cellStyle name="Normal 29 47" xfId="31871" xr:uid="{00000000-0005-0000-0000-0000857C0000}"/>
    <cellStyle name="Normal 29 47 2" xfId="31872" xr:uid="{00000000-0005-0000-0000-0000867C0000}"/>
    <cellStyle name="Normal 29 48" xfId="31873" xr:uid="{00000000-0005-0000-0000-0000877C0000}"/>
    <cellStyle name="Normal 29 48 2" xfId="31874" xr:uid="{00000000-0005-0000-0000-0000887C0000}"/>
    <cellStyle name="Normal 29 49" xfId="31875" xr:uid="{00000000-0005-0000-0000-0000897C0000}"/>
    <cellStyle name="Normal 29 49 2" xfId="31876" xr:uid="{00000000-0005-0000-0000-00008A7C0000}"/>
    <cellStyle name="Normal 29 5" xfId="31877" xr:uid="{00000000-0005-0000-0000-00008B7C0000}"/>
    <cellStyle name="Normal 29 5 2" xfId="31878" xr:uid="{00000000-0005-0000-0000-00008C7C0000}"/>
    <cellStyle name="Normal 29 50" xfId="31879" xr:uid="{00000000-0005-0000-0000-00008D7C0000}"/>
    <cellStyle name="Normal 29 50 2" xfId="31880" xr:uid="{00000000-0005-0000-0000-00008E7C0000}"/>
    <cellStyle name="Normal 29 51" xfId="31881" xr:uid="{00000000-0005-0000-0000-00008F7C0000}"/>
    <cellStyle name="Normal 29 51 2" xfId="31882" xr:uid="{00000000-0005-0000-0000-0000907C0000}"/>
    <cellStyle name="Normal 29 52" xfId="31883" xr:uid="{00000000-0005-0000-0000-0000917C0000}"/>
    <cellStyle name="Normal 29 52 2" xfId="31884" xr:uid="{00000000-0005-0000-0000-0000927C0000}"/>
    <cellStyle name="Normal 29 53" xfId="31885" xr:uid="{00000000-0005-0000-0000-0000937C0000}"/>
    <cellStyle name="Normal 29 53 2" xfId="31886" xr:uid="{00000000-0005-0000-0000-0000947C0000}"/>
    <cellStyle name="Normal 29 54" xfId="31887" xr:uid="{00000000-0005-0000-0000-0000957C0000}"/>
    <cellStyle name="Normal 29 54 2" xfId="31888" xr:uid="{00000000-0005-0000-0000-0000967C0000}"/>
    <cellStyle name="Normal 29 55" xfId="31889" xr:uid="{00000000-0005-0000-0000-0000977C0000}"/>
    <cellStyle name="Normal 29 55 2" xfId="31890" xr:uid="{00000000-0005-0000-0000-0000987C0000}"/>
    <cellStyle name="Normal 29 56" xfId="31891" xr:uid="{00000000-0005-0000-0000-0000997C0000}"/>
    <cellStyle name="Normal 29 56 2" xfId="31892" xr:uid="{00000000-0005-0000-0000-00009A7C0000}"/>
    <cellStyle name="Normal 29 57" xfId="31893" xr:uid="{00000000-0005-0000-0000-00009B7C0000}"/>
    <cellStyle name="Normal 29 57 2" xfId="31894" xr:uid="{00000000-0005-0000-0000-00009C7C0000}"/>
    <cellStyle name="Normal 29 58" xfId="31895" xr:uid="{00000000-0005-0000-0000-00009D7C0000}"/>
    <cellStyle name="Normal 29 58 2" xfId="31896" xr:uid="{00000000-0005-0000-0000-00009E7C0000}"/>
    <cellStyle name="Normal 29 59" xfId="31897" xr:uid="{00000000-0005-0000-0000-00009F7C0000}"/>
    <cellStyle name="Normal 29 6" xfId="31898" xr:uid="{00000000-0005-0000-0000-0000A07C0000}"/>
    <cellStyle name="Normal 29 6 2" xfId="31899" xr:uid="{00000000-0005-0000-0000-0000A17C0000}"/>
    <cellStyle name="Normal 29 60" xfId="31900" xr:uid="{00000000-0005-0000-0000-0000A27C0000}"/>
    <cellStyle name="Normal 29 7" xfId="31901" xr:uid="{00000000-0005-0000-0000-0000A37C0000}"/>
    <cellStyle name="Normal 29 7 2" xfId="31902" xr:uid="{00000000-0005-0000-0000-0000A47C0000}"/>
    <cellStyle name="Normal 29 8" xfId="31903" xr:uid="{00000000-0005-0000-0000-0000A57C0000}"/>
    <cellStyle name="Normal 29 8 2" xfId="31904" xr:uid="{00000000-0005-0000-0000-0000A67C0000}"/>
    <cellStyle name="Normal 29 9" xfId="31905" xr:uid="{00000000-0005-0000-0000-0000A77C0000}"/>
    <cellStyle name="Normal 29 9 2" xfId="31906" xr:uid="{00000000-0005-0000-0000-0000A87C0000}"/>
    <cellStyle name="Normal 290" xfId="31907" xr:uid="{00000000-0005-0000-0000-0000A97C0000}"/>
    <cellStyle name="Normal 291" xfId="31908" xr:uid="{00000000-0005-0000-0000-0000AA7C0000}"/>
    <cellStyle name="Normal 292" xfId="31909" xr:uid="{00000000-0005-0000-0000-0000AB7C0000}"/>
    <cellStyle name="Normal 293" xfId="31910" xr:uid="{00000000-0005-0000-0000-0000AC7C0000}"/>
    <cellStyle name="Normal 294" xfId="31911" xr:uid="{00000000-0005-0000-0000-0000AD7C0000}"/>
    <cellStyle name="Normal 294 10" xfId="31912" xr:uid="{00000000-0005-0000-0000-0000AE7C0000}"/>
    <cellStyle name="Normal 294 10 2" xfId="31913" xr:uid="{00000000-0005-0000-0000-0000AF7C0000}"/>
    <cellStyle name="Normal 294 11" xfId="31914" xr:uid="{00000000-0005-0000-0000-0000B07C0000}"/>
    <cellStyle name="Normal 294 11 2" xfId="31915" xr:uid="{00000000-0005-0000-0000-0000B17C0000}"/>
    <cellStyle name="Normal 294 12" xfId="31916" xr:uid="{00000000-0005-0000-0000-0000B27C0000}"/>
    <cellStyle name="Normal 294 12 2" xfId="31917" xr:uid="{00000000-0005-0000-0000-0000B37C0000}"/>
    <cellStyle name="Normal 294 13" xfId="31918" xr:uid="{00000000-0005-0000-0000-0000B47C0000}"/>
    <cellStyle name="Normal 294 13 2" xfId="31919" xr:uid="{00000000-0005-0000-0000-0000B57C0000}"/>
    <cellStyle name="Normal 294 14" xfId="31920" xr:uid="{00000000-0005-0000-0000-0000B67C0000}"/>
    <cellStyle name="Normal 294 14 2" xfId="31921" xr:uid="{00000000-0005-0000-0000-0000B77C0000}"/>
    <cellStyle name="Normal 294 15" xfId="31922" xr:uid="{00000000-0005-0000-0000-0000B87C0000}"/>
    <cellStyle name="Normal 294 15 2" xfId="31923" xr:uid="{00000000-0005-0000-0000-0000B97C0000}"/>
    <cellStyle name="Normal 294 16" xfId="31924" xr:uid="{00000000-0005-0000-0000-0000BA7C0000}"/>
    <cellStyle name="Normal 294 16 2" xfId="31925" xr:uid="{00000000-0005-0000-0000-0000BB7C0000}"/>
    <cellStyle name="Normal 294 17" xfId="31926" xr:uid="{00000000-0005-0000-0000-0000BC7C0000}"/>
    <cellStyle name="Normal 294 17 2" xfId="31927" xr:uid="{00000000-0005-0000-0000-0000BD7C0000}"/>
    <cellStyle name="Normal 294 18" xfId="31928" xr:uid="{00000000-0005-0000-0000-0000BE7C0000}"/>
    <cellStyle name="Normal 294 18 2" xfId="31929" xr:uid="{00000000-0005-0000-0000-0000BF7C0000}"/>
    <cellStyle name="Normal 294 19" xfId="31930" xr:uid="{00000000-0005-0000-0000-0000C07C0000}"/>
    <cellStyle name="Normal 294 19 2" xfId="31931" xr:uid="{00000000-0005-0000-0000-0000C17C0000}"/>
    <cellStyle name="Normal 294 2" xfId="31932" xr:uid="{00000000-0005-0000-0000-0000C27C0000}"/>
    <cellStyle name="Normal 294 2 2" xfId="31933" xr:uid="{00000000-0005-0000-0000-0000C37C0000}"/>
    <cellStyle name="Normal 294 20" xfId="31934" xr:uid="{00000000-0005-0000-0000-0000C47C0000}"/>
    <cellStyle name="Normal 294 20 2" xfId="31935" xr:uid="{00000000-0005-0000-0000-0000C57C0000}"/>
    <cellStyle name="Normal 294 21" xfId="31936" xr:uid="{00000000-0005-0000-0000-0000C67C0000}"/>
    <cellStyle name="Normal 294 21 2" xfId="31937" xr:uid="{00000000-0005-0000-0000-0000C77C0000}"/>
    <cellStyle name="Normal 294 22" xfId="31938" xr:uid="{00000000-0005-0000-0000-0000C87C0000}"/>
    <cellStyle name="Normal 294 22 2" xfId="31939" xr:uid="{00000000-0005-0000-0000-0000C97C0000}"/>
    <cellStyle name="Normal 294 23" xfId="31940" xr:uid="{00000000-0005-0000-0000-0000CA7C0000}"/>
    <cellStyle name="Normal 294 23 2" xfId="31941" xr:uid="{00000000-0005-0000-0000-0000CB7C0000}"/>
    <cellStyle name="Normal 294 24" xfId="31942" xr:uid="{00000000-0005-0000-0000-0000CC7C0000}"/>
    <cellStyle name="Normal 294 24 2" xfId="31943" xr:uid="{00000000-0005-0000-0000-0000CD7C0000}"/>
    <cellStyle name="Normal 294 25" xfId="31944" xr:uid="{00000000-0005-0000-0000-0000CE7C0000}"/>
    <cellStyle name="Normal 294 25 2" xfId="31945" xr:uid="{00000000-0005-0000-0000-0000CF7C0000}"/>
    <cellStyle name="Normal 294 26" xfId="31946" xr:uid="{00000000-0005-0000-0000-0000D07C0000}"/>
    <cellStyle name="Normal 294 26 2" xfId="31947" xr:uid="{00000000-0005-0000-0000-0000D17C0000}"/>
    <cellStyle name="Normal 294 27" xfId="31948" xr:uid="{00000000-0005-0000-0000-0000D27C0000}"/>
    <cellStyle name="Normal 294 27 2" xfId="31949" xr:uid="{00000000-0005-0000-0000-0000D37C0000}"/>
    <cellStyle name="Normal 294 28" xfId="31950" xr:uid="{00000000-0005-0000-0000-0000D47C0000}"/>
    <cellStyle name="Normal 294 28 2" xfId="31951" xr:uid="{00000000-0005-0000-0000-0000D57C0000}"/>
    <cellStyle name="Normal 294 29" xfId="31952" xr:uid="{00000000-0005-0000-0000-0000D67C0000}"/>
    <cellStyle name="Normal 294 29 2" xfId="31953" xr:uid="{00000000-0005-0000-0000-0000D77C0000}"/>
    <cellStyle name="Normal 294 3" xfId="31954" xr:uid="{00000000-0005-0000-0000-0000D87C0000}"/>
    <cellStyle name="Normal 294 3 2" xfId="31955" xr:uid="{00000000-0005-0000-0000-0000D97C0000}"/>
    <cellStyle name="Normal 294 30" xfId="31956" xr:uid="{00000000-0005-0000-0000-0000DA7C0000}"/>
    <cellStyle name="Normal 294 30 2" xfId="31957" xr:uid="{00000000-0005-0000-0000-0000DB7C0000}"/>
    <cellStyle name="Normal 294 31" xfId="31958" xr:uid="{00000000-0005-0000-0000-0000DC7C0000}"/>
    <cellStyle name="Normal 294 31 2" xfId="31959" xr:uid="{00000000-0005-0000-0000-0000DD7C0000}"/>
    <cellStyle name="Normal 294 32" xfId="31960" xr:uid="{00000000-0005-0000-0000-0000DE7C0000}"/>
    <cellStyle name="Normal 294 32 2" xfId="31961" xr:uid="{00000000-0005-0000-0000-0000DF7C0000}"/>
    <cellStyle name="Normal 294 33" xfId="31962" xr:uid="{00000000-0005-0000-0000-0000E07C0000}"/>
    <cellStyle name="Normal 294 33 2" xfId="31963" xr:uid="{00000000-0005-0000-0000-0000E17C0000}"/>
    <cellStyle name="Normal 294 34" xfId="31964" xr:uid="{00000000-0005-0000-0000-0000E27C0000}"/>
    <cellStyle name="Normal 294 34 2" xfId="31965" xr:uid="{00000000-0005-0000-0000-0000E37C0000}"/>
    <cellStyle name="Normal 294 35" xfId="31966" xr:uid="{00000000-0005-0000-0000-0000E47C0000}"/>
    <cellStyle name="Normal 294 35 2" xfId="31967" xr:uid="{00000000-0005-0000-0000-0000E57C0000}"/>
    <cellStyle name="Normal 294 36" xfId="31968" xr:uid="{00000000-0005-0000-0000-0000E67C0000}"/>
    <cellStyle name="Normal 294 36 2" xfId="31969" xr:uid="{00000000-0005-0000-0000-0000E77C0000}"/>
    <cellStyle name="Normal 294 37" xfId="31970" xr:uid="{00000000-0005-0000-0000-0000E87C0000}"/>
    <cellStyle name="Normal 294 37 2" xfId="31971" xr:uid="{00000000-0005-0000-0000-0000E97C0000}"/>
    <cellStyle name="Normal 294 38" xfId="31972" xr:uid="{00000000-0005-0000-0000-0000EA7C0000}"/>
    <cellStyle name="Normal 294 38 2" xfId="31973" xr:uid="{00000000-0005-0000-0000-0000EB7C0000}"/>
    <cellStyle name="Normal 294 39" xfId="31974" xr:uid="{00000000-0005-0000-0000-0000EC7C0000}"/>
    <cellStyle name="Normal 294 39 2" xfId="31975" xr:uid="{00000000-0005-0000-0000-0000ED7C0000}"/>
    <cellStyle name="Normal 294 4" xfId="31976" xr:uid="{00000000-0005-0000-0000-0000EE7C0000}"/>
    <cellStyle name="Normal 294 4 2" xfId="31977" xr:uid="{00000000-0005-0000-0000-0000EF7C0000}"/>
    <cellStyle name="Normal 294 40" xfId="31978" xr:uid="{00000000-0005-0000-0000-0000F07C0000}"/>
    <cellStyle name="Normal 294 40 2" xfId="31979" xr:uid="{00000000-0005-0000-0000-0000F17C0000}"/>
    <cellStyle name="Normal 294 41" xfId="31980" xr:uid="{00000000-0005-0000-0000-0000F27C0000}"/>
    <cellStyle name="Normal 294 41 2" xfId="31981" xr:uid="{00000000-0005-0000-0000-0000F37C0000}"/>
    <cellStyle name="Normal 294 42" xfId="31982" xr:uid="{00000000-0005-0000-0000-0000F47C0000}"/>
    <cellStyle name="Normal 294 42 2" xfId="31983" xr:uid="{00000000-0005-0000-0000-0000F57C0000}"/>
    <cellStyle name="Normal 294 43" xfId="31984" xr:uid="{00000000-0005-0000-0000-0000F67C0000}"/>
    <cellStyle name="Normal 294 43 2" xfId="31985" xr:uid="{00000000-0005-0000-0000-0000F77C0000}"/>
    <cellStyle name="Normal 294 44" xfId="31986" xr:uid="{00000000-0005-0000-0000-0000F87C0000}"/>
    <cellStyle name="Normal 294 44 2" xfId="31987" xr:uid="{00000000-0005-0000-0000-0000F97C0000}"/>
    <cellStyle name="Normal 294 45" xfId="31988" xr:uid="{00000000-0005-0000-0000-0000FA7C0000}"/>
    <cellStyle name="Normal 294 45 2" xfId="31989" xr:uid="{00000000-0005-0000-0000-0000FB7C0000}"/>
    <cellStyle name="Normal 294 46" xfId="31990" xr:uid="{00000000-0005-0000-0000-0000FC7C0000}"/>
    <cellStyle name="Normal 294 46 2" xfId="31991" xr:uid="{00000000-0005-0000-0000-0000FD7C0000}"/>
    <cellStyle name="Normal 294 47" xfId="31992" xr:uid="{00000000-0005-0000-0000-0000FE7C0000}"/>
    <cellStyle name="Normal 294 47 2" xfId="31993" xr:uid="{00000000-0005-0000-0000-0000FF7C0000}"/>
    <cellStyle name="Normal 294 48" xfId="31994" xr:uid="{00000000-0005-0000-0000-0000007D0000}"/>
    <cellStyle name="Normal 294 48 2" xfId="31995" xr:uid="{00000000-0005-0000-0000-0000017D0000}"/>
    <cellStyle name="Normal 294 49" xfId="31996" xr:uid="{00000000-0005-0000-0000-0000027D0000}"/>
    <cellStyle name="Normal 294 49 2" xfId="31997" xr:uid="{00000000-0005-0000-0000-0000037D0000}"/>
    <cellStyle name="Normal 294 5" xfId="31998" xr:uid="{00000000-0005-0000-0000-0000047D0000}"/>
    <cellStyle name="Normal 294 5 2" xfId="31999" xr:uid="{00000000-0005-0000-0000-0000057D0000}"/>
    <cellStyle name="Normal 294 50" xfId="32000" xr:uid="{00000000-0005-0000-0000-0000067D0000}"/>
    <cellStyle name="Normal 294 50 2" xfId="32001" xr:uid="{00000000-0005-0000-0000-0000077D0000}"/>
    <cellStyle name="Normal 294 51" xfId="32002" xr:uid="{00000000-0005-0000-0000-0000087D0000}"/>
    <cellStyle name="Normal 294 51 2" xfId="32003" xr:uid="{00000000-0005-0000-0000-0000097D0000}"/>
    <cellStyle name="Normal 294 52" xfId="32004" xr:uid="{00000000-0005-0000-0000-00000A7D0000}"/>
    <cellStyle name="Normal 294 52 2" xfId="32005" xr:uid="{00000000-0005-0000-0000-00000B7D0000}"/>
    <cellStyle name="Normal 294 53" xfId="32006" xr:uid="{00000000-0005-0000-0000-00000C7D0000}"/>
    <cellStyle name="Normal 294 53 2" xfId="32007" xr:uid="{00000000-0005-0000-0000-00000D7D0000}"/>
    <cellStyle name="Normal 294 54" xfId="32008" xr:uid="{00000000-0005-0000-0000-00000E7D0000}"/>
    <cellStyle name="Normal 294 54 2" xfId="32009" xr:uid="{00000000-0005-0000-0000-00000F7D0000}"/>
    <cellStyle name="Normal 294 55" xfId="32010" xr:uid="{00000000-0005-0000-0000-0000107D0000}"/>
    <cellStyle name="Normal 294 55 2" xfId="32011" xr:uid="{00000000-0005-0000-0000-0000117D0000}"/>
    <cellStyle name="Normal 294 56" xfId="32012" xr:uid="{00000000-0005-0000-0000-0000127D0000}"/>
    <cellStyle name="Normal 294 56 2" xfId="32013" xr:uid="{00000000-0005-0000-0000-0000137D0000}"/>
    <cellStyle name="Normal 294 57" xfId="32014" xr:uid="{00000000-0005-0000-0000-0000147D0000}"/>
    <cellStyle name="Normal 294 57 2" xfId="32015" xr:uid="{00000000-0005-0000-0000-0000157D0000}"/>
    <cellStyle name="Normal 294 58" xfId="32016" xr:uid="{00000000-0005-0000-0000-0000167D0000}"/>
    <cellStyle name="Normal 294 58 2" xfId="32017" xr:uid="{00000000-0005-0000-0000-0000177D0000}"/>
    <cellStyle name="Normal 294 59" xfId="32018" xr:uid="{00000000-0005-0000-0000-0000187D0000}"/>
    <cellStyle name="Normal 294 59 2" xfId="32019" xr:uid="{00000000-0005-0000-0000-0000197D0000}"/>
    <cellStyle name="Normal 294 6" xfId="32020" xr:uid="{00000000-0005-0000-0000-00001A7D0000}"/>
    <cellStyle name="Normal 294 6 2" xfId="32021" xr:uid="{00000000-0005-0000-0000-00001B7D0000}"/>
    <cellStyle name="Normal 294 60" xfId="32022" xr:uid="{00000000-0005-0000-0000-00001C7D0000}"/>
    <cellStyle name="Normal 294 60 2" xfId="32023" xr:uid="{00000000-0005-0000-0000-00001D7D0000}"/>
    <cellStyle name="Normal 294 61" xfId="32024" xr:uid="{00000000-0005-0000-0000-00001E7D0000}"/>
    <cellStyle name="Normal 294 61 2" xfId="32025" xr:uid="{00000000-0005-0000-0000-00001F7D0000}"/>
    <cellStyle name="Normal 294 61 3" xfId="32026" xr:uid="{00000000-0005-0000-0000-0000207D0000}"/>
    <cellStyle name="Normal 294 62" xfId="32027" xr:uid="{00000000-0005-0000-0000-0000217D0000}"/>
    <cellStyle name="Normal 294 7" xfId="32028" xr:uid="{00000000-0005-0000-0000-0000227D0000}"/>
    <cellStyle name="Normal 294 7 2" xfId="32029" xr:uid="{00000000-0005-0000-0000-0000237D0000}"/>
    <cellStyle name="Normal 294 8" xfId="32030" xr:uid="{00000000-0005-0000-0000-0000247D0000}"/>
    <cellStyle name="Normal 294 8 2" xfId="32031" xr:uid="{00000000-0005-0000-0000-0000257D0000}"/>
    <cellStyle name="Normal 294 9" xfId="32032" xr:uid="{00000000-0005-0000-0000-0000267D0000}"/>
    <cellStyle name="Normal 294 9 2" xfId="32033" xr:uid="{00000000-0005-0000-0000-0000277D0000}"/>
    <cellStyle name="Normal 295" xfId="32034" xr:uid="{00000000-0005-0000-0000-0000287D0000}"/>
    <cellStyle name="Normal 295 10" xfId="32035" xr:uid="{00000000-0005-0000-0000-0000297D0000}"/>
    <cellStyle name="Normal 295 10 2" xfId="32036" xr:uid="{00000000-0005-0000-0000-00002A7D0000}"/>
    <cellStyle name="Normal 295 11" xfId="32037" xr:uid="{00000000-0005-0000-0000-00002B7D0000}"/>
    <cellStyle name="Normal 295 11 2" xfId="32038" xr:uid="{00000000-0005-0000-0000-00002C7D0000}"/>
    <cellStyle name="Normal 295 12" xfId="32039" xr:uid="{00000000-0005-0000-0000-00002D7D0000}"/>
    <cellStyle name="Normal 295 12 2" xfId="32040" xr:uid="{00000000-0005-0000-0000-00002E7D0000}"/>
    <cellStyle name="Normal 295 13" xfId="32041" xr:uid="{00000000-0005-0000-0000-00002F7D0000}"/>
    <cellStyle name="Normal 295 13 2" xfId="32042" xr:uid="{00000000-0005-0000-0000-0000307D0000}"/>
    <cellStyle name="Normal 295 14" xfId="32043" xr:uid="{00000000-0005-0000-0000-0000317D0000}"/>
    <cellStyle name="Normal 295 14 2" xfId="32044" xr:uid="{00000000-0005-0000-0000-0000327D0000}"/>
    <cellStyle name="Normal 295 15" xfId="32045" xr:uid="{00000000-0005-0000-0000-0000337D0000}"/>
    <cellStyle name="Normal 295 15 2" xfId="32046" xr:uid="{00000000-0005-0000-0000-0000347D0000}"/>
    <cellStyle name="Normal 295 16" xfId="32047" xr:uid="{00000000-0005-0000-0000-0000357D0000}"/>
    <cellStyle name="Normal 295 16 2" xfId="32048" xr:uid="{00000000-0005-0000-0000-0000367D0000}"/>
    <cellStyle name="Normal 295 17" xfId="32049" xr:uid="{00000000-0005-0000-0000-0000377D0000}"/>
    <cellStyle name="Normal 295 17 2" xfId="32050" xr:uid="{00000000-0005-0000-0000-0000387D0000}"/>
    <cellStyle name="Normal 295 18" xfId="32051" xr:uid="{00000000-0005-0000-0000-0000397D0000}"/>
    <cellStyle name="Normal 295 18 2" xfId="32052" xr:uid="{00000000-0005-0000-0000-00003A7D0000}"/>
    <cellStyle name="Normal 295 19" xfId="32053" xr:uid="{00000000-0005-0000-0000-00003B7D0000}"/>
    <cellStyle name="Normal 295 19 2" xfId="32054" xr:uid="{00000000-0005-0000-0000-00003C7D0000}"/>
    <cellStyle name="Normal 295 2" xfId="32055" xr:uid="{00000000-0005-0000-0000-00003D7D0000}"/>
    <cellStyle name="Normal 295 2 2" xfId="32056" xr:uid="{00000000-0005-0000-0000-00003E7D0000}"/>
    <cellStyle name="Normal 295 20" xfId="32057" xr:uid="{00000000-0005-0000-0000-00003F7D0000}"/>
    <cellStyle name="Normal 295 20 2" xfId="32058" xr:uid="{00000000-0005-0000-0000-0000407D0000}"/>
    <cellStyle name="Normal 295 21" xfId="32059" xr:uid="{00000000-0005-0000-0000-0000417D0000}"/>
    <cellStyle name="Normal 295 21 2" xfId="32060" xr:uid="{00000000-0005-0000-0000-0000427D0000}"/>
    <cellStyle name="Normal 295 22" xfId="32061" xr:uid="{00000000-0005-0000-0000-0000437D0000}"/>
    <cellStyle name="Normal 295 22 2" xfId="32062" xr:uid="{00000000-0005-0000-0000-0000447D0000}"/>
    <cellStyle name="Normal 295 23" xfId="32063" xr:uid="{00000000-0005-0000-0000-0000457D0000}"/>
    <cellStyle name="Normal 295 23 2" xfId="32064" xr:uid="{00000000-0005-0000-0000-0000467D0000}"/>
    <cellStyle name="Normal 295 24" xfId="32065" xr:uid="{00000000-0005-0000-0000-0000477D0000}"/>
    <cellStyle name="Normal 295 24 2" xfId="32066" xr:uid="{00000000-0005-0000-0000-0000487D0000}"/>
    <cellStyle name="Normal 295 25" xfId="32067" xr:uid="{00000000-0005-0000-0000-0000497D0000}"/>
    <cellStyle name="Normal 295 25 2" xfId="32068" xr:uid="{00000000-0005-0000-0000-00004A7D0000}"/>
    <cellStyle name="Normal 295 26" xfId="32069" xr:uid="{00000000-0005-0000-0000-00004B7D0000}"/>
    <cellStyle name="Normal 295 26 2" xfId="32070" xr:uid="{00000000-0005-0000-0000-00004C7D0000}"/>
    <cellStyle name="Normal 295 27" xfId="32071" xr:uid="{00000000-0005-0000-0000-00004D7D0000}"/>
    <cellStyle name="Normal 295 27 2" xfId="32072" xr:uid="{00000000-0005-0000-0000-00004E7D0000}"/>
    <cellStyle name="Normal 295 28" xfId="32073" xr:uid="{00000000-0005-0000-0000-00004F7D0000}"/>
    <cellStyle name="Normal 295 28 2" xfId="32074" xr:uid="{00000000-0005-0000-0000-0000507D0000}"/>
    <cellStyle name="Normal 295 29" xfId="32075" xr:uid="{00000000-0005-0000-0000-0000517D0000}"/>
    <cellStyle name="Normal 295 29 2" xfId="32076" xr:uid="{00000000-0005-0000-0000-0000527D0000}"/>
    <cellStyle name="Normal 295 3" xfId="32077" xr:uid="{00000000-0005-0000-0000-0000537D0000}"/>
    <cellStyle name="Normal 295 3 2" xfId="32078" xr:uid="{00000000-0005-0000-0000-0000547D0000}"/>
    <cellStyle name="Normal 295 30" xfId="32079" xr:uid="{00000000-0005-0000-0000-0000557D0000}"/>
    <cellStyle name="Normal 295 30 2" xfId="32080" xr:uid="{00000000-0005-0000-0000-0000567D0000}"/>
    <cellStyle name="Normal 295 31" xfId="32081" xr:uid="{00000000-0005-0000-0000-0000577D0000}"/>
    <cellStyle name="Normal 295 31 2" xfId="32082" xr:uid="{00000000-0005-0000-0000-0000587D0000}"/>
    <cellStyle name="Normal 295 32" xfId="32083" xr:uid="{00000000-0005-0000-0000-0000597D0000}"/>
    <cellStyle name="Normal 295 32 2" xfId="32084" xr:uid="{00000000-0005-0000-0000-00005A7D0000}"/>
    <cellStyle name="Normal 295 33" xfId="32085" xr:uid="{00000000-0005-0000-0000-00005B7D0000}"/>
    <cellStyle name="Normal 295 33 2" xfId="32086" xr:uid="{00000000-0005-0000-0000-00005C7D0000}"/>
    <cellStyle name="Normal 295 34" xfId="32087" xr:uid="{00000000-0005-0000-0000-00005D7D0000}"/>
    <cellStyle name="Normal 295 34 2" xfId="32088" xr:uid="{00000000-0005-0000-0000-00005E7D0000}"/>
    <cellStyle name="Normal 295 35" xfId="32089" xr:uid="{00000000-0005-0000-0000-00005F7D0000}"/>
    <cellStyle name="Normal 295 35 2" xfId="32090" xr:uid="{00000000-0005-0000-0000-0000607D0000}"/>
    <cellStyle name="Normal 295 36" xfId="32091" xr:uid="{00000000-0005-0000-0000-0000617D0000}"/>
    <cellStyle name="Normal 295 36 2" xfId="32092" xr:uid="{00000000-0005-0000-0000-0000627D0000}"/>
    <cellStyle name="Normal 295 37" xfId="32093" xr:uid="{00000000-0005-0000-0000-0000637D0000}"/>
    <cellStyle name="Normal 295 37 2" xfId="32094" xr:uid="{00000000-0005-0000-0000-0000647D0000}"/>
    <cellStyle name="Normal 295 38" xfId="32095" xr:uid="{00000000-0005-0000-0000-0000657D0000}"/>
    <cellStyle name="Normal 295 38 2" xfId="32096" xr:uid="{00000000-0005-0000-0000-0000667D0000}"/>
    <cellStyle name="Normal 295 39" xfId="32097" xr:uid="{00000000-0005-0000-0000-0000677D0000}"/>
    <cellStyle name="Normal 295 39 2" xfId="32098" xr:uid="{00000000-0005-0000-0000-0000687D0000}"/>
    <cellStyle name="Normal 295 4" xfId="32099" xr:uid="{00000000-0005-0000-0000-0000697D0000}"/>
    <cellStyle name="Normal 295 4 2" xfId="32100" xr:uid="{00000000-0005-0000-0000-00006A7D0000}"/>
    <cellStyle name="Normal 295 40" xfId="32101" xr:uid="{00000000-0005-0000-0000-00006B7D0000}"/>
    <cellStyle name="Normal 295 40 2" xfId="32102" xr:uid="{00000000-0005-0000-0000-00006C7D0000}"/>
    <cellStyle name="Normal 295 41" xfId="32103" xr:uid="{00000000-0005-0000-0000-00006D7D0000}"/>
    <cellStyle name="Normal 295 41 2" xfId="32104" xr:uid="{00000000-0005-0000-0000-00006E7D0000}"/>
    <cellStyle name="Normal 295 42" xfId="32105" xr:uid="{00000000-0005-0000-0000-00006F7D0000}"/>
    <cellStyle name="Normal 295 42 2" xfId="32106" xr:uid="{00000000-0005-0000-0000-0000707D0000}"/>
    <cellStyle name="Normal 295 43" xfId="32107" xr:uid="{00000000-0005-0000-0000-0000717D0000}"/>
    <cellStyle name="Normal 295 43 2" xfId="32108" xr:uid="{00000000-0005-0000-0000-0000727D0000}"/>
    <cellStyle name="Normal 295 44" xfId="32109" xr:uid="{00000000-0005-0000-0000-0000737D0000}"/>
    <cellStyle name="Normal 295 44 2" xfId="32110" xr:uid="{00000000-0005-0000-0000-0000747D0000}"/>
    <cellStyle name="Normal 295 45" xfId="32111" xr:uid="{00000000-0005-0000-0000-0000757D0000}"/>
    <cellStyle name="Normal 295 45 2" xfId="32112" xr:uid="{00000000-0005-0000-0000-0000767D0000}"/>
    <cellStyle name="Normal 295 46" xfId="32113" xr:uid="{00000000-0005-0000-0000-0000777D0000}"/>
    <cellStyle name="Normal 295 46 2" xfId="32114" xr:uid="{00000000-0005-0000-0000-0000787D0000}"/>
    <cellStyle name="Normal 295 47" xfId="32115" xr:uid="{00000000-0005-0000-0000-0000797D0000}"/>
    <cellStyle name="Normal 295 47 2" xfId="32116" xr:uid="{00000000-0005-0000-0000-00007A7D0000}"/>
    <cellStyle name="Normal 295 48" xfId="32117" xr:uid="{00000000-0005-0000-0000-00007B7D0000}"/>
    <cellStyle name="Normal 295 48 2" xfId="32118" xr:uid="{00000000-0005-0000-0000-00007C7D0000}"/>
    <cellStyle name="Normal 295 49" xfId="32119" xr:uid="{00000000-0005-0000-0000-00007D7D0000}"/>
    <cellStyle name="Normal 295 49 2" xfId="32120" xr:uid="{00000000-0005-0000-0000-00007E7D0000}"/>
    <cellStyle name="Normal 295 5" xfId="32121" xr:uid="{00000000-0005-0000-0000-00007F7D0000}"/>
    <cellStyle name="Normal 295 5 2" xfId="32122" xr:uid="{00000000-0005-0000-0000-0000807D0000}"/>
    <cellStyle name="Normal 295 50" xfId="32123" xr:uid="{00000000-0005-0000-0000-0000817D0000}"/>
    <cellStyle name="Normal 295 50 2" xfId="32124" xr:uid="{00000000-0005-0000-0000-0000827D0000}"/>
    <cellStyle name="Normal 295 51" xfId="32125" xr:uid="{00000000-0005-0000-0000-0000837D0000}"/>
    <cellStyle name="Normal 295 51 2" xfId="32126" xr:uid="{00000000-0005-0000-0000-0000847D0000}"/>
    <cellStyle name="Normal 295 52" xfId="32127" xr:uid="{00000000-0005-0000-0000-0000857D0000}"/>
    <cellStyle name="Normal 295 52 2" xfId="32128" xr:uid="{00000000-0005-0000-0000-0000867D0000}"/>
    <cellStyle name="Normal 295 53" xfId="32129" xr:uid="{00000000-0005-0000-0000-0000877D0000}"/>
    <cellStyle name="Normal 295 53 2" xfId="32130" xr:uid="{00000000-0005-0000-0000-0000887D0000}"/>
    <cellStyle name="Normal 295 54" xfId="32131" xr:uid="{00000000-0005-0000-0000-0000897D0000}"/>
    <cellStyle name="Normal 295 54 2" xfId="32132" xr:uid="{00000000-0005-0000-0000-00008A7D0000}"/>
    <cellStyle name="Normal 295 55" xfId="32133" xr:uid="{00000000-0005-0000-0000-00008B7D0000}"/>
    <cellStyle name="Normal 295 55 2" xfId="32134" xr:uid="{00000000-0005-0000-0000-00008C7D0000}"/>
    <cellStyle name="Normal 295 56" xfId="32135" xr:uid="{00000000-0005-0000-0000-00008D7D0000}"/>
    <cellStyle name="Normal 295 56 2" xfId="32136" xr:uid="{00000000-0005-0000-0000-00008E7D0000}"/>
    <cellStyle name="Normal 295 57" xfId="32137" xr:uid="{00000000-0005-0000-0000-00008F7D0000}"/>
    <cellStyle name="Normal 295 57 2" xfId="32138" xr:uid="{00000000-0005-0000-0000-0000907D0000}"/>
    <cellStyle name="Normal 295 58" xfId="32139" xr:uid="{00000000-0005-0000-0000-0000917D0000}"/>
    <cellStyle name="Normal 295 58 2" xfId="32140" xr:uid="{00000000-0005-0000-0000-0000927D0000}"/>
    <cellStyle name="Normal 295 59" xfId="32141" xr:uid="{00000000-0005-0000-0000-0000937D0000}"/>
    <cellStyle name="Normal 295 59 2" xfId="32142" xr:uid="{00000000-0005-0000-0000-0000947D0000}"/>
    <cellStyle name="Normal 295 6" xfId="32143" xr:uid="{00000000-0005-0000-0000-0000957D0000}"/>
    <cellStyle name="Normal 295 6 2" xfId="32144" xr:uid="{00000000-0005-0000-0000-0000967D0000}"/>
    <cellStyle name="Normal 295 60" xfId="32145" xr:uid="{00000000-0005-0000-0000-0000977D0000}"/>
    <cellStyle name="Normal 295 60 2" xfId="32146" xr:uid="{00000000-0005-0000-0000-0000987D0000}"/>
    <cellStyle name="Normal 295 61" xfId="32147" xr:uid="{00000000-0005-0000-0000-0000997D0000}"/>
    <cellStyle name="Normal 295 61 2" xfId="32148" xr:uid="{00000000-0005-0000-0000-00009A7D0000}"/>
    <cellStyle name="Normal 295 61 3" xfId="32149" xr:uid="{00000000-0005-0000-0000-00009B7D0000}"/>
    <cellStyle name="Normal 295 62" xfId="32150" xr:uid="{00000000-0005-0000-0000-00009C7D0000}"/>
    <cellStyle name="Normal 295 7" xfId="32151" xr:uid="{00000000-0005-0000-0000-00009D7D0000}"/>
    <cellStyle name="Normal 295 7 2" xfId="32152" xr:uid="{00000000-0005-0000-0000-00009E7D0000}"/>
    <cellStyle name="Normal 295 8" xfId="32153" xr:uid="{00000000-0005-0000-0000-00009F7D0000}"/>
    <cellStyle name="Normal 295 8 2" xfId="32154" xr:uid="{00000000-0005-0000-0000-0000A07D0000}"/>
    <cellStyle name="Normal 295 9" xfId="32155" xr:uid="{00000000-0005-0000-0000-0000A17D0000}"/>
    <cellStyle name="Normal 295 9 2" xfId="32156" xr:uid="{00000000-0005-0000-0000-0000A27D0000}"/>
    <cellStyle name="Normal 296" xfId="32157" xr:uid="{00000000-0005-0000-0000-0000A37D0000}"/>
    <cellStyle name="Normal 297" xfId="32158" xr:uid="{00000000-0005-0000-0000-0000A47D0000}"/>
    <cellStyle name="Normal 298" xfId="32159" xr:uid="{00000000-0005-0000-0000-0000A57D0000}"/>
    <cellStyle name="Normal 298 10" xfId="32160" xr:uid="{00000000-0005-0000-0000-0000A67D0000}"/>
    <cellStyle name="Normal 298 10 2" xfId="32161" xr:uid="{00000000-0005-0000-0000-0000A77D0000}"/>
    <cellStyle name="Normal 298 11" xfId="32162" xr:uid="{00000000-0005-0000-0000-0000A87D0000}"/>
    <cellStyle name="Normal 298 11 2" xfId="32163" xr:uid="{00000000-0005-0000-0000-0000A97D0000}"/>
    <cellStyle name="Normal 298 12" xfId="32164" xr:uid="{00000000-0005-0000-0000-0000AA7D0000}"/>
    <cellStyle name="Normal 298 12 2" xfId="32165" xr:uid="{00000000-0005-0000-0000-0000AB7D0000}"/>
    <cellStyle name="Normal 298 13" xfId="32166" xr:uid="{00000000-0005-0000-0000-0000AC7D0000}"/>
    <cellStyle name="Normal 298 13 2" xfId="32167" xr:uid="{00000000-0005-0000-0000-0000AD7D0000}"/>
    <cellStyle name="Normal 298 14" xfId="32168" xr:uid="{00000000-0005-0000-0000-0000AE7D0000}"/>
    <cellStyle name="Normal 298 14 2" xfId="32169" xr:uid="{00000000-0005-0000-0000-0000AF7D0000}"/>
    <cellStyle name="Normal 298 15" xfId="32170" xr:uid="{00000000-0005-0000-0000-0000B07D0000}"/>
    <cellStyle name="Normal 298 15 2" xfId="32171" xr:uid="{00000000-0005-0000-0000-0000B17D0000}"/>
    <cellStyle name="Normal 298 16" xfId="32172" xr:uid="{00000000-0005-0000-0000-0000B27D0000}"/>
    <cellStyle name="Normal 298 16 2" xfId="32173" xr:uid="{00000000-0005-0000-0000-0000B37D0000}"/>
    <cellStyle name="Normal 298 17" xfId="32174" xr:uid="{00000000-0005-0000-0000-0000B47D0000}"/>
    <cellStyle name="Normal 298 17 2" xfId="32175" xr:uid="{00000000-0005-0000-0000-0000B57D0000}"/>
    <cellStyle name="Normal 298 18" xfId="32176" xr:uid="{00000000-0005-0000-0000-0000B67D0000}"/>
    <cellStyle name="Normal 298 18 2" xfId="32177" xr:uid="{00000000-0005-0000-0000-0000B77D0000}"/>
    <cellStyle name="Normal 298 19" xfId="32178" xr:uid="{00000000-0005-0000-0000-0000B87D0000}"/>
    <cellStyle name="Normal 298 19 2" xfId="32179" xr:uid="{00000000-0005-0000-0000-0000B97D0000}"/>
    <cellStyle name="Normal 298 2" xfId="32180" xr:uid="{00000000-0005-0000-0000-0000BA7D0000}"/>
    <cellStyle name="Normal 298 2 2" xfId="32181" xr:uid="{00000000-0005-0000-0000-0000BB7D0000}"/>
    <cellStyle name="Normal 298 20" xfId="32182" xr:uid="{00000000-0005-0000-0000-0000BC7D0000}"/>
    <cellStyle name="Normal 298 20 2" xfId="32183" xr:uid="{00000000-0005-0000-0000-0000BD7D0000}"/>
    <cellStyle name="Normal 298 21" xfId="32184" xr:uid="{00000000-0005-0000-0000-0000BE7D0000}"/>
    <cellStyle name="Normal 298 21 2" xfId="32185" xr:uid="{00000000-0005-0000-0000-0000BF7D0000}"/>
    <cellStyle name="Normal 298 22" xfId="32186" xr:uid="{00000000-0005-0000-0000-0000C07D0000}"/>
    <cellStyle name="Normal 298 22 2" xfId="32187" xr:uid="{00000000-0005-0000-0000-0000C17D0000}"/>
    <cellStyle name="Normal 298 23" xfId="32188" xr:uid="{00000000-0005-0000-0000-0000C27D0000}"/>
    <cellStyle name="Normal 298 23 2" xfId="32189" xr:uid="{00000000-0005-0000-0000-0000C37D0000}"/>
    <cellStyle name="Normal 298 24" xfId="32190" xr:uid="{00000000-0005-0000-0000-0000C47D0000}"/>
    <cellStyle name="Normal 298 24 2" xfId="32191" xr:uid="{00000000-0005-0000-0000-0000C57D0000}"/>
    <cellStyle name="Normal 298 25" xfId="32192" xr:uid="{00000000-0005-0000-0000-0000C67D0000}"/>
    <cellStyle name="Normal 298 25 2" xfId="32193" xr:uid="{00000000-0005-0000-0000-0000C77D0000}"/>
    <cellStyle name="Normal 298 26" xfId="32194" xr:uid="{00000000-0005-0000-0000-0000C87D0000}"/>
    <cellStyle name="Normal 298 26 2" xfId="32195" xr:uid="{00000000-0005-0000-0000-0000C97D0000}"/>
    <cellStyle name="Normal 298 27" xfId="32196" xr:uid="{00000000-0005-0000-0000-0000CA7D0000}"/>
    <cellStyle name="Normal 298 27 2" xfId="32197" xr:uid="{00000000-0005-0000-0000-0000CB7D0000}"/>
    <cellStyle name="Normal 298 28" xfId="32198" xr:uid="{00000000-0005-0000-0000-0000CC7D0000}"/>
    <cellStyle name="Normal 298 28 2" xfId="32199" xr:uid="{00000000-0005-0000-0000-0000CD7D0000}"/>
    <cellStyle name="Normal 298 29" xfId="32200" xr:uid="{00000000-0005-0000-0000-0000CE7D0000}"/>
    <cellStyle name="Normal 298 29 2" xfId="32201" xr:uid="{00000000-0005-0000-0000-0000CF7D0000}"/>
    <cellStyle name="Normal 298 3" xfId="32202" xr:uid="{00000000-0005-0000-0000-0000D07D0000}"/>
    <cellStyle name="Normal 298 3 2" xfId="32203" xr:uid="{00000000-0005-0000-0000-0000D17D0000}"/>
    <cellStyle name="Normal 298 30" xfId="32204" xr:uid="{00000000-0005-0000-0000-0000D27D0000}"/>
    <cellStyle name="Normal 298 30 2" xfId="32205" xr:uid="{00000000-0005-0000-0000-0000D37D0000}"/>
    <cellStyle name="Normal 298 31" xfId="32206" xr:uid="{00000000-0005-0000-0000-0000D47D0000}"/>
    <cellStyle name="Normal 298 31 2" xfId="32207" xr:uid="{00000000-0005-0000-0000-0000D57D0000}"/>
    <cellStyle name="Normal 298 32" xfId="32208" xr:uid="{00000000-0005-0000-0000-0000D67D0000}"/>
    <cellStyle name="Normal 298 32 2" xfId="32209" xr:uid="{00000000-0005-0000-0000-0000D77D0000}"/>
    <cellStyle name="Normal 298 33" xfId="32210" xr:uid="{00000000-0005-0000-0000-0000D87D0000}"/>
    <cellStyle name="Normal 298 33 2" xfId="32211" xr:uid="{00000000-0005-0000-0000-0000D97D0000}"/>
    <cellStyle name="Normal 298 34" xfId="32212" xr:uid="{00000000-0005-0000-0000-0000DA7D0000}"/>
    <cellStyle name="Normal 298 34 2" xfId="32213" xr:uid="{00000000-0005-0000-0000-0000DB7D0000}"/>
    <cellStyle name="Normal 298 35" xfId="32214" xr:uid="{00000000-0005-0000-0000-0000DC7D0000}"/>
    <cellStyle name="Normal 298 35 2" xfId="32215" xr:uid="{00000000-0005-0000-0000-0000DD7D0000}"/>
    <cellStyle name="Normal 298 36" xfId="32216" xr:uid="{00000000-0005-0000-0000-0000DE7D0000}"/>
    <cellStyle name="Normal 298 36 2" xfId="32217" xr:uid="{00000000-0005-0000-0000-0000DF7D0000}"/>
    <cellStyle name="Normal 298 37" xfId="32218" xr:uid="{00000000-0005-0000-0000-0000E07D0000}"/>
    <cellStyle name="Normal 298 37 2" xfId="32219" xr:uid="{00000000-0005-0000-0000-0000E17D0000}"/>
    <cellStyle name="Normal 298 38" xfId="32220" xr:uid="{00000000-0005-0000-0000-0000E27D0000}"/>
    <cellStyle name="Normal 298 38 2" xfId="32221" xr:uid="{00000000-0005-0000-0000-0000E37D0000}"/>
    <cellStyle name="Normal 298 39" xfId="32222" xr:uid="{00000000-0005-0000-0000-0000E47D0000}"/>
    <cellStyle name="Normal 298 39 2" xfId="32223" xr:uid="{00000000-0005-0000-0000-0000E57D0000}"/>
    <cellStyle name="Normal 298 4" xfId="32224" xr:uid="{00000000-0005-0000-0000-0000E67D0000}"/>
    <cellStyle name="Normal 298 4 2" xfId="32225" xr:uid="{00000000-0005-0000-0000-0000E77D0000}"/>
    <cellStyle name="Normal 298 40" xfId="32226" xr:uid="{00000000-0005-0000-0000-0000E87D0000}"/>
    <cellStyle name="Normal 298 40 2" xfId="32227" xr:uid="{00000000-0005-0000-0000-0000E97D0000}"/>
    <cellStyle name="Normal 298 41" xfId="32228" xr:uid="{00000000-0005-0000-0000-0000EA7D0000}"/>
    <cellStyle name="Normal 298 41 2" xfId="32229" xr:uid="{00000000-0005-0000-0000-0000EB7D0000}"/>
    <cellStyle name="Normal 298 42" xfId="32230" xr:uid="{00000000-0005-0000-0000-0000EC7D0000}"/>
    <cellStyle name="Normal 298 42 2" xfId="32231" xr:uid="{00000000-0005-0000-0000-0000ED7D0000}"/>
    <cellStyle name="Normal 298 43" xfId="32232" xr:uid="{00000000-0005-0000-0000-0000EE7D0000}"/>
    <cellStyle name="Normal 298 43 2" xfId="32233" xr:uid="{00000000-0005-0000-0000-0000EF7D0000}"/>
    <cellStyle name="Normal 298 44" xfId="32234" xr:uid="{00000000-0005-0000-0000-0000F07D0000}"/>
    <cellStyle name="Normal 298 44 2" xfId="32235" xr:uid="{00000000-0005-0000-0000-0000F17D0000}"/>
    <cellStyle name="Normal 298 45" xfId="32236" xr:uid="{00000000-0005-0000-0000-0000F27D0000}"/>
    <cellStyle name="Normal 298 45 2" xfId="32237" xr:uid="{00000000-0005-0000-0000-0000F37D0000}"/>
    <cellStyle name="Normal 298 46" xfId="32238" xr:uid="{00000000-0005-0000-0000-0000F47D0000}"/>
    <cellStyle name="Normal 298 46 2" xfId="32239" xr:uid="{00000000-0005-0000-0000-0000F57D0000}"/>
    <cellStyle name="Normal 298 47" xfId="32240" xr:uid="{00000000-0005-0000-0000-0000F67D0000}"/>
    <cellStyle name="Normal 298 47 2" xfId="32241" xr:uid="{00000000-0005-0000-0000-0000F77D0000}"/>
    <cellStyle name="Normal 298 48" xfId="32242" xr:uid="{00000000-0005-0000-0000-0000F87D0000}"/>
    <cellStyle name="Normal 298 48 2" xfId="32243" xr:uid="{00000000-0005-0000-0000-0000F97D0000}"/>
    <cellStyle name="Normal 298 49" xfId="32244" xr:uid="{00000000-0005-0000-0000-0000FA7D0000}"/>
    <cellStyle name="Normal 298 49 2" xfId="32245" xr:uid="{00000000-0005-0000-0000-0000FB7D0000}"/>
    <cellStyle name="Normal 298 5" xfId="32246" xr:uid="{00000000-0005-0000-0000-0000FC7D0000}"/>
    <cellStyle name="Normal 298 5 2" xfId="32247" xr:uid="{00000000-0005-0000-0000-0000FD7D0000}"/>
    <cellStyle name="Normal 298 50" xfId="32248" xr:uid="{00000000-0005-0000-0000-0000FE7D0000}"/>
    <cellStyle name="Normal 298 50 2" xfId="32249" xr:uid="{00000000-0005-0000-0000-0000FF7D0000}"/>
    <cellStyle name="Normal 298 51" xfId="32250" xr:uid="{00000000-0005-0000-0000-0000007E0000}"/>
    <cellStyle name="Normal 298 51 2" xfId="32251" xr:uid="{00000000-0005-0000-0000-0000017E0000}"/>
    <cellStyle name="Normal 298 52" xfId="32252" xr:uid="{00000000-0005-0000-0000-0000027E0000}"/>
    <cellStyle name="Normal 298 52 2" xfId="32253" xr:uid="{00000000-0005-0000-0000-0000037E0000}"/>
    <cellStyle name="Normal 298 53" xfId="32254" xr:uid="{00000000-0005-0000-0000-0000047E0000}"/>
    <cellStyle name="Normal 298 53 2" xfId="32255" xr:uid="{00000000-0005-0000-0000-0000057E0000}"/>
    <cellStyle name="Normal 298 54" xfId="32256" xr:uid="{00000000-0005-0000-0000-0000067E0000}"/>
    <cellStyle name="Normal 298 54 2" xfId="32257" xr:uid="{00000000-0005-0000-0000-0000077E0000}"/>
    <cellStyle name="Normal 298 55" xfId="32258" xr:uid="{00000000-0005-0000-0000-0000087E0000}"/>
    <cellStyle name="Normal 298 55 2" xfId="32259" xr:uid="{00000000-0005-0000-0000-0000097E0000}"/>
    <cellStyle name="Normal 298 56" xfId="32260" xr:uid="{00000000-0005-0000-0000-00000A7E0000}"/>
    <cellStyle name="Normal 298 56 2" xfId="32261" xr:uid="{00000000-0005-0000-0000-00000B7E0000}"/>
    <cellStyle name="Normal 298 57" xfId="32262" xr:uid="{00000000-0005-0000-0000-00000C7E0000}"/>
    <cellStyle name="Normal 298 57 2" xfId="32263" xr:uid="{00000000-0005-0000-0000-00000D7E0000}"/>
    <cellStyle name="Normal 298 58" xfId="32264" xr:uid="{00000000-0005-0000-0000-00000E7E0000}"/>
    <cellStyle name="Normal 298 58 2" xfId="32265" xr:uid="{00000000-0005-0000-0000-00000F7E0000}"/>
    <cellStyle name="Normal 298 59" xfId="32266" xr:uid="{00000000-0005-0000-0000-0000107E0000}"/>
    <cellStyle name="Normal 298 59 2" xfId="32267" xr:uid="{00000000-0005-0000-0000-0000117E0000}"/>
    <cellStyle name="Normal 298 6" xfId="32268" xr:uid="{00000000-0005-0000-0000-0000127E0000}"/>
    <cellStyle name="Normal 298 6 2" xfId="32269" xr:uid="{00000000-0005-0000-0000-0000137E0000}"/>
    <cellStyle name="Normal 298 60" xfId="32270" xr:uid="{00000000-0005-0000-0000-0000147E0000}"/>
    <cellStyle name="Normal 298 60 2" xfId="32271" xr:uid="{00000000-0005-0000-0000-0000157E0000}"/>
    <cellStyle name="Normal 298 61" xfId="32272" xr:uid="{00000000-0005-0000-0000-0000167E0000}"/>
    <cellStyle name="Normal 298 61 2" xfId="32273" xr:uid="{00000000-0005-0000-0000-0000177E0000}"/>
    <cellStyle name="Normal 298 61 3" xfId="32274" xr:uid="{00000000-0005-0000-0000-0000187E0000}"/>
    <cellStyle name="Normal 298 62" xfId="32275" xr:uid="{00000000-0005-0000-0000-0000197E0000}"/>
    <cellStyle name="Normal 298 7" xfId="32276" xr:uid="{00000000-0005-0000-0000-00001A7E0000}"/>
    <cellStyle name="Normal 298 7 2" xfId="32277" xr:uid="{00000000-0005-0000-0000-00001B7E0000}"/>
    <cellStyle name="Normal 298 8" xfId="32278" xr:uid="{00000000-0005-0000-0000-00001C7E0000}"/>
    <cellStyle name="Normal 298 8 2" xfId="32279" xr:uid="{00000000-0005-0000-0000-00001D7E0000}"/>
    <cellStyle name="Normal 298 9" xfId="32280" xr:uid="{00000000-0005-0000-0000-00001E7E0000}"/>
    <cellStyle name="Normal 298 9 2" xfId="32281" xr:uid="{00000000-0005-0000-0000-00001F7E0000}"/>
    <cellStyle name="Normal 299" xfId="32282" xr:uid="{00000000-0005-0000-0000-0000207E0000}"/>
    <cellStyle name="Normal 3" xfId="32283" xr:uid="{00000000-0005-0000-0000-0000217E0000}"/>
    <cellStyle name="Normal 3 10" xfId="32284" xr:uid="{00000000-0005-0000-0000-0000227E0000}"/>
    <cellStyle name="Normal 3 10 10" xfId="32285" xr:uid="{00000000-0005-0000-0000-0000237E0000}"/>
    <cellStyle name="Normal 3 10 10 2" xfId="32286" xr:uid="{00000000-0005-0000-0000-0000247E0000}"/>
    <cellStyle name="Normal 3 10 11" xfId="32287" xr:uid="{00000000-0005-0000-0000-0000257E0000}"/>
    <cellStyle name="Normal 3 10 12" xfId="32288" xr:uid="{00000000-0005-0000-0000-0000267E0000}"/>
    <cellStyle name="Normal 3 10 2" xfId="32289" xr:uid="{00000000-0005-0000-0000-0000277E0000}"/>
    <cellStyle name="Normal 3 10 2 10" xfId="32290" xr:uid="{00000000-0005-0000-0000-0000287E0000}"/>
    <cellStyle name="Normal 3 10 2 11" xfId="32291" xr:uid="{00000000-0005-0000-0000-0000297E0000}"/>
    <cellStyle name="Normal 3 10 2 2" xfId="32292" xr:uid="{00000000-0005-0000-0000-00002A7E0000}"/>
    <cellStyle name="Normal 3 10 2 2 10" xfId="32293" xr:uid="{00000000-0005-0000-0000-00002B7E0000}"/>
    <cellStyle name="Normal 3 10 2 2 2" xfId="32294" xr:uid="{00000000-0005-0000-0000-00002C7E0000}"/>
    <cellStyle name="Normal 3 10 2 2 2 2" xfId="32295" xr:uid="{00000000-0005-0000-0000-00002D7E0000}"/>
    <cellStyle name="Normal 3 10 2 2 2 2 2" xfId="32296" xr:uid="{00000000-0005-0000-0000-00002E7E0000}"/>
    <cellStyle name="Normal 3 10 2 2 2 2 2 2" xfId="32297" xr:uid="{00000000-0005-0000-0000-00002F7E0000}"/>
    <cellStyle name="Normal 3 10 2 2 2 2 2 2 2" xfId="32298" xr:uid="{00000000-0005-0000-0000-0000307E0000}"/>
    <cellStyle name="Normal 3 10 2 2 2 2 2 2 2 2" xfId="32299" xr:uid="{00000000-0005-0000-0000-0000317E0000}"/>
    <cellStyle name="Normal 3 10 2 2 2 2 2 2 2 2 2" xfId="32300" xr:uid="{00000000-0005-0000-0000-0000327E0000}"/>
    <cellStyle name="Normal 3 10 2 2 2 2 2 2 2 3" xfId="32301" xr:uid="{00000000-0005-0000-0000-0000337E0000}"/>
    <cellStyle name="Normal 3 10 2 2 2 2 2 2 2 4" xfId="32302" xr:uid="{00000000-0005-0000-0000-0000347E0000}"/>
    <cellStyle name="Normal 3 10 2 2 2 2 2 2 3" xfId="32303" xr:uid="{00000000-0005-0000-0000-0000357E0000}"/>
    <cellStyle name="Normal 3 10 2 2 2 2 2 2 3 2" xfId="32304" xr:uid="{00000000-0005-0000-0000-0000367E0000}"/>
    <cellStyle name="Normal 3 10 2 2 2 2 2 2 4" xfId="32305" xr:uid="{00000000-0005-0000-0000-0000377E0000}"/>
    <cellStyle name="Normal 3 10 2 2 2 2 2 2 5" xfId="32306" xr:uid="{00000000-0005-0000-0000-0000387E0000}"/>
    <cellStyle name="Normal 3 10 2 2 2 2 2 3" xfId="32307" xr:uid="{00000000-0005-0000-0000-0000397E0000}"/>
    <cellStyle name="Normal 3 10 2 2 2 2 2 3 2" xfId="32308" xr:uid="{00000000-0005-0000-0000-00003A7E0000}"/>
    <cellStyle name="Normal 3 10 2 2 2 2 2 3 2 2" xfId="32309" xr:uid="{00000000-0005-0000-0000-00003B7E0000}"/>
    <cellStyle name="Normal 3 10 2 2 2 2 2 3 3" xfId="32310" xr:uid="{00000000-0005-0000-0000-00003C7E0000}"/>
    <cellStyle name="Normal 3 10 2 2 2 2 2 3 4" xfId="32311" xr:uid="{00000000-0005-0000-0000-00003D7E0000}"/>
    <cellStyle name="Normal 3 10 2 2 2 2 2 4" xfId="32312" xr:uid="{00000000-0005-0000-0000-00003E7E0000}"/>
    <cellStyle name="Normal 3 10 2 2 2 2 2 4 2" xfId="32313" xr:uid="{00000000-0005-0000-0000-00003F7E0000}"/>
    <cellStyle name="Normal 3 10 2 2 2 2 2 5" xfId="32314" xr:uid="{00000000-0005-0000-0000-0000407E0000}"/>
    <cellStyle name="Normal 3 10 2 2 2 2 2 6" xfId="32315" xr:uid="{00000000-0005-0000-0000-0000417E0000}"/>
    <cellStyle name="Normal 3 10 2 2 2 2 3" xfId="32316" xr:uid="{00000000-0005-0000-0000-0000427E0000}"/>
    <cellStyle name="Normal 3 10 2 2 2 2 3 2" xfId="32317" xr:uid="{00000000-0005-0000-0000-0000437E0000}"/>
    <cellStyle name="Normal 3 10 2 2 2 2 3 2 2" xfId="32318" xr:uid="{00000000-0005-0000-0000-0000447E0000}"/>
    <cellStyle name="Normal 3 10 2 2 2 2 3 2 2 2" xfId="32319" xr:uid="{00000000-0005-0000-0000-0000457E0000}"/>
    <cellStyle name="Normal 3 10 2 2 2 2 3 2 3" xfId="32320" xr:uid="{00000000-0005-0000-0000-0000467E0000}"/>
    <cellStyle name="Normal 3 10 2 2 2 2 3 2 4" xfId="32321" xr:uid="{00000000-0005-0000-0000-0000477E0000}"/>
    <cellStyle name="Normal 3 10 2 2 2 2 3 3" xfId="32322" xr:uid="{00000000-0005-0000-0000-0000487E0000}"/>
    <cellStyle name="Normal 3 10 2 2 2 2 3 3 2" xfId="32323" xr:uid="{00000000-0005-0000-0000-0000497E0000}"/>
    <cellStyle name="Normal 3 10 2 2 2 2 3 4" xfId="32324" xr:uid="{00000000-0005-0000-0000-00004A7E0000}"/>
    <cellStyle name="Normal 3 10 2 2 2 2 3 5" xfId="32325" xr:uid="{00000000-0005-0000-0000-00004B7E0000}"/>
    <cellStyle name="Normal 3 10 2 2 2 2 4" xfId="32326" xr:uid="{00000000-0005-0000-0000-00004C7E0000}"/>
    <cellStyle name="Normal 3 10 2 2 2 2 4 2" xfId="32327" xr:uid="{00000000-0005-0000-0000-00004D7E0000}"/>
    <cellStyle name="Normal 3 10 2 2 2 2 4 2 2" xfId="32328" xr:uid="{00000000-0005-0000-0000-00004E7E0000}"/>
    <cellStyle name="Normal 3 10 2 2 2 2 4 3" xfId="32329" xr:uid="{00000000-0005-0000-0000-00004F7E0000}"/>
    <cellStyle name="Normal 3 10 2 2 2 2 4 4" xfId="32330" xr:uid="{00000000-0005-0000-0000-0000507E0000}"/>
    <cellStyle name="Normal 3 10 2 2 2 2 5" xfId="32331" xr:uid="{00000000-0005-0000-0000-0000517E0000}"/>
    <cellStyle name="Normal 3 10 2 2 2 2 5 2" xfId="32332" xr:uid="{00000000-0005-0000-0000-0000527E0000}"/>
    <cellStyle name="Normal 3 10 2 2 2 2 6" xfId="32333" xr:uid="{00000000-0005-0000-0000-0000537E0000}"/>
    <cellStyle name="Normal 3 10 2 2 2 2 7" xfId="32334" xr:uid="{00000000-0005-0000-0000-0000547E0000}"/>
    <cellStyle name="Normal 3 10 2 2 2 3" xfId="32335" xr:uid="{00000000-0005-0000-0000-0000557E0000}"/>
    <cellStyle name="Normal 3 10 2 2 2 3 2" xfId="32336" xr:uid="{00000000-0005-0000-0000-0000567E0000}"/>
    <cellStyle name="Normal 3 10 2 2 2 3 2 2" xfId="32337" xr:uid="{00000000-0005-0000-0000-0000577E0000}"/>
    <cellStyle name="Normal 3 10 2 2 2 3 2 2 2" xfId="32338" xr:uid="{00000000-0005-0000-0000-0000587E0000}"/>
    <cellStyle name="Normal 3 10 2 2 2 3 2 2 2 2" xfId="32339" xr:uid="{00000000-0005-0000-0000-0000597E0000}"/>
    <cellStyle name="Normal 3 10 2 2 2 3 2 2 3" xfId="32340" xr:uid="{00000000-0005-0000-0000-00005A7E0000}"/>
    <cellStyle name="Normal 3 10 2 2 2 3 2 2 4" xfId="32341" xr:uid="{00000000-0005-0000-0000-00005B7E0000}"/>
    <cellStyle name="Normal 3 10 2 2 2 3 2 3" xfId="32342" xr:uid="{00000000-0005-0000-0000-00005C7E0000}"/>
    <cellStyle name="Normal 3 10 2 2 2 3 2 3 2" xfId="32343" xr:uid="{00000000-0005-0000-0000-00005D7E0000}"/>
    <cellStyle name="Normal 3 10 2 2 2 3 2 4" xfId="32344" xr:uid="{00000000-0005-0000-0000-00005E7E0000}"/>
    <cellStyle name="Normal 3 10 2 2 2 3 2 5" xfId="32345" xr:uid="{00000000-0005-0000-0000-00005F7E0000}"/>
    <cellStyle name="Normal 3 10 2 2 2 3 3" xfId="32346" xr:uid="{00000000-0005-0000-0000-0000607E0000}"/>
    <cellStyle name="Normal 3 10 2 2 2 3 3 2" xfId="32347" xr:uid="{00000000-0005-0000-0000-0000617E0000}"/>
    <cellStyle name="Normal 3 10 2 2 2 3 3 2 2" xfId="32348" xr:uid="{00000000-0005-0000-0000-0000627E0000}"/>
    <cellStyle name="Normal 3 10 2 2 2 3 3 3" xfId="32349" xr:uid="{00000000-0005-0000-0000-0000637E0000}"/>
    <cellStyle name="Normal 3 10 2 2 2 3 3 3 2" xfId="32350" xr:uid="{00000000-0005-0000-0000-0000647E0000}"/>
    <cellStyle name="Normal 3 10 2 2 2 3 3 4" xfId="32351" xr:uid="{00000000-0005-0000-0000-0000657E0000}"/>
    <cellStyle name="Normal 3 10 2 2 2 3 3 5" xfId="32352" xr:uid="{00000000-0005-0000-0000-0000667E0000}"/>
    <cellStyle name="Normal 3 10 2 2 2 3 4" xfId="32353" xr:uid="{00000000-0005-0000-0000-0000677E0000}"/>
    <cellStyle name="Normal 3 10 2 2 2 3 4 2" xfId="32354" xr:uid="{00000000-0005-0000-0000-0000687E0000}"/>
    <cellStyle name="Normal 3 10 2 2 2 3 5" xfId="32355" xr:uid="{00000000-0005-0000-0000-0000697E0000}"/>
    <cellStyle name="Normal 3 10 2 2 2 3 5 2" xfId="32356" xr:uid="{00000000-0005-0000-0000-00006A7E0000}"/>
    <cellStyle name="Normal 3 10 2 2 2 3 6" xfId="32357" xr:uid="{00000000-0005-0000-0000-00006B7E0000}"/>
    <cellStyle name="Normal 3 10 2 2 2 3 7" xfId="32358" xr:uid="{00000000-0005-0000-0000-00006C7E0000}"/>
    <cellStyle name="Normal 3 10 2 2 2 4" xfId="32359" xr:uid="{00000000-0005-0000-0000-00006D7E0000}"/>
    <cellStyle name="Normal 3 10 2 2 2 4 2" xfId="32360" xr:uid="{00000000-0005-0000-0000-00006E7E0000}"/>
    <cellStyle name="Normal 3 10 2 2 2 4 2 2" xfId="32361" xr:uid="{00000000-0005-0000-0000-00006F7E0000}"/>
    <cellStyle name="Normal 3 10 2 2 2 4 2 2 2" xfId="32362" xr:uid="{00000000-0005-0000-0000-0000707E0000}"/>
    <cellStyle name="Normal 3 10 2 2 2 4 2 3" xfId="32363" xr:uid="{00000000-0005-0000-0000-0000717E0000}"/>
    <cellStyle name="Normal 3 10 2 2 2 4 2 4" xfId="32364" xr:uid="{00000000-0005-0000-0000-0000727E0000}"/>
    <cellStyle name="Normal 3 10 2 2 2 4 3" xfId="32365" xr:uid="{00000000-0005-0000-0000-0000737E0000}"/>
    <cellStyle name="Normal 3 10 2 2 2 4 3 2" xfId="32366" xr:uid="{00000000-0005-0000-0000-0000747E0000}"/>
    <cellStyle name="Normal 3 10 2 2 2 4 4" xfId="32367" xr:uid="{00000000-0005-0000-0000-0000757E0000}"/>
    <cellStyle name="Normal 3 10 2 2 2 4 5" xfId="32368" xr:uid="{00000000-0005-0000-0000-0000767E0000}"/>
    <cellStyle name="Normal 3 10 2 2 2 5" xfId="32369" xr:uid="{00000000-0005-0000-0000-0000777E0000}"/>
    <cellStyle name="Normal 3 10 2 2 2 5 2" xfId="32370" xr:uid="{00000000-0005-0000-0000-0000787E0000}"/>
    <cellStyle name="Normal 3 10 2 2 2 5 2 2" xfId="32371" xr:uid="{00000000-0005-0000-0000-0000797E0000}"/>
    <cellStyle name="Normal 3 10 2 2 2 5 3" xfId="32372" xr:uid="{00000000-0005-0000-0000-00007A7E0000}"/>
    <cellStyle name="Normal 3 10 2 2 2 5 3 2" xfId="32373" xr:uid="{00000000-0005-0000-0000-00007B7E0000}"/>
    <cellStyle name="Normal 3 10 2 2 2 5 4" xfId="32374" xr:uid="{00000000-0005-0000-0000-00007C7E0000}"/>
    <cellStyle name="Normal 3 10 2 2 2 5 5" xfId="32375" xr:uid="{00000000-0005-0000-0000-00007D7E0000}"/>
    <cellStyle name="Normal 3 10 2 2 2 6" xfId="32376" xr:uid="{00000000-0005-0000-0000-00007E7E0000}"/>
    <cellStyle name="Normal 3 10 2 2 2 6 2" xfId="32377" xr:uid="{00000000-0005-0000-0000-00007F7E0000}"/>
    <cellStyle name="Normal 3 10 2 2 2 7" xfId="32378" xr:uid="{00000000-0005-0000-0000-0000807E0000}"/>
    <cellStyle name="Normal 3 10 2 2 2 7 2" xfId="32379" xr:uid="{00000000-0005-0000-0000-0000817E0000}"/>
    <cellStyle name="Normal 3 10 2 2 2 8" xfId="32380" xr:uid="{00000000-0005-0000-0000-0000827E0000}"/>
    <cellStyle name="Normal 3 10 2 2 2 9" xfId="32381" xr:uid="{00000000-0005-0000-0000-0000837E0000}"/>
    <cellStyle name="Normal 3 10 2 2 3" xfId="32382" xr:uid="{00000000-0005-0000-0000-0000847E0000}"/>
    <cellStyle name="Normal 3 10 2 2 3 2" xfId="32383" xr:uid="{00000000-0005-0000-0000-0000857E0000}"/>
    <cellStyle name="Normal 3 10 2 2 3 2 2" xfId="32384" xr:uid="{00000000-0005-0000-0000-0000867E0000}"/>
    <cellStyle name="Normal 3 10 2 2 3 2 2 2" xfId="32385" xr:uid="{00000000-0005-0000-0000-0000877E0000}"/>
    <cellStyle name="Normal 3 10 2 2 3 2 2 2 2" xfId="32386" xr:uid="{00000000-0005-0000-0000-0000887E0000}"/>
    <cellStyle name="Normal 3 10 2 2 3 2 2 2 2 2" xfId="32387" xr:uid="{00000000-0005-0000-0000-0000897E0000}"/>
    <cellStyle name="Normal 3 10 2 2 3 2 2 2 3" xfId="32388" xr:uid="{00000000-0005-0000-0000-00008A7E0000}"/>
    <cellStyle name="Normal 3 10 2 2 3 2 2 2 4" xfId="32389" xr:uid="{00000000-0005-0000-0000-00008B7E0000}"/>
    <cellStyle name="Normal 3 10 2 2 3 2 2 3" xfId="32390" xr:uid="{00000000-0005-0000-0000-00008C7E0000}"/>
    <cellStyle name="Normal 3 10 2 2 3 2 2 3 2" xfId="32391" xr:uid="{00000000-0005-0000-0000-00008D7E0000}"/>
    <cellStyle name="Normal 3 10 2 2 3 2 2 4" xfId="32392" xr:uid="{00000000-0005-0000-0000-00008E7E0000}"/>
    <cellStyle name="Normal 3 10 2 2 3 2 2 5" xfId="32393" xr:uid="{00000000-0005-0000-0000-00008F7E0000}"/>
    <cellStyle name="Normal 3 10 2 2 3 2 3" xfId="32394" xr:uid="{00000000-0005-0000-0000-0000907E0000}"/>
    <cellStyle name="Normal 3 10 2 2 3 2 3 2" xfId="32395" xr:uid="{00000000-0005-0000-0000-0000917E0000}"/>
    <cellStyle name="Normal 3 10 2 2 3 2 3 2 2" xfId="32396" xr:uid="{00000000-0005-0000-0000-0000927E0000}"/>
    <cellStyle name="Normal 3 10 2 2 3 2 3 3" xfId="32397" xr:uid="{00000000-0005-0000-0000-0000937E0000}"/>
    <cellStyle name="Normal 3 10 2 2 3 2 3 4" xfId="32398" xr:uid="{00000000-0005-0000-0000-0000947E0000}"/>
    <cellStyle name="Normal 3 10 2 2 3 2 4" xfId="32399" xr:uid="{00000000-0005-0000-0000-0000957E0000}"/>
    <cellStyle name="Normal 3 10 2 2 3 2 4 2" xfId="32400" xr:uid="{00000000-0005-0000-0000-0000967E0000}"/>
    <cellStyle name="Normal 3 10 2 2 3 2 5" xfId="32401" xr:uid="{00000000-0005-0000-0000-0000977E0000}"/>
    <cellStyle name="Normal 3 10 2 2 3 2 6" xfId="32402" xr:uid="{00000000-0005-0000-0000-0000987E0000}"/>
    <cellStyle name="Normal 3 10 2 2 3 3" xfId="32403" xr:uid="{00000000-0005-0000-0000-0000997E0000}"/>
    <cellStyle name="Normal 3 10 2 2 3 3 2" xfId="32404" xr:uid="{00000000-0005-0000-0000-00009A7E0000}"/>
    <cellStyle name="Normal 3 10 2 2 3 3 2 2" xfId="32405" xr:uid="{00000000-0005-0000-0000-00009B7E0000}"/>
    <cellStyle name="Normal 3 10 2 2 3 3 2 2 2" xfId="32406" xr:uid="{00000000-0005-0000-0000-00009C7E0000}"/>
    <cellStyle name="Normal 3 10 2 2 3 3 2 3" xfId="32407" xr:uid="{00000000-0005-0000-0000-00009D7E0000}"/>
    <cellStyle name="Normal 3 10 2 2 3 3 2 4" xfId="32408" xr:uid="{00000000-0005-0000-0000-00009E7E0000}"/>
    <cellStyle name="Normal 3 10 2 2 3 3 3" xfId="32409" xr:uid="{00000000-0005-0000-0000-00009F7E0000}"/>
    <cellStyle name="Normal 3 10 2 2 3 3 3 2" xfId="32410" xr:uid="{00000000-0005-0000-0000-0000A07E0000}"/>
    <cellStyle name="Normal 3 10 2 2 3 3 4" xfId="32411" xr:uid="{00000000-0005-0000-0000-0000A17E0000}"/>
    <cellStyle name="Normal 3 10 2 2 3 3 5" xfId="32412" xr:uid="{00000000-0005-0000-0000-0000A27E0000}"/>
    <cellStyle name="Normal 3 10 2 2 3 4" xfId="32413" xr:uid="{00000000-0005-0000-0000-0000A37E0000}"/>
    <cellStyle name="Normal 3 10 2 2 3 4 2" xfId="32414" xr:uid="{00000000-0005-0000-0000-0000A47E0000}"/>
    <cellStyle name="Normal 3 10 2 2 3 4 2 2" xfId="32415" xr:uid="{00000000-0005-0000-0000-0000A57E0000}"/>
    <cellStyle name="Normal 3 10 2 2 3 4 3" xfId="32416" xr:uid="{00000000-0005-0000-0000-0000A67E0000}"/>
    <cellStyle name="Normal 3 10 2 2 3 4 4" xfId="32417" xr:uid="{00000000-0005-0000-0000-0000A77E0000}"/>
    <cellStyle name="Normal 3 10 2 2 3 5" xfId="32418" xr:uid="{00000000-0005-0000-0000-0000A87E0000}"/>
    <cellStyle name="Normal 3 10 2 2 3 5 2" xfId="32419" xr:uid="{00000000-0005-0000-0000-0000A97E0000}"/>
    <cellStyle name="Normal 3 10 2 2 3 6" xfId="32420" xr:uid="{00000000-0005-0000-0000-0000AA7E0000}"/>
    <cellStyle name="Normal 3 10 2 2 3 7" xfId="32421" xr:uid="{00000000-0005-0000-0000-0000AB7E0000}"/>
    <cellStyle name="Normal 3 10 2 2 4" xfId="32422" xr:uid="{00000000-0005-0000-0000-0000AC7E0000}"/>
    <cellStyle name="Normal 3 10 2 2 4 2" xfId="32423" xr:uid="{00000000-0005-0000-0000-0000AD7E0000}"/>
    <cellStyle name="Normal 3 10 2 2 4 2 2" xfId="32424" xr:uid="{00000000-0005-0000-0000-0000AE7E0000}"/>
    <cellStyle name="Normal 3 10 2 2 4 2 2 2" xfId="32425" xr:uid="{00000000-0005-0000-0000-0000AF7E0000}"/>
    <cellStyle name="Normal 3 10 2 2 4 2 2 2 2" xfId="32426" xr:uid="{00000000-0005-0000-0000-0000B07E0000}"/>
    <cellStyle name="Normal 3 10 2 2 4 2 2 3" xfId="32427" xr:uid="{00000000-0005-0000-0000-0000B17E0000}"/>
    <cellStyle name="Normal 3 10 2 2 4 2 2 4" xfId="32428" xr:uid="{00000000-0005-0000-0000-0000B27E0000}"/>
    <cellStyle name="Normal 3 10 2 2 4 2 3" xfId="32429" xr:uid="{00000000-0005-0000-0000-0000B37E0000}"/>
    <cellStyle name="Normal 3 10 2 2 4 2 3 2" xfId="32430" xr:uid="{00000000-0005-0000-0000-0000B47E0000}"/>
    <cellStyle name="Normal 3 10 2 2 4 2 4" xfId="32431" xr:uid="{00000000-0005-0000-0000-0000B57E0000}"/>
    <cellStyle name="Normal 3 10 2 2 4 2 5" xfId="32432" xr:uid="{00000000-0005-0000-0000-0000B67E0000}"/>
    <cellStyle name="Normal 3 10 2 2 4 3" xfId="32433" xr:uid="{00000000-0005-0000-0000-0000B77E0000}"/>
    <cellStyle name="Normal 3 10 2 2 4 3 2" xfId="32434" xr:uid="{00000000-0005-0000-0000-0000B87E0000}"/>
    <cellStyle name="Normal 3 10 2 2 4 3 2 2" xfId="32435" xr:uid="{00000000-0005-0000-0000-0000B97E0000}"/>
    <cellStyle name="Normal 3 10 2 2 4 3 3" xfId="32436" xr:uid="{00000000-0005-0000-0000-0000BA7E0000}"/>
    <cellStyle name="Normal 3 10 2 2 4 3 3 2" xfId="32437" xr:uid="{00000000-0005-0000-0000-0000BB7E0000}"/>
    <cellStyle name="Normal 3 10 2 2 4 3 4" xfId="32438" xr:uid="{00000000-0005-0000-0000-0000BC7E0000}"/>
    <cellStyle name="Normal 3 10 2 2 4 3 5" xfId="32439" xr:uid="{00000000-0005-0000-0000-0000BD7E0000}"/>
    <cellStyle name="Normal 3 10 2 2 4 4" xfId="32440" xr:uid="{00000000-0005-0000-0000-0000BE7E0000}"/>
    <cellStyle name="Normal 3 10 2 2 4 4 2" xfId="32441" xr:uid="{00000000-0005-0000-0000-0000BF7E0000}"/>
    <cellStyle name="Normal 3 10 2 2 4 5" xfId="32442" xr:uid="{00000000-0005-0000-0000-0000C07E0000}"/>
    <cellStyle name="Normal 3 10 2 2 4 5 2" xfId="32443" xr:uid="{00000000-0005-0000-0000-0000C17E0000}"/>
    <cellStyle name="Normal 3 10 2 2 4 6" xfId="32444" xr:uid="{00000000-0005-0000-0000-0000C27E0000}"/>
    <cellStyle name="Normal 3 10 2 2 4 7" xfId="32445" xr:uid="{00000000-0005-0000-0000-0000C37E0000}"/>
    <cellStyle name="Normal 3 10 2 2 5" xfId="32446" xr:uid="{00000000-0005-0000-0000-0000C47E0000}"/>
    <cellStyle name="Normal 3 10 2 2 5 2" xfId="32447" xr:uid="{00000000-0005-0000-0000-0000C57E0000}"/>
    <cellStyle name="Normal 3 10 2 2 5 2 2" xfId="32448" xr:uid="{00000000-0005-0000-0000-0000C67E0000}"/>
    <cellStyle name="Normal 3 10 2 2 5 2 2 2" xfId="32449" xr:uid="{00000000-0005-0000-0000-0000C77E0000}"/>
    <cellStyle name="Normal 3 10 2 2 5 2 3" xfId="32450" xr:uid="{00000000-0005-0000-0000-0000C87E0000}"/>
    <cellStyle name="Normal 3 10 2 2 5 2 4" xfId="32451" xr:uid="{00000000-0005-0000-0000-0000C97E0000}"/>
    <cellStyle name="Normal 3 10 2 2 5 3" xfId="32452" xr:uid="{00000000-0005-0000-0000-0000CA7E0000}"/>
    <cellStyle name="Normal 3 10 2 2 5 3 2" xfId="32453" xr:uid="{00000000-0005-0000-0000-0000CB7E0000}"/>
    <cellStyle name="Normal 3 10 2 2 5 4" xfId="32454" xr:uid="{00000000-0005-0000-0000-0000CC7E0000}"/>
    <cellStyle name="Normal 3 10 2 2 5 5" xfId="32455" xr:uid="{00000000-0005-0000-0000-0000CD7E0000}"/>
    <cellStyle name="Normal 3 10 2 2 6" xfId="32456" xr:uid="{00000000-0005-0000-0000-0000CE7E0000}"/>
    <cellStyle name="Normal 3 10 2 2 6 2" xfId="32457" xr:uid="{00000000-0005-0000-0000-0000CF7E0000}"/>
    <cellStyle name="Normal 3 10 2 2 6 2 2" xfId="32458" xr:uid="{00000000-0005-0000-0000-0000D07E0000}"/>
    <cellStyle name="Normal 3 10 2 2 6 3" xfId="32459" xr:uid="{00000000-0005-0000-0000-0000D17E0000}"/>
    <cellStyle name="Normal 3 10 2 2 6 3 2" xfId="32460" xr:uid="{00000000-0005-0000-0000-0000D27E0000}"/>
    <cellStyle name="Normal 3 10 2 2 6 4" xfId="32461" xr:uid="{00000000-0005-0000-0000-0000D37E0000}"/>
    <cellStyle name="Normal 3 10 2 2 6 5" xfId="32462" xr:uid="{00000000-0005-0000-0000-0000D47E0000}"/>
    <cellStyle name="Normal 3 10 2 2 7" xfId="32463" xr:uid="{00000000-0005-0000-0000-0000D57E0000}"/>
    <cellStyle name="Normal 3 10 2 2 7 2" xfId="32464" xr:uid="{00000000-0005-0000-0000-0000D67E0000}"/>
    <cellStyle name="Normal 3 10 2 2 8" xfId="32465" xr:uid="{00000000-0005-0000-0000-0000D77E0000}"/>
    <cellStyle name="Normal 3 10 2 2 8 2" xfId="32466" xr:uid="{00000000-0005-0000-0000-0000D87E0000}"/>
    <cellStyle name="Normal 3 10 2 2 9" xfId="32467" xr:uid="{00000000-0005-0000-0000-0000D97E0000}"/>
    <cellStyle name="Normal 3 10 2 3" xfId="32468" xr:uid="{00000000-0005-0000-0000-0000DA7E0000}"/>
    <cellStyle name="Normal 3 10 2 3 2" xfId="32469" xr:uid="{00000000-0005-0000-0000-0000DB7E0000}"/>
    <cellStyle name="Normal 3 10 2 3 2 2" xfId="32470" xr:uid="{00000000-0005-0000-0000-0000DC7E0000}"/>
    <cellStyle name="Normal 3 10 2 3 2 2 2" xfId="32471" xr:uid="{00000000-0005-0000-0000-0000DD7E0000}"/>
    <cellStyle name="Normal 3 10 2 3 2 2 2 2" xfId="32472" xr:uid="{00000000-0005-0000-0000-0000DE7E0000}"/>
    <cellStyle name="Normal 3 10 2 3 2 2 2 2 2" xfId="32473" xr:uid="{00000000-0005-0000-0000-0000DF7E0000}"/>
    <cellStyle name="Normal 3 10 2 3 2 2 2 2 2 2" xfId="32474" xr:uid="{00000000-0005-0000-0000-0000E07E0000}"/>
    <cellStyle name="Normal 3 10 2 3 2 2 2 2 3" xfId="32475" xr:uid="{00000000-0005-0000-0000-0000E17E0000}"/>
    <cellStyle name="Normal 3 10 2 3 2 2 2 2 4" xfId="32476" xr:uid="{00000000-0005-0000-0000-0000E27E0000}"/>
    <cellStyle name="Normal 3 10 2 3 2 2 2 3" xfId="32477" xr:uid="{00000000-0005-0000-0000-0000E37E0000}"/>
    <cellStyle name="Normal 3 10 2 3 2 2 2 3 2" xfId="32478" xr:uid="{00000000-0005-0000-0000-0000E47E0000}"/>
    <cellStyle name="Normal 3 10 2 3 2 2 2 4" xfId="32479" xr:uid="{00000000-0005-0000-0000-0000E57E0000}"/>
    <cellStyle name="Normal 3 10 2 3 2 2 2 5" xfId="32480" xr:uid="{00000000-0005-0000-0000-0000E67E0000}"/>
    <cellStyle name="Normal 3 10 2 3 2 2 3" xfId="32481" xr:uid="{00000000-0005-0000-0000-0000E77E0000}"/>
    <cellStyle name="Normal 3 10 2 3 2 2 3 2" xfId="32482" xr:uid="{00000000-0005-0000-0000-0000E87E0000}"/>
    <cellStyle name="Normal 3 10 2 3 2 2 3 2 2" xfId="32483" xr:uid="{00000000-0005-0000-0000-0000E97E0000}"/>
    <cellStyle name="Normal 3 10 2 3 2 2 3 3" xfId="32484" xr:uid="{00000000-0005-0000-0000-0000EA7E0000}"/>
    <cellStyle name="Normal 3 10 2 3 2 2 3 4" xfId="32485" xr:uid="{00000000-0005-0000-0000-0000EB7E0000}"/>
    <cellStyle name="Normal 3 10 2 3 2 2 4" xfId="32486" xr:uid="{00000000-0005-0000-0000-0000EC7E0000}"/>
    <cellStyle name="Normal 3 10 2 3 2 2 4 2" xfId="32487" xr:uid="{00000000-0005-0000-0000-0000ED7E0000}"/>
    <cellStyle name="Normal 3 10 2 3 2 2 5" xfId="32488" xr:uid="{00000000-0005-0000-0000-0000EE7E0000}"/>
    <cellStyle name="Normal 3 10 2 3 2 2 6" xfId="32489" xr:uid="{00000000-0005-0000-0000-0000EF7E0000}"/>
    <cellStyle name="Normal 3 10 2 3 2 3" xfId="32490" xr:uid="{00000000-0005-0000-0000-0000F07E0000}"/>
    <cellStyle name="Normal 3 10 2 3 2 3 2" xfId="32491" xr:uid="{00000000-0005-0000-0000-0000F17E0000}"/>
    <cellStyle name="Normal 3 10 2 3 2 3 2 2" xfId="32492" xr:uid="{00000000-0005-0000-0000-0000F27E0000}"/>
    <cellStyle name="Normal 3 10 2 3 2 3 2 2 2" xfId="32493" xr:uid="{00000000-0005-0000-0000-0000F37E0000}"/>
    <cellStyle name="Normal 3 10 2 3 2 3 2 3" xfId="32494" xr:uid="{00000000-0005-0000-0000-0000F47E0000}"/>
    <cellStyle name="Normal 3 10 2 3 2 3 2 4" xfId="32495" xr:uid="{00000000-0005-0000-0000-0000F57E0000}"/>
    <cellStyle name="Normal 3 10 2 3 2 3 3" xfId="32496" xr:uid="{00000000-0005-0000-0000-0000F67E0000}"/>
    <cellStyle name="Normal 3 10 2 3 2 3 3 2" xfId="32497" xr:uid="{00000000-0005-0000-0000-0000F77E0000}"/>
    <cellStyle name="Normal 3 10 2 3 2 3 4" xfId="32498" xr:uid="{00000000-0005-0000-0000-0000F87E0000}"/>
    <cellStyle name="Normal 3 10 2 3 2 3 5" xfId="32499" xr:uid="{00000000-0005-0000-0000-0000F97E0000}"/>
    <cellStyle name="Normal 3 10 2 3 2 4" xfId="32500" xr:uid="{00000000-0005-0000-0000-0000FA7E0000}"/>
    <cellStyle name="Normal 3 10 2 3 2 4 2" xfId="32501" xr:uid="{00000000-0005-0000-0000-0000FB7E0000}"/>
    <cellStyle name="Normal 3 10 2 3 2 4 2 2" xfId="32502" xr:uid="{00000000-0005-0000-0000-0000FC7E0000}"/>
    <cellStyle name="Normal 3 10 2 3 2 4 3" xfId="32503" xr:uid="{00000000-0005-0000-0000-0000FD7E0000}"/>
    <cellStyle name="Normal 3 10 2 3 2 4 4" xfId="32504" xr:uid="{00000000-0005-0000-0000-0000FE7E0000}"/>
    <cellStyle name="Normal 3 10 2 3 2 5" xfId="32505" xr:uid="{00000000-0005-0000-0000-0000FF7E0000}"/>
    <cellStyle name="Normal 3 10 2 3 2 5 2" xfId="32506" xr:uid="{00000000-0005-0000-0000-0000007F0000}"/>
    <cellStyle name="Normal 3 10 2 3 2 6" xfId="32507" xr:uid="{00000000-0005-0000-0000-0000017F0000}"/>
    <cellStyle name="Normal 3 10 2 3 2 7" xfId="32508" xr:uid="{00000000-0005-0000-0000-0000027F0000}"/>
    <cellStyle name="Normal 3 10 2 3 3" xfId="32509" xr:uid="{00000000-0005-0000-0000-0000037F0000}"/>
    <cellStyle name="Normal 3 10 2 3 3 2" xfId="32510" xr:uid="{00000000-0005-0000-0000-0000047F0000}"/>
    <cellStyle name="Normal 3 10 2 3 3 2 2" xfId="32511" xr:uid="{00000000-0005-0000-0000-0000057F0000}"/>
    <cellStyle name="Normal 3 10 2 3 3 2 2 2" xfId="32512" xr:uid="{00000000-0005-0000-0000-0000067F0000}"/>
    <cellStyle name="Normal 3 10 2 3 3 2 2 2 2" xfId="32513" xr:uid="{00000000-0005-0000-0000-0000077F0000}"/>
    <cellStyle name="Normal 3 10 2 3 3 2 2 3" xfId="32514" xr:uid="{00000000-0005-0000-0000-0000087F0000}"/>
    <cellStyle name="Normal 3 10 2 3 3 2 2 4" xfId="32515" xr:uid="{00000000-0005-0000-0000-0000097F0000}"/>
    <cellStyle name="Normal 3 10 2 3 3 2 3" xfId="32516" xr:uid="{00000000-0005-0000-0000-00000A7F0000}"/>
    <cellStyle name="Normal 3 10 2 3 3 2 3 2" xfId="32517" xr:uid="{00000000-0005-0000-0000-00000B7F0000}"/>
    <cellStyle name="Normal 3 10 2 3 3 2 4" xfId="32518" xr:uid="{00000000-0005-0000-0000-00000C7F0000}"/>
    <cellStyle name="Normal 3 10 2 3 3 2 5" xfId="32519" xr:uid="{00000000-0005-0000-0000-00000D7F0000}"/>
    <cellStyle name="Normal 3 10 2 3 3 3" xfId="32520" xr:uid="{00000000-0005-0000-0000-00000E7F0000}"/>
    <cellStyle name="Normal 3 10 2 3 3 3 2" xfId="32521" xr:uid="{00000000-0005-0000-0000-00000F7F0000}"/>
    <cellStyle name="Normal 3 10 2 3 3 3 2 2" xfId="32522" xr:uid="{00000000-0005-0000-0000-0000107F0000}"/>
    <cellStyle name="Normal 3 10 2 3 3 3 3" xfId="32523" xr:uid="{00000000-0005-0000-0000-0000117F0000}"/>
    <cellStyle name="Normal 3 10 2 3 3 3 3 2" xfId="32524" xr:uid="{00000000-0005-0000-0000-0000127F0000}"/>
    <cellStyle name="Normal 3 10 2 3 3 3 4" xfId="32525" xr:uid="{00000000-0005-0000-0000-0000137F0000}"/>
    <cellStyle name="Normal 3 10 2 3 3 3 5" xfId="32526" xr:uid="{00000000-0005-0000-0000-0000147F0000}"/>
    <cellStyle name="Normal 3 10 2 3 3 4" xfId="32527" xr:uid="{00000000-0005-0000-0000-0000157F0000}"/>
    <cellStyle name="Normal 3 10 2 3 3 4 2" xfId="32528" xr:uid="{00000000-0005-0000-0000-0000167F0000}"/>
    <cellStyle name="Normal 3 10 2 3 3 5" xfId="32529" xr:uid="{00000000-0005-0000-0000-0000177F0000}"/>
    <cellStyle name="Normal 3 10 2 3 3 5 2" xfId="32530" xr:uid="{00000000-0005-0000-0000-0000187F0000}"/>
    <cellStyle name="Normal 3 10 2 3 3 6" xfId="32531" xr:uid="{00000000-0005-0000-0000-0000197F0000}"/>
    <cellStyle name="Normal 3 10 2 3 3 7" xfId="32532" xr:uid="{00000000-0005-0000-0000-00001A7F0000}"/>
    <cellStyle name="Normal 3 10 2 3 4" xfId="32533" xr:uid="{00000000-0005-0000-0000-00001B7F0000}"/>
    <cellStyle name="Normal 3 10 2 3 4 2" xfId="32534" xr:uid="{00000000-0005-0000-0000-00001C7F0000}"/>
    <cellStyle name="Normal 3 10 2 3 4 2 2" xfId="32535" xr:uid="{00000000-0005-0000-0000-00001D7F0000}"/>
    <cellStyle name="Normal 3 10 2 3 4 2 2 2" xfId="32536" xr:uid="{00000000-0005-0000-0000-00001E7F0000}"/>
    <cellStyle name="Normal 3 10 2 3 4 2 3" xfId="32537" xr:uid="{00000000-0005-0000-0000-00001F7F0000}"/>
    <cellStyle name="Normal 3 10 2 3 4 2 4" xfId="32538" xr:uid="{00000000-0005-0000-0000-0000207F0000}"/>
    <cellStyle name="Normal 3 10 2 3 4 3" xfId="32539" xr:uid="{00000000-0005-0000-0000-0000217F0000}"/>
    <cellStyle name="Normal 3 10 2 3 4 3 2" xfId="32540" xr:uid="{00000000-0005-0000-0000-0000227F0000}"/>
    <cellStyle name="Normal 3 10 2 3 4 4" xfId="32541" xr:uid="{00000000-0005-0000-0000-0000237F0000}"/>
    <cellStyle name="Normal 3 10 2 3 4 5" xfId="32542" xr:uid="{00000000-0005-0000-0000-0000247F0000}"/>
    <cellStyle name="Normal 3 10 2 3 5" xfId="32543" xr:uid="{00000000-0005-0000-0000-0000257F0000}"/>
    <cellStyle name="Normal 3 10 2 3 5 2" xfId="32544" xr:uid="{00000000-0005-0000-0000-0000267F0000}"/>
    <cellStyle name="Normal 3 10 2 3 5 2 2" xfId="32545" xr:uid="{00000000-0005-0000-0000-0000277F0000}"/>
    <cellStyle name="Normal 3 10 2 3 5 3" xfId="32546" xr:uid="{00000000-0005-0000-0000-0000287F0000}"/>
    <cellStyle name="Normal 3 10 2 3 5 3 2" xfId="32547" xr:uid="{00000000-0005-0000-0000-0000297F0000}"/>
    <cellStyle name="Normal 3 10 2 3 5 4" xfId="32548" xr:uid="{00000000-0005-0000-0000-00002A7F0000}"/>
    <cellStyle name="Normal 3 10 2 3 5 5" xfId="32549" xr:uid="{00000000-0005-0000-0000-00002B7F0000}"/>
    <cellStyle name="Normal 3 10 2 3 6" xfId="32550" xr:uid="{00000000-0005-0000-0000-00002C7F0000}"/>
    <cellStyle name="Normal 3 10 2 3 6 2" xfId="32551" xr:uid="{00000000-0005-0000-0000-00002D7F0000}"/>
    <cellStyle name="Normal 3 10 2 3 7" xfId="32552" xr:uid="{00000000-0005-0000-0000-00002E7F0000}"/>
    <cellStyle name="Normal 3 10 2 3 7 2" xfId="32553" xr:uid="{00000000-0005-0000-0000-00002F7F0000}"/>
    <cellStyle name="Normal 3 10 2 3 8" xfId="32554" xr:uid="{00000000-0005-0000-0000-0000307F0000}"/>
    <cellStyle name="Normal 3 10 2 3 9" xfId="32555" xr:uid="{00000000-0005-0000-0000-0000317F0000}"/>
    <cellStyle name="Normal 3 10 2 4" xfId="32556" xr:uid="{00000000-0005-0000-0000-0000327F0000}"/>
    <cellStyle name="Normal 3 10 2 4 2" xfId="32557" xr:uid="{00000000-0005-0000-0000-0000337F0000}"/>
    <cellStyle name="Normal 3 10 2 4 2 2" xfId="32558" xr:uid="{00000000-0005-0000-0000-0000347F0000}"/>
    <cellStyle name="Normal 3 10 2 4 2 2 2" xfId="32559" xr:uid="{00000000-0005-0000-0000-0000357F0000}"/>
    <cellStyle name="Normal 3 10 2 4 2 2 2 2" xfId="32560" xr:uid="{00000000-0005-0000-0000-0000367F0000}"/>
    <cellStyle name="Normal 3 10 2 4 2 2 2 2 2" xfId="32561" xr:uid="{00000000-0005-0000-0000-0000377F0000}"/>
    <cellStyle name="Normal 3 10 2 4 2 2 2 3" xfId="32562" xr:uid="{00000000-0005-0000-0000-0000387F0000}"/>
    <cellStyle name="Normal 3 10 2 4 2 2 2 4" xfId="32563" xr:uid="{00000000-0005-0000-0000-0000397F0000}"/>
    <cellStyle name="Normal 3 10 2 4 2 2 3" xfId="32564" xr:uid="{00000000-0005-0000-0000-00003A7F0000}"/>
    <cellStyle name="Normal 3 10 2 4 2 2 3 2" xfId="32565" xr:uid="{00000000-0005-0000-0000-00003B7F0000}"/>
    <cellStyle name="Normal 3 10 2 4 2 2 4" xfId="32566" xr:uid="{00000000-0005-0000-0000-00003C7F0000}"/>
    <cellStyle name="Normal 3 10 2 4 2 2 5" xfId="32567" xr:uid="{00000000-0005-0000-0000-00003D7F0000}"/>
    <cellStyle name="Normal 3 10 2 4 2 3" xfId="32568" xr:uid="{00000000-0005-0000-0000-00003E7F0000}"/>
    <cellStyle name="Normal 3 10 2 4 2 3 2" xfId="32569" xr:uid="{00000000-0005-0000-0000-00003F7F0000}"/>
    <cellStyle name="Normal 3 10 2 4 2 3 2 2" xfId="32570" xr:uid="{00000000-0005-0000-0000-0000407F0000}"/>
    <cellStyle name="Normal 3 10 2 4 2 3 3" xfId="32571" xr:uid="{00000000-0005-0000-0000-0000417F0000}"/>
    <cellStyle name="Normal 3 10 2 4 2 3 3 2" xfId="32572" xr:uid="{00000000-0005-0000-0000-0000427F0000}"/>
    <cellStyle name="Normal 3 10 2 4 2 3 4" xfId="32573" xr:uid="{00000000-0005-0000-0000-0000437F0000}"/>
    <cellStyle name="Normal 3 10 2 4 2 3 5" xfId="32574" xr:uid="{00000000-0005-0000-0000-0000447F0000}"/>
    <cellStyle name="Normal 3 10 2 4 2 4" xfId="32575" xr:uid="{00000000-0005-0000-0000-0000457F0000}"/>
    <cellStyle name="Normal 3 10 2 4 2 4 2" xfId="32576" xr:uid="{00000000-0005-0000-0000-0000467F0000}"/>
    <cellStyle name="Normal 3 10 2 4 2 5" xfId="32577" xr:uid="{00000000-0005-0000-0000-0000477F0000}"/>
    <cellStyle name="Normal 3 10 2 4 2 5 2" xfId="32578" xr:uid="{00000000-0005-0000-0000-0000487F0000}"/>
    <cellStyle name="Normal 3 10 2 4 2 6" xfId="32579" xr:uid="{00000000-0005-0000-0000-0000497F0000}"/>
    <cellStyle name="Normal 3 10 2 4 2 7" xfId="32580" xr:uid="{00000000-0005-0000-0000-00004A7F0000}"/>
    <cellStyle name="Normal 3 10 2 4 3" xfId="32581" xr:uid="{00000000-0005-0000-0000-00004B7F0000}"/>
    <cellStyle name="Normal 3 10 2 4 3 2" xfId="32582" xr:uid="{00000000-0005-0000-0000-00004C7F0000}"/>
    <cellStyle name="Normal 3 10 2 4 3 2 2" xfId="32583" xr:uid="{00000000-0005-0000-0000-00004D7F0000}"/>
    <cellStyle name="Normal 3 10 2 4 3 2 2 2" xfId="32584" xr:uid="{00000000-0005-0000-0000-00004E7F0000}"/>
    <cellStyle name="Normal 3 10 2 4 3 2 3" xfId="32585" xr:uid="{00000000-0005-0000-0000-00004F7F0000}"/>
    <cellStyle name="Normal 3 10 2 4 3 2 4" xfId="32586" xr:uid="{00000000-0005-0000-0000-0000507F0000}"/>
    <cellStyle name="Normal 3 10 2 4 3 3" xfId="32587" xr:uid="{00000000-0005-0000-0000-0000517F0000}"/>
    <cellStyle name="Normal 3 10 2 4 3 3 2" xfId="32588" xr:uid="{00000000-0005-0000-0000-0000527F0000}"/>
    <cellStyle name="Normal 3 10 2 4 3 4" xfId="32589" xr:uid="{00000000-0005-0000-0000-0000537F0000}"/>
    <cellStyle name="Normal 3 10 2 4 3 5" xfId="32590" xr:uid="{00000000-0005-0000-0000-0000547F0000}"/>
    <cellStyle name="Normal 3 10 2 4 4" xfId="32591" xr:uid="{00000000-0005-0000-0000-0000557F0000}"/>
    <cellStyle name="Normal 3 10 2 4 4 2" xfId="32592" xr:uid="{00000000-0005-0000-0000-0000567F0000}"/>
    <cellStyle name="Normal 3 10 2 4 4 2 2" xfId="32593" xr:uid="{00000000-0005-0000-0000-0000577F0000}"/>
    <cellStyle name="Normal 3 10 2 4 4 3" xfId="32594" xr:uid="{00000000-0005-0000-0000-0000587F0000}"/>
    <cellStyle name="Normal 3 10 2 4 4 3 2" xfId="32595" xr:uid="{00000000-0005-0000-0000-0000597F0000}"/>
    <cellStyle name="Normal 3 10 2 4 4 4" xfId="32596" xr:uid="{00000000-0005-0000-0000-00005A7F0000}"/>
    <cellStyle name="Normal 3 10 2 4 4 5" xfId="32597" xr:uid="{00000000-0005-0000-0000-00005B7F0000}"/>
    <cellStyle name="Normal 3 10 2 4 5" xfId="32598" xr:uid="{00000000-0005-0000-0000-00005C7F0000}"/>
    <cellStyle name="Normal 3 10 2 4 5 2" xfId="32599" xr:uid="{00000000-0005-0000-0000-00005D7F0000}"/>
    <cellStyle name="Normal 3 10 2 4 6" xfId="32600" xr:uid="{00000000-0005-0000-0000-00005E7F0000}"/>
    <cellStyle name="Normal 3 10 2 4 6 2" xfId="32601" xr:uid="{00000000-0005-0000-0000-00005F7F0000}"/>
    <cellStyle name="Normal 3 10 2 4 7" xfId="32602" xr:uid="{00000000-0005-0000-0000-0000607F0000}"/>
    <cellStyle name="Normal 3 10 2 4 8" xfId="32603" xr:uid="{00000000-0005-0000-0000-0000617F0000}"/>
    <cellStyle name="Normal 3 10 2 5" xfId="32604" xr:uid="{00000000-0005-0000-0000-0000627F0000}"/>
    <cellStyle name="Normal 3 10 2 5 2" xfId="32605" xr:uid="{00000000-0005-0000-0000-0000637F0000}"/>
    <cellStyle name="Normal 3 10 2 5 2 2" xfId="32606" xr:uid="{00000000-0005-0000-0000-0000647F0000}"/>
    <cellStyle name="Normal 3 10 2 5 2 2 2" xfId="32607" xr:uid="{00000000-0005-0000-0000-0000657F0000}"/>
    <cellStyle name="Normal 3 10 2 5 2 2 2 2" xfId="32608" xr:uid="{00000000-0005-0000-0000-0000667F0000}"/>
    <cellStyle name="Normal 3 10 2 5 2 2 3" xfId="32609" xr:uid="{00000000-0005-0000-0000-0000677F0000}"/>
    <cellStyle name="Normal 3 10 2 5 2 2 4" xfId="32610" xr:uid="{00000000-0005-0000-0000-0000687F0000}"/>
    <cellStyle name="Normal 3 10 2 5 2 3" xfId="32611" xr:uid="{00000000-0005-0000-0000-0000697F0000}"/>
    <cellStyle name="Normal 3 10 2 5 2 3 2" xfId="32612" xr:uid="{00000000-0005-0000-0000-00006A7F0000}"/>
    <cellStyle name="Normal 3 10 2 5 2 4" xfId="32613" xr:uid="{00000000-0005-0000-0000-00006B7F0000}"/>
    <cellStyle name="Normal 3 10 2 5 2 5" xfId="32614" xr:uid="{00000000-0005-0000-0000-00006C7F0000}"/>
    <cellStyle name="Normal 3 10 2 5 3" xfId="32615" xr:uid="{00000000-0005-0000-0000-00006D7F0000}"/>
    <cellStyle name="Normal 3 10 2 5 3 2" xfId="32616" xr:uid="{00000000-0005-0000-0000-00006E7F0000}"/>
    <cellStyle name="Normal 3 10 2 5 3 2 2" xfId="32617" xr:uid="{00000000-0005-0000-0000-00006F7F0000}"/>
    <cellStyle name="Normal 3 10 2 5 3 3" xfId="32618" xr:uid="{00000000-0005-0000-0000-0000707F0000}"/>
    <cellStyle name="Normal 3 10 2 5 3 3 2" xfId="32619" xr:uid="{00000000-0005-0000-0000-0000717F0000}"/>
    <cellStyle name="Normal 3 10 2 5 3 4" xfId="32620" xr:uid="{00000000-0005-0000-0000-0000727F0000}"/>
    <cellStyle name="Normal 3 10 2 5 3 5" xfId="32621" xr:uid="{00000000-0005-0000-0000-0000737F0000}"/>
    <cellStyle name="Normal 3 10 2 5 4" xfId="32622" xr:uid="{00000000-0005-0000-0000-0000747F0000}"/>
    <cellStyle name="Normal 3 10 2 5 4 2" xfId="32623" xr:uid="{00000000-0005-0000-0000-0000757F0000}"/>
    <cellStyle name="Normal 3 10 2 5 5" xfId="32624" xr:uid="{00000000-0005-0000-0000-0000767F0000}"/>
    <cellStyle name="Normal 3 10 2 5 5 2" xfId="32625" xr:uid="{00000000-0005-0000-0000-0000777F0000}"/>
    <cellStyle name="Normal 3 10 2 5 6" xfId="32626" xr:uid="{00000000-0005-0000-0000-0000787F0000}"/>
    <cellStyle name="Normal 3 10 2 5 7" xfId="32627" xr:uid="{00000000-0005-0000-0000-0000797F0000}"/>
    <cellStyle name="Normal 3 10 2 6" xfId="32628" xr:uid="{00000000-0005-0000-0000-00007A7F0000}"/>
    <cellStyle name="Normal 3 10 2 6 2" xfId="32629" xr:uid="{00000000-0005-0000-0000-00007B7F0000}"/>
    <cellStyle name="Normal 3 10 2 6 2 2" xfId="32630" xr:uid="{00000000-0005-0000-0000-00007C7F0000}"/>
    <cellStyle name="Normal 3 10 2 6 2 2 2" xfId="32631" xr:uid="{00000000-0005-0000-0000-00007D7F0000}"/>
    <cellStyle name="Normal 3 10 2 6 2 3" xfId="32632" xr:uid="{00000000-0005-0000-0000-00007E7F0000}"/>
    <cellStyle name="Normal 3 10 2 6 2 4" xfId="32633" xr:uid="{00000000-0005-0000-0000-00007F7F0000}"/>
    <cellStyle name="Normal 3 10 2 6 3" xfId="32634" xr:uid="{00000000-0005-0000-0000-0000807F0000}"/>
    <cellStyle name="Normal 3 10 2 6 3 2" xfId="32635" xr:uid="{00000000-0005-0000-0000-0000817F0000}"/>
    <cellStyle name="Normal 3 10 2 6 4" xfId="32636" xr:uid="{00000000-0005-0000-0000-0000827F0000}"/>
    <cellStyle name="Normal 3 10 2 6 5" xfId="32637" xr:uid="{00000000-0005-0000-0000-0000837F0000}"/>
    <cellStyle name="Normal 3 10 2 7" xfId="32638" xr:uid="{00000000-0005-0000-0000-0000847F0000}"/>
    <cellStyle name="Normal 3 10 2 7 2" xfId="32639" xr:uid="{00000000-0005-0000-0000-0000857F0000}"/>
    <cellStyle name="Normal 3 10 2 7 2 2" xfId="32640" xr:uid="{00000000-0005-0000-0000-0000867F0000}"/>
    <cellStyle name="Normal 3 10 2 7 3" xfId="32641" xr:uid="{00000000-0005-0000-0000-0000877F0000}"/>
    <cellStyle name="Normal 3 10 2 7 3 2" xfId="32642" xr:uid="{00000000-0005-0000-0000-0000887F0000}"/>
    <cellStyle name="Normal 3 10 2 7 4" xfId="32643" xr:uid="{00000000-0005-0000-0000-0000897F0000}"/>
    <cellStyle name="Normal 3 10 2 7 5" xfId="32644" xr:uid="{00000000-0005-0000-0000-00008A7F0000}"/>
    <cellStyle name="Normal 3 10 2 8" xfId="32645" xr:uid="{00000000-0005-0000-0000-00008B7F0000}"/>
    <cellStyle name="Normal 3 10 2 8 2" xfId="32646" xr:uid="{00000000-0005-0000-0000-00008C7F0000}"/>
    <cellStyle name="Normal 3 10 2 9" xfId="32647" xr:uid="{00000000-0005-0000-0000-00008D7F0000}"/>
    <cellStyle name="Normal 3 10 2 9 2" xfId="32648" xr:uid="{00000000-0005-0000-0000-00008E7F0000}"/>
    <cellStyle name="Normal 3 10 3" xfId="32649" xr:uid="{00000000-0005-0000-0000-00008F7F0000}"/>
    <cellStyle name="Normal 3 10 3 10" xfId="32650" xr:uid="{00000000-0005-0000-0000-0000907F0000}"/>
    <cellStyle name="Normal 3 10 3 2" xfId="32651" xr:uid="{00000000-0005-0000-0000-0000917F0000}"/>
    <cellStyle name="Normal 3 10 3 2 2" xfId="32652" xr:uid="{00000000-0005-0000-0000-0000927F0000}"/>
    <cellStyle name="Normal 3 10 3 2 2 2" xfId="32653" xr:uid="{00000000-0005-0000-0000-0000937F0000}"/>
    <cellStyle name="Normal 3 10 3 2 2 2 2" xfId="32654" xr:uid="{00000000-0005-0000-0000-0000947F0000}"/>
    <cellStyle name="Normal 3 10 3 2 2 2 2 2" xfId="32655" xr:uid="{00000000-0005-0000-0000-0000957F0000}"/>
    <cellStyle name="Normal 3 10 3 2 2 2 2 2 2" xfId="32656" xr:uid="{00000000-0005-0000-0000-0000967F0000}"/>
    <cellStyle name="Normal 3 10 3 2 2 2 2 2 2 2" xfId="32657" xr:uid="{00000000-0005-0000-0000-0000977F0000}"/>
    <cellStyle name="Normal 3 10 3 2 2 2 2 2 3" xfId="32658" xr:uid="{00000000-0005-0000-0000-0000987F0000}"/>
    <cellStyle name="Normal 3 10 3 2 2 2 2 2 4" xfId="32659" xr:uid="{00000000-0005-0000-0000-0000997F0000}"/>
    <cellStyle name="Normal 3 10 3 2 2 2 2 3" xfId="32660" xr:uid="{00000000-0005-0000-0000-00009A7F0000}"/>
    <cellStyle name="Normal 3 10 3 2 2 2 2 3 2" xfId="32661" xr:uid="{00000000-0005-0000-0000-00009B7F0000}"/>
    <cellStyle name="Normal 3 10 3 2 2 2 2 4" xfId="32662" xr:uid="{00000000-0005-0000-0000-00009C7F0000}"/>
    <cellStyle name="Normal 3 10 3 2 2 2 2 5" xfId="32663" xr:uid="{00000000-0005-0000-0000-00009D7F0000}"/>
    <cellStyle name="Normal 3 10 3 2 2 2 3" xfId="32664" xr:uid="{00000000-0005-0000-0000-00009E7F0000}"/>
    <cellStyle name="Normal 3 10 3 2 2 2 3 2" xfId="32665" xr:uid="{00000000-0005-0000-0000-00009F7F0000}"/>
    <cellStyle name="Normal 3 10 3 2 2 2 3 2 2" xfId="32666" xr:uid="{00000000-0005-0000-0000-0000A07F0000}"/>
    <cellStyle name="Normal 3 10 3 2 2 2 3 3" xfId="32667" xr:uid="{00000000-0005-0000-0000-0000A17F0000}"/>
    <cellStyle name="Normal 3 10 3 2 2 2 3 4" xfId="32668" xr:uid="{00000000-0005-0000-0000-0000A27F0000}"/>
    <cellStyle name="Normal 3 10 3 2 2 2 4" xfId="32669" xr:uid="{00000000-0005-0000-0000-0000A37F0000}"/>
    <cellStyle name="Normal 3 10 3 2 2 2 4 2" xfId="32670" xr:uid="{00000000-0005-0000-0000-0000A47F0000}"/>
    <cellStyle name="Normal 3 10 3 2 2 2 5" xfId="32671" xr:uid="{00000000-0005-0000-0000-0000A57F0000}"/>
    <cellStyle name="Normal 3 10 3 2 2 2 6" xfId="32672" xr:uid="{00000000-0005-0000-0000-0000A67F0000}"/>
    <cellStyle name="Normal 3 10 3 2 2 3" xfId="32673" xr:uid="{00000000-0005-0000-0000-0000A77F0000}"/>
    <cellStyle name="Normal 3 10 3 2 2 3 2" xfId="32674" xr:uid="{00000000-0005-0000-0000-0000A87F0000}"/>
    <cellStyle name="Normal 3 10 3 2 2 3 2 2" xfId="32675" xr:uid="{00000000-0005-0000-0000-0000A97F0000}"/>
    <cellStyle name="Normal 3 10 3 2 2 3 2 2 2" xfId="32676" xr:uid="{00000000-0005-0000-0000-0000AA7F0000}"/>
    <cellStyle name="Normal 3 10 3 2 2 3 2 3" xfId="32677" xr:uid="{00000000-0005-0000-0000-0000AB7F0000}"/>
    <cellStyle name="Normal 3 10 3 2 2 3 2 4" xfId="32678" xr:uid="{00000000-0005-0000-0000-0000AC7F0000}"/>
    <cellStyle name="Normal 3 10 3 2 2 3 3" xfId="32679" xr:uid="{00000000-0005-0000-0000-0000AD7F0000}"/>
    <cellStyle name="Normal 3 10 3 2 2 3 3 2" xfId="32680" xr:uid="{00000000-0005-0000-0000-0000AE7F0000}"/>
    <cellStyle name="Normal 3 10 3 2 2 3 4" xfId="32681" xr:uid="{00000000-0005-0000-0000-0000AF7F0000}"/>
    <cellStyle name="Normal 3 10 3 2 2 3 5" xfId="32682" xr:uid="{00000000-0005-0000-0000-0000B07F0000}"/>
    <cellStyle name="Normal 3 10 3 2 2 4" xfId="32683" xr:uid="{00000000-0005-0000-0000-0000B17F0000}"/>
    <cellStyle name="Normal 3 10 3 2 2 4 2" xfId="32684" xr:uid="{00000000-0005-0000-0000-0000B27F0000}"/>
    <cellStyle name="Normal 3 10 3 2 2 4 2 2" xfId="32685" xr:uid="{00000000-0005-0000-0000-0000B37F0000}"/>
    <cellStyle name="Normal 3 10 3 2 2 4 3" xfId="32686" xr:uid="{00000000-0005-0000-0000-0000B47F0000}"/>
    <cellStyle name="Normal 3 10 3 2 2 4 4" xfId="32687" xr:uid="{00000000-0005-0000-0000-0000B57F0000}"/>
    <cellStyle name="Normal 3 10 3 2 2 5" xfId="32688" xr:uid="{00000000-0005-0000-0000-0000B67F0000}"/>
    <cellStyle name="Normal 3 10 3 2 2 5 2" xfId="32689" xr:uid="{00000000-0005-0000-0000-0000B77F0000}"/>
    <cellStyle name="Normal 3 10 3 2 2 6" xfId="32690" xr:uid="{00000000-0005-0000-0000-0000B87F0000}"/>
    <cellStyle name="Normal 3 10 3 2 2 7" xfId="32691" xr:uid="{00000000-0005-0000-0000-0000B97F0000}"/>
    <cellStyle name="Normal 3 10 3 2 3" xfId="32692" xr:uid="{00000000-0005-0000-0000-0000BA7F0000}"/>
    <cellStyle name="Normal 3 10 3 2 3 2" xfId="32693" xr:uid="{00000000-0005-0000-0000-0000BB7F0000}"/>
    <cellStyle name="Normal 3 10 3 2 3 2 2" xfId="32694" xr:uid="{00000000-0005-0000-0000-0000BC7F0000}"/>
    <cellStyle name="Normal 3 10 3 2 3 2 2 2" xfId="32695" xr:uid="{00000000-0005-0000-0000-0000BD7F0000}"/>
    <cellStyle name="Normal 3 10 3 2 3 2 2 2 2" xfId="32696" xr:uid="{00000000-0005-0000-0000-0000BE7F0000}"/>
    <cellStyle name="Normal 3 10 3 2 3 2 2 3" xfId="32697" xr:uid="{00000000-0005-0000-0000-0000BF7F0000}"/>
    <cellStyle name="Normal 3 10 3 2 3 2 2 4" xfId="32698" xr:uid="{00000000-0005-0000-0000-0000C07F0000}"/>
    <cellStyle name="Normal 3 10 3 2 3 2 3" xfId="32699" xr:uid="{00000000-0005-0000-0000-0000C17F0000}"/>
    <cellStyle name="Normal 3 10 3 2 3 2 3 2" xfId="32700" xr:uid="{00000000-0005-0000-0000-0000C27F0000}"/>
    <cellStyle name="Normal 3 10 3 2 3 2 4" xfId="32701" xr:uid="{00000000-0005-0000-0000-0000C37F0000}"/>
    <cellStyle name="Normal 3 10 3 2 3 2 5" xfId="32702" xr:uid="{00000000-0005-0000-0000-0000C47F0000}"/>
    <cellStyle name="Normal 3 10 3 2 3 3" xfId="32703" xr:uid="{00000000-0005-0000-0000-0000C57F0000}"/>
    <cellStyle name="Normal 3 10 3 2 3 3 2" xfId="32704" xr:uid="{00000000-0005-0000-0000-0000C67F0000}"/>
    <cellStyle name="Normal 3 10 3 2 3 3 2 2" xfId="32705" xr:uid="{00000000-0005-0000-0000-0000C77F0000}"/>
    <cellStyle name="Normal 3 10 3 2 3 3 3" xfId="32706" xr:uid="{00000000-0005-0000-0000-0000C87F0000}"/>
    <cellStyle name="Normal 3 10 3 2 3 3 3 2" xfId="32707" xr:uid="{00000000-0005-0000-0000-0000C97F0000}"/>
    <cellStyle name="Normal 3 10 3 2 3 3 4" xfId="32708" xr:uid="{00000000-0005-0000-0000-0000CA7F0000}"/>
    <cellStyle name="Normal 3 10 3 2 3 3 5" xfId="32709" xr:uid="{00000000-0005-0000-0000-0000CB7F0000}"/>
    <cellStyle name="Normal 3 10 3 2 3 4" xfId="32710" xr:uid="{00000000-0005-0000-0000-0000CC7F0000}"/>
    <cellStyle name="Normal 3 10 3 2 3 4 2" xfId="32711" xr:uid="{00000000-0005-0000-0000-0000CD7F0000}"/>
    <cellStyle name="Normal 3 10 3 2 3 5" xfId="32712" xr:uid="{00000000-0005-0000-0000-0000CE7F0000}"/>
    <cellStyle name="Normal 3 10 3 2 3 5 2" xfId="32713" xr:uid="{00000000-0005-0000-0000-0000CF7F0000}"/>
    <cellStyle name="Normal 3 10 3 2 3 6" xfId="32714" xr:uid="{00000000-0005-0000-0000-0000D07F0000}"/>
    <cellStyle name="Normal 3 10 3 2 3 7" xfId="32715" xr:uid="{00000000-0005-0000-0000-0000D17F0000}"/>
    <cellStyle name="Normal 3 10 3 2 4" xfId="32716" xr:uid="{00000000-0005-0000-0000-0000D27F0000}"/>
    <cellStyle name="Normal 3 10 3 2 4 2" xfId="32717" xr:uid="{00000000-0005-0000-0000-0000D37F0000}"/>
    <cellStyle name="Normal 3 10 3 2 4 2 2" xfId="32718" xr:uid="{00000000-0005-0000-0000-0000D47F0000}"/>
    <cellStyle name="Normal 3 10 3 2 4 2 2 2" xfId="32719" xr:uid="{00000000-0005-0000-0000-0000D57F0000}"/>
    <cellStyle name="Normal 3 10 3 2 4 2 3" xfId="32720" xr:uid="{00000000-0005-0000-0000-0000D67F0000}"/>
    <cellStyle name="Normal 3 10 3 2 4 2 4" xfId="32721" xr:uid="{00000000-0005-0000-0000-0000D77F0000}"/>
    <cellStyle name="Normal 3 10 3 2 4 3" xfId="32722" xr:uid="{00000000-0005-0000-0000-0000D87F0000}"/>
    <cellStyle name="Normal 3 10 3 2 4 3 2" xfId="32723" xr:uid="{00000000-0005-0000-0000-0000D97F0000}"/>
    <cellStyle name="Normal 3 10 3 2 4 4" xfId="32724" xr:uid="{00000000-0005-0000-0000-0000DA7F0000}"/>
    <cellStyle name="Normal 3 10 3 2 4 5" xfId="32725" xr:uid="{00000000-0005-0000-0000-0000DB7F0000}"/>
    <cellStyle name="Normal 3 10 3 2 5" xfId="32726" xr:uid="{00000000-0005-0000-0000-0000DC7F0000}"/>
    <cellStyle name="Normal 3 10 3 2 5 2" xfId="32727" xr:uid="{00000000-0005-0000-0000-0000DD7F0000}"/>
    <cellStyle name="Normal 3 10 3 2 5 2 2" xfId="32728" xr:uid="{00000000-0005-0000-0000-0000DE7F0000}"/>
    <cellStyle name="Normal 3 10 3 2 5 3" xfId="32729" xr:uid="{00000000-0005-0000-0000-0000DF7F0000}"/>
    <cellStyle name="Normal 3 10 3 2 5 3 2" xfId="32730" xr:uid="{00000000-0005-0000-0000-0000E07F0000}"/>
    <cellStyle name="Normal 3 10 3 2 5 4" xfId="32731" xr:uid="{00000000-0005-0000-0000-0000E17F0000}"/>
    <cellStyle name="Normal 3 10 3 2 5 5" xfId="32732" xr:uid="{00000000-0005-0000-0000-0000E27F0000}"/>
    <cellStyle name="Normal 3 10 3 2 6" xfId="32733" xr:uid="{00000000-0005-0000-0000-0000E37F0000}"/>
    <cellStyle name="Normal 3 10 3 2 6 2" xfId="32734" xr:uid="{00000000-0005-0000-0000-0000E47F0000}"/>
    <cellStyle name="Normal 3 10 3 2 7" xfId="32735" xr:uid="{00000000-0005-0000-0000-0000E57F0000}"/>
    <cellStyle name="Normal 3 10 3 2 7 2" xfId="32736" xr:uid="{00000000-0005-0000-0000-0000E67F0000}"/>
    <cellStyle name="Normal 3 10 3 2 8" xfId="32737" xr:uid="{00000000-0005-0000-0000-0000E77F0000}"/>
    <cellStyle name="Normal 3 10 3 2 9" xfId="32738" xr:uid="{00000000-0005-0000-0000-0000E87F0000}"/>
    <cellStyle name="Normal 3 10 3 3" xfId="32739" xr:uid="{00000000-0005-0000-0000-0000E97F0000}"/>
    <cellStyle name="Normal 3 10 3 3 2" xfId="32740" xr:uid="{00000000-0005-0000-0000-0000EA7F0000}"/>
    <cellStyle name="Normal 3 10 3 3 2 2" xfId="32741" xr:uid="{00000000-0005-0000-0000-0000EB7F0000}"/>
    <cellStyle name="Normal 3 10 3 3 2 2 2" xfId="32742" xr:uid="{00000000-0005-0000-0000-0000EC7F0000}"/>
    <cellStyle name="Normal 3 10 3 3 2 2 2 2" xfId="32743" xr:uid="{00000000-0005-0000-0000-0000ED7F0000}"/>
    <cellStyle name="Normal 3 10 3 3 2 2 2 2 2" xfId="32744" xr:uid="{00000000-0005-0000-0000-0000EE7F0000}"/>
    <cellStyle name="Normal 3 10 3 3 2 2 2 3" xfId="32745" xr:uid="{00000000-0005-0000-0000-0000EF7F0000}"/>
    <cellStyle name="Normal 3 10 3 3 2 2 2 4" xfId="32746" xr:uid="{00000000-0005-0000-0000-0000F07F0000}"/>
    <cellStyle name="Normal 3 10 3 3 2 2 3" xfId="32747" xr:uid="{00000000-0005-0000-0000-0000F17F0000}"/>
    <cellStyle name="Normal 3 10 3 3 2 2 3 2" xfId="32748" xr:uid="{00000000-0005-0000-0000-0000F27F0000}"/>
    <cellStyle name="Normal 3 10 3 3 2 2 4" xfId="32749" xr:uid="{00000000-0005-0000-0000-0000F37F0000}"/>
    <cellStyle name="Normal 3 10 3 3 2 2 5" xfId="32750" xr:uid="{00000000-0005-0000-0000-0000F47F0000}"/>
    <cellStyle name="Normal 3 10 3 3 2 3" xfId="32751" xr:uid="{00000000-0005-0000-0000-0000F57F0000}"/>
    <cellStyle name="Normal 3 10 3 3 2 3 2" xfId="32752" xr:uid="{00000000-0005-0000-0000-0000F67F0000}"/>
    <cellStyle name="Normal 3 10 3 3 2 3 2 2" xfId="32753" xr:uid="{00000000-0005-0000-0000-0000F77F0000}"/>
    <cellStyle name="Normal 3 10 3 3 2 3 3" xfId="32754" xr:uid="{00000000-0005-0000-0000-0000F87F0000}"/>
    <cellStyle name="Normal 3 10 3 3 2 3 3 2" xfId="32755" xr:uid="{00000000-0005-0000-0000-0000F97F0000}"/>
    <cellStyle name="Normal 3 10 3 3 2 3 4" xfId="32756" xr:uid="{00000000-0005-0000-0000-0000FA7F0000}"/>
    <cellStyle name="Normal 3 10 3 3 2 3 5" xfId="32757" xr:uid="{00000000-0005-0000-0000-0000FB7F0000}"/>
    <cellStyle name="Normal 3 10 3 3 2 4" xfId="32758" xr:uid="{00000000-0005-0000-0000-0000FC7F0000}"/>
    <cellStyle name="Normal 3 10 3 3 2 4 2" xfId="32759" xr:uid="{00000000-0005-0000-0000-0000FD7F0000}"/>
    <cellStyle name="Normal 3 10 3 3 2 5" xfId="32760" xr:uid="{00000000-0005-0000-0000-0000FE7F0000}"/>
    <cellStyle name="Normal 3 10 3 3 2 5 2" xfId="32761" xr:uid="{00000000-0005-0000-0000-0000FF7F0000}"/>
    <cellStyle name="Normal 3 10 3 3 2 6" xfId="32762" xr:uid="{00000000-0005-0000-0000-000000800000}"/>
    <cellStyle name="Normal 3 10 3 3 2 7" xfId="32763" xr:uid="{00000000-0005-0000-0000-000001800000}"/>
    <cellStyle name="Normal 3 10 3 3 3" xfId="32764" xr:uid="{00000000-0005-0000-0000-000002800000}"/>
    <cellStyle name="Normal 3 10 3 3 3 2" xfId="32765" xr:uid="{00000000-0005-0000-0000-000003800000}"/>
    <cellStyle name="Normal 3 10 3 3 3 2 2" xfId="32766" xr:uid="{00000000-0005-0000-0000-000004800000}"/>
    <cellStyle name="Normal 3 10 3 3 3 2 2 2" xfId="32767" xr:uid="{00000000-0005-0000-0000-000005800000}"/>
    <cellStyle name="Normal 3 10 3 3 3 2 3" xfId="32768" xr:uid="{00000000-0005-0000-0000-000006800000}"/>
    <cellStyle name="Normal 3 10 3 3 3 2 4" xfId="32769" xr:uid="{00000000-0005-0000-0000-000007800000}"/>
    <cellStyle name="Normal 3 10 3 3 3 3" xfId="32770" xr:uid="{00000000-0005-0000-0000-000008800000}"/>
    <cellStyle name="Normal 3 10 3 3 3 3 2" xfId="32771" xr:uid="{00000000-0005-0000-0000-000009800000}"/>
    <cellStyle name="Normal 3 10 3 3 3 4" xfId="32772" xr:uid="{00000000-0005-0000-0000-00000A800000}"/>
    <cellStyle name="Normal 3 10 3 3 3 5" xfId="32773" xr:uid="{00000000-0005-0000-0000-00000B800000}"/>
    <cellStyle name="Normal 3 10 3 3 4" xfId="32774" xr:uid="{00000000-0005-0000-0000-00000C800000}"/>
    <cellStyle name="Normal 3 10 3 3 4 2" xfId="32775" xr:uid="{00000000-0005-0000-0000-00000D800000}"/>
    <cellStyle name="Normal 3 10 3 3 4 2 2" xfId="32776" xr:uid="{00000000-0005-0000-0000-00000E800000}"/>
    <cellStyle name="Normal 3 10 3 3 4 3" xfId="32777" xr:uid="{00000000-0005-0000-0000-00000F800000}"/>
    <cellStyle name="Normal 3 10 3 3 4 3 2" xfId="32778" xr:uid="{00000000-0005-0000-0000-000010800000}"/>
    <cellStyle name="Normal 3 10 3 3 4 4" xfId="32779" xr:uid="{00000000-0005-0000-0000-000011800000}"/>
    <cellStyle name="Normal 3 10 3 3 4 5" xfId="32780" xr:uid="{00000000-0005-0000-0000-000012800000}"/>
    <cellStyle name="Normal 3 10 3 3 5" xfId="32781" xr:uid="{00000000-0005-0000-0000-000013800000}"/>
    <cellStyle name="Normal 3 10 3 3 5 2" xfId="32782" xr:uid="{00000000-0005-0000-0000-000014800000}"/>
    <cellStyle name="Normal 3 10 3 3 6" xfId="32783" xr:uid="{00000000-0005-0000-0000-000015800000}"/>
    <cellStyle name="Normal 3 10 3 3 6 2" xfId="32784" xr:uid="{00000000-0005-0000-0000-000016800000}"/>
    <cellStyle name="Normal 3 10 3 3 7" xfId="32785" xr:uid="{00000000-0005-0000-0000-000017800000}"/>
    <cellStyle name="Normal 3 10 3 3 8" xfId="32786" xr:uid="{00000000-0005-0000-0000-000018800000}"/>
    <cellStyle name="Normal 3 10 3 4" xfId="32787" xr:uid="{00000000-0005-0000-0000-000019800000}"/>
    <cellStyle name="Normal 3 10 3 4 2" xfId="32788" xr:uid="{00000000-0005-0000-0000-00001A800000}"/>
    <cellStyle name="Normal 3 10 3 4 2 2" xfId="32789" xr:uid="{00000000-0005-0000-0000-00001B800000}"/>
    <cellStyle name="Normal 3 10 3 4 2 2 2" xfId="32790" xr:uid="{00000000-0005-0000-0000-00001C800000}"/>
    <cellStyle name="Normal 3 10 3 4 2 2 2 2" xfId="32791" xr:uid="{00000000-0005-0000-0000-00001D800000}"/>
    <cellStyle name="Normal 3 10 3 4 2 2 3" xfId="32792" xr:uid="{00000000-0005-0000-0000-00001E800000}"/>
    <cellStyle name="Normal 3 10 3 4 2 2 4" xfId="32793" xr:uid="{00000000-0005-0000-0000-00001F800000}"/>
    <cellStyle name="Normal 3 10 3 4 2 3" xfId="32794" xr:uid="{00000000-0005-0000-0000-000020800000}"/>
    <cellStyle name="Normal 3 10 3 4 2 3 2" xfId="32795" xr:uid="{00000000-0005-0000-0000-000021800000}"/>
    <cellStyle name="Normal 3 10 3 4 2 4" xfId="32796" xr:uid="{00000000-0005-0000-0000-000022800000}"/>
    <cellStyle name="Normal 3 10 3 4 2 5" xfId="32797" xr:uid="{00000000-0005-0000-0000-000023800000}"/>
    <cellStyle name="Normal 3 10 3 4 3" xfId="32798" xr:uid="{00000000-0005-0000-0000-000024800000}"/>
    <cellStyle name="Normal 3 10 3 4 3 2" xfId="32799" xr:uid="{00000000-0005-0000-0000-000025800000}"/>
    <cellStyle name="Normal 3 10 3 4 3 2 2" xfId="32800" xr:uid="{00000000-0005-0000-0000-000026800000}"/>
    <cellStyle name="Normal 3 10 3 4 3 3" xfId="32801" xr:uid="{00000000-0005-0000-0000-000027800000}"/>
    <cellStyle name="Normal 3 10 3 4 3 3 2" xfId="32802" xr:uid="{00000000-0005-0000-0000-000028800000}"/>
    <cellStyle name="Normal 3 10 3 4 3 4" xfId="32803" xr:uid="{00000000-0005-0000-0000-000029800000}"/>
    <cellStyle name="Normal 3 10 3 4 3 5" xfId="32804" xr:uid="{00000000-0005-0000-0000-00002A800000}"/>
    <cellStyle name="Normal 3 10 3 4 4" xfId="32805" xr:uid="{00000000-0005-0000-0000-00002B800000}"/>
    <cellStyle name="Normal 3 10 3 4 4 2" xfId="32806" xr:uid="{00000000-0005-0000-0000-00002C800000}"/>
    <cellStyle name="Normal 3 10 3 4 5" xfId="32807" xr:uid="{00000000-0005-0000-0000-00002D800000}"/>
    <cellStyle name="Normal 3 10 3 4 5 2" xfId="32808" xr:uid="{00000000-0005-0000-0000-00002E800000}"/>
    <cellStyle name="Normal 3 10 3 4 6" xfId="32809" xr:uid="{00000000-0005-0000-0000-00002F800000}"/>
    <cellStyle name="Normal 3 10 3 4 7" xfId="32810" xr:uid="{00000000-0005-0000-0000-000030800000}"/>
    <cellStyle name="Normal 3 10 3 5" xfId="32811" xr:uid="{00000000-0005-0000-0000-000031800000}"/>
    <cellStyle name="Normal 3 10 3 5 2" xfId="32812" xr:uid="{00000000-0005-0000-0000-000032800000}"/>
    <cellStyle name="Normal 3 10 3 5 2 2" xfId="32813" xr:uid="{00000000-0005-0000-0000-000033800000}"/>
    <cellStyle name="Normal 3 10 3 5 2 2 2" xfId="32814" xr:uid="{00000000-0005-0000-0000-000034800000}"/>
    <cellStyle name="Normal 3 10 3 5 2 3" xfId="32815" xr:uid="{00000000-0005-0000-0000-000035800000}"/>
    <cellStyle name="Normal 3 10 3 5 2 4" xfId="32816" xr:uid="{00000000-0005-0000-0000-000036800000}"/>
    <cellStyle name="Normal 3 10 3 5 3" xfId="32817" xr:uid="{00000000-0005-0000-0000-000037800000}"/>
    <cellStyle name="Normal 3 10 3 5 3 2" xfId="32818" xr:uid="{00000000-0005-0000-0000-000038800000}"/>
    <cellStyle name="Normal 3 10 3 5 4" xfId="32819" xr:uid="{00000000-0005-0000-0000-000039800000}"/>
    <cellStyle name="Normal 3 10 3 5 5" xfId="32820" xr:uid="{00000000-0005-0000-0000-00003A800000}"/>
    <cellStyle name="Normal 3 10 3 6" xfId="32821" xr:uid="{00000000-0005-0000-0000-00003B800000}"/>
    <cellStyle name="Normal 3 10 3 6 2" xfId="32822" xr:uid="{00000000-0005-0000-0000-00003C800000}"/>
    <cellStyle name="Normal 3 10 3 6 2 2" xfId="32823" xr:uid="{00000000-0005-0000-0000-00003D800000}"/>
    <cellStyle name="Normal 3 10 3 6 3" xfId="32824" xr:uid="{00000000-0005-0000-0000-00003E800000}"/>
    <cellStyle name="Normal 3 10 3 6 3 2" xfId="32825" xr:uid="{00000000-0005-0000-0000-00003F800000}"/>
    <cellStyle name="Normal 3 10 3 6 4" xfId="32826" xr:uid="{00000000-0005-0000-0000-000040800000}"/>
    <cellStyle name="Normal 3 10 3 6 5" xfId="32827" xr:uid="{00000000-0005-0000-0000-000041800000}"/>
    <cellStyle name="Normal 3 10 3 7" xfId="32828" xr:uid="{00000000-0005-0000-0000-000042800000}"/>
    <cellStyle name="Normal 3 10 3 7 2" xfId="32829" xr:uid="{00000000-0005-0000-0000-000043800000}"/>
    <cellStyle name="Normal 3 10 3 8" xfId="32830" xr:uid="{00000000-0005-0000-0000-000044800000}"/>
    <cellStyle name="Normal 3 10 3 8 2" xfId="32831" xr:uid="{00000000-0005-0000-0000-000045800000}"/>
    <cellStyle name="Normal 3 10 3 9" xfId="32832" xr:uid="{00000000-0005-0000-0000-000046800000}"/>
    <cellStyle name="Normal 3 10 4" xfId="32833" xr:uid="{00000000-0005-0000-0000-000047800000}"/>
    <cellStyle name="Normal 3 10 4 2" xfId="32834" xr:uid="{00000000-0005-0000-0000-000048800000}"/>
    <cellStyle name="Normal 3 10 4 2 2" xfId="32835" xr:uid="{00000000-0005-0000-0000-000049800000}"/>
    <cellStyle name="Normal 3 10 4 2 2 2" xfId="32836" xr:uid="{00000000-0005-0000-0000-00004A800000}"/>
    <cellStyle name="Normal 3 10 4 2 2 2 2" xfId="32837" xr:uid="{00000000-0005-0000-0000-00004B800000}"/>
    <cellStyle name="Normal 3 10 4 2 2 2 2 2" xfId="32838" xr:uid="{00000000-0005-0000-0000-00004C800000}"/>
    <cellStyle name="Normal 3 10 4 2 2 2 2 2 2" xfId="32839" xr:uid="{00000000-0005-0000-0000-00004D800000}"/>
    <cellStyle name="Normal 3 10 4 2 2 2 2 3" xfId="32840" xr:uid="{00000000-0005-0000-0000-00004E800000}"/>
    <cellStyle name="Normal 3 10 4 2 2 2 2 4" xfId="32841" xr:uid="{00000000-0005-0000-0000-00004F800000}"/>
    <cellStyle name="Normal 3 10 4 2 2 2 3" xfId="32842" xr:uid="{00000000-0005-0000-0000-000050800000}"/>
    <cellStyle name="Normal 3 10 4 2 2 2 3 2" xfId="32843" xr:uid="{00000000-0005-0000-0000-000051800000}"/>
    <cellStyle name="Normal 3 10 4 2 2 2 4" xfId="32844" xr:uid="{00000000-0005-0000-0000-000052800000}"/>
    <cellStyle name="Normal 3 10 4 2 2 2 5" xfId="32845" xr:uid="{00000000-0005-0000-0000-000053800000}"/>
    <cellStyle name="Normal 3 10 4 2 2 3" xfId="32846" xr:uid="{00000000-0005-0000-0000-000054800000}"/>
    <cellStyle name="Normal 3 10 4 2 2 3 2" xfId="32847" xr:uid="{00000000-0005-0000-0000-000055800000}"/>
    <cellStyle name="Normal 3 10 4 2 2 3 2 2" xfId="32848" xr:uid="{00000000-0005-0000-0000-000056800000}"/>
    <cellStyle name="Normal 3 10 4 2 2 3 3" xfId="32849" xr:uid="{00000000-0005-0000-0000-000057800000}"/>
    <cellStyle name="Normal 3 10 4 2 2 3 4" xfId="32850" xr:uid="{00000000-0005-0000-0000-000058800000}"/>
    <cellStyle name="Normal 3 10 4 2 2 4" xfId="32851" xr:uid="{00000000-0005-0000-0000-000059800000}"/>
    <cellStyle name="Normal 3 10 4 2 2 4 2" xfId="32852" xr:uid="{00000000-0005-0000-0000-00005A800000}"/>
    <cellStyle name="Normal 3 10 4 2 2 5" xfId="32853" xr:uid="{00000000-0005-0000-0000-00005B800000}"/>
    <cellStyle name="Normal 3 10 4 2 2 6" xfId="32854" xr:uid="{00000000-0005-0000-0000-00005C800000}"/>
    <cellStyle name="Normal 3 10 4 2 3" xfId="32855" xr:uid="{00000000-0005-0000-0000-00005D800000}"/>
    <cellStyle name="Normal 3 10 4 2 3 2" xfId="32856" xr:uid="{00000000-0005-0000-0000-00005E800000}"/>
    <cellStyle name="Normal 3 10 4 2 3 2 2" xfId="32857" xr:uid="{00000000-0005-0000-0000-00005F800000}"/>
    <cellStyle name="Normal 3 10 4 2 3 2 2 2" xfId="32858" xr:uid="{00000000-0005-0000-0000-000060800000}"/>
    <cellStyle name="Normal 3 10 4 2 3 2 3" xfId="32859" xr:uid="{00000000-0005-0000-0000-000061800000}"/>
    <cellStyle name="Normal 3 10 4 2 3 2 4" xfId="32860" xr:uid="{00000000-0005-0000-0000-000062800000}"/>
    <cellStyle name="Normal 3 10 4 2 3 3" xfId="32861" xr:uid="{00000000-0005-0000-0000-000063800000}"/>
    <cellStyle name="Normal 3 10 4 2 3 3 2" xfId="32862" xr:uid="{00000000-0005-0000-0000-000064800000}"/>
    <cellStyle name="Normal 3 10 4 2 3 4" xfId="32863" xr:uid="{00000000-0005-0000-0000-000065800000}"/>
    <cellStyle name="Normal 3 10 4 2 3 5" xfId="32864" xr:uid="{00000000-0005-0000-0000-000066800000}"/>
    <cellStyle name="Normal 3 10 4 2 4" xfId="32865" xr:uid="{00000000-0005-0000-0000-000067800000}"/>
    <cellStyle name="Normal 3 10 4 2 4 2" xfId="32866" xr:uid="{00000000-0005-0000-0000-000068800000}"/>
    <cellStyle name="Normal 3 10 4 2 4 2 2" xfId="32867" xr:uid="{00000000-0005-0000-0000-000069800000}"/>
    <cellStyle name="Normal 3 10 4 2 4 3" xfId="32868" xr:uid="{00000000-0005-0000-0000-00006A800000}"/>
    <cellStyle name="Normal 3 10 4 2 4 4" xfId="32869" xr:uid="{00000000-0005-0000-0000-00006B800000}"/>
    <cellStyle name="Normal 3 10 4 2 5" xfId="32870" xr:uid="{00000000-0005-0000-0000-00006C800000}"/>
    <cellStyle name="Normal 3 10 4 2 5 2" xfId="32871" xr:uid="{00000000-0005-0000-0000-00006D800000}"/>
    <cellStyle name="Normal 3 10 4 2 6" xfId="32872" xr:uid="{00000000-0005-0000-0000-00006E800000}"/>
    <cellStyle name="Normal 3 10 4 2 7" xfId="32873" xr:uid="{00000000-0005-0000-0000-00006F800000}"/>
    <cellStyle name="Normal 3 10 4 3" xfId="32874" xr:uid="{00000000-0005-0000-0000-000070800000}"/>
    <cellStyle name="Normal 3 10 4 3 2" xfId="32875" xr:uid="{00000000-0005-0000-0000-000071800000}"/>
    <cellStyle name="Normal 3 10 4 3 2 2" xfId="32876" xr:uid="{00000000-0005-0000-0000-000072800000}"/>
    <cellStyle name="Normal 3 10 4 3 2 2 2" xfId="32877" xr:uid="{00000000-0005-0000-0000-000073800000}"/>
    <cellStyle name="Normal 3 10 4 3 2 2 2 2" xfId="32878" xr:uid="{00000000-0005-0000-0000-000074800000}"/>
    <cellStyle name="Normal 3 10 4 3 2 2 3" xfId="32879" xr:uid="{00000000-0005-0000-0000-000075800000}"/>
    <cellStyle name="Normal 3 10 4 3 2 2 4" xfId="32880" xr:uid="{00000000-0005-0000-0000-000076800000}"/>
    <cellStyle name="Normal 3 10 4 3 2 3" xfId="32881" xr:uid="{00000000-0005-0000-0000-000077800000}"/>
    <cellStyle name="Normal 3 10 4 3 2 3 2" xfId="32882" xr:uid="{00000000-0005-0000-0000-000078800000}"/>
    <cellStyle name="Normal 3 10 4 3 2 4" xfId="32883" xr:uid="{00000000-0005-0000-0000-000079800000}"/>
    <cellStyle name="Normal 3 10 4 3 2 5" xfId="32884" xr:uid="{00000000-0005-0000-0000-00007A800000}"/>
    <cellStyle name="Normal 3 10 4 3 3" xfId="32885" xr:uid="{00000000-0005-0000-0000-00007B800000}"/>
    <cellStyle name="Normal 3 10 4 3 3 2" xfId="32886" xr:uid="{00000000-0005-0000-0000-00007C800000}"/>
    <cellStyle name="Normal 3 10 4 3 3 2 2" xfId="32887" xr:uid="{00000000-0005-0000-0000-00007D800000}"/>
    <cellStyle name="Normal 3 10 4 3 3 3" xfId="32888" xr:uid="{00000000-0005-0000-0000-00007E800000}"/>
    <cellStyle name="Normal 3 10 4 3 3 3 2" xfId="32889" xr:uid="{00000000-0005-0000-0000-00007F800000}"/>
    <cellStyle name="Normal 3 10 4 3 3 4" xfId="32890" xr:uid="{00000000-0005-0000-0000-000080800000}"/>
    <cellStyle name="Normal 3 10 4 3 3 5" xfId="32891" xr:uid="{00000000-0005-0000-0000-000081800000}"/>
    <cellStyle name="Normal 3 10 4 3 4" xfId="32892" xr:uid="{00000000-0005-0000-0000-000082800000}"/>
    <cellStyle name="Normal 3 10 4 3 4 2" xfId="32893" xr:uid="{00000000-0005-0000-0000-000083800000}"/>
    <cellStyle name="Normal 3 10 4 3 5" xfId="32894" xr:uid="{00000000-0005-0000-0000-000084800000}"/>
    <cellStyle name="Normal 3 10 4 3 5 2" xfId="32895" xr:uid="{00000000-0005-0000-0000-000085800000}"/>
    <cellStyle name="Normal 3 10 4 3 6" xfId="32896" xr:uid="{00000000-0005-0000-0000-000086800000}"/>
    <cellStyle name="Normal 3 10 4 3 7" xfId="32897" xr:uid="{00000000-0005-0000-0000-000087800000}"/>
    <cellStyle name="Normal 3 10 4 4" xfId="32898" xr:uid="{00000000-0005-0000-0000-000088800000}"/>
    <cellStyle name="Normal 3 10 4 4 2" xfId="32899" xr:uid="{00000000-0005-0000-0000-000089800000}"/>
    <cellStyle name="Normal 3 10 4 4 2 2" xfId="32900" xr:uid="{00000000-0005-0000-0000-00008A800000}"/>
    <cellStyle name="Normal 3 10 4 4 2 2 2" xfId="32901" xr:uid="{00000000-0005-0000-0000-00008B800000}"/>
    <cellStyle name="Normal 3 10 4 4 2 3" xfId="32902" xr:uid="{00000000-0005-0000-0000-00008C800000}"/>
    <cellStyle name="Normal 3 10 4 4 2 4" xfId="32903" xr:uid="{00000000-0005-0000-0000-00008D800000}"/>
    <cellStyle name="Normal 3 10 4 4 3" xfId="32904" xr:uid="{00000000-0005-0000-0000-00008E800000}"/>
    <cellStyle name="Normal 3 10 4 4 3 2" xfId="32905" xr:uid="{00000000-0005-0000-0000-00008F800000}"/>
    <cellStyle name="Normal 3 10 4 4 4" xfId="32906" xr:uid="{00000000-0005-0000-0000-000090800000}"/>
    <cellStyle name="Normal 3 10 4 4 5" xfId="32907" xr:uid="{00000000-0005-0000-0000-000091800000}"/>
    <cellStyle name="Normal 3 10 4 5" xfId="32908" xr:uid="{00000000-0005-0000-0000-000092800000}"/>
    <cellStyle name="Normal 3 10 4 5 2" xfId="32909" xr:uid="{00000000-0005-0000-0000-000093800000}"/>
    <cellStyle name="Normal 3 10 4 5 2 2" xfId="32910" xr:uid="{00000000-0005-0000-0000-000094800000}"/>
    <cellStyle name="Normal 3 10 4 5 3" xfId="32911" xr:uid="{00000000-0005-0000-0000-000095800000}"/>
    <cellStyle name="Normal 3 10 4 5 3 2" xfId="32912" xr:uid="{00000000-0005-0000-0000-000096800000}"/>
    <cellStyle name="Normal 3 10 4 5 4" xfId="32913" xr:uid="{00000000-0005-0000-0000-000097800000}"/>
    <cellStyle name="Normal 3 10 4 5 5" xfId="32914" xr:uid="{00000000-0005-0000-0000-000098800000}"/>
    <cellStyle name="Normal 3 10 4 6" xfId="32915" xr:uid="{00000000-0005-0000-0000-000099800000}"/>
    <cellStyle name="Normal 3 10 4 6 2" xfId="32916" xr:uid="{00000000-0005-0000-0000-00009A800000}"/>
    <cellStyle name="Normal 3 10 4 7" xfId="32917" xr:uid="{00000000-0005-0000-0000-00009B800000}"/>
    <cellStyle name="Normal 3 10 4 7 2" xfId="32918" xr:uid="{00000000-0005-0000-0000-00009C800000}"/>
    <cellStyle name="Normal 3 10 4 8" xfId="32919" xr:uid="{00000000-0005-0000-0000-00009D800000}"/>
    <cellStyle name="Normal 3 10 4 9" xfId="32920" xr:uid="{00000000-0005-0000-0000-00009E800000}"/>
    <cellStyle name="Normal 3 10 5" xfId="32921" xr:uid="{00000000-0005-0000-0000-00009F800000}"/>
    <cellStyle name="Normal 3 10 5 2" xfId="32922" xr:uid="{00000000-0005-0000-0000-0000A0800000}"/>
    <cellStyle name="Normal 3 10 5 2 2" xfId="32923" xr:uid="{00000000-0005-0000-0000-0000A1800000}"/>
    <cellStyle name="Normal 3 10 5 2 2 2" xfId="32924" xr:uid="{00000000-0005-0000-0000-0000A2800000}"/>
    <cellStyle name="Normal 3 10 5 2 2 2 2" xfId="32925" xr:uid="{00000000-0005-0000-0000-0000A3800000}"/>
    <cellStyle name="Normal 3 10 5 2 2 2 2 2" xfId="32926" xr:uid="{00000000-0005-0000-0000-0000A4800000}"/>
    <cellStyle name="Normal 3 10 5 2 2 2 3" xfId="32927" xr:uid="{00000000-0005-0000-0000-0000A5800000}"/>
    <cellStyle name="Normal 3 10 5 2 2 2 4" xfId="32928" xr:uid="{00000000-0005-0000-0000-0000A6800000}"/>
    <cellStyle name="Normal 3 10 5 2 2 3" xfId="32929" xr:uid="{00000000-0005-0000-0000-0000A7800000}"/>
    <cellStyle name="Normal 3 10 5 2 2 3 2" xfId="32930" xr:uid="{00000000-0005-0000-0000-0000A8800000}"/>
    <cellStyle name="Normal 3 10 5 2 2 4" xfId="32931" xr:uid="{00000000-0005-0000-0000-0000A9800000}"/>
    <cellStyle name="Normal 3 10 5 2 2 5" xfId="32932" xr:uid="{00000000-0005-0000-0000-0000AA800000}"/>
    <cellStyle name="Normal 3 10 5 2 3" xfId="32933" xr:uid="{00000000-0005-0000-0000-0000AB800000}"/>
    <cellStyle name="Normal 3 10 5 2 3 2" xfId="32934" xr:uid="{00000000-0005-0000-0000-0000AC800000}"/>
    <cellStyle name="Normal 3 10 5 2 3 2 2" xfId="32935" xr:uid="{00000000-0005-0000-0000-0000AD800000}"/>
    <cellStyle name="Normal 3 10 5 2 3 3" xfId="32936" xr:uid="{00000000-0005-0000-0000-0000AE800000}"/>
    <cellStyle name="Normal 3 10 5 2 3 3 2" xfId="32937" xr:uid="{00000000-0005-0000-0000-0000AF800000}"/>
    <cellStyle name="Normal 3 10 5 2 3 4" xfId="32938" xr:uid="{00000000-0005-0000-0000-0000B0800000}"/>
    <cellStyle name="Normal 3 10 5 2 3 5" xfId="32939" xr:uid="{00000000-0005-0000-0000-0000B1800000}"/>
    <cellStyle name="Normal 3 10 5 2 4" xfId="32940" xr:uid="{00000000-0005-0000-0000-0000B2800000}"/>
    <cellStyle name="Normal 3 10 5 2 4 2" xfId="32941" xr:uid="{00000000-0005-0000-0000-0000B3800000}"/>
    <cellStyle name="Normal 3 10 5 2 5" xfId="32942" xr:uid="{00000000-0005-0000-0000-0000B4800000}"/>
    <cellStyle name="Normal 3 10 5 2 5 2" xfId="32943" xr:uid="{00000000-0005-0000-0000-0000B5800000}"/>
    <cellStyle name="Normal 3 10 5 2 6" xfId="32944" xr:uid="{00000000-0005-0000-0000-0000B6800000}"/>
    <cellStyle name="Normal 3 10 5 2 7" xfId="32945" xr:uid="{00000000-0005-0000-0000-0000B7800000}"/>
    <cellStyle name="Normal 3 10 5 3" xfId="32946" xr:uid="{00000000-0005-0000-0000-0000B8800000}"/>
    <cellStyle name="Normal 3 10 5 3 2" xfId="32947" xr:uid="{00000000-0005-0000-0000-0000B9800000}"/>
    <cellStyle name="Normal 3 10 5 3 2 2" xfId="32948" xr:uid="{00000000-0005-0000-0000-0000BA800000}"/>
    <cellStyle name="Normal 3 10 5 3 2 2 2" xfId="32949" xr:uid="{00000000-0005-0000-0000-0000BB800000}"/>
    <cellStyle name="Normal 3 10 5 3 2 3" xfId="32950" xr:uid="{00000000-0005-0000-0000-0000BC800000}"/>
    <cellStyle name="Normal 3 10 5 3 2 4" xfId="32951" xr:uid="{00000000-0005-0000-0000-0000BD800000}"/>
    <cellStyle name="Normal 3 10 5 3 3" xfId="32952" xr:uid="{00000000-0005-0000-0000-0000BE800000}"/>
    <cellStyle name="Normal 3 10 5 3 3 2" xfId="32953" xr:uid="{00000000-0005-0000-0000-0000BF800000}"/>
    <cellStyle name="Normal 3 10 5 3 4" xfId="32954" xr:uid="{00000000-0005-0000-0000-0000C0800000}"/>
    <cellStyle name="Normal 3 10 5 3 5" xfId="32955" xr:uid="{00000000-0005-0000-0000-0000C1800000}"/>
    <cellStyle name="Normal 3 10 5 4" xfId="32956" xr:uid="{00000000-0005-0000-0000-0000C2800000}"/>
    <cellStyle name="Normal 3 10 5 4 2" xfId="32957" xr:uid="{00000000-0005-0000-0000-0000C3800000}"/>
    <cellStyle name="Normal 3 10 5 4 2 2" xfId="32958" xr:uid="{00000000-0005-0000-0000-0000C4800000}"/>
    <cellStyle name="Normal 3 10 5 4 3" xfId="32959" xr:uid="{00000000-0005-0000-0000-0000C5800000}"/>
    <cellStyle name="Normal 3 10 5 4 3 2" xfId="32960" xr:uid="{00000000-0005-0000-0000-0000C6800000}"/>
    <cellStyle name="Normal 3 10 5 4 4" xfId="32961" xr:uid="{00000000-0005-0000-0000-0000C7800000}"/>
    <cellStyle name="Normal 3 10 5 4 5" xfId="32962" xr:uid="{00000000-0005-0000-0000-0000C8800000}"/>
    <cellStyle name="Normal 3 10 5 5" xfId="32963" xr:uid="{00000000-0005-0000-0000-0000C9800000}"/>
    <cellStyle name="Normal 3 10 5 5 2" xfId="32964" xr:uid="{00000000-0005-0000-0000-0000CA800000}"/>
    <cellStyle name="Normal 3 10 5 6" xfId="32965" xr:uid="{00000000-0005-0000-0000-0000CB800000}"/>
    <cellStyle name="Normal 3 10 5 6 2" xfId="32966" xr:uid="{00000000-0005-0000-0000-0000CC800000}"/>
    <cellStyle name="Normal 3 10 5 7" xfId="32967" xr:uid="{00000000-0005-0000-0000-0000CD800000}"/>
    <cellStyle name="Normal 3 10 5 8" xfId="32968" xr:uid="{00000000-0005-0000-0000-0000CE800000}"/>
    <cellStyle name="Normal 3 10 6" xfId="32969" xr:uid="{00000000-0005-0000-0000-0000CF800000}"/>
    <cellStyle name="Normal 3 10 6 2" xfId="32970" xr:uid="{00000000-0005-0000-0000-0000D0800000}"/>
    <cellStyle name="Normal 3 10 6 2 2" xfId="32971" xr:uid="{00000000-0005-0000-0000-0000D1800000}"/>
    <cellStyle name="Normal 3 10 6 2 2 2" xfId="32972" xr:uid="{00000000-0005-0000-0000-0000D2800000}"/>
    <cellStyle name="Normal 3 10 6 2 2 2 2" xfId="32973" xr:uid="{00000000-0005-0000-0000-0000D3800000}"/>
    <cellStyle name="Normal 3 10 6 2 2 3" xfId="32974" xr:uid="{00000000-0005-0000-0000-0000D4800000}"/>
    <cellStyle name="Normal 3 10 6 2 2 4" xfId="32975" xr:uid="{00000000-0005-0000-0000-0000D5800000}"/>
    <cellStyle name="Normal 3 10 6 2 3" xfId="32976" xr:uid="{00000000-0005-0000-0000-0000D6800000}"/>
    <cellStyle name="Normal 3 10 6 2 3 2" xfId="32977" xr:uid="{00000000-0005-0000-0000-0000D7800000}"/>
    <cellStyle name="Normal 3 10 6 2 4" xfId="32978" xr:uid="{00000000-0005-0000-0000-0000D8800000}"/>
    <cellStyle name="Normal 3 10 6 2 5" xfId="32979" xr:uid="{00000000-0005-0000-0000-0000D9800000}"/>
    <cellStyle name="Normal 3 10 6 3" xfId="32980" xr:uid="{00000000-0005-0000-0000-0000DA800000}"/>
    <cellStyle name="Normal 3 10 6 3 2" xfId="32981" xr:uid="{00000000-0005-0000-0000-0000DB800000}"/>
    <cellStyle name="Normal 3 10 6 3 2 2" xfId="32982" xr:uid="{00000000-0005-0000-0000-0000DC800000}"/>
    <cellStyle name="Normal 3 10 6 3 3" xfId="32983" xr:uid="{00000000-0005-0000-0000-0000DD800000}"/>
    <cellStyle name="Normal 3 10 6 3 3 2" xfId="32984" xr:uid="{00000000-0005-0000-0000-0000DE800000}"/>
    <cellStyle name="Normal 3 10 6 3 4" xfId="32985" xr:uid="{00000000-0005-0000-0000-0000DF800000}"/>
    <cellStyle name="Normal 3 10 6 3 5" xfId="32986" xr:uid="{00000000-0005-0000-0000-0000E0800000}"/>
    <cellStyle name="Normal 3 10 6 4" xfId="32987" xr:uid="{00000000-0005-0000-0000-0000E1800000}"/>
    <cellStyle name="Normal 3 10 6 4 2" xfId="32988" xr:uid="{00000000-0005-0000-0000-0000E2800000}"/>
    <cellStyle name="Normal 3 10 6 5" xfId="32989" xr:uid="{00000000-0005-0000-0000-0000E3800000}"/>
    <cellStyle name="Normal 3 10 6 5 2" xfId="32990" xr:uid="{00000000-0005-0000-0000-0000E4800000}"/>
    <cellStyle name="Normal 3 10 6 6" xfId="32991" xr:uid="{00000000-0005-0000-0000-0000E5800000}"/>
    <cellStyle name="Normal 3 10 6 7" xfId="32992" xr:uid="{00000000-0005-0000-0000-0000E6800000}"/>
    <cellStyle name="Normal 3 10 7" xfId="32993" xr:uid="{00000000-0005-0000-0000-0000E7800000}"/>
    <cellStyle name="Normal 3 10 7 2" xfId="32994" xr:uid="{00000000-0005-0000-0000-0000E8800000}"/>
    <cellStyle name="Normal 3 10 7 2 2" xfId="32995" xr:uid="{00000000-0005-0000-0000-0000E9800000}"/>
    <cellStyle name="Normal 3 10 7 2 2 2" xfId="32996" xr:uid="{00000000-0005-0000-0000-0000EA800000}"/>
    <cellStyle name="Normal 3 10 7 2 3" xfId="32997" xr:uid="{00000000-0005-0000-0000-0000EB800000}"/>
    <cellStyle name="Normal 3 10 7 2 4" xfId="32998" xr:uid="{00000000-0005-0000-0000-0000EC800000}"/>
    <cellStyle name="Normal 3 10 7 3" xfId="32999" xr:uid="{00000000-0005-0000-0000-0000ED800000}"/>
    <cellStyle name="Normal 3 10 7 3 2" xfId="33000" xr:uid="{00000000-0005-0000-0000-0000EE800000}"/>
    <cellStyle name="Normal 3 10 7 4" xfId="33001" xr:uid="{00000000-0005-0000-0000-0000EF800000}"/>
    <cellStyle name="Normal 3 10 7 5" xfId="33002" xr:uid="{00000000-0005-0000-0000-0000F0800000}"/>
    <cellStyle name="Normal 3 10 8" xfId="33003" xr:uid="{00000000-0005-0000-0000-0000F1800000}"/>
    <cellStyle name="Normal 3 10 8 2" xfId="33004" xr:uid="{00000000-0005-0000-0000-0000F2800000}"/>
    <cellStyle name="Normal 3 10 8 2 2" xfId="33005" xr:uid="{00000000-0005-0000-0000-0000F3800000}"/>
    <cellStyle name="Normal 3 10 8 3" xfId="33006" xr:uid="{00000000-0005-0000-0000-0000F4800000}"/>
    <cellStyle name="Normal 3 10 8 3 2" xfId="33007" xr:uid="{00000000-0005-0000-0000-0000F5800000}"/>
    <cellStyle name="Normal 3 10 8 4" xfId="33008" xr:uid="{00000000-0005-0000-0000-0000F6800000}"/>
    <cellStyle name="Normal 3 10 8 5" xfId="33009" xr:uid="{00000000-0005-0000-0000-0000F7800000}"/>
    <cellStyle name="Normal 3 10 9" xfId="33010" xr:uid="{00000000-0005-0000-0000-0000F8800000}"/>
    <cellStyle name="Normal 3 10 9 2" xfId="33011" xr:uid="{00000000-0005-0000-0000-0000F9800000}"/>
    <cellStyle name="Normal 3 11" xfId="33012" xr:uid="{00000000-0005-0000-0000-0000FA800000}"/>
    <cellStyle name="Normal 3 11 10" xfId="33013" xr:uid="{00000000-0005-0000-0000-0000FB800000}"/>
    <cellStyle name="Normal 3 11 10 2" xfId="33014" xr:uid="{00000000-0005-0000-0000-0000FC800000}"/>
    <cellStyle name="Normal 3 11 11" xfId="33015" xr:uid="{00000000-0005-0000-0000-0000FD800000}"/>
    <cellStyle name="Normal 3 11 12" xfId="33016" xr:uid="{00000000-0005-0000-0000-0000FE800000}"/>
    <cellStyle name="Normal 3 11 2" xfId="33017" xr:uid="{00000000-0005-0000-0000-0000FF800000}"/>
    <cellStyle name="Normal 3 11 2 10" xfId="33018" xr:uid="{00000000-0005-0000-0000-000000810000}"/>
    <cellStyle name="Normal 3 11 2 11" xfId="33019" xr:uid="{00000000-0005-0000-0000-000001810000}"/>
    <cellStyle name="Normal 3 11 2 2" xfId="33020" xr:uid="{00000000-0005-0000-0000-000002810000}"/>
    <cellStyle name="Normal 3 11 2 2 10" xfId="33021" xr:uid="{00000000-0005-0000-0000-000003810000}"/>
    <cellStyle name="Normal 3 11 2 2 2" xfId="33022" xr:uid="{00000000-0005-0000-0000-000004810000}"/>
    <cellStyle name="Normal 3 11 2 2 2 2" xfId="33023" xr:uid="{00000000-0005-0000-0000-000005810000}"/>
    <cellStyle name="Normal 3 11 2 2 2 2 2" xfId="33024" xr:uid="{00000000-0005-0000-0000-000006810000}"/>
    <cellStyle name="Normal 3 11 2 2 2 2 2 2" xfId="33025" xr:uid="{00000000-0005-0000-0000-000007810000}"/>
    <cellStyle name="Normal 3 11 2 2 2 2 2 2 2" xfId="33026" xr:uid="{00000000-0005-0000-0000-000008810000}"/>
    <cellStyle name="Normal 3 11 2 2 2 2 2 2 2 2" xfId="33027" xr:uid="{00000000-0005-0000-0000-000009810000}"/>
    <cellStyle name="Normal 3 11 2 2 2 2 2 2 2 2 2" xfId="33028" xr:uid="{00000000-0005-0000-0000-00000A810000}"/>
    <cellStyle name="Normal 3 11 2 2 2 2 2 2 2 3" xfId="33029" xr:uid="{00000000-0005-0000-0000-00000B810000}"/>
    <cellStyle name="Normal 3 11 2 2 2 2 2 2 2 4" xfId="33030" xr:uid="{00000000-0005-0000-0000-00000C810000}"/>
    <cellStyle name="Normal 3 11 2 2 2 2 2 2 3" xfId="33031" xr:uid="{00000000-0005-0000-0000-00000D810000}"/>
    <cellStyle name="Normal 3 11 2 2 2 2 2 2 3 2" xfId="33032" xr:uid="{00000000-0005-0000-0000-00000E810000}"/>
    <cellStyle name="Normal 3 11 2 2 2 2 2 2 4" xfId="33033" xr:uid="{00000000-0005-0000-0000-00000F810000}"/>
    <cellStyle name="Normal 3 11 2 2 2 2 2 2 5" xfId="33034" xr:uid="{00000000-0005-0000-0000-000010810000}"/>
    <cellStyle name="Normal 3 11 2 2 2 2 2 3" xfId="33035" xr:uid="{00000000-0005-0000-0000-000011810000}"/>
    <cellStyle name="Normal 3 11 2 2 2 2 2 3 2" xfId="33036" xr:uid="{00000000-0005-0000-0000-000012810000}"/>
    <cellStyle name="Normal 3 11 2 2 2 2 2 3 2 2" xfId="33037" xr:uid="{00000000-0005-0000-0000-000013810000}"/>
    <cellStyle name="Normal 3 11 2 2 2 2 2 3 3" xfId="33038" xr:uid="{00000000-0005-0000-0000-000014810000}"/>
    <cellStyle name="Normal 3 11 2 2 2 2 2 3 4" xfId="33039" xr:uid="{00000000-0005-0000-0000-000015810000}"/>
    <cellStyle name="Normal 3 11 2 2 2 2 2 4" xfId="33040" xr:uid="{00000000-0005-0000-0000-000016810000}"/>
    <cellStyle name="Normal 3 11 2 2 2 2 2 4 2" xfId="33041" xr:uid="{00000000-0005-0000-0000-000017810000}"/>
    <cellStyle name="Normal 3 11 2 2 2 2 2 5" xfId="33042" xr:uid="{00000000-0005-0000-0000-000018810000}"/>
    <cellStyle name="Normal 3 11 2 2 2 2 2 6" xfId="33043" xr:uid="{00000000-0005-0000-0000-000019810000}"/>
    <cellStyle name="Normal 3 11 2 2 2 2 3" xfId="33044" xr:uid="{00000000-0005-0000-0000-00001A810000}"/>
    <cellStyle name="Normal 3 11 2 2 2 2 3 2" xfId="33045" xr:uid="{00000000-0005-0000-0000-00001B810000}"/>
    <cellStyle name="Normal 3 11 2 2 2 2 3 2 2" xfId="33046" xr:uid="{00000000-0005-0000-0000-00001C810000}"/>
    <cellStyle name="Normal 3 11 2 2 2 2 3 2 2 2" xfId="33047" xr:uid="{00000000-0005-0000-0000-00001D810000}"/>
    <cellStyle name="Normal 3 11 2 2 2 2 3 2 3" xfId="33048" xr:uid="{00000000-0005-0000-0000-00001E810000}"/>
    <cellStyle name="Normal 3 11 2 2 2 2 3 2 4" xfId="33049" xr:uid="{00000000-0005-0000-0000-00001F810000}"/>
    <cellStyle name="Normal 3 11 2 2 2 2 3 3" xfId="33050" xr:uid="{00000000-0005-0000-0000-000020810000}"/>
    <cellStyle name="Normal 3 11 2 2 2 2 3 3 2" xfId="33051" xr:uid="{00000000-0005-0000-0000-000021810000}"/>
    <cellStyle name="Normal 3 11 2 2 2 2 3 4" xfId="33052" xr:uid="{00000000-0005-0000-0000-000022810000}"/>
    <cellStyle name="Normal 3 11 2 2 2 2 3 5" xfId="33053" xr:uid="{00000000-0005-0000-0000-000023810000}"/>
    <cellStyle name="Normal 3 11 2 2 2 2 4" xfId="33054" xr:uid="{00000000-0005-0000-0000-000024810000}"/>
    <cellStyle name="Normal 3 11 2 2 2 2 4 2" xfId="33055" xr:uid="{00000000-0005-0000-0000-000025810000}"/>
    <cellStyle name="Normal 3 11 2 2 2 2 4 2 2" xfId="33056" xr:uid="{00000000-0005-0000-0000-000026810000}"/>
    <cellStyle name="Normal 3 11 2 2 2 2 4 3" xfId="33057" xr:uid="{00000000-0005-0000-0000-000027810000}"/>
    <cellStyle name="Normal 3 11 2 2 2 2 4 4" xfId="33058" xr:uid="{00000000-0005-0000-0000-000028810000}"/>
    <cellStyle name="Normal 3 11 2 2 2 2 5" xfId="33059" xr:uid="{00000000-0005-0000-0000-000029810000}"/>
    <cellStyle name="Normal 3 11 2 2 2 2 5 2" xfId="33060" xr:uid="{00000000-0005-0000-0000-00002A810000}"/>
    <cellStyle name="Normal 3 11 2 2 2 2 6" xfId="33061" xr:uid="{00000000-0005-0000-0000-00002B810000}"/>
    <cellStyle name="Normal 3 11 2 2 2 2 7" xfId="33062" xr:uid="{00000000-0005-0000-0000-00002C810000}"/>
    <cellStyle name="Normal 3 11 2 2 2 3" xfId="33063" xr:uid="{00000000-0005-0000-0000-00002D810000}"/>
    <cellStyle name="Normal 3 11 2 2 2 3 2" xfId="33064" xr:uid="{00000000-0005-0000-0000-00002E810000}"/>
    <cellStyle name="Normal 3 11 2 2 2 3 2 2" xfId="33065" xr:uid="{00000000-0005-0000-0000-00002F810000}"/>
    <cellStyle name="Normal 3 11 2 2 2 3 2 2 2" xfId="33066" xr:uid="{00000000-0005-0000-0000-000030810000}"/>
    <cellStyle name="Normal 3 11 2 2 2 3 2 2 2 2" xfId="33067" xr:uid="{00000000-0005-0000-0000-000031810000}"/>
    <cellStyle name="Normal 3 11 2 2 2 3 2 2 3" xfId="33068" xr:uid="{00000000-0005-0000-0000-000032810000}"/>
    <cellStyle name="Normal 3 11 2 2 2 3 2 2 4" xfId="33069" xr:uid="{00000000-0005-0000-0000-000033810000}"/>
    <cellStyle name="Normal 3 11 2 2 2 3 2 3" xfId="33070" xr:uid="{00000000-0005-0000-0000-000034810000}"/>
    <cellStyle name="Normal 3 11 2 2 2 3 2 3 2" xfId="33071" xr:uid="{00000000-0005-0000-0000-000035810000}"/>
    <cellStyle name="Normal 3 11 2 2 2 3 2 4" xfId="33072" xr:uid="{00000000-0005-0000-0000-000036810000}"/>
    <cellStyle name="Normal 3 11 2 2 2 3 2 5" xfId="33073" xr:uid="{00000000-0005-0000-0000-000037810000}"/>
    <cellStyle name="Normal 3 11 2 2 2 3 3" xfId="33074" xr:uid="{00000000-0005-0000-0000-000038810000}"/>
    <cellStyle name="Normal 3 11 2 2 2 3 3 2" xfId="33075" xr:uid="{00000000-0005-0000-0000-000039810000}"/>
    <cellStyle name="Normal 3 11 2 2 2 3 3 2 2" xfId="33076" xr:uid="{00000000-0005-0000-0000-00003A810000}"/>
    <cellStyle name="Normal 3 11 2 2 2 3 3 3" xfId="33077" xr:uid="{00000000-0005-0000-0000-00003B810000}"/>
    <cellStyle name="Normal 3 11 2 2 2 3 3 3 2" xfId="33078" xr:uid="{00000000-0005-0000-0000-00003C810000}"/>
    <cellStyle name="Normal 3 11 2 2 2 3 3 4" xfId="33079" xr:uid="{00000000-0005-0000-0000-00003D810000}"/>
    <cellStyle name="Normal 3 11 2 2 2 3 3 5" xfId="33080" xr:uid="{00000000-0005-0000-0000-00003E810000}"/>
    <cellStyle name="Normal 3 11 2 2 2 3 4" xfId="33081" xr:uid="{00000000-0005-0000-0000-00003F810000}"/>
    <cellStyle name="Normal 3 11 2 2 2 3 4 2" xfId="33082" xr:uid="{00000000-0005-0000-0000-000040810000}"/>
    <cellStyle name="Normal 3 11 2 2 2 3 5" xfId="33083" xr:uid="{00000000-0005-0000-0000-000041810000}"/>
    <cellStyle name="Normal 3 11 2 2 2 3 5 2" xfId="33084" xr:uid="{00000000-0005-0000-0000-000042810000}"/>
    <cellStyle name="Normal 3 11 2 2 2 3 6" xfId="33085" xr:uid="{00000000-0005-0000-0000-000043810000}"/>
    <cellStyle name="Normal 3 11 2 2 2 3 7" xfId="33086" xr:uid="{00000000-0005-0000-0000-000044810000}"/>
    <cellStyle name="Normal 3 11 2 2 2 4" xfId="33087" xr:uid="{00000000-0005-0000-0000-000045810000}"/>
    <cellStyle name="Normal 3 11 2 2 2 4 2" xfId="33088" xr:uid="{00000000-0005-0000-0000-000046810000}"/>
    <cellStyle name="Normal 3 11 2 2 2 4 2 2" xfId="33089" xr:uid="{00000000-0005-0000-0000-000047810000}"/>
    <cellStyle name="Normal 3 11 2 2 2 4 2 2 2" xfId="33090" xr:uid="{00000000-0005-0000-0000-000048810000}"/>
    <cellStyle name="Normal 3 11 2 2 2 4 2 3" xfId="33091" xr:uid="{00000000-0005-0000-0000-000049810000}"/>
    <cellStyle name="Normal 3 11 2 2 2 4 2 4" xfId="33092" xr:uid="{00000000-0005-0000-0000-00004A810000}"/>
    <cellStyle name="Normal 3 11 2 2 2 4 3" xfId="33093" xr:uid="{00000000-0005-0000-0000-00004B810000}"/>
    <cellStyle name="Normal 3 11 2 2 2 4 3 2" xfId="33094" xr:uid="{00000000-0005-0000-0000-00004C810000}"/>
    <cellStyle name="Normal 3 11 2 2 2 4 4" xfId="33095" xr:uid="{00000000-0005-0000-0000-00004D810000}"/>
    <cellStyle name="Normal 3 11 2 2 2 4 5" xfId="33096" xr:uid="{00000000-0005-0000-0000-00004E810000}"/>
    <cellStyle name="Normal 3 11 2 2 2 5" xfId="33097" xr:uid="{00000000-0005-0000-0000-00004F810000}"/>
    <cellStyle name="Normal 3 11 2 2 2 5 2" xfId="33098" xr:uid="{00000000-0005-0000-0000-000050810000}"/>
    <cellStyle name="Normal 3 11 2 2 2 5 2 2" xfId="33099" xr:uid="{00000000-0005-0000-0000-000051810000}"/>
    <cellStyle name="Normal 3 11 2 2 2 5 3" xfId="33100" xr:uid="{00000000-0005-0000-0000-000052810000}"/>
    <cellStyle name="Normal 3 11 2 2 2 5 3 2" xfId="33101" xr:uid="{00000000-0005-0000-0000-000053810000}"/>
    <cellStyle name="Normal 3 11 2 2 2 5 4" xfId="33102" xr:uid="{00000000-0005-0000-0000-000054810000}"/>
    <cellStyle name="Normal 3 11 2 2 2 5 5" xfId="33103" xr:uid="{00000000-0005-0000-0000-000055810000}"/>
    <cellStyle name="Normal 3 11 2 2 2 6" xfId="33104" xr:uid="{00000000-0005-0000-0000-000056810000}"/>
    <cellStyle name="Normal 3 11 2 2 2 6 2" xfId="33105" xr:uid="{00000000-0005-0000-0000-000057810000}"/>
    <cellStyle name="Normal 3 11 2 2 2 7" xfId="33106" xr:uid="{00000000-0005-0000-0000-000058810000}"/>
    <cellStyle name="Normal 3 11 2 2 2 7 2" xfId="33107" xr:uid="{00000000-0005-0000-0000-000059810000}"/>
    <cellStyle name="Normal 3 11 2 2 2 8" xfId="33108" xr:uid="{00000000-0005-0000-0000-00005A810000}"/>
    <cellStyle name="Normal 3 11 2 2 2 9" xfId="33109" xr:uid="{00000000-0005-0000-0000-00005B810000}"/>
    <cellStyle name="Normal 3 11 2 2 3" xfId="33110" xr:uid="{00000000-0005-0000-0000-00005C810000}"/>
    <cellStyle name="Normal 3 11 2 2 3 2" xfId="33111" xr:uid="{00000000-0005-0000-0000-00005D810000}"/>
    <cellStyle name="Normal 3 11 2 2 3 2 2" xfId="33112" xr:uid="{00000000-0005-0000-0000-00005E810000}"/>
    <cellStyle name="Normal 3 11 2 2 3 2 2 2" xfId="33113" xr:uid="{00000000-0005-0000-0000-00005F810000}"/>
    <cellStyle name="Normal 3 11 2 2 3 2 2 2 2" xfId="33114" xr:uid="{00000000-0005-0000-0000-000060810000}"/>
    <cellStyle name="Normal 3 11 2 2 3 2 2 2 2 2" xfId="33115" xr:uid="{00000000-0005-0000-0000-000061810000}"/>
    <cellStyle name="Normal 3 11 2 2 3 2 2 2 3" xfId="33116" xr:uid="{00000000-0005-0000-0000-000062810000}"/>
    <cellStyle name="Normal 3 11 2 2 3 2 2 2 4" xfId="33117" xr:uid="{00000000-0005-0000-0000-000063810000}"/>
    <cellStyle name="Normal 3 11 2 2 3 2 2 3" xfId="33118" xr:uid="{00000000-0005-0000-0000-000064810000}"/>
    <cellStyle name="Normal 3 11 2 2 3 2 2 3 2" xfId="33119" xr:uid="{00000000-0005-0000-0000-000065810000}"/>
    <cellStyle name="Normal 3 11 2 2 3 2 2 4" xfId="33120" xr:uid="{00000000-0005-0000-0000-000066810000}"/>
    <cellStyle name="Normal 3 11 2 2 3 2 2 5" xfId="33121" xr:uid="{00000000-0005-0000-0000-000067810000}"/>
    <cellStyle name="Normal 3 11 2 2 3 2 3" xfId="33122" xr:uid="{00000000-0005-0000-0000-000068810000}"/>
    <cellStyle name="Normal 3 11 2 2 3 2 3 2" xfId="33123" xr:uid="{00000000-0005-0000-0000-000069810000}"/>
    <cellStyle name="Normal 3 11 2 2 3 2 3 2 2" xfId="33124" xr:uid="{00000000-0005-0000-0000-00006A810000}"/>
    <cellStyle name="Normal 3 11 2 2 3 2 3 3" xfId="33125" xr:uid="{00000000-0005-0000-0000-00006B810000}"/>
    <cellStyle name="Normal 3 11 2 2 3 2 3 4" xfId="33126" xr:uid="{00000000-0005-0000-0000-00006C810000}"/>
    <cellStyle name="Normal 3 11 2 2 3 2 4" xfId="33127" xr:uid="{00000000-0005-0000-0000-00006D810000}"/>
    <cellStyle name="Normal 3 11 2 2 3 2 4 2" xfId="33128" xr:uid="{00000000-0005-0000-0000-00006E810000}"/>
    <cellStyle name="Normal 3 11 2 2 3 2 5" xfId="33129" xr:uid="{00000000-0005-0000-0000-00006F810000}"/>
    <cellStyle name="Normal 3 11 2 2 3 2 6" xfId="33130" xr:uid="{00000000-0005-0000-0000-000070810000}"/>
    <cellStyle name="Normal 3 11 2 2 3 3" xfId="33131" xr:uid="{00000000-0005-0000-0000-000071810000}"/>
    <cellStyle name="Normal 3 11 2 2 3 3 2" xfId="33132" xr:uid="{00000000-0005-0000-0000-000072810000}"/>
    <cellStyle name="Normal 3 11 2 2 3 3 2 2" xfId="33133" xr:uid="{00000000-0005-0000-0000-000073810000}"/>
    <cellStyle name="Normal 3 11 2 2 3 3 2 2 2" xfId="33134" xr:uid="{00000000-0005-0000-0000-000074810000}"/>
    <cellStyle name="Normal 3 11 2 2 3 3 2 3" xfId="33135" xr:uid="{00000000-0005-0000-0000-000075810000}"/>
    <cellStyle name="Normal 3 11 2 2 3 3 2 4" xfId="33136" xr:uid="{00000000-0005-0000-0000-000076810000}"/>
    <cellStyle name="Normal 3 11 2 2 3 3 3" xfId="33137" xr:uid="{00000000-0005-0000-0000-000077810000}"/>
    <cellStyle name="Normal 3 11 2 2 3 3 3 2" xfId="33138" xr:uid="{00000000-0005-0000-0000-000078810000}"/>
    <cellStyle name="Normal 3 11 2 2 3 3 4" xfId="33139" xr:uid="{00000000-0005-0000-0000-000079810000}"/>
    <cellStyle name="Normal 3 11 2 2 3 3 5" xfId="33140" xr:uid="{00000000-0005-0000-0000-00007A810000}"/>
    <cellStyle name="Normal 3 11 2 2 3 4" xfId="33141" xr:uid="{00000000-0005-0000-0000-00007B810000}"/>
    <cellStyle name="Normal 3 11 2 2 3 4 2" xfId="33142" xr:uid="{00000000-0005-0000-0000-00007C810000}"/>
    <cellStyle name="Normal 3 11 2 2 3 4 2 2" xfId="33143" xr:uid="{00000000-0005-0000-0000-00007D810000}"/>
    <cellStyle name="Normal 3 11 2 2 3 4 3" xfId="33144" xr:uid="{00000000-0005-0000-0000-00007E810000}"/>
    <cellStyle name="Normal 3 11 2 2 3 4 4" xfId="33145" xr:uid="{00000000-0005-0000-0000-00007F810000}"/>
    <cellStyle name="Normal 3 11 2 2 3 5" xfId="33146" xr:uid="{00000000-0005-0000-0000-000080810000}"/>
    <cellStyle name="Normal 3 11 2 2 3 5 2" xfId="33147" xr:uid="{00000000-0005-0000-0000-000081810000}"/>
    <cellStyle name="Normal 3 11 2 2 3 6" xfId="33148" xr:uid="{00000000-0005-0000-0000-000082810000}"/>
    <cellStyle name="Normal 3 11 2 2 3 7" xfId="33149" xr:uid="{00000000-0005-0000-0000-000083810000}"/>
    <cellStyle name="Normal 3 11 2 2 4" xfId="33150" xr:uid="{00000000-0005-0000-0000-000084810000}"/>
    <cellStyle name="Normal 3 11 2 2 4 2" xfId="33151" xr:uid="{00000000-0005-0000-0000-000085810000}"/>
    <cellStyle name="Normal 3 11 2 2 4 2 2" xfId="33152" xr:uid="{00000000-0005-0000-0000-000086810000}"/>
    <cellStyle name="Normal 3 11 2 2 4 2 2 2" xfId="33153" xr:uid="{00000000-0005-0000-0000-000087810000}"/>
    <cellStyle name="Normal 3 11 2 2 4 2 2 2 2" xfId="33154" xr:uid="{00000000-0005-0000-0000-000088810000}"/>
    <cellStyle name="Normal 3 11 2 2 4 2 2 3" xfId="33155" xr:uid="{00000000-0005-0000-0000-000089810000}"/>
    <cellStyle name="Normal 3 11 2 2 4 2 2 4" xfId="33156" xr:uid="{00000000-0005-0000-0000-00008A810000}"/>
    <cellStyle name="Normal 3 11 2 2 4 2 3" xfId="33157" xr:uid="{00000000-0005-0000-0000-00008B810000}"/>
    <cellStyle name="Normal 3 11 2 2 4 2 3 2" xfId="33158" xr:uid="{00000000-0005-0000-0000-00008C810000}"/>
    <cellStyle name="Normal 3 11 2 2 4 2 4" xfId="33159" xr:uid="{00000000-0005-0000-0000-00008D810000}"/>
    <cellStyle name="Normal 3 11 2 2 4 2 5" xfId="33160" xr:uid="{00000000-0005-0000-0000-00008E810000}"/>
    <cellStyle name="Normal 3 11 2 2 4 3" xfId="33161" xr:uid="{00000000-0005-0000-0000-00008F810000}"/>
    <cellStyle name="Normal 3 11 2 2 4 3 2" xfId="33162" xr:uid="{00000000-0005-0000-0000-000090810000}"/>
    <cellStyle name="Normal 3 11 2 2 4 3 2 2" xfId="33163" xr:uid="{00000000-0005-0000-0000-000091810000}"/>
    <cellStyle name="Normal 3 11 2 2 4 3 3" xfId="33164" xr:uid="{00000000-0005-0000-0000-000092810000}"/>
    <cellStyle name="Normal 3 11 2 2 4 3 3 2" xfId="33165" xr:uid="{00000000-0005-0000-0000-000093810000}"/>
    <cellStyle name="Normal 3 11 2 2 4 3 4" xfId="33166" xr:uid="{00000000-0005-0000-0000-000094810000}"/>
    <cellStyle name="Normal 3 11 2 2 4 3 5" xfId="33167" xr:uid="{00000000-0005-0000-0000-000095810000}"/>
    <cellStyle name="Normal 3 11 2 2 4 4" xfId="33168" xr:uid="{00000000-0005-0000-0000-000096810000}"/>
    <cellStyle name="Normal 3 11 2 2 4 4 2" xfId="33169" xr:uid="{00000000-0005-0000-0000-000097810000}"/>
    <cellStyle name="Normal 3 11 2 2 4 5" xfId="33170" xr:uid="{00000000-0005-0000-0000-000098810000}"/>
    <cellStyle name="Normal 3 11 2 2 4 5 2" xfId="33171" xr:uid="{00000000-0005-0000-0000-000099810000}"/>
    <cellStyle name="Normal 3 11 2 2 4 6" xfId="33172" xr:uid="{00000000-0005-0000-0000-00009A810000}"/>
    <cellStyle name="Normal 3 11 2 2 4 7" xfId="33173" xr:uid="{00000000-0005-0000-0000-00009B810000}"/>
    <cellStyle name="Normal 3 11 2 2 5" xfId="33174" xr:uid="{00000000-0005-0000-0000-00009C810000}"/>
    <cellStyle name="Normal 3 11 2 2 5 2" xfId="33175" xr:uid="{00000000-0005-0000-0000-00009D810000}"/>
    <cellStyle name="Normal 3 11 2 2 5 2 2" xfId="33176" xr:uid="{00000000-0005-0000-0000-00009E810000}"/>
    <cellStyle name="Normal 3 11 2 2 5 2 2 2" xfId="33177" xr:uid="{00000000-0005-0000-0000-00009F810000}"/>
    <cellStyle name="Normal 3 11 2 2 5 2 3" xfId="33178" xr:uid="{00000000-0005-0000-0000-0000A0810000}"/>
    <cellStyle name="Normal 3 11 2 2 5 2 4" xfId="33179" xr:uid="{00000000-0005-0000-0000-0000A1810000}"/>
    <cellStyle name="Normal 3 11 2 2 5 3" xfId="33180" xr:uid="{00000000-0005-0000-0000-0000A2810000}"/>
    <cellStyle name="Normal 3 11 2 2 5 3 2" xfId="33181" xr:uid="{00000000-0005-0000-0000-0000A3810000}"/>
    <cellStyle name="Normal 3 11 2 2 5 4" xfId="33182" xr:uid="{00000000-0005-0000-0000-0000A4810000}"/>
    <cellStyle name="Normal 3 11 2 2 5 5" xfId="33183" xr:uid="{00000000-0005-0000-0000-0000A5810000}"/>
    <cellStyle name="Normal 3 11 2 2 6" xfId="33184" xr:uid="{00000000-0005-0000-0000-0000A6810000}"/>
    <cellStyle name="Normal 3 11 2 2 6 2" xfId="33185" xr:uid="{00000000-0005-0000-0000-0000A7810000}"/>
    <cellStyle name="Normal 3 11 2 2 6 2 2" xfId="33186" xr:uid="{00000000-0005-0000-0000-0000A8810000}"/>
    <cellStyle name="Normal 3 11 2 2 6 3" xfId="33187" xr:uid="{00000000-0005-0000-0000-0000A9810000}"/>
    <cellStyle name="Normal 3 11 2 2 6 3 2" xfId="33188" xr:uid="{00000000-0005-0000-0000-0000AA810000}"/>
    <cellStyle name="Normal 3 11 2 2 6 4" xfId="33189" xr:uid="{00000000-0005-0000-0000-0000AB810000}"/>
    <cellStyle name="Normal 3 11 2 2 6 5" xfId="33190" xr:uid="{00000000-0005-0000-0000-0000AC810000}"/>
    <cellStyle name="Normal 3 11 2 2 7" xfId="33191" xr:uid="{00000000-0005-0000-0000-0000AD810000}"/>
    <cellStyle name="Normal 3 11 2 2 7 2" xfId="33192" xr:uid="{00000000-0005-0000-0000-0000AE810000}"/>
    <cellStyle name="Normal 3 11 2 2 8" xfId="33193" xr:uid="{00000000-0005-0000-0000-0000AF810000}"/>
    <cellStyle name="Normal 3 11 2 2 8 2" xfId="33194" xr:uid="{00000000-0005-0000-0000-0000B0810000}"/>
    <cellStyle name="Normal 3 11 2 2 9" xfId="33195" xr:uid="{00000000-0005-0000-0000-0000B1810000}"/>
    <cellStyle name="Normal 3 11 2 3" xfId="33196" xr:uid="{00000000-0005-0000-0000-0000B2810000}"/>
    <cellStyle name="Normal 3 11 2 3 2" xfId="33197" xr:uid="{00000000-0005-0000-0000-0000B3810000}"/>
    <cellStyle name="Normal 3 11 2 3 2 2" xfId="33198" xr:uid="{00000000-0005-0000-0000-0000B4810000}"/>
    <cellStyle name="Normal 3 11 2 3 2 2 2" xfId="33199" xr:uid="{00000000-0005-0000-0000-0000B5810000}"/>
    <cellStyle name="Normal 3 11 2 3 2 2 2 2" xfId="33200" xr:uid="{00000000-0005-0000-0000-0000B6810000}"/>
    <cellStyle name="Normal 3 11 2 3 2 2 2 2 2" xfId="33201" xr:uid="{00000000-0005-0000-0000-0000B7810000}"/>
    <cellStyle name="Normal 3 11 2 3 2 2 2 2 2 2" xfId="33202" xr:uid="{00000000-0005-0000-0000-0000B8810000}"/>
    <cellStyle name="Normal 3 11 2 3 2 2 2 2 3" xfId="33203" xr:uid="{00000000-0005-0000-0000-0000B9810000}"/>
    <cellStyle name="Normal 3 11 2 3 2 2 2 2 4" xfId="33204" xr:uid="{00000000-0005-0000-0000-0000BA810000}"/>
    <cellStyle name="Normal 3 11 2 3 2 2 2 3" xfId="33205" xr:uid="{00000000-0005-0000-0000-0000BB810000}"/>
    <cellStyle name="Normal 3 11 2 3 2 2 2 3 2" xfId="33206" xr:uid="{00000000-0005-0000-0000-0000BC810000}"/>
    <cellStyle name="Normal 3 11 2 3 2 2 2 4" xfId="33207" xr:uid="{00000000-0005-0000-0000-0000BD810000}"/>
    <cellStyle name="Normal 3 11 2 3 2 2 2 5" xfId="33208" xr:uid="{00000000-0005-0000-0000-0000BE810000}"/>
    <cellStyle name="Normal 3 11 2 3 2 2 3" xfId="33209" xr:uid="{00000000-0005-0000-0000-0000BF810000}"/>
    <cellStyle name="Normal 3 11 2 3 2 2 3 2" xfId="33210" xr:uid="{00000000-0005-0000-0000-0000C0810000}"/>
    <cellStyle name="Normal 3 11 2 3 2 2 3 2 2" xfId="33211" xr:uid="{00000000-0005-0000-0000-0000C1810000}"/>
    <cellStyle name="Normal 3 11 2 3 2 2 3 3" xfId="33212" xr:uid="{00000000-0005-0000-0000-0000C2810000}"/>
    <cellStyle name="Normal 3 11 2 3 2 2 3 4" xfId="33213" xr:uid="{00000000-0005-0000-0000-0000C3810000}"/>
    <cellStyle name="Normal 3 11 2 3 2 2 4" xfId="33214" xr:uid="{00000000-0005-0000-0000-0000C4810000}"/>
    <cellStyle name="Normal 3 11 2 3 2 2 4 2" xfId="33215" xr:uid="{00000000-0005-0000-0000-0000C5810000}"/>
    <cellStyle name="Normal 3 11 2 3 2 2 5" xfId="33216" xr:uid="{00000000-0005-0000-0000-0000C6810000}"/>
    <cellStyle name="Normal 3 11 2 3 2 2 6" xfId="33217" xr:uid="{00000000-0005-0000-0000-0000C7810000}"/>
    <cellStyle name="Normal 3 11 2 3 2 3" xfId="33218" xr:uid="{00000000-0005-0000-0000-0000C8810000}"/>
    <cellStyle name="Normal 3 11 2 3 2 3 2" xfId="33219" xr:uid="{00000000-0005-0000-0000-0000C9810000}"/>
    <cellStyle name="Normal 3 11 2 3 2 3 2 2" xfId="33220" xr:uid="{00000000-0005-0000-0000-0000CA810000}"/>
    <cellStyle name="Normal 3 11 2 3 2 3 2 2 2" xfId="33221" xr:uid="{00000000-0005-0000-0000-0000CB810000}"/>
    <cellStyle name="Normal 3 11 2 3 2 3 2 3" xfId="33222" xr:uid="{00000000-0005-0000-0000-0000CC810000}"/>
    <cellStyle name="Normal 3 11 2 3 2 3 2 4" xfId="33223" xr:uid="{00000000-0005-0000-0000-0000CD810000}"/>
    <cellStyle name="Normal 3 11 2 3 2 3 3" xfId="33224" xr:uid="{00000000-0005-0000-0000-0000CE810000}"/>
    <cellStyle name="Normal 3 11 2 3 2 3 3 2" xfId="33225" xr:uid="{00000000-0005-0000-0000-0000CF810000}"/>
    <cellStyle name="Normal 3 11 2 3 2 3 4" xfId="33226" xr:uid="{00000000-0005-0000-0000-0000D0810000}"/>
    <cellStyle name="Normal 3 11 2 3 2 3 5" xfId="33227" xr:uid="{00000000-0005-0000-0000-0000D1810000}"/>
    <cellStyle name="Normal 3 11 2 3 2 4" xfId="33228" xr:uid="{00000000-0005-0000-0000-0000D2810000}"/>
    <cellStyle name="Normal 3 11 2 3 2 4 2" xfId="33229" xr:uid="{00000000-0005-0000-0000-0000D3810000}"/>
    <cellStyle name="Normal 3 11 2 3 2 4 2 2" xfId="33230" xr:uid="{00000000-0005-0000-0000-0000D4810000}"/>
    <cellStyle name="Normal 3 11 2 3 2 4 3" xfId="33231" xr:uid="{00000000-0005-0000-0000-0000D5810000}"/>
    <cellStyle name="Normal 3 11 2 3 2 4 4" xfId="33232" xr:uid="{00000000-0005-0000-0000-0000D6810000}"/>
    <cellStyle name="Normal 3 11 2 3 2 5" xfId="33233" xr:uid="{00000000-0005-0000-0000-0000D7810000}"/>
    <cellStyle name="Normal 3 11 2 3 2 5 2" xfId="33234" xr:uid="{00000000-0005-0000-0000-0000D8810000}"/>
    <cellStyle name="Normal 3 11 2 3 2 6" xfId="33235" xr:uid="{00000000-0005-0000-0000-0000D9810000}"/>
    <cellStyle name="Normal 3 11 2 3 2 7" xfId="33236" xr:uid="{00000000-0005-0000-0000-0000DA810000}"/>
    <cellStyle name="Normal 3 11 2 3 3" xfId="33237" xr:uid="{00000000-0005-0000-0000-0000DB810000}"/>
    <cellStyle name="Normal 3 11 2 3 3 2" xfId="33238" xr:uid="{00000000-0005-0000-0000-0000DC810000}"/>
    <cellStyle name="Normal 3 11 2 3 3 2 2" xfId="33239" xr:uid="{00000000-0005-0000-0000-0000DD810000}"/>
    <cellStyle name="Normal 3 11 2 3 3 2 2 2" xfId="33240" xr:uid="{00000000-0005-0000-0000-0000DE810000}"/>
    <cellStyle name="Normal 3 11 2 3 3 2 2 2 2" xfId="33241" xr:uid="{00000000-0005-0000-0000-0000DF810000}"/>
    <cellStyle name="Normal 3 11 2 3 3 2 2 3" xfId="33242" xr:uid="{00000000-0005-0000-0000-0000E0810000}"/>
    <cellStyle name="Normal 3 11 2 3 3 2 2 4" xfId="33243" xr:uid="{00000000-0005-0000-0000-0000E1810000}"/>
    <cellStyle name="Normal 3 11 2 3 3 2 3" xfId="33244" xr:uid="{00000000-0005-0000-0000-0000E2810000}"/>
    <cellStyle name="Normal 3 11 2 3 3 2 3 2" xfId="33245" xr:uid="{00000000-0005-0000-0000-0000E3810000}"/>
    <cellStyle name="Normal 3 11 2 3 3 2 4" xfId="33246" xr:uid="{00000000-0005-0000-0000-0000E4810000}"/>
    <cellStyle name="Normal 3 11 2 3 3 2 5" xfId="33247" xr:uid="{00000000-0005-0000-0000-0000E5810000}"/>
    <cellStyle name="Normal 3 11 2 3 3 3" xfId="33248" xr:uid="{00000000-0005-0000-0000-0000E6810000}"/>
    <cellStyle name="Normal 3 11 2 3 3 3 2" xfId="33249" xr:uid="{00000000-0005-0000-0000-0000E7810000}"/>
    <cellStyle name="Normal 3 11 2 3 3 3 2 2" xfId="33250" xr:uid="{00000000-0005-0000-0000-0000E8810000}"/>
    <cellStyle name="Normal 3 11 2 3 3 3 3" xfId="33251" xr:uid="{00000000-0005-0000-0000-0000E9810000}"/>
    <cellStyle name="Normal 3 11 2 3 3 3 3 2" xfId="33252" xr:uid="{00000000-0005-0000-0000-0000EA810000}"/>
    <cellStyle name="Normal 3 11 2 3 3 3 4" xfId="33253" xr:uid="{00000000-0005-0000-0000-0000EB810000}"/>
    <cellStyle name="Normal 3 11 2 3 3 3 5" xfId="33254" xr:uid="{00000000-0005-0000-0000-0000EC810000}"/>
    <cellStyle name="Normal 3 11 2 3 3 4" xfId="33255" xr:uid="{00000000-0005-0000-0000-0000ED810000}"/>
    <cellStyle name="Normal 3 11 2 3 3 4 2" xfId="33256" xr:uid="{00000000-0005-0000-0000-0000EE810000}"/>
    <cellStyle name="Normal 3 11 2 3 3 5" xfId="33257" xr:uid="{00000000-0005-0000-0000-0000EF810000}"/>
    <cellStyle name="Normal 3 11 2 3 3 5 2" xfId="33258" xr:uid="{00000000-0005-0000-0000-0000F0810000}"/>
    <cellStyle name="Normal 3 11 2 3 3 6" xfId="33259" xr:uid="{00000000-0005-0000-0000-0000F1810000}"/>
    <cellStyle name="Normal 3 11 2 3 3 7" xfId="33260" xr:uid="{00000000-0005-0000-0000-0000F2810000}"/>
    <cellStyle name="Normal 3 11 2 3 4" xfId="33261" xr:uid="{00000000-0005-0000-0000-0000F3810000}"/>
    <cellStyle name="Normal 3 11 2 3 4 2" xfId="33262" xr:uid="{00000000-0005-0000-0000-0000F4810000}"/>
    <cellStyle name="Normal 3 11 2 3 4 2 2" xfId="33263" xr:uid="{00000000-0005-0000-0000-0000F5810000}"/>
    <cellStyle name="Normal 3 11 2 3 4 2 2 2" xfId="33264" xr:uid="{00000000-0005-0000-0000-0000F6810000}"/>
    <cellStyle name="Normal 3 11 2 3 4 2 3" xfId="33265" xr:uid="{00000000-0005-0000-0000-0000F7810000}"/>
    <cellStyle name="Normal 3 11 2 3 4 2 4" xfId="33266" xr:uid="{00000000-0005-0000-0000-0000F8810000}"/>
    <cellStyle name="Normal 3 11 2 3 4 3" xfId="33267" xr:uid="{00000000-0005-0000-0000-0000F9810000}"/>
    <cellStyle name="Normal 3 11 2 3 4 3 2" xfId="33268" xr:uid="{00000000-0005-0000-0000-0000FA810000}"/>
    <cellStyle name="Normal 3 11 2 3 4 4" xfId="33269" xr:uid="{00000000-0005-0000-0000-0000FB810000}"/>
    <cellStyle name="Normal 3 11 2 3 4 5" xfId="33270" xr:uid="{00000000-0005-0000-0000-0000FC810000}"/>
    <cellStyle name="Normal 3 11 2 3 5" xfId="33271" xr:uid="{00000000-0005-0000-0000-0000FD810000}"/>
    <cellStyle name="Normal 3 11 2 3 5 2" xfId="33272" xr:uid="{00000000-0005-0000-0000-0000FE810000}"/>
    <cellStyle name="Normal 3 11 2 3 5 2 2" xfId="33273" xr:uid="{00000000-0005-0000-0000-0000FF810000}"/>
    <cellStyle name="Normal 3 11 2 3 5 3" xfId="33274" xr:uid="{00000000-0005-0000-0000-000000820000}"/>
    <cellStyle name="Normal 3 11 2 3 5 3 2" xfId="33275" xr:uid="{00000000-0005-0000-0000-000001820000}"/>
    <cellStyle name="Normal 3 11 2 3 5 4" xfId="33276" xr:uid="{00000000-0005-0000-0000-000002820000}"/>
    <cellStyle name="Normal 3 11 2 3 5 5" xfId="33277" xr:uid="{00000000-0005-0000-0000-000003820000}"/>
    <cellStyle name="Normal 3 11 2 3 6" xfId="33278" xr:uid="{00000000-0005-0000-0000-000004820000}"/>
    <cellStyle name="Normal 3 11 2 3 6 2" xfId="33279" xr:uid="{00000000-0005-0000-0000-000005820000}"/>
    <cellStyle name="Normal 3 11 2 3 7" xfId="33280" xr:uid="{00000000-0005-0000-0000-000006820000}"/>
    <cellStyle name="Normal 3 11 2 3 7 2" xfId="33281" xr:uid="{00000000-0005-0000-0000-000007820000}"/>
    <cellStyle name="Normal 3 11 2 3 8" xfId="33282" xr:uid="{00000000-0005-0000-0000-000008820000}"/>
    <cellStyle name="Normal 3 11 2 3 9" xfId="33283" xr:uid="{00000000-0005-0000-0000-000009820000}"/>
    <cellStyle name="Normal 3 11 2 4" xfId="33284" xr:uid="{00000000-0005-0000-0000-00000A820000}"/>
    <cellStyle name="Normal 3 11 2 4 2" xfId="33285" xr:uid="{00000000-0005-0000-0000-00000B820000}"/>
    <cellStyle name="Normal 3 11 2 4 2 2" xfId="33286" xr:uid="{00000000-0005-0000-0000-00000C820000}"/>
    <cellStyle name="Normal 3 11 2 4 2 2 2" xfId="33287" xr:uid="{00000000-0005-0000-0000-00000D820000}"/>
    <cellStyle name="Normal 3 11 2 4 2 2 2 2" xfId="33288" xr:uid="{00000000-0005-0000-0000-00000E820000}"/>
    <cellStyle name="Normal 3 11 2 4 2 2 2 2 2" xfId="33289" xr:uid="{00000000-0005-0000-0000-00000F820000}"/>
    <cellStyle name="Normal 3 11 2 4 2 2 2 3" xfId="33290" xr:uid="{00000000-0005-0000-0000-000010820000}"/>
    <cellStyle name="Normal 3 11 2 4 2 2 2 4" xfId="33291" xr:uid="{00000000-0005-0000-0000-000011820000}"/>
    <cellStyle name="Normal 3 11 2 4 2 2 3" xfId="33292" xr:uid="{00000000-0005-0000-0000-000012820000}"/>
    <cellStyle name="Normal 3 11 2 4 2 2 3 2" xfId="33293" xr:uid="{00000000-0005-0000-0000-000013820000}"/>
    <cellStyle name="Normal 3 11 2 4 2 2 4" xfId="33294" xr:uid="{00000000-0005-0000-0000-000014820000}"/>
    <cellStyle name="Normal 3 11 2 4 2 2 5" xfId="33295" xr:uid="{00000000-0005-0000-0000-000015820000}"/>
    <cellStyle name="Normal 3 11 2 4 2 3" xfId="33296" xr:uid="{00000000-0005-0000-0000-000016820000}"/>
    <cellStyle name="Normal 3 11 2 4 2 3 2" xfId="33297" xr:uid="{00000000-0005-0000-0000-000017820000}"/>
    <cellStyle name="Normal 3 11 2 4 2 3 2 2" xfId="33298" xr:uid="{00000000-0005-0000-0000-000018820000}"/>
    <cellStyle name="Normal 3 11 2 4 2 3 3" xfId="33299" xr:uid="{00000000-0005-0000-0000-000019820000}"/>
    <cellStyle name="Normal 3 11 2 4 2 3 3 2" xfId="33300" xr:uid="{00000000-0005-0000-0000-00001A820000}"/>
    <cellStyle name="Normal 3 11 2 4 2 3 4" xfId="33301" xr:uid="{00000000-0005-0000-0000-00001B820000}"/>
    <cellStyle name="Normal 3 11 2 4 2 3 5" xfId="33302" xr:uid="{00000000-0005-0000-0000-00001C820000}"/>
    <cellStyle name="Normal 3 11 2 4 2 4" xfId="33303" xr:uid="{00000000-0005-0000-0000-00001D820000}"/>
    <cellStyle name="Normal 3 11 2 4 2 4 2" xfId="33304" xr:uid="{00000000-0005-0000-0000-00001E820000}"/>
    <cellStyle name="Normal 3 11 2 4 2 5" xfId="33305" xr:uid="{00000000-0005-0000-0000-00001F820000}"/>
    <cellStyle name="Normal 3 11 2 4 2 5 2" xfId="33306" xr:uid="{00000000-0005-0000-0000-000020820000}"/>
    <cellStyle name="Normal 3 11 2 4 2 6" xfId="33307" xr:uid="{00000000-0005-0000-0000-000021820000}"/>
    <cellStyle name="Normal 3 11 2 4 2 7" xfId="33308" xr:uid="{00000000-0005-0000-0000-000022820000}"/>
    <cellStyle name="Normal 3 11 2 4 3" xfId="33309" xr:uid="{00000000-0005-0000-0000-000023820000}"/>
    <cellStyle name="Normal 3 11 2 4 3 2" xfId="33310" xr:uid="{00000000-0005-0000-0000-000024820000}"/>
    <cellStyle name="Normal 3 11 2 4 3 2 2" xfId="33311" xr:uid="{00000000-0005-0000-0000-000025820000}"/>
    <cellStyle name="Normal 3 11 2 4 3 2 2 2" xfId="33312" xr:uid="{00000000-0005-0000-0000-000026820000}"/>
    <cellStyle name="Normal 3 11 2 4 3 2 3" xfId="33313" xr:uid="{00000000-0005-0000-0000-000027820000}"/>
    <cellStyle name="Normal 3 11 2 4 3 2 4" xfId="33314" xr:uid="{00000000-0005-0000-0000-000028820000}"/>
    <cellStyle name="Normal 3 11 2 4 3 3" xfId="33315" xr:uid="{00000000-0005-0000-0000-000029820000}"/>
    <cellStyle name="Normal 3 11 2 4 3 3 2" xfId="33316" xr:uid="{00000000-0005-0000-0000-00002A820000}"/>
    <cellStyle name="Normal 3 11 2 4 3 4" xfId="33317" xr:uid="{00000000-0005-0000-0000-00002B820000}"/>
    <cellStyle name="Normal 3 11 2 4 3 5" xfId="33318" xr:uid="{00000000-0005-0000-0000-00002C820000}"/>
    <cellStyle name="Normal 3 11 2 4 4" xfId="33319" xr:uid="{00000000-0005-0000-0000-00002D820000}"/>
    <cellStyle name="Normal 3 11 2 4 4 2" xfId="33320" xr:uid="{00000000-0005-0000-0000-00002E820000}"/>
    <cellStyle name="Normal 3 11 2 4 4 2 2" xfId="33321" xr:uid="{00000000-0005-0000-0000-00002F820000}"/>
    <cellStyle name="Normal 3 11 2 4 4 3" xfId="33322" xr:uid="{00000000-0005-0000-0000-000030820000}"/>
    <cellStyle name="Normal 3 11 2 4 4 3 2" xfId="33323" xr:uid="{00000000-0005-0000-0000-000031820000}"/>
    <cellStyle name="Normal 3 11 2 4 4 4" xfId="33324" xr:uid="{00000000-0005-0000-0000-000032820000}"/>
    <cellStyle name="Normal 3 11 2 4 4 5" xfId="33325" xr:uid="{00000000-0005-0000-0000-000033820000}"/>
    <cellStyle name="Normal 3 11 2 4 5" xfId="33326" xr:uid="{00000000-0005-0000-0000-000034820000}"/>
    <cellStyle name="Normal 3 11 2 4 5 2" xfId="33327" xr:uid="{00000000-0005-0000-0000-000035820000}"/>
    <cellStyle name="Normal 3 11 2 4 6" xfId="33328" xr:uid="{00000000-0005-0000-0000-000036820000}"/>
    <cellStyle name="Normal 3 11 2 4 6 2" xfId="33329" xr:uid="{00000000-0005-0000-0000-000037820000}"/>
    <cellStyle name="Normal 3 11 2 4 7" xfId="33330" xr:uid="{00000000-0005-0000-0000-000038820000}"/>
    <cellStyle name="Normal 3 11 2 4 8" xfId="33331" xr:uid="{00000000-0005-0000-0000-000039820000}"/>
    <cellStyle name="Normal 3 11 2 5" xfId="33332" xr:uid="{00000000-0005-0000-0000-00003A820000}"/>
    <cellStyle name="Normal 3 11 2 5 2" xfId="33333" xr:uid="{00000000-0005-0000-0000-00003B820000}"/>
    <cellStyle name="Normal 3 11 2 5 2 2" xfId="33334" xr:uid="{00000000-0005-0000-0000-00003C820000}"/>
    <cellStyle name="Normal 3 11 2 5 2 2 2" xfId="33335" xr:uid="{00000000-0005-0000-0000-00003D820000}"/>
    <cellStyle name="Normal 3 11 2 5 2 2 2 2" xfId="33336" xr:uid="{00000000-0005-0000-0000-00003E820000}"/>
    <cellStyle name="Normal 3 11 2 5 2 2 3" xfId="33337" xr:uid="{00000000-0005-0000-0000-00003F820000}"/>
    <cellStyle name="Normal 3 11 2 5 2 2 4" xfId="33338" xr:uid="{00000000-0005-0000-0000-000040820000}"/>
    <cellStyle name="Normal 3 11 2 5 2 3" xfId="33339" xr:uid="{00000000-0005-0000-0000-000041820000}"/>
    <cellStyle name="Normal 3 11 2 5 2 3 2" xfId="33340" xr:uid="{00000000-0005-0000-0000-000042820000}"/>
    <cellStyle name="Normal 3 11 2 5 2 4" xfId="33341" xr:uid="{00000000-0005-0000-0000-000043820000}"/>
    <cellStyle name="Normal 3 11 2 5 2 5" xfId="33342" xr:uid="{00000000-0005-0000-0000-000044820000}"/>
    <cellStyle name="Normal 3 11 2 5 3" xfId="33343" xr:uid="{00000000-0005-0000-0000-000045820000}"/>
    <cellStyle name="Normal 3 11 2 5 3 2" xfId="33344" xr:uid="{00000000-0005-0000-0000-000046820000}"/>
    <cellStyle name="Normal 3 11 2 5 3 2 2" xfId="33345" xr:uid="{00000000-0005-0000-0000-000047820000}"/>
    <cellStyle name="Normal 3 11 2 5 3 3" xfId="33346" xr:uid="{00000000-0005-0000-0000-000048820000}"/>
    <cellStyle name="Normal 3 11 2 5 3 3 2" xfId="33347" xr:uid="{00000000-0005-0000-0000-000049820000}"/>
    <cellStyle name="Normal 3 11 2 5 3 4" xfId="33348" xr:uid="{00000000-0005-0000-0000-00004A820000}"/>
    <cellStyle name="Normal 3 11 2 5 3 5" xfId="33349" xr:uid="{00000000-0005-0000-0000-00004B820000}"/>
    <cellStyle name="Normal 3 11 2 5 4" xfId="33350" xr:uid="{00000000-0005-0000-0000-00004C820000}"/>
    <cellStyle name="Normal 3 11 2 5 4 2" xfId="33351" xr:uid="{00000000-0005-0000-0000-00004D820000}"/>
    <cellStyle name="Normal 3 11 2 5 5" xfId="33352" xr:uid="{00000000-0005-0000-0000-00004E820000}"/>
    <cellStyle name="Normal 3 11 2 5 5 2" xfId="33353" xr:uid="{00000000-0005-0000-0000-00004F820000}"/>
    <cellStyle name="Normal 3 11 2 5 6" xfId="33354" xr:uid="{00000000-0005-0000-0000-000050820000}"/>
    <cellStyle name="Normal 3 11 2 5 7" xfId="33355" xr:uid="{00000000-0005-0000-0000-000051820000}"/>
    <cellStyle name="Normal 3 11 2 6" xfId="33356" xr:uid="{00000000-0005-0000-0000-000052820000}"/>
    <cellStyle name="Normal 3 11 2 6 2" xfId="33357" xr:uid="{00000000-0005-0000-0000-000053820000}"/>
    <cellStyle name="Normal 3 11 2 6 2 2" xfId="33358" xr:uid="{00000000-0005-0000-0000-000054820000}"/>
    <cellStyle name="Normal 3 11 2 6 2 2 2" xfId="33359" xr:uid="{00000000-0005-0000-0000-000055820000}"/>
    <cellStyle name="Normal 3 11 2 6 2 3" xfId="33360" xr:uid="{00000000-0005-0000-0000-000056820000}"/>
    <cellStyle name="Normal 3 11 2 6 2 4" xfId="33361" xr:uid="{00000000-0005-0000-0000-000057820000}"/>
    <cellStyle name="Normal 3 11 2 6 3" xfId="33362" xr:uid="{00000000-0005-0000-0000-000058820000}"/>
    <cellStyle name="Normal 3 11 2 6 3 2" xfId="33363" xr:uid="{00000000-0005-0000-0000-000059820000}"/>
    <cellStyle name="Normal 3 11 2 6 4" xfId="33364" xr:uid="{00000000-0005-0000-0000-00005A820000}"/>
    <cellStyle name="Normal 3 11 2 6 5" xfId="33365" xr:uid="{00000000-0005-0000-0000-00005B820000}"/>
    <cellStyle name="Normal 3 11 2 7" xfId="33366" xr:uid="{00000000-0005-0000-0000-00005C820000}"/>
    <cellStyle name="Normal 3 11 2 7 2" xfId="33367" xr:uid="{00000000-0005-0000-0000-00005D820000}"/>
    <cellStyle name="Normal 3 11 2 7 2 2" xfId="33368" xr:uid="{00000000-0005-0000-0000-00005E820000}"/>
    <cellStyle name="Normal 3 11 2 7 3" xfId="33369" xr:uid="{00000000-0005-0000-0000-00005F820000}"/>
    <cellStyle name="Normal 3 11 2 7 3 2" xfId="33370" xr:uid="{00000000-0005-0000-0000-000060820000}"/>
    <cellStyle name="Normal 3 11 2 7 4" xfId="33371" xr:uid="{00000000-0005-0000-0000-000061820000}"/>
    <cellStyle name="Normal 3 11 2 7 5" xfId="33372" xr:uid="{00000000-0005-0000-0000-000062820000}"/>
    <cellStyle name="Normal 3 11 2 8" xfId="33373" xr:uid="{00000000-0005-0000-0000-000063820000}"/>
    <cellStyle name="Normal 3 11 2 8 2" xfId="33374" xr:uid="{00000000-0005-0000-0000-000064820000}"/>
    <cellStyle name="Normal 3 11 2 9" xfId="33375" xr:uid="{00000000-0005-0000-0000-000065820000}"/>
    <cellStyle name="Normal 3 11 2 9 2" xfId="33376" xr:uid="{00000000-0005-0000-0000-000066820000}"/>
    <cellStyle name="Normal 3 11 3" xfId="33377" xr:uid="{00000000-0005-0000-0000-000067820000}"/>
    <cellStyle name="Normal 3 11 3 10" xfId="33378" xr:uid="{00000000-0005-0000-0000-000068820000}"/>
    <cellStyle name="Normal 3 11 3 2" xfId="33379" xr:uid="{00000000-0005-0000-0000-000069820000}"/>
    <cellStyle name="Normal 3 11 3 2 2" xfId="33380" xr:uid="{00000000-0005-0000-0000-00006A820000}"/>
    <cellStyle name="Normal 3 11 3 2 2 2" xfId="33381" xr:uid="{00000000-0005-0000-0000-00006B820000}"/>
    <cellStyle name="Normal 3 11 3 2 2 2 2" xfId="33382" xr:uid="{00000000-0005-0000-0000-00006C820000}"/>
    <cellStyle name="Normal 3 11 3 2 2 2 2 2" xfId="33383" xr:uid="{00000000-0005-0000-0000-00006D820000}"/>
    <cellStyle name="Normal 3 11 3 2 2 2 2 2 2" xfId="33384" xr:uid="{00000000-0005-0000-0000-00006E820000}"/>
    <cellStyle name="Normal 3 11 3 2 2 2 2 2 2 2" xfId="33385" xr:uid="{00000000-0005-0000-0000-00006F820000}"/>
    <cellStyle name="Normal 3 11 3 2 2 2 2 2 3" xfId="33386" xr:uid="{00000000-0005-0000-0000-000070820000}"/>
    <cellStyle name="Normal 3 11 3 2 2 2 2 2 4" xfId="33387" xr:uid="{00000000-0005-0000-0000-000071820000}"/>
    <cellStyle name="Normal 3 11 3 2 2 2 2 3" xfId="33388" xr:uid="{00000000-0005-0000-0000-000072820000}"/>
    <cellStyle name="Normal 3 11 3 2 2 2 2 3 2" xfId="33389" xr:uid="{00000000-0005-0000-0000-000073820000}"/>
    <cellStyle name="Normal 3 11 3 2 2 2 2 4" xfId="33390" xr:uid="{00000000-0005-0000-0000-000074820000}"/>
    <cellStyle name="Normal 3 11 3 2 2 2 2 5" xfId="33391" xr:uid="{00000000-0005-0000-0000-000075820000}"/>
    <cellStyle name="Normal 3 11 3 2 2 2 3" xfId="33392" xr:uid="{00000000-0005-0000-0000-000076820000}"/>
    <cellStyle name="Normal 3 11 3 2 2 2 3 2" xfId="33393" xr:uid="{00000000-0005-0000-0000-000077820000}"/>
    <cellStyle name="Normal 3 11 3 2 2 2 3 2 2" xfId="33394" xr:uid="{00000000-0005-0000-0000-000078820000}"/>
    <cellStyle name="Normal 3 11 3 2 2 2 3 3" xfId="33395" xr:uid="{00000000-0005-0000-0000-000079820000}"/>
    <cellStyle name="Normal 3 11 3 2 2 2 3 4" xfId="33396" xr:uid="{00000000-0005-0000-0000-00007A820000}"/>
    <cellStyle name="Normal 3 11 3 2 2 2 4" xfId="33397" xr:uid="{00000000-0005-0000-0000-00007B820000}"/>
    <cellStyle name="Normal 3 11 3 2 2 2 4 2" xfId="33398" xr:uid="{00000000-0005-0000-0000-00007C820000}"/>
    <cellStyle name="Normal 3 11 3 2 2 2 5" xfId="33399" xr:uid="{00000000-0005-0000-0000-00007D820000}"/>
    <cellStyle name="Normal 3 11 3 2 2 2 6" xfId="33400" xr:uid="{00000000-0005-0000-0000-00007E820000}"/>
    <cellStyle name="Normal 3 11 3 2 2 3" xfId="33401" xr:uid="{00000000-0005-0000-0000-00007F820000}"/>
    <cellStyle name="Normal 3 11 3 2 2 3 2" xfId="33402" xr:uid="{00000000-0005-0000-0000-000080820000}"/>
    <cellStyle name="Normal 3 11 3 2 2 3 2 2" xfId="33403" xr:uid="{00000000-0005-0000-0000-000081820000}"/>
    <cellStyle name="Normal 3 11 3 2 2 3 2 2 2" xfId="33404" xr:uid="{00000000-0005-0000-0000-000082820000}"/>
    <cellStyle name="Normal 3 11 3 2 2 3 2 3" xfId="33405" xr:uid="{00000000-0005-0000-0000-000083820000}"/>
    <cellStyle name="Normal 3 11 3 2 2 3 2 4" xfId="33406" xr:uid="{00000000-0005-0000-0000-000084820000}"/>
    <cellStyle name="Normal 3 11 3 2 2 3 3" xfId="33407" xr:uid="{00000000-0005-0000-0000-000085820000}"/>
    <cellStyle name="Normal 3 11 3 2 2 3 3 2" xfId="33408" xr:uid="{00000000-0005-0000-0000-000086820000}"/>
    <cellStyle name="Normal 3 11 3 2 2 3 4" xfId="33409" xr:uid="{00000000-0005-0000-0000-000087820000}"/>
    <cellStyle name="Normal 3 11 3 2 2 3 5" xfId="33410" xr:uid="{00000000-0005-0000-0000-000088820000}"/>
    <cellStyle name="Normal 3 11 3 2 2 4" xfId="33411" xr:uid="{00000000-0005-0000-0000-000089820000}"/>
    <cellStyle name="Normal 3 11 3 2 2 4 2" xfId="33412" xr:uid="{00000000-0005-0000-0000-00008A820000}"/>
    <cellStyle name="Normal 3 11 3 2 2 4 2 2" xfId="33413" xr:uid="{00000000-0005-0000-0000-00008B820000}"/>
    <cellStyle name="Normal 3 11 3 2 2 4 3" xfId="33414" xr:uid="{00000000-0005-0000-0000-00008C820000}"/>
    <cellStyle name="Normal 3 11 3 2 2 4 4" xfId="33415" xr:uid="{00000000-0005-0000-0000-00008D820000}"/>
    <cellStyle name="Normal 3 11 3 2 2 5" xfId="33416" xr:uid="{00000000-0005-0000-0000-00008E820000}"/>
    <cellStyle name="Normal 3 11 3 2 2 5 2" xfId="33417" xr:uid="{00000000-0005-0000-0000-00008F820000}"/>
    <cellStyle name="Normal 3 11 3 2 2 6" xfId="33418" xr:uid="{00000000-0005-0000-0000-000090820000}"/>
    <cellStyle name="Normal 3 11 3 2 2 7" xfId="33419" xr:uid="{00000000-0005-0000-0000-000091820000}"/>
    <cellStyle name="Normal 3 11 3 2 3" xfId="33420" xr:uid="{00000000-0005-0000-0000-000092820000}"/>
    <cellStyle name="Normal 3 11 3 2 3 2" xfId="33421" xr:uid="{00000000-0005-0000-0000-000093820000}"/>
    <cellStyle name="Normal 3 11 3 2 3 2 2" xfId="33422" xr:uid="{00000000-0005-0000-0000-000094820000}"/>
    <cellStyle name="Normal 3 11 3 2 3 2 2 2" xfId="33423" xr:uid="{00000000-0005-0000-0000-000095820000}"/>
    <cellStyle name="Normal 3 11 3 2 3 2 2 2 2" xfId="33424" xr:uid="{00000000-0005-0000-0000-000096820000}"/>
    <cellStyle name="Normal 3 11 3 2 3 2 2 3" xfId="33425" xr:uid="{00000000-0005-0000-0000-000097820000}"/>
    <cellStyle name="Normal 3 11 3 2 3 2 2 4" xfId="33426" xr:uid="{00000000-0005-0000-0000-000098820000}"/>
    <cellStyle name="Normal 3 11 3 2 3 2 3" xfId="33427" xr:uid="{00000000-0005-0000-0000-000099820000}"/>
    <cellStyle name="Normal 3 11 3 2 3 2 3 2" xfId="33428" xr:uid="{00000000-0005-0000-0000-00009A820000}"/>
    <cellStyle name="Normal 3 11 3 2 3 2 4" xfId="33429" xr:uid="{00000000-0005-0000-0000-00009B820000}"/>
    <cellStyle name="Normal 3 11 3 2 3 2 5" xfId="33430" xr:uid="{00000000-0005-0000-0000-00009C820000}"/>
    <cellStyle name="Normal 3 11 3 2 3 3" xfId="33431" xr:uid="{00000000-0005-0000-0000-00009D820000}"/>
    <cellStyle name="Normal 3 11 3 2 3 3 2" xfId="33432" xr:uid="{00000000-0005-0000-0000-00009E820000}"/>
    <cellStyle name="Normal 3 11 3 2 3 3 2 2" xfId="33433" xr:uid="{00000000-0005-0000-0000-00009F820000}"/>
    <cellStyle name="Normal 3 11 3 2 3 3 3" xfId="33434" xr:uid="{00000000-0005-0000-0000-0000A0820000}"/>
    <cellStyle name="Normal 3 11 3 2 3 3 3 2" xfId="33435" xr:uid="{00000000-0005-0000-0000-0000A1820000}"/>
    <cellStyle name="Normal 3 11 3 2 3 3 4" xfId="33436" xr:uid="{00000000-0005-0000-0000-0000A2820000}"/>
    <cellStyle name="Normal 3 11 3 2 3 3 5" xfId="33437" xr:uid="{00000000-0005-0000-0000-0000A3820000}"/>
    <cellStyle name="Normal 3 11 3 2 3 4" xfId="33438" xr:uid="{00000000-0005-0000-0000-0000A4820000}"/>
    <cellStyle name="Normal 3 11 3 2 3 4 2" xfId="33439" xr:uid="{00000000-0005-0000-0000-0000A5820000}"/>
    <cellStyle name="Normal 3 11 3 2 3 5" xfId="33440" xr:uid="{00000000-0005-0000-0000-0000A6820000}"/>
    <cellStyle name="Normal 3 11 3 2 3 5 2" xfId="33441" xr:uid="{00000000-0005-0000-0000-0000A7820000}"/>
    <cellStyle name="Normal 3 11 3 2 3 6" xfId="33442" xr:uid="{00000000-0005-0000-0000-0000A8820000}"/>
    <cellStyle name="Normal 3 11 3 2 3 7" xfId="33443" xr:uid="{00000000-0005-0000-0000-0000A9820000}"/>
    <cellStyle name="Normal 3 11 3 2 4" xfId="33444" xr:uid="{00000000-0005-0000-0000-0000AA820000}"/>
    <cellStyle name="Normal 3 11 3 2 4 2" xfId="33445" xr:uid="{00000000-0005-0000-0000-0000AB820000}"/>
    <cellStyle name="Normal 3 11 3 2 4 2 2" xfId="33446" xr:uid="{00000000-0005-0000-0000-0000AC820000}"/>
    <cellStyle name="Normal 3 11 3 2 4 2 2 2" xfId="33447" xr:uid="{00000000-0005-0000-0000-0000AD820000}"/>
    <cellStyle name="Normal 3 11 3 2 4 2 3" xfId="33448" xr:uid="{00000000-0005-0000-0000-0000AE820000}"/>
    <cellStyle name="Normal 3 11 3 2 4 2 4" xfId="33449" xr:uid="{00000000-0005-0000-0000-0000AF820000}"/>
    <cellStyle name="Normal 3 11 3 2 4 3" xfId="33450" xr:uid="{00000000-0005-0000-0000-0000B0820000}"/>
    <cellStyle name="Normal 3 11 3 2 4 3 2" xfId="33451" xr:uid="{00000000-0005-0000-0000-0000B1820000}"/>
    <cellStyle name="Normal 3 11 3 2 4 4" xfId="33452" xr:uid="{00000000-0005-0000-0000-0000B2820000}"/>
    <cellStyle name="Normal 3 11 3 2 4 5" xfId="33453" xr:uid="{00000000-0005-0000-0000-0000B3820000}"/>
    <cellStyle name="Normal 3 11 3 2 5" xfId="33454" xr:uid="{00000000-0005-0000-0000-0000B4820000}"/>
    <cellStyle name="Normal 3 11 3 2 5 2" xfId="33455" xr:uid="{00000000-0005-0000-0000-0000B5820000}"/>
    <cellStyle name="Normal 3 11 3 2 5 2 2" xfId="33456" xr:uid="{00000000-0005-0000-0000-0000B6820000}"/>
    <cellStyle name="Normal 3 11 3 2 5 3" xfId="33457" xr:uid="{00000000-0005-0000-0000-0000B7820000}"/>
    <cellStyle name="Normal 3 11 3 2 5 3 2" xfId="33458" xr:uid="{00000000-0005-0000-0000-0000B8820000}"/>
    <cellStyle name="Normal 3 11 3 2 5 4" xfId="33459" xr:uid="{00000000-0005-0000-0000-0000B9820000}"/>
    <cellStyle name="Normal 3 11 3 2 5 5" xfId="33460" xr:uid="{00000000-0005-0000-0000-0000BA820000}"/>
    <cellStyle name="Normal 3 11 3 2 6" xfId="33461" xr:uid="{00000000-0005-0000-0000-0000BB820000}"/>
    <cellStyle name="Normal 3 11 3 2 6 2" xfId="33462" xr:uid="{00000000-0005-0000-0000-0000BC820000}"/>
    <cellStyle name="Normal 3 11 3 2 7" xfId="33463" xr:uid="{00000000-0005-0000-0000-0000BD820000}"/>
    <cellStyle name="Normal 3 11 3 2 7 2" xfId="33464" xr:uid="{00000000-0005-0000-0000-0000BE820000}"/>
    <cellStyle name="Normal 3 11 3 2 8" xfId="33465" xr:uid="{00000000-0005-0000-0000-0000BF820000}"/>
    <cellStyle name="Normal 3 11 3 2 9" xfId="33466" xr:uid="{00000000-0005-0000-0000-0000C0820000}"/>
    <cellStyle name="Normal 3 11 3 3" xfId="33467" xr:uid="{00000000-0005-0000-0000-0000C1820000}"/>
    <cellStyle name="Normal 3 11 3 3 2" xfId="33468" xr:uid="{00000000-0005-0000-0000-0000C2820000}"/>
    <cellStyle name="Normal 3 11 3 3 2 2" xfId="33469" xr:uid="{00000000-0005-0000-0000-0000C3820000}"/>
    <cellStyle name="Normal 3 11 3 3 2 2 2" xfId="33470" xr:uid="{00000000-0005-0000-0000-0000C4820000}"/>
    <cellStyle name="Normal 3 11 3 3 2 2 2 2" xfId="33471" xr:uid="{00000000-0005-0000-0000-0000C5820000}"/>
    <cellStyle name="Normal 3 11 3 3 2 2 2 2 2" xfId="33472" xr:uid="{00000000-0005-0000-0000-0000C6820000}"/>
    <cellStyle name="Normal 3 11 3 3 2 2 2 3" xfId="33473" xr:uid="{00000000-0005-0000-0000-0000C7820000}"/>
    <cellStyle name="Normal 3 11 3 3 2 2 2 4" xfId="33474" xr:uid="{00000000-0005-0000-0000-0000C8820000}"/>
    <cellStyle name="Normal 3 11 3 3 2 2 3" xfId="33475" xr:uid="{00000000-0005-0000-0000-0000C9820000}"/>
    <cellStyle name="Normal 3 11 3 3 2 2 3 2" xfId="33476" xr:uid="{00000000-0005-0000-0000-0000CA820000}"/>
    <cellStyle name="Normal 3 11 3 3 2 2 4" xfId="33477" xr:uid="{00000000-0005-0000-0000-0000CB820000}"/>
    <cellStyle name="Normal 3 11 3 3 2 2 5" xfId="33478" xr:uid="{00000000-0005-0000-0000-0000CC820000}"/>
    <cellStyle name="Normal 3 11 3 3 2 3" xfId="33479" xr:uid="{00000000-0005-0000-0000-0000CD820000}"/>
    <cellStyle name="Normal 3 11 3 3 2 3 2" xfId="33480" xr:uid="{00000000-0005-0000-0000-0000CE820000}"/>
    <cellStyle name="Normal 3 11 3 3 2 3 2 2" xfId="33481" xr:uid="{00000000-0005-0000-0000-0000CF820000}"/>
    <cellStyle name="Normal 3 11 3 3 2 3 3" xfId="33482" xr:uid="{00000000-0005-0000-0000-0000D0820000}"/>
    <cellStyle name="Normal 3 11 3 3 2 3 4" xfId="33483" xr:uid="{00000000-0005-0000-0000-0000D1820000}"/>
    <cellStyle name="Normal 3 11 3 3 2 4" xfId="33484" xr:uid="{00000000-0005-0000-0000-0000D2820000}"/>
    <cellStyle name="Normal 3 11 3 3 2 4 2" xfId="33485" xr:uid="{00000000-0005-0000-0000-0000D3820000}"/>
    <cellStyle name="Normal 3 11 3 3 2 5" xfId="33486" xr:uid="{00000000-0005-0000-0000-0000D4820000}"/>
    <cellStyle name="Normal 3 11 3 3 2 6" xfId="33487" xr:uid="{00000000-0005-0000-0000-0000D5820000}"/>
    <cellStyle name="Normal 3 11 3 3 3" xfId="33488" xr:uid="{00000000-0005-0000-0000-0000D6820000}"/>
    <cellStyle name="Normal 3 11 3 3 3 2" xfId="33489" xr:uid="{00000000-0005-0000-0000-0000D7820000}"/>
    <cellStyle name="Normal 3 11 3 3 3 2 2" xfId="33490" xr:uid="{00000000-0005-0000-0000-0000D8820000}"/>
    <cellStyle name="Normal 3 11 3 3 3 2 2 2" xfId="33491" xr:uid="{00000000-0005-0000-0000-0000D9820000}"/>
    <cellStyle name="Normal 3 11 3 3 3 2 3" xfId="33492" xr:uid="{00000000-0005-0000-0000-0000DA820000}"/>
    <cellStyle name="Normal 3 11 3 3 3 2 4" xfId="33493" xr:uid="{00000000-0005-0000-0000-0000DB820000}"/>
    <cellStyle name="Normal 3 11 3 3 3 3" xfId="33494" xr:uid="{00000000-0005-0000-0000-0000DC820000}"/>
    <cellStyle name="Normal 3 11 3 3 3 3 2" xfId="33495" xr:uid="{00000000-0005-0000-0000-0000DD820000}"/>
    <cellStyle name="Normal 3 11 3 3 3 4" xfId="33496" xr:uid="{00000000-0005-0000-0000-0000DE820000}"/>
    <cellStyle name="Normal 3 11 3 3 3 5" xfId="33497" xr:uid="{00000000-0005-0000-0000-0000DF820000}"/>
    <cellStyle name="Normal 3 11 3 3 4" xfId="33498" xr:uid="{00000000-0005-0000-0000-0000E0820000}"/>
    <cellStyle name="Normal 3 11 3 3 4 2" xfId="33499" xr:uid="{00000000-0005-0000-0000-0000E1820000}"/>
    <cellStyle name="Normal 3 11 3 3 4 2 2" xfId="33500" xr:uid="{00000000-0005-0000-0000-0000E2820000}"/>
    <cellStyle name="Normal 3 11 3 3 4 3" xfId="33501" xr:uid="{00000000-0005-0000-0000-0000E3820000}"/>
    <cellStyle name="Normal 3 11 3 3 4 4" xfId="33502" xr:uid="{00000000-0005-0000-0000-0000E4820000}"/>
    <cellStyle name="Normal 3 11 3 3 5" xfId="33503" xr:uid="{00000000-0005-0000-0000-0000E5820000}"/>
    <cellStyle name="Normal 3 11 3 3 5 2" xfId="33504" xr:uid="{00000000-0005-0000-0000-0000E6820000}"/>
    <cellStyle name="Normal 3 11 3 3 6" xfId="33505" xr:uid="{00000000-0005-0000-0000-0000E7820000}"/>
    <cellStyle name="Normal 3 11 3 3 7" xfId="33506" xr:uid="{00000000-0005-0000-0000-0000E8820000}"/>
    <cellStyle name="Normal 3 11 3 4" xfId="33507" xr:uid="{00000000-0005-0000-0000-0000E9820000}"/>
    <cellStyle name="Normal 3 11 3 4 2" xfId="33508" xr:uid="{00000000-0005-0000-0000-0000EA820000}"/>
    <cellStyle name="Normal 3 11 3 4 2 2" xfId="33509" xr:uid="{00000000-0005-0000-0000-0000EB820000}"/>
    <cellStyle name="Normal 3 11 3 4 2 2 2" xfId="33510" xr:uid="{00000000-0005-0000-0000-0000EC820000}"/>
    <cellStyle name="Normal 3 11 3 4 2 2 2 2" xfId="33511" xr:uid="{00000000-0005-0000-0000-0000ED820000}"/>
    <cellStyle name="Normal 3 11 3 4 2 2 3" xfId="33512" xr:uid="{00000000-0005-0000-0000-0000EE820000}"/>
    <cellStyle name="Normal 3 11 3 4 2 2 4" xfId="33513" xr:uid="{00000000-0005-0000-0000-0000EF820000}"/>
    <cellStyle name="Normal 3 11 3 4 2 3" xfId="33514" xr:uid="{00000000-0005-0000-0000-0000F0820000}"/>
    <cellStyle name="Normal 3 11 3 4 2 3 2" xfId="33515" xr:uid="{00000000-0005-0000-0000-0000F1820000}"/>
    <cellStyle name="Normal 3 11 3 4 2 4" xfId="33516" xr:uid="{00000000-0005-0000-0000-0000F2820000}"/>
    <cellStyle name="Normal 3 11 3 4 2 5" xfId="33517" xr:uid="{00000000-0005-0000-0000-0000F3820000}"/>
    <cellStyle name="Normal 3 11 3 4 3" xfId="33518" xr:uid="{00000000-0005-0000-0000-0000F4820000}"/>
    <cellStyle name="Normal 3 11 3 4 3 2" xfId="33519" xr:uid="{00000000-0005-0000-0000-0000F5820000}"/>
    <cellStyle name="Normal 3 11 3 4 3 2 2" xfId="33520" xr:uid="{00000000-0005-0000-0000-0000F6820000}"/>
    <cellStyle name="Normal 3 11 3 4 3 3" xfId="33521" xr:uid="{00000000-0005-0000-0000-0000F7820000}"/>
    <cellStyle name="Normal 3 11 3 4 3 3 2" xfId="33522" xr:uid="{00000000-0005-0000-0000-0000F8820000}"/>
    <cellStyle name="Normal 3 11 3 4 3 4" xfId="33523" xr:uid="{00000000-0005-0000-0000-0000F9820000}"/>
    <cellStyle name="Normal 3 11 3 4 3 5" xfId="33524" xr:uid="{00000000-0005-0000-0000-0000FA820000}"/>
    <cellStyle name="Normal 3 11 3 4 4" xfId="33525" xr:uid="{00000000-0005-0000-0000-0000FB820000}"/>
    <cellStyle name="Normal 3 11 3 4 4 2" xfId="33526" xr:uid="{00000000-0005-0000-0000-0000FC820000}"/>
    <cellStyle name="Normal 3 11 3 4 5" xfId="33527" xr:uid="{00000000-0005-0000-0000-0000FD820000}"/>
    <cellStyle name="Normal 3 11 3 4 5 2" xfId="33528" xr:uid="{00000000-0005-0000-0000-0000FE820000}"/>
    <cellStyle name="Normal 3 11 3 4 6" xfId="33529" xr:uid="{00000000-0005-0000-0000-0000FF820000}"/>
    <cellStyle name="Normal 3 11 3 4 7" xfId="33530" xr:uid="{00000000-0005-0000-0000-000000830000}"/>
    <cellStyle name="Normal 3 11 3 5" xfId="33531" xr:uid="{00000000-0005-0000-0000-000001830000}"/>
    <cellStyle name="Normal 3 11 3 5 2" xfId="33532" xr:uid="{00000000-0005-0000-0000-000002830000}"/>
    <cellStyle name="Normal 3 11 3 5 2 2" xfId="33533" xr:uid="{00000000-0005-0000-0000-000003830000}"/>
    <cellStyle name="Normal 3 11 3 5 2 2 2" xfId="33534" xr:uid="{00000000-0005-0000-0000-000004830000}"/>
    <cellStyle name="Normal 3 11 3 5 2 3" xfId="33535" xr:uid="{00000000-0005-0000-0000-000005830000}"/>
    <cellStyle name="Normal 3 11 3 5 2 4" xfId="33536" xr:uid="{00000000-0005-0000-0000-000006830000}"/>
    <cellStyle name="Normal 3 11 3 5 3" xfId="33537" xr:uid="{00000000-0005-0000-0000-000007830000}"/>
    <cellStyle name="Normal 3 11 3 5 3 2" xfId="33538" xr:uid="{00000000-0005-0000-0000-000008830000}"/>
    <cellStyle name="Normal 3 11 3 5 4" xfId="33539" xr:uid="{00000000-0005-0000-0000-000009830000}"/>
    <cellStyle name="Normal 3 11 3 5 5" xfId="33540" xr:uid="{00000000-0005-0000-0000-00000A830000}"/>
    <cellStyle name="Normal 3 11 3 6" xfId="33541" xr:uid="{00000000-0005-0000-0000-00000B830000}"/>
    <cellStyle name="Normal 3 11 3 6 2" xfId="33542" xr:uid="{00000000-0005-0000-0000-00000C830000}"/>
    <cellStyle name="Normal 3 11 3 6 2 2" xfId="33543" xr:uid="{00000000-0005-0000-0000-00000D830000}"/>
    <cellStyle name="Normal 3 11 3 6 3" xfId="33544" xr:uid="{00000000-0005-0000-0000-00000E830000}"/>
    <cellStyle name="Normal 3 11 3 6 3 2" xfId="33545" xr:uid="{00000000-0005-0000-0000-00000F830000}"/>
    <cellStyle name="Normal 3 11 3 6 4" xfId="33546" xr:uid="{00000000-0005-0000-0000-000010830000}"/>
    <cellStyle name="Normal 3 11 3 6 5" xfId="33547" xr:uid="{00000000-0005-0000-0000-000011830000}"/>
    <cellStyle name="Normal 3 11 3 7" xfId="33548" xr:uid="{00000000-0005-0000-0000-000012830000}"/>
    <cellStyle name="Normal 3 11 3 7 2" xfId="33549" xr:uid="{00000000-0005-0000-0000-000013830000}"/>
    <cellStyle name="Normal 3 11 3 8" xfId="33550" xr:uid="{00000000-0005-0000-0000-000014830000}"/>
    <cellStyle name="Normal 3 11 3 8 2" xfId="33551" xr:uid="{00000000-0005-0000-0000-000015830000}"/>
    <cellStyle name="Normal 3 11 3 9" xfId="33552" xr:uid="{00000000-0005-0000-0000-000016830000}"/>
    <cellStyle name="Normal 3 11 4" xfId="33553" xr:uid="{00000000-0005-0000-0000-000017830000}"/>
    <cellStyle name="Normal 3 11 4 2" xfId="33554" xr:uid="{00000000-0005-0000-0000-000018830000}"/>
    <cellStyle name="Normal 3 11 4 2 2" xfId="33555" xr:uid="{00000000-0005-0000-0000-000019830000}"/>
    <cellStyle name="Normal 3 11 4 2 2 2" xfId="33556" xr:uid="{00000000-0005-0000-0000-00001A830000}"/>
    <cellStyle name="Normal 3 11 4 2 2 2 2" xfId="33557" xr:uid="{00000000-0005-0000-0000-00001B830000}"/>
    <cellStyle name="Normal 3 11 4 2 2 2 2 2" xfId="33558" xr:uid="{00000000-0005-0000-0000-00001C830000}"/>
    <cellStyle name="Normal 3 11 4 2 2 2 2 2 2" xfId="33559" xr:uid="{00000000-0005-0000-0000-00001D830000}"/>
    <cellStyle name="Normal 3 11 4 2 2 2 2 3" xfId="33560" xr:uid="{00000000-0005-0000-0000-00001E830000}"/>
    <cellStyle name="Normal 3 11 4 2 2 2 2 4" xfId="33561" xr:uid="{00000000-0005-0000-0000-00001F830000}"/>
    <cellStyle name="Normal 3 11 4 2 2 2 3" xfId="33562" xr:uid="{00000000-0005-0000-0000-000020830000}"/>
    <cellStyle name="Normal 3 11 4 2 2 2 3 2" xfId="33563" xr:uid="{00000000-0005-0000-0000-000021830000}"/>
    <cellStyle name="Normal 3 11 4 2 2 2 4" xfId="33564" xr:uid="{00000000-0005-0000-0000-000022830000}"/>
    <cellStyle name="Normal 3 11 4 2 2 2 5" xfId="33565" xr:uid="{00000000-0005-0000-0000-000023830000}"/>
    <cellStyle name="Normal 3 11 4 2 2 3" xfId="33566" xr:uid="{00000000-0005-0000-0000-000024830000}"/>
    <cellStyle name="Normal 3 11 4 2 2 3 2" xfId="33567" xr:uid="{00000000-0005-0000-0000-000025830000}"/>
    <cellStyle name="Normal 3 11 4 2 2 3 2 2" xfId="33568" xr:uid="{00000000-0005-0000-0000-000026830000}"/>
    <cellStyle name="Normal 3 11 4 2 2 3 3" xfId="33569" xr:uid="{00000000-0005-0000-0000-000027830000}"/>
    <cellStyle name="Normal 3 11 4 2 2 3 4" xfId="33570" xr:uid="{00000000-0005-0000-0000-000028830000}"/>
    <cellStyle name="Normal 3 11 4 2 2 4" xfId="33571" xr:uid="{00000000-0005-0000-0000-000029830000}"/>
    <cellStyle name="Normal 3 11 4 2 2 4 2" xfId="33572" xr:uid="{00000000-0005-0000-0000-00002A830000}"/>
    <cellStyle name="Normal 3 11 4 2 2 5" xfId="33573" xr:uid="{00000000-0005-0000-0000-00002B830000}"/>
    <cellStyle name="Normal 3 11 4 2 2 6" xfId="33574" xr:uid="{00000000-0005-0000-0000-00002C830000}"/>
    <cellStyle name="Normal 3 11 4 2 3" xfId="33575" xr:uid="{00000000-0005-0000-0000-00002D830000}"/>
    <cellStyle name="Normal 3 11 4 2 3 2" xfId="33576" xr:uid="{00000000-0005-0000-0000-00002E830000}"/>
    <cellStyle name="Normal 3 11 4 2 3 2 2" xfId="33577" xr:uid="{00000000-0005-0000-0000-00002F830000}"/>
    <cellStyle name="Normal 3 11 4 2 3 2 2 2" xfId="33578" xr:uid="{00000000-0005-0000-0000-000030830000}"/>
    <cellStyle name="Normal 3 11 4 2 3 2 3" xfId="33579" xr:uid="{00000000-0005-0000-0000-000031830000}"/>
    <cellStyle name="Normal 3 11 4 2 3 2 4" xfId="33580" xr:uid="{00000000-0005-0000-0000-000032830000}"/>
    <cellStyle name="Normal 3 11 4 2 3 3" xfId="33581" xr:uid="{00000000-0005-0000-0000-000033830000}"/>
    <cellStyle name="Normal 3 11 4 2 3 3 2" xfId="33582" xr:uid="{00000000-0005-0000-0000-000034830000}"/>
    <cellStyle name="Normal 3 11 4 2 3 4" xfId="33583" xr:uid="{00000000-0005-0000-0000-000035830000}"/>
    <cellStyle name="Normal 3 11 4 2 3 5" xfId="33584" xr:uid="{00000000-0005-0000-0000-000036830000}"/>
    <cellStyle name="Normal 3 11 4 2 4" xfId="33585" xr:uid="{00000000-0005-0000-0000-000037830000}"/>
    <cellStyle name="Normal 3 11 4 2 4 2" xfId="33586" xr:uid="{00000000-0005-0000-0000-000038830000}"/>
    <cellStyle name="Normal 3 11 4 2 4 2 2" xfId="33587" xr:uid="{00000000-0005-0000-0000-000039830000}"/>
    <cellStyle name="Normal 3 11 4 2 4 3" xfId="33588" xr:uid="{00000000-0005-0000-0000-00003A830000}"/>
    <cellStyle name="Normal 3 11 4 2 4 4" xfId="33589" xr:uid="{00000000-0005-0000-0000-00003B830000}"/>
    <cellStyle name="Normal 3 11 4 2 5" xfId="33590" xr:uid="{00000000-0005-0000-0000-00003C830000}"/>
    <cellStyle name="Normal 3 11 4 2 5 2" xfId="33591" xr:uid="{00000000-0005-0000-0000-00003D830000}"/>
    <cellStyle name="Normal 3 11 4 2 6" xfId="33592" xr:uid="{00000000-0005-0000-0000-00003E830000}"/>
    <cellStyle name="Normal 3 11 4 2 7" xfId="33593" xr:uid="{00000000-0005-0000-0000-00003F830000}"/>
    <cellStyle name="Normal 3 11 4 3" xfId="33594" xr:uid="{00000000-0005-0000-0000-000040830000}"/>
    <cellStyle name="Normal 3 11 4 3 2" xfId="33595" xr:uid="{00000000-0005-0000-0000-000041830000}"/>
    <cellStyle name="Normal 3 11 4 3 2 2" xfId="33596" xr:uid="{00000000-0005-0000-0000-000042830000}"/>
    <cellStyle name="Normal 3 11 4 3 2 2 2" xfId="33597" xr:uid="{00000000-0005-0000-0000-000043830000}"/>
    <cellStyle name="Normal 3 11 4 3 2 2 2 2" xfId="33598" xr:uid="{00000000-0005-0000-0000-000044830000}"/>
    <cellStyle name="Normal 3 11 4 3 2 2 3" xfId="33599" xr:uid="{00000000-0005-0000-0000-000045830000}"/>
    <cellStyle name="Normal 3 11 4 3 2 2 4" xfId="33600" xr:uid="{00000000-0005-0000-0000-000046830000}"/>
    <cellStyle name="Normal 3 11 4 3 2 3" xfId="33601" xr:uid="{00000000-0005-0000-0000-000047830000}"/>
    <cellStyle name="Normal 3 11 4 3 2 3 2" xfId="33602" xr:uid="{00000000-0005-0000-0000-000048830000}"/>
    <cellStyle name="Normal 3 11 4 3 2 4" xfId="33603" xr:uid="{00000000-0005-0000-0000-000049830000}"/>
    <cellStyle name="Normal 3 11 4 3 2 5" xfId="33604" xr:uid="{00000000-0005-0000-0000-00004A830000}"/>
    <cellStyle name="Normal 3 11 4 3 3" xfId="33605" xr:uid="{00000000-0005-0000-0000-00004B830000}"/>
    <cellStyle name="Normal 3 11 4 3 3 2" xfId="33606" xr:uid="{00000000-0005-0000-0000-00004C830000}"/>
    <cellStyle name="Normal 3 11 4 3 3 2 2" xfId="33607" xr:uid="{00000000-0005-0000-0000-00004D830000}"/>
    <cellStyle name="Normal 3 11 4 3 3 3" xfId="33608" xr:uid="{00000000-0005-0000-0000-00004E830000}"/>
    <cellStyle name="Normal 3 11 4 3 3 3 2" xfId="33609" xr:uid="{00000000-0005-0000-0000-00004F830000}"/>
    <cellStyle name="Normal 3 11 4 3 3 4" xfId="33610" xr:uid="{00000000-0005-0000-0000-000050830000}"/>
    <cellStyle name="Normal 3 11 4 3 3 5" xfId="33611" xr:uid="{00000000-0005-0000-0000-000051830000}"/>
    <cellStyle name="Normal 3 11 4 3 4" xfId="33612" xr:uid="{00000000-0005-0000-0000-000052830000}"/>
    <cellStyle name="Normal 3 11 4 3 4 2" xfId="33613" xr:uid="{00000000-0005-0000-0000-000053830000}"/>
    <cellStyle name="Normal 3 11 4 3 5" xfId="33614" xr:uid="{00000000-0005-0000-0000-000054830000}"/>
    <cellStyle name="Normal 3 11 4 3 5 2" xfId="33615" xr:uid="{00000000-0005-0000-0000-000055830000}"/>
    <cellStyle name="Normal 3 11 4 3 6" xfId="33616" xr:uid="{00000000-0005-0000-0000-000056830000}"/>
    <cellStyle name="Normal 3 11 4 3 7" xfId="33617" xr:uid="{00000000-0005-0000-0000-000057830000}"/>
    <cellStyle name="Normal 3 11 4 4" xfId="33618" xr:uid="{00000000-0005-0000-0000-000058830000}"/>
    <cellStyle name="Normal 3 11 4 4 2" xfId="33619" xr:uid="{00000000-0005-0000-0000-000059830000}"/>
    <cellStyle name="Normal 3 11 4 4 2 2" xfId="33620" xr:uid="{00000000-0005-0000-0000-00005A830000}"/>
    <cellStyle name="Normal 3 11 4 4 2 2 2" xfId="33621" xr:uid="{00000000-0005-0000-0000-00005B830000}"/>
    <cellStyle name="Normal 3 11 4 4 2 3" xfId="33622" xr:uid="{00000000-0005-0000-0000-00005C830000}"/>
    <cellStyle name="Normal 3 11 4 4 2 4" xfId="33623" xr:uid="{00000000-0005-0000-0000-00005D830000}"/>
    <cellStyle name="Normal 3 11 4 4 3" xfId="33624" xr:uid="{00000000-0005-0000-0000-00005E830000}"/>
    <cellStyle name="Normal 3 11 4 4 3 2" xfId="33625" xr:uid="{00000000-0005-0000-0000-00005F830000}"/>
    <cellStyle name="Normal 3 11 4 4 4" xfId="33626" xr:uid="{00000000-0005-0000-0000-000060830000}"/>
    <cellStyle name="Normal 3 11 4 4 5" xfId="33627" xr:uid="{00000000-0005-0000-0000-000061830000}"/>
    <cellStyle name="Normal 3 11 4 5" xfId="33628" xr:uid="{00000000-0005-0000-0000-000062830000}"/>
    <cellStyle name="Normal 3 11 4 5 2" xfId="33629" xr:uid="{00000000-0005-0000-0000-000063830000}"/>
    <cellStyle name="Normal 3 11 4 5 2 2" xfId="33630" xr:uid="{00000000-0005-0000-0000-000064830000}"/>
    <cellStyle name="Normal 3 11 4 5 3" xfId="33631" xr:uid="{00000000-0005-0000-0000-000065830000}"/>
    <cellStyle name="Normal 3 11 4 5 3 2" xfId="33632" xr:uid="{00000000-0005-0000-0000-000066830000}"/>
    <cellStyle name="Normal 3 11 4 5 4" xfId="33633" xr:uid="{00000000-0005-0000-0000-000067830000}"/>
    <cellStyle name="Normal 3 11 4 5 5" xfId="33634" xr:uid="{00000000-0005-0000-0000-000068830000}"/>
    <cellStyle name="Normal 3 11 4 6" xfId="33635" xr:uid="{00000000-0005-0000-0000-000069830000}"/>
    <cellStyle name="Normal 3 11 4 6 2" xfId="33636" xr:uid="{00000000-0005-0000-0000-00006A830000}"/>
    <cellStyle name="Normal 3 11 4 7" xfId="33637" xr:uid="{00000000-0005-0000-0000-00006B830000}"/>
    <cellStyle name="Normal 3 11 4 7 2" xfId="33638" xr:uid="{00000000-0005-0000-0000-00006C830000}"/>
    <cellStyle name="Normal 3 11 4 8" xfId="33639" xr:uid="{00000000-0005-0000-0000-00006D830000}"/>
    <cellStyle name="Normal 3 11 4 9" xfId="33640" xr:uid="{00000000-0005-0000-0000-00006E830000}"/>
    <cellStyle name="Normal 3 11 5" xfId="33641" xr:uid="{00000000-0005-0000-0000-00006F830000}"/>
    <cellStyle name="Normal 3 11 5 2" xfId="33642" xr:uid="{00000000-0005-0000-0000-000070830000}"/>
    <cellStyle name="Normal 3 11 5 2 2" xfId="33643" xr:uid="{00000000-0005-0000-0000-000071830000}"/>
    <cellStyle name="Normal 3 11 5 2 2 2" xfId="33644" xr:uid="{00000000-0005-0000-0000-000072830000}"/>
    <cellStyle name="Normal 3 11 5 2 2 2 2" xfId="33645" xr:uid="{00000000-0005-0000-0000-000073830000}"/>
    <cellStyle name="Normal 3 11 5 2 2 2 2 2" xfId="33646" xr:uid="{00000000-0005-0000-0000-000074830000}"/>
    <cellStyle name="Normal 3 11 5 2 2 2 3" xfId="33647" xr:uid="{00000000-0005-0000-0000-000075830000}"/>
    <cellStyle name="Normal 3 11 5 2 2 2 4" xfId="33648" xr:uid="{00000000-0005-0000-0000-000076830000}"/>
    <cellStyle name="Normal 3 11 5 2 2 3" xfId="33649" xr:uid="{00000000-0005-0000-0000-000077830000}"/>
    <cellStyle name="Normal 3 11 5 2 2 3 2" xfId="33650" xr:uid="{00000000-0005-0000-0000-000078830000}"/>
    <cellStyle name="Normal 3 11 5 2 2 4" xfId="33651" xr:uid="{00000000-0005-0000-0000-000079830000}"/>
    <cellStyle name="Normal 3 11 5 2 2 5" xfId="33652" xr:uid="{00000000-0005-0000-0000-00007A830000}"/>
    <cellStyle name="Normal 3 11 5 2 3" xfId="33653" xr:uid="{00000000-0005-0000-0000-00007B830000}"/>
    <cellStyle name="Normal 3 11 5 2 3 2" xfId="33654" xr:uid="{00000000-0005-0000-0000-00007C830000}"/>
    <cellStyle name="Normal 3 11 5 2 3 2 2" xfId="33655" xr:uid="{00000000-0005-0000-0000-00007D830000}"/>
    <cellStyle name="Normal 3 11 5 2 3 3" xfId="33656" xr:uid="{00000000-0005-0000-0000-00007E830000}"/>
    <cellStyle name="Normal 3 11 5 2 3 3 2" xfId="33657" xr:uid="{00000000-0005-0000-0000-00007F830000}"/>
    <cellStyle name="Normal 3 11 5 2 3 4" xfId="33658" xr:uid="{00000000-0005-0000-0000-000080830000}"/>
    <cellStyle name="Normal 3 11 5 2 3 5" xfId="33659" xr:uid="{00000000-0005-0000-0000-000081830000}"/>
    <cellStyle name="Normal 3 11 5 2 4" xfId="33660" xr:uid="{00000000-0005-0000-0000-000082830000}"/>
    <cellStyle name="Normal 3 11 5 2 4 2" xfId="33661" xr:uid="{00000000-0005-0000-0000-000083830000}"/>
    <cellStyle name="Normal 3 11 5 2 5" xfId="33662" xr:uid="{00000000-0005-0000-0000-000084830000}"/>
    <cellStyle name="Normal 3 11 5 2 5 2" xfId="33663" xr:uid="{00000000-0005-0000-0000-000085830000}"/>
    <cellStyle name="Normal 3 11 5 2 6" xfId="33664" xr:uid="{00000000-0005-0000-0000-000086830000}"/>
    <cellStyle name="Normal 3 11 5 2 7" xfId="33665" xr:uid="{00000000-0005-0000-0000-000087830000}"/>
    <cellStyle name="Normal 3 11 5 3" xfId="33666" xr:uid="{00000000-0005-0000-0000-000088830000}"/>
    <cellStyle name="Normal 3 11 5 3 2" xfId="33667" xr:uid="{00000000-0005-0000-0000-000089830000}"/>
    <cellStyle name="Normal 3 11 5 3 2 2" xfId="33668" xr:uid="{00000000-0005-0000-0000-00008A830000}"/>
    <cellStyle name="Normal 3 11 5 3 2 2 2" xfId="33669" xr:uid="{00000000-0005-0000-0000-00008B830000}"/>
    <cellStyle name="Normal 3 11 5 3 2 3" xfId="33670" xr:uid="{00000000-0005-0000-0000-00008C830000}"/>
    <cellStyle name="Normal 3 11 5 3 2 4" xfId="33671" xr:uid="{00000000-0005-0000-0000-00008D830000}"/>
    <cellStyle name="Normal 3 11 5 3 3" xfId="33672" xr:uid="{00000000-0005-0000-0000-00008E830000}"/>
    <cellStyle name="Normal 3 11 5 3 3 2" xfId="33673" xr:uid="{00000000-0005-0000-0000-00008F830000}"/>
    <cellStyle name="Normal 3 11 5 3 4" xfId="33674" xr:uid="{00000000-0005-0000-0000-000090830000}"/>
    <cellStyle name="Normal 3 11 5 3 5" xfId="33675" xr:uid="{00000000-0005-0000-0000-000091830000}"/>
    <cellStyle name="Normal 3 11 5 4" xfId="33676" xr:uid="{00000000-0005-0000-0000-000092830000}"/>
    <cellStyle name="Normal 3 11 5 4 2" xfId="33677" xr:uid="{00000000-0005-0000-0000-000093830000}"/>
    <cellStyle name="Normal 3 11 5 4 2 2" xfId="33678" xr:uid="{00000000-0005-0000-0000-000094830000}"/>
    <cellStyle name="Normal 3 11 5 4 3" xfId="33679" xr:uid="{00000000-0005-0000-0000-000095830000}"/>
    <cellStyle name="Normal 3 11 5 4 3 2" xfId="33680" xr:uid="{00000000-0005-0000-0000-000096830000}"/>
    <cellStyle name="Normal 3 11 5 4 4" xfId="33681" xr:uid="{00000000-0005-0000-0000-000097830000}"/>
    <cellStyle name="Normal 3 11 5 4 5" xfId="33682" xr:uid="{00000000-0005-0000-0000-000098830000}"/>
    <cellStyle name="Normal 3 11 5 5" xfId="33683" xr:uid="{00000000-0005-0000-0000-000099830000}"/>
    <cellStyle name="Normal 3 11 5 5 2" xfId="33684" xr:uid="{00000000-0005-0000-0000-00009A830000}"/>
    <cellStyle name="Normal 3 11 5 6" xfId="33685" xr:uid="{00000000-0005-0000-0000-00009B830000}"/>
    <cellStyle name="Normal 3 11 5 6 2" xfId="33686" xr:uid="{00000000-0005-0000-0000-00009C830000}"/>
    <cellStyle name="Normal 3 11 5 7" xfId="33687" xr:uid="{00000000-0005-0000-0000-00009D830000}"/>
    <cellStyle name="Normal 3 11 5 8" xfId="33688" xr:uid="{00000000-0005-0000-0000-00009E830000}"/>
    <cellStyle name="Normal 3 11 6" xfId="33689" xr:uid="{00000000-0005-0000-0000-00009F830000}"/>
    <cellStyle name="Normal 3 11 6 2" xfId="33690" xr:uid="{00000000-0005-0000-0000-0000A0830000}"/>
    <cellStyle name="Normal 3 11 6 2 2" xfId="33691" xr:uid="{00000000-0005-0000-0000-0000A1830000}"/>
    <cellStyle name="Normal 3 11 6 2 2 2" xfId="33692" xr:uid="{00000000-0005-0000-0000-0000A2830000}"/>
    <cellStyle name="Normal 3 11 6 2 2 2 2" xfId="33693" xr:uid="{00000000-0005-0000-0000-0000A3830000}"/>
    <cellStyle name="Normal 3 11 6 2 2 3" xfId="33694" xr:uid="{00000000-0005-0000-0000-0000A4830000}"/>
    <cellStyle name="Normal 3 11 6 2 2 4" xfId="33695" xr:uid="{00000000-0005-0000-0000-0000A5830000}"/>
    <cellStyle name="Normal 3 11 6 2 3" xfId="33696" xr:uid="{00000000-0005-0000-0000-0000A6830000}"/>
    <cellStyle name="Normal 3 11 6 2 3 2" xfId="33697" xr:uid="{00000000-0005-0000-0000-0000A7830000}"/>
    <cellStyle name="Normal 3 11 6 2 4" xfId="33698" xr:uid="{00000000-0005-0000-0000-0000A8830000}"/>
    <cellStyle name="Normal 3 11 6 2 5" xfId="33699" xr:uid="{00000000-0005-0000-0000-0000A9830000}"/>
    <cellStyle name="Normal 3 11 6 3" xfId="33700" xr:uid="{00000000-0005-0000-0000-0000AA830000}"/>
    <cellStyle name="Normal 3 11 6 3 2" xfId="33701" xr:uid="{00000000-0005-0000-0000-0000AB830000}"/>
    <cellStyle name="Normal 3 11 6 3 2 2" xfId="33702" xr:uid="{00000000-0005-0000-0000-0000AC830000}"/>
    <cellStyle name="Normal 3 11 6 3 3" xfId="33703" xr:uid="{00000000-0005-0000-0000-0000AD830000}"/>
    <cellStyle name="Normal 3 11 6 3 3 2" xfId="33704" xr:uid="{00000000-0005-0000-0000-0000AE830000}"/>
    <cellStyle name="Normal 3 11 6 3 4" xfId="33705" xr:uid="{00000000-0005-0000-0000-0000AF830000}"/>
    <cellStyle name="Normal 3 11 6 3 5" xfId="33706" xr:uid="{00000000-0005-0000-0000-0000B0830000}"/>
    <cellStyle name="Normal 3 11 6 4" xfId="33707" xr:uid="{00000000-0005-0000-0000-0000B1830000}"/>
    <cellStyle name="Normal 3 11 6 4 2" xfId="33708" xr:uid="{00000000-0005-0000-0000-0000B2830000}"/>
    <cellStyle name="Normal 3 11 6 5" xfId="33709" xr:uid="{00000000-0005-0000-0000-0000B3830000}"/>
    <cellStyle name="Normal 3 11 6 5 2" xfId="33710" xr:uid="{00000000-0005-0000-0000-0000B4830000}"/>
    <cellStyle name="Normal 3 11 6 6" xfId="33711" xr:uid="{00000000-0005-0000-0000-0000B5830000}"/>
    <cellStyle name="Normal 3 11 6 7" xfId="33712" xr:uid="{00000000-0005-0000-0000-0000B6830000}"/>
    <cellStyle name="Normal 3 11 7" xfId="33713" xr:uid="{00000000-0005-0000-0000-0000B7830000}"/>
    <cellStyle name="Normal 3 11 7 2" xfId="33714" xr:uid="{00000000-0005-0000-0000-0000B8830000}"/>
    <cellStyle name="Normal 3 11 7 2 2" xfId="33715" xr:uid="{00000000-0005-0000-0000-0000B9830000}"/>
    <cellStyle name="Normal 3 11 7 2 2 2" xfId="33716" xr:uid="{00000000-0005-0000-0000-0000BA830000}"/>
    <cellStyle name="Normal 3 11 7 2 3" xfId="33717" xr:uid="{00000000-0005-0000-0000-0000BB830000}"/>
    <cellStyle name="Normal 3 11 7 2 4" xfId="33718" xr:uid="{00000000-0005-0000-0000-0000BC830000}"/>
    <cellStyle name="Normal 3 11 7 3" xfId="33719" xr:uid="{00000000-0005-0000-0000-0000BD830000}"/>
    <cellStyle name="Normal 3 11 7 3 2" xfId="33720" xr:uid="{00000000-0005-0000-0000-0000BE830000}"/>
    <cellStyle name="Normal 3 11 7 4" xfId="33721" xr:uid="{00000000-0005-0000-0000-0000BF830000}"/>
    <cellStyle name="Normal 3 11 7 5" xfId="33722" xr:uid="{00000000-0005-0000-0000-0000C0830000}"/>
    <cellStyle name="Normal 3 11 8" xfId="33723" xr:uid="{00000000-0005-0000-0000-0000C1830000}"/>
    <cellStyle name="Normal 3 11 8 2" xfId="33724" xr:uid="{00000000-0005-0000-0000-0000C2830000}"/>
    <cellStyle name="Normal 3 11 8 2 2" xfId="33725" xr:uid="{00000000-0005-0000-0000-0000C3830000}"/>
    <cellStyle name="Normal 3 11 8 3" xfId="33726" xr:uid="{00000000-0005-0000-0000-0000C4830000}"/>
    <cellStyle name="Normal 3 11 8 3 2" xfId="33727" xr:uid="{00000000-0005-0000-0000-0000C5830000}"/>
    <cellStyle name="Normal 3 11 8 4" xfId="33728" xr:uid="{00000000-0005-0000-0000-0000C6830000}"/>
    <cellStyle name="Normal 3 11 8 5" xfId="33729" xr:uid="{00000000-0005-0000-0000-0000C7830000}"/>
    <cellStyle name="Normal 3 11 9" xfId="33730" xr:uid="{00000000-0005-0000-0000-0000C8830000}"/>
    <cellStyle name="Normal 3 11 9 2" xfId="33731" xr:uid="{00000000-0005-0000-0000-0000C9830000}"/>
    <cellStyle name="Normal 3 12" xfId="33732" xr:uid="{00000000-0005-0000-0000-0000CA830000}"/>
    <cellStyle name="Normal 3 12 2" xfId="33733" xr:uid="{00000000-0005-0000-0000-0000CB830000}"/>
    <cellStyle name="Normal 3 12 3" xfId="33734" xr:uid="{00000000-0005-0000-0000-0000CC830000}"/>
    <cellStyle name="Normal 3 13" xfId="33735" xr:uid="{00000000-0005-0000-0000-0000CD830000}"/>
    <cellStyle name="Normal 3 13 10" xfId="33736" xr:uid="{00000000-0005-0000-0000-0000CE830000}"/>
    <cellStyle name="Normal 3 13 11" xfId="33737" xr:uid="{00000000-0005-0000-0000-0000CF830000}"/>
    <cellStyle name="Normal 3 13 2" xfId="33738" xr:uid="{00000000-0005-0000-0000-0000D0830000}"/>
    <cellStyle name="Normal 3 13 2 10" xfId="33739" xr:uid="{00000000-0005-0000-0000-0000D1830000}"/>
    <cellStyle name="Normal 3 13 2 2" xfId="33740" xr:uid="{00000000-0005-0000-0000-0000D2830000}"/>
    <cellStyle name="Normal 3 13 2 2 2" xfId="33741" xr:uid="{00000000-0005-0000-0000-0000D3830000}"/>
    <cellStyle name="Normal 3 13 2 2 2 2" xfId="33742" xr:uid="{00000000-0005-0000-0000-0000D4830000}"/>
    <cellStyle name="Normal 3 13 2 2 2 2 2" xfId="33743" xr:uid="{00000000-0005-0000-0000-0000D5830000}"/>
    <cellStyle name="Normal 3 13 2 2 2 2 2 2" xfId="33744" xr:uid="{00000000-0005-0000-0000-0000D6830000}"/>
    <cellStyle name="Normal 3 13 2 2 2 2 2 2 2" xfId="33745" xr:uid="{00000000-0005-0000-0000-0000D7830000}"/>
    <cellStyle name="Normal 3 13 2 2 2 2 2 2 2 2" xfId="33746" xr:uid="{00000000-0005-0000-0000-0000D8830000}"/>
    <cellStyle name="Normal 3 13 2 2 2 2 2 2 3" xfId="33747" xr:uid="{00000000-0005-0000-0000-0000D9830000}"/>
    <cellStyle name="Normal 3 13 2 2 2 2 2 2 4" xfId="33748" xr:uid="{00000000-0005-0000-0000-0000DA830000}"/>
    <cellStyle name="Normal 3 13 2 2 2 2 2 3" xfId="33749" xr:uid="{00000000-0005-0000-0000-0000DB830000}"/>
    <cellStyle name="Normal 3 13 2 2 2 2 2 3 2" xfId="33750" xr:uid="{00000000-0005-0000-0000-0000DC830000}"/>
    <cellStyle name="Normal 3 13 2 2 2 2 2 4" xfId="33751" xr:uid="{00000000-0005-0000-0000-0000DD830000}"/>
    <cellStyle name="Normal 3 13 2 2 2 2 2 5" xfId="33752" xr:uid="{00000000-0005-0000-0000-0000DE830000}"/>
    <cellStyle name="Normal 3 13 2 2 2 2 3" xfId="33753" xr:uid="{00000000-0005-0000-0000-0000DF830000}"/>
    <cellStyle name="Normal 3 13 2 2 2 2 3 2" xfId="33754" xr:uid="{00000000-0005-0000-0000-0000E0830000}"/>
    <cellStyle name="Normal 3 13 2 2 2 2 3 2 2" xfId="33755" xr:uid="{00000000-0005-0000-0000-0000E1830000}"/>
    <cellStyle name="Normal 3 13 2 2 2 2 3 3" xfId="33756" xr:uid="{00000000-0005-0000-0000-0000E2830000}"/>
    <cellStyle name="Normal 3 13 2 2 2 2 3 4" xfId="33757" xr:uid="{00000000-0005-0000-0000-0000E3830000}"/>
    <cellStyle name="Normal 3 13 2 2 2 2 4" xfId="33758" xr:uid="{00000000-0005-0000-0000-0000E4830000}"/>
    <cellStyle name="Normal 3 13 2 2 2 2 4 2" xfId="33759" xr:uid="{00000000-0005-0000-0000-0000E5830000}"/>
    <cellStyle name="Normal 3 13 2 2 2 2 5" xfId="33760" xr:uid="{00000000-0005-0000-0000-0000E6830000}"/>
    <cellStyle name="Normal 3 13 2 2 2 2 6" xfId="33761" xr:uid="{00000000-0005-0000-0000-0000E7830000}"/>
    <cellStyle name="Normal 3 13 2 2 2 3" xfId="33762" xr:uid="{00000000-0005-0000-0000-0000E8830000}"/>
    <cellStyle name="Normal 3 13 2 2 2 3 2" xfId="33763" xr:uid="{00000000-0005-0000-0000-0000E9830000}"/>
    <cellStyle name="Normal 3 13 2 2 2 3 2 2" xfId="33764" xr:uid="{00000000-0005-0000-0000-0000EA830000}"/>
    <cellStyle name="Normal 3 13 2 2 2 3 2 2 2" xfId="33765" xr:uid="{00000000-0005-0000-0000-0000EB830000}"/>
    <cellStyle name="Normal 3 13 2 2 2 3 2 3" xfId="33766" xr:uid="{00000000-0005-0000-0000-0000EC830000}"/>
    <cellStyle name="Normal 3 13 2 2 2 3 2 4" xfId="33767" xr:uid="{00000000-0005-0000-0000-0000ED830000}"/>
    <cellStyle name="Normal 3 13 2 2 2 3 3" xfId="33768" xr:uid="{00000000-0005-0000-0000-0000EE830000}"/>
    <cellStyle name="Normal 3 13 2 2 2 3 3 2" xfId="33769" xr:uid="{00000000-0005-0000-0000-0000EF830000}"/>
    <cellStyle name="Normal 3 13 2 2 2 3 4" xfId="33770" xr:uid="{00000000-0005-0000-0000-0000F0830000}"/>
    <cellStyle name="Normal 3 13 2 2 2 3 5" xfId="33771" xr:uid="{00000000-0005-0000-0000-0000F1830000}"/>
    <cellStyle name="Normal 3 13 2 2 2 4" xfId="33772" xr:uid="{00000000-0005-0000-0000-0000F2830000}"/>
    <cellStyle name="Normal 3 13 2 2 2 4 2" xfId="33773" xr:uid="{00000000-0005-0000-0000-0000F3830000}"/>
    <cellStyle name="Normal 3 13 2 2 2 4 2 2" xfId="33774" xr:uid="{00000000-0005-0000-0000-0000F4830000}"/>
    <cellStyle name="Normal 3 13 2 2 2 4 3" xfId="33775" xr:uid="{00000000-0005-0000-0000-0000F5830000}"/>
    <cellStyle name="Normal 3 13 2 2 2 4 4" xfId="33776" xr:uid="{00000000-0005-0000-0000-0000F6830000}"/>
    <cellStyle name="Normal 3 13 2 2 2 5" xfId="33777" xr:uid="{00000000-0005-0000-0000-0000F7830000}"/>
    <cellStyle name="Normal 3 13 2 2 2 5 2" xfId="33778" xr:uid="{00000000-0005-0000-0000-0000F8830000}"/>
    <cellStyle name="Normal 3 13 2 2 2 6" xfId="33779" xr:uid="{00000000-0005-0000-0000-0000F9830000}"/>
    <cellStyle name="Normal 3 13 2 2 2 7" xfId="33780" xr:uid="{00000000-0005-0000-0000-0000FA830000}"/>
    <cellStyle name="Normal 3 13 2 2 3" xfId="33781" xr:uid="{00000000-0005-0000-0000-0000FB830000}"/>
    <cellStyle name="Normal 3 13 2 2 3 2" xfId="33782" xr:uid="{00000000-0005-0000-0000-0000FC830000}"/>
    <cellStyle name="Normal 3 13 2 2 3 2 2" xfId="33783" xr:uid="{00000000-0005-0000-0000-0000FD830000}"/>
    <cellStyle name="Normal 3 13 2 2 3 2 2 2" xfId="33784" xr:uid="{00000000-0005-0000-0000-0000FE830000}"/>
    <cellStyle name="Normal 3 13 2 2 3 2 2 2 2" xfId="33785" xr:uid="{00000000-0005-0000-0000-0000FF830000}"/>
    <cellStyle name="Normal 3 13 2 2 3 2 2 3" xfId="33786" xr:uid="{00000000-0005-0000-0000-000000840000}"/>
    <cellStyle name="Normal 3 13 2 2 3 2 2 4" xfId="33787" xr:uid="{00000000-0005-0000-0000-000001840000}"/>
    <cellStyle name="Normal 3 13 2 2 3 2 3" xfId="33788" xr:uid="{00000000-0005-0000-0000-000002840000}"/>
    <cellStyle name="Normal 3 13 2 2 3 2 3 2" xfId="33789" xr:uid="{00000000-0005-0000-0000-000003840000}"/>
    <cellStyle name="Normal 3 13 2 2 3 2 4" xfId="33790" xr:uid="{00000000-0005-0000-0000-000004840000}"/>
    <cellStyle name="Normal 3 13 2 2 3 2 5" xfId="33791" xr:uid="{00000000-0005-0000-0000-000005840000}"/>
    <cellStyle name="Normal 3 13 2 2 3 3" xfId="33792" xr:uid="{00000000-0005-0000-0000-000006840000}"/>
    <cellStyle name="Normal 3 13 2 2 3 3 2" xfId="33793" xr:uid="{00000000-0005-0000-0000-000007840000}"/>
    <cellStyle name="Normal 3 13 2 2 3 3 2 2" xfId="33794" xr:uid="{00000000-0005-0000-0000-000008840000}"/>
    <cellStyle name="Normal 3 13 2 2 3 3 3" xfId="33795" xr:uid="{00000000-0005-0000-0000-000009840000}"/>
    <cellStyle name="Normal 3 13 2 2 3 3 3 2" xfId="33796" xr:uid="{00000000-0005-0000-0000-00000A840000}"/>
    <cellStyle name="Normal 3 13 2 2 3 3 4" xfId="33797" xr:uid="{00000000-0005-0000-0000-00000B840000}"/>
    <cellStyle name="Normal 3 13 2 2 3 3 5" xfId="33798" xr:uid="{00000000-0005-0000-0000-00000C840000}"/>
    <cellStyle name="Normal 3 13 2 2 3 4" xfId="33799" xr:uid="{00000000-0005-0000-0000-00000D840000}"/>
    <cellStyle name="Normal 3 13 2 2 3 4 2" xfId="33800" xr:uid="{00000000-0005-0000-0000-00000E840000}"/>
    <cellStyle name="Normal 3 13 2 2 3 5" xfId="33801" xr:uid="{00000000-0005-0000-0000-00000F840000}"/>
    <cellStyle name="Normal 3 13 2 2 3 5 2" xfId="33802" xr:uid="{00000000-0005-0000-0000-000010840000}"/>
    <cellStyle name="Normal 3 13 2 2 3 6" xfId="33803" xr:uid="{00000000-0005-0000-0000-000011840000}"/>
    <cellStyle name="Normal 3 13 2 2 3 7" xfId="33804" xr:uid="{00000000-0005-0000-0000-000012840000}"/>
    <cellStyle name="Normal 3 13 2 2 4" xfId="33805" xr:uid="{00000000-0005-0000-0000-000013840000}"/>
    <cellStyle name="Normal 3 13 2 2 4 2" xfId="33806" xr:uid="{00000000-0005-0000-0000-000014840000}"/>
    <cellStyle name="Normal 3 13 2 2 4 2 2" xfId="33807" xr:uid="{00000000-0005-0000-0000-000015840000}"/>
    <cellStyle name="Normal 3 13 2 2 4 2 2 2" xfId="33808" xr:uid="{00000000-0005-0000-0000-000016840000}"/>
    <cellStyle name="Normal 3 13 2 2 4 2 3" xfId="33809" xr:uid="{00000000-0005-0000-0000-000017840000}"/>
    <cellStyle name="Normal 3 13 2 2 4 2 4" xfId="33810" xr:uid="{00000000-0005-0000-0000-000018840000}"/>
    <cellStyle name="Normal 3 13 2 2 4 3" xfId="33811" xr:uid="{00000000-0005-0000-0000-000019840000}"/>
    <cellStyle name="Normal 3 13 2 2 4 3 2" xfId="33812" xr:uid="{00000000-0005-0000-0000-00001A840000}"/>
    <cellStyle name="Normal 3 13 2 2 4 4" xfId="33813" xr:uid="{00000000-0005-0000-0000-00001B840000}"/>
    <cellStyle name="Normal 3 13 2 2 4 5" xfId="33814" xr:uid="{00000000-0005-0000-0000-00001C840000}"/>
    <cellStyle name="Normal 3 13 2 2 5" xfId="33815" xr:uid="{00000000-0005-0000-0000-00001D840000}"/>
    <cellStyle name="Normal 3 13 2 2 5 2" xfId="33816" xr:uid="{00000000-0005-0000-0000-00001E840000}"/>
    <cellStyle name="Normal 3 13 2 2 5 2 2" xfId="33817" xr:uid="{00000000-0005-0000-0000-00001F840000}"/>
    <cellStyle name="Normal 3 13 2 2 5 3" xfId="33818" xr:uid="{00000000-0005-0000-0000-000020840000}"/>
    <cellStyle name="Normal 3 13 2 2 5 3 2" xfId="33819" xr:uid="{00000000-0005-0000-0000-000021840000}"/>
    <cellStyle name="Normal 3 13 2 2 5 4" xfId="33820" xr:uid="{00000000-0005-0000-0000-000022840000}"/>
    <cellStyle name="Normal 3 13 2 2 5 5" xfId="33821" xr:uid="{00000000-0005-0000-0000-000023840000}"/>
    <cellStyle name="Normal 3 13 2 2 6" xfId="33822" xr:uid="{00000000-0005-0000-0000-000024840000}"/>
    <cellStyle name="Normal 3 13 2 2 6 2" xfId="33823" xr:uid="{00000000-0005-0000-0000-000025840000}"/>
    <cellStyle name="Normal 3 13 2 2 7" xfId="33824" xr:uid="{00000000-0005-0000-0000-000026840000}"/>
    <cellStyle name="Normal 3 13 2 2 7 2" xfId="33825" xr:uid="{00000000-0005-0000-0000-000027840000}"/>
    <cellStyle name="Normal 3 13 2 2 8" xfId="33826" xr:uid="{00000000-0005-0000-0000-000028840000}"/>
    <cellStyle name="Normal 3 13 2 2 9" xfId="33827" xr:uid="{00000000-0005-0000-0000-000029840000}"/>
    <cellStyle name="Normal 3 13 2 3" xfId="33828" xr:uid="{00000000-0005-0000-0000-00002A840000}"/>
    <cellStyle name="Normal 3 13 2 3 2" xfId="33829" xr:uid="{00000000-0005-0000-0000-00002B840000}"/>
    <cellStyle name="Normal 3 13 2 3 2 2" xfId="33830" xr:uid="{00000000-0005-0000-0000-00002C840000}"/>
    <cellStyle name="Normal 3 13 2 3 2 2 2" xfId="33831" xr:uid="{00000000-0005-0000-0000-00002D840000}"/>
    <cellStyle name="Normal 3 13 2 3 2 2 2 2" xfId="33832" xr:uid="{00000000-0005-0000-0000-00002E840000}"/>
    <cellStyle name="Normal 3 13 2 3 2 2 2 2 2" xfId="33833" xr:uid="{00000000-0005-0000-0000-00002F840000}"/>
    <cellStyle name="Normal 3 13 2 3 2 2 2 3" xfId="33834" xr:uid="{00000000-0005-0000-0000-000030840000}"/>
    <cellStyle name="Normal 3 13 2 3 2 2 2 4" xfId="33835" xr:uid="{00000000-0005-0000-0000-000031840000}"/>
    <cellStyle name="Normal 3 13 2 3 2 2 3" xfId="33836" xr:uid="{00000000-0005-0000-0000-000032840000}"/>
    <cellStyle name="Normal 3 13 2 3 2 2 3 2" xfId="33837" xr:uid="{00000000-0005-0000-0000-000033840000}"/>
    <cellStyle name="Normal 3 13 2 3 2 2 4" xfId="33838" xr:uid="{00000000-0005-0000-0000-000034840000}"/>
    <cellStyle name="Normal 3 13 2 3 2 2 5" xfId="33839" xr:uid="{00000000-0005-0000-0000-000035840000}"/>
    <cellStyle name="Normal 3 13 2 3 2 3" xfId="33840" xr:uid="{00000000-0005-0000-0000-000036840000}"/>
    <cellStyle name="Normal 3 13 2 3 2 3 2" xfId="33841" xr:uid="{00000000-0005-0000-0000-000037840000}"/>
    <cellStyle name="Normal 3 13 2 3 2 3 2 2" xfId="33842" xr:uid="{00000000-0005-0000-0000-000038840000}"/>
    <cellStyle name="Normal 3 13 2 3 2 3 3" xfId="33843" xr:uid="{00000000-0005-0000-0000-000039840000}"/>
    <cellStyle name="Normal 3 13 2 3 2 3 4" xfId="33844" xr:uid="{00000000-0005-0000-0000-00003A840000}"/>
    <cellStyle name="Normal 3 13 2 3 2 4" xfId="33845" xr:uid="{00000000-0005-0000-0000-00003B840000}"/>
    <cellStyle name="Normal 3 13 2 3 2 4 2" xfId="33846" xr:uid="{00000000-0005-0000-0000-00003C840000}"/>
    <cellStyle name="Normal 3 13 2 3 2 5" xfId="33847" xr:uid="{00000000-0005-0000-0000-00003D840000}"/>
    <cellStyle name="Normal 3 13 2 3 2 6" xfId="33848" xr:uid="{00000000-0005-0000-0000-00003E840000}"/>
    <cellStyle name="Normal 3 13 2 3 3" xfId="33849" xr:uid="{00000000-0005-0000-0000-00003F840000}"/>
    <cellStyle name="Normal 3 13 2 3 3 2" xfId="33850" xr:uid="{00000000-0005-0000-0000-000040840000}"/>
    <cellStyle name="Normal 3 13 2 3 3 2 2" xfId="33851" xr:uid="{00000000-0005-0000-0000-000041840000}"/>
    <cellStyle name="Normal 3 13 2 3 3 2 2 2" xfId="33852" xr:uid="{00000000-0005-0000-0000-000042840000}"/>
    <cellStyle name="Normal 3 13 2 3 3 2 3" xfId="33853" xr:uid="{00000000-0005-0000-0000-000043840000}"/>
    <cellStyle name="Normal 3 13 2 3 3 2 4" xfId="33854" xr:uid="{00000000-0005-0000-0000-000044840000}"/>
    <cellStyle name="Normal 3 13 2 3 3 3" xfId="33855" xr:uid="{00000000-0005-0000-0000-000045840000}"/>
    <cellStyle name="Normal 3 13 2 3 3 3 2" xfId="33856" xr:uid="{00000000-0005-0000-0000-000046840000}"/>
    <cellStyle name="Normal 3 13 2 3 3 4" xfId="33857" xr:uid="{00000000-0005-0000-0000-000047840000}"/>
    <cellStyle name="Normal 3 13 2 3 3 5" xfId="33858" xr:uid="{00000000-0005-0000-0000-000048840000}"/>
    <cellStyle name="Normal 3 13 2 3 4" xfId="33859" xr:uid="{00000000-0005-0000-0000-000049840000}"/>
    <cellStyle name="Normal 3 13 2 3 4 2" xfId="33860" xr:uid="{00000000-0005-0000-0000-00004A840000}"/>
    <cellStyle name="Normal 3 13 2 3 4 2 2" xfId="33861" xr:uid="{00000000-0005-0000-0000-00004B840000}"/>
    <cellStyle name="Normal 3 13 2 3 4 3" xfId="33862" xr:uid="{00000000-0005-0000-0000-00004C840000}"/>
    <cellStyle name="Normal 3 13 2 3 4 4" xfId="33863" xr:uid="{00000000-0005-0000-0000-00004D840000}"/>
    <cellStyle name="Normal 3 13 2 3 5" xfId="33864" xr:uid="{00000000-0005-0000-0000-00004E840000}"/>
    <cellStyle name="Normal 3 13 2 3 5 2" xfId="33865" xr:uid="{00000000-0005-0000-0000-00004F840000}"/>
    <cellStyle name="Normal 3 13 2 3 6" xfId="33866" xr:uid="{00000000-0005-0000-0000-000050840000}"/>
    <cellStyle name="Normal 3 13 2 3 7" xfId="33867" xr:uid="{00000000-0005-0000-0000-000051840000}"/>
    <cellStyle name="Normal 3 13 2 4" xfId="33868" xr:uid="{00000000-0005-0000-0000-000052840000}"/>
    <cellStyle name="Normal 3 13 2 4 2" xfId="33869" xr:uid="{00000000-0005-0000-0000-000053840000}"/>
    <cellStyle name="Normal 3 13 2 4 2 2" xfId="33870" xr:uid="{00000000-0005-0000-0000-000054840000}"/>
    <cellStyle name="Normal 3 13 2 4 2 2 2" xfId="33871" xr:uid="{00000000-0005-0000-0000-000055840000}"/>
    <cellStyle name="Normal 3 13 2 4 2 2 2 2" xfId="33872" xr:uid="{00000000-0005-0000-0000-000056840000}"/>
    <cellStyle name="Normal 3 13 2 4 2 2 3" xfId="33873" xr:uid="{00000000-0005-0000-0000-000057840000}"/>
    <cellStyle name="Normal 3 13 2 4 2 2 4" xfId="33874" xr:uid="{00000000-0005-0000-0000-000058840000}"/>
    <cellStyle name="Normal 3 13 2 4 2 3" xfId="33875" xr:uid="{00000000-0005-0000-0000-000059840000}"/>
    <cellStyle name="Normal 3 13 2 4 2 3 2" xfId="33876" xr:uid="{00000000-0005-0000-0000-00005A840000}"/>
    <cellStyle name="Normal 3 13 2 4 2 4" xfId="33877" xr:uid="{00000000-0005-0000-0000-00005B840000}"/>
    <cellStyle name="Normal 3 13 2 4 2 5" xfId="33878" xr:uid="{00000000-0005-0000-0000-00005C840000}"/>
    <cellStyle name="Normal 3 13 2 4 3" xfId="33879" xr:uid="{00000000-0005-0000-0000-00005D840000}"/>
    <cellStyle name="Normal 3 13 2 4 3 2" xfId="33880" xr:uid="{00000000-0005-0000-0000-00005E840000}"/>
    <cellStyle name="Normal 3 13 2 4 3 2 2" xfId="33881" xr:uid="{00000000-0005-0000-0000-00005F840000}"/>
    <cellStyle name="Normal 3 13 2 4 3 3" xfId="33882" xr:uid="{00000000-0005-0000-0000-000060840000}"/>
    <cellStyle name="Normal 3 13 2 4 3 3 2" xfId="33883" xr:uid="{00000000-0005-0000-0000-000061840000}"/>
    <cellStyle name="Normal 3 13 2 4 3 4" xfId="33884" xr:uid="{00000000-0005-0000-0000-000062840000}"/>
    <cellStyle name="Normal 3 13 2 4 3 5" xfId="33885" xr:uid="{00000000-0005-0000-0000-000063840000}"/>
    <cellStyle name="Normal 3 13 2 4 4" xfId="33886" xr:uid="{00000000-0005-0000-0000-000064840000}"/>
    <cellStyle name="Normal 3 13 2 4 4 2" xfId="33887" xr:uid="{00000000-0005-0000-0000-000065840000}"/>
    <cellStyle name="Normal 3 13 2 4 5" xfId="33888" xr:uid="{00000000-0005-0000-0000-000066840000}"/>
    <cellStyle name="Normal 3 13 2 4 5 2" xfId="33889" xr:uid="{00000000-0005-0000-0000-000067840000}"/>
    <cellStyle name="Normal 3 13 2 4 6" xfId="33890" xr:uid="{00000000-0005-0000-0000-000068840000}"/>
    <cellStyle name="Normal 3 13 2 4 7" xfId="33891" xr:uid="{00000000-0005-0000-0000-000069840000}"/>
    <cellStyle name="Normal 3 13 2 5" xfId="33892" xr:uid="{00000000-0005-0000-0000-00006A840000}"/>
    <cellStyle name="Normal 3 13 2 5 2" xfId="33893" xr:uid="{00000000-0005-0000-0000-00006B840000}"/>
    <cellStyle name="Normal 3 13 2 5 2 2" xfId="33894" xr:uid="{00000000-0005-0000-0000-00006C840000}"/>
    <cellStyle name="Normal 3 13 2 5 2 2 2" xfId="33895" xr:uid="{00000000-0005-0000-0000-00006D840000}"/>
    <cellStyle name="Normal 3 13 2 5 2 3" xfId="33896" xr:uid="{00000000-0005-0000-0000-00006E840000}"/>
    <cellStyle name="Normal 3 13 2 5 2 4" xfId="33897" xr:uid="{00000000-0005-0000-0000-00006F840000}"/>
    <cellStyle name="Normal 3 13 2 5 3" xfId="33898" xr:uid="{00000000-0005-0000-0000-000070840000}"/>
    <cellStyle name="Normal 3 13 2 5 3 2" xfId="33899" xr:uid="{00000000-0005-0000-0000-000071840000}"/>
    <cellStyle name="Normal 3 13 2 5 4" xfId="33900" xr:uid="{00000000-0005-0000-0000-000072840000}"/>
    <cellStyle name="Normal 3 13 2 5 5" xfId="33901" xr:uid="{00000000-0005-0000-0000-000073840000}"/>
    <cellStyle name="Normal 3 13 2 6" xfId="33902" xr:uid="{00000000-0005-0000-0000-000074840000}"/>
    <cellStyle name="Normal 3 13 2 6 2" xfId="33903" xr:uid="{00000000-0005-0000-0000-000075840000}"/>
    <cellStyle name="Normal 3 13 2 6 2 2" xfId="33904" xr:uid="{00000000-0005-0000-0000-000076840000}"/>
    <cellStyle name="Normal 3 13 2 6 3" xfId="33905" xr:uid="{00000000-0005-0000-0000-000077840000}"/>
    <cellStyle name="Normal 3 13 2 6 3 2" xfId="33906" xr:uid="{00000000-0005-0000-0000-000078840000}"/>
    <cellStyle name="Normal 3 13 2 6 4" xfId="33907" xr:uid="{00000000-0005-0000-0000-000079840000}"/>
    <cellStyle name="Normal 3 13 2 6 5" xfId="33908" xr:uid="{00000000-0005-0000-0000-00007A840000}"/>
    <cellStyle name="Normal 3 13 2 7" xfId="33909" xr:uid="{00000000-0005-0000-0000-00007B840000}"/>
    <cellStyle name="Normal 3 13 2 7 2" xfId="33910" xr:uid="{00000000-0005-0000-0000-00007C840000}"/>
    <cellStyle name="Normal 3 13 2 8" xfId="33911" xr:uid="{00000000-0005-0000-0000-00007D840000}"/>
    <cellStyle name="Normal 3 13 2 8 2" xfId="33912" xr:uid="{00000000-0005-0000-0000-00007E840000}"/>
    <cellStyle name="Normal 3 13 2 9" xfId="33913" xr:uid="{00000000-0005-0000-0000-00007F840000}"/>
    <cellStyle name="Normal 3 13 3" xfId="33914" xr:uid="{00000000-0005-0000-0000-000080840000}"/>
    <cellStyle name="Normal 3 13 3 2" xfId="33915" xr:uid="{00000000-0005-0000-0000-000081840000}"/>
    <cellStyle name="Normal 3 13 3 2 2" xfId="33916" xr:uid="{00000000-0005-0000-0000-000082840000}"/>
    <cellStyle name="Normal 3 13 3 2 2 2" xfId="33917" xr:uid="{00000000-0005-0000-0000-000083840000}"/>
    <cellStyle name="Normal 3 13 3 2 2 2 2" xfId="33918" xr:uid="{00000000-0005-0000-0000-000084840000}"/>
    <cellStyle name="Normal 3 13 3 2 2 2 2 2" xfId="33919" xr:uid="{00000000-0005-0000-0000-000085840000}"/>
    <cellStyle name="Normal 3 13 3 2 2 2 2 2 2" xfId="33920" xr:uid="{00000000-0005-0000-0000-000086840000}"/>
    <cellStyle name="Normal 3 13 3 2 2 2 2 3" xfId="33921" xr:uid="{00000000-0005-0000-0000-000087840000}"/>
    <cellStyle name="Normal 3 13 3 2 2 2 2 4" xfId="33922" xr:uid="{00000000-0005-0000-0000-000088840000}"/>
    <cellStyle name="Normal 3 13 3 2 2 2 3" xfId="33923" xr:uid="{00000000-0005-0000-0000-000089840000}"/>
    <cellStyle name="Normal 3 13 3 2 2 2 3 2" xfId="33924" xr:uid="{00000000-0005-0000-0000-00008A840000}"/>
    <cellStyle name="Normal 3 13 3 2 2 2 4" xfId="33925" xr:uid="{00000000-0005-0000-0000-00008B840000}"/>
    <cellStyle name="Normal 3 13 3 2 2 2 5" xfId="33926" xr:uid="{00000000-0005-0000-0000-00008C840000}"/>
    <cellStyle name="Normal 3 13 3 2 2 3" xfId="33927" xr:uid="{00000000-0005-0000-0000-00008D840000}"/>
    <cellStyle name="Normal 3 13 3 2 2 3 2" xfId="33928" xr:uid="{00000000-0005-0000-0000-00008E840000}"/>
    <cellStyle name="Normal 3 13 3 2 2 3 2 2" xfId="33929" xr:uid="{00000000-0005-0000-0000-00008F840000}"/>
    <cellStyle name="Normal 3 13 3 2 2 3 3" xfId="33930" xr:uid="{00000000-0005-0000-0000-000090840000}"/>
    <cellStyle name="Normal 3 13 3 2 2 3 4" xfId="33931" xr:uid="{00000000-0005-0000-0000-000091840000}"/>
    <cellStyle name="Normal 3 13 3 2 2 4" xfId="33932" xr:uid="{00000000-0005-0000-0000-000092840000}"/>
    <cellStyle name="Normal 3 13 3 2 2 4 2" xfId="33933" xr:uid="{00000000-0005-0000-0000-000093840000}"/>
    <cellStyle name="Normal 3 13 3 2 2 5" xfId="33934" xr:uid="{00000000-0005-0000-0000-000094840000}"/>
    <cellStyle name="Normal 3 13 3 2 2 6" xfId="33935" xr:uid="{00000000-0005-0000-0000-000095840000}"/>
    <cellStyle name="Normal 3 13 3 2 3" xfId="33936" xr:uid="{00000000-0005-0000-0000-000096840000}"/>
    <cellStyle name="Normal 3 13 3 2 3 2" xfId="33937" xr:uid="{00000000-0005-0000-0000-000097840000}"/>
    <cellStyle name="Normal 3 13 3 2 3 2 2" xfId="33938" xr:uid="{00000000-0005-0000-0000-000098840000}"/>
    <cellStyle name="Normal 3 13 3 2 3 2 2 2" xfId="33939" xr:uid="{00000000-0005-0000-0000-000099840000}"/>
    <cellStyle name="Normal 3 13 3 2 3 2 3" xfId="33940" xr:uid="{00000000-0005-0000-0000-00009A840000}"/>
    <cellStyle name="Normal 3 13 3 2 3 2 4" xfId="33941" xr:uid="{00000000-0005-0000-0000-00009B840000}"/>
    <cellStyle name="Normal 3 13 3 2 3 3" xfId="33942" xr:uid="{00000000-0005-0000-0000-00009C840000}"/>
    <cellStyle name="Normal 3 13 3 2 3 3 2" xfId="33943" xr:uid="{00000000-0005-0000-0000-00009D840000}"/>
    <cellStyle name="Normal 3 13 3 2 3 4" xfId="33944" xr:uid="{00000000-0005-0000-0000-00009E840000}"/>
    <cellStyle name="Normal 3 13 3 2 3 5" xfId="33945" xr:uid="{00000000-0005-0000-0000-00009F840000}"/>
    <cellStyle name="Normal 3 13 3 2 4" xfId="33946" xr:uid="{00000000-0005-0000-0000-0000A0840000}"/>
    <cellStyle name="Normal 3 13 3 2 4 2" xfId="33947" xr:uid="{00000000-0005-0000-0000-0000A1840000}"/>
    <cellStyle name="Normal 3 13 3 2 4 2 2" xfId="33948" xr:uid="{00000000-0005-0000-0000-0000A2840000}"/>
    <cellStyle name="Normal 3 13 3 2 4 3" xfId="33949" xr:uid="{00000000-0005-0000-0000-0000A3840000}"/>
    <cellStyle name="Normal 3 13 3 2 4 4" xfId="33950" xr:uid="{00000000-0005-0000-0000-0000A4840000}"/>
    <cellStyle name="Normal 3 13 3 2 5" xfId="33951" xr:uid="{00000000-0005-0000-0000-0000A5840000}"/>
    <cellStyle name="Normal 3 13 3 2 5 2" xfId="33952" xr:uid="{00000000-0005-0000-0000-0000A6840000}"/>
    <cellStyle name="Normal 3 13 3 2 6" xfId="33953" xr:uid="{00000000-0005-0000-0000-0000A7840000}"/>
    <cellStyle name="Normal 3 13 3 2 7" xfId="33954" xr:uid="{00000000-0005-0000-0000-0000A8840000}"/>
    <cellStyle name="Normal 3 13 3 3" xfId="33955" xr:uid="{00000000-0005-0000-0000-0000A9840000}"/>
    <cellStyle name="Normal 3 13 3 3 2" xfId="33956" xr:uid="{00000000-0005-0000-0000-0000AA840000}"/>
    <cellStyle name="Normal 3 13 3 3 2 2" xfId="33957" xr:uid="{00000000-0005-0000-0000-0000AB840000}"/>
    <cellStyle name="Normal 3 13 3 3 2 2 2" xfId="33958" xr:uid="{00000000-0005-0000-0000-0000AC840000}"/>
    <cellStyle name="Normal 3 13 3 3 2 2 2 2" xfId="33959" xr:uid="{00000000-0005-0000-0000-0000AD840000}"/>
    <cellStyle name="Normal 3 13 3 3 2 2 3" xfId="33960" xr:uid="{00000000-0005-0000-0000-0000AE840000}"/>
    <cellStyle name="Normal 3 13 3 3 2 2 4" xfId="33961" xr:uid="{00000000-0005-0000-0000-0000AF840000}"/>
    <cellStyle name="Normal 3 13 3 3 2 3" xfId="33962" xr:uid="{00000000-0005-0000-0000-0000B0840000}"/>
    <cellStyle name="Normal 3 13 3 3 2 3 2" xfId="33963" xr:uid="{00000000-0005-0000-0000-0000B1840000}"/>
    <cellStyle name="Normal 3 13 3 3 2 4" xfId="33964" xr:uid="{00000000-0005-0000-0000-0000B2840000}"/>
    <cellStyle name="Normal 3 13 3 3 2 5" xfId="33965" xr:uid="{00000000-0005-0000-0000-0000B3840000}"/>
    <cellStyle name="Normal 3 13 3 3 3" xfId="33966" xr:uid="{00000000-0005-0000-0000-0000B4840000}"/>
    <cellStyle name="Normal 3 13 3 3 3 2" xfId="33967" xr:uid="{00000000-0005-0000-0000-0000B5840000}"/>
    <cellStyle name="Normal 3 13 3 3 3 2 2" xfId="33968" xr:uid="{00000000-0005-0000-0000-0000B6840000}"/>
    <cellStyle name="Normal 3 13 3 3 3 3" xfId="33969" xr:uid="{00000000-0005-0000-0000-0000B7840000}"/>
    <cellStyle name="Normal 3 13 3 3 3 3 2" xfId="33970" xr:uid="{00000000-0005-0000-0000-0000B8840000}"/>
    <cellStyle name="Normal 3 13 3 3 3 4" xfId="33971" xr:uid="{00000000-0005-0000-0000-0000B9840000}"/>
    <cellStyle name="Normal 3 13 3 3 3 5" xfId="33972" xr:uid="{00000000-0005-0000-0000-0000BA840000}"/>
    <cellStyle name="Normal 3 13 3 3 4" xfId="33973" xr:uid="{00000000-0005-0000-0000-0000BB840000}"/>
    <cellStyle name="Normal 3 13 3 3 4 2" xfId="33974" xr:uid="{00000000-0005-0000-0000-0000BC840000}"/>
    <cellStyle name="Normal 3 13 3 3 5" xfId="33975" xr:uid="{00000000-0005-0000-0000-0000BD840000}"/>
    <cellStyle name="Normal 3 13 3 3 5 2" xfId="33976" xr:uid="{00000000-0005-0000-0000-0000BE840000}"/>
    <cellStyle name="Normal 3 13 3 3 6" xfId="33977" xr:uid="{00000000-0005-0000-0000-0000BF840000}"/>
    <cellStyle name="Normal 3 13 3 3 7" xfId="33978" xr:uid="{00000000-0005-0000-0000-0000C0840000}"/>
    <cellStyle name="Normal 3 13 3 4" xfId="33979" xr:uid="{00000000-0005-0000-0000-0000C1840000}"/>
    <cellStyle name="Normal 3 13 3 4 2" xfId="33980" xr:uid="{00000000-0005-0000-0000-0000C2840000}"/>
    <cellStyle name="Normal 3 13 3 4 2 2" xfId="33981" xr:uid="{00000000-0005-0000-0000-0000C3840000}"/>
    <cellStyle name="Normal 3 13 3 4 2 2 2" xfId="33982" xr:uid="{00000000-0005-0000-0000-0000C4840000}"/>
    <cellStyle name="Normal 3 13 3 4 2 3" xfId="33983" xr:uid="{00000000-0005-0000-0000-0000C5840000}"/>
    <cellStyle name="Normal 3 13 3 4 2 4" xfId="33984" xr:uid="{00000000-0005-0000-0000-0000C6840000}"/>
    <cellStyle name="Normal 3 13 3 4 3" xfId="33985" xr:uid="{00000000-0005-0000-0000-0000C7840000}"/>
    <cellStyle name="Normal 3 13 3 4 3 2" xfId="33986" xr:uid="{00000000-0005-0000-0000-0000C8840000}"/>
    <cellStyle name="Normal 3 13 3 4 4" xfId="33987" xr:uid="{00000000-0005-0000-0000-0000C9840000}"/>
    <cellStyle name="Normal 3 13 3 4 5" xfId="33988" xr:uid="{00000000-0005-0000-0000-0000CA840000}"/>
    <cellStyle name="Normal 3 13 3 5" xfId="33989" xr:uid="{00000000-0005-0000-0000-0000CB840000}"/>
    <cellStyle name="Normal 3 13 3 5 2" xfId="33990" xr:uid="{00000000-0005-0000-0000-0000CC840000}"/>
    <cellStyle name="Normal 3 13 3 5 2 2" xfId="33991" xr:uid="{00000000-0005-0000-0000-0000CD840000}"/>
    <cellStyle name="Normal 3 13 3 5 3" xfId="33992" xr:uid="{00000000-0005-0000-0000-0000CE840000}"/>
    <cellStyle name="Normal 3 13 3 5 3 2" xfId="33993" xr:uid="{00000000-0005-0000-0000-0000CF840000}"/>
    <cellStyle name="Normal 3 13 3 5 4" xfId="33994" xr:uid="{00000000-0005-0000-0000-0000D0840000}"/>
    <cellStyle name="Normal 3 13 3 5 5" xfId="33995" xr:uid="{00000000-0005-0000-0000-0000D1840000}"/>
    <cellStyle name="Normal 3 13 3 6" xfId="33996" xr:uid="{00000000-0005-0000-0000-0000D2840000}"/>
    <cellStyle name="Normal 3 13 3 6 2" xfId="33997" xr:uid="{00000000-0005-0000-0000-0000D3840000}"/>
    <cellStyle name="Normal 3 13 3 7" xfId="33998" xr:uid="{00000000-0005-0000-0000-0000D4840000}"/>
    <cellStyle name="Normal 3 13 3 7 2" xfId="33999" xr:uid="{00000000-0005-0000-0000-0000D5840000}"/>
    <cellStyle name="Normal 3 13 3 8" xfId="34000" xr:uid="{00000000-0005-0000-0000-0000D6840000}"/>
    <cellStyle name="Normal 3 13 3 9" xfId="34001" xr:uid="{00000000-0005-0000-0000-0000D7840000}"/>
    <cellStyle name="Normal 3 13 4" xfId="34002" xr:uid="{00000000-0005-0000-0000-0000D8840000}"/>
    <cellStyle name="Normal 3 13 4 2" xfId="34003" xr:uid="{00000000-0005-0000-0000-0000D9840000}"/>
    <cellStyle name="Normal 3 13 4 2 2" xfId="34004" xr:uid="{00000000-0005-0000-0000-0000DA840000}"/>
    <cellStyle name="Normal 3 13 4 2 2 2" xfId="34005" xr:uid="{00000000-0005-0000-0000-0000DB840000}"/>
    <cellStyle name="Normal 3 13 4 2 2 2 2" xfId="34006" xr:uid="{00000000-0005-0000-0000-0000DC840000}"/>
    <cellStyle name="Normal 3 13 4 2 2 2 2 2" xfId="34007" xr:uid="{00000000-0005-0000-0000-0000DD840000}"/>
    <cellStyle name="Normal 3 13 4 2 2 2 3" xfId="34008" xr:uid="{00000000-0005-0000-0000-0000DE840000}"/>
    <cellStyle name="Normal 3 13 4 2 2 2 4" xfId="34009" xr:uid="{00000000-0005-0000-0000-0000DF840000}"/>
    <cellStyle name="Normal 3 13 4 2 2 3" xfId="34010" xr:uid="{00000000-0005-0000-0000-0000E0840000}"/>
    <cellStyle name="Normal 3 13 4 2 2 3 2" xfId="34011" xr:uid="{00000000-0005-0000-0000-0000E1840000}"/>
    <cellStyle name="Normal 3 13 4 2 2 4" xfId="34012" xr:uid="{00000000-0005-0000-0000-0000E2840000}"/>
    <cellStyle name="Normal 3 13 4 2 2 5" xfId="34013" xr:uid="{00000000-0005-0000-0000-0000E3840000}"/>
    <cellStyle name="Normal 3 13 4 2 3" xfId="34014" xr:uid="{00000000-0005-0000-0000-0000E4840000}"/>
    <cellStyle name="Normal 3 13 4 2 3 2" xfId="34015" xr:uid="{00000000-0005-0000-0000-0000E5840000}"/>
    <cellStyle name="Normal 3 13 4 2 3 2 2" xfId="34016" xr:uid="{00000000-0005-0000-0000-0000E6840000}"/>
    <cellStyle name="Normal 3 13 4 2 3 3" xfId="34017" xr:uid="{00000000-0005-0000-0000-0000E7840000}"/>
    <cellStyle name="Normal 3 13 4 2 3 3 2" xfId="34018" xr:uid="{00000000-0005-0000-0000-0000E8840000}"/>
    <cellStyle name="Normal 3 13 4 2 3 4" xfId="34019" xr:uid="{00000000-0005-0000-0000-0000E9840000}"/>
    <cellStyle name="Normal 3 13 4 2 3 5" xfId="34020" xr:uid="{00000000-0005-0000-0000-0000EA840000}"/>
    <cellStyle name="Normal 3 13 4 2 4" xfId="34021" xr:uid="{00000000-0005-0000-0000-0000EB840000}"/>
    <cellStyle name="Normal 3 13 4 2 4 2" xfId="34022" xr:uid="{00000000-0005-0000-0000-0000EC840000}"/>
    <cellStyle name="Normal 3 13 4 2 5" xfId="34023" xr:uid="{00000000-0005-0000-0000-0000ED840000}"/>
    <cellStyle name="Normal 3 13 4 2 5 2" xfId="34024" xr:uid="{00000000-0005-0000-0000-0000EE840000}"/>
    <cellStyle name="Normal 3 13 4 2 6" xfId="34025" xr:uid="{00000000-0005-0000-0000-0000EF840000}"/>
    <cellStyle name="Normal 3 13 4 2 7" xfId="34026" xr:uid="{00000000-0005-0000-0000-0000F0840000}"/>
    <cellStyle name="Normal 3 13 4 3" xfId="34027" xr:uid="{00000000-0005-0000-0000-0000F1840000}"/>
    <cellStyle name="Normal 3 13 4 3 2" xfId="34028" xr:uid="{00000000-0005-0000-0000-0000F2840000}"/>
    <cellStyle name="Normal 3 13 4 3 2 2" xfId="34029" xr:uid="{00000000-0005-0000-0000-0000F3840000}"/>
    <cellStyle name="Normal 3 13 4 3 2 2 2" xfId="34030" xr:uid="{00000000-0005-0000-0000-0000F4840000}"/>
    <cellStyle name="Normal 3 13 4 3 2 3" xfId="34031" xr:uid="{00000000-0005-0000-0000-0000F5840000}"/>
    <cellStyle name="Normal 3 13 4 3 2 4" xfId="34032" xr:uid="{00000000-0005-0000-0000-0000F6840000}"/>
    <cellStyle name="Normal 3 13 4 3 3" xfId="34033" xr:uid="{00000000-0005-0000-0000-0000F7840000}"/>
    <cellStyle name="Normal 3 13 4 3 3 2" xfId="34034" xr:uid="{00000000-0005-0000-0000-0000F8840000}"/>
    <cellStyle name="Normal 3 13 4 3 4" xfId="34035" xr:uid="{00000000-0005-0000-0000-0000F9840000}"/>
    <cellStyle name="Normal 3 13 4 3 5" xfId="34036" xr:uid="{00000000-0005-0000-0000-0000FA840000}"/>
    <cellStyle name="Normal 3 13 4 4" xfId="34037" xr:uid="{00000000-0005-0000-0000-0000FB840000}"/>
    <cellStyle name="Normal 3 13 4 4 2" xfId="34038" xr:uid="{00000000-0005-0000-0000-0000FC840000}"/>
    <cellStyle name="Normal 3 13 4 4 2 2" xfId="34039" xr:uid="{00000000-0005-0000-0000-0000FD840000}"/>
    <cellStyle name="Normal 3 13 4 4 3" xfId="34040" xr:uid="{00000000-0005-0000-0000-0000FE840000}"/>
    <cellStyle name="Normal 3 13 4 4 3 2" xfId="34041" xr:uid="{00000000-0005-0000-0000-0000FF840000}"/>
    <cellStyle name="Normal 3 13 4 4 4" xfId="34042" xr:uid="{00000000-0005-0000-0000-000000850000}"/>
    <cellStyle name="Normal 3 13 4 4 5" xfId="34043" xr:uid="{00000000-0005-0000-0000-000001850000}"/>
    <cellStyle name="Normal 3 13 4 5" xfId="34044" xr:uid="{00000000-0005-0000-0000-000002850000}"/>
    <cellStyle name="Normal 3 13 4 5 2" xfId="34045" xr:uid="{00000000-0005-0000-0000-000003850000}"/>
    <cellStyle name="Normal 3 13 4 6" xfId="34046" xr:uid="{00000000-0005-0000-0000-000004850000}"/>
    <cellStyle name="Normal 3 13 4 6 2" xfId="34047" xr:uid="{00000000-0005-0000-0000-000005850000}"/>
    <cellStyle name="Normal 3 13 4 7" xfId="34048" xr:uid="{00000000-0005-0000-0000-000006850000}"/>
    <cellStyle name="Normal 3 13 4 8" xfId="34049" xr:uid="{00000000-0005-0000-0000-000007850000}"/>
    <cellStyle name="Normal 3 13 5" xfId="34050" xr:uid="{00000000-0005-0000-0000-000008850000}"/>
    <cellStyle name="Normal 3 13 5 2" xfId="34051" xr:uid="{00000000-0005-0000-0000-000009850000}"/>
    <cellStyle name="Normal 3 13 5 2 2" xfId="34052" xr:uid="{00000000-0005-0000-0000-00000A850000}"/>
    <cellStyle name="Normal 3 13 5 2 2 2" xfId="34053" xr:uid="{00000000-0005-0000-0000-00000B850000}"/>
    <cellStyle name="Normal 3 13 5 2 2 2 2" xfId="34054" xr:uid="{00000000-0005-0000-0000-00000C850000}"/>
    <cellStyle name="Normal 3 13 5 2 2 3" xfId="34055" xr:uid="{00000000-0005-0000-0000-00000D850000}"/>
    <cellStyle name="Normal 3 13 5 2 2 4" xfId="34056" xr:uid="{00000000-0005-0000-0000-00000E850000}"/>
    <cellStyle name="Normal 3 13 5 2 3" xfId="34057" xr:uid="{00000000-0005-0000-0000-00000F850000}"/>
    <cellStyle name="Normal 3 13 5 2 3 2" xfId="34058" xr:uid="{00000000-0005-0000-0000-000010850000}"/>
    <cellStyle name="Normal 3 13 5 2 4" xfId="34059" xr:uid="{00000000-0005-0000-0000-000011850000}"/>
    <cellStyle name="Normal 3 13 5 2 5" xfId="34060" xr:uid="{00000000-0005-0000-0000-000012850000}"/>
    <cellStyle name="Normal 3 13 5 3" xfId="34061" xr:uid="{00000000-0005-0000-0000-000013850000}"/>
    <cellStyle name="Normal 3 13 5 3 2" xfId="34062" xr:uid="{00000000-0005-0000-0000-000014850000}"/>
    <cellStyle name="Normal 3 13 5 3 2 2" xfId="34063" xr:uid="{00000000-0005-0000-0000-000015850000}"/>
    <cellStyle name="Normal 3 13 5 3 3" xfId="34064" xr:uid="{00000000-0005-0000-0000-000016850000}"/>
    <cellStyle name="Normal 3 13 5 3 3 2" xfId="34065" xr:uid="{00000000-0005-0000-0000-000017850000}"/>
    <cellStyle name="Normal 3 13 5 3 4" xfId="34066" xr:uid="{00000000-0005-0000-0000-000018850000}"/>
    <cellStyle name="Normal 3 13 5 3 5" xfId="34067" xr:uid="{00000000-0005-0000-0000-000019850000}"/>
    <cellStyle name="Normal 3 13 5 4" xfId="34068" xr:uid="{00000000-0005-0000-0000-00001A850000}"/>
    <cellStyle name="Normal 3 13 5 4 2" xfId="34069" xr:uid="{00000000-0005-0000-0000-00001B850000}"/>
    <cellStyle name="Normal 3 13 5 5" xfId="34070" xr:uid="{00000000-0005-0000-0000-00001C850000}"/>
    <cellStyle name="Normal 3 13 5 5 2" xfId="34071" xr:uid="{00000000-0005-0000-0000-00001D850000}"/>
    <cellStyle name="Normal 3 13 5 6" xfId="34072" xr:uid="{00000000-0005-0000-0000-00001E850000}"/>
    <cellStyle name="Normal 3 13 5 7" xfId="34073" xr:uid="{00000000-0005-0000-0000-00001F850000}"/>
    <cellStyle name="Normal 3 13 6" xfId="34074" xr:uid="{00000000-0005-0000-0000-000020850000}"/>
    <cellStyle name="Normal 3 13 6 2" xfId="34075" xr:uid="{00000000-0005-0000-0000-000021850000}"/>
    <cellStyle name="Normal 3 13 6 2 2" xfId="34076" xr:uid="{00000000-0005-0000-0000-000022850000}"/>
    <cellStyle name="Normal 3 13 6 2 2 2" xfId="34077" xr:uid="{00000000-0005-0000-0000-000023850000}"/>
    <cellStyle name="Normal 3 13 6 2 3" xfId="34078" xr:uid="{00000000-0005-0000-0000-000024850000}"/>
    <cellStyle name="Normal 3 13 6 2 4" xfId="34079" xr:uid="{00000000-0005-0000-0000-000025850000}"/>
    <cellStyle name="Normal 3 13 6 3" xfId="34080" xr:uid="{00000000-0005-0000-0000-000026850000}"/>
    <cellStyle name="Normal 3 13 6 3 2" xfId="34081" xr:uid="{00000000-0005-0000-0000-000027850000}"/>
    <cellStyle name="Normal 3 13 6 4" xfId="34082" xr:uid="{00000000-0005-0000-0000-000028850000}"/>
    <cellStyle name="Normal 3 13 6 5" xfId="34083" xr:uid="{00000000-0005-0000-0000-000029850000}"/>
    <cellStyle name="Normal 3 13 7" xfId="34084" xr:uid="{00000000-0005-0000-0000-00002A850000}"/>
    <cellStyle name="Normal 3 13 7 2" xfId="34085" xr:uid="{00000000-0005-0000-0000-00002B850000}"/>
    <cellStyle name="Normal 3 13 7 2 2" xfId="34086" xr:uid="{00000000-0005-0000-0000-00002C850000}"/>
    <cellStyle name="Normal 3 13 7 3" xfId="34087" xr:uid="{00000000-0005-0000-0000-00002D850000}"/>
    <cellStyle name="Normal 3 13 7 3 2" xfId="34088" xr:uid="{00000000-0005-0000-0000-00002E850000}"/>
    <cellStyle name="Normal 3 13 7 4" xfId="34089" xr:uid="{00000000-0005-0000-0000-00002F850000}"/>
    <cellStyle name="Normal 3 13 7 5" xfId="34090" xr:uid="{00000000-0005-0000-0000-000030850000}"/>
    <cellStyle name="Normal 3 13 8" xfId="34091" xr:uid="{00000000-0005-0000-0000-000031850000}"/>
    <cellStyle name="Normal 3 13 8 2" xfId="34092" xr:uid="{00000000-0005-0000-0000-000032850000}"/>
    <cellStyle name="Normal 3 13 9" xfId="34093" xr:uid="{00000000-0005-0000-0000-000033850000}"/>
    <cellStyle name="Normal 3 13 9 2" xfId="34094" xr:uid="{00000000-0005-0000-0000-000034850000}"/>
    <cellStyle name="Normal 3 14" xfId="34095" xr:uid="{00000000-0005-0000-0000-000035850000}"/>
    <cellStyle name="Normal 3 14 2" xfId="34096" xr:uid="{00000000-0005-0000-0000-000036850000}"/>
    <cellStyle name="Normal 3 14 2 2" xfId="34097" xr:uid="{00000000-0005-0000-0000-000037850000}"/>
    <cellStyle name="Normal 3 14 2 2 2" xfId="34098" xr:uid="{00000000-0005-0000-0000-000038850000}"/>
    <cellStyle name="Normal 3 14 2 2 2 2" xfId="34099" xr:uid="{00000000-0005-0000-0000-000039850000}"/>
    <cellStyle name="Normal 3 14 2 2 2 2 2" xfId="34100" xr:uid="{00000000-0005-0000-0000-00003A850000}"/>
    <cellStyle name="Normal 3 14 2 2 2 2 2 2" xfId="34101" xr:uid="{00000000-0005-0000-0000-00003B850000}"/>
    <cellStyle name="Normal 3 14 2 2 2 2 2 2 2" xfId="34102" xr:uid="{00000000-0005-0000-0000-00003C850000}"/>
    <cellStyle name="Normal 3 14 2 2 2 2 2 3" xfId="34103" xr:uid="{00000000-0005-0000-0000-00003D850000}"/>
    <cellStyle name="Normal 3 14 2 2 2 2 2 4" xfId="34104" xr:uid="{00000000-0005-0000-0000-00003E850000}"/>
    <cellStyle name="Normal 3 14 2 2 2 2 3" xfId="34105" xr:uid="{00000000-0005-0000-0000-00003F850000}"/>
    <cellStyle name="Normal 3 14 2 2 2 2 3 2" xfId="34106" xr:uid="{00000000-0005-0000-0000-000040850000}"/>
    <cellStyle name="Normal 3 14 2 2 2 2 4" xfId="34107" xr:uid="{00000000-0005-0000-0000-000041850000}"/>
    <cellStyle name="Normal 3 14 2 2 2 2 5" xfId="34108" xr:uid="{00000000-0005-0000-0000-000042850000}"/>
    <cellStyle name="Normal 3 14 2 2 2 3" xfId="34109" xr:uid="{00000000-0005-0000-0000-000043850000}"/>
    <cellStyle name="Normal 3 14 2 2 2 3 2" xfId="34110" xr:uid="{00000000-0005-0000-0000-000044850000}"/>
    <cellStyle name="Normal 3 14 2 2 2 3 2 2" xfId="34111" xr:uid="{00000000-0005-0000-0000-000045850000}"/>
    <cellStyle name="Normal 3 14 2 2 2 3 3" xfId="34112" xr:uid="{00000000-0005-0000-0000-000046850000}"/>
    <cellStyle name="Normal 3 14 2 2 2 3 4" xfId="34113" xr:uid="{00000000-0005-0000-0000-000047850000}"/>
    <cellStyle name="Normal 3 14 2 2 2 4" xfId="34114" xr:uid="{00000000-0005-0000-0000-000048850000}"/>
    <cellStyle name="Normal 3 14 2 2 2 4 2" xfId="34115" xr:uid="{00000000-0005-0000-0000-000049850000}"/>
    <cellStyle name="Normal 3 14 2 2 2 5" xfId="34116" xr:uid="{00000000-0005-0000-0000-00004A850000}"/>
    <cellStyle name="Normal 3 14 2 2 2 6" xfId="34117" xr:uid="{00000000-0005-0000-0000-00004B850000}"/>
    <cellStyle name="Normal 3 14 2 2 3" xfId="34118" xr:uid="{00000000-0005-0000-0000-00004C850000}"/>
    <cellStyle name="Normal 3 14 2 2 3 2" xfId="34119" xr:uid="{00000000-0005-0000-0000-00004D850000}"/>
    <cellStyle name="Normal 3 14 2 2 3 2 2" xfId="34120" xr:uid="{00000000-0005-0000-0000-00004E850000}"/>
    <cellStyle name="Normal 3 14 2 2 3 2 2 2" xfId="34121" xr:uid="{00000000-0005-0000-0000-00004F850000}"/>
    <cellStyle name="Normal 3 14 2 2 3 2 3" xfId="34122" xr:uid="{00000000-0005-0000-0000-000050850000}"/>
    <cellStyle name="Normal 3 14 2 2 3 2 4" xfId="34123" xr:uid="{00000000-0005-0000-0000-000051850000}"/>
    <cellStyle name="Normal 3 14 2 2 3 3" xfId="34124" xr:uid="{00000000-0005-0000-0000-000052850000}"/>
    <cellStyle name="Normal 3 14 2 2 3 3 2" xfId="34125" xr:uid="{00000000-0005-0000-0000-000053850000}"/>
    <cellStyle name="Normal 3 14 2 2 3 4" xfId="34126" xr:uid="{00000000-0005-0000-0000-000054850000}"/>
    <cellStyle name="Normal 3 14 2 2 3 5" xfId="34127" xr:uid="{00000000-0005-0000-0000-000055850000}"/>
    <cellStyle name="Normal 3 14 2 2 4" xfId="34128" xr:uid="{00000000-0005-0000-0000-000056850000}"/>
    <cellStyle name="Normal 3 14 2 2 4 2" xfId="34129" xr:uid="{00000000-0005-0000-0000-000057850000}"/>
    <cellStyle name="Normal 3 14 2 2 4 2 2" xfId="34130" xr:uid="{00000000-0005-0000-0000-000058850000}"/>
    <cellStyle name="Normal 3 14 2 2 4 3" xfId="34131" xr:uid="{00000000-0005-0000-0000-000059850000}"/>
    <cellStyle name="Normal 3 14 2 2 4 4" xfId="34132" xr:uid="{00000000-0005-0000-0000-00005A850000}"/>
    <cellStyle name="Normal 3 14 2 2 5" xfId="34133" xr:uid="{00000000-0005-0000-0000-00005B850000}"/>
    <cellStyle name="Normal 3 14 2 2 5 2" xfId="34134" xr:uid="{00000000-0005-0000-0000-00005C850000}"/>
    <cellStyle name="Normal 3 14 2 2 6" xfId="34135" xr:uid="{00000000-0005-0000-0000-00005D850000}"/>
    <cellStyle name="Normal 3 14 2 2 7" xfId="34136" xr:uid="{00000000-0005-0000-0000-00005E850000}"/>
    <cellStyle name="Normal 3 14 2 3" xfId="34137" xr:uid="{00000000-0005-0000-0000-00005F850000}"/>
    <cellStyle name="Normal 3 14 2 3 2" xfId="34138" xr:uid="{00000000-0005-0000-0000-000060850000}"/>
    <cellStyle name="Normal 3 14 2 3 2 2" xfId="34139" xr:uid="{00000000-0005-0000-0000-000061850000}"/>
    <cellStyle name="Normal 3 14 2 3 2 2 2" xfId="34140" xr:uid="{00000000-0005-0000-0000-000062850000}"/>
    <cellStyle name="Normal 3 14 2 3 2 2 2 2" xfId="34141" xr:uid="{00000000-0005-0000-0000-000063850000}"/>
    <cellStyle name="Normal 3 14 2 3 2 2 3" xfId="34142" xr:uid="{00000000-0005-0000-0000-000064850000}"/>
    <cellStyle name="Normal 3 14 2 3 2 2 4" xfId="34143" xr:uid="{00000000-0005-0000-0000-000065850000}"/>
    <cellStyle name="Normal 3 14 2 3 2 3" xfId="34144" xr:uid="{00000000-0005-0000-0000-000066850000}"/>
    <cellStyle name="Normal 3 14 2 3 2 3 2" xfId="34145" xr:uid="{00000000-0005-0000-0000-000067850000}"/>
    <cellStyle name="Normal 3 14 2 3 2 4" xfId="34146" xr:uid="{00000000-0005-0000-0000-000068850000}"/>
    <cellStyle name="Normal 3 14 2 3 2 5" xfId="34147" xr:uid="{00000000-0005-0000-0000-000069850000}"/>
    <cellStyle name="Normal 3 14 2 3 3" xfId="34148" xr:uid="{00000000-0005-0000-0000-00006A850000}"/>
    <cellStyle name="Normal 3 14 2 3 3 2" xfId="34149" xr:uid="{00000000-0005-0000-0000-00006B850000}"/>
    <cellStyle name="Normal 3 14 2 3 3 2 2" xfId="34150" xr:uid="{00000000-0005-0000-0000-00006C850000}"/>
    <cellStyle name="Normal 3 14 2 3 3 3" xfId="34151" xr:uid="{00000000-0005-0000-0000-00006D850000}"/>
    <cellStyle name="Normal 3 14 2 3 3 3 2" xfId="34152" xr:uid="{00000000-0005-0000-0000-00006E850000}"/>
    <cellStyle name="Normal 3 14 2 3 3 4" xfId="34153" xr:uid="{00000000-0005-0000-0000-00006F850000}"/>
    <cellStyle name="Normal 3 14 2 3 3 5" xfId="34154" xr:uid="{00000000-0005-0000-0000-000070850000}"/>
    <cellStyle name="Normal 3 14 2 3 4" xfId="34155" xr:uid="{00000000-0005-0000-0000-000071850000}"/>
    <cellStyle name="Normal 3 14 2 3 4 2" xfId="34156" xr:uid="{00000000-0005-0000-0000-000072850000}"/>
    <cellStyle name="Normal 3 14 2 3 5" xfId="34157" xr:uid="{00000000-0005-0000-0000-000073850000}"/>
    <cellStyle name="Normal 3 14 2 3 5 2" xfId="34158" xr:uid="{00000000-0005-0000-0000-000074850000}"/>
    <cellStyle name="Normal 3 14 2 3 6" xfId="34159" xr:uid="{00000000-0005-0000-0000-000075850000}"/>
    <cellStyle name="Normal 3 14 2 3 7" xfId="34160" xr:uid="{00000000-0005-0000-0000-000076850000}"/>
    <cellStyle name="Normal 3 14 2 4" xfId="34161" xr:uid="{00000000-0005-0000-0000-000077850000}"/>
    <cellStyle name="Normal 3 14 2 4 2" xfId="34162" xr:uid="{00000000-0005-0000-0000-000078850000}"/>
    <cellStyle name="Normal 3 14 2 4 2 2" xfId="34163" xr:uid="{00000000-0005-0000-0000-000079850000}"/>
    <cellStyle name="Normal 3 14 2 4 2 2 2" xfId="34164" xr:uid="{00000000-0005-0000-0000-00007A850000}"/>
    <cellStyle name="Normal 3 14 2 4 2 3" xfId="34165" xr:uid="{00000000-0005-0000-0000-00007B850000}"/>
    <cellStyle name="Normal 3 14 2 4 2 4" xfId="34166" xr:uid="{00000000-0005-0000-0000-00007C850000}"/>
    <cellStyle name="Normal 3 14 2 4 3" xfId="34167" xr:uid="{00000000-0005-0000-0000-00007D850000}"/>
    <cellStyle name="Normal 3 14 2 4 3 2" xfId="34168" xr:uid="{00000000-0005-0000-0000-00007E850000}"/>
    <cellStyle name="Normal 3 14 2 4 4" xfId="34169" xr:uid="{00000000-0005-0000-0000-00007F850000}"/>
    <cellStyle name="Normal 3 14 2 4 5" xfId="34170" xr:uid="{00000000-0005-0000-0000-000080850000}"/>
    <cellStyle name="Normal 3 14 2 5" xfId="34171" xr:uid="{00000000-0005-0000-0000-000081850000}"/>
    <cellStyle name="Normal 3 14 2 5 2" xfId="34172" xr:uid="{00000000-0005-0000-0000-000082850000}"/>
    <cellStyle name="Normal 3 14 2 5 2 2" xfId="34173" xr:uid="{00000000-0005-0000-0000-000083850000}"/>
    <cellStyle name="Normal 3 14 2 5 3" xfId="34174" xr:uid="{00000000-0005-0000-0000-000084850000}"/>
    <cellStyle name="Normal 3 14 2 5 3 2" xfId="34175" xr:uid="{00000000-0005-0000-0000-000085850000}"/>
    <cellStyle name="Normal 3 14 2 5 4" xfId="34176" xr:uid="{00000000-0005-0000-0000-000086850000}"/>
    <cellStyle name="Normal 3 14 2 5 5" xfId="34177" xr:uid="{00000000-0005-0000-0000-000087850000}"/>
    <cellStyle name="Normal 3 14 2 6" xfId="34178" xr:uid="{00000000-0005-0000-0000-000088850000}"/>
    <cellStyle name="Normal 3 14 2 6 2" xfId="34179" xr:uid="{00000000-0005-0000-0000-000089850000}"/>
    <cellStyle name="Normal 3 14 2 7" xfId="34180" xr:uid="{00000000-0005-0000-0000-00008A850000}"/>
    <cellStyle name="Normal 3 14 2 7 2" xfId="34181" xr:uid="{00000000-0005-0000-0000-00008B850000}"/>
    <cellStyle name="Normal 3 14 2 8" xfId="34182" xr:uid="{00000000-0005-0000-0000-00008C850000}"/>
    <cellStyle name="Normal 3 14 2 9" xfId="34183" xr:uid="{00000000-0005-0000-0000-00008D850000}"/>
    <cellStyle name="Normal 3 14 3" xfId="34184" xr:uid="{00000000-0005-0000-0000-00008E850000}"/>
    <cellStyle name="Normal 3 14 3 2" xfId="34185" xr:uid="{00000000-0005-0000-0000-00008F850000}"/>
    <cellStyle name="Normal 3 14 3 2 2" xfId="34186" xr:uid="{00000000-0005-0000-0000-000090850000}"/>
    <cellStyle name="Normal 3 14 3 2 2 2" xfId="34187" xr:uid="{00000000-0005-0000-0000-000091850000}"/>
    <cellStyle name="Normal 3 14 3 2 2 2 2" xfId="34188" xr:uid="{00000000-0005-0000-0000-000092850000}"/>
    <cellStyle name="Normal 3 14 3 2 2 2 2 2" xfId="34189" xr:uid="{00000000-0005-0000-0000-000093850000}"/>
    <cellStyle name="Normal 3 14 3 2 2 2 3" xfId="34190" xr:uid="{00000000-0005-0000-0000-000094850000}"/>
    <cellStyle name="Normal 3 14 3 2 2 2 4" xfId="34191" xr:uid="{00000000-0005-0000-0000-000095850000}"/>
    <cellStyle name="Normal 3 14 3 2 2 3" xfId="34192" xr:uid="{00000000-0005-0000-0000-000096850000}"/>
    <cellStyle name="Normal 3 14 3 2 2 3 2" xfId="34193" xr:uid="{00000000-0005-0000-0000-000097850000}"/>
    <cellStyle name="Normal 3 14 3 2 2 4" xfId="34194" xr:uid="{00000000-0005-0000-0000-000098850000}"/>
    <cellStyle name="Normal 3 14 3 2 2 5" xfId="34195" xr:uid="{00000000-0005-0000-0000-000099850000}"/>
    <cellStyle name="Normal 3 14 3 2 3" xfId="34196" xr:uid="{00000000-0005-0000-0000-00009A850000}"/>
    <cellStyle name="Normal 3 14 3 2 3 2" xfId="34197" xr:uid="{00000000-0005-0000-0000-00009B850000}"/>
    <cellStyle name="Normal 3 14 3 2 3 2 2" xfId="34198" xr:uid="{00000000-0005-0000-0000-00009C850000}"/>
    <cellStyle name="Normal 3 14 3 2 3 3" xfId="34199" xr:uid="{00000000-0005-0000-0000-00009D850000}"/>
    <cellStyle name="Normal 3 14 3 2 3 3 2" xfId="34200" xr:uid="{00000000-0005-0000-0000-00009E850000}"/>
    <cellStyle name="Normal 3 14 3 2 3 4" xfId="34201" xr:uid="{00000000-0005-0000-0000-00009F850000}"/>
    <cellStyle name="Normal 3 14 3 2 3 5" xfId="34202" xr:uid="{00000000-0005-0000-0000-0000A0850000}"/>
    <cellStyle name="Normal 3 14 3 2 4" xfId="34203" xr:uid="{00000000-0005-0000-0000-0000A1850000}"/>
    <cellStyle name="Normal 3 14 3 2 4 2" xfId="34204" xr:uid="{00000000-0005-0000-0000-0000A2850000}"/>
    <cellStyle name="Normal 3 14 3 2 5" xfId="34205" xr:uid="{00000000-0005-0000-0000-0000A3850000}"/>
    <cellStyle name="Normal 3 14 3 2 5 2" xfId="34206" xr:uid="{00000000-0005-0000-0000-0000A4850000}"/>
    <cellStyle name="Normal 3 14 3 2 6" xfId="34207" xr:uid="{00000000-0005-0000-0000-0000A5850000}"/>
    <cellStyle name="Normal 3 14 3 2 7" xfId="34208" xr:uid="{00000000-0005-0000-0000-0000A6850000}"/>
    <cellStyle name="Normal 3 14 3 3" xfId="34209" xr:uid="{00000000-0005-0000-0000-0000A7850000}"/>
    <cellStyle name="Normal 3 14 3 3 2" xfId="34210" xr:uid="{00000000-0005-0000-0000-0000A8850000}"/>
    <cellStyle name="Normal 3 14 3 3 2 2" xfId="34211" xr:uid="{00000000-0005-0000-0000-0000A9850000}"/>
    <cellStyle name="Normal 3 14 3 3 2 2 2" xfId="34212" xr:uid="{00000000-0005-0000-0000-0000AA850000}"/>
    <cellStyle name="Normal 3 14 3 3 2 3" xfId="34213" xr:uid="{00000000-0005-0000-0000-0000AB850000}"/>
    <cellStyle name="Normal 3 14 3 3 2 4" xfId="34214" xr:uid="{00000000-0005-0000-0000-0000AC850000}"/>
    <cellStyle name="Normal 3 14 3 3 3" xfId="34215" xr:uid="{00000000-0005-0000-0000-0000AD850000}"/>
    <cellStyle name="Normal 3 14 3 3 3 2" xfId="34216" xr:uid="{00000000-0005-0000-0000-0000AE850000}"/>
    <cellStyle name="Normal 3 14 3 3 4" xfId="34217" xr:uid="{00000000-0005-0000-0000-0000AF850000}"/>
    <cellStyle name="Normal 3 14 3 3 5" xfId="34218" xr:uid="{00000000-0005-0000-0000-0000B0850000}"/>
    <cellStyle name="Normal 3 14 3 4" xfId="34219" xr:uid="{00000000-0005-0000-0000-0000B1850000}"/>
    <cellStyle name="Normal 3 14 3 4 2" xfId="34220" xr:uid="{00000000-0005-0000-0000-0000B2850000}"/>
    <cellStyle name="Normal 3 14 3 4 2 2" xfId="34221" xr:uid="{00000000-0005-0000-0000-0000B3850000}"/>
    <cellStyle name="Normal 3 14 3 4 3" xfId="34222" xr:uid="{00000000-0005-0000-0000-0000B4850000}"/>
    <cellStyle name="Normal 3 14 3 4 3 2" xfId="34223" xr:uid="{00000000-0005-0000-0000-0000B5850000}"/>
    <cellStyle name="Normal 3 14 3 4 4" xfId="34224" xr:uid="{00000000-0005-0000-0000-0000B6850000}"/>
    <cellStyle name="Normal 3 14 3 4 5" xfId="34225" xr:uid="{00000000-0005-0000-0000-0000B7850000}"/>
    <cellStyle name="Normal 3 14 3 5" xfId="34226" xr:uid="{00000000-0005-0000-0000-0000B8850000}"/>
    <cellStyle name="Normal 3 14 3 5 2" xfId="34227" xr:uid="{00000000-0005-0000-0000-0000B9850000}"/>
    <cellStyle name="Normal 3 14 3 6" xfId="34228" xr:uid="{00000000-0005-0000-0000-0000BA850000}"/>
    <cellStyle name="Normal 3 14 3 6 2" xfId="34229" xr:uid="{00000000-0005-0000-0000-0000BB850000}"/>
    <cellStyle name="Normal 3 14 3 7" xfId="34230" xr:uid="{00000000-0005-0000-0000-0000BC850000}"/>
    <cellStyle name="Normal 3 14 3 8" xfId="34231" xr:uid="{00000000-0005-0000-0000-0000BD850000}"/>
    <cellStyle name="Normal 3 14 4" xfId="34232" xr:uid="{00000000-0005-0000-0000-0000BE850000}"/>
    <cellStyle name="Normal 3 14 4 2" xfId="34233" xr:uid="{00000000-0005-0000-0000-0000BF850000}"/>
    <cellStyle name="Normal 3 14 4 2 2" xfId="34234" xr:uid="{00000000-0005-0000-0000-0000C0850000}"/>
    <cellStyle name="Normal 3 14 4 2 2 2" xfId="34235" xr:uid="{00000000-0005-0000-0000-0000C1850000}"/>
    <cellStyle name="Normal 3 14 4 2 2 2 2" xfId="34236" xr:uid="{00000000-0005-0000-0000-0000C2850000}"/>
    <cellStyle name="Normal 3 14 4 2 2 3" xfId="34237" xr:uid="{00000000-0005-0000-0000-0000C3850000}"/>
    <cellStyle name="Normal 3 14 4 2 2 4" xfId="34238" xr:uid="{00000000-0005-0000-0000-0000C4850000}"/>
    <cellStyle name="Normal 3 14 4 2 3" xfId="34239" xr:uid="{00000000-0005-0000-0000-0000C5850000}"/>
    <cellStyle name="Normal 3 14 4 2 3 2" xfId="34240" xr:uid="{00000000-0005-0000-0000-0000C6850000}"/>
    <cellStyle name="Normal 3 14 4 2 4" xfId="34241" xr:uid="{00000000-0005-0000-0000-0000C7850000}"/>
    <cellStyle name="Normal 3 14 4 2 5" xfId="34242" xr:uid="{00000000-0005-0000-0000-0000C8850000}"/>
    <cellStyle name="Normal 3 14 4 3" xfId="34243" xr:uid="{00000000-0005-0000-0000-0000C9850000}"/>
    <cellStyle name="Normal 3 14 4 3 2" xfId="34244" xr:uid="{00000000-0005-0000-0000-0000CA850000}"/>
    <cellStyle name="Normal 3 14 4 3 2 2" xfId="34245" xr:uid="{00000000-0005-0000-0000-0000CB850000}"/>
    <cellStyle name="Normal 3 14 4 3 3" xfId="34246" xr:uid="{00000000-0005-0000-0000-0000CC850000}"/>
    <cellStyle name="Normal 3 14 4 3 3 2" xfId="34247" xr:uid="{00000000-0005-0000-0000-0000CD850000}"/>
    <cellStyle name="Normal 3 14 4 3 4" xfId="34248" xr:uid="{00000000-0005-0000-0000-0000CE850000}"/>
    <cellStyle name="Normal 3 14 4 3 5" xfId="34249" xr:uid="{00000000-0005-0000-0000-0000CF850000}"/>
    <cellStyle name="Normal 3 14 4 4" xfId="34250" xr:uid="{00000000-0005-0000-0000-0000D0850000}"/>
    <cellStyle name="Normal 3 14 4 4 2" xfId="34251" xr:uid="{00000000-0005-0000-0000-0000D1850000}"/>
    <cellStyle name="Normal 3 14 4 5" xfId="34252" xr:uid="{00000000-0005-0000-0000-0000D2850000}"/>
    <cellStyle name="Normal 3 14 4 5 2" xfId="34253" xr:uid="{00000000-0005-0000-0000-0000D3850000}"/>
    <cellStyle name="Normal 3 14 4 6" xfId="34254" xr:uid="{00000000-0005-0000-0000-0000D4850000}"/>
    <cellStyle name="Normal 3 14 4 7" xfId="34255" xr:uid="{00000000-0005-0000-0000-0000D5850000}"/>
    <cellStyle name="Normal 3 14 5" xfId="34256" xr:uid="{00000000-0005-0000-0000-0000D6850000}"/>
    <cellStyle name="Normal 3 14 5 2" xfId="34257" xr:uid="{00000000-0005-0000-0000-0000D7850000}"/>
    <cellStyle name="Normal 3 14 5 2 2" xfId="34258" xr:uid="{00000000-0005-0000-0000-0000D8850000}"/>
    <cellStyle name="Normal 3 14 5 2 2 2" xfId="34259" xr:uid="{00000000-0005-0000-0000-0000D9850000}"/>
    <cellStyle name="Normal 3 14 5 2 3" xfId="34260" xr:uid="{00000000-0005-0000-0000-0000DA850000}"/>
    <cellStyle name="Normal 3 14 5 2 4" xfId="34261" xr:uid="{00000000-0005-0000-0000-0000DB850000}"/>
    <cellStyle name="Normal 3 14 5 3" xfId="34262" xr:uid="{00000000-0005-0000-0000-0000DC850000}"/>
    <cellStyle name="Normal 3 14 5 3 2" xfId="34263" xr:uid="{00000000-0005-0000-0000-0000DD850000}"/>
    <cellStyle name="Normal 3 14 5 4" xfId="34264" xr:uid="{00000000-0005-0000-0000-0000DE850000}"/>
    <cellStyle name="Normal 3 14 5 5" xfId="34265" xr:uid="{00000000-0005-0000-0000-0000DF850000}"/>
    <cellStyle name="Normal 3 14 6" xfId="34266" xr:uid="{00000000-0005-0000-0000-0000E0850000}"/>
    <cellStyle name="Normal 3 14 6 2" xfId="34267" xr:uid="{00000000-0005-0000-0000-0000E1850000}"/>
    <cellStyle name="Normal 3 14 6 3" xfId="34268" xr:uid="{00000000-0005-0000-0000-0000E2850000}"/>
    <cellStyle name="Normal 3 14 7" xfId="34269" xr:uid="{00000000-0005-0000-0000-0000E3850000}"/>
    <cellStyle name="Normal 3 14 7 2" xfId="34270" xr:uid="{00000000-0005-0000-0000-0000E4850000}"/>
    <cellStyle name="Normal 3 14 8" xfId="34271" xr:uid="{00000000-0005-0000-0000-0000E5850000}"/>
    <cellStyle name="Normal 3 15" xfId="34272" xr:uid="{00000000-0005-0000-0000-0000E6850000}"/>
    <cellStyle name="Normal 3 15 2" xfId="34273" xr:uid="{00000000-0005-0000-0000-0000E7850000}"/>
    <cellStyle name="Normal 3 15 2 2" xfId="34274" xr:uid="{00000000-0005-0000-0000-0000E8850000}"/>
    <cellStyle name="Normal 3 15 2 2 2" xfId="34275" xr:uid="{00000000-0005-0000-0000-0000E9850000}"/>
    <cellStyle name="Normal 3 15 2 2 2 2" xfId="34276" xr:uid="{00000000-0005-0000-0000-0000EA850000}"/>
    <cellStyle name="Normal 3 15 2 2 2 2 2" xfId="34277" xr:uid="{00000000-0005-0000-0000-0000EB850000}"/>
    <cellStyle name="Normal 3 15 2 2 2 2 2 2" xfId="34278" xr:uid="{00000000-0005-0000-0000-0000EC850000}"/>
    <cellStyle name="Normal 3 15 2 2 2 2 3" xfId="34279" xr:uid="{00000000-0005-0000-0000-0000ED850000}"/>
    <cellStyle name="Normal 3 15 2 2 2 2 4" xfId="34280" xr:uid="{00000000-0005-0000-0000-0000EE850000}"/>
    <cellStyle name="Normal 3 15 2 2 2 3" xfId="34281" xr:uid="{00000000-0005-0000-0000-0000EF850000}"/>
    <cellStyle name="Normal 3 15 2 2 2 3 2" xfId="34282" xr:uid="{00000000-0005-0000-0000-0000F0850000}"/>
    <cellStyle name="Normal 3 15 2 2 2 4" xfId="34283" xr:uid="{00000000-0005-0000-0000-0000F1850000}"/>
    <cellStyle name="Normal 3 15 2 2 2 5" xfId="34284" xr:uid="{00000000-0005-0000-0000-0000F2850000}"/>
    <cellStyle name="Normal 3 15 2 2 3" xfId="34285" xr:uid="{00000000-0005-0000-0000-0000F3850000}"/>
    <cellStyle name="Normal 3 15 2 2 3 2" xfId="34286" xr:uid="{00000000-0005-0000-0000-0000F4850000}"/>
    <cellStyle name="Normal 3 15 2 2 3 2 2" xfId="34287" xr:uid="{00000000-0005-0000-0000-0000F5850000}"/>
    <cellStyle name="Normal 3 15 2 2 3 3" xfId="34288" xr:uid="{00000000-0005-0000-0000-0000F6850000}"/>
    <cellStyle name="Normal 3 15 2 2 3 4" xfId="34289" xr:uid="{00000000-0005-0000-0000-0000F7850000}"/>
    <cellStyle name="Normal 3 15 2 2 4" xfId="34290" xr:uid="{00000000-0005-0000-0000-0000F8850000}"/>
    <cellStyle name="Normal 3 15 2 2 4 2" xfId="34291" xr:uid="{00000000-0005-0000-0000-0000F9850000}"/>
    <cellStyle name="Normal 3 15 2 2 5" xfId="34292" xr:uid="{00000000-0005-0000-0000-0000FA850000}"/>
    <cellStyle name="Normal 3 15 2 2 6" xfId="34293" xr:uid="{00000000-0005-0000-0000-0000FB850000}"/>
    <cellStyle name="Normal 3 15 2 3" xfId="34294" xr:uid="{00000000-0005-0000-0000-0000FC850000}"/>
    <cellStyle name="Normal 3 15 2 3 2" xfId="34295" xr:uid="{00000000-0005-0000-0000-0000FD850000}"/>
    <cellStyle name="Normal 3 15 2 3 2 2" xfId="34296" xr:uid="{00000000-0005-0000-0000-0000FE850000}"/>
    <cellStyle name="Normal 3 15 2 3 2 2 2" xfId="34297" xr:uid="{00000000-0005-0000-0000-0000FF850000}"/>
    <cellStyle name="Normal 3 15 2 3 2 3" xfId="34298" xr:uid="{00000000-0005-0000-0000-000000860000}"/>
    <cellStyle name="Normal 3 15 2 3 2 4" xfId="34299" xr:uid="{00000000-0005-0000-0000-000001860000}"/>
    <cellStyle name="Normal 3 15 2 3 3" xfId="34300" xr:uid="{00000000-0005-0000-0000-000002860000}"/>
    <cellStyle name="Normal 3 15 2 3 3 2" xfId="34301" xr:uid="{00000000-0005-0000-0000-000003860000}"/>
    <cellStyle name="Normal 3 15 2 3 4" xfId="34302" xr:uid="{00000000-0005-0000-0000-000004860000}"/>
    <cellStyle name="Normal 3 15 2 3 5" xfId="34303" xr:uid="{00000000-0005-0000-0000-000005860000}"/>
    <cellStyle name="Normal 3 15 2 4" xfId="34304" xr:uid="{00000000-0005-0000-0000-000006860000}"/>
    <cellStyle name="Normal 3 15 2 4 2" xfId="34305" xr:uid="{00000000-0005-0000-0000-000007860000}"/>
    <cellStyle name="Normal 3 15 2 4 2 2" xfId="34306" xr:uid="{00000000-0005-0000-0000-000008860000}"/>
    <cellStyle name="Normal 3 15 2 4 3" xfId="34307" xr:uid="{00000000-0005-0000-0000-000009860000}"/>
    <cellStyle name="Normal 3 15 2 4 4" xfId="34308" xr:uid="{00000000-0005-0000-0000-00000A860000}"/>
    <cellStyle name="Normal 3 15 2 5" xfId="34309" xr:uid="{00000000-0005-0000-0000-00000B860000}"/>
    <cellStyle name="Normal 3 15 2 5 2" xfId="34310" xr:uid="{00000000-0005-0000-0000-00000C860000}"/>
    <cellStyle name="Normal 3 15 2 6" xfId="34311" xr:uid="{00000000-0005-0000-0000-00000D860000}"/>
    <cellStyle name="Normal 3 15 2 7" xfId="34312" xr:uid="{00000000-0005-0000-0000-00000E860000}"/>
    <cellStyle name="Normal 3 15 3" xfId="34313" xr:uid="{00000000-0005-0000-0000-00000F860000}"/>
    <cellStyle name="Normal 3 15 3 2" xfId="34314" xr:uid="{00000000-0005-0000-0000-000010860000}"/>
    <cellStyle name="Normal 3 15 3 2 2" xfId="34315" xr:uid="{00000000-0005-0000-0000-000011860000}"/>
    <cellStyle name="Normal 3 15 3 2 2 2" xfId="34316" xr:uid="{00000000-0005-0000-0000-000012860000}"/>
    <cellStyle name="Normal 3 15 3 2 2 2 2" xfId="34317" xr:uid="{00000000-0005-0000-0000-000013860000}"/>
    <cellStyle name="Normal 3 15 3 2 2 3" xfId="34318" xr:uid="{00000000-0005-0000-0000-000014860000}"/>
    <cellStyle name="Normal 3 15 3 2 2 4" xfId="34319" xr:uid="{00000000-0005-0000-0000-000015860000}"/>
    <cellStyle name="Normal 3 15 3 2 3" xfId="34320" xr:uid="{00000000-0005-0000-0000-000016860000}"/>
    <cellStyle name="Normal 3 15 3 2 3 2" xfId="34321" xr:uid="{00000000-0005-0000-0000-000017860000}"/>
    <cellStyle name="Normal 3 15 3 2 4" xfId="34322" xr:uid="{00000000-0005-0000-0000-000018860000}"/>
    <cellStyle name="Normal 3 15 3 2 5" xfId="34323" xr:uid="{00000000-0005-0000-0000-000019860000}"/>
    <cellStyle name="Normal 3 15 3 3" xfId="34324" xr:uid="{00000000-0005-0000-0000-00001A860000}"/>
    <cellStyle name="Normal 3 15 3 3 2" xfId="34325" xr:uid="{00000000-0005-0000-0000-00001B860000}"/>
    <cellStyle name="Normal 3 15 3 3 2 2" xfId="34326" xr:uid="{00000000-0005-0000-0000-00001C860000}"/>
    <cellStyle name="Normal 3 15 3 3 3" xfId="34327" xr:uid="{00000000-0005-0000-0000-00001D860000}"/>
    <cellStyle name="Normal 3 15 3 3 3 2" xfId="34328" xr:uid="{00000000-0005-0000-0000-00001E860000}"/>
    <cellStyle name="Normal 3 15 3 3 4" xfId="34329" xr:uid="{00000000-0005-0000-0000-00001F860000}"/>
    <cellStyle name="Normal 3 15 3 3 5" xfId="34330" xr:uid="{00000000-0005-0000-0000-000020860000}"/>
    <cellStyle name="Normal 3 15 3 4" xfId="34331" xr:uid="{00000000-0005-0000-0000-000021860000}"/>
    <cellStyle name="Normal 3 15 3 4 2" xfId="34332" xr:uid="{00000000-0005-0000-0000-000022860000}"/>
    <cellStyle name="Normal 3 15 3 5" xfId="34333" xr:uid="{00000000-0005-0000-0000-000023860000}"/>
    <cellStyle name="Normal 3 15 3 5 2" xfId="34334" xr:uid="{00000000-0005-0000-0000-000024860000}"/>
    <cellStyle name="Normal 3 15 3 6" xfId="34335" xr:uid="{00000000-0005-0000-0000-000025860000}"/>
    <cellStyle name="Normal 3 15 3 7" xfId="34336" xr:uid="{00000000-0005-0000-0000-000026860000}"/>
    <cellStyle name="Normal 3 15 4" xfId="34337" xr:uid="{00000000-0005-0000-0000-000027860000}"/>
    <cellStyle name="Normal 3 15 4 2" xfId="34338" xr:uid="{00000000-0005-0000-0000-000028860000}"/>
    <cellStyle name="Normal 3 15 4 2 2" xfId="34339" xr:uid="{00000000-0005-0000-0000-000029860000}"/>
    <cellStyle name="Normal 3 15 4 2 2 2" xfId="34340" xr:uid="{00000000-0005-0000-0000-00002A860000}"/>
    <cellStyle name="Normal 3 15 4 2 3" xfId="34341" xr:uid="{00000000-0005-0000-0000-00002B860000}"/>
    <cellStyle name="Normal 3 15 4 2 4" xfId="34342" xr:uid="{00000000-0005-0000-0000-00002C860000}"/>
    <cellStyle name="Normal 3 15 4 3" xfId="34343" xr:uid="{00000000-0005-0000-0000-00002D860000}"/>
    <cellStyle name="Normal 3 15 4 3 2" xfId="34344" xr:uid="{00000000-0005-0000-0000-00002E860000}"/>
    <cellStyle name="Normal 3 15 4 4" xfId="34345" xr:uid="{00000000-0005-0000-0000-00002F860000}"/>
    <cellStyle name="Normal 3 15 4 5" xfId="34346" xr:uid="{00000000-0005-0000-0000-000030860000}"/>
    <cellStyle name="Normal 3 15 5" xfId="34347" xr:uid="{00000000-0005-0000-0000-000031860000}"/>
    <cellStyle name="Normal 3 15 5 2" xfId="34348" xr:uid="{00000000-0005-0000-0000-000032860000}"/>
    <cellStyle name="Normal 3 15 5 2 2" xfId="34349" xr:uid="{00000000-0005-0000-0000-000033860000}"/>
    <cellStyle name="Normal 3 15 5 3" xfId="34350" xr:uid="{00000000-0005-0000-0000-000034860000}"/>
    <cellStyle name="Normal 3 15 5 3 2" xfId="34351" xr:uid="{00000000-0005-0000-0000-000035860000}"/>
    <cellStyle name="Normal 3 15 5 4" xfId="34352" xr:uid="{00000000-0005-0000-0000-000036860000}"/>
    <cellStyle name="Normal 3 15 5 5" xfId="34353" xr:uid="{00000000-0005-0000-0000-000037860000}"/>
    <cellStyle name="Normal 3 15 6" xfId="34354" xr:uid="{00000000-0005-0000-0000-000038860000}"/>
    <cellStyle name="Normal 3 15 6 2" xfId="34355" xr:uid="{00000000-0005-0000-0000-000039860000}"/>
    <cellStyle name="Normal 3 15 7" xfId="34356" xr:uid="{00000000-0005-0000-0000-00003A860000}"/>
    <cellStyle name="Normal 3 15 7 2" xfId="34357" xr:uid="{00000000-0005-0000-0000-00003B860000}"/>
    <cellStyle name="Normal 3 15 8" xfId="34358" xr:uid="{00000000-0005-0000-0000-00003C860000}"/>
    <cellStyle name="Normal 3 15 9" xfId="34359" xr:uid="{00000000-0005-0000-0000-00003D860000}"/>
    <cellStyle name="Normal 3 16" xfId="34360" xr:uid="{00000000-0005-0000-0000-00003E860000}"/>
    <cellStyle name="Normal 3 16 2" xfId="34361" xr:uid="{00000000-0005-0000-0000-00003F860000}"/>
    <cellStyle name="Normal 3 16 2 2" xfId="34362" xr:uid="{00000000-0005-0000-0000-000040860000}"/>
    <cellStyle name="Normal 3 16 2 3" xfId="34363" xr:uid="{00000000-0005-0000-0000-000041860000}"/>
    <cellStyle name="Normal 3 16 3" xfId="34364" xr:uid="{00000000-0005-0000-0000-000042860000}"/>
    <cellStyle name="Normal 3 16 3 2" xfId="34365" xr:uid="{00000000-0005-0000-0000-000043860000}"/>
    <cellStyle name="Normal 3 16 4" xfId="34366" xr:uid="{00000000-0005-0000-0000-000044860000}"/>
    <cellStyle name="Normal 3 16 5" xfId="34367" xr:uid="{00000000-0005-0000-0000-000045860000}"/>
    <cellStyle name="Normal 3 17" xfId="34368" xr:uid="{00000000-0005-0000-0000-000046860000}"/>
    <cellStyle name="Normal 3 17 2" xfId="34369" xr:uid="{00000000-0005-0000-0000-000047860000}"/>
    <cellStyle name="Normal 3 18" xfId="34370" xr:uid="{00000000-0005-0000-0000-000048860000}"/>
    <cellStyle name="Normal 3 18 2" xfId="34371" xr:uid="{00000000-0005-0000-0000-000049860000}"/>
    <cellStyle name="Normal 3 19" xfId="34372" xr:uid="{00000000-0005-0000-0000-00004A860000}"/>
    <cellStyle name="Normal 3 19 2" xfId="34373" xr:uid="{00000000-0005-0000-0000-00004B860000}"/>
    <cellStyle name="Normal 3 2" xfId="34374" xr:uid="{00000000-0005-0000-0000-00004C860000}"/>
    <cellStyle name="Normal 3 2 2" xfId="34375" xr:uid="{00000000-0005-0000-0000-00004D860000}"/>
    <cellStyle name="Normal 3 2 2 2" xfId="34376" xr:uid="{00000000-0005-0000-0000-00004E860000}"/>
    <cellStyle name="Normal 3 2 2 2 2" xfId="34377" xr:uid="{00000000-0005-0000-0000-00004F860000}"/>
    <cellStyle name="Normal 3 2 2 3" xfId="34378" xr:uid="{00000000-0005-0000-0000-000050860000}"/>
    <cellStyle name="Normal 3 2 3" xfId="34379" xr:uid="{00000000-0005-0000-0000-000051860000}"/>
    <cellStyle name="Normal 3 2 3 2" xfId="34380" xr:uid="{00000000-0005-0000-0000-000052860000}"/>
    <cellStyle name="Normal 3 2 4" xfId="34381" xr:uid="{00000000-0005-0000-0000-000053860000}"/>
    <cellStyle name="Normal 3 20" xfId="34382" xr:uid="{00000000-0005-0000-0000-000054860000}"/>
    <cellStyle name="Normal 3 20 2" xfId="34383" xr:uid="{00000000-0005-0000-0000-000055860000}"/>
    <cellStyle name="Normal 3 21" xfId="34384" xr:uid="{00000000-0005-0000-0000-000056860000}"/>
    <cellStyle name="Normal 3 21 2" xfId="34385" xr:uid="{00000000-0005-0000-0000-000057860000}"/>
    <cellStyle name="Normal 3 22" xfId="34386" xr:uid="{00000000-0005-0000-0000-000058860000}"/>
    <cellStyle name="Normal 3 22 2" xfId="34387" xr:uid="{00000000-0005-0000-0000-000059860000}"/>
    <cellStyle name="Normal 3 23" xfId="34388" xr:uid="{00000000-0005-0000-0000-00005A860000}"/>
    <cellStyle name="Normal 3 23 2" xfId="34389" xr:uid="{00000000-0005-0000-0000-00005B860000}"/>
    <cellStyle name="Normal 3 24" xfId="34390" xr:uid="{00000000-0005-0000-0000-00005C860000}"/>
    <cellStyle name="Normal 3 24 2" xfId="34391" xr:uid="{00000000-0005-0000-0000-00005D860000}"/>
    <cellStyle name="Normal 3 25" xfId="34392" xr:uid="{00000000-0005-0000-0000-00005E860000}"/>
    <cellStyle name="Normal 3 25 2" xfId="34393" xr:uid="{00000000-0005-0000-0000-00005F860000}"/>
    <cellStyle name="Normal 3 26" xfId="34394" xr:uid="{00000000-0005-0000-0000-000060860000}"/>
    <cellStyle name="Normal 3 26 2" xfId="34395" xr:uid="{00000000-0005-0000-0000-000061860000}"/>
    <cellStyle name="Normal 3 27" xfId="34396" xr:uid="{00000000-0005-0000-0000-000062860000}"/>
    <cellStyle name="Normal 3 27 2" xfId="34397" xr:uid="{00000000-0005-0000-0000-000063860000}"/>
    <cellStyle name="Normal 3 28" xfId="34398" xr:uid="{00000000-0005-0000-0000-000064860000}"/>
    <cellStyle name="Normal 3 28 2" xfId="34399" xr:uid="{00000000-0005-0000-0000-000065860000}"/>
    <cellStyle name="Normal 3 29" xfId="34400" xr:uid="{00000000-0005-0000-0000-000066860000}"/>
    <cellStyle name="Normal 3 29 2" xfId="34401" xr:uid="{00000000-0005-0000-0000-000067860000}"/>
    <cellStyle name="Normal 3 3" xfId="34402" xr:uid="{00000000-0005-0000-0000-000068860000}"/>
    <cellStyle name="Normal 3 3 10" xfId="34403" xr:uid="{00000000-0005-0000-0000-000069860000}"/>
    <cellStyle name="Normal 3 3 10 2" xfId="34404" xr:uid="{00000000-0005-0000-0000-00006A860000}"/>
    <cellStyle name="Normal 3 3 10 2 2" xfId="34405" xr:uid="{00000000-0005-0000-0000-00006B860000}"/>
    <cellStyle name="Normal 3 3 10 3" xfId="34406" xr:uid="{00000000-0005-0000-0000-00006C860000}"/>
    <cellStyle name="Normal 3 3 11" xfId="34407" xr:uid="{00000000-0005-0000-0000-00006D860000}"/>
    <cellStyle name="Normal 3 3 11 2" xfId="34408" xr:uid="{00000000-0005-0000-0000-00006E860000}"/>
    <cellStyle name="Normal 3 3 12" xfId="34409" xr:uid="{00000000-0005-0000-0000-00006F860000}"/>
    <cellStyle name="Normal 3 3 12 2" xfId="34410" xr:uid="{00000000-0005-0000-0000-000070860000}"/>
    <cellStyle name="Normal 3 3 13" xfId="34411" xr:uid="{00000000-0005-0000-0000-000071860000}"/>
    <cellStyle name="Normal 3 3 14" xfId="34412" xr:uid="{00000000-0005-0000-0000-000072860000}"/>
    <cellStyle name="Normal 3 3 15" xfId="34413" xr:uid="{00000000-0005-0000-0000-000073860000}"/>
    <cellStyle name="Normal 3 3 2" xfId="34414" xr:uid="{00000000-0005-0000-0000-000074860000}"/>
    <cellStyle name="Normal 3 3 2 10" xfId="34415" xr:uid="{00000000-0005-0000-0000-000075860000}"/>
    <cellStyle name="Normal 3 3 2 10 2" xfId="34416" xr:uid="{00000000-0005-0000-0000-000076860000}"/>
    <cellStyle name="Normal 3 3 2 11" xfId="34417" xr:uid="{00000000-0005-0000-0000-000077860000}"/>
    <cellStyle name="Normal 3 3 2 12" xfId="34418" xr:uid="{00000000-0005-0000-0000-000078860000}"/>
    <cellStyle name="Normal 3 3 2 13" xfId="34419" xr:uid="{00000000-0005-0000-0000-000079860000}"/>
    <cellStyle name="Normal 3 3 2 2" xfId="34420" xr:uid="{00000000-0005-0000-0000-00007A860000}"/>
    <cellStyle name="Normal 3 3 2 2 10" xfId="34421" xr:uid="{00000000-0005-0000-0000-00007B860000}"/>
    <cellStyle name="Normal 3 3 2 2 11" xfId="34422" xr:uid="{00000000-0005-0000-0000-00007C860000}"/>
    <cellStyle name="Normal 3 3 2 2 2" xfId="34423" xr:uid="{00000000-0005-0000-0000-00007D860000}"/>
    <cellStyle name="Normal 3 3 2 2 2 10" xfId="34424" xr:uid="{00000000-0005-0000-0000-00007E860000}"/>
    <cellStyle name="Normal 3 3 2 2 2 2" xfId="34425" xr:uid="{00000000-0005-0000-0000-00007F860000}"/>
    <cellStyle name="Normal 3 3 2 2 2 2 2" xfId="34426" xr:uid="{00000000-0005-0000-0000-000080860000}"/>
    <cellStyle name="Normal 3 3 2 2 2 2 2 2" xfId="34427" xr:uid="{00000000-0005-0000-0000-000081860000}"/>
    <cellStyle name="Normal 3 3 2 2 2 2 2 2 2" xfId="34428" xr:uid="{00000000-0005-0000-0000-000082860000}"/>
    <cellStyle name="Normal 3 3 2 2 2 2 2 2 2 2" xfId="34429" xr:uid="{00000000-0005-0000-0000-000083860000}"/>
    <cellStyle name="Normal 3 3 2 2 2 2 2 2 2 2 2" xfId="34430" xr:uid="{00000000-0005-0000-0000-000084860000}"/>
    <cellStyle name="Normal 3 3 2 2 2 2 2 2 2 2 2 2" xfId="34431" xr:uid="{00000000-0005-0000-0000-000085860000}"/>
    <cellStyle name="Normal 3 3 2 2 2 2 2 2 2 2 3" xfId="34432" xr:uid="{00000000-0005-0000-0000-000086860000}"/>
    <cellStyle name="Normal 3 3 2 2 2 2 2 2 2 2 4" xfId="34433" xr:uid="{00000000-0005-0000-0000-000087860000}"/>
    <cellStyle name="Normal 3 3 2 2 2 2 2 2 2 3" xfId="34434" xr:uid="{00000000-0005-0000-0000-000088860000}"/>
    <cellStyle name="Normal 3 3 2 2 2 2 2 2 2 3 2" xfId="34435" xr:uid="{00000000-0005-0000-0000-000089860000}"/>
    <cellStyle name="Normal 3 3 2 2 2 2 2 2 2 4" xfId="34436" xr:uid="{00000000-0005-0000-0000-00008A860000}"/>
    <cellStyle name="Normal 3 3 2 2 2 2 2 2 2 5" xfId="34437" xr:uid="{00000000-0005-0000-0000-00008B860000}"/>
    <cellStyle name="Normal 3 3 2 2 2 2 2 2 3" xfId="34438" xr:uid="{00000000-0005-0000-0000-00008C860000}"/>
    <cellStyle name="Normal 3 3 2 2 2 2 2 2 3 2" xfId="34439" xr:uid="{00000000-0005-0000-0000-00008D860000}"/>
    <cellStyle name="Normal 3 3 2 2 2 2 2 2 3 2 2" xfId="34440" xr:uid="{00000000-0005-0000-0000-00008E860000}"/>
    <cellStyle name="Normal 3 3 2 2 2 2 2 2 3 3" xfId="34441" xr:uid="{00000000-0005-0000-0000-00008F860000}"/>
    <cellStyle name="Normal 3 3 2 2 2 2 2 2 3 4" xfId="34442" xr:uid="{00000000-0005-0000-0000-000090860000}"/>
    <cellStyle name="Normal 3 3 2 2 2 2 2 2 4" xfId="34443" xr:uid="{00000000-0005-0000-0000-000091860000}"/>
    <cellStyle name="Normal 3 3 2 2 2 2 2 2 4 2" xfId="34444" xr:uid="{00000000-0005-0000-0000-000092860000}"/>
    <cellStyle name="Normal 3 3 2 2 2 2 2 2 5" xfId="34445" xr:uid="{00000000-0005-0000-0000-000093860000}"/>
    <cellStyle name="Normal 3 3 2 2 2 2 2 2 6" xfId="34446" xr:uid="{00000000-0005-0000-0000-000094860000}"/>
    <cellStyle name="Normal 3 3 2 2 2 2 2 3" xfId="34447" xr:uid="{00000000-0005-0000-0000-000095860000}"/>
    <cellStyle name="Normal 3 3 2 2 2 2 2 3 2" xfId="34448" xr:uid="{00000000-0005-0000-0000-000096860000}"/>
    <cellStyle name="Normal 3 3 2 2 2 2 2 3 2 2" xfId="34449" xr:uid="{00000000-0005-0000-0000-000097860000}"/>
    <cellStyle name="Normal 3 3 2 2 2 2 2 3 2 2 2" xfId="34450" xr:uid="{00000000-0005-0000-0000-000098860000}"/>
    <cellStyle name="Normal 3 3 2 2 2 2 2 3 2 3" xfId="34451" xr:uid="{00000000-0005-0000-0000-000099860000}"/>
    <cellStyle name="Normal 3 3 2 2 2 2 2 3 2 4" xfId="34452" xr:uid="{00000000-0005-0000-0000-00009A860000}"/>
    <cellStyle name="Normal 3 3 2 2 2 2 2 3 3" xfId="34453" xr:uid="{00000000-0005-0000-0000-00009B860000}"/>
    <cellStyle name="Normal 3 3 2 2 2 2 2 3 3 2" xfId="34454" xr:uid="{00000000-0005-0000-0000-00009C860000}"/>
    <cellStyle name="Normal 3 3 2 2 2 2 2 3 4" xfId="34455" xr:uid="{00000000-0005-0000-0000-00009D860000}"/>
    <cellStyle name="Normal 3 3 2 2 2 2 2 3 5" xfId="34456" xr:uid="{00000000-0005-0000-0000-00009E860000}"/>
    <cellStyle name="Normal 3 3 2 2 2 2 2 4" xfId="34457" xr:uid="{00000000-0005-0000-0000-00009F860000}"/>
    <cellStyle name="Normal 3 3 2 2 2 2 2 4 2" xfId="34458" xr:uid="{00000000-0005-0000-0000-0000A0860000}"/>
    <cellStyle name="Normal 3 3 2 2 2 2 2 4 2 2" xfId="34459" xr:uid="{00000000-0005-0000-0000-0000A1860000}"/>
    <cellStyle name="Normal 3 3 2 2 2 2 2 4 3" xfId="34460" xr:uid="{00000000-0005-0000-0000-0000A2860000}"/>
    <cellStyle name="Normal 3 3 2 2 2 2 2 4 4" xfId="34461" xr:uid="{00000000-0005-0000-0000-0000A3860000}"/>
    <cellStyle name="Normal 3 3 2 2 2 2 2 5" xfId="34462" xr:uid="{00000000-0005-0000-0000-0000A4860000}"/>
    <cellStyle name="Normal 3 3 2 2 2 2 2 5 2" xfId="34463" xr:uid="{00000000-0005-0000-0000-0000A5860000}"/>
    <cellStyle name="Normal 3 3 2 2 2 2 2 6" xfId="34464" xr:uid="{00000000-0005-0000-0000-0000A6860000}"/>
    <cellStyle name="Normal 3 3 2 2 2 2 2 7" xfId="34465" xr:uid="{00000000-0005-0000-0000-0000A7860000}"/>
    <cellStyle name="Normal 3 3 2 2 2 2 3" xfId="34466" xr:uid="{00000000-0005-0000-0000-0000A8860000}"/>
    <cellStyle name="Normal 3 3 2 2 2 2 3 2" xfId="34467" xr:uid="{00000000-0005-0000-0000-0000A9860000}"/>
    <cellStyle name="Normal 3 3 2 2 2 2 3 2 2" xfId="34468" xr:uid="{00000000-0005-0000-0000-0000AA860000}"/>
    <cellStyle name="Normal 3 3 2 2 2 2 3 2 2 2" xfId="34469" xr:uid="{00000000-0005-0000-0000-0000AB860000}"/>
    <cellStyle name="Normal 3 3 2 2 2 2 3 2 2 2 2" xfId="34470" xr:uid="{00000000-0005-0000-0000-0000AC860000}"/>
    <cellStyle name="Normal 3 3 2 2 2 2 3 2 2 3" xfId="34471" xr:uid="{00000000-0005-0000-0000-0000AD860000}"/>
    <cellStyle name="Normal 3 3 2 2 2 2 3 2 2 4" xfId="34472" xr:uid="{00000000-0005-0000-0000-0000AE860000}"/>
    <cellStyle name="Normal 3 3 2 2 2 2 3 2 3" xfId="34473" xr:uid="{00000000-0005-0000-0000-0000AF860000}"/>
    <cellStyle name="Normal 3 3 2 2 2 2 3 2 3 2" xfId="34474" xr:uid="{00000000-0005-0000-0000-0000B0860000}"/>
    <cellStyle name="Normal 3 3 2 2 2 2 3 2 4" xfId="34475" xr:uid="{00000000-0005-0000-0000-0000B1860000}"/>
    <cellStyle name="Normal 3 3 2 2 2 2 3 2 5" xfId="34476" xr:uid="{00000000-0005-0000-0000-0000B2860000}"/>
    <cellStyle name="Normal 3 3 2 2 2 2 3 3" xfId="34477" xr:uid="{00000000-0005-0000-0000-0000B3860000}"/>
    <cellStyle name="Normal 3 3 2 2 2 2 3 3 2" xfId="34478" xr:uid="{00000000-0005-0000-0000-0000B4860000}"/>
    <cellStyle name="Normal 3 3 2 2 2 2 3 3 2 2" xfId="34479" xr:uid="{00000000-0005-0000-0000-0000B5860000}"/>
    <cellStyle name="Normal 3 3 2 2 2 2 3 3 3" xfId="34480" xr:uid="{00000000-0005-0000-0000-0000B6860000}"/>
    <cellStyle name="Normal 3 3 2 2 2 2 3 3 3 2" xfId="34481" xr:uid="{00000000-0005-0000-0000-0000B7860000}"/>
    <cellStyle name="Normal 3 3 2 2 2 2 3 3 4" xfId="34482" xr:uid="{00000000-0005-0000-0000-0000B8860000}"/>
    <cellStyle name="Normal 3 3 2 2 2 2 3 3 5" xfId="34483" xr:uid="{00000000-0005-0000-0000-0000B9860000}"/>
    <cellStyle name="Normal 3 3 2 2 2 2 3 4" xfId="34484" xr:uid="{00000000-0005-0000-0000-0000BA860000}"/>
    <cellStyle name="Normal 3 3 2 2 2 2 3 4 2" xfId="34485" xr:uid="{00000000-0005-0000-0000-0000BB860000}"/>
    <cellStyle name="Normal 3 3 2 2 2 2 3 5" xfId="34486" xr:uid="{00000000-0005-0000-0000-0000BC860000}"/>
    <cellStyle name="Normal 3 3 2 2 2 2 3 5 2" xfId="34487" xr:uid="{00000000-0005-0000-0000-0000BD860000}"/>
    <cellStyle name="Normal 3 3 2 2 2 2 3 6" xfId="34488" xr:uid="{00000000-0005-0000-0000-0000BE860000}"/>
    <cellStyle name="Normal 3 3 2 2 2 2 3 7" xfId="34489" xr:uid="{00000000-0005-0000-0000-0000BF860000}"/>
    <cellStyle name="Normal 3 3 2 2 2 2 4" xfId="34490" xr:uid="{00000000-0005-0000-0000-0000C0860000}"/>
    <cellStyle name="Normal 3 3 2 2 2 2 4 2" xfId="34491" xr:uid="{00000000-0005-0000-0000-0000C1860000}"/>
    <cellStyle name="Normal 3 3 2 2 2 2 4 2 2" xfId="34492" xr:uid="{00000000-0005-0000-0000-0000C2860000}"/>
    <cellStyle name="Normal 3 3 2 2 2 2 4 2 2 2" xfId="34493" xr:uid="{00000000-0005-0000-0000-0000C3860000}"/>
    <cellStyle name="Normal 3 3 2 2 2 2 4 2 3" xfId="34494" xr:uid="{00000000-0005-0000-0000-0000C4860000}"/>
    <cellStyle name="Normal 3 3 2 2 2 2 4 2 4" xfId="34495" xr:uid="{00000000-0005-0000-0000-0000C5860000}"/>
    <cellStyle name="Normal 3 3 2 2 2 2 4 3" xfId="34496" xr:uid="{00000000-0005-0000-0000-0000C6860000}"/>
    <cellStyle name="Normal 3 3 2 2 2 2 4 3 2" xfId="34497" xr:uid="{00000000-0005-0000-0000-0000C7860000}"/>
    <cellStyle name="Normal 3 3 2 2 2 2 4 4" xfId="34498" xr:uid="{00000000-0005-0000-0000-0000C8860000}"/>
    <cellStyle name="Normal 3 3 2 2 2 2 4 5" xfId="34499" xr:uid="{00000000-0005-0000-0000-0000C9860000}"/>
    <cellStyle name="Normal 3 3 2 2 2 2 5" xfId="34500" xr:uid="{00000000-0005-0000-0000-0000CA860000}"/>
    <cellStyle name="Normal 3 3 2 2 2 2 5 2" xfId="34501" xr:uid="{00000000-0005-0000-0000-0000CB860000}"/>
    <cellStyle name="Normal 3 3 2 2 2 2 5 2 2" xfId="34502" xr:uid="{00000000-0005-0000-0000-0000CC860000}"/>
    <cellStyle name="Normal 3 3 2 2 2 2 5 3" xfId="34503" xr:uid="{00000000-0005-0000-0000-0000CD860000}"/>
    <cellStyle name="Normal 3 3 2 2 2 2 5 3 2" xfId="34504" xr:uid="{00000000-0005-0000-0000-0000CE860000}"/>
    <cellStyle name="Normal 3 3 2 2 2 2 5 4" xfId="34505" xr:uid="{00000000-0005-0000-0000-0000CF860000}"/>
    <cellStyle name="Normal 3 3 2 2 2 2 5 5" xfId="34506" xr:uid="{00000000-0005-0000-0000-0000D0860000}"/>
    <cellStyle name="Normal 3 3 2 2 2 2 6" xfId="34507" xr:uid="{00000000-0005-0000-0000-0000D1860000}"/>
    <cellStyle name="Normal 3 3 2 2 2 2 6 2" xfId="34508" xr:uid="{00000000-0005-0000-0000-0000D2860000}"/>
    <cellStyle name="Normal 3 3 2 2 2 2 7" xfId="34509" xr:uid="{00000000-0005-0000-0000-0000D3860000}"/>
    <cellStyle name="Normal 3 3 2 2 2 2 7 2" xfId="34510" xr:uid="{00000000-0005-0000-0000-0000D4860000}"/>
    <cellStyle name="Normal 3 3 2 2 2 2 8" xfId="34511" xr:uid="{00000000-0005-0000-0000-0000D5860000}"/>
    <cellStyle name="Normal 3 3 2 2 2 2 9" xfId="34512" xr:uid="{00000000-0005-0000-0000-0000D6860000}"/>
    <cellStyle name="Normal 3 3 2 2 2 3" xfId="34513" xr:uid="{00000000-0005-0000-0000-0000D7860000}"/>
    <cellStyle name="Normal 3 3 2 2 2 3 2" xfId="34514" xr:uid="{00000000-0005-0000-0000-0000D8860000}"/>
    <cellStyle name="Normal 3 3 2 2 2 3 2 2" xfId="34515" xr:uid="{00000000-0005-0000-0000-0000D9860000}"/>
    <cellStyle name="Normal 3 3 2 2 2 3 2 2 2" xfId="34516" xr:uid="{00000000-0005-0000-0000-0000DA860000}"/>
    <cellStyle name="Normal 3 3 2 2 2 3 2 2 2 2" xfId="34517" xr:uid="{00000000-0005-0000-0000-0000DB860000}"/>
    <cellStyle name="Normal 3 3 2 2 2 3 2 2 2 2 2" xfId="34518" xr:uid="{00000000-0005-0000-0000-0000DC860000}"/>
    <cellStyle name="Normal 3 3 2 2 2 3 2 2 2 3" xfId="34519" xr:uid="{00000000-0005-0000-0000-0000DD860000}"/>
    <cellStyle name="Normal 3 3 2 2 2 3 2 2 2 4" xfId="34520" xr:uid="{00000000-0005-0000-0000-0000DE860000}"/>
    <cellStyle name="Normal 3 3 2 2 2 3 2 2 3" xfId="34521" xr:uid="{00000000-0005-0000-0000-0000DF860000}"/>
    <cellStyle name="Normal 3 3 2 2 2 3 2 2 3 2" xfId="34522" xr:uid="{00000000-0005-0000-0000-0000E0860000}"/>
    <cellStyle name="Normal 3 3 2 2 2 3 2 2 4" xfId="34523" xr:uid="{00000000-0005-0000-0000-0000E1860000}"/>
    <cellStyle name="Normal 3 3 2 2 2 3 2 2 5" xfId="34524" xr:uid="{00000000-0005-0000-0000-0000E2860000}"/>
    <cellStyle name="Normal 3 3 2 2 2 3 2 3" xfId="34525" xr:uid="{00000000-0005-0000-0000-0000E3860000}"/>
    <cellStyle name="Normal 3 3 2 2 2 3 2 3 2" xfId="34526" xr:uid="{00000000-0005-0000-0000-0000E4860000}"/>
    <cellStyle name="Normal 3 3 2 2 2 3 2 3 2 2" xfId="34527" xr:uid="{00000000-0005-0000-0000-0000E5860000}"/>
    <cellStyle name="Normal 3 3 2 2 2 3 2 3 3" xfId="34528" xr:uid="{00000000-0005-0000-0000-0000E6860000}"/>
    <cellStyle name="Normal 3 3 2 2 2 3 2 3 4" xfId="34529" xr:uid="{00000000-0005-0000-0000-0000E7860000}"/>
    <cellStyle name="Normal 3 3 2 2 2 3 2 4" xfId="34530" xr:uid="{00000000-0005-0000-0000-0000E8860000}"/>
    <cellStyle name="Normal 3 3 2 2 2 3 2 4 2" xfId="34531" xr:uid="{00000000-0005-0000-0000-0000E9860000}"/>
    <cellStyle name="Normal 3 3 2 2 2 3 2 5" xfId="34532" xr:uid="{00000000-0005-0000-0000-0000EA860000}"/>
    <cellStyle name="Normal 3 3 2 2 2 3 2 6" xfId="34533" xr:uid="{00000000-0005-0000-0000-0000EB860000}"/>
    <cellStyle name="Normal 3 3 2 2 2 3 3" xfId="34534" xr:uid="{00000000-0005-0000-0000-0000EC860000}"/>
    <cellStyle name="Normal 3 3 2 2 2 3 3 2" xfId="34535" xr:uid="{00000000-0005-0000-0000-0000ED860000}"/>
    <cellStyle name="Normal 3 3 2 2 2 3 3 2 2" xfId="34536" xr:uid="{00000000-0005-0000-0000-0000EE860000}"/>
    <cellStyle name="Normal 3 3 2 2 2 3 3 2 2 2" xfId="34537" xr:uid="{00000000-0005-0000-0000-0000EF860000}"/>
    <cellStyle name="Normal 3 3 2 2 2 3 3 2 3" xfId="34538" xr:uid="{00000000-0005-0000-0000-0000F0860000}"/>
    <cellStyle name="Normal 3 3 2 2 2 3 3 2 4" xfId="34539" xr:uid="{00000000-0005-0000-0000-0000F1860000}"/>
    <cellStyle name="Normal 3 3 2 2 2 3 3 3" xfId="34540" xr:uid="{00000000-0005-0000-0000-0000F2860000}"/>
    <cellStyle name="Normal 3 3 2 2 2 3 3 3 2" xfId="34541" xr:uid="{00000000-0005-0000-0000-0000F3860000}"/>
    <cellStyle name="Normal 3 3 2 2 2 3 3 4" xfId="34542" xr:uid="{00000000-0005-0000-0000-0000F4860000}"/>
    <cellStyle name="Normal 3 3 2 2 2 3 3 5" xfId="34543" xr:uid="{00000000-0005-0000-0000-0000F5860000}"/>
    <cellStyle name="Normal 3 3 2 2 2 3 4" xfId="34544" xr:uid="{00000000-0005-0000-0000-0000F6860000}"/>
    <cellStyle name="Normal 3 3 2 2 2 3 4 2" xfId="34545" xr:uid="{00000000-0005-0000-0000-0000F7860000}"/>
    <cellStyle name="Normal 3 3 2 2 2 3 4 2 2" xfId="34546" xr:uid="{00000000-0005-0000-0000-0000F8860000}"/>
    <cellStyle name="Normal 3 3 2 2 2 3 4 3" xfId="34547" xr:uid="{00000000-0005-0000-0000-0000F9860000}"/>
    <cellStyle name="Normal 3 3 2 2 2 3 4 4" xfId="34548" xr:uid="{00000000-0005-0000-0000-0000FA860000}"/>
    <cellStyle name="Normal 3 3 2 2 2 3 5" xfId="34549" xr:uid="{00000000-0005-0000-0000-0000FB860000}"/>
    <cellStyle name="Normal 3 3 2 2 2 3 5 2" xfId="34550" xr:uid="{00000000-0005-0000-0000-0000FC860000}"/>
    <cellStyle name="Normal 3 3 2 2 2 3 6" xfId="34551" xr:uid="{00000000-0005-0000-0000-0000FD860000}"/>
    <cellStyle name="Normal 3 3 2 2 2 3 7" xfId="34552" xr:uid="{00000000-0005-0000-0000-0000FE860000}"/>
    <cellStyle name="Normal 3 3 2 2 2 4" xfId="34553" xr:uid="{00000000-0005-0000-0000-0000FF860000}"/>
    <cellStyle name="Normal 3 3 2 2 2 4 2" xfId="34554" xr:uid="{00000000-0005-0000-0000-000000870000}"/>
    <cellStyle name="Normal 3 3 2 2 2 4 2 2" xfId="34555" xr:uid="{00000000-0005-0000-0000-000001870000}"/>
    <cellStyle name="Normal 3 3 2 2 2 4 2 2 2" xfId="34556" xr:uid="{00000000-0005-0000-0000-000002870000}"/>
    <cellStyle name="Normal 3 3 2 2 2 4 2 2 2 2" xfId="34557" xr:uid="{00000000-0005-0000-0000-000003870000}"/>
    <cellStyle name="Normal 3 3 2 2 2 4 2 2 3" xfId="34558" xr:uid="{00000000-0005-0000-0000-000004870000}"/>
    <cellStyle name="Normal 3 3 2 2 2 4 2 2 4" xfId="34559" xr:uid="{00000000-0005-0000-0000-000005870000}"/>
    <cellStyle name="Normal 3 3 2 2 2 4 2 3" xfId="34560" xr:uid="{00000000-0005-0000-0000-000006870000}"/>
    <cellStyle name="Normal 3 3 2 2 2 4 2 3 2" xfId="34561" xr:uid="{00000000-0005-0000-0000-000007870000}"/>
    <cellStyle name="Normal 3 3 2 2 2 4 2 4" xfId="34562" xr:uid="{00000000-0005-0000-0000-000008870000}"/>
    <cellStyle name="Normal 3 3 2 2 2 4 2 5" xfId="34563" xr:uid="{00000000-0005-0000-0000-000009870000}"/>
    <cellStyle name="Normal 3 3 2 2 2 4 3" xfId="34564" xr:uid="{00000000-0005-0000-0000-00000A870000}"/>
    <cellStyle name="Normal 3 3 2 2 2 4 3 2" xfId="34565" xr:uid="{00000000-0005-0000-0000-00000B870000}"/>
    <cellStyle name="Normal 3 3 2 2 2 4 3 2 2" xfId="34566" xr:uid="{00000000-0005-0000-0000-00000C870000}"/>
    <cellStyle name="Normal 3 3 2 2 2 4 3 3" xfId="34567" xr:uid="{00000000-0005-0000-0000-00000D870000}"/>
    <cellStyle name="Normal 3 3 2 2 2 4 3 3 2" xfId="34568" xr:uid="{00000000-0005-0000-0000-00000E870000}"/>
    <cellStyle name="Normal 3 3 2 2 2 4 3 4" xfId="34569" xr:uid="{00000000-0005-0000-0000-00000F870000}"/>
    <cellStyle name="Normal 3 3 2 2 2 4 3 5" xfId="34570" xr:uid="{00000000-0005-0000-0000-000010870000}"/>
    <cellStyle name="Normal 3 3 2 2 2 4 4" xfId="34571" xr:uid="{00000000-0005-0000-0000-000011870000}"/>
    <cellStyle name="Normal 3 3 2 2 2 4 4 2" xfId="34572" xr:uid="{00000000-0005-0000-0000-000012870000}"/>
    <cellStyle name="Normal 3 3 2 2 2 4 5" xfId="34573" xr:uid="{00000000-0005-0000-0000-000013870000}"/>
    <cellStyle name="Normal 3 3 2 2 2 4 5 2" xfId="34574" xr:uid="{00000000-0005-0000-0000-000014870000}"/>
    <cellStyle name="Normal 3 3 2 2 2 4 6" xfId="34575" xr:uid="{00000000-0005-0000-0000-000015870000}"/>
    <cellStyle name="Normal 3 3 2 2 2 4 7" xfId="34576" xr:uid="{00000000-0005-0000-0000-000016870000}"/>
    <cellStyle name="Normal 3 3 2 2 2 5" xfId="34577" xr:uid="{00000000-0005-0000-0000-000017870000}"/>
    <cellStyle name="Normal 3 3 2 2 2 5 2" xfId="34578" xr:uid="{00000000-0005-0000-0000-000018870000}"/>
    <cellStyle name="Normal 3 3 2 2 2 5 2 2" xfId="34579" xr:uid="{00000000-0005-0000-0000-000019870000}"/>
    <cellStyle name="Normal 3 3 2 2 2 5 2 2 2" xfId="34580" xr:uid="{00000000-0005-0000-0000-00001A870000}"/>
    <cellStyle name="Normal 3 3 2 2 2 5 2 3" xfId="34581" xr:uid="{00000000-0005-0000-0000-00001B870000}"/>
    <cellStyle name="Normal 3 3 2 2 2 5 2 4" xfId="34582" xr:uid="{00000000-0005-0000-0000-00001C870000}"/>
    <cellStyle name="Normal 3 3 2 2 2 5 3" xfId="34583" xr:uid="{00000000-0005-0000-0000-00001D870000}"/>
    <cellStyle name="Normal 3 3 2 2 2 5 3 2" xfId="34584" xr:uid="{00000000-0005-0000-0000-00001E870000}"/>
    <cellStyle name="Normal 3 3 2 2 2 5 4" xfId="34585" xr:uid="{00000000-0005-0000-0000-00001F870000}"/>
    <cellStyle name="Normal 3 3 2 2 2 5 5" xfId="34586" xr:uid="{00000000-0005-0000-0000-000020870000}"/>
    <cellStyle name="Normal 3 3 2 2 2 6" xfId="34587" xr:uid="{00000000-0005-0000-0000-000021870000}"/>
    <cellStyle name="Normal 3 3 2 2 2 6 2" xfId="34588" xr:uid="{00000000-0005-0000-0000-000022870000}"/>
    <cellStyle name="Normal 3 3 2 2 2 6 2 2" xfId="34589" xr:uid="{00000000-0005-0000-0000-000023870000}"/>
    <cellStyle name="Normal 3 3 2 2 2 6 3" xfId="34590" xr:uid="{00000000-0005-0000-0000-000024870000}"/>
    <cellStyle name="Normal 3 3 2 2 2 6 3 2" xfId="34591" xr:uid="{00000000-0005-0000-0000-000025870000}"/>
    <cellStyle name="Normal 3 3 2 2 2 6 4" xfId="34592" xr:uid="{00000000-0005-0000-0000-000026870000}"/>
    <cellStyle name="Normal 3 3 2 2 2 6 5" xfId="34593" xr:uid="{00000000-0005-0000-0000-000027870000}"/>
    <cellStyle name="Normal 3 3 2 2 2 7" xfId="34594" xr:uid="{00000000-0005-0000-0000-000028870000}"/>
    <cellStyle name="Normal 3 3 2 2 2 7 2" xfId="34595" xr:uid="{00000000-0005-0000-0000-000029870000}"/>
    <cellStyle name="Normal 3 3 2 2 2 8" xfId="34596" xr:uid="{00000000-0005-0000-0000-00002A870000}"/>
    <cellStyle name="Normal 3 3 2 2 2 8 2" xfId="34597" xr:uid="{00000000-0005-0000-0000-00002B870000}"/>
    <cellStyle name="Normal 3 3 2 2 2 9" xfId="34598" xr:uid="{00000000-0005-0000-0000-00002C870000}"/>
    <cellStyle name="Normal 3 3 2 2 3" xfId="34599" xr:uid="{00000000-0005-0000-0000-00002D870000}"/>
    <cellStyle name="Normal 3 3 2 2 3 2" xfId="34600" xr:uid="{00000000-0005-0000-0000-00002E870000}"/>
    <cellStyle name="Normal 3 3 2 2 3 2 2" xfId="34601" xr:uid="{00000000-0005-0000-0000-00002F870000}"/>
    <cellStyle name="Normal 3 3 2 2 3 2 2 2" xfId="34602" xr:uid="{00000000-0005-0000-0000-000030870000}"/>
    <cellStyle name="Normal 3 3 2 2 3 2 2 2 2" xfId="34603" xr:uid="{00000000-0005-0000-0000-000031870000}"/>
    <cellStyle name="Normal 3 3 2 2 3 2 2 2 2 2" xfId="34604" xr:uid="{00000000-0005-0000-0000-000032870000}"/>
    <cellStyle name="Normal 3 3 2 2 3 2 2 2 2 2 2" xfId="34605" xr:uid="{00000000-0005-0000-0000-000033870000}"/>
    <cellStyle name="Normal 3 3 2 2 3 2 2 2 2 3" xfId="34606" xr:uid="{00000000-0005-0000-0000-000034870000}"/>
    <cellStyle name="Normal 3 3 2 2 3 2 2 2 2 4" xfId="34607" xr:uid="{00000000-0005-0000-0000-000035870000}"/>
    <cellStyle name="Normal 3 3 2 2 3 2 2 2 3" xfId="34608" xr:uid="{00000000-0005-0000-0000-000036870000}"/>
    <cellStyle name="Normal 3 3 2 2 3 2 2 2 3 2" xfId="34609" xr:uid="{00000000-0005-0000-0000-000037870000}"/>
    <cellStyle name="Normal 3 3 2 2 3 2 2 2 4" xfId="34610" xr:uid="{00000000-0005-0000-0000-000038870000}"/>
    <cellStyle name="Normal 3 3 2 2 3 2 2 2 5" xfId="34611" xr:uid="{00000000-0005-0000-0000-000039870000}"/>
    <cellStyle name="Normal 3 3 2 2 3 2 2 3" xfId="34612" xr:uid="{00000000-0005-0000-0000-00003A870000}"/>
    <cellStyle name="Normal 3 3 2 2 3 2 2 3 2" xfId="34613" xr:uid="{00000000-0005-0000-0000-00003B870000}"/>
    <cellStyle name="Normal 3 3 2 2 3 2 2 3 2 2" xfId="34614" xr:uid="{00000000-0005-0000-0000-00003C870000}"/>
    <cellStyle name="Normal 3 3 2 2 3 2 2 3 3" xfId="34615" xr:uid="{00000000-0005-0000-0000-00003D870000}"/>
    <cellStyle name="Normal 3 3 2 2 3 2 2 3 4" xfId="34616" xr:uid="{00000000-0005-0000-0000-00003E870000}"/>
    <cellStyle name="Normal 3 3 2 2 3 2 2 4" xfId="34617" xr:uid="{00000000-0005-0000-0000-00003F870000}"/>
    <cellStyle name="Normal 3 3 2 2 3 2 2 4 2" xfId="34618" xr:uid="{00000000-0005-0000-0000-000040870000}"/>
    <cellStyle name="Normal 3 3 2 2 3 2 2 5" xfId="34619" xr:uid="{00000000-0005-0000-0000-000041870000}"/>
    <cellStyle name="Normal 3 3 2 2 3 2 2 6" xfId="34620" xr:uid="{00000000-0005-0000-0000-000042870000}"/>
    <cellStyle name="Normal 3 3 2 2 3 2 3" xfId="34621" xr:uid="{00000000-0005-0000-0000-000043870000}"/>
    <cellStyle name="Normal 3 3 2 2 3 2 3 2" xfId="34622" xr:uid="{00000000-0005-0000-0000-000044870000}"/>
    <cellStyle name="Normal 3 3 2 2 3 2 3 2 2" xfId="34623" xr:uid="{00000000-0005-0000-0000-000045870000}"/>
    <cellStyle name="Normal 3 3 2 2 3 2 3 2 2 2" xfId="34624" xr:uid="{00000000-0005-0000-0000-000046870000}"/>
    <cellStyle name="Normal 3 3 2 2 3 2 3 2 3" xfId="34625" xr:uid="{00000000-0005-0000-0000-000047870000}"/>
    <cellStyle name="Normal 3 3 2 2 3 2 3 2 4" xfId="34626" xr:uid="{00000000-0005-0000-0000-000048870000}"/>
    <cellStyle name="Normal 3 3 2 2 3 2 3 3" xfId="34627" xr:uid="{00000000-0005-0000-0000-000049870000}"/>
    <cellStyle name="Normal 3 3 2 2 3 2 3 3 2" xfId="34628" xr:uid="{00000000-0005-0000-0000-00004A870000}"/>
    <cellStyle name="Normal 3 3 2 2 3 2 3 4" xfId="34629" xr:uid="{00000000-0005-0000-0000-00004B870000}"/>
    <cellStyle name="Normal 3 3 2 2 3 2 3 5" xfId="34630" xr:uid="{00000000-0005-0000-0000-00004C870000}"/>
    <cellStyle name="Normal 3 3 2 2 3 2 4" xfId="34631" xr:uid="{00000000-0005-0000-0000-00004D870000}"/>
    <cellStyle name="Normal 3 3 2 2 3 2 4 2" xfId="34632" xr:uid="{00000000-0005-0000-0000-00004E870000}"/>
    <cellStyle name="Normal 3 3 2 2 3 2 4 2 2" xfId="34633" xr:uid="{00000000-0005-0000-0000-00004F870000}"/>
    <cellStyle name="Normal 3 3 2 2 3 2 4 3" xfId="34634" xr:uid="{00000000-0005-0000-0000-000050870000}"/>
    <cellStyle name="Normal 3 3 2 2 3 2 4 4" xfId="34635" xr:uid="{00000000-0005-0000-0000-000051870000}"/>
    <cellStyle name="Normal 3 3 2 2 3 2 5" xfId="34636" xr:uid="{00000000-0005-0000-0000-000052870000}"/>
    <cellStyle name="Normal 3 3 2 2 3 2 5 2" xfId="34637" xr:uid="{00000000-0005-0000-0000-000053870000}"/>
    <cellStyle name="Normal 3 3 2 2 3 2 6" xfId="34638" xr:uid="{00000000-0005-0000-0000-000054870000}"/>
    <cellStyle name="Normal 3 3 2 2 3 2 7" xfId="34639" xr:uid="{00000000-0005-0000-0000-000055870000}"/>
    <cellStyle name="Normal 3 3 2 2 3 3" xfId="34640" xr:uid="{00000000-0005-0000-0000-000056870000}"/>
    <cellStyle name="Normal 3 3 2 2 3 3 2" xfId="34641" xr:uid="{00000000-0005-0000-0000-000057870000}"/>
    <cellStyle name="Normal 3 3 2 2 3 3 2 2" xfId="34642" xr:uid="{00000000-0005-0000-0000-000058870000}"/>
    <cellStyle name="Normal 3 3 2 2 3 3 2 2 2" xfId="34643" xr:uid="{00000000-0005-0000-0000-000059870000}"/>
    <cellStyle name="Normal 3 3 2 2 3 3 2 2 2 2" xfId="34644" xr:uid="{00000000-0005-0000-0000-00005A870000}"/>
    <cellStyle name="Normal 3 3 2 2 3 3 2 2 3" xfId="34645" xr:uid="{00000000-0005-0000-0000-00005B870000}"/>
    <cellStyle name="Normal 3 3 2 2 3 3 2 2 4" xfId="34646" xr:uid="{00000000-0005-0000-0000-00005C870000}"/>
    <cellStyle name="Normal 3 3 2 2 3 3 2 3" xfId="34647" xr:uid="{00000000-0005-0000-0000-00005D870000}"/>
    <cellStyle name="Normal 3 3 2 2 3 3 2 3 2" xfId="34648" xr:uid="{00000000-0005-0000-0000-00005E870000}"/>
    <cellStyle name="Normal 3 3 2 2 3 3 2 4" xfId="34649" xr:uid="{00000000-0005-0000-0000-00005F870000}"/>
    <cellStyle name="Normal 3 3 2 2 3 3 2 5" xfId="34650" xr:uid="{00000000-0005-0000-0000-000060870000}"/>
    <cellStyle name="Normal 3 3 2 2 3 3 3" xfId="34651" xr:uid="{00000000-0005-0000-0000-000061870000}"/>
    <cellStyle name="Normal 3 3 2 2 3 3 3 2" xfId="34652" xr:uid="{00000000-0005-0000-0000-000062870000}"/>
    <cellStyle name="Normal 3 3 2 2 3 3 3 2 2" xfId="34653" xr:uid="{00000000-0005-0000-0000-000063870000}"/>
    <cellStyle name="Normal 3 3 2 2 3 3 3 3" xfId="34654" xr:uid="{00000000-0005-0000-0000-000064870000}"/>
    <cellStyle name="Normal 3 3 2 2 3 3 3 3 2" xfId="34655" xr:uid="{00000000-0005-0000-0000-000065870000}"/>
    <cellStyle name="Normal 3 3 2 2 3 3 3 4" xfId="34656" xr:uid="{00000000-0005-0000-0000-000066870000}"/>
    <cellStyle name="Normal 3 3 2 2 3 3 3 5" xfId="34657" xr:uid="{00000000-0005-0000-0000-000067870000}"/>
    <cellStyle name="Normal 3 3 2 2 3 3 4" xfId="34658" xr:uid="{00000000-0005-0000-0000-000068870000}"/>
    <cellStyle name="Normal 3 3 2 2 3 3 4 2" xfId="34659" xr:uid="{00000000-0005-0000-0000-000069870000}"/>
    <cellStyle name="Normal 3 3 2 2 3 3 5" xfId="34660" xr:uid="{00000000-0005-0000-0000-00006A870000}"/>
    <cellStyle name="Normal 3 3 2 2 3 3 5 2" xfId="34661" xr:uid="{00000000-0005-0000-0000-00006B870000}"/>
    <cellStyle name="Normal 3 3 2 2 3 3 6" xfId="34662" xr:uid="{00000000-0005-0000-0000-00006C870000}"/>
    <cellStyle name="Normal 3 3 2 2 3 3 7" xfId="34663" xr:uid="{00000000-0005-0000-0000-00006D870000}"/>
    <cellStyle name="Normal 3 3 2 2 3 4" xfId="34664" xr:uid="{00000000-0005-0000-0000-00006E870000}"/>
    <cellStyle name="Normal 3 3 2 2 3 4 2" xfId="34665" xr:uid="{00000000-0005-0000-0000-00006F870000}"/>
    <cellStyle name="Normal 3 3 2 2 3 4 2 2" xfId="34666" xr:uid="{00000000-0005-0000-0000-000070870000}"/>
    <cellStyle name="Normal 3 3 2 2 3 4 2 2 2" xfId="34667" xr:uid="{00000000-0005-0000-0000-000071870000}"/>
    <cellStyle name="Normal 3 3 2 2 3 4 2 3" xfId="34668" xr:uid="{00000000-0005-0000-0000-000072870000}"/>
    <cellStyle name="Normal 3 3 2 2 3 4 2 4" xfId="34669" xr:uid="{00000000-0005-0000-0000-000073870000}"/>
    <cellStyle name="Normal 3 3 2 2 3 4 3" xfId="34670" xr:uid="{00000000-0005-0000-0000-000074870000}"/>
    <cellStyle name="Normal 3 3 2 2 3 4 3 2" xfId="34671" xr:uid="{00000000-0005-0000-0000-000075870000}"/>
    <cellStyle name="Normal 3 3 2 2 3 4 4" xfId="34672" xr:uid="{00000000-0005-0000-0000-000076870000}"/>
    <cellStyle name="Normal 3 3 2 2 3 4 5" xfId="34673" xr:uid="{00000000-0005-0000-0000-000077870000}"/>
    <cellStyle name="Normal 3 3 2 2 3 5" xfId="34674" xr:uid="{00000000-0005-0000-0000-000078870000}"/>
    <cellStyle name="Normal 3 3 2 2 3 5 2" xfId="34675" xr:uid="{00000000-0005-0000-0000-000079870000}"/>
    <cellStyle name="Normal 3 3 2 2 3 5 2 2" xfId="34676" xr:uid="{00000000-0005-0000-0000-00007A870000}"/>
    <cellStyle name="Normal 3 3 2 2 3 5 3" xfId="34677" xr:uid="{00000000-0005-0000-0000-00007B870000}"/>
    <cellStyle name="Normal 3 3 2 2 3 5 3 2" xfId="34678" xr:uid="{00000000-0005-0000-0000-00007C870000}"/>
    <cellStyle name="Normal 3 3 2 2 3 5 4" xfId="34679" xr:uid="{00000000-0005-0000-0000-00007D870000}"/>
    <cellStyle name="Normal 3 3 2 2 3 5 5" xfId="34680" xr:uid="{00000000-0005-0000-0000-00007E870000}"/>
    <cellStyle name="Normal 3 3 2 2 3 6" xfId="34681" xr:uid="{00000000-0005-0000-0000-00007F870000}"/>
    <cellStyle name="Normal 3 3 2 2 3 6 2" xfId="34682" xr:uid="{00000000-0005-0000-0000-000080870000}"/>
    <cellStyle name="Normal 3 3 2 2 3 7" xfId="34683" xr:uid="{00000000-0005-0000-0000-000081870000}"/>
    <cellStyle name="Normal 3 3 2 2 3 7 2" xfId="34684" xr:uid="{00000000-0005-0000-0000-000082870000}"/>
    <cellStyle name="Normal 3 3 2 2 3 8" xfId="34685" xr:uid="{00000000-0005-0000-0000-000083870000}"/>
    <cellStyle name="Normal 3 3 2 2 3 9" xfId="34686" xr:uid="{00000000-0005-0000-0000-000084870000}"/>
    <cellStyle name="Normal 3 3 2 2 4" xfId="34687" xr:uid="{00000000-0005-0000-0000-000085870000}"/>
    <cellStyle name="Normal 3 3 2 2 4 2" xfId="34688" xr:uid="{00000000-0005-0000-0000-000086870000}"/>
    <cellStyle name="Normal 3 3 2 2 4 2 2" xfId="34689" xr:uid="{00000000-0005-0000-0000-000087870000}"/>
    <cellStyle name="Normal 3 3 2 2 4 2 2 2" xfId="34690" xr:uid="{00000000-0005-0000-0000-000088870000}"/>
    <cellStyle name="Normal 3 3 2 2 4 2 2 2 2" xfId="34691" xr:uid="{00000000-0005-0000-0000-000089870000}"/>
    <cellStyle name="Normal 3 3 2 2 4 2 2 2 2 2" xfId="34692" xr:uid="{00000000-0005-0000-0000-00008A870000}"/>
    <cellStyle name="Normal 3 3 2 2 4 2 2 2 3" xfId="34693" xr:uid="{00000000-0005-0000-0000-00008B870000}"/>
    <cellStyle name="Normal 3 3 2 2 4 2 2 2 4" xfId="34694" xr:uid="{00000000-0005-0000-0000-00008C870000}"/>
    <cellStyle name="Normal 3 3 2 2 4 2 2 3" xfId="34695" xr:uid="{00000000-0005-0000-0000-00008D870000}"/>
    <cellStyle name="Normal 3 3 2 2 4 2 2 3 2" xfId="34696" xr:uid="{00000000-0005-0000-0000-00008E870000}"/>
    <cellStyle name="Normal 3 3 2 2 4 2 2 4" xfId="34697" xr:uid="{00000000-0005-0000-0000-00008F870000}"/>
    <cellStyle name="Normal 3 3 2 2 4 2 2 5" xfId="34698" xr:uid="{00000000-0005-0000-0000-000090870000}"/>
    <cellStyle name="Normal 3 3 2 2 4 2 3" xfId="34699" xr:uid="{00000000-0005-0000-0000-000091870000}"/>
    <cellStyle name="Normal 3 3 2 2 4 2 3 2" xfId="34700" xr:uid="{00000000-0005-0000-0000-000092870000}"/>
    <cellStyle name="Normal 3 3 2 2 4 2 3 2 2" xfId="34701" xr:uid="{00000000-0005-0000-0000-000093870000}"/>
    <cellStyle name="Normal 3 3 2 2 4 2 3 3" xfId="34702" xr:uid="{00000000-0005-0000-0000-000094870000}"/>
    <cellStyle name="Normal 3 3 2 2 4 2 3 3 2" xfId="34703" xr:uid="{00000000-0005-0000-0000-000095870000}"/>
    <cellStyle name="Normal 3 3 2 2 4 2 3 4" xfId="34704" xr:uid="{00000000-0005-0000-0000-000096870000}"/>
    <cellStyle name="Normal 3 3 2 2 4 2 3 5" xfId="34705" xr:uid="{00000000-0005-0000-0000-000097870000}"/>
    <cellStyle name="Normal 3 3 2 2 4 2 4" xfId="34706" xr:uid="{00000000-0005-0000-0000-000098870000}"/>
    <cellStyle name="Normal 3 3 2 2 4 2 4 2" xfId="34707" xr:uid="{00000000-0005-0000-0000-000099870000}"/>
    <cellStyle name="Normal 3 3 2 2 4 2 5" xfId="34708" xr:uid="{00000000-0005-0000-0000-00009A870000}"/>
    <cellStyle name="Normal 3 3 2 2 4 2 5 2" xfId="34709" xr:uid="{00000000-0005-0000-0000-00009B870000}"/>
    <cellStyle name="Normal 3 3 2 2 4 2 6" xfId="34710" xr:uid="{00000000-0005-0000-0000-00009C870000}"/>
    <cellStyle name="Normal 3 3 2 2 4 2 7" xfId="34711" xr:uid="{00000000-0005-0000-0000-00009D870000}"/>
    <cellStyle name="Normal 3 3 2 2 4 3" xfId="34712" xr:uid="{00000000-0005-0000-0000-00009E870000}"/>
    <cellStyle name="Normal 3 3 2 2 4 3 2" xfId="34713" xr:uid="{00000000-0005-0000-0000-00009F870000}"/>
    <cellStyle name="Normal 3 3 2 2 4 3 2 2" xfId="34714" xr:uid="{00000000-0005-0000-0000-0000A0870000}"/>
    <cellStyle name="Normal 3 3 2 2 4 3 2 2 2" xfId="34715" xr:uid="{00000000-0005-0000-0000-0000A1870000}"/>
    <cellStyle name="Normal 3 3 2 2 4 3 2 3" xfId="34716" xr:uid="{00000000-0005-0000-0000-0000A2870000}"/>
    <cellStyle name="Normal 3 3 2 2 4 3 2 4" xfId="34717" xr:uid="{00000000-0005-0000-0000-0000A3870000}"/>
    <cellStyle name="Normal 3 3 2 2 4 3 3" xfId="34718" xr:uid="{00000000-0005-0000-0000-0000A4870000}"/>
    <cellStyle name="Normal 3 3 2 2 4 3 3 2" xfId="34719" xr:uid="{00000000-0005-0000-0000-0000A5870000}"/>
    <cellStyle name="Normal 3 3 2 2 4 3 4" xfId="34720" xr:uid="{00000000-0005-0000-0000-0000A6870000}"/>
    <cellStyle name="Normal 3 3 2 2 4 3 5" xfId="34721" xr:uid="{00000000-0005-0000-0000-0000A7870000}"/>
    <cellStyle name="Normal 3 3 2 2 4 4" xfId="34722" xr:uid="{00000000-0005-0000-0000-0000A8870000}"/>
    <cellStyle name="Normal 3 3 2 2 4 4 2" xfId="34723" xr:uid="{00000000-0005-0000-0000-0000A9870000}"/>
    <cellStyle name="Normal 3 3 2 2 4 4 2 2" xfId="34724" xr:uid="{00000000-0005-0000-0000-0000AA870000}"/>
    <cellStyle name="Normal 3 3 2 2 4 4 3" xfId="34725" xr:uid="{00000000-0005-0000-0000-0000AB870000}"/>
    <cellStyle name="Normal 3 3 2 2 4 4 3 2" xfId="34726" xr:uid="{00000000-0005-0000-0000-0000AC870000}"/>
    <cellStyle name="Normal 3 3 2 2 4 4 4" xfId="34727" xr:uid="{00000000-0005-0000-0000-0000AD870000}"/>
    <cellStyle name="Normal 3 3 2 2 4 4 5" xfId="34728" xr:uid="{00000000-0005-0000-0000-0000AE870000}"/>
    <cellStyle name="Normal 3 3 2 2 4 5" xfId="34729" xr:uid="{00000000-0005-0000-0000-0000AF870000}"/>
    <cellStyle name="Normal 3 3 2 2 4 5 2" xfId="34730" xr:uid="{00000000-0005-0000-0000-0000B0870000}"/>
    <cellStyle name="Normal 3 3 2 2 4 6" xfId="34731" xr:uid="{00000000-0005-0000-0000-0000B1870000}"/>
    <cellStyle name="Normal 3 3 2 2 4 6 2" xfId="34732" xr:uid="{00000000-0005-0000-0000-0000B2870000}"/>
    <cellStyle name="Normal 3 3 2 2 4 7" xfId="34733" xr:uid="{00000000-0005-0000-0000-0000B3870000}"/>
    <cellStyle name="Normal 3 3 2 2 4 8" xfId="34734" xr:uid="{00000000-0005-0000-0000-0000B4870000}"/>
    <cellStyle name="Normal 3 3 2 2 5" xfId="34735" xr:uid="{00000000-0005-0000-0000-0000B5870000}"/>
    <cellStyle name="Normal 3 3 2 2 5 2" xfId="34736" xr:uid="{00000000-0005-0000-0000-0000B6870000}"/>
    <cellStyle name="Normal 3 3 2 2 5 2 2" xfId="34737" xr:uid="{00000000-0005-0000-0000-0000B7870000}"/>
    <cellStyle name="Normal 3 3 2 2 5 2 2 2" xfId="34738" xr:uid="{00000000-0005-0000-0000-0000B8870000}"/>
    <cellStyle name="Normal 3 3 2 2 5 2 2 2 2" xfId="34739" xr:uid="{00000000-0005-0000-0000-0000B9870000}"/>
    <cellStyle name="Normal 3 3 2 2 5 2 2 3" xfId="34740" xr:uid="{00000000-0005-0000-0000-0000BA870000}"/>
    <cellStyle name="Normal 3 3 2 2 5 2 2 4" xfId="34741" xr:uid="{00000000-0005-0000-0000-0000BB870000}"/>
    <cellStyle name="Normal 3 3 2 2 5 2 3" xfId="34742" xr:uid="{00000000-0005-0000-0000-0000BC870000}"/>
    <cellStyle name="Normal 3 3 2 2 5 2 3 2" xfId="34743" xr:uid="{00000000-0005-0000-0000-0000BD870000}"/>
    <cellStyle name="Normal 3 3 2 2 5 2 4" xfId="34744" xr:uid="{00000000-0005-0000-0000-0000BE870000}"/>
    <cellStyle name="Normal 3 3 2 2 5 2 5" xfId="34745" xr:uid="{00000000-0005-0000-0000-0000BF870000}"/>
    <cellStyle name="Normal 3 3 2 2 5 3" xfId="34746" xr:uid="{00000000-0005-0000-0000-0000C0870000}"/>
    <cellStyle name="Normal 3 3 2 2 5 3 2" xfId="34747" xr:uid="{00000000-0005-0000-0000-0000C1870000}"/>
    <cellStyle name="Normal 3 3 2 2 5 3 2 2" xfId="34748" xr:uid="{00000000-0005-0000-0000-0000C2870000}"/>
    <cellStyle name="Normal 3 3 2 2 5 3 3" xfId="34749" xr:uid="{00000000-0005-0000-0000-0000C3870000}"/>
    <cellStyle name="Normal 3 3 2 2 5 3 3 2" xfId="34750" xr:uid="{00000000-0005-0000-0000-0000C4870000}"/>
    <cellStyle name="Normal 3 3 2 2 5 3 4" xfId="34751" xr:uid="{00000000-0005-0000-0000-0000C5870000}"/>
    <cellStyle name="Normal 3 3 2 2 5 3 5" xfId="34752" xr:uid="{00000000-0005-0000-0000-0000C6870000}"/>
    <cellStyle name="Normal 3 3 2 2 5 4" xfId="34753" xr:uid="{00000000-0005-0000-0000-0000C7870000}"/>
    <cellStyle name="Normal 3 3 2 2 5 4 2" xfId="34754" xr:uid="{00000000-0005-0000-0000-0000C8870000}"/>
    <cellStyle name="Normal 3 3 2 2 5 5" xfId="34755" xr:uid="{00000000-0005-0000-0000-0000C9870000}"/>
    <cellStyle name="Normal 3 3 2 2 5 5 2" xfId="34756" xr:uid="{00000000-0005-0000-0000-0000CA870000}"/>
    <cellStyle name="Normal 3 3 2 2 5 6" xfId="34757" xr:uid="{00000000-0005-0000-0000-0000CB870000}"/>
    <cellStyle name="Normal 3 3 2 2 5 7" xfId="34758" xr:uid="{00000000-0005-0000-0000-0000CC870000}"/>
    <cellStyle name="Normal 3 3 2 2 6" xfId="34759" xr:uid="{00000000-0005-0000-0000-0000CD870000}"/>
    <cellStyle name="Normal 3 3 2 2 6 2" xfId="34760" xr:uid="{00000000-0005-0000-0000-0000CE870000}"/>
    <cellStyle name="Normal 3 3 2 2 6 2 2" xfId="34761" xr:uid="{00000000-0005-0000-0000-0000CF870000}"/>
    <cellStyle name="Normal 3 3 2 2 6 2 2 2" xfId="34762" xr:uid="{00000000-0005-0000-0000-0000D0870000}"/>
    <cellStyle name="Normal 3 3 2 2 6 2 3" xfId="34763" xr:uid="{00000000-0005-0000-0000-0000D1870000}"/>
    <cellStyle name="Normal 3 3 2 2 6 2 4" xfId="34764" xr:uid="{00000000-0005-0000-0000-0000D2870000}"/>
    <cellStyle name="Normal 3 3 2 2 6 3" xfId="34765" xr:uid="{00000000-0005-0000-0000-0000D3870000}"/>
    <cellStyle name="Normal 3 3 2 2 6 3 2" xfId="34766" xr:uid="{00000000-0005-0000-0000-0000D4870000}"/>
    <cellStyle name="Normal 3 3 2 2 6 4" xfId="34767" xr:uid="{00000000-0005-0000-0000-0000D5870000}"/>
    <cellStyle name="Normal 3 3 2 2 6 5" xfId="34768" xr:uid="{00000000-0005-0000-0000-0000D6870000}"/>
    <cellStyle name="Normal 3 3 2 2 7" xfId="34769" xr:uid="{00000000-0005-0000-0000-0000D7870000}"/>
    <cellStyle name="Normal 3 3 2 2 7 2" xfId="34770" xr:uid="{00000000-0005-0000-0000-0000D8870000}"/>
    <cellStyle name="Normal 3 3 2 2 7 2 2" xfId="34771" xr:uid="{00000000-0005-0000-0000-0000D9870000}"/>
    <cellStyle name="Normal 3 3 2 2 7 3" xfId="34772" xr:uid="{00000000-0005-0000-0000-0000DA870000}"/>
    <cellStyle name="Normal 3 3 2 2 7 3 2" xfId="34773" xr:uid="{00000000-0005-0000-0000-0000DB870000}"/>
    <cellStyle name="Normal 3 3 2 2 7 4" xfId="34774" xr:uid="{00000000-0005-0000-0000-0000DC870000}"/>
    <cellStyle name="Normal 3 3 2 2 7 5" xfId="34775" xr:uid="{00000000-0005-0000-0000-0000DD870000}"/>
    <cellStyle name="Normal 3 3 2 2 8" xfId="34776" xr:uid="{00000000-0005-0000-0000-0000DE870000}"/>
    <cellStyle name="Normal 3 3 2 2 8 2" xfId="34777" xr:uid="{00000000-0005-0000-0000-0000DF870000}"/>
    <cellStyle name="Normal 3 3 2 2 9" xfId="34778" xr:uid="{00000000-0005-0000-0000-0000E0870000}"/>
    <cellStyle name="Normal 3 3 2 2 9 2" xfId="34779" xr:uid="{00000000-0005-0000-0000-0000E1870000}"/>
    <cellStyle name="Normal 3 3 2 3" xfId="34780" xr:uid="{00000000-0005-0000-0000-0000E2870000}"/>
    <cellStyle name="Normal 3 3 2 3 10" xfId="34781" xr:uid="{00000000-0005-0000-0000-0000E3870000}"/>
    <cellStyle name="Normal 3 3 2 3 2" xfId="34782" xr:uid="{00000000-0005-0000-0000-0000E4870000}"/>
    <cellStyle name="Normal 3 3 2 3 2 2" xfId="34783" xr:uid="{00000000-0005-0000-0000-0000E5870000}"/>
    <cellStyle name="Normal 3 3 2 3 2 2 2" xfId="34784" xr:uid="{00000000-0005-0000-0000-0000E6870000}"/>
    <cellStyle name="Normal 3 3 2 3 2 2 2 2" xfId="34785" xr:uid="{00000000-0005-0000-0000-0000E7870000}"/>
    <cellStyle name="Normal 3 3 2 3 2 2 2 2 2" xfId="34786" xr:uid="{00000000-0005-0000-0000-0000E8870000}"/>
    <cellStyle name="Normal 3 3 2 3 2 2 2 2 2 2" xfId="34787" xr:uid="{00000000-0005-0000-0000-0000E9870000}"/>
    <cellStyle name="Normal 3 3 2 3 2 2 2 2 2 2 2" xfId="34788" xr:uid="{00000000-0005-0000-0000-0000EA870000}"/>
    <cellStyle name="Normal 3 3 2 3 2 2 2 2 2 3" xfId="34789" xr:uid="{00000000-0005-0000-0000-0000EB870000}"/>
    <cellStyle name="Normal 3 3 2 3 2 2 2 2 2 4" xfId="34790" xr:uid="{00000000-0005-0000-0000-0000EC870000}"/>
    <cellStyle name="Normal 3 3 2 3 2 2 2 2 3" xfId="34791" xr:uid="{00000000-0005-0000-0000-0000ED870000}"/>
    <cellStyle name="Normal 3 3 2 3 2 2 2 2 3 2" xfId="34792" xr:uid="{00000000-0005-0000-0000-0000EE870000}"/>
    <cellStyle name="Normal 3 3 2 3 2 2 2 2 4" xfId="34793" xr:uid="{00000000-0005-0000-0000-0000EF870000}"/>
    <cellStyle name="Normal 3 3 2 3 2 2 2 2 5" xfId="34794" xr:uid="{00000000-0005-0000-0000-0000F0870000}"/>
    <cellStyle name="Normal 3 3 2 3 2 2 2 3" xfId="34795" xr:uid="{00000000-0005-0000-0000-0000F1870000}"/>
    <cellStyle name="Normal 3 3 2 3 2 2 2 3 2" xfId="34796" xr:uid="{00000000-0005-0000-0000-0000F2870000}"/>
    <cellStyle name="Normal 3 3 2 3 2 2 2 3 2 2" xfId="34797" xr:uid="{00000000-0005-0000-0000-0000F3870000}"/>
    <cellStyle name="Normal 3 3 2 3 2 2 2 3 3" xfId="34798" xr:uid="{00000000-0005-0000-0000-0000F4870000}"/>
    <cellStyle name="Normal 3 3 2 3 2 2 2 3 4" xfId="34799" xr:uid="{00000000-0005-0000-0000-0000F5870000}"/>
    <cellStyle name="Normal 3 3 2 3 2 2 2 4" xfId="34800" xr:uid="{00000000-0005-0000-0000-0000F6870000}"/>
    <cellStyle name="Normal 3 3 2 3 2 2 2 4 2" xfId="34801" xr:uid="{00000000-0005-0000-0000-0000F7870000}"/>
    <cellStyle name="Normal 3 3 2 3 2 2 2 5" xfId="34802" xr:uid="{00000000-0005-0000-0000-0000F8870000}"/>
    <cellStyle name="Normal 3 3 2 3 2 2 2 6" xfId="34803" xr:uid="{00000000-0005-0000-0000-0000F9870000}"/>
    <cellStyle name="Normal 3 3 2 3 2 2 3" xfId="34804" xr:uid="{00000000-0005-0000-0000-0000FA870000}"/>
    <cellStyle name="Normal 3 3 2 3 2 2 3 2" xfId="34805" xr:uid="{00000000-0005-0000-0000-0000FB870000}"/>
    <cellStyle name="Normal 3 3 2 3 2 2 3 2 2" xfId="34806" xr:uid="{00000000-0005-0000-0000-0000FC870000}"/>
    <cellStyle name="Normal 3 3 2 3 2 2 3 2 2 2" xfId="34807" xr:uid="{00000000-0005-0000-0000-0000FD870000}"/>
    <cellStyle name="Normal 3 3 2 3 2 2 3 2 3" xfId="34808" xr:uid="{00000000-0005-0000-0000-0000FE870000}"/>
    <cellStyle name="Normal 3 3 2 3 2 2 3 2 4" xfId="34809" xr:uid="{00000000-0005-0000-0000-0000FF870000}"/>
    <cellStyle name="Normal 3 3 2 3 2 2 3 3" xfId="34810" xr:uid="{00000000-0005-0000-0000-000000880000}"/>
    <cellStyle name="Normal 3 3 2 3 2 2 3 3 2" xfId="34811" xr:uid="{00000000-0005-0000-0000-000001880000}"/>
    <cellStyle name="Normal 3 3 2 3 2 2 3 4" xfId="34812" xr:uid="{00000000-0005-0000-0000-000002880000}"/>
    <cellStyle name="Normal 3 3 2 3 2 2 3 5" xfId="34813" xr:uid="{00000000-0005-0000-0000-000003880000}"/>
    <cellStyle name="Normal 3 3 2 3 2 2 4" xfId="34814" xr:uid="{00000000-0005-0000-0000-000004880000}"/>
    <cellStyle name="Normal 3 3 2 3 2 2 4 2" xfId="34815" xr:uid="{00000000-0005-0000-0000-000005880000}"/>
    <cellStyle name="Normal 3 3 2 3 2 2 4 2 2" xfId="34816" xr:uid="{00000000-0005-0000-0000-000006880000}"/>
    <cellStyle name="Normal 3 3 2 3 2 2 4 3" xfId="34817" xr:uid="{00000000-0005-0000-0000-000007880000}"/>
    <cellStyle name="Normal 3 3 2 3 2 2 4 4" xfId="34818" xr:uid="{00000000-0005-0000-0000-000008880000}"/>
    <cellStyle name="Normal 3 3 2 3 2 2 5" xfId="34819" xr:uid="{00000000-0005-0000-0000-000009880000}"/>
    <cellStyle name="Normal 3 3 2 3 2 2 5 2" xfId="34820" xr:uid="{00000000-0005-0000-0000-00000A880000}"/>
    <cellStyle name="Normal 3 3 2 3 2 2 6" xfId="34821" xr:uid="{00000000-0005-0000-0000-00000B880000}"/>
    <cellStyle name="Normal 3 3 2 3 2 2 7" xfId="34822" xr:uid="{00000000-0005-0000-0000-00000C880000}"/>
    <cellStyle name="Normal 3 3 2 3 2 3" xfId="34823" xr:uid="{00000000-0005-0000-0000-00000D880000}"/>
    <cellStyle name="Normal 3 3 2 3 2 3 2" xfId="34824" xr:uid="{00000000-0005-0000-0000-00000E880000}"/>
    <cellStyle name="Normal 3 3 2 3 2 3 2 2" xfId="34825" xr:uid="{00000000-0005-0000-0000-00000F880000}"/>
    <cellStyle name="Normal 3 3 2 3 2 3 2 2 2" xfId="34826" xr:uid="{00000000-0005-0000-0000-000010880000}"/>
    <cellStyle name="Normal 3 3 2 3 2 3 2 2 2 2" xfId="34827" xr:uid="{00000000-0005-0000-0000-000011880000}"/>
    <cellStyle name="Normal 3 3 2 3 2 3 2 2 3" xfId="34828" xr:uid="{00000000-0005-0000-0000-000012880000}"/>
    <cellStyle name="Normal 3 3 2 3 2 3 2 2 4" xfId="34829" xr:uid="{00000000-0005-0000-0000-000013880000}"/>
    <cellStyle name="Normal 3 3 2 3 2 3 2 3" xfId="34830" xr:uid="{00000000-0005-0000-0000-000014880000}"/>
    <cellStyle name="Normal 3 3 2 3 2 3 2 3 2" xfId="34831" xr:uid="{00000000-0005-0000-0000-000015880000}"/>
    <cellStyle name="Normal 3 3 2 3 2 3 2 4" xfId="34832" xr:uid="{00000000-0005-0000-0000-000016880000}"/>
    <cellStyle name="Normal 3 3 2 3 2 3 2 5" xfId="34833" xr:uid="{00000000-0005-0000-0000-000017880000}"/>
    <cellStyle name="Normal 3 3 2 3 2 3 3" xfId="34834" xr:uid="{00000000-0005-0000-0000-000018880000}"/>
    <cellStyle name="Normal 3 3 2 3 2 3 3 2" xfId="34835" xr:uid="{00000000-0005-0000-0000-000019880000}"/>
    <cellStyle name="Normal 3 3 2 3 2 3 3 2 2" xfId="34836" xr:uid="{00000000-0005-0000-0000-00001A880000}"/>
    <cellStyle name="Normal 3 3 2 3 2 3 3 3" xfId="34837" xr:uid="{00000000-0005-0000-0000-00001B880000}"/>
    <cellStyle name="Normal 3 3 2 3 2 3 3 3 2" xfId="34838" xr:uid="{00000000-0005-0000-0000-00001C880000}"/>
    <cellStyle name="Normal 3 3 2 3 2 3 3 4" xfId="34839" xr:uid="{00000000-0005-0000-0000-00001D880000}"/>
    <cellStyle name="Normal 3 3 2 3 2 3 3 5" xfId="34840" xr:uid="{00000000-0005-0000-0000-00001E880000}"/>
    <cellStyle name="Normal 3 3 2 3 2 3 4" xfId="34841" xr:uid="{00000000-0005-0000-0000-00001F880000}"/>
    <cellStyle name="Normal 3 3 2 3 2 3 4 2" xfId="34842" xr:uid="{00000000-0005-0000-0000-000020880000}"/>
    <cellStyle name="Normal 3 3 2 3 2 3 5" xfId="34843" xr:uid="{00000000-0005-0000-0000-000021880000}"/>
    <cellStyle name="Normal 3 3 2 3 2 3 5 2" xfId="34844" xr:uid="{00000000-0005-0000-0000-000022880000}"/>
    <cellStyle name="Normal 3 3 2 3 2 3 6" xfId="34845" xr:uid="{00000000-0005-0000-0000-000023880000}"/>
    <cellStyle name="Normal 3 3 2 3 2 3 7" xfId="34846" xr:uid="{00000000-0005-0000-0000-000024880000}"/>
    <cellStyle name="Normal 3 3 2 3 2 4" xfId="34847" xr:uid="{00000000-0005-0000-0000-000025880000}"/>
    <cellStyle name="Normal 3 3 2 3 2 4 2" xfId="34848" xr:uid="{00000000-0005-0000-0000-000026880000}"/>
    <cellStyle name="Normal 3 3 2 3 2 4 2 2" xfId="34849" xr:uid="{00000000-0005-0000-0000-000027880000}"/>
    <cellStyle name="Normal 3 3 2 3 2 4 2 2 2" xfId="34850" xr:uid="{00000000-0005-0000-0000-000028880000}"/>
    <cellStyle name="Normal 3 3 2 3 2 4 2 3" xfId="34851" xr:uid="{00000000-0005-0000-0000-000029880000}"/>
    <cellStyle name="Normal 3 3 2 3 2 4 2 4" xfId="34852" xr:uid="{00000000-0005-0000-0000-00002A880000}"/>
    <cellStyle name="Normal 3 3 2 3 2 4 3" xfId="34853" xr:uid="{00000000-0005-0000-0000-00002B880000}"/>
    <cellStyle name="Normal 3 3 2 3 2 4 3 2" xfId="34854" xr:uid="{00000000-0005-0000-0000-00002C880000}"/>
    <cellStyle name="Normal 3 3 2 3 2 4 4" xfId="34855" xr:uid="{00000000-0005-0000-0000-00002D880000}"/>
    <cellStyle name="Normal 3 3 2 3 2 4 5" xfId="34856" xr:uid="{00000000-0005-0000-0000-00002E880000}"/>
    <cellStyle name="Normal 3 3 2 3 2 5" xfId="34857" xr:uid="{00000000-0005-0000-0000-00002F880000}"/>
    <cellStyle name="Normal 3 3 2 3 2 5 2" xfId="34858" xr:uid="{00000000-0005-0000-0000-000030880000}"/>
    <cellStyle name="Normal 3 3 2 3 2 5 2 2" xfId="34859" xr:uid="{00000000-0005-0000-0000-000031880000}"/>
    <cellStyle name="Normal 3 3 2 3 2 5 3" xfId="34860" xr:uid="{00000000-0005-0000-0000-000032880000}"/>
    <cellStyle name="Normal 3 3 2 3 2 5 3 2" xfId="34861" xr:uid="{00000000-0005-0000-0000-000033880000}"/>
    <cellStyle name="Normal 3 3 2 3 2 5 4" xfId="34862" xr:uid="{00000000-0005-0000-0000-000034880000}"/>
    <cellStyle name="Normal 3 3 2 3 2 5 5" xfId="34863" xr:uid="{00000000-0005-0000-0000-000035880000}"/>
    <cellStyle name="Normal 3 3 2 3 2 6" xfId="34864" xr:uid="{00000000-0005-0000-0000-000036880000}"/>
    <cellStyle name="Normal 3 3 2 3 2 6 2" xfId="34865" xr:uid="{00000000-0005-0000-0000-000037880000}"/>
    <cellStyle name="Normal 3 3 2 3 2 7" xfId="34866" xr:uid="{00000000-0005-0000-0000-000038880000}"/>
    <cellStyle name="Normal 3 3 2 3 2 7 2" xfId="34867" xr:uid="{00000000-0005-0000-0000-000039880000}"/>
    <cellStyle name="Normal 3 3 2 3 2 8" xfId="34868" xr:uid="{00000000-0005-0000-0000-00003A880000}"/>
    <cellStyle name="Normal 3 3 2 3 2 9" xfId="34869" xr:uid="{00000000-0005-0000-0000-00003B880000}"/>
    <cellStyle name="Normal 3 3 2 3 3" xfId="34870" xr:uid="{00000000-0005-0000-0000-00003C880000}"/>
    <cellStyle name="Normal 3 3 2 3 3 2" xfId="34871" xr:uid="{00000000-0005-0000-0000-00003D880000}"/>
    <cellStyle name="Normal 3 3 2 3 3 2 2" xfId="34872" xr:uid="{00000000-0005-0000-0000-00003E880000}"/>
    <cellStyle name="Normal 3 3 2 3 3 2 2 2" xfId="34873" xr:uid="{00000000-0005-0000-0000-00003F880000}"/>
    <cellStyle name="Normal 3 3 2 3 3 2 2 2 2" xfId="34874" xr:uid="{00000000-0005-0000-0000-000040880000}"/>
    <cellStyle name="Normal 3 3 2 3 3 2 2 2 2 2" xfId="34875" xr:uid="{00000000-0005-0000-0000-000041880000}"/>
    <cellStyle name="Normal 3 3 2 3 3 2 2 2 3" xfId="34876" xr:uid="{00000000-0005-0000-0000-000042880000}"/>
    <cellStyle name="Normal 3 3 2 3 3 2 2 2 4" xfId="34877" xr:uid="{00000000-0005-0000-0000-000043880000}"/>
    <cellStyle name="Normal 3 3 2 3 3 2 2 3" xfId="34878" xr:uid="{00000000-0005-0000-0000-000044880000}"/>
    <cellStyle name="Normal 3 3 2 3 3 2 2 3 2" xfId="34879" xr:uid="{00000000-0005-0000-0000-000045880000}"/>
    <cellStyle name="Normal 3 3 2 3 3 2 2 4" xfId="34880" xr:uid="{00000000-0005-0000-0000-000046880000}"/>
    <cellStyle name="Normal 3 3 2 3 3 2 2 5" xfId="34881" xr:uid="{00000000-0005-0000-0000-000047880000}"/>
    <cellStyle name="Normal 3 3 2 3 3 2 3" xfId="34882" xr:uid="{00000000-0005-0000-0000-000048880000}"/>
    <cellStyle name="Normal 3 3 2 3 3 2 3 2" xfId="34883" xr:uid="{00000000-0005-0000-0000-000049880000}"/>
    <cellStyle name="Normal 3 3 2 3 3 2 3 2 2" xfId="34884" xr:uid="{00000000-0005-0000-0000-00004A880000}"/>
    <cellStyle name="Normal 3 3 2 3 3 2 3 3" xfId="34885" xr:uid="{00000000-0005-0000-0000-00004B880000}"/>
    <cellStyle name="Normal 3 3 2 3 3 2 3 3 2" xfId="34886" xr:uid="{00000000-0005-0000-0000-00004C880000}"/>
    <cellStyle name="Normal 3 3 2 3 3 2 3 4" xfId="34887" xr:uid="{00000000-0005-0000-0000-00004D880000}"/>
    <cellStyle name="Normal 3 3 2 3 3 2 3 5" xfId="34888" xr:uid="{00000000-0005-0000-0000-00004E880000}"/>
    <cellStyle name="Normal 3 3 2 3 3 2 4" xfId="34889" xr:uid="{00000000-0005-0000-0000-00004F880000}"/>
    <cellStyle name="Normal 3 3 2 3 3 2 4 2" xfId="34890" xr:uid="{00000000-0005-0000-0000-000050880000}"/>
    <cellStyle name="Normal 3 3 2 3 3 2 5" xfId="34891" xr:uid="{00000000-0005-0000-0000-000051880000}"/>
    <cellStyle name="Normal 3 3 2 3 3 2 5 2" xfId="34892" xr:uid="{00000000-0005-0000-0000-000052880000}"/>
    <cellStyle name="Normal 3 3 2 3 3 2 6" xfId="34893" xr:uid="{00000000-0005-0000-0000-000053880000}"/>
    <cellStyle name="Normal 3 3 2 3 3 2 7" xfId="34894" xr:uid="{00000000-0005-0000-0000-000054880000}"/>
    <cellStyle name="Normal 3 3 2 3 3 3" xfId="34895" xr:uid="{00000000-0005-0000-0000-000055880000}"/>
    <cellStyle name="Normal 3 3 2 3 3 3 2" xfId="34896" xr:uid="{00000000-0005-0000-0000-000056880000}"/>
    <cellStyle name="Normal 3 3 2 3 3 3 2 2" xfId="34897" xr:uid="{00000000-0005-0000-0000-000057880000}"/>
    <cellStyle name="Normal 3 3 2 3 3 3 2 2 2" xfId="34898" xr:uid="{00000000-0005-0000-0000-000058880000}"/>
    <cellStyle name="Normal 3 3 2 3 3 3 2 3" xfId="34899" xr:uid="{00000000-0005-0000-0000-000059880000}"/>
    <cellStyle name="Normal 3 3 2 3 3 3 2 4" xfId="34900" xr:uid="{00000000-0005-0000-0000-00005A880000}"/>
    <cellStyle name="Normal 3 3 2 3 3 3 3" xfId="34901" xr:uid="{00000000-0005-0000-0000-00005B880000}"/>
    <cellStyle name="Normal 3 3 2 3 3 3 3 2" xfId="34902" xr:uid="{00000000-0005-0000-0000-00005C880000}"/>
    <cellStyle name="Normal 3 3 2 3 3 3 4" xfId="34903" xr:uid="{00000000-0005-0000-0000-00005D880000}"/>
    <cellStyle name="Normal 3 3 2 3 3 3 5" xfId="34904" xr:uid="{00000000-0005-0000-0000-00005E880000}"/>
    <cellStyle name="Normal 3 3 2 3 3 4" xfId="34905" xr:uid="{00000000-0005-0000-0000-00005F880000}"/>
    <cellStyle name="Normal 3 3 2 3 3 4 2" xfId="34906" xr:uid="{00000000-0005-0000-0000-000060880000}"/>
    <cellStyle name="Normal 3 3 2 3 3 4 2 2" xfId="34907" xr:uid="{00000000-0005-0000-0000-000061880000}"/>
    <cellStyle name="Normal 3 3 2 3 3 4 3" xfId="34908" xr:uid="{00000000-0005-0000-0000-000062880000}"/>
    <cellStyle name="Normal 3 3 2 3 3 4 3 2" xfId="34909" xr:uid="{00000000-0005-0000-0000-000063880000}"/>
    <cellStyle name="Normal 3 3 2 3 3 4 4" xfId="34910" xr:uid="{00000000-0005-0000-0000-000064880000}"/>
    <cellStyle name="Normal 3 3 2 3 3 4 5" xfId="34911" xr:uid="{00000000-0005-0000-0000-000065880000}"/>
    <cellStyle name="Normal 3 3 2 3 3 5" xfId="34912" xr:uid="{00000000-0005-0000-0000-000066880000}"/>
    <cellStyle name="Normal 3 3 2 3 3 5 2" xfId="34913" xr:uid="{00000000-0005-0000-0000-000067880000}"/>
    <cellStyle name="Normal 3 3 2 3 3 6" xfId="34914" xr:uid="{00000000-0005-0000-0000-000068880000}"/>
    <cellStyle name="Normal 3 3 2 3 3 6 2" xfId="34915" xr:uid="{00000000-0005-0000-0000-000069880000}"/>
    <cellStyle name="Normal 3 3 2 3 3 7" xfId="34916" xr:uid="{00000000-0005-0000-0000-00006A880000}"/>
    <cellStyle name="Normal 3 3 2 3 3 8" xfId="34917" xr:uid="{00000000-0005-0000-0000-00006B880000}"/>
    <cellStyle name="Normal 3 3 2 3 4" xfId="34918" xr:uid="{00000000-0005-0000-0000-00006C880000}"/>
    <cellStyle name="Normal 3 3 2 3 4 2" xfId="34919" xr:uid="{00000000-0005-0000-0000-00006D880000}"/>
    <cellStyle name="Normal 3 3 2 3 4 2 2" xfId="34920" xr:uid="{00000000-0005-0000-0000-00006E880000}"/>
    <cellStyle name="Normal 3 3 2 3 4 2 2 2" xfId="34921" xr:uid="{00000000-0005-0000-0000-00006F880000}"/>
    <cellStyle name="Normal 3 3 2 3 4 2 2 2 2" xfId="34922" xr:uid="{00000000-0005-0000-0000-000070880000}"/>
    <cellStyle name="Normal 3 3 2 3 4 2 2 3" xfId="34923" xr:uid="{00000000-0005-0000-0000-000071880000}"/>
    <cellStyle name="Normal 3 3 2 3 4 2 2 4" xfId="34924" xr:uid="{00000000-0005-0000-0000-000072880000}"/>
    <cellStyle name="Normal 3 3 2 3 4 2 3" xfId="34925" xr:uid="{00000000-0005-0000-0000-000073880000}"/>
    <cellStyle name="Normal 3 3 2 3 4 2 3 2" xfId="34926" xr:uid="{00000000-0005-0000-0000-000074880000}"/>
    <cellStyle name="Normal 3 3 2 3 4 2 4" xfId="34927" xr:uid="{00000000-0005-0000-0000-000075880000}"/>
    <cellStyle name="Normal 3 3 2 3 4 2 5" xfId="34928" xr:uid="{00000000-0005-0000-0000-000076880000}"/>
    <cellStyle name="Normal 3 3 2 3 4 3" xfId="34929" xr:uid="{00000000-0005-0000-0000-000077880000}"/>
    <cellStyle name="Normal 3 3 2 3 4 3 2" xfId="34930" xr:uid="{00000000-0005-0000-0000-000078880000}"/>
    <cellStyle name="Normal 3 3 2 3 4 3 2 2" xfId="34931" xr:uid="{00000000-0005-0000-0000-000079880000}"/>
    <cellStyle name="Normal 3 3 2 3 4 3 3" xfId="34932" xr:uid="{00000000-0005-0000-0000-00007A880000}"/>
    <cellStyle name="Normal 3 3 2 3 4 3 3 2" xfId="34933" xr:uid="{00000000-0005-0000-0000-00007B880000}"/>
    <cellStyle name="Normal 3 3 2 3 4 3 4" xfId="34934" xr:uid="{00000000-0005-0000-0000-00007C880000}"/>
    <cellStyle name="Normal 3 3 2 3 4 3 5" xfId="34935" xr:uid="{00000000-0005-0000-0000-00007D880000}"/>
    <cellStyle name="Normal 3 3 2 3 4 4" xfId="34936" xr:uid="{00000000-0005-0000-0000-00007E880000}"/>
    <cellStyle name="Normal 3 3 2 3 4 4 2" xfId="34937" xr:uid="{00000000-0005-0000-0000-00007F880000}"/>
    <cellStyle name="Normal 3 3 2 3 4 5" xfId="34938" xr:uid="{00000000-0005-0000-0000-000080880000}"/>
    <cellStyle name="Normal 3 3 2 3 4 5 2" xfId="34939" xr:uid="{00000000-0005-0000-0000-000081880000}"/>
    <cellStyle name="Normal 3 3 2 3 4 6" xfId="34940" xr:uid="{00000000-0005-0000-0000-000082880000}"/>
    <cellStyle name="Normal 3 3 2 3 4 7" xfId="34941" xr:uid="{00000000-0005-0000-0000-000083880000}"/>
    <cellStyle name="Normal 3 3 2 3 5" xfId="34942" xr:uid="{00000000-0005-0000-0000-000084880000}"/>
    <cellStyle name="Normal 3 3 2 3 5 2" xfId="34943" xr:uid="{00000000-0005-0000-0000-000085880000}"/>
    <cellStyle name="Normal 3 3 2 3 5 2 2" xfId="34944" xr:uid="{00000000-0005-0000-0000-000086880000}"/>
    <cellStyle name="Normal 3 3 2 3 5 2 2 2" xfId="34945" xr:uid="{00000000-0005-0000-0000-000087880000}"/>
    <cellStyle name="Normal 3 3 2 3 5 2 3" xfId="34946" xr:uid="{00000000-0005-0000-0000-000088880000}"/>
    <cellStyle name="Normal 3 3 2 3 5 2 4" xfId="34947" xr:uid="{00000000-0005-0000-0000-000089880000}"/>
    <cellStyle name="Normal 3 3 2 3 5 3" xfId="34948" xr:uid="{00000000-0005-0000-0000-00008A880000}"/>
    <cellStyle name="Normal 3 3 2 3 5 3 2" xfId="34949" xr:uid="{00000000-0005-0000-0000-00008B880000}"/>
    <cellStyle name="Normal 3 3 2 3 5 4" xfId="34950" xr:uid="{00000000-0005-0000-0000-00008C880000}"/>
    <cellStyle name="Normal 3 3 2 3 5 5" xfId="34951" xr:uid="{00000000-0005-0000-0000-00008D880000}"/>
    <cellStyle name="Normal 3 3 2 3 6" xfId="34952" xr:uid="{00000000-0005-0000-0000-00008E880000}"/>
    <cellStyle name="Normal 3 3 2 3 6 2" xfId="34953" xr:uid="{00000000-0005-0000-0000-00008F880000}"/>
    <cellStyle name="Normal 3 3 2 3 6 2 2" xfId="34954" xr:uid="{00000000-0005-0000-0000-000090880000}"/>
    <cellStyle name="Normal 3 3 2 3 6 3" xfId="34955" xr:uid="{00000000-0005-0000-0000-000091880000}"/>
    <cellStyle name="Normal 3 3 2 3 6 3 2" xfId="34956" xr:uid="{00000000-0005-0000-0000-000092880000}"/>
    <cellStyle name="Normal 3 3 2 3 6 4" xfId="34957" xr:uid="{00000000-0005-0000-0000-000093880000}"/>
    <cellStyle name="Normal 3 3 2 3 6 5" xfId="34958" xr:uid="{00000000-0005-0000-0000-000094880000}"/>
    <cellStyle name="Normal 3 3 2 3 7" xfId="34959" xr:uid="{00000000-0005-0000-0000-000095880000}"/>
    <cellStyle name="Normal 3 3 2 3 7 2" xfId="34960" xr:uid="{00000000-0005-0000-0000-000096880000}"/>
    <cellStyle name="Normal 3 3 2 3 8" xfId="34961" xr:uid="{00000000-0005-0000-0000-000097880000}"/>
    <cellStyle name="Normal 3 3 2 3 8 2" xfId="34962" xr:uid="{00000000-0005-0000-0000-000098880000}"/>
    <cellStyle name="Normal 3 3 2 3 9" xfId="34963" xr:uid="{00000000-0005-0000-0000-000099880000}"/>
    <cellStyle name="Normal 3 3 2 4" xfId="34964" xr:uid="{00000000-0005-0000-0000-00009A880000}"/>
    <cellStyle name="Normal 3 3 2 4 2" xfId="34965" xr:uid="{00000000-0005-0000-0000-00009B880000}"/>
    <cellStyle name="Normal 3 3 2 4 2 2" xfId="34966" xr:uid="{00000000-0005-0000-0000-00009C880000}"/>
    <cellStyle name="Normal 3 3 2 4 2 2 2" xfId="34967" xr:uid="{00000000-0005-0000-0000-00009D880000}"/>
    <cellStyle name="Normal 3 3 2 4 2 2 2 2" xfId="34968" xr:uid="{00000000-0005-0000-0000-00009E880000}"/>
    <cellStyle name="Normal 3 3 2 4 2 2 2 2 2" xfId="34969" xr:uid="{00000000-0005-0000-0000-00009F880000}"/>
    <cellStyle name="Normal 3 3 2 4 2 2 2 2 2 2" xfId="34970" xr:uid="{00000000-0005-0000-0000-0000A0880000}"/>
    <cellStyle name="Normal 3 3 2 4 2 2 2 2 3" xfId="34971" xr:uid="{00000000-0005-0000-0000-0000A1880000}"/>
    <cellStyle name="Normal 3 3 2 4 2 2 2 2 4" xfId="34972" xr:uid="{00000000-0005-0000-0000-0000A2880000}"/>
    <cellStyle name="Normal 3 3 2 4 2 2 2 3" xfId="34973" xr:uid="{00000000-0005-0000-0000-0000A3880000}"/>
    <cellStyle name="Normal 3 3 2 4 2 2 2 3 2" xfId="34974" xr:uid="{00000000-0005-0000-0000-0000A4880000}"/>
    <cellStyle name="Normal 3 3 2 4 2 2 2 4" xfId="34975" xr:uid="{00000000-0005-0000-0000-0000A5880000}"/>
    <cellStyle name="Normal 3 3 2 4 2 2 2 5" xfId="34976" xr:uid="{00000000-0005-0000-0000-0000A6880000}"/>
    <cellStyle name="Normal 3 3 2 4 2 2 3" xfId="34977" xr:uid="{00000000-0005-0000-0000-0000A7880000}"/>
    <cellStyle name="Normal 3 3 2 4 2 2 3 2" xfId="34978" xr:uid="{00000000-0005-0000-0000-0000A8880000}"/>
    <cellStyle name="Normal 3 3 2 4 2 2 3 2 2" xfId="34979" xr:uid="{00000000-0005-0000-0000-0000A9880000}"/>
    <cellStyle name="Normal 3 3 2 4 2 2 3 3" xfId="34980" xr:uid="{00000000-0005-0000-0000-0000AA880000}"/>
    <cellStyle name="Normal 3 3 2 4 2 2 3 4" xfId="34981" xr:uid="{00000000-0005-0000-0000-0000AB880000}"/>
    <cellStyle name="Normal 3 3 2 4 2 2 4" xfId="34982" xr:uid="{00000000-0005-0000-0000-0000AC880000}"/>
    <cellStyle name="Normal 3 3 2 4 2 2 4 2" xfId="34983" xr:uid="{00000000-0005-0000-0000-0000AD880000}"/>
    <cellStyle name="Normal 3 3 2 4 2 2 5" xfId="34984" xr:uid="{00000000-0005-0000-0000-0000AE880000}"/>
    <cellStyle name="Normal 3 3 2 4 2 2 6" xfId="34985" xr:uid="{00000000-0005-0000-0000-0000AF880000}"/>
    <cellStyle name="Normal 3 3 2 4 2 3" xfId="34986" xr:uid="{00000000-0005-0000-0000-0000B0880000}"/>
    <cellStyle name="Normal 3 3 2 4 2 3 2" xfId="34987" xr:uid="{00000000-0005-0000-0000-0000B1880000}"/>
    <cellStyle name="Normal 3 3 2 4 2 3 2 2" xfId="34988" xr:uid="{00000000-0005-0000-0000-0000B2880000}"/>
    <cellStyle name="Normal 3 3 2 4 2 3 2 2 2" xfId="34989" xr:uid="{00000000-0005-0000-0000-0000B3880000}"/>
    <cellStyle name="Normal 3 3 2 4 2 3 2 3" xfId="34990" xr:uid="{00000000-0005-0000-0000-0000B4880000}"/>
    <cellStyle name="Normal 3 3 2 4 2 3 2 4" xfId="34991" xr:uid="{00000000-0005-0000-0000-0000B5880000}"/>
    <cellStyle name="Normal 3 3 2 4 2 3 3" xfId="34992" xr:uid="{00000000-0005-0000-0000-0000B6880000}"/>
    <cellStyle name="Normal 3 3 2 4 2 3 3 2" xfId="34993" xr:uid="{00000000-0005-0000-0000-0000B7880000}"/>
    <cellStyle name="Normal 3 3 2 4 2 3 4" xfId="34994" xr:uid="{00000000-0005-0000-0000-0000B8880000}"/>
    <cellStyle name="Normal 3 3 2 4 2 3 5" xfId="34995" xr:uid="{00000000-0005-0000-0000-0000B9880000}"/>
    <cellStyle name="Normal 3 3 2 4 2 4" xfId="34996" xr:uid="{00000000-0005-0000-0000-0000BA880000}"/>
    <cellStyle name="Normal 3 3 2 4 2 4 2" xfId="34997" xr:uid="{00000000-0005-0000-0000-0000BB880000}"/>
    <cellStyle name="Normal 3 3 2 4 2 4 2 2" xfId="34998" xr:uid="{00000000-0005-0000-0000-0000BC880000}"/>
    <cellStyle name="Normal 3 3 2 4 2 4 3" xfId="34999" xr:uid="{00000000-0005-0000-0000-0000BD880000}"/>
    <cellStyle name="Normal 3 3 2 4 2 4 4" xfId="35000" xr:uid="{00000000-0005-0000-0000-0000BE880000}"/>
    <cellStyle name="Normal 3 3 2 4 2 5" xfId="35001" xr:uid="{00000000-0005-0000-0000-0000BF880000}"/>
    <cellStyle name="Normal 3 3 2 4 2 5 2" xfId="35002" xr:uid="{00000000-0005-0000-0000-0000C0880000}"/>
    <cellStyle name="Normal 3 3 2 4 2 6" xfId="35003" xr:uid="{00000000-0005-0000-0000-0000C1880000}"/>
    <cellStyle name="Normal 3 3 2 4 2 7" xfId="35004" xr:uid="{00000000-0005-0000-0000-0000C2880000}"/>
    <cellStyle name="Normal 3 3 2 4 3" xfId="35005" xr:uid="{00000000-0005-0000-0000-0000C3880000}"/>
    <cellStyle name="Normal 3 3 2 4 3 2" xfId="35006" xr:uid="{00000000-0005-0000-0000-0000C4880000}"/>
    <cellStyle name="Normal 3 3 2 4 3 2 2" xfId="35007" xr:uid="{00000000-0005-0000-0000-0000C5880000}"/>
    <cellStyle name="Normal 3 3 2 4 3 2 2 2" xfId="35008" xr:uid="{00000000-0005-0000-0000-0000C6880000}"/>
    <cellStyle name="Normal 3 3 2 4 3 2 2 2 2" xfId="35009" xr:uid="{00000000-0005-0000-0000-0000C7880000}"/>
    <cellStyle name="Normal 3 3 2 4 3 2 2 3" xfId="35010" xr:uid="{00000000-0005-0000-0000-0000C8880000}"/>
    <cellStyle name="Normal 3 3 2 4 3 2 2 4" xfId="35011" xr:uid="{00000000-0005-0000-0000-0000C9880000}"/>
    <cellStyle name="Normal 3 3 2 4 3 2 3" xfId="35012" xr:uid="{00000000-0005-0000-0000-0000CA880000}"/>
    <cellStyle name="Normal 3 3 2 4 3 2 3 2" xfId="35013" xr:uid="{00000000-0005-0000-0000-0000CB880000}"/>
    <cellStyle name="Normal 3 3 2 4 3 2 4" xfId="35014" xr:uid="{00000000-0005-0000-0000-0000CC880000}"/>
    <cellStyle name="Normal 3 3 2 4 3 2 5" xfId="35015" xr:uid="{00000000-0005-0000-0000-0000CD880000}"/>
    <cellStyle name="Normal 3 3 2 4 3 3" xfId="35016" xr:uid="{00000000-0005-0000-0000-0000CE880000}"/>
    <cellStyle name="Normal 3 3 2 4 3 3 2" xfId="35017" xr:uid="{00000000-0005-0000-0000-0000CF880000}"/>
    <cellStyle name="Normal 3 3 2 4 3 3 2 2" xfId="35018" xr:uid="{00000000-0005-0000-0000-0000D0880000}"/>
    <cellStyle name="Normal 3 3 2 4 3 3 3" xfId="35019" xr:uid="{00000000-0005-0000-0000-0000D1880000}"/>
    <cellStyle name="Normal 3 3 2 4 3 3 3 2" xfId="35020" xr:uid="{00000000-0005-0000-0000-0000D2880000}"/>
    <cellStyle name="Normal 3 3 2 4 3 3 4" xfId="35021" xr:uid="{00000000-0005-0000-0000-0000D3880000}"/>
    <cellStyle name="Normal 3 3 2 4 3 3 5" xfId="35022" xr:uid="{00000000-0005-0000-0000-0000D4880000}"/>
    <cellStyle name="Normal 3 3 2 4 3 4" xfId="35023" xr:uid="{00000000-0005-0000-0000-0000D5880000}"/>
    <cellStyle name="Normal 3 3 2 4 3 4 2" xfId="35024" xr:uid="{00000000-0005-0000-0000-0000D6880000}"/>
    <cellStyle name="Normal 3 3 2 4 3 5" xfId="35025" xr:uid="{00000000-0005-0000-0000-0000D7880000}"/>
    <cellStyle name="Normal 3 3 2 4 3 5 2" xfId="35026" xr:uid="{00000000-0005-0000-0000-0000D8880000}"/>
    <cellStyle name="Normal 3 3 2 4 3 6" xfId="35027" xr:uid="{00000000-0005-0000-0000-0000D9880000}"/>
    <cellStyle name="Normal 3 3 2 4 3 7" xfId="35028" xr:uid="{00000000-0005-0000-0000-0000DA880000}"/>
    <cellStyle name="Normal 3 3 2 4 4" xfId="35029" xr:uid="{00000000-0005-0000-0000-0000DB880000}"/>
    <cellStyle name="Normal 3 3 2 4 4 2" xfId="35030" xr:uid="{00000000-0005-0000-0000-0000DC880000}"/>
    <cellStyle name="Normal 3 3 2 4 4 2 2" xfId="35031" xr:uid="{00000000-0005-0000-0000-0000DD880000}"/>
    <cellStyle name="Normal 3 3 2 4 4 2 2 2" xfId="35032" xr:uid="{00000000-0005-0000-0000-0000DE880000}"/>
    <cellStyle name="Normal 3 3 2 4 4 2 3" xfId="35033" xr:uid="{00000000-0005-0000-0000-0000DF880000}"/>
    <cellStyle name="Normal 3 3 2 4 4 2 4" xfId="35034" xr:uid="{00000000-0005-0000-0000-0000E0880000}"/>
    <cellStyle name="Normal 3 3 2 4 4 3" xfId="35035" xr:uid="{00000000-0005-0000-0000-0000E1880000}"/>
    <cellStyle name="Normal 3 3 2 4 4 3 2" xfId="35036" xr:uid="{00000000-0005-0000-0000-0000E2880000}"/>
    <cellStyle name="Normal 3 3 2 4 4 4" xfId="35037" xr:uid="{00000000-0005-0000-0000-0000E3880000}"/>
    <cellStyle name="Normal 3 3 2 4 4 5" xfId="35038" xr:uid="{00000000-0005-0000-0000-0000E4880000}"/>
    <cellStyle name="Normal 3 3 2 4 5" xfId="35039" xr:uid="{00000000-0005-0000-0000-0000E5880000}"/>
    <cellStyle name="Normal 3 3 2 4 5 2" xfId="35040" xr:uid="{00000000-0005-0000-0000-0000E6880000}"/>
    <cellStyle name="Normal 3 3 2 4 5 2 2" xfId="35041" xr:uid="{00000000-0005-0000-0000-0000E7880000}"/>
    <cellStyle name="Normal 3 3 2 4 5 3" xfId="35042" xr:uid="{00000000-0005-0000-0000-0000E8880000}"/>
    <cellStyle name="Normal 3 3 2 4 5 3 2" xfId="35043" xr:uid="{00000000-0005-0000-0000-0000E9880000}"/>
    <cellStyle name="Normal 3 3 2 4 5 4" xfId="35044" xr:uid="{00000000-0005-0000-0000-0000EA880000}"/>
    <cellStyle name="Normal 3 3 2 4 5 5" xfId="35045" xr:uid="{00000000-0005-0000-0000-0000EB880000}"/>
    <cellStyle name="Normal 3 3 2 4 6" xfId="35046" xr:uid="{00000000-0005-0000-0000-0000EC880000}"/>
    <cellStyle name="Normal 3 3 2 4 6 2" xfId="35047" xr:uid="{00000000-0005-0000-0000-0000ED880000}"/>
    <cellStyle name="Normal 3 3 2 4 7" xfId="35048" xr:uid="{00000000-0005-0000-0000-0000EE880000}"/>
    <cellStyle name="Normal 3 3 2 4 7 2" xfId="35049" xr:uid="{00000000-0005-0000-0000-0000EF880000}"/>
    <cellStyle name="Normal 3 3 2 4 8" xfId="35050" xr:uid="{00000000-0005-0000-0000-0000F0880000}"/>
    <cellStyle name="Normal 3 3 2 4 9" xfId="35051" xr:uid="{00000000-0005-0000-0000-0000F1880000}"/>
    <cellStyle name="Normal 3 3 2 5" xfId="35052" xr:uid="{00000000-0005-0000-0000-0000F2880000}"/>
    <cellStyle name="Normal 3 3 2 5 2" xfId="35053" xr:uid="{00000000-0005-0000-0000-0000F3880000}"/>
    <cellStyle name="Normal 3 3 2 5 2 2" xfId="35054" xr:uid="{00000000-0005-0000-0000-0000F4880000}"/>
    <cellStyle name="Normal 3 3 2 5 2 2 2" xfId="35055" xr:uid="{00000000-0005-0000-0000-0000F5880000}"/>
    <cellStyle name="Normal 3 3 2 5 2 2 2 2" xfId="35056" xr:uid="{00000000-0005-0000-0000-0000F6880000}"/>
    <cellStyle name="Normal 3 3 2 5 2 2 2 2 2" xfId="35057" xr:uid="{00000000-0005-0000-0000-0000F7880000}"/>
    <cellStyle name="Normal 3 3 2 5 2 2 2 3" xfId="35058" xr:uid="{00000000-0005-0000-0000-0000F8880000}"/>
    <cellStyle name="Normal 3 3 2 5 2 2 2 4" xfId="35059" xr:uid="{00000000-0005-0000-0000-0000F9880000}"/>
    <cellStyle name="Normal 3 3 2 5 2 2 3" xfId="35060" xr:uid="{00000000-0005-0000-0000-0000FA880000}"/>
    <cellStyle name="Normal 3 3 2 5 2 2 3 2" xfId="35061" xr:uid="{00000000-0005-0000-0000-0000FB880000}"/>
    <cellStyle name="Normal 3 3 2 5 2 2 4" xfId="35062" xr:uid="{00000000-0005-0000-0000-0000FC880000}"/>
    <cellStyle name="Normal 3 3 2 5 2 2 5" xfId="35063" xr:uid="{00000000-0005-0000-0000-0000FD880000}"/>
    <cellStyle name="Normal 3 3 2 5 2 3" xfId="35064" xr:uid="{00000000-0005-0000-0000-0000FE880000}"/>
    <cellStyle name="Normal 3 3 2 5 2 3 2" xfId="35065" xr:uid="{00000000-0005-0000-0000-0000FF880000}"/>
    <cellStyle name="Normal 3 3 2 5 2 3 2 2" xfId="35066" xr:uid="{00000000-0005-0000-0000-000000890000}"/>
    <cellStyle name="Normal 3 3 2 5 2 3 3" xfId="35067" xr:uid="{00000000-0005-0000-0000-000001890000}"/>
    <cellStyle name="Normal 3 3 2 5 2 3 3 2" xfId="35068" xr:uid="{00000000-0005-0000-0000-000002890000}"/>
    <cellStyle name="Normal 3 3 2 5 2 3 4" xfId="35069" xr:uid="{00000000-0005-0000-0000-000003890000}"/>
    <cellStyle name="Normal 3 3 2 5 2 3 5" xfId="35070" xr:uid="{00000000-0005-0000-0000-000004890000}"/>
    <cellStyle name="Normal 3 3 2 5 2 4" xfId="35071" xr:uid="{00000000-0005-0000-0000-000005890000}"/>
    <cellStyle name="Normal 3 3 2 5 2 4 2" xfId="35072" xr:uid="{00000000-0005-0000-0000-000006890000}"/>
    <cellStyle name="Normal 3 3 2 5 2 5" xfId="35073" xr:uid="{00000000-0005-0000-0000-000007890000}"/>
    <cellStyle name="Normal 3 3 2 5 2 5 2" xfId="35074" xr:uid="{00000000-0005-0000-0000-000008890000}"/>
    <cellStyle name="Normal 3 3 2 5 2 6" xfId="35075" xr:uid="{00000000-0005-0000-0000-000009890000}"/>
    <cellStyle name="Normal 3 3 2 5 2 7" xfId="35076" xr:uid="{00000000-0005-0000-0000-00000A890000}"/>
    <cellStyle name="Normal 3 3 2 5 3" xfId="35077" xr:uid="{00000000-0005-0000-0000-00000B890000}"/>
    <cellStyle name="Normal 3 3 2 5 3 2" xfId="35078" xr:uid="{00000000-0005-0000-0000-00000C890000}"/>
    <cellStyle name="Normal 3 3 2 5 3 2 2" xfId="35079" xr:uid="{00000000-0005-0000-0000-00000D890000}"/>
    <cellStyle name="Normal 3 3 2 5 3 2 2 2" xfId="35080" xr:uid="{00000000-0005-0000-0000-00000E890000}"/>
    <cellStyle name="Normal 3 3 2 5 3 2 3" xfId="35081" xr:uid="{00000000-0005-0000-0000-00000F890000}"/>
    <cellStyle name="Normal 3 3 2 5 3 2 4" xfId="35082" xr:uid="{00000000-0005-0000-0000-000010890000}"/>
    <cellStyle name="Normal 3 3 2 5 3 3" xfId="35083" xr:uid="{00000000-0005-0000-0000-000011890000}"/>
    <cellStyle name="Normal 3 3 2 5 3 3 2" xfId="35084" xr:uid="{00000000-0005-0000-0000-000012890000}"/>
    <cellStyle name="Normal 3 3 2 5 3 4" xfId="35085" xr:uid="{00000000-0005-0000-0000-000013890000}"/>
    <cellStyle name="Normal 3 3 2 5 3 5" xfId="35086" xr:uid="{00000000-0005-0000-0000-000014890000}"/>
    <cellStyle name="Normal 3 3 2 5 4" xfId="35087" xr:uid="{00000000-0005-0000-0000-000015890000}"/>
    <cellStyle name="Normal 3 3 2 5 4 2" xfId="35088" xr:uid="{00000000-0005-0000-0000-000016890000}"/>
    <cellStyle name="Normal 3 3 2 5 4 2 2" xfId="35089" xr:uid="{00000000-0005-0000-0000-000017890000}"/>
    <cellStyle name="Normal 3 3 2 5 4 3" xfId="35090" xr:uid="{00000000-0005-0000-0000-000018890000}"/>
    <cellStyle name="Normal 3 3 2 5 4 3 2" xfId="35091" xr:uid="{00000000-0005-0000-0000-000019890000}"/>
    <cellStyle name="Normal 3 3 2 5 4 4" xfId="35092" xr:uid="{00000000-0005-0000-0000-00001A890000}"/>
    <cellStyle name="Normal 3 3 2 5 4 5" xfId="35093" xr:uid="{00000000-0005-0000-0000-00001B890000}"/>
    <cellStyle name="Normal 3 3 2 5 5" xfId="35094" xr:uid="{00000000-0005-0000-0000-00001C890000}"/>
    <cellStyle name="Normal 3 3 2 5 5 2" xfId="35095" xr:uid="{00000000-0005-0000-0000-00001D890000}"/>
    <cellStyle name="Normal 3 3 2 5 6" xfId="35096" xr:uid="{00000000-0005-0000-0000-00001E890000}"/>
    <cellStyle name="Normal 3 3 2 5 6 2" xfId="35097" xr:uid="{00000000-0005-0000-0000-00001F890000}"/>
    <cellStyle name="Normal 3 3 2 5 7" xfId="35098" xr:uid="{00000000-0005-0000-0000-000020890000}"/>
    <cellStyle name="Normal 3 3 2 5 8" xfId="35099" xr:uid="{00000000-0005-0000-0000-000021890000}"/>
    <cellStyle name="Normal 3 3 2 6" xfId="35100" xr:uid="{00000000-0005-0000-0000-000022890000}"/>
    <cellStyle name="Normal 3 3 2 6 2" xfId="35101" xr:uid="{00000000-0005-0000-0000-000023890000}"/>
    <cellStyle name="Normal 3 3 2 6 2 2" xfId="35102" xr:uid="{00000000-0005-0000-0000-000024890000}"/>
    <cellStyle name="Normal 3 3 2 6 2 2 2" xfId="35103" xr:uid="{00000000-0005-0000-0000-000025890000}"/>
    <cellStyle name="Normal 3 3 2 6 2 2 2 2" xfId="35104" xr:uid="{00000000-0005-0000-0000-000026890000}"/>
    <cellStyle name="Normal 3 3 2 6 2 2 3" xfId="35105" xr:uid="{00000000-0005-0000-0000-000027890000}"/>
    <cellStyle name="Normal 3 3 2 6 2 2 4" xfId="35106" xr:uid="{00000000-0005-0000-0000-000028890000}"/>
    <cellStyle name="Normal 3 3 2 6 2 3" xfId="35107" xr:uid="{00000000-0005-0000-0000-000029890000}"/>
    <cellStyle name="Normal 3 3 2 6 2 3 2" xfId="35108" xr:uid="{00000000-0005-0000-0000-00002A890000}"/>
    <cellStyle name="Normal 3 3 2 6 2 4" xfId="35109" xr:uid="{00000000-0005-0000-0000-00002B890000}"/>
    <cellStyle name="Normal 3 3 2 6 2 5" xfId="35110" xr:uid="{00000000-0005-0000-0000-00002C890000}"/>
    <cellStyle name="Normal 3 3 2 6 3" xfId="35111" xr:uid="{00000000-0005-0000-0000-00002D890000}"/>
    <cellStyle name="Normal 3 3 2 6 3 2" xfId="35112" xr:uid="{00000000-0005-0000-0000-00002E890000}"/>
    <cellStyle name="Normal 3 3 2 6 3 2 2" xfId="35113" xr:uid="{00000000-0005-0000-0000-00002F890000}"/>
    <cellStyle name="Normal 3 3 2 6 3 3" xfId="35114" xr:uid="{00000000-0005-0000-0000-000030890000}"/>
    <cellStyle name="Normal 3 3 2 6 3 3 2" xfId="35115" xr:uid="{00000000-0005-0000-0000-000031890000}"/>
    <cellStyle name="Normal 3 3 2 6 3 4" xfId="35116" xr:uid="{00000000-0005-0000-0000-000032890000}"/>
    <cellStyle name="Normal 3 3 2 6 3 5" xfId="35117" xr:uid="{00000000-0005-0000-0000-000033890000}"/>
    <cellStyle name="Normal 3 3 2 6 4" xfId="35118" xr:uid="{00000000-0005-0000-0000-000034890000}"/>
    <cellStyle name="Normal 3 3 2 6 4 2" xfId="35119" xr:uid="{00000000-0005-0000-0000-000035890000}"/>
    <cellStyle name="Normal 3 3 2 6 5" xfId="35120" xr:uid="{00000000-0005-0000-0000-000036890000}"/>
    <cellStyle name="Normal 3 3 2 6 5 2" xfId="35121" xr:uid="{00000000-0005-0000-0000-000037890000}"/>
    <cellStyle name="Normal 3 3 2 6 6" xfId="35122" xr:uid="{00000000-0005-0000-0000-000038890000}"/>
    <cellStyle name="Normal 3 3 2 6 7" xfId="35123" xr:uid="{00000000-0005-0000-0000-000039890000}"/>
    <cellStyle name="Normal 3 3 2 7" xfId="35124" xr:uid="{00000000-0005-0000-0000-00003A890000}"/>
    <cellStyle name="Normal 3 3 2 7 2" xfId="35125" xr:uid="{00000000-0005-0000-0000-00003B890000}"/>
    <cellStyle name="Normal 3 3 2 7 2 2" xfId="35126" xr:uid="{00000000-0005-0000-0000-00003C890000}"/>
    <cellStyle name="Normal 3 3 2 7 2 2 2" xfId="35127" xr:uid="{00000000-0005-0000-0000-00003D890000}"/>
    <cellStyle name="Normal 3 3 2 7 2 3" xfId="35128" xr:uid="{00000000-0005-0000-0000-00003E890000}"/>
    <cellStyle name="Normal 3 3 2 7 2 4" xfId="35129" xr:uid="{00000000-0005-0000-0000-00003F890000}"/>
    <cellStyle name="Normal 3 3 2 7 3" xfId="35130" xr:uid="{00000000-0005-0000-0000-000040890000}"/>
    <cellStyle name="Normal 3 3 2 7 3 2" xfId="35131" xr:uid="{00000000-0005-0000-0000-000041890000}"/>
    <cellStyle name="Normal 3 3 2 7 4" xfId="35132" xr:uid="{00000000-0005-0000-0000-000042890000}"/>
    <cellStyle name="Normal 3 3 2 7 5" xfId="35133" xr:uid="{00000000-0005-0000-0000-000043890000}"/>
    <cellStyle name="Normal 3 3 2 8" xfId="35134" xr:uid="{00000000-0005-0000-0000-000044890000}"/>
    <cellStyle name="Normal 3 3 2 8 2" xfId="35135" xr:uid="{00000000-0005-0000-0000-000045890000}"/>
    <cellStyle name="Normal 3 3 2 8 2 2" xfId="35136" xr:uid="{00000000-0005-0000-0000-000046890000}"/>
    <cellStyle name="Normal 3 3 2 8 3" xfId="35137" xr:uid="{00000000-0005-0000-0000-000047890000}"/>
    <cellStyle name="Normal 3 3 2 8 3 2" xfId="35138" xr:uid="{00000000-0005-0000-0000-000048890000}"/>
    <cellStyle name="Normal 3 3 2 8 4" xfId="35139" xr:uid="{00000000-0005-0000-0000-000049890000}"/>
    <cellStyle name="Normal 3 3 2 8 5" xfId="35140" xr:uid="{00000000-0005-0000-0000-00004A890000}"/>
    <cellStyle name="Normal 3 3 2 9" xfId="35141" xr:uid="{00000000-0005-0000-0000-00004B890000}"/>
    <cellStyle name="Normal 3 3 2 9 2" xfId="35142" xr:uid="{00000000-0005-0000-0000-00004C890000}"/>
    <cellStyle name="Normal 3 3 3" xfId="35143" xr:uid="{00000000-0005-0000-0000-00004D890000}"/>
    <cellStyle name="Normal 3 3 3 10" xfId="35144" xr:uid="{00000000-0005-0000-0000-00004E890000}"/>
    <cellStyle name="Normal 3 3 3 11" xfId="35145" xr:uid="{00000000-0005-0000-0000-00004F890000}"/>
    <cellStyle name="Normal 3 3 3 2" xfId="35146" xr:uid="{00000000-0005-0000-0000-000050890000}"/>
    <cellStyle name="Normal 3 3 3 2 10" xfId="35147" xr:uid="{00000000-0005-0000-0000-000051890000}"/>
    <cellStyle name="Normal 3 3 3 2 2" xfId="35148" xr:uid="{00000000-0005-0000-0000-000052890000}"/>
    <cellStyle name="Normal 3 3 3 2 2 2" xfId="35149" xr:uid="{00000000-0005-0000-0000-000053890000}"/>
    <cellStyle name="Normal 3 3 3 2 2 2 2" xfId="35150" xr:uid="{00000000-0005-0000-0000-000054890000}"/>
    <cellStyle name="Normal 3 3 3 2 2 2 2 2" xfId="35151" xr:uid="{00000000-0005-0000-0000-000055890000}"/>
    <cellStyle name="Normal 3 3 3 2 2 2 2 2 2" xfId="35152" xr:uid="{00000000-0005-0000-0000-000056890000}"/>
    <cellStyle name="Normal 3 3 3 2 2 2 2 2 2 2" xfId="35153" xr:uid="{00000000-0005-0000-0000-000057890000}"/>
    <cellStyle name="Normal 3 3 3 2 2 2 2 2 2 2 2" xfId="35154" xr:uid="{00000000-0005-0000-0000-000058890000}"/>
    <cellStyle name="Normal 3 3 3 2 2 2 2 2 2 3" xfId="35155" xr:uid="{00000000-0005-0000-0000-000059890000}"/>
    <cellStyle name="Normal 3 3 3 2 2 2 2 2 2 4" xfId="35156" xr:uid="{00000000-0005-0000-0000-00005A890000}"/>
    <cellStyle name="Normal 3 3 3 2 2 2 2 2 3" xfId="35157" xr:uid="{00000000-0005-0000-0000-00005B890000}"/>
    <cellStyle name="Normal 3 3 3 2 2 2 2 2 3 2" xfId="35158" xr:uid="{00000000-0005-0000-0000-00005C890000}"/>
    <cellStyle name="Normal 3 3 3 2 2 2 2 2 4" xfId="35159" xr:uid="{00000000-0005-0000-0000-00005D890000}"/>
    <cellStyle name="Normal 3 3 3 2 2 2 2 2 5" xfId="35160" xr:uid="{00000000-0005-0000-0000-00005E890000}"/>
    <cellStyle name="Normal 3 3 3 2 2 2 2 3" xfId="35161" xr:uid="{00000000-0005-0000-0000-00005F890000}"/>
    <cellStyle name="Normal 3 3 3 2 2 2 2 3 2" xfId="35162" xr:uid="{00000000-0005-0000-0000-000060890000}"/>
    <cellStyle name="Normal 3 3 3 2 2 2 2 3 2 2" xfId="35163" xr:uid="{00000000-0005-0000-0000-000061890000}"/>
    <cellStyle name="Normal 3 3 3 2 2 2 2 3 3" xfId="35164" xr:uid="{00000000-0005-0000-0000-000062890000}"/>
    <cellStyle name="Normal 3 3 3 2 2 2 2 3 4" xfId="35165" xr:uid="{00000000-0005-0000-0000-000063890000}"/>
    <cellStyle name="Normal 3 3 3 2 2 2 2 4" xfId="35166" xr:uid="{00000000-0005-0000-0000-000064890000}"/>
    <cellStyle name="Normal 3 3 3 2 2 2 2 4 2" xfId="35167" xr:uid="{00000000-0005-0000-0000-000065890000}"/>
    <cellStyle name="Normal 3 3 3 2 2 2 2 5" xfId="35168" xr:uid="{00000000-0005-0000-0000-000066890000}"/>
    <cellStyle name="Normal 3 3 3 2 2 2 2 6" xfId="35169" xr:uid="{00000000-0005-0000-0000-000067890000}"/>
    <cellStyle name="Normal 3 3 3 2 2 2 3" xfId="35170" xr:uid="{00000000-0005-0000-0000-000068890000}"/>
    <cellStyle name="Normal 3 3 3 2 2 2 3 2" xfId="35171" xr:uid="{00000000-0005-0000-0000-000069890000}"/>
    <cellStyle name="Normal 3 3 3 2 2 2 3 2 2" xfId="35172" xr:uid="{00000000-0005-0000-0000-00006A890000}"/>
    <cellStyle name="Normal 3 3 3 2 2 2 3 2 2 2" xfId="35173" xr:uid="{00000000-0005-0000-0000-00006B890000}"/>
    <cellStyle name="Normal 3 3 3 2 2 2 3 2 3" xfId="35174" xr:uid="{00000000-0005-0000-0000-00006C890000}"/>
    <cellStyle name="Normal 3 3 3 2 2 2 3 2 4" xfId="35175" xr:uid="{00000000-0005-0000-0000-00006D890000}"/>
    <cellStyle name="Normal 3 3 3 2 2 2 3 3" xfId="35176" xr:uid="{00000000-0005-0000-0000-00006E890000}"/>
    <cellStyle name="Normal 3 3 3 2 2 2 3 3 2" xfId="35177" xr:uid="{00000000-0005-0000-0000-00006F890000}"/>
    <cellStyle name="Normal 3 3 3 2 2 2 3 4" xfId="35178" xr:uid="{00000000-0005-0000-0000-000070890000}"/>
    <cellStyle name="Normal 3 3 3 2 2 2 3 5" xfId="35179" xr:uid="{00000000-0005-0000-0000-000071890000}"/>
    <cellStyle name="Normal 3 3 3 2 2 2 4" xfId="35180" xr:uid="{00000000-0005-0000-0000-000072890000}"/>
    <cellStyle name="Normal 3 3 3 2 2 2 4 2" xfId="35181" xr:uid="{00000000-0005-0000-0000-000073890000}"/>
    <cellStyle name="Normal 3 3 3 2 2 2 4 2 2" xfId="35182" xr:uid="{00000000-0005-0000-0000-000074890000}"/>
    <cellStyle name="Normal 3 3 3 2 2 2 4 3" xfId="35183" xr:uid="{00000000-0005-0000-0000-000075890000}"/>
    <cellStyle name="Normal 3 3 3 2 2 2 4 4" xfId="35184" xr:uid="{00000000-0005-0000-0000-000076890000}"/>
    <cellStyle name="Normal 3 3 3 2 2 2 5" xfId="35185" xr:uid="{00000000-0005-0000-0000-000077890000}"/>
    <cellStyle name="Normal 3 3 3 2 2 2 5 2" xfId="35186" xr:uid="{00000000-0005-0000-0000-000078890000}"/>
    <cellStyle name="Normal 3 3 3 2 2 2 6" xfId="35187" xr:uid="{00000000-0005-0000-0000-000079890000}"/>
    <cellStyle name="Normal 3 3 3 2 2 2 7" xfId="35188" xr:uid="{00000000-0005-0000-0000-00007A890000}"/>
    <cellStyle name="Normal 3 3 3 2 2 3" xfId="35189" xr:uid="{00000000-0005-0000-0000-00007B890000}"/>
    <cellStyle name="Normal 3 3 3 2 2 3 2" xfId="35190" xr:uid="{00000000-0005-0000-0000-00007C890000}"/>
    <cellStyle name="Normal 3 3 3 2 2 3 2 2" xfId="35191" xr:uid="{00000000-0005-0000-0000-00007D890000}"/>
    <cellStyle name="Normal 3 3 3 2 2 3 2 2 2" xfId="35192" xr:uid="{00000000-0005-0000-0000-00007E890000}"/>
    <cellStyle name="Normal 3 3 3 2 2 3 2 2 2 2" xfId="35193" xr:uid="{00000000-0005-0000-0000-00007F890000}"/>
    <cellStyle name="Normal 3 3 3 2 2 3 2 2 3" xfId="35194" xr:uid="{00000000-0005-0000-0000-000080890000}"/>
    <cellStyle name="Normal 3 3 3 2 2 3 2 2 4" xfId="35195" xr:uid="{00000000-0005-0000-0000-000081890000}"/>
    <cellStyle name="Normal 3 3 3 2 2 3 2 3" xfId="35196" xr:uid="{00000000-0005-0000-0000-000082890000}"/>
    <cellStyle name="Normal 3 3 3 2 2 3 2 3 2" xfId="35197" xr:uid="{00000000-0005-0000-0000-000083890000}"/>
    <cellStyle name="Normal 3 3 3 2 2 3 2 4" xfId="35198" xr:uid="{00000000-0005-0000-0000-000084890000}"/>
    <cellStyle name="Normal 3 3 3 2 2 3 2 5" xfId="35199" xr:uid="{00000000-0005-0000-0000-000085890000}"/>
    <cellStyle name="Normal 3 3 3 2 2 3 3" xfId="35200" xr:uid="{00000000-0005-0000-0000-000086890000}"/>
    <cellStyle name="Normal 3 3 3 2 2 3 3 2" xfId="35201" xr:uid="{00000000-0005-0000-0000-000087890000}"/>
    <cellStyle name="Normal 3 3 3 2 2 3 3 2 2" xfId="35202" xr:uid="{00000000-0005-0000-0000-000088890000}"/>
    <cellStyle name="Normal 3 3 3 2 2 3 3 3" xfId="35203" xr:uid="{00000000-0005-0000-0000-000089890000}"/>
    <cellStyle name="Normal 3 3 3 2 2 3 3 3 2" xfId="35204" xr:uid="{00000000-0005-0000-0000-00008A890000}"/>
    <cellStyle name="Normal 3 3 3 2 2 3 3 4" xfId="35205" xr:uid="{00000000-0005-0000-0000-00008B890000}"/>
    <cellStyle name="Normal 3 3 3 2 2 3 3 5" xfId="35206" xr:uid="{00000000-0005-0000-0000-00008C890000}"/>
    <cellStyle name="Normal 3 3 3 2 2 3 4" xfId="35207" xr:uid="{00000000-0005-0000-0000-00008D890000}"/>
    <cellStyle name="Normal 3 3 3 2 2 3 4 2" xfId="35208" xr:uid="{00000000-0005-0000-0000-00008E890000}"/>
    <cellStyle name="Normal 3 3 3 2 2 3 5" xfId="35209" xr:uid="{00000000-0005-0000-0000-00008F890000}"/>
    <cellStyle name="Normal 3 3 3 2 2 3 5 2" xfId="35210" xr:uid="{00000000-0005-0000-0000-000090890000}"/>
    <cellStyle name="Normal 3 3 3 2 2 3 6" xfId="35211" xr:uid="{00000000-0005-0000-0000-000091890000}"/>
    <cellStyle name="Normal 3 3 3 2 2 3 7" xfId="35212" xr:uid="{00000000-0005-0000-0000-000092890000}"/>
    <cellStyle name="Normal 3 3 3 2 2 4" xfId="35213" xr:uid="{00000000-0005-0000-0000-000093890000}"/>
    <cellStyle name="Normal 3 3 3 2 2 4 2" xfId="35214" xr:uid="{00000000-0005-0000-0000-000094890000}"/>
    <cellStyle name="Normal 3 3 3 2 2 4 2 2" xfId="35215" xr:uid="{00000000-0005-0000-0000-000095890000}"/>
    <cellStyle name="Normal 3 3 3 2 2 4 2 2 2" xfId="35216" xr:uid="{00000000-0005-0000-0000-000096890000}"/>
    <cellStyle name="Normal 3 3 3 2 2 4 2 3" xfId="35217" xr:uid="{00000000-0005-0000-0000-000097890000}"/>
    <cellStyle name="Normal 3 3 3 2 2 4 2 4" xfId="35218" xr:uid="{00000000-0005-0000-0000-000098890000}"/>
    <cellStyle name="Normal 3 3 3 2 2 4 3" xfId="35219" xr:uid="{00000000-0005-0000-0000-000099890000}"/>
    <cellStyle name="Normal 3 3 3 2 2 4 3 2" xfId="35220" xr:uid="{00000000-0005-0000-0000-00009A890000}"/>
    <cellStyle name="Normal 3 3 3 2 2 4 4" xfId="35221" xr:uid="{00000000-0005-0000-0000-00009B890000}"/>
    <cellStyle name="Normal 3 3 3 2 2 4 5" xfId="35222" xr:uid="{00000000-0005-0000-0000-00009C890000}"/>
    <cellStyle name="Normal 3 3 3 2 2 5" xfId="35223" xr:uid="{00000000-0005-0000-0000-00009D890000}"/>
    <cellStyle name="Normal 3 3 3 2 2 5 2" xfId="35224" xr:uid="{00000000-0005-0000-0000-00009E890000}"/>
    <cellStyle name="Normal 3 3 3 2 2 5 2 2" xfId="35225" xr:uid="{00000000-0005-0000-0000-00009F890000}"/>
    <cellStyle name="Normal 3 3 3 2 2 5 3" xfId="35226" xr:uid="{00000000-0005-0000-0000-0000A0890000}"/>
    <cellStyle name="Normal 3 3 3 2 2 5 3 2" xfId="35227" xr:uid="{00000000-0005-0000-0000-0000A1890000}"/>
    <cellStyle name="Normal 3 3 3 2 2 5 4" xfId="35228" xr:uid="{00000000-0005-0000-0000-0000A2890000}"/>
    <cellStyle name="Normal 3 3 3 2 2 5 5" xfId="35229" xr:uid="{00000000-0005-0000-0000-0000A3890000}"/>
    <cellStyle name="Normal 3 3 3 2 2 6" xfId="35230" xr:uid="{00000000-0005-0000-0000-0000A4890000}"/>
    <cellStyle name="Normal 3 3 3 2 2 6 2" xfId="35231" xr:uid="{00000000-0005-0000-0000-0000A5890000}"/>
    <cellStyle name="Normal 3 3 3 2 2 7" xfId="35232" xr:uid="{00000000-0005-0000-0000-0000A6890000}"/>
    <cellStyle name="Normal 3 3 3 2 2 7 2" xfId="35233" xr:uid="{00000000-0005-0000-0000-0000A7890000}"/>
    <cellStyle name="Normal 3 3 3 2 2 8" xfId="35234" xr:uid="{00000000-0005-0000-0000-0000A8890000}"/>
    <cellStyle name="Normal 3 3 3 2 2 9" xfId="35235" xr:uid="{00000000-0005-0000-0000-0000A9890000}"/>
    <cellStyle name="Normal 3 3 3 2 3" xfId="35236" xr:uid="{00000000-0005-0000-0000-0000AA890000}"/>
    <cellStyle name="Normal 3 3 3 2 3 2" xfId="35237" xr:uid="{00000000-0005-0000-0000-0000AB890000}"/>
    <cellStyle name="Normal 3 3 3 2 3 2 2" xfId="35238" xr:uid="{00000000-0005-0000-0000-0000AC890000}"/>
    <cellStyle name="Normal 3 3 3 2 3 2 2 2" xfId="35239" xr:uid="{00000000-0005-0000-0000-0000AD890000}"/>
    <cellStyle name="Normal 3 3 3 2 3 2 2 2 2" xfId="35240" xr:uid="{00000000-0005-0000-0000-0000AE890000}"/>
    <cellStyle name="Normal 3 3 3 2 3 2 2 2 2 2" xfId="35241" xr:uid="{00000000-0005-0000-0000-0000AF890000}"/>
    <cellStyle name="Normal 3 3 3 2 3 2 2 2 3" xfId="35242" xr:uid="{00000000-0005-0000-0000-0000B0890000}"/>
    <cellStyle name="Normal 3 3 3 2 3 2 2 2 4" xfId="35243" xr:uid="{00000000-0005-0000-0000-0000B1890000}"/>
    <cellStyle name="Normal 3 3 3 2 3 2 2 3" xfId="35244" xr:uid="{00000000-0005-0000-0000-0000B2890000}"/>
    <cellStyle name="Normal 3 3 3 2 3 2 2 3 2" xfId="35245" xr:uid="{00000000-0005-0000-0000-0000B3890000}"/>
    <cellStyle name="Normal 3 3 3 2 3 2 2 4" xfId="35246" xr:uid="{00000000-0005-0000-0000-0000B4890000}"/>
    <cellStyle name="Normal 3 3 3 2 3 2 2 5" xfId="35247" xr:uid="{00000000-0005-0000-0000-0000B5890000}"/>
    <cellStyle name="Normal 3 3 3 2 3 2 3" xfId="35248" xr:uid="{00000000-0005-0000-0000-0000B6890000}"/>
    <cellStyle name="Normal 3 3 3 2 3 2 3 2" xfId="35249" xr:uid="{00000000-0005-0000-0000-0000B7890000}"/>
    <cellStyle name="Normal 3 3 3 2 3 2 3 2 2" xfId="35250" xr:uid="{00000000-0005-0000-0000-0000B8890000}"/>
    <cellStyle name="Normal 3 3 3 2 3 2 3 3" xfId="35251" xr:uid="{00000000-0005-0000-0000-0000B9890000}"/>
    <cellStyle name="Normal 3 3 3 2 3 2 3 4" xfId="35252" xr:uid="{00000000-0005-0000-0000-0000BA890000}"/>
    <cellStyle name="Normal 3 3 3 2 3 2 4" xfId="35253" xr:uid="{00000000-0005-0000-0000-0000BB890000}"/>
    <cellStyle name="Normal 3 3 3 2 3 2 4 2" xfId="35254" xr:uid="{00000000-0005-0000-0000-0000BC890000}"/>
    <cellStyle name="Normal 3 3 3 2 3 2 5" xfId="35255" xr:uid="{00000000-0005-0000-0000-0000BD890000}"/>
    <cellStyle name="Normal 3 3 3 2 3 2 6" xfId="35256" xr:uid="{00000000-0005-0000-0000-0000BE890000}"/>
    <cellStyle name="Normal 3 3 3 2 3 3" xfId="35257" xr:uid="{00000000-0005-0000-0000-0000BF890000}"/>
    <cellStyle name="Normal 3 3 3 2 3 3 2" xfId="35258" xr:uid="{00000000-0005-0000-0000-0000C0890000}"/>
    <cellStyle name="Normal 3 3 3 2 3 3 2 2" xfId="35259" xr:uid="{00000000-0005-0000-0000-0000C1890000}"/>
    <cellStyle name="Normal 3 3 3 2 3 3 2 2 2" xfId="35260" xr:uid="{00000000-0005-0000-0000-0000C2890000}"/>
    <cellStyle name="Normal 3 3 3 2 3 3 2 3" xfId="35261" xr:uid="{00000000-0005-0000-0000-0000C3890000}"/>
    <cellStyle name="Normal 3 3 3 2 3 3 2 4" xfId="35262" xr:uid="{00000000-0005-0000-0000-0000C4890000}"/>
    <cellStyle name="Normal 3 3 3 2 3 3 3" xfId="35263" xr:uid="{00000000-0005-0000-0000-0000C5890000}"/>
    <cellStyle name="Normal 3 3 3 2 3 3 3 2" xfId="35264" xr:uid="{00000000-0005-0000-0000-0000C6890000}"/>
    <cellStyle name="Normal 3 3 3 2 3 3 4" xfId="35265" xr:uid="{00000000-0005-0000-0000-0000C7890000}"/>
    <cellStyle name="Normal 3 3 3 2 3 3 5" xfId="35266" xr:uid="{00000000-0005-0000-0000-0000C8890000}"/>
    <cellStyle name="Normal 3 3 3 2 3 4" xfId="35267" xr:uid="{00000000-0005-0000-0000-0000C9890000}"/>
    <cellStyle name="Normal 3 3 3 2 3 4 2" xfId="35268" xr:uid="{00000000-0005-0000-0000-0000CA890000}"/>
    <cellStyle name="Normal 3 3 3 2 3 4 2 2" xfId="35269" xr:uid="{00000000-0005-0000-0000-0000CB890000}"/>
    <cellStyle name="Normal 3 3 3 2 3 4 3" xfId="35270" xr:uid="{00000000-0005-0000-0000-0000CC890000}"/>
    <cellStyle name="Normal 3 3 3 2 3 4 4" xfId="35271" xr:uid="{00000000-0005-0000-0000-0000CD890000}"/>
    <cellStyle name="Normal 3 3 3 2 3 5" xfId="35272" xr:uid="{00000000-0005-0000-0000-0000CE890000}"/>
    <cellStyle name="Normal 3 3 3 2 3 5 2" xfId="35273" xr:uid="{00000000-0005-0000-0000-0000CF890000}"/>
    <cellStyle name="Normal 3 3 3 2 3 6" xfId="35274" xr:uid="{00000000-0005-0000-0000-0000D0890000}"/>
    <cellStyle name="Normal 3 3 3 2 3 7" xfId="35275" xr:uid="{00000000-0005-0000-0000-0000D1890000}"/>
    <cellStyle name="Normal 3 3 3 2 4" xfId="35276" xr:uid="{00000000-0005-0000-0000-0000D2890000}"/>
    <cellStyle name="Normal 3 3 3 2 4 2" xfId="35277" xr:uid="{00000000-0005-0000-0000-0000D3890000}"/>
    <cellStyle name="Normal 3 3 3 2 4 2 2" xfId="35278" xr:uid="{00000000-0005-0000-0000-0000D4890000}"/>
    <cellStyle name="Normal 3 3 3 2 4 2 2 2" xfId="35279" xr:uid="{00000000-0005-0000-0000-0000D5890000}"/>
    <cellStyle name="Normal 3 3 3 2 4 2 2 2 2" xfId="35280" xr:uid="{00000000-0005-0000-0000-0000D6890000}"/>
    <cellStyle name="Normal 3 3 3 2 4 2 2 3" xfId="35281" xr:uid="{00000000-0005-0000-0000-0000D7890000}"/>
    <cellStyle name="Normal 3 3 3 2 4 2 2 4" xfId="35282" xr:uid="{00000000-0005-0000-0000-0000D8890000}"/>
    <cellStyle name="Normal 3 3 3 2 4 2 3" xfId="35283" xr:uid="{00000000-0005-0000-0000-0000D9890000}"/>
    <cellStyle name="Normal 3 3 3 2 4 2 3 2" xfId="35284" xr:uid="{00000000-0005-0000-0000-0000DA890000}"/>
    <cellStyle name="Normal 3 3 3 2 4 2 4" xfId="35285" xr:uid="{00000000-0005-0000-0000-0000DB890000}"/>
    <cellStyle name="Normal 3 3 3 2 4 2 5" xfId="35286" xr:uid="{00000000-0005-0000-0000-0000DC890000}"/>
    <cellStyle name="Normal 3 3 3 2 4 3" xfId="35287" xr:uid="{00000000-0005-0000-0000-0000DD890000}"/>
    <cellStyle name="Normal 3 3 3 2 4 3 2" xfId="35288" xr:uid="{00000000-0005-0000-0000-0000DE890000}"/>
    <cellStyle name="Normal 3 3 3 2 4 3 2 2" xfId="35289" xr:uid="{00000000-0005-0000-0000-0000DF890000}"/>
    <cellStyle name="Normal 3 3 3 2 4 3 3" xfId="35290" xr:uid="{00000000-0005-0000-0000-0000E0890000}"/>
    <cellStyle name="Normal 3 3 3 2 4 3 3 2" xfId="35291" xr:uid="{00000000-0005-0000-0000-0000E1890000}"/>
    <cellStyle name="Normal 3 3 3 2 4 3 4" xfId="35292" xr:uid="{00000000-0005-0000-0000-0000E2890000}"/>
    <cellStyle name="Normal 3 3 3 2 4 3 5" xfId="35293" xr:uid="{00000000-0005-0000-0000-0000E3890000}"/>
    <cellStyle name="Normal 3 3 3 2 4 4" xfId="35294" xr:uid="{00000000-0005-0000-0000-0000E4890000}"/>
    <cellStyle name="Normal 3 3 3 2 4 4 2" xfId="35295" xr:uid="{00000000-0005-0000-0000-0000E5890000}"/>
    <cellStyle name="Normal 3 3 3 2 4 5" xfId="35296" xr:uid="{00000000-0005-0000-0000-0000E6890000}"/>
    <cellStyle name="Normal 3 3 3 2 4 5 2" xfId="35297" xr:uid="{00000000-0005-0000-0000-0000E7890000}"/>
    <cellStyle name="Normal 3 3 3 2 4 6" xfId="35298" xr:uid="{00000000-0005-0000-0000-0000E8890000}"/>
    <cellStyle name="Normal 3 3 3 2 4 7" xfId="35299" xr:uid="{00000000-0005-0000-0000-0000E9890000}"/>
    <cellStyle name="Normal 3 3 3 2 5" xfId="35300" xr:uid="{00000000-0005-0000-0000-0000EA890000}"/>
    <cellStyle name="Normal 3 3 3 2 5 2" xfId="35301" xr:uid="{00000000-0005-0000-0000-0000EB890000}"/>
    <cellStyle name="Normal 3 3 3 2 5 2 2" xfId="35302" xr:uid="{00000000-0005-0000-0000-0000EC890000}"/>
    <cellStyle name="Normal 3 3 3 2 5 2 2 2" xfId="35303" xr:uid="{00000000-0005-0000-0000-0000ED890000}"/>
    <cellStyle name="Normal 3 3 3 2 5 2 3" xfId="35304" xr:uid="{00000000-0005-0000-0000-0000EE890000}"/>
    <cellStyle name="Normal 3 3 3 2 5 2 4" xfId="35305" xr:uid="{00000000-0005-0000-0000-0000EF890000}"/>
    <cellStyle name="Normal 3 3 3 2 5 3" xfId="35306" xr:uid="{00000000-0005-0000-0000-0000F0890000}"/>
    <cellStyle name="Normal 3 3 3 2 5 3 2" xfId="35307" xr:uid="{00000000-0005-0000-0000-0000F1890000}"/>
    <cellStyle name="Normal 3 3 3 2 5 4" xfId="35308" xr:uid="{00000000-0005-0000-0000-0000F2890000}"/>
    <cellStyle name="Normal 3 3 3 2 5 5" xfId="35309" xr:uid="{00000000-0005-0000-0000-0000F3890000}"/>
    <cellStyle name="Normal 3 3 3 2 6" xfId="35310" xr:uid="{00000000-0005-0000-0000-0000F4890000}"/>
    <cellStyle name="Normal 3 3 3 2 6 2" xfId="35311" xr:uid="{00000000-0005-0000-0000-0000F5890000}"/>
    <cellStyle name="Normal 3 3 3 2 6 2 2" xfId="35312" xr:uid="{00000000-0005-0000-0000-0000F6890000}"/>
    <cellStyle name="Normal 3 3 3 2 6 3" xfId="35313" xr:uid="{00000000-0005-0000-0000-0000F7890000}"/>
    <cellStyle name="Normal 3 3 3 2 6 3 2" xfId="35314" xr:uid="{00000000-0005-0000-0000-0000F8890000}"/>
    <cellStyle name="Normal 3 3 3 2 6 4" xfId="35315" xr:uid="{00000000-0005-0000-0000-0000F9890000}"/>
    <cellStyle name="Normal 3 3 3 2 6 5" xfId="35316" xr:uid="{00000000-0005-0000-0000-0000FA890000}"/>
    <cellStyle name="Normal 3 3 3 2 7" xfId="35317" xr:uid="{00000000-0005-0000-0000-0000FB890000}"/>
    <cellStyle name="Normal 3 3 3 2 7 2" xfId="35318" xr:uid="{00000000-0005-0000-0000-0000FC890000}"/>
    <cellStyle name="Normal 3 3 3 2 8" xfId="35319" xr:uid="{00000000-0005-0000-0000-0000FD890000}"/>
    <cellStyle name="Normal 3 3 3 2 8 2" xfId="35320" xr:uid="{00000000-0005-0000-0000-0000FE890000}"/>
    <cellStyle name="Normal 3 3 3 2 9" xfId="35321" xr:uid="{00000000-0005-0000-0000-0000FF890000}"/>
    <cellStyle name="Normal 3 3 3 3" xfId="35322" xr:uid="{00000000-0005-0000-0000-0000008A0000}"/>
    <cellStyle name="Normal 3 3 3 3 2" xfId="35323" xr:uid="{00000000-0005-0000-0000-0000018A0000}"/>
    <cellStyle name="Normal 3 3 3 3 2 2" xfId="35324" xr:uid="{00000000-0005-0000-0000-0000028A0000}"/>
    <cellStyle name="Normal 3 3 3 3 2 2 2" xfId="35325" xr:uid="{00000000-0005-0000-0000-0000038A0000}"/>
    <cellStyle name="Normal 3 3 3 3 2 2 2 2" xfId="35326" xr:uid="{00000000-0005-0000-0000-0000048A0000}"/>
    <cellStyle name="Normal 3 3 3 3 2 2 2 2 2" xfId="35327" xr:uid="{00000000-0005-0000-0000-0000058A0000}"/>
    <cellStyle name="Normal 3 3 3 3 2 2 2 2 2 2" xfId="35328" xr:uid="{00000000-0005-0000-0000-0000068A0000}"/>
    <cellStyle name="Normal 3 3 3 3 2 2 2 2 3" xfId="35329" xr:uid="{00000000-0005-0000-0000-0000078A0000}"/>
    <cellStyle name="Normal 3 3 3 3 2 2 2 2 4" xfId="35330" xr:uid="{00000000-0005-0000-0000-0000088A0000}"/>
    <cellStyle name="Normal 3 3 3 3 2 2 2 3" xfId="35331" xr:uid="{00000000-0005-0000-0000-0000098A0000}"/>
    <cellStyle name="Normal 3 3 3 3 2 2 2 3 2" xfId="35332" xr:uid="{00000000-0005-0000-0000-00000A8A0000}"/>
    <cellStyle name="Normal 3 3 3 3 2 2 2 4" xfId="35333" xr:uid="{00000000-0005-0000-0000-00000B8A0000}"/>
    <cellStyle name="Normal 3 3 3 3 2 2 2 5" xfId="35334" xr:uid="{00000000-0005-0000-0000-00000C8A0000}"/>
    <cellStyle name="Normal 3 3 3 3 2 2 3" xfId="35335" xr:uid="{00000000-0005-0000-0000-00000D8A0000}"/>
    <cellStyle name="Normal 3 3 3 3 2 2 3 2" xfId="35336" xr:uid="{00000000-0005-0000-0000-00000E8A0000}"/>
    <cellStyle name="Normal 3 3 3 3 2 2 3 2 2" xfId="35337" xr:uid="{00000000-0005-0000-0000-00000F8A0000}"/>
    <cellStyle name="Normal 3 3 3 3 2 2 3 3" xfId="35338" xr:uid="{00000000-0005-0000-0000-0000108A0000}"/>
    <cellStyle name="Normal 3 3 3 3 2 2 3 4" xfId="35339" xr:uid="{00000000-0005-0000-0000-0000118A0000}"/>
    <cellStyle name="Normal 3 3 3 3 2 2 4" xfId="35340" xr:uid="{00000000-0005-0000-0000-0000128A0000}"/>
    <cellStyle name="Normal 3 3 3 3 2 2 4 2" xfId="35341" xr:uid="{00000000-0005-0000-0000-0000138A0000}"/>
    <cellStyle name="Normal 3 3 3 3 2 2 5" xfId="35342" xr:uid="{00000000-0005-0000-0000-0000148A0000}"/>
    <cellStyle name="Normal 3 3 3 3 2 2 6" xfId="35343" xr:uid="{00000000-0005-0000-0000-0000158A0000}"/>
    <cellStyle name="Normal 3 3 3 3 2 3" xfId="35344" xr:uid="{00000000-0005-0000-0000-0000168A0000}"/>
    <cellStyle name="Normal 3 3 3 3 2 3 2" xfId="35345" xr:uid="{00000000-0005-0000-0000-0000178A0000}"/>
    <cellStyle name="Normal 3 3 3 3 2 3 2 2" xfId="35346" xr:uid="{00000000-0005-0000-0000-0000188A0000}"/>
    <cellStyle name="Normal 3 3 3 3 2 3 2 2 2" xfId="35347" xr:uid="{00000000-0005-0000-0000-0000198A0000}"/>
    <cellStyle name="Normal 3 3 3 3 2 3 2 3" xfId="35348" xr:uid="{00000000-0005-0000-0000-00001A8A0000}"/>
    <cellStyle name="Normal 3 3 3 3 2 3 2 4" xfId="35349" xr:uid="{00000000-0005-0000-0000-00001B8A0000}"/>
    <cellStyle name="Normal 3 3 3 3 2 3 3" xfId="35350" xr:uid="{00000000-0005-0000-0000-00001C8A0000}"/>
    <cellStyle name="Normal 3 3 3 3 2 3 3 2" xfId="35351" xr:uid="{00000000-0005-0000-0000-00001D8A0000}"/>
    <cellStyle name="Normal 3 3 3 3 2 3 4" xfId="35352" xr:uid="{00000000-0005-0000-0000-00001E8A0000}"/>
    <cellStyle name="Normal 3 3 3 3 2 3 5" xfId="35353" xr:uid="{00000000-0005-0000-0000-00001F8A0000}"/>
    <cellStyle name="Normal 3 3 3 3 2 4" xfId="35354" xr:uid="{00000000-0005-0000-0000-0000208A0000}"/>
    <cellStyle name="Normal 3 3 3 3 2 4 2" xfId="35355" xr:uid="{00000000-0005-0000-0000-0000218A0000}"/>
    <cellStyle name="Normal 3 3 3 3 2 4 2 2" xfId="35356" xr:uid="{00000000-0005-0000-0000-0000228A0000}"/>
    <cellStyle name="Normal 3 3 3 3 2 4 3" xfId="35357" xr:uid="{00000000-0005-0000-0000-0000238A0000}"/>
    <cellStyle name="Normal 3 3 3 3 2 4 4" xfId="35358" xr:uid="{00000000-0005-0000-0000-0000248A0000}"/>
    <cellStyle name="Normal 3 3 3 3 2 5" xfId="35359" xr:uid="{00000000-0005-0000-0000-0000258A0000}"/>
    <cellStyle name="Normal 3 3 3 3 2 5 2" xfId="35360" xr:uid="{00000000-0005-0000-0000-0000268A0000}"/>
    <cellStyle name="Normal 3 3 3 3 2 6" xfId="35361" xr:uid="{00000000-0005-0000-0000-0000278A0000}"/>
    <cellStyle name="Normal 3 3 3 3 2 7" xfId="35362" xr:uid="{00000000-0005-0000-0000-0000288A0000}"/>
    <cellStyle name="Normal 3 3 3 3 3" xfId="35363" xr:uid="{00000000-0005-0000-0000-0000298A0000}"/>
    <cellStyle name="Normal 3 3 3 3 3 2" xfId="35364" xr:uid="{00000000-0005-0000-0000-00002A8A0000}"/>
    <cellStyle name="Normal 3 3 3 3 3 2 2" xfId="35365" xr:uid="{00000000-0005-0000-0000-00002B8A0000}"/>
    <cellStyle name="Normal 3 3 3 3 3 2 2 2" xfId="35366" xr:uid="{00000000-0005-0000-0000-00002C8A0000}"/>
    <cellStyle name="Normal 3 3 3 3 3 2 2 2 2" xfId="35367" xr:uid="{00000000-0005-0000-0000-00002D8A0000}"/>
    <cellStyle name="Normal 3 3 3 3 3 2 2 3" xfId="35368" xr:uid="{00000000-0005-0000-0000-00002E8A0000}"/>
    <cellStyle name="Normal 3 3 3 3 3 2 2 4" xfId="35369" xr:uid="{00000000-0005-0000-0000-00002F8A0000}"/>
    <cellStyle name="Normal 3 3 3 3 3 2 3" xfId="35370" xr:uid="{00000000-0005-0000-0000-0000308A0000}"/>
    <cellStyle name="Normal 3 3 3 3 3 2 3 2" xfId="35371" xr:uid="{00000000-0005-0000-0000-0000318A0000}"/>
    <cellStyle name="Normal 3 3 3 3 3 2 4" xfId="35372" xr:uid="{00000000-0005-0000-0000-0000328A0000}"/>
    <cellStyle name="Normal 3 3 3 3 3 2 5" xfId="35373" xr:uid="{00000000-0005-0000-0000-0000338A0000}"/>
    <cellStyle name="Normal 3 3 3 3 3 3" xfId="35374" xr:uid="{00000000-0005-0000-0000-0000348A0000}"/>
    <cellStyle name="Normal 3 3 3 3 3 3 2" xfId="35375" xr:uid="{00000000-0005-0000-0000-0000358A0000}"/>
    <cellStyle name="Normal 3 3 3 3 3 3 2 2" xfId="35376" xr:uid="{00000000-0005-0000-0000-0000368A0000}"/>
    <cellStyle name="Normal 3 3 3 3 3 3 3" xfId="35377" xr:uid="{00000000-0005-0000-0000-0000378A0000}"/>
    <cellStyle name="Normal 3 3 3 3 3 3 3 2" xfId="35378" xr:uid="{00000000-0005-0000-0000-0000388A0000}"/>
    <cellStyle name="Normal 3 3 3 3 3 3 4" xfId="35379" xr:uid="{00000000-0005-0000-0000-0000398A0000}"/>
    <cellStyle name="Normal 3 3 3 3 3 3 5" xfId="35380" xr:uid="{00000000-0005-0000-0000-00003A8A0000}"/>
    <cellStyle name="Normal 3 3 3 3 3 4" xfId="35381" xr:uid="{00000000-0005-0000-0000-00003B8A0000}"/>
    <cellStyle name="Normal 3 3 3 3 3 4 2" xfId="35382" xr:uid="{00000000-0005-0000-0000-00003C8A0000}"/>
    <cellStyle name="Normal 3 3 3 3 3 5" xfId="35383" xr:uid="{00000000-0005-0000-0000-00003D8A0000}"/>
    <cellStyle name="Normal 3 3 3 3 3 5 2" xfId="35384" xr:uid="{00000000-0005-0000-0000-00003E8A0000}"/>
    <cellStyle name="Normal 3 3 3 3 3 6" xfId="35385" xr:uid="{00000000-0005-0000-0000-00003F8A0000}"/>
    <cellStyle name="Normal 3 3 3 3 3 7" xfId="35386" xr:uid="{00000000-0005-0000-0000-0000408A0000}"/>
    <cellStyle name="Normal 3 3 3 3 4" xfId="35387" xr:uid="{00000000-0005-0000-0000-0000418A0000}"/>
    <cellStyle name="Normal 3 3 3 3 4 2" xfId="35388" xr:uid="{00000000-0005-0000-0000-0000428A0000}"/>
    <cellStyle name="Normal 3 3 3 3 4 2 2" xfId="35389" xr:uid="{00000000-0005-0000-0000-0000438A0000}"/>
    <cellStyle name="Normal 3 3 3 3 4 2 2 2" xfId="35390" xr:uid="{00000000-0005-0000-0000-0000448A0000}"/>
    <cellStyle name="Normal 3 3 3 3 4 2 3" xfId="35391" xr:uid="{00000000-0005-0000-0000-0000458A0000}"/>
    <cellStyle name="Normal 3 3 3 3 4 2 4" xfId="35392" xr:uid="{00000000-0005-0000-0000-0000468A0000}"/>
    <cellStyle name="Normal 3 3 3 3 4 3" xfId="35393" xr:uid="{00000000-0005-0000-0000-0000478A0000}"/>
    <cellStyle name="Normal 3 3 3 3 4 3 2" xfId="35394" xr:uid="{00000000-0005-0000-0000-0000488A0000}"/>
    <cellStyle name="Normal 3 3 3 3 4 4" xfId="35395" xr:uid="{00000000-0005-0000-0000-0000498A0000}"/>
    <cellStyle name="Normal 3 3 3 3 4 5" xfId="35396" xr:uid="{00000000-0005-0000-0000-00004A8A0000}"/>
    <cellStyle name="Normal 3 3 3 3 5" xfId="35397" xr:uid="{00000000-0005-0000-0000-00004B8A0000}"/>
    <cellStyle name="Normal 3 3 3 3 5 2" xfId="35398" xr:uid="{00000000-0005-0000-0000-00004C8A0000}"/>
    <cellStyle name="Normal 3 3 3 3 5 2 2" xfId="35399" xr:uid="{00000000-0005-0000-0000-00004D8A0000}"/>
    <cellStyle name="Normal 3 3 3 3 5 3" xfId="35400" xr:uid="{00000000-0005-0000-0000-00004E8A0000}"/>
    <cellStyle name="Normal 3 3 3 3 5 3 2" xfId="35401" xr:uid="{00000000-0005-0000-0000-00004F8A0000}"/>
    <cellStyle name="Normal 3 3 3 3 5 4" xfId="35402" xr:uid="{00000000-0005-0000-0000-0000508A0000}"/>
    <cellStyle name="Normal 3 3 3 3 5 5" xfId="35403" xr:uid="{00000000-0005-0000-0000-0000518A0000}"/>
    <cellStyle name="Normal 3 3 3 3 6" xfId="35404" xr:uid="{00000000-0005-0000-0000-0000528A0000}"/>
    <cellStyle name="Normal 3 3 3 3 6 2" xfId="35405" xr:uid="{00000000-0005-0000-0000-0000538A0000}"/>
    <cellStyle name="Normal 3 3 3 3 7" xfId="35406" xr:uid="{00000000-0005-0000-0000-0000548A0000}"/>
    <cellStyle name="Normal 3 3 3 3 7 2" xfId="35407" xr:uid="{00000000-0005-0000-0000-0000558A0000}"/>
    <cellStyle name="Normal 3 3 3 3 8" xfId="35408" xr:uid="{00000000-0005-0000-0000-0000568A0000}"/>
    <cellStyle name="Normal 3 3 3 3 9" xfId="35409" xr:uid="{00000000-0005-0000-0000-0000578A0000}"/>
    <cellStyle name="Normal 3 3 3 4" xfId="35410" xr:uid="{00000000-0005-0000-0000-0000588A0000}"/>
    <cellStyle name="Normal 3 3 3 4 2" xfId="35411" xr:uid="{00000000-0005-0000-0000-0000598A0000}"/>
    <cellStyle name="Normal 3 3 3 4 2 2" xfId="35412" xr:uid="{00000000-0005-0000-0000-00005A8A0000}"/>
    <cellStyle name="Normal 3 3 3 4 2 2 2" xfId="35413" xr:uid="{00000000-0005-0000-0000-00005B8A0000}"/>
    <cellStyle name="Normal 3 3 3 4 2 2 2 2" xfId="35414" xr:uid="{00000000-0005-0000-0000-00005C8A0000}"/>
    <cellStyle name="Normal 3 3 3 4 2 2 2 2 2" xfId="35415" xr:uid="{00000000-0005-0000-0000-00005D8A0000}"/>
    <cellStyle name="Normal 3 3 3 4 2 2 2 3" xfId="35416" xr:uid="{00000000-0005-0000-0000-00005E8A0000}"/>
    <cellStyle name="Normal 3 3 3 4 2 2 2 4" xfId="35417" xr:uid="{00000000-0005-0000-0000-00005F8A0000}"/>
    <cellStyle name="Normal 3 3 3 4 2 2 3" xfId="35418" xr:uid="{00000000-0005-0000-0000-0000608A0000}"/>
    <cellStyle name="Normal 3 3 3 4 2 2 3 2" xfId="35419" xr:uid="{00000000-0005-0000-0000-0000618A0000}"/>
    <cellStyle name="Normal 3 3 3 4 2 2 4" xfId="35420" xr:uid="{00000000-0005-0000-0000-0000628A0000}"/>
    <cellStyle name="Normal 3 3 3 4 2 2 5" xfId="35421" xr:uid="{00000000-0005-0000-0000-0000638A0000}"/>
    <cellStyle name="Normal 3 3 3 4 2 3" xfId="35422" xr:uid="{00000000-0005-0000-0000-0000648A0000}"/>
    <cellStyle name="Normal 3 3 3 4 2 3 2" xfId="35423" xr:uid="{00000000-0005-0000-0000-0000658A0000}"/>
    <cellStyle name="Normal 3 3 3 4 2 3 2 2" xfId="35424" xr:uid="{00000000-0005-0000-0000-0000668A0000}"/>
    <cellStyle name="Normal 3 3 3 4 2 3 3" xfId="35425" xr:uid="{00000000-0005-0000-0000-0000678A0000}"/>
    <cellStyle name="Normal 3 3 3 4 2 3 3 2" xfId="35426" xr:uid="{00000000-0005-0000-0000-0000688A0000}"/>
    <cellStyle name="Normal 3 3 3 4 2 3 4" xfId="35427" xr:uid="{00000000-0005-0000-0000-0000698A0000}"/>
    <cellStyle name="Normal 3 3 3 4 2 3 5" xfId="35428" xr:uid="{00000000-0005-0000-0000-00006A8A0000}"/>
    <cellStyle name="Normal 3 3 3 4 2 4" xfId="35429" xr:uid="{00000000-0005-0000-0000-00006B8A0000}"/>
    <cellStyle name="Normal 3 3 3 4 2 4 2" xfId="35430" xr:uid="{00000000-0005-0000-0000-00006C8A0000}"/>
    <cellStyle name="Normal 3 3 3 4 2 5" xfId="35431" xr:uid="{00000000-0005-0000-0000-00006D8A0000}"/>
    <cellStyle name="Normal 3 3 3 4 2 5 2" xfId="35432" xr:uid="{00000000-0005-0000-0000-00006E8A0000}"/>
    <cellStyle name="Normal 3 3 3 4 2 6" xfId="35433" xr:uid="{00000000-0005-0000-0000-00006F8A0000}"/>
    <cellStyle name="Normal 3 3 3 4 2 7" xfId="35434" xr:uid="{00000000-0005-0000-0000-0000708A0000}"/>
    <cellStyle name="Normal 3 3 3 4 3" xfId="35435" xr:uid="{00000000-0005-0000-0000-0000718A0000}"/>
    <cellStyle name="Normal 3 3 3 4 3 2" xfId="35436" xr:uid="{00000000-0005-0000-0000-0000728A0000}"/>
    <cellStyle name="Normal 3 3 3 4 3 2 2" xfId="35437" xr:uid="{00000000-0005-0000-0000-0000738A0000}"/>
    <cellStyle name="Normal 3 3 3 4 3 2 2 2" xfId="35438" xr:uid="{00000000-0005-0000-0000-0000748A0000}"/>
    <cellStyle name="Normal 3 3 3 4 3 2 3" xfId="35439" xr:uid="{00000000-0005-0000-0000-0000758A0000}"/>
    <cellStyle name="Normal 3 3 3 4 3 2 4" xfId="35440" xr:uid="{00000000-0005-0000-0000-0000768A0000}"/>
    <cellStyle name="Normal 3 3 3 4 3 3" xfId="35441" xr:uid="{00000000-0005-0000-0000-0000778A0000}"/>
    <cellStyle name="Normal 3 3 3 4 3 3 2" xfId="35442" xr:uid="{00000000-0005-0000-0000-0000788A0000}"/>
    <cellStyle name="Normal 3 3 3 4 3 4" xfId="35443" xr:uid="{00000000-0005-0000-0000-0000798A0000}"/>
    <cellStyle name="Normal 3 3 3 4 3 5" xfId="35444" xr:uid="{00000000-0005-0000-0000-00007A8A0000}"/>
    <cellStyle name="Normal 3 3 3 4 4" xfId="35445" xr:uid="{00000000-0005-0000-0000-00007B8A0000}"/>
    <cellStyle name="Normal 3 3 3 4 4 2" xfId="35446" xr:uid="{00000000-0005-0000-0000-00007C8A0000}"/>
    <cellStyle name="Normal 3 3 3 4 4 2 2" xfId="35447" xr:uid="{00000000-0005-0000-0000-00007D8A0000}"/>
    <cellStyle name="Normal 3 3 3 4 4 3" xfId="35448" xr:uid="{00000000-0005-0000-0000-00007E8A0000}"/>
    <cellStyle name="Normal 3 3 3 4 4 3 2" xfId="35449" xr:uid="{00000000-0005-0000-0000-00007F8A0000}"/>
    <cellStyle name="Normal 3 3 3 4 4 4" xfId="35450" xr:uid="{00000000-0005-0000-0000-0000808A0000}"/>
    <cellStyle name="Normal 3 3 3 4 4 5" xfId="35451" xr:uid="{00000000-0005-0000-0000-0000818A0000}"/>
    <cellStyle name="Normal 3 3 3 4 5" xfId="35452" xr:uid="{00000000-0005-0000-0000-0000828A0000}"/>
    <cellStyle name="Normal 3 3 3 4 5 2" xfId="35453" xr:uid="{00000000-0005-0000-0000-0000838A0000}"/>
    <cellStyle name="Normal 3 3 3 4 6" xfId="35454" xr:uid="{00000000-0005-0000-0000-0000848A0000}"/>
    <cellStyle name="Normal 3 3 3 4 6 2" xfId="35455" xr:uid="{00000000-0005-0000-0000-0000858A0000}"/>
    <cellStyle name="Normal 3 3 3 4 7" xfId="35456" xr:uid="{00000000-0005-0000-0000-0000868A0000}"/>
    <cellStyle name="Normal 3 3 3 4 8" xfId="35457" xr:uid="{00000000-0005-0000-0000-0000878A0000}"/>
    <cellStyle name="Normal 3 3 3 5" xfId="35458" xr:uid="{00000000-0005-0000-0000-0000888A0000}"/>
    <cellStyle name="Normal 3 3 3 5 2" xfId="35459" xr:uid="{00000000-0005-0000-0000-0000898A0000}"/>
    <cellStyle name="Normal 3 3 3 5 2 2" xfId="35460" xr:uid="{00000000-0005-0000-0000-00008A8A0000}"/>
    <cellStyle name="Normal 3 3 3 5 2 2 2" xfId="35461" xr:uid="{00000000-0005-0000-0000-00008B8A0000}"/>
    <cellStyle name="Normal 3 3 3 5 2 2 2 2" xfId="35462" xr:uid="{00000000-0005-0000-0000-00008C8A0000}"/>
    <cellStyle name="Normal 3 3 3 5 2 2 3" xfId="35463" xr:uid="{00000000-0005-0000-0000-00008D8A0000}"/>
    <cellStyle name="Normal 3 3 3 5 2 2 4" xfId="35464" xr:uid="{00000000-0005-0000-0000-00008E8A0000}"/>
    <cellStyle name="Normal 3 3 3 5 2 3" xfId="35465" xr:uid="{00000000-0005-0000-0000-00008F8A0000}"/>
    <cellStyle name="Normal 3 3 3 5 2 3 2" xfId="35466" xr:uid="{00000000-0005-0000-0000-0000908A0000}"/>
    <cellStyle name="Normal 3 3 3 5 2 4" xfId="35467" xr:uid="{00000000-0005-0000-0000-0000918A0000}"/>
    <cellStyle name="Normal 3 3 3 5 2 5" xfId="35468" xr:uid="{00000000-0005-0000-0000-0000928A0000}"/>
    <cellStyle name="Normal 3 3 3 5 3" xfId="35469" xr:uid="{00000000-0005-0000-0000-0000938A0000}"/>
    <cellStyle name="Normal 3 3 3 5 3 2" xfId="35470" xr:uid="{00000000-0005-0000-0000-0000948A0000}"/>
    <cellStyle name="Normal 3 3 3 5 3 2 2" xfId="35471" xr:uid="{00000000-0005-0000-0000-0000958A0000}"/>
    <cellStyle name="Normal 3 3 3 5 3 3" xfId="35472" xr:uid="{00000000-0005-0000-0000-0000968A0000}"/>
    <cellStyle name="Normal 3 3 3 5 3 3 2" xfId="35473" xr:uid="{00000000-0005-0000-0000-0000978A0000}"/>
    <cellStyle name="Normal 3 3 3 5 3 4" xfId="35474" xr:uid="{00000000-0005-0000-0000-0000988A0000}"/>
    <cellStyle name="Normal 3 3 3 5 3 5" xfId="35475" xr:uid="{00000000-0005-0000-0000-0000998A0000}"/>
    <cellStyle name="Normal 3 3 3 5 4" xfId="35476" xr:uid="{00000000-0005-0000-0000-00009A8A0000}"/>
    <cellStyle name="Normal 3 3 3 5 4 2" xfId="35477" xr:uid="{00000000-0005-0000-0000-00009B8A0000}"/>
    <cellStyle name="Normal 3 3 3 5 5" xfId="35478" xr:uid="{00000000-0005-0000-0000-00009C8A0000}"/>
    <cellStyle name="Normal 3 3 3 5 5 2" xfId="35479" xr:uid="{00000000-0005-0000-0000-00009D8A0000}"/>
    <cellStyle name="Normal 3 3 3 5 6" xfId="35480" xr:uid="{00000000-0005-0000-0000-00009E8A0000}"/>
    <cellStyle name="Normal 3 3 3 5 7" xfId="35481" xr:uid="{00000000-0005-0000-0000-00009F8A0000}"/>
    <cellStyle name="Normal 3 3 3 6" xfId="35482" xr:uid="{00000000-0005-0000-0000-0000A08A0000}"/>
    <cellStyle name="Normal 3 3 3 6 2" xfId="35483" xr:uid="{00000000-0005-0000-0000-0000A18A0000}"/>
    <cellStyle name="Normal 3 3 3 6 2 2" xfId="35484" xr:uid="{00000000-0005-0000-0000-0000A28A0000}"/>
    <cellStyle name="Normal 3 3 3 6 2 2 2" xfId="35485" xr:uid="{00000000-0005-0000-0000-0000A38A0000}"/>
    <cellStyle name="Normal 3 3 3 6 2 3" xfId="35486" xr:uid="{00000000-0005-0000-0000-0000A48A0000}"/>
    <cellStyle name="Normal 3 3 3 6 2 4" xfId="35487" xr:uid="{00000000-0005-0000-0000-0000A58A0000}"/>
    <cellStyle name="Normal 3 3 3 6 3" xfId="35488" xr:uid="{00000000-0005-0000-0000-0000A68A0000}"/>
    <cellStyle name="Normal 3 3 3 6 3 2" xfId="35489" xr:uid="{00000000-0005-0000-0000-0000A78A0000}"/>
    <cellStyle name="Normal 3 3 3 6 4" xfId="35490" xr:uid="{00000000-0005-0000-0000-0000A88A0000}"/>
    <cellStyle name="Normal 3 3 3 6 5" xfId="35491" xr:uid="{00000000-0005-0000-0000-0000A98A0000}"/>
    <cellStyle name="Normal 3 3 3 7" xfId="35492" xr:uid="{00000000-0005-0000-0000-0000AA8A0000}"/>
    <cellStyle name="Normal 3 3 3 7 2" xfId="35493" xr:uid="{00000000-0005-0000-0000-0000AB8A0000}"/>
    <cellStyle name="Normal 3 3 3 7 2 2" xfId="35494" xr:uid="{00000000-0005-0000-0000-0000AC8A0000}"/>
    <cellStyle name="Normal 3 3 3 7 3" xfId="35495" xr:uid="{00000000-0005-0000-0000-0000AD8A0000}"/>
    <cellStyle name="Normal 3 3 3 7 3 2" xfId="35496" xr:uid="{00000000-0005-0000-0000-0000AE8A0000}"/>
    <cellStyle name="Normal 3 3 3 7 4" xfId="35497" xr:uid="{00000000-0005-0000-0000-0000AF8A0000}"/>
    <cellStyle name="Normal 3 3 3 7 5" xfId="35498" xr:uid="{00000000-0005-0000-0000-0000B08A0000}"/>
    <cellStyle name="Normal 3 3 3 8" xfId="35499" xr:uid="{00000000-0005-0000-0000-0000B18A0000}"/>
    <cellStyle name="Normal 3 3 3 8 2" xfId="35500" xr:uid="{00000000-0005-0000-0000-0000B28A0000}"/>
    <cellStyle name="Normal 3 3 3 9" xfId="35501" xr:uid="{00000000-0005-0000-0000-0000B38A0000}"/>
    <cellStyle name="Normal 3 3 3 9 2" xfId="35502" xr:uid="{00000000-0005-0000-0000-0000B48A0000}"/>
    <cellStyle name="Normal 3 3 4" xfId="35503" xr:uid="{00000000-0005-0000-0000-0000B58A0000}"/>
    <cellStyle name="Normal 3 3 4 10" xfId="35504" xr:uid="{00000000-0005-0000-0000-0000B68A0000}"/>
    <cellStyle name="Normal 3 3 4 2" xfId="35505" xr:uid="{00000000-0005-0000-0000-0000B78A0000}"/>
    <cellStyle name="Normal 3 3 4 2 2" xfId="35506" xr:uid="{00000000-0005-0000-0000-0000B88A0000}"/>
    <cellStyle name="Normal 3 3 4 2 2 2" xfId="35507" xr:uid="{00000000-0005-0000-0000-0000B98A0000}"/>
    <cellStyle name="Normal 3 3 4 2 2 2 2" xfId="35508" xr:uid="{00000000-0005-0000-0000-0000BA8A0000}"/>
    <cellStyle name="Normal 3 3 4 2 2 2 2 2" xfId="35509" xr:uid="{00000000-0005-0000-0000-0000BB8A0000}"/>
    <cellStyle name="Normal 3 3 4 2 2 2 2 2 2" xfId="35510" xr:uid="{00000000-0005-0000-0000-0000BC8A0000}"/>
    <cellStyle name="Normal 3 3 4 2 2 2 2 2 2 2" xfId="35511" xr:uid="{00000000-0005-0000-0000-0000BD8A0000}"/>
    <cellStyle name="Normal 3 3 4 2 2 2 2 2 3" xfId="35512" xr:uid="{00000000-0005-0000-0000-0000BE8A0000}"/>
    <cellStyle name="Normal 3 3 4 2 2 2 2 2 4" xfId="35513" xr:uid="{00000000-0005-0000-0000-0000BF8A0000}"/>
    <cellStyle name="Normal 3 3 4 2 2 2 2 3" xfId="35514" xr:uid="{00000000-0005-0000-0000-0000C08A0000}"/>
    <cellStyle name="Normal 3 3 4 2 2 2 2 3 2" xfId="35515" xr:uid="{00000000-0005-0000-0000-0000C18A0000}"/>
    <cellStyle name="Normal 3 3 4 2 2 2 2 4" xfId="35516" xr:uid="{00000000-0005-0000-0000-0000C28A0000}"/>
    <cellStyle name="Normal 3 3 4 2 2 2 2 5" xfId="35517" xr:uid="{00000000-0005-0000-0000-0000C38A0000}"/>
    <cellStyle name="Normal 3 3 4 2 2 2 3" xfId="35518" xr:uid="{00000000-0005-0000-0000-0000C48A0000}"/>
    <cellStyle name="Normal 3 3 4 2 2 2 3 2" xfId="35519" xr:uid="{00000000-0005-0000-0000-0000C58A0000}"/>
    <cellStyle name="Normal 3 3 4 2 2 2 3 2 2" xfId="35520" xr:uid="{00000000-0005-0000-0000-0000C68A0000}"/>
    <cellStyle name="Normal 3 3 4 2 2 2 3 3" xfId="35521" xr:uid="{00000000-0005-0000-0000-0000C78A0000}"/>
    <cellStyle name="Normal 3 3 4 2 2 2 3 4" xfId="35522" xr:uid="{00000000-0005-0000-0000-0000C88A0000}"/>
    <cellStyle name="Normal 3 3 4 2 2 2 4" xfId="35523" xr:uid="{00000000-0005-0000-0000-0000C98A0000}"/>
    <cellStyle name="Normal 3 3 4 2 2 2 4 2" xfId="35524" xr:uid="{00000000-0005-0000-0000-0000CA8A0000}"/>
    <cellStyle name="Normal 3 3 4 2 2 2 5" xfId="35525" xr:uid="{00000000-0005-0000-0000-0000CB8A0000}"/>
    <cellStyle name="Normal 3 3 4 2 2 2 6" xfId="35526" xr:uid="{00000000-0005-0000-0000-0000CC8A0000}"/>
    <cellStyle name="Normal 3 3 4 2 2 3" xfId="35527" xr:uid="{00000000-0005-0000-0000-0000CD8A0000}"/>
    <cellStyle name="Normal 3 3 4 2 2 3 2" xfId="35528" xr:uid="{00000000-0005-0000-0000-0000CE8A0000}"/>
    <cellStyle name="Normal 3 3 4 2 2 3 2 2" xfId="35529" xr:uid="{00000000-0005-0000-0000-0000CF8A0000}"/>
    <cellStyle name="Normal 3 3 4 2 2 3 2 2 2" xfId="35530" xr:uid="{00000000-0005-0000-0000-0000D08A0000}"/>
    <cellStyle name="Normal 3 3 4 2 2 3 2 3" xfId="35531" xr:uid="{00000000-0005-0000-0000-0000D18A0000}"/>
    <cellStyle name="Normal 3 3 4 2 2 3 2 4" xfId="35532" xr:uid="{00000000-0005-0000-0000-0000D28A0000}"/>
    <cellStyle name="Normal 3 3 4 2 2 3 3" xfId="35533" xr:uid="{00000000-0005-0000-0000-0000D38A0000}"/>
    <cellStyle name="Normal 3 3 4 2 2 3 3 2" xfId="35534" xr:uid="{00000000-0005-0000-0000-0000D48A0000}"/>
    <cellStyle name="Normal 3 3 4 2 2 3 4" xfId="35535" xr:uid="{00000000-0005-0000-0000-0000D58A0000}"/>
    <cellStyle name="Normal 3 3 4 2 2 3 5" xfId="35536" xr:uid="{00000000-0005-0000-0000-0000D68A0000}"/>
    <cellStyle name="Normal 3 3 4 2 2 4" xfId="35537" xr:uid="{00000000-0005-0000-0000-0000D78A0000}"/>
    <cellStyle name="Normal 3 3 4 2 2 4 2" xfId="35538" xr:uid="{00000000-0005-0000-0000-0000D88A0000}"/>
    <cellStyle name="Normal 3 3 4 2 2 4 2 2" xfId="35539" xr:uid="{00000000-0005-0000-0000-0000D98A0000}"/>
    <cellStyle name="Normal 3 3 4 2 2 4 3" xfId="35540" xr:uid="{00000000-0005-0000-0000-0000DA8A0000}"/>
    <cellStyle name="Normal 3 3 4 2 2 4 4" xfId="35541" xr:uid="{00000000-0005-0000-0000-0000DB8A0000}"/>
    <cellStyle name="Normal 3 3 4 2 2 5" xfId="35542" xr:uid="{00000000-0005-0000-0000-0000DC8A0000}"/>
    <cellStyle name="Normal 3 3 4 2 2 5 2" xfId="35543" xr:uid="{00000000-0005-0000-0000-0000DD8A0000}"/>
    <cellStyle name="Normal 3 3 4 2 2 6" xfId="35544" xr:uid="{00000000-0005-0000-0000-0000DE8A0000}"/>
    <cellStyle name="Normal 3 3 4 2 2 7" xfId="35545" xr:uid="{00000000-0005-0000-0000-0000DF8A0000}"/>
    <cellStyle name="Normal 3 3 4 2 3" xfId="35546" xr:uid="{00000000-0005-0000-0000-0000E08A0000}"/>
    <cellStyle name="Normal 3 3 4 2 3 2" xfId="35547" xr:uid="{00000000-0005-0000-0000-0000E18A0000}"/>
    <cellStyle name="Normal 3 3 4 2 3 2 2" xfId="35548" xr:uid="{00000000-0005-0000-0000-0000E28A0000}"/>
    <cellStyle name="Normal 3 3 4 2 3 2 2 2" xfId="35549" xr:uid="{00000000-0005-0000-0000-0000E38A0000}"/>
    <cellStyle name="Normal 3 3 4 2 3 2 2 2 2" xfId="35550" xr:uid="{00000000-0005-0000-0000-0000E48A0000}"/>
    <cellStyle name="Normal 3 3 4 2 3 2 2 3" xfId="35551" xr:uid="{00000000-0005-0000-0000-0000E58A0000}"/>
    <cellStyle name="Normal 3 3 4 2 3 2 2 4" xfId="35552" xr:uid="{00000000-0005-0000-0000-0000E68A0000}"/>
    <cellStyle name="Normal 3 3 4 2 3 2 3" xfId="35553" xr:uid="{00000000-0005-0000-0000-0000E78A0000}"/>
    <cellStyle name="Normal 3 3 4 2 3 2 3 2" xfId="35554" xr:uid="{00000000-0005-0000-0000-0000E88A0000}"/>
    <cellStyle name="Normal 3 3 4 2 3 2 4" xfId="35555" xr:uid="{00000000-0005-0000-0000-0000E98A0000}"/>
    <cellStyle name="Normal 3 3 4 2 3 2 5" xfId="35556" xr:uid="{00000000-0005-0000-0000-0000EA8A0000}"/>
    <cellStyle name="Normal 3 3 4 2 3 3" xfId="35557" xr:uid="{00000000-0005-0000-0000-0000EB8A0000}"/>
    <cellStyle name="Normal 3 3 4 2 3 3 2" xfId="35558" xr:uid="{00000000-0005-0000-0000-0000EC8A0000}"/>
    <cellStyle name="Normal 3 3 4 2 3 3 2 2" xfId="35559" xr:uid="{00000000-0005-0000-0000-0000ED8A0000}"/>
    <cellStyle name="Normal 3 3 4 2 3 3 3" xfId="35560" xr:uid="{00000000-0005-0000-0000-0000EE8A0000}"/>
    <cellStyle name="Normal 3 3 4 2 3 3 3 2" xfId="35561" xr:uid="{00000000-0005-0000-0000-0000EF8A0000}"/>
    <cellStyle name="Normal 3 3 4 2 3 3 4" xfId="35562" xr:uid="{00000000-0005-0000-0000-0000F08A0000}"/>
    <cellStyle name="Normal 3 3 4 2 3 3 5" xfId="35563" xr:uid="{00000000-0005-0000-0000-0000F18A0000}"/>
    <cellStyle name="Normal 3 3 4 2 3 4" xfId="35564" xr:uid="{00000000-0005-0000-0000-0000F28A0000}"/>
    <cellStyle name="Normal 3 3 4 2 3 4 2" xfId="35565" xr:uid="{00000000-0005-0000-0000-0000F38A0000}"/>
    <cellStyle name="Normal 3 3 4 2 3 5" xfId="35566" xr:uid="{00000000-0005-0000-0000-0000F48A0000}"/>
    <cellStyle name="Normal 3 3 4 2 3 5 2" xfId="35567" xr:uid="{00000000-0005-0000-0000-0000F58A0000}"/>
    <cellStyle name="Normal 3 3 4 2 3 6" xfId="35568" xr:uid="{00000000-0005-0000-0000-0000F68A0000}"/>
    <cellStyle name="Normal 3 3 4 2 3 7" xfId="35569" xr:uid="{00000000-0005-0000-0000-0000F78A0000}"/>
    <cellStyle name="Normal 3 3 4 2 4" xfId="35570" xr:uid="{00000000-0005-0000-0000-0000F88A0000}"/>
    <cellStyle name="Normal 3 3 4 2 4 2" xfId="35571" xr:uid="{00000000-0005-0000-0000-0000F98A0000}"/>
    <cellStyle name="Normal 3 3 4 2 4 2 2" xfId="35572" xr:uid="{00000000-0005-0000-0000-0000FA8A0000}"/>
    <cellStyle name="Normal 3 3 4 2 4 2 2 2" xfId="35573" xr:uid="{00000000-0005-0000-0000-0000FB8A0000}"/>
    <cellStyle name="Normal 3 3 4 2 4 2 3" xfId="35574" xr:uid="{00000000-0005-0000-0000-0000FC8A0000}"/>
    <cellStyle name="Normal 3 3 4 2 4 2 4" xfId="35575" xr:uid="{00000000-0005-0000-0000-0000FD8A0000}"/>
    <cellStyle name="Normal 3 3 4 2 4 3" xfId="35576" xr:uid="{00000000-0005-0000-0000-0000FE8A0000}"/>
    <cellStyle name="Normal 3 3 4 2 4 3 2" xfId="35577" xr:uid="{00000000-0005-0000-0000-0000FF8A0000}"/>
    <cellStyle name="Normal 3 3 4 2 4 4" xfId="35578" xr:uid="{00000000-0005-0000-0000-0000008B0000}"/>
    <cellStyle name="Normal 3 3 4 2 4 5" xfId="35579" xr:uid="{00000000-0005-0000-0000-0000018B0000}"/>
    <cellStyle name="Normal 3 3 4 2 5" xfId="35580" xr:uid="{00000000-0005-0000-0000-0000028B0000}"/>
    <cellStyle name="Normal 3 3 4 2 5 2" xfId="35581" xr:uid="{00000000-0005-0000-0000-0000038B0000}"/>
    <cellStyle name="Normal 3 3 4 2 5 2 2" xfId="35582" xr:uid="{00000000-0005-0000-0000-0000048B0000}"/>
    <cellStyle name="Normal 3 3 4 2 5 3" xfId="35583" xr:uid="{00000000-0005-0000-0000-0000058B0000}"/>
    <cellStyle name="Normal 3 3 4 2 5 3 2" xfId="35584" xr:uid="{00000000-0005-0000-0000-0000068B0000}"/>
    <cellStyle name="Normal 3 3 4 2 5 4" xfId="35585" xr:uid="{00000000-0005-0000-0000-0000078B0000}"/>
    <cellStyle name="Normal 3 3 4 2 5 5" xfId="35586" xr:uid="{00000000-0005-0000-0000-0000088B0000}"/>
    <cellStyle name="Normal 3 3 4 2 6" xfId="35587" xr:uid="{00000000-0005-0000-0000-0000098B0000}"/>
    <cellStyle name="Normal 3 3 4 2 6 2" xfId="35588" xr:uid="{00000000-0005-0000-0000-00000A8B0000}"/>
    <cellStyle name="Normal 3 3 4 2 7" xfId="35589" xr:uid="{00000000-0005-0000-0000-00000B8B0000}"/>
    <cellStyle name="Normal 3 3 4 2 7 2" xfId="35590" xr:uid="{00000000-0005-0000-0000-00000C8B0000}"/>
    <cellStyle name="Normal 3 3 4 2 8" xfId="35591" xr:uid="{00000000-0005-0000-0000-00000D8B0000}"/>
    <cellStyle name="Normal 3 3 4 2 9" xfId="35592" xr:uid="{00000000-0005-0000-0000-00000E8B0000}"/>
    <cellStyle name="Normal 3 3 4 3" xfId="35593" xr:uid="{00000000-0005-0000-0000-00000F8B0000}"/>
    <cellStyle name="Normal 3 3 4 3 2" xfId="35594" xr:uid="{00000000-0005-0000-0000-0000108B0000}"/>
    <cellStyle name="Normal 3 3 4 3 2 2" xfId="35595" xr:uid="{00000000-0005-0000-0000-0000118B0000}"/>
    <cellStyle name="Normal 3 3 4 3 2 2 2" xfId="35596" xr:uid="{00000000-0005-0000-0000-0000128B0000}"/>
    <cellStyle name="Normal 3 3 4 3 2 2 2 2" xfId="35597" xr:uid="{00000000-0005-0000-0000-0000138B0000}"/>
    <cellStyle name="Normal 3 3 4 3 2 2 2 2 2" xfId="35598" xr:uid="{00000000-0005-0000-0000-0000148B0000}"/>
    <cellStyle name="Normal 3 3 4 3 2 2 2 3" xfId="35599" xr:uid="{00000000-0005-0000-0000-0000158B0000}"/>
    <cellStyle name="Normal 3 3 4 3 2 2 2 4" xfId="35600" xr:uid="{00000000-0005-0000-0000-0000168B0000}"/>
    <cellStyle name="Normal 3 3 4 3 2 2 3" xfId="35601" xr:uid="{00000000-0005-0000-0000-0000178B0000}"/>
    <cellStyle name="Normal 3 3 4 3 2 2 3 2" xfId="35602" xr:uid="{00000000-0005-0000-0000-0000188B0000}"/>
    <cellStyle name="Normal 3 3 4 3 2 2 4" xfId="35603" xr:uid="{00000000-0005-0000-0000-0000198B0000}"/>
    <cellStyle name="Normal 3 3 4 3 2 2 5" xfId="35604" xr:uid="{00000000-0005-0000-0000-00001A8B0000}"/>
    <cellStyle name="Normal 3 3 4 3 2 3" xfId="35605" xr:uid="{00000000-0005-0000-0000-00001B8B0000}"/>
    <cellStyle name="Normal 3 3 4 3 2 3 2" xfId="35606" xr:uid="{00000000-0005-0000-0000-00001C8B0000}"/>
    <cellStyle name="Normal 3 3 4 3 2 3 2 2" xfId="35607" xr:uid="{00000000-0005-0000-0000-00001D8B0000}"/>
    <cellStyle name="Normal 3 3 4 3 2 3 3" xfId="35608" xr:uid="{00000000-0005-0000-0000-00001E8B0000}"/>
    <cellStyle name="Normal 3 3 4 3 2 3 3 2" xfId="35609" xr:uid="{00000000-0005-0000-0000-00001F8B0000}"/>
    <cellStyle name="Normal 3 3 4 3 2 3 4" xfId="35610" xr:uid="{00000000-0005-0000-0000-0000208B0000}"/>
    <cellStyle name="Normal 3 3 4 3 2 3 5" xfId="35611" xr:uid="{00000000-0005-0000-0000-0000218B0000}"/>
    <cellStyle name="Normal 3 3 4 3 2 4" xfId="35612" xr:uid="{00000000-0005-0000-0000-0000228B0000}"/>
    <cellStyle name="Normal 3 3 4 3 2 4 2" xfId="35613" xr:uid="{00000000-0005-0000-0000-0000238B0000}"/>
    <cellStyle name="Normal 3 3 4 3 2 5" xfId="35614" xr:uid="{00000000-0005-0000-0000-0000248B0000}"/>
    <cellStyle name="Normal 3 3 4 3 2 5 2" xfId="35615" xr:uid="{00000000-0005-0000-0000-0000258B0000}"/>
    <cellStyle name="Normal 3 3 4 3 2 6" xfId="35616" xr:uid="{00000000-0005-0000-0000-0000268B0000}"/>
    <cellStyle name="Normal 3 3 4 3 2 7" xfId="35617" xr:uid="{00000000-0005-0000-0000-0000278B0000}"/>
    <cellStyle name="Normal 3 3 4 3 3" xfId="35618" xr:uid="{00000000-0005-0000-0000-0000288B0000}"/>
    <cellStyle name="Normal 3 3 4 3 3 2" xfId="35619" xr:uid="{00000000-0005-0000-0000-0000298B0000}"/>
    <cellStyle name="Normal 3 3 4 3 3 2 2" xfId="35620" xr:uid="{00000000-0005-0000-0000-00002A8B0000}"/>
    <cellStyle name="Normal 3 3 4 3 3 2 2 2" xfId="35621" xr:uid="{00000000-0005-0000-0000-00002B8B0000}"/>
    <cellStyle name="Normal 3 3 4 3 3 2 3" xfId="35622" xr:uid="{00000000-0005-0000-0000-00002C8B0000}"/>
    <cellStyle name="Normal 3 3 4 3 3 2 4" xfId="35623" xr:uid="{00000000-0005-0000-0000-00002D8B0000}"/>
    <cellStyle name="Normal 3 3 4 3 3 3" xfId="35624" xr:uid="{00000000-0005-0000-0000-00002E8B0000}"/>
    <cellStyle name="Normal 3 3 4 3 3 3 2" xfId="35625" xr:uid="{00000000-0005-0000-0000-00002F8B0000}"/>
    <cellStyle name="Normal 3 3 4 3 3 4" xfId="35626" xr:uid="{00000000-0005-0000-0000-0000308B0000}"/>
    <cellStyle name="Normal 3 3 4 3 3 5" xfId="35627" xr:uid="{00000000-0005-0000-0000-0000318B0000}"/>
    <cellStyle name="Normal 3 3 4 3 4" xfId="35628" xr:uid="{00000000-0005-0000-0000-0000328B0000}"/>
    <cellStyle name="Normal 3 3 4 3 4 2" xfId="35629" xr:uid="{00000000-0005-0000-0000-0000338B0000}"/>
    <cellStyle name="Normal 3 3 4 3 4 2 2" xfId="35630" xr:uid="{00000000-0005-0000-0000-0000348B0000}"/>
    <cellStyle name="Normal 3 3 4 3 4 3" xfId="35631" xr:uid="{00000000-0005-0000-0000-0000358B0000}"/>
    <cellStyle name="Normal 3 3 4 3 4 3 2" xfId="35632" xr:uid="{00000000-0005-0000-0000-0000368B0000}"/>
    <cellStyle name="Normal 3 3 4 3 4 4" xfId="35633" xr:uid="{00000000-0005-0000-0000-0000378B0000}"/>
    <cellStyle name="Normal 3 3 4 3 4 5" xfId="35634" xr:uid="{00000000-0005-0000-0000-0000388B0000}"/>
    <cellStyle name="Normal 3 3 4 3 5" xfId="35635" xr:uid="{00000000-0005-0000-0000-0000398B0000}"/>
    <cellStyle name="Normal 3 3 4 3 5 2" xfId="35636" xr:uid="{00000000-0005-0000-0000-00003A8B0000}"/>
    <cellStyle name="Normal 3 3 4 3 6" xfId="35637" xr:uid="{00000000-0005-0000-0000-00003B8B0000}"/>
    <cellStyle name="Normal 3 3 4 3 6 2" xfId="35638" xr:uid="{00000000-0005-0000-0000-00003C8B0000}"/>
    <cellStyle name="Normal 3 3 4 3 7" xfId="35639" xr:uid="{00000000-0005-0000-0000-00003D8B0000}"/>
    <cellStyle name="Normal 3 3 4 3 8" xfId="35640" xr:uid="{00000000-0005-0000-0000-00003E8B0000}"/>
    <cellStyle name="Normal 3 3 4 4" xfId="35641" xr:uid="{00000000-0005-0000-0000-00003F8B0000}"/>
    <cellStyle name="Normal 3 3 4 4 2" xfId="35642" xr:uid="{00000000-0005-0000-0000-0000408B0000}"/>
    <cellStyle name="Normal 3 3 4 4 2 2" xfId="35643" xr:uid="{00000000-0005-0000-0000-0000418B0000}"/>
    <cellStyle name="Normal 3 3 4 4 2 2 2" xfId="35644" xr:uid="{00000000-0005-0000-0000-0000428B0000}"/>
    <cellStyle name="Normal 3 3 4 4 2 2 2 2" xfId="35645" xr:uid="{00000000-0005-0000-0000-0000438B0000}"/>
    <cellStyle name="Normal 3 3 4 4 2 2 3" xfId="35646" xr:uid="{00000000-0005-0000-0000-0000448B0000}"/>
    <cellStyle name="Normal 3 3 4 4 2 2 4" xfId="35647" xr:uid="{00000000-0005-0000-0000-0000458B0000}"/>
    <cellStyle name="Normal 3 3 4 4 2 3" xfId="35648" xr:uid="{00000000-0005-0000-0000-0000468B0000}"/>
    <cellStyle name="Normal 3 3 4 4 2 3 2" xfId="35649" xr:uid="{00000000-0005-0000-0000-0000478B0000}"/>
    <cellStyle name="Normal 3 3 4 4 2 4" xfId="35650" xr:uid="{00000000-0005-0000-0000-0000488B0000}"/>
    <cellStyle name="Normal 3 3 4 4 2 5" xfId="35651" xr:uid="{00000000-0005-0000-0000-0000498B0000}"/>
    <cellStyle name="Normal 3 3 4 4 3" xfId="35652" xr:uid="{00000000-0005-0000-0000-00004A8B0000}"/>
    <cellStyle name="Normal 3 3 4 4 3 2" xfId="35653" xr:uid="{00000000-0005-0000-0000-00004B8B0000}"/>
    <cellStyle name="Normal 3 3 4 4 3 2 2" xfId="35654" xr:uid="{00000000-0005-0000-0000-00004C8B0000}"/>
    <cellStyle name="Normal 3 3 4 4 3 3" xfId="35655" xr:uid="{00000000-0005-0000-0000-00004D8B0000}"/>
    <cellStyle name="Normal 3 3 4 4 3 3 2" xfId="35656" xr:uid="{00000000-0005-0000-0000-00004E8B0000}"/>
    <cellStyle name="Normal 3 3 4 4 3 4" xfId="35657" xr:uid="{00000000-0005-0000-0000-00004F8B0000}"/>
    <cellStyle name="Normal 3 3 4 4 3 5" xfId="35658" xr:uid="{00000000-0005-0000-0000-0000508B0000}"/>
    <cellStyle name="Normal 3 3 4 4 4" xfId="35659" xr:uid="{00000000-0005-0000-0000-0000518B0000}"/>
    <cellStyle name="Normal 3 3 4 4 4 2" xfId="35660" xr:uid="{00000000-0005-0000-0000-0000528B0000}"/>
    <cellStyle name="Normal 3 3 4 4 5" xfId="35661" xr:uid="{00000000-0005-0000-0000-0000538B0000}"/>
    <cellStyle name="Normal 3 3 4 4 5 2" xfId="35662" xr:uid="{00000000-0005-0000-0000-0000548B0000}"/>
    <cellStyle name="Normal 3 3 4 4 6" xfId="35663" xr:uid="{00000000-0005-0000-0000-0000558B0000}"/>
    <cellStyle name="Normal 3 3 4 4 7" xfId="35664" xr:uid="{00000000-0005-0000-0000-0000568B0000}"/>
    <cellStyle name="Normal 3 3 4 5" xfId="35665" xr:uid="{00000000-0005-0000-0000-0000578B0000}"/>
    <cellStyle name="Normal 3 3 4 5 2" xfId="35666" xr:uid="{00000000-0005-0000-0000-0000588B0000}"/>
    <cellStyle name="Normal 3 3 4 5 2 2" xfId="35667" xr:uid="{00000000-0005-0000-0000-0000598B0000}"/>
    <cellStyle name="Normal 3 3 4 5 2 2 2" xfId="35668" xr:uid="{00000000-0005-0000-0000-00005A8B0000}"/>
    <cellStyle name="Normal 3 3 4 5 2 3" xfId="35669" xr:uid="{00000000-0005-0000-0000-00005B8B0000}"/>
    <cellStyle name="Normal 3 3 4 5 2 4" xfId="35670" xr:uid="{00000000-0005-0000-0000-00005C8B0000}"/>
    <cellStyle name="Normal 3 3 4 5 3" xfId="35671" xr:uid="{00000000-0005-0000-0000-00005D8B0000}"/>
    <cellStyle name="Normal 3 3 4 5 3 2" xfId="35672" xr:uid="{00000000-0005-0000-0000-00005E8B0000}"/>
    <cellStyle name="Normal 3 3 4 5 4" xfId="35673" xr:uid="{00000000-0005-0000-0000-00005F8B0000}"/>
    <cellStyle name="Normal 3 3 4 5 5" xfId="35674" xr:uid="{00000000-0005-0000-0000-0000608B0000}"/>
    <cellStyle name="Normal 3 3 4 6" xfId="35675" xr:uid="{00000000-0005-0000-0000-0000618B0000}"/>
    <cellStyle name="Normal 3 3 4 6 2" xfId="35676" xr:uid="{00000000-0005-0000-0000-0000628B0000}"/>
    <cellStyle name="Normal 3 3 4 6 2 2" xfId="35677" xr:uid="{00000000-0005-0000-0000-0000638B0000}"/>
    <cellStyle name="Normal 3 3 4 6 3" xfId="35678" xr:uid="{00000000-0005-0000-0000-0000648B0000}"/>
    <cellStyle name="Normal 3 3 4 6 3 2" xfId="35679" xr:uid="{00000000-0005-0000-0000-0000658B0000}"/>
    <cellStyle name="Normal 3 3 4 6 4" xfId="35680" xr:uid="{00000000-0005-0000-0000-0000668B0000}"/>
    <cellStyle name="Normal 3 3 4 6 5" xfId="35681" xr:uid="{00000000-0005-0000-0000-0000678B0000}"/>
    <cellStyle name="Normal 3 3 4 7" xfId="35682" xr:uid="{00000000-0005-0000-0000-0000688B0000}"/>
    <cellStyle name="Normal 3 3 4 7 2" xfId="35683" xr:uid="{00000000-0005-0000-0000-0000698B0000}"/>
    <cellStyle name="Normal 3 3 4 8" xfId="35684" xr:uid="{00000000-0005-0000-0000-00006A8B0000}"/>
    <cellStyle name="Normal 3 3 4 8 2" xfId="35685" xr:uid="{00000000-0005-0000-0000-00006B8B0000}"/>
    <cellStyle name="Normal 3 3 4 9" xfId="35686" xr:uid="{00000000-0005-0000-0000-00006C8B0000}"/>
    <cellStyle name="Normal 3 3 5" xfId="35687" xr:uid="{00000000-0005-0000-0000-00006D8B0000}"/>
    <cellStyle name="Normal 3 3 5 2" xfId="35688" xr:uid="{00000000-0005-0000-0000-00006E8B0000}"/>
    <cellStyle name="Normal 3 3 5 2 2" xfId="35689" xr:uid="{00000000-0005-0000-0000-00006F8B0000}"/>
    <cellStyle name="Normal 3 3 5 2 2 2" xfId="35690" xr:uid="{00000000-0005-0000-0000-0000708B0000}"/>
    <cellStyle name="Normal 3 3 5 2 2 2 2" xfId="35691" xr:uid="{00000000-0005-0000-0000-0000718B0000}"/>
    <cellStyle name="Normal 3 3 5 2 2 2 2 2" xfId="35692" xr:uid="{00000000-0005-0000-0000-0000728B0000}"/>
    <cellStyle name="Normal 3 3 5 2 2 2 2 2 2" xfId="35693" xr:uid="{00000000-0005-0000-0000-0000738B0000}"/>
    <cellStyle name="Normal 3 3 5 2 2 2 2 3" xfId="35694" xr:uid="{00000000-0005-0000-0000-0000748B0000}"/>
    <cellStyle name="Normal 3 3 5 2 2 2 2 4" xfId="35695" xr:uid="{00000000-0005-0000-0000-0000758B0000}"/>
    <cellStyle name="Normal 3 3 5 2 2 2 3" xfId="35696" xr:uid="{00000000-0005-0000-0000-0000768B0000}"/>
    <cellStyle name="Normal 3 3 5 2 2 2 3 2" xfId="35697" xr:uid="{00000000-0005-0000-0000-0000778B0000}"/>
    <cellStyle name="Normal 3 3 5 2 2 2 4" xfId="35698" xr:uid="{00000000-0005-0000-0000-0000788B0000}"/>
    <cellStyle name="Normal 3 3 5 2 2 2 5" xfId="35699" xr:uid="{00000000-0005-0000-0000-0000798B0000}"/>
    <cellStyle name="Normal 3 3 5 2 2 3" xfId="35700" xr:uid="{00000000-0005-0000-0000-00007A8B0000}"/>
    <cellStyle name="Normal 3 3 5 2 2 3 2" xfId="35701" xr:uid="{00000000-0005-0000-0000-00007B8B0000}"/>
    <cellStyle name="Normal 3 3 5 2 2 3 2 2" xfId="35702" xr:uid="{00000000-0005-0000-0000-00007C8B0000}"/>
    <cellStyle name="Normal 3 3 5 2 2 3 3" xfId="35703" xr:uid="{00000000-0005-0000-0000-00007D8B0000}"/>
    <cellStyle name="Normal 3 3 5 2 2 3 4" xfId="35704" xr:uid="{00000000-0005-0000-0000-00007E8B0000}"/>
    <cellStyle name="Normal 3 3 5 2 2 4" xfId="35705" xr:uid="{00000000-0005-0000-0000-00007F8B0000}"/>
    <cellStyle name="Normal 3 3 5 2 2 4 2" xfId="35706" xr:uid="{00000000-0005-0000-0000-0000808B0000}"/>
    <cellStyle name="Normal 3 3 5 2 2 5" xfId="35707" xr:uid="{00000000-0005-0000-0000-0000818B0000}"/>
    <cellStyle name="Normal 3 3 5 2 2 6" xfId="35708" xr:uid="{00000000-0005-0000-0000-0000828B0000}"/>
    <cellStyle name="Normal 3 3 5 2 3" xfId="35709" xr:uid="{00000000-0005-0000-0000-0000838B0000}"/>
    <cellStyle name="Normal 3 3 5 2 3 2" xfId="35710" xr:uid="{00000000-0005-0000-0000-0000848B0000}"/>
    <cellStyle name="Normal 3 3 5 2 3 2 2" xfId="35711" xr:uid="{00000000-0005-0000-0000-0000858B0000}"/>
    <cellStyle name="Normal 3 3 5 2 3 2 2 2" xfId="35712" xr:uid="{00000000-0005-0000-0000-0000868B0000}"/>
    <cellStyle name="Normal 3 3 5 2 3 2 3" xfId="35713" xr:uid="{00000000-0005-0000-0000-0000878B0000}"/>
    <cellStyle name="Normal 3 3 5 2 3 2 4" xfId="35714" xr:uid="{00000000-0005-0000-0000-0000888B0000}"/>
    <cellStyle name="Normal 3 3 5 2 3 3" xfId="35715" xr:uid="{00000000-0005-0000-0000-0000898B0000}"/>
    <cellStyle name="Normal 3 3 5 2 3 3 2" xfId="35716" xr:uid="{00000000-0005-0000-0000-00008A8B0000}"/>
    <cellStyle name="Normal 3 3 5 2 3 4" xfId="35717" xr:uid="{00000000-0005-0000-0000-00008B8B0000}"/>
    <cellStyle name="Normal 3 3 5 2 3 5" xfId="35718" xr:uid="{00000000-0005-0000-0000-00008C8B0000}"/>
    <cellStyle name="Normal 3 3 5 2 4" xfId="35719" xr:uid="{00000000-0005-0000-0000-00008D8B0000}"/>
    <cellStyle name="Normal 3 3 5 2 4 2" xfId="35720" xr:uid="{00000000-0005-0000-0000-00008E8B0000}"/>
    <cellStyle name="Normal 3 3 5 2 4 2 2" xfId="35721" xr:uid="{00000000-0005-0000-0000-00008F8B0000}"/>
    <cellStyle name="Normal 3 3 5 2 4 3" xfId="35722" xr:uid="{00000000-0005-0000-0000-0000908B0000}"/>
    <cellStyle name="Normal 3 3 5 2 4 4" xfId="35723" xr:uid="{00000000-0005-0000-0000-0000918B0000}"/>
    <cellStyle name="Normal 3 3 5 2 5" xfId="35724" xr:uid="{00000000-0005-0000-0000-0000928B0000}"/>
    <cellStyle name="Normal 3 3 5 2 5 2" xfId="35725" xr:uid="{00000000-0005-0000-0000-0000938B0000}"/>
    <cellStyle name="Normal 3 3 5 2 6" xfId="35726" xr:uid="{00000000-0005-0000-0000-0000948B0000}"/>
    <cellStyle name="Normal 3 3 5 2 7" xfId="35727" xr:uid="{00000000-0005-0000-0000-0000958B0000}"/>
    <cellStyle name="Normal 3 3 5 3" xfId="35728" xr:uid="{00000000-0005-0000-0000-0000968B0000}"/>
    <cellStyle name="Normal 3 3 5 3 2" xfId="35729" xr:uid="{00000000-0005-0000-0000-0000978B0000}"/>
    <cellStyle name="Normal 3 3 5 3 2 2" xfId="35730" xr:uid="{00000000-0005-0000-0000-0000988B0000}"/>
    <cellStyle name="Normal 3 3 5 3 2 2 2" xfId="35731" xr:uid="{00000000-0005-0000-0000-0000998B0000}"/>
    <cellStyle name="Normal 3 3 5 3 2 2 2 2" xfId="35732" xr:uid="{00000000-0005-0000-0000-00009A8B0000}"/>
    <cellStyle name="Normal 3 3 5 3 2 2 3" xfId="35733" xr:uid="{00000000-0005-0000-0000-00009B8B0000}"/>
    <cellStyle name="Normal 3 3 5 3 2 2 4" xfId="35734" xr:uid="{00000000-0005-0000-0000-00009C8B0000}"/>
    <cellStyle name="Normal 3 3 5 3 2 3" xfId="35735" xr:uid="{00000000-0005-0000-0000-00009D8B0000}"/>
    <cellStyle name="Normal 3 3 5 3 2 3 2" xfId="35736" xr:uid="{00000000-0005-0000-0000-00009E8B0000}"/>
    <cellStyle name="Normal 3 3 5 3 2 4" xfId="35737" xr:uid="{00000000-0005-0000-0000-00009F8B0000}"/>
    <cellStyle name="Normal 3 3 5 3 2 5" xfId="35738" xr:uid="{00000000-0005-0000-0000-0000A08B0000}"/>
    <cellStyle name="Normal 3 3 5 3 3" xfId="35739" xr:uid="{00000000-0005-0000-0000-0000A18B0000}"/>
    <cellStyle name="Normal 3 3 5 3 3 2" xfId="35740" xr:uid="{00000000-0005-0000-0000-0000A28B0000}"/>
    <cellStyle name="Normal 3 3 5 3 3 2 2" xfId="35741" xr:uid="{00000000-0005-0000-0000-0000A38B0000}"/>
    <cellStyle name="Normal 3 3 5 3 3 3" xfId="35742" xr:uid="{00000000-0005-0000-0000-0000A48B0000}"/>
    <cellStyle name="Normal 3 3 5 3 3 3 2" xfId="35743" xr:uid="{00000000-0005-0000-0000-0000A58B0000}"/>
    <cellStyle name="Normal 3 3 5 3 3 4" xfId="35744" xr:uid="{00000000-0005-0000-0000-0000A68B0000}"/>
    <cellStyle name="Normal 3 3 5 3 3 5" xfId="35745" xr:uid="{00000000-0005-0000-0000-0000A78B0000}"/>
    <cellStyle name="Normal 3 3 5 3 4" xfId="35746" xr:uid="{00000000-0005-0000-0000-0000A88B0000}"/>
    <cellStyle name="Normal 3 3 5 3 4 2" xfId="35747" xr:uid="{00000000-0005-0000-0000-0000A98B0000}"/>
    <cellStyle name="Normal 3 3 5 3 5" xfId="35748" xr:uid="{00000000-0005-0000-0000-0000AA8B0000}"/>
    <cellStyle name="Normal 3 3 5 3 5 2" xfId="35749" xr:uid="{00000000-0005-0000-0000-0000AB8B0000}"/>
    <cellStyle name="Normal 3 3 5 3 6" xfId="35750" xr:uid="{00000000-0005-0000-0000-0000AC8B0000}"/>
    <cellStyle name="Normal 3 3 5 3 7" xfId="35751" xr:uid="{00000000-0005-0000-0000-0000AD8B0000}"/>
    <cellStyle name="Normal 3 3 5 4" xfId="35752" xr:uid="{00000000-0005-0000-0000-0000AE8B0000}"/>
    <cellStyle name="Normal 3 3 5 4 2" xfId="35753" xr:uid="{00000000-0005-0000-0000-0000AF8B0000}"/>
    <cellStyle name="Normal 3 3 5 4 2 2" xfId="35754" xr:uid="{00000000-0005-0000-0000-0000B08B0000}"/>
    <cellStyle name="Normal 3 3 5 4 2 2 2" xfId="35755" xr:uid="{00000000-0005-0000-0000-0000B18B0000}"/>
    <cellStyle name="Normal 3 3 5 4 2 3" xfId="35756" xr:uid="{00000000-0005-0000-0000-0000B28B0000}"/>
    <cellStyle name="Normal 3 3 5 4 2 4" xfId="35757" xr:uid="{00000000-0005-0000-0000-0000B38B0000}"/>
    <cellStyle name="Normal 3 3 5 4 3" xfId="35758" xr:uid="{00000000-0005-0000-0000-0000B48B0000}"/>
    <cellStyle name="Normal 3 3 5 4 3 2" xfId="35759" xr:uid="{00000000-0005-0000-0000-0000B58B0000}"/>
    <cellStyle name="Normal 3 3 5 4 4" xfId="35760" xr:uid="{00000000-0005-0000-0000-0000B68B0000}"/>
    <cellStyle name="Normal 3 3 5 4 5" xfId="35761" xr:uid="{00000000-0005-0000-0000-0000B78B0000}"/>
    <cellStyle name="Normal 3 3 5 5" xfId="35762" xr:uid="{00000000-0005-0000-0000-0000B88B0000}"/>
    <cellStyle name="Normal 3 3 5 5 2" xfId="35763" xr:uid="{00000000-0005-0000-0000-0000B98B0000}"/>
    <cellStyle name="Normal 3 3 5 5 2 2" xfId="35764" xr:uid="{00000000-0005-0000-0000-0000BA8B0000}"/>
    <cellStyle name="Normal 3 3 5 5 3" xfId="35765" xr:uid="{00000000-0005-0000-0000-0000BB8B0000}"/>
    <cellStyle name="Normal 3 3 5 5 3 2" xfId="35766" xr:uid="{00000000-0005-0000-0000-0000BC8B0000}"/>
    <cellStyle name="Normal 3 3 5 5 4" xfId="35767" xr:uid="{00000000-0005-0000-0000-0000BD8B0000}"/>
    <cellStyle name="Normal 3 3 5 5 5" xfId="35768" xr:uid="{00000000-0005-0000-0000-0000BE8B0000}"/>
    <cellStyle name="Normal 3 3 5 6" xfId="35769" xr:uid="{00000000-0005-0000-0000-0000BF8B0000}"/>
    <cellStyle name="Normal 3 3 5 6 2" xfId="35770" xr:uid="{00000000-0005-0000-0000-0000C08B0000}"/>
    <cellStyle name="Normal 3 3 5 7" xfId="35771" xr:uid="{00000000-0005-0000-0000-0000C18B0000}"/>
    <cellStyle name="Normal 3 3 5 7 2" xfId="35772" xr:uid="{00000000-0005-0000-0000-0000C28B0000}"/>
    <cellStyle name="Normal 3 3 5 8" xfId="35773" xr:uid="{00000000-0005-0000-0000-0000C38B0000}"/>
    <cellStyle name="Normal 3 3 5 9" xfId="35774" xr:uid="{00000000-0005-0000-0000-0000C48B0000}"/>
    <cellStyle name="Normal 3 3 6" xfId="35775" xr:uid="{00000000-0005-0000-0000-0000C58B0000}"/>
    <cellStyle name="Normal 3 3 6 2" xfId="35776" xr:uid="{00000000-0005-0000-0000-0000C68B0000}"/>
    <cellStyle name="Normal 3 3 6 2 2" xfId="35777" xr:uid="{00000000-0005-0000-0000-0000C78B0000}"/>
    <cellStyle name="Normal 3 3 6 2 2 2" xfId="35778" xr:uid="{00000000-0005-0000-0000-0000C88B0000}"/>
    <cellStyle name="Normal 3 3 6 2 2 2 2" xfId="35779" xr:uid="{00000000-0005-0000-0000-0000C98B0000}"/>
    <cellStyle name="Normal 3 3 6 2 2 2 2 2" xfId="35780" xr:uid="{00000000-0005-0000-0000-0000CA8B0000}"/>
    <cellStyle name="Normal 3 3 6 2 2 2 3" xfId="35781" xr:uid="{00000000-0005-0000-0000-0000CB8B0000}"/>
    <cellStyle name="Normal 3 3 6 2 2 2 4" xfId="35782" xr:uid="{00000000-0005-0000-0000-0000CC8B0000}"/>
    <cellStyle name="Normal 3 3 6 2 2 3" xfId="35783" xr:uid="{00000000-0005-0000-0000-0000CD8B0000}"/>
    <cellStyle name="Normal 3 3 6 2 2 3 2" xfId="35784" xr:uid="{00000000-0005-0000-0000-0000CE8B0000}"/>
    <cellStyle name="Normal 3 3 6 2 2 4" xfId="35785" xr:uid="{00000000-0005-0000-0000-0000CF8B0000}"/>
    <cellStyle name="Normal 3 3 6 2 2 5" xfId="35786" xr:uid="{00000000-0005-0000-0000-0000D08B0000}"/>
    <cellStyle name="Normal 3 3 6 2 3" xfId="35787" xr:uid="{00000000-0005-0000-0000-0000D18B0000}"/>
    <cellStyle name="Normal 3 3 6 2 3 2" xfId="35788" xr:uid="{00000000-0005-0000-0000-0000D28B0000}"/>
    <cellStyle name="Normal 3 3 6 2 3 2 2" xfId="35789" xr:uid="{00000000-0005-0000-0000-0000D38B0000}"/>
    <cellStyle name="Normal 3 3 6 2 3 3" xfId="35790" xr:uid="{00000000-0005-0000-0000-0000D48B0000}"/>
    <cellStyle name="Normal 3 3 6 2 3 3 2" xfId="35791" xr:uid="{00000000-0005-0000-0000-0000D58B0000}"/>
    <cellStyle name="Normal 3 3 6 2 3 4" xfId="35792" xr:uid="{00000000-0005-0000-0000-0000D68B0000}"/>
    <cellStyle name="Normal 3 3 6 2 3 5" xfId="35793" xr:uid="{00000000-0005-0000-0000-0000D78B0000}"/>
    <cellStyle name="Normal 3 3 6 2 4" xfId="35794" xr:uid="{00000000-0005-0000-0000-0000D88B0000}"/>
    <cellStyle name="Normal 3 3 6 2 4 2" xfId="35795" xr:uid="{00000000-0005-0000-0000-0000D98B0000}"/>
    <cellStyle name="Normal 3 3 6 2 5" xfId="35796" xr:uid="{00000000-0005-0000-0000-0000DA8B0000}"/>
    <cellStyle name="Normal 3 3 6 2 5 2" xfId="35797" xr:uid="{00000000-0005-0000-0000-0000DB8B0000}"/>
    <cellStyle name="Normal 3 3 6 2 6" xfId="35798" xr:uid="{00000000-0005-0000-0000-0000DC8B0000}"/>
    <cellStyle name="Normal 3 3 6 2 7" xfId="35799" xr:uid="{00000000-0005-0000-0000-0000DD8B0000}"/>
    <cellStyle name="Normal 3 3 6 3" xfId="35800" xr:uid="{00000000-0005-0000-0000-0000DE8B0000}"/>
    <cellStyle name="Normal 3 3 6 3 2" xfId="35801" xr:uid="{00000000-0005-0000-0000-0000DF8B0000}"/>
    <cellStyle name="Normal 3 3 6 3 2 2" xfId="35802" xr:uid="{00000000-0005-0000-0000-0000E08B0000}"/>
    <cellStyle name="Normal 3 3 6 3 2 2 2" xfId="35803" xr:uid="{00000000-0005-0000-0000-0000E18B0000}"/>
    <cellStyle name="Normal 3 3 6 3 2 3" xfId="35804" xr:uid="{00000000-0005-0000-0000-0000E28B0000}"/>
    <cellStyle name="Normal 3 3 6 3 2 4" xfId="35805" xr:uid="{00000000-0005-0000-0000-0000E38B0000}"/>
    <cellStyle name="Normal 3 3 6 3 3" xfId="35806" xr:uid="{00000000-0005-0000-0000-0000E48B0000}"/>
    <cellStyle name="Normal 3 3 6 3 3 2" xfId="35807" xr:uid="{00000000-0005-0000-0000-0000E58B0000}"/>
    <cellStyle name="Normal 3 3 6 3 4" xfId="35808" xr:uid="{00000000-0005-0000-0000-0000E68B0000}"/>
    <cellStyle name="Normal 3 3 6 3 5" xfId="35809" xr:uid="{00000000-0005-0000-0000-0000E78B0000}"/>
    <cellStyle name="Normal 3 3 6 4" xfId="35810" xr:uid="{00000000-0005-0000-0000-0000E88B0000}"/>
    <cellStyle name="Normal 3 3 6 4 2" xfId="35811" xr:uid="{00000000-0005-0000-0000-0000E98B0000}"/>
    <cellStyle name="Normal 3 3 6 4 2 2" xfId="35812" xr:uid="{00000000-0005-0000-0000-0000EA8B0000}"/>
    <cellStyle name="Normal 3 3 6 4 3" xfId="35813" xr:uid="{00000000-0005-0000-0000-0000EB8B0000}"/>
    <cellStyle name="Normal 3 3 6 4 3 2" xfId="35814" xr:uid="{00000000-0005-0000-0000-0000EC8B0000}"/>
    <cellStyle name="Normal 3 3 6 4 4" xfId="35815" xr:uid="{00000000-0005-0000-0000-0000ED8B0000}"/>
    <cellStyle name="Normal 3 3 6 4 5" xfId="35816" xr:uid="{00000000-0005-0000-0000-0000EE8B0000}"/>
    <cellStyle name="Normal 3 3 6 5" xfId="35817" xr:uid="{00000000-0005-0000-0000-0000EF8B0000}"/>
    <cellStyle name="Normal 3 3 6 5 2" xfId="35818" xr:uid="{00000000-0005-0000-0000-0000F08B0000}"/>
    <cellStyle name="Normal 3 3 6 6" xfId="35819" xr:uid="{00000000-0005-0000-0000-0000F18B0000}"/>
    <cellStyle name="Normal 3 3 6 6 2" xfId="35820" xr:uid="{00000000-0005-0000-0000-0000F28B0000}"/>
    <cellStyle name="Normal 3 3 6 7" xfId="35821" xr:uid="{00000000-0005-0000-0000-0000F38B0000}"/>
    <cellStyle name="Normal 3 3 6 8" xfId="35822" xr:uid="{00000000-0005-0000-0000-0000F48B0000}"/>
    <cellStyle name="Normal 3 3 7" xfId="35823" xr:uid="{00000000-0005-0000-0000-0000F58B0000}"/>
    <cellStyle name="Normal 3 3 7 2" xfId="35824" xr:uid="{00000000-0005-0000-0000-0000F68B0000}"/>
    <cellStyle name="Normal 3 3 7 2 2" xfId="35825" xr:uid="{00000000-0005-0000-0000-0000F78B0000}"/>
    <cellStyle name="Normal 3 3 7 2 2 2" xfId="35826" xr:uid="{00000000-0005-0000-0000-0000F88B0000}"/>
    <cellStyle name="Normal 3 3 7 2 2 2 2" xfId="35827" xr:uid="{00000000-0005-0000-0000-0000F98B0000}"/>
    <cellStyle name="Normal 3 3 7 2 2 3" xfId="35828" xr:uid="{00000000-0005-0000-0000-0000FA8B0000}"/>
    <cellStyle name="Normal 3 3 7 2 2 4" xfId="35829" xr:uid="{00000000-0005-0000-0000-0000FB8B0000}"/>
    <cellStyle name="Normal 3 3 7 2 3" xfId="35830" xr:uid="{00000000-0005-0000-0000-0000FC8B0000}"/>
    <cellStyle name="Normal 3 3 7 2 3 2" xfId="35831" xr:uid="{00000000-0005-0000-0000-0000FD8B0000}"/>
    <cellStyle name="Normal 3 3 7 2 4" xfId="35832" xr:uid="{00000000-0005-0000-0000-0000FE8B0000}"/>
    <cellStyle name="Normal 3 3 7 2 5" xfId="35833" xr:uid="{00000000-0005-0000-0000-0000FF8B0000}"/>
    <cellStyle name="Normal 3 3 7 3" xfId="35834" xr:uid="{00000000-0005-0000-0000-0000008C0000}"/>
    <cellStyle name="Normal 3 3 7 3 2" xfId="35835" xr:uid="{00000000-0005-0000-0000-0000018C0000}"/>
    <cellStyle name="Normal 3 3 7 3 3" xfId="35836" xr:uid="{00000000-0005-0000-0000-0000028C0000}"/>
    <cellStyle name="Normal 3 3 7 4" xfId="35837" xr:uid="{00000000-0005-0000-0000-0000038C0000}"/>
    <cellStyle name="Normal 3 3 7 4 2" xfId="35838" xr:uid="{00000000-0005-0000-0000-0000048C0000}"/>
    <cellStyle name="Normal 3 3 7 5" xfId="35839" xr:uid="{00000000-0005-0000-0000-0000058C0000}"/>
    <cellStyle name="Normal 3 3 8" xfId="35840" xr:uid="{00000000-0005-0000-0000-0000068C0000}"/>
    <cellStyle name="Normal 3 3 8 2" xfId="35841" xr:uid="{00000000-0005-0000-0000-0000078C0000}"/>
    <cellStyle name="Normal 3 3 8 2 2" xfId="35842" xr:uid="{00000000-0005-0000-0000-0000088C0000}"/>
    <cellStyle name="Normal 3 3 8 2 2 2" xfId="35843" xr:uid="{00000000-0005-0000-0000-0000098C0000}"/>
    <cellStyle name="Normal 3 3 8 2 3" xfId="35844" xr:uid="{00000000-0005-0000-0000-00000A8C0000}"/>
    <cellStyle name="Normal 3 3 8 2 3 2" xfId="35845" xr:uid="{00000000-0005-0000-0000-00000B8C0000}"/>
    <cellStyle name="Normal 3 3 8 2 4" xfId="35846" xr:uid="{00000000-0005-0000-0000-00000C8C0000}"/>
    <cellStyle name="Normal 3 3 8 2 5" xfId="35847" xr:uid="{00000000-0005-0000-0000-00000D8C0000}"/>
    <cellStyle name="Normal 3 3 8 3" xfId="35848" xr:uid="{00000000-0005-0000-0000-00000E8C0000}"/>
    <cellStyle name="Normal 3 3 8 3 2" xfId="35849" xr:uid="{00000000-0005-0000-0000-00000F8C0000}"/>
    <cellStyle name="Normal 3 3 8 4" xfId="35850" xr:uid="{00000000-0005-0000-0000-0000108C0000}"/>
    <cellStyle name="Normal 3 3 8 4 2" xfId="35851" xr:uid="{00000000-0005-0000-0000-0000118C0000}"/>
    <cellStyle name="Normal 3 3 8 5" xfId="35852" xr:uid="{00000000-0005-0000-0000-0000128C0000}"/>
    <cellStyle name="Normal 3 3 8 6" xfId="35853" xr:uid="{00000000-0005-0000-0000-0000138C0000}"/>
    <cellStyle name="Normal 3 3 9" xfId="35854" xr:uid="{00000000-0005-0000-0000-0000148C0000}"/>
    <cellStyle name="Normal 3 3 9 2" xfId="35855" xr:uid="{00000000-0005-0000-0000-0000158C0000}"/>
    <cellStyle name="Normal 3 3 9 2 2" xfId="35856" xr:uid="{00000000-0005-0000-0000-0000168C0000}"/>
    <cellStyle name="Normal 3 3 9 3" xfId="35857" xr:uid="{00000000-0005-0000-0000-0000178C0000}"/>
    <cellStyle name="Normal 3 3 9 3 2" xfId="35858" xr:uid="{00000000-0005-0000-0000-0000188C0000}"/>
    <cellStyle name="Normal 3 3 9 4" xfId="35859" xr:uid="{00000000-0005-0000-0000-0000198C0000}"/>
    <cellStyle name="Normal 3 3 9 5" xfId="35860" xr:uid="{00000000-0005-0000-0000-00001A8C0000}"/>
    <cellStyle name="Normal 3 30" xfId="35861" xr:uid="{00000000-0005-0000-0000-00001B8C0000}"/>
    <cellStyle name="Normal 3 30 2" xfId="35862" xr:uid="{00000000-0005-0000-0000-00001C8C0000}"/>
    <cellStyle name="Normal 3 31" xfId="35863" xr:uid="{00000000-0005-0000-0000-00001D8C0000}"/>
    <cellStyle name="Normal 3 31 2" xfId="35864" xr:uid="{00000000-0005-0000-0000-00001E8C0000}"/>
    <cellStyle name="Normal 3 32" xfId="35865" xr:uid="{00000000-0005-0000-0000-00001F8C0000}"/>
    <cellStyle name="Normal 3 32 2" xfId="35866" xr:uid="{00000000-0005-0000-0000-0000208C0000}"/>
    <cellStyle name="Normal 3 33" xfId="35867" xr:uid="{00000000-0005-0000-0000-0000218C0000}"/>
    <cellStyle name="Normal 3 33 2" xfId="35868" xr:uid="{00000000-0005-0000-0000-0000228C0000}"/>
    <cellStyle name="Normal 3 34" xfId="35869" xr:uid="{00000000-0005-0000-0000-0000238C0000}"/>
    <cellStyle name="Normal 3 34 2" xfId="35870" xr:uid="{00000000-0005-0000-0000-0000248C0000}"/>
    <cellStyle name="Normal 3 35" xfId="35871" xr:uid="{00000000-0005-0000-0000-0000258C0000}"/>
    <cellStyle name="Normal 3 35 2" xfId="35872" xr:uid="{00000000-0005-0000-0000-0000268C0000}"/>
    <cellStyle name="Normal 3 36" xfId="35873" xr:uid="{00000000-0005-0000-0000-0000278C0000}"/>
    <cellStyle name="Normal 3 36 2" xfId="35874" xr:uid="{00000000-0005-0000-0000-0000288C0000}"/>
    <cellStyle name="Normal 3 37" xfId="35875" xr:uid="{00000000-0005-0000-0000-0000298C0000}"/>
    <cellStyle name="Normal 3 37 2" xfId="35876" xr:uid="{00000000-0005-0000-0000-00002A8C0000}"/>
    <cellStyle name="Normal 3 38" xfId="35877" xr:uid="{00000000-0005-0000-0000-00002B8C0000}"/>
    <cellStyle name="Normal 3 38 2" xfId="35878" xr:uid="{00000000-0005-0000-0000-00002C8C0000}"/>
    <cellStyle name="Normal 3 39" xfId="35879" xr:uid="{00000000-0005-0000-0000-00002D8C0000}"/>
    <cellStyle name="Normal 3 39 2" xfId="35880" xr:uid="{00000000-0005-0000-0000-00002E8C0000}"/>
    <cellStyle name="Normal 3 4" xfId="35881" xr:uid="{00000000-0005-0000-0000-00002F8C0000}"/>
    <cellStyle name="Normal 3 4 10" xfId="35882" xr:uid="{00000000-0005-0000-0000-0000308C0000}"/>
    <cellStyle name="Normal 3 4 10 2" xfId="35883" xr:uid="{00000000-0005-0000-0000-0000318C0000}"/>
    <cellStyle name="Normal 3 4 11" xfId="35884" xr:uid="{00000000-0005-0000-0000-0000328C0000}"/>
    <cellStyle name="Normal 3 4 11 2" xfId="35885" xr:uid="{00000000-0005-0000-0000-0000338C0000}"/>
    <cellStyle name="Normal 3 4 12" xfId="35886" xr:uid="{00000000-0005-0000-0000-0000348C0000}"/>
    <cellStyle name="Normal 3 4 13" xfId="35887" xr:uid="{00000000-0005-0000-0000-0000358C0000}"/>
    <cellStyle name="Normal 3 4 14" xfId="35888" xr:uid="{00000000-0005-0000-0000-0000368C0000}"/>
    <cellStyle name="Normal 3 4 2" xfId="35889" xr:uid="{00000000-0005-0000-0000-0000378C0000}"/>
    <cellStyle name="Normal 3 4 2 10" xfId="35890" xr:uid="{00000000-0005-0000-0000-0000388C0000}"/>
    <cellStyle name="Normal 3 4 2 11" xfId="35891" xr:uid="{00000000-0005-0000-0000-0000398C0000}"/>
    <cellStyle name="Normal 3 4 2 2" xfId="35892" xr:uid="{00000000-0005-0000-0000-00003A8C0000}"/>
    <cellStyle name="Normal 3 4 2 2 10" xfId="35893" xr:uid="{00000000-0005-0000-0000-00003B8C0000}"/>
    <cellStyle name="Normal 3 4 2 2 2" xfId="35894" xr:uid="{00000000-0005-0000-0000-00003C8C0000}"/>
    <cellStyle name="Normal 3 4 2 2 2 2" xfId="35895" xr:uid="{00000000-0005-0000-0000-00003D8C0000}"/>
    <cellStyle name="Normal 3 4 2 2 2 2 2" xfId="35896" xr:uid="{00000000-0005-0000-0000-00003E8C0000}"/>
    <cellStyle name="Normal 3 4 2 2 2 2 2 2" xfId="35897" xr:uid="{00000000-0005-0000-0000-00003F8C0000}"/>
    <cellStyle name="Normal 3 4 2 2 2 2 2 2 2" xfId="35898" xr:uid="{00000000-0005-0000-0000-0000408C0000}"/>
    <cellStyle name="Normal 3 4 2 2 2 2 2 2 2 2" xfId="35899" xr:uid="{00000000-0005-0000-0000-0000418C0000}"/>
    <cellStyle name="Normal 3 4 2 2 2 2 2 2 2 2 2" xfId="35900" xr:uid="{00000000-0005-0000-0000-0000428C0000}"/>
    <cellStyle name="Normal 3 4 2 2 2 2 2 2 2 3" xfId="35901" xr:uid="{00000000-0005-0000-0000-0000438C0000}"/>
    <cellStyle name="Normal 3 4 2 2 2 2 2 2 2 4" xfId="35902" xr:uid="{00000000-0005-0000-0000-0000448C0000}"/>
    <cellStyle name="Normal 3 4 2 2 2 2 2 2 3" xfId="35903" xr:uid="{00000000-0005-0000-0000-0000458C0000}"/>
    <cellStyle name="Normal 3 4 2 2 2 2 2 2 3 2" xfId="35904" xr:uid="{00000000-0005-0000-0000-0000468C0000}"/>
    <cellStyle name="Normal 3 4 2 2 2 2 2 2 4" xfId="35905" xr:uid="{00000000-0005-0000-0000-0000478C0000}"/>
    <cellStyle name="Normal 3 4 2 2 2 2 2 2 5" xfId="35906" xr:uid="{00000000-0005-0000-0000-0000488C0000}"/>
    <cellStyle name="Normal 3 4 2 2 2 2 2 3" xfId="35907" xr:uid="{00000000-0005-0000-0000-0000498C0000}"/>
    <cellStyle name="Normal 3 4 2 2 2 2 2 3 2" xfId="35908" xr:uid="{00000000-0005-0000-0000-00004A8C0000}"/>
    <cellStyle name="Normal 3 4 2 2 2 2 2 3 2 2" xfId="35909" xr:uid="{00000000-0005-0000-0000-00004B8C0000}"/>
    <cellStyle name="Normal 3 4 2 2 2 2 2 3 3" xfId="35910" xr:uid="{00000000-0005-0000-0000-00004C8C0000}"/>
    <cellStyle name="Normal 3 4 2 2 2 2 2 3 4" xfId="35911" xr:uid="{00000000-0005-0000-0000-00004D8C0000}"/>
    <cellStyle name="Normal 3 4 2 2 2 2 2 4" xfId="35912" xr:uid="{00000000-0005-0000-0000-00004E8C0000}"/>
    <cellStyle name="Normal 3 4 2 2 2 2 2 4 2" xfId="35913" xr:uid="{00000000-0005-0000-0000-00004F8C0000}"/>
    <cellStyle name="Normal 3 4 2 2 2 2 2 5" xfId="35914" xr:uid="{00000000-0005-0000-0000-0000508C0000}"/>
    <cellStyle name="Normal 3 4 2 2 2 2 2 6" xfId="35915" xr:uid="{00000000-0005-0000-0000-0000518C0000}"/>
    <cellStyle name="Normal 3 4 2 2 2 2 3" xfId="35916" xr:uid="{00000000-0005-0000-0000-0000528C0000}"/>
    <cellStyle name="Normal 3 4 2 2 2 2 3 2" xfId="35917" xr:uid="{00000000-0005-0000-0000-0000538C0000}"/>
    <cellStyle name="Normal 3 4 2 2 2 2 3 2 2" xfId="35918" xr:uid="{00000000-0005-0000-0000-0000548C0000}"/>
    <cellStyle name="Normal 3 4 2 2 2 2 3 2 2 2" xfId="35919" xr:uid="{00000000-0005-0000-0000-0000558C0000}"/>
    <cellStyle name="Normal 3 4 2 2 2 2 3 2 3" xfId="35920" xr:uid="{00000000-0005-0000-0000-0000568C0000}"/>
    <cellStyle name="Normal 3 4 2 2 2 2 3 2 4" xfId="35921" xr:uid="{00000000-0005-0000-0000-0000578C0000}"/>
    <cellStyle name="Normal 3 4 2 2 2 2 3 3" xfId="35922" xr:uid="{00000000-0005-0000-0000-0000588C0000}"/>
    <cellStyle name="Normal 3 4 2 2 2 2 3 3 2" xfId="35923" xr:uid="{00000000-0005-0000-0000-0000598C0000}"/>
    <cellStyle name="Normal 3 4 2 2 2 2 3 4" xfId="35924" xr:uid="{00000000-0005-0000-0000-00005A8C0000}"/>
    <cellStyle name="Normal 3 4 2 2 2 2 3 5" xfId="35925" xr:uid="{00000000-0005-0000-0000-00005B8C0000}"/>
    <cellStyle name="Normal 3 4 2 2 2 2 4" xfId="35926" xr:uid="{00000000-0005-0000-0000-00005C8C0000}"/>
    <cellStyle name="Normal 3 4 2 2 2 2 4 2" xfId="35927" xr:uid="{00000000-0005-0000-0000-00005D8C0000}"/>
    <cellStyle name="Normal 3 4 2 2 2 2 4 2 2" xfId="35928" xr:uid="{00000000-0005-0000-0000-00005E8C0000}"/>
    <cellStyle name="Normal 3 4 2 2 2 2 4 3" xfId="35929" xr:uid="{00000000-0005-0000-0000-00005F8C0000}"/>
    <cellStyle name="Normal 3 4 2 2 2 2 4 4" xfId="35930" xr:uid="{00000000-0005-0000-0000-0000608C0000}"/>
    <cellStyle name="Normal 3 4 2 2 2 2 5" xfId="35931" xr:uid="{00000000-0005-0000-0000-0000618C0000}"/>
    <cellStyle name="Normal 3 4 2 2 2 2 5 2" xfId="35932" xr:uid="{00000000-0005-0000-0000-0000628C0000}"/>
    <cellStyle name="Normal 3 4 2 2 2 2 6" xfId="35933" xr:uid="{00000000-0005-0000-0000-0000638C0000}"/>
    <cellStyle name="Normal 3 4 2 2 2 2 7" xfId="35934" xr:uid="{00000000-0005-0000-0000-0000648C0000}"/>
    <cellStyle name="Normal 3 4 2 2 2 3" xfId="35935" xr:uid="{00000000-0005-0000-0000-0000658C0000}"/>
    <cellStyle name="Normal 3 4 2 2 2 3 2" xfId="35936" xr:uid="{00000000-0005-0000-0000-0000668C0000}"/>
    <cellStyle name="Normal 3 4 2 2 2 3 2 2" xfId="35937" xr:uid="{00000000-0005-0000-0000-0000678C0000}"/>
    <cellStyle name="Normal 3 4 2 2 2 3 2 2 2" xfId="35938" xr:uid="{00000000-0005-0000-0000-0000688C0000}"/>
    <cellStyle name="Normal 3 4 2 2 2 3 2 2 2 2" xfId="35939" xr:uid="{00000000-0005-0000-0000-0000698C0000}"/>
    <cellStyle name="Normal 3 4 2 2 2 3 2 2 3" xfId="35940" xr:uid="{00000000-0005-0000-0000-00006A8C0000}"/>
    <cellStyle name="Normal 3 4 2 2 2 3 2 2 4" xfId="35941" xr:uid="{00000000-0005-0000-0000-00006B8C0000}"/>
    <cellStyle name="Normal 3 4 2 2 2 3 2 3" xfId="35942" xr:uid="{00000000-0005-0000-0000-00006C8C0000}"/>
    <cellStyle name="Normal 3 4 2 2 2 3 2 3 2" xfId="35943" xr:uid="{00000000-0005-0000-0000-00006D8C0000}"/>
    <cellStyle name="Normal 3 4 2 2 2 3 2 4" xfId="35944" xr:uid="{00000000-0005-0000-0000-00006E8C0000}"/>
    <cellStyle name="Normal 3 4 2 2 2 3 2 5" xfId="35945" xr:uid="{00000000-0005-0000-0000-00006F8C0000}"/>
    <cellStyle name="Normal 3 4 2 2 2 3 3" xfId="35946" xr:uid="{00000000-0005-0000-0000-0000708C0000}"/>
    <cellStyle name="Normal 3 4 2 2 2 3 3 2" xfId="35947" xr:uid="{00000000-0005-0000-0000-0000718C0000}"/>
    <cellStyle name="Normal 3 4 2 2 2 3 3 2 2" xfId="35948" xr:uid="{00000000-0005-0000-0000-0000728C0000}"/>
    <cellStyle name="Normal 3 4 2 2 2 3 3 3" xfId="35949" xr:uid="{00000000-0005-0000-0000-0000738C0000}"/>
    <cellStyle name="Normal 3 4 2 2 2 3 3 3 2" xfId="35950" xr:uid="{00000000-0005-0000-0000-0000748C0000}"/>
    <cellStyle name="Normal 3 4 2 2 2 3 3 4" xfId="35951" xr:uid="{00000000-0005-0000-0000-0000758C0000}"/>
    <cellStyle name="Normal 3 4 2 2 2 3 3 5" xfId="35952" xr:uid="{00000000-0005-0000-0000-0000768C0000}"/>
    <cellStyle name="Normal 3 4 2 2 2 3 4" xfId="35953" xr:uid="{00000000-0005-0000-0000-0000778C0000}"/>
    <cellStyle name="Normal 3 4 2 2 2 3 4 2" xfId="35954" xr:uid="{00000000-0005-0000-0000-0000788C0000}"/>
    <cellStyle name="Normal 3 4 2 2 2 3 5" xfId="35955" xr:uid="{00000000-0005-0000-0000-0000798C0000}"/>
    <cellStyle name="Normal 3 4 2 2 2 3 5 2" xfId="35956" xr:uid="{00000000-0005-0000-0000-00007A8C0000}"/>
    <cellStyle name="Normal 3 4 2 2 2 3 6" xfId="35957" xr:uid="{00000000-0005-0000-0000-00007B8C0000}"/>
    <cellStyle name="Normal 3 4 2 2 2 3 7" xfId="35958" xr:uid="{00000000-0005-0000-0000-00007C8C0000}"/>
    <cellStyle name="Normal 3 4 2 2 2 4" xfId="35959" xr:uid="{00000000-0005-0000-0000-00007D8C0000}"/>
    <cellStyle name="Normal 3 4 2 2 2 4 2" xfId="35960" xr:uid="{00000000-0005-0000-0000-00007E8C0000}"/>
    <cellStyle name="Normal 3 4 2 2 2 4 2 2" xfId="35961" xr:uid="{00000000-0005-0000-0000-00007F8C0000}"/>
    <cellStyle name="Normal 3 4 2 2 2 4 2 2 2" xfId="35962" xr:uid="{00000000-0005-0000-0000-0000808C0000}"/>
    <cellStyle name="Normal 3 4 2 2 2 4 2 3" xfId="35963" xr:uid="{00000000-0005-0000-0000-0000818C0000}"/>
    <cellStyle name="Normal 3 4 2 2 2 4 2 4" xfId="35964" xr:uid="{00000000-0005-0000-0000-0000828C0000}"/>
    <cellStyle name="Normal 3 4 2 2 2 4 3" xfId="35965" xr:uid="{00000000-0005-0000-0000-0000838C0000}"/>
    <cellStyle name="Normal 3 4 2 2 2 4 3 2" xfId="35966" xr:uid="{00000000-0005-0000-0000-0000848C0000}"/>
    <cellStyle name="Normal 3 4 2 2 2 4 4" xfId="35967" xr:uid="{00000000-0005-0000-0000-0000858C0000}"/>
    <cellStyle name="Normal 3 4 2 2 2 4 5" xfId="35968" xr:uid="{00000000-0005-0000-0000-0000868C0000}"/>
    <cellStyle name="Normal 3 4 2 2 2 5" xfId="35969" xr:uid="{00000000-0005-0000-0000-0000878C0000}"/>
    <cellStyle name="Normal 3 4 2 2 2 5 2" xfId="35970" xr:uid="{00000000-0005-0000-0000-0000888C0000}"/>
    <cellStyle name="Normal 3 4 2 2 2 5 2 2" xfId="35971" xr:uid="{00000000-0005-0000-0000-0000898C0000}"/>
    <cellStyle name="Normal 3 4 2 2 2 5 3" xfId="35972" xr:uid="{00000000-0005-0000-0000-00008A8C0000}"/>
    <cellStyle name="Normal 3 4 2 2 2 5 3 2" xfId="35973" xr:uid="{00000000-0005-0000-0000-00008B8C0000}"/>
    <cellStyle name="Normal 3 4 2 2 2 5 4" xfId="35974" xr:uid="{00000000-0005-0000-0000-00008C8C0000}"/>
    <cellStyle name="Normal 3 4 2 2 2 5 5" xfId="35975" xr:uid="{00000000-0005-0000-0000-00008D8C0000}"/>
    <cellStyle name="Normal 3 4 2 2 2 6" xfId="35976" xr:uid="{00000000-0005-0000-0000-00008E8C0000}"/>
    <cellStyle name="Normal 3 4 2 2 2 6 2" xfId="35977" xr:uid="{00000000-0005-0000-0000-00008F8C0000}"/>
    <cellStyle name="Normal 3 4 2 2 2 7" xfId="35978" xr:uid="{00000000-0005-0000-0000-0000908C0000}"/>
    <cellStyle name="Normal 3 4 2 2 2 7 2" xfId="35979" xr:uid="{00000000-0005-0000-0000-0000918C0000}"/>
    <cellStyle name="Normal 3 4 2 2 2 8" xfId="35980" xr:uid="{00000000-0005-0000-0000-0000928C0000}"/>
    <cellStyle name="Normal 3 4 2 2 2 9" xfId="35981" xr:uid="{00000000-0005-0000-0000-0000938C0000}"/>
    <cellStyle name="Normal 3 4 2 2 3" xfId="35982" xr:uid="{00000000-0005-0000-0000-0000948C0000}"/>
    <cellStyle name="Normal 3 4 2 2 3 2" xfId="35983" xr:uid="{00000000-0005-0000-0000-0000958C0000}"/>
    <cellStyle name="Normal 3 4 2 2 3 2 2" xfId="35984" xr:uid="{00000000-0005-0000-0000-0000968C0000}"/>
    <cellStyle name="Normal 3 4 2 2 3 2 2 2" xfId="35985" xr:uid="{00000000-0005-0000-0000-0000978C0000}"/>
    <cellStyle name="Normal 3 4 2 2 3 2 2 2 2" xfId="35986" xr:uid="{00000000-0005-0000-0000-0000988C0000}"/>
    <cellStyle name="Normal 3 4 2 2 3 2 2 2 2 2" xfId="35987" xr:uid="{00000000-0005-0000-0000-0000998C0000}"/>
    <cellStyle name="Normal 3 4 2 2 3 2 2 2 3" xfId="35988" xr:uid="{00000000-0005-0000-0000-00009A8C0000}"/>
    <cellStyle name="Normal 3 4 2 2 3 2 2 2 4" xfId="35989" xr:uid="{00000000-0005-0000-0000-00009B8C0000}"/>
    <cellStyle name="Normal 3 4 2 2 3 2 2 3" xfId="35990" xr:uid="{00000000-0005-0000-0000-00009C8C0000}"/>
    <cellStyle name="Normal 3 4 2 2 3 2 2 3 2" xfId="35991" xr:uid="{00000000-0005-0000-0000-00009D8C0000}"/>
    <cellStyle name="Normal 3 4 2 2 3 2 2 4" xfId="35992" xr:uid="{00000000-0005-0000-0000-00009E8C0000}"/>
    <cellStyle name="Normal 3 4 2 2 3 2 2 5" xfId="35993" xr:uid="{00000000-0005-0000-0000-00009F8C0000}"/>
    <cellStyle name="Normal 3 4 2 2 3 2 3" xfId="35994" xr:uid="{00000000-0005-0000-0000-0000A08C0000}"/>
    <cellStyle name="Normal 3 4 2 2 3 2 3 2" xfId="35995" xr:uid="{00000000-0005-0000-0000-0000A18C0000}"/>
    <cellStyle name="Normal 3 4 2 2 3 2 3 2 2" xfId="35996" xr:uid="{00000000-0005-0000-0000-0000A28C0000}"/>
    <cellStyle name="Normal 3 4 2 2 3 2 3 3" xfId="35997" xr:uid="{00000000-0005-0000-0000-0000A38C0000}"/>
    <cellStyle name="Normal 3 4 2 2 3 2 3 4" xfId="35998" xr:uid="{00000000-0005-0000-0000-0000A48C0000}"/>
    <cellStyle name="Normal 3 4 2 2 3 2 4" xfId="35999" xr:uid="{00000000-0005-0000-0000-0000A58C0000}"/>
    <cellStyle name="Normal 3 4 2 2 3 2 4 2" xfId="36000" xr:uid="{00000000-0005-0000-0000-0000A68C0000}"/>
    <cellStyle name="Normal 3 4 2 2 3 2 5" xfId="36001" xr:uid="{00000000-0005-0000-0000-0000A78C0000}"/>
    <cellStyle name="Normal 3 4 2 2 3 2 6" xfId="36002" xr:uid="{00000000-0005-0000-0000-0000A88C0000}"/>
    <cellStyle name="Normal 3 4 2 2 3 3" xfId="36003" xr:uid="{00000000-0005-0000-0000-0000A98C0000}"/>
    <cellStyle name="Normal 3 4 2 2 3 3 2" xfId="36004" xr:uid="{00000000-0005-0000-0000-0000AA8C0000}"/>
    <cellStyle name="Normal 3 4 2 2 3 3 2 2" xfId="36005" xr:uid="{00000000-0005-0000-0000-0000AB8C0000}"/>
    <cellStyle name="Normal 3 4 2 2 3 3 2 2 2" xfId="36006" xr:uid="{00000000-0005-0000-0000-0000AC8C0000}"/>
    <cellStyle name="Normal 3 4 2 2 3 3 2 3" xfId="36007" xr:uid="{00000000-0005-0000-0000-0000AD8C0000}"/>
    <cellStyle name="Normal 3 4 2 2 3 3 2 4" xfId="36008" xr:uid="{00000000-0005-0000-0000-0000AE8C0000}"/>
    <cellStyle name="Normal 3 4 2 2 3 3 3" xfId="36009" xr:uid="{00000000-0005-0000-0000-0000AF8C0000}"/>
    <cellStyle name="Normal 3 4 2 2 3 3 3 2" xfId="36010" xr:uid="{00000000-0005-0000-0000-0000B08C0000}"/>
    <cellStyle name="Normal 3 4 2 2 3 3 4" xfId="36011" xr:uid="{00000000-0005-0000-0000-0000B18C0000}"/>
    <cellStyle name="Normal 3 4 2 2 3 3 5" xfId="36012" xr:uid="{00000000-0005-0000-0000-0000B28C0000}"/>
    <cellStyle name="Normal 3 4 2 2 3 4" xfId="36013" xr:uid="{00000000-0005-0000-0000-0000B38C0000}"/>
    <cellStyle name="Normal 3 4 2 2 3 4 2" xfId="36014" xr:uid="{00000000-0005-0000-0000-0000B48C0000}"/>
    <cellStyle name="Normal 3 4 2 2 3 4 2 2" xfId="36015" xr:uid="{00000000-0005-0000-0000-0000B58C0000}"/>
    <cellStyle name="Normal 3 4 2 2 3 4 3" xfId="36016" xr:uid="{00000000-0005-0000-0000-0000B68C0000}"/>
    <cellStyle name="Normal 3 4 2 2 3 4 4" xfId="36017" xr:uid="{00000000-0005-0000-0000-0000B78C0000}"/>
    <cellStyle name="Normal 3 4 2 2 3 5" xfId="36018" xr:uid="{00000000-0005-0000-0000-0000B88C0000}"/>
    <cellStyle name="Normal 3 4 2 2 3 5 2" xfId="36019" xr:uid="{00000000-0005-0000-0000-0000B98C0000}"/>
    <cellStyle name="Normal 3 4 2 2 3 6" xfId="36020" xr:uid="{00000000-0005-0000-0000-0000BA8C0000}"/>
    <cellStyle name="Normal 3 4 2 2 3 7" xfId="36021" xr:uid="{00000000-0005-0000-0000-0000BB8C0000}"/>
    <cellStyle name="Normal 3 4 2 2 4" xfId="36022" xr:uid="{00000000-0005-0000-0000-0000BC8C0000}"/>
    <cellStyle name="Normal 3 4 2 2 4 2" xfId="36023" xr:uid="{00000000-0005-0000-0000-0000BD8C0000}"/>
    <cellStyle name="Normal 3 4 2 2 4 2 2" xfId="36024" xr:uid="{00000000-0005-0000-0000-0000BE8C0000}"/>
    <cellStyle name="Normal 3 4 2 2 4 2 2 2" xfId="36025" xr:uid="{00000000-0005-0000-0000-0000BF8C0000}"/>
    <cellStyle name="Normal 3 4 2 2 4 2 2 2 2" xfId="36026" xr:uid="{00000000-0005-0000-0000-0000C08C0000}"/>
    <cellStyle name="Normal 3 4 2 2 4 2 2 3" xfId="36027" xr:uid="{00000000-0005-0000-0000-0000C18C0000}"/>
    <cellStyle name="Normal 3 4 2 2 4 2 2 4" xfId="36028" xr:uid="{00000000-0005-0000-0000-0000C28C0000}"/>
    <cellStyle name="Normal 3 4 2 2 4 2 3" xfId="36029" xr:uid="{00000000-0005-0000-0000-0000C38C0000}"/>
    <cellStyle name="Normal 3 4 2 2 4 2 3 2" xfId="36030" xr:uid="{00000000-0005-0000-0000-0000C48C0000}"/>
    <cellStyle name="Normal 3 4 2 2 4 2 4" xfId="36031" xr:uid="{00000000-0005-0000-0000-0000C58C0000}"/>
    <cellStyle name="Normal 3 4 2 2 4 2 5" xfId="36032" xr:uid="{00000000-0005-0000-0000-0000C68C0000}"/>
    <cellStyle name="Normal 3 4 2 2 4 3" xfId="36033" xr:uid="{00000000-0005-0000-0000-0000C78C0000}"/>
    <cellStyle name="Normal 3 4 2 2 4 3 2" xfId="36034" xr:uid="{00000000-0005-0000-0000-0000C88C0000}"/>
    <cellStyle name="Normal 3 4 2 2 4 3 2 2" xfId="36035" xr:uid="{00000000-0005-0000-0000-0000C98C0000}"/>
    <cellStyle name="Normal 3 4 2 2 4 3 3" xfId="36036" xr:uid="{00000000-0005-0000-0000-0000CA8C0000}"/>
    <cellStyle name="Normal 3 4 2 2 4 3 3 2" xfId="36037" xr:uid="{00000000-0005-0000-0000-0000CB8C0000}"/>
    <cellStyle name="Normal 3 4 2 2 4 3 4" xfId="36038" xr:uid="{00000000-0005-0000-0000-0000CC8C0000}"/>
    <cellStyle name="Normal 3 4 2 2 4 3 5" xfId="36039" xr:uid="{00000000-0005-0000-0000-0000CD8C0000}"/>
    <cellStyle name="Normal 3 4 2 2 4 4" xfId="36040" xr:uid="{00000000-0005-0000-0000-0000CE8C0000}"/>
    <cellStyle name="Normal 3 4 2 2 4 4 2" xfId="36041" xr:uid="{00000000-0005-0000-0000-0000CF8C0000}"/>
    <cellStyle name="Normal 3 4 2 2 4 5" xfId="36042" xr:uid="{00000000-0005-0000-0000-0000D08C0000}"/>
    <cellStyle name="Normal 3 4 2 2 4 5 2" xfId="36043" xr:uid="{00000000-0005-0000-0000-0000D18C0000}"/>
    <cellStyle name="Normal 3 4 2 2 4 6" xfId="36044" xr:uid="{00000000-0005-0000-0000-0000D28C0000}"/>
    <cellStyle name="Normal 3 4 2 2 4 7" xfId="36045" xr:uid="{00000000-0005-0000-0000-0000D38C0000}"/>
    <cellStyle name="Normal 3 4 2 2 5" xfId="36046" xr:uid="{00000000-0005-0000-0000-0000D48C0000}"/>
    <cellStyle name="Normal 3 4 2 2 5 2" xfId="36047" xr:uid="{00000000-0005-0000-0000-0000D58C0000}"/>
    <cellStyle name="Normal 3 4 2 2 5 2 2" xfId="36048" xr:uid="{00000000-0005-0000-0000-0000D68C0000}"/>
    <cellStyle name="Normal 3 4 2 2 5 2 2 2" xfId="36049" xr:uid="{00000000-0005-0000-0000-0000D78C0000}"/>
    <cellStyle name="Normal 3 4 2 2 5 2 3" xfId="36050" xr:uid="{00000000-0005-0000-0000-0000D88C0000}"/>
    <cellStyle name="Normal 3 4 2 2 5 2 4" xfId="36051" xr:uid="{00000000-0005-0000-0000-0000D98C0000}"/>
    <cellStyle name="Normal 3 4 2 2 5 3" xfId="36052" xr:uid="{00000000-0005-0000-0000-0000DA8C0000}"/>
    <cellStyle name="Normal 3 4 2 2 5 3 2" xfId="36053" xr:uid="{00000000-0005-0000-0000-0000DB8C0000}"/>
    <cellStyle name="Normal 3 4 2 2 5 4" xfId="36054" xr:uid="{00000000-0005-0000-0000-0000DC8C0000}"/>
    <cellStyle name="Normal 3 4 2 2 5 5" xfId="36055" xr:uid="{00000000-0005-0000-0000-0000DD8C0000}"/>
    <cellStyle name="Normal 3 4 2 2 6" xfId="36056" xr:uid="{00000000-0005-0000-0000-0000DE8C0000}"/>
    <cellStyle name="Normal 3 4 2 2 6 2" xfId="36057" xr:uid="{00000000-0005-0000-0000-0000DF8C0000}"/>
    <cellStyle name="Normal 3 4 2 2 6 2 2" xfId="36058" xr:uid="{00000000-0005-0000-0000-0000E08C0000}"/>
    <cellStyle name="Normal 3 4 2 2 6 3" xfId="36059" xr:uid="{00000000-0005-0000-0000-0000E18C0000}"/>
    <cellStyle name="Normal 3 4 2 2 6 3 2" xfId="36060" xr:uid="{00000000-0005-0000-0000-0000E28C0000}"/>
    <cellStyle name="Normal 3 4 2 2 6 4" xfId="36061" xr:uid="{00000000-0005-0000-0000-0000E38C0000}"/>
    <cellStyle name="Normal 3 4 2 2 6 5" xfId="36062" xr:uid="{00000000-0005-0000-0000-0000E48C0000}"/>
    <cellStyle name="Normal 3 4 2 2 7" xfId="36063" xr:uid="{00000000-0005-0000-0000-0000E58C0000}"/>
    <cellStyle name="Normal 3 4 2 2 7 2" xfId="36064" xr:uid="{00000000-0005-0000-0000-0000E68C0000}"/>
    <cellStyle name="Normal 3 4 2 2 8" xfId="36065" xr:uid="{00000000-0005-0000-0000-0000E78C0000}"/>
    <cellStyle name="Normal 3 4 2 2 8 2" xfId="36066" xr:uid="{00000000-0005-0000-0000-0000E88C0000}"/>
    <cellStyle name="Normal 3 4 2 2 9" xfId="36067" xr:uid="{00000000-0005-0000-0000-0000E98C0000}"/>
    <cellStyle name="Normal 3 4 2 3" xfId="36068" xr:uid="{00000000-0005-0000-0000-0000EA8C0000}"/>
    <cellStyle name="Normal 3 4 2 3 2" xfId="36069" xr:uid="{00000000-0005-0000-0000-0000EB8C0000}"/>
    <cellStyle name="Normal 3 4 2 3 2 2" xfId="36070" xr:uid="{00000000-0005-0000-0000-0000EC8C0000}"/>
    <cellStyle name="Normal 3 4 2 3 2 2 2" xfId="36071" xr:uid="{00000000-0005-0000-0000-0000ED8C0000}"/>
    <cellStyle name="Normal 3 4 2 3 2 2 2 2" xfId="36072" xr:uid="{00000000-0005-0000-0000-0000EE8C0000}"/>
    <cellStyle name="Normal 3 4 2 3 2 2 2 2 2" xfId="36073" xr:uid="{00000000-0005-0000-0000-0000EF8C0000}"/>
    <cellStyle name="Normal 3 4 2 3 2 2 2 2 2 2" xfId="36074" xr:uid="{00000000-0005-0000-0000-0000F08C0000}"/>
    <cellStyle name="Normal 3 4 2 3 2 2 2 2 3" xfId="36075" xr:uid="{00000000-0005-0000-0000-0000F18C0000}"/>
    <cellStyle name="Normal 3 4 2 3 2 2 2 2 4" xfId="36076" xr:uid="{00000000-0005-0000-0000-0000F28C0000}"/>
    <cellStyle name="Normal 3 4 2 3 2 2 2 3" xfId="36077" xr:uid="{00000000-0005-0000-0000-0000F38C0000}"/>
    <cellStyle name="Normal 3 4 2 3 2 2 2 3 2" xfId="36078" xr:uid="{00000000-0005-0000-0000-0000F48C0000}"/>
    <cellStyle name="Normal 3 4 2 3 2 2 2 4" xfId="36079" xr:uid="{00000000-0005-0000-0000-0000F58C0000}"/>
    <cellStyle name="Normal 3 4 2 3 2 2 2 5" xfId="36080" xr:uid="{00000000-0005-0000-0000-0000F68C0000}"/>
    <cellStyle name="Normal 3 4 2 3 2 2 3" xfId="36081" xr:uid="{00000000-0005-0000-0000-0000F78C0000}"/>
    <cellStyle name="Normal 3 4 2 3 2 2 3 2" xfId="36082" xr:uid="{00000000-0005-0000-0000-0000F88C0000}"/>
    <cellStyle name="Normal 3 4 2 3 2 2 3 2 2" xfId="36083" xr:uid="{00000000-0005-0000-0000-0000F98C0000}"/>
    <cellStyle name="Normal 3 4 2 3 2 2 3 3" xfId="36084" xr:uid="{00000000-0005-0000-0000-0000FA8C0000}"/>
    <cellStyle name="Normal 3 4 2 3 2 2 3 4" xfId="36085" xr:uid="{00000000-0005-0000-0000-0000FB8C0000}"/>
    <cellStyle name="Normal 3 4 2 3 2 2 4" xfId="36086" xr:uid="{00000000-0005-0000-0000-0000FC8C0000}"/>
    <cellStyle name="Normal 3 4 2 3 2 2 4 2" xfId="36087" xr:uid="{00000000-0005-0000-0000-0000FD8C0000}"/>
    <cellStyle name="Normal 3 4 2 3 2 2 5" xfId="36088" xr:uid="{00000000-0005-0000-0000-0000FE8C0000}"/>
    <cellStyle name="Normal 3 4 2 3 2 2 6" xfId="36089" xr:uid="{00000000-0005-0000-0000-0000FF8C0000}"/>
    <cellStyle name="Normal 3 4 2 3 2 3" xfId="36090" xr:uid="{00000000-0005-0000-0000-0000008D0000}"/>
    <cellStyle name="Normal 3 4 2 3 2 3 2" xfId="36091" xr:uid="{00000000-0005-0000-0000-0000018D0000}"/>
    <cellStyle name="Normal 3 4 2 3 2 3 2 2" xfId="36092" xr:uid="{00000000-0005-0000-0000-0000028D0000}"/>
    <cellStyle name="Normal 3 4 2 3 2 3 2 2 2" xfId="36093" xr:uid="{00000000-0005-0000-0000-0000038D0000}"/>
    <cellStyle name="Normal 3 4 2 3 2 3 2 3" xfId="36094" xr:uid="{00000000-0005-0000-0000-0000048D0000}"/>
    <cellStyle name="Normal 3 4 2 3 2 3 2 4" xfId="36095" xr:uid="{00000000-0005-0000-0000-0000058D0000}"/>
    <cellStyle name="Normal 3 4 2 3 2 3 3" xfId="36096" xr:uid="{00000000-0005-0000-0000-0000068D0000}"/>
    <cellStyle name="Normal 3 4 2 3 2 3 3 2" xfId="36097" xr:uid="{00000000-0005-0000-0000-0000078D0000}"/>
    <cellStyle name="Normal 3 4 2 3 2 3 4" xfId="36098" xr:uid="{00000000-0005-0000-0000-0000088D0000}"/>
    <cellStyle name="Normal 3 4 2 3 2 3 5" xfId="36099" xr:uid="{00000000-0005-0000-0000-0000098D0000}"/>
    <cellStyle name="Normal 3 4 2 3 2 4" xfId="36100" xr:uid="{00000000-0005-0000-0000-00000A8D0000}"/>
    <cellStyle name="Normal 3 4 2 3 2 4 2" xfId="36101" xr:uid="{00000000-0005-0000-0000-00000B8D0000}"/>
    <cellStyle name="Normal 3 4 2 3 2 4 2 2" xfId="36102" xr:uid="{00000000-0005-0000-0000-00000C8D0000}"/>
    <cellStyle name="Normal 3 4 2 3 2 4 3" xfId="36103" xr:uid="{00000000-0005-0000-0000-00000D8D0000}"/>
    <cellStyle name="Normal 3 4 2 3 2 4 4" xfId="36104" xr:uid="{00000000-0005-0000-0000-00000E8D0000}"/>
    <cellStyle name="Normal 3 4 2 3 2 5" xfId="36105" xr:uid="{00000000-0005-0000-0000-00000F8D0000}"/>
    <cellStyle name="Normal 3 4 2 3 2 5 2" xfId="36106" xr:uid="{00000000-0005-0000-0000-0000108D0000}"/>
    <cellStyle name="Normal 3 4 2 3 2 6" xfId="36107" xr:uid="{00000000-0005-0000-0000-0000118D0000}"/>
    <cellStyle name="Normal 3 4 2 3 2 7" xfId="36108" xr:uid="{00000000-0005-0000-0000-0000128D0000}"/>
    <cellStyle name="Normal 3 4 2 3 3" xfId="36109" xr:uid="{00000000-0005-0000-0000-0000138D0000}"/>
    <cellStyle name="Normal 3 4 2 3 3 2" xfId="36110" xr:uid="{00000000-0005-0000-0000-0000148D0000}"/>
    <cellStyle name="Normal 3 4 2 3 3 2 2" xfId="36111" xr:uid="{00000000-0005-0000-0000-0000158D0000}"/>
    <cellStyle name="Normal 3 4 2 3 3 2 2 2" xfId="36112" xr:uid="{00000000-0005-0000-0000-0000168D0000}"/>
    <cellStyle name="Normal 3 4 2 3 3 2 2 2 2" xfId="36113" xr:uid="{00000000-0005-0000-0000-0000178D0000}"/>
    <cellStyle name="Normal 3 4 2 3 3 2 2 3" xfId="36114" xr:uid="{00000000-0005-0000-0000-0000188D0000}"/>
    <cellStyle name="Normal 3 4 2 3 3 2 2 4" xfId="36115" xr:uid="{00000000-0005-0000-0000-0000198D0000}"/>
    <cellStyle name="Normal 3 4 2 3 3 2 3" xfId="36116" xr:uid="{00000000-0005-0000-0000-00001A8D0000}"/>
    <cellStyle name="Normal 3 4 2 3 3 2 3 2" xfId="36117" xr:uid="{00000000-0005-0000-0000-00001B8D0000}"/>
    <cellStyle name="Normal 3 4 2 3 3 2 4" xfId="36118" xr:uid="{00000000-0005-0000-0000-00001C8D0000}"/>
    <cellStyle name="Normal 3 4 2 3 3 2 5" xfId="36119" xr:uid="{00000000-0005-0000-0000-00001D8D0000}"/>
    <cellStyle name="Normal 3 4 2 3 3 3" xfId="36120" xr:uid="{00000000-0005-0000-0000-00001E8D0000}"/>
    <cellStyle name="Normal 3 4 2 3 3 3 2" xfId="36121" xr:uid="{00000000-0005-0000-0000-00001F8D0000}"/>
    <cellStyle name="Normal 3 4 2 3 3 3 2 2" xfId="36122" xr:uid="{00000000-0005-0000-0000-0000208D0000}"/>
    <cellStyle name="Normal 3 4 2 3 3 3 3" xfId="36123" xr:uid="{00000000-0005-0000-0000-0000218D0000}"/>
    <cellStyle name="Normal 3 4 2 3 3 3 3 2" xfId="36124" xr:uid="{00000000-0005-0000-0000-0000228D0000}"/>
    <cellStyle name="Normal 3 4 2 3 3 3 4" xfId="36125" xr:uid="{00000000-0005-0000-0000-0000238D0000}"/>
    <cellStyle name="Normal 3 4 2 3 3 3 5" xfId="36126" xr:uid="{00000000-0005-0000-0000-0000248D0000}"/>
    <cellStyle name="Normal 3 4 2 3 3 4" xfId="36127" xr:uid="{00000000-0005-0000-0000-0000258D0000}"/>
    <cellStyle name="Normal 3 4 2 3 3 4 2" xfId="36128" xr:uid="{00000000-0005-0000-0000-0000268D0000}"/>
    <cellStyle name="Normal 3 4 2 3 3 5" xfId="36129" xr:uid="{00000000-0005-0000-0000-0000278D0000}"/>
    <cellStyle name="Normal 3 4 2 3 3 5 2" xfId="36130" xr:uid="{00000000-0005-0000-0000-0000288D0000}"/>
    <cellStyle name="Normal 3 4 2 3 3 6" xfId="36131" xr:uid="{00000000-0005-0000-0000-0000298D0000}"/>
    <cellStyle name="Normal 3 4 2 3 3 7" xfId="36132" xr:uid="{00000000-0005-0000-0000-00002A8D0000}"/>
    <cellStyle name="Normal 3 4 2 3 4" xfId="36133" xr:uid="{00000000-0005-0000-0000-00002B8D0000}"/>
    <cellStyle name="Normal 3 4 2 3 4 2" xfId="36134" xr:uid="{00000000-0005-0000-0000-00002C8D0000}"/>
    <cellStyle name="Normal 3 4 2 3 4 2 2" xfId="36135" xr:uid="{00000000-0005-0000-0000-00002D8D0000}"/>
    <cellStyle name="Normal 3 4 2 3 4 2 2 2" xfId="36136" xr:uid="{00000000-0005-0000-0000-00002E8D0000}"/>
    <cellStyle name="Normal 3 4 2 3 4 2 3" xfId="36137" xr:uid="{00000000-0005-0000-0000-00002F8D0000}"/>
    <cellStyle name="Normal 3 4 2 3 4 2 4" xfId="36138" xr:uid="{00000000-0005-0000-0000-0000308D0000}"/>
    <cellStyle name="Normal 3 4 2 3 4 3" xfId="36139" xr:uid="{00000000-0005-0000-0000-0000318D0000}"/>
    <cellStyle name="Normal 3 4 2 3 4 3 2" xfId="36140" xr:uid="{00000000-0005-0000-0000-0000328D0000}"/>
    <cellStyle name="Normal 3 4 2 3 4 4" xfId="36141" xr:uid="{00000000-0005-0000-0000-0000338D0000}"/>
    <cellStyle name="Normal 3 4 2 3 4 5" xfId="36142" xr:uid="{00000000-0005-0000-0000-0000348D0000}"/>
    <cellStyle name="Normal 3 4 2 3 5" xfId="36143" xr:uid="{00000000-0005-0000-0000-0000358D0000}"/>
    <cellStyle name="Normal 3 4 2 3 5 2" xfId="36144" xr:uid="{00000000-0005-0000-0000-0000368D0000}"/>
    <cellStyle name="Normal 3 4 2 3 5 2 2" xfId="36145" xr:uid="{00000000-0005-0000-0000-0000378D0000}"/>
    <cellStyle name="Normal 3 4 2 3 5 3" xfId="36146" xr:uid="{00000000-0005-0000-0000-0000388D0000}"/>
    <cellStyle name="Normal 3 4 2 3 5 3 2" xfId="36147" xr:uid="{00000000-0005-0000-0000-0000398D0000}"/>
    <cellStyle name="Normal 3 4 2 3 5 4" xfId="36148" xr:uid="{00000000-0005-0000-0000-00003A8D0000}"/>
    <cellStyle name="Normal 3 4 2 3 5 5" xfId="36149" xr:uid="{00000000-0005-0000-0000-00003B8D0000}"/>
    <cellStyle name="Normal 3 4 2 3 6" xfId="36150" xr:uid="{00000000-0005-0000-0000-00003C8D0000}"/>
    <cellStyle name="Normal 3 4 2 3 6 2" xfId="36151" xr:uid="{00000000-0005-0000-0000-00003D8D0000}"/>
    <cellStyle name="Normal 3 4 2 3 7" xfId="36152" xr:uid="{00000000-0005-0000-0000-00003E8D0000}"/>
    <cellStyle name="Normal 3 4 2 3 7 2" xfId="36153" xr:uid="{00000000-0005-0000-0000-00003F8D0000}"/>
    <cellStyle name="Normal 3 4 2 3 8" xfId="36154" xr:uid="{00000000-0005-0000-0000-0000408D0000}"/>
    <cellStyle name="Normal 3 4 2 3 9" xfId="36155" xr:uid="{00000000-0005-0000-0000-0000418D0000}"/>
    <cellStyle name="Normal 3 4 2 4" xfId="36156" xr:uid="{00000000-0005-0000-0000-0000428D0000}"/>
    <cellStyle name="Normal 3 4 2 4 2" xfId="36157" xr:uid="{00000000-0005-0000-0000-0000438D0000}"/>
    <cellStyle name="Normal 3 4 2 4 2 2" xfId="36158" xr:uid="{00000000-0005-0000-0000-0000448D0000}"/>
    <cellStyle name="Normal 3 4 2 4 2 2 2" xfId="36159" xr:uid="{00000000-0005-0000-0000-0000458D0000}"/>
    <cellStyle name="Normal 3 4 2 4 2 2 2 2" xfId="36160" xr:uid="{00000000-0005-0000-0000-0000468D0000}"/>
    <cellStyle name="Normal 3 4 2 4 2 2 2 2 2" xfId="36161" xr:uid="{00000000-0005-0000-0000-0000478D0000}"/>
    <cellStyle name="Normal 3 4 2 4 2 2 2 3" xfId="36162" xr:uid="{00000000-0005-0000-0000-0000488D0000}"/>
    <cellStyle name="Normal 3 4 2 4 2 2 2 4" xfId="36163" xr:uid="{00000000-0005-0000-0000-0000498D0000}"/>
    <cellStyle name="Normal 3 4 2 4 2 2 3" xfId="36164" xr:uid="{00000000-0005-0000-0000-00004A8D0000}"/>
    <cellStyle name="Normal 3 4 2 4 2 2 3 2" xfId="36165" xr:uid="{00000000-0005-0000-0000-00004B8D0000}"/>
    <cellStyle name="Normal 3 4 2 4 2 2 4" xfId="36166" xr:uid="{00000000-0005-0000-0000-00004C8D0000}"/>
    <cellStyle name="Normal 3 4 2 4 2 2 5" xfId="36167" xr:uid="{00000000-0005-0000-0000-00004D8D0000}"/>
    <cellStyle name="Normal 3 4 2 4 2 3" xfId="36168" xr:uid="{00000000-0005-0000-0000-00004E8D0000}"/>
    <cellStyle name="Normal 3 4 2 4 2 3 2" xfId="36169" xr:uid="{00000000-0005-0000-0000-00004F8D0000}"/>
    <cellStyle name="Normal 3 4 2 4 2 3 2 2" xfId="36170" xr:uid="{00000000-0005-0000-0000-0000508D0000}"/>
    <cellStyle name="Normal 3 4 2 4 2 3 3" xfId="36171" xr:uid="{00000000-0005-0000-0000-0000518D0000}"/>
    <cellStyle name="Normal 3 4 2 4 2 3 3 2" xfId="36172" xr:uid="{00000000-0005-0000-0000-0000528D0000}"/>
    <cellStyle name="Normal 3 4 2 4 2 3 4" xfId="36173" xr:uid="{00000000-0005-0000-0000-0000538D0000}"/>
    <cellStyle name="Normal 3 4 2 4 2 3 5" xfId="36174" xr:uid="{00000000-0005-0000-0000-0000548D0000}"/>
    <cellStyle name="Normal 3 4 2 4 2 4" xfId="36175" xr:uid="{00000000-0005-0000-0000-0000558D0000}"/>
    <cellStyle name="Normal 3 4 2 4 2 4 2" xfId="36176" xr:uid="{00000000-0005-0000-0000-0000568D0000}"/>
    <cellStyle name="Normal 3 4 2 4 2 5" xfId="36177" xr:uid="{00000000-0005-0000-0000-0000578D0000}"/>
    <cellStyle name="Normal 3 4 2 4 2 5 2" xfId="36178" xr:uid="{00000000-0005-0000-0000-0000588D0000}"/>
    <cellStyle name="Normal 3 4 2 4 2 6" xfId="36179" xr:uid="{00000000-0005-0000-0000-0000598D0000}"/>
    <cellStyle name="Normal 3 4 2 4 2 7" xfId="36180" xr:uid="{00000000-0005-0000-0000-00005A8D0000}"/>
    <cellStyle name="Normal 3 4 2 4 3" xfId="36181" xr:uid="{00000000-0005-0000-0000-00005B8D0000}"/>
    <cellStyle name="Normal 3 4 2 4 3 2" xfId="36182" xr:uid="{00000000-0005-0000-0000-00005C8D0000}"/>
    <cellStyle name="Normal 3 4 2 4 3 2 2" xfId="36183" xr:uid="{00000000-0005-0000-0000-00005D8D0000}"/>
    <cellStyle name="Normal 3 4 2 4 3 2 2 2" xfId="36184" xr:uid="{00000000-0005-0000-0000-00005E8D0000}"/>
    <cellStyle name="Normal 3 4 2 4 3 2 3" xfId="36185" xr:uid="{00000000-0005-0000-0000-00005F8D0000}"/>
    <cellStyle name="Normal 3 4 2 4 3 2 4" xfId="36186" xr:uid="{00000000-0005-0000-0000-0000608D0000}"/>
    <cellStyle name="Normal 3 4 2 4 3 3" xfId="36187" xr:uid="{00000000-0005-0000-0000-0000618D0000}"/>
    <cellStyle name="Normal 3 4 2 4 3 3 2" xfId="36188" xr:uid="{00000000-0005-0000-0000-0000628D0000}"/>
    <cellStyle name="Normal 3 4 2 4 3 4" xfId="36189" xr:uid="{00000000-0005-0000-0000-0000638D0000}"/>
    <cellStyle name="Normal 3 4 2 4 3 5" xfId="36190" xr:uid="{00000000-0005-0000-0000-0000648D0000}"/>
    <cellStyle name="Normal 3 4 2 4 4" xfId="36191" xr:uid="{00000000-0005-0000-0000-0000658D0000}"/>
    <cellStyle name="Normal 3 4 2 4 4 2" xfId="36192" xr:uid="{00000000-0005-0000-0000-0000668D0000}"/>
    <cellStyle name="Normal 3 4 2 4 4 2 2" xfId="36193" xr:uid="{00000000-0005-0000-0000-0000678D0000}"/>
    <cellStyle name="Normal 3 4 2 4 4 3" xfId="36194" xr:uid="{00000000-0005-0000-0000-0000688D0000}"/>
    <cellStyle name="Normal 3 4 2 4 4 3 2" xfId="36195" xr:uid="{00000000-0005-0000-0000-0000698D0000}"/>
    <cellStyle name="Normal 3 4 2 4 4 4" xfId="36196" xr:uid="{00000000-0005-0000-0000-00006A8D0000}"/>
    <cellStyle name="Normal 3 4 2 4 4 5" xfId="36197" xr:uid="{00000000-0005-0000-0000-00006B8D0000}"/>
    <cellStyle name="Normal 3 4 2 4 5" xfId="36198" xr:uid="{00000000-0005-0000-0000-00006C8D0000}"/>
    <cellStyle name="Normal 3 4 2 4 5 2" xfId="36199" xr:uid="{00000000-0005-0000-0000-00006D8D0000}"/>
    <cellStyle name="Normal 3 4 2 4 6" xfId="36200" xr:uid="{00000000-0005-0000-0000-00006E8D0000}"/>
    <cellStyle name="Normal 3 4 2 4 6 2" xfId="36201" xr:uid="{00000000-0005-0000-0000-00006F8D0000}"/>
    <cellStyle name="Normal 3 4 2 4 7" xfId="36202" xr:uid="{00000000-0005-0000-0000-0000708D0000}"/>
    <cellStyle name="Normal 3 4 2 4 8" xfId="36203" xr:uid="{00000000-0005-0000-0000-0000718D0000}"/>
    <cellStyle name="Normal 3 4 2 5" xfId="36204" xr:uid="{00000000-0005-0000-0000-0000728D0000}"/>
    <cellStyle name="Normal 3 4 2 5 2" xfId="36205" xr:uid="{00000000-0005-0000-0000-0000738D0000}"/>
    <cellStyle name="Normal 3 4 2 5 2 2" xfId="36206" xr:uid="{00000000-0005-0000-0000-0000748D0000}"/>
    <cellStyle name="Normal 3 4 2 5 2 2 2" xfId="36207" xr:uid="{00000000-0005-0000-0000-0000758D0000}"/>
    <cellStyle name="Normal 3 4 2 5 2 2 2 2" xfId="36208" xr:uid="{00000000-0005-0000-0000-0000768D0000}"/>
    <cellStyle name="Normal 3 4 2 5 2 2 3" xfId="36209" xr:uid="{00000000-0005-0000-0000-0000778D0000}"/>
    <cellStyle name="Normal 3 4 2 5 2 2 4" xfId="36210" xr:uid="{00000000-0005-0000-0000-0000788D0000}"/>
    <cellStyle name="Normal 3 4 2 5 2 3" xfId="36211" xr:uid="{00000000-0005-0000-0000-0000798D0000}"/>
    <cellStyle name="Normal 3 4 2 5 2 3 2" xfId="36212" xr:uid="{00000000-0005-0000-0000-00007A8D0000}"/>
    <cellStyle name="Normal 3 4 2 5 2 4" xfId="36213" xr:uid="{00000000-0005-0000-0000-00007B8D0000}"/>
    <cellStyle name="Normal 3 4 2 5 2 5" xfId="36214" xr:uid="{00000000-0005-0000-0000-00007C8D0000}"/>
    <cellStyle name="Normal 3 4 2 5 3" xfId="36215" xr:uid="{00000000-0005-0000-0000-00007D8D0000}"/>
    <cellStyle name="Normal 3 4 2 5 3 2" xfId="36216" xr:uid="{00000000-0005-0000-0000-00007E8D0000}"/>
    <cellStyle name="Normal 3 4 2 5 3 2 2" xfId="36217" xr:uid="{00000000-0005-0000-0000-00007F8D0000}"/>
    <cellStyle name="Normal 3 4 2 5 3 3" xfId="36218" xr:uid="{00000000-0005-0000-0000-0000808D0000}"/>
    <cellStyle name="Normal 3 4 2 5 3 3 2" xfId="36219" xr:uid="{00000000-0005-0000-0000-0000818D0000}"/>
    <cellStyle name="Normal 3 4 2 5 3 4" xfId="36220" xr:uid="{00000000-0005-0000-0000-0000828D0000}"/>
    <cellStyle name="Normal 3 4 2 5 3 5" xfId="36221" xr:uid="{00000000-0005-0000-0000-0000838D0000}"/>
    <cellStyle name="Normal 3 4 2 5 4" xfId="36222" xr:uid="{00000000-0005-0000-0000-0000848D0000}"/>
    <cellStyle name="Normal 3 4 2 5 4 2" xfId="36223" xr:uid="{00000000-0005-0000-0000-0000858D0000}"/>
    <cellStyle name="Normal 3 4 2 5 5" xfId="36224" xr:uid="{00000000-0005-0000-0000-0000868D0000}"/>
    <cellStyle name="Normal 3 4 2 5 5 2" xfId="36225" xr:uid="{00000000-0005-0000-0000-0000878D0000}"/>
    <cellStyle name="Normal 3 4 2 5 6" xfId="36226" xr:uid="{00000000-0005-0000-0000-0000888D0000}"/>
    <cellStyle name="Normal 3 4 2 5 7" xfId="36227" xr:uid="{00000000-0005-0000-0000-0000898D0000}"/>
    <cellStyle name="Normal 3 4 2 6" xfId="36228" xr:uid="{00000000-0005-0000-0000-00008A8D0000}"/>
    <cellStyle name="Normal 3 4 2 6 2" xfId="36229" xr:uid="{00000000-0005-0000-0000-00008B8D0000}"/>
    <cellStyle name="Normal 3 4 2 6 2 2" xfId="36230" xr:uid="{00000000-0005-0000-0000-00008C8D0000}"/>
    <cellStyle name="Normal 3 4 2 6 2 2 2" xfId="36231" xr:uid="{00000000-0005-0000-0000-00008D8D0000}"/>
    <cellStyle name="Normal 3 4 2 6 2 3" xfId="36232" xr:uid="{00000000-0005-0000-0000-00008E8D0000}"/>
    <cellStyle name="Normal 3 4 2 6 2 4" xfId="36233" xr:uid="{00000000-0005-0000-0000-00008F8D0000}"/>
    <cellStyle name="Normal 3 4 2 6 3" xfId="36234" xr:uid="{00000000-0005-0000-0000-0000908D0000}"/>
    <cellStyle name="Normal 3 4 2 6 3 2" xfId="36235" xr:uid="{00000000-0005-0000-0000-0000918D0000}"/>
    <cellStyle name="Normal 3 4 2 6 4" xfId="36236" xr:uid="{00000000-0005-0000-0000-0000928D0000}"/>
    <cellStyle name="Normal 3 4 2 6 5" xfId="36237" xr:uid="{00000000-0005-0000-0000-0000938D0000}"/>
    <cellStyle name="Normal 3 4 2 7" xfId="36238" xr:uid="{00000000-0005-0000-0000-0000948D0000}"/>
    <cellStyle name="Normal 3 4 2 7 2" xfId="36239" xr:uid="{00000000-0005-0000-0000-0000958D0000}"/>
    <cellStyle name="Normal 3 4 2 7 2 2" xfId="36240" xr:uid="{00000000-0005-0000-0000-0000968D0000}"/>
    <cellStyle name="Normal 3 4 2 7 3" xfId="36241" xr:uid="{00000000-0005-0000-0000-0000978D0000}"/>
    <cellStyle name="Normal 3 4 2 7 3 2" xfId="36242" xr:uid="{00000000-0005-0000-0000-0000988D0000}"/>
    <cellStyle name="Normal 3 4 2 7 4" xfId="36243" xr:uid="{00000000-0005-0000-0000-0000998D0000}"/>
    <cellStyle name="Normal 3 4 2 7 5" xfId="36244" xr:uid="{00000000-0005-0000-0000-00009A8D0000}"/>
    <cellStyle name="Normal 3 4 2 8" xfId="36245" xr:uid="{00000000-0005-0000-0000-00009B8D0000}"/>
    <cellStyle name="Normal 3 4 2 8 2" xfId="36246" xr:uid="{00000000-0005-0000-0000-00009C8D0000}"/>
    <cellStyle name="Normal 3 4 2 9" xfId="36247" xr:uid="{00000000-0005-0000-0000-00009D8D0000}"/>
    <cellStyle name="Normal 3 4 2 9 2" xfId="36248" xr:uid="{00000000-0005-0000-0000-00009E8D0000}"/>
    <cellStyle name="Normal 3 4 3" xfId="36249" xr:uid="{00000000-0005-0000-0000-00009F8D0000}"/>
    <cellStyle name="Normal 3 4 3 10" xfId="36250" xr:uid="{00000000-0005-0000-0000-0000A08D0000}"/>
    <cellStyle name="Normal 3 4 3 2" xfId="36251" xr:uid="{00000000-0005-0000-0000-0000A18D0000}"/>
    <cellStyle name="Normal 3 4 3 2 2" xfId="36252" xr:uid="{00000000-0005-0000-0000-0000A28D0000}"/>
    <cellStyle name="Normal 3 4 3 2 2 2" xfId="36253" xr:uid="{00000000-0005-0000-0000-0000A38D0000}"/>
    <cellStyle name="Normal 3 4 3 2 2 2 2" xfId="36254" xr:uid="{00000000-0005-0000-0000-0000A48D0000}"/>
    <cellStyle name="Normal 3 4 3 2 2 2 2 2" xfId="36255" xr:uid="{00000000-0005-0000-0000-0000A58D0000}"/>
    <cellStyle name="Normal 3 4 3 2 2 2 2 2 2" xfId="36256" xr:uid="{00000000-0005-0000-0000-0000A68D0000}"/>
    <cellStyle name="Normal 3 4 3 2 2 2 2 2 2 2" xfId="36257" xr:uid="{00000000-0005-0000-0000-0000A78D0000}"/>
    <cellStyle name="Normal 3 4 3 2 2 2 2 2 3" xfId="36258" xr:uid="{00000000-0005-0000-0000-0000A88D0000}"/>
    <cellStyle name="Normal 3 4 3 2 2 2 2 2 4" xfId="36259" xr:uid="{00000000-0005-0000-0000-0000A98D0000}"/>
    <cellStyle name="Normal 3 4 3 2 2 2 2 3" xfId="36260" xr:uid="{00000000-0005-0000-0000-0000AA8D0000}"/>
    <cellStyle name="Normal 3 4 3 2 2 2 2 3 2" xfId="36261" xr:uid="{00000000-0005-0000-0000-0000AB8D0000}"/>
    <cellStyle name="Normal 3 4 3 2 2 2 2 4" xfId="36262" xr:uid="{00000000-0005-0000-0000-0000AC8D0000}"/>
    <cellStyle name="Normal 3 4 3 2 2 2 2 5" xfId="36263" xr:uid="{00000000-0005-0000-0000-0000AD8D0000}"/>
    <cellStyle name="Normal 3 4 3 2 2 2 3" xfId="36264" xr:uid="{00000000-0005-0000-0000-0000AE8D0000}"/>
    <cellStyle name="Normal 3 4 3 2 2 2 3 2" xfId="36265" xr:uid="{00000000-0005-0000-0000-0000AF8D0000}"/>
    <cellStyle name="Normal 3 4 3 2 2 2 3 2 2" xfId="36266" xr:uid="{00000000-0005-0000-0000-0000B08D0000}"/>
    <cellStyle name="Normal 3 4 3 2 2 2 3 3" xfId="36267" xr:uid="{00000000-0005-0000-0000-0000B18D0000}"/>
    <cellStyle name="Normal 3 4 3 2 2 2 3 4" xfId="36268" xr:uid="{00000000-0005-0000-0000-0000B28D0000}"/>
    <cellStyle name="Normal 3 4 3 2 2 2 4" xfId="36269" xr:uid="{00000000-0005-0000-0000-0000B38D0000}"/>
    <cellStyle name="Normal 3 4 3 2 2 2 4 2" xfId="36270" xr:uid="{00000000-0005-0000-0000-0000B48D0000}"/>
    <cellStyle name="Normal 3 4 3 2 2 2 5" xfId="36271" xr:uid="{00000000-0005-0000-0000-0000B58D0000}"/>
    <cellStyle name="Normal 3 4 3 2 2 2 6" xfId="36272" xr:uid="{00000000-0005-0000-0000-0000B68D0000}"/>
    <cellStyle name="Normal 3 4 3 2 2 3" xfId="36273" xr:uid="{00000000-0005-0000-0000-0000B78D0000}"/>
    <cellStyle name="Normal 3 4 3 2 2 3 2" xfId="36274" xr:uid="{00000000-0005-0000-0000-0000B88D0000}"/>
    <cellStyle name="Normal 3 4 3 2 2 3 2 2" xfId="36275" xr:uid="{00000000-0005-0000-0000-0000B98D0000}"/>
    <cellStyle name="Normal 3 4 3 2 2 3 2 2 2" xfId="36276" xr:uid="{00000000-0005-0000-0000-0000BA8D0000}"/>
    <cellStyle name="Normal 3 4 3 2 2 3 2 3" xfId="36277" xr:uid="{00000000-0005-0000-0000-0000BB8D0000}"/>
    <cellStyle name="Normal 3 4 3 2 2 3 2 4" xfId="36278" xr:uid="{00000000-0005-0000-0000-0000BC8D0000}"/>
    <cellStyle name="Normal 3 4 3 2 2 3 3" xfId="36279" xr:uid="{00000000-0005-0000-0000-0000BD8D0000}"/>
    <cellStyle name="Normal 3 4 3 2 2 3 3 2" xfId="36280" xr:uid="{00000000-0005-0000-0000-0000BE8D0000}"/>
    <cellStyle name="Normal 3 4 3 2 2 3 4" xfId="36281" xr:uid="{00000000-0005-0000-0000-0000BF8D0000}"/>
    <cellStyle name="Normal 3 4 3 2 2 3 5" xfId="36282" xr:uid="{00000000-0005-0000-0000-0000C08D0000}"/>
    <cellStyle name="Normal 3 4 3 2 2 4" xfId="36283" xr:uid="{00000000-0005-0000-0000-0000C18D0000}"/>
    <cellStyle name="Normal 3 4 3 2 2 4 2" xfId="36284" xr:uid="{00000000-0005-0000-0000-0000C28D0000}"/>
    <cellStyle name="Normal 3 4 3 2 2 4 2 2" xfId="36285" xr:uid="{00000000-0005-0000-0000-0000C38D0000}"/>
    <cellStyle name="Normal 3 4 3 2 2 4 3" xfId="36286" xr:uid="{00000000-0005-0000-0000-0000C48D0000}"/>
    <cellStyle name="Normal 3 4 3 2 2 4 4" xfId="36287" xr:uid="{00000000-0005-0000-0000-0000C58D0000}"/>
    <cellStyle name="Normal 3 4 3 2 2 5" xfId="36288" xr:uid="{00000000-0005-0000-0000-0000C68D0000}"/>
    <cellStyle name="Normal 3 4 3 2 2 5 2" xfId="36289" xr:uid="{00000000-0005-0000-0000-0000C78D0000}"/>
    <cellStyle name="Normal 3 4 3 2 2 6" xfId="36290" xr:uid="{00000000-0005-0000-0000-0000C88D0000}"/>
    <cellStyle name="Normal 3 4 3 2 2 7" xfId="36291" xr:uid="{00000000-0005-0000-0000-0000C98D0000}"/>
    <cellStyle name="Normal 3 4 3 2 3" xfId="36292" xr:uid="{00000000-0005-0000-0000-0000CA8D0000}"/>
    <cellStyle name="Normal 3 4 3 2 3 2" xfId="36293" xr:uid="{00000000-0005-0000-0000-0000CB8D0000}"/>
    <cellStyle name="Normal 3 4 3 2 3 2 2" xfId="36294" xr:uid="{00000000-0005-0000-0000-0000CC8D0000}"/>
    <cellStyle name="Normal 3 4 3 2 3 2 2 2" xfId="36295" xr:uid="{00000000-0005-0000-0000-0000CD8D0000}"/>
    <cellStyle name="Normal 3 4 3 2 3 2 2 2 2" xfId="36296" xr:uid="{00000000-0005-0000-0000-0000CE8D0000}"/>
    <cellStyle name="Normal 3 4 3 2 3 2 2 3" xfId="36297" xr:uid="{00000000-0005-0000-0000-0000CF8D0000}"/>
    <cellStyle name="Normal 3 4 3 2 3 2 2 4" xfId="36298" xr:uid="{00000000-0005-0000-0000-0000D08D0000}"/>
    <cellStyle name="Normal 3 4 3 2 3 2 3" xfId="36299" xr:uid="{00000000-0005-0000-0000-0000D18D0000}"/>
    <cellStyle name="Normal 3 4 3 2 3 2 3 2" xfId="36300" xr:uid="{00000000-0005-0000-0000-0000D28D0000}"/>
    <cellStyle name="Normal 3 4 3 2 3 2 4" xfId="36301" xr:uid="{00000000-0005-0000-0000-0000D38D0000}"/>
    <cellStyle name="Normal 3 4 3 2 3 2 5" xfId="36302" xr:uid="{00000000-0005-0000-0000-0000D48D0000}"/>
    <cellStyle name="Normal 3 4 3 2 3 3" xfId="36303" xr:uid="{00000000-0005-0000-0000-0000D58D0000}"/>
    <cellStyle name="Normal 3 4 3 2 3 3 2" xfId="36304" xr:uid="{00000000-0005-0000-0000-0000D68D0000}"/>
    <cellStyle name="Normal 3 4 3 2 3 3 2 2" xfId="36305" xr:uid="{00000000-0005-0000-0000-0000D78D0000}"/>
    <cellStyle name="Normal 3 4 3 2 3 3 3" xfId="36306" xr:uid="{00000000-0005-0000-0000-0000D88D0000}"/>
    <cellStyle name="Normal 3 4 3 2 3 3 3 2" xfId="36307" xr:uid="{00000000-0005-0000-0000-0000D98D0000}"/>
    <cellStyle name="Normal 3 4 3 2 3 3 4" xfId="36308" xr:uid="{00000000-0005-0000-0000-0000DA8D0000}"/>
    <cellStyle name="Normal 3 4 3 2 3 3 5" xfId="36309" xr:uid="{00000000-0005-0000-0000-0000DB8D0000}"/>
    <cellStyle name="Normal 3 4 3 2 3 4" xfId="36310" xr:uid="{00000000-0005-0000-0000-0000DC8D0000}"/>
    <cellStyle name="Normal 3 4 3 2 3 4 2" xfId="36311" xr:uid="{00000000-0005-0000-0000-0000DD8D0000}"/>
    <cellStyle name="Normal 3 4 3 2 3 5" xfId="36312" xr:uid="{00000000-0005-0000-0000-0000DE8D0000}"/>
    <cellStyle name="Normal 3 4 3 2 3 5 2" xfId="36313" xr:uid="{00000000-0005-0000-0000-0000DF8D0000}"/>
    <cellStyle name="Normal 3 4 3 2 3 6" xfId="36314" xr:uid="{00000000-0005-0000-0000-0000E08D0000}"/>
    <cellStyle name="Normal 3 4 3 2 3 7" xfId="36315" xr:uid="{00000000-0005-0000-0000-0000E18D0000}"/>
    <cellStyle name="Normal 3 4 3 2 4" xfId="36316" xr:uid="{00000000-0005-0000-0000-0000E28D0000}"/>
    <cellStyle name="Normal 3 4 3 2 4 2" xfId="36317" xr:uid="{00000000-0005-0000-0000-0000E38D0000}"/>
    <cellStyle name="Normal 3 4 3 2 4 2 2" xfId="36318" xr:uid="{00000000-0005-0000-0000-0000E48D0000}"/>
    <cellStyle name="Normal 3 4 3 2 4 2 2 2" xfId="36319" xr:uid="{00000000-0005-0000-0000-0000E58D0000}"/>
    <cellStyle name="Normal 3 4 3 2 4 2 3" xfId="36320" xr:uid="{00000000-0005-0000-0000-0000E68D0000}"/>
    <cellStyle name="Normal 3 4 3 2 4 2 4" xfId="36321" xr:uid="{00000000-0005-0000-0000-0000E78D0000}"/>
    <cellStyle name="Normal 3 4 3 2 4 3" xfId="36322" xr:uid="{00000000-0005-0000-0000-0000E88D0000}"/>
    <cellStyle name="Normal 3 4 3 2 4 3 2" xfId="36323" xr:uid="{00000000-0005-0000-0000-0000E98D0000}"/>
    <cellStyle name="Normal 3 4 3 2 4 4" xfId="36324" xr:uid="{00000000-0005-0000-0000-0000EA8D0000}"/>
    <cellStyle name="Normal 3 4 3 2 4 5" xfId="36325" xr:uid="{00000000-0005-0000-0000-0000EB8D0000}"/>
    <cellStyle name="Normal 3 4 3 2 5" xfId="36326" xr:uid="{00000000-0005-0000-0000-0000EC8D0000}"/>
    <cellStyle name="Normal 3 4 3 2 5 2" xfId="36327" xr:uid="{00000000-0005-0000-0000-0000ED8D0000}"/>
    <cellStyle name="Normal 3 4 3 2 5 2 2" xfId="36328" xr:uid="{00000000-0005-0000-0000-0000EE8D0000}"/>
    <cellStyle name="Normal 3 4 3 2 5 3" xfId="36329" xr:uid="{00000000-0005-0000-0000-0000EF8D0000}"/>
    <cellStyle name="Normal 3 4 3 2 5 3 2" xfId="36330" xr:uid="{00000000-0005-0000-0000-0000F08D0000}"/>
    <cellStyle name="Normal 3 4 3 2 5 4" xfId="36331" xr:uid="{00000000-0005-0000-0000-0000F18D0000}"/>
    <cellStyle name="Normal 3 4 3 2 5 5" xfId="36332" xr:uid="{00000000-0005-0000-0000-0000F28D0000}"/>
    <cellStyle name="Normal 3 4 3 2 6" xfId="36333" xr:uid="{00000000-0005-0000-0000-0000F38D0000}"/>
    <cellStyle name="Normal 3 4 3 2 6 2" xfId="36334" xr:uid="{00000000-0005-0000-0000-0000F48D0000}"/>
    <cellStyle name="Normal 3 4 3 2 7" xfId="36335" xr:uid="{00000000-0005-0000-0000-0000F58D0000}"/>
    <cellStyle name="Normal 3 4 3 2 7 2" xfId="36336" xr:uid="{00000000-0005-0000-0000-0000F68D0000}"/>
    <cellStyle name="Normal 3 4 3 2 8" xfId="36337" xr:uid="{00000000-0005-0000-0000-0000F78D0000}"/>
    <cellStyle name="Normal 3 4 3 2 9" xfId="36338" xr:uid="{00000000-0005-0000-0000-0000F88D0000}"/>
    <cellStyle name="Normal 3 4 3 3" xfId="36339" xr:uid="{00000000-0005-0000-0000-0000F98D0000}"/>
    <cellStyle name="Normal 3 4 3 3 2" xfId="36340" xr:uid="{00000000-0005-0000-0000-0000FA8D0000}"/>
    <cellStyle name="Normal 3 4 3 3 2 2" xfId="36341" xr:uid="{00000000-0005-0000-0000-0000FB8D0000}"/>
    <cellStyle name="Normal 3 4 3 3 2 2 2" xfId="36342" xr:uid="{00000000-0005-0000-0000-0000FC8D0000}"/>
    <cellStyle name="Normal 3 4 3 3 2 2 2 2" xfId="36343" xr:uid="{00000000-0005-0000-0000-0000FD8D0000}"/>
    <cellStyle name="Normal 3 4 3 3 2 2 2 2 2" xfId="36344" xr:uid="{00000000-0005-0000-0000-0000FE8D0000}"/>
    <cellStyle name="Normal 3 4 3 3 2 2 2 3" xfId="36345" xr:uid="{00000000-0005-0000-0000-0000FF8D0000}"/>
    <cellStyle name="Normal 3 4 3 3 2 2 2 4" xfId="36346" xr:uid="{00000000-0005-0000-0000-0000008E0000}"/>
    <cellStyle name="Normal 3 4 3 3 2 2 3" xfId="36347" xr:uid="{00000000-0005-0000-0000-0000018E0000}"/>
    <cellStyle name="Normal 3 4 3 3 2 2 3 2" xfId="36348" xr:uid="{00000000-0005-0000-0000-0000028E0000}"/>
    <cellStyle name="Normal 3 4 3 3 2 2 4" xfId="36349" xr:uid="{00000000-0005-0000-0000-0000038E0000}"/>
    <cellStyle name="Normal 3 4 3 3 2 2 5" xfId="36350" xr:uid="{00000000-0005-0000-0000-0000048E0000}"/>
    <cellStyle name="Normal 3 4 3 3 2 3" xfId="36351" xr:uid="{00000000-0005-0000-0000-0000058E0000}"/>
    <cellStyle name="Normal 3 4 3 3 2 3 2" xfId="36352" xr:uid="{00000000-0005-0000-0000-0000068E0000}"/>
    <cellStyle name="Normal 3 4 3 3 2 3 2 2" xfId="36353" xr:uid="{00000000-0005-0000-0000-0000078E0000}"/>
    <cellStyle name="Normal 3 4 3 3 2 3 3" xfId="36354" xr:uid="{00000000-0005-0000-0000-0000088E0000}"/>
    <cellStyle name="Normal 3 4 3 3 2 3 3 2" xfId="36355" xr:uid="{00000000-0005-0000-0000-0000098E0000}"/>
    <cellStyle name="Normal 3 4 3 3 2 3 4" xfId="36356" xr:uid="{00000000-0005-0000-0000-00000A8E0000}"/>
    <cellStyle name="Normal 3 4 3 3 2 3 5" xfId="36357" xr:uid="{00000000-0005-0000-0000-00000B8E0000}"/>
    <cellStyle name="Normal 3 4 3 3 2 4" xfId="36358" xr:uid="{00000000-0005-0000-0000-00000C8E0000}"/>
    <cellStyle name="Normal 3 4 3 3 2 4 2" xfId="36359" xr:uid="{00000000-0005-0000-0000-00000D8E0000}"/>
    <cellStyle name="Normal 3 4 3 3 2 5" xfId="36360" xr:uid="{00000000-0005-0000-0000-00000E8E0000}"/>
    <cellStyle name="Normal 3 4 3 3 2 5 2" xfId="36361" xr:uid="{00000000-0005-0000-0000-00000F8E0000}"/>
    <cellStyle name="Normal 3 4 3 3 2 6" xfId="36362" xr:uid="{00000000-0005-0000-0000-0000108E0000}"/>
    <cellStyle name="Normal 3 4 3 3 2 7" xfId="36363" xr:uid="{00000000-0005-0000-0000-0000118E0000}"/>
    <cellStyle name="Normal 3 4 3 3 3" xfId="36364" xr:uid="{00000000-0005-0000-0000-0000128E0000}"/>
    <cellStyle name="Normal 3 4 3 3 3 2" xfId="36365" xr:uid="{00000000-0005-0000-0000-0000138E0000}"/>
    <cellStyle name="Normal 3 4 3 3 3 2 2" xfId="36366" xr:uid="{00000000-0005-0000-0000-0000148E0000}"/>
    <cellStyle name="Normal 3 4 3 3 3 2 2 2" xfId="36367" xr:uid="{00000000-0005-0000-0000-0000158E0000}"/>
    <cellStyle name="Normal 3 4 3 3 3 2 3" xfId="36368" xr:uid="{00000000-0005-0000-0000-0000168E0000}"/>
    <cellStyle name="Normal 3 4 3 3 3 2 4" xfId="36369" xr:uid="{00000000-0005-0000-0000-0000178E0000}"/>
    <cellStyle name="Normal 3 4 3 3 3 3" xfId="36370" xr:uid="{00000000-0005-0000-0000-0000188E0000}"/>
    <cellStyle name="Normal 3 4 3 3 3 3 2" xfId="36371" xr:uid="{00000000-0005-0000-0000-0000198E0000}"/>
    <cellStyle name="Normal 3 4 3 3 3 4" xfId="36372" xr:uid="{00000000-0005-0000-0000-00001A8E0000}"/>
    <cellStyle name="Normal 3 4 3 3 3 5" xfId="36373" xr:uid="{00000000-0005-0000-0000-00001B8E0000}"/>
    <cellStyle name="Normal 3 4 3 3 4" xfId="36374" xr:uid="{00000000-0005-0000-0000-00001C8E0000}"/>
    <cellStyle name="Normal 3 4 3 3 4 2" xfId="36375" xr:uid="{00000000-0005-0000-0000-00001D8E0000}"/>
    <cellStyle name="Normal 3 4 3 3 4 2 2" xfId="36376" xr:uid="{00000000-0005-0000-0000-00001E8E0000}"/>
    <cellStyle name="Normal 3 4 3 3 4 3" xfId="36377" xr:uid="{00000000-0005-0000-0000-00001F8E0000}"/>
    <cellStyle name="Normal 3 4 3 3 4 3 2" xfId="36378" xr:uid="{00000000-0005-0000-0000-0000208E0000}"/>
    <cellStyle name="Normal 3 4 3 3 4 4" xfId="36379" xr:uid="{00000000-0005-0000-0000-0000218E0000}"/>
    <cellStyle name="Normal 3 4 3 3 4 5" xfId="36380" xr:uid="{00000000-0005-0000-0000-0000228E0000}"/>
    <cellStyle name="Normal 3 4 3 3 5" xfId="36381" xr:uid="{00000000-0005-0000-0000-0000238E0000}"/>
    <cellStyle name="Normal 3 4 3 3 5 2" xfId="36382" xr:uid="{00000000-0005-0000-0000-0000248E0000}"/>
    <cellStyle name="Normal 3 4 3 3 6" xfId="36383" xr:uid="{00000000-0005-0000-0000-0000258E0000}"/>
    <cellStyle name="Normal 3 4 3 3 6 2" xfId="36384" xr:uid="{00000000-0005-0000-0000-0000268E0000}"/>
    <cellStyle name="Normal 3 4 3 3 7" xfId="36385" xr:uid="{00000000-0005-0000-0000-0000278E0000}"/>
    <cellStyle name="Normal 3 4 3 3 8" xfId="36386" xr:uid="{00000000-0005-0000-0000-0000288E0000}"/>
    <cellStyle name="Normal 3 4 3 4" xfId="36387" xr:uid="{00000000-0005-0000-0000-0000298E0000}"/>
    <cellStyle name="Normal 3 4 3 4 2" xfId="36388" xr:uid="{00000000-0005-0000-0000-00002A8E0000}"/>
    <cellStyle name="Normal 3 4 3 4 2 2" xfId="36389" xr:uid="{00000000-0005-0000-0000-00002B8E0000}"/>
    <cellStyle name="Normal 3 4 3 4 2 2 2" xfId="36390" xr:uid="{00000000-0005-0000-0000-00002C8E0000}"/>
    <cellStyle name="Normal 3 4 3 4 2 2 2 2" xfId="36391" xr:uid="{00000000-0005-0000-0000-00002D8E0000}"/>
    <cellStyle name="Normal 3 4 3 4 2 2 3" xfId="36392" xr:uid="{00000000-0005-0000-0000-00002E8E0000}"/>
    <cellStyle name="Normal 3 4 3 4 2 2 4" xfId="36393" xr:uid="{00000000-0005-0000-0000-00002F8E0000}"/>
    <cellStyle name="Normal 3 4 3 4 2 3" xfId="36394" xr:uid="{00000000-0005-0000-0000-0000308E0000}"/>
    <cellStyle name="Normal 3 4 3 4 2 3 2" xfId="36395" xr:uid="{00000000-0005-0000-0000-0000318E0000}"/>
    <cellStyle name="Normal 3 4 3 4 2 4" xfId="36396" xr:uid="{00000000-0005-0000-0000-0000328E0000}"/>
    <cellStyle name="Normal 3 4 3 4 2 5" xfId="36397" xr:uid="{00000000-0005-0000-0000-0000338E0000}"/>
    <cellStyle name="Normal 3 4 3 4 3" xfId="36398" xr:uid="{00000000-0005-0000-0000-0000348E0000}"/>
    <cellStyle name="Normal 3 4 3 4 3 2" xfId="36399" xr:uid="{00000000-0005-0000-0000-0000358E0000}"/>
    <cellStyle name="Normal 3 4 3 4 3 2 2" xfId="36400" xr:uid="{00000000-0005-0000-0000-0000368E0000}"/>
    <cellStyle name="Normal 3 4 3 4 3 3" xfId="36401" xr:uid="{00000000-0005-0000-0000-0000378E0000}"/>
    <cellStyle name="Normal 3 4 3 4 3 3 2" xfId="36402" xr:uid="{00000000-0005-0000-0000-0000388E0000}"/>
    <cellStyle name="Normal 3 4 3 4 3 4" xfId="36403" xr:uid="{00000000-0005-0000-0000-0000398E0000}"/>
    <cellStyle name="Normal 3 4 3 4 3 5" xfId="36404" xr:uid="{00000000-0005-0000-0000-00003A8E0000}"/>
    <cellStyle name="Normal 3 4 3 4 4" xfId="36405" xr:uid="{00000000-0005-0000-0000-00003B8E0000}"/>
    <cellStyle name="Normal 3 4 3 4 4 2" xfId="36406" xr:uid="{00000000-0005-0000-0000-00003C8E0000}"/>
    <cellStyle name="Normal 3 4 3 4 5" xfId="36407" xr:uid="{00000000-0005-0000-0000-00003D8E0000}"/>
    <cellStyle name="Normal 3 4 3 4 5 2" xfId="36408" xr:uid="{00000000-0005-0000-0000-00003E8E0000}"/>
    <cellStyle name="Normal 3 4 3 4 6" xfId="36409" xr:uid="{00000000-0005-0000-0000-00003F8E0000}"/>
    <cellStyle name="Normal 3 4 3 4 7" xfId="36410" xr:uid="{00000000-0005-0000-0000-0000408E0000}"/>
    <cellStyle name="Normal 3 4 3 5" xfId="36411" xr:uid="{00000000-0005-0000-0000-0000418E0000}"/>
    <cellStyle name="Normal 3 4 3 5 2" xfId="36412" xr:uid="{00000000-0005-0000-0000-0000428E0000}"/>
    <cellStyle name="Normal 3 4 3 5 2 2" xfId="36413" xr:uid="{00000000-0005-0000-0000-0000438E0000}"/>
    <cellStyle name="Normal 3 4 3 5 2 2 2" xfId="36414" xr:uid="{00000000-0005-0000-0000-0000448E0000}"/>
    <cellStyle name="Normal 3 4 3 5 2 3" xfId="36415" xr:uid="{00000000-0005-0000-0000-0000458E0000}"/>
    <cellStyle name="Normal 3 4 3 5 2 4" xfId="36416" xr:uid="{00000000-0005-0000-0000-0000468E0000}"/>
    <cellStyle name="Normal 3 4 3 5 3" xfId="36417" xr:uid="{00000000-0005-0000-0000-0000478E0000}"/>
    <cellStyle name="Normal 3 4 3 5 3 2" xfId="36418" xr:uid="{00000000-0005-0000-0000-0000488E0000}"/>
    <cellStyle name="Normal 3 4 3 5 4" xfId="36419" xr:uid="{00000000-0005-0000-0000-0000498E0000}"/>
    <cellStyle name="Normal 3 4 3 5 5" xfId="36420" xr:uid="{00000000-0005-0000-0000-00004A8E0000}"/>
    <cellStyle name="Normal 3 4 3 6" xfId="36421" xr:uid="{00000000-0005-0000-0000-00004B8E0000}"/>
    <cellStyle name="Normal 3 4 3 6 2" xfId="36422" xr:uid="{00000000-0005-0000-0000-00004C8E0000}"/>
    <cellStyle name="Normal 3 4 3 6 2 2" xfId="36423" xr:uid="{00000000-0005-0000-0000-00004D8E0000}"/>
    <cellStyle name="Normal 3 4 3 6 3" xfId="36424" xr:uid="{00000000-0005-0000-0000-00004E8E0000}"/>
    <cellStyle name="Normal 3 4 3 6 3 2" xfId="36425" xr:uid="{00000000-0005-0000-0000-00004F8E0000}"/>
    <cellStyle name="Normal 3 4 3 6 4" xfId="36426" xr:uid="{00000000-0005-0000-0000-0000508E0000}"/>
    <cellStyle name="Normal 3 4 3 6 5" xfId="36427" xr:uid="{00000000-0005-0000-0000-0000518E0000}"/>
    <cellStyle name="Normal 3 4 3 7" xfId="36428" xr:uid="{00000000-0005-0000-0000-0000528E0000}"/>
    <cellStyle name="Normal 3 4 3 7 2" xfId="36429" xr:uid="{00000000-0005-0000-0000-0000538E0000}"/>
    <cellStyle name="Normal 3 4 3 8" xfId="36430" xr:uid="{00000000-0005-0000-0000-0000548E0000}"/>
    <cellStyle name="Normal 3 4 3 8 2" xfId="36431" xr:uid="{00000000-0005-0000-0000-0000558E0000}"/>
    <cellStyle name="Normal 3 4 3 9" xfId="36432" xr:uid="{00000000-0005-0000-0000-0000568E0000}"/>
    <cellStyle name="Normal 3 4 4" xfId="36433" xr:uid="{00000000-0005-0000-0000-0000578E0000}"/>
    <cellStyle name="Normal 3 4 4 2" xfId="36434" xr:uid="{00000000-0005-0000-0000-0000588E0000}"/>
    <cellStyle name="Normal 3 4 4 2 2" xfId="36435" xr:uid="{00000000-0005-0000-0000-0000598E0000}"/>
    <cellStyle name="Normal 3 4 4 2 2 2" xfId="36436" xr:uid="{00000000-0005-0000-0000-00005A8E0000}"/>
    <cellStyle name="Normal 3 4 4 2 2 2 2" xfId="36437" xr:uid="{00000000-0005-0000-0000-00005B8E0000}"/>
    <cellStyle name="Normal 3 4 4 2 2 2 2 2" xfId="36438" xr:uid="{00000000-0005-0000-0000-00005C8E0000}"/>
    <cellStyle name="Normal 3 4 4 2 2 2 2 2 2" xfId="36439" xr:uid="{00000000-0005-0000-0000-00005D8E0000}"/>
    <cellStyle name="Normal 3 4 4 2 2 2 2 3" xfId="36440" xr:uid="{00000000-0005-0000-0000-00005E8E0000}"/>
    <cellStyle name="Normal 3 4 4 2 2 2 2 4" xfId="36441" xr:uid="{00000000-0005-0000-0000-00005F8E0000}"/>
    <cellStyle name="Normal 3 4 4 2 2 2 3" xfId="36442" xr:uid="{00000000-0005-0000-0000-0000608E0000}"/>
    <cellStyle name="Normal 3 4 4 2 2 2 3 2" xfId="36443" xr:uid="{00000000-0005-0000-0000-0000618E0000}"/>
    <cellStyle name="Normal 3 4 4 2 2 2 4" xfId="36444" xr:uid="{00000000-0005-0000-0000-0000628E0000}"/>
    <cellStyle name="Normal 3 4 4 2 2 2 5" xfId="36445" xr:uid="{00000000-0005-0000-0000-0000638E0000}"/>
    <cellStyle name="Normal 3 4 4 2 2 3" xfId="36446" xr:uid="{00000000-0005-0000-0000-0000648E0000}"/>
    <cellStyle name="Normal 3 4 4 2 2 3 2" xfId="36447" xr:uid="{00000000-0005-0000-0000-0000658E0000}"/>
    <cellStyle name="Normal 3 4 4 2 2 3 2 2" xfId="36448" xr:uid="{00000000-0005-0000-0000-0000668E0000}"/>
    <cellStyle name="Normal 3 4 4 2 2 3 3" xfId="36449" xr:uid="{00000000-0005-0000-0000-0000678E0000}"/>
    <cellStyle name="Normal 3 4 4 2 2 3 4" xfId="36450" xr:uid="{00000000-0005-0000-0000-0000688E0000}"/>
    <cellStyle name="Normal 3 4 4 2 2 4" xfId="36451" xr:uid="{00000000-0005-0000-0000-0000698E0000}"/>
    <cellStyle name="Normal 3 4 4 2 2 4 2" xfId="36452" xr:uid="{00000000-0005-0000-0000-00006A8E0000}"/>
    <cellStyle name="Normal 3 4 4 2 2 5" xfId="36453" xr:uid="{00000000-0005-0000-0000-00006B8E0000}"/>
    <cellStyle name="Normal 3 4 4 2 2 6" xfId="36454" xr:uid="{00000000-0005-0000-0000-00006C8E0000}"/>
    <cellStyle name="Normal 3 4 4 2 3" xfId="36455" xr:uid="{00000000-0005-0000-0000-00006D8E0000}"/>
    <cellStyle name="Normal 3 4 4 2 3 2" xfId="36456" xr:uid="{00000000-0005-0000-0000-00006E8E0000}"/>
    <cellStyle name="Normal 3 4 4 2 3 2 2" xfId="36457" xr:uid="{00000000-0005-0000-0000-00006F8E0000}"/>
    <cellStyle name="Normal 3 4 4 2 3 2 2 2" xfId="36458" xr:uid="{00000000-0005-0000-0000-0000708E0000}"/>
    <cellStyle name="Normal 3 4 4 2 3 2 3" xfId="36459" xr:uid="{00000000-0005-0000-0000-0000718E0000}"/>
    <cellStyle name="Normal 3 4 4 2 3 2 4" xfId="36460" xr:uid="{00000000-0005-0000-0000-0000728E0000}"/>
    <cellStyle name="Normal 3 4 4 2 3 3" xfId="36461" xr:uid="{00000000-0005-0000-0000-0000738E0000}"/>
    <cellStyle name="Normal 3 4 4 2 3 3 2" xfId="36462" xr:uid="{00000000-0005-0000-0000-0000748E0000}"/>
    <cellStyle name="Normal 3 4 4 2 3 4" xfId="36463" xr:uid="{00000000-0005-0000-0000-0000758E0000}"/>
    <cellStyle name="Normal 3 4 4 2 3 5" xfId="36464" xr:uid="{00000000-0005-0000-0000-0000768E0000}"/>
    <cellStyle name="Normal 3 4 4 2 4" xfId="36465" xr:uid="{00000000-0005-0000-0000-0000778E0000}"/>
    <cellStyle name="Normal 3 4 4 2 4 2" xfId="36466" xr:uid="{00000000-0005-0000-0000-0000788E0000}"/>
    <cellStyle name="Normal 3 4 4 2 4 2 2" xfId="36467" xr:uid="{00000000-0005-0000-0000-0000798E0000}"/>
    <cellStyle name="Normal 3 4 4 2 4 3" xfId="36468" xr:uid="{00000000-0005-0000-0000-00007A8E0000}"/>
    <cellStyle name="Normal 3 4 4 2 4 4" xfId="36469" xr:uid="{00000000-0005-0000-0000-00007B8E0000}"/>
    <cellStyle name="Normal 3 4 4 2 5" xfId="36470" xr:uid="{00000000-0005-0000-0000-00007C8E0000}"/>
    <cellStyle name="Normal 3 4 4 2 5 2" xfId="36471" xr:uid="{00000000-0005-0000-0000-00007D8E0000}"/>
    <cellStyle name="Normal 3 4 4 2 6" xfId="36472" xr:uid="{00000000-0005-0000-0000-00007E8E0000}"/>
    <cellStyle name="Normal 3 4 4 2 7" xfId="36473" xr:uid="{00000000-0005-0000-0000-00007F8E0000}"/>
    <cellStyle name="Normal 3 4 4 3" xfId="36474" xr:uid="{00000000-0005-0000-0000-0000808E0000}"/>
    <cellStyle name="Normal 3 4 4 3 2" xfId="36475" xr:uid="{00000000-0005-0000-0000-0000818E0000}"/>
    <cellStyle name="Normal 3 4 4 3 2 2" xfId="36476" xr:uid="{00000000-0005-0000-0000-0000828E0000}"/>
    <cellStyle name="Normal 3 4 4 3 2 2 2" xfId="36477" xr:uid="{00000000-0005-0000-0000-0000838E0000}"/>
    <cellStyle name="Normal 3 4 4 3 2 2 2 2" xfId="36478" xr:uid="{00000000-0005-0000-0000-0000848E0000}"/>
    <cellStyle name="Normal 3 4 4 3 2 2 3" xfId="36479" xr:uid="{00000000-0005-0000-0000-0000858E0000}"/>
    <cellStyle name="Normal 3 4 4 3 2 2 4" xfId="36480" xr:uid="{00000000-0005-0000-0000-0000868E0000}"/>
    <cellStyle name="Normal 3 4 4 3 2 3" xfId="36481" xr:uid="{00000000-0005-0000-0000-0000878E0000}"/>
    <cellStyle name="Normal 3 4 4 3 2 3 2" xfId="36482" xr:uid="{00000000-0005-0000-0000-0000888E0000}"/>
    <cellStyle name="Normal 3 4 4 3 2 4" xfId="36483" xr:uid="{00000000-0005-0000-0000-0000898E0000}"/>
    <cellStyle name="Normal 3 4 4 3 2 5" xfId="36484" xr:uid="{00000000-0005-0000-0000-00008A8E0000}"/>
    <cellStyle name="Normal 3 4 4 3 3" xfId="36485" xr:uid="{00000000-0005-0000-0000-00008B8E0000}"/>
    <cellStyle name="Normal 3 4 4 3 3 2" xfId="36486" xr:uid="{00000000-0005-0000-0000-00008C8E0000}"/>
    <cellStyle name="Normal 3 4 4 3 3 2 2" xfId="36487" xr:uid="{00000000-0005-0000-0000-00008D8E0000}"/>
    <cellStyle name="Normal 3 4 4 3 3 3" xfId="36488" xr:uid="{00000000-0005-0000-0000-00008E8E0000}"/>
    <cellStyle name="Normal 3 4 4 3 3 3 2" xfId="36489" xr:uid="{00000000-0005-0000-0000-00008F8E0000}"/>
    <cellStyle name="Normal 3 4 4 3 3 4" xfId="36490" xr:uid="{00000000-0005-0000-0000-0000908E0000}"/>
    <cellStyle name="Normal 3 4 4 3 3 5" xfId="36491" xr:uid="{00000000-0005-0000-0000-0000918E0000}"/>
    <cellStyle name="Normal 3 4 4 3 4" xfId="36492" xr:uid="{00000000-0005-0000-0000-0000928E0000}"/>
    <cellStyle name="Normal 3 4 4 3 4 2" xfId="36493" xr:uid="{00000000-0005-0000-0000-0000938E0000}"/>
    <cellStyle name="Normal 3 4 4 3 5" xfId="36494" xr:uid="{00000000-0005-0000-0000-0000948E0000}"/>
    <cellStyle name="Normal 3 4 4 3 5 2" xfId="36495" xr:uid="{00000000-0005-0000-0000-0000958E0000}"/>
    <cellStyle name="Normal 3 4 4 3 6" xfId="36496" xr:uid="{00000000-0005-0000-0000-0000968E0000}"/>
    <cellStyle name="Normal 3 4 4 3 7" xfId="36497" xr:uid="{00000000-0005-0000-0000-0000978E0000}"/>
    <cellStyle name="Normal 3 4 4 4" xfId="36498" xr:uid="{00000000-0005-0000-0000-0000988E0000}"/>
    <cellStyle name="Normal 3 4 4 4 2" xfId="36499" xr:uid="{00000000-0005-0000-0000-0000998E0000}"/>
    <cellStyle name="Normal 3 4 4 4 2 2" xfId="36500" xr:uid="{00000000-0005-0000-0000-00009A8E0000}"/>
    <cellStyle name="Normal 3 4 4 4 2 2 2" xfId="36501" xr:uid="{00000000-0005-0000-0000-00009B8E0000}"/>
    <cellStyle name="Normal 3 4 4 4 2 3" xfId="36502" xr:uid="{00000000-0005-0000-0000-00009C8E0000}"/>
    <cellStyle name="Normal 3 4 4 4 2 4" xfId="36503" xr:uid="{00000000-0005-0000-0000-00009D8E0000}"/>
    <cellStyle name="Normal 3 4 4 4 3" xfId="36504" xr:uid="{00000000-0005-0000-0000-00009E8E0000}"/>
    <cellStyle name="Normal 3 4 4 4 3 2" xfId="36505" xr:uid="{00000000-0005-0000-0000-00009F8E0000}"/>
    <cellStyle name="Normal 3 4 4 4 4" xfId="36506" xr:uid="{00000000-0005-0000-0000-0000A08E0000}"/>
    <cellStyle name="Normal 3 4 4 4 5" xfId="36507" xr:uid="{00000000-0005-0000-0000-0000A18E0000}"/>
    <cellStyle name="Normal 3 4 4 5" xfId="36508" xr:uid="{00000000-0005-0000-0000-0000A28E0000}"/>
    <cellStyle name="Normal 3 4 4 5 2" xfId="36509" xr:uid="{00000000-0005-0000-0000-0000A38E0000}"/>
    <cellStyle name="Normal 3 4 4 5 2 2" xfId="36510" xr:uid="{00000000-0005-0000-0000-0000A48E0000}"/>
    <cellStyle name="Normal 3 4 4 5 3" xfId="36511" xr:uid="{00000000-0005-0000-0000-0000A58E0000}"/>
    <cellStyle name="Normal 3 4 4 5 3 2" xfId="36512" xr:uid="{00000000-0005-0000-0000-0000A68E0000}"/>
    <cellStyle name="Normal 3 4 4 5 4" xfId="36513" xr:uid="{00000000-0005-0000-0000-0000A78E0000}"/>
    <cellStyle name="Normal 3 4 4 5 5" xfId="36514" xr:uid="{00000000-0005-0000-0000-0000A88E0000}"/>
    <cellStyle name="Normal 3 4 4 6" xfId="36515" xr:uid="{00000000-0005-0000-0000-0000A98E0000}"/>
    <cellStyle name="Normal 3 4 4 6 2" xfId="36516" xr:uid="{00000000-0005-0000-0000-0000AA8E0000}"/>
    <cellStyle name="Normal 3 4 4 7" xfId="36517" xr:uid="{00000000-0005-0000-0000-0000AB8E0000}"/>
    <cellStyle name="Normal 3 4 4 7 2" xfId="36518" xr:uid="{00000000-0005-0000-0000-0000AC8E0000}"/>
    <cellStyle name="Normal 3 4 4 8" xfId="36519" xr:uid="{00000000-0005-0000-0000-0000AD8E0000}"/>
    <cellStyle name="Normal 3 4 4 9" xfId="36520" xr:uid="{00000000-0005-0000-0000-0000AE8E0000}"/>
    <cellStyle name="Normal 3 4 5" xfId="36521" xr:uid="{00000000-0005-0000-0000-0000AF8E0000}"/>
    <cellStyle name="Normal 3 4 5 2" xfId="36522" xr:uid="{00000000-0005-0000-0000-0000B08E0000}"/>
    <cellStyle name="Normal 3 4 5 2 2" xfId="36523" xr:uid="{00000000-0005-0000-0000-0000B18E0000}"/>
    <cellStyle name="Normal 3 4 5 2 2 2" xfId="36524" xr:uid="{00000000-0005-0000-0000-0000B28E0000}"/>
    <cellStyle name="Normal 3 4 5 2 2 2 2" xfId="36525" xr:uid="{00000000-0005-0000-0000-0000B38E0000}"/>
    <cellStyle name="Normal 3 4 5 2 2 2 2 2" xfId="36526" xr:uid="{00000000-0005-0000-0000-0000B48E0000}"/>
    <cellStyle name="Normal 3 4 5 2 2 2 3" xfId="36527" xr:uid="{00000000-0005-0000-0000-0000B58E0000}"/>
    <cellStyle name="Normal 3 4 5 2 2 2 4" xfId="36528" xr:uid="{00000000-0005-0000-0000-0000B68E0000}"/>
    <cellStyle name="Normal 3 4 5 2 2 3" xfId="36529" xr:uid="{00000000-0005-0000-0000-0000B78E0000}"/>
    <cellStyle name="Normal 3 4 5 2 2 3 2" xfId="36530" xr:uid="{00000000-0005-0000-0000-0000B88E0000}"/>
    <cellStyle name="Normal 3 4 5 2 2 4" xfId="36531" xr:uid="{00000000-0005-0000-0000-0000B98E0000}"/>
    <cellStyle name="Normal 3 4 5 2 2 5" xfId="36532" xr:uid="{00000000-0005-0000-0000-0000BA8E0000}"/>
    <cellStyle name="Normal 3 4 5 2 3" xfId="36533" xr:uid="{00000000-0005-0000-0000-0000BB8E0000}"/>
    <cellStyle name="Normal 3 4 5 2 3 2" xfId="36534" xr:uid="{00000000-0005-0000-0000-0000BC8E0000}"/>
    <cellStyle name="Normal 3 4 5 2 3 2 2" xfId="36535" xr:uid="{00000000-0005-0000-0000-0000BD8E0000}"/>
    <cellStyle name="Normal 3 4 5 2 3 3" xfId="36536" xr:uid="{00000000-0005-0000-0000-0000BE8E0000}"/>
    <cellStyle name="Normal 3 4 5 2 3 3 2" xfId="36537" xr:uid="{00000000-0005-0000-0000-0000BF8E0000}"/>
    <cellStyle name="Normal 3 4 5 2 3 4" xfId="36538" xr:uid="{00000000-0005-0000-0000-0000C08E0000}"/>
    <cellStyle name="Normal 3 4 5 2 3 5" xfId="36539" xr:uid="{00000000-0005-0000-0000-0000C18E0000}"/>
    <cellStyle name="Normal 3 4 5 2 4" xfId="36540" xr:uid="{00000000-0005-0000-0000-0000C28E0000}"/>
    <cellStyle name="Normal 3 4 5 2 4 2" xfId="36541" xr:uid="{00000000-0005-0000-0000-0000C38E0000}"/>
    <cellStyle name="Normal 3 4 5 2 5" xfId="36542" xr:uid="{00000000-0005-0000-0000-0000C48E0000}"/>
    <cellStyle name="Normal 3 4 5 2 5 2" xfId="36543" xr:uid="{00000000-0005-0000-0000-0000C58E0000}"/>
    <cellStyle name="Normal 3 4 5 2 6" xfId="36544" xr:uid="{00000000-0005-0000-0000-0000C68E0000}"/>
    <cellStyle name="Normal 3 4 5 2 7" xfId="36545" xr:uid="{00000000-0005-0000-0000-0000C78E0000}"/>
    <cellStyle name="Normal 3 4 5 3" xfId="36546" xr:uid="{00000000-0005-0000-0000-0000C88E0000}"/>
    <cellStyle name="Normal 3 4 5 3 2" xfId="36547" xr:uid="{00000000-0005-0000-0000-0000C98E0000}"/>
    <cellStyle name="Normal 3 4 5 3 2 2" xfId="36548" xr:uid="{00000000-0005-0000-0000-0000CA8E0000}"/>
    <cellStyle name="Normal 3 4 5 3 2 2 2" xfId="36549" xr:uid="{00000000-0005-0000-0000-0000CB8E0000}"/>
    <cellStyle name="Normal 3 4 5 3 2 3" xfId="36550" xr:uid="{00000000-0005-0000-0000-0000CC8E0000}"/>
    <cellStyle name="Normal 3 4 5 3 2 4" xfId="36551" xr:uid="{00000000-0005-0000-0000-0000CD8E0000}"/>
    <cellStyle name="Normal 3 4 5 3 3" xfId="36552" xr:uid="{00000000-0005-0000-0000-0000CE8E0000}"/>
    <cellStyle name="Normal 3 4 5 3 3 2" xfId="36553" xr:uid="{00000000-0005-0000-0000-0000CF8E0000}"/>
    <cellStyle name="Normal 3 4 5 3 4" xfId="36554" xr:uid="{00000000-0005-0000-0000-0000D08E0000}"/>
    <cellStyle name="Normal 3 4 5 3 5" xfId="36555" xr:uid="{00000000-0005-0000-0000-0000D18E0000}"/>
    <cellStyle name="Normal 3 4 5 4" xfId="36556" xr:uid="{00000000-0005-0000-0000-0000D28E0000}"/>
    <cellStyle name="Normal 3 4 5 4 2" xfId="36557" xr:uid="{00000000-0005-0000-0000-0000D38E0000}"/>
    <cellStyle name="Normal 3 4 5 4 2 2" xfId="36558" xr:uid="{00000000-0005-0000-0000-0000D48E0000}"/>
    <cellStyle name="Normal 3 4 5 4 3" xfId="36559" xr:uid="{00000000-0005-0000-0000-0000D58E0000}"/>
    <cellStyle name="Normal 3 4 5 4 3 2" xfId="36560" xr:uid="{00000000-0005-0000-0000-0000D68E0000}"/>
    <cellStyle name="Normal 3 4 5 4 4" xfId="36561" xr:uid="{00000000-0005-0000-0000-0000D78E0000}"/>
    <cellStyle name="Normal 3 4 5 4 5" xfId="36562" xr:uid="{00000000-0005-0000-0000-0000D88E0000}"/>
    <cellStyle name="Normal 3 4 5 5" xfId="36563" xr:uid="{00000000-0005-0000-0000-0000D98E0000}"/>
    <cellStyle name="Normal 3 4 5 5 2" xfId="36564" xr:uid="{00000000-0005-0000-0000-0000DA8E0000}"/>
    <cellStyle name="Normal 3 4 5 6" xfId="36565" xr:uid="{00000000-0005-0000-0000-0000DB8E0000}"/>
    <cellStyle name="Normal 3 4 5 6 2" xfId="36566" xr:uid="{00000000-0005-0000-0000-0000DC8E0000}"/>
    <cellStyle name="Normal 3 4 5 7" xfId="36567" xr:uid="{00000000-0005-0000-0000-0000DD8E0000}"/>
    <cellStyle name="Normal 3 4 5 8" xfId="36568" xr:uid="{00000000-0005-0000-0000-0000DE8E0000}"/>
    <cellStyle name="Normal 3 4 6" xfId="36569" xr:uid="{00000000-0005-0000-0000-0000DF8E0000}"/>
    <cellStyle name="Normal 3 4 6 2" xfId="36570" xr:uid="{00000000-0005-0000-0000-0000E08E0000}"/>
    <cellStyle name="Normal 3 4 6 2 2" xfId="36571" xr:uid="{00000000-0005-0000-0000-0000E18E0000}"/>
    <cellStyle name="Normal 3 4 6 2 2 2" xfId="36572" xr:uid="{00000000-0005-0000-0000-0000E28E0000}"/>
    <cellStyle name="Normal 3 4 6 2 2 2 2" xfId="36573" xr:uid="{00000000-0005-0000-0000-0000E38E0000}"/>
    <cellStyle name="Normal 3 4 6 2 2 3" xfId="36574" xr:uid="{00000000-0005-0000-0000-0000E48E0000}"/>
    <cellStyle name="Normal 3 4 6 2 2 4" xfId="36575" xr:uid="{00000000-0005-0000-0000-0000E58E0000}"/>
    <cellStyle name="Normal 3 4 6 2 3" xfId="36576" xr:uid="{00000000-0005-0000-0000-0000E68E0000}"/>
    <cellStyle name="Normal 3 4 6 2 3 2" xfId="36577" xr:uid="{00000000-0005-0000-0000-0000E78E0000}"/>
    <cellStyle name="Normal 3 4 6 2 4" xfId="36578" xr:uid="{00000000-0005-0000-0000-0000E88E0000}"/>
    <cellStyle name="Normal 3 4 6 2 5" xfId="36579" xr:uid="{00000000-0005-0000-0000-0000E98E0000}"/>
    <cellStyle name="Normal 3 4 6 3" xfId="36580" xr:uid="{00000000-0005-0000-0000-0000EA8E0000}"/>
    <cellStyle name="Normal 3 4 6 3 2" xfId="36581" xr:uid="{00000000-0005-0000-0000-0000EB8E0000}"/>
    <cellStyle name="Normal 3 4 6 3 3" xfId="36582" xr:uid="{00000000-0005-0000-0000-0000EC8E0000}"/>
    <cellStyle name="Normal 3 4 6 4" xfId="36583" xr:uid="{00000000-0005-0000-0000-0000ED8E0000}"/>
    <cellStyle name="Normal 3 4 6 4 2" xfId="36584" xr:uid="{00000000-0005-0000-0000-0000EE8E0000}"/>
    <cellStyle name="Normal 3 4 6 5" xfId="36585" xr:uid="{00000000-0005-0000-0000-0000EF8E0000}"/>
    <cellStyle name="Normal 3 4 7" xfId="36586" xr:uid="{00000000-0005-0000-0000-0000F08E0000}"/>
    <cellStyle name="Normal 3 4 7 2" xfId="36587" xr:uid="{00000000-0005-0000-0000-0000F18E0000}"/>
    <cellStyle name="Normal 3 4 7 2 2" xfId="36588" xr:uid="{00000000-0005-0000-0000-0000F28E0000}"/>
    <cellStyle name="Normal 3 4 7 2 2 2" xfId="36589" xr:uid="{00000000-0005-0000-0000-0000F38E0000}"/>
    <cellStyle name="Normal 3 4 7 2 3" xfId="36590" xr:uid="{00000000-0005-0000-0000-0000F48E0000}"/>
    <cellStyle name="Normal 3 4 7 2 3 2" xfId="36591" xr:uid="{00000000-0005-0000-0000-0000F58E0000}"/>
    <cellStyle name="Normal 3 4 7 2 4" xfId="36592" xr:uid="{00000000-0005-0000-0000-0000F68E0000}"/>
    <cellStyle name="Normal 3 4 7 2 5" xfId="36593" xr:uid="{00000000-0005-0000-0000-0000F78E0000}"/>
    <cellStyle name="Normal 3 4 7 3" xfId="36594" xr:uid="{00000000-0005-0000-0000-0000F88E0000}"/>
    <cellStyle name="Normal 3 4 7 3 2" xfId="36595" xr:uid="{00000000-0005-0000-0000-0000F98E0000}"/>
    <cellStyle name="Normal 3 4 7 4" xfId="36596" xr:uid="{00000000-0005-0000-0000-0000FA8E0000}"/>
    <cellStyle name="Normal 3 4 7 4 2" xfId="36597" xr:uid="{00000000-0005-0000-0000-0000FB8E0000}"/>
    <cellStyle name="Normal 3 4 7 5" xfId="36598" xr:uid="{00000000-0005-0000-0000-0000FC8E0000}"/>
    <cellStyle name="Normal 3 4 7 6" xfId="36599" xr:uid="{00000000-0005-0000-0000-0000FD8E0000}"/>
    <cellStyle name="Normal 3 4 8" xfId="36600" xr:uid="{00000000-0005-0000-0000-0000FE8E0000}"/>
    <cellStyle name="Normal 3 4 8 2" xfId="36601" xr:uid="{00000000-0005-0000-0000-0000FF8E0000}"/>
    <cellStyle name="Normal 3 4 8 2 2" xfId="36602" xr:uid="{00000000-0005-0000-0000-0000008F0000}"/>
    <cellStyle name="Normal 3 4 8 3" xfId="36603" xr:uid="{00000000-0005-0000-0000-0000018F0000}"/>
    <cellStyle name="Normal 3 4 8 3 2" xfId="36604" xr:uid="{00000000-0005-0000-0000-0000028F0000}"/>
    <cellStyle name="Normal 3 4 8 4" xfId="36605" xr:uid="{00000000-0005-0000-0000-0000038F0000}"/>
    <cellStyle name="Normal 3 4 8 5" xfId="36606" xr:uid="{00000000-0005-0000-0000-0000048F0000}"/>
    <cellStyle name="Normal 3 4 9" xfId="36607" xr:uid="{00000000-0005-0000-0000-0000058F0000}"/>
    <cellStyle name="Normal 3 4 9 2" xfId="36608" xr:uid="{00000000-0005-0000-0000-0000068F0000}"/>
    <cellStyle name="Normal 3 4 9 2 2" xfId="36609" xr:uid="{00000000-0005-0000-0000-0000078F0000}"/>
    <cellStyle name="Normal 3 4 9 3" xfId="36610" xr:uid="{00000000-0005-0000-0000-0000088F0000}"/>
    <cellStyle name="Normal 3 40" xfId="36611" xr:uid="{00000000-0005-0000-0000-0000098F0000}"/>
    <cellStyle name="Normal 3 40 2" xfId="36612" xr:uid="{00000000-0005-0000-0000-00000A8F0000}"/>
    <cellStyle name="Normal 3 41" xfId="36613" xr:uid="{00000000-0005-0000-0000-00000B8F0000}"/>
    <cellStyle name="Normal 3 41 2" xfId="36614" xr:uid="{00000000-0005-0000-0000-00000C8F0000}"/>
    <cellStyle name="Normal 3 42" xfId="36615" xr:uid="{00000000-0005-0000-0000-00000D8F0000}"/>
    <cellStyle name="Normal 3 42 2" xfId="36616" xr:uid="{00000000-0005-0000-0000-00000E8F0000}"/>
    <cellStyle name="Normal 3 43" xfId="36617" xr:uid="{00000000-0005-0000-0000-00000F8F0000}"/>
    <cellStyle name="Normal 3 43 2" xfId="36618" xr:uid="{00000000-0005-0000-0000-0000108F0000}"/>
    <cellStyle name="Normal 3 44" xfId="36619" xr:uid="{00000000-0005-0000-0000-0000118F0000}"/>
    <cellStyle name="Normal 3 44 2" xfId="36620" xr:uid="{00000000-0005-0000-0000-0000128F0000}"/>
    <cellStyle name="Normal 3 45" xfId="36621" xr:uid="{00000000-0005-0000-0000-0000138F0000}"/>
    <cellStyle name="Normal 3 45 2" xfId="36622" xr:uid="{00000000-0005-0000-0000-0000148F0000}"/>
    <cellStyle name="Normal 3 46" xfId="36623" xr:uid="{00000000-0005-0000-0000-0000158F0000}"/>
    <cellStyle name="Normal 3 46 2" xfId="36624" xr:uid="{00000000-0005-0000-0000-0000168F0000}"/>
    <cellStyle name="Normal 3 47" xfId="36625" xr:uid="{00000000-0005-0000-0000-0000178F0000}"/>
    <cellStyle name="Normal 3 47 2" xfId="36626" xr:uid="{00000000-0005-0000-0000-0000188F0000}"/>
    <cellStyle name="Normal 3 48" xfId="36627" xr:uid="{00000000-0005-0000-0000-0000198F0000}"/>
    <cellStyle name="Normal 3 48 2" xfId="36628" xr:uid="{00000000-0005-0000-0000-00001A8F0000}"/>
    <cellStyle name="Normal 3 49" xfId="36629" xr:uid="{00000000-0005-0000-0000-00001B8F0000}"/>
    <cellStyle name="Normal 3 49 2" xfId="36630" xr:uid="{00000000-0005-0000-0000-00001C8F0000}"/>
    <cellStyle name="Normal 3 5" xfId="36631" xr:uid="{00000000-0005-0000-0000-00001D8F0000}"/>
    <cellStyle name="Normal 3 5 10" xfId="36632" xr:uid="{00000000-0005-0000-0000-00001E8F0000}"/>
    <cellStyle name="Normal 3 5 10 2" xfId="36633" xr:uid="{00000000-0005-0000-0000-00001F8F0000}"/>
    <cellStyle name="Normal 3 5 11" xfId="36634" xr:uid="{00000000-0005-0000-0000-0000208F0000}"/>
    <cellStyle name="Normal 3 5 12" xfId="36635" xr:uid="{00000000-0005-0000-0000-0000218F0000}"/>
    <cellStyle name="Normal 3 5 2" xfId="36636" xr:uid="{00000000-0005-0000-0000-0000228F0000}"/>
    <cellStyle name="Normal 3 5 2 10" xfId="36637" xr:uid="{00000000-0005-0000-0000-0000238F0000}"/>
    <cellStyle name="Normal 3 5 2 11" xfId="36638" xr:uid="{00000000-0005-0000-0000-0000248F0000}"/>
    <cellStyle name="Normal 3 5 2 2" xfId="36639" xr:uid="{00000000-0005-0000-0000-0000258F0000}"/>
    <cellStyle name="Normal 3 5 2 2 10" xfId="36640" xr:uid="{00000000-0005-0000-0000-0000268F0000}"/>
    <cellStyle name="Normal 3 5 2 2 2" xfId="36641" xr:uid="{00000000-0005-0000-0000-0000278F0000}"/>
    <cellStyle name="Normal 3 5 2 2 2 2" xfId="36642" xr:uid="{00000000-0005-0000-0000-0000288F0000}"/>
    <cellStyle name="Normal 3 5 2 2 2 2 2" xfId="36643" xr:uid="{00000000-0005-0000-0000-0000298F0000}"/>
    <cellStyle name="Normal 3 5 2 2 2 2 2 2" xfId="36644" xr:uid="{00000000-0005-0000-0000-00002A8F0000}"/>
    <cellStyle name="Normal 3 5 2 2 2 2 2 2 2" xfId="36645" xr:uid="{00000000-0005-0000-0000-00002B8F0000}"/>
    <cellStyle name="Normal 3 5 2 2 2 2 2 2 2 2" xfId="36646" xr:uid="{00000000-0005-0000-0000-00002C8F0000}"/>
    <cellStyle name="Normal 3 5 2 2 2 2 2 2 2 2 2" xfId="36647" xr:uid="{00000000-0005-0000-0000-00002D8F0000}"/>
    <cellStyle name="Normal 3 5 2 2 2 2 2 2 2 3" xfId="36648" xr:uid="{00000000-0005-0000-0000-00002E8F0000}"/>
    <cellStyle name="Normal 3 5 2 2 2 2 2 2 2 4" xfId="36649" xr:uid="{00000000-0005-0000-0000-00002F8F0000}"/>
    <cellStyle name="Normal 3 5 2 2 2 2 2 2 3" xfId="36650" xr:uid="{00000000-0005-0000-0000-0000308F0000}"/>
    <cellStyle name="Normal 3 5 2 2 2 2 2 2 3 2" xfId="36651" xr:uid="{00000000-0005-0000-0000-0000318F0000}"/>
    <cellStyle name="Normal 3 5 2 2 2 2 2 2 4" xfId="36652" xr:uid="{00000000-0005-0000-0000-0000328F0000}"/>
    <cellStyle name="Normal 3 5 2 2 2 2 2 2 5" xfId="36653" xr:uid="{00000000-0005-0000-0000-0000338F0000}"/>
    <cellStyle name="Normal 3 5 2 2 2 2 2 3" xfId="36654" xr:uid="{00000000-0005-0000-0000-0000348F0000}"/>
    <cellStyle name="Normal 3 5 2 2 2 2 2 3 2" xfId="36655" xr:uid="{00000000-0005-0000-0000-0000358F0000}"/>
    <cellStyle name="Normal 3 5 2 2 2 2 2 3 2 2" xfId="36656" xr:uid="{00000000-0005-0000-0000-0000368F0000}"/>
    <cellStyle name="Normal 3 5 2 2 2 2 2 3 3" xfId="36657" xr:uid="{00000000-0005-0000-0000-0000378F0000}"/>
    <cellStyle name="Normal 3 5 2 2 2 2 2 3 4" xfId="36658" xr:uid="{00000000-0005-0000-0000-0000388F0000}"/>
    <cellStyle name="Normal 3 5 2 2 2 2 2 4" xfId="36659" xr:uid="{00000000-0005-0000-0000-0000398F0000}"/>
    <cellStyle name="Normal 3 5 2 2 2 2 2 4 2" xfId="36660" xr:uid="{00000000-0005-0000-0000-00003A8F0000}"/>
    <cellStyle name="Normal 3 5 2 2 2 2 2 5" xfId="36661" xr:uid="{00000000-0005-0000-0000-00003B8F0000}"/>
    <cellStyle name="Normal 3 5 2 2 2 2 2 6" xfId="36662" xr:uid="{00000000-0005-0000-0000-00003C8F0000}"/>
    <cellStyle name="Normal 3 5 2 2 2 2 3" xfId="36663" xr:uid="{00000000-0005-0000-0000-00003D8F0000}"/>
    <cellStyle name="Normal 3 5 2 2 2 2 3 2" xfId="36664" xr:uid="{00000000-0005-0000-0000-00003E8F0000}"/>
    <cellStyle name="Normal 3 5 2 2 2 2 3 2 2" xfId="36665" xr:uid="{00000000-0005-0000-0000-00003F8F0000}"/>
    <cellStyle name="Normal 3 5 2 2 2 2 3 2 2 2" xfId="36666" xr:uid="{00000000-0005-0000-0000-0000408F0000}"/>
    <cellStyle name="Normal 3 5 2 2 2 2 3 2 3" xfId="36667" xr:uid="{00000000-0005-0000-0000-0000418F0000}"/>
    <cellStyle name="Normal 3 5 2 2 2 2 3 2 4" xfId="36668" xr:uid="{00000000-0005-0000-0000-0000428F0000}"/>
    <cellStyle name="Normal 3 5 2 2 2 2 3 3" xfId="36669" xr:uid="{00000000-0005-0000-0000-0000438F0000}"/>
    <cellStyle name="Normal 3 5 2 2 2 2 3 3 2" xfId="36670" xr:uid="{00000000-0005-0000-0000-0000448F0000}"/>
    <cellStyle name="Normal 3 5 2 2 2 2 3 4" xfId="36671" xr:uid="{00000000-0005-0000-0000-0000458F0000}"/>
    <cellStyle name="Normal 3 5 2 2 2 2 3 5" xfId="36672" xr:uid="{00000000-0005-0000-0000-0000468F0000}"/>
    <cellStyle name="Normal 3 5 2 2 2 2 4" xfId="36673" xr:uid="{00000000-0005-0000-0000-0000478F0000}"/>
    <cellStyle name="Normal 3 5 2 2 2 2 4 2" xfId="36674" xr:uid="{00000000-0005-0000-0000-0000488F0000}"/>
    <cellStyle name="Normal 3 5 2 2 2 2 4 2 2" xfId="36675" xr:uid="{00000000-0005-0000-0000-0000498F0000}"/>
    <cellStyle name="Normal 3 5 2 2 2 2 4 3" xfId="36676" xr:uid="{00000000-0005-0000-0000-00004A8F0000}"/>
    <cellStyle name="Normal 3 5 2 2 2 2 4 4" xfId="36677" xr:uid="{00000000-0005-0000-0000-00004B8F0000}"/>
    <cellStyle name="Normal 3 5 2 2 2 2 5" xfId="36678" xr:uid="{00000000-0005-0000-0000-00004C8F0000}"/>
    <cellStyle name="Normal 3 5 2 2 2 2 5 2" xfId="36679" xr:uid="{00000000-0005-0000-0000-00004D8F0000}"/>
    <cellStyle name="Normal 3 5 2 2 2 2 6" xfId="36680" xr:uid="{00000000-0005-0000-0000-00004E8F0000}"/>
    <cellStyle name="Normal 3 5 2 2 2 2 7" xfId="36681" xr:uid="{00000000-0005-0000-0000-00004F8F0000}"/>
    <cellStyle name="Normal 3 5 2 2 2 3" xfId="36682" xr:uid="{00000000-0005-0000-0000-0000508F0000}"/>
    <cellStyle name="Normal 3 5 2 2 2 3 2" xfId="36683" xr:uid="{00000000-0005-0000-0000-0000518F0000}"/>
    <cellStyle name="Normal 3 5 2 2 2 3 2 2" xfId="36684" xr:uid="{00000000-0005-0000-0000-0000528F0000}"/>
    <cellStyle name="Normal 3 5 2 2 2 3 2 2 2" xfId="36685" xr:uid="{00000000-0005-0000-0000-0000538F0000}"/>
    <cellStyle name="Normal 3 5 2 2 2 3 2 2 2 2" xfId="36686" xr:uid="{00000000-0005-0000-0000-0000548F0000}"/>
    <cellStyle name="Normal 3 5 2 2 2 3 2 2 3" xfId="36687" xr:uid="{00000000-0005-0000-0000-0000558F0000}"/>
    <cellStyle name="Normal 3 5 2 2 2 3 2 2 4" xfId="36688" xr:uid="{00000000-0005-0000-0000-0000568F0000}"/>
    <cellStyle name="Normal 3 5 2 2 2 3 2 3" xfId="36689" xr:uid="{00000000-0005-0000-0000-0000578F0000}"/>
    <cellStyle name="Normal 3 5 2 2 2 3 2 3 2" xfId="36690" xr:uid="{00000000-0005-0000-0000-0000588F0000}"/>
    <cellStyle name="Normal 3 5 2 2 2 3 2 4" xfId="36691" xr:uid="{00000000-0005-0000-0000-0000598F0000}"/>
    <cellStyle name="Normal 3 5 2 2 2 3 2 5" xfId="36692" xr:uid="{00000000-0005-0000-0000-00005A8F0000}"/>
    <cellStyle name="Normal 3 5 2 2 2 3 3" xfId="36693" xr:uid="{00000000-0005-0000-0000-00005B8F0000}"/>
    <cellStyle name="Normal 3 5 2 2 2 3 3 2" xfId="36694" xr:uid="{00000000-0005-0000-0000-00005C8F0000}"/>
    <cellStyle name="Normal 3 5 2 2 2 3 3 2 2" xfId="36695" xr:uid="{00000000-0005-0000-0000-00005D8F0000}"/>
    <cellStyle name="Normal 3 5 2 2 2 3 3 3" xfId="36696" xr:uid="{00000000-0005-0000-0000-00005E8F0000}"/>
    <cellStyle name="Normal 3 5 2 2 2 3 3 3 2" xfId="36697" xr:uid="{00000000-0005-0000-0000-00005F8F0000}"/>
    <cellStyle name="Normal 3 5 2 2 2 3 3 4" xfId="36698" xr:uid="{00000000-0005-0000-0000-0000608F0000}"/>
    <cellStyle name="Normal 3 5 2 2 2 3 3 5" xfId="36699" xr:uid="{00000000-0005-0000-0000-0000618F0000}"/>
    <cellStyle name="Normal 3 5 2 2 2 3 4" xfId="36700" xr:uid="{00000000-0005-0000-0000-0000628F0000}"/>
    <cellStyle name="Normal 3 5 2 2 2 3 4 2" xfId="36701" xr:uid="{00000000-0005-0000-0000-0000638F0000}"/>
    <cellStyle name="Normal 3 5 2 2 2 3 5" xfId="36702" xr:uid="{00000000-0005-0000-0000-0000648F0000}"/>
    <cellStyle name="Normal 3 5 2 2 2 3 5 2" xfId="36703" xr:uid="{00000000-0005-0000-0000-0000658F0000}"/>
    <cellStyle name="Normal 3 5 2 2 2 3 6" xfId="36704" xr:uid="{00000000-0005-0000-0000-0000668F0000}"/>
    <cellStyle name="Normal 3 5 2 2 2 3 7" xfId="36705" xr:uid="{00000000-0005-0000-0000-0000678F0000}"/>
    <cellStyle name="Normal 3 5 2 2 2 4" xfId="36706" xr:uid="{00000000-0005-0000-0000-0000688F0000}"/>
    <cellStyle name="Normal 3 5 2 2 2 4 2" xfId="36707" xr:uid="{00000000-0005-0000-0000-0000698F0000}"/>
    <cellStyle name="Normal 3 5 2 2 2 4 2 2" xfId="36708" xr:uid="{00000000-0005-0000-0000-00006A8F0000}"/>
    <cellStyle name="Normal 3 5 2 2 2 4 2 2 2" xfId="36709" xr:uid="{00000000-0005-0000-0000-00006B8F0000}"/>
    <cellStyle name="Normal 3 5 2 2 2 4 2 3" xfId="36710" xr:uid="{00000000-0005-0000-0000-00006C8F0000}"/>
    <cellStyle name="Normal 3 5 2 2 2 4 2 4" xfId="36711" xr:uid="{00000000-0005-0000-0000-00006D8F0000}"/>
    <cellStyle name="Normal 3 5 2 2 2 4 3" xfId="36712" xr:uid="{00000000-0005-0000-0000-00006E8F0000}"/>
    <cellStyle name="Normal 3 5 2 2 2 4 3 2" xfId="36713" xr:uid="{00000000-0005-0000-0000-00006F8F0000}"/>
    <cellStyle name="Normal 3 5 2 2 2 4 4" xfId="36714" xr:uid="{00000000-0005-0000-0000-0000708F0000}"/>
    <cellStyle name="Normal 3 5 2 2 2 4 5" xfId="36715" xr:uid="{00000000-0005-0000-0000-0000718F0000}"/>
    <cellStyle name="Normal 3 5 2 2 2 5" xfId="36716" xr:uid="{00000000-0005-0000-0000-0000728F0000}"/>
    <cellStyle name="Normal 3 5 2 2 2 5 2" xfId="36717" xr:uid="{00000000-0005-0000-0000-0000738F0000}"/>
    <cellStyle name="Normal 3 5 2 2 2 5 2 2" xfId="36718" xr:uid="{00000000-0005-0000-0000-0000748F0000}"/>
    <cellStyle name="Normal 3 5 2 2 2 5 3" xfId="36719" xr:uid="{00000000-0005-0000-0000-0000758F0000}"/>
    <cellStyle name="Normal 3 5 2 2 2 5 3 2" xfId="36720" xr:uid="{00000000-0005-0000-0000-0000768F0000}"/>
    <cellStyle name="Normal 3 5 2 2 2 5 4" xfId="36721" xr:uid="{00000000-0005-0000-0000-0000778F0000}"/>
    <cellStyle name="Normal 3 5 2 2 2 5 5" xfId="36722" xr:uid="{00000000-0005-0000-0000-0000788F0000}"/>
    <cellStyle name="Normal 3 5 2 2 2 6" xfId="36723" xr:uid="{00000000-0005-0000-0000-0000798F0000}"/>
    <cellStyle name="Normal 3 5 2 2 2 6 2" xfId="36724" xr:uid="{00000000-0005-0000-0000-00007A8F0000}"/>
    <cellStyle name="Normal 3 5 2 2 2 7" xfId="36725" xr:uid="{00000000-0005-0000-0000-00007B8F0000}"/>
    <cellStyle name="Normal 3 5 2 2 2 7 2" xfId="36726" xr:uid="{00000000-0005-0000-0000-00007C8F0000}"/>
    <cellStyle name="Normal 3 5 2 2 2 8" xfId="36727" xr:uid="{00000000-0005-0000-0000-00007D8F0000}"/>
    <cellStyle name="Normal 3 5 2 2 2 9" xfId="36728" xr:uid="{00000000-0005-0000-0000-00007E8F0000}"/>
    <cellStyle name="Normal 3 5 2 2 3" xfId="36729" xr:uid="{00000000-0005-0000-0000-00007F8F0000}"/>
    <cellStyle name="Normal 3 5 2 2 3 2" xfId="36730" xr:uid="{00000000-0005-0000-0000-0000808F0000}"/>
    <cellStyle name="Normal 3 5 2 2 3 2 2" xfId="36731" xr:uid="{00000000-0005-0000-0000-0000818F0000}"/>
    <cellStyle name="Normal 3 5 2 2 3 2 2 2" xfId="36732" xr:uid="{00000000-0005-0000-0000-0000828F0000}"/>
    <cellStyle name="Normal 3 5 2 2 3 2 2 2 2" xfId="36733" xr:uid="{00000000-0005-0000-0000-0000838F0000}"/>
    <cellStyle name="Normal 3 5 2 2 3 2 2 2 2 2" xfId="36734" xr:uid="{00000000-0005-0000-0000-0000848F0000}"/>
    <cellStyle name="Normal 3 5 2 2 3 2 2 2 3" xfId="36735" xr:uid="{00000000-0005-0000-0000-0000858F0000}"/>
    <cellStyle name="Normal 3 5 2 2 3 2 2 2 4" xfId="36736" xr:uid="{00000000-0005-0000-0000-0000868F0000}"/>
    <cellStyle name="Normal 3 5 2 2 3 2 2 3" xfId="36737" xr:uid="{00000000-0005-0000-0000-0000878F0000}"/>
    <cellStyle name="Normal 3 5 2 2 3 2 2 3 2" xfId="36738" xr:uid="{00000000-0005-0000-0000-0000888F0000}"/>
    <cellStyle name="Normal 3 5 2 2 3 2 2 4" xfId="36739" xr:uid="{00000000-0005-0000-0000-0000898F0000}"/>
    <cellStyle name="Normal 3 5 2 2 3 2 2 5" xfId="36740" xr:uid="{00000000-0005-0000-0000-00008A8F0000}"/>
    <cellStyle name="Normal 3 5 2 2 3 2 3" xfId="36741" xr:uid="{00000000-0005-0000-0000-00008B8F0000}"/>
    <cellStyle name="Normal 3 5 2 2 3 2 3 2" xfId="36742" xr:uid="{00000000-0005-0000-0000-00008C8F0000}"/>
    <cellStyle name="Normal 3 5 2 2 3 2 3 2 2" xfId="36743" xr:uid="{00000000-0005-0000-0000-00008D8F0000}"/>
    <cellStyle name="Normal 3 5 2 2 3 2 3 3" xfId="36744" xr:uid="{00000000-0005-0000-0000-00008E8F0000}"/>
    <cellStyle name="Normal 3 5 2 2 3 2 3 4" xfId="36745" xr:uid="{00000000-0005-0000-0000-00008F8F0000}"/>
    <cellStyle name="Normal 3 5 2 2 3 2 4" xfId="36746" xr:uid="{00000000-0005-0000-0000-0000908F0000}"/>
    <cellStyle name="Normal 3 5 2 2 3 2 4 2" xfId="36747" xr:uid="{00000000-0005-0000-0000-0000918F0000}"/>
    <cellStyle name="Normal 3 5 2 2 3 2 5" xfId="36748" xr:uid="{00000000-0005-0000-0000-0000928F0000}"/>
    <cellStyle name="Normal 3 5 2 2 3 2 6" xfId="36749" xr:uid="{00000000-0005-0000-0000-0000938F0000}"/>
    <cellStyle name="Normal 3 5 2 2 3 3" xfId="36750" xr:uid="{00000000-0005-0000-0000-0000948F0000}"/>
    <cellStyle name="Normal 3 5 2 2 3 3 2" xfId="36751" xr:uid="{00000000-0005-0000-0000-0000958F0000}"/>
    <cellStyle name="Normal 3 5 2 2 3 3 2 2" xfId="36752" xr:uid="{00000000-0005-0000-0000-0000968F0000}"/>
    <cellStyle name="Normal 3 5 2 2 3 3 2 2 2" xfId="36753" xr:uid="{00000000-0005-0000-0000-0000978F0000}"/>
    <cellStyle name="Normal 3 5 2 2 3 3 2 3" xfId="36754" xr:uid="{00000000-0005-0000-0000-0000988F0000}"/>
    <cellStyle name="Normal 3 5 2 2 3 3 2 4" xfId="36755" xr:uid="{00000000-0005-0000-0000-0000998F0000}"/>
    <cellStyle name="Normal 3 5 2 2 3 3 3" xfId="36756" xr:uid="{00000000-0005-0000-0000-00009A8F0000}"/>
    <cellStyle name="Normal 3 5 2 2 3 3 3 2" xfId="36757" xr:uid="{00000000-0005-0000-0000-00009B8F0000}"/>
    <cellStyle name="Normal 3 5 2 2 3 3 4" xfId="36758" xr:uid="{00000000-0005-0000-0000-00009C8F0000}"/>
    <cellStyle name="Normal 3 5 2 2 3 3 5" xfId="36759" xr:uid="{00000000-0005-0000-0000-00009D8F0000}"/>
    <cellStyle name="Normal 3 5 2 2 3 4" xfId="36760" xr:uid="{00000000-0005-0000-0000-00009E8F0000}"/>
    <cellStyle name="Normal 3 5 2 2 3 4 2" xfId="36761" xr:uid="{00000000-0005-0000-0000-00009F8F0000}"/>
    <cellStyle name="Normal 3 5 2 2 3 4 2 2" xfId="36762" xr:uid="{00000000-0005-0000-0000-0000A08F0000}"/>
    <cellStyle name="Normal 3 5 2 2 3 4 3" xfId="36763" xr:uid="{00000000-0005-0000-0000-0000A18F0000}"/>
    <cellStyle name="Normal 3 5 2 2 3 4 4" xfId="36764" xr:uid="{00000000-0005-0000-0000-0000A28F0000}"/>
    <cellStyle name="Normal 3 5 2 2 3 5" xfId="36765" xr:uid="{00000000-0005-0000-0000-0000A38F0000}"/>
    <cellStyle name="Normal 3 5 2 2 3 5 2" xfId="36766" xr:uid="{00000000-0005-0000-0000-0000A48F0000}"/>
    <cellStyle name="Normal 3 5 2 2 3 6" xfId="36767" xr:uid="{00000000-0005-0000-0000-0000A58F0000}"/>
    <cellStyle name="Normal 3 5 2 2 3 7" xfId="36768" xr:uid="{00000000-0005-0000-0000-0000A68F0000}"/>
    <cellStyle name="Normal 3 5 2 2 4" xfId="36769" xr:uid="{00000000-0005-0000-0000-0000A78F0000}"/>
    <cellStyle name="Normal 3 5 2 2 4 2" xfId="36770" xr:uid="{00000000-0005-0000-0000-0000A88F0000}"/>
    <cellStyle name="Normal 3 5 2 2 4 2 2" xfId="36771" xr:uid="{00000000-0005-0000-0000-0000A98F0000}"/>
    <cellStyle name="Normal 3 5 2 2 4 2 2 2" xfId="36772" xr:uid="{00000000-0005-0000-0000-0000AA8F0000}"/>
    <cellStyle name="Normal 3 5 2 2 4 2 2 2 2" xfId="36773" xr:uid="{00000000-0005-0000-0000-0000AB8F0000}"/>
    <cellStyle name="Normal 3 5 2 2 4 2 2 3" xfId="36774" xr:uid="{00000000-0005-0000-0000-0000AC8F0000}"/>
    <cellStyle name="Normal 3 5 2 2 4 2 2 4" xfId="36775" xr:uid="{00000000-0005-0000-0000-0000AD8F0000}"/>
    <cellStyle name="Normal 3 5 2 2 4 2 3" xfId="36776" xr:uid="{00000000-0005-0000-0000-0000AE8F0000}"/>
    <cellStyle name="Normal 3 5 2 2 4 2 3 2" xfId="36777" xr:uid="{00000000-0005-0000-0000-0000AF8F0000}"/>
    <cellStyle name="Normal 3 5 2 2 4 2 4" xfId="36778" xr:uid="{00000000-0005-0000-0000-0000B08F0000}"/>
    <cellStyle name="Normal 3 5 2 2 4 2 5" xfId="36779" xr:uid="{00000000-0005-0000-0000-0000B18F0000}"/>
    <cellStyle name="Normal 3 5 2 2 4 3" xfId="36780" xr:uid="{00000000-0005-0000-0000-0000B28F0000}"/>
    <cellStyle name="Normal 3 5 2 2 4 3 2" xfId="36781" xr:uid="{00000000-0005-0000-0000-0000B38F0000}"/>
    <cellStyle name="Normal 3 5 2 2 4 3 2 2" xfId="36782" xr:uid="{00000000-0005-0000-0000-0000B48F0000}"/>
    <cellStyle name="Normal 3 5 2 2 4 3 3" xfId="36783" xr:uid="{00000000-0005-0000-0000-0000B58F0000}"/>
    <cellStyle name="Normal 3 5 2 2 4 3 3 2" xfId="36784" xr:uid="{00000000-0005-0000-0000-0000B68F0000}"/>
    <cellStyle name="Normal 3 5 2 2 4 3 4" xfId="36785" xr:uid="{00000000-0005-0000-0000-0000B78F0000}"/>
    <cellStyle name="Normal 3 5 2 2 4 3 5" xfId="36786" xr:uid="{00000000-0005-0000-0000-0000B88F0000}"/>
    <cellStyle name="Normal 3 5 2 2 4 4" xfId="36787" xr:uid="{00000000-0005-0000-0000-0000B98F0000}"/>
    <cellStyle name="Normal 3 5 2 2 4 4 2" xfId="36788" xr:uid="{00000000-0005-0000-0000-0000BA8F0000}"/>
    <cellStyle name="Normal 3 5 2 2 4 5" xfId="36789" xr:uid="{00000000-0005-0000-0000-0000BB8F0000}"/>
    <cellStyle name="Normal 3 5 2 2 4 5 2" xfId="36790" xr:uid="{00000000-0005-0000-0000-0000BC8F0000}"/>
    <cellStyle name="Normal 3 5 2 2 4 6" xfId="36791" xr:uid="{00000000-0005-0000-0000-0000BD8F0000}"/>
    <cellStyle name="Normal 3 5 2 2 4 7" xfId="36792" xr:uid="{00000000-0005-0000-0000-0000BE8F0000}"/>
    <cellStyle name="Normal 3 5 2 2 5" xfId="36793" xr:uid="{00000000-0005-0000-0000-0000BF8F0000}"/>
    <cellStyle name="Normal 3 5 2 2 5 2" xfId="36794" xr:uid="{00000000-0005-0000-0000-0000C08F0000}"/>
    <cellStyle name="Normal 3 5 2 2 5 2 2" xfId="36795" xr:uid="{00000000-0005-0000-0000-0000C18F0000}"/>
    <cellStyle name="Normal 3 5 2 2 5 2 2 2" xfId="36796" xr:uid="{00000000-0005-0000-0000-0000C28F0000}"/>
    <cellStyle name="Normal 3 5 2 2 5 2 3" xfId="36797" xr:uid="{00000000-0005-0000-0000-0000C38F0000}"/>
    <cellStyle name="Normal 3 5 2 2 5 2 4" xfId="36798" xr:uid="{00000000-0005-0000-0000-0000C48F0000}"/>
    <cellStyle name="Normal 3 5 2 2 5 3" xfId="36799" xr:uid="{00000000-0005-0000-0000-0000C58F0000}"/>
    <cellStyle name="Normal 3 5 2 2 5 3 2" xfId="36800" xr:uid="{00000000-0005-0000-0000-0000C68F0000}"/>
    <cellStyle name="Normal 3 5 2 2 5 4" xfId="36801" xr:uid="{00000000-0005-0000-0000-0000C78F0000}"/>
    <cellStyle name="Normal 3 5 2 2 5 5" xfId="36802" xr:uid="{00000000-0005-0000-0000-0000C88F0000}"/>
    <cellStyle name="Normal 3 5 2 2 6" xfId="36803" xr:uid="{00000000-0005-0000-0000-0000C98F0000}"/>
    <cellStyle name="Normal 3 5 2 2 6 2" xfId="36804" xr:uid="{00000000-0005-0000-0000-0000CA8F0000}"/>
    <cellStyle name="Normal 3 5 2 2 6 2 2" xfId="36805" xr:uid="{00000000-0005-0000-0000-0000CB8F0000}"/>
    <cellStyle name="Normal 3 5 2 2 6 3" xfId="36806" xr:uid="{00000000-0005-0000-0000-0000CC8F0000}"/>
    <cellStyle name="Normal 3 5 2 2 6 3 2" xfId="36807" xr:uid="{00000000-0005-0000-0000-0000CD8F0000}"/>
    <cellStyle name="Normal 3 5 2 2 6 4" xfId="36808" xr:uid="{00000000-0005-0000-0000-0000CE8F0000}"/>
    <cellStyle name="Normal 3 5 2 2 6 5" xfId="36809" xr:uid="{00000000-0005-0000-0000-0000CF8F0000}"/>
    <cellStyle name="Normal 3 5 2 2 7" xfId="36810" xr:uid="{00000000-0005-0000-0000-0000D08F0000}"/>
    <cellStyle name="Normal 3 5 2 2 7 2" xfId="36811" xr:uid="{00000000-0005-0000-0000-0000D18F0000}"/>
    <cellStyle name="Normal 3 5 2 2 8" xfId="36812" xr:uid="{00000000-0005-0000-0000-0000D28F0000}"/>
    <cellStyle name="Normal 3 5 2 2 8 2" xfId="36813" xr:uid="{00000000-0005-0000-0000-0000D38F0000}"/>
    <cellStyle name="Normal 3 5 2 2 9" xfId="36814" xr:uid="{00000000-0005-0000-0000-0000D48F0000}"/>
    <cellStyle name="Normal 3 5 2 3" xfId="36815" xr:uid="{00000000-0005-0000-0000-0000D58F0000}"/>
    <cellStyle name="Normal 3 5 2 3 2" xfId="36816" xr:uid="{00000000-0005-0000-0000-0000D68F0000}"/>
    <cellStyle name="Normal 3 5 2 3 2 2" xfId="36817" xr:uid="{00000000-0005-0000-0000-0000D78F0000}"/>
    <cellStyle name="Normal 3 5 2 3 2 2 2" xfId="36818" xr:uid="{00000000-0005-0000-0000-0000D88F0000}"/>
    <cellStyle name="Normal 3 5 2 3 2 2 2 2" xfId="36819" xr:uid="{00000000-0005-0000-0000-0000D98F0000}"/>
    <cellStyle name="Normal 3 5 2 3 2 2 2 2 2" xfId="36820" xr:uid="{00000000-0005-0000-0000-0000DA8F0000}"/>
    <cellStyle name="Normal 3 5 2 3 2 2 2 2 2 2" xfId="36821" xr:uid="{00000000-0005-0000-0000-0000DB8F0000}"/>
    <cellStyle name="Normal 3 5 2 3 2 2 2 2 3" xfId="36822" xr:uid="{00000000-0005-0000-0000-0000DC8F0000}"/>
    <cellStyle name="Normal 3 5 2 3 2 2 2 2 4" xfId="36823" xr:uid="{00000000-0005-0000-0000-0000DD8F0000}"/>
    <cellStyle name="Normal 3 5 2 3 2 2 2 3" xfId="36824" xr:uid="{00000000-0005-0000-0000-0000DE8F0000}"/>
    <cellStyle name="Normal 3 5 2 3 2 2 2 3 2" xfId="36825" xr:uid="{00000000-0005-0000-0000-0000DF8F0000}"/>
    <cellStyle name="Normal 3 5 2 3 2 2 2 4" xfId="36826" xr:uid="{00000000-0005-0000-0000-0000E08F0000}"/>
    <cellStyle name="Normal 3 5 2 3 2 2 2 5" xfId="36827" xr:uid="{00000000-0005-0000-0000-0000E18F0000}"/>
    <cellStyle name="Normal 3 5 2 3 2 2 3" xfId="36828" xr:uid="{00000000-0005-0000-0000-0000E28F0000}"/>
    <cellStyle name="Normal 3 5 2 3 2 2 3 2" xfId="36829" xr:uid="{00000000-0005-0000-0000-0000E38F0000}"/>
    <cellStyle name="Normal 3 5 2 3 2 2 3 2 2" xfId="36830" xr:uid="{00000000-0005-0000-0000-0000E48F0000}"/>
    <cellStyle name="Normal 3 5 2 3 2 2 3 3" xfId="36831" xr:uid="{00000000-0005-0000-0000-0000E58F0000}"/>
    <cellStyle name="Normal 3 5 2 3 2 2 3 4" xfId="36832" xr:uid="{00000000-0005-0000-0000-0000E68F0000}"/>
    <cellStyle name="Normal 3 5 2 3 2 2 4" xfId="36833" xr:uid="{00000000-0005-0000-0000-0000E78F0000}"/>
    <cellStyle name="Normal 3 5 2 3 2 2 4 2" xfId="36834" xr:uid="{00000000-0005-0000-0000-0000E88F0000}"/>
    <cellStyle name="Normal 3 5 2 3 2 2 5" xfId="36835" xr:uid="{00000000-0005-0000-0000-0000E98F0000}"/>
    <cellStyle name="Normal 3 5 2 3 2 2 6" xfId="36836" xr:uid="{00000000-0005-0000-0000-0000EA8F0000}"/>
    <cellStyle name="Normal 3 5 2 3 2 3" xfId="36837" xr:uid="{00000000-0005-0000-0000-0000EB8F0000}"/>
    <cellStyle name="Normal 3 5 2 3 2 3 2" xfId="36838" xr:uid="{00000000-0005-0000-0000-0000EC8F0000}"/>
    <cellStyle name="Normal 3 5 2 3 2 3 2 2" xfId="36839" xr:uid="{00000000-0005-0000-0000-0000ED8F0000}"/>
    <cellStyle name="Normal 3 5 2 3 2 3 2 2 2" xfId="36840" xr:uid="{00000000-0005-0000-0000-0000EE8F0000}"/>
    <cellStyle name="Normal 3 5 2 3 2 3 2 3" xfId="36841" xr:uid="{00000000-0005-0000-0000-0000EF8F0000}"/>
    <cellStyle name="Normal 3 5 2 3 2 3 2 4" xfId="36842" xr:uid="{00000000-0005-0000-0000-0000F08F0000}"/>
    <cellStyle name="Normal 3 5 2 3 2 3 3" xfId="36843" xr:uid="{00000000-0005-0000-0000-0000F18F0000}"/>
    <cellStyle name="Normal 3 5 2 3 2 3 3 2" xfId="36844" xr:uid="{00000000-0005-0000-0000-0000F28F0000}"/>
    <cellStyle name="Normal 3 5 2 3 2 3 4" xfId="36845" xr:uid="{00000000-0005-0000-0000-0000F38F0000}"/>
    <cellStyle name="Normal 3 5 2 3 2 3 5" xfId="36846" xr:uid="{00000000-0005-0000-0000-0000F48F0000}"/>
    <cellStyle name="Normal 3 5 2 3 2 4" xfId="36847" xr:uid="{00000000-0005-0000-0000-0000F58F0000}"/>
    <cellStyle name="Normal 3 5 2 3 2 4 2" xfId="36848" xr:uid="{00000000-0005-0000-0000-0000F68F0000}"/>
    <cellStyle name="Normal 3 5 2 3 2 4 2 2" xfId="36849" xr:uid="{00000000-0005-0000-0000-0000F78F0000}"/>
    <cellStyle name="Normal 3 5 2 3 2 4 3" xfId="36850" xr:uid="{00000000-0005-0000-0000-0000F88F0000}"/>
    <cellStyle name="Normal 3 5 2 3 2 4 4" xfId="36851" xr:uid="{00000000-0005-0000-0000-0000F98F0000}"/>
    <cellStyle name="Normal 3 5 2 3 2 5" xfId="36852" xr:uid="{00000000-0005-0000-0000-0000FA8F0000}"/>
    <cellStyle name="Normal 3 5 2 3 2 5 2" xfId="36853" xr:uid="{00000000-0005-0000-0000-0000FB8F0000}"/>
    <cellStyle name="Normal 3 5 2 3 2 6" xfId="36854" xr:uid="{00000000-0005-0000-0000-0000FC8F0000}"/>
    <cellStyle name="Normal 3 5 2 3 2 7" xfId="36855" xr:uid="{00000000-0005-0000-0000-0000FD8F0000}"/>
    <cellStyle name="Normal 3 5 2 3 3" xfId="36856" xr:uid="{00000000-0005-0000-0000-0000FE8F0000}"/>
    <cellStyle name="Normal 3 5 2 3 3 2" xfId="36857" xr:uid="{00000000-0005-0000-0000-0000FF8F0000}"/>
    <cellStyle name="Normal 3 5 2 3 3 2 2" xfId="36858" xr:uid="{00000000-0005-0000-0000-000000900000}"/>
    <cellStyle name="Normal 3 5 2 3 3 2 2 2" xfId="36859" xr:uid="{00000000-0005-0000-0000-000001900000}"/>
    <cellStyle name="Normal 3 5 2 3 3 2 2 2 2" xfId="36860" xr:uid="{00000000-0005-0000-0000-000002900000}"/>
    <cellStyle name="Normal 3 5 2 3 3 2 2 3" xfId="36861" xr:uid="{00000000-0005-0000-0000-000003900000}"/>
    <cellStyle name="Normal 3 5 2 3 3 2 2 4" xfId="36862" xr:uid="{00000000-0005-0000-0000-000004900000}"/>
    <cellStyle name="Normal 3 5 2 3 3 2 3" xfId="36863" xr:uid="{00000000-0005-0000-0000-000005900000}"/>
    <cellStyle name="Normal 3 5 2 3 3 2 3 2" xfId="36864" xr:uid="{00000000-0005-0000-0000-000006900000}"/>
    <cellStyle name="Normal 3 5 2 3 3 2 4" xfId="36865" xr:uid="{00000000-0005-0000-0000-000007900000}"/>
    <cellStyle name="Normal 3 5 2 3 3 2 5" xfId="36866" xr:uid="{00000000-0005-0000-0000-000008900000}"/>
    <cellStyle name="Normal 3 5 2 3 3 3" xfId="36867" xr:uid="{00000000-0005-0000-0000-000009900000}"/>
    <cellStyle name="Normal 3 5 2 3 3 3 2" xfId="36868" xr:uid="{00000000-0005-0000-0000-00000A900000}"/>
    <cellStyle name="Normal 3 5 2 3 3 3 2 2" xfId="36869" xr:uid="{00000000-0005-0000-0000-00000B900000}"/>
    <cellStyle name="Normal 3 5 2 3 3 3 3" xfId="36870" xr:uid="{00000000-0005-0000-0000-00000C900000}"/>
    <cellStyle name="Normal 3 5 2 3 3 3 3 2" xfId="36871" xr:uid="{00000000-0005-0000-0000-00000D900000}"/>
    <cellStyle name="Normal 3 5 2 3 3 3 4" xfId="36872" xr:uid="{00000000-0005-0000-0000-00000E900000}"/>
    <cellStyle name="Normal 3 5 2 3 3 3 5" xfId="36873" xr:uid="{00000000-0005-0000-0000-00000F900000}"/>
    <cellStyle name="Normal 3 5 2 3 3 4" xfId="36874" xr:uid="{00000000-0005-0000-0000-000010900000}"/>
    <cellStyle name="Normal 3 5 2 3 3 4 2" xfId="36875" xr:uid="{00000000-0005-0000-0000-000011900000}"/>
    <cellStyle name="Normal 3 5 2 3 3 5" xfId="36876" xr:uid="{00000000-0005-0000-0000-000012900000}"/>
    <cellStyle name="Normal 3 5 2 3 3 5 2" xfId="36877" xr:uid="{00000000-0005-0000-0000-000013900000}"/>
    <cellStyle name="Normal 3 5 2 3 3 6" xfId="36878" xr:uid="{00000000-0005-0000-0000-000014900000}"/>
    <cellStyle name="Normal 3 5 2 3 3 7" xfId="36879" xr:uid="{00000000-0005-0000-0000-000015900000}"/>
    <cellStyle name="Normal 3 5 2 3 4" xfId="36880" xr:uid="{00000000-0005-0000-0000-000016900000}"/>
    <cellStyle name="Normal 3 5 2 3 4 2" xfId="36881" xr:uid="{00000000-0005-0000-0000-000017900000}"/>
    <cellStyle name="Normal 3 5 2 3 4 2 2" xfId="36882" xr:uid="{00000000-0005-0000-0000-000018900000}"/>
    <cellStyle name="Normal 3 5 2 3 4 2 2 2" xfId="36883" xr:uid="{00000000-0005-0000-0000-000019900000}"/>
    <cellStyle name="Normal 3 5 2 3 4 2 3" xfId="36884" xr:uid="{00000000-0005-0000-0000-00001A900000}"/>
    <cellStyle name="Normal 3 5 2 3 4 2 4" xfId="36885" xr:uid="{00000000-0005-0000-0000-00001B900000}"/>
    <cellStyle name="Normal 3 5 2 3 4 3" xfId="36886" xr:uid="{00000000-0005-0000-0000-00001C900000}"/>
    <cellStyle name="Normal 3 5 2 3 4 3 2" xfId="36887" xr:uid="{00000000-0005-0000-0000-00001D900000}"/>
    <cellStyle name="Normal 3 5 2 3 4 4" xfId="36888" xr:uid="{00000000-0005-0000-0000-00001E900000}"/>
    <cellStyle name="Normal 3 5 2 3 4 5" xfId="36889" xr:uid="{00000000-0005-0000-0000-00001F900000}"/>
    <cellStyle name="Normal 3 5 2 3 5" xfId="36890" xr:uid="{00000000-0005-0000-0000-000020900000}"/>
    <cellStyle name="Normal 3 5 2 3 5 2" xfId="36891" xr:uid="{00000000-0005-0000-0000-000021900000}"/>
    <cellStyle name="Normal 3 5 2 3 5 2 2" xfId="36892" xr:uid="{00000000-0005-0000-0000-000022900000}"/>
    <cellStyle name="Normal 3 5 2 3 5 3" xfId="36893" xr:uid="{00000000-0005-0000-0000-000023900000}"/>
    <cellStyle name="Normal 3 5 2 3 5 3 2" xfId="36894" xr:uid="{00000000-0005-0000-0000-000024900000}"/>
    <cellStyle name="Normal 3 5 2 3 5 4" xfId="36895" xr:uid="{00000000-0005-0000-0000-000025900000}"/>
    <cellStyle name="Normal 3 5 2 3 5 5" xfId="36896" xr:uid="{00000000-0005-0000-0000-000026900000}"/>
    <cellStyle name="Normal 3 5 2 3 6" xfId="36897" xr:uid="{00000000-0005-0000-0000-000027900000}"/>
    <cellStyle name="Normal 3 5 2 3 6 2" xfId="36898" xr:uid="{00000000-0005-0000-0000-000028900000}"/>
    <cellStyle name="Normal 3 5 2 3 7" xfId="36899" xr:uid="{00000000-0005-0000-0000-000029900000}"/>
    <cellStyle name="Normal 3 5 2 3 7 2" xfId="36900" xr:uid="{00000000-0005-0000-0000-00002A900000}"/>
    <cellStyle name="Normal 3 5 2 3 8" xfId="36901" xr:uid="{00000000-0005-0000-0000-00002B900000}"/>
    <cellStyle name="Normal 3 5 2 3 9" xfId="36902" xr:uid="{00000000-0005-0000-0000-00002C900000}"/>
    <cellStyle name="Normal 3 5 2 4" xfId="36903" xr:uid="{00000000-0005-0000-0000-00002D900000}"/>
    <cellStyle name="Normal 3 5 2 4 2" xfId="36904" xr:uid="{00000000-0005-0000-0000-00002E900000}"/>
    <cellStyle name="Normal 3 5 2 4 2 2" xfId="36905" xr:uid="{00000000-0005-0000-0000-00002F900000}"/>
    <cellStyle name="Normal 3 5 2 4 2 2 2" xfId="36906" xr:uid="{00000000-0005-0000-0000-000030900000}"/>
    <cellStyle name="Normal 3 5 2 4 2 2 2 2" xfId="36907" xr:uid="{00000000-0005-0000-0000-000031900000}"/>
    <cellStyle name="Normal 3 5 2 4 2 2 2 2 2" xfId="36908" xr:uid="{00000000-0005-0000-0000-000032900000}"/>
    <cellStyle name="Normal 3 5 2 4 2 2 2 3" xfId="36909" xr:uid="{00000000-0005-0000-0000-000033900000}"/>
    <cellStyle name="Normal 3 5 2 4 2 2 2 4" xfId="36910" xr:uid="{00000000-0005-0000-0000-000034900000}"/>
    <cellStyle name="Normal 3 5 2 4 2 2 3" xfId="36911" xr:uid="{00000000-0005-0000-0000-000035900000}"/>
    <cellStyle name="Normal 3 5 2 4 2 2 3 2" xfId="36912" xr:uid="{00000000-0005-0000-0000-000036900000}"/>
    <cellStyle name="Normal 3 5 2 4 2 2 4" xfId="36913" xr:uid="{00000000-0005-0000-0000-000037900000}"/>
    <cellStyle name="Normal 3 5 2 4 2 2 5" xfId="36914" xr:uid="{00000000-0005-0000-0000-000038900000}"/>
    <cellStyle name="Normal 3 5 2 4 2 3" xfId="36915" xr:uid="{00000000-0005-0000-0000-000039900000}"/>
    <cellStyle name="Normal 3 5 2 4 2 3 2" xfId="36916" xr:uid="{00000000-0005-0000-0000-00003A900000}"/>
    <cellStyle name="Normal 3 5 2 4 2 3 2 2" xfId="36917" xr:uid="{00000000-0005-0000-0000-00003B900000}"/>
    <cellStyle name="Normal 3 5 2 4 2 3 3" xfId="36918" xr:uid="{00000000-0005-0000-0000-00003C900000}"/>
    <cellStyle name="Normal 3 5 2 4 2 3 3 2" xfId="36919" xr:uid="{00000000-0005-0000-0000-00003D900000}"/>
    <cellStyle name="Normal 3 5 2 4 2 3 4" xfId="36920" xr:uid="{00000000-0005-0000-0000-00003E900000}"/>
    <cellStyle name="Normal 3 5 2 4 2 3 5" xfId="36921" xr:uid="{00000000-0005-0000-0000-00003F900000}"/>
    <cellStyle name="Normal 3 5 2 4 2 4" xfId="36922" xr:uid="{00000000-0005-0000-0000-000040900000}"/>
    <cellStyle name="Normal 3 5 2 4 2 4 2" xfId="36923" xr:uid="{00000000-0005-0000-0000-000041900000}"/>
    <cellStyle name="Normal 3 5 2 4 2 5" xfId="36924" xr:uid="{00000000-0005-0000-0000-000042900000}"/>
    <cellStyle name="Normal 3 5 2 4 2 5 2" xfId="36925" xr:uid="{00000000-0005-0000-0000-000043900000}"/>
    <cellStyle name="Normal 3 5 2 4 2 6" xfId="36926" xr:uid="{00000000-0005-0000-0000-000044900000}"/>
    <cellStyle name="Normal 3 5 2 4 2 7" xfId="36927" xr:uid="{00000000-0005-0000-0000-000045900000}"/>
    <cellStyle name="Normal 3 5 2 4 3" xfId="36928" xr:uid="{00000000-0005-0000-0000-000046900000}"/>
    <cellStyle name="Normal 3 5 2 4 3 2" xfId="36929" xr:uid="{00000000-0005-0000-0000-000047900000}"/>
    <cellStyle name="Normal 3 5 2 4 3 2 2" xfId="36930" xr:uid="{00000000-0005-0000-0000-000048900000}"/>
    <cellStyle name="Normal 3 5 2 4 3 2 2 2" xfId="36931" xr:uid="{00000000-0005-0000-0000-000049900000}"/>
    <cellStyle name="Normal 3 5 2 4 3 2 3" xfId="36932" xr:uid="{00000000-0005-0000-0000-00004A900000}"/>
    <cellStyle name="Normal 3 5 2 4 3 2 4" xfId="36933" xr:uid="{00000000-0005-0000-0000-00004B900000}"/>
    <cellStyle name="Normal 3 5 2 4 3 3" xfId="36934" xr:uid="{00000000-0005-0000-0000-00004C900000}"/>
    <cellStyle name="Normal 3 5 2 4 3 3 2" xfId="36935" xr:uid="{00000000-0005-0000-0000-00004D900000}"/>
    <cellStyle name="Normal 3 5 2 4 3 4" xfId="36936" xr:uid="{00000000-0005-0000-0000-00004E900000}"/>
    <cellStyle name="Normal 3 5 2 4 3 5" xfId="36937" xr:uid="{00000000-0005-0000-0000-00004F900000}"/>
    <cellStyle name="Normal 3 5 2 4 4" xfId="36938" xr:uid="{00000000-0005-0000-0000-000050900000}"/>
    <cellStyle name="Normal 3 5 2 4 4 2" xfId="36939" xr:uid="{00000000-0005-0000-0000-000051900000}"/>
    <cellStyle name="Normal 3 5 2 4 4 2 2" xfId="36940" xr:uid="{00000000-0005-0000-0000-000052900000}"/>
    <cellStyle name="Normal 3 5 2 4 4 3" xfId="36941" xr:uid="{00000000-0005-0000-0000-000053900000}"/>
    <cellStyle name="Normal 3 5 2 4 4 3 2" xfId="36942" xr:uid="{00000000-0005-0000-0000-000054900000}"/>
    <cellStyle name="Normal 3 5 2 4 4 4" xfId="36943" xr:uid="{00000000-0005-0000-0000-000055900000}"/>
    <cellStyle name="Normal 3 5 2 4 4 5" xfId="36944" xr:uid="{00000000-0005-0000-0000-000056900000}"/>
    <cellStyle name="Normal 3 5 2 4 5" xfId="36945" xr:uid="{00000000-0005-0000-0000-000057900000}"/>
    <cellStyle name="Normal 3 5 2 4 5 2" xfId="36946" xr:uid="{00000000-0005-0000-0000-000058900000}"/>
    <cellStyle name="Normal 3 5 2 4 6" xfId="36947" xr:uid="{00000000-0005-0000-0000-000059900000}"/>
    <cellStyle name="Normal 3 5 2 4 6 2" xfId="36948" xr:uid="{00000000-0005-0000-0000-00005A900000}"/>
    <cellStyle name="Normal 3 5 2 4 7" xfId="36949" xr:uid="{00000000-0005-0000-0000-00005B900000}"/>
    <cellStyle name="Normal 3 5 2 4 8" xfId="36950" xr:uid="{00000000-0005-0000-0000-00005C900000}"/>
    <cellStyle name="Normal 3 5 2 5" xfId="36951" xr:uid="{00000000-0005-0000-0000-00005D900000}"/>
    <cellStyle name="Normal 3 5 2 5 2" xfId="36952" xr:uid="{00000000-0005-0000-0000-00005E900000}"/>
    <cellStyle name="Normal 3 5 2 5 2 2" xfId="36953" xr:uid="{00000000-0005-0000-0000-00005F900000}"/>
    <cellStyle name="Normal 3 5 2 5 2 2 2" xfId="36954" xr:uid="{00000000-0005-0000-0000-000060900000}"/>
    <cellStyle name="Normal 3 5 2 5 2 2 2 2" xfId="36955" xr:uid="{00000000-0005-0000-0000-000061900000}"/>
    <cellStyle name="Normal 3 5 2 5 2 2 3" xfId="36956" xr:uid="{00000000-0005-0000-0000-000062900000}"/>
    <cellStyle name="Normal 3 5 2 5 2 2 4" xfId="36957" xr:uid="{00000000-0005-0000-0000-000063900000}"/>
    <cellStyle name="Normal 3 5 2 5 2 3" xfId="36958" xr:uid="{00000000-0005-0000-0000-000064900000}"/>
    <cellStyle name="Normal 3 5 2 5 2 3 2" xfId="36959" xr:uid="{00000000-0005-0000-0000-000065900000}"/>
    <cellStyle name="Normal 3 5 2 5 2 4" xfId="36960" xr:uid="{00000000-0005-0000-0000-000066900000}"/>
    <cellStyle name="Normal 3 5 2 5 2 5" xfId="36961" xr:uid="{00000000-0005-0000-0000-000067900000}"/>
    <cellStyle name="Normal 3 5 2 5 3" xfId="36962" xr:uid="{00000000-0005-0000-0000-000068900000}"/>
    <cellStyle name="Normal 3 5 2 5 3 2" xfId="36963" xr:uid="{00000000-0005-0000-0000-000069900000}"/>
    <cellStyle name="Normal 3 5 2 5 3 2 2" xfId="36964" xr:uid="{00000000-0005-0000-0000-00006A900000}"/>
    <cellStyle name="Normal 3 5 2 5 3 3" xfId="36965" xr:uid="{00000000-0005-0000-0000-00006B900000}"/>
    <cellStyle name="Normal 3 5 2 5 3 3 2" xfId="36966" xr:uid="{00000000-0005-0000-0000-00006C900000}"/>
    <cellStyle name="Normal 3 5 2 5 3 4" xfId="36967" xr:uid="{00000000-0005-0000-0000-00006D900000}"/>
    <cellStyle name="Normal 3 5 2 5 3 5" xfId="36968" xr:uid="{00000000-0005-0000-0000-00006E900000}"/>
    <cellStyle name="Normal 3 5 2 5 4" xfId="36969" xr:uid="{00000000-0005-0000-0000-00006F900000}"/>
    <cellStyle name="Normal 3 5 2 5 4 2" xfId="36970" xr:uid="{00000000-0005-0000-0000-000070900000}"/>
    <cellStyle name="Normal 3 5 2 5 5" xfId="36971" xr:uid="{00000000-0005-0000-0000-000071900000}"/>
    <cellStyle name="Normal 3 5 2 5 5 2" xfId="36972" xr:uid="{00000000-0005-0000-0000-000072900000}"/>
    <cellStyle name="Normal 3 5 2 5 6" xfId="36973" xr:uid="{00000000-0005-0000-0000-000073900000}"/>
    <cellStyle name="Normal 3 5 2 5 7" xfId="36974" xr:uid="{00000000-0005-0000-0000-000074900000}"/>
    <cellStyle name="Normal 3 5 2 6" xfId="36975" xr:uid="{00000000-0005-0000-0000-000075900000}"/>
    <cellStyle name="Normal 3 5 2 6 2" xfId="36976" xr:uid="{00000000-0005-0000-0000-000076900000}"/>
    <cellStyle name="Normal 3 5 2 6 2 2" xfId="36977" xr:uid="{00000000-0005-0000-0000-000077900000}"/>
    <cellStyle name="Normal 3 5 2 6 2 2 2" xfId="36978" xr:uid="{00000000-0005-0000-0000-000078900000}"/>
    <cellStyle name="Normal 3 5 2 6 2 3" xfId="36979" xr:uid="{00000000-0005-0000-0000-000079900000}"/>
    <cellStyle name="Normal 3 5 2 6 2 4" xfId="36980" xr:uid="{00000000-0005-0000-0000-00007A900000}"/>
    <cellStyle name="Normal 3 5 2 6 3" xfId="36981" xr:uid="{00000000-0005-0000-0000-00007B900000}"/>
    <cellStyle name="Normal 3 5 2 6 3 2" xfId="36982" xr:uid="{00000000-0005-0000-0000-00007C900000}"/>
    <cellStyle name="Normal 3 5 2 6 4" xfId="36983" xr:uid="{00000000-0005-0000-0000-00007D900000}"/>
    <cellStyle name="Normal 3 5 2 6 5" xfId="36984" xr:uid="{00000000-0005-0000-0000-00007E900000}"/>
    <cellStyle name="Normal 3 5 2 7" xfId="36985" xr:uid="{00000000-0005-0000-0000-00007F900000}"/>
    <cellStyle name="Normal 3 5 2 7 2" xfId="36986" xr:uid="{00000000-0005-0000-0000-000080900000}"/>
    <cellStyle name="Normal 3 5 2 7 2 2" xfId="36987" xr:uid="{00000000-0005-0000-0000-000081900000}"/>
    <cellStyle name="Normal 3 5 2 7 3" xfId="36988" xr:uid="{00000000-0005-0000-0000-000082900000}"/>
    <cellStyle name="Normal 3 5 2 7 3 2" xfId="36989" xr:uid="{00000000-0005-0000-0000-000083900000}"/>
    <cellStyle name="Normal 3 5 2 7 4" xfId="36990" xr:uid="{00000000-0005-0000-0000-000084900000}"/>
    <cellStyle name="Normal 3 5 2 7 5" xfId="36991" xr:uid="{00000000-0005-0000-0000-000085900000}"/>
    <cellStyle name="Normal 3 5 2 8" xfId="36992" xr:uid="{00000000-0005-0000-0000-000086900000}"/>
    <cellStyle name="Normal 3 5 2 8 2" xfId="36993" xr:uid="{00000000-0005-0000-0000-000087900000}"/>
    <cellStyle name="Normal 3 5 2 9" xfId="36994" xr:uid="{00000000-0005-0000-0000-000088900000}"/>
    <cellStyle name="Normal 3 5 2 9 2" xfId="36995" xr:uid="{00000000-0005-0000-0000-000089900000}"/>
    <cellStyle name="Normal 3 5 3" xfId="36996" xr:uid="{00000000-0005-0000-0000-00008A900000}"/>
    <cellStyle name="Normal 3 5 3 10" xfId="36997" xr:uid="{00000000-0005-0000-0000-00008B900000}"/>
    <cellStyle name="Normal 3 5 3 2" xfId="36998" xr:uid="{00000000-0005-0000-0000-00008C900000}"/>
    <cellStyle name="Normal 3 5 3 2 2" xfId="36999" xr:uid="{00000000-0005-0000-0000-00008D900000}"/>
    <cellStyle name="Normal 3 5 3 2 2 2" xfId="37000" xr:uid="{00000000-0005-0000-0000-00008E900000}"/>
    <cellStyle name="Normal 3 5 3 2 2 2 2" xfId="37001" xr:uid="{00000000-0005-0000-0000-00008F900000}"/>
    <cellStyle name="Normal 3 5 3 2 2 2 2 2" xfId="37002" xr:uid="{00000000-0005-0000-0000-000090900000}"/>
    <cellStyle name="Normal 3 5 3 2 2 2 2 2 2" xfId="37003" xr:uid="{00000000-0005-0000-0000-000091900000}"/>
    <cellStyle name="Normal 3 5 3 2 2 2 2 2 2 2" xfId="37004" xr:uid="{00000000-0005-0000-0000-000092900000}"/>
    <cellStyle name="Normal 3 5 3 2 2 2 2 2 3" xfId="37005" xr:uid="{00000000-0005-0000-0000-000093900000}"/>
    <cellStyle name="Normal 3 5 3 2 2 2 2 2 4" xfId="37006" xr:uid="{00000000-0005-0000-0000-000094900000}"/>
    <cellStyle name="Normal 3 5 3 2 2 2 2 3" xfId="37007" xr:uid="{00000000-0005-0000-0000-000095900000}"/>
    <cellStyle name="Normal 3 5 3 2 2 2 2 3 2" xfId="37008" xr:uid="{00000000-0005-0000-0000-000096900000}"/>
    <cellStyle name="Normal 3 5 3 2 2 2 2 4" xfId="37009" xr:uid="{00000000-0005-0000-0000-000097900000}"/>
    <cellStyle name="Normal 3 5 3 2 2 2 2 5" xfId="37010" xr:uid="{00000000-0005-0000-0000-000098900000}"/>
    <cellStyle name="Normal 3 5 3 2 2 2 3" xfId="37011" xr:uid="{00000000-0005-0000-0000-000099900000}"/>
    <cellStyle name="Normal 3 5 3 2 2 2 3 2" xfId="37012" xr:uid="{00000000-0005-0000-0000-00009A900000}"/>
    <cellStyle name="Normal 3 5 3 2 2 2 3 2 2" xfId="37013" xr:uid="{00000000-0005-0000-0000-00009B900000}"/>
    <cellStyle name="Normal 3 5 3 2 2 2 3 3" xfId="37014" xr:uid="{00000000-0005-0000-0000-00009C900000}"/>
    <cellStyle name="Normal 3 5 3 2 2 2 3 4" xfId="37015" xr:uid="{00000000-0005-0000-0000-00009D900000}"/>
    <cellStyle name="Normal 3 5 3 2 2 2 4" xfId="37016" xr:uid="{00000000-0005-0000-0000-00009E900000}"/>
    <cellStyle name="Normal 3 5 3 2 2 2 4 2" xfId="37017" xr:uid="{00000000-0005-0000-0000-00009F900000}"/>
    <cellStyle name="Normal 3 5 3 2 2 2 5" xfId="37018" xr:uid="{00000000-0005-0000-0000-0000A0900000}"/>
    <cellStyle name="Normal 3 5 3 2 2 2 6" xfId="37019" xr:uid="{00000000-0005-0000-0000-0000A1900000}"/>
    <cellStyle name="Normal 3 5 3 2 2 3" xfId="37020" xr:uid="{00000000-0005-0000-0000-0000A2900000}"/>
    <cellStyle name="Normal 3 5 3 2 2 3 2" xfId="37021" xr:uid="{00000000-0005-0000-0000-0000A3900000}"/>
    <cellStyle name="Normal 3 5 3 2 2 3 2 2" xfId="37022" xr:uid="{00000000-0005-0000-0000-0000A4900000}"/>
    <cellStyle name="Normal 3 5 3 2 2 3 2 2 2" xfId="37023" xr:uid="{00000000-0005-0000-0000-0000A5900000}"/>
    <cellStyle name="Normal 3 5 3 2 2 3 2 3" xfId="37024" xr:uid="{00000000-0005-0000-0000-0000A6900000}"/>
    <cellStyle name="Normal 3 5 3 2 2 3 2 4" xfId="37025" xr:uid="{00000000-0005-0000-0000-0000A7900000}"/>
    <cellStyle name="Normal 3 5 3 2 2 3 3" xfId="37026" xr:uid="{00000000-0005-0000-0000-0000A8900000}"/>
    <cellStyle name="Normal 3 5 3 2 2 3 3 2" xfId="37027" xr:uid="{00000000-0005-0000-0000-0000A9900000}"/>
    <cellStyle name="Normal 3 5 3 2 2 3 4" xfId="37028" xr:uid="{00000000-0005-0000-0000-0000AA900000}"/>
    <cellStyle name="Normal 3 5 3 2 2 3 5" xfId="37029" xr:uid="{00000000-0005-0000-0000-0000AB900000}"/>
    <cellStyle name="Normal 3 5 3 2 2 4" xfId="37030" xr:uid="{00000000-0005-0000-0000-0000AC900000}"/>
    <cellStyle name="Normal 3 5 3 2 2 4 2" xfId="37031" xr:uid="{00000000-0005-0000-0000-0000AD900000}"/>
    <cellStyle name="Normal 3 5 3 2 2 4 2 2" xfId="37032" xr:uid="{00000000-0005-0000-0000-0000AE900000}"/>
    <cellStyle name="Normal 3 5 3 2 2 4 3" xfId="37033" xr:uid="{00000000-0005-0000-0000-0000AF900000}"/>
    <cellStyle name="Normal 3 5 3 2 2 4 4" xfId="37034" xr:uid="{00000000-0005-0000-0000-0000B0900000}"/>
    <cellStyle name="Normal 3 5 3 2 2 5" xfId="37035" xr:uid="{00000000-0005-0000-0000-0000B1900000}"/>
    <cellStyle name="Normal 3 5 3 2 2 5 2" xfId="37036" xr:uid="{00000000-0005-0000-0000-0000B2900000}"/>
    <cellStyle name="Normal 3 5 3 2 2 6" xfId="37037" xr:uid="{00000000-0005-0000-0000-0000B3900000}"/>
    <cellStyle name="Normal 3 5 3 2 2 7" xfId="37038" xr:uid="{00000000-0005-0000-0000-0000B4900000}"/>
    <cellStyle name="Normal 3 5 3 2 3" xfId="37039" xr:uid="{00000000-0005-0000-0000-0000B5900000}"/>
    <cellStyle name="Normal 3 5 3 2 3 2" xfId="37040" xr:uid="{00000000-0005-0000-0000-0000B6900000}"/>
    <cellStyle name="Normal 3 5 3 2 3 2 2" xfId="37041" xr:uid="{00000000-0005-0000-0000-0000B7900000}"/>
    <cellStyle name="Normal 3 5 3 2 3 2 2 2" xfId="37042" xr:uid="{00000000-0005-0000-0000-0000B8900000}"/>
    <cellStyle name="Normal 3 5 3 2 3 2 2 2 2" xfId="37043" xr:uid="{00000000-0005-0000-0000-0000B9900000}"/>
    <cellStyle name="Normal 3 5 3 2 3 2 2 3" xfId="37044" xr:uid="{00000000-0005-0000-0000-0000BA900000}"/>
    <cellStyle name="Normal 3 5 3 2 3 2 2 4" xfId="37045" xr:uid="{00000000-0005-0000-0000-0000BB900000}"/>
    <cellStyle name="Normal 3 5 3 2 3 2 3" xfId="37046" xr:uid="{00000000-0005-0000-0000-0000BC900000}"/>
    <cellStyle name="Normal 3 5 3 2 3 2 3 2" xfId="37047" xr:uid="{00000000-0005-0000-0000-0000BD900000}"/>
    <cellStyle name="Normal 3 5 3 2 3 2 4" xfId="37048" xr:uid="{00000000-0005-0000-0000-0000BE900000}"/>
    <cellStyle name="Normal 3 5 3 2 3 2 5" xfId="37049" xr:uid="{00000000-0005-0000-0000-0000BF900000}"/>
    <cellStyle name="Normal 3 5 3 2 3 3" xfId="37050" xr:uid="{00000000-0005-0000-0000-0000C0900000}"/>
    <cellStyle name="Normal 3 5 3 2 3 3 2" xfId="37051" xr:uid="{00000000-0005-0000-0000-0000C1900000}"/>
    <cellStyle name="Normal 3 5 3 2 3 3 2 2" xfId="37052" xr:uid="{00000000-0005-0000-0000-0000C2900000}"/>
    <cellStyle name="Normal 3 5 3 2 3 3 3" xfId="37053" xr:uid="{00000000-0005-0000-0000-0000C3900000}"/>
    <cellStyle name="Normal 3 5 3 2 3 3 3 2" xfId="37054" xr:uid="{00000000-0005-0000-0000-0000C4900000}"/>
    <cellStyle name="Normal 3 5 3 2 3 3 4" xfId="37055" xr:uid="{00000000-0005-0000-0000-0000C5900000}"/>
    <cellStyle name="Normal 3 5 3 2 3 3 5" xfId="37056" xr:uid="{00000000-0005-0000-0000-0000C6900000}"/>
    <cellStyle name="Normal 3 5 3 2 3 4" xfId="37057" xr:uid="{00000000-0005-0000-0000-0000C7900000}"/>
    <cellStyle name="Normal 3 5 3 2 3 4 2" xfId="37058" xr:uid="{00000000-0005-0000-0000-0000C8900000}"/>
    <cellStyle name="Normal 3 5 3 2 3 5" xfId="37059" xr:uid="{00000000-0005-0000-0000-0000C9900000}"/>
    <cellStyle name="Normal 3 5 3 2 3 5 2" xfId="37060" xr:uid="{00000000-0005-0000-0000-0000CA900000}"/>
    <cellStyle name="Normal 3 5 3 2 3 6" xfId="37061" xr:uid="{00000000-0005-0000-0000-0000CB900000}"/>
    <cellStyle name="Normal 3 5 3 2 3 7" xfId="37062" xr:uid="{00000000-0005-0000-0000-0000CC900000}"/>
    <cellStyle name="Normal 3 5 3 2 4" xfId="37063" xr:uid="{00000000-0005-0000-0000-0000CD900000}"/>
    <cellStyle name="Normal 3 5 3 2 4 2" xfId="37064" xr:uid="{00000000-0005-0000-0000-0000CE900000}"/>
    <cellStyle name="Normal 3 5 3 2 4 2 2" xfId="37065" xr:uid="{00000000-0005-0000-0000-0000CF900000}"/>
    <cellStyle name="Normal 3 5 3 2 4 2 2 2" xfId="37066" xr:uid="{00000000-0005-0000-0000-0000D0900000}"/>
    <cellStyle name="Normal 3 5 3 2 4 2 3" xfId="37067" xr:uid="{00000000-0005-0000-0000-0000D1900000}"/>
    <cellStyle name="Normal 3 5 3 2 4 2 4" xfId="37068" xr:uid="{00000000-0005-0000-0000-0000D2900000}"/>
    <cellStyle name="Normal 3 5 3 2 4 3" xfId="37069" xr:uid="{00000000-0005-0000-0000-0000D3900000}"/>
    <cellStyle name="Normal 3 5 3 2 4 3 2" xfId="37070" xr:uid="{00000000-0005-0000-0000-0000D4900000}"/>
    <cellStyle name="Normal 3 5 3 2 4 4" xfId="37071" xr:uid="{00000000-0005-0000-0000-0000D5900000}"/>
    <cellStyle name="Normal 3 5 3 2 4 5" xfId="37072" xr:uid="{00000000-0005-0000-0000-0000D6900000}"/>
    <cellStyle name="Normal 3 5 3 2 5" xfId="37073" xr:uid="{00000000-0005-0000-0000-0000D7900000}"/>
    <cellStyle name="Normal 3 5 3 2 5 2" xfId="37074" xr:uid="{00000000-0005-0000-0000-0000D8900000}"/>
    <cellStyle name="Normal 3 5 3 2 5 2 2" xfId="37075" xr:uid="{00000000-0005-0000-0000-0000D9900000}"/>
    <cellStyle name="Normal 3 5 3 2 5 3" xfId="37076" xr:uid="{00000000-0005-0000-0000-0000DA900000}"/>
    <cellStyle name="Normal 3 5 3 2 5 3 2" xfId="37077" xr:uid="{00000000-0005-0000-0000-0000DB900000}"/>
    <cellStyle name="Normal 3 5 3 2 5 4" xfId="37078" xr:uid="{00000000-0005-0000-0000-0000DC900000}"/>
    <cellStyle name="Normal 3 5 3 2 5 5" xfId="37079" xr:uid="{00000000-0005-0000-0000-0000DD900000}"/>
    <cellStyle name="Normal 3 5 3 2 6" xfId="37080" xr:uid="{00000000-0005-0000-0000-0000DE900000}"/>
    <cellStyle name="Normal 3 5 3 2 6 2" xfId="37081" xr:uid="{00000000-0005-0000-0000-0000DF900000}"/>
    <cellStyle name="Normal 3 5 3 2 7" xfId="37082" xr:uid="{00000000-0005-0000-0000-0000E0900000}"/>
    <cellStyle name="Normal 3 5 3 2 7 2" xfId="37083" xr:uid="{00000000-0005-0000-0000-0000E1900000}"/>
    <cellStyle name="Normal 3 5 3 2 8" xfId="37084" xr:uid="{00000000-0005-0000-0000-0000E2900000}"/>
    <cellStyle name="Normal 3 5 3 2 9" xfId="37085" xr:uid="{00000000-0005-0000-0000-0000E3900000}"/>
    <cellStyle name="Normal 3 5 3 3" xfId="37086" xr:uid="{00000000-0005-0000-0000-0000E4900000}"/>
    <cellStyle name="Normal 3 5 3 3 2" xfId="37087" xr:uid="{00000000-0005-0000-0000-0000E5900000}"/>
    <cellStyle name="Normal 3 5 3 3 2 2" xfId="37088" xr:uid="{00000000-0005-0000-0000-0000E6900000}"/>
    <cellStyle name="Normal 3 5 3 3 2 2 2" xfId="37089" xr:uid="{00000000-0005-0000-0000-0000E7900000}"/>
    <cellStyle name="Normal 3 5 3 3 2 2 2 2" xfId="37090" xr:uid="{00000000-0005-0000-0000-0000E8900000}"/>
    <cellStyle name="Normal 3 5 3 3 2 2 2 2 2" xfId="37091" xr:uid="{00000000-0005-0000-0000-0000E9900000}"/>
    <cellStyle name="Normal 3 5 3 3 2 2 2 3" xfId="37092" xr:uid="{00000000-0005-0000-0000-0000EA900000}"/>
    <cellStyle name="Normal 3 5 3 3 2 2 2 4" xfId="37093" xr:uid="{00000000-0005-0000-0000-0000EB900000}"/>
    <cellStyle name="Normal 3 5 3 3 2 2 3" xfId="37094" xr:uid="{00000000-0005-0000-0000-0000EC900000}"/>
    <cellStyle name="Normal 3 5 3 3 2 2 3 2" xfId="37095" xr:uid="{00000000-0005-0000-0000-0000ED900000}"/>
    <cellStyle name="Normal 3 5 3 3 2 2 4" xfId="37096" xr:uid="{00000000-0005-0000-0000-0000EE900000}"/>
    <cellStyle name="Normal 3 5 3 3 2 2 5" xfId="37097" xr:uid="{00000000-0005-0000-0000-0000EF900000}"/>
    <cellStyle name="Normal 3 5 3 3 2 3" xfId="37098" xr:uid="{00000000-0005-0000-0000-0000F0900000}"/>
    <cellStyle name="Normal 3 5 3 3 2 3 2" xfId="37099" xr:uid="{00000000-0005-0000-0000-0000F1900000}"/>
    <cellStyle name="Normal 3 5 3 3 2 3 2 2" xfId="37100" xr:uid="{00000000-0005-0000-0000-0000F2900000}"/>
    <cellStyle name="Normal 3 5 3 3 2 3 3" xfId="37101" xr:uid="{00000000-0005-0000-0000-0000F3900000}"/>
    <cellStyle name="Normal 3 5 3 3 2 3 3 2" xfId="37102" xr:uid="{00000000-0005-0000-0000-0000F4900000}"/>
    <cellStyle name="Normal 3 5 3 3 2 3 4" xfId="37103" xr:uid="{00000000-0005-0000-0000-0000F5900000}"/>
    <cellStyle name="Normal 3 5 3 3 2 3 5" xfId="37104" xr:uid="{00000000-0005-0000-0000-0000F6900000}"/>
    <cellStyle name="Normal 3 5 3 3 2 4" xfId="37105" xr:uid="{00000000-0005-0000-0000-0000F7900000}"/>
    <cellStyle name="Normal 3 5 3 3 2 4 2" xfId="37106" xr:uid="{00000000-0005-0000-0000-0000F8900000}"/>
    <cellStyle name="Normal 3 5 3 3 2 5" xfId="37107" xr:uid="{00000000-0005-0000-0000-0000F9900000}"/>
    <cellStyle name="Normal 3 5 3 3 2 5 2" xfId="37108" xr:uid="{00000000-0005-0000-0000-0000FA900000}"/>
    <cellStyle name="Normal 3 5 3 3 2 6" xfId="37109" xr:uid="{00000000-0005-0000-0000-0000FB900000}"/>
    <cellStyle name="Normal 3 5 3 3 2 7" xfId="37110" xr:uid="{00000000-0005-0000-0000-0000FC900000}"/>
    <cellStyle name="Normal 3 5 3 3 3" xfId="37111" xr:uid="{00000000-0005-0000-0000-0000FD900000}"/>
    <cellStyle name="Normal 3 5 3 3 3 2" xfId="37112" xr:uid="{00000000-0005-0000-0000-0000FE900000}"/>
    <cellStyle name="Normal 3 5 3 3 3 2 2" xfId="37113" xr:uid="{00000000-0005-0000-0000-0000FF900000}"/>
    <cellStyle name="Normal 3 5 3 3 3 2 2 2" xfId="37114" xr:uid="{00000000-0005-0000-0000-000000910000}"/>
    <cellStyle name="Normal 3 5 3 3 3 2 3" xfId="37115" xr:uid="{00000000-0005-0000-0000-000001910000}"/>
    <cellStyle name="Normal 3 5 3 3 3 2 4" xfId="37116" xr:uid="{00000000-0005-0000-0000-000002910000}"/>
    <cellStyle name="Normal 3 5 3 3 3 3" xfId="37117" xr:uid="{00000000-0005-0000-0000-000003910000}"/>
    <cellStyle name="Normal 3 5 3 3 3 3 2" xfId="37118" xr:uid="{00000000-0005-0000-0000-000004910000}"/>
    <cellStyle name="Normal 3 5 3 3 3 4" xfId="37119" xr:uid="{00000000-0005-0000-0000-000005910000}"/>
    <cellStyle name="Normal 3 5 3 3 3 5" xfId="37120" xr:uid="{00000000-0005-0000-0000-000006910000}"/>
    <cellStyle name="Normal 3 5 3 3 4" xfId="37121" xr:uid="{00000000-0005-0000-0000-000007910000}"/>
    <cellStyle name="Normal 3 5 3 3 4 2" xfId="37122" xr:uid="{00000000-0005-0000-0000-000008910000}"/>
    <cellStyle name="Normal 3 5 3 3 4 2 2" xfId="37123" xr:uid="{00000000-0005-0000-0000-000009910000}"/>
    <cellStyle name="Normal 3 5 3 3 4 3" xfId="37124" xr:uid="{00000000-0005-0000-0000-00000A910000}"/>
    <cellStyle name="Normal 3 5 3 3 4 3 2" xfId="37125" xr:uid="{00000000-0005-0000-0000-00000B910000}"/>
    <cellStyle name="Normal 3 5 3 3 4 4" xfId="37126" xr:uid="{00000000-0005-0000-0000-00000C910000}"/>
    <cellStyle name="Normal 3 5 3 3 4 5" xfId="37127" xr:uid="{00000000-0005-0000-0000-00000D910000}"/>
    <cellStyle name="Normal 3 5 3 3 5" xfId="37128" xr:uid="{00000000-0005-0000-0000-00000E910000}"/>
    <cellStyle name="Normal 3 5 3 3 5 2" xfId="37129" xr:uid="{00000000-0005-0000-0000-00000F910000}"/>
    <cellStyle name="Normal 3 5 3 3 6" xfId="37130" xr:uid="{00000000-0005-0000-0000-000010910000}"/>
    <cellStyle name="Normal 3 5 3 3 6 2" xfId="37131" xr:uid="{00000000-0005-0000-0000-000011910000}"/>
    <cellStyle name="Normal 3 5 3 3 7" xfId="37132" xr:uid="{00000000-0005-0000-0000-000012910000}"/>
    <cellStyle name="Normal 3 5 3 3 8" xfId="37133" xr:uid="{00000000-0005-0000-0000-000013910000}"/>
    <cellStyle name="Normal 3 5 3 4" xfId="37134" xr:uid="{00000000-0005-0000-0000-000014910000}"/>
    <cellStyle name="Normal 3 5 3 4 2" xfId="37135" xr:uid="{00000000-0005-0000-0000-000015910000}"/>
    <cellStyle name="Normal 3 5 3 4 2 2" xfId="37136" xr:uid="{00000000-0005-0000-0000-000016910000}"/>
    <cellStyle name="Normal 3 5 3 4 2 2 2" xfId="37137" xr:uid="{00000000-0005-0000-0000-000017910000}"/>
    <cellStyle name="Normal 3 5 3 4 2 2 2 2" xfId="37138" xr:uid="{00000000-0005-0000-0000-000018910000}"/>
    <cellStyle name="Normal 3 5 3 4 2 2 3" xfId="37139" xr:uid="{00000000-0005-0000-0000-000019910000}"/>
    <cellStyle name="Normal 3 5 3 4 2 2 4" xfId="37140" xr:uid="{00000000-0005-0000-0000-00001A910000}"/>
    <cellStyle name="Normal 3 5 3 4 2 3" xfId="37141" xr:uid="{00000000-0005-0000-0000-00001B910000}"/>
    <cellStyle name="Normal 3 5 3 4 2 3 2" xfId="37142" xr:uid="{00000000-0005-0000-0000-00001C910000}"/>
    <cellStyle name="Normal 3 5 3 4 2 4" xfId="37143" xr:uid="{00000000-0005-0000-0000-00001D910000}"/>
    <cellStyle name="Normal 3 5 3 4 2 5" xfId="37144" xr:uid="{00000000-0005-0000-0000-00001E910000}"/>
    <cellStyle name="Normal 3 5 3 4 3" xfId="37145" xr:uid="{00000000-0005-0000-0000-00001F910000}"/>
    <cellStyle name="Normal 3 5 3 4 3 2" xfId="37146" xr:uid="{00000000-0005-0000-0000-000020910000}"/>
    <cellStyle name="Normal 3 5 3 4 3 2 2" xfId="37147" xr:uid="{00000000-0005-0000-0000-000021910000}"/>
    <cellStyle name="Normal 3 5 3 4 3 3" xfId="37148" xr:uid="{00000000-0005-0000-0000-000022910000}"/>
    <cellStyle name="Normal 3 5 3 4 3 3 2" xfId="37149" xr:uid="{00000000-0005-0000-0000-000023910000}"/>
    <cellStyle name="Normal 3 5 3 4 3 4" xfId="37150" xr:uid="{00000000-0005-0000-0000-000024910000}"/>
    <cellStyle name="Normal 3 5 3 4 3 5" xfId="37151" xr:uid="{00000000-0005-0000-0000-000025910000}"/>
    <cellStyle name="Normal 3 5 3 4 4" xfId="37152" xr:uid="{00000000-0005-0000-0000-000026910000}"/>
    <cellStyle name="Normal 3 5 3 4 4 2" xfId="37153" xr:uid="{00000000-0005-0000-0000-000027910000}"/>
    <cellStyle name="Normal 3 5 3 4 5" xfId="37154" xr:uid="{00000000-0005-0000-0000-000028910000}"/>
    <cellStyle name="Normal 3 5 3 4 5 2" xfId="37155" xr:uid="{00000000-0005-0000-0000-000029910000}"/>
    <cellStyle name="Normal 3 5 3 4 6" xfId="37156" xr:uid="{00000000-0005-0000-0000-00002A910000}"/>
    <cellStyle name="Normal 3 5 3 4 7" xfId="37157" xr:uid="{00000000-0005-0000-0000-00002B910000}"/>
    <cellStyle name="Normal 3 5 3 5" xfId="37158" xr:uid="{00000000-0005-0000-0000-00002C910000}"/>
    <cellStyle name="Normal 3 5 3 5 2" xfId="37159" xr:uid="{00000000-0005-0000-0000-00002D910000}"/>
    <cellStyle name="Normal 3 5 3 5 2 2" xfId="37160" xr:uid="{00000000-0005-0000-0000-00002E910000}"/>
    <cellStyle name="Normal 3 5 3 5 2 2 2" xfId="37161" xr:uid="{00000000-0005-0000-0000-00002F910000}"/>
    <cellStyle name="Normal 3 5 3 5 2 3" xfId="37162" xr:uid="{00000000-0005-0000-0000-000030910000}"/>
    <cellStyle name="Normal 3 5 3 5 2 4" xfId="37163" xr:uid="{00000000-0005-0000-0000-000031910000}"/>
    <cellStyle name="Normal 3 5 3 5 3" xfId="37164" xr:uid="{00000000-0005-0000-0000-000032910000}"/>
    <cellStyle name="Normal 3 5 3 5 3 2" xfId="37165" xr:uid="{00000000-0005-0000-0000-000033910000}"/>
    <cellStyle name="Normal 3 5 3 5 4" xfId="37166" xr:uid="{00000000-0005-0000-0000-000034910000}"/>
    <cellStyle name="Normal 3 5 3 5 5" xfId="37167" xr:uid="{00000000-0005-0000-0000-000035910000}"/>
    <cellStyle name="Normal 3 5 3 6" xfId="37168" xr:uid="{00000000-0005-0000-0000-000036910000}"/>
    <cellStyle name="Normal 3 5 3 6 2" xfId="37169" xr:uid="{00000000-0005-0000-0000-000037910000}"/>
    <cellStyle name="Normal 3 5 3 6 2 2" xfId="37170" xr:uid="{00000000-0005-0000-0000-000038910000}"/>
    <cellStyle name="Normal 3 5 3 6 3" xfId="37171" xr:uid="{00000000-0005-0000-0000-000039910000}"/>
    <cellStyle name="Normal 3 5 3 6 3 2" xfId="37172" xr:uid="{00000000-0005-0000-0000-00003A910000}"/>
    <cellStyle name="Normal 3 5 3 6 4" xfId="37173" xr:uid="{00000000-0005-0000-0000-00003B910000}"/>
    <cellStyle name="Normal 3 5 3 6 5" xfId="37174" xr:uid="{00000000-0005-0000-0000-00003C910000}"/>
    <cellStyle name="Normal 3 5 3 7" xfId="37175" xr:uid="{00000000-0005-0000-0000-00003D910000}"/>
    <cellStyle name="Normal 3 5 3 7 2" xfId="37176" xr:uid="{00000000-0005-0000-0000-00003E910000}"/>
    <cellStyle name="Normal 3 5 3 8" xfId="37177" xr:uid="{00000000-0005-0000-0000-00003F910000}"/>
    <cellStyle name="Normal 3 5 3 8 2" xfId="37178" xr:uid="{00000000-0005-0000-0000-000040910000}"/>
    <cellStyle name="Normal 3 5 3 9" xfId="37179" xr:uid="{00000000-0005-0000-0000-000041910000}"/>
    <cellStyle name="Normal 3 5 4" xfId="37180" xr:uid="{00000000-0005-0000-0000-000042910000}"/>
    <cellStyle name="Normal 3 5 4 2" xfId="37181" xr:uid="{00000000-0005-0000-0000-000043910000}"/>
    <cellStyle name="Normal 3 5 4 2 2" xfId="37182" xr:uid="{00000000-0005-0000-0000-000044910000}"/>
    <cellStyle name="Normal 3 5 4 2 2 2" xfId="37183" xr:uid="{00000000-0005-0000-0000-000045910000}"/>
    <cellStyle name="Normal 3 5 4 2 2 2 2" xfId="37184" xr:uid="{00000000-0005-0000-0000-000046910000}"/>
    <cellStyle name="Normal 3 5 4 2 2 2 2 2" xfId="37185" xr:uid="{00000000-0005-0000-0000-000047910000}"/>
    <cellStyle name="Normal 3 5 4 2 2 2 2 2 2" xfId="37186" xr:uid="{00000000-0005-0000-0000-000048910000}"/>
    <cellStyle name="Normal 3 5 4 2 2 2 2 3" xfId="37187" xr:uid="{00000000-0005-0000-0000-000049910000}"/>
    <cellStyle name="Normal 3 5 4 2 2 2 2 4" xfId="37188" xr:uid="{00000000-0005-0000-0000-00004A910000}"/>
    <cellStyle name="Normal 3 5 4 2 2 2 3" xfId="37189" xr:uid="{00000000-0005-0000-0000-00004B910000}"/>
    <cellStyle name="Normal 3 5 4 2 2 2 3 2" xfId="37190" xr:uid="{00000000-0005-0000-0000-00004C910000}"/>
    <cellStyle name="Normal 3 5 4 2 2 2 4" xfId="37191" xr:uid="{00000000-0005-0000-0000-00004D910000}"/>
    <cellStyle name="Normal 3 5 4 2 2 2 5" xfId="37192" xr:uid="{00000000-0005-0000-0000-00004E910000}"/>
    <cellStyle name="Normal 3 5 4 2 2 3" xfId="37193" xr:uid="{00000000-0005-0000-0000-00004F910000}"/>
    <cellStyle name="Normal 3 5 4 2 2 3 2" xfId="37194" xr:uid="{00000000-0005-0000-0000-000050910000}"/>
    <cellStyle name="Normal 3 5 4 2 2 3 2 2" xfId="37195" xr:uid="{00000000-0005-0000-0000-000051910000}"/>
    <cellStyle name="Normal 3 5 4 2 2 3 3" xfId="37196" xr:uid="{00000000-0005-0000-0000-000052910000}"/>
    <cellStyle name="Normal 3 5 4 2 2 3 4" xfId="37197" xr:uid="{00000000-0005-0000-0000-000053910000}"/>
    <cellStyle name="Normal 3 5 4 2 2 4" xfId="37198" xr:uid="{00000000-0005-0000-0000-000054910000}"/>
    <cellStyle name="Normal 3 5 4 2 2 4 2" xfId="37199" xr:uid="{00000000-0005-0000-0000-000055910000}"/>
    <cellStyle name="Normal 3 5 4 2 2 5" xfId="37200" xr:uid="{00000000-0005-0000-0000-000056910000}"/>
    <cellStyle name="Normal 3 5 4 2 2 6" xfId="37201" xr:uid="{00000000-0005-0000-0000-000057910000}"/>
    <cellStyle name="Normal 3 5 4 2 3" xfId="37202" xr:uid="{00000000-0005-0000-0000-000058910000}"/>
    <cellStyle name="Normal 3 5 4 2 3 2" xfId="37203" xr:uid="{00000000-0005-0000-0000-000059910000}"/>
    <cellStyle name="Normal 3 5 4 2 3 2 2" xfId="37204" xr:uid="{00000000-0005-0000-0000-00005A910000}"/>
    <cellStyle name="Normal 3 5 4 2 3 2 2 2" xfId="37205" xr:uid="{00000000-0005-0000-0000-00005B910000}"/>
    <cellStyle name="Normal 3 5 4 2 3 2 3" xfId="37206" xr:uid="{00000000-0005-0000-0000-00005C910000}"/>
    <cellStyle name="Normal 3 5 4 2 3 2 4" xfId="37207" xr:uid="{00000000-0005-0000-0000-00005D910000}"/>
    <cellStyle name="Normal 3 5 4 2 3 3" xfId="37208" xr:uid="{00000000-0005-0000-0000-00005E910000}"/>
    <cellStyle name="Normal 3 5 4 2 3 3 2" xfId="37209" xr:uid="{00000000-0005-0000-0000-00005F910000}"/>
    <cellStyle name="Normal 3 5 4 2 3 4" xfId="37210" xr:uid="{00000000-0005-0000-0000-000060910000}"/>
    <cellStyle name="Normal 3 5 4 2 3 5" xfId="37211" xr:uid="{00000000-0005-0000-0000-000061910000}"/>
    <cellStyle name="Normal 3 5 4 2 4" xfId="37212" xr:uid="{00000000-0005-0000-0000-000062910000}"/>
    <cellStyle name="Normal 3 5 4 2 4 2" xfId="37213" xr:uid="{00000000-0005-0000-0000-000063910000}"/>
    <cellStyle name="Normal 3 5 4 2 4 2 2" xfId="37214" xr:uid="{00000000-0005-0000-0000-000064910000}"/>
    <cellStyle name="Normal 3 5 4 2 4 3" xfId="37215" xr:uid="{00000000-0005-0000-0000-000065910000}"/>
    <cellStyle name="Normal 3 5 4 2 4 4" xfId="37216" xr:uid="{00000000-0005-0000-0000-000066910000}"/>
    <cellStyle name="Normal 3 5 4 2 5" xfId="37217" xr:uid="{00000000-0005-0000-0000-000067910000}"/>
    <cellStyle name="Normal 3 5 4 2 5 2" xfId="37218" xr:uid="{00000000-0005-0000-0000-000068910000}"/>
    <cellStyle name="Normal 3 5 4 2 6" xfId="37219" xr:uid="{00000000-0005-0000-0000-000069910000}"/>
    <cellStyle name="Normal 3 5 4 2 7" xfId="37220" xr:uid="{00000000-0005-0000-0000-00006A910000}"/>
    <cellStyle name="Normal 3 5 4 3" xfId="37221" xr:uid="{00000000-0005-0000-0000-00006B910000}"/>
    <cellStyle name="Normal 3 5 4 3 2" xfId="37222" xr:uid="{00000000-0005-0000-0000-00006C910000}"/>
    <cellStyle name="Normal 3 5 4 3 2 2" xfId="37223" xr:uid="{00000000-0005-0000-0000-00006D910000}"/>
    <cellStyle name="Normal 3 5 4 3 2 2 2" xfId="37224" xr:uid="{00000000-0005-0000-0000-00006E910000}"/>
    <cellStyle name="Normal 3 5 4 3 2 2 2 2" xfId="37225" xr:uid="{00000000-0005-0000-0000-00006F910000}"/>
    <cellStyle name="Normal 3 5 4 3 2 2 3" xfId="37226" xr:uid="{00000000-0005-0000-0000-000070910000}"/>
    <cellStyle name="Normal 3 5 4 3 2 2 4" xfId="37227" xr:uid="{00000000-0005-0000-0000-000071910000}"/>
    <cellStyle name="Normal 3 5 4 3 2 3" xfId="37228" xr:uid="{00000000-0005-0000-0000-000072910000}"/>
    <cellStyle name="Normal 3 5 4 3 2 3 2" xfId="37229" xr:uid="{00000000-0005-0000-0000-000073910000}"/>
    <cellStyle name="Normal 3 5 4 3 2 4" xfId="37230" xr:uid="{00000000-0005-0000-0000-000074910000}"/>
    <cellStyle name="Normal 3 5 4 3 2 5" xfId="37231" xr:uid="{00000000-0005-0000-0000-000075910000}"/>
    <cellStyle name="Normal 3 5 4 3 3" xfId="37232" xr:uid="{00000000-0005-0000-0000-000076910000}"/>
    <cellStyle name="Normal 3 5 4 3 3 2" xfId="37233" xr:uid="{00000000-0005-0000-0000-000077910000}"/>
    <cellStyle name="Normal 3 5 4 3 3 2 2" xfId="37234" xr:uid="{00000000-0005-0000-0000-000078910000}"/>
    <cellStyle name="Normal 3 5 4 3 3 3" xfId="37235" xr:uid="{00000000-0005-0000-0000-000079910000}"/>
    <cellStyle name="Normal 3 5 4 3 3 3 2" xfId="37236" xr:uid="{00000000-0005-0000-0000-00007A910000}"/>
    <cellStyle name="Normal 3 5 4 3 3 4" xfId="37237" xr:uid="{00000000-0005-0000-0000-00007B910000}"/>
    <cellStyle name="Normal 3 5 4 3 3 5" xfId="37238" xr:uid="{00000000-0005-0000-0000-00007C910000}"/>
    <cellStyle name="Normal 3 5 4 3 4" xfId="37239" xr:uid="{00000000-0005-0000-0000-00007D910000}"/>
    <cellStyle name="Normal 3 5 4 3 4 2" xfId="37240" xr:uid="{00000000-0005-0000-0000-00007E910000}"/>
    <cellStyle name="Normal 3 5 4 3 5" xfId="37241" xr:uid="{00000000-0005-0000-0000-00007F910000}"/>
    <cellStyle name="Normal 3 5 4 3 5 2" xfId="37242" xr:uid="{00000000-0005-0000-0000-000080910000}"/>
    <cellStyle name="Normal 3 5 4 3 6" xfId="37243" xr:uid="{00000000-0005-0000-0000-000081910000}"/>
    <cellStyle name="Normal 3 5 4 3 7" xfId="37244" xr:uid="{00000000-0005-0000-0000-000082910000}"/>
    <cellStyle name="Normal 3 5 4 4" xfId="37245" xr:uid="{00000000-0005-0000-0000-000083910000}"/>
    <cellStyle name="Normal 3 5 4 4 2" xfId="37246" xr:uid="{00000000-0005-0000-0000-000084910000}"/>
    <cellStyle name="Normal 3 5 4 4 2 2" xfId="37247" xr:uid="{00000000-0005-0000-0000-000085910000}"/>
    <cellStyle name="Normal 3 5 4 4 2 2 2" xfId="37248" xr:uid="{00000000-0005-0000-0000-000086910000}"/>
    <cellStyle name="Normal 3 5 4 4 2 3" xfId="37249" xr:uid="{00000000-0005-0000-0000-000087910000}"/>
    <cellStyle name="Normal 3 5 4 4 2 4" xfId="37250" xr:uid="{00000000-0005-0000-0000-000088910000}"/>
    <cellStyle name="Normal 3 5 4 4 3" xfId="37251" xr:uid="{00000000-0005-0000-0000-000089910000}"/>
    <cellStyle name="Normal 3 5 4 4 3 2" xfId="37252" xr:uid="{00000000-0005-0000-0000-00008A910000}"/>
    <cellStyle name="Normal 3 5 4 4 4" xfId="37253" xr:uid="{00000000-0005-0000-0000-00008B910000}"/>
    <cellStyle name="Normal 3 5 4 4 5" xfId="37254" xr:uid="{00000000-0005-0000-0000-00008C910000}"/>
    <cellStyle name="Normal 3 5 4 5" xfId="37255" xr:uid="{00000000-0005-0000-0000-00008D910000}"/>
    <cellStyle name="Normal 3 5 4 5 2" xfId="37256" xr:uid="{00000000-0005-0000-0000-00008E910000}"/>
    <cellStyle name="Normal 3 5 4 5 2 2" xfId="37257" xr:uid="{00000000-0005-0000-0000-00008F910000}"/>
    <cellStyle name="Normal 3 5 4 5 3" xfId="37258" xr:uid="{00000000-0005-0000-0000-000090910000}"/>
    <cellStyle name="Normal 3 5 4 5 3 2" xfId="37259" xr:uid="{00000000-0005-0000-0000-000091910000}"/>
    <cellStyle name="Normal 3 5 4 5 4" xfId="37260" xr:uid="{00000000-0005-0000-0000-000092910000}"/>
    <cellStyle name="Normal 3 5 4 5 5" xfId="37261" xr:uid="{00000000-0005-0000-0000-000093910000}"/>
    <cellStyle name="Normal 3 5 4 6" xfId="37262" xr:uid="{00000000-0005-0000-0000-000094910000}"/>
    <cellStyle name="Normal 3 5 4 6 2" xfId="37263" xr:uid="{00000000-0005-0000-0000-000095910000}"/>
    <cellStyle name="Normal 3 5 4 7" xfId="37264" xr:uid="{00000000-0005-0000-0000-000096910000}"/>
    <cellStyle name="Normal 3 5 4 7 2" xfId="37265" xr:uid="{00000000-0005-0000-0000-000097910000}"/>
    <cellStyle name="Normal 3 5 4 8" xfId="37266" xr:uid="{00000000-0005-0000-0000-000098910000}"/>
    <cellStyle name="Normal 3 5 4 9" xfId="37267" xr:uid="{00000000-0005-0000-0000-000099910000}"/>
    <cellStyle name="Normal 3 5 5" xfId="37268" xr:uid="{00000000-0005-0000-0000-00009A910000}"/>
    <cellStyle name="Normal 3 5 5 2" xfId="37269" xr:uid="{00000000-0005-0000-0000-00009B910000}"/>
    <cellStyle name="Normal 3 5 5 2 2" xfId="37270" xr:uid="{00000000-0005-0000-0000-00009C910000}"/>
    <cellStyle name="Normal 3 5 5 2 2 2" xfId="37271" xr:uid="{00000000-0005-0000-0000-00009D910000}"/>
    <cellStyle name="Normal 3 5 5 2 2 2 2" xfId="37272" xr:uid="{00000000-0005-0000-0000-00009E910000}"/>
    <cellStyle name="Normal 3 5 5 2 2 2 2 2" xfId="37273" xr:uid="{00000000-0005-0000-0000-00009F910000}"/>
    <cellStyle name="Normal 3 5 5 2 2 2 3" xfId="37274" xr:uid="{00000000-0005-0000-0000-0000A0910000}"/>
    <cellStyle name="Normal 3 5 5 2 2 2 4" xfId="37275" xr:uid="{00000000-0005-0000-0000-0000A1910000}"/>
    <cellStyle name="Normal 3 5 5 2 2 3" xfId="37276" xr:uid="{00000000-0005-0000-0000-0000A2910000}"/>
    <cellStyle name="Normal 3 5 5 2 2 3 2" xfId="37277" xr:uid="{00000000-0005-0000-0000-0000A3910000}"/>
    <cellStyle name="Normal 3 5 5 2 2 4" xfId="37278" xr:uid="{00000000-0005-0000-0000-0000A4910000}"/>
    <cellStyle name="Normal 3 5 5 2 2 5" xfId="37279" xr:uid="{00000000-0005-0000-0000-0000A5910000}"/>
    <cellStyle name="Normal 3 5 5 2 3" xfId="37280" xr:uid="{00000000-0005-0000-0000-0000A6910000}"/>
    <cellStyle name="Normal 3 5 5 2 3 2" xfId="37281" xr:uid="{00000000-0005-0000-0000-0000A7910000}"/>
    <cellStyle name="Normal 3 5 5 2 3 2 2" xfId="37282" xr:uid="{00000000-0005-0000-0000-0000A8910000}"/>
    <cellStyle name="Normal 3 5 5 2 3 3" xfId="37283" xr:uid="{00000000-0005-0000-0000-0000A9910000}"/>
    <cellStyle name="Normal 3 5 5 2 3 3 2" xfId="37284" xr:uid="{00000000-0005-0000-0000-0000AA910000}"/>
    <cellStyle name="Normal 3 5 5 2 3 4" xfId="37285" xr:uid="{00000000-0005-0000-0000-0000AB910000}"/>
    <cellStyle name="Normal 3 5 5 2 3 5" xfId="37286" xr:uid="{00000000-0005-0000-0000-0000AC910000}"/>
    <cellStyle name="Normal 3 5 5 2 4" xfId="37287" xr:uid="{00000000-0005-0000-0000-0000AD910000}"/>
    <cellStyle name="Normal 3 5 5 2 4 2" xfId="37288" xr:uid="{00000000-0005-0000-0000-0000AE910000}"/>
    <cellStyle name="Normal 3 5 5 2 5" xfId="37289" xr:uid="{00000000-0005-0000-0000-0000AF910000}"/>
    <cellStyle name="Normal 3 5 5 2 5 2" xfId="37290" xr:uid="{00000000-0005-0000-0000-0000B0910000}"/>
    <cellStyle name="Normal 3 5 5 2 6" xfId="37291" xr:uid="{00000000-0005-0000-0000-0000B1910000}"/>
    <cellStyle name="Normal 3 5 5 2 7" xfId="37292" xr:uid="{00000000-0005-0000-0000-0000B2910000}"/>
    <cellStyle name="Normal 3 5 5 3" xfId="37293" xr:uid="{00000000-0005-0000-0000-0000B3910000}"/>
    <cellStyle name="Normal 3 5 5 3 2" xfId="37294" xr:uid="{00000000-0005-0000-0000-0000B4910000}"/>
    <cellStyle name="Normal 3 5 5 3 2 2" xfId="37295" xr:uid="{00000000-0005-0000-0000-0000B5910000}"/>
    <cellStyle name="Normal 3 5 5 3 2 2 2" xfId="37296" xr:uid="{00000000-0005-0000-0000-0000B6910000}"/>
    <cellStyle name="Normal 3 5 5 3 2 3" xfId="37297" xr:uid="{00000000-0005-0000-0000-0000B7910000}"/>
    <cellStyle name="Normal 3 5 5 3 2 4" xfId="37298" xr:uid="{00000000-0005-0000-0000-0000B8910000}"/>
    <cellStyle name="Normal 3 5 5 3 3" xfId="37299" xr:uid="{00000000-0005-0000-0000-0000B9910000}"/>
    <cellStyle name="Normal 3 5 5 3 3 2" xfId="37300" xr:uid="{00000000-0005-0000-0000-0000BA910000}"/>
    <cellStyle name="Normal 3 5 5 3 4" xfId="37301" xr:uid="{00000000-0005-0000-0000-0000BB910000}"/>
    <cellStyle name="Normal 3 5 5 3 5" xfId="37302" xr:uid="{00000000-0005-0000-0000-0000BC910000}"/>
    <cellStyle name="Normal 3 5 5 4" xfId="37303" xr:uid="{00000000-0005-0000-0000-0000BD910000}"/>
    <cellStyle name="Normal 3 5 5 4 2" xfId="37304" xr:uid="{00000000-0005-0000-0000-0000BE910000}"/>
    <cellStyle name="Normal 3 5 5 4 2 2" xfId="37305" xr:uid="{00000000-0005-0000-0000-0000BF910000}"/>
    <cellStyle name="Normal 3 5 5 4 3" xfId="37306" xr:uid="{00000000-0005-0000-0000-0000C0910000}"/>
    <cellStyle name="Normal 3 5 5 4 3 2" xfId="37307" xr:uid="{00000000-0005-0000-0000-0000C1910000}"/>
    <cellStyle name="Normal 3 5 5 4 4" xfId="37308" xr:uid="{00000000-0005-0000-0000-0000C2910000}"/>
    <cellStyle name="Normal 3 5 5 4 5" xfId="37309" xr:uid="{00000000-0005-0000-0000-0000C3910000}"/>
    <cellStyle name="Normal 3 5 5 5" xfId="37310" xr:uid="{00000000-0005-0000-0000-0000C4910000}"/>
    <cellStyle name="Normal 3 5 5 5 2" xfId="37311" xr:uid="{00000000-0005-0000-0000-0000C5910000}"/>
    <cellStyle name="Normal 3 5 5 6" xfId="37312" xr:uid="{00000000-0005-0000-0000-0000C6910000}"/>
    <cellStyle name="Normal 3 5 5 6 2" xfId="37313" xr:uid="{00000000-0005-0000-0000-0000C7910000}"/>
    <cellStyle name="Normal 3 5 5 7" xfId="37314" xr:uid="{00000000-0005-0000-0000-0000C8910000}"/>
    <cellStyle name="Normal 3 5 5 8" xfId="37315" xr:uid="{00000000-0005-0000-0000-0000C9910000}"/>
    <cellStyle name="Normal 3 5 6" xfId="37316" xr:uid="{00000000-0005-0000-0000-0000CA910000}"/>
    <cellStyle name="Normal 3 5 6 2" xfId="37317" xr:uid="{00000000-0005-0000-0000-0000CB910000}"/>
    <cellStyle name="Normal 3 5 6 2 2" xfId="37318" xr:uid="{00000000-0005-0000-0000-0000CC910000}"/>
    <cellStyle name="Normal 3 5 6 2 2 2" xfId="37319" xr:uid="{00000000-0005-0000-0000-0000CD910000}"/>
    <cellStyle name="Normal 3 5 6 2 2 2 2" xfId="37320" xr:uid="{00000000-0005-0000-0000-0000CE910000}"/>
    <cellStyle name="Normal 3 5 6 2 2 3" xfId="37321" xr:uid="{00000000-0005-0000-0000-0000CF910000}"/>
    <cellStyle name="Normal 3 5 6 2 2 4" xfId="37322" xr:uid="{00000000-0005-0000-0000-0000D0910000}"/>
    <cellStyle name="Normal 3 5 6 2 3" xfId="37323" xr:uid="{00000000-0005-0000-0000-0000D1910000}"/>
    <cellStyle name="Normal 3 5 6 2 3 2" xfId="37324" xr:uid="{00000000-0005-0000-0000-0000D2910000}"/>
    <cellStyle name="Normal 3 5 6 2 4" xfId="37325" xr:uid="{00000000-0005-0000-0000-0000D3910000}"/>
    <cellStyle name="Normal 3 5 6 2 5" xfId="37326" xr:uid="{00000000-0005-0000-0000-0000D4910000}"/>
    <cellStyle name="Normal 3 5 6 3" xfId="37327" xr:uid="{00000000-0005-0000-0000-0000D5910000}"/>
    <cellStyle name="Normal 3 5 6 3 2" xfId="37328" xr:uid="{00000000-0005-0000-0000-0000D6910000}"/>
    <cellStyle name="Normal 3 5 6 3 2 2" xfId="37329" xr:uid="{00000000-0005-0000-0000-0000D7910000}"/>
    <cellStyle name="Normal 3 5 6 3 3" xfId="37330" xr:uid="{00000000-0005-0000-0000-0000D8910000}"/>
    <cellStyle name="Normal 3 5 6 3 3 2" xfId="37331" xr:uid="{00000000-0005-0000-0000-0000D9910000}"/>
    <cellStyle name="Normal 3 5 6 3 4" xfId="37332" xr:uid="{00000000-0005-0000-0000-0000DA910000}"/>
    <cellStyle name="Normal 3 5 6 3 5" xfId="37333" xr:uid="{00000000-0005-0000-0000-0000DB910000}"/>
    <cellStyle name="Normal 3 5 6 4" xfId="37334" xr:uid="{00000000-0005-0000-0000-0000DC910000}"/>
    <cellStyle name="Normal 3 5 6 4 2" xfId="37335" xr:uid="{00000000-0005-0000-0000-0000DD910000}"/>
    <cellStyle name="Normal 3 5 6 5" xfId="37336" xr:uid="{00000000-0005-0000-0000-0000DE910000}"/>
    <cellStyle name="Normal 3 5 6 5 2" xfId="37337" xr:uid="{00000000-0005-0000-0000-0000DF910000}"/>
    <cellStyle name="Normal 3 5 6 6" xfId="37338" xr:uid="{00000000-0005-0000-0000-0000E0910000}"/>
    <cellStyle name="Normal 3 5 6 7" xfId="37339" xr:uid="{00000000-0005-0000-0000-0000E1910000}"/>
    <cellStyle name="Normal 3 5 7" xfId="37340" xr:uid="{00000000-0005-0000-0000-0000E2910000}"/>
    <cellStyle name="Normal 3 5 7 2" xfId="37341" xr:uid="{00000000-0005-0000-0000-0000E3910000}"/>
    <cellStyle name="Normal 3 5 7 2 2" xfId="37342" xr:uid="{00000000-0005-0000-0000-0000E4910000}"/>
    <cellStyle name="Normal 3 5 7 2 2 2" xfId="37343" xr:uid="{00000000-0005-0000-0000-0000E5910000}"/>
    <cellStyle name="Normal 3 5 7 2 3" xfId="37344" xr:uid="{00000000-0005-0000-0000-0000E6910000}"/>
    <cellStyle name="Normal 3 5 7 2 4" xfId="37345" xr:uid="{00000000-0005-0000-0000-0000E7910000}"/>
    <cellStyle name="Normal 3 5 7 3" xfId="37346" xr:uid="{00000000-0005-0000-0000-0000E8910000}"/>
    <cellStyle name="Normal 3 5 7 3 2" xfId="37347" xr:uid="{00000000-0005-0000-0000-0000E9910000}"/>
    <cellStyle name="Normal 3 5 7 4" xfId="37348" xr:uid="{00000000-0005-0000-0000-0000EA910000}"/>
    <cellStyle name="Normal 3 5 7 5" xfId="37349" xr:uid="{00000000-0005-0000-0000-0000EB910000}"/>
    <cellStyle name="Normal 3 5 8" xfId="37350" xr:uid="{00000000-0005-0000-0000-0000EC910000}"/>
    <cellStyle name="Normal 3 5 8 2" xfId="37351" xr:uid="{00000000-0005-0000-0000-0000ED910000}"/>
    <cellStyle name="Normal 3 5 8 2 2" xfId="37352" xr:uid="{00000000-0005-0000-0000-0000EE910000}"/>
    <cellStyle name="Normal 3 5 8 3" xfId="37353" xr:uid="{00000000-0005-0000-0000-0000EF910000}"/>
    <cellStyle name="Normal 3 5 8 3 2" xfId="37354" xr:uid="{00000000-0005-0000-0000-0000F0910000}"/>
    <cellStyle name="Normal 3 5 8 4" xfId="37355" xr:uid="{00000000-0005-0000-0000-0000F1910000}"/>
    <cellStyle name="Normal 3 5 8 5" xfId="37356" xr:uid="{00000000-0005-0000-0000-0000F2910000}"/>
    <cellStyle name="Normal 3 5 9" xfId="37357" xr:uid="{00000000-0005-0000-0000-0000F3910000}"/>
    <cellStyle name="Normal 3 5 9 2" xfId="37358" xr:uid="{00000000-0005-0000-0000-0000F4910000}"/>
    <cellStyle name="Normal 3 50" xfId="37359" xr:uid="{00000000-0005-0000-0000-0000F5910000}"/>
    <cellStyle name="Normal 3 50 2" xfId="37360" xr:uid="{00000000-0005-0000-0000-0000F6910000}"/>
    <cellStyle name="Normal 3 51" xfId="37361" xr:uid="{00000000-0005-0000-0000-0000F7910000}"/>
    <cellStyle name="Normal 3 51 2" xfId="37362" xr:uid="{00000000-0005-0000-0000-0000F8910000}"/>
    <cellStyle name="Normal 3 52" xfId="37363" xr:uid="{00000000-0005-0000-0000-0000F9910000}"/>
    <cellStyle name="Normal 3 52 2" xfId="37364" xr:uid="{00000000-0005-0000-0000-0000FA910000}"/>
    <cellStyle name="Normal 3 53" xfId="37365" xr:uid="{00000000-0005-0000-0000-0000FB910000}"/>
    <cellStyle name="Normal 3 53 2" xfId="37366" xr:uid="{00000000-0005-0000-0000-0000FC910000}"/>
    <cellStyle name="Normal 3 54" xfId="37367" xr:uid="{00000000-0005-0000-0000-0000FD910000}"/>
    <cellStyle name="Normal 3 54 2" xfId="37368" xr:uid="{00000000-0005-0000-0000-0000FE910000}"/>
    <cellStyle name="Normal 3 55" xfId="37369" xr:uid="{00000000-0005-0000-0000-0000FF910000}"/>
    <cellStyle name="Normal 3 55 2" xfId="37370" xr:uid="{00000000-0005-0000-0000-000000920000}"/>
    <cellStyle name="Normal 3 56" xfId="37371" xr:uid="{00000000-0005-0000-0000-000001920000}"/>
    <cellStyle name="Normal 3 56 2" xfId="37372" xr:uid="{00000000-0005-0000-0000-000002920000}"/>
    <cellStyle name="Normal 3 57" xfId="37373" xr:uid="{00000000-0005-0000-0000-000003920000}"/>
    <cellStyle name="Normal 3 57 2" xfId="37374" xr:uid="{00000000-0005-0000-0000-000004920000}"/>
    <cellStyle name="Normal 3 58" xfId="37375" xr:uid="{00000000-0005-0000-0000-000005920000}"/>
    <cellStyle name="Normal 3 58 2" xfId="37376" xr:uid="{00000000-0005-0000-0000-000006920000}"/>
    <cellStyle name="Normal 3 59" xfId="37377" xr:uid="{00000000-0005-0000-0000-000007920000}"/>
    <cellStyle name="Normal 3 59 2" xfId="37378" xr:uid="{00000000-0005-0000-0000-000008920000}"/>
    <cellStyle name="Normal 3 6" xfId="37379" xr:uid="{00000000-0005-0000-0000-000009920000}"/>
    <cellStyle name="Normal 3 6 10" xfId="37380" xr:uid="{00000000-0005-0000-0000-00000A920000}"/>
    <cellStyle name="Normal 3 6 10 2" xfId="37381" xr:uid="{00000000-0005-0000-0000-00000B920000}"/>
    <cellStyle name="Normal 3 6 11" xfId="37382" xr:uid="{00000000-0005-0000-0000-00000C920000}"/>
    <cellStyle name="Normal 3 6 12" xfId="37383" xr:uid="{00000000-0005-0000-0000-00000D920000}"/>
    <cellStyle name="Normal 3 6 2" xfId="37384" xr:uid="{00000000-0005-0000-0000-00000E920000}"/>
    <cellStyle name="Normal 3 6 2 10" xfId="37385" xr:uid="{00000000-0005-0000-0000-00000F920000}"/>
    <cellStyle name="Normal 3 6 2 11" xfId="37386" xr:uid="{00000000-0005-0000-0000-000010920000}"/>
    <cellStyle name="Normal 3 6 2 2" xfId="37387" xr:uid="{00000000-0005-0000-0000-000011920000}"/>
    <cellStyle name="Normal 3 6 2 2 10" xfId="37388" xr:uid="{00000000-0005-0000-0000-000012920000}"/>
    <cellStyle name="Normal 3 6 2 2 2" xfId="37389" xr:uid="{00000000-0005-0000-0000-000013920000}"/>
    <cellStyle name="Normal 3 6 2 2 2 2" xfId="37390" xr:uid="{00000000-0005-0000-0000-000014920000}"/>
    <cellStyle name="Normal 3 6 2 2 2 2 2" xfId="37391" xr:uid="{00000000-0005-0000-0000-000015920000}"/>
    <cellStyle name="Normal 3 6 2 2 2 2 2 2" xfId="37392" xr:uid="{00000000-0005-0000-0000-000016920000}"/>
    <cellStyle name="Normal 3 6 2 2 2 2 2 2 2" xfId="37393" xr:uid="{00000000-0005-0000-0000-000017920000}"/>
    <cellStyle name="Normal 3 6 2 2 2 2 2 2 2 2" xfId="37394" xr:uid="{00000000-0005-0000-0000-000018920000}"/>
    <cellStyle name="Normal 3 6 2 2 2 2 2 2 2 2 2" xfId="37395" xr:uid="{00000000-0005-0000-0000-000019920000}"/>
    <cellStyle name="Normal 3 6 2 2 2 2 2 2 2 3" xfId="37396" xr:uid="{00000000-0005-0000-0000-00001A920000}"/>
    <cellStyle name="Normal 3 6 2 2 2 2 2 2 2 4" xfId="37397" xr:uid="{00000000-0005-0000-0000-00001B920000}"/>
    <cellStyle name="Normal 3 6 2 2 2 2 2 2 3" xfId="37398" xr:uid="{00000000-0005-0000-0000-00001C920000}"/>
    <cellStyle name="Normal 3 6 2 2 2 2 2 2 3 2" xfId="37399" xr:uid="{00000000-0005-0000-0000-00001D920000}"/>
    <cellStyle name="Normal 3 6 2 2 2 2 2 2 4" xfId="37400" xr:uid="{00000000-0005-0000-0000-00001E920000}"/>
    <cellStyle name="Normal 3 6 2 2 2 2 2 2 5" xfId="37401" xr:uid="{00000000-0005-0000-0000-00001F920000}"/>
    <cellStyle name="Normal 3 6 2 2 2 2 2 3" xfId="37402" xr:uid="{00000000-0005-0000-0000-000020920000}"/>
    <cellStyle name="Normal 3 6 2 2 2 2 2 3 2" xfId="37403" xr:uid="{00000000-0005-0000-0000-000021920000}"/>
    <cellStyle name="Normal 3 6 2 2 2 2 2 3 2 2" xfId="37404" xr:uid="{00000000-0005-0000-0000-000022920000}"/>
    <cellStyle name="Normal 3 6 2 2 2 2 2 3 3" xfId="37405" xr:uid="{00000000-0005-0000-0000-000023920000}"/>
    <cellStyle name="Normal 3 6 2 2 2 2 2 3 4" xfId="37406" xr:uid="{00000000-0005-0000-0000-000024920000}"/>
    <cellStyle name="Normal 3 6 2 2 2 2 2 4" xfId="37407" xr:uid="{00000000-0005-0000-0000-000025920000}"/>
    <cellStyle name="Normal 3 6 2 2 2 2 2 4 2" xfId="37408" xr:uid="{00000000-0005-0000-0000-000026920000}"/>
    <cellStyle name="Normal 3 6 2 2 2 2 2 5" xfId="37409" xr:uid="{00000000-0005-0000-0000-000027920000}"/>
    <cellStyle name="Normal 3 6 2 2 2 2 2 6" xfId="37410" xr:uid="{00000000-0005-0000-0000-000028920000}"/>
    <cellStyle name="Normal 3 6 2 2 2 2 3" xfId="37411" xr:uid="{00000000-0005-0000-0000-000029920000}"/>
    <cellStyle name="Normal 3 6 2 2 2 2 3 2" xfId="37412" xr:uid="{00000000-0005-0000-0000-00002A920000}"/>
    <cellStyle name="Normal 3 6 2 2 2 2 3 2 2" xfId="37413" xr:uid="{00000000-0005-0000-0000-00002B920000}"/>
    <cellStyle name="Normal 3 6 2 2 2 2 3 2 2 2" xfId="37414" xr:uid="{00000000-0005-0000-0000-00002C920000}"/>
    <cellStyle name="Normal 3 6 2 2 2 2 3 2 3" xfId="37415" xr:uid="{00000000-0005-0000-0000-00002D920000}"/>
    <cellStyle name="Normal 3 6 2 2 2 2 3 2 4" xfId="37416" xr:uid="{00000000-0005-0000-0000-00002E920000}"/>
    <cellStyle name="Normal 3 6 2 2 2 2 3 3" xfId="37417" xr:uid="{00000000-0005-0000-0000-00002F920000}"/>
    <cellStyle name="Normal 3 6 2 2 2 2 3 3 2" xfId="37418" xr:uid="{00000000-0005-0000-0000-000030920000}"/>
    <cellStyle name="Normal 3 6 2 2 2 2 3 4" xfId="37419" xr:uid="{00000000-0005-0000-0000-000031920000}"/>
    <cellStyle name="Normal 3 6 2 2 2 2 3 5" xfId="37420" xr:uid="{00000000-0005-0000-0000-000032920000}"/>
    <cellStyle name="Normal 3 6 2 2 2 2 4" xfId="37421" xr:uid="{00000000-0005-0000-0000-000033920000}"/>
    <cellStyle name="Normal 3 6 2 2 2 2 4 2" xfId="37422" xr:uid="{00000000-0005-0000-0000-000034920000}"/>
    <cellStyle name="Normal 3 6 2 2 2 2 4 2 2" xfId="37423" xr:uid="{00000000-0005-0000-0000-000035920000}"/>
    <cellStyle name="Normal 3 6 2 2 2 2 4 3" xfId="37424" xr:uid="{00000000-0005-0000-0000-000036920000}"/>
    <cellStyle name="Normal 3 6 2 2 2 2 4 4" xfId="37425" xr:uid="{00000000-0005-0000-0000-000037920000}"/>
    <cellStyle name="Normal 3 6 2 2 2 2 5" xfId="37426" xr:uid="{00000000-0005-0000-0000-000038920000}"/>
    <cellStyle name="Normal 3 6 2 2 2 2 5 2" xfId="37427" xr:uid="{00000000-0005-0000-0000-000039920000}"/>
    <cellStyle name="Normal 3 6 2 2 2 2 6" xfId="37428" xr:uid="{00000000-0005-0000-0000-00003A920000}"/>
    <cellStyle name="Normal 3 6 2 2 2 2 7" xfId="37429" xr:uid="{00000000-0005-0000-0000-00003B920000}"/>
    <cellStyle name="Normal 3 6 2 2 2 3" xfId="37430" xr:uid="{00000000-0005-0000-0000-00003C920000}"/>
    <cellStyle name="Normal 3 6 2 2 2 3 2" xfId="37431" xr:uid="{00000000-0005-0000-0000-00003D920000}"/>
    <cellStyle name="Normal 3 6 2 2 2 3 2 2" xfId="37432" xr:uid="{00000000-0005-0000-0000-00003E920000}"/>
    <cellStyle name="Normal 3 6 2 2 2 3 2 2 2" xfId="37433" xr:uid="{00000000-0005-0000-0000-00003F920000}"/>
    <cellStyle name="Normal 3 6 2 2 2 3 2 2 2 2" xfId="37434" xr:uid="{00000000-0005-0000-0000-000040920000}"/>
    <cellStyle name="Normal 3 6 2 2 2 3 2 2 3" xfId="37435" xr:uid="{00000000-0005-0000-0000-000041920000}"/>
    <cellStyle name="Normal 3 6 2 2 2 3 2 2 4" xfId="37436" xr:uid="{00000000-0005-0000-0000-000042920000}"/>
    <cellStyle name="Normal 3 6 2 2 2 3 2 3" xfId="37437" xr:uid="{00000000-0005-0000-0000-000043920000}"/>
    <cellStyle name="Normal 3 6 2 2 2 3 2 3 2" xfId="37438" xr:uid="{00000000-0005-0000-0000-000044920000}"/>
    <cellStyle name="Normal 3 6 2 2 2 3 2 4" xfId="37439" xr:uid="{00000000-0005-0000-0000-000045920000}"/>
    <cellStyle name="Normal 3 6 2 2 2 3 2 5" xfId="37440" xr:uid="{00000000-0005-0000-0000-000046920000}"/>
    <cellStyle name="Normal 3 6 2 2 2 3 3" xfId="37441" xr:uid="{00000000-0005-0000-0000-000047920000}"/>
    <cellStyle name="Normal 3 6 2 2 2 3 3 2" xfId="37442" xr:uid="{00000000-0005-0000-0000-000048920000}"/>
    <cellStyle name="Normal 3 6 2 2 2 3 3 2 2" xfId="37443" xr:uid="{00000000-0005-0000-0000-000049920000}"/>
    <cellStyle name="Normal 3 6 2 2 2 3 3 3" xfId="37444" xr:uid="{00000000-0005-0000-0000-00004A920000}"/>
    <cellStyle name="Normal 3 6 2 2 2 3 3 3 2" xfId="37445" xr:uid="{00000000-0005-0000-0000-00004B920000}"/>
    <cellStyle name="Normal 3 6 2 2 2 3 3 4" xfId="37446" xr:uid="{00000000-0005-0000-0000-00004C920000}"/>
    <cellStyle name="Normal 3 6 2 2 2 3 3 5" xfId="37447" xr:uid="{00000000-0005-0000-0000-00004D920000}"/>
    <cellStyle name="Normal 3 6 2 2 2 3 4" xfId="37448" xr:uid="{00000000-0005-0000-0000-00004E920000}"/>
    <cellStyle name="Normal 3 6 2 2 2 3 4 2" xfId="37449" xr:uid="{00000000-0005-0000-0000-00004F920000}"/>
    <cellStyle name="Normal 3 6 2 2 2 3 5" xfId="37450" xr:uid="{00000000-0005-0000-0000-000050920000}"/>
    <cellStyle name="Normal 3 6 2 2 2 3 5 2" xfId="37451" xr:uid="{00000000-0005-0000-0000-000051920000}"/>
    <cellStyle name="Normal 3 6 2 2 2 3 6" xfId="37452" xr:uid="{00000000-0005-0000-0000-000052920000}"/>
    <cellStyle name="Normal 3 6 2 2 2 3 7" xfId="37453" xr:uid="{00000000-0005-0000-0000-000053920000}"/>
    <cellStyle name="Normal 3 6 2 2 2 4" xfId="37454" xr:uid="{00000000-0005-0000-0000-000054920000}"/>
    <cellStyle name="Normal 3 6 2 2 2 4 2" xfId="37455" xr:uid="{00000000-0005-0000-0000-000055920000}"/>
    <cellStyle name="Normal 3 6 2 2 2 4 2 2" xfId="37456" xr:uid="{00000000-0005-0000-0000-000056920000}"/>
    <cellStyle name="Normal 3 6 2 2 2 4 2 2 2" xfId="37457" xr:uid="{00000000-0005-0000-0000-000057920000}"/>
    <cellStyle name="Normal 3 6 2 2 2 4 2 3" xfId="37458" xr:uid="{00000000-0005-0000-0000-000058920000}"/>
    <cellStyle name="Normal 3 6 2 2 2 4 2 4" xfId="37459" xr:uid="{00000000-0005-0000-0000-000059920000}"/>
    <cellStyle name="Normal 3 6 2 2 2 4 3" xfId="37460" xr:uid="{00000000-0005-0000-0000-00005A920000}"/>
    <cellStyle name="Normal 3 6 2 2 2 4 3 2" xfId="37461" xr:uid="{00000000-0005-0000-0000-00005B920000}"/>
    <cellStyle name="Normal 3 6 2 2 2 4 4" xfId="37462" xr:uid="{00000000-0005-0000-0000-00005C920000}"/>
    <cellStyle name="Normal 3 6 2 2 2 4 5" xfId="37463" xr:uid="{00000000-0005-0000-0000-00005D920000}"/>
    <cellStyle name="Normal 3 6 2 2 2 5" xfId="37464" xr:uid="{00000000-0005-0000-0000-00005E920000}"/>
    <cellStyle name="Normal 3 6 2 2 2 5 2" xfId="37465" xr:uid="{00000000-0005-0000-0000-00005F920000}"/>
    <cellStyle name="Normal 3 6 2 2 2 5 2 2" xfId="37466" xr:uid="{00000000-0005-0000-0000-000060920000}"/>
    <cellStyle name="Normal 3 6 2 2 2 5 3" xfId="37467" xr:uid="{00000000-0005-0000-0000-000061920000}"/>
    <cellStyle name="Normal 3 6 2 2 2 5 3 2" xfId="37468" xr:uid="{00000000-0005-0000-0000-000062920000}"/>
    <cellStyle name="Normal 3 6 2 2 2 5 4" xfId="37469" xr:uid="{00000000-0005-0000-0000-000063920000}"/>
    <cellStyle name="Normal 3 6 2 2 2 5 5" xfId="37470" xr:uid="{00000000-0005-0000-0000-000064920000}"/>
    <cellStyle name="Normal 3 6 2 2 2 6" xfId="37471" xr:uid="{00000000-0005-0000-0000-000065920000}"/>
    <cellStyle name="Normal 3 6 2 2 2 6 2" xfId="37472" xr:uid="{00000000-0005-0000-0000-000066920000}"/>
    <cellStyle name="Normal 3 6 2 2 2 7" xfId="37473" xr:uid="{00000000-0005-0000-0000-000067920000}"/>
    <cellStyle name="Normal 3 6 2 2 2 7 2" xfId="37474" xr:uid="{00000000-0005-0000-0000-000068920000}"/>
    <cellStyle name="Normal 3 6 2 2 2 8" xfId="37475" xr:uid="{00000000-0005-0000-0000-000069920000}"/>
    <cellStyle name="Normal 3 6 2 2 2 9" xfId="37476" xr:uid="{00000000-0005-0000-0000-00006A920000}"/>
    <cellStyle name="Normal 3 6 2 2 3" xfId="37477" xr:uid="{00000000-0005-0000-0000-00006B920000}"/>
    <cellStyle name="Normal 3 6 2 2 3 2" xfId="37478" xr:uid="{00000000-0005-0000-0000-00006C920000}"/>
    <cellStyle name="Normal 3 6 2 2 3 2 2" xfId="37479" xr:uid="{00000000-0005-0000-0000-00006D920000}"/>
    <cellStyle name="Normal 3 6 2 2 3 2 2 2" xfId="37480" xr:uid="{00000000-0005-0000-0000-00006E920000}"/>
    <cellStyle name="Normal 3 6 2 2 3 2 2 2 2" xfId="37481" xr:uid="{00000000-0005-0000-0000-00006F920000}"/>
    <cellStyle name="Normal 3 6 2 2 3 2 2 2 2 2" xfId="37482" xr:uid="{00000000-0005-0000-0000-000070920000}"/>
    <cellStyle name="Normal 3 6 2 2 3 2 2 2 3" xfId="37483" xr:uid="{00000000-0005-0000-0000-000071920000}"/>
    <cellStyle name="Normal 3 6 2 2 3 2 2 2 4" xfId="37484" xr:uid="{00000000-0005-0000-0000-000072920000}"/>
    <cellStyle name="Normal 3 6 2 2 3 2 2 3" xfId="37485" xr:uid="{00000000-0005-0000-0000-000073920000}"/>
    <cellStyle name="Normal 3 6 2 2 3 2 2 3 2" xfId="37486" xr:uid="{00000000-0005-0000-0000-000074920000}"/>
    <cellStyle name="Normal 3 6 2 2 3 2 2 4" xfId="37487" xr:uid="{00000000-0005-0000-0000-000075920000}"/>
    <cellStyle name="Normal 3 6 2 2 3 2 2 5" xfId="37488" xr:uid="{00000000-0005-0000-0000-000076920000}"/>
    <cellStyle name="Normal 3 6 2 2 3 2 3" xfId="37489" xr:uid="{00000000-0005-0000-0000-000077920000}"/>
    <cellStyle name="Normal 3 6 2 2 3 2 3 2" xfId="37490" xr:uid="{00000000-0005-0000-0000-000078920000}"/>
    <cellStyle name="Normal 3 6 2 2 3 2 3 2 2" xfId="37491" xr:uid="{00000000-0005-0000-0000-000079920000}"/>
    <cellStyle name="Normal 3 6 2 2 3 2 3 3" xfId="37492" xr:uid="{00000000-0005-0000-0000-00007A920000}"/>
    <cellStyle name="Normal 3 6 2 2 3 2 3 4" xfId="37493" xr:uid="{00000000-0005-0000-0000-00007B920000}"/>
    <cellStyle name="Normal 3 6 2 2 3 2 4" xfId="37494" xr:uid="{00000000-0005-0000-0000-00007C920000}"/>
    <cellStyle name="Normal 3 6 2 2 3 2 4 2" xfId="37495" xr:uid="{00000000-0005-0000-0000-00007D920000}"/>
    <cellStyle name="Normal 3 6 2 2 3 2 5" xfId="37496" xr:uid="{00000000-0005-0000-0000-00007E920000}"/>
    <cellStyle name="Normal 3 6 2 2 3 2 6" xfId="37497" xr:uid="{00000000-0005-0000-0000-00007F920000}"/>
    <cellStyle name="Normal 3 6 2 2 3 3" xfId="37498" xr:uid="{00000000-0005-0000-0000-000080920000}"/>
    <cellStyle name="Normal 3 6 2 2 3 3 2" xfId="37499" xr:uid="{00000000-0005-0000-0000-000081920000}"/>
    <cellStyle name="Normal 3 6 2 2 3 3 2 2" xfId="37500" xr:uid="{00000000-0005-0000-0000-000082920000}"/>
    <cellStyle name="Normal 3 6 2 2 3 3 2 2 2" xfId="37501" xr:uid="{00000000-0005-0000-0000-000083920000}"/>
    <cellStyle name="Normal 3 6 2 2 3 3 2 3" xfId="37502" xr:uid="{00000000-0005-0000-0000-000084920000}"/>
    <cellStyle name="Normal 3 6 2 2 3 3 2 4" xfId="37503" xr:uid="{00000000-0005-0000-0000-000085920000}"/>
    <cellStyle name="Normal 3 6 2 2 3 3 3" xfId="37504" xr:uid="{00000000-0005-0000-0000-000086920000}"/>
    <cellStyle name="Normal 3 6 2 2 3 3 3 2" xfId="37505" xr:uid="{00000000-0005-0000-0000-000087920000}"/>
    <cellStyle name="Normal 3 6 2 2 3 3 4" xfId="37506" xr:uid="{00000000-0005-0000-0000-000088920000}"/>
    <cellStyle name="Normal 3 6 2 2 3 3 5" xfId="37507" xr:uid="{00000000-0005-0000-0000-000089920000}"/>
    <cellStyle name="Normal 3 6 2 2 3 4" xfId="37508" xr:uid="{00000000-0005-0000-0000-00008A920000}"/>
    <cellStyle name="Normal 3 6 2 2 3 4 2" xfId="37509" xr:uid="{00000000-0005-0000-0000-00008B920000}"/>
    <cellStyle name="Normal 3 6 2 2 3 4 2 2" xfId="37510" xr:uid="{00000000-0005-0000-0000-00008C920000}"/>
    <cellStyle name="Normal 3 6 2 2 3 4 3" xfId="37511" xr:uid="{00000000-0005-0000-0000-00008D920000}"/>
    <cellStyle name="Normal 3 6 2 2 3 4 4" xfId="37512" xr:uid="{00000000-0005-0000-0000-00008E920000}"/>
    <cellStyle name="Normal 3 6 2 2 3 5" xfId="37513" xr:uid="{00000000-0005-0000-0000-00008F920000}"/>
    <cellStyle name="Normal 3 6 2 2 3 5 2" xfId="37514" xr:uid="{00000000-0005-0000-0000-000090920000}"/>
    <cellStyle name="Normal 3 6 2 2 3 6" xfId="37515" xr:uid="{00000000-0005-0000-0000-000091920000}"/>
    <cellStyle name="Normal 3 6 2 2 3 7" xfId="37516" xr:uid="{00000000-0005-0000-0000-000092920000}"/>
    <cellStyle name="Normal 3 6 2 2 4" xfId="37517" xr:uid="{00000000-0005-0000-0000-000093920000}"/>
    <cellStyle name="Normal 3 6 2 2 4 2" xfId="37518" xr:uid="{00000000-0005-0000-0000-000094920000}"/>
    <cellStyle name="Normal 3 6 2 2 4 2 2" xfId="37519" xr:uid="{00000000-0005-0000-0000-000095920000}"/>
    <cellStyle name="Normal 3 6 2 2 4 2 2 2" xfId="37520" xr:uid="{00000000-0005-0000-0000-000096920000}"/>
    <cellStyle name="Normal 3 6 2 2 4 2 2 2 2" xfId="37521" xr:uid="{00000000-0005-0000-0000-000097920000}"/>
    <cellStyle name="Normal 3 6 2 2 4 2 2 3" xfId="37522" xr:uid="{00000000-0005-0000-0000-000098920000}"/>
    <cellStyle name="Normal 3 6 2 2 4 2 2 4" xfId="37523" xr:uid="{00000000-0005-0000-0000-000099920000}"/>
    <cellStyle name="Normal 3 6 2 2 4 2 3" xfId="37524" xr:uid="{00000000-0005-0000-0000-00009A920000}"/>
    <cellStyle name="Normal 3 6 2 2 4 2 3 2" xfId="37525" xr:uid="{00000000-0005-0000-0000-00009B920000}"/>
    <cellStyle name="Normal 3 6 2 2 4 2 4" xfId="37526" xr:uid="{00000000-0005-0000-0000-00009C920000}"/>
    <cellStyle name="Normal 3 6 2 2 4 2 5" xfId="37527" xr:uid="{00000000-0005-0000-0000-00009D920000}"/>
    <cellStyle name="Normal 3 6 2 2 4 3" xfId="37528" xr:uid="{00000000-0005-0000-0000-00009E920000}"/>
    <cellStyle name="Normal 3 6 2 2 4 3 2" xfId="37529" xr:uid="{00000000-0005-0000-0000-00009F920000}"/>
    <cellStyle name="Normal 3 6 2 2 4 3 2 2" xfId="37530" xr:uid="{00000000-0005-0000-0000-0000A0920000}"/>
    <cellStyle name="Normal 3 6 2 2 4 3 3" xfId="37531" xr:uid="{00000000-0005-0000-0000-0000A1920000}"/>
    <cellStyle name="Normal 3 6 2 2 4 3 3 2" xfId="37532" xr:uid="{00000000-0005-0000-0000-0000A2920000}"/>
    <cellStyle name="Normal 3 6 2 2 4 3 4" xfId="37533" xr:uid="{00000000-0005-0000-0000-0000A3920000}"/>
    <cellStyle name="Normal 3 6 2 2 4 3 5" xfId="37534" xr:uid="{00000000-0005-0000-0000-0000A4920000}"/>
    <cellStyle name="Normal 3 6 2 2 4 4" xfId="37535" xr:uid="{00000000-0005-0000-0000-0000A5920000}"/>
    <cellStyle name="Normal 3 6 2 2 4 4 2" xfId="37536" xr:uid="{00000000-0005-0000-0000-0000A6920000}"/>
    <cellStyle name="Normal 3 6 2 2 4 5" xfId="37537" xr:uid="{00000000-0005-0000-0000-0000A7920000}"/>
    <cellStyle name="Normal 3 6 2 2 4 5 2" xfId="37538" xr:uid="{00000000-0005-0000-0000-0000A8920000}"/>
    <cellStyle name="Normal 3 6 2 2 4 6" xfId="37539" xr:uid="{00000000-0005-0000-0000-0000A9920000}"/>
    <cellStyle name="Normal 3 6 2 2 4 7" xfId="37540" xr:uid="{00000000-0005-0000-0000-0000AA920000}"/>
    <cellStyle name="Normal 3 6 2 2 5" xfId="37541" xr:uid="{00000000-0005-0000-0000-0000AB920000}"/>
    <cellStyle name="Normal 3 6 2 2 5 2" xfId="37542" xr:uid="{00000000-0005-0000-0000-0000AC920000}"/>
    <cellStyle name="Normal 3 6 2 2 5 2 2" xfId="37543" xr:uid="{00000000-0005-0000-0000-0000AD920000}"/>
    <cellStyle name="Normal 3 6 2 2 5 2 2 2" xfId="37544" xr:uid="{00000000-0005-0000-0000-0000AE920000}"/>
    <cellStyle name="Normal 3 6 2 2 5 2 3" xfId="37545" xr:uid="{00000000-0005-0000-0000-0000AF920000}"/>
    <cellStyle name="Normal 3 6 2 2 5 2 4" xfId="37546" xr:uid="{00000000-0005-0000-0000-0000B0920000}"/>
    <cellStyle name="Normal 3 6 2 2 5 3" xfId="37547" xr:uid="{00000000-0005-0000-0000-0000B1920000}"/>
    <cellStyle name="Normal 3 6 2 2 5 3 2" xfId="37548" xr:uid="{00000000-0005-0000-0000-0000B2920000}"/>
    <cellStyle name="Normal 3 6 2 2 5 4" xfId="37549" xr:uid="{00000000-0005-0000-0000-0000B3920000}"/>
    <cellStyle name="Normal 3 6 2 2 5 5" xfId="37550" xr:uid="{00000000-0005-0000-0000-0000B4920000}"/>
    <cellStyle name="Normal 3 6 2 2 6" xfId="37551" xr:uid="{00000000-0005-0000-0000-0000B5920000}"/>
    <cellStyle name="Normal 3 6 2 2 6 2" xfId="37552" xr:uid="{00000000-0005-0000-0000-0000B6920000}"/>
    <cellStyle name="Normal 3 6 2 2 6 2 2" xfId="37553" xr:uid="{00000000-0005-0000-0000-0000B7920000}"/>
    <cellStyle name="Normal 3 6 2 2 6 3" xfId="37554" xr:uid="{00000000-0005-0000-0000-0000B8920000}"/>
    <cellStyle name="Normal 3 6 2 2 6 3 2" xfId="37555" xr:uid="{00000000-0005-0000-0000-0000B9920000}"/>
    <cellStyle name="Normal 3 6 2 2 6 4" xfId="37556" xr:uid="{00000000-0005-0000-0000-0000BA920000}"/>
    <cellStyle name="Normal 3 6 2 2 6 5" xfId="37557" xr:uid="{00000000-0005-0000-0000-0000BB920000}"/>
    <cellStyle name="Normal 3 6 2 2 7" xfId="37558" xr:uid="{00000000-0005-0000-0000-0000BC920000}"/>
    <cellStyle name="Normal 3 6 2 2 7 2" xfId="37559" xr:uid="{00000000-0005-0000-0000-0000BD920000}"/>
    <cellStyle name="Normal 3 6 2 2 8" xfId="37560" xr:uid="{00000000-0005-0000-0000-0000BE920000}"/>
    <cellStyle name="Normal 3 6 2 2 8 2" xfId="37561" xr:uid="{00000000-0005-0000-0000-0000BF920000}"/>
    <cellStyle name="Normal 3 6 2 2 9" xfId="37562" xr:uid="{00000000-0005-0000-0000-0000C0920000}"/>
    <cellStyle name="Normal 3 6 2 3" xfId="37563" xr:uid="{00000000-0005-0000-0000-0000C1920000}"/>
    <cellStyle name="Normal 3 6 2 3 2" xfId="37564" xr:uid="{00000000-0005-0000-0000-0000C2920000}"/>
    <cellStyle name="Normal 3 6 2 3 2 2" xfId="37565" xr:uid="{00000000-0005-0000-0000-0000C3920000}"/>
    <cellStyle name="Normal 3 6 2 3 2 2 2" xfId="37566" xr:uid="{00000000-0005-0000-0000-0000C4920000}"/>
    <cellStyle name="Normal 3 6 2 3 2 2 2 2" xfId="37567" xr:uid="{00000000-0005-0000-0000-0000C5920000}"/>
    <cellStyle name="Normal 3 6 2 3 2 2 2 2 2" xfId="37568" xr:uid="{00000000-0005-0000-0000-0000C6920000}"/>
    <cellStyle name="Normal 3 6 2 3 2 2 2 2 2 2" xfId="37569" xr:uid="{00000000-0005-0000-0000-0000C7920000}"/>
    <cellStyle name="Normal 3 6 2 3 2 2 2 2 3" xfId="37570" xr:uid="{00000000-0005-0000-0000-0000C8920000}"/>
    <cellStyle name="Normal 3 6 2 3 2 2 2 2 4" xfId="37571" xr:uid="{00000000-0005-0000-0000-0000C9920000}"/>
    <cellStyle name="Normal 3 6 2 3 2 2 2 3" xfId="37572" xr:uid="{00000000-0005-0000-0000-0000CA920000}"/>
    <cellStyle name="Normal 3 6 2 3 2 2 2 3 2" xfId="37573" xr:uid="{00000000-0005-0000-0000-0000CB920000}"/>
    <cellStyle name="Normal 3 6 2 3 2 2 2 4" xfId="37574" xr:uid="{00000000-0005-0000-0000-0000CC920000}"/>
    <cellStyle name="Normal 3 6 2 3 2 2 2 5" xfId="37575" xr:uid="{00000000-0005-0000-0000-0000CD920000}"/>
    <cellStyle name="Normal 3 6 2 3 2 2 3" xfId="37576" xr:uid="{00000000-0005-0000-0000-0000CE920000}"/>
    <cellStyle name="Normal 3 6 2 3 2 2 3 2" xfId="37577" xr:uid="{00000000-0005-0000-0000-0000CF920000}"/>
    <cellStyle name="Normal 3 6 2 3 2 2 3 2 2" xfId="37578" xr:uid="{00000000-0005-0000-0000-0000D0920000}"/>
    <cellStyle name="Normal 3 6 2 3 2 2 3 3" xfId="37579" xr:uid="{00000000-0005-0000-0000-0000D1920000}"/>
    <cellStyle name="Normal 3 6 2 3 2 2 3 4" xfId="37580" xr:uid="{00000000-0005-0000-0000-0000D2920000}"/>
    <cellStyle name="Normal 3 6 2 3 2 2 4" xfId="37581" xr:uid="{00000000-0005-0000-0000-0000D3920000}"/>
    <cellStyle name="Normal 3 6 2 3 2 2 4 2" xfId="37582" xr:uid="{00000000-0005-0000-0000-0000D4920000}"/>
    <cellStyle name="Normal 3 6 2 3 2 2 5" xfId="37583" xr:uid="{00000000-0005-0000-0000-0000D5920000}"/>
    <cellStyle name="Normal 3 6 2 3 2 2 6" xfId="37584" xr:uid="{00000000-0005-0000-0000-0000D6920000}"/>
    <cellStyle name="Normal 3 6 2 3 2 3" xfId="37585" xr:uid="{00000000-0005-0000-0000-0000D7920000}"/>
    <cellStyle name="Normal 3 6 2 3 2 3 2" xfId="37586" xr:uid="{00000000-0005-0000-0000-0000D8920000}"/>
    <cellStyle name="Normal 3 6 2 3 2 3 2 2" xfId="37587" xr:uid="{00000000-0005-0000-0000-0000D9920000}"/>
    <cellStyle name="Normal 3 6 2 3 2 3 2 2 2" xfId="37588" xr:uid="{00000000-0005-0000-0000-0000DA920000}"/>
    <cellStyle name="Normal 3 6 2 3 2 3 2 3" xfId="37589" xr:uid="{00000000-0005-0000-0000-0000DB920000}"/>
    <cellStyle name="Normal 3 6 2 3 2 3 2 4" xfId="37590" xr:uid="{00000000-0005-0000-0000-0000DC920000}"/>
    <cellStyle name="Normal 3 6 2 3 2 3 3" xfId="37591" xr:uid="{00000000-0005-0000-0000-0000DD920000}"/>
    <cellStyle name="Normal 3 6 2 3 2 3 3 2" xfId="37592" xr:uid="{00000000-0005-0000-0000-0000DE920000}"/>
    <cellStyle name="Normal 3 6 2 3 2 3 4" xfId="37593" xr:uid="{00000000-0005-0000-0000-0000DF920000}"/>
    <cellStyle name="Normal 3 6 2 3 2 3 5" xfId="37594" xr:uid="{00000000-0005-0000-0000-0000E0920000}"/>
    <cellStyle name="Normal 3 6 2 3 2 4" xfId="37595" xr:uid="{00000000-0005-0000-0000-0000E1920000}"/>
    <cellStyle name="Normal 3 6 2 3 2 4 2" xfId="37596" xr:uid="{00000000-0005-0000-0000-0000E2920000}"/>
    <cellStyle name="Normal 3 6 2 3 2 4 2 2" xfId="37597" xr:uid="{00000000-0005-0000-0000-0000E3920000}"/>
    <cellStyle name="Normal 3 6 2 3 2 4 3" xfId="37598" xr:uid="{00000000-0005-0000-0000-0000E4920000}"/>
    <cellStyle name="Normal 3 6 2 3 2 4 4" xfId="37599" xr:uid="{00000000-0005-0000-0000-0000E5920000}"/>
    <cellStyle name="Normal 3 6 2 3 2 5" xfId="37600" xr:uid="{00000000-0005-0000-0000-0000E6920000}"/>
    <cellStyle name="Normal 3 6 2 3 2 5 2" xfId="37601" xr:uid="{00000000-0005-0000-0000-0000E7920000}"/>
    <cellStyle name="Normal 3 6 2 3 2 6" xfId="37602" xr:uid="{00000000-0005-0000-0000-0000E8920000}"/>
    <cellStyle name="Normal 3 6 2 3 2 7" xfId="37603" xr:uid="{00000000-0005-0000-0000-0000E9920000}"/>
    <cellStyle name="Normal 3 6 2 3 3" xfId="37604" xr:uid="{00000000-0005-0000-0000-0000EA920000}"/>
    <cellStyle name="Normal 3 6 2 3 3 2" xfId="37605" xr:uid="{00000000-0005-0000-0000-0000EB920000}"/>
    <cellStyle name="Normal 3 6 2 3 3 2 2" xfId="37606" xr:uid="{00000000-0005-0000-0000-0000EC920000}"/>
    <cellStyle name="Normal 3 6 2 3 3 2 2 2" xfId="37607" xr:uid="{00000000-0005-0000-0000-0000ED920000}"/>
    <cellStyle name="Normal 3 6 2 3 3 2 2 2 2" xfId="37608" xr:uid="{00000000-0005-0000-0000-0000EE920000}"/>
    <cellStyle name="Normal 3 6 2 3 3 2 2 3" xfId="37609" xr:uid="{00000000-0005-0000-0000-0000EF920000}"/>
    <cellStyle name="Normal 3 6 2 3 3 2 2 4" xfId="37610" xr:uid="{00000000-0005-0000-0000-0000F0920000}"/>
    <cellStyle name="Normal 3 6 2 3 3 2 3" xfId="37611" xr:uid="{00000000-0005-0000-0000-0000F1920000}"/>
    <cellStyle name="Normal 3 6 2 3 3 2 3 2" xfId="37612" xr:uid="{00000000-0005-0000-0000-0000F2920000}"/>
    <cellStyle name="Normal 3 6 2 3 3 2 4" xfId="37613" xr:uid="{00000000-0005-0000-0000-0000F3920000}"/>
    <cellStyle name="Normal 3 6 2 3 3 2 5" xfId="37614" xr:uid="{00000000-0005-0000-0000-0000F4920000}"/>
    <cellStyle name="Normal 3 6 2 3 3 3" xfId="37615" xr:uid="{00000000-0005-0000-0000-0000F5920000}"/>
    <cellStyle name="Normal 3 6 2 3 3 3 2" xfId="37616" xr:uid="{00000000-0005-0000-0000-0000F6920000}"/>
    <cellStyle name="Normal 3 6 2 3 3 3 2 2" xfId="37617" xr:uid="{00000000-0005-0000-0000-0000F7920000}"/>
    <cellStyle name="Normal 3 6 2 3 3 3 3" xfId="37618" xr:uid="{00000000-0005-0000-0000-0000F8920000}"/>
    <cellStyle name="Normal 3 6 2 3 3 3 3 2" xfId="37619" xr:uid="{00000000-0005-0000-0000-0000F9920000}"/>
    <cellStyle name="Normal 3 6 2 3 3 3 4" xfId="37620" xr:uid="{00000000-0005-0000-0000-0000FA920000}"/>
    <cellStyle name="Normal 3 6 2 3 3 3 5" xfId="37621" xr:uid="{00000000-0005-0000-0000-0000FB920000}"/>
    <cellStyle name="Normal 3 6 2 3 3 4" xfId="37622" xr:uid="{00000000-0005-0000-0000-0000FC920000}"/>
    <cellStyle name="Normal 3 6 2 3 3 4 2" xfId="37623" xr:uid="{00000000-0005-0000-0000-0000FD920000}"/>
    <cellStyle name="Normal 3 6 2 3 3 5" xfId="37624" xr:uid="{00000000-0005-0000-0000-0000FE920000}"/>
    <cellStyle name="Normal 3 6 2 3 3 5 2" xfId="37625" xr:uid="{00000000-0005-0000-0000-0000FF920000}"/>
    <cellStyle name="Normal 3 6 2 3 3 6" xfId="37626" xr:uid="{00000000-0005-0000-0000-000000930000}"/>
    <cellStyle name="Normal 3 6 2 3 3 7" xfId="37627" xr:uid="{00000000-0005-0000-0000-000001930000}"/>
    <cellStyle name="Normal 3 6 2 3 4" xfId="37628" xr:uid="{00000000-0005-0000-0000-000002930000}"/>
    <cellStyle name="Normal 3 6 2 3 4 2" xfId="37629" xr:uid="{00000000-0005-0000-0000-000003930000}"/>
    <cellStyle name="Normal 3 6 2 3 4 2 2" xfId="37630" xr:uid="{00000000-0005-0000-0000-000004930000}"/>
    <cellStyle name="Normal 3 6 2 3 4 2 2 2" xfId="37631" xr:uid="{00000000-0005-0000-0000-000005930000}"/>
    <cellStyle name="Normal 3 6 2 3 4 2 3" xfId="37632" xr:uid="{00000000-0005-0000-0000-000006930000}"/>
    <cellStyle name="Normal 3 6 2 3 4 2 4" xfId="37633" xr:uid="{00000000-0005-0000-0000-000007930000}"/>
    <cellStyle name="Normal 3 6 2 3 4 3" xfId="37634" xr:uid="{00000000-0005-0000-0000-000008930000}"/>
    <cellStyle name="Normal 3 6 2 3 4 3 2" xfId="37635" xr:uid="{00000000-0005-0000-0000-000009930000}"/>
    <cellStyle name="Normal 3 6 2 3 4 4" xfId="37636" xr:uid="{00000000-0005-0000-0000-00000A930000}"/>
    <cellStyle name="Normal 3 6 2 3 4 5" xfId="37637" xr:uid="{00000000-0005-0000-0000-00000B930000}"/>
    <cellStyle name="Normal 3 6 2 3 5" xfId="37638" xr:uid="{00000000-0005-0000-0000-00000C930000}"/>
    <cellStyle name="Normal 3 6 2 3 5 2" xfId="37639" xr:uid="{00000000-0005-0000-0000-00000D930000}"/>
    <cellStyle name="Normal 3 6 2 3 5 2 2" xfId="37640" xr:uid="{00000000-0005-0000-0000-00000E930000}"/>
    <cellStyle name="Normal 3 6 2 3 5 3" xfId="37641" xr:uid="{00000000-0005-0000-0000-00000F930000}"/>
    <cellStyle name="Normal 3 6 2 3 5 3 2" xfId="37642" xr:uid="{00000000-0005-0000-0000-000010930000}"/>
    <cellStyle name="Normal 3 6 2 3 5 4" xfId="37643" xr:uid="{00000000-0005-0000-0000-000011930000}"/>
    <cellStyle name="Normal 3 6 2 3 5 5" xfId="37644" xr:uid="{00000000-0005-0000-0000-000012930000}"/>
    <cellStyle name="Normal 3 6 2 3 6" xfId="37645" xr:uid="{00000000-0005-0000-0000-000013930000}"/>
    <cellStyle name="Normal 3 6 2 3 6 2" xfId="37646" xr:uid="{00000000-0005-0000-0000-000014930000}"/>
    <cellStyle name="Normal 3 6 2 3 7" xfId="37647" xr:uid="{00000000-0005-0000-0000-000015930000}"/>
    <cellStyle name="Normal 3 6 2 3 7 2" xfId="37648" xr:uid="{00000000-0005-0000-0000-000016930000}"/>
    <cellStyle name="Normal 3 6 2 3 8" xfId="37649" xr:uid="{00000000-0005-0000-0000-000017930000}"/>
    <cellStyle name="Normal 3 6 2 3 9" xfId="37650" xr:uid="{00000000-0005-0000-0000-000018930000}"/>
    <cellStyle name="Normal 3 6 2 4" xfId="37651" xr:uid="{00000000-0005-0000-0000-000019930000}"/>
    <cellStyle name="Normal 3 6 2 4 2" xfId="37652" xr:uid="{00000000-0005-0000-0000-00001A930000}"/>
    <cellStyle name="Normal 3 6 2 4 2 2" xfId="37653" xr:uid="{00000000-0005-0000-0000-00001B930000}"/>
    <cellStyle name="Normal 3 6 2 4 2 2 2" xfId="37654" xr:uid="{00000000-0005-0000-0000-00001C930000}"/>
    <cellStyle name="Normal 3 6 2 4 2 2 2 2" xfId="37655" xr:uid="{00000000-0005-0000-0000-00001D930000}"/>
    <cellStyle name="Normal 3 6 2 4 2 2 2 2 2" xfId="37656" xr:uid="{00000000-0005-0000-0000-00001E930000}"/>
    <cellStyle name="Normal 3 6 2 4 2 2 2 3" xfId="37657" xr:uid="{00000000-0005-0000-0000-00001F930000}"/>
    <cellStyle name="Normal 3 6 2 4 2 2 2 4" xfId="37658" xr:uid="{00000000-0005-0000-0000-000020930000}"/>
    <cellStyle name="Normal 3 6 2 4 2 2 3" xfId="37659" xr:uid="{00000000-0005-0000-0000-000021930000}"/>
    <cellStyle name="Normal 3 6 2 4 2 2 3 2" xfId="37660" xr:uid="{00000000-0005-0000-0000-000022930000}"/>
    <cellStyle name="Normal 3 6 2 4 2 2 4" xfId="37661" xr:uid="{00000000-0005-0000-0000-000023930000}"/>
    <cellStyle name="Normal 3 6 2 4 2 2 5" xfId="37662" xr:uid="{00000000-0005-0000-0000-000024930000}"/>
    <cellStyle name="Normal 3 6 2 4 2 3" xfId="37663" xr:uid="{00000000-0005-0000-0000-000025930000}"/>
    <cellStyle name="Normal 3 6 2 4 2 3 2" xfId="37664" xr:uid="{00000000-0005-0000-0000-000026930000}"/>
    <cellStyle name="Normal 3 6 2 4 2 3 2 2" xfId="37665" xr:uid="{00000000-0005-0000-0000-000027930000}"/>
    <cellStyle name="Normal 3 6 2 4 2 3 3" xfId="37666" xr:uid="{00000000-0005-0000-0000-000028930000}"/>
    <cellStyle name="Normal 3 6 2 4 2 3 3 2" xfId="37667" xr:uid="{00000000-0005-0000-0000-000029930000}"/>
    <cellStyle name="Normal 3 6 2 4 2 3 4" xfId="37668" xr:uid="{00000000-0005-0000-0000-00002A930000}"/>
    <cellStyle name="Normal 3 6 2 4 2 3 5" xfId="37669" xr:uid="{00000000-0005-0000-0000-00002B930000}"/>
    <cellStyle name="Normal 3 6 2 4 2 4" xfId="37670" xr:uid="{00000000-0005-0000-0000-00002C930000}"/>
    <cellStyle name="Normal 3 6 2 4 2 4 2" xfId="37671" xr:uid="{00000000-0005-0000-0000-00002D930000}"/>
    <cellStyle name="Normal 3 6 2 4 2 5" xfId="37672" xr:uid="{00000000-0005-0000-0000-00002E930000}"/>
    <cellStyle name="Normal 3 6 2 4 2 5 2" xfId="37673" xr:uid="{00000000-0005-0000-0000-00002F930000}"/>
    <cellStyle name="Normal 3 6 2 4 2 6" xfId="37674" xr:uid="{00000000-0005-0000-0000-000030930000}"/>
    <cellStyle name="Normal 3 6 2 4 2 7" xfId="37675" xr:uid="{00000000-0005-0000-0000-000031930000}"/>
    <cellStyle name="Normal 3 6 2 4 3" xfId="37676" xr:uid="{00000000-0005-0000-0000-000032930000}"/>
    <cellStyle name="Normal 3 6 2 4 3 2" xfId="37677" xr:uid="{00000000-0005-0000-0000-000033930000}"/>
    <cellStyle name="Normal 3 6 2 4 3 2 2" xfId="37678" xr:uid="{00000000-0005-0000-0000-000034930000}"/>
    <cellStyle name="Normal 3 6 2 4 3 2 2 2" xfId="37679" xr:uid="{00000000-0005-0000-0000-000035930000}"/>
    <cellStyle name="Normal 3 6 2 4 3 2 3" xfId="37680" xr:uid="{00000000-0005-0000-0000-000036930000}"/>
    <cellStyle name="Normal 3 6 2 4 3 2 4" xfId="37681" xr:uid="{00000000-0005-0000-0000-000037930000}"/>
    <cellStyle name="Normal 3 6 2 4 3 3" xfId="37682" xr:uid="{00000000-0005-0000-0000-000038930000}"/>
    <cellStyle name="Normal 3 6 2 4 3 3 2" xfId="37683" xr:uid="{00000000-0005-0000-0000-000039930000}"/>
    <cellStyle name="Normal 3 6 2 4 3 4" xfId="37684" xr:uid="{00000000-0005-0000-0000-00003A930000}"/>
    <cellStyle name="Normal 3 6 2 4 3 5" xfId="37685" xr:uid="{00000000-0005-0000-0000-00003B930000}"/>
    <cellStyle name="Normal 3 6 2 4 4" xfId="37686" xr:uid="{00000000-0005-0000-0000-00003C930000}"/>
    <cellStyle name="Normal 3 6 2 4 4 2" xfId="37687" xr:uid="{00000000-0005-0000-0000-00003D930000}"/>
    <cellStyle name="Normal 3 6 2 4 4 2 2" xfId="37688" xr:uid="{00000000-0005-0000-0000-00003E930000}"/>
    <cellStyle name="Normal 3 6 2 4 4 3" xfId="37689" xr:uid="{00000000-0005-0000-0000-00003F930000}"/>
    <cellStyle name="Normal 3 6 2 4 4 3 2" xfId="37690" xr:uid="{00000000-0005-0000-0000-000040930000}"/>
    <cellStyle name="Normal 3 6 2 4 4 4" xfId="37691" xr:uid="{00000000-0005-0000-0000-000041930000}"/>
    <cellStyle name="Normal 3 6 2 4 4 5" xfId="37692" xr:uid="{00000000-0005-0000-0000-000042930000}"/>
    <cellStyle name="Normal 3 6 2 4 5" xfId="37693" xr:uid="{00000000-0005-0000-0000-000043930000}"/>
    <cellStyle name="Normal 3 6 2 4 5 2" xfId="37694" xr:uid="{00000000-0005-0000-0000-000044930000}"/>
    <cellStyle name="Normal 3 6 2 4 6" xfId="37695" xr:uid="{00000000-0005-0000-0000-000045930000}"/>
    <cellStyle name="Normal 3 6 2 4 6 2" xfId="37696" xr:uid="{00000000-0005-0000-0000-000046930000}"/>
    <cellStyle name="Normal 3 6 2 4 7" xfId="37697" xr:uid="{00000000-0005-0000-0000-000047930000}"/>
    <cellStyle name="Normal 3 6 2 4 8" xfId="37698" xr:uid="{00000000-0005-0000-0000-000048930000}"/>
    <cellStyle name="Normal 3 6 2 5" xfId="37699" xr:uid="{00000000-0005-0000-0000-000049930000}"/>
    <cellStyle name="Normal 3 6 2 5 2" xfId="37700" xr:uid="{00000000-0005-0000-0000-00004A930000}"/>
    <cellStyle name="Normal 3 6 2 5 2 2" xfId="37701" xr:uid="{00000000-0005-0000-0000-00004B930000}"/>
    <cellStyle name="Normal 3 6 2 5 2 2 2" xfId="37702" xr:uid="{00000000-0005-0000-0000-00004C930000}"/>
    <cellStyle name="Normal 3 6 2 5 2 2 2 2" xfId="37703" xr:uid="{00000000-0005-0000-0000-00004D930000}"/>
    <cellStyle name="Normal 3 6 2 5 2 2 3" xfId="37704" xr:uid="{00000000-0005-0000-0000-00004E930000}"/>
    <cellStyle name="Normal 3 6 2 5 2 2 4" xfId="37705" xr:uid="{00000000-0005-0000-0000-00004F930000}"/>
    <cellStyle name="Normal 3 6 2 5 2 3" xfId="37706" xr:uid="{00000000-0005-0000-0000-000050930000}"/>
    <cellStyle name="Normal 3 6 2 5 2 3 2" xfId="37707" xr:uid="{00000000-0005-0000-0000-000051930000}"/>
    <cellStyle name="Normal 3 6 2 5 2 4" xfId="37708" xr:uid="{00000000-0005-0000-0000-000052930000}"/>
    <cellStyle name="Normal 3 6 2 5 2 5" xfId="37709" xr:uid="{00000000-0005-0000-0000-000053930000}"/>
    <cellStyle name="Normal 3 6 2 5 3" xfId="37710" xr:uid="{00000000-0005-0000-0000-000054930000}"/>
    <cellStyle name="Normal 3 6 2 5 3 2" xfId="37711" xr:uid="{00000000-0005-0000-0000-000055930000}"/>
    <cellStyle name="Normal 3 6 2 5 3 2 2" xfId="37712" xr:uid="{00000000-0005-0000-0000-000056930000}"/>
    <cellStyle name="Normal 3 6 2 5 3 3" xfId="37713" xr:uid="{00000000-0005-0000-0000-000057930000}"/>
    <cellStyle name="Normal 3 6 2 5 3 3 2" xfId="37714" xr:uid="{00000000-0005-0000-0000-000058930000}"/>
    <cellStyle name="Normal 3 6 2 5 3 4" xfId="37715" xr:uid="{00000000-0005-0000-0000-000059930000}"/>
    <cellStyle name="Normal 3 6 2 5 3 5" xfId="37716" xr:uid="{00000000-0005-0000-0000-00005A930000}"/>
    <cellStyle name="Normal 3 6 2 5 4" xfId="37717" xr:uid="{00000000-0005-0000-0000-00005B930000}"/>
    <cellStyle name="Normal 3 6 2 5 4 2" xfId="37718" xr:uid="{00000000-0005-0000-0000-00005C930000}"/>
    <cellStyle name="Normal 3 6 2 5 5" xfId="37719" xr:uid="{00000000-0005-0000-0000-00005D930000}"/>
    <cellStyle name="Normal 3 6 2 5 5 2" xfId="37720" xr:uid="{00000000-0005-0000-0000-00005E930000}"/>
    <cellStyle name="Normal 3 6 2 5 6" xfId="37721" xr:uid="{00000000-0005-0000-0000-00005F930000}"/>
    <cellStyle name="Normal 3 6 2 5 7" xfId="37722" xr:uid="{00000000-0005-0000-0000-000060930000}"/>
    <cellStyle name="Normal 3 6 2 6" xfId="37723" xr:uid="{00000000-0005-0000-0000-000061930000}"/>
    <cellStyle name="Normal 3 6 2 6 2" xfId="37724" xr:uid="{00000000-0005-0000-0000-000062930000}"/>
    <cellStyle name="Normal 3 6 2 6 2 2" xfId="37725" xr:uid="{00000000-0005-0000-0000-000063930000}"/>
    <cellStyle name="Normal 3 6 2 6 2 2 2" xfId="37726" xr:uid="{00000000-0005-0000-0000-000064930000}"/>
    <cellStyle name="Normal 3 6 2 6 2 3" xfId="37727" xr:uid="{00000000-0005-0000-0000-000065930000}"/>
    <cellStyle name="Normal 3 6 2 6 2 4" xfId="37728" xr:uid="{00000000-0005-0000-0000-000066930000}"/>
    <cellStyle name="Normal 3 6 2 6 3" xfId="37729" xr:uid="{00000000-0005-0000-0000-000067930000}"/>
    <cellStyle name="Normal 3 6 2 6 3 2" xfId="37730" xr:uid="{00000000-0005-0000-0000-000068930000}"/>
    <cellStyle name="Normal 3 6 2 6 4" xfId="37731" xr:uid="{00000000-0005-0000-0000-000069930000}"/>
    <cellStyle name="Normal 3 6 2 6 5" xfId="37732" xr:uid="{00000000-0005-0000-0000-00006A930000}"/>
    <cellStyle name="Normal 3 6 2 7" xfId="37733" xr:uid="{00000000-0005-0000-0000-00006B930000}"/>
    <cellStyle name="Normal 3 6 2 7 2" xfId="37734" xr:uid="{00000000-0005-0000-0000-00006C930000}"/>
    <cellStyle name="Normal 3 6 2 7 2 2" xfId="37735" xr:uid="{00000000-0005-0000-0000-00006D930000}"/>
    <cellStyle name="Normal 3 6 2 7 3" xfId="37736" xr:uid="{00000000-0005-0000-0000-00006E930000}"/>
    <cellStyle name="Normal 3 6 2 7 3 2" xfId="37737" xr:uid="{00000000-0005-0000-0000-00006F930000}"/>
    <cellStyle name="Normal 3 6 2 7 4" xfId="37738" xr:uid="{00000000-0005-0000-0000-000070930000}"/>
    <cellStyle name="Normal 3 6 2 7 5" xfId="37739" xr:uid="{00000000-0005-0000-0000-000071930000}"/>
    <cellStyle name="Normal 3 6 2 8" xfId="37740" xr:uid="{00000000-0005-0000-0000-000072930000}"/>
    <cellStyle name="Normal 3 6 2 8 2" xfId="37741" xr:uid="{00000000-0005-0000-0000-000073930000}"/>
    <cellStyle name="Normal 3 6 2 9" xfId="37742" xr:uid="{00000000-0005-0000-0000-000074930000}"/>
    <cellStyle name="Normal 3 6 2 9 2" xfId="37743" xr:uid="{00000000-0005-0000-0000-000075930000}"/>
    <cellStyle name="Normal 3 6 3" xfId="37744" xr:uid="{00000000-0005-0000-0000-000076930000}"/>
    <cellStyle name="Normal 3 6 3 10" xfId="37745" xr:uid="{00000000-0005-0000-0000-000077930000}"/>
    <cellStyle name="Normal 3 6 3 2" xfId="37746" xr:uid="{00000000-0005-0000-0000-000078930000}"/>
    <cellStyle name="Normal 3 6 3 2 2" xfId="37747" xr:uid="{00000000-0005-0000-0000-000079930000}"/>
    <cellStyle name="Normal 3 6 3 2 2 2" xfId="37748" xr:uid="{00000000-0005-0000-0000-00007A930000}"/>
    <cellStyle name="Normal 3 6 3 2 2 2 2" xfId="37749" xr:uid="{00000000-0005-0000-0000-00007B930000}"/>
    <cellStyle name="Normal 3 6 3 2 2 2 2 2" xfId="37750" xr:uid="{00000000-0005-0000-0000-00007C930000}"/>
    <cellStyle name="Normal 3 6 3 2 2 2 2 2 2" xfId="37751" xr:uid="{00000000-0005-0000-0000-00007D930000}"/>
    <cellStyle name="Normal 3 6 3 2 2 2 2 2 2 2" xfId="37752" xr:uid="{00000000-0005-0000-0000-00007E930000}"/>
    <cellStyle name="Normal 3 6 3 2 2 2 2 2 3" xfId="37753" xr:uid="{00000000-0005-0000-0000-00007F930000}"/>
    <cellStyle name="Normal 3 6 3 2 2 2 2 2 4" xfId="37754" xr:uid="{00000000-0005-0000-0000-000080930000}"/>
    <cellStyle name="Normal 3 6 3 2 2 2 2 3" xfId="37755" xr:uid="{00000000-0005-0000-0000-000081930000}"/>
    <cellStyle name="Normal 3 6 3 2 2 2 2 3 2" xfId="37756" xr:uid="{00000000-0005-0000-0000-000082930000}"/>
    <cellStyle name="Normal 3 6 3 2 2 2 2 4" xfId="37757" xr:uid="{00000000-0005-0000-0000-000083930000}"/>
    <cellStyle name="Normal 3 6 3 2 2 2 2 5" xfId="37758" xr:uid="{00000000-0005-0000-0000-000084930000}"/>
    <cellStyle name="Normal 3 6 3 2 2 2 3" xfId="37759" xr:uid="{00000000-0005-0000-0000-000085930000}"/>
    <cellStyle name="Normal 3 6 3 2 2 2 3 2" xfId="37760" xr:uid="{00000000-0005-0000-0000-000086930000}"/>
    <cellStyle name="Normal 3 6 3 2 2 2 3 2 2" xfId="37761" xr:uid="{00000000-0005-0000-0000-000087930000}"/>
    <cellStyle name="Normal 3 6 3 2 2 2 3 3" xfId="37762" xr:uid="{00000000-0005-0000-0000-000088930000}"/>
    <cellStyle name="Normal 3 6 3 2 2 2 3 4" xfId="37763" xr:uid="{00000000-0005-0000-0000-000089930000}"/>
    <cellStyle name="Normal 3 6 3 2 2 2 4" xfId="37764" xr:uid="{00000000-0005-0000-0000-00008A930000}"/>
    <cellStyle name="Normal 3 6 3 2 2 2 4 2" xfId="37765" xr:uid="{00000000-0005-0000-0000-00008B930000}"/>
    <cellStyle name="Normal 3 6 3 2 2 2 5" xfId="37766" xr:uid="{00000000-0005-0000-0000-00008C930000}"/>
    <cellStyle name="Normal 3 6 3 2 2 2 6" xfId="37767" xr:uid="{00000000-0005-0000-0000-00008D930000}"/>
    <cellStyle name="Normal 3 6 3 2 2 3" xfId="37768" xr:uid="{00000000-0005-0000-0000-00008E930000}"/>
    <cellStyle name="Normal 3 6 3 2 2 3 2" xfId="37769" xr:uid="{00000000-0005-0000-0000-00008F930000}"/>
    <cellStyle name="Normal 3 6 3 2 2 3 2 2" xfId="37770" xr:uid="{00000000-0005-0000-0000-000090930000}"/>
    <cellStyle name="Normal 3 6 3 2 2 3 2 2 2" xfId="37771" xr:uid="{00000000-0005-0000-0000-000091930000}"/>
    <cellStyle name="Normal 3 6 3 2 2 3 2 3" xfId="37772" xr:uid="{00000000-0005-0000-0000-000092930000}"/>
    <cellStyle name="Normal 3 6 3 2 2 3 2 4" xfId="37773" xr:uid="{00000000-0005-0000-0000-000093930000}"/>
    <cellStyle name="Normal 3 6 3 2 2 3 3" xfId="37774" xr:uid="{00000000-0005-0000-0000-000094930000}"/>
    <cellStyle name="Normal 3 6 3 2 2 3 3 2" xfId="37775" xr:uid="{00000000-0005-0000-0000-000095930000}"/>
    <cellStyle name="Normal 3 6 3 2 2 3 4" xfId="37776" xr:uid="{00000000-0005-0000-0000-000096930000}"/>
    <cellStyle name="Normal 3 6 3 2 2 3 5" xfId="37777" xr:uid="{00000000-0005-0000-0000-000097930000}"/>
    <cellStyle name="Normal 3 6 3 2 2 4" xfId="37778" xr:uid="{00000000-0005-0000-0000-000098930000}"/>
    <cellStyle name="Normal 3 6 3 2 2 4 2" xfId="37779" xr:uid="{00000000-0005-0000-0000-000099930000}"/>
    <cellStyle name="Normal 3 6 3 2 2 4 2 2" xfId="37780" xr:uid="{00000000-0005-0000-0000-00009A930000}"/>
    <cellStyle name="Normal 3 6 3 2 2 4 3" xfId="37781" xr:uid="{00000000-0005-0000-0000-00009B930000}"/>
    <cellStyle name="Normal 3 6 3 2 2 4 4" xfId="37782" xr:uid="{00000000-0005-0000-0000-00009C930000}"/>
    <cellStyle name="Normal 3 6 3 2 2 5" xfId="37783" xr:uid="{00000000-0005-0000-0000-00009D930000}"/>
    <cellStyle name="Normal 3 6 3 2 2 5 2" xfId="37784" xr:uid="{00000000-0005-0000-0000-00009E930000}"/>
    <cellStyle name="Normal 3 6 3 2 2 6" xfId="37785" xr:uid="{00000000-0005-0000-0000-00009F930000}"/>
    <cellStyle name="Normal 3 6 3 2 2 7" xfId="37786" xr:uid="{00000000-0005-0000-0000-0000A0930000}"/>
    <cellStyle name="Normal 3 6 3 2 3" xfId="37787" xr:uid="{00000000-0005-0000-0000-0000A1930000}"/>
    <cellStyle name="Normal 3 6 3 2 3 2" xfId="37788" xr:uid="{00000000-0005-0000-0000-0000A2930000}"/>
    <cellStyle name="Normal 3 6 3 2 3 2 2" xfId="37789" xr:uid="{00000000-0005-0000-0000-0000A3930000}"/>
    <cellStyle name="Normal 3 6 3 2 3 2 2 2" xfId="37790" xr:uid="{00000000-0005-0000-0000-0000A4930000}"/>
    <cellStyle name="Normal 3 6 3 2 3 2 2 2 2" xfId="37791" xr:uid="{00000000-0005-0000-0000-0000A5930000}"/>
    <cellStyle name="Normal 3 6 3 2 3 2 2 3" xfId="37792" xr:uid="{00000000-0005-0000-0000-0000A6930000}"/>
    <cellStyle name="Normal 3 6 3 2 3 2 2 4" xfId="37793" xr:uid="{00000000-0005-0000-0000-0000A7930000}"/>
    <cellStyle name="Normal 3 6 3 2 3 2 3" xfId="37794" xr:uid="{00000000-0005-0000-0000-0000A8930000}"/>
    <cellStyle name="Normal 3 6 3 2 3 2 3 2" xfId="37795" xr:uid="{00000000-0005-0000-0000-0000A9930000}"/>
    <cellStyle name="Normal 3 6 3 2 3 2 4" xfId="37796" xr:uid="{00000000-0005-0000-0000-0000AA930000}"/>
    <cellStyle name="Normal 3 6 3 2 3 2 5" xfId="37797" xr:uid="{00000000-0005-0000-0000-0000AB930000}"/>
    <cellStyle name="Normal 3 6 3 2 3 3" xfId="37798" xr:uid="{00000000-0005-0000-0000-0000AC930000}"/>
    <cellStyle name="Normal 3 6 3 2 3 3 2" xfId="37799" xr:uid="{00000000-0005-0000-0000-0000AD930000}"/>
    <cellStyle name="Normal 3 6 3 2 3 3 2 2" xfId="37800" xr:uid="{00000000-0005-0000-0000-0000AE930000}"/>
    <cellStyle name="Normal 3 6 3 2 3 3 3" xfId="37801" xr:uid="{00000000-0005-0000-0000-0000AF930000}"/>
    <cellStyle name="Normal 3 6 3 2 3 3 3 2" xfId="37802" xr:uid="{00000000-0005-0000-0000-0000B0930000}"/>
    <cellStyle name="Normal 3 6 3 2 3 3 4" xfId="37803" xr:uid="{00000000-0005-0000-0000-0000B1930000}"/>
    <cellStyle name="Normal 3 6 3 2 3 3 5" xfId="37804" xr:uid="{00000000-0005-0000-0000-0000B2930000}"/>
    <cellStyle name="Normal 3 6 3 2 3 4" xfId="37805" xr:uid="{00000000-0005-0000-0000-0000B3930000}"/>
    <cellStyle name="Normal 3 6 3 2 3 4 2" xfId="37806" xr:uid="{00000000-0005-0000-0000-0000B4930000}"/>
    <cellStyle name="Normal 3 6 3 2 3 5" xfId="37807" xr:uid="{00000000-0005-0000-0000-0000B5930000}"/>
    <cellStyle name="Normal 3 6 3 2 3 5 2" xfId="37808" xr:uid="{00000000-0005-0000-0000-0000B6930000}"/>
    <cellStyle name="Normal 3 6 3 2 3 6" xfId="37809" xr:uid="{00000000-0005-0000-0000-0000B7930000}"/>
    <cellStyle name="Normal 3 6 3 2 3 7" xfId="37810" xr:uid="{00000000-0005-0000-0000-0000B8930000}"/>
    <cellStyle name="Normal 3 6 3 2 4" xfId="37811" xr:uid="{00000000-0005-0000-0000-0000B9930000}"/>
    <cellStyle name="Normal 3 6 3 2 4 2" xfId="37812" xr:uid="{00000000-0005-0000-0000-0000BA930000}"/>
    <cellStyle name="Normal 3 6 3 2 4 2 2" xfId="37813" xr:uid="{00000000-0005-0000-0000-0000BB930000}"/>
    <cellStyle name="Normal 3 6 3 2 4 2 2 2" xfId="37814" xr:uid="{00000000-0005-0000-0000-0000BC930000}"/>
    <cellStyle name="Normal 3 6 3 2 4 2 3" xfId="37815" xr:uid="{00000000-0005-0000-0000-0000BD930000}"/>
    <cellStyle name="Normal 3 6 3 2 4 2 4" xfId="37816" xr:uid="{00000000-0005-0000-0000-0000BE930000}"/>
    <cellStyle name="Normal 3 6 3 2 4 3" xfId="37817" xr:uid="{00000000-0005-0000-0000-0000BF930000}"/>
    <cellStyle name="Normal 3 6 3 2 4 3 2" xfId="37818" xr:uid="{00000000-0005-0000-0000-0000C0930000}"/>
    <cellStyle name="Normal 3 6 3 2 4 4" xfId="37819" xr:uid="{00000000-0005-0000-0000-0000C1930000}"/>
    <cellStyle name="Normal 3 6 3 2 4 5" xfId="37820" xr:uid="{00000000-0005-0000-0000-0000C2930000}"/>
    <cellStyle name="Normal 3 6 3 2 5" xfId="37821" xr:uid="{00000000-0005-0000-0000-0000C3930000}"/>
    <cellStyle name="Normal 3 6 3 2 5 2" xfId="37822" xr:uid="{00000000-0005-0000-0000-0000C4930000}"/>
    <cellStyle name="Normal 3 6 3 2 5 2 2" xfId="37823" xr:uid="{00000000-0005-0000-0000-0000C5930000}"/>
    <cellStyle name="Normal 3 6 3 2 5 3" xfId="37824" xr:uid="{00000000-0005-0000-0000-0000C6930000}"/>
    <cellStyle name="Normal 3 6 3 2 5 3 2" xfId="37825" xr:uid="{00000000-0005-0000-0000-0000C7930000}"/>
    <cellStyle name="Normal 3 6 3 2 5 4" xfId="37826" xr:uid="{00000000-0005-0000-0000-0000C8930000}"/>
    <cellStyle name="Normal 3 6 3 2 5 5" xfId="37827" xr:uid="{00000000-0005-0000-0000-0000C9930000}"/>
    <cellStyle name="Normal 3 6 3 2 6" xfId="37828" xr:uid="{00000000-0005-0000-0000-0000CA930000}"/>
    <cellStyle name="Normal 3 6 3 2 6 2" xfId="37829" xr:uid="{00000000-0005-0000-0000-0000CB930000}"/>
    <cellStyle name="Normal 3 6 3 2 7" xfId="37830" xr:uid="{00000000-0005-0000-0000-0000CC930000}"/>
    <cellStyle name="Normal 3 6 3 2 7 2" xfId="37831" xr:uid="{00000000-0005-0000-0000-0000CD930000}"/>
    <cellStyle name="Normal 3 6 3 2 8" xfId="37832" xr:uid="{00000000-0005-0000-0000-0000CE930000}"/>
    <cellStyle name="Normal 3 6 3 2 9" xfId="37833" xr:uid="{00000000-0005-0000-0000-0000CF930000}"/>
    <cellStyle name="Normal 3 6 3 3" xfId="37834" xr:uid="{00000000-0005-0000-0000-0000D0930000}"/>
    <cellStyle name="Normal 3 6 3 3 2" xfId="37835" xr:uid="{00000000-0005-0000-0000-0000D1930000}"/>
    <cellStyle name="Normal 3 6 3 3 2 2" xfId="37836" xr:uid="{00000000-0005-0000-0000-0000D2930000}"/>
    <cellStyle name="Normal 3 6 3 3 2 2 2" xfId="37837" xr:uid="{00000000-0005-0000-0000-0000D3930000}"/>
    <cellStyle name="Normal 3 6 3 3 2 2 2 2" xfId="37838" xr:uid="{00000000-0005-0000-0000-0000D4930000}"/>
    <cellStyle name="Normal 3 6 3 3 2 2 2 2 2" xfId="37839" xr:uid="{00000000-0005-0000-0000-0000D5930000}"/>
    <cellStyle name="Normal 3 6 3 3 2 2 2 3" xfId="37840" xr:uid="{00000000-0005-0000-0000-0000D6930000}"/>
    <cellStyle name="Normal 3 6 3 3 2 2 2 4" xfId="37841" xr:uid="{00000000-0005-0000-0000-0000D7930000}"/>
    <cellStyle name="Normal 3 6 3 3 2 2 3" xfId="37842" xr:uid="{00000000-0005-0000-0000-0000D8930000}"/>
    <cellStyle name="Normal 3 6 3 3 2 2 3 2" xfId="37843" xr:uid="{00000000-0005-0000-0000-0000D9930000}"/>
    <cellStyle name="Normal 3 6 3 3 2 2 4" xfId="37844" xr:uid="{00000000-0005-0000-0000-0000DA930000}"/>
    <cellStyle name="Normal 3 6 3 3 2 2 5" xfId="37845" xr:uid="{00000000-0005-0000-0000-0000DB930000}"/>
    <cellStyle name="Normal 3 6 3 3 2 3" xfId="37846" xr:uid="{00000000-0005-0000-0000-0000DC930000}"/>
    <cellStyle name="Normal 3 6 3 3 2 3 2" xfId="37847" xr:uid="{00000000-0005-0000-0000-0000DD930000}"/>
    <cellStyle name="Normal 3 6 3 3 2 3 2 2" xfId="37848" xr:uid="{00000000-0005-0000-0000-0000DE930000}"/>
    <cellStyle name="Normal 3 6 3 3 2 3 3" xfId="37849" xr:uid="{00000000-0005-0000-0000-0000DF930000}"/>
    <cellStyle name="Normal 3 6 3 3 2 3 3 2" xfId="37850" xr:uid="{00000000-0005-0000-0000-0000E0930000}"/>
    <cellStyle name="Normal 3 6 3 3 2 3 4" xfId="37851" xr:uid="{00000000-0005-0000-0000-0000E1930000}"/>
    <cellStyle name="Normal 3 6 3 3 2 3 5" xfId="37852" xr:uid="{00000000-0005-0000-0000-0000E2930000}"/>
    <cellStyle name="Normal 3 6 3 3 2 4" xfId="37853" xr:uid="{00000000-0005-0000-0000-0000E3930000}"/>
    <cellStyle name="Normal 3 6 3 3 2 4 2" xfId="37854" xr:uid="{00000000-0005-0000-0000-0000E4930000}"/>
    <cellStyle name="Normal 3 6 3 3 2 5" xfId="37855" xr:uid="{00000000-0005-0000-0000-0000E5930000}"/>
    <cellStyle name="Normal 3 6 3 3 2 5 2" xfId="37856" xr:uid="{00000000-0005-0000-0000-0000E6930000}"/>
    <cellStyle name="Normal 3 6 3 3 2 6" xfId="37857" xr:uid="{00000000-0005-0000-0000-0000E7930000}"/>
    <cellStyle name="Normal 3 6 3 3 2 7" xfId="37858" xr:uid="{00000000-0005-0000-0000-0000E8930000}"/>
    <cellStyle name="Normal 3 6 3 3 3" xfId="37859" xr:uid="{00000000-0005-0000-0000-0000E9930000}"/>
    <cellStyle name="Normal 3 6 3 3 3 2" xfId="37860" xr:uid="{00000000-0005-0000-0000-0000EA930000}"/>
    <cellStyle name="Normal 3 6 3 3 3 2 2" xfId="37861" xr:uid="{00000000-0005-0000-0000-0000EB930000}"/>
    <cellStyle name="Normal 3 6 3 3 3 2 2 2" xfId="37862" xr:uid="{00000000-0005-0000-0000-0000EC930000}"/>
    <cellStyle name="Normal 3 6 3 3 3 2 3" xfId="37863" xr:uid="{00000000-0005-0000-0000-0000ED930000}"/>
    <cellStyle name="Normal 3 6 3 3 3 2 4" xfId="37864" xr:uid="{00000000-0005-0000-0000-0000EE930000}"/>
    <cellStyle name="Normal 3 6 3 3 3 3" xfId="37865" xr:uid="{00000000-0005-0000-0000-0000EF930000}"/>
    <cellStyle name="Normal 3 6 3 3 3 3 2" xfId="37866" xr:uid="{00000000-0005-0000-0000-0000F0930000}"/>
    <cellStyle name="Normal 3 6 3 3 3 4" xfId="37867" xr:uid="{00000000-0005-0000-0000-0000F1930000}"/>
    <cellStyle name="Normal 3 6 3 3 3 5" xfId="37868" xr:uid="{00000000-0005-0000-0000-0000F2930000}"/>
    <cellStyle name="Normal 3 6 3 3 4" xfId="37869" xr:uid="{00000000-0005-0000-0000-0000F3930000}"/>
    <cellStyle name="Normal 3 6 3 3 4 2" xfId="37870" xr:uid="{00000000-0005-0000-0000-0000F4930000}"/>
    <cellStyle name="Normal 3 6 3 3 4 2 2" xfId="37871" xr:uid="{00000000-0005-0000-0000-0000F5930000}"/>
    <cellStyle name="Normal 3 6 3 3 4 3" xfId="37872" xr:uid="{00000000-0005-0000-0000-0000F6930000}"/>
    <cellStyle name="Normal 3 6 3 3 4 3 2" xfId="37873" xr:uid="{00000000-0005-0000-0000-0000F7930000}"/>
    <cellStyle name="Normal 3 6 3 3 4 4" xfId="37874" xr:uid="{00000000-0005-0000-0000-0000F8930000}"/>
    <cellStyle name="Normal 3 6 3 3 4 5" xfId="37875" xr:uid="{00000000-0005-0000-0000-0000F9930000}"/>
    <cellStyle name="Normal 3 6 3 3 5" xfId="37876" xr:uid="{00000000-0005-0000-0000-0000FA930000}"/>
    <cellStyle name="Normal 3 6 3 3 5 2" xfId="37877" xr:uid="{00000000-0005-0000-0000-0000FB930000}"/>
    <cellStyle name="Normal 3 6 3 3 6" xfId="37878" xr:uid="{00000000-0005-0000-0000-0000FC930000}"/>
    <cellStyle name="Normal 3 6 3 3 6 2" xfId="37879" xr:uid="{00000000-0005-0000-0000-0000FD930000}"/>
    <cellStyle name="Normal 3 6 3 3 7" xfId="37880" xr:uid="{00000000-0005-0000-0000-0000FE930000}"/>
    <cellStyle name="Normal 3 6 3 3 8" xfId="37881" xr:uid="{00000000-0005-0000-0000-0000FF930000}"/>
    <cellStyle name="Normal 3 6 3 4" xfId="37882" xr:uid="{00000000-0005-0000-0000-000000940000}"/>
    <cellStyle name="Normal 3 6 3 4 2" xfId="37883" xr:uid="{00000000-0005-0000-0000-000001940000}"/>
    <cellStyle name="Normal 3 6 3 4 2 2" xfId="37884" xr:uid="{00000000-0005-0000-0000-000002940000}"/>
    <cellStyle name="Normal 3 6 3 4 2 2 2" xfId="37885" xr:uid="{00000000-0005-0000-0000-000003940000}"/>
    <cellStyle name="Normal 3 6 3 4 2 2 2 2" xfId="37886" xr:uid="{00000000-0005-0000-0000-000004940000}"/>
    <cellStyle name="Normal 3 6 3 4 2 2 3" xfId="37887" xr:uid="{00000000-0005-0000-0000-000005940000}"/>
    <cellStyle name="Normal 3 6 3 4 2 2 4" xfId="37888" xr:uid="{00000000-0005-0000-0000-000006940000}"/>
    <cellStyle name="Normal 3 6 3 4 2 3" xfId="37889" xr:uid="{00000000-0005-0000-0000-000007940000}"/>
    <cellStyle name="Normal 3 6 3 4 2 3 2" xfId="37890" xr:uid="{00000000-0005-0000-0000-000008940000}"/>
    <cellStyle name="Normal 3 6 3 4 2 4" xfId="37891" xr:uid="{00000000-0005-0000-0000-000009940000}"/>
    <cellStyle name="Normal 3 6 3 4 2 5" xfId="37892" xr:uid="{00000000-0005-0000-0000-00000A940000}"/>
    <cellStyle name="Normal 3 6 3 4 3" xfId="37893" xr:uid="{00000000-0005-0000-0000-00000B940000}"/>
    <cellStyle name="Normal 3 6 3 4 3 2" xfId="37894" xr:uid="{00000000-0005-0000-0000-00000C940000}"/>
    <cellStyle name="Normal 3 6 3 4 3 2 2" xfId="37895" xr:uid="{00000000-0005-0000-0000-00000D940000}"/>
    <cellStyle name="Normal 3 6 3 4 3 3" xfId="37896" xr:uid="{00000000-0005-0000-0000-00000E940000}"/>
    <cellStyle name="Normal 3 6 3 4 3 3 2" xfId="37897" xr:uid="{00000000-0005-0000-0000-00000F940000}"/>
    <cellStyle name="Normal 3 6 3 4 3 4" xfId="37898" xr:uid="{00000000-0005-0000-0000-000010940000}"/>
    <cellStyle name="Normal 3 6 3 4 3 5" xfId="37899" xr:uid="{00000000-0005-0000-0000-000011940000}"/>
    <cellStyle name="Normal 3 6 3 4 4" xfId="37900" xr:uid="{00000000-0005-0000-0000-000012940000}"/>
    <cellStyle name="Normal 3 6 3 4 4 2" xfId="37901" xr:uid="{00000000-0005-0000-0000-000013940000}"/>
    <cellStyle name="Normal 3 6 3 4 5" xfId="37902" xr:uid="{00000000-0005-0000-0000-000014940000}"/>
    <cellStyle name="Normal 3 6 3 4 5 2" xfId="37903" xr:uid="{00000000-0005-0000-0000-000015940000}"/>
    <cellStyle name="Normal 3 6 3 4 6" xfId="37904" xr:uid="{00000000-0005-0000-0000-000016940000}"/>
    <cellStyle name="Normal 3 6 3 4 7" xfId="37905" xr:uid="{00000000-0005-0000-0000-000017940000}"/>
    <cellStyle name="Normal 3 6 3 5" xfId="37906" xr:uid="{00000000-0005-0000-0000-000018940000}"/>
    <cellStyle name="Normal 3 6 3 5 2" xfId="37907" xr:uid="{00000000-0005-0000-0000-000019940000}"/>
    <cellStyle name="Normal 3 6 3 5 2 2" xfId="37908" xr:uid="{00000000-0005-0000-0000-00001A940000}"/>
    <cellStyle name="Normal 3 6 3 5 2 2 2" xfId="37909" xr:uid="{00000000-0005-0000-0000-00001B940000}"/>
    <cellStyle name="Normal 3 6 3 5 2 3" xfId="37910" xr:uid="{00000000-0005-0000-0000-00001C940000}"/>
    <cellStyle name="Normal 3 6 3 5 2 4" xfId="37911" xr:uid="{00000000-0005-0000-0000-00001D940000}"/>
    <cellStyle name="Normal 3 6 3 5 3" xfId="37912" xr:uid="{00000000-0005-0000-0000-00001E940000}"/>
    <cellStyle name="Normal 3 6 3 5 3 2" xfId="37913" xr:uid="{00000000-0005-0000-0000-00001F940000}"/>
    <cellStyle name="Normal 3 6 3 5 4" xfId="37914" xr:uid="{00000000-0005-0000-0000-000020940000}"/>
    <cellStyle name="Normal 3 6 3 5 5" xfId="37915" xr:uid="{00000000-0005-0000-0000-000021940000}"/>
    <cellStyle name="Normal 3 6 3 6" xfId="37916" xr:uid="{00000000-0005-0000-0000-000022940000}"/>
    <cellStyle name="Normal 3 6 3 6 2" xfId="37917" xr:uid="{00000000-0005-0000-0000-000023940000}"/>
    <cellStyle name="Normal 3 6 3 6 2 2" xfId="37918" xr:uid="{00000000-0005-0000-0000-000024940000}"/>
    <cellStyle name="Normal 3 6 3 6 3" xfId="37919" xr:uid="{00000000-0005-0000-0000-000025940000}"/>
    <cellStyle name="Normal 3 6 3 6 3 2" xfId="37920" xr:uid="{00000000-0005-0000-0000-000026940000}"/>
    <cellStyle name="Normal 3 6 3 6 4" xfId="37921" xr:uid="{00000000-0005-0000-0000-000027940000}"/>
    <cellStyle name="Normal 3 6 3 6 5" xfId="37922" xr:uid="{00000000-0005-0000-0000-000028940000}"/>
    <cellStyle name="Normal 3 6 3 7" xfId="37923" xr:uid="{00000000-0005-0000-0000-000029940000}"/>
    <cellStyle name="Normal 3 6 3 7 2" xfId="37924" xr:uid="{00000000-0005-0000-0000-00002A940000}"/>
    <cellStyle name="Normal 3 6 3 8" xfId="37925" xr:uid="{00000000-0005-0000-0000-00002B940000}"/>
    <cellStyle name="Normal 3 6 3 8 2" xfId="37926" xr:uid="{00000000-0005-0000-0000-00002C940000}"/>
    <cellStyle name="Normal 3 6 3 9" xfId="37927" xr:uid="{00000000-0005-0000-0000-00002D940000}"/>
    <cellStyle name="Normal 3 6 4" xfId="37928" xr:uid="{00000000-0005-0000-0000-00002E940000}"/>
    <cellStyle name="Normal 3 6 4 2" xfId="37929" xr:uid="{00000000-0005-0000-0000-00002F940000}"/>
    <cellStyle name="Normal 3 6 4 2 2" xfId="37930" xr:uid="{00000000-0005-0000-0000-000030940000}"/>
    <cellStyle name="Normal 3 6 4 2 2 2" xfId="37931" xr:uid="{00000000-0005-0000-0000-000031940000}"/>
    <cellStyle name="Normal 3 6 4 2 2 2 2" xfId="37932" xr:uid="{00000000-0005-0000-0000-000032940000}"/>
    <cellStyle name="Normal 3 6 4 2 2 2 2 2" xfId="37933" xr:uid="{00000000-0005-0000-0000-000033940000}"/>
    <cellStyle name="Normal 3 6 4 2 2 2 2 2 2" xfId="37934" xr:uid="{00000000-0005-0000-0000-000034940000}"/>
    <cellStyle name="Normal 3 6 4 2 2 2 2 3" xfId="37935" xr:uid="{00000000-0005-0000-0000-000035940000}"/>
    <cellStyle name="Normal 3 6 4 2 2 2 2 4" xfId="37936" xr:uid="{00000000-0005-0000-0000-000036940000}"/>
    <cellStyle name="Normal 3 6 4 2 2 2 3" xfId="37937" xr:uid="{00000000-0005-0000-0000-000037940000}"/>
    <cellStyle name="Normal 3 6 4 2 2 2 3 2" xfId="37938" xr:uid="{00000000-0005-0000-0000-000038940000}"/>
    <cellStyle name="Normal 3 6 4 2 2 2 4" xfId="37939" xr:uid="{00000000-0005-0000-0000-000039940000}"/>
    <cellStyle name="Normal 3 6 4 2 2 2 5" xfId="37940" xr:uid="{00000000-0005-0000-0000-00003A940000}"/>
    <cellStyle name="Normal 3 6 4 2 2 3" xfId="37941" xr:uid="{00000000-0005-0000-0000-00003B940000}"/>
    <cellStyle name="Normal 3 6 4 2 2 3 2" xfId="37942" xr:uid="{00000000-0005-0000-0000-00003C940000}"/>
    <cellStyle name="Normal 3 6 4 2 2 3 2 2" xfId="37943" xr:uid="{00000000-0005-0000-0000-00003D940000}"/>
    <cellStyle name="Normal 3 6 4 2 2 3 3" xfId="37944" xr:uid="{00000000-0005-0000-0000-00003E940000}"/>
    <cellStyle name="Normal 3 6 4 2 2 3 4" xfId="37945" xr:uid="{00000000-0005-0000-0000-00003F940000}"/>
    <cellStyle name="Normal 3 6 4 2 2 4" xfId="37946" xr:uid="{00000000-0005-0000-0000-000040940000}"/>
    <cellStyle name="Normal 3 6 4 2 2 4 2" xfId="37947" xr:uid="{00000000-0005-0000-0000-000041940000}"/>
    <cellStyle name="Normal 3 6 4 2 2 5" xfId="37948" xr:uid="{00000000-0005-0000-0000-000042940000}"/>
    <cellStyle name="Normal 3 6 4 2 2 6" xfId="37949" xr:uid="{00000000-0005-0000-0000-000043940000}"/>
    <cellStyle name="Normal 3 6 4 2 3" xfId="37950" xr:uid="{00000000-0005-0000-0000-000044940000}"/>
    <cellStyle name="Normal 3 6 4 2 3 2" xfId="37951" xr:uid="{00000000-0005-0000-0000-000045940000}"/>
    <cellStyle name="Normal 3 6 4 2 3 2 2" xfId="37952" xr:uid="{00000000-0005-0000-0000-000046940000}"/>
    <cellStyle name="Normal 3 6 4 2 3 2 2 2" xfId="37953" xr:uid="{00000000-0005-0000-0000-000047940000}"/>
    <cellStyle name="Normal 3 6 4 2 3 2 3" xfId="37954" xr:uid="{00000000-0005-0000-0000-000048940000}"/>
    <cellStyle name="Normal 3 6 4 2 3 2 4" xfId="37955" xr:uid="{00000000-0005-0000-0000-000049940000}"/>
    <cellStyle name="Normal 3 6 4 2 3 3" xfId="37956" xr:uid="{00000000-0005-0000-0000-00004A940000}"/>
    <cellStyle name="Normal 3 6 4 2 3 3 2" xfId="37957" xr:uid="{00000000-0005-0000-0000-00004B940000}"/>
    <cellStyle name="Normal 3 6 4 2 3 4" xfId="37958" xr:uid="{00000000-0005-0000-0000-00004C940000}"/>
    <cellStyle name="Normal 3 6 4 2 3 5" xfId="37959" xr:uid="{00000000-0005-0000-0000-00004D940000}"/>
    <cellStyle name="Normal 3 6 4 2 4" xfId="37960" xr:uid="{00000000-0005-0000-0000-00004E940000}"/>
    <cellStyle name="Normal 3 6 4 2 4 2" xfId="37961" xr:uid="{00000000-0005-0000-0000-00004F940000}"/>
    <cellStyle name="Normal 3 6 4 2 4 2 2" xfId="37962" xr:uid="{00000000-0005-0000-0000-000050940000}"/>
    <cellStyle name="Normal 3 6 4 2 4 3" xfId="37963" xr:uid="{00000000-0005-0000-0000-000051940000}"/>
    <cellStyle name="Normal 3 6 4 2 4 4" xfId="37964" xr:uid="{00000000-0005-0000-0000-000052940000}"/>
    <cellStyle name="Normal 3 6 4 2 5" xfId="37965" xr:uid="{00000000-0005-0000-0000-000053940000}"/>
    <cellStyle name="Normal 3 6 4 2 5 2" xfId="37966" xr:uid="{00000000-0005-0000-0000-000054940000}"/>
    <cellStyle name="Normal 3 6 4 2 6" xfId="37967" xr:uid="{00000000-0005-0000-0000-000055940000}"/>
    <cellStyle name="Normal 3 6 4 2 7" xfId="37968" xr:uid="{00000000-0005-0000-0000-000056940000}"/>
    <cellStyle name="Normal 3 6 4 3" xfId="37969" xr:uid="{00000000-0005-0000-0000-000057940000}"/>
    <cellStyle name="Normal 3 6 4 3 2" xfId="37970" xr:uid="{00000000-0005-0000-0000-000058940000}"/>
    <cellStyle name="Normal 3 6 4 3 2 2" xfId="37971" xr:uid="{00000000-0005-0000-0000-000059940000}"/>
    <cellStyle name="Normal 3 6 4 3 2 2 2" xfId="37972" xr:uid="{00000000-0005-0000-0000-00005A940000}"/>
    <cellStyle name="Normal 3 6 4 3 2 2 2 2" xfId="37973" xr:uid="{00000000-0005-0000-0000-00005B940000}"/>
    <cellStyle name="Normal 3 6 4 3 2 2 3" xfId="37974" xr:uid="{00000000-0005-0000-0000-00005C940000}"/>
    <cellStyle name="Normal 3 6 4 3 2 2 4" xfId="37975" xr:uid="{00000000-0005-0000-0000-00005D940000}"/>
    <cellStyle name="Normal 3 6 4 3 2 3" xfId="37976" xr:uid="{00000000-0005-0000-0000-00005E940000}"/>
    <cellStyle name="Normal 3 6 4 3 2 3 2" xfId="37977" xr:uid="{00000000-0005-0000-0000-00005F940000}"/>
    <cellStyle name="Normal 3 6 4 3 2 4" xfId="37978" xr:uid="{00000000-0005-0000-0000-000060940000}"/>
    <cellStyle name="Normal 3 6 4 3 2 5" xfId="37979" xr:uid="{00000000-0005-0000-0000-000061940000}"/>
    <cellStyle name="Normal 3 6 4 3 3" xfId="37980" xr:uid="{00000000-0005-0000-0000-000062940000}"/>
    <cellStyle name="Normal 3 6 4 3 3 2" xfId="37981" xr:uid="{00000000-0005-0000-0000-000063940000}"/>
    <cellStyle name="Normal 3 6 4 3 3 2 2" xfId="37982" xr:uid="{00000000-0005-0000-0000-000064940000}"/>
    <cellStyle name="Normal 3 6 4 3 3 3" xfId="37983" xr:uid="{00000000-0005-0000-0000-000065940000}"/>
    <cellStyle name="Normal 3 6 4 3 3 3 2" xfId="37984" xr:uid="{00000000-0005-0000-0000-000066940000}"/>
    <cellStyle name="Normal 3 6 4 3 3 4" xfId="37985" xr:uid="{00000000-0005-0000-0000-000067940000}"/>
    <cellStyle name="Normal 3 6 4 3 3 5" xfId="37986" xr:uid="{00000000-0005-0000-0000-000068940000}"/>
    <cellStyle name="Normal 3 6 4 3 4" xfId="37987" xr:uid="{00000000-0005-0000-0000-000069940000}"/>
    <cellStyle name="Normal 3 6 4 3 4 2" xfId="37988" xr:uid="{00000000-0005-0000-0000-00006A940000}"/>
    <cellStyle name="Normal 3 6 4 3 5" xfId="37989" xr:uid="{00000000-0005-0000-0000-00006B940000}"/>
    <cellStyle name="Normal 3 6 4 3 5 2" xfId="37990" xr:uid="{00000000-0005-0000-0000-00006C940000}"/>
    <cellStyle name="Normal 3 6 4 3 6" xfId="37991" xr:uid="{00000000-0005-0000-0000-00006D940000}"/>
    <cellStyle name="Normal 3 6 4 3 7" xfId="37992" xr:uid="{00000000-0005-0000-0000-00006E940000}"/>
    <cellStyle name="Normal 3 6 4 4" xfId="37993" xr:uid="{00000000-0005-0000-0000-00006F940000}"/>
    <cellStyle name="Normal 3 6 4 4 2" xfId="37994" xr:uid="{00000000-0005-0000-0000-000070940000}"/>
    <cellStyle name="Normal 3 6 4 4 2 2" xfId="37995" xr:uid="{00000000-0005-0000-0000-000071940000}"/>
    <cellStyle name="Normal 3 6 4 4 2 2 2" xfId="37996" xr:uid="{00000000-0005-0000-0000-000072940000}"/>
    <cellStyle name="Normal 3 6 4 4 2 3" xfId="37997" xr:uid="{00000000-0005-0000-0000-000073940000}"/>
    <cellStyle name="Normal 3 6 4 4 2 4" xfId="37998" xr:uid="{00000000-0005-0000-0000-000074940000}"/>
    <cellStyle name="Normal 3 6 4 4 3" xfId="37999" xr:uid="{00000000-0005-0000-0000-000075940000}"/>
    <cellStyle name="Normal 3 6 4 4 3 2" xfId="38000" xr:uid="{00000000-0005-0000-0000-000076940000}"/>
    <cellStyle name="Normal 3 6 4 4 4" xfId="38001" xr:uid="{00000000-0005-0000-0000-000077940000}"/>
    <cellStyle name="Normal 3 6 4 4 5" xfId="38002" xr:uid="{00000000-0005-0000-0000-000078940000}"/>
    <cellStyle name="Normal 3 6 4 5" xfId="38003" xr:uid="{00000000-0005-0000-0000-000079940000}"/>
    <cellStyle name="Normal 3 6 4 5 2" xfId="38004" xr:uid="{00000000-0005-0000-0000-00007A940000}"/>
    <cellStyle name="Normal 3 6 4 5 2 2" xfId="38005" xr:uid="{00000000-0005-0000-0000-00007B940000}"/>
    <cellStyle name="Normal 3 6 4 5 3" xfId="38006" xr:uid="{00000000-0005-0000-0000-00007C940000}"/>
    <cellStyle name="Normal 3 6 4 5 3 2" xfId="38007" xr:uid="{00000000-0005-0000-0000-00007D940000}"/>
    <cellStyle name="Normal 3 6 4 5 4" xfId="38008" xr:uid="{00000000-0005-0000-0000-00007E940000}"/>
    <cellStyle name="Normal 3 6 4 5 5" xfId="38009" xr:uid="{00000000-0005-0000-0000-00007F940000}"/>
    <cellStyle name="Normal 3 6 4 6" xfId="38010" xr:uid="{00000000-0005-0000-0000-000080940000}"/>
    <cellStyle name="Normal 3 6 4 6 2" xfId="38011" xr:uid="{00000000-0005-0000-0000-000081940000}"/>
    <cellStyle name="Normal 3 6 4 7" xfId="38012" xr:uid="{00000000-0005-0000-0000-000082940000}"/>
    <cellStyle name="Normal 3 6 4 7 2" xfId="38013" xr:uid="{00000000-0005-0000-0000-000083940000}"/>
    <cellStyle name="Normal 3 6 4 8" xfId="38014" xr:uid="{00000000-0005-0000-0000-000084940000}"/>
    <cellStyle name="Normal 3 6 4 9" xfId="38015" xr:uid="{00000000-0005-0000-0000-000085940000}"/>
    <cellStyle name="Normal 3 6 5" xfId="38016" xr:uid="{00000000-0005-0000-0000-000086940000}"/>
    <cellStyle name="Normal 3 6 5 2" xfId="38017" xr:uid="{00000000-0005-0000-0000-000087940000}"/>
    <cellStyle name="Normal 3 6 5 2 2" xfId="38018" xr:uid="{00000000-0005-0000-0000-000088940000}"/>
    <cellStyle name="Normal 3 6 5 2 2 2" xfId="38019" xr:uid="{00000000-0005-0000-0000-000089940000}"/>
    <cellStyle name="Normal 3 6 5 2 2 2 2" xfId="38020" xr:uid="{00000000-0005-0000-0000-00008A940000}"/>
    <cellStyle name="Normal 3 6 5 2 2 2 2 2" xfId="38021" xr:uid="{00000000-0005-0000-0000-00008B940000}"/>
    <cellStyle name="Normal 3 6 5 2 2 2 3" xfId="38022" xr:uid="{00000000-0005-0000-0000-00008C940000}"/>
    <cellStyle name="Normal 3 6 5 2 2 2 4" xfId="38023" xr:uid="{00000000-0005-0000-0000-00008D940000}"/>
    <cellStyle name="Normal 3 6 5 2 2 3" xfId="38024" xr:uid="{00000000-0005-0000-0000-00008E940000}"/>
    <cellStyle name="Normal 3 6 5 2 2 3 2" xfId="38025" xr:uid="{00000000-0005-0000-0000-00008F940000}"/>
    <cellStyle name="Normal 3 6 5 2 2 4" xfId="38026" xr:uid="{00000000-0005-0000-0000-000090940000}"/>
    <cellStyle name="Normal 3 6 5 2 2 5" xfId="38027" xr:uid="{00000000-0005-0000-0000-000091940000}"/>
    <cellStyle name="Normal 3 6 5 2 3" xfId="38028" xr:uid="{00000000-0005-0000-0000-000092940000}"/>
    <cellStyle name="Normal 3 6 5 2 3 2" xfId="38029" xr:uid="{00000000-0005-0000-0000-000093940000}"/>
    <cellStyle name="Normal 3 6 5 2 3 2 2" xfId="38030" xr:uid="{00000000-0005-0000-0000-000094940000}"/>
    <cellStyle name="Normal 3 6 5 2 3 3" xfId="38031" xr:uid="{00000000-0005-0000-0000-000095940000}"/>
    <cellStyle name="Normal 3 6 5 2 3 3 2" xfId="38032" xr:uid="{00000000-0005-0000-0000-000096940000}"/>
    <cellStyle name="Normal 3 6 5 2 3 4" xfId="38033" xr:uid="{00000000-0005-0000-0000-000097940000}"/>
    <cellStyle name="Normal 3 6 5 2 3 5" xfId="38034" xr:uid="{00000000-0005-0000-0000-000098940000}"/>
    <cellStyle name="Normal 3 6 5 2 4" xfId="38035" xr:uid="{00000000-0005-0000-0000-000099940000}"/>
    <cellStyle name="Normal 3 6 5 2 4 2" xfId="38036" xr:uid="{00000000-0005-0000-0000-00009A940000}"/>
    <cellStyle name="Normal 3 6 5 2 5" xfId="38037" xr:uid="{00000000-0005-0000-0000-00009B940000}"/>
    <cellStyle name="Normal 3 6 5 2 5 2" xfId="38038" xr:uid="{00000000-0005-0000-0000-00009C940000}"/>
    <cellStyle name="Normal 3 6 5 2 6" xfId="38039" xr:uid="{00000000-0005-0000-0000-00009D940000}"/>
    <cellStyle name="Normal 3 6 5 2 7" xfId="38040" xr:uid="{00000000-0005-0000-0000-00009E940000}"/>
    <cellStyle name="Normal 3 6 5 3" xfId="38041" xr:uid="{00000000-0005-0000-0000-00009F940000}"/>
    <cellStyle name="Normal 3 6 5 3 2" xfId="38042" xr:uid="{00000000-0005-0000-0000-0000A0940000}"/>
    <cellStyle name="Normal 3 6 5 3 2 2" xfId="38043" xr:uid="{00000000-0005-0000-0000-0000A1940000}"/>
    <cellStyle name="Normal 3 6 5 3 2 2 2" xfId="38044" xr:uid="{00000000-0005-0000-0000-0000A2940000}"/>
    <cellStyle name="Normal 3 6 5 3 2 3" xfId="38045" xr:uid="{00000000-0005-0000-0000-0000A3940000}"/>
    <cellStyle name="Normal 3 6 5 3 2 4" xfId="38046" xr:uid="{00000000-0005-0000-0000-0000A4940000}"/>
    <cellStyle name="Normal 3 6 5 3 3" xfId="38047" xr:uid="{00000000-0005-0000-0000-0000A5940000}"/>
    <cellStyle name="Normal 3 6 5 3 3 2" xfId="38048" xr:uid="{00000000-0005-0000-0000-0000A6940000}"/>
    <cellStyle name="Normal 3 6 5 3 4" xfId="38049" xr:uid="{00000000-0005-0000-0000-0000A7940000}"/>
    <cellStyle name="Normal 3 6 5 3 5" xfId="38050" xr:uid="{00000000-0005-0000-0000-0000A8940000}"/>
    <cellStyle name="Normal 3 6 5 4" xfId="38051" xr:uid="{00000000-0005-0000-0000-0000A9940000}"/>
    <cellStyle name="Normal 3 6 5 4 2" xfId="38052" xr:uid="{00000000-0005-0000-0000-0000AA940000}"/>
    <cellStyle name="Normal 3 6 5 4 2 2" xfId="38053" xr:uid="{00000000-0005-0000-0000-0000AB940000}"/>
    <cellStyle name="Normal 3 6 5 4 3" xfId="38054" xr:uid="{00000000-0005-0000-0000-0000AC940000}"/>
    <cellStyle name="Normal 3 6 5 4 3 2" xfId="38055" xr:uid="{00000000-0005-0000-0000-0000AD940000}"/>
    <cellStyle name="Normal 3 6 5 4 4" xfId="38056" xr:uid="{00000000-0005-0000-0000-0000AE940000}"/>
    <cellStyle name="Normal 3 6 5 4 5" xfId="38057" xr:uid="{00000000-0005-0000-0000-0000AF940000}"/>
    <cellStyle name="Normal 3 6 5 5" xfId="38058" xr:uid="{00000000-0005-0000-0000-0000B0940000}"/>
    <cellStyle name="Normal 3 6 5 5 2" xfId="38059" xr:uid="{00000000-0005-0000-0000-0000B1940000}"/>
    <cellStyle name="Normal 3 6 5 6" xfId="38060" xr:uid="{00000000-0005-0000-0000-0000B2940000}"/>
    <cellStyle name="Normal 3 6 5 6 2" xfId="38061" xr:uid="{00000000-0005-0000-0000-0000B3940000}"/>
    <cellStyle name="Normal 3 6 5 7" xfId="38062" xr:uid="{00000000-0005-0000-0000-0000B4940000}"/>
    <cellStyle name="Normal 3 6 5 8" xfId="38063" xr:uid="{00000000-0005-0000-0000-0000B5940000}"/>
    <cellStyle name="Normal 3 6 6" xfId="38064" xr:uid="{00000000-0005-0000-0000-0000B6940000}"/>
    <cellStyle name="Normal 3 6 6 2" xfId="38065" xr:uid="{00000000-0005-0000-0000-0000B7940000}"/>
    <cellStyle name="Normal 3 6 6 2 2" xfId="38066" xr:uid="{00000000-0005-0000-0000-0000B8940000}"/>
    <cellStyle name="Normal 3 6 6 2 2 2" xfId="38067" xr:uid="{00000000-0005-0000-0000-0000B9940000}"/>
    <cellStyle name="Normal 3 6 6 2 2 2 2" xfId="38068" xr:uid="{00000000-0005-0000-0000-0000BA940000}"/>
    <cellStyle name="Normal 3 6 6 2 2 3" xfId="38069" xr:uid="{00000000-0005-0000-0000-0000BB940000}"/>
    <cellStyle name="Normal 3 6 6 2 2 4" xfId="38070" xr:uid="{00000000-0005-0000-0000-0000BC940000}"/>
    <cellStyle name="Normal 3 6 6 2 3" xfId="38071" xr:uid="{00000000-0005-0000-0000-0000BD940000}"/>
    <cellStyle name="Normal 3 6 6 2 3 2" xfId="38072" xr:uid="{00000000-0005-0000-0000-0000BE940000}"/>
    <cellStyle name="Normal 3 6 6 2 4" xfId="38073" xr:uid="{00000000-0005-0000-0000-0000BF940000}"/>
    <cellStyle name="Normal 3 6 6 2 5" xfId="38074" xr:uid="{00000000-0005-0000-0000-0000C0940000}"/>
    <cellStyle name="Normal 3 6 6 3" xfId="38075" xr:uid="{00000000-0005-0000-0000-0000C1940000}"/>
    <cellStyle name="Normal 3 6 6 3 2" xfId="38076" xr:uid="{00000000-0005-0000-0000-0000C2940000}"/>
    <cellStyle name="Normal 3 6 6 3 2 2" xfId="38077" xr:uid="{00000000-0005-0000-0000-0000C3940000}"/>
    <cellStyle name="Normal 3 6 6 3 3" xfId="38078" xr:uid="{00000000-0005-0000-0000-0000C4940000}"/>
    <cellStyle name="Normal 3 6 6 3 3 2" xfId="38079" xr:uid="{00000000-0005-0000-0000-0000C5940000}"/>
    <cellStyle name="Normal 3 6 6 3 4" xfId="38080" xr:uid="{00000000-0005-0000-0000-0000C6940000}"/>
    <cellStyle name="Normal 3 6 6 3 5" xfId="38081" xr:uid="{00000000-0005-0000-0000-0000C7940000}"/>
    <cellStyle name="Normal 3 6 6 4" xfId="38082" xr:uid="{00000000-0005-0000-0000-0000C8940000}"/>
    <cellStyle name="Normal 3 6 6 4 2" xfId="38083" xr:uid="{00000000-0005-0000-0000-0000C9940000}"/>
    <cellStyle name="Normal 3 6 6 5" xfId="38084" xr:uid="{00000000-0005-0000-0000-0000CA940000}"/>
    <cellStyle name="Normal 3 6 6 5 2" xfId="38085" xr:uid="{00000000-0005-0000-0000-0000CB940000}"/>
    <cellStyle name="Normal 3 6 6 6" xfId="38086" xr:uid="{00000000-0005-0000-0000-0000CC940000}"/>
    <cellStyle name="Normal 3 6 6 7" xfId="38087" xr:uid="{00000000-0005-0000-0000-0000CD940000}"/>
    <cellStyle name="Normal 3 6 7" xfId="38088" xr:uid="{00000000-0005-0000-0000-0000CE940000}"/>
    <cellStyle name="Normal 3 6 7 2" xfId="38089" xr:uid="{00000000-0005-0000-0000-0000CF940000}"/>
    <cellStyle name="Normal 3 6 7 2 2" xfId="38090" xr:uid="{00000000-0005-0000-0000-0000D0940000}"/>
    <cellStyle name="Normal 3 6 7 2 2 2" xfId="38091" xr:uid="{00000000-0005-0000-0000-0000D1940000}"/>
    <cellStyle name="Normal 3 6 7 2 3" xfId="38092" xr:uid="{00000000-0005-0000-0000-0000D2940000}"/>
    <cellStyle name="Normal 3 6 7 2 4" xfId="38093" xr:uid="{00000000-0005-0000-0000-0000D3940000}"/>
    <cellStyle name="Normal 3 6 7 3" xfId="38094" xr:uid="{00000000-0005-0000-0000-0000D4940000}"/>
    <cellStyle name="Normal 3 6 7 3 2" xfId="38095" xr:uid="{00000000-0005-0000-0000-0000D5940000}"/>
    <cellStyle name="Normal 3 6 7 4" xfId="38096" xr:uid="{00000000-0005-0000-0000-0000D6940000}"/>
    <cellStyle name="Normal 3 6 7 5" xfId="38097" xr:uid="{00000000-0005-0000-0000-0000D7940000}"/>
    <cellStyle name="Normal 3 6 8" xfId="38098" xr:uid="{00000000-0005-0000-0000-0000D8940000}"/>
    <cellStyle name="Normal 3 6 8 2" xfId="38099" xr:uid="{00000000-0005-0000-0000-0000D9940000}"/>
    <cellStyle name="Normal 3 6 8 2 2" xfId="38100" xr:uid="{00000000-0005-0000-0000-0000DA940000}"/>
    <cellStyle name="Normal 3 6 8 3" xfId="38101" xr:uid="{00000000-0005-0000-0000-0000DB940000}"/>
    <cellStyle name="Normal 3 6 8 3 2" xfId="38102" xr:uid="{00000000-0005-0000-0000-0000DC940000}"/>
    <cellStyle name="Normal 3 6 8 4" xfId="38103" xr:uid="{00000000-0005-0000-0000-0000DD940000}"/>
    <cellStyle name="Normal 3 6 8 5" xfId="38104" xr:uid="{00000000-0005-0000-0000-0000DE940000}"/>
    <cellStyle name="Normal 3 6 9" xfId="38105" xr:uid="{00000000-0005-0000-0000-0000DF940000}"/>
    <cellStyle name="Normal 3 6 9 2" xfId="38106" xr:uid="{00000000-0005-0000-0000-0000E0940000}"/>
    <cellStyle name="Normal 3 60" xfId="38107" xr:uid="{00000000-0005-0000-0000-0000E1940000}"/>
    <cellStyle name="Normal 3 60 2" xfId="38108" xr:uid="{00000000-0005-0000-0000-0000E2940000}"/>
    <cellStyle name="Normal 3 61" xfId="38109" xr:uid="{00000000-0005-0000-0000-0000E3940000}"/>
    <cellStyle name="Normal 3 61 2" xfId="38110" xr:uid="{00000000-0005-0000-0000-0000E4940000}"/>
    <cellStyle name="Normal 3 62" xfId="38111" xr:uid="{00000000-0005-0000-0000-0000E5940000}"/>
    <cellStyle name="Normal 3 62 2" xfId="38112" xr:uid="{00000000-0005-0000-0000-0000E6940000}"/>
    <cellStyle name="Normal 3 63" xfId="38113" xr:uid="{00000000-0005-0000-0000-0000E7940000}"/>
    <cellStyle name="Normal 3 63 2" xfId="38114" xr:uid="{00000000-0005-0000-0000-0000E8940000}"/>
    <cellStyle name="Normal 3 63 3" xfId="38115" xr:uid="{00000000-0005-0000-0000-0000E9940000}"/>
    <cellStyle name="Normal 3 64" xfId="38116" xr:uid="{00000000-0005-0000-0000-0000EA940000}"/>
    <cellStyle name="Normal 3 65" xfId="38117" xr:uid="{00000000-0005-0000-0000-0000EB940000}"/>
    <cellStyle name="Normal 3 7" xfId="38118" xr:uid="{00000000-0005-0000-0000-0000EC940000}"/>
    <cellStyle name="Normal 3 7 10" xfId="38119" xr:uid="{00000000-0005-0000-0000-0000ED940000}"/>
    <cellStyle name="Normal 3 7 10 2" xfId="38120" xr:uid="{00000000-0005-0000-0000-0000EE940000}"/>
    <cellStyle name="Normal 3 7 11" xfId="38121" xr:uid="{00000000-0005-0000-0000-0000EF940000}"/>
    <cellStyle name="Normal 3 7 12" xfId="38122" xr:uid="{00000000-0005-0000-0000-0000F0940000}"/>
    <cellStyle name="Normal 3 7 2" xfId="38123" xr:uid="{00000000-0005-0000-0000-0000F1940000}"/>
    <cellStyle name="Normal 3 7 2 10" xfId="38124" xr:uid="{00000000-0005-0000-0000-0000F2940000}"/>
    <cellStyle name="Normal 3 7 2 11" xfId="38125" xr:uid="{00000000-0005-0000-0000-0000F3940000}"/>
    <cellStyle name="Normal 3 7 2 2" xfId="38126" xr:uid="{00000000-0005-0000-0000-0000F4940000}"/>
    <cellStyle name="Normal 3 7 2 2 10" xfId="38127" xr:uid="{00000000-0005-0000-0000-0000F5940000}"/>
    <cellStyle name="Normal 3 7 2 2 2" xfId="38128" xr:uid="{00000000-0005-0000-0000-0000F6940000}"/>
    <cellStyle name="Normal 3 7 2 2 2 2" xfId="38129" xr:uid="{00000000-0005-0000-0000-0000F7940000}"/>
    <cellStyle name="Normal 3 7 2 2 2 2 2" xfId="38130" xr:uid="{00000000-0005-0000-0000-0000F8940000}"/>
    <cellStyle name="Normal 3 7 2 2 2 2 2 2" xfId="38131" xr:uid="{00000000-0005-0000-0000-0000F9940000}"/>
    <cellStyle name="Normal 3 7 2 2 2 2 2 2 2" xfId="38132" xr:uid="{00000000-0005-0000-0000-0000FA940000}"/>
    <cellStyle name="Normal 3 7 2 2 2 2 2 2 2 2" xfId="38133" xr:uid="{00000000-0005-0000-0000-0000FB940000}"/>
    <cellStyle name="Normal 3 7 2 2 2 2 2 2 2 2 2" xfId="38134" xr:uid="{00000000-0005-0000-0000-0000FC940000}"/>
    <cellStyle name="Normal 3 7 2 2 2 2 2 2 2 3" xfId="38135" xr:uid="{00000000-0005-0000-0000-0000FD940000}"/>
    <cellStyle name="Normal 3 7 2 2 2 2 2 2 2 4" xfId="38136" xr:uid="{00000000-0005-0000-0000-0000FE940000}"/>
    <cellStyle name="Normal 3 7 2 2 2 2 2 2 3" xfId="38137" xr:uid="{00000000-0005-0000-0000-0000FF940000}"/>
    <cellStyle name="Normal 3 7 2 2 2 2 2 2 3 2" xfId="38138" xr:uid="{00000000-0005-0000-0000-000000950000}"/>
    <cellStyle name="Normal 3 7 2 2 2 2 2 2 4" xfId="38139" xr:uid="{00000000-0005-0000-0000-000001950000}"/>
    <cellStyle name="Normal 3 7 2 2 2 2 2 2 5" xfId="38140" xr:uid="{00000000-0005-0000-0000-000002950000}"/>
    <cellStyle name="Normal 3 7 2 2 2 2 2 3" xfId="38141" xr:uid="{00000000-0005-0000-0000-000003950000}"/>
    <cellStyle name="Normal 3 7 2 2 2 2 2 3 2" xfId="38142" xr:uid="{00000000-0005-0000-0000-000004950000}"/>
    <cellStyle name="Normal 3 7 2 2 2 2 2 3 2 2" xfId="38143" xr:uid="{00000000-0005-0000-0000-000005950000}"/>
    <cellStyle name="Normal 3 7 2 2 2 2 2 3 3" xfId="38144" xr:uid="{00000000-0005-0000-0000-000006950000}"/>
    <cellStyle name="Normal 3 7 2 2 2 2 2 3 4" xfId="38145" xr:uid="{00000000-0005-0000-0000-000007950000}"/>
    <cellStyle name="Normal 3 7 2 2 2 2 2 4" xfId="38146" xr:uid="{00000000-0005-0000-0000-000008950000}"/>
    <cellStyle name="Normal 3 7 2 2 2 2 2 4 2" xfId="38147" xr:uid="{00000000-0005-0000-0000-000009950000}"/>
    <cellStyle name="Normal 3 7 2 2 2 2 2 5" xfId="38148" xr:uid="{00000000-0005-0000-0000-00000A950000}"/>
    <cellStyle name="Normal 3 7 2 2 2 2 2 6" xfId="38149" xr:uid="{00000000-0005-0000-0000-00000B950000}"/>
    <cellStyle name="Normal 3 7 2 2 2 2 3" xfId="38150" xr:uid="{00000000-0005-0000-0000-00000C950000}"/>
    <cellStyle name="Normal 3 7 2 2 2 2 3 2" xfId="38151" xr:uid="{00000000-0005-0000-0000-00000D950000}"/>
    <cellStyle name="Normal 3 7 2 2 2 2 3 2 2" xfId="38152" xr:uid="{00000000-0005-0000-0000-00000E950000}"/>
    <cellStyle name="Normal 3 7 2 2 2 2 3 2 2 2" xfId="38153" xr:uid="{00000000-0005-0000-0000-00000F950000}"/>
    <cellStyle name="Normal 3 7 2 2 2 2 3 2 3" xfId="38154" xr:uid="{00000000-0005-0000-0000-000010950000}"/>
    <cellStyle name="Normal 3 7 2 2 2 2 3 2 4" xfId="38155" xr:uid="{00000000-0005-0000-0000-000011950000}"/>
    <cellStyle name="Normal 3 7 2 2 2 2 3 3" xfId="38156" xr:uid="{00000000-0005-0000-0000-000012950000}"/>
    <cellStyle name="Normal 3 7 2 2 2 2 3 3 2" xfId="38157" xr:uid="{00000000-0005-0000-0000-000013950000}"/>
    <cellStyle name="Normal 3 7 2 2 2 2 3 4" xfId="38158" xr:uid="{00000000-0005-0000-0000-000014950000}"/>
    <cellStyle name="Normal 3 7 2 2 2 2 3 5" xfId="38159" xr:uid="{00000000-0005-0000-0000-000015950000}"/>
    <cellStyle name="Normal 3 7 2 2 2 2 4" xfId="38160" xr:uid="{00000000-0005-0000-0000-000016950000}"/>
    <cellStyle name="Normal 3 7 2 2 2 2 4 2" xfId="38161" xr:uid="{00000000-0005-0000-0000-000017950000}"/>
    <cellStyle name="Normal 3 7 2 2 2 2 4 2 2" xfId="38162" xr:uid="{00000000-0005-0000-0000-000018950000}"/>
    <cellStyle name="Normal 3 7 2 2 2 2 4 3" xfId="38163" xr:uid="{00000000-0005-0000-0000-000019950000}"/>
    <cellStyle name="Normal 3 7 2 2 2 2 4 4" xfId="38164" xr:uid="{00000000-0005-0000-0000-00001A950000}"/>
    <cellStyle name="Normal 3 7 2 2 2 2 5" xfId="38165" xr:uid="{00000000-0005-0000-0000-00001B950000}"/>
    <cellStyle name="Normal 3 7 2 2 2 2 5 2" xfId="38166" xr:uid="{00000000-0005-0000-0000-00001C950000}"/>
    <cellStyle name="Normal 3 7 2 2 2 2 6" xfId="38167" xr:uid="{00000000-0005-0000-0000-00001D950000}"/>
    <cellStyle name="Normal 3 7 2 2 2 2 7" xfId="38168" xr:uid="{00000000-0005-0000-0000-00001E950000}"/>
    <cellStyle name="Normal 3 7 2 2 2 3" xfId="38169" xr:uid="{00000000-0005-0000-0000-00001F950000}"/>
    <cellStyle name="Normal 3 7 2 2 2 3 2" xfId="38170" xr:uid="{00000000-0005-0000-0000-000020950000}"/>
    <cellStyle name="Normal 3 7 2 2 2 3 2 2" xfId="38171" xr:uid="{00000000-0005-0000-0000-000021950000}"/>
    <cellStyle name="Normal 3 7 2 2 2 3 2 2 2" xfId="38172" xr:uid="{00000000-0005-0000-0000-000022950000}"/>
    <cellStyle name="Normal 3 7 2 2 2 3 2 2 2 2" xfId="38173" xr:uid="{00000000-0005-0000-0000-000023950000}"/>
    <cellStyle name="Normal 3 7 2 2 2 3 2 2 3" xfId="38174" xr:uid="{00000000-0005-0000-0000-000024950000}"/>
    <cellStyle name="Normal 3 7 2 2 2 3 2 2 4" xfId="38175" xr:uid="{00000000-0005-0000-0000-000025950000}"/>
    <cellStyle name="Normal 3 7 2 2 2 3 2 3" xfId="38176" xr:uid="{00000000-0005-0000-0000-000026950000}"/>
    <cellStyle name="Normal 3 7 2 2 2 3 2 3 2" xfId="38177" xr:uid="{00000000-0005-0000-0000-000027950000}"/>
    <cellStyle name="Normal 3 7 2 2 2 3 2 4" xfId="38178" xr:uid="{00000000-0005-0000-0000-000028950000}"/>
    <cellStyle name="Normal 3 7 2 2 2 3 2 5" xfId="38179" xr:uid="{00000000-0005-0000-0000-000029950000}"/>
    <cellStyle name="Normal 3 7 2 2 2 3 3" xfId="38180" xr:uid="{00000000-0005-0000-0000-00002A950000}"/>
    <cellStyle name="Normal 3 7 2 2 2 3 3 2" xfId="38181" xr:uid="{00000000-0005-0000-0000-00002B950000}"/>
    <cellStyle name="Normal 3 7 2 2 2 3 3 2 2" xfId="38182" xr:uid="{00000000-0005-0000-0000-00002C950000}"/>
    <cellStyle name="Normal 3 7 2 2 2 3 3 3" xfId="38183" xr:uid="{00000000-0005-0000-0000-00002D950000}"/>
    <cellStyle name="Normal 3 7 2 2 2 3 3 3 2" xfId="38184" xr:uid="{00000000-0005-0000-0000-00002E950000}"/>
    <cellStyle name="Normal 3 7 2 2 2 3 3 4" xfId="38185" xr:uid="{00000000-0005-0000-0000-00002F950000}"/>
    <cellStyle name="Normal 3 7 2 2 2 3 3 5" xfId="38186" xr:uid="{00000000-0005-0000-0000-000030950000}"/>
    <cellStyle name="Normal 3 7 2 2 2 3 4" xfId="38187" xr:uid="{00000000-0005-0000-0000-000031950000}"/>
    <cellStyle name="Normal 3 7 2 2 2 3 4 2" xfId="38188" xr:uid="{00000000-0005-0000-0000-000032950000}"/>
    <cellStyle name="Normal 3 7 2 2 2 3 5" xfId="38189" xr:uid="{00000000-0005-0000-0000-000033950000}"/>
    <cellStyle name="Normal 3 7 2 2 2 3 5 2" xfId="38190" xr:uid="{00000000-0005-0000-0000-000034950000}"/>
    <cellStyle name="Normal 3 7 2 2 2 3 6" xfId="38191" xr:uid="{00000000-0005-0000-0000-000035950000}"/>
    <cellStyle name="Normal 3 7 2 2 2 3 7" xfId="38192" xr:uid="{00000000-0005-0000-0000-000036950000}"/>
    <cellStyle name="Normal 3 7 2 2 2 4" xfId="38193" xr:uid="{00000000-0005-0000-0000-000037950000}"/>
    <cellStyle name="Normal 3 7 2 2 2 4 2" xfId="38194" xr:uid="{00000000-0005-0000-0000-000038950000}"/>
    <cellStyle name="Normal 3 7 2 2 2 4 2 2" xfId="38195" xr:uid="{00000000-0005-0000-0000-000039950000}"/>
    <cellStyle name="Normal 3 7 2 2 2 4 2 2 2" xfId="38196" xr:uid="{00000000-0005-0000-0000-00003A950000}"/>
    <cellStyle name="Normal 3 7 2 2 2 4 2 3" xfId="38197" xr:uid="{00000000-0005-0000-0000-00003B950000}"/>
    <cellStyle name="Normal 3 7 2 2 2 4 2 4" xfId="38198" xr:uid="{00000000-0005-0000-0000-00003C950000}"/>
    <cellStyle name="Normal 3 7 2 2 2 4 3" xfId="38199" xr:uid="{00000000-0005-0000-0000-00003D950000}"/>
    <cellStyle name="Normal 3 7 2 2 2 4 3 2" xfId="38200" xr:uid="{00000000-0005-0000-0000-00003E950000}"/>
    <cellStyle name="Normal 3 7 2 2 2 4 4" xfId="38201" xr:uid="{00000000-0005-0000-0000-00003F950000}"/>
    <cellStyle name="Normal 3 7 2 2 2 4 5" xfId="38202" xr:uid="{00000000-0005-0000-0000-000040950000}"/>
    <cellStyle name="Normal 3 7 2 2 2 5" xfId="38203" xr:uid="{00000000-0005-0000-0000-000041950000}"/>
    <cellStyle name="Normal 3 7 2 2 2 5 2" xfId="38204" xr:uid="{00000000-0005-0000-0000-000042950000}"/>
    <cellStyle name="Normal 3 7 2 2 2 5 2 2" xfId="38205" xr:uid="{00000000-0005-0000-0000-000043950000}"/>
    <cellStyle name="Normal 3 7 2 2 2 5 3" xfId="38206" xr:uid="{00000000-0005-0000-0000-000044950000}"/>
    <cellStyle name="Normal 3 7 2 2 2 5 3 2" xfId="38207" xr:uid="{00000000-0005-0000-0000-000045950000}"/>
    <cellStyle name="Normal 3 7 2 2 2 5 4" xfId="38208" xr:uid="{00000000-0005-0000-0000-000046950000}"/>
    <cellStyle name="Normal 3 7 2 2 2 5 5" xfId="38209" xr:uid="{00000000-0005-0000-0000-000047950000}"/>
    <cellStyle name="Normal 3 7 2 2 2 6" xfId="38210" xr:uid="{00000000-0005-0000-0000-000048950000}"/>
    <cellStyle name="Normal 3 7 2 2 2 6 2" xfId="38211" xr:uid="{00000000-0005-0000-0000-000049950000}"/>
    <cellStyle name="Normal 3 7 2 2 2 7" xfId="38212" xr:uid="{00000000-0005-0000-0000-00004A950000}"/>
    <cellStyle name="Normal 3 7 2 2 2 7 2" xfId="38213" xr:uid="{00000000-0005-0000-0000-00004B950000}"/>
    <cellStyle name="Normal 3 7 2 2 2 8" xfId="38214" xr:uid="{00000000-0005-0000-0000-00004C950000}"/>
    <cellStyle name="Normal 3 7 2 2 2 9" xfId="38215" xr:uid="{00000000-0005-0000-0000-00004D950000}"/>
    <cellStyle name="Normal 3 7 2 2 3" xfId="38216" xr:uid="{00000000-0005-0000-0000-00004E950000}"/>
    <cellStyle name="Normal 3 7 2 2 3 2" xfId="38217" xr:uid="{00000000-0005-0000-0000-00004F950000}"/>
    <cellStyle name="Normal 3 7 2 2 3 2 2" xfId="38218" xr:uid="{00000000-0005-0000-0000-000050950000}"/>
    <cellStyle name="Normal 3 7 2 2 3 2 2 2" xfId="38219" xr:uid="{00000000-0005-0000-0000-000051950000}"/>
    <cellStyle name="Normal 3 7 2 2 3 2 2 2 2" xfId="38220" xr:uid="{00000000-0005-0000-0000-000052950000}"/>
    <cellStyle name="Normal 3 7 2 2 3 2 2 2 2 2" xfId="38221" xr:uid="{00000000-0005-0000-0000-000053950000}"/>
    <cellStyle name="Normal 3 7 2 2 3 2 2 2 3" xfId="38222" xr:uid="{00000000-0005-0000-0000-000054950000}"/>
    <cellStyle name="Normal 3 7 2 2 3 2 2 2 4" xfId="38223" xr:uid="{00000000-0005-0000-0000-000055950000}"/>
    <cellStyle name="Normal 3 7 2 2 3 2 2 3" xfId="38224" xr:uid="{00000000-0005-0000-0000-000056950000}"/>
    <cellStyle name="Normal 3 7 2 2 3 2 2 3 2" xfId="38225" xr:uid="{00000000-0005-0000-0000-000057950000}"/>
    <cellStyle name="Normal 3 7 2 2 3 2 2 4" xfId="38226" xr:uid="{00000000-0005-0000-0000-000058950000}"/>
    <cellStyle name="Normal 3 7 2 2 3 2 2 5" xfId="38227" xr:uid="{00000000-0005-0000-0000-000059950000}"/>
    <cellStyle name="Normal 3 7 2 2 3 2 3" xfId="38228" xr:uid="{00000000-0005-0000-0000-00005A950000}"/>
    <cellStyle name="Normal 3 7 2 2 3 2 3 2" xfId="38229" xr:uid="{00000000-0005-0000-0000-00005B950000}"/>
    <cellStyle name="Normal 3 7 2 2 3 2 3 2 2" xfId="38230" xr:uid="{00000000-0005-0000-0000-00005C950000}"/>
    <cellStyle name="Normal 3 7 2 2 3 2 3 3" xfId="38231" xr:uid="{00000000-0005-0000-0000-00005D950000}"/>
    <cellStyle name="Normal 3 7 2 2 3 2 3 4" xfId="38232" xr:uid="{00000000-0005-0000-0000-00005E950000}"/>
    <cellStyle name="Normal 3 7 2 2 3 2 4" xfId="38233" xr:uid="{00000000-0005-0000-0000-00005F950000}"/>
    <cellStyle name="Normal 3 7 2 2 3 2 4 2" xfId="38234" xr:uid="{00000000-0005-0000-0000-000060950000}"/>
    <cellStyle name="Normal 3 7 2 2 3 2 5" xfId="38235" xr:uid="{00000000-0005-0000-0000-000061950000}"/>
    <cellStyle name="Normal 3 7 2 2 3 2 6" xfId="38236" xr:uid="{00000000-0005-0000-0000-000062950000}"/>
    <cellStyle name="Normal 3 7 2 2 3 3" xfId="38237" xr:uid="{00000000-0005-0000-0000-000063950000}"/>
    <cellStyle name="Normal 3 7 2 2 3 3 2" xfId="38238" xr:uid="{00000000-0005-0000-0000-000064950000}"/>
    <cellStyle name="Normal 3 7 2 2 3 3 2 2" xfId="38239" xr:uid="{00000000-0005-0000-0000-000065950000}"/>
    <cellStyle name="Normal 3 7 2 2 3 3 2 2 2" xfId="38240" xr:uid="{00000000-0005-0000-0000-000066950000}"/>
    <cellStyle name="Normal 3 7 2 2 3 3 2 3" xfId="38241" xr:uid="{00000000-0005-0000-0000-000067950000}"/>
    <cellStyle name="Normal 3 7 2 2 3 3 2 4" xfId="38242" xr:uid="{00000000-0005-0000-0000-000068950000}"/>
    <cellStyle name="Normal 3 7 2 2 3 3 3" xfId="38243" xr:uid="{00000000-0005-0000-0000-000069950000}"/>
    <cellStyle name="Normal 3 7 2 2 3 3 3 2" xfId="38244" xr:uid="{00000000-0005-0000-0000-00006A950000}"/>
    <cellStyle name="Normal 3 7 2 2 3 3 4" xfId="38245" xr:uid="{00000000-0005-0000-0000-00006B950000}"/>
    <cellStyle name="Normal 3 7 2 2 3 3 5" xfId="38246" xr:uid="{00000000-0005-0000-0000-00006C950000}"/>
    <cellStyle name="Normal 3 7 2 2 3 4" xfId="38247" xr:uid="{00000000-0005-0000-0000-00006D950000}"/>
    <cellStyle name="Normal 3 7 2 2 3 4 2" xfId="38248" xr:uid="{00000000-0005-0000-0000-00006E950000}"/>
    <cellStyle name="Normal 3 7 2 2 3 4 2 2" xfId="38249" xr:uid="{00000000-0005-0000-0000-00006F950000}"/>
    <cellStyle name="Normal 3 7 2 2 3 4 3" xfId="38250" xr:uid="{00000000-0005-0000-0000-000070950000}"/>
    <cellStyle name="Normal 3 7 2 2 3 4 4" xfId="38251" xr:uid="{00000000-0005-0000-0000-000071950000}"/>
    <cellStyle name="Normal 3 7 2 2 3 5" xfId="38252" xr:uid="{00000000-0005-0000-0000-000072950000}"/>
    <cellStyle name="Normal 3 7 2 2 3 5 2" xfId="38253" xr:uid="{00000000-0005-0000-0000-000073950000}"/>
    <cellStyle name="Normal 3 7 2 2 3 6" xfId="38254" xr:uid="{00000000-0005-0000-0000-000074950000}"/>
    <cellStyle name="Normal 3 7 2 2 3 7" xfId="38255" xr:uid="{00000000-0005-0000-0000-000075950000}"/>
    <cellStyle name="Normal 3 7 2 2 4" xfId="38256" xr:uid="{00000000-0005-0000-0000-000076950000}"/>
    <cellStyle name="Normal 3 7 2 2 4 2" xfId="38257" xr:uid="{00000000-0005-0000-0000-000077950000}"/>
    <cellStyle name="Normal 3 7 2 2 4 2 2" xfId="38258" xr:uid="{00000000-0005-0000-0000-000078950000}"/>
    <cellStyle name="Normal 3 7 2 2 4 2 2 2" xfId="38259" xr:uid="{00000000-0005-0000-0000-000079950000}"/>
    <cellStyle name="Normal 3 7 2 2 4 2 2 2 2" xfId="38260" xr:uid="{00000000-0005-0000-0000-00007A950000}"/>
    <cellStyle name="Normal 3 7 2 2 4 2 2 3" xfId="38261" xr:uid="{00000000-0005-0000-0000-00007B950000}"/>
    <cellStyle name="Normal 3 7 2 2 4 2 2 4" xfId="38262" xr:uid="{00000000-0005-0000-0000-00007C950000}"/>
    <cellStyle name="Normal 3 7 2 2 4 2 3" xfId="38263" xr:uid="{00000000-0005-0000-0000-00007D950000}"/>
    <cellStyle name="Normal 3 7 2 2 4 2 3 2" xfId="38264" xr:uid="{00000000-0005-0000-0000-00007E950000}"/>
    <cellStyle name="Normal 3 7 2 2 4 2 4" xfId="38265" xr:uid="{00000000-0005-0000-0000-00007F950000}"/>
    <cellStyle name="Normal 3 7 2 2 4 2 5" xfId="38266" xr:uid="{00000000-0005-0000-0000-000080950000}"/>
    <cellStyle name="Normal 3 7 2 2 4 3" xfId="38267" xr:uid="{00000000-0005-0000-0000-000081950000}"/>
    <cellStyle name="Normal 3 7 2 2 4 3 2" xfId="38268" xr:uid="{00000000-0005-0000-0000-000082950000}"/>
    <cellStyle name="Normal 3 7 2 2 4 3 2 2" xfId="38269" xr:uid="{00000000-0005-0000-0000-000083950000}"/>
    <cellStyle name="Normal 3 7 2 2 4 3 3" xfId="38270" xr:uid="{00000000-0005-0000-0000-000084950000}"/>
    <cellStyle name="Normal 3 7 2 2 4 3 3 2" xfId="38271" xr:uid="{00000000-0005-0000-0000-000085950000}"/>
    <cellStyle name="Normal 3 7 2 2 4 3 4" xfId="38272" xr:uid="{00000000-0005-0000-0000-000086950000}"/>
    <cellStyle name="Normal 3 7 2 2 4 3 5" xfId="38273" xr:uid="{00000000-0005-0000-0000-000087950000}"/>
    <cellStyle name="Normal 3 7 2 2 4 4" xfId="38274" xr:uid="{00000000-0005-0000-0000-000088950000}"/>
    <cellStyle name="Normal 3 7 2 2 4 4 2" xfId="38275" xr:uid="{00000000-0005-0000-0000-000089950000}"/>
    <cellStyle name="Normal 3 7 2 2 4 5" xfId="38276" xr:uid="{00000000-0005-0000-0000-00008A950000}"/>
    <cellStyle name="Normal 3 7 2 2 4 5 2" xfId="38277" xr:uid="{00000000-0005-0000-0000-00008B950000}"/>
    <cellStyle name="Normal 3 7 2 2 4 6" xfId="38278" xr:uid="{00000000-0005-0000-0000-00008C950000}"/>
    <cellStyle name="Normal 3 7 2 2 4 7" xfId="38279" xr:uid="{00000000-0005-0000-0000-00008D950000}"/>
    <cellStyle name="Normal 3 7 2 2 5" xfId="38280" xr:uid="{00000000-0005-0000-0000-00008E950000}"/>
    <cellStyle name="Normal 3 7 2 2 5 2" xfId="38281" xr:uid="{00000000-0005-0000-0000-00008F950000}"/>
    <cellStyle name="Normal 3 7 2 2 5 2 2" xfId="38282" xr:uid="{00000000-0005-0000-0000-000090950000}"/>
    <cellStyle name="Normal 3 7 2 2 5 2 2 2" xfId="38283" xr:uid="{00000000-0005-0000-0000-000091950000}"/>
    <cellStyle name="Normal 3 7 2 2 5 2 3" xfId="38284" xr:uid="{00000000-0005-0000-0000-000092950000}"/>
    <cellStyle name="Normal 3 7 2 2 5 2 4" xfId="38285" xr:uid="{00000000-0005-0000-0000-000093950000}"/>
    <cellStyle name="Normal 3 7 2 2 5 3" xfId="38286" xr:uid="{00000000-0005-0000-0000-000094950000}"/>
    <cellStyle name="Normal 3 7 2 2 5 3 2" xfId="38287" xr:uid="{00000000-0005-0000-0000-000095950000}"/>
    <cellStyle name="Normal 3 7 2 2 5 4" xfId="38288" xr:uid="{00000000-0005-0000-0000-000096950000}"/>
    <cellStyle name="Normal 3 7 2 2 5 5" xfId="38289" xr:uid="{00000000-0005-0000-0000-000097950000}"/>
    <cellStyle name="Normal 3 7 2 2 6" xfId="38290" xr:uid="{00000000-0005-0000-0000-000098950000}"/>
    <cellStyle name="Normal 3 7 2 2 6 2" xfId="38291" xr:uid="{00000000-0005-0000-0000-000099950000}"/>
    <cellStyle name="Normal 3 7 2 2 6 2 2" xfId="38292" xr:uid="{00000000-0005-0000-0000-00009A950000}"/>
    <cellStyle name="Normal 3 7 2 2 6 3" xfId="38293" xr:uid="{00000000-0005-0000-0000-00009B950000}"/>
    <cellStyle name="Normal 3 7 2 2 6 3 2" xfId="38294" xr:uid="{00000000-0005-0000-0000-00009C950000}"/>
    <cellStyle name="Normal 3 7 2 2 6 4" xfId="38295" xr:uid="{00000000-0005-0000-0000-00009D950000}"/>
    <cellStyle name="Normal 3 7 2 2 6 5" xfId="38296" xr:uid="{00000000-0005-0000-0000-00009E950000}"/>
    <cellStyle name="Normal 3 7 2 2 7" xfId="38297" xr:uid="{00000000-0005-0000-0000-00009F950000}"/>
    <cellStyle name="Normal 3 7 2 2 7 2" xfId="38298" xr:uid="{00000000-0005-0000-0000-0000A0950000}"/>
    <cellStyle name="Normal 3 7 2 2 8" xfId="38299" xr:uid="{00000000-0005-0000-0000-0000A1950000}"/>
    <cellStyle name="Normal 3 7 2 2 8 2" xfId="38300" xr:uid="{00000000-0005-0000-0000-0000A2950000}"/>
    <cellStyle name="Normal 3 7 2 2 9" xfId="38301" xr:uid="{00000000-0005-0000-0000-0000A3950000}"/>
    <cellStyle name="Normal 3 7 2 3" xfId="38302" xr:uid="{00000000-0005-0000-0000-0000A4950000}"/>
    <cellStyle name="Normal 3 7 2 3 2" xfId="38303" xr:uid="{00000000-0005-0000-0000-0000A5950000}"/>
    <cellStyle name="Normal 3 7 2 3 2 2" xfId="38304" xr:uid="{00000000-0005-0000-0000-0000A6950000}"/>
    <cellStyle name="Normal 3 7 2 3 2 2 2" xfId="38305" xr:uid="{00000000-0005-0000-0000-0000A7950000}"/>
    <cellStyle name="Normal 3 7 2 3 2 2 2 2" xfId="38306" xr:uid="{00000000-0005-0000-0000-0000A8950000}"/>
    <cellStyle name="Normal 3 7 2 3 2 2 2 2 2" xfId="38307" xr:uid="{00000000-0005-0000-0000-0000A9950000}"/>
    <cellStyle name="Normal 3 7 2 3 2 2 2 2 2 2" xfId="38308" xr:uid="{00000000-0005-0000-0000-0000AA950000}"/>
    <cellStyle name="Normal 3 7 2 3 2 2 2 2 3" xfId="38309" xr:uid="{00000000-0005-0000-0000-0000AB950000}"/>
    <cellStyle name="Normal 3 7 2 3 2 2 2 2 4" xfId="38310" xr:uid="{00000000-0005-0000-0000-0000AC950000}"/>
    <cellStyle name="Normal 3 7 2 3 2 2 2 3" xfId="38311" xr:uid="{00000000-0005-0000-0000-0000AD950000}"/>
    <cellStyle name="Normal 3 7 2 3 2 2 2 3 2" xfId="38312" xr:uid="{00000000-0005-0000-0000-0000AE950000}"/>
    <cellStyle name="Normal 3 7 2 3 2 2 2 4" xfId="38313" xr:uid="{00000000-0005-0000-0000-0000AF950000}"/>
    <cellStyle name="Normal 3 7 2 3 2 2 2 5" xfId="38314" xr:uid="{00000000-0005-0000-0000-0000B0950000}"/>
    <cellStyle name="Normal 3 7 2 3 2 2 3" xfId="38315" xr:uid="{00000000-0005-0000-0000-0000B1950000}"/>
    <cellStyle name="Normal 3 7 2 3 2 2 3 2" xfId="38316" xr:uid="{00000000-0005-0000-0000-0000B2950000}"/>
    <cellStyle name="Normal 3 7 2 3 2 2 3 2 2" xfId="38317" xr:uid="{00000000-0005-0000-0000-0000B3950000}"/>
    <cellStyle name="Normal 3 7 2 3 2 2 3 3" xfId="38318" xr:uid="{00000000-0005-0000-0000-0000B4950000}"/>
    <cellStyle name="Normal 3 7 2 3 2 2 3 4" xfId="38319" xr:uid="{00000000-0005-0000-0000-0000B5950000}"/>
    <cellStyle name="Normal 3 7 2 3 2 2 4" xfId="38320" xr:uid="{00000000-0005-0000-0000-0000B6950000}"/>
    <cellStyle name="Normal 3 7 2 3 2 2 4 2" xfId="38321" xr:uid="{00000000-0005-0000-0000-0000B7950000}"/>
    <cellStyle name="Normal 3 7 2 3 2 2 5" xfId="38322" xr:uid="{00000000-0005-0000-0000-0000B8950000}"/>
    <cellStyle name="Normal 3 7 2 3 2 2 6" xfId="38323" xr:uid="{00000000-0005-0000-0000-0000B9950000}"/>
    <cellStyle name="Normal 3 7 2 3 2 3" xfId="38324" xr:uid="{00000000-0005-0000-0000-0000BA950000}"/>
    <cellStyle name="Normal 3 7 2 3 2 3 2" xfId="38325" xr:uid="{00000000-0005-0000-0000-0000BB950000}"/>
    <cellStyle name="Normal 3 7 2 3 2 3 2 2" xfId="38326" xr:uid="{00000000-0005-0000-0000-0000BC950000}"/>
    <cellStyle name="Normal 3 7 2 3 2 3 2 2 2" xfId="38327" xr:uid="{00000000-0005-0000-0000-0000BD950000}"/>
    <cellStyle name="Normal 3 7 2 3 2 3 2 3" xfId="38328" xr:uid="{00000000-0005-0000-0000-0000BE950000}"/>
    <cellStyle name="Normal 3 7 2 3 2 3 2 4" xfId="38329" xr:uid="{00000000-0005-0000-0000-0000BF950000}"/>
    <cellStyle name="Normal 3 7 2 3 2 3 3" xfId="38330" xr:uid="{00000000-0005-0000-0000-0000C0950000}"/>
    <cellStyle name="Normal 3 7 2 3 2 3 3 2" xfId="38331" xr:uid="{00000000-0005-0000-0000-0000C1950000}"/>
    <cellStyle name="Normal 3 7 2 3 2 3 4" xfId="38332" xr:uid="{00000000-0005-0000-0000-0000C2950000}"/>
    <cellStyle name="Normal 3 7 2 3 2 3 5" xfId="38333" xr:uid="{00000000-0005-0000-0000-0000C3950000}"/>
    <cellStyle name="Normal 3 7 2 3 2 4" xfId="38334" xr:uid="{00000000-0005-0000-0000-0000C4950000}"/>
    <cellStyle name="Normal 3 7 2 3 2 4 2" xfId="38335" xr:uid="{00000000-0005-0000-0000-0000C5950000}"/>
    <cellStyle name="Normal 3 7 2 3 2 4 2 2" xfId="38336" xr:uid="{00000000-0005-0000-0000-0000C6950000}"/>
    <cellStyle name="Normal 3 7 2 3 2 4 3" xfId="38337" xr:uid="{00000000-0005-0000-0000-0000C7950000}"/>
    <cellStyle name="Normal 3 7 2 3 2 4 4" xfId="38338" xr:uid="{00000000-0005-0000-0000-0000C8950000}"/>
    <cellStyle name="Normal 3 7 2 3 2 5" xfId="38339" xr:uid="{00000000-0005-0000-0000-0000C9950000}"/>
    <cellStyle name="Normal 3 7 2 3 2 5 2" xfId="38340" xr:uid="{00000000-0005-0000-0000-0000CA950000}"/>
    <cellStyle name="Normal 3 7 2 3 2 6" xfId="38341" xr:uid="{00000000-0005-0000-0000-0000CB950000}"/>
    <cellStyle name="Normal 3 7 2 3 2 7" xfId="38342" xr:uid="{00000000-0005-0000-0000-0000CC950000}"/>
    <cellStyle name="Normal 3 7 2 3 3" xfId="38343" xr:uid="{00000000-0005-0000-0000-0000CD950000}"/>
    <cellStyle name="Normal 3 7 2 3 3 2" xfId="38344" xr:uid="{00000000-0005-0000-0000-0000CE950000}"/>
    <cellStyle name="Normal 3 7 2 3 3 2 2" xfId="38345" xr:uid="{00000000-0005-0000-0000-0000CF950000}"/>
    <cellStyle name="Normal 3 7 2 3 3 2 2 2" xfId="38346" xr:uid="{00000000-0005-0000-0000-0000D0950000}"/>
    <cellStyle name="Normal 3 7 2 3 3 2 2 2 2" xfId="38347" xr:uid="{00000000-0005-0000-0000-0000D1950000}"/>
    <cellStyle name="Normal 3 7 2 3 3 2 2 3" xfId="38348" xr:uid="{00000000-0005-0000-0000-0000D2950000}"/>
    <cellStyle name="Normal 3 7 2 3 3 2 2 4" xfId="38349" xr:uid="{00000000-0005-0000-0000-0000D3950000}"/>
    <cellStyle name="Normal 3 7 2 3 3 2 3" xfId="38350" xr:uid="{00000000-0005-0000-0000-0000D4950000}"/>
    <cellStyle name="Normal 3 7 2 3 3 2 3 2" xfId="38351" xr:uid="{00000000-0005-0000-0000-0000D5950000}"/>
    <cellStyle name="Normal 3 7 2 3 3 2 4" xfId="38352" xr:uid="{00000000-0005-0000-0000-0000D6950000}"/>
    <cellStyle name="Normal 3 7 2 3 3 2 5" xfId="38353" xr:uid="{00000000-0005-0000-0000-0000D7950000}"/>
    <cellStyle name="Normal 3 7 2 3 3 3" xfId="38354" xr:uid="{00000000-0005-0000-0000-0000D8950000}"/>
    <cellStyle name="Normal 3 7 2 3 3 3 2" xfId="38355" xr:uid="{00000000-0005-0000-0000-0000D9950000}"/>
    <cellStyle name="Normal 3 7 2 3 3 3 2 2" xfId="38356" xr:uid="{00000000-0005-0000-0000-0000DA950000}"/>
    <cellStyle name="Normal 3 7 2 3 3 3 3" xfId="38357" xr:uid="{00000000-0005-0000-0000-0000DB950000}"/>
    <cellStyle name="Normal 3 7 2 3 3 3 3 2" xfId="38358" xr:uid="{00000000-0005-0000-0000-0000DC950000}"/>
    <cellStyle name="Normal 3 7 2 3 3 3 4" xfId="38359" xr:uid="{00000000-0005-0000-0000-0000DD950000}"/>
    <cellStyle name="Normal 3 7 2 3 3 3 5" xfId="38360" xr:uid="{00000000-0005-0000-0000-0000DE950000}"/>
    <cellStyle name="Normal 3 7 2 3 3 4" xfId="38361" xr:uid="{00000000-0005-0000-0000-0000DF950000}"/>
    <cellStyle name="Normal 3 7 2 3 3 4 2" xfId="38362" xr:uid="{00000000-0005-0000-0000-0000E0950000}"/>
    <cellStyle name="Normal 3 7 2 3 3 5" xfId="38363" xr:uid="{00000000-0005-0000-0000-0000E1950000}"/>
    <cellStyle name="Normal 3 7 2 3 3 5 2" xfId="38364" xr:uid="{00000000-0005-0000-0000-0000E2950000}"/>
    <cellStyle name="Normal 3 7 2 3 3 6" xfId="38365" xr:uid="{00000000-0005-0000-0000-0000E3950000}"/>
    <cellStyle name="Normal 3 7 2 3 3 7" xfId="38366" xr:uid="{00000000-0005-0000-0000-0000E4950000}"/>
    <cellStyle name="Normal 3 7 2 3 4" xfId="38367" xr:uid="{00000000-0005-0000-0000-0000E5950000}"/>
    <cellStyle name="Normal 3 7 2 3 4 2" xfId="38368" xr:uid="{00000000-0005-0000-0000-0000E6950000}"/>
    <cellStyle name="Normal 3 7 2 3 4 2 2" xfId="38369" xr:uid="{00000000-0005-0000-0000-0000E7950000}"/>
    <cellStyle name="Normal 3 7 2 3 4 2 2 2" xfId="38370" xr:uid="{00000000-0005-0000-0000-0000E8950000}"/>
    <cellStyle name="Normal 3 7 2 3 4 2 3" xfId="38371" xr:uid="{00000000-0005-0000-0000-0000E9950000}"/>
    <cellStyle name="Normal 3 7 2 3 4 2 4" xfId="38372" xr:uid="{00000000-0005-0000-0000-0000EA950000}"/>
    <cellStyle name="Normal 3 7 2 3 4 3" xfId="38373" xr:uid="{00000000-0005-0000-0000-0000EB950000}"/>
    <cellStyle name="Normal 3 7 2 3 4 3 2" xfId="38374" xr:uid="{00000000-0005-0000-0000-0000EC950000}"/>
    <cellStyle name="Normal 3 7 2 3 4 4" xfId="38375" xr:uid="{00000000-0005-0000-0000-0000ED950000}"/>
    <cellStyle name="Normal 3 7 2 3 4 5" xfId="38376" xr:uid="{00000000-0005-0000-0000-0000EE950000}"/>
    <cellStyle name="Normal 3 7 2 3 5" xfId="38377" xr:uid="{00000000-0005-0000-0000-0000EF950000}"/>
    <cellStyle name="Normal 3 7 2 3 5 2" xfId="38378" xr:uid="{00000000-0005-0000-0000-0000F0950000}"/>
    <cellStyle name="Normal 3 7 2 3 5 2 2" xfId="38379" xr:uid="{00000000-0005-0000-0000-0000F1950000}"/>
    <cellStyle name="Normal 3 7 2 3 5 3" xfId="38380" xr:uid="{00000000-0005-0000-0000-0000F2950000}"/>
    <cellStyle name="Normal 3 7 2 3 5 3 2" xfId="38381" xr:uid="{00000000-0005-0000-0000-0000F3950000}"/>
    <cellStyle name="Normal 3 7 2 3 5 4" xfId="38382" xr:uid="{00000000-0005-0000-0000-0000F4950000}"/>
    <cellStyle name="Normal 3 7 2 3 5 5" xfId="38383" xr:uid="{00000000-0005-0000-0000-0000F5950000}"/>
    <cellStyle name="Normal 3 7 2 3 6" xfId="38384" xr:uid="{00000000-0005-0000-0000-0000F6950000}"/>
    <cellStyle name="Normal 3 7 2 3 6 2" xfId="38385" xr:uid="{00000000-0005-0000-0000-0000F7950000}"/>
    <cellStyle name="Normal 3 7 2 3 7" xfId="38386" xr:uid="{00000000-0005-0000-0000-0000F8950000}"/>
    <cellStyle name="Normal 3 7 2 3 7 2" xfId="38387" xr:uid="{00000000-0005-0000-0000-0000F9950000}"/>
    <cellStyle name="Normal 3 7 2 3 8" xfId="38388" xr:uid="{00000000-0005-0000-0000-0000FA950000}"/>
    <cellStyle name="Normal 3 7 2 3 9" xfId="38389" xr:uid="{00000000-0005-0000-0000-0000FB950000}"/>
    <cellStyle name="Normal 3 7 2 4" xfId="38390" xr:uid="{00000000-0005-0000-0000-0000FC950000}"/>
    <cellStyle name="Normal 3 7 2 4 2" xfId="38391" xr:uid="{00000000-0005-0000-0000-0000FD950000}"/>
    <cellStyle name="Normal 3 7 2 4 2 2" xfId="38392" xr:uid="{00000000-0005-0000-0000-0000FE950000}"/>
    <cellStyle name="Normal 3 7 2 4 2 2 2" xfId="38393" xr:uid="{00000000-0005-0000-0000-0000FF950000}"/>
    <cellStyle name="Normal 3 7 2 4 2 2 2 2" xfId="38394" xr:uid="{00000000-0005-0000-0000-000000960000}"/>
    <cellStyle name="Normal 3 7 2 4 2 2 2 2 2" xfId="38395" xr:uid="{00000000-0005-0000-0000-000001960000}"/>
    <cellStyle name="Normal 3 7 2 4 2 2 2 3" xfId="38396" xr:uid="{00000000-0005-0000-0000-000002960000}"/>
    <cellStyle name="Normal 3 7 2 4 2 2 2 4" xfId="38397" xr:uid="{00000000-0005-0000-0000-000003960000}"/>
    <cellStyle name="Normal 3 7 2 4 2 2 3" xfId="38398" xr:uid="{00000000-0005-0000-0000-000004960000}"/>
    <cellStyle name="Normal 3 7 2 4 2 2 3 2" xfId="38399" xr:uid="{00000000-0005-0000-0000-000005960000}"/>
    <cellStyle name="Normal 3 7 2 4 2 2 4" xfId="38400" xr:uid="{00000000-0005-0000-0000-000006960000}"/>
    <cellStyle name="Normal 3 7 2 4 2 2 5" xfId="38401" xr:uid="{00000000-0005-0000-0000-000007960000}"/>
    <cellStyle name="Normal 3 7 2 4 2 3" xfId="38402" xr:uid="{00000000-0005-0000-0000-000008960000}"/>
    <cellStyle name="Normal 3 7 2 4 2 3 2" xfId="38403" xr:uid="{00000000-0005-0000-0000-000009960000}"/>
    <cellStyle name="Normal 3 7 2 4 2 3 2 2" xfId="38404" xr:uid="{00000000-0005-0000-0000-00000A960000}"/>
    <cellStyle name="Normal 3 7 2 4 2 3 3" xfId="38405" xr:uid="{00000000-0005-0000-0000-00000B960000}"/>
    <cellStyle name="Normal 3 7 2 4 2 3 3 2" xfId="38406" xr:uid="{00000000-0005-0000-0000-00000C960000}"/>
    <cellStyle name="Normal 3 7 2 4 2 3 4" xfId="38407" xr:uid="{00000000-0005-0000-0000-00000D960000}"/>
    <cellStyle name="Normal 3 7 2 4 2 3 5" xfId="38408" xr:uid="{00000000-0005-0000-0000-00000E960000}"/>
    <cellStyle name="Normal 3 7 2 4 2 4" xfId="38409" xr:uid="{00000000-0005-0000-0000-00000F960000}"/>
    <cellStyle name="Normal 3 7 2 4 2 4 2" xfId="38410" xr:uid="{00000000-0005-0000-0000-000010960000}"/>
    <cellStyle name="Normal 3 7 2 4 2 5" xfId="38411" xr:uid="{00000000-0005-0000-0000-000011960000}"/>
    <cellStyle name="Normal 3 7 2 4 2 5 2" xfId="38412" xr:uid="{00000000-0005-0000-0000-000012960000}"/>
    <cellStyle name="Normal 3 7 2 4 2 6" xfId="38413" xr:uid="{00000000-0005-0000-0000-000013960000}"/>
    <cellStyle name="Normal 3 7 2 4 2 7" xfId="38414" xr:uid="{00000000-0005-0000-0000-000014960000}"/>
    <cellStyle name="Normal 3 7 2 4 3" xfId="38415" xr:uid="{00000000-0005-0000-0000-000015960000}"/>
    <cellStyle name="Normal 3 7 2 4 3 2" xfId="38416" xr:uid="{00000000-0005-0000-0000-000016960000}"/>
    <cellStyle name="Normal 3 7 2 4 3 2 2" xfId="38417" xr:uid="{00000000-0005-0000-0000-000017960000}"/>
    <cellStyle name="Normal 3 7 2 4 3 2 2 2" xfId="38418" xr:uid="{00000000-0005-0000-0000-000018960000}"/>
    <cellStyle name="Normal 3 7 2 4 3 2 3" xfId="38419" xr:uid="{00000000-0005-0000-0000-000019960000}"/>
    <cellStyle name="Normal 3 7 2 4 3 2 4" xfId="38420" xr:uid="{00000000-0005-0000-0000-00001A960000}"/>
    <cellStyle name="Normal 3 7 2 4 3 3" xfId="38421" xr:uid="{00000000-0005-0000-0000-00001B960000}"/>
    <cellStyle name="Normal 3 7 2 4 3 3 2" xfId="38422" xr:uid="{00000000-0005-0000-0000-00001C960000}"/>
    <cellStyle name="Normal 3 7 2 4 3 4" xfId="38423" xr:uid="{00000000-0005-0000-0000-00001D960000}"/>
    <cellStyle name="Normal 3 7 2 4 3 5" xfId="38424" xr:uid="{00000000-0005-0000-0000-00001E960000}"/>
    <cellStyle name="Normal 3 7 2 4 4" xfId="38425" xr:uid="{00000000-0005-0000-0000-00001F960000}"/>
    <cellStyle name="Normal 3 7 2 4 4 2" xfId="38426" xr:uid="{00000000-0005-0000-0000-000020960000}"/>
    <cellStyle name="Normal 3 7 2 4 4 2 2" xfId="38427" xr:uid="{00000000-0005-0000-0000-000021960000}"/>
    <cellStyle name="Normal 3 7 2 4 4 3" xfId="38428" xr:uid="{00000000-0005-0000-0000-000022960000}"/>
    <cellStyle name="Normal 3 7 2 4 4 3 2" xfId="38429" xr:uid="{00000000-0005-0000-0000-000023960000}"/>
    <cellStyle name="Normal 3 7 2 4 4 4" xfId="38430" xr:uid="{00000000-0005-0000-0000-000024960000}"/>
    <cellStyle name="Normal 3 7 2 4 4 5" xfId="38431" xr:uid="{00000000-0005-0000-0000-000025960000}"/>
    <cellStyle name="Normal 3 7 2 4 5" xfId="38432" xr:uid="{00000000-0005-0000-0000-000026960000}"/>
    <cellStyle name="Normal 3 7 2 4 5 2" xfId="38433" xr:uid="{00000000-0005-0000-0000-000027960000}"/>
    <cellStyle name="Normal 3 7 2 4 6" xfId="38434" xr:uid="{00000000-0005-0000-0000-000028960000}"/>
    <cellStyle name="Normal 3 7 2 4 6 2" xfId="38435" xr:uid="{00000000-0005-0000-0000-000029960000}"/>
    <cellStyle name="Normal 3 7 2 4 7" xfId="38436" xr:uid="{00000000-0005-0000-0000-00002A960000}"/>
    <cellStyle name="Normal 3 7 2 4 8" xfId="38437" xr:uid="{00000000-0005-0000-0000-00002B960000}"/>
    <cellStyle name="Normal 3 7 2 5" xfId="38438" xr:uid="{00000000-0005-0000-0000-00002C960000}"/>
    <cellStyle name="Normal 3 7 2 5 2" xfId="38439" xr:uid="{00000000-0005-0000-0000-00002D960000}"/>
    <cellStyle name="Normal 3 7 2 5 2 2" xfId="38440" xr:uid="{00000000-0005-0000-0000-00002E960000}"/>
    <cellStyle name="Normal 3 7 2 5 2 2 2" xfId="38441" xr:uid="{00000000-0005-0000-0000-00002F960000}"/>
    <cellStyle name="Normal 3 7 2 5 2 2 2 2" xfId="38442" xr:uid="{00000000-0005-0000-0000-000030960000}"/>
    <cellStyle name="Normal 3 7 2 5 2 2 3" xfId="38443" xr:uid="{00000000-0005-0000-0000-000031960000}"/>
    <cellStyle name="Normal 3 7 2 5 2 2 4" xfId="38444" xr:uid="{00000000-0005-0000-0000-000032960000}"/>
    <cellStyle name="Normal 3 7 2 5 2 3" xfId="38445" xr:uid="{00000000-0005-0000-0000-000033960000}"/>
    <cellStyle name="Normal 3 7 2 5 2 3 2" xfId="38446" xr:uid="{00000000-0005-0000-0000-000034960000}"/>
    <cellStyle name="Normal 3 7 2 5 2 4" xfId="38447" xr:uid="{00000000-0005-0000-0000-000035960000}"/>
    <cellStyle name="Normal 3 7 2 5 2 5" xfId="38448" xr:uid="{00000000-0005-0000-0000-000036960000}"/>
    <cellStyle name="Normal 3 7 2 5 3" xfId="38449" xr:uid="{00000000-0005-0000-0000-000037960000}"/>
    <cellStyle name="Normal 3 7 2 5 3 2" xfId="38450" xr:uid="{00000000-0005-0000-0000-000038960000}"/>
    <cellStyle name="Normal 3 7 2 5 3 2 2" xfId="38451" xr:uid="{00000000-0005-0000-0000-000039960000}"/>
    <cellStyle name="Normal 3 7 2 5 3 3" xfId="38452" xr:uid="{00000000-0005-0000-0000-00003A960000}"/>
    <cellStyle name="Normal 3 7 2 5 3 3 2" xfId="38453" xr:uid="{00000000-0005-0000-0000-00003B960000}"/>
    <cellStyle name="Normal 3 7 2 5 3 4" xfId="38454" xr:uid="{00000000-0005-0000-0000-00003C960000}"/>
    <cellStyle name="Normal 3 7 2 5 3 5" xfId="38455" xr:uid="{00000000-0005-0000-0000-00003D960000}"/>
    <cellStyle name="Normal 3 7 2 5 4" xfId="38456" xr:uid="{00000000-0005-0000-0000-00003E960000}"/>
    <cellStyle name="Normal 3 7 2 5 4 2" xfId="38457" xr:uid="{00000000-0005-0000-0000-00003F960000}"/>
    <cellStyle name="Normal 3 7 2 5 5" xfId="38458" xr:uid="{00000000-0005-0000-0000-000040960000}"/>
    <cellStyle name="Normal 3 7 2 5 5 2" xfId="38459" xr:uid="{00000000-0005-0000-0000-000041960000}"/>
    <cellStyle name="Normal 3 7 2 5 6" xfId="38460" xr:uid="{00000000-0005-0000-0000-000042960000}"/>
    <cellStyle name="Normal 3 7 2 5 7" xfId="38461" xr:uid="{00000000-0005-0000-0000-000043960000}"/>
    <cellStyle name="Normal 3 7 2 6" xfId="38462" xr:uid="{00000000-0005-0000-0000-000044960000}"/>
    <cellStyle name="Normal 3 7 2 6 2" xfId="38463" xr:uid="{00000000-0005-0000-0000-000045960000}"/>
    <cellStyle name="Normal 3 7 2 6 2 2" xfId="38464" xr:uid="{00000000-0005-0000-0000-000046960000}"/>
    <cellStyle name="Normal 3 7 2 6 2 2 2" xfId="38465" xr:uid="{00000000-0005-0000-0000-000047960000}"/>
    <cellStyle name="Normal 3 7 2 6 2 3" xfId="38466" xr:uid="{00000000-0005-0000-0000-000048960000}"/>
    <cellStyle name="Normal 3 7 2 6 2 4" xfId="38467" xr:uid="{00000000-0005-0000-0000-000049960000}"/>
    <cellStyle name="Normal 3 7 2 6 3" xfId="38468" xr:uid="{00000000-0005-0000-0000-00004A960000}"/>
    <cellStyle name="Normal 3 7 2 6 3 2" xfId="38469" xr:uid="{00000000-0005-0000-0000-00004B960000}"/>
    <cellStyle name="Normal 3 7 2 6 4" xfId="38470" xr:uid="{00000000-0005-0000-0000-00004C960000}"/>
    <cellStyle name="Normal 3 7 2 6 5" xfId="38471" xr:uid="{00000000-0005-0000-0000-00004D960000}"/>
    <cellStyle name="Normal 3 7 2 7" xfId="38472" xr:uid="{00000000-0005-0000-0000-00004E960000}"/>
    <cellStyle name="Normal 3 7 2 7 2" xfId="38473" xr:uid="{00000000-0005-0000-0000-00004F960000}"/>
    <cellStyle name="Normal 3 7 2 7 2 2" xfId="38474" xr:uid="{00000000-0005-0000-0000-000050960000}"/>
    <cellStyle name="Normal 3 7 2 7 3" xfId="38475" xr:uid="{00000000-0005-0000-0000-000051960000}"/>
    <cellStyle name="Normal 3 7 2 7 3 2" xfId="38476" xr:uid="{00000000-0005-0000-0000-000052960000}"/>
    <cellStyle name="Normal 3 7 2 7 4" xfId="38477" xr:uid="{00000000-0005-0000-0000-000053960000}"/>
    <cellStyle name="Normal 3 7 2 7 5" xfId="38478" xr:uid="{00000000-0005-0000-0000-000054960000}"/>
    <cellStyle name="Normal 3 7 2 8" xfId="38479" xr:uid="{00000000-0005-0000-0000-000055960000}"/>
    <cellStyle name="Normal 3 7 2 8 2" xfId="38480" xr:uid="{00000000-0005-0000-0000-000056960000}"/>
    <cellStyle name="Normal 3 7 2 9" xfId="38481" xr:uid="{00000000-0005-0000-0000-000057960000}"/>
    <cellStyle name="Normal 3 7 2 9 2" xfId="38482" xr:uid="{00000000-0005-0000-0000-000058960000}"/>
    <cellStyle name="Normal 3 7 3" xfId="38483" xr:uid="{00000000-0005-0000-0000-000059960000}"/>
    <cellStyle name="Normal 3 7 3 10" xfId="38484" xr:uid="{00000000-0005-0000-0000-00005A960000}"/>
    <cellStyle name="Normal 3 7 3 2" xfId="38485" xr:uid="{00000000-0005-0000-0000-00005B960000}"/>
    <cellStyle name="Normal 3 7 3 2 2" xfId="38486" xr:uid="{00000000-0005-0000-0000-00005C960000}"/>
    <cellStyle name="Normal 3 7 3 2 2 2" xfId="38487" xr:uid="{00000000-0005-0000-0000-00005D960000}"/>
    <cellStyle name="Normal 3 7 3 2 2 2 2" xfId="38488" xr:uid="{00000000-0005-0000-0000-00005E960000}"/>
    <cellStyle name="Normal 3 7 3 2 2 2 2 2" xfId="38489" xr:uid="{00000000-0005-0000-0000-00005F960000}"/>
    <cellStyle name="Normal 3 7 3 2 2 2 2 2 2" xfId="38490" xr:uid="{00000000-0005-0000-0000-000060960000}"/>
    <cellStyle name="Normal 3 7 3 2 2 2 2 2 2 2" xfId="38491" xr:uid="{00000000-0005-0000-0000-000061960000}"/>
    <cellStyle name="Normal 3 7 3 2 2 2 2 2 3" xfId="38492" xr:uid="{00000000-0005-0000-0000-000062960000}"/>
    <cellStyle name="Normal 3 7 3 2 2 2 2 2 4" xfId="38493" xr:uid="{00000000-0005-0000-0000-000063960000}"/>
    <cellStyle name="Normal 3 7 3 2 2 2 2 3" xfId="38494" xr:uid="{00000000-0005-0000-0000-000064960000}"/>
    <cellStyle name="Normal 3 7 3 2 2 2 2 3 2" xfId="38495" xr:uid="{00000000-0005-0000-0000-000065960000}"/>
    <cellStyle name="Normal 3 7 3 2 2 2 2 4" xfId="38496" xr:uid="{00000000-0005-0000-0000-000066960000}"/>
    <cellStyle name="Normal 3 7 3 2 2 2 2 5" xfId="38497" xr:uid="{00000000-0005-0000-0000-000067960000}"/>
    <cellStyle name="Normal 3 7 3 2 2 2 3" xfId="38498" xr:uid="{00000000-0005-0000-0000-000068960000}"/>
    <cellStyle name="Normal 3 7 3 2 2 2 3 2" xfId="38499" xr:uid="{00000000-0005-0000-0000-000069960000}"/>
    <cellStyle name="Normal 3 7 3 2 2 2 3 2 2" xfId="38500" xr:uid="{00000000-0005-0000-0000-00006A960000}"/>
    <cellStyle name="Normal 3 7 3 2 2 2 3 3" xfId="38501" xr:uid="{00000000-0005-0000-0000-00006B960000}"/>
    <cellStyle name="Normal 3 7 3 2 2 2 3 4" xfId="38502" xr:uid="{00000000-0005-0000-0000-00006C960000}"/>
    <cellStyle name="Normal 3 7 3 2 2 2 4" xfId="38503" xr:uid="{00000000-0005-0000-0000-00006D960000}"/>
    <cellStyle name="Normal 3 7 3 2 2 2 4 2" xfId="38504" xr:uid="{00000000-0005-0000-0000-00006E960000}"/>
    <cellStyle name="Normal 3 7 3 2 2 2 5" xfId="38505" xr:uid="{00000000-0005-0000-0000-00006F960000}"/>
    <cellStyle name="Normal 3 7 3 2 2 2 6" xfId="38506" xr:uid="{00000000-0005-0000-0000-000070960000}"/>
    <cellStyle name="Normal 3 7 3 2 2 3" xfId="38507" xr:uid="{00000000-0005-0000-0000-000071960000}"/>
    <cellStyle name="Normal 3 7 3 2 2 3 2" xfId="38508" xr:uid="{00000000-0005-0000-0000-000072960000}"/>
    <cellStyle name="Normal 3 7 3 2 2 3 2 2" xfId="38509" xr:uid="{00000000-0005-0000-0000-000073960000}"/>
    <cellStyle name="Normal 3 7 3 2 2 3 2 2 2" xfId="38510" xr:uid="{00000000-0005-0000-0000-000074960000}"/>
    <cellStyle name="Normal 3 7 3 2 2 3 2 3" xfId="38511" xr:uid="{00000000-0005-0000-0000-000075960000}"/>
    <cellStyle name="Normal 3 7 3 2 2 3 2 4" xfId="38512" xr:uid="{00000000-0005-0000-0000-000076960000}"/>
    <cellStyle name="Normal 3 7 3 2 2 3 3" xfId="38513" xr:uid="{00000000-0005-0000-0000-000077960000}"/>
    <cellStyle name="Normal 3 7 3 2 2 3 3 2" xfId="38514" xr:uid="{00000000-0005-0000-0000-000078960000}"/>
    <cellStyle name="Normal 3 7 3 2 2 3 4" xfId="38515" xr:uid="{00000000-0005-0000-0000-000079960000}"/>
    <cellStyle name="Normal 3 7 3 2 2 3 5" xfId="38516" xr:uid="{00000000-0005-0000-0000-00007A960000}"/>
    <cellStyle name="Normal 3 7 3 2 2 4" xfId="38517" xr:uid="{00000000-0005-0000-0000-00007B960000}"/>
    <cellStyle name="Normal 3 7 3 2 2 4 2" xfId="38518" xr:uid="{00000000-0005-0000-0000-00007C960000}"/>
    <cellStyle name="Normal 3 7 3 2 2 4 2 2" xfId="38519" xr:uid="{00000000-0005-0000-0000-00007D960000}"/>
    <cellStyle name="Normal 3 7 3 2 2 4 3" xfId="38520" xr:uid="{00000000-0005-0000-0000-00007E960000}"/>
    <cellStyle name="Normal 3 7 3 2 2 4 4" xfId="38521" xr:uid="{00000000-0005-0000-0000-00007F960000}"/>
    <cellStyle name="Normal 3 7 3 2 2 5" xfId="38522" xr:uid="{00000000-0005-0000-0000-000080960000}"/>
    <cellStyle name="Normal 3 7 3 2 2 5 2" xfId="38523" xr:uid="{00000000-0005-0000-0000-000081960000}"/>
    <cellStyle name="Normal 3 7 3 2 2 6" xfId="38524" xr:uid="{00000000-0005-0000-0000-000082960000}"/>
    <cellStyle name="Normal 3 7 3 2 2 7" xfId="38525" xr:uid="{00000000-0005-0000-0000-000083960000}"/>
    <cellStyle name="Normal 3 7 3 2 3" xfId="38526" xr:uid="{00000000-0005-0000-0000-000084960000}"/>
    <cellStyle name="Normal 3 7 3 2 3 2" xfId="38527" xr:uid="{00000000-0005-0000-0000-000085960000}"/>
    <cellStyle name="Normal 3 7 3 2 3 2 2" xfId="38528" xr:uid="{00000000-0005-0000-0000-000086960000}"/>
    <cellStyle name="Normal 3 7 3 2 3 2 2 2" xfId="38529" xr:uid="{00000000-0005-0000-0000-000087960000}"/>
    <cellStyle name="Normal 3 7 3 2 3 2 2 2 2" xfId="38530" xr:uid="{00000000-0005-0000-0000-000088960000}"/>
    <cellStyle name="Normal 3 7 3 2 3 2 2 3" xfId="38531" xr:uid="{00000000-0005-0000-0000-000089960000}"/>
    <cellStyle name="Normal 3 7 3 2 3 2 2 4" xfId="38532" xr:uid="{00000000-0005-0000-0000-00008A960000}"/>
    <cellStyle name="Normal 3 7 3 2 3 2 3" xfId="38533" xr:uid="{00000000-0005-0000-0000-00008B960000}"/>
    <cellStyle name="Normal 3 7 3 2 3 2 3 2" xfId="38534" xr:uid="{00000000-0005-0000-0000-00008C960000}"/>
    <cellStyle name="Normal 3 7 3 2 3 2 4" xfId="38535" xr:uid="{00000000-0005-0000-0000-00008D960000}"/>
    <cellStyle name="Normal 3 7 3 2 3 2 5" xfId="38536" xr:uid="{00000000-0005-0000-0000-00008E960000}"/>
    <cellStyle name="Normal 3 7 3 2 3 3" xfId="38537" xr:uid="{00000000-0005-0000-0000-00008F960000}"/>
    <cellStyle name="Normal 3 7 3 2 3 3 2" xfId="38538" xr:uid="{00000000-0005-0000-0000-000090960000}"/>
    <cellStyle name="Normal 3 7 3 2 3 3 2 2" xfId="38539" xr:uid="{00000000-0005-0000-0000-000091960000}"/>
    <cellStyle name="Normal 3 7 3 2 3 3 3" xfId="38540" xr:uid="{00000000-0005-0000-0000-000092960000}"/>
    <cellStyle name="Normal 3 7 3 2 3 3 3 2" xfId="38541" xr:uid="{00000000-0005-0000-0000-000093960000}"/>
    <cellStyle name="Normal 3 7 3 2 3 3 4" xfId="38542" xr:uid="{00000000-0005-0000-0000-000094960000}"/>
    <cellStyle name="Normal 3 7 3 2 3 3 5" xfId="38543" xr:uid="{00000000-0005-0000-0000-000095960000}"/>
    <cellStyle name="Normal 3 7 3 2 3 4" xfId="38544" xr:uid="{00000000-0005-0000-0000-000096960000}"/>
    <cellStyle name="Normal 3 7 3 2 3 4 2" xfId="38545" xr:uid="{00000000-0005-0000-0000-000097960000}"/>
    <cellStyle name="Normal 3 7 3 2 3 5" xfId="38546" xr:uid="{00000000-0005-0000-0000-000098960000}"/>
    <cellStyle name="Normal 3 7 3 2 3 5 2" xfId="38547" xr:uid="{00000000-0005-0000-0000-000099960000}"/>
    <cellStyle name="Normal 3 7 3 2 3 6" xfId="38548" xr:uid="{00000000-0005-0000-0000-00009A960000}"/>
    <cellStyle name="Normal 3 7 3 2 3 7" xfId="38549" xr:uid="{00000000-0005-0000-0000-00009B960000}"/>
    <cellStyle name="Normal 3 7 3 2 4" xfId="38550" xr:uid="{00000000-0005-0000-0000-00009C960000}"/>
    <cellStyle name="Normal 3 7 3 2 4 2" xfId="38551" xr:uid="{00000000-0005-0000-0000-00009D960000}"/>
    <cellStyle name="Normal 3 7 3 2 4 2 2" xfId="38552" xr:uid="{00000000-0005-0000-0000-00009E960000}"/>
    <cellStyle name="Normal 3 7 3 2 4 2 2 2" xfId="38553" xr:uid="{00000000-0005-0000-0000-00009F960000}"/>
    <cellStyle name="Normal 3 7 3 2 4 2 3" xfId="38554" xr:uid="{00000000-0005-0000-0000-0000A0960000}"/>
    <cellStyle name="Normal 3 7 3 2 4 2 4" xfId="38555" xr:uid="{00000000-0005-0000-0000-0000A1960000}"/>
    <cellStyle name="Normal 3 7 3 2 4 3" xfId="38556" xr:uid="{00000000-0005-0000-0000-0000A2960000}"/>
    <cellStyle name="Normal 3 7 3 2 4 3 2" xfId="38557" xr:uid="{00000000-0005-0000-0000-0000A3960000}"/>
    <cellStyle name="Normal 3 7 3 2 4 4" xfId="38558" xr:uid="{00000000-0005-0000-0000-0000A4960000}"/>
    <cellStyle name="Normal 3 7 3 2 4 5" xfId="38559" xr:uid="{00000000-0005-0000-0000-0000A5960000}"/>
    <cellStyle name="Normal 3 7 3 2 5" xfId="38560" xr:uid="{00000000-0005-0000-0000-0000A6960000}"/>
    <cellStyle name="Normal 3 7 3 2 5 2" xfId="38561" xr:uid="{00000000-0005-0000-0000-0000A7960000}"/>
    <cellStyle name="Normal 3 7 3 2 5 2 2" xfId="38562" xr:uid="{00000000-0005-0000-0000-0000A8960000}"/>
    <cellStyle name="Normal 3 7 3 2 5 3" xfId="38563" xr:uid="{00000000-0005-0000-0000-0000A9960000}"/>
    <cellStyle name="Normal 3 7 3 2 5 3 2" xfId="38564" xr:uid="{00000000-0005-0000-0000-0000AA960000}"/>
    <cellStyle name="Normal 3 7 3 2 5 4" xfId="38565" xr:uid="{00000000-0005-0000-0000-0000AB960000}"/>
    <cellStyle name="Normal 3 7 3 2 5 5" xfId="38566" xr:uid="{00000000-0005-0000-0000-0000AC960000}"/>
    <cellStyle name="Normal 3 7 3 2 6" xfId="38567" xr:uid="{00000000-0005-0000-0000-0000AD960000}"/>
    <cellStyle name="Normal 3 7 3 2 6 2" xfId="38568" xr:uid="{00000000-0005-0000-0000-0000AE960000}"/>
    <cellStyle name="Normal 3 7 3 2 7" xfId="38569" xr:uid="{00000000-0005-0000-0000-0000AF960000}"/>
    <cellStyle name="Normal 3 7 3 2 7 2" xfId="38570" xr:uid="{00000000-0005-0000-0000-0000B0960000}"/>
    <cellStyle name="Normal 3 7 3 2 8" xfId="38571" xr:uid="{00000000-0005-0000-0000-0000B1960000}"/>
    <cellStyle name="Normal 3 7 3 2 9" xfId="38572" xr:uid="{00000000-0005-0000-0000-0000B2960000}"/>
    <cellStyle name="Normal 3 7 3 3" xfId="38573" xr:uid="{00000000-0005-0000-0000-0000B3960000}"/>
    <cellStyle name="Normal 3 7 3 3 2" xfId="38574" xr:uid="{00000000-0005-0000-0000-0000B4960000}"/>
    <cellStyle name="Normal 3 7 3 3 2 2" xfId="38575" xr:uid="{00000000-0005-0000-0000-0000B5960000}"/>
    <cellStyle name="Normal 3 7 3 3 2 2 2" xfId="38576" xr:uid="{00000000-0005-0000-0000-0000B6960000}"/>
    <cellStyle name="Normal 3 7 3 3 2 2 2 2" xfId="38577" xr:uid="{00000000-0005-0000-0000-0000B7960000}"/>
    <cellStyle name="Normal 3 7 3 3 2 2 2 2 2" xfId="38578" xr:uid="{00000000-0005-0000-0000-0000B8960000}"/>
    <cellStyle name="Normal 3 7 3 3 2 2 2 3" xfId="38579" xr:uid="{00000000-0005-0000-0000-0000B9960000}"/>
    <cellStyle name="Normal 3 7 3 3 2 2 2 4" xfId="38580" xr:uid="{00000000-0005-0000-0000-0000BA960000}"/>
    <cellStyle name="Normal 3 7 3 3 2 2 3" xfId="38581" xr:uid="{00000000-0005-0000-0000-0000BB960000}"/>
    <cellStyle name="Normal 3 7 3 3 2 2 3 2" xfId="38582" xr:uid="{00000000-0005-0000-0000-0000BC960000}"/>
    <cellStyle name="Normal 3 7 3 3 2 2 4" xfId="38583" xr:uid="{00000000-0005-0000-0000-0000BD960000}"/>
    <cellStyle name="Normal 3 7 3 3 2 2 5" xfId="38584" xr:uid="{00000000-0005-0000-0000-0000BE960000}"/>
    <cellStyle name="Normal 3 7 3 3 2 3" xfId="38585" xr:uid="{00000000-0005-0000-0000-0000BF960000}"/>
    <cellStyle name="Normal 3 7 3 3 2 3 2" xfId="38586" xr:uid="{00000000-0005-0000-0000-0000C0960000}"/>
    <cellStyle name="Normal 3 7 3 3 2 3 2 2" xfId="38587" xr:uid="{00000000-0005-0000-0000-0000C1960000}"/>
    <cellStyle name="Normal 3 7 3 3 2 3 3" xfId="38588" xr:uid="{00000000-0005-0000-0000-0000C2960000}"/>
    <cellStyle name="Normal 3 7 3 3 2 3 4" xfId="38589" xr:uid="{00000000-0005-0000-0000-0000C3960000}"/>
    <cellStyle name="Normal 3 7 3 3 2 4" xfId="38590" xr:uid="{00000000-0005-0000-0000-0000C4960000}"/>
    <cellStyle name="Normal 3 7 3 3 2 4 2" xfId="38591" xr:uid="{00000000-0005-0000-0000-0000C5960000}"/>
    <cellStyle name="Normal 3 7 3 3 2 5" xfId="38592" xr:uid="{00000000-0005-0000-0000-0000C6960000}"/>
    <cellStyle name="Normal 3 7 3 3 2 6" xfId="38593" xr:uid="{00000000-0005-0000-0000-0000C7960000}"/>
    <cellStyle name="Normal 3 7 3 3 3" xfId="38594" xr:uid="{00000000-0005-0000-0000-0000C8960000}"/>
    <cellStyle name="Normal 3 7 3 3 3 2" xfId="38595" xr:uid="{00000000-0005-0000-0000-0000C9960000}"/>
    <cellStyle name="Normal 3 7 3 3 3 2 2" xfId="38596" xr:uid="{00000000-0005-0000-0000-0000CA960000}"/>
    <cellStyle name="Normal 3 7 3 3 3 2 2 2" xfId="38597" xr:uid="{00000000-0005-0000-0000-0000CB960000}"/>
    <cellStyle name="Normal 3 7 3 3 3 2 3" xfId="38598" xr:uid="{00000000-0005-0000-0000-0000CC960000}"/>
    <cellStyle name="Normal 3 7 3 3 3 2 4" xfId="38599" xr:uid="{00000000-0005-0000-0000-0000CD960000}"/>
    <cellStyle name="Normal 3 7 3 3 3 3" xfId="38600" xr:uid="{00000000-0005-0000-0000-0000CE960000}"/>
    <cellStyle name="Normal 3 7 3 3 3 3 2" xfId="38601" xr:uid="{00000000-0005-0000-0000-0000CF960000}"/>
    <cellStyle name="Normal 3 7 3 3 3 4" xfId="38602" xr:uid="{00000000-0005-0000-0000-0000D0960000}"/>
    <cellStyle name="Normal 3 7 3 3 3 5" xfId="38603" xr:uid="{00000000-0005-0000-0000-0000D1960000}"/>
    <cellStyle name="Normal 3 7 3 3 4" xfId="38604" xr:uid="{00000000-0005-0000-0000-0000D2960000}"/>
    <cellStyle name="Normal 3 7 3 3 4 2" xfId="38605" xr:uid="{00000000-0005-0000-0000-0000D3960000}"/>
    <cellStyle name="Normal 3 7 3 3 4 2 2" xfId="38606" xr:uid="{00000000-0005-0000-0000-0000D4960000}"/>
    <cellStyle name="Normal 3 7 3 3 4 3" xfId="38607" xr:uid="{00000000-0005-0000-0000-0000D5960000}"/>
    <cellStyle name="Normal 3 7 3 3 4 4" xfId="38608" xr:uid="{00000000-0005-0000-0000-0000D6960000}"/>
    <cellStyle name="Normal 3 7 3 3 5" xfId="38609" xr:uid="{00000000-0005-0000-0000-0000D7960000}"/>
    <cellStyle name="Normal 3 7 3 3 5 2" xfId="38610" xr:uid="{00000000-0005-0000-0000-0000D8960000}"/>
    <cellStyle name="Normal 3 7 3 3 6" xfId="38611" xr:uid="{00000000-0005-0000-0000-0000D9960000}"/>
    <cellStyle name="Normal 3 7 3 3 7" xfId="38612" xr:uid="{00000000-0005-0000-0000-0000DA960000}"/>
    <cellStyle name="Normal 3 7 3 4" xfId="38613" xr:uid="{00000000-0005-0000-0000-0000DB960000}"/>
    <cellStyle name="Normal 3 7 3 4 2" xfId="38614" xr:uid="{00000000-0005-0000-0000-0000DC960000}"/>
    <cellStyle name="Normal 3 7 3 4 2 2" xfId="38615" xr:uid="{00000000-0005-0000-0000-0000DD960000}"/>
    <cellStyle name="Normal 3 7 3 4 2 2 2" xfId="38616" xr:uid="{00000000-0005-0000-0000-0000DE960000}"/>
    <cellStyle name="Normal 3 7 3 4 2 2 2 2" xfId="38617" xr:uid="{00000000-0005-0000-0000-0000DF960000}"/>
    <cellStyle name="Normal 3 7 3 4 2 2 3" xfId="38618" xr:uid="{00000000-0005-0000-0000-0000E0960000}"/>
    <cellStyle name="Normal 3 7 3 4 2 2 4" xfId="38619" xr:uid="{00000000-0005-0000-0000-0000E1960000}"/>
    <cellStyle name="Normal 3 7 3 4 2 3" xfId="38620" xr:uid="{00000000-0005-0000-0000-0000E2960000}"/>
    <cellStyle name="Normal 3 7 3 4 2 3 2" xfId="38621" xr:uid="{00000000-0005-0000-0000-0000E3960000}"/>
    <cellStyle name="Normal 3 7 3 4 2 4" xfId="38622" xr:uid="{00000000-0005-0000-0000-0000E4960000}"/>
    <cellStyle name="Normal 3 7 3 4 2 5" xfId="38623" xr:uid="{00000000-0005-0000-0000-0000E5960000}"/>
    <cellStyle name="Normal 3 7 3 4 3" xfId="38624" xr:uid="{00000000-0005-0000-0000-0000E6960000}"/>
    <cellStyle name="Normal 3 7 3 4 3 2" xfId="38625" xr:uid="{00000000-0005-0000-0000-0000E7960000}"/>
    <cellStyle name="Normal 3 7 3 4 3 2 2" xfId="38626" xr:uid="{00000000-0005-0000-0000-0000E8960000}"/>
    <cellStyle name="Normal 3 7 3 4 3 3" xfId="38627" xr:uid="{00000000-0005-0000-0000-0000E9960000}"/>
    <cellStyle name="Normal 3 7 3 4 3 3 2" xfId="38628" xr:uid="{00000000-0005-0000-0000-0000EA960000}"/>
    <cellStyle name="Normal 3 7 3 4 3 4" xfId="38629" xr:uid="{00000000-0005-0000-0000-0000EB960000}"/>
    <cellStyle name="Normal 3 7 3 4 3 5" xfId="38630" xr:uid="{00000000-0005-0000-0000-0000EC960000}"/>
    <cellStyle name="Normal 3 7 3 4 4" xfId="38631" xr:uid="{00000000-0005-0000-0000-0000ED960000}"/>
    <cellStyle name="Normal 3 7 3 4 4 2" xfId="38632" xr:uid="{00000000-0005-0000-0000-0000EE960000}"/>
    <cellStyle name="Normal 3 7 3 4 5" xfId="38633" xr:uid="{00000000-0005-0000-0000-0000EF960000}"/>
    <cellStyle name="Normal 3 7 3 4 5 2" xfId="38634" xr:uid="{00000000-0005-0000-0000-0000F0960000}"/>
    <cellStyle name="Normal 3 7 3 4 6" xfId="38635" xr:uid="{00000000-0005-0000-0000-0000F1960000}"/>
    <cellStyle name="Normal 3 7 3 4 7" xfId="38636" xr:uid="{00000000-0005-0000-0000-0000F2960000}"/>
    <cellStyle name="Normal 3 7 3 5" xfId="38637" xr:uid="{00000000-0005-0000-0000-0000F3960000}"/>
    <cellStyle name="Normal 3 7 3 5 2" xfId="38638" xr:uid="{00000000-0005-0000-0000-0000F4960000}"/>
    <cellStyle name="Normal 3 7 3 5 2 2" xfId="38639" xr:uid="{00000000-0005-0000-0000-0000F5960000}"/>
    <cellStyle name="Normal 3 7 3 5 2 2 2" xfId="38640" xr:uid="{00000000-0005-0000-0000-0000F6960000}"/>
    <cellStyle name="Normal 3 7 3 5 2 3" xfId="38641" xr:uid="{00000000-0005-0000-0000-0000F7960000}"/>
    <cellStyle name="Normal 3 7 3 5 2 4" xfId="38642" xr:uid="{00000000-0005-0000-0000-0000F8960000}"/>
    <cellStyle name="Normal 3 7 3 5 3" xfId="38643" xr:uid="{00000000-0005-0000-0000-0000F9960000}"/>
    <cellStyle name="Normal 3 7 3 5 3 2" xfId="38644" xr:uid="{00000000-0005-0000-0000-0000FA960000}"/>
    <cellStyle name="Normal 3 7 3 5 4" xfId="38645" xr:uid="{00000000-0005-0000-0000-0000FB960000}"/>
    <cellStyle name="Normal 3 7 3 5 5" xfId="38646" xr:uid="{00000000-0005-0000-0000-0000FC960000}"/>
    <cellStyle name="Normal 3 7 3 6" xfId="38647" xr:uid="{00000000-0005-0000-0000-0000FD960000}"/>
    <cellStyle name="Normal 3 7 3 6 2" xfId="38648" xr:uid="{00000000-0005-0000-0000-0000FE960000}"/>
    <cellStyle name="Normal 3 7 3 6 2 2" xfId="38649" xr:uid="{00000000-0005-0000-0000-0000FF960000}"/>
    <cellStyle name="Normal 3 7 3 6 3" xfId="38650" xr:uid="{00000000-0005-0000-0000-000000970000}"/>
    <cellStyle name="Normal 3 7 3 6 3 2" xfId="38651" xr:uid="{00000000-0005-0000-0000-000001970000}"/>
    <cellStyle name="Normal 3 7 3 6 4" xfId="38652" xr:uid="{00000000-0005-0000-0000-000002970000}"/>
    <cellStyle name="Normal 3 7 3 6 5" xfId="38653" xr:uid="{00000000-0005-0000-0000-000003970000}"/>
    <cellStyle name="Normal 3 7 3 7" xfId="38654" xr:uid="{00000000-0005-0000-0000-000004970000}"/>
    <cellStyle name="Normal 3 7 3 7 2" xfId="38655" xr:uid="{00000000-0005-0000-0000-000005970000}"/>
    <cellStyle name="Normal 3 7 3 8" xfId="38656" xr:uid="{00000000-0005-0000-0000-000006970000}"/>
    <cellStyle name="Normal 3 7 3 8 2" xfId="38657" xr:uid="{00000000-0005-0000-0000-000007970000}"/>
    <cellStyle name="Normal 3 7 3 9" xfId="38658" xr:uid="{00000000-0005-0000-0000-000008970000}"/>
    <cellStyle name="Normal 3 7 4" xfId="38659" xr:uid="{00000000-0005-0000-0000-000009970000}"/>
    <cellStyle name="Normal 3 7 4 2" xfId="38660" xr:uid="{00000000-0005-0000-0000-00000A970000}"/>
    <cellStyle name="Normal 3 7 4 2 2" xfId="38661" xr:uid="{00000000-0005-0000-0000-00000B970000}"/>
    <cellStyle name="Normal 3 7 4 2 2 2" xfId="38662" xr:uid="{00000000-0005-0000-0000-00000C970000}"/>
    <cellStyle name="Normal 3 7 4 2 2 2 2" xfId="38663" xr:uid="{00000000-0005-0000-0000-00000D970000}"/>
    <cellStyle name="Normal 3 7 4 2 2 2 2 2" xfId="38664" xr:uid="{00000000-0005-0000-0000-00000E970000}"/>
    <cellStyle name="Normal 3 7 4 2 2 2 2 2 2" xfId="38665" xr:uid="{00000000-0005-0000-0000-00000F970000}"/>
    <cellStyle name="Normal 3 7 4 2 2 2 2 3" xfId="38666" xr:uid="{00000000-0005-0000-0000-000010970000}"/>
    <cellStyle name="Normal 3 7 4 2 2 2 2 4" xfId="38667" xr:uid="{00000000-0005-0000-0000-000011970000}"/>
    <cellStyle name="Normal 3 7 4 2 2 2 3" xfId="38668" xr:uid="{00000000-0005-0000-0000-000012970000}"/>
    <cellStyle name="Normal 3 7 4 2 2 2 3 2" xfId="38669" xr:uid="{00000000-0005-0000-0000-000013970000}"/>
    <cellStyle name="Normal 3 7 4 2 2 2 4" xfId="38670" xr:uid="{00000000-0005-0000-0000-000014970000}"/>
    <cellStyle name="Normal 3 7 4 2 2 2 5" xfId="38671" xr:uid="{00000000-0005-0000-0000-000015970000}"/>
    <cellStyle name="Normal 3 7 4 2 2 3" xfId="38672" xr:uid="{00000000-0005-0000-0000-000016970000}"/>
    <cellStyle name="Normal 3 7 4 2 2 3 2" xfId="38673" xr:uid="{00000000-0005-0000-0000-000017970000}"/>
    <cellStyle name="Normal 3 7 4 2 2 3 2 2" xfId="38674" xr:uid="{00000000-0005-0000-0000-000018970000}"/>
    <cellStyle name="Normal 3 7 4 2 2 3 3" xfId="38675" xr:uid="{00000000-0005-0000-0000-000019970000}"/>
    <cellStyle name="Normal 3 7 4 2 2 3 4" xfId="38676" xr:uid="{00000000-0005-0000-0000-00001A970000}"/>
    <cellStyle name="Normal 3 7 4 2 2 4" xfId="38677" xr:uid="{00000000-0005-0000-0000-00001B970000}"/>
    <cellStyle name="Normal 3 7 4 2 2 4 2" xfId="38678" xr:uid="{00000000-0005-0000-0000-00001C970000}"/>
    <cellStyle name="Normal 3 7 4 2 2 5" xfId="38679" xr:uid="{00000000-0005-0000-0000-00001D970000}"/>
    <cellStyle name="Normal 3 7 4 2 2 6" xfId="38680" xr:uid="{00000000-0005-0000-0000-00001E970000}"/>
    <cellStyle name="Normal 3 7 4 2 3" xfId="38681" xr:uid="{00000000-0005-0000-0000-00001F970000}"/>
    <cellStyle name="Normal 3 7 4 2 3 2" xfId="38682" xr:uid="{00000000-0005-0000-0000-000020970000}"/>
    <cellStyle name="Normal 3 7 4 2 3 2 2" xfId="38683" xr:uid="{00000000-0005-0000-0000-000021970000}"/>
    <cellStyle name="Normal 3 7 4 2 3 2 2 2" xfId="38684" xr:uid="{00000000-0005-0000-0000-000022970000}"/>
    <cellStyle name="Normal 3 7 4 2 3 2 3" xfId="38685" xr:uid="{00000000-0005-0000-0000-000023970000}"/>
    <cellStyle name="Normal 3 7 4 2 3 2 4" xfId="38686" xr:uid="{00000000-0005-0000-0000-000024970000}"/>
    <cellStyle name="Normal 3 7 4 2 3 3" xfId="38687" xr:uid="{00000000-0005-0000-0000-000025970000}"/>
    <cellStyle name="Normal 3 7 4 2 3 3 2" xfId="38688" xr:uid="{00000000-0005-0000-0000-000026970000}"/>
    <cellStyle name="Normal 3 7 4 2 3 4" xfId="38689" xr:uid="{00000000-0005-0000-0000-000027970000}"/>
    <cellStyle name="Normal 3 7 4 2 3 5" xfId="38690" xr:uid="{00000000-0005-0000-0000-000028970000}"/>
    <cellStyle name="Normal 3 7 4 2 4" xfId="38691" xr:uid="{00000000-0005-0000-0000-000029970000}"/>
    <cellStyle name="Normal 3 7 4 2 4 2" xfId="38692" xr:uid="{00000000-0005-0000-0000-00002A970000}"/>
    <cellStyle name="Normal 3 7 4 2 4 2 2" xfId="38693" xr:uid="{00000000-0005-0000-0000-00002B970000}"/>
    <cellStyle name="Normal 3 7 4 2 4 3" xfId="38694" xr:uid="{00000000-0005-0000-0000-00002C970000}"/>
    <cellStyle name="Normal 3 7 4 2 4 4" xfId="38695" xr:uid="{00000000-0005-0000-0000-00002D970000}"/>
    <cellStyle name="Normal 3 7 4 2 5" xfId="38696" xr:uid="{00000000-0005-0000-0000-00002E970000}"/>
    <cellStyle name="Normal 3 7 4 2 5 2" xfId="38697" xr:uid="{00000000-0005-0000-0000-00002F970000}"/>
    <cellStyle name="Normal 3 7 4 2 6" xfId="38698" xr:uid="{00000000-0005-0000-0000-000030970000}"/>
    <cellStyle name="Normal 3 7 4 2 7" xfId="38699" xr:uid="{00000000-0005-0000-0000-000031970000}"/>
    <cellStyle name="Normal 3 7 4 3" xfId="38700" xr:uid="{00000000-0005-0000-0000-000032970000}"/>
    <cellStyle name="Normal 3 7 4 3 2" xfId="38701" xr:uid="{00000000-0005-0000-0000-000033970000}"/>
    <cellStyle name="Normal 3 7 4 3 2 2" xfId="38702" xr:uid="{00000000-0005-0000-0000-000034970000}"/>
    <cellStyle name="Normal 3 7 4 3 2 2 2" xfId="38703" xr:uid="{00000000-0005-0000-0000-000035970000}"/>
    <cellStyle name="Normal 3 7 4 3 2 2 2 2" xfId="38704" xr:uid="{00000000-0005-0000-0000-000036970000}"/>
    <cellStyle name="Normal 3 7 4 3 2 2 3" xfId="38705" xr:uid="{00000000-0005-0000-0000-000037970000}"/>
    <cellStyle name="Normal 3 7 4 3 2 2 4" xfId="38706" xr:uid="{00000000-0005-0000-0000-000038970000}"/>
    <cellStyle name="Normal 3 7 4 3 2 3" xfId="38707" xr:uid="{00000000-0005-0000-0000-000039970000}"/>
    <cellStyle name="Normal 3 7 4 3 2 3 2" xfId="38708" xr:uid="{00000000-0005-0000-0000-00003A970000}"/>
    <cellStyle name="Normal 3 7 4 3 2 4" xfId="38709" xr:uid="{00000000-0005-0000-0000-00003B970000}"/>
    <cellStyle name="Normal 3 7 4 3 2 5" xfId="38710" xr:uid="{00000000-0005-0000-0000-00003C970000}"/>
    <cellStyle name="Normal 3 7 4 3 3" xfId="38711" xr:uid="{00000000-0005-0000-0000-00003D970000}"/>
    <cellStyle name="Normal 3 7 4 3 3 2" xfId="38712" xr:uid="{00000000-0005-0000-0000-00003E970000}"/>
    <cellStyle name="Normal 3 7 4 3 3 2 2" xfId="38713" xr:uid="{00000000-0005-0000-0000-00003F970000}"/>
    <cellStyle name="Normal 3 7 4 3 3 3" xfId="38714" xr:uid="{00000000-0005-0000-0000-000040970000}"/>
    <cellStyle name="Normal 3 7 4 3 3 3 2" xfId="38715" xr:uid="{00000000-0005-0000-0000-000041970000}"/>
    <cellStyle name="Normal 3 7 4 3 3 4" xfId="38716" xr:uid="{00000000-0005-0000-0000-000042970000}"/>
    <cellStyle name="Normal 3 7 4 3 3 5" xfId="38717" xr:uid="{00000000-0005-0000-0000-000043970000}"/>
    <cellStyle name="Normal 3 7 4 3 4" xfId="38718" xr:uid="{00000000-0005-0000-0000-000044970000}"/>
    <cellStyle name="Normal 3 7 4 3 4 2" xfId="38719" xr:uid="{00000000-0005-0000-0000-000045970000}"/>
    <cellStyle name="Normal 3 7 4 3 5" xfId="38720" xr:uid="{00000000-0005-0000-0000-000046970000}"/>
    <cellStyle name="Normal 3 7 4 3 5 2" xfId="38721" xr:uid="{00000000-0005-0000-0000-000047970000}"/>
    <cellStyle name="Normal 3 7 4 3 6" xfId="38722" xr:uid="{00000000-0005-0000-0000-000048970000}"/>
    <cellStyle name="Normal 3 7 4 3 7" xfId="38723" xr:uid="{00000000-0005-0000-0000-000049970000}"/>
    <cellStyle name="Normal 3 7 4 4" xfId="38724" xr:uid="{00000000-0005-0000-0000-00004A970000}"/>
    <cellStyle name="Normal 3 7 4 4 2" xfId="38725" xr:uid="{00000000-0005-0000-0000-00004B970000}"/>
    <cellStyle name="Normal 3 7 4 4 2 2" xfId="38726" xr:uid="{00000000-0005-0000-0000-00004C970000}"/>
    <cellStyle name="Normal 3 7 4 4 2 2 2" xfId="38727" xr:uid="{00000000-0005-0000-0000-00004D970000}"/>
    <cellStyle name="Normal 3 7 4 4 2 3" xfId="38728" xr:uid="{00000000-0005-0000-0000-00004E970000}"/>
    <cellStyle name="Normal 3 7 4 4 2 4" xfId="38729" xr:uid="{00000000-0005-0000-0000-00004F970000}"/>
    <cellStyle name="Normal 3 7 4 4 3" xfId="38730" xr:uid="{00000000-0005-0000-0000-000050970000}"/>
    <cellStyle name="Normal 3 7 4 4 3 2" xfId="38731" xr:uid="{00000000-0005-0000-0000-000051970000}"/>
    <cellStyle name="Normal 3 7 4 4 4" xfId="38732" xr:uid="{00000000-0005-0000-0000-000052970000}"/>
    <cellStyle name="Normal 3 7 4 4 5" xfId="38733" xr:uid="{00000000-0005-0000-0000-000053970000}"/>
    <cellStyle name="Normal 3 7 4 5" xfId="38734" xr:uid="{00000000-0005-0000-0000-000054970000}"/>
    <cellStyle name="Normal 3 7 4 5 2" xfId="38735" xr:uid="{00000000-0005-0000-0000-000055970000}"/>
    <cellStyle name="Normal 3 7 4 5 2 2" xfId="38736" xr:uid="{00000000-0005-0000-0000-000056970000}"/>
    <cellStyle name="Normal 3 7 4 5 3" xfId="38737" xr:uid="{00000000-0005-0000-0000-000057970000}"/>
    <cellStyle name="Normal 3 7 4 5 3 2" xfId="38738" xr:uid="{00000000-0005-0000-0000-000058970000}"/>
    <cellStyle name="Normal 3 7 4 5 4" xfId="38739" xr:uid="{00000000-0005-0000-0000-000059970000}"/>
    <cellStyle name="Normal 3 7 4 5 5" xfId="38740" xr:uid="{00000000-0005-0000-0000-00005A970000}"/>
    <cellStyle name="Normal 3 7 4 6" xfId="38741" xr:uid="{00000000-0005-0000-0000-00005B970000}"/>
    <cellStyle name="Normal 3 7 4 6 2" xfId="38742" xr:uid="{00000000-0005-0000-0000-00005C970000}"/>
    <cellStyle name="Normal 3 7 4 7" xfId="38743" xr:uid="{00000000-0005-0000-0000-00005D970000}"/>
    <cellStyle name="Normal 3 7 4 7 2" xfId="38744" xr:uid="{00000000-0005-0000-0000-00005E970000}"/>
    <cellStyle name="Normal 3 7 4 8" xfId="38745" xr:uid="{00000000-0005-0000-0000-00005F970000}"/>
    <cellStyle name="Normal 3 7 4 9" xfId="38746" xr:uid="{00000000-0005-0000-0000-000060970000}"/>
    <cellStyle name="Normal 3 7 5" xfId="38747" xr:uid="{00000000-0005-0000-0000-000061970000}"/>
    <cellStyle name="Normal 3 7 5 2" xfId="38748" xr:uid="{00000000-0005-0000-0000-000062970000}"/>
    <cellStyle name="Normal 3 7 5 2 2" xfId="38749" xr:uid="{00000000-0005-0000-0000-000063970000}"/>
    <cellStyle name="Normal 3 7 5 2 2 2" xfId="38750" xr:uid="{00000000-0005-0000-0000-000064970000}"/>
    <cellStyle name="Normal 3 7 5 2 2 2 2" xfId="38751" xr:uid="{00000000-0005-0000-0000-000065970000}"/>
    <cellStyle name="Normal 3 7 5 2 2 2 2 2" xfId="38752" xr:uid="{00000000-0005-0000-0000-000066970000}"/>
    <cellStyle name="Normal 3 7 5 2 2 2 3" xfId="38753" xr:uid="{00000000-0005-0000-0000-000067970000}"/>
    <cellStyle name="Normal 3 7 5 2 2 2 4" xfId="38754" xr:uid="{00000000-0005-0000-0000-000068970000}"/>
    <cellStyle name="Normal 3 7 5 2 2 3" xfId="38755" xr:uid="{00000000-0005-0000-0000-000069970000}"/>
    <cellStyle name="Normal 3 7 5 2 2 3 2" xfId="38756" xr:uid="{00000000-0005-0000-0000-00006A970000}"/>
    <cellStyle name="Normal 3 7 5 2 2 4" xfId="38757" xr:uid="{00000000-0005-0000-0000-00006B970000}"/>
    <cellStyle name="Normal 3 7 5 2 2 5" xfId="38758" xr:uid="{00000000-0005-0000-0000-00006C970000}"/>
    <cellStyle name="Normal 3 7 5 2 3" xfId="38759" xr:uid="{00000000-0005-0000-0000-00006D970000}"/>
    <cellStyle name="Normal 3 7 5 2 3 2" xfId="38760" xr:uid="{00000000-0005-0000-0000-00006E970000}"/>
    <cellStyle name="Normal 3 7 5 2 3 2 2" xfId="38761" xr:uid="{00000000-0005-0000-0000-00006F970000}"/>
    <cellStyle name="Normal 3 7 5 2 3 3" xfId="38762" xr:uid="{00000000-0005-0000-0000-000070970000}"/>
    <cellStyle name="Normal 3 7 5 2 3 3 2" xfId="38763" xr:uid="{00000000-0005-0000-0000-000071970000}"/>
    <cellStyle name="Normal 3 7 5 2 3 4" xfId="38764" xr:uid="{00000000-0005-0000-0000-000072970000}"/>
    <cellStyle name="Normal 3 7 5 2 3 5" xfId="38765" xr:uid="{00000000-0005-0000-0000-000073970000}"/>
    <cellStyle name="Normal 3 7 5 2 4" xfId="38766" xr:uid="{00000000-0005-0000-0000-000074970000}"/>
    <cellStyle name="Normal 3 7 5 2 4 2" xfId="38767" xr:uid="{00000000-0005-0000-0000-000075970000}"/>
    <cellStyle name="Normal 3 7 5 2 5" xfId="38768" xr:uid="{00000000-0005-0000-0000-000076970000}"/>
    <cellStyle name="Normal 3 7 5 2 5 2" xfId="38769" xr:uid="{00000000-0005-0000-0000-000077970000}"/>
    <cellStyle name="Normal 3 7 5 2 6" xfId="38770" xr:uid="{00000000-0005-0000-0000-000078970000}"/>
    <cellStyle name="Normal 3 7 5 2 7" xfId="38771" xr:uid="{00000000-0005-0000-0000-000079970000}"/>
    <cellStyle name="Normal 3 7 5 3" xfId="38772" xr:uid="{00000000-0005-0000-0000-00007A970000}"/>
    <cellStyle name="Normal 3 7 5 3 2" xfId="38773" xr:uid="{00000000-0005-0000-0000-00007B970000}"/>
    <cellStyle name="Normal 3 7 5 3 2 2" xfId="38774" xr:uid="{00000000-0005-0000-0000-00007C970000}"/>
    <cellStyle name="Normal 3 7 5 3 2 2 2" xfId="38775" xr:uid="{00000000-0005-0000-0000-00007D970000}"/>
    <cellStyle name="Normal 3 7 5 3 2 3" xfId="38776" xr:uid="{00000000-0005-0000-0000-00007E970000}"/>
    <cellStyle name="Normal 3 7 5 3 2 4" xfId="38777" xr:uid="{00000000-0005-0000-0000-00007F970000}"/>
    <cellStyle name="Normal 3 7 5 3 3" xfId="38778" xr:uid="{00000000-0005-0000-0000-000080970000}"/>
    <cellStyle name="Normal 3 7 5 3 3 2" xfId="38779" xr:uid="{00000000-0005-0000-0000-000081970000}"/>
    <cellStyle name="Normal 3 7 5 3 4" xfId="38780" xr:uid="{00000000-0005-0000-0000-000082970000}"/>
    <cellStyle name="Normal 3 7 5 3 5" xfId="38781" xr:uid="{00000000-0005-0000-0000-000083970000}"/>
    <cellStyle name="Normal 3 7 5 4" xfId="38782" xr:uid="{00000000-0005-0000-0000-000084970000}"/>
    <cellStyle name="Normal 3 7 5 4 2" xfId="38783" xr:uid="{00000000-0005-0000-0000-000085970000}"/>
    <cellStyle name="Normal 3 7 5 4 2 2" xfId="38784" xr:uid="{00000000-0005-0000-0000-000086970000}"/>
    <cellStyle name="Normal 3 7 5 4 3" xfId="38785" xr:uid="{00000000-0005-0000-0000-000087970000}"/>
    <cellStyle name="Normal 3 7 5 4 3 2" xfId="38786" xr:uid="{00000000-0005-0000-0000-000088970000}"/>
    <cellStyle name="Normal 3 7 5 4 4" xfId="38787" xr:uid="{00000000-0005-0000-0000-000089970000}"/>
    <cellStyle name="Normal 3 7 5 4 5" xfId="38788" xr:uid="{00000000-0005-0000-0000-00008A970000}"/>
    <cellStyle name="Normal 3 7 5 5" xfId="38789" xr:uid="{00000000-0005-0000-0000-00008B970000}"/>
    <cellStyle name="Normal 3 7 5 5 2" xfId="38790" xr:uid="{00000000-0005-0000-0000-00008C970000}"/>
    <cellStyle name="Normal 3 7 5 6" xfId="38791" xr:uid="{00000000-0005-0000-0000-00008D970000}"/>
    <cellStyle name="Normal 3 7 5 6 2" xfId="38792" xr:uid="{00000000-0005-0000-0000-00008E970000}"/>
    <cellStyle name="Normal 3 7 5 7" xfId="38793" xr:uid="{00000000-0005-0000-0000-00008F970000}"/>
    <cellStyle name="Normal 3 7 5 8" xfId="38794" xr:uid="{00000000-0005-0000-0000-000090970000}"/>
    <cellStyle name="Normal 3 7 6" xfId="38795" xr:uid="{00000000-0005-0000-0000-000091970000}"/>
    <cellStyle name="Normal 3 7 6 2" xfId="38796" xr:uid="{00000000-0005-0000-0000-000092970000}"/>
    <cellStyle name="Normal 3 7 6 2 2" xfId="38797" xr:uid="{00000000-0005-0000-0000-000093970000}"/>
    <cellStyle name="Normal 3 7 6 2 2 2" xfId="38798" xr:uid="{00000000-0005-0000-0000-000094970000}"/>
    <cellStyle name="Normal 3 7 6 2 2 2 2" xfId="38799" xr:uid="{00000000-0005-0000-0000-000095970000}"/>
    <cellStyle name="Normal 3 7 6 2 2 3" xfId="38800" xr:uid="{00000000-0005-0000-0000-000096970000}"/>
    <cellStyle name="Normal 3 7 6 2 2 4" xfId="38801" xr:uid="{00000000-0005-0000-0000-000097970000}"/>
    <cellStyle name="Normal 3 7 6 2 3" xfId="38802" xr:uid="{00000000-0005-0000-0000-000098970000}"/>
    <cellStyle name="Normal 3 7 6 2 3 2" xfId="38803" xr:uid="{00000000-0005-0000-0000-000099970000}"/>
    <cellStyle name="Normal 3 7 6 2 4" xfId="38804" xr:uid="{00000000-0005-0000-0000-00009A970000}"/>
    <cellStyle name="Normal 3 7 6 2 5" xfId="38805" xr:uid="{00000000-0005-0000-0000-00009B970000}"/>
    <cellStyle name="Normal 3 7 6 3" xfId="38806" xr:uid="{00000000-0005-0000-0000-00009C970000}"/>
    <cellStyle name="Normal 3 7 6 3 2" xfId="38807" xr:uid="{00000000-0005-0000-0000-00009D970000}"/>
    <cellStyle name="Normal 3 7 6 3 2 2" xfId="38808" xr:uid="{00000000-0005-0000-0000-00009E970000}"/>
    <cellStyle name="Normal 3 7 6 3 3" xfId="38809" xr:uid="{00000000-0005-0000-0000-00009F970000}"/>
    <cellStyle name="Normal 3 7 6 3 3 2" xfId="38810" xr:uid="{00000000-0005-0000-0000-0000A0970000}"/>
    <cellStyle name="Normal 3 7 6 3 4" xfId="38811" xr:uid="{00000000-0005-0000-0000-0000A1970000}"/>
    <cellStyle name="Normal 3 7 6 3 5" xfId="38812" xr:uid="{00000000-0005-0000-0000-0000A2970000}"/>
    <cellStyle name="Normal 3 7 6 4" xfId="38813" xr:uid="{00000000-0005-0000-0000-0000A3970000}"/>
    <cellStyle name="Normal 3 7 6 4 2" xfId="38814" xr:uid="{00000000-0005-0000-0000-0000A4970000}"/>
    <cellStyle name="Normal 3 7 6 5" xfId="38815" xr:uid="{00000000-0005-0000-0000-0000A5970000}"/>
    <cellStyle name="Normal 3 7 6 5 2" xfId="38816" xr:uid="{00000000-0005-0000-0000-0000A6970000}"/>
    <cellStyle name="Normal 3 7 6 6" xfId="38817" xr:uid="{00000000-0005-0000-0000-0000A7970000}"/>
    <cellStyle name="Normal 3 7 6 7" xfId="38818" xr:uid="{00000000-0005-0000-0000-0000A8970000}"/>
    <cellStyle name="Normal 3 7 7" xfId="38819" xr:uid="{00000000-0005-0000-0000-0000A9970000}"/>
    <cellStyle name="Normal 3 7 7 2" xfId="38820" xr:uid="{00000000-0005-0000-0000-0000AA970000}"/>
    <cellStyle name="Normal 3 7 7 2 2" xfId="38821" xr:uid="{00000000-0005-0000-0000-0000AB970000}"/>
    <cellStyle name="Normal 3 7 7 2 2 2" xfId="38822" xr:uid="{00000000-0005-0000-0000-0000AC970000}"/>
    <cellStyle name="Normal 3 7 7 2 3" xfId="38823" xr:uid="{00000000-0005-0000-0000-0000AD970000}"/>
    <cellStyle name="Normal 3 7 7 2 4" xfId="38824" xr:uid="{00000000-0005-0000-0000-0000AE970000}"/>
    <cellStyle name="Normal 3 7 7 3" xfId="38825" xr:uid="{00000000-0005-0000-0000-0000AF970000}"/>
    <cellStyle name="Normal 3 7 7 3 2" xfId="38826" xr:uid="{00000000-0005-0000-0000-0000B0970000}"/>
    <cellStyle name="Normal 3 7 7 4" xfId="38827" xr:uid="{00000000-0005-0000-0000-0000B1970000}"/>
    <cellStyle name="Normal 3 7 7 5" xfId="38828" xr:uid="{00000000-0005-0000-0000-0000B2970000}"/>
    <cellStyle name="Normal 3 7 8" xfId="38829" xr:uid="{00000000-0005-0000-0000-0000B3970000}"/>
    <cellStyle name="Normal 3 7 8 2" xfId="38830" xr:uid="{00000000-0005-0000-0000-0000B4970000}"/>
    <cellStyle name="Normal 3 7 8 2 2" xfId="38831" xr:uid="{00000000-0005-0000-0000-0000B5970000}"/>
    <cellStyle name="Normal 3 7 8 3" xfId="38832" xr:uid="{00000000-0005-0000-0000-0000B6970000}"/>
    <cellStyle name="Normal 3 7 8 3 2" xfId="38833" xr:uid="{00000000-0005-0000-0000-0000B7970000}"/>
    <cellStyle name="Normal 3 7 8 4" xfId="38834" xr:uid="{00000000-0005-0000-0000-0000B8970000}"/>
    <cellStyle name="Normal 3 7 8 5" xfId="38835" xr:uid="{00000000-0005-0000-0000-0000B9970000}"/>
    <cellStyle name="Normal 3 7 9" xfId="38836" xr:uid="{00000000-0005-0000-0000-0000BA970000}"/>
    <cellStyle name="Normal 3 7 9 2" xfId="38837" xr:uid="{00000000-0005-0000-0000-0000BB970000}"/>
    <cellStyle name="Normal 3 8" xfId="38838" xr:uid="{00000000-0005-0000-0000-0000BC970000}"/>
    <cellStyle name="Normal 3 8 10" xfId="38839" xr:uid="{00000000-0005-0000-0000-0000BD970000}"/>
    <cellStyle name="Normal 3 8 10 2" xfId="38840" xr:uid="{00000000-0005-0000-0000-0000BE970000}"/>
    <cellStyle name="Normal 3 8 11" xfId="38841" xr:uid="{00000000-0005-0000-0000-0000BF970000}"/>
    <cellStyle name="Normal 3 8 12" xfId="38842" xr:uid="{00000000-0005-0000-0000-0000C0970000}"/>
    <cellStyle name="Normal 3 8 2" xfId="38843" xr:uid="{00000000-0005-0000-0000-0000C1970000}"/>
    <cellStyle name="Normal 3 8 2 10" xfId="38844" xr:uid="{00000000-0005-0000-0000-0000C2970000}"/>
    <cellStyle name="Normal 3 8 2 11" xfId="38845" xr:uid="{00000000-0005-0000-0000-0000C3970000}"/>
    <cellStyle name="Normal 3 8 2 2" xfId="38846" xr:uid="{00000000-0005-0000-0000-0000C4970000}"/>
    <cellStyle name="Normal 3 8 2 2 10" xfId="38847" xr:uid="{00000000-0005-0000-0000-0000C5970000}"/>
    <cellStyle name="Normal 3 8 2 2 2" xfId="38848" xr:uid="{00000000-0005-0000-0000-0000C6970000}"/>
    <cellStyle name="Normal 3 8 2 2 2 2" xfId="38849" xr:uid="{00000000-0005-0000-0000-0000C7970000}"/>
    <cellStyle name="Normal 3 8 2 2 2 2 2" xfId="38850" xr:uid="{00000000-0005-0000-0000-0000C8970000}"/>
    <cellStyle name="Normal 3 8 2 2 2 2 2 2" xfId="38851" xr:uid="{00000000-0005-0000-0000-0000C9970000}"/>
    <cellStyle name="Normal 3 8 2 2 2 2 2 2 2" xfId="38852" xr:uid="{00000000-0005-0000-0000-0000CA970000}"/>
    <cellStyle name="Normal 3 8 2 2 2 2 2 2 2 2" xfId="38853" xr:uid="{00000000-0005-0000-0000-0000CB970000}"/>
    <cellStyle name="Normal 3 8 2 2 2 2 2 2 2 2 2" xfId="38854" xr:uid="{00000000-0005-0000-0000-0000CC970000}"/>
    <cellStyle name="Normal 3 8 2 2 2 2 2 2 2 3" xfId="38855" xr:uid="{00000000-0005-0000-0000-0000CD970000}"/>
    <cellStyle name="Normal 3 8 2 2 2 2 2 2 2 4" xfId="38856" xr:uid="{00000000-0005-0000-0000-0000CE970000}"/>
    <cellStyle name="Normal 3 8 2 2 2 2 2 2 3" xfId="38857" xr:uid="{00000000-0005-0000-0000-0000CF970000}"/>
    <cellStyle name="Normal 3 8 2 2 2 2 2 2 3 2" xfId="38858" xr:uid="{00000000-0005-0000-0000-0000D0970000}"/>
    <cellStyle name="Normal 3 8 2 2 2 2 2 2 4" xfId="38859" xr:uid="{00000000-0005-0000-0000-0000D1970000}"/>
    <cellStyle name="Normal 3 8 2 2 2 2 2 2 5" xfId="38860" xr:uid="{00000000-0005-0000-0000-0000D2970000}"/>
    <cellStyle name="Normal 3 8 2 2 2 2 2 3" xfId="38861" xr:uid="{00000000-0005-0000-0000-0000D3970000}"/>
    <cellStyle name="Normal 3 8 2 2 2 2 2 3 2" xfId="38862" xr:uid="{00000000-0005-0000-0000-0000D4970000}"/>
    <cellStyle name="Normal 3 8 2 2 2 2 2 3 2 2" xfId="38863" xr:uid="{00000000-0005-0000-0000-0000D5970000}"/>
    <cellStyle name="Normal 3 8 2 2 2 2 2 3 3" xfId="38864" xr:uid="{00000000-0005-0000-0000-0000D6970000}"/>
    <cellStyle name="Normal 3 8 2 2 2 2 2 3 4" xfId="38865" xr:uid="{00000000-0005-0000-0000-0000D7970000}"/>
    <cellStyle name="Normal 3 8 2 2 2 2 2 4" xfId="38866" xr:uid="{00000000-0005-0000-0000-0000D8970000}"/>
    <cellStyle name="Normal 3 8 2 2 2 2 2 4 2" xfId="38867" xr:uid="{00000000-0005-0000-0000-0000D9970000}"/>
    <cellStyle name="Normal 3 8 2 2 2 2 2 5" xfId="38868" xr:uid="{00000000-0005-0000-0000-0000DA970000}"/>
    <cellStyle name="Normal 3 8 2 2 2 2 2 6" xfId="38869" xr:uid="{00000000-0005-0000-0000-0000DB970000}"/>
    <cellStyle name="Normal 3 8 2 2 2 2 3" xfId="38870" xr:uid="{00000000-0005-0000-0000-0000DC970000}"/>
    <cellStyle name="Normal 3 8 2 2 2 2 3 2" xfId="38871" xr:uid="{00000000-0005-0000-0000-0000DD970000}"/>
    <cellStyle name="Normal 3 8 2 2 2 2 3 2 2" xfId="38872" xr:uid="{00000000-0005-0000-0000-0000DE970000}"/>
    <cellStyle name="Normal 3 8 2 2 2 2 3 2 2 2" xfId="38873" xr:uid="{00000000-0005-0000-0000-0000DF970000}"/>
    <cellStyle name="Normal 3 8 2 2 2 2 3 2 3" xfId="38874" xr:uid="{00000000-0005-0000-0000-0000E0970000}"/>
    <cellStyle name="Normal 3 8 2 2 2 2 3 2 4" xfId="38875" xr:uid="{00000000-0005-0000-0000-0000E1970000}"/>
    <cellStyle name="Normal 3 8 2 2 2 2 3 3" xfId="38876" xr:uid="{00000000-0005-0000-0000-0000E2970000}"/>
    <cellStyle name="Normal 3 8 2 2 2 2 3 3 2" xfId="38877" xr:uid="{00000000-0005-0000-0000-0000E3970000}"/>
    <cellStyle name="Normal 3 8 2 2 2 2 3 4" xfId="38878" xr:uid="{00000000-0005-0000-0000-0000E4970000}"/>
    <cellStyle name="Normal 3 8 2 2 2 2 3 5" xfId="38879" xr:uid="{00000000-0005-0000-0000-0000E5970000}"/>
    <cellStyle name="Normal 3 8 2 2 2 2 4" xfId="38880" xr:uid="{00000000-0005-0000-0000-0000E6970000}"/>
    <cellStyle name="Normal 3 8 2 2 2 2 4 2" xfId="38881" xr:uid="{00000000-0005-0000-0000-0000E7970000}"/>
    <cellStyle name="Normal 3 8 2 2 2 2 4 2 2" xfId="38882" xr:uid="{00000000-0005-0000-0000-0000E8970000}"/>
    <cellStyle name="Normal 3 8 2 2 2 2 4 3" xfId="38883" xr:uid="{00000000-0005-0000-0000-0000E9970000}"/>
    <cellStyle name="Normal 3 8 2 2 2 2 4 4" xfId="38884" xr:uid="{00000000-0005-0000-0000-0000EA970000}"/>
    <cellStyle name="Normal 3 8 2 2 2 2 5" xfId="38885" xr:uid="{00000000-0005-0000-0000-0000EB970000}"/>
    <cellStyle name="Normal 3 8 2 2 2 2 5 2" xfId="38886" xr:uid="{00000000-0005-0000-0000-0000EC970000}"/>
    <cellStyle name="Normal 3 8 2 2 2 2 6" xfId="38887" xr:uid="{00000000-0005-0000-0000-0000ED970000}"/>
    <cellStyle name="Normal 3 8 2 2 2 2 7" xfId="38888" xr:uid="{00000000-0005-0000-0000-0000EE970000}"/>
    <cellStyle name="Normal 3 8 2 2 2 3" xfId="38889" xr:uid="{00000000-0005-0000-0000-0000EF970000}"/>
    <cellStyle name="Normal 3 8 2 2 2 3 2" xfId="38890" xr:uid="{00000000-0005-0000-0000-0000F0970000}"/>
    <cellStyle name="Normal 3 8 2 2 2 3 2 2" xfId="38891" xr:uid="{00000000-0005-0000-0000-0000F1970000}"/>
    <cellStyle name="Normal 3 8 2 2 2 3 2 2 2" xfId="38892" xr:uid="{00000000-0005-0000-0000-0000F2970000}"/>
    <cellStyle name="Normal 3 8 2 2 2 3 2 2 2 2" xfId="38893" xr:uid="{00000000-0005-0000-0000-0000F3970000}"/>
    <cellStyle name="Normal 3 8 2 2 2 3 2 2 3" xfId="38894" xr:uid="{00000000-0005-0000-0000-0000F4970000}"/>
    <cellStyle name="Normal 3 8 2 2 2 3 2 2 4" xfId="38895" xr:uid="{00000000-0005-0000-0000-0000F5970000}"/>
    <cellStyle name="Normal 3 8 2 2 2 3 2 3" xfId="38896" xr:uid="{00000000-0005-0000-0000-0000F6970000}"/>
    <cellStyle name="Normal 3 8 2 2 2 3 2 3 2" xfId="38897" xr:uid="{00000000-0005-0000-0000-0000F7970000}"/>
    <cellStyle name="Normal 3 8 2 2 2 3 2 4" xfId="38898" xr:uid="{00000000-0005-0000-0000-0000F8970000}"/>
    <cellStyle name="Normal 3 8 2 2 2 3 2 5" xfId="38899" xr:uid="{00000000-0005-0000-0000-0000F9970000}"/>
    <cellStyle name="Normal 3 8 2 2 2 3 3" xfId="38900" xr:uid="{00000000-0005-0000-0000-0000FA970000}"/>
    <cellStyle name="Normal 3 8 2 2 2 3 3 2" xfId="38901" xr:uid="{00000000-0005-0000-0000-0000FB970000}"/>
    <cellStyle name="Normal 3 8 2 2 2 3 3 2 2" xfId="38902" xr:uid="{00000000-0005-0000-0000-0000FC970000}"/>
    <cellStyle name="Normal 3 8 2 2 2 3 3 3" xfId="38903" xr:uid="{00000000-0005-0000-0000-0000FD970000}"/>
    <cellStyle name="Normal 3 8 2 2 2 3 3 3 2" xfId="38904" xr:uid="{00000000-0005-0000-0000-0000FE970000}"/>
    <cellStyle name="Normal 3 8 2 2 2 3 3 4" xfId="38905" xr:uid="{00000000-0005-0000-0000-0000FF970000}"/>
    <cellStyle name="Normal 3 8 2 2 2 3 3 5" xfId="38906" xr:uid="{00000000-0005-0000-0000-000000980000}"/>
    <cellStyle name="Normal 3 8 2 2 2 3 4" xfId="38907" xr:uid="{00000000-0005-0000-0000-000001980000}"/>
    <cellStyle name="Normal 3 8 2 2 2 3 4 2" xfId="38908" xr:uid="{00000000-0005-0000-0000-000002980000}"/>
    <cellStyle name="Normal 3 8 2 2 2 3 5" xfId="38909" xr:uid="{00000000-0005-0000-0000-000003980000}"/>
    <cellStyle name="Normal 3 8 2 2 2 3 5 2" xfId="38910" xr:uid="{00000000-0005-0000-0000-000004980000}"/>
    <cellStyle name="Normal 3 8 2 2 2 3 6" xfId="38911" xr:uid="{00000000-0005-0000-0000-000005980000}"/>
    <cellStyle name="Normal 3 8 2 2 2 3 7" xfId="38912" xr:uid="{00000000-0005-0000-0000-000006980000}"/>
    <cellStyle name="Normal 3 8 2 2 2 4" xfId="38913" xr:uid="{00000000-0005-0000-0000-000007980000}"/>
    <cellStyle name="Normal 3 8 2 2 2 4 2" xfId="38914" xr:uid="{00000000-0005-0000-0000-000008980000}"/>
    <cellStyle name="Normal 3 8 2 2 2 4 2 2" xfId="38915" xr:uid="{00000000-0005-0000-0000-000009980000}"/>
    <cellStyle name="Normal 3 8 2 2 2 4 2 2 2" xfId="38916" xr:uid="{00000000-0005-0000-0000-00000A980000}"/>
    <cellStyle name="Normal 3 8 2 2 2 4 2 3" xfId="38917" xr:uid="{00000000-0005-0000-0000-00000B980000}"/>
    <cellStyle name="Normal 3 8 2 2 2 4 2 4" xfId="38918" xr:uid="{00000000-0005-0000-0000-00000C980000}"/>
    <cellStyle name="Normal 3 8 2 2 2 4 3" xfId="38919" xr:uid="{00000000-0005-0000-0000-00000D980000}"/>
    <cellStyle name="Normal 3 8 2 2 2 4 3 2" xfId="38920" xr:uid="{00000000-0005-0000-0000-00000E980000}"/>
    <cellStyle name="Normal 3 8 2 2 2 4 4" xfId="38921" xr:uid="{00000000-0005-0000-0000-00000F980000}"/>
    <cellStyle name="Normal 3 8 2 2 2 4 5" xfId="38922" xr:uid="{00000000-0005-0000-0000-000010980000}"/>
    <cellStyle name="Normal 3 8 2 2 2 5" xfId="38923" xr:uid="{00000000-0005-0000-0000-000011980000}"/>
    <cellStyle name="Normal 3 8 2 2 2 5 2" xfId="38924" xr:uid="{00000000-0005-0000-0000-000012980000}"/>
    <cellStyle name="Normal 3 8 2 2 2 5 2 2" xfId="38925" xr:uid="{00000000-0005-0000-0000-000013980000}"/>
    <cellStyle name="Normal 3 8 2 2 2 5 3" xfId="38926" xr:uid="{00000000-0005-0000-0000-000014980000}"/>
    <cellStyle name="Normal 3 8 2 2 2 5 3 2" xfId="38927" xr:uid="{00000000-0005-0000-0000-000015980000}"/>
    <cellStyle name="Normal 3 8 2 2 2 5 4" xfId="38928" xr:uid="{00000000-0005-0000-0000-000016980000}"/>
    <cellStyle name="Normal 3 8 2 2 2 5 5" xfId="38929" xr:uid="{00000000-0005-0000-0000-000017980000}"/>
    <cellStyle name="Normal 3 8 2 2 2 6" xfId="38930" xr:uid="{00000000-0005-0000-0000-000018980000}"/>
    <cellStyle name="Normal 3 8 2 2 2 6 2" xfId="38931" xr:uid="{00000000-0005-0000-0000-000019980000}"/>
    <cellStyle name="Normal 3 8 2 2 2 7" xfId="38932" xr:uid="{00000000-0005-0000-0000-00001A980000}"/>
    <cellStyle name="Normal 3 8 2 2 2 7 2" xfId="38933" xr:uid="{00000000-0005-0000-0000-00001B980000}"/>
    <cellStyle name="Normal 3 8 2 2 2 8" xfId="38934" xr:uid="{00000000-0005-0000-0000-00001C980000}"/>
    <cellStyle name="Normal 3 8 2 2 2 9" xfId="38935" xr:uid="{00000000-0005-0000-0000-00001D980000}"/>
    <cellStyle name="Normal 3 8 2 2 3" xfId="38936" xr:uid="{00000000-0005-0000-0000-00001E980000}"/>
    <cellStyle name="Normal 3 8 2 2 3 2" xfId="38937" xr:uid="{00000000-0005-0000-0000-00001F980000}"/>
    <cellStyle name="Normal 3 8 2 2 3 2 2" xfId="38938" xr:uid="{00000000-0005-0000-0000-000020980000}"/>
    <cellStyle name="Normal 3 8 2 2 3 2 2 2" xfId="38939" xr:uid="{00000000-0005-0000-0000-000021980000}"/>
    <cellStyle name="Normal 3 8 2 2 3 2 2 2 2" xfId="38940" xr:uid="{00000000-0005-0000-0000-000022980000}"/>
    <cellStyle name="Normal 3 8 2 2 3 2 2 2 2 2" xfId="38941" xr:uid="{00000000-0005-0000-0000-000023980000}"/>
    <cellStyle name="Normal 3 8 2 2 3 2 2 2 3" xfId="38942" xr:uid="{00000000-0005-0000-0000-000024980000}"/>
    <cellStyle name="Normal 3 8 2 2 3 2 2 2 4" xfId="38943" xr:uid="{00000000-0005-0000-0000-000025980000}"/>
    <cellStyle name="Normal 3 8 2 2 3 2 2 3" xfId="38944" xr:uid="{00000000-0005-0000-0000-000026980000}"/>
    <cellStyle name="Normal 3 8 2 2 3 2 2 3 2" xfId="38945" xr:uid="{00000000-0005-0000-0000-000027980000}"/>
    <cellStyle name="Normal 3 8 2 2 3 2 2 4" xfId="38946" xr:uid="{00000000-0005-0000-0000-000028980000}"/>
    <cellStyle name="Normal 3 8 2 2 3 2 2 5" xfId="38947" xr:uid="{00000000-0005-0000-0000-000029980000}"/>
    <cellStyle name="Normal 3 8 2 2 3 2 3" xfId="38948" xr:uid="{00000000-0005-0000-0000-00002A980000}"/>
    <cellStyle name="Normal 3 8 2 2 3 2 3 2" xfId="38949" xr:uid="{00000000-0005-0000-0000-00002B980000}"/>
    <cellStyle name="Normal 3 8 2 2 3 2 3 2 2" xfId="38950" xr:uid="{00000000-0005-0000-0000-00002C980000}"/>
    <cellStyle name="Normal 3 8 2 2 3 2 3 3" xfId="38951" xr:uid="{00000000-0005-0000-0000-00002D980000}"/>
    <cellStyle name="Normal 3 8 2 2 3 2 3 4" xfId="38952" xr:uid="{00000000-0005-0000-0000-00002E980000}"/>
    <cellStyle name="Normal 3 8 2 2 3 2 4" xfId="38953" xr:uid="{00000000-0005-0000-0000-00002F980000}"/>
    <cellStyle name="Normal 3 8 2 2 3 2 4 2" xfId="38954" xr:uid="{00000000-0005-0000-0000-000030980000}"/>
    <cellStyle name="Normal 3 8 2 2 3 2 5" xfId="38955" xr:uid="{00000000-0005-0000-0000-000031980000}"/>
    <cellStyle name="Normal 3 8 2 2 3 2 6" xfId="38956" xr:uid="{00000000-0005-0000-0000-000032980000}"/>
    <cellStyle name="Normal 3 8 2 2 3 3" xfId="38957" xr:uid="{00000000-0005-0000-0000-000033980000}"/>
    <cellStyle name="Normal 3 8 2 2 3 3 2" xfId="38958" xr:uid="{00000000-0005-0000-0000-000034980000}"/>
    <cellStyle name="Normal 3 8 2 2 3 3 2 2" xfId="38959" xr:uid="{00000000-0005-0000-0000-000035980000}"/>
    <cellStyle name="Normal 3 8 2 2 3 3 2 2 2" xfId="38960" xr:uid="{00000000-0005-0000-0000-000036980000}"/>
    <cellStyle name="Normal 3 8 2 2 3 3 2 3" xfId="38961" xr:uid="{00000000-0005-0000-0000-000037980000}"/>
    <cellStyle name="Normal 3 8 2 2 3 3 2 4" xfId="38962" xr:uid="{00000000-0005-0000-0000-000038980000}"/>
    <cellStyle name="Normal 3 8 2 2 3 3 3" xfId="38963" xr:uid="{00000000-0005-0000-0000-000039980000}"/>
    <cellStyle name="Normal 3 8 2 2 3 3 3 2" xfId="38964" xr:uid="{00000000-0005-0000-0000-00003A980000}"/>
    <cellStyle name="Normal 3 8 2 2 3 3 4" xfId="38965" xr:uid="{00000000-0005-0000-0000-00003B980000}"/>
    <cellStyle name="Normal 3 8 2 2 3 3 5" xfId="38966" xr:uid="{00000000-0005-0000-0000-00003C980000}"/>
    <cellStyle name="Normal 3 8 2 2 3 4" xfId="38967" xr:uid="{00000000-0005-0000-0000-00003D980000}"/>
    <cellStyle name="Normal 3 8 2 2 3 4 2" xfId="38968" xr:uid="{00000000-0005-0000-0000-00003E980000}"/>
    <cellStyle name="Normal 3 8 2 2 3 4 2 2" xfId="38969" xr:uid="{00000000-0005-0000-0000-00003F980000}"/>
    <cellStyle name="Normal 3 8 2 2 3 4 3" xfId="38970" xr:uid="{00000000-0005-0000-0000-000040980000}"/>
    <cellStyle name="Normal 3 8 2 2 3 4 4" xfId="38971" xr:uid="{00000000-0005-0000-0000-000041980000}"/>
    <cellStyle name="Normal 3 8 2 2 3 5" xfId="38972" xr:uid="{00000000-0005-0000-0000-000042980000}"/>
    <cellStyle name="Normal 3 8 2 2 3 5 2" xfId="38973" xr:uid="{00000000-0005-0000-0000-000043980000}"/>
    <cellStyle name="Normal 3 8 2 2 3 6" xfId="38974" xr:uid="{00000000-0005-0000-0000-000044980000}"/>
    <cellStyle name="Normal 3 8 2 2 3 7" xfId="38975" xr:uid="{00000000-0005-0000-0000-000045980000}"/>
    <cellStyle name="Normal 3 8 2 2 4" xfId="38976" xr:uid="{00000000-0005-0000-0000-000046980000}"/>
    <cellStyle name="Normal 3 8 2 2 4 2" xfId="38977" xr:uid="{00000000-0005-0000-0000-000047980000}"/>
    <cellStyle name="Normal 3 8 2 2 4 2 2" xfId="38978" xr:uid="{00000000-0005-0000-0000-000048980000}"/>
    <cellStyle name="Normal 3 8 2 2 4 2 2 2" xfId="38979" xr:uid="{00000000-0005-0000-0000-000049980000}"/>
    <cellStyle name="Normal 3 8 2 2 4 2 2 2 2" xfId="38980" xr:uid="{00000000-0005-0000-0000-00004A980000}"/>
    <cellStyle name="Normal 3 8 2 2 4 2 2 3" xfId="38981" xr:uid="{00000000-0005-0000-0000-00004B980000}"/>
    <cellStyle name="Normal 3 8 2 2 4 2 2 4" xfId="38982" xr:uid="{00000000-0005-0000-0000-00004C980000}"/>
    <cellStyle name="Normal 3 8 2 2 4 2 3" xfId="38983" xr:uid="{00000000-0005-0000-0000-00004D980000}"/>
    <cellStyle name="Normal 3 8 2 2 4 2 3 2" xfId="38984" xr:uid="{00000000-0005-0000-0000-00004E980000}"/>
    <cellStyle name="Normal 3 8 2 2 4 2 4" xfId="38985" xr:uid="{00000000-0005-0000-0000-00004F980000}"/>
    <cellStyle name="Normal 3 8 2 2 4 2 5" xfId="38986" xr:uid="{00000000-0005-0000-0000-000050980000}"/>
    <cellStyle name="Normal 3 8 2 2 4 3" xfId="38987" xr:uid="{00000000-0005-0000-0000-000051980000}"/>
    <cellStyle name="Normal 3 8 2 2 4 3 2" xfId="38988" xr:uid="{00000000-0005-0000-0000-000052980000}"/>
    <cellStyle name="Normal 3 8 2 2 4 3 2 2" xfId="38989" xr:uid="{00000000-0005-0000-0000-000053980000}"/>
    <cellStyle name="Normal 3 8 2 2 4 3 3" xfId="38990" xr:uid="{00000000-0005-0000-0000-000054980000}"/>
    <cellStyle name="Normal 3 8 2 2 4 3 3 2" xfId="38991" xr:uid="{00000000-0005-0000-0000-000055980000}"/>
    <cellStyle name="Normal 3 8 2 2 4 3 4" xfId="38992" xr:uid="{00000000-0005-0000-0000-000056980000}"/>
    <cellStyle name="Normal 3 8 2 2 4 3 5" xfId="38993" xr:uid="{00000000-0005-0000-0000-000057980000}"/>
    <cellStyle name="Normal 3 8 2 2 4 4" xfId="38994" xr:uid="{00000000-0005-0000-0000-000058980000}"/>
    <cellStyle name="Normal 3 8 2 2 4 4 2" xfId="38995" xr:uid="{00000000-0005-0000-0000-000059980000}"/>
    <cellStyle name="Normal 3 8 2 2 4 5" xfId="38996" xr:uid="{00000000-0005-0000-0000-00005A980000}"/>
    <cellStyle name="Normal 3 8 2 2 4 5 2" xfId="38997" xr:uid="{00000000-0005-0000-0000-00005B980000}"/>
    <cellStyle name="Normal 3 8 2 2 4 6" xfId="38998" xr:uid="{00000000-0005-0000-0000-00005C980000}"/>
    <cellStyle name="Normal 3 8 2 2 4 7" xfId="38999" xr:uid="{00000000-0005-0000-0000-00005D980000}"/>
    <cellStyle name="Normal 3 8 2 2 5" xfId="39000" xr:uid="{00000000-0005-0000-0000-00005E980000}"/>
    <cellStyle name="Normal 3 8 2 2 5 2" xfId="39001" xr:uid="{00000000-0005-0000-0000-00005F980000}"/>
    <cellStyle name="Normal 3 8 2 2 5 2 2" xfId="39002" xr:uid="{00000000-0005-0000-0000-000060980000}"/>
    <cellStyle name="Normal 3 8 2 2 5 2 2 2" xfId="39003" xr:uid="{00000000-0005-0000-0000-000061980000}"/>
    <cellStyle name="Normal 3 8 2 2 5 2 3" xfId="39004" xr:uid="{00000000-0005-0000-0000-000062980000}"/>
    <cellStyle name="Normal 3 8 2 2 5 2 4" xfId="39005" xr:uid="{00000000-0005-0000-0000-000063980000}"/>
    <cellStyle name="Normal 3 8 2 2 5 3" xfId="39006" xr:uid="{00000000-0005-0000-0000-000064980000}"/>
    <cellStyle name="Normal 3 8 2 2 5 3 2" xfId="39007" xr:uid="{00000000-0005-0000-0000-000065980000}"/>
    <cellStyle name="Normal 3 8 2 2 5 4" xfId="39008" xr:uid="{00000000-0005-0000-0000-000066980000}"/>
    <cellStyle name="Normal 3 8 2 2 5 5" xfId="39009" xr:uid="{00000000-0005-0000-0000-000067980000}"/>
    <cellStyle name="Normal 3 8 2 2 6" xfId="39010" xr:uid="{00000000-0005-0000-0000-000068980000}"/>
    <cellStyle name="Normal 3 8 2 2 6 2" xfId="39011" xr:uid="{00000000-0005-0000-0000-000069980000}"/>
    <cellStyle name="Normal 3 8 2 2 6 2 2" xfId="39012" xr:uid="{00000000-0005-0000-0000-00006A980000}"/>
    <cellStyle name="Normal 3 8 2 2 6 3" xfId="39013" xr:uid="{00000000-0005-0000-0000-00006B980000}"/>
    <cellStyle name="Normal 3 8 2 2 6 3 2" xfId="39014" xr:uid="{00000000-0005-0000-0000-00006C980000}"/>
    <cellStyle name="Normal 3 8 2 2 6 4" xfId="39015" xr:uid="{00000000-0005-0000-0000-00006D980000}"/>
    <cellStyle name="Normal 3 8 2 2 6 5" xfId="39016" xr:uid="{00000000-0005-0000-0000-00006E980000}"/>
    <cellStyle name="Normal 3 8 2 2 7" xfId="39017" xr:uid="{00000000-0005-0000-0000-00006F980000}"/>
    <cellStyle name="Normal 3 8 2 2 7 2" xfId="39018" xr:uid="{00000000-0005-0000-0000-000070980000}"/>
    <cellStyle name="Normal 3 8 2 2 8" xfId="39019" xr:uid="{00000000-0005-0000-0000-000071980000}"/>
    <cellStyle name="Normal 3 8 2 2 8 2" xfId="39020" xr:uid="{00000000-0005-0000-0000-000072980000}"/>
    <cellStyle name="Normal 3 8 2 2 9" xfId="39021" xr:uid="{00000000-0005-0000-0000-000073980000}"/>
    <cellStyle name="Normal 3 8 2 3" xfId="39022" xr:uid="{00000000-0005-0000-0000-000074980000}"/>
    <cellStyle name="Normal 3 8 2 3 2" xfId="39023" xr:uid="{00000000-0005-0000-0000-000075980000}"/>
    <cellStyle name="Normal 3 8 2 3 2 2" xfId="39024" xr:uid="{00000000-0005-0000-0000-000076980000}"/>
    <cellStyle name="Normal 3 8 2 3 2 2 2" xfId="39025" xr:uid="{00000000-0005-0000-0000-000077980000}"/>
    <cellStyle name="Normal 3 8 2 3 2 2 2 2" xfId="39026" xr:uid="{00000000-0005-0000-0000-000078980000}"/>
    <cellStyle name="Normal 3 8 2 3 2 2 2 2 2" xfId="39027" xr:uid="{00000000-0005-0000-0000-000079980000}"/>
    <cellStyle name="Normal 3 8 2 3 2 2 2 2 2 2" xfId="39028" xr:uid="{00000000-0005-0000-0000-00007A980000}"/>
    <cellStyle name="Normal 3 8 2 3 2 2 2 2 3" xfId="39029" xr:uid="{00000000-0005-0000-0000-00007B980000}"/>
    <cellStyle name="Normal 3 8 2 3 2 2 2 2 4" xfId="39030" xr:uid="{00000000-0005-0000-0000-00007C980000}"/>
    <cellStyle name="Normal 3 8 2 3 2 2 2 3" xfId="39031" xr:uid="{00000000-0005-0000-0000-00007D980000}"/>
    <cellStyle name="Normal 3 8 2 3 2 2 2 3 2" xfId="39032" xr:uid="{00000000-0005-0000-0000-00007E980000}"/>
    <cellStyle name="Normal 3 8 2 3 2 2 2 4" xfId="39033" xr:uid="{00000000-0005-0000-0000-00007F980000}"/>
    <cellStyle name="Normal 3 8 2 3 2 2 2 5" xfId="39034" xr:uid="{00000000-0005-0000-0000-000080980000}"/>
    <cellStyle name="Normal 3 8 2 3 2 2 3" xfId="39035" xr:uid="{00000000-0005-0000-0000-000081980000}"/>
    <cellStyle name="Normal 3 8 2 3 2 2 3 2" xfId="39036" xr:uid="{00000000-0005-0000-0000-000082980000}"/>
    <cellStyle name="Normal 3 8 2 3 2 2 3 2 2" xfId="39037" xr:uid="{00000000-0005-0000-0000-000083980000}"/>
    <cellStyle name="Normal 3 8 2 3 2 2 3 3" xfId="39038" xr:uid="{00000000-0005-0000-0000-000084980000}"/>
    <cellStyle name="Normal 3 8 2 3 2 2 3 4" xfId="39039" xr:uid="{00000000-0005-0000-0000-000085980000}"/>
    <cellStyle name="Normal 3 8 2 3 2 2 4" xfId="39040" xr:uid="{00000000-0005-0000-0000-000086980000}"/>
    <cellStyle name="Normal 3 8 2 3 2 2 4 2" xfId="39041" xr:uid="{00000000-0005-0000-0000-000087980000}"/>
    <cellStyle name="Normal 3 8 2 3 2 2 5" xfId="39042" xr:uid="{00000000-0005-0000-0000-000088980000}"/>
    <cellStyle name="Normal 3 8 2 3 2 2 6" xfId="39043" xr:uid="{00000000-0005-0000-0000-000089980000}"/>
    <cellStyle name="Normal 3 8 2 3 2 3" xfId="39044" xr:uid="{00000000-0005-0000-0000-00008A980000}"/>
    <cellStyle name="Normal 3 8 2 3 2 3 2" xfId="39045" xr:uid="{00000000-0005-0000-0000-00008B980000}"/>
    <cellStyle name="Normal 3 8 2 3 2 3 2 2" xfId="39046" xr:uid="{00000000-0005-0000-0000-00008C980000}"/>
    <cellStyle name="Normal 3 8 2 3 2 3 2 2 2" xfId="39047" xr:uid="{00000000-0005-0000-0000-00008D980000}"/>
    <cellStyle name="Normal 3 8 2 3 2 3 2 3" xfId="39048" xr:uid="{00000000-0005-0000-0000-00008E980000}"/>
    <cellStyle name="Normal 3 8 2 3 2 3 2 4" xfId="39049" xr:uid="{00000000-0005-0000-0000-00008F980000}"/>
    <cellStyle name="Normal 3 8 2 3 2 3 3" xfId="39050" xr:uid="{00000000-0005-0000-0000-000090980000}"/>
    <cellStyle name="Normal 3 8 2 3 2 3 3 2" xfId="39051" xr:uid="{00000000-0005-0000-0000-000091980000}"/>
    <cellStyle name="Normal 3 8 2 3 2 3 4" xfId="39052" xr:uid="{00000000-0005-0000-0000-000092980000}"/>
    <cellStyle name="Normal 3 8 2 3 2 3 5" xfId="39053" xr:uid="{00000000-0005-0000-0000-000093980000}"/>
    <cellStyle name="Normal 3 8 2 3 2 4" xfId="39054" xr:uid="{00000000-0005-0000-0000-000094980000}"/>
    <cellStyle name="Normal 3 8 2 3 2 4 2" xfId="39055" xr:uid="{00000000-0005-0000-0000-000095980000}"/>
    <cellStyle name="Normal 3 8 2 3 2 4 2 2" xfId="39056" xr:uid="{00000000-0005-0000-0000-000096980000}"/>
    <cellStyle name="Normal 3 8 2 3 2 4 3" xfId="39057" xr:uid="{00000000-0005-0000-0000-000097980000}"/>
    <cellStyle name="Normal 3 8 2 3 2 4 4" xfId="39058" xr:uid="{00000000-0005-0000-0000-000098980000}"/>
    <cellStyle name="Normal 3 8 2 3 2 5" xfId="39059" xr:uid="{00000000-0005-0000-0000-000099980000}"/>
    <cellStyle name="Normal 3 8 2 3 2 5 2" xfId="39060" xr:uid="{00000000-0005-0000-0000-00009A980000}"/>
    <cellStyle name="Normal 3 8 2 3 2 6" xfId="39061" xr:uid="{00000000-0005-0000-0000-00009B980000}"/>
    <cellStyle name="Normal 3 8 2 3 2 7" xfId="39062" xr:uid="{00000000-0005-0000-0000-00009C980000}"/>
    <cellStyle name="Normal 3 8 2 3 3" xfId="39063" xr:uid="{00000000-0005-0000-0000-00009D980000}"/>
    <cellStyle name="Normal 3 8 2 3 3 2" xfId="39064" xr:uid="{00000000-0005-0000-0000-00009E980000}"/>
    <cellStyle name="Normal 3 8 2 3 3 2 2" xfId="39065" xr:uid="{00000000-0005-0000-0000-00009F980000}"/>
    <cellStyle name="Normal 3 8 2 3 3 2 2 2" xfId="39066" xr:uid="{00000000-0005-0000-0000-0000A0980000}"/>
    <cellStyle name="Normal 3 8 2 3 3 2 2 2 2" xfId="39067" xr:uid="{00000000-0005-0000-0000-0000A1980000}"/>
    <cellStyle name="Normal 3 8 2 3 3 2 2 3" xfId="39068" xr:uid="{00000000-0005-0000-0000-0000A2980000}"/>
    <cellStyle name="Normal 3 8 2 3 3 2 2 4" xfId="39069" xr:uid="{00000000-0005-0000-0000-0000A3980000}"/>
    <cellStyle name="Normal 3 8 2 3 3 2 3" xfId="39070" xr:uid="{00000000-0005-0000-0000-0000A4980000}"/>
    <cellStyle name="Normal 3 8 2 3 3 2 3 2" xfId="39071" xr:uid="{00000000-0005-0000-0000-0000A5980000}"/>
    <cellStyle name="Normal 3 8 2 3 3 2 4" xfId="39072" xr:uid="{00000000-0005-0000-0000-0000A6980000}"/>
    <cellStyle name="Normal 3 8 2 3 3 2 5" xfId="39073" xr:uid="{00000000-0005-0000-0000-0000A7980000}"/>
    <cellStyle name="Normal 3 8 2 3 3 3" xfId="39074" xr:uid="{00000000-0005-0000-0000-0000A8980000}"/>
    <cellStyle name="Normal 3 8 2 3 3 3 2" xfId="39075" xr:uid="{00000000-0005-0000-0000-0000A9980000}"/>
    <cellStyle name="Normal 3 8 2 3 3 3 2 2" xfId="39076" xr:uid="{00000000-0005-0000-0000-0000AA980000}"/>
    <cellStyle name="Normal 3 8 2 3 3 3 3" xfId="39077" xr:uid="{00000000-0005-0000-0000-0000AB980000}"/>
    <cellStyle name="Normal 3 8 2 3 3 3 3 2" xfId="39078" xr:uid="{00000000-0005-0000-0000-0000AC980000}"/>
    <cellStyle name="Normal 3 8 2 3 3 3 4" xfId="39079" xr:uid="{00000000-0005-0000-0000-0000AD980000}"/>
    <cellStyle name="Normal 3 8 2 3 3 3 5" xfId="39080" xr:uid="{00000000-0005-0000-0000-0000AE980000}"/>
    <cellStyle name="Normal 3 8 2 3 3 4" xfId="39081" xr:uid="{00000000-0005-0000-0000-0000AF980000}"/>
    <cellStyle name="Normal 3 8 2 3 3 4 2" xfId="39082" xr:uid="{00000000-0005-0000-0000-0000B0980000}"/>
    <cellStyle name="Normal 3 8 2 3 3 5" xfId="39083" xr:uid="{00000000-0005-0000-0000-0000B1980000}"/>
    <cellStyle name="Normal 3 8 2 3 3 5 2" xfId="39084" xr:uid="{00000000-0005-0000-0000-0000B2980000}"/>
    <cellStyle name="Normal 3 8 2 3 3 6" xfId="39085" xr:uid="{00000000-0005-0000-0000-0000B3980000}"/>
    <cellStyle name="Normal 3 8 2 3 3 7" xfId="39086" xr:uid="{00000000-0005-0000-0000-0000B4980000}"/>
    <cellStyle name="Normal 3 8 2 3 4" xfId="39087" xr:uid="{00000000-0005-0000-0000-0000B5980000}"/>
    <cellStyle name="Normal 3 8 2 3 4 2" xfId="39088" xr:uid="{00000000-0005-0000-0000-0000B6980000}"/>
    <cellStyle name="Normal 3 8 2 3 4 2 2" xfId="39089" xr:uid="{00000000-0005-0000-0000-0000B7980000}"/>
    <cellStyle name="Normal 3 8 2 3 4 2 2 2" xfId="39090" xr:uid="{00000000-0005-0000-0000-0000B8980000}"/>
    <cellStyle name="Normal 3 8 2 3 4 2 3" xfId="39091" xr:uid="{00000000-0005-0000-0000-0000B9980000}"/>
    <cellStyle name="Normal 3 8 2 3 4 2 4" xfId="39092" xr:uid="{00000000-0005-0000-0000-0000BA980000}"/>
    <cellStyle name="Normal 3 8 2 3 4 3" xfId="39093" xr:uid="{00000000-0005-0000-0000-0000BB980000}"/>
    <cellStyle name="Normal 3 8 2 3 4 3 2" xfId="39094" xr:uid="{00000000-0005-0000-0000-0000BC980000}"/>
    <cellStyle name="Normal 3 8 2 3 4 4" xfId="39095" xr:uid="{00000000-0005-0000-0000-0000BD980000}"/>
    <cellStyle name="Normal 3 8 2 3 4 5" xfId="39096" xr:uid="{00000000-0005-0000-0000-0000BE980000}"/>
    <cellStyle name="Normal 3 8 2 3 5" xfId="39097" xr:uid="{00000000-0005-0000-0000-0000BF980000}"/>
    <cellStyle name="Normal 3 8 2 3 5 2" xfId="39098" xr:uid="{00000000-0005-0000-0000-0000C0980000}"/>
    <cellStyle name="Normal 3 8 2 3 5 2 2" xfId="39099" xr:uid="{00000000-0005-0000-0000-0000C1980000}"/>
    <cellStyle name="Normal 3 8 2 3 5 3" xfId="39100" xr:uid="{00000000-0005-0000-0000-0000C2980000}"/>
    <cellStyle name="Normal 3 8 2 3 5 3 2" xfId="39101" xr:uid="{00000000-0005-0000-0000-0000C3980000}"/>
    <cellStyle name="Normal 3 8 2 3 5 4" xfId="39102" xr:uid="{00000000-0005-0000-0000-0000C4980000}"/>
    <cellStyle name="Normal 3 8 2 3 5 5" xfId="39103" xr:uid="{00000000-0005-0000-0000-0000C5980000}"/>
    <cellStyle name="Normal 3 8 2 3 6" xfId="39104" xr:uid="{00000000-0005-0000-0000-0000C6980000}"/>
    <cellStyle name="Normal 3 8 2 3 6 2" xfId="39105" xr:uid="{00000000-0005-0000-0000-0000C7980000}"/>
    <cellStyle name="Normal 3 8 2 3 7" xfId="39106" xr:uid="{00000000-0005-0000-0000-0000C8980000}"/>
    <cellStyle name="Normal 3 8 2 3 7 2" xfId="39107" xr:uid="{00000000-0005-0000-0000-0000C9980000}"/>
    <cellStyle name="Normal 3 8 2 3 8" xfId="39108" xr:uid="{00000000-0005-0000-0000-0000CA980000}"/>
    <cellStyle name="Normal 3 8 2 3 9" xfId="39109" xr:uid="{00000000-0005-0000-0000-0000CB980000}"/>
    <cellStyle name="Normal 3 8 2 4" xfId="39110" xr:uid="{00000000-0005-0000-0000-0000CC980000}"/>
    <cellStyle name="Normal 3 8 2 4 2" xfId="39111" xr:uid="{00000000-0005-0000-0000-0000CD980000}"/>
    <cellStyle name="Normal 3 8 2 4 2 2" xfId="39112" xr:uid="{00000000-0005-0000-0000-0000CE980000}"/>
    <cellStyle name="Normal 3 8 2 4 2 2 2" xfId="39113" xr:uid="{00000000-0005-0000-0000-0000CF980000}"/>
    <cellStyle name="Normal 3 8 2 4 2 2 2 2" xfId="39114" xr:uid="{00000000-0005-0000-0000-0000D0980000}"/>
    <cellStyle name="Normal 3 8 2 4 2 2 2 2 2" xfId="39115" xr:uid="{00000000-0005-0000-0000-0000D1980000}"/>
    <cellStyle name="Normal 3 8 2 4 2 2 2 3" xfId="39116" xr:uid="{00000000-0005-0000-0000-0000D2980000}"/>
    <cellStyle name="Normal 3 8 2 4 2 2 2 4" xfId="39117" xr:uid="{00000000-0005-0000-0000-0000D3980000}"/>
    <cellStyle name="Normal 3 8 2 4 2 2 3" xfId="39118" xr:uid="{00000000-0005-0000-0000-0000D4980000}"/>
    <cellStyle name="Normal 3 8 2 4 2 2 3 2" xfId="39119" xr:uid="{00000000-0005-0000-0000-0000D5980000}"/>
    <cellStyle name="Normal 3 8 2 4 2 2 4" xfId="39120" xr:uid="{00000000-0005-0000-0000-0000D6980000}"/>
    <cellStyle name="Normal 3 8 2 4 2 2 5" xfId="39121" xr:uid="{00000000-0005-0000-0000-0000D7980000}"/>
    <cellStyle name="Normal 3 8 2 4 2 3" xfId="39122" xr:uid="{00000000-0005-0000-0000-0000D8980000}"/>
    <cellStyle name="Normal 3 8 2 4 2 3 2" xfId="39123" xr:uid="{00000000-0005-0000-0000-0000D9980000}"/>
    <cellStyle name="Normal 3 8 2 4 2 3 2 2" xfId="39124" xr:uid="{00000000-0005-0000-0000-0000DA980000}"/>
    <cellStyle name="Normal 3 8 2 4 2 3 3" xfId="39125" xr:uid="{00000000-0005-0000-0000-0000DB980000}"/>
    <cellStyle name="Normal 3 8 2 4 2 3 3 2" xfId="39126" xr:uid="{00000000-0005-0000-0000-0000DC980000}"/>
    <cellStyle name="Normal 3 8 2 4 2 3 4" xfId="39127" xr:uid="{00000000-0005-0000-0000-0000DD980000}"/>
    <cellStyle name="Normal 3 8 2 4 2 3 5" xfId="39128" xr:uid="{00000000-0005-0000-0000-0000DE980000}"/>
    <cellStyle name="Normal 3 8 2 4 2 4" xfId="39129" xr:uid="{00000000-0005-0000-0000-0000DF980000}"/>
    <cellStyle name="Normal 3 8 2 4 2 4 2" xfId="39130" xr:uid="{00000000-0005-0000-0000-0000E0980000}"/>
    <cellStyle name="Normal 3 8 2 4 2 5" xfId="39131" xr:uid="{00000000-0005-0000-0000-0000E1980000}"/>
    <cellStyle name="Normal 3 8 2 4 2 5 2" xfId="39132" xr:uid="{00000000-0005-0000-0000-0000E2980000}"/>
    <cellStyle name="Normal 3 8 2 4 2 6" xfId="39133" xr:uid="{00000000-0005-0000-0000-0000E3980000}"/>
    <cellStyle name="Normal 3 8 2 4 2 7" xfId="39134" xr:uid="{00000000-0005-0000-0000-0000E4980000}"/>
    <cellStyle name="Normal 3 8 2 4 3" xfId="39135" xr:uid="{00000000-0005-0000-0000-0000E5980000}"/>
    <cellStyle name="Normal 3 8 2 4 3 2" xfId="39136" xr:uid="{00000000-0005-0000-0000-0000E6980000}"/>
    <cellStyle name="Normal 3 8 2 4 3 2 2" xfId="39137" xr:uid="{00000000-0005-0000-0000-0000E7980000}"/>
    <cellStyle name="Normal 3 8 2 4 3 2 2 2" xfId="39138" xr:uid="{00000000-0005-0000-0000-0000E8980000}"/>
    <cellStyle name="Normal 3 8 2 4 3 2 3" xfId="39139" xr:uid="{00000000-0005-0000-0000-0000E9980000}"/>
    <cellStyle name="Normal 3 8 2 4 3 2 4" xfId="39140" xr:uid="{00000000-0005-0000-0000-0000EA980000}"/>
    <cellStyle name="Normal 3 8 2 4 3 3" xfId="39141" xr:uid="{00000000-0005-0000-0000-0000EB980000}"/>
    <cellStyle name="Normal 3 8 2 4 3 3 2" xfId="39142" xr:uid="{00000000-0005-0000-0000-0000EC980000}"/>
    <cellStyle name="Normal 3 8 2 4 3 4" xfId="39143" xr:uid="{00000000-0005-0000-0000-0000ED980000}"/>
    <cellStyle name="Normal 3 8 2 4 3 5" xfId="39144" xr:uid="{00000000-0005-0000-0000-0000EE980000}"/>
    <cellStyle name="Normal 3 8 2 4 4" xfId="39145" xr:uid="{00000000-0005-0000-0000-0000EF980000}"/>
    <cellStyle name="Normal 3 8 2 4 4 2" xfId="39146" xr:uid="{00000000-0005-0000-0000-0000F0980000}"/>
    <cellStyle name="Normal 3 8 2 4 4 2 2" xfId="39147" xr:uid="{00000000-0005-0000-0000-0000F1980000}"/>
    <cellStyle name="Normal 3 8 2 4 4 3" xfId="39148" xr:uid="{00000000-0005-0000-0000-0000F2980000}"/>
    <cellStyle name="Normal 3 8 2 4 4 3 2" xfId="39149" xr:uid="{00000000-0005-0000-0000-0000F3980000}"/>
    <cellStyle name="Normal 3 8 2 4 4 4" xfId="39150" xr:uid="{00000000-0005-0000-0000-0000F4980000}"/>
    <cellStyle name="Normal 3 8 2 4 4 5" xfId="39151" xr:uid="{00000000-0005-0000-0000-0000F5980000}"/>
    <cellStyle name="Normal 3 8 2 4 5" xfId="39152" xr:uid="{00000000-0005-0000-0000-0000F6980000}"/>
    <cellStyle name="Normal 3 8 2 4 5 2" xfId="39153" xr:uid="{00000000-0005-0000-0000-0000F7980000}"/>
    <cellStyle name="Normal 3 8 2 4 6" xfId="39154" xr:uid="{00000000-0005-0000-0000-0000F8980000}"/>
    <cellStyle name="Normal 3 8 2 4 6 2" xfId="39155" xr:uid="{00000000-0005-0000-0000-0000F9980000}"/>
    <cellStyle name="Normal 3 8 2 4 7" xfId="39156" xr:uid="{00000000-0005-0000-0000-0000FA980000}"/>
    <cellStyle name="Normal 3 8 2 4 8" xfId="39157" xr:uid="{00000000-0005-0000-0000-0000FB980000}"/>
    <cellStyle name="Normal 3 8 2 5" xfId="39158" xr:uid="{00000000-0005-0000-0000-0000FC980000}"/>
    <cellStyle name="Normal 3 8 2 5 2" xfId="39159" xr:uid="{00000000-0005-0000-0000-0000FD980000}"/>
    <cellStyle name="Normal 3 8 2 5 2 2" xfId="39160" xr:uid="{00000000-0005-0000-0000-0000FE980000}"/>
    <cellStyle name="Normal 3 8 2 5 2 2 2" xfId="39161" xr:uid="{00000000-0005-0000-0000-0000FF980000}"/>
    <cellStyle name="Normal 3 8 2 5 2 2 2 2" xfId="39162" xr:uid="{00000000-0005-0000-0000-000000990000}"/>
    <cellStyle name="Normal 3 8 2 5 2 2 3" xfId="39163" xr:uid="{00000000-0005-0000-0000-000001990000}"/>
    <cellStyle name="Normal 3 8 2 5 2 2 4" xfId="39164" xr:uid="{00000000-0005-0000-0000-000002990000}"/>
    <cellStyle name="Normal 3 8 2 5 2 3" xfId="39165" xr:uid="{00000000-0005-0000-0000-000003990000}"/>
    <cellStyle name="Normal 3 8 2 5 2 3 2" xfId="39166" xr:uid="{00000000-0005-0000-0000-000004990000}"/>
    <cellStyle name="Normal 3 8 2 5 2 4" xfId="39167" xr:uid="{00000000-0005-0000-0000-000005990000}"/>
    <cellStyle name="Normal 3 8 2 5 2 5" xfId="39168" xr:uid="{00000000-0005-0000-0000-000006990000}"/>
    <cellStyle name="Normal 3 8 2 5 3" xfId="39169" xr:uid="{00000000-0005-0000-0000-000007990000}"/>
    <cellStyle name="Normal 3 8 2 5 3 2" xfId="39170" xr:uid="{00000000-0005-0000-0000-000008990000}"/>
    <cellStyle name="Normal 3 8 2 5 3 2 2" xfId="39171" xr:uid="{00000000-0005-0000-0000-000009990000}"/>
    <cellStyle name="Normal 3 8 2 5 3 3" xfId="39172" xr:uid="{00000000-0005-0000-0000-00000A990000}"/>
    <cellStyle name="Normal 3 8 2 5 3 3 2" xfId="39173" xr:uid="{00000000-0005-0000-0000-00000B990000}"/>
    <cellStyle name="Normal 3 8 2 5 3 4" xfId="39174" xr:uid="{00000000-0005-0000-0000-00000C990000}"/>
    <cellStyle name="Normal 3 8 2 5 3 5" xfId="39175" xr:uid="{00000000-0005-0000-0000-00000D990000}"/>
    <cellStyle name="Normal 3 8 2 5 4" xfId="39176" xr:uid="{00000000-0005-0000-0000-00000E990000}"/>
    <cellStyle name="Normal 3 8 2 5 4 2" xfId="39177" xr:uid="{00000000-0005-0000-0000-00000F990000}"/>
    <cellStyle name="Normal 3 8 2 5 5" xfId="39178" xr:uid="{00000000-0005-0000-0000-000010990000}"/>
    <cellStyle name="Normal 3 8 2 5 5 2" xfId="39179" xr:uid="{00000000-0005-0000-0000-000011990000}"/>
    <cellStyle name="Normal 3 8 2 5 6" xfId="39180" xr:uid="{00000000-0005-0000-0000-000012990000}"/>
    <cellStyle name="Normal 3 8 2 5 7" xfId="39181" xr:uid="{00000000-0005-0000-0000-000013990000}"/>
    <cellStyle name="Normal 3 8 2 6" xfId="39182" xr:uid="{00000000-0005-0000-0000-000014990000}"/>
    <cellStyle name="Normal 3 8 2 6 2" xfId="39183" xr:uid="{00000000-0005-0000-0000-000015990000}"/>
    <cellStyle name="Normal 3 8 2 6 2 2" xfId="39184" xr:uid="{00000000-0005-0000-0000-000016990000}"/>
    <cellStyle name="Normal 3 8 2 6 2 2 2" xfId="39185" xr:uid="{00000000-0005-0000-0000-000017990000}"/>
    <cellStyle name="Normal 3 8 2 6 2 3" xfId="39186" xr:uid="{00000000-0005-0000-0000-000018990000}"/>
    <cellStyle name="Normal 3 8 2 6 2 4" xfId="39187" xr:uid="{00000000-0005-0000-0000-000019990000}"/>
    <cellStyle name="Normal 3 8 2 6 3" xfId="39188" xr:uid="{00000000-0005-0000-0000-00001A990000}"/>
    <cellStyle name="Normal 3 8 2 6 3 2" xfId="39189" xr:uid="{00000000-0005-0000-0000-00001B990000}"/>
    <cellStyle name="Normal 3 8 2 6 4" xfId="39190" xr:uid="{00000000-0005-0000-0000-00001C990000}"/>
    <cellStyle name="Normal 3 8 2 6 5" xfId="39191" xr:uid="{00000000-0005-0000-0000-00001D990000}"/>
    <cellStyle name="Normal 3 8 2 7" xfId="39192" xr:uid="{00000000-0005-0000-0000-00001E990000}"/>
    <cellStyle name="Normal 3 8 2 7 2" xfId="39193" xr:uid="{00000000-0005-0000-0000-00001F990000}"/>
    <cellStyle name="Normal 3 8 2 7 2 2" xfId="39194" xr:uid="{00000000-0005-0000-0000-000020990000}"/>
    <cellStyle name="Normal 3 8 2 7 3" xfId="39195" xr:uid="{00000000-0005-0000-0000-000021990000}"/>
    <cellStyle name="Normal 3 8 2 7 3 2" xfId="39196" xr:uid="{00000000-0005-0000-0000-000022990000}"/>
    <cellStyle name="Normal 3 8 2 7 4" xfId="39197" xr:uid="{00000000-0005-0000-0000-000023990000}"/>
    <cellStyle name="Normal 3 8 2 7 5" xfId="39198" xr:uid="{00000000-0005-0000-0000-000024990000}"/>
    <cellStyle name="Normal 3 8 2 8" xfId="39199" xr:uid="{00000000-0005-0000-0000-000025990000}"/>
    <cellStyle name="Normal 3 8 2 8 2" xfId="39200" xr:uid="{00000000-0005-0000-0000-000026990000}"/>
    <cellStyle name="Normal 3 8 2 9" xfId="39201" xr:uid="{00000000-0005-0000-0000-000027990000}"/>
    <cellStyle name="Normal 3 8 2 9 2" xfId="39202" xr:uid="{00000000-0005-0000-0000-000028990000}"/>
    <cellStyle name="Normal 3 8 3" xfId="39203" xr:uid="{00000000-0005-0000-0000-000029990000}"/>
    <cellStyle name="Normal 3 8 3 10" xfId="39204" xr:uid="{00000000-0005-0000-0000-00002A990000}"/>
    <cellStyle name="Normal 3 8 3 2" xfId="39205" xr:uid="{00000000-0005-0000-0000-00002B990000}"/>
    <cellStyle name="Normal 3 8 3 2 2" xfId="39206" xr:uid="{00000000-0005-0000-0000-00002C990000}"/>
    <cellStyle name="Normal 3 8 3 2 2 2" xfId="39207" xr:uid="{00000000-0005-0000-0000-00002D990000}"/>
    <cellStyle name="Normal 3 8 3 2 2 2 2" xfId="39208" xr:uid="{00000000-0005-0000-0000-00002E990000}"/>
    <cellStyle name="Normal 3 8 3 2 2 2 2 2" xfId="39209" xr:uid="{00000000-0005-0000-0000-00002F990000}"/>
    <cellStyle name="Normal 3 8 3 2 2 2 2 2 2" xfId="39210" xr:uid="{00000000-0005-0000-0000-000030990000}"/>
    <cellStyle name="Normal 3 8 3 2 2 2 2 2 2 2" xfId="39211" xr:uid="{00000000-0005-0000-0000-000031990000}"/>
    <cellStyle name="Normal 3 8 3 2 2 2 2 2 3" xfId="39212" xr:uid="{00000000-0005-0000-0000-000032990000}"/>
    <cellStyle name="Normal 3 8 3 2 2 2 2 2 4" xfId="39213" xr:uid="{00000000-0005-0000-0000-000033990000}"/>
    <cellStyle name="Normal 3 8 3 2 2 2 2 3" xfId="39214" xr:uid="{00000000-0005-0000-0000-000034990000}"/>
    <cellStyle name="Normal 3 8 3 2 2 2 2 3 2" xfId="39215" xr:uid="{00000000-0005-0000-0000-000035990000}"/>
    <cellStyle name="Normal 3 8 3 2 2 2 2 4" xfId="39216" xr:uid="{00000000-0005-0000-0000-000036990000}"/>
    <cellStyle name="Normal 3 8 3 2 2 2 2 5" xfId="39217" xr:uid="{00000000-0005-0000-0000-000037990000}"/>
    <cellStyle name="Normal 3 8 3 2 2 2 3" xfId="39218" xr:uid="{00000000-0005-0000-0000-000038990000}"/>
    <cellStyle name="Normal 3 8 3 2 2 2 3 2" xfId="39219" xr:uid="{00000000-0005-0000-0000-000039990000}"/>
    <cellStyle name="Normal 3 8 3 2 2 2 3 2 2" xfId="39220" xr:uid="{00000000-0005-0000-0000-00003A990000}"/>
    <cellStyle name="Normal 3 8 3 2 2 2 3 3" xfId="39221" xr:uid="{00000000-0005-0000-0000-00003B990000}"/>
    <cellStyle name="Normal 3 8 3 2 2 2 3 4" xfId="39222" xr:uid="{00000000-0005-0000-0000-00003C990000}"/>
    <cellStyle name="Normal 3 8 3 2 2 2 4" xfId="39223" xr:uid="{00000000-0005-0000-0000-00003D990000}"/>
    <cellStyle name="Normal 3 8 3 2 2 2 4 2" xfId="39224" xr:uid="{00000000-0005-0000-0000-00003E990000}"/>
    <cellStyle name="Normal 3 8 3 2 2 2 5" xfId="39225" xr:uid="{00000000-0005-0000-0000-00003F990000}"/>
    <cellStyle name="Normal 3 8 3 2 2 2 6" xfId="39226" xr:uid="{00000000-0005-0000-0000-000040990000}"/>
    <cellStyle name="Normal 3 8 3 2 2 3" xfId="39227" xr:uid="{00000000-0005-0000-0000-000041990000}"/>
    <cellStyle name="Normal 3 8 3 2 2 3 2" xfId="39228" xr:uid="{00000000-0005-0000-0000-000042990000}"/>
    <cellStyle name="Normal 3 8 3 2 2 3 2 2" xfId="39229" xr:uid="{00000000-0005-0000-0000-000043990000}"/>
    <cellStyle name="Normal 3 8 3 2 2 3 2 2 2" xfId="39230" xr:uid="{00000000-0005-0000-0000-000044990000}"/>
    <cellStyle name="Normal 3 8 3 2 2 3 2 3" xfId="39231" xr:uid="{00000000-0005-0000-0000-000045990000}"/>
    <cellStyle name="Normal 3 8 3 2 2 3 2 4" xfId="39232" xr:uid="{00000000-0005-0000-0000-000046990000}"/>
    <cellStyle name="Normal 3 8 3 2 2 3 3" xfId="39233" xr:uid="{00000000-0005-0000-0000-000047990000}"/>
    <cellStyle name="Normal 3 8 3 2 2 3 3 2" xfId="39234" xr:uid="{00000000-0005-0000-0000-000048990000}"/>
    <cellStyle name="Normal 3 8 3 2 2 3 4" xfId="39235" xr:uid="{00000000-0005-0000-0000-000049990000}"/>
    <cellStyle name="Normal 3 8 3 2 2 3 5" xfId="39236" xr:uid="{00000000-0005-0000-0000-00004A990000}"/>
    <cellStyle name="Normal 3 8 3 2 2 4" xfId="39237" xr:uid="{00000000-0005-0000-0000-00004B990000}"/>
    <cellStyle name="Normal 3 8 3 2 2 4 2" xfId="39238" xr:uid="{00000000-0005-0000-0000-00004C990000}"/>
    <cellStyle name="Normal 3 8 3 2 2 4 2 2" xfId="39239" xr:uid="{00000000-0005-0000-0000-00004D990000}"/>
    <cellStyle name="Normal 3 8 3 2 2 4 3" xfId="39240" xr:uid="{00000000-0005-0000-0000-00004E990000}"/>
    <cellStyle name="Normal 3 8 3 2 2 4 4" xfId="39241" xr:uid="{00000000-0005-0000-0000-00004F990000}"/>
    <cellStyle name="Normal 3 8 3 2 2 5" xfId="39242" xr:uid="{00000000-0005-0000-0000-000050990000}"/>
    <cellStyle name="Normal 3 8 3 2 2 5 2" xfId="39243" xr:uid="{00000000-0005-0000-0000-000051990000}"/>
    <cellStyle name="Normal 3 8 3 2 2 6" xfId="39244" xr:uid="{00000000-0005-0000-0000-000052990000}"/>
    <cellStyle name="Normal 3 8 3 2 2 7" xfId="39245" xr:uid="{00000000-0005-0000-0000-000053990000}"/>
    <cellStyle name="Normal 3 8 3 2 3" xfId="39246" xr:uid="{00000000-0005-0000-0000-000054990000}"/>
    <cellStyle name="Normal 3 8 3 2 3 2" xfId="39247" xr:uid="{00000000-0005-0000-0000-000055990000}"/>
    <cellStyle name="Normal 3 8 3 2 3 2 2" xfId="39248" xr:uid="{00000000-0005-0000-0000-000056990000}"/>
    <cellStyle name="Normal 3 8 3 2 3 2 2 2" xfId="39249" xr:uid="{00000000-0005-0000-0000-000057990000}"/>
    <cellStyle name="Normal 3 8 3 2 3 2 2 2 2" xfId="39250" xr:uid="{00000000-0005-0000-0000-000058990000}"/>
    <cellStyle name="Normal 3 8 3 2 3 2 2 3" xfId="39251" xr:uid="{00000000-0005-0000-0000-000059990000}"/>
    <cellStyle name="Normal 3 8 3 2 3 2 2 4" xfId="39252" xr:uid="{00000000-0005-0000-0000-00005A990000}"/>
    <cellStyle name="Normal 3 8 3 2 3 2 3" xfId="39253" xr:uid="{00000000-0005-0000-0000-00005B990000}"/>
    <cellStyle name="Normal 3 8 3 2 3 2 3 2" xfId="39254" xr:uid="{00000000-0005-0000-0000-00005C990000}"/>
    <cellStyle name="Normal 3 8 3 2 3 2 4" xfId="39255" xr:uid="{00000000-0005-0000-0000-00005D990000}"/>
    <cellStyle name="Normal 3 8 3 2 3 2 5" xfId="39256" xr:uid="{00000000-0005-0000-0000-00005E990000}"/>
    <cellStyle name="Normal 3 8 3 2 3 3" xfId="39257" xr:uid="{00000000-0005-0000-0000-00005F990000}"/>
    <cellStyle name="Normal 3 8 3 2 3 3 2" xfId="39258" xr:uid="{00000000-0005-0000-0000-000060990000}"/>
    <cellStyle name="Normal 3 8 3 2 3 3 2 2" xfId="39259" xr:uid="{00000000-0005-0000-0000-000061990000}"/>
    <cellStyle name="Normal 3 8 3 2 3 3 3" xfId="39260" xr:uid="{00000000-0005-0000-0000-000062990000}"/>
    <cellStyle name="Normal 3 8 3 2 3 3 3 2" xfId="39261" xr:uid="{00000000-0005-0000-0000-000063990000}"/>
    <cellStyle name="Normal 3 8 3 2 3 3 4" xfId="39262" xr:uid="{00000000-0005-0000-0000-000064990000}"/>
    <cellStyle name="Normal 3 8 3 2 3 3 5" xfId="39263" xr:uid="{00000000-0005-0000-0000-000065990000}"/>
    <cellStyle name="Normal 3 8 3 2 3 4" xfId="39264" xr:uid="{00000000-0005-0000-0000-000066990000}"/>
    <cellStyle name="Normal 3 8 3 2 3 4 2" xfId="39265" xr:uid="{00000000-0005-0000-0000-000067990000}"/>
    <cellStyle name="Normal 3 8 3 2 3 5" xfId="39266" xr:uid="{00000000-0005-0000-0000-000068990000}"/>
    <cellStyle name="Normal 3 8 3 2 3 5 2" xfId="39267" xr:uid="{00000000-0005-0000-0000-000069990000}"/>
    <cellStyle name="Normal 3 8 3 2 3 6" xfId="39268" xr:uid="{00000000-0005-0000-0000-00006A990000}"/>
    <cellStyle name="Normal 3 8 3 2 3 7" xfId="39269" xr:uid="{00000000-0005-0000-0000-00006B990000}"/>
    <cellStyle name="Normal 3 8 3 2 4" xfId="39270" xr:uid="{00000000-0005-0000-0000-00006C990000}"/>
    <cellStyle name="Normal 3 8 3 2 4 2" xfId="39271" xr:uid="{00000000-0005-0000-0000-00006D990000}"/>
    <cellStyle name="Normal 3 8 3 2 4 2 2" xfId="39272" xr:uid="{00000000-0005-0000-0000-00006E990000}"/>
    <cellStyle name="Normal 3 8 3 2 4 2 2 2" xfId="39273" xr:uid="{00000000-0005-0000-0000-00006F990000}"/>
    <cellStyle name="Normal 3 8 3 2 4 2 3" xfId="39274" xr:uid="{00000000-0005-0000-0000-000070990000}"/>
    <cellStyle name="Normal 3 8 3 2 4 2 4" xfId="39275" xr:uid="{00000000-0005-0000-0000-000071990000}"/>
    <cellStyle name="Normal 3 8 3 2 4 3" xfId="39276" xr:uid="{00000000-0005-0000-0000-000072990000}"/>
    <cellStyle name="Normal 3 8 3 2 4 3 2" xfId="39277" xr:uid="{00000000-0005-0000-0000-000073990000}"/>
    <cellStyle name="Normal 3 8 3 2 4 4" xfId="39278" xr:uid="{00000000-0005-0000-0000-000074990000}"/>
    <cellStyle name="Normal 3 8 3 2 4 5" xfId="39279" xr:uid="{00000000-0005-0000-0000-000075990000}"/>
    <cellStyle name="Normal 3 8 3 2 5" xfId="39280" xr:uid="{00000000-0005-0000-0000-000076990000}"/>
    <cellStyle name="Normal 3 8 3 2 5 2" xfId="39281" xr:uid="{00000000-0005-0000-0000-000077990000}"/>
    <cellStyle name="Normal 3 8 3 2 5 2 2" xfId="39282" xr:uid="{00000000-0005-0000-0000-000078990000}"/>
    <cellStyle name="Normal 3 8 3 2 5 3" xfId="39283" xr:uid="{00000000-0005-0000-0000-000079990000}"/>
    <cellStyle name="Normal 3 8 3 2 5 3 2" xfId="39284" xr:uid="{00000000-0005-0000-0000-00007A990000}"/>
    <cellStyle name="Normal 3 8 3 2 5 4" xfId="39285" xr:uid="{00000000-0005-0000-0000-00007B990000}"/>
    <cellStyle name="Normal 3 8 3 2 5 5" xfId="39286" xr:uid="{00000000-0005-0000-0000-00007C990000}"/>
    <cellStyle name="Normal 3 8 3 2 6" xfId="39287" xr:uid="{00000000-0005-0000-0000-00007D990000}"/>
    <cellStyle name="Normal 3 8 3 2 6 2" xfId="39288" xr:uid="{00000000-0005-0000-0000-00007E990000}"/>
    <cellStyle name="Normal 3 8 3 2 7" xfId="39289" xr:uid="{00000000-0005-0000-0000-00007F990000}"/>
    <cellStyle name="Normal 3 8 3 2 7 2" xfId="39290" xr:uid="{00000000-0005-0000-0000-000080990000}"/>
    <cellStyle name="Normal 3 8 3 2 8" xfId="39291" xr:uid="{00000000-0005-0000-0000-000081990000}"/>
    <cellStyle name="Normal 3 8 3 2 9" xfId="39292" xr:uid="{00000000-0005-0000-0000-000082990000}"/>
    <cellStyle name="Normal 3 8 3 3" xfId="39293" xr:uid="{00000000-0005-0000-0000-000083990000}"/>
    <cellStyle name="Normal 3 8 3 3 2" xfId="39294" xr:uid="{00000000-0005-0000-0000-000084990000}"/>
    <cellStyle name="Normal 3 8 3 3 2 2" xfId="39295" xr:uid="{00000000-0005-0000-0000-000085990000}"/>
    <cellStyle name="Normal 3 8 3 3 2 2 2" xfId="39296" xr:uid="{00000000-0005-0000-0000-000086990000}"/>
    <cellStyle name="Normal 3 8 3 3 2 2 2 2" xfId="39297" xr:uid="{00000000-0005-0000-0000-000087990000}"/>
    <cellStyle name="Normal 3 8 3 3 2 2 2 2 2" xfId="39298" xr:uid="{00000000-0005-0000-0000-000088990000}"/>
    <cellStyle name="Normal 3 8 3 3 2 2 2 3" xfId="39299" xr:uid="{00000000-0005-0000-0000-000089990000}"/>
    <cellStyle name="Normal 3 8 3 3 2 2 2 4" xfId="39300" xr:uid="{00000000-0005-0000-0000-00008A990000}"/>
    <cellStyle name="Normal 3 8 3 3 2 2 3" xfId="39301" xr:uid="{00000000-0005-0000-0000-00008B990000}"/>
    <cellStyle name="Normal 3 8 3 3 2 2 3 2" xfId="39302" xr:uid="{00000000-0005-0000-0000-00008C990000}"/>
    <cellStyle name="Normal 3 8 3 3 2 2 4" xfId="39303" xr:uid="{00000000-0005-0000-0000-00008D990000}"/>
    <cellStyle name="Normal 3 8 3 3 2 2 5" xfId="39304" xr:uid="{00000000-0005-0000-0000-00008E990000}"/>
    <cellStyle name="Normal 3 8 3 3 2 3" xfId="39305" xr:uid="{00000000-0005-0000-0000-00008F990000}"/>
    <cellStyle name="Normal 3 8 3 3 2 3 2" xfId="39306" xr:uid="{00000000-0005-0000-0000-000090990000}"/>
    <cellStyle name="Normal 3 8 3 3 2 3 2 2" xfId="39307" xr:uid="{00000000-0005-0000-0000-000091990000}"/>
    <cellStyle name="Normal 3 8 3 3 2 3 3" xfId="39308" xr:uid="{00000000-0005-0000-0000-000092990000}"/>
    <cellStyle name="Normal 3 8 3 3 2 3 4" xfId="39309" xr:uid="{00000000-0005-0000-0000-000093990000}"/>
    <cellStyle name="Normal 3 8 3 3 2 4" xfId="39310" xr:uid="{00000000-0005-0000-0000-000094990000}"/>
    <cellStyle name="Normal 3 8 3 3 2 4 2" xfId="39311" xr:uid="{00000000-0005-0000-0000-000095990000}"/>
    <cellStyle name="Normal 3 8 3 3 2 5" xfId="39312" xr:uid="{00000000-0005-0000-0000-000096990000}"/>
    <cellStyle name="Normal 3 8 3 3 2 6" xfId="39313" xr:uid="{00000000-0005-0000-0000-000097990000}"/>
    <cellStyle name="Normal 3 8 3 3 3" xfId="39314" xr:uid="{00000000-0005-0000-0000-000098990000}"/>
    <cellStyle name="Normal 3 8 3 3 3 2" xfId="39315" xr:uid="{00000000-0005-0000-0000-000099990000}"/>
    <cellStyle name="Normal 3 8 3 3 3 2 2" xfId="39316" xr:uid="{00000000-0005-0000-0000-00009A990000}"/>
    <cellStyle name="Normal 3 8 3 3 3 2 2 2" xfId="39317" xr:uid="{00000000-0005-0000-0000-00009B990000}"/>
    <cellStyle name="Normal 3 8 3 3 3 2 3" xfId="39318" xr:uid="{00000000-0005-0000-0000-00009C990000}"/>
    <cellStyle name="Normal 3 8 3 3 3 2 4" xfId="39319" xr:uid="{00000000-0005-0000-0000-00009D990000}"/>
    <cellStyle name="Normal 3 8 3 3 3 3" xfId="39320" xr:uid="{00000000-0005-0000-0000-00009E990000}"/>
    <cellStyle name="Normal 3 8 3 3 3 3 2" xfId="39321" xr:uid="{00000000-0005-0000-0000-00009F990000}"/>
    <cellStyle name="Normal 3 8 3 3 3 4" xfId="39322" xr:uid="{00000000-0005-0000-0000-0000A0990000}"/>
    <cellStyle name="Normal 3 8 3 3 3 5" xfId="39323" xr:uid="{00000000-0005-0000-0000-0000A1990000}"/>
    <cellStyle name="Normal 3 8 3 3 4" xfId="39324" xr:uid="{00000000-0005-0000-0000-0000A2990000}"/>
    <cellStyle name="Normal 3 8 3 3 4 2" xfId="39325" xr:uid="{00000000-0005-0000-0000-0000A3990000}"/>
    <cellStyle name="Normal 3 8 3 3 4 2 2" xfId="39326" xr:uid="{00000000-0005-0000-0000-0000A4990000}"/>
    <cellStyle name="Normal 3 8 3 3 4 3" xfId="39327" xr:uid="{00000000-0005-0000-0000-0000A5990000}"/>
    <cellStyle name="Normal 3 8 3 3 4 4" xfId="39328" xr:uid="{00000000-0005-0000-0000-0000A6990000}"/>
    <cellStyle name="Normal 3 8 3 3 5" xfId="39329" xr:uid="{00000000-0005-0000-0000-0000A7990000}"/>
    <cellStyle name="Normal 3 8 3 3 5 2" xfId="39330" xr:uid="{00000000-0005-0000-0000-0000A8990000}"/>
    <cellStyle name="Normal 3 8 3 3 6" xfId="39331" xr:uid="{00000000-0005-0000-0000-0000A9990000}"/>
    <cellStyle name="Normal 3 8 3 3 7" xfId="39332" xr:uid="{00000000-0005-0000-0000-0000AA990000}"/>
    <cellStyle name="Normal 3 8 3 4" xfId="39333" xr:uid="{00000000-0005-0000-0000-0000AB990000}"/>
    <cellStyle name="Normal 3 8 3 4 2" xfId="39334" xr:uid="{00000000-0005-0000-0000-0000AC990000}"/>
    <cellStyle name="Normal 3 8 3 4 2 2" xfId="39335" xr:uid="{00000000-0005-0000-0000-0000AD990000}"/>
    <cellStyle name="Normal 3 8 3 4 2 2 2" xfId="39336" xr:uid="{00000000-0005-0000-0000-0000AE990000}"/>
    <cellStyle name="Normal 3 8 3 4 2 2 2 2" xfId="39337" xr:uid="{00000000-0005-0000-0000-0000AF990000}"/>
    <cellStyle name="Normal 3 8 3 4 2 2 3" xfId="39338" xr:uid="{00000000-0005-0000-0000-0000B0990000}"/>
    <cellStyle name="Normal 3 8 3 4 2 2 4" xfId="39339" xr:uid="{00000000-0005-0000-0000-0000B1990000}"/>
    <cellStyle name="Normal 3 8 3 4 2 3" xfId="39340" xr:uid="{00000000-0005-0000-0000-0000B2990000}"/>
    <cellStyle name="Normal 3 8 3 4 2 3 2" xfId="39341" xr:uid="{00000000-0005-0000-0000-0000B3990000}"/>
    <cellStyle name="Normal 3 8 3 4 2 4" xfId="39342" xr:uid="{00000000-0005-0000-0000-0000B4990000}"/>
    <cellStyle name="Normal 3 8 3 4 2 5" xfId="39343" xr:uid="{00000000-0005-0000-0000-0000B5990000}"/>
    <cellStyle name="Normal 3 8 3 4 3" xfId="39344" xr:uid="{00000000-0005-0000-0000-0000B6990000}"/>
    <cellStyle name="Normal 3 8 3 4 3 2" xfId="39345" xr:uid="{00000000-0005-0000-0000-0000B7990000}"/>
    <cellStyle name="Normal 3 8 3 4 3 2 2" xfId="39346" xr:uid="{00000000-0005-0000-0000-0000B8990000}"/>
    <cellStyle name="Normal 3 8 3 4 3 3" xfId="39347" xr:uid="{00000000-0005-0000-0000-0000B9990000}"/>
    <cellStyle name="Normal 3 8 3 4 3 3 2" xfId="39348" xr:uid="{00000000-0005-0000-0000-0000BA990000}"/>
    <cellStyle name="Normal 3 8 3 4 3 4" xfId="39349" xr:uid="{00000000-0005-0000-0000-0000BB990000}"/>
    <cellStyle name="Normal 3 8 3 4 3 5" xfId="39350" xr:uid="{00000000-0005-0000-0000-0000BC990000}"/>
    <cellStyle name="Normal 3 8 3 4 4" xfId="39351" xr:uid="{00000000-0005-0000-0000-0000BD990000}"/>
    <cellStyle name="Normal 3 8 3 4 4 2" xfId="39352" xr:uid="{00000000-0005-0000-0000-0000BE990000}"/>
    <cellStyle name="Normal 3 8 3 4 5" xfId="39353" xr:uid="{00000000-0005-0000-0000-0000BF990000}"/>
    <cellStyle name="Normal 3 8 3 4 5 2" xfId="39354" xr:uid="{00000000-0005-0000-0000-0000C0990000}"/>
    <cellStyle name="Normal 3 8 3 4 6" xfId="39355" xr:uid="{00000000-0005-0000-0000-0000C1990000}"/>
    <cellStyle name="Normal 3 8 3 4 7" xfId="39356" xr:uid="{00000000-0005-0000-0000-0000C2990000}"/>
    <cellStyle name="Normal 3 8 3 5" xfId="39357" xr:uid="{00000000-0005-0000-0000-0000C3990000}"/>
    <cellStyle name="Normal 3 8 3 5 2" xfId="39358" xr:uid="{00000000-0005-0000-0000-0000C4990000}"/>
    <cellStyle name="Normal 3 8 3 5 2 2" xfId="39359" xr:uid="{00000000-0005-0000-0000-0000C5990000}"/>
    <cellStyle name="Normal 3 8 3 5 2 2 2" xfId="39360" xr:uid="{00000000-0005-0000-0000-0000C6990000}"/>
    <cellStyle name="Normal 3 8 3 5 2 3" xfId="39361" xr:uid="{00000000-0005-0000-0000-0000C7990000}"/>
    <cellStyle name="Normal 3 8 3 5 2 4" xfId="39362" xr:uid="{00000000-0005-0000-0000-0000C8990000}"/>
    <cellStyle name="Normal 3 8 3 5 3" xfId="39363" xr:uid="{00000000-0005-0000-0000-0000C9990000}"/>
    <cellStyle name="Normal 3 8 3 5 3 2" xfId="39364" xr:uid="{00000000-0005-0000-0000-0000CA990000}"/>
    <cellStyle name="Normal 3 8 3 5 4" xfId="39365" xr:uid="{00000000-0005-0000-0000-0000CB990000}"/>
    <cellStyle name="Normal 3 8 3 5 5" xfId="39366" xr:uid="{00000000-0005-0000-0000-0000CC990000}"/>
    <cellStyle name="Normal 3 8 3 6" xfId="39367" xr:uid="{00000000-0005-0000-0000-0000CD990000}"/>
    <cellStyle name="Normal 3 8 3 6 2" xfId="39368" xr:uid="{00000000-0005-0000-0000-0000CE990000}"/>
    <cellStyle name="Normal 3 8 3 6 2 2" xfId="39369" xr:uid="{00000000-0005-0000-0000-0000CF990000}"/>
    <cellStyle name="Normal 3 8 3 6 3" xfId="39370" xr:uid="{00000000-0005-0000-0000-0000D0990000}"/>
    <cellStyle name="Normal 3 8 3 6 3 2" xfId="39371" xr:uid="{00000000-0005-0000-0000-0000D1990000}"/>
    <cellStyle name="Normal 3 8 3 6 4" xfId="39372" xr:uid="{00000000-0005-0000-0000-0000D2990000}"/>
    <cellStyle name="Normal 3 8 3 6 5" xfId="39373" xr:uid="{00000000-0005-0000-0000-0000D3990000}"/>
    <cellStyle name="Normal 3 8 3 7" xfId="39374" xr:uid="{00000000-0005-0000-0000-0000D4990000}"/>
    <cellStyle name="Normal 3 8 3 7 2" xfId="39375" xr:uid="{00000000-0005-0000-0000-0000D5990000}"/>
    <cellStyle name="Normal 3 8 3 8" xfId="39376" xr:uid="{00000000-0005-0000-0000-0000D6990000}"/>
    <cellStyle name="Normal 3 8 3 8 2" xfId="39377" xr:uid="{00000000-0005-0000-0000-0000D7990000}"/>
    <cellStyle name="Normal 3 8 3 9" xfId="39378" xr:uid="{00000000-0005-0000-0000-0000D8990000}"/>
    <cellStyle name="Normal 3 8 4" xfId="39379" xr:uid="{00000000-0005-0000-0000-0000D9990000}"/>
    <cellStyle name="Normal 3 8 4 2" xfId="39380" xr:uid="{00000000-0005-0000-0000-0000DA990000}"/>
    <cellStyle name="Normal 3 8 4 2 2" xfId="39381" xr:uid="{00000000-0005-0000-0000-0000DB990000}"/>
    <cellStyle name="Normal 3 8 4 2 2 2" xfId="39382" xr:uid="{00000000-0005-0000-0000-0000DC990000}"/>
    <cellStyle name="Normal 3 8 4 2 2 2 2" xfId="39383" xr:uid="{00000000-0005-0000-0000-0000DD990000}"/>
    <cellStyle name="Normal 3 8 4 2 2 2 2 2" xfId="39384" xr:uid="{00000000-0005-0000-0000-0000DE990000}"/>
    <cellStyle name="Normal 3 8 4 2 2 2 2 2 2" xfId="39385" xr:uid="{00000000-0005-0000-0000-0000DF990000}"/>
    <cellStyle name="Normal 3 8 4 2 2 2 2 3" xfId="39386" xr:uid="{00000000-0005-0000-0000-0000E0990000}"/>
    <cellStyle name="Normal 3 8 4 2 2 2 2 4" xfId="39387" xr:uid="{00000000-0005-0000-0000-0000E1990000}"/>
    <cellStyle name="Normal 3 8 4 2 2 2 3" xfId="39388" xr:uid="{00000000-0005-0000-0000-0000E2990000}"/>
    <cellStyle name="Normal 3 8 4 2 2 2 3 2" xfId="39389" xr:uid="{00000000-0005-0000-0000-0000E3990000}"/>
    <cellStyle name="Normal 3 8 4 2 2 2 4" xfId="39390" xr:uid="{00000000-0005-0000-0000-0000E4990000}"/>
    <cellStyle name="Normal 3 8 4 2 2 2 5" xfId="39391" xr:uid="{00000000-0005-0000-0000-0000E5990000}"/>
    <cellStyle name="Normal 3 8 4 2 2 3" xfId="39392" xr:uid="{00000000-0005-0000-0000-0000E6990000}"/>
    <cellStyle name="Normal 3 8 4 2 2 3 2" xfId="39393" xr:uid="{00000000-0005-0000-0000-0000E7990000}"/>
    <cellStyle name="Normal 3 8 4 2 2 3 2 2" xfId="39394" xr:uid="{00000000-0005-0000-0000-0000E8990000}"/>
    <cellStyle name="Normal 3 8 4 2 2 3 3" xfId="39395" xr:uid="{00000000-0005-0000-0000-0000E9990000}"/>
    <cellStyle name="Normal 3 8 4 2 2 3 4" xfId="39396" xr:uid="{00000000-0005-0000-0000-0000EA990000}"/>
    <cellStyle name="Normal 3 8 4 2 2 4" xfId="39397" xr:uid="{00000000-0005-0000-0000-0000EB990000}"/>
    <cellStyle name="Normal 3 8 4 2 2 4 2" xfId="39398" xr:uid="{00000000-0005-0000-0000-0000EC990000}"/>
    <cellStyle name="Normal 3 8 4 2 2 5" xfId="39399" xr:uid="{00000000-0005-0000-0000-0000ED990000}"/>
    <cellStyle name="Normal 3 8 4 2 2 6" xfId="39400" xr:uid="{00000000-0005-0000-0000-0000EE990000}"/>
    <cellStyle name="Normal 3 8 4 2 3" xfId="39401" xr:uid="{00000000-0005-0000-0000-0000EF990000}"/>
    <cellStyle name="Normal 3 8 4 2 3 2" xfId="39402" xr:uid="{00000000-0005-0000-0000-0000F0990000}"/>
    <cellStyle name="Normal 3 8 4 2 3 2 2" xfId="39403" xr:uid="{00000000-0005-0000-0000-0000F1990000}"/>
    <cellStyle name="Normal 3 8 4 2 3 2 2 2" xfId="39404" xr:uid="{00000000-0005-0000-0000-0000F2990000}"/>
    <cellStyle name="Normal 3 8 4 2 3 2 3" xfId="39405" xr:uid="{00000000-0005-0000-0000-0000F3990000}"/>
    <cellStyle name="Normal 3 8 4 2 3 2 4" xfId="39406" xr:uid="{00000000-0005-0000-0000-0000F4990000}"/>
    <cellStyle name="Normal 3 8 4 2 3 3" xfId="39407" xr:uid="{00000000-0005-0000-0000-0000F5990000}"/>
    <cellStyle name="Normal 3 8 4 2 3 3 2" xfId="39408" xr:uid="{00000000-0005-0000-0000-0000F6990000}"/>
    <cellStyle name="Normal 3 8 4 2 3 4" xfId="39409" xr:uid="{00000000-0005-0000-0000-0000F7990000}"/>
    <cellStyle name="Normal 3 8 4 2 3 5" xfId="39410" xr:uid="{00000000-0005-0000-0000-0000F8990000}"/>
    <cellStyle name="Normal 3 8 4 2 4" xfId="39411" xr:uid="{00000000-0005-0000-0000-0000F9990000}"/>
    <cellStyle name="Normal 3 8 4 2 4 2" xfId="39412" xr:uid="{00000000-0005-0000-0000-0000FA990000}"/>
    <cellStyle name="Normal 3 8 4 2 4 2 2" xfId="39413" xr:uid="{00000000-0005-0000-0000-0000FB990000}"/>
    <cellStyle name="Normal 3 8 4 2 4 3" xfId="39414" xr:uid="{00000000-0005-0000-0000-0000FC990000}"/>
    <cellStyle name="Normal 3 8 4 2 4 4" xfId="39415" xr:uid="{00000000-0005-0000-0000-0000FD990000}"/>
    <cellStyle name="Normal 3 8 4 2 5" xfId="39416" xr:uid="{00000000-0005-0000-0000-0000FE990000}"/>
    <cellStyle name="Normal 3 8 4 2 5 2" xfId="39417" xr:uid="{00000000-0005-0000-0000-0000FF990000}"/>
    <cellStyle name="Normal 3 8 4 2 6" xfId="39418" xr:uid="{00000000-0005-0000-0000-0000009A0000}"/>
    <cellStyle name="Normal 3 8 4 2 7" xfId="39419" xr:uid="{00000000-0005-0000-0000-0000019A0000}"/>
    <cellStyle name="Normal 3 8 4 3" xfId="39420" xr:uid="{00000000-0005-0000-0000-0000029A0000}"/>
    <cellStyle name="Normal 3 8 4 3 2" xfId="39421" xr:uid="{00000000-0005-0000-0000-0000039A0000}"/>
    <cellStyle name="Normal 3 8 4 3 2 2" xfId="39422" xr:uid="{00000000-0005-0000-0000-0000049A0000}"/>
    <cellStyle name="Normal 3 8 4 3 2 2 2" xfId="39423" xr:uid="{00000000-0005-0000-0000-0000059A0000}"/>
    <cellStyle name="Normal 3 8 4 3 2 2 2 2" xfId="39424" xr:uid="{00000000-0005-0000-0000-0000069A0000}"/>
    <cellStyle name="Normal 3 8 4 3 2 2 3" xfId="39425" xr:uid="{00000000-0005-0000-0000-0000079A0000}"/>
    <cellStyle name="Normal 3 8 4 3 2 2 4" xfId="39426" xr:uid="{00000000-0005-0000-0000-0000089A0000}"/>
    <cellStyle name="Normal 3 8 4 3 2 3" xfId="39427" xr:uid="{00000000-0005-0000-0000-0000099A0000}"/>
    <cellStyle name="Normal 3 8 4 3 2 3 2" xfId="39428" xr:uid="{00000000-0005-0000-0000-00000A9A0000}"/>
    <cellStyle name="Normal 3 8 4 3 2 4" xfId="39429" xr:uid="{00000000-0005-0000-0000-00000B9A0000}"/>
    <cellStyle name="Normal 3 8 4 3 2 5" xfId="39430" xr:uid="{00000000-0005-0000-0000-00000C9A0000}"/>
    <cellStyle name="Normal 3 8 4 3 3" xfId="39431" xr:uid="{00000000-0005-0000-0000-00000D9A0000}"/>
    <cellStyle name="Normal 3 8 4 3 3 2" xfId="39432" xr:uid="{00000000-0005-0000-0000-00000E9A0000}"/>
    <cellStyle name="Normal 3 8 4 3 3 2 2" xfId="39433" xr:uid="{00000000-0005-0000-0000-00000F9A0000}"/>
    <cellStyle name="Normal 3 8 4 3 3 3" xfId="39434" xr:uid="{00000000-0005-0000-0000-0000109A0000}"/>
    <cellStyle name="Normal 3 8 4 3 3 3 2" xfId="39435" xr:uid="{00000000-0005-0000-0000-0000119A0000}"/>
    <cellStyle name="Normal 3 8 4 3 3 4" xfId="39436" xr:uid="{00000000-0005-0000-0000-0000129A0000}"/>
    <cellStyle name="Normal 3 8 4 3 3 5" xfId="39437" xr:uid="{00000000-0005-0000-0000-0000139A0000}"/>
    <cellStyle name="Normal 3 8 4 3 4" xfId="39438" xr:uid="{00000000-0005-0000-0000-0000149A0000}"/>
    <cellStyle name="Normal 3 8 4 3 4 2" xfId="39439" xr:uid="{00000000-0005-0000-0000-0000159A0000}"/>
    <cellStyle name="Normal 3 8 4 3 5" xfId="39440" xr:uid="{00000000-0005-0000-0000-0000169A0000}"/>
    <cellStyle name="Normal 3 8 4 3 5 2" xfId="39441" xr:uid="{00000000-0005-0000-0000-0000179A0000}"/>
    <cellStyle name="Normal 3 8 4 3 6" xfId="39442" xr:uid="{00000000-0005-0000-0000-0000189A0000}"/>
    <cellStyle name="Normal 3 8 4 3 7" xfId="39443" xr:uid="{00000000-0005-0000-0000-0000199A0000}"/>
    <cellStyle name="Normal 3 8 4 4" xfId="39444" xr:uid="{00000000-0005-0000-0000-00001A9A0000}"/>
    <cellStyle name="Normal 3 8 4 4 2" xfId="39445" xr:uid="{00000000-0005-0000-0000-00001B9A0000}"/>
    <cellStyle name="Normal 3 8 4 4 2 2" xfId="39446" xr:uid="{00000000-0005-0000-0000-00001C9A0000}"/>
    <cellStyle name="Normal 3 8 4 4 2 2 2" xfId="39447" xr:uid="{00000000-0005-0000-0000-00001D9A0000}"/>
    <cellStyle name="Normal 3 8 4 4 2 3" xfId="39448" xr:uid="{00000000-0005-0000-0000-00001E9A0000}"/>
    <cellStyle name="Normal 3 8 4 4 2 4" xfId="39449" xr:uid="{00000000-0005-0000-0000-00001F9A0000}"/>
    <cellStyle name="Normal 3 8 4 4 3" xfId="39450" xr:uid="{00000000-0005-0000-0000-0000209A0000}"/>
    <cellStyle name="Normal 3 8 4 4 3 2" xfId="39451" xr:uid="{00000000-0005-0000-0000-0000219A0000}"/>
    <cellStyle name="Normal 3 8 4 4 4" xfId="39452" xr:uid="{00000000-0005-0000-0000-0000229A0000}"/>
    <cellStyle name="Normal 3 8 4 4 5" xfId="39453" xr:uid="{00000000-0005-0000-0000-0000239A0000}"/>
    <cellStyle name="Normal 3 8 4 5" xfId="39454" xr:uid="{00000000-0005-0000-0000-0000249A0000}"/>
    <cellStyle name="Normal 3 8 4 5 2" xfId="39455" xr:uid="{00000000-0005-0000-0000-0000259A0000}"/>
    <cellStyle name="Normal 3 8 4 5 2 2" xfId="39456" xr:uid="{00000000-0005-0000-0000-0000269A0000}"/>
    <cellStyle name="Normal 3 8 4 5 3" xfId="39457" xr:uid="{00000000-0005-0000-0000-0000279A0000}"/>
    <cellStyle name="Normal 3 8 4 5 3 2" xfId="39458" xr:uid="{00000000-0005-0000-0000-0000289A0000}"/>
    <cellStyle name="Normal 3 8 4 5 4" xfId="39459" xr:uid="{00000000-0005-0000-0000-0000299A0000}"/>
    <cellStyle name="Normal 3 8 4 5 5" xfId="39460" xr:uid="{00000000-0005-0000-0000-00002A9A0000}"/>
    <cellStyle name="Normal 3 8 4 6" xfId="39461" xr:uid="{00000000-0005-0000-0000-00002B9A0000}"/>
    <cellStyle name="Normal 3 8 4 6 2" xfId="39462" xr:uid="{00000000-0005-0000-0000-00002C9A0000}"/>
    <cellStyle name="Normal 3 8 4 7" xfId="39463" xr:uid="{00000000-0005-0000-0000-00002D9A0000}"/>
    <cellStyle name="Normal 3 8 4 7 2" xfId="39464" xr:uid="{00000000-0005-0000-0000-00002E9A0000}"/>
    <cellStyle name="Normal 3 8 4 8" xfId="39465" xr:uid="{00000000-0005-0000-0000-00002F9A0000}"/>
    <cellStyle name="Normal 3 8 4 9" xfId="39466" xr:uid="{00000000-0005-0000-0000-0000309A0000}"/>
    <cellStyle name="Normal 3 8 5" xfId="39467" xr:uid="{00000000-0005-0000-0000-0000319A0000}"/>
    <cellStyle name="Normal 3 8 5 2" xfId="39468" xr:uid="{00000000-0005-0000-0000-0000329A0000}"/>
    <cellStyle name="Normal 3 8 5 2 2" xfId="39469" xr:uid="{00000000-0005-0000-0000-0000339A0000}"/>
    <cellStyle name="Normal 3 8 5 2 2 2" xfId="39470" xr:uid="{00000000-0005-0000-0000-0000349A0000}"/>
    <cellStyle name="Normal 3 8 5 2 2 2 2" xfId="39471" xr:uid="{00000000-0005-0000-0000-0000359A0000}"/>
    <cellStyle name="Normal 3 8 5 2 2 2 2 2" xfId="39472" xr:uid="{00000000-0005-0000-0000-0000369A0000}"/>
    <cellStyle name="Normal 3 8 5 2 2 2 3" xfId="39473" xr:uid="{00000000-0005-0000-0000-0000379A0000}"/>
    <cellStyle name="Normal 3 8 5 2 2 2 4" xfId="39474" xr:uid="{00000000-0005-0000-0000-0000389A0000}"/>
    <cellStyle name="Normal 3 8 5 2 2 3" xfId="39475" xr:uid="{00000000-0005-0000-0000-0000399A0000}"/>
    <cellStyle name="Normal 3 8 5 2 2 3 2" xfId="39476" xr:uid="{00000000-0005-0000-0000-00003A9A0000}"/>
    <cellStyle name="Normal 3 8 5 2 2 4" xfId="39477" xr:uid="{00000000-0005-0000-0000-00003B9A0000}"/>
    <cellStyle name="Normal 3 8 5 2 2 5" xfId="39478" xr:uid="{00000000-0005-0000-0000-00003C9A0000}"/>
    <cellStyle name="Normal 3 8 5 2 3" xfId="39479" xr:uid="{00000000-0005-0000-0000-00003D9A0000}"/>
    <cellStyle name="Normal 3 8 5 2 3 2" xfId="39480" xr:uid="{00000000-0005-0000-0000-00003E9A0000}"/>
    <cellStyle name="Normal 3 8 5 2 3 2 2" xfId="39481" xr:uid="{00000000-0005-0000-0000-00003F9A0000}"/>
    <cellStyle name="Normal 3 8 5 2 3 3" xfId="39482" xr:uid="{00000000-0005-0000-0000-0000409A0000}"/>
    <cellStyle name="Normal 3 8 5 2 3 3 2" xfId="39483" xr:uid="{00000000-0005-0000-0000-0000419A0000}"/>
    <cellStyle name="Normal 3 8 5 2 3 4" xfId="39484" xr:uid="{00000000-0005-0000-0000-0000429A0000}"/>
    <cellStyle name="Normal 3 8 5 2 3 5" xfId="39485" xr:uid="{00000000-0005-0000-0000-0000439A0000}"/>
    <cellStyle name="Normal 3 8 5 2 4" xfId="39486" xr:uid="{00000000-0005-0000-0000-0000449A0000}"/>
    <cellStyle name="Normal 3 8 5 2 4 2" xfId="39487" xr:uid="{00000000-0005-0000-0000-0000459A0000}"/>
    <cellStyle name="Normal 3 8 5 2 5" xfId="39488" xr:uid="{00000000-0005-0000-0000-0000469A0000}"/>
    <cellStyle name="Normal 3 8 5 2 5 2" xfId="39489" xr:uid="{00000000-0005-0000-0000-0000479A0000}"/>
    <cellStyle name="Normal 3 8 5 2 6" xfId="39490" xr:uid="{00000000-0005-0000-0000-0000489A0000}"/>
    <cellStyle name="Normal 3 8 5 2 7" xfId="39491" xr:uid="{00000000-0005-0000-0000-0000499A0000}"/>
    <cellStyle name="Normal 3 8 5 3" xfId="39492" xr:uid="{00000000-0005-0000-0000-00004A9A0000}"/>
    <cellStyle name="Normal 3 8 5 3 2" xfId="39493" xr:uid="{00000000-0005-0000-0000-00004B9A0000}"/>
    <cellStyle name="Normal 3 8 5 3 2 2" xfId="39494" xr:uid="{00000000-0005-0000-0000-00004C9A0000}"/>
    <cellStyle name="Normal 3 8 5 3 2 2 2" xfId="39495" xr:uid="{00000000-0005-0000-0000-00004D9A0000}"/>
    <cellStyle name="Normal 3 8 5 3 2 3" xfId="39496" xr:uid="{00000000-0005-0000-0000-00004E9A0000}"/>
    <cellStyle name="Normal 3 8 5 3 2 4" xfId="39497" xr:uid="{00000000-0005-0000-0000-00004F9A0000}"/>
    <cellStyle name="Normal 3 8 5 3 3" xfId="39498" xr:uid="{00000000-0005-0000-0000-0000509A0000}"/>
    <cellStyle name="Normal 3 8 5 3 3 2" xfId="39499" xr:uid="{00000000-0005-0000-0000-0000519A0000}"/>
    <cellStyle name="Normal 3 8 5 3 4" xfId="39500" xr:uid="{00000000-0005-0000-0000-0000529A0000}"/>
    <cellStyle name="Normal 3 8 5 3 5" xfId="39501" xr:uid="{00000000-0005-0000-0000-0000539A0000}"/>
    <cellStyle name="Normal 3 8 5 4" xfId="39502" xr:uid="{00000000-0005-0000-0000-0000549A0000}"/>
    <cellStyle name="Normal 3 8 5 4 2" xfId="39503" xr:uid="{00000000-0005-0000-0000-0000559A0000}"/>
    <cellStyle name="Normal 3 8 5 4 2 2" xfId="39504" xr:uid="{00000000-0005-0000-0000-0000569A0000}"/>
    <cellStyle name="Normal 3 8 5 4 3" xfId="39505" xr:uid="{00000000-0005-0000-0000-0000579A0000}"/>
    <cellStyle name="Normal 3 8 5 4 3 2" xfId="39506" xr:uid="{00000000-0005-0000-0000-0000589A0000}"/>
    <cellStyle name="Normal 3 8 5 4 4" xfId="39507" xr:uid="{00000000-0005-0000-0000-0000599A0000}"/>
    <cellStyle name="Normal 3 8 5 4 5" xfId="39508" xr:uid="{00000000-0005-0000-0000-00005A9A0000}"/>
    <cellStyle name="Normal 3 8 5 5" xfId="39509" xr:uid="{00000000-0005-0000-0000-00005B9A0000}"/>
    <cellStyle name="Normal 3 8 5 5 2" xfId="39510" xr:uid="{00000000-0005-0000-0000-00005C9A0000}"/>
    <cellStyle name="Normal 3 8 5 6" xfId="39511" xr:uid="{00000000-0005-0000-0000-00005D9A0000}"/>
    <cellStyle name="Normal 3 8 5 6 2" xfId="39512" xr:uid="{00000000-0005-0000-0000-00005E9A0000}"/>
    <cellStyle name="Normal 3 8 5 7" xfId="39513" xr:uid="{00000000-0005-0000-0000-00005F9A0000}"/>
    <cellStyle name="Normal 3 8 5 8" xfId="39514" xr:uid="{00000000-0005-0000-0000-0000609A0000}"/>
    <cellStyle name="Normal 3 8 6" xfId="39515" xr:uid="{00000000-0005-0000-0000-0000619A0000}"/>
    <cellStyle name="Normal 3 8 6 2" xfId="39516" xr:uid="{00000000-0005-0000-0000-0000629A0000}"/>
    <cellStyle name="Normal 3 8 6 2 2" xfId="39517" xr:uid="{00000000-0005-0000-0000-0000639A0000}"/>
    <cellStyle name="Normal 3 8 6 2 2 2" xfId="39518" xr:uid="{00000000-0005-0000-0000-0000649A0000}"/>
    <cellStyle name="Normal 3 8 6 2 2 2 2" xfId="39519" xr:uid="{00000000-0005-0000-0000-0000659A0000}"/>
    <cellStyle name="Normal 3 8 6 2 2 3" xfId="39520" xr:uid="{00000000-0005-0000-0000-0000669A0000}"/>
    <cellStyle name="Normal 3 8 6 2 2 4" xfId="39521" xr:uid="{00000000-0005-0000-0000-0000679A0000}"/>
    <cellStyle name="Normal 3 8 6 2 3" xfId="39522" xr:uid="{00000000-0005-0000-0000-0000689A0000}"/>
    <cellStyle name="Normal 3 8 6 2 3 2" xfId="39523" xr:uid="{00000000-0005-0000-0000-0000699A0000}"/>
    <cellStyle name="Normal 3 8 6 2 4" xfId="39524" xr:uid="{00000000-0005-0000-0000-00006A9A0000}"/>
    <cellStyle name="Normal 3 8 6 2 5" xfId="39525" xr:uid="{00000000-0005-0000-0000-00006B9A0000}"/>
    <cellStyle name="Normal 3 8 6 3" xfId="39526" xr:uid="{00000000-0005-0000-0000-00006C9A0000}"/>
    <cellStyle name="Normal 3 8 6 3 2" xfId="39527" xr:uid="{00000000-0005-0000-0000-00006D9A0000}"/>
    <cellStyle name="Normal 3 8 6 3 2 2" xfId="39528" xr:uid="{00000000-0005-0000-0000-00006E9A0000}"/>
    <cellStyle name="Normal 3 8 6 3 3" xfId="39529" xr:uid="{00000000-0005-0000-0000-00006F9A0000}"/>
    <cellStyle name="Normal 3 8 6 3 3 2" xfId="39530" xr:uid="{00000000-0005-0000-0000-0000709A0000}"/>
    <cellStyle name="Normal 3 8 6 3 4" xfId="39531" xr:uid="{00000000-0005-0000-0000-0000719A0000}"/>
    <cellStyle name="Normal 3 8 6 3 5" xfId="39532" xr:uid="{00000000-0005-0000-0000-0000729A0000}"/>
    <cellStyle name="Normal 3 8 6 4" xfId="39533" xr:uid="{00000000-0005-0000-0000-0000739A0000}"/>
    <cellStyle name="Normal 3 8 6 4 2" xfId="39534" xr:uid="{00000000-0005-0000-0000-0000749A0000}"/>
    <cellStyle name="Normal 3 8 6 5" xfId="39535" xr:uid="{00000000-0005-0000-0000-0000759A0000}"/>
    <cellStyle name="Normal 3 8 6 5 2" xfId="39536" xr:uid="{00000000-0005-0000-0000-0000769A0000}"/>
    <cellStyle name="Normal 3 8 6 6" xfId="39537" xr:uid="{00000000-0005-0000-0000-0000779A0000}"/>
    <cellStyle name="Normal 3 8 6 7" xfId="39538" xr:uid="{00000000-0005-0000-0000-0000789A0000}"/>
    <cellStyle name="Normal 3 8 7" xfId="39539" xr:uid="{00000000-0005-0000-0000-0000799A0000}"/>
    <cellStyle name="Normal 3 8 7 2" xfId="39540" xr:uid="{00000000-0005-0000-0000-00007A9A0000}"/>
    <cellStyle name="Normal 3 8 7 2 2" xfId="39541" xr:uid="{00000000-0005-0000-0000-00007B9A0000}"/>
    <cellStyle name="Normal 3 8 7 2 2 2" xfId="39542" xr:uid="{00000000-0005-0000-0000-00007C9A0000}"/>
    <cellStyle name="Normal 3 8 7 2 3" xfId="39543" xr:uid="{00000000-0005-0000-0000-00007D9A0000}"/>
    <cellStyle name="Normal 3 8 7 2 4" xfId="39544" xr:uid="{00000000-0005-0000-0000-00007E9A0000}"/>
    <cellStyle name="Normal 3 8 7 3" xfId="39545" xr:uid="{00000000-0005-0000-0000-00007F9A0000}"/>
    <cellStyle name="Normal 3 8 7 3 2" xfId="39546" xr:uid="{00000000-0005-0000-0000-0000809A0000}"/>
    <cellStyle name="Normal 3 8 7 4" xfId="39547" xr:uid="{00000000-0005-0000-0000-0000819A0000}"/>
    <cellStyle name="Normal 3 8 7 5" xfId="39548" xr:uid="{00000000-0005-0000-0000-0000829A0000}"/>
    <cellStyle name="Normal 3 8 8" xfId="39549" xr:uid="{00000000-0005-0000-0000-0000839A0000}"/>
    <cellStyle name="Normal 3 8 8 2" xfId="39550" xr:uid="{00000000-0005-0000-0000-0000849A0000}"/>
    <cellStyle name="Normal 3 8 8 2 2" xfId="39551" xr:uid="{00000000-0005-0000-0000-0000859A0000}"/>
    <cellStyle name="Normal 3 8 8 3" xfId="39552" xr:uid="{00000000-0005-0000-0000-0000869A0000}"/>
    <cellStyle name="Normal 3 8 8 3 2" xfId="39553" xr:uid="{00000000-0005-0000-0000-0000879A0000}"/>
    <cellStyle name="Normal 3 8 8 4" xfId="39554" xr:uid="{00000000-0005-0000-0000-0000889A0000}"/>
    <cellStyle name="Normal 3 8 8 5" xfId="39555" xr:uid="{00000000-0005-0000-0000-0000899A0000}"/>
    <cellStyle name="Normal 3 8 9" xfId="39556" xr:uid="{00000000-0005-0000-0000-00008A9A0000}"/>
    <cellStyle name="Normal 3 8 9 2" xfId="39557" xr:uid="{00000000-0005-0000-0000-00008B9A0000}"/>
    <cellStyle name="Normal 3 9" xfId="39558" xr:uid="{00000000-0005-0000-0000-00008C9A0000}"/>
    <cellStyle name="Normal 3 9 10" xfId="39559" xr:uid="{00000000-0005-0000-0000-00008D9A0000}"/>
    <cellStyle name="Normal 3 9 10 2" xfId="39560" xr:uid="{00000000-0005-0000-0000-00008E9A0000}"/>
    <cellStyle name="Normal 3 9 11" xfId="39561" xr:uid="{00000000-0005-0000-0000-00008F9A0000}"/>
    <cellStyle name="Normal 3 9 12" xfId="39562" xr:uid="{00000000-0005-0000-0000-0000909A0000}"/>
    <cellStyle name="Normal 3 9 2" xfId="39563" xr:uid="{00000000-0005-0000-0000-0000919A0000}"/>
    <cellStyle name="Normal 3 9 2 10" xfId="39564" xr:uid="{00000000-0005-0000-0000-0000929A0000}"/>
    <cellStyle name="Normal 3 9 2 11" xfId="39565" xr:uid="{00000000-0005-0000-0000-0000939A0000}"/>
    <cellStyle name="Normal 3 9 2 2" xfId="39566" xr:uid="{00000000-0005-0000-0000-0000949A0000}"/>
    <cellStyle name="Normal 3 9 2 2 10" xfId="39567" xr:uid="{00000000-0005-0000-0000-0000959A0000}"/>
    <cellStyle name="Normal 3 9 2 2 2" xfId="39568" xr:uid="{00000000-0005-0000-0000-0000969A0000}"/>
    <cellStyle name="Normal 3 9 2 2 2 2" xfId="39569" xr:uid="{00000000-0005-0000-0000-0000979A0000}"/>
    <cellStyle name="Normal 3 9 2 2 2 2 2" xfId="39570" xr:uid="{00000000-0005-0000-0000-0000989A0000}"/>
    <cellStyle name="Normal 3 9 2 2 2 2 2 2" xfId="39571" xr:uid="{00000000-0005-0000-0000-0000999A0000}"/>
    <cellStyle name="Normal 3 9 2 2 2 2 2 2 2" xfId="39572" xr:uid="{00000000-0005-0000-0000-00009A9A0000}"/>
    <cellStyle name="Normal 3 9 2 2 2 2 2 2 2 2" xfId="39573" xr:uid="{00000000-0005-0000-0000-00009B9A0000}"/>
    <cellStyle name="Normal 3 9 2 2 2 2 2 2 2 2 2" xfId="39574" xr:uid="{00000000-0005-0000-0000-00009C9A0000}"/>
    <cellStyle name="Normal 3 9 2 2 2 2 2 2 2 3" xfId="39575" xr:uid="{00000000-0005-0000-0000-00009D9A0000}"/>
    <cellStyle name="Normal 3 9 2 2 2 2 2 2 2 4" xfId="39576" xr:uid="{00000000-0005-0000-0000-00009E9A0000}"/>
    <cellStyle name="Normal 3 9 2 2 2 2 2 2 3" xfId="39577" xr:uid="{00000000-0005-0000-0000-00009F9A0000}"/>
    <cellStyle name="Normal 3 9 2 2 2 2 2 2 3 2" xfId="39578" xr:uid="{00000000-0005-0000-0000-0000A09A0000}"/>
    <cellStyle name="Normal 3 9 2 2 2 2 2 2 4" xfId="39579" xr:uid="{00000000-0005-0000-0000-0000A19A0000}"/>
    <cellStyle name="Normal 3 9 2 2 2 2 2 2 5" xfId="39580" xr:uid="{00000000-0005-0000-0000-0000A29A0000}"/>
    <cellStyle name="Normal 3 9 2 2 2 2 2 3" xfId="39581" xr:uid="{00000000-0005-0000-0000-0000A39A0000}"/>
    <cellStyle name="Normal 3 9 2 2 2 2 2 3 2" xfId="39582" xr:uid="{00000000-0005-0000-0000-0000A49A0000}"/>
    <cellStyle name="Normal 3 9 2 2 2 2 2 3 2 2" xfId="39583" xr:uid="{00000000-0005-0000-0000-0000A59A0000}"/>
    <cellStyle name="Normal 3 9 2 2 2 2 2 3 3" xfId="39584" xr:uid="{00000000-0005-0000-0000-0000A69A0000}"/>
    <cellStyle name="Normal 3 9 2 2 2 2 2 3 4" xfId="39585" xr:uid="{00000000-0005-0000-0000-0000A79A0000}"/>
    <cellStyle name="Normal 3 9 2 2 2 2 2 4" xfId="39586" xr:uid="{00000000-0005-0000-0000-0000A89A0000}"/>
    <cellStyle name="Normal 3 9 2 2 2 2 2 4 2" xfId="39587" xr:uid="{00000000-0005-0000-0000-0000A99A0000}"/>
    <cellStyle name="Normal 3 9 2 2 2 2 2 5" xfId="39588" xr:uid="{00000000-0005-0000-0000-0000AA9A0000}"/>
    <cellStyle name="Normal 3 9 2 2 2 2 2 6" xfId="39589" xr:uid="{00000000-0005-0000-0000-0000AB9A0000}"/>
    <cellStyle name="Normal 3 9 2 2 2 2 3" xfId="39590" xr:uid="{00000000-0005-0000-0000-0000AC9A0000}"/>
    <cellStyle name="Normal 3 9 2 2 2 2 3 2" xfId="39591" xr:uid="{00000000-0005-0000-0000-0000AD9A0000}"/>
    <cellStyle name="Normal 3 9 2 2 2 2 3 2 2" xfId="39592" xr:uid="{00000000-0005-0000-0000-0000AE9A0000}"/>
    <cellStyle name="Normal 3 9 2 2 2 2 3 2 2 2" xfId="39593" xr:uid="{00000000-0005-0000-0000-0000AF9A0000}"/>
    <cellStyle name="Normal 3 9 2 2 2 2 3 2 3" xfId="39594" xr:uid="{00000000-0005-0000-0000-0000B09A0000}"/>
    <cellStyle name="Normal 3 9 2 2 2 2 3 2 4" xfId="39595" xr:uid="{00000000-0005-0000-0000-0000B19A0000}"/>
    <cellStyle name="Normal 3 9 2 2 2 2 3 3" xfId="39596" xr:uid="{00000000-0005-0000-0000-0000B29A0000}"/>
    <cellStyle name="Normal 3 9 2 2 2 2 3 3 2" xfId="39597" xr:uid="{00000000-0005-0000-0000-0000B39A0000}"/>
    <cellStyle name="Normal 3 9 2 2 2 2 3 4" xfId="39598" xr:uid="{00000000-0005-0000-0000-0000B49A0000}"/>
    <cellStyle name="Normal 3 9 2 2 2 2 3 5" xfId="39599" xr:uid="{00000000-0005-0000-0000-0000B59A0000}"/>
    <cellStyle name="Normal 3 9 2 2 2 2 4" xfId="39600" xr:uid="{00000000-0005-0000-0000-0000B69A0000}"/>
    <cellStyle name="Normal 3 9 2 2 2 2 4 2" xfId="39601" xr:uid="{00000000-0005-0000-0000-0000B79A0000}"/>
    <cellStyle name="Normal 3 9 2 2 2 2 4 2 2" xfId="39602" xr:uid="{00000000-0005-0000-0000-0000B89A0000}"/>
    <cellStyle name="Normal 3 9 2 2 2 2 4 3" xfId="39603" xr:uid="{00000000-0005-0000-0000-0000B99A0000}"/>
    <cellStyle name="Normal 3 9 2 2 2 2 4 4" xfId="39604" xr:uid="{00000000-0005-0000-0000-0000BA9A0000}"/>
    <cellStyle name="Normal 3 9 2 2 2 2 5" xfId="39605" xr:uid="{00000000-0005-0000-0000-0000BB9A0000}"/>
    <cellStyle name="Normal 3 9 2 2 2 2 5 2" xfId="39606" xr:uid="{00000000-0005-0000-0000-0000BC9A0000}"/>
    <cellStyle name="Normal 3 9 2 2 2 2 6" xfId="39607" xr:uid="{00000000-0005-0000-0000-0000BD9A0000}"/>
    <cellStyle name="Normal 3 9 2 2 2 2 7" xfId="39608" xr:uid="{00000000-0005-0000-0000-0000BE9A0000}"/>
    <cellStyle name="Normal 3 9 2 2 2 3" xfId="39609" xr:uid="{00000000-0005-0000-0000-0000BF9A0000}"/>
    <cellStyle name="Normal 3 9 2 2 2 3 2" xfId="39610" xr:uid="{00000000-0005-0000-0000-0000C09A0000}"/>
    <cellStyle name="Normal 3 9 2 2 2 3 2 2" xfId="39611" xr:uid="{00000000-0005-0000-0000-0000C19A0000}"/>
    <cellStyle name="Normal 3 9 2 2 2 3 2 2 2" xfId="39612" xr:uid="{00000000-0005-0000-0000-0000C29A0000}"/>
    <cellStyle name="Normal 3 9 2 2 2 3 2 2 2 2" xfId="39613" xr:uid="{00000000-0005-0000-0000-0000C39A0000}"/>
    <cellStyle name="Normal 3 9 2 2 2 3 2 2 3" xfId="39614" xr:uid="{00000000-0005-0000-0000-0000C49A0000}"/>
    <cellStyle name="Normal 3 9 2 2 2 3 2 2 4" xfId="39615" xr:uid="{00000000-0005-0000-0000-0000C59A0000}"/>
    <cellStyle name="Normal 3 9 2 2 2 3 2 3" xfId="39616" xr:uid="{00000000-0005-0000-0000-0000C69A0000}"/>
    <cellStyle name="Normal 3 9 2 2 2 3 2 3 2" xfId="39617" xr:uid="{00000000-0005-0000-0000-0000C79A0000}"/>
    <cellStyle name="Normal 3 9 2 2 2 3 2 4" xfId="39618" xr:uid="{00000000-0005-0000-0000-0000C89A0000}"/>
    <cellStyle name="Normal 3 9 2 2 2 3 2 5" xfId="39619" xr:uid="{00000000-0005-0000-0000-0000C99A0000}"/>
    <cellStyle name="Normal 3 9 2 2 2 3 3" xfId="39620" xr:uid="{00000000-0005-0000-0000-0000CA9A0000}"/>
    <cellStyle name="Normal 3 9 2 2 2 3 3 2" xfId="39621" xr:uid="{00000000-0005-0000-0000-0000CB9A0000}"/>
    <cellStyle name="Normal 3 9 2 2 2 3 3 2 2" xfId="39622" xr:uid="{00000000-0005-0000-0000-0000CC9A0000}"/>
    <cellStyle name="Normal 3 9 2 2 2 3 3 3" xfId="39623" xr:uid="{00000000-0005-0000-0000-0000CD9A0000}"/>
    <cellStyle name="Normal 3 9 2 2 2 3 3 3 2" xfId="39624" xr:uid="{00000000-0005-0000-0000-0000CE9A0000}"/>
    <cellStyle name="Normal 3 9 2 2 2 3 3 4" xfId="39625" xr:uid="{00000000-0005-0000-0000-0000CF9A0000}"/>
    <cellStyle name="Normal 3 9 2 2 2 3 3 5" xfId="39626" xr:uid="{00000000-0005-0000-0000-0000D09A0000}"/>
    <cellStyle name="Normal 3 9 2 2 2 3 4" xfId="39627" xr:uid="{00000000-0005-0000-0000-0000D19A0000}"/>
    <cellStyle name="Normal 3 9 2 2 2 3 4 2" xfId="39628" xr:uid="{00000000-0005-0000-0000-0000D29A0000}"/>
    <cellStyle name="Normal 3 9 2 2 2 3 5" xfId="39629" xr:uid="{00000000-0005-0000-0000-0000D39A0000}"/>
    <cellStyle name="Normal 3 9 2 2 2 3 5 2" xfId="39630" xr:uid="{00000000-0005-0000-0000-0000D49A0000}"/>
    <cellStyle name="Normal 3 9 2 2 2 3 6" xfId="39631" xr:uid="{00000000-0005-0000-0000-0000D59A0000}"/>
    <cellStyle name="Normal 3 9 2 2 2 3 7" xfId="39632" xr:uid="{00000000-0005-0000-0000-0000D69A0000}"/>
    <cellStyle name="Normal 3 9 2 2 2 4" xfId="39633" xr:uid="{00000000-0005-0000-0000-0000D79A0000}"/>
    <cellStyle name="Normal 3 9 2 2 2 4 2" xfId="39634" xr:uid="{00000000-0005-0000-0000-0000D89A0000}"/>
    <cellStyle name="Normal 3 9 2 2 2 4 2 2" xfId="39635" xr:uid="{00000000-0005-0000-0000-0000D99A0000}"/>
    <cellStyle name="Normal 3 9 2 2 2 4 2 2 2" xfId="39636" xr:uid="{00000000-0005-0000-0000-0000DA9A0000}"/>
    <cellStyle name="Normal 3 9 2 2 2 4 2 3" xfId="39637" xr:uid="{00000000-0005-0000-0000-0000DB9A0000}"/>
    <cellStyle name="Normal 3 9 2 2 2 4 2 4" xfId="39638" xr:uid="{00000000-0005-0000-0000-0000DC9A0000}"/>
    <cellStyle name="Normal 3 9 2 2 2 4 3" xfId="39639" xr:uid="{00000000-0005-0000-0000-0000DD9A0000}"/>
    <cellStyle name="Normal 3 9 2 2 2 4 3 2" xfId="39640" xr:uid="{00000000-0005-0000-0000-0000DE9A0000}"/>
    <cellStyle name="Normal 3 9 2 2 2 4 4" xfId="39641" xr:uid="{00000000-0005-0000-0000-0000DF9A0000}"/>
    <cellStyle name="Normal 3 9 2 2 2 4 5" xfId="39642" xr:uid="{00000000-0005-0000-0000-0000E09A0000}"/>
    <cellStyle name="Normal 3 9 2 2 2 5" xfId="39643" xr:uid="{00000000-0005-0000-0000-0000E19A0000}"/>
    <cellStyle name="Normal 3 9 2 2 2 5 2" xfId="39644" xr:uid="{00000000-0005-0000-0000-0000E29A0000}"/>
    <cellStyle name="Normal 3 9 2 2 2 5 2 2" xfId="39645" xr:uid="{00000000-0005-0000-0000-0000E39A0000}"/>
    <cellStyle name="Normal 3 9 2 2 2 5 3" xfId="39646" xr:uid="{00000000-0005-0000-0000-0000E49A0000}"/>
    <cellStyle name="Normal 3 9 2 2 2 5 3 2" xfId="39647" xr:uid="{00000000-0005-0000-0000-0000E59A0000}"/>
    <cellStyle name="Normal 3 9 2 2 2 5 4" xfId="39648" xr:uid="{00000000-0005-0000-0000-0000E69A0000}"/>
    <cellStyle name="Normal 3 9 2 2 2 5 5" xfId="39649" xr:uid="{00000000-0005-0000-0000-0000E79A0000}"/>
    <cellStyle name="Normal 3 9 2 2 2 6" xfId="39650" xr:uid="{00000000-0005-0000-0000-0000E89A0000}"/>
    <cellStyle name="Normal 3 9 2 2 2 6 2" xfId="39651" xr:uid="{00000000-0005-0000-0000-0000E99A0000}"/>
    <cellStyle name="Normal 3 9 2 2 2 7" xfId="39652" xr:uid="{00000000-0005-0000-0000-0000EA9A0000}"/>
    <cellStyle name="Normal 3 9 2 2 2 7 2" xfId="39653" xr:uid="{00000000-0005-0000-0000-0000EB9A0000}"/>
    <cellStyle name="Normal 3 9 2 2 2 8" xfId="39654" xr:uid="{00000000-0005-0000-0000-0000EC9A0000}"/>
    <cellStyle name="Normal 3 9 2 2 2 9" xfId="39655" xr:uid="{00000000-0005-0000-0000-0000ED9A0000}"/>
    <cellStyle name="Normal 3 9 2 2 3" xfId="39656" xr:uid="{00000000-0005-0000-0000-0000EE9A0000}"/>
    <cellStyle name="Normal 3 9 2 2 3 2" xfId="39657" xr:uid="{00000000-0005-0000-0000-0000EF9A0000}"/>
    <cellStyle name="Normal 3 9 2 2 3 2 2" xfId="39658" xr:uid="{00000000-0005-0000-0000-0000F09A0000}"/>
    <cellStyle name="Normal 3 9 2 2 3 2 2 2" xfId="39659" xr:uid="{00000000-0005-0000-0000-0000F19A0000}"/>
    <cellStyle name="Normal 3 9 2 2 3 2 2 2 2" xfId="39660" xr:uid="{00000000-0005-0000-0000-0000F29A0000}"/>
    <cellStyle name="Normal 3 9 2 2 3 2 2 2 2 2" xfId="39661" xr:uid="{00000000-0005-0000-0000-0000F39A0000}"/>
    <cellStyle name="Normal 3 9 2 2 3 2 2 2 3" xfId="39662" xr:uid="{00000000-0005-0000-0000-0000F49A0000}"/>
    <cellStyle name="Normal 3 9 2 2 3 2 2 2 4" xfId="39663" xr:uid="{00000000-0005-0000-0000-0000F59A0000}"/>
    <cellStyle name="Normal 3 9 2 2 3 2 2 3" xfId="39664" xr:uid="{00000000-0005-0000-0000-0000F69A0000}"/>
    <cellStyle name="Normal 3 9 2 2 3 2 2 3 2" xfId="39665" xr:uid="{00000000-0005-0000-0000-0000F79A0000}"/>
    <cellStyle name="Normal 3 9 2 2 3 2 2 4" xfId="39666" xr:uid="{00000000-0005-0000-0000-0000F89A0000}"/>
    <cellStyle name="Normal 3 9 2 2 3 2 2 5" xfId="39667" xr:uid="{00000000-0005-0000-0000-0000F99A0000}"/>
    <cellStyle name="Normal 3 9 2 2 3 2 3" xfId="39668" xr:uid="{00000000-0005-0000-0000-0000FA9A0000}"/>
    <cellStyle name="Normal 3 9 2 2 3 2 3 2" xfId="39669" xr:uid="{00000000-0005-0000-0000-0000FB9A0000}"/>
    <cellStyle name="Normal 3 9 2 2 3 2 3 2 2" xfId="39670" xr:uid="{00000000-0005-0000-0000-0000FC9A0000}"/>
    <cellStyle name="Normal 3 9 2 2 3 2 3 3" xfId="39671" xr:uid="{00000000-0005-0000-0000-0000FD9A0000}"/>
    <cellStyle name="Normal 3 9 2 2 3 2 3 4" xfId="39672" xr:uid="{00000000-0005-0000-0000-0000FE9A0000}"/>
    <cellStyle name="Normal 3 9 2 2 3 2 4" xfId="39673" xr:uid="{00000000-0005-0000-0000-0000FF9A0000}"/>
    <cellStyle name="Normal 3 9 2 2 3 2 4 2" xfId="39674" xr:uid="{00000000-0005-0000-0000-0000009B0000}"/>
    <cellStyle name="Normal 3 9 2 2 3 2 5" xfId="39675" xr:uid="{00000000-0005-0000-0000-0000019B0000}"/>
    <cellStyle name="Normal 3 9 2 2 3 2 6" xfId="39676" xr:uid="{00000000-0005-0000-0000-0000029B0000}"/>
    <cellStyle name="Normal 3 9 2 2 3 3" xfId="39677" xr:uid="{00000000-0005-0000-0000-0000039B0000}"/>
    <cellStyle name="Normal 3 9 2 2 3 3 2" xfId="39678" xr:uid="{00000000-0005-0000-0000-0000049B0000}"/>
    <cellStyle name="Normal 3 9 2 2 3 3 2 2" xfId="39679" xr:uid="{00000000-0005-0000-0000-0000059B0000}"/>
    <cellStyle name="Normal 3 9 2 2 3 3 2 2 2" xfId="39680" xr:uid="{00000000-0005-0000-0000-0000069B0000}"/>
    <cellStyle name="Normal 3 9 2 2 3 3 2 3" xfId="39681" xr:uid="{00000000-0005-0000-0000-0000079B0000}"/>
    <cellStyle name="Normal 3 9 2 2 3 3 2 4" xfId="39682" xr:uid="{00000000-0005-0000-0000-0000089B0000}"/>
    <cellStyle name="Normal 3 9 2 2 3 3 3" xfId="39683" xr:uid="{00000000-0005-0000-0000-0000099B0000}"/>
    <cellStyle name="Normal 3 9 2 2 3 3 3 2" xfId="39684" xr:uid="{00000000-0005-0000-0000-00000A9B0000}"/>
    <cellStyle name="Normal 3 9 2 2 3 3 4" xfId="39685" xr:uid="{00000000-0005-0000-0000-00000B9B0000}"/>
    <cellStyle name="Normal 3 9 2 2 3 3 5" xfId="39686" xr:uid="{00000000-0005-0000-0000-00000C9B0000}"/>
    <cellStyle name="Normal 3 9 2 2 3 4" xfId="39687" xr:uid="{00000000-0005-0000-0000-00000D9B0000}"/>
    <cellStyle name="Normal 3 9 2 2 3 4 2" xfId="39688" xr:uid="{00000000-0005-0000-0000-00000E9B0000}"/>
    <cellStyle name="Normal 3 9 2 2 3 4 2 2" xfId="39689" xr:uid="{00000000-0005-0000-0000-00000F9B0000}"/>
    <cellStyle name="Normal 3 9 2 2 3 4 3" xfId="39690" xr:uid="{00000000-0005-0000-0000-0000109B0000}"/>
    <cellStyle name="Normal 3 9 2 2 3 4 4" xfId="39691" xr:uid="{00000000-0005-0000-0000-0000119B0000}"/>
    <cellStyle name="Normal 3 9 2 2 3 5" xfId="39692" xr:uid="{00000000-0005-0000-0000-0000129B0000}"/>
    <cellStyle name="Normal 3 9 2 2 3 5 2" xfId="39693" xr:uid="{00000000-0005-0000-0000-0000139B0000}"/>
    <cellStyle name="Normal 3 9 2 2 3 6" xfId="39694" xr:uid="{00000000-0005-0000-0000-0000149B0000}"/>
    <cellStyle name="Normal 3 9 2 2 3 7" xfId="39695" xr:uid="{00000000-0005-0000-0000-0000159B0000}"/>
    <cellStyle name="Normal 3 9 2 2 4" xfId="39696" xr:uid="{00000000-0005-0000-0000-0000169B0000}"/>
    <cellStyle name="Normal 3 9 2 2 4 2" xfId="39697" xr:uid="{00000000-0005-0000-0000-0000179B0000}"/>
    <cellStyle name="Normal 3 9 2 2 4 2 2" xfId="39698" xr:uid="{00000000-0005-0000-0000-0000189B0000}"/>
    <cellStyle name="Normal 3 9 2 2 4 2 2 2" xfId="39699" xr:uid="{00000000-0005-0000-0000-0000199B0000}"/>
    <cellStyle name="Normal 3 9 2 2 4 2 2 2 2" xfId="39700" xr:uid="{00000000-0005-0000-0000-00001A9B0000}"/>
    <cellStyle name="Normal 3 9 2 2 4 2 2 3" xfId="39701" xr:uid="{00000000-0005-0000-0000-00001B9B0000}"/>
    <cellStyle name="Normal 3 9 2 2 4 2 2 4" xfId="39702" xr:uid="{00000000-0005-0000-0000-00001C9B0000}"/>
    <cellStyle name="Normal 3 9 2 2 4 2 3" xfId="39703" xr:uid="{00000000-0005-0000-0000-00001D9B0000}"/>
    <cellStyle name="Normal 3 9 2 2 4 2 3 2" xfId="39704" xr:uid="{00000000-0005-0000-0000-00001E9B0000}"/>
    <cellStyle name="Normal 3 9 2 2 4 2 4" xfId="39705" xr:uid="{00000000-0005-0000-0000-00001F9B0000}"/>
    <cellStyle name="Normal 3 9 2 2 4 2 5" xfId="39706" xr:uid="{00000000-0005-0000-0000-0000209B0000}"/>
    <cellStyle name="Normal 3 9 2 2 4 3" xfId="39707" xr:uid="{00000000-0005-0000-0000-0000219B0000}"/>
    <cellStyle name="Normal 3 9 2 2 4 3 2" xfId="39708" xr:uid="{00000000-0005-0000-0000-0000229B0000}"/>
    <cellStyle name="Normal 3 9 2 2 4 3 2 2" xfId="39709" xr:uid="{00000000-0005-0000-0000-0000239B0000}"/>
    <cellStyle name="Normal 3 9 2 2 4 3 3" xfId="39710" xr:uid="{00000000-0005-0000-0000-0000249B0000}"/>
    <cellStyle name="Normal 3 9 2 2 4 3 3 2" xfId="39711" xr:uid="{00000000-0005-0000-0000-0000259B0000}"/>
    <cellStyle name="Normal 3 9 2 2 4 3 4" xfId="39712" xr:uid="{00000000-0005-0000-0000-0000269B0000}"/>
    <cellStyle name="Normal 3 9 2 2 4 3 5" xfId="39713" xr:uid="{00000000-0005-0000-0000-0000279B0000}"/>
    <cellStyle name="Normal 3 9 2 2 4 4" xfId="39714" xr:uid="{00000000-0005-0000-0000-0000289B0000}"/>
    <cellStyle name="Normal 3 9 2 2 4 4 2" xfId="39715" xr:uid="{00000000-0005-0000-0000-0000299B0000}"/>
    <cellStyle name="Normal 3 9 2 2 4 5" xfId="39716" xr:uid="{00000000-0005-0000-0000-00002A9B0000}"/>
    <cellStyle name="Normal 3 9 2 2 4 5 2" xfId="39717" xr:uid="{00000000-0005-0000-0000-00002B9B0000}"/>
    <cellStyle name="Normal 3 9 2 2 4 6" xfId="39718" xr:uid="{00000000-0005-0000-0000-00002C9B0000}"/>
    <cellStyle name="Normal 3 9 2 2 4 7" xfId="39719" xr:uid="{00000000-0005-0000-0000-00002D9B0000}"/>
    <cellStyle name="Normal 3 9 2 2 5" xfId="39720" xr:uid="{00000000-0005-0000-0000-00002E9B0000}"/>
    <cellStyle name="Normal 3 9 2 2 5 2" xfId="39721" xr:uid="{00000000-0005-0000-0000-00002F9B0000}"/>
    <cellStyle name="Normal 3 9 2 2 5 2 2" xfId="39722" xr:uid="{00000000-0005-0000-0000-0000309B0000}"/>
    <cellStyle name="Normal 3 9 2 2 5 2 2 2" xfId="39723" xr:uid="{00000000-0005-0000-0000-0000319B0000}"/>
    <cellStyle name="Normal 3 9 2 2 5 2 3" xfId="39724" xr:uid="{00000000-0005-0000-0000-0000329B0000}"/>
    <cellStyle name="Normal 3 9 2 2 5 2 4" xfId="39725" xr:uid="{00000000-0005-0000-0000-0000339B0000}"/>
    <cellStyle name="Normal 3 9 2 2 5 3" xfId="39726" xr:uid="{00000000-0005-0000-0000-0000349B0000}"/>
    <cellStyle name="Normal 3 9 2 2 5 3 2" xfId="39727" xr:uid="{00000000-0005-0000-0000-0000359B0000}"/>
    <cellStyle name="Normal 3 9 2 2 5 4" xfId="39728" xr:uid="{00000000-0005-0000-0000-0000369B0000}"/>
    <cellStyle name="Normal 3 9 2 2 5 5" xfId="39729" xr:uid="{00000000-0005-0000-0000-0000379B0000}"/>
    <cellStyle name="Normal 3 9 2 2 6" xfId="39730" xr:uid="{00000000-0005-0000-0000-0000389B0000}"/>
    <cellStyle name="Normal 3 9 2 2 6 2" xfId="39731" xr:uid="{00000000-0005-0000-0000-0000399B0000}"/>
    <cellStyle name="Normal 3 9 2 2 6 2 2" xfId="39732" xr:uid="{00000000-0005-0000-0000-00003A9B0000}"/>
    <cellStyle name="Normal 3 9 2 2 6 3" xfId="39733" xr:uid="{00000000-0005-0000-0000-00003B9B0000}"/>
    <cellStyle name="Normal 3 9 2 2 6 3 2" xfId="39734" xr:uid="{00000000-0005-0000-0000-00003C9B0000}"/>
    <cellStyle name="Normal 3 9 2 2 6 4" xfId="39735" xr:uid="{00000000-0005-0000-0000-00003D9B0000}"/>
    <cellStyle name="Normal 3 9 2 2 6 5" xfId="39736" xr:uid="{00000000-0005-0000-0000-00003E9B0000}"/>
    <cellStyle name="Normal 3 9 2 2 7" xfId="39737" xr:uid="{00000000-0005-0000-0000-00003F9B0000}"/>
    <cellStyle name="Normal 3 9 2 2 7 2" xfId="39738" xr:uid="{00000000-0005-0000-0000-0000409B0000}"/>
    <cellStyle name="Normal 3 9 2 2 8" xfId="39739" xr:uid="{00000000-0005-0000-0000-0000419B0000}"/>
    <cellStyle name="Normal 3 9 2 2 8 2" xfId="39740" xr:uid="{00000000-0005-0000-0000-0000429B0000}"/>
    <cellStyle name="Normal 3 9 2 2 9" xfId="39741" xr:uid="{00000000-0005-0000-0000-0000439B0000}"/>
    <cellStyle name="Normal 3 9 2 3" xfId="39742" xr:uid="{00000000-0005-0000-0000-0000449B0000}"/>
    <cellStyle name="Normal 3 9 2 3 2" xfId="39743" xr:uid="{00000000-0005-0000-0000-0000459B0000}"/>
    <cellStyle name="Normal 3 9 2 3 2 2" xfId="39744" xr:uid="{00000000-0005-0000-0000-0000469B0000}"/>
    <cellStyle name="Normal 3 9 2 3 2 2 2" xfId="39745" xr:uid="{00000000-0005-0000-0000-0000479B0000}"/>
    <cellStyle name="Normal 3 9 2 3 2 2 2 2" xfId="39746" xr:uid="{00000000-0005-0000-0000-0000489B0000}"/>
    <cellStyle name="Normal 3 9 2 3 2 2 2 2 2" xfId="39747" xr:uid="{00000000-0005-0000-0000-0000499B0000}"/>
    <cellStyle name="Normal 3 9 2 3 2 2 2 2 2 2" xfId="39748" xr:uid="{00000000-0005-0000-0000-00004A9B0000}"/>
    <cellStyle name="Normal 3 9 2 3 2 2 2 2 3" xfId="39749" xr:uid="{00000000-0005-0000-0000-00004B9B0000}"/>
    <cellStyle name="Normal 3 9 2 3 2 2 2 2 4" xfId="39750" xr:uid="{00000000-0005-0000-0000-00004C9B0000}"/>
    <cellStyle name="Normal 3 9 2 3 2 2 2 3" xfId="39751" xr:uid="{00000000-0005-0000-0000-00004D9B0000}"/>
    <cellStyle name="Normal 3 9 2 3 2 2 2 3 2" xfId="39752" xr:uid="{00000000-0005-0000-0000-00004E9B0000}"/>
    <cellStyle name="Normal 3 9 2 3 2 2 2 4" xfId="39753" xr:uid="{00000000-0005-0000-0000-00004F9B0000}"/>
    <cellStyle name="Normal 3 9 2 3 2 2 2 5" xfId="39754" xr:uid="{00000000-0005-0000-0000-0000509B0000}"/>
    <cellStyle name="Normal 3 9 2 3 2 2 3" xfId="39755" xr:uid="{00000000-0005-0000-0000-0000519B0000}"/>
    <cellStyle name="Normal 3 9 2 3 2 2 3 2" xfId="39756" xr:uid="{00000000-0005-0000-0000-0000529B0000}"/>
    <cellStyle name="Normal 3 9 2 3 2 2 3 2 2" xfId="39757" xr:uid="{00000000-0005-0000-0000-0000539B0000}"/>
    <cellStyle name="Normal 3 9 2 3 2 2 3 3" xfId="39758" xr:uid="{00000000-0005-0000-0000-0000549B0000}"/>
    <cellStyle name="Normal 3 9 2 3 2 2 3 4" xfId="39759" xr:uid="{00000000-0005-0000-0000-0000559B0000}"/>
    <cellStyle name="Normal 3 9 2 3 2 2 4" xfId="39760" xr:uid="{00000000-0005-0000-0000-0000569B0000}"/>
    <cellStyle name="Normal 3 9 2 3 2 2 4 2" xfId="39761" xr:uid="{00000000-0005-0000-0000-0000579B0000}"/>
    <cellStyle name="Normal 3 9 2 3 2 2 5" xfId="39762" xr:uid="{00000000-0005-0000-0000-0000589B0000}"/>
    <cellStyle name="Normal 3 9 2 3 2 2 6" xfId="39763" xr:uid="{00000000-0005-0000-0000-0000599B0000}"/>
    <cellStyle name="Normal 3 9 2 3 2 3" xfId="39764" xr:uid="{00000000-0005-0000-0000-00005A9B0000}"/>
    <cellStyle name="Normal 3 9 2 3 2 3 2" xfId="39765" xr:uid="{00000000-0005-0000-0000-00005B9B0000}"/>
    <cellStyle name="Normal 3 9 2 3 2 3 2 2" xfId="39766" xr:uid="{00000000-0005-0000-0000-00005C9B0000}"/>
    <cellStyle name="Normal 3 9 2 3 2 3 2 2 2" xfId="39767" xr:uid="{00000000-0005-0000-0000-00005D9B0000}"/>
    <cellStyle name="Normal 3 9 2 3 2 3 2 3" xfId="39768" xr:uid="{00000000-0005-0000-0000-00005E9B0000}"/>
    <cellStyle name="Normal 3 9 2 3 2 3 2 4" xfId="39769" xr:uid="{00000000-0005-0000-0000-00005F9B0000}"/>
    <cellStyle name="Normal 3 9 2 3 2 3 3" xfId="39770" xr:uid="{00000000-0005-0000-0000-0000609B0000}"/>
    <cellStyle name="Normal 3 9 2 3 2 3 3 2" xfId="39771" xr:uid="{00000000-0005-0000-0000-0000619B0000}"/>
    <cellStyle name="Normal 3 9 2 3 2 3 4" xfId="39772" xr:uid="{00000000-0005-0000-0000-0000629B0000}"/>
    <cellStyle name="Normal 3 9 2 3 2 3 5" xfId="39773" xr:uid="{00000000-0005-0000-0000-0000639B0000}"/>
    <cellStyle name="Normal 3 9 2 3 2 4" xfId="39774" xr:uid="{00000000-0005-0000-0000-0000649B0000}"/>
    <cellStyle name="Normal 3 9 2 3 2 4 2" xfId="39775" xr:uid="{00000000-0005-0000-0000-0000659B0000}"/>
    <cellStyle name="Normal 3 9 2 3 2 4 2 2" xfId="39776" xr:uid="{00000000-0005-0000-0000-0000669B0000}"/>
    <cellStyle name="Normal 3 9 2 3 2 4 3" xfId="39777" xr:uid="{00000000-0005-0000-0000-0000679B0000}"/>
    <cellStyle name="Normal 3 9 2 3 2 4 4" xfId="39778" xr:uid="{00000000-0005-0000-0000-0000689B0000}"/>
    <cellStyle name="Normal 3 9 2 3 2 5" xfId="39779" xr:uid="{00000000-0005-0000-0000-0000699B0000}"/>
    <cellStyle name="Normal 3 9 2 3 2 5 2" xfId="39780" xr:uid="{00000000-0005-0000-0000-00006A9B0000}"/>
    <cellStyle name="Normal 3 9 2 3 2 6" xfId="39781" xr:uid="{00000000-0005-0000-0000-00006B9B0000}"/>
    <cellStyle name="Normal 3 9 2 3 2 7" xfId="39782" xr:uid="{00000000-0005-0000-0000-00006C9B0000}"/>
    <cellStyle name="Normal 3 9 2 3 3" xfId="39783" xr:uid="{00000000-0005-0000-0000-00006D9B0000}"/>
    <cellStyle name="Normal 3 9 2 3 3 2" xfId="39784" xr:uid="{00000000-0005-0000-0000-00006E9B0000}"/>
    <cellStyle name="Normal 3 9 2 3 3 2 2" xfId="39785" xr:uid="{00000000-0005-0000-0000-00006F9B0000}"/>
    <cellStyle name="Normal 3 9 2 3 3 2 2 2" xfId="39786" xr:uid="{00000000-0005-0000-0000-0000709B0000}"/>
    <cellStyle name="Normal 3 9 2 3 3 2 2 2 2" xfId="39787" xr:uid="{00000000-0005-0000-0000-0000719B0000}"/>
    <cellStyle name="Normal 3 9 2 3 3 2 2 3" xfId="39788" xr:uid="{00000000-0005-0000-0000-0000729B0000}"/>
    <cellStyle name="Normal 3 9 2 3 3 2 2 4" xfId="39789" xr:uid="{00000000-0005-0000-0000-0000739B0000}"/>
    <cellStyle name="Normal 3 9 2 3 3 2 3" xfId="39790" xr:uid="{00000000-0005-0000-0000-0000749B0000}"/>
    <cellStyle name="Normal 3 9 2 3 3 2 3 2" xfId="39791" xr:uid="{00000000-0005-0000-0000-0000759B0000}"/>
    <cellStyle name="Normal 3 9 2 3 3 2 4" xfId="39792" xr:uid="{00000000-0005-0000-0000-0000769B0000}"/>
    <cellStyle name="Normal 3 9 2 3 3 2 5" xfId="39793" xr:uid="{00000000-0005-0000-0000-0000779B0000}"/>
    <cellStyle name="Normal 3 9 2 3 3 3" xfId="39794" xr:uid="{00000000-0005-0000-0000-0000789B0000}"/>
    <cellStyle name="Normal 3 9 2 3 3 3 2" xfId="39795" xr:uid="{00000000-0005-0000-0000-0000799B0000}"/>
    <cellStyle name="Normal 3 9 2 3 3 3 2 2" xfId="39796" xr:uid="{00000000-0005-0000-0000-00007A9B0000}"/>
    <cellStyle name="Normal 3 9 2 3 3 3 3" xfId="39797" xr:uid="{00000000-0005-0000-0000-00007B9B0000}"/>
    <cellStyle name="Normal 3 9 2 3 3 3 3 2" xfId="39798" xr:uid="{00000000-0005-0000-0000-00007C9B0000}"/>
    <cellStyle name="Normal 3 9 2 3 3 3 4" xfId="39799" xr:uid="{00000000-0005-0000-0000-00007D9B0000}"/>
    <cellStyle name="Normal 3 9 2 3 3 3 5" xfId="39800" xr:uid="{00000000-0005-0000-0000-00007E9B0000}"/>
    <cellStyle name="Normal 3 9 2 3 3 4" xfId="39801" xr:uid="{00000000-0005-0000-0000-00007F9B0000}"/>
    <cellStyle name="Normal 3 9 2 3 3 4 2" xfId="39802" xr:uid="{00000000-0005-0000-0000-0000809B0000}"/>
    <cellStyle name="Normal 3 9 2 3 3 5" xfId="39803" xr:uid="{00000000-0005-0000-0000-0000819B0000}"/>
    <cellStyle name="Normal 3 9 2 3 3 5 2" xfId="39804" xr:uid="{00000000-0005-0000-0000-0000829B0000}"/>
    <cellStyle name="Normal 3 9 2 3 3 6" xfId="39805" xr:uid="{00000000-0005-0000-0000-0000839B0000}"/>
    <cellStyle name="Normal 3 9 2 3 3 7" xfId="39806" xr:uid="{00000000-0005-0000-0000-0000849B0000}"/>
    <cellStyle name="Normal 3 9 2 3 4" xfId="39807" xr:uid="{00000000-0005-0000-0000-0000859B0000}"/>
    <cellStyle name="Normal 3 9 2 3 4 2" xfId="39808" xr:uid="{00000000-0005-0000-0000-0000869B0000}"/>
    <cellStyle name="Normal 3 9 2 3 4 2 2" xfId="39809" xr:uid="{00000000-0005-0000-0000-0000879B0000}"/>
    <cellStyle name="Normal 3 9 2 3 4 2 2 2" xfId="39810" xr:uid="{00000000-0005-0000-0000-0000889B0000}"/>
    <cellStyle name="Normal 3 9 2 3 4 2 3" xfId="39811" xr:uid="{00000000-0005-0000-0000-0000899B0000}"/>
    <cellStyle name="Normal 3 9 2 3 4 2 4" xfId="39812" xr:uid="{00000000-0005-0000-0000-00008A9B0000}"/>
    <cellStyle name="Normal 3 9 2 3 4 3" xfId="39813" xr:uid="{00000000-0005-0000-0000-00008B9B0000}"/>
    <cellStyle name="Normal 3 9 2 3 4 3 2" xfId="39814" xr:uid="{00000000-0005-0000-0000-00008C9B0000}"/>
    <cellStyle name="Normal 3 9 2 3 4 4" xfId="39815" xr:uid="{00000000-0005-0000-0000-00008D9B0000}"/>
    <cellStyle name="Normal 3 9 2 3 4 5" xfId="39816" xr:uid="{00000000-0005-0000-0000-00008E9B0000}"/>
    <cellStyle name="Normal 3 9 2 3 5" xfId="39817" xr:uid="{00000000-0005-0000-0000-00008F9B0000}"/>
    <cellStyle name="Normal 3 9 2 3 5 2" xfId="39818" xr:uid="{00000000-0005-0000-0000-0000909B0000}"/>
    <cellStyle name="Normal 3 9 2 3 5 2 2" xfId="39819" xr:uid="{00000000-0005-0000-0000-0000919B0000}"/>
    <cellStyle name="Normal 3 9 2 3 5 3" xfId="39820" xr:uid="{00000000-0005-0000-0000-0000929B0000}"/>
    <cellStyle name="Normal 3 9 2 3 5 3 2" xfId="39821" xr:uid="{00000000-0005-0000-0000-0000939B0000}"/>
    <cellStyle name="Normal 3 9 2 3 5 4" xfId="39822" xr:uid="{00000000-0005-0000-0000-0000949B0000}"/>
    <cellStyle name="Normal 3 9 2 3 5 5" xfId="39823" xr:uid="{00000000-0005-0000-0000-0000959B0000}"/>
    <cellStyle name="Normal 3 9 2 3 6" xfId="39824" xr:uid="{00000000-0005-0000-0000-0000969B0000}"/>
    <cellStyle name="Normal 3 9 2 3 6 2" xfId="39825" xr:uid="{00000000-0005-0000-0000-0000979B0000}"/>
    <cellStyle name="Normal 3 9 2 3 7" xfId="39826" xr:uid="{00000000-0005-0000-0000-0000989B0000}"/>
    <cellStyle name="Normal 3 9 2 3 7 2" xfId="39827" xr:uid="{00000000-0005-0000-0000-0000999B0000}"/>
    <cellStyle name="Normal 3 9 2 3 8" xfId="39828" xr:uid="{00000000-0005-0000-0000-00009A9B0000}"/>
    <cellStyle name="Normal 3 9 2 3 9" xfId="39829" xr:uid="{00000000-0005-0000-0000-00009B9B0000}"/>
    <cellStyle name="Normal 3 9 2 4" xfId="39830" xr:uid="{00000000-0005-0000-0000-00009C9B0000}"/>
    <cellStyle name="Normal 3 9 2 4 2" xfId="39831" xr:uid="{00000000-0005-0000-0000-00009D9B0000}"/>
    <cellStyle name="Normal 3 9 2 4 2 2" xfId="39832" xr:uid="{00000000-0005-0000-0000-00009E9B0000}"/>
    <cellStyle name="Normal 3 9 2 4 2 2 2" xfId="39833" xr:uid="{00000000-0005-0000-0000-00009F9B0000}"/>
    <cellStyle name="Normal 3 9 2 4 2 2 2 2" xfId="39834" xr:uid="{00000000-0005-0000-0000-0000A09B0000}"/>
    <cellStyle name="Normal 3 9 2 4 2 2 2 2 2" xfId="39835" xr:uid="{00000000-0005-0000-0000-0000A19B0000}"/>
    <cellStyle name="Normal 3 9 2 4 2 2 2 3" xfId="39836" xr:uid="{00000000-0005-0000-0000-0000A29B0000}"/>
    <cellStyle name="Normal 3 9 2 4 2 2 2 4" xfId="39837" xr:uid="{00000000-0005-0000-0000-0000A39B0000}"/>
    <cellStyle name="Normal 3 9 2 4 2 2 3" xfId="39838" xr:uid="{00000000-0005-0000-0000-0000A49B0000}"/>
    <cellStyle name="Normal 3 9 2 4 2 2 3 2" xfId="39839" xr:uid="{00000000-0005-0000-0000-0000A59B0000}"/>
    <cellStyle name="Normal 3 9 2 4 2 2 4" xfId="39840" xr:uid="{00000000-0005-0000-0000-0000A69B0000}"/>
    <cellStyle name="Normal 3 9 2 4 2 2 5" xfId="39841" xr:uid="{00000000-0005-0000-0000-0000A79B0000}"/>
    <cellStyle name="Normal 3 9 2 4 2 3" xfId="39842" xr:uid="{00000000-0005-0000-0000-0000A89B0000}"/>
    <cellStyle name="Normal 3 9 2 4 2 3 2" xfId="39843" xr:uid="{00000000-0005-0000-0000-0000A99B0000}"/>
    <cellStyle name="Normal 3 9 2 4 2 3 2 2" xfId="39844" xr:uid="{00000000-0005-0000-0000-0000AA9B0000}"/>
    <cellStyle name="Normal 3 9 2 4 2 3 3" xfId="39845" xr:uid="{00000000-0005-0000-0000-0000AB9B0000}"/>
    <cellStyle name="Normal 3 9 2 4 2 3 3 2" xfId="39846" xr:uid="{00000000-0005-0000-0000-0000AC9B0000}"/>
    <cellStyle name="Normal 3 9 2 4 2 3 4" xfId="39847" xr:uid="{00000000-0005-0000-0000-0000AD9B0000}"/>
    <cellStyle name="Normal 3 9 2 4 2 3 5" xfId="39848" xr:uid="{00000000-0005-0000-0000-0000AE9B0000}"/>
    <cellStyle name="Normal 3 9 2 4 2 4" xfId="39849" xr:uid="{00000000-0005-0000-0000-0000AF9B0000}"/>
    <cellStyle name="Normal 3 9 2 4 2 4 2" xfId="39850" xr:uid="{00000000-0005-0000-0000-0000B09B0000}"/>
    <cellStyle name="Normal 3 9 2 4 2 5" xfId="39851" xr:uid="{00000000-0005-0000-0000-0000B19B0000}"/>
    <cellStyle name="Normal 3 9 2 4 2 5 2" xfId="39852" xr:uid="{00000000-0005-0000-0000-0000B29B0000}"/>
    <cellStyle name="Normal 3 9 2 4 2 6" xfId="39853" xr:uid="{00000000-0005-0000-0000-0000B39B0000}"/>
    <cellStyle name="Normal 3 9 2 4 2 7" xfId="39854" xr:uid="{00000000-0005-0000-0000-0000B49B0000}"/>
    <cellStyle name="Normal 3 9 2 4 3" xfId="39855" xr:uid="{00000000-0005-0000-0000-0000B59B0000}"/>
    <cellStyle name="Normal 3 9 2 4 3 2" xfId="39856" xr:uid="{00000000-0005-0000-0000-0000B69B0000}"/>
    <cellStyle name="Normal 3 9 2 4 3 2 2" xfId="39857" xr:uid="{00000000-0005-0000-0000-0000B79B0000}"/>
    <cellStyle name="Normal 3 9 2 4 3 2 2 2" xfId="39858" xr:uid="{00000000-0005-0000-0000-0000B89B0000}"/>
    <cellStyle name="Normal 3 9 2 4 3 2 3" xfId="39859" xr:uid="{00000000-0005-0000-0000-0000B99B0000}"/>
    <cellStyle name="Normal 3 9 2 4 3 2 4" xfId="39860" xr:uid="{00000000-0005-0000-0000-0000BA9B0000}"/>
    <cellStyle name="Normal 3 9 2 4 3 3" xfId="39861" xr:uid="{00000000-0005-0000-0000-0000BB9B0000}"/>
    <cellStyle name="Normal 3 9 2 4 3 3 2" xfId="39862" xr:uid="{00000000-0005-0000-0000-0000BC9B0000}"/>
    <cellStyle name="Normal 3 9 2 4 3 4" xfId="39863" xr:uid="{00000000-0005-0000-0000-0000BD9B0000}"/>
    <cellStyle name="Normal 3 9 2 4 3 5" xfId="39864" xr:uid="{00000000-0005-0000-0000-0000BE9B0000}"/>
    <cellStyle name="Normal 3 9 2 4 4" xfId="39865" xr:uid="{00000000-0005-0000-0000-0000BF9B0000}"/>
    <cellStyle name="Normal 3 9 2 4 4 2" xfId="39866" xr:uid="{00000000-0005-0000-0000-0000C09B0000}"/>
    <cellStyle name="Normal 3 9 2 4 4 2 2" xfId="39867" xr:uid="{00000000-0005-0000-0000-0000C19B0000}"/>
    <cellStyle name="Normal 3 9 2 4 4 3" xfId="39868" xr:uid="{00000000-0005-0000-0000-0000C29B0000}"/>
    <cellStyle name="Normal 3 9 2 4 4 3 2" xfId="39869" xr:uid="{00000000-0005-0000-0000-0000C39B0000}"/>
    <cellStyle name="Normal 3 9 2 4 4 4" xfId="39870" xr:uid="{00000000-0005-0000-0000-0000C49B0000}"/>
    <cellStyle name="Normal 3 9 2 4 4 5" xfId="39871" xr:uid="{00000000-0005-0000-0000-0000C59B0000}"/>
    <cellStyle name="Normal 3 9 2 4 5" xfId="39872" xr:uid="{00000000-0005-0000-0000-0000C69B0000}"/>
    <cellStyle name="Normal 3 9 2 4 5 2" xfId="39873" xr:uid="{00000000-0005-0000-0000-0000C79B0000}"/>
    <cellStyle name="Normal 3 9 2 4 6" xfId="39874" xr:uid="{00000000-0005-0000-0000-0000C89B0000}"/>
    <cellStyle name="Normal 3 9 2 4 6 2" xfId="39875" xr:uid="{00000000-0005-0000-0000-0000C99B0000}"/>
    <cellStyle name="Normal 3 9 2 4 7" xfId="39876" xr:uid="{00000000-0005-0000-0000-0000CA9B0000}"/>
    <cellStyle name="Normal 3 9 2 4 8" xfId="39877" xr:uid="{00000000-0005-0000-0000-0000CB9B0000}"/>
    <cellStyle name="Normal 3 9 2 5" xfId="39878" xr:uid="{00000000-0005-0000-0000-0000CC9B0000}"/>
    <cellStyle name="Normal 3 9 2 5 2" xfId="39879" xr:uid="{00000000-0005-0000-0000-0000CD9B0000}"/>
    <cellStyle name="Normal 3 9 2 5 2 2" xfId="39880" xr:uid="{00000000-0005-0000-0000-0000CE9B0000}"/>
    <cellStyle name="Normal 3 9 2 5 2 2 2" xfId="39881" xr:uid="{00000000-0005-0000-0000-0000CF9B0000}"/>
    <cellStyle name="Normal 3 9 2 5 2 2 2 2" xfId="39882" xr:uid="{00000000-0005-0000-0000-0000D09B0000}"/>
    <cellStyle name="Normal 3 9 2 5 2 2 3" xfId="39883" xr:uid="{00000000-0005-0000-0000-0000D19B0000}"/>
    <cellStyle name="Normal 3 9 2 5 2 2 4" xfId="39884" xr:uid="{00000000-0005-0000-0000-0000D29B0000}"/>
    <cellStyle name="Normal 3 9 2 5 2 3" xfId="39885" xr:uid="{00000000-0005-0000-0000-0000D39B0000}"/>
    <cellStyle name="Normal 3 9 2 5 2 3 2" xfId="39886" xr:uid="{00000000-0005-0000-0000-0000D49B0000}"/>
    <cellStyle name="Normal 3 9 2 5 2 4" xfId="39887" xr:uid="{00000000-0005-0000-0000-0000D59B0000}"/>
    <cellStyle name="Normal 3 9 2 5 2 5" xfId="39888" xr:uid="{00000000-0005-0000-0000-0000D69B0000}"/>
    <cellStyle name="Normal 3 9 2 5 3" xfId="39889" xr:uid="{00000000-0005-0000-0000-0000D79B0000}"/>
    <cellStyle name="Normal 3 9 2 5 3 2" xfId="39890" xr:uid="{00000000-0005-0000-0000-0000D89B0000}"/>
    <cellStyle name="Normal 3 9 2 5 3 2 2" xfId="39891" xr:uid="{00000000-0005-0000-0000-0000D99B0000}"/>
    <cellStyle name="Normal 3 9 2 5 3 3" xfId="39892" xr:uid="{00000000-0005-0000-0000-0000DA9B0000}"/>
    <cellStyle name="Normal 3 9 2 5 3 3 2" xfId="39893" xr:uid="{00000000-0005-0000-0000-0000DB9B0000}"/>
    <cellStyle name="Normal 3 9 2 5 3 4" xfId="39894" xr:uid="{00000000-0005-0000-0000-0000DC9B0000}"/>
    <cellStyle name="Normal 3 9 2 5 3 5" xfId="39895" xr:uid="{00000000-0005-0000-0000-0000DD9B0000}"/>
    <cellStyle name="Normal 3 9 2 5 4" xfId="39896" xr:uid="{00000000-0005-0000-0000-0000DE9B0000}"/>
    <cellStyle name="Normal 3 9 2 5 4 2" xfId="39897" xr:uid="{00000000-0005-0000-0000-0000DF9B0000}"/>
    <cellStyle name="Normal 3 9 2 5 5" xfId="39898" xr:uid="{00000000-0005-0000-0000-0000E09B0000}"/>
    <cellStyle name="Normal 3 9 2 5 5 2" xfId="39899" xr:uid="{00000000-0005-0000-0000-0000E19B0000}"/>
    <cellStyle name="Normal 3 9 2 5 6" xfId="39900" xr:uid="{00000000-0005-0000-0000-0000E29B0000}"/>
    <cellStyle name="Normal 3 9 2 5 7" xfId="39901" xr:uid="{00000000-0005-0000-0000-0000E39B0000}"/>
    <cellStyle name="Normal 3 9 2 6" xfId="39902" xr:uid="{00000000-0005-0000-0000-0000E49B0000}"/>
    <cellStyle name="Normal 3 9 2 6 2" xfId="39903" xr:uid="{00000000-0005-0000-0000-0000E59B0000}"/>
    <cellStyle name="Normal 3 9 2 6 2 2" xfId="39904" xr:uid="{00000000-0005-0000-0000-0000E69B0000}"/>
    <cellStyle name="Normal 3 9 2 6 2 2 2" xfId="39905" xr:uid="{00000000-0005-0000-0000-0000E79B0000}"/>
    <cellStyle name="Normal 3 9 2 6 2 3" xfId="39906" xr:uid="{00000000-0005-0000-0000-0000E89B0000}"/>
    <cellStyle name="Normal 3 9 2 6 2 4" xfId="39907" xr:uid="{00000000-0005-0000-0000-0000E99B0000}"/>
    <cellStyle name="Normal 3 9 2 6 3" xfId="39908" xr:uid="{00000000-0005-0000-0000-0000EA9B0000}"/>
    <cellStyle name="Normal 3 9 2 6 3 2" xfId="39909" xr:uid="{00000000-0005-0000-0000-0000EB9B0000}"/>
    <cellStyle name="Normal 3 9 2 6 4" xfId="39910" xr:uid="{00000000-0005-0000-0000-0000EC9B0000}"/>
    <cellStyle name="Normal 3 9 2 6 5" xfId="39911" xr:uid="{00000000-0005-0000-0000-0000ED9B0000}"/>
    <cellStyle name="Normal 3 9 2 7" xfId="39912" xr:uid="{00000000-0005-0000-0000-0000EE9B0000}"/>
    <cellStyle name="Normal 3 9 2 7 2" xfId="39913" xr:uid="{00000000-0005-0000-0000-0000EF9B0000}"/>
    <cellStyle name="Normal 3 9 2 7 2 2" xfId="39914" xr:uid="{00000000-0005-0000-0000-0000F09B0000}"/>
    <cellStyle name="Normal 3 9 2 7 3" xfId="39915" xr:uid="{00000000-0005-0000-0000-0000F19B0000}"/>
    <cellStyle name="Normal 3 9 2 7 3 2" xfId="39916" xr:uid="{00000000-0005-0000-0000-0000F29B0000}"/>
    <cellStyle name="Normal 3 9 2 7 4" xfId="39917" xr:uid="{00000000-0005-0000-0000-0000F39B0000}"/>
    <cellStyle name="Normal 3 9 2 7 5" xfId="39918" xr:uid="{00000000-0005-0000-0000-0000F49B0000}"/>
    <cellStyle name="Normal 3 9 2 8" xfId="39919" xr:uid="{00000000-0005-0000-0000-0000F59B0000}"/>
    <cellStyle name="Normal 3 9 2 8 2" xfId="39920" xr:uid="{00000000-0005-0000-0000-0000F69B0000}"/>
    <cellStyle name="Normal 3 9 2 9" xfId="39921" xr:uid="{00000000-0005-0000-0000-0000F79B0000}"/>
    <cellStyle name="Normal 3 9 2 9 2" xfId="39922" xr:uid="{00000000-0005-0000-0000-0000F89B0000}"/>
    <cellStyle name="Normal 3 9 3" xfId="39923" xr:uid="{00000000-0005-0000-0000-0000F99B0000}"/>
    <cellStyle name="Normal 3 9 3 10" xfId="39924" xr:uid="{00000000-0005-0000-0000-0000FA9B0000}"/>
    <cellStyle name="Normal 3 9 3 2" xfId="39925" xr:uid="{00000000-0005-0000-0000-0000FB9B0000}"/>
    <cellStyle name="Normal 3 9 3 2 2" xfId="39926" xr:uid="{00000000-0005-0000-0000-0000FC9B0000}"/>
    <cellStyle name="Normal 3 9 3 2 2 2" xfId="39927" xr:uid="{00000000-0005-0000-0000-0000FD9B0000}"/>
    <cellStyle name="Normal 3 9 3 2 2 2 2" xfId="39928" xr:uid="{00000000-0005-0000-0000-0000FE9B0000}"/>
    <cellStyle name="Normal 3 9 3 2 2 2 2 2" xfId="39929" xr:uid="{00000000-0005-0000-0000-0000FF9B0000}"/>
    <cellStyle name="Normal 3 9 3 2 2 2 2 2 2" xfId="39930" xr:uid="{00000000-0005-0000-0000-0000009C0000}"/>
    <cellStyle name="Normal 3 9 3 2 2 2 2 2 2 2" xfId="39931" xr:uid="{00000000-0005-0000-0000-0000019C0000}"/>
    <cellStyle name="Normal 3 9 3 2 2 2 2 2 3" xfId="39932" xr:uid="{00000000-0005-0000-0000-0000029C0000}"/>
    <cellStyle name="Normal 3 9 3 2 2 2 2 2 4" xfId="39933" xr:uid="{00000000-0005-0000-0000-0000039C0000}"/>
    <cellStyle name="Normal 3 9 3 2 2 2 2 3" xfId="39934" xr:uid="{00000000-0005-0000-0000-0000049C0000}"/>
    <cellStyle name="Normal 3 9 3 2 2 2 2 3 2" xfId="39935" xr:uid="{00000000-0005-0000-0000-0000059C0000}"/>
    <cellStyle name="Normal 3 9 3 2 2 2 2 4" xfId="39936" xr:uid="{00000000-0005-0000-0000-0000069C0000}"/>
    <cellStyle name="Normal 3 9 3 2 2 2 2 5" xfId="39937" xr:uid="{00000000-0005-0000-0000-0000079C0000}"/>
    <cellStyle name="Normal 3 9 3 2 2 2 3" xfId="39938" xr:uid="{00000000-0005-0000-0000-0000089C0000}"/>
    <cellStyle name="Normal 3 9 3 2 2 2 3 2" xfId="39939" xr:uid="{00000000-0005-0000-0000-0000099C0000}"/>
    <cellStyle name="Normal 3 9 3 2 2 2 3 2 2" xfId="39940" xr:uid="{00000000-0005-0000-0000-00000A9C0000}"/>
    <cellStyle name="Normal 3 9 3 2 2 2 3 3" xfId="39941" xr:uid="{00000000-0005-0000-0000-00000B9C0000}"/>
    <cellStyle name="Normal 3 9 3 2 2 2 3 4" xfId="39942" xr:uid="{00000000-0005-0000-0000-00000C9C0000}"/>
    <cellStyle name="Normal 3 9 3 2 2 2 4" xfId="39943" xr:uid="{00000000-0005-0000-0000-00000D9C0000}"/>
    <cellStyle name="Normal 3 9 3 2 2 2 4 2" xfId="39944" xr:uid="{00000000-0005-0000-0000-00000E9C0000}"/>
    <cellStyle name="Normal 3 9 3 2 2 2 5" xfId="39945" xr:uid="{00000000-0005-0000-0000-00000F9C0000}"/>
    <cellStyle name="Normal 3 9 3 2 2 2 6" xfId="39946" xr:uid="{00000000-0005-0000-0000-0000109C0000}"/>
    <cellStyle name="Normal 3 9 3 2 2 3" xfId="39947" xr:uid="{00000000-0005-0000-0000-0000119C0000}"/>
    <cellStyle name="Normal 3 9 3 2 2 3 2" xfId="39948" xr:uid="{00000000-0005-0000-0000-0000129C0000}"/>
    <cellStyle name="Normal 3 9 3 2 2 3 2 2" xfId="39949" xr:uid="{00000000-0005-0000-0000-0000139C0000}"/>
    <cellStyle name="Normal 3 9 3 2 2 3 2 2 2" xfId="39950" xr:uid="{00000000-0005-0000-0000-0000149C0000}"/>
    <cellStyle name="Normal 3 9 3 2 2 3 2 3" xfId="39951" xr:uid="{00000000-0005-0000-0000-0000159C0000}"/>
    <cellStyle name="Normal 3 9 3 2 2 3 2 4" xfId="39952" xr:uid="{00000000-0005-0000-0000-0000169C0000}"/>
    <cellStyle name="Normal 3 9 3 2 2 3 3" xfId="39953" xr:uid="{00000000-0005-0000-0000-0000179C0000}"/>
    <cellStyle name="Normal 3 9 3 2 2 3 3 2" xfId="39954" xr:uid="{00000000-0005-0000-0000-0000189C0000}"/>
    <cellStyle name="Normal 3 9 3 2 2 3 4" xfId="39955" xr:uid="{00000000-0005-0000-0000-0000199C0000}"/>
    <cellStyle name="Normal 3 9 3 2 2 3 5" xfId="39956" xr:uid="{00000000-0005-0000-0000-00001A9C0000}"/>
    <cellStyle name="Normal 3 9 3 2 2 4" xfId="39957" xr:uid="{00000000-0005-0000-0000-00001B9C0000}"/>
    <cellStyle name="Normal 3 9 3 2 2 4 2" xfId="39958" xr:uid="{00000000-0005-0000-0000-00001C9C0000}"/>
    <cellStyle name="Normal 3 9 3 2 2 4 2 2" xfId="39959" xr:uid="{00000000-0005-0000-0000-00001D9C0000}"/>
    <cellStyle name="Normal 3 9 3 2 2 4 3" xfId="39960" xr:uid="{00000000-0005-0000-0000-00001E9C0000}"/>
    <cellStyle name="Normal 3 9 3 2 2 4 4" xfId="39961" xr:uid="{00000000-0005-0000-0000-00001F9C0000}"/>
    <cellStyle name="Normal 3 9 3 2 2 5" xfId="39962" xr:uid="{00000000-0005-0000-0000-0000209C0000}"/>
    <cellStyle name="Normal 3 9 3 2 2 5 2" xfId="39963" xr:uid="{00000000-0005-0000-0000-0000219C0000}"/>
    <cellStyle name="Normal 3 9 3 2 2 6" xfId="39964" xr:uid="{00000000-0005-0000-0000-0000229C0000}"/>
    <cellStyle name="Normal 3 9 3 2 2 7" xfId="39965" xr:uid="{00000000-0005-0000-0000-0000239C0000}"/>
    <cellStyle name="Normal 3 9 3 2 3" xfId="39966" xr:uid="{00000000-0005-0000-0000-0000249C0000}"/>
    <cellStyle name="Normal 3 9 3 2 3 2" xfId="39967" xr:uid="{00000000-0005-0000-0000-0000259C0000}"/>
    <cellStyle name="Normal 3 9 3 2 3 2 2" xfId="39968" xr:uid="{00000000-0005-0000-0000-0000269C0000}"/>
    <cellStyle name="Normal 3 9 3 2 3 2 2 2" xfId="39969" xr:uid="{00000000-0005-0000-0000-0000279C0000}"/>
    <cellStyle name="Normal 3 9 3 2 3 2 2 2 2" xfId="39970" xr:uid="{00000000-0005-0000-0000-0000289C0000}"/>
    <cellStyle name="Normal 3 9 3 2 3 2 2 3" xfId="39971" xr:uid="{00000000-0005-0000-0000-0000299C0000}"/>
    <cellStyle name="Normal 3 9 3 2 3 2 2 4" xfId="39972" xr:uid="{00000000-0005-0000-0000-00002A9C0000}"/>
    <cellStyle name="Normal 3 9 3 2 3 2 3" xfId="39973" xr:uid="{00000000-0005-0000-0000-00002B9C0000}"/>
    <cellStyle name="Normal 3 9 3 2 3 2 3 2" xfId="39974" xr:uid="{00000000-0005-0000-0000-00002C9C0000}"/>
    <cellStyle name="Normal 3 9 3 2 3 2 4" xfId="39975" xr:uid="{00000000-0005-0000-0000-00002D9C0000}"/>
    <cellStyle name="Normal 3 9 3 2 3 2 5" xfId="39976" xr:uid="{00000000-0005-0000-0000-00002E9C0000}"/>
    <cellStyle name="Normal 3 9 3 2 3 3" xfId="39977" xr:uid="{00000000-0005-0000-0000-00002F9C0000}"/>
    <cellStyle name="Normal 3 9 3 2 3 3 2" xfId="39978" xr:uid="{00000000-0005-0000-0000-0000309C0000}"/>
    <cellStyle name="Normal 3 9 3 2 3 3 2 2" xfId="39979" xr:uid="{00000000-0005-0000-0000-0000319C0000}"/>
    <cellStyle name="Normal 3 9 3 2 3 3 3" xfId="39980" xr:uid="{00000000-0005-0000-0000-0000329C0000}"/>
    <cellStyle name="Normal 3 9 3 2 3 3 3 2" xfId="39981" xr:uid="{00000000-0005-0000-0000-0000339C0000}"/>
    <cellStyle name="Normal 3 9 3 2 3 3 4" xfId="39982" xr:uid="{00000000-0005-0000-0000-0000349C0000}"/>
    <cellStyle name="Normal 3 9 3 2 3 3 5" xfId="39983" xr:uid="{00000000-0005-0000-0000-0000359C0000}"/>
    <cellStyle name="Normal 3 9 3 2 3 4" xfId="39984" xr:uid="{00000000-0005-0000-0000-0000369C0000}"/>
    <cellStyle name="Normal 3 9 3 2 3 4 2" xfId="39985" xr:uid="{00000000-0005-0000-0000-0000379C0000}"/>
    <cellStyle name="Normal 3 9 3 2 3 5" xfId="39986" xr:uid="{00000000-0005-0000-0000-0000389C0000}"/>
    <cellStyle name="Normal 3 9 3 2 3 5 2" xfId="39987" xr:uid="{00000000-0005-0000-0000-0000399C0000}"/>
    <cellStyle name="Normal 3 9 3 2 3 6" xfId="39988" xr:uid="{00000000-0005-0000-0000-00003A9C0000}"/>
    <cellStyle name="Normal 3 9 3 2 3 7" xfId="39989" xr:uid="{00000000-0005-0000-0000-00003B9C0000}"/>
    <cellStyle name="Normal 3 9 3 2 4" xfId="39990" xr:uid="{00000000-0005-0000-0000-00003C9C0000}"/>
    <cellStyle name="Normal 3 9 3 2 4 2" xfId="39991" xr:uid="{00000000-0005-0000-0000-00003D9C0000}"/>
    <cellStyle name="Normal 3 9 3 2 4 2 2" xfId="39992" xr:uid="{00000000-0005-0000-0000-00003E9C0000}"/>
    <cellStyle name="Normal 3 9 3 2 4 2 2 2" xfId="39993" xr:uid="{00000000-0005-0000-0000-00003F9C0000}"/>
    <cellStyle name="Normal 3 9 3 2 4 2 3" xfId="39994" xr:uid="{00000000-0005-0000-0000-0000409C0000}"/>
    <cellStyle name="Normal 3 9 3 2 4 2 4" xfId="39995" xr:uid="{00000000-0005-0000-0000-0000419C0000}"/>
    <cellStyle name="Normal 3 9 3 2 4 3" xfId="39996" xr:uid="{00000000-0005-0000-0000-0000429C0000}"/>
    <cellStyle name="Normal 3 9 3 2 4 3 2" xfId="39997" xr:uid="{00000000-0005-0000-0000-0000439C0000}"/>
    <cellStyle name="Normal 3 9 3 2 4 4" xfId="39998" xr:uid="{00000000-0005-0000-0000-0000449C0000}"/>
    <cellStyle name="Normal 3 9 3 2 4 5" xfId="39999" xr:uid="{00000000-0005-0000-0000-0000459C0000}"/>
    <cellStyle name="Normal 3 9 3 2 5" xfId="40000" xr:uid="{00000000-0005-0000-0000-0000469C0000}"/>
    <cellStyle name="Normal 3 9 3 2 5 2" xfId="40001" xr:uid="{00000000-0005-0000-0000-0000479C0000}"/>
    <cellStyle name="Normal 3 9 3 2 5 2 2" xfId="40002" xr:uid="{00000000-0005-0000-0000-0000489C0000}"/>
    <cellStyle name="Normal 3 9 3 2 5 3" xfId="40003" xr:uid="{00000000-0005-0000-0000-0000499C0000}"/>
    <cellStyle name="Normal 3 9 3 2 5 3 2" xfId="40004" xr:uid="{00000000-0005-0000-0000-00004A9C0000}"/>
    <cellStyle name="Normal 3 9 3 2 5 4" xfId="40005" xr:uid="{00000000-0005-0000-0000-00004B9C0000}"/>
    <cellStyle name="Normal 3 9 3 2 5 5" xfId="40006" xr:uid="{00000000-0005-0000-0000-00004C9C0000}"/>
    <cellStyle name="Normal 3 9 3 2 6" xfId="40007" xr:uid="{00000000-0005-0000-0000-00004D9C0000}"/>
    <cellStyle name="Normal 3 9 3 2 6 2" xfId="40008" xr:uid="{00000000-0005-0000-0000-00004E9C0000}"/>
    <cellStyle name="Normal 3 9 3 2 7" xfId="40009" xr:uid="{00000000-0005-0000-0000-00004F9C0000}"/>
    <cellStyle name="Normal 3 9 3 2 7 2" xfId="40010" xr:uid="{00000000-0005-0000-0000-0000509C0000}"/>
    <cellStyle name="Normal 3 9 3 2 8" xfId="40011" xr:uid="{00000000-0005-0000-0000-0000519C0000}"/>
    <cellStyle name="Normal 3 9 3 2 9" xfId="40012" xr:uid="{00000000-0005-0000-0000-0000529C0000}"/>
    <cellStyle name="Normal 3 9 3 3" xfId="40013" xr:uid="{00000000-0005-0000-0000-0000539C0000}"/>
    <cellStyle name="Normal 3 9 3 3 2" xfId="40014" xr:uid="{00000000-0005-0000-0000-0000549C0000}"/>
    <cellStyle name="Normal 3 9 3 3 2 2" xfId="40015" xr:uid="{00000000-0005-0000-0000-0000559C0000}"/>
    <cellStyle name="Normal 3 9 3 3 2 2 2" xfId="40016" xr:uid="{00000000-0005-0000-0000-0000569C0000}"/>
    <cellStyle name="Normal 3 9 3 3 2 2 2 2" xfId="40017" xr:uid="{00000000-0005-0000-0000-0000579C0000}"/>
    <cellStyle name="Normal 3 9 3 3 2 2 2 2 2" xfId="40018" xr:uid="{00000000-0005-0000-0000-0000589C0000}"/>
    <cellStyle name="Normal 3 9 3 3 2 2 2 3" xfId="40019" xr:uid="{00000000-0005-0000-0000-0000599C0000}"/>
    <cellStyle name="Normal 3 9 3 3 2 2 2 4" xfId="40020" xr:uid="{00000000-0005-0000-0000-00005A9C0000}"/>
    <cellStyle name="Normal 3 9 3 3 2 2 3" xfId="40021" xr:uid="{00000000-0005-0000-0000-00005B9C0000}"/>
    <cellStyle name="Normal 3 9 3 3 2 2 3 2" xfId="40022" xr:uid="{00000000-0005-0000-0000-00005C9C0000}"/>
    <cellStyle name="Normal 3 9 3 3 2 2 4" xfId="40023" xr:uid="{00000000-0005-0000-0000-00005D9C0000}"/>
    <cellStyle name="Normal 3 9 3 3 2 2 5" xfId="40024" xr:uid="{00000000-0005-0000-0000-00005E9C0000}"/>
    <cellStyle name="Normal 3 9 3 3 2 3" xfId="40025" xr:uid="{00000000-0005-0000-0000-00005F9C0000}"/>
    <cellStyle name="Normal 3 9 3 3 2 3 2" xfId="40026" xr:uid="{00000000-0005-0000-0000-0000609C0000}"/>
    <cellStyle name="Normal 3 9 3 3 2 3 2 2" xfId="40027" xr:uid="{00000000-0005-0000-0000-0000619C0000}"/>
    <cellStyle name="Normal 3 9 3 3 2 3 3" xfId="40028" xr:uid="{00000000-0005-0000-0000-0000629C0000}"/>
    <cellStyle name="Normal 3 9 3 3 2 3 4" xfId="40029" xr:uid="{00000000-0005-0000-0000-0000639C0000}"/>
    <cellStyle name="Normal 3 9 3 3 2 4" xfId="40030" xr:uid="{00000000-0005-0000-0000-0000649C0000}"/>
    <cellStyle name="Normal 3 9 3 3 2 4 2" xfId="40031" xr:uid="{00000000-0005-0000-0000-0000659C0000}"/>
    <cellStyle name="Normal 3 9 3 3 2 5" xfId="40032" xr:uid="{00000000-0005-0000-0000-0000669C0000}"/>
    <cellStyle name="Normal 3 9 3 3 2 6" xfId="40033" xr:uid="{00000000-0005-0000-0000-0000679C0000}"/>
    <cellStyle name="Normal 3 9 3 3 3" xfId="40034" xr:uid="{00000000-0005-0000-0000-0000689C0000}"/>
    <cellStyle name="Normal 3 9 3 3 3 2" xfId="40035" xr:uid="{00000000-0005-0000-0000-0000699C0000}"/>
    <cellStyle name="Normal 3 9 3 3 3 2 2" xfId="40036" xr:uid="{00000000-0005-0000-0000-00006A9C0000}"/>
    <cellStyle name="Normal 3 9 3 3 3 2 2 2" xfId="40037" xr:uid="{00000000-0005-0000-0000-00006B9C0000}"/>
    <cellStyle name="Normal 3 9 3 3 3 2 3" xfId="40038" xr:uid="{00000000-0005-0000-0000-00006C9C0000}"/>
    <cellStyle name="Normal 3 9 3 3 3 2 4" xfId="40039" xr:uid="{00000000-0005-0000-0000-00006D9C0000}"/>
    <cellStyle name="Normal 3 9 3 3 3 3" xfId="40040" xr:uid="{00000000-0005-0000-0000-00006E9C0000}"/>
    <cellStyle name="Normal 3 9 3 3 3 3 2" xfId="40041" xr:uid="{00000000-0005-0000-0000-00006F9C0000}"/>
    <cellStyle name="Normal 3 9 3 3 3 4" xfId="40042" xr:uid="{00000000-0005-0000-0000-0000709C0000}"/>
    <cellStyle name="Normal 3 9 3 3 3 5" xfId="40043" xr:uid="{00000000-0005-0000-0000-0000719C0000}"/>
    <cellStyle name="Normal 3 9 3 3 4" xfId="40044" xr:uid="{00000000-0005-0000-0000-0000729C0000}"/>
    <cellStyle name="Normal 3 9 3 3 4 2" xfId="40045" xr:uid="{00000000-0005-0000-0000-0000739C0000}"/>
    <cellStyle name="Normal 3 9 3 3 4 2 2" xfId="40046" xr:uid="{00000000-0005-0000-0000-0000749C0000}"/>
    <cellStyle name="Normal 3 9 3 3 4 3" xfId="40047" xr:uid="{00000000-0005-0000-0000-0000759C0000}"/>
    <cellStyle name="Normal 3 9 3 3 4 4" xfId="40048" xr:uid="{00000000-0005-0000-0000-0000769C0000}"/>
    <cellStyle name="Normal 3 9 3 3 5" xfId="40049" xr:uid="{00000000-0005-0000-0000-0000779C0000}"/>
    <cellStyle name="Normal 3 9 3 3 5 2" xfId="40050" xr:uid="{00000000-0005-0000-0000-0000789C0000}"/>
    <cellStyle name="Normal 3 9 3 3 6" xfId="40051" xr:uid="{00000000-0005-0000-0000-0000799C0000}"/>
    <cellStyle name="Normal 3 9 3 3 7" xfId="40052" xr:uid="{00000000-0005-0000-0000-00007A9C0000}"/>
    <cellStyle name="Normal 3 9 3 4" xfId="40053" xr:uid="{00000000-0005-0000-0000-00007B9C0000}"/>
    <cellStyle name="Normal 3 9 3 4 2" xfId="40054" xr:uid="{00000000-0005-0000-0000-00007C9C0000}"/>
    <cellStyle name="Normal 3 9 3 4 2 2" xfId="40055" xr:uid="{00000000-0005-0000-0000-00007D9C0000}"/>
    <cellStyle name="Normal 3 9 3 4 2 2 2" xfId="40056" xr:uid="{00000000-0005-0000-0000-00007E9C0000}"/>
    <cellStyle name="Normal 3 9 3 4 2 2 2 2" xfId="40057" xr:uid="{00000000-0005-0000-0000-00007F9C0000}"/>
    <cellStyle name="Normal 3 9 3 4 2 2 3" xfId="40058" xr:uid="{00000000-0005-0000-0000-0000809C0000}"/>
    <cellStyle name="Normal 3 9 3 4 2 2 4" xfId="40059" xr:uid="{00000000-0005-0000-0000-0000819C0000}"/>
    <cellStyle name="Normal 3 9 3 4 2 3" xfId="40060" xr:uid="{00000000-0005-0000-0000-0000829C0000}"/>
    <cellStyle name="Normal 3 9 3 4 2 3 2" xfId="40061" xr:uid="{00000000-0005-0000-0000-0000839C0000}"/>
    <cellStyle name="Normal 3 9 3 4 2 4" xfId="40062" xr:uid="{00000000-0005-0000-0000-0000849C0000}"/>
    <cellStyle name="Normal 3 9 3 4 2 5" xfId="40063" xr:uid="{00000000-0005-0000-0000-0000859C0000}"/>
    <cellStyle name="Normal 3 9 3 4 3" xfId="40064" xr:uid="{00000000-0005-0000-0000-0000869C0000}"/>
    <cellStyle name="Normal 3 9 3 4 3 2" xfId="40065" xr:uid="{00000000-0005-0000-0000-0000879C0000}"/>
    <cellStyle name="Normal 3 9 3 4 3 2 2" xfId="40066" xr:uid="{00000000-0005-0000-0000-0000889C0000}"/>
    <cellStyle name="Normal 3 9 3 4 3 3" xfId="40067" xr:uid="{00000000-0005-0000-0000-0000899C0000}"/>
    <cellStyle name="Normal 3 9 3 4 3 3 2" xfId="40068" xr:uid="{00000000-0005-0000-0000-00008A9C0000}"/>
    <cellStyle name="Normal 3 9 3 4 3 4" xfId="40069" xr:uid="{00000000-0005-0000-0000-00008B9C0000}"/>
    <cellStyle name="Normal 3 9 3 4 3 5" xfId="40070" xr:uid="{00000000-0005-0000-0000-00008C9C0000}"/>
    <cellStyle name="Normal 3 9 3 4 4" xfId="40071" xr:uid="{00000000-0005-0000-0000-00008D9C0000}"/>
    <cellStyle name="Normal 3 9 3 4 4 2" xfId="40072" xr:uid="{00000000-0005-0000-0000-00008E9C0000}"/>
    <cellStyle name="Normal 3 9 3 4 5" xfId="40073" xr:uid="{00000000-0005-0000-0000-00008F9C0000}"/>
    <cellStyle name="Normal 3 9 3 4 5 2" xfId="40074" xr:uid="{00000000-0005-0000-0000-0000909C0000}"/>
    <cellStyle name="Normal 3 9 3 4 6" xfId="40075" xr:uid="{00000000-0005-0000-0000-0000919C0000}"/>
    <cellStyle name="Normal 3 9 3 4 7" xfId="40076" xr:uid="{00000000-0005-0000-0000-0000929C0000}"/>
    <cellStyle name="Normal 3 9 3 5" xfId="40077" xr:uid="{00000000-0005-0000-0000-0000939C0000}"/>
    <cellStyle name="Normal 3 9 3 5 2" xfId="40078" xr:uid="{00000000-0005-0000-0000-0000949C0000}"/>
    <cellStyle name="Normal 3 9 3 5 2 2" xfId="40079" xr:uid="{00000000-0005-0000-0000-0000959C0000}"/>
    <cellStyle name="Normal 3 9 3 5 2 2 2" xfId="40080" xr:uid="{00000000-0005-0000-0000-0000969C0000}"/>
    <cellStyle name="Normal 3 9 3 5 2 3" xfId="40081" xr:uid="{00000000-0005-0000-0000-0000979C0000}"/>
    <cellStyle name="Normal 3 9 3 5 2 4" xfId="40082" xr:uid="{00000000-0005-0000-0000-0000989C0000}"/>
    <cellStyle name="Normal 3 9 3 5 3" xfId="40083" xr:uid="{00000000-0005-0000-0000-0000999C0000}"/>
    <cellStyle name="Normal 3 9 3 5 3 2" xfId="40084" xr:uid="{00000000-0005-0000-0000-00009A9C0000}"/>
    <cellStyle name="Normal 3 9 3 5 4" xfId="40085" xr:uid="{00000000-0005-0000-0000-00009B9C0000}"/>
    <cellStyle name="Normal 3 9 3 5 5" xfId="40086" xr:uid="{00000000-0005-0000-0000-00009C9C0000}"/>
    <cellStyle name="Normal 3 9 3 6" xfId="40087" xr:uid="{00000000-0005-0000-0000-00009D9C0000}"/>
    <cellStyle name="Normal 3 9 3 6 2" xfId="40088" xr:uid="{00000000-0005-0000-0000-00009E9C0000}"/>
    <cellStyle name="Normal 3 9 3 6 2 2" xfId="40089" xr:uid="{00000000-0005-0000-0000-00009F9C0000}"/>
    <cellStyle name="Normal 3 9 3 6 3" xfId="40090" xr:uid="{00000000-0005-0000-0000-0000A09C0000}"/>
    <cellStyle name="Normal 3 9 3 6 3 2" xfId="40091" xr:uid="{00000000-0005-0000-0000-0000A19C0000}"/>
    <cellStyle name="Normal 3 9 3 6 4" xfId="40092" xr:uid="{00000000-0005-0000-0000-0000A29C0000}"/>
    <cellStyle name="Normal 3 9 3 6 5" xfId="40093" xr:uid="{00000000-0005-0000-0000-0000A39C0000}"/>
    <cellStyle name="Normal 3 9 3 7" xfId="40094" xr:uid="{00000000-0005-0000-0000-0000A49C0000}"/>
    <cellStyle name="Normal 3 9 3 7 2" xfId="40095" xr:uid="{00000000-0005-0000-0000-0000A59C0000}"/>
    <cellStyle name="Normal 3 9 3 8" xfId="40096" xr:uid="{00000000-0005-0000-0000-0000A69C0000}"/>
    <cellStyle name="Normal 3 9 3 8 2" xfId="40097" xr:uid="{00000000-0005-0000-0000-0000A79C0000}"/>
    <cellStyle name="Normal 3 9 3 9" xfId="40098" xr:uid="{00000000-0005-0000-0000-0000A89C0000}"/>
    <cellStyle name="Normal 3 9 4" xfId="40099" xr:uid="{00000000-0005-0000-0000-0000A99C0000}"/>
    <cellStyle name="Normal 3 9 4 2" xfId="40100" xr:uid="{00000000-0005-0000-0000-0000AA9C0000}"/>
    <cellStyle name="Normal 3 9 4 2 2" xfId="40101" xr:uid="{00000000-0005-0000-0000-0000AB9C0000}"/>
    <cellStyle name="Normal 3 9 4 2 2 2" xfId="40102" xr:uid="{00000000-0005-0000-0000-0000AC9C0000}"/>
    <cellStyle name="Normal 3 9 4 2 2 2 2" xfId="40103" xr:uid="{00000000-0005-0000-0000-0000AD9C0000}"/>
    <cellStyle name="Normal 3 9 4 2 2 2 2 2" xfId="40104" xr:uid="{00000000-0005-0000-0000-0000AE9C0000}"/>
    <cellStyle name="Normal 3 9 4 2 2 2 2 2 2" xfId="40105" xr:uid="{00000000-0005-0000-0000-0000AF9C0000}"/>
    <cellStyle name="Normal 3 9 4 2 2 2 2 3" xfId="40106" xr:uid="{00000000-0005-0000-0000-0000B09C0000}"/>
    <cellStyle name="Normal 3 9 4 2 2 2 2 4" xfId="40107" xr:uid="{00000000-0005-0000-0000-0000B19C0000}"/>
    <cellStyle name="Normal 3 9 4 2 2 2 3" xfId="40108" xr:uid="{00000000-0005-0000-0000-0000B29C0000}"/>
    <cellStyle name="Normal 3 9 4 2 2 2 3 2" xfId="40109" xr:uid="{00000000-0005-0000-0000-0000B39C0000}"/>
    <cellStyle name="Normal 3 9 4 2 2 2 4" xfId="40110" xr:uid="{00000000-0005-0000-0000-0000B49C0000}"/>
    <cellStyle name="Normal 3 9 4 2 2 2 5" xfId="40111" xr:uid="{00000000-0005-0000-0000-0000B59C0000}"/>
    <cellStyle name="Normal 3 9 4 2 2 3" xfId="40112" xr:uid="{00000000-0005-0000-0000-0000B69C0000}"/>
    <cellStyle name="Normal 3 9 4 2 2 3 2" xfId="40113" xr:uid="{00000000-0005-0000-0000-0000B79C0000}"/>
    <cellStyle name="Normal 3 9 4 2 2 3 2 2" xfId="40114" xr:uid="{00000000-0005-0000-0000-0000B89C0000}"/>
    <cellStyle name="Normal 3 9 4 2 2 3 3" xfId="40115" xr:uid="{00000000-0005-0000-0000-0000B99C0000}"/>
    <cellStyle name="Normal 3 9 4 2 2 3 4" xfId="40116" xr:uid="{00000000-0005-0000-0000-0000BA9C0000}"/>
    <cellStyle name="Normal 3 9 4 2 2 4" xfId="40117" xr:uid="{00000000-0005-0000-0000-0000BB9C0000}"/>
    <cellStyle name="Normal 3 9 4 2 2 4 2" xfId="40118" xr:uid="{00000000-0005-0000-0000-0000BC9C0000}"/>
    <cellStyle name="Normal 3 9 4 2 2 5" xfId="40119" xr:uid="{00000000-0005-0000-0000-0000BD9C0000}"/>
    <cellStyle name="Normal 3 9 4 2 2 6" xfId="40120" xr:uid="{00000000-0005-0000-0000-0000BE9C0000}"/>
    <cellStyle name="Normal 3 9 4 2 3" xfId="40121" xr:uid="{00000000-0005-0000-0000-0000BF9C0000}"/>
    <cellStyle name="Normal 3 9 4 2 3 2" xfId="40122" xr:uid="{00000000-0005-0000-0000-0000C09C0000}"/>
    <cellStyle name="Normal 3 9 4 2 3 2 2" xfId="40123" xr:uid="{00000000-0005-0000-0000-0000C19C0000}"/>
    <cellStyle name="Normal 3 9 4 2 3 2 2 2" xfId="40124" xr:uid="{00000000-0005-0000-0000-0000C29C0000}"/>
    <cellStyle name="Normal 3 9 4 2 3 2 3" xfId="40125" xr:uid="{00000000-0005-0000-0000-0000C39C0000}"/>
    <cellStyle name="Normal 3 9 4 2 3 2 4" xfId="40126" xr:uid="{00000000-0005-0000-0000-0000C49C0000}"/>
    <cellStyle name="Normal 3 9 4 2 3 3" xfId="40127" xr:uid="{00000000-0005-0000-0000-0000C59C0000}"/>
    <cellStyle name="Normal 3 9 4 2 3 3 2" xfId="40128" xr:uid="{00000000-0005-0000-0000-0000C69C0000}"/>
    <cellStyle name="Normal 3 9 4 2 3 4" xfId="40129" xr:uid="{00000000-0005-0000-0000-0000C79C0000}"/>
    <cellStyle name="Normal 3 9 4 2 3 5" xfId="40130" xr:uid="{00000000-0005-0000-0000-0000C89C0000}"/>
    <cellStyle name="Normal 3 9 4 2 4" xfId="40131" xr:uid="{00000000-0005-0000-0000-0000C99C0000}"/>
    <cellStyle name="Normal 3 9 4 2 4 2" xfId="40132" xr:uid="{00000000-0005-0000-0000-0000CA9C0000}"/>
    <cellStyle name="Normal 3 9 4 2 4 2 2" xfId="40133" xr:uid="{00000000-0005-0000-0000-0000CB9C0000}"/>
    <cellStyle name="Normal 3 9 4 2 4 3" xfId="40134" xr:uid="{00000000-0005-0000-0000-0000CC9C0000}"/>
    <cellStyle name="Normal 3 9 4 2 4 4" xfId="40135" xr:uid="{00000000-0005-0000-0000-0000CD9C0000}"/>
    <cellStyle name="Normal 3 9 4 2 5" xfId="40136" xr:uid="{00000000-0005-0000-0000-0000CE9C0000}"/>
    <cellStyle name="Normal 3 9 4 2 5 2" xfId="40137" xr:uid="{00000000-0005-0000-0000-0000CF9C0000}"/>
    <cellStyle name="Normal 3 9 4 2 6" xfId="40138" xr:uid="{00000000-0005-0000-0000-0000D09C0000}"/>
    <cellStyle name="Normal 3 9 4 2 7" xfId="40139" xr:uid="{00000000-0005-0000-0000-0000D19C0000}"/>
    <cellStyle name="Normal 3 9 4 3" xfId="40140" xr:uid="{00000000-0005-0000-0000-0000D29C0000}"/>
    <cellStyle name="Normal 3 9 4 3 2" xfId="40141" xr:uid="{00000000-0005-0000-0000-0000D39C0000}"/>
    <cellStyle name="Normal 3 9 4 3 2 2" xfId="40142" xr:uid="{00000000-0005-0000-0000-0000D49C0000}"/>
    <cellStyle name="Normal 3 9 4 3 2 2 2" xfId="40143" xr:uid="{00000000-0005-0000-0000-0000D59C0000}"/>
    <cellStyle name="Normal 3 9 4 3 2 2 2 2" xfId="40144" xr:uid="{00000000-0005-0000-0000-0000D69C0000}"/>
    <cellStyle name="Normal 3 9 4 3 2 2 3" xfId="40145" xr:uid="{00000000-0005-0000-0000-0000D79C0000}"/>
    <cellStyle name="Normal 3 9 4 3 2 2 4" xfId="40146" xr:uid="{00000000-0005-0000-0000-0000D89C0000}"/>
    <cellStyle name="Normal 3 9 4 3 2 3" xfId="40147" xr:uid="{00000000-0005-0000-0000-0000D99C0000}"/>
    <cellStyle name="Normal 3 9 4 3 2 3 2" xfId="40148" xr:uid="{00000000-0005-0000-0000-0000DA9C0000}"/>
    <cellStyle name="Normal 3 9 4 3 2 4" xfId="40149" xr:uid="{00000000-0005-0000-0000-0000DB9C0000}"/>
    <cellStyle name="Normal 3 9 4 3 2 5" xfId="40150" xr:uid="{00000000-0005-0000-0000-0000DC9C0000}"/>
    <cellStyle name="Normal 3 9 4 3 3" xfId="40151" xr:uid="{00000000-0005-0000-0000-0000DD9C0000}"/>
    <cellStyle name="Normal 3 9 4 3 3 2" xfId="40152" xr:uid="{00000000-0005-0000-0000-0000DE9C0000}"/>
    <cellStyle name="Normal 3 9 4 3 3 2 2" xfId="40153" xr:uid="{00000000-0005-0000-0000-0000DF9C0000}"/>
    <cellStyle name="Normal 3 9 4 3 3 3" xfId="40154" xr:uid="{00000000-0005-0000-0000-0000E09C0000}"/>
    <cellStyle name="Normal 3 9 4 3 3 3 2" xfId="40155" xr:uid="{00000000-0005-0000-0000-0000E19C0000}"/>
    <cellStyle name="Normal 3 9 4 3 3 4" xfId="40156" xr:uid="{00000000-0005-0000-0000-0000E29C0000}"/>
    <cellStyle name="Normal 3 9 4 3 3 5" xfId="40157" xr:uid="{00000000-0005-0000-0000-0000E39C0000}"/>
    <cellStyle name="Normal 3 9 4 3 4" xfId="40158" xr:uid="{00000000-0005-0000-0000-0000E49C0000}"/>
    <cellStyle name="Normal 3 9 4 3 4 2" xfId="40159" xr:uid="{00000000-0005-0000-0000-0000E59C0000}"/>
    <cellStyle name="Normal 3 9 4 3 5" xfId="40160" xr:uid="{00000000-0005-0000-0000-0000E69C0000}"/>
    <cellStyle name="Normal 3 9 4 3 5 2" xfId="40161" xr:uid="{00000000-0005-0000-0000-0000E79C0000}"/>
    <cellStyle name="Normal 3 9 4 3 6" xfId="40162" xr:uid="{00000000-0005-0000-0000-0000E89C0000}"/>
    <cellStyle name="Normal 3 9 4 3 7" xfId="40163" xr:uid="{00000000-0005-0000-0000-0000E99C0000}"/>
    <cellStyle name="Normal 3 9 4 4" xfId="40164" xr:uid="{00000000-0005-0000-0000-0000EA9C0000}"/>
    <cellStyle name="Normal 3 9 4 4 2" xfId="40165" xr:uid="{00000000-0005-0000-0000-0000EB9C0000}"/>
    <cellStyle name="Normal 3 9 4 4 2 2" xfId="40166" xr:uid="{00000000-0005-0000-0000-0000EC9C0000}"/>
    <cellStyle name="Normal 3 9 4 4 2 2 2" xfId="40167" xr:uid="{00000000-0005-0000-0000-0000ED9C0000}"/>
    <cellStyle name="Normal 3 9 4 4 2 3" xfId="40168" xr:uid="{00000000-0005-0000-0000-0000EE9C0000}"/>
    <cellStyle name="Normal 3 9 4 4 2 4" xfId="40169" xr:uid="{00000000-0005-0000-0000-0000EF9C0000}"/>
    <cellStyle name="Normal 3 9 4 4 3" xfId="40170" xr:uid="{00000000-0005-0000-0000-0000F09C0000}"/>
    <cellStyle name="Normal 3 9 4 4 3 2" xfId="40171" xr:uid="{00000000-0005-0000-0000-0000F19C0000}"/>
    <cellStyle name="Normal 3 9 4 4 4" xfId="40172" xr:uid="{00000000-0005-0000-0000-0000F29C0000}"/>
    <cellStyle name="Normal 3 9 4 4 5" xfId="40173" xr:uid="{00000000-0005-0000-0000-0000F39C0000}"/>
    <cellStyle name="Normal 3 9 4 5" xfId="40174" xr:uid="{00000000-0005-0000-0000-0000F49C0000}"/>
    <cellStyle name="Normal 3 9 4 5 2" xfId="40175" xr:uid="{00000000-0005-0000-0000-0000F59C0000}"/>
    <cellStyle name="Normal 3 9 4 5 2 2" xfId="40176" xr:uid="{00000000-0005-0000-0000-0000F69C0000}"/>
    <cellStyle name="Normal 3 9 4 5 3" xfId="40177" xr:uid="{00000000-0005-0000-0000-0000F79C0000}"/>
    <cellStyle name="Normal 3 9 4 5 3 2" xfId="40178" xr:uid="{00000000-0005-0000-0000-0000F89C0000}"/>
    <cellStyle name="Normal 3 9 4 5 4" xfId="40179" xr:uid="{00000000-0005-0000-0000-0000F99C0000}"/>
    <cellStyle name="Normal 3 9 4 5 5" xfId="40180" xr:uid="{00000000-0005-0000-0000-0000FA9C0000}"/>
    <cellStyle name="Normal 3 9 4 6" xfId="40181" xr:uid="{00000000-0005-0000-0000-0000FB9C0000}"/>
    <cellStyle name="Normal 3 9 4 6 2" xfId="40182" xr:uid="{00000000-0005-0000-0000-0000FC9C0000}"/>
    <cellStyle name="Normal 3 9 4 7" xfId="40183" xr:uid="{00000000-0005-0000-0000-0000FD9C0000}"/>
    <cellStyle name="Normal 3 9 4 7 2" xfId="40184" xr:uid="{00000000-0005-0000-0000-0000FE9C0000}"/>
    <cellStyle name="Normal 3 9 4 8" xfId="40185" xr:uid="{00000000-0005-0000-0000-0000FF9C0000}"/>
    <cellStyle name="Normal 3 9 4 9" xfId="40186" xr:uid="{00000000-0005-0000-0000-0000009D0000}"/>
    <cellStyle name="Normal 3 9 5" xfId="40187" xr:uid="{00000000-0005-0000-0000-0000019D0000}"/>
    <cellStyle name="Normal 3 9 5 2" xfId="40188" xr:uid="{00000000-0005-0000-0000-0000029D0000}"/>
    <cellStyle name="Normal 3 9 5 2 2" xfId="40189" xr:uid="{00000000-0005-0000-0000-0000039D0000}"/>
    <cellStyle name="Normal 3 9 5 2 2 2" xfId="40190" xr:uid="{00000000-0005-0000-0000-0000049D0000}"/>
    <cellStyle name="Normal 3 9 5 2 2 2 2" xfId="40191" xr:uid="{00000000-0005-0000-0000-0000059D0000}"/>
    <cellStyle name="Normal 3 9 5 2 2 2 2 2" xfId="40192" xr:uid="{00000000-0005-0000-0000-0000069D0000}"/>
    <cellStyle name="Normal 3 9 5 2 2 2 3" xfId="40193" xr:uid="{00000000-0005-0000-0000-0000079D0000}"/>
    <cellStyle name="Normal 3 9 5 2 2 2 4" xfId="40194" xr:uid="{00000000-0005-0000-0000-0000089D0000}"/>
    <cellStyle name="Normal 3 9 5 2 2 3" xfId="40195" xr:uid="{00000000-0005-0000-0000-0000099D0000}"/>
    <cellStyle name="Normal 3 9 5 2 2 3 2" xfId="40196" xr:uid="{00000000-0005-0000-0000-00000A9D0000}"/>
    <cellStyle name="Normal 3 9 5 2 2 4" xfId="40197" xr:uid="{00000000-0005-0000-0000-00000B9D0000}"/>
    <cellStyle name="Normal 3 9 5 2 2 5" xfId="40198" xr:uid="{00000000-0005-0000-0000-00000C9D0000}"/>
    <cellStyle name="Normal 3 9 5 2 3" xfId="40199" xr:uid="{00000000-0005-0000-0000-00000D9D0000}"/>
    <cellStyle name="Normal 3 9 5 2 3 2" xfId="40200" xr:uid="{00000000-0005-0000-0000-00000E9D0000}"/>
    <cellStyle name="Normal 3 9 5 2 3 2 2" xfId="40201" xr:uid="{00000000-0005-0000-0000-00000F9D0000}"/>
    <cellStyle name="Normal 3 9 5 2 3 3" xfId="40202" xr:uid="{00000000-0005-0000-0000-0000109D0000}"/>
    <cellStyle name="Normal 3 9 5 2 3 3 2" xfId="40203" xr:uid="{00000000-0005-0000-0000-0000119D0000}"/>
    <cellStyle name="Normal 3 9 5 2 3 4" xfId="40204" xr:uid="{00000000-0005-0000-0000-0000129D0000}"/>
    <cellStyle name="Normal 3 9 5 2 3 5" xfId="40205" xr:uid="{00000000-0005-0000-0000-0000139D0000}"/>
    <cellStyle name="Normal 3 9 5 2 4" xfId="40206" xr:uid="{00000000-0005-0000-0000-0000149D0000}"/>
    <cellStyle name="Normal 3 9 5 2 4 2" xfId="40207" xr:uid="{00000000-0005-0000-0000-0000159D0000}"/>
    <cellStyle name="Normal 3 9 5 2 5" xfId="40208" xr:uid="{00000000-0005-0000-0000-0000169D0000}"/>
    <cellStyle name="Normal 3 9 5 2 5 2" xfId="40209" xr:uid="{00000000-0005-0000-0000-0000179D0000}"/>
    <cellStyle name="Normal 3 9 5 2 6" xfId="40210" xr:uid="{00000000-0005-0000-0000-0000189D0000}"/>
    <cellStyle name="Normal 3 9 5 2 7" xfId="40211" xr:uid="{00000000-0005-0000-0000-0000199D0000}"/>
    <cellStyle name="Normal 3 9 5 3" xfId="40212" xr:uid="{00000000-0005-0000-0000-00001A9D0000}"/>
    <cellStyle name="Normal 3 9 5 3 2" xfId="40213" xr:uid="{00000000-0005-0000-0000-00001B9D0000}"/>
    <cellStyle name="Normal 3 9 5 3 2 2" xfId="40214" xr:uid="{00000000-0005-0000-0000-00001C9D0000}"/>
    <cellStyle name="Normal 3 9 5 3 2 2 2" xfId="40215" xr:uid="{00000000-0005-0000-0000-00001D9D0000}"/>
    <cellStyle name="Normal 3 9 5 3 2 3" xfId="40216" xr:uid="{00000000-0005-0000-0000-00001E9D0000}"/>
    <cellStyle name="Normal 3 9 5 3 2 4" xfId="40217" xr:uid="{00000000-0005-0000-0000-00001F9D0000}"/>
    <cellStyle name="Normal 3 9 5 3 3" xfId="40218" xr:uid="{00000000-0005-0000-0000-0000209D0000}"/>
    <cellStyle name="Normal 3 9 5 3 3 2" xfId="40219" xr:uid="{00000000-0005-0000-0000-0000219D0000}"/>
    <cellStyle name="Normal 3 9 5 3 4" xfId="40220" xr:uid="{00000000-0005-0000-0000-0000229D0000}"/>
    <cellStyle name="Normal 3 9 5 3 5" xfId="40221" xr:uid="{00000000-0005-0000-0000-0000239D0000}"/>
    <cellStyle name="Normal 3 9 5 4" xfId="40222" xr:uid="{00000000-0005-0000-0000-0000249D0000}"/>
    <cellStyle name="Normal 3 9 5 4 2" xfId="40223" xr:uid="{00000000-0005-0000-0000-0000259D0000}"/>
    <cellStyle name="Normal 3 9 5 4 2 2" xfId="40224" xr:uid="{00000000-0005-0000-0000-0000269D0000}"/>
    <cellStyle name="Normal 3 9 5 4 3" xfId="40225" xr:uid="{00000000-0005-0000-0000-0000279D0000}"/>
    <cellStyle name="Normal 3 9 5 4 3 2" xfId="40226" xr:uid="{00000000-0005-0000-0000-0000289D0000}"/>
    <cellStyle name="Normal 3 9 5 4 4" xfId="40227" xr:uid="{00000000-0005-0000-0000-0000299D0000}"/>
    <cellStyle name="Normal 3 9 5 4 5" xfId="40228" xr:uid="{00000000-0005-0000-0000-00002A9D0000}"/>
    <cellStyle name="Normal 3 9 5 5" xfId="40229" xr:uid="{00000000-0005-0000-0000-00002B9D0000}"/>
    <cellStyle name="Normal 3 9 5 5 2" xfId="40230" xr:uid="{00000000-0005-0000-0000-00002C9D0000}"/>
    <cellStyle name="Normal 3 9 5 6" xfId="40231" xr:uid="{00000000-0005-0000-0000-00002D9D0000}"/>
    <cellStyle name="Normal 3 9 5 6 2" xfId="40232" xr:uid="{00000000-0005-0000-0000-00002E9D0000}"/>
    <cellStyle name="Normal 3 9 5 7" xfId="40233" xr:uid="{00000000-0005-0000-0000-00002F9D0000}"/>
    <cellStyle name="Normal 3 9 5 8" xfId="40234" xr:uid="{00000000-0005-0000-0000-0000309D0000}"/>
    <cellStyle name="Normal 3 9 6" xfId="40235" xr:uid="{00000000-0005-0000-0000-0000319D0000}"/>
    <cellStyle name="Normal 3 9 6 2" xfId="40236" xr:uid="{00000000-0005-0000-0000-0000329D0000}"/>
    <cellStyle name="Normal 3 9 6 2 2" xfId="40237" xr:uid="{00000000-0005-0000-0000-0000339D0000}"/>
    <cellStyle name="Normal 3 9 6 2 2 2" xfId="40238" xr:uid="{00000000-0005-0000-0000-0000349D0000}"/>
    <cellStyle name="Normal 3 9 6 2 2 2 2" xfId="40239" xr:uid="{00000000-0005-0000-0000-0000359D0000}"/>
    <cellStyle name="Normal 3 9 6 2 2 3" xfId="40240" xr:uid="{00000000-0005-0000-0000-0000369D0000}"/>
    <cellStyle name="Normal 3 9 6 2 2 4" xfId="40241" xr:uid="{00000000-0005-0000-0000-0000379D0000}"/>
    <cellStyle name="Normal 3 9 6 2 3" xfId="40242" xr:uid="{00000000-0005-0000-0000-0000389D0000}"/>
    <cellStyle name="Normal 3 9 6 2 3 2" xfId="40243" xr:uid="{00000000-0005-0000-0000-0000399D0000}"/>
    <cellStyle name="Normal 3 9 6 2 4" xfId="40244" xr:uid="{00000000-0005-0000-0000-00003A9D0000}"/>
    <cellStyle name="Normal 3 9 6 2 5" xfId="40245" xr:uid="{00000000-0005-0000-0000-00003B9D0000}"/>
    <cellStyle name="Normal 3 9 6 3" xfId="40246" xr:uid="{00000000-0005-0000-0000-00003C9D0000}"/>
    <cellStyle name="Normal 3 9 6 3 2" xfId="40247" xr:uid="{00000000-0005-0000-0000-00003D9D0000}"/>
    <cellStyle name="Normal 3 9 6 3 2 2" xfId="40248" xr:uid="{00000000-0005-0000-0000-00003E9D0000}"/>
    <cellStyle name="Normal 3 9 6 3 3" xfId="40249" xr:uid="{00000000-0005-0000-0000-00003F9D0000}"/>
    <cellStyle name="Normal 3 9 6 3 3 2" xfId="40250" xr:uid="{00000000-0005-0000-0000-0000409D0000}"/>
    <cellStyle name="Normal 3 9 6 3 4" xfId="40251" xr:uid="{00000000-0005-0000-0000-0000419D0000}"/>
    <cellStyle name="Normal 3 9 6 3 5" xfId="40252" xr:uid="{00000000-0005-0000-0000-0000429D0000}"/>
    <cellStyle name="Normal 3 9 6 4" xfId="40253" xr:uid="{00000000-0005-0000-0000-0000439D0000}"/>
    <cellStyle name="Normal 3 9 6 4 2" xfId="40254" xr:uid="{00000000-0005-0000-0000-0000449D0000}"/>
    <cellStyle name="Normal 3 9 6 5" xfId="40255" xr:uid="{00000000-0005-0000-0000-0000459D0000}"/>
    <cellStyle name="Normal 3 9 6 5 2" xfId="40256" xr:uid="{00000000-0005-0000-0000-0000469D0000}"/>
    <cellStyle name="Normal 3 9 6 6" xfId="40257" xr:uid="{00000000-0005-0000-0000-0000479D0000}"/>
    <cellStyle name="Normal 3 9 6 7" xfId="40258" xr:uid="{00000000-0005-0000-0000-0000489D0000}"/>
    <cellStyle name="Normal 3 9 7" xfId="40259" xr:uid="{00000000-0005-0000-0000-0000499D0000}"/>
    <cellStyle name="Normal 3 9 7 2" xfId="40260" xr:uid="{00000000-0005-0000-0000-00004A9D0000}"/>
    <cellStyle name="Normal 3 9 7 2 2" xfId="40261" xr:uid="{00000000-0005-0000-0000-00004B9D0000}"/>
    <cellStyle name="Normal 3 9 7 2 2 2" xfId="40262" xr:uid="{00000000-0005-0000-0000-00004C9D0000}"/>
    <cellStyle name="Normal 3 9 7 2 3" xfId="40263" xr:uid="{00000000-0005-0000-0000-00004D9D0000}"/>
    <cellStyle name="Normal 3 9 7 2 4" xfId="40264" xr:uid="{00000000-0005-0000-0000-00004E9D0000}"/>
    <cellStyle name="Normal 3 9 7 3" xfId="40265" xr:uid="{00000000-0005-0000-0000-00004F9D0000}"/>
    <cellStyle name="Normal 3 9 7 3 2" xfId="40266" xr:uid="{00000000-0005-0000-0000-0000509D0000}"/>
    <cellStyle name="Normal 3 9 7 4" xfId="40267" xr:uid="{00000000-0005-0000-0000-0000519D0000}"/>
    <cellStyle name="Normal 3 9 7 5" xfId="40268" xr:uid="{00000000-0005-0000-0000-0000529D0000}"/>
    <cellStyle name="Normal 3 9 8" xfId="40269" xr:uid="{00000000-0005-0000-0000-0000539D0000}"/>
    <cellStyle name="Normal 3 9 8 2" xfId="40270" xr:uid="{00000000-0005-0000-0000-0000549D0000}"/>
    <cellStyle name="Normal 3 9 8 2 2" xfId="40271" xr:uid="{00000000-0005-0000-0000-0000559D0000}"/>
    <cellStyle name="Normal 3 9 8 3" xfId="40272" xr:uid="{00000000-0005-0000-0000-0000569D0000}"/>
    <cellStyle name="Normal 3 9 8 3 2" xfId="40273" xr:uid="{00000000-0005-0000-0000-0000579D0000}"/>
    <cellStyle name="Normal 3 9 8 4" xfId="40274" xr:uid="{00000000-0005-0000-0000-0000589D0000}"/>
    <cellStyle name="Normal 3 9 8 5" xfId="40275" xr:uid="{00000000-0005-0000-0000-0000599D0000}"/>
    <cellStyle name="Normal 3 9 9" xfId="40276" xr:uid="{00000000-0005-0000-0000-00005A9D0000}"/>
    <cellStyle name="Normal 3 9 9 2" xfId="40277" xr:uid="{00000000-0005-0000-0000-00005B9D0000}"/>
    <cellStyle name="Normal 3_2010-06 Consumos Repsol" xfId="40278" xr:uid="{00000000-0005-0000-0000-00005C9D0000}"/>
    <cellStyle name="Normal 30" xfId="40279" xr:uid="{00000000-0005-0000-0000-00005D9D0000}"/>
    <cellStyle name="Normal 30 10" xfId="40280" xr:uid="{00000000-0005-0000-0000-00005E9D0000}"/>
    <cellStyle name="Normal 30 10 2" xfId="40281" xr:uid="{00000000-0005-0000-0000-00005F9D0000}"/>
    <cellStyle name="Normal 30 11" xfId="40282" xr:uid="{00000000-0005-0000-0000-0000609D0000}"/>
    <cellStyle name="Normal 30 11 2" xfId="40283" xr:uid="{00000000-0005-0000-0000-0000619D0000}"/>
    <cellStyle name="Normal 30 12" xfId="40284" xr:uid="{00000000-0005-0000-0000-0000629D0000}"/>
    <cellStyle name="Normal 30 12 2" xfId="40285" xr:uid="{00000000-0005-0000-0000-0000639D0000}"/>
    <cellStyle name="Normal 30 13" xfId="40286" xr:uid="{00000000-0005-0000-0000-0000649D0000}"/>
    <cellStyle name="Normal 30 13 2" xfId="40287" xr:uid="{00000000-0005-0000-0000-0000659D0000}"/>
    <cellStyle name="Normal 30 14" xfId="40288" xr:uid="{00000000-0005-0000-0000-0000669D0000}"/>
    <cellStyle name="Normal 30 14 2" xfId="40289" xr:uid="{00000000-0005-0000-0000-0000679D0000}"/>
    <cellStyle name="Normal 30 15" xfId="40290" xr:uid="{00000000-0005-0000-0000-0000689D0000}"/>
    <cellStyle name="Normal 30 15 2" xfId="40291" xr:uid="{00000000-0005-0000-0000-0000699D0000}"/>
    <cellStyle name="Normal 30 16" xfId="40292" xr:uid="{00000000-0005-0000-0000-00006A9D0000}"/>
    <cellStyle name="Normal 30 16 2" xfId="40293" xr:uid="{00000000-0005-0000-0000-00006B9D0000}"/>
    <cellStyle name="Normal 30 17" xfId="40294" xr:uid="{00000000-0005-0000-0000-00006C9D0000}"/>
    <cellStyle name="Normal 30 17 2" xfId="40295" xr:uid="{00000000-0005-0000-0000-00006D9D0000}"/>
    <cellStyle name="Normal 30 18" xfId="40296" xr:uid="{00000000-0005-0000-0000-00006E9D0000}"/>
    <cellStyle name="Normal 30 18 2" xfId="40297" xr:uid="{00000000-0005-0000-0000-00006F9D0000}"/>
    <cellStyle name="Normal 30 19" xfId="40298" xr:uid="{00000000-0005-0000-0000-0000709D0000}"/>
    <cellStyle name="Normal 30 19 2" xfId="40299" xr:uid="{00000000-0005-0000-0000-0000719D0000}"/>
    <cellStyle name="Normal 30 2" xfId="40300" xr:uid="{00000000-0005-0000-0000-0000729D0000}"/>
    <cellStyle name="Normal 30 2 2" xfId="40301" xr:uid="{00000000-0005-0000-0000-0000739D0000}"/>
    <cellStyle name="Normal 30 20" xfId="40302" xr:uid="{00000000-0005-0000-0000-0000749D0000}"/>
    <cellStyle name="Normal 30 20 2" xfId="40303" xr:uid="{00000000-0005-0000-0000-0000759D0000}"/>
    <cellStyle name="Normal 30 21" xfId="40304" xr:uid="{00000000-0005-0000-0000-0000769D0000}"/>
    <cellStyle name="Normal 30 21 2" xfId="40305" xr:uid="{00000000-0005-0000-0000-0000779D0000}"/>
    <cellStyle name="Normal 30 22" xfId="40306" xr:uid="{00000000-0005-0000-0000-0000789D0000}"/>
    <cellStyle name="Normal 30 22 2" xfId="40307" xr:uid="{00000000-0005-0000-0000-0000799D0000}"/>
    <cellStyle name="Normal 30 23" xfId="40308" xr:uid="{00000000-0005-0000-0000-00007A9D0000}"/>
    <cellStyle name="Normal 30 23 2" xfId="40309" xr:uid="{00000000-0005-0000-0000-00007B9D0000}"/>
    <cellStyle name="Normal 30 24" xfId="40310" xr:uid="{00000000-0005-0000-0000-00007C9D0000}"/>
    <cellStyle name="Normal 30 24 2" xfId="40311" xr:uid="{00000000-0005-0000-0000-00007D9D0000}"/>
    <cellStyle name="Normal 30 25" xfId="40312" xr:uid="{00000000-0005-0000-0000-00007E9D0000}"/>
    <cellStyle name="Normal 30 25 2" xfId="40313" xr:uid="{00000000-0005-0000-0000-00007F9D0000}"/>
    <cellStyle name="Normal 30 26" xfId="40314" xr:uid="{00000000-0005-0000-0000-0000809D0000}"/>
    <cellStyle name="Normal 30 26 2" xfId="40315" xr:uid="{00000000-0005-0000-0000-0000819D0000}"/>
    <cellStyle name="Normal 30 27" xfId="40316" xr:uid="{00000000-0005-0000-0000-0000829D0000}"/>
    <cellStyle name="Normal 30 27 2" xfId="40317" xr:uid="{00000000-0005-0000-0000-0000839D0000}"/>
    <cellStyle name="Normal 30 28" xfId="40318" xr:uid="{00000000-0005-0000-0000-0000849D0000}"/>
    <cellStyle name="Normal 30 28 2" xfId="40319" xr:uid="{00000000-0005-0000-0000-0000859D0000}"/>
    <cellStyle name="Normal 30 29" xfId="40320" xr:uid="{00000000-0005-0000-0000-0000869D0000}"/>
    <cellStyle name="Normal 30 29 2" xfId="40321" xr:uid="{00000000-0005-0000-0000-0000879D0000}"/>
    <cellStyle name="Normal 30 3" xfId="40322" xr:uid="{00000000-0005-0000-0000-0000889D0000}"/>
    <cellStyle name="Normal 30 3 2" xfId="40323" xr:uid="{00000000-0005-0000-0000-0000899D0000}"/>
    <cellStyle name="Normal 30 30" xfId="40324" xr:uid="{00000000-0005-0000-0000-00008A9D0000}"/>
    <cellStyle name="Normal 30 30 2" xfId="40325" xr:uid="{00000000-0005-0000-0000-00008B9D0000}"/>
    <cellStyle name="Normal 30 31" xfId="40326" xr:uid="{00000000-0005-0000-0000-00008C9D0000}"/>
    <cellStyle name="Normal 30 31 2" xfId="40327" xr:uid="{00000000-0005-0000-0000-00008D9D0000}"/>
    <cellStyle name="Normal 30 32" xfId="40328" xr:uid="{00000000-0005-0000-0000-00008E9D0000}"/>
    <cellStyle name="Normal 30 32 2" xfId="40329" xr:uid="{00000000-0005-0000-0000-00008F9D0000}"/>
    <cellStyle name="Normal 30 33" xfId="40330" xr:uid="{00000000-0005-0000-0000-0000909D0000}"/>
    <cellStyle name="Normal 30 33 2" xfId="40331" xr:uid="{00000000-0005-0000-0000-0000919D0000}"/>
    <cellStyle name="Normal 30 34" xfId="40332" xr:uid="{00000000-0005-0000-0000-0000929D0000}"/>
    <cellStyle name="Normal 30 34 2" xfId="40333" xr:uid="{00000000-0005-0000-0000-0000939D0000}"/>
    <cellStyle name="Normal 30 35" xfId="40334" xr:uid="{00000000-0005-0000-0000-0000949D0000}"/>
    <cellStyle name="Normal 30 35 2" xfId="40335" xr:uid="{00000000-0005-0000-0000-0000959D0000}"/>
    <cellStyle name="Normal 30 36" xfId="40336" xr:uid="{00000000-0005-0000-0000-0000969D0000}"/>
    <cellStyle name="Normal 30 36 2" xfId="40337" xr:uid="{00000000-0005-0000-0000-0000979D0000}"/>
    <cellStyle name="Normal 30 37" xfId="40338" xr:uid="{00000000-0005-0000-0000-0000989D0000}"/>
    <cellStyle name="Normal 30 37 2" xfId="40339" xr:uid="{00000000-0005-0000-0000-0000999D0000}"/>
    <cellStyle name="Normal 30 38" xfId="40340" xr:uid="{00000000-0005-0000-0000-00009A9D0000}"/>
    <cellStyle name="Normal 30 38 2" xfId="40341" xr:uid="{00000000-0005-0000-0000-00009B9D0000}"/>
    <cellStyle name="Normal 30 39" xfId="40342" xr:uid="{00000000-0005-0000-0000-00009C9D0000}"/>
    <cellStyle name="Normal 30 39 2" xfId="40343" xr:uid="{00000000-0005-0000-0000-00009D9D0000}"/>
    <cellStyle name="Normal 30 4" xfId="40344" xr:uid="{00000000-0005-0000-0000-00009E9D0000}"/>
    <cellStyle name="Normal 30 4 2" xfId="40345" xr:uid="{00000000-0005-0000-0000-00009F9D0000}"/>
    <cellStyle name="Normal 30 40" xfId="40346" xr:uid="{00000000-0005-0000-0000-0000A09D0000}"/>
    <cellStyle name="Normal 30 40 2" xfId="40347" xr:uid="{00000000-0005-0000-0000-0000A19D0000}"/>
    <cellStyle name="Normal 30 41" xfId="40348" xr:uid="{00000000-0005-0000-0000-0000A29D0000}"/>
    <cellStyle name="Normal 30 41 2" xfId="40349" xr:uid="{00000000-0005-0000-0000-0000A39D0000}"/>
    <cellStyle name="Normal 30 42" xfId="40350" xr:uid="{00000000-0005-0000-0000-0000A49D0000}"/>
    <cellStyle name="Normal 30 42 2" xfId="40351" xr:uid="{00000000-0005-0000-0000-0000A59D0000}"/>
    <cellStyle name="Normal 30 43" xfId="40352" xr:uid="{00000000-0005-0000-0000-0000A69D0000}"/>
    <cellStyle name="Normal 30 43 2" xfId="40353" xr:uid="{00000000-0005-0000-0000-0000A79D0000}"/>
    <cellStyle name="Normal 30 44" xfId="40354" xr:uid="{00000000-0005-0000-0000-0000A89D0000}"/>
    <cellStyle name="Normal 30 44 2" xfId="40355" xr:uid="{00000000-0005-0000-0000-0000A99D0000}"/>
    <cellStyle name="Normal 30 45" xfId="40356" xr:uid="{00000000-0005-0000-0000-0000AA9D0000}"/>
    <cellStyle name="Normal 30 45 2" xfId="40357" xr:uid="{00000000-0005-0000-0000-0000AB9D0000}"/>
    <cellStyle name="Normal 30 46" xfId="40358" xr:uid="{00000000-0005-0000-0000-0000AC9D0000}"/>
    <cellStyle name="Normal 30 46 2" xfId="40359" xr:uid="{00000000-0005-0000-0000-0000AD9D0000}"/>
    <cellStyle name="Normal 30 47" xfId="40360" xr:uid="{00000000-0005-0000-0000-0000AE9D0000}"/>
    <cellStyle name="Normal 30 47 2" xfId="40361" xr:uid="{00000000-0005-0000-0000-0000AF9D0000}"/>
    <cellStyle name="Normal 30 48" xfId="40362" xr:uid="{00000000-0005-0000-0000-0000B09D0000}"/>
    <cellStyle name="Normal 30 48 2" xfId="40363" xr:uid="{00000000-0005-0000-0000-0000B19D0000}"/>
    <cellStyle name="Normal 30 49" xfId="40364" xr:uid="{00000000-0005-0000-0000-0000B29D0000}"/>
    <cellStyle name="Normal 30 49 2" xfId="40365" xr:uid="{00000000-0005-0000-0000-0000B39D0000}"/>
    <cellStyle name="Normal 30 5" xfId="40366" xr:uid="{00000000-0005-0000-0000-0000B49D0000}"/>
    <cellStyle name="Normal 30 5 2" xfId="40367" xr:uid="{00000000-0005-0000-0000-0000B59D0000}"/>
    <cellStyle name="Normal 30 50" xfId="40368" xr:uid="{00000000-0005-0000-0000-0000B69D0000}"/>
    <cellStyle name="Normal 30 50 2" xfId="40369" xr:uid="{00000000-0005-0000-0000-0000B79D0000}"/>
    <cellStyle name="Normal 30 51" xfId="40370" xr:uid="{00000000-0005-0000-0000-0000B89D0000}"/>
    <cellStyle name="Normal 30 51 2" xfId="40371" xr:uid="{00000000-0005-0000-0000-0000B99D0000}"/>
    <cellStyle name="Normal 30 52" xfId="40372" xr:uid="{00000000-0005-0000-0000-0000BA9D0000}"/>
    <cellStyle name="Normal 30 52 2" xfId="40373" xr:uid="{00000000-0005-0000-0000-0000BB9D0000}"/>
    <cellStyle name="Normal 30 53" xfId="40374" xr:uid="{00000000-0005-0000-0000-0000BC9D0000}"/>
    <cellStyle name="Normal 30 53 2" xfId="40375" xr:uid="{00000000-0005-0000-0000-0000BD9D0000}"/>
    <cellStyle name="Normal 30 54" xfId="40376" xr:uid="{00000000-0005-0000-0000-0000BE9D0000}"/>
    <cellStyle name="Normal 30 54 2" xfId="40377" xr:uid="{00000000-0005-0000-0000-0000BF9D0000}"/>
    <cellStyle name="Normal 30 55" xfId="40378" xr:uid="{00000000-0005-0000-0000-0000C09D0000}"/>
    <cellStyle name="Normal 30 55 2" xfId="40379" xr:uid="{00000000-0005-0000-0000-0000C19D0000}"/>
    <cellStyle name="Normal 30 56" xfId="40380" xr:uid="{00000000-0005-0000-0000-0000C29D0000}"/>
    <cellStyle name="Normal 30 56 2" xfId="40381" xr:uid="{00000000-0005-0000-0000-0000C39D0000}"/>
    <cellStyle name="Normal 30 57" xfId="40382" xr:uid="{00000000-0005-0000-0000-0000C49D0000}"/>
    <cellStyle name="Normal 30 57 2" xfId="40383" xr:uid="{00000000-0005-0000-0000-0000C59D0000}"/>
    <cellStyle name="Normal 30 58" xfId="40384" xr:uid="{00000000-0005-0000-0000-0000C69D0000}"/>
    <cellStyle name="Normal 30 58 2" xfId="40385" xr:uid="{00000000-0005-0000-0000-0000C79D0000}"/>
    <cellStyle name="Normal 30 59" xfId="40386" xr:uid="{00000000-0005-0000-0000-0000C89D0000}"/>
    <cellStyle name="Normal 30 6" xfId="40387" xr:uid="{00000000-0005-0000-0000-0000C99D0000}"/>
    <cellStyle name="Normal 30 6 2" xfId="40388" xr:uid="{00000000-0005-0000-0000-0000CA9D0000}"/>
    <cellStyle name="Normal 30 60" xfId="40389" xr:uid="{00000000-0005-0000-0000-0000CB9D0000}"/>
    <cellStyle name="Normal 30 7" xfId="40390" xr:uid="{00000000-0005-0000-0000-0000CC9D0000}"/>
    <cellStyle name="Normal 30 7 2" xfId="40391" xr:uid="{00000000-0005-0000-0000-0000CD9D0000}"/>
    <cellStyle name="Normal 30 8" xfId="40392" xr:uid="{00000000-0005-0000-0000-0000CE9D0000}"/>
    <cellStyle name="Normal 30 8 2" xfId="40393" xr:uid="{00000000-0005-0000-0000-0000CF9D0000}"/>
    <cellStyle name="Normal 30 9" xfId="40394" xr:uid="{00000000-0005-0000-0000-0000D09D0000}"/>
    <cellStyle name="Normal 30 9 2" xfId="40395" xr:uid="{00000000-0005-0000-0000-0000D19D0000}"/>
    <cellStyle name="Normal 300" xfId="40396" xr:uid="{00000000-0005-0000-0000-0000D29D0000}"/>
    <cellStyle name="Normal 301" xfId="40397" xr:uid="{00000000-0005-0000-0000-0000D39D0000}"/>
    <cellStyle name="Normal 302" xfId="40398" xr:uid="{00000000-0005-0000-0000-0000D49D0000}"/>
    <cellStyle name="Normal 302 10" xfId="40399" xr:uid="{00000000-0005-0000-0000-0000D59D0000}"/>
    <cellStyle name="Normal 302 10 2" xfId="40400" xr:uid="{00000000-0005-0000-0000-0000D69D0000}"/>
    <cellStyle name="Normal 302 11" xfId="40401" xr:uid="{00000000-0005-0000-0000-0000D79D0000}"/>
    <cellStyle name="Normal 302 11 2" xfId="40402" xr:uid="{00000000-0005-0000-0000-0000D89D0000}"/>
    <cellStyle name="Normal 302 12" xfId="40403" xr:uid="{00000000-0005-0000-0000-0000D99D0000}"/>
    <cellStyle name="Normal 302 12 2" xfId="40404" xr:uid="{00000000-0005-0000-0000-0000DA9D0000}"/>
    <cellStyle name="Normal 302 13" xfId="40405" xr:uid="{00000000-0005-0000-0000-0000DB9D0000}"/>
    <cellStyle name="Normal 302 13 2" xfId="40406" xr:uid="{00000000-0005-0000-0000-0000DC9D0000}"/>
    <cellStyle name="Normal 302 14" xfId="40407" xr:uid="{00000000-0005-0000-0000-0000DD9D0000}"/>
    <cellStyle name="Normal 302 14 2" xfId="40408" xr:uid="{00000000-0005-0000-0000-0000DE9D0000}"/>
    <cellStyle name="Normal 302 15" xfId="40409" xr:uid="{00000000-0005-0000-0000-0000DF9D0000}"/>
    <cellStyle name="Normal 302 15 2" xfId="40410" xr:uid="{00000000-0005-0000-0000-0000E09D0000}"/>
    <cellStyle name="Normal 302 16" xfId="40411" xr:uid="{00000000-0005-0000-0000-0000E19D0000}"/>
    <cellStyle name="Normal 302 16 2" xfId="40412" xr:uid="{00000000-0005-0000-0000-0000E29D0000}"/>
    <cellStyle name="Normal 302 17" xfId="40413" xr:uid="{00000000-0005-0000-0000-0000E39D0000}"/>
    <cellStyle name="Normal 302 17 2" xfId="40414" xr:uid="{00000000-0005-0000-0000-0000E49D0000}"/>
    <cellStyle name="Normal 302 18" xfId="40415" xr:uid="{00000000-0005-0000-0000-0000E59D0000}"/>
    <cellStyle name="Normal 302 18 2" xfId="40416" xr:uid="{00000000-0005-0000-0000-0000E69D0000}"/>
    <cellStyle name="Normal 302 19" xfId="40417" xr:uid="{00000000-0005-0000-0000-0000E79D0000}"/>
    <cellStyle name="Normal 302 19 2" xfId="40418" xr:uid="{00000000-0005-0000-0000-0000E89D0000}"/>
    <cellStyle name="Normal 302 2" xfId="40419" xr:uid="{00000000-0005-0000-0000-0000E99D0000}"/>
    <cellStyle name="Normal 302 2 2" xfId="40420" xr:uid="{00000000-0005-0000-0000-0000EA9D0000}"/>
    <cellStyle name="Normal 302 20" xfId="40421" xr:uid="{00000000-0005-0000-0000-0000EB9D0000}"/>
    <cellStyle name="Normal 302 20 2" xfId="40422" xr:uid="{00000000-0005-0000-0000-0000EC9D0000}"/>
    <cellStyle name="Normal 302 21" xfId="40423" xr:uid="{00000000-0005-0000-0000-0000ED9D0000}"/>
    <cellStyle name="Normal 302 21 2" xfId="40424" xr:uid="{00000000-0005-0000-0000-0000EE9D0000}"/>
    <cellStyle name="Normal 302 22" xfId="40425" xr:uid="{00000000-0005-0000-0000-0000EF9D0000}"/>
    <cellStyle name="Normal 302 22 2" xfId="40426" xr:uid="{00000000-0005-0000-0000-0000F09D0000}"/>
    <cellStyle name="Normal 302 23" xfId="40427" xr:uid="{00000000-0005-0000-0000-0000F19D0000}"/>
    <cellStyle name="Normal 302 23 2" xfId="40428" xr:uid="{00000000-0005-0000-0000-0000F29D0000}"/>
    <cellStyle name="Normal 302 24" xfId="40429" xr:uid="{00000000-0005-0000-0000-0000F39D0000}"/>
    <cellStyle name="Normal 302 24 2" xfId="40430" xr:uid="{00000000-0005-0000-0000-0000F49D0000}"/>
    <cellStyle name="Normal 302 25" xfId="40431" xr:uid="{00000000-0005-0000-0000-0000F59D0000}"/>
    <cellStyle name="Normal 302 25 2" xfId="40432" xr:uid="{00000000-0005-0000-0000-0000F69D0000}"/>
    <cellStyle name="Normal 302 26" xfId="40433" xr:uid="{00000000-0005-0000-0000-0000F79D0000}"/>
    <cellStyle name="Normal 302 26 2" xfId="40434" xr:uid="{00000000-0005-0000-0000-0000F89D0000}"/>
    <cellStyle name="Normal 302 27" xfId="40435" xr:uid="{00000000-0005-0000-0000-0000F99D0000}"/>
    <cellStyle name="Normal 302 27 2" xfId="40436" xr:uid="{00000000-0005-0000-0000-0000FA9D0000}"/>
    <cellStyle name="Normal 302 28" xfId="40437" xr:uid="{00000000-0005-0000-0000-0000FB9D0000}"/>
    <cellStyle name="Normal 302 28 2" xfId="40438" xr:uid="{00000000-0005-0000-0000-0000FC9D0000}"/>
    <cellStyle name="Normal 302 29" xfId="40439" xr:uid="{00000000-0005-0000-0000-0000FD9D0000}"/>
    <cellStyle name="Normal 302 29 2" xfId="40440" xr:uid="{00000000-0005-0000-0000-0000FE9D0000}"/>
    <cellStyle name="Normal 302 3" xfId="40441" xr:uid="{00000000-0005-0000-0000-0000FF9D0000}"/>
    <cellStyle name="Normal 302 3 2" xfId="40442" xr:uid="{00000000-0005-0000-0000-0000009E0000}"/>
    <cellStyle name="Normal 302 30" xfId="40443" xr:uid="{00000000-0005-0000-0000-0000019E0000}"/>
    <cellStyle name="Normal 302 30 2" xfId="40444" xr:uid="{00000000-0005-0000-0000-0000029E0000}"/>
    <cellStyle name="Normal 302 31" xfId="40445" xr:uid="{00000000-0005-0000-0000-0000039E0000}"/>
    <cellStyle name="Normal 302 31 2" xfId="40446" xr:uid="{00000000-0005-0000-0000-0000049E0000}"/>
    <cellStyle name="Normal 302 32" xfId="40447" xr:uid="{00000000-0005-0000-0000-0000059E0000}"/>
    <cellStyle name="Normal 302 32 2" xfId="40448" xr:uid="{00000000-0005-0000-0000-0000069E0000}"/>
    <cellStyle name="Normal 302 33" xfId="40449" xr:uid="{00000000-0005-0000-0000-0000079E0000}"/>
    <cellStyle name="Normal 302 33 2" xfId="40450" xr:uid="{00000000-0005-0000-0000-0000089E0000}"/>
    <cellStyle name="Normal 302 34" xfId="40451" xr:uid="{00000000-0005-0000-0000-0000099E0000}"/>
    <cellStyle name="Normal 302 34 2" xfId="40452" xr:uid="{00000000-0005-0000-0000-00000A9E0000}"/>
    <cellStyle name="Normal 302 35" xfId="40453" xr:uid="{00000000-0005-0000-0000-00000B9E0000}"/>
    <cellStyle name="Normal 302 35 2" xfId="40454" xr:uid="{00000000-0005-0000-0000-00000C9E0000}"/>
    <cellStyle name="Normal 302 36" xfId="40455" xr:uid="{00000000-0005-0000-0000-00000D9E0000}"/>
    <cellStyle name="Normal 302 36 2" xfId="40456" xr:uid="{00000000-0005-0000-0000-00000E9E0000}"/>
    <cellStyle name="Normal 302 37" xfId="40457" xr:uid="{00000000-0005-0000-0000-00000F9E0000}"/>
    <cellStyle name="Normal 302 37 2" xfId="40458" xr:uid="{00000000-0005-0000-0000-0000109E0000}"/>
    <cellStyle name="Normal 302 38" xfId="40459" xr:uid="{00000000-0005-0000-0000-0000119E0000}"/>
    <cellStyle name="Normal 302 38 2" xfId="40460" xr:uid="{00000000-0005-0000-0000-0000129E0000}"/>
    <cellStyle name="Normal 302 39" xfId="40461" xr:uid="{00000000-0005-0000-0000-0000139E0000}"/>
    <cellStyle name="Normal 302 39 2" xfId="40462" xr:uid="{00000000-0005-0000-0000-0000149E0000}"/>
    <cellStyle name="Normal 302 4" xfId="40463" xr:uid="{00000000-0005-0000-0000-0000159E0000}"/>
    <cellStyle name="Normal 302 4 2" xfId="40464" xr:uid="{00000000-0005-0000-0000-0000169E0000}"/>
    <cellStyle name="Normal 302 40" xfId="40465" xr:uid="{00000000-0005-0000-0000-0000179E0000}"/>
    <cellStyle name="Normal 302 40 2" xfId="40466" xr:uid="{00000000-0005-0000-0000-0000189E0000}"/>
    <cellStyle name="Normal 302 41" xfId="40467" xr:uid="{00000000-0005-0000-0000-0000199E0000}"/>
    <cellStyle name="Normal 302 41 2" xfId="40468" xr:uid="{00000000-0005-0000-0000-00001A9E0000}"/>
    <cellStyle name="Normal 302 42" xfId="40469" xr:uid="{00000000-0005-0000-0000-00001B9E0000}"/>
    <cellStyle name="Normal 302 42 2" xfId="40470" xr:uid="{00000000-0005-0000-0000-00001C9E0000}"/>
    <cellStyle name="Normal 302 43" xfId="40471" xr:uid="{00000000-0005-0000-0000-00001D9E0000}"/>
    <cellStyle name="Normal 302 43 2" xfId="40472" xr:uid="{00000000-0005-0000-0000-00001E9E0000}"/>
    <cellStyle name="Normal 302 44" xfId="40473" xr:uid="{00000000-0005-0000-0000-00001F9E0000}"/>
    <cellStyle name="Normal 302 44 2" xfId="40474" xr:uid="{00000000-0005-0000-0000-0000209E0000}"/>
    <cellStyle name="Normal 302 45" xfId="40475" xr:uid="{00000000-0005-0000-0000-0000219E0000}"/>
    <cellStyle name="Normal 302 45 2" xfId="40476" xr:uid="{00000000-0005-0000-0000-0000229E0000}"/>
    <cellStyle name="Normal 302 46" xfId="40477" xr:uid="{00000000-0005-0000-0000-0000239E0000}"/>
    <cellStyle name="Normal 302 46 2" xfId="40478" xr:uid="{00000000-0005-0000-0000-0000249E0000}"/>
    <cellStyle name="Normal 302 47" xfId="40479" xr:uid="{00000000-0005-0000-0000-0000259E0000}"/>
    <cellStyle name="Normal 302 47 2" xfId="40480" xr:uid="{00000000-0005-0000-0000-0000269E0000}"/>
    <cellStyle name="Normal 302 48" xfId="40481" xr:uid="{00000000-0005-0000-0000-0000279E0000}"/>
    <cellStyle name="Normal 302 48 2" xfId="40482" xr:uid="{00000000-0005-0000-0000-0000289E0000}"/>
    <cellStyle name="Normal 302 49" xfId="40483" xr:uid="{00000000-0005-0000-0000-0000299E0000}"/>
    <cellStyle name="Normal 302 49 2" xfId="40484" xr:uid="{00000000-0005-0000-0000-00002A9E0000}"/>
    <cellStyle name="Normal 302 5" xfId="40485" xr:uid="{00000000-0005-0000-0000-00002B9E0000}"/>
    <cellStyle name="Normal 302 5 2" xfId="40486" xr:uid="{00000000-0005-0000-0000-00002C9E0000}"/>
    <cellStyle name="Normal 302 50" xfId="40487" xr:uid="{00000000-0005-0000-0000-00002D9E0000}"/>
    <cellStyle name="Normal 302 50 2" xfId="40488" xr:uid="{00000000-0005-0000-0000-00002E9E0000}"/>
    <cellStyle name="Normal 302 51" xfId="40489" xr:uid="{00000000-0005-0000-0000-00002F9E0000}"/>
    <cellStyle name="Normal 302 51 2" xfId="40490" xr:uid="{00000000-0005-0000-0000-0000309E0000}"/>
    <cellStyle name="Normal 302 52" xfId="40491" xr:uid="{00000000-0005-0000-0000-0000319E0000}"/>
    <cellStyle name="Normal 302 52 2" xfId="40492" xr:uid="{00000000-0005-0000-0000-0000329E0000}"/>
    <cellStyle name="Normal 302 53" xfId="40493" xr:uid="{00000000-0005-0000-0000-0000339E0000}"/>
    <cellStyle name="Normal 302 53 2" xfId="40494" xr:uid="{00000000-0005-0000-0000-0000349E0000}"/>
    <cellStyle name="Normal 302 54" xfId="40495" xr:uid="{00000000-0005-0000-0000-0000359E0000}"/>
    <cellStyle name="Normal 302 54 2" xfId="40496" xr:uid="{00000000-0005-0000-0000-0000369E0000}"/>
    <cellStyle name="Normal 302 55" xfId="40497" xr:uid="{00000000-0005-0000-0000-0000379E0000}"/>
    <cellStyle name="Normal 302 55 2" xfId="40498" xr:uid="{00000000-0005-0000-0000-0000389E0000}"/>
    <cellStyle name="Normal 302 56" xfId="40499" xr:uid="{00000000-0005-0000-0000-0000399E0000}"/>
    <cellStyle name="Normal 302 56 2" xfId="40500" xr:uid="{00000000-0005-0000-0000-00003A9E0000}"/>
    <cellStyle name="Normal 302 57" xfId="40501" xr:uid="{00000000-0005-0000-0000-00003B9E0000}"/>
    <cellStyle name="Normal 302 57 2" xfId="40502" xr:uid="{00000000-0005-0000-0000-00003C9E0000}"/>
    <cellStyle name="Normal 302 58" xfId="40503" xr:uid="{00000000-0005-0000-0000-00003D9E0000}"/>
    <cellStyle name="Normal 302 58 2" xfId="40504" xr:uid="{00000000-0005-0000-0000-00003E9E0000}"/>
    <cellStyle name="Normal 302 59" xfId="40505" xr:uid="{00000000-0005-0000-0000-00003F9E0000}"/>
    <cellStyle name="Normal 302 59 2" xfId="40506" xr:uid="{00000000-0005-0000-0000-0000409E0000}"/>
    <cellStyle name="Normal 302 6" xfId="40507" xr:uid="{00000000-0005-0000-0000-0000419E0000}"/>
    <cellStyle name="Normal 302 6 2" xfId="40508" xr:uid="{00000000-0005-0000-0000-0000429E0000}"/>
    <cellStyle name="Normal 302 60" xfId="40509" xr:uid="{00000000-0005-0000-0000-0000439E0000}"/>
    <cellStyle name="Normal 302 60 2" xfId="40510" xr:uid="{00000000-0005-0000-0000-0000449E0000}"/>
    <cellStyle name="Normal 302 61" xfId="40511" xr:uid="{00000000-0005-0000-0000-0000459E0000}"/>
    <cellStyle name="Normal 302 61 2" xfId="40512" xr:uid="{00000000-0005-0000-0000-0000469E0000}"/>
    <cellStyle name="Normal 302 61 3" xfId="40513" xr:uid="{00000000-0005-0000-0000-0000479E0000}"/>
    <cellStyle name="Normal 302 62" xfId="40514" xr:uid="{00000000-0005-0000-0000-0000489E0000}"/>
    <cellStyle name="Normal 302 7" xfId="40515" xr:uid="{00000000-0005-0000-0000-0000499E0000}"/>
    <cellStyle name="Normal 302 7 2" xfId="40516" xr:uid="{00000000-0005-0000-0000-00004A9E0000}"/>
    <cellStyle name="Normal 302 8" xfId="40517" xr:uid="{00000000-0005-0000-0000-00004B9E0000}"/>
    <cellStyle name="Normal 302 8 2" xfId="40518" xr:uid="{00000000-0005-0000-0000-00004C9E0000}"/>
    <cellStyle name="Normal 302 9" xfId="40519" xr:uid="{00000000-0005-0000-0000-00004D9E0000}"/>
    <cellStyle name="Normal 302 9 2" xfId="40520" xr:uid="{00000000-0005-0000-0000-00004E9E0000}"/>
    <cellStyle name="Normal 303" xfId="40521" xr:uid="{00000000-0005-0000-0000-00004F9E0000}"/>
    <cellStyle name="Normal 304" xfId="40522" xr:uid="{00000000-0005-0000-0000-0000509E0000}"/>
    <cellStyle name="Normal 304 10" xfId="40523" xr:uid="{00000000-0005-0000-0000-0000519E0000}"/>
    <cellStyle name="Normal 304 10 2" xfId="40524" xr:uid="{00000000-0005-0000-0000-0000529E0000}"/>
    <cellStyle name="Normal 304 11" xfId="40525" xr:uid="{00000000-0005-0000-0000-0000539E0000}"/>
    <cellStyle name="Normal 304 11 2" xfId="40526" xr:uid="{00000000-0005-0000-0000-0000549E0000}"/>
    <cellStyle name="Normal 304 12" xfId="40527" xr:uid="{00000000-0005-0000-0000-0000559E0000}"/>
    <cellStyle name="Normal 304 12 2" xfId="40528" xr:uid="{00000000-0005-0000-0000-0000569E0000}"/>
    <cellStyle name="Normal 304 13" xfId="40529" xr:uid="{00000000-0005-0000-0000-0000579E0000}"/>
    <cellStyle name="Normal 304 13 2" xfId="40530" xr:uid="{00000000-0005-0000-0000-0000589E0000}"/>
    <cellStyle name="Normal 304 14" xfId="40531" xr:uid="{00000000-0005-0000-0000-0000599E0000}"/>
    <cellStyle name="Normal 304 14 2" xfId="40532" xr:uid="{00000000-0005-0000-0000-00005A9E0000}"/>
    <cellStyle name="Normal 304 15" xfId="40533" xr:uid="{00000000-0005-0000-0000-00005B9E0000}"/>
    <cellStyle name="Normal 304 15 2" xfId="40534" xr:uid="{00000000-0005-0000-0000-00005C9E0000}"/>
    <cellStyle name="Normal 304 16" xfId="40535" xr:uid="{00000000-0005-0000-0000-00005D9E0000}"/>
    <cellStyle name="Normal 304 16 2" xfId="40536" xr:uid="{00000000-0005-0000-0000-00005E9E0000}"/>
    <cellStyle name="Normal 304 17" xfId="40537" xr:uid="{00000000-0005-0000-0000-00005F9E0000}"/>
    <cellStyle name="Normal 304 17 2" xfId="40538" xr:uid="{00000000-0005-0000-0000-0000609E0000}"/>
    <cellStyle name="Normal 304 18" xfId="40539" xr:uid="{00000000-0005-0000-0000-0000619E0000}"/>
    <cellStyle name="Normal 304 18 2" xfId="40540" xr:uid="{00000000-0005-0000-0000-0000629E0000}"/>
    <cellStyle name="Normal 304 19" xfId="40541" xr:uid="{00000000-0005-0000-0000-0000639E0000}"/>
    <cellStyle name="Normal 304 19 2" xfId="40542" xr:uid="{00000000-0005-0000-0000-0000649E0000}"/>
    <cellStyle name="Normal 304 2" xfId="40543" xr:uid="{00000000-0005-0000-0000-0000659E0000}"/>
    <cellStyle name="Normal 304 2 2" xfId="40544" xr:uid="{00000000-0005-0000-0000-0000669E0000}"/>
    <cellStyle name="Normal 304 20" xfId="40545" xr:uid="{00000000-0005-0000-0000-0000679E0000}"/>
    <cellStyle name="Normal 304 20 2" xfId="40546" xr:uid="{00000000-0005-0000-0000-0000689E0000}"/>
    <cellStyle name="Normal 304 21" xfId="40547" xr:uid="{00000000-0005-0000-0000-0000699E0000}"/>
    <cellStyle name="Normal 304 21 2" xfId="40548" xr:uid="{00000000-0005-0000-0000-00006A9E0000}"/>
    <cellStyle name="Normal 304 22" xfId="40549" xr:uid="{00000000-0005-0000-0000-00006B9E0000}"/>
    <cellStyle name="Normal 304 22 2" xfId="40550" xr:uid="{00000000-0005-0000-0000-00006C9E0000}"/>
    <cellStyle name="Normal 304 23" xfId="40551" xr:uid="{00000000-0005-0000-0000-00006D9E0000}"/>
    <cellStyle name="Normal 304 23 2" xfId="40552" xr:uid="{00000000-0005-0000-0000-00006E9E0000}"/>
    <cellStyle name="Normal 304 24" xfId="40553" xr:uid="{00000000-0005-0000-0000-00006F9E0000}"/>
    <cellStyle name="Normal 304 24 2" xfId="40554" xr:uid="{00000000-0005-0000-0000-0000709E0000}"/>
    <cellStyle name="Normal 304 25" xfId="40555" xr:uid="{00000000-0005-0000-0000-0000719E0000}"/>
    <cellStyle name="Normal 304 25 2" xfId="40556" xr:uid="{00000000-0005-0000-0000-0000729E0000}"/>
    <cellStyle name="Normal 304 26" xfId="40557" xr:uid="{00000000-0005-0000-0000-0000739E0000}"/>
    <cellStyle name="Normal 304 26 2" xfId="40558" xr:uid="{00000000-0005-0000-0000-0000749E0000}"/>
    <cellStyle name="Normal 304 27" xfId="40559" xr:uid="{00000000-0005-0000-0000-0000759E0000}"/>
    <cellStyle name="Normal 304 27 2" xfId="40560" xr:uid="{00000000-0005-0000-0000-0000769E0000}"/>
    <cellStyle name="Normal 304 28" xfId="40561" xr:uid="{00000000-0005-0000-0000-0000779E0000}"/>
    <cellStyle name="Normal 304 28 2" xfId="40562" xr:uid="{00000000-0005-0000-0000-0000789E0000}"/>
    <cellStyle name="Normal 304 29" xfId="40563" xr:uid="{00000000-0005-0000-0000-0000799E0000}"/>
    <cellStyle name="Normal 304 29 2" xfId="40564" xr:uid="{00000000-0005-0000-0000-00007A9E0000}"/>
    <cellStyle name="Normal 304 3" xfId="40565" xr:uid="{00000000-0005-0000-0000-00007B9E0000}"/>
    <cellStyle name="Normal 304 3 2" xfId="40566" xr:uid="{00000000-0005-0000-0000-00007C9E0000}"/>
    <cellStyle name="Normal 304 30" xfId="40567" xr:uid="{00000000-0005-0000-0000-00007D9E0000}"/>
    <cellStyle name="Normal 304 30 2" xfId="40568" xr:uid="{00000000-0005-0000-0000-00007E9E0000}"/>
    <cellStyle name="Normal 304 31" xfId="40569" xr:uid="{00000000-0005-0000-0000-00007F9E0000}"/>
    <cellStyle name="Normal 304 31 2" xfId="40570" xr:uid="{00000000-0005-0000-0000-0000809E0000}"/>
    <cellStyle name="Normal 304 32" xfId="40571" xr:uid="{00000000-0005-0000-0000-0000819E0000}"/>
    <cellStyle name="Normal 304 32 2" xfId="40572" xr:uid="{00000000-0005-0000-0000-0000829E0000}"/>
    <cellStyle name="Normal 304 33" xfId="40573" xr:uid="{00000000-0005-0000-0000-0000839E0000}"/>
    <cellStyle name="Normal 304 33 2" xfId="40574" xr:uid="{00000000-0005-0000-0000-0000849E0000}"/>
    <cellStyle name="Normal 304 34" xfId="40575" xr:uid="{00000000-0005-0000-0000-0000859E0000}"/>
    <cellStyle name="Normal 304 34 2" xfId="40576" xr:uid="{00000000-0005-0000-0000-0000869E0000}"/>
    <cellStyle name="Normal 304 35" xfId="40577" xr:uid="{00000000-0005-0000-0000-0000879E0000}"/>
    <cellStyle name="Normal 304 35 2" xfId="40578" xr:uid="{00000000-0005-0000-0000-0000889E0000}"/>
    <cellStyle name="Normal 304 36" xfId="40579" xr:uid="{00000000-0005-0000-0000-0000899E0000}"/>
    <cellStyle name="Normal 304 36 2" xfId="40580" xr:uid="{00000000-0005-0000-0000-00008A9E0000}"/>
    <cellStyle name="Normal 304 37" xfId="40581" xr:uid="{00000000-0005-0000-0000-00008B9E0000}"/>
    <cellStyle name="Normal 304 37 2" xfId="40582" xr:uid="{00000000-0005-0000-0000-00008C9E0000}"/>
    <cellStyle name="Normal 304 38" xfId="40583" xr:uid="{00000000-0005-0000-0000-00008D9E0000}"/>
    <cellStyle name="Normal 304 38 2" xfId="40584" xr:uid="{00000000-0005-0000-0000-00008E9E0000}"/>
    <cellStyle name="Normal 304 39" xfId="40585" xr:uid="{00000000-0005-0000-0000-00008F9E0000}"/>
    <cellStyle name="Normal 304 39 2" xfId="40586" xr:uid="{00000000-0005-0000-0000-0000909E0000}"/>
    <cellStyle name="Normal 304 4" xfId="40587" xr:uid="{00000000-0005-0000-0000-0000919E0000}"/>
    <cellStyle name="Normal 304 4 2" xfId="40588" xr:uid="{00000000-0005-0000-0000-0000929E0000}"/>
    <cellStyle name="Normal 304 40" xfId="40589" xr:uid="{00000000-0005-0000-0000-0000939E0000}"/>
    <cellStyle name="Normal 304 40 2" xfId="40590" xr:uid="{00000000-0005-0000-0000-0000949E0000}"/>
    <cellStyle name="Normal 304 41" xfId="40591" xr:uid="{00000000-0005-0000-0000-0000959E0000}"/>
    <cellStyle name="Normal 304 41 2" xfId="40592" xr:uid="{00000000-0005-0000-0000-0000969E0000}"/>
    <cellStyle name="Normal 304 42" xfId="40593" xr:uid="{00000000-0005-0000-0000-0000979E0000}"/>
    <cellStyle name="Normal 304 42 2" xfId="40594" xr:uid="{00000000-0005-0000-0000-0000989E0000}"/>
    <cellStyle name="Normal 304 43" xfId="40595" xr:uid="{00000000-0005-0000-0000-0000999E0000}"/>
    <cellStyle name="Normal 304 43 2" xfId="40596" xr:uid="{00000000-0005-0000-0000-00009A9E0000}"/>
    <cellStyle name="Normal 304 44" xfId="40597" xr:uid="{00000000-0005-0000-0000-00009B9E0000}"/>
    <cellStyle name="Normal 304 44 2" xfId="40598" xr:uid="{00000000-0005-0000-0000-00009C9E0000}"/>
    <cellStyle name="Normal 304 45" xfId="40599" xr:uid="{00000000-0005-0000-0000-00009D9E0000}"/>
    <cellStyle name="Normal 304 45 2" xfId="40600" xr:uid="{00000000-0005-0000-0000-00009E9E0000}"/>
    <cellStyle name="Normal 304 46" xfId="40601" xr:uid="{00000000-0005-0000-0000-00009F9E0000}"/>
    <cellStyle name="Normal 304 46 2" xfId="40602" xr:uid="{00000000-0005-0000-0000-0000A09E0000}"/>
    <cellStyle name="Normal 304 47" xfId="40603" xr:uid="{00000000-0005-0000-0000-0000A19E0000}"/>
    <cellStyle name="Normal 304 47 2" xfId="40604" xr:uid="{00000000-0005-0000-0000-0000A29E0000}"/>
    <cellStyle name="Normal 304 48" xfId="40605" xr:uid="{00000000-0005-0000-0000-0000A39E0000}"/>
    <cellStyle name="Normal 304 48 2" xfId="40606" xr:uid="{00000000-0005-0000-0000-0000A49E0000}"/>
    <cellStyle name="Normal 304 49" xfId="40607" xr:uid="{00000000-0005-0000-0000-0000A59E0000}"/>
    <cellStyle name="Normal 304 49 2" xfId="40608" xr:uid="{00000000-0005-0000-0000-0000A69E0000}"/>
    <cellStyle name="Normal 304 5" xfId="40609" xr:uid="{00000000-0005-0000-0000-0000A79E0000}"/>
    <cellStyle name="Normal 304 5 2" xfId="40610" xr:uid="{00000000-0005-0000-0000-0000A89E0000}"/>
    <cellStyle name="Normal 304 50" xfId="40611" xr:uid="{00000000-0005-0000-0000-0000A99E0000}"/>
    <cellStyle name="Normal 304 50 2" xfId="40612" xr:uid="{00000000-0005-0000-0000-0000AA9E0000}"/>
    <cellStyle name="Normal 304 51" xfId="40613" xr:uid="{00000000-0005-0000-0000-0000AB9E0000}"/>
    <cellStyle name="Normal 304 51 2" xfId="40614" xr:uid="{00000000-0005-0000-0000-0000AC9E0000}"/>
    <cellStyle name="Normal 304 52" xfId="40615" xr:uid="{00000000-0005-0000-0000-0000AD9E0000}"/>
    <cellStyle name="Normal 304 52 2" xfId="40616" xr:uid="{00000000-0005-0000-0000-0000AE9E0000}"/>
    <cellStyle name="Normal 304 53" xfId="40617" xr:uid="{00000000-0005-0000-0000-0000AF9E0000}"/>
    <cellStyle name="Normal 304 53 2" xfId="40618" xr:uid="{00000000-0005-0000-0000-0000B09E0000}"/>
    <cellStyle name="Normal 304 54" xfId="40619" xr:uid="{00000000-0005-0000-0000-0000B19E0000}"/>
    <cellStyle name="Normal 304 54 2" xfId="40620" xr:uid="{00000000-0005-0000-0000-0000B29E0000}"/>
    <cellStyle name="Normal 304 55" xfId="40621" xr:uid="{00000000-0005-0000-0000-0000B39E0000}"/>
    <cellStyle name="Normal 304 55 2" xfId="40622" xr:uid="{00000000-0005-0000-0000-0000B49E0000}"/>
    <cellStyle name="Normal 304 56" xfId="40623" xr:uid="{00000000-0005-0000-0000-0000B59E0000}"/>
    <cellStyle name="Normal 304 56 2" xfId="40624" xr:uid="{00000000-0005-0000-0000-0000B69E0000}"/>
    <cellStyle name="Normal 304 57" xfId="40625" xr:uid="{00000000-0005-0000-0000-0000B79E0000}"/>
    <cellStyle name="Normal 304 57 2" xfId="40626" xr:uid="{00000000-0005-0000-0000-0000B89E0000}"/>
    <cellStyle name="Normal 304 58" xfId="40627" xr:uid="{00000000-0005-0000-0000-0000B99E0000}"/>
    <cellStyle name="Normal 304 58 2" xfId="40628" xr:uid="{00000000-0005-0000-0000-0000BA9E0000}"/>
    <cellStyle name="Normal 304 59" xfId="40629" xr:uid="{00000000-0005-0000-0000-0000BB9E0000}"/>
    <cellStyle name="Normal 304 59 2" xfId="40630" xr:uid="{00000000-0005-0000-0000-0000BC9E0000}"/>
    <cellStyle name="Normal 304 6" xfId="40631" xr:uid="{00000000-0005-0000-0000-0000BD9E0000}"/>
    <cellStyle name="Normal 304 6 2" xfId="40632" xr:uid="{00000000-0005-0000-0000-0000BE9E0000}"/>
    <cellStyle name="Normal 304 60" xfId="40633" xr:uid="{00000000-0005-0000-0000-0000BF9E0000}"/>
    <cellStyle name="Normal 304 60 2" xfId="40634" xr:uid="{00000000-0005-0000-0000-0000C09E0000}"/>
    <cellStyle name="Normal 304 61" xfId="40635" xr:uid="{00000000-0005-0000-0000-0000C19E0000}"/>
    <cellStyle name="Normal 304 61 2" xfId="40636" xr:uid="{00000000-0005-0000-0000-0000C29E0000}"/>
    <cellStyle name="Normal 304 61 3" xfId="40637" xr:uid="{00000000-0005-0000-0000-0000C39E0000}"/>
    <cellStyle name="Normal 304 62" xfId="40638" xr:uid="{00000000-0005-0000-0000-0000C49E0000}"/>
    <cellStyle name="Normal 304 7" xfId="40639" xr:uid="{00000000-0005-0000-0000-0000C59E0000}"/>
    <cellStyle name="Normal 304 7 2" xfId="40640" xr:uid="{00000000-0005-0000-0000-0000C69E0000}"/>
    <cellStyle name="Normal 304 8" xfId="40641" xr:uid="{00000000-0005-0000-0000-0000C79E0000}"/>
    <cellStyle name="Normal 304 8 2" xfId="40642" xr:uid="{00000000-0005-0000-0000-0000C89E0000}"/>
    <cellStyle name="Normal 304 9" xfId="40643" xr:uid="{00000000-0005-0000-0000-0000C99E0000}"/>
    <cellStyle name="Normal 304 9 2" xfId="40644" xr:uid="{00000000-0005-0000-0000-0000CA9E0000}"/>
    <cellStyle name="Normal 305" xfId="40645" xr:uid="{00000000-0005-0000-0000-0000CB9E0000}"/>
    <cellStyle name="Normal 306" xfId="40646" xr:uid="{00000000-0005-0000-0000-0000CC9E0000}"/>
    <cellStyle name="Normal 307" xfId="40647" xr:uid="{00000000-0005-0000-0000-0000CD9E0000}"/>
    <cellStyle name="Normal 307 10" xfId="40648" xr:uid="{00000000-0005-0000-0000-0000CE9E0000}"/>
    <cellStyle name="Normal 307 10 2" xfId="40649" xr:uid="{00000000-0005-0000-0000-0000CF9E0000}"/>
    <cellStyle name="Normal 307 11" xfId="40650" xr:uid="{00000000-0005-0000-0000-0000D09E0000}"/>
    <cellStyle name="Normal 307 11 2" xfId="40651" xr:uid="{00000000-0005-0000-0000-0000D19E0000}"/>
    <cellStyle name="Normal 307 12" xfId="40652" xr:uid="{00000000-0005-0000-0000-0000D29E0000}"/>
    <cellStyle name="Normal 307 12 2" xfId="40653" xr:uid="{00000000-0005-0000-0000-0000D39E0000}"/>
    <cellStyle name="Normal 307 13" xfId="40654" xr:uid="{00000000-0005-0000-0000-0000D49E0000}"/>
    <cellStyle name="Normal 307 13 2" xfId="40655" xr:uid="{00000000-0005-0000-0000-0000D59E0000}"/>
    <cellStyle name="Normal 307 14" xfId="40656" xr:uid="{00000000-0005-0000-0000-0000D69E0000}"/>
    <cellStyle name="Normal 307 14 2" xfId="40657" xr:uid="{00000000-0005-0000-0000-0000D79E0000}"/>
    <cellStyle name="Normal 307 15" xfId="40658" xr:uid="{00000000-0005-0000-0000-0000D89E0000}"/>
    <cellStyle name="Normal 307 15 2" xfId="40659" xr:uid="{00000000-0005-0000-0000-0000D99E0000}"/>
    <cellStyle name="Normal 307 16" xfId="40660" xr:uid="{00000000-0005-0000-0000-0000DA9E0000}"/>
    <cellStyle name="Normal 307 16 2" xfId="40661" xr:uid="{00000000-0005-0000-0000-0000DB9E0000}"/>
    <cellStyle name="Normal 307 17" xfId="40662" xr:uid="{00000000-0005-0000-0000-0000DC9E0000}"/>
    <cellStyle name="Normal 307 17 2" xfId="40663" xr:uid="{00000000-0005-0000-0000-0000DD9E0000}"/>
    <cellStyle name="Normal 307 18" xfId="40664" xr:uid="{00000000-0005-0000-0000-0000DE9E0000}"/>
    <cellStyle name="Normal 307 18 2" xfId="40665" xr:uid="{00000000-0005-0000-0000-0000DF9E0000}"/>
    <cellStyle name="Normal 307 19" xfId="40666" xr:uid="{00000000-0005-0000-0000-0000E09E0000}"/>
    <cellStyle name="Normal 307 19 2" xfId="40667" xr:uid="{00000000-0005-0000-0000-0000E19E0000}"/>
    <cellStyle name="Normal 307 2" xfId="40668" xr:uid="{00000000-0005-0000-0000-0000E29E0000}"/>
    <cellStyle name="Normal 307 2 2" xfId="40669" xr:uid="{00000000-0005-0000-0000-0000E39E0000}"/>
    <cellStyle name="Normal 307 20" xfId="40670" xr:uid="{00000000-0005-0000-0000-0000E49E0000}"/>
    <cellStyle name="Normal 307 20 2" xfId="40671" xr:uid="{00000000-0005-0000-0000-0000E59E0000}"/>
    <cellStyle name="Normal 307 21" xfId="40672" xr:uid="{00000000-0005-0000-0000-0000E69E0000}"/>
    <cellStyle name="Normal 307 21 2" xfId="40673" xr:uid="{00000000-0005-0000-0000-0000E79E0000}"/>
    <cellStyle name="Normal 307 22" xfId="40674" xr:uid="{00000000-0005-0000-0000-0000E89E0000}"/>
    <cellStyle name="Normal 307 22 2" xfId="40675" xr:uid="{00000000-0005-0000-0000-0000E99E0000}"/>
    <cellStyle name="Normal 307 23" xfId="40676" xr:uid="{00000000-0005-0000-0000-0000EA9E0000}"/>
    <cellStyle name="Normal 307 23 2" xfId="40677" xr:uid="{00000000-0005-0000-0000-0000EB9E0000}"/>
    <cellStyle name="Normal 307 24" xfId="40678" xr:uid="{00000000-0005-0000-0000-0000EC9E0000}"/>
    <cellStyle name="Normal 307 24 2" xfId="40679" xr:uid="{00000000-0005-0000-0000-0000ED9E0000}"/>
    <cellStyle name="Normal 307 25" xfId="40680" xr:uid="{00000000-0005-0000-0000-0000EE9E0000}"/>
    <cellStyle name="Normal 307 25 2" xfId="40681" xr:uid="{00000000-0005-0000-0000-0000EF9E0000}"/>
    <cellStyle name="Normal 307 26" xfId="40682" xr:uid="{00000000-0005-0000-0000-0000F09E0000}"/>
    <cellStyle name="Normal 307 26 2" xfId="40683" xr:uid="{00000000-0005-0000-0000-0000F19E0000}"/>
    <cellStyle name="Normal 307 27" xfId="40684" xr:uid="{00000000-0005-0000-0000-0000F29E0000}"/>
    <cellStyle name="Normal 307 27 2" xfId="40685" xr:uid="{00000000-0005-0000-0000-0000F39E0000}"/>
    <cellStyle name="Normal 307 28" xfId="40686" xr:uid="{00000000-0005-0000-0000-0000F49E0000}"/>
    <cellStyle name="Normal 307 28 2" xfId="40687" xr:uid="{00000000-0005-0000-0000-0000F59E0000}"/>
    <cellStyle name="Normal 307 29" xfId="40688" xr:uid="{00000000-0005-0000-0000-0000F69E0000}"/>
    <cellStyle name="Normal 307 29 2" xfId="40689" xr:uid="{00000000-0005-0000-0000-0000F79E0000}"/>
    <cellStyle name="Normal 307 3" xfId="40690" xr:uid="{00000000-0005-0000-0000-0000F89E0000}"/>
    <cellStyle name="Normal 307 3 2" xfId="40691" xr:uid="{00000000-0005-0000-0000-0000F99E0000}"/>
    <cellStyle name="Normal 307 30" xfId="40692" xr:uid="{00000000-0005-0000-0000-0000FA9E0000}"/>
    <cellStyle name="Normal 307 30 2" xfId="40693" xr:uid="{00000000-0005-0000-0000-0000FB9E0000}"/>
    <cellStyle name="Normal 307 31" xfId="40694" xr:uid="{00000000-0005-0000-0000-0000FC9E0000}"/>
    <cellStyle name="Normal 307 31 2" xfId="40695" xr:uid="{00000000-0005-0000-0000-0000FD9E0000}"/>
    <cellStyle name="Normal 307 32" xfId="40696" xr:uid="{00000000-0005-0000-0000-0000FE9E0000}"/>
    <cellStyle name="Normal 307 32 2" xfId="40697" xr:uid="{00000000-0005-0000-0000-0000FF9E0000}"/>
    <cellStyle name="Normal 307 33" xfId="40698" xr:uid="{00000000-0005-0000-0000-0000009F0000}"/>
    <cellStyle name="Normal 307 33 2" xfId="40699" xr:uid="{00000000-0005-0000-0000-0000019F0000}"/>
    <cellStyle name="Normal 307 34" xfId="40700" xr:uid="{00000000-0005-0000-0000-0000029F0000}"/>
    <cellStyle name="Normal 307 34 2" xfId="40701" xr:uid="{00000000-0005-0000-0000-0000039F0000}"/>
    <cellStyle name="Normal 307 35" xfId="40702" xr:uid="{00000000-0005-0000-0000-0000049F0000}"/>
    <cellStyle name="Normal 307 35 2" xfId="40703" xr:uid="{00000000-0005-0000-0000-0000059F0000}"/>
    <cellStyle name="Normal 307 36" xfId="40704" xr:uid="{00000000-0005-0000-0000-0000069F0000}"/>
    <cellStyle name="Normal 307 36 2" xfId="40705" xr:uid="{00000000-0005-0000-0000-0000079F0000}"/>
    <cellStyle name="Normal 307 37" xfId="40706" xr:uid="{00000000-0005-0000-0000-0000089F0000}"/>
    <cellStyle name="Normal 307 37 2" xfId="40707" xr:uid="{00000000-0005-0000-0000-0000099F0000}"/>
    <cellStyle name="Normal 307 38" xfId="40708" xr:uid="{00000000-0005-0000-0000-00000A9F0000}"/>
    <cellStyle name="Normal 307 38 2" xfId="40709" xr:uid="{00000000-0005-0000-0000-00000B9F0000}"/>
    <cellStyle name="Normal 307 39" xfId="40710" xr:uid="{00000000-0005-0000-0000-00000C9F0000}"/>
    <cellStyle name="Normal 307 39 2" xfId="40711" xr:uid="{00000000-0005-0000-0000-00000D9F0000}"/>
    <cellStyle name="Normal 307 4" xfId="40712" xr:uid="{00000000-0005-0000-0000-00000E9F0000}"/>
    <cellStyle name="Normal 307 4 2" xfId="40713" xr:uid="{00000000-0005-0000-0000-00000F9F0000}"/>
    <cellStyle name="Normal 307 40" xfId="40714" xr:uid="{00000000-0005-0000-0000-0000109F0000}"/>
    <cellStyle name="Normal 307 40 2" xfId="40715" xr:uid="{00000000-0005-0000-0000-0000119F0000}"/>
    <cellStyle name="Normal 307 41" xfId="40716" xr:uid="{00000000-0005-0000-0000-0000129F0000}"/>
    <cellStyle name="Normal 307 41 2" xfId="40717" xr:uid="{00000000-0005-0000-0000-0000139F0000}"/>
    <cellStyle name="Normal 307 42" xfId="40718" xr:uid="{00000000-0005-0000-0000-0000149F0000}"/>
    <cellStyle name="Normal 307 42 2" xfId="40719" xr:uid="{00000000-0005-0000-0000-0000159F0000}"/>
    <cellStyle name="Normal 307 43" xfId="40720" xr:uid="{00000000-0005-0000-0000-0000169F0000}"/>
    <cellStyle name="Normal 307 43 2" xfId="40721" xr:uid="{00000000-0005-0000-0000-0000179F0000}"/>
    <cellStyle name="Normal 307 44" xfId="40722" xr:uid="{00000000-0005-0000-0000-0000189F0000}"/>
    <cellStyle name="Normal 307 44 2" xfId="40723" xr:uid="{00000000-0005-0000-0000-0000199F0000}"/>
    <cellStyle name="Normal 307 45" xfId="40724" xr:uid="{00000000-0005-0000-0000-00001A9F0000}"/>
    <cellStyle name="Normal 307 45 2" xfId="40725" xr:uid="{00000000-0005-0000-0000-00001B9F0000}"/>
    <cellStyle name="Normal 307 46" xfId="40726" xr:uid="{00000000-0005-0000-0000-00001C9F0000}"/>
    <cellStyle name="Normal 307 46 2" xfId="40727" xr:uid="{00000000-0005-0000-0000-00001D9F0000}"/>
    <cellStyle name="Normal 307 47" xfId="40728" xr:uid="{00000000-0005-0000-0000-00001E9F0000}"/>
    <cellStyle name="Normal 307 47 2" xfId="40729" xr:uid="{00000000-0005-0000-0000-00001F9F0000}"/>
    <cellStyle name="Normal 307 48" xfId="40730" xr:uid="{00000000-0005-0000-0000-0000209F0000}"/>
    <cellStyle name="Normal 307 48 2" xfId="40731" xr:uid="{00000000-0005-0000-0000-0000219F0000}"/>
    <cellStyle name="Normal 307 49" xfId="40732" xr:uid="{00000000-0005-0000-0000-0000229F0000}"/>
    <cellStyle name="Normal 307 49 2" xfId="40733" xr:uid="{00000000-0005-0000-0000-0000239F0000}"/>
    <cellStyle name="Normal 307 5" xfId="40734" xr:uid="{00000000-0005-0000-0000-0000249F0000}"/>
    <cellStyle name="Normal 307 5 2" xfId="40735" xr:uid="{00000000-0005-0000-0000-0000259F0000}"/>
    <cellStyle name="Normal 307 50" xfId="40736" xr:uid="{00000000-0005-0000-0000-0000269F0000}"/>
    <cellStyle name="Normal 307 50 2" xfId="40737" xr:uid="{00000000-0005-0000-0000-0000279F0000}"/>
    <cellStyle name="Normal 307 51" xfId="40738" xr:uid="{00000000-0005-0000-0000-0000289F0000}"/>
    <cellStyle name="Normal 307 51 2" xfId="40739" xr:uid="{00000000-0005-0000-0000-0000299F0000}"/>
    <cellStyle name="Normal 307 52" xfId="40740" xr:uid="{00000000-0005-0000-0000-00002A9F0000}"/>
    <cellStyle name="Normal 307 52 2" xfId="40741" xr:uid="{00000000-0005-0000-0000-00002B9F0000}"/>
    <cellStyle name="Normal 307 53" xfId="40742" xr:uid="{00000000-0005-0000-0000-00002C9F0000}"/>
    <cellStyle name="Normal 307 53 2" xfId="40743" xr:uid="{00000000-0005-0000-0000-00002D9F0000}"/>
    <cellStyle name="Normal 307 54" xfId="40744" xr:uid="{00000000-0005-0000-0000-00002E9F0000}"/>
    <cellStyle name="Normal 307 54 2" xfId="40745" xr:uid="{00000000-0005-0000-0000-00002F9F0000}"/>
    <cellStyle name="Normal 307 55" xfId="40746" xr:uid="{00000000-0005-0000-0000-0000309F0000}"/>
    <cellStyle name="Normal 307 55 2" xfId="40747" xr:uid="{00000000-0005-0000-0000-0000319F0000}"/>
    <cellStyle name="Normal 307 56" xfId="40748" xr:uid="{00000000-0005-0000-0000-0000329F0000}"/>
    <cellStyle name="Normal 307 56 2" xfId="40749" xr:uid="{00000000-0005-0000-0000-0000339F0000}"/>
    <cellStyle name="Normal 307 57" xfId="40750" xr:uid="{00000000-0005-0000-0000-0000349F0000}"/>
    <cellStyle name="Normal 307 57 2" xfId="40751" xr:uid="{00000000-0005-0000-0000-0000359F0000}"/>
    <cellStyle name="Normal 307 58" xfId="40752" xr:uid="{00000000-0005-0000-0000-0000369F0000}"/>
    <cellStyle name="Normal 307 58 2" xfId="40753" xr:uid="{00000000-0005-0000-0000-0000379F0000}"/>
    <cellStyle name="Normal 307 59" xfId="40754" xr:uid="{00000000-0005-0000-0000-0000389F0000}"/>
    <cellStyle name="Normal 307 59 2" xfId="40755" xr:uid="{00000000-0005-0000-0000-0000399F0000}"/>
    <cellStyle name="Normal 307 6" xfId="40756" xr:uid="{00000000-0005-0000-0000-00003A9F0000}"/>
    <cellStyle name="Normal 307 6 2" xfId="40757" xr:uid="{00000000-0005-0000-0000-00003B9F0000}"/>
    <cellStyle name="Normal 307 60" xfId="40758" xr:uid="{00000000-0005-0000-0000-00003C9F0000}"/>
    <cellStyle name="Normal 307 60 2" xfId="40759" xr:uid="{00000000-0005-0000-0000-00003D9F0000}"/>
    <cellStyle name="Normal 307 61" xfId="40760" xr:uid="{00000000-0005-0000-0000-00003E9F0000}"/>
    <cellStyle name="Normal 307 61 2" xfId="40761" xr:uid="{00000000-0005-0000-0000-00003F9F0000}"/>
    <cellStyle name="Normal 307 61 3" xfId="40762" xr:uid="{00000000-0005-0000-0000-0000409F0000}"/>
    <cellStyle name="Normal 307 62" xfId="40763" xr:uid="{00000000-0005-0000-0000-0000419F0000}"/>
    <cellStyle name="Normal 307 7" xfId="40764" xr:uid="{00000000-0005-0000-0000-0000429F0000}"/>
    <cellStyle name="Normal 307 7 2" xfId="40765" xr:uid="{00000000-0005-0000-0000-0000439F0000}"/>
    <cellStyle name="Normal 307 8" xfId="40766" xr:uid="{00000000-0005-0000-0000-0000449F0000}"/>
    <cellStyle name="Normal 307 8 2" xfId="40767" xr:uid="{00000000-0005-0000-0000-0000459F0000}"/>
    <cellStyle name="Normal 307 9" xfId="40768" xr:uid="{00000000-0005-0000-0000-0000469F0000}"/>
    <cellStyle name="Normal 307 9 2" xfId="40769" xr:uid="{00000000-0005-0000-0000-0000479F0000}"/>
    <cellStyle name="Normal 308" xfId="40770" xr:uid="{00000000-0005-0000-0000-0000489F0000}"/>
    <cellStyle name="Normal 309" xfId="40771" xr:uid="{00000000-0005-0000-0000-0000499F0000}"/>
    <cellStyle name="Normal 31" xfId="40772" xr:uid="{00000000-0005-0000-0000-00004A9F0000}"/>
    <cellStyle name="Normal 31 10" xfId="40773" xr:uid="{00000000-0005-0000-0000-00004B9F0000}"/>
    <cellStyle name="Normal 31 10 2" xfId="40774" xr:uid="{00000000-0005-0000-0000-00004C9F0000}"/>
    <cellStyle name="Normal 31 11" xfId="40775" xr:uid="{00000000-0005-0000-0000-00004D9F0000}"/>
    <cellStyle name="Normal 31 11 2" xfId="40776" xr:uid="{00000000-0005-0000-0000-00004E9F0000}"/>
    <cellStyle name="Normal 31 12" xfId="40777" xr:uid="{00000000-0005-0000-0000-00004F9F0000}"/>
    <cellStyle name="Normal 31 12 2" xfId="40778" xr:uid="{00000000-0005-0000-0000-0000509F0000}"/>
    <cellStyle name="Normal 31 13" xfId="40779" xr:uid="{00000000-0005-0000-0000-0000519F0000}"/>
    <cellStyle name="Normal 31 13 2" xfId="40780" xr:uid="{00000000-0005-0000-0000-0000529F0000}"/>
    <cellStyle name="Normal 31 14" xfId="40781" xr:uid="{00000000-0005-0000-0000-0000539F0000}"/>
    <cellStyle name="Normal 31 14 2" xfId="40782" xr:uid="{00000000-0005-0000-0000-0000549F0000}"/>
    <cellStyle name="Normal 31 15" xfId="40783" xr:uid="{00000000-0005-0000-0000-0000559F0000}"/>
    <cellStyle name="Normal 31 15 2" xfId="40784" xr:uid="{00000000-0005-0000-0000-0000569F0000}"/>
    <cellStyle name="Normal 31 16" xfId="40785" xr:uid="{00000000-0005-0000-0000-0000579F0000}"/>
    <cellStyle name="Normal 31 16 2" xfId="40786" xr:uid="{00000000-0005-0000-0000-0000589F0000}"/>
    <cellStyle name="Normal 31 17" xfId="40787" xr:uid="{00000000-0005-0000-0000-0000599F0000}"/>
    <cellStyle name="Normal 31 17 2" xfId="40788" xr:uid="{00000000-0005-0000-0000-00005A9F0000}"/>
    <cellStyle name="Normal 31 18" xfId="40789" xr:uid="{00000000-0005-0000-0000-00005B9F0000}"/>
    <cellStyle name="Normal 31 18 2" xfId="40790" xr:uid="{00000000-0005-0000-0000-00005C9F0000}"/>
    <cellStyle name="Normal 31 19" xfId="40791" xr:uid="{00000000-0005-0000-0000-00005D9F0000}"/>
    <cellStyle name="Normal 31 19 2" xfId="40792" xr:uid="{00000000-0005-0000-0000-00005E9F0000}"/>
    <cellStyle name="Normal 31 2" xfId="40793" xr:uid="{00000000-0005-0000-0000-00005F9F0000}"/>
    <cellStyle name="Normal 31 2 2" xfId="40794" xr:uid="{00000000-0005-0000-0000-0000609F0000}"/>
    <cellStyle name="Normal 31 20" xfId="40795" xr:uid="{00000000-0005-0000-0000-0000619F0000}"/>
    <cellStyle name="Normal 31 20 2" xfId="40796" xr:uid="{00000000-0005-0000-0000-0000629F0000}"/>
    <cellStyle name="Normal 31 21" xfId="40797" xr:uid="{00000000-0005-0000-0000-0000639F0000}"/>
    <cellStyle name="Normal 31 21 2" xfId="40798" xr:uid="{00000000-0005-0000-0000-0000649F0000}"/>
    <cellStyle name="Normal 31 22" xfId="40799" xr:uid="{00000000-0005-0000-0000-0000659F0000}"/>
    <cellStyle name="Normal 31 22 2" xfId="40800" xr:uid="{00000000-0005-0000-0000-0000669F0000}"/>
    <cellStyle name="Normal 31 23" xfId="40801" xr:uid="{00000000-0005-0000-0000-0000679F0000}"/>
    <cellStyle name="Normal 31 23 2" xfId="40802" xr:uid="{00000000-0005-0000-0000-0000689F0000}"/>
    <cellStyle name="Normal 31 24" xfId="40803" xr:uid="{00000000-0005-0000-0000-0000699F0000}"/>
    <cellStyle name="Normal 31 24 2" xfId="40804" xr:uid="{00000000-0005-0000-0000-00006A9F0000}"/>
    <cellStyle name="Normal 31 25" xfId="40805" xr:uid="{00000000-0005-0000-0000-00006B9F0000}"/>
    <cellStyle name="Normal 31 25 2" xfId="40806" xr:uid="{00000000-0005-0000-0000-00006C9F0000}"/>
    <cellStyle name="Normal 31 26" xfId="40807" xr:uid="{00000000-0005-0000-0000-00006D9F0000}"/>
    <cellStyle name="Normal 31 26 2" xfId="40808" xr:uid="{00000000-0005-0000-0000-00006E9F0000}"/>
    <cellStyle name="Normal 31 27" xfId="40809" xr:uid="{00000000-0005-0000-0000-00006F9F0000}"/>
    <cellStyle name="Normal 31 27 2" xfId="40810" xr:uid="{00000000-0005-0000-0000-0000709F0000}"/>
    <cellStyle name="Normal 31 28" xfId="40811" xr:uid="{00000000-0005-0000-0000-0000719F0000}"/>
    <cellStyle name="Normal 31 28 2" xfId="40812" xr:uid="{00000000-0005-0000-0000-0000729F0000}"/>
    <cellStyle name="Normal 31 29" xfId="40813" xr:uid="{00000000-0005-0000-0000-0000739F0000}"/>
    <cellStyle name="Normal 31 29 2" xfId="40814" xr:uid="{00000000-0005-0000-0000-0000749F0000}"/>
    <cellStyle name="Normal 31 3" xfId="40815" xr:uid="{00000000-0005-0000-0000-0000759F0000}"/>
    <cellStyle name="Normal 31 3 2" xfId="40816" xr:uid="{00000000-0005-0000-0000-0000769F0000}"/>
    <cellStyle name="Normal 31 30" xfId="40817" xr:uid="{00000000-0005-0000-0000-0000779F0000}"/>
    <cellStyle name="Normal 31 30 2" xfId="40818" xr:uid="{00000000-0005-0000-0000-0000789F0000}"/>
    <cellStyle name="Normal 31 31" xfId="40819" xr:uid="{00000000-0005-0000-0000-0000799F0000}"/>
    <cellStyle name="Normal 31 31 2" xfId="40820" xr:uid="{00000000-0005-0000-0000-00007A9F0000}"/>
    <cellStyle name="Normal 31 32" xfId="40821" xr:uid="{00000000-0005-0000-0000-00007B9F0000}"/>
    <cellStyle name="Normal 31 32 2" xfId="40822" xr:uid="{00000000-0005-0000-0000-00007C9F0000}"/>
    <cellStyle name="Normal 31 33" xfId="40823" xr:uid="{00000000-0005-0000-0000-00007D9F0000}"/>
    <cellStyle name="Normal 31 33 2" xfId="40824" xr:uid="{00000000-0005-0000-0000-00007E9F0000}"/>
    <cellStyle name="Normal 31 34" xfId="40825" xr:uid="{00000000-0005-0000-0000-00007F9F0000}"/>
    <cellStyle name="Normal 31 34 2" xfId="40826" xr:uid="{00000000-0005-0000-0000-0000809F0000}"/>
    <cellStyle name="Normal 31 35" xfId="40827" xr:uid="{00000000-0005-0000-0000-0000819F0000}"/>
    <cellStyle name="Normal 31 35 2" xfId="40828" xr:uid="{00000000-0005-0000-0000-0000829F0000}"/>
    <cellStyle name="Normal 31 36" xfId="40829" xr:uid="{00000000-0005-0000-0000-0000839F0000}"/>
    <cellStyle name="Normal 31 36 2" xfId="40830" xr:uid="{00000000-0005-0000-0000-0000849F0000}"/>
    <cellStyle name="Normal 31 37" xfId="40831" xr:uid="{00000000-0005-0000-0000-0000859F0000}"/>
    <cellStyle name="Normal 31 37 2" xfId="40832" xr:uid="{00000000-0005-0000-0000-0000869F0000}"/>
    <cellStyle name="Normal 31 38" xfId="40833" xr:uid="{00000000-0005-0000-0000-0000879F0000}"/>
    <cellStyle name="Normal 31 38 2" xfId="40834" xr:uid="{00000000-0005-0000-0000-0000889F0000}"/>
    <cellStyle name="Normal 31 39" xfId="40835" xr:uid="{00000000-0005-0000-0000-0000899F0000}"/>
    <cellStyle name="Normal 31 39 2" xfId="40836" xr:uid="{00000000-0005-0000-0000-00008A9F0000}"/>
    <cellStyle name="Normal 31 4" xfId="40837" xr:uid="{00000000-0005-0000-0000-00008B9F0000}"/>
    <cellStyle name="Normal 31 4 2" xfId="40838" xr:uid="{00000000-0005-0000-0000-00008C9F0000}"/>
    <cellStyle name="Normal 31 40" xfId="40839" xr:uid="{00000000-0005-0000-0000-00008D9F0000}"/>
    <cellStyle name="Normal 31 40 2" xfId="40840" xr:uid="{00000000-0005-0000-0000-00008E9F0000}"/>
    <cellStyle name="Normal 31 41" xfId="40841" xr:uid="{00000000-0005-0000-0000-00008F9F0000}"/>
    <cellStyle name="Normal 31 41 2" xfId="40842" xr:uid="{00000000-0005-0000-0000-0000909F0000}"/>
    <cellStyle name="Normal 31 42" xfId="40843" xr:uid="{00000000-0005-0000-0000-0000919F0000}"/>
    <cellStyle name="Normal 31 42 2" xfId="40844" xr:uid="{00000000-0005-0000-0000-0000929F0000}"/>
    <cellStyle name="Normal 31 43" xfId="40845" xr:uid="{00000000-0005-0000-0000-0000939F0000}"/>
    <cellStyle name="Normal 31 43 2" xfId="40846" xr:uid="{00000000-0005-0000-0000-0000949F0000}"/>
    <cellStyle name="Normal 31 44" xfId="40847" xr:uid="{00000000-0005-0000-0000-0000959F0000}"/>
    <cellStyle name="Normal 31 44 2" xfId="40848" xr:uid="{00000000-0005-0000-0000-0000969F0000}"/>
    <cellStyle name="Normal 31 45" xfId="40849" xr:uid="{00000000-0005-0000-0000-0000979F0000}"/>
    <cellStyle name="Normal 31 45 2" xfId="40850" xr:uid="{00000000-0005-0000-0000-0000989F0000}"/>
    <cellStyle name="Normal 31 46" xfId="40851" xr:uid="{00000000-0005-0000-0000-0000999F0000}"/>
    <cellStyle name="Normal 31 46 2" xfId="40852" xr:uid="{00000000-0005-0000-0000-00009A9F0000}"/>
    <cellStyle name="Normal 31 47" xfId="40853" xr:uid="{00000000-0005-0000-0000-00009B9F0000}"/>
    <cellStyle name="Normal 31 47 2" xfId="40854" xr:uid="{00000000-0005-0000-0000-00009C9F0000}"/>
    <cellStyle name="Normal 31 48" xfId="40855" xr:uid="{00000000-0005-0000-0000-00009D9F0000}"/>
    <cellStyle name="Normal 31 48 2" xfId="40856" xr:uid="{00000000-0005-0000-0000-00009E9F0000}"/>
    <cellStyle name="Normal 31 49" xfId="40857" xr:uid="{00000000-0005-0000-0000-00009F9F0000}"/>
    <cellStyle name="Normal 31 49 2" xfId="40858" xr:uid="{00000000-0005-0000-0000-0000A09F0000}"/>
    <cellStyle name="Normal 31 5" xfId="40859" xr:uid="{00000000-0005-0000-0000-0000A19F0000}"/>
    <cellStyle name="Normal 31 5 2" xfId="40860" xr:uid="{00000000-0005-0000-0000-0000A29F0000}"/>
    <cellStyle name="Normal 31 50" xfId="40861" xr:uid="{00000000-0005-0000-0000-0000A39F0000}"/>
    <cellStyle name="Normal 31 50 2" xfId="40862" xr:uid="{00000000-0005-0000-0000-0000A49F0000}"/>
    <cellStyle name="Normal 31 51" xfId="40863" xr:uid="{00000000-0005-0000-0000-0000A59F0000}"/>
    <cellStyle name="Normal 31 51 2" xfId="40864" xr:uid="{00000000-0005-0000-0000-0000A69F0000}"/>
    <cellStyle name="Normal 31 52" xfId="40865" xr:uid="{00000000-0005-0000-0000-0000A79F0000}"/>
    <cellStyle name="Normal 31 52 2" xfId="40866" xr:uid="{00000000-0005-0000-0000-0000A89F0000}"/>
    <cellStyle name="Normal 31 53" xfId="40867" xr:uid="{00000000-0005-0000-0000-0000A99F0000}"/>
    <cellStyle name="Normal 31 53 2" xfId="40868" xr:uid="{00000000-0005-0000-0000-0000AA9F0000}"/>
    <cellStyle name="Normal 31 54" xfId="40869" xr:uid="{00000000-0005-0000-0000-0000AB9F0000}"/>
    <cellStyle name="Normal 31 54 2" xfId="40870" xr:uid="{00000000-0005-0000-0000-0000AC9F0000}"/>
    <cellStyle name="Normal 31 55" xfId="40871" xr:uid="{00000000-0005-0000-0000-0000AD9F0000}"/>
    <cellStyle name="Normal 31 55 2" xfId="40872" xr:uid="{00000000-0005-0000-0000-0000AE9F0000}"/>
    <cellStyle name="Normal 31 56" xfId="40873" xr:uid="{00000000-0005-0000-0000-0000AF9F0000}"/>
    <cellStyle name="Normal 31 56 2" xfId="40874" xr:uid="{00000000-0005-0000-0000-0000B09F0000}"/>
    <cellStyle name="Normal 31 57" xfId="40875" xr:uid="{00000000-0005-0000-0000-0000B19F0000}"/>
    <cellStyle name="Normal 31 57 2" xfId="40876" xr:uid="{00000000-0005-0000-0000-0000B29F0000}"/>
    <cellStyle name="Normal 31 58" xfId="40877" xr:uid="{00000000-0005-0000-0000-0000B39F0000}"/>
    <cellStyle name="Normal 31 58 2" xfId="40878" xr:uid="{00000000-0005-0000-0000-0000B49F0000}"/>
    <cellStyle name="Normal 31 59" xfId="40879" xr:uid="{00000000-0005-0000-0000-0000B59F0000}"/>
    <cellStyle name="Normal 31 59 2" xfId="40880" xr:uid="{00000000-0005-0000-0000-0000B69F0000}"/>
    <cellStyle name="Normal 31 6" xfId="40881" xr:uid="{00000000-0005-0000-0000-0000B79F0000}"/>
    <cellStyle name="Normal 31 6 2" xfId="40882" xr:uid="{00000000-0005-0000-0000-0000B89F0000}"/>
    <cellStyle name="Normal 31 60" xfId="40883" xr:uid="{00000000-0005-0000-0000-0000B99F0000}"/>
    <cellStyle name="Normal 31 60 2" xfId="40884" xr:uid="{00000000-0005-0000-0000-0000BA9F0000}"/>
    <cellStyle name="Normal 31 61" xfId="40885" xr:uid="{00000000-0005-0000-0000-0000BB9F0000}"/>
    <cellStyle name="Normal 31 61 2" xfId="40886" xr:uid="{00000000-0005-0000-0000-0000BC9F0000}"/>
    <cellStyle name="Normal 31 62" xfId="40887" xr:uid="{00000000-0005-0000-0000-0000BD9F0000}"/>
    <cellStyle name="Normal 31 62 2" xfId="40888" xr:uid="{00000000-0005-0000-0000-0000BE9F0000}"/>
    <cellStyle name="Normal 31 62 3" xfId="40889" xr:uid="{00000000-0005-0000-0000-0000BF9F0000}"/>
    <cellStyle name="Normal 31 63" xfId="40890" xr:uid="{00000000-0005-0000-0000-0000C09F0000}"/>
    <cellStyle name="Normal 31 64" xfId="40891" xr:uid="{00000000-0005-0000-0000-0000C19F0000}"/>
    <cellStyle name="Normal 31 7" xfId="40892" xr:uid="{00000000-0005-0000-0000-0000C29F0000}"/>
    <cellStyle name="Normal 31 7 2" xfId="40893" xr:uid="{00000000-0005-0000-0000-0000C39F0000}"/>
    <cellStyle name="Normal 31 8" xfId="40894" xr:uid="{00000000-0005-0000-0000-0000C49F0000}"/>
    <cellStyle name="Normal 31 8 2" xfId="40895" xr:uid="{00000000-0005-0000-0000-0000C59F0000}"/>
    <cellStyle name="Normal 31 9" xfId="40896" xr:uid="{00000000-0005-0000-0000-0000C69F0000}"/>
    <cellStyle name="Normal 31 9 2" xfId="40897" xr:uid="{00000000-0005-0000-0000-0000C79F0000}"/>
    <cellStyle name="Normal 310" xfId="40898" xr:uid="{00000000-0005-0000-0000-0000C89F0000}"/>
    <cellStyle name="Normal 311" xfId="40899" xr:uid="{00000000-0005-0000-0000-0000C99F0000}"/>
    <cellStyle name="Normal 312" xfId="40900" xr:uid="{00000000-0005-0000-0000-0000CA9F0000}"/>
    <cellStyle name="Normal 313" xfId="40901" xr:uid="{00000000-0005-0000-0000-0000CB9F0000}"/>
    <cellStyle name="Normal 313 10" xfId="40902" xr:uid="{00000000-0005-0000-0000-0000CC9F0000}"/>
    <cellStyle name="Normal 313 10 2" xfId="40903" xr:uid="{00000000-0005-0000-0000-0000CD9F0000}"/>
    <cellStyle name="Normal 313 11" xfId="40904" xr:uid="{00000000-0005-0000-0000-0000CE9F0000}"/>
    <cellStyle name="Normal 313 11 2" xfId="40905" xr:uid="{00000000-0005-0000-0000-0000CF9F0000}"/>
    <cellStyle name="Normal 313 12" xfId="40906" xr:uid="{00000000-0005-0000-0000-0000D09F0000}"/>
    <cellStyle name="Normal 313 12 2" xfId="40907" xr:uid="{00000000-0005-0000-0000-0000D19F0000}"/>
    <cellStyle name="Normal 313 13" xfId="40908" xr:uid="{00000000-0005-0000-0000-0000D29F0000}"/>
    <cellStyle name="Normal 313 13 2" xfId="40909" xr:uid="{00000000-0005-0000-0000-0000D39F0000}"/>
    <cellStyle name="Normal 313 14" xfId="40910" xr:uid="{00000000-0005-0000-0000-0000D49F0000}"/>
    <cellStyle name="Normal 313 14 2" xfId="40911" xr:uid="{00000000-0005-0000-0000-0000D59F0000}"/>
    <cellStyle name="Normal 313 15" xfId="40912" xr:uid="{00000000-0005-0000-0000-0000D69F0000}"/>
    <cellStyle name="Normal 313 15 2" xfId="40913" xr:uid="{00000000-0005-0000-0000-0000D79F0000}"/>
    <cellStyle name="Normal 313 16" xfId="40914" xr:uid="{00000000-0005-0000-0000-0000D89F0000}"/>
    <cellStyle name="Normal 313 16 2" xfId="40915" xr:uid="{00000000-0005-0000-0000-0000D99F0000}"/>
    <cellStyle name="Normal 313 17" xfId="40916" xr:uid="{00000000-0005-0000-0000-0000DA9F0000}"/>
    <cellStyle name="Normal 313 17 2" xfId="40917" xr:uid="{00000000-0005-0000-0000-0000DB9F0000}"/>
    <cellStyle name="Normal 313 18" xfId="40918" xr:uid="{00000000-0005-0000-0000-0000DC9F0000}"/>
    <cellStyle name="Normal 313 18 2" xfId="40919" xr:uid="{00000000-0005-0000-0000-0000DD9F0000}"/>
    <cellStyle name="Normal 313 19" xfId="40920" xr:uid="{00000000-0005-0000-0000-0000DE9F0000}"/>
    <cellStyle name="Normal 313 19 2" xfId="40921" xr:uid="{00000000-0005-0000-0000-0000DF9F0000}"/>
    <cellStyle name="Normal 313 2" xfId="40922" xr:uid="{00000000-0005-0000-0000-0000E09F0000}"/>
    <cellStyle name="Normal 313 2 2" xfId="40923" xr:uid="{00000000-0005-0000-0000-0000E19F0000}"/>
    <cellStyle name="Normal 313 20" xfId="40924" xr:uid="{00000000-0005-0000-0000-0000E29F0000}"/>
    <cellStyle name="Normal 313 20 2" xfId="40925" xr:uid="{00000000-0005-0000-0000-0000E39F0000}"/>
    <cellStyle name="Normal 313 21" xfId="40926" xr:uid="{00000000-0005-0000-0000-0000E49F0000}"/>
    <cellStyle name="Normal 313 21 2" xfId="40927" xr:uid="{00000000-0005-0000-0000-0000E59F0000}"/>
    <cellStyle name="Normal 313 22" xfId="40928" xr:uid="{00000000-0005-0000-0000-0000E69F0000}"/>
    <cellStyle name="Normal 313 22 2" xfId="40929" xr:uid="{00000000-0005-0000-0000-0000E79F0000}"/>
    <cellStyle name="Normal 313 23" xfId="40930" xr:uid="{00000000-0005-0000-0000-0000E89F0000}"/>
    <cellStyle name="Normal 313 23 2" xfId="40931" xr:uid="{00000000-0005-0000-0000-0000E99F0000}"/>
    <cellStyle name="Normal 313 24" xfId="40932" xr:uid="{00000000-0005-0000-0000-0000EA9F0000}"/>
    <cellStyle name="Normal 313 24 2" xfId="40933" xr:uid="{00000000-0005-0000-0000-0000EB9F0000}"/>
    <cellStyle name="Normal 313 25" xfId="40934" xr:uid="{00000000-0005-0000-0000-0000EC9F0000}"/>
    <cellStyle name="Normal 313 25 2" xfId="40935" xr:uid="{00000000-0005-0000-0000-0000ED9F0000}"/>
    <cellStyle name="Normal 313 26" xfId="40936" xr:uid="{00000000-0005-0000-0000-0000EE9F0000}"/>
    <cellStyle name="Normal 313 26 2" xfId="40937" xr:uid="{00000000-0005-0000-0000-0000EF9F0000}"/>
    <cellStyle name="Normal 313 27" xfId="40938" xr:uid="{00000000-0005-0000-0000-0000F09F0000}"/>
    <cellStyle name="Normal 313 27 2" xfId="40939" xr:uid="{00000000-0005-0000-0000-0000F19F0000}"/>
    <cellStyle name="Normal 313 28" xfId="40940" xr:uid="{00000000-0005-0000-0000-0000F29F0000}"/>
    <cellStyle name="Normal 313 28 2" xfId="40941" xr:uid="{00000000-0005-0000-0000-0000F39F0000}"/>
    <cellStyle name="Normal 313 29" xfId="40942" xr:uid="{00000000-0005-0000-0000-0000F49F0000}"/>
    <cellStyle name="Normal 313 29 2" xfId="40943" xr:uid="{00000000-0005-0000-0000-0000F59F0000}"/>
    <cellStyle name="Normal 313 3" xfId="40944" xr:uid="{00000000-0005-0000-0000-0000F69F0000}"/>
    <cellStyle name="Normal 313 3 2" xfId="40945" xr:uid="{00000000-0005-0000-0000-0000F79F0000}"/>
    <cellStyle name="Normal 313 30" xfId="40946" xr:uid="{00000000-0005-0000-0000-0000F89F0000}"/>
    <cellStyle name="Normal 313 30 2" xfId="40947" xr:uid="{00000000-0005-0000-0000-0000F99F0000}"/>
    <cellStyle name="Normal 313 31" xfId="40948" xr:uid="{00000000-0005-0000-0000-0000FA9F0000}"/>
    <cellStyle name="Normal 313 31 2" xfId="40949" xr:uid="{00000000-0005-0000-0000-0000FB9F0000}"/>
    <cellStyle name="Normal 313 32" xfId="40950" xr:uid="{00000000-0005-0000-0000-0000FC9F0000}"/>
    <cellStyle name="Normal 313 32 2" xfId="40951" xr:uid="{00000000-0005-0000-0000-0000FD9F0000}"/>
    <cellStyle name="Normal 313 33" xfId="40952" xr:uid="{00000000-0005-0000-0000-0000FE9F0000}"/>
    <cellStyle name="Normal 313 33 2" xfId="40953" xr:uid="{00000000-0005-0000-0000-0000FF9F0000}"/>
    <cellStyle name="Normal 313 34" xfId="40954" xr:uid="{00000000-0005-0000-0000-000000A00000}"/>
    <cellStyle name="Normal 313 34 2" xfId="40955" xr:uid="{00000000-0005-0000-0000-000001A00000}"/>
    <cellStyle name="Normal 313 35" xfId="40956" xr:uid="{00000000-0005-0000-0000-000002A00000}"/>
    <cellStyle name="Normal 313 35 2" xfId="40957" xr:uid="{00000000-0005-0000-0000-000003A00000}"/>
    <cellStyle name="Normal 313 36" xfId="40958" xr:uid="{00000000-0005-0000-0000-000004A00000}"/>
    <cellStyle name="Normal 313 36 2" xfId="40959" xr:uid="{00000000-0005-0000-0000-000005A00000}"/>
    <cellStyle name="Normal 313 37" xfId="40960" xr:uid="{00000000-0005-0000-0000-000006A00000}"/>
    <cellStyle name="Normal 313 37 2" xfId="40961" xr:uid="{00000000-0005-0000-0000-000007A00000}"/>
    <cellStyle name="Normal 313 38" xfId="40962" xr:uid="{00000000-0005-0000-0000-000008A00000}"/>
    <cellStyle name="Normal 313 38 2" xfId="40963" xr:uid="{00000000-0005-0000-0000-000009A00000}"/>
    <cellStyle name="Normal 313 39" xfId="40964" xr:uid="{00000000-0005-0000-0000-00000AA00000}"/>
    <cellStyle name="Normal 313 39 2" xfId="40965" xr:uid="{00000000-0005-0000-0000-00000BA00000}"/>
    <cellStyle name="Normal 313 4" xfId="40966" xr:uid="{00000000-0005-0000-0000-00000CA00000}"/>
    <cellStyle name="Normal 313 4 2" xfId="40967" xr:uid="{00000000-0005-0000-0000-00000DA00000}"/>
    <cellStyle name="Normal 313 40" xfId="40968" xr:uid="{00000000-0005-0000-0000-00000EA00000}"/>
    <cellStyle name="Normal 313 40 2" xfId="40969" xr:uid="{00000000-0005-0000-0000-00000FA00000}"/>
    <cellStyle name="Normal 313 41" xfId="40970" xr:uid="{00000000-0005-0000-0000-000010A00000}"/>
    <cellStyle name="Normal 313 41 2" xfId="40971" xr:uid="{00000000-0005-0000-0000-000011A00000}"/>
    <cellStyle name="Normal 313 42" xfId="40972" xr:uid="{00000000-0005-0000-0000-000012A00000}"/>
    <cellStyle name="Normal 313 42 2" xfId="40973" xr:uid="{00000000-0005-0000-0000-000013A00000}"/>
    <cellStyle name="Normal 313 43" xfId="40974" xr:uid="{00000000-0005-0000-0000-000014A00000}"/>
    <cellStyle name="Normal 313 43 2" xfId="40975" xr:uid="{00000000-0005-0000-0000-000015A00000}"/>
    <cellStyle name="Normal 313 44" xfId="40976" xr:uid="{00000000-0005-0000-0000-000016A00000}"/>
    <cellStyle name="Normal 313 44 2" xfId="40977" xr:uid="{00000000-0005-0000-0000-000017A00000}"/>
    <cellStyle name="Normal 313 45" xfId="40978" xr:uid="{00000000-0005-0000-0000-000018A00000}"/>
    <cellStyle name="Normal 313 45 2" xfId="40979" xr:uid="{00000000-0005-0000-0000-000019A00000}"/>
    <cellStyle name="Normal 313 46" xfId="40980" xr:uid="{00000000-0005-0000-0000-00001AA00000}"/>
    <cellStyle name="Normal 313 46 2" xfId="40981" xr:uid="{00000000-0005-0000-0000-00001BA00000}"/>
    <cellStyle name="Normal 313 47" xfId="40982" xr:uid="{00000000-0005-0000-0000-00001CA00000}"/>
    <cellStyle name="Normal 313 47 2" xfId="40983" xr:uid="{00000000-0005-0000-0000-00001DA00000}"/>
    <cellStyle name="Normal 313 48" xfId="40984" xr:uid="{00000000-0005-0000-0000-00001EA00000}"/>
    <cellStyle name="Normal 313 48 2" xfId="40985" xr:uid="{00000000-0005-0000-0000-00001FA00000}"/>
    <cellStyle name="Normal 313 49" xfId="40986" xr:uid="{00000000-0005-0000-0000-000020A00000}"/>
    <cellStyle name="Normal 313 49 2" xfId="40987" xr:uid="{00000000-0005-0000-0000-000021A00000}"/>
    <cellStyle name="Normal 313 5" xfId="40988" xr:uid="{00000000-0005-0000-0000-000022A00000}"/>
    <cellStyle name="Normal 313 5 2" xfId="40989" xr:uid="{00000000-0005-0000-0000-000023A00000}"/>
    <cellStyle name="Normal 313 50" xfId="40990" xr:uid="{00000000-0005-0000-0000-000024A00000}"/>
    <cellStyle name="Normal 313 50 2" xfId="40991" xr:uid="{00000000-0005-0000-0000-000025A00000}"/>
    <cellStyle name="Normal 313 51" xfId="40992" xr:uid="{00000000-0005-0000-0000-000026A00000}"/>
    <cellStyle name="Normal 313 51 2" xfId="40993" xr:uid="{00000000-0005-0000-0000-000027A00000}"/>
    <cellStyle name="Normal 313 52" xfId="40994" xr:uid="{00000000-0005-0000-0000-000028A00000}"/>
    <cellStyle name="Normal 313 52 2" xfId="40995" xr:uid="{00000000-0005-0000-0000-000029A00000}"/>
    <cellStyle name="Normal 313 53" xfId="40996" xr:uid="{00000000-0005-0000-0000-00002AA00000}"/>
    <cellStyle name="Normal 313 53 2" xfId="40997" xr:uid="{00000000-0005-0000-0000-00002BA00000}"/>
    <cellStyle name="Normal 313 54" xfId="40998" xr:uid="{00000000-0005-0000-0000-00002CA00000}"/>
    <cellStyle name="Normal 313 54 2" xfId="40999" xr:uid="{00000000-0005-0000-0000-00002DA00000}"/>
    <cellStyle name="Normal 313 55" xfId="41000" xr:uid="{00000000-0005-0000-0000-00002EA00000}"/>
    <cellStyle name="Normal 313 55 2" xfId="41001" xr:uid="{00000000-0005-0000-0000-00002FA00000}"/>
    <cellStyle name="Normal 313 56" xfId="41002" xr:uid="{00000000-0005-0000-0000-000030A00000}"/>
    <cellStyle name="Normal 313 56 2" xfId="41003" xr:uid="{00000000-0005-0000-0000-000031A00000}"/>
    <cellStyle name="Normal 313 57" xfId="41004" xr:uid="{00000000-0005-0000-0000-000032A00000}"/>
    <cellStyle name="Normal 313 57 2" xfId="41005" xr:uid="{00000000-0005-0000-0000-000033A00000}"/>
    <cellStyle name="Normal 313 58" xfId="41006" xr:uid="{00000000-0005-0000-0000-000034A00000}"/>
    <cellStyle name="Normal 313 58 2" xfId="41007" xr:uid="{00000000-0005-0000-0000-000035A00000}"/>
    <cellStyle name="Normal 313 59" xfId="41008" xr:uid="{00000000-0005-0000-0000-000036A00000}"/>
    <cellStyle name="Normal 313 59 2" xfId="41009" xr:uid="{00000000-0005-0000-0000-000037A00000}"/>
    <cellStyle name="Normal 313 6" xfId="41010" xr:uid="{00000000-0005-0000-0000-000038A00000}"/>
    <cellStyle name="Normal 313 6 2" xfId="41011" xr:uid="{00000000-0005-0000-0000-000039A00000}"/>
    <cellStyle name="Normal 313 60" xfId="41012" xr:uid="{00000000-0005-0000-0000-00003AA00000}"/>
    <cellStyle name="Normal 313 60 2" xfId="41013" xr:uid="{00000000-0005-0000-0000-00003BA00000}"/>
    <cellStyle name="Normal 313 61" xfId="41014" xr:uid="{00000000-0005-0000-0000-00003CA00000}"/>
    <cellStyle name="Normal 313 61 2" xfId="41015" xr:uid="{00000000-0005-0000-0000-00003DA00000}"/>
    <cellStyle name="Normal 313 61 3" xfId="41016" xr:uid="{00000000-0005-0000-0000-00003EA00000}"/>
    <cellStyle name="Normal 313 62" xfId="41017" xr:uid="{00000000-0005-0000-0000-00003FA00000}"/>
    <cellStyle name="Normal 313 7" xfId="41018" xr:uid="{00000000-0005-0000-0000-000040A00000}"/>
    <cellStyle name="Normal 313 7 2" xfId="41019" xr:uid="{00000000-0005-0000-0000-000041A00000}"/>
    <cellStyle name="Normal 313 8" xfId="41020" xr:uid="{00000000-0005-0000-0000-000042A00000}"/>
    <cellStyle name="Normal 313 8 2" xfId="41021" xr:uid="{00000000-0005-0000-0000-000043A00000}"/>
    <cellStyle name="Normal 313 9" xfId="41022" xr:uid="{00000000-0005-0000-0000-000044A00000}"/>
    <cellStyle name="Normal 313 9 2" xfId="41023" xr:uid="{00000000-0005-0000-0000-000045A00000}"/>
    <cellStyle name="Normal 314" xfId="41024" xr:uid="{00000000-0005-0000-0000-000046A00000}"/>
    <cellStyle name="Normal 314 10" xfId="41025" xr:uid="{00000000-0005-0000-0000-000047A00000}"/>
    <cellStyle name="Normal 314 10 2" xfId="41026" xr:uid="{00000000-0005-0000-0000-000048A00000}"/>
    <cellStyle name="Normal 314 11" xfId="41027" xr:uid="{00000000-0005-0000-0000-000049A00000}"/>
    <cellStyle name="Normal 314 11 2" xfId="41028" xr:uid="{00000000-0005-0000-0000-00004AA00000}"/>
    <cellStyle name="Normal 314 12" xfId="41029" xr:uid="{00000000-0005-0000-0000-00004BA00000}"/>
    <cellStyle name="Normal 314 12 2" xfId="41030" xr:uid="{00000000-0005-0000-0000-00004CA00000}"/>
    <cellStyle name="Normal 314 13" xfId="41031" xr:uid="{00000000-0005-0000-0000-00004DA00000}"/>
    <cellStyle name="Normal 314 13 2" xfId="41032" xr:uid="{00000000-0005-0000-0000-00004EA00000}"/>
    <cellStyle name="Normal 314 14" xfId="41033" xr:uid="{00000000-0005-0000-0000-00004FA00000}"/>
    <cellStyle name="Normal 314 14 2" xfId="41034" xr:uid="{00000000-0005-0000-0000-000050A00000}"/>
    <cellStyle name="Normal 314 15" xfId="41035" xr:uid="{00000000-0005-0000-0000-000051A00000}"/>
    <cellStyle name="Normal 314 15 2" xfId="41036" xr:uid="{00000000-0005-0000-0000-000052A00000}"/>
    <cellStyle name="Normal 314 16" xfId="41037" xr:uid="{00000000-0005-0000-0000-000053A00000}"/>
    <cellStyle name="Normal 314 16 2" xfId="41038" xr:uid="{00000000-0005-0000-0000-000054A00000}"/>
    <cellStyle name="Normal 314 17" xfId="41039" xr:uid="{00000000-0005-0000-0000-000055A00000}"/>
    <cellStyle name="Normal 314 17 2" xfId="41040" xr:uid="{00000000-0005-0000-0000-000056A00000}"/>
    <cellStyle name="Normal 314 18" xfId="41041" xr:uid="{00000000-0005-0000-0000-000057A00000}"/>
    <cellStyle name="Normal 314 18 2" xfId="41042" xr:uid="{00000000-0005-0000-0000-000058A00000}"/>
    <cellStyle name="Normal 314 19" xfId="41043" xr:uid="{00000000-0005-0000-0000-000059A00000}"/>
    <cellStyle name="Normal 314 19 2" xfId="41044" xr:uid="{00000000-0005-0000-0000-00005AA00000}"/>
    <cellStyle name="Normal 314 2" xfId="41045" xr:uid="{00000000-0005-0000-0000-00005BA00000}"/>
    <cellStyle name="Normal 314 2 2" xfId="41046" xr:uid="{00000000-0005-0000-0000-00005CA00000}"/>
    <cellStyle name="Normal 314 20" xfId="41047" xr:uid="{00000000-0005-0000-0000-00005DA00000}"/>
    <cellStyle name="Normal 314 20 2" xfId="41048" xr:uid="{00000000-0005-0000-0000-00005EA00000}"/>
    <cellStyle name="Normal 314 21" xfId="41049" xr:uid="{00000000-0005-0000-0000-00005FA00000}"/>
    <cellStyle name="Normal 314 21 2" xfId="41050" xr:uid="{00000000-0005-0000-0000-000060A00000}"/>
    <cellStyle name="Normal 314 22" xfId="41051" xr:uid="{00000000-0005-0000-0000-000061A00000}"/>
    <cellStyle name="Normal 314 22 2" xfId="41052" xr:uid="{00000000-0005-0000-0000-000062A00000}"/>
    <cellStyle name="Normal 314 23" xfId="41053" xr:uid="{00000000-0005-0000-0000-000063A00000}"/>
    <cellStyle name="Normal 314 23 2" xfId="41054" xr:uid="{00000000-0005-0000-0000-000064A00000}"/>
    <cellStyle name="Normal 314 24" xfId="41055" xr:uid="{00000000-0005-0000-0000-000065A00000}"/>
    <cellStyle name="Normal 314 24 2" xfId="41056" xr:uid="{00000000-0005-0000-0000-000066A00000}"/>
    <cellStyle name="Normal 314 25" xfId="41057" xr:uid="{00000000-0005-0000-0000-000067A00000}"/>
    <cellStyle name="Normal 314 25 2" xfId="41058" xr:uid="{00000000-0005-0000-0000-000068A00000}"/>
    <cellStyle name="Normal 314 26" xfId="41059" xr:uid="{00000000-0005-0000-0000-000069A00000}"/>
    <cellStyle name="Normal 314 26 2" xfId="41060" xr:uid="{00000000-0005-0000-0000-00006AA00000}"/>
    <cellStyle name="Normal 314 27" xfId="41061" xr:uid="{00000000-0005-0000-0000-00006BA00000}"/>
    <cellStyle name="Normal 314 27 2" xfId="41062" xr:uid="{00000000-0005-0000-0000-00006CA00000}"/>
    <cellStyle name="Normal 314 28" xfId="41063" xr:uid="{00000000-0005-0000-0000-00006DA00000}"/>
    <cellStyle name="Normal 314 28 2" xfId="41064" xr:uid="{00000000-0005-0000-0000-00006EA00000}"/>
    <cellStyle name="Normal 314 29" xfId="41065" xr:uid="{00000000-0005-0000-0000-00006FA00000}"/>
    <cellStyle name="Normal 314 29 2" xfId="41066" xr:uid="{00000000-0005-0000-0000-000070A00000}"/>
    <cellStyle name="Normal 314 3" xfId="41067" xr:uid="{00000000-0005-0000-0000-000071A00000}"/>
    <cellStyle name="Normal 314 3 2" xfId="41068" xr:uid="{00000000-0005-0000-0000-000072A00000}"/>
    <cellStyle name="Normal 314 30" xfId="41069" xr:uid="{00000000-0005-0000-0000-000073A00000}"/>
    <cellStyle name="Normal 314 30 2" xfId="41070" xr:uid="{00000000-0005-0000-0000-000074A00000}"/>
    <cellStyle name="Normal 314 31" xfId="41071" xr:uid="{00000000-0005-0000-0000-000075A00000}"/>
    <cellStyle name="Normal 314 31 2" xfId="41072" xr:uid="{00000000-0005-0000-0000-000076A00000}"/>
    <cellStyle name="Normal 314 32" xfId="41073" xr:uid="{00000000-0005-0000-0000-000077A00000}"/>
    <cellStyle name="Normal 314 32 2" xfId="41074" xr:uid="{00000000-0005-0000-0000-000078A00000}"/>
    <cellStyle name="Normal 314 33" xfId="41075" xr:uid="{00000000-0005-0000-0000-000079A00000}"/>
    <cellStyle name="Normal 314 33 2" xfId="41076" xr:uid="{00000000-0005-0000-0000-00007AA00000}"/>
    <cellStyle name="Normal 314 34" xfId="41077" xr:uid="{00000000-0005-0000-0000-00007BA00000}"/>
    <cellStyle name="Normal 314 34 2" xfId="41078" xr:uid="{00000000-0005-0000-0000-00007CA00000}"/>
    <cellStyle name="Normal 314 35" xfId="41079" xr:uid="{00000000-0005-0000-0000-00007DA00000}"/>
    <cellStyle name="Normal 314 35 2" xfId="41080" xr:uid="{00000000-0005-0000-0000-00007EA00000}"/>
    <cellStyle name="Normal 314 36" xfId="41081" xr:uid="{00000000-0005-0000-0000-00007FA00000}"/>
    <cellStyle name="Normal 314 36 2" xfId="41082" xr:uid="{00000000-0005-0000-0000-000080A00000}"/>
    <cellStyle name="Normal 314 37" xfId="41083" xr:uid="{00000000-0005-0000-0000-000081A00000}"/>
    <cellStyle name="Normal 314 37 2" xfId="41084" xr:uid="{00000000-0005-0000-0000-000082A00000}"/>
    <cellStyle name="Normal 314 38" xfId="41085" xr:uid="{00000000-0005-0000-0000-000083A00000}"/>
    <cellStyle name="Normal 314 38 2" xfId="41086" xr:uid="{00000000-0005-0000-0000-000084A00000}"/>
    <cellStyle name="Normal 314 39" xfId="41087" xr:uid="{00000000-0005-0000-0000-000085A00000}"/>
    <cellStyle name="Normal 314 39 2" xfId="41088" xr:uid="{00000000-0005-0000-0000-000086A00000}"/>
    <cellStyle name="Normal 314 4" xfId="41089" xr:uid="{00000000-0005-0000-0000-000087A00000}"/>
    <cellStyle name="Normal 314 4 2" xfId="41090" xr:uid="{00000000-0005-0000-0000-000088A00000}"/>
    <cellStyle name="Normal 314 40" xfId="41091" xr:uid="{00000000-0005-0000-0000-000089A00000}"/>
    <cellStyle name="Normal 314 40 2" xfId="41092" xr:uid="{00000000-0005-0000-0000-00008AA00000}"/>
    <cellStyle name="Normal 314 41" xfId="41093" xr:uid="{00000000-0005-0000-0000-00008BA00000}"/>
    <cellStyle name="Normal 314 41 2" xfId="41094" xr:uid="{00000000-0005-0000-0000-00008CA00000}"/>
    <cellStyle name="Normal 314 42" xfId="41095" xr:uid="{00000000-0005-0000-0000-00008DA00000}"/>
    <cellStyle name="Normal 314 42 2" xfId="41096" xr:uid="{00000000-0005-0000-0000-00008EA00000}"/>
    <cellStyle name="Normal 314 43" xfId="41097" xr:uid="{00000000-0005-0000-0000-00008FA00000}"/>
    <cellStyle name="Normal 314 43 2" xfId="41098" xr:uid="{00000000-0005-0000-0000-000090A00000}"/>
    <cellStyle name="Normal 314 44" xfId="41099" xr:uid="{00000000-0005-0000-0000-000091A00000}"/>
    <cellStyle name="Normal 314 44 2" xfId="41100" xr:uid="{00000000-0005-0000-0000-000092A00000}"/>
    <cellStyle name="Normal 314 45" xfId="41101" xr:uid="{00000000-0005-0000-0000-000093A00000}"/>
    <cellStyle name="Normal 314 45 2" xfId="41102" xr:uid="{00000000-0005-0000-0000-000094A00000}"/>
    <cellStyle name="Normal 314 46" xfId="41103" xr:uid="{00000000-0005-0000-0000-000095A00000}"/>
    <cellStyle name="Normal 314 46 2" xfId="41104" xr:uid="{00000000-0005-0000-0000-000096A00000}"/>
    <cellStyle name="Normal 314 47" xfId="41105" xr:uid="{00000000-0005-0000-0000-000097A00000}"/>
    <cellStyle name="Normal 314 47 2" xfId="41106" xr:uid="{00000000-0005-0000-0000-000098A00000}"/>
    <cellStyle name="Normal 314 48" xfId="41107" xr:uid="{00000000-0005-0000-0000-000099A00000}"/>
    <cellStyle name="Normal 314 48 2" xfId="41108" xr:uid="{00000000-0005-0000-0000-00009AA00000}"/>
    <cellStyle name="Normal 314 49" xfId="41109" xr:uid="{00000000-0005-0000-0000-00009BA00000}"/>
    <cellStyle name="Normal 314 49 2" xfId="41110" xr:uid="{00000000-0005-0000-0000-00009CA00000}"/>
    <cellStyle name="Normal 314 5" xfId="41111" xr:uid="{00000000-0005-0000-0000-00009DA00000}"/>
    <cellStyle name="Normal 314 5 2" xfId="41112" xr:uid="{00000000-0005-0000-0000-00009EA00000}"/>
    <cellStyle name="Normal 314 50" xfId="41113" xr:uid="{00000000-0005-0000-0000-00009FA00000}"/>
    <cellStyle name="Normal 314 50 2" xfId="41114" xr:uid="{00000000-0005-0000-0000-0000A0A00000}"/>
    <cellStyle name="Normal 314 51" xfId="41115" xr:uid="{00000000-0005-0000-0000-0000A1A00000}"/>
    <cellStyle name="Normal 314 51 2" xfId="41116" xr:uid="{00000000-0005-0000-0000-0000A2A00000}"/>
    <cellStyle name="Normal 314 52" xfId="41117" xr:uid="{00000000-0005-0000-0000-0000A3A00000}"/>
    <cellStyle name="Normal 314 52 2" xfId="41118" xr:uid="{00000000-0005-0000-0000-0000A4A00000}"/>
    <cellStyle name="Normal 314 53" xfId="41119" xr:uid="{00000000-0005-0000-0000-0000A5A00000}"/>
    <cellStyle name="Normal 314 53 2" xfId="41120" xr:uid="{00000000-0005-0000-0000-0000A6A00000}"/>
    <cellStyle name="Normal 314 54" xfId="41121" xr:uid="{00000000-0005-0000-0000-0000A7A00000}"/>
    <cellStyle name="Normal 314 54 2" xfId="41122" xr:uid="{00000000-0005-0000-0000-0000A8A00000}"/>
    <cellStyle name="Normal 314 55" xfId="41123" xr:uid="{00000000-0005-0000-0000-0000A9A00000}"/>
    <cellStyle name="Normal 314 55 2" xfId="41124" xr:uid="{00000000-0005-0000-0000-0000AAA00000}"/>
    <cellStyle name="Normal 314 56" xfId="41125" xr:uid="{00000000-0005-0000-0000-0000ABA00000}"/>
    <cellStyle name="Normal 314 56 2" xfId="41126" xr:uid="{00000000-0005-0000-0000-0000ACA00000}"/>
    <cellStyle name="Normal 314 57" xfId="41127" xr:uid="{00000000-0005-0000-0000-0000ADA00000}"/>
    <cellStyle name="Normal 314 57 2" xfId="41128" xr:uid="{00000000-0005-0000-0000-0000AEA00000}"/>
    <cellStyle name="Normal 314 58" xfId="41129" xr:uid="{00000000-0005-0000-0000-0000AFA00000}"/>
    <cellStyle name="Normal 314 58 2" xfId="41130" xr:uid="{00000000-0005-0000-0000-0000B0A00000}"/>
    <cellStyle name="Normal 314 59" xfId="41131" xr:uid="{00000000-0005-0000-0000-0000B1A00000}"/>
    <cellStyle name="Normal 314 59 2" xfId="41132" xr:uid="{00000000-0005-0000-0000-0000B2A00000}"/>
    <cellStyle name="Normal 314 6" xfId="41133" xr:uid="{00000000-0005-0000-0000-0000B3A00000}"/>
    <cellStyle name="Normal 314 6 2" xfId="41134" xr:uid="{00000000-0005-0000-0000-0000B4A00000}"/>
    <cellStyle name="Normal 314 60" xfId="41135" xr:uid="{00000000-0005-0000-0000-0000B5A00000}"/>
    <cellStyle name="Normal 314 60 2" xfId="41136" xr:uid="{00000000-0005-0000-0000-0000B6A00000}"/>
    <cellStyle name="Normal 314 61" xfId="41137" xr:uid="{00000000-0005-0000-0000-0000B7A00000}"/>
    <cellStyle name="Normal 314 61 2" xfId="41138" xr:uid="{00000000-0005-0000-0000-0000B8A00000}"/>
    <cellStyle name="Normal 314 61 3" xfId="41139" xr:uid="{00000000-0005-0000-0000-0000B9A00000}"/>
    <cellStyle name="Normal 314 62" xfId="41140" xr:uid="{00000000-0005-0000-0000-0000BAA00000}"/>
    <cellStyle name="Normal 314 7" xfId="41141" xr:uid="{00000000-0005-0000-0000-0000BBA00000}"/>
    <cellStyle name="Normal 314 7 2" xfId="41142" xr:uid="{00000000-0005-0000-0000-0000BCA00000}"/>
    <cellStyle name="Normal 314 8" xfId="41143" xr:uid="{00000000-0005-0000-0000-0000BDA00000}"/>
    <cellStyle name="Normal 314 8 2" xfId="41144" xr:uid="{00000000-0005-0000-0000-0000BEA00000}"/>
    <cellStyle name="Normal 314 9" xfId="41145" xr:uid="{00000000-0005-0000-0000-0000BFA00000}"/>
    <cellStyle name="Normal 314 9 2" xfId="41146" xr:uid="{00000000-0005-0000-0000-0000C0A00000}"/>
    <cellStyle name="Normal 315" xfId="41147" xr:uid="{00000000-0005-0000-0000-0000C1A00000}"/>
    <cellStyle name="Normal 316" xfId="41148" xr:uid="{00000000-0005-0000-0000-0000C2A00000}"/>
    <cellStyle name="Normal 317" xfId="41149" xr:uid="{00000000-0005-0000-0000-0000C3A00000}"/>
    <cellStyle name="Normal 317 10" xfId="41150" xr:uid="{00000000-0005-0000-0000-0000C4A00000}"/>
    <cellStyle name="Normal 317 10 2" xfId="41151" xr:uid="{00000000-0005-0000-0000-0000C5A00000}"/>
    <cellStyle name="Normal 317 11" xfId="41152" xr:uid="{00000000-0005-0000-0000-0000C6A00000}"/>
    <cellStyle name="Normal 317 11 2" xfId="41153" xr:uid="{00000000-0005-0000-0000-0000C7A00000}"/>
    <cellStyle name="Normal 317 12" xfId="41154" xr:uid="{00000000-0005-0000-0000-0000C8A00000}"/>
    <cellStyle name="Normal 317 12 2" xfId="41155" xr:uid="{00000000-0005-0000-0000-0000C9A00000}"/>
    <cellStyle name="Normal 317 13" xfId="41156" xr:uid="{00000000-0005-0000-0000-0000CAA00000}"/>
    <cellStyle name="Normal 317 13 2" xfId="41157" xr:uid="{00000000-0005-0000-0000-0000CBA00000}"/>
    <cellStyle name="Normal 317 14" xfId="41158" xr:uid="{00000000-0005-0000-0000-0000CCA00000}"/>
    <cellStyle name="Normal 317 14 2" xfId="41159" xr:uid="{00000000-0005-0000-0000-0000CDA00000}"/>
    <cellStyle name="Normal 317 15" xfId="41160" xr:uid="{00000000-0005-0000-0000-0000CEA00000}"/>
    <cellStyle name="Normal 317 15 2" xfId="41161" xr:uid="{00000000-0005-0000-0000-0000CFA00000}"/>
    <cellStyle name="Normal 317 16" xfId="41162" xr:uid="{00000000-0005-0000-0000-0000D0A00000}"/>
    <cellStyle name="Normal 317 16 2" xfId="41163" xr:uid="{00000000-0005-0000-0000-0000D1A00000}"/>
    <cellStyle name="Normal 317 17" xfId="41164" xr:uid="{00000000-0005-0000-0000-0000D2A00000}"/>
    <cellStyle name="Normal 317 17 2" xfId="41165" xr:uid="{00000000-0005-0000-0000-0000D3A00000}"/>
    <cellStyle name="Normal 317 18" xfId="41166" xr:uid="{00000000-0005-0000-0000-0000D4A00000}"/>
    <cellStyle name="Normal 317 18 2" xfId="41167" xr:uid="{00000000-0005-0000-0000-0000D5A00000}"/>
    <cellStyle name="Normal 317 19" xfId="41168" xr:uid="{00000000-0005-0000-0000-0000D6A00000}"/>
    <cellStyle name="Normal 317 19 2" xfId="41169" xr:uid="{00000000-0005-0000-0000-0000D7A00000}"/>
    <cellStyle name="Normal 317 2" xfId="41170" xr:uid="{00000000-0005-0000-0000-0000D8A00000}"/>
    <cellStyle name="Normal 317 2 2" xfId="41171" xr:uid="{00000000-0005-0000-0000-0000D9A00000}"/>
    <cellStyle name="Normal 317 20" xfId="41172" xr:uid="{00000000-0005-0000-0000-0000DAA00000}"/>
    <cellStyle name="Normal 317 20 2" xfId="41173" xr:uid="{00000000-0005-0000-0000-0000DBA00000}"/>
    <cellStyle name="Normal 317 21" xfId="41174" xr:uid="{00000000-0005-0000-0000-0000DCA00000}"/>
    <cellStyle name="Normal 317 21 2" xfId="41175" xr:uid="{00000000-0005-0000-0000-0000DDA00000}"/>
    <cellStyle name="Normal 317 22" xfId="41176" xr:uid="{00000000-0005-0000-0000-0000DEA00000}"/>
    <cellStyle name="Normal 317 22 2" xfId="41177" xr:uid="{00000000-0005-0000-0000-0000DFA00000}"/>
    <cellStyle name="Normal 317 23" xfId="41178" xr:uid="{00000000-0005-0000-0000-0000E0A00000}"/>
    <cellStyle name="Normal 317 23 2" xfId="41179" xr:uid="{00000000-0005-0000-0000-0000E1A00000}"/>
    <cellStyle name="Normal 317 24" xfId="41180" xr:uid="{00000000-0005-0000-0000-0000E2A00000}"/>
    <cellStyle name="Normal 317 24 2" xfId="41181" xr:uid="{00000000-0005-0000-0000-0000E3A00000}"/>
    <cellStyle name="Normal 317 25" xfId="41182" xr:uid="{00000000-0005-0000-0000-0000E4A00000}"/>
    <cellStyle name="Normal 317 25 2" xfId="41183" xr:uid="{00000000-0005-0000-0000-0000E5A00000}"/>
    <cellStyle name="Normal 317 26" xfId="41184" xr:uid="{00000000-0005-0000-0000-0000E6A00000}"/>
    <cellStyle name="Normal 317 26 2" xfId="41185" xr:uid="{00000000-0005-0000-0000-0000E7A00000}"/>
    <cellStyle name="Normal 317 27" xfId="41186" xr:uid="{00000000-0005-0000-0000-0000E8A00000}"/>
    <cellStyle name="Normal 317 27 2" xfId="41187" xr:uid="{00000000-0005-0000-0000-0000E9A00000}"/>
    <cellStyle name="Normal 317 28" xfId="41188" xr:uid="{00000000-0005-0000-0000-0000EAA00000}"/>
    <cellStyle name="Normal 317 28 2" xfId="41189" xr:uid="{00000000-0005-0000-0000-0000EBA00000}"/>
    <cellStyle name="Normal 317 29" xfId="41190" xr:uid="{00000000-0005-0000-0000-0000ECA00000}"/>
    <cellStyle name="Normal 317 29 2" xfId="41191" xr:uid="{00000000-0005-0000-0000-0000EDA00000}"/>
    <cellStyle name="Normal 317 3" xfId="41192" xr:uid="{00000000-0005-0000-0000-0000EEA00000}"/>
    <cellStyle name="Normal 317 3 2" xfId="41193" xr:uid="{00000000-0005-0000-0000-0000EFA00000}"/>
    <cellStyle name="Normal 317 30" xfId="41194" xr:uid="{00000000-0005-0000-0000-0000F0A00000}"/>
    <cellStyle name="Normal 317 30 2" xfId="41195" xr:uid="{00000000-0005-0000-0000-0000F1A00000}"/>
    <cellStyle name="Normal 317 31" xfId="41196" xr:uid="{00000000-0005-0000-0000-0000F2A00000}"/>
    <cellStyle name="Normal 317 31 2" xfId="41197" xr:uid="{00000000-0005-0000-0000-0000F3A00000}"/>
    <cellStyle name="Normal 317 32" xfId="41198" xr:uid="{00000000-0005-0000-0000-0000F4A00000}"/>
    <cellStyle name="Normal 317 32 2" xfId="41199" xr:uid="{00000000-0005-0000-0000-0000F5A00000}"/>
    <cellStyle name="Normal 317 33" xfId="41200" xr:uid="{00000000-0005-0000-0000-0000F6A00000}"/>
    <cellStyle name="Normal 317 33 2" xfId="41201" xr:uid="{00000000-0005-0000-0000-0000F7A00000}"/>
    <cellStyle name="Normal 317 34" xfId="41202" xr:uid="{00000000-0005-0000-0000-0000F8A00000}"/>
    <cellStyle name="Normal 317 34 2" xfId="41203" xr:uid="{00000000-0005-0000-0000-0000F9A00000}"/>
    <cellStyle name="Normal 317 35" xfId="41204" xr:uid="{00000000-0005-0000-0000-0000FAA00000}"/>
    <cellStyle name="Normal 317 35 2" xfId="41205" xr:uid="{00000000-0005-0000-0000-0000FBA00000}"/>
    <cellStyle name="Normal 317 36" xfId="41206" xr:uid="{00000000-0005-0000-0000-0000FCA00000}"/>
    <cellStyle name="Normal 317 36 2" xfId="41207" xr:uid="{00000000-0005-0000-0000-0000FDA00000}"/>
    <cellStyle name="Normal 317 37" xfId="41208" xr:uid="{00000000-0005-0000-0000-0000FEA00000}"/>
    <cellStyle name="Normal 317 37 2" xfId="41209" xr:uid="{00000000-0005-0000-0000-0000FFA00000}"/>
    <cellStyle name="Normal 317 38" xfId="41210" xr:uid="{00000000-0005-0000-0000-000000A10000}"/>
    <cellStyle name="Normal 317 38 2" xfId="41211" xr:uid="{00000000-0005-0000-0000-000001A10000}"/>
    <cellStyle name="Normal 317 39" xfId="41212" xr:uid="{00000000-0005-0000-0000-000002A10000}"/>
    <cellStyle name="Normal 317 39 2" xfId="41213" xr:uid="{00000000-0005-0000-0000-000003A10000}"/>
    <cellStyle name="Normal 317 4" xfId="41214" xr:uid="{00000000-0005-0000-0000-000004A10000}"/>
    <cellStyle name="Normal 317 4 2" xfId="41215" xr:uid="{00000000-0005-0000-0000-000005A10000}"/>
    <cellStyle name="Normal 317 40" xfId="41216" xr:uid="{00000000-0005-0000-0000-000006A10000}"/>
    <cellStyle name="Normal 317 40 2" xfId="41217" xr:uid="{00000000-0005-0000-0000-000007A10000}"/>
    <cellStyle name="Normal 317 41" xfId="41218" xr:uid="{00000000-0005-0000-0000-000008A10000}"/>
    <cellStyle name="Normal 317 41 2" xfId="41219" xr:uid="{00000000-0005-0000-0000-000009A10000}"/>
    <cellStyle name="Normal 317 42" xfId="41220" xr:uid="{00000000-0005-0000-0000-00000AA10000}"/>
    <cellStyle name="Normal 317 42 2" xfId="41221" xr:uid="{00000000-0005-0000-0000-00000BA10000}"/>
    <cellStyle name="Normal 317 43" xfId="41222" xr:uid="{00000000-0005-0000-0000-00000CA10000}"/>
    <cellStyle name="Normal 317 43 2" xfId="41223" xr:uid="{00000000-0005-0000-0000-00000DA10000}"/>
    <cellStyle name="Normal 317 44" xfId="41224" xr:uid="{00000000-0005-0000-0000-00000EA10000}"/>
    <cellStyle name="Normal 317 44 2" xfId="41225" xr:uid="{00000000-0005-0000-0000-00000FA10000}"/>
    <cellStyle name="Normal 317 45" xfId="41226" xr:uid="{00000000-0005-0000-0000-000010A10000}"/>
    <cellStyle name="Normal 317 45 2" xfId="41227" xr:uid="{00000000-0005-0000-0000-000011A10000}"/>
    <cellStyle name="Normal 317 46" xfId="41228" xr:uid="{00000000-0005-0000-0000-000012A10000}"/>
    <cellStyle name="Normal 317 46 2" xfId="41229" xr:uid="{00000000-0005-0000-0000-000013A10000}"/>
    <cellStyle name="Normal 317 47" xfId="41230" xr:uid="{00000000-0005-0000-0000-000014A10000}"/>
    <cellStyle name="Normal 317 47 2" xfId="41231" xr:uid="{00000000-0005-0000-0000-000015A10000}"/>
    <cellStyle name="Normal 317 48" xfId="41232" xr:uid="{00000000-0005-0000-0000-000016A10000}"/>
    <cellStyle name="Normal 317 48 2" xfId="41233" xr:uid="{00000000-0005-0000-0000-000017A10000}"/>
    <cellStyle name="Normal 317 49" xfId="41234" xr:uid="{00000000-0005-0000-0000-000018A10000}"/>
    <cellStyle name="Normal 317 49 2" xfId="41235" xr:uid="{00000000-0005-0000-0000-000019A10000}"/>
    <cellStyle name="Normal 317 5" xfId="41236" xr:uid="{00000000-0005-0000-0000-00001AA10000}"/>
    <cellStyle name="Normal 317 5 2" xfId="41237" xr:uid="{00000000-0005-0000-0000-00001BA10000}"/>
    <cellStyle name="Normal 317 50" xfId="41238" xr:uid="{00000000-0005-0000-0000-00001CA10000}"/>
    <cellStyle name="Normal 317 50 2" xfId="41239" xr:uid="{00000000-0005-0000-0000-00001DA10000}"/>
    <cellStyle name="Normal 317 51" xfId="41240" xr:uid="{00000000-0005-0000-0000-00001EA10000}"/>
    <cellStyle name="Normal 317 51 2" xfId="41241" xr:uid="{00000000-0005-0000-0000-00001FA10000}"/>
    <cellStyle name="Normal 317 52" xfId="41242" xr:uid="{00000000-0005-0000-0000-000020A10000}"/>
    <cellStyle name="Normal 317 52 2" xfId="41243" xr:uid="{00000000-0005-0000-0000-000021A10000}"/>
    <cellStyle name="Normal 317 53" xfId="41244" xr:uid="{00000000-0005-0000-0000-000022A10000}"/>
    <cellStyle name="Normal 317 53 2" xfId="41245" xr:uid="{00000000-0005-0000-0000-000023A10000}"/>
    <cellStyle name="Normal 317 54" xfId="41246" xr:uid="{00000000-0005-0000-0000-000024A10000}"/>
    <cellStyle name="Normal 317 54 2" xfId="41247" xr:uid="{00000000-0005-0000-0000-000025A10000}"/>
    <cellStyle name="Normal 317 55" xfId="41248" xr:uid="{00000000-0005-0000-0000-000026A10000}"/>
    <cellStyle name="Normal 317 55 2" xfId="41249" xr:uid="{00000000-0005-0000-0000-000027A10000}"/>
    <cellStyle name="Normal 317 56" xfId="41250" xr:uid="{00000000-0005-0000-0000-000028A10000}"/>
    <cellStyle name="Normal 317 56 2" xfId="41251" xr:uid="{00000000-0005-0000-0000-000029A10000}"/>
    <cellStyle name="Normal 317 57" xfId="41252" xr:uid="{00000000-0005-0000-0000-00002AA10000}"/>
    <cellStyle name="Normal 317 57 2" xfId="41253" xr:uid="{00000000-0005-0000-0000-00002BA10000}"/>
    <cellStyle name="Normal 317 58" xfId="41254" xr:uid="{00000000-0005-0000-0000-00002CA10000}"/>
    <cellStyle name="Normal 317 58 2" xfId="41255" xr:uid="{00000000-0005-0000-0000-00002DA10000}"/>
    <cellStyle name="Normal 317 59" xfId="41256" xr:uid="{00000000-0005-0000-0000-00002EA10000}"/>
    <cellStyle name="Normal 317 59 2" xfId="41257" xr:uid="{00000000-0005-0000-0000-00002FA10000}"/>
    <cellStyle name="Normal 317 6" xfId="41258" xr:uid="{00000000-0005-0000-0000-000030A10000}"/>
    <cellStyle name="Normal 317 6 2" xfId="41259" xr:uid="{00000000-0005-0000-0000-000031A10000}"/>
    <cellStyle name="Normal 317 60" xfId="41260" xr:uid="{00000000-0005-0000-0000-000032A10000}"/>
    <cellStyle name="Normal 317 60 2" xfId="41261" xr:uid="{00000000-0005-0000-0000-000033A10000}"/>
    <cellStyle name="Normal 317 61" xfId="41262" xr:uid="{00000000-0005-0000-0000-000034A10000}"/>
    <cellStyle name="Normal 317 61 2" xfId="41263" xr:uid="{00000000-0005-0000-0000-000035A10000}"/>
    <cellStyle name="Normal 317 61 3" xfId="41264" xr:uid="{00000000-0005-0000-0000-000036A10000}"/>
    <cellStyle name="Normal 317 62" xfId="41265" xr:uid="{00000000-0005-0000-0000-000037A10000}"/>
    <cellStyle name="Normal 317 7" xfId="41266" xr:uid="{00000000-0005-0000-0000-000038A10000}"/>
    <cellStyle name="Normal 317 7 2" xfId="41267" xr:uid="{00000000-0005-0000-0000-000039A10000}"/>
    <cellStyle name="Normal 317 8" xfId="41268" xr:uid="{00000000-0005-0000-0000-00003AA10000}"/>
    <cellStyle name="Normal 317 8 2" xfId="41269" xr:uid="{00000000-0005-0000-0000-00003BA10000}"/>
    <cellStyle name="Normal 317 9" xfId="41270" xr:uid="{00000000-0005-0000-0000-00003CA10000}"/>
    <cellStyle name="Normal 317 9 2" xfId="41271" xr:uid="{00000000-0005-0000-0000-00003DA10000}"/>
    <cellStyle name="Normal 318" xfId="41272" xr:uid="{00000000-0005-0000-0000-00003EA10000}"/>
    <cellStyle name="Normal 318 2" xfId="41273" xr:uid="{00000000-0005-0000-0000-00003FA10000}"/>
    <cellStyle name="Normal 319" xfId="41274" xr:uid="{00000000-0005-0000-0000-000040A10000}"/>
    <cellStyle name="Normal 319 10" xfId="41275" xr:uid="{00000000-0005-0000-0000-000041A10000}"/>
    <cellStyle name="Normal 319 10 2" xfId="41276" xr:uid="{00000000-0005-0000-0000-000042A10000}"/>
    <cellStyle name="Normal 319 11" xfId="41277" xr:uid="{00000000-0005-0000-0000-000043A10000}"/>
    <cellStyle name="Normal 319 11 2" xfId="41278" xr:uid="{00000000-0005-0000-0000-000044A10000}"/>
    <cellStyle name="Normal 319 12" xfId="41279" xr:uid="{00000000-0005-0000-0000-000045A10000}"/>
    <cellStyle name="Normal 319 12 2" xfId="41280" xr:uid="{00000000-0005-0000-0000-000046A10000}"/>
    <cellStyle name="Normal 319 13" xfId="41281" xr:uid="{00000000-0005-0000-0000-000047A10000}"/>
    <cellStyle name="Normal 319 13 2" xfId="41282" xr:uid="{00000000-0005-0000-0000-000048A10000}"/>
    <cellStyle name="Normal 319 14" xfId="41283" xr:uid="{00000000-0005-0000-0000-000049A10000}"/>
    <cellStyle name="Normal 319 14 2" xfId="41284" xr:uid="{00000000-0005-0000-0000-00004AA10000}"/>
    <cellStyle name="Normal 319 15" xfId="41285" xr:uid="{00000000-0005-0000-0000-00004BA10000}"/>
    <cellStyle name="Normal 319 15 2" xfId="41286" xr:uid="{00000000-0005-0000-0000-00004CA10000}"/>
    <cellStyle name="Normal 319 16" xfId="41287" xr:uid="{00000000-0005-0000-0000-00004DA10000}"/>
    <cellStyle name="Normal 319 16 2" xfId="41288" xr:uid="{00000000-0005-0000-0000-00004EA10000}"/>
    <cellStyle name="Normal 319 17" xfId="41289" xr:uid="{00000000-0005-0000-0000-00004FA10000}"/>
    <cellStyle name="Normal 319 17 2" xfId="41290" xr:uid="{00000000-0005-0000-0000-000050A10000}"/>
    <cellStyle name="Normal 319 18" xfId="41291" xr:uid="{00000000-0005-0000-0000-000051A10000}"/>
    <cellStyle name="Normal 319 18 2" xfId="41292" xr:uid="{00000000-0005-0000-0000-000052A10000}"/>
    <cellStyle name="Normal 319 19" xfId="41293" xr:uid="{00000000-0005-0000-0000-000053A10000}"/>
    <cellStyle name="Normal 319 19 2" xfId="41294" xr:uid="{00000000-0005-0000-0000-000054A10000}"/>
    <cellStyle name="Normal 319 2" xfId="41295" xr:uid="{00000000-0005-0000-0000-000055A10000}"/>
    <cellStyle name="Normal 319 2 2" xfId="41296" xr:uid="{00000000-0005-0000-0000-000056A10000}"/>
    <cellStyle name="Normal 319 20" xfId="41297" xr:uid="{00000000-0005-0000-0000-000057A10000}"/>
    <cellStyle name="Normal 319 20 2" xfId="41298" xr:uid="{00000000-0005-0000-0000-000058A10000}"/>
    <cellStyle name="Normal 319 21" xfId="41299" xr:uid="{00000000-0005-0000-0000-000059A10000}"/>
    <cellStyle name="Normal 319 21 2" xfId="41300" xr:uid="{00000000-0005-0000-0000-00005AA10000}"/>
    <cellStyle name="Normal 319 22" xfId="41301" xr:uid="{00000000-0005-0000-0000-00005BA10000}"/>
    <cellStyle name="Normal 319 22 2" xfId="41302" xr:uid="{00000000-0005-0000-0000-00005CA10000}"/>
    <cellStyle name="Normal 319 23" xfId="41303" xr:uid="{00000000-0005-0000-0000-00005DA10000}"/>
    <cellStyle name="Normal 319 23 2" xfId="41304" xr:uid="{00000000-0005-0000-0000-00005EA10000}"/>
    <cellStyle name="Normal 319 24" xfId="41305" xr:uid="{00000000-0005-0000-0000-00005FA10000}"/>
    <cellStyle name="Normal 319 24 2" xfId="41306" xr:uid="{00000000-0005-0000-0000-000060A10000}"/>
    <cellStyle name="Normal 319 25" xfId="41307" xr:uid="{00000000-0005-0000-0000-000061A10000}"/>
    <cellStyle name="Normal 319 25 2" xfId="41308" xr:uid="{00000000-0005-0000-0000-000062A10000}"/>
    <cellStyle name="Normal 319 26" xfId="41309" xr:uid="{00000000-0005-0000-0000-000063A10000}"/>
    <cellStyle name="Normal 319 26 2" xfId="41310" xr:uid="{00000000-0005-0000-0000-000064A10000}"/>
    <cellStyle name="Normal 319 27" xfId="41311" xr:uid="{00000000-0005-0000-0000-000065A10000}"/>
    <cellStyle name="Normal 319 27 2" xfId="41312" xr:uid="{00000000-0005-0000-0000-000066A10000}"/>
    <cellStyle name="Normal 319 28" xfId="41313" xr:uid="{00000000-0005-0000-0000-000067A10000}"/>
    <cellStyle name="Normal 319 28 2" xfId="41314" xr:uid="{00000000-0005-0000-0000-000068A10000}"/>
    <cellStyle name="Normal 319 29" xfId="41315" xr:uid="{00000000-0005-0000-0000-000069A10000}"/>
    <cellStyle name="Normal 319 29 2" xfId="41316" xr:uid="{00000000-0005-0000-0000-00006AA10000}"/>
    <cellStyle name="Normal 319 3" xfId="41317" xr:uid="{00000000-0005-0000-0000-00006BA10000}"/>
    <cellStyle name="Normal 319 3 2" xfId="41318" xr:uid="{00000000-0005-0000-0000-00006CA10000}"/>
    <cellStyle name="Normal 319 30" xfId="41319" xr:uid="{00000000-0005-0000-0000-00006DA10000}"/>
    <cellStyle name="Normal 319 30 2" xfId="41320" xr:uid="{00000000-0005-0000-0000-00006EA10000}"/>
    <cellStyle name="Normal 319 31" xfId="41321" xr:uid="{00000000-0005-0000-0000-00006FA10000}"/>
    <cellStyle name="Normal 319 31 2" xfId="41322" xr:uid="{00000000-0005-0000-0000-000070A10000}"/>
    <cellStyle name="Normal 319 32" xfId="41323" xr:uid="{00000000-0005-0000-0000-000071A10000}"/>
    <cellStyle name="Normal 319 32 2" xfId="41324" xr:uid="{00000000-0005-0000-0000-000072A10000}"/>
    <cellStyle name="Normal 319 33" xfId="41325" xr:uid="{00000000-0005-0000-0000-000073A10000}"/>
    <cellStyle name="Normal 319 33 2" xfId="41326" xr:uid="{00000000-0005-0000-0000-000074A10000}"/>
    <cellStyle name="Normal 319 34" xfId="41327" xr:uid="{00000000-0005-0000-0000-000075A10000}"/>
    <cellStyle name="Normal 319 34 2" xfId="41328" xr:uid="{00000000-0005-0000-0000-000076A10000}"/>
    <cellStyle name="Normal 319 35" xfId="41329" xr:uid="{00000000-0005-0000-0000-000077A10000}"/>
    <cellStyle name="Normal 319 35 2" xfId="41330" xr:uid="{00000000-0005-0000-0000-000078A10000}"/>
    <cellStyle name="Normal 319 36" xfId="41331" xr:uid="{00000000-0005-0000-0000-000079A10000}"/>
    <cellStyle name="Normal 319 36 2" xfId="41332" xr:uid="{00000000-0005-0000-0000-00007AA10000}"/>
    <cellStyle name="Normal 319 37" xfId="41333" xr:uid="{00000000-0005-0000-0000-00007BA10000}"/>
    <cellStyle name="Normal 319 37 2" xfId="41334" xr:uid="{00000000-0005-0000-0000-00007CA10000}"/>
    <cellStyle name="Normal 319 38" xfId="41335" xr:uid="{00000000-0005-0000-0000-00007DA10000}"/>
    <cellStyle name="Normal 319 38 2" xfId="41336" xr:uid="{00000000-0005-0000-0000-00007EA10000}"/>
    <cellStyle name="Normal 319 39" xfId="41337" xr:uid="{00000000-0005-0000-0000-00007FA10000}"/>
    <cellStyle name="Normal 319 39 2" xfId="41338" xr:uid="{00000000-0005-0000-0000-000080A10000}"/>
    <cellStyle name="Normal 319 4" xfId="41339" xr:uid="{00000000-0005-0000-0000-000081A10000}"/>
    <cellStyle name="Normal 319 4 2" xfId="41340" xr:uid="{00000000-0005-0000-0000-000082A10000}"/>
    <cellStyle name="Normal 319 40" xfId="41341" xr:uid="{00000000-0005-0000-0000-000083A10000}"/>
    <cellStyle name="Normal 319 40 2" xfId="41342" xr:uid="{00000000-0005-0000-0000-000084A10000}"/>
    <cellStyle name="Normal 319 41" xfId="41343" xr:uid="{00000000-0005-0000-0000-000085A10000}"/>
    <cellStyle name="Normal 319 41 2" xfId="41344" xr:uid="{00000000-0005-0000-0000-000086A10000}"/>
    <cellStyle name="Normal 319 42" xfId="41345" xr:uid="{00000000-0005-0000-0000-000087A10000}"/>
    <cellStyle name="Normal 319 42 2" xfId="41346" xr:uid="{00000000-0005-0000-0000-000088A10000}"/>
    <cellStyle name="Normal 319 43" xfId="41347" xr:uid="{00000000-0005-0000-0000-000089A10000}"/>
    <cellStyle name="Normal 319 43 2" xfId="41348" xr:uid="{00000000-0005-0000-0000-00008AA10000}"/>
    <cellStyle name="Normal 319 44" xfId="41349" xr:uid="{00000000-0005-0000-0000-00008BA10000}"/>
    <cellStyle name="Normal 319 44 2" xfId="41350" xr:uid="{00000000-0005-0000-0000-00008CA10000}"/>
    <cellStyle name="Normal 319 45" xfId="41351" xr:uid="{00000000-0005-0000-0000-00008DA10000}"/>
    <cellStyle name="Normal 319 45 2" xfId="41352" xr:uid="{00000000-0005-0000-0000-00008EA10000}"/>
    <cellStyle name="Normal 319 46" xfId="41353" xr:uid="{00000000-0005-0000-0000-00008FA10000}"/>
    <cellStyle name="Normal 319 46 2" xfId="41354" xr:uid="{00000000-0005-0000-0000-000090A10000}"/>
    <cellStyle name="Normal 319 47" xfId="41355" xr:uid="{00000000-0005-0000-0000-000091A10000}"/>
    <cellStyle name="Normal 319 47 2" xfId="41356" xr:uid="{00000000-0005-0000-0000-000092A10000}"/>
    <cellStyle name="Normal 319 48" xfId="41357" xr:uid="{00000000-0005-0000-0000-000093A10000}"/>
    <cellStyle name="Normal 319 48 2" xfId="41358" xr:uid="{00000000-0005-0000-0000-000094A10000}"/>
    <cellStyle name="Normal 319 49" xfId="41359" xr:uid="{00000000-0005-0000-0000-000095A10000}"/>
    <cellStyle name="Normal 319 49 2" xfId="41360" xr:uid="{00000000-0005-0000-0000-000096A10000}"/>
    <cellStyle name="Normal 319 5" xfId="41361" xr:uid="{00000000-0005-0000-0000-000097A10000}"/>
    <cellStyle name="Normal 319 5 2" xfId="41362" xr:uid="{00000000-0005-0000-0000-000098A10000}"/>
    <cellStyle name="Normal 319 50" xfId="41363" xr:uid="{00000000-0005-0000-0000-000099A10000}"/>
    <cellStyle name="Normal 319 50 2" xfId="41364" xr:uid="{00000000-0005-0000-0000-00009AA10000}"/>
    <cellStyle name="Normal 319 51" xfId="41365" xr:uid="{00000000-0005-0000-0000-00009BA10000}"/>
    <cellStyle name="Normal 319 51 2" xfId="41366" xr:uid="{00000000-0005-0000-0000-00009CA10000}"/>
    <cellStyle name="Normal 319 52" xfId="41367" xr:uid="{00000000-0005-0000-0000-00009DA10000}"/>
    <cellStyle name="Normal 319 52 2" xfId="41368" xr:uid="{00000000-0005-0000-0000-00009EA10000}"/>
    <cellStyle name="Normal 319 53" xfId="41369" xr:uid="{00000000-0005-0000-0000-00009FA10000}"/>
    <cellStyle name="Normal 319 53 2" xfId="41370" xr:uid="{00000000-0005-0000-0000-0000A0A10000}"/>
    <cellStyle name="Normal 319 54" xfId="41371" xr:uid="{00000000-0005-0000-0000-0000A1A10000}"/>
    <cellStyle name="Normal 319 54 2" xfId="41372" xr:uid="{00000000-0005-0000-0000-0000A2A10000}"/>
    <cellStyle name="Normal 319 55" xfId="41373" xr:uid="{00000000-0005-0000-0000-0000A3A10000}"/>
    <cellStyle name="Normal 319 55 2" xfId="41374" xr:uid="{00000000-0005-0000-0000-0000A4A10000}"/>
    <cellStyle name="Normal 319 56" xfId="41375" xr:uid="{00000000-0005-0000-0000-0000A5A10000}"/>
    <cellStyle name="Normal 319 56 2" xfId="41376" xr:uid="{00000000-0005-0000-0000-0000A6A10000}"/>
    <cellStyle name="Normal 319 57" xfId="41377" xr:uid="{00000000-0005-0000-0000-0000A7A10000}"/>
    <cellStyle name="Normal 319 57 2" xfId="41378" xr:uid="{00000000-0005-0000-0000-0000A8A10000}"/>
    <cellStyle name="Normal 319 58" xfId="41379" xr:uid="{00000000-0005-0000-0000-0000A9A10000}"/>
    <cellStyle name="Normal 319 58 2" xfId="41380" xr:uid="{00000000-0005-0000-0000-0000AAA10000}"/>
    <cellStyle name="Normal 319 59" xfId="41381" xr:uid="{00000000-0005-0000-0000-0000ABA10000}"/>
    <cellStyle name="Normal 319 59 2" xfId="41382" xr:uid="{00000000-0005-0000-0000-0000ACA10000}"/>
    <cellStyle name="Normal 319 6" xfId="41383" xr:uid="{00000000-0005-0000-0000-0000ADA10000}"/>
    <cellStyle name="Normal 319 6 2" xfId="41384" xr:uid="{00000000-0005-0000-0000-0000AEA10000}"/>
    <cellStyle name="Normal 319 60" xfId="41385" xr:uid="{00000000-0005-0000-0000-0000AFA10000}"/>
    <cellStyle name="Normal 319 60 2" xfId="41386" xr:uid="{00000000-0005-0000-0000-0000B0A10000}"/>
    <cellStyle name="Normal 319 61" xfId="41387" xr:uid="{00000000-0005-0000-0000-0000B1A10000}"/>
    <cellStyle name="Normal 319 61 2" xfId="41388" xr:uid="{00000000-0005-0000-0000-0000B2A10000}"/>
    <cellStyle name="Normal 319 61 3" xfId="41389" xr:uid="{00000000-0005-0000-0000-0000B3A10000}"/>
    <cellStyle name="Normal 319 62" xfId="41390" xr:uid="{00000000-0005-0000-0000-0000B4A10000}"/>
    <cellStyle name="Normal 319 7" xfId="41391" xr:uid="{00000000-0005-0000-0000-0000B5A10000}"/>
    <cellStyle name="Normal 319 7 2" xfId="41392" xr:uid="{00000000-0005-0000-0000-0000B6A10000}"/>
    <cellStyle name="Normal 319 8" xfId="41393" xr:uid="{00000000-0005-0000-0000-0000B7A10000}"/>
    <cellStyle name="Normal 319 8 2" xfId="41394" xr:uid="{00000000-0005-0000-0000-0000B8A10000}"/>
    <cellStyle name="Normal 319 9" xfId="41395" xr:uid="{00000000-0005-0000-0000-0000B9A10000}"/>
    <cellStyle name="Normal 319 9 2" xfId="41396" xr:uid="{00000000-0005-0000-0000-0000BAA10000}"/>
    <cellStyle name="Normal 32" xfId="41397" xr:uid="{00000000-0005-0000-0000-0000BBA10000}"/>
    <cellStyle name="Normal 32 2" xfId="41398" xr:uid="{00000000-0005-0000-0000-0000BCA10000}"/>
    <cellStyle name="Normal 32 2 2" xfId="41399" xr:uid="{00000000-0005-0000-0000-0000BDA10000}"/>
    <cellStyle name="Normal 32 3" xfId="41400" xr:uid="{00000000-0005-0000-0000-0000BEA10000}"/>
    <cellStyle name="Normal 32 3 2" xfId="41401" xr:uid="{00000000-0005-0000-0000-0000BFA10000}"/>
    <cellStyle name="Normal 32 4" xfId="41402" xr:uid="{00000000-0005-0000-0000-0000C0A10000}"/>
    <cellStyle name="Normal 32 4 2" xfId="41403" xr:uid="{00000000-0005-0000-0000-0000C1A10000}"/>
    <cellStyle name="Normal 32 5" xfId="41404" xr:uid="{00000000-0005-0000-0000-0000C2A10000}"/>
    <cellStyle name="Normal 32 5 2" xfId="41405" xr:uid="{00000000-0005-0000-0000-0000C3A10000}"/>
    <cellStyle name="Normal 32 6" xfId="41406" xr:uid="{00000000-0005-0000-0000-0000C4A10000}"/>
    <cellStyle name="Normal 32 7" xfId="41407" xr:uid="{00000000-0005-0000-0000-0000C5A10000}"/>
    <cellStyle name="Normal 320" xfId="41408" xr:uid="{00000000-0005-0000-0000-0000C6A10000}"/>
    <cellStyle name="Normal 321" xfId="41409" xr:uid="{00000000-0005-0000-0000-0000C7A10000}"/>
    <cellStyle name="Normal 322" xfId="41410" xr:uid="{00000000-0005-0000-0000-0000C8A10000}"/>
    <cellStyle name="Normal 322 10" xfId="41411" xr:uid="{00000000-0005-0000-0000-0000C9A10000}"/>
    <cellStyle name="Normal 322 10 2" xfId="41412" xr:uid="{00000000-0005-0000-0000-0000CAA10000}"/>
    <cellStyle name="Normal 322 11" xfId="41413" xr:uid="{00000000-0005-0000-0000-0000CBA10000}"/>
    <cellStyle name="Normal 322 11 2" xfId="41414" xr:uid="{00000000-0005-0000-0000-0000CCA10000}"/>
    <cellStyle name="Normal 322 12" xfId="41415" xr:uid="{00000000-0005-0000-0000-0000CDA10000}"/>
    <cellStyle name="Normal 322 12 2" xfId="41416" xr:uid="{00000000-0005-0000-0000-0000CEA10000}"/>
    <cellStyle name="Normal 322 13" xfId="41417" xr:uid="{00000000-0005-0000-0000-0000CFA10000}"/>
    <cellStyle name="Normal 322 13 2" xfId="41418" xr:uid="{00000000-0005-0000-0000-0000D0A10000}"/>
    <cellStyle name="Normal 322 14" xfId="41419" xr:uid="{00000000-0005-0000-0000-0000D1A10000}"/>
    <cellStyle name="Normal 322 14 2" xfId="41420" xr:uid="{00000000-0005-0000-0000-0000D2A10000}"/>
    <cellStyle name="Normal 322 15" xfId="41421" xr:uid="{00000000-0005-0000-0000-0000D3A10000}"/>
    <cellStyle name="Normal 322 15 2" xfId="41422" xr:uid="{00000000-0005-0000-0000-0000D4A10000}"/>
    <cellStyle name="Normal 322 16" xfId="41423" xr:uid="{00000000-0005-0000-0000-0000D5A10000}"/>
    <cellStyle name="Normal 322 16 2" xfId="41424" xr:uid="{00000000-0005-0000-0000-0000D6A10000}"/>
    <cellStyle name="Normal 322 17" xfId="41425" xr:uid="{00000000-0005-0000-0000-0000D7A10000}"/>
    <cellStyle name="Normal 322 17 2" xfId="41426" xr:uid="{00000000-0005-0000-0000-0000D8A10000}"/>
    <cellStyle name="Normal 322 18" xfId="41427" xr:uid="{00000000-0005-0000-0000-0000D9A10000}"/>
    <cellStyle name="Normal 322 18 2" xfId="41428" xr:uid="{00000000-0005-0000-0000-0000DAA10000}"/>
    <cellStyle name="Normal 322 19" xfId="41429" xr:uid="{00000000-0005-0000-0000-0000DBA10000}"/>
    <cellStyle name="Normal 322 19 2" xfId="41430" xr:uid="{00000000-0005-0000-0000-0000DCA10000}"/>
    <cellStyle name="Normal 322 2" xfId="41431" xr:uid="{00000000-0005-0000-0000-0000DDA10000}"/>
    <cellStyle name="Normal 322 2 2" xfId="41432" xr:uid="{00000000-0005-0000-0000-0000DEA10000}"/>
    <cellStyle name="Normal 322 20" xfId="41433" xr:uid="{00000000-0005-0000-0000-0000DFA10000}"/>
    <cellStyle name="Normal 322 20 2" xfId="41434" xr:uid="{00000000-0005-0000-0000-0000E0A10000}"/>
    <cellStyle name="Normal 322 21" xfId="41435" xr:uid="{00000000-0005-0000-0000-0000E1A10000}"/>
    <cellStyle name="Normal 322 21 2" xfId="41436" xr:uid="{00000000-0005-0000-0000-0000E2A10000}"/>
    <cellStyle name="Normal 322 22" xfId="41437" xr:uid="{00000000-0005-0000-0000-0000E3A10000}"/>
    <cellStyle name="Normal 322 22 2" xfId="41438" xr:uid="{00000000-0005-0000-0000-0000E4A10000}"/>
    <cellStyle name="Normal 322 23" xfId="41439" xr:uid="{00000000-0005-0000-0000-0000E5A10000}"/>
    <cellStyle name="Normal 322 23 2" xfId="41440" xr:uid="{00000000-0005-0000-0000-0000E6A10000}"/>
    <cellStyle name="Normal 322 24" xfId="41441" xr:uid="{00000000-0005-0000-0000-0000E7A10000}"/>
    <cellStyle name="Normal 322 24 2" xfId="41442" xr:uid="{00000000-0005-0000-0000-0000E8A10000}"/>
    <cellStyle name="Normal 322 25" xfId="41443" xr:uid="{00000000-0005-0000-0000-0000E9A10000}"/>
    <cellStyle name="Normal 322 25 2" xfId="41444" xr:uid="{00000000-0005-0000-0000-0000EAA10000}"/>
    <cellStyle name="Normal 322 26" xfId="41445" xr:uid="{00000000-0005-0000-0000-0000EBA10000}"/>
    <cellStyle name="Normal 322 26 2" xfId="41446" xr:uid="{00000000-0005-0000-0000-0000ECA10000}"/>
    <cellStyle name="Normal 322 27" xfId="41447" xr:uid="{00000000-0005-0000-0000-0000EDA10000}"/>
    <cellStyle name="Normal 322 27 2" xfId="41448" xr:uid="{00000000-0005-0000-0000-0000EEA10000}"/>
    <cellStyle name="Normal 322 28" xfId="41449" xr:uid="{00000000-0005-0000-0000-0000EFA10000}"/>
    <cellStyle name="Normal 322 28 2" xfId="41450" xr:uid="{00000000-0005-0000-0000-0000F0A10000}"/>
    <cellStyle name="Normal 322 29" xfId="41451" xr:uid="{00000000-0005-0000-0000-0000F1A10000}"/>
    <cellStyle name="Normal 322 29 2" xfId="41452" xr:uid="{00000000-0005-0000-0000-0000F2A10000}"/>
    <cellStyle name="Normal 322 3" xfId="41453" xr:uid="{00000000-0005-0000-0000-0000F3A10000}"/>
    <cellStyle name="Normal 322 3 2" xfId="41454" xr:uid="{00000000-0005-0000-0000-0000F4A10000}"/>
    <cellStyle name="Normal 322 30" xfId="41455" xr:uid="{00000000-0005-0000-0000-0000F5A10000}"/>
    <cellStyle name="Normal 322 30 2" xfId="41456" xr:uid="{00000000-0005-0000-0000-0000F6A10000}"/>
    <cellStyle name="Normal 322 31" xfId="41457" xr:uid="{00000000-0005-0000-0000-0000F7A10000}"/>
    <cellStyle name="Normal 322 31 2" xfId="41458" xr:uid="{00000000-0005-0000-0000-0000F8A10000}"/>
    <cellStyle name="Normal 322 32" xfId="41459" xr:uid="{00000000-0005-0000-0000-0000F9A10000}"/>
    <cellStyle name="Normal 322 32 2" xfId="41460" xr:uid="{00000000-0005-0000-0000-0000FAA10000}"/>
    <cellStyle name="Normal 322 33" xfId="41461" xr:uid="{00000000-0005-0000-0000-0000FBA10000}"/>
    <cellStyle name="Normal 322 33 2" xfId="41462" xr:uid="{00000000-0005-0000-0000-0000FCA10000}"/>
    <cellStyle name="Normal 322 34" xfId="41463" xr:uid="{00000000-0005-0000-0000-0000FDA10000}"/>
    <cellStyle name="Normal 322 34 2" xfId="41464" xr:uid="{00000000-0005-0000-0000-0000FEA10000}"/>
    <cellStyle name="Normal 322 35" xfId="41465" xr:uid="{00000000-0005-0000-0000-0000FFA10000}"/>
    <cellStyle name="Normal 322 35 2" xfId="41466" xr:uid="{00000000-0005-0000-0000-000000A20000}"/>
    <cellStyle name="Normal 322 36" xfId="41467" xr:uid="{00000000-0005-0000-0000-000001A20000}"/>
    <cellStyle name="Normal 322 36 2" xfId="41468" xr:uid="{00000000-0005-0000-0000-000002A20000}"/>
    <cellStyle name="Normal 322 37" xfId="41469" xr:uid="{00000000-0005-0000-0000-000003A20000}"/>
    <cellStyle name="Normal 322 37 2" xfId="41470" xr:uid="{00000000-0005-0000-0000-000004A20000}"/>
    <cellStyle name="Normal 322 38" xfId="41471" xr:uid="{00000000-0005-0000-0000-000005A20000}"/>
    <cellStyle name="Normal 322 38 2" xfId="41472" xr:uid="{00000000-0005-0000-0000-000006A20000}"/>
    <cellStyle name="Normal 322 39" xfId="41473" xr:uid="{00000000-0005-0000-0000-000007A20000}"/>
    <cellStyle name="Normal 322 39 2" xfId="41474" xr:uid="{00000000-0005-0000-0000-000008A20000}"/>
    <cellStyle name="Normal 322 4" xfId="41475" xr:uid="{00000000-0005-0000-0000-000009A20000}"/>
    <cellStyle name="Normal 322 4 2" xfId="41476" xr:uid="{00000000-0005-0000-0000-00000AA20000}"/>
    <cellStyle name="Normal 322 40" xfId="41477" xr:uid="{00000000-0005-0000-0000-00000BA20000}"/>
    <cellStyle name="Normal 322 40 2" xfId="41478" xr:uid="{00000000-0005-0000-0000-00000CA20000}"/>
    <cellStyle name="Normal 322 41" xfId="41479" xr:uid="{00000000-0005-0000-0000-00000DA20000}"/>
    <cellStyle name="Normal 322 41 2" xfId="41480" xr:uid="{00000000-0005-0000-0000-00000EA20000}"/>
    <cellStyle name="Normal 322 42" xfId="41481" xr:uid="{00000000-0005-0000-0000-00000FA20000}"/>
    <cellStyle name="Normal 322 42 2" xfId="41482" xr:uid="{00000000-0005-0000-0000-000010A20000}"/>
    <cellStyle name="Normal 322 43" xfId="41483" xr:uid="{00000000-0005-0000-0000-000011A20000}"/>
    <cellStyle name="Normal 322 43 2" xfId="41484" xr:uid="{00000000-0005-0000-0000-000012A20000}"/>
    <cellStyle name="Normal 322 44" xfId="41485" xr:uid="{00000000-0005-0000-0000-000013A20000}"/>
    <cellStyle name="Normal 322 44 2" xfId="41486" xr:uid="{00000000-0005-0000-0000-000014A20000}"/>
    <cellStyle name="Normal 322 45" xfId="41487" xr:uid="{00000000-0005-0000-0000-000015A20000}"/>
    <cellStyle name="Normal 322 45 2" xfId="41488" xr:uid="{00000000-0005-0000-0000-000016A20000}"/>
    <cellStyle name="Normal 322 46" xfId="41489" xr:uid="{00000000-0005-0000-0000-000017A20000}"/>
    <cellStyle name="Normal 322 46 2" xfId="41490" xr:uid="{00000000-0005-0000-0000-000018A20000}"/>
    <cellStyle name="Normal 322 47" xfId="41491" xr:uid="{00000000-0005-0000-0000-000019A20000}"/>
    <cellStyle name="Normal 322 47 2" xfId="41492" xr:uid="{00000000-0005-0000-0000-00001AA20000}"/>
    <cellStyle name="Normal 322 48" xfId="41493" xr:uid="{00000000-0005-0000-0000-00001BA20000}"/>
    <cellStyle name="Normal 322 48 2" xfId="41494" xr:uid="{00000000-0005-0000-0000-00001CA20000}"/>
    <cellStyle name="Normal 322 49" xfId="41495" xr:uid="{00000000-0005-0000-0000-00001DA20000}"/>
    <cellStyle name="Normal 322 49 2" xfId="41496" xr:uid="{00000000-0005-0000-0000-00001EA20000}"/>
    <cellStyle name="Normal 322 5" xfId="41497" xr:uid="{00000000-0005-0000-0000-00001FA20000}"/>
    <cellStyle name="Normal 322 5 2" xfId="41498" xr:uid="{00000000-0005-0000-0000-000020A20000}"/>
    <cellStyle name="Normal 322 50" xfId="41499" xr:uid="{00000000-0005-0000-0000-000021A20000}"/>
    <cellStyle name="Normal 322 50 2" xfId="41500" xr:uid="{00000000-0005-0000-0000-000022A20000}"/>
    <cellStyle name="Normal 322 51" xfId="41501" xr:uid="{00000000-0005-0000-0000-000023A20000}"/>
    <cellStyle name="Normal 322 51 2" xfId="41502" xr:uid="{00000000-0005-0000-0000-000024A20000}"/>
    <cellStyle name="Normal 322 52" xfId="41503" xr:uid="{00000000-0005-0000-0000-000025A20000}"/>
    <cellStyle name="Normal 322 52 2" xfId="41504" xr:uid="{00000000-0005-0000-0000-000026A20000}"/>
    <cellStyle name="Normal 322 53" xfId="41505" xr:uid="{00000000-0005-0000-0000-000027A20000}"/>
    <cellStyle name="Normal 322 53 2" xfId="41506" xr:uid="{00000000-0005-0000-0000-000028A20000}"/>
    <cellStyle name="Normal 322 54" xfId="41507" xr:uid="{00000000-0005-0000-0000-000029A20000}"/>
    <cellStyle name="Normal 322 54 2" xfId="41508" xr:uid="{00000000-0005-0000-0000-00002AA20000}"/>
    <cellStyle name="Normal 322 55" xfId="41509" xr:uid="{00000000-0005-0000-0000-00002BA20000}"/>
    <cellStyle name="Normal 322 55 2" xfId="41510" xr:uid="{00000000-0005-0000-0000-00002CA20000}"/>
    <cellStyle name="Normal 322 56" xfId="41511" xr:uid="{00000000-0005-0000-0000-00002DA20000}"/>
    <cellStyle name="Normal 322 56 2" xfId="41512" xr:uid="{00000000-0005-0000-0000-00002EA20000}"/>
    <cellStyle name="Normal 322 57" xfId="41513" xr:uid="{00000000-0005-0000-0000-00002FA20000}"/>
    <cellStyle name="Normal 322 57 2" xfId="41514" xr:uid="{00000000-0005-0000-0000-000030A20000}"/>
    <cellStyle name="Normal 322 58" xfId="41515" xr:uid="{00000000-0005-0000-0000-000031A20000}"/>
    <cellStyle name="Normal 322 58 2" xfId="41516" xr:uid="{00000000-0005-0000-0000-000032A20000}"/>
    <cellStyle name="Normal 322 59" xfId="41517" xr:uid="{00000000-0005-0000-0000-000033A20000}"/>
    <cellStyle name="Normal 322 59 2" xfId="41518" xr:uid="{00000000-0005-0000-0000-000034A20000}"/>
    <cellStyle name="Normal 322 6" xfId="41519" xr:uid="{00000000-0005-0000-0000-000035A20000}"/>
    <cellStyle name="Normal 322 6 2" xfId="41520" xr:uid="{00000000-0005-0000-0000-000036A20000}"/>
    <cellStyle name="Normal 322 60" xfId="41521" xr:uid="{00000000-0005-0000-0000-000037A20000}"/>
    <cellStyle name="Normal 322 60 2" xfId="41522" xr:uid="{00000000-0005-0000-0000-000038A20000}"/>
    <cellStyle name="Normal 322 61" xfId="41523" xr:uid="{00000000-0005-0000-0000-000039A20000}"/>
    <cellStyle name="Normal 322 61 2" xfId="41524" xr:uid="{00000000-0005-0000-0000-00003AA20000}"/>
    <cellStyle name="Normal 322 61 3" xfId="41525" xr:uid="{00000000-0005-0000-0000-00003BA20000}"/>
    <cellStyle name="Normal 322 62" xfId="41526" xr:uid="{00000000-0005-0000-0000-00003CA20000}"/>
    <cellStyle name="Normal 322 7" xfId="41527" xr:uid="{00000000-0005-0000-0000-00003DA20000}"/>
    <cellStyle name="Normal 322 7 2" xfId="41528" xr:uid="{00000000-0005-0000-0000-00003EA20000}"/>
    <cellStyle name="Normal 322 8" xfId="41529" xr:uid="{00000000-0005-0000-0000-00003FA20000}"/>
    <cellStyle name="Normal 322 8 2" xfId="41530" xr:uid="{00000000-0005-0000-0000-000040A20000}"/>
    <cellStyle name="Normal 322 9" xfId="41531" xr:uid="{00000000-0005-0000-0000-000041A20000}"/>
    <cellStyle name="Normal 322 9 2" xfId="41532" xr:uid="{00000000-0005-0000-0000-000042A20000}"/>
    <cellStyle name="Normal 323" xfId="41533" xr:uid="{00000000-0005-0000-0000-000043A20000}"/>
    <cellStyle name="Normal 324" xfId="41534" xr:uid="{00000000-0005-0000-0000-000044A20000}"/>
    <cellStyle name="Normal 325" xfId="41535" xr:uid="{00000000-0005-0000-0000-000045A20000}"/>
    <cellStyle name="Normal 325 10" xfId="41536" xr:uid="{00000000-0005-0000-0000-000046A20000}"/>
    <cellStyle name="Normal 325 10 2" xfId="41537" xr:uid="{00000000-0005-0000-0000-000047A20000}"/>
    <cellStyle name="Normal 325 11" xfId="41538" xr:uid="{00000000-0005-0000-0000-000048A20000}"/>
    <cellStyle name="Normal 325 11 2" xfId="41539" xr:uid="{00000000-0005-0000-0000-000049A20000}"/>
    <cellStyle name="Normal 325 12" xfId="41540" xr:uid="{00000000-0005-0000-0000-00004AA20000}"/>
    <cellStyle name="Normal 325 12 2" xfId="41541" xr:uid="{00000000-0005-0000-0000-00004BA20000}"/>
    <cellStyle name="Normal 325 13" xfId="41542" xr:uid="{00000000-0005-0000-0000-00004CA20000}"/>
    <cellStyle name="Normal 325 13 2" xfId="41543" xr:uid="{00000000-0005-0000-0000-00004DA20000}"/>
    <cellStyle name="Normal 325 14" xfId="41544" xr:uid="{00000000-0005-0000-0000-00004EA20000}"/>
    <cellStyle name="Normal 325 14 2" xfId="41545" xr:uid="{00000000-0005-0000-0000-00004FA20000}"/>
    <cellStyle name="Normal 325 15" xfId="41546" xr:uid="{00000000-0005-0000-0000-000050A20000}"/>
    <cellStyle name="Normal 325 15 2" xfId="41547" xr:uid="{00000000-0005-0000-0000-000051A20000}"/>
    <cellStyle name="Normal 325 16" xfId="41548" xr:uid="{00000000-0005-0000-0000-000052A20000}"/>
    <cellStyle name="Normal 325 16 2" xfId="41549" xr:uid="{00000000-0005-0000-0000-000053A20000}"/>
    <cellStyle name="Normal 325 17" xfId="41550" xr:uid="{00000000-0005-0000-0000-000054A20000}"/>
    <cellStyle name="Normal 325 17 2" xfId="41551" xr:uid="{00000000-0005-0000-0000-000055A20000}"/>
    <cellStyle name="Normal 325 18" xfId="41552" xr:uid="{00000000-0005-0000-0000-000056A20000}"/>
    <cellStyle name="Normal 325 18 2" xfId="41553" xr:uid="{00000000-0005-0000-0000-000057A20000}"/>
    <cellStyle name="Normal 325 19" xfId="41554" xr:uid="{00000000-0005-0000-0000-000058A20000}"/>
    <cellStyle name="Normal 325 19 2" xfId="41555" xr:uid="{00000000-0005-0000-0000-000059A20000}"/>
    <cellStyle name="Normal 325 2" xfId="41556" xr:uid="{00000000-0005-0000-0000-00005AA20000}"/>
    <cellStyle name="Normal 325 2 2" xfId="41557" xr:uid="{00000000-0005-0000-0000-00005BA20000}"/>
    <cellStyle name="Normal 325 20" xfId="41558" xr:uid="{00000000-0005-0000-0000-00005CA20000}"/>
    <cellStyle name="Normal 325 20 2" xfId="41559" xr:uid="{00000000-0005-0000-0000-00005DA20000}"/>
    <cellStyle name="Normal 325 21" xfId="41560" xr:uid="{00000000-0005-0000-0000-00005EA20000}"/>
    <cellStyle name="Normal 325 21 2" xfId="41561" xr:uid="{00000000-0005-0000-0000-00005FA20000}"/>
    <cellStyle name="Normal 325 22" xfId="41562" xr:uid="{00000000-0005-0000-0000-000060A20000}"/>
    <cellStyle name="Normal 325 22 2" xfId="41563" xr:uid="{00000000-0005-0000-0000-000061A20000}"/>
    <cellStyle name="Normal 325 23" xfId="41564" xr:uid="{00000000-0005-0000-0000-000062A20000}"/>
    <cellStyle name="Normal 325 23 2" xfId="41565" xr:uid="{00000000-0005-0000-0000-000063A20000}"/>
    <cellStyle name="Normal 325 24" xfId="41566" xr:uid="{00000000-0005-0000-0000-000064A20000}"/>
    <cellStyle name="Normal 325 24 2" xfId="41567" xr:uid="{00000000-0005-0000-0000-000065A20000}"/>
    <cellStyle name="Normal 325 25" xfId="41568" xr:uid="{00000000-0005-0000-0000-000066A20000}"/>
    <cellStyle name="Normal 325 25 2" xfId="41569" xr:uid="{00000000-0005-0000-0000-000067A20000}"/>
    <cellStyle name="Normal 325 26" xfId="41570" xr:uid="{00000000-0005-0000-0000-000068A20000}"/>
    <cellStyle name="Normal 325 26 2" xfId="41571" xr:uid="{00000000-0005-0000-0000-000069A20000}"/>
    <cellStyle name="Normal 325 27" xfId="41572" xr:uid="{00000000-0005-0000-0000-00006AA20000}"/>
    <cellStyle name="Normal 325 27 2" xfId="41573" xr:uid="{00000000-0005-0000-0000-00006BA20000}"/>
    <cellStyle name="Normal 325 28" xfId="41574" xr:uid="{00000000-0005-0000-0000-00006CA20000}"/>
    <cellStyle name="Normal 325 28 2" xfId="41575" xr:uid="{00000000-0005-0000-0000-00006DA20000}"/>
    <cellStyle name="Normal 325 29" xfId="41576" xr:uid="{00000000-0005-0000-0000-00006EA20000}"/>
    <cellStyle name="Normal 325 29 2" xfId="41577" xr:uid="{00000000-0005-0000-0000-00006FA20000}"/>
    <cellStyle name="Normal 325 3" xfId="41578" xr:uid="{00000000-0005-0000-0000-000070A20000}"/>
    <cellStyle name="Normal 325 3 2" xfId="41579" xr:uid="{00000000-0005-0000-0000-000071A20000}"/>
    <cellStyle name="Normal 325 30" xfId="41580" xr:uid="{00000000-0005-0000-0000-000072A20000}"/>
    <cellStyle name="Normal 325 30 2" xfId="41581" xr:uid="{00000000-0005-0000-0000-000073A20000}"/>
    <cellStyle name="Normal 325 31" xfId="41582" xr:uid="{00000000-0005-0000-0000-000074A20000}"/>
    <cellStyle name="Normal 325 31 2" xfId="41583" xr:uid="{00000000-0005-0000-0000-000075A20000}"/>
    <cellStyle name="Normal 325 32" xfId="41584" xr:uid="{00000000-0005-0000-0000-000076A20000}"/>
    <cellStyle name="Normal 325 32 2" xfId="41585" xr:uid="{00000000-0005-0000-0000-000077A20000}"/>
    <cellStyle name="Normal 325 33" xfId="41586" xr:uid="{00000000-0005-0000-0000-000078A20000}"/>
    <cellStyle name="Normal 325 33 2" xfId="41587" xr:uid="{00000000-0005-0000-0000-000079A20000}"/>
    <cellStyle name="Normal 325 34" xfId="41588" xr:uid="{00000000-0005-0000-0000-00007AA20000}"/>
    <cellStyle name="Normal 325 34 2" xfId="41589" xr:uid="{00000000-0005-0000-0000-00007BA20000}"/>
    <cellStyle name="Normal 325 35" xfId="41590" xr:uid="{00000000-0005-0000-0000-00007CA20000}"/>
    <cellStyle name="Normal 325 35 2" xfId="41591" xr:uid="{00000000-0005-0000-0000-00007DA20000}"/>
    <cellStyle name="Normal 325 36" xfId="41592" xr:uid="{00000000-0005-0000-0000-00007EA20000}"/>
    <cellStyle name="Normal 325 36 2" xfId="41593" xr:uid="{00000000-0005-0000-0000-00007FA20000}"/>
    <cellStyle name="Normal 325 37" xfId="41594" xr:uid="{00000000-0005-0000-0000-000080A20000}"/>
    <cellStyle name="Normal 325 37 2" xfId="41595" xr:uid="{00000000-0005-0000-0000-000081A20000}"/>
    <cellStyle name="Normal 325 38" xfId="41596" xr:uid="{00000000-0005-0000-0000-000082A20000}"/>
    <cellStyle name="Normal 325 38 2" xfId="41597" xr:uid="{00000000-0005-0000-0000-000083A20000}"/>
    <cellStyle name="Normal 325 39" xfId="41598" xr:uid="{00000000-0005-0000-0000-000084A20000}"/>
    <cellStyle name="Normal 325 39 2" xfId="41599" xr:uid="{00000000-0005-0000-0000-000085A20000}"/>
    <cellStyle name="Normal 325 4" xfId="41600" xr:uid="{00000000-0005-0000-0000-000086A20000}"/>
    <cellStyle name="Normal 325 4 2" xfId="41601" xr:uid="{00000000-0005-0000-0000-000087A20000}"/>
    <cellStyle name="Normal 325 40" xfId="41602" xr:uid="{00000000-0005-0000-0000-000088A20000}"/>
    <cellStyle name="Normal 325 40 2" xfId="41603" xr:uid="{00000000-0005-0000-0000-000089A20000}"/>
    <cellStyle name="Normal 325 41" xfId="41604" xr:uid="{00000000-0005-0000-0000-00008AA20000}"/>
    <cellStyle name="Normal 325 41 2" xfId="41605" xr:uid="{00000000-0005-0000-0000-00008BA20000}"/>
    <cellStyle name="Normal 325 42" xfId="41606" xr:uid="{00000000-0005-0000-0000-00008CA20000}"/>
    <cellStyle name="Normal 325 42 2" xfId="41607" xr:uid="{00000000-0005-0000-0000-00008DA20000}"/>
    <cellStyle name="Normal 325 43" xfId="41608" xr:uid="{00000000-0005-0000-0000-00008EA20000}"/>
    <cellStyle name="Normal 325 43 2" xfId="41609" xr:uid="{00000000-0005-0000-0000-00008FA20000}"/>
    <cellStyle name="Normal 325 44" xfId="41610" xr:uid="{00000000-0005-0000-0000-000090A20000}"/>
    <cellStyle name="Normal 325 44 2" xfId="41611" xr:uid="{00000000-0005-0000-0000-000091A20000}"/>
    <cellStyle name="Normal 325 45" xfId="41612" xr:uid="{00000000-0005-0000-0000-000092A20000}"/>
    <cellStyle name="Normal 325 45 2" xfId="41613" xr:uid="{00000000-0005-0000-0000-000093A20000}"/>
    <cellStyle name="Normal 325 46" xfId="41614" xr:uid="{00000000-0005-0000-0000-000094A20000}"/>
    <cellStyle name="Normal 325 46 2" xfId="41615" xr:uid="{00000000-0005-0000-0000-000095A20000}"/>
    <cellStyle name="Normal 325 47" xfId="41616" xr:uid="{00000000-0005-0000-0000-000096A20000}"/>
    <cellStyle name="Normal 325 47 2" xfId="41617" xr:uid="{00000000-0005-0000-0000-000097A20000}"/>
    <cellStyle name="Normal 325 48" xfId="41618" xr:uid="{00000000-0005-0000-0000-000098A20000}"/>
    <cellStyle name="Normal 325 48 2" xfId="41619" xr:uid="{00000000-0005-0000-0000-000099A20000}"/>
    <cellStyle name="Normal 325 49" xfId="41620" xr:uid="{00000000-0005-0000-0000-00009AA20000}"/>
    <cellStyle name="Normal 325 49 2" xfId="41621" xr:uid="{00000000-0005-0000-0000-00009BA20000}"/>
    <cellStyle name="Normal 325 5" xfId="41622" xr:uid="{00000000-0005-0000-0000-00009CA20000}"/>
    <cellStyle name="Normal 325 5 2" xfId="41623" xr:uid="{00000000-0005-0000-0000-00009DA20000}"/>
    <cellStyle name="Normal 325 50" xfId="41624" xr:uid="{00000000-0005-0000-0000-00009EA20000}"/>
    <cellStyle name="Normal 325 50 2" xfId="41625" xr:uid="{00000000-0005-0000-0000-00009FA20000}"/>
    <cellStyle name="Normal 325 51" xfId="41626" xr:uid="{00000000-0005-0000-0000-0000A0A20000}"/>
    <cellStyle name="Normal 325 51 2" xfId="41627" xr:uid="{00000000-0005-0000-0000-0000A1A20000}"/>
    <cellStyle name="Normal 325 52" xfId="41628" xr:uid="{00000000-0005-0000-0000-0000A2A20000}"/>
    <cellStyle name="Normal 325 52 2" xfId="41629" xr:uid="{00000000-0005-0000-0000-0000A3A20000}"/>
    <cellStyle name="Normal 325 53" xfId="41630" xr:uid="{00000000-0005-0000-0000-0000A4A20000}"/>
    <cellStyle name="Normal 325 53 2" xfId="41631" xr:uid="{00000000-0005-0000-0000-0000A5A20000}"/>
    <cellStyle name="Normal 325 54" xfId="41632" xr:uid="{00000000-0005-0000-0000-0000A6A20000}"/>
    <cellStyle name="Normal 325 54 2" xfId="41633" xr:uid="{00000000-0005-0000-0000-0000A7A20000}"/>
    <cellStyle name="Normal 325 55" xfId="41634" xr:uid="{00000000-0005-0000-0000-0000A8A20000}"/>
    <cellStyle name="Normal 325 55 2" xfId="41635" xr:uid="{00000000-0005-0000-0000-0000A9A20000}"/>
    <cellStyle name="Normal 325 56" xfId="41636" xr:uid="{00000000-0005-0000-0000-0000AAA20000}"/>
    <cellStyle name="Normal 325 56 2" xfId="41637" xr:uid="{00000000-0005-0000-0000-0000ABA20000}"/>
    <cellStyle name="Normal 325 57" xfId="41638" xr:uid="{00000000-0005-0000-0000-0000ACA20000}"/>
    <cellStyle name="Normal 325 57 2" xfId="41639" xr:uid="{00000000-0005-0000-0000-0000ADA20000}"/>
    <cellStyle name="Normal 325 58" xfId="41640" xr:uid="{00000000-0005-0000-0000-0000AEA20000}"/>
    <cellStyle name="Normal 325 58 2" xfId="41641" xr:uid="{00000000-0005-0000-0000-0000AFA20000}"/>
    <cellStyle name="Normal 325 59" xfId="41642" xr:uid="{00000000-0005-0000-0000-0000B0A20000}"/>
    <cellStyle name="Normal 325 59 2" xfId="41643" xr:uid="{00000000-0005-0000-0000-0000B1A20000}"/>
    <cellStyle name="Normal 325 6" xfId="41644" xr:uid="{00000000-0005-0000-0000-0000B2A20000}"/>
    <cellStyle name="Normal 325 6 2" xfId="41645" xr:uid="{00000000-0005-0000-0000-0000B3A20000}"/>
    <cellStyle name="Normal 325 60" xfId="41646" xr:uid="{00000000-0005-0000-0000-0000B4A20000}"/>
    <cellStyle name="Normal 325 60 2" xfId="41647" xr:uid="{00000000-0005-0000-0000-0000B5A20000}"/>
    <cellStyle name="Normal 325 61" xfId="41648" xr:uid="{00000000-0005-0000-0000-0000B6A20000}"/>
    <cellStyle name="Normal 325 61 2" xfId="41649" xr:uid="{00000000-0005-0000-0000-0000B7A20000}"/>
    <cellStyle name="Normal 325 61 3" xfId="41650" xr:uid="{00000000-0005-0000-0000-0000B8A20000}"/>
    <cellStyle name="Normal 325 62" xfId="41651" xr:uid="{00000000-0005-0000-0000-0000B9A20000}"/>
    <cellStyle name="Normal 325 7" xfId="41652" xr:uid="{00000000-0005-0000-0000-0000BAA20000}"/>
    <cellStyle name="Normal 325 7 2" xfId="41653" xr:uid="{00000000-0005-0000-0000-0000BBA20000}"/>
    <cellStyle name="Normal 325 8" xfId="41654" xr:uid="{00000000-0005-0000-0000-0000BCA20000}"/>
    <cellStyle name="Normal 325 8 2" xfId="41655" xr:uid="{00000000-0005-0000-0000-0000BDA20000}"/>
    <cellStyle name="Normal 325 9" xfId="41656" xr:uid="{00000000-0005-0000-0000-0000BEA20000}"/>
    <cellStyle name="Normal 325 9 2" xfId="41657" xr:uid="{00000000-0005-0000-0000-0000BFA20000}"/>
    <cellStyle name="Normal 326" xfId="41658" xr:uid="{00000000-0005-0000-0000-0000C0A20000}"/>
    <cellStyle name="Normal 327" xfId="41659" xr:uid="{00000000-0005-0000-0000-0000C1A20000}"/>
    <cellStyle name="Normal 328" xfId="41660" xr:uid="{00000000-0005-0000-0000-0000C2A20000}"/>
    <cellStyle name="Normal 328 10" xfId="41661" xr:uid="{00000000-0005-0000-0000-0000C3A20000}"/>
    <cellStyle name="Normal 328 10 2" xfId="41662" xr:uid="{00000000-0005-0000-0000-0000C4A20000}"/>
    <cellStyle name="Normal 328 11" xfId="41663" xr:uid="{00000000-0005-0000-0000-0000C5A20000}"/>
    <cellStyle name="Normal 328 11 2" xfId="41664" xr:uid="{00000000-0005-0000-0000-0000C6A20000}"/>
    <cellStyle name="Normal 328 12" xfId="41665" xr:uid="{00000000-0005-0000-0000-0000C7A20000}"/>
    <cellStyle name="Normal 328 12 2" xfId="41666" xr:uid="{00000000-0005-0000-0000-0000C8A20000}"/>
    <cellStyle name="Normal 328 13" xfId="41667" xr:uid="{00000000-0005-0000-0000-0000C9A20000}"/>
    <cellStyle name="Normal 328 13 2" xfId="41668" xr:uid="{00000000-0005-0000-0000-0000CAA20000}"/>
    <cellStyle name="Normal 328 14" xfId="41669" xr:uid="{00000000-0005-0000-0000-0000CBA20000}"/>
    <cellStyle name="Normal 328 14 2" xfId="41670" xr:uid="{00000000-0005-0000-0000-0000CCA20000}"/>
    <cellStyle name="Normal 328 15" xfId="41671" xr:uid="{00000000-0005-0000-0000-0000CDA20000}"/>
    <cellStyle name="Normal 328 15 2" xfId="41672" xr:uid="{00000000-0005-0000-0000-0000CEA20000}"/>
    <cellStyle name="Normal 328 16" xfId="41673" xr:uid="{00000000-0005-0000-0000-0000CFA20000}"/>
    <cellStyle name="Normal 328 16 2" xfId="41674" xr:uid="{00000000-0005-0000-0000-0000D0A20000}"/>
    <cellStyle name="Normal 328 17" xfId="41675" xr:uid="{00000000-0005-0000-0000-0000D1A20000}"/>
    <cellStyle name="Normal 328 17 2" xfId="41676" xr:uid="{00000000-0005-0000-0000-0000D2A20000}"/>
    <cellStyle name="Normal 328 18" xfId="41677" xr:uid="{00000000-0005-0000-0000-0000D3A20000}"/>
    <cellStyle name="Normal 328 18 2" xfId="41678" xr:uid="{00000000-0005-0000-0000-0000D4A20000}"/>
    <cellStyle name="Normal 328 19" xfId="41679" xr:uid="{00000000-0005-0000-0000-0000D5A20000}"/>
    <cellStyle name="Normal 328 19 2" xfId="41680" xr:uid="{00000000-0005-0000-0000-0000D6A20000}"/>
    <cellStyle name="Normal 328 2" xfId="41681" xr:uid="{00000000-0005-0000-0000-0000D7A20000}"/>
    <cellStyle name="Normal 328 2 2" xfId="41682" xr:uid="{00000000-0005-0000-0000-0000D8A20000}"/>
    <cellStyle name="Normal 328 20" xfId="41683" xr:uid="{00000000-0005-0000-0000-0000D9A20000}"/>
    <cellStyle name="Normal 328 20 2" xfId="41684" xr:uid="{00000000-0005-0000-0000-0000DAA20000}"/>
    <cellStyle name="Normal 328 21" xfId="41685" xr:uid="{00000000-0005-0000-0000-0000DBA20000}"/>
    <cellStyle name="Normal 328 21 2" xfId="41686" xr:uid="{00000000-0005-0000-0000-0000DCA20000}"/>
    <cellStyle name="Normal 328 22" xfId="41687" xr:uid="{00000000-0005-0000-0000-0000DDA20000}"/>
    <cellStyle name="Normal 328 22 2" xfId="41688" xr:uid="{00000000-0005-0000-0000-0000DEA20000}"/>
    <cellStyle name="Normal 328 23" xfId="41689" xr:uid="{00000000-0005-0000-0000-0000DFA20000}"/>
    <cellStyle name="Normal 328 23 2" xfId="41690" xr:uid="{00000000-0005-0000-0000-0000E0A20000}"/>
    <cellStyle name="Normal 328 24" xfId="41691" xr:uid="{00000000-0005-0000-0000-0000E1A20000}"/>
    <cellStyle name="Normal 328 24 2" xfId="41692" xr:uid="{00000000-0005-0000-0000-0000E2A20000}"/>
    <cellStyle name="Normal 328 25" xfId="41693" xr:uid="{00000000-0005-0000-0000-0000E3A20000}"/>
    <cellStyle name="Normal 328 25 2" xfId="41694" xr:uid="{00000000-0005-0000-0000-0000E4A20000}"/>
    <cellStyle name="Normal 328 26" xfId="41695" xr:uid="{00000000-0005-0000-0000-0000E5A20000}"/>
    <cellStyle name="Normal 328 26 2" xfId="41696" xr:uid="{00000000-0005-0000-0000-0000E6A20000}"/>
    <cellStyle name="Normal 328 27" xfId="41697" xr:uid="{00000000-0005-0000-0000-0000E7A20000}"/>
    <cellStyle name="Normal 328 27 2" xfId="41698" xr:uid="{00000000-0005-0000-0000-0000E8A20000}"/>
    <cellStyle name="Normal 328 28" xfId="41699" xr:uid="{00000000-0005-0000-0000-0000E9A20000}"/>
    <cellStyle name="Normal 328 28 2" xfId="41700" xr:uid="{00000000-0005-0000-0000-0000EAA20000}"/>
    <cellStyle name="Normal 328 29" xfId="41701" xr:uid="{00000000-0005-0000-0000-0000EBA20000}"/>
    <cellStyle name="Normal 328 29 2" xfId="41702" xr:uid="{00000000-0005-0000-0000-0000ECA20000}"/>
    <cellStyle name="Normal 328 3" xfId="41703" xr:uid="{00000000-0005-0000-0000-0000EDA20000}"/>
    <cellStyle name="Normal 328 3 2" xfId="41704" xr:uid="{00000000-0005-0000-0000-0000EEA20000}"/>
    <cellStyle name="Normal 328 30" xfId="41705" xr:uid="{00000000-0005-0000-0000-0000EFA20000}"/>
    <cellStyle name="Normal 328 30 2" xfId="41706" xr:uid="{00000000-0005-0000-0000-0000F0A20000}"/>
    <cellStyle name="Normal 328 31" xfId="41707" xr:uid="{00000000-0005-0000-0000-0000F1A20000}"/>
    <cellStyle name="Normal 328 31 2" xfId="41708" xr:uid="{00000000-0005-0000-0000-0000F2A20000}"/>
    <cellStyle name="Normal 328 32" xfId="41709" xr:uid="{00000000-0005-0000-0000-0000F3A20000}"/>
    <cellStyle name="Normal 328 32 2" xfId="41710" xr:uid="{00000000-0005-0000-0000-0000F4A20000}"/>
    <cellStyle name="Normal 328 33" xfId="41711" xr:uid="{00000000-0005-0000-0000-0000F5A20000}"/>
    <cellStyle name="Normal 328 33 2" xfId="41712" xr:uid="{00000000-0005-0000-0000-0000F6A20000}"/>
    <cellStyle name="Normal 328 34" xfId="41713" xr:uid="{00000000-0005-0000-0000-0000F7A20000}"/>
    <cellStyle name="Normal 328 34 2" xfId="41714" xr:uid="{00000000-0005-0000-0000-0000F8A20000}"/>
    <cellStyle name="Normal 328 35" xfId="41715" xr:uid="{00000000-0005-0000-0000-0000F9A20000}"/>
    <cellStyle name="Normal 328 35 2" xfId="41716" xr:uid="{00000000-0005-0000-0000-0000FAA20000}"/>
    <cellStyle name="Normal 328 36" xfId="41717" xr:uid="{00000000-0005-0000-0000-0000FBA20000}"/>
    <cellStyle name="Normal 328 36 2" xfId="41718" xr:uid="{00000000-0005-0000-0000-0000FCA20000}"/>
    <cellStyle name="Normal 328 37" xfId="41719" xr:uid="{00000000-0005-0000-0000-0000FDA20000}"/>
    <cellStyle name="Normal 328 37 2" xfId="41720" xr:uid="{00000000-0005-0000-0000-0000FEA20000}"/>
    <cellStyle name="Normal 328 38" xfId="41721" xr:uid="{00000000-0005-0000-0000-0000FFA20000}"/>
    <cellStyle name="Normal 328 38 2" xfId="41722" xr:uid="{00000000-0005-0000-0000-000000A30000}"/>
    <cellStyle name="Normal 328 39" xfId="41723" xr:uid="{00000000-0005-0000-0000-000001A30000}"/>
    <cellStyle name="Normal 328 39 2" xfId="41724" xr:uid="{00000000-0005-0000-0000-000002A30000}"/>
    <cellStyle name="Normal 328 4" xfId="41725" xr:uid="{00000000-0005-0000-0000-000003A30000}"/>
    <cellStyle name="Normal 328 4 2" xfId="41726" xr:uid="{00000000-0005-0000-0000-000004A30000}"/>
    <cellStyle name="Normal 328 40" xfId="41727" xr:uid="{00000000-0005-0000-0000-000005A30000}"/>
    <cellStyle name="Normal 328 40 2" xfId="41728" xr:uid="{00000000-0005-0000-0000-000006A30000}"/>
    <cellStyle name="Normal 328 41" xfId="41729" xr:uid="{00000000-0005-0000-0000-000007A30000}"/>
    <cellStyle name="Normal 328 41 2" xfId="41730" xr:uid="{00000000-0005-0000-0000-000008A30000}"/>
    <cellStyle name="Normal 328 42" xfId="41731" xr:uid="{00000000-0005-0000-0000-000009A30000}"/>
    <cellStyle name="Normal 328 42 2" xfId="41732" xr:uid="{00000000-0005-0000-0000-00000AA30000}"/>
    <cellStyle name="Normal 328 43" xfId="41733" xr:uid="{00000000-0005-0000-0000-00000BA30000}"/>
    <cellStyle name="Normal 328 43 2" xfId="41734" xr:uid="{00000000-0005-0000-0000-00000CA30000}"/>
    <cellStyle name="Normal 328 44" xfId="41735" xr:uid="{00000000-0005-0000-0000-00000DA30000}"/>
    <cellStyle name="Normal 328 44 2" xfId="41736" xr:uid="{00000000-0005-0000-0000-00000EA30000}"/>
    <cellStyle name="Normal 328 45" xfId="41737" xr:uid="{00000000-0005-0000-0000-00000FA30000}"/>
    <cellStyle name="Normal 328 45 2" xfId="41738" xr:uid="{00000000-0005-0000-0000-000010A30000}"/>
    <cellStyle name="Normal 328 46" xfId="41739" xr:uid="{00000000-0005-0000-0000-000011A30000}"/>
    <cellStyle name="Normal 328 46 2" xfId="41740" xr:uid="{00000000-0005-0000-0000-000012A30000}"/>
    <cellStyle name="Normal 328 47" xfId="41741" xr:uid="{00000000-0005-0000-0000-000013A30000}"/>
    <cellStyle name="Normal 328 47 2" xfId="41742" xr:uid="{00000000-0005-0000-0000-000014A30000}"/>
    <cellStyle name="Normal 328 48" xfId="41743" xr:uid="{00000000-0005-0000-0000-000015A30000}"/>
    <cellStyle name="Normal 328 48 2" xfId="41744" xr:uid="{00000000-0005-0000-0000-000016A30000}"/>
    <cellStyle name="Normal 328 49" xfId="41745" xr:uid="{00000000-0005-0000-0000-000017A30000}"/>
    <cellStyle name="Normal 328 49 2" xfId="41746" xr:uid="{00000000-0005-0000-0000-000018A30000}"/>
    <cellStyle name="Normal 328 5" xfId="41747" xr:uid="{00000000-0005-0000-0000-000019A30000}"/>
    <cellStyle name="Normal 328 5 2" xfId="41748" xr:uid="{00000000-0005-0000-0000-00001AA30000}"/>
    <cellStyle name="Normal 328 50" xfId="41749" xr:uid="{00000000-0005-0000-0000-00001BA30000}"/>
    <cellStyle name="Normal 328 50 2" xfId="41750" xr:uid="{00000000-0005-0000-0000-00001CA30000}"/>
    <cellStyle name="Normal 328 51" xfId="41751" xr:uid="{00000000-0005-0000-0000-00001DA30000}"/>
    <cellStyle name="Normal 328 51 2" xfId="41752" xr:uid="{00000000-0005-0000-0000-00001EA30000}"/>
    <cellStyle name="Normal 328 52" xfId="41753" xr:uid="{00000000-0005-0000-0000-00001FA30000}"/>
    <cellStyle name="Normal 328 52 2" xfId="41754" xr:uid="{00000000-0005-0000-0000-000020A30000}"/>
    <cellStyle name="Normal 328 53" xfId="41755" xr:uid="{00000000-0005-0000-0000-000021A30000}"/>
    <cellStyle name="Normal 328 53 2" xfId="41756" xr:uid="{00000000-0005-0000-0000-000022A30000}"/>
    <cellStyle name="Normal 328 54" xfId="41757" xr:uid="{00000000-0005-0000-0000-000023A30000}"/>
    <cellStyle name="Normal 328 54 2" xfId="41758" xr:uid="{00000000-0005-0000-0000-000024A30000}"/>
    <cellStyle name="Normal 328 55" xfId="41759" xr:uid="{00000000-0005-0000-0000-000025A30000}"/>
    <cellStyle name="Normal 328 55 2" xfId="41760" xr:uid="{00000000-0005-0000-0000-000026A30000}"/>
    <cellStyle name="Normal 328 56" xfId="41761" xr:uid="{00000000-0005-0000-0000-000027A30000}"/>
    <cellStyle name="Normal 328 56 2" xfId="41762" xr:uid="{00000000-0005-0000-0000-000028A30000}"/>
    <cellStyle name="Normal 328 57" xfId="41763" xr:uid="{00000000-0005-0000-0000-000029A30000}"/>
    <cellStyle name="Normal 328 57 2" xfId="41764" xr:uid="{00000000-0005-0000-0000-00002AA30000}"/>
    <cellStyle name="Normal 328 58" xfId="41765" xr:uid="{00000000-0005-0000-0000-00002BA30000}"/>
    <cellStyle name="Normal 328 58 2" xfId="41766" xr:uid="{00000000-0005-0000-0000-00002CA30000}"/>
    <cellStyle name="Normal 328 59" xfId="41767" xr:uid="{00000000-0005-0000-0000-00002DA30000}"/>
    <cellStyle name="Normal 328 59 2" xfId="41768" xr:uid="{00000000-0005-0000-0000-00002EA30000}"/>
    <cellStyle name="Normal 328 6" xfId="41769" xr:uid="{00000000-0005-0000-0000-00002FA30000}"/>
    <cellStyle name="Normal 328 6 2" xfId="41770" xr:uid="{00000000-0005-0000-0000-000030A30000}"/>
    <cellStyle name="Normal 328 60" xfId="41771" xr:uid="{00000000-0005-0000-0000-000031A30000}"/>
    <cellStyle name="Normal 328 60 2" xfId="41772" xr:uid="{00000000-0005-0000-0000-000032A30000}"/>
    <cellStyle name="Normal 328 61" xfId="41773" xr:uid="{00000000-0005-0000-0000-000033A30000}"/>
    <cellStyle name="Normal 328 61 2" xfId="41774" xr:uid="{00000000-0005-0000-0000-000034A30000}"/>
    <cellStyle name="Normal 328 61 3" xfId="41775" xr:uid="{00000000-0005-0000-0000-000035A30000}"/>
    <cellStyle name="Normal 328 62" xfId="41776" xr:uid="{00000000-0005-0000-0000-000036A30000}"/>
    <cellStyle name="Normal 328 7" xfId="41777" xr:uid="{00000000-0005-0000-0000-000037A30000}"/>
    <cellStyle name="Normal 328 7 2" xfId="41778" xr:uid="{00000000-0005-0000-0000-000038A30000}"/>
    <cellStyle name="Normal 328 8" xfId="41779" xr:uid="{00000000-0005-0000-0000-000039A30000}"/>
    <cellStyle name="Normal 328 8 2" xfId="41780" xr:uid="{00000000-0005-0000-0000-00003AA30000}"/>
    <cellStyle name="Normal 328 9" xfId="41781" xr:uid="{00000000-0005-0000-0000-00003BA30000}"/>
    <cellStyle name="Normal 328 9 2" xfId="41782" xr:uid="{00000000-0005-0000-0000-00003CA30000}"/>
    <cellStyle name="Normal 329" xfId="41783" xr:uid="{00000000-0005-0000-0000-00003DA30000}"/>
    <cellStyle name="Normal 33" xfId="41784" xr:uid="{00000000-0005-0000-0000-00003EA30000}"/>
    <cellStyle name="Normal 33 10" xfId="41785" xr:uid="{00000000-0005-0000-0000-00003FA30000}"/>
    <cellStyle name="Normal 33 10 2" xfId="41786" xr:uid="{00000000-0005-0000-0000-000040A30000}"/>
    <cellStyle name="Normal 33 11" xfId="41787" xr:uid="{00000000-0005-0000-0000-000041A30000}"/>
    <cellStyle name="Normal 33 11 2" xfId="41788" xr:uid="{00000000-0005-0000-0000-000042A30000}"/>
    <cellStyle name="Normal 33 12" xfId="41789" xr:uid="{00000000-0005-0000-0000-000043A30000}"/>
    <cellStyle name="Normal 33 12 2" xfId="41790" xr:uid="{00000000-0005-0000-0000-000044A30000}"/>
    <cellStyle name="Normal 33 13" xfId="41791" xr:uid="{00000000-0005-0000-0000-000045A30000}"/>
    <cellStyle name="Normal 33 13 2" xfId="41792" xr:uid="{00000000-0005-0000-0000-000046A30000}"/>
    <cellStyle name="Normal 33 14" xfId="41793" xr:uid="{00000000-0005-0000-0000-000047A30000}"/>
    <cellStyle name="Normal 33 14 2" xfId="41794" xr:uid="{00000000-0005-0000-0000-000048A30000}"/>
    <cellStyle name="Normal 33 15" xfId="41795" xr:uid="{00000000-0005-0000-0000-000049A30000}"/>
    <cellStyle name="Normal 33 15 2" xfId="41796" xr:uid="{00000000-0005-0000-0000-00004AA30000}"/>
    <cellStyle name="Normal 33 16" xfId="41797" xr:uid="{00000000-0005-0000-0000-00004BA30000}"/>
    <cellStyle name="Normal 33 16 2" xfId="41798" xr:uid="{00000000-0005-0000-0000-00004CA30000}"/>
    <cellStyle name="Normal 33 17" xfId="41799" xr:uid="{00000000-0005-0000-0000-00004DA30000}"/>
    <cellStyle name="Normal 33 17 2" xfId="41800" xr:uid="{00000000-0005-0000-0000-00004EA30000}"/>
    <cellStyle name="Normal 33 18" xfId="41801" xr:uid="{00000000-0005-0000-0000-00004FA30000}"/>
    <cellStyle name="Normal 33 18 2" xfId="41802" xr:uid="{00000000-0005-0000-0000-000050A30000}"/>
    <cellStyle name="Normal 33 19" xfId="41803" xr:uid="{00000000-0005-0000-0000-000051A30000}"/>
    <cellStyle name="Normal 33 19 2" xfId="41804" xr:uid="{00000000-0005-0000-0000-000052A30000}"/>
    <cellStyle name="Normal 33 2" xfId="41805" xr:uid="{00000000-0005-0000-0000-000053A30000}"/>
    <cellStyle name="Normal 33 2 2" xfId="41806" xr:uid="{00000000-0005-0000-0000-000054A30000}"/>
    <cellStyle name="Normal 33 20" xfId="41807" xr:uid="{00000000-0005-0000-0000-000055A30000}"/>
    <cellStyle name="Normal 33 20 2" xfId="41808" xr:uid="{00000000-0005-0000-0000-000056A30000}"/>
    <cellStyle name="Normal 33 21" xfId="41809" xr:uid="{00000000-0005-0000-0000-000057A30000}"/>
    <cellStyle name="Normal 33 21 2" xfId="41810" xr:uid="{00000000-0005-0000-0000-000058A30000}"/>
    <cellStyle name="Normal 33 22" xfId="41811" xr:uid="{00000000-0005-0000-0000-000059A30000}"/>
    <cellStyle name="Normal 33 22 2" xfId="41812" xr:uid="{00000000-0005-0000-0000-00005AA30000}"/>
    <cellStyle name="Normal 33 23" xfId="41813" xr:uid="{00000000-0005-0000-0000-00005BA30000}"/>
    <cellStyle name="Normal 33 23 2" xfId="41814" xr:uid="{00000000-0005-0000-0000-00005CA30000}"/>
    <cellStyle name="Normal 33 24" xfId="41815" xr:uid="{00000000-0005-0000-0000-00005DA30000}"/>
    <cellStyle name="Normal 33 24 2" xfId="41816" xr:uid="{00000000-0005-0000-0000-00005EA30000}"/>
    <cellStyle name="Normal 33 25" xfId="41817" xr:uid="{00000000-0005-0000-0000-00005FA30000}"/>
    <cellStyle name="Normal 33 25 2" xfId="41818" xr:uid="{00000000-0005-0000-0000-000060A30000}"/>
    <cellStyle name="Normal 33 26" xfId="41819" xr:uid="{00000000-0005-0000-0000-000061A30000}"/>
    <cellStyle name="Normal 33 26 2" xfId="41820" xr:uid="{00000000-0005-0000-0000-000062A30000}"/>
    <cellStyle name="Normal 33 27" xfId="41821" xr:uid="{00000000-0005-0000-0000-000063A30000}"/>
    <cellStyle name="Normal 33 27 2" xfId="41822" xr:uid="{00000000-0005-0000-0000-000064A30000}"/>
    <cellStyle name="Normal 33 28" xfId="41823" xr:uid="{00000000-0005-0000-0000-000065A30000}"/>
    <cellStyle name="Normal 33 28 2" xfId="41824" xr:uid="{00000000-0005-0000-0000-000066A30000}"/>
    <cellStyle name="Normal 33 29" xfId="41825" xr:uid="{00000000-0005-0000-0000-000067A30000}"/>
    <cellStyle name="Normal 33 29 2" xfId="41826" xr:uid="{00000000-0005-0000-0000-000068A30000}"/>
    <cellStyle name="Normal 33 3" xfId="41827" xr:uid="{00000000-0005-0000-0000-000069A30000}"/>
    <cellStyle name="Normal 33 3 2" xfId="41828" xr:uid="{00000000-0005-0000-0000-00006AA30000}"/>
    <cellStyle name="Normal 33 30" xfId="41829" xr:uid="{00000000-0005-0000-0000-00006BA30000}"/>
    <cellStyle name="Normal 33 30 2" xfId="41830" xr:uid="{00000000-0005-0000-0000-00006CA30000}"/>
    <cellStyle name="Normal 33 31" xfId="41831" xr:uid="{00000000-0005-0000-0000-00006DA30000}"/>
    <cellStyle name="Normal 33 31 2" xfId="41832" xr:uid="{00000000-0005-0000-0000-00006EA30000}"/>
    <cellStyle name="Normal 33 32" xfId="41833" xr:uid="{00000000-0005-0000-0000-00006FA30000}"/>
    <cellStyle name="Normal 33 32 2" xfId="41834" xr:uid="{00000000-0005-0000-0000-000070A30000}"/>
    <cellStyle name="Normal 33 33" xfId="41835" xr:uid="{00000000-0005-0000-0000-000071A30000}"/>
    <cellStyle name="Normal 33 33 2" xfId="41836" xr:uid="{00000000-0005-0000-0000-000072A30000}"/>
    <cellStyle name="Normal 33 34" xfId="41837" xr:uid="{00000000-0005-0000-0000-000073A30000}"/>
    <cellStyle name="Normal 33 34 2" xfId="41838" xr:uid="{00000000-0005-0000-0000-000074A30000}"/>
    <cellStyle name="Normal 33 35" xfId="41839" xr:uid="{00000000-0005-0000-0000-000075A30000}"/>
    <cellStyle name="Normal 33 35 2" xfId="41840" xr:uid="{00000000-0005-0000-0000-000076A30000}"/>
    <cellStyle name="Normal 33 36" xfId="41841" xr:uid="{00000000-0005-0000-0000-000077A30000}"/>
    <cellStyle name="Normal 33 36 2" xfId="41842" xr:uid="{00000000-0005-0000-0000-000078A30000}"/>
    <cellStyle name="Normal 33 37" xfId="41843" xr:uid="{00000000-0005-0000-0000-000079A30000}"/>
    <cellStyle name="Normal 33 37 2" xfId="41844" xr:uid="{00000000-0005-0000-0000-00007AA30000}"/>
    <cellStyle name="Normal 33 38" xfId="41845" xr:uid="{00000000-0005-0000-0000-00007BA30000}"/>
    <cellStyle name="Normal 33 38 2" xfId="41846" xr:uid="{00000000-0005-0000-0000-00007CA30000}"/>
    <cellStyle name="Normal 33 39" xfId="41847" xr:uid="{00000000-0005-0000-0000-00007DA30000}"/>
    <cellStyle name="Normal 33 39 2" xfId="41848" xr:uid="{00000000-0005-0000-0000-00007EA30000}"/>
    <cellStyle name="Normal 33 4" xfId="41849" xr:uid="{00000000-0005-0000-0000-00007FA30000}"/>
    <cellStyle name="Normal 33 4 2" xfId="41850" xr:uid="{00000000-0005-0000-0000-000080A30000}"/>
    <cellStyle name="Normal 33 40" xfId="41851" xr:uid="{00000000-0005-0000-0000-000081A30000}"/>
    <cellStyle name="Normal 33 40 2" xfId="41852" xr:uid="{00000000-0005-0000-0000-000082A30000}"/>
    <cellStyle name="Normal 33 41" xfId="41853" xr:uid="{00000000-0005-0000-0000-000083A30000}"/>
    <cellStyle name="Normal 33 41 2" xfId="41854" xr:uid="{00000000-0005-0000-0000-000084A30000}"/>
    <cellStyle name="Normal 33 42" xfId="41855" xr:uid="{00000000-0005-0000-0000-000085A30000}"/>
    <cellStyle name="Normal 33 42 2" xfId="41856" xr:uid="{00000000-0005-0000-0000-000086A30000}"/>
    <cellStyle name="Normal 33 43" xfId="41857" xr:uid="{00000000-0005-0000-0000-000087A30000}"/>
    <cellStyle name="Normal 33 43 2" xfId="41858" xr:uid="{00000000-0005-0000-0000-000088A30000}"/>
    <cellStyle name="Normal 33 44" xfId="41859" xr:uid="{00000000-0005-0000-0000-000089A30000}"/>
    <cellStyle name="Normal 33 44 2" xfId="41860" xr:uid="{00000000-0005-0000-0000-00008AA30000}"/>
    <cellStyle name="Normal 33 45" xfId="41861" xr:uid="{00000000-0005-0000-0000-00008BA30000}"/>
    <cellStyle name="Normal 33 45 2" xfId="41862" xr:uid="{00000000-0005-0000-0000-00008CA30000}"/>
    <cellStyle name="Normal 33 46" xfId="41863" xr:uid="{00000000-0005-0000-0000-00008DA30000}"/>
    <cellStyle name="Normal 33 46 2" xfId="41864" xr:uid="{00000000-0005-0000-0000-00008EA30000}"/>
    <cellStyle name="Normal 33 47" xfId="41865" xr:uid="{00000000-0005-0000-0000-00008FA30000}"/>
    <cellStyle name="Normal 33 47 2" xfId="41866" xr:uid="{00000000-0005-0000-0000-000090A30000}"/>
    <cellStyle name="Normal 33 48" xfId="41867" xr:uid="{00000000-0005-0000-0000-000091A30000}"/>
    <cellStyle name="Normal 33 48 2" xfId="41868" xr:uid="{00000000-0005-0000-0000-000092A30000}"/>
    <cellStyle name="Normal 33 49" xfId="41869" xr:uid="{00000000-0005-0000-0000-000093A30000}"/>
    <cellStyle name="Normal 33 49 2" xfId="41870" xr:uid="{00000000-0005-0000-0000-000094A30000}"/>
    <cellStyle name="Normal 33 5" xfId="41871" xr:uid="{00000000-0005-0000-0000-000095A30000}"/>
    <cellStyle name="Normal 33 5 2" xfId="41872" xr:uid="{00000000-0005-0000-0000-000096A30000}"/>
    <cellStyle name="Normal 33 50" xfId="41873" xr:uid="{00000000-0005-0000-0000-000097A30000}"/>
    <cellStyle name="Normal 33 50 2" xfId="41874" xr:uid="{00000000-0005-0000-0000-000098A30000}"/>
    <cellStyle name="Normal 33 51" xfId="41875" xr:uid="{00000000-0005-0000-0000-000099A30000}"/>
    <cellStyle name="Normal 33 51 2" xfId="41876" xr:uid="{00000000-0005-0000-0000-00009AA30000}"/>
    <cellStyle name="Normal 33 52" xfId="41877" xr:uid="{00000000-0005-0000-0000-00009BA30000}"/>
    <cellStyle name="Normal 33 52 2" xfId="41878" xr:uid="{00000000-0005-0000-0000-00009CA30000}"/>
    <cellStyle name="Normal 33 53" xfId="41879" xr:uid="{00000000-0005-0000-0000-00009DA30000}"/>
    <cellStyle name="Normal 33 53 2" xfId="41880" xr:uid="{00000000-0005-0000-0000-00009EA30000}"/>
    <cellStyle name="Normal 33 54" xfId="41881" xr:uid="{00000000-0005-0000-0000-00009FA30000}"/>
    <cellStyle name="Normal 33 54 2" xfId="41882" xr:uid="{00000000-0005-0000-0000-0000A0A30000}"/>
    <cellStyle name="Normal 33 55" xfId="41883" xr:uid="{00000000-0005-0000-0000-0000A1A30000}"/>
    <cellStyle name="Normal 33 55 2" xfId="41884" xr:uid="{00000000-0005-0000-0000-0000A2A30000}"/>
    <cellStyle name="Normal 33 56" xfId="41885" xr:uid="{00000000-0005-0000-0000-0000A3A30000}"/>
    <cellStyle name="Normal 33 56 2" xfId="41886" xr:uid="{00000000-0005-0000-0000-0000A4A30000}"/>
    <cellStyle name="Normal 33 57" xfId="41887" xr:uid="{00000000-0005-0000-0000-0000A5A30000}"/>
    <cellStyle name="Normal 33 57 2" xfId="41888" xr:uid="{00000000-0005-0000-0000-0000A6A30000}"/>
    <cellStyle name="Normal 33 58" xfId="41889" xr:uid="{00000000-0005-0000-0000-0000A7A30000}"/>
    <cellStyle name="Normal 33 58 2" xfId="41890" xr:uid="{00000000-0005-0000-0000-0000A8A30000}"/>
    <cellStyle name="Normal 33 59" xfId="41891" xr:uid="{00000000-0005-0000-0000-0000A9A30000}"/>
    <cellStyle name="Normal 33 6" xfId="41892" xr:uid="{00000000-0005-0000-0000-0000AAA30000}"/>
    <cellStyle name="Normal 33 6 2" xfId="41893" xr:uid="{00000000-0005-0000-0000-0000ABA30000}"/>
    <cellStyle name="Normal 33 60" xfId="41894" xr:uid="{00000000-0005-0000-0000-0000ACA30000}"/>
    <cellStyle name="Normal 33 7" xfId="41895" xr:uid="{00000000-0005-0000-0000-0000ADA30000}"/>
    <cellStyle name="Normal 33 7 2" xfId="41896" xr:uid="{00000000-0005-0000-0000-0000AEA30000}"/>
    <cellStyle name="Normal 33 8" xfId="41897" xr:uid="{00000000-0005-0000-0000-0000AFA30000}"/>
    <cellStyle name="Normal 33 8 2" xfId="41898" xr:uid="{00000000-0005-0000-0000-0000B0A30000}"/>
    <cellStyle name="Normal 33 9" xfId="41899" xr:uid="{00000000-0005-0000-0000-0000B1A30000}"/>
    <cellStyle name="Normal 33 9 2" xfId="41900" xr:uid="{00000000-0005-0000-0000-0000B2A30000}"/>
    <cellStyle name="Normal 330" xfId="41901" xr:uid="{00000000-0005-0000-0000-0000B3A30000}"/>
    <cellStyle name="Normal 331" xfId="41902" xr:uid="{00000000-0005-0000-0000-0000B4A30000}"/>
    <cellStyle name="Normal 331 10" xfId="41903" xr:uid="{00000000-0005-0000-0000-0000B5A30000}"/>
    <cellStyle name="Normal 331 10 2" xfId="41904" xr:uid="{00000000-0005-0000-0000-0000B6A30000}"/>
    <cellStyle name="Normal 331 11" xfId="41905" xr:uid="{00000000-0005-0000-0000-0000B7A30000}"/>
    <cellStyle name="Normal 331 11 2" xfId="41906" xr:uid="{00000000-0005-0000-0000-0000B8A30000}"/>
    <cellStyle name="Normal 331 12" xfId="41907" xr:uid="{00000000-0005-0000-0000-0000B9A30000}"/>
    <cellStyle name="Normal 331 12 2" xfId="41908" xr:uid="{00000000-0005-0000-0000-0000BAA30000}"/>
    <cellStyle name="Normal 331 13" xfId="41909" xr:uid="{00000000-0005-0000-0000-0000BBA30000}"/>
    <cellStyle name="Normal 331 13 2" xfId="41910" xr:uid="{00000000-0005-0000-0000-0000BCA30000}"/>
    <cellStyle name="Normal 331 14" xfId="41911" xr:uid="{00000000-0005-0000-0000-0000BDA30000}"/>
    <cellStyle name="Normal 331 14 2" xfId="41912" xr:uid="{00000000-0005-0000-0000-0000BEA30000}"/>
    <cellStyle name="Normal 331 15" xfId="41913" xr:uid="{00000000-0005-0000-0000-0000BFA30000}"/>
    <cellStyle name="Normal 331 15 2" xfId="41914" xr:uid="{00000000-0005-0000-0000-0000C0A30000}"/>
    <cellStyle name="Normal 331 16" xfId="41915" xr:uid="{00000000-0005-0000-0000-0000C1A30000}"/>
    <cellStyle name="Normal 331 16 2" xfId="41916" xr:uid="{00000000-0005-0000-0000-0000C2A30000}"/>
    <cellStyle name="Normal 331 17" xfId="41917" xr:uid="{00000000-0005-0000-0000-0000C3A30000}"/>
    <cellStyle name="Normal 331 17 2" xfId="41918" xr:uid="{00000000-0005-0000-0000-0000C4A30000}"/>
    <cellStyle name="Normal 331 18" xfId="41919" xr:uid="{00000000-0005-0000-0000-0000C5A30000}"/>
    <cellStyle name="Normal 331 18 2" xfId="41920" xr:uid="{00000000-0005-0000-0000-0000C6A30000}"/>
    <cellStyle name="Normal 331 19" xfId="41921" xr:uid="{00000000-0005-0000-0000-0000C7A30000}"/>
    <cellStyle name="Normal 331 19 2" xfId="41922" xr:uid="{00000000-0005-0000-0000-0000C8A30000}"/>
    <cellStyle name="Normal 331 2" xfId="41923" xr:uid="{00000000-0005-0000-0000-0000C9A30000}"/>
    <cellStyle name="Normal 331 2 2" xfId="41924" xr:uid="{00000000-0005-0000-0000-0000CAA30000}"/>
    <cellStyle name="Normal 331 20" xfId="41925" xr:uid="{00000000-0005-0000-0000-0000CBA30000}"/>
    <cellStyle name="Normal 331 20 2" xfId="41926" xr:uid="{00000000-0005-0000-0000-0000CCA30000}"/>
    <cellStyle name="Normal 331 21" xfId="41927" xr:uid="{00000000-0005-0000-0000-0000CDA30000}"/>
    <cellStyle name="Normal 331 21 2" xfId="41928" xr:uid="{00000000-0005-0000-0000-0000CEA30000}"/>
    <cellStyle name="Normal 331 22" xfId="41929" xr:uid="{00000000-0005-0000-0000-0000CFA30000}"/>
    <cellStyle name="Normal 331 22 2" xfId="41930" xr:uid="{00000000-0005-0000-0000-0000D0A30000}"/>
    <cellStyle name="Normal 331 23" xfId="41931" xr:uid="{00000000-0005-0000-0000-0000D1A30000}"/>
    <cellStyle name="Normal 331 23 2" xfId="41932" xr:uid="{00000000-0005-0000-0000-0000D2A30000}"/>
    <cellStyle name="Normal 331 24" xfId="41933" xr:uid="{00000000-0005-0000-0000-0000D3A30000}"/>
    <cellStyle name="Normal 331 24 2" xfId="41934" xr:uid="{00000000-0005-0000-0000-0000D4A30000}"/>
    <cellStyle name="Normal 331 25" xfId="41935" xr:uid="{00000000-0005-0000-0000-0000D5A30000}"/>
    <cellStyle name="Normal 331 25 2" xfId="41936" xr:uid="{00000000-0005-0000-0000-0000D6A30000}"/>
    <cellStyle name="Normal 331 26" xfId="41937" xr:uid="{00000000-0005-0000-0000-0000D7A30000}"/>
    <cellStyle name="Normal 331 26 2" xfId="41938" xr:uid="{00000000-0005-0000-0000-0000D8A30000}"/>
    <cellStyle name="Normal 331 27" xfId="41939" xr:uid="{00000000-0005-0000-0000-0000D9A30000}"/>
    <cellStyle name="Normal 331 27 2" xfId="41940" xr:uid="{00000000-0005-0000-0000-0000DAA30000}"/>
    <cellStyle name="Normal 331 28" xfId="41941" xr:uid="{00000000-0005-0000-0000-0000DBA30000}"/>
    <cellStyle name="Normal 331 28 2" xfId="41942" xr:uid="{00000000-0005-0000-0000-0000DCA30000}"/>
    <cellStyle name="Normal 331 29" xfId="41943" xr:uid="{00000000-0005-0000-0000-0000DDA30000}"/>
    <cellStyle name="Normal 331 29 2" xfId="41944" xr:uid="{00000000-0005-0000-0000-0000DEA30000}"/>
    <cellStyle name="Normal 331 3" xfId="41945" xr:uid="{00000000-0005-0000-0000-0000DFA30000}"/>
    <cellStyle name="Normal 331 3 2" xfId="41946" xr:uid="{00000000-0005-0000-0000-0000E0A30000}"/>
    <cellStyle name="Normal 331 30" xfId="41947" xr:uid="{00000000-0005-0000-0000-0000E1A30000}"/>
    <cellStyle name="Normal 331 30 2" xfId="41948" xr:uid="{00000000-0005-0000-0000-0000E2A30000}"/>
    <cellStyle name="Normal 331 31" xfId="41949" xr:uid="{00000000-0005-0000-0000-0000E3A30000}"/>
    <cellStyle name="Normal 331 31 2" xfId="41950" xr:uid="{00000000-0005-0000-0000-0000E4A30000}"/>
    <cellStyle name="Normal 331 32" xfId="41951" xr:uid="{00000000-0005-0000-0000-0000E5A30000}"/>
    <cellStyle name="Normal 331 32 2" xfId="41952" xr:uid="{00000000-0005-0000-0000-0000E6A30000}"/>
    <cellStyle name="Normal 331 33" xfId="41953" xr:uid="{00000000-0005-0000-0000-0000E7A30000}"/>
    <cellStyle name="Normal 331 33 2" xfId="41954" xr:uid="{00000000-0005-0000-0000-0000E8A30000}"/>
    <cellStyle name="Normal 331 34" xfId="41955" xr:uid="{00000000-0005-0000-0000-0000E9A30000}"/>
    <cellStyle name="Normal 331 34 2" xfId="41956" xr:uid="{00000000-0005-0000-0000-0000EAA30000}"/>
    <cellStyle name="Normal 331 35" xfId="41957" xr:uid="{00000000-0005-0000-0000-0000EBA30000}"/>
    <cellStyle name="Normal 331 35 2" xfId="41958" xr:uid="{00000000-0005-0000-0000-0000ECA30000}"/>
    <cellStyle name="Normal 331 36" xfId="41959" xr:uid="{00000000-0005-0000-0000-0000EDA30000}"/>
    <cellStyle name="Normal 331 36 2" xfId="41960" xr:uid="{00000000-0005-0000-0000-0000EEA30000}"/>
    <cellStyle name="Normal 331 37" xfId="41961" xr:uid="{00000000-0005-0000-0000-0000EFA30000}"/>
    <cellStyle name="Normal 331 37 2" xfId="41962" xr:uid="{00000000-0005-0000-0000-0000F0A30000}"/>
    <cellStyle name="Normal 331 38" xfId="41963" xr:uid="{00000000-0005-0000-0000-0000F1A30000}"/>
    <cellStyle name="Normal 331 38 2" xfId="41964" xr:uid="{00000000-0005-0000-0000-0000F2A30000}"/>
    <cellStyle name="Normal 331 39" xfId="41965" xr:uid="{00000000-0005-0000-0000-0000F3A30000}"/>
    <cellStyle name="Normal 331 39 2" xfId="41966" xr:uid="{00000000-0005-0000-0000-0000F4A30000}"/>
    <cellStyle name="Normal 331 4" xfId="41967" xr:uid="{00000000-0005-0000-0000-0000F5A30000}"/>
    <cellStyle name="Normal 331 4 2" xfId="41968" xr:uid="{00000000-0005-0000-0000-0000F6A30000}"/>
    <cellStyle name="Normal 331 40" xfId="41969" xr:uid="{00000000-0005-0000-0000-0000F7A30000}"/>
    <cellStyle name="Normal 331 40 2" xfId="41970" xr:uid="{00000000-0005-0000-0000-0000F8A30000}"/>
    <cellStyle name="Normal 331 41" xfId="41971" xr:uid="{00000000-0005-0000-0000-0000F9A30000}"/>
    <cellStyle name="Normal 331 41 2" xfId="41972" xr:uid="{00000000-0005-0000-0000-0000FAA30000}"/>
    <cellStyle name="Normal 331 42" xfId="41973" xr:uid="{00000000-0005-0000-0000-0000FBA30000}"/>
    <cellStyle name="Normal 331 42 2" xfId="41974" xr:uid="{00000000-0005-0000-0000-0000FCA30000}"/>
    <cellStyle name="Normal 331 43" xfId="41975" xr:uid="{00000000-0005-0000-0000-0000FDA30000}"/>
    <cellStyle name="Normal 331 43 2" xfId="41976" xr:uid="{00000000-0005-0000-0000-0000FEA30000}"/>
    <cellStyle name="Normal 331 44" xfId="41977" xr:uid="{00000000-0005-0000-0000-0000FFA30000}"/>
    <cellStyle name="Normal 331 44 2" xfId="41978" xr:uid="{00000000-0005-0000-0000-000000A40000}"/>
    <cellStyle name="Normal 331 45" xfId="41979" xr:uid="{00000000-0005-0000-0000-000001A40000}"/>
    <cellStyle name="Normal 331 45 2" xfId="41980" xr:uid="{00000000-0005-0000-0000-000002A40000}"/>
    <cellStyle name="Normal 331 46" xfId="41981" xr:uid="{00000000-0005-0000-0000-000003A40000}"/>
    <cellStyle name="Normal 331 46 2" xfId="41982" xr:uid="{00000000-0005-0000-0000-000004A40000}"/>
    <cellStyle name="Normal 331 47" xfId="41983" xr:uid="{00000000-0005-0000-0000-000005A40000}"/>
    <cellStyle name="Normal 331 47 2" xfId="41984" xr:uid="{00000000-0005-0000-0000-000006A40000}"/>
    <cellStyle name="Normal 331 48" xfId="41985" xr:uid="{00000000-0005-0000-0000-000007A40000}"/>
    <cellStyle name="Normal 331 48 2" xfId="41986" xr:uid="{00000000-0005-0000-0000-000008A40000}"/>
    <cellStyle name="Normal 331 49" xfId="41987" xr:uid="{00000000-0005-0000-0000-000009A40000}"/>
    <cellStyle name="Normal 331 49 2" xfId="41988" xr:uid="{00000000-0005-0000-0000-00000AA40000}"/>
    <cellStyle name="Normal 331 5" xfId="41989" xr:uid="{00000000-0005-0000-0000-00000BA40000}"/>
    <cellStyle name="Normal 331 5 2" xfId="41990" xr:uid="{00000000-0005-0000-0000-00000CA40000}"/>
    <cellStyle name="Normal 331 50" xfId="41991" xr:uid="{00000000-0005-0000-0000-00000DA40000}"/>
    <cellStyle name="Normal 331 50 2" xfId="41992" xr:uid="{00000000-0005-0000-0000-00000EA40000}"/>
    <cellStyle name="Normal 331 51" xfId="41993" xr:uid="{00000000-0005-0000-0000-00000FA40000}"/>
    <cellStyle name="Normal 331 51 2" xfId="41994" xr:uid="{00000000-0005-0000-0000-000010A40000}"/>
    <cellStyle name="Normal 331 52" xfId="41995" xr:uid="{00000000-0005-0000-0000-000011A40000}"/>
    <cellStyle name="Normal 331 52 2" xfId="41996" xr:uid="{00000000-0005-0000-0000-000012A40000}"/>
    <cellStyle name="Normal 331 53" xfId="41997" xr:uid="{00000000-0005-0000-0000-000013A40000}"/>
    <cellStyle name="Normal 331 53 2" xfId="41998" xr:uid="{00000000-0005-0000-0000-000014A40000}"/>
    <cellStyle name="Normal 331 54" xfId="41999" xr:uid="{00000000-0005-0000-0000-000015A40000}"/>
    <cellStyle name="Normal 331 54 2" xfId="42000" xr:uid="{00000000-0005-0000-0000-000016A40000}"/>
    <cellStyle name="Normal 331 55" xfId="42001" xr:uid="{00000000-0005-0000-0000-000017A40000}"/>
    <cellStyle name="Normal 331 55 2" xfId="42002" xr:uid="{00000000-0005-0000-0000-000018A40000}"/>
    <cellStyle name="Normal 331 56" xfId="42003" xr:uid="{00000000-0005-0000-0000-000019A40000}"/>
    <cellStyle name="Normal 331 56 2" xfId="42004" xr:uid="{00000000-0005-0000-0000-00001AA40000}"/>
    <cellStyle name="Normal 331 57" xfId="42005" xr:uid="{00000000-0005-0000-0000-00001BA40000}"/>
    <cellStyle name="Normal 331 57 2" xfId="42006" xr:uid="{00000000-0005-0000-0000-00001CA40000}"/>
    <cellStyle name="Normal 331 58" xfId="42007" xr:uid="{00000000-0005-0000-0000-00001DA40000}"/>
    <cellStyle name="Normal 331 58 2" xfId="42008" xr:uid="{00000000-0005-0000-0000-00001EA40000}"/>
    <cellStyle name="Normal 331 59" xfId="42009" xr:uid="{00000000-0005-0000-0000-00001FA40000}"/>
    <cellStyle name="Normal 331 59 2" xfId="42010" xr:uid="{00000000-0005-0000-0000-000020A40000}"/>
    <cellStyle name="Normal 331 6" xfId="42011" xr:uid="{00000000-0005-0000-0000-000021A40000}"/>
    <cellStyle name="Normal 331 6 2" xfId="42012" xr:uid="{00000000-0005-0000-0000-000022A40000}"/>
    <cellStyle name="Normal 331 60" xfId="42013" xr:uid="{00000000-0005-0000-0000-000023A40000}"/>
    <cellStyle name="Normal 331 60 2" xfId="42014" xr:uid="{00000000-0005-0000-0000-000024A40000}"/>
    <cellStyle name="Normal 331 61" xfId="42015" xr:uid="{00000000-0005-0000-0000-000025A40000}"/>
    <cellStyle name="Normal 331 61 2" xfId="42016" xr:uid="{00000000-0005-0000-0000-000026A40000}"/>
    <cellStyle name="Normal 331 61 3" xfId="42017" xr:uid="{00000000-0005-0000-0000-000027A40000}"/>
    <cellStyle name="Normal 331 62" xfId="42018" xr:uid="{00000000-0005-0000-0000-000028A40000}"/>
    <cellStyle name="Normal 331 7" xfId="42019" xr:uid="{00000000-0005-0000-0000-000029A40000}"/>
    <cellStyle name="Normal 331 7 2" xfId="42020" xr:uid="{00000000-0005-0000-0000-00002AA40000}"/>
    <cellStyle name="Normal 331 8" xfId="42021" xr:uid="{00000000-0005-0000-0000-00002BA40000}"/>
    <cellStyle name="Normal 331 8 2" xfId="42022" xr:uid="{00000000-0005-0000-0000-00002CA40000}"/>
    <cellStyle name="Normal 331 9" xfId="42023" xr:uid="{00000000-0005-0000-0000-00002DA40000}"/>
    <cellStyle name="Normal 331 9 2" xfId="42024" xr:uid="{00000000-0005-0000-0000-00002EA40000}"/>
    <cellStyle name="Normal 332" xfId="42025" xr:uid="{00000000-0005-0000-0000-00002FA40000}"/>
    <cellStyle name="Normal 333" xfId="42026" xr:uid="{00000000-0005-0000-0000-000030A40000}"/>
    <cellStyle name="Normal 334" xfId="42027" xr:uid="{00000000-0005-0000-0000-000031A40000}"/>
    <cellStyle name="Normal 334 10" xfId="42028" xr:uid="{00000000-0005-0000-0000-000032A40000}"/>
    <cellStyle name="Normal 334 10 2" xfId="42029" xr:uid="{00000000-0005-0000-0000-000033A40000}"/>
    <cellStyle name="Normal 334 11" xfId="42030" xr:uid="{00000000-0005-0000-0000-000034A40000}"/>
    <cellStyle name="Normal 334 11 2" xfId="42031" xr:uid="{00000000-0005-0000-0000-000035A40000}"/>
    <cellStyle name="Normal 334 12" xfId="42032" xr:uid="{00000000-0005-0000-0000-000036A40000}"/>
    <cellStyle name="Normal 334 12 2" xfId="42033" xr:uid="{00000000-0005-0000-0000-000037A40000}"/>
    <cellStyle name="Normal 334 13" xfId="42034" xr:uid="{00000000-0005-0000-0000-000038A40000}"/>
    <cellStyle name="Normal 334 13 2" xfId="42035" xr:uid="{00000000-0005-0000-0000-000039A40000}"/>
    <cellStyle name="Normal 334 14" xfId="42036" xr:uid="{00000000-0005-0000-0000-00003AA40000}"/>
    <cellStyle name="Normal 334 14 2" xfId="42037" xr:uid="{00000000-0005-0000-0000-00003BA40000}"/>
    <cellStyle name="Normal 334 15" xfId="42038" xr:uid="{00000000-0005-0000-0000-00003CA40000}"/>
    <cellStyle name="Normal 334 15 2" xfId="42039" xr:uid="{00000000-0005-0000-0000-00003DA40000}"/>
    <cellStyle name="Normal 334 16" xfId="42040" xr:uid="{00000000-0005-0000-0000-00003EA40000}"/>
    <cellStyle name="Normal 334 16 2" xfId="42041" xr:uid="{00000000-0005-0000-0000-00003FA40000}"/>
    <cellStyle name="Normal 334 17" xfId="42042" xr:uid="{00000000-0005-0000-0000-000040A40000}"/>
    <cellStyle name="Normal 334 17 2" xfId="42043" xr:uid="{00000000-0005-0000-0000-000041A40000}"/>
    <cellStyle name="Normal 334 18" xfId="42044" xr:uid="{00000000-0005-0000-0000-000042A40000}"/>
    <cellStyle name="Normal 334 18 2" xfId="42045" xr:uid="{00000000-0005-0000-0000-000043A40000}"/>
    <cellStyle name="Normal 334 19" xfId="42046" xr:uid="{00000000-0005-0000-0000-000044A40000}"/>
    <cellStyle name="Normal 334 19 2" xfId="42047" xr:uid="{00000000-0005-0000-0000-000045A40000}"/>
    <cellStyle name="Normal 334 2" xfId="42048" xr:uid="{00000000-0005-0000-0000-000046A40000}"/>
    <cellStyle name="Normal 334 2 2" xfId="42049" xr:uid="{00000000-0005-0000-0000-000047A40000}"/>
    <cellStyle name="Normal 334 20" xfId="42050" xr:uid="{00000000-0005-0000-0000-000048A40000}"/>
    <cellStyle name="Normal 334 20 2" xfId="42051" xr:uid="{00000000-0005-0000-0000-000049A40000}"/>
    <cellStyle name="Normal 334 21" xfId="42052" xr:uid="{00000000-0005-0000-0000-00004AA40000}"/>
    <cellStyle name="Normal 334 21 2" xfId="42053" xr:uid="{00000000-0005-0000-0000-00004BA40000}"/>
    <cellStyle name="Normal 334 22" xfId="42054" xr:uid="{00000000-0005-0000-0000-00004CA40000}"/>
    <cellStyle name="Normal 334 22 2" xfId="42055" xr:uid="{00000000-0005-0000-0000-00004DA40000}"/>
    <cellStyle name="Normal 334 23" xfId="42056" xr:uid="{00000000-0005-0000-0000-00004EA40000}"/>
    <cellStyle name="Normal 334 23 2" xfId="42057" xr:uid="{00000000-0005-0000-0000-00004FA40000}"/>
    <cellStyle name="Normal 334 24" xfId="42058" xr:uid="{00000000-0005-0000-0000-000050A40000}"/>
    <cellStyle name="Normal 334 24 2" xfId="42059" xr:uid="{00000000-0005-0000-0000-000051A40000}"/>
    <cellStyle name="Normal 334 25" xfId="42060" xr:uid="{00000000-0005-0000-0000-000052A40000}"/>
    <cellStyle name="Normal 334 25 2" xfId="42061" xr:uid="{00000000-0005-0000-0000-000053A40000}"/>
    <cellStyle name="Normal 334 26" xfId="42062" xr:uid="{00000000-0005-0000-0000-000054A40000}"/>
    <cellStyle name="Normal 334 26 2" xfId="42063" xr:uid="{00000000-0005-0000-0000-000055A40000}"/>
    <cellStyle name="Normal 334 27" xfId="42064" xr:uid="{00000000-0005-0000-0000-000056A40000}"/>
    <cellStyle name="Normal 334 27 2" xfId="42065" xr:uid="{00000000-0005-0000-0000-000057A40000}"/>
    <cellStyle name="Normal 334 28" xfId="42066" xr:uid="{00000000-0005-0000-0000-000058A40000}"/>
    <cellStyle name="Normal 334 28 2" xfId="42067" xr:uid="{00000000-0005-0000-0000-000059A40000}"/>
    <cellStyle name="Normal 334 29" xfId="42068" xr:uid="{00000000-0005-0000-0000-00005AA40000}"/>
    <cellStyle name="Normal 334 29 2" xfId="42069" xr:uid="{00000000-0005-0000-0000-00005BA40000}"/>
    <cellStyle name="Normal 334 3" xfId="42070" xr:uid="{00000000-0005-0000-0000-00005CA40000}"/>
    <cellStyle name="Normal 334 3 2" xfId="42071" xr:uid="{00000000-0005-0000-0000-00005DA40000}"/>
    <cellStyle name="Normal 334 30" xfId="42072" xr:uid="{00000000-0005-0000-0000-00005EA40000}"/>
    <cellStyle name="Normal 334 30 2" xfId="42073" xr:uid="{00000000-0005-0000-0000-00005FA40000}"/>
    <cellStyle name="Normal 334 31" xfId="42074" xr:uid="{00000000-0005-0000-0000-000060A40000}"/>
    <cellStyle name="Normal 334 31 2" xfId="42075" xr:uid="{00000000-0005-0000-0000-000061A40000}"/>
    <cellStyle name="Normal 334 32" xfId="42076" xr:uid="{00000000-0005-0000-0000-000062A40000}"/>
    <cellStyle name="Normal 334 32 2" xfId="42077" xr:uid="{00000000-0005-0000-0000-000063A40000}"/>
    <cellStyle name="Normal 334 33" xfId="42078" xr:uid="{00000000-0005-0000-0000-000064A40000}"/>
    <cellStyle name="Normal 334 33 2" xfId="42079" xr:uid="{00000000-0005-0000-0000-000065A40000}"/>
    <cellStyle name="Normal 334 34" xfId="42080" xr:uid="{00000000-0005-0000-0000-000066A40000}"/>
    <cellStyle name="Normal 334 34 2" xfId="42081" xr:uid="{00000000-0005-0000-0000-000067A40000}"/>
    <cellStyle name="Normal 334 35" xfId="42082" xr:uid="{00000000-0005-0000-0000-000068A40000}"/>
    <cellStyle name="Normal 334 35 2" xfId="42083" xr:uid="{00000000-0005-0000-0000-000069A40000}"/>
    <cellStyle name="Normal 334 36" xfId="42084" xr:uid="{00000000-0005-0000-0000-00006AA40000}"/>
    <cellStyle name="Normal 334 36 2" xfId="42085" xr:uid="{00000000-0005-0000-0000-00006BA40000}"/>
    <cellStyle name="Normal 334 37" xfId="42086" xr:uid="{00000000-0005-0000-0000-00006CA40000}"/>
    <cellStyle name="Normal 334 37 2" xfId="42087" xr:uid="{00000000-0005-0000-0000-00006DA40000}"/>
    <cellStyle name="Normal 334 38" xfId="42088" xr:uid="{00000000-0005-0000-0000-00006EA40000}"/>
    <cellStyle name="Normal 334 38 2" xfId="42089" xr:uid="{00000000-0005-0000-0000-00006FA40000}"/>
    <cellStyle name="Normal 334 39" xfId="42090" xr:uid="{00000000-0005-0000-0000-000070A40000}"/>
    <cellStyle name="Normal 334 39 2" xfId="42091" xr:uid="{00000000-0005-0000-0000-000071A40000}"/>
    <cellStyle name="Normal 334 4" xfId="42092" xr:uid="{00000000-0005-0000-0000-000072A40000}"/>
    <cellStyle name="Normal 334 4 2" xfId="42093" xr:uid="{00000000-0005-0000-0000-000073A40000}"/>
    <cellStyle name="Normal 334 40" xfId="42094" xr:uid="{00000000-0005-0000-0000-000074A40000}"/>
    <cellStyle name="Normal 334 40 2" xfId="42095" xr:uid="{00000000-0005-0000-0000-000075A40000}"/>
    <cellStyle name="Normal 334 41" xfId="42096" xr:uid="{00000000-0005-0000-0000-000076A40000}"/>
    <cellStyle name="Normal 334 41 2" xfId="42097" xr:uid="{00000000-0005-0000-0000-000077A40000}"/>
    <cellStyle name="Normal 334 42" xfId="42098" xr:uid="{00000000-0005-0000-0000-000078A40000}"/>
    <cellStyle name="Normal 334 42 2" xfId="42099" xr:uid="{00000000-0005-0000-0000-000079A40000}"/>
    <cellStyle name="Normal 334 43" xfId="42100" xr:uid="{00000000-0005-0000-0000-00007AA40000}"/>
    <cellStyle name="Normal 334 43 2" xfId="42101" xr:uid="{00000000-0005-0000-0000-00007BA40000}"/>
    <cellStyle name="Normal 334 44" xfId="42102" xr:uid="{00000000-0005-0000-0000-00007CA40000}"/>
    <cellStyle name="Normal 334 44 2" xfId="42103" xr:uid="{00000000-0005-0000-0000-00007DA40000}"/>
    <cellStyle name="Normal 334 45" xfId="42104" xr:uid="{00000000-0005-0000-0000-00007EA40000}"/>
    <cellStyle name="Normal 334 45 2" xfId="42105" xr:uid="{00000000-0005-0000-0000-00007FA40000}"/>
    <cellStyle name="Normal 334 46" xfId="42106" xr:uid="{00000000-0005-0000-0000-000080A40000}"/>
    <cellStyle name="Normal 334 46 2" xfId="42107" xr:uid="{00000000-0005-0000-0000-000081A40000}"/>
    <cellStyle name="Normal 334 47" xfId="42108" xr:uid="{00000000-0005-0000-0000-000082A40000}"/>
    <cellStyle name="Normal 334 47 2" xfId="42109" xr:uid="{00000000-0005-0000-0000-000083A40000}"/>
    <cellStyle name="Normal 334 48" xfId="42110" xr:uid="{00000000-0005-0000-0000-000084A40000}"/>
    <cellStyle name="Normal 334 48 2" xfId="42111" xr:uid="{00000000-0005-0000-0000-000085A40000}"/>
    <cellStyle name="Normal 334 49" xfId="42112" xr:uid="{00000000-0005-0000-0000-000086A40000}"/>
    <cellStyle name="Normal 334 49 2" xfId="42113" xr:uid="{00000000-0005-0000-0000-000087A40000}"/>
    <cellStyle name="Normal 334 5" xfId="42114" xr:uid="{00000000-0005-0000-0000-000088A40000}"/>
    <cellStyle name="Normal 334 5 2" xfId="42115" xr:uid="{00000000-0005-0000-0000-000089A40000}"/>
    <cellStyle name="Normal 334 50" xfId="42116" xr:uid="{00000000-0005-0000-0000-00008AA40000}"/>
    <cellStyle name="Normal 334 50 2" xfId="42117" xr:uid="{00000000-0005-0000-0000-00008BA40000}"/>
    <cellStyle name="Normal 334 51" xfId="42118" xr:uid="{00000000-0005-0000-0000-00008CA40000}"/>
    <cellStyle name="Normal 334 51 2" xfId="42119" xr:uid="{00000000-0005-0000-0000-00008DA40000}"/>
    <cellStyle name="Normal 334 52" xfId="42120" xr:uid="{00000000-0005-0000-0000-00008EA40000}"/>
    <cellStyle name="Normal 334 52 2" xfId="42121" xr:uid="{00000000-0005-0000-0000-00008FA40000}"/>
    <cellStyle name="Normal 334 53" xfId="42122" xr:uid="{00000000-0005-0000-0000-000090A40000}"/>
    <cellStyle name="Normal 334 53 2" xfId="42123" xr:uid="{00000000-0005-0000-0000-000091A40000}"/>
    <cellStyle name="Normal 334 54" xfId="42124" xr:uid="{00000000-0005-0000-0000-000092A40000}"/>
    <cellStyle name="Normal 334 54 2" xfId="42125" xr:uid="{00000000-0005-0000-0000-000093A40000}"/>
    <cellStyle name="Normal 334 55" xfId="42126" xr:uid="{00000000-0005-0000-0000-000094A40000}"/>
    <cellStyle name="Normal 334 55 2" xfId="42127" xr:uid="{00000000-0005-0000-0000-000095A40000}"/>
    <cellStyle name="Normal 334 56" xfId="42128" xr:uid="{00000000-0005-0000-0000-000096A40000}"/>
    <cellStyle name="Normal 334 56 2" xfId="42129" xr:uid="{00000000-0005-0000-0000-000097A40000}"/>
    <cellStyle name="Normal 334 57" xfId="42130" xr:uid="{00000000-0005-0000-0000-000098A40000}"/>
    <cellStyle name="Normal 334 57 2" xfId="42131" xr:uid="{00000000-0005-0000-0000-000099A40000}"/>
    <cellStyle name="Normal 334 58" xfId="42132" xr:uid="{00000000-0005-0000-0000-00009AA40000}"/>
    <cellStyle name="Normal 334 58 2" xfId="42133" xr:uid="{00000000-0005-0000-0000-00009BA40000}"/>
    <cellStyle name="Normal 334 59" xfId="42134" xr:uid="{00000000-0005-0000-0000-00009CA40000}"/>
    <cellStyle name="Normal 334 59 2" xfId="42135" xr:uid="{00000000-0005-0000-0000-00009DA40000}"/>
    <cellStyle name="Normal 334 6" xfId="42136" xr:uid="{00000000-0005-0000-0000-00009EA40000}"/>
    <cellStyle name="Normal 334 6 2" xfId="42137" xr:uid="{00000000-0005-0000-0000-00009FA40000}"/>
    <cellStyle name="Normal 334 60" xfId="42138" xr:uid="{00000000-0005-0000-0000-0000A0A40000}"/>
    <cellStyle name="Normal 334 60 2" xfId="42139" xr:uid="{00000000-0005-0000-0000-0000A1A40000}"/>
    <cellStyle name="Normal 334 61" xfId="42140" xr:uid="{00000000-0005-0000-0000-0000A2A40000}"/>
    <cellStyle name="Normal 334 61 2" xfId="42141" xr:uid="{00000000-0005-0000-0000-0000A3A40000}"/>
    <cellStyle name="Normal 334 61 3" xfId="42142" xr:uid="{00000000-0005-0000-0000-0000A4A40000}"/>
    <cellStyle name="Normal 334 62" xfId="42143" xr:uid="{00000000-0005-0000-0000-0000A5A40000}"/>
    <cellStyle name="Normal 334 7" xfId="42144" xr:uid="{00000000-0005-0000-0000-0000A6A40000}"/>
    <cellStyle name="Normal 334 7 2" xfId="42145" xr:uid="{00000000-0005-0000-0000-0000A7A40000}"/>
    <cellStyle name="Normal 334 8" xfId="42146" xr:uid="{00000000-0005-0000-0000-0000A8A40000}"/>
    <cellStyle name="Normal 334 8 2" xfId="42147" xr:uid="{00000000-0005-0000-0000-0000A9A40000}"/>
    <cellStyle name="Normal 334 9" xfId="42148" xr:uid="{00000000-0005-0000-0000-0000AAA40000}"/>
    <cellStyle name="Normal 334 9 2" xfId="42149" xr:uid="{00000000-0005-0000-0000-0000ABA40000}"/>
    <cellStyle name="Normal 335" xfId="42150" xr:uid="{00000000-0005-0000-0000-0000ACA40000}"/>
    <cellStyle name="Normal 336" xfId="42151" xr:uid="{00000000-0005-0000-0000-0000ADA40000}"/>
    <cellStyle name="Normal 337" xfId="42152" xr:uid="{00000000-0005-0000-0000-0000AEA40000}"/>
    <cellStyle name="Normal 338" xfId="42153" xr:uid="{00000000-0005-0000-0000-0000AFA40000}"/>
    <cellStyle name="Normal 339" xfId="42154" xr:uid="{00000000-0005-0000-0000-0000B0A40000}"/>
    <cellStyle name="Normal 339 10" xfId="42155" xr:uid="{00000000-0005-0000-0000-0000B1A40000}"/>
    <cellStyle name="Normal 339 10 2" xfId="42156" xr:uid="{00000000-0005-0000-0000-0000B2A40000}"/>
    <cellStyle name="Normal 339 11" xfId="42157" xr:uid="{00000000-0005-0000-0000-0000B3A40000}"/>
    <cellStyle name="Normal 339 11 2" xfId="42158" xr:uid="{00000000-0005-0000-0000-0000B4A40000}"/>
    <cellStyle name="Normal 339 12" xfId="42159" xr:uid="{00000000-0005-0000-0000-0000B5A40000}"/>
    <cellStyle name="Normal 339 12 2" xfId="42160" xr:uid="{00000000-0005-0000-0000-0000B6A40000}"/>
    <cellStyle name="Normal 339 13" xfId="42161" xr:uid="{00000000-0005-0000-0000-0000B7A40000}"/>
    <cellStyle name="Normal 339 13 2" xfId="42162" xr:uid="{00000000-0005-0000-0000-0000B8A40000}"/>
    <cellStyle name="Normal 339 14" xfId="42163" xr:uid="{00000000-0005-0000-0000-0000B9A40000}"/>
    <cellStyle name="Normal 339 14 2" xfId="42164" xr:uid="{00000000-0005-0000-0000-0000BAA40000}"/>
    <cellStyle name="Normal 339 15" xfId="42165" xr:uid="{00000000-0005-0000-0000-0000BBA40000}"/>
    <cellStyle name="Normal 339 15 2" xfId="42166" xr:uid="{00000000-0005-0000-0000-0000BCA40000}"/>
    <cellStyle name="Normal 339 16" xfId="42167" xr:uid="{00000000-0005-0000-0000-0000BDA40000}"/>
    <cellStyle name="Normal 339 16 2" xfId="42168" xr:uid="{00000000-0005-0000-0000-0000BEA40000}"/>
    <cellStyle name="Normal 339 17" xfId="42169" xr:uid="{00000000-0005-0000-0000-0000BFA40000}"/>
    <cellStyle name="Normal 339 17 2" xfId="42170" xr:uid="{00000000-0005-0000-0000-0000C0A40000}"/>
    <cellStyle name="Normal 339 18" xfId="42171" xr:uid="{00000000-0005-0000-0000-0000C1A40000}"/>
    <cellStyle name="Normal 339 18 2" xfId="42172" xr:uid="{00000000-0005-0000-0000-0000C2A40000}"/>
    <cellStyle name="Normal 339 19" xfId="42173" xr:uid="{00000000-0005-0000-0000-0000C3A40000}"/>
    <cellStyle name="Normal 339 19 2" xfId="42174" xr:uid="{00000000-0005-0000-0000-0000C4A40000}"/>
    <cellStyle name="Normal 339 2" xfId="42175" xr:uid="{00000000-0005-0000-0000-0000C5A40000}"/>
    <cellStyle name="Normal 339 2 2" xfId="42176" xr:uid="{00000000-0005-0000-0000-0000C6A40000}"/>
    <cellStyle name="Normal 339 20" xfId="42177" xr:uid="{00000000-0005-0000-0000-0000C7A40000}"/>
    <cellStyle name="Normal 339 20 2" xfId="42178" xr:uid="{00000000-0005-0000-0000-0000C8A40000}"/>
    <cellStyle name="Normal 339 21" xfId="42179" xr:uid="{00000000-0005-0000-0000-0000C9A40000}"/>
    <cellStyle name="Normal 339 21 2" xfId="42180" xr:uid="{00000000-0005-0000-0000-0000CAA40000}"/>
    <cellStyle name="Normal 339 22" xfId="42181" xr:uid="{00000000-0005-0000-0000-0000CBA40000}"/>
    <cellStyle name="Normal 339 22 2" xfId="42182" xr:uid="{00000000-0005-0000-0000-0000CCA40000}"/>
    <cellStyle name="Normal 339 23" xfId="42183" xr:uid="{00000000-0005-0000-0000-0000CDA40000}"/>
    <cellStyle name="Normal 339 23 2" xfId="42184" xr:uid="{00000000-0005-0000-0000-0000CEA40000}"/>
    <cellStyle name="Normal 339 24" xfId="42185" xr:uid="{00000000-0005-0000-0000-0000CFA40000}"/>
    <cellStyle name="Normal 339 24 2" xfId="42186" xr:uid="{00000000-0005-0000-0000-0000D0A40000}"/>
    <cellStyle name="Normal 339 25" xfId="42187" xr:uid="{00000000-0005-0000-0000-0000D1A40000}"/>
    <cellStyle name="Normal 339 25 2" xfId="42188" xr:uid="{00000000-0005-0000-0000-0000D2A40000}"/>
    <cellStyle name="Normal 339 26" xfId="42189" xr:uid="{00000000-0005-0000-0000-0000D3A40000}"/>
    <cellStyle name="Normal 339 26 2" xfId="42190" xr:uid="{00000000-0005-0000-0000-0000D4A40000}"/>
    <cellStyle name="Normal 339 27" xfId="42191" xr:uid="{00000000-0005-0000-0000-0000D5A40000}"/>
    <cellStyle name="Normal 339 27 2" xfId="42192" xr:uid="{00000000-0005-0000-0000-0000D6A40000}"/>
    <cellStyle name="Normal 339 28" xfId="42193" xr:uid="{00000000-0005-0000-0000-0000D7A40000}"/>
    <cellStyle name="Normal 339 28 2" xfId="42194" xr:uid="{00000000-0005-0000-0000-0000D8A40000}"/>
    <cellStyle name="Normal 339 29" xfId="42195" xr:uid="{00000000-0005-0000-0000-0000D9A40000}"/>
    <cellStyle name="Normal 339 29 2" xfId="42196" xr:uid="{00000000-0005-0000-0000-0000DAA40000}"/>
    <cellStyle name="Normal 339 3" xfId="42197" xr:uid="{00000000-0005-0000-0000-0000DBA40000}"/>
    <cellStyle name="Normal 339 3 2" xfId="42198" xr:uid="{00000000-0005-0000-0000-0000DCA40000}"/>
    <cellStyle name="Normal 339 30" xfId="42199" xr:uid="{00000000-0005-0000-0000-0000DDA40000}"/>
    <cellStyle name="Normal 339 30 2" xfId="42200" xr:uid="{00000000-0005-0000-0000-0000DEA40000}"/>
    <cellStyle name="Normal 339 31" xfId="42201" xr:uid="{00000000-0005-0000-0000-0000DFA40000}"/>
    <cellStyle name="Normal 339 31 2" xfId="42202" xr:uid="{00000000-0005-0000-0000-0000E0A40000}"/>
    <cellStyle name="Normal 339 32" xfId="42203" xr:uid="{00000000-0005-0000-0000-0000E1A40000}"/>
    <cellStyle name="Normal 339 32 2" xfId="42204" xr:uid="{00000000-0005-0000-0000-0000E2A40000}"/>
    <cellStyle name="Normal 339 33" xfId="42205" xr:uid="{00000000-0005-0000-0000-0000E3A40000}"/>
    <cellStyle name="Normal 339 33 2" xfId="42206" xr:uid="{00000000-0005-0000-0000-0000E4A40000}"/>
    <cellStyle name="Normal 339 34" xfId="42207" xr:uid="{00000000-0005-0000-0000-0000E5A40000}"/>
    <cellStyle name="Normal 339 34 2" xfId="42208" xr:uid="{00000000-0005-0000-0000-0000E6A40000}"/>
    <cellStyle name="Normal 339 35" xfId="42209" xr:uid="{00000000-0005-0000-0000-0000E7A40000}"/>
    <cellStyle name="Normal 339 35 2" xfId="42210" xr:uid="{00000000-0005-0000-0000-0000E8A40000}"/>
    <cellStyle name="Normal 339 36" xfId="42211" xr:uid="{00000000-0005-0000-0000-0000E9A40000}"/>
    <cellStyle name="Normal 339 36 2" xfId="42212" xr:uid="{00000000-0005-0000-0000-0000EAA40000}"/>
    <cellStyle name="Normal 339 37" xfId="42213" xr:uid="{00000000-0005-0000-0000-0000EBA40000}"/>
    <cellStyle name="Normal 339 37 2" xfId="42214" xr:uid="{00000000-0005-0000-0000-0000ECA40000}"/>
    <cellStyle name="Normal 339 38" xfId="42215" xr:uid="{00000000-0005-0000-0000-0000EDA40000}"/>
    <cellStyle name="Normal 339 38 2" xfId="42216" xr:uid="{00000000-0005-0000-0000-0000EEA40000}"/>
    <cellStyle name="Normal 339 39" xfId="42217" xr:uid="{00000000-0005-0000-0000-0000EFA40000}"/>
    <cellStyle name="Normal 339 39 2" xfId="42218" xr:uid="{00000000-0005-0000-0000-0000F0A40000}"/>
    <cellStyle name="Normal 339 4" xfId="42219" xr:uid="{00000000-0005-0000-0000-0000F1A40000}"/>
    <cellStyle name="Normal 339 4 2" xfId="42220" xr:uid="{00000000-0005-0000-0000-0000F2A40000}"/>
    <cellStyle name="Normal 339 40" xfId="42221" xr:uid="{00000000-0005-0000-0000-0000F3A40000}"/>
    <cellStyle name="Normal 339 40 2" xfId="42222" xr:uid="{00000000-0005-0000-0000-0000F4A40000}"/>
    <cellStyle name="Normal 339 41" xfId="42223" xr:uid="{00000000-0005-0000-0000-0000F5A40000}"/>
    <cellStyle name="Normal 339 41 2" xfId="42224" xr:uid="{00000000-0005-0000-0000-0000F6A40000}"/>
    <cellStyle name="Normal 339 42" xfId="42225" xr:uid="{00000000-0005-0000-0000-0000F7A40000}"/>
    <cellStyle name="Normal 339 42 2" xfId="42226" xr:uid="{00000000-0005-0000-0000-0000F8A40000}"/>
    <cellStyle name="Normal 339 43" xfId="42227" xr:uid="{00000000-0005-0000-0000-0000F9A40000}"/>
    <cellStyle name="Normal 339 43 2" xfId="42228" xr:uid="{00000000-0005-0000-0000-0000FAA40000}"/>
    <cellStyle name="Normal 339 44" xfId="42229" xr:uid="{00000000-0005-0000-0000-0000FBA40000}"/>
    <cellStyle name="Normal 339 44 2" xfId="42230" xr:uid="{00000000-0005-0000-0000-0000FCA40000}"/>
    <cellStyle name="Normal 339 45" xfId="42231" xr:uid="{00000000-0005-0000-0000-0000FDA40000}"/>
    <cellStyle name="Normal 339 45 2" xfId="42232" xr:uid="{00000000-0005-0000-0000-0000FEA40000}"/>
    <cellStyle name="Normal 339 46" xfId="42233" xr:uid="{00000000-0005-0000-0000-0000FFA40000}"/>
    <cellStyle name="Normal 339 46 2" xfId="42234" xr:uid="{00000000-0005-0000-0000-000000A50000}"/>
    <cellStyle name="Normal 339 47" xfId="42235" xr:uid="{00000000-0005-0000-0000-000001A50000}"/>
    <cellStyle name="Normal 339 47 2" xfId="42236" xr:uid="{00000000-0005-0000-0000-000002A50000}"/>
    <cellStyle name="Normal 339 48" xfId="42237" xr:uid="{00000000-0005-0000-0000-000003A50000}"/>
    <cellStyle name="Normal 339 48 2" xfId="42238" xr:uid="{00000000-0005-0000-0000-000004A50000}"/>
    <cellStyle name="Normal 339 49" xfId="42239" xr:uid="{00000000-0005-0000-0000-000005A50000}"/>
    <cellStyle name="Normal 339 49 2" xfId="42240" xr:uid="{00000000-0005-0000-0000-000006A50000}"/>
    <cellStyle name="Normal 339 5" xfId="42241" xr:uid="{00000000-0005-0000-0000-000007A50000}"/>
    <cellStyle name="Normal 339 5 2" xfId="42242" xr:uid="{00000000-0005-0000-0000-000008A50000}"/>
    <cellStyle name="Normal 339 50" xfId="42243" xr:uid="{00000000-0005-0000-0000-000009A50000}"/>
    <cellStyle name="Normal 339 50 2" xfId="42244" xr:uid="{00000000-0005-0000-0000-00000AA50000}"/>
    <cellStyle name="Normal 339 51" xfId="42245" xr:uid="{00000000-0005-0000-0000-00000BA50000}"/>
    <cellStyle name="Normal 339 51 2" xfId="42246" xr:uid="{00000000-0005-0000-0000-00000CA50000}"/>
    <cellStyle name="Normal 339 52" xfId="42247" xr:uid="{00000000-0005-0000-0000-00000DA50000}"/>
    <cellStyle name="Normal 339 52 2" xfId="42248" xr:uid="{00000000-0005-0000-0000-00000EA50000}"/>
    <cellStyle name="Normal 339 53" xfId="42249" xr:uid="{00000000-0005-0000-0000-00000FA50000}"/>
    <cellStyle name="Normal 339 53 2" xfId="42250" xr:uid="{00000000-0005-0000-0000-000010A50000}"/>
    <cellStyle name="Normal 339 54" xfId="42251" xr:uid="{00000000-0005-0000-0000-000011A50000}"/>
    <cellStyle name="Normal 339 54 2" xfId="42252" xr:uid="{00000000-0005-0000-0000-000012A50000}"/>
    <cellStyle name="Normal 339 55" xfId="42253" xr:uid="{00000000-0005-0000-0000-000013A50000}"/>
    <cellStyle name="Normal 339 55 2" xfId="42254" xr:uid="{00000000-0005-0000-0000-000014A50000}"/>
    <cellStyle name="Normal 339 56" xfId="42255" xr:uid="{00000000-0005-0000-0000-000015A50000}"/>
    <cellStyle name="Normal 339 56 2" xfId="42256" xr:uid="{00000000-0005-0000-0000-000016A50000}"/>
    <cellStyle name="Normal 339 57" xfId="42257" xr:uid="{00000000-0005-0000-0000-000017A50000}"/>
    <cellStyle name="Normal 339 57 2" xfId="42258" xr:uid="{00000000-0005-0000-0000-000018A50000}"/>
    <cellStyle name="Normal 339 58" xfId="42259" xr:uid="{00000000-0005-0000-0000-000019A50000}"/>
    <cellStyle name="Normal 339 58 2" xfId="42260" xr:uid="{00000000-0005-0000-0000-00001AA50000}"/>
    <cellStyle name="Normal 339 59" xfId="42261" xr:uid="{00000000-0005-0000-0000-00001BA50000}"/>
    <cellStyle name="Normal 339 59 2" xfId="42262" xr:uid="{00000000-0005-0000-0000-00001CA50000}"/>
    <cellStyle name="Normal 339 6" xfId="42263" xr:uid="{00000000-0005-0000-0000-00001DA50000}"/>
    <cellStyle name="Normal 339 6 2" xfId="42264" xr:uid="{00000000-0005-0000-0000-00001EA50000}"/>
    <cellStyle name="Normal 339 60" xfId="42265" xr:uid="{00000000-0005-0000-0000-00001FA50000}"/>
    <cellStyle name="Normal 339 60 2" xfId="42266" xr:uid="{00000000-0005-0000-0000-000020A50000}"/>
    <cellStyle name="Normal 339 61" xfId="42267" xr:uid="{00000000-0005-0000-0000-000021A50000}"/>
    <cellStyle name="Normal 339 61 2" xfId="42268" xr:uid="{00000000-0005-0000-0000-000022A50000}"/>
    <cellStyle name="Normal 339 61 3" xfId="42269" xr:uid="{00000000-0005-0000-0000-000023A50000}"/>
    <cellStyle name="Normal 339 62" xfId="42270" xr:uid="{00000000-0005-0000-0000-000024A50000}"/>
    <cellStyle name="Normal 339 7" xfId="42271" xr:uid="{00000000-0005-0000-0000-000025A50000}"/>
    <cellStyle name="Normal 339 7 2" xfId="42272" xr:uid="{00000000-0005-0000-0000-000026A50000}"/>
    <cellStyle name="Normal 339 8" xfId="42273" xr:uid="{00000000-0005-0000-0000-000027A50000}"/>
    <cellStyle name="Normal 339 8 2" xfId="42274" xr:uid="{00000000-0005-0000-0000-000028A50000}"/>
    <cellStyle name="Normal 339 9" xfId="42275" xr:uid="{00000000-0005-0000-0000-000029A50000}"/>
    <cellStyle name="Normal 339 9 2" xfId="42276" xr:uid="{00000000-0005-0000-0000-00002AA50000}"/>
    <cellStyle name="Normal 34" xfId="42277" xr:uid="{00000000-0005-0000-0000-00002BA50000}"/>
    <cellStyle name="Normal 34 2" xfId="42278" xr:uid="{00000000-0005-0000-0000-00002CA50000}"/>
    <cellStyle name="Normal 34 3" xfId="42279" xr:uid="{00000000-0005-0000-0000-00002DA50000}"/>
    <cellStyle name="Normal 340" xfId="42280" xr:uid="{00000000-0005-0000-0000-00002EA50000}"/>
    <cellStyle name="Normal 340 10" xfId="42281" xr:uid="{00000000-0005-0000-0000-00002FA50000}"/>
    <cellStyle name="Normal 340 10 2" xfId="42282" xr:uid="{00000000-0005-0000-0000-000030A50000}"/>
    <cellStyle name="Normal 340 11" xfId="42283" xr:uid="{00000000-0005-0000-0000-000031A50000}"/>
    <cellStyle name="Normal 340 11 2" xfId="42284" xr:uid="{00000000-0005-0000-0000-000032A50000}"/>
    <cellStyle name="Normal 340 12" xfId="42285" xr:uid="{00000000-0005-0000-0000-000033A50000}"/>
    <cellStyle name="Normal 340 12 2" xfId="42286" xr:uid="{00000000-0005-0000-0000-000034A50000}"/>
    <cellStyle name="Normal 340 13" xfId="42287" xr:uid="{00000000-0005-0000-0000-000035A50000}"/>
    <cellStyle name="Normal 340 13 2" xfId="42288" xr:uid="{00000000-0005-0000-0000-000036A50000}"/>
    <cellStyle name="Normal 340 14" xfId="42289" xr:uid="{00000000-0005-0000-0000-000037A50000}"/>
    <cellStyle name="Normal 340 14 2" xfId="42290" xr:uid="{00000000-0005-0000-0000-000038A50000}"/>
    <cellStyle name="Normal 340 15" xfId="42291" xr:uid="{00000000-0005-0000-0000-000039A50000}"/>
    <cellStyle name="Normal 340 15 2" xfId="42292" xr:uid="{00000000-0005-0000-0000-00003AA50000}"/>
    <cellStyle name="Normal 340 16" xfId="42293" xr:uid="{00000000-0005-0000-0000-00003BA50000}"/>
    <cellStyle name="Normal 340 16 2" xfId="42294" xr:uid="{00000000-0005-0000-0000-00003CA50000}"/>
    <cellStyle name="Normal 340 17" xfId="42295" xr:uid="{00000000-0005-0000-0000-00003DA50000}"/>
    <cellStyle name="Normal 340 17 2" xfId="42296" xr:uid="{00000000-0005-0000-0000-00003EA50000}"/>
    <cellStyle name="Normal 340 18" xfId="42297" xr:uid="{00000000-0005-0000-0000-00003FA50000}"/>
    <cellStyle name="Normal 340 18 2" xfId="42298" xr:uid="{00000000-0005-0000-0000-000040A50000}"/>
    <cellStyle name="Normal 340 19" xfId="42299" xr:uid="{00000000-0005-0000-0000-000041A50000}"/>
    <cellStyle name="Normal 340 19 2" xfId="42300" xr:uid="{00000000-0005-0000-0000-000042A50000}"/>
    <cellStyle name="Normal 340 2" xfId="42301" xr:uid="{00000000-0005-0000-0000-000043A50000}"/>
    <cellStyle name="Normal 340 2 2" xfId="42302" xr:uid="{00000000-0005-0000-0000-000044A50000}"/>
    <cellStyle name="Normal 340 20" xfId="42303" xr:uid="{00000000-0005-0000-0000-000045A50000}"/>
    <cellStyle name="Normal 340 20 2" xfId="42304" xr:uid="{00000000-0005-0000-0000-000046A50000}"/>
    <cellStyle name="Normal 340 21" xfId="42305" xr:uid="{00000000-0005-0000-0000-000047A50000}"/>
    <cellStyle name="Normal 340 21 2" xfId="42306" xr:uid="{00000000-0005-0000-0000-000048A50000}"/>
    <cellStyle name="Normal 340 22" xfId="42307" xr:uid="{00000000-0005-0000-0000-000049A50000}"/>
    <cellStyle name="Normal 340 22 2" xfId="42308" xr:uid="{00000000-0005-0000-0000-00004AA50000}"/>
    <cellStyle name="Normal 340 23" xfId="42309" xr:uid="{00000000-0005-0000-0000-00004BA50000}"/>
    <cellStyle name="Normal 340 23 2" xfId="42310" xr:uid="{00000000-0005-0000-0000-00004CA50000}"/>
    <cellStyle name="Normal 340 24" xfId="42311" xr:uid="{00000000-0005-0000-0000-00004DA50000}"/>
    <cellStyle name="Normal 340 24 2" xfId="42312" xr:uid="{00000000-0005-0000-0000-00004EA50000}"/>
    <cellStyle name="Normal 340 25" xfId="42313" xr:uid="{00000000-0005-0000-0000-00004FA50000}"/>
    <cellStyle name="Normal 340 25 2" xfId="42314" xr:uid="{00000000-0005-0000-0000-000050A50000}"/>
    <cellStyle name="Normal 340 26" xfId="42315" xr:uid="{00000000-0005-0000-0000-000051A50000}"/>
    <cellStyle name="Normal 340 26 2" xfId="42316" xr:uid="{00000000-0005-0000-0000-000052A50000}"/>
    <cellStyle name="Normal 340 27" xfId="42317" xr:uid="{00000000-0005-0000-0000-000053A50000}"/>
    <cellStyle name="Normal 340 27 2" xfId="42318" xr:uid="{00000000-0005-0000-0000-000054A50000}"/>
    <cellStyle name="Normal 340 28" xfId="42319" xr:uid="{00000000-0005-0000-0000-000055A50000}"/>
    <cellStyle name="Normal 340 28 2" xfId="42320" xr:uid="{00000000-0005-0000-0000-000056A50000}"/>
    <cellStyle name="Normal 340 29" xfId="42321" xr:uid="{00000000-0005-0000-0000-000057A50000}"/>
    <cellStyle name="Normal 340 29 2" xfId="42322" xr:uid="{00000000-0005-0000-0000-000058A50000}"/>
    <cellStyle name="Normal 340 3" xfId="42323" xr:uid="{00000000-0005-0000-0000-000059A50000}"/>
    <cellStyle name="Normal 340 3 2" xfId="42324" xr:uid="{00000000-0005-0000-0000-00005AA50000}"/>
    <cellStyle name="Normal 340 30" xfId="42325" xr:uid="{00000000-0005-0000-0000-00005BA50000}"/>
    <cellStyle name="Normal 340 30 2" xfId="42326" xr:uid="{00000000-0005-0000-0000-00005CA50000}"/>
    <cellStyle name="Normal 340 31" xfId="42327" xr:uid="{00000000-0005-0000-0000-00005DA50000}"/>
    <cellStyle name="Normal 340 31 2" xfId="42328" xr:uid="{00000000-0005-0000-0000-00005EA50000}"/>
    <cellStyle name="Normal 340 32" xfId="42329" xr:uid="{00000000-0005-0000-0000-00005FA50000}"/>
    <cellStyle name="Normal 340 32 2" xfId="42330" xr:uid="{00000000-0005-0000-0000-000060A50000}"/>
    <cellStyle name="Normal 340 33" xfId="42331" xr:uid="{00000000-0005-0000-0000-000061A50000}"/>
    <cellStyle name="Normal 340 33 2" xfId="42332" xr:uid="{00000000-0005-0000-0000-000062A50000}"/>
    <cellStyle name="Normal 340 34" xfId="42333" xr:uid="{00000000-0005-0000-0000-000063A50000}"/>
    <cellStyle name="Normal 340 34 2" xfId="42334" xr:uid="{00000000-0005-0000-0000-000064A50000}"/>
    <cellStyle name="Normal 340 35" xfId="42335" xr:uid="{00000000-0005-0000-0000-000065A50000}"/>
    <cellStyle name="Normal 340 35 2" xfId="42336" xr:uid="{00000000-0005-0000-0000-000066A50000}"/>
    <cellStyle name="Normal 340 36" xfId="42337" xr:uid="{00000000-0005-0000-0000-000067A50000}"/>
    <cellStyle name="Normal 340 36 2" xfId="42338" xr:uid="{00000000-0005-0000-0000-000068A50000}"/>
    <cellStyle name="Normal 340 37" xfId="42339" xr:uid="{00000000-0005-0000-0000-000069A50000}"/>
    <cellStyle name="Normal 340 37 2" xfId="42340" xr:uid="{00000000-0005-0000-0000-00006AA50000}"/>
    <cellStyle name="Normal 340 38" xfId="42341" xr:uid="{00000000-0005-0000-0000-00006BA50000}"/>
    <cellStyle name="Normal 340 38 2" xfId="42342" xr:uid="{00000000-0005-0000-0000-00006CA50000}"/>
    <cellStyle name="Normal 340 39" xfId="42343" xr:uid="{00000000-0005-0000-0000-00006DA50000}"/>
    <cellStyle name="Normal 340 39 2" xfId="42344" xr:uid="{00000000-0005-0000-0000-00006EA50000}"/>
    <cellStyle name="Normal 340 4" xfId="42345" xr:uid="{00000000-0005-0000-0000-00006FA50000}"/>
    <cellStyle name="Normal 340 4 2" xfId="42346" xr:uid="{00000000-0005-0000-0000-000070A50000}"/>
    <cellStyle name="Normal 340 40" xfId="42347" xr:uid="{00000000-0005-0000-0000-000071A50000}"/>
    <cellStyle name="Normal 340 40 2" xfId="42348" xr:uid="{00000000-0005-0000-0000-000072A50000}"/>
    <cellStyle name="Normal 340 41" xfId="42349" xr:uid="{00000000-0005-0000-0000-000073A50000}"/>
    <cellStyle name="Normal 340 41 2" xfId="42350" xr:uid="{00000000-0005-0000-0000-000074A50000}"/>
    <cellStyle name="Normal 340 42" xfId="42351" xr:uid="{00000000-0005-0000-0000-000075A50000}"/>
    <cellStyle name="Normal 340 42 2" xfId="42352" xr:uid="{00000000-0005-0000-0000-000076A50000}"/>
    <cellStyle name="Normal 340 43" xfId="42353" xr:uid="{00000000-0005-0000-0000-000077A50000}"/>
    <cellStyle name="Normal 340 43 2" xfId="42354" xr:uid="{00000000-0005-0000-0000-000078A50000}"/>
    <cellStyle name="Normal 340 44" xfId="42355" xr:uid="{00000000-0005-0000-0000-000079A50000}"/>
    <cellStyle name="Normal 340 44 2" xfId="42356" xr:uid="{00000000-0005-0000-0000-00007AA50000}"/>
    <cellStyle name="Normal 340 45" xfId="42357" xr:uid="{00000000-0005-0000-0000-00007BA50000}"/>
    <cellStyle name="Normal 340 45 2" xfId="42358" xr:uid="{00000000-0005-0000-0000-00007CA50000}"/>
    <cellStyle name="Normal 340 46" xfId="42359" xr:uid="{00000000-0005-0000-0000-00007DA50000}"/>
    <cellStyle name="Normal 340 46 2" xfId="42360" xr:uid="{00000000-0005-0000-0000-00007EA50000}"/>
    <cellStyle name="Normal 340 47" xfId="42361" xr:uid="{00000000-0005-0000-0000-00007FA50000}"/>
    <cellStyle name="Normal 340 47 2" xfId="42362" xr:uid="{00000000-0005-0000-0000-000080A50000}"/>
    <cellStyle name="Normal 340 48" xfId="42363" xr:uid="{00000000-0005-0000-0000-000081A50000}"/>
    <cellStyle name="Normal 340 48 2" xfId="42364" xr:uid="{00000000-0005-0000-0000-000082A50000}"/>
    <cellStyle name="Normal 340 49" xfId="42365" xr:uid="{00000000-0005-0000-0000-000083A50000}"/>
    <cellStyle name="Normal 340 49 2" xfId="42366" xr:uid="{00000000-0005-0000-0000-000084A50000}"/>
    <cellStyle name="Normal 340 5" xfId="42367" xr:uid="{00000000-0005-0000-0000-000085A50000}"/>
    <cellStyle name="Normal 340 5 2" xfId="42368" xr:uid="{00000000-0005-0000-0000-000086A50000}"/>
    <cellStyle name="Normal 340 50" xfId="42369" xr:uid="{00000000-0005-0000-0000-000087A50000}"/>
    <cellStyle name="Normal 340 50 2" xfId="42370" xr:uid="{00000000-0005-0000-0000-000088A50000}"/>
    <cellStyle name="Normal 340 51" xfId="42371" xr:uid="{00000000-0005-0000-0000-000089A50000}"/>
    <cellStyle name="Normal 340 51 2" xfId="42372" xr:uid="{00000000-0005-0000-0000-00008AA50000}"/>
    <cellStyle name="Normal 340 52" xfId="42373" xr:uid="{00000000-0005-0000-0000-00008BA50000}"/>
    <cellStyle name="Normal 340 52 2" xfId="42374" xr:uid="{00000000-0005-0000-0000-00008CA50000}"/>
    <cellStyle name="Normal 340 53" xfId="42375" xr:uid="{00000000-0005-0000-0000-00008DA50000}"/>
    <cellStyle name="Normal 340 53 2" xfId="42376" xr:uid="{00000000-0005-0000-0000-00008EA50000}"/>
    <cellStyle name="Normal 340 54" xfId="42377" xr:uid="{00000000-0005-0000-0000-00008FA50000}"/>
    <cellStyle name="Normal 340 54 2" xfId="42378" xr:uid="{00000000-0005-0000-0000-000090A50000}"/>
    <cellStyle name="Normal 340 55" xfId="42379" xr:uid="{00000000-0005-0000-0000-000091A50000}"/>
    <cellStyle name="Normal 340 55 2" xfId="42380" xr:uid="{00000000-0005-0000-0000-000092A50000}"/>
    <cellStyle name="Normal 340 56" xfId="42381" xr:uid="{00000000-0005-0000-0000-000093A50000}"/>
    <cellStyle name="Normal 340 56 2" xfId="42382" xr:uid="{00000000-0005-0000-0000-000094A50000}"/>
    <cellStyle name="Normal 340 57" xfId="42383" xr:uid="{00000000-0005-0000-0000-000095A50000}"/>
    <cellStyle name="Normal 340 57 2" xfId="42384" xr:uid="{00000000-0005-0000-0000-000096A50000}"/>
    <cellStyle name="Normal 340 58" xfId="42385" xr:uid="{00000000-0005-0000-0000-000097A50000}"/>
    <cellStyle name="Normal 340 58 2" xfId="42386" xr:uid="{00000000-0005-0000-0000-000098A50000}"/>
    <cellStyle name="Normal 340 59" xfId="42387" xr:uid="{00000000-0005-0000-0000-000099A50000}"/>
    <cellStyle name="Normal 340 59 2" xfId="42388" xr:uid="{00000000-0005-0000-0000-00009AA50000}"/>
    <cellStyle name="Normal 340 6" xfId="42389" xr:uid="{00000000-0005-0000-0000-00009BA50000}"/>
    <cellStyle name="Normal 340 6 2" xfId="42390" xr:uid="{00000000-0005-0000-0000-00009CA50000}"/>
    <cellStyle name="Normal 340 60" xfId="42391" xr:uid="{00000000-0005-0000-0000-00009DA50000}"/>
    <cellStyle name="Normal 340 60 2" xfId="42392" xr:uid="{00000000-0005-0000-0000-00009EA50000}"/>
    <cellStyle name="Normal 340 61" xfId="42393" xr:uid="{00000000-0005-0000-0000-00009FA50000}"/>
    <cellStyle name="Normal 340 61 2" xfId="42394" xr:uid="{00000000-0005-0000-0000-0000A0A50000}"/>
    <cellStyle name="Normal 340 61 3" xfId="42395" xr:uid="{00000000-0005-0000-0000-0000A1A50000}"/>
    <cellStyle name="Normal 340 62" xfId="42396" xr:uid="{00000000-0005-0000-0000-0000A2A50000}"/>
    <cellStyle name="Normal 340 7" xfId="42397" xr:uid="{00000000-0005-0000-0000-0000A3A50000}"/>
    <cellStyle name="Normal 340 7 2" xfId="42398" xr:uid="{00000000-0005-0000-0000-0000A4A50000}"/>
    <cellStyle name="Normal 340 8" xfId="42399" xr:uid="{00000000-0005-0000-0000-0000A5A50000}"/>
    <cellStyle name="Normal 340 8 2" xfId="42400" xr:uid="{00000000-0005-0000-0000-0000A6A50000}"/>
    <cellStyle name="Normal 340 9" xfId="42401" xr:uid="{00000000-0005-0000-0000-0000A7A50000}"/>
    <cellStyle name="Normal 340 9 2" xfId="42402" xr:uid="{00000000-0005-0000-0000-0000A8A50000}"/>
    <cellStyle name="Normal 341" xfId="42403" xr:uid="{00000000-0005-0000-0000-0000A9A50000}"/>
    <cellStyle name="Normal 342" xfId="42404" xr:uid="{00000000-0005-0000-0000-0000AAA50000}"/>
    <cellStyle name="Normal 343" xfId="42405" xr:uid="{00000000-0005-0000-0000-0000ABA50000}"/>
    <cellStyle name="Normal 343 10" xfId="42406" xr:uid="{00000000-0005-0000-0000-0000ACA50000}"/>
    <cellStyle name="Normal 343 10 2" xfId="42407" xr:uid="{00000000-0005-0000-0000-0000ADA50000}"/>
    <cellStyle name="Normal 343 11" xfId="42408" xr:uid="{00000000-0005-0000-0000-0000AEA50000}"/>
    <cellStyle name="Normal 343 11 2" xfId="42409" xr:uid="{00000000-0005-0000-0000-0000AFA50000}"/>
    <cellStyle name="Normal 343 12" xfId="42410" xr:uid="{00000000-0005-0000-0000-0000B0A50000}"/>
    <cellStyle name="Normal 343 12 2" xfId="42411" xr:uid="{00000000-0005-0000-0000-0000B1A50000}"/>
    <cellStyle name="Normal 343 13" xfId="42412" xr:uid="{00000000-0005-0000-0000-0000B2A50000}"/>
    <cellStyle name="Normal 343 13 2" xfId="42413" xr:uid="{00000000-0005-0000-0000-0000B3A50000}"/>
    <cellStyle name="Normal 343 14" xfId="42414" xr:uid="{00000000-0005-0000-0000-0000B4A50000}"/>
    <cellStyle name="Normal 343 14 2" xfId="42415" xr:uid="{00000000-0005-0000-0000-0000B5A50000}"/>
    <cellStyle name="Normal 343 15" xfId="42416" xr:uid="{00000000-0005-0000-0000-0000B6A50000}"/>
    <cellStyle name="Normal 343 15 2" xfId="42417" xr:uid="{00000000-0005-0000-0000-0000B7A50000}"/>
    <cellStyle name="Normal 343 16" xfId="42418" xr:uid="{00000000-0005-0000-0000-0000B8A50000}"/>
    <cellStyle name="Normal 343 16 2" xfId="42419" xr:uid="{00000000-0005-0000-0000-0000B9A50000}"/>
    <cellStyle name="Normal 343 17" xfId="42420" xr:uid="{00000000-0005-0000-0000-0000BAA50000}"/>
    <cellStyle name="Normal 343 17 2" xfId="42421" xr:uid="{00000000-0005-0000-0000-0000BBA50000}"/>
    <cellStyle name="Normal 343 18" xfId="42422" xr:uid="{00000000-0005-0000-0000-0000BCA50000}"/>
    <cellStyle name="Normal 343 18 2" xfId="42423" xr:uid="{00000000-0005-0000-0000-0000BDA50000}"/>
    <cellStyle name="Normal 343 19" xfId="42424" xr:uid="{00000000-0005-0000-0000-0000BEA50000}"/>
    <cellStyle name="Normal 343 19 2" xfId="42425" xr:uid="{00000000-0005-0000-0000-0000BFA50000}"/>
    <cellStyle name="Normal 343 2" xfId="42426" xr:uid="{00000000-0005-0000-0000-0000C0A50000}"/>
    <cellStyle name="Normal 343 2 2" xfId="42427" xr:uid="{00000000-0005-0000-0000-0000C1A50000}"/>
    <cellStyle name="Normal 343 20" xfId="42428" xr:uid="{00000000-0005-0000-0000-0000C2A50000}"/>
    <cellStyle name="Normal 343 20 2" xfId="42429" xr:uid="{00000000-0005-0000-0000-0000C3A50000}"/>
    <cellStyle name="Normal 343 21" xfId="42430" xr:uid="{00000000-0005-0000-0000-0000C4A50000}"/>
    <cellStyle name="Normal 343 21 2" xfId="42431" xr:uid="{00000000-0005-0000-0000-0000C5A50000}"/>
    <cellStyle name="Normal 343 22" xfId="42432" xr:uid="{00000000-0005-0000-0000-0000C6A50000}"/>
    <cellStyle name="Normal 343 22 2" xfId="42433" xr:uid="{00000000-0005-0000-0000-0000C7A50000}"/>
    <cellStyle name="Normal 343 23" xfId="42434" xr:uid="{00000000-0005-0000-0000-0000C8A50000}"/>
    <cellStyle name="Normal 343 23 2" xfId="42435" xr:uid="{00000000-0005-0000-0000-0000C9A50000}"/>
    <cellStyle name="Normal 343 24" xfId="42436" xr:uid="{00000000-0005-0000-0000-0000CAA50000}"/>
    <cellStyle name="Normal 343 24 2" xfId="42437" xr:uid="{00000000-0005-0000-0000-0000CBA50000}"/>
    <cellStyle name="Normal 343 25" xfId="42438" xr:uid="{00000000-0005-0000-0000-0000CCA50000}"/>
    <cellStyle name="Normal 343 25 2" xfId="42439" xr:uid="{00000000-0005-0000-0000-0000CDA50000}"/>
    <cellStyle name="Normal 343 26" xfId="42440" xr:uid="{00000000-0005-0000-0000-0000CEA50000}"/>
    <cellStyle name="Normal 343 26 2" xfId="42441" xr:uid="{00000000-0005-0000-0000-0000CFA50000}"/>
    <cellStyle name="Normal 343 27" xfId="42442" xr:uid="{00000000-0005-0000-0000-0000D0A50000}"/>
    <cellStyle name="Normal 343 27 2" xfId="42443" xr:uid="{00000000-0005-0000-0000-0000D1A50000}"/>
    <cellStyle name="Normal 343 28" xfId="42444" xr:uid="{00000000-0005-0000-0000-0000D2A50000}"/>
    <cellStyle name="Normal 343 28 2" xfId="42445" xr:uid="{00000000-0005-0000-0000-0000D3A50000}"/>
    <cellStyle name="Normal 343 29" xfId="42446" xr:uid="{00000000-0005-0000-0000-0000D4A50000}"/>
    <cellStyle name="Normal 343 29 2" xfId="42447" xr:uid="{00000000-0005-0000-0000-0000D5A50000}"/>
    <cellStyle name="Normal 343 3" xfId="42448" xr:uid="{00000000-0005-0000-0000-0000D6A50000}"/>
    <cellStyle name="Normal 343 3 2" xfId="42449" xr:uid="{00000000-0005-0000-0000-0000D7A50000}"/>
    <cellStyle name="Normal 343 30" xfId="42450" xr:uid="{00000000-0005-0000-0000-0000D8A50000}"/>
    <cellStyle name="Normal 343 30 2" xfId="42451" xr:uid="{00000000-0005-0000-0000-0000D9A50000}"/>
    <cellStyle name="Normal 343 31" xfId="42452" xr:uid="{00000000-0005-0000-0000-0000DAA50000}"/>
    <cellStyle name="Normal 343 31 2" xfId="42453" xr:uid="{00000000-0005-0000-0000-0000DBA50000}"/>
    <cellStyle name="Normal 343 32" xfId="42454" xr:uid="{00000000-0005-0000-0000-0000DCA50000}"/>
    <cellStyle name="Normal 343 32 2" xfId="42455" xr:uid="{00000000-0005-0000-0000-0000DDA50000}"/>
    <cellStyle name="Normal 343 33" xfId="42456" xr:uid="{00000000-0005-0000-0000-0000DEA50000}"/>
    <cellStyle name="Normal 343 33 2" xfId="42457" xr:uid="{00000000-0005-0000-0000-0000DFA50000}"/>
    <cellStyle name="Normal 343 34" xfId="42458" xr:uid="{00000000-0005-0000-0000-0000E0A50000}"/>
    <cellStyle name="Normal 343 34 2" xfId="42459" xr:uid="{00000000-0005-0000-0000-0000E1A50000}"/>
    <cellStyle name="Normal 343 35" xfId="42460" xr:uid="{00000000-0005-0000-0000-0000E2A50000}"/>
    <cellStyle name="Normal 343 35 2" xfId="42461" xr:uid="{00000000-0005-0000-0000-0000E3A50000}"/>
    <cellStyle name="Normal 343 36" xfId="42462" xr:uid="{00000000-0005-0000-0000-0000E4A50000}"/>
    <cellStyle name="Normal 343 36 2" xfId="42463" xr:uid="{00000000-0005-0000-0000-0000E5A50000}"/>
    <cellStyle name="Normal 343 37" xfId="42464" xr:uid="{00000000-0005-0000-0000-0000E6A50000}"/>
    <cellStyle name="Normal 343 37 2" xfId="42465" xr:uid="{00000000-0005-0000-0000-0000E7A50000}"/>
    <cellStyle name="Normal 343 38" xfId="42466" xr:uid="{00000000-0005-0000-0000-0000E8A50000}"/>
    <cellStyle name="Normal 343 38 2" xfId="42467" xr:uid="{00000000-0005-0000-0000-0000E9A50000}"/>
    <cellStyle name="Normal 343 39" xfId="42468" xr:uid="{00000000-0005-0000-0000-0000EAA50000}"/>
    <cellStyle name="Normal 343 39 2" xfId="42469" xr:uid="{00000000-0005-0000-0000-0000EBA50000}"/>
    <cellStyle name="Normal 343 4" xfId="42470" xr:uid="{00000000-0005-0000-0000-0000ECA50000}"/>
    <cellStyle name="Normal 343 4 2" xfId="42471" xr:uid="{00000000-0005-0000-0000-0000EDA50000}"/>
    <cellStyle name="Normal 343 40" xfId="42472" xr:uid="{00000000-0005-0000-0000-0000EEA50000}"/>
    <cellStyle name="Normal 343 40 2" xfId="42473" xr:uid="{00000000-0005-0000-0000-0000EFA50000}"/>
    <cellStyle name="Normal 343 41" xfId="42474" xr:uid="{00000000-0005-0000-0000-0000F0A50000}"/>
    <cellStyle name="Normal 343 41 2" xfId="42475" xr:uid="{00000000-0005-0000-0000-0000F1A50000}"/>
    <cellStyle name="Normal 343 42" xfId="42476" xr:uid="{00000000-0005-0000-0000-0000F2A50000}"/>
    <cellStyle name="Normal 343 42 2" xfId="42477" xr:uid="{00000000-0005-0000-0000-0000F3A50000}"/>
    <cellStyle name="Normal 343 43" xfId="42478" xr:uid="{00000000-0005-0000-0000-0000F4A50000}"/>
    <cellStyle name="Normal 343 43 2" xfId="42479" xr:uid="{00000000-0005-0000-0000-0000F5A50000}"/>
    <cellStyle name="Normal 343 44" xfId="42480" xr:uid="{00000000-0005-0000-0000-0000F6A50000}"/>
    <cellStyle name="Normal 343 44 2" xfId="42481" xr:uid="{00000000-0005-0000-0000-0000F7A50000}"/>
    <cellStyle name="Normal 343 45" xfId="42482" xr:uid="{00000000-0005-0000-0000-0000F8A50000}"/>
    <cellStyle name="Normal 343 45 2" xfId="42483" xr:uid="{00000000-0005-0000-0000-0000F9A50000}"/>
    <cellStyle name="Normal 343 46" xfId="42484" xr:uid="{00000000-0005-0000-0000-0000FAA50000}"/>
    <cellStyle name="Normal 343 46 2" xfId="42485" xr:uid="{00000000-0005-0000-0000-0000FBA50000}"/>
    <cellStyle name="Normal 343 47" xfId="42486" xr:uid="{00000000-0005-0000-0000-0000FCA50000}"/>
    <cellStyle name="Normal 343 47 2" xfId="42487" xr:uid="{00000000-0005-0000-0000-0000FDA50000}"/>
    <cellStyle name="Normal 343 48" xfId="42488" xr:uid="{00000000-0005-0000-0000-0000FEA50000}"/>
    <cellStyle name="Normal 343 48 2" xfId="42489" xr:uid="{00000000-0005-0000-0000-0000FFA50000}"/>
    <cellStyle name="Normal 343 49" xfId="42490" xr:uid="{00000000-0005-0000-0000-000000A60000}"/>
    <cellStyle name="Normal 343 49 2" xfId="42491" xr:uid="{00000000-0005-0000-0000-000001A60000}"/>
    <cellStyle name="Normal 343 5" xfId="42492" xr:uid="{00000000-0005-0000-0000-000002A60000}"/>
    <cellStyle name="Normal 343 5 2" xfId="42493" xr:uid="{00000000-0005-0000-0000-000003A60000}"/>
    <cellStyle name="Normal 343 50" xfId="42494" xr:uid="{00000000-0005-0000-0000-000004A60000}"/>
    <cellStyle name="Normal 343 50 2" xfId="42495" xr:uid="{00000000-0005-0000-0000-000005A60000}"/>
    <cellStyle name="Normal 343 51" xfId="42496" xr:uid="{00000000-0005-0000-0000-000006A60000}"/>
    <cellStyle name="Normal 343 51 2" xfId="42497" xr:uid="{00000000-0005-0000-0000-000007A60000}"/>
    <cellStyle name="Normal 343 52" xfId="42498" xr:uid="{00000000-0005-0000-0000-000008A60000}"/>
    <cellStyle name="Normal 343 52 2" xfId="42499" xr:uid="{00000000-0005-0000-0000-000009A60000}"/>
    <cellStyle name="Normal 343 53" xfId="42500" xr:uid="{00000000-0005-0000-0000-00000AA60000}"/>
    <cellStyle name="Normal 343 53 2" xfId="42501" xr:uid="{00000000-0005-0000-0000-00000BA60000}"/>
    <cellStyle name="Normal 343 54" xfId="42502" xr:uid="{00000000-0005-0000-0000-00000CA60000}"/>
    <cellStyle name="Normal 343 54 2" xfId="42503" xr:uid="{00000000-0005-0000-0000-00000DA60000}"/>
    <cellStyle name="Normal 343 55" xfId="42504" xr:uid="{00000000-0005-0000-0000-00000EA60000}"/>
    <cellStyle name="Normal 343 55 2" xfId="42505" xr:uid="{00000000-0005-0000-0000-00000FA60000}"/>
    <cellStyle name="Normal 343 56" xfId="42506" xr:uid="{00000000-0005-0000-0000-000010A60000}"/>
    <cellStyle name="Normal 343 56 2" xfId="42507" xr:uid="{00000000-0005-0000-0000-000011A60000}"/>
    <cellStyle name="Normal 343 57" xfId="42508" xr:uid="{00000000-0005-0000-0000-000012A60000}"/>
    <cellStyle name="Normal 343 57 2" xfId="42509" xr:uid="{00000000-0005-0000-0000-000013A60000}"/>
    <cellStyle name="Normal 343 58" xfId="42510" xr:uid="{00000000-0005-0000-0000-000014A60000}"/>
    <cellStyle name="Normal 343 58 2" xfId="42511" xr:uid="{00000000-0005-0000-0000-000015A60000}"/>
    <cellStyle name="Normal 343 59" xfId="42512" xr:uid="{00000000-0005-0000-0000-000016A60000}"/>
    <cellStyle name="Normal 343 59 2" xfId="42513" xr:uid="{00000000-0005-0000-0000-000017A60000}"/>
    <cellStyle name="Normal 343 6" xfId="42514" xr:uid="{00000000-0005-0000-0000-000018A60000}"/>
    <cellStyle name="Normal 343 6 2" xfId="42515" xr:uid="{00000000-0005-0000-0000-000019A60000}"/>
    <cellStyle name="Normal 343 60" xfId="42516" xr:uid="{00000000-0005-0000-0000-00001AA60000}"/>
    <cellStyle name="Normal 343 60 2" xfId="42517" xr:uid="{00000000-0005-0000-0000-00001BA60000}"/>
    <cellStyle name="Normal 343 61" xfId="42518" xr:uid="{00000000-0005-0000-0000-00001CA60000}"/>
    <cellStyle name="Normal 343 61 2" xfId="42519" xr:uid="{00000000-0005-0000-0000-00001DA60000}"/>
    <cellStyle name="Normal 343 61 3" xfId="42520" xr:uid="{00000000-0005-0000-0000-00001EA60000}"/>
    <cellStyle name="Normal 343 62" xfId="42521" xr:uid="{00000000-0005-0000-0000-00001FA60000}"/>
    <cellStyle name="Normal 343 7" xfId="42522" xr:uid="{00000000-0005-0000-0000-000020A60000}"/>
    <cellStyle name="Normal 343 7 2" xfId="42523" xr:uid="{00000000-0005-0000-0000-000021A60000}"/>
    <cellStyle name="Normal 343 8" xfId="42524" xr:uid="{00000000-0005-0000-0000-000022A60000}"/>
    <cellStyle name="Normal 343 8 2" xfId="42525" xr:uid="{00000000-0005-0000-0000-000023A60000}"/>
    <cellStyle name="Normal 343 9" xfId="42526" xr:uid="{00000000-0005-0000-0000-000024A60000}"/>
    <cellStyle name="Normal 343 9 2" xfId="42527" xr:uid="{00000000-0005-0000-0000-000025A60000}"/>
    <cellStyle name="Normal 344" xfId="42528" xr:uid="{00000000-0005-0000-0000-000026A60000}"/>
    <cellStyle name="Normal 345" xfId="42529" xr:uid="{00000000-0005-0000-0000-000027A60000}"/>
    <cellStyle name="Normal 346" xfId="42530" xr:uid="{00000000-0005-0000-0000-000028A60000}"/>
    <cellStyle name="Normal 346 10" xfId="42531" xr:uid="{00000000-0005-0000-0000-000029A60000}"/>
    <cellStyle name="Normal 346 10 2" xfId="42532" xr:uid="{00000000-0005-0000-0000-00002AA60000}"/>
    <cellStyle name="Normal 346 11" xfId="42533" xr:uid="{00000000-0005-0000-0000-00002BA60000}"/>
    <cellStyle name="Normal 346 11 2" xfId="42534" xr:uid="{00000000-0005-0000-0000-00002CA60000}"/>
    <cellStyle name="Normal 346 12" xfId="42535" xr:uid="{00000000-0005-0000-0000-00002DA60000}"/>
    <cellStyle name="Normal 346 12 2" xfId="42536" xr:uid="{00000000-0005-0000-0000-00002EA60000}"/>
    <cellStyle name="Normal 346 13" xfId="42537" xr:uid="{00000000-0005-0000-0000-00002FA60000}"/>
    <cellStyle name="Normal 346 13 2" xfId="42538" xr:uid="{00000000-0005-0000-0000-000030A60000}"/>
    <cellStyle name="Normal 346 14" xfId="42539" xr:uid="{00000000-0005-0000-0000-000031A60000}"/>
    <cellStyle name="Normal 346 14 2" xfId="42540" xr:uid="{00000000-0005-0000-0000-000032A60000}"/>
    <cellStyle name="Normal 346 15" xfId="42541" xr:uid="{00000000-0005-0000-0000-000033A60000}"/>
    <cellStyle name="Normal 346 15 2" xfId="42542" xr:uid="{00000000-0005-0000-0000-000034A60000}"/>
    <cellStyle name="Normal 346 16" xfId="42543" xr:uid="{00000000-0005-0000-0000-000035A60000}"/>
    <cellStyle name="Normal 346 16 2" xfId="42544" xr:uid="{00000000-0005-0000-0000-000036A60000}"/>
    <cellStyle name="Normal 346 17" xfId="42545" xr:uid="{00000000-0005-0000-0000-000037A60000}"/>
    <cellStyle name="Normal 346 17 2" xfId="42546" xr:uid="{00000000-0005-0000-0000-000038A60000}"/>
    <cellStyle name="Normal 346 18" xfId="42547" xr:uid="{00000000-0005-0000-0000-000039A60000}"/>
    <cellStyle name="Normal 346 18 2" xfId="42548" xr:uid="{00000000-0005-0000-0000-00003AA60000}"/>
    <cellStyle name="Normal 346 19" xfId="42549" xr:uid="{00000000-0005-0000-0000-00003BA60000}"/>
    <cellStyle name="Normal 346 19 2" xfId="42550" xr:uid="{00000000-0005-0000-0000-00003CA60000}"/>
    <cellStyle name="Normal 346 2" xfId="42551" xr:uid="{00000000-0005-0000-0000-00003DA60000}"/>
    <cellStyle name="Normal 346 2 2" xfId="42552" xr:uid="{00000000-0005-0000-0000-00003EA60000}"/>
    <cellStyle name="Normal 346 20" xfId="42553" xr:uid="{00000000-0005-0000-0000-00003FA60000}"/>
    <cellStyle name="Normal 346 20 2" xfId="42554" xr:uid="{00000000-0005-0000-0000-000040A60000}"/>
    <cellStyle name="Normal 346 21" xfId="42555" xr:uid="{00000000-0005-0000-0000-000041A60000}"/>
    <cellStyle name="Normal 346 21 2" xfId="42556" xr:uid="{00000000-0005-0000-0000-000042A60000}"/>
    <cellStyle name="Normal 346 22" xfId="42557" xr:uid="{00000000-0005-0000-0000-000043A60000}"/>
    <cellStyle name="Normal 346 22 2" xfId="42558" xr:uid="{00000000-0005-0000-0000-000044A60000}"/>
    <cellStyle name="Normal 346 23" xfId="42559" xr:uid="{00000000-0005-0000-0000-000045A60000}"/>
    <cellStyle name="Normal 346 23 2" xfId="42560" xr:uid="{00000000-0005-0000-0000-000046A60000}"/>
    <cellStyle name="Normal 346 24" xfId="42561" xr:uid="{00000000-0005-0000-0000-000047A60000}"/>
    <cellStyle name="Normal 346 24 2" xfId="42562" xr:uid="{00000000-0005-0000-0000-000048A60000}"/>
    <cellStyle name="Normal 346 25" xfId="42563" xr:uid="{00000000-0005-0000-0000-000049A60000}"/>
    <cellStyle name="Normal 346 25 2" xfId="42564" xr:uid="{00000000-0005-0000-0000-00004AA60000}"/>
    <cellStyle name="Normal 346 26" xfId="42565" xr:uid="{00000000-0005-0000-0000-00004BA60000}"/>
    <cellStyle name="Normal 346 26 2" xfId="42566" xr:uid="{00000000-0005-0000-0000-00004CA60000}"/>
    <cellStyle name="Normal 346 27" xfId="42567" xr:uid="{00000000-0005-0000-0000-00004DA60000}"/>
    <cellStyle name="Normal 346 27 2" xfId="42568" xr:uid="{00000000-0005-0000-0000-00004EA60000}"/>
    <cellStyle name="Normal 346 28" xfId="42569" xr:uid="{00000000-0005-0000-0000-00004FA60000}"/>
    <cellStyle name="Normal 346 28 2" xfId="42570" xr:uid="{00000000-0005-0000-0000-000050A60000}"/>
    <cellStyle name="Normal 346 29" xfId="42571" xr:uid="{00000000-0005-0000-0000-000051A60000}"/>
    <cellStyle name="Normal 346 29 2" xfId="42572" xr:uid="{00000000-0005-0000-0000-000052A60000}"/>
    <cellStyle name="Normal 346 3" xfId="42573" xr:uid="{00000000-0005-0000-0000-000053A60000}"/>
    <cellStyle name="Normal 346 3 2" xfId="42574" xr:uid="{00000000-0005-0000-0000-000054A60000}"/>
    <cellStyle name="Normal 346 30" xfId="42575" xr:uid="{00000000-0005-0000-0000-000055A60000}"/>
    <cellStyle name="Normal 346 30 2" xfId="42576" xr:uid="{00000000-0005-0000-0000-000056A60000}"/>
    <cellStyle name="Normal 346 31" xfId="42577" xr:uid="{00000000-0005-0000-0000-000057A60000}"/>
    <cellStyle name="Normal 346 31 2" xfId="42578" xr:uid="{00000000-0005-0000-0000-000058A60000}"/>
    <cellStyle name="Normal 346 32" xfId="42579" xr:uid="{00000000-0005-0000-0000-000059A60000}"/>
    <cellStyle name="Normal 346 32 2" xfId="42580" xr:uid="{00000000-0005-0000-0000-00005AA60000}"/>
    <cellStyle name="Normal 346 33" xfId="42581" xr:uid="{00000000-0005-0000-0000-00005BA60000}"/>
    <cellStyle name="Normal 346 33 2" xfId="42582" xr:uid="{00000000-0005-0000-0000-00005CA60000}"/>
    <cellStyle name="Normal 346 34" xfId="42583" xr:uid="{00000000-0005-0000-0000-00005DA60000}"/>
    <cellStyle name="Normal 346 34 2" xfId="42584" xr:uid="{00000000-0005-0000-0000-00005EA60000}"/>
    <cellStyle name="Normal 346 35" xfId="42585" xr:uid="{00000000-0005-0000-0000-00005FA60000}"/>
    <cellStyle name="Normal 346 35 2" xfId="42586" xr:uid="{00000000-0005-0000-0000-000060A60000}"/>
    <cellStyle name="Normal 346 36" xfId="42587" xr:uid="{00000000-0005-0000-0000-000061A60000}"/>
    <cellStyle name="Normal 346 36 2" xfId="42588" xr:uid="{00000000-0005-0000-0000-000062A60000}"/>
    <cellStyle name="Normal 346 37" xfId="42589" xr:uid="{00000000-0005-0000-0000-000063A60000}"/>
    <cellStyle name="Normal 346 37 2" xfId="42590" xr:uid="{00000000-0005-0000-0000-000064A60000}"/>
    <cellStyle name="Normal 346 38" xfId="42591" xr:uid="{00000000-0005-0000-0000-000065A60000}"/>
    <cellStyle name="Normal 346 38 2" xfId="42592" xr:uid="{00000000-0005-0000-0000-000066A60000}"/>
    <cellStyle name="Normal 346 39" xfId="42593" xr:uid="{00000000-0005-0000-0000-000067A60000}"/>
    <cellStyle name="Normal 346 39 2" xfId="42594" xr:uid="{00000000-0005-0000-0000-000068A60000}"/>
    <cellStyle name="Normal 346 4" xfId="42595" xr:uid="{00000000-0005-0000-0000-000069A60000}"/>
    <cellStyle name="Normal 346 4 2" xfId="42596" xr:uid="{00000000-0005-0000-0000-00006AA60000}"/>
    <cellStyle name="Normal 346 40" xfId="42597" xr:uid="{00000000-0005-0000-0000-00006BA60000}"/>
    <cellStyle name="Normal 346 40 2" xfId="42598" xr:uid="{00000000-0005-0000-0000-00006CA60000}"/>
    <cellStyle name="Normal 346 41" xfId="42599" xr:uid="{00000000-0005-0000-0000-00006DA60000}"/>
    <cellStyle name="Normal 346 41 2" xfId="42600" xr:uid="{00000000-0005-0000-0000-00006EA60000}"/>
    <cellStyle name="Normal 346 42" xfId="42601" xr:uid="{00000000-0005-0000-0000-00006FA60000}"/>
    <cellStyle name="Normal 346 42 2" xfId="42602" xr:uid="{00000000-0005-0000-0000-000070A60000}"/>
    <cellStyle name="Normal 346 43" xfId="42603" xr:uid="{00000000-0005-0000-0000-000071A60000}"/>
    <cellStyle name="Normal 346 43 2" xfId="42604" xr:uid="{00000000-0005-0000-0000-000072A60000}"/>
    <cellStyle name="Normal 346 44" xfId="42605" xr:uid="{00000000-0005-0000-0000-000073A60000}"/>
    <cellStyle name="Normal 346 44 2" xfId="42606" xr:uid="{00000000-0005-0000-0000-000074A60000}"/>
    <cellStyle name="Normal 346 45" xfId="42607" xr:uid="{00000000-0005-0000-0000-000075A60000}"/>
    <cellStyle name="Normal 346 45 2" xfId="42608" xr:uid="{00000000-0005-0000-0000-000076A60000}"/>
    <cellStyle name="Normal 346 46" xfId="42609" xr:uid="{00000000-0005-0000-0000-000077A60000}"/>
    <cellStyle name="Normal 346 46 2" xfId="42610" xr:uid="{00000000-0005-0000-0000-000078A60000}"/>
    <cellStyle name="Normal 346 47" xfId="42611" xr:uid="{00000000-0005-0000-0000-000079A60000}"/>
    <cellStyle name="Normal 346 47 2" xfId="42612" xr:uid="{00000000-0005-0000-0000-00007AA60000}"/>
    <cellStyle name="Normal 346 48" xfId="42613" xr:uid="{00000000-0005-0000-0000-00007BA60000}"/>
    <cellStyle name="Normal 346 48 2" xfId="42614" xr:uid="{00000000-0005-0000-0000-00007CA60000}"/>
    <cellStyle name="Normal 346 49" xfId="42615" xr:uid="{00000000-0005-0000-0000-00007DA60000}"/>
    <cellStyle name="Normal 346 49 2" xfId="42616" xr:uid="{00000000-0005-0000-0000-00007EA60000}"/>
    <cellStyle name="Normal 346 5" xfId="42617" xr:uid="{00000000-0005-0000-0000-00007FA60000}"/>
    <cellStyle name="Normal 346 5 2" xfId="42618" xr:uid="{00000000-0005-0000-0000-000080A60000}"/>
    <cellStyle name="Normal 346 50" xfId="42619" xr:uid="{00000000-0005-0000-0000-000081A60000}"/>
    <cellStyle name="Normal 346 50 2" xfId="42620" xr:uid="{00000000-0005-0000-0000-000082A60000}"/>
    <cellStyle name="Normal 346 51" xfId="42621" xr:uid="{00000000-0005-0000-0000-000083A60000}"/>
    <cellStyle name="Normal 346 51 2" xfId="42622" xr:uid="{00000000-0005-0000-0000-000084A60000}"/>
    <cellStyle name="Normal 346 52" xfId="42623" xr:uid="{00000000-0005-0000-0000-000085A60000}"/>
    <cellStyle name="Normal 346 52 2" xfId="42624" xr:uid="{00000000-0005-0000-0000-000086A60000}"/>
    <cellStyle name="Normal 346 53" xfId="42625" xr:uid="{00000000-0005-0000-0000-000087A60000}"/>
    <cellStyle name="Normal 346 53 2" xfId="42626" xr:uid="{00000000-0005-0000-0000-000088A60000}"/>
    <cellStyle name="Normal 346 54" xfId="42627" xr:uid="{00000000-0005-0000-0000-000089A60000}"/>
    <cellStyle name="Normal 346 54 2" xfId="42628" xr:uid="{00000000-0005-0000-0000-00008AA60000}"/>
    <cellStyle name="Normal 346 55" xfId="42629" xr:uid="{00000000-0005-0000-0000-00008BA60000}"/>
    <cellStyle name="Normal 346 55 2" xfId="42630" xr:uid="{00000000-0005-0000-0000-00008CA60000}"/>
    <cellStyle name="Normal 346 56" xfId="42631" xr:uid="{00000000-0005-0000-0000-00008DA60000}"/>
    <cellStyle name="Normal 346 56 2" xfId="42632" xr:uid="{00000000-0005-0000-0000-00008EA60000}"/>
    <cellStyle name="Normal 346 57" xfId="42633" xr:uid="{00000000-0005-0000-0000-00008FA60000}"/>
    <cellStyle name="Normal 346 57 2" xfId="42634" xr:uid="{00000000-0005-0000-0000-000090A60000}"/>
    <cellStyle name="Normal 346 58" xfId="42635" xr:uid="{00000000-0005-0000-0000-000091A60000}"/>
    <cellStyle name="Normal 346 58 2" xfId="42636" xr:uid="{00000000-0005-0000-0000-000092A60000}"/>
    <cellStyle name="Normal 346 59" xfId="42637" xr:uid="{00000000-0005-0000-0000-000093A60000}"/>
    <cellStyle name="Normal 346 59 2" xfId="42638" xr:uid="{00000000-0005-0000-0000-000094A60000}"/>
    <cellStyle name="Normal 346 6" xfId="42639" xr:uid="{00000000-0005-0000-0000-000095A60000}"/>
    <cellStyle name="Normal 346 6 2" xfId="42640" xr:uid="{00000000-0005-0000-0000-000096A60000}"/>
    <cellStyle name="Normal 346 60" xfId="42641" xr:uid="{00000000-0005-0000-0000-000097A60000}"/>
    <cellStyle name="Normal 346 60 2" xfId="42642" xr:uid="{00000000-0005-0000-0000-000098A60000}"/>
    <cellStyle name="Normal 346 61" xfId="42643" xr:uid="{00000000-0005-0000-0000-000099A60000}"/>
    <cellStyle name="Normal 346 61 2" xfId="42644" xr:uid="{00000000-0005-0000-0000-00009AA60000}"/>
    <cellStyle name="Normal 346 61 3" xfId="42645" xr:uid="{00000000-0005-0000-0000-00009BA60000}"/>
    <cellStyle name="Normal 346 62" xfId="42646" xr:uid="{00000000-0005-0000-0000-00009CA60000}"/>
    <cellStyle name="Normal 346 7" xfId="42647" xr:uid="{00000000-0005-0000-0000-00009DA60000}"/>
    <cellStyle name="Normal 346 7 2" xfId="42648" xr:uid="{00000000-0005-0000-0000-00009EA60000}"/>
    <cellStyle name="Normal 346 8" xfId="42649" xr:uid="{00000000-0005-0000-0000-00009FA60000}"/>
    <cellStyle name="Normal 346 8 2" xfId="42650" xr:uid="{00000000-0005-0000-0000-0000A0A60000}"/>
    <cellStyle name="Normal 346 9" xfId="42651" xr:uid="{00000000-0005-0000-0000-0000A1A60000}"/>
    <cellStyle name="Normal 346 9 2" xfId="42652" xr:uid="{00000000-0005-0000-0000-0000A2A60000}"/>
    <cellStyle name="Normal 347" xfId="42653" xr:uid="{00000000-0005-0000-0000-0000A3A60000}"/>
    <cellStyle name="Normal 348" xfId="42654" xr:uid="{00000000-0005-0000-0000-0000A4A60000}"/>
    <cellStyle name="Normal 349" xfId="42655" xr:uid="{00000000-0005-0000-0000-0000A5A60000}"/>
    <cellStyle name="Normal 349 10" xfId="42656" xr:uid="{00000000-0005-0000-0000-0000A6A60000}"/>
    <cellStyle name="Normal 349 10 2" xfId="42657" xr:uid="{00000000-0005-0000-0000-0000A7A60000}"/>
    <cellStyle name="Normal 349 11" xfId="42658" xr:uid="{00000000-0005-0000-0000-0000A8A60000}"/>
    <cellStyle name="Normal 349 11 2" xfId="42659" xr:uid="{00000000-0005-0000-0000-0000A9A60000}"/>
    <cellStyle name="Normal 349 12" xfId="42660" xr:uid="{00000000-0005-0000-0000-0000AAA60000}"/>
    <cellStyle name="Normal 349 12 2" xfId="42661" xr:uid="{00000000-0005-0000-0000-0000ABA60000}"/>
    <cellStyle name="Normal 349 13" xfId="42662" xr:uid="{00000000-0005-0000-0000-0000ACA60000}"/>
    <cellStyle name="Normal 349 13 2" xfId="42663" xr:uid="{00000000-0005-0000-0000-0000ADA60000}"/>
    <cellStyle name="Normal 349 14" xfId="42664" xr:uid="{00000000-0005-0000-0000-0000AEA60000}"/>
    <cellStyle name="Normal 349 14 2" xfId="42665" xr:uid="{00000000-0005-0000-0000-0000AFA60000}"/>
    <cellStyle name="Normal 349 15" xfId="42666" xr:uid="{00000000-0005-0000-0000-0000B0A60000}"/>
    <cellStyle name="Normal 349 15 2" xfId="42667" xr:uid="{00000000-0005-0000-0000-0000B1A60000}"/>
    <cellStyle name="Normal 349 16" xfId="42668" xr:uid="{00000000-0005-0000-0000-0000B2A60000}"/>
    <cellStyle name="Normal 349 16 2" xfId="42669" xr:uid="{00000000-0005-0000-0000-0000B3A60000}"/>
    <cellStyle name="Normal 349 17" xfId="42670" xr:uid="{00000000-0005-0000-0000-0000B4A60000}"/>
    <cellStyle name="Normal 349 17 2" xfId="42671" xr:uid="{00000000-0005-0000-0000-0000B5A60000}"/>
    <cellStyle name="Normal 349 18" xfId="42672" xr:uid="{00000000-0005-0000-0000-0000B6A60000}"/>
    <cellStyle name="Normal 349 18 2" xfId="42673" xr:uid="{00000000-0005-0000-0000-0000B7A60000}"/>
    <cellStyle name="Normal 349 19" xfId="42674" xr:uid="{00000000-0005-0000-0000-0000B8A60000}"/>
    <cellStyle name="Normal 349 19 2" xfId="42675" xr:uid="{00000000-0005-0000-0000-0000B9A60000}"/>
    <cellStyle name="Normal 349 2" xfId="42676" xr:uid="{00000000-0005-0000-0000-0000BAA60000}"/>
    <cellStyle name="Normal 349 2 2" xfId="42677" xr:uid="{00000000-0005-0000-0000-0000BBA60000}"/>
    <cellStyle name="Normal 349 20" xfId="42678" xr:uid="{00000000-0005-0000-0000-0000BCA60000}"/>
    <cellStyle name="Normal 349 20 2" xfId="42679" xr:uid="{00000000-0005-0000-0000-0000BDA60000}"/>
    <cellStyle name="Normal 349 21" xfId="42680" xr:uid="{00000000-0005-0000-0000-0000BEA60000}"/>
    <cellStyle name="Normal 349 21 2" xfId="42681" xr:uid="{00000000-0005-0000-0000-0000BFA60000}"/>
    <cellStyle name="Normal 349 22" xfId="42682" xr:uid="{00000000-0005-0000-0000-0000C0A60000}"/>
    <cellStyle name="Normal 349 22 2" xfId="42683" xr:uid="{00000000-0005-0000-0000-0000C1A60000}"/>
    <cellStyle name="Normal 349 23" xfId="42684" xr:uid="{00000000-0005-0000-0000-0000C2A60000}"/>
    <cellStyle name="Normal 349 23 2" xfId="42685" xr:uid="{00000000-0005-0000-0000-0000C3A60000}"/>
    <cellStyle name="Normal 349 24" xfId="42686" xr:uid="{00000000-0005-0000-0000-0000C4A60000}"/>
    <cellStyle name="Normal 349 24 2" xfId="42687" xr:uid="{00000000-0005-0000-0000-0000C5A60000}"/>
    <cellStyle name="Normal 349 25" xfId="42688" xr:uid="{00000000-0005-0000-0000-0000C6A60000}"/>
    <cellStyle name="Normal 349 25 2" xfId="42689" xr:uid="{00000000-0005-0000-0000-0000C7A60000}"/>
    <cellStyle name="Normal 349 26" xfId="42690" xr:uid="{00000000-0005-0000-0000-0000C8A60000}"/>
    <cellStyle name="Normal 349 26 2" xfId="42691" xr:uid="{00000000-0005-0000-0000-0000C9A60000}"/>
    <cellStyle name="Normal 349 27" xfId="42692" xr:uid="{00000000-0005-0000-0000-0000CAA60000}"/>
    <cellStyle name="Normal 349 27 2" xfId="42693" xr:uid="{00000000-0005-0000-0000-0000CBA60000}"/>
    <cellStyle name="Normal 349 28" xfId="42694" xr:uid="{00000000-0005-0000-0000-0000CCA60000}"/>
    <cellStyle name="Normal 349 28 2" xfId="42695" xr:uid="{00000000-0005-0000-0000-0000CDA60000}"/>
    <cellStyle name="Normal 349 29" xfId="42696" xr:uid="{00000000-0005-0000-0000-0000CEA60000}"/>
    <cellStyle name="Normal 349 29 2" xfId="42697" xr:uid="{00000000-0005-0000-0000-0000CFA60000}"/>
    <cellStyle name="Normal 349 3" xfId="42698" xr:uid="{00000000-0005-0000-0000-0000D0A60000}"/>
    <cellStyle name="Normal 349 3 2" xfId="42699" xr:uid="{00000000-0005-0000-0000-0000D1A60000}"/>
    <cellStyle name="Normal 349 30" xfId="42700" xr:uid="{00000000-0005-0000-0000-0000D2A60000}"/>
    <cellStyle name="Normal 349 30 2" xfId="42701" xr:uid="{00000000-0005-0000-0000-0000D3A60000}"/>
    <cellStyle name="Normal 349 31" xfId="42702" xr:uid="{00000000-0005-0000-0000-0000D4A60000}"/>
    <cellStyle name="Normal 349 31 2" xfId="42703" xr:uid="{00000000-0005-0000-0000-0000D5A60000}"/>
    <cellStyle name="Normal 349 32" xfId="42704" xr:uid="{00000000-0005-0000-0000-0000D6A60000}"/>
    <cellStyle name="Normal 349 32 2" xfId="42705" xr:uid="{00000000-0005-0000-0000-0000D7A60000}"/>
    <cellStyle name="Normal 349 33" xfId="42706" xr:uid="{00000000-0005-0000-0000-0000D8A60000}"/>
    <cellStyle name="Normal 349 33 2" xfId="42707" xr:uid="{00000000-0005-0000-0000-0000D9A60000}"/>
    <cellStyle name="Normal 349 34" xfId="42708" xr:uid="{00000000-0005-0000-0000-0000DAA60000}"/>
    <cellStyle name="Normal 349 34 2" xfId="42709" xr:uid="{00000000-0005-0000-0000-0000DBA60000}"/>
    <cellStyle name="Normal 349 35" xfId="42710" xr:uid="{00000000-0005-0000-0000-0000DCA60000}"/>
    <cellStyle name="Normal 349 35 2" xfId="42711" xr:uid="{00000000-0005-0000-0000-0000DDA60000}"/>
    <cellStyle name="Normal 349 36" xfId="42712" xr:uid="{00000000-0005-0000-0000-0000DEA60000}"/>
    <cellStyle name="Normal 349 36 2" xfId="42713" xr:uid="{00000000-0005-0000-0000-0000DFA60000}"/>
    <cellStyle name="Normal 349 37" xfId="42714" xr:uid="{00000000-0005-0000-0000-0000E0A60000}"/>
    <cellStyle name="Normal 349 37 2" xfId="42715" xr:uid="{00000000-0005-0000-0000-0000E1A60000}"/>
    <cellStyle name="Normal 349 38" xfId="42716" xr:uid="{00000000-0005-0000-0000-0000E2A60000}"/>
    <cellStyle name="Normal 349 38 2" xfId="42717" xr:uid="{00000000-0005-0000-0000-0000E3A60000}"/>
    <cellStyle name="Normal 349 39" xfId="42718" xr:uid="{00000000-0005-0000-0000-0000E4A60000}"/>
    <cellStyle name="Normal 349 39 2" xfId="42719" xr:uid="{00000000-0005-0000-0000-0000E5A60000}"/>
    <cellStyle name="Normal 349 4" xfId="42720" xr:uid="{00000000-0005-0000-0000-0000E6A60000}"/>
    <cellStyle name="Normal 349 4 2" xfId="42721" xr:uid="{00000000-0005-0000-0000-0000E7A60000}"/>
    <cellStyle name="Normal 349 40" xfId="42722" xr:uid="{00000000-0005-0000-0000-0000E8A60000}"/>
    <cellStyle name="Normal 349 40 2" xfId="42723" xr:uid="{00000000-0005-0000-0000-0000E9A60000}"/>
    <cellStyle name="Normal 349 41" xfId="42724" xr:uid="{00000000-0005-0000-0000-0000EAA60000}"/>
    <cellStyle name="Normal 349 41 2" xfId="42725" xr:uid="{00000000-0005-0000-0000-0000EBA60000}"/>
    <cellStyle name="Normal 349 42" xfId="42726" xr:uid="{00000000-0005-0000-0000-0000ECA60000}"/>
    <cellStyle name="Normal 349 42 2" xfId="42727" xr:uid="{00000000-0005-0000-0000-0000EDA60000}"/>
    <cellStyle name="Normal 349 43" xfId="42728" xr:uid="{00000000-0005-0000-0000-0000EEA60000}"/>
    <cellStyle name="Normal 349 43 2" xfId="42729" xr:uid="{00000000-0005-0000-0000-0000EFA60000}"/>
    <cellStyle name="Normal 349 44" xfId="42730" xr:uid="{00000000-0005-0000-0000-0000F0A60000}"/>
    <cellStyle name="Normal 349 44 2" xfId="42731" xr:uid="{00000000-0005-0000-0000-0000F1A60000}"/>
    <cellStyle name="Normal 349 45" xfId="42732" xr:uid="{00000000-0005-0000-0000-0000F2A60000}"/>
    <cellStyle name="Normal 349 45 2" xfId="42733" xr:uid="{00000000-0005-0000-0000-0000F3A60000}"/>
    <cellStyle name="Normal 349 46" xfId="42734" xr:uid="{00000000-0005-0000-0000-0000F4A60000}"/>
    <cellStyle name="Normal 349 46 2" xfId="42735" xr:uid="{00000000-0005-0000-0000-0000F5A60000}"/>
    <cellStyle name="Normal 349 47" xfId="42736" xr:uid="{00000000-0005-0000-0000-0000F6A60000}"/>
    <cellStyle name="Normal 349 47 2" xfId="42737" xr:uid="{00000000-0005-0000-0000-0000F7A60000}"/>
    <cellStyle name="Normal 349 48" xfId="42738" xr:uid="{00000000-0005-0000-0000-0000F8A60000}"/>
    <cellStyle name="Normal 349 48 2" xfId="42739" xr:uid="{00000000-0005-0000-0000-0000F9A60000}"/>
    <cellStyle name="Normal 349 49" xfId="42740" xr:uid="{00000000-0005-0000-0000-0000FAA60000}"/>
    <cellStyle name="Normal 349 49 2" xfId="42741" xr:uid="{00000000-0005-0000-0000-0000FBA60000}"/>
    <cellStyle name="Normal 349 5" xfId="42742" xr:uid="{00000000-0005-0000-0000-0000FCA60000}"/>
    <cellStyle name="Normal 349 5 2" xfId="42743" xr:uid="{00000000-0005-0000-0000-0000FDA60000}"/>
    <cellStyle name="Normal 349 50" xfId="42744" xr:uid="{00000000-0005-0000-0000-0000FEA60000}"/>
    <cellStyle name="Normal 349 50 2" xfId="42745" xr:uid="{00000000-0005-0000-0000-0000FFA60000}"/>
    <cellStyle name="Normal 349 51" xfId="42746" xr:uid="{00000000-0005-0000-0000-000000A70000}"/>
    <cellStyle name="Normal 349 51 2" xfId="42747" xr:uid="{00000000-0005-0000-0000-000001A70000}"/>
    <cellStyle name="Normal 349 52" xfId="42748" xr:uid="{00000000-0005-0000-0000-000002A70000}"/>
    <cellStyle name="Normal 349 52 2" xfId="42749" xr:uid="{00000000-0005-0000-0000-000003A70000}"/>
    <cellStyle name="Normal 349 53" xfId="42750" xr:uid="{00000000-0005-0000-0000-000004A70000}"/>
    <cellStyle name="Normal 349 53 2" xfId="42751" xr:uid="{00000000-0005-0000-0000-000005A70000}"/>
    <cellStyle name="Normal 349 54" xfId="42752" xr:uid="{00000000-0005-0000-0000-000006A70000}"/>
    <cellStyle name="Normal 349 54 2" xfId="42753" xr:uid="{00000000-0005-0000-0000-000007A70000}"/>
    <cellStyle name="Normal 349 55" xfId="42754" xr:uid="{00000000-0005-0000-0000-000008A70000}"/>
    <cellStyle name="Normal 349 55 2" xfId="42755" xr:uid="{00000000-0005-0000-0000-000009A70000}"/>
    <cellStyle name="Normal 349 56" xfId="42756" xr:uid="{00000000-0005-0000-0000-00000AA70000}"/>
    <cellStyle name="Normal 349 56 2" xfId="42757" xr:uid="{00000000-0005-0000-0000-00000BA70000}"/>
    <cellStyle name="Normal 349 57" xfId="42758" xr:uid="{00000000-0005-0000-0000-00000CA70000}"/>
    <cellStyle name="Normal 349 57 2" xfId="42759" xr:uid="{00000000-0005-0000-0000-00000DA70000}"/>
    <cellStyle name="Normal 349 58" xfId="42760" xr:uid="{00000000-0005-0000-0000-00000EA70000}"/>
    <cellStyle name="Normal 349 58 2" xfId="42761" xr:uid="{00000000-0005-0000-0000-00000FA70000}"/>
    <cellStyle name="Normal 349 59" xfId="42762" xr:uid="{00000000-0005-0000-0000-000010A70000}"/>
    <cellStyle name="Normal 349 59 2" xfId="42763" xr:uid="{00000000-0005-0000-0000-000011A70000}"/>
    <cellStyle name="Normal 349 6" xfId="42764" xr:uid="{00000000-0005-0000-0000-000012A70000}"/>
    <cellStyle name="Normal 349 6 2" xfId="42765" xr:uid="{00000000-0005-0000-0000-000013A70000}"/>
    <cellStyle name="Normal 349 60" xfId="42766" xr:uid="{00000000-0005-0000-0000-000014A70000}"/>
    <cellStyle name="Normal 349 60 2" xfId="42767" xr:uid="{00000000-0005-0000-0000-000015A70000}"/>
    <cellStyle name="Normal 349 61" xfId="42768" xr:uid="{00000000-0005-0000-0000-000016A70000}"/>
    <cellStyle name="Normal 349 61 2" xfId="42769" xr:uid="{00000000-0005-0000-0000-000017A70000}"/>
    <cellStyle name="Normal 349 61 3" xfId="42770" xr:uid="{00000000-0005-0000-0000-000018A70000}"/>
    <cellStyle name="Normal 349 62" xfId="42771" xr:uid="{00000000-0005-0000-0000-000019A70000}"/>
    <cellStyle name="Normal 349 7" xfId="42772" xr:uid="{00000000-0005-0000-0000-00001AA70000}"/>
    <cellStyle name="Normal 349 7 2" xfId="42773" xr:uid="{00000000-0005-0000-0000-00001BA70000}"/>
    <cellStyle name="Normal 349 8" xfId="42774" xr:uid="{00000000-0005-0000-0000-00001CA70000}"/>
    <cellStyle name="Normal 349 8 2" xfId="42775" xr:uid="{00000000-0005-0000-0000-00001DA70000}"/>
    <cellStyle name="Normal 349 9" xfId="42776" xr:uid="{00000000-0005-0000-0000-00001EA70000}"/>
    <cellStyle name="Normal 349 9 2" xfId="42777" xr:uid="{00000000-0005-0000-0000-00001FA70000}"/>
    <cellStyle name="Normal 35" xfId="42778" xr:uid="{00000000-0005-0000-0000-000020A70000}"/>
    <cellStyle name="Normal 35 2" xfId="42779" xr:uid="{00000000-0005-0000-0000-000021A70000}"/>
    <cellStyle name="Normal 35 3" xfId="42780" xr:uid="{00000000-0005-0000-0000-000022A70000}"/>
    <cellStyle name="Normal 350" xfId="42781" xr:uid="{00000000-0005-0000-0000-000023A70000}"/>
    <cellStyle name="Normal 351" xfId="42782" xr:uid="{00000000-0005-0000-0000-000024A70000}"/>
    <cellStyle name="Normal 352" xfId="42783" xr:uid="{00000000-0005-0000-0000-000025A70000}"/>
    <cellStyle name="Normal 352 10" xfId="42784" xr:uid="{00000000-0005-0000-0000-000026A70000}"/>
    <cellStyle name="Normal 352 10 2" xfId="42785" xr:uid="{00000000-0005-0000-0000-000027A70000}"/>
    <cellStyle name="Normal 352 11" xfId="42786" xr:uid="{00000000-0005-0000-0000-000028A70000}"/>
    <cellStyle name="Normal 352 11 2" xfId="42787" xr:uid="{00000000-0005-0000-0000-000029A70000}"/>
    <cellStyle name="Normal 352 12" xfId="42788" xr:uid="{00000000-0005-0000-0000-00002AA70000}"/>
    <cellStyle name="Normal 352 12 2" xfId="42789" xr:uid="{00000000-0005-0000-0000-00002BA70000}"/>
    <cellStyle name="Normal 352 13" xfId="42790" xr:uid="{00000000-0005-0000-0000-00002CA70000}"/>
    <cellStyle name="Normal 352 13 2" xfId="42791" xr:uid="{00000000-0005-0000-0000-00002DA70000}"/>
    <cellStyle name="Normal 352 14" xfId="42792" xr:uid="{00000000-0005-0000-0000-00002EA70000}"/>
    <cellStyle name="Normal 352 14 2" xfId="42793" xr:uid="{00000000-0005-0000-0000-00002FA70000}"/>
    <cellStyle name="Normal 352 15" xfId="42794" xr:uid="{00000000-0005-0000-0000-000030A70000}"/>
    <cellStyle name="Normal 352 15 2" xfId="42795" xr:uid="{00000000-0005-0000-0000-000031A70000}"/>
    <cellStyle name="Normal 352 16" xfId="42796" xr:uid="{00000000-0005-0000-0000-000032A70000}"/>
    <cellStyle name="Normal 352 16 2" xfId="42797" xr:uid="{00000000-0005-0000-0000-000033A70000}"/>
    <cellStyle name="Normal 352 17" xfId="42798" xr:uid="{00000000-0005-0000-0000-000034A70000}"/>
    <cellStyle name="Normal 352 17 2" xfId="42799" xr:uid="{00000000-0005-0000-0000-000035A70000}"/>
    <cellStyle name="Normal 352 18" xfId="42800" xr:uid="{00000000-0005-0000-0000-000036A70000}"/>
    <cellStyle name="Normal 352 18 2" xfId="42801" xr:uid="{00000000-0005-0000-0000-000037A70000}"/>
    <cellStyle name="Normal 352 19" xfId="42802" xr:uid="{00000000-0005-0000-0000-000038A70000}"/>
    <cellStyle name="Normal 352 19 2" xfId="42803" xr:uid="{00000000-0005-0000-0000-000039A70000}"/>
    <cellStyle name="Normal 352 2" xfId="42804" xr:uid="{00000000-0005-0000-0000-00003AA70000}"/>
    <cellStyle name="Normal 352 2 2" xfId="42805" xr:uid="{00000000-0005-0000-0000-00003BA70000}"/>
    <cellStyle name="Normal 352 20" xfId="42806" xr:uid="{00000000-0005-0000-0000-00003CA70000}"/>
    <cellStyle name="Normal 352 20 2" xfId="42807" xr:uid="{00000000-0005-0000-0000-00003DA70000}"/>
    <cellStyle name="Normal 352 21" xfId="42808" xr:uid="{00000000-0005-0000-0000-00003EA70000}"/>
    <cellStyle name="Normal 352 21 2" xfId="42809" xr:uid="{00000000-0005-0000-0000-00003FA70000}"/>
    <cellStyle name="Normal 352 22" xfId="42810" xr:uid="{00000000-0005-0000-0000-000040A70000}"/>
    <cellStyle name="Normal 352 22 2" xfId="42811" xr:uid="{00000000-0005-0000-0000-000041A70000}"/>
    <cellStyle name="Normal 352 23" xfId="42812" xr:uid="{00000000-0005-0000-0000-000042A70000}"/>
    <cellStyle name="Normal 352 23 2" xfId="42813" xr:uid="{00000000-0005-0000-0000-000043A70000}"/>
    <cellStyle name="Normal 352 24" xfId="42814" xr:uid="{00000000-0005-0000-0000-000044A70000}"/>
    <cellStyle name="Normal 352 24 2" xfId="42815" xr:uid="{00000000-0005-0000-0000-000045A70000}"/>
    <cellStyle name="Normal 352 25" xfId="42816" xr:uid="{00000000-0005-0000-0000-000046A70000}"/>
    <cellStyle name="Normal 352 25 2" xfId="42817" xr:uid="{00000000-0005-0000-0000-000047A70000}"/>
    <cellStyle name="Normal 352 26" xfId="42818" xr:uid="{00000000-0005-0000-0000-000048A70000}"/>
    <cellStyle name="Normal 352 26 2" xfId="42819" xr:uid="{00000000-0005-0000-0000-000049A70000}"/>
    <cellStyle name="Normal 352 27" xfId="42820" xr:uid="{00000000-0005-0000-0000-00004AA70000}"/>
    <cellStyle name="Normal 352 27 2" xfId="42821" xr:uid="{00000000-0005-0000-0000-00004BA70000}"/>
    <cellStyle name="Normal 352 28" xfId="42822" xr:uid="{00000000-0005-0000-0000-00004CA70000}"/>
    <cellStyle name="Normal 352 28 2" xfId="42823" xr:uid="{00000000-0005-0000-0000-00004DA70000}"/>
    <cellStyle name="Normal 352 29" xfId="42824" xr:uid="{00000000-0005-0000-0000-00004EA70000}"/>
    <cellStyle name="Normal 352 29 2" xfId="42825" xr:uid="{00000000-0005-0000-0000-00004FA70000}"/>
    <cellStyle name="Normal 352 3" xfId="42826" xr:uid="{00000000-0005-0000-0000-000050A70000}"/>
    <cellStyle name="Normal 352 3 2" xfId="42827" xr:uid="{00000000-0005-0000-0000-000051A70000}"/>
    <cellStyle name="Normal 352 30" xfId="42828" xr:uid="{00000000-0005-0000-0000-000052A70000}"/>
    <cellStyle name="Normal 352 30 2" xfId="42829" xr:uid="{00000000-0005-0000-0000-000053A70000}"/>
    <cellStyle name="Normal 352 31" xfId="42830" xr:uid="{00000000-0005-0000-0000-000054A70000}"/>
    <cellStyle name="Normal 352 31 2" xfId="42831" xr:uid="{00000000-0005-0000-0000-000055A70000}"/>
    <cellStyle name="Normal 352 32" xfId="42832" xr:uid="{00000000-0005-0000-0000-000056A70000}"/>
    <cellStyle name="Normal 352 32 2" xfId="42833" xr:uid="{00000000-0005-0000-0000-000057A70000}"/>
    <cellStyle name="Normal 352 33" xfId="42834" xr:uid="{00000000-0005-0000-0000-000058A70000}"/>
    <cellStyle name="Normal 352 33 2" xfId="42835" xr:uid="{00000000-0005-0000-0000-000059A70000}"/>
    <cellStyle name="Normal 352 34" xfId="42836" xr:uid="{00000000-0005-0000-0000-00005AA70000}"/>
    <cellStyle name="Normal 352 34 2" xfId="42837" xr:uid="{00000000-0005-0000-0000-00005BA70000}"/>
    <cellStyle name="Normal 352 35" xfId="42838" xr:uid="{00000000-0005-0000-0000-00005CA70000}"/>
    <cellStyle name="Normal 352 35 2" xfId="42839" xr:uid="{00000000-0005-0000-0000-00005DA70000}"/>
    <cellStyle name="Normal 352 36" xfId="42840" xr:uid="{00000000-0005-0000-0000-00005EA70000}"/>
    <cellStyle name="Normal 352 36 2" xfId="42841" xr:uid="{00000000-0005-0000-0000-00005FA70000}"/>
    <cellStyle name="Normal 352 37" xfId="42842" xr:uid="{00000000-0005-0000-0000-000060A70000}"/>
    <cellStyle name="Normal 352 37 2" xfId="42843" xr:uid="{00000000-0005-0000-0000-000061A70000}"/>
    <cellStyle name="Normal 352 38" xfId="42844" xr:uid="{00000000-0005-0000-0000-000062A70000}"/>
    <cellStyle name="Normal 352 38 2" xfId="42845" xr:uid="{00000000-0005-0000-0000-000063A70000}"/>
    <cellStyle name="Normal 352 39" xfId="42846" xr:uid="{00000000-0005-0000-0000-000064A70000}"/>
    <cellStyle name="Normal 352 39 2" xfId="42847" xr:uid="{00000000-0005-0000-0000-000065A70000}"/>
    <cellStyle name="Normal 352 4" xfId="42848" xr:uid="{00000000-0005-0000-0000-000066A70000}"/>
    <cellStyle name="Normal 352 4 2" xfId="42849" xr:uid="{00000000-0005-0000-0000-000067A70000}"/>
    <cellStyle name="Normal 352 40" xfId="42850" xr:uid="{00000000-0005-0000-0000-000068A70000}"/>
    <cellStyle name="Normal 352 40 2" xfId="42851" xr:uid="{00000000-0005-0000-0000-000069A70000}"/>
    <cellStyle name="Normal 352 41" xfId="42852" xr:uid="{00000000-0005-0000-0000-00006AA70000}"/>
    <cellStyle name="Normal 352 41 2" xfId="42853" xr:uid="{00000000-0005-0000-0000-00006BA70000}"/>
    <cellStyle name="Normal 352 42" xfId="42854" xr:uid="{00000000-0005-0000-0000-00006CA70000}"/>
    <cellStyle name="Normal 352 42 2" xfId="42855" xr:uid="{00000000-0005-0000-0000-00006DA70000}"/>
    <cellStyle name="Normal 352 43" xfId="42856" xr:uid="{00000000-0005-0000-0000-00006EA70000}"/>
    <cellStyle name="Normal 352 43 2" xfId="42857" xr:uid="{00000000-0005-0000-0000-00006FA70000}"/>
    <cellStyle name="Normal 352 44" xfId="42858" xr:uid="{00000000-0005-0000-0000-000070A70000}"/>
    <cellStyle name="Normal 352 44 2" xfId="42859" xr:uid="{00000000-0005-0000-0000-000071A70000}"/>
    <cellStyle name="Normal 352 45" xfId="42860" xr:uid="{00000000-0005-0000-0000-000072A70000}"/>
    <cellStyle name="Normal 352 45 2" xfId="42861" xr:uid="{00000000-0005-0000-0000-000073A70000}"/>
    <cellStyle name="Normal 352 46" xfId="42862" xr:uid="{00000000-0005-0000-0000-000074A70000}"/>
    <cellStyle name="Normal 352 46 2" xfId="42863" xr:uid="{00000000-0005-0000-0000-000075A70000}"/>
    <cellStyle name="Normal 352 47" xfId="42864" xr:uid="{00000000-0005-0000-0000-000076A70000}"/>
    <cellStyle name="Normal 352 47 2" xfId="42865" xr:uid="{00000000-0005-0000-0000-000077A70000}"/>
    <cellStyle name="Normal 352 48" xfId="42866" xr:uid="{00000000-0005-0000-0000-000078A70000}"/>
    <cellStyle name="Normal 352 48 2" xfId="42867" xr:uid="{00000000-0005-0000-0000-000079A70000}"/>
    <cellStyle name="Normal 352 49" xfId="42868" xr:uid="{00000000-0005-0000-0000-00007AA70000}"/>
    <cellStyle name="Normal 352 49 2" xfId="42869" xr:uid="{00000000-0005-0000-0000-00007BA70000}"/>
    <cellStyle name="Normal 352 5" xfId="42870" xr:uid="{00000000-0005-0000-0000-00007CA70000}"/>
    <cellStyle name="Normal 352 5 2" xfId="42871" xr:uid="{00000000-0005-0000-0000-00007DA70000}"/>
    <cellStyle name="Normal 352 50" xfId="42872" xr:uid="{00000000-0005-0000-0000-00007EA70000}"/>
    <cellStyle name="Normal 352 50 2" xfId="42873" xr:uid="{00000000-0005-0000-0000-00007FA70000}"/>
    <cellStyle name="Normal 352 51" xfId="42874" xr:uid="{00000000-0005-0000-0000-000080A70000}"/>
    <cellStyle name="Normal 352 51 2" xfId="42875" xr:uid="{00000000-0005-0000-0000-000081A70000}"/>
    <cellStyle name="Normal 352 52" xfId="42876" xr:uid="{00000000-0005-0000-0000-000082A70000}"/>
    <cellStyle name="Normal 352 52 2" xfId="42877" xr:uid="{00000000-0005-0000-0000-000083A70000}"/>
    <cellStyle name="Normal 352 53" xfId="42878" xr:uid="{00000000-0005-0000-0000-000084A70000}"/>
    <cellStyle name="Normal 352 53 2" xfId="42879" xr:uid="{00000000-0005-0000-0000-000085A70000}"/>
    <cellStyle name="Normal 352 54" xfId="42880" xr:uid="{00000000-0005-0000-0000-000086A70000}"/>
    <cellStyle name="Normal 352 54 2" xfId="42881" xr:uid="{00000000-0005-0000-0000-000087A70000}"/>
    <cellStyle name="Normal 352 55" xfId="42882" xr:uid="{00000000-0005-0000-0000-000088A70000}"/>
    <cellStyle name="Normal 352 55 2" xfId="42883" xr:uid="{00000000-0005-0000-0000-000089A70000}"/>
    <cellStyle name="Normal 352 56" xfId="42884" xr:uid="{00000000-0005-0000-0000-00008AA70000}"/>
    <cellStyle name="Normal 352 56 2" xfId="42885" xr:uid="{00000000-0005-0000-0000-00008BA70000}"/>
    <cellStyle name="Normal 352 57" xfId="42886" xr:uid="{00000000-0005-0000-0000-00008CA70000}"/>
    <cellStyle name="Normal 352 57 2" xfId="42887" xr:uid="{00000000-0005-0000-0000-00008DA70000}"/>
    <cellStyle name="Normal 352 58" xfId="42888" xr:uid="{00000000-0005-0000-0000-00008EA70000}"/>
    <cellStyle name="Normal 352 58 2" xfId="42889" xr:uid="{00000000-0005-0000-0000-00008FA70000}"/>
    <cellStyle name="Normal 352 59" xfId="42890" xr:uid="{00000000-0005-0000-0000-000090A70000}"/>
    <cellStyle name="Normal 352 59 2" xfId="42891" xr:uid="{00000000-0005-0000-0000-000091A70000}"/>
    <cellStyle name="Normal 352 6" xfId="42892" xr:uid="{00000000-0005-0000-0000-000092A70000}"/>
    <cellStyle name="Normal 352 6 2" xfId="42893" xr:uid="{00000000-0005-0000-0000-000093A70000}"/>
    <cellStyle name="Normal 352 60" xfId="42894" xr:uid="{00000000-0005-0000-0000-000094A70000}"/>
    <cellStyle name="Normal 352 60 2" xfId="42895" xr:uid="{00000000-0005-0000-0000-000095A70000}"/>
    <cellStyle name="Normal 352 61" xfId="42896" xr:uid="{00000000-0005-0000-0000-000096A70000}"/>
    <cellStyle name="Normal 352 61 2" xfId="42897" xr:uid="{00000000-0005-0000-0000-000097A70000}"/>
    <cellStyle name="Normal 352 61 3" xfId="42898" xr:uid="{00000000-0005-0000-0000-000098A70000}"/>
    <cellStyle name="Normal 352 62" xfId="42899" xr:uid="{00000000-0005-0000-0000-000099A70000}"/>
    <cellStyle name="Normal 352 7" xfId="42900" xr:uid="{00000000-0005-0000-0000-00009AA70000}"/>
    <cellStyle name="Normal 352 7 2" xfId="42901" xr:uid="{00000000-0005-0000-0000-00009BA70000}"/>
    <cellStyle name="Normal 352 8" xfId="42902" xr:uid="{00000000-0005-0000-0000-00009CA70000}"/>
    <cellStyle name="Normal 352 8 2" xfId="42903" xr:uid="{00000000-0005-0000-0000-00009DA70000}"/>
    <cellStyle name="Normal 352 9" xfId="42904" xr:uid="{00000000-0005-0000-0000-00009EA70000}"/>
    <cellStyle name="Normal 352 9 2" xfId="42905" xr:uid="{00000000-0005-0000-0000-00009FA70000}"/>
    <cellStyle name="Normal 353" xfId="42906" xr:uid="{00000000-0005-0000-0000-0000A0A70000}"/>
    <cellStyle name="Normal 353 2" xfId="42907" xr:uid="{00000000-0005-0000-0000-0000A1A70000}"/>
    <cellStyle name="Normal 354" xfId="42908" xr:uid="{00000000-0005-0000-0000-0000A2A70000}"/>
    <cellStyle name="Normal 354 2" xfId="42909" xr:uid="{00000000-0005-0000-0000-0000A3A70000}"/>
    <cellStyle name="Normal 355" xfId="42910" xr:uid="{00000000-0005-0000-0000-0000A4A70000}"/>
    <cellStyle name="Normal 355 2" xfId="42911" xr:uid="{00000000-0005-0000-0000-0000A5A70000}"/>
    <cellStyle name="Normal 356" xfId="42912" xr:uid="{00000000-0005-0000-0000-0000A6A70000}"/>
    <cellStyle name="Normal 356 2" xfId="42913" xr:uid="{00000000-0005-0000-0000-0000A7A70000}"/>
    <cellStyle name="Normal 357" xfId="42914" xr:uid="{00000000-0005-0000-0000-0000A8A70000}"/>
    <cellStyle name="Normal 357 2" xfId="42915" xr:uid="{00000000-0005-0000-0000-0000A9A70000}"/>
    <cellStyle name="Normal 358" xfId="42916" xr:uid="{00000000-0005-0000-0000-0000AAA70000}"/>
    <cellStyle name="Normal 358 2" xfId="42917" xr:uid="{00000000-0005-0000-0000-0000ABA70000}"/>
    <cellStyle name="Normal 359" xfId="42918" xr:uid="{00000000-0005-0000-0000-0000ACA70000}"/>
    <cellStyle name="Normal 359 2" xfId="42919" xr:uid="{00000000-0005-0000-0000-0000ADA70000}"/>
    <cellStyle name="Normal 36" xfId="42920" xr:uid="{00000000-0005-0000-0000-0000AEA70000}"/>
    <cellStyle name="Normal 36 2" xfId="42921" xr:uid="{00000000-0005-0000-0000-0000AFA70000}"/>
    <cellStyle name="Normal 360" xfId="42922" xr:uid="{00000000-0005-0000-0000-0000B0A70000}"/>
    <cellStyle name="Normal 360 2" xfId="42923" xr:uid="{00000000-0005-0000-0000-0000B1A70000}"/>
    <cellStyle name="Normal 361" xfId="42924" xr:uid="{00000000-0005-0000-0000-0000B2A70000}"/>
    <cellStyle name="Normal 361 2" xfId="42925" xr:uid="{00000000-0005-0000-0000-0000B3A70000}"/>
    <cellStyle name="Normal 362" xfId="42926" xr:uid="{00000000-0005-0000-0000-0000B4A70000}"/>
    <cellStyle name="Normal 362 2" xfId="42927" xr:uid="{00000000-0005-0000-0000-0000B5A70000}"/>
    <cellStyle name="Normal 363" xfId="42928" xr:uid="{00000000-0005-0000-0000-0000B6A70000}"/>
    <cellStyle name="Normal 363 2" xfId="42929" xr:uid="{00000000-0005-0000-0000-0000B7A70000}"/>
    <cellStyle name="Normal 364" xfId="42930" xr:uid="{00000000-0005-0000-0000-0000B8A70000}"/>
    <cellStyle name="Normal 364 2" xfId="42931" xr:uid="{00000000-0005-0000-0000-0000B9A70000}"/>
    <cellStyle name="Normal 365" xfId="42932" xr:uid="{00000000-0005-0000-0000-0000BAA70000}"/>
    <cellStyle name="Normal 365 2" xfId="42933" xr:uid="{00000000-0005-0000-0000-0000BBA70000}"/>
    <cellStyle name="Normal 366" xfId="42934" xr:uid="{00000000-0005-0000-0000-0000BCA70000}"/>
    <cellStyle name="Normal 366 2" xfId="42935" xr:uid="{00000000-0005-0000-0000-0000BDA70000}"/>
    <cellStyle name="Normal 367" xfId="42936" xr:uid="{00000000-0005-0000-0000-0000BEA70000}"/>
    <cellStyle name="Normal 367 2" xfId="42937" xr:uid="{00000000-0005-0000-0000-0000BFA70000}"/>
    <cellStyle name="Normal 368" xfId="42938" xr:uid="{00000000-0005-0000-0000-0000C0A70000}"/>
    <cellStyle name="Normal 368 2" xfId="42939" xr:uid="{00000000-0005-0000-0000-0000C1A70000}"/>
    <cellStyle name="Normal 369" xfId="42940" xr:uid="{00000000-0005-0000-0000-0000C2A70000}"/>
    <cellStyle name="Normal 369 2" xfId="42941" xr:uid="{00000000-0005-0000-0000-0000C3A70000}"/>
    <cellStyle name="Normal 37" xfId="42942" xr:uid="{00000000-0005-0000-0000-0000C4A70000}"/>
    <cellStyle name="Normal 37 2" xfId="42943" xr:uid="{00000000-0005-0000-0000-0000C5A70000}"/>
    <cellStyle name="Normal 37 3" xfId="42944" xr:uid="{00000000-0005-0000-0000-0000C6A70000}"/>
    <cellStyle name="Normal 370" xfId="42945" xr:uid="{00000000-0005-0000-0000-0000C7A70000}"/>
    <cellStyle name="Normal 370 2" xfId="42946" xr:uid="{00000000-0005-0000-0000-0000C8A70000}"/>
    <cellStyle name="Normal 371" xfId="62539" xr:uid="{00000000-0005-0000-0000-0000C9A70000}"/>
    <cellStyle name="Normal 372" xfId="62547" xr:uid="{00000000-0005-0000-0000-0000CAA70000}"/>
    <cellStyle name="Normal 38" xfId="42947" xr:uid="{00000000-0005-0000-0000-0000CBA70000}"/>
    <cellStyle name="Normal 38 10" xfId="42948" xr:uid="{00000000-0005-0000-0000-0000CCA70000}"/>
    <cellStyle name="Normal 38 10 2" xfId="42949" xr:uid="{00000000-0005-0000-0000-0000CDA70000}"/>
    <cellStyle name="Normal 38 11" xfId="42950" xr:uid="{00000000-0005-0000-0000-0000CEA70000}"/>
    <cellStyle name="Normal 38 11 2" xfId="42951" xr:uid="{00000000-0005-0000-0000-0000CFA70000}"/>
    <cellStyle name="Normal 38 12" xfId="42952" xr:uid="{00000000-0005-0000-0000-0000D0A70000}"/>
    <cellStyle name="Normal 38 12 2" xfId="42953" xr:uid="{00000000-0005-0000-0000-0000D1A70000}"/>
    <cellStyle name="Normal 38 13" xfId="42954" xr:uid="{00000000-0005-0000-0000-0000D2A70000}"/>
    <cellStyle name="Normal 38 13 2" xfId="42955" xr:uid="{00000000-0005-0000-0000-0000D3A70000}"/>
    <cellStyle name="Normal 38 14" xfId="42956" xr:uid="{00000000-0005-0000-0000-0000D4A70000}"/>
    <cellStyle name="Normal 38 14 2" xfId="42957" xr:uid="{00000000-0005-0000-0000-0000D5A70000}"/>
    <cellStyle name="Normal 38 15" xfId="42958" xr:uid="{00000000-0005-0000-0000-0000D6A70000}"/>
    <cellStyle name="Normal 38 15 2" xfId="42959" xr:uid="{00000000-0005-0000-0000-0000D7A70000}"/>
    <cellStyle name="Normal 38 16" xfId="42960" xr:uid="{00000000-0005-0000-0000-0000D8A70000}"/>
    <cellStyle name="Normal 38 16 2" xfId="42961" xr:uid="{00000000-0005-0000-0000-0000D9A70000}"/>
    <cellStyle name="Normal 38 17" xfId="42962" xr:uid="{00000000-0005-0000-0000-0000DAA70000}"/>
    <cellStyle name="Normal 38 17 2" xfId="42963" xr:uid="{00000000-0005-0000-0000-0000DBA70000}"/>
    <cellStyle name="Normal 38 18" xfId="42964" xr:uid="{00000000-0005-0000-0000-0000DCA70000}"/>
    <cellStyle name="Normal 38 18 2" xfId="42965" xr:uid="{00000000-0005-0000-0000-0000DDA70000}"/>
    <cellStyle name="Normal 38 19" xfId="42966" xr:uid="{00000000-0005-0000-0000-0000DEA70000}"/>
    <cellStyle name="Normal 38 19 2" xfId="42967" xr:uid="{00000000-0005-0000-0000-0000DFA70000}"/>
    <cellStyle name="Normal 38 2" xfId="42968" xr:uid="{00000000-0005-0000-0000-0000E0A70000}"/>
    <cellStyle name="Normal 38 2 2" xfId="42969" xr:uid="{00000000-0005-0000-0000-0000E1A70000}"/>
    <cellStyle name="Normal 38 20" xfId="42970" xr:uid="{00000000-0005-0000-0000-0000E2A70000}"/>
    <cellStyle name="Normal 38 20 2" xfId="42971" xr:uid="{00000000-0005-0000-0000-0000E3A70000}"/>
    <cellStyle name="Normal 38 21" xfId="42972" xr:uid="{00000000-0005-0000-0000-0000E4A70000}"/>
    <cellStyle name="Normal 38 21 2" xfId="42973" xr:uid="{00000000-0005-0000-0000-0000E5A70000}"/>
    <cellStyle name="Normal 38 22" xfId="42974" xr:uid="{00000000-0005-0000-0000-0000E6A70000}"/>
    <cellStyle name="Normal 38 22 2" xfId="42975" xr:uid="{00000000-0005-0000-0000-0000E7A70000}"/>
    <cellStyle name="Normal 38 23" xfId="42976" xr:uid="{00000000-0005-0000-0000-0000E8A70000}"/>
    <cellStyle name="Normal 38 23 2" xfId="42977" xr:uid="{00000000-0005-0000-0000-0000E9A70000}"/>
    <cellStyle name="Normal 38 24" xfId="42978" xr:uid="{00000000-0005-0000-0000-0000EAA70000}"/>
    <cellStyle name="Normal 38 24 2" xfId="42979" xr:uid="{00000000-0005-0000-0000-0000EBA70000}"/>
    <cellStyle name="Normal 38 25" xfId="42980" xr:uid="{00000000-0005-0000-0000-0000ECA70000}"/>
    <cellStyle name="Normal 38 25 2" xfId="42981" xr:uid="{00000000-0005-0000-0000-0000EDA70000}"/>
    <cellStyle name="Normal 38 26" xfId="42982" xr:uid="{00000000-0005-0000-0000-0000EEA70000}"/>
    <cellStyle name="Normal 38 26 2" xfId="42983" xr:uid="{00000000-0005-0000-0000-0000EFA70000}"/>
    <cellStyle name="Normal 38 27" xfId="42984" xr:uid="{00000000-0005-0000-0000-0000F0A70000}"/>
    <cellStyle name="Normal 38 27 2" xfId="42985" xr:uid="{00000000-0005-0000-0000-0000F1A70000}"/>
    <cellStyle name="Normal 38 28" xfId="42986" xr:uid="{00000000-0005-0000-0000-0000F2A70000}"/>
    <cellStyle name="Normal 38 28 2" xfId="42987" xr:uid="{00000000-0005-0000-0000-0000F3A70000}"/>
    <cellStyle name="Normal 38 29" xfId="42988" xr:uid="{00000000-0005-0000-0000-0000F4A70000}"/>
    <cellStyle name="Normal 38 29 2" xfId="42989" xr:uid="{00000000-0005-0000-0000-0000F5A70000}"/>
    <cellStyle name="Normal 38 3" xfId="42990" xr:uid="{00000000-0005-0000-0000-0000F6A70000}"/>
    <cellStyle name="Normal 38 3 2" xfId="42991" xr:uid="{00000000-0005-0000-0000-0000F7A70000}"/>
    <cellStyle name="Normal 38 30" xfId="42992" xr:uid="{00000000-0005-0000-0000-0000F8A70000}"/>
    <cellStyle name="Normal 38 30 2" xfId="42993" xr:uid="{00000000-0005-0000-0000-0000F9A70000}"/>
    <cellStyle name="Normal 38 31" xfId="42994" xr:uid="{00000000-0005-0000-0000-0000FAA70000}"/>
    <cellStyle name="Normal 38 31 2" xfId="42995" xr:uid="{00000000-0005-0000-0000-0000FBA70000}"/>
    <cellStyle name="Normal 38 32" xfId="42996" xr:uid="{00000000-0005-0000-0000-0000FCA70000}"/>
    <cellStyle name="Normal 38 32 2" xfId="42997" xr:uid="{00000000-0005-0000-0000-0000FDA70000}"/>
    <cellStyle name="Normal 38 33" xfId="42998" xr:uid="{00000000-0005-0000-0000-0000FEA70000}"/>
    <cellStyle name="Normal 38 33 2" xfId="42999" xr:uid="{00000000-0005-0000-0000-0000FFA70000}"/>
    <cellStyle name="Normal 38 34" xfId="43000" xr:uid="{00000000-0005-0000-0000-000000A80000}"/>
    <cellStyle name="Normal 38 34 2" xfId="43001" xr:uid="{00000000-0005-0000-0000-000001A80000}"/>
    <cellStyle name="Normal 38 35" xfId="43002" xr:uid="{00000000-0005-0000-0000-000002A80000}"/>
    <cellStyle name="Normal 38 35 2" xfId="43003" xr:uid="{00000000-0005-0000-0000-000003A80000}"/>
    <cellStyle name="Normal 38 36" xfId="43004" xr:uid="{00000000-0005-0000-0000-000004A80000}"/>
    <cellStyle name="Normal 38 36 2" xfId="43005" xr:uid="{00000000-0005-0000-0000-000005A80000}"/>
    <cellStyle name="Normal 38 37" xfId="43006" xr:uid="{00000000-0005-0000-0000-000006A80000}"/>
    <cellStyle name="Normal 38 37 2" xfId="43007" xr:uid="{00000000-0005-0000-0000-000007A80000}"/>
    <cellStyle name="Normal 38 38" xfId="43008" xr:uid="{00000000-0005-0000-0000-000008A80000}"/>
    <cellStyle name="Normal 38 38 2" xfId="43009" xr:uid="{00000000-0005-0000-0000-000009A80000}"/>
    <cellStyle name="Normal 38 39" xfId="43010" xr:uid="{00000000-0005-0000-0000-00000AA80000}"/>
    <cellStyle name="Normal 38 39 2" xfId="43011" xr:uid="{00000000-0005-0000-0000-00000BA80000}"/>
    <cellStyle name="Normal 38 4" xfId="43012" xr:uid="{00000000-0005-0000-0000-00000CA80000}"/>
    <cellStyle name="Normal 38 4 2" xfId="43013" xr:uid="{00000000-0005-0000-0000-00000DA80000}"/>
    <cellStyle name="Normal 38 40" xfId="43014" xr:uid="{00000000-0005-0000-0000-00000EA80000}"/>
    <cellStyle name="Normal 38 40 2" xfId="43015" xr:uid="{00000000-0005-0000-0000-00000FA80000}"/>
    <cellStyle name="Normal 38 41" xfId="43016" xr:uid="{00000000-0005-0000-0000-000010A80000}"/>
    <cellStyle name="Normal 38 41 2" xfId="43017" xr:uid="{00000000-0005-0000-0000-000011A80000}"/>
    <cellStyle name="Normal 38 42" xfId="43018" xr:uid="{00000000-0005-0000-0000-000012A80000}"/>
    <cellStyle name="Normal 38 42 2" xfId="43019" xr:uid="{00000000-0005-0000-0000-000013A80000}"/>
    <cellStyle name="Normal 38 43" xfId="43020" xr:uid="{00000000-0005-0000-0000-000014A80000}"/>
    <cellStyle name="Normal 38 43 2" xfId="43021" xr:uid="{00000000-0005-0000-0000-000015A80000}"/>
    <cellStyle name="Normal 38 44" xfId="43022" xr:uid="{00000000-0005-0000-0000-000016A80000}"/>
    <cellStyle name="Normal 38 44 2" xfId="43023" xr:uid="{00000000-0005-0000-0000-000017A80000}"/>
    <cellStyle name="Normal 38 45" xfId="43024" xr:uid="{00000000-0005-0000-0000-000018A80000}"/>
    <cellStyle name="Normal 38 45 2" xfId="43025" xr:uid="{00000000-0005-0000-0000-000019A80000}"/>
    <cellStyle name="Normal 38 46" xfId="43026" xr:uid="{00000000-0005-0000-0000-00001AA80000}"/>
    <cellStyle name="Normal 38 46 2" xfId="43027" xr:uid="{00000000-0005-0000-0000-00001BA80000}"/>
    <cellStyle name="Normal 38 47" xfId="43028" xr:uid="{00000000-0005-0000-0000-00001CA80000}"/>
    <cellStyle name="Normal 38 47 2" xfId="43029" xr:uid="{00000000-0005-0000-0000-00001DA80000}"/>
    <cellStyle name="Normal 38 48" xfId="43030" xr:uid="{00000000-0005-0000-0000-00001EA80000}"/>
    <cellStyle name="Normal 38 48 2" xfId="43031" xr:uid="{00000000-0005-0000-0000-00001FA80000}"/>
    <cellStyle name="Normal 38 49" xfId="43032" xr:uid="{00000000-0005-0000-0000-000020A80000}"/>
    <cellStyle name="Normal 38 49 2" xfId="43033" xr:uid="{00000000-0005-0000-0000-000021A80000}"/>
    <cellStyle name="Normal 38 5" xfId="43034" xr:uid="{00000000-0005-0000-0000-000022A80000}"/>
    <cellStyle name="Normal 38 5 2" xfId="43035" xr:uid="{00000000-0005-0000-0000-000023A80000}"/>
    <cellStyle name="Normal 38 50" xfId="43036" xr:uid="{00000000-0005-0000-0000-000024A80000}"/>
    <cellStyle name="Normal 38 50 2" xfId="43037" xr:uid="{00000000-0005-0000-0000-000025A80000}"/>
    <cellStyle name="Normal 38 51" xfId="43038" xr:uid="{00000000-0005-0000-0000-000026A80000}"/>
    <cellStyle name="Normal 38 51 2" xfId="43039" xr:uid="{00000000-0005-0000-0000-000027A80000}"/>
    <cellStyle name="Normal 38 52" xfId="43040" xr:uid="{00000000-0005-0000-0000-000028A80000}"/>
    <cellStyle name="Normal 38 52 2" xfId="43041" xr:uid="{00000000-0005-0000-0000-000029A80000}"/>
    <cellStyle name="Normal 38 53" xfId="43042" xr:uid="{00000000-0005-0000-0000-00002AA80000}"/>
    <cellStyle name="Normal 38 53 2" xfId="43043" xr:uid="{00000000-0005-0000-0000-00002BA80000}"/>
    <cellStyle name="Normal 38 54" xfId="43044" xr:uid="{00000000-0005-0000-0000-00002CA80000}"/>
    <cellStyle name="Normal 38 54 2" xfId="43045" xr:uid="{00000000-0005-0000-0000-00002DA80000}"/>
    <cellStyle name="Normal 38 55" xfId="43046" xr:uid="{00000000-0005-0000-0000-00002EA80000}"/>
    <cellStyle name="Normal 38 55 2" xfId="43047" xr:uid="{00000000-0005-0000-0000-00002FA80000}"/>
    <cellStyle name="Normal 38 56" xfId="43048" xr:uid="{00000000-0005-0000-0000-000030A80000}"/>
    <cellStyle name="Normal 38 56 2" xfId="43049" xr:uid="{00000000-0005-0000-0000-000031A80000}"/>
    <cellStyle name="Normal 38 57" xfId="43050" xr:uid="{00000000-0005-0000-0000-000032A80000}"/>
    <cellStyle name="Normal 38 57 2" xfId="43051" xr:uid="{00000000-0005-0000-0000-000033A80000}"/>
    <cellStyle name="Normal 38 58" xfId="43052" xr:uid="{00000000-0005-0000-0000-000034A80000}"/>
    <cellStyle name="Normal 38 58 2" xfId="43053" xr:uid="{00000000-0005-0000-0000-000035A80000}"/>
    <cellStyle name="Normal 38 59" xfId="43054" xr:uid="{00000000-0005-0000-0000-000036A80000}"/>
    <cellStyle name="Normal 38 6" xfId="43055" xr:uid="{00000000-0005-0000-0000-000037A80000}"/>
    <cellStyle name="Normal 38 6 2" xfId="43056" xr:uid="{00000000-0005-0000-0000-000038A80000}"/>
    <cellStyle name="Normal 38 7" xfId="43057" xr:uid="{00000000-0005-0000-0000-000039A80000}"/>
    <cellStyle name="Normal 38 7 2" xfId="43058" xr:uid="{00000000-0005-0000-0000-00003AA80000}"/>
    <cellStyle name="Normal 38 8" xfId="43059" xr:uid="{00000000-0005-0000-0000-00003BA80000}"/>
    <cellStyle name="Normal 38 8 2" xfId="43060" xr:uid="{00000000-0005-0000-0000-00003CA80000}"/>
    <cellStyle name="Normal 38 9" xfId="43061" xr:uid="{00000000-0005-0000-0000-00003DA80000}"/>
    <cellStyle name="Normal 38 9 2" xfId="43062" xr:uid="{00000000-0005-0000-0000-00003EA80000}"/>
    <cellStyle name="Normal 39" xfId="43063" xr:uid="{00000000-0005-0000-0000-00003FA80000}"/>
    <cellStyle name="Normal 39 10" xfId="43064" xr:uid="{00000000-0005-0000-0000-000040A80000}"/>
    <cellStyle name="Normal 39 10 2" xfId="43065" xr:uid="{00000000-0005-0000-0000-000041A80000}"/>
    <cellStyle name="Normal 39 11" xfId="43066" xr:uid="{00000000-0005-0000-0000-000042A80000}"/>
    <cellStyle name="Normal 39 11 2" xfId="43067" xr:uid="{00000000-0005-0000-0000-000043A80000}"/>
    <cellStyle name="Normal 39 12" xfId="43068" xr:uid="{00000000-0005-0000-0000-000044A80000}"/>
    <cellStyle name="Normal 39 12 2" xfId="43069" xr:uid="{00000000-0005-0000-0000-000045A80000}"/>
    <cellStyle name="Normal 39 13" xfId="43070" xr:uid="{00000000-0005-0000-0000-000046A80000}"/>
    <cellStyle name="Normal 39 13 2" xfId="43071" xr:uid="{00000000-0005-0000-0000-000047A80000}"/>
    <cellStyle name="Normal 39 14" xfId="43072" xr:uid="{00000000-0005-0000-0000-000048A80000}"/>
    <cellStyle name="Normal 39 14 2" xfId="43073" xr:uid="{00000000-0005-0000-0000-000049A80000}"/>
    <cellStyle name="Normal 39 15" xfId="43074" xr:uid="{00000000-0005-0000-0000-00004AA80000}"/>
    <cellStyle name="Normal 39 15 2" xfId="43075" xr:uid="{00000000-0005-0000-0000-00004BA80000}"/>
    <cellStyle name="Normal 39 16" xfId="43076" xr:uid="{00000000-0005-0000-0000-00004CA80000}"/>
    <cellStyle name="Normal 39 16 2" xfId="43077" xr:uid="{00000000-0005-0000-0000-00004DA80000}"/>
    <cellStyle name="Normal 39 17" xfId="43078" xr:uid="{00000000-0005-0000-0000-00004EA80000}"/>
    <cellStyle name="Normal 39 17 2" xfId="43079" xr:uid="{00000000-0005-0000-0000-00004FA80000}"/>
    <cellStyle name="Normal 39 18" xfId="43080" xr:uid="{00000000-0005-0000-0000-000050A80000}"/>
    <cellStyle name="Normal 39 18 2" xfId="43081" xr:uid="{00000000-0005-0000-0000-000051A80000}"/>
    <cellStyle name="Normal 39 19" xfId="43082" xr:uid="{00000000-0005-0000-0000-000052A80000}"/>
    <cellStyle name="Normal 39 19 2" xfId="43083" xr:uid="{00000000-0005-0000-0000-000053A80000}"/>
    <cellStyle name="Normal 39 2" xfId="43084" xr:uid="{00000000-0005-0000-0000-000054A80000}"/>
    <cellStyle name="Normal 39 2 2" xfId="43085" xr:uid="{00000000-0005-0000-0000-000055A80000}"/>
    <cellStyle name="Normal 39 20" xfId="43086" xr:uid="{00000000-0005-0000-0000-000056A80000}"/>
    <cellStyle name="Normal 39 20 2" xfId="43087" xr:uid="{00000000-0005-0000-0000-000057A80000}"/>
    <cellStyle name="Normal 39 21" xfId="43088" xr:uid="{00000000-0005-0000-0000-000058A80000}"/>
    <cellStyle name="Normal 39 21 2" xfId="43089" xr:uid="{00000000-0005-0000-0000-000059A80000}"/>
    <cellStyle name="Normal 39 22" xfId="43090" xr:uid="{00000000-0005-0000-0000-00005AA80000}"/>
    <cellStyle name="Normal 39 22 2" xfId="43091" xr:uid="{00000000-0005-0000-0000-00005BA80000}"/>
    <cellStyle name="Normal 39 23" xfId="43092" xr:uid="{00000000-0005-0000-0000-00005CA80000}"/>
    <cellStyle name="Normal 39 23 2" xfId="43093" xr:uid="{00000000-0005-0000-0000-00005DA80000}"/>
    <cellStyle name="Normal 39 24" xfId="43094" xr:uid="{00000000-0005-0000-0000-00005EA80000}"/>
    <cellStyle name="Normal 39 24 2" xfId="43095" xr:uid="{00000000-0005-0000-0000-00005FA80000}"/>
    <cellStyle name="Normal 39 25" xfId="43096" xr:uid="{00000000-0005-0000-0000-000060A80000}"/>
    <cellStyle name="Normal 39 25 2" xfId="43097" xr:uid="{00000000-0005-0000-0000-000061A80000}"/>
    <cellStyle name="Normal 39 26" xfId="43098" xr:uid="{00000000-0005-0000-0000-000062A80000}"/>
    <cellStyle name="Normal 39 26 2" xfId="43099" xr:uid="{00000000-0005-0000-0000-000063A80000}"/>
    <cellStyle name="Normal 39 27" xfId="43100" xr:uid="{00000000-0005-0000-0000-000064A80000}"/>
    <cellStyle name="Normal 39 27 2" xfId="43101" xr:uid="{00000000-0005-0000-0000-000065A80000}"/>
    <cellStyle name="Normal 39 28" xfId="43102" xr:uid="{00000000-0005-0000-0000-000066A80000}"/>
    <cellStyle name="Normal 39 28 2" xfId="43103" xr:uid="{00000000-0005-0000-0000-000067A80000}"/>
    <cellStyle name="Normal 39 29" xfId="43104" xr:uid="{00000000-0005-0000-0000-000068A80000}"/>
    <cellStyle name="Normal 39 29 2" xfId="43105" xr:uid="{00000000-0005-0000-0000-000069A80000}"/>
    <cellStyle name="Normal 39 3" xfId="43106" xr:uid="{00000000-0005-0000-0000-00006AA80000}"/>
    <cellStyle name="Normal 39 3 2" xfId="43107" xr:uid="{00000000-0005-0000-0000-00006BA80000}"/>
    <cellStyle name="Normal 39 30" xfId="43108" xr:uid="{00000000-0005-0000-0000-00006CA80000}"/>
    <cellStyle name="Normal 39 30 2" xfId="43109" xr:uid="{00000000-0005-0000-0000-00006DA80000}"/>
    <cellStyle name="Normal 39 31" xfId="43110" xr:uid="{00000000-0005-0000-0000-00006EA80000}"/>
    <cellStyle name="Normal 39 31 2" xfId="43111" xr:uid="{00000000-0005-0000-0000-00006FA80000}"/>
    <cellStyle name="Normal 39 32" xfId="43112" xr:uid="{00000000-0005-0000-0000-000070A80000}"/>
    <cellStyle name="Normal 39 32 2" xfId="43113" xr:uid="{00000000-0005-0000-0000-000071A80000}"/>
    <cellStyle name="Normal 39 33" xfId="43114" xr:uid="{00000000-0005-0000-0000-000072A80000}"/>
    <cellStyle name="Normal 39 33 2" xfId="43115" xr:uid="{00000000-0005-0000-0000-000073A80000}"/>
    <cellStyle name="Normal 39 34" xfId="43116" xr:uid="{00000000-0005-0000-0000-000074A80000}"/>
    <cellStyle name="Normal 39 34 2" xfId="43117" xr:uid="{00000000-0005-0000-0000-000075A80000}"/>
    <cellStyle name="Normal 39 35" xfId="43118" xr:uid="{00000000-0005-0000-0000-000076A80000}"/>
    <cellStyle name="Normal 39 35 2" xfId="43119" xr:uid="{00000000-0005-0000-0000-000077A80000}"/>
    <cellStyle name="Normal 39 36" xfId="43120" xr:uid="{00000000-0005-0000-0000-000078A80000}"/>
    <cellStyle name="Normal 39 36 2" xfId="43121" xr:uid="{00000000-0005-0000-0000-000079A80000}"/>
    <cellStyle name="Normal 39 37" xfId="43122" xr:uid="{00000000-0005-0000-0000-00007AA80000}"/>
    <cellStyle name="Normal 39 37 2" xfId="43123" xr:uid="{00000000-0005-0000-0000-00007BA80000}"/>
    <cellStyle name="Normal 39 38" xfId="43124" xr:uid="{00000000-0005-0000-0000-00007CA80000}"/>
    <cellStyle name="Normal 39 38 2" xfId="43125" xr:uid="{00000000-0005-0000-0000-00007DA80000}"/>
    <cellStyle name="Normal 39 39" xfId="43126" xr:uid="{00000000-0005-0000-0000-00007EA80000}"/>
    <cellStyle name="Normal 39 39 2" xfId="43127" xr:uid="{00000000-0005-0000-0000-00007FA80000}"/>
    <cellStyle name="Normal 39 4" xfId="43128" xr:uid="{00000000-0005-0000-0000-000080A80000}"/>
    <cellStyle name="Normal 39 4 2" xfId="43129" xr:uid="{00000000-0005-0000-0000-000081A80000}"/>
    <cellStyle name="Normal 39 40" xfId="43130" xr:uid="{00000000-0005-0000-0000-000082A80000}"/>
    <cellStyle name="Normal 39 40 2" xfId="43131" xr:uid="{00000000-0005-0000-0000-000083A80000}"/>
    <cellStyle name="Normal 39 41" xfId="43132" xr:uid="{00000000-0005-0000-0000-000084A80000}"/>
    <cellStyle name="Normal 39 41 2" xfId="43133" xr:uid="{00000000-0005-0000-0000-000085A80000}"/>
    <cellStyle name="Normal 39 42" xfId="43134" xr:uid="{00000000-0005-0000-0000-000086A80000}"/>
    <cellStyle name="Normal 39 42 2" xfId="43135" xr:uid="{00000000-0005-0000-0000-000087A80000}"/>
    <cellStyle name="Normal 39 43" xfId="43136" xr:uid="{00000000-0005-0000-0000-000088A80000}"/>
    <cellStyle name="Normal 39 43 2" xfId="43137" xr:uid="{00000000-0005-0000-0000-000089A80000}"/>
    <cellStyle name="Normal 39 44" xfId="43138" xr:uid="{00000000-0005-0000-0000-00008AA80000}"/>
    <cellStyle name="Normal 39 44 2" xfId="43139" xr:uid="{00000000-0005-0000-0000-00008BA80000}"/>
    <cellStyle name="Normal 39 45" xfId="43140" xr:uid="{00000000-0005-0000-0000-00008CA80000}"/>
    <cellStyle name="Normal 39 45 2" xfId="43141" xr:uid="{00000000-0005-0000-0000-00008DA80000}"/>
    <cellStyle name="Normal 39 46" xfId="43142" xr:uid="{00000000-0005-0000-0000-00008EA80000}"/>
    <cellStyle name="Normal 39 46 2" xfId="43143" xr:uid="{00000000-0005-0000-0000-00008FA80000}"/>
    <cellStyle name="Normal 39 47" xfId="43144" xr:uid="{00000000-0005-0000-0000-000090A80000}"/>
    <cellStyle name="Normal 39 47 2" xfId="43145" xr:uid="{00000000-0005-0000-0000-000091A80000}"/>
    <cellStyle name="Normal 39 48" xfId="43146" xr:uid="{00000000-0005-0000-0000-000092A80000}"/>
    <cellStyle name="Normal 39 48 2" xfId="43147" xr:uid="{00000000-0005-0000-0000-000093A80000}"/>
    <cellStyle name="Normal 39 49" xfId="43148" xr:uid="{00000000-0005-0000-0000-000094A80000}"/>
    <cellStyle name="Normal 39 49 2" xfId="43149" xr:uid="{00000000-0005-0000-0000-000095A80000}"/>
    <cellStyle name="Normal 39 5" xfId="43150" xr:uid="{00000000-0005-0000-0000-000096A80000}"/>
    <cellStyle name="Normal 39 5 2" xfId="43151" xr:uid="{00000000-0005-0000-0000-000097A80000}"/>
    <cellStyle name="Normal 39 50" xfId="43152" xr:uid="{00000000-0005-0000-0000-000098A80000}"/>
    <cellStyle name="Normal 39 50 2" xfId="43153" xr:uid="{00000000-0005-0000-0000-000099A80000}"/>
    <cellStyle name="Normal 39 51" xfId="43154" xr:uid="{00000000-0005-0000-0000-00009AA80000}"/>
    <cellStyle name="Normal 39 51 2" xfId="43155" xr:uid="{00000000-0005-0000-0000-00009BA80000}"/>
    <cellStyle name="Normal 39 52" xfId="43156" xr:uid="{00000000-0005-0000-0000-00009CA80000}"/>
    <cellStyle name="Normal 39 52 2" xfId="43157" xr:uid="{00000000-0005-0000-0000-00009DA80000}"/>
    <cellStyle name="Normal 39 53" xfId="43158" xr:uid="{00000000-0005-0000-0000-00009EA80000}"/>
    <cellStyle name="Normal 39 53 2" xfId="43159" xr:uid="{00000000-0005-0000-0000-00009FA80000}"/>
    <cellStyle name="Normal 39 54" xfId="43160" xr:uid="{00000000-0005-0000-0000-0000A0A80000}"/>
    <cellStyle name="Normal 39 54 2" xfId="43161" xr:uid="{00000000-0005-0000-0000-0000A1A80000}"/>
    <cellStyle name="Normal 39 55" xfId="43162" xr:uid="{00000000-0005-0000-0000-0000A2A80000}"/>
    <cellStyle name="Normal 39 55 2" xfId="43163" xr:uid="{00000000-0005-0000-0000-0000A3A80000}"/>
    <cellStyle name="Normal 39 56" xfId="43164" xr:uid="{00000000-0005-0000-0000-0000A4A80000}"/>
    <cellStyle name="Normal 39 56 2" xfId="43165" xr:uid="{00000000-0005-0000-0000-0000A5A80000}"/>
    <cellStyle name="Normal 39 57" xfId="43166" xr:uid="{00000000-0005-0000-0000-0000A6A80000}"/>
    <cellStyle name="Normal 39 57 2" xfId="43167" xr:uid="{00000000-0005-0000-0000-0000A7A80000}"/>
    <cellStyle name="Normal 39 58" xfId="43168" xr:uid="{00000000-0005-0000-0000-0000A8A80000}"/>
    <cellStyle name="Normal 39 58 2" xfId="43169" xr:uid="{00000000-0005-0000-0000-0000A9A80000}"/>
    <cellStyle name="Normal 39 59" xfId="43170" xr:uid="{00000000-0005-0000-0000-0000AAA80000}"/>
    <cellStyle name="Normal 39 6" xfId="43171" xr:uid="{00000000-0005-0000-0000-0000ABA80000}"/>
    <cellStyle name="Normal 39 6 2" xfId="43172" xr:uid="{00000000-0005-0000-0000-0000ACA80000}"/>
    <cellStyle name="Normal 39 7" xfId="43173" xr:uid="{00000000-0005-0000-0000-0000ADA80000}"/>
    <cellStyle name="Normal 39 7 2" xfId="43174" xr:uid="{00000000-0005-0000-0000-0000AEA80000}"/>
    <cellStyle name="Normal 39 8" xfId="43175" xr:uid="{00000000-0005-0000-0000-0000AFA80000}"/>
    <cellStyle name="Normal 39 8 2" xfId="43176" xr:uid="{00000000-0005-0000-0000-0000B0A80000}"/>
    <cellStyle name="Normal 39 9" xfId="43177" xr:uid="{00000000-0005-0000-0000-0000B1A80000}"/>
    <cellStyle name="Normal 39 9 2" xfId="43178" xr:uid="{00000000-0005-0000-0000-0000B2A80000}"/>
    <cellStyle name="Normal 4" xfId="43179" xr:uid="{00000000-0005-0000-0000-0000B3A80000}"/>
    <cellStyle name="Normal 4 2" xfId="43180" xr:uid="{00000000-0005-0000-0000-0000B4A80000}"/>
    <cellStyle name="Normal 4 2 10" xfId="43181" xr:uid="{00000000-0005-0000-0000-0000B5A80000}"/>
    <cellStyle name="Normal 4 2 10 2" xfId="43182" xr:uid="{00000000-0005-0000-0000-0000B6A80000}"/>
    <cellStyle name="Normal 4 2 11" xfId="43183" xr:uid="{00000000-0005-0000-0000-0000B7A80000}"/>
    <cellStyle name="Normal 4 2 11 2" xfId="43184" xr:uid="{00000000-0005-0000-0000-0000B8A80000}"/>
    <cellStyle name="Normal 4 2 12" xfId="43185" xr:uid="{00000000-0005-0000-0000-0000B9A80000}"/>
    <cellStyle name="Normal 4 2 13" xfId="43186" xr:uid="{00000000-0005-0000-0000-0000BAA80000}"/>
    <cellStyle name="Normal 4 2 2" xfId="43187" xr:uid="{00000000-0005-0000-0000-0000BBA80000}"/>
    <cellStyle name="Normal 4 2 2 10" xfId="43188" xr:uid="{00000000-0005-0000-0000-0000BCA80000}"/>
    <cellStyle name="Normal 4 2 2 10 2" xfId="43189" xr:uid="{00000000-0005-0000-0000-0000BDA80000}"/>
    <cellStyle name="Normal 4 2 2 11" xfId="43190" xr:uid="{00000000-0005-0000-0000-0000BEA80000}"/>
    <cellStyle name="Normal 4 2 2 12" xfId="43191" xr:uid="{00000000-0005-0000-0000-0000BFA80000}"/>
    <cellStyle name="Normal 4 2 2 2" xfId="43192" xr:uid="{00000000-0005-0000-0000-0000C0A80000}"/>
    <cellStyle name="Normal 4 2 2 2 10" xfId="43193" xr:uid="{00000000-0005-0000-0000-0000C1A80000}"/>
    <cellStyle name="Normal 4 2 2 2 2" xfId="43194" xr:uid="{00000000-0005-0000-0000-0000C2A80000}"/>
    <cellStyle name="Normal 4 2 2 2 2 2" xfId="43195" xr:uid="{00000000-0005-0000-0000-0000C3A80000}"/>
    <cellStyle name="Normal 4 2 2 2 2 2 2" xfId="43196" xr:uid="{00000000-0005-0000-0000-0000C4A80000}"/>
    <cellStyle name="Normal 4 2 2 2 2 2 2 2" xfId="43197" xr:uid="{00000000-0005-0000-0000-0000C5A80000}"/>
    <cellStyle name="Normal 4 2 2 2 2 2 2 2 2" xfId="43198" xr:uid="{00000000-0005-0000-0000-0000C6A80000}"/>
    <cellStyle name="Normal 4 2 2 2 2 2 2 2 2 2" xfId="43199" xr:uid="{00000000-0005-0000-0000-0000C7A80000}"/>
    <cellStyle name="Normal 4 2 2 2 2 2 2 2 2 2 2" xfId="43200" xr:uid="{00000000-0005-0000-0000-0000C8A80000}"/>
    <cellStyle name="Normal 4 2 2 2 2 2 2 2 2 3" xfId="43201" xr:uid="{00000000-0005-0000-0000-0000C9A80000}"/>
    <cellStyle name="Normal 4 2 2 2 2 2 2 2 2 4" xfId="43202" xr:uid="{00000000-0005-0000-0000-0000CAA80000}"/>
    <cellStyle name="Normal 4 2 2 2 2 2 2 2 3" xfId="43203" xr:uid="{00000000-0005-0000-0000-0000CBA80000}"/>
    <cellStyle name="Normal 4 2 2 2 2 2 2 2 3 2" xfId="43204" xr:uid="{00000000-0005-0000-0000-0000CCA80000}"/>
    <cellStyle name="Normal 4 2 2 2 2 2 2 2 4" xfId="43205" xr:uid="{00000000-0005-0000-0000-0000CDA80000}"/>
    <cellStyle name="Normal 4 2 2 2 2 2 2 2 5" xfId="43206" xr:uid="{00000000-0005-0000-0000-0000CEA80000}"/>
    <cellStyle name="Normal 4 2 2 2 2 2 2 3" xfId="43207" xr:uid="{00000000-0005-0000-0000-0000CFA80000}"/>
    <cellStyle name="Normal 4 2 2 2 2 2 2 3 2" xfId="43208" xr:uid="{00000000-0005-0000-0000-0000D0A80000}"/>
    <cellStyle name="Normal 4 2 2 2 2 2 2 3 2 2" xfId="43209" xr:uid="{00000000-0005-0000-0000-0000D1A80000}"/>
    <cellStyle name="Normal 4 2 2 2 2 2 2 3 3" xfId="43210" xr:uid="{00000000-0005-0000-0000-0000D2A80000}"/>
    <cellStyle name="Normal 4 2 2 2 2 2 2 3 4" xfId="43211" xr:uid="{00000000-0005-0000-0000-0000D3A80000}"/>
    <cellStyle name="Normal 4 2 2 2 2 2 2 4" xfId="43212" xr:uid="{00000000-0005-0000-0000-0000D4A80000}"/>
    <cellStyle name="Normal 4 2 2 2 2 2 2 4 2" xfId="43213" xr:uid="{00000000-0005-0000-0000-0000D5A80000}"/>
    <cellStyle name="Normal 4 2 2 2 2 2 2 5" xfId="43214" xr:uid="{00000000-0005-0000-0000-0000D6A80000}"/>
    <cellStyle name="Normal 4 2 2 2 2 2 2 6" xfId="43215" xr:uid="{00000000-0005-0000-0000-0000D7A80000}"/>
    <cellStyle name="Normal 4 2 2 2 2 2 3" xfId="43216" xr:uid="{00000000-0005-0000-0000-0000D8A80000}"/>
    <cellStyle name="Normal 4 2 2 2 2 2 3 2" xfId="43217" xr:uid="{00000000-0005-0000-0000-0000D9A80000}"/>
    <cellStyle name="Normal 4 2 2 2 2 2 3 2 2" xfId="43218" xr:uid="{00000000-0005-0000-0000-0000DAA80000}"/>
    <cellStyle name="Normal 4 2 2 2 2 2 3 2 2 2" xfId="43219" xr:uid="{00000000-0005-0000-0000-0000DBA80000}"/>
    <cellStyle name="Normal 4 2 2 2 2 2 3 2 3" xfId="43220" xr:uid="{00000000-0005-0000-0000-0000DCA80000}"/>
    <cellStyle name="Normal 4 2 2 2 2 2 3 2 4" xfId="43221" xr:uid="{00000000-0005-0000-0000-0000DDA80000}"/>
    <cellStyle name="Normal 4 2 2 2 2 2 3 3" xfId="43222" xr:uid="{00000000-0005-0000-0000-0000DEA80000}"/>
    <cellStyle name="Normal 4 2 2 2 2 2 3 3 2" xfId="43223" xr:uid="{00000000-0005-0000-0000-0000DFA80000}"/>
    <cellStyle name="Normal 4 2 2 2 2 2 3 4" xfId="43224" xr:uid="{00000000-0005-0000-0000-0000E0A80000}"/>
    <cellStyle name="Normal 4 2 2 2 2 2 3 5" xfId="43225" xr:uid="{00000000-0005-0000-0000-0000E1A80000}"/>
    <cellStyle name="Normal 4 2 2 2 2 2 4" xfId="43226" xr:uid="{00000000-0005-0000-0000-0000E2A80000}"/>
    <cellStyle name="Normal 4 2 2 2 2 2 4 2" xfId="43227" xr:uid="{00000000-0005-0000-0000-0000E3A80000}"/>
    <cellStyle name="Normal 4 2 2 2 2 2 4 2 2" xfId="43228" xr:uid="{00000000-0005-0000-0000-0000E4A80000}"/>
    <cellStyle name="Normal 4 2 2 2 2 2 4 3" xfId="43229" xr:uid="{00000000-0005-0000-0000-0000E5A80000}"/>
    <cellStyle name="Normal 4 2 2 2 2 2 4 4" xfId="43230" xr:uid="{00000000-0005-0000-0000-0000E6A80000}"/>
    <cellStyle name="Normal 4 2 2 2 2 2 5" xfId="43231" xr:uid="{00000000-0005-0000-0000-0000E7A80000}"/>
    <cellStyle name="Normal 4 2 2 2 2 2 5 2" xfId="43232" xr:uid="{00000000-0005-0000-0000-0000E8A80000}"/>
    <cellStyle name="Normal 4 2 2 2 2 2 6" xfId="43233" xr:uid="{00000000-0005-0000-0000-0000E9A80000}"/>
    <cellStyle name="Normal 4 2 2 2 2 2 7" xfId="43234" xr:uid="{00000000-0005-0000-0000-0000EAA80000}"/>
    <cellStyle name="Normal 4 2 2 2 2 3" xfId="43235" xr:uid="{00000000-0005-0000-0000-0000EBA80000}"/>
    <cellStyle name="Normal 4 2 2 2 2 3 2" xfId="43236" xr:uid="{00000000-0005-0000-0000-0000ECA80000}"/>
    <cellStyle name="Normal 4 2 2 2 2 3 2 2" xfId="43237" xr:uid="{00000000-0005-0000-0000-0000EDA80000}"/>
    <cellStyle name="Normal 4 2 2 2 2 3 2 2 2" xfId="43238" xr:uid="{00000000-0005-0000-0000-0000EEA80000}"/>
    <cellStyle name="Normal 4 2 2 2 2 3 2 2 2 2" xfId="43239" xr:uid="{00000000-0005-0000-0000-0000EFA80000}"/>
    <cellStyle name="Normal 4 2 2 2 2 3 2 2 3" xfId="43240" xr:uid="{00000000-0005-0000-0000-0000F0A80000}"/>
    <cellStyle name="Normal 4 2 2 2 2 3 2 2 4" xfId="43241" xr:uid="{00000000-0005-0000-0000-0000F1A80000}"/>
    <cellStyle name="Normal 4 2 2 2 2 3 2 3" xfId="43242" xr:uid="{00000000-0005-0000-0000-0000F2A80000}"/>
    <cellStyle name="Normal 4 2 2 2 2 3 2 3 2" xfId="43243" xr:uid="{00000000-0005-0000-0000-0000F3A80000}"/>
    <cellStyle name="Normal 4 2 2 2 2 3 2 4" xfId="43244" xr:uid="{00000000-0005-0000-0000-0000F4A80000}"/>
    <cellStyle name="Normal 4 2 2 2 2 3 2 5" xfId="43245" xr:uid="{00000000-0005-0000-0000-0000F5A80000}"/>
    <cellStyle name="Normal 4 2 2 2 2 3 3" xfId="43246" xr:uid="{00000000-0005-0000-0000-0000F6A80000}"/>
    <cellStyle name="Normal 4 2 2 2 2 3 3 2" xfId="43247" xr:uid="{00000000-0005-0000-0000-0000F7A80000}"/>
    <cellStyle name="Normal 4 2 2 2 2 3 3 2 2" xfId="43248" xr:uid="{00000000-0005-0000-0000-0000F8A80000}"/>
    <cellStyle name="Normal 4 2 2 2 2 3 3 3" xfId="43249" xr:uid="{00000000-0005-0000-0000-0000F9A80000}"/>
    <cellStyle name="Normal 4 2 2 2 2 3 3 3 2" xfId="43250" xr:uid="{00000000-0005-0000-0000-0000FAA80000}"/>
    <cellStyle name="Normal 4 2 2 2 2 3 3 4" xfId="43251" xr:uid="{00000000-0005-0000-0000-0000FBA80000}"/>
    <cellStyle name="Normal 4 2 2 2 2 3 3 5" xfId="43252" xr:uid="{00000000-0005-0000-0000-0000FCA80000}"/>
    <cellStyle name="Normal 4 2 2 2 2 3 4" xfId="43253" xr:uid="{00000000-0005-0000-0000-0000FDA80000}"/>
    <cellStyle name="Normal 4 2 2 2 2 3 4 2" xfId="43254" xr:uid="{00000000-0005-0000-0000-0000FEA80000}"/>
    <cellStyle name="Normal 4 2 2 2 2 3 5" xfId="43255" xr:uid="{00000000-0005-0000-0000-0000FFA80000}"/>
    <cellStyle name="Normal 4 2 2 2 2 3 5 2" xfId="43256" xr:uid="{00000000-0005-0000-0000-000000A90000}"/>
    <cellStyle name="Normal 4 2 2 2 2 3 6" xfId="43257" xr:uid="{00000000-0005-0000-0000-000001A90000}"/>
    <cellStyle name="Normal 4 2 2 2 2 3 7" xfId="43258" xr:uid="{00000000-0005-0000-0000-000002A90000}"/>
    <cellStyle name="Normal 4 2 2 2 2 4" xfId="43259" xr:uid="{00000000-0005-0000-0000-000003A90000}"/>
    <cellStyle name="Normal 4 2 2 2 2 4 2" xfId="43260" xr:uid="{00000000-0005-0000-0000-000004A90000}"/>
    <cellStyle name="Normal 4 2 2 2 2 4 2 2" xfId="43261" xr:uid="{00000000-0005-0000-0000-000005A90000}"/>
    <cellStyle name="Normal 4 2 2 2 2 4 2 2 2" xfId="43262" xr:uid="{00000000-0005-0000-0000-000006A90000}"/>
    <cellStyle name="Normal 4 2 2 2 2 4 2 3" xfId="43263" xr:uid="{00000000-0005-0000-0000-000007A90000}"/>
    <cellStyle name="Normal 4 2 2 2 2 4 2 4" xfId="43264" xr:uid="{00000000-0005-0000-0000-000008A90000}"/>
    <cellStyle name="Normal 4 2 2 2 2 4 3" xfId="43265" xr:uid="{00000000-0005-0000-0000-000009A90000}"/>
    <cellStyle name="Normal 4 2 2 2 2 4 3 2" xfId="43266" xr:uid="{00000000-0005-0000-0000-00000AA90000}"/>
    <cellStyle name="Normal 4 2 2 2 2 4 4" xfId="43267" xr:uid="{00000000-0005-0000-0000-00000BA90000}"/>
    <cellStyle name="Normal 4 2 2 2 2 4 5" xfId="43268" xr:uid="{00000000-0005-0000-0000-00000CA90000}"/>
    <cellStyle name="Normal 4 2 2 2 2 5" xfId="43269" xr:uid="{00000000-0005-0000-0000-00000DA90000}"/>
    <cellStyle name="Normal 4 2 2 2 2 5 2" xfId="43270" xr:uid="{00000000-0005-0000-0000-00000EA90000}"/>
    <cellStyle name="Normal 4 2 2 2 2 5 2 2" xfId="43271" xr:uid="{00000000-0005-0000-0000-00000FA90000}"/>
    <cellStyle name="Normal 4 2 2 2 2 5 3" xfId="43272" xr:uid="{00000000-0005-0000-0000-000010A90000}"/>
    <cellStyle name="Normal 4 2 2 2 2 5 3 2" xfId="43273" xr:uid="{00000000-0005-0000-0000-000011A90000}"/>
    <cellStyle name="Normal 4 2 2 2 2 5 4" xfId="43274" xr:uid="{00000000-0005-0000-0000-000012A90000}"/>
    <cellStyle name="Normal 4 2 2 2 2 5 5" xfId="43275" xr:uid="{00000000-0005-0000-0000-000013A90000}"/>
    <cellStyle name="Normal 4 2 2 2 2 6" xfId="43276" xr:uid="{00000000-0005-0000-0000-000014A90000}"/>
    <cellStyle name="Normal 4 2 2 2 2 6 2" xfId="43277" xr:uid="{00000000-0005-0000-0000-000015A90000}"/>
    <cellStyle name="Normal 4 2 2 2 2 7" xfId="43278" xr:uid="{00000000-0005-0000-0000-000016A90000}"/>
    <cellStyle name="Normal 4 2 2 2 2 7 2" xfId="43279" xr:uid="{00000000-0005-0000-0000-000017A90000}"/>
    <cellStyle name="Normal 4 2 2 2 2 8" xfId="43280" xr:uid="{00000000-0005-0000-0000-000018A90000}"/>
    <cellStyle name="Normal 4 2 2 2 2 9" xfId="43281" xr:uid="{00000000-0005-0000-0000-000019A90000}"/>
    <cellStyle name="Normal 4 2 2 2 3" xfId="43282" xr:uid="{00000000-0005-0000-0000-00001AA90000}"/>
    <cellStyle name="Normal 4 2 2 2 3 2" xfId="43283" xr:uid="{00000000-0005-0000-0000-00001BA90000}"/>
    <cellStyle name="Normal 4 2 2 2 3 2 2" xfId="43284" xr:uid="{00000000-0005-0000-0000-00001CA90000}"/>
    <cellStyle name="Normal 4 2 2 2 3 2 2 2" xfId="43285" xr:uid="{00000000-0005-0000-0000-00001DA90000}"/>
    <cellStyle name="Normal 4 2 2 2 3 2 2 2 2" xfId="43286" xr:uid="{00000000-0005-0000-0000-00001EA90000}"/>
    <cellStyle name="Normal 4 2 2 2 3 2 2 2 2 2" xfId="43287" xr:uid="{00000000-0005-0000-0000-00001FA90000}"/>
    <cellStyle name="Normal 4 2 2 2 3 2 2 2 3" xfId="43288" xr:uid="{00000000-0005-0000-0000-000020A90000}"/>
    <cellStyle name="Normal 4 2 2 2 3 2 2 2 4" xfId="43289" xr:uid="{00000000-0005-0000-0000-000021A90000}"/>
    <cellStyle name="Normal 4 2 2 2 3 2 2 3" xfId="43290" xr:uid="{00000000-0005-0000-0000-000022A90000}"/>
    <cellStyle name="Normal 4 2 2 2 3 2 2 3 2" xfId="43291" xr:uid="{00000000-0005-0000-0000-000023A90000}"/>
    <cellStyle name="Normal 4 2 2 2 3 2 2 4" xfId="43292" xr:uid="{00000000-0005-0000-0000-000024A90000}"/>
    <cellStyle name="Normal 4 2 2 2 3 2 2 5" xfId="43293" xr:uid="{00000000-0005-0000-0000-000025A90000}"/>
    <cellStyle name="Normal 4 2 2 2 3 2 3" xfId="43294" xr:uid="{00000000-0005-0000-0000-000026A90000}"/>
    <cellStyle name="Normal 4 2 2 2 3 2 3 2" xfId="43295" xr:uid="{00000000-0005-0000-0000-000027A90000}"/>
    <cellStyle name="Normal 4 2 2 2 3 2 3 2 2" xfId="43296" xr:uid="{00000000-0005-0000-0000-000028A90000}"/>
    <cellStyle name="Normal 4 2 2 2 3 2 3 3" xfId="43297" xr:uid="{00000000-0005-0000-0000-000029A90000}"/>
    <cellStyle name="Normal 4 2 2 2 3 2 3 4" xfId="43298" xr:uid="{00000000-0005-0000-0000-00002AA90000}"/>
    <cellStyle name="Normal 4 2 2 2 3 2 4" xfId="43299" xr:uid="{00000000-0005-0000-0000-00002BA90000}"/>
    <cellStyle name="Normal 4 2 2 2 3 2 4 2" xfId="43300" xr:uid="{00000000-0005-0000-0000-00002CA90000}"/>
    <cellStyle name="Normal 4 2 2 2 3 2 5" xfId="43301" xr:uid="{00000000-0005-0000-0000-00002DA90000}"/>
    <cellStyle name="Normal 4 2 2 2 3 2 6" xfId="43302" xr:uid="{00000000-0005-0000-0000-00002EA90000}"/>
    <cellStyle name="Normal 4 2 2 2 3 3" xfId="43303" xr:uid="{00000000-0005-0000-0000-00002FA90000}"/>
    <cellStyle name="Normal 4 2 2 2 3 3 2" xfId="43304" xr:uid="{00000000-0005-0000-0000-000030A90000}"/>
    <cellStyle name="Normal 4 2 2 2 3 3 2 2" xfId="43305" xr:uid="{00000000-0005-0000-0000-000031A90000}"/>
    <cellStyle name="Normal 4 2 2 2 3 3 2 2 2" xfId="43306" xr:uid="{00000000-0005-0000-0000-000032A90000}"/>
    <cellStyle name="Normal 4 2 2 2 3 3 2 3" xfId="43307" xr:uid="{00000000-0005-0000-0000-000033A90000}"/>
    <cellStyle name="Normal 4 2 2 2 3 3 2 4" xfId="43308" xr:uid="{00000000-0005-0000-0000-000034A90000}"/>
    <cellStyle name="Normal 4 2 2 2 3 3 3" xfId="43309" xr:uid="{00000000-0005-0000-0000-000035A90000}"/>
    <cellStyle name="Normal 4 2 2 2 3 3 3 2" xfId="43310" xr:uid="{00000000-0005-0000-0000-000036A90000}"/>
    <cellStyle name="Normal 4 2 2 2 3 3 4" xfId="43311" xr:uid="{00000000-0005-0000-0000-000037A90000}"/>
    <cellStyle name="Normal 4 2 2 2 3 3 5" xfId="43312" xr:uid="{00000000-0005-0000-0000-000038A90000}"/>
    <cellStyle name="Normal 4 2 2 2 3 4" xfId="43313" xr:uid="{00000000-0005-0000-0000-000039A90000}"/>
    <cellStyle name="Normal 4 2 2 2 3 4 2" xfId="43314" xr:uid="{00000000-0005-0000-0000-00003AA90000}"/>
    <cellStyle name="Normal 4 2 2 2 3 4 2 2" xfId="43315" xr:uid="{00000000-0005-0000-0000-00003BA90000}"/>
    <cellStyle name="Normal 4 2 2 2 3 4 3" xfId="43316" xr:uid="{00000000-0005-0000-0000-00003CA90000}"/>
    <cellStyle name="Normal 4 2 2 2 3 4 4" xfId="43317" xr:uid="{00000000-0005-0000-0000-00003DA90000}"/>
    <cellStyle name="Normal 4 2 2 2 3 5" xfId="43318" xr:uid="{00000000-0005-0000-0000-00003EA90000}"/>
    <cellStyle name="Normal 4 2 2 2 3 5 2" xfId="43319" xr:uid="{00000000-0005-0000-0000-00003FA90000}"/>
    <cellStyle name="Normal 4 2 2 2 3 6" xfId="43320" xr:uid="{00000000-0005-0000-0000-000040A90000}"/>
    <cellStyle name="Normal 4 2 2 2 3 7" xfId="43321" xr:uid="{00000000-0005-0000-0000-000041A90000}"/>
    <cellStyle name="Normal 4 2 2 2 4" xfId="43322" xr:uid="{00000000-0005-0000-0000-000042A90000}"/>
    <cellStyle name="Normal 4 2 2 2 4 2" xfId="43323" xr:uid="{00000000-0005-0000-0000-000043A90000}"/>
    <cellStyle name="Normal 4 2 2 2 4 2 2" xfId="43324" xr:uid="{00000000-0005-0000-0000-000044A90000}"/>
    <cellStyle name="Normal 4 2 2 2 4 2 2 2" xfId="43325" xr:uid="{00000000-0005-0000-0000-000045A90000}"/>
    <cellStyle name="Normal 4 2 2 2 4 2 2 2 2" xfId="43326" xr:uid="{00000000-0005-0000-0000-000046A90000}"/>
    <cellStyle name="Normal 4 2 2 2 4 2 2 3" xfId="43327" xr:uid="{00000000-0005-0000-0000-000047A90000}"/>
    <cellStyle name="Normal 4 2 2 2 4 2 2 4" xfId="43328" xr:uid="{00000000-0005-0000-0000-000048A90000}"/>
    <cellStyle name="Normal 4 2 2 2 4 2 3" xfId="43329" xr:uid="{00000000-0005-0000-0000-000049A90000}"/>
    <cellStyle name="Normal 4 2 2 2 4 2 3 2" xfId="43330" xr:uid="{00000000-0005-0000-0000-00004AA90000}"/>
    <cellStyle name="Normal 4 2 2 2 4 2 4" xfId="43331" xr:uid="{00000000-0005-0000-0000-00004BA90000}"/>
    <cellStyle name="Normal 4 2 2 2 4 2 5" xfId="43332" xr:uid="{00000000-0005-0000-0000-00004CA90000}"/>
    <cellStyle name="Normal 4 2 2 2 4 3" xfId="43333" xr:uid="{00000000-0005-0000-0000-00004DA90000}"/>
    <cellStyle name="Normal 4 2 2 2 4 3 2" xfId="43334" xr:uid="{00000000-0005-0000-0000-00004EA90000}"/>
    <cellStyle name="Normal 4 2 2 2 4 3 2 2" xfId="43335" xr:uid="{00000000-0005-0000-0000-00004FA90000}"/>
    <cellStyle name="Normal 4 2 2 2 4 3 3" xfId="43336" xr:uid="{00000000-0005-0000-0000-000050A90000}"/>
    <cellStyle name="Normal 4 2 2 2 4 3 3 2" xfId="43337" xr:uid="{00000000-0005-0000-0000-000051A90000}"/>
    <cellStyle name="Normal 4 2 2 2 4 3 4" xfId="43338" xr:uid="{00000000-0005-0000-0000-000052A90000}"/>
    <cellStyle name="Normal 4 2 2 2 4 3 5" xfId="43339" xr:uid="{00000000-0005-0000-0000-000053A90000}"/>
    <cellStyle name="Normal 4 2 2 2 4 4" xfId="43340" xr:uid="{00000000-0005-0000-0000-000054A90000}"/>
    <cellStyle name="Normal 4 2 2 2 4 4 2" xfId="43341" xr:uid="{00000000-0005-0000-0000-000055A90000}"/>
    <cellStyle name="Normal 4 2 2 2 4 5" xfId="43342" xr:uid="{00000000-0005-0000-0000-000056A90000}"/>
    <cellStyle name="Normal 4 2 2 2 4 5 2" xfId="43343" xr:uid="{00000000-0005-0000-0000-000057A90000}"/>
    <cellStyle name="Normal 4 2 2 2 4 6" xfId="43344" xr:uid="{00000000-0005-0000-0000-000058A90000}"/>
    <cellStyle name="Normal 4 2 2 2 4 7" xfId="43345" xr:uid="{00000000-0005-0000-0000-000059A90000}"/>
    <cellStyle name="Normal 4 2 2 2 5" xfId="43346" xr:uid="{00000000-0005-0000-0000-00005AA90000}"/>
    <cellStyle name="Normal 4 2 2 2 5 2" xfId="43347" xr:uid="{00000000-0005-0000-0000-00005BA90000}"/>
    <cellStyle name="Normal 4 2 2 2 5 2 2" xfId="43348" xr:uid="{00000000-0005-0000-0000-00005CA90000}"/>
    <cellStyle name="Normal 4 2 2 2 5 2 2 2" xfId="43349" xr:uid="{00000000-0005-0000-0000-00005DA90000}"/>
    <cellStyle name="Normal 4 2 2 2 5 2 3" xfId="43350" xr:uid="{00000000-0005-0000-0000-00005EA90000}"/>
    <cellStyle name="Normal 4 2 2 2 5 2 4" xfId="43351" xr:uid="{00000000-0005-0000-0000-00005FA90000}"/>
    <cellStyle name="Normal 4 2 2 2 5 3" xfId="43352" xr:uid="{00000000-0005-0000-0000-000060A90000}"/>
    <cellStyle name="Normal 4 2 2 2 5 3 2" xfId="43353" xr:uid="{00000000-0005-0000-0000-000061A90000}"/>
    <cellStyle name="Normal 4 2 2 2 5 4" xfId="43354" xr:uid="{00000000-0005-0000-0000-000062A90000}"/>
    <cellStyle name="Normal 4 2 2 2 5 5" xfId="43355" xr:uid="{00000000-0005-0000-0000-000063A90000}"/>
    <cellStyle name="Normal 4 2 2 2 6" xfId="43356" xr:uid="{00000000-0005-0000-0000-000064A90000}"/>
    <cellStyle name="Normal 4 2 2 2 6 2" xfId="43357" xr:uid="{00000000-0005-0000-0000-000065A90000}"/>
    <cellStyle name="Normal 4 2 2 2 6 2 2" xfId="43358" xr:uid="{00000000-0005-0000-0000-000066A90000}"/>
    <cellStyle name="Normal 4 2 2 2 6 3" xfId="43359" xr:uid="{00000000-0005-0000-0000-000067A90000}"/>
    <cellStyle name="Normal 4 2 2 2 6 3 2" xfId="43360" xr:uid="{00000000-0005-0000-0000-000068A90000}"/>
    <cellStyle name="Normal 4 2 2 2 6 4" xfId="43361" xr:uid="{00000000-0005-0000-0000-000069A90000}"/>
    <cellStyle name="Normal 4 2 2 2 6 5" xfId="43362" xr:uid="{00000000-0005-0000-0000-00006AA90000}"/>
    <cellStyle name="Normal 4 2 2 2 7" xfId="43363" xr:uid="{00000000-0005-0000-0000-00006BA90000}"/>
    <cellStyle name="Normal 4 2 2 2 7 2" xfId="43364" xr:uid="{00000000-0005-0000-0000-00006CA90000}"/>
    <cellStyle name="Normal 4 2 2 2 8" xfId="43365" xr:uid="{00000000-0005-0000-0000-00006DA90000}"/>
    <cellStyle name="Normal 4 2 2 2 8 2" xfId="43366" xr:uid="{00000000-0005-0000-0000-00006EA90000}"/>
    <cellStyle name="Normal 4 2 2 2 9" xfId="43367" xr:uid="{00000000-0005-0000-0000-00006FA90000}"/>
    <cellStyle name="Normal 4 2 2 3" xfId="43368" xr:uid="{00000000-0005-0000-0000-000070A90000}"/>
    <cellStyle name="Normal 4 2 2 3 2" xfId="43369" xr:uid="{00000000-0005-0000-0000-000071A90000}"/>
    <cellStyle name="Normal 4 2 2 3 2 2" xfId="43370" xr:uid="{00000000-0005-0000-0000-000072A90000}"/>
    <cellStyle name="Normal 4 2 2 3 2 2 2" xfId="43371" xr:uid="{00000000-0005-0000-0000-000073A90000}"/>
    <cellStyle name="Normal 4 2 2 3 2 2 2 2" xfId="43372" xr:uid="{00000000-0005-0000-0000-000074A90000}"/>
    <cellStyle name="Normal 4 2 2 3 2 2 2 2 2" xfId="43373" xr:uid="{00000000-0005-0000-0000-000075A90000}"/>
    <cellStyle name="Normal 4 2 2 3 2 2 2 2 2 2" xfId="43374" xr:uid="{00000000-0005-0000-0000-000076A90000}"/>
    <cellStyle name="Normal 4 2 2 3 2 2 2 2 3" xfId="43375" xr:uid="{00000000-0005-0000-0000-000077A90000}"/>
    <cellStyle name="Normal 4 2 2 3 2 2 2 2 4" xfId="43376" xr:uid="{00000000-0005-0000-0000-000078A90000}"/>
    <cellStyle name="Normal 4 2 2 3 2 2 2 3" xfId="43377" xr:uid="{00000000-0005-0000-0000-000079A90000}"/>
    <cellStyle name="Normal 4 2 2 3 2 2 2 3 2" xfId="43378" xr:uid="{00000000-0005-0000-0000-00007AA90000}"/>
    <cellStyle name="Normal 4 2 2 3 2 2 2 4" xfId="43379" xr:uid="{00000000-0005-0000-0000-00007BA90000}"/>
    <cellStyle name="Normal 4 2 2 3 2 2 2 5" xfId="43380" xr:uid="{00000000-0005-0000-0000-00007CA90000}"/>
    <cellStyle name="Normal 4 2 2 3 2 2 3" xfId="43381" xr:uid="{00000000-0005-0000-0000-00007DA90000}"/>
    <cellStyle name="Normal 4 2 2 3 2 2 3 2" xfId="43382" xr:uid="{00000000-0005-0000-0000-00007EA90000}"/>
    <cellStyle name="Normal 4 2 2 3 2 2 3 2 2" xfId="43383" xr:uid="{00000000-0005-0000-0000-00007FA90000}"/>
    <cellStyle name="Normal 4 2 2 3 2 2 3 3" xfId="43384" xr:uid="{00000000-0005-0000-0000-000080A90000}"/>
    <cellStyle name="Normal 4 2 2 3 2 2 3 4" xfId="43385" xr:uid="{00000000-0005-0000-0000-000081A90000}"/>
    <cellStyle name="Normal 4 2 2 3 2 2 4" xfId="43386" xr:uid="{00000000-0005-0000-0000-000082A90000}"/>
    <cellStyle name="Normal 4 2 2 3 2 2 4 2" xfId="43387" xr:uid="{00000000-0005-0000-0000-000083A90000}"/>
    <cellStyle name="Normal 4 2 2 3 2 2 5" xfId="43388" xr:uid="{00000000-0005-0000-0000-000084A90000}"/>
    <cellStyle name="Normal 4 2 2 3 2 2 6" xfId="43389" xr:uid="{00000000-0005-0000-0000-000085A90000}"/>
    <cellStyle name="Normal 4 2 2 3 2 3" xfId="43390" xr:uid="{00000000-0005-0000-0000-000086A90000}"/>
    <cellStyle name="Normal 4 2 2 3 2 3 2" xfId="43391" xr:uid="{00000000-0005-0000-0000-000087A90000}"/>
    <cellStyle name="Normal 4 2 2 3 2 3 2 2" xfId="43392" xr:uid="{00000000-0005-0000-0000-000088A90000}"/>
    <cellStyle name="Normal 4 2 2 3 2 3 2 2 2" xfId="43393" xr:uid="{00000000-0005-0000-0000-000089A90000}"/>
    <cellStyle name="Normal 4 2 2 3 2 3 2 3" xfId="43394" xr:uid="{00000000-0005-0000-0000-00008AA90000}"/>
    <cellStyle name="Normal 4 2 2 3 2 3 2 4" xfId="43395" xr:uid="{00000000-0005-0000-0000-00008BA90000}"/>
    <cellStyle name="Normal 4 2 2 3 2 3 3" xfId="43396" xr:uid="{00000000-0005-0000-0000-00008CA90000}"/>
    <cellStyle name="Normal 4 2 2 3 2 3 3 2" xfId="43397" xr:uid="{00000000-0005-0000-0000-00008DA90000}"/>
    <cellStyle name="Normal 4 2 2 3 2 3 4" xfId="43398" xr:uid="{00000000-0005-0000-0000-00008EA90000}"/>
    <cellStyle name="Normal 4 2 2 3 2 3 5" xfId="43399" xr:uid="{00000000-0005-0000-0000-00008FA90000}"/>
    <cellStyle name="Normal 4 2 2 3 2 4" xfId="43400" xr:uid="{00000000-0005-0000-0000-000090A90000}"/>
    <cellStyle name="Normal 4 2 2 3 2 4 2" xfId="43401" xr:uid="{00000000-0005-0000-0000-000091A90000}"/>
    <cellStyle name="Normal 4 2 2 3 2 4 2 2" xfId="43402" xr:uid="{00000000-0005-0000-0000-000092A90000}"/>
    <cellStyle name="Normal 4 2 2 3 2 4 3" xfId="43403" xr:uid="{00000000-0005-0000-0000-000093A90000}"/>
    <cellStyle name="Normal 4 2 2 3 2 4 4" xfId="43404" xr:uid="{00000000-0005-0000-0000-000094A90000}"/>
    <cellStyle name="Normal 4 2 2 3 2 5" xfId="43405" xr:uid="{00000000-0005-0000-0000-000095A90000}"/>
    <cellStyle name="Normal 4 2 2 3 2 5 2" xfId="43406" xr:uid="{00000000-0005-0000-0000-000096A90000}"/>
    <cellStyle name="Normal 4 2 2 3 2 6" xfId="43407" xr:uid="{00000000-0005-0000-0000-000097A90000}"/>
    <cellStyle name="Normal 4 2 2 3 2 7" xfId="43408" xr:uid="{00000000-0005-0000-0000-000098A90000}"/>
    <cellStyle name="Normal 4 2 2 3 3" xfId="43409" xr:uid="{00000000-0005-0000-0000-000099A90000}"/>
    <cellStyle name="Normal 4 2 2 3 3 2" xfId="43410" xr:uid="{00000000-0005-0000-0000-00009AA90000}"/>
    <cellStyle name="Normal 4 2 2 3 3 2 2" xfId="43411" xr:uid="{00000000-0005-0000-0000-00009BA90000}"/>
    <cellStyle name="Normal 4 2 2 3 3 2 2 2" xfId="43412" xr:uid="{00000000-0005-0000-0000-00009CA90000}"/>
    <cellStyle name="Normal 4 2 2 3 3 2 2 2 2" xfId="43413" xr:uid="{00000000-0005-0000-0000-00009DA90000}"/>
    <cellStyle name="Normal 4 2 2 3 3 2 2 3" xfId="43414" xr:uid="{00000000-0005-0000-0000-00009EA90000}"/>
    <cellStyle name="Normal 4 2 2 3 3 2 2 4" xfId="43415" xr:uid="{00000000-0005-0000-0000-00009FA90000}"/>
    <cellStyle name="Normal 4 2 2 3 3 2 3" xfId="43416" xr:uid="{00000000-0005-0000-0000-0000A0A90000}"/>
    <cellStyle name="Normal 4 2 2 3 3 2 3 2" xfId="43417" xr:uid="{00000000-0005-0000-0000-0000A1A90000}"/>
    <cellStyle name="Normal 4 2 2 3 3 2 4" xfId="43418" xr:uid="{00000000-0005-0000-0000-0000A2A90000}"/>
    <cellStyle name="Normal 4 2 2 3 3 2 5" xfId="43419" xr:uid="{00000000-0005-0000-0000-0000A3A90000}"/>
    <cellStyle name="Normal 4 2 2 3 3 3" xfId="43420" xr:uid="{00000000-0005-0000-0000-0000A4A90000}"/>
    <cellStyle name="Normal 4 2 2 3 3 3 2" xfId="43421" xr:uid="{00000000-0005-0000-0000-0000A5A90000}"/>
    <cellStyle name="Normal 4 2 2 3 3 3 2 2" xfId="43422" xr:uid="{00000000-0005-0000-0000-0000A6A90000}"/>
    <cellStyle name="Normal 4 2 2 3 3 3 3" xfId="43423" xr:uid="{00000000-0005-0000-0000-0000A7A90000}"/>
    <cellStyle name="Normal 4 2 2 3 3 3 3 2" xfId="43424" xr:uid="{00000000-0005-0000-0000-0000A8A90000}"/>
    <cellStyle name="Normal 4 2 2 3 3 3 4" xfId="43425" xr:uid="{00000000-0005-0000-0000-0000A9A90000}"/>
    <cellStyle name="Normal 4 2 2 3 3 3 5" xfId="43426" xr:uid="{00000000-0005-0000-0000-0000AAA90000}"/>
    <cellStyle name="Normal 4 2 2 3 3 4" xfId="43427" xr:uid="{00000000-0005-0000-0000-0000ABA90000}"/>
    <cellStyle name="Normal 4 2 2 3 3 4 2" xfId="43428" xr:uid="{00000000-0005-0000-0000-0000ACA90000}"/>
    <cellStyle name="Normal 4 2 2 3 3 5" xfId="43429" xr:uid="{00000000-0005-0000-0000-0000ADA90000}"/>
    <cellStyle name="Normal 4 2 2 3 3 5 2" xfId="43430" xr:uid="{00000000-0005-0000-0000-0000AEA90000}"/>
    <cellStyle name="Normal 4 2 2 3 3 6" xfId="43431" xr:uid="{00000000-0005-0000-0000-0000AFA90000}"/>
    <cellStyle name="Normal 4 2 2 3 3 7" xfId="43432" xr:uid="{00000000-0005-0000-0000-0000B0A90000}"/>
    <cellStyle name="Normal 4 2 2 3 4" xfId="43433" xr:uid="{00000000-0005-0000-0000-0000B1A90000}"/>
    <cellStyle name="Normal 4 2 2 3 4 2" xfId="43434" xr:uid="{00000000-0005-0000-0000-0000B2A90000}"/>
    <cellStyle name="Normal 4 2 2 3 4 2 2" xfId="43435" xr:uid="{00000000-0005-0000-0000-0000B3A90000}"/>
    <cellStyle name="Normal 4 2 2 3 4 2 2 2" xfId="43436" xr:uid="{00000000-0005-0000-0000-0000B4A90000}"/>
    <cellStyle name="Normal 4 2 2 3 4 2 3" xfId="43437" xr:uid="{00000000-0005-0000-0000-0000B5A90000}"/>
    <cellStyle name="Normal 4 2 2 3 4 2 4" xfId="43438" xr:uid="{00000000-0005-0000-0000-0000B6A90000}"/>
    <cellStyle name="Normal 4 2 2 3 4 3" xfId="43439" xr:uid="{00000000-0005-0000-0000-0000B7A90000}"/>
    <cellStyle name="Normal 4 2 2 3 4 3 2" xfId="43440" xr:uid="{00000000-0005-0000-0000-0000B8A90000}"/>
    <cellStyle name="Normal 4 2 2 3 4 4" xfId="43441" xr:uid="{00000000-0005-0000-0000-0000B9A90000}"/>
    <cellStyle name="Normal 4 2 2 3 4 5" xfId="43442" xr:uid="{00000000-0005-0000-0000-0000BAA90000}"/>
    <cellStyle name="Normal 4 2 2 3 5" xfId="43443" xr:uid="{00000000-0005-0000-0000-0000BBA90000}"/>
    <cellStyle name="Normal 4 2 2 3 5 2" xfId="43444" xr:uid="{00000000-0005-0000-0000-0000BCA90000}"/>
    <cellStyle name="Normal 4 2 2 3 5 2 2" xfId="43445" xr:uid="{00000000-0005-0000-0000-0000BDA90000}"/>
    <cellStyle name="Normal 4 2 2 3 5 3" xfId="43446" xr:uid="{00000000-0005-0000-0000-0000BEA90000}"/>
    <cellStyle name="Normal 4 2 2 3 5 3 2" xfId="43447" xr:uid="{00000000-0005-0000-0000-0000BFA90000}"/>
    <cellStyle name="Normal 4 2 2 3 5 4" xfId="43448" xr:uid="{00000000-0005-0000-0000-0000C0A90000}"/>
    <cellStyle name="Normal 4 2 2 3 5 5" xfId="43449" xr:uid="{00000000-0005-0000-0000-0000C1A90000}"/>
    <cellStyle name="Normal 4 2 2 3 6" xfId="43450" xr:uid="{00000000-0005-0000-0000-0000C2A90000}"/>
    <cellStyle name="Normal 4 2 2 3 6 2" xfId="43451" xr:uid="{00000000-0005-0000-0000-0000C3A90000}"/>
    <cellStyle name="Normal 4 2 2 3 7" xfId="43452" xr:uid="{00000000-0005-0000-0000-0000C4A90000}"/>
    <cellStyle name="Normal 4 2 2 3 7 2" xfId="43453" xr:uid="{00000000-0005-0000-0000-0000C5A90000}"/>
    <cellStyle name="Normal 4 2 2 3 8" xfId="43454" xr:uid="{00000000-0005-0000-0000-0000C6A90000}"/>
    <cellStyle name="Normal 4 2 2 3 9" xfId="43455" xr:uid="{00000000-0005-0000-0000-0000C7A90000}"/>
    <cellStyle name="Normal 4 2 2 4" xfId="43456" xr:uid="{00000000-0005-0000-0000-0000C8A90000}"/>
    <cellStyle name="Normal 4 2 2 4 2" xfId="43457" xr:uid="{00000000-0005-0000-0000-0000C9A90000}"/>
    <cellStyle name="Normal 4 2 2 4 2 2" xfId="43458" xr:uid="{00000000-0005-0000-0000-0000CAA90000}"/>
    <cellStyle name="Normal 4 2 2 4 2 2 2" xfId="43459" xr:uid="{00000000-0005-0000-0000-0000CBA90000}"/>
    <cellStyle name="Normal 4 2 2 4 2 2 2 2" xfId="43460" xr:uid="{00000000-0005-0000-0000-0000CCA90000}"/>
    <cellStyle name="Normal 4 2 2 4 2 2 2 2 2" xfId="43461" xr:uid="{00000000-0005-0000-0000-0000CDA90000}"/>
    <cellStyle name="Normal 4 2 2 4 2 2 2 3" xfId="43462" xr:uid="{00000000-0005-0000-0000-0000CEA90000}"/>
    <cellStyle name="Normal 4 2 2 4 2 2 2 4" xfId="43463" xr:uid="{00000000-0005-0000-0000-0000CFA90000}"/>
    <cellStyle name="Normal 4 2 2 4 2 2 3" xfId="43464" xr:uid="{00000000-0005-0000-0000-0000D0A90000}"/>
    <cellStyle name="Normal 4 2 2 4 2 2 3 2" xfId="43465" xr:uid="{00000000-0005-0000-0000-0000D1A90000}"/>
    <cellStyle name="Normal 4 2 2 4 2 2 4" xfId="43466" xr:uid="{00000000-0005-0000-0000-0000D2A90000}"/>
    <cellStyle name="Normal 4 2 2 4 2 2 5" xfId="43467" xr:uid="{00000000-0005-0000-0000-0000D3A90000}"/>
    <cellStyle name="Normal 4 2 2 4 2 3" xfId="43468" xr:uid="{00000000-0005-0000-0000-0000D4A90000}"/>
    <cellStyle name="Normal 4 2 2 4 2 3 2" xfId="43469" xr:uid="{00000000-0005-0000-0000-0000D5A90000}"/>
    <cellStyle name="Normal 4 2 2 4 2 3 2 2" xfId="43470" xr:uid="{00000000-0005-0000-0000-0000D6A90000}"/>
    <cellStyle name="Normal 4 2 2 4 2 3 3" xfId="43471" xr:uid="{00000000-0005-0000-0000-0000D7A90000}"/>
    <cellStyle name="Normal 4 2 2 4 2 3 3 2" xfId="43472" xr:uid="{00000000-0005-0000-0000-0000D8A90000}"/>
    <cellStyle name="Normal 4 2 2 4 2 3 4" xfId="43473" xr:uid="{00000000-0005-0000-0000-0000D9A90000}"/>
    <cellStyle name="Normal 4 2 2 4 2 3 5" xfId="43474" xr:uid="{00000000-0005-0000-0000-0000DAA90000}"/>
    <cellStyle name="Normal 4 2 2 4 2 4" xfId="43475" xr:uid="{00000000-0005-0000-0000-0000DBA90000}"/>
    <cellStyle name="Normal 4 2 2 4 2 4 2" xfId="43476" xr:uid="{00000000-0005-0000-0000-0000DCA90000}"/>
    <cellStyle name="Normal 4 2 2 4 2 5" xfId="43477" xr:uid="{00000000-0005-0000-0000-0000DDA90000}"/>
    <cellStyle name="Normal 4 2 2 4 2 5 2" xfId="43478" xr:uid="{00000000-0005-0000-0000-0000DEA90000}"/>
    <cellStyle name="Normal 4 2 2 4 2 6" xfId="43479" xr:uid="{00000000-0005-0000-0000-0000DFA90000}"/>
    <cellStyle name="Normal 4 2 2 4 2 7" xfId="43480" xr:uid="{00000000-0005-0000-0000-0000E0A90000}"/>
    <cellStyle name="Normal 4 2 2 4 3" xfId="43481" xr:uid="{00000000-0005-0000-0000-0000E1A90000}"/>
    <cellStyle name="Normal 4 2 2 4 3 2" xfId="43482" xr:uid="{00000000-0005-0000-0000-0000E2A90000}"/>
    <cellStyle name="Normal 4 2 2 4 3 2 2" xfId="43483" xr:uid="{00000000-0005-0000-0000-0000E3A90000}"/>
    <cellStyle name="Normal 4 2 2 4 3 2 2 2" xfId="43484" xr:uid="{00000000-0005-0000-0000-0000E4A90000}"/>
    <cellStyle name="Normal 4 2 2 4 3 2 3" xfId="43485" xr:uid="{00000000-0005-0000-0000-0000E5A90000}"/>
    <cellStyle name="Normal 4 2 2 4 3 2 4" xfId="43486" xr:uid="{00000000-0005-0000-0000-0000E6A90000}"/>
    <cellStyle name="Normal 4 2 2 4 3 3" xfId="43487" xr:uid="{00000000-0005-0000-0000-0000E7A90000}"/>
    <cellStyle name="Normal 4 2 2 4 3 3 2" xfId="43488" xr:uid="{00000000-0005-0000-0000-0000E8A90000}"/>
    <cellStyle name="Normal 4 2 2 4 3 4" xfId="43489" xr:uid="{00000000-0005-0000-0000-0000E9A90000}"/>
    <cellStyle name="Normal 4 2 2 4 3 5" xfId="43490" xr:uid="{00000000-0005-0000-0000-0000EAA90000}"/>
    <cellStyle name="Normal 4 2 2 4 4" xfId="43491" xr:uid="{00000000-0005-0000-0000-0000EBA90000}"/>
    <cellStyle name="Normal 4 2 2 4 4 2" xfId="43492" xr:uid="{00000000-0005-0000-0000-0000ECA90000}"/>
    <cellStyle name="Normal 4 2 2 4 4 2 2" xfId="43493" xr:uid="{00000000-0005-0000-0000-0000EDA90000}"/>
    <cellStyle name="Normal 4 2 2 4 4 3" xfId="43494" xr:uid="{00000000-0005-0000-0000-0000EEA90000}"/>
    <cellStyle name="Normal 4 2 2 4 4 3 2" xfId="43495" xr:uid="{00000000-0005-0000-0000-0000EFA90000}"/>
    <cellStyle name="Normal 4 2 2 4 4 4" xfId="43496" xr:uid="{00000000-0005-0000-0000-0000F0A90000}"/>
    <cellStyle name="Normal 4 2 2 4 4 5" xfId="43497" xr:uid="{00000000-0005-0000-0000-0000F1A90000}"/>
    <cellStyle name="Normal 4 2 2 4 5" xfId="43498" xr:uid="{00000000-0005-0000-0000-0000F2A90000}"/>
    <cellStyle name="Normal 4 2 2 4 5 2" xfId="43499" xr:uid="{00000000-0005-0000-0000-0000F3A90000}"/>
    <cellStyle name="Normal 4 2 2 4 6" xfId="43500" xr:uid="{00000000-0005-0000-0000-0000F4A90000}"/>
    <cellStyle name="Normal 4 2 2 4 6 2" xfId="43501" xr:uid="{00000000-0005-0000-0000-0000F5A90000}"/>
    <cellStyle name="Normal 4 2 2 4 7" xfId="43502" xr:uid="{00000000-0005-0000-0000-0000F6A90000}"/>
    <cellStyle name="Normal 4 2 2 4 8" xfId="43503" xr:uid="{00000000-0005-0000-0000-0000F7A90000}"/>
    <cellStyle name="Normal 4 2 2 5" xfId="43504" xr:uid="{00000000-0005-0000-0000-0000F8A90000}"/>
    <cellStyle name="Normal 4 2 2 5 2" xfId="43505" xr:uid="{00000000-0005-0000-0000-0000F9A90000}"/>
    <cellStyle name="Normal 4 2 2 5 2 2" xfId="43506" xr:uid="{00000000-0005-0000-0000-0000FAA90000}"/>
    <cellStyle name="Normal 4 2 2 5 2 2 2" xfId="43507" xr:uid="{00000000-0005-0000-0000-0000FBA90000}"/>
    <cellStyle name="Normal 4 2 2 5 2 2 2 2" xfId="43508" xr:uid="{00000000-0005-0000-0000-0000FCA90000}"/>
    <cellStyle name="Normal 4 2 2 5 2 2 3" xfId="43509" xr:uid="{00000000-0005-0000-0000-0000FDA90000}"/>
    <cellStyle name="Normal 4 2 2 5 2 2 4" xfId="43510" xr:uid="{00000000-0005-0000-0000-0000FEA90000}"/>
    <cellStyle name="Normal 4 2 2 5 2 3" xfId="43511" xr:uid="{00000000-0005-0000-0000-0000FFA90000}"/>
    <cellStyle name="Normal 4 2 2 5 2 3 2" xfId="43512" xr:uid="{00000000-0005-0000-0000-000000AA0000}"/>
    <cellStyle name="Normal 4 2 2 5 2 4" xfId="43513" xr:uid="{00000000-0005-0000-0000-000001AA0000}"/>
    <cellStyle name="Normal 4 2 2 5 2 5" xfId="43514" xr:uid="{00000000-0005-0000-0000-000002AA0000}"/>
    <cellStyle name="Normal 4 2 2 5 3" xfId="43515" xr:uid="{00000000-0005-0000-0000-000003AA0000}"/>
    <cellStyle name="Normal 4 2 2 5 3 2" xfId="43516" xr:uid="{00000000-0005-0000-0000-000004AA0000}"/>
    <cellStyle name="Normal 4 2 2 5 3 3" xfId="43517" xr:uid="{00000000-0005-0000-0000-000005AA0000}"/>
    <cellStyle name="Normal 4 2 2 5 4" xfId="43518" xr:uid="{00000000-0005-0000-0000-000006AA0000}"/>
    <cellStyle name="Normal 4 2 2 5 4 2" xfId="43519" xr:uid="{00000000-0005-0000-0000-000007AA0000}"/>
    <cellStyle name="Normal 4 2 2 5 5" xfId="43520" xr:uid="{00000000-0005-0000-0000-000008AA0000}"/>
    <cellStyle name="Normal 4 2 2 6" xfId="43521" xr:uid="{00000000-0005-0000-0000-000009AA0000}"/>
    <cellStyle name="Normal 4 2 2 6 2" xfId="43522" xr:uid="{00000000-0005-0000-0000-00000AAA0000}"/>
    <cellStyle name="Normal 4 2 2 6 2 2" xfId="43523" xr:uid="{00000000-0005-0000-0000-00000BAA0000}"/>
    <cellStyle name="Normal 4 2 2 6 2 2 2" xfId="43524" xr:uid="{00000000-0005-0000-0000-00000CAA0000}"/>
    <cellStyle name="Normal 4 2 2 6 2 3" xfId="43525" xr:uid="{00000000-0005-0000-0000-00000DAA0000}"/>
    <cellStyle name="Normal 4 2 2 6 2 3 2" xfId="43526" xr:uid="{00000000-0005-0000-0000-00000EAA0000}"/>
    <cellStyle name="Normal 4 2 2 6 2 4" xfId="43527" xr:uid="{00000000-0005-0000-0000-00000FAA0000}"/>
    <cellStyle name="Normal 4 2 2 6 2 5" xfId="43528" xr:uid="{00000000-0005-0000-0000-000010AA0000}"/>
    <cellStyle name="Normal 4 2 2 6 3" xfId="43529" xr:uid="{00000000-0005-0000-0000-000011AA0000}"/>
    <cellStyle name="Normal 4 2 2 6 3 2" xfId="43530" xr:uid="{00000000-0005-0000-0000-000012AA0000}"/>
    <cellStyle name="Normal 4 2 2 6 4" xfId="43531" xr:uid="{00000000-0005-0000-0000-000013AA0000}"/>
    <cellStyle name="Normal 4 2 2 6 4 2" xfId="43532" xr:uid="{00000000-0005-0000-0000-000014AA0000}"/>
    <cellStyle name="Normal 4 2 2 6 5" xfId="43533" xr:uid="{00000000-0005-0000-0000-000015AA0000}"/>
    <cellStyle name="Normal 4 2 2 6 6" xfId="43534" xr:uid="{00000000-0005-0000-0000-000016AA0000}"/>
    <cellStyle name="Normal 4 2 2 7" xfId="43535" xr:uid="{00000000-0005-0000-0000-000017AA0000}"/>
    <cellStyle name="Normal 4 2 2 7 2" xfId="43536" xr:uid="{00000000-0005-0000-0000-000018AA0000}"/>
    <cellStyle name="Normal 4 2 2 7 2 2" xfId="43537" xr:uid="{00000000-0005-0000-0000-000019AA0000}"/>
    <cellStyle name="Normal 4 2 2 7 3" xfId="43538" xr:uid="{00000000-0005-0000-0000-00001AAA0000}"/>
    <cellStyle name="Normal 4 2 2 7 3 2" xfId="43539" xr:uid="{00000000-0005-0000-0000-00001BAA0000}"/>
    <cellStyle name="Normal 4 2 2 7 4" xfId="43540" xr:uid="{00000000-0005-0000-0000-00001CAA0000}"/>
    <cellStyle name="Normal 4 2 2 7 5" xfId="43541" xr:uid="{00000000-0005-0000-0000-00001DAA0000}"/>
    <cellStyle name="Normal 4 2 2 8" xfId="43542" xr:uid="{00000000-0005-0000-0000-00001EAA0000}"/>
    <cellStyle name="Normal 4 2 2 8 2" xfId="43543" xr:uid="{00000000-0005-0000-0000-00001FAA0000}"/>
    <cellStyle name="Normal 4 2 2 8 2 2" xfId="43544" xr:uid="{00000000-0005-0000-0000-000020AA0000}"/>
    <cellStyle name="Normal 4 2 2 8 3" xfId="43545" xr:uid="{00000000-0005-0000-0000-000021AA0000}"/>
    <cellStyle name="Normal 4 2 2 9" xfId="43546" xr:uid="{00000000-0005-0000-0000-000022AA0000}"/>
    <cellStyle name="Normal 4 2 2 9 2" xfId="43547" xr:uid="{00000000-0005-0000-0000-000023AA0000}"/>
    <cellStyle name="Normal 4 2 3" xfId="43548" xr:uid="{00000000-0005-0000-0000-000024AA0000}"/>
    <cellStyle name="Normal 4 2 3 10" xfId="43549" xr:uid="{00000000-0005-0000-0000-000025AA0000}"/>
    <cellStyle name="Normal 4 2 3 2" xfId="43550" xr:uid="{00000000-0005-0000-0000-000026AA0000}"/>
    <cellStyle name="Normal 4 2 3 2 2" xfId="43551" xr:uid="{00000000-0005-0000-0000-000027AA0000}"/>
    <cellStyle name="Normal 4 2 3 2 2 2" xfId="43552" xr:uid="{00000000-0005-0000-0000-000028AA0000}"/>
    <cellStyle name="Normal 4 2 3 2 2 2 2" xfId="43553" xr:uid="{00000000-0005-0000-0000-000029AA0000}"/>
    <cellStyle name="Normal 4 2 3 2 2 2 2 2" xfId="43554" xr:uid="{00000000-0005-0000-0000-00002AAA0000}"/>
    <cellStyle name="Normal 4 2 3 2 2 2 2 2 2" xfId="43555" xr:uid="{00000000-0005-0000-0000-00002BAA0000}"/>
    <cellStyle name="Normal 4 2 3 2 2 2 2 2 2 2" xfId="43556" xr:uid="{00000000-0005-0000-0000-00002CAA0000}"/>
    <cellStyle name="Normal 4 2 3 2 2 2 2 2 3" xfId="43557" xr:uid="{00000000-0005-0000-0000-00002DAA0000}"/>
    <cellStyle name="Normal 4 2 3 2 2 2 2 2 4" xfId="43558" xr:uid="{00000000-0005-0000-0000-00002EAA0000}"/>
    <cellStyle name="Normal 4 2 3 2 2 2 2 3" xfId="43559" xr:uid="{00000000-0005-0000-0000-00002FAA0000}"/>
    <cellStyle name="Normal 4 2 3 2 2 2 2 3 2" xfId="43560" xr:uid="{00000000-0005-0000-0000-000030AA0000}"/>
    <cellStyle name="Normal 4 2 3 2 2 2 2 4" xfId="43561" xr:uid="{00000000-0005-0000-0000-000031AA0000}"/>
    <cellStyle name="Normal 4 2 3 2 2 2 2 5" xfId="43562" xr:uid="{00000000-0005-0000-0000-000032AA0000}"/>
    <cellStyle name="Normal 4 2 3 2 2 2 3" xfId="43563" xr:uid="{00000000-0005-0000-0000-000033AA0000}"/>
    <cellStyle name="Normal 4 2 3 2 2 2 3 2" xfId="43564" xr:uid="{00000000-0005-0000-0000-000034AA0000}"/>
    <cellStyle name="Normal 4 2 3 2 2 2 3 2 2" xfId="43565" xr:uid="{00000000-0005-0000-0000-000035AA0000}"/>
    <cellStyle name="Normal 4 2 3 2 2 2 3 3" xfId="43566" xr:uid="{00000000-0005-0000-0000-000036AA0000}"/>
    <cellStyle name="Normal 4 2 3 2 2 2 3 4" xfId="43567" xr:uid="{00000000-0005-0000-0000-000037AA0000}"/>
    <cellStyle name="Normal 4 2 3 2 2 2 4" xfId="43568" xr:uid="{00000000-0005-0000-0000-000038AA0000}"/>
    <cellStyle name="Normal 4 2 3 2 2 2 4 2" xfId="43569" xr:uid="{00000000-0005-0000-0000-000039AA0000}"/>
    <cellStyle name="Normal 4 2 3 2 2 2 5" xfId="43570" xr:uid="{00000000-0005-0000-0000-00003AAA0000}"/>
    <cellStyle name="Normal 4 2 3 2 2 2 6" xfId="43571" xr:uid="{00000000-0005-0000-0000-00003BAA0000}"/>
    <cellStyle name="Normal 4 2 3 2 2 3" xfId="43572" xr:uid="{00000000-0005-0000-0000-00003CAA0000}"/>
    <cellStyle name="Normal 4 2 3 2 2 3 2" xfId="43573" xr:uid="{00000000-0005-0000-0000-00003DAA0000}"/>
    <cellStyle name="Normal 4 2 3 2 2 3 2 2" xfId="43574" xr:uid="{00000000-0005-0000-0000-00003EAA0000}"/>
    <cellStyle name="Normal 4 2 3 2 2 3 2 2 2" xfId="43575" xr:uid="{00000000-0005-0000-0000-00003FAA0000}"/>
    <cellStyle name="Normal 4 2 3 2 2 3 2 3" xfId="43576" xr:uid="{00000000-0005-0000-0000-000040AA0000}"/>
    <cellStyle name="Normal 4 2 3 2 2 3 2 4" xfId="43577" xr:uid="{00000000-0005-0000-0000-000041AA0000}"/>
    <cellStyle name="Normal 4 2 3 2 2 3 3" xfId="43578" xr:uid="{00000000-0005-0000-0000-000042AA0000}"/>
    <cellStyle name="Normal 4 2 3 2 2 3 3 2" xfId="43579" xr:uid="{00000000-0005-0000-0000-000043AA0000}"/>
    <cellStyle name="Normal 4 2 3 2 2 3 4" xfId="43580" xr:uid="{00000000-0005-0000-0000-000044AA0000}"/>
    <cellStyle name="Normal 4 2 3 2 2 3 5" xfId="43581" xr:uid="{00000000-0005-0000-0000-000045AA0000}"/>
    <cellStyle name="Normal 4 2 3 2 2 4" xfId="43582" xr:uid="{00000000-0005-0000-0000-000046AA0000}"/>
    <cellStyle name="Normal 4 2 3 2 2 4 2" xfId="43583" xr:uid="{00000000-0005-0000-0000-000047AA0000}"/>
    <cellStyle name="Normal 4 2 3 2 2 4 2 2" xfId="43584" xr:uid="{00000000-0005-0000-0000-000048AA0000}"/>
    <cellStyle name="Normal 4 2 3 2 2 4 3" xfId="43585" xr:uid="{00000000-0005-0000-0000-000049AA0000}"/>
    <cellStyle name="Normal 4 2 3 2 2 4 4" xfId="43586" xr:uid="{00000000-0005-0000-0000-00004AAA0000}"/>
    <cellStyle name="Normal 4 2 3 2 2 5" xfId="43587" xr:uid="{00000000-0005-0000-0000-00004BAA0000}"/>
    <cellStyle name="Normal 4 2 3 2 2 5 2" xfId="43588" xr:uid="{00000000-0005-0000-0000-00004CAA0000}"/>
    <cellStyle name="Normal 4 2 3 2 2 6" xfId="43589" xr:uid="{00000000-0005-0000-0000-00004DAA0000}"/>
    <cellStyle name="Normal 4 2 3 2 2 7" xfId="43590" xr:uid="{00000000-0005-0000-0000-00004EAA0000}"/>
    <cellStyle name="Normal 4 2 3 2 3" xfId="43591" xr:uid="{00000000-0005-0000-0000-00004FAA0000}"/>
    <cellStyle name="Normal 4 2 3 2 3 2" xfId="43592" xr:uid="{00000000-0005-0000-0000-000050AA0000}"/>
    <cellStyle name="Normal 4 2 3 2 3 2 2" xfId="43593" xr:uid="{00000000-0005-0000-0000-000051AA0000}"/>
    <cellStyle name="Normal 4 2 3 2 3 2 2 2" xfId="43594" xr:uid="{00000000-0005-0000-0000-000052AA0000}"/>
    <cellStyle name="Normal 4 2 3 2 3 2 2 2 2" xfId="43595" xr:uid="{00000000-0005-0000-0000-000053AA0000}"/>
    <cellStyle name="Normal 4 2 3 2 3 2 2 3" xfId="43596" xr:uid="{00000000-0005-0000-0000-000054AA0000}"/>
    <cellStyle name="Normal 4 2 3 2 3 2 2 4" xfId="43597" xr:uid="{00000000-0005-0000-0000-000055AA0000}"/>
    <cellStyle name="Normal 4 2 3 2 3 2 3" xfId="43598" xr:uid="{00000000-0005-0000-0000-000056AA0000}"/>
    <cellStyle name="Normal 4 2 3 2 3 2 3 2" xfId="43599" xr:uid="{00000000-0005-0000-0000-000057AA0000}"/>
    <cellStyle name="Normal 4 2 3 2 3 2 4" xfId="43600" xr:uid="{00000000-0005-0000-0000-000058AA0000}"/>
    <cellStyle name="Normal 4 2 3 2 3 2 5" xfId="43601" xr:uid="{00000000-0005-0000-0000-000059AA0000}"/>
    <cellStyle name="Normal 4 2 3 2 3 3" xfId="43602" xr:uid="{00000000-0005-0000-0000-00005AAA0000}"/>
    <cellStyle name="Normal 4 2 3 2 3 3 2" xfId="43603" xr:uid="{00000000-0005-0000-0000-00005BAA0000}"/>
    <cellStyle name="Normal 4 2 3 2 3 3 2 2" xfId="43604" xr:uid="{00000000-0005-0000-0000-00005CAA0000}"/>
    <cellStyle name="Normal 4 2 3 2 3 3 3" xfId="43605" xr:uid="{00000000-0005-0000-0000-00005DAA0000}"/>
    <cellStyle name="Normal 4 2 3 2 3 3 3 2" xfId="43606" xr:uid="{00000000-0005-0000-0000-00005EAA0000}"/>
    <cellStyle name="Normal 4 2 3 2 3 3 4" xfId="43607" xr:uid="{00000000-0005-0000-0000-00005FAA0000}"/>
    <cellStyle name="Normal 4 2 3 2 3 3 5" xfId="43608" xr:uid="{00000000-0005-0000-0000-000060AA0000}"/>
    <cellStyle name="Normal 4 2 3 2 3 4" xfId="43609" xr:uid="{00000000-0005-0000-0000-000061AA0000}"/>
    <cellStyle name="Normal 4 2 3 2 3 4 2" xfId="43610" xr:uid="{00000000-0005-0000-0000-000062AA0000}"/>
    <cellStyle name="Normal 4 2 3 2 3 5" xfId="43611" xr:uid="{00000000-0005-0000-0000-000063AA0000}"/>
    <cellStyle name="Normal 4 2 3 2 3 5 2" xfId="43612" xr:uid="{00000000-0005-0000-0000-000064AA0000}"/>
    <cellStyle name="Normal 4 2 3 2 3 6" xfId="43613" xr:uid="{00000000-0005-0000-0000-000065AA0000}"/>
    <cellStyle name="Normal 4 2 3 2 3 7" xfId="43614" xr:uid="{00000000-0005-0000-0000-000066AA0000}"/>
    <cellStyle name="Normal 4 2 3 2 4" xfId="43615" xr:uid="{00000000-0005-0000-0000-000067AA0000}"/>
    <cellStyle name="Normal 4 2 3 2 4 2" xfId="43616" xr:uid="{00000000-0005-0000-0000-000068AA0000}"/>
    <cellStyle name="Normal 4 2 3 2 4 2 2" xfId="43617" xr:uid="{00000000-0005-0000-0000-000069AA0000}"/>
    <cellStyle name="Normal 4 2 3 2 4 2 2 2" xfId="43618" xr:uid="{00000000-0005-0000-0000-00006AAA0000}"/>
    <cellStyle name="Normal 4 2 3 2 4 2 3" xfId="43619" xr:uid="{00000000-0005-0000-0000-00006BAA0000}"/>
    <cellStyle name="Normal 4 2 3 2 4 2 4" xfId="43620" xr:uid="{00000000-0005-0000-0000-00006CAA0000}"/>
    <cellStyle name="Normal 4 2 3 2 4 3" xfId="43621" xr:uid="{00000000-0005-0000-0000-00006DAA0000}"/>
    <cellStyle name="Normal 4 2 3 2 4 3 2" xfId="43622" xr:uid="{00000000-0005-0000-0000-00006EAA0000}"/>
    <cellStyle name="Normal 4 2 3 2 4 4" xfId="43623" xr:uid="{00000000-0005-0000-0000-00006FAA0000}"/>
    <cellStyle name="Normal 4 2 3 2 4 5" xfId="43624" xr:uid="{00000000-0005-0000-0000-000070AA0000}"/>
    <cellStyle name="Normal 4 2 3 2 5" xfId="43625" xr:uid="{00000000-0005-0000-0000-000071AA0000}"/>
    <cellStyle name="Normal 4 2 3 2 5 2" xfId="43626" xr:uid="{00000000-0005-0000-0000-000072AA0000}"/>
    <cellStyle name="Normal 4 2 3 2 5 2 2" xfId="43627" xr:uid="{00000000-0005-0000-0000-000073AA0000}"/>
    <cellStyle name="Normal 4 2 3 2 5 3" xfId="43628" xr:uid="{00000000-0005-0000-0000-000074AA0000}"/>
    <cellStyle name="Normal 4 2 3 2 5 3 2" xfId="43629" xr:uid="{00000000-0005-0000-0000-000075AA0000}"/>
    <cellStyle name="Normal 4 2 3 2 5 4" xfId="43630" xr:uid="{00000000-0005-0000-0000-000076AA0000}"/>
    <cellStyle name="Normal 4 2 3 2 5 5" xfId="43631" xr:uid="{00000000-0005-0000-0000-000077AA0000}"/>
    <cellStyle name="Normal 4 2 3 2 6" xfId="43632" xr:uid="{00000000-0005-0000-0000-000078AA0000}"/>
    <cellStyle name="Normal 4 2 3 2 6 2" xfId="43633" xr:uid="{00000000-0005-0000-0000-000079AA0000}"/>
    <cellStyle name="Normal 4 2 3 2 7" xfId="43634" xr:uid="{00000000-0005-0000-0000-00007AAA0000}"/>
    <cellStyle name="Normal 4 2 3 2 7 2" xfId="43635" xr:uid="{00000000-0005-0000-0000-00007BAA0000}"/>
    <cellStyle name="Normal 4 2 3 2 8" xfId="43636" xr:uid="{00000000-0005-0000-0000-00007CAA0000}"/>
    <cellStyle name="Normal 4 2 3 2 9" xfId="43637" xr:uid="{00000000-0005-0000-0000-00007DAA0000}"/>
    <cellStyle name="Normal 4 2 3 3" xfId="43638" xr:uid="{00000000-0005-0000-0000-00007EAA0000}"/>
    <cellStyle name="Normal 4 2 3 3 2" xfId="43639" xr:uid="{00000000-0005-0000-0000-00007FAA0000}"/>
    <cellStyle name="Normal 4 2 3 3 2 2" xfId="43640" xr:uid="{00000000-0005-0000-0000-000080AA0000}"/>
    <cellStyle name="Normal 4 2 3 3 2 2 2" xfId="43641" xr:uid="{00000000-0005-0000-0000-000081AA0000}"/>
    <cellStyle name="Normal 4 2 3 3 2 2 2 2" xfId="43642" xr:uid="{00000000-0005-0000-0000-000082AA0000}"/>
    <cellStyle name="Normal 4 2 3 3 2 2 2 2 2" xfId="43643" xr:uid="{00000000-0005-0000-0000-000083AA0000}"/>
    <cellStyle name="Normal 4 2 3 3 2 2 2 3" xfId="43644" xr:uid="{00000000-0005-0000-0000-000084AA0000}"/>
    <cellStyle name="Normal 4 2 3 3 2 2 2 4" xfId="43645" xr:uid="{00000000-0005-0000-0000-000085AA0000}"/>
    <cellStyle name="Normal 4 2 3 3 2 2 3" xfId="43646" xr:uid="{00000000-0005-0000-0000-000086AA0000}"/>
    <cellStyle name="Normal 4 2 3 3 2 2 3 2" xfId="43647" xr:uid="{00000000-0005-0000-0000-000087AA0000}"/>
    <cellStyle name="Normal 4 2 3 3 2 2 4" xfId="43648" xr:uid="{00000000-0005-0000-0000-000088AA0000}"/>
    <cellStyle name="Normal 4 2 3 3 2 2 5" xfId="43649" xr:uid="{00000000-0005-0000-0000-000089AA0000}"/>
    <cellStyle name="Normal 4 2 3 3 2 3" xfId="43650" xr:uid="{00000000-0005-0000-0000-00008AAA0000}"/>
    <cellStyle name="Normal 4 2 3 3 2 3 2" xfId="43651" xr:uid="{00000000-0005-0000-0000-00008BAA0000}"/>
    <cellStyle name="Normal 4 2 3 3 2 3 2 2" xfId="43652" xr:uid="{00000000-0005-0000-0000-00008CAA0000}"/>
    <cellStyle name="Normal 4 2 3 3 2 3 3" xfId="43653" xr:uid="{00000000-0005-0000-0000-00008DAA0000}"/>
    <cellStyle name="Normal 4 2 3 3 2 3 3 2" xfId="43654" xr:uid="{00000000-0005-0000-0000-00008EAA0000}"/>
    <cellStyle name="Normal 4 2 3 3 2 3 4" xfId="43655" xr:uid="{00000000-0005-0000-0000-00008FAA0000}"/>
    <cellStyle name="Normal 4 2 3 3 2 3 5" xfId="43656" xr:uid="{00000000-0005-0000-0000-000090AA0000}"/>
    <cellStyle name="Normal 4 2 3 3 2 4" xfId="43657" xr:uid="{00000000-0005-0000-0000-000091AA0000}"/>
    <cellStyle name="Normal 4 2 3 3 2 4 2" xfId="43658" xr:uid="{00000000-0005-0000-0000-000092AA0000}"/>
    <cellStyle name="Normal 4 2 3 3 2 5" xfId="43659" xr:uid="{00000000-0005-0000-0000-000093AA0000}"/>
    <cellStyle name="Normal 4 2 3 3 2 5 2" xfId="43660" xr:uid="{00000000-0005-0000-0000-000094AA0000}"/>
    <cellStyle name="Normal 4 2 3 3 2 6" xfId="43661" xr:uid="{00000000-0005-0000-0000-000095AA0000}"/>
    <cellStyle name="Normal 4 2 3 3 2 7" xfId="43662" xr:uid="{00000000-0005-0000-0000-000096AA0000}"/>
    <cellStyle name="Normal 4 2 3 3 3" xfId="43663" xr:uid="{00000000-0005-0000-0000-000097AA0000}"/>
    <cellStyle name="Normal 4 2 3 3 3 2" xfId="43664" xr:uid="{00000000-0005-0000-0000-000098AA0000}"/>
    <cellStyle name="Normal 4 2 3 3 3 2 2" xfId="43665" xr:uid="{00000000-0005-0000-0000-000099AA0000}"/>
    <cellStyle name="Normal 4 2 3 3 3 2 2 2" xfId="43666" xr:uid="{00000000-0005-0000-0000-00009AAA0000}"/>
    <cellStyle name="Normal 4 2 3 3 3 2 3" xfId="43667" xr:uid="{00000000-0005-0000-0000-00009BAA0000}"/>
    <cellStyle name="Normal 4 2 3 3 3 2 4" xfId="43668" xr:uid="{00000000-0005-0000-0000-00009CAA0000}"/>
    <cellStyle name="Normal 4 2 3 3 3 3" xfId="43669" xr:uid="{00000000-0005-0000-0000-00009DAA0000}"/>
    <cellStyle name="Normal 4 2 3 3 3 3 2" xfId="43670" xr:uid="{00000000-0005-0000-0000-00009EAA0000}"/>
    <cellStyle name="Normal 4 2 3 3 3 4" xfId="43671" xr:uid="{00000000-0005-0000-0000-00009FAA0000}"/>
    <cellStyle name="Normal 4 2 3 3 3 5" xfId="43672" xr:uid="{00000000-0005-0000-0000-0000A0AA0000}"/>
    <cellStyle name="Normal 4 2 3 3 4" xfId="43673" xr:uid="{00000000-0005-0000-0000-0000A1AA0000}"/>
    <cellStyle name="Normal 4 2 3 3 4 2" xfId="43674" xr:uid="{00000000-0005-0000-0000-0000A2AA0000}"/>
    <cellStyle name="Normal 4 2 3 3 4 2 2" xfId="43675" xr:uid="{00000000-0005-0000-0000-0000A3AA0000}"/>
    <cellStyle name="Normal 4 2 3 3 4 3" xfId="43676" xr:uid="{00000000-0005-0000-0000-0000A4AA0000}"/>
    <cellStyle name="Normal 4 2 3 3 4 3 2" xfId="43677" xr:uid="{00000000-0005-0000-0000-0000A5AA0000}"/>
    <cellStyle name="Normal 4 2 3 3 4 4" xfId="43678" xr:uid="{00000000-0005-0000-0000-0000A6AA0000}"/>
    <cellStyle name="Normal 4 2 3 3 4 5" xfId="43679" xr:uid="{00000000-0005-0000-0000-0000A7AA0000}"/>
    <cellStyle name="Normal 4 2 3 3 5" xfId="43680" xr:uid="{00000000-0005-0000-0000-0000A8AA0000}"/>
    <cellStyle name="Normal 4 2 3 3 5 2" xfId="43681" xr:uid="{00000000-0005-0000-0000-0000A9AA0000}"/>
    <cellStyle name="Normal 4 2 3 3 6" xfId="43682" xr:uid="{00000000-0005-0000-0000-0000AAAA0000}"/>
    <cellStyle name="Normal 4 2 3 3 6 2" xfId="43683" xr:uid="{00000000-0005-0000-0000-0000ABAA0000}"/>
    <cellStyle name="Normal 4 2 3 3 7" xfId="43684" xr:uid="{00000000-0005-0000-0000-0000ACAA0000}"/>
    <cellStyle name="Normal 4 2 3 3 8" xfId="43685" xr:uid="{00000000-0005-0000-0000-0000ADAA0000}"/>
    <cellStyle name="Normal 4 2 3 4" xfId="43686" xr:uid="{00000000-0005-0000-0000-0000AEAA0000}"/>
    <cellStyle name="Normal 4 2 3 4 2" xfId="43687" xr:uid="{00000000-0005-0000-0000-0000AFAA0000}"/>
    <cellStyle name="Normal 4 2 3 4 2 2" xfId="43688" xr:uid="{00000000-0005-0000-0000-0000B0AA0000}"/>
    <cellStyle name="Normal 4 2 3 4 2 2 2" xfId="43689" xr:uid="{00000000-0005-0000-0000-0000B1AA0000}"/>
    <cellStyle name="Normal 4 2 3 4 2 2 2 2" xfId="43690" xr:uid="{00000000-0005-0000-0000-0000B2AA0000}"/>
    <cellStyle name="Normal 4 2 3 4 2 2 3" xfId="43691" xr:uid="{00000000-0005-0000-0000-0000B3AA0000}"/>
    <cellStyle name="Normal 4 2 3 4 2 2 4" xfId="43692" xr:uid="{00000000-0005-0000-0000-0000B4AA0000}"/>
    <cellStyle name="Normal 4 2 3 4 2 3" xfId="43693" xr:uid="{00000000-0005-0000-0000-0000B5AA0000}"/>
    <cellStyle name="Normal 4 2 3 4 2 3 2" xfId="43694" xr:uid="{00000000-0005-0000-0000-0000B6AA0000}"/>
    <cellStyle name="Normal 4 2 3 4 2 4" xfId="43695" xr:uid="{00000000-0005-0000-0000-0000B7AA0000}"/>
    <cellStyle name="Normal 4 2 3 4 2 5" xfId="43696" xr:uid="{00000000-0005-0000-0000-0000B8AA0000}"/>
    <cellStyle name="Normal 4 2 3 4 3" xfId="43697" xr:uid="{00000000-0005-0000-0000-0000B9AA0000}"/>
    <cellStyle name="Normal 4 2 3 4 3 2" xfId="43698" xr:uid="{00000000-0005-0000-0000-0000BAAA0000}"/>
    <cellStyle name="Normal 4 2 3 4 3 2 2" xfId="43699" xr:uid="{00000000-0005-0000-0000-0000BBAA0000}"/>
    <cellStyle name="Normal 4 2 3 4 3 3" xfId="43700" xr:uid="{00000000-0005-0000-0000-0000BCAA0000}"/>
    <cellStyle name="Normal 4 2 3 4 3 3 2" xfId="43701" xr:uid="{00000000-0005-0000-0000-0000BDAA0000}"/>
    <cellStyle name="Normal 4 2 3 4 3 4" xfId="43702" xr:uid="{00000000-0005-0000-0000-0000BEAA0000}"/>
    <cellStyle name="Normal 4 2 3 4 3 5" xfId="43703" xr:uid="{00000000-0005-0000-0000-0000BFAA0000}"/>
    <cellStyle name="Normal 4 2 3 4 4" xfId="43704" xr:uid="{00000000-0005-0000-0000-0000C0AA0000}"/>
    <cellStyle name="Normal 4 2 3 4 4 2" xfId="43705" xr:uid="{00000000-0005-0000-0000-0000C1AA0000}"/>
    <cellStyle name="Normal 4 2 3 4 5" xfId="43706" xr:uid="{00000000-0005-0000-0000-0000C2AA0000}"/>
    <cellStyle name="Normal 4 2 3 4 5 2" xfId="43707" xr:uid="{00000000-0005-0000-0000-0000C3AA0000}"/>
    <cellStyle name="Normal 4 2 3 4 6" xfId="43708" xr:uid="{00000000-0005-0000-0000-0000C4AA0000}"/>
    <cellStyle name="Normal 4 2 3 4 7" xfId="43709" xr:uid="{00000000-0005-0000-0000-0000C5AA0000}"/>
    <cellStyle name="Normal 4 2 3 5" xfId="43710" xr:uid="{00000000-0005-0000-0000-0000C6AA0000}"/>
    <cellStyle name="Normal 4 2 3 5 2" xfId="43711" xr:uid="{00000000-0005-0000-0000-0000C7AA0000}"/>
    <cellStyle name="Normal 4 2 3 5 2 2" xfId="43712" xr:uid="{00000000-0005-0000-0000-0000C8AA0000}"/>
    <cellStyle name="Normal 4 2 3 5 2 2 2" xfId="43713" xr:uid="{00000000-0005-0000-0000-0000C9AA0000}"/>
    <cellStyle name="Normal 4 2 3 5 2 3" xfId="43714" xr:uid="{00000000-0005-0000-0000-0000CAAA0000}"/>
    <cellStyle name="Normal 4 2 3 5 2 4" xfId="43715" xr:uid="{00000000-0005-0000-0000-0000CBAA0000}"/>
    <cellStyle name="Normal 4 2 3 5 3" xfId="43716" xr:uid="{00000000-0005-0000-0000-0000CCAA0000}"/>
    <cellStyle name="Normal 4 2 3 5 3 2" xfId="43717" xr:uid="{00000000-0005-0000-0000-0000CDAA0000}"/>
    <cellStyle name="Normal 4 2 3 5 4" xfId="43718" xr:uid="{00000000-0005-0000-0000-0000CEAA0000}"/>
    <cellStyle name="Normal 4 2 3 5 5" xfId="43719" xr:uid="{00000000-0005-0000-0000-0000CFAA0000}"/>
    <cellStyle name="Normal 4 2 3 6" xfId="43720" xr:uid="{00000000-0005-0000-0000-0000D0AA0000}"/>
    <cellStyle name="Normal 4 2 3 6 2" xfId="43721" xr:uid="{00000000-0005-0000-0000-0000D1AA0000}"/>
    <cellStyle name="Normal 4 2 3 6 2 2" xfId="43722" xr:uid="{00000000-0005-0000-0000-0000D2AA0000}"/>
    <cellStyle name="Normal 4 2 3 6 3" xfId="43723" xr:uid="{00000000-0005-0000-0000-0000D3AA0000}"/>
    <cellStyle name="Normal 4 2 3 6 3 2" xfId="43724" xr:uid="{00000000-0005-0000-0000-0000D4AA0000}"/>
    <cellStyle name="Normal 4 2 3 6 4" xfId="43725" xr:uid="{00000000-0005-0000-0000-0000D5AA0000}"/>
    <cellStyle name="Normal 4 2 3 6 5" xfId="43726" xr:uid="{00000000-0005-0000-0000-0000D6AA0000}"/>
    <cellStyle name="Normal 4 2 3 7" xfId="43727" xr:uid="{00000000-0005-0000-0000-0000D7AA0000}"/>
    <cellStyle name="Normal 4 2 3 7 2" xfId="43728" xr:uid="{00000000-0005-0000-0000-0000D8AA0000}"/>
    <cellStyle name="Normal 4 2 3 8" xfId="43729" xr:uid="{00000000-0005-0000-0000-0000D9AA0000}"/>
    <cellStyle name="Normal 4 2 3 8 2" xfId="43730" xr:uid="{00000000-0005-0000-0000-0000DAAA0000}"/>
    <cellStyle name="Normal 4 2 3 9" xfId="43731" xr:uid="{00000000-0005-0000-0000-0000DBAA0000}"/>
    <cellStyle name="Normal 4 2 4" xfId="43732" xr:uid="{00000000-0005-0000-0000-0000DCAA0000}"/>
    <cellStyle name="Normal 4 2 4 2" xfId="43733" xr:uid="{00000000-0005-0000-0000-0000DDAA0000}"/>
    <cellStyle name="Normal 4 2 4 2 2" xfId="43734" xr:uid="{00000000-0005-0000-0000-0000DEAA0000}"/>
    <cellStyle name="Normal 4 2 4 2 2 2" xfId="43735" xr:uid="{00000000-0005-0000-0000-0000DFAA0000}"/>
    <cellStyle name="Normal 4 2 4 2 2 2 2" xfId="43736" xr:uid="{00000000-0005-0000-0000-0000E0AA0000}"/>
    <cellStyle name="Normal 4 2 4 2 2 2 2 2" xfId="43737" xr:uid="{00000000-0005-0000-0000-0000E1AA0000}"/>
    <cellStyle name="Normal 4 2 4 2 2 2 2 2 2" xfId="43738" xr:uid="{00000000-0005-0000-0000-0000E2AA0000}"/>
    <cellStyle name="Normal 4 2 4 2 2 2 2 3" xfId="43739" xr:uid="{00000000-0005-0000-0000-0000E3AA0000}"/>
    <cellStyle name="Normal 4 2 4 2 2 2 2 4" xfId="43740" xr:uid="{00000000-0005-0000-0000-0000E4AA0000}"/>
    <cellStyle name="Normal 4 2 4 2 2 2 3" xfId="43741" xr:uid="{00000000-0005-0000-0000-0000E5AA0000}"/>
    <cellStyle name="Normal 4 2 4 2 2 2 3 2" xfId="43742" xr:uid="{00000000-0005-0000-0000-0000E6AA0000}"/>
    <cellStyle name="Normal 4 2 4 2 2 2 4" xfId="43743" xr:uid="{00000000-0005-0000-0000-0000E7AA0000}"/>
    <cellStyle name="Normal 4 2 4 2 2 2 5" xfId="43744" xr:uid="{00000000-0005-0000-0000-0000E8AA0000}"/>
    <cellStyle name="Normal 4 2 4 2 2 3" xfId="43745" xr:uid="{00000000-0005-0000-0000-0000E9AA0000}"/>
    <cellStyle name="Normal 4 2 4 2 2 3 2" xfId="43746" xr:uid="{00000000-0005-0000-0000-0000EAAA0000}"/>
    <cellStyle name="Normal 4 2 4 2 2 3 2 2" xfId="43747" xr:uid="{00000000-0005-0000-0000-0000EBAA0000}"/>
    <cellStyle name="Normal 4 2 4 2 2 3 3" xfId="43748" xr:uid="{00000000-0005-0000-0000-0000ECAA0000}"/>
    <cellStyle name="Normal 4 2 4 2 2 3 4" xfId="43749" xr:uid="{00000000-0005-0000-0000-0000EDAA0000}"/>
    <cellStyle name="Normal 4 2 4 2 2 4" xfId="43750" xr:uid="{00000000-0005-0000-0000-0000EEAA0000}"/>
    <cellStyle name="Normal 4 2 4 2 2 4 2" xfId="43751" xr:uid="{00000000-0005-0000-0000-0000EFAA0000}"/>
    <cellStyle name="Normal 4 2 4 2 2 5" xfId="43752" xr:uid="{00000000-0005-0000-0000-0000F0AA0000}"/>
    <cellStyle name="Normal 4 2 4 2 2 6" xfId="43753" xr:uid="{00000000-0005-0000-0000-0000F1AA0000}"/>
    <cellStyle name="Normal 4 2 4 2 3" xfId="43754" xr:uid="{00000000-0005-0000-0000-0000F2AA0000}"/>
    <cellStyle name="Normal 4 2 4 2 3 2" xfId="43755" xr:uid="{00000000-0005-0000-0000-0000F3AA0000}"/>
    <cellStyle name="Normal 4 2 4 2 3 2 2" xfId="43756" xr:uid="{00000000-0005-0000-0000-0000F4AA0000}"/>
    <cellStyle name="Normal 4 2 4 2 3 2 2 2" xfId="43757" xr:uid="{00000000-0005-0000-0000-0000F5AA0000}"/>
    <cellStyle name="Normal 4 2 4 2 3 2 3" xfId="43758" xr:uid="{00000000-0005-0000-0000-0000F6AA0000}"/>
    <cellStyle name="Normal 4 2 4 2 3 2 4" xfId="43759" xr:uid="{00000000-0005-0000-0000-0000F7AA0000}"/>
    <cellStyle name="Normal 4 2 4 2 3 3" xfId="43760" xr:uid="{00000000-0005-0000-0000-0000F8AA0000}"/>
    <cellStyle name="Normal 4 2 4 2 3 3 2" xfId="43761" xr:uid="{00000000-0005-0000-0000-0000F9AA0000}"/>
    <cellStyle name="Normal 4 2 4 2 3 4" xfId="43762" xr:uid="{00000000-0005-0000-0000-0000FAAA0000}"/>
    <cellStyle name="Normal 4 2 4 2 3 5" xfId="43763" xr:uid="{00000000-0005-0000-0000-0000FBAA0000}"/>
    <cellStyle name="Normal 4 2 4 2 4" xfId="43764" xr:uid="{00000000-0005-0000-0000-0000FCAA0000}"/>
    <cellStyle name="Normal 4 2 4 2 4 2" xfId="43765" xr:uid="{00000000-0005-0000-0000-0000FDAA0000}"/>
    <cellStyle name="Normal 4 2 4 2 4 2 2" xfId="43766" xr:uid="{00000000-0005-0000-0000-0000FEAA0000}"/>
    <cellStyle name="Normal 4 2 4 2 4 3" xfId="43767" xr:uid="{00000000-0005-0000-0000-0000FFAA0000}"/>
    <cellStyle name="Normal 4 2 4 2 4 4" xfId="43768" xr:uid="{00000000-0005-0000-0000-000000AB0000}"/>
    <cellStyle name="Normal 4 2 4 2 5" xfId="43769" xr:uid="{00000000-0005-0000-0000-000001AB0000}"/>
    <cellStyle name="Normal 4 2 4 2 5 2" xfId="43770" xr:uid="{00000000-0005-0000-0000-000002AB0000}"/>
    <cellStyle name="Normal 4 2 4 2 6" xfId="43771" xr:uid="{00000000-0005-0000-0000-000003AB0000}"/>
    <cellStyle name="Normal 4 2 4 2 7" xfId="43772" xr:uid="{00000000-0005-0000-0000-000004AB0000}"/>
    <cellStyle name="Normal 4 2 4 3" xfId="43773" xr:uid="{00000000-0005-0000-0000-000005AB0000}"/>
    <cellStyle name="Normal 4 2 4 3 2" xfId="43774" xr:uid="{00000000-0005-0000-0000-000006AB0000}"/>
    <cellStyle name="Normal 4 2 4 3 2 2" xfId="43775" xr:uid="{00000000-0005-0000-0000-000007AB0000}"/>
    <cellStyle name="Normal 4 2 4 3 2 2 2" xfId="43776" xr:uid="{00000000-0005-0000-0000-000008AB0000}"/>
    <cellStyle name="Normal 4 2 4 3 2 2 2 2" xfId="43777" xr:uid="{00000000-0005-0000-0000-000009AB0000}"/>
    <cellStyle name="Normal 4 2 4 3 2 2 3" xfId="43778" xr:uid="{00000000-0005-0000-0000-00000AAB0000}"/>
    <cellStyle name="Normal 4 2 4 3 2 2 4" xfId="43779" xr:uid="{00000000-0005-0000-0000-00000BAB0000}"/>
    <cellStyle name="Normal 4 2 4 3 2 3" xfId="43780" xr:uid="{00000000-0005-0000-0000-00000CAB0000}"/>
    <cellStyle name="Normal 4 2 4 3 2 3 2" xfId="43781" xr:uid="{00000000-0005-0000-0000-00000DAB0000}"/>
    <cellStyle name="Normal 4 2 4 3 2 4" xfId="43782" xr:uid="{00000000-0005-0000-0000-00000EAB0000}"/>
    <cellStyle name="Normal 4 2 4 3 2 5" xfId="43783" xr:uid="{00000000-0005-0000-0000-00000FAB0000}"/>
    <cellStyle name="Normal 4 2 4 3 3" xfId="43784" xr:uid="{00000000-0005-0000-0000-000010AB0000}"/>
    <cellStyle name="Normal 4 2 4 3 3 2" xfId="43785" xr:uid="{00000000-0005-0000-0000-000011AB0000}"/>
    <cellStyle name="Normal 4 2 4 3 3 2 2" xfId="43786" xr:uid="{00000000-0005-0000-0000-000012AB0000}"/>
    <cellStyle name="Normal 4 2 4 3 3 3" xfId="43787" xr:uid="{00000000-0005-0000-0000-000013AB0000}"/>
    <cellStyle name="Normal 4 2 4 3 3 3 2" xfId="43788" xr:uid="{00000000-0005-0000-0000-000014AB0000}"/>
    <cellStyle name="Normal 4 2 4 3 3 4" xfId="43789" xr:uid="{00000000-0005-0000-0000-000015AB0000}"/>
    <cellStyle name="Normal 4 2 4 3 3 5" xfId="43790" xr:uid="{00000000-0005-0000-0000-000016AB0000}"/>
    <cellStyle name="Normal 4 2 4 3 4" xfId="43791" xr:uid="{00000000-0005-0000-0000-000017AB0000}"/>
    <cellStyle name="Normal 4 2 4 3 4 2" xfId="43792" xr:uid="{00000000-0005-0000-0000-000018AB0000}"/>
    <cellStyle name="Normal 4 2 4 3 5" xfId="43793" xr:uid="{00000000-0005-0000-0000-000019AB0000}"/>
    <cellStyle name="Normal 4 2 4 3 5 2" xfId="43794" xr:uid="{00000000-0005-0000-0000-00001AAB0000}"/>
    <cellStyle name="Normal 4 2 4 3 6" xfId="43795" xr:uid="{00000000-0005-0000-0000-00001BAB0000}"/>
    <cellStyle name="Normal 4 2 4 3 7" xfId="43796" xr:uid="{00000000-0005-0000-0000-00001CAB0000}"/>
    <cellStyle name="Normal 4 2 4 4" xfId="43797" xr:uid="{00000000-0005-0000-0000-00001DAB0000}"/>
    <cellStyle name="Normal 4 2 4 4 2" xfId="43798" xr:uid="{00000000-0005-0000-0000-00001EAB0000}"/>
    <cellStyle name="Normal 4 2 4 4 2 2" xfId="43799" xr:uid="{00000000-0005-0000-0000-00001FAB0000}"/>
    <cellStyle name="Normal 4 2 4 4 2 2 2" xfId="43800" xr:uid="{00000000-0005-0000-0000-000020AB0000}"/>
    <cellStyle name="Normal 4 2 4 4 2 3" xfId="43801" xr:uid="{00000000-0005-0000-0000-000021AB0000}"/>
    <cellStyle name="Normal 4 2 4 4 2 4" xfId="43802" xr:uid="{00000000-0005-0000-0000-000022AB0000}"/>
    <cellStyle name="Normal 4 2 4 4 3" xfId="43803" xr:uid="{00000000-0005-0000-0000-000023AB0000}"/>
    <cellStyle name="Normal 4 2 4 4 3 2" xfId="43804" xr:uid="{00000000-0005-0000-0000-000024AB0000}"/>
    <cellStyle name="Normal 4 2 4 4 4" xfId="43805" xr:uid="{00000000-0005-0000-0000-000025AB0000}"/>
    <cellStyle name="Normal 4 2 4 4 5" xfId="43806" xr:uid="{00000000-0005-0000-0000-000026AB0000}"/>
    <cellStyle name="Normal 4 2 4 5" xfId="43807" xr:uid="{00000000-0005-0000-0000-000027AB0000}"/>
    <cellStyle name="Normal 4 2 4 5 2" xfId="43808" xr:uid="{00000000-0005-0000-0000-000028AB0000}"/>
    <cellStyle name="Normal 4 2 4 5 2 2" xfId="43809" xr:uid="{00000000-0005-0000-0000-000029AB0000}"/>
    <cellStyle name="Normal 4 2 4 5 3" xfId="43810" xr:uid="{00000000-0005-0000-0000-00002AAB0000}"/>
    <cellStyle name="Normal 4 2 4 5 3 2" xfId="43811" xr:uid="{00000000-0005-0000-0000-00002BAB0000}"/>
    <cellStyle name="Normal 4 2 4 5 4" xfId="43812" xr:uid="{00000000-0005-0000-0000-00002CAB0000}"/>
    <cellStyle name="Normal 4 2 4 5 5" xfId="43813" xr:uid="{00000000-0005-0000-0000-00002DAB0000}"/>
    <cellStyle name="Normal 4 2 4 6" xfId="43814" xr:uid="{00000000-0005-0000-0000-00002EAB0000}"/>
    <cellStyle name="Normal 4 2 4 6 2" xfId="43815" xr:uid="{00000000-0005-0000-0000-00002FAB0000}"/>
    <cellStyle name="Normal 4 2 4 7" xfId="43816" xr:uid="{00000000-0005-0000-0000-000030AB0000}"/>
    <cellStyle name="Normal 4 2 4 7 2" xfId="43817" xr:uid="{00000000-0005-0000-0000-000031AB0000}"/>
    <cellStyle name="Normal 4 2 4 8" xfId="43818" xr:uid="{00000000-0005-0000-0000-000032AB0000}"/>
    <cellStyle name="Normal 4 2 4 9" xfId="43819" xr:uid="{00000000-0005-0000-0000-000033AB0000}"/>
    <cellStyle name="Normal 4 2 5" xfId="43820" xr:uid="{00000000-0005-0000-0000-000034AB0000}"/>
    <cellStyle name="Normal 4 2 5 2" xfId="43821" xr:uid="{00000000-0005-0000-0000-000035AB0000}"/>
    <cellStyle name="Normal 4 2 5 2 2" xfId="43822" xr:uid="{00000000-0005-0000-0000-000036AB0000}"/>
    <cellStyle name="Normal 4 2 5 2 2 2" xfId="43823" xr:uid="{00000000-0005-0000-0000-000037AB0000}"/>
    <cellStyle name="Normal 4 2 5 2 2 2 2" xfId="43824" xr:uid="{00000000-0005-0000-0000-000038AB0000}"/>
    <cellStyle name="Normal 4 2 5 2 2 2 2 2" xfId="43825" xr:uid="{00000000-0005-0000-0000-000039AB0000}"/>
    <cellStyle name="Normal 4 2 5 2 2 2 3" xfId="43826" xr:uid="{00000000-0005-0000-0000-00003AAB0000}"/>
    <cellStyle name="Normal 4 2 5 2 2 2 4" xfId="43827" xr:uid="{00000000-0005-0000-0000-00003BAB0000}"/>
    <cellStyle name="Normal 4 2 5 2 2 3" xfId="43828" xr:uid="{00000000-0005-0000-0000-00003CAB0000}"/>
    <cellStyle name="Normal 4 2 5 2 2 3 2" xfId="43829" xr:uid="{00000000-0005-0000-0000-00003DAB0000}"/>
    <cellStyle name="Normal 4 2 5 2 2 4" xfId="43830" xr:uid="{00000000-0005-0000-0000-00003EAB0000}"/>
    <cellStyle name="Normal 4 2 5 2 2 5" xfId="43831" xr:uid="{00000000-0005-0000-0000-00003FAB0000}"/>
    <cellStyle name="Normal 4 2 5 2 3" xfId="43832" xr:uid="{00000000-0005-0000-0000-000040AB0000}"/>
    <cellStyle name="Normal 4 2 5 2 3 2" xfId="43833" xr:uid="{00000000-0005-0000-0000-000041AB0000}"/>
    <cellStyle name="Normal 4 2 5 2 3 2 2" xfId="43834" xr:uid="{00000000-0005-0000-0000-000042AB0000}"/>
    <cellStyle name="Normal 4 2 5 2 3 3" xfId="43835" xr:uid="{00000000-0005-0000-0000-000043AB0000}"/>
    <cellStyle name="Normal 4 2 5 2 3 3 2" xfId="43836" xr:uid="{00000000-0005-0000-0000-000044AB0000}"/>
    <cellStyle name="Normal 4 2 5 2 3 4" xfId="43837" xr:uid="{00000000-0005-0000-0000-000045AB0000}"/>
    <cellStyle name="Normal 4 2 5 2 3 5" xfId="43838" xr:uid="{00000000-0005-0000-0000-000046AB0000}"/>
    <cellStyle name="Normal 4 2 5 2 4" xfId="43839" xr:uid="{00000000-0005-0000-0000-000047AB0000}"/>
    <cellStyle name="Normal 4 2 5 2 4 2" xfId="43840" xr:uid="{00000000-0005-0000-0000-000048AB0000}"/>
    <cellStyle name="Normal 4 2 5 2 5" xfId="43841" xr:uid="{00000000-0005-0000-0000-000049AB0000}"/>
    <cellStyle name="Normal 4 2 5 2 5 2" xfId="43842" xr:uid="{00000000-0005-0000-0000-00004AAB0000}"/>
    <cellStyle name="Normal 4 2 5 2 6" xfId="43843" xr:uid="{00000000-0005-0000-0000-00004BAB0000}"/>
    <cellStyle name="Normal 4 2 5 2 7" xfId="43844" xr:uid="{00000000-0005-0000-0000-00004CAB0000}"/>
    <cellStyle name="Normal 4 2 5 3" xfId="43845" xr:uid="{00000000-0005-0000-0000-00004DAB0000}"/>
    <cellStyle name="Normal 4 2 5 3 2" xfId="43846" xr:uid="{00000000-0005-0000-0000-00004EAB0000}"/>
    <cellStyle name="Normal 4 2 5 3 2 2" xfId="43847" xr:uid="{00000000-0005-0000-0000-00004FAB0000}"/>
    <cellStyle name="Normal 4 2 5 3 2 2 2" xfId="43848" xr:uid="{00000000-0005-0000-0000-000050AB0000}"/>
    <cellStyle name="Normal 4 2 5 3 2 3" xfId="43849" xr:uid="{00000000-0005-0000-0000-000051AB0000}"/>
    <cellStyle name="Normal 4 2 5 3 2 4" xfId="43850" xr:uid="{00000000-0005-0000-0000-000052AB0000}"/>
    <cellStyle name="Normal 4 2 5 3 3" xfId="43851" xr:uid="{00000000-0005-0000-0000-000053AB0000}"/>
    <cellStyle name="Normal 4 2 5 3 3 2" xfId="43852" xr:uid="{00000000-0005-0000-0000-000054AB0000}"/>
    <cellStyle name="Normal 4 2 5 3 4" xfId="43853" xr:uid="{00000000-0005-0000-0000-000055AB0000}"/>
    <cellStyle name="Normal 4 2 5 3 5" xfId="43854" xr:uid="{00000000-0005-0000-0000-000056AB0000}"/>
    <cellStyle name="Normal 4 2 5 4" xfId="43855" xr:uid="{00000000-0005-0000-0000-000057AB0000}"/>
    <cellStyle name="Normal 4 2 5 4 2" xfId="43856" xr:uid="{00000000-0005-0000-0000-000058AB0000}"/>
    <cellStyle name="Normal 4 2 5 4 2 2" xfId="43857" xr:uid="{00000000-0005-0000-0000-000059AB0000}"/>
    <cellStyle name="Normal 4 2 5 4 3" xfId="43858" xr:uid="{00000000-0005-0000-0000-00005AAB0000}"/>
    <cellStyle name="Normal 4 2 5 4 3 2" xfId="43859" xr:uid="{00000000-0005-0000-0000-00005BAB0000}"/>
    <cellStyle name="Normal 4 2 5 4 4" xfId="43860" xr:uid="{00000000-0005-0000-0000-00005CAB0000}"/>
    <cellStyle name="Normal 4 2 5 4 5" xfId="43861" xr:uid="{00000000-0005-0000-0000-00005DAB0000}"/>
    <cellStyle name="Normal 4 2 5 5" xfId="43862" xr:uid="{00000000-0005-0000-0000-00005EAB0000}"/>
    <cellStyle name="Normal 4 2 5 5 2" xfId="43863" xr:uid="{00000000-0005-0000-0000-00005FAB0000}"/>
    <cellStyle name="Normal 4 2 5 6" xfId="43864" xr:uid="{00000000-0005-0000-0000-000060AB0000}"/>
    <cellStyle name="Normal 4 2 5 6 2" xfId="43865" xr:uid="{00000000-0005-0000-0000-000061AB0000}"/>
    <cellStyle name="Normal 4 2 5 7" xfId="43866" xr:uid="{00000000-0005-0000-0000-000062AB0000}"/>
    <cellStyle name="Normal 4 2 5 8" xfId="43867" xr:uid="{00000000-0005-0000-0000-000063AB0000}"/>
    <cellStyle name="Normal 4 2 6" xfId="43868" xr:uid="{00000000-0005-0000-0000-000064AB0000}"/>
    <cellStyle name="Normal 4 2 6 2" xfId="43869" xr:uid="{00000000-0005-0000-0000-000065AB0000}"/>
    <cellStyle name="Normal 4 2 6 2 2" xfId="43870" xr:uid="{00000000-0005-0000-0000-000066AB0000}"/>
    <cellStyle name="Normal 4 2 6 2 2 2" xfId="43871" xr:uid="{00000000-0005-0000-0000-000067AB0000}"/>
    <cellStyle name="Normal 4 2 6 2 2 2 2" xfId="43872" xr:uid="{00000000-0005-0000-0000-000068AB0000}"/>
    <cellStyle name="Normal 4 2 6 2 2 3" xfId="43873" xr:uid="{00000000-0005-0000-0000-000069AB0000}"/>
    <cellStyle name="Normal 4 2 6 2 2 4" xfId="43874" xr:uid="{00000000-0005-0000-0000-00006AAB0000}"/>
    <cellStyle name="Normal 4 2 6 2 3" xfId="43875" xr:uid="{00000000-0005-0000-0000-00006BAB0000}"/>
    <cellStyle name="Normal 4 2 6 2 3 2" xfId="43876" xr:uid="{00000000-0005-0000-0000-00006CAB0000}"/>
    <cellStyle name="Normal 4 2 6 2 4" xfId="43877" xr:uid="{00000000-0005-0000-0000-00006DAB0000}"/>
    <cellStyle name="Normal 4 2 6 2 5" xfId="43878" xr:uid="{00000000-0005-0000-0000-00006EAB0000}"/>
    <cellStyle name="Normal 4 2 6 3" xfId="43879" xr:uid="{00000000-0005-0000-0000-00006FAB0000}"/>
    <cellStyle name="Normal 4 2 6 3 2" xfId="43880" xr:uid="{00000000-0005-0000-0000-000070AB0000}"/>
    <cellStyle name="Normal 4 2 6 3 3" xfId="43881" xr:uid="{00000000-0005-0000-0000-000071AB0000}"/>
    <cellStyle name="Normal 4 2 6 4" xfId="43882" xr:uid="{00000000-0005-0000-0000-000072AB0000}"/>
    <cellStyle name="Normal 4 2 6 4 2" xfId="43883" xr:uid="{00000000-0005-0000-0000-000073AB0000}"/>
    <cellStyle name="Normal 4 2 6 5" xfId="43884" xr:uid="{00000000-0005-0000-0000-000074AB0000}"/>
    <cellStyle name="Normal 4 2 7" xfId="43885" xr:uid="{00000000-0005-0000-0000-000075AB0000}"/>
    <cellStyle name="Normal 4 2 7 2" xfId="43886" xr:uid="{00000000-0005-0000-0000-000076AB0000}"/>
    <cellStyle name="Normal 4 2 7 2 2" xfId="43887" xr:uid="{00000000-0005-0000-0000-000077AB0000}"/>
    <cellStyle name="Normal 4 2 7 2 2 2" xfId="43888" xr:uid="{00000000-0005-0000-0000-000078AB0000}"/>
    <cellStyle name="Normal 4 2 7 2 3" xfId="43889" xr:uid="{00000000-0005-0000-0000-000079AB0000}"/>
    <cellStyle name="Normal 4 2 7 2 3 2" xfId="43890" xr:uid="{00000000-0005-0000-0000-00007AAB0000}"/>
    <cellStyle name="Normal 4 2 7 2 4" xfId="43891" xr:uid="{00000000-0005-0000-0000-00007BAB0000}"/>
    <cellStyle name="Normal 4 2 7 2 5" xfId="43892" xr:uid="{00000000-0005-0000-0000-00007CAB0000}"/>
    <cellStyle name="Normal 4 2 7 3" xfId="43893" xr:uid="{00000000-0005-0000-0000-00007DAB0000}"/>
    <cellStyle name="Normal 4 2 7 3 2" xfId="43894" xr:uid="{00000000-0005-0000-0000-00007EAB0000}"/>
    <cellStyle name="Normal 4 2 7 4" xfId="43895" xr:uid="{00000000-0005-0000-0000-00007FAB0000}"/>
    <cellStyle name="Normal 4 2 7 4 2" xfId="43896" xr:uid="{00000000-0005-0000-0000-000080AB0000}"/>
    <cellStyle name="Normal 4 2 7 5" xfId="43897" xr:uid="{00000000-0005-0000-0000-000081AB0000}"/>
    <cellStyle name="Normal 4 2 7 6" xfId="43898" xr:uid="{00000000-0005-0000-0000-000082AB0000}"/>
    <cellStyle name="Normal 4 2 8" xfId="43899" xr:uid="{00000000-0005-0000-0000-000083AB0000}"/>
    <cellStyle name="Normal 4 2 8 2" xfId="43900" xr:uid="{00000000-0005-0000-0000-000084AB0000}"/>
    <cellStyle name="Normal 4 2 8 2 2" xfId="43901" xr:uid="{00000000-0005-0000-0000-000085AB0000}"/>
    <cellStyle name="Normal 4 2 8 3" xfId="43902" xr:uid="{00000000-0005-0000-0000-000086AB0000}"/>
    <cellStyle name="Normal 4 2 8 3 2" xfId="43903" xr:uid="{00000000-0005-0000-0000-000087AB0000}"/>
    <cellStyle name="Normal 4 2 8 4" xfId="43904" xr:uid="{00000000-0005-0000-0000-000088AB0000}"/>
    <cellStyle name="Normal 4 2 8 5" xfId="43905" xr:uid="{00000000-0005-0000-0000-000089AB0000}"/>
    <cellStyle name="Normal 4 2 9" xfId="43906" xr:uid="{00000000-0005-0000-0000-00008AAB0000}"/>
    <cellStyle name="Normal 4 2 9 2" xfId="43907" xr:uid="{00000000-0005-0000-0000-00008BAB0000}"/>
    <cellStyle name="Normal 4 2 9 2 2" xfId="43908" xr:uid="{00000000-0005-0000-0000-00008CAB0000}"/>
    <cellStyle name="Normal 4 2 9 3" xfId="43909" xr:uid="{00000000-0005-0000-0000-00008DAB0000}"/>
    <cellStyle name="Normal 4 3" xfId="43910" xr:uid="{00000000-0005-0000-0000-00008EAB0000}"/>
    <cellStyle name="Normal 4 3 10" xfId="43911" xr:uid="{00000000-0005-0000-0000-00008FAB0000}"/>
    <cellStyle name="Normal 4 3 10 2" xfId="43912" xr:uid="{00000000-0005-0000-0000-000090AB0000}"/>
    <cellStyle name="Normal 4 3 11" xfId="43913" xr:uid="{00000000-0005-0000-0000-000091AB0000}"/>
    <cellStyle name="Normal 4 3 11 2" xfId="43914" xr:uid="{00000000-0005-0000-0000-000092AB0000}"/>
    <cellStyle name="Normal 4 3 12" xfId="43915" xr:uid="{00000000-0005-0000-0000-000093AB0000}"/>
    <cellStyle name="Normal 4 3 13" xfId="43916" xr:uid="{00000000-0005-0000-0000-000094AB0000}"/>
    <cellStyle name="Normal 4 3 2" xfId="43917" xr:uid="{00000000-0005-0000-0000-000095AB0000}"/>
    <cellStyle name="Normal 4 3 2 10" xfId="43918" xr:uid="{00000000-0005-0000-0000-000096AB0000}"/>
    <cellStyle name="Normal 4 3 2 11" xfId="43919" xr:uid="{00000000-0005-0000-0000-000097AB0000}"/>
    <cellStyle name="Normal 4 3 2 2" xfId="43920" xr:uid="{00000000-0005-0000-0000-000098AB0000}"/>
    <cellStyle name="Normal 4 3 2 2 10" xfId="43921" xr:uid="{00000000-0005-0000-0000-000099AB0000}"/>
    <cellStyle name="Normal 4 3 2 2 2" xfId="43922" xr:uid="{00000000-0005-0000-0000-00009AAB0000}"/>
    <cellStyle name="Normal 4 3 2 2 2 2" xfId="43923" xr:uid="{00000000-0005-0000-0000-00009BAB0000}"/>
    <cellStyle name="Normal 4 3 2 2 2 2 2" xfId="43924" xr:uid="{00000000-0005-0000-0000-00009CAB0000}"/>
    <cellStyle name="Normal 4 3 2 2 2 2 2 2" xfId="43925" xr:uid="{00000000-0005-0000-0000-00009DAB0000}"/>
    <cellStyle name="Normal 4 3 2 2 2 2 2 2 2" xfId="43926" xr:uid="{00000000-0005-0000-0000-00009EAB0000}"/>
    <cellStyle name="Normal 4 3 2 2 2 2 2 2 2 2" xfId="43927" xr:uid="{00000000-0005-0000-0000-00009FAB0000}"/>
    <cellStyle name="Normal 4 3 2 2 2 2 2 2 2 2 2" xfId="43928" xr:uid="{00000000-0005-0000-0000-0000A0AB0000}"/>
    <cellStyle name="Normal 4 3 2 2 2 2 2 2 2 3" xfId="43929" xr:uid="{00000000-0005-0000-0000-0000A1AB0000}"/>
    <cellStyle name="Normal 4 3 2 2 2 2 2 2 2 4" xfId="43930" xr:uid="{00000000-0005-0000-0000-0000A2AB0000}"/>
    <cellStyle name="Normal 4 3 2 2 2 2 2 2 3" xfId="43931" xr:uid="{00000000-0005-0000-0000-0000A3AB0000}"/>
    <cellStyle name="Normal 4 3 2 2 2 2 2 2 3 2" xfId="43932" xr:uid="{00000000-0005-0000-0000-0000A4AB0000}"/>
    <cellStyle name="Normal 4 3 2 2 2 2 2 2 4" xfId="43933" xr:uid="{00000000-0005-0000-0000-0000A5AB0000}"/>
    <cellStyle name="Normal 4 3 2 2 2 2 2 2 5" xfId="43934" xr:uid="{00000000-0005-0000-0000-0000A6AB0000}"/>
    <cellStyle name="Normal 4 3 2 2 2 2 2 3" xfId="43935" xr:uid="{00000000-0005-0000-0000-0000A7AB0000}"/>
    <cellStyle name="Normal 4 3 2 2 2 2 2 3 2" xfId="43936" xr:uid="{00000000-0005-0000-0000-0000A8AB0000}"/>
    <cellStyle name="Normal 4 3 2 2 2 2 2 3 2 2" xfId="43937" xr:uid="{00000000-0005-0000-0000-0000A9AB0000}"/>
    <cellStyle name="Normal 4 3 2 2 2 2 2 3 3" xfId="43938" xr:uid="{00000000-0005-0000-0000-0000AAAB0000}"/>
    <cellStyle name="Normal 4 3 2 2 2 2 2 3 4" xfId="43939" xr:uid="{00000000-0005-0000-0000-0000ABAB0000}"/>
    <cellStyle name="Normal 4 3 2 2 2 2 2 4" xfId="43940" xr:uid="{00000000-0005-0000-0000-0000ACAB0000}"/>
    <cellStyle name="Normal 4 3 2 2 2 2 2 4 2" xfId="43941" xr:uid="{00000000-0005-0000-0000-0000ADAB0000}"/>
    <cellStyle name="Normal 4 3 2 2 2 2 2 5" xfId="43942" xr:uid="{00000000-0005-0000-0000-0000AEAB0000}"/>
    <cellStyle name="Normal 4 3 2 2 2 2 2 6" xfId="43943" xr:uid="{00000000-0005-0000-0000-0000AFAB0000}"/>
    <cellStyle name="Normal 4 3 2 2 2 2 3" xfId="43944" xr:uid="{00000000-0005-0000-0000-0000B0AB0000}"/>
    <cellStyle name="Normal 4 3 2 2 2 2 3 2" xfId="43945" xr:uid="{00000000-0005-0000-0000-0000B1AB0000}"/>
    <cellStyle name="Normal 4 3 2 2 2 2 3 2 2" xfId="43946" xr:uid="{00000000-0005-0000-0000-0000B2AB0000}"/>
    <cellStyle name="Normal 4 3 2 2 2 2 3 2 2 2" xfId="43947" xr:uid="{00000000-0005-0000-0000-0000B3AB0000}"/>
    <cellStyle name="Normal 4 3 2 2 2 2 3 2 3" xfId="43948" xr:uid="{00000000-0005-0000-0000-0000B4AB0000}"/>
    <cellStyle name="Normal 4 3 2 2 2 2 3 2 4" xfId="43949" xr:uid="{00000000-0005-0000-0000-0000B5AB0000}"/>
    <cellStyle name="Normal 4 3 2 2 2 2 3 3" xfId="43950" xr:uid="{00000000-0005-0000-0000-0000B6AB0000}"/>
    <cellStyle name="Normal 4 3 2 2 2 2 3 3 2" xfId="43951" xr:uid="{00000000-0005-0000-0000-0000B7AB0000}"/>
    <cellStyle name="Normal 4 3 2 2 2 2 3 4" xfId="43952" xr:uid="{00000000-0005-0000-0000-0000B8AB0000}"/>
    <cellStyle name="Normal 4 3 2 2 2 2 3 5" xfId="43953" xr:uid="{00000000-0005-0000-0000-0000B9AB0000}"/>
    <cellStyle name="Normal 4 3 2 2 2 2 4" xfId="43954" xr:uid="{00000000-0005-0000-0000-0000BAAB0000}"/>
    <cellStyle name="Normal 4 3 2 2 2 2 4 2" xfId="43955" xr:uid="{00000000-0005-0000-0000-0000BBAB0000}"/>
    <cellStyle name="Normal 4 3 2 2 2 2 4 2 2" xfId="43956" xr:uid="{00000000-0005-0000-0000-0000BCAB0000}"/>
    <cellStyle name="Normal 4 3 2 2 2 2 4 3" xfId="43957" xr:uid="{00000000-0005-0000-0000-0000BDAB0000}"/>
    <cellStyle name="Normal 4 3 2 2 2 2 4 4" xfId="43958" xr:uid="{00000000-0005-0000-0000-0000BEAB0000}"/>
    <cellStyle name="Normal 4 3 2 2 2 2 5" xfId="43959" xr:uid="{00000000-0005-0000-0000-0000BFAB0000}"/>
    <cellStyle name="Normal 4 3 2 2 2 2 5 2" xfId="43960" xr:uid="{00000000-0005-0000-0000-0000C0AB0000}"/>
    <cellStyle name="Normal 4 3 2 2 2 2 6" xfId="43961" xr:uid="{00000000-0005-0000-0000-0000C1AB0000}"/>
    <cellStyle name="Normal 4 3 2 2 2 2 7" xfId="43962" xr:uid="{00000000-0005-0000-0000-0000C2AB0000}"/>
    <cellStyle name="Normal 4 3 2 2 2 3" xfId="43963" xr:uid="{00000000-0005-0000-0000-0000C3AB0000}"/>
    <cellStyle name="Normal 4 3 2 2 2 3 2" xfId="43964" xr:uid="{00000000-0005-0000-0000-0000C4AB0000}"/>
    <cellStyle name="Normal 4 3 2 2 2 3 2 2" xfId="43965" xr:uid="{00000000-0005-0000-0000-0000C5AB0000}"/>
    <cellStyle name="Normal 4 3 2 2 2 3 2 2 2" xfId="43966" xr:uid="{00000000-0005-0000-0000-0000C6AB0000}"/>
    <cellStyle name="Normal 4 3 2 2 2 3 2 2 2 2" xfId="43967" xr:uid="{00000000-0005-0000-0000-0000C7AB0000}"/>
    <cellStyle name="Normal 4 3 2 2 2 3 2 2 3" xfId="43968" xr:uid="{00000000-0005-0000-0000-0000C8AB0000}"/>
    <cellStyle name="Normal 4 3 2 2 2 3 2 2 4" xfId="43969" xr:uid="{00000000-0005-0000-0000-0000C9AB0000}"/>
    <cellStyle name="Normal 4 3 2 2 2 3 2 3" xfId="43970" xr:uid="{00000000-0005-0000-0000-0000CAAB0000}"/>
    <cellStyle name="Normal 4 3 2 2 2 3 2 3 2" xfId="43971" xr:uid="{00000000-0005-0000-0000-0000CBAB0000}"/>
    <cellStyle name="Normal 4 3 2 2 2 3 2 4" xfId="43972" xr:uid="{00000000-0005-0000-0000-0000CCAB0000}"/>
    <cellStyle name="Normal 4 3 2 2 2 3 2 5" xfId="43973" xr:uid="{00000000-0005-0000-0000-0000CDAB0000}"/>
    <cellStyle name="Normal 4 3 2 2 2 3 3" xfId="43974" xr:uid="{00000000-0005-0000-0000-0000CEAB0000}"/>
    <cellStyle name="Normal 4 3 2 2 2 3 3 2" xfId="43975" xr:uid="{00000000-0005-0000-0000-0000CFAB0000}"/>
    <cellStyle name="Normal 4 3 2 2 2 3 3 2 2" xfId="43976" xr:uid="{00000000-0005-0000-0000-0000D0AB0000}"/>
    <cellStyle name="Normal 4 3 2 2 2 3 3 3" xfId="43977" xr:uid="{00000000-0005-0000-0000-0000D1AB0000}"/>
    <cellStyle name="Normal 4 3 2 2 2 3 3 3 2" xfId="43978" xr:uid="{00000000-0005-0000-0000-0000D2AB0000}"/>
    <cellStyle name="Normal 4 3 2 2 2 3 3 4" xfId="43979" xr:uid="{00000000-0005-0000-0000-0000D3AB0000}"/>
    <cellStyle name="Normal 4 3 2 2 2 3 3 5" xfId="43980" xr:uid="{00000000-0005-0000-0000-0000D4AB0000}"/>
    <cellStyle name="Normal 4 3 2 2 2 3 4" xfId="43981" xr:uid="{00000000-0005-0000-0000-0000D5AB0000}"/>
    <cellStyle name="Normal 4 3 2 2 2 3 4 2" xfId="43982" xr:uid="{00000000-0005-0000-0000-0000D6AB0000}"/>
    <cellStyle name="Normal 4 3 2 2 2 3 5" xfId="43983" xr:uid="{00000000-0005-0000-0000-0000D7AB0000}"/>
    <cellStyle name="Normal 4 3 2 2 2 3 5 2" xfId="43984" xr:uid="{00000000-0005-0000-0000-0000D8AB0000}"/>
    <cellStyle name="Normal 4 3 2 2 2 3 6" xfId="43985" xr:uid="{00000000-0005-0000-0000-0000D9AB0000}"/>
    <cellStyle name="Normal 4 3 2 2 2 3 7" xfId="43986" xr:uid="{00000000-0005-0000-0000-0000DAAB0000}"/>
    <cellStyle name="Normal 4 3 2 2 2 4" xfId="43987" xr:uid="{00000000-0005-0000-0000-0000DBAB0000}"/>
    <cellStyle name="Normal 4 3 2 2 2 4 2" xfId="43988" xr:uid="{00000000-0005-0000-0000-0000DCAB0000}"/>
    <cellStyle name="Normal 4 3 2 2 2 4 2 2" xfId="43989" xr:uid="{00000000-0005-0000-0000-0000DDAB0000}"/>
    <cellStyle name="Normal 4 3 2 2 2 4 2 2 2" xfId="43990" xr:uid="{00000000-0005-0000-0000-0000DEAB0000}"/>
    <cellStyle name="Normal 4 3 2 2 2 4 2 3" xfId="43991" xr:uid="{00000000-0005-0000-0000-0000DFAB0000}"/>
    <cellStyle name="Normal 4 3 2 2 2 4 2 4" xfId="43992" xr:uid="{00000000-0005-0000-0000-0000E0AB0000}"/>
    <cellStyle name="Normal 4 3 2 2 2 4 3" xfId="43993" xr:uid="{00000000-0005-0000-0000-0000E1AB0000}"/>
    <cellStyle name="Normal 4 3 2 2 2 4 3 2" xfId="43994" xr:uid="{00000000-0005-0000-0000-0000E2AB0000}"/>
    <cellStyle name="Normal 4 3 2 2 2 4 4" xfId="43995" xr:uid="{00000000-0005-0000-0000-0000E3AB0000}"/>
    <cellStyle name="Normal 4 3 2 2 2 4 5" xfId="43996" xr:uid="{00000000-0005-0000-0000-0000E4AB0000}"/>
    <cellStyle name="Normal 4 3 2 2 2 5" xfId="43997" xr:uid="{00000000-0005-0000-0000-0000E5AB0000}"/>
    <cellStyle name="Normal 4 3 2 2 2 5 2" xfId="43998" xr:uid="{00000000-0005-0000-0000-0000E6AB0000}"/>
    <cellStyle name="Normal 4 3 2 2 2 5 2 2" xfId="43999" xr:uid="{00000000-0005-0000-0000-0000E7AB0000}"/>
    <cellStyle name="Normal 4 3 2 2 2 5 3" xfId="44000" xr:uid="{00000000-0005-0000-0000-0000E8AB0000}"/>
    <cellStyle name="Normal 4 3 2 2 2 5 3 2" xfId="44001" xr:uid="{00000000-0005-0000-0000-0000E9AB0000}"/>
    <cellStyle name="Normal 4 3 2 2 2 5 4" xfId="44002" xr:uid="{00000000-0005-0000-0000-0000EAAB0000}"/>
    <cellStyle name="Normal 4 3 2 2 2 5 5" xfId="44003" xr:uid="{00000000-0005-0000-0000-0000EBAB0000}"/>
    <cellStyle name="Normal 4 3 2 2 2 6" xfId="44004" xr:uid="{00000000-0005-0000-0000-0000ECAB0000}"/>
    <cellStyle name="Normal 4 3 2 2 2 6 2" xfId="44005" xr:uid="{00000000-0005-0000-0000-0000EDAB0000}"/>
    <cellStyle name="Normal 4 3 2 2 2 7" xfId="44006" xr:uid="{00000000-0005-0000-0000-0000EEAB0000}"/>
    <cellStyle name="Normal 4 3 2 2 2 7 2" xfId="44007" xr:uid="{00000000-0005-0000-0000-0000EFAB0000}"/>
    <cellStyle name="Normal 4 3 2 2 2 8" xfId="44008" xr:uid="{00000000-0005-0000-0000-0000F0AB0000}"/>
    <cellStyle name="Normal 4 3 2 2 2 9" xfId="44009" xr:uid="{00000000-0005-0000-0000-0000F1AB0000}"/>
    <cellStyle name="Normal 4 3 2 2 3" xfId="44010" xr:uid="{00000000-0005-0000-0000-0000F2AB0000}"/>
    <cellStyle name="Normal 4 3 2 2 3 2" xfId="44011" xr:uid="{00000000-0005-0000-0000-0000F3AB0000}"/>
    <cellStyle name="Normal 4 3 2 2 3 2 2" xfId="44012" xr:uid="{00000000-0005-0000-0000-0000F4AB0000}"/>
    <cellStyle name="Normal 4 3 2 2 3 2 2 2" xfId="44013" xr:uid="{00000000-0005-0000-0000-0000F5AB0000}"/>
    <cellStyle name="Normal 4 3 2 2 3 2 2 2 2" xfId="44014" xr:uid="{00000000-0005-0000-0000-0000F6AB0000}"/>
    <cellStyle name="Normal 4 3 2 2 3 2 2 2 2 2" xfId="44015" xr:uid="{00000000-0005-0000-0000-0000F7AB0000}"/>
    <cellStyle name="Normal 4 3 2 2 3 2 2 2 3" xfId="44016" xr:uid="{00000000-0005-0000-0000-0000F8AB0000}"/>
    <cellStyle name="Normal 4 3 2 2 3 2 2 2 4" xfId="44017" xr:uid="{00000000-0005-0000-0000-0000F9AB0000}"/>
    <cellStyle name="Normal 4 3 2 2 3 2 2 3" xfId="44018" xr:uid="{00000000-0005-0000-0000-0000FAAB0000}"/>
    <cellStyle name="Normal 4 3 2 2 3 2 2 3 2" xfId="44019" xr:uid="{00000000-0005-0000-0000-0000FBAB0000}"/>
    <cellStyle name="Normal 4 3 2 2 3 2 2 4" xfId="44020" xr:uid="{00000000-0005-0000-0000-0000FCAB0000}"/>
    <cellStyle name="Normal 4 3 2 2 3 2 2 5" xfId="44021" xr:uid="{00000000-0005-0000-0000-0000FDAB0000}"/>
    <cellStyle name="Normal 4 3 2 2 3 2 3" xfId="44022" xr:uid="{00000000-0005-0000-0000-0000FEAB0000}"/>
    <cellStyle name="Normal 4 3 2 2 3 2 3 2" xfId="44023" xr:uid="{00000000-0005-0000-0000-0000FFAB0000}"/>
    <cellStyle name="Normal 4 3 2 2 3 2 3 2 2" xfId="44024" xr:uid="{00000000-0005-0000-0000-000000AC0000}"/>
    <cellStyle name="Normal 4 3 2 2 3 2 3 3" xfId="44025" xr:uid="{00000000-0005-0000-0000-000001AC0000}"/>
    <cellStyle name="Normal 4 3 2 2 3 2 3 4" xfId="44026" xr:uid="{00000000-0005-0000-0000-000002AC0000}"/>
    <cellStyle name="Normal 4 3 2 2 3 2 4" xfId="44027" xr:uid="{00000000-0005-0000-0000-000003AC0000}"/>
    <cellStyle name="Normal 4 3 2 2 3 2 4 2" xfId="44028" xr:uid="{00000000-0005-0000-0000-000004AC0000}"/>
    <cellStyle name="Normal 4 3 2 2 3 2 5" xfId="44029" xr:uid="{00000000-0005-0000-0000-000005AC0000}"/>
    <cellStyle name="Normal 4 3 2 2 3 2 6" xfId="44030" xr:uid="{00000000-0005-0000-0000-000006AC0000}"/>
    <cellStyle name="Normal 4 3 2 2 3 3" xfId="44031" xr:uid="{00000000-0005-0000-0000-000007AC0000}"/>
    <cellStyle name="Normal 4 3 2 2 3 3 2" xfId="44032" xr:uid="{00000000-0005-0000-0000-000008AC0000}"/>
    <cellStyle name="Normal 4 3 2 2 3 3 2 2" xfId="44033" xr:uid="{00000000-0005-0000-0000-000009AC0000}"/>
    <cellStyle name="Normal 4 3 2 2 3 3 2 2 2" xfId="44034" xr:uid="{00000000-0005-0000-0000-00000AAC0000}"/>
    <cellStyle name="Normal 4 3 2 2 3 3 2 3" xfId="44035" xr:uid="{00000000-0005-0000-0000-00000BAC0000}"/>
    <cellStyle name="Normal 4 3 2 2 3 3 2 4" xfId="44036" xr:uid="{00000000-0005-0000-0000-00000CAC0000}"/>
    <cellStyle name="Normal 4 3 2 2 3 3 3" xfId="44037" xr:uid="{00000000-0005-0000-0000-00000DAC0000}"/>
    <cellStyle name="Normal 4 3 2 2 3 3 3 2" xfId="44038" xr:uid="{00000000-0005-0000-0000-00000EAC0000}"/>
    <cellStyle name="Normal 4 3 2 2 3 3 4" xfId="44039" xr:uid="{00000000-0005-0000-0000-00000FAC0000}"/>
    <cellStyle name="Normal 4 3 2 2 3 3 5" xfId="44040" xr:uid="{00000000-0005-0000-0000-000010AC0000}"/>
    <cellStyle name="Normal 4 3 2 2 3 4" xfId="44041" xr:uid="{00000000-0005-0000-0000-000011AC0000}"/>
    <cellStyle name="Normal 4 3 2 2 3 4 2" xfId="44042" xr:uid="{00000000-0005-0000-0000-000012AC0000}"/>
    <cellStyle name="Normal 4 3 2 2 3 4 2 2" xfId="44043" xr:uid="{00000000-0005-0000-0000-000013AC0000}"/>
    <cellStyle name="Normal 4 3 2 2 3 4 3" xfId="44044" xr:uid="{00000000-0005-0000-0000-000014AC0000}"/>
    <cellStyle name="Normal 4 3 2 2 3 4 4" xfId="44045" xr:uid="{00000000-0005-0000-0000-000015AC0000}"/>
    <cellStyle name="Normal 4 3 2 2 3 5" xfId="44046" xr:uid="{00000000-0005-0000-0000-000016AC0000}"/>
    <cellStyle name="Normal 4 3 2 2 3 5 2" xfId="44047" xr:uid="{00000000-0005-0000-0000-000017AC0000}"/>
    <cellStyle name="Normal 4 3 2 2 3 6" xfId="44048" xr:uid="{00000000-0005-0000-0000-000018AC0000}"/>
    <cellStyle name="Normal 4 3 2 2 3 7" xfId="44049" xr:uid="{00000000-0005-0000-0000-000019AC0000}"/>
    <cellStyle name="Normal 4 3 2 2 4" xfId="44050" xr:uid="{00000000-0005-0000-0000-00001AAC0000}"/>
    <cellStyle name="Normal 4 3 2 2 4 2" xfId="44051" xr:uid="{00000000-0005-0000-0000-00001BAC0000}"/>
    <cellStyle name="Normal 4 3 2 2 4 2 2" xfId="44052" xr:uid="{00000000-0005-0000-0000-00001CAC0000}"/>
    <cellStyle name="Normal 4 3 2 2 4 2 2 2" xfId="44053" xr:uid="{00000000-0005-0000-0000-00001DAC0000}"/>
    <cellStyle name="Normal 4 3 2 2 4 2 2 2 2" xfId="44054" xr:uid="{00000000-0005-0000-0000-00001EAC0000}"/>
    <cellStyle name="Normal 4 3 2 2 4 2 2 3" xfId="44055" xr:uid="{00000000-0005-0000-0000-00001FAC0000}"/>
    <cellStyle name="Normal 4 3 2 2 4 2 2 4" xfId="44056" xr:uid="{00000000-0005-0000-0000-000020AC0000}"/>
    <cellStyle name="Normal 4 3 2 2 4 2 3" xfId="44057" xr:uid="{00000000-0005-0000-0000-000021AC0000}"/>
    <cellStyle name="Normal 4 3 2 2 4 2 3 2" xfId="44058" xr:uid="{00000000-0005-0000-0000-000022AC0000}"/>
    <cellStyle name="Normal 4 3 2 2 4 2 4" xfId="44059" xr:uid="{00000000-0005-0000-0000-000023AC0000}"/>
    <cellStyle name="Normal 4 3 2 2 4 2 5" xfId="44060" xr:uid="{00000000-0005-0000-0000-000024AC0000}"/>
    <cellStyle name="Normal 4 3 2 2 4 3" xfId="44061" xr:uid="{00000000-0005-0000-0000-000025AC0000}"/>
    <cellStyle name="Normal 4 3 2 2 4 3 2" xfId="44062" xr:uid="{00000000-0005-0000-0000-000026AC0000}"/>
    <cellStyle name="Normal 4 3 2 2 4 3 2 2" xfId="44063" xr:uid="{00000000-0005-0000-0000-000027AC0000}"/>
    <cellStyle name="Normal 4 3 2 2 4 3 3" xfId="44064" xr:uid="{00000000-0005-0000-0000-000028AC0000}"/>
    <cellStyle name="Normal 4 3 2 2 4 3 3 2" xfId="44065" xr:uid="{00000000-0005-0000-0000-000029AC0000}"/>
    <cellStyle name="Normal 4 3 2 2 4 3 4" xfId="44066" xr:uid="{00000000-0005-0000-0000-00002AAC0000}"/>
    <cellStyle name="Normal 4 3 2 2 4 3 5" xfId="44067" xr:uid="{00000000-0005-0000-0000-00002BAC0000}"/>
    <cellStyle name="Normal 4 3 2 2 4 4" xfId="44068" xr:uid="{00000000-0005-0000-0000-00002CAC0000}"/>
    <cellStyle name="Normal 4 3 2 2 4 4 2" xfId="44069" xr:uid="{00000000-0005-0000-0000-00002DAC0000}"/>
    <cellStyle name="Normal 4 3 2 2 4 5" xfId="44070" xr:uid="{00000000-0005-0000-0000-00002EAC0000}"/>
    <cellStyle name="Normal 4 3 2 2 4 5 2" xfId="44071" xr:uid="{00000000-0005-0000-0000-00002FAC0000}"/>
    <cellStyle name="Normal 4 3 2 2 4 6" xfId="44072" xr:uid="{00000000-0005-0000-0000-000030AC0000}"/>
    <cellStyle name="Normal 4 3 2 2 4 7" xfId="44073" xr:uid="{00000000-0005-0000-0000-000031AC0000}"/>
    <cellStyle name="Normal 4 3 2 2 5" xfId="44074" xr:uid="{00000000-0005-0000-0000-000032AC0000}"/>
    <cellStyle name="Normal 4 3 2 2 5 2" xfId="44075" xr:uid="{00000000-0005-0000-0000-000033AC0000}"/>
    <cellStyle name="Normal 4 3 2 2 5 2 2" xfId="44076" xr:uid="{00000000-0005-0000-0000-000034AC0000}"/>
    <cellStyle name="Normal 4 3 2 2 5 2 2 2" xfId="44077" xr:uid="{00000000-0005-0000-0000-000035AC0000}"/>
    <cellStyle name="Normal 4 3 2 2 5 2 3" xfId="44078" xr:uid="{00000000-0005-0000-0000-000036AC0000}"/>
    <cellStyle name="Normal 4 3 2 2 5 2 4" xfId="44079" xr:uid="{00000000-0005-0000-0000-000037AC0000}"/>
    <cellStyle name="Normal 4 3 2 2 5 3" xfId="44080" xr:uid="{00000000-0005-0000-0000-000038AC0000}"/>
    <cellStyle name="Normal 4 3 2 2 5 3 2" xfId="44081" xr:uid="{00000000-0005-0000-0000-000039AC0000}"/>
    <cellStyle name="Normal 4 3 2 2 5 4" xfId="44082" xr:uid="{00000000-0005-0000-0000-00003AAC0000}"/>
    <cellStyle name="Normal 4 3 2 2 5 5" xfId="44083" xr:uid="{00000000-0005-0000-0000-00003BAC0000}"/>
    <cellStyle name="Normal 4 3 2 2 6" xfId="44084" xr:uid="{00000000-0005-0000-0000-00003CAC0000}"/>
    <cellStyle name="Normal 4 3 2 2 6 2" xfId="44085" xr:uid="{00000000-0005-0000-0000-00003DAC0000}"/>
    <cellStyle name="Normal 4 3 2 2 6 2 2" xfId="44086" xr:uid="{00000000-0005-0000-0000-00003EAC0000}"/>
    <cellStyle name="Normal 4 3 2 2 6 3" xfId="44087" xr:uid="{00000000-0005-0000-0000-00003FAC0000}"/>
    <cellStyle name="Normal 4 3 2 2 6 3 2" xfId="44088" xr:uid="{00000000-0005-0000-0000-000040AC0000}"/>
    <cellStyle name="Normal 4 3 2 2 6 4" xfId="44089" xr:uid="{00000000-0005-0000-0000-000041AC0000}"/>
    <cellStyle name="Normal 4 3 2 2 6 5" xfId="44090" xr:uid="{00000000-0005-0000-0000-000042AC0000}"/>
    <cellStyle name="Normal 4 3 2 2 7" xfId="44091" xr:uid="{00000000-0005-0000-0000-000043AC0000}"/>
    <cellStyle name="Normal 4 3 2 2 7 2" xfId="44092" xr:uid="{00000000-0005-0000-0000-000044AC0000}"/>
    <cellStyle name="Normal 4 3 2 2 8" xfId="44093" xr:uid="{00000000-0005-0000-0000-000045AC0000}"/>
    <cellStyle name="Normal 4 3 2 2 8 2" xfId="44094" xr:uid="{00000000-0005-0000-0000-000046AC0000}"/>
    <cellStyle name="Normal 4 3 2 2 9" xfId="44095" xr:uid="{00000000-0005-0000-0000-000047AC0000}"/>
    <cellStyle name="Normal 4 3 2 3" xfId="44096" xr:uid="{00000000-0005-0000-0000-000048AC0000}"/>
    <cellStyle name="Normal 4 3 2 3 2" xfId="44097" xr:uid="{00000000-0005-0000-0000-000049AC0000}"/>
    <cellStyle name="Normal 4 3 2 3 2 2" xfId="44098" xr:uid="{00000000-0005-0000-0000-00004AAC0000}"/>
    <cellStyle name="Normal 4 3 2 3 2 2 2" xfId="44099" xr:uid="{00000000-0005-0000-0000-00004BAC0000}"/>
    <cellStyle name="Normal 4 3 2 3 2 2 2 2" xfId="44100" xr:uid="{00000000-0005-0000-0000-00004CAC0000}"/>
    <cellStyle name="Normal 4 3 2 3 2 2 2 2 2" xfId="44101" xr:uid="{00000000-0005-0000-0000-00004DAC0000}"/>
    <cellStyle name="Normal 4 3 2 3 2 2 2 2 2 2" xfId="44102" xr:uid="{00000000-0005-0000-0000-00004EAC0000}"/>
    <cellStyle name="Normal 4 3 2 3 2 2 2 2 3" xfId="44103" xr:uid="{00000000-0005-0000-0000-00004FAC0000}"/>
    <cellStyle name="Normal 4 3 2 3 2 2 2 2 4" xfId="44104" xr:uid="{00000000-0005-0000-0000-000050AC0000}"/>
    <cellStyle name="Normal 4 3 2 3 2 2 2 3" xfId="44105" xr:uid="{00000000-0005-0000-0000-000051AC0000}"/>
    <cellStyle name="Normal 4 3 2 3 2 2 2 3 2" xfId="44106" xr:uid="{00000000-0005-0000-0000-000052AC0000}"/>
    <cellStyle name="Normal 4 3 2 3 2 2 2 4" xfId="44107" xr:uid="{00000000-0005-0000-0000-000053AC0000}"/>
    <cellStyle name="Normal 4 3 2 3 2 2 2 5" xfId="44108" xr:uid="{00000000-0005-0000-0000-000054AC0000}"/>
    <cellStyle name="Normal 4 3 2 3 2 2 3" xfId="44109" xr:uid="{00000000-0005-0000-0000-000055AC0000}"/>
    <cellStyle name="Normal 4 3 2 3 2 2 3 2" xfId="44110" xr:uid="{00000000-0005-0000-0000-000056AC0000}"/>
    <cellStyle name="Normal 4 3 2 3 2 2 3 2 2" xfId="44111" xr:uid="{00000000-0005-0000-0000-000057AC0000}"/>
    <cellStyle name="Normal 4 3 2 3 2 2 3 3" xfId="44112" xr:uid="{00000000-0005-0000-0000-000058AC0000}"/>
    <cellStyle name="Normal 4 3 2 3 2 2 3 4" xfId="44113" xr:uid="{00000000-0005-0000-0000-000059AC0000}"/>
    <cellStyle name="Normal 4 3 2 3 2 2 4" xfId="44114" xr:uid="{00000000-0005-0000-0000-00005AAC0000}"/>
    <cellStyle name="Normal 4 3 2 3 2 2 4 2" xfId="44115" xr:uid="{00000000-0005-0000-0000-00005BAC0000}"/>
    <cellStyle name="Normal 4 3 2 3 2 2 5" xfId="44116" xr:uid="{00000000-0005-0000-0000-00005CAC0000}"/>
    <cellStyle name="Normal 4 3 2 3 2 2 6" xfId="44117" xr:uid="{00000000-0005-0000-0000-00005DAC0000}"/>
    <cellStyle name="Normal 4 3 2 3 2 3" xfId="44118" xr:uid="{00000000-0005-0000-0000-00005EAC0000}"/>
    <cellStyle name="Normal 4 3 2 3 2 3 2" xfId="44119" xr:uid="{00000000-0005-0000-0000-00005FAC0000}"/>
    <cellStyle name="Normal 4 3 2 3 2 3 2 2" xfId="44120" xr:uid="{00000000-0005-0000-0000-000060AC0000}"/>
    <cellStyle name="Normal 4 3 2 3 2 3 2 2 2" xfId="44121" xr:uid="{00000000-0005-0000-0000-000061AC0000}"/>
    <cellStyle name="Normal 4 3 2 3 2 3 2 3" xfId="44122" xr:uid="{00000000-0005-0000-0000-000062AC0000}"/>
    <cellStyle name="Normal 4 3 2 3 2 3 2 4" xfId="44123" xr:uid="{00000000-0005-0000-0000-000063AC0000}"/>
    <cellStyle name="Normal 4 3 2 3 2 3 3" xfId="44124" xr:uid="{00000000-0005-0000-0000-000064AC0000}"/>
    <cellStyle name="Normal 4 3 2 3 2 3 3 2" xfId="44125" xr:uid="{00000000-0005-0000-0000-000065AC0000}"/>
    <cellStyle name="Normal 4 3 2 3 2 3 4" xfId="44126" xr:uid="{00000000-0005-0000-0000-000066AC0000}"/>
    <cellStyle name="Normal 4 3 2 3 2 3 5" xfId="44127" xr:uid="{00000000-0005-0000-0000-000067AC0000}"/>
    <cellStyle name="Normal 4 3 2 3 2 4" xfId="44128" xr:uid="{00000000-0005-0000-0000-000068AC0000}"/>
    <cellStyle name="Normal 4 3 2 3 2 4 2" xfId="44129" xr:uid="{00000000-0005-0000-0000-000069AC0000}"/>
    <cellStyle name="Normal 4 3 2 3 2 4 2 2" xfId="44130" xr:uid="{00000000-0005-0000-0000-00006AAC0000}"/>
    <cellStyle name="Normal 4 3 2 3 2 4 3" xfId="44131" xr:uid="{00000000-0005-0000-0000-00006BAC0000}"/>
    <cellStyle name="Normal 4 3 2 3 2 4 4" xfId="44132" xr:uid="{00000000-0005-0000-0000-00006CAC0000}"/>
    <cellStyle name="Normal 4 3 2 3 2 5" xfId="44133" xr:uid="{00000000-0005-0000-0000-00006DAC0000}"/>
    <cellStyle name="Normal 4 3 2 3 2 5 2" xfId="44134" xr:uid="{00000000-0005-0000-0000-00006EAC0000}"/>
    <cellStyle name="Normal 4 3 2 3 2 6" xfId="44135" xr:uid="{00000000-0005-0000-0000-00006FAC0000}"/>
    <cellStyle name="Normal 4 3 2 3 2 7" xfId="44136" xr:uid="{00000000-0005-0000-0000-000070AC0000}"/>
    <cellStyle name="Normal 4 3 2 3 3" xfId="44137" xr:uid="{00000000-0005-0000-0000-000071AC0000}"/>
    <cellStyle name="Normal 4 3 2 3 3 2" xfId="44138" xr:uid="{00000000-0005-0000-0000-000072AC0000}"/>
    <cellStyle name="Normal 4 3 2 3 3 2 2" xfId="44139" xr:uid="{00000000-0005-0000-0000-000073AC0000}"/>
    <cellStyle name="Normal 4 3 2 3 3 2 2 2" xfId="44140" xr:uid="{00000000-0005-0000-0000-000074AC0000}"/>
    <cellStyle name="Normal 4 3 2 3 3 2 2 2 2" xfId="44141" xr:uid="{00000000-0005-0000-0000-000075AC0000}"/>
    <cellStyle name="Normal 4 3 2 3 3 2 2 3" xfId="44142" xr:uid="{00000000-0005-0000-0000-000076AC0000}"/>
    <cellStyle name="Normal 4 3 2 3 3 2 2 4" xfId="44143" xr:uid="{00000000-0005-0000-0000-000077AC0000}"/>
    <cellStyle name="Normal 4 3 2 3 3 2 3" xfId="44144" xr:uid="{00000000-0005-0000-0000-000078AC0000}"/>
    <cellStyle name="Normal 4 3 2 3 3 2 3 2" xfId="44145" xr:uid="{00000000-0005-0000-0000-000079AC0000}"/>
    <cellStyle name="Normal 4 3 2 3 3 2 4" xfId="44146" xr:uid="{00000000-0005-0000-0000-00007AAC0000}"/>
    <cellStyle name="Normal 4 3 2 3 3 2 5" xfId="44147" xr:uid="{00000000-0005-0000-0000-00007BAC0000}"/>
    <cellStyle name="Normal 4 3 2 3 3 3" xfId="44148" xr:uid="{00000000-0005-0000-0000-00007CAC0000}"/>
    <cellStyle name="Normal 4 3 2 3 3 3 2" xfId="44149" xr:uid="{00000000-0005-0000-0000-00007DAC0000}"/>
    <cellStyle name="Normal 4 3 2 3 3 3 2 2" xfId="44150" xr:uid="{00000000-0005-0000-0000-00007EAC0000}"/>
    <cellStyle name="Normal 4 3 2 3 3 3 3" xfId="44151" xr:uid="{00000000-0005-0000-0000-00007FAC0000}"/>
    <cellStyle name="Normal 4 3 2 3 3 3 3 2" xfId="44152" xr:uid="{00000000-0005-0000-0000-000080AC0000}"/>
    <cellStyle name="Normal 4 3 2 3 3 3 4" xfId="44153" xr:uid="{00000000-0005-0000-0000-000081AC0000}"/>
    <cellStyle name="Normal 4 3 2 3 3 3 5" xfId="44154" xr:uid="{00000000-0005-0000-0000-000082AC0000}"/>
    <cellStyle name="Normal 4 3 2 3 3 4" xfId="44155" xr:uid="{00000000-0005-0000-0000-000083AC0000}"/>
    <cellStyle name="Normal 4 3 2 3 3 4 2" xfId="44156" xr:uid="{00000000-0005-0000-0000-000084AC0000}"/>
    <cellStyle name="Normal 4 3 2 3 3 5" xfId="44157" xr:uid="{00000000-0005-0000-0000-000085AC0000}"/>
    <cellStyle name="Normal 4 3 2 3 3 5 2" xfId="44158" xr:uid="{00000000-0005-0000-0000-000086AC0000}"/>
    <cellStyle name="Normal 4 3 2 3 3 6" xfId="44159" xr:uid="{00000000-0005-0000-0000-000087AC0000}"/>
    <cellStyle name="Normal 4 3 2 3 3 7" xfId="44160" xr:uid="{00000000-0005-0000-0000-000088AC0000}"/>
    <cellStyle name="Normal 4 3 2 3 4" xfId="44161" xr:uid="{00000000-0005-0000-0000-000089AC0000}"/>
    <cellStyle name="Normal 4 3 2 3 4 2" xfId="44162" xr:uid="{00000000-0005-0000-0000-00008AAC0000}"/>
    <cellStyle name="Normal 4 3 2 3 4 2 2" xfId="44163" xr:uid="{00000000-0005-0000-0000-00008BAC0000}"/>
    <cellStyle name="Normal 4 3 2 3 4 2 2 2" xfId="44164" xr:uid="{00000000-0005-0000-0000-00008CAC0000}"/>
    <cellStyle name="Normal 4 3 2 3 4 2 3" xfId="44165" xr:uid="{00000000-0005-0000-0000-00008DAC0000}"/>
    <cellStyle name="Normal 4 3 2 3 4 2 4" xfId="44166" xr:uid="{00000000-0005-0000-0000-00008EAC0000}"/>
    <cellStyle name="Normal 4 3 2 3 4 3" xfId="44167" xr:uid="{00000000-0005-0000-0000-00008FAC0000}"/>
    <cellStyle name="Normal 4 3 2 3 4 3 2" xfId="44168" xr:uid="{00000000-0005-0000-0000-000090AC0000}"/>
    <cellStyle name="Normal 4 3 2 3 4 4" xfId="44169" xr:uid="{00000000-0005-0000-0000-000091AC0000}"/>
    <cellStyle name="Normal 4 3 2 3 4 5" xfId="44170" xr:uid="{00000000-0005-0000-0000-000092AC0000}"/>
    <cellStyle name="Normal 4 3 2 3 5" xfId="44171" xr:uid="{00000000-0005-0000-0000-000093AC0000}"/>
    <cellStyle name="Normal 4 3 2 3 5 2" xfId="44172" xr:uid="{00000000-0005-0000-0000-000094AC0000}"/>
    <cellStyle name="Normal 4 3 2 3 5 2 2" xfId="44173" xr:uid="{00000000-0005-0000-0000-000095AC0000}"/>
    <cellStyle name="Normal 4 3 2 3 5 3" xfId="44174" xr:uid="{00000000-0005-0000-0000-000096AC0000}"/>
    <cellStyle name="Normal 4 3 2 3 5 3 2" xfId="44175" xr:uid="{00000000-0005-0000-0000-000097AC0000}"/>
    <cellStyle name="Normal 4 3 2 3 5 4" xfId="44176" xr:uid="{00000000-0005-0000-0000-000098AC0000}"/>
    <cellStyle name="Normal 4 3 2 3 5 5" xfId="44177" xr:uid="{00000000-0005-0000-0000-000099AC0000}"/>
    <cellStyle name="Normal 4 3 2 3 6" xfId="44178" xr:uid="{00000000-0005-0000-0000-00009AAC0000}"/>
    <cellStyle name="Normal 4 3 2 3 6 2" xfId="44179" xr:uid="{00000000-0005-0000-0000-00009BAC0000}"/>
    <cellStyle name="Normal 4 3 2 3 7" xfId="44180" xr:uid="{00000000-0005-0000-0000-00009CAC0000}"/>
    <cellStyle name="Normal 4 3 2 3 7 2" xfId="44181" xr:uid="{00000000-0005-0000-0000-00009DAC0000}"/>
    <cellStyle name="Normal 4 3 2 3 8" xfId="44182" xr:uid="{00000000-0005-0000-0000-00009EAC0000}"/>
    <cellStyle name="Normal 4 3 2 3 9" xfId="44183" xr:uid="{00000000-0005-0000-0000-00009FAC0000}"/>
    <cellStyle name="Normal 4 3 2 4" xfId="44184" xr:uid="{00000000-0005-0000-0000-0000A0AC0000}"/>
    <cellStyle name="Normal 4 3 2 4 2" xfId="44185" xr:uid="{00000000-0005-0000-0000-0000A1AC0000}"/>
    <cellStyle name="Normal 4 3 2 4 2 2" xfId="44186" xr:uid="{00000000-0005-0000-0000-0000A2AC0000}"/>
    <cellStyle name="Normal 4 3 2 4 2 2 2" xfId="44187" xr:uid="{00000000-0005-0000-0000-0000A3AC0000}"/>
    <cellStyle name="Normal 4 3 2 4 2 2 2 2" xfId="44188" xr:uid="{00000000-0005-0000-0000-0000A4AC0000}"/>
    <cellStyle name="Normal 4 3 2 4 2 2 2 2 2" xfId="44189" xr:uid="{00000000-0005-0000-0000-0000A5AC0000}"/>
    <cellStyle name="Normal 4 3 2 4 2 2 2 3" xfId="44190" xr:uid="{00000000-0005-0000-0000-0000A6AC0000}"/>
    <cellStyle name="Normal 4 3 2 4 2 2 2 4" xfId="44191" xr:uid="{00000000-0005-0000-0000-0000A7AC0000}"/>
    <cellStyle name="Normal 4 3 2 4 2 2 3" xfId="44192" xr:uid="{00000000-0005-0000-0000-0000A8AC0000}"/>
    <cellStyle name="Normal 4 3 2 4 2 2 3 2" xfId="44193" xr:uid="{00000000-0005-0000-0000-0000A9AC0000}"/>
    <cellStyle name="Normal 4 3 2 4 2 2 4" xfId="44194" xr:uid="{00000000-0005-0000-0000-0000AAAC0000}"/>
    <cellStyle name="Normal 4 3 2 4 2 2 5" xfId="44195" xr:uid="{00000000-0005-0000-0000-0000ABAC0000}"/>
    <cellStyle name="Normal 4 3 2 4 2 3" xfId="44196" xr:uid="{00000000-0005-0000-0000-0000ACAC0000}"/>
    <cellStyle name="Normal 4 3 2 4 2 3 2" xfId="44197" xr:uid="{00000000-0005-0000-0000-0000ADAC0000}"/>
    <cellStyle name="Normal 4 3 2 4 2 3 2 2" xfId="44198" xr:uid="{00000000-0005-0000-0000-0000AEAC0000}"/>
    <cellStyle name="Normal 4 3 2 4 2 3 3" xfId="44199" xr:uid="{00000000-0005-0000-0000-0000AFAC0000}"/>
    <cellStyle name="Normal 4 3 2 4 2 3 3 2" xfId="44200" xr:uid="{00000000-0005-0000-0000-0000B0AC0000}"/>
    <cellStyle name="Normal 4 3 2 4 2 3 4" xfId="44201" xr:uid="{00000000-0005-0000-0000-0000B1AC0000}"/>
    <cellStyle name="Normal 4 3 2 4 2 3 5" xfId="44202" xr:uid="{00000000-0005-0000-0000-0000B2AC0000}"/>
    <cellStyle name="Normal 4 3 2 4 2 4" xfId="44203" xr:uid="{00000000-0005-0000-0000-0000B3AC0000}"/>
    <cellStyle name="Normal 4 3 2 4 2 4 2" xfId="44204" xr:uid="{00000000-0005-0000-0000-0000B4AC0000}"/>
    <cellStyle name="Normal 4 3 2 4 2 5" xfId="44205" xr:uid="{00000000-0005-0000-0000-0000B5AC0000}"/>
    <cellStyle name="Normal 4 3 2 4 2 5 2" xfId="44206" xr:uid="{00000000-0005-0000-0000-0000B6AC0000}"/>
    <cellStyle name="Normal 4 3 2 4 2 6" xfId="44207" xr:uid="{00000000-0005-0000-0000-0000B7AC0000}"/>
    <cellStyle name="Normal 4 3 2 4 2 7" xfId="44208" xr:uid="{00000000-0005-0000-0000-0000B8AC0000}"/>
    <cellStyle name="Normal 4 3 2 4 3" xfId="44209" xr:uid="{00000000-0005-0000-0000-0000B9AC0000}"/>
    <cellStyle name="Normal 4 3 2 4 3 2" xfId="44210" xr:uid="{00000000-0005-0000-0000-0000BAAC0000}"/>
    <cellStyle name="Normal 4 3 2 4 3 2 2" xfId="44211" xr:uid="{00000000-0005-0000-0000-0000BBAC0000}"/>
    <cellStyle name="Normal 4 3 2 4 3 2 2 2" xfId="44212" xr:uid="{00000000-0005-0000-0000-0000BCAC0000}"/>
    <cellStyle name="Normal 4 3 2 4 3 2 3" xfId="44213" xr:uid="{00000000-0005-0000-0000-0000BDAC0000}"/>
    <cellStyle name="Normal 4 3 2 4 3 2 4" xfId="44214" xr:uid="{00000000-0005-0000-0000-0000BEAC0000}"/>
    <cellStyle name="Normal 4 3 2 4 3 3" xfId="44215" xr:uid="{00000000-0005-0000-0000-0000BFAC0000}"/>
    <cellStyle name="Normal 4 3 2 4 3 3 2" xfId="44216" xr:uid="{00000000-0005-0000-0000-0000C0AC0000}"/>
    <cellStyle name="Normal 4 3 2 4 3 4" xfId="44217" xr:uid="{00000000-0005-0000-0000-0000C1AC0000}"/>
    <cellStyle name="Normal 4 3 2 4 3 5" xfId="44218" xr:uid="{00000000-0005-0000-0000-0000C2AC0000}"/>
    <cellStyle name="Normal 4 3 2 4 4" xfId="44219" xr:uid="{00000000-0005-0000-0000-0000C3AC0000}"/>
    <cellStyle name="Normal 4 3 2 4 4 2" xfId="44220" xr:uid="{00000000-0005-0000-0000-0000C4AC0000}"/>
    <cellStyle name="Normal 4 3 2 4 4 2 2" xfId="44221" xr:uid="{00000000-0005-0000-0000-0000C5AC0000}"/>
    <cellStyle name="Normal 4 3 2 4 4 3" xfId="44222" xr:uid="{00000000-0005-0000-0000-0000C6AC0000}"/>
    <cellStyle name="Normal 4 3 2 4 4 3 2" xfId="44223" xr:uid="{00000000-0005-0000-0000-0000C7AC0000}"/>
    <cellStyle name="Normal 4 3 2 4 4 4" xfId="44224" xr:uid="{00000000-0005-0000-0000-0000C8AC0000}"/>
    <cellStyle name="Normal 4 3 2 4 4 5" xfId="44225" xr:uid="{00000000-0005-0000-0000-0000C9AC0000}"/>
    <cellStyle name="Normal 4 3 2 4 5" xfId="44226" xr:uid="{00000000-0005-0000-0000-0000CAAC0000}"/>
    <cellStyle name="Normal 4 3 2 4 5 2" xfId="44227" xr:uid="{00000000-0005-0000-0000-0000CBAC0000}"/>
    <cellStyle name="Normal 4 3 2 4 6" xfId="44228" xr:uid="{00000000-0005-0000-0000-0000CCAC0000}"/>
    <cellStyle name="Normal 4 3 2 4 6 2" xfId="44229" xr:uid="{00000000-0005-0000-0000-0000CDAC0000}"/>
    <cellStyle name="Normal 4 3 2 4 7" xfId="44230" xr:uid="{00000000-0005-0000-0000-0000CEAC0000}"/>
    <cellStyle name="Normal 4 3 2 4 8" xfId="44231" xr:uid="{00000000-0005-0000-0000-0000CFAC0000}"/>
    <cellStyle name="Normal 4 3 2 5" xfId="44232" xr:uid="{00000000-0005-0000-0000-0000D0AC0000}"/>
    <cellStyle name="Normal 4 3 2 5 2" xfId="44233" xr:uid="{00000000-0005-0000-0000-0000D1AC0000}"/>
    <cellStyle name="Normal 4 3 2 5 2 2" xfId="44234" xr:uid="{00000000-0005-0000-0000-0000D2AC0000}"/>
    <cellStyle name="Normal 4 3 2 5 2 2 2" xfId="44235" xr:uid="{00000000-0005-0000-0000-0000D3AC0000}"/>
    <cellStyle name="Normal 4 3 2 5 2 2 2 2" xfId="44236" xr:uid="{00000000-0005-0000-0000-0000D4AC0000}"/>
    <cellStyle name="Normal 4 3 2 5 2 2 3" xfId="44237" xr:uid="{00000000-0005-0000-0000-0000D5AC0000}"/>
    <cellStyle name="Normal 4 3 2 5 2 2 4" xfId="44238" xr:uid="{00000000-0005-0000-0000-0000D6AC0000}"/>
    <cellStyle name="Normal 4 3 2 5 2 3" xfId="44239" xr:uid="{00000000-0005-0000-0000-0000D7AC0000}"/>
    <cellStyle name="Normal 4 3 2 5 2 3 2" xfId="44240" xr:uid="{00000000-0005-0000-0000-0000D8AC0000}"/>
    <cellStyle name="Normal 4 3 2 5 2 4" xfId="44241" xr:uid="{00000000-0005-0000-0000-0000D9AC0000}"/>
    <cellStyle name="Normal 4 3 2 5 2 5" xfId="44242" xr:uid="{00000000-0005-0000-0000-0000DAAC0000}"/>
    <cellStyle name="Normal 4 3 2 5 3" xfId="44243" xr:uid="{00000000-0005-0000-0000-0000DBAC0000}"/>
    <cellStyle name="Normal 4 3 2 5 3 2" xfId="44244" xr:uid="{00000000-0005-0000-0000-0000DCAC0000}"/>
    <cellStyle name="Normal 4 3 2 5 3 2 2" xfId="44245" xr:uid="{00000000-0005-0000-0000-0000DDAC0000}"/>
    <cellStyle name="Normal 4 3 2 5 3 3" xfId="44246" xr:uid="{00000000-0005-0000-0000-0000DEAC0000}"/>
    <cellStyle name="Normal 4 3 2 5 3 3 2" xfId="44247" xr:uid="{00000000-0005-0000-0000-0000DFAC0000}"/>
    <cellStyle name="Normal 4 3 2 5 3 4" xfId="44248" xr:uid="{00000000-0005-0000-0000-0000E0AC0000}"/>
    <cellStyle name="Normal 4 3 2 5 3 5" xfId="44249" xr:uid="{00000000-0005-0000-0000-0000E1AC0000}"/>
    <cellStyle name="Normal 4 3 2 5 4" xfId="44250" xr:uid="{00000000-0005-0000-0000-0000E2AC0000}"/>
    <cellStyle name="Normal 4 3 2 5 4 2" xfId="44251" xr:uid="{00000000-0005-0000-0000-0000E3AC0000}"/>
    <cellStyle name="Normal 4 3 2 5 5" xfId="44252" xr:uid="{00000000-0005-0000-0000-0000E4AC0000}"/>
    <cellStyle name="Normal 4 3 2 5 5 2" xfId="44253" xr:uid="{00000000-0005-0000-0000-0000E5AC0000}"/>
    <cellStyle name="Normal 4 3 2 5 6" xfId="44254" xr:uid="{00000000-0005-0000-0000-0000E6AC0000}"/>
    <cellStyle name="Normal 4 3 2 5 7" xfId="44255" xr:uid="{00000000-0005-0000-0000-0000E7AC0000}"/>
    <cellStyle name="Normal 4 3 2 6" xfId="44256" xr:uid="{00000000-0005-0000-0000-0000E8AC0000}"/>
    <cellStyle name="Normal 4 3 2 6 2" xfId="44257" xr:uid="{00000000-0005-0000-0000-0000E9AC0000}"/>
    <cellStyle name="Normal 4 3 2 6 2 2" xfId="44258" xr:uid="{00000000-0005-0000-0000-0000EAAC0000}"/>
    <cellStyle name="Normal 4 3 2 6 2 2 2" xfId="44259" xr:uid="{00000000-0005-0000-0000-0000EBAC0000}"/>
    <cellStyle name="Normal 4 3 2 6 2 3" xfId="44260" xr:uid="{00000000-0005-0000-0000-0000ECAC0000}"/>
    <cellStyle name="Normal 4 3 2 6 2 4" xfId="44261" xr:uid="{00000000-0005-0000-0000-0000EDAC0000}"/>
    <cellStyle name="Normal 4 3 2 6 3" xfId="44262" xr:uid="{00000000-0005-0000-0000-0000EEAC0000}"/>
    <cellStyle name="Normal 4 3 2 6 3 2" xfId="44263" xr:uid="{00000000-0005-0000-0000-0000EFAC0000}"/>
    <cellStyle name="Normal 4 3 2 6 4" xfId="44264" xr:uid="{00000000-0005-0000-0000-0000F0AC0000}"/>
    <cellStyle name="Normal 4 3 2 6 5" xfId="44265" xr:uid="{00000000-0005-0000-0000-0000F1AC0000}"/>
    <cellStyle name="Normal 4 3 2 7" xfId="44266" xr:uid="{00000000-0005-0000-0000-0000F2AC0000}"/>
    <cellStyle name="Normal 4 3 2 7 2" xfId="44267" xr:uid="{00000000-0005-0000-0000-0000F3AC0000}"/>
    <cellStyle name="Normal 4 3 2 7 2 2" xfId="44268" xr:uid="{00000000-0005-0000-0000-0000F4AC0000}"/>
    <cellStyle name="Normal 4 3 2 7 3" xfId="44269" xr:uid="{00000000-0005-0000-0000-0000F5AC0000}"/>
    <cellStyle name="Normal 4 3 2 7 3 2" xfId="44270" xr:uid="{00000000-0005-0000-0000-0000F6AC0000}"/>
    <cellStyle name="Normal 4 3 2 7 4" xfId="44271" xr:uid="{00000000-0005-0000-0000-0000F7AC0000}"/>
    <cellStyle name="Normal 4 3 2 7 5" xfId="44272" xr:uid="{00000000-0005-0000-0000-0000F8AC0000}"/>
    <cellStyle name="Normal 4 3 2 8" xfId="44273" xr:uid="{00000000-0005-0000-0000-0000F9AC0000}"/>
    <cellStyle name="Normal 4 3 2 8 2" xfId="44274" xr:uid="{00000000-0005-0000-0000-0000FAAC0000}"/>
    <cellStyle name="Normal 4 3 2 9" xfId="44275" xr:uid="{00000000-0005-0000-0000-0000FBAC0000}"/>
    <cellStyle name="Normal 4 3 2 9 2" xfId="44276" xr:uid="{00000000-0005-0000-0000-0000FCAC0000}"/>
    <cellStyle name="Normal 4 3 3" xfId="44277" xr:uid="{00000000-0005-0000-0000-0000FDAC0000}"/>
    <cellStyle name="Normal 4 3 3 10" xfId="44278" xr:uid="{00000000-0005-0000-0000-0000FEAC0000}"/>
    <cellStyle name="Normal 4 3 3 2" xfId="44279" xr:uid="{00000000-0005-0000-0000-0000FFAC0000}"/>
    <cellStyle name="Normal 4 3 3 2 2" xfId="44280" xr:uid="{00000000-0005-0000-0000-000000AD0000}"/>
    <cellStyle name="Normal 4 3 3 2 2 2" xfId="44281" xr:uid="{00000000-0005-0000-0000-000001AD0000}"/>
    <cellStyle name="Normal 4 3 3 2 2 2 2" xfId="44282" xr:uid="{00000000-0005-0000-0000-000002AD0000}"/>
    <cellStyle name="Normal 4 3 3 2 2 2 2 2" xfId="44283" xr:uid="{00000000-0005-0000-0000-000003AD0000}"/>
    <cellStyle name="Normal 4 3 3 2 2 2 2 2 2" xfId="44284" xr:uid="{00000000-0005-0000-0000-000004AD0000}"/>
    <cellStyle name="Normal 4 3 3 2 2 2 2 2 2 2" xfId="44285" xr:uid="{00000000-0005-0000-0000-000005AD0000}"/>
    <cellStyle name="Normal 4 3 3 2 2 2 2 2 3" xfId="44286" xr:uid="{00000000-0005-0000-0000-000006AD0000}"/>
    <cellStyle name="Normal 4 3 3 2 2 2 2 2 4" xfId="44287" xr:uid="{00000000-0005-0000-0000-000007AD0000}"/>
    <cellStyle name="Normal 4 3 3 2 2 2 2 3" xfId="44288" xr:uid="{00000000-0005-0000-0000-000008AD0000}"/>
    <cellStyle name="Normal 4 3 3 2 2 2 2 3 2" xfId="44289" xr:uid="{00000000-0005-0000-0000-000009AD0000}"/>
    <cellStyle name="Normal 4 3 3 2 2 2 2 4" xfId="44290" xr:uid="{00000000-0005-0000-0000-00000AAD0000}"/>
    <cellStyle name="Normal 4 3 3 2 2 2 2 5" xfId="44291" xr:uid="{00000000-0005-0000-0000-00000BAD0000}"/>
    <cellStyle name="Normal 4 3 3 2 2 2 3" xfId="44292" xr:uid="{00000000-0005-0000-0000-00000CAD0000}"/>
    <cellStyle name="Normal 4 3 3 2 2 2 3 2" xfId="44293" xr:uid="{00000000-0005-0000-0000-00000DAD0000}"/>
    <cellStyle name="Normal 4 3 3 2 2 2 3 2 2" xfId="44294" xr:uid="{00000000-0005-0000-0000-00000EAD0000}"/>
    <cellStyle name="Normal 4 3 3 2 2 2 3 3" xfId="44295" xr:uid="{00000000-0005-0000-0000-00000FAD0000}"/>
    <cellStyle name="Normal 4 3 3 2 2 2 3 4" xfId="44296" xr:uid="{00000000-0005-0000-0000-000010AD0000}"/>
    <cellStyle name="Normal 4 3 3 2 2 2 4" xfId="44297" xr:uid="{00000000-0005-0000-0000-000011AD0000}"/>
    <cellStyle name="Normal 4 3 3 2 2 2 4 2" xfId="44298" xr:uid="{00000000-0005-0000-0000-000012AD0000}"/>
    <cellStyle name="Normal 4 3 3 2 2 2 5" xfId="44299" xr:uid="{00000000-0005-0000-0000-000013AD0000}"/>
    <cellStyle name="Normal 4 3 3 2 2 2 6" xfId="44300" xr:uid="{00000000-0005-0000-0000-000014AD0000}"/>
    <cellStyle name="Normal 4 3 3 2 2 3" xfId="44301" xr:uid="{00000000-0005-0000-0000-000015AD0000}"/>
    <cellStyle name="Normal 4 3 3 2 2 3 2" xfId="44302" xr:uid="{00000000-0005-0000-0000-000016AD0000}"/>
    <cellStyle name="Normal 4 3 3 2 2 3 2 2" xfId="44303" xr:uid="{00000000-0005-0000-0000-000017AD0000}"/>
    <cellStyle name="Normal 4 3 3 2 2 3 2 2 2" xfId="44304" xr:uid="{00000000-0005-0000-0000-000018AD0000}"/>
    <cellStyle name="Normal 4 3 3 2 2 3 2 3" xfId="44305" xr:uid="{00000000-0005-0000-0000-000019AD0000}"/>
    <cellStyle name="Normal 4 3 3 2 2 3 2 4" xfId="44306" xr:uid="{00000000-0005-0000-0000-00001AAD0000}"/>
    <cellStyle name="Normal 4 3 3 2 2 3 3" xfId="44307" xr:uid="{00000000-0005-0000-0000-00001BAD0000}"/>
    <cellStyle name="Normal 4 3 3 2 2 3 3 2" xfId="44308" xr:uid="{00000000-0005-0000-0000-00001CAD0000}"/>
    <cellStyle name="Normal 4 3 3 2 2 3 4" xfId="44309" xr:uid="{00000000-0005-0000-0000-00001DAD0000}"/>
    <cellStyle name="Normal 4 3 3 2 2 3 5" xfId="44310" xr:uid="{00000000-0005-0000-0000-00001EAD0000}"/>
    <cellStyle name="Normal 4 3 3 2 2 4" xfId="44311" xr:uid="{00000000-0005-0000-0000-00001FAD0000}"/>
    <cellStyle name="Normal 4 3 3 2 2 4 2" xfId="44312" xr:uid="{00000000-0005-0000-0000-000020AD0000}"/>
    <cellStyle name="Normal 4 3 3 2 2 4 2 2" xfId="44313" xr:uid="{00000000-0005-0000-0000-000021AD0000}"/>
    <cellStyle name="Normal 4 3 3 2 2 4 3" xfId="44314" xr:uid="{00000000-0005-0000-0000-000022AD0000}"/>
    <cellStyle name="Normal 4 3 3 2 2 4 4" xfId="44315" xr:uid="{00000000-0005-0000-0000-000023AD0000}"/>
    <cellStyle name="Normal 4 3 3 2 2 5" xfId="44316" xr:uid="{00000000-0005-0000-0000-000024AD0000}"/>
    <cellStyle name="Normal 4 3 3 2 2 5 2" xfId="44317" xr:uid="{00000000-0005-0000-0000-000025AD0000}"/>
    <cellStyle name="Normal 4 3 3 2 2 6" xfId="44318" xr:uid="{00000000-0005-0000-0000-000026AD0000}"/>
    <cellStyle name="Normal 4 3 3 2 2 7" xfId="44319" xr:uid="{00000000-0005-0000-0000-000027AD0000}"/>
    <cellStyle name="Normal 4 3 3 2 3" xfId="44320" xr:uid="{00000000-0005-0000-0000-000028AD0000}"/>
    <cellStyle name="Normal 4 3 3 2 3 2" xfId="44321" xr:uid="{00000000-0005-0000-0000-000029AD0000}"/>
    <cellStyle name="Normal 4 3 3 2 3 2 2" xfId="44322" xr:uid="{00000000-0005-0000-0000-00002AAD0000}"/>
    <cellStyle name="Normal 4 3 3 2 3 2 2 2" xfId="44323" xr:uid="{00000000-0005-0000-0000-00002BAD0000}"/>
    <cellStyle name="Normal 4 3 3 2 3 2 2 2 2" xfId="44324" xr:uid="{00000000-0005-0000-0000-00002CAD0000}"/>
    <cellStyle name="Normal 4 3 3 2 3 2 2 3" xfId="44325" xr:uid="{00000000-0005-0000-0000-00002DAD0000}"/>
    <cellStyle name="Normal 4 3 3 2 3 2 2 4" xfId="44326" xr:uid="{00000000-0005-0000-0000-00002EAD0000}"/>
    <cellStyle name="Normal 4 3 3 2 3 2 3" xfId="44327" xr:uid="{00000000-0005-0000-0000-00002FAD0000}"/>
    <cellStyle name="Normal 4 3 3 2 3 2 3 2" xfId="44328" xr:uid="{00000000-0005-0000-0000-000030AD0000}"/>
    <cellStyle name="Normal 4 3 3 2 3 2 4" xfId="44329" xr:uid="{00000000-0005-0000-0000-000031AD0000}"/>
    <cellStyle name="Normal 4 3 3 2 3 2 5" xfId="44330" xr:uid="{00000000-0005-0000-0000-000032AD0000}"/>
    <cellStyle name="Normal 4 3 3 2 3 3" xfId="44331" xr:uid="{00000000-0005-0000-0000-000033AD0000}"/>
    <cellStyle name="Normal 4 3 3 2 3 3 2" xfId="44332" xr:uid="{00000000-0005-0000-0000-000034AD0000}"/>
    <cellStyle name="Normal 4 3 3 2 3 3 2 2" xfId="44333" xr:uid="{00000000-0005-0000-0000-000035AD0000}"/>
    <cellStyle name="Normal 4 3 3 2 3 3 3" xfId="44334" xr:uid="{00000000-0005-0000-0000-000036AD0000}"/>
    <cellStyle name="Normal 4 3 3 2 3 3 3 2" xfId="44335" xr:uid="{00000000-0005-0000-0000-000037AD0000}"/>
    <cellStyle name="Normal 4 3 3 2 3 3 4" xfId="44336" xr:uid="{00000000-0005-0000-0000-000038AD0000}"/>
    <cellStyle name="Normal 4 3 3 2 3 3 5" xfId="44337" xr:uid="{00000000-0005-0000-0000-000039AD0000}"/>
    <cellStyle name="Normal 4 3 3 2 3 4" xfId="44338" xr:uid="{00000000-0005-0000-0000-00003AAD0000}"/>
    <cellStyle name="Normal 4 3 3 2 3 4 2" xfId="44339" xr:uid="{00000000-0005-0000-0000-00003BAD0000}"/>
    <cellStyle name="Normal 4 3 3 2 3 5" xfId="44340" xr:uid="{00000000-0005-0000-0000-00003CAD0000}"/>
    <cellStyle name="Normal 4 3 3 2 3 5 2" xfId="44341" xr:uid="{00000000-0005-0000-0000-00003DAD0000}"/>
    <cellStyle name="Normal 4 3 3 2 3 6" xfId="44342" xr:uid="{00000000-0005-0000-0000-00003EAD0000}"/>
    <cellStyle name="Normal 4 3 3 2 3 7" xfId="44343" xr:uid="{00000000-0005-0000-0000-00003FAD0000}"/>
    <cellStyle name="Normal 4 3 3 2 4" xfId="44344" xr:uid="{00000000-0005-0000-0000-000040AD0000}"/>
    <cellStyle name="Normal 4 3 3 2 4 2" xfId="44345" xr:uid="{00000000-0005-0000-0000-000041AD0000}"/>
    <cellStyle name="Normal 4 3 3 2 4 2 2" xfId="44346" xr:uid="{00000000-0005-0000-0000-000042AD0000}"/>
    <cellStyle name="Normal 4 3 3 2 4 2 2 2" xfId="44347" xr:uid="{00000000-0005-0000-0000-000043AD0000}"/>
    <cellStyle name="Normal 4 3 3 2 4 2 3" xfId="44348" xr:uid="{00000000-0005-0000-0000-000044AD0000}"/>
    <cellStyle name="Normal 4 3 3 2 4 2 4" xfId="44349" xr:uid="{00000000-0005-0000-0000-000045AD0000}"/>
    <cellStyle name="Normal 4 3 3 2 4 3" xfId="44350" xr:uid="{00000000-0005-0000-0000-000046AD0000}"/>
    <cellStyle name="Normal 4 3 3 2 4 3 2" xfId="44351" xr:uid="{00000000-0005-0000-0000-000047AD0000}"/>
    <cellStyle name="Normal 4 3 3 2 4 4" xfId="44352" xr:uid="{00000000-0005-0000-0000-000048AD0000}"/>
    <cellStyle name="Normal 4 3 3 2 4 5" xfId="44353" xr:uid="{00000000-0005-0000-0000-000049AD0000}"/>
    <cellStyle name="Normal 4 3 3 2 5" xfId="44354" xr:uid="{00000000-0005-0000-0000-00004AAD0000}"/>
    <cellStyle name="Normal 4 3 3 2 5 2" xfId="44355" xr:uid="{00000000-0005-0000-0000-00004BAD0000}"/>
    <cellStyle name="Normal 4 3 3 2 5 2 2" xfId="44356" xr:uid="{00000000-0005-0000-0000-00004CAD0000}"/>
    <cellStyle name="Normal 4 3 3 2 5 3" xfId="44357" xr:uid="{00000000-0005-0000-0000-00004DAD0000}"/>
    <cellStyle name="Normal 4 3 3 2 5 3 2" xfId="44358" xr:uid="{00000000-0005-0000-0000-00004EAD0000}"/>
    <cellStyle name="Normal 4 3 3 2 5 4" xfId="44359" xr:uid="{00000000-0005-0000-0000-00004FAD0000}"/>
    <cellStyle name="Normal 4 3 3 2 5 5" xfId="44360" xr:uid="{00000000-0005-0000-0000-000050AD0000}"/>
    <cellStyle name="Normal 4 3 3 2 6" xfId="44361" xr:uid="{00000000-0005-0000-0000-000051AD0000}"/>
    <cellStyle name="Normal 4 3 3 2 6 2" xfId="44362" xr:uid="{00000000-0005-0000-0000-000052AD0000}"/>
    <cellStyle name="Normal 4 3 3 2 7" xfId="44363" xr:uid="{00000000-0005-0000-0000-000053AD0000}"/>
    <cellStyle name="Normal 4 3 3 2 7 2" xfId="44364" xr:uid="{00000000-0005-0000-0000-000054AD0000}"/>
    <cellStyle name="Normal 4 3 3 2 8" xfId="44365" xr:uid="{00000000-0005-0000-0000-000055AD0000}"/>
    <cellStyle name="Normal 4 3 3 2 9" xfId="44366" xr:uid="{00000000-0005-0000-0000-000056AD0000}"/>
    <cellStyle name="Normal 4 3 3 3" xfId="44367" xr:uid="{00000000-0005-0000-0000-000057AD0000}"/>
    <cellStyle name="Normal 4 3 3 3 2" xfId="44368" xr:uid="{00000000-0005-0000-0000-000058AD0000}"/>
    <cellStyle name="Normal 4 3 3 3 2 2" xfId="44369" xr:uid="{00000000-0005-0000-0000-000059AD0000}"/>
    <cellStyle name="Normal 4 3 3 3 2 2 2" xfId="44370" xr:uid="{00000000-0005-0000-0000-00005AAD0000}"/>
    <cellStyle name="Normal 4 3 3 3 2 2 2 2" xfId="44371" xr:uid="{00000000-0005-0000-0000-00005BAD0000}"/>
    <cellStyle name="Normal 4 3 3 3 2 2 2 2 2" xfId="44372" xr:uid="{00000000-0005-0000-0000-00005CAD0000}"/>
    <cellStyle name="Normal 4 3 3 3 2 2 2 3" xfId="44373" xr:uid="{00000000-0005-0000-0000-00005DAD0000}"/>
    <cellStyle name="Normal 4 3 3 3 2 2 2 4" xfId="44374" xr:uid="{00000000-0005-0000-0000-00005EAD0000}"/>
    <cellStyle name="Normal 4 3 3 3 2 2 3" xfId="44375" xr:uid="{00000000-0005-0000-0000-00005FAD0000}"/>
    <cellStyle name="Normal 4 3 3 3 2 2 3 2" xfId="44376" xr:uid="{00000000-0005-0000-0000-000060AD0000}"/>
    <cellStyle name="Normal 4 3 3 3 2 2 4" xfId="44377" xr:uid="{00000000-0005-0000-0000-000061AD0000}"/>
    <cellStyle name="Normal 4 3 3 3 2 2 5" xfId="44378" xr:uid="{00000000-0005-0000-0000-000062AD0000}"/>
    <cellStyle name="Normal 4 3 3 3 2 3" xfId="44379" xr:uid="{00000000-0005-0000-0000-000063AD0000}"/>
    <cellStyle name="Normal 4 3 3 3 2 3 2" xfId="44380" xr:uid="{00000000-0005-0000-0000-000064AD0000}"/>
    <cellStyle name="Normal 4 3 3 3 2 3 2 2" xfId="44381" xr:uid="{00000000-0005-0000-0000-000065AD0000}"/>
    <cellStyle name="Normal 4 3 3 3 2 3 3" xfId="44382" xr:uid="{00000000-0005-0000-0000-000066AD0000}"/>
    <cellStyle name="Normal 4 3 3 3 2 3 3 2" xfId="44383" xr:uid="{00000000-0005-0000-0000-000067AD0000}"/>
    <cellStyle name="Normal 4 3 3 3 2 3 4" xfId="44384" xr:uid="{00000000-0005-0000-0000-000068AD0000}"/>
    <cellStyle name="Normal 4 3 3 3 2 3 5" xfId="44385" xr:uid="{00000000-0005-0000-0000-000069AD0000}"/>
    <cellStyle name="Normal 4 3 3 3 2 4" xfId="44386" xr:uid="{00000000-0005-0000-0000-00006AAD0000}"/>
    <cellStyle name="Normal 4 3 3 3 2 4 2" xfId="44387" xr:uid="{00000000-0005-0000-0000-00006BAD0000}"/>
    <cellStyle name="Normal 4 3 3 3 2 5" xfId="44388" xr:uid="{00000000-0005-0000-0000-00006CAD0000}"/>
    <cellStyle name="Normal 4 3 3 3 2 5 2" xfId="44389" xr:uid="{00000000-0005-0000-0000-00006DAD0000}"/>
    <cellStyle name="Normal 4 3 3 3 2 6" xfId="44390" xr:uid="{00000000-0005-0000-0000-00006EAD0000}"/>
    <cellStyle name="Normal 4 3 3 3 2 7" xfId="44391" xr:uid="{00000000-0005-0000-0000-00006FAD0000}"/>
    <cellStyle name="Normal 4 3 3 3 3" xfId="44392" xr:uid="{00000000-0005-0000-0000-000070AD0000}"/>
    <cellStyle name="Normal 4 3 3 3 3 2" xfId="44393" xr:uid="{00000000-0005-0000-0000-000071AD0000}"/>
    <cellStyle name="Normal 4 3 3 3 3 2 2" xfId="44394" xr:uid="{00000000-0005-0000-0000-000072AD0000}"/>
    <cellStyle name="Normal 4 3 3 3 3 2 2 2" xfId="44395" xr:uid="{00000000-0005-0000-0000-000073AD0000}"/>
    <cellStyle name="Normal 4 3 3 3 3 2 3" xfId="44396" xr:uid="{00000000-0005-0000-0000-000074AD0000}"/>
    <cellStyle name="Normal 4 3 3 3 3 2 4" xfId="44397" xr:uid="{00000000-0005-0000-0000-000075AD0000}"/>
    <cellStyle name="Normal 4 3 3 3 3 3" xfId="44398" xr:uid="{00000000-0005-0000-0000-000076AD0000}"/>
    <cellStyle name="Normal 4 3 3 3 3 3 2" xfId="44399" xr:uid="{00000000-0005-0000-0000-000077AD0000}"/>
    <cellStyle name="Normal 4 3 3 3 3 4" xfId="44400" xr:uid="{00000000-0005-0000-0000-000078AD0000}"/>
    <cellStyle name="Normal 4 3 3 3 3 5" xfId="44401" xr:uid="{00000000-0005-0000-0000-000079AD0000}"/>
    <cellStyle name="Normal 4 3 3 3 4" xfId="44402" xr:uid="{00000000-0005-0000-0000-00007AAD0000}"/>
    <cellStyle name="Normal 4 3 3 3 4 2" xfId="44403" xr:uid="{00000000-0005-0000-0000-00007BAD0000}"/>
    <cellStyle name="Normal 4 3 3 3 4 2 2" xfId="44404" xr:uid="{00000000-0005-0000-0000-00007CAD0000}"/>
    <cellStyle name="Normal 4 3 3 3 4 3" xfId="44405" xr:uid="{00000000-0005-0000-0000-00007DAD0000}"/>
    <cellStyle name="Normal 4 3 3 3 4 3 2" xfId="44406" xr:uid="{00000000-0005-0000-0000-00007EAD0000}"/>
    <cellStyle name="Normal 4 3 3 3 4 4" xfId="44407" xr:uid="{00000000-0005-0000-0000-00007FAD0000}"/>
    <cellStyle name="Normal 4 3 3 3 4 5" xfId="44408" xr:uid="{00000000-0005-0000-0000-000080AD0000}"/>
    <cellStyle name="Normal 4 3 3 3 5" xfId="44409" xr:uid="{00000000-0005-0000-0000-000081AD0000}"/>
    <cellStyle name="Normal 4 3 3 3 5 2" xfId="44410" xr:uid="{00000000-0005-0000-0000-000082AD0000}"/>
    <cellStyle name="Normal 4 3 3 3 6" xfId="44411" xr:uid="{00000000-0005-0000-0000-000083AD0000}"/>
    <cellStyle name="Normal 4 3 3 3 6 2" xfId="44412" xr:uid="{00000000-0005-0000-0000-000084AD0000}"/>
    <cellStyle name="Normal 4 3 3 3 7" xfId="44413" xr:uid="{00000000-0005-0000-0000-000085AD0000}"/>
    <cellStyle name="Normal 4 3 3 3 8" xfId="44414" xr:uid="{00000000-0005-0000-0000-000086AD0000}"/>
    <cellStyle name="Normal 4 3 3 4" xfId="44415" xr:uid="{00000000-0005-0000-0000-000087AD0000}"/>
    <cellStyle name="Normal 4 3 3 4 2" xfId="44416" xr:uid="{00000000-0005-0000-0000-000088AD0000}"/>
    <cellStyle name="Normal 4 3 3 4 2 2" xfId="44417" xr:uid="{00000000-0005-0000-0000-000089AD0000}"/>
    <cellStyle name="Normal 4 3 3 4 2 2 2" xfId="44418" xr:uid="{00000000-0005-0000-0000-00008AAD0000}"/>
    <cellStyle name="Normal 4 3 3 4 2 2 2 2" xfId="44419" xr:uid="{00000000-0005-0000-0000-00008BAD0000}"/>
    <cellStyle name="Normal 4 3 3 4 2 2 3" xfId="44420" xr:uid="{00000000-0005-0000-0000-00008CAD0000}"/>
    <cellStyle name="Normal 4 3 3 4 2 2 4" xfId="44421" xr:uid="{00000000-0005-0000-0000-00008DAD0000}"/>
    <cellStyle name="Normal 4 3 3 4 2 3" xfId="44422" xr:uid="{00000000-0005-0000-0000-00008EAD0000}"/>
    <cellStyle name="Normal 4 3 3 4 2 3 2" xfId="44423" xr:uid="{00000000-0005-0000-0000-00008FAD0000}"/>
    <cellStyle name="Normal 4 3 3 4 2 4" xfId="44424" xr:uid="{00000000-0005-0000-0000-000090AD0000}"/>
    <cellStyle name="Normal 4 3 3 4 2 5" xfId="44425" xr:uid="{00000000-0005-0000-0000-000091AD0000}"/>
    <cellStyle name="Normal 4 3 3 4 3" xfId="44426" xr:uid="{00000000-0005-0000-0000-000092AD0000}"/>
    <cellStyle name="Normal 4 3 3 4 3 2" xfId="44427" xr:uid="{00000000-0005-0000-0000-000093AD0000}"/>
    <cellStyle name="Normal 4 3 3 4 3 2 2" xfId="44428" xr:uid="{00000000-0005-0000-0000-000094AD0000}"/>
    <cellStyle name="Normal 4 3 3 4 3 3" xfId="44429" xr:uid="{00000000-0005-0000-0000-000095AD0000}"/>
    <cellStyle name="Normal 4 3 3 4 3 3 2" xfId="44430" xr:uid="{00000000-0005-0000-0000-000096AD0000}"/>
    <cellStyle name="Normal 4 3 3 4 3 4" xfId="44431" xr:uid="{00000000-0005-0000-0000-000097AD0000}"/>
    <cellStyle name="Normal 4 3 3 4 3 5" xfId="44432" xr:uid="{00000000-0005-0000-0000-000098AD0000}"/>
    <cellStyle name="Normal 4 3 3 4 4" xfId="44433" xr:uid="{00000000-0005-0000-0000-000099AD0000}"/>
    <cellStyle name="Normal 4 3 3 4 4 2" xfId="44434" xr:uid="{00000000-0005-0000-0000-00009AAD0000}"/>
    <cellStyle name="Normal 4 3 3 4 5" xfId="44435" xr:uid="{00000000-0005-0000-0000-00009BAD0000}"/>
    <cellStyle name="Normal 4 3 3 4 5 2" xfId="44436" xr:uid="{00000000-0005-0000-0000-00009CAD0000}"/>
    <cellStyle name="Normal 4 3 3 4 6" xfId="44437" xr:uid="{00000000-0005-0000-0000-00009DAD0000}"/>
    <cellStyle name="Normal 4 3 3 4 7" xfId="44438" xr:uid="{00000000-0005-0000-0000-00009EAD0000}"/>
    <cellStyle name="Normal 4 3 3 5" xfId="44439" xr:uid="{00000000-0005-0000-0000-00009FAD0000}"/>
    <cellStyle name="Normal 4 3 3 5 2" xfId="44440" xr:uid="{00000000-0005-0000-0000-0000A0AD0000}"/>
    <cellStyle name="Normal 4 3 3 5 2 2" xfId="44441" xr:uid="{00000000-0005-0000-0000-0000A1AD0000}"/>
    <cellStyle name="Normal 4 3 3 5 2 2 2" xfId="44442" xr:uid="{00000000-0005-0000-0000-0000A2AD0000}"/>
    <cellStyle name="Normal 4 3 3 5 2 3" xfId="44443" xr:uid="{00000000-0005-0000-0000-0000A3AD0000}"/>
    <cellStyle name="Normal 4 3 3 5 2 4" xfId="44444" xr:uid="{00000000-0005-0000-0000-0000A4AD0000}"/>
    <cellStyle name="Normal 4 3 3 5 3" xfId="44445" xr:uid="{00000000-0005-0000-0000-0000A5AD0000}"/>
    <cellStyle name="Normal 4 3 3 5 3 2" xfId="44446" xr:uid="{00000000-0005-0000-0000-0000A6AD0000}"/>
    <cellStyle name="Normal 4 3 3 5 4" xfId="44447" xr:uid="{00000000-0005-0000-0000-0000A7AD0000}"/>
    <cellStyle name="Normal 4 3 3 5 5" xfId="44448" xr:uid="{00000000-0005-0000-0000-0000A8AD0000}"/>
    <cellStyle name="Normal 4 3 3 6" xfId="44449" xr:uid="{00000000-0005-0000-0000-0000A9AD0000}"/>
    <cellStyle name="Normal 4 3 3 6 2" xfId="44450" xr:uid="{00000000-0005-0000-0000-0000AAAD0000}"/>
    <cellStyle name="Normal 4 3 3 6 2 2" xfId="44451" xr:uid="{00000000-0005-0000-0000-0000ABAD0000}"/>
    <cellStyle name="Normal 4 3 3 6 3" xfId="44452" xr:uid="{00000000-0005-0000-0000-0000ACAD0000}"/>
    <cellStyle name="Normal 4 3 3 6 3 2" xfId="44453" xr:uid="{00000000-0005-0000-0000-0000ADAD0000}"/>
    <cellStyle name="Normal 4 3 3 6 4" xfId="44454" xr:uid="{00000000-0005-0000-0000-0000AEAD0000}"/>
    <cellStyle name="Normal 4 3 3 6 5" xfId="44455" xr:uid="{00000000-0005-0000-0000-0000AFAD0000}"/>
    <cellStyle name="Normal 4 3 3 7" xfId="44456" xr:uid="{00000000-0005-0000-0000-0000B0AD0000}"/>
    <cellStyle name="Normal 4 3 3 7 2" xfId="44457" xr:uid="{00000000-0005-0000-0000-0000B1AD0000}"/>
    <cellStyle name="Normal 4 3 3 8" xfId="44458" xr:uid="{00000000-0005-0000-0000-0000B2AD0000}"/>
    <cellStyle name="Normal 4 3 3 8 2" xfId="44459" xr:uid="{00000000-0005-0000-0000-0000B3AD0000}"/>
    <cellStyle name="Normal 4 3 3 9" xfId="44460" xr:uid="{00000000-0005-0000-0000-0000B4AD0000}"/>
    <cellStyle name="Normal 4 3 4" xfId="44461" xr:uid="{00000000-0005-0000-0000-0000B5AD0000}"/>
    <cellStyle name="Normal 4 3 4 2" xfId="44462" xr:uid="{00000000-0005-0000-0000-0000B6AD0000}"/>
    <cellStyle name="Normal 4 3 4 2 2" xfId="44463" xr:uid="{00000000-0005-0000-0000-0000B7AD0000}"/>
    <cellStyle name="Normal 4 3 4 2 2 2" xfId="44464" xr:uid="{00000000-0005-0000-0000-0000B8AD0000}"/>
    <cellStyle name="Normal 4 3 4 2 2 2 2" xfId="44465" xr:uid="{00000000-0005-0000-0000-0000B9AD0000}"/>
    <cellStyle name="Normal 4 3 4 2 2 2 2 2" xfId="44466" xr:uid="{00000000-0005-0000-0000-0000BAAD0000}"/>
    <cellStyle name="Normal 4 3 4 2 2 2 2 2 2" xfId="44467" xr:uid="{00000000-0005-0000-0000-0000BBAD0000}"/>
    <cellStyle name="Normal 4 3 4 2 2 2 2 3" xfId="44468" xr:uid="{00000000-0005-0000-0000-0000BCAD0000}"/>
    <cellStyle name="Normal 4 3 4 2 2 2 2 4" xfId="44469" xr:uid="{00000000-0005-0000-0000-0000BDAD0000}"/>
    <cellStyle name="Normal 4 3 4 2 2 2 3" xfId="44470" xr:uid="{00000000-0005-0000-0000-0000BEAD0000}"/>
    <cellStyle name="Normal 4 3 4 2 2 2 3 2" xfId="44471" xr:uid="{00000000-0005-0000-0000-0000BFAD0000}"/>
    <cellStyle name="Normal 4 3 4 2 2 2 4" xfId="44472" xr:uid="{00000000-0005-0000-0000-0000C0AD0000}"/>
    <cellStyle name="Normal 4 3 4 2 2 2 5" xfId="44473" xr:uid="{00000000-0005-0000-0000-0000C1AD0000}"/>
    <cellStyle name="Normal 4 3 4 2 2 3" xfId="44474" xr:uid="{00000000-0005-0000-0000-0000C2AD0000}"/>
    <cellStyle name="Normal 4 3 4 2 2 3 2" xfId="44475" xr:uid="{00000000-0005-0000-0000-0000C3AD0000}"/>
    <cellStyle name="Normal 4 3 4 2 2 3 2 2" xfId="44476" xr:uid="{00000000-0005-0000-0000-0000C4AD0000}"/>
    <cellStyle name="Normal 4 3 4 2 2 3 3" xfId="44477" xr:uid="{00000000-0005-0000-0000-0000C5AD0000}"/>
    <cellStyle name="Normal 4 3 4 2 2 3 4" xfId="44478" xr:uid="{00000000-0005-0000-0000-0000C6AD0000}"/>
    <cellStyle name="Normal 4 3 4 2 2 4" xfId="44479" xr:uid="{00000000-0005-0000-0000-0000C7AD0000}"/>
    <cellStyle name="Normal 4 3 4 2 2 4 2" xfId="44480" xr:uid="{00000000-0005-0000-0000-0000C8AD0000}"/>
    <cellStyle name="Normal 4 3 4 2 2 5" xfId="44481" xr:uid="{00000000-0005-0000-0000-0000C9AD0000}"/>
    <cellStyle name="Normal 4 3 4 2 2 6" xfId="44482" xr:uid="{00000000-0005-0000-0000-0000CAAD0000}"/>
    <cellStyle name="Normal 4 3 4 2 3" xfId="44483" xr:uid="{00000000-0005-0000-0000-0000CBAD0000}"/>
    <cellStyle name="Normal 4 3 4 2 3 2" xfId="44484" xr:uid="{00000000-0005-0000-0000-0000CCAD0000}"/>
    <cellStyle name="Normal 4 3 4 2 3 2 2" xfId="44485" xr:uid="{00000000-0005-0000-0000-0000CDAD0000}"/>
    <cellStyle name="Normal 4 3 4 2 3 2 2 2" xfId="44486" xr:uid="{00000000-0005-0000-0000-0000CEAD0000}"/>
    <cellStyle name="Normal 4 3 4 2 3 2 3" xfId="44487" xr:uid="{00000000-0005-0000-0000-0000CFAD0000}"/>
    <cellStyle name="Normal 4 3 4 2 3 2 4" xfId="44488" xr:uid="{00000000-0005-0000-0000-0000D0AD0000}"/>
    <cellStyle name="Normal 4 3 4 2 3 3" xfId="44489" xr:uid="{00000000-0005-0000-0000-0000D1AD0000}"/>
    <cellStyle name="Normal 4 3 4 2 3 3 2" xfId="44490" xr:uid="{00000000-0005-0000-0000-0000D2AD0000}"/>
    <cellStyle name="Normal 4 3 4 2 3 4" xfId="44491" xr:uid="{00000000-0005-0000-0000-0000D3AD0000}"/>
    <cellStyle name="Normal 4 3 4 2 3 5" xfId="44492" xr:uid="{00000000-0005-0000-0000-0000D4AD0000}"/>
    <cellStyle name="Normal 4 3 4 2 4" xfId="44493" xr:uid="{00000000-0005-0000-0000-0000D5AD0000}"/>
    <cellStyle name="Normal 4 3 4 2 4 2" xfId="44494" xr:uid="{00000000-0005-0000-0000-0000D6AD0000}"/>
    <cellStyle name="Normal 4 3 4 2 4 2 2" xfId="44495" xr:uid="{00000000-0005-0000-0000-0000D7AD0000}"/>
    <cellStyle name="Normal 4 3 4 2 4 3" xfId="44496" xr:uid="{00000000-0005-0000-0000-0000D8AD0000}"/>
    <cellStyle name="Normal 4 3 4 2 4 4" xfId="44497" xr:uid="{00000000-0005-0000-0000-0000D9AD0000}"/>
    <cellStyle name="Normal 4 3 4 2 5" xfId="44498" xr:uid="{00000000-0005-0000-0000-0000DAAD0000}"/>
    <cellStyle name="Normal 4 3 4 2 5 2" xfId="44499" xr:uid="{00000000-0005-0000-0000-0000DBAD0000}"/>
    <cellStyle name="Normal 4 3 4 2 6" xfId="44500" xr:uid="{00000000-0005-0000-0000-0000DCAD0000}"/>
    <cellStyle name="Normal 4 3 4 2 7" xfId="44501" xr:uid="{00000000-0005-0000-0000-0000DDAD0000}"/>
    <cellStyle name="Normal 4 3 4 3" xfId="44502" xr:uid="{00000000-0005-0000-0000-0000DEAD0000}"/>
    <cellStyle name="Normal 4 3 4 3 2" xfId="44503" xr:uid="{00000000-0005-0000-0000-0000DFAD0000}"/>
    <cellStyle name="Normal 4 3 4 3 2 2" xfId="44504" xr:uid="{00000000-0005-0000-0000-0000E0AD0000}"/>
    <cellStyle name="Normal 4 3 4 3 2 2 2" xfId="44505" xr:uid="{00000000-0005-0000-0000-0000E1AD0000}"/>
    <cellStyle name="Normal 4 3 4 3 2 2 2 2" xfId="44506" xr:uid="{00000000-0005-0000-0000-0000E2AD0000}"/>
    <cellStyle name="Normal 4 3 4 3 2 2 3" xfId="44507" xr:uid="{00000000-0005-0000-0000-0000E3AD0000}"/>
    <cellStyle name="Normal 4 3 4 3 2 2 4" xfId="44508" xr:uid="{00000000-0005-0000-0000-0000E4AD0000}"/>
    <cellStyle name="Normal 4 3 4 3 2 3" xfId="44509" xr:uid="{00000000-0005-0000-0000-0000E5AD0000}"/>
    <cellStyle name="Normal 4 3 4 3 2 3 2" xfId="44510" xr:uid="{00000000-0005-0000-0000-0000E6AD0000}"/>
    <cellStyle name="Normal 4 3 4 3 2 4" xfId="44511" xr:uid="{00000000-0005-0000-0000-0000E7AD0000}"/>
    <cellStyle name="Normal 4 3 4 3 2 5" xfId="44512" xr:uid="{00000000-0005-0000-0000-0000E8AD0000}"/>
    <cellStyle name="Normal 4 3 4 3 3" xfId="44513" xr:uid="{00000000-0005-0000-0000-0000E9AD0000}"/>
    <cellStyle name="Normal 4 3 4 3 3 2" xfId="44514" xr:uid="{00000000-0005-0000-0000-0000EAAD0000}"/>
    <cellStyle name="Normal 4 3 4 3 3 2 2" xfId="44515" xr:uid="{00000000-0005-0000-0000-0000EBAD0000}"/>
    <cellStyle name="Normal 4 3 4 3 3 3" xfId="44516" xr:uid="{00000000-0005-0000-0000-0000ECAD0000}"/>
    <cellStyle name="Normal 4 3 4 3 3 3 2" xfId="44517" xr:uid="{00000000-0005-0000-0000-0000EDAD0000}"/>
    <cellStyle name="Normal 4 3 4 3 3 4" xfId="44518" xr:uid="{00000000-0005-0000-0000-0000EEAD0000}"/>
    <cellStyle name="Normal 4 3 4 3 3 5" xfId="44519" xr:uid="{00000000-0005-0000-0000-0000EFAD0000}"/>
    <cellStyle name="Normal 4 3 4 3 4" xfId="44520" xr:uid="{00000000-0005-0000-0000-0000F0AD0000}"/>
    <cellStyle name="Normal 4 3 4 3 4 2" xfId="44521" xr:uid="{00000000-0005-0000-0000-0000F1AD0000}"/>
    <cellStyle name="Normal 4 3 4 3 5" xfId="44522" xr:uid="{00000000-0005-0000-0000-0000F2AD0000}"/>
    <cellStyle name="Normal 4 3 4 3 5 2" xfId="44523" xr:uid="{00000000-0005-0000-0000-0000F3AD0000}"/>
    <cellStyle name="Normal 4 3 4 3 6" xfId="44524" xr:uid="{00000000-0005-0000-0000-0000F4AD0000}"/>
    <cellStyle name="Normal 4 3 4 3 7" xfId="44525" xr:uid="{00000000-0005-0000-0000-0000F5AD0000}"/>
    <cellStyle name="Normal 4 3 4 4" xfId="44526" xr:uid="{00000000-0005-0000-0000-0000F6AD0000}"/>
    <cellStyle name="Normal 4 3 4 4 2" xfId="44527" xr:uid="{00000000-0005-0000-0000-0000F7AD0000}"/>
    <cellStyle name="Normal 4 3 4 4 2 2" xfId="44528" xr:uid="{00000000-0005-0000-0000-0000F8AD0000}"/>
    <cellStyle name="Normal 4 3 4 4 2 2 2" xfId="44529" xr:uid="{00000000-0005-0000-0000-0000F9AD0000}"/>
    <cellStyle name="Normal 4 3 4 4 2 3" xfId="44530" xr:uid="{00000000-0005-0000-0000-0000FAAD0000}"/>
    <cellStyle name="Normal 4 3 4 4 2 4" xfId="44531" xr:uid="{00000000-0005-0000-0000-0000FBAD0000}"/>
    <cellStyle name="Normal 4 3 4 4 3" xfId="44532" xr:uid="{00000000-0005-0000-0000-0000FCAD0000}"/>
    <cellStyle name="Normal 4 3 4 4 3 2" xfId="44533" xr:uid="{00000000-0005-0000-0000-0000FDAD0000}"/>
    <cellStyle name="Normal 4 3 4 4 4" xfId="44534" xr:uid="{00000000-0005-0000-0000-0000FEAD0000}"/>
    <cellStyle name="Normal 4 3 4 4 5" xfId="44535" xr:uid="{00000000-0005-0000-0000-0000FFAD0000}"/>
    <cellStyle name="Normal 4 3 4 5" xfId="44536" xr:uid="{00000000-0005-0000-0000-000000AE0000}"/>
    <cellStyle name="Normal 4 3 4 5 2" xfId="44537" xr:uid="{00000000-0005-0000-0000-000001AE0000}"/>
    <cellStyle name="Normal 4 3 4 5 2 2" xfId="44538" xr:uid="{00000000-0005-0000-0000-000002AE0000}"/>
    <cellStyle name="Normal 4 3 4 5 3" xfId="44539" xr:uid="{00000000-0005-0000-0000-000003AE0000}"/>
    <cellStyle name="Normal 4 3 4 5 3 2" xfId="44540" xr:uid="{00000000-0005-0000-0000-000004AE0000}"/>
    <cellStyle name="Normal 4 3 4 5 4" xfId="44541" xr:uid="{00000000-0005-0000-0000-000005AE0000}"/>
    <cellStyle name="Normal 4 3 4 5 5" xfId="44542" xr:uid="{00000000-0005-0000-0000-000006AE0000}"/>
    <cellStyle name="Normal 4 3 4 6" xfId="44543" xr:uid="{00000000-0005-0000-0000-000007AE0000}"/>
    <cellStyle name="Normal 4 3 4 6 2" xfId="44544" xr:uid="{00000000-0005-0000-0000-000008AE0000}"/>
    <cellStyle name="Normal 4 3 4 7" xfId="44545" xr:uid="{00000000-0005-0000-0000-000009AE0000}"/>
    <cellStyle name="Normal 4 3 4 7 2" xfId="44546" xr:uid="{00000000-0005-0000-0000-00000AAE0000}"/>
    <cellStyle name="Normal 4 3 4 8" xfId="44547" xr:uid="{00000000-0005-0000-0000-00000BAE0000}"/>
    <cellStyle name="Normal 4 3 4 9" xfId="44548" xr:uid="{00000000-0005-0000-0000-00000CAE0000}"/>
    <cellStyle name="Normal 4 3 5" xfId="44549" xr:uid="{00000000-0005-0000-0000-00000DAE0000}"/>
    <cellStyle name="Normal 4 3 5 2" xfId="44550" xr:uid="{00000000-0005-0000-0000-00000EAE0000}"/>
    <cellStyle name="Normal 4 3 5 2 2" xfId="44551" xr:uid="{00000000-0005-0000-0000-00000FAE0000}"/>
    <cellStyle name="Normal 4 3 5 2 2 2" xfId="44552" xr:uid="{00000000-0005-0000-0000-000010AE0000}"/>
    <cellStyle name="Normal 4 3 5 2 2 2 2" xfId="44553" xr:uid="{00000000-0005-0000-0000-000011AE0000}"/>
    <cellStyle name="Normal 4 3 5 2 2 2 2 2" xfId="44554" xr:uid="{00000000-0005-0000-0000-000012AE0000}"/>
    <cellStyle name="Normal 4 3 5 2 2 2 3" xfId="44555" xr:uid="{00000000-0005-0000-0000-000013AE0000}"/>
    <cellStyle name="Normal 4 3 5 2 2 2 4" xfId="44556" xr:uid="{00000000-0005-0000-0000-000014AE0000}"/>
    <cellStyle name="Normal 4 3 5 2 2 3" xfId="44557" xr:uid="{00000000-0005-0000-0000-000015AE0000}"/>
    <cellStyle name="Normal 4 3 5 2 2 3 2" xfId="44558" xr:uid="{00000000-0005-0000-0000-000016AE0000}"/>
    <cellStyle name="Normal 4 3 5 2 2 4" xfId="44559" xr:uid="{00000000-0005-0000-0000-000017AE0000}"/>
    <cellStyle name="Normal 4 3 5 2 2 5" xfId="44560" xr:uid="{00000000-0005-0000-0000-000018AE0000}"/>
    <cellStyle name="Normal 4 3 5 2 3" xfId="44561" xr:uid="{00000000-0005-0000-0000-000019AE0000}"/>
    <cellStyle name="Normal 4 3 5 2 3 2" xfId="44562" xr:uid="{00000000-0005-0000-0000-00001AAE0000}"/>
    <cellStyle name="Normal 4 3 5 2 3 2 2" xfId="44563" xr:uid="{00000000-0005-0000-0000-00001BAE0000}"/>
    <cellStyle name="Normal 4 3 5 2 3 3" xfId="44564" xr:uid="{00000000-0005-0000-0000-00001CAE0000}"/>
    <cellStyle name="Normal 4 3 5 2 3 3 2" xfId="44565" xr:uid="{00000000-0005-0000-0000-00001DAE0000}"/>
    <cellStyle name="Normal 4 3 5 2 3 4" xfId="44566" xr:uid="{00000000-0005-0000-0000-00001EAE0000}"/>
    <cellStyle name="Normal 4 3 5 2 3 5" xfId="44567" xr:uid="{00000000-0005-0000-0000-00001FAE0000}"/>
    <cellStyle name="Normal 4 3 5 2 4" xfId="44568" xr:uid="{00000000-0005-0000-0000-000020AE0000}"/>
    <cellStyle name="Normal 4 3 5 2 4 2" xfId="44569" xr:uid="{00000000-0005-0000-0000-000021AE0000}"/>
    <cellStyle name="Normal 4 3 5 2 5" xfId="44570" xr:uid="{00000000-0005-0000-0000-000022AE0000}"/>
    <cellStyle name="Normal 4 3 5 2 5 2" xfId="44571" xr:uid="{00000000-0005-0000-0000-000023AE0000}"/>
    <cellStyle name="Normal 4 3 5 2 6" xfId="44572" xr:uid="{00000000-0005-0000-0000-000024AE0000}"/>
    <cellStyle name="Normal 4 3 5 2 7" xfId="44573" xr:uid="{00000000-0005-0000-0000-000025AE0000}"/>
    <cellStyle name="Normal 4 3 5 3" xfId="44574" xr:uid="{00000000-0005-0000-0000-000026AE0000}"/>
    <cellStyle name="Normal 4 3 5 3 2" xfId="44575" xr:uid="{00000000-0005-0000-0000-000027AE0000}"/>
    <cellStyle name="Normal 4 3 5 3 2 2" xfId="44576" xr:uid="{00000000-0005-0000-0000-000028AE0000}"/>
    <cellStyle name="Normal 4 3 5 3 2 2 2" xfId="44577" xr:uid="{00000000-0005-0000-0000-000029AE0000}"/>
    <cellStyle name="Normal 4 3 5 3 2 3" xfId="44578" xr:uid="{00000000-0005-0000-0000-00002AAE0000}"/>
    <cellStyle name="Normal 4 3 5 3 2 4" xfId="44579" xr:uid="{00000000-0005-0000-0000-00002BAE0000}"/>
    <cellStyle name="Normal 4 3 5 3 3" xfId="44580" xr:uid="{00000000-0005-0000-0000-00002CAE0000}"/>
    <cellStyle name="Normal 4 3 5 3 3 2" xfId="44581" xr:uid="{00000000-0005-0000-0000-00002DAE0000}"/>
    <cellStyle name="Normal 4 3 5 3 4" xfId="44582" xr:uid="{00000000-0005-0000-0000-00002EAE0000}"/>
    <cellStyle name="Normal 4 3 5 3 5" xfId="44583" xr:uid="{00000000-0005-0000-0000-00002FAE0000}"/>
    <cellStyle name="Normal 4 3 5 4" xfId="44584" xr:uid="{00000000-0005-0000-0000-000030AE0000}"/>
    <cellStyle name="Normal 4 3 5 4 2" xfId="44585" xr:uid="{00000000-0005-0000-0000-000031AE0000}"/>
    <cellStyle name="Normal 4 3 5 4 2 2" xfId="44586" xr:uid="{00000000-0005-0000-0000-000032AE0000}"/>
    <cellStyle name="Normal 4 3 5 4 3" xfId="44587" xr:uid="{00000000-0005-0000-0000-000033AE0000}"/>
    <cellStyle name="Normal 4 3 5 4 3 2" xfId="44588" xr:uid="{00000000-0005-0000-0000-000034AE0000}"/>
    <cellStyle name="Normal 4 3 5 4 4" xfId="44589" xr:uid="{00000000-0005-0000-0000-000035AE0000}"/>
    <cellStyle name="Normal 4 3 5 4 5" xfId="44590" xr:uid="{00000000-0005-0000-0000-000036AE0000}"/>
    <cellStyle name="Normal 4 3 5 5" xfId="44591" xr:uid="{00000000-0005-0000-0000-000037AE0000}"/>
    <cellStyle name="Normal 4 3 5 5 2" xfId="44592" xr:uid="{00000000-0005-0000-0000-000038AE0000}"/>
    <cellStyle name="Normal 4 3 5 6" xfId="44593" xr:uid="{00000000-0005-0000-0000-000039AE0000}"/>
    <cellStyle name="Normal 4 3 5 6 2" xfId="44594" xr:uid="{00000000-0005-0000-0000-00003AAE0000}"/>
    <cellStyle name="Normal 4 3 5 7" xfId="44595" xr:uid="{00000000-0005-0000-0000-00003BAE0000}"/>
    <cellStyle name="Normal 4 3 5 8" xfId="44596" xr:uid="{00000000-0005-0000-0000-00003CAE0000}"/>
    <cellStyle name="Normal 4 3 6" xfId="44597" xr:uid="{00000000-0005-0000-0000-00003DAE0000}"/>
    <cellStyle name="Normal 4 3 6 2" xfId="44598" xr:uid="{00000000-0005-0000-0000-00003EAE0000}"/>
    <cellStyle name="Normal 4 3 6 2 2" xfId="44599" xr:uid="{00000000-0005-0000-0000-00003FAE0000}"/>
    <cellStyle name="Normal 4 3 6 2 2 2" xfId="44600" xr:uid="{00000000-0005-0000-0000-000040AE0000}"/>
    <cellStyle name="Normal 4 3 6 2 2 2 2" xfId="44601" xr:uid="{00000000-0005-0000-0000-000041AE0000}"/>
    <cellStyle name="Normal 4 3 6 2 2 3" xfId="44602" xr:uid="{00000000-0005-0000-0000-000042AE0000}"/>
    <cellStyle name="Normal 4 3 6 2 2 4" xfId="44603" xr:uid="{00000000-0005-0000-0000-000043AE0000}"/>
    <cellStyle name="Normal 4 3 6 2 3" xfId="44604" xr:uid="{00000000-0005-0000-0000-000044AE0000}"/>
    <cellStyle name="Normal 4 3 6 2 3 2" xfId="44605" xr:uid="{00000000-0005-0000-0000-000045AE0000}"/>
    <cellStyle name="Normal 4 3 6 2 4" xfId="44606" xr:uid="{00000000-0005-0000-0000-000046AE0000}"/>
    <cellStyle name="Normal 4 3 6 2 5" xfId="44607" xr:uid="{00000000-0005-0000-0000-000047AE0000}"/>
    <cellStyle name="Normal 4 3 6 3" xfId="44608" xr:uid="{00000000-0005-0000-0000-000048AE0000}"/>
    <cellStyle name="Normal 4 3 6 3 2" xfId="44609" xr:uid="{00000000-0005-0000-0000-000049AE0000}"/>
    <cellStyle name="Normal 4 3 6 3 3" xfId="44610" xr:uid="{00000000-0005-0000-0000-00004AAE0000}"/>
    <cellStyle name="Normal 4 3 6 4" xfId="44611" xr:uid="{00000000-0005-0000-0000-00004BAE0000}"/>
    <cellStyle name="Normal 4 3 6 4 2" xfId="44612" xr:uid="{00000000-0005-0000-0000-00004CAE0000}"/>
    <cellStyle name="Normal 4 3 6 5" xfId="44613" xr:uid="{00000000-0005-0000-0000-00004DAE0000}"/>
    <cellStyle name="Normal 4 3 7" xfId="44614" xr:uid="{00000000-0005-0000-0000-00004EAE0000}"/>
    <cellStyle name="Normal 4 3 7 2" xfId="44615" xr:uid="{00000000-0005-0000-0000-00004FAE0000}"/>
    <cellStyle name="Normal 4 3 7 2 2" xfId="44616" xr:uid="{00000000-0005-0000-0000-000050AE0000}"/>
    <cellStyle name="Normal 4 3 7 2 2 2" xfId="44617" xr:uid="{00000000-0005-0000-0000-000051AE0000}"/>
    <cellStyle name="Normal 4 3 7 2 3" xfId="44618" xr:uid="{00000000-0005-0000-0000-000052AE0000}"/>
    <cellStyle name="Normal 4 3 7 2 3 2" xfId="44619" xr:uid="{00000000-0005-0000-0000-000053AE0000}"/>
    <cellStyle name="Normal 4 3 7 2 4" xfId="44620" xr:uid="{00000000-0005-0000-0000-000054AE0000}"/>
    <cellStyle name="Normal 4 3 7 2 5" xfId="44621" xr:uid="{00000000-0005-0000-0000-000055AE0000}"/>
    <cellStyle name="Normal 4 3 7 3" xfId="44622" xr:uid="{00000000-0005-0000-0000-000056AE0000}"/>
    <cellStyle name="Normal 4 3 7 3 2" xfId="44623" xr:uid="{00000000-0005-0000-0000-000057AE0000}"/>
    <cellStyle name="Normal 4 3 7 4" xfId="44624" xr:uid="{00000000-0005-0000-0000-000058AE0000}"/>
    <cellStyle name="Normal 4 3 7 4 2" xfId="44625" xr:uid="{00000000-0005-0000-0000-000059AE0000}"/>
    <cellStyle name="Normal 4 3 7 5" xfId="44626" xr:uid="{00000000-0005-0000-0000-00005AAE0000}"/>
    <cellStyle name="Normal 4 3 7 6" xfId="44627" xr:uid="{00000000-0005-0000-0000-00005BAE0000}"/>
    <cellStyle name="Normal 4 3 8" xfId="44628" xr:uid="{00000000-0005-0000-0000-00005CAE0000}"/>
    <cellStyle name="Normal 4 3 8 2" xfId="44629" xr:uid="{00000000-0005-0000-0000-00005DAE0000}"/>
    <cellStyle name="Normal 4 3 8 2 2" xfId="44630" xr:uid="{00000000-0005-0000-0000-00005EAE0000}"/>
    <cellStyle name="Normal 4 3 8 3" xfId="44631" xr:uid="{00000000-0005-0000-0000-00005FAE0000}"/>
    <cellStyle name="Normal 4 3 8 3 2" xfId="44632" xr:uid="{00000000-0005-0000-0000-000060AE0000}"/>
    <cellStyle name="Normal 4 3 8 4" xfId="44633" xr:uid="{00000000-0005-0000-0000-000061AE0000}"/>
    <cellStyle name="Normal 4 3 8 5" xfId="44634" xr:uid="{00000000-0005-0000-0000-000062AE0000}"/>
    <cellStyle name="Normal 4 3 9" xfId="44635" xr:uid="{00000000-0005-0000-0000-000063AE0000}"/>
    <cellStyle name="Normal 4 3 9 2" xfId="44636" xr:uid="{00000000-0005-0000-0000-000064AE0000}"/>
    <cellStyle name="Normal 4 3 9 2 2" xfId="44637" xr:uid="{00000000-0005-0000-0000-000065AE0000}"/>
    <cellStyle name="Normal 4 3 9 3" xfId="44638" xr:uid="{00000000-0005-0000-0000-000066AE0000}"/>
    <cellStyle name="Normal 4 4" xfId="44639" xr:uid="{00000000-0005-0000-0000-000067AE0000}"/>
    <cellStyle name="Normal 4 5" xfId="44640" xr:uid="{00000000-0005-0000-0000-000068AE0000}"/>
    <cellStyle name="Normal 4 6" xfId="44641" xr:uid="{00000000-0005-0000-0000-000069AE0000}"/>
    <cellStyle name="Normal 40" xfId="44642" xr:uid="{00000000-0005-0000-0000-00006AAE0000}"/>
    <cellStyle name="Normal 40 10" xfId="44643" xr:uid="{00000000-0005-0000-0000-00006BAE0000}"/>
    <cellStyle name="Normal 40 10 2" xfId="44644" xr:uid="{00000000-0005-0000-0000-00006CAE0000}"/>
    <cellStyle name="Normal 40 11" xfId="44645" xr:uid="{00000000-0005-0000-0000-00006DAE0000}"/>
    <cellStyle name="Normal 40 11 2" xfId="44646" xr:uid="{00000000-0005-0000-0000-00006EAE0000}"/>
    <cellStyle name="Normal 40 12" xfId="44647" xr:uid="{00000000-0005-0000-0000-00006FAE0000}"/>
    <cellStyle name="Normal 40 12 2" xfId="44648" xr:uid="{00000000-0005-0000-0000-000070AE0000}"/>
    <cellStyle name="Normal 40 13" xfId="44649" xr:uid="{00000000-0005-0000-0000-000071AE0000}"/>
    <cellStyle name="Normal 40 13 2" xfId="44650" xr:uid="{00000000-0005-0000-0000-000072AE0000}"/>
    <cellStyle name="Normal 40 14" xfId="44651" xr:uid="{00000000-0005-0000-0000-000073AE0000}"/>
    <cellStyle name="Normal 40 14 2" xfId="44652" xr:uid="{00000000-0005-0000-0000-000074AE0000}"/>
    <cellStyle name="Normal 40 15" xfId="44653" xr:uid="{00000000-0005-0000-0000-000075AE0000}"/>
    <cellStyle name="Normal 40 15 2" xfId="44654" xr:uid="{00000000-0005-0000-0000-000076AE0000}"/>
    <cellStyle name="Normal 40 16" xfId="44655" xr:uid="{00000000-0005-0000-0000-000077AE0000}"/>
    <cellStyle name="Normal 40 16 2" xfId="44656" xr:uid="{00000000-0005-0000-0000-000078AE0000}"/>
    <cellStyle name="Normal 40 17" xfId="44657" xr:uid="{00000000-0005-0000-0000-000079AE0000}"/>
    <cellStyle name="Normal 40 17 2" xfId="44658" xr:uid="{00000000-0005-0000-0000-00007AAE0000}"/>
    <cellStyle name="Normal 40 18" xfId="44659" xr:uid="{00000000-0005-0000-0000-00007BAE0000}"/>
    <cellStyle name="Normal 40 18 2" xfId="44660" xr:uid="{00000000-0005-0000-0000-00007CAE0000}"/>
    <cellStyle name="Normal 40 19" xfId="44661" xr:uid="{00000000-0005-0000-0000-00007DAE0000}"/>
    <cellStyle name="Normal 40 19 2" xfId="44662" xr:uid="{00000000-0005-0000-0000-00007EAE0000}"/>
    <cellStyle name="Normal 40 2" xfId="44663" xr:uid="{00000000-0005-0000-0000-00007FAE0000}"/>
    <cellStyle name="Normal 40 2 2" xfId="44664" xr:uid="{00000000-0005-0000-0000-000080AE0000}"/>
    <cellStyle name="Normal 40 20" xfId="44665" xr:uid="{00000000-0005-0000-0000-000081AE0000}"/>
    <cellStyle name="Normal 40 20 2" xfId="44666" xr:uid="{00000000-0005-0000-0000-000082AE0000}"/>
    <cellStyle name="Normal 40 21" xfId="44667" xr:uid="{00000000-0005-0000-0000-000083AE0000}"/>
    <cellStyle name="Normal 40 21 2" xfId="44668" xr:uid="{00000000-0005-0000-0000-000084AE0000}"/>
    <cellStyle name="Normal 40 22" xfId="44669" xr:uid="{00000000-0005-0000-0000-000085AE0000}"/>
    <cellStyle name="Normal 40 22 2" xfId="44670" xr:uid="{00000000-0005-0000-0000-000086AE0000}"/>
    <cellStyle name="Normal 40 23" xfId="44671" xr:uid="{00000000-0005-0000-0000-000087AE0000}"/>
    <cellStyle name="Normal 40 23 2" xfId="44672" xr:uid="{00000000-0005-0000-0000-000088AE0000}"/>
    <cellStyle name="Normal 40 24" xfId="44673" xr:uid="{00000000-0005-0000-0000-000089AE0000}"/>
    <cellStyle name="Normal 40 24 2" xfId="44674" xr:uid="{00000000-0005-0000-0000-00008AAE0000}"/>
    <cellStyle name="Normal 40 25" xfId="44675" xr:uid="{00000000-0005-0000-0000-00008BAE0000}"/>
    <cellStyle name="Normal 40 25 2" xfId="44676" xr:uid="{00000000-0005-0000-0000-00008CAE0000}"/>
    <cellStyle name="Normal 40 26" xfId="44677" xr:uid="{00000000-0005-0000-0000-00008DAE0000}"/>
    <cellStyle name="Normal 40 26 2" xfId="44678" xr:uid="{00000000-0005-0000-0000-00008EAE0000}"/>
    <cellStyle name="Normal 40 27" xfId="44679" xr:uid="{00000000-0005-0000-0000-00008FAE0000}"/>
    <cellStyle name="Normal 40 27 2" xfId="44680" xr:uid="{00000000-0005-0000-0000-000090AE0000}"/>
    <cellStyle name="Normal 40 28" xfId="44681" xr:uid="{00000000-0005-0000-0000-000091AE0000}"/>
    <cellStyle name="Normal 40 28 2" xfId="44682" xr:uid="{00000000-0005-0000-0000-000092AE0000}"/>
    <cellStyle name="Normal 40 29" xfId="44683" xr:uid="{00000000-0005-0000-0000-000093AE0000}"/>
    <cellStyle name="Normal 40 29 2" xfId="44684" xr:uid="{00000000-0005-0000-0000-000094AE0000}"/>
    <cellStyle name="Normal 40 3" xfId="44685" xr:uid="{00000000-0005-0000-0000-000095AE0000}"/>
    <cellStyle name="Normal 40 3 2" xfId="44686" xr:uid="{00000000-0005-0000-0000-000096AE0000}"/>
    <cellStyle name="Normal 40 30" xfId="44687" xr:uid="{00000000-0005-0000-0000-000097AE0000}"/>
    <cellStyle name="Normal 40 30 2" xfId="44688" xr:uid="{00000000-0005-0000-0000-000098AE0000}"/>
    <cellStyle name="Normal 40 31" xfId="44689" xr:uid="{00000000-0005-0000-0000-000099AE0000}"/>
    <cellStyle name="Normal 40 31 2" xfId="44690" xr:uid="{00000000-0005-0000-0000-00009AAE0000}"/>
    <cellStyle name="Normal 40 32" xfId="44691" xr:uid="{00000000-0005-0000-0000-00009BAE0000}"/>
    <cellStyle name="Normal 40 32 2" xfId="44692" xr:uid="{00000000-0005-0000-0000-00009CAE0000}"/>
    <cellStyle name="Normal 40 33" xfId="44693" xr:uid="{00000000-0005-0000-0000-00009DAE0000}"/>
    <cellStyle name="Normal 40 33 2" xfId="44694" xr:uid="{00000000-0005-0000-0000-00009EAE0000}"/>
    <cellStyle name="Normal 40 34" xfId="44695" xr:uid="{00000000-0005-0000-0000-00009FAE0000}"/>
    <cellStyle name="Normal 40 34 2" xfId="44696" xr:uid="{00000000-0005-0000-0000-0000A0AE0000}"/>
    <cellStyle name="Normal 40 35" xfId="44697" xr:uid="{00000000-0005-0000-0000-0000A1AE0000}"/>
    <cellStyle name="Normal 40 35 2" xfId="44698" xr:uid="{00000000-0005-0000-0000-0000A2AE0000}"/>
    <cellStyle name="Normal 40 36" xfId="44699" xr:uid="{00000000-0005-0000-0000-0000A3AE0000}"/>
    <cellStyle name="Normal 40 36 2" xfId="44700" xr:uid="{00000000-0005-0000-0000-0000A4AE0000}"/>
    <cellStyle name="Normal 40 37" xfId="44701" xr:uid="{00000000-0005-0000-0000-0000A5AE0000}"/>
    <cellStyle name="Normal 40 37 2" xfId="44702" xr:uid="{00000000-0005-0000-0000-0000A6AE0000}"/>
    <cellStyle name="Normal 40 38" xfId="44703" xr:uid="{00000000-0005-0000-0000-0000A7AE0000}"/>
    <cellStyle name="Normal 40 38 2" xfId="44704" xr:uid="{00000000-0005-0000-0000-0000A8AE0000}"/>
    <cellStyle name="Normal 40 39" xfId="44705" xr:uid="{00000000-0005-0000-0000-0000A9AE0000}"/>
    <cellStyle name="Normal 40 39 2" xfId="44706" xr:uid="{00000000-0005-0000-0000-0000AAAE0000}"/>
    <cellStyle name="Normal 40 4" xfId="44707" xr:uid="{00000000-0005-0000-0000-0000ABAE0000}"/>
    <cellStyle name="Normal 40 4 2" xfId="44708" xr:uid="{00000000-0005-0000-0000-0000ACAE0000}"/>
    <cellStyle name="Normal 40 40" xfId="44709" xr:uid="{00000000-0005-0000-0000-0000ADAE0000}"/>
    <cellStyle name="Normal 40 40 2" xfId="44710" xr:uid="{00000000-0005-0000-0000-0000AEAE0000}"/>
    <cellStyle name="Normal 40 41" xfId="44711" xr:uid="{00000000-0005-0000-0000-0000AFAE0000}"/>
    <cellStyle name="Normal 40 41 2" xfId="44712" xr:uid="{00000000-0005-0000-0000-0000B0AE0000}"/>
    <cellStyle name="Normal 40 42" xfId="44713" xr:uid="{00000000-0005-0000-0000-0000B1AE0000}"/>
    <cellStyle name="Normal 40 42 2" xfId="44714" xr:uid="{00000000-0005-0000-0000-0000B2AE0000}"/>
    <cellStyle name="Normal 40 43" xfId="44715" xr:uid="{00000000-0005-0000-0000-0000B3AE0000}"/>
    <cellStyle name="Normal 40 43 2" xfId="44716" xr:uid="{00000000-0005-0000-0000-0000B4AE0000}"/>
    <cellStyle name="Normal 40 44" xfId="44717" xr:uid="{00000000-0005-0000-0000-0000B5AE0000}"/>
    <cellStyle name="Normal 40 44 2" xfId="44718" xr:uid="{00000000-0005-0000-0000-0000B6AE0000}"/>
    <cellStyle name="Normal 40 45" xfId="44719" xr:uid="{00000000-0005-0000-0000-0000B7AE0000}"/>
    <cellStyle name="Normal 40 45 2" xfId="44720" xr:uid="{00000000-0005-0000-0000-0000B8AE0000}"/>
    <cellStyle name="Normal 40 46" xfId="44721" xr:uid="{00000000-0005-0000-0000-0000B9AE0000}"/>
    <cellStyle name="Normal 40 46 2" xfId="44722" xr:uid="{00000000-0005-0000-0000-0000BAAE0000}"/>
    <cellStyle name="Normal 40 47" xfId="44723" xr:uid="{00000000-0005-0000-0000-0000BBAE0000}"/>
    <cellStyle name="Normal 40 47 2" xfId="44724" xr:uid="{00000000-0005-0000-0000-0000BCAE0000}"/>
    <cellStyle name="Normal 40 48" xfId="44725" xr:uid="{00000000-0005-0000-0000-0000BDAE0000}"/>
    <cellStyle name="Normal 40 48 2" xfId="44726" xr:uid="{00000000-0005-0000-0000-0000BEAE0000}"/>
    <cellStyle name="Normal 40 49" xfId="44727" xr:uid="{00000000-0005-0000-0000-0000BFAE0000}"/>
    <cellStyle name="Normal 40 49 2" xfId="44728" xr:uid="{00000000-0005-0000-0000-0000C0AE0000}"/>
    <cellStyle name="Normal 40 5" xfId="44729" xr:uid="{00000000-0005-0000-0000-0000C1AE0000}"/>
    <cellStyle name="Normal 40 5 2" xfId="44730" xr:uid="{00000000-0005-0000-0000-0000C2AE0000}"/>
    <cellStyle name="Normal 40 50" xfId="44731" xr:uid="{00000000-0005-0000-0000-0000C3AE0000}"/>
    <cellStyle name="Normal 40 50 2" xfId="44732" xr:uid="{00000000-0005-0000-0000-0000C4AE0000}"/>
    <cellStyle name="Normal 40 51" xfId="44733" xr:uid="{00000000-0005-0000-0000-0000C5AE0000}"/>
    <cellStyle name="Normal 40 51 2" xfId="44734" xr:uid="{00000000-0005-0000-0000-0000C6AE0000}"/>
    <cellStyle name="Normal 40 52" xfId="44735" xr:uid="{00000000-0005-0000-0000-0000C7AE0000}"/>
    <cellStyle name="Normal 40 52 2" xfId="44736" xr:uid="{00000000-0005-0000-0000-0000C8AE0000}"/>
    <cellStyle name="Normal 40 53" xfId="44737" xr:uid="{00000000-0005-0000-0000-0000C9AE0000}"/>
    <cellStyle name="Normal 40 53 2" xfId="44738" xr:uid="{00000000-0005-0000-0000-0000CAAE0000}"/>
    <cellStyle name="Normal 40 54" xfId="44739" xr:uid="{00000000-0005-0000-0000-0000CBAE0000}"/>
    <cellStyle name="Normal 40 54 2" xfId="44740" xr:uid="{00000000-0005-0000-0000-0000CCAE0000}"/>
    <cellStyle name="Normal 40 55" xfId="44741" xr:uid="{00000000-0005-0000-0000-0000CDAE0000}"/>
    <cellStyle name="Normal 40 55 2" xfId="44742" xr:uid="{00000000-0005-0000-0000-0000CEAE0000}"/>
    <cellStyle name="Normal 40 56" xfId="44743" xr:uid="{00000000-0005-0000-0000-0000CFAE0000}"/>
    <cellStyle name="Normal 40 56 2" xfId="44744" xr:uid="{00000000-0005-0000-0000-0000D0AE0000}"/>
    <cellStyle name="Normal 40 57" xfId="44745" xr:uid="{00000000-0005-0000-0000-0000D1AE0000}"/>
    <cellStyle name="Normal 40 57 2" xfId="44746" xr:uid="{00000000-0005-0000-0000-0000D2AE0000}"/>
    <cellStyle name="Normal 40 58" xfId="44747" xr:uid="{00000000-0005-0000-0000-0000D3AE0000}"/>
    <cellStyle name="Normal 40 58 2" xfId="44748" xr:uid="{00000000-0005-0000-0000-0000D4AE0000}"/>
    <cellStyle name="Normal 40 59" xfId="44749" xr:uid="{00000000-0005-0000-0000-0000D5AE0000}"/>
    <cellStyle name="Normal 40 6" xfId="44750" xr:uid="{00000000-0005-0000-0000-0000D6AE0000}"/>
    <cellStyle name="Normal 40 6 2" xfId="44751" xr:uid="{00000000-0005-0000-0000-0000D7AE0000}"/>
    <cellStyle name="Normal 40 7" xfId="44752" xr:uid="{00000000-0005-0000-0000-0000D8AE0000}"/>
    <cellStyle name="Normal 40 7 2" xfId="44753" xr:uid="{00000000-0005-0000-0000-0000D9AE0000}"/>
    <cellStyle name="Normal 40 8" xfId="44754" xr:uid="{00000000-0005-0000-0000-0000DAAE0000}"/>
    <cellStyle name="Normal 40 8 2" xfId="44755" xr:uid="{00000000-0005-0000-0000-0000DBAE0000}"/>
    <cellStyle name="Normal 40 9" xfId="44756" xr:uid="{00000000-0005-0000-0000-0000DCAE0000}"/>
    <cellStyle name="Normal 40 9 2" xfId="44757" xr:uid="{00000000-0005-0000-0000-0000DDAE0000}"/>
    <cellStyle name="Normal 404 2 2" xfId="62544" xr:uid="{00000000-0005-0000-0000-0000DEAE0000}"/>
    <cellStyle name="Normal 404 2 2 2" xfId="62548" xr:uid="{00000000-0005-0000-0000-0000DFAE0000}"/>
    <cellStyle name="Normal 404 2 3" xfId="62545" xr:uid="{00000000-0005-0000-0000-0000E0AE0000}"/>
    <cellStyle name="Normal 41" xfId="44758" xr:uid="{00000000-0005-0000-0000-0000E1AE0000}"/>
    <cellStyle name="Normal 41 10" xfId="44759" xr:uid="{00000000-0005-0000-0000-0000E2AE0000}"/>
    <cellStyle name="Normal 41 10 2" xfId="44760" xr:uid="{00000000-0005-0000-0000-0000E3AE0000}"/>
    <cellStyle name="Normal 41 11" xfId="44761" xr:uid="{00000000-0005-0000-0000-0000E4AE0000}"/>
    <cellStyle name="Normal 41 11 2" xfId="44762" xr:uid="{00000000-0005-0000-0000-0000E5AE0000}"/>
    <cellStyle name="Normal 41 12" xfId="44763" xr:uid="{00000000-0005-0000-0000-0000E6AE0000}"/>
    <cellStyle name="Normal 41 12 2" xfId="44764" xr:uid="{00000000-0005-0000-0000-0000E7AE0000}"/>
    <cellStyle name="Normal 41 13" xfId="44765" xr:uid="{00000000-0005-0000-0000-0000E8AE0000}"/>
    <cellStyle name="Normal 41 13 2" xfId="44766" xr:uid="{00000000-0005-0000-0000-0000E9AE0000}"/>
    <cellStyle name="Normal 41 14" xfId="44767" xr:uid="{00000000-0005-0000-0000-0000EAAE0000}"/>
    <cellStyle name="Normal 41 14 2" xfId="44768" xr:uid="{00000000-0005-0000-0000-0000EBAE0000}"/>
    <cellStyle name="Normal 41 15" xfId="44769" xr:uid="{00000000-0005-0000-0000-0000ECAE0000}"/>
    <cellStyle name="Normal 41 15 2" xfId="44770" xr:uid="{00000000-0005-0000-0000-0000EDAE0000}"/>
    <cellStyle name="Normal 41 16" xfId="44771" xr:uid="{00000000-0005-0000-0000-0000EEAE0000}"/>
    <cellStyle name="Normal 41 16 2" xfId="44772" xr:uid="{00000000-0005-0000-0000-0000EFAE0000}"/>
    <cellStyle name="Normal 41 17" xfId="44773" xr:uid="{00000000-0005-0000-0000-0000F0AE0000}"/>
    <cellStyle name="Normal 41 17 2" xfId="44774" xr:uid="{00000000-0005-0000-0000-0000F1AE0000}"/>
    <cellStyle name="Normal 41 18" xfId="44775" xr:uid="{00000000-0005-0000-0000-0000F2AE0000}"/>
    <cellStyle name="Normal 41 18 2" xfId="44776" xr:uid="{00000000-0005-0000-0000-0000F3AE0000}"/>
    <cellStyle name="Normal 41 19" xfId="44777" xr:uid="{00000000-0005-0000-0000-0000F4AE0000}"/>
    <cellStyle name="Normal 41 19 2" xfId="44778" xr:uid="{00000000-0005-0000-0000-0000F5AE0000}"/>
    <cellStyle name="Normal 41 2" xfId="44779" xr:uid="{00000000-0005-0000-0000-0000F6AE0000}"/>
    <cellStyle name="Normal 41 2 2" xfId="44780" xr:uid="{00000000-0005-0000-0000-0000F7AE0000}"/>
    <cellStyle name="Normal 41 20" xfId="44781" xr:uid="{00000000-0005-0000-0000-0000F8AE0000}"/>
    <cellStyle name="Normal 41 20 2" xfId="44782" xr:uid="{00000000-0005-0000-0000-0000F9AE0000}"/>
    <cellStyle name="Normal 41 21" xfId="44783" xr:uid="{00000000-0005-0000-0000-0000FAAE0000}"/>
    <cellStyle name="Normal 41 21 2" xfId="44784" xr:uid="{00000000-0005-0000-0000-0000FBAE0000}"/>
    <cellStyle name="Normal 41 22" xfId="44785" xr:uid="{00000000-0005-0000-0000-0000FCAE0000}"/>
    <cellStyle name="Normal 41 22 2" xfId="44786" xr:uid="{00000000-0005-0000-0000-0000FDAE0000}"/>
    <cellStyle name="Normal 41 23" xfId="44787" xr:uid="{00000000-0005-0000-0000-0000FEAE0000}"/>
    <cellStyle name="Normal 41 23 2" xfId="44788" xr:uid="{00000000-0005-0000-0000-0000FFAE0000}"/>
    <cellStyle name="Normal 41 24" xfId="44789" xr:uid="{00000000-0005-0000-0000-000000AF0000}"/>
    <cellStyle name="Normal 41 24 2" xfId="44790" xr:uid="{00000000-0005-0000-0000-000001AF0000}"/>
    <cellStyle name="Normal 41 25" xfId="44791" xr:uid="{00000000-0005-0000-0000-000002AF0000}"/>
    <cellStyle name="Normal 41 25 2" xfId="44792" xr:uid="{00000000-0005-0000-0000-000003AF0000}"/>
    <cellStyle name="Normal 41 26" xfId="44793" xr:uid="{00000000-0005-0000-0000-000004AF0000}"/>
    <cellStyle name="Normal 41 26 2" xfId="44794" xr:uid="{00000000-0005-0000-0000-000005AF0000}"/>
    <cellStyle name="Normal 41 27" xfId="44795" xr:uid="{00000000-0005-0000-0000-000006AF0000}"/>
    <cellStyle name="Normal 41 27 2" xfId="44796" xr:uid="{00000000-0005-0000-0000-000007AF0000}"/>
    <cellStyle name="Normal 41 28" xfId="44797" xr:uid="{00000000-0005-0000-0000-000008AF0000}"/>
    <cellStyle name="Normal 41 28 2" xfId="44798" xr:uid="{00000000-0005-0000-0000-000009AF0000}"/>
    <cellStyle name="Normal 41 29" xfId="44799" xr:uid="{00000000-0005-0000-0000-00000AAF0000}"/>
    <cellStyle name="Normal 41 29 2" xfId="44800" xr:uid="{00000000-0005-0000-0000-00000BAF0000}"/>
    <cellStyle name="Normal 41 3" xfId="44801" xr:uid="{00000000-0005-0000-0000-00000CAF0000}"/>
    <cellStyle name="Normal 41 3 2" xfId="44802" xr:uid="{00000000-0005-0000-0000-00000DAF0000}"/>
    <cellStyle name="Normal 41 30" xfId="44803" xr:uid="{00000000-0005-0000-0000-00000EAF0000}"/>
    <cellStyle name="Normal 41 30 2" xfId="44804" xr:uid="{00000000-0005-0000-0000-00000FAF0000}"/>
    <cellStyle name="Normal 41 31" xfId="44805" xr:uid="{00000000-0005-0000-0000-000010AF0000}"/>
    <cellStyle name="Normal 41 31 2" xfId="44806" xr:uid="{00000000-0005-0000-0000-000011AF0000}"/>
    <cellStyle name="Normal 41 32" xfId="44807" xr:uid="{00000000-0005-0000-0000-000012AF0000}"/>
    <cellStyle name="Normal 41 32 2" xfId="44808" xr:uid="{00000000-0005-0000-0000-000013AF0000}"/>
    <cellStyle name="Normal 41 33" xfId="44809" xr:uid="{00000000-0005-0000-0000-000014AF0000}"/>
    <cellStyle name="Normal 41 33 2" xfId="44810" xr:uid="{00000000-0005-0000-0000-000015AF0000}"/>
    <cellStyle name="Normal 41 34" xfId="44811" xr:uid="{00000000-0005-0000-0000-000016AF0000}"/>
    <cellStyle name="Normal 41 34 2" xfId="44812" xr:uid="{00000000-0005-0000-0000-000017AF0000}"/>
    <cellStyle name="Normal 41 35" xfId="44813" xr:uid="{00000000-0005-0000-0000-000018AF0000}"/>
    <cellStyle name="Normal 41 35 2" xfId="44814" xr:uid="{00000000-0005-0000-0000-000019AF0000}"/>
    <cellStyle name="Normal 41 36" xfId="44815" xr:uid="{00000000-0005-0000-0000-00001AAF0000}"/>
    <cellStyle name="Normal 41 36 2" xfId="44816" xr:uid="{00000000-0005-0000-0000-00001BAF0000}"/>
    <cellStyle name="Normal 41 37" xfId="44817" xr:uid="{00000000-0005-0000-0000-00001CAF0000}"/>
    <cellStyle name="Normal 41 37 2" xfId="44818" xr:uid="{00000000-0005-0000-0000-00001DAF0000}"/>
    <cellStyle name="Normal 41 38" xfId="44819" xr:uid="{00000000-0005-0000-0000-00001EAF0000}"/>
    <cellStyle name="Normal 41 38 2" xfId="44820" xr:uid="{00000000-0005-0000-0000-00001FAF0000}"/>
    <cellStyle name="Normal 41 39" xfId="44821" xr:uid="{00000000-0005-0000-0000-000020AF0000}"/>
    <cellStyle name="Normal 41 39 2" xfId="44822" xr:uid="{00000000-0005-0000-0000-000021AF0000}"/>
    <cellStyle name="Normal 41 4" xfId="44823" xr:uid="{00000000-0005-0000-0000-000022AF0000}"/>
    <cellStyle name="Normal 41 4 2" xfId="44824" xr:uid="{00000000-0005-0000-0000-000023AF0000}"/>
    <cellStyle name="Normal 41 40" xfId="44825" xr:uid="{00000000-0005-0000-0000-000024AF0000}"/>
    <cellStyle name="Normal 41 40 2" xfId="44826" xr:uid="{00000000-0005-0000-0000-000025AF0000}"/>
    <cellStyle name="Normal 41 41" xfId="44827" xr:uid="{00000000-0005-0000-0000-000026AF0000}"/>
    <cellStyle name="Normal 41 41 2" xfId="44828" xr:uid="{00000000-0005-0000-0000-000027AF0000}"/>
    <cellStyle name="Normal 41 42" xfId="44829" xr:uid="{00000000-0005-0000-0000-000028AF0000}"/>
    <cellStyle name="Normal 41 42 2" xfId="44830" xr:uid="{00000000-0005-0000-0000-000029AF0000}"/>
    <cellStyle name="Normal 41 43" xfId="44831" xr:uid="{00000000-0005-0000-0000-00002AAF0000}"/>
    <cellStyle name="Normal 41 43 2" xfId="44832" xr:uid="{00000000-0005-0000-0000-00002BAF0000}"/>
    <cellStyle name="Normal 41 44" xfId="44833" xr:uid="{00000000-0005-0000-0000-00002CAF0000}"/>
    <cellStyle name="Normal 41 44 2" xfId="44834" xr:uid="{00000000-0005-0000-0000-00002DAF0000}"/>
    <cellStyle name="Normal 41 45" xfId="44835" xr:uid="{00000000-0005-0000-0000-00002EAF0000}"/>
    <cellStyle name="Normal 41 45 2" xfId="44836" xr:uid="{00000000-0005-0000-0000-00002FAF0000}"/>
    <cellStyle name="Normal 41 46" xfId="44837" xr:uid="{00000000-0005-0000-0000-000030AF0000}"/>
    <cellStyle name="Normal 41 46 2" xfId="44838" xr:uid="{00000000-0005-0000-0000-000031AF0000}"/>
    <cellStyle name="Normal 41 47" xfId="44839" xr:uid="{00000000-0005-0000-0000-000032AF0000}"/>
    <cellStyle name="Normal 41 47 2" xfId="44840" xr:uid="{00000000-0005-0000-0000-000033AF0000}"/>
    <cellStyle name="Normal 41 48" xfId="44841" xr:uid="{00000000-0005-0000-0000-000034AF0000}"/>
    <cellStyle name="Normal 41 48 2" xfId="44842" xr:uid="{00000000-0005-0000-0000-000035AF0000}"/>
    <cellStyle name="Normal 41 49" xfId="44843" xr:uid="{00000000-0005-0000-0000-000036AF0000}"/>
    <cellStyle name="Normal 41 49 2" xfId="44844" xr:uid="{00000000-0005-0000-0000-000037AF0000}"/>
    <cellStyle name="Normal 41 5" xfId="44845" xr:uid="{00000000-0005-0000-0000-000038AF0000}"/>
    <cellStyle name="Normal 41 5 2" xfId="44846" xr:uid="{00000000-0005-0000-0000-000039AF0000}"/>
    <cellStyle name="Normal 41 50" xfId="44847" xr:uid="{00000000-0005-0000-0000-00003AAF0000}"/>
    <cellStyle name="Normal 41 50 2" xfId="44848" xr:uid="{00000000-0005-0000-0000-00003BAF0000}"/>
    <cellStyle name="Normal 41 51" xfId="44849" xr:uid="{00000000-0005-0000-0000-00003CAF0000}"/>
    <cellStyle name="Normal 41 51 2" xfId="44850" xr:uid="{00000000-0005-0000-0000-00003DAF0000}"/>
    <cellStyle name="Normal 41 52" xfId="44851" xr:uid="{00000000-0005-0000-0000-00003EAF0000}"/>
    <cellStyle name="Normal 41 52 2" xfId="44852" xr:uid="{00000000-0005-0000-0000-00003FAF0000}"/>
    <cellStyle name="Normal 41 53" xfId="44853" xr:uid="{00000000-0005-0000-0000-000040AF0000}"/>
    <cellStyle name="Normal 41 53 2" xfId="44854" xr:uid="{00000000-0005-0000-0000-000041AF0000}"/>
    <cellStyle name="Normal 41 54" xfId="44855" xr:uid="{00000000-0005-0000-0000-000042AF0000}"/>
    <cellStyle name="Normal 41 54 2" xfId="44856" xr:uid="{00000000-0005-0000-0000-000043AF0000}"/>
    <cellStyle name="Normal 41 55" xfId="44857" xr:uid="{00000000-0005-0000-0000-000044AF0000}"/>
    <cellStyle name="Normal 41 55 2" xfId="44858" xr:uid="{00000000-0005-0000-0000-000045AF0000}"/>
    <cellStyle name="Normal 41 56" xfId="44859" xr:uid="{00000000-0005-0000-0000-000046AF0000}"/>
    <cellStyle name="Normal 41 56 2" xfId="44860" xr:uid="{00000000-0005-0000-0000-000047AF0000}"/>
    <cellStyle name="Normal 41 57" xfId="44861" xr:uid="{00000000-0005-0000-0000-000048AF0000}"/>
    <cellStyle name="Normal 41 57 2" xfId="44862" xr:uid="{00000000-0005-0000-0000-000049AF0000}"/>
    <cellStyle name="Normal 41 58" xfId="44863" xr:uid="{00000000-0005-0000-0000-00004AAF0000}"/>
    <cellStyle name="Normal 41 58 2" xfId="44864" xr:uid="{00000000-0005-0000-0000-00004BAF0000}"/>
    <cellStyle name="Normal 41 59" xfId="44865" xr:uid="{00000000-0005-0000-0000-00004CAF0000}"/>
    <cellStyle name="Normal 41 6" xfId="44866" xr:uid="{00000000-0005-0000-0000-00004DAF0000}"/>
    <cellStyle name="Normal 41 6 2" xfId="44867" xr:uid="{00000000-0005-0000-0000-00004EAF0000}"/>
    <cellStyle name="Normal 41 7" xfId="44868" xr:uid="{00000000-0005-0000-0000-00004FAF0000}"/>
    <cellStyle name="Normal 41 7 2" xfId="44869" xr:uid="{00000000-0005-0000-0000-000050AF0000}"/>
    <cellStyle name="Normal 41 8" xfId="44870" xr:uid="{00000000-0005-0000-0000-000051AF0000}"/>
    <cellStyle name="Normal 41 8 2" xfId="44871" xr:uid="{00000000-0005-0000-0000-000052AF0000}"/>
    <cellStyle name="Normal 41 9" xfId="44872" xr:uid="{00000000-0005-0000-0000-000053AF0000}"/>
    <cellStyle name="Normal 41 9 2" xfId="44873" xr:uid="{00000000-0005-0000-0000-000054AF0000}"/>
    <cellStyle name="Normal 42" xfId="44874" xr:uid="{00000000-0005-0000-0000-000055AF0000}"/>
    <cellStyle name="Normal 42 10" xfId="44875" xr:uid="{00000000-0005-0000-0000-000056AF0000}"/>
    <cellStyle name="Normal 42 10 2" xfId="44876" xr:uid="{00000000-0005-0000-0000-000057AF0000}"/>
    <cellStyle name="Normal 42 11" xfId="44877" xr:uid="{00000000-0005-0000-0000-000058AF0000}"/>
    <cellStyle name="Normal 42 11 2" xfId="44878" xr:uid="{00000000-0005-0000-0000-000059AF0000}"/>
    <cellStyle name="Normal 42 12" xfId="44879" xr:uid="{00000000-0005-0000-0000-00005AAF0000}"/>
    <cellStyle name="Normal 42 12 2" xfId="44880" xr:uid="{00000000-0005-0000-0000-00005BAF0000}"/>
    <cellStyle name="Normal 42 13" xfId="44881" xr:uid="{00000000-0005-0000-0000-00005CAF0000}"/>
    <cellStyle name="Normal 42 13 2" xfId="44882" xr:uid="{00000000-0005-0000-0000-00005DAF0000}"/>
    <cellStyle name="Normal 42 14" xfId="44883" xr:uid="{00000000-0005-0000-0000-00005EAF0000}"/>
    <cellStyle name="Normal 42 14 2" xfId="44884" xr:uid="{00000000-0005-0000-0000-00005FAF0000}"/>
    <cellStyle name="Normal 42 15" xfId="44885" xr:uid="{00000000-0005-0000-0000-000060AF0000}"/>
    <cellStyle name="Normal 42 15 2" xfId="44886" xr:uid="{00000000-0005-0000-0000-000061AF0000}"/>
    <cellStyle name="Normal 42 16" xfId="44887" xr:uid="{00000000-0005-0000-0000-000062AF0000}"/>
    <cellStyle name="Normal 42 16 2" xfId="44888" xr:uid="{00000000-0005-0000-0000-000063AF0000}"/>
    <cellStyle name="Normal 42 17" xfId="44889" xr:uid="{00000000-0005-0000-0000-000064AF0000}"/>
    <cellStyle name="Normal 42 17 2" xfId="44890" xr:uid="{00000000-0005-0000-0000-000065AF0000}"/>
    <cellStyle name="Normal 42 18" xfId="44891" xr:uid="{00000000-0005-0000-0000-000066AF0000}"/>
    <cellStyle name="Normal 42 18 2" xfId="44892" xr:uid="{00000000-0005-0000-0000-000067AF0000}"/>
    <cellStyle name="Normal 42 19" xfId="44893" xr:uid="{00000000-0005-0000-0000-000068AF0000}"/>
    <cellStyle name="Normal 42 19 2" xfId="44894" xr:uid="{00000000-0005-0000-0000-000069AF0000}"/>
    <cellStyle name="Normal 42 2" xfId="44895" xr:uid="{00000000-0005-0000-0000-00006AAF0000}"/>
    <cellStyle name="Normal 42 2 2" xfId="44896" xr:uid="{00000000-0005-0000-0000-00006BAF0000}"/>
    <cellStyle name="Normal 42 20" xfId="44897" xr:uid="{00000000-0005-0000-0000-00006CAF0000}"/>
    <cellStyle name="Normal 42 20 2" xfId="44898" xr:uid="{00000000-0005-0000-0000-00006DAF0000}"/>
    <cellStyle name="Normal 42 21" xfId="44899" xr:uid="{00000000-0005-0000-0000-00006EAF0000}"/>
    <cellStyle name="Normal 42 21 2" xfId="44900" xr:uid="{00000000-0005-0000-0000-00006FAF0000}"/>
    <cellStyle name="Normal 42 22" xfId="44901" xr:uid="{00000000-0005-0000-0000-000070AF0000}"/>
    <cellStyle name="Normal 42 22 2" xfId="44902" xr:uid="{00000000-0005-0000-0000-000071AF0000}"/>
    <cellStyle name="Normal 42 23" xfId="44903" xr:uid="{00000000-0005-0000-0000-000072AF0000}"/>
    <cellStyle name="Normal 42 23 2" xfId="44904" xr:uid="{00000000-0005-0000-0000-000073AF0000}"/>
    <cellStyle name="Normal 42 24" xfId="44905" xr:uid="{00000000-0005-0000-0000-000074AF0000}"/>
    <cellStyle name="Normal 42 24 2" xfId="44906" xr:uid="{00000000-0005-0000-0000-000075AF0000}"/>
    <cellStyle name="Normal 42 25" xfId="44907" xr:uid="{00000000-0005-0000-0000-000076AF0000}"/>
    <cellStyle name="Normal 42 25 2" xfId="44908" xr:uid="{00000000-0005-0000-0000-000077AF0000}"/>
    <cellStyle name="Normal 42 26" xfId="44909" xr:uid="{00000000-0005-0000-0000-000078AF0000}"/>
    <cellStyle name="Normal 42 26 2" xfId="44910" xr:uid="{00000000-0005-0000-0000-000079AF0000}"/>
    <cellStyle name="Normal 42 27" xfId="44911" xr:uid="{00000000-0005-0000-0000-00007AAF0000}"/>
    <cellStyle name="Normal 42 27 2" xfId="44912" xr:uid="{00000000-0005-0000-0000-00007BAF0000}"/>
    <cellStyle name="Normal 42 28" xfId="44913" xr:uid="{00000000-0005-0000-0000-00007CAF0000}"/>
    <cellStyle name="Normal 42 28 2" xfId="44914" xr:uid="{00000000-0005-0000-0000-00007DAF0000}"/>
    <cellStyle name="Normal 42 29" xfId="44915" xr:uid="{00000000-0005-0000-0000-00007EAF0000}"/>
    <cellStyle name="Normal 42 29 2" xfId="44916" xr:uid="{00000000-0005-0000-0000-00007FAF0000}"/>
    <cellStyle name="Normal 42 3" xfId="44917" xr:uid="{00000000-0005-0000-0000-000080AF0000}"/>
    <cellStyle name="Normal 42 3 2" xfId="44918" xr:uid="{00000000-0005-0000-0000-000081AF0000}"/>
    <cellStyle name="Normal 42 30" xfId="44919" xr:uid="{00000000-0005-0000-0000-000082AF0000}"/>
    <cellStyle name="Normal 42 30 2" xfId="44920" xr:uid="{00000000-0005-0000-0000-000083AF0000}"/>
    <cellStyle name="Normal 42 31" xfId="44921" xr:uid="{00000000-0005-0000-0000-000084AF0000}"/>
    <cellStyle name="Normal 42 31 2" xfId="44922" xr:uid="{00000000-0005-0000-0000-000085AF0000}"/>
    <cellStyle name="Normal 42 32" xfId="44923" xr:uid="{00000000-0005-0000-0000-000086AF0000}"/>
    <cellStyle name="Normal 42 32 2" xfId="44924" xr:uid="{00000000-0005-0000-0000-000087AF0000}"/>
    <cellStyle name="Normal 42 33" xfId="44925" xr:uid="{00000000-0005-0000-0000-000088AF0000}"/>
    <cellStyle name="Normal 42 33 2" xfId="44926" xr:uid="{00000000-0005-0000-0000-000089AF0000}"/>
    <cellStyle name="Normal 42 34" xfId="44927" xr:uid="{00000000-0005-0000-0000-00008AAF0000}"/>
    <cellStyle name="Normal 42 34 2" xfId="44928" xr:uid="{00000000-0005-0000-0000-00008BAF0000}"/>
    <cellStyle name="Normal 42 35" xfId="44929" xr:uid="{00000000-0005-0000-0000-00008CAF0000}"/>
    <cellStyle name="Normal 42 35 2" xfId="44930" xr:uid="{00000000-0005-0000-0000-00008DAF0000}"/>
    <cellStyle name="Normal 42 36" xfId="44931" xr:uid="{00000000-0005-0000-0000-00008EAF0000}"/>
    <cellStyle name="Normal 42 36 2" xfId="44932" xr:uid="{00000000-0005-0000-0000-00008FAF0000}"/>
    <cellStyle name="Normal 42 37" xfId="44933" xr:uid="{00000000-0005-0000-0000-000090AF0000}"/>
    <cellStyle name="Normal 42 37 2" xfId="44934" xr:uid="{00000000-0005-0000-0000-000091AF0000}"/>
    <cellStyle name="Normal 42 38" xfId="44935" xr:uid="{00000000-0005-0000-0000-000092AF0000}"/>
    <cellStyle name="Normal 42 38 2" xfId="44936" xr:uid="{00000000-0005-0000-0000-000093AF0000}"/>
    <cellStyle name="Normal 42 39" xfId="44937" xr:uid="{00000000-0005-0000-0000-000094AF0000}"/>
    <cellStyle name="Normal 42 39 2" xfId="44938" xr:uid="{00000000-0005-0000-0000-000095AF0000}"/>
    <cellStyle name="Normal 42 4" xfId="44939" xr:uid="{00000000-0005-0000-0000-000096AF0000}"/>
    <cellStyle name="Normal 42 4 2" xfId="44940" xr:uid="{00000000-0005-0000-0000-000097AF0000}"/>
    <cellStyle name="Normal 42 40" xfId="44941" xr:uid="{00000000-0005-0000-0000-000098AF0000}"/>
    <cellStyle name="Normal 42 40 2" xfId="44942" xr:uid="{00000000-0005-0000-0000-000099AF0000}"/>
    <cellStyle name="Normal 42 41" xfId="44943" xr:uid="{00000000-0005-0000-0000-00009AAF0000}"/>
    <cellStyle name="Normal 42 41 2" xfId="44944" xr:uid="{00000000-0005-0000-0000-00009BAF0000}"/>
    <cellStyle name="Normal 42 42" xfId="44945" xr:uid="{00000000-0005-0000-0000-00009CAF0000}"/>
    <cellStyle name="Normal 42 42 2" xfId="44946" xr:uid="{00000000-0005-0000-0000-00009DAF0000}"/>
    <cellStyle name="Normal 42 43" xfId="44947" xr:uid="{00000000-0005-0000-0000-00009EAF0000}"/>
    <cellStyle name="Normal 42 43 2" xfId="44948" xr:uid="{00000000-0005-0000-0000-00009FAF0000}"/>
    <cellStyle name="Normal 42 44" xfId="44949" xr:uid="{00000000-0005-0000-0000-0000A0AF0000}"/>
    <cellStyle name="Normal 42 44 2" xfId="44950" xr:uid="{00000000-0005-0000-0000-0000A1AF0000}"/>
    <cellStyle name="Normal 42 45" xfId="44951" xr:uid="{00000000-0005-0000-0000-0000A2AF0000}"/>
    <cellStyle name="Normal 42 45 2" xfId="44952" xr:uid="{00000000-0005-0000-0000-0000A3AF0000}"/>
    <cellStyle name="Normal 42 46" xfId="44953" xr:uid="{00000000-0005-0000-0000-0000A4AF0000}"/>
    <cellStyle name="Normal 42 46 2" xfId="44954" xr:uid="{00000000-0005-0000-0000-0000A5AF0000}"/>
    <cellStyle name="Normal 42 47" xfId="44955" xr:uid="{00000000-0005-0000-0000-0000A6AF0000}"/>
    <cellStyle name="Normal 42 47 2" xfId="44956" xr:uid="{00000000-0005-0000-0000-0000A7AF0000}"/>
    <cellStyle name="Normal 42 48" xfId="44957" xr:uid="{00000000-0005-0000-0000-0000A8AF0000}"/>
    <cellStyle name="Normal 42 48 2" xfId="44958" xr:uid="{00000000-0005-0000-0000-0000A9AF0000}"/>
    <cellStyle name="Normal 42 49" xfId="44959" xr:uid="{00000000-0005-0000-0000-0000AAAF0000}"/>
    <cellStyle name="Normal 42 49 2" xfId="44960" xr:uid="{00000000-0005-0000-0000-0000ABAF0000}"/>
    <cellStyle name="Normal 42 5" xfId="44961" xr:uid="{00000000-0005-0000-0000-0000ACAF0000}"/>
    <cellStyle name="Normal 42 5 2" xfId="44962" xr:uid="{00000000-0005-0000-0000-0000ADAF0000}"/>
    <cellStyle name="Normal 42 50" xfId="44963" xr:uid="{00000000-0005-0000-0000-0000AEAF0000}"/>
    <cellStyle name="Normal 42 50 2" xfId="44964" xr:uid="{00000000-0005-0000-0000-0000AFAF0000}"/>
    <cellStyle name="Normal 42 51" xfId="44965" xr:uid="{00000000-0005-0000-0000-0000B0AF0000}"/>
    <cellStyle name="Normal 42 51 2" xfId="44966" xr:uid="{00000000-0005-0000-0000-0000B1AF0000}"/>
    <cellStyle name="Normal 42 52" xfId="44967" xr:uid="{00000000-0005-0000-0000-0000B2AF0000}"/>
    <cellStyle name="Normal 42 52 2" xfId="44968" xr:uid="{00000000-0005-0000-0000-0000B3AF0000}"/>
    <cellStyle name="Normal 42 53" xfId="44969" xr:uid="{00000000-0005-0000-0000-0000B4AF0000}"/>
    <cellStyle name="Normal 42 53 2" xfId="44970" xr:uid="{00000000-0005-0000-0000-0000B5AF0000}"/>
    <cellStyle name="Normal 42 54" xfId="44971" xr:uid="{00000000-0005-0000-0000-0000B6AF0000}"/>
    <cellStyle name="Normal 42 54 2" xfId="44972" xr:uid="{00000000-0005-0000-0000-0000B7AF0000}"/>
    <cellStyle name="Normal 42 55" xfId="44973" xr:uid="{00000000-0005-0000-0000-0000B8AF0000}"/>
    <cellStyle name="Normal 42 55 2" xfId="44974" xr:uid="{00000000-0005-0000-0000-0000B9AF0000}"/>
    <cellStyle name="Normal 42 56" xfId="44975" xr:uid="{00000000-0005-0000-0000-0000BAAF0000}"/>
    <cellStyle name="Normal 42 56 2" xfId="44976" xr:uid="{00000000-0005-0000-0000-0000BBAF0000}"/>
    <cellStyle name="Normal 42 57" xfId="44977" xr:uid="{00000000-0005-0000-0000-0000BCAF0000}"/>
    <cellStyle name="Normal 42 57 2" xfId="44978" xr:uid="{00000000-0005-0000-0000-0000BDAF0000}"/>
    <cellStyle name="Normal 42 58" xfId="44979" xr:uid="{00000000-0005-0000-0000-0000BEAF0000}"/>
    <cellStyle name="Normal 42 58 2" xfId="44980" xr:uid="{00000000-0005-0000-0000-0000BFAF0000}"/>
    <cellStyle name="Normal 42 59" xfId="44981" xr:uid="{00000000-0005-0000-0000-0000C0AF0000}"/>
    <cellStyle name="Normal 42 6" xfId="44982" xr:uid="{00000000-0005-0000-0000-0000C1AF0000}"/>
    <cellStyle name="Normal 42 6 2" xfId="44983" xr:uid="{00000000-0005-0000-0000-0000C2AF0000}"/>
    <cellStyle name="Normal 42 7" xfId="44984" xr:uid="{00000000-0005-0000-0000-0000C3AF0000}"/>
    <cellStyle name="Normal 42 7 2" xfId="44985" xr:uid="{00000000-0005-0000-0000-0000C4AF0000}"/>
    <cellStyle name="Normal 42 8" xfId="44986" xr:uid="{00000000-0005-0000-0000-0000C5AF0000}"/>
    <cellStyle name="Normal 42 8 2" xfId="44987" xr:uid="{00000000-0005-0000-0000-0000C6AF0000}"/>
    <cellStyle name="Normal 42 9" xfId="44988" xr:uid="{00000000-0005-0000-0000-0000C7AF0000}"/>
    <cellStyle name="Normal 42 9 2" xfId="44989" xr:uid="{00000000-0005-0000-0000-0000C8AF0000}"/>
    <cellStyle name="Normal 43" xfId="44990" xr:uid="{00000000-0005-0000-0000-0000C9AF0000}"/>
    <cellStyle name="Normal 43 10" xfId="44991" xr:uid="{00000000-0005-0000-0000-0000CAAF0000}"/>
    <cellStyle name="Normal 43 10 2" xfId="44992" xr:uid="{00000000-0005-0000-0000-0000CBAF0000}"/>
    <cellStyle name="Normal 43 11" xfId="44993" xr:uid="{00000000-0005-0000-0000-0000CCAF0000}"/>
    <cellStyle name="Normal 43 11 2" xfId="44994" xr:uid="{00000000-0005-0000-0000-0000CDAF0000}"/>
    <cellStyle name="Normal 43 12" xfId="44995" xr:uid="{00000000-0005-0000-0000-0000CEAF0000}"/>
    <cellStyle name="Normal 43 12 2" xfId="44996" xr:uid="{00000000-0005-0000-0000-0000CFAF0000}"/>
    <cellStyle name="Normal 43 13" xfId="44997" xr:uid="{00000000-0005-0000-0000-0000D0AF0000}"/>
    <cellStyle name="Normal 43 13 2" xfId="44998" xr:uid="{00000000-0005-0000-0000-0000D1AF0000}"/>
    <cellStyle name="Normal 43 14" xfId="44999" xr:uid="{00000000-0005-0000-0000-0000D2AF0000}"/>
    <cellStyle name="Normal 43 14 2" xfId="45000" xr:uid="{00000000-0005-0000-0000-0000D3AF0000}"/>
    <cellStyle name="Normal 43 15" xfId="45001" xr:uid="{00000000-0005-0000-0000-0000D4AF0000}"/>
    <cellStyle name="Normal 43 15 2" xfId="45002" xr:uid="{00000000-0005-0000-0000-0000D5AF0000}"/>
    <cellStyle name="Normal 43 16" xfId="45003" xr:uid="{00000000-0005-0000-0000-0000D6AF0000}"/>
    <cellStyle name="Normal 43 16 2" xfId="45004" xr:uid="{00000000-0005-0000-0000-0000D7AF0000}"/>
    <cellStyle name="Normal 43 17" xfId="45005" xr:uid="{00000000-0005-0000-0000-0000D8AF0000}"/>
    <cellStyle name="Normal 43 17 2" xfId="45006" xr:uid="{00000000-0005-0000-0000-0000D9AF0000}"/>
    <cellStyle name="Normal 43 18" xfId="45007" xr:uid="{00000000-0005-0000-0000-0000DAAF0000}"/>
    <cellStyle name="Normal 43 18 2" xfId="45008" xr:uid="{00000000-0005-0000-0000-0000DBAF0000}"/>
    <cellStyle name="Normal 43 19" xfId="45009" xr:uid="{00000000-0005-0000-0000-0000DCAF0000}"/>
    <cellStyle name="Normal 43 19 2" xfId="45010" xr:uid="{00000000-0005-0000-0000-0000DDAF0000}"/>
    <cellStyle name="Normal 43 2" xfId="45011" xr:uid="{00000000-0005-0000-0000-0000DEAF0000}"/>
    <cellStyle name="Normal 43 2 2" xfId="45012" xr:uid="{00000000-0005-0000-0000-0000DFAF0000}"/>
    <cellStyle name="Normal 43 20" xfId="45013" xr:uid="{00000000-0005-0000-0000-0000E0AF0000}"/>
    <cellStyle name="Normal 43 20 2" xfId="45014" xr:uid="{00000000-0005-0000-0000-0000E1AF0000}"/>
    <cellStyle name="Normal 43 21" xfId="45015" xr:uid="{00000000-0005-0000-0000-0000E2AF0000}"/>
    <cellStyle name="Normal 43 21 2" xfId="45016" xr:uid="{00000000-0005-0000-0000-0000E3AF0000}"/>
    <cellStyle name="Normal 43 22" xfId="45017" xr:uid="{00000000-0005-0000-0000-0000E4AF0000}"/>
    <cellStyle name="Normal 43 22 2" xfId="45018" xr:uid="{00000000-0005-0000-0000-0000E5AF0000}"/>
    <cellStyle name="Normal 43 23" xfId="45019" xr:uid="{00000000-0005-0000-0000-0000E6AF0000}"/>
    <cellStyle name="Normal 43 23 2" xfId="45020" xr:uid="{00000000-0005-0000-0000-0000E7AF0000}"/>
    <cellStyle name="Normal 43 24" xfId="45021" xr:uid="{00000000-0005-0000-0000-0000E8AF0000}"/>
    <cellStyle name="Normal 43 24 2" xfId="45022" xr:uid="{00000000-0005-0000-0000-0000E9AF0000}"/>
    <cellStyle name="Normal 43 25" xfId="45023" xr:uid="{00000000-0005-0000-0000-0000EAAF0000}"/>
    <cellStyle name="Normal 43 25 2" xfId="45024" xr:uid="{00000000-0005-0000-0000-0000EBAF0000}"/>
    <cellStyle name="Normal 43 26" xfId="45025" xr:uid="{00000000-0005-0000-0000-0000ECAF0000}"/>
    <cellStyle name="Normal 43 26 2" xfId="45026" xr:uid="{00000000-0005-0000-0000-0000EDAF0000}"/>
    <cellStyle name="Normal 43 27" xfId="45027" xr:uid="{00000000-0005-0000-0000-0000EEAF0000}"/>
    <cellStyle name="Normal 43 27 2" xfId="45028" xr:uid="{00000000-0005-0000-0000-0000EFAF0000}"/>
    <cellStyle name="Normal 43 28" xfId="45029" xr:uid="{00000000-0005-0000-0000-0000F0AF0000}"/>
    <cellStyle name="Normal 43 28 2" xfId="45030" xr:uid="{00000000-0005-0000-0000-0000F1AF0000}"/>
    <cellStyle name="Normal 43 29" xfId="45031" xr:uid="{00000000-0005-0000-0000-0000F2AF0000}"/>
    <cellStyle name="Normal 43 29 2" xfId="45032" xr:uid="{00000000-0005-0000-0000-0000F3AF0000}"/>
    <cellStyle name="Normal 43 3" xfId="45033" xr:uid="{00000000-0005-0000-0000-0000F4AF0000}"/>
    <cellStyle name="Normal 43 3 2" xfId="45034" xr:uid="{00000000-0005-0000-0000-0000F5AF0000}"/>
    <cellStyle name="Normal 43 30" xfId="45035" xr:uid="{00000000-0005-0000-0000-0000F6AF0000}"/>
    <cellStyle name="Normal 43 30 2" xfId="45036" xr:uid="{00000000-0005-0000-0000-0000F7AF0000}"/>
    <cellStyle name="Normal 43 31" xfId="45037" xr:uid="{00000000-0005-0000-0000-0000F8AF0000}"/>
    <cellStyle name="Normal 43 31 2" xfId="45038" xr:uid="{00000000-0005-0000-0000-0000F9AF0000}"/>
    <cellStyle name="Normal 43 32" xfId="45039" xr:uid="{00000000-0005-0000-0000-0000FAAF0000}"/>
    <cellStyle name="Normal 43 32 2" xfId="45040" xr:uid="{00000000-0005-0000-0000-0000FBAF0000}"/>
    <cellStyle name="Normal 43 33" xfId="45041" xr:uid="{00000000-0005-0000-0000-0000FCAF0000}"/>
    <cellStyle name="Normal 43 33 2" xfId="45042" xr:uid="{00000000-0005-0000-0000-0000FDAF0000}"/>
    <cellStyle name="Normal 43 34" xfId="45043" xr:uid="{00000000-0005-0000-0000-0000FEAF0000}"/>
    <cellStyle name="Normal 43 34 2" xfId="45044" xr:uid="{00000000-0005-0000-0000-0000FFAF0000}"/>
    <cellStyle name="Normal 43 35" xfId="45045" xr:uid="{00000000-0005-0000-0000-000000B00000}"/>
    <cellStyle name="Normal 43 35 2" xfId="45046" xr:uid="{00000000-0005-0000-0000-000001B00000}"/>
    <cellStyle name="Normal 43 36" xfId="45047" xr:uid="{00000000-0005-0000-0000-000002B00000}"/>
    <cellStyle name="Normal 43 36 2" xfId="45048" xr:uid="{00000000-0005-0000-0000-000003B00000}"/>
    <cellStyle name="Normal 43 37" xfId="45049" xr:uid="{00000000-0005-0000-0000-000004B00000}"/>
    <cellStyle name="Normal 43 37 2" xfId="45050" xr:uid="{00000000-0005-0000-0000-000005B00000}"/>
    <cellStyle name="Normal 43 38" xfId="45051" xr:uid="{00000000-0005-0000-0000-000006B00000}"/>
    <cellStyle name="Normal 43 38 2" xfId="45052" xr:uid="{00000000-0005-0000-0000-000007B00000}"/>
    <cellStyle name="Normal 43 39" xfId="45053" xr:uid="{00000000-0005-0000-0000-000008B00000}"/>
    <cellStyle name="Normal 43 39 2" xfId="45054" xr:uid="{00000000-0005-0000-0000-000009B00000}"/>
    <cellStyle name="Normal 43 4" xfId="45055" xr:uid="{00000000-0005-0000-0000-00000AB00000}"/>
    <cellStyle name="Normal 43 4 2" xfId="45056" xr:uid="{00000000-0005-0000-0000-00000BB00000}"/>
    <cellStyle name="Normal 43 40" xfId="45057" xr:uid="{00000000-0005-0000-0000-00000CB00000}"/>
    <cellStyle name="Normal 43 40 2" xfId="45058" xr:uid="{00000000-0005-0000-0000-00000DB00000}"/>
    <cellStyle name="Normal 43 41" xfId="45059" xr:uid="{00000000-0005-0000-0000-00000EB00000}"/>
    <cellStyle name="Normal 43 41 2" xfId="45060" xr:uid="{00000000-0005-0000-0000-00000FB00000}"/>
    <cellStyle name="Normal 43 42" xfId="45061" xr:uid="{00000000-0005-0000-0000-000010B00000}"/>
    <cellStyle name="Normal 43 42 2" xfId="45062" xr:uid="{00000000-0005-0000-0000-000011B00000}"/>
    <cellStyle name="Normal 43 43" xfId="45063" xr:uid="{00000000-0005-0000-0000-000012B00000}"/>
    <cellStyle name="Normal 43 43 2" xfId="45064" xr:uid="{00000000-0005-0000-0000-000013B00000}"/>
    <cellStyle name="Normal 43 44" xfId="45065" xr:uid="{00000000-0005-0000-0000-000014B00000}"/>
    <cellStyle name="Normal 43 44 2" xfId="45066" xr:uid="{00000000-0005-0000-0000-000015B00000}"/>
    <cellStyle name="Normal 43 45" xfId="45067" xr:uid="{00000000-0005-0000-0000-000016B00000}"/>
    <cellStyle name="Normal 43 45 2" xfId="45068" xr:uid="{00000000-0005-0000-0000-000017B00000}"/>
    <cellStyle name="Normal 43 46" xfId="45069" xr:uid="{00000000-0005-0000-0000-000018B00000}"/>
    <cellStyle name="Normal 43 46 2" xfId="45070" xr:uid="{00000000-0005-0000-0000-000019B00000}"/>
    <cellStyle name="Normal 43 47" xfId="45071" xr:uid="{00000000-0005-0000-0000-00001AB00000}"/>
    <cellStyle name="Normal 43 47 2" xfId="45072" xr:uid="{00000000-0005-0000-0000-00001BB00000}"/>
    <cellStyle name="Normal 43 48" xfId="45073" xr:uid="{00000000-0005-0000-0000-00001CB00000}"/>
    <cellStyle name="Normal 43 48 2" xfId="45074" xr:uid="{00000000-0005-0000-0000-00001DB00000}"/>
    <cellStyle name="Normal 43 49" xfId="45075" xr:uid="{00000000-0005-0000-0000-00001EB00000}"/>
    <cellStyle name="Normal 43 49 2" xfId="45076" xr:uid="{00000000-0005-0000-0000-00001FB00000}"/>
    <cellStyle name="Normal 43 5" xfId="45077" xr:uid="{00000000-0005-0000-0000-000020B00000}"/>
    <cellStyle name="Normal 43 5 2" xfId="45078" xr:uid="{00000000-0005-0000-0000-000021B00000}"/>
    <cellStyle name="Normal 43 50" xfId="45079" xr:uid="{00000000-0005-0000-0000-000022B00000}"/>
    <cellStyle name="Normal 43 50 2" xfId="45080" xr:uid="{00000000-0005-0000-0000-000023B00000}"/>
    <cellStyle name="Normal 43 51" xfId="45081" xr:uid="{00000000-0005-0000-0000-000024B00000}"/>
    <cellStyle name="Normal 43 51 2" xfId="45082" xr:uid="{00000000-0005-0000-0000-000025B00000}"/>
    <cellStyle name="Normal 43 52" xfId="45083" xr:uid="{00000000-0005-0000-0000-000026B00000}"/>
    <cellStyle name="Normal 43 52 2" xfId="45084" xr:uid="{00000000-0005-0000-0000-000027B00000}"/>
    <cellStyle name="Normal 43 53" xfId="45085" xr:uid="{00000000-0005-0000-0000-000028B00000}"/>
    <cellStyle name="Normal 43 53 2" xfId="45086" xr:uid="{00000000-0005-0000-0000-000029B00000}"/>
    <cellStyle name="Normal 43 54" xfId="45087" xr:uid="{00000000-0005-0000-0000-00002AB00000}"/>
    <cellStyle name="Normal 43 54 2" xfId="45088" xr:uid="{00000000-0005-0000-0000-00002BB00000}"/>
    <cellStyle name="Normal 43 55" xfId="45089" xr:uid="{00000000-0005-0000-0000-00002CB00000}"/>
    <cellStyle name="Normal 43 55 2" xfId="45090" xr:uid="{00000000-0005-0000-0000-00002DB00000}"/>
    <cellStyle name="Normal 43 56" xfId="45091" xr:uid="{00000000-0005-0000-0000-00002EB00000}"/>
    <cellStyle name="Normal 43 56 2" xfId="45092" xr:uid="{00000000-0005-0000-0000-00002FB00000}"/>
    <cellStyle name="Normal 43 57" xfId="45093" xr:uid="{00000000-0005-0000-0000-000030B00000}"/>
    <cellStyle name="Normal 43 57 2" xfId="45094" xr:uid="{00000000-0005-0000-0000-000031B00000}"/>
    <cellStyle name="Normal 43 58" xfId="45095" xr:uid="{00000000-0005-0000-0000-000032B00000}"/>
    <cellStyle name="Normal 43 58 2" xfId="45096" xr:uid="{00000000-0005-0000-0000-000033B00000}"/>
    <cellStyle name="Normal 43 59" xfId="45097" xr:uid="{00000000-0005-0000-0000-000034B00000}"/>
    <cellStyle name="Normal 43 6" xfId="45098" xr:uid="{00000000-0005-0000-0000-000035B00000}"/>
    <cellStyle name="Normal 43 6 2" xfId="45099" xr:uid="{00000000-0005-0000-0000-000036B00000}"/>
    <cellStyle name="Normal 43 7" xfId="45100" xr:uid="{00000000-0005-0000-0000-000037B00000}"/>
    <cellStyle name="Normal 43 7 2" xfId="45101" xr:uid="{00000000-0005-0000-0000-000038B00000}"/>
    <cellStyle name="Normal 43 8" xfId="45102" xr:uid="{00000000-0005-0000-0000-000039B00000}"/>
    <cellStyle name="Normal 43 8 2" xfId="45103" xr:uid="{00000000-0005-0000-0000-00003AB00000}"/>
    <cellStyle name="Normal 43 9" xfId="45104" xr:uid="{00000000-0005-0000-0000-00003BB00000}"/>
    <cellStyle name="Normal 43 9 2" xfId="45105" xr:uid="{00000000-0005-0000-0000-00003CB00000}"/>
    <cellStyle name="Normal 44" xfId="45106" xr:uid="{00000000-0005-0000-0000-00003DB00000}"/>
    <cellStyle name="Normal 44 10" xfId="45107" xr:uid="{00000000-0005-0000-0000-00003EB00000}"/>
    <cellStyle name="Normal 44 10 2" xfId="45108" xr:uid="{00000000-0005-0000-0000-00003FB00000}"/>
    <cellStyle name="Normal 44 11" xfId="45109" xr:uid="{00000000-0005-0000-0000-000040B00000}"/>
    <cellStyle name="Normal 44 11 2" xfId="45110" xr:uid="{00000000-0005-0000-0000-000041B00000}"/>
    <cellStyle name="Normal 44 12" xfId="45111" xr:uid="{00000000-0005-0000-0000-000042B00000}"/>
    <cellStyle name="Normal 44 12 2" xfId="45112" xr:uid="{00000000-0005-0000-0000-000043B00000}"/>
    <cellStyle name="Normal 44 13" xfId="45113" xr:uid="{00000000-0005-0000-0000-000044B00000}"/>
    <cellStyle name="Normal 44 13 2" xfId="45114" xr:uid="{00000000-0005-0000-0000-000045B00000}"/>
    <cellStyle name="Normal 44 14" xfId="45115" xr:uid="{00000000-0005-0000-0000-000046B00000}"/>
    <cellStyle name="Normal 44 14 2" xfId="45116" xr:uid="{00000000-0005-0000-0000-000047B00000}"/>
    <cellStyle name="Normal 44 15" xfId="45117" xr:uid="{00000000-0005-0000-0000-000048B00000}"/>
    <cellStyle name="Normal 44 15 2" xfId="45118" xr:uid="{00000000-0005-0000-0000-000049B00000}"/>
    <cellStyle name="Normal 44 16" xfId="45119" xr:uid="{00000000-0005-0000-0000-00004AB00000}"/>
    <cellStyle name="Normal 44 16 2" xfId="45120" xr:uid="{00000000-0005-0000-0000-00004BB00000}"/>
    <cellStyle name="Normal 44 17" xfId="45121" xr:uid="{00000000-0005-0000-0000-00004CB00000}"/>
    <cellStyle name="Normal 44 17 2" xfId="45122" xr:uid="{00000000-0005-0000-0000-00004DB00000}"/>
    <cellStyle name="Normal 44 18" xfId="45123" xr:uid="{00000000-0005-0000-0000-00004EB00000}"/>
    <cellStyle name="Normal 44 18 2" xfId="45124" xr:uid="{00000000-0005-0000-0000-00004FB00000}"/>
    <cellStyle name="Normal 44 19" xfId="45125" xr:uid="{00000000-0005-0000-0000-000050B00000}"/>
    <cellStyle name="Normal 44 19 2" xfId="45126" xr:uid="{00000000-0005-0000-0000-000051B00000}"/>
    <cellStyle name="Normal 44 2" xfId="45127" xr:uid="{00000000-0005-0000-0000-000052B00000}"/>
    <cellStyle name="Normal 44 2 2" xfId="45128" xr:uid="{00000000-0005-0000-0000-000053B00000}"/>
    <cellStyle name="Normal 44 20" xfId="45129" xr:uid="{00000000-0005-0000-0000-000054B00000}"/>
    <cellStyle name="Normal 44 20 2" xfId="45130" xr:uid="{00000000-0005-0000-0000-000055B00000}"/>
    <cellStyle name="Normal 44 21" xfId="45131" xr:uid="{00000000-0005-0000-0000-000056B00000}"/>
    <cellStyle name="Normal 44 21 2" xfId="45132" xr:uid="{00000000-0005-0000-0000-000057B00000}"/>
    <cellStyle name="Normal 44 22" xfId="45133" xr:uid="{00000000-0005-0000-0000-000058B00000}"/>
    <cellStyle name="Normal 44 22 2" xfId="45134" xr:uid="{00000000-0005-0000-0000-000059B00000}"/>
    <cellStyle name="Normal 44 23" xfId="45135" xr:uid="{00000000-0005-0000-0000-00005AB00000}"/>
    <cellStyle name="Normal 44 23 2" xfId="45136" xr:uid="{00000000-0005-0000-0000-00005BB00000}"/>
    <cellStyle name="Normal 44 24" xfId="45137" xr:uid="{00000000-0005-0000-0000-00005CB00000}"/>
    <cellStyle name="Normal 44 24 2" xfId="45138" xr:uid="{00000000-0005-0000-0000-00005DB00000}"/>
    <cellStyle name="Normal 44 25" xfId="45139" xr:uid="{00000000-0005-0000-0000-00005EB00000}"/>
    <cellStyle name="Normal 44 25 2" xfId="45140" xr:uid="{00000000-0005-0000-0000-00005FB00000}"/>
    <cellStyle name="Normal 44 26" xfId="45141" xr:uid="{00000000-0005-0000-0000-000060B00000}"/>
    <cellStyle name="Normal 44 26 2" xfId="45142" xr:uid="{00000000-0005-0000-0000-000061B00000}"/>
    <cellStyle name="Normal 44 27" xfId="45143" xr:uid="{00000000-0005-0000-0000-000062B00000}"/>
    <cellStyle name="Normal 44 27 2" xfId="45144" xr:uid="{00000000-0005-0000-0000-000063B00000}"/>
    <cellStyle name="Normal 44 28" xfId="45145" xr:uid="{00000000-0005-0000-0000-000064B00000}"/>
    <cellStyle name="Normal 44 28 2" xfId="45146" xr:uid="{00000000-0005-0000-0000-000065B00000}"/>
    <cellStyle name="Normal 44 29" xfId="45147" xr:uid="{00000000-0005-0000-0000-000066B00000}"/>
    <cellStyle name="Normal 44 29 2" xfId="45148" xr:uid="{00000000-0005-0000-0000-000067B00000}"/>
    <cellStyle name="Normal 44 3" xfId="45149" xr:uid="{00000000-0005-0000-0000-000068B00000}"/>
    <cellStyle name="Normal 44 3 2" xfId="45150" xr:uid="{00000000-0005-0000-0000-000069B00000}"/>
    <cellStyle name="Normal 44 30" xfId="45151" xr:uid="{00000000-0005-0000-0000-00006AB00000}"/>
    <cellStyle name="Normal 44 30 2" xfId="45152" xr:uid="{00000000-0005-0000-0000-00006BB00000}"/>
    <cellStyle name="Normal 44 31" xfId="45153" xr:uid="{00000000-0005-0000-0000-00006CB00000}"/>
    <cellStyle name="Normal 44 31 2" xfId="45154" xr:uid="{00000000-0005-0000-0000-00006DB00000}"/>
    <cellStyle name="Normal 44 32" xfId="45155" xr:uid="{00000000-0005-0000-0000-00006EB00000}"/>
    <cellStyle name="Normal 44 32 2" xfId="45156" xr:uid="{00000000-0005-0000-0000-00006FB00000}"/>
    <cellStyle name="Normal 44 33" xfId="45157" xr:uid="{00000000-0005-0000-0000-000070B00000}"/>
    <cellStyle name="Normal 44 33 2" xfId="45158" xr:uid="{00000000-0005-0000-0000-000071B00000}"/>
    <cellStyle name="Normal 44 34" xfId="45159" xr:uid="{00000000-0005-0000-0000-000072B00000}"/>
    <cellStyle name="Normal 44 34 2" xfId="45160" xr:uid="{00000000-0005-0000-0000-000073B00000}"/>
    <cellStyle name="Normal 44 35" xfId="45161" xr:uid="{00000000-0005-0000-0000-000074B00000}"/>
    <cellStyle name="Normal 44 35 2" xfId="45162" xr:uid="{00000000-0005-0000-0000-000075B00000}"/>
    <cellStyle name="Normal 44 36" xfId="45163" xr:uid="{00000000-0005-0000-0000-000076B00000}"/>
    <cellStyle name="Normal 44 36 2" xfId="45164" xr:uid="{00000000-0005-0000-0000-000077B00000}"/>
    <cellStyle name="Normal 44 37" xfId="45165" xr:uid="{00000000-0005-0000-0000-000078B00000}"/>
    <cellStyle name="Normal 44 37 2" xfId="45166" xr:uid="{00000000-0005-0000-0000-000079B00000}"/>
    <cellStyle name="Normal 44 38" xfId="45167" xr:uid="{00000000-0005-0000-0000-00007AB00000}"/>
    <cellStyle name="Normal 44 38 2" xfId="45168" xr:uid="{00000000-0005-0000-0000-00007BB00000}"/>
    <cellStyle name="Normal 44 39" xfId="45169" xr:uid="{00000000-0005-0000-0000-00007CB00000}"/>
    <cellStyle name="Normal 44 39 2" xfId="45170" xr:uid="{00000000-0005-0000-0000-00007DB00000}"/>
    <cellStyle name="Normal 44 4" xfId="45171" xr:uid="{00000000-0005-0000-0000-00007EB00000}"/>
    <cellStyle name="Normal 44 4 2" xfId="45172" xr:uid="{00000000-0005-0000-0000-00007FB00000}"/>
    <cellStyle name="Normal 44 40" xfId="45173" xr:uid="{00000000-0005-0000-0000-000080B00000}"/>
    <cellStyle name="Normal 44 40 2" xfId="45174" xr:uid="{00000000-0005-0000-0000-000081B00000}"/>
    <cellStyle name="Normal 44 41" xfId="45175" xr:uid="{00000000-0005-0000-0000-000082B00000}"/>
    <cellStyle name="Normal 44 41 2" xfId="45176" xr:uid="{00000000-0005-0000-0000-000083B00000}"/>
    <cellStyle name="Normal 44 42" xfId="45177" xr:uid="{00000000-0005-0000-0000-000084B00000}"/>
    <cellStyle name="Normal 44 42 2" xfId="45178" xr:uid="{00000000-0005-0000-0000-000085B00000}"/>
    <cellStyle name="Normal 44 43" xfId="45179" xr:uid="{00000000-0005-0000-0000-000086B00000}"/>
    <cellStyle name="Normal 44 43 2" xfId="45180" xr:uid="{00000000-0005-0000-0000-000087B00000}"/>
    <cellStyle name="Normal 44 44" xfId="45181" xr:uid="{00000000-0005-0000-0000-000088B00000}"/>
    <cellStyle name="Normal 44 44 2" xfId="45182" xr:uid="{00000000-0005-0000-0000-000089B00000}"/>
    <cellStyle name="Normal 44 45" xfId="45183" xr:uid="{00000000-0005-0000-0000-00008AB00000}"/>
    <cellStyle name="Normal 44 45 2" xfId="45184" xr:uid="{00000000-0005-0000-0000-00008BB00000}"/>
    <cellStyle name="Normal 44 46" xfId="45185" xr:uid="{00000000-0005-0000-0000-00008CB00000}"/>
    <cellStyle name="Normal 44 46 2" xfId="45186" xr:uid="{00000000-0005-0000-0000-00008DB00000}"/>
    <cellStyle name="Normal 44 47" xfId="45187" xr:uid="{00000000-0005-0000-0000-00008EB00000}"/>
    <cellStyle name="Normal 44 47 2" xfId="45188" xr:uid="{00000000-0005-0000-0000-00008FB00000}"/>
    <cellStyle name="Normal 44 48" xfId="45189" xr:uid="{00000000-0005-0000-0000-000090B00000}"/>
    <cellStyle name="Normal 44 48 2" xfId="45190" xr:uid="{00000000-0005-0000-0000-000091B00000}"/>
    <cellStyle name="Normal 44 49" xfId="45191" xr:uid="{00000000-0005-0000-0000-000092B00000}"/>
    <cellStyle name="Normal 44 49 2" xfId="45192" xr:uid="{00000000-0005-0000-0000-000093B00000}"/>
    <cellStyle name="Normal 44 5" xfId="45193" xr:uid="{00000000-0005-0000-0000-000094B00000}"/>
    <cellStyle name="Normal 44 5 2" xfId="45194" xr:uid="{00000000-0005-0000-0000-000095B00000}"/>
    <cellStyle name="Normal 44 50" xfId="45195" xr:uid="{00000000-0005-0000-0000-000096B00000}"/>
    <cellStyle name="Normal 44 50 2" xfId="45196" xr:uid="{00000000-0005-0000-0000-000097B00000}"/>
    <cellStyle name="Normal 44 51" xfId="45197" xr:uid="{00000000-0005-0000-0000-000098B00000}"/>
    <cellStyle name="Normal 44 51 2" xfId="45198" xr:uid="{00000000-0005-0000-0000-000099B00000}"/>
    <cellStyle name="Normal 44 52" xfId="45199" xr:uid="{00000000-0005-0000-0000-00009AB00000}"/>
    <cellStyle name="Normal 44 52 2" xfId="45200" xr:uid="{00000000-0005-0000-0000-00009BB00000}"/>
    <cellStyle name="Normal 44 53" xfId="45201" xr:uid="{00000000-0005-0000-0000-00009CB00000}"/>
    <cellStyle name="Normal 44 53 2" xfId="45202" xr:uid="{00000000-0005-0000-0000-00009DB00000}"/>
    <cellStyle name="Normal 44 54" xfId="45203" xr:uid="{00000000-0005-0000-0000-00009EB00000}"/>
    <cellStyle name="Normal 44 54 2" xfId="45204" xr:uid="{00000000-0005-0000-0000-00009FB00000}"/>
    <cellStyle name="Normal 44 55" xfId="45205" xr:uid="{00000000-0005-0000-0000-0000A0B00000}"/>
    <cellStyle name="Normal 44 55 2" xfId="45206" xr:uid="{00000000-0005-0000-0000-0000A1B00000}"/>
    <cellStyle name="Normal 44 56" xfId="45207" xr:uid="{00000000-0005-0000-0000-0000A2B00000}"/>
    <cellStyle name="Normal 44 56 2" xfId="45208" xr:uid="{00000000-0005-0000-0000-0000A3B00000}"/>
    <cellStyle name="Normal 44 57" xfId="45209" xr:uid="{00000000-0005-0000-0000-0000A4B00000}"/>
    <cellStyle name="Normal 44 57 2" xfId="45210" xr:uid="{00000000-0005-0000-0000-0000A5B00000}"/>
    <cellStyle name="Normal 44 58" xfId="45211" xr:uid="{00000000-0005-0000-0000-0000A6B00000}"/>
    <cellStyle name="Normal 44 58 2" xfId="45212" xr:uid="{00000000-0005-0000-0000-0000A7B00000}"/>
    <cellStyle name="Normal 44 59" xfId="45213" xr:uid="{00000000-0005-0000-0000-0000A8B00000}"/>
    <cellStyle name="Normal 44 59 2" xfId="45214" xr:uid="{00000000-0005-0000-0000-0000A9B00000}"/>
    <cellStyle name="Normal 44 6" xfId="45215" xr:uid="{00000000-0005-0000-0000-0000AAB00000}"/>
    <cellStyle name="Normal 44 6 2" xfId="45216" xr:uid="{00000000-0005-0000-0000-0000ABB00000}"/>
    <cellStyle name="Normal 44 60" xfId="45217" xr:uid="{00000000-0005-0000-0000-0000ACB00000}"/>
    <cellStyle name="Normal 44 60 2" xfId="45218" xr:uid="{00000000-0005-0000-0000-0000ADB00000}"/>
    <cellStyle name="Normal 44 61" xfId="45219" xr:uid="{00000000-0005-0000-0000-0000AEB00000}"/>
    <cellStyle name="Normal 44 61 2" xfId="45220" xr:uid="{00000000-0005-0000-0000-0000AFB00000}"/>
    <cellStyle name="Normal 44 62" xfId="45221" xr:uid="{00000000-0005-0000-0000-0000B0B00000}"/>
    <cellStyle name="Normal 44 62 2" xfId="45222" xr:uid="{00000000-0005-0000-0000-0000B1B00000}"/>
    <cellStyle name="Normal 44 62 3" xfId="45223" xr:uid="{00000000-0005-0000-0000-0000B2B00000}"/>
    <cellStyle name="Normal 44 63" xfId="45224" xr:uid="{00000000-0005-0000-0000-0000B3B00000}"/>
    <cellStyle name="Normal 44 7" xfId="45225" xr:uid="{00000000-0005-0000-0000-0000B4B00000}"/>
    <cellStyle name="Normal 44 7 2" xfId="45226" xr:uid="{00000000-0005-0000-0000-0000B5B00000}"/>
    <cellStyle name="Normal 44 8" xfId="45227" xr:uid="{00000000-0005-0000-0000-0000B6B00000}"/>
    <cellStyle name="Normal 44 8 2" xfId="45228" xr:uid="{00000000-0005-0000-0000-0000B7B00000}"/>
    <cellStyle name="Normal 44 9" xfId="45229" xr:uid="{00000000-0005-0000-0000-0000B8B00000}"/>
    <cellStyle name="Normal 44 9 2" xfId="45230" xr:uid="{00000000-0005-0000-0000-0000B9B00000}"/>
    <cellStyle name="Normal 45" xfId="45231" xr:uid="{00000000-0005-0000-0000-0000BAB00000}"/>
    <cellStyle name="Normal 45 10" xfId="45232" xr:uid="{00000000-0005-0000-0000-0000BBB00000}"/>
    <cellStyle name="Normal 45 10 2" xfId="45233" xr:uid="{00000000-0005-0000-0000-0000BCB00000}"/>
    <cellStyle name="Normal 45 11" xfId="45234" xr:uid="{00000000-0005-0000-0000-0000BDB00000}"/>
    <cellStyle name="Normal 45 11 2" xfId="45235" xr:uid="{00000000-0005-0000-0000-0000BEB00000}"/>
    <cellStyle name="Normal 45 12" xfId="45236" xr:uid="{00000000-0005-0000-0000-0000BFB00000}"/>
    <cellStyle name="Normal 45 12 2" xfId="45237" xr:uid="{00000000-0005-0000-0000-0000C0B00000}"/>
    <cellStyle name="Normal 45 13" xfId="45238" xr:uid="{00000000-0005-0000-0000-0000C1B00000}"/>
    <cellStyle name="Normal 45 13 2" xfId="45239" xr:uid="{00000000-0005-0000-0000-0000C2B00000}"/>
    <cellStyle name="Normal 45 14" xfId="45240" xr:uid="{00000000-0005-0000-0000-0000C3B00000}"/>
    <cellStyle name="Normal 45 14 2" xfId="45241" xr:uid="{00000000-0005-0000-0000-0000C4B00000}"/>
    <cellStyle name="Normal 45 15" xfId="45242" xr:uid="{00000000-0005-0000-0000-0000C5B00000}"/>
    <cellStyle name="Normal 45 15 2" xfId="45243" xr:uid="{00000000-0005-0000-0000-0000C6B00000}"/>
    <cellStyle name="Normal 45 16" xfId="45244" xr:uid="{00000000-0005-0000-0000-0000C7B00000}"/>
    <cellStyle name="Normal 45 16 2" xfId="45245" xr:uid="{00000000-0005-0000-0000-0000C8B00000}"/>
    <cellStyle name="Normal 45 17" xfId="45246" xr:uid="{00000000-0005-0000-0000-0000C9B00000}"/>
    <cellStyle name="Normal 45 17 2" xfId="45247" xr:uid="{00000000-0005-0000-0000-0000CAB00000}"/>
    <cellStyle name="Normal 45 18" xfId="45248" xr:uid="{00000000-0005-0000-0000-0000CBB00000}"/>
    <cellStyle name="Normal 45 18 2" xfId="45249" xr:uid="{00000000-0005-0000-0000-0000CCB00000}"/>
    <cellStyle name="Normal 45 19" xfId="45250" xr:uid="{00000000-0005-0000-0000-0000CDB00000}"/>
    <cellStyle name="Normal 45 19 2" xfId="45251" xr:uid="{00000000-0005-0000-0000-0000CEB00000}"/>
    <cellStyle name="Normal 45 2" xfId="45252" xr:uid="{00000000-0005-0000-0000-0000CFB00000}"/>
    <cellStyle name="Normal 45 2 2" xfId="45253" xr:uid="{00000000-0005-0000-0000-0000D0B00000}"/>
    <cellStyle name="Normal 45 20" xfId="45254" xr:uid="{00000000-0005-0000-0000-0000D1B00000}"/>
    <cellStyle name="Normal 45 20 2" xfId="45255" xr:uid="{00000000-0005-0000-0000-0000D2B00000}"/>
    <cellStyle name="Normal 45 21" xfId="45256" xr:uid="{00000000-0005-0000-0000-0000D3B00000}"/>
    <cellStyle name="Normal 45 21 2" xfId="45257" xr:uid="{00000000-0005-0000-0000-0000D4B00000}"/>
    <cellStyle name="Normal 45 22" xfId="45258" xr:uid="{00000000-0005-0000-0000-0000D5B00000}"/>
    <cellStyle name="Normal 45 22 2" xfId="45259" xr:uid="{00000000-0005-0000-0000-0000D6B00000}"/>
    <cellStyle name="Normal 45 23" xfId="45260" xr:uid="{00000000-0005-0000-0000-0000D7B00000}"/>
    <cellStyle name="Normal 45 23 2" xfId="45261" xr:uid="{00000000-0005-0000-0000-0000D8B00000}"/>
    <cellStyle name="Normal 45 24" xfId="45262" xr:uid="{00000000-0005-0000-0000-0000D9B00000}"/>
    <cellStyle name="Normal 45 24 2" xfId="45263" xr:uid="{00000000-0005-0000-0000-0000DAB00000}"/>
    <cellStyle name="Normal 45 25" xfId="45264" xr:uid="{00000000-0005-0000-0000-0000DBB00000}"/>
    <cellStyle name="Normal 45 25 2" xfId="45265" xr:uid="{00000000-0005-0000-0000-0000DCB00000}"/>
    <cellStyle name="Normal 45 26" xfId="45266" xr:uid="{00000000-0005-0000-0000-0000DDB00000}"/>
    <cellStyle name="Normal 45 26 2" xfId="45267" xr:uid="{00000000-0005-0000-0000-0000DEB00000}"/>
    <cellStyle name="Normal 45 27" xfId="45268" xr:uid="{00000000-0005-0000-0000-0000DFB00000}"/>
    <cellStyle name="Normal 45 27 2" xfId="45269" xr:uid="{00000000-0005-0000-0000-0000E0B00000}"/>
    <cellStyle name="Normal 45 28" xfId="45270" xr:uid="{00000000-0005-0000-0000-0000E1B00000}"/>
    <cellStyle name="Normal 45 28 2" xfId="45271" xr:uid="{00000000-0005-0000-0000-0000E2B00000}"/>
    <cellStyle name="Normal 45 29" xfId="45272" xr:uid="{00000000-0005-0000-0000-0000E3B00000}"/>
    <cellStyle name="Normal 45 29 2" xfId="45273" xr:uid="{00000000-0005-0000-0000-0000E4B00000}"/>
    <cellStyle name="Normal 45 3" xfId="45274" xr:uid="{00000000-0005-0000-0000-0000E5B00000}"/>
    <cellStyle name="Normal 45 3 2" xfId="45275" xr:uid="{00000000-0005-0000-0000-0000E6B00000}"/>
    <cellStyle name="Normal 45 30" xfId="45276" xr:uid="{00000000-0005-0000-0000-0000E7B00000}"/>
    <cellStyle name="Normal 45 30 2" xfId="45277" xr:uid="{00000000-0005-0000-0000-0000E8B00000}"/>
    <cellStyle name="Normal 45 31" xfId="45278" xr:uid="{00000000-0005-0000-0000-0000E9B00000}"/>
    <cellStyle name="Normal 45 31 2" xfId="45279" xr:uid="{00000000-0005-0000-0000-0000EAB00000}"/>
    <cellStyle name="Normal 45 32" xfId="45280" xr:uid="{00000000-0005-0000-0000-0000EBB00000}"/>
    <cellStyle name="Normal 45 32 2" xfId="45281" xr:uid="{00000000-0005-0000-0000-0000ECB00000}"/>
    <cellStyle name="Normal 45 33" xfId="45282" xr:uid="{00000000-0005-0000-0000-0000EDB00000}"/>
    <cellStyle name="Normal 45 33 2" xfId="45283" xr:uid="{00000000-0005-0000-0000-0000EEB00000}"/>
    <cellStyle name="Normal 45 34" xfId="45284" xr:uid="{00000000-0005-0000-0000-0000EFB00000}"/>
    <cellStyle name="Normal 45 34 2" xfId="45285" xr:uid="{00000000-0005-0000-0000-0000F0B00000}"/>
    <cellStyle name="Normal 45 35" xfId="45286" xr:uid="{00000000-0005-0000-0000-0000F1B00000}"/>
    <cellStyle name="Normal 45 35 2" xfId="45287" xr:uid="{00000000-0005-0000-0000-0000F2B00000}"/>
    <cellStyle name="Normal 45 36" xfId="45288" xr:uid="{00000000-0005-0000-0000-0000F3B00000}"/>
    <cellStyle name="Normal 45 36 2" xfId="45289" xr:uid="{00000000-0005-0000-0000-0000F4B00000}"/>
    <cellStyle name="Normal 45 37" xfId="45290" xr:uid="{00000000-0005-0000-0000-0000F5B00000}"/>
    <cellStyle name="Normal 45 37 2" xfId="45291" xr:uid="{00000000-0005-0000-0000-0000F6B00000}"/>
    <cellStyle name="Normal 45 38" xfId="45292" xr:uid="{00000000-0005-0000-0000-0000F7B00000}"/>
    <cellStyle name="Normal 45 38 2" xfId="45293" xr:uid="{00000000-0005-0000-0000-0000F8B00000}"/>
    <cellStyle name="Normal 45 39" xfId="45294" xr:uid="{00000000-0005-0000-0000-0000F9B00000}"/>
    <cellStyle name="Normal 45 39 2" xfId="45295" xr:uid="{00000000-0005-0000-0000-0000FAB00000}"/>
    <cellStyle name="Normal 45 4" xfId="45296" xr:uid="{00000000-0005-0000-0000-0000FBB00000}"/>
    <cellStyle name="Normal 45 4 2" xfId="45297" xr:uid="{00000000-0005-0000-0000-0000FCB00000}"/>
    <cellStyle name="Normal 45 40" xfId="45298" xr:uid="{00000000-0005-0000-0000-0000FDB00000}"/>
    <cellStyle name="Normal 45 40 2" xfId="45299" xr:uid="{00000000-0005-0000-0000-0000FEB00000}"/>
    <cellStyle name="Normal 45 41" xfId="45300" xr:uid="{00000000-0005-0000-0000-0000FFB00000}"/>
    <cellStyle name="Normal 45 41 2" xfId="45301" xr:uid="{00000000-0005-0000-0000-000000B10000}"/>
    <cellStyle name="Normal 45 42" xfId="45302" xr:uid="{00000000-0005-0000-0000-000001B10000}"/>
    <cellStyle name="Normal 45 42 2" xfId="45303" xr:uid="{00000000-0005-0000-0000-000002B10000}"/>
    <cellStyle name="Normal 45 43" xfId="45304" xr:uid="{00000000-0005-0000-0000-000003B10000}"/>
    <cellStyle name="Normal 45 43 2" xfId="45305" xr:uid="{00000000-0005-0000-0000-000004B10000}"/>
    <cellStyle name="Normal 45 44" xfId="45306" xr:uid="{00000000-0005-0000-0000-000005B10000}"/>
    <cellStyle name="Normal 45 44 2" xfId="45307" xr:uid="{00000000-0005-0000-0000-000006B10000}"/>
    <cellStyle name="Normal 45 45" xfId="45308" xr:uid="{00000000-0005-0000-0000-000007B10000}"/>
    <cellStyle name="Normal 45 45 2" xfId="45309" xr:uid="{00000000-0005-0000-0000-000008B10000}"/>
    <cellStyle name="Normal 45 46" xfId="45310" xr:uid="{00000000-0005-0000-0000-000009B10000}"/>
    <cellStyle name="Normal 45 46 2" xfId="45311" xr:uid="{00000000-0005-0000-0000-00000AB10000}"/>
    <cellStyle name="Normal 45 47" xfId="45312" xr:uid="{00000000-0005-0000-0000-00000BB10000}"/>
    <cellStyle name="Normal 45 47 2" xfId="45313" xr:uid="{00000000-0005-0000-0000-00000CB10000}"/>
    <cellStyle name="Normal 45 48" xfId="45314" xr:uid="{00000000-0005-0000-0000-00000DB10000}"/>
    <cellStyle name="Normal 45 48 2" xfId="45315" xr:uid="{00000000-0005-0000-0000-00000EB10000}"/>
    <cellStyle name="Normal 45 49" xfId="45316" xr:uid="{00000000-0005-0000-0000-00000FB10000}"/>
    <cellStyle name="Normal 45 49 2" xfId="45317" xr:uid="{00000000-0005-0000-0000-000010B10000}"/>
    <cellStyle name="Normal 45 5" xfId="45318" xr:uid="{00000000-0005-0000-0000-000011B10000}"/>
    <cellStyle name="Normal 45 5 2" xfId="45319" xr:uid="{00000000-0005-0000-0000-000012B10000}"/>
    <cellStyle name="Normal 45 50" xfId="45320" xr:uid="{00000000-0005-0000-0000-000013B10000}"/>
    <cellStyle name="Normal 45 50 2" xfId="45321" xr:uid="{00000000-0005-0000-0000-000014B10000}"/>
    <cellStyle name="Normal 45 51" xfId="45322" xr:uid="{00000000-0005-0000-0000-000015B10000}"/>
    <cellStyle name="Normal 45 51 2" xfId="45323" xr:uid="{00000000-0005-0000-0000-000016B10000}"/>
    <cellStyle name="Normal 45 52" xfId="45324" xr:uid="{00000000-0005-0000-0000-000017B10000}"/>
    <cellStyle name="Normal 45 52 2" xfId="45325" xr:uid="{00000000-0005-0000-0000-000018B10000}"/>
    <cellStyle name="Normal 45 53" xfId="45326" xr:uid="{00000000-0005-0000-0000-000019B10000}"/>
    <cellStyle name="Normal 45 53 2" xfId="45327" xr:uid="{00000000-0005-0000-0000-00001AB10000}"/>
    <cellStyle name="Normal 45 54" xfId="45328" xr:uid="{00000000-0005-0000-0000-00001BB10000}"/>
    <cellStyle name="Normal 45 54 2" xfId="45329" xr:uid="{00000000-0005-0000-0000-00001CB10000}"/>
    <cellStyle name="Normal 45 55" xfId="45330" xr:uid="{00000000-0005-0000-0000-00001DB10000}"/>
    <cellStyle name="Normal 45 55 2" xfId="45331" xr:uid="{00000000-0005-0000-0000-00001EB10000}"/>
    <cellStyle name="Normal 45 56" xfId="45332" xr:uid="{00000000-0005-0000-0000-00001FB10000}"/>
    <cellStyle name="Normal 45 56 2" xfId="45333" xr:uid="{00000000-0005-0000-0000-000020B10000}"/>
    <cellStyle name="Normal 45 57" xfId="45334" xr:uid="{00000000-0005-0000-0000-000021B10000}"/>
    <cellStyle name="Normal 45 57 2" xfId="45335" xr:uid="{00000000-0005-0000-0000-000022B10000}"/>
    <cellStyle name="Normal 45 58" xfId="45336" xr:uid="{00000000-0005-0000-0000-000023B10000}"/>
    <cellStyle name="Normal 45 58 2" xfId="45337" xr:uid="{00000000-0005-0000-0000-000024B10000}"/>
    <cellStyle name="Normal 45 59" xfId="45338" xr:uid="{00000000-0005-0000-0000-000025B10000}"/>
    <cellStyle name="Normal 45 6" xfId="45339" xr:uid="{00000000-0005-0000-0000-000026B10000}"/>
    <cellStyle name="Normal 45 6 2" xfId="45340" xr:uid="{00000000-0005-0000-0000-000027B10000}"/>
    <cellStyle name="Normal 45 7" xfId="45341" xr:uid="{00000000-0005-0000-0000-000028B10000}"/>
    <cellStyle name="Normal 45 7 2" xfId="45342" xr:uid="{00000000-0005-0000-0000-000029B10000}"/>
    <cellStyle name="Normal 45 8" xfId="45343" xr:uid="{00000000-0005-0000-0000-00002AB10000}"/>
    <cellStyle name="Normal 45 8 2" xfId="45344" xr:uid="{00000000-0005-0000-0000-00002BB10000}"/>
    <cellStyle name="Normal 45 9" xfId="45345" xr:uid="{00000000-0005-0000-0000-00002CB10000}"/>
    <cellStyle name="Normal 45 9 2" xfId="45346" xr:uid="{00000000-0005-0000-0000-00002DB10000}"/>
    <cellStyle name="Normal 46" xfId="45347" xr:uid="{00000000-0005-0000-0000-00002EB10000}"/>
    <cellStyle name="Normal 46 10" xfId="45348" xr:uid="{00000000-0005-0000-0000-00002FB10000}"/>
    <cellStyle name="Normal 46 10 2" xfId="45349" xr:uid="{00000000-0005-0000-0000-000030B10000}"/>
    <cellStyle name="Normal 46 11" xfId="45350" xr:uid="{00000000-0005-0000-0000-000031B10000}"/>
    <cellStyle name="Normal 46 11 2" xfId="45351" xr:uid="{00000000-0005-0000-0000-000032B10000}"/>
    <cellStyle name="Normal 46 12" xfId="45352" xr:uid="{00000000-0005-0000-0000-000033B10000}"/>
    <cellStyle name="Normal 46 12 2" xfId="45353" xr:uid="{00000000-0005-0000-0000-000034B10000}"/>
    <cellStyle name="Normal 46 13" xfId="45354" xr:uid="{00000000-0005-0000-0000-000035B10000}"/>
    <cellStyle name="Normal 46 13 2" xfId="45355" xr:uid="{00000000-0005-0000-0000-000036B10000}"/>
    <cellStyle name="Normal 46 14" xfId="45356" xr:uid="{00000000-0005-0000-0000-000037B10000}"/>
    <cellStyle name="Normal 46 14 2" xfId="45357" xr:uid="{00000000-0005-0000-0000-000038B10000}"/>
    <cellStyle name="Normal 46 15" xfId="45358" xr:uid="{00000000-0005-0000-0000-000039B10000}"/>
    <cellStyle name="Normal 46 15 2" xfId="45359" xr:uid="{00000000-0005-0000-0000-00003AB10000}"/>
    <cellStyle name="Normal 46 16" xfId="45360" xr:uid="{00000000-0005-0000-0000-00003BB10000}"/>
    <cellStyle name="Normal 46 16 2" xfId="45361" xr:uid="{00000000-0005-0000-0000-00003CB10000}"/>
    <cellStyle name="Normal 46 17" xfId="45362" xr:uid="{00000000-0005-0000-0000-00003DB10000}"/>
    <cellStyle name="Normal 46 17 2" xfId="45363" xr:uid="{00000000-0005-0000-0000-00003EB10000}"/>
    <cellStyle name="Normal 46 18" xfId="45364" xr:uid="{00000000-0005-0000-0000-00003FB10000}"/>
    <cellStyle name="Normal 46 18 2" xfId="45365" xr:uid="{00000000-0005-0000-0000-000040B10000}"/>
    <cellStyle name="Normal 46 19" xfId="45366" xr:uid="{00000000-0005-0000-0000-000041B10000}"/>
    <cellStyle name="Normal 46 19 2" xfId="45367" xr:uid="{00000000-0005-0000-0000-000042B10000}"/>
    <cellStyle name="Normal 46 2" xfId="45368" xr:uid="{00000000-0005-0000-0000-000043B10000}"/>
    <cellStyle name="Normal 46 2 2" xfId="45369" xr:uid="{00000000-0005-0000-0000-000044B10000}"/>
    <cellStyle name="Normal 46 20" xfId="45370" xr:uid="{00000000-0005-0000-0000-000045B10000}"/>
    <cellStyle name="Normal 46 20 2" xfId="45371" xr:uid="{00000000-0005-0000-0000-000046B10000}"/>
    <cellStyle name="Normal 46 21" xfId="45372" xr:uid="{00000000-0005-0000-0000-000047B10000}"/>
    <cellStyle name="Normal 46 21 2" xfId="45373" xr:uid="{00000000-0005-0000-0000-000048B10000}"/>
    <cellStyle name="Normal 46 22" xfId="45374" xr:uid="{00000000-0005-0000-0000-000049B10000}"/>
    <cellStyle name="Normal 46 22 2" xfId="45375" xr:uid="{00000000-0005-0000-0000-00004AB10000}"/>
    <cellStyle name="Normal 46 23" xfId="45376" xr:uid="{00000000-0005-0000-0000-00004BB10000}"/>
    <cellStyle name="Normal 46 23 2" xfId="45377" xr:uid="{00000000-0005-0000-0000-00004CB10000}"/>
    <cellStyle name="Normal 46 24" xfId="45378" xr:uid="{00000000-0005-0000-0000-00004DB10000}"/>
    <cellStyle name="Normal 46 24 2" xfId="45379" xr:uid="{00000000-0005-0000-0000-00004EB10000}"/>
    <cellStyle name="Normal 46 25" xfId="45380" xr:uid="{00000000-0005-0000-0000-00004FB10000}"/>
    <cellStyle name="Normal 46 25 2" xfId="45381" xr:uid="{00000000-0005-0000-0000-000050B10000}"/>
    <cellStyle name="Normal 46 26" xfId="45382" xr:uid="{00000000-0005-0000-0000-000051B10000}"/>
    <cellStyle name="Normal 46 26 2" xfId="45383" xr:uid="{00000000-0005-0000-0000-000052B10000}"/>
    <cellStyle name="Normal 46 27" xfId="45384" xr:uid="{00000000-0005-0000-0000-000053B10000}"/>
    <cellStyle name="Normal 46 27 2" xfId="45385" xr:uid="{00000000-0005-0000-0000-000054B10000}"/>
    <cellStyle name="Normal 46 28" xfId="45386" xr:uid="{00000000-0005-0000-0000-000055B10000}"/>
    <cellStyle name="Normal 46 28 2" xfId="45387" xr:uid="{00000000-0005-0000-0000-000056B10000}"/>
    <cellStyle name="Normal 46 29" xfId="45388" xr:uid="{00000000-0005-0000-0000-000057B10000}"/>
    <cellStyle name="Normal 46 29 2" xfId="45389" xr:uid="{00000000-0005-0000-0000-000058B10000}"/>
    <cellStyle name="Normal 46 3" xfId="45390" xr:uid="{00000000-0005-0000-0000-000059B10000}"/>
    <cellStyle name="Normal 46 3 2" xfId="45391" xr:uid="{00000000-0005-0000-0000-00005AB10000}"/>
    <cellStyle name="Normal 46 30" xfId="45392" xr:uid="{00000000-0005-0000-0000-00005BB10000}"/>
    <cellStyle name="Normal 46 30 2" xfId="45393" xr:uid="{00000000-0005-0000-0000-00005CB10000}"/>
    <cellStyle name="Normal 46 31" xfId="45394" xr:uid="{00000000-0005-0000-0000-00005DB10000}"/>
    <cellStyle name="Normal 46 31 2" xfId="45395" xr:uid="{00000000-0005-0000-0000-00005EB10000}"/>
    <cellStyle name="Normal 46 32" xfId="45396" xr:uid="{00000000-0005-0000-0000-00005FB10000}"/>
    <cellStyle name="Normal 46 32 2" xfId="45397" xr:uid="{00000000-0005-0000-0000-000060B10000}"/>
    <cellStyle name="Normal 46 33" xfId="45398" xr:uid="{00000000-0005-0000-0000-000061B10000}"/>
    <cellStyle name="Normal 46 33 2" xfId="45399" xr:uid="{00000000-0005-0000-0000-000062B10000}"/>
    <cellStyle name="Normal 46 34" xfId="45400" xr:uid="{00000000-0005-0000-0000-000063B10000}"/>
    <cellStyle name="Normal 46 34 2" xfId="45401" xr:uid="{00000000-0005-0000-0000-000064B10000}"/>
    <cellStyle name="Normal 46 35" xfId="45402" xr:uid="{00000000-0005-0000-0000-000065B10000}"/>
    <cellStyle name="Normal 46 35 2" xfId="45403" xr:uid="{00000000-0005-0000-0000-000066B10000}"/>
    <cellStyle name="Normal 46 36" xfId="45404" xr:uid="{00000000-0005-0000-0000-000067B10000}"/>
    <cellStyle name="Normal 46 36 2" xfId="45405" xr:uid="{00000000-0005-0000-0000-000068B10000}"/>
    <cellStyle name="Normal 46 37" xfId="45406" xr:uid="{00000000-0005-0000-0000-000069B10000}"/>
    <cellStyle name="Normal 46 37 2" xfId="45407" xr:uid="{00000000-0005-0000-0000-00006AB10000}"/>
    <cellStyle name="Normal 46 38" xfId="45408" xr:uid="{00000000-0005-0000-0000-00006BB10000}"/>
    <cellStyle name="Normal 46 38 2" xfId="45409" xr:uid="{00000000-0005-0000-0000-00006CB10000}"/>
    <cellStyle name="Normal 46 39" xfId="45410" xr:uid="{00000000-0005-0000-0000-00006DB10000}"/>
    <cellStyle name="Normal 46 39 2" xfId="45411" xr:uid="{00000000-0005-0000-0000-00006EB10000}"/>
    <cellStyle name="Normal 46 4" xfId="45412" xr:uid="{00000000-0005-0000-0000-00006FB10000}"/>
    <cellStyle name="Normal 46 4 2" xfId="45413" xr:uid="{00000000-0005-0000-0000-000070B10000}"/>
    <cellStyle name="Normal 46 40" xfId="45414" xr:uid="{00000000-0005-0000-0000-000071B10000}"/>
    <cellStyle name="Normal 46 40 2" xfId="45415" xr:uid="{00000000-0005-0000-0000-000072B10000}"/>
    <cellStyle name="Normal 46 41" xfId="45416" xr:uid="{00000000-0005-0000-0000-000073B10000}"/>
    <cellStyle name="Normal 46 41 2" xfId="45417" xr:uid="{00000000-0005-0000-0000-000074B10000}"/>
    <cellStyle name="Normal 46 42" xfId="45418" xr:uid="{00000000-0005-0000-0000-000075B10000}"/>
    <cellStyle name="Normal 46 42 2" xfId="45419" xr:uid="{00000000-0005-0000-0000-000076B10000}"/>
    <cellStyle name="Normal 46 43" xfId="45420" xr:uid="{00000000-0005-0000-0000-000077B10000}"/>
    <cellStyle name="Normal 46 43 2" xfId="45421" xr:uid="{00000000-0005-0000-0000-000078B10000}"/>
    <cellStyle name="Normal 46 44" xfId="45422" xr:uid="{00000000-0005-0000-0000-000079B10000}"/>
    <cellStyle name="Normal 46 44 2" xfId="45423" xr:uid="{00000000-0005-0000-0000-00007AB10000}"/>
    <cellStyle name="Normal 46 45" xfId="45424" xr:uid="{00000000-0005-0000-0000-00007BB10000}"/>
    <cellStyle name="Normal 46 45 2" xfId="45425" xr:uid="{00000000-0005-0000-0000-00007CB10000}"/>
    <cellStyle name="Normal 46 46" xfId="45426" xr:uid="{00000000-0005-0000-0000-00007DB10000}"/>
    <cellStyle name="Normal 46 46 2" xfId="45427" xr:uid="{00000000-0005-0000-0000-00007EB10000}"/>
    <cellStyle name="Normal 46 47" xfId="45428" xr:uid="{00000000-0005-0000-0000-00007FB10000}"/>
    <cellStyle name="Normal 46 47 2" xfId="45429" xr:uid="{00000000-0005-0000-0000-000080B10000}"/>
    <cellStyle name="Normal 46 48" xfId="45430" xr:uid="{00000000-0005-0000-0000-000081B10000}"/>
    <cellStyle name="Normal 46 48 2" xfId="45431" xr:uid="{00000000-0005-0000-0000-000082B10000}"/>
    <cellStyle name="Normal 46 49" xfId="45432" xr:uid="{00000000-0005-0000-0000-000083B10000}"/>
    <cellStyle name="Normal 46 49 2" xfId="45433" xr:uid="{00000000-0005-0000-0000-000084B10000}"/>
    <cellStyle name="Normal 46 5" xfId="45434" xr:uid="{00000000-0005-0000-0000-000085B10000}"/>
    <cellStyle name="Normal 46 5 2" xfId="45435" xr:uid="{00000000-0005-0000-0000-000086B10000}"/>
    <cellStyle name="Normal 46 50" xfId="45436" xr:uid="{00000000-0005-0000-0000-000087B10000}"/>
    <cellStyle name="Normal 46 50 2" xfId="45437" xr:uid="{00000000-0005-0000-0000-000088B10000}"/>
    <cellStyle name="Normal 46 51" xfId="45438" xr:uid="{00000000-0005-0000-0000-000089B10000}"/>
    <cellStyle name="Normal 46 51 2" xfId="45439" xr:uid="{00000000-0005-0000-0000-00008AB10000}"/>
    <cellStyle name="Normal 46 52" xfId="45440" xr:uid="{00000000-0005-0000-0000-00008BB10000}"/>
    <cellStyle name="Normal 46 52 2" xfId="45441" xr:uid="{00000000-0005-0000-0000-00008CB10000}"/>
    <cellStyle name="Normal 46 53" xfId="45442" xr:uid="{00000000-0005-0000-0000-00008DB10000}"/>
    <cellStyle name="Normal 46 53 2" xfId="45443" xr:uid="{00000000-0005-0000-0000-00008EB10000}"/>
    <cellStyle name="Normal 46 54" xfId="45444" xr:uid="{00000000-0005-0000-0000-00008FB10000}"/>
    <cellStyle name="Normal 46 54 2" xfId="45445" xr:uid="{00000000-0005-0000-0000-000090B10000}"/>
    <cellStyle name="Normal 46 55" xfId="45446" xr:uid="{00000000-0005-0000-0000-000091B10000}"/>
    <cellStyle name="Normal 46 55 2" xfId="45447" xr:uid="{00000000-0005-0000-0000-000092B10000}"/>
    <cellStyle name="Normal 46 56" xfId="45448" xr:uid="{00000000-0005-0000-0000-000093B10000}"/>
    <cellStyle name="Normal 46 56 2" xfId="45449" xr:uid="{00000000-0005-0000-0000-000094B10000}"/>
    <cellStyle name="Normal 46 57" xfId="45450" xr:uid="{00000000-0005-0000-0000-000095B10000}"/>
    <cellStyle name="Normal 46 57 2" xfId="45451" xr:uid="{00000000-0005-0000-0000-000096B10000}"/>
    <cellStyle name="Normal 46 58" xfId="45452" xr:uid="{00000000-0005-0000-0000-000097B10000}"/>
    <cellStyle name="Normal 46 58 2" xfId="45453" xr:uid="{00000000-0005-0000-0000-000098B10000}"/>
    <cellStyle name="Normal 46 59" xfId="45454" xr:uid="{00000000-0005-0000-0000-000099B10000}"/>
    <cellStyle name="Normal 46 6" xfId="45455" xr:uid="{00000000-0005-0000-0000-00009AB10000}"/>
    <cellStyle name="Normal 46 6 2" xfId="45456" xr:uid="{00000000-0005-0000-0000-00009BB10000}"/>
    <cellStyle name="Normal 46 7" xfId="45457" xr:uid="{00000000-0005-0000-0000-00009CB10000}"/>
    <cellStyle name="Normal 46 7 2" xfId="45458" xr:uid="{00000000-0005-0000-0000-00009DB10000}"/>
    <cellStyle name="Normal 46 8" xfId="45459" xr:uid="{00000000-0005-0000-0000-00009EB10000}"/>
    <cellStyle name="Normal 46 8 2" xfId="45460" xr:uid="{00000000-0005-0000-0000-00009FB10000}"/>
    <cellStyle name="Normal 46 9" xfId="45461" xr:uid="{00000000-0005-0000-0000-0000A0B10000}"/>
    <cellStyle name="Normal 46 9 2" xfId="45462" xr:uid="{00000000-0005-0000-0000-0000A1B10000}"/>
    <cellStyle name="Normal 47" xfId="45463" xr:uid="{00000000-0005-0000-0000-0000A2B10000}"/>
    <cellStyle name="Normal 47 10" xfId="45464" xr:uid="{00000000-0005-0000-0000-0000A3B10000}"/>
    <cellStyle name="Normal 47 10 2" xfId="45465" xr:uid="{00000000-0005-0000-0000-0000A4B10000}"/>
    <cellStyle name="Normal 47 11" xfId="45466" xr:uid="{00000000-0005-0000-0000-0000A5B10000}"/>
    <cellStyle name="Normal 47 11 2" xfId="45467" xr:uid="{00000000-0005-0000-0000-0000A6B10000}"/>
    <cellStyle name="Normal 47 12" xfId="45468" xr:uid="{00000000-0005-0000-0000-0000A7B10000}"/>
    <cellStyle name="Normal 47 12 2" xfId="45469" xr:uid="{00000000-0005-0000-0000-0000A8B10000}"/>
    <cellStyle name="Normal 47 13" xfId="45470" xr:uid="{00000000-0005-0000-0000-0000A9B10000}"/>
    <cellStyle name="Normal 47 13 2" xfId="45471" xr:uid="{00000000-0005-0000-0000-0000AAB10000}"/>
    <cellStyle name="Normal 47 14" xfId="45472" xr:uid="{00000000-0005-0000-0000-0000ABB10000}"/>
    <cellStyle name="Normal 47 14 2" xfId="45473" xr:uid="{00000000-0005-0000-0000-0000ACB10000}"/>
    <cellStyle name="Normal 47 15" xfId="45474" xr:uid="{00000000-0005-0000-0000-0000ADB10000}"/>
    <cellStyle name="Normal 47 15 2" xfId="45475" xr:uid="{00000000-0005-0000-0000-0000AEB10000}"/>
    <cellStyle name="Normal 47 16" xfId="45476" xr:uid="{00000000-0005-0000-0000-0000AFB10000}"/>
    <cellStyle name="Normal 47 16 2" xfId="45477" xr:uid="{00000000-0005-0000-0000-0000B0B10000}"/>
    <cellStyle name="Normal 47 17" xfId="45478" xr:uid="{00000000-0005-0000-0000-0000B1B10000}"/>
    <cellStyle name="Normal 47 17 2" xfId="45479" xr:uid="{00000000-0005-0000-0000-0000B2B10000}"/>
    <cellStyle name="Normal 47 18" xfId="45480" xr:uid="{00000000-0005-0000-0000-0000B3B10000}"/>
    <cellStyle name="Normal 47 18 2" xfId="45481" xr:uid="{00000000-0005-0000-0000-0000B4B10000}"/>
    <cellStyle name="Normal 47 19" xfId="45482" xr:uid="{00000000-0005-0000-0000-0000B5B10000}"/>
    <cellStyle name="Normal 47 19 2" xfId="45483" xr:uid="{00000000-0005-0000-0000-0000B6B10000}"/>
    <cellStyle name="Normal 47 2" xfId="45484" xr:uid="{00000000-0005-0000-0000-0000B7B10000}"/>
    <cellStyle name="Normal 47 2 2" xfId="45485" xr:uid="{00000000-0005-0000-0000-0000B8B10000}"/>
    <cellStyle name="Normal 47 20" xfId="45486" xr:uid="{00000000-0005-0000-0000-0000B9B10000}"/>
    <cellStyle name="Normal 47 20 2" xfId="45487" xr:uid="{00000000-0005-0000-0000-0000BAB10000}"/>
    <cellStyle name="Normal 47 21" xfId="45488" xr:uid="{00000000-0005-0000-0000-0000BBB10000}"/>
    <cellStyle name="Normal 47 21 2" xfId="45489" xr:uid="{00000000-0005-0000-0000-0000BCB10000}"/>
    <cellStyle name="Normal 47 22" xfId="45490" xr:uid="{00000000-0005-0000-0000-0000BDB10000}"/>
    <cellStyle name="Normal 47 22 2" xfId="45491" xr:uid="{00000000-0005-0000-0000-0000BEB10000}"/>
    <cellStyle name="Normal 47 23" xfId="45492" xr:uid="{00000000-0005-0000-0000-0000BFB10000}"/>
    <cellStyle name="Normal 47 23 2" xfId="45493" xr:uid="{00000000-0005-0000-0000-0000C0B10000}"/>
    <cellStyle name="Normal 47 24" xfId="45494" xr:uid="{00000000-0005-0000-0000-0000C1B10000}"/>
    <cellStyle name="Normal 47 24 2" xfId="45495" xr:uid="{00000000-0005-0000-0000-0000C2B10000}"/>
    <cellStyle name="Normal 47 25" xfId="45496" xr:uid="{00000000-0005-0000-0000-0000C3B10000}"/>
    <cellStyle name="Normal 47 25 2" xfId="45497" xr:uid="{00000000-0005-0000-0000-0000C4B10000}"/>
    <cellStyle name="Normal 47 26" xfId="45498" xr:uid="{00000000-0005-0000-0000-0000C5B10000}"/>
    <cellStyle name="Normal 47 26 2" xfId="45499" xr:uid="{00000000-0005-0000-0000-0000C6B10000}"/>
    <cellStyle name="Normal 47 27" xfId="45500" xr:uid="{00000000-0005-0000-0000-0000C7B10000}"/>
    <cellStyle name="Normal 47 27 2" xfId="45501" xr:uid="{00000000-0005-0000-0000-0000C8B10000}"/>
    <cellStyle name="Normal 47 28" xfId="45502" xr:uid="{00000000-0005-0000-0000-0000C9B10000}"/>
    <cellStyle name="Normal 47 28 2" xfId="45503" xr:uid="{00000000-0005-0000-0000-0000CAB10000}"/>
    <cellStyle name="Normal 47 29" xfId="45504" xr:uid="{00000000-0005-0000-0000-0000CBB10000}"/>
    <cellStyle name="Normal 47 29 2" xfId="45505" xr:uid="{00000000-0005-0000-0000-0000CCB10000}"/>
    <cellStyle name="Normal 47 3" xfId="45506" xr:uid="{00000000-0005-0000-0000-0000CDB10000}"/>
    <cellStyle name="Normal 47 3 2" xfId="45507" xr:uid="{00000000-0005-0000-0000-0000CEB10000}"/>
    <cellStyle name="Normal 47 30" xfId="45508" xr:uid="{00000000-0005-0000-0000-0000CFB10000}"/>
    <cellStyle name="Normal 47 30 2" xfId="45509" xr:uid="{00000000-0005-0000-0000-0000D0B10000}"/>
    <cellStyle name="Normal 47 31" xfId="45510" xr:uid="{00000000-0005-0000-0000-0000D1B10000}"/>
    <cellStyle name="Normal 47 31 2" xfId="45511" xr:uid="{00000000-0005-0000-0000-0000D2B10000}"/>
    <cellStyle name="Normal 47 32" xfId="45512" xr:uid="{00000000-0005-0000-0000-0000D3B10000}"/>
    <cellStyle name="Normal 47 32 2" xfId="45513" xr:uid="{00000000-0005-0000-0000-0000D4B10000}"/>
    <cellStyle name="Normal 47 33" xfId="45514" xr:uid="{00000000-0005-0000-0000-0000D5B10000}"/>
    <cellStyle name="Normal 47 33 2" xfId="45515" xr:uid="{00000000-0005-0000-0000-0000D6B10000}"/>
    <cellStyle name="Normal 47 34" xfId="45516" xr:uid="{00000000-0005-0000-0000-0000D7B10000}"/>
    <cellStyle name="Normal 47 34 2" xfId="45517" xr:uid="{00000000-0005-0000-0000-0000D8B10000}"/>
    <cellStyle name="Normal 47 35" xfId="45518" xr:uid="{00000000-0005-0000-0000-0000D9B10000}"/>
    <cellStyle name="Normal 47 35 2" xfId="45519" xr:uid="{00000000-0005-0000-0000-0000DAB10000}"/>
    <cellStyle name="Normal 47 36" xfId="45520" xr:uid="{00000000-0005-0000-0000-0000DBB10000}"/>
    <cellStyle name="Normal 47 36 2" xfId="45521" xr:uid="{00000000-0005-0000-0000-0000DCB10000}"/>
    <cellStyle name="Normal 47 37" xfId="45522" xr:uid="{00000000-0005-0000-0000-0000DDB10000}"/>
    <cellStyle name="Normal 47 37 2" xfId="45523" xr:uid="{00000000-0005-0000-0000-0000DEB10000}"/>
    <cellStyle name="Normal 47 38" xfId="45524" xr:uid="{00000000-0005-0000-0000-0000DFB10000}"/>
    <cellStyle name="Normal 47 38 2" xfId="45525" xr:uid="{00000000-0005-0000-0000-0000E0B10000}"/>
    <cellStyle name="Normal 47 39" xfId="45526" xr:uid="{00000000-0005-0000-0000-0000E1B10000}"/>
    <cellStyle name="Normal 47 39 2" xfId="45527" xr:uid="{00000000-0005-0000-0000-0000E2B10000}"/>
    <cellStyle name="Normal 47 4" xfId="45528" xr:uid="{00000000-0005-0000-0000-0000E3B10000}"/>
    <cellStyle name="Normal 47 4 2" xfId="45529" xr:uid="{00000000-0005-0000-0000-0000E4B10000}"/>
    <cellStyle name="Normal 47 40" xfId="45530" xr:uid="{00000000-0005-0000-0000-0000E5B10000}"/>
    <cellStyle name="Normal 47 40 2" xfId="45531" xr:uid="{00000000-0005-0000-0000-0000E6B10000}"/>
    <cellStyle name="Normal 47 41" xfId="45532" xr:uid="{00000000-0005-0000-0000-0000E7B10000}"/>
    <cellStyle name="Normal 47 41 2" xfId="45533" xr:uid="{00000000-0005-0000-0000-0000E8B10000}"/>
    <cellStyle name="Normal 47 42" xfId="45534" xr:uid="{00000000-0005-0000-0000-0000E9B10000}"/>
    <cellStyle name="Normal 47 42 2" xfId="45535" xr:uid="{00000000-0005-0000-0000-0000EAB10000}"/>
    <cellStyle name="Normal 47 43" xfId="45536" xr:uid="{00000000-0005-0000-0000-0000EBB10000}"/>
    <cellStyle name="Normal 47 43 2" xfId="45537" xr:uid="{00000000-0005-0000-0000-0000ECB10000}"/>
    <cellStyle name="Normal 47 44" xfId="45538" xr:uid="{00000000-0005-0000-0000-0000EDB10000}"/>
    <cellStyle name="Normal 47 44 2" xfId="45539" xr:uid="{00000000-0005-0000-0000-0000EEB10000}"/>
    <cellStyle name="Normal 47 45" xfId="45540" xr:uid="{00000000-0005-0000-0000-0000EFB10000}"/>
    <cellStyle name="Normal 47 45 2" xfId="45541" xr:uid="{00000000-0005-0000-0000-0000F0B10000}"/>
    <cellStyle name="Normal 47 46" xfId="45542" xr:uid="{00000000-0005-0000-0000-0000F1B10000}"/>
    <cellStyle name="Normal 47 46 2" xfId="45543" xr:uid="{00000000-0005-0000-0000-0000F2B10000}"/>
    <cellStyle name="Normal 47 47" xfId="45544" xr:uid="{00000000-0005-0000-0000-0000F3B10000}"/>
    <cellStyle name="Normal 47 47 2" xfId="45545" xr:uid="{00000000-0005-0000-0000-0000F4B10000}"/>
    <cellStyle name="Normal 47 48" xfId="45546" xr:uid="{00000000-0005-0000-0000-0000F5B10000}"/>
    <cellStyle name="Normal 47 48 2" xfId="45547" xr:uid="{00000000-0005-0000-0000-0000F6B10000}"/>
    <cellStyle name="Normal 47 49" xfId="45548" xr:uid="{00000000-0005-0000-0000-0000F7B10000}"/>
    <cellStyle name="Normal 47 49 2" xfId="45549" xr:uid="{00000000-0005-0000-0000-0000F8B10000}"/>
    <cellStyle name="Normal 47 5" xfId="45550" xr:uid="{00000000-0005-0000-0000-0000F9B10000}"/>
    <cellStyle name="Normal 47 5 2" xfId="45551" xr:uid="{00000000-0005-0000-0000-0000FAB10000}"/>
    <cellStyle name="Normal 47 50" xfId="45552" xr:uid="{00000000-0005-0000-0000-0000FBB10000}"/>
    <cellStyle name="Normal 47 50 2" xfId="45553" xr:uid="{00000000-0005-0000-0000-0000FCB10000}"/>
    <cellStyle name="Normal 47 51" xfId="45554" xr:uid="{00000000-0005-0000-0000-0000FDB10000}"/>
    <cellStyle name="Normal 47 51 2" xfId="45555" xr:uid="{00000000-0005-0000-0000-0000FEB10000}"/>
    <cellStyle name="Normal 47 52" xfId="45556" xr:uid="{00000000-0005-0000-0000-0000FFB10000}"/>
    <cellStyle name="Normal 47 52 2" xfId="45557" xr:uid="{00000000-0005-0000-0000-000000B20000}"/>
    <cellStyle name="Normal 47 53" xfId="45558" xr:uid="{00000000-0005-0000-0000-000001B20000}"/>
    <cellStyle name="Normal 47 53 2" xfId="45559" xr:uid="{00000000-0005-0000-0000-000002B20000}"/>
    <cellStyle name="Normal 47 54" xfId="45560" xr:uid="{00000000-0005-0000-0000-000003B20000}"/>
    <cellStyle name="Normal 47 54 2" xfId="45561" xr:uid="{00000000-0005-0000-0000-000004B20000}"/>
    <cellStyle name="Normal 47 55" xfId="45562" xr:uid="{00000000-0005-0000-0000-000005B20000}"/>
    <cellStyle name="Normal 47 55 2" xfId="45563" xr:uid="{00000000-0005-0000-0000-000006B20000}"/>
    <cellStyle name="Normal 47 56" xfId="45564" xr:uid="{00000000-0005-0000-0000-000007B20000}"/>
    <cellStyle name="Normal 47 56 2" xfId="45565" xr:uid="{00000000-0005-0000-0000-000008B20000}"/>
    <cellStyle name="Normal 47 57" xfId="45566" xr:uid="{00000000-0005-0000-0000-000009B20000}"/>
    <cellStyle name="Normal 47 57 2" xfId="45567" xr:uid="{00000000-0005-0000-0000-00000AB20000}"/>
    <cellStyle name="Normal 47 58" xfId="45568" xr:uid="{00000000-0005-0000-0000-00000BB20000}"/>
    <cellStyle name="Normal 47 58 2" xfId="45569" xr:uid="{00000000-0005-0000-0000-00000CB20000}"/>
    <cellStyle name="Normal 47 59" xfId="45570" xr:uid="{00000000-0005-0000-0000-00000DB20000}"/>
    <cellStyle name="Normal 47 6" xfId="45571" xr:uid="{00000000-0005-0000-0000-00000EB20000}"/>
    <cellStyle name="Normal 47 6 2" xfId="45572" xr:uid="{00000000-0005-0000-0000-00000FB20000}"/>
    <cellStyle name="Normal 47 7" xfId="45573" xr:uid="{00000000-0005-0000-0000-000010B20000}"/>
    <cellStyle name="Normal 47 7 2" xfId="45574" xr:uid="{00000000-0005-0000-0000-000011B20000}"/>
    <cellStyle name="Normal 47 8" xfId="45575" xr:uid="{00000000-0005-0000-0000-000012B20000}"/>
    <cellStyle name="Normal 47 8 2" xfId="45576" xr:uid="{00000000-0005-0000-0000-000013B20000}"/>
    <cellStyle name="Normal 47 9" xfId="45577" xr:uid="{00000000-0005-0000-0000-000014B20000}"/>
    <cellStyle name="Normal 47 9 2" xfId="45578" xr:uid="{00000000-0005-0000-0000-000015B20000}"/>
    <cellStyle name="Normal 48" xfId="1" xr:uid="{00000000-0005-0000-0000-000016B20000}"/>
    <cellStyle name="Normal 48 10" xfId="45579" xr:uid="{00000000-0005-0000-0000-000017B20000}"/>
    <cellStyle name="Normal 48 10 2" xfId="45580" xr:uid="{00000000-0005-0000-0000-000018B20000}"/>
    <cellStyle name="Normal 48 11" xfId="45581" xr:uid="{00000000-0005-0000-0000-000019B20000}"/>
    <cellStyle name="Normal 48 11 2" xfId="45582" xr:uid="{00000000-0005-0000-0000-00001AB20000}"/>
    <cellStyle name="Normal 48 12" xfId="45583" xr:uid="{00000000-0005-0000-0000-00001BB20000}"/>
    <cellStyle name="Normal 48 12 2" xfId="45584" xr:uid="{00000000-0005-0000-0000-00001CB20000}"/>
    <cellStyle name="Normal 48 13" xfId="45585" xr:uid="{00000000-0005-0000-0000-00001DB20000}"/>
    <cellStyle name="Normal 48 13 2" xfId="45586" xr:uid="{00000000-0005-0000-0000-00001EB20000}"/>
    <cellStyle name="Normal 48 14" xfId="45587" xr:uid="{00000000-0005-0000-0000-00001FB20000}"/>
    <cellStyle name="Normal 48 14 2" xfId="45588" xr:uid="{00000000-0005-0000-0000-000020B20000}"/>
    <cellStyle name="Normal 48 15" xfId="45589" xr:uid="{00000000-0005-0000-0000-000021B20000}"/>
    <cellStyle name="Normal 48 15 2" xfId="45590" xr:uid="{00000000-0005-0000-0000-000022B20000}"/>
    <cellStyle name="Normal 48 16" xfId="45591" xr:uid="{00000000-0005-0000-0000-000023B20000}"/>
    <cellStyle name="Normal 48 16 2" xfId="45592" xr:uid="{00000000-0005-0000-0000-000024B20000}"/>
    <cellStyle name="Normal 48 17" xfId="45593" xr:uid="{00000000-0005-0000-0000-000025B20000}"/>
    <cellStyle name="Normal 48 17 2" xfId="45594" xr:uid="{00000000-0005-0000-0000-000026B20000}"/>
    <cellStyle name="Normal 48 18" xfId="45595" xr:uid="{00000000-0005-0000-0000-000027B20000}"/>
    <cellStyle name="Normal 48 18 2" xfId="45596" xr:uid="{00000000-0005-0000-0000-000028B20000}"/>
    <cellStyle name="Normal 48 19" xfId="45597" xr:uid="{00000000-0005-0000-0000-000029B20000}"/>
    <cellStyle name="Normal 48 19 2" xfId="45598" xr:uid="{00000000-0005-0000-0000-00002AB20000}"/>
    <cellStyle name="Normal 48 2" xfId="45599" xr:uid="{00000000-0005-0000-0000-00002BB20000}"/>
    <cellStyle name="Normal 48 2 2" xfId="45600" xr:uid="{00000000-0005-0000-0000-00002CB20000}"/>
    <cellStyle name="Normal 48 20" xfId="45601" xr:uid="{00000000-0005-0000-0000-00002DB20000}"/>
    <cellStyle name="Normal 48 20 2" xfId="45602" xr:uid="{00000000-0005-0000-0000-00002EB20000}"/>
    <cellStyle name="Normal 48 21" xfId="45603" xr:uid="{00000000-0005-0000-0000-00002FB20000}"/>
    <cellStyle name="Normal 48 21 2" xfId="45604" xr:uid="{00000000-0005-0000-0000-000030B20000}"/>
    <cellStyle name="Normal 48 22" xfId="45605" xr:uid="{00000000-0005-0000-0000-000031B20000}"/>
    <cellStyle name="Normal 48 22 2" xfId="45606" xr:uid="{00000000-0005-0000-0000-000032B20000}"/>
    <cellStyle name="Normal 48 23" xfId="45607" xr:uid="{00000000-0005-0000-0000-000033B20000}"/>
    <cellStyle name="Normal 48 23 2" xfId="45608" xr:uid="{00000000-0005-0000-0000-000034B20000}"/>
    <cellStyle name="Normal 48 24" xfId="45609" xr:uid="{00000000-0005-0000-0000-000035B20000}"/>
    <cellStyle name="Normal 48 24 2" xfId="45610" xr:uid="{00000000-0005-0000-0000-000036B20000}"/>
    <cellStyle name="Normal 48 25" xfId="45611" xr:uid="{00000000-0005-0000-0000-000037B20000}"/>
    <cellStyle name="Normal 48 25 2" xfId="45612" xr:uid="{00000000-0005-0000-0000-000038B20000}"/>
    <cellStyle name="Normal 48 26" xfId="45613" xr:uid="{00000000-0005-0000-0000-000039B20000}"/>
    <cellStyle name="Normal 48 26 2" xfId="45614" xr:uid="{00000000-0005-0000-0000-00003AB20000}"/>
    <cellStyle name="Normal 48 27" xfId="45615" xr:uid="{00000000-0005-0000-0000-00003BB20000}"/>
    <cellStyle name="Normal 48 27 2" xfId="45616" xr:uid="{00000000-0005-0000-0000-00003CB20000}"/>
    <cellStyle name="Normal 48 28" xfId="45617" xr:uid="{00000000-0005-0000-0000-00003DB20000}"/>
    <cellStyle name="Normal 48 28 2" xfId="45618" xr:uid="{00000000-0005-0000-0000-00003EB20000}"/>
    <cellStyle name="Normal 48 29" xfId="45619" xr:uid="{00000000-0005-0000-0000-00003FB20000}"/>
    <cellStyle name="Normal 48 29 2" xfId="45620" xr:uid="{00000000-0005-0000-0000-000040B20000}"/>
    <cellStyle name="Normal 48 3" xfId="45621" xr:uid="{00000000-0005-0000-0000-000041B20000}"/>
    <cellStyle name="Normal 48 3 2" xfId="45622" xr:uid="{00000000-0005-0000-0000-000042B20000}"/>
    <cellStyle name="Normal 48 30" xfId="45623" xr:uid="{00000000-0005-0000-0000-000043B20000}"/>
    <cellStyle name="Normal 48 30 2" xfId="45624" xr:uid="{00000000-0005-0000-0000-000044B20000}"/>
    <cellStyle name="Normal 48 31" xfId="45625" xr:uid="{00000000-0005-0000-0000-000045B20000}"/>
    <cellStyle name="Normal 48 31 2" xfId="45626" xr:uid="{00000000-0005-0000-0000-000046B20000}"/>
    <cellStyle name="Normal 48 32" xfId="45627" xr:uid="{00000000-0005-0000-0000-000047B20000}"/>
    <cellStyle name="Normal 48 32 2" xfId="45628" xr:uid="{00000000-0005-0000-0000-000048B20000}"/>
    <cellStyle name="Normal 48 33" xfId="45629" xr:uid="{00000000-0005-0000-0000-000049B20000}"/>
    <cellStyle name="Normal 48 33 2" xfId="45630" xr:uid="{00000000-0005-0000-0000-00004AB20000}"/>
    <cellStyle name="Normal 48 34" xfId="45631" xr:uid="{00000000-0005-0000-0000-00004BB20000}"/>
    <cellStyle name="Normal 48 34 2" xfId="45632" xr:uid="{00000000-0005-0000-0000-00004CB20000}"/>
    <cellStyle name="Normal 48 35" xfId="45633" xr:uid="{00000000-0005-0000-0000-00004DB20000}"/>
    <cellStyle name="Normal 48 35 2" xfId="45634" xr:uid="{00000000-0005-0000-0000-00004EB20000}"/>
    <cellStyle name="Normal 48 36" xfId="45635" xr:uid="{00000000-0005-0000-0000-00004FB20000}"/>
    <cellStyle name="Normal 48 36 2" xfId="45636" xr:uid="{00000000-0005-0000-0000-000050B20000}"/>
    <cellStyle name="Normal 48 37" xfId="45637" xr:uid="{00000000-0005-0000-0000-000051B20000}"/>
    <cellStyle name="Normal 48 37 2" xfId="45638" xr:uid="{00000000-0005-0000-0000-000052B20000}"/>
    <cellStyle name="Normal 48 38" xfId="45639" xr:uid="{00000000-0005-0000-0000-000053B20000}"/>
    <cellStyle name="Normal 48 38 2" xfId="45640" xr:uid="{00000000-0005-0000-0000-000054B20000}"/>
    <cellStyle name="Normal 48 39" xfId="45641" xr:uid="{00000000-0005-0000-0000-000055B20000}"/>
    <cellStyle name="Normal 48 39 2" xfId="45642" xr:uid="{00000000-0005-0000-0000-000056B20000}"/>
    <cellStyle name="Normal 48 4" xfId="45643" xr:uid="{00000000-0005-0000-0000-000057B20000}"/>
    <cellStyle name="Normal 48 4 2" xfId="45644" xr:uid="{00000000-0005-0000-0000-000058B20000}"/>
    <cellStyle name="Normal 48 40" xfId="45645" xr:uid="{00000000-0005-0000-0000-000059B20000}"/>
    <cellStyle name="Normal 48 40 2" xfId="45646" xr:uid="{00000000-0005-0000-0000-00005AB20000}"/>
    <cellStyle name="Normal 48 41" xfId="45647" xr:uid="{00000000-0005-0000-0000-00005BB20000}"/>
    <cellStyle name="Normal 48 41 2" xfId="45648" xr:uid="{00000000-0005-0000-0000-00005CB20000}"/>
    <cellStyle name="Normal 48 42" xfId="45649" xr:uid="{00000000-0005-0000-0000-00005DB20000}"/>
    <cellStyle name="Normal 48 42 2" xfId="45650" xr:uid="{00000000-0005-0000-0000-00005EB20000}"/>
    <cellStyle name="Normal 48 43" xfId="45651" xr:uid="{00000000-0005-0000-0000-00005FB20000}"/>
    <cellStyle name="Normal 48 43 2" xfId="45652" xr:uid="{00000000-0005-0000-0000-000060B20000}"/>
    <cellStyle name="Normal 48 44" xfId="45653" xr:uid="{00000000-0005-0000-0000-000061B20000}"/>
    <cellStyle name="Normal 48 44 2" xfId="45654" xr:uid="{00000000-0005-0000-0000-000062B20000}"/>
    <cellStyle name="Normal 48 45" xfId="45655" xr:uid="{00000000-0005-0000-0000-000063B20000}"/>
    <cellStyle name="Normal 48 45 2" xfId="45656" xr:uid="{00000000-0005-0000-0000-000064B20000}"/>
    <cellStyle name="Normal 48 46" xfId="45657" xr:uid="{00000000-0005-0000-0000-000065B20000}"/>
    <cellStyle name="Normal 48 46 2" xfId="45658" xr:uid="{00000000-0005-0000-0000-000066B20000}"/>
    <cellStyle name="Normal 48 47" xfId="45659" xr:uid="{00000000-0005-0000-0000-000067B20000}"/>
    <cellStyle name="Normal 48 47 2" xfId="45660" xr:uid="{00000000-0005-0000-0000-000068B20000}"/>
    <cellStyle name="Normal 48 48" xfId="45661" xr:uid="{00000000-0005-0000-0000-000069B20000}"/>
    <cellStyle name="Normal 48 48 2" xfId="45662" xr:uid="{00000000-0005-0000-0000-00006AB20000}"/>
    <cellStyle name="Normal 48 49" xfId="45663" xr:uid="{00000000-0005-0000-0000-00006BB20000}"/>
    <cellStyle name="Normal 48 49 2" xfId="45664" xr:uid="{00000000-0005-0000-0000-00006CB20000}"/>
    <cellStyle name="Normal 48 5" xfId="45665" xr:uid="{00000000-0005-0000-0000-00006DB20000}"/>
    <cellStyle name="Normal 48 5 2" xfId="45666" xr:uid="{00000000-0005-0000-0000-00006EB20000}"/>
    <cellStyle name="Normal 48 50" xfId="45667" xr:uid="{00000000-0005-0000-0000-00006FB20000}"/>
    <cellStyle name="Normal 48 50 2" xfId="45668" xr:uid="{00000000-0005-0000-0000-000070B20000}"/>
    <cellStyle name="Normal 48 51" xfId="45669" xr:uid="{00000000-0005-0000-0000-000071B20000}"/>
    <cellStyle name="Normal 48 51 2" xfId="45670" xr:uid="{00000000-0005-0000-0000-000072B20000}"/>
    <cellStyle name="Normal 48 52" xfId="45671" xr:uid="{00000000-0005-0000-0000-000073B20000}"/>
    <cellStyle name="Normal 48 52 2" xfId="45672" xr:uid="{00000000-0005-0000-0000-000074B20000}"/>
    <cellStyle name="Normal 48 53" xfId="45673" xr:uid="{00000000-0005-0000-0000-000075B20000}"/>
    <cellStyle name="Normal 48 53 2" xfId="45674" xr:uid="{00000000-0005-0000-0000-000076B20000}"/>
    <cellStyle name="Normal 48 54" xfId="45675" xr:uid="{00000000-0005-0000-0000-000077B20000}"/>
    <cellStyle name="Normal 48 54 2" xfId="45676" xr:uid="{00000000-0005-0000-0000-000078B20000}"/>
    <cellStyle name="Normal 48 55" xfId="45677" xr:uid="{00000000-0005-0000-0000-000079B20000}"/>
    <cellStyle name="Normal 48 55 2" xfId="45678" xr:uid="{00000000-0005-0000-0000-00007AB20000}"/>
    <cellStyle name="Normal 48 56" xfId="45679" xr:uid="{00000000-0005-0000-0000-00007BB20000}"/>
    <cellStyle name="Normal 48 56 2" xfId="45680" xr:uid="{00000000-0005-0000-0000-00007CB20000}"/>
    <cellStyle name="Normal 48 57" xfId="45681" xr:uid="{00000000-0005-0000-0000-00007DB20000}"/>
    <cellStyle name="Normal 48 57 2" xfId="45682" xr:uid="{00000000-0005-0000-0000-00007EB20000}"/>
    <cellStyle name="Normal 48 58" xfId="45683" xr:uid="{00000000-0005-0000-0000-00007FB20000}"/>
    <cellStyle name="Normal 48 58 2" xfId="45684" xr:uid="{00000000-0005-0000-0000-000080B20000}"/>
    <cellStyle name="Normal 48 59" xfId="45685" xr:uid="{00000000-0005-0000-0000-000081B20000}"/>
    <cellStyle name="Normal 48 6" xfId="45686" xr:uid="{00000000-0005-0000-0000-000082B20000}"/>
    <cellStyle name="Normal 48 6 2" xfId="45687" xr:uid="{00000000-0005-0000-0000-000083B20000}"/>
    <cellStyle name="Normal 48 7" xfId="45688" xr:uid="{00000000-0005-0000-0000-000084B20000}"/>
    <cellStyle name="Normal 48 7 2" xfId="45689" xr:uid="{00000000-0005-0000-0000-000085B20000}"/>
    <cellStyle name="Normal 48 8" xfId="45690" xr:uid="{00000000-0005-0000-0000-000086B20000}"/>
    <cellStyle name="Normal 48 8 2" xfId="45691" xr:uid="{00000000-0005-0000-0000-000087B20000}"/>
    <cellStyle name="Normal 48 9" xfId="45692" xr:uid="{00000000-0005-0000-0000-000088B20000}"/>
    <cellStyle name="Normal 48 9 2" xfId="45693" xr:uid="{00000000-0005-0000-0000-000089B20000}"/>
    <cellStyle name="Normal 49" xfId="45694" xr:uid="{00000000-0005-0000-0000-00008AB20000}"/>
    <cellStyle name="Normal 49 10" xfId="45695" xr:uid="{00000000-0005-0000-0000-00008BB20000}"/>
    <cellStyle name="Normal 49 10 2" xfId="45696" xr:uid="{00000000-0005-0000-0000-00008CB20000}"/>
    <cellStyle name="Normal 49 11" xfId="45697" xr:uid="{00000000-0005-0000-0000-00008DB20000}"/>
    <cellStyle name="Normal 49 11 2" xfId="45698" xr:uid="{00000000-0005-0000-0000-00008EB20000}"/>
    <cellStyle name="Normal 49 12" xfId="45699" xr:uid="{00000000-0005-0000-0000-00008FB20000}"/>
    <cellStyle name="Normal 49 12 2" xfId="45700" xr:uid="{00000000-0005-0000-0000-000090B20000}"/>
    <cellStyle name="Normal 49 13" xfId="45701" xr:uid="{00000000-0005-0000-0000-000091B20000}"/>
    <cellStyle name="Normal 49 13 2" xfId="45702" xr:uid="{00000000-0005-0000-0000-000092B20000}"/>
    <cellStyle name="Normal 49 14" xfId="45703" xr:uid="{00000000-0005-0000-0000-000093B20000}"/>
    <cellStyle name="Normal 49 14 2" xfId="45704" xr:uid="{00000000-0005-0000-0000-000094B20000}"/>
    <cellStyle name="Normal 49 15" xfId="45705" xr:uid="{00000000-0005-0000-0000-000095B20000}"/>
    <cellStyle name="Normal 49 15 2" xfId="45706" xr:uid="{00000000-0005-0000-0000-000096B20000}"/>
    <cellStyle name="Normal 49 16" xfId="45707" xr:uid="{00000000-0005-0000-0000-000097B20000}"/>
    <cellStyle name="Normal 49 16 2" xfId="45708" xr:uid="{00000000-0005-0000-0000-000098B20000}"/>
    <cellStyle name="Normal 49 17" xfId="45709" xr:uid="{00000000-0005-0000-0000-000099B20000}"/>
    <cellStyle name="Normal 49 17 2" xfId="45710" xr:uid="{00000000-0005-0000-0000-00009AB20000}"/>
    <cellStyle name="Normal 49 18" xfId="45711" xr:uid="{00000000-0005-0000-0000-00009BB20000}"/>
    <cellStyle name="Normal 49 18 2" xfId="45712" xr:uid="{00000000-0005-0000-0000-00009CB20000}"/>
    <cellStyle name="Normal 49 19" xfId="45713" xr:uid="{00000000-0005-0000-0000-00009DB20000}"/>
    <cellStyle name="Normal 49 19 2" xfId="45714" xr:uid="{00000000-0005-0000-0000-00009EB20000}"/>
    <cellStyle name="Normal 49 2" xfId="45715" xr:uid="{00000000-0005-0000-0000-00009FB20000}"/>
    <cellStyle name="Normal 49 2 2" xfId="45716" xr:uid="{00000000-0005-0000-0000-0000A0B20000}"/>
    <cellStyle name="Normal 49 20" xfId="45717" xr:uid="{00000000-0005-0000-0000-0000A1B20000}"/>
    <cellStyle name="Normal 49 20 2" xfId="45718" xr:uid="{00000000-0005-0000-0000-0000A2B20000}"/>
    <cellStyle name="Normal 49 21" xfId="45719" xr:uid="{00000000-0005-0000-0000-0000A3B20000}"/>
    <cellStyle name="Normal 49 21 2" xfId="45720" xr:uid="{00000000-0005-0000-0000-0000A4B20000}"/>
    <cellStyle name="Normal 49 22" xfId="45721" xr:uid="{00000000-0005-0000-0000-0000A5B20000}"/>
    <cellStyle name="Normal 49 22 2" xfId="45722" xr:uid="{00000000-0005-0000-0000-0000A6B20000}"/>
    <cellStyle name="Normal 49 23" xfId="45723" xr:uid="{00000000-0005-0000-0000-0000A7B20000}"/>
    <cellStyle name="Normal 49 23 2" xfId="45724" xr:uid="{00000000-0005-0000-0000-0000A8B20000}"/>
    <cellStyle name="Normal 49 24" xfId="45725" xr:uid="{00000000-0005-0000-0000-0000A9B20000}"/>
    <cellStyle name="Normal 49 24 2" xfId="45726" xr:uid="{00000000-0005-0000-0000-0000AAB20000}"/>
    <cellStyle name="Normal 49 25" xfId="45727" xr:uid="{00000000-0005-0000-0000-0000ABB20000}"/>
    <cellStyle name="Normal 49 25 2" xfId="45728" xr:uid="{00000000-0005-0000-0000-0000ACB20000}"/>
    <cellStyle name="Normal 49 26" xfId="45729" xr:uid="{00000000-0005-0000-0000-0000ADB20000}"/>
    <cellStyle name="Normal 49 26 2" xfId="45730" xr:uid="{00000000-0005-0000-0000-0000AEB20000}"/>
    <cellStyle name="Normal 49 27" xfId="45731" xr:uid="{00000000-0005-0000-0000-0000AFB20000}"/>
    <cellStyle name="Normal 49 27 2" xfId="45732" xr:uid="{00000000-0005-0000-0000-0000B0B20000}"/>
    <cellStyle name="Normal 49 28" xfId="45733" xr:uid="{00000000-0005-0000-0000-0000B1B20000}"/>
    <cellStyle name="Normal 49 28 2" xfId="45734" xr:uid="{00000000-0005-0000-0000-0000B2B20000}"/>
    <cellStyle name="Normal 49 29" xfId="45735" xr:uid="{00000000-0005-0000-0000-0000B3B20000}"/>
    <cellStyle name="Normal 49 29 2" xfId="45736" xr:uid="{00000000-0005-0000-0000-0000B4B20000}"/>
    <cellStyle name="Normal 49 3" xfId="45737" xr:uid="{00000000-0005-0000-0000-0000B5B20000}"/>
    <cellStyle name="Normal 49 3 2" xfId="45738" xr:uid="{00000000-0005-0000-0000-0000B6B20000}"/>
    <cellStyle name="Normal 49 30" xfId="45739" xr:uid="{00000000-0005-0000-0000-0000B7B20000}"/>
    <cellStyle name="Normal 49 30 2" xfId="45740" xr:uid="{00000000-0005-0000-0000-0000B8B20000}"/>
    <cellStyle name="Normal 49 31" xfId="45741" xr:uid="{00000000-0005-0000-0000-0000B9B20000}"/>
    <cellStyle name="Normal 49 31 2" xfId="45742" xr:uid="{00000000-0005-0000-0000-0000BAB20000}"/>
    <cellStyle name="Normal 49 32" xfId="45743" xr:uid="{00000000-0005-0000-0000-0000BBB20000}"/>
    <cellStyle name="Normal 49 32 2" xfId="45744" xr:uid="{00000000-0005-0000-0000-0000BCB20000}"/>
    <cellStyle name="Normal 49 33" xfId="45745" xr:uid="{00000000-0005-0000-0000-0000BDB20000}"/>
    <cellStyle name="Normal 49 33 2" xfId="45746" xr:uid="{00000000-0005-0000-0000-0000BEB20000}"/>
    <cellStyle name="Normal 49 34" xfId="45747" xr:uid="{00000000-0005-0000-0000-0000BFB20000}"/>
    <cellStyle name="Normal 49 34 2" xfId="45748" xr:uid="{00000000-0005-0000-0000-0000C0B20000}"/>
    <cellStyle name="Normal 49 35" xfId="45749" xr:uid="{00000000-0005-0000-0000-0000C1B20000}"/>
    <cellStyle name="Normal 49 35 2" xfId="45750" xr:uid="{00000000-0005-0000-0000-0000C2B20000}"/>
    <cellStyle name="Normal 49 36" xfId="45751" xr:uid="{00000000-0005-0000-0000-0000C3B20000}"/>
    <cellStyle name="Normal 49 36 2" xfId="45752" xr:uid="{00000000-0005-0000-0000-0000C4B20000}"/>
    <cellStyle name="Normal 49 37" xfId="45753" xr:uid="{00000000-0005-0000-0000-0000C5B20000}"/>
    <cellStyle name="Normal 49 37 2" xfId="45754" xr:uid="{00000000-0005-0000-0000-0000C6B20000}"/>
    <cellStyle name="Normal 49 38" xfId="45755" xr:uid="{00000000-0005-0000-0000-0000C7B20000}"/>
    <cellStyle name="Normal 49 38 2" xfId="45756" xr:uid="{00000000-0005-0000-0000-0000C8B20000}"/>
    <cellStyle name="Normal 49 39" xfId="45757" xr:uid="{00000000-0005-0000-0000-0000C9B20000}"/>
    <cellStyle name="Normal 49 39 2" xfId="45758" xr:uid="{00000000-0005-0000-0000-0000CAB20000}"/>
    <cellStyle name="Normal 49 4" xfId="45759" xr:uid="{00000000-0005-0000-0000-0000CBB20000}"/>
    <cellStyle name="Normal 49 4 2" xfId="45760" xr:uid="{00000000-0005-0000-0000-0000CCB20000}"/>
    <cellStyle name="Normal 49 40" xfId="45761" xr:uid="{00000000-0005-0000-0000-0000CDB20000}"/>
    <cellStyle name="Normal 49 40 2" xfId="45762" xr:uid="{00000000-0005-0000-0000-0000CEB20000}"/>
    <cellStyle name="Normal 49 41" xfId="45763" xr:uid="{00000000-0005-0000-0000-0000CFB20000}"/>
    <cellStyle name="Normal 49 41 2" xfId="45764" xr:uid="{00000000-0005-0000-0000-0000D0B20000}"/>
    <cellStyle name="Normal 49 42" xfId="45765" xr:uid="{00000000-0005-0000-0000-0000D1B20000}"/>
    <cellStyle name="Normal 49 42 2" xfId="45766" xr:uid="{00000000-0005-0000-0000-0000D2B20000}"/>
    <cellStyle name="Normal 49 43" xfId="45767" xr:uid="{00000000-0005-0000-0000-0000D3B20000}"/>
    <cellStyle name="Normal 49 43 2" xfId="45768" xr:uid="{00000000-0005-0000-0000-0000D4B20000}"/>
    <cellStyle name="Normal 49 44" xfId="45769" xr:uid="{00000000-0005-0000-0000-0000D5B20000}"/>
    <cellStyle name="Normal 49 44 2" xfId="45770" xr:uid="{00000000-0005-0000-0000-0000D6B20000}"/>
    <cellStyle name="Normal 49 45" xfId="45771" xr:uid="{00000000-0005-0000-0000-0000D7B20000}"/>
    <cellStyle name="Normal 49 45 2" xfId="45772" xr:uid="{00000000-0005-0000-0000-0000D8B20000}"/>
    <cellStyle name="Normal 49 46" xfId="45773" xr:uid="{00000000-0005-0000-0000-0000D9B20000}"/>
    <cellStyle name="Normal 49 46 2" xfId="45774" xr:uid="{00000000-0005-0000-0000-0000DAB20000}"/>
    <cellStyle name="Normal 49 47" xfId="45775" xr:uid="{00000000-0005-0000-0000-0000DBB20000}"/>
    <cellStyle name="Normal 49 47 2" xfId="45776" xr:uid="{00000000-0005-0000-0000-0000DCB20000}"/>
    <cellStyle name="Normal 49 48" xfId="45777" xr:uid="{00000000-0005-0000-0000-0000DDB20000}"/>
    <cellStyle name="Normal 49 48 2" xfId="45778" xr:uid="{00000000-0005-0000-0000-0000DEB20000}"/>
    <cellStyle name="Normal 49 49" xfId="45779" xr:uid="{00000000-0005-0000-0000-0000DFB20000}"/>
    <cellStyle name="Normal 49 49 2" xfId="45780" xr:uid="{00000000-0005-0000-0000-0000E0B20000}"/>
    <cellStyle name="Normal 49 5" xfId="45781" xr:uid="{00000000-0005-0000-0000-0000E1B20000}"/>
    <cellStyle name="Normal 49 5 2" xfId="45782" xr:uid="{00000000-0005-0000-0000-0000E2B20000}"/>
    <cellStyle name="Normal 49 50" xfId="45783" xr:uid="{00000000-0005-0000-0000-0000E3B20000}"/>
    <cellStyle name="Normal 49 50 2" xfId="45784" xr:uid="{00000000-0005-0000-0000-0000E4B20000}"/>
    <cellStyle name="Normal 49 51" xfId="45785" xr:uid="{00000000-0005-0000-0000-0000E5B20000}"/>
    <cellStyle name="Normal 49 51 2" xfId="45786" xr:uid="{00000000-0005-0000-0000-0000E6B20000}"/>
    <cellStyle name="Normal 49 52" xfId="45787" xr:uid="{00000000-0005-0000-0000-0000E7B20000}"/>
    <cellStyle name="Normal 49 52 2" xfId="45788" xr:uid="{00000000-0005-0000-0000-0000E8B20000}"/>
    <cellStyle name="Normal 49 53" xfId="45789" xr:uid="{00000000-0005-0000-0000-0000E9B20000}"/>
    <cellStyle name="Normal 49 53 2" xfId="45790" xr:uid="{00000000-0005-0000-0000-0000EAB20000}"/>
    <cellStyle name="Normal 49 54" xfId="45791" xr:uid="{00000000-0005-0000-0000-0000EBB20000}"/>
    <cellStyle name="Normal 49 54 2" xfId="45792" xr:uid="{00000000-0005-0000-0000-0000ECB20000}"/>
    <cellStyle name="Normal 49 55" xfId="45793" xr:uid="{00000000-0005-0000-0000-0000EDB20000}"/>
    <cellStyle name="Normal 49 55 2" xfId="45794" xr:uid="{00000000-0005-0000-0000-0000EEB20000}"/>
    <cellStyle name="Normal 49 56" xfId="45795" xr:uid="{00000000-0005-0000-0000-0000EFB20000}"/>
    <cellStyle name="Normal 49 56 2" xfId="45796" xr:uid="{00000000-0005-0000-0000-0000F0B20000}"/>
    <cellStyle name="Normal 49 57" xfId="45797" xr:uid="{00000000-0005-0000-0000-0000F1B20000}"/>
    <cellStyle name="Normal 49 57 2" xfId="45798" xr:uid="{00000000-0005-0000-0000-0000F2B20000}"/>
    <cellStyle name="Normal 49 58" xfId="45799" xr:uid="{00000000-0005-0000-0000-0000F3B20000}"/>
    <cellStyle name="Normal 49 58 2" xfId="45800" xr:uid="{00000000-0005-0000-0000-0000F4B20000}"/>
    <cellStyle name="Normal 49 59" xfId="45801" xr:uid="{00000000-0005-0000-0000-0000F5B20000}"/>
    <cellStyle name="Normal 49 6" xfId="45802" xr:uid="{00000000-0005-0000-0000-0000F6B20000}"/>
    <cellStyle name="Normal 49 6 2" xfId="45803" xr:uid="{00000000-0005-0000-0000-0000F7B20000}"/>
    <cellStyle name="Normal 49 7" xfId="45804" xr:uid="{00000000-0005-0000-0000-0000F8B20000}"/>
    <cellStyle name="Normal 49 7 2" xfId="45805" xr:uid="{00000000-0005-0000-0000-0000F9B20000}"/>
    <cellStyle name="Normal 49 8" xfId="45806" xr:uid="{00000000-0005-0000-0000-0000FAB20000}"/>
    <cellStyle name="Normal 49 8 2" xfId="45807" xr:uid="{00000000-0005-0000-0000-0000FBB20000}"/>
    <cellStyle name="Normal 49 9" xfId="45808" xr:uid="{00000000-0005-0000-0000-0000FCB20000}"/>
    <cellStyle name="Normal 49 9 2" xfId="45809" xr:uid="{00000000-0005-0000-0000-0000FDB20000}"/>
    <cellStyle name="Normal 5" xfId="45810" xr:uid="{00000000-0005-0000-0000-0000FEB20000}"/>
    <cellStyle name="Normal 5 2" xfId="45811" xr:uid="{00000000-0005-0000-0000-0000FFB20000}"/>
    <cellStyle name="Normal 5 2 2" xfId="45812" xr:uid="{00000000-0005-0000-0000-000000B30000}"/>
    <cellStyle name="Normal 5 2 2 2" xfId="45813" xr:uid="{00000000-0005-0000-0000-000001B30000}"/>
    <cellStyle name="Normal 5 2 2 3" xfId="45814" xr:uid="{00000000-0005-0000-0000-000002B30000}"/>
    <cellStyle name="Normal 5 2 3" xfId="45815" xr:uid="{00000000-0005-0000-0000-000003B30000}"/>
    <cellStyle name="Normal 5 2 4" xfId="45816" xr:uid="{00000000-0005-0000-0000-000004B30000}"/>
    <cellStyle name="Normal 5 3" xfId="45817" xr:uid="{00000000-0005-0000-0000-000005B30000}"/>
    <cellStyle name="Normal 5 3 2" xfId="45818" xr:uid="{00000000-0005-0000-0000-000006B30000}"/>
    <cellStyle name="Normal 5 3 3" xfId="45819" xr:uid="{00000000-0005-0000-0000-000007B30000}"/>
    <cellStyle name="Normal 5 4" xfId="45820" xr:uid="{00000000-0005-0000-0000-000008B30000}"/>
    <cellStyle name="Normal 5 4 2" xfId="45821" xr:uid="{00000000-0005-0000-0000-000009B30000}"/>
    <cellStyle name="Normal 5 4 3" xfId="45822" xr:uid="{00000000-0005-0000-0000-00000AB30000}"/>
    <cellStyle name="Normal 5 5" xfId="45823" xr:uid="{00000000-0005-0000-0000-00000BB30000}"/>
    <cellStyle name="Normal 5 5 2" xfId="45824" xr:uid="{00000000-0005-0000-0000-00000CB30000}"/>
    <cellStyle name="Normal 5 6" xfId="45825" xr:uid="{00000000-0005-0000-0000-00000DB30000}"/>
    <cellStyle name="Normal 5 6 2" xfId="45826" xr:uid="{00000000-0005-0000-0000-00000EB30000}"/>
    <cellStyle name="Normal 5 6 3" xfId="45827" xr:uid="{00000000-0005-0000-0000-00000FB30000}"/>
    <cellStyle name="Normal 5 7" xfId="45828" xr:uid="{00000000-0005-0000-0000-000010B30000}"/>
    <cellStyle name="Normal 5 7 2" xfId="45829" xr:uid="{00000000-0005-0000-0000-000011B30000}"/>
    <cellStyle name="Normal 5 7 3" xfId="45830" xr:uid="{00000000-0005-0000-0000-000012B30000}"/>
    <cellStyle name="Normal 5 8" xfId="45831" xr:uid="{00000000-0005-0000-0000-000013B30000}"/>
    <cellStyle name="Normal 5 9" xfId="45832" xr:uid="{00000000-0005-0000-0000-000014B30000}"/>
    <cellStyle name="Normal 50" xfId="45833" xr:uid="{00000000-0005-0000-0000-000015B30000}"/>
    <cellStyle name="Normal 50 10" xfId="45834" xr:uid="{00000000-0005-0000-0000-000016B30000}"/>
    <cellStyle name="Normal 50 10 2" xfId="45835" xr:uid="{00000000-0005-0000-0000-000017B30000}"/>
    <cellStyle name="Normal 50 11" xfId="45836" xr:uid="{00000000-0005-0000-0000-000018B30000}"/>
    <cellStyle name="Normal 50 11 2" xfId="45837" xr:uid="{00000000-0005-0000-0000-000019B30000}"/>
    <cellStyle name="Normal 50 12" xfId="45838" xr:uid="{00000000-0005-0000-0000-00001AB30000}"/>
    <cellStyle name="Normal 50 12 2" xfId="45839" xr:uid="{00000000-0005-0000-0000-00001BB30000}"/>
    <cellStyle name="Normal 50 13" xfId="45840" xr:uid="{00000000-0005-0000-0000-00001CB30000}"/>
    <cellStyle name="Normal 50 13 2" xfId="45841" xr:uid="{00000000-0005-0000-0000-00001DB30000}"/>
    <cellStyle name="Normal 50 14" xfId="45842" xr:uid="{00000000-0005-0000-0000-00001EB30000}"/>
    <cellStyle name="Normal 50 14 2" xfId="45843" xr:uid="{00000000-0005-0000-0000-00001FB30000}"/>
    <cellStyle name="Normal 50 15" xfId="45844" xr:uid="{00000000-0005-0000-0000-000020B30000}"/>
    <cellStyle name="Normal 50 15 2" xfId="45845" xr:uid="{00000000-0005-0000-0000-000021B30000}"/>
    <cellStyle name="Normal 50 16" xfId="45846" xr:uid="{00000000-0005-0000-0000-000022B30000}"/>
    <cellStyle name="Normal 50 16 2" xfId="45847" xr:uid="{00000000-0005-0000-0000-000023B30000}"/>
    <cellStyle name="Normal 50 17" xfId="45848" xr:uid="{00000000-0005-0000-0000-000024B30000}"/>
    <cellStyle name="Normal 50 17 2" xfId="45849" xr:uid="{00000000-0005-0000-0000-000025B30000}"/>
    <cellStyle name="Normal 50 18" xfId="45850" xr:uid="{00000000-0005-0000-0000-000026B30000}"/>
    <cellStyle name="Normal 50 18 2" xfId="45851" xr:uid="{00000000-0005-0000-0000-000027B30000}"/>
    <cellStyle name="Normal 50 19" xfId="45852" xr:uid="{00000000-0005-0000-0000-000028B30000}"/>
    <cellStyle name="Normal 50 19 2" xfId="45853" xr:uid="{00000000-0005-0000-0000-000029B30000}"/>
    <cellStyle name="Normal 50 2" xfId="45854" xr:uid="{00000000-0005-0000-0000-00002AB30000}"/>
    <cellStyle name="Normal 50 2 2" xfId="45855" xr:uid="{00000000-0005-0000-0000-00002BB30000}"/>
    <cellStyle name="Normal 50 20" xfId="45856" xr:uid="{00000000-0005-0000-0000-00002CB30000}"/>
    <cellStyle name="Normal 50 20 2" xfId="45857" xr:uid="{00000000-0005-0000-0000-00002DB30000}"/>
    <cellStyle name="Normal 50 21" xfId="45858" xr:uid="{00000000-0005-0000-0000-00002EB30000}"/>
    <cellStyle name="Normal 50 21 2" xfId="45859" xr:uid="{00000000-0005-0000-0000-00002FB30000}"/>
    <cellStyle name="Normal 50 22" xfId="45860" xr:uid="{00000000-0005-0000-0000-000030B30000}"/>
    <cellStyle name="Normal 50 22 2" xfId="45861" xr:uid="{00000000-0005-0000-0000-000031B30000}"/>
    <cellStyle name="Normal 50 23" xfId="45862" xr:uid="{00000000-0005-0000-0000-000032B30000}"/>
    <cellStyle name="Normal 50 23 2" xfId="45863" xr:uid="{00000000-0005-0000-0000-000033B30000}"/>
    <cellStyle name="Normal 50 24" xfId="45864" xr:uid="{00000000-0005-0000-0000-000034B30000}"/>
    <cellStyle name="Normal 50 24 2" xfId="45865" xr:uid="{00000000-0005-0000-0000-000035B30000}"/>
    <cellStyle name="Normal 50 25" xfId="45866" xr:uid="{00000000-0005-0000-0000-000036B30000}"/>
    <cellStyle name="Normal 50 25 2" xfId="45867" xr:uid="{00000000-0005-0000-0000-000037B30000}"/>
    <cellStyle name="Normal 50 26" xfId="45868" xr:uid="{00000000-0005-0000-0000-000038B30000}"/>
    <cellStyle name="Normal 50 26 2" xfId="45869" xr:uid="{00000000-0005-0000-0000-000039B30000}"/>
    <cellStyle name="Normal 50 27" xfId="45870" xr:uid="{00000000-0005-0000-0000-00003AB30000}"/>
    <cellStyle name="Normal 50 27 2" xfId="45871" xr:uid="{00000000-0005-0000-0000-00003BB30000}"/>
    <cellStyle name="Normal 50 28" xfId="45872" xr:uid="{00000000-0005-0000-0000-00003CB30000}"/>
    <cellStyle name="Normal 50 28 2" xfId="45873" xr:uid="{00000000-0005-0000-0000-00003DB30000}"/>
    <cellStyle name="Normal 50 29" xfId="45874" xr:uid="{00000000-0005-0000-0000-00003EB30000}"/>
    <cellStyle name="Normal 50 29 2" xfId="45875" xr:uid="{00000000-0005-0000-0000-00003FB30000}"/>
    <cellStyle name="Normal 50 3" xfId="45876" xr:uid="{00000000-0005-0000-0000-000040B30000}"/>
    <cellStyle name="Normal 50 3 2" xfId="45877" xr:uid="{00000000-0005-0000-0000-000041B30000}"/>
    <cellStyle name="Normal 50 30" xfId="45878" xr:uid="{00000000-0005-0000-0000-000042B30000}"/>
    <cellStyle name="Normal 50 30 2" xfId="45879" xr:uid="{00000000-0005-0000-0000-000043B30000}"/>
    <cellStyle name="Normal 50 31" xfId="45880" xr:uid="{00000000-0005-0000-0000-000044B30000}"/>
    <cellStyle name="Normal 50 31 2" xfId="45881" xr:uid="{00000000-0005-0000-0000-000045B30000}"/>
    <cellStyle name="Normal 50 32" xfId="45882" xr:uid="{00000000-0005-0000-0000-000046B30000}"/>
    <cellStyle name="Normal 50 32 2" xfId="45883" xr:uid="{00000000-0005-0000-0000-000047B30000}"/>
    <cellStyle name="Normal 50 33" xfId="45884" xr:uid="{00000000-0005-0000-0000-000048B30000}"/>
    <cellStyle name="Normal 50 33 2" xfId="45885" xr:uid="{00000000-0005-0000-0000-000049B30000}"/>
    <cellStyle name="Normal 50 34" xfId="45886" xr:uid="{00000000-0005-0000-0000-00004AB30000}"/>
    <cellStyle name="Normal 50 34 2" xfId="45887" xr:uid="{00000000-0005-0000-0000-00004BB30000}"/>
    <cellStyle name="Normal 50 35" xfId="45888" xr:uid="{00000000-0005-0000-0000-00004CB30000}"/>
    <cellStyle name="Normal 50 35 2" xfId="45889" xr:uid="{00000000-0005-0000-0000-00004DB30000}"/>
    <cellStyle name="Normal 50 36" xfId="45890" xr:uid="{00000000-0005-0000-0000-00004EB30000}"/>
    <cellStyle name="Normal 50 36 2" xfId="45891" xr:uid="{00000000-0005-0000-0000-00004FB30000}"/>
    <cellStyle name="Normal 50 37" xfId="45892" xr:uid="{00000000-0005-0000-0000-000050B30000}"/>
    <cellStyle name="Normal 50 37 2" xfId="45893" xr:uid="{00000000-0005-0000-0000-000051B30000}"/>
    <cellStyle name="Normal 50 38" xfId="45894" xr:uid="{00000000-0005-0000-0000-000052B30000}"/>
    <cellStyle name="Normal 50 38 2" xfId="45895" xr:uid="{00000000-0005-0000-0000-000053B30000}"/>
    <cellStyle name="Normal 50 39" xfId="45896" xr:uid="{00000000-0005-0000-0000-000054B30000}"/>
    <cellStyle name="Normal 50 39 2" xfId="45897" xr:uid="{00000000-0005-0000-0000-000055B30000}"/>
    <cellStyle name="Normal 50 4" xfId="45898" xr:uid="{00000000-0005-0000-0000-000056B30000}"/>
    <cellStyle name="Normal 50 4 2" xfId="45899" xr:uid="{00000000-0005-0000-0000-000057B30000}"/>
    <cellStyle name="Normal 50 40" xfId="45900" xr:uid="{00000000-0005-0000-0000-000058B30000}"/>
    <cellStyle name="Normal 50 40 2" xfId="45901" xr:uid="{00000000-0005-0000-0000-000059B30000}"/>
    <cellStyle name="Normal 50 41" xfId="45902" xr:uid="{00000000-0005-0000-0000-00005AB30000}"/>
    <cellStyle name="Normal 50 41 2" xfId="45903" xr:uid="{00000000-0005-0000-0000-00005BB30000}"/>
    <cellStyle name="Normal 50 42" xfId="45904" xr:uid="{00000000-0005-0000-0000-00005CB30000}"/>
    <cellStyle name="Normal 50 42 2" xfId="45905" xr:uid="{00000000-0005-0000-0000-00005DB30000}"/>
    <cellStyle name="Normal 50 43" xfId="45906" xr:uid="{00000000-0005-0000-0000-00005EB30000}"/>
    <cellStyle name="Normal 50 43 2" xfId="45907" xr:uid="{00000000-0005-0000-0000-00005FB30000}"/>
    <cellStyle name="Normal 50 44" xfId="45908" xr:uid="{00000000-0005-0000-0000-000060B30000}"/>
    <cellStyle name="Normal 50 44 2" xfId="45909" xr:uid="{00000000-0005-0000-0000-000061B30000}"/>
    <cellStyle name="Normal 50 45" xfId="45910" xr:uid="{00000000-0005-0000-0000-000062B30000}"/>
    <cellStyle name="Normal 50 45 2" xfId="45911" xr:uid="{00000000-0005-0000-0000-000063B30000}"/>
    <cellStyle name="Normal 50 46" xfId="45912" xr:uid="{00000000-0005-0000-0000-000064B30000}"/>
    <cellStyle name="Normal 50 46 2" xfId="45913" xr:uid="{00000000-0005-0000-0000-000065B30000}"/>
    <cellStyle name="Normal 50 47" xfId="45914" xr:uid="{00000000-0005-0000-0000-000066B30000}"/>
    <cellStyle name="Normal 50 47 2" xfId="45915" xr:uid="{00000000-0005-0000-0000-000067B30000}"/>
    <cellStyle name="Normal 50 48" xfId="45916" xr:uid="{00000000-0005-0000-0000-000068B30000}"/>
    <cellStyle name="Normal 50 48 2" xfId="45917" xr:uid="{00000000-0005-0000-0000-000069B30000}"/>
    <cellStyle name="Normal 50 49" xfId="45918" xr:uid="{00000000-0005-0000-0000-00006AB30000}"/>
    <cellStyle name="Normal 50 49 2" xfId="45919" xr:uid="{00000000-0005-0000-0000-00006BB30000}"/>
    <cellStyle name="Normal 50 5" xfId="45920" xr:uid="{00000000-0005-0000-0000-00006CB30000}"/>
    <cellStyle name="Normal 50 5 2" xfId="45921" xr:uid="{00000000-0005-0000-0000-00006DB30000}"/>
    <cellStyle name="Normal 50 50" xfId="45922" xr:uid="{00000000-0005-0000-0000-00006EB30000}"/>
    <cellStyle name="Normal 50 50 2" xfId="45923" xr:uid="{00000000-0005-0000-0000-00006FB30000}"/>
    <cellStyle name="Normal 50 51" xfId="45924" xr:uid="{00000000-0005-0000-0000-000070B30000}"/>
    <cellStyle name="Normal 50 51 2" xfId="45925" xr:uid="{00000000-0005-0000-0000-000071B30000}"/>
    <cellStyle name="Normal 50 52" xfId="45926" xr:uid="{00000000-0005-0000-0000-000072B30000}"/>
    <cellStyle name="Normal 50 52 2" xfId="45927" xr:uid="{00000000-0005-0000-0000-000073B30000}"/>
    <cellStyle name="Normal 50 53" xfId="45928" xr:uid="{00000000-0005-0000-0000-000074B30000}"/>
    <cellStyle name="Normal 50 53 2" xfId="45929" xr:uid="{00000000-0005-0000-0000-000075B30000}"/>
    <cellStyle name="Normal 50 54" xfId="45930" xr:uid="{00000000-0005-0000-0000-000076B30000}"/>
    <cellStyle name="Normal 50 54 2" xfId="45931" xr:uid="{00000000-0005-0000-0000-000077B30000}"/>
    <cellStyle name="Normal 50 55" xfId="45932" xr:uid="{00000000-0005-0000-0000-000078B30000}"/>
    <cellStyle name="Normal 50 55 2" xfId="45933" xr:uid="{00000000-0005-0000-0000-000079B30000}"/>
    <cellStyle name="Normal 50 56" xfId="45934" xr:uid="{00000000-0005-0000-0000-00007AB30000}"/>
    <cellStyle name="Normal 50 56 2" xfId="45935" xr:uid="{00000000-0005-0000-0000-00007BB30000}"/>
    <cellStyle name="Normal 50 57" xfId="45936" xr:uid="{00000000-0005-0000-0000-00007CB30000}"/>
    <cellStyle name="Normal 50 57 2" xfId="45937" xr:uid="{00000000-0005-0000-0000-00007DB30000}"/>
    <cellStyle name="Normal 50 58" xfId="45938" xr:uid="{00000000-0005-0000-0000-00007EB30000}"/>
    <cellStyle name="Normal 50 58 2" xfId="45939" xr:uid="{00000000-0005-0000-0000-00007FB30000}"/>
    <cellStyle name="Normal 50 59" xfId="45940" xr:uid="{00000000-0005-0000-0000-000080B30000}"/>
    <cellStyle name="Normal 50 6" xfId="45941" xr:uid="{00000000-0005-0000-0000-000081B30000}"/>
    <cellStyle name="Normal 50 6 2" xfId="45942" xr:uid="{00000000-0005-0000-0000-000082B30000}"/>
    <cellStyle name="Normal 50 7" xfId="45943" xr:uid="{00000000-0005-0000-0000-000083B30000}"/>
    <cellStyle name="Normal 50 7 2" xfId="45944" xr:uid="{00000000-0005-0000-0000-000084B30000}"/>
    <cellStyle name="Normal 50 8" xfId="45945" xr:uid="{00000000-0005-0000-0000-000085B30000}"/>
    <cellStyle name="Normal 50 8 2" xfId="45946" xr:uid="{00000000-0005-0000-0000-000086B30000}"/>
    <cellStyle name="Normal 50 9" xfId="45947" xr:uid="{00000000-0005-0000-0000-000087B30000}"/>
    <cellStyle name="Normal 50 9 2" xfId="45948" xr:uid="{00000000-0005-0000-0000-000088B30000}"/>
    <cellStyle name="Normal 51" xfId="45949" xr:uid="{00000000-0005-0000-0000-000089B30000}"/>
    <cellStyle name="Normal 51 10" xfId="45950" xr:uid="{00000000-0005-0000-0000-00008AB30000}"/>
    <cellStyle name="Normal 51 10 2" xfId="45951" xr:uid="{00000000-0005-0000-0000-00008BB30000}"/>
    <cellStyle name="Normal 51 11" xfId="45952" xr:uid="{00000000-0005-0000-0000-00008CB30000}"/>
    <cellStyle name="Normal 51 11 2" xfId="45953" xr:uid="{00000000-0005-0000-0000-00008DB30000}"/>
    <cellStyle name="Normal 51 12" xfId="45954" xr:uid="{00000000-0005-0000-0000-00008EB30000}"/>
    <cellStyle name="Normal 51 12 2" xfId="45955" xr:uid="{00000000-0005-0000-0000-00008FB30000}"/>
    <cellStyle name="Normal 51 13" xfId="45956" xr:uid="{00000000-0005-0000-0000-000090B30000}"/>
    <cellStyle name="Normal 51 13 2" xfId="45957" xr:uid="{00000000-0005-0000-0000-000091B30000}"/>
    <cellStyle name="Normal 51 14" xfId="45958" xr:uid="{00000000-0005-0000-0000-000092B30000}"/>
    <cellStyle name="Normal 51 14 2" xfId="45959" xr:uid="{00000000-0005-0000-0000-000093B30000}"/>
    <cellStyle name="Normal 51 15" xfId="45960" xr:uid="{00000000-0005-0000-0000-000094B30000}"/>
    <cellStyle name="Normal 51 15 2" xfId="45961" xr:uid="{00000000-0005-0000-0000-000095B30000}"/>
    <cellStyle name="Normal 51 16" xfId="45962" xr:uid="{00000000-0005-0000-0000-000096B30000}"/>
    <cellStyle name="Normal 51 16 2" xfId="45963" xr:uid="{00000000-0005-0000-0000-000097B30000}"/>
    <cellStyle name="Normal 51 17" xfId="45964" xr:uid="{00000000-0005-0000-0000-000098B30000}"/>
    <cellStyle name="Normal 51 17 2" xfId="45965" xr:uid="{00000000-0005-0000-0000-000099B30000}"/>
    <cellStyle name="Normal 51 18" xfId="45966" xr:uid="{00000000-0005-0000-0000-00009AB30000}"/>
    <cellStyle name="Normal 51 18 2" xfId="45967" xr:uid="{00000000-0005-0000-0000-00009BB30000}"/>
    <cellStyle name="Normal 51 19" xfId="45968" xr:uid="{00000000-0005-0000-0000-00009CB30000}"/>
    <cellStyle name="Normal 51 19 2" xfId="45969" xr:uid="{00000000-0005-0000-0000-00009DB30000}"/>
    <cellStyle name="Normal 51 2" xfId="45970" xr:uid="{00000000-0005-0000-0000-00009EB30000}"/>
    <cellStyle name="Normal 51 2 2" xfId="45971" xr:uid="{00000000-0005-0000-0000-00009FB30000}"/>
    <cellStyle name="Normal 51 20" xfId="45972" xr:uid="{00000000-0005-0000-0000-0000A0B30000}"/>
    <cellStyle name="Normal 51 20 2" xfId="45973" xr:uid="{00000000-0005-0000-0000-0000A1B30000}"/>
    <cellStyle name="Normal 51 21" xfId="45974" xr:uid="{00000000-0005-0000-0000-0000A2B30000}"/>
    <cellStyle name="Normal 51 21 2" xfId="45975" xr:uid="{00000000-0005-0000-0000-0000A3B30000}"/>
    <cellStyle name="Normal 51 22" xfId="45976" xr:uid="{00000000-0005-0000-0000-0000A4B30000}"/>
    <cellStyle name="Normal 51 22 2" xfId="45977" xr:uid="{00000000-0005-0000-0000-0000A5B30000}"/>
    <cellStyle name="Normal 51 23" xfId="45978" xr:uid="{00000000-0005-0000-0000-0000A6B30000}"/>
    <cellStyle name="Normal 51 23 2" xfId="45979" xr:uid="{00000000-0005-0000-0000-0000A7B30000}"/>
    <cellStyle name="Normal 51 24" xfId="45980" xr:uid="{00000000-0005-0000-0000-0000A8B30000}"/>
    <cellStyle name="Normal 51 24 2" xfId="45981" xr:uid="{00000000-0005-0000-0000-0000A9B30000}"/>
    <cellStyle name="Normal 51 25" xfId="45982" xr:uid="{00000000-0005-0000-0000-0000AAB30000}"/>
    <cellStyle name="Normal 51 25 2" xfId="45983" xr:uid="{00000000-0005-0000-0000-0000ABB30000}"/>
    <cellStyle name="Normal 51 26" xfId="45984" xr:uid="{00000000-0005-0000-0000-0000ACB30000}"/>
    <cellStyle name="Normal 51 26 2" xfId="45985" xr:uid="{00000000-0005-0000-0000-0000ADB30000}"/>
    <cellStyle name="Normal 51 27" xfId="45986" xr:uid="{00000000-0005-0000-0000-0000AEB30000}"/>
    <cellStyle name="Normal 51 27 2" xfId="45987" xr:uid="{00000000-0005-0000-0000-0000AFB30000}"/>
    <cellStyle name="Normal 51 28" xfId="45988" xr:uid="{00000000-0005-0000-0000-0000B0B30000}"/>
    <cellStyle name="Normal 51 28 2" xfId="45989" xr:uid="{00000000-0005-0000-0000-0000B1B30000}"/>
    <cellStyle name="Normal 51 29" xfId="45990" xr:uid="{00000000-0005-0000-0000-0000B2B30000}"/>
    <cellStyle name="Normal 51 29 2" xfId="45991" xr:uid="{00000000-0005-0000-0000-0000B3B30000}"/>
    <cellStyle name="Normal 51 3" xfId="45992" xr:uid="{00000000-0005-0000-0000-0000B4B30000}"/>
    <cellStyle name="Normal 51 3 2" xfId="45993" xr:uid="{00000000-0005-0000-0000-0000B5B30000}"/>
    <cellStyle name="Normal 51 30" xfId="45994" xr:uid="{00000000-0005-0000-0000-0000B6B30000}"/>
    <cellStyle name="Normal 51 30 2" xfId="45995" xr:uid="{00000000-0005-0000-0000-0000B7B30000}"/>
    <cellStyle name="Normal 51 31" xfId="45996" xr:uid="{00000000-0005-0000-0000-0000B8B30000}"/>
    <cellStyle name="Normal 51 31 2" xfId="45997" xr:uid="{00000000-0005-0000-0000-0000B9B30000}"/>
    <cellStyle name="Normal 51 32" xfId="45998" xr:uid="{00000000-0005-0000-0000-0000BAB30000}"/>
    <cellStyle name="Normal 51 32 2" xfId="45999" xr:uid="{00000000-0005-0000-0000-0000BBB30000}"/>
    <cellStyle name="Normal 51 33" xfId="46000" xr:uid="{00000000-0005-0000-0000-0000BCB30000}"/>
    <cellStyle name="Normal 51 33 2" xfId="46001" xr:uid="{00000000-0005-0000-0000-0000BDB30000}"/>
    <cellStyle name="Normal 51 34" xfId="46002" xr:uid="{00000000-0005-0000-0000-0000BEB30000}"/>
    <cellStyle name="Normal 51 34 2" xfId="46003" xr:uid="{00000000-0005-0000-0000-0000BFB30000}"/>
    <cellStyle name="Normal 51 35" xfId="46004" xr:uid="{00000000-0005-0000-0000-0000C0B30000}"/>
    <cellStyle name="Normal 51 35 2" xfId="46005" xr:uid="{00000000-0005-0000-0000-0000C1B30000}"/>
    <cellStyle name="Normal 51 36" xfId="46006" xr:uid="{00000000-0005-0000-0000-0000C2B30000}"/>
    <cellStyle name="Normal 51 36 2" xfId="46007" xr:uid="{00000000-0005-0000-0000-0000C3B30000}"/>
    <cellStyle name="Normal 51 37" xfId="46008" xr:uid="{00000000-0005-0000-0000-0000C4B30000}"/>
    <cellStyle name="Normal 51 37 2" xfId="46009" xr:uid="{00000000-0005-0000-0000-0000C5B30000}"/>
    <cellStyle name="Normal 51 38" xfId="46010" xr:uid="{00000000-0005-0000-0000-0000C6B30000}"/>
    <cellStyle name="Normal 51 38 2" xfId="46011" xr:uid="{00000000-0005-0000-0000-0000C7B30000}"/>
    <cellStyle name="Normal 51 39" xfId="46012" xr:uid="{00000000-0005-0000-0000-0000C8B30000}"/>
    <cellStyle name="Normal 51 39 2" xfId="46013" xr:uid="{00000000-0005-0000-0000-0000C9B30000}"/>
    <cellStyle name="Normal 51 4" xfId="46014" xr:uid="{00000000-0005-0000-0000-0000CAB30000}"/>
    <cellStyle name="Normal 51 4 2" xfId="46015" xr:uid="{00000000-0005-0000-0000-0000CBB30000}"/>
    <cellStyle name="Normal 51 40" xfId="46016" xr:uid="{00000000-0005-0000-0000-0000CCB30000}"/>
    <cellStyle name="Normal 51 40 2" xfId="46017" xr:uid="{00000000-0005-0000-0000-0000CDB30000}"/>
    <cellStyle name="Normal 51 41" xfId="46018" xr:uid="{00000000-0005-0000-0000-0000CEB30000}"/>
    <cellStyle name="Normal 51 41 2" xfId="46019" xr:uid="{00000000-0005-0000-0000-0000CFB30000}"/>
    <cellStyle name="Normal 51 42" xfId="46020" xr:uid="{00000000-0005-0000-0000-0000D0B30000}"/>
    <cellStyle name="Normal 51 42 2" xfId="46021" xr:uid="{00000000-0005-0000-0000-0000D1B30000}"/>
    <cellStyle name="Normal 51 43" xfId="46022" xr:uid="{00000000-0005-0000-0000-0000D2B30000}"/>
    <cellStyle name="Normal 51 43 2" xfId="46023" xr:uid="{00000000-0005-0000-0000-0000D3B30000}"/>
    <cellStyle name="Normal 51 44" xfId="46024" xr:uid="{00000000-0005-0000-0000-0000D4B30000}"/>
    <cellStyle name="Normal 51 44 2" xfId="46025" xr:uid="{00000000-0005-0000-0000-0000D5B30000}"/>
    <cellStyle name="Normal 51 45" xfId="46026" xr:uid="{00000000-0005-0000-0000-0000D6B30000}"/>
    <cellStyle name="Normal 51 45 2" xfId="46027" xr:uid="{00000000-0005-0000-0000-0000D7B30000}"/>
    <cellStyle name="Normal 51 46" xfId="46028" xr:uid="{00000000-0005-0000-0000-0000D8B30000}"/>
    <cellStyle name="Normal 51 46 2" xfId="46029" xr:uid="{00000000-0005-0000-0000-0000D9B30000}"/>
    <cellStyle name="Normal 51 47" xfId="46030" xr:uid="{00000000-0005-0000-0000-0000DAB30000}"/>
    <cellStyle name="Normal 51 47 2" xfId="46031" xr:uid="{00000000-0005-0000-0000-0000DBB30000}"/>
    <cellStyle name="Normal 51 48" xfId="46032" xr:uid="{00000000-0005-0000-0000-0000DCB30000}"/>
    <cellStyle name="Normal 51 48 2" xfId="46033" xr:uid="{00000000-0005-0000-0000-0000DDB30000}"/>
    <cellStyle name="Normal 51 49" xfId="46034" xr:uid="{00000000-0005-0000-0000-0000DEB30000}"/>
    <cellStyle name="Normal 51 49 2" xfId="46035" xr:uid="{00000000-0005-0000-0000-0000DFB30000}"/>
    <cellStyle name="Normal 51 5" xfId="46036" xr:uid="{00000000-0005-0000-0000-0000E0B30000}"/>
    <cellStyle name="Normal 51 5 2" xfId="46037" xr:uid="{00000000-0005-0000-0000-0000E1B30000}"/>
    <cellStyle name="Normal 51 50" xfId="46038" xr:uid="{00000000-0005-0000-0000-0000E2B30000}"/>
    <cellStyle name="Normal 51 50 2" xfId="46039" xr:uid="{00000000-0005-0000-0000-0000E3B30000}"/>
    <cellStyle name="Normal 51 51" xfId="46040" xr:uid="{00000000-0005-0000-0000-0000E4B30000}"/>
    <cellStyle name="Normal 51 51 2" xfId="46041" xr:uid="{00000000-0005-0000-0000-0000E5B30000}"/>
    <cellStyle name="Normal 51 52" xfId="46042" xr:uid="{00000000-0005-0000-0000-0000E6B30000}"/>
    <cellStyle name="Normal 51 52 2" xfId="46043" xr:uid="{00000000-0005-0000-0000-0000E7B30000}"/>
    <cellStyle name="Normal 51 53" xfId="46044" xr:uid="{00000000-0005-0000-0000-0000E8B30000}"/>
    <cellStyle name="Normal 51 53 2" xfId="46045" xr:uid="{00000000-0005-0000-0000-0000E9B30000}"/>
    <cellStyle name="Normal 51 54" xfId="46046" xr:uid="{00000000-0005-0000-0000-0000EAB30000}"/>
    <cellStyle name="Normal 51 54 2" xfId="46047" xr:uid="{00000000-0005-0000-0000-0000EBB30000}"/>
    <cellStyle name="Normal 51 55" xfId="46048" xr:uid="{00000000-0005-0000-0000-0000ECB30000}"/>
    <cellStyle name="Normal 51 55 2" xfId="46049" xr:uid="{00000000-0005-0000-0000-0000EDB30000}"/>
    <cellStyle name="Normal 51 56" xfId="46050" xr:uid="{00000000-0005-0000-0000-0000EEB30000}"/>
    <cellStyle name="Normal 51 56 2" xfId="46051" xr:uid="{00000000-0005-0000-0000-0000EFB30000}"/>
    <cellStyle name="Normal 51 57" xfId="46052" xr:uid="{00000000-0005-0000-0000-0000F0B30000}"/>
    <cellStyle name="Normal 51 57 2" xfId="46053" xr:uid="{00000000-0005-0000-0000-0000F1B30000}"/>
    <cellStyle name="Normal 51 58" xfId="46054" xr:uid="{00000000-0005-0000-0000-0000F2B30000}"/>
    <cellStyle name="Normal 51 58 2" xfId="46055" xr:uid="{00000000-0005-0000-0000-0000F3B30000}"/>
    <cellStyle name="Normal 51 59" xfId="46056" xr:uid="{00000000-0005-0000-0000-0000F4B30000}"/>
    <cellStyle name="Normal 51 6" xfId="46057" xr:uid="{00000000-0005-0000-0000-0000F5B30000}"/>
    <cellStyle name="Normal 51 6 2" xfId="46058" xr:uid="{00000000-0005-0000-0000-0000F6B30000}"/>
    <cellStyle name="Normal 51 7" xfId="46059" xr:uid="{00000000-0005-0000-0000-0000F7B30000}"/>
    <cellStyle name="Normal 51 7 2" xfId="46060" xr:uid="{00000000-0005-0000-0000-0000F8B30000}"/>
    <cellStyle name="Normal 51 8" xfId="46061" xr:uid="{00000000-0005-0000-0000-0000F9B30000}"/>
    <cellStyle name="Normal 51 8 2" xfId="46062" xr:uid="{00000000-0005-0000-0000-0000FAB30000}"/>
    <cellStyle name="Normal 51 9" xfId="46063" xr:uid="{00000000-0005-0000-0000-0000FBB30000}"/>
    <cellStyle name="Normal 51 9 2" xfId="46064" xr:uid="{00000000-0005-0000-0000-0000FCB30000}"/>
    <cellStyle name="Normal 52" xfId="46065" xr:uid="{00000000-0005-0000-0000-0000FDB30000}"/>
    <cellStyle name="Normal 52 10" xfId="46066" xr:uid="{00000000-0005-0000-0000-0000FEB30000}"/>
    <cellStyle name="Normal 52 10 2" xfId="46067" xr:uid="{00000000-0005-0000-0000-0000FFB30000}"/>
    <cellStyle name="Normal 52 11" xfId="46068" xr:uid="{00000000-0005-0000-0000-000000B40000}"/>
    <cellStyle name="Normal 52 11 2" xfId="46069" xr:uid="{00000000-0005-0000-0000-000001B40000}"/>
    <cellStyle name="Normal 52 12" xfId="46070" xr:uid="{00000000-0005-0000-0000-000002B40000}"/>
    <cellStyle name="Normal 52 12 2" xfId="46071" xr:uid="{00000000-0005-0000-0000-000003B40000}"/>
    <cellStyle name="Normal 52 13" xfId="46072" xr:uid="{00000000-0005-0000-0000-000004B40000}"/>
    <cellStyle name="Normal 52 13 2" xfId="46073" xr:uid="{00000000-0005-0000-0000-000005B40000}"/>
    <cellStyle name="Normal 52 14" xfId="46074" xr:uid="{00000000-0005-0000-0000-000006B40000}"/>
    <cellStyle name="Normal 52 14 2" xfId="46075" xr:uid="{00000000-0005-0000-0000-000007B40000}"/>
    <cellStyle name="Normal 52 15" xfId="46076" xr:uid="{00000000-0005-0000-0000-000008B40000}"/>
    <cellStyle name="Normal 52 15 2" xfId="46077" xr:uid="{00000000-0005-0000-0000-000009B40000}"/>
    <cellStyle name="Normal 52 16" xfId="46078" xr:uid="{00000000-0005-0000-0000-00000AB40000}"/>
    <cellStyle name="Normal 52 16 2" xfId="46079" xr:uid="{00000000-0005-0000-0000-00000BB40000}"/>
    <cellStyle name="Normal 52 17" xfId="46080" xr:uid="{00000000-0005-0000-0000-00000CB40000}"/>
    <cellStyle name="Normal 52 17 2" xfId="46081" xr:uid="{00000000-0005-0000-0000-00000DB40000}"/>
    <cellStyle name="Normal 52 18" xfId="46082" xr:uid="{00000000-0005-0000-0000-00000EB40000}"/>
    <cellStyle name="Normal 52 18 2" xfId="46083" xr:uid="{00000000-0005-0000-0000-00000FB40000}"/>
    <cellStyle name="Normal 52 19" xfId="46084" xr:uid="{00000000-0005-0000-0000-000010B40000}"/>
    <cellStyle name="Normal 52 19 2" xfId="46085" xr:uid="{00000000-0005-0000-0000-000011B40000}"/>
    <cellStyle name="Normal 52 2" xfId="46086" xr:uid="{00000000-0005-0000-0000-000012B40000}"/>
    <cellStyle name="Normal 52 2 2" xfId="46087" xr:uid="{00000000-0005-0000-0000-000013B40000}"/>
    <cellStyle name="Normal 52 20" xfId="46088" xr:uid="{00000000-0005-0000-0000-000014B40000}"/>
    <cellStyle name="Normal 52 20 2" xfId="46089" xr:uid="{00000000-0005-0000-0000-000015B40000}"/>
    <cellStyle name="Normal 52 21" xfId="46090" xr:uid="{00000000-0005-0000-0000-000016B40000}"/>
    <cellStyle name="Normal 52 21 2" xfId="46091" xr:uid="{00000000-0005-0000-0000-000017B40000}"/>
    <cellStyle name="Normal 52 22" xfId="46092" xr:uid="{00000000-0005-0000-0000-000018B40000}"/>
    <cellStyle name="Normal 52 22 2" xfId="46093" xr:uid="{00000000-0005-0000-0000-000019B40000}"/>
    <cellStyle name="Normal 52 23" xfId="46094" xr:uid="{00000000-0005-0000-0000-00001AB40000}"/>
    <cellStyle name="Normal 52 23 2" xfId="46095" xr:uid="{00000000-0005-0000-0000-00001BB40000}"/>
    <cellStyle name="Normal 52 24" xfId="46096" xr:uid="{00000000-0005-0000-0000-00001CB40000}"/>
    <cellStyle name="Normal 52 24 2" xfId="46097" xr:uid="{00000000-0005-0000-0000-00001DB40000}"/>
    <cellStyle name="Normal 52 25" xfId="46098" xr:uid="{00000000-0005-0000-0000-00001EB40000}"/>
    <cellStyle name="Normal 52 25 2" xfId="46099" xr:uid="{00000000-0005-0000-0000-00001FB40000}"/>
    <cellStyle name="Normal 52 26" xfId="46100" xr:uid="{00000000-0005-0000-0000-000020B40000}"/>
    <cellStyle name="Normal 52 26 2" xfId="46101" xr:uid="{00000000-0005-0000-0000-000021B40000}"/>
    <cellStyle name="Normal 52 27" xfId="46102" xr:uid="{00000000-0005-0000-0000-000022B40000}"/>
    <cellStyle name="Normal 52 27 2" xfId="46103" xr:uid="{00000000-0005-0000-0000-000023B40000}"/>
    <cellStyle name="Normal 52 28" xfId="46104" xr:uid="{00000000-0005-0000-0000-000024B40000}"/>
    <cellStyle name="Normal 52 28 2" xfId="46105" xr:uid="{00000000-0005-0000-0000-000025B40000}"/>
    <cellStyle name="Normal 52 29" xfId="46106" xr:uid="{00000000-0005-0000-0000-000026B40000}"/>
    <cellStyle name="Normal 52 29 2" xfId="46107" xr:uid="{00000000-0005-0000-0000-000027B40000}"/>
    <cellStyle name="Normal 52 3" xfId="46108" xr:uid="{00000000-0005-0000-0000-000028B40000}"/>
    <cellStyle name="Normal 52 3 2" xfId="46109" xr:uid="{00000000-0005-0000-0000-000029B40000}"/>
    <cellStyle name="Normal 52 30" xfId="46110" xr:uid="{00000000-0005-0000-0000-00002AB40000}"/>
    <cellStyle name="Normal 52 30 2" xfId="46111" xr:uid="{00000000-0005-0000-0000-00002BB40000}"/>
    <cellStyle name="Normal 52 31" xfId="46112" xr:uid="{00000000-0005-0000-0000-00002CB40000}"/>
    <cellStyle name="Normal 52 31 2" xfId="46113" xr:uid="{00000000-0005-0000-0000-00002DB40000}"/>
    <cellStyle name="Normal 52 32" xfId="46114" xr:uid="{00000000-0005-0000-0000-00002EB40000}"/>
    <cellStyle name="Normal 52 32 2" xfId="46115" xr:uid="{00000000-0005-0000-0000-00002FB40000}"/>
    <cellStyle name="Normal 52 33" xfId="46116" xr:uid="{00000000-0005-0000-0000-000030B40000}"/>
    <cellStyle name="Normal 52 33 2" xfId="46117" xr:uid="{00000000-0005-0000-0000-000031B40000}"/>
    <cellStyle name="Normal 52 34" xfId="46118" xr:uid="{00000000-0005-0000-0000-000032B40000}"/>
    <cellStyle name="Normal 52 34 2" xfId="46119" xr:uid="{00000000-0005-0000-0000-000033B40000}"/>
    <cellStyle name="Normal 52 35" xfId="46120" xr:uid="{00000000-0005-0000-0000-000034B40000}"/>
    <cellStyle name="Normal 52 35 2" xfId="46121" xr:uid="{00000000-0005-0000-0000-000035B40000}"/>
    <cellStyle name="Normal 52 36" xfId="46122" xr:uid="{00000000-0005-0000-0000-000036B40000}"/>
    <cellStyle name="Normal 52 36 2" xfId="46123" xr:uid="{00000000-0005-0000-0000-000037B40000}"/>
    <cellStyle name="Normal 52 37" xfId="46124" xr:uid="{00000000-0005-0000-0000-000038B40000}"/>
    <cellStyle name="Normal 52 37 2" xfId="46125" xr:uid="{00000000-0005-0000-0000-000039B40000}"/>
    <cellStyle name="Normal 52 38" xfId="46126" xr:uid="{00000000-0005-0000-0000-00003AB40000}"/>
    <cellStyle name="Normal 52 38 2" xfId="46127" xr:uid="{00000000-0005-0000-0000-00003BB40000}"/>
    <cellStyle name="Normal 52 39" xfId="46128" xr:uid="{00000000-0005-0000-0000-00003CB40000}"/>
    <cellStyle name="Normal 52 39 2" xfId="46129" xr:uid="{00000000-0005-0000-0000-00003DB40000}"/>
    <cellStyle name="Normal 52 4" xfId="46130" xr:uid="{00000000-0005-0000-0000-00003EB40000}"/>
    <cellStyle name="Normal 52 4 2" xfId="46131" xr:uid="{00000000-0005-0000-0000-00003FB40000}"/>
    <cellStyle name="Normal 52 40" xfId="46132" xr:uid="{00000000-0005-0000-0000-000040B40000}"/>
    <cellStyle name="Normal 52 40 2" xfId="46133" xr:uid="{00000000-0005-0000-0000-000041B40000}"/>
    <cellStyle name="Normal 52 41" xfId="46134" xr:uid="{00000000-0005-0000-0000-000042B40000}"/>
    <cellStyle name="Normal 52 41 2" xfId="46135" xr:uid="{00000000-0005-0000-0000-000043B40000}"/>
    <cellStyle name="Normal 52 42" xfId="46136" xr:uid="{00000000-0005-0000-0000-000044B40000}"/>
    <cellStyle name="Normal 52 42 2" xfId="46137" xr:uid="{00000000-0005-0000-0000-000045B40000}"/>
    <cellStyle name="Normal 52 43" xfId="46138" xr:uid="{00000000-0005-0000-0000-000046B40000}"/>
    <cellStyle name="Normal 52 43 2" xfId="46139" xr:uid="{00000000-0005-0000-0000-000047B40000}"/>
    <cellStyle name="Normal 52 44" xfId="46140" xr:uid="{00000000-0005-0000-0000-000048B40000}"/>
    <cellStyle name="Normal 52 44 2" xfId="46141" xr:uid="{00000000-0005-0000-0000-000049B40000}"/>
    <cellStyle name="Normal 52 45" xfId="46142" xr:uid="{00000000-0005-0000-0000-00004AB40000}"/>
    <cellStyle name="Normal 52 45 2" xfId="46143" xr:uid="{00000000-0005-0000-0000-00004BB40000}"/>
    <cellStyle name="Normal 52 46" xfId="46144" xr:uid="{00000000-0005-0000-0000-00004CB40000}"/>
    <cellStyle name="Normal 52 46 2" xfId="46145" xr:uid="{00000000-0005-0000-0000-00004DB40000}"/>
    <cellStyle name="Normal 52 47" xfId="46146" xr:uid="{00000000-0005-0000-0000-00004EB40000}"/>
    <cellStyle name="Normal 52 47 2" xfId="46147" xr:uid="{00000000-0005-0000-0000-00004FB40000}"/>
    <cellStyle name="Normal 52 48" xfId="46148" xr:uid="{00000000-0005-0000-0000-000050B40000}"/>
    <cellStyle name="Normal 52 48 2" xfId="46149" xr:uid="{00000000-0005-0000-0000-000051B40000}"/>
    <cellStyle name="Normal 52 49" xfId="46150" xr:uid="{00000000-0005-0000-0000-000052B40000}"/>
    <cellStyle name="Normal 52 49 2" xfId="46151" xr:uid="{00000000-0005-0000-0000-000053B40000}"/>
    <cellStyle name="Normal 52 5" xfId="46152" xr:uid="{00000000-0005-0000-0000-000054B40000}"/>
    <cellStyle name="Normal 52 5 2" xfId="46153" xr:uid="{00000000-0005-0000-0000-000055B40000}"/>
    <cellStyle name="Normal 52 50" xfId="46154" xr:uid="{00000000-0005-0000-0000-000056B40000}"/>
    <cellStyle name="Normal 52 50 2" xfId="46155" xr:uid="{00000000-0005-0000-0000-000057B40000}"/>
    <cellStyle name="Normal 52 51" xfId="46156" xr:uid="{00000000-0005-0000-0000-000058B40000}"/>
    <cellStyle name="Normal 52 51 2" xfId="46157" xr:uid="{00000000-0005-0000-0000-000059B40000}"/>
    <cellStyle name="Normal 52 52" xfId="46158" xr:uid="{00000000-0005-0000-0000-00005AB40000}"/>
    <cellStyle name="Normal 52 52 2" xfId="46159" xr:uid="{00000000-0005-0000-0000-00005BB40000}"/>
    <cellStyle name="Normal 52 53" xfId="46160" xr:uid="{00000000-0005-0000-0000-00005CB40000}"/>
    <cellStyle name="Normal 52 53 2" xfId="46161" xr:uid="{00000000-0005-0000-0000-00005DB40000}"/>
    <cellStyle name="Normal 52 54" xfId="46162" xr:uid="{00000000-0005-0000-0000-00005EB40000}"/>
    <cellStyle name="Normal 52 54 2" xfId="46163" xr:uid="{00000000-0005-0000-0000-00005FB40000}"/>
    <cellStyle name="Normal 52 55" xfId="46164" xr:uid="{00000000-0005-0000-0000-000060B40000}"/>
    <cellStyle name="Normal 52 55 2" xfId="46165" xr:uid="{00000000-0005-0000-0000-000061B40000}"/>
    <cellStyle name="Normal 52 56" xfId="46166" xr:uid="{00000000-0005-0000-0000-000062B40000}"/>
    <cellStyle name="Normal 52 56 2" xfId="46167" xr:uid="{00000000-0005-0000-0000-000063B40000}"/>
    <cellStyle name="Normal 52 57" xfId="46168" xr:uid="{00000000-0005-0000-0000-000064B40000}"/>
    <cellStyle name="Normal 52 57 2" xfId="46169" xr:uid="{00000000-0005-0000-0000-000065B40000}"/>
    <cellStyle name="Normal 52 58" xfId="46170" xr:uid="{00000000-0005-0000-0000-000066B40000}"/>
    <cellStyle name="Normal 52 58 2" xfId="46171" xr:uid="{00000000-0005-0000-0000-000067B40000}"/>
    <cellStyle name="Normal 52 59" xfId="46172" xr:uid="{00000000-0005-0000-0000-000068B40000}"/>
    <cellStyle name="Normal 52 59 2" xfId="46173" xr:uid="{00000000-0005-0000-0000-000069B40000}"/>
    <cellStyle name="Normal 52 6" xfId="46174" xr:uid="{00000000-0005-0000-0000-00006AB40000}"/>
    <cellStyle name="Normal 52 6 2" xfId="46175" xr:uid="{00000000-0005-0000-0000-00006BB40000}"/>
    <cellStyle name="Normal 52 60" xfId="46176" xr:uid="{00000000-0005-0000-0000-00006CB40000}"/>
    <cellStyle name="Normal 52 60 2" xfId="46177" xr:uid="{00000000-0005-0000-0000-00006DB40000}"/>
    <cellStyle name="Normal 52 61" xfId="46178" xr:uid="{00000000-0005-0000-0000-00006EB40000}"/>
    <cellStyle name="Normal 52 61 2" xfId="46179" xr:uid="{00000000-0005-0000-0000-00006FB40000}"/>
    <cellStyle name="Normal 52 62" xfId="46180" xr:uid="{00000000-0005-0000-0000-000070B40000}"/>
    <cellStyle name="Normal 52 62 2" xfId="46181" xr:uid="{00000000-0005-0000-0000-000071B40000}"/>
    <cellStyle name="Normal 52 62 3" xfId="46182" xr:uid="{00000000-0005-0000-0000-000072B40000}"/>
    <cellStyle name="Normal 52 63" xfId="46183" xr:uid="{00000000-0005-0000-0000-000073B40000}"/>
    <cellStyle name="Normal 52 7" xfId="46184" xr:uid="{00000000-0005-0000-0000-000074B40000}"/>
    <cellStyle name="Normal 52 7 2" xfId="46185" xr:uid="{00000000-0005-0000-0000-000075B40000}"/>
    <cellStyle name="Normal 52 8" xfId="46186" xr:uid="{00000000-0005-0000-0000-000076B40000}"/>
    <cellStyle name="Normal 52 8 2" xfId="46187" xr:uid="{00000000-0005-0000-0000-000077B40000}"/>
    <cellStyle name="Normal 52 9" xfId="46188" xr:uid="{00000000-0005-0000-0000-000078B40000}"/>
    <cellStyle name="Normal 52 9 2" xfId="46189" xr:uid="{00000000-0005-0000-0000-000079B40000}"/>
    <cellStyle name="Normal 53" xfId="46190" xr:uid="{00000000-0005-0000-0000-00007AB40000}"/>
    <cellStyle name="Normal 53 10" xfId="46191" xr:uid="{00000000-0005-0000-0000-00007BB40000}"/>
    <cellStyle name="Normal 53 10 2" xfId="46192" xr:uid="{00000000-0005-0000-0000-00007CB40000}"/>
    <cellStyle name="Normal 53 11" xfId="46193" xr:uid="{00000000-0005-0000-0000-00007DB40000}"/>
    <cellStyle name="Normal 53 11 2" xfId="46194" xr:uid="{00000000-0005-0000-0000-00007EB40000}"/>
    <cellStyle name="Normal 53 12" xfId="46195" xr:uid="{00000000-0005-0000-0000-00007FB40000}"/>
    <cellStyle name="Normal 53 12 2" xfId="46196" xr:uid="{00000000-0005-0000-0000-000080B40000}"/>
    <cellStyle name="Normal 53 13" xfId="46197" xr:uid="{00000000-0005-0000-0000-000081B40000}"/>
    <cellStyle name="Normal 53 13 2" xfId="46198" xr:uid="{00000000-0005-0000-0000-000082B40000}"/>
    <cellStyle name="Normal 53 14" xfId="46199" xr:uid="{00000000-0005-0000-0000-000083B40000}"/>
    <cellStyle name="Normal 53 14 2" xfId="46200" xr:uid="{00000000-0005-0000-0000-000084B40000}"/>
    <cellStyle name="Normal 53 15" xfId="46201" xr:uid="{00000000-0005-0000-0000-000085B40000}"/>
    <cellStyle name="Normal 53 15 2" xfId="46202" xr:uid="{00000000-0005-0000-0000-000086B40000}"/>
    <cellStyle name="Normal 53 16" xfId="46203" xr:uid="{00000000-0005-0000-0000-000087B40000}"/>
    <cellStyle name="Normal 53 16 2" xfId="46204" xr:uid="{00000000-0005-0000-0000-000088B40000}"/>
    <cellStyle name="Normal 53 17" xfId="46205" xr:uid="{00000000-0005-0000-0000-000089B40000}"/>
    <cellStyle name="Normal 53 17 2" xfId="46206" xr:uid="{00000000-0005-0000-0000-00008AB40000}"/>
    <cellStyle name="Normal 53 18" xfId="46207" xr:uid="{00000000-0005-0000-0000-00008BB40000}"/>
    <cellStyle name="Normal 53 18 2" xfId="46208" xr:uid="{00000000-0005-0000-0000-00008CB40000}"/>
    <cellStyle name="Normal 53 19" xfId="46209" xr:uid="{00000000-0005-0000-0000-00008DB40000}"/>
    <cellStyle name="Normal 53 19 2" xfId="46210" xr:uid="{00000000-0005-0000-0000-00008EB40000}"/>
    <cellStyle name="Normal 53 2" xfId="46211" xr:uid="{00000000-0005-0000-0000-00008FB40000}"/>
    <cellStyle name="Normal 53 2 2" xfId="46212" xr:uid="{00000000-0005-0000-0000-000090B40000}"/>
    <cellStyle name="Normal 53 20" xfId="46213" xr:uid="{00000000-0005-0000-0000-000091B40000}"/>
    <cellStyle name="Normal 53 20 2" xfId="46214" xr:uid="{00000000-0005-0000-0000-000092B40000}"/>
    <cellStyle name="Normal 53 21" xfId="46215" xr:uid="{00000000-0005-0000-0000-000093B40000}"/>
    <cellStyle name="Normal 53 21 2" xfId="46216" xr:uid="{00000000-0005-0000-0000-000094B40000}"/>
    <cellStyle name="Normal 53 22" xfId="46217" xr:uid="{00000000-0005-0000-0000-000095B40000}"/>
    <cellStyle name="Normal 53 22 2" xfId="46218" xr:uid="{00000000-0005-0000-0000-000096B40000}"/>
    <cellStyle name="Normal 53 23" xfId="46219" xr:uid="{00000000-0005-0000-0000-000097B40000}"/>
    <cellStyle name="Normal 53 23 2" xfId="46220" xr:uid="{00000000-0005-0000-0000-000098B40000}"/>
    <cellStyle name="Normal 53 24" xfId="46221" xr:uid="{00000000-0005-0000-0000-000099B40000}"/>
    <cellStyle name="Normal 53 24 2" xfId="46222" xr:uid="{00000000-0005-0000-0000-00009AB40000}"/>
    <cellStyle name="Normal 53 25" xfId="46223" xr:uid="{00000000-0005-0000-0000-00009BB40000}"/>
    <cellStyle name="Normal 53 25 2" xfId="46224" xr:uid="{00000000-0005-0000-0000-00009CB40000}"/>
    <cellStyle name="Normal 53 26" xfId="46225" xr:uid="{00000000-0005-0000-0000-00009DB40000}"/>
    <cellStyle name="Normal 53 26 2" xfId="46226" xr:uid="{00000000-0005-0000-0000-00009EB40000}"/>
    <cellStyle name="Normal 53 27" xfId="46227" xr:uid="{00000000-0005-0000-0000-00009FB40000}"/>
    <cellStyle name="Normal 53 27 2" xfId="46228" xr:uid="{00000000-0005-0000-0000-0000A0B40000}"/>
    <cellStyle name="Normal 53 28" xfId="46229" xr:uid="{00000000-0005-0000-0000-0000A1B40000}"/>
    <cellStyle name="Normal 53 28 2" xfId="46230" xr:uid="{00000000-0005-0000-0000-0000A2B40000}"/>
    <cellStyle name="Normal 53 29" xfId="46231" xr:uid="{00000000-0005-0000-0000-0000A3B40000}"/>
    <cellStyle name="Normal 53 29 2" xfId="46232" xr:uid="{00000000-0005-0000-0000-0000A4B40000}"/>
    <cellStyle name="Normal 53 3" xfId="46233" xr:uid="{00000000-0005-0000-0000-0000A5B40000}"/>
    <cellStyle name="Normal 53 3 2" xfId="46234" xr:uid="{00000000-0005-0000-0000-0000A6B40000}"/>
    <cellStyle name="Normal 53 30" xfId="46235" xr:uid="{00000000-0005-0000-0000-0000A7B40000}"/>
    <cellStyle name="Normal 53 30 2" xfId="46236" xr:uid="{00000000-0005-0000-0000-0000A8B40000}"/>
    <cellStyle name="Normal 53 31" xfId="46237" xr:uid="{00000000-0005-0000-0000-0000A9B40000}"/>
    <cellStyle name="Normal 53 31 2" xfId="46238" xr:uid="{00000000-0005-0000-0000-0000AAB40000}"/>
    <cellStyle name="Normal 53 32" xfId="46239" xr:uid="{00000000-0005-0000-0000-0000ABB40000}"/>
    <cellStyle name="Normal 53 32 2" xfId="46240" xr:uid="{00000000-0005-0000-0000-0000ACB40000}"/>
    <cellStyle name="Normal 53 33" xfId="46241" xr:uid="{00000000-0005-0000-0000-0000ADB40000}"/>
    <cellStyle name="Normal 53 33 2" xfId="46242" xr:uid="{00000000-0005-0000-0000-0000AEB40000}"/>
    <cellStyle name="Normal 53 34" xfId="46243" xr:uid="{00000000-0005-0000-0000-0000AFB40000}"/>
    <cellStyle name="Normal 53 34 2" xfId="46244" xr:uid="{00000000-0005-0000-0000-0000B0B40000}"/>
    <cellStyle name="Normal 53 35" xfId="46245" xr:uid="{00000000-0005-0000-0000-0000B1B40000}"/>
    <cellStyle name="Normal 53 35 2" xfId="46246" xr:uid="{00000000-0005-0000-0000-0000B2B40000}"/>
    <cellStyle name="Normal 53 36" xfId="46247" xr:uid="{00000000-0005-0000-0000-0000B3B40000}"/>
    <cellStyle name="Normal 53 36 2" xfId="46248" xr:uid="{00000000-0005-0000-0000-0000B4B40000}"/>
    <cellStyle name="Normal 53 37" xfId="46249" xr:uid="{00000000-0005-0000-0000-0000B5B40000}"/>
    <cellStyle name="Normal 53 37 2" xfId="46250" xr:uid="{00000000-0005-0000-0000-0000B6B40000}"/>
    <cellStyle name="Normal 53 38" xfId="46251" xr:uid="{00000000-0005-0000-0000-0000B7B40000}"/>
    <cellStyle name="Normal 53 38 2" xfId="46252" xr:uid="{00000000-0005-0000-0000-0000B8B40000}"/>
    <cellStyle name="Normal 53 39" xfId="46253" xr:uid="{00000000-0005-0000-0000-0000B9B40000}"/>
    <cellStyle name="Normal 53 39 2" xfId="46254" xr:uid="{00000000-0005-0000-0000-0000BAB40000}"/>
    <cellStyle name="Normal 53 4" xfId="46255" xr:uid="{00000000-0005-0000-0000-0000BBB40000}"/>
    <cellStyle name="Normal 53 4 2" xfId="46256" xr:uid="{00000000-0005-0000-0000-0000BCB40000}"/>
    <cellStyle name="Normal 53 40" xfId="46257" xr:uid="{00000000-0005-0000-0000-0000BDB40000}"/>
    <cellStyle name="Normal 53 40 2" xfId="46258" xr:uid="{00000000-0005-0000-0000-0000BEB40000}"/>
    <cellStyle name="Normal 53 41" xfId="46259" xr:uid="{00000000-0005-0000-0000-0000BFB40000}"/>
    <cellStyle name="Normal 53 41 2" xfId="46260" xr:uid="{00000000-0005-0000-0000-0000C0B40000}"/>
    <cellStyle name="Normal 53 42" xfId="46261" xr:uid="{00000000-0005-0000-0000-0000C1B40000}"/>
    <cellStyle name="Normal 53 42 2" xfId="46262" xr:uid="{00000000-0005-0000-0000-0000C2B40000}"/>
    <cellStyle name="Normal 53 43" xfId="46263" xr:uid="{00000000-0005-0000-0000-0000C3B40000}"/>
    <cellStyle name="Normal 53 43 2" xfId="46264" xr:uid="{00000000-0005-0000-0000-0000C4B40000}"/>
    <cellStyle name="Normal 53 44" xfId="46265" xr:uid="{00000000-0005-0000-0000-0000C5B40000}"/>
    <cellStyle name="Normal 53 44 2" xfId="46266" xr:uid="{00000000-0005-0000-0000-0000C6B40000}"/>
    <cellStyle name="Normal 53 45" xfId="46267" xr:uid="{00000000-0005-0000-0000-0000C7B40000}"/>
    <cellStyle name="Normal 53 45 2" xfId="46268" xr:uid="{00000000-0005-0000-0000-0000C8B40000}"/>
    <cellStyle name="Normal 53 46" xfId="46269" xr:uid="{00000000-0005-0000-0000-0000C9B40000}"/>
    <cellStyle name="Normal 53 46 2" xfId="46270" xr:uid="{00000000-0005-0000-0000-0000CAB40000}"/>
    <cellStyle name="Normal 53 47" xfId="46271" xr:uid="{00000000-0005-0000-0000-0000CBB40000}"/>
    <cellStyle name="Normal 53 47 2" xfId="46272" xr:uid="{00000000-0005-0000-0000-0000CCB40000}"/>
    <cellStyle name="Normal 53 48" xfId="46273" xr:uid="{00000000-0005-0000-0000-0000CDB40000}"/>
    <cellStyle name="Normal 53 48 2" xfId="46274" xr:uid="{00000000-0005-0000-0000-0000CEB40000}"/>
    <cellStyle name="Normal 53 49" xfId="46275" xr:uid="{00000000-0005-0000-0000-0000CFB40000}"/>
    <cellStyle name="Normal 53 49 2" xfId="46276" xr:uid="{00000000-0005-0000-0000-0000D0B40000}"/>
    <cellStyle name="Normal 53 5" xfId="46277" xr:uid="{00000000-0005-0000-0000-0000D1B40000}"/>
    <cellStyle name="Normal 53 5 2" xfId="46278" xr:uid="{00000000-0005-0000-0000-0000D2B40000}"/>
    <cellStyle name="Normal 53 50" xfId="46279" xr:uid="{00000000-0005-0000-0000-0000D3B40000}"/>
    <cellStyle name="Normal 53 50 2" xfId="46280" xr:uid="{00000000-0005-0000-0000-0000D4B40000}"/>
    <cellStyle name="Normal 53 51" xfId="46281" xr:uid="{00000000-0005-0000-0000-0000D5B40000}"/>
    <cellStyle name="Normal 53 51 2" xfId="46282" xr:uid="{00000000-0005-0000-0000-0000D6B40000}"/>
    <cellStyle name="Normal 53 52" xfId="46283" xr:uid="{00000000-0005-0000-0000-0000D7B40000}"/>
    <cellStyle name="Normal 53 52 2" xfId="46284" xr:uid="{00000000-0005-0000-0000-0000D8B40000}"/>
    <cellStyle name="Normal 53 53" xfId="46285" xr:uid="{00000000-0005-0000-0000-0000D9B40000}"/>
    <cellStyle name="Normal 53 53 2" xfId="46286" xr:uid="{00000000-0005-0000-0000-0000DAB40000}"/>
    <cellStyle name="Normal 53 54" xfId="46287" xr:uid="{00000000-0005-0000-0000-0000DBB40000}"/>
    <cellStyle name="Normal 53 54 2" xfId="46288" xr:uid="{00000000-0005-0000-0000-0000DCB40000}"/>
    <cellStyle name="Normal 53 55" xfId="46289" xr:uid="{00000000-0005-0000-0000-0000DDB40000}"/>
    <cellStyle name="Normal 53 55 2" xfId="46290" xr:uid="{00000000-0005-0000-0000-0000DEB40000}"/>
    <cellStyle name="Normal 53 56" xfId="46291" xr:uid="{00000000-0005-0000-0000-0000DFB40000}"/>
    <cellStyle name="Normal 53 56 2" xfId="46292" xr:uid="{00000000-0005-0000-0000-0000E0B40000}"/>
    <cellStyle name="Normal 53 57" xfId="46293" xr:uid="{00000000-0005-0000-0000-0000E1B40000}"/>
    <cellStyle name="Normal 53 57 2" xfId="46294" xr:uid="{00000000-0005-0000-0000-0000E2B40000}"/>
    <cellStyle name="Normal 53 58" xfId="46295" xr:uid="{00000000-0005-0000-0000-0000E3B40000}"/>
    <cellStyle name="Normal 53 58 2" xfId="46296" xr:uid="{00000000-0005-0000-0000-0000E4B40000}"/>
    <cellStyle name="Normal 53 59" xfId="46297" xr:uid="{00000000-0005-0000-0000-0000E5B40000}"/>
    <cellStyle name="Normal 53 6" xfId="46298" xr:uid="{00000000-0005-0000-0000-0000E6B40000}"/>
    <cellStyle name="Normal 53 6 2" xfId="46299" xr:uid="{00000000-0005-0000-0000-0000E7B40000}"/>
    <cellStyle name="Normal 53 7" xfId="46300" xr:uid="{00000000-0005-0000-0000-0000E8B40000}"/>
    <cellStyle name="Normal 53 7 2" xfId="46301" xr:uid="{00000000-0005-0000-0000-0000E9B40000}"/>
    <cellStyle name="Normal 53 8" xfId="46302" xr:uid="{00000000-0005-0000-0000-0000EAB40000}"/>
    <cellStyle name="Normal 53 8 2" xfId="46303" xr:uid="{00000000-0005-0000-0000-0000EBB40000}"/>
    <cellStyle name="Normal 53 9" xfId="46304" xr:uid="{00000000-0005-0000-0000-0000ECB40000}"/>
    <cellStyle name="Normal 53 9 2" xfId="46305" xr:uid="{00000000-0005-0000-0000-0000EDB40000}"/>
    <cellStyle name="Normal 54" xfId="46306" xr:uid="{00000000-0005-0000-0000-0000EEB40000}"/>
    <cellStyle name="Normal 54 10" xfId="46307" xr:uid="{00000000-0005-0000-0000-0000EFB40000}"/>
    <cellStyle name="Normal 54 10 2" xfId="46308" xr:uid="{00000000-0005-0000-0000-0000F0B40000}"/>
    <cellStyle name="Normal 54 11" xfId="46309" xr:uid="{00000000-0005-0000-0000-0000F1B40000}"/>
    <cellStyle name="Normal 54 11 2" xfId="46310" xr:uid="{00000000-0005-0000-0000-0000F2B40000}"/>
    <cellStyle name="Normal 54 12" xfId="46311" xr:uid="{00000000-0005-0000-0000-0000F3B40000}"/>
    <cellStyle name="Normal 54 12 2" xfId="46312" xr:uid="{00000000-0005-0000-0000-0000F4B40000}"/>
    <cellStyle name="Normal 54 13" xfId="46313" xr:uid="{00000000-0005-0000-0000-0000F5B40000}"/>
    <cellStyle name="Normal 54 13 2" xfId="46314" xr:uid="{00000000-0005-0000-0000-0000F6B40000}"/>
    <cellStyle name="Normal 54 14" xfId="46315" xr:uid="{00000000-0005-0000-0000-0000F7B40000}"/>
    <cellStyle name="Normal 54 14 2" xfId="46316" xr:uid="{00000000-0005-0000-0000-0000F8B40000}"/>
    <cellStyle name="Normal 54 15" xfId="46317" xr:uid="{00000000-0005-0000-0000-0000F9B40000}"/>
    <cellStyle name="Normal 54 15 2" xfId="46318" xr:uid="{00000000-0005-0000-0000-0000FAB40000}"/>
    <cellStyle name="Normal 54 16" xfId="46319" xr:uid="{00000000-0005-0000-0000-0000FBB40000}"/>
    <cellStyle name="Normal 54 16 2" xfId="46320" xr:uid="{00000000-0005-0000-0000-0000FCB40000}"/>
    <cellStyle name="Normal 54 17" xfId="46321" xr:uid="{00000000-0005-0000-0000-0000FDB40000}"/>
    <cellStyle name="Normal 54 17 2" xfId="46322" xr:uid="{00000000-0005-0000-0000-0000FEB40000}"/>
    <cellStyle name="Normal 54 18" xfId="46323" xr:uid="{00000000-0005-0000-0000-0000FFB40000}"/>
    <cellStyle name="Normal 54 18 2" xfId="46324" xr:uid="{00000000-0005-0000-0000-000000B50000}"/>
    <cellStyle name="Normal 54 19" xfId="46325" xr:uid="{00000000-0005-0000-0000-000001B50000}"/>
    <cellStyle name="Normal 54 19 2" xfId="46326" xr:uid="{00000000-0005-0000-0000-000002B50000}"/>
    <cellStyle name="Normal 54 2" xfId="46327" xr:uid="{00000000-0005-0000-0000-000003B50000}"/>
    <cellStyle name="Normal 54 2 2" xfId="46328" xr:uid="{00000000-0005-0000-0000-000004B50000}"/>
    <cellStyle name="Normal 54 20" xfId="46329" xr:uid="{00000000-0005-0000-0000-000005B50000}"/>
    <cellStyle name="Normal 54 20 2" xfId="46330" xr:uid="{00000000-0005-0000-0000-000006B50000}"/>
    <cellStyle name="Normal 54 21" xfId="46331" xr:uid="{00000000-0005-0000-0000-000007B50000}"/>
    <cellStyle name="Normal 54 21 2" xfId="46332" xr:uid="{00000000-0005-0000-0000-000008B50000}"/>
    <cellStyle name="Normal 54 22" xfId="46333" xr:uid="{00000000-0005-0000-0000-000009B50000}"/>
    <cellStyle name="Normal 54 22 2" xfId="46334" xr:uid="{00000000-0005-0000-0000-00000AB50000}"/>
    <cellStyle name="Normal 54 23" xfId="46335" xr:uid="{00000000-0005-0000-0000-00000BB50000}"/>
    <cellStyle name="Normal 54 23 2" xfId="46336" xr:uid="{00000000-0005-0000-0000-00000CB50000}"/>
    <cellStyle name="Normal 54 24" xfId="46337" xr:uid="{00000000-0005-0000-0000-00000DB50000}"/>
    <cellStyle name="Normal 54 24 2" xfId="46338" xr:uid="{00000000-0005-0000-0000-00000EB50000}"/>
    <cellStyle name="Normal 54 25" xfId="46339" xr:uid="{00000000-0005-0000-0000-00000FB50000}"/>
    <cellStyle name="Normal 54 25 2" xfId="46340" xr:uid="{00000000-0005-0000-0000-000010B50000}"/>
    <cellStyle name="Normal 54 26" xfId="46341" xr:uid="{00000000-0005-0000-0000-000011B50000}"/>
    <cellStyle name="Normal 54 26 2" xfId="46342" xr:uid="{00000000-0005-0000-0000-000012B50000}"/>
    <cellStyle name="Normal 54 27" xfId="46343" xr:uid="{00000000-0005-0000-0000-000013B50000}"/>
    <cellStyle name="Normal 54 27 2" xfId="46344" xr:uid="{00000000-0005-0000-0000-000014B50000}"/>
    <cellStyle name="Normal 54 28" xfId="46345" xr:uid="{00000000-0005-0000-0000-000015B50000}"/>
    <cellStyle name="Normal 54 28 2" xfId="46346" xr:uid="{00000000-0005-0000-0000-000016B50000}"/>
    <cellStyle name="Normal 54 29" xfId="46347" xr:uid="{00000000-0005-0000-0000-000017B50000}"/>
    <cellStyle name="Normal 54 29 2" xfId="46348" xr:uid="{00000000-0005-0000-0000-000018B50000}"/>
    <cellStyle name="Normal 54 3" xfId="46349" xr:uid="{00000000-0005-0000-0000-000019B50000}"/>
    <cellStyle name="Normal 54 3 2" xfId="46350" xr:uid="{00000000-0005-0000-0000-00001AB50000}"/>
    <cellStyle name="Normal 54 30" xfId="46351" xr:uid="{00000000-0005-0000-0000-00001BB50000}"/>
    <cellStyle name="Normal 54 30 2" xfId="46352" xr:uid="{00000000-0005-0000-0000-00001CB50000}"/>
    <cellStyle name="Normal 54 31" xfId="46353" xr:uid="{00000000-0005-0000-0000-00001DB50000}"/>
    <cellStyle name="Normal 54 31 2" xfId="46354" xr:uid="{00000000-0005-0000-0000-00001EB50000}"/>
    <cellStyle name="Normal 54 32" xfId="46355" xr:uid="{00000000-0005-0000-0000-00001FB50000}"/>
    <cellStyle name="Normal 54 32 2" xfId="46356" xr:uid="{00000000-0005-0000-0000-000020B50000}"/>
    <cellStyle name="Normal 54 33" xfId="46357" xr:uid="{00000000-0005-0000-0000-000021B50000}"/>
    <cellStyle name="Normal 54 33 2" xfId="46358" xr:uid="{00000000-0005-0000-0000-000022B50000}"/>
    <cellStyle name="Normal 54 34" xfId="46359" xr:uid="{00000000-0005-0000-0000-000023B50000}"/>
    <cellStyle name="Normal 54 34 2" xfId="46360" xr:uid="{00000000-0005-0000-0000-000024B50000}"/>
    <cellStyle name="Normal 54 35" xfId="46361" xr:uid="{00000000-0005-0000-0000-000025B50000}"/>
    <cellStyle name="Normal 54 35 2" xfId="46362" xr:uid="{00000000-0005-0000-0000-000026B50000}"/>
    <cellStyle name="Normal 54 36" xfId="46363" xr:uid="{00000000-0005-0000-0000-000027B50000}"/>
    <cellStyle name="Normal 54 36 2" xfId="46364" xr:uid="{00000000-0005-0000-0000-000028B50000}"/>
    <cellStyle name="Normal 54 37" xfId="46365" xr:uid="{00000000-0005-0000-0000-000029B50000}"/>
    <cellStyle name="Normal 54 37 2" xfId="46366" xr:uid="{00000000-0005-0000-0000-00002AB50000}"/>
    <cellStyle name="Normal 54 38" xfId="46367" xr:uid="{00000000-0005-0000-0000-00002BB50000}"/>
    <cellStyle name="Normal 54 38 2" xfId="46368" xr:uid="{00000000-0005-0000-0000-00002CB50000}"/>
    <cellStyle name="Normal 54 39" xfId="46369" xr:uid="{00000000-0005-0000-0000-00002DB50000}"/>
    <cellStyle name="Normal 54 39 2" xfId="46370" xr:uid="{00000000-0005-0000-0000-00002EB50000}"/>
    <cellStyle name="Normal 54 4" xfId="46371" xr:uid="{00000000-0005-0000-0000-00002FB50000}"/>
    <cellStyle name="Normal 54 4 2" xfId="46372" xr:uid="{00000000-0005-0000-0000-000030B50000}"/>
    <cellStyle name="Normal 54 40" xfId="46373" xr:uid="{00000000-0005-0000-0000-000031B50000}"/>
    <cellStyle name="Normal 54 40 2" xfId="46374" xr:uid="{00000000-0005-0000-0000-000032B50000}"/>
    <cellStyle name="Normal 54 41" xfId="46375" xr:uid="{00000000-0005-0000-0000-000033B50000}"/>
    <cellStyle name="Normal 54 41 2" xfId="46376" xr:uid="{00000000-0005-0000-0000-000034B50000}"/>
    <cellStyle name="Normal 54 42" xfId="46377" xr:uid="{00000000-0005-0000-0000-000035B50000}"/>
    <cellStyle name="Normal 54 42 2" xfId="46378" xr:uid="{00000000-0005-0000-0000-000036B50000}"/>
    <cellStyle name="Normal 54 43" xfId="46379" xr:uid="{00000000-0005-0000-0000-000037B50000}"/>
    <cellStyle name="Normal 54 43 2" xfId="46380" xr:uid="{00000000-0005-0000-0000-000038B50000}"/>
    <cellStyle name="Normal 54 44" xfId="46381" xr:uid="{00000000-0005-0000-0000-000039B50000}"/>
    <cellStyle name="Normal 54 44 2" xfId="46382" xr:uid="{00000000-0005-0000-0000-00003AB50000}"/>
    <cellStyle name="Normal 54 45" xfId="46383" xr:uid="{00000000-0005-0000-0000-00003BB50000}"/>
    <cellStyle name="Normal 54 45 2" xfId="46384" xr:uid="{00000000-0005-0000-0000-00003CB50000}"/>
    <cellStyle name="Normal 54 46" xfId="46385" xr:uid="{00000000-0005-0000-0000-00003DB50000}"/>
    <cellStyle name="Normal 54 46 2" xfId="46386" xr:uid="{00000000-0005-0000-0000-00003EB50000}"/>
    <cellStyle name="Normal 54 47" xfId="46387" xr:uid="{00000000-0005-0000-0000-00003FB50000}"/>
    <cellStyle name="Normal 54 47 2" xfId="46388" xr:uid="{00000000-0005-0000-0000-000040B50000}"/>
    <cellStyle name="Normal 54 48" xfId="46389" xr:uid="{00000000-0005-0000-0000-000041B50000}"/>
    <cellStyle name="Normal 54 48 2" xfId="46390" xr:uid="{00000000-0005-0000-0000-000042B50000}"/>
    <cellStyle name="Normal 54 49" xfId="46391" xr:uid="{00000000-0005-0000-0000-000043B50000}"/>
    <cellStyle name="Normal 54 49 2" xfId="46392" xr:uid="{00000000-0005-0000-0000-000044B50000}"/>
    <cellStyle name="Normal 54 5" xfId="46393" xr:uid="{00000000-0005-0000-0000-000045B50000}"/>
    <cellStyle name="Normal 54 5 2" xfId="46394" xr:uid="{00000000-0005-0000-0000-000046B50000}"/>
    <cellStyle name="Normal 54 50" xfId="46395" xr:uid="{00000000-0005-0000-0000-000047B50000}"/>
    <cellStyle name="Normal 54 50 2" xfId="46396" xr:uid="{00000000-0005-0000-0000-000048B50000}"/>
    <cellStyle name="Normal 54 51" xfId="46397" xr:uid="{00000000-0005-0000-0000-000049B50000}"/>
    <cellStyle name="Normal 54 51 2" xfId="46398" xr:uid="{00000000-0005-0000-0000-00004AB50000}"/>
    <cellStyle name="Normal 54 52" xfId="46399" xr:uid="{00000000-0005-0000-0000-00004BB50000}"/>
    <cellStyle name="Normal 54 52 2" xfId="46400" xr:uid="{00000000-0005-0000-0000-00004CB50000}"/>
    <cellStyle name="Normal 54 53" xfId="46401" xr:uid="{00000000-0005-0000-0000-00004DB50000}"/>
    <cellStyle name="Normal 54 53 2" xfId="46402" xr:uid="{00000000-0005-0000-0000-00004EB50000}"/>
    <cellStyle name="Normal 54 54" xfId="46403" xr:uid="{00000000-0005-0000-0000-00004FB50000}"/>
    <cellStyle name="Normal 54 54 2" xfId="46404" xr:uid="{00000000-0005-0000-0000-000050B50000}"/>
    <cellStyle name="Normal 54 55" xfId="46405" xr:uid="{00000000-0005-0000-0000-000051B50000}"/>
    <cellStyle name="Normal 54 55 2" xfId="46406" xr:uid="{00000000-0005-0000-0000-000052B50000}"/>
    <cellStyle name="Normal 54 56" xfId="46407" xr:uid="{00000000-0005-0000-0000-000053B50000}"/>
    <cellStyle name="Normal 54 56 2" xfId="46408" xr:uid="{00000000-0005-0000-0000-000054B50000}"/>
    <cellStyle name="Normal 54 57" xfId="46409" xr:uid="{00000000-0005-0000-0000-000055B50000}"/>
    <cellStyle name="Normal 54 57 2" xfId="46410" xr:uid="{00000000-0005-0000-0000-000056B50000}"/>
    <cellStyle name="Normal 54 58" xfId="46411" xr:uid="{00000000-0005-0000-0000-000057B50000}"/>
    <cellStyle name="Normal 54 58 2" xfId="46412" xr:uid="{00000000-0005-0000-0000-000058B50000}"/>
    <cellStyle name="Normal 54 59" xfId="46413" xr:uid="{00000000-0005-0000-0000-000059B50000}"/>
    <cellStyle name="Normal 54 6" xfId="46414" xr:uid="{00000000-0005-0000-0000-00005AB50000}"/>
    <cellStyle name="Normal 54 6 2" xfId="46415" xr:uid="{00000000-0005-0000-0000-00005BB50000}"/>
    <cellStyle name="Normal 54 7" xfId="46416" xr:uid="{00000000-0005-0000-0000-00005CB50000}"/>
    <cellStyle name="Normal 54 7 2" xfId="46417" xr:uid="{00000000-0005-0000-0000-00005DB50000}"/>
    <cellStyle name="Normal 54 8" xfId="46418" xr:uid="{00000000-0005-0000-0000-00005EB50000}"/>
    <cellStyle name="Normal 54 8 2" xfId="46419" xr:uid="{00000000-0005-0000-0000-00005FB50000}"/>
    <cellStyle name="Normal 54 9" xfId="46420" xr:uid="{00000000-0005-0000-0000-000060B50000}"/>
    <cellStyle name="Normal 54 9 2" xfId="46421" xr:uid="{00000000-0005-0000-0000-000061B50000}"/>
    <cellStyle name="Normal 55" xfId="46422" xr:uid="{00000000-0005-0000-0000-000062B50000}"/>
    <cellStyle name="Normal 56" xfId="46423" xr:uid="{00000000-0005-0000-0000-000063B50000}"/>
    <cellStyle name="Normal 56 10" xfId="46424" xr:uid="{00000000-0005-0000-0000-000064B50000}"/>
    <cellStyle name="Normal 56 10 2" xfId="46425" xr:uid="{00000000-0005-0000-0000-000065B50000}"/>
    <cellStyle name="Normal 56 11" xfId="46426" xr:uid="{00000000-0005-0000-0000-000066B50000}"/>
    <cellStyle name="Normal 56 11 2" xfId="46427" xr:uid="{00000000-0005-0000-0000-000067B50000}"/>
    <cellStyle name="Normal 56 12" xfId="46428" xr:uid="{00000000-0005-0000-0000-000068B50000}"/>
    <cellStyle name="Normal 56 12 2" xfId="46429" xr:uid="{00000000-0005-0000-0000-000069B50000}"/>
    <cellStyle name="Normal 56 13" xfId="46430" xr:uid="{00000000-0005-0000-0000-00006AB50000}"/>
    <cellStyle name="Normal 56 13 2" xfId="46431" xr:uid="{00000000-0005-0000-0000-00006BB50000}"/>
    <cellStyle name="Normal 56 14" xfId="46432" xr:uid="{00000000-0005-0000-0000-00006CB50000}"/>
    <cellStyle name="Normal 56 14 2" xfId="46433" xr:uid="{00000000-0005-0000-0000-00006DB50000}"/>
    <cellStyle name="Normal 56 15" xfId="46434" xr:uid="{00000000-0005-0000-0000-00006EB50000}"/>
    <cellStyle name="Normal 56 15 2" xfId="46435" xr:uid="{00000000-0005-0000-0000-00006FB50000}"/>
    <cellStyle name="Normal 56 16" xfId="46436" xr:uid="{00000000-0005-0000-0000-000070B50000}"/>
    <cellStyle name="Normal 56 16 2" xfId="46437" xr:uid="{00000000-0005-0000-0000-000071B50000}"/>
    <cellStyle name="Normal 56 17" xfId="46438" xr:uid="{00000000-0005-0000-0000-000072B50000}"/>
    <cellStyle name="Normal 56 17 2" xfId="46439" xr:uid="{00000000-0005-0000-0000-000073B50000}"/>
    <cellStyle name="Normal 56 18" xfId="46440" xr:uid="{00000000-0005-0000-0000-000074B50000}"/>
    <cellStyle name="Normal 56 18 2" xfId="46441" xr:uid="{00000000-0005-0000-0000-000075B50000}"/>
    <cellStyle name="Normal 56 19" xfId="46442" xr:uid="{00000000-0005-0000-0000-000076B50000}"/>
    <cellStyle name="Normal 56 19 2" xfId="46443" xr:uid="{00000000-0005-0000-0000-000077B50000}"/>
    <cellStyle name="Normal 56 2" xfId="46444" xr:uid="{00000000-0005-0000-0000-000078B50000}"/>
    <cellStyle name="Normal 56 2 2" xfId="46445" xr:uid="{00000000-0005-0000-0000-000079B50000}"/>
    <cellStyle name="Normal 56 20" xfId="46446" xr:uid="{00000000-0005-0000-0000-00007AB50000}"/>
    <cellStyle name="Normal 56 20 2" xfId="46447" xr:uid="{00000000-0005-0000-0000-00007BB50000}"/>
    <cellStyle name="Normal 56 21" xfId="46448" xr:uid="{00000000-0005-0000-0000-00007CB50000}"/>
    <cellStyle name="Normal 56 21 2" xfId="46449" xr:uid="{00000000-0005-0000-0000-00007DB50000}"/>
    <cellStyle name="Normal 56 22" xfId="46450" xr:uid="{00000000-0005-0000-0000-00007EB50000}"/>
    <cellStyle name="Normal 56 22 2" xfId="46451" xr:uid="{00000000-0005-0000-0000-00007FB50000}"/>
    <cellStyle name="Normal 56 23" xfId="46452" xr:uid="{00000000-0005-0000-0000-000080B50000}"/>
    <cellStyle name="Normal 56 23 2" xfId="46453" xr:uid="{00000000-0005-0000-0000-000081B50000}"/>
    <cellStyle name="Normal 56 24" xfId="46454" xr:uid="{00000000-0005-0000-0000-000082B50000}"/>
    <cellStyle name="Normal 56 24 2" xfId="46455" xr:uid="{00000000-0005-0000-0000-000083B50000}"/>
    <cellStyle name="Normal 56 25" xfId="46456" xr:uid="{00000000-0005-0000-0000-000084B50000}"/>
    <cellStyle name="Normal 56 25 2" xfId="46457" xr:uid="{00000000-0005-0000-0000-000085B50000}"/>
    <cellStyle name="Normal 56 26" xfId="46458" xr:uid="{00000000-0005-0000-0000-000086B50000}"/>
    <cellStyle name="Normal 56 26 2" xfId="46459" xr:uid="{00000000-0005-0000-0000-000087B50000}"/>
    <cellStyle name="Normal 56 27" xfId="46460" xr:uid="{00000000-0005-0000-0000-000088B50000}"/>
    <cellStyle name="Normal 56 27 2" xfId="46461" xr:uid="{00000000-0005-0000-0000-000089B50000}"/>
    <cellStyle name="Normal 56 28" xfId="46462" xr:uid="{00000000-0005-0000-0000-00008AB50000}"/>
    <cellStyle name="Normal 56 28 2" xfId="46463" xr:uid="{00000000-0005-0000-0000-00008BB50000}"/>
    <cellStyle name="Normal 56 29" xfId="46464" xr:uid="{00000000-0005-0000-0000-00008CB50000}"/>
    <cellStyle name="Normal 56 29 2" xfId="46465" xr:uid="{00000000-0005-0000-0000-00008DB50000}"/>
    <cellStyle name="Normal 56 3" xfId="46466" xr:uid="{00000000-0005-0000-0000-00008EB50000}"/>
    <cellStyle name="Normal 56 3 2" xfId="46467" xr:uid="{00000000-0005-0000-0000-00008FB50000}"/>
    <cellStyle name="Normal 56 30" xfId="46468" xr:uid="{00000000-0005-0000-0000-000090B50000}"/>
    <cellStyle name="Normal 56 30 2" xfId="46469" xr:uid="{00000000-0005-0000-0000-000091B50000}"/>
    <cellStyle name="Normal 56 31" xfId="46470" xr:uid="{00000000-0005-0000-0000-000092B50000}"/>
    <cellStyle name="Normal 56 31 2" xfId="46471" xr:uid="{00000000-0005-0000-0000-000093B50000}"/>
    <cellStyle name="Normal 56 32" xfId="46472" xr:uid="{00000000-0005-0000-0000-000094B50000}"/>
    <cellStyle name="Normal 56 32 2" xfId="46473" xr:uid="{00000000-0005-0000-0000-000095B50000}"/>
    <cellStyle name="Normal 56 33" xfId="46474" xr:uid="{00000000-0005-0000-0000-000096B50000}"/>
    <cellStyle name="Normal 56 33 2" xfId="46475" xr:uid="{00000000-0005-0000-0000-000097B50000}"/>
    <cellStyle name="Normal 56 34" xfId="46476" xr:uid="{00000000-0005-0000-0000-000098B50000}"/>
    <cellStyle name="Normal 56 34 2" xfId="46477" xr:uid="{00000000-0005-0000-0000-000099B50000}"/>
    <cellStyle name="Normal 56 35" xfId="46478" xr:uid="{00000000-0005-0000-0000-00009AB50000}"/>
    <cellStyle name="Normal 56 35 2" xfId="46479" xr:uid="{00000000-0005-0000-0000-00009BB50000}"/>
    <cellStyle name="Normal 56 36" xfId="46480" xr:uid="{00000000-0005-0000-0000-00009CB50000}"/>
    <cellStyle name="Normal 56 36 2" xfId="46481" xr:uid="{00000000-0005-0000-0000-00009DB50000}"/>
    <cellStyle name="Normal 56 37" xfId="46482" xr:uid="{00000000-0005-0000-0000-00009EB50000}"/>
    <cellStyle name="Normal 56 37 2" xfId="46483" xr:uid="{00000000-0005-0000-0000-00009FB50000}"/>
    <cellStyle name="Normal 56 38" xfId="46484" xr:uid="{00000000-0005-0000-0000-0000A0B50000}"/>
    <cellStyle name="Normal 56 38 2" xfId="46485" xr:uid="{00000000-0005-0000-0000-0000A1B50000}"/>
    <cellStyle name="Normal 56 39" xfId="46486" xr:uid="{00000000-0005-0000-0000-0000A2B50000}"/>
    <cellStyle name="Normal 56 39 2" xfId="46487" xr:uid="{00000000-0005-0000-0000-0000A3B50000}"/>
    <cellStyle name="Normal 56 4" xfId="46488" xr:uid="{00000000-0005-0000-0000-0000A4B50000}"/>
    <cellStyle name="Normal 56 4 2" xfId="46489" xr:uid="{00000000-0005-0000-0000-0000A5B50000}"/>
    <cellStyle name="Normal 56 40" xfId="46490" xr:uid="{00000000-0005-0000-0000-0000A6B50000}"/>
    <cellStyle name="Normal 56 40 2" xfId="46491" xr:uid="{00000000-0005-0000-0000-0000A7B50000}"/>
    <cellStyle name="Normal 56 41" xfId="46492" xr:uid="{00000000-0005-0000-0000-0000A8B50000}"/>
    <cellStyle name="Normal 56 41 2" xfId="46493" xr:uid="{00000000-0005-0000-0000-0000A9B50000}"/>
    <cellStyle name="Normal 56 42" xfId="46494" xr:uid="{00000000-0005-0000-0000-0000AAB50000}"/>
    <cellStyle name="Normal 56 42 2" xfId="46495" xr:uid="{00000000-0005-0000-0000-0000ABB50000}"/>
    <cellStyle name="Normal 56 43" xfId="46496" xr:uid="{00000000-0005-0000-0000-0000ACB50000}"/>
    <cellStyle name="Normal 56 43 2" xfId="46497" xr:uid="{00000000-0005-0000-0000-0000ADB50000}"/>
    <cellStyle name="Normal 56 44" xfId="46498" xr:uid="{00000000-0005-0000-0000-0000AEB50000}"/>
    <cellStyle name="Normal 56 44 2" xfId="46499" xr:uid="{00000000-0005-0000-0000-0000AFB50000}"/>
    <cellStyle name="Normal 56 45" xfId="46500" xr:uid="{00000000-0005-0000-0000-0000B0B50000}"/>
    <cellStyle name="Normal 56 45 2" xfId="46501" xr:uid="{00000000-0005-0000-0000-0000B1B50000}"/>
    <cellStyle name="Normal 56 46" xfId="46502" xr:uid="{00000000-0005-0000-0000-0000B2B50000}"/>
    <cellStyle name="Normal 56 46 2" xfId="46503" xr:uid="{00000000-0005-0000-0000-0000B3B50000}"/>
    <cellStyle name="Normal 56 47" xfId="46504" xr:uid="{00000000-0005-0000-0000-0000B4B50000}"/>
    <cellStyle name="Normal 56 47 2" xfId="46505" xr:uid="{00000000-0005-0000-0000-0000B5B50000}"/>
    <cellStyle name="Normal 56 48" xfId="46506" xr:uid="{00000000-0005-0000-0000-0000B6B50000}"/>
    <cellStyle name="Normal 56 48 2" xfId="46507" xr:uid="{00000000-0005-0000-0000-0000B7B50000}"/>
    <cellStyle name="Normal 56 49" xfId="46508" xr:uid="{00000000-0005-0000-0000-0000B8B50000}"/>
    <cellStyle name="Normal 56 49 2" xfId="46509" xr:uid="{00000000-0005-0000-0000-0000B9B50000}"/>
    <cellStyle name="Normal 56 5" xfId="46510" xr:uid="{00000000-0005-0000-0000-0000BAB50000}"/>
    <cellStyle name="Normal 56 5 2" xfId="46511" xr:uid="{00000000-0005-0000-0000-0000BBB50000}"/>
    <cellStyle name="Normal 56 50" xfId="46512" xr:uid="{00000000-0005-0000-0000-0000BCB50000}"/>
    <cellStyle name="Normal 56 50 2" xfId="46513" xr:uid="{00000000-0005-0000-0000-0000BDB50000}"/>
    <cellStyle name="Normal 56 51" xfId="46514" xr:uid="{00000000-0005-0000-0000-0000BEB50000}"/>
    <cellStyle name="Normal 56 51 2" xfId="46515" xr:uid="{00000000-0005-0000-0000-0000BFB50000}"/>
    <cellStyle name="Normal 56 52" xfId="46516" xr:uid="{00000000-0005-0000-0000-0000C0B50000}"/>
    <cellStyle name="Normal 56 52 2" xfId="46517" xr:uid="{00000000-0005-0000-0000-0000C1B50000}"/>
    <cellStyle name="Normal 56 53" xfId="46518" xr:uid="{00000000-0005-0000-0000-0000C2B50000}"/>
    <cellStyle name="Normal 56 53 2" xfId="46519" xr:uid="{00000000-0005-0000-0000-0000C3B50000}"/>
    <cellStyle name="Normal 56 54" xfId="46520" xr:uid="{00000000-0005-0000-0000-0000C4B50000}"/>
    <cellStyle name="Normal 56 54 2" xfId="46521" xr:uid="{00000000-0005-0000-0000-0000C5B50000}"/>
    <cellStyle name="Normal 56 55" xfId="46522" xr:uid="{00000000-0005-0000-0000-0000C6B50000}"/>
    <cellStyle name="Normal 56 55 2" xfId="46523" xr:uid="{00000000-0005-0000-0000-0000C7B50000}"/>
    <cellStyle name="Normal 56 56" xfId="46524" xr:uid="{00000000-0005-0000-0000-0000C8B50000}"/>
    <cellStyle name="Normal 56 56 2" xfId="46525" xr:uid="{00000000-0005-0000-0000-0000C9B50000}"/>
    <cellStyle name="Normal 56 57" xfId="46526" xr:uid="{00000000-0005-0000-0000-0000CAB50000}"/>
    <cellStyle name="Normal 56 57 2" xfId="46527" xr:uid="{00000000-0005-0000-0000-0000CBB50000}"/>
    <cellStyle name="Normal 56 58" xfId="46528" xr:uid="{00000000-0005-0000-0000-0000CCB50000}"/>
    <cellStyle name="Normal 56 58 2" xfId="46529" xr:uid="{00000000-0005-0000-0000-0000CDB50000}"/>
    <cellStyle name="Normal 56 59" xfId="46530" xr:uid="{00000000-0005-0000-0000-0000CEB50000}"/>
    <cellStyle name="Normal 56 59 2" xfId="46531" xr:uid="{00000000-0005-0000-0000-0000CFB50000}"/>
    <cellStyle name="Normal 56 6" xfId="46532" xr:uid="{00000000-0005-0000-0000-0000D0B50000}"/>
    <cellStyle name="Normal 56 6 2" xfId="46533" xr:uid="{00000000-0005-0000-0000-0000D1B50000}"/>
    <cellStyle name="Normal 56 60" xfId="46534" xr:uid="{00000000-0005-0000-0000-0000D2B50000}"/>
    <cellStyle name="Normal 56 60 2" xfId="46535" xr:uid="{00000000-0005-0000-0000-0000D3B50000}"/>
    <cellStyle name="Normal 56 61" xfId="46536" xr:uid="{00000000-0005-0000-0000-0000D4B50000}"/>
    <cellStyle name="Normal 56 61 2" xfId="46537" xr:uid="{00000000-0005-0000-0000-0000D5B50000}"/>
    <cellStyle name="Normal 56 62" xfId="46538" xr:uid="{00000000-0005-0000-0000-0000D6B50000}"/>
    <cellStyle name="Normal 56 62 2" xfId="46539" xr:uid="{00000000-0005-0000-0000-0000D7B50000}"/>
    <cellStyle name="Normal 56 62 3" xfId="46540" xr:uid="{00000000-0005-0000-0000-0000D8B50000}"/>
    <cellStyle name="Normal 56 63" xfId="46541" xr:uid="{00000000-0005-0000-0000-0000D9B50000}"/>
    <cellStyle name="Normal 56 7" xfId="46542" xr:uid="{00000000-0005-0000-0000-0000DAB50000}"/>
    <cellStyle name="Normal 56 7 2" xfId="46543" xr:uid="{00000000-0005-0000-0000-0000DBB50000}"/>
    <cellStyle name="Normal 56 8" xfId="46544" xr:uid="{00000000-0005-0000-0000-0000DCB50000}"/>
    <cellStyle name="Normal 56 8 2" xfId="46545" xr:uid="{00000000-0005-0000-0000-0000DDB50000}"/>
    <cellStyle name="Normal 56 9" xfId="46546" xr:uid="{00000000-0005-0000-0000-0000DEB50000}"/>
    <cellStyle name="Normal 56 9 2" xfId="46547" xr:uid="{00000000-0005-0000-0000-0000DFB50000}"/>
    <cellStyle name="Normal 57" xfId="46548" xr:uid="{00000000-0005-0000-0000-0000E0B50000}"/>
    <cellStyle name="Normal 57 10" xfId="46549" xr:uid="{00000000-0005-0000-0000-0000E1B50000}"/>
    <cellStyle name="Normal 57 10 2" xfId="46550" xr:uid="{00000000-0005-0000-0000-0000E2B50000}"/>
    <cellStyle name="Normal 57 11" xfId="46551" xr:uid="{00000000-0005-0000-0000-0000E3B50000}"/>
    <cellStyle name="Normal 57 11 2" xfId="46552" xr:uid="{00000000-0005-0000-0000-0000E4B50000}"/>
    <cellStyle name="Normal 57 12" xfId="46553" xr:uid="{00000000-0005-0000-0000-0000E5B50000}"/>
    <cellStyle name="Normal 57 12 2" xfId="46554" xr:uid="{00000000-0005-0000-0000-0000E6B50000}"/>
    <cellStyle name="Normal 57 13" xfId="46555" xr:uid="{00000000-0005-0000-0000-0000E7B50000}"/>
    <cellStyle name="Normal 57 13 2" xfId="46556" xr:uid="{00000000-0005-0000-0000-0000E8B50000}"/>
    <cellStyle name="Normal 57 14" xfId="46557" xr:uid="{00000000-0005-0000-0000-0000E9B50000}"/>
    <cellStyle name="Normal 57 14 2" xfId="46558" xr:uid="{00000000-0005-0000-0000-0000EAB50000}"/>
    <cellStyle name="Normal 57 15" xfId="46559" xr:uid="{00000000-0005-0000-0000-0000EBB50000}"/>
    <cellStyle name="Normal 57 15 2" xfId="46560" xr:uid="{00000000-0005-0000-0000-0000ECB50000}"/>
    <cellStyle name="Normal 57 16" xfId="46561" xr:uid="{00000000-0005-0000-0000-0000EDB50000}"/>
    <cellStyle name="Normal 57 16 2" xfId="46562" xr:uid="{00000000-0005-0000-0000-0000EEB50000}"/>
    <cellStyle name="Normal 57 17" xfId="46563" xr:uid="{00000000-0005-0000-0000-0000EFB50000}"/>
    <cellStyle name="Normal 57 17 2" xfId="46564" xr:uid="{00000000-0005-0000-0000-0000F0B50000}"/>
    <cellStyle name="Normal 57 18" xfId="46565" xr:uid="{00000000-0005-0000-0000-0000F1B50000}"/>
    <cellStyle name="Normal 57 18 2" xfId="46566" xr:uid="{00000000-0005-0000-0000-0000F2B50000}"/>
    <cellStyle name="Normal 57 19" xfId="46567" xr:uid="{00000000-0005-0000-0000-0000F3B50000}"/>
    <cellStyle name="Normal 57 19 2" xfId="46568" xr:uid="{00000000-0005-0000-0000-0000F4B50000}"/>
    <cellStyle name="Normal 57 2" xfId="46569" xr:uid="{00000000-0005-0000-0000-0000F5B50000}"/>
    <cellStyle name="Normal 57 2 2" xfId="46570" xr:uid="{00000000-0005-0000-0000-0000F6B50000}"/>
    <cellStyle name="Normal 57 20" xfId="46571" xr:uid="{00000000-0005-0000-0000-0000F7B50000}"/>
    <cellStyle name="Normal 57 20 2" xfId="46572" xr:uid="{00000000-0005-0000-0000-0000F8B50000}"/>
    <cellStyle name="Normal 57 21" xfId="46573" xr:uid="{00000000-0005-0000-0000-0000F9B50000}"/>
    <cellStyle name="Normal 57 21 2" xfId="46574" xr:uid="{00000000-0005-0000-0000-0000FAB50000}"/>
    <cellStyle name="Normal 57 22" xfId="46575" xr:uid="{00000000-0005-0000-0000-0000FBB50000}"/>
    <cellStyle name="Normal 57 22 2" xfId="46576" xr:uid="{00000000-0005-0000-0000-0000FCB50000}"/>
    <cellStyle name="Normal 57 23" xfId="46577" xr:uid="{00000000-0005-0000-0000-0000FDB50000}"/>
    <cellStyle name="Normal 57 23 2" xfId="46578" xr:uid="{00000000-0005-0000-0000-0000FEB50000}"/>
    <cellStyle name="Normal 57 24" xfId="46579" xr:uid="{00000000-0005-0000-0000-0000FFB50000}"/>
    <cellStyle name="Normal 57 24 2" xfId="46580" xr:uid="{00000000-0005-0000-0000-000000B60000}"/>
    <cellStyle name="Normal 57 25" xfId="46581" xr:uid="{00000000-0005-0000-0000-000001B60000}"/>
    <cellStyle name="Normal 57 25 2" xfId="46582" xr:uid="{00000000-0005-0000-0000-000002B60000}"/>
    <cellStyle name="Normal 57 26" xfId="46583" xr:uid="{00000000-0005-0000-0000-000003B60000}"/>
    <cellStyle name="Normal 57 26 2" xfId="46584" xr:uid="{00000000-0005-0000-0000-000004B60000}"/>
    <cellStyle name="Normal 57 27" xfId="46585" xr:uid="{00000000-0005-0000-0000-000005B60000}"/>
    <cellStyle name="Normal 57 27 2" xfId="46586" xr:uid="{00000000-0005-0000-0000-000006B60000}"/>
    <cellStyle name="Normal 57 28" xfId="46587" xr:uid="{00000000-0005-0000-0000-000007B60000}"/>
    <cellStyle name="Normal 57 28 2" xfId="46588" xr:uid="{00000000-0005-0000-0000-000008B60000}"/>
    <cellStyle name="Normal 57 29" xfId="46589" xr:uid="{00000000-0005-0000-0000-000009B60000}"/>
    <cellStyle name="Normal 57 29 2" xfId="46590" xr:uid="{00000000-0005-0000-0000-00000AB60000}"/>
    <cellStyle name="Normal 57 3" xfId="46591" xr:uid="{00000000-0005-0000-0000-00000BB60000}"/>
    <cellStyle name="Normal 57 3 2" xfId="46592" xr:uid="{00000000-0005-0000-0000-00000CB60000}"/>
    <cellStyle name="Normal 57 30" xfId="46593" xr:uid="{00000000-0005-0000-0000-00000DB60000}"/>
    <cellStyle name="Normal 57 30 2" xfId="46594" xr:uid="{00000000-0005-0000-0000-00000EB60000}"/>
    <cellStyle name="Normal 57 31" xfId="46595" xr:uid="{00000000-0005-0000-0000-00000FB60000}"/>
    <cellStyle name="Normal 57 31 2" xfId="46596" xr:uid="{00000000-0005-0000-0000-000010B60000}"/>
    <cellStyle name="Normal 57 32" xfId="46597" xr:uid="{00000000-0005-0000-0000-000011B60000}"/>
    <cellStyle name="Normal 57 32 2" xfId="46598" xr:uid="{00000000-0005-0000-0000-000012B60000}"/>
    <cellStyle name="Normal 57 33" xfId="46599" xr:uid="{00000000-0005-0000-0000-000013B60000}"/>
    <cellStyle name="Normal 57 33 2" xfId="46600" xr:uid="{00000000-0005-0000-0000-000014B60000}"/>
    <cellStyle name="Normal 57 34" xfId="46601" xr:uid="{00000000-0005-0000-0000-000015B60000}"/>
    <cellStyle name="Normal 57 34 2" xfId="46602" xr:uid="{00000000-0005-0000-0000-000016B60000}"/>
    <cellStyle name="Normal 57 35" xfId="46603" xr:uid="{00000000-0005-0000-0000-000017B60000}"/>
    <cellStyle name="Normal 57 35 2" xfId="46604" xr:uid="{00000000-0005-0000-0000-000018B60000}"/>
    <cellStyle name="Normal 57 36" xfId="46605" xr:uid="{00000000-0005-0000-0000-000019B60000}"/>
    <cellStyle name="Normal 57 36 2" xfId="46606" xr:uid="{00000000-0005-0000-0000-00001AB60000}"/>
    <cellStyle name="Normal 57 37" xfId="46607" xr:uid="{00000000-0005-0000-0000-00001BB60000}"/>
    <cellStyle name="Normal 57 37 2" xfId="46608" xr:uid="{00000000-0005-0000-0000-00001CB60000}"/>
    <cellStyle name="Normal 57 38" xfId="46609" xr:uid="{00000000-0005-0000-0000-00001DB60000}"/>
    <cellStyle name="Normal 57 38 2" xfId="46610" xr:uid="{00000000-0005-0000-0000-00001EB60000}"/>
    <cellStyle name="Normal 57 39" xfId="46611" xr:uid="{00000000-0005-0000-0000-00001FB60000}"/>
    <cellStyle name="Normal 57 39 2" xfId="46612" xr:uid="{00000000-0005-0000-0000-000020B60000}"/>
    <cellStyle name="Normal 57 4" xfId="46613" xr:uid="{00000000-0005-0000-0000-000021B60000}"/>
    <cellStyle name="Normal 57 4 2" xfId="46614" xr:uid="{00000000-0005-0000-0000-000022B60000}"/>
    <cellStyle name="Normal 57 40" xfId="46615" xr:uid="{00000000-0005-0000-0000-000023B60000}"/>
    <cellStyle name="Normal 57 40 2" xfId="46616" xr:uid="{00000000-0005-0000-0000-000024B60000}"/>
    <cellStyle name="Normal 57 41" xfId="46617" xr:uid="{00000000-0005-0000-0000-000025B60000}"/>
    <cellStyle name="Normal 57 41 2" xfId="46618" xr:uid="{00000000-0005-0000-0000-000026B60000}"/>
    <cellStyle name="Normal 57 42" xfId="46619" xr:uid="{00000000-0005-0000-0000-000027B60000}"/>
    <cellStyle name="Normal 57 42 2" xfId="46620" xr:uid="{00000000-0005-0000-0000-000028B60000}"/>
    <cellStyle name="Normal 57 43" xfId="46621" xr:uid="{00000000-0005-0000-0000-000029B60000}"/>
    <cellStyle name="Normal 57 43 2" xfId="46622" xr:uid="{00000000-0005-0000-0000-00002AB60000}"/>
    <cellStyle name="Normal 57 44" xfId="46623" xr:uid="{00000000-0005-0000-0000-00002BB60000}"/>
    <cellStyle name="Normal 57 44 2" xfId="46624" xr:uid="{00000000-0005-0000-0000-00002CB60000}"/>
    <cellStyle name="Normal 57 45" xfId="46625" xr:uid="{00000000-0005-0000-0000-00002DB60000}"/>
    <cellStyle name="Normal 57 45 2" xfId="46626" xr:uid="{00000000-0005-0000-0000-00002EB60000}"/>
    <cellStyle name="Normal 57 46" xfId="46627" xr:uid="{00000000-0005-0000-0000-00002FB60000}"/>
    <cellStyle name="Normal 57 46 2" xfId="46628" xr:uid="{00000000-0005-0000-0000-000030B60000}"/>
    <cellStyle name="Normal 57 47" xfId="46629" xr:uid="{00000000-0005-0000-0000-000031B60000}"/>
    <cellStyle name="Normal 57 47 2" xfId="46630" xr:uid="{00000000-0005-0000-0000-000032B60000}"/>
    <cellStyle name="Normal 57 48" xfId="46631" xr:uid="{00000000-0005-0000-0000-000033B60000}"/>
    <cellStyle name="Normal 57 48 2" xfId="46632" xr:uid="{00000000-0005-0000-0000-000034B60000}"/>
    <cellStyle name="Normal 57 49" xfId="46633" xr:uid="{00000000-0005-0000-0000-000035B60000}"/>
    <cellStyle name="Normal 57 49 2" xfId="46634" xr:uid="{00000000-0005-0000-0000-000036B60000}"/>
    <cellStyle name="Normal 57 5" xfId="46635" xr:uid="{00000000-0005-0000-0000-000037B60000}"/>
    <cellStyle name="Normal 57 5 2" xfId="46636" xr:uid="{00000000-0005-0000-0000-000038B60000}"/>
    <cellStyle name="Normal 57 50" xfId="46637" xr:uid="{00000000-0005-0000-0000-000039B60000}"/>
    <cellStyle name="Normal 57 50 2" xfId="46638" xr:uid="{00000000-0005-0000-0000-00003AB60000}"/>
    <cellStyle name="Normal 57 51" xfId="46639" xr:uid="{00000000-0005-0000-0000-00003BB60000}"/>
    <cellStyle name="Normal 57 51 2" xfId="46640" xr:uid="{00000000-0005-0000-0000-00003CB60000}"/>
    <cellStyle name="Normal 57 52" xfId="46641" xr:uid="{00000000-0005-0000-0000-00003DB60000}"/>
    <cellStyle name="Normal 57 52 2" xfId="46642" xr:uid="{00000000-0005-0000-0000-00003EB60000}"/>
    <cellStyle name="Normal 57 53" xfId="46643" xr:uid="{00000000-0005-0000-0000-00003FB60000}"/>
    <cellStyle name="Normal 57 53 2" xfId="46644" xr:uid="{00000000-0005-0000-0000-000040B60000}"/>
    <cellStyle name="Normal 57 54" xfId="46645" xr:uid="{00000000-0005-0000-0000-000041B60000}"/>
    <cellStyle name="Normal 57 54 2" xfId="46646" xr:uid="{00000000-0005-0000-0000-000042B60000}"/>
    <cellStyle name="Normal 57 55" xfId="46647" xr:uid="{00000000-0005-0000-0000-000043B60000}"/>
    <cellStyle name="Normal 57 55 2" xfId="46648" xr:uid="{00000000-0005-0000-0000-000044B60000}"/>
    <cellStyle name="Normal 57 56" xfId="46649" xr:uid="{00000000-0005-0000-0000-000045B60000}"/>
    <cellStyle name="Normal 57 56 2" xfId="46650" xr:uid="{00000000-0005-0000-0000-000046B60000}"/>
    <cellStyle name="Normal 57 57" xfId="46651" xr:uid="{00000000-0005-0000-0000-000047B60000}"/>
    <cellStyle name="Normal 57 57 2" xfId="46652" xr:uid="{00000000-0005-0000-0000-000048B60000}"/>
    <cellStyle name="Normal 57 58" xfId="46653" xr:uid="{00000000-0005-0000-0000-000049B60000}"/>
    <cellStyle name="Normal 57 58 2" xfId="46654" xr:uid="{00000000-0005-0000-0000-00004AB60000}"/>
    <cellStyle name="Normal 57 59" xfId="46655" xr:uid="{00000000-0005-0000-0000-00004BB60000}"/>
    <cellStyle name="Normal 57 6" xfId="46656" xr:uid="{00000000-0005-0000-0000-00004CB60000}"/>
    <cellStyle name="Normal 57 6 2" xfId="46657" xr:uid="{00000000-0005-0000-0000-00004DB60000}"/>
    <cellStyle name="Normal 57 7" xfId="46658" xr:uid="{00000000-0005-0000-0000-00004EB60000}"/>
    <cellStyle name="Normal 57 7 2" xfId="46659" xr:uid="{00000000-0005-0000-0000-00004FB60000}"/>
    <cellStyle name="Normal 57 8" xfId="46660" xr:uid="{00000000-0005-0000-0000-000050B60000}"/>
    <cellStyle name="Normal 57 8 2" xfId="46661" xr:uid="{00000000-0005-0000-0000-000051B60000}"/>
    <cellStyle name="Normal 57 9" xfId="46662" xr:uid="{00000000-0005-0000-0000-000052B60000}"/>
    <cellStyle name="Normal 57 9 2" xfId="46663" xr:uid="{00000000-0005-0000-0000-000053B60000}"/>
    <cellStyle name="Normal 58" xfId="46664" xr:uid="{00000000-0005-0000-0000-000054B60000}"/>
    <cellStyle name="Normal 58 10" xfId="46665" xr:uid="{00000000-0005-0000-0000-000055B60000}"/>
    <cellStyle name="Normal 58 10 2" xfId="46666" xr:uid="{00000000-0005-0000-0000-000056B60000}"/>
    <cellStyle name="Normal 58 11" xfId="46667" xr:uid="{00000000-0005-0000-0000-000057B60000}"/>
    <cellStyle name="Normal 58 11 2" xfId="46668" xr:uid="{00000000-0005-0000-0000-000058B60000}"/>
    <cellStyle name="Normal 58 12" xfId="46669" xr:uid="{00000000-0005-0000-0000-000059B60000}"/>
    <cellStyle name="Normal 58 12 2" xfId="46670" xr:uid="{00000000-0005-0000-0000-00005AB60000}"/>
    <cellStyle name="Normal 58 13" xfId="46671" xr:uid="{00000000-0005-0000-0000-00005BB60000}"/>
    <cellStyle name="Normal 58 13 2" xfId="46672" xr:uid="{00000000-0005-0000-0000-00005CB60000}"/>
    <cellStyle name="Normal 58 14" xfId="46673" xr:uid="{00000000-0005-0000-0000-00005DB60000}"/>
    <cellStyle name="Normal 58 14 2" xfId="46674" xr:uid="{00000000-0005-0000-0000-00005EB60000}"/>
    <cellStyle name="Normal 58 15" xfId="46675" xr:uid="{00000000-0005-0000-0000-00005FB60000}"/>
    <cellStyle name="Normal 58 15 2" xfId="46676" xr:uid="{00000000-0005-0000-0000-000060B60000}"/>
    <cellStyle name="Normal 58 16" xfId="46677" xr:uid="{00000000-0005-0000-0000-000061B60000}"/>
    <cellStyle name="Normal 58 16 2" xfId="46678" xr:uid="{00000000-0005-0000-0000-000062B60000}"/>
    <cellStyle name="Normal 58 17" xfId="46679" xr:uid="{00000000-0005-0000-0000-000063B60000}"/>
    <cellStyle name="Normal 58 17 2" xfId="46680" xr:uid="{00000000-0005-0000-0000-000064B60000}"/>
    <cellStyle name="Normal 58 18" xfId="46681" xr:uid="{00000000-0005-0000-0000-000065B60000}"/>
    <cellStyle name="Normal 58 18 2" xfId="46682" xr:uid="{00000000-0005-0000-0000-000066B60000}"/>
    <cellStyle name="Normal 58 19" xfId="46683" xr:uid="{00000000-0005-0000-0000-000067B60000}"/>
    <cellStyle name="Normal 58 19 2" xfId="46684" xr:uid="{00000000-0005-0000-0000-000068B60000}"/>
    <cellStyle name="Normal 58 2" xfId="46685" xr:uid="{00000000-0005-0000-0000-000069B60000}"/>
    <cellStyle name="Normal 58 2 2" xfId="46686" xr:uid="{00000000-0005-0000-0000-00006AB60000}"/>
    <cellStyle name="Normal 58 20" xfId="46687" xr:uid="{00000000-0005-0000-0000-00006BB60000}"/>
    <cellStyle name="Normal 58 20 2" xfId="46688" xr:uid="{00000000-0005-0000-0000-00006CB60000}"/>
    <cellStyle name="Normal 58 21" xfId="46689" xr:uid="{00000000-0005-0000-0000-00006DB60000}"/>
    <cellStyle name="Normal 58 21 2" xfId="46690" xr:uid="{00000000-0005-0000-0000-00006EB60000}"/>
    <cellStyle name="Normal 58 22" xfId="46691" xr:uid="{00000000-0005-0000-0000-00006FB60000}"/>
    <cellStyle name="Normal 58 22 2" xfId="46692" xr:uid="{00000000-0005-0000-0000-000070B60000}"/>
    <cellStyle name="Normal 58 23" xfId="46693" xr:uid="{00000000-0005-0000-0000-000071B60000}"/>
    <cellStyle name="Normal 58 23 2" xfId="46694" xr:uid="{00000000-0005-0000-0000-000072B60000}"/>
    <cellStyle name="Normal 58 24" xfId="46695" xr:uid="{00000000-0005-0000-0000-000073B60000}"/>
    <cellStyle name="Normal 58 24 2" xfId="46696" xr:uid="{00000000-0005-0000-0000-000074B60000}"/>
    <cellStyle name="Normal 58 25" xfId="46697" xr:uid="{00000000-0005-0000-0000-000075B60000}"/>
    <cellStyle name="Normal 58 25 2" xfId="46698" xr:uid="{00000000-0005-0000-0000-000076B60000}"/>
    <cellStyle name="Normal 58 26" xfId="46699" xr:uid="{00000000-0005-0000-0000-000077B60000}"/>
    <cellStyle name="Normal 58 26 2" xfId="46700" xr:uid="{00000000-0005-0000-0000-000078B60000}"/>
    <cellStyle name="Normal 58 27" xfId="46701" xr:uid="{00000000-0005-0000-0000-000079B60000}"/>
    <cellStyle name="Normal 58 27 2" xfId="46702" xr:uid="{00000000-0005-0000-0000-00007AB60000}"/>
    <cellStyle name="Normal 58 28" xfId="46703" xr:uid="{00000000-0005-0000-0000-00007BB60000}"/>
    <cellStyle name="Normal 58 28 2" xfId="46704" xr:uid="{00000000-0005-0000-0000-00007CB60000}"/>
    <cellStyle name="Normal 58 29" xfId="46705" xr:uid="{00000000-0005-0000-0000-00007DB60000}"/>
    <cellStyle name="Normal 58 29 2" xfId="46706" xr:uid="{00000000-0005-0000-0000-00007EB60000}"/>
    <cellStyle name="Normal 58 3" xfId="46707" xr:uid="{00000000-0005-0000-0000-00007FB60000}"/>
    <cellStyle name="Normal 58 3 2" xfId="46708" xr:uid="{00000000-0005-0000-0000-000080B60000}"/>
    <cellStyle name="Normal 58 30" xfId="46709" xr:uid="{00000000-0005-0000-0000-000081B60000}"/>
    <cellStyle name="Normal 58 30 2" xfId="46710" xr:uid="{00000000-0005-0000-0000-000082B60000}"/>
    <cellStyle name="Normal 58 31" xfId="46711" xr:uid="{00000000-0005-0000-0000-000083B60000}"/>
    <cellStyle name="Normal 58 31 2" xfId="46712" xr:uid="{00000000-0005-0000-0000-000084B60000}"/>
    <cellStyle name="Normal 58 32" xfId="46713" xr:uid="{00000000-0005-0000-0000-000085B60000}"/>
    <cellStyle name="Normal 58 32 2" xfId="46714" xr:uid="{00000000-0005-0000-0000-000086B60000}"/>
    <cellStyle name="Normal 58 33" xfId="46715" xr:uid="{00000000-0005-0000-0000-000087B60000}"/>
    <cellStyle name="Normal 58 33 2" xfId="46716" xr:uid="{00000000-0005-0000-0000-000088B60000}"/>
    <cellStyle name="Normal 58 34" xfId="46717" xr:uid="{00000000-0005-0000-0000-000089B60000}"/>
    <cellStyle name="Normal 58 34 2" xfId="46718" xr:uid="{00000000-0005-0000-0000-00008AB60000}"/>
    <cellStyle name="Normal 58 35" xfId="46719" xr:uid="{00000000-0005-0000-0000-00008BB60000}"/>
    <cellStyle name="Normal 58 35 2" xfId="46720" xr:uid="{00000000-0005-0000-0000-00008CB60000}"/>
    <cellStyle name="Normal 58 36" xfId="46721" xr:uid="{00000000-0005-0000-0000-00008DB60000}"/>
    <cellStyle name="Normal 58 36 2" xfId="46722" xr:uid="{00000000-0005-0000-0000-00008EB60000}"/>
    <cellStyle name="Normal 58 37" xfId="46723" xr:uid="{00000000-0005-0000-0000-00008FB60000}"/>
    <cellStyle name="Normal 58 37 2" xfId="46724" xr:uid="{00000000-0005-0000-0000-000090B60000}"/>
    <cellStyle name="Normal 58 38" xfId="46725" xr:uid="{00000000-0005-0000-0000-000091B60000}"/>
    <cellStyle name="Normal 58 38 2" xfId="46726" xr:uid="{00000000-0005-0000-0000-000092B60000}"/>
    <cellStyle name="Normal 58 39" xfId="46727" xr:uid="{00000000-0005-0000-0000-000093B60000}"/>
    <cellStyle name="Normal 58 39 2" xfId="46728" xr:uid="{00000000-0005-0000-0000-000094B60000}"/>
    <cellStyle name="Normal 58 4" xfId="46729" xr:uid="{00000000-0005-0000-0000-000095B60000}"/>
    <cellStyle name="Normal 58 4 2" xfId="46730" xr:uid="{00000000-0005-0000-0000-000096B60000}"/>
    <cellStyle name="Normal 58 40" xfId="46731" xr:uid="{00000000-0005-0000-0000-000097B60000}"/>
    <cellStyle name="Normal 58 40 2" xfId="46732" xr:uid="{00000000-0005-0000-0000-000098B60000}"/>
    <cellStyle name="Normal 58 41" xfId="46733" xr:uid="{00000000-0005-0000-0000-000099B60000}"/>
    <cellStyle name="Normal 58 41 2" xfId="46734" xr:uid="{00000000-0005-0000-0000-00009AB60000}"/>
    <cellStyle name="Normal 58 42" xfId="46735" xr:uid="{00000000-0005-0000-0000-00009BB60000}"/>
    <cellStyle name="Normal 58 42 2" xfId="46736" xr:uid="{00000000-0005-0000-0000-00009CB60000}"/>
    <cellStyle name="Normal 58 43" xfId="46737" xr:uid="{00000000-0005-0000-0000-00009DB60000}"/>
    <cellStyle name="Normal 58 43 2" xfId="46738" xr:uid="{00000000-0005-0000-0000-00009EB60000}"/>
    <cellStyle name="Normal 58 44" xfId="46739" xr:uid="{00000000-0005-0000-0000-00009FB60000}"/>
    <cellStyle name="Normal 58 44 2" xfId="46740" xr:uid="{00000000-0005-0000-0000-0000A0B60000}"/>
    <cellStyle name="Normal 58 45" xfId="46741" xr:uid="{00000000-0005-0000-0000-0000A1B60000}"/>
    <cellStyle name="Normal 58 45 2" xfId="46742" xr:uid="{00000000-0005-0000-0000-0000A2B60000}"/>
    <cellStyle name="Normal 58 46" xfId="46743" xr:uid="{00000000-0005-0000-0000-0000A3B60000}"/>
    <cellStyle name="Normal 58 46 2" xfId="46744" xr:uid="{00000000-0005-0000-0000-0000A4B60000}"/>
    <cellStyle name="Normal 58 47" xfId="46745" xr:uid="{00000000-0005-0000-0000-0000A5B60000}"/>
    <cellStyle name="Normal 58 47 2" xfId="46746" xr:uid="{00000000-0005-0000-0000-0000A6B60000}"/>
    <cellStyle name="Normal 58 48" xfId="46747" xr:uid="{00000000-0005-0000-0000-0000A7B60000}"/>
    <cellStyle name="Normal 58 48 2" xfId="46748" xr:uid="{00000000-0005-0000-0000-0000A8B60000}"/>
    <cellStyle name="Normal 58 49" xfId="46749" xr:uid="{00000000-0005-0000-0000-0000A9B60000}"/>
    <cellStyle name="Normal 58 49 2" xfId="46750" xr:uid="{00000000-0005-0000-0000-0000AAB60000}"/>
    <cellStyle name="Normal 58 5" xfId="46751" xr:uid="{00000000-0005-0000-0000-0000ABB60000}"/>
    <cellStyle name="Normal 58 5 2" xfId="46752" xr:uid="{00000000-0005-0000-0000-0000ACB60000}"/>
    <cellStyle name="Normal 58 50" xfId="46753" xr:uid="{00000000-0005-0000-0000-0000ADB60000}"/>
    <cellStyle name="Normal 58 50 2" xfId="46754" xr:uid="{00000000-0005-0000-0000-0000AEB60000}"/>
    <cellStyle name="Normal 58 51" xfId="46755" xr:uid="{00000000-0005-0000-0000-0000AFB60000}"/>
    <cellStyle name="Normal 58 51 2" xfId="46756" xr:uid="{00000000-0005-0000-0000-0000B0B60000}"/>
    <cellStyle name="Normal 58 52" xfId="46757" xr:uid="{00000000-0005-0000-0000-0000B1B60000}"/>
    <cellStyle name="Normal 58 52 2" xfId="46758" xr:uid="{00000000-0005-0000-0000-0000B2B60000}"/>
    <cellStyle name="Normal 58 53" xfId="46759" xr:uid="{00000000-0005-0000-0000-0000B3B60000}"/>
    <cellStyle name="Normal 58 53 2" xfId="46760" xr:uid="{00000000-0005-0000-0000-0000B4B60000}"/>
    <cellStyle name="Normal 58 54" xfId="46761" xr:uid="{00000000-0005-0000-0000-0000B5B60000}"/>
    <cellStyle name="Normal 58 54 2" xfId="46762" xr:uid="{00000000-0005-0000-0000-0000B6B60000}"/>
    <cellStyle name="Normal 58 55" xfId="46763" xr:uid="{00000000-0005-0000-0000-0000B7B60000}"/>
    <cellStyle name="Normal 58 55 2" xfId="46764" xr:uid="{00000000-0005-0000-0000-0000B8B60000}"/>
    <cellStyle name="Normal 58 56" xfId="46765" xr:uid="{00000000-0005-0000-0000-0000B9B60000}"/>
    <cellStyle name="Normal 58 56 2" xfId="46766" xr:uid="{00000000-0005-0000-0000-0000BAB60000}"/>
    <cellStyle name="Normal 58 57" xfId="46767" xr:uid="{00000000-0005-0000-0000-0000BBB60000}"/>
    <cellStyle name="Normal 58 57 2" xfId="46768" xr:uid="{00000000-0005-0000-0000-0000BCB60000}"/>
    <cellStyle name="Normal 58 58" xfId="46769" xr:uid="{00000000-0005-0000-0000-0000BDB60000}"/>
    <cellStyle name="Normal 58 58 2" xfId="46770" xr:uid="{00000000-0005-0000-0000-0000BEB60000}"/>
    <cellStyle name="Normal 58 59" xfId="46771" xr:uid="{00000000-0005-0000-0000-0000BFB60000}"/>
    <cellStyle name="Normal 58 6" xfId="46772" xr:uid="{00000000-0005-0000-0000-0000C0B60000}"/>
    <cellStyle name="Normal 58 6 2" xfId="46773" xr:uid="{00000000-0005-0000-0000-0000C1B60000}"/>
    <cellStyle name="Normal 58 7" xfId="46774" xr:uid="{00000000-0005-0000-0000-0000C2B60000}"/>
    <cellStyle name="Normal 58 7 2" xfId="46775" xr:uid="{00000000-0005-0000-0000-0000C3B60000}"/>
    <cellStyle name="Normal 58 8" xfId="46776" xr:uid="{00000000-0005-0000-0000-0000C4B60000}"/>
    <cellStyle name="Normal 58 8 2" xfId="46777" xr:uid="{00000000-0005-0000-0000-0000C5B60000}"/>
    <cellStyle name="Normal 58 9" xfId="46778" xr:uid="{00000000-0005-0000-0000-0000C6B60000}"/>
    <cellStyle name="Normal 58 9 2" xfId="46779" xr:uid="{00000000-0005-0000-0000-0000C7B60000}"/>
    <cellStyle name="Normal 59" xfId="46780" xr:uid="{00000000-0005-0000-0000-0000C8B60000}"/>
    <cellStyle name="Normal 59 10" xfId="46781" xr:uid="{00000000-0005-0000-0000-0000C9B60000}"/>
    <cellStyle name="Normal 59 10 2" xfId="46782" xr:uid="{00000000-0005-0000-0000-0000CAB60000}"/>
    <cellStyle name="Normal 59 11" xfId="46783" xr:uid="{00000000-0005-0000-0000-0000CBB60000}"/>
    <cellStyle name="Normal 59 11 2" xfId="46784" xr:uid="{00000000-0005-0000-0000-0000CCB60000}"/>
    <cellStyle name="Normal 59 12" xfId="46785" xr:uid="{00000000-0005-0000-0000-0000CDB60000}"/>
    <cellStyle name="Normal 59 12 2" xfId="46786" xr:uid="{00000000-0005-0000-0000-0000CEB60000}"/>
    <cellStyle name="Normal 59 13" xfId="46787" xr:uid="{00000000-0005-0000-0000-0000CFB60000}"/>
    <cellStyle name="Normal 59 13 2" xfId="46788" xr:uid="{00000000-0005-0000-0000-0000D0B60000}"/>
    <cellStyle name="Normal 59 14" xfId="46789" xr:uid="{00000000-0005-0000-0000-0000D1B60000}"/>
    <cellStyle name="Normal 59 14 2" xfId="46790" xr:uid="{00000000-0005-0000-0000-0000D2B60000}"/>
    <cellStyle name="Normal 59 15" xfId="46791" xr:uid="{00000000-0005-0000-0000-0000D3B60000}"/>
    <cellStyle name="Normal 59 15 2" xfId="46792" xr:uid="{00000000-0005-0000-0000-0000D4B60000}"/>
    <cellStyle name="Normal 59 16" xfId="46793" xr:uid="{00000000-0005-0000-0000-0000D5B60000}"/>
    <cellStyle name="Normal 59 16 2" xfId="46794" xr:uid="{00000000-0005-0000-0000-0000D6B60000}"/>
    <cellStyle name="Normal 59 17" xfId="46795" xr:uid="{00000000-0005-0000-0000-0000D7B60000}"/>
    <cellStyle name="Normal 59 17 2" xfId="46796" xr:uid="{00000000-0005-0000-0000-0000D8B60000}"/>
    <cellStyle name="Normal 59 18" xfId="46797" xr:uid="{00000000-0005-0000-0000-0000D9B60000}"/>
    <cellStyle name="Normal 59 18 2" xfId="46798" xr:uid="{00000000-0005-0000-0000-0000DAB60000}"/>
    <cellStyle name="Normal 59 19" xfId="46799" xr:uid="{00000000-0005-0000-0000-0000DBB60000}"/>
    <cellStyle name="Normal 59 19 2" xfId="46800" xr:uid="{00000000-0005-0000-0000-0000DCB60000}"/>
    <cellStyle name="Normal 59 2" xfId="46801" xr:uid="{00000000-0005-0000-0000-0000DDB60000}"/>
    <cellStyle name="Normal 59 2 2" xfId="46802" xr:uid="{00000000-0005-0000-0000-0000DEB60000}"/>
    <cellStyle name="Normal 59 20" xfId="46803" xr:uid="{00000000-0005-0000-0000-0000DFB60000}"/>
    <cellStyle name="Normal 59 20 2" xfId="46804" xr:uid="{00000000-0005-0000-0000-0000E0B60000}"/>
    <cellStyle name="Normal 59 21" xfId="46805" xr:uid="{00000000-0005-0000-0000-0000E1B60000}"/>
    <cellStyle name="Normal 59 21 2" xfId="46806" xr:uid="{00000000-0005-0000-0000-0000E2B60000}"/>
    <cellStyle name="Normal 59 22" xfId="46807" xr:uid="{00000000-0005-0000-0000-0000E3B60000}"/>
    <cellStyle name="Normal 59 22 2" xfId="46808" xr:uid="{00000000-0005-0000-0000-0000E4B60000}"/>
    <cellStyle name="Normal 59 23" xfId="46809" xr:uid="{00000000-0005-0000-0000-0000E5B60000}"/>
    <cellStyle name="Normal 59 23 2" xfId="46810" xr:uid="{00000000-0005-0000-0000-0000E6B60000}"/>
    <cellStyle name="Normal 59 24" xfId="46811" xr:uid="{00000000-0005-0000-0000-0000E7B60000}"/>
    <cellStyle name="Normal 59 24 2" xfId="46812" xr:uid="{00000000-0005-0000-0000-0000E8B60000}"/>
    <cellStyle name="Normal 59 25" xfId="46813" xr:uid="{00000000-0005-0000-0000-0000E9B60000}"/>
    <cellStyle name="Normal 59 25 2" xfId="46814" xr:uid="{00000000-0005-0000-0000-0000EAB60000}"/>
    <cellStyle name="Normal 59 26" xfId="46815" xr:uid="{00000000-0005-0000-0000-0000EBB60000}"/>
    <cellStyle name="Normal 59 26 2" xfId="46816" xr:uid="{00000000-0005-0000-0000-0000ECB60000}"/>
    <cellStyle name="Normal 59 27" xfId="46817" xr:uid="{00000000-0005-0000-0000-0000EDB60000}"/>
    <cellStyle name="Normal 59 27 2" xfId="46818" xr:uid="{00000000-0005-0000-0000-0000EEB60000}"/>
    <cellStyle name="Normal 59 28" xfId="46819" xr:uid="{00000000-0005-0000-0000-0000EFB60000}"/>
    <cellStyle name="Normal 59 28 2" xfId="46820" xr:uid="{00000000-0005-0000-0000-0000F0B60000}"/>
    <cellStyle name="Normal 59 29" xfId="46821" xr:uid="{00000000-0005-0000-0000-0000F1B60000}"/>
    <cellStyle name="Normal 59 29 2" xfId="46822" xr:uid="{00000000-0005-0000-0000-0000F2B60000}"/>
    <cellStyle name="Normal 59 3" xfId="46823" xr:uid="{00000000-0005-0000-0000-0000F3B60000}"/>
    <cellStyle name="Normal 59 3 2" xfId="46824" xr:uid="{00000000-0005-0000-0000-0000F4B60000}"/>
    <cellStyle name="Normal 59 30" xfId="46825" xr:uid="{00000000-0005-0000-0000-0000F5B60000}"/>
    <cellStyle name="Normal 59 30 2" xfId="46826" xr:uid="{00000000-0005-0000-0000-0000F6B60000}"/>
    <cellStyle name="Normal 59 31" xfId="46827" xr:uid="{00000000-0005-0000-0000-0000F7B60000}"/>
    <cellStyle name="Normal 59 31 2" xfId="46828" xr:uid="{00000000-0005-0000-0000-0000F8B60000}"/>
    <cellStyle name="Normal 59 32" xfId="46829" xr:uid="{00000000-0005-0000-0000-0000F9B60000}"/>
    <cellStyle name="Normal 59 32 2" xfId="46830" xr:uid="{00000000-0005-0000-0000-0000FAB60000}"/>
    <cellStyle name="Normal 59 33" xfId="46831" xr:uid="{00000000-0005-0000-0000-0000FBB60000}"/>
    <cellStyle name="Normal 59 33 2" xfId="46832" xr:uid="{00000000-0005-0000-0000-0000FCB60000}"/>
    <cellStyle name="Normal 59 34" xfId="46833" xr:uid="{00000000-0005-0000-0000-0000FDB60000}"/>
    <cellStyle name="Normal 59 34 2" xfId="46834" xr:uid="{00000000-0005-0000-0000-0000FEB60000}"/>
    <cellStyle name="Normal 59 35" xfId="46835" xr:uid="{00000000-0005-0000-0000-0000FFB60000}"/>
    <cellStyle name="Normal 59 35 2" xfId="46836" xr:uid="{00000000-0005-0000-0000-000000B70000}"/>
    <cellStyle name="Normal 59 36" xfId="46837" xr:uid="{00000000-0005-0000-0000-000001B70000}"/>
    <cellStyle name="Normal 59 36 2" xfId="46838" xr:uid="{00000000-0005-0000-0000-000002B70000}"/>
    <cellStyle name="Normal 59 37" xfId="46839" xr:uid="{00000000-0005-0000-0000-000003B70000}"/>
    <cellStyle name="Normal 59 37 2" xfId="46840" xr:uid="{00000000-0005-0000-0000-000004B70000}"/>
    <cellStyle name="Normal 59 38" xfId="46841" xr:uid="{00000000-0005-0000-0000-000005B70000}"/>
    <cellStyle name="Normal 59 38 2" xfId="46842" xr:uid="{00000000-0005-0000-0000-000006B70000}"/>
    <cellStyle name="Normal 59 39" xfId="46843" xr:uid="{00000000-0005-0000-0000-000007B70000}"/>
    <cellStyle name="Normal 59 39 2" xfId="46844" xr:uid="{00000000-0005-0000-0000-000008B70000}"/>
    <cellStyle name="Normal 59 4" xfId="46845" xr:uid="{00000000-0005-0000-0000-000009B70000}"/>
    <cellStyle name="Normal 59 4 2" xfId="46846" xr:uid="{00000000-0005-0000-0000-00000AB70000}"/>
    <cellStyle name="Normal 59 40" xfId="46847" xr:uid="{00000000-0005-0000-0000-00000BB70000}"/>
    <cellStyle name="Normal 59 40 2" xfId="46848" xr:uid="{00000000-0005-0000-0000-00000CB70000}"/>
    <cellStyle name="Normal 59 41" xfId="46849" xr:uid="{00000000-0005-0000-0000-00000DB70000}"/>
    <cellStyle name="Normal 59 41 2" xfId="46850" xr:uid="{00000000-0005-0000-0000-00000EB70000}"/>
    <cellStyle name="Normal 59 42" xfId="46851" xr:uid="{00000000-0005-0000-0000-00000FB70000}"/>
    <cellStyle name="Normal 59 42 2" xfId="46852" xr:uid="{00000000-0005-0000-0000-000010B70000}"/>
    <cellStyle name="Normal 59 43" xfId="46853" xr:uid="{00000000-0005-0000-0000-000011B70000}"/>
    <cellStyle name="Normal 59 43 2" xfId="46854" xr:uid="{00000000-0005-0000-0000-000012B70000}"/>
    <cellStyle name="Normal 59 44" xfId="46855" xr:uid="{00000000-0005-0000-0000-000013B70000}"/>
    <cellStyle name="Normal 59 44 2" xfId="46856" xr:uid="{00000000-0005-0000-0000-000014B70000}"/>
    <cellStyle name="Normal 59 45" xfId="46857" xr:uid="{00000000-0005-0000-0000-000015B70000}"/>
    <cellStyle name="Normal 59 45 2" xfId="46858" xr:uid="{00000000-0005-0000-0000-000016B70000}"/>
    <cellStyle name="Normal 59 46" xfId="46859" xr:uid="{00000000-0005-0000-0000-000017B70000}"/>
    <cellStyle name="Normal 59 46 2" xfId="46860" xr:uid="{00000000-0005-0000-0000-000018B70000}"/>
    <cellStyle name="Normal 59 47" xfId="46861" xr:uid="{00000000-0005-0000-0000-000019B70000}"/>
    <cellStyle name="Normal 59 47 2" xfId="46862" xr:uid="{00000000-0005-0000-0000-00001AB70000}"/>
    <cellStyle name="Normal 59 48" xfId="46863" xr:uid="{00000000-0005-0000-0000-00001BB70000}"/>
    <cellStyle name="Normal 59 48 2" xfId="46864" xr:uid="{00000000-0005-0000-0000-00001CB70000}"/>
    <cellStyle name="Normal 59 49" xfId="46865" xr:uid="{00000000-0005-0000-0000-00001DB70000}"/>
    <cellStyle name="Normal 59 49 2" xfId="46866" xr:uid="{00000000-0005-0000-0000-00001EB70000}"/>
    <cellStyle name="Normal 59 5" xfId="46867" xr:uid="{00000000-0005-0000-0000-00001FB70000}"/>
    <cellStyle name="Normal 59 5 2" xfId="46868" xr:uid="{00000000-0005-0000-0000-000020B70000}"/>
    <cellStyle name="Normal 59 50" xfId="46869" xr:uid="{00000000-0005-0000-0000-000021B70000}"/>
    <cellStyle name="Normal 59 50 2" xfId="46870" xr:uid="{00000000-0005-0000-0000-000022B70000}"/>
    <cellStyle name="Normal 59 51" xfId="46871" xr:uid="{00000000-0005-0000-0000-000023B70000}"/>
    <cellStyle name="Normal 59 51 2" xfId="46872" xr:uid="{00000000-0005-0000-0000-000024B70000}"/>
    <cellStyle name="Normal 59 52" xfId="46873" xr:uid="{00000000-0005-0000-0000-000025B70000}"/>
    <cellStyle name="Normal 59 52 2" xfId="46874" xr:uid="{00000000-0005-0000-0000-000026B70000}"/>
    <cellStyle name="Normal 59 53" xfId="46875" xr:uid="{00000000-0005-0000-0000-000027B70000}"/>
    <cellStyle name="Normal 59 53 2" xfId="46876" xr:uid="{00000000-0005-0000-0000-000028B70000}"/>
    <cellStyle name="Normal 59 54" xfId="46877" xr:uid="{00000000-0005-0000-0000-000029B70000}"/>
    <cellStyle name="Normal 59 54 2" xfId="46878" xr:uid="{00000000-0005-0000-0000-00002AB70000}"/>
    <cellStyle name="Normal 59 55" xfId="46879" xr:uid="{00000000-0005-0000-0000-00002BB70000}"/>
    <cellStyle name="Normal 59 55 2" xfId="46880" xr:uid="{00000000-0005-0000-0000-00002CB70000}"/>
    <cellStyle name="Normal 59 56" xfId="46881" xr:uid="{00000000-0005-0000-0000-00002DB70000}"/>
    <cellStyle name="Normal 59 56 2" xfId="46882" xr:uid="{00000000-0005-0000-0000-00002EB70000}"/>
    <cellStyle name="Normal 59 57" xfId="46883" xr:uid="{00000000-0005-0000-0000-00002FB70000}"/>
    <cellStyle name="Normal 59 57 2" xfId="46884" xr:uid="{00000000-0005-0000-0000-000030B70000}"/>
    <cellStyle name="Normal 59 58" xfId="46885" xr:uid="{00000000-0005-0000-0000-000031B70000}"/>
    <cellStyle name="Normal 59 58 2" xfId="46886" xr:uid="{00000000-0005-0000-0000-000032B70000}"/>
    <cellStyle name="Normal 59 59" xfId="46887" xr:uid="{00000000-0005-0000-0000-000033B70000}"/>
    <cellStyle name="Normal 59 6" xfId="46888" xr:uid="{00000000-0005-0000-0000-000034B70000}"/>
    <cellStyle name="Normal 59 6 2" xfId="46889" xr:uid="{00000000-0005-0000-0000-000035B70000}"/>
    <cellStyle name="Normal 59 7" xfId="46890" xr:uid="{00000000-0005-0000-0000-000036B70000}"/>
    <cellStyle name="Normal 59 7 2" xfId="46891" xr:uid="{00000000-0005-0000-0000-000037B70000}"/>
    <cellStyle name="Normal 59 8" xfId="46892" xr:uid="{00000000-0005-0000-0000-000038B70000}"/>
    <cellStyle name="Normal 59 8 2" xfId="46893" xr:uid="{00000000-0005-0000-0000-000039B70000}"/>
    <cellStyle name="Normal 59 9" xfId="46894" xr:uid="{00000000-0005-0000-0000-00003AB70000}"/>
    <cellStyle name="Normal 59 9 2" xfId="46895" xr:uid="{00000000-0005-0000-0000-00003BB70000}"/>
    <cellStyle name="Normal 6" xfId="46896" xr:uid="{00000000-0005-0000-0000-00003CB70000}"/>
    <cellStyle name="Normal 6 10" xfId="46897" xr:uid="{00000000-0005-0000-0000-00003DB70000}"/>
    <cellStyle name="Normal 6 10 2" xfId="46898" xr:uid="{00000000-0005-0000-0000-00003EB70000}"/>
    <cellStyle name="Normal 6 11" xfId="46899" xr:uid="{00000000-0005-0000-0000-00003FB70000}"/>
    <cellStyle name="Normal 6 11 2" xfId="46900" xr:uid="{00000000-0005-0000-0000-000040B70000}"/>
    <cellStyle name="Normal 6 12" xfId="46901" xr:uid="{00000000-0005-0000-0000-000041B70000}"/>
    <cellStyle name="Normal 6 12 2" xfId="46902" xr:uid="{00000000-0005-0000-0000-000042B70000}"/>
    <cellStyle name="Normal 6 13" xfId="46903" xr:uid="{00000000-0005-0000-0000-000043B70000}"/>
    <cellStyle name="Normal 6 13 2" xfId="46904" xr:uid="{00000000-0005-0000-0000-000044B70000}"/>
    <cellStyle name="Normal 6 14" xfId="46905" xr:uid="{00000000-0005-0000-0000-000045B70000}"/>
    <cellStyle name="Normal 6 14 2" xfId="46906" xr:uid="{00000000-0005-0000-0000-000046B70000}"/>
    <cellStyle name="Normal 6 15" xfId="46907" xr:uid="{00000000-0005-0000-0000-000047B70000}"/>
    <cellStyle name="Normal 6 15 2" xfId="46908" xr:uid="{00000000-0005-0000-0000-000048B70000}"/>
    <cellStyle name="Normal 6 16" xfId="46909" xr:uid="{00000000-0005-0000-0000-000049B70000}"/>
    <cellStyle name="Normal 6 16 2" xfId="46910" xr:uid="{00000000-0005-0000-0000-00004AB70000}"/>
    <cellStyle name="Normal 6 17" xfId="46911" xr:uid="{00000000-0005-0000-0000-00004BB70000}"/>
    <cellStyle name="Normal 6 17 2" xfId="46912" xr:uid="{00000000-0005-0000-0000-00004CB70000}"/>
    <cellStyle name="Normal 6 18" xfId="46913" xr:uid="{00000000-0005-0000-0000-00004DB70000}"/>
    <cellStyle name="Normal 6 18 2" xfId="46914" xr:uid="{00000000-0005-0000-0000-00004EB70000}"/>
    <cellStyle name="Normal 6 19" xfId="46915" xr:uid="{00000000-0005-0000-0000-00004FB70000}"/>
    <cellStyle name="Normal 6 19 2" xfId="46916" xr:uid="{00000000-0005-0000-0000-000050B70000}"/>
    <cellStyle name="Normal 6 2" xfId="46917" xr:uid="{00000000-0005-0000-0000-000051B70000}"/>
    <cellStyle name="Normal 6 2 2" xfId="46918" xr:uid="{00000000-0005-0000-0000-000052B70000}"/>
    <cellStyle name="Normal 6 2 2 2" xfId="46919" xr:uid="{00000000-0005-0000-0000-000053B70000}"/>
    <cellStyle name="Normal 6 2 2 3" xfId="46920" xr:uid="{00000000-0005-0000-0000-000054B70000}"/>
    <cellStyle name="Normal 6 2 3" xfId="46921" xr:uid="{00000000-0005-0000-0000-000055B70000}"/>
    <cellStyle name="Normal 6 2 4" xfId="46922" xr:uid="{00000000-0005-0000-0000-000056B70000}"/>
    <cellStyle name="Normal 6 20" xfId="46923" xr:uid="{00000000-0005-0000-0000-000057B70000}"/>
    <cellStyle name="Normal 6 20 2" xfId="46924" xr:uid="{00000000-0005-0000-0000-000058B70000}"/>
    <cellStyle name="Normal 6 21" xfId="46925" xr:uid="{00000000-0005-0000-0000-000059B70000}"/>
    <cellStyle name="Normal 6 21 2" xfId="46926" xr:uid="{00000000-0005-0000-0000-00005AB70000}"/>
    <cellStyle name="Normal 6 22" xfId="46927" xr:uid="{00000000-0005-0000-0000-00005BB70000}"/>
    <cellStyle name="Normal 6 22 2" xfId="46928" xr:uid="{00000000-0005-0000-0000-00005CB70000}"/>
    <cellStyle name="Normal 6 23" xfId="46929" xr:uid="{00000000-0005-0000-0000-00005DB70000}"/>
    <cellStyle name="Normal 6 23 2" xfId="46930" xr:uid="{00000000-0005-0000-0000-00005EB70000}"/>
    <cellStyle name="Normal 6 24" xfId="46931" xr:uid="{00000000-0005-0000-0000-00005FB70000}"/>
    <cellStyle name="Normal 6 24 2" xfId="46932" xr:uid="{00000000-0005-0000-0000-000060B70000}"/>
    <cellStyle name="Normal 6 25" xfId="46933" xr:uid="{00000000-0005-0000-0000-000061B70000}"/>
    <cellStyle name="Normal 6 25 2" xfId="46934" xr:uid="{00000000-0005-0000-0000-000062B70000}"/>
    <cellStyle name="Normal 6 26" xfId="46935" xr:uid="{00000000-0005-0000-0000-000063B70000}"/>
    <cellStyle name="Normal 6 26 2" xfId="46936" xr:uid="{00000000-0005-0000-0000-000064B70000}"/>
    <cellStyle name="Normal 6 27" xfId="46937" xr:uid="{00000000-0005-0000-0000-000065B70000}"/>
    <cellStyle name="Normal 6 27 2" xfId="46938" xr:uid="{00000000-0005-0000-0000-000066B70000}"/>
    <cellStyle name="Normal 6 28" xfId="46939" xr:uid="{00000000-0005-0000-0000-000067B70000}"/>
    <cellStyle name="Normal 6 28 2" xfId="46940" xr:uid="{00000000-0005-0000-0000-000068B70000}"/>
    <cellStyle name="Normal 6 29" xfId="46941" xr:uid="{00000000-0005-0000-0000-000069B70000}"/>
    <cellStyle name="Normal 6 29 2" xfId="46942" xr:uid="{00000000-0005-0000-0000-00006AB70000}"/>
    <cellStyle name="Normal 6 3" xfId="46943" xr:uid="{00000000-0005-0000-0000-00006BB70000}"/>
    <cellStyle name="Normal 6 3 2" xfId="46944" xr:uid="{00000000-0005-0000-0000-00006CB70000}"/>
    <cellStyle name="Normal 6 3 3" xfId="46945" xr:uid="{00000000-0005-0000-0000-00006DB70000}"/>
    <cellStyle name="Normal 6 30" xfId="46946" xr:uid="{00000000-0005-0000-0000-00006EB70000}"/>
    <cellStyle name="Normal 6 30 2" xfId="46947" xr:uid="{00000000-0005-0000-0000-00006FB70000}"/>
    <cellStyle name="Normal 6 31" xfId="46948" xr:uid="{00000000-0005-0000-0000-000070B70000}"/>
    <cellStyle name="Normal 6 31 2" xfId="46949" xr:uid="{00000000-0005-0000-0000-000071B70000}"/>
    <cellStyle name="Normal 6 32" xfId="46950" xr:uid="{00000000-0005-0000-0000-000072B70000}"/>
    <cellStyle name="Normal 6 32 2" xfId="46951" xr:uid="{00000000-0005-0000-0000-000073B70000}"/>
    <cellStyle name="Normal 6 33" xfId="46952" xr:uid="{00000000-0005-0000-0000-000074B70000}"/>
    <cellStyle name="Normal 6 33 2" xfId="46953" xr:uid="{00000000-0005-0000-0000-000075B70000}"/>
    <cellStyle name="Normal 6 34" xfId="46954" xr:uid="{00000000-0005-0000-0000-000076B70000}"/>
    <cellStyle name="Normal 6 34 2" xfId="46955" xr:uid="{00000000-0005-0000-0000-000077B70000}"/>
    <cellStyle name="Normal 6 35" xfId="46956" xr:uid="{00000000-0005-0000-0000-000078B70000}"/>
    <cellStyle name="Normal 6 35 2" xfId="46957" xr:uid="{00000000-0005-0000-0000-000079B70000}"/>
    <cellStyle name="Normal 6 36" xfId="46958" xr:uid="{00000000-0005-0000-0000-00007AB70000}"/>
    <cellStyle name="Normal 6 36 2" xfId="46959" xr:uid="{00000000-0005-0000-0000-00007BB70000}"/>
    <cellStyle name="Normal 6 37" xfId="46960" xr:uid="{00000000-0005-0000-0000-00007CB70000}"/>
    <cellStyle name="Normal 6 37 2" xfId="46961" xr:uid="{00000000-0005-0000-0000-00007DB70000}"/>
    <cellStyle name="Normal 6 38" xfId="46962" xr:uid="{00000000-0005-0000-0000-00007EB70000}"/>
    <cellStyle name="Normal 6 38 2" xfId="46963" xr:uid="{00000000-0005-0000-0000-00007FB70000}"/>
    <cellStyle name="Normal 6 39" xfId="46964" xr:uid="{00000000-0005-0000-0000-000080B70000}"/>
    <cellStyle name="Normal 6 39 2" xfId="46965" xr:uid="{00000000-0005-0000-0000-000081B70000}"/>
    <cellStyle name="Normal 6 4" xfId="46966" xr:uid="{00000000-0005-0000-0000-000082B70000}"/>
    <cellStyle name="Normal 6 4 2" xfId="46967" xr:uid="{00000000-0005-0000-0000-000083B70000}"/>
    <cellStyle name="Normal 6 4 3" xfId="46968" xr:uid="{00000000-0005-0000-0000-000084B70000}"/>
    <cellStyle name="Normal 6 4 3 2" xfId="62538" xr:uid="{00000000-0005-0000-0000-000085B70000}"/>
    <cellStyle name="Normal 6 40" xfId="46969" xr:uid="{00000000-0005-0000-0000-000086B70000}"/>
    <cellStyle name="Normal 6 40 2" xfId="46970" xr:uid="{00000000-0005-0000-0000-000087B70000}"/>
    <cellStyle name="Normal 6 41" xfId="46971" xr:uid="{00000000-0005-0000-0000-000088B70000}"/>
    <cellStyle name="Normal 6 41 2" xfId="46972" xr:uid="{00000000-0005-0000-0000-000089B70000}"/>
    <cellStyle name="Normal 6 42" xfId="46973" xr:uid="{00000000-0005-0000-0000-00008AB70000}"/>
    <cellStyle name="Normal 6 42 2" xfId="46974" xr:uid="{00000000-0005-0000-0000-00008BB70000}"/>
    <cellStyle name="Normal 6 43" xfId="46975" xr:uid="{00000000-0005-0000-0000-00008CB70000}"/>
    <cellStyle name="Normal 6 43 2" xfId="46976" xr:uid="{00000000-0005-0000-0000-00008DB70000}"/>
    <cellStyle name="Normal 6 44" xfId="46977" xr:uid="{00000000-0005-0000-0000-00008EB70000}"/>
    <cellStyle name="Normal 6 44 2" xfId="46978" xr:uid="{00000000-0005-0000-0000-00008FB70000}"/>
    <cellStyle name="Normal 6 45" xfId="46979" xr:uid="{00000000-0005-0000-0000-000090B70000}"/>
    <cellStyle name="Normal 6 45 2" xfId="46980" xr:uid="{00000000-0005-0000-0000-000091B70000}"/>
    <cellStyle name="Normal 6 46" xfId="46981" xr:uid="{00000000-0005-0000-0000-000092B70000}"/>
    <cellStyle name="Normal 6 46 2" xfId="46982" xr:uid="{00000000-0005-0000-0000-000093B70000}"/>
    <cellStyle name="Normal 6 47" xfId="46983" xr:uid="{00000000-0005-0000-0000-000094B70000}"/>
    <cellStyle name="Normal 6 47 2" xfId="46984" xr:uid="{00000000-0005-0000-0000-000095B70000}"/>
    <cellStyle name="Normal 6 48" xfId="46985" xr:uid="{00000000-0005-0000-0000-000096B70000}"/>
    <cellStyle name="Normal 6 48 2" xfId="46986" xr:uid="{00000000-0005-0000-0000-000097B70000}"/>
    <cellStyle name="Normal 6 49" xfId="46987" xr:uid="{00000000-0005-0000-0000-000098B70000}"/>
    <cellStyle name="Normal 6 49 2" xfId="46988" xr:uid="{00000000-0005-0000-0000-000099B70000}"/>
    <cellStyle name="Normal 6 5" xfId="46989" xr:uid="{00000000-0005-0000-0000-00009AB70000}"/>
    <cellStyle name="Normal 6 5 2" xfId="46990" xr:uid="{00000000-0005-0000-0000-00009BB70000}"/>
    <cellStyle name="Normal 6 5 3" xfId="46991" xr:uid="{00000000-0005-0000-0000-00009CB70000}"/>
    <cellStyle name="Normal 6 50" xfId="46992" xr:uid="{00000000-0005-0000-0000-00009DB70000}"/>
    <cellStyle name="Normal 6 50 2" xfId="46993" xr:uid="{00000000-0005-0000-0000-00009EB70000}"/>
    <cellStyle name="Normal 6 51" xfId="46994" xr:uid="{00000000-0005-0000-0000-00009FB70000}"/>
    <cellStyle name="Normal 6 51 2" xfId="46995" xr:uid="{00000000-0005-0000-0000-0000A0B70000}"/>
    <cellStyle name="Normal 6 52" xfId="46996" xr:uid="{00000000-0005-0000-0000-0000A1B70000}"/>
    <cellStyle name="Normal 6 52 2" xfId="46997" xr:uid="{00000000-0005-0000-0000-0000A2B70000}"/>
    <cellStyle name="Normal 6 53" xfId="46998" xr:uid="{00000000-0005-0000-0000-0000A3B70000}"/>
    <cellStyle name="Normal 6 53 2" xfId="46999" xr:uid="{00000000-0005-0000-0000-0000A4B70000}"/>
    <cellStyle name="Normal 6 54" xfId="47000" xr:uid="{00000000-0005-0000-0000-0000A5B70000}"/>
    <cellStyle name="Normal 6 54 2" xfId="47001" xr:uid="{00000000-0005-0000-0000-0000A6B70000}"/>
    <cellStyle name="Normal 6 55" xfId="47002" xr:uid="{00000000-0005-0000-0000-0000A7B70000}"/>
    <cellStyle name="Normal 6 55 2" xfId="47003" xr:uid="{00000000-0005-0000-0000-0000A8B70000}"/>
    <cellStyle name="Normal 6 56" xfId="47004" xr:uid="{00000000-0005-0000-0000-0000A9B70000}"/>
    <cellStyle name="Normal 6 56 2" xfId="47005" xr:uid="{00000000-0005-0000-0000-0000AAB70000}"/>
    <cellStyle name="Normal 6 57" xfId="47006" xr:uid="{00000000-0005-0000-0000-0000ABB70000}"/>
    <cellStyle name="Normal 6 57 2" xfId="47007" xr:uid="{00000000-0005-0000-0000-0000ACB70000}"/>
    <cellStyle name="Normal 6 58" xfId="47008" xr:uid="{00000000-0005-0000-0000-0000ADB70000}"/>
    <cellStyle name="Normal 6 58 2" xfId="47009" xr:uid="{00000000-0005-0000-0000-0000AEB70000}"/>
    <cellStyle name="Normal 6 59" xfId="47010" xr:uid="{00000000-0005-0000-0000-0000AFB70000}"/>
    <cellStyle name="Normal 6 59 2" xfId="47011" xr:uid="{00000000-0005-0000-0000-0000B0B70000}"/>
    <cellStyle name="Normal 6 6" xfId="47012" xr:uid="{00000000-0005-0000-0000-0000B1B70000}"/>
    <cellStyle name="Normal 6 6 2" xfId="47013" xr:uid="{00000000-0005-0000-0000-0000B2B70000}"/>
    <cellStyle name="Normal 6 60" xfId="47014" xr:uid="{00000000-0005-0000-0000-0000B3B70000}"/>
    <cellStyle name="Normal 6 60 2" xfId="47015" xr:uid="{00000000-0005-0000-0000-0000B4B70000}"/>
    <cellStyle name="Normal 6 61" xfId="47016" xr:uid="{00000000-0005-0000-0000-0000B5B70000}"/>
    <cellStyle name="Normal 6 61 2" xfId="47017" xr:uid="{00000000-0005-0000-0000-0000B6B70000}"/>
    <cellStyle name="Normal 6 62" xfId="47018" xr:uid="{00000000-0005-0000-0000-0000B7B70000}"/>
    <cellStyle name="Normal 6 62 2" xfId="47019" xr:uid="{00000000-0005-0000-0000-0000B8B70000}"/>
    <cellStyle name="Normal 6 63" xfId="47020" xr:uid="{00000000-0005-0000-0000-0000B9B70000}"/>
    <cellStyle name="Normal 6 63 2" xfId="47021" xr:uid="{00000000-0005-0000-0000-0000BAB70000}"/>
    <cellStyle name="Normal 6 63 3" xfId="47022" xr:uid="{00000000-0005-0000-0000-0000BBB70000}"/>
    <cellStyle name="Normal 6 64" xfId="47023" xr:uid="{00000000-0005-0000-0000-0000BCB70000}"/>
    <cellStyle name="Normal 6 65" xfId="47024" xr:uid="{00000000-0005-0000-0000-0000BDB70000}"/>
    <cellStyle name="Normal 6 66" xfId="62549" xr:uid="{00000000-0005-0000-0000-0000BEB70000}"/>
    <cellStyle name="Normal 6 7" xfId="47025" xr:uid="{00000000-0005-0000-0000-0000BFB70000}"/>
    <cellStyle name="Normal 6 7 2" xfId="47026" xr:uid="{00000000-0005-0000-0000-0000C0B70000}"/>
    <cellStyle name="Normal 6 8" xfId="47027" xr:uid="{00000000-0005-0000-0000-0000C1B70000}"/>
    <cellStyle name="Normal 6 8 2" xfId="47028" xr:uid="{00000000-0005-0000-0000-0000C2B70000}"/>
    <cellStyle name="Normal 6 9" xfId="47029" xr:uid="{00000000-0005-0000-0000-0000C3B70000}"/>
    <cellStyle name="Normal 6 9 2" xfId="47030" xr:uid="{00000000-0005-0000-0000-0000C4B70000}"/>
    <cellStyle name="Normal 60" xfId="47031" xr:uid="{00000000-0005-0000-0000-0000C5B70000}"/>
    <cellStyle name="Normal 60 10" xfId="47032" xr:uid="{00000000-0005-0000-0000-0000C6B70000}"/>
    <cellStyle name="Normal 60 10 2" xfId="47033" xr:uid="{00000000-0005-0000-0000-0000C7B70000}"/>
    <cellStyle name="Normal 60 11" xfId="47034" xr:uid="{00000000-0005-0000-0000-0000C8B70000}"/>
    <cellStyle name="Normal 60 11 2" xfId="47035" xr:uid="{00000000-0005-0000-0000-0000C9B70000}"/>
    <cellStyle name="Normal 60 12" xfId="47036" xr:uid="{00000000-0005-0000-0000-0000CAB70000}"/>
    <cellStyle name="Normal 60 12 2" xfId="47037" xr:uid="{00000000-0005-0000-0000-0000CBB70000}"/>
    <cellStyle name="Normal 60 13" xfId="47038" xr:uid="{00000000-0005-0000-0000-0000CCB70000}"/>
    <cellStyle name="Normal 60 13 2" xfId="47039" xr:uid="{00000000-0005-0000-0000-0000CDB70000}"/>
    <cellStyle name="Normal 60 14" xfId="47040" xr:uid="{00000000-0005-0000-0000-0000CEB70000}"/>
    <cellStyle name="Normal 60 14 2" xfId="47041" xr:uid="{00000000-0005-0000-0000-0000CFB70000}"/>
    <cellStyle name="Normal 60 15" xfId="47042" xr:uid="{00000000-0005-0000-0000-0000D0B70000}"/>
    <cellStyle name="Normal 60 15 2" xfId="47043" xr:uid="{00000000-0005-0000-0000-0000D1B70000}"/>
    <cellStyle name="Normal 60 16" xfId="47044" xr:uid="{00000000-0005-0000-0000-0000D2B70000}"/>
    <cellStyle name="Normal 60 16 2" xfId="47045" xr:uid="{00000000-0005-0000-0000-0000D3B70000}"/>
    <cellStyle name="Normal 60 17" xfId="47046" xr:uid="{00000000-0005-0000-0000-0000D4B70000}"/>
    <cellStyle name="Normal 60 17 2" xfId="47047" xr:uid="{00000000-0005-0000-0000-0000D5B70000}"/>
    <cellStyle name="Normal 60 18" xfId="47048" xr:uid="{00000000-0005-0000-0000-0000D6B70000}"/>
    <cellStyle name="Normal 60 18 2" xfId="47049" xr:uid="{00000000-0005-0000-0000-0000D7B70000}"/>
    <cellStyle name="Normal 60 19" xfId="47050" xr:uid="{00000000-0005-0000-0000-0000D8B70000}"/>
    <cellStyle name="Normal 60 19 2" xfId="47051" xr:uid="{00000000-0005-0000-0000-0000D9B70000}"/>
    <cellStyle name="Normal 60 2" xfId="47052" xr:uid="{00000000-0005-0000-0000-0000DAB70000}"/>
    <cellStyle name="Normal 60 2 2" xfId="47053" xr:uid="{00000000-0005-0000-0000-0000DBB70000}"/>
    <cellStyle name="Normal 60 20" xfId="47054" xr:uid="{00000000-0005-0000-0000-0000DCB70000}"/>
    <cellStyle name="Normal 60 20 2" xfId="47055" xr:uid="{00000000-0005-0000-0000-0000DDB70000}"/>
    <cellStyle name="Normal 60 21" xfId="47056" xr:uid="{00000000-0005-0000-0000-0000DEB70000}"/>
    <cellStyle name="Normal 60 21 2" xfId="47057" xr:uid="{00000000-0005-0000-0000-0000DFB70000}"/>
    <cellStyle name="Normal 60 22" xfId="47058" xr:uid="{00000000-0005-0000-0000-0000E0B70000}"/>
    <cellStyle name="Normal 60 22 2" xfId="47059" xr:uid="{00000000-0005-0000-0000-0000E1B70000}"/>
    <cellStyle name="Normal 60 23" xfId="47060" xr:uid="{00000000-0005-0000-0000-0000E2B70000}"/>
    <cellStyle name="Normal 60 23 2" xfId="47061" xr:uid="{00000000-0005-0000-0000-0000E3B70000}"/>
    <cellStyle name="Normal 60 24" xfId="47062" xr:uid="{00000000-0005-0000-0000-0000E4B70000}"/>
    <cellStyle name="Normal 60 24 2" xfId="47063" xr:uid="{00000000-0005-0000-0000-0000E5B70000}"/>
    <cellStyle name="Normal 60 25" xfId="47064" xr:uid="{00000000-0005-0000-0000-0000E6B70000}"/>
    <cellStyle name="Normal 60 25 2" xfId="47065" xr:uid="{00000000-0005-0000-0000-0000E7B70000}"/>
    <cellStyle name="Normal 60 26" xfId="47066" xr:uid="{00000000-0005-0000-0000-0000E8B70000}"/>
    <cellStyle name="Normal 60 26 2" xfId="47067" xr:uid="{00000000-0005-0000-0000-0000E9B70000}"/>
    <cellStyle name="Normal 60 27" xfId="47068" xr:uid="{00000000-0005-0000-0000-0000EAB70000}"/>
    <cellStyle name="Normal 60 27 2" xfId="47069" xr:uid="{00000000-0005-0000-0000-0000EBB70000}"/>
    <cellStyle name="Normal 60 28" xfId="47070" xr:uid="{00000000-0005-0000-0000-0000ECB70000}"/>
    <cellStyle name="Normal 60 28 2" xfId="47071" xr:uid="{00000000-0005-0000-0000-0000EDB70000}"/>
    <cellStyle name="Normal 60 29" xfId="47072" xr:uid="{00000000-0005-0000-0000-0000EEB70000}"/>
    <cellStyle name="Normal 60 29 2" xfId="47073" xr:uid="{00000000-0005-0000-0000-0000EFB70000}"/>
    <cellStyle name="Normal 60 3" xfId="47074" xr:uid="{00000000-0005-0000-0000-0000F0B70000}"/>
    <cellStyle name="Normal 60 3 2" xfId="47075" xr:uid="{00000000-0005-0000-0000-0000F1B70000}"/>
    <cellStyle name="Normal 60 30" xfId="47076" xr:uid="{00000000-0005-0000-0000-0000F2B70000}"/>
    <cellStyle name="Normal 60 30 2" xfId="47077" xr:uid="{00000000-0005-0000-0000-0000F3B70000}"/>
    <cellStyle name="Normal 60 31" xfId="47078" xr:uid="{00000000-0005-0000-0000-0000F4B70000}"/>
    <cellStyle name="Normal 60 31 2" xfId="47079" xr:uid="{00000000-0005-0000-0000-0000F5B70000}"/>
    <cellStyle name="Normal 60 32" xfId="47080" xr:uid="{00000000-0005-0000-0000-0000F6B70000}"/>
    <cellStyle name="Normal 60 32 2" xfId="47081" xr:uid="{00000000-0005-0000-0000-0000F7B70000}"/>
    <cellStyle name="Normal 60 33" xfId="47082" xr:uid="{00000000-0005-0000-0000-0000F8B70000}"/>
    <cellStyle name="Normal 60 33 2" xfId="47083" xr:uid="{00000000-0005-0000-0000-0000F9B70000}"/>
    <cellStyle name="Normal 60 34" xfId="47084" xr:uid="{00000000-0005-0000-0000-0000FAB70000}"/>
    <cellStyle name="Normal 60 34 2" xfId="47085" xr:uid="{00000000-0005-0000-0000-0000FBB70000}"/>
    <cellStyle name="Normal 60 35" xfId="47086" xr:uid="{00000000-0005-0000-0000-0000FCB70000}"/>
    <cellStyle name="Normal 60 35 2" xfId="47087" xr:uid="{00000000-0005-0000-0000-0000FDB70000}"/>
    <cellStyle name="Normal 60 36" xfId="47088" xr:uid="{00000000-0005-0000-0000-0000FEB70000}"/>
    <cellStyle name="Normal 60 36 2" xfId="47089" xr:uid="{00000000-0005-0000-0000-0000FFB70000}"/>
    <cellStyle name="Normal 60 37" xfId="47090" xr:uid="{00000000-0005-0000-0000-000000B80000}"/>
    <cellStyle name="Normal 60 37 2" xfId="47091" xr:uid="{00000000-0005-0000-0000-000001B80000}"/>
    <cellStyle name="Normal 60 38" xfId="47092" xr:uid="{00000000-0005-0000-0000-000002B80000}"/>
    <cellStyle name="Normal 60 38 2" xfId="47093" xr:uid="{00000000-0005-0000-0000-000003B80000}"/>
    <cellStyle name="Normal 60 39" xfId="47094" xr:uid="{00000000-0005-0000-0000-000004B80000}"/>
    <cellStyle name="Normal 60 39 2" xfId="47095" xr:uid="{00000000-0005-0000-0000-000005B80000}"/>
    <cellStyle name="Normal 60 4" xfId="47096" xr:uid="{00000000-0005-0000-0000-000006B80000}"/>
    <cellStyle name="Normal 60 4 2" xfId="47097" xr:uid="{00000000-0005-0000-0000-000007B80000}"/>
    <cellStyle name="Normal 60 40" xfId="47098" xr:uid="{00000000-0005-0000-0000-000008B80000}"/>
    <cellStyle name="Normal 60 40 2" xfId="47099" xr:uid="{00000000-0005-0000-0000-000009B80000}"/>
    <cellStyle name="Normal 60 41" xfId="47100" xr:uid="{00000000-0005-0000-0000-00000AB80000}"/>
    <cellStyle name="Normal 60 41 2" xfId="47101" xr:uid="{00000000-0005-0000-0000-00000BB80000}"/>
    <cellStyle name="Normal 60 42" xfId="47102" xr:uid="{00000000-0005-0000-0000-00000CB80000}"/>
    <cellStyle name="Normal 60 42 2" xfId="47103" xr:uid="{00000000-0005-0000-0000-00000DB80000}"/>
    <cellStyle name="Normal 60 43" xfId="47104" xr:uid="{00000000-0005-0000-0000-00000EB80000}"/>
    <cellStyle name="Normal 60 43 2" xfId="47105" xr:uid="{00000000-0005-0000-0000-00000FB80000}"/>
    <cellStyle name="Normal 60 44" xfId="47106" xr:uid="{00000000-0005-0000-0000-000010B80000}"/>
    <cellStyle name="Normal 60 44 2" xfId="47107" xr:uid="{00000000-0005-0000-0000-000011B80000}"/>
    <cellStyle name="Normal 60 45" xfId="47108" xr:uid="{00000000-0005-0000-0000-000012B80000}"/>
    <cellStyle name="Normal 60 45 2" xfId="47109" xr:uid="{00000000-0005-0000-0000-000013B80000}"/>
    <cellStyle name="Normal 60 46" xfId="47110" xr:uid="{00000000-0005-0000-0000-000014B80000}"/>
    <cellStyle name="Normal 60 46 2" xfId="47111" xr:uid="{00000000-0005-0000-0000-000015B80000}"/>
    <cellStyle name="Normal 60 47" xfId="47112" xr:uid="{00000000-0005-0000-0000-000016B80000}"/>
    <cellStyle name="Normal 60 47 2" xfId="47113" xr:uid="{00000000-0005-0000-0000-000017B80000}"/>
    <cellStyle name="Normal 60 48" xfId="47114" xr:uid="{00000000-0005-0000-0000-000018B80000}"/>
    <cellStyle name="Normal 60 48 2" xfId="47115" xr:uid="{00000000-0005-0000-0000-000019B80000}"/>
    <cellStyle name="Normal 60 49" xfId="47116" xr:uid="{00000000-0005-0000-0000-00001AB80000}"/>
    <cellStyle name="Normal 60 49 2" xfId="47117" xr:uid="{00000000-0005-0000-0000-00001BB80000}"/>
    <cellStyle name="Normal 60 5" xfId="47118" xr:uid="{00000000-0005-0000-0000-00001CB80000}"/>
    <cellStyle name="Normal 60 5 2" xfId="47119" xr:uid="{00000000-0005-0000-0000-00001DB80000}"/>
    <cellStyle name="Normal 60 50" xfId="47120" xr:uid="{00000000-0005-0000-0000-00001EB80000}"/>
    <cellStyle name="Normal 60 50 2" xfId="47121" xr:uid="{00000000-0005-0000-0000-00001FB80000}"/>
    <cellStyle name="Normal 60 51" xfId="47122" xr:uid="{00000000-0005-0000-0000-000020B80000}"/>
    <cellStyle name="Normal 60 51 2" xfId="47123" xr:uid="{00000000-0005-0000-0000-000021B80000}"/>
    <cellStyle name="Normal 60 52" xfId="47124" xr:uid="{00000000-0005-0000-0000-000022B80000}"/>
    <cellStyle name="Normal 60 52 2" xfId="47125" xr:uid="{00000000-0005-0000-0000-000023B80000}"/>
    <cellStyle name="Normal 60 53" xfId="47126" xr:uid="{00000000-0005-0000-0000-000024B80000}"/>
    <cellStyle name="Normal 60 53 2" xfId="47127" xr:uid="{00000000-0005-0000-0000-000025B80000}"/>
    <cellStyle name="Normal 60 54" xfId="47128" xr:uid="{00000000-0005-0000-0000-000026B80000}"/>
    <cellStyle name="Normal 60 54 2" xfId="47129" xr:uid="{00000000-0005-0000-0000-000027B80000}"/>
    <cellStyle name="Normal 60 55" xfId="47130" xr:uid="{00000000-0005-0000-0000-000028B80000}"/>
    <cellStyle name="Normal 60 55 2" xfId="47131" xr:uid="{00000000-0005-0000-0000-000029B80000}"/>
    <cellStyle name="Normal 60 56" xfId="47132" xr:uid="{00000000-0005-0000-0000-00002AB80000}"/>
    <cellStyle name="Normal 60 56 2" xfId="47133" xr:uid="{00000000-0005-0000-0000-00002BB80000}"/>
    <cellStyle name="Normal 60 57" xfId="47134" xr:uid="{00000000-0005-0000-0000-00002CB80000}"/>
    <cellStyle name="Normal 60 57 2" xfId="47135" xr:uid="{00000000-0005-0000-0000-00002DB80000}"/>
    <cellStyle name="Normal 60 58" xfId="47136" xr:uid="{00000000-0005-0000-0000-00002EB80000}"/>
    <cellStyle name="Normal 60 58 2" xfId="47137" xr:uid="{00000000-0005-0000-0000-00002FB80000}"/>
    <cellStyle name="Normal 60 59" xfId="47138" xr:uid="{00000000-0005-0000-0000-000030B80000}"/>
    <cellStyle name="Normal 60 6" xfId="47139" xr:uid="{00000000-0005-0000-0000-000031B80000}"/>
    <cellStyle name="Normal 60 6 2" xfId="47140" xr:uid="{00000000-0005-0000-0000-000032B80000}"/>
    <cellStyle name="Normal 60 7" xfId="47141" xr:uid="{00000000-0005-0000-0000-000033B80000}"/>
    <cellStyle name="Normal 60 7 2" xfId="47142" xr:uid="{00000000-0005-0000-0000-000034B80000}"/>
    <cellStyle name="Normal 60 8" xfId="47143" xr:uid="{00000000-0005-0000-0000-000035B80000}"/>
    <cellStyle name="Normal 60 8 2" xfId="47144" xr:uid="{00000000-0005-0000-0000-000036B80000}"/>
    <cellStyle name="Normal 60 9" xfId="47145" xr:uid="{00000000-0005-0000-0000-000037B80000}"/>
    <cellStyle name="Normal 60 9 2" xfId="47146" xr:uid="{00000000-0005-0000-0000-000038B80000}"/>
    <cellStyle name="Normal 61" xfId="47147" xr:uid="{00000000-0005-0000-0000-000039B80000}"/>
    <cellStyle name="Normal 61 10" xfId="47148" xr:uid="{00000000-0005-0000-0000-00003AB80000}"/>
    <cellStyle name="Normal 61 10 2" xfId="47149" xr:uid="{00000000-0005-0000-0000-00003BB80000}"/>
    <cellStyle name="Normal 61 11" xfId="47150" xr:uid="{00000000-0005-0000-0000-00003CB80000}"/>
    <cellStyle name="Normal 61 11 2" xfId="47151" xr:uid="{00000000-0005-0000-0000-00003DB80000}"/>
    <cellStyle name="Normal 61 12" xfId="47152" xr:uid="{00000000-0005-0000-0000-00003EB80000}"/>
    <cellStyle name="Normal 61 12 2" xfId="47153" xr:uid="{00000000-0005-0000-0000-00003FB80000}"/>
    <cellStyle name="Normal 61 13" xfId="47154" xr:uid="{00000000-0005-0000-0000-000040B80000}"/>
    <cellStyle name="Normal 61 13 2" xfId="47155" xr:uid="{00000000-0005-0000-0000-000041B80000}"/>
    <cellStyle name="Normal 61 14" xfId="47156" xr:uid="{00000000-0005-0000-0000-000042B80000}"/>
    <cellStyle name="Normal 61 14 2" xfId="47157" xr:uid="{00000000-0005-0000-0000-000043B80000}"/>
    <cellStyle name="Normal 61 15" xfId="47158" xr:uid="{00000000-0005-0000-0000-000044B80000}"/>
    <cellStyle name="Normal 61 15 2" xfId="47159" xr:uid="{00000000-0005-0000-0000-000045B80000}"/>
    <cellStyle name="Normal 61 16" xfId="47160" xr:uid="{00000000-0005-0000-0000-000046B80000}"/>
    <cellStyle name="Normal 61 16 2" xfId="47161" xr:uid="{00000000-0005-0000-0000-000047B80000}"/>
    <cellStyle name="Normal 61 17" xfId="47162" xr:uid="{00000000-0005-0000-0000-000048B80000}"/>
    <cellStyle name="Normal 61 17 2" xfId="47163" xr:uid="{00000000-0005-0000-0000-000049B80000}"/>
    <cellStyle name="Normal 61 18" xfId="47164" xr:uid="{00000000-0005-0000-0000-00004AB80000}"/>
    <cellStyle name="Normal 61 18 2" xfId="47165" xr:uid="{00000000-0005-0000-0000-00004BB80000}"/>
    <cellStyle name="Normal 61 19" xfId="47166" xr:uid="{00000000-0005-0000-0000-00004CB80000}"/>
    <cellStyle name="Normal 61 19 2" xfId="47167" xr:uid="{00000000-0005-0000-0000-00004DB80000}"/>
    <cellStyle name="Normal 61 2" xfId="47168" xr:uid="{00000000-0005-0000-0000-00004EB80000}"/>
    <cellStyle name="Normal 61 2 2" xfId="47169" xr:uid="{00000000-0005-0000-0000-00004FB80000}"/>
    <cellStyle name="Normal 61 20" xfId="47170" xr:uid="{00000000-0005-0000-0000-000050B80000}"/>
    <cellStyle name="Normal 61 20 2" xfId="47171" xr:uid="{00000000-0005-0000-0000-000051B80000}"/>
    <cellStyle name="Normal 61 21" xfId="47172" xr:uid="{00000000-0005-0000-0000-000052B80000}"/>
    <cellStyle name="Normal 61 21 2" xfId="47173" xr:uid="{00000000-0005-0000-0000-000053B80000}"/>
    <cellStyle name="Normal 61 22" xfId="47174" xr:uid="{00000000-0005-0000-0000-000054B80000}"/>
    <cellStyle name="Normal 61 22 2" xfId="47175" xr:uid="{00000000-0005-0000-0000-000055B80000}"/>
    <cellStyle name="Normal 61 23" xfId="47176" xr:uid="{00000000-0005-0000-0000-000056B80000}"/>
    <cellStyle name="Normal 61 23 2" xfId="47177" xr:uid="{00000000-0005-0000-0000-000057B80000}"/>
    <cellStyle name="Normal 61 24" xfId="47178" xr:uid="{00000000-0005-0000-0000-000058B80000}"/>
    <cellStyle name="Normal 61 24 2" xfId="47179" xr:uid="{00000000-0005-0000-0000-000059B80000}"/>
    <cellStyle name="Normal 61 25" xfId="47180" xr:uid="{00000000-0005-0000-0000-00005AB80000}"/>
    <cellStyle name="Normal 61 25 2" xfId="47181" xr:uid="{00000000-0005-0000-0000-00005BB80000}"/>
    <cellStyle name="Normal 61 26" xfId="47182" xr:uid="{00000000-0005-0000-0000-00005CB80000}"/>
    <cellStyle name="Normal 61 26 2" xfId="47183" xr:uid="{00000000-0005-0000-0000-00005DB80000}"/>
    <cellStyle name="Normal 61 27" xfId="47184" xr:uid="{00000000-0005-0000-0000-00005EB80000}"/>
    <cellStyle name="Normal 61 27 2" xfId="47185" xr:uid="{00000000-0005-0000-0000-00005FB80000}"/>
    <cellStyle name="Normal 61 28" xfId="47186" xr:uid="{00000000-0005-0000-0000-000060B80000}"/>
    <cellStyle name="Normal 61 28 2" xfId="47187" xr:uid="{00000000-0005-0000-0000-000061B80000}"/>
    <cellStyle name="Normal 61 29" xfId="47188" xr:uid="{00000000-0005-0000-0000-000062B80000}"/>
    <cellStyle name="Normal 61 29 2" xfId="47189" xr:uid="{00000000-0005-0000-0000-000063B80000}"/>
    <cellStyle name="Normal 61 3" xfId="47190" xr:uid="{00000000-0005-0000-0000-000064B80000}"/>
    <cellStyle name="Normal 61 3 2" xfId="47191" xr:uid="{00000000-0005-0000-0000-000065B80000}"/>
    <cellStyle name="Normal 61 30" xfId="47192" xr:uid="{00000000-0005-0000-0000-000066B80000}"/>
    <cellStyle name="Normal 61 30 2" xfId="47193" xr:uid="{00000000-0005-0000-0000-000067B80000}"/>
    <cellStyle name="Normal 61 31" xfId="47194" xr:uid="{00000000-0005-0000-0000-000068B80000}"/>
    <cellStyle name="Normal 61 31 2" xfId="47195" xr:uid="{00000000-0005-0000-0000-000069B80000}"/>
    <cellStyle name="Normal 61 32" xfId="47196" xr:uid="{00000000-0005-0000-0000-00006AB80000}"/>
    <cellStyle name="Normal 61 32 2" xfId="47197" xr:uid="{00000000-0005-0000-0000-00006BB80000}"/>
    <cellStyle name="Normal 61 33" xfId="47198" xr:uid="{00000000-0005-0000-0000-00006CB80000}"/>
    <cellStyle name="Normal 61 33 2" xfId="47199" xr:uid="{00000000-0005-0000-0000-00006DB80000}"/>
    <cellStyle name="Normal 61 34" xfId="47200" xr:uid="{00000000-0005-0000-0000-00006EB80000}"/>
    <cellStyle name="Normal 61 34 2" xfId="47201" xr:uid="{00000000-0005-0000-0000-00006FB80000}"/>
    <cellStyle name="Normal 61 35" xfId="47202" xr:uid="{00000000-0005-0000-0000-000070B80000}"/>
    <cellStyle name="Normal 61 35 2" xfId="47203" xr:uid="{00000000-0005-0000-0000-000071B80000}"/>
    <cellStyle name="Normal 61 36" xfId="47204" xr:uid="{00000000-0005-0000-0000-000072B80000}"/>
    <cellStyle name="Normal 61 36 2" xfId="47205" xr:uid="{00000000-0005-0000-0000-000073B80000}"/>
    <cellStyle name="Normal 61 37" xfId="47206" xr:uid="{00000000-0005-0000-0000-000074B80000}"/>
    <cellStyle name="Normal 61 37 2" xfId="47207" xr:uid="{00000000-0005-0000-0000-000075B80000}"/>
    <cellStyle name="Normal 61 38" xfId="47208" xr:uid="{00000000-0005-0000-0000-000076B80000}"/>
    <cellStyle name="Normal 61 38 2" xfId="47209" xr:uid="{00000000-0005-0000-0000-000077B80000}"/>
    <cellStyle name="Normal 61 39" xfId="47210" xr:uid="{00000000-0005-0000-0000-000078B80000}"/>
    <cellStyle name="Normal 61 39 2" xfId="47211" xr:uid="{00000000-0005-0000-0000-000079B80000}"/>
    <cellStyle name="Normal 61 4" xfId="47212" xr:uid="{00000000-0005-0000-0000-00007AB80000}"/>
    <cellStyle name="Normal 61 4 2" xfId="47213" xr:uid="{00000000-0005-0000-0000-00007BB80000}"/>
    <cellStyle name="Normal 61 40" xfId="47214" xr:uid="{00000000-0005-0000-0000-00007CB80000}"/>
    <cellStyle name="Normal 61 40 2" xfId="47215" xr:uid="{00000000-0005-0000-0000-00007DB80000}"/>
    <cellStyle name="Normal 61 41" xfId="47216" xr:uid="{00000000-0005-0000-0000-00007EB80000}"/>
    <cellStyle name="Normal 61 41 2" xfId="47217" xr:uid="{00000000-0005-0000-0000-00007FB80000}"/>
    <cellStyle name="Normal 61 42" xfId="47218" xr:uid="{00000000-0005-0000-0000-000080B80000}"/>
    <cellStyle name="Normal 61 42 2" xfId="47219" xr:uid="{00000000-0005-0000-0000-000081B80000}"/>
    <cellStyle name="Normal 61 43" xfId="47220" xr:uid="{00000000-0005-0000-0000-000082B80000}"/>
    <cellStyle name="Normal 61 43 2" xfId="47221" xr:uid="{00000000-0005-0000-0000-000083B80000}"/>
    <cellStyle name="Normal 61 44" xfId="47222" xr:uid="{00000000-0005-0000-0000-000084B80000}"/>
    <cellStyle name="Normal 61 44 2" xfId="47223" xr:uid="{00000000-0005-0000-0000-000085B80000}"/>
    <cellStyle name="Normal 61 45" xfId="47224" xr:uid="{00000000-0005-0000-0000-000086B80000}"/>
    <cellStyle name="Normal 61 45 2" xfId="47225" xr:uid="{00000000-0005-0000-0000-000087B80000}"/>
    <cellStyle name="Normal 61 46" xfId="47226" xr:uid="{00000000-0005-0000-0000-000088B80000}"/>
    <cellStyle name="Normal 61 46 2" xfId="47227" xr:uid="{00000000-0005-0000-0000-000089B80000}"/>
    <cellStyle name="Normal 61 47" xfId="47228" xr:uid="{00000000-0005-0000-0000-00008AB80000}"/>
    <cellStyle name="Normal 61 47 2" xfId="47229" xr:uid="{00000000-0005-0000-0000-00008BB80000}"/>
    <cellStyle name="Normal 61 48" xfId="47230" xr:uid="{00000000-0005-0000-0000-00008CB80000}"/>
    <cellStyle name="Normal 61 48 2" xfId="47231" xr:uid="{00000000-0005-0000-0000-00008DB80000}"/>
    <cellStyle name="Normal 61 49" xfId="47232" xr:uid="{00000000-0005-0000-0000-00008EB80000}"/>
    <cellStyle name="Normal 61 49 2" xfId="47233" xr:uid="{00000000-0005-0000-0000-00008FB80000}"/>
    <cellStyle name="Normal 61 5" xfId="47234" xr:uid="{00000000-0005-0000-0000-000090B80000}"/>
    <cellStyle name="Normal 61 5 2" xfId="47235" xr:uid="{00000000-0005-0000-0000-000091B80000}"/>
    <cellStyle name="Normal 61 50" xfId="47236" xr:uid="{00000000-0005-0000-0000-000092B80000}"/>
    <cellStyle name="Normal 61 50 2" xfId="47237" xr:uid="{00000000-0005-0000-0000-000093B80000}"/>
    <cellStyle name="Normal 61 51" xfId="47238" xr:uid="{00000000-0005-0000-0000-000094B80000}"/>
    <cellStyle name="Normal 61 51 2" xfId="47239" xr:uid="{00000000-0005-0000-0000-000095B80000}"/>
    <cellStyle name="Normal 61 52" xfId="47240" xr:uid="{00000000-0005-0000-0000-000096B80000}"/>
    <cellStyle name="Normal 61 52 2" xfId="47241" xr:uid="{00000000-0005-0000-0000-000097B80000}"/>
    <cellStyle name="Normal 61 53" xfId="47242" xr:uid="{00000000-0005-0000-0000-000098B80000}"/>
    <cellStyle name="Normal 61 53 2" xfId="47243" xr:uid="{00000000-0005-0000-0000-000099B80000}"/>
    <cellStyle name="Normal 61 54" xfId="47244" xr:uid="{00000000-0005-0000-0000-00009AB80000}"/>
    <cellStyle name="Normal 61 54 2" xfId="47245" xr:uid="{00000000-0005-0000-0000-00009BB80000}"/>
    <cellStyle name="Normal 61 55" xfId="47246" xr:uid="{00000000-0005-0000-0000-00009CB80000}"/>
    <cellStyle name="Normal 61 55 2" xfId="47247" xr:uid="{00000000-0005-0000-0000-00009DB80000}"/>
    <cellStyle name="Normal 61 56" xfId="47248" xr:uid="{00000000-0005-0000-0000-00009EB80000}"/>
    <cellStyle name="Normal 61 56 2" xfId="47249" xr:uid="{00000000-0005-0000-0000-00009FB80000}"/>
    <cellStyle name="Normal 61 57" xfId="47250" xr:uid="{00000000-0005-0000-0000-0000A0B80000}"/>
    <cellStyle name="Normal 61 57 2" xfId="47251" xr:uid="{00000000-0005-0000-0000-0000A1B80000}"/>
    <cellStyle name="Normal 61 58" xfId="47252" xr:uid="{00000000-0005-0000-0000-0000A2B80000}"/>
    <cellStyle name="Normal 61 58 2" xfId="47253" xr:uid="{00000000-0005-0000-0000-0000A3B80000}"/>
    <cellStyle name="Normal 61 59" xfId="47254" xr:uid="{00000000-0005-0000-0000-0000A4B80000}"/>
    <cellStyle name="Normal 61 6" xfId="47255" xr:uid="{00000000-0005-0000-0000-0000A5B80000}"/>
    <cellStyle name="Normal 61 6 2" xfId="47256" xr:uid="{00000000-0005-0000-0000-0000A6B80000}"/>
    <cellStyle name="Normal 61 7" xfId="47257" xr:uid="{00000000-0005-0000-0000-0000A7B80000}"/>
    <cellStyle name="Normal 61 7 2" xfId="47258" xr:uid="{00000000-0005-0000-0000-0000A8B80000}"/>
    <cellStyle name="Normal 61 8" xfId="47259" xr:uid="{00000000-0005-0000-0000-0000A9B80000}"/>
    <cellStyle name="Normal 61 8 2" xfId="47260" xr:uid="{00000000-0005-0000-0000-0000AAB80000}"/>
    <cellStyle name="Normal 61 9" xfId="47261" xr:uid="{00000000-0005-0000-0000-0000ABB80000}"/>
    <cellStyle name="Normal 61 9 2" xfId="47262" xr:uid="{00000000-0005-0000-0000-0000ACB80000}"/>
    <cellStyle name="Normal 62" xfId="47263" xr:uid="{00000000-0005-0000-0000-0000ADB80000}"/>
    <cellStyle name="Normal 62 10" xfId="47264" xr:uid="{00000000-0005-0000-0000-0000AEB80000}"/>
    <cellStyle name="Normal 62 10 2" xfId="47265" xr:uid="{00000000-0005-0000-0000-0000AFB80000}"/>
    <cellStyle name="Normal 62 11" xfId="47266" xr:uid="{00000000-0005-0000-0000-0000B0B80000}"/>
    <cellStyle name="Normal 62 11 2" xfId="47267" xr:uid="{00000000-0005-0000-0000-0000B1B80000}"/>
    <cellStyle name="Normal 62 12" xfId="47268" xr:uid="{00000000-0005-0000-0000-0000B2B80000}"/>
    <cellStyle name="Normal 62 12 2" xfId="47269" xr:uid="{00000000-0005-0000-0000-0000B3B80000}"/>
    <cellStyle name="Normal 62 13" xfId="47270" xr:uid="{00000000-0005-0000-0000-0000B4B80000}"/>
    <cellStyle name="Normal 62 13 2" xfId="47271" xr:uid="{00000000-0005-0000-0000-0000B5B80000}"/>
    <cellStyle name="Normal 62 14" xfId="47272" xr:uid="{00000000-0005-0000-0000-0000B6B80000}"/>
    <cellStyle name="Normal 62 14 2" xfId="47273" xr:uid="{00000000-0005-0000-0000-0000B7B80000}"/>
    <cellStyle name="Normal 62 15" xfId="47274" xr:uid="{00000000-0005-0000-0000-0000B8B80000}"/>
    <cellStyle name="Normal 62 15 2" xfId="47275" xr:uid="{00000000-0005-0000-0000-0000B9B80000}"/>
    <cellStyle name="Normal 62 16" xfId="47276" xr:uid="{00000000-0005-0000-0000-0000BAB80000}"/>
    <cellStyle name="Normal 62 16 2" xfId="47277" xr:uid="{00000000-0005-0000-0000-0000BBB80000}"/>
    <cellStyle name="Normal 62 17" xfId="47278" xr:uid="{00000000-0005-0000-0000-0000BCB80000}"/>
    <cellStyle name="Normal 62 17 2" xfId="47279" xr:uid="{00000000-0005-0000-0000-0000BDB80000}"/>
    <cellStyle name="Normal 62 18" xfId="47280" xr:uid="{00000000-0005-0000-0000-0000BEB80000}"/>
    <cellStyle name="Normal 62 18 2" xfId="47281" xr:uid="{00000000-0005-0000-0000-0000BFB80000}"/>
    <cellStyle name="Normal 62 19" xfId="47282" xr:uid="{00000000-0005-0000-0000-0000C0B80000}"/>
    <cellStyle name="Normal 62 19 2" xfId="47283" xr:uid="{00000000-0005-0000-0000-0000C1B80000}"/>
    <cellStyle name="Normal 62 2" xfId="47284" xr:uid="{00000000-0005-0000-0000-0000C2B80000}"/>
    <cellStyle name="Normal 62 2 2" xfId="47285" xr:uid="{00000000-0005-0000-0000-0000C3B80000}"/>
    <cellStyle name="Normal 62 20" xfId="47286" xr:uid="{00000000-0005-0000-0000-0000C4B80000}"/>
    <cellStyle name="Normal 62 20 2" xfId="47287" xr:uid="{00000000-0005-0000-0000-0000C5B80000}"/>
    <cellStyle name="Normal 62 21" xfId="47288" xr:uid="{00000000-0005-0000-0000-0000C6B80000}"/>
    <cellStyle name="Normal 62 21 2" xfId="47289" xr:uid="{00000000-0005-0000-0000-0000C7B80000}"/>
    <cellStyle name="Normal 62 22" xfId="47290" xr:uid="{00000000-0005-0000-0000-0000C8B80000}"/>
    <cellStyle name="Normal 62 22 2" xfId="47291" xr:uid="{00000000-0005-0000-0000-0000C9B80000}"/>
    <cellStyle name="Normal 62 23" xfId="47292" xr:uid="{00000000-0005-0000-0000-0000CAB80000}"/>
    <cellStyle name="Normal 62 23 2" xfId="47293" xr:uid="{00000000-0005-0000-0000-0000CBB80000}"/>
    <cellStyle name="Normal 62 24" xfId="47294" xr:uid="{00000000-0005-0000-0000-0000CCB80000}"/>
    <cellStyle name="Normal 62 24 2" xfId="47295" xr:uid="{00000000-0005-0000-0000-0000CDB80000}"/>
    <cellStyle name="Normal 62 25" xfId="47296" xr:uid="{00000000-0005-0000-0000-0000CEB80000}"/>
    <cellStyle name="Normal 62 25 2" xfId="47297" xr:uid="{00000000-0005-0000-0000-0000CFB80000}"/>
    <cellStyle name="Normal 62 26" xfId="47298" xr:uid="{00000000-0005-0000-0000-0000D0B80000}"/>
    <cellStyle name="Normal 62 26 2" xfId="47299" xr:uid="{00000000-0005-0000-0000-0000D1B80000}"/>
    <cellStyle name="Normal 62 27" xfId="47300" xr:uid="{00000000-0005-0000-0000-0000D2B80000}"/>
    <cellStyle name="Normal 62 27 2" xfId="47301" xr:uid="{00000000-0005-0000-0000-0000D3B80000}"/>
    <cellStyle name="Normal 62 28" xfId="47302" xr:uid="{00000000-0005-0000-0000-0000D4B80000}"/>
    <cellStyle name="Normal 62 28 2" xfId="47303" xr:uid="{00000000-0005-0000-0000-0000D5B80000}"/>
    <cellStyle name="Normal 62 29" xfId="47304" xr:uid="{00000000-0005-0000-0000-0000D6B80000}"/>
    <cellStyle name="Normal 62 29 2" xfId="47305" xr:uid="{00000000-0005-0000-0000-0000D7B80000}"/>
    <cellStyle name="Normal 62 3" xfId="47306" xr:uid="{00000000-0005-0000-0000-0000D8B80000}"/>
    <cellStyle name="Normal 62 3 2" xfId="47307" xr:uid="{00000000-0005-0000-0000-0000D9B80000}"/>
    <cellStyle name="Normal 62 30" xfId="47308" xr:uid="{00000000-0005-0000-0000-0000DAB80000}"/>
    <cellStyle name="Normal 62 30 2" xfId="47309" xr:uid="{00000000-0005-0000-0000-0000DBB80000}"/>
    <cellStyle name="Normal 62 31" xfId="47310" xr:uid="{00000000-0005-0000-0000-0000DCB80000}"/>
    <cellStyle name="Normal 62 31 2" xfId="47311" xr:uid="{00000000-0005-0000-0000-0000DDB80000}"/>
    <cellStyle name="Normal 62 32" xfId="47312" xr:uid="{00000000-0005-0000-0000-0000DEB80000}"/>
    <cellStyle name="Normal 62 32 2" xfId="47313" xr:uid="{00000000-0005-0000-0000-0000DFB80000}"/>
    <cellStyle name="Normal 62 33" xfId="47314" xr:uid="{00000000-0005-0000-0000-0000E0B80000}"/>
    <cellStyle name="Normal 62 33 2" xfId="47315" xr:uid="{00000000-0005-0000-0000-0000E1B80000}"/>
    <cellStyle name="Normal 62 34" xfId="47316" xr:uid="{00000000-0005-0000-0000-0000E2B80000}"/>
    <cellStyle name="Normal 62 34 2" xfId="47317" xr:uid="{00000000-0005-0000-0000-0000E3B80000}"/>
    <cellStyle name="Normal 62 35" xfId="47318" xr:uid="{00000000-0005-0000-0000-0000E4B80000}"/>
    <cellStyle name="Normal 62 35 2" xfId="47319" xr:uid="{00000000-0005-0000-0000-0000E5B80000}"/>
    <cellStyle name="Normal 62 36" xfId="47320" xr:uid="{00000000-0005-0000-0000-0000E6B80000}"/>
    <cellStyle name="Normal 62 36 2" xfId="47321" xr:uid="{00000000-0005-0000-0000-0000E7B80000}"/>
    <cellStyle name="Normal 62 37" xfId="47322" xr:uid="{00000000-0005-0000-0000-0000E8B80000}"/>
    <cellStyle name="Normal 62 37 2" xfId="47323" xr:uid="{00000000-0005-0000-0000-0000E9B80000}"/>
    <cellStyle name="Normal 62 38" xfId="47324" xr:uid="{00000000-0005-0000-0000-0000EAB80000}"/>
    <cellStyle name="Normal 62 38 2" xfId="47325" xr:uid="{00000000-0005-0000-0000-0000EBB80000}"/>
    <cellStyle name="Normal 62 39" xfId="47326" xr:uid="{00000000-0005-0000-0000-0000ECB80000}"/>
    <cellStyle name="Normal 62 39 2" xfId="47327" xr:uid="{00000000-0005-0000-0000-0000EDB80000}"/>
    <cellStyle name="Normal 62 4" xfId="47328" xr:uid="{00000000-0005-0000-0000-0000EEB80000}"/>
    <cellStyle name="Normal 62 4 2" xfId="47329" xr:uid="{00000000-0005-0000-0000-0000EFB80000}"/>
    <cellStyle name="Normal 62 40" xfId="47330" xr:uid="{00000000-0005-0000-0000-0000F0B80000}"/>
    <cellStyle name="Normal 62 40 2" xfId="47331" xr:uid="{00000000-0005-0000-0000-0000F1B80000}"/>
    <cellStyle name="Normal 62 41" xfId="47332" xr:uid="{00000000-0005-0000-0000-0000F2B80000}"/>
    <cellStyle name="Normal 62 41 2" xfId="47333" xr:uid="{00000000-0005-0000-0000-0000F3B80000}"/>
    <cellStyle name="Normal 62 42" xfId="47334" xr:uid="{00000000-0005-0000-0000-0000F4B80000}"/>
    <cellStyle name="Normal 62 42 2" xfId="47335" xr:uid="{00000000-0005-0000-0000-0000F5B80000}"/>
    <cellStyle name="Normal 62 43" xfId="47336" xr:uid="{00000000-0005-0000-0000-0000F6B80000}"/>
    <cellStyle name="Normal 62 43 2" xfId="47337" xr:uid="{00000000-0005-0000-0000-0000F7B80000}"/>
    <cellStyle name="Normal 62 44" xfId="47338" xr:uid="{00000000-0005-0000-0000-0000F8B80000}"/>
    <cellStyle name="Normal 62 44 2" xfId="47339" xr:uid="{00000000-0005-0000-0000-0000F9B80000}"/>
    <cellStyle name="Normal 62 45" xfId="47340" xr:uid="{00000000-0005-0000-0000-0000FAB80000}"/>
    <cellStyle name="Normal 62 45 2" xfId="47341" xr:uid="{00000000-0005-0000-0000-0000FBB80000}"/>
    <cellStyle name="Normal 62 46" xfId="47342" xr:uid="{00000000-0005-0000-0000-0000FCB80000}"/>
    <cellStyle name="Normal 62 46 2" xfId="47343" xr:uid="{00000000-0005-0000-0000-0000FDB80000}"/>
    <cellStyle name="Normal 62 47" xfId="47344" xr:uid="{00000000-0005-0000-0000-0000FEB80000}"/>
    <cellStyle name="Normal 62 47 2" xfId="47345" xr:uid="{00000000-0005-0000-0000-0000FFB80000}"/>
    <cellStyle name="Normal 62 48" xfId="47346" xr:uid="{00000000-0005-0000-0000-000000B90000}"/>
    <cellStyle name="Normal 62 48 2" xfId="47347" xr:uid="{00000000-0005-0000-0000-000001B90000}"/>
    <cellStyle name="Normal 62 49" xfId="47348" xr:uid="{00000000-0005-0000-0000-000002B90000}"/>
    <cellStyle name="Normal 62 49 2" xfId="47349" xr:uid="{00000000-0005-0000-0000-000003B90000}"/>
    <cellStyle name="Normal 62 5" xfId="47350" xr:uid="{00000000-0005-0000-0000-000004B90000}"/>
    <cellStyle name="Normal 62 5 2" xfId="47351" xr:uid="{00000000-0005-0000-0000-000005B90000}"/>
    <cellStyle name="Normal 62 50" xfId="47352" xr:uid="{00000000-0005-0000-0000-000006B90000}"/>
    <cellStyle name="Normal 62 50 2" xfId="47353" xr:uid="{00000000-0005-0000-0000-000007B90000}"/>
    <cellStyle name="Normal 62 51" xfId="47354" xr:uid="{00000000-0005-0000-0000-000008B90000}"/>
    <cellStyle name="Normal 62 51 2" xfId="47355" xr:uid="{00000000-0005-0000-0000-000009B90000}"/>
    <cellStyle name="Normal 62 52" xfId="47356" xr:uid="{00000000-0005-0000-0000-00000AB90000}"/>
    <cellStyle name="Normal 62 52 2" xfId="47357" xr:uid="{00000000-0005-0000-0000-00000BB90000}"/>
    <cellStyle name="Normal 62 53" xfId="47358" xr:uid="{00000000-0005-0000-0000-00000CB90000}"/>
    <cellStyle name="Normal 62 53 2" xfId="47359" xr:uid="{00000000-0005-0000-0000-00000DB90000}"/>
    <cellStyle name="Normal 62 54" xfId="47360" xr:uid="{00000000-0005-0000-0000-00000EB90000}"/>
    <cellStyle name="Normal 62 54 2" xfId="47361" xr:uid="{00000000-0005-0000-0000-00000FB90000}"/>
    <cellStyle name="Normal 62 55" xfId="47362" xr:uid="{00000000-0005-0000-0000-000010B90000}"/>
    <cellStyle name="Normal 62 55 2" xfId="47363" xr:uid="{00000000-0005-0000-0000-000011B90000}"/>
    <cellStyle name="Normal 62 56" xfId="47364" xr:uid="{00000000-0005-0000-0000-000012B90000}"/>
    <cellStyle name="Normal 62 56 2" xfId="47365" xr:uid="{00000000-0005-0000-0000-000013B90000}"/>
    <cellStyle name="Normal 62 57" xfId="47366" xr:uid="{00000000-0005-0000-0000-000014B90000}"/>
    <cellStyle name="Normal 62 57 2" xfId="47367" xr:uid="{00000000-0005-0000-0000-000015B90000}"/>
    <cellStyle name="Normal 62 58" xfId="47368" xr:uid="{00000000-0005-0000-0000-000016B90000}"/>
    <cellStyle name="Normal 62 58 2" xfId="47369" xr:uid="{00000000-0005-0000-0000-000017B90000}"/>
    <cellStyle name="Normal 62 59" xfId="47370" xr:uid="{00000000-0005-0000-0000-000018B90000}"/>
    <cellStyle name="Normal 62 6" xfId="47371" xr:uid="{00000000-0005-0000-0000-000019B90000}"/>
    <cellStyle name="Normal 62 6 2" xfId="47372" xr:uid="{00000000-0005-0000-0000-00001AB90000}"/>
    <cellStyle name="Normal 62 7" xfId="47373" xr:uid="{00000000-0005-0000-0000-00001BB90000}"/>
    <cellStyle name="Normal 62 7 2" xfId="47374" xr:uid="{00000000-0005-0000-0000-00001CB90000}"/>
    <cellStyle name="Normal 62 8" xfId="47375" xr:uid="{00000000-0005-0000-0000-00001DB90000}"/>
    <cellStyle name="Normal 62 8 2" xfId="47376" xr:uid="{00000000-0005-0000-0000-00001EB90000}"/>
    <cellStyle name="Normal 62 9" xfId="47377" xr:uid="{00000000-0005-0000-0000-00001FB90000}"/>
    <cellStyle name="Normal 62 9 2" xfId="47378" xr:uid="{00000000-0005-0000-0000-000020B90000}"/>
    <cellStyle name="Normal 63" xfId="47379" xr:uid="{00000000-0005-0000-0000-000021B90000}"/>
    <cellStyle name="Normal 63 10" xfId="47380" xr:uid="{00000000-0005-0000-0000-000022B90000}"/>
    <cellStyle name="Normal 63 10 2" xfId="47381" xr:uid="{00000000-0005-0000-0000-000023B90000}"/>
    <cellStyle name="Normal 63 11" xfId="47382" xr:uid="{00000000-0005-0000-0000-000024B90000}"/>
    <cellStyle name="Normal 63 11 2" xfId="47383" xr:uid="{00000000-0005-0000-0000-000025B90000}"/>
    <cellStyle name="Normal 63 12" xfId="47384" xr:uid="{00000000-0005-0000-0000-000026B90000}"/>
    <cellStyle name="Normal 63 12 2" xfId="47385" xr:uid="{00000000-0005-0000-0000-000027B90000}"/>
    <cellStyle name="Normal 63 13" xfId="47386" xr:uid="{00000000-0005-0000-0000-000028B90000}"/>
    <cellStyle name="Normal 63 13 2" xfId="47387" xr:uid="{00000000-0005-0000-0000-000029B90000}"/>
    <cellStyle name="Normal 63 14" xfId="47388" xr:uid="{00000000-0005-0000-0000-00002AB90000}"/>
    <cellStyle name="Normal 63 14 2" xfId="47389" xr:uid="{00000000-0005-0000-0000-00002BB90000}"/>
    <cellStyle name="Normal 63 15" xfId="47390" xr:uid="{00000000-0005-0000-0000-00002CB90000}"/>
    <cellStyle name="Normal 63 15 2" xfId="47391" xr:uid="{00000000-0005-0000-0000-00002DB90000}"/>
    <cellStyle name="Normal 63 16" xfId="47392" xr:uid="{00000000-0005-0000-0000-00002EB90000}"/>
    <cellStyle name="Normal 63 16 2" xfId="47393" xr:uid="{00000000-0005-0000-0000-00002FB90000}"/>
    <cellStyle name="Normal 63 17" xfId="47394" xr:uid="{00000000-0005-0000-0000-000030B90000}"/>
    <cellStyle name="Normal 63 17 2" xfId="47395" xr:uid="{00000000-0005-0000-0000-000031B90000}"/>
    <cellStyle name="Normal 63 18" xfId="47396" xr:uid="{00000000-0005-0000-0000-000032B90000}"/>
    <cellStyle name="Normal 63 18 2" xfId="47397" xr:uid="{00000000-0005-0000-0000-000033B90000}"/>
    <cellStyle name="Normal 63 19" xfId="47398" xr:uid="{00000000-0005-0000-0000-000034B90000}"/>
    <cellStyle name="Normal 63 19 2" xfId="47399" xr:uid="{00000000-0005-0000-0000-000035B90000}"/>
    <cellStyle name="Normal 63 2" xfId="47400" xr:uid="{00000000-0005-0000-0000-000036B90000}"/>
    <cellStyle name="Normal 63 2 2" xfId="47401" xr:uid="{00000000-0005-0000-0000-000037B90000}"/>
    <cellStyle name="Normal 63 20" xfId="47402" xr:uid="{00000000-0005-0000-0000-000038B90000}"/>
    <cellStyle name="Normal 63 20 2" xfId="47403" xr:uid="{00000000-0005-0000-0000-000039B90000}"/>
    <cellStyle name="Normal 63 21" xfId="47404" xr:uid="{00000000-0005-0000-0000-00003AB90000}"/>
    <cellStyle name="Normal 63 21 2" xfId="47405" xr:uid="{00000000-0005-0000-0000-00003BB90000}"/>
    <cellStyle name="Normal 63 22" xfId="47406" xr:uid="{00000000-0005-0000-0000-00003CB90000}"/>
    <cellStyle name="Normal 63 22 2" xfId="47407" xr:uid="{00000000-0005-0000-0000-00003DB90000}"/>
    <cellStyle name="Normal 63 23" xfId="47408" xr:uid="{00000000-0005-0000-0000-00003EB90000}"/>
    <cellStyle name="Normal 63 23 2" xfId="47409" xr:uid="{00000000-0005-0000-0000-00003FB90000}"/>
    <cellStyle name="Normal 63 24" xfId="47410" xr:uid="{00000000-0005-0000-0000-000040B90000}"/>
    <cellStyle name="Normal 63 24 2" xfId="47411" xr:uid="{00000000-0005-0000-0000-000041B90000}"/>
    <cellStyle name="Normal 63 25" xfId="47412" xr:uid="{00000000-0005-0000-0000-000042B90000}"/>
    <cellStyle name="Normal 63 25 2" xfId="47413" xr:uid="{00000000-0005-0000-0000-000043B90000}"/>
    <cellStyle name="Normal 63 26" xfId="47414" xr:uid="{00000000-0005-0000-0000-000044B90000}"/>
    <cellStyle name="Normal 63 26 2" xfId="47415" xr:uid="{00000000-0005-0000-0000-000045B90000}"/>
    <cellStyle name="Normal 63 27" xfId="47416" xr:uid="{00000000-0005-0000-0000-000046B90000}"/>
    <cellStyle name="Normal 63 27 2" xfId="47417" xr:uid="{00000000-0005-0000-0000-000047B90000}"/>
    <cellStyle name="Normal 63 28" xfId="47418" xr:uid="{00000000-0005-0000-0000-000048B90000}"/>
    <cellStyle name="Normal 63 28 2" xfId="47419" xr:uid="{00000000-0005-0000-0000-000049B90000}"/>
    <cellStyle name="Normal 63 29" xfId="47420" xr:uid="{00000000-0005-0000-0000-00004AB90000}"/>
    <cellStyle name="Normal 63 29 2" xfId="47421" xr:uid="{00000000-0005-0000-0000-00004BB90000}"/>
    <cellStyle name="Normal 63 3" xfId="47422" xr:uid="{00000000-0005-0000-0000-00004CB90000}"/>
    <cellStyle name="Normal 63 3 2" xfId="47423" xr:uid="{00000000-0005-0000-0000-00004DB90000}"/>
    <cellStyle name="Normal 63 30" xfId="47424" xr:uid="{00000000-0005-0000-0000-00004EB90000}"/>
    <cellStyle name="Normal 63 30 2" xfId="47425" xr:uid="{00000000-0005-0000-0000-00004FB90000}"/>
    <cellStyle name="Normal 63 31" xfId="47426" xr:uid="{00000000-0005-0000-0000-000050B90000}"/>
    <cellStyle name="Normal 63 31 2" xfId="47427" xr:uid="{00000000-0005-0000-0000-000051B90000}"/>
    <cellStyle name="Normal 63 32" xfId="47428" xr:uid="{00000000-0005-0000-0000-000052B90000}"/>
    <cellStyle name="Normal 63 32 2" xfId="47429" xr:uid="{00000000-0005-0000-0000-000053B90000}"/>
    <cellStyle name="Normal 63 33" xfId="47430" xr:uid="{00000000-0005-0000-0000-000054B90000}"/>
    <cellStyle name="Normal 63 33 2" xfId="47431" xr:uid="{00000000-0005-0000-0000-000055B90000}"/>
    <cellStyle name="Normal 63 34" xfId="47432" xr:uid="{00000000-0005-0000-0000-000056B90000}"/>
    <cellStyle name="Normal 63 34 2" xfId="47433" xr:uid="{00000000-0005-0000-0000-000057B90000}"/>
    <cellStyle name="Normal 63 35" xfId="47434" xr:uid="{00000000-0005-0000-0000-000058B90000}"/>
    <cellStyle name="Normal 63 35 2" xfId="47435" xr:uid="{00000000-0005-0000-0000-000059B90000}"/>
    <cellStyle name="Normal 63 36" xfId="47436" xr:uid="{00000000-0005-0000-0000-00005AB90000}"/>
    <cellStyle name="Normal 63 36 2" xfId="47437" xr:uid="{00000000-0005-0000-0000-00005BB90000}"/>
    <cellStyle name="Normal 63 37" xfId="47438" xr:uid="{00000000-0005-0000-0000-00005CB90000}"/>
    <cellStyle name="Normal 63 37 2" xfId="47439" xr:uid="{00000000-0005-0000-0000-00005DB90000}"/>
    <cellStyle name="Normal 63 38" xfId="47440" xr:uid="{00000000-0005-0000-0000-00005EB90000}"/>
    <cellStyle name="Normal 63 38 2" xfId="47441" xr:uid="{00000000-0005-0000-0000-00005FB90000}"/>
    <cellStyle name="Normal 63 39" xfId="47442" xr:uid="{00000000-0005-0000-0000-000060B90000}"/>
    <cellStyle name="Normal 63 39 2" xfId="47443" xr:uid="{00000000-0005-0000-0000-000061B90000}"/>
    <cellStyle name="Normal 63 4" xfId="47444" xr:uid="{00000000-0005-0000-0000-000062B90000}"/>
    <cellStyle name="Normal 63 4 2" xfId="47445" xr:uid="{00000000-0005-0000-0000-000063B90000}"/>
    <cellStyle name="Normal 63 40" xfId="47446" xr:uid="{00000000-0005-0000-0000-000064B90000}"/>
    <cellStyle name="Normal 63 40 2" xfId="47447" xr:uid="{00000000-0005-0000-0000-000065B90000}"/>
    <cellStyle name="Normal 63 41" xfId="47448" xr:uid="{00000000-0005-0000-0000-000066B90000}"/>
    <cellStyle name="Normal 63 41 2" xfId="47449" xr:uid="{00000000-0005-0000-0000-000067B90000}"/>
    <cellStyle name="Normal 63 42" xfId="47450" xr:uid="{00000000-0005-0000-0000-000068B90000}"/>
    <cellStyle name="Normal 63 42 2" xfId="47451" xr:uid="{00000000-0005-0000-0000-000069B90000}"/>
    <cellStyle name="Normal 63 43" xfId="47452" xr:uid="{00000000-0005-0000-0000-00006AB90000}"/>
    <cellStyle name="Normal 63 43 2" xfId="47453" xr:uid="{00000000-0005-0000-0000-00006BB90000}"/>
    <cellStyle name="Normal 63 44" xfId="47454" xr:uid="{00000000-0005-0000-0000-00006CB90000}"/>
    <cellStyle name="Normal 63 44 2" xfId="47455" xr:uid="{00000000-0005-0000-0000-00006DB90000}"/>
    <cellStyle name="Normal 63 45" xfId="47456" xr:uid="{00000000-0005-0000-0000-00006EB90000}"/>
    <cellStyle name="Normal 63 45 2" xfId="47457" xr:uid="{00000000-0005-0000-0000-00006FB90000}"/>
    <cellStyle name="Normal 63 46" xfId="47458" xr:uid="{00000000-0005-0000-0000-000070B90000}"/>
    <cellStyle name="Normal 63 46 2" xfId="47459" xr:uid="{00000000-0005-0000-0000-000071B90000}"/>
    <cellStyle name="Normal 63 47" xfId="47460" xr:uid="{00000000-0005-0000-0000-000072B90000}"/>
    <cellStyle name="Normal 63 47 2" xfId="47461" xr:uid="{00000000-0005-0000-0000-000073B90000}"/>
    <cellStyle name="Normal 63 48" xfId="47462" xr:uid="{00000000-0005-0000-0000-000074B90000}"/>
    <cellStyle name="Normal 63 48 2" xfId="47463" xr:uid="{00000000-0005-0000-0000-000075B90000}"/>
    <cellStyle name="Normal 63 49" xfId="47464" xr:uid="{00000000-0005-0000-0000-000076B90000}"/>
    <cellStyle name="Normal 63 49 2" xfId="47465" xr:uid="{00000000-0005-0000-0000-000077B90000}"/>
    <cellStyle name="Normal 63 5" xfId="47466" xr:uid="{00000000-0005-0000-0000-000078B90000}"/>
    <cellStyle name="Normal 63 5 2" xfId="47467" xr:uid="{00000000-0005-0000-0000-000079B90000}"/>
    <cellStyle name="Normal 63 50" xfId="47468" xr:uid="{00000000-0005-0000-0000-00007AB90000}"/>
    <cellStyle name="Normal 63 50 2" xfId="47469" xr:uid="{00000000-0005-0000-0000-00007BB90000}"/>
    <cellStyle name="Normal 63 51" xfId="47470" xr:uid="{00000000-0005-0000-0000-00007CB90000}"/>
    <cellStyle name="Normal 63 51 2" xfId="47471" xr:uid="{00000000-0005-0000-0000-00007DB90000}"/>
    <cellStyle name="Normal 63 52" xfId="47472" xr:uid="{00000000-0005-0000-0000-00007EB90000}"/>
    <cellStyle name="Normal 63 52 2" xfId="47473" xr:uid="{00000000-0005-0000-0000-00007FB90000}"/>
    <cellStyle name="Normal 63 53" xfId="47474" xr:uid="{00000000-0005-0000-0000-000080B90000}"/>
    <cellStyle name="Normal 63 53 2" xfId="47475" xr:uid="{00000000-0005-0000-0000-000081B90000}"/>
    <cellStyle name="Normal 63 54" xfId="47476" xr:uid="{00000000-0005-0000-0000-000082B90000}"/>
    <cellStyle name="Normal 63 54 2" xfId="47477" xr:uid="{00000000-0005-0000-0000-000083B90000}"/>
    <cellStyle name="Normal 63 55" xfId="47478" xr:uid="{00000000-0005-0000-0000-000084B90000}"/>
    <cellStyle name="Normal 63 55 2" xfId="47479" xr:uid="{00000000-0005-0000-0000-000085B90000}"/>
    <cellStyle name="Normal 63 56" xfId="47480" xr:uid="{00000000-0005-0000-0000-000086B90000}"/>
    <cellStyle name="Normal 63 56 2" xfId="47481" xr:uid="{00000000-0005-0000-0000-000087B90000}"/>
    <cellStyle name="Normal 63 57" xfId="47482" xr:uid="{00000000-0005-0000-0000-000088B90000}"/>
    <cellStyle name="Normal 63 57 2" xfId="47483" xr:uid="{00000000-0005-0000-0000-000089B90000}"/>
    <cellStyle name="Normal 63 58" xfId="47484" xr:uid="{00000000-0005-0000-0000-00008AB90000}"/>
    <cellStyle name="Normal 63 58 2" xfId="47485" xr:uid="{00000000-0005-0000-0000-00008BB90000}"/>
    <cellStyle name="Normal 63 59" xfId="47486" xr:uid="{00000000-0005-0000-0000-00008CB90000}"/>
    <cellStyle name="Normal 63 6" xfId="47487" xr:uid="{00000000-0005-0000-0000-00008DB90000}"/>
    <cellStyle name="Normal 63 6 2" xfId="47488" xr:uid="{00000000-0005-0000-0000-00008EB90000}"/>
    <cellStyle name="Normal 63 7" xfId="47489" xr:uid="{00000000-0005-0000-0000-00008FB90000}"/>
    <cellStyle name="Normal 63 7 2" xfId="47490" xr:uid="{00000000-0005-0000-0000-000090B90000}"/>
    <cellStyle name="Normal 63 8" xfId="47491" xr:uid="{00000000-0005-0000-0000-000091B90000}"/>
    <cellStyle name="Normal 63 8 2" xfId="47492" xr:uid="{00000000-0005-0000-0000-000092B90000}"/>
    <cellStyle name="Normal 63 9" xfId="47493" xr:uid="{00000000-0005-0000-0000-000093B90000}"/>
    <cellStyle name="Normal 63 9 2" xfId="47494" xr:uid="{00000000-0005-0000-0000-000094B90000}"/>
    <cellStyle name="Normal 64" xfId="47495" xr:uid="{00000000-0005-0000-0000-000095B90000}"/>
    <cellStyle name="Normal 64 10" xfId="47496" xr:uid="{00000000-0005-0000-0000-000096B90000}"/>
    <cellStyle name="Normal 64 10 2" xfId="47497" xr:uid="{00000000-0005-0000-0000-000097B90000}"/>
    <cellStyle name="Normal 64 11" xfId="47498" xr:uid="{00000000-0005-0000-0000-000098B90000}"/>
    <cellStyle name="Normal 64 11 2" xfId="47499" xr:uid="{00000000-0005-0000-0000-000099B90000}"/>
    <cellStyle name="Normal 64 12" xfId="47500" xr:uid="{00000000-0005-0000-0000-00009AB90000}"/>
    <cellStyle name="Normal 64 12 2" xfId="47501" xr:uid="{00000000-0005-0000-0000-00009BB90000}"/>
    <cellStyle name="Normal 64 13" xfId="47502" xr:uid="{00000000-0005-0000-0000-00009CB90000}"/>
    <cellStyle name="Normal 64 13 2" xfId="47503" xr:uid="{00000000-0005-0000-0000-00009DB90000}"/>
    <cellStyle name="Normal 64 14" xfId="47504" xr:uid="{00000000-0005-0000-0000-00009EB90000}"/>
    <cellStyle name="Normal 64 14 2" xfId="47505" xr:uid="{00000000-0005-0000-0000-00009FB90000}"/>
    <cellStyle name="Normal 64 15" xfId="47506" xr:uid="{00000000-0005-0000-0000-0000A0B90000}"/>
    <cellStyle name="Normal 64 15 2" xfId="47507" xr:uid="{00000000-0005-0000-0000-0000A1B90000}"/>
    <cellStyle name="Normal 64 16" xfId="47508" xr:uid="{00000000-0005-0000-0000-0000A2B90000}"/>
    <cellStyle name="Normal 64 16 2" xfId="47509" xr:uid="{00000000-0005-0000-0000-0000A3B90000}"/>
    <cellStyle name="Normal 64 17" xfId="47510" xr:uid="{00000000-0005-0000-0000-0000A4B90000}"/>
    <cellStyle name="Normal 64 17 2" xfId="47511" xr:uid="{00000000-0005-0000-0000-0000A5B90000}"/>
    <cellStyle name="Normal 64 18" xfId="47512" xr:uid="{00000000-0005-0000-0000-0000A6B90000}"/>
    <cellStyle name="Normal 64 18 2" xfId="47513" xr:uid="{00000000-0005-0000-0000-0000A7B90000}"/>
    <cellStyle name="Normal 64 19" xfId="47514" xr:uid="{00000000-0005-0000-0000-0000A8B90000}"/>
    <cellStyle name="Normal 64 19 2" xfId="47515" xr:uid="{00000000-0005-0000-0000-0000A9B90000}"/>
    <cellStyle name="Normal 64 2" xfId="47516" xr:uid="{00000000-0005-0000-0000-0000AAB90000}"/>
    <cellStyle name="Normal 64 2 2" xfId="47517" xr:uid="{00000000-0005-0000-0000-0000ABB90000}"/>
    <cellStyle name="Normal 64 20" xfId="47518" xr:uid="{00000000-0005-0000-0000-0000ACB90000}"/>
    <cellStyle name="Normal 64 20 2" xfId="47519" xr:uid="{00000000-0005-0000-0000-0000ADB90000}"/>
    <cellStyle name="Normal 64 21" xfId="47520" xr:uid="{00000000-0005-0000-0000-0000AEB90000}"/>
    <cellStyle name="Normal 64 21 2" xfId="47521" xr:uid="{00000000-0005-0000-0000-0000AFB90000}"/>
    <cellStyle name="Normal 64 22" xfId="47522" xr:uid="{00000000-0005-0000-0000-0000B0B90000}"/>
    <cellStyle name="Normal 64 22 2" xfId="47523" xr:uid="{00000000-0005-0000-0000-0000B1B90000}"/>
    <cellStyle name="Normal 64 23" xfId="47524" xr:uid="{00000000-0005-0000-0000-0000B2B90000}"/>
    <cellStyle name="Normal 64 23 2" xfId="47525" xr:uid="{00000000-0005-0000-0000-0000B3B90000}"/>
    <cellStyle name="Normal 64 24" xfId="47526" xr:uid="{00000000-0005-0000-0000-0000B4B90000}"/>
    <cellStyle name="Normal 64 24 2" xfId="47527" xr:uid="{00000000-0005-0000-0000-0000B5B90000}"/>
    <cellStyle name="Normal 64 25" xfId="47528" xr:uid="{00000000-0005-0000-0000-0000B6B90000}"/>
    <cellStyle name="Normal 64 25 2" xfId="47529" xr:uid="{00000000-0005-0000-0000-0000B7B90000}"/>
    <cellStyle name="Normal 64 26" xfId="47530" xr:uid="{00000000-0005-0000-0000-0000B8B90000}"/>
    <cellStyle name="Normal 64 26 2" xfId="47531" xr:uid="{00000000-0005-0000-0000-0000B9B90000}"/>
    <cellStyle name="Normal 64 27" xfId="47532" xr:uid="{00000000-0005-0000-0000-0000BAB90000}"/>
    <cellStyle name="Normal 64 27 2" xfId="47533" xr:uid="{00000000-0005-0000-0000-0000BBB90000}"/>
    <cellStyle name="Normal 64 28" xfId="47534" xr:uid="{00000000-0005-0000-0000-0000BCB90000}"/>
    <cellStyle name="Normal 64 28 2" xfId="47535" xr:uid="{00000000-0005-0000-0000-0000BDB90000}"/>
    <cellStyle name="Normal 64 29" xfId="47536" xr:uid="{00000000-0005-0000-0000-0000BEB90000}"/>
    <cellStyle name="Normal 64 29 2" xfId="47537" xr:uid="{00000000-0005-0000-0000-0000BFB90000}"/>
    <cellStyle name="Normal 64 3" xfId="47538" xr:uid="{00000000-0005-0000-0000-0000C0B90000}"/>
    <cellStyle name="Normal 64 3 2" xfId="47539" xr:uid="{00000000-0005-0000-0000-0000C1B90000}"/>
    <cellStyle name="Normal 64 30" xfId="47540" xr:uid="{00000000-0005-0000-0000-0000C2B90000}"/>
    <cellStyle name="Normal 64 30 2" xfId="47541" xr:uid="{00000000-0005-0000-0000-0000C3B90000}"/>
    <cellStyle name="Normal 64 31" xfId="47542" xr:uid="{00000000-0005-0000-0000-0000C4B90000}"/>
    <cellStyle name="Normal 64 31 2" xfId="47543" xr:uid="{00000000-0005-0000-0000-0000C5B90000}"/>
    <cellStyle name="Normal 64 32" xfId="47544" xr:uid="{00000000-0005-0000-0000-0000C6B90000}"/>
    <cellStyle name="Normal 64 32 2" xfId="47545" xr:uid="{00000000-0005-0000-0000-0000C7B90000}"/>
    <cellStyle name="Normal 64 33" xfId="47546" xr:uid="{00000000-0005-0000-0000-0000C8B90000}"/>
    <cellStyle name="Normal 64 33 2" xfId="47547" xr:uid="{00000000-0005-0000-0000-0000C9B90000}"/>
    <cellStyle name="Normal 64 34" xfId="47548" xr:uid="{00000000-0005-0000-0000-0000CAB90000}"/>
    <cellStyle name="Normal 64 34 2" xfId="47549" xr:uid="{00000000-0005-0000-0000-0000CBB90000}"/>
    <cellStyle name="Normal 64 35" xfId="47550" xr:uid="{00000000-0005-0000-0000-0000CCB90000}"/>
    <cellStyle name="Normal 64 35 2" xfId="47551" xr:uid="{00000000-0005-0000-0000-0000CDB90000}"/>
    <cellStyle name="Normal 64 36" xfId="47552" xr:uid="{00000000-0005-0000-0000-0000CEB90000}"/>
    <cellStyle name="Normal 64 36 2" xfId="47553" xr:uid="{00000000-0005-0000-0000-0000CFB90000}"/>
    <cellStyle name="Normal 64 37" xfId="47554" xr:uid="{00000000-0005-0000-0000-0000D0B90000}"/>
    <cellStyle name="Normal 64 37 2" xfId="47555" xr:uid="{00000000-0005-0000-0000-0000D1B90000}"/>
    <cellStyle name="Normal 64 38" xfId="47556" xr:uid="{00000000-0005-0000-0000-0000D2B90000}"/>
    <cellStyle name="Normal 64 38 2" xfId="47557" xr:uid="{00000000-0005-0000-0000-0000D3B90000}"/>
    <cellStyle name="Normal 64 39" xfId="47558" xr:uid="{00000000-0005-0000-0000-0000D4B90000}"/>
    <cellStyle name="Normal 64 39 2" xfId="47559" xr:uid="{00000000-0005-0000-0000-0000D5B90000}"/>
    <cellStyle name="Normal 64 4" xfId="47560" xr:uid="{00000000-0005-0000-0000-0000D6B90000}"/>
    <cellStyle name="Normal 64 4 2" xfId="47561" xr:uid="{00000000-0005-0000-0000-0000D7B90000}"/>
    <cellStyle name="Normal 64 40" xfId="47562" xr:uid="{00000000-0005-0000-0000-0000D8B90000}"/>
    <cellStyle name="Normal 64 40 2" xfId="47563" xr:uid="{00000000-0005-0000-0000-0000D9B90000}"/>
    <cellStyle name="Normal 64 41" xfId="47564" xr:uid="{00000000-0005-0000-0000-0000DAB90000}"/>
    <cellStyle name="Normal 64 41 2" xfId="47565" xr:uid="{00000000-0005-0000-0000-0000DBB90000}"/>
    <cellStyle name="Normal 64 42" xfId="47566" xr:uid="{00000000-0005-0000-0000-0000DCB90000}"/>
    <cellStyle name="Normal 64 42 2" xfId="47567" xr:uid="{00000000-0005-0000-0000-0000DDB90000}"/>
    <cellStyle name="Normal 64 43" xfId="47568" xr:uid="{00000000-0005-0000-0000-0000DEB90000}"/>
    <cellStyle name="Normal 64 43 2" xfId="47569" xr:uid="{00000000-0005-0000-0000-0000DFB90000}"/>
    <cellStyle name="Normal 64 44" xfId="47570" xr:uid="{00000000-0005-0000-0000-0000E0B90000}"/>
    <cellStyle name="Normal 64 44 2" xfId="47571" xr:uid="{00000000-0005-0000-0000-0000E1B90000}"/>
    <cellStyle name="Normal 64 45" xfId="47572" xr:uid="{00000000-0005-0000-0000-0000E2B90000}"/>
    <cellStyle name="Normal 64 45 2" xfId="47573" xr:uid="{00000000-0005-0000-0000-0000E3B90000}"/>
    <cellStyle name="Normal 64 46" xfId="47574" xr:uid="{00000000-0005-0000-0000-0000E4B90000}"/>
    <cellStyle name="Normal 64 46 2" xfId="47575" xr:uid="{00000000-0005-0000-0000-0000E5B90000}"/>
    <cellStyle name="Normal 64 47" xfId="47576" xr:uid="{00000000-0005-0000-0000-0000E6B90000}"/>
    <cellStyle name="Normal 64 47 2" xfId="47577" xr:uid="{00000000-0005-0000-0000-0000E7B90000}"/>
    <cellStyle name="Normal 64 48" xfId="47578" xr:uid="{00000000-0005-0000-0000-0000E8B90000}"/>
    <cellStyle name="Normal 64 48 2" xfId="47579" xr:uid="{00000000-0005-0000-0000-0000E9B90000}"/>
    <cellStyle name="Normal 64 49" xfId="47580" xr:uid="{00000000-0005-0000-0000-0000EAB90000}"/>
    <cellStyle name="Normal 64 49 2" xfId="47581" xr:uid="{00000000-0005-0000-0000-0000EBB90000}"/>
    <cellStyle name="Normal 64 5" xfId="47582" xr:uid="{00000000-0005-0000-0000-0000ECB90000}"/>
    <cellStyle name="Normal 64 5 2" xfId="47583" xr:uid="{00000000-0005-0000-0000-0000EDB90000}"/>
    <cellStyle name="Normal 64 50" xfId="47584" xr:uid="{00000000-0005-0000-0000-0000EEB90000}"/>
    <cellStyle name="Normal 64 50 2" xfId="47585" xr:uid="{00000000-0005-0000-0000-0000EFB90000}"/>
    <cellStyle name="Normal 64 51" xfId="47586" xr:uid="{00000000-0005-0000-0000-0000F0B90000}"/>
    <cellStyle name="Normal 64 51 2" xfId="47587" xr:uid="{00000000-0005-0000-0000-0000F1B90000}"/>
    <cellStyle name="Normal 64 52" xfId="47588" xr:uid="{00000000-0005-0000-0000-0000F2B90000}"/>
    <cellStyle name="Normal 64 52 2" xfId="47589" xr:uid="{00000000-0005-0000-0000-0000F3B90000}"/>
    <cellStyle name="Normal 64 53" xfId="47590" xr:uid="{00000000-0005-0000-0000-0000F4B90000}"/>
    <cellStyle name="Normal 64 53 2" xfId="47591" xr:uid="{00000000-0005-0000-0000-0000F5B90000}"/>
    <cellStyle name="Normal 64 54" xfId="47592" xr:uid="{00000000-0005-0000-0000-0000F6B90000}"/>
    <cellStyle name="Normal 64 54 2" xfId="47593" xr:uid="{00000000-0005-0000-0000-0000F7B90000}"/>
    <cellStyle name="Normal 64 55" xfId="47594" xr:uid="{00000000-0005-0000-0000-0000F8B90000}"/>
    <cellStyle name="Normal 64 55 2" xfId="47595" xr:uid="{00000000-0005-0000-0000-0000F9B90000}"/>
    <cellStyle name="Normal 64 56" xfId="47596" xr:uid="{00000000-0005-0000-0000-0000FAB90000}"/>
    <cellStyle name="Normal 64 56 2" xfId="47597" xr:uid="{00000000-0005-0000-0000-0000FBB90000}"/>
    <cellStyle name="Normal 64 57" xfId="47598" xr:uid="{00000000-0005-0000-0000-0000FCB90000}"/>
    <cellStyle name="Normal 64 57 2" xfId="47599" xr:uid="{00000000-0005-0000-0000-0000FDB90000}"/>
    <cellStyle name="Normal 64 58" xfId="47600" xr:uid="{00000000-0005-0000-0000-0000FEB90000}"/>
    <cellStyle name="Normal 64 58 2" xfId="47601" xr:uid="{00000000-0005-0000-0000-0000FFB90000}"/>
    <cellStyle name="Normal 64 59" xfId="47602" xr:uid="{00000000-0005-0000-0000-000000BA0000}"/>
    <cellStyle name="Normal 64 59 2" xfId="47603" xr:uid="{00000000-0005-0000-0000-000001BA0000}"/>
    <cellStyle name="Normal 64 6" xfId="47604" xr:uid="{00000000-0005-0000-0000-000002BA0000}"/>
    <cellStyle name="Normal 64 6 2" xfId="47605" xr:uid="{00000000-0005-0000-0000-000003BA0000}"/>
    <cellStyle name="Normal 64 60" xfId="47606" xr:uid="{00000000-0005-0000-0000-000004BA0000}"/>
    <cellStyle name="Normal 64 60 2" xfId="47607" xr:uid="{00000000-0005-0000-0000-000005BA0000}"/>
    <cellStyle name="Normal 64 61" xfId="47608" xr:uid="{00000000-0005-0000-0000-000006BA0000}"/>
    <cellStyle name="Normal 64 61 2" xfId="47609" xr:uid="{00000000-0005-0000-0000-000007BA0000}"/>
    <cellStyle name="Normal 64 62" xfId="47610" xr:uid="{00000000-0005-0000-0000-000008BA0000}"/>
    <cellStyle name="Normal 64 62 2" xfId="47611" xr:uid="{00000000-0005-0000-0000-000009BA0000}"/>
    <cellStyle name="Normal 64 62 3" xfId="47612" xr:uid="{00000000-0005-0000-0000-00000ABA0000}"/>
    <cellStyle name="Normal 64 63" xfId="47613" xr:uid="{00000000-0005-0000-0000-00000BBA0000}"/>
    <cellStyle name="Normal 64 7" xfId="47614" xr:uid="{00000000-0005-0000-0000-00000CBA0000}"/>
    <cellStyle name="Normal 64 7 2" xfId="47615" xr:uid="{00000000-0005-0000-0000-00000DBA0000}"/>
    <cellStyle name="Normal 64 8" xfId="47616" xr:uid="{00000000-0005-0000-0000-00000EBA0000}"/>
    <cellStyle name="Normal 64 8 2" xfId="47617" xr:uid="{00000000-0005-0000-0000-00000FBA0000}"/>
    <cellStyle name="Normal 64 9" xfId="47618" xr:uid="{00000000-0005-0000-0000-000010BA0000}"/>
    <cellStyle name="Normal 64 9 2" xfId="47619" xr:uid="{00000000-0005-0000-0000-000011BA0000}"/>
    <cellStyle name="Normal 65" xfId="47620" xr:uid="{00000000-0005-0000-0000-000012BA0000}"/>
    <cellStyle name="Normal 65 10" xfId="47621" xr:uid="{00000000-0005-0000-0000-000013BA0000}"/>
    <cellStyle name="Normal 65 10 2" xfId="47622" xr:uid="{00000000-0005-0000-0000-000014BA0000}"/>
    <cellStyle name="Normal 65 11" xfId="47623" xr:uid="{00000000-0005-0000-0000-000015BA0000}"/>
    <cellStyle name="Normal 65 11 2" xfId="47624" xr:uid="{00000000-0005-0000-0000-000016BA0000}"/>
    <cellStyle name="Normal 65 12" xfId="47625" xr:uid="{00000000-0005-0000-0000-000017BA0000}"/>
    <cellStyle name="Normal 65 12 2" xfId="47626" xr:uid="{00000000-0005-0000-0000-000018BA0000}"/>
    <cellStyle name="Normal 65 13" xfId="47627" xr:uid="{00000000-0005-0000-0000-000019BA0000}"/>
    <cellStyle name="Normal 65 13 2" xfId="47628" xr:uid="{00000000-0005-0000-0000-00001ABA0000}"/>
    <cellStyle name="Normal 65 14" xfId="47629" xr:uid="{00000000-0005-0000-0000-00001BBA0000}"/>
    <cellStyle name="Normal 65 14 2" xfId="47630" xr:uid="{00000000-0005-0000-0000-00001CBA0000}"/>
    <cellStyle name="Normal 65 15" xfId="47631" xr:uid="{00000000-0005-0000-0000-00001DBA0000}"/>
    <cellStyle name="Normal 65 15 2" xfId="47632" xr:uid="{00000000-0005-0000-0000-00001EBA0000}"/>
    <cellStyle name="Normal 65 16" xfId="47633" xr:uid="{00000000-0005-0000-0000-00001FBA0000}"/>
    <cellStyle name="Normal 65 16 2" xfId="47634" xr:uid="{00000000-0005-0000-0000-000020BA0000}"/>
    <cellStyle name="Normal 65 17" xfId="47635" xr:uid="{00000000-0005-0000-0000-000021BA0000}"/>
    <cellStyle name="Normal 65 17 2" xfId="47636" xr:uid="{00000000-0005-0000-0000-000022BA0000}"/>
    <cellStyle name="Normal 65 18" xfId="47637" xr:uid="{00000000-0005-0000-0000-000023BA0000}"/>
    <cellStyle name="Normal 65 18 2" xfId="47638" xr:uid="{00000000-0005-0000-0000-000024BA0000}"/>
    <cellStyle name="Normal 65 19" xfId="47639" xr:uid="{00000000-0005-0000-0000-000025BA0000}"/>
    <cellStyle name="Normal 65 19 2" xfId="47640" xr:uid="{00000000-0005-0000-0000-000026BA0000}"/>
    <cellStyle name="Normal 65 2" xfId="47641" xr:uid="{00000000-0005-0000-0000-000027BA0000}"/>
    <cellStyle name="Normal 65 2 2" xfId="47642" xr:uid="{00000000-0005-0000-0000-000028BA0000}"/>
    <cellStyle name="Normal 65 20" xfId="47643" xr:uid="{00000000-0005-0000-0000-000029BA0000}"/>
    <cellStyle name="Normal 65 20 2" xfId="47644" xr:uid="{00000000-0005-0000-0000-00002ABA0000}"/>
    <cellStyle name="Normal 65 21" xfId="47645" xr:uid="{00000000-0005-0000-0000-00002BBA0000}"/>
    <cellStyle name="Normal 65 21 2" xfId="47646" xr:uid="{00000000-0005-0000-0000-00002CBA0000}"/>
    <cellStyle name="Normal 65 22" xfId="47647" xr:uid="{00000000-0005-0000-0000-00002DBA0000}"/>
    <cellStyle name="Normal 65 22 2" xfId="47648" xr:uid="{00000000-0005-0000-0000-00002EBA0000}"/>
    <cellStyle name="Normal 65 23" xfId="47649" xr:uid="{00000000-0005-0000-0000-00002FBA0000}"/>
    <cellStyle name="Normal 65 23 2" xfId="47650" xr:uid="{00000000-0005-0000-0000-000030BA0000}"/>
    <cellStyle name="Normal 65 24" xfId="47651" xr:uid="{00000000-0005-0000-0000-000031BA0000}"/>
    <cellStyle name="Normal 65 24 2" xfId="47652" xr:uid="{00000000-0005-0000-0000-000032BA0000}"/>
    <cellStyle name="Normal 65 25" xfId="47653" xr:uid="{00000000-0005-0000-0000-000033BA0000}"/>
    <cellStyle name="Normal 65 25 2" xfId="47654" xr:uid="{00000000-0005-0000-0000-000034BA0000}"/>
    <cellStyle name="Normal 65 26" xfId="47655" xr:uid="{00000000-0005-0000-0000-000035BA0000}"/>
    <cellStyle name="Normal 65 26 2" xfId="47656" xr:uid="{00000000-0005-0000-0000-000036BA0000}"/>
    <cellStyle name="Normal 65 27" xfId="47657" xr:uid="{00000000-0005-0000-0000-000037BA0000}"/>
    <cellStyle name="Normal 65 27 2" xfId="47658" xr:uid="{00000000-0005-0000-0000-000038BA0000}"/>
    <cellStyle name="Normal 65 28" xfId="47659" xr:uid="{00000000-0005-0000-0000-000039BA0000}"/>
    <cellStyle name="Normal 65 28 2" xfId="47660" xr:uid="{00000000-0005-0000-0000-00003ABA0000}"/>
    <cellStyle name="Normal 65 29" xfId="47661" xr:uid="{00000000-0005-0000-0000-00003BBA0000}"/>
    <cellStyle name="Normal 65 29 2" xfId="47662" xr:uid="{00000000-0005-0000-0000-00003CBA0000}"/>
    <cellStyle name="Normal 65 3" xfId="47663" xr:uid="{00000000-0005-0000-0000-00003DBA0000}"/>
    <cellStyle name="Normal 65 3 2" xfId="47664" xr:uid="{00000000-0005-0000-0000-00003EBA0000}"/>
    <cellStyle name="Normal 65 30" xfId="47665" xr:uid="{00000000-0005-0000-0000-00003FBA0000}"/>
    <cellStyle name="Normal 65 30 2" xfId="47666" xr:uid="{00000000-0005-0000-0000-000040BA0000}"/>
    <cellStyle name="Normal 65 31" xfId="47667" xr:uid="{00000000-0005-0000-0000-000041BA0000}"/>
    <cellStyle name="Normal 65 31 2" xfId="47668" xr:uid="{00000000-0005-0000-0000-000042BA0000}"/>
    <cellStyle name="Normal 65 32" xfId="47669" xr:uid="{00000000-0005-0000-0000-000043BA0000}"/>
    <cellStyle name="Normal 65 32 2" xfId="47670" xr:uid="{00000000-0005-0000-0000-000044BA0000}"/>
    <cellStyle name="Normal 65 33" xfId="47671" xr:uid="{00000000-0005-0000-0000-000045BA0000}"/>
    <cellStyle name="Normal 65 33 2" xfId="47672" xr:uid="{00000000-0005-0000-0000-000046BA0000}"/>
    <cellStyle name="Normal 65 34" xfId="47673" xr:uid="{00000000-0005-0000-0000-000047BA0000}"/>
    <cellStyle name="Normal 65 34 2" xfId="47674" xr:uid="{00000000-0005-0000-0000-000048BA0000}"/>
    <cellStyle name="Normal 65 35" xfId="47675" xr:uid="{00000000-0005-0000-0000-000049BA0000}"/>
    <cellStyle name="Normal 65 35 2" xfId="47676" xr:uid="{00000000-0005-0000-0000-00004ABA0000}"/>
    <cellStyle name="Normal 65 36" xfId="47677" xr:uid="{00000000-0005-0000-0000-00004BBA0000}"/>
    <cellStyle name="Normal 65 36 2" xfId="47678" xr:uid="{00000000-0005-0000-0000-00004CBA0000}"/>
    <cellStyle name="Normal 65 37" xfId="47679" xr:uid="{00000000-0005-0000-0000-00004DBA0000}"/>
    <cellStyle name="Normal 65 37 2" xfId="47680" xr:uid="{00000000-0005-0000-0000-00004EBA0000}"/>
    <cellStyle name="Normal 65 38" xfId="47681" xr:uid="{00000000-0005-0000-0000-00004FBA0000}"/>
    <cellStyle name="Normal 65 38 2" xfId="47682" xr:uid="{00000000-0005-0000-0000-000050BA0000}"/>
    <cellStyle name="Normal 65 39" xfId="47683" xr:uid="{00000000-0005-0000-0000-000051BA0000}"/>
    <cellStyle name="Normal 65 39 2" xfId="47684" xr:uid="{00000000-0005-0000-0000-000052BA0000}"/>
    <cellStyle name="Normal 65 4" xfId="47685" xr:uid="{00000000-0005-0000-0000-000053BA0000}"/>
    <cellStyle name="Normal 65 4 2" xfId="47686" xr:uid="{00000000-0005-0000-0000-000054BA0000}"/>
    <cellStyle name="Normal 65 40" xfId="47687" xr:uid="{00000000-0005-0000-0000-000055BA0000}"/>
    <cellStyle name="Normal 65 40 2" xfId="47688" xr:uid="{00000000-0005-0000-0000-000056BA0000}"/>
    <cellStyle name="Normal 65 41" xfId="47689" xr:uid="{00000000-0005-0000-0000-000057BA0000}"/>
    <cellStyle name="Normal 65 41 2" xfId="47690" xr:uid="{00000000-0005-0000-0000-000058BA0000}"/>
    <cellStyle name="Normal 65 42" xfId="47691" xr:uid="{00000000-0005-0000-0000-000059BA0000}"/>
    <cellStyle name="Normal 65 42 2" xfId="47692" xr:uid="{00000000-0005-0000-0000-00005ABA0000}"/>
    <cellStyle name="Normal 65 43" xfId="47693" xr:uid="{00000000-0005-0000-0000-00005BBA0000}"/>
    <cellStyle name="Normal 65 43 2" xfId="47694" xr:uid="{00000000-0005-0000-0000-00005CBA0000}"/>
    <cellStyle name="Normal 65 44" xfId="47695" xr:uid="{00000000-0005-0000-0000-00005DBA0000}"/>
    <cellStyle name="Normal 65 44 2" xfId="47696" xr:uid="{00000000-0005-0000-0000-00005EBA0000}"/>
    <cellStyle name="Normal 65 45" xfId="47697" xr:uid="{00000000-0005-0000-0000-00005FBA0000}"/>
    <cellStyle name="Normal 65 45 2" xfId="47698" xr:uid="{00000000-0005-0000-0000-000060BA0000}"/>
    <cellStyle name="Normal 65 46" xfId="47699" xr:uid="{00000000-0005-0000-0000-000061BA0000}"/>
    <cellStyle name="Normal 65 46 2" xfId="47700" xr:uid="{00000000-0005-0000-0000-000062BA0000}"/>
    <cellStyle name="Normal 65 47" xfId="47701" xr:uid="{00000000-0005-0000-0000-000063BA0000}"/>
    <cellStyle name="Normal 65 47 2" xfId="47702" xr:uid="{00000000-0005-0000-0000-000064BA0000}"/>
    <cellStyle name="Normal 65 48" xfId="47703" xr:uid="{00000000-0005-0000-0000-000065BA0000}"/>
    <cellStyle name="Normal 65 48 2" xfId="47704" xr:uid="{00000000-0005-0000-0000-000066BA0000}"/>
    <cellStyle name="Normal 65 49" xfId="47705" xr:uid="{00000000-0005-0000-0000-000067BA0000}"/>
    <cellStyle name="Normal 65 49 2" xfId="47706" xr:uid="{00000000-0005-0000-0000-000068BA0000}"/>
    <cellStyle name="Normal 65 5" xfId="47707" xr:uid="{00000000-0005-0000-0000-000069BA0000}"/>
    <cellStyle name="Normal 65 5 2" xfId="47708" xr:uid="{00000000-0005-0000-0000-00006ABA0000}"/>
    <cellStyle name="Normal 65 50" xfId="47709" xr:uid="{00000000-0005-0000-0000-00006BBA0000}"/>
    <cellStyle name="Normal 65 50 2" xfId="47710" xr:uid="{00000000-0005-0000-0000-00006CBA0000}"/>
    <cellStyle name="Normal 65 51" xfId="47711" xr:uid="{00000000-0005-0000-0000-00006DBA0000}"/>
    <cellStyle name="Normal 65 51 2" xfId="47712" xr:uid="{00000000-0005-0000-0000-00006EBA0000}"/>
    <cellStyle name="Normal 65 52" xfId="47713" xr:uid="{00000000-0005-0000-0000-00006FBA0000}"/>
    <cellStyle name="Normal 65 52 2" xfId="47714" xr:uid="{00000000-0005-0000-0000-000070BA0000}"/>
    <cellStyle name="Normal 65 53" xfId="47715" xr:uid="{00000000-0005-0000-0000-000071BA0000}"/>
    <cellStyle name="Normal 65 53 2" xfId="47716" xr:uid="{00000000-0005-0000-0000-000072BA0000}"/>
    <cellStyle name="Normal 65 54" xfId="47717" xr:uid="{00000000-0005-0000-0000-000073BA0000}"/>
    <cellStyle name="Normal 65 54 2" xfId="47718" xr:uid="{00000000-0005-0000-0000-000074BA0000}"/>
    <cellStyle name="Normal 65 55" xfId="47719" xr:uid="{00000000-0005-0000-0000-000075BA0000}"/>
    <cellStyle name="Normal 65 55 2" xfId="47720" xr:uid="{00000000-0005-0000-0000-000076BA0000}"/>
    <cellStyle name="Normal 65 56" xfId="47721" xr:uid="{00000000-0005-0000-0000-000077BA0000}"/>
    <cellStyle name="Normal 65 56 2" xfId="47722" xr:uid="{00000000-0005-0000-0000-000078BA0000}"/>
    <cellStyle name="Normal 65 57" xfId="47723" xr:uid="{00000000-0005-0000-0000-000079BA0000}"/>
    <cellStyle name="Normal 65 57 2" xfId="47724" xr:uid="{00000000-0005-0000-0000-00007ABA0000}"/>
    <cellStyle name="Normal 65 58" xfId="47725" xr:uid="{00000000-0005-0000-0000-00007BBA0000}"/>
    <cellStyle name="Normal 65 58 2" xfId="47726" xr:uid="{00000000-0005-0000-0000-00007CBA0000}"/>
    <cellStyle name="Normal 65 59" xfId="47727" xr:uid="{00000000-0005-0000-0000-00007DBA0000}"/>
    <cellStyle name="Normal 65 59 2" xfId="47728" xr:uid="{00000000-0005-0000-0000-00007EBA0000}"/>
    <cellStyle name="Normal 65 6" xfId="47729" xr:uid="{00000000-0005-0000-0000-00007FBA0000}"/>
    <cellStyle name="Normal 65 6 2" xfId="47730" xr:uid="{00000000-0005-0000-0000-000080BA0000}"/>
    <cellStyle name="Normal 65 60" xfId="47731" xr:uid="{00000000-0005-0000-0000-000081BA0000}"/>
    <cellStyle name="Normal 65 60 2" xfId="47732" xr:uid="{00000000-0005-0000-0000-000082BA0000}"/>
    <cellStyle name="Normal 65 61" xfId="47733" xr:uid="{00000000-0005-0000-0000-000083BA0000}"/>
    <cellStyle name="Normal 65 61 2" xfId="47734" xr:uid="{00000000-0005-0000-0000-000084BA0000}"/>
    <cellStyle name="Normal 65 62" xfId="47735" xr:uid="{00000000-0005-0000-0000-000085BA0000}"/>
    <cellStyle name="Normal 65 62 2" xfId="47736" xr:uid="{00000000-0005-0000-0000-000086BA0000}"/>
    <cellStyle name="Normal 65 62 3" xfId="47737" xr:uid="{00000000-0005-0000-0000-000087BA0000}"/>
    <cellStyle name="Normal 65 63" xfId="47738" xr:uid="{00000000-0005-0000-0000-000088BA0000}"/>
    <cellStyle name="Normal 65 7" xfId="47739" xr:uid="{00000000-0005-0000-0000-000089BA0000}"/>
    <cellStyle name="Normal 65 7 2" xfId="47740" xr:uid="{00000000-0005-0000-0000-00008ABA0000}"/>
    <cellStyle name="Normal 65 8" xfId="47741" xr:uid="{00000000-0005-0000-0000-00008BBA0000}"/>
    <cellStyle name="Normal 65 8 2" xfId="47742" xr:uid="{00000000-0005-0000-0000-00008CBA0000}"/>
    <cellStyle name="Normal 65 9" xfId="47743" xr:uid="{00000000-0005-0000-0000-00008DBA0000}"/>
    <cellStyle name="Normal 65 9 2" xfId="47744" xr:uid="{00000000-0005-0000-0000-00008EBA0000}"/>
    <cellStyle name="Normal 66" xfId="47745" xr:uid="{00000000-0005-0000-0000-00008FBA0000}"/>
    <cellStyle name="Normal 66 10" xfId="47746" xr:uid="{00000000-0005-0000-0000-000090BA0000}"/>
    <cellStyle name="Normal 66 10 2" xfId="47747" xr:uid="{00000000-0005-0000-0000-000091BA0000}"/>
    <cellStyle name="Normal 66 11" xfId="47748" xr:uid="{00000000-0005-0000-0000-000092BA0000}"/>
    <cellStyle name="Normal 66 11 2" xfId="47749" xr:uid="{00000000-0005-0000-0000-000093BA0000}"/>
    <cellStyle name="Normal 66 12" xfId="47750" xr:uid="{00000000-0005-0000-0000-000094BA0000}"/>
    <cellStyle name="Normal 66 12 2" xfId="47751" xr:uid="{00000000-0005-0000-0000-000095BA0000}"/>
    <cellStyle name="Normal 66 13" xfId="47752" xr:uid="{00000000-0005-0000-0000-000096BA0000}"/>
    <cellStyle name="Normal 66 13 2" xfId="47753" xr:uid="{00000000-0005-0000-0000-000097BA0000}"/>
    <cellStyle name="Normal 66 14" xfId="47754" xr:uid="{00000000-0005-0000-0000-000098BA0000}"/>
    <cellStyle name="Normal 66 14 2" xfId="47755" xr:uid="{00000000-0005-0000-0000-000099BA0000}"/>
    <cellStyle name="Normal 66 15" xfId="47756" xr:uid="{00000000-0005-0000-0000-00009ABA0000}"/>
    <cellStyle name="Normal 66 15 2" xfId="47757" xr:uid="{00000000-0005-0000-0000-00009BBA0000}"/>
    <cellStyle name="Normal 66 16" xfId="47758" xr:uid="{00000000-0005-0000-0000-00009CBA0000}"/>
    <cellStyle name="Normal 66 16 2" xfId="47759" xr:uid="{00000000-0005-0000-0000-00009DBA0000}"/>
    <cellStyle name="Normal 66 17" xfId="47760" xr:uid="{00000000-0005-0000-0000-00009EBA0000}"/>
    <cellStyle name="Normal 66 17 2" xfId="47761" xr:uid="{00000000-0005-0000-0000-00009FBA0000}"/>
    <cellStyle name="Normal 66 18" xfId="47762" xr:uid="{00000000-0005-0000-0000-0000A0BA0000}"/>
    <cellStyle name="Normal 66 18 2" xfId="47763" xr:uid="{00000000-0005-0000-0000-0000A1BA0000}"/>
    <cellStyle name="Normal 66 19" xfId="47764" xr:uid="{00000000-0005-0000-0000-0000A2BA0000}"/>
    <cellStyle name="Normal 66 19 2" xfId="47765" xr:uid="{00000000-0005-0000-0000-0000A3BA0000}"/>
    <cellStyle name="Normal 66 2" xfId="47766" xr:uid="{00000000-0005-0000-0000-0000A4BA0000}"/>
    <cellStyle name="Normal 66 2 2" xfId="47767" xr:uid="{00000000-0005-0000-0000-0000A5BA0000}"/>
    <cellStyle name="Normal 66 20" xfId="47768" xr:uid="{00000000-0005-0000-0000-0000A6BA0000}"/>
    <cellStyle name="Normal 66 20 2" xfId="47769" xr:uid="{00000000-0005-0000-0000-0000A7BA0000}"/>
    <cellStyle name="Normal 66 21" xfId="47770" xr:uid="{00000000-0005-0000-0000-0000A8BA0000}"/>
    <cellStyle name="Normal 66 21 2" xfId="47771" xr:uid="{00000000-0005-0000-0000-0000A9BA0000}"/>
    <cellStyle name="Normal 66 22" xfId="47772" xr:uid="{00000000-0005-0000-0000-0000AABA0000}"/>
    <cellStyle name="Normal 66 22 2" xfId="47773" xr:uid="{00000000-0005-0000-0000-0000ABBA0000}"/>
    <cellStyle name="Normal 66 23" xfId="47774" xr:uid="{00000000-0005-0000-0000-0000ACBA0000}"/>
    <cellStyle name="Normal 66 23 2" xfId="47775" xr:uid="{00000000-0005-0000-0000-0000ADBA0000}"/>
    <cellStyle name="Normal 66 24" xfId="47776" xr:uid="{00000000-0005-0000-0000-0000AEBA0000}"/>
    <cellStyle name="Normal 66 24 2" xfId="47777" xr:uid="{00000000-0005-0000-0000-0000AFBA0000}"/>
    <cellStyle name="Normal 66 25" xfId="47778" xr:uid="{00000000-0005-0000-0000-0000B0BA0000}"/>
    <cellStyle name="Normal 66 25 2" xfId="47779" xr:uid="{00000000-0005-0000-0000-0000B1BA0000}"/>
    <cellStyle name="Normal 66 26" xfId="47780" xr:uid="{00000000-0005-0000-0000-0000B2BA0000}"/>
    <cellStyle name="Normal 66 26 2" xfId="47781" xr:uid="{00000000-0005-0000-0000-0000B3BA0000}"/>
    <cellStyle name="Normal 66 27" xfId="47782" xr:uid="{00000000-0005-0000-0000-0000B4BA0000}"/>
    <cellStyle name="Normal 66 27 2" xfId="47783" xr:uid="{00000000-0005-0000-0000-0000B5BA0000}"/>
    <cellStyle name="Normal 66 28" xfId="47784" xr:uid="{00000000-0005-0000-0000-0000B6BA0000}"/>
    <cellStyle name="Normal 66 28 2" xfId="47785" xr:uid="{00000000-0005-0000-0000-0000B7BA0000}"/>
    <cellStyle name="Normal 66 29" xfId="47786" xr:uid="{00000000-0005-0000-0000-0000B8BA0000}"/>
    <cellStyle name="Normal 66 29 2" xfId="47787" xr:uid="{00000000-0005-0000-0000-0000B9BA0000}"/>
    <cellStyle name="Normal 66 3" xfId="47788" xr:uid="{00000000-0005-0000-0000-0000BABA0000}"/>
    <cellStyle name="Normal 66 3 2" xfId="47789" xr:uid="{00000000-0005-0000-0000-0000BBBA0000}"/>
    <cellStyle name="Normal 66 30" xfId="47790" xr:uid="{00000000-0005-0000-0000-0000BCBA0000}"/>
    <cellStyle name="Normal 66 30 2" xfId="47791" xr:uid="{00000000-0005-0000-0000-0000BDBA0000}"/>
    <cellStyle name="Normal 66 31" xfId="47792" xr:uid="{00000000-0005-0000-0000-0000BEBA0000}"/>
    <cellStyle name="Normal 66 31 2" xfId="47793" xr:uid="{00000000-0005-0000-0000-0000BFBA0000}"/>
    <cellStyle name="Normal 66 32" xfId="47794" xr:uid="{00000000-0005-0000-0000-0000C0BA0000}"/>
    <cellStyle name="Normal 66 32 2" xfId="47795" xr:uid="{00000000-0005-0000-0000-0000C1BA0000}"/>
    <cellStyle name="Normal 66 33" xfId="47796" xr:uid="{00000000-0005-0000-0000-0000C2BA0000}"/>
    <cellStyle name="Normal 66 33 2" xfId="47797" xr:uid="{00000000-0005-0000-0000-0000C3BA0000}"/>
    <cellStyle name="Normal 66 34" xfId="47798" xr:uid="{00000000-0005-0000-0000-0000C4BA0000}"/>
    <cellStyle name="Normal 66 34 2" xfId="47799" xr:uid="{00000000-0005-0000-0000-0000C5BA0000}"/>
    <cellStyle name="Normal 66 35" xfId="47800" xr:uid="{00000000-0005-0000-0000-0000C6BA0000}"/>
    <cellStyle name="Normal 66 35 2" xfId="47801" xr:uid="{00000000-0005-0000-0000-0000C7BA0000}"/>
    <cellStyle name="Normal 66 36" xfId="47802" xr:uid="{00000000-0005-0000-0000-0000C8BA0000}"/>
    <cellStyle name="Normal 66 36 2" xfId="47803" xr:uid="{00000000-0005-0000-0000-0000C9BA0000}"/>
    <cellStyle name="Normal 66 37" xfId="47804" xr:uid="{00000000-0005-0000-0000-0000CABA0000}"/>
    <cellStyle name="Normal 66 37 2" xfId="47805" xr:uid="{00000000-0005-0000-0000-0000CBBA0000}"/>
    <cellStyle name="Normal 66 38" xfId="47806" xr:uid="{00000000-0005-0000-0000-0000CCBA0000}"/>
    <cellStyle name="Normal 66 38 2" xfId="47807" xr:uid="{00000000-0005-0000-0000-0000CDBA0000}"/>
    <cellStyle name="Normal 66 39" xfId="47808" xr:uid="{00000000-0005-0000-0000-0000CEBA0000}"/>
    <cellStyle name="Normal 66 39 2" xfId="47809" xr:uid="{00000000-0005-0000-0000-0000CFBA0000}"/>
    <cellStyle name="Normal 66 4" xfId="47810" xr:uid="{00000000-0005-0000-0000-0000D0BA0000}"/>
    <cellStyle name="Normal 66 4 2" xfId="47811" xr:uid="{00000000-0005-0000-0000-0000D1BA0000}"/>
    <cellStyle name="Normal 66 40" xfId="47812" xr:uid="{00000000-0005-0000-0000-0000D2BA0000}"/>
    <cellStyle name="Normal 66 40 2" xfId="47813" xr:uid="{00000000-0005-0000-0000-0000D3BA0000}"/>
    <cellStyle name="Normal 66 41" xfId="47814" xr:uid="{00000000-0005-0000-0000-0000D4BA0000}"/>
    <cellStyle name="Normal 66 41 2" xfId="47815" xr:uid="{00000000-0005-0000-0000-0000D5BA0000}"/>
    <cellStyle name="Normal 66 42" xfId="47816" xr:uid="{00000000-0005-0000-0000-0000D6BA0000}"/>
    <cellStyle name="Normal 66 42 2" xfId="47817" xr:uid="{00000000-0005-0000-0000-0000D7BA0000}"/>
    <cellStyle name="Normal 66 43" xfId="47818" xr:uid="{00000000-0005-0000-0000-0000D8BA0000}"/>
    <cellStyle name="Normal 66 43 2" xfId="47819" xr:uid="{00000000-0005-0000-0000-0000D9BA0000}"/>
    <cellStyle name="Normal 66 44" xfId="47820" xr:uid="{00000000-0005-0000-0000-0000DABA0000}"/>
    <cellStyle name="Normal 66 44 2" xfId="47821" xr:uid="{00000000-0005-0000-0000-0000DBBA0000}"/>
    <cellStyle name="Normal 66 45" xfId="47822" xr:uid="{00000000-0005-0000-0000-0000DCBA0000}"/>
    <cellStyle name="Normal 66 45 2" xfId="47823" xr:uid="{00000000-0005-0000-0000-0000DDBA0000}"/>
    <cellStyle name="Normal 66 46" xfId="47824" xr:uid="{00000000-0005-0000-0000-0000DEBA0000}"/>
    <cellStyle name="Normal 66 46 2" xfId="47825" xr:uid="{00000000-0005-0000-0000-0000DFBA0000}"/>
    <cellStyle name="Normal 66 47" xfId="47826" xr:uid="{00000000-0005-0000-0000-0000E0BA0000}"/>
    <cellStyle name="Normal 66 47 2" xfId="47827" xr:uid="{00000000-0005-0000-0000-0000E1BA0000}"/>
    <cellStyle name="Normal 66 48" xfId="47828" xr:uid="{00000000-0005-0000-0000-0000E2BA0000}"/>
    <cellStyle name="Normal 66 48 2" xfId="47829" xr:uid="{00000000-0005-0000-0000-0000E3BA0000}"/>
    <cellStyle name="Normal 66 49" xfId="47830" xr:uid="{00000000-0005-0000-0000-0000E4BA0000}"/>
    <cellStyle name="Normal 66 49 2" xfId="47831" xr:uid="{00000000-0005-0000-0000-0000E5BA0000}"/>
    <cellStyle name="Normal 66 5" xfId="47832" xr:uid="{00000000-0005-0000-0000-0000E6BA0000}"/>
    <cellStyle name="Normal 66 5 2" xfId="47833" xr:uid="{00000000-0005-0000-0000-0000E7BA0000}"/>
    <cellStyle name="Normal 66 50" xfId="47834" xr:uid="{00000000-0005-0000-0000-0000E8BA0000}"/>
    <cellStyle name="Normal 66 50 2" xfId="47835" xr:uid="{00000000-0005-0000-0000-0000E9BA0000}"/>
    <cellStyle name="Normal 66 51" xfId="47836" xr:uid="{00000000-0005-0000-0000-0000EABA0000}"/>
    <cellStyle name="Normal 66 51 2" xfId="47837" xr:uid="{00000000-0005-0000-0000-0000EBBA0000}"/>
    <cellStyle name="Normal 66 52" xfId="47838" xr:uid="{00000000-0005-0000-0000-0000ECBA0000}"/>
    <cellStyle name="Normal 66 52 2" xfId="47839" xr:uid="{00000000-0005-0000-0000-0000EDBA0000}"/>
    <cellStyle name="Normal 66 53" xfId="47840" xr:uid="{00000000-0005-0000-0000-0000EEBA0000}"/>
    <cellStyle name="Normal 66 53 2" xfId="47841" xr:uid="{00000000-0005-0000-0000-0000EFBA0000}"/>
    <cellStyle name="Normal 66 54" xfId="47842" xr:uid="{00000000-0005-0000-0000-0000F0BA0000}"/>
    <cellStyle name="Normal 66 54 2" xfId="47843" xr:uid="{00000000-0005-0000-0000-0000F1BA0000}"/>
    <cellStyle name="Normal 66 55" xfId="47844" xr:uid="{00000000-0005-0000-0000-0000F2BA0000}"/>
    <cellStyle name="Normal 66 55 2" xfId="47845" xr:uid="{00000000-0005-0000-0000-0000F3BA0000}"/>
    <cellStyle name="Normal 66 56" xfId="47846" xr:uid="{00000000-0005-0000-0000-0000F4BA0000}"/>
    <cellStyle name="Normal 66 56 2" xfId="47847" xr:uid="{00000000-0005-0000-0000-0000F5BA0000}"/>
    <cellStyle name="Normal 66 57" xfId="47848" xr:uid="{00000000-0005-0000-0000-0000F6BA0000}"/>
    <cellStyle name="Normal 66 57 2" xfId="47849" xr:uid="{00000000-0005-0000-0000-0000F7BA0000}"/>
    <cellStyle name="Normal 66 58" xfId="47850" xr:uid="{00000000-0005-0000-0000-0000F8BA0000}"/>
    <cellStyle name="Normal 66 58 2" xfId="47851" xr:uid="{00000000-0005-0000-0000-0000F9BA0000}"/>
    <cellStyle name="Normal 66 59" xfId="47852" xr:uid="{00000000-0005-0000-0000-0000FABA0000}"/>
    <cellStyle name="Normal 66 6" xfId="47853" xr:uid="{00000000-0005-0000-0000-0000FBBA0000}"/>
    <cellStyle name="Normal 66 6 2" xfId="47854" xr:uid="{00000000-0005-0000-0000-0000FCBA0000}"/>
    <cellStyle name="Normal 66 7" xfId="47855" xr:uid="{00000000-0005-0000-0000-0000FDBA0000}"/>
    <cellStyle name="Normal 66 7 2" xfId="47856" xr:uid="{00000000-0005-0000-0000-0000FEBA0000}"/>
    <cellStyle name="Normal 66 8" xfId="47857" xr:uid="{00000000-0005-0000-0000-0000FFBA0000}"/>
    <cellStyle name="Normal 66 8 2" xfId="47858" xr:uid="{00000000-0005-0000-0000-000000BB0000}"/>
    <cellStyle name="Normal 66 9" xfId="47859" xr:uid="{00000000-0005-0000-0000-000001BB0000}"/>
    <cellStyle name="Normal 66 9 2" xfId="47860" xr:uid="{00000000-0005-0000-0000-000002BB0000}"/>
    <cellStyle name="Normal 67" xfId="47861" xr:uid="{00000000-0005-0000-0000-000003BB0000}"/>
    <cellStyle name="Normal 67 10" xfId="47862" xr:uid="{00000000-0005-0000-0000-000004BB0000}"/>
    <cellStyle name="Normal 67 10 2" xfId="47863" xr:uid="{00000000-0005-0000-0000-000005BB0000}"/>
    <cellStyle name="Normal 67 11" xfId="47864" xr:uid="{00000000-0005-0000-0000-000006BB0000}"/>
    <cellStyle name="Normal 67 11 2" xfId="47865" xr:uid="{00000000-0005-0000-0000-000007BB0000}"/>
    <cellStyle name="Normal 67 12" xfId="47866" xr:uid="{00000000-0005-0000-0000-000008BB0000}"/>
    <cellStyle name="Normal 67 12 2" xfId="47867" xr:uid="{00000000-0005-0000-0000-000009BB0000}"/>
    <cellStyle name="Normal 67 13" xfId="47868" xr:uid="{00000000-0005-0000-0000-00000ABB0000}"/>
    <cellStyle name="Normal 67 13 2" xfId="47869" xr:uid="{00000000-0005-0000-0000-00000BBB0000}"/>
    <cellStyle name="Normal 67 14" xfId="47870" xr:uid="{00000000-0005-0000-0000-00000CBB0000}"/>
    <cellStyle name="Normal 67 14 2" xfId="47871" xr:uid="{00000000-0005-0000-0000-00000DBB0000}"/>
    <cellStyle name="Normal 67 15" xfId="47872" xr:uid="{00000000-0005-0000-0000-00000EBB0000}"/>
    <cellStyle name="Normal 67 15 2" xfId="47873" xr:uid="{00000000-0005-0000-0000-00000FBB0000}"/>
    <cellStyle name="Normal 67 16" xfId="47874" xr:uid="{00000000-0005-0000-0000-000010BB0000}"/>
    <cellStyle name="Normal 67 16 2" xfId="47875" xr:uid="{00000000-0005-0000-0000-000011BB0000}"/>
    <cellStyle name="Normal 67 17" xfId="47876" xr:uid="{00000000-0005-0000-0000-000012BB0000}"/>
    <cellStyle name="Normal 67 17 2" xfId="47877" xr:uid="{00000000-0005-0000-0000-000013BB0000}"/>
    <cellStyle name="Normal 67 18" xfId="47878" xr:uid="{00000000-0005-0000-0000-000014BB0000}"/>
    <cellStyle name="Normal 67 18 2" xfId="47879" xr:uid="{00000000-0005-0000-0000-000015BB0000}"/>
    <cellStyle name="Normal 67 19" xfId="47880" xr:uid="{00000000-0005-0000-0000-000016BB0000}"/>
    <cellStyle name="Normal 67 19 2" xfId="47881" xr:uid="{00000000-0005-0000-0000-000017BB0000}"/>
    <cellStyle name="Normal 67 2" xfId="47882" xr:uid="{00000000-0005-0000-0000-000018BB0000}"/>
    <cellStyle name="Normal 67 2 2" xfId="47883" xr:uid="{00000000-0005-0000-0000-000019BB0000}"/>
    <cellStyle name="Normal 67 20" xfId="47884" xr:uid="{00000000-0005-0000-0000-00001ABB0000}"/>
    <cellStyle name="Normal 67 20 2" xfId="47885" xr:uid="{00000000-0005-0000-0000-00001BBB0000}"/>
    <cellStyle name="Normal 67 21" xfId="47886" xr:uid="{00000000-0005-0000-0000-00001CBB0000}"/>
    <cellStyle name="Normal 67 21 2" xfId="47887" xr:uid="{00000000-0005-0000-0000-00001DBB0000}"/>
    <cellStyle name="Normal 67 22" xfId="47888" xr:uid="{00000000-0005-0000-0000-00001EBB0000}"/>
    <cellStyle name="Normal 67 22 2" xfId="47889" xr:uid="{00000000-0005-0000-0000-00001FBB0000}"/>
    <cellStyle name="Normal 67 23" xfId="47890" xr:uid="{00000000-0005-0000-0000-000020BB0000}"/>
    <cellStyle name="Normal 67 23 2" xfId="47891" xr:uid="{00000000-0005-0000-0000-000021BB0000}"/>
    <cellStyle name="Normal 67 24" xfId="47892" xr:uid="{00000000-0005-0000-0000-000022BB0000}"/>
    <cellStyle name="Normal 67 24 2" xfId="47893" xr:uid="{00000000-0005-0000-0000-000023BB0000}"/>
    <cellStyle name="Normal 67 25" xfId="47894" xr:uid="{00000000-0005-0000-0000-000024BB0000}"/>
    <cellStyle name="Normal 67 25 2" xfId="47895" xr:uid="{00000000-0005-0000-0000-000025BB0000}"/>
    <cellStyle name="Normal 67 26" xfId="47896" xr:uid="{00000000-0005-0000-0000-000026BB0000}"/>
    <cellStyle name="Normal 67 26 2" xfId="47897" xr:uid="{00000000-0005-0000-0000-000027BB0000}"/>
    <cellStyle name="Normal 67 27" xfId="47898" xr:uid="{00000000-0005-0000-0000-000028BB0000}"/>
    <cellStyle name="Normal 67 27 2" xfId="47899" xr:uid="{00000000-0005-0000-0000-000029BB0000}"/>
    <cellStyle name="Normal 67 28" xfId="47900" xr:uid="{00000000-0005-0000-0000-00002ABB0000}"/>
    <cellStyle name="Normal 67 28 2" xfId="47901" xr:uid="{00000000-0005-0000-0000-00002BBB0000}"/>
    <cellStyle name="Normal 67 29" xfId="47902" xr:uid="{00000000-0005-0000-0000-00002CBB0000}"/>
    <cellStyle name="Normal 67 29 2" xfId="47903" xr:uid="{00000000-0005-0000-0000-00002DBB0000}"/>
    <cellStyle name="Normal 67 3" xfId="47904" xr:uid="{00000000-0005-0000-0000-00002EBB0000}"/>
    <cellStyle name="Normal 67 3 2" xfId="47905" xr:uid="{00000000-0005-0000-0000-00002FBB0000}"/>
    <cellStyle name="Normal 67 30" xfId="47906" xr:uid="{00000000-0005-0000-0000-000030BB0000}"/>
    <cellStyle name="Normal 67 30 2" xfId="47907" xr:uid="{00000000-0005-0000-0000-000031BB0000}"/>
    <cellStyle name="Normal 67 31" xfId="47908" xr:uid="{00000000-0005-0000-0000-000032BB0000}"/>
    <cellStyle name="Normal 67 31 2" xfId="47909" xr:uid="{00000000-0005-0000-0000-000033BB0000}"/>
    <cellStyle name="Normal 67 32" xfId="47910" xr:uid="{00000000-0005-0000-0000-000034BB0000}"/>
    <cellStyle name="Normal 67 32 2" xfId="47911" xr:uid="{00000000-0005-0000-0000-000035BB0000}"/>
    <cellStyle name="Normal 67 33" xfId="47912" xr:uid="{00000000-0005-0000-0000-000036BB0000}"/>
    <cellStyle name="Normal 67 33 2" xfId="47913" xr:uid="{00000000-0005-0000-0000-000037BB0000}"/>
    <cellStyle name="Normal 67 34" xfId="47914" xr:uid="{00000000-0005-0000-0000-000038BB0000}"/>
    <cellStyle name="Normal 67 34 2" xfId="47915" xr:uid="{00000000-0005-0000-0000-000039BB0000}"/>
    <cellStyle name="Normal 67 35" xfId="47916" xr:uid="{00000000-0005-0000-0000-00003ABB0000}"/>
    <cellStyle name="Normal 67 35 2" xfId="47917" xr:uid="{00000000-0005-0000-0000-00003BBB0000}"/>
    <cellStyle name="Normal 67 36" xfId="47918" xr:uid="{00000000-0005-0000-0000-00003CBB0000}"/>
    <cellStyle name="Normal 67 36 2" xfId="47919" xr:uid="{00000000-0005-0000-0000-00003DBB0000}"/>
    <cellStyle name="Normal 67 37" xfId="47920" xr:uid="{00000000-0005-0000-0000-00003EBB0000}"/>
    <cellStyle name="Normal 67 37 2" xfId="47921" xr:uid="{00000000-0005-0000-0000-00003FBB0000}"/>
    <cellStyle name="Normal 67 38" xfId="47922" xr:uid="{00000000-0005-0000-0000-000040BB0000}"/>
    <cellStyle name="Normal 67 38 2" xfId="47923" xr:uid="{00000000-0005-0000-0000-000041BB0000}"/>
    <cellStyle name="Normal 67 39" xfId="47924" xr:uid="{00000000-0005-0000-0000-000042BB0000}"/>
    <cellStyle name="Normal 67 39 2" xfId="47925" xr:uid="{00000000-0005-0000-0000-000043BB0000}"/>
    <cellStyle name="Normal 67 4" xfId="47926" xr:uid="{00000000-0005-0000-0000-000044BB0000}"/>
    <cellStyle name="Normal 67 4 2" xfId="47927" xr:uid="{00000000-0005-0000-0000-000045BB0000}"/>
    <cellStyle name="Normal 67 40" xfId="47928" xr:uid="{00000000-0005-0000-0000-000046BB0000}"/>
    <cellStyle name="Normal 67 40 2" xfId="47929" xr:uid="{00000000-0005-0000-0000-000047BB0000}"/>
    <cellStyle name="Normal 67 41" xfId="47930" xr:uid="{00000000-0005-0000-0000-000048BB0000}"/>
    <cellStyle name="Normal 67 41 2" xfId="47931" xr:uid="{00000000-0005-0000-0000-000049BB0000}"/>
    <cellStyle name="Normal 67 42" xfId="47932" xr:uid="{00000000-0005-0000-0000-00004ABB0000}"/>
    <cellStyle name="Normal 67 42 2" xfId="47933" xr:uid="{00000000-0005-0000-0000-00004BBB0000}"/>
    <cellStyle name="Normal 67 43" xfId="47934" xr:uid="{00000000-0005-0000-0000-00004CBB0000}"/>
    <cellStyle name="Normal 67 43 2" xfId="47935" xr:uid="{00000000-0005-0000-0000-00004DBB0000}"/>
    <cellStyle name="Normal 67 44" xfId="47936" xr:uid="{00000000-0005-0000-0000-00004EBB0000}"/>
    <cellStyle name="Normal 67 44 2" xfId="47937" xr:uid="{00000000-0005-0000-0000-00004FBB0000}"/>
    <cellStyle name="Normal 67 45" xfId="47938" xr:uid="{00000000-0005-0000-0000-000050BB0000}"/>
    <cellStyle name="Normal 67 45 2" xfId="47939" xr:uid="{00000000-0005-0000-0000-000051BB0000}"/>
    <cellStyle name="Normal 67 46" xfId="47940" xr:uid="{00000000-0005-0000-0000-000052BB0000}"/>
    <cellStyle name="Normal 67 46 2" xfId="47941" xr:uid="{00000000-0005-0000-0000-000053BB0000}"/>
    <cellStyle name="Normal 67 47" xfId="47942" xr:uid="{00000000-0005-0000-0000-000054BB0000}"/>
    <cellStyle name="Normal 67 47 2" xfId="47943" xr:uid="{00000000-0005-0000-0000-000055BB0000}"/>
    <cellStyle name="Normal 67 48" xfId="47944" xr:uid="{00000000-0005-0000-0000-000056BB0000}"/>
    <cellStyle name="Normal 67 48 2" xfId="47945" xr:uid="{00000000-0005-0000-0000-000057BB0000}"/>
    <cellStyle name="Normal 67 49" xfId="47946" xr:uid="{00000000-0005-0000-0000-000058BB0000}"/>
    <cellStyle name="Normal 67 49 2" xfId="47947" xr:uid="{00000000-0005-0000-0000-000059BB0000}"/>
    <cellStyle name="Normal 67 5" xfId="47948" xr:uid="{00000000-0005-0000-0000-00005ABB0000}"/>
    <cellStyle name="Normal 67 5 2" xfId="47949" xr:uid="{00000000-0005-0000-0000-00005BBB0000}"/>
    <cellStyle name="Normal 67 50" xfId="47950" xr:uid="{00000000-0005-0000-0000-00005CBB0000}"/>
    <cellStyle name="Normal 67 50 2" xfId="47951" xr:uid="{00000000-0005-0000-0000-00005DBB0000}"/>
    <cellStyle name="Normal 67 51" xfId="47952" xr:uid="{00000000-0005-0000-0000-00005EBB0000}"/>
    <cellStyle name="Normal 67 51 2" xfId="47953" xr:uid="{00000000-0005-0000-0000-00005FBB0000}"/>
    <cellStyle name="Normal 67 52" xfId="47954" xr:uid="{00000000-0005-0000-0000-000060BB0000}"/>
    <cellStyle name="Normal 67 52 2" xfId="47955" xr:uid="{00000000-0005-0000-0000-000061BB0000}"/>
    <cellStyle name="Normal 67 53" xfId="47956" xr:uid="{00000000-0005-0000-0000-000062BB0000}"/>
    <cellStyle name="Normal 67 53 2" xfId="47957" xr:uid="{00000000-0005-0000-0000-000063BB0000}"/>
    <cellStyle name="Normal 67 54" xfId="47958" xr:uid="{00000000-0005-0000-0000-000064BB0000}"/>
    <cellStyle name="Normal 67 54 2" xfId="47959" xr:uid="{00000000-0005-0000-0000-000065BB0000}"/>
    <cellStyle name="Normal 67 55" xfId="47960" xr:uid="{00000000-0005-0000-0000-000066BB0000}"/>
    <cellStyle name="Normal 67 55 2" xfId="47961" xr:uid="{00000000-0005-0000-0000-000067BB0000}"/>
    <cellStyle name="Normal 67 56" xfId="47962" xr:uid="{00000000-0005-0000-0000-000068BB0000}"/>
    <cellStyle name="Normal 67 56 2" xfId="47963" xr:uid="{00000000-0005-0000-0000-000069BB0000}"/>
    <cellStyle name="Normal 67 57" xfId="47964" xr:uid="{00000000-0005-0000-0000-00006ABB0000}"/>
    <cellStyle name="Normal 67 57 2" xfId="47965" xr:uid="{00000000-0005-0000-0000-00006BBB0000}"/>
    <cellStyle name="Normal 67 58" xfId="47966" xr:uid="{00000000-0005-0000-0000-00006CBB0000}"/>
    <cellStyle name="Normal 67 58 2" xfId="47967" xr:uid="{00000000-0005-0000-0000-00006DBB0000}"/>
    <cellStyle name="Normal 67 59" xfId="47968" xr:uid="{00000000-0005-0000-0000-00006EBB0000}"/>
    <cellStyle name="Normal 67 59 2" xfId="47969" xr:uid="{00000000-0005-0000-0000-00006FBB0000}"/>
    <cellStyle name="Normal 67 6" xfId="47970" xr:uid="{00000000-0005-0000-0000-000070BB0000}"/>
    <cellStyle name="Normal 67 6 2" xfId="47971" xr:uid="{00000000-0005-0000-0000-000071BB0000}"/>
    <cellStyle name="Normal 67 60" xfId="47972" xr:uid="{00000000-0005-0000-0000-000072BB0000}"/>
    <cellStyle name="Normal 67 60 2" xfId="47973" xr:uid="{00000000-0005-0000-0000-000073BB0000}"/>
    <cellStyle name="Normal 67 61" xfId="47974" xr:uid="{00000000-0005-0000-0000-000074BB0000}"/>
    <cellStyle name="Normal 67 61 2" xfId="47975" xr:uid="{00000000-0005-0000-0000-000075BB0000}"/>
    <cellStyle name="Normal 67 62" xfId="47976" xr:uid="{00000000-0005-0000-0000-000076BB0000}"/>
    <cellStyle name="Normal 67 62 2" xfId="47977" xr:uid="{00000000-0005-0000-0000-000077BB0000}"/>
    <cellStyle name="Normal 67 62 3" xfId="47978" xr:uid="{00000000-0005-0000-0000-000078BB0000}"/>
    <cellStyle name="Normal 67 63" xfId="47979" xr:uid="{00000000-0005-0000-0000-000079BB0000}"/>
    <cellStyle name="Normal 67 7" xfId="47980" xr:uid="{00000000-0005-0000-0000-00007ABB0000}"/>
    <cellStyle name="Normal 67 7 2" xfId="47981" xr:uid="{00000000-0005-0000-0000-00007BBB0000}"/>
    <cellStyle name="Normal 67 8" xfId="47982" xr:uid="{00000000-0005-0000-0000-00007CBB0000}"/>
    <cellStyle name="Normal 67 8 2" xfId="47983" xr:uid="{00000000-0005-0000-0000-00007DBB0000}"/>
    <cellStyle name="Normal 67 9" xfId="47984" xr:uid="{00000000-0005-0000-0000-00007EBB0000}"/>
    <cellStyle name="Normal 67 9 2" xfId="47985" xr:uid="{00000000-0005-0000-0000-00007FBB0000}"/>
    <cellStyle name="Normal 68" xfId="47986" xr:uid="{00000000-0005-0000-0000-000080BB0000}"/>
    <cellStyle name="Normal 68 10" xfId="47987" xr:uid="{00000000-0005-0000-0000-000081BB0000}"/>
    <cellStyle name="Normal 68 10 2" xfId="47988" xr:uid="{00000000-0005-0000-0000-000082BB0000}"/>
    <cellStyle name="Normal 68 11" xfId="47989" xr:uid="{00000000-0005-0000-0000-000083BB0000}"/>
    <cellStyle name="Normal 68 11 2" xfId="47990" xr:uid="{00000000-0005-0000-0000-000084BB0000}"/>
    <cellStyle name="Normal 68 12" xfId="47991" xr:uid="{00000000-0005-0000-0000-000085BB0000}"/>
    <cellStyle name="Normal 68 12 2" xfId="47992" xr:uid="{00000000-0005-0000-0000-000086BB0000}"/>
    <cellStyle name="Normal 68 13" xfId="47993" xr:uid="{00000000-0005-0000-0000-000087BB0000}"/>
    <cellStyle name="Normal 68 13 2" xfId="47994" xr:uid="{00000000-0005-0000-0000-000088BB0000}"/>
    <cellStyle name="Normal 68 14" xfId="47995" xr:uid="{00000000-0005-0000-0000-000089BB0000}"/>
    <cellStyle name="Normal 68 14 2" xfId="47996" xr:uid="{00000000-0005-0000-0000-00008ABB0000}"/>
    <cellStyle name="Normal 68 15" xfId="47997" xr:uid="{00000000-0005-0000-0000-00008BBB0000}"/>
    <cellStyle name="Normal 68 15 2" xfId="47998" xr:uid="{00000000-0005-0000-0000-00008CBB0000}"/>
    <cellStyle name="Normal 68 16" xfId="47999" xr:uid="{00000000-0005-0000-0000-00008DBB0000}"/>
    <cellStyle name="Normal 68 16 2" xfId="48000" xr:uid="{00000000-0005-0000-0000-00008EBB0000}"/>
    <cellStyle name="Normal 68 17" xfId="48001" xr:uid="{00000000-0005-0000-0000-00008FBB0000}"/>
    <cellStyle name="Normal 68 17 2" xfId="48002" xr:uid="{00000000-0005-0000-0000-000090BB0000}"/>
    <cellStyle name="Normal 68 18" xfId="48003" xr:uid="{00000000-0005-0000-0000-000091BB0000}"/>
    <cellStyle name="Normal 68 18 2" xfId="48004" xr:uid="{00000000-0005-0000-0000-000092BB0000}"/>
    <cellStyle name="Normal 68 19" xfId="48005" xr:uid="{00000000-0005-0000-0000-000093BB0000}"/>
    <cellStyle name="Normal 68 19 2" xfId="48006" xr:uid="{00000000-0005-0000-0000-000094BB0000}"/>
    <cellStyle name="Normal 68 2" xfId="48007" xr:uid="{00000000-0005-0000-0000-000095BB0000}"/>
    <cellStyle name="Normal 68 2 2" xfId="48008" xr:uid="{00000000-0005-0000-0000-000096BB0000}"/>
    <cellStyle name="Normal 68 20" xfId="48009" xr:uid="{00000000-0005-0000-0000-000097BB0000}"/>
    <cellStyle name="Normal 68 20 2" xfId="48010" xr:uid="{00000000-0005-0000-0000-000098BB0000}"/>
    <cellStyle name="Normal 68 21" xfId="48011" xr:uid="{00000000-0005-0000-0000-000099BB0000}"/>
    <cellStyle name="Normal 68 21 2" xfId="48012" xr:uid="{00000000-0005-0000-0000-00009ABB0000}"/>
    <cellStyle name="Normal 68 22" xfId="48013" xr:uid="{00000000-0005-0000-0000-00009BBB0000}"/>
    <cellStyle name="Normal 68 22 2" xfId="48014" xr:uid="{00000000-0005-0000-0000-00009CBB0000}"/>
    <cellStyle name="Normal 68 23" xfId="48015" xr:uid="{00000000-0005-0000-0000-00009DBB0000}"/>
    <cellStyle name="Normal 68 23 2" xfId="48016" xr:uid="{00000000-0005-0000-0000-00009EBB0000}"/>
    <cellStyle name="Normal 68 24" xfId="48017" xr:uid="{00000000-0005-0000-0000-00009FBB0000}"/>
    <cellStyle name="Normal 68 24 2" xfId="48018" xr:uid="{00000000-0005-0000-0000-0000A0BB0000}"/>
    <cellStyle name="Normal 68 25" xfId="48019" xr:uid="{00000000-0005-0000-0000-0000A1BB0000}"/>
    <cellStyle name="Normal 68 25 2" xfId="48020" xr:uid="{00000000-0005-0000-0000-0000A2BB0000}"/>
    <cellStyle name="Normal 68 26" xfId="48021" xr:uid="{00000000-0005-0000-0000-0000A3BB0000}"/>
    <cellStyle name="Normal 68 26 2" xfId="48022" xr:uid="{00000000-0005-0000-0000-0000A4BB0000}"/>
    <cellStyle name="Normal 68 27" xfId="48023" xr:uid="{00000000-0005-0000-0000-0000A5BB0000}"/>
    <cellStyle name="Normal 68 27 2" xfId="48024" xr:uid="{00000000-0005-0000-0000-0000A6BB0000}"/>
    <cellStyle name="Normal 68 28" xfId="48025" xr:uid="{00000000-0005-0000-0000-0000A7BB0000}"/>
    <cellStyle name="Normal 68 28 2" xfId="48026" xr:uid="{00000000-0005-0000-0000-0000A8BB0000}"/>
    <cellStyle name="Normal 68 29" xfId="48027" xr:uid="{00000000-0005-0000-0000-0000A9BB0000}"/>
    <cellStyle name="Normal 68 29 2" xfId="48028" xr:uid="{00000000-0005-0000-0000-0000AABB0000}"/>
    <cellStyle name="Normal 68 3" xfId="48029" xr:uid="{00000000-0005-0000-0000-0000ABBB0000}"/>
    <cellStyle name="Normal 68 3 2" xfId="48030" xr:uid="{00000000-0005-0000-0000-0000ACBB0000}"/>
    <cellStyle name="Normal 68 30" xfId="48031" xr:uid="{00000000-0005-0000-0000-0000ADBB0000}"/>
    <cellStyle name="Normal 68 30 2" xfId="48032" xr:uid="{00000000-0005-0000-0000-0000AEBB0000}"/>
    <cellStyle name="Normal 68 31" xfId="48033" xr:uid="{00000000-0005-0000-0000-0000AFBB0000}"/>
    <cellStyle name="Normal 68 31 2" xfId="48034" xr:uid="{00000000-0005-0000-0000-0000B0BB0000}"/>
    <cellStyle name="Normal 68 32" xfId="48035" xr:uid="{00000000-0005-0000-0000-0000B1BB0000}"/>
    <cellStyle name="Normal 68 32 2" xfId="48036" xr:uid="{00000000-0005-0000-0000-0000B2BB0000}"/>
    <cellStyle name="Normal 68 33" xfId="48037" xr:uid="{00000000-0005-0000-0000-0000B3BB0000}"/>
    <cellStyle name="Normal 68 33 2" xfId="48038" xr:uid="{00000000-0005-0000-0000-0000B4BB0000}"/>
    <cellStyle name="Normal 68 34" xfId="48039" xr:uid="{00000000-0005-0000-0000-0000B5BB0000}"/>
    <cellStyle name="Normal 68 34 2" xfId="48040" xr:uid="{00000000-0005-0000-0000-0000B6BB0000}"/>
    <cellStyle name="Normal 68 35" xfId="48041" xr:uid="{00000000-0005-0000-0000-0000B7BB0000}"/>
    <cellStyle name="Normal 68 35 2" xfId="48042" xr:uid="{00000000-0005-0000-0000-0000B8BB0000}"/>
    <cellStyle name="Normal 68 36" xfId="48043" xr:uid="{00000000-0005-0000-0000-0000B9BB0000}"/>
    <cellStyle name="Normal 68 36 2" xfId="48044" xr:uid="{00000000-0005-0000-0000-0000BABB0000}"/>
    <cellStyle name="Normal 68 37" xfId="48045" xr:uid="{00000000-0005-0000-0000-0000BBBB0000}"/>
    <cellStyle name="Normal 68 37 2" xfId="48046" xr:uid="{00000000-0005-0000-0000-0000BCBB0000}"/>
    <cellStyle name="Normal 68 38" xfId="48047" xr:uid="{00000000-0005-0000-0000-0000BDBB0000}"/>
    <cellStyle name="Normal 68 38 2" xfId="48048" xr:uid="{00000000-0005-0000-0000-0000BEBB0000}"/>
    <cellStyle name="Normal 68 39" xfId="48049" xr:uid="{00000000-0005-0000-0000-0000BFBB0000}"/>
    <cellStyle name="Normal 68 39 2" xfId="48050" xr:uid="{00000000-0005-0000-0000-0000C0BB0000}"/>
    <cellStyle name="Normal 68 4" xfId="48051" xr:uid="{00000000-0005-0000-0000-0000C1BB0000}"/>
    <cellStyle name="Normal 68 4 2" xfId="48052" xr:uid="{00000000-0005-0000-0000-0000C2BB0000}"/>
    <cellStyle name="Normal 68 40" xfId="48053" xr:uid="{00000000-0005-0000-0000-0000C3BB0000}"/>
    <cellStyle name="Normal 68 40 2" xfId="48054" xr:uid="{00000000-0005-0000-0000-0000C4BB0000}"/>
    <cellStyle name="Normal 68 41" xfId="48055" xr:uid="{00000000-0005-0000-0000-0000C5BB0000}"/>
    <cellStyle name="Normal 68 41 2" xfId="48056" xr:uid="{00000000-0005-0000-0000-0000C6BB0000}"/>
    <cellStyle name="Normal 68 42" xfId="48057" xr:uid="{00000000-0005-0000-0000-0000C7BB0000}"/>
    <cellStyle name="Normal 68 42 2" xfId="48058" xr:uid="{00000000-0005-0000-0000-0000C8BB0000}"/>
    <cellStyle name="Normal 68 43" xfId="48059" xr:uid="{00000000-0005-0000-0000-0000C9BB0000}"/>
    <cellStyle name="Normal 68 43 2" xfId="48060" xr:uid="{00000000-0005-0000-0000-0000CABB0000}"/>
    <cellStyle name="Normal 68 44" xfId="48061" xr:uid="{00000000-0005-0000-0000-0000CBBB0000}"/>
    <cellStyle name="Normal 68 44 2" xfId="48062" xr:uid="{00000000-0005-0000-0000-0000CCBB0000}"/>
    <cellStyle name="Normal 68 45" xfId="48063" xr:uid="{00000000-0005-0000-0000-0000CDBB0000}"/>
    <cellStyle name="Normal 68 45 2" xfId="48064" xr:uid="{00000000-0005-0000-0000-0000CEBB0000}"/>
    <cellStyle name="Normal 68 46" xfId="48065" xr:uid="{00000000-0005-0000-0000-0000CFBB0000}"/>
    <cellStyle name="Normal 68 46 2" xfId="48066" xr:uid="{00000000-0005-0000-0000-0000D0BB0000}"/>
    <cellStyle name="Normal 68 47" xfId="48067" xr:uid="{00000000-0005-0000-0000-0000D1BB0000}"/>
    <cellStyle name="Normal 68 47 2" xfId="48068" xr:uid="{00000000-0005-0000-0000-0000D2BB0000}"/>
    <cellStyle name="Normal 68 48" xfId="48069" xr:uid="{00000000-0005-0000-0000-0000D3BB0000}"/>
    <cellStyle name="Normal 68 48 2" xfId="48070" xr:uid="{00000000-0005-0000-0000-0000D4BB0000}"/>
    <cellStyle name="Normal 68 49" xfId="48071" xr:uid="{00000000-0005-0000-0000-0000D5BB0000}"/>
    <cellStyle name="Normal 68 49 2" xfId="48072" xr:uid="{00000000-0005-0000-0000-0000D6BB0000}"/>
    <cellStyle name="Normal 68 5" xfId="48073" xr:uid="{00000000-0005-0000-0000-0000D7BB0000}"/>
    <cellStyle name="Normal 68 5 2" xfId="48074" xr:uid="{00000000-0005-0000-0000-0000D8BB0000}"/>
    <cellStyle name="Normal 68 50" xfId="48075" xr:uid="{00000000-0005-0000-0000-0000D9BB0000}"/>
    <cellStyle name="Normal 68 50 2" xfId="48076" xr:uid="{00000000-0005-0000-0000-0000DABB0000}"/>
    <cellStyle name="Normal 68 51" xfId="48077" xr:uid="{00000000-0005-0000-0000-0000DBBB0000}"/>
    <cellStyle name="Normal 68 51 2" xfId="48078" xr:uid="{00000000-0005-0000-0000-0000DCBB0000}"/>
    <cellStyle name="Normal 68 52" xfId="48079" xr:uid="{00000000-0005-0000-0000-0000DDBB0000}"/>
    <cellStyle name="Normal 68 52 2" xfId="48080" xr:uid="{00000000-0005-0000-0000-0000DEBB0000}"/>
    <cellStyle name="Normal 68 53" xfId="48081" xr:uid="{00000000-0005-0000-0000-0000DFBB0000}"/>
    <cellStyle name="Normal 68 53 2" xfId="48082" xr:uid="{00000000-0005-0000-0000-0000E0BB0000}"/>
    <cellStyle name="Normal 68 54" xfId="48083" xr:uid="{00000000-0005-0000-0000-0000E1BB0000}"/>
    <cellStyle name="Normal 68 54 2" xfId="48084" xr:uid="{00000000-0005-0000-0000-0000E2BB0000}"/>
    <cellStyle name="Normal 68 55" xfId="48085" xr:uid="{00000000-0005-0000-0000-0000E3BB0000}"/>
    <cellStyle name="Normal 68 55 2" xfId="48086" xr:uid="{00000000-0005-0000-0000-0000E4BB0000}"/>
    <cellStyle name="Normal 68 56" xfId="48087" xr:uid="{00000000-0005-0000-0000-0000E5BB0000}"/>
    <cellStyle name="Normal 68 56 2" xfId="48088" xr:uid="{00000000-0005-0000-0000-0000E6BB0000}"/>
    <cellStyle name="Normal 68 57" xfId="48089" xr:uid="{00000000-0005-0000-0000-0000E7BB0000}"/>
    <cellStyle name="Normal 68 57 2" xfId="48090" xr:uid="{00000000-0005-0000-0000-0000E8BB0000}"/>
    <cellStyle name="Normal 68 58" xfId="48091" xr:uid="{00000000-0005-0000-0000-0000E9BB0000}"/>
    <cellStyle name="Normal 68 58 2" xfId="48092" xr:uid="{00000000-0005-0000-0000-0000EABB0000}"/>
    <cellStyle name="Normal 68 59" xfId="48093" xr:uid="{00000000-0005-0000-0000-0000EBBB0000}"/>
    <cellStyle name="Normal 68 6" xfId="48094" xr:uid="{00000000-0005-0000-0000-0000ECBB0000}"/>
    <cellStyle name="Normal 68 6 2" xfId="48095" xr:uid="{00000000-0005-0000-0000-0000EDBB0000}"/>
    <cellStyle name="Normal 68 7" xfId="48096" xr:uid="{00000000-0005-0000-0000-0000EEBB0000}"/>
    <cellStyle name="Normal 68 7 2" xfId="48097" xr:uid="{00000000-0005-0000-0000-0000EFBB0000}"/>
    <cellStyle name="Normal 68 8" xfId="48098" xr:uid="{00000000-0005-0000-0000-0000F0BB0000}"/>
    <cellStyle name="Normal 68 8 2" xfId="48099" xr:uid="{00000000-0005-0000-0000-0000F1BB0000}"/>
    <cellStyle name="Normal 68 9" xfId="48100" xr:uid="{00000000-0005-0000-0000-0000F2BB0000}"/>
    <cellStyle name="Normal 68 9 2" xfId="48101" xr:uid="{00000000-0005-0000-0000-0000F3BB0000}"/>
    <cellStyle name="Normal 69" xfId="48102" xr:uid="{00000000-0005-0000-0000-0000F4BB0000}"/>
    <cellStyle name="Normal 69 10" xfId="48103" xr:uid="{00000000-0005-0000-0000-0000F5BB0000}"/>
    <cellStyle name="Normal 69 10 2" xfId="48104" xr:uid="{00000000-0005-0000-0000-0000F6BB0000}"/>
    <cellStyle name="Normal 69 11" xfId="48105" xr:uid="{00000000-0005-0000-0000-0000F7BB0000}"/>
    <cellStyle name="Normal 69 11 2" xfId="48106" xr:uid="{00000000-0005-0000-0000-0000F8BB0000}"/>
    <cellStyle name="Normal 69 12" xfId="48107" xr:uid="{00000000-0005-0000-0000-0000F9BB0000}"/>
    <cellStyle name="Normal 69 12 2" xfId="48108" xr:uid="{00000000-0005-0000-0000-0000FABB0000}"/>
    <cellStyle name="Normal 69 13" xfId="48109" xr:uid="{00000000-0005-0000-0000-0000FBBB0000}"/>
    <cellStyle name="Normal 69 13 2" xfId="48110" xr:uid="{00000000-0005-0000-0000-0000FCBB0000}"/>
    <cellStyle name="Normal 69 14" xfId="48111" xr:uid="{00000000-0005-0000-0000-0000FDBB0000}"/>
    <cellStyle name="Normal 69 14 2" xfId="48112" xr:uid="{00000000-0005-0000-0000-0000FEBB0000}"/>
    <cellStyle name="Normal 69 15" xfId="48113" xr:uid="{00000000-0005-0000-0000-0000FFBB0000}"/>
    <cellStyle name="Normal 69 15 2" xfId="48114" xr:uid="{00000000-0005-0000-0000-000000BC0000}"/>
    <cellStyle name="Normal 69 16" xfId="48115" xr:uid="{00000000-0005-0000-0000-000001BC0000}"/>
    <cellStyle name="Normal 69 16 2" xfId="48116" xr:uid="{00000000-0005-0000-0000-000002BC0000}"/>
    <cellStyle name="Normal 69 17" xfId="48117" xr:uid="{00000000-0005-0000-0000-000003BC0000}"/>
    <cellStyle name="Normal 69 17 2" xfId="48118" xr:uid="{00000000-0005-0000-0000-000004BC0000}"/>
    <cellStyle name="Normal 69 18" xfId="48119" xr:uid="{00000000-0005-0000-0000-000005BC0000}"/>
    <cellStyle name="Normal 69 18 2" xfId="48120" xr:uid="{00000000-0005-0000-0000-000006BC0000}"/>
    <cellStyle name="Normal 69 19" xfId="48121" xr:uid="{00000000-0005-0000-0000-000007BC0000}"/>
    <cellStyle name="Normal 69 19 2" xfId="48122" xr:uid="{00000000-0005-0000-0000-000008BC0000}"/>
    <cellStyle name="Normal 69 2" xfId="48123" xr:uid="{00000000-0005-0000-0000-000009BC0000}"/>
    <cellStyle name="Normal 69 2 2" xfId="48124" xr:uid="{00000000-0005-0000-0000-00000ABC0000}"/>
    <cellStyle name="Normal 69 20" xfId="48125" xr:uid="{00000000-0005-0000-0000-00000BBC0000}"/>
    <cellStyle name="Normal 69 20 2" xfId="48126" xr:uid="{00000000-0005-0000-0000-00000CBC0000}"/>
    <cellStyle name="Normal 69 21" xfId="48127" xr:uid="{00000000-0005-0000-0000-00000DBC0000}"/>
    <cellStyle name="Normal 69 21 2" xfId="48128" xr:uid="{00000000-0005-0000-0000-00000EBC0000}"/>
    <cellStyle name="Normal 69 22" xfId="48129" xr:uid="{00000000-0005-0000-0000-00000FBC0000}"/>
    <cellStyle name="Normal 69 22 2" xfId="48130" xr:uid="{00000000-0005-0000-0000-000010BC0000}"/>
    <cellStyle name="Normal 69 23" xfId="48131" xr:uid="{00000000-0005-0000-0000-000011BC0000}"/>
    <cellStyle name="Normal 69 23 2" xfId="48132" xr:uid="{00000000-0005-0000-0000-000012BC0000}"/>
    <cellStyle name="Normal 69 24" xfId="48133" xr:uid="{00000000-0005-0000-0000-000013BC0000}"/>
    <cellStyle name="Normal 69 24 2" xfId="48134" xr:uid="{00000000-0005-0000-0000-000014BC0000}"/>
    <cellStyle name="Normal 69 25" xfId="48135" xr:uid="{00000000-0005-0000-0000-000015BC0000}"/>
    <cellStyle name="Normal 69 25 2" xfId="48136" xr:uid="{00000000-0005-0000-0000-000016BC0000}"/>
    <cellStyle name="Normal 69 26" xfId="48137" xr:uid="{00000000-0005-0000-0000-000017BC0000}"/>
    <cellStyle name="Normal 69 26 2" xfId="48138" xr:uid="{00000000-0005-0000-0000-000018BC0000}"/>
    <cellStyle name="Normal 69 27" xfId="48139" xr:uid="{00000000-0005-0000-0000-000019BC0000}"/>
    <cellStyle name="Normal 69 27 2" xfId="48140" xr:uid="{00000000-0005-0000-0000-00001ABC0000}"/>
    <cellStyle name="Normal 69 28" xfId="48141" xr:uid="{00000000-0005-0000-0000-00001BBC0000}"/>
    <cellStyle name="Normal 69 28 2" xfId="48142" xr:uid="{00000000-0005-0000-0000-00001CBC0000}"/>
    <cellStyle name="Normal 69 29" xfId="48143" xr:uid="{00000000-0005-0000-0000-00001DBC0000}"/>
    <cellStyle name="Normal 69 29 2" xfId="48144" xr:uid="{00000000-0005-0000-0000-00001EBC0000}"/>
    <cellStyle name="Normal 69 3" xfId="48145" xr:uid="{00000000-0005-0000-0000-00001FBC0000}"/>
    <cellStyle name="Normal 69 3 2" xfId="48146" xr:uid="{00000000-0005-0000-0000-000020BC0000}"/>
    <cellStyle name="Normal 69 30" xfId="48147" xr:uid="{00000000-0005-0000-0000-000021BC0000}"/>
    <cellStyle name="Normal 69 30 2" xfId="48148" xr:uid="{00000000-0005-0000-0000-000022BC0000}"/>
    <cellStyle name="Normal 69 31" xfId="48149" xr:uid="{00000000-0005-0000-0000-000023BC0000}"/>
    <cellStyle name="Normal 69 31 2" xfId="48150" xr:uid="{00000000-0005-0000-0000-000024BC0000}"/>
    <cellStyle name="Normal 69 32" xfId="48151" xr:uid="{00000000-0005-0000-0000-000025BC0000}"/>
    <cellStyle name="Normal 69 32 2" xfId="48152" xr:uid="{00000000-0005-0000-0000-000026BC0000}"/>
    <cellStyle name="Normal 69 33" xfId="48153" xr:uid="{00000000-0005-0000-0000-000027BC0000}"/>
    <cellStyle name="Normal 69 33 2" xfId="48154" xr:uid="{00000000-0005-0000-0000-000028BC0000}"/>
    <cellStyle name="Normal 69 34" xfId="48155" xr:uid="{00000000-0005-0000-0000-000029BC0000}"/>
    <cellStyle name="Normal 69 34 2" xfId="48156" xr:uid="{00000000-0005-0000-0000-00002ABC0000}"/>
    <cellStyle name="Normal 69 35" xfId="48157" xr:uid="{00000000-0005-0000-0000-00002BBC0000}"/>
    <cellStyle name="Normal 69 35 2" xfId="48158" xr:uid="{00000000-0005-0000-0000-00002CBC0000}"/>
    <cellStyle name="Normal 69 36" xfId="48159" xr:uid="{00000000-0005-0000-0000-00002DBC0000}"/>
    <cellStyle name="Normal 69 36 2" xfId="48160" xr:uid="{00000000-0005-0000-0000-00002EBC0000}"/>
    <cellStyle name="Normal 69 37" xfId="48161" xr:uid="{00000000-0005-0000-0000-00002FBC0000}"/>
    <cellStyle name="Normal 69 37 2" xfId="48162" xr:uid="{00000000-0005-0000-0000-000030BC0000}"/>
    <cellStyle name="Normal 69 38" xfId="48163" xr:uid="{00000000-0005-0000-0000-000031BC0000}"/>
    <cellStyle name="Normal 69 38 2" xfId="48164" xr:uid="{00000000-0005-0000-0000-000032BC0000}"/>
    <cellStyle name="Normal 69 39" xfId="48165" xr:uid="{00000000-0005-0000-0000-000033BC0000}"/>
    <cellStyle name="Normal 69 39 2" xfId="48166" xr:uid="{00000000-0005-0000-0000-000034BC0000}"/>
    <cellStyle name="Normal 69 4" xfId="48167" xr:uid="{00000000-0005-0000-0000-000035BC0000}"/>
    <cellStyle name="Normal 69 4 2" xfId="48168" xr:uid="{00000000-0005-0000-0000-000036BC0000}"/>
    <cellStyle name="Normal 69 40" xfId="48169" xr:uid="{00000000-0005-0000-0000-000037BC0000}"/>
    <cellStyle name="Normal 69 40 2" xfId="48170" xr:uid="{00000000-0005-0000-0000-000038BC0000}"/>
    <cellStyle name="Normal 69 41" xfId="48171" xr:uid="{00000000-0005-0000-0000-000039BC0000}"/>
    <cellStyle name="Normal 69 41 2" xfId="48172" xr:uid="{00000000-0005-0000-0000-00003ABC0000}"/>
    <cellStyle name="Normal 69 42" xfId="48173" xr:uid="{00000000-0005-0000-0000-00003BBC0000}"/>
    <cellStyle name="Normal 69 42 2" xfId="48174" xr:uid="{00000000-0005-0000-0000-00003CBC0000}"/>
    <cellStyle name="Normal 69 43" xfId="48175" xr:uid="{00000000-0005-0000-0000-00003DBC0000}"/>
    <cellStyle name="Normal 69 43 2" xfId="48176" xr:uid="{00000000-0005-0000-0000-00003EBC0000}"/>
    <cellStyle name="Normal 69 44" xfId="48177" xr:uid="{00000000-0005-0000-0000-00003FBC0000}"/>
    <cellStyle name="Normal 69 44 2" xfId="48178" xr:uid="{00000000-0005-0000-0000-000040BC0000}"/>
    <cellStyle name="Normal 69 45" xfId="48179" xr:uid="{00000000-0005-0000-0000-000041BC0000}"/>
    <cellStyle name="Normal 69 45 2" xfId="48180" xr:uid="{00000000-0005-0000-0000-000042BC0000}"/>
    <cellStyle name="Normal 69 46" xfId="48181" xr:uid="{00000000-0005-0000-0000-000043BC0000}"/>
    <cellStyle name="Normal 69 46 2" xfId="48182" xr:uid="{00000000-0005-0000-0000-000044BC0000}"/>
    <cellStyle name="Normal 69 47" xfId="48183" xr:uid="{00000000-0005-0000-0000-000045BC0000}"/>
    <cellStyle name="Normal 69 47 2" xfId="48184" xr:uid="{00000000-0005-0000-0000-000046BC0000}"/>
    <cellStyle name="Normal 69 48" xfId="48185" xr:uid="{00000000-0005-0000-0000-000047BC0000}"/>
    <cellStyle name="Normal 69 48 2" xfId="48186" xr:uid="{00000000-0005-0000-0000-000048BC0000}"/>
    <cellStyle name="Normal 69 49" xfId="48187" xr:uid="{00000000-0005-0000-0000-000049BC0000}"/>
    <cellStyle name="Normal 69 49 2" xfId="48188" xr:uid="{00000000-0005-0000-0000-00004ABC0000}"/>
    <cellStyle name="Normal 69 5" xfId="48189" xr:uid="{00000000-0005-0000-0000-00004BBC0000}"/>
    <cellStyle name="Normal 69 5 2" xfId="48190" xr:uid="{00000000-0005-0000-0000-00004CBC0000}"/>
    <cellStyle name="Normal 69 50" xfId="48191" xr:uid="{00000000-0005-0000-0000-00004DBC0000}"/>
    <cellStyle name="Normal 69 50 2" xfId="48192" xr:uid="{00000000-0005-0000-0000-00004EBC0000}"/>
    <cellStyle name="Normal 69 51" xfId="48193" xr:uid="{00000000-0005-0000-0000-00004FBC0000}"/>
    <cellStyle name="Normal 69 51 2" xfId="48194" xr:uid="{00000000-0005-0000-0000-000050BC0000}"/>
    <cellStyle name="Normal 69 52" xfId="48195" xr:uid="{00000000-0005-0000-0000-000051BC0000}"/>
    <cellStyle name="Normal 69 52 2" xfId="48196" xr:uid="{00000000-0005-0000-0000-000052BC0000}"/>
    <cellStyle name="Normal 69 53" xfId="48197" xr:uid="{00000000-0005-0000-0000-000053BC0000}"/>
    <cellStyle name="Normal 69 53 2" xfId="48198" xr:uid="{00000000-0005-0000-0000-000054BC0000}"/>
    <cellStyle name="Normal 69 54" xfId="48199" xr:uid="{00000000-0005-0000-0000-000055BC0000}"/>
    <cellStyle name="Normal 69 54 2" xfId="48200" xr:uid="{00000000-0005-0000-0000-000056BC0000}"/>
    <cellStyle name="Normal 69 55" xfId="48201" xr:uid="{00000000-0005-0000-0000-000057BC0000}"/>
    <cellStyle name="Normal 69 55 2" xfId="48202" xr:uid="{00000000-0005-0000-0000-000058BC0000}"/>
    <cellStyle name="Normal 69 56" xfId="48203" xr:uid="{00000000-0005-0000-0000-000059BC0000}"/>
    <cellStyle name="Normal 69 56 2" xfId="48204" xr:uid="{00000000-0005-0000-0000-00005ABC0000}"/>
    <cellStyle name="Normal 69 57" xfId="48205" xr:uid="{00000000-0005-0000-0000-00005BBC0000}"/>
    <cellStyle name="Normal 69 57 2" xfId="48206" xr:uid="{00000000-0005-0000-0000-00005CBC0000}"/>
    <cellStyle name="Normal 69 58" xfId="48207" xr:uid="{00000000-0005-0000-0000-00005DBC0000}"/>
    <cellStyle name="Normal 69 58 2" xfId="48208" xr:uid="{00000000-0005-0000-0000-00005EBC0000}"/>
    <cellStyle name="Normal 69 59" xfId="48209" xr:uid="{00000000-0005-0000-0000-00005FBC0000}"/>
    <cellStyle name="Normal 69 59 2" xfId="48210" xr:uid="{00000000-0005-0000-0000-000060BC0000}"/>
    <cellStyle name="Normal 69 6" xfId="48211" xr:uid="{00000000-0005-0000-0000-000061BC0000}"/>
    <cellStyle name="Normal 69 6 2" xfId="48212" xr:uid="{00000000-0005-0000-0000-000062BC0000}"/>
    <cellStyle name="Normal 69 60" xfId="48213" xr:uid="{00000000-0005-0000-0000-000063BC0000}"/>
    <cellStyle name="Normal 69 60 2" xfId="48214" xr:uid="{00000000-0005-0000-0000-000064BC0000}"/>
    <cellStyle name="Normal 69 61" xfId="48215" xr:uid="{00000000-0005-0000-0000-000065BC0000}"/>
    <cellStyle name="Normal 69 61 2" xfId="48216" xr:uid="{00000000-0005-0000-0000-000066BC0000}"/>
    <cellStyle name="Normal 69 62" xfId="48217" xr:uid="{00000000-0005-0000-0000-000067BC0000}"/>
    <cellStyle name="Normal 69 62 2" xfId="48218" xr:uid="{00000000-0005-0000-0000-000068BC0000}"/>
    <cellStyle name="Normal 69 62 3" xfId="48219" xr:uid="{00000000-0005-0000-0000-000069BC0000}"/>
    <cellStyle name="Normal 69 63" xfId="48220" xr:uid="{00000000-0005-0000-0000-00006ABC0000}"/>
    <cellStyle name="Normal 69 7" xfId="48221" xr:uid="{00000000-0005-0000-0000-00006BBC0000}"/>
    <cellStyle name="Normal 69 7 2" xfId="48222" xr:uid="{00000000-0005-0000-0000-00006CBC0000}"/>
    <cellStyle name="Normal 69 8" xfId="48223" xr:uid="{00000000-0005-0000-0000-00006DBC0000}"/>
    <cellStyle name="Normal 69 8 2" xfId="48224" xr:uid="{00000000-0005-0000-0000-00006EBC0000}"/>
    <cellStyle name="Normal 69 9" xfId="48225" xr:uid="{00000000-0005-0000-0000-00006FBC0000}"/>
    <cellStyle name="Normal 69 9 2" xfId="48226" xr:uid="{00000000-0005-0000-0000-000070BC0000}"/>
    <cellStyle name="Normal 7" xfId="48227" xr:uid="{00000000-0005-0000-0000-000071BC0000}"/>
    <cellStyle name="Normal 7 10" xfId="48228" xr:uid="{00000000-0005-0000-0000-000072BC0000}"/>
    <cellStyle name="Normal 7 10 2" xfId="48229" xr:uid="{00000000-0005-0000-0000-000073BC0000}"/>
    <cellStyle name="Normal 7 10 2 2" xfId="48230" xr:uid="{00000000-0005-0000-0000-000074BC0000}"/>
    <cellStyle name="Normal 7 10 3" xfId="48231" xr:uid="{00000000-0005-0000-0000-000075BC0000}"/>
    <cellStyle name="Normal 7 10 3 2" xfId="48232" xr:uid="{00000000-0005-0000-0000-000076BC0000}"/>
    <cellStyle name="Normal 7 10 4" xfId="48233" xr:uid="{00000000-0005-0000-0000-000077BC0000}"/>
    <cellStyle name="Normal 7 10 5" xfId="48234" xr:uid="{00000000-0005-0000-0000-000078BC0000}"/>
    <cellStyle name="Normal 7 11" xfId="48235" xr:uid="{00000000-0005-0000-0000-000079BC0000}"/>
    <cellStyle name="Normal 7 11 2" xfId="48236" xr:uid="{00000000-0005-0000-0000-00007ABC0000}"/>
    <cellStyle name="Normal 7 12" xfId="48237" xr:uid="{00000000-0005-0000-0000-00007BBC0000}"/>
    <cellStyle name="Normal 7 12 2" xfId="48238" xr:uid="{00000000-0005-0000-0000-00007CBC0000}"/>
    <cellStyle name="Normal 7 13" xfId="48239" xr:uid="{00000000-0005-0000-0000-00007DBC0000}"/>
    <cellStyle name="Normal 7 13 2" xfId="48240" xr:uid="{00000000-0005-0000-0000-00007EBC0000}"/>
    <cellStyle name="Normal 7 14" xfId="48241" xr:uid="{00000000-0005-0000-0000-00007FBC0000}"/>
    <cellStyle name="Normal 7 14 2" xfId="48242" xr:uid="{00000000-0005-0000-0000-000080BC0000}"/>
    <cellStyle name="Normal 7 15" xfId="48243" xr:uid="{00000000-0005-0000-0000-000081BC0000}"/>
    <cellStyle name="Normal 7 15 2" xfId="48244" xr:uid="{00000000-0005-0000-0000-000082BC0000}"/>
    <cellStyle name="Normal 7 16" xfId="48245" xr:uid="{00000000-0005-0000-0000-000083BC0000}"/>
    <cellStyle name="Normal 7 16 2" xfId="48246" xr:uid="{00000000-0005-0000-0000-000084BC0000}"/>
    <cellStyle name="Normal 7 17" xfId="48247" xr:uid="{00000000-0005-0000-0000-000085BC0000}"/>
    <cellStyle name="Normal 7 17 2" xfId="48248" xr:uid="{00000000-0005-0000-0000-000086BC0000}"/>
    <cellStyle name="Normal 7 18" xfId="48249" xr:uid="{00000000-0005-0000-0000-000087BC0000}"/>
    <cellStyle name="Normal 7 18 2" xfId="48250" xr:uid="{00000000-0005-0000-0000-000088BC0000}"/>
    <cellStyle name="Normal 7 19" xfId="48251" xr:uid="{00000000-0005-0000-0000-000089BC0000}"/>
    <cellStyle name="Normal 7 19 2" xfId="48252" xr:uid="{00000000-0005-0000-0000-00008ABC0000}"/>
    <cellStyle name="Normal 7 2" xfId="48253" xr:uid="{00000000-0005-0000-0000-00008BBC0000}"/>
    <cellStyle name="Normal 7 2 10" xfId="48254" xr:uid="{00000000-0005-0000-0000-00008CBC0000}"/>
    <cellStyle name="Normal 7 2 10 2" xfId="48255" xr:uid="{00000000-0005-0000-0000-00008DBC0000}"/>
    <cellStyle name="Normal 7 2 11" xfId="48256" xr:uid="{00000000-0005-0000-0000-00008EBC0000}"/>
    <cellStyle name="Normal 7 2 11 2" xfId="48257" xr:uid="{00000000-0005-0000-0000-00008FBC0000}"/>
    <cellStyle name="Normal 7 2 12" xfId="48258" xr:uid="{00000000-0005-0000-0000-000090BC0000}"/>
    <cellStyle name="Normal 7 2 13" xfId="48259" xr:uid="{00000000-0005-0000-0000-000091BC0000}"/>
    <cellStyle name="Normal 7 2 2" xfId="48260" xr:uid="{00000000-0005-0000-0000-000092BC0000}"/>
    <cellStyle name="Normal 7 2 2 10" xfId="48261" xr:uid="{00000000-0005-0000-0000-000093BC0000}"/>
    <cellStyle name="Normal 7 2 2 10 2" xfId="48262" xr:uid="{00000000-0005-0000-0000-000094BC0000}"/>
    <cellStyle name="Normal 7 2 2 11" xfId="48263" xr:uid="{00000000-0005-0000-0000-000095BC0000}"/>
    <cellStyle name="Normal 7 2 2 12" xfId="48264" xr:uid="{00000000-0005-0000-0000-000096BC0000}"/>
    <cellStyle name="Normal 7 2 2 2" xfId="48265" xr:uid="{00000000-0005-0000-0000-000097BC0000}"/>
    <cellStyle name="Normal 7 2 2 2 10" xfId="48266" xr:uid="{00000000-0005-0000-0000-000098BC0000}"/>
    <cellStyle name="Normal 7 2 2 2 11" xfId="48267" xr:uid="{00000000-0005-0000-0000-000099BC0000}"/>
    <cellStyle name="Normal 7 2 2 2 2" xfId="48268" xr:uid="{00000000-0005-0000-0000-00009ABC0000}"/>
    <cellStyle name="Normal 7 2 2 2 2 10" xfId="48269" xr:uid="{00000000-0005-0000-0000-00009BBC0000}"/>
    <cellStyle name="Normal 7 2 2 2 2 2" xfId="48270" xr:uid="{00000000-0005-0000-0000-00009CBC0000}"/>
    <cellStyle name="Normal 7 2 2 2 2 2 2" xfId="48271" xr:uid="{00000000-0005-0000-0000-00009DBC0000}"/>
    <cellStyle name="Normal 7 2 2 2 2 2 2 2" xfId="48272" xr:uid="{00000000-0005-0000-0000-00009EBC0000}"/>
    <cellStyle name="Normal 7 2 2 2 2 2 2 2 2" xfId="48273" xr:uid="{00000000-0005-0000-0000-00009FBC0000}"/>
    <cellStyle name="Normal 7 2 2 2 2 2 2 2 2 2" xfId="48274" xr:uid="{00000000-0005-0000-0000-0000A0BC0000}"/>
    <cellStyle name="Normal 7 2 2 2 2 2 2 2 2 2 2" xfId="48275" xr:uid="{00000000-0005-0000-0000-0000A1BC0000}"/>
    <cellStyle name="Normal 7 2 2 2 2 2 2 2 2 2 2 2" xfId="48276" xr:uid="{00000000-0005-0000-0000-0000A2BC0000}"/>
    <cellStyle name="Normal 7 2 2 2 2 2 2 2 2 2 3" xfId="48277" xr:uid="{00000000-0005-0000-0000-0000A3BC0000}"/>
    <cellStyle name="Normal 7 2 2 2 2 2 2 2 2 2 4" xfId="48278" xr:uid="{00000000-0005-0000-0000-0000A4BC0000}"/>
    <cellStyle name="Normal 7 2 2 2 2 2 2 2 2 3" xfId="48279" xr:uid="{00000000-0005-0000-0000-0000A5BC0000}"/>
    <cellStyle name="Normal 7 2 2 2 2 2 2 2 2 3 2" xfId="48280" xr:uid="{00000000-0005-0000-0000-0000A6BC0000}"/>
    <cellStyle name="Normal 7 2 2 2 2 2 2 2 2 4" xfId="48281" xr:uid="{00000000-0005-0000-0000-0000A7BC0000}"/>
    <cellStyle name="Normal 7 2 2 2 2 2 2 2 2 5" xfId="48282" xr:uid="{00000000-0005-0000-0000-0000A8BC0000}"/>
    <cellStyle name="Normal 7 2 2 2 2 2 2 2 3" xfId="48283" xr:uid="{00000000-0005-0000-0000-0000A9BC0000}"/>
    <cellStyle name="Normal 7 2 2 2 2 2 2 2 3 2" xfId="48284" xr:uid="{00000000-0005-0000-0000-0000AABC0000}"/>
    <cellStyle name="Normal 7 2 2 2 2 2 2 2 3 2 2" xfId="48285" xr:uid="{00000000-0005-0000-0000-0000ABBC0000}"/>
    <cellStyle name="Normal 7 2 2 2 2 2 2 2 3 3" xfId="48286" xr:uid="{00000000-0005-0000-0000-0000ACBC0000}"/>
    <cellStyle name="Normal 7 2 2 2 2 2 2 2 3 4" xfId="48287" xr:uid="{00000000-0005-0000-0000-0000ADBC0000}"/>
    <cellStyle name="Normal 7 2 2 2 2 2 2 2 4" xfId="48288" xr:uid="{00000000-0005-0000-0000-0000AEBC0000}"/>
    <cellStyle name="Normal 7 2 2 2 2 2 2 2 4 2" xfId="48289" xr:uid="{00000000-0005-0000-0000-0000AFBC0000}"/>
    <cellStyle name="Normal 7 2 2 2 2 2 2 2 5" xfId="48290" xr:uid="{00000000-0005-0000-0000-0000B0BC0000}"/>
    <cellStyle name="Normal 7 2 2 2 2 2 2 2 6" xfId="48291" xr:uid="{00000000-0005-0000-0000-0000B1BC0000}"/>
    <cellStyle name="Normal 7 2 2 2 2 2 2 3" xfId="48292" xr:uid="{00000000-0005-0000-0000-0000B2BC0000}"/>
    <cellStyle name="Normal 7 2 2 2 2 2 2 3 2" xfId="48293" xr:uid="{00000000-0005-0000-0000-0000B3BC0000}"/>
    <cellStyle name="Normal 7 2 2 2 2 2 2 3 2 2" xfId="48294" xr:uid="{00000000-0005-0000-0000-0000B4BC0000}"/>
    <cellStyle name="Normal 7 2 2 2 2 2 2 3 2 2 2" xfId="48295" xr:uid="{00000000-0005-0000-0000-0000B5BC0000}"/>
    <cellStyle name="Normal 7 2 2 2 2 2 2 3 2 3" xfId="48296" xr:uid="{00000000-0005-0000-0000-0000B6BC0000}"/>
    <cellStyle name="Normal 7 2 2 2 2 2 2 3 2 4" xfId="48297" xr:uid="{00000000-0005-0000-0000-0000B7BC0000}"/>
    <cellStyle name="Normal 7 2 2 2 2 2 2 3 3" xfId="48298" xr:uid="{00000000-0005-0000-0000-0000B8BC0000}"/>
    <cellStyle name="Normal 7 2 2 2 2 2 2 3 3 2" xfId="48299" xr:uid="{00000000-0005-0000-0000-0000B9BC0000}"/>
    <cellStyle name="Normal 7 2 2 2 2 2 2 3 4" xfId="48300" xr:uid="{00000000-0005-0000-0000-0000BABC0000}"/>
    <cellStyle name="Normal 7 2 2 2 2 2 2 3 5" xfId="48301" xr:uid="{00000000-0005-0000-0000-0000BBBC0000}"/>
    <cellStyle name="Normal 7 2 2 2 2 2 2 4" xfId="48302" xr:uid="{00000000-0005-0000-0000-0000BCBC0000}"/>
    <cellStyle name="Normal 7 2 2 2 2 2 2 4 2" xfId="48303" xr:uid="{00000000-0005-0000-0000-0000BDBC0000}"/>
    <cellStyle name="Normal 7 2 2 2 2 2 2 4 2 2" xfId="48304" xr:uid="{00000000-0005-0000-0000-0000BEBC0000}"/>
    <cellStyle name="Normal 7 2 2 2 2 2 2 4 3" xfId="48305" xr:uid="{00000000-0005-0000-0000-0000BFBC0000}"/>
    <cellStyle name="Normal 7 2 2 2 2 2 2 4 4" xfId="48306" xr:uid="{00000000-0005-0000-0000-0000C0BC0000}"/>
    <cellStyle name="Normal 7 2 2 2 2 2 2 5" xfId="48307" xr:uid="{00000000-0005-0000-0000-0000C1BC0000}"/>
    <cellStyle name="Normal 7 2 2 2 2 2 2 5 2" xfId="48308" xr:uid="{00000000-0005-0000-0000-0000C2BC0000}"/>
    <cellStyle name="Normal 7 2 2 2 2 2 2 6" xfId="48309" xr:uid="{00000000-0005-0000-0000-0000C3BC0000}"/>
    <cellStyle name="Normal 7 2 2 2 2 2 2 7" xfId="48310" xr:uid="{00000000-0005-0000-0000-0000C4BC0000}"/>
    <cellStyle name="Normal 7 2 2 2 2 2 3" xfId="48311" xr:uid="{00000000-0005-0000-0000-0000C5BC0000}"/>
    <cellStyle name="Normal 7 2 2 2 2 2 3 2" xfId="48312" xr:uid="{00000000-0005-0000-0000-0000C6BC0000}"/>
    <cellStyle name="Normal 7 2 2 2 2 2 3 2 2" xfId="48313" xr:uid="{00000000-0005-0000-0000-0000C7BC0000}"/>
    <cellStyle name="Normal 7 2 2 2 2 2 3 2 2 2" xfId="48314" xr:uid="{00000000-0005-0000-0000-0000C8BC0000}"/>
    <cellStyle name="Normal 7 2 2 2 2 2 3 2 2 2 2" xfId="48315" xr:uid="{00000000-0005-0000-0000-0000C9BC0000}"/>
    <cellStyle name="Normal 7 2 2 2 2 2 3 2 2 3" xfId="48316" xr:uid="{00000000-0005-0000-0000-0000CABC0000}"/>
    <cellStyle name="Normal 7 2 2 2 2 2 3 2 2 4" xfId="48317" xr:uid="{00000000-0005-0000-0000-0000CBBC0000}"/>
    <cellStyle name="Normal 7 2 2 2 2 2 3 2 3" xfId="48318" xr:uid="{00000000-0005-0000-0000-0000CCBC0000}"/>
    <cellStyle name="Normal 7 2 2 2 2 2 3 2 3 2" xfId="48319" xr:uid="{00000000-0005-0000-0000-0000CDBC0000}"/>
    <cellStyle name="Normal 7 2 2 2 2 2 3 2 4" xfId="48320" xr:uid="{00000000-0005-0000-0000-0000CEBC0000}"/>
    <cellStyle name="Normal 7 2 2 2 2 2 3 2 5" xfId="48321" xr:uid="{00000000-0005-0000-0000-0000CFBC0000}"/>
    <cellStyle name="Normal 7 2 2 2 2 2 3 3" xfId="48322" xr:uid="{00000000-0005-0000-0000-0000D0BC0000}"/>
    <cellStyle name="Normal 7 2 2 2 2 2 3 3 2" xfId="48323" xr:uid="{00000000-0005-0000-0000-0000D1BC0000}"/>
    <cellStyle name="Normal 7 2 2 2 2 2 3 3 2 2" xfId="48324" xr:uid="{00000000-0005-0000-0000-0000D2BC0000}"/>
    <cellStyle name="Normal 7 2 2 2 2 2 3 3 3" xfId="48325" xr:uid="{00000000-0005-0000-0000-0000D3BC0000}"/>
    <cellStyle name="Normal 7 2 2 2 2 2 3 3 3 2" xfId="48326" xr:uid="{00000000-0005-0000-0000-0000D4BC0000}"/>
    <cellStyle name="Normal 7 2 2 2 2 2 3 3 4" xfId="48327" xr:uid="{00000000-0005-0000-0000-0000D5BC0000}"/>
    <cellStyle name="Normal 7 2 2 2 2 2 3 3 5" xfId="48328" xr:uid="{00000000-0005-0000-0000-0000D6BC0000}"/>
    <cellStyle name="Normal 7 2 2 2 2 2 3 4" xfId="48329" xr:uid="{00000000-0005-0000-0000-0000D7BC0000}"/>
    <cellStyle name="Normal 7 2 2 2 2 2 3 4 2" xfId="48330" xr:uid="{00000000-0005-0000-0000-0000D8BC0000}"/>
    <cellStyle name="Normal 7 2 2 2 2 2 3 5" xfId="48331" xr:uid="{00000000-0005-0000-0000-0000D9BC0000}"/>
    <cellStyle name="Normal 7 2 2 2 2 2 3 5 2" xfId="48332" xr:uid="{00000000-0005-0000-0000-0000DABC0000}"/>
    <cellStyle name="Normal 7 2 2 2 2 2 3 6" xfId="48333" xr:uid="{00000000-0005-0000-0000-0000DBBC0000}"/>
    <cellStyle name="Normal 7 2 2 2 2 2 3 7" xfId="48334" xr:uid="{00000000-0005-0000-0000-0000DCBC0000}"/>
    <cellStyle name="Normal 7 2 2 2 2 2 4" xfId="48335" xr:uid="{00000000-0005-0000-0000-0000DDBC0000}"/>
    <cellStyle name="Normal 7 2 2 2 2 2 4 2" xfId="48336" xr:uid="{00000000-0005-0000-0000-0000DEBC0000}"/>
    <cellStyle name="Normal 7 2 2 2 2 2 4 2 2" xfId="48337" xr:uid="{00000000-0005-0000-0000-0000DFBC0000}"/>
    <cellStyle name="Normal 7 2 2 2 2 2 4 2 2 2" xfId="48338" xr:uid="{00000000-0005-0000-0000-0000E0BC0000}"/>
    <cellStyle name="Normal 7 2 2 2 2 2 4 2 3" xfId="48339" xr:uid="{00000000-0005-0000-0000-0000E1BC0000}"/>
    <cellStyle name="Normal 7 2 2 2 2 2 4 2 4" xfId="48340" xr:uid="{00000000-0005-0000-0000-0000E2BC0000}"/>
    <cellStyle name="Normal 7 2 2 2 2 2 4 3" xfId="48341" xr:uid="{00000000-0005-0000-0000-0000E3BC0000}"/>
    <cellStyle name="Normal 7 2 2 2 2 2 4 3 2" xfId="48342" xr:uid="{00000000-0005-0000-0000-0000E4BC0000}"/>
    <cellStyle name="Normal 7 2 2 2 2 2 4 4" xfId="48343" xr:uid="{00000000-0005-0000-0000-0000E5BC0000}"/>
    <cellStyle name="Normal 7 2 2 2 2 2 4 5" xfId="48344" xr:uid="{00000000-0005-0000-0000-0000E6BC0000}"/>
    <cellStyle name="Normal 7 2 2 2 2 2 5" xfId="48345" xr:uid="{00000000-0005-0000-0000-0000E7BC0000}"/>
    <cellStyle name="Normal 7 2 2 2 2 2 5 2" xfId="48346" xr:uid="{00000000-0005-0000-0000-0000E8BC0000}"/>
    <cellStyle name="Normal 7 2 2 2 2 2 5 2 2" xfId="48347" xr:uid="{00000000-0005-0000-0000-0000E9BC0000}"/>
    <cellStyle name="Normal 7 2 2 2 2 2 5 3" xfId="48348" xr:uid="{00000000-0005-0000-0000-0000EABC0000}"/>
    <cellStyle name="Normal 7 2 2 2 2 2 5 3 2" xfId="48349" xr:uid="{00000000-0005-0000-0000-0000EBBC0000}"/>
    <cellStyle name="Normal 7 2 2 2 2 2 5 4" xfId="48350" xr:uid="{00000000-0005-0000-0000-0000ECBC0000}"/>
    <cellStyle name="Normal 7 2 2 2 2 2 5 5" xfId="48351" xr:uid="{00000000-0005-0000-0000-0000EDBC0000}"/>
    <cellStyle name="Normal 7 2 2 2 2 2 6" xfId="48352" xr:uid="{00000000-0005-0000-0000-0000EEBC0000}"/>
    <cellStyle name="Normal 7 2 2 2 2 2 6 2" xfId="48353" xr:uid="{00000000-0005-0000-0000-0000EFBC0000}"/>
    <cellStyle name="Normal 7 2 2 2 2 2 7" xfId="48354" xr:uid="{00000000-0005-0000-0000-0000F0BC0000}"/>
    <cellStyle name="Normal 7 2 2 2 2 2 7 2" xfId="48355" xr:uid="{00000000-0005-0000-0000-0000F1BC0000}"/>
    <cellStyle name="Normal 7 2 2 2 2 2 8" xfId="48356" xr:uid="{00000000-0005-0000-0000-0000F2BC0000}"/>
    <cellStyle name="Normal 7 2 2 2 2 2 9" xfId="48357" xr:uid="{00000000-0005-0000-0000-0000F3BC0000}"/>
    <cellStyle name="Normal 7 2 2 2 2 3" xfId="48358" xr:uid="{00000000-0005-0000-0000-0000F4BC0000}"/>
    <cellStyle name="Normal 7 2 2 2 2 3 2" xfId="48359" xr:uid="{00000000-0005-0000-0000-0000F5BC0000}"/>
    <cellStyle name="Normal 7 2 2 2 2 3 2 2" xfId="48360" xr:uid="{00000000-0005-0000-0000-0000F6BC0000}"/>
    <cellStyle name="Normal 7 2 2 2 2 3 2 2 2" xfId="48361" xr:uid="{00000000-0005-0000-0000-0000F7BC0000}"/>
    <cellStyle name="Normal 7 2 2 2 2 3 2 2 2 2" xfId="48362" xr:uid="{00000000-0005-0000-0000-0000F8BC0000}"/>
    <cellStyle name="Normal 7 2 2 2 2 3 2 2 2 2 2" xfId="48363" xr:uid="{00000000-0005-0000-0000-0000F9BC0000}"/>
    <cellStyle name="Normal 7 2 2 2 2 3 2 2 2 3" xfId="48364" xr:uid="{00000000-0005-0000-0000-0000FABC0000}"/>
    <cellStyle name="Normal 7 2 2 2 2 3 2 2 2 4" xfId="48365" xr:uid="{00000000-0005-0000-0000-0000FBBC0000}"/>
    <cellStyle name="Normal 7 2 2 2 2 3 2 2 3" xfId="48366" xr:uid="{00000000-0005-0000-0000-0000FCBC0000}"/>
    <cellStyle name="Normal 7 2 2 2 2 3 2 2 3 2" xfId="48367" xr:uid="{00000000-0005-0000-0000-0000FDBC0000}"/>
    <cellStyle name="Normal 7 2 2 2 2 3 2 2 4" xfId="48368" xr:uid="{00000000-0005-0000-0000-0000FEBC0000}"/>
    <cellStyle name="Normal 7 2 2 2 2 3 2 2 5" xfId="48369" xr:uid="{00000000-0005-0000-0000-0000FFBC0000}"/>
    <cellStyle name="Normal 7 2 2 2 2 3 2 3" xfId="48370" xr:uid="{00000000-0005-0000-0000-000000BD0000}"/>
    <cellStyle name="Normal 7 2 2 2 2 3 2 3 2" xfId="48371" xr:uid="{00000000-0005-0000-0000-000001BD0000}"/>
    <cellStyle name="Normal 7 2 2 2 2 3 2 3 2 2" xfId="48372" xr:uid="{00000000-0005-0000-0000-000002BD0000}"/>
    <cellStyle name="Normal 7 2 2 2 2 3 2 3 3" xfId="48373" xr:uid="{00000000-0005-0000-0000-000003BD0000}"/>
    <cellStyle name="Normal 7 2 2 2 2 3 2 3 4" xfId="48374" xr:uid="{00000000-0005-0000-0000-000004BD0000}"/>
    <cellStyle name="Normal 7 2 2 2 2 3 2 4" xfId="48375" xr:uid="{00000000-0005-0000-0000-000005BD0000}"/>
    <cellStyle name="Normal 7 2 2 2 2 3 2 4 2" xfId="48376" xr:uid="{00000000-0005-0000-0000-000006BD0000}"/>
    <cellStyle name="Normal 7 2 2 2 2 3 2 5" xfId="48377" xr:uid="{00000000-0005-0000-0000-000007BD0000}"/>
    <cellStyle name="Normal 7 2 2 2 2 3 2 6" xfId="48378" xr:uid="{00000000-0005-0000-0000-000008BD0000}"/>
    <cellStyle name="Normal 7 2 2 2 2 3 3" xfId="48379" xr:uid="{00000000-0005-0000-0000-000009BD0000}"/>
    <cellStyle name="Normal 7 2 2 2 2 3 3 2" xfId="48380" xr:uid="{00000000-0005-0000-0000-00000ABD0000}"/>
    <cellStyle name="Normal 7 2 2 2 2 3 3 2 2" xfId="48381" xr:uid="{00000000-0005-0000-0000-00000BBD0000}"/>
    <cellStyle name="Normal 7 2 2 2 2 3 3 2 2 2" xfId="48382" xr:uid="{00000000-0005-0000-0000-00000CBD0000}"/>
    <cellStyle name="Normal 7 2 2 2 2 3 3 2 3" xfId="48383" xr:uid="{00000000-0005-0000-0000-00000DBD0000}"/>
    <cellStyle name="Normal 7 2 2 2 2 3 3 2 4" xfId="48384" xr:uid="{00000000-0005-0000-0000-00000EBD0000}"/>
    <cellStyle name="Normal 7 2 2 2 2 3 3 3" xfId="48385" xr:uid="{00000000-0005-0000-0000-00000FBD0000}"/>
    <cellStyle name="Normal 7 2 2 2 2 3 3 3 2" xfId="48386" xr:uid="{00000000-0005-0000-0000-000010BD0000}"/>
    <cellStyle name="Normal 7 2 2 2 2 3 3 4" xfId="48387" xr:uid="{00000000-0005-0000-0000-000011BD0000}"/>
    <cellStyle name="Normal 7 2 2 2 2 3 3 5" xfId="48388" xr:uid="{00000000-0005-0000-0000-000012BD0000}"/>
    <cellStyle name="Normal 7 2 2 2 2 3 4" xfId="48389" xr:uid="{00000000-0005-0000-0000-000013BD0000}"/>
    <cellStyle name="Normal 7 2 2 2 2 3 4 2" xfId="48390" xr:uid="{00000000-0005-0000-0000-000014BD0000}"/>
    <cellStyle name="Normal 7 2 2 2 2 3 4 2 2" xfId="48391" xr:uid="{00000000-0005-0000-0000-000015BD0000}"/>
    <cellStyle name="Normal 7 2 2 2 2 3 4 3" xfId="48392" xr:uid="{00000000-0005-0000-0000-000016BD0000}"/>
    <cellStyle name="Normal 7 2 2 2 2 3 4 4" xfId="48393" xr:uid="{00000000-0005-0000-0000-000017BD0000}"/>
    <cellStyle name="Normal 7 2 2 2 2 3 5" xfId="48394" xr:uid="{00000000-0005-0000-0000-000018BD0000}"/>
    <cellStyle name="Normal 7 2 2 2 2 3 5 2" xfId="48395" xr:uid="{00000000-0005-0000-0000-000019BD0000}"/>
    <cellStyle name="Normal 7 2 2 2 2 3 6" xfId="48396" xr:uid="{00000000-0005-0000-0000-00001ABD0000}"/>
    <cellStyle name="Normal 7 2 2 2 2 3 7" xfId="48397" xr:uid="{00000000-0005-0000-0000-00001BBD0000}"/>
    <cellStyle name="Normal 7 2 2 2 2 4" xfId="48398" xr:uid="{00000000-0005-0000-0000-00001CBD0000}"/>
    <cellStyle name="Normal 7 2 2 2 2 4 2" xfId="48399" xr:uid="{00000000-0005-0000-0000-00001DBD0000}"/>
    <cellStyle name="Normal 7 2 2 2 2 4 2 2" xfId="48400" xr:uid="{00000000-0005-0000-0000-00001EBD0000}"/>
    <cellStyle name="Normal 7 2 2 2 2 4 2 2 2" xfId="48401" xr:uid="{00000000-0005-0000-0000-00001FBD0000}"/>
    <cellStyle name="Normal 7 2 2 2 2 4 2 2 2 2" xfId="48402" xr:uid="{00000000-0005-0000-0000-000020BD0000}"/>
    <cellStyle name="Normal 7 2 2 2 2 4 2 2 3" xfId="48403" xr:uid="{00000000-0005-0000-0000-000021BD0000}"/>
    <cellStyle name="Normal 7 2 2 2 2 4 2 2 4" xfId="48404" xr:uid="{00000000-0005-0000-0000-000022BD0000}"/>
    <cellStyle name="Normal 7 2 2 2 2 4 2 3" xfId="48405" xr:uid="{00000000-0005-0000-0000-000023BD0000}"/>
    <cellStyle name="Normal 7 2 2 2 2 4 2 3 2" xfId="48406" xr:uid="{00000000-0005-0000-0000-000024BD0000}"/>
    <cellStyle name="Normal 7 2 2 2 2 4 2 4" xfId="48407" xr:uid="{00000000-0005-0000-0000-000025BD0000}"/>
    <cellStyle name="Normal 7 2 2 2 2 4 2 5" xfId="48408" xr:uid="{00000000-0005-0000-0000-000026BD0000}"/>
    <cellStyle name="Normal 7 2 2 2 2 4 3" xfId="48409" xr:uid="{00000000-0005-0000-0000-000027BD0000}"/>
    <cellStyle name="Normal 7 2 2 2 2 4 3 2" xfId="48410" xr:uid="{00000000-0005-0000-0000-000028BD0000}"/>
    <cellStyle name="Normal 7 2 2 2 2 4 3 2 2" xfId="48411" xr:uid="{00000000-0005-0000-0000-000029BD0000}"/>
    <cellStyle name="Normal 7 2 2 2 2 4 3 3" xfId="48412" xr:uid="{00000000-0005-0000-0000-00002ABD0000}"/>
    <cellStyle name="Normal 7 2 2 2 2 4 3 3 2" xfId="48413" xr:uid="{00000000-0005-0000-0000-00002BBD0000}"/>
    <cellStyle name="Normal 7 2 2 2 2 4 3 4" xfId="48414" xr:uid="{00000000-0005-0000-0000-00002CBD0000}"/>
    <cellStyle name="Normal 7 2 2 2 2 4 3 5" xfId="48415" xr:uid="{00000000-0005-0000-0000-00002DBD0000}"/>
    <cellStyle name="Normal 7 2 2 2 2 4 4" xfId="48416" xr:uid="{00000000-0005-0000-0000-00002EBD0000}"/>
    <cellStyle name="Normal 7 2 2 2 2 4 4 2" xfId="48417" xr:uid="{00000000-0005-0000-0000-00002FBD0000}"/>
    <cellStyle name="Normal 7 2 2 2 2 4 5" xfId="48418" xr:uid="{00000000-0005-0000-0000-000030BD0000}"/>
    <cellStyle name="Normal 7 2 2 2 2 4 5 2" xfId="48419" xr:uid="{00000000-0005-0000-0000-000031BD0000}"/>
    <cellStyle name="Normal 7 2 2 2 2 4 6" xfId="48420" xr:uid="{00000000-0005-0000-0000-000032BD0000}"/>
    <cellStyle name="Normal 7 2 2 2 2 4 7" xfId="48421" xr:uid="{00000000-0005-0000-0000-000033BD0000}"/>
    <cellStyle name="Normal 7 2 2 2 2 5" xfId="48422" xr:uid="{00000000-0005-0000-0000-000034BD0000}"/>
    <cellStyle name="Normal 7 2 2 2 2 5 2" xfId="48423" xr:uid="{00000000-0005-0000-0000-000035BD0000}"/>
    <cellStyle name="Normal 7 2 2 2 2 5 2 2" xfId="48424" xr:uid="{00000000-0005-0000-0000-000036BD0000}"/>
    <cellStyle name="Normal 7 2 2 2 2 5 2 2 2" xfId="48425" xr:uid="{00000000-0005-0000-0000-000037BD0000}"/>
    <cellStyle name="Normal 7 2 2 2 2 5 2 3" xfId="48426" xr:uid="{00000000-0005-0000-0000-000038BD0000}"/>
    <cellStyle name="Normal 7 2 2 2 2 5 2 4" xfId="48427" xr:uid="{00000000-0005-0000-0000-000039BD0000}"/>
    <cellStyle name="Normal 7 2 2 2 2 5 3" xfId="48428" xr:uid="{00000000-0005-0000-0000-00003ABD0000}"/>
    <cellStyle name="Normal 7 2 2 2 2 5 3 2" xfId="48429" xr:uid="{00000000-0005-0000-0000-00003BBD0000}"/>
    <cellStyle name="Normal 7 2 2 2 2 5 4" xfId="48430" xr:uid="{00000000-0005-0000-0000-00003CBD0000}"/>
    <cellStyle name="Normal 7 2 2 2 2 5 5" xfId="48431" xr:uid="{00000000-0005-0000-0000-00003DBD0000}"/>
    <cellStyle name="Normal 7 2 2 2 2 6" xfId="48432" xr:uid="{00000000-0005-0000-0000-00003EBD0000}"/>
    <cellStyle name="Normal 7 2 2 2 2 6 2" xfId="48433" xr:uid="{00000000-0005-0000-0000-00003FBD0000}"/>
    <cellStyle name="Normal 7 2 2 2 2 6 2 2" xfId="48434" xr:uid="{00000000-0005-0000-0000-000040BD0000}"/>
    <cellStyle name="Normal 7 2 2 2 2 6 3" xfId="48435" xr:uid="{00000000-0005-0000-0000-000041BD0000}"/>
    <cellStyle name="Normal 7 2 2 2 2 6 3 2" xfId="48436" xr:uid="{00000000-0005-0000-0000-000042BD0000}"/>
    <cellStyle name="Normal 7 2 2 2 2 6 4" xfId="48437" xr:uid="{00000000-0005-0000-0000-000043BD0000}"/>
    <cellStyle name="Normal 7 2 2 2 2 6 5" xfId="48438" xr:uid="{00000000-0005-0000-0000-000044BD0000}"/>
    <cellStyle name="Normal 7 2 2 2 2 7" xfId="48439" xr:uid="{00000000-0005-0000-0000-000045BD0000}"/>
    <cellStyle name="Normal 7 2 2 2 2 7 2" xfId="48440" xr:uid="{00000000-0005-0000-0000-000046BD0000}"/>
    <cellStyle name="Normal 7 2 2 2 2 8" xfId="48441" xr:uid="{00000000-0005-0000-0000-000047BD0000}"/>
    <cellStyle name="Normal 7 2 2 2 2 8 2" xfId="48442" xr:uid="{00000000-0005-0000-0000-000048BD0000}"/>
    <cellStyle name="Normal 7 2 2 2 2 9" xfId="48443" xr:uid="{00000000-0005-0000-0000-000049BD0000}"/>
    <cellStyle name="Normal 7 2 2 2 3" xfId="48444" xr:uid="{00000000-0005-0000-0000-00004ABD0000}"/>
    <cellStyle name="Normal 7 2 2 2 3 2" xfId="48445" xr:uid="{00000000-0005-0000-0000-00004BBD0000}"/>
    <cellStyle name="Normal 7 2 2 2 3 2 2" xfId="48446" xr:uid="{00000000-0005-0000-0000-00004CBD0000}"/>
    <cellStyle name="Normal 7 2 2 2 3 2 2 2" xfId="48447" xr:uid="{00000000-0005-0000-0000-00004DBD0000}"/>
    <cellStyle name="Normal 7 2 2 2 3 2 2 2 2" xfId="48448" xr:uid="{00000000-0005-0000-0000-00004EBD0000}"/>
    <cellStyle name="Normal 7 2 2 2 3 2 2 2 2 2" xfId="48449" xr:uid="{00000000-0005-0000-0000-00004FBD0000}"/>
    <cellStyle name="Normal 7 2 2 2 3 2 2 2 2 2 2" xfId="48450" xr:uid="{00000000-0005-0000-0000-000050BD0000}"/>
    <cellStyle name="Normal 7 2 2 2 3 2 2 2 2 3" xfId="48451" xr:uid="{00000000-0005-0000-0000-000051BD0000}"/>
    <cellStyle name="Normal 7 2 2 2 3 2 2 2 2 4" xfId="48452" xr:uid="{00000000-0005-0000-0000-000052BD0000}"/>
    <cellStyle name="Normal 7 2 2 2 3 2 2 2 3" xfId="48453" xr:uid="{00000000-0005-0000-0000-000053BD0000}"/>
    <cellStyle name="Normal 7 2 2 2 3 2 2 2 3 2" xfId="48454" xr:uid="{00000000-0005-0000-0000-000054BD0000}"/>
    <cellStyle name="Normal 7 2 2 2 3 2 2 2 4" xfId="48455" xr:uid="{00000000-0005-0000-0000-000055BD0000}"/>
    <cellStyle name="Normal 7 2 2 2 3 2 2 2 5" xfId="48456" xr:uid="{00000000-0005-0000-0000-000056BD0000}"/>
    <cellStyle name="Normal 7 2 2 2 3 2 2 3" xfId="48457" xr:uid="{00000000-0005-0000-0000-000057BD0000}"/>
    <cellStyle name="Normal 7 2 2 2 3 2 2 3 2" xfId="48458" xr:uid="{00000000-0005-0000-0000-000058BD0000}"/>
    <cellStyle name="Normal 7 2 2 2 3 2 2 3 2 2" xfId="48459" xr:uid="{00000000-0005-0000-0000-000059BD0000}"/>
    <cellStyle name="Normal 7 2 2 2 3 2 2 3 3" xfId="48460" xr:uid="{00000000-0005-0000-0000-00005ABD0000}"/>
    <cellStyle name="Normal 7 2 2 2 3 2 2 3 4" xfId="48461" xr:uid="{00000000-0005-0000-0000-00005BBD0000}"/>
    <cellStyle name="Normal 7 2 2 2 3 2 2 4" xfId="48462" xr:uid="{00000000-0005-0000-0000-00005CBD0000}"/>
    <cellStyle name="Normal 7 2 2 2 3 2 2 4 2" xfId="48463" xr:uid="{00000000-0005-0000-0000-00005DBD0000}"/>
    <cellStyle name="Normal 7 2 2 2 3 2 2 5" xfId="48464" xr:uid="{00000000-0005-0000-0000-00005EBD0000}"/>
    <cellStyle name="Normal 7 2 2 2 3 2 2 6" xfId="48465" xr:uid="{00000000-0005-0000-0000-00005FBD0000}"/>
    <cellStyle name="Normal 7 2 2 2 3 2 3" xfId="48466" xr:uid="{00000000-0005-0000-0000-000060BD0000}"/>
    <cellStyle name="Normal 7 2 2 2 3 2 3 2" xfId="48467" xr:uid="{00000000-0005-0000-0000-000061BD0000}"/>
    <cellStyle name="Normal 7 2 2 2 3 2 3 2 2" xfId="48468" xr:uid="{00000000-0005-0000-0000-000062BD0000}"/>
    <cellStyle name="Normal 7 2 2 2 3 2 3 2 2 2" xfId="48469" xr:uid="{00000000-0005-0000-0000-000063BD0000}"/>
    <cellStyle name="Normal 7 2 2 2 3 2 3 2 3" xfId="48470" xr:uid="{00000000-0005-0000-0000-000064BD0000}"/>
    <cellStyle name="Normal 7 2 2 2 3 2 3 2 4" xfId="48471" xr:uid="{00000000-0005-0000-0000-000065BD0000}"/>
    <cellStyle name="Normal 7 2 2 2 3 2 3 3" xfId="48472" xr:uid="{00000000-0005-0000-0000-000066BD0000}"/>
    <cellStyle name="Normal 7 2 2 2 3 2 3 3 2" xfId="48473" xr:uid="{00000000-0005-0000-0000-000067BD0000}"/>
    <cellStyle name="Normal 7 2 2 2 3 2 3 4" xfId="48474" xr:uid="{00000000-0005-0000-0000-000068BD0000}"/>
    <cellStyle name="Normal 7 2 2 2 3 2 3 5" xfId="48475" xr:uid="{00000000-0005-0000-0000-000069BD0000}"/>
    <cellStyle name="Normal 7 2 2 2 3 2 4" xfId="48476" xr:uid="{00000000-0005-0000-0000-00006ABD0000}"/>
    <cellStyle name="Normal 7 2 2 2 3 2 4 2" xfId="48477" xr:uid="{00000000-0005-0000-0000-00006BBD0000}"/>
    <cellStyle name="Normal 7 2 2 2 3 2 4 2 2" xfId="48478" xr:uid="{00000000-0005-0000-0000-00006CBD0000}"/>
    <cellStyle name="Normal 7 2 2 2 3 2 4 3" xfId="48479" xr:uid="{00000000-0005-0000-0000-00006DBD0000}"/>
    <cellStyle name="Normal 7 2 2 2 3 2 4 4" xfId="48480" xr:uid="{00000000-0005-0000-0000-00006EBD0000}"/>
    <cellStyle name="Normal 7 2 2 2 3 2 5" xfId="48481" xr:uid="{00000000-0005-0000-0000-00006FBD0000}"/>
    <cellStyle name="Normal 7 2 2 2 3 2 5 2" xfId="48482" xr:uid="{00000000-0005-0000-0000-000070BD0000}"/>
    <cellStyle name="Normal 7 2 2 2 3 2 6" xfId="48483" xr:uid="{00000000-0005-0000-0000-000071BD0000}"/>
    <cellStyle name="Normal 7 2 2 2 3 2 7" xfId="48484" xr:uid="{00000000-0005-0000-0000-000072BD0000}"/>
    <cellStyle name="Normal 7 2 2 2 3 3" xfId="48485" xr:uid="{00000000-0005-0000-0000-000073BD0000}"/>
    <cellStyle name="Normal 7 2 2 2 3 3 2" xfId="48486" xr:uid="{00000000-0005-0000-0000-000074BD0000}"/>
    <cellStyle name="Normal 7 2 2 2 3 3 2 2" xfId="48487" xr:uid="{00000000-0005-0000-0000-000075BD0000}"/>
    <cellStyle name="Normal 7 2 2 2 3 3 2 2 2" xfId="48488" xr:uid="{00000000-0005-0000-0000-000076BD0000}"/>
    <cellStyle name="Normal 7 2 2 2 3 3 2 2 2 2" xfId="48489" xr:uid="{00000000-0005-0000-0000-000077BD0000}"/>
    <cellStyle name="Normal 7 2 2 2 3 3 2 2 3" xfId="48490" xr:uid="{00000000-0005-0000-0000-000078BD0000}"/>
    <cellStyle name="Normal 7 2 2 2 3 3 2 2 4" xfId="48491" xr:uid="{00000000-0005-0000-0000-000079BD0000}"/>
    <cellStyle name="Normal 7 2 2 2 3 3 2 3" xfId="48492" xr:uid="{00000000-0005-0000-0000-00007ABD0000}"/>
    <cellStyle name="Normal 7 2 2 2 3 3 2 3 2" xfId="48493" xr:uid="{00000000-0005-0000-0000-00007BBD0000}"/>
    <cellStyle name="Normal 7 2 2 2 3 3 2 4" xfId="48494" xr:uid="{00000000-0005-0000-0000-00007CBD0000}"/>
    <cellStyle name="Normal 7 2 2 2 3 3 2 5" xfId="48495" xr:uid="{00000000-0005-0000-0000-00007DBD0000}"/>
    <cellStyle name="Normal 7 2 2 2 3 3 3" xfId="48496" xr:uid="{00000000-0005-0000-0000-00007EBD0000}"/>
    <cellStyle name="Normal 7 2 2 2 3 3 3 2" xfId="48497" xr:uid="{00000000-0005-0000-0000-00007FBD0000}"/>
    <cellStyle name="Normal 7 2 2 2 3 3 3 2 2" xfId="48498" xr:uid="{00000000-0005-0000-0000-000080BD0000}"/>
    <cellStyle name="Normal 7 2 2 2 3 3 3 3" xfId="48499" xr:uid="{00000000-0005-0000-0000-000081BD0000}"/>
    <cellStyle name="Normal 7 2 2 2 3 3 3 3 2" xfId="48500" xr:uid="{00000000-0005-0000-0000-000082BD0000}"/>
    <cellStyle name="Normal 7 2 2 2 3 3 3 4" xfId="48501" xr:uid="{00000000-0005-0000-0000-000083BD0000}"/>
    <cellStyle name="Normal 7 2 2 2 3 3 3 5" xfId="48502" xr:uid="{00000000-0005-0000-0000-000084BD0000}"/>
    <cellStyle name="Normal 7 2 2 2 3 3 4" xfId="48503" xr:uid="{00000000-0005-0000-0000-000085BD0000}"/>
    <cellStyle name="Normal 7 2 2 2 3 3 4 2" xfId="48504" xr:uid="{00000000-0005-0000-0000-000086BD0000}"/>
    <cellStyle name="Normal 7 2 2 2 3 3 5" xfId="48505" xr:uid="{00000000-0005-0000-0000-000087BD0000}"/>
    <cellStyle name="Normal 7 2 2 2 3 3 5 2" xfId="48506" xr:uid="{00000000-0005-0000-0000-000088BD0000}"/>
    <cellStyle name="Normal 7 2 2 2 3 3 6" xfId="48507" xr:uid="{00000000-0005-0000-0000-000089BD0000}"/>
    <cellStyle name="Normal 7 2 2 2 3 3 7" xfId="48508" xr:uid="{00000000-0005-0000-0000-00008ABD0000}"/>
    <cellStyle name="Normal 7 2 2 2 3 4" xfId="48509" xr:uid="{00000000-0005-0000-0000-00008BBD0000}"/>
    <cellStyle name="Normal 7 2 2 2 3 4 2" xfId="48510" xr:uid="{00000000-0005-0000-0000-00008CBD0000}"/>
    <cellStyle name="Normal 7 2 2 2 3 4 2 2" xfId="48511" xr:uid="{00000000-0005-0000-0000-00008DBD0000}"/>
    <cellStyle name="Normal 7 2 2 2 3 4 2 2 2" xfId="48512" xr:uid="{00000000-0005-0000-0000-00008EBD0000}"/>
    <cellStyle name="Normal 7 2 2 2 3 4 2 3" xfId="48513" xr:uid="{00000000-0005-0000-0000-00008FBD0000}"/>
    <cellStyle name="Normal 7 2 2 2 3 4 2 4" xfId="48514" xr:uid="{00000000-0005-0000-0000-000090BD0000}"/>
    <cellStyle name="Normal 7 2 2 2 3 4 3" xfId="48515" xr:uid="{00000000-0005-0000-0000-000091BD0000}"/>
    <cellStyle name="Normal 7 2 2 2 3 4 3 2" xfId="48516" xr:uid="{00000000-0005-0000-0000-000092BD0000}"/>
    <cellStyle name="Normal 7 2 2 2 3 4 4" xfId="48517" xr:uid="{00000000-0005-0000-0000-000093BD0000}"/>
    <cellStyle name="Normal 7 2 2 2 3 4 5" xfId="48518" xr:uid="{00000000-0005-0000-0000-000094BD0000}"/>
    <cellStyle name="Normal 7 2 2 2 3 5" xfId="48519" xr:uid="{00000000-0005-0000-0000-000095BD0000}"/>
    <cellStyle name="Normal 7 2 2 2 3 5 2" xfId="48520" xr:uid="{00000000-0005-0000-0000-000096BD0000}"/>
    <cellStyle name="Normal 7 2 2 2 3 5 2 2" xfId="48521" xr:uid="{00000000-0005-0000-0000-000097BD0000}"/>
    <cellStyle name="Normal 7 2 2 2 3 5 3" xfId="48522" xr:uid="{00000000-0005-0000-0000-000098BD0000}"/>
    <cellStyle name="Normal 7 2 2 2 3 5 3 2" xfId="48523" xr:uid="{00000000-0005-0000-0000-000099BD0000}"/>
    <cellStyle name="Normal 7 2 2 2 3 5 4" xfId="48524" xr:uid="{00000000-0005-0000-0000-00009ABD0000}"/>
    <cellStyle name="Normal 7 2 2 2 3 5 5" xfId="48525" xr:uid="{00000000-0005-0000-0000-00009BBD0000}"/>
    <cellStyle name="Normal 7 2 2 2 3 6" xfId="48526" xr:uid="{00000000-0005-0000-0000-00009CBD0000}"/>
    <cellStyle name="Normal 7 2 2 2 3 6 2" xfId="48527" xr:uid="{00000000-0005-0000-0000-00009DBD0000}"/>
    <cellStyle name="Normal 7 2 2 2 3 7" xfId="48528" xr:uid="{00000000-0005-0000-0000-00009EBD0000}"/>
    <cellStyle name="Normal 7 2 2 2 3 7 2" xfId="48529" xr:uid="{00000000-0005-0000-0000-00009FBD0000}"/>
    <cellStyle name="Normal 7 2 2 2 3 8" xfId="48530" xr:uid="{00000000-0005-0000-0000-0000A0BD0000}"/>
    <cellStyle name="Normal 7 2 2 2 3 9" xfId="48531" xr:uid="{00000000-0005-0000-0000-0000A1BD0000}"/>
    <cellStyle name="Normal 7 2 2 2 4" xfId="48532" xr:uid="{00000000-0005-0000-0000-0000A2BD0000}"/>
    <cellStyle name="Normal 7 2 2 2 4 2" xfId="48533" xr:uid="{00000000-0005-0000-0000-0000A3BD0000}"/>
    <cellStyle name="Normal 7 2 2 2 4 2 2" xfId="48534" xr:uid="{00000000-0005-0000-0000-0000A4BD0000}"/>
    <cellStyle name="Normal 7 2 2 2 4 2 2 2" xfId="48535" xr:uid="{00000000-0005-0000-0000-0000A5BD0000}"/>
    <cellStyle name="Normal 7 2 2 2 4 2 2 2 2" xfId="48536" xr:uid="{00000000-0005-0000-0000-0000A6BD0000}"/>
    <cellStyle name="Normal 7 2 2 2 4 2 2 2 2 2" xfId="48537" xr:uid="{00000000-0005-0000-0000-0000A7BD0000}"/>
    <cellStyle name="Normal 7 2 2 2 4 2 2 2 3" xfId="48538" xr:uid="{00000000-0005-0000-0000-0000A8BD0000}"/>
    <cellStyle name="Normal 7 2 2 2 4 2 2 2 4" xfId="48539" xr:uid="{00000000-0005-0000-0000-0000A9BD0000}"/>
    <cellStyle name="Normal 7 2 2 2 4 2 2 3" xfId="48540" xr:uid="{00000000-0005-0000-0000-0000AABD0000}"/>
    <cellStyle name="Normal 7 2 2 2 4 2 2 3 2" xfId="48541" xr:uid="{00000000-0005-0000-0000-0000ABBD0000}"/>
    <cellStyle name="Normal 7 2 2 2 4 2 2 4" xfId="48542" xr:uid="{00000000-0005-0000-0000-0000ACBD0000}"/>
    <cellStyle name="Normal 7 2 2 2 4 2 2 5" xfId="48543" xr:uid="{00000000-0005-0000-0000-0000ADBD0000}"/>
    <cellStyle name="Normal 7 2 2 2 4 2 3" xfId="48544" xr:uid="{00000000-0005-0000-0000-0000AEBD0000}"/>
    <cellStyle name="Normal 7 2 2 2 4 2 3 2" xfId="48545" xr:uid="{00000000-0005-0000-0000-0000AFBD0000}"/>
    <cellStyle name="Normal 7 2 2 2 4 2 3 2 2" xfId="48546" xr:uid="{00000000-0005-0000-0000-0000B0BD0000}"/>
    <cellStyle name="Normal 7 2 2 2 4 2 3 3" xfId="48547" xr:uid="{00000000-0005-0000-0000-0000B1BD0000}"/>
    <cellStyle name="Normal 7 2 2 2 4 2 3 3 2" xfId="48548" xr:uid="{00000000-0005-0000-0000-0000B2BD0000}"/>
    <cellStyle name="Normal 7 2 2 2 4 2 3 4" xfId="48549" xr:uid="{00000000-0005-0000-0000-0000B3BD0000}"/>
    <cellStyle name="Normal 7 2 2 2 4 2 3 5" xfId="48550" xr:uid="{00000000-0005-0000-0000-0000B4BD0000}"/>
    <cellStyle name="Normal 7 2 2 2 4 2 4" xfId="48551" xr:uid="{00000000-0005-0000-0000-0000B5BD0000}"/>
    <cellStyle name="Normal 7 2 2 2 4 2 4 2" xfId="48552" xr:uid="{00000000-0005-0000-0000-0000B6BD0000}"/>
    <cellStyle name="Normal 7 2 2 2 4 2 5" xfId="48553" xr:uid="{00000000-0005-0000-0000-0000B7BD0000}"/>
    <cellStyle name="Normal 7 2 2 2 4 2 5 2" xfId="48554" xr:uid="{00000000-0005-0000-0000-0000B8BD0000}"/>
    <cellStyle name="Normal 7 2 2 2 4 2 6" xfId="48555" xr:uid="{00000000-0005-0000-0000-0000B9BD0000}"/>
    <cellStyle name="Normal 7 2 2 2 4 2 7" xfId="48556" xr:uid="{00000000-0005-0000-0000-0000BABD0000}"/>
    <cellStyle name="Normal 7 2 2 2 4 3" xfId="48557" xr:uid="{00000000-0005-0000-0000-0000BBBD0000}"/>
    <cellStyle name="Normal 7 2 2 2 4 3 2" xfId="48558" xr:uid="{00000000-0005-0000-0000-0000BCBD0000}"/>
    <cellStyle name="Normal 7 2 2 2 4 3 2 2" xfId="48559" xr:uid="{00000000-0005-0000-0000-0000BDBD0000}"/>
    <cellStyle name="Normal 7 2 2 2 4 3 2 2 2" xfId="48560" xr:uid="{00000000-0005-0000-0000-0000BEBD0000}"/>
    <cellStyle name="Normal 7 2 2 2 4 3 2 3" xfId="48561" xr:uid="{00000000-0005-0000-0000-0000BFBD0000}"/>
    <cellStyle name="Normal 7 2 2 2 4 3 2 4" xfId="48562" xr:uid="{00000000-0005-0000-0000-0000C0BD0000}"/>
    <cellStyle name="Normal 7 2 2 2 4 3 3" xfId="48563" xr:uid="{00000000-0005-0000-0000-0000C1BD0000}"/>
    <cellStyle name="Normal 7 2 2 2 4 3 3 2" xfId="48564" xr:uid="{00000000-0005-0000-0000-0000C2BD0000}"/>
    <cellStyle name="Normal 7 2 2 2 4 3 4" xfId="48565" xr:uid="{00000000-0005-0000-0000-0000C3BD0000}"/>
    <cellStyle name="Normal 7 2 2 2 4 3 5" xfId="48566" xr:uid="{00000000-0005-0000-0000-0000C4BD0000}"/>
    <cellStyle name="Normal 7 2 2 2 4 4" xfId="48567" xr:uid="{00000000-0005-0000-0000-0000C5BD0000}"/>
    <cellStyle name="Normal 7 2 2 2 4 4 2" xfId="48568" xr:uid="{00000000-0005-0000-0000-0000C6BD0000}"/>
    <cellStyle name="Normal 7 2 2 2 4 4 2 2" xfId="48569" xr:uid="{00000000-0005-0000-0000-0000C7BD0000}"/>
    <cellStyle name="Normal 7 2 2 2 4 4 3" xfId="48570" xr:uid="{00000000-0005-0000-0000-0000C8BD0000}"/>
    <cellStyle name="Normal 7 2 2 2 4 4 3 2" xfId="48571" xr:uid="{00000000-0005-0000-0000-0000C9BD0000}"/>
    <cellStyle name="Normal 7 2 2 2 4 4 4" xfId="48572" xr:uid="{00000000-0005-0000-0000-0000CABD0000}"/>
    <cellStyle name="Normal 7 2 2 2 4 4 5" xfId="48573" xr:uid="{00000000-0005-0000-0000-0000CBBD0000}"/>
    <cellStyle name="Normal 7 2 2 2 4 5" xfId="48574" xr:uid="{00000000-0005-0000-0000-0000CCBD0000}"/>
    <cellStyle name="Normal 7 2 2 2 4 5 2" xfId="48575" xr:uid="{00000000-0005-0000-0000-0000CDBD0000}"/>
    <cellStyle name="Normal 7 2 2 2 4 6" xfId="48576" xr:uid="{00000000-0005-0000-0000-0000CEBD0000}"/>
    <cellStyle name="Normal 7 2 2 2 4 6 2" xfId="48577" xr:uid="{00000000-0005-0000-0000-0000CFBD0000}"/>
    <cellStyle name="Normal 7 2 2 2 4 7" xfId="48578" xr:uid="{00000000-0005-0000-0000-0000D0BD0000}"/>
    <cellStyle name="Normal 7 2 2 2 4 8" xfId="48579" xr:uid="{00000000-0005-0000-0000-0000D1BD0000}"/>
    <cellStyle name="Normal 7 2 2 2 5" xfId="48580" xr:uid="{00000000-0005-0000-0000-0000D2BD0000}"/>
    <cellStyle name="Normal 7 2 2 2 5 2" xfId="48581" xr:uid="{00000000-0005-0000-0000-0000D3BD0000}"/>
    <cellStyle name="Normal 7 2 2 2 5 2 2" xfId="48582" xr:uid="{00000000-0005-0000-0000-0000D4BD0000}"/>
    <cellStyle name="Normal 7 2 2 2 5 2 2 2" xfId="48583" xr:uid="{00000000-0005-0000-0000-0000D5BD0000}"/>
    <cellStyle name="Normal 7 2 2 2 5 2 2 2 2" xfId="48584" xr:uid="{00000000-0005-0000-0000-0000D6BD0000}"/>
    <cellStyle name="Normal 7 2 2 2 5 2 2 3" xfId="48585" xr:uid="{00000000-0005-0000-0000-0000D7BD0000}"/>
    <cellStyle name="Normal 7 2 2 2 5 2 2 4" xfId="48586" xr:uid="{00000000-0005-0000-0000-0000D8BD0000}"/>
    <cellStyle name="Normal 7 2 2 2 5 2 3" xfId="48587" xr:uid="{00000000-0005-0000-0000-0000D9BD0000}"/>
    <cellStyle name="Normal 7 2 2 2 5 2 3 2" xfId="48588" xr:uid="{00000000-0005-0000-0000-0000DABD0000}"/>
    <cellStyle name="Normal 7 2 2 2 5 2 4" xfId="48589" xr:uid="{00000000-0005-0000-0000-0000DBBD0000}"/>
    <cellStyle name="Normal 7 2 2 2 5 2 5" xfId="48590" xr:uid="{00000000-0005-0000-0000-0000DCBD0000}"/>
    <cellStyle name="Normal 7 2 2 2 5 3" xfId="48591" xr:uid="{00000000-0005-0000-0000-0000DDBD0000}"/>
    <cellStyle name="Normal 7 2 2 2 5 3 2" xfId="48592" xr:uid="{00000000-0005-0000-0000-0000DEBD0000}"/>
    <cellStyle name="Normal 7 2 2 2 5 3 2 2" xfId="48593" xr:uid="{00000000-0005-0000-0000-0000DFBD0000}"/>
    <cellStyle name="Normal 7 2 2 2 5 3 3" xfId="48594" xr:uid="{00000000-0005-0000-0000-0000E0BD0000}"/>
    <cellStyle name="Normal 7 2 2 2 5 3 3 2" xfId="48595" xr:uid="{00000000-0005-0000-0000-0000E1BD0000}"/>
    <cellStyle name="Normal 7 2 2 2 5 3 4" xfId="48596" xr:uid="{00000000-0005-0000-0000-0000E2BD0000}"/>
    <cellStyle name="Normal 7 2 2 2 5 3 5" xfId="48597" xr:uid="{00000000-0005-0000-0000-0000E3BD0000}"/>
    <cellStyle name="Normal 7 2 2 2 5 4" xfId="48598" xr:uid="{00000000-0005-0000-0000-0000E4BD0000}"/>
    <cellStyle name="Normal 7 2 2 2 5 4 2" xfId="48599" xr:uid="{00000000-0005-0000-0000-0000E5BD0000}"/>
    <cellStyle name="Normal 7 2 2 2 5 5" xfId="48600" xr:uid="{00000000-0005-0000-0000-0000E6BD0000}"/>
    <cellStyle name="Normal 7 2 2 2 5 5 2" xfId="48601" xr:uid="{00000000-0005-0000-0000-0000E7BD0000}"/>
    <cellStyle name="Normal 7 2 2 2 5 6" xfId="48602" xr:uid="{00000000-0005-0000-0000-0000E8BD0000}"/>
    <cellStyle name="Normal 7 2 2 2 5 7" xfId="48603" xr:uid="{00000000-0005-0000-0000-0000E9BD0000}"/>
    <cellStyle name="Normal 7 2 2 2 6" xfId="48604" xr:uid="{00000000-0005-0000-0000-0000EABD0000}"/>
    <cellStyle name="Normal 7 2 2 2 6 2" xfId="48605" xr:uid="{00000000-0005-0000-0000-0000EBBD0000}"/>
    <cellStyle name="Normal 7 2 2 2 6 2 2" xfId="48606" xr:uid="{00000000-0005-0000-0000-0000ECBD0000}"/>
    <cellStyle name="Normal 7 2 2 2 6 2 2 2" xfId="48607" xr:uid="{00000000-0005-0000-0000-0000EDBD0000}"/>
    <cellStyle name="Normal 7 2 2 2 6 2 3" xfId="48608" xr:uid="{00000000-0005-0000-0000-0000EEBD0000}"/>
    <cellStyle name="Normal 7 2 2 2 6 2 4" xfId="48609" xr:uid="{00000000-0005-0000-0000-0000EFBD0000}"/>
    <cellStyle name="Normal 7 2 2 2 6 3" xfId="48610" xr:uid="{00000000-0005-0000-0000-0000F0BD0000}"/>
    <cellStyle name="Normal 7 2 2 2 6 3 2" xfId="48611" xr:uid="{00000000-0005-0000-0000-0000F1BD0000}"/>
    <cellStyle name="Normal 7 2 2 2 6 4" xfId="48612" xr:uid="{00000000-0005-0000-0000-0000F2BD0000}"/>
    <cellStyle name="Normal 7 2 2 2 6 5" xfId="48613" xr:uid="{00000000-0005-0000-0000-0000F3BD0000}"/>
    <cellStyle name="Normal 7 2 2 2 7" xfId="48614" xr:uid="{00000000-0005-0000-0000-0000F4BD0000}"/>
    <cellStyle name="Normal 7 2 2 2 7 2" xfId="48615" xr:uid="{00000000-0005-0000-0000-0000F5BD0000}"/>
    <cellStyle name="Normal 7 2 2 2 7 2 2" xfId="48616" xr:uid="{00000000-0005-0000-0000-0000F6BD0000}"/>
    <cellStyle name="Normal 7 2 2 2 7 3" xfId="48617" xr:uid="{00000000-0005-0000-0000-0000F7BD0000}"/>
    <cellStyle name="Normal 7 2 2 2 7 3 2" xfId="48618" xr:uid="{00000000-0005-0000-0000-0000F8BD0000}"/>
    <cellStyle name="Normal 7 2 2 2 7 4" xfId="48619" xr:uid="{00000000-0005-0000-0000-0000F9BD0000}"/>
    <cellStyle name="Normal 7 2 2 2 7 5" xfId="48620" xr:uid="{00000000-0005-0000-0000-0000FABD0000}"/>
    <cellStyle name="Normal 7 2 2 2 8" xfId="48621" xr:uid="{00000000-0005-0000-0000-0000FBBD0000}"/>
    <cellStyle name="Normal 7 2 2 2 8 2" xfId="48622" xr:uid="{00000000-0005-0000-0000-0000FCBD0000}"/>
    <cellStyle name="Normal 7 2 2 2 9" xfId="48623" xr:uid="{00000000-0005-0000-0000-0000FDBD0000}"/>
    <cellStyle name="Normal 7 2 2 2 9 2" xfId="48624" xr:uid="{00000000-0005-0000-0000-0000FEBD0000}"/>
    <cellStyle name="Normal 7 2 2 3" xfId="48625" xr:uid="{00000000-0005-0000-0000-0000FFBD0000}"/>
    <cellStyle name="Normal 7 2 2 3 10" xfId="48626" xr:uid="{00000000-0005-0000-0000-000000BE0000}"/>
    <cellStyle name="Normal 7 2 2 3 2" xfId="48627" xr:uid="{00000000-0005-0000-0000-000001BE0000}"/>
    <cellStyle name="Normal 7 2 2 3 2 2" xfId="48628" xr:uid="{00000000-0005-0000-0000-000002BE0000}"/>
    <cellStyle name="Normal 7 2 2 3 2 2 2" xfId="48629" xr:uid="{00000000-0005-0000-0000-000003BE0000}"/>
    <cellStyle name="Normal 7 2 2 3 2 2 2 2" xfId="48630" xr:uid="{00000000-0005-0000-0000-000004BE0000}"/>
    <cellStyle name="Normal 7 2 2 3 2 2 2 2 2" xfId="48631" xr:uid="{00000000-0005-0000-0000-000005BE0000}"/>
    <cellStyle name="Normal 7 2 2 3 2 2 2 2 2 2" xfId="48632" xr:uid="{00000000-0005-0000-0000-000006BE0000}"/>
    <cellStyle name="Normal 7 2 2 3 2 2 2 2 2 2 2" xfId="48633" xr:uid="{00000000-0005-0000-0000-000007BE0000}"/>
    <cellStyle name="Normal 7 2 2 3 2 2 2 2 2 3" xfId="48634" xr:uid="{00000000-0005-0000-0000-000008BE0000}"/>
    <cellStyle name="Normal 7 2 2 3 2 2 2 2 2 4" xfId="48635" xr:uid="{00000000-0005-0000-0000-000009BE0000}"/>
    <cellStyle name="Normal 7 2 2 3 2 2 2 2 3" xfId="48636" xr:uid="{00000000-0005-0000-0000-00000ABE0000}"/>
    <cellStyle name="Normal 7 2 2 3 2 2 2 2 3 2" xfId="48637" xr:uid="{00000000-0005-0000-0000-00000BBE0000}"/>
    <cellStyle name="Normal 7 2 2 3 2 2 2 2 4" xfId="48638" xr:uid="{00000000-0005-0000-0000-00000CBE0000}"/>
    <cellStyle name="Normal 7 2 2 3 2 2 2 2 5" xfId="48639" xr:uid="{00000000-0005-0000-0000-00000DBE0000}"/>
    <cellStyle name="Normal 7 2 2 3 2 2 2 3" xfId="48640" xr:uid="{00000000-0005-0000-0000-00000EBE0000}"/>
    <cellStyle name="Normal 7 2 2 3 2 2 2 3 2" xfId="48641" xr:uid="{00000000-0005-0000-0000-00000FBE0000}"/>
    <cellStyle name="Normal 7 2 2 3 2 2 2 3 2 2" xfId="48642" xr:uid="{00000000-0005-0000-0000-000010BE0000}"/>
    <cellStyle name="Normal 7 2 2 3 2 2 2 3 3" xfId="48643" xr:uid="{00000000-0005-0000-0000-000011BE0000}"/>
    <cellStyle name="Normal 7 2 2 3 2 2 2 3 4" xfId="48644" xr:uid="{00000000-0005-0000-0000-000012BE0000}"/>
    <cellStyle name="Normal 7 2 2 3 2 2 2 4" xfId="48645" xr:uid="{00000000-0005-0000-0000-000013BE0000}"/>
    <cellStyle name="Normal 7 2 2 3 2 2 2 4 2" xfId="48646" xr:uid="{00000000-0005-0000-0000-000014BE0000}"/>
    <cellStyle name="Normal 7 2 2 3 2 2 2 5" xfId="48647" xr:uid="{00000000-0005-0000-0000-000015BE0000}"/>
    <cellStyle name="Normal 7 2 2 3 2 2 2 6" xfId="48648" xr:uid="{00000000-0005-0000-0000-000016BE0000}"/>
    <cellStyle name="Normal 7 2 2 3 2 2 3" xfId="48649" xr:uid="{00000000-0005-0000-0000-000017BE0000}"/>
    <cellStyle name="Normal 7 2 2 3 2 2 3 2" xfId="48650" xr:uid="{00000000-0005-0000-0000-000018BE0000}"/>
    <cellStyle name="Normal 7 2 2 3 2 2 3 2 2" xfId="48651" xr:uid="{00000000-0005-0000-0000-000019BE0000}"/>
    <cellStyle name="Normal 7 2 2 3 2 2 3 2 2 2" xfId="48652" xr:uid="{00000000-0005-0000-0000-00001ABE0000}"/>
    <cellStyle name="Normal 7 2 2 3 2 2 3 2 3" xfId="48653" xr:uid="{00000000-0005-0000-0000-00001BBE0000}"/>
    <cellStyle name="Normal 7 2 2 3 2 2 3 2 4" xfId="48654" xr:uid="{00000000-0005-0000-0000-00001CBE0000}"/>
    <cellStyle name="Normal 7 2 2 3 2 2 3 3" xfId="48655" xr:uid="{00000000-0005-0000-0000-00001DBE0000}"/>
    <cellStyle name="Normal 7 2 2 3 2 2 3 3 2" xfId="48656" xr:uid="{00000000-0005-0000-0000-00001EBE0000}"/>
    <cellStyle name="Normal 7 2 2 3 2 2 3 4" xfId="48657" xr:uid="{00000000-0005-0000-0000-00001FBE0000}"/>
    <cellStyle name="Normal 7 2 2 3 2 2 3 5" xfId="48658" xr:uid="{00000000-0005-0000-0000-000020BE0000}"/>
    <cellStyle name="Normal 7 2 2 3 2 2 4" xfId="48659" xr:uid="{00000000-0005-0000-0000-000021BE0000}"/>
    <cellStyle name="Normal 7 2 2 3 2 2 4 2" xfId="48660" xr:uid="{00000000-0005-0000-0000-000022BE0000}"/>
    <cellStyle name="Normal 7 2 2 3 2 2 4 2 2" xfId="48661" xr:uid="{00000000-0005-0000-0000-000023BE0000}"/>
    <cellStyle name="Normal 7 2 2 3 2 2 4 3" xfId="48662" xr:uid="{00000000-0005-0000-0000-000024BE0000}"/>
    <cellStyle name="Normal 7 2 2 3 2 2 4 4" xfId="48663" xr:uid="{00000000-0005-0000-0000-000025BE0000}"/>
    <cellStyle name="Normal 7 2 2 3 2 2 5" xfId="48664" xr:uid="{00000000-0005-0000-0000-000026BE0000}"/>
    <cellStyle name="Normal 7 2 2 3 2 2 5 2" xfId="48665" xr:uid="{00000000-0005-0000-0000-000027BE0000}"/>
    <cellStyle name="Normal 7 2 2 3 2 2 6" xfId="48666" xr:uid="{00000000-0005-0000-0000-000028BE0000}"/>
    <cellStyle name="Normal 7 2 2 3 2 2 7" xfId="48667" xr:uid="{00000000-0005-0000-0000-000029BE0000}"/>
    <cellStyle name="Normal 7 2 2 3 2 3" xfId="48668" xr:uid="{00000000-0005-0000-0000-00002ABE0000}"/>
    <cellStyle name="Normal 7 2 2 3 2 3 2" xfId="48669" xr:uid="{00000000-0005-0000-0000-00002BBE0000}"/>
    <cellStyle name="Normal 7 2 2 3 2 3 2 2" xfId="48670" xr:uid="{00000000-0005-0000-0000-00002CBE0000}"/>
    <cellStyle name="Normal 7 2 2 3 2 3 2 2 2" xfId="48671" xr:uid="{00000000-0005-0000-0000-00002DBE0000}"/>
    <cellStyle name="Normal 7 2 2 3 2 3 2 2 2 2" xfId="48672" xr:uid="{00000000-0005-0000-0000-00002EBE0000}"/>
    <cellStyle name="Normal 7 2 2 3 2 3 2 2 3" xfId="48673" xr:uid="{00000000-0005-0000-0000-00002FBE0000}"/>
    <cellStyle name="Normal 7 2 2 3 2 3 2 2 4" xfId="48674" xr:uid="{00000000-0005-0000-0000-000030BE0000}"/>
    <cellStyle name="Normal 7 2 2 3 2 3 2 3" xfId="48675" xr:uid="{00000000-0005-0000-0000-000031BE0000}"/>
    <cellStyle name="Normal 7 2 2 3 2 3 2 3 2" xfId="48676" xr:uid="{00000000-0005-0000-0000-000032BE0000}"/>
    <cellStyle name="Normal 7 2 2 3 2 3 2 4" xfId="48677" xr:uid="{00000000-0005-0000-0000-000033BE0000}"/>
    <cellStyle name="Normal 7 2 2 3 2 3 2 5" xfId="48678" xr:uid="{00000000-0005-0000-0000-000034BE0000}"/>
    <cellStyle name="Normal 7 2 2 3 2 3 3" xfId="48679" xr:uid="{00000000-0005-0000-0000-000035BE0000}"/>
    <cellStyle name="Normal 7 2 2 3 2 3 3 2" xfId="48680" xr:uid="{00000000-0005-0000-0000-000036BE0000}"/>
    <cellStyle name="Normal 7 2 2 3 2 3 3 2 2" xfId="48681" xr:uid="{00000000-0005-0000-0000-000037BE0000}"/>
    <cellStyle name="Normal 7 2 2 3 2 3 3 3" xfId="48682" xr:uid="{00000000-0005-0000-0000-000038BE0000}"/>
    <cellStyle name="Normal 7 2 2 3 2 3 3 3 2" xfId="48683" xr:uid="{00000000-0005-0000-0000-000039BE0000}"/>
    <cellStyle name="Normal 7 2 2 3 2 3 3 4" xfId="48684" xr:uid="{00000000-0005-0000-0000-00003ABE0000}"/>
    <cellStyle name="Normal 7 2 2 3 2 3 3 5" xfId="48685" xr:uid="{00000000-0005-0000-0000-00003BBE0000}"/>
    <cellStyle name="Normal 7 2 2 3 2 3 4" xfId="48686" xr:uid="{00000000-0005-0000-0000-00003CBE0000}"/>
    <cellStyle name="Normal 7 2 2 3 2 3 4 2" xfId="48687" xr:uid="{00000000-0005-0000-0000-00003DBE0000}"/>
    <cellStyle name="Normal 7 2 2 3 2 3 5" xfId="48688" xr:uid="{00000000-0005-0000-0000-00003EBE0000}"/>
    <cellStyle name="Normal 7 2 2 3 2 3 5 2" xfId="48689" xr:uid="{00000000-0005-0000-0000-00003FBE0000}"/>
    <cellStyle name="Normal 7 2 2 3 2 3 6" xfId="48690" xr:uid="{00000000-0005-0000-0000-000040BE0000}"/>
    <cellStyle name="Normal 7 2 2 3 2 3 7" xfId="48691" xr:uid="{00000000-0005-0000-0000-000041BE0000}"/>
    <cellStyle name="Normal 7 2 2 3 2 4" xfId="48692" xr:uid="{00000000-0005-0000-0000-000042BE0000}"/>
    <cellStyle name="Normal 7 2 2 3 2 4 2" xfId="48693" xr:uid="{00000000-0005-0000-0000-000043BE0000}"/>
    <cellStyle name="Normal 7 2 2 3 2 4 2 2" xfId="48694" xr:uid="{00000000-0005-0000-0000-000044BE0000}"/>
    <cellStyle name="Normal 7 2 2 3 2 4 2 2 2" xfId="48695" xr:uid="{00000000-0005-0000-0000-000045BE0000}"/>
    <cellStyle name="Normal 7 2 2 3 2 4 2 3" xfId="48696" xr:uid="{00000000-0005-0000-0000-000046BE0000}"/>
    <cellStyle name="Normal 7 2 2 3 2 4 2 4" xfId="48697" xr:uid="{00000000-0005-0000-0000-000047BE0000}"/>
    <cellStyle name="Normal 7 2 2 3 2 4 3" xfId="48698" xr:uid="{00000000-0005-0000-0000-000048BE0000}"/>
    <cellStyle name="Normal 7 2 2 3 2 4 3 2" xfId="48699" xr:uid="{00000000-0005-0000-0000-000049BE0000}"/>
    <cellStyle name="Normal 7 2 2 3 2 4 4" xfId="48700" xr:uid="{00000000-0005-0000-0000-00004ABE0000}"/>
    <cellStyle name="Normal 7 2 2 3 2 4 5" xfId="48701" xr:uid="{00000000-0005-0000-0000-00004BBE0000}"/>
    <cellStyle name="Normal 7 2 2 3 2 5" xfId="48702" xr:uid="{00000000-0005-0000-0000-00004CBE0000}"/>
    <cellStyle name="Normal 7 2 2 3 2 5 2" xfId="48703" xr:uid="{00000000-0005-0000-0000-00004DBE0000}"/>
    <cellStyle name="Normal 7 2 2 3 2 5 2 2" xfId="48704" xr:uid="{00000000-0005-0000-0000-00004EBE0000}"/>
    <cellStyle name="Normal 7 2 2 3 2 5 3" xfId="48705" xr:uid="{00000000-0005-0000-0000-00004FBE0000}"/>
    <cellStyle name="Normal 7 2 2 3 2 5 3 2" xfId="48706" xr:uid="{00000000-0005-0000-0000-000050BE0000}"/>
    <cellStyle name="Normal 7 2 2 3 2 5 4" xfId="48707" xr:uid="{00000000-0005-0000-0000-000051BE0000}"/>
    <cellStyle name="Normal 7 2 2 3 2 5 5" xfId="48708" xr:uid="{00000000-0005-0000-0000-000052BE0000}"/>
    <cellStyle name="Normal 7 2 2 3 2 6" xfId="48709" xr:uid="{00000000-0005-0000-0000-000053BE0000}"/>
    <cellStyle name="Normal 7 2 2 3 2 6 2" xfId="48710" xr:uid="{00000000-0005-0000-0000-000054BE0000}"/>
    <cellStyle name="Normal 7 2 2 3 2 7" xfId="48711" xr:uid="{00000000-0005-0000-0000-000055BE0000}"/>
    <cellStyle name="Normal 7 2 2 3 2 7 2" xfId="48712" xr:uid="{00000000-0005-0000-0000-000056BE0000}"/>
    <cellStyle name="Normal 7 2 2 3 2 8" xfId="48713" xr:uid="{00000000-0005-0000-0000-000057BE0000}"/>
    <cellStyle name="Normal 7 2 2 3 2 9" xfId="48714" xr:uid="{00000000-0005-0000-0000-000058BE0000}"/>
    <cellStyle name="Normal 7 2 2 3 3" xfId="48715" xr:uid="{00000000-0005-0000-0000-000059BE0000}"/>
    <cellStyle name="Normal 7 2 2 3 3 2" xfId="48716" xr:uid="{00000000-0005-0000-0000-00005ABE0000}"/>
    <cellStyle name="Normal 7 2 2 3 3 2 2" xfId="48717" xr:uid="{00000000-0005-0000-0000-00005BBE0000}"/>
    <cellStyle name="Normal 7 2 2 3 3 2 2 2" xfId="48718" xr:uid="{00000000-0005-0000-0000-00005CBE0000}"/>
    <cellStyle name="Normal 7 2 2 3 3 2 2 2 2" xfId="48719" xr:uid="{00000000-0005-0000-0000-00005DBE0000}"/>
    <cellStyle name="Normal 7 2 2 3 3 2 2 2 2 2" xfId="48720" xr:uid="{00000000-0005-0000-0000-00005EBE0000}"/>
    <cellStyle name="Normal 7 2 2 3 3 2 2 2 3" xfId="48721" xr:uid="{00000000-0005-0000-0000-00005FBE0000}"/>
    <cellStyle name="Normal 7 2 2 3 3 2 2 2 4" xfId="48722" xr:uid="{00000000-0005-0000-0000-000060BE0000}"/>
    <cellStyle name="Normal 7 2 2 3 3 2 2 3" xfId="48723" xr:uid="{00000000-0005-0000-0000-000061BE0000}"/>
    <cellStyle name="Normal 7 2 2 3 3 2 2 3 2" xfId="48724" xr:uid="{00000000-0005-0000-0000-000062BE0000}"/>
    <cellStyle name="Normal 7 2 2 3 3 2 2 4" xfId="48725" xr:uid="{00000000-0005-0000-0000-000063BE0000}"/>
    <cellStyle name="Normal 7 2 2 3 3 2 2 5" xfId="48726" xr:uid="{00000000-0005-0000-0000-000064BE0000}"/>
    <cellStyle name="Normal 7 2 2 3 3 2 3" xfId="48727" xr:uid="{00000000-0005-0000-0000-000065BE0000}"/>
    <cellStyle name="Normal 7 2 2 3 3 2 3 2" xfId="48728" xr:uid="{00000000-0005-0000-0000-000066BE0000}"/>
    <cellStyle name="Normal 7 2 2 3 3 2 3 2 2" xfId="48729" xr:uid="{00000000-0005-0000-0000-000067BE0000}"/>
    <cellStyle name="Normal 7 2 2 3 3 2 3 3" xfId="48730" xr:uid="{00000000-0005-0000-0000-000068BE0000}"/>
    <cellStyle name="Normal 7 2 2 3 3 2 3 3 2" xfId="48731" xr:uid="{00000000-0005-0000-0000-000069BE0000}"/>
    <cellStyle name="Normal 7 2 2 3 3 2 3 4" xfId="48732" xr:uid="{00000000-0005-0000-0000-00006ABE0000}"/>
    <cellStyle name="Normal 7 2 2 3 3 2 3 5" xfId="48733" xr:uid="{00000000-0005-0000-0000-00006BBE0000}"/>
    <cellStyle name="Normal 7 2 2 3 3 2 4" xfId="48734" xr:uid="{00000000-0005-0000-0000-00006CBE0000}"/>
    <cellStyle name="Normal 7 2 2 3 3 2 4 2" xfId="48735" xr:uid="{00000000-0005-0000-0000-00006DBE0000}"/>
    <cellStyle name="Normal 7 2 2 3 3 2 5" xfId="48736" xr:uid="{00000000-0005-0000-0000-00006EBE0000}"/>
    <cellStyle name="Normal 7 2 2 3 3 2 5 2" xfId="48737" xr:uid="{00000000-0005-0000-0000-00006FBE0000}"/>
    <cellStyle name="Normal 7 2 2 3 3 2 6" xfId="48738" xr:uid="{00000000-0005-0000-0000-000070BE0000}"/>
    <cellStyle name="Normal 7 2 2 3 3 2 7" xfId="48739" xr:uid="{00000000-0005-0000-0000-000071BE0000}"/>
    <cellStyle name="Normal 7 2 2 3 3 3" xfId="48740" xr:uid="{00000000-0005-0000-0000-000072BE0000}"/>
    <cellStyle name="Normal 7 2 2 3 3 3 2" xfId="48741" xr:uid="{00000000-0005-0000-0000-000073BE0000}"/>
    <cellStyle name="Normal 7 2 2 3 3 3 2 2" xfId="48742" xr:uid="{00000000-0005-0000-0000-000074BE0000}"/>
    <cellStyle name="Normal 7 2 2 3 3 3 2 2 2" xfId="48743" xr:uid="{00000000-0005-0000-0000-000075BE0000}"/>
    <cellStyle name="Normal 7 2 2 3 3 3 2 3" xfId="48744" xr:uid="{00000000-0005-0000-0000-000076BE0000}"/>
    <cellStyle name="Normal 7 2 2 3 3 3 2 4" xfId="48745" xr:uid="{00000000-0005-0000-0000-000077BE0000}"/>
    <cellStyle name="Normal 7 2 2 3 3 3 3" xfId="48746" xr:uid="{00000000-0005-0000-0000-000078BE0000}"/>
    <cellStyle name="Normal 7 2 2 3 3 3 3 2" xfId="48747" xr:uid="{00000000-0005-0000-0000-000079BE0000}"/>
    <cellStyle name="Normal 7 2 2 3 3 3 4" xfId="48748" xr:uid="{00000000-0005-0000-0000-00007ABE0000}"/>
    <cellStyle name="Normal 7 2 2 3 3 3 5" xfId="48749" xr:uid="{00000000-0005-0000-0000-00007BBE0000}"/>
    <cellStyle name="Normal 7 2 2 3 3 4" xfId="48750" xr:uid="{00000000-0005-0000-0000-00007CBE0000}"/>
    <cellStyle name="Normal 7 2 2 3 3 4 2" xfId="48751" xr:uid="{00000000-0005-0000-0000-00007DBE0000}"/>
    <cellStyle name="Normal 7 2 2 3 3 4 2 2" xfId="48752" xr:uid="{00000000-0005-0000-0000-00007EBE0000}"/>
    <cellStyle name="Normal 7 2 2 3 3 4 3" xfId="48753" xr:uid="{00000000-0005-0000-0000-00007FBE0000}"/>
    <cellStyle name="Normal 7 2 2 3 3 4 3 2" xfId="48754" xr:uid="{00000000-0005-0000-0000-000080BE0000}"/>
    <cellStyle name="Normal 7 2 2 3 3 4 4" xfId="48755" xr:uid="{00000000-0005-0000-0000-000081BE0000}"/>
    <cellStyle name="Normal 7 2 2 3 3 4 5" xfId="48756" xr:uid="{00000000-0005-0000-0000-000082BE0000}"/>
    <cellStyle name="Normal 7 2 2 3 3 5" xfId="48757" xr:uid="{00000000-0005-0000-0000-000083BE0000}"/>
    <cellStyle name="Normal 7 2 2 3 3 5 2" xfId="48758" xr:uid="{00000000-0005-0000-0000-000084BE0000}"/>
    <cellStyle name="Normal 7 2 2 3 3 6" xfId="48759" xr:uid="{00000000-0005-0000-0000-000085BE0000}"/>
    <cellStyle name="Normal 7 2 2 3 3 6 2" xfId="48760" xr:uid="{00000000-0005-0000-0000-000086BE0000}"/>
    <cellStyle name="Normal 7 2 2 3 3 7" xfId="48761" xr:uid="{00000000-0005-0000-0000-000087BE0000}"/>
    <cellStyle name="Normal 7 2 2 3 3 8" xfId="48762" xr:uid="{00000000-0005-0000-0000-000088BE0000}"/>
    <cellStyle name="Normal 7 2 2 3 4" xfId="48763" xr:uid="{00000000-0005-0000-0000-000089BE0000}"/>
    <cellStyle name="Normal 7 2 2 3 4 2" xfId="48764" xr:uid="{00000000-0005-0000-0000-00008ABE0000}"/>
    <cellStyle name="Normal 7 2 2 3 4 2 2" xfId="48765" xr:uid="{00000000-0005-0000-0000-00008BBE0000}"/>
    <cellStyle name="Normal 7 2 2 3 4 2 2 2" xfId="48766" xr:uid="{00000000-0005-0000-0000-00008CBE0000}"/>
    <cellStyle name="Normal 7 2 2 3 4 2 2 2 2" xfId="48767" xr:uid="{00000000-0005-0000-0000-00008DBE0000}"/>
    <cellStyle name="Normal 7 2 2 3 4 2 2 3" xfId="48768" xr:uid="{00000000-0005-0000-0000-00008EBE0000}"/>
    <cellStyle name="Normal 7 2 2 3 4 2 2 4" xfId="48769" xr:uid="{00000000-0005-0000-0000-00008FBE0000}"/>
    <cellStyle name="Normal 7 2 2 3 4 2 3" xfId="48770" xr:uid="{00000000-0005-0000-0000-000090BE0000}"/>
    <cellStyle name="Normal 7 2 2 3 4 2 3 2" xfId="48771" xr:uid="{00000000-0005-0000-0000-000091BE0000}"/>
    <cellStyle name="Normal 7 2 2 3 4 2 4" xfId="48772" xr:uid="{00000000-0005-0000-0000-000092BE0000}"/>
    <cellStyle name="Normal 7 2 2 3 4 2 5" xfId="48773" xr:uid="{00000000-0005-0000-0000-000093BE0000}"/>
    <cellStyle name="Normal 7 2 2 3 4 3" xfId="48774" xr:uid="{00000000-0005-0000-0000-000094BE0000}"/>
    <cellStyle name="Normal 7 2 2 3 4 3 2" xfId="48775" xr:uid="{00000000-0005-0000-0000-000095BE0000}"/>
    <cellStyle name="Normal 7 2 2 3 4 3 2 2" xfId="48776" xr:uid="{00000000-0005-0000-0000-000096BE0000}"/>
    <cellStyle name="Normal 7 2 2 3 4 3 3" xfId="48777" xr:uid="{00000000-0005-0000-0000-000097BE0000}"/>
    <cellStyle name="Normal 7 2 2 3 4 3 3 2" xfId="48778" xr:uid="{00000000-0005-0000-0000-000098BE0000}"/>
    <cellStyle name="Normal 7 2 2 3 4 3 4" xfId="48779" xr:uid="{00000000-0005-0000-0000-000099BE0000}"/>
    <cellStyle name="Normal 7 2 2 3 4 3 5" xfId="48780" xr:uid="{00000000-0005-0000-0000-00009ABE0000}"/>
    <cellStyle name="Normal 7 2 2 3 4 4" xfId="48781" xr:uid="{00000000-0005-0000-0000-00009BBE0000}"/>
    <cellStyle name="Normal 7 2 2 3 4 4 2" xfId="48782" xr:uid="{00000000-0005-0000-0000-00009CBE0000}"/>
    <cellStyle name="Normal 7 2 2 3 4 5" xfId="48783" xr:uid="{00000000-0005-0000-0000-00009DBE0000}"/>
    <cellStyle name="Normal 7 2 2 3 4 5 2" xfId="48784" xr:uid="{00000000-0005-0000-0000-00009EBE0000}"/>
    <cellStyle name="Normal 7 2 2 3 4 6" xfId="48785" xr:uid="{00000000-0005-0000-0000-00009FBE0000}"/>
    <cellStyle name="Normal 7 2 2 3 4 7" xfId="48786" xr:uid="{00000000-0005-0000-0000-0000A0BE0000}"/>
    <cellStyle name="Normal 7 2 2 3 5" xfId="48787" xr:uid="{00000000-0005-0000-0000-0000A1BE0000}"/>
    <cellStyle name="Normal 7 2 2 3 5 2" xfId="48788" xr:uid="{00000000-0005-0000-0000-0000A2BE0000}"/>
    <cellStyle name="Normal 7 2 2 3 5 2 2" xfId="48789" xr:uid="{00000000-0005-0000-0000-0000A3BE0000}"/>
    <cellStyle name="Normal 7 2 2 3 5 2 2 2" xfId="48790" xr:uid="{00000000-0005-0000-0000-0000A4BE0000}"/>
    <cellStyle name="Normal 7 2 2 3 5 2 3" xfId="48791" xr:uid="{00000000-0005-0000-0000-0000A5BE0000}"/>
    <cellStyle name="Normal 7 2 2 3 5 2 4" xfId="48792" xr:uid="{00000000-0005-0000-0000-0000A6BE0000}"/>
    <cellStyle name="Normal 7 2 2 3 5 3" xfId="48793" xr:uid="{00000000-0005-0000-0000-0000A7BE0000}"/>
    <cellStyle name="Normal 7 2 2 3 5 3 2" xfId="48794" xr:uid="{00000000-0005-0000-0000-0000A8BE0000}"/>
    <cellStyle name="Normal 7 2 2 3 5 4" xfId="48795" xr:uid="{00000000-0005-0000-0000-0000A9BE0000}"/>
    <cellStyle name="Normal 7 2 2 3 5 5" xfId="48796" xr:uid="{00000000-0005-0000-0000-0000AABE0000}"/>
    <cellStyle name="Normal 7 2 2 3 6" xfId="48797" xr:uid="{00000000-0005-0000-0000-0000ABBE0000}"/>
    <cellStyle name="Normal 7 2 2 3 6 2" xfId="48798" xr:uid="{00000000-0005-0000-0000-0000ACBE0000}"/>
    <cellStyle name="Normal 7 2 2 3 6 2 2" xfId="48799" xr:uid="{00000000-0005-0000-0000-0000ADBE0000}"/>
    <cellStyle name="Normal 7 2 2 3 6 3" xfId="48800" xr:uid="{00000000-0005-0000-0000-0000AEBE0000}"/>
    <cellStyle name="Normal 7 2 2 3 6 3 2" xfId="48801" xr:uid="{00000000-0005-0000-0000-0000AFBE0000}"/>
    <cellStyle name="Normal 7 2 2 3 6 4" xfId="48802" xr:uid="{00000000-0005-0000-0000-0000B0BE0000}"/>
    <cellStyle name="Normal 7 2 2 3 6 5" xfId="48803" xr:uid="{00000000-0005-0000-0000-0000B1BE0000}"/>
    <cellStyle name="Normal 7 2 2 3 7" xfId="48804" xr:uid="{00000000-0005-0000-0000-0000B2BE0000}"/>
    <cellStyle name="Normal 7 2 2 3 7 2" xfId="48805" xr:uid="{00000000-0005-0000-0000-0000B3BE0000}"/>
    <cellStyle name="Normal 7 2 2 3 8" xfId="48806" xr:uid="{00000000-0005-0000-0000-0000B4BE0000}"/>
    <cellStyle name="Normal 7 2 2 3 8 2" xfId="48807" xr:uid="{00000000-0005-0000-0000-0000B5BE0000}"/>
    <cellStyle name="Normal 7 2 2 3 9" xfId="48808" xr:uid="{00000000-0005-0000-0000-0000B6BE0000}"/>
    <cellStyle name="Normal 7 2 2 4" xfId="48809" xr:uid="{00000000-0005-0000-0000-0000B7BE0000}"/>
    <cellStyle name="Normal 7 2 2 4 2" xfId="48810" xr:uid="{00000000-0005-0000-0000-0000B8BE0000}"/>
    <cellStyle name="Normal 7 2 2 4 2 2" xfId="48811" xr:uid="{00000000-0005-0000-0000-0000B9BE0000}"/>
    <cellStyle name="Normal 7 2 2 4 2 2 2" xfId="48812" xr:uid="{00000000-0005-0000-0000-0000BABE0000}"/>
    <cellStyle name="Normal 7 2 2 4 2 2 2 2" xfId="48813" xr:uid="{00000000-0005-0000-0000-0000BBBE0000}"/>
    <cellStyle name="Normal 7 2 2 4 2 2 2 2 2" xfId="48814" xr:uid="{00000000-0005-0000-0000-0000BCBE0000}"/>
    <cellStyle name="Normal 7 2 2 4 2 2 2 2 2 2" xfId="48815" xr:uid="{00000000-0005-0000-0000-0000BDBE0000}"/>
    <cellStyle name="Normal 7 2 2 4 2 2 2 2 3" xfId="48816" xr:uid="{00000000-0005-0000-0000-0000BEBE0000}"/>
    <cellStyle name="Normal 7 2 2 4 2 2 2 2 4" xfId="48817" xr:uid="{00000000-0005-0000-0000-0000BFBE0000}"/>
    <cellStyle name="Normal 7 2 2 4 2 2 2 3" xfId="48818" xr:uid="{00000000-0005-0000-0000-0000C0BE0000}"/>
    <cellStyle name="Normal 7 2 2 4 2 2 2 3 2" xfId="48819" xr:uid="{00000000-0005-0000-0000-0000C1BE0000}"/>
    <cellStyle name="Normal 7 2 2 4 2 2 2 4" xfId="48820" xr:uid="{00000000-0005-0000-0000-0000C2BE0000}"/>
    <cellStyle name="Normal 7 2 2 4 2 2 2 5" xfId="48821" xr:uid="{00000000-0005-0000-0000-0000C3BE0000}"/>
    <cellStyle name="Normal 7 2 2 4 2 2 3" xfId="48822" xr:uid="{00000000-0005-0000-0000-0000C4BE0000}"/>
    <cellStyle name="Normal 7 2 2 4 2 2 3 2" xfId="48823" xr:uid="{00000000-0005-0000-0000-0000C5BE0000}"/>
    <cellStyle name="Normal 7 2 2 4 2 2 3 2 2" xfId="48824" xr:uid="{00000000-0005-0000-0000-0000C6BE0000}"/>
    <cellStyle name="Normal 7 2 2 4 2 2 3 3" xfId="48825" xr:uid="{00000000-0005-0000-0000-0000C7BE0000}"/>
    <cellStyle name="Normal 7 2 2 4 2 2 3 4" xfId="48826" xr:uid="{00000000-0005-0000-0000-0000C8BE0000}"/>
    <cellStyle name="Normal 7 2 2 4 2 2 4" xfId="48827" xr:uid="{00000000-0005-0000-0000-0000C9BE0000}"/>
    <cellStyle name="Normal 7 2 2 4 2 2 4 2" xfId="48828" xr:uid="{00000000-0005-0000-0000-0000CABE0000}"/>
    <cellStyle name="Normal 7 2 2 4 2 2 5" xfId="48829" xr:uid="{00000000-0005-0000-0000-0000CBBE0000}"/>
    <cellStyle name="Normal 7 2 2 4 2 2 6" xfId="48830" xr:uid="{00000000-0005-0000-0000-0000CCBE0000}"/>
    <cellStyle name="Normal 7 2 2 4 2 3" xfId="48831" xr:uid="{00000000-0005-0000-0000-0000CDBE0000}"/>
    <cellStyle name="Normal 7 2 2 4 2 3 2" xfId="48832" xr:uid="{00000000-0005-0000-0000-0000CEBE0000}"/>
    <cellStyle name="Normal 7 2 2 4 2 3 2 2" xfId="48833" xr:uid="{00000000-0005-0000-0000-0000CFBE0000}"/>
    <cellStyle name="Normal 7 2 2 4 2 3 2 2 2" xfId="48834" xr:uid="{00000000-0005-0000-0000-0000D0BE0000}"/>
    <cellStyle name="Normal 7 2 2 4 2 3 2 3" xfId="48835" xr:uid="{00000000-0005-0000-0000-0000D1BE0000}"/>
    <cellStyle name="Normal 7 2 2 4 2 3 2 4" xfId="48836" xr:uid="{00000000-0005-0000-0000-0000D2BE0000}"/>
    <cellStyle name="Normal 7 2 2 4 2 3 3" xfId="48837" xr:uid="{00000000-0005-0000-0000-0000D3BE0000}"/>
    <cellStyle name="Normal 7 2 2 4 2 3 3 2" xfId="48838" xr:uid="{00000000-0005-0000-0000-0000D4BE0000}"/>
    <cellStyle name="Normal 7 2 2 4 2 3 4" xfId="48839" xr:uid="{00000000-0005-0000-0000-0000D5BE0000}"/>
    <cellStyle name="Normal 7 2 2 4 2 3 5" xfId="48840" xr:uid="{00000000-0005-0000-0000-0000D6BE0000}"/>
    <cellStyle name="Normal 7 2 2 4 2 4" xfId="48841" xr:uid="{00000000-0005-0000-0000-0000D7BE0000}"/>
    <cellStyle name="Normal 7 2 2 4 2 4 2" xfId="48842" xr:uid="{00000000-0005-0000-0000-0000D8BE0000}"/>
    <cellStyle name="Normal 7 2 2 4 2 4 2 2" xfId="48843" xr:uid="{00000000-0005-0000-0000-0000D9BE0000}"/>
    <cellStyle name="Normal 7 2 2 4 2 4 3" xfId="48844" xr:uid="{00000000-0005-0000-0000-0000DABE0000}"/>
    <cellStyle name="Normal 7 2 2 4 2 4 4" xfId="48845" xr:uid="{00000000-0005-0000-0000-0000DBBE0000}"/>
    <cellStyle name="Normal 7 2 2 4 2 5" xfId="48846" xr:uid="{00000000-0005-0000-0000-0000DCBE0000}"/>
    <cellStyle name="Normal 7 2 2 4 2 5 2" xfId="48847" xr:uid="{00000000-0005-0000-0000-0000DDBE0000}"/>
    <cellStyle name="Normal 7 2 2 4 2 6" xfId="48848" xr:uid="{00000000-0005-0000-0000-0000DEBE0000}"/>
    <cellStyle name="Normal 7 2 2 4 2 7" xfId="48849" xr:uid="{00000000-0005-0000-0000-0000DFBE0000}"/>
    <cellStyle name="Normal 7 2 2 4 3" xfId="48850" xr:uid="{00000000-0005-0000-0000-0000E0BE0000}"/>
    <cellStyle name="Normal 7 2 2 4 3 2" xfId="48851" xr:uid="{00000000-0005-0000-0000-0000E1BE0000}"/>
    <cellStyle name="Normal 7 2 2 4 3 2 2" xfId="48852" xr:uid="{00000000-0005-0000-0000-0000E2BE0000}"/>
    <cellStyle name="Normal 7 2 2 4 3 2 2 2" xfId="48853" xr:uid="{00000000-0005-0000-0000-0000E3BE0000}"/>
    <cellStyle name="Normal 7 2 2 4 3 2 2 2 2" xfId="48854" xr:uid="{00000000-0005-0000-0000-0000E4BE0000}"/>
    <cellStyle name="Normal 7 2 2 4 3 2 2 3" xfId="48855" xr:uid="{00000000-0005-0000-0000-0000E5BE0000}"/>
    <cellStyle name="Normal 7 2 2 4 3 2 2 4" xfId="48856" xr:uid="{00000000-0005-0000-0000-0000E6BE0000}"/>
    <cellStyle name="Normal 7 2 2 4 3 2 3" xfId="48857" xr:uid="{00000000-0005-0000-0000-0000E7BE0000}"/>
    <cellStyle name="Normal 7 2 2 4 3 2 3 2" xfId="48858" xr:uid="{00000000-0005-0000-0000-0000E8BE0000}"/>
    <cellStyle name="Normal 7 2 2 4 3 2 4" xfId="48859" xr:uid="{00000000-0005-0000-0000-0000E9BE0000}"/>
    <cellStyle name="Normal 7 2 2 4 3 2 5" xfId="48860" xr:uid="{00000000-0005-0000-0000-0000EABE0000}"/>
    <cellStyle name="Normal 7 2 2 4 3 3" xfId="48861" xr:uid="{00000000-0005-0000-0000-0000EBBE0000}"/>
    <cellStyle name="Normal 7 2 2 4 3 3 2" xfId="48862" xr:uid="{00000000-0005-0000-0000-0000ECBE0000}"/>
    <cellStyle name="Normal 7 2 2 4 3 3 2 2" xfId="48863" xr:uid="{00000000-0005-0000-0000-0000EDBE0000}"/>
    <cellStyle name="Normal 7 2 2 4 3 3 3" xfId="48864" xr:uid="{00000000-0005-0000-0000-0000EEBE0000}"/>
    <cellStyle name="Normal 7 2 2 4 3 3 3 2" xfId="48865" xr:uid="{00000000-0005-0000-0000-0000EFBE0000}"/>
    <cellStyle name="Normal 7 2 2 4 3 3 4" xfId="48866" xr:uid="{00000000-0005-0000-0000-0000F0BE0000}"/>
    <cellStyle name="Normal 7 2 2 4 3 3 5" xfId="48867" xr:uid="{00000000-0005-0000-0000-0000F1BE0000}"/>
    <cellStyle name="Normal 7 2 2 4 3 4" xfId="48868" xr:uid="{00000000-0005-0000-0000-0000F2BE0000}"/>
    <cellStyle name="Normal 7 2 2 4 3 4 2" xfId="48869" xr:uid="{00000000-0005-0000-0000-0000F3BE0000}"/>
    <cellStyle name="Normal 7 2 2 4 3 5" xfId="48870" xr:uid="{00000000-0005-0000-0000-0000F4BE0000}"/>
    <cellStyle name="Normal 7 2 2 4 3 5 2" xfId="48871" xr:uid="{00000000-0005-0000-0000-0000F5BE0000}"/>
    <cellStyle name="Normal 7 2 2 4 3 6" xfId="48872" xr:uid="{00000000-0005-0000-0000-0000F6BE0000}"/>
    <cellStyle name="Normal 7 2 2 4 3 7" xfId="48873" xr:uid="{00000000-0005-0000-0000-0000F7BE0000}"/>
    <cellStyle name="Normal 7 2 2 4 4" xfId="48874" xr:uid="{00000000-0005-0000-0000-0000F8BE0000}"/>
    <cellStyle name="Normal 7 2 2 4 4 2" xfId="48875" xr:uid="{00000000-0005-0000-0000-0000F9BE0000}"/>
    <cellStyle name="Normal 7 2 2 4 4 2 2" xfId="48876" xr:uid="{00000000-0005-0000-0000-0000FABE0000}"/>
    <cellStyle name="Normal 7 2 2 4 4 2 2 2" xfId="48877" xr:uid="{00000000-0005-0000-0000-0000FBBE0000}"/>
    <cellStyle name="Normal 7 2 2 4 4 2 3" xfId="48878" xr:uid="{00000000-0005-0000-0000-0000FCBE0000}"/>
    <cellStyle name="Normal 7 2 2 4 4 2 4" xfId="48879" xr:uid="{00000000-0005-0000-0000-0000FDBE0000}"/>
    <cellStyle name="Normal 7 2 2 4 4 3" xfId="48880" xr:uid="{00000000-0005-0000-0000-0000FEBE0000}"/>
    <cellStyle name="Normal 7 2 2 4 4 3 2" xfId="48881" xr:uid="{00000000-0005-0000-0000-0000FFBE0000}"/>
    <cellStyle name="Normal 7 2 2 4 4 4" xfId="48882" xr:uid="{00000000-0005-0000-0000-000000BF0000}"/>
    <cellStyle name="Normal 7 2 2 4 4 5" xfId="48883" xr:uid="{00000000-0005-0000-0000-000001BF0000}"/>
    <cellStyle name="Normal 7 2 2 4 5" xfId="48884" xr:uid="{00000000-0005-0000-0000-000002BF0000}"/>
    <cellStyle name="Normal 7 2 2 4 5 2" xfId="48885" xr:uid="{00000000-0005-0000-0000-000003BF0000}"/>
    <cellStyle name="Normal 7 2 2 4 5 2 2" xfId="48886" xr:uid="{00000000-0005-0000-0000-000004BF0000}"/>
    <cellStyle name="Normal 7 2 2 4 5 3" xfId="48887" xr:uid="{00000000-0005-0000-0000-000005BF0000}"/>
    <cellStyle name="Normal 7 2 2 4 5 3 2" xfId="48888" xr:uid="{00000000-0005-0000-0000-000006BF0000}"/>
    <cellStyle name="Normal 7 2 2 4 5 4" xfId="48889" xr:uid="{00000000-0005-0000-0000-000007BF0000}"/>
    <cellStyle name="Normal 7 2 2 4 5 5" xfId="48890" xr:uid="{00000000-0005-0000-0000-000008BF0000}"/>
    <cellStyle name="Normal 7 2 2 4 6" xfId="48891" xr:uid="{00000000-0005-0000-0000-000009BF0000}"/>
    <cellStyle name="Normal 7 2 2 4 6 2" xfId="48892" xr:uid="{00000000-0005-0000-0000-00000ABF0000}"/>
    <cellStyle name="Normal 7 2 2 4 7" xfId="48893" xr:uid="{00000000-0005-0000-0000-00000BBF0000}"/>
    <cellStyle name="Normal 7 2 2 4 7 2" xfId="48894" xr:uid="{00000000-0005-0000-0000-00000CBF0000}"/>
    <cellStyle name="Normal 7 2 2 4 8" xfId="48895" xr:uid="{00000000-0005-0000-0000-00000DBF0000}"/>
    <cellStyle name="Normal 7 2 2 4 9" xfId="48896" xr:uid="{00000000-0005-0000-0000-00000EBF0000}"/>
    <cellStyle name="Normal 7 2 2 5" xfId="48897" xr:uid="{00000000-0005-0000-0000-00000FBF0000}"/>
    <cellStyle name="Normal 7 2 2 5 2" xfId="48898" xr:uid="{00000000-0005-0000-0000-000010BF0000}"/>
    <cellStyle name="Normal 7 2 2 5 2 2" xfId="48899" xr:uid="{00000000-0005-0000-0000-000011BF0000}"/>
    <cellStyle name="Normal 7 2 2 5 2 2 2" xfId="48900" xr:uid="{00000000-0005-0000-0000-000012BF0000}"/>
    <cellStyle name="Normal 7 2 2 5 2 2 2 2" xfId="48901" xr:uid="{00000000-0005-0000-0000-000013BF0000}"/>
    <cellStyle name="Normal 7 2 2 5 2 2 2 2 2" xfId="48902" xr:uid="{00000000-0005-0000-0000-000014BF0000}"/>
    <cellStyle name="Normal 7 2 2 5 2 2 2 3" xfId="48903" xr:uid="{00000000-0005-0000-0000-000015BF0000}"/>
    <cellStyle name="Normal 7 2 2 5 2 2 2 4" xfId="48904" xr:uid="{00000000-0005-0000-0000-000016BF0000}"/>
    <cellStyle name="Normal 7 2 2 5 2 2 3" xfId="48905" xr:uid="{00000000-0005-0000-0000-000017BF0000}"/>
    <cellStyle name="Normal 7 2 2 5 2 2 3 2" xfId="48906" xr:uid="{00000000-0005-0000-0000-000018BF0000}"/>
    <cellStyle name="Normal 7 2 2 5 2 2 4" xfId="48907" xr:uid="{00000000-0005-0000-0000-000019BF0000}"/>
    <cellStyle name="Normal 7 2 2 5 2 2 5" xfId="48908" xr:uid="{00000000-0005-0000-0000-00001ABF0000}"/>
    <cellStyle name="Normal 7 2 2 5 2 3" xfId="48909" xr:uid="{00000000-0005-0000-0000-00001BBF0000}"/>
    <cellStyle name="Normal 7 2 2 5 2 3 2" xfId="48910" xr:uid="{00000000-0005-0000-0000-00001CBF0000}"/>
    <cellStyle name="Normal 7 2 2 5 2 3 2 2" xfId="48911" xr:uid="{00000000-0005-0000-0000-00001DBF0000}"/>
    <cellStyle name="Normal 7 2 2 5 2 3 3" xfId="48912" xr:uid="{00000000-0005-0000-0000-00001EBF0000}"/>
    <cellStyle name="Normal 7 2 2 5 2 3 3 2" xfId="48913" xr:uid="{00000000-0005-0000-0000-00001FBF0000}"/>
    <cellStyle name="Normal 7 2 2 5 2 3 4" xfId="48914" xr:uid="{00000000-0005-0000-0000-000020BF0000}"/>
    <cellStyle name="Normal 7 2 2 5 2 3 5" xfId="48915" xr:uid="{00000000-0005-0000-0000-000021BF0000}"/>
    <cellStyle name="Normal 7 2 2 5 2 4" xfId="48916" xr:uid="{00000000-0005-0000-0000-000022BF0000}"/>
    <cellStyle name="Normal 7 2 2 5 2 4 2" xfId="48917" xr:uid="{00000000-0005-0000-0000-000023BF0000}"/>
    <cellStyle name="Normal 7 2 2 5 2 5" xfId="48918" xr:uid="{00000000-0005-0000-0000-000024BF0000}"/>
    <cellStyle name="Normal 7 2 2 5 2 5 2" xfId="48919" xr:uid="{00000000-0005-0000-0000-000025BF0000}"/>
    <cellStyle name="Normal 7 2 2 5 2 6" xfId="48920" xr:uid="{00000000-0005-0000-0000-000026BF0000}"/>
    <cellStyle name="Normal 7 2 2 5 2 7" xfId="48921" xr:uid="{00000000-0005-0000-0000-000027BF0000}"/>
    <cellStyle name="Normal 7 2 2 5 3" xfId="48922" xr:uid="{00000000-0005-0000-0000-000028BF0000}"/>
    <cellStyle name="Normal 7 2 2 5 3 2" xfId="48923" xr:uid="{00000000-0005-0000-0000-000029BF0000}"/>
    <cellStyle name="Normal 7 2 2 5 3 2 2" xfId="48924" xr:uid="{00000000-0005-0000-0000-00002ABF0000}"/>
    <cellStyle name="Normal 7 2 2 5 3 2 2 2" xfId="48925" xr:uid="{00000000-0005-0000-0000-00002BBF0000}"/>
    <cellStyle name="Normal 7 2 2 5 3 2 3" xfId="48926" xr:uid="{00000000-0005-0000-0000-00002CBF0000}"/>
    <cellStyle name="Normal 7 2 2 5 3 2 4" xfId="48927" xr:uid="{00000000-0005-0000-0000-00002DBF0000}"/>
    <cellStyle name="Normal 7 2 2 5 3 3" xfId="48928" xr:uid="{00000000-0005-0000-0000-00002EBF0000}"/>
    <cellStyle name="Normal 7 2 2 5 3 3 2" xfId="48929" xr:uid="{00000000-0005-0000-0000-00002FBF0000}"/>
    <cellStyle name="Normal 7 2 2 5 3 4" xfId="48930" xr:uid="{00000000-0005-0000-0000-000030BF0000}"/>
    <cellStyle name="Normal 7 2 2 5 3 5" xfId="48931" xr:uid="{00000000-0005-0000-0000-000031BF0000}"/>
    <cellStyle name="Normal 7 2 2 5 4" xfId="48932" xr:uid="{00000000-0005-0000-0000-000032BF0000}"/>
    <cellStyle name="Normal 7 2 2 5 4 2" xfId="48933" xr:uid="{00000000-0005-0000-0000-000033BF0000}"/>
    <cellStyle name="Normal 7 2 2 5 4 2 2" xfId="48934" xr:uid="{00000000-0005-0000-0000-000034BF0000}"/>
    <cellStyle name="Normal 7 2 2 5 4 3" xfId="48935" xr:uid="{00000000-0005-0000-0000-000035BF0000}"/>
    <cellStyle name="Normal 7 2 2 5 4 3 2" xfId="48936" xr:uid="{00000000-0005-0000-0000-000036BF0000}"/>
    <cellStyle name="Normal 7 2 2 5 4 4" xfId="48937" xr:uid="{00000000-0005-0000-0000-000037BF0000}"/>
    <cellStyle name="Normal 7 2 2 5 4 5" xfId="48938" xr:uid="{00000000-0005-0000-0000-000038BF0000}"/>
    <cellStyle name="Normal 7 2 2 5 5" xfId="48939" xr:uid="{00000000-0005-0000-0000-000039BF0000}"/>
    <cellStyle name="Normal 7 2 2 5 5 2" xfId="48940" xr:uid="{00000000-0005-0000-0000-00003ABF0000}"/>
    <cellStyle name="Normal 7 2 2 5 6" xfId="48941" xr:uid="{00000000-0005-0000-0000-00003BBF0000}"/>
    <cellStyle name="Normal 7 2 2 5 6 2" xfId="48942" xr:uid="{00000000-0005-0000-0000-00003CBF0000}"/>
    <cellStyle name="Normal 7 2 2 5 7" xfId="48943" xr:uid="{00000000-0005-0000-0000-00003DBF0000}"/>
    <cellStyle name="Normal 7 2 2 5 8" xfId="48944" xr:uid="{00000000-0005-0000-0000-00003EBF0000}"/>
    <cellStyle name="Normal 7 2 2 6" xfId="48945" xr:uid="{00000000-0005-0000-0000-00003FBF0000}"/>
    <cellStyle name="Normal 7 2 2 6 2" xfId="48946" xr:uid="{00000000-0005-0000-0000-000040BF0000}"/>
    <cellStyle name="Normal 7 2 2 6 2 2" xfId="48947" xr:uid="{00000000-0005-0000-0000-000041BF0000}"/>
    <cellStyle name="Normal 7 2 2 6 2 2 2" xfId="48948" xr:uid="{00000000-0005-0000-0000-000042BF0000}"/>
    <cellStyle name="Normal 7 2 2 6 2 2 2 2" xfId="48949" xr:uid="{00000000-0005-0000-0000-000043BF0000}"/>
    <cellStyle name="Normal 7 2 2 6 2 2 3" xfId="48950" xr:uid="{00000000-0005-0000-0000-000044BF0000}"/>
    <cellStyle name="Normal 7 2 2 6 2 2 4" xfId="48951" xr:uid="{00000000-0005-0000-0000-000045BF0000}"/>
    <cellStyle name="Normal 7 2 2 6 2 3" xfId="48952" xr:uid="{00000000-0005-0000-0000-000046BF0000}"/>
    <cellStyle name="Normal 7 2 2 6 2 3 2" xfId="48953" xr:uid="{00000000-0005-0000-0000-000047BF0000}"/>
    <cellStyle name="Normal 7 2 2 6 2 4" xfId="48954" xr:uid="{00000000-0005-0000-0000-000048BF0000}"/>
    <cellStyle name="Normal 7 2 2 6 2 5" xfId="48955" xr:uid="{00000000-0005-0000-0000-000049BF0000}"/>
    <cellStyle name="Normal 7 2 2 6 3" xfId="48956" xr:uid="{00000000-0005-0000-0000-00004ABF0000}"/>
    <cellStyle name="Normal 7 2 2 6 3 2" xfId="48957" xr:uid="{00000000-0005-0000-0000-00004BBF0000}"/>
    <cellStyle name="Normal 7 2 2 6 3 2 2" xfId="48958" xr:uid="{00000000-0005-0000-0000-00004CBF0000}"/>
    <cellStyle name="Normal 7 2 2 6 3 3" xfId="48959" xr:uid="{00000000-0005-0000-0000-00004DBF0000}"/>
    <cellStyle name="Normal 7 2 2 6 3 3 2" xfId="48960" xr:uid="{00000000-0005-0000-0000-00004EBF0000}"/>
    <cellStyle name="Normal 7 2 2 6 3 4" xfId="48961" xr:uid="{00000000-0005-0000-0000-00004FBF0000}"/>
    <cellStyle name="Normal 7 2 2 6 3 5" xfId="48962" xr:uid="{00000000-0005-0000-0000-000050BF0000}"/>
    <cellStyle name="Normal 7 2 2 6 4" xfId="48963" xr:uid="{00000000-0005-0000-0000-000051BF0000}"/>
    <cellStyle name="Normal 7 2 2 6 4 2" xfId="48964" xr:uid="{00000000-0005-0000-0000-000052BF0000}"/>
    <cellStyle name="Normal 7 2 2 6 5" xfId="48965" xr:uid="{00000000-0005-0000-0000-000053BF0000}"/>
    <cellStyle name="Normal 7 2 2 6 5 2" xfId="48966" xr:uid="{00000000-0005-0000-0000-000054BF0000}"/>
    <cellStyle name="Normal 7 2 2 6 6" xfId="48967" xr:uid="{00000000-0005-0000-0000-000055BF0000}"/>
    <cellStyle name="Normal 7 2 2 6 7" xfId="48968" xr:uid="{00000000-0005-0000-0000-000056BF0000}"/>
    <cellStyle name="Normal 7 2 2 7" xfId="48969" xr:uid="{00000000-0005-0000-0000-000057BF0000}"/>
    <cellStyle name="Normal 7 2 2 7 2" xfId="48970" xr:uid="{00000000-0005-0000-0000-000058BF0000}"/>
    <cellStyle name="Normal 7 2 2 7 2 2" xfId="48971" xr:uid="{00000000-0005-0000-0000-000059BF0000}"/>
    <cellStyle name="Normal 7 2 2 7 2 2 2" xfId="48972" xr:uid="{00000000-0005-0000-0000-00005ABF0000}"/>
    <cellStyle name="Normal 7 2 2 7 2 3" xfId="48973" xr:uid="{00000000-0005-0000-0000-00005BBF0000}"/>
    <cellStyle name="Normal 7 2 2 7 2 4" xfId="48974" xr:uid="{00000000-0005-0000-0000-00005CBF0000}"/>
    <cellStyle name="Normal 7 2 2 7 3" xfId="48975" xr:uid="{00000000-0005-0000-0000-00005DBF0000}"/>
    <cellStyle name="Normal 7 2 2 7 3 2" xfId="48976" xr:uid="{00000000-0005-0000-0000-00005EBF0000}"/>
    <cellStyle name="Normal 7 2 2 7 4" xfId="48977" xr:uid="{00000000-0005-0000-0000-00005FBF0000}"/>
    <cellStyle name="Normal 7 2 2 7 5" xfId="48978" xr:uid="{00000000-0005-0000-0000-000060BF0000}"/>
    <cellStyle name="Normal 7 2 2 8" xfId="48979" xr:uid="{00000000-0005-0000-0000-000061BF0000}"/>
    <cellStyle name="Normal 7 2 2 8 2" xfId="48980" xr:uid="{00000000-0005-0000-0000-000062BF0000}"/>
    <cellStyle name="Normal 7 2 2 8 2 2" xfId="48981" xr:uid="{00000000-0005-0000-0000-000063BF0000}"/>
    <cellStyle name="Normal 7 2 2 8 3" xfId="48982" xr:uid="{00000000-0005-0000-0000-000064BF0000}"/>
    <cellStyle name="Normal 7 2 2 8 3 2" xfId="48983" xr:uid="{00000000-0005-0000-0000-000065BF0000}"/>
    <cellStyle name="Normal 7 2 2 8 4" xfId="48984" xr:uid="{00000000-0005-0000-0000-000066BF0000}"/>
    <cellStyle name="Normal 7 2 2 8 5" xfId="48985" xr:uid="{00000000-0005-0000-0000-000067BF0000}"/>
    <cellStyle name="Normal 7 2 2 9" xfId="48986" xr:uid="{00000000-0005-0000-0000-000068BF0000}"/>
    <cellStyle name="Normal 7 2 2 9 2" xfId="48987" xr:uid="{00000000-0005-0000-0000-000069BF0000}"/>
    <cellStyle name="Normal 7 2 3" xfId="48988" xr:uid="{00000000-0005-0000-0000-00006ABF0000}"/>
    <cellStyle name="Normal 7 2 3 10" xfId="48989" xr:uid="{00000000-0005-0000-0000-00006BBF0000}"/>
    <cellStyle name="Normal 7 2 3 11" xfId="48990" xr:uid="{00000000-0005-0000-0000-00006CBF0000}"/>
    <cellStyle name="Normal 7 2 3 2" xfId="48991" xr:uid="{00000000-0005-0000-0000-00006DBF0000}"/>
    <cellStyle name="Normal 7 2 3 2 10" xfId="48992" xr:uid="{00000000-0005-0000-0000-00006EBF0000}"/>
    <cellStyle name="Normal 7 2 3 2 2" xfId="48993" xr:uid="{00000000-0005-0000-0000-00006FBF0000}"/>
    <cellStyle name="Normal 7 2 3 2 2 2" xfId="48994" xr:uid="{00000000-0005-0000-0000-000070BF0000}"/>
    <cellStyle name="Normal 7 2 3 2 2 2 2" xfId="48995" xr:uid="{00000000-0005-0000-0000-000071BF0000}"/>
    <cellStyle name="Normal 7 2 3 2 2 2 2 2" xfId="48996" xr:uid="{00000000-0005-0000-0000-000072BF0000}"/>
    <cellStyle name="Normal 7 2 3 2 2 2 2 2 2" xfId="48997" xr:uid="{00000000-0005-0000-0000-000073BF0000}"/>
    <cellStyle name="Normal 7 2 3 2 2 2 2 2 2 2" xfId="48998" xr:uid="{00000000-0005-0000-0000-000074BF0000}"/>
    <cellStyle name="Normal 7 2 3 2 2 2 2 2 2 2 2" xfId="48999" xr:uid="{00000000-0005-0000-0000-000075BF0000}"/>
    <cellStyle name="Normal 7 2 3 2 2 2 2 2 2 3" xfId="49000" xr:uid="{00000000-0005-0000-0000-000076BF0000}"/>
    <cellStyle name="Normal 7 2 3 2 2 2 2 2 2 4" xfId="49001" xr:uid="{00000000-0005-0000-0000-000077BF0000}"/>
    <cellStyle name="Normal 7 2 3 2 2 2 2 2 3" xfId="49002" xr:uid="{00000000-0005-0000-0000-000078BF0000}"/>
    <cellStyle name="Normal 7 2 3 2 2 2 2 2 3 2" xfId="49003" xr:uid="{00000000-0005-0000-0000-000079BF0000}"/>
    <cellStyle name="Normal 7 2 3 2 2 2 2 2 4" xfId="49004" xr:uid="{00000000-0005-0000-0000-00007ABF0000}"/>
    <cellStyle name="Normal 7 2 3 2 2 2 2 2 5" xfId="49005" xr:uid="{00000000-0005-0000-0000-00007BBF0000}"/>
    <cellStyle name="Normal 7 2 3 2 2 2 2 3" xfId="49006" xr:uid="{00000000-0005-0000-0000-00007CBF0000}"/>
    <cellStyle name="Normal 7 2 3 2 2 2 2 3 2" xfId="49007" xr:uid="{00000000-0005-0000-0000-00007DBF0000}"/>
    <cellStyle name="Normal 7 2 3 2 2 2 2 3 2 2" xfId="49008" xr:uid="{00000000-0005-0000-0000-00007EBF0000}"/>
    <cellStyle name="Normal 7 2 3 2 2 2 2 3 3" xfId="49009" xr:uid="{00000000-0005-0000-0000-00007FBF0000}"/>
    <cellStyle name="Normal 7 2 3 2 2 2 2 3 4" xfId="49010" xr:uid="{00000000-0005-0000-0000-000080BF0000}"/>
    <cellStyle name="Normal 7 2 3 2 2 2 2 4" xfId="49011" xr:uid="{00000000-0005-0000-0000-000081BF0000}"/>
    <cellStyle name="Normal 7 2 3 2 2 2 2 4 2" xfId="49012" xr:uid="{00000000-0005-0000-0000-000082BF0000}"/>
    <cellStyle name="Normal 7 2 3 2 2 2 2 5" xfId="49013" xr:uid="{00000000-0005-0000-0000-000083BF0000}"/>
    <cellStyle name="Normal 7 2 3 2 2 2 2 6" xfId="49014" xr:uid="{00000000-0005-0000-0000-000084BF0000}"/>
    <cellStyle name="Normal 7 2 3 2 2 2 3" xfId="49015" xr:uid="{00000000-0005-0000-0000-000085BF0000}"/>
    <cellStyle name="Normal 7 2 3 2 2 2 3 2" xfId="49016" xr:uid="{00000000-0005-0000-0000-000086BF0000}"/>
    <cellStyle name="Normal 7 2 3 2 2 2 3 2 2" xfId="49017" xr:uid="{00000000-0005-0000-0000-000087BF0000}"/>
    <cellStyle name="Normal 7 2 3 2 2 2 3 2 2 2" xfId="49018" xr:uid="{00000000-0005-0000-0000-000088BF0000}"/>
    <cellStyle name="Normal 7 2 3 2 2 2 3 2 3" xfId="49019" xr:uid="{00000000-0005-0000-0000-000089BF0000}"/>
    <cellStyle name="Normal 7 2 3 2 2 2 3 2 4" xfId="49020" xr:uid="{00000000-0005-0000-0000-00008ABF0000}"/>
    <cellStyle name="Normal 7 2 3 2 2 2 3 3" xfId="49021" xr:uid="{00000000-0005-0000-0000-00008BBF0000}"/>
    <cellStyle name="Normal 7 2 3 2 2 2 3 3 2" xfId="49022" xr:uid="{00000000-0005-0000-0000-00008CBF0000}"/>
    <cellStyle name="Normal 7 2 3 2 2 2 3 4" xfId="49023" xr:uid="{00000000-0005-0000-0000-00008DBF0000}"/>
    <cellStyle name="Normal 7 2 3 2 2 2 3 5" xfId="49024" xr:uid="{00000000-0005-0000-0000-00008EBF0000}"/>
    <cellStyle name="Normal 7 2 3 2 2 2 4" xfId="49025" xr:uid="{00000000-0005-0000-0000-00008FBF0000}"/>
    <cellStyle name="Normal 7 2 3 2 2 2 4 2" xfId="49026" xr:uid="{00000000-0005-0000-0000-000090BF0000}"/>
    <cellStyle name="Normal 7 2 3 2 2 2 4 2 2" xfId="49027" xr:uid="{00000000-0005-0000-0000-000091BF0000}"/>
    <cellStyle name="Normal 7 2 3 2 2 2 4 3" xfId="49028" xr:uid="{00000000-0005-0000-0000-000092BF0000}"/>
    <cellStyle name="Normal 7 2 3 2 2 2 4 4" xfId="49029" xr:uid="{00000000-0005-0000-0000-000093BF0000}"/>
    <cellStyle name="Normal 7 2 3 2 2 2 5" xfId="49030" xr:uid="{00000000-0005-0000-0000-000094BF0000}"/>
    <cellStyle name="Normal 7 2 3 2 2 2 5 2" xfId="49031" xr:uid="{00000000-0005-0000-0000-000095BF0000}"/>
    <cellStyle name="Normal 7 2 3 2 2 2 6" xfId="49032" xr:uid="{00000000-0005-0000-0000-000096BF0000}"/>
    <cellStyle name="Normal 7 2 3 2 2 2 7" xfId="49033" xr:uid="{00000000-0005-0000-0000-000097BF0000}"/>
    <cellStyle name="Normal 7 2 3 2 2 3" xfId="49034" xr:uid="{00000000-0005-0000-0000-000098BF0000}"/>
    <cellStyle name="Normal 7 2 3 2 2 3 2" xfId="49035" xr:uid="{00000000-0005-0000-0000-000099BF0000}"/>
    <cellStyle name="Normal 7 2 3 2 2 3 2 2" xfId="49036" xr:uid="{00000000-0005-0000-0000-00009ABF0000}"/>
    <cellStyle name="Normal 7 2 3 2 2 3 2 2 2" xfId="49037" xr:uid="{00000000-0005-0000-0000-00009BBF0000}"/>
    <cellStyle name="Normal 7 2 3 2 2 3 2 2 2 2" xfId="49038" xr:uid="{00000000-0005-0000-0000-00009CBF0000}"/>
    <cellStyle name="Normal 7 2 3 2 2 3 2 2 3" xfId="49039" xr:uid="{00000000-0005-0000-0000-00009DBF0000}"/>
    <cellStyle name="Normal 7 2 3 2 2 3 2 2 4" xfId="49040" xr:uid="{00000000-0005-0000-0000-00009EBF0000}"/>
    <cellStyle name="Normal 7 2 3 2 2 3 2 3" xfId="49041" xr:uid="{00000000-0005-0000-0000-00009FBF0000}"/>
    <cellStyle name="Normal 7 2 3 2 2 3 2 3 2" xfId="49042" xr:uid="{00000000-0005-0000-0000-0000A0BF0000}"/>
    <cellStyle name="Normal 7 2 3 2 2 3 2 4" xfId="49043" xr:uid="{00000000-0005-0000-0000-0000A1BF0000}"/>
    <cellStyle name="Normal 7 2 3 2 2 3 2 5" xfId="49044" xr:uid="{00000000-0005-0000-0000-0000A2BF0000}"/>
    <cellStyle name="Normal 7 2 3 2 2 3 3" xfId="49045" xr:uid="{00000000-0005-0000-0000-0000A3BF0000}"/>
    <cellStyle name="Normal 7 2 3 2 2 3 3 2" xfId="49046" xr:uid="{00000000-0005-0000-0000-0000A4BF0000}"/>
    <cellStyle name="Normal 7 2 3 2 2 3 3 2 2" xfId="49047" xr:uid="{00000000-0005-0000-0000-0000A5BF0000}"/>
    <cellStyle name="Normal 7 2 3 2 2 3 3 3" xfId="49048" xr:uid="{00000000-0005-0000-0000-0000A6BF0000}"/>
    <cellStyle name="Normal 7 2 3 2 2 3 3 3 2" xfId="49049" xr:uid="{00000000-0005-0000-0000-0000A7BF0000}"/>
    <cellStyle name="Normal 7 2 3 2 2 3 3 4" xfId="49050" xr:uid="{00000000-0005-0000-0000-0000A8BF0000}"/>
    <cellStyle name="Normal 7 2 3 2 2 3 3 5" xfId="49051" xr:uid="{00000000-0005-0000-0000-0000A9BF0000}"/>
    <cellStyle name="Normal 7 2 3 2 2 3 4" xfId="49052" xr:uid="{00000000-0005-0000-0000-0000AABF0000}"/>
    <cellStyle name="Normal 7 2 3 2 2 3 4 2" xfId="49053" xr:uid="{00000000-0005-0000-0000-0000ABBF0000}"/>
    <cellStyle name="Normal 7 2 3 2 2 3 5" xfId="49054" xr:uid="{00000000-0005-0000-0000-0000ACBF0000}"/>
    <cellStyle name="Normal 7 2 3 2 2 3 5 2" xfId="49055" xr:uid="{00000000-0005-0000-0000-0000ADBF0000}"/>
    <cellStyle name="Normal 7 2 3 2 2 3 6" xfId="49056" xr:uid="{00000000-0005-0000-0000-0000AEBF0000}"/>
    <cellStyle name="Normal 7 2 3 2 2 3 7" xfId="49057" xr:uid="{00000000-0005-0000-0000-0000AFBF0000}"/>
    <cellStyle name="Normal 7 2 3 2 2 4" xfId="49058" xr:uid="{00000000-0005-0000-0000-0000B0BF0000}"/>
    <cellStyle name="Normal 7 2 3 2 2 4 2" xfId="49059" xr:uid="{00000000-0005-0000-0000-0000B1BF0000}"/>
    <cellStyle name="Normal 7 2 3 2 2 4 2 2" xfId="49060" xr:uid="{00000000-0005-0000-0000-0000B2BF0000}"/>
    <cellStyle name="Normal 7 2 3 2 2 4 2 2 2" xfId="49061" xr:uid="{00000000-0005-0000-0000-0000B3BF0000}"/>
    <cellStyle name="Normal 7 2 3 2 2 4 2 3" xfId="49062" xr:uid="{00000000-0005-0000-0000-0000B4BF0000}"/>
    <cellStyle name="Normal 7 2 3 2 2 4 2 4" xfId="49063" xr:uid="{00000000-0005-0000-0000-0000B5BF0000}"/>
    <cellStyle name="Normal 7 2 3 2 2 4 3" xfId="49064" xr:uid="{00000000-0005-0000-0000-0000B6BF0000}"/>
    <cellStyle name="Normal 7 2 3 2 2 4 3 2" xfId="49065" xr:uid="{00000000-0005-0000-0000-0000B7BF0000}"/>
    <cellStyle name="Normal 7 2 3 2 2 4 4" xfId="49066" xr:uid="{00000000-0005-0000-0000-0000B8BF0000}"/>
    <cellStyle name="Normal 7 2 3 2 2 4 5" xfId="49067" xr:uid="{00000000-0005-0000-0000-0000B9BF0000}"/>
    <cellStyle name="Normal 7 2 3 2 2 5" xfId="49068" xr:uid="{00000000-0005-0000-0000-0000BABF0000}"/>
    <cellStyle name="Normal 7 2 3 2 2 5 2" xfId="49069" xr:uid="{00000000-0005-0000-0000-0000BBBF0000}"/>
    <cellStyle name="Normal 7 2 3 2 2 5 2 2" xfId="49070" xr:uid="{00000000-0005-0000-0000-0000BCBF0000}"/>
    <cellStyle name="Normal 7 2 3 2 2 5 3" xfId="49071" xr:uid="{00000000-0005-0000-0000-0000BDBF0000}"/>
    <cellStyle name="Normal 7 2 3 2 2 5 3 2" xfId="49072" xr:uid="{00000000-0005-0000-0000-0000BEBF0000}"/>
    <cellStyle name="Normal 7 2 3 2 2 5 4" xfId="49073" xr:uid="{00000000-0005-0000-0000-0000BFBF0000}"/>
    <cellStyle name="Normal 7 2 3 2 2 5 5" xfId="49074" xr:uid="{00000000-0005-0000-0000-0000C0BF0000}"/>
    <cellStyle name="Normal 7 2 3 2 2 6" xfId="49075" xr:uid="{00000000-0005-0000-0000-0000C1BF0000}"/>
    <cellStyle name="Normal 7 2 3 2 2 6 2" xfId="49076" xr:uid="{00000000-0005-0000-0000-0000C2BF0000}"/>
    <cellStyle name="Normal 7 2 3 2 2 7" xfId="49077" xr:uid="{00000000-0005-0000-0000-0000C3BF0000}"/>
    <cellStyle name="Normal 7 2 3 2 2 7 2" xfId="49078" xr:uid="{00000000-0005-0000-0000-0000C4BF0000}"/>
    <cellStyle name="Normal 7 2 3 2 2 8" xfId="49079" xr:uid="{00000000-0005-0000-0000-0000C5BF0000}"/>
    <cellStyle name="Normal 7 2 3 2 2 9" xfId="49080" xr:uid="{00000000-0005-0000-0000-0000C6BF0000}"/>
    <cellStyle name="Normal 7 2 3 2 3" xfId="49081" xr:uid="{00000000-0005-0000-0000-0000C7BF0000}"/>
    <cellStyle name="Normal 7 2 3 2 3 2" xfId="49082" xr:uid="{00000000-0005-0000-0000-0000C8BF0000}"/>
    <cellStyle name="Normal 7 2 3 2 3 2 2" xfId="49083" xr:uid="{00000000-0005-0000-0000-0000C9BF0000}"/>
    <cellStyle name="Normal 7 2 3 2 3 2 2 2" xfId="49084" xr:uid="{00000000-0005-0000-0000-0000CABF0000}"/>
    <cellStyle name="Normal 7 2 3 2 3 2 2 2 2" xfId="49085" xr:uid="{00000000-0005-0000-0000-0000CBBF0000}"/>
    <cellStyle name="Normal 7 2 3 2 3 2 2 2 2 2" xfId="49086" xr:uid="{00000000-0005-0000-0000-0000CCBF0000}"/>
    <cellStyle name="Normal 7 2 3 2 3 2 2 2 3" xfId="49087" xr:uid="{00000000-0005-0000-0000-0000CDBF0000}"/>
    <cellStyle name="Normal 7 2 3 2 3 2 2 2 4" xfId="49088" xr:uid="{00000000-0005-0000-0000-0000CEBF0000}"/>
    <cellStyle name="Normal 7 2 3 2 3 2 2 3" xfId="49089" xr:uid="{00000000-0005-0000-0000-0000CFBF0000}"/>
    <cellStyle name="Normal 7 2 3 2 3 2 2 3 2" xfId="49090" xr:uid="{00000000-0005-0000-0000-0000D0BF0000}"/>
    <cellStyle name="Normal 7 2 3 2 3 2 2 4" xfId="49091" xr:uid="{00000000-0005-0000-0000-0000D1BF0000}"/>
    <cellStyle name="Normal 7 2 3 2 3 2 2 5" xfId="49092" xr:uid="{00000000-0005-0000-0000-0000D2BF0000}"/>
    <cellStyle name="Normal 7 2 3 2 3 2 3" xfId="49093" xr:uid="{00000000-0005-0000-0000-0000D3BF0000}"/>
    <cellStyle name="Normal 7 2 3 2 3 2 3 2" xfId="49094" xr:uid="{00000000-0005-0000-0000-0000D4BF0000}"/>
    <cellStyle name="Normal 7 2 3 2 3 2 3 2 2" xfId="49095" xr:uid="{00000000-0005-0000-0000-0000D5BF0000}"/>
    <cellStyle name="Normal 7 2 3 2 3 2 3 3" xfId="49096" xr:uid="{00000000-0005-0000-0000-0000D6BF0000}"/>
    <cellStyle name="Normal 7 2 3 2 3 2 3 4" xfId="49097" xr:uid="{00000000-0005-0000-0000-0000D7BF0000}"/>
    <cellStyle name="Normal 7 2 3 2 3 2 4" xfId="49098" xr:uid="{00000000-0005-0000-0000-0000D8BF0000}"/>
    <cellStyle name="Normal 7 2 3 2 3 2 4 2" xfId="49099" xr:uid="{00000000-0005-0000-0000-0000D9BF0000}"/>
    <cellStyle name="Normal 7 2 3 2 3 2 5" xfId="49100" xr:uid="{00000000-0005-0000-0000-0000DABF0000}"/>
    <cellStyle name="Normal 7 2 3 2 3 2 6" xfId="49101" xr:uid="{00000000-0005-0000-0000-0000DBBF0000}"/>
    <cellStyle name="Normal 7 2 3 2 3 3" xfId="49102" xr:uid="{00000000-0005-0000-0000-0000DCBF0000}"/>
    <cellStyle name="Normal 7 2 3 2 3 3 2" xfId="49103" xr:uid="{00000000-0005-0000-0000-0000DDBF0000}"/>
    <cellStyle name="Normal 7 2 3 2 3 3 2 2" xfId="49104" xr:uid="{00000000-0005-0000-0000-0000DEBF0000}"/>
    <cellStyle name="Normal 7 2 3 2 3 3 2 2 2" xfId="49105" xr:uid="{00000000-0005-0000-0000-0000DFBF0000}"/>
    <cellStyle name="Normal 7 2 3 2 3 3 2 3" xfId="49106" xr:uid="{00000000-0005-0000-0000-0000E0BF0000}"/>
    <cellStyle name="Normal 7 2 3 2 3 3 2 4" xfId="49107" xr:uid="{00000000-0005-0000-0000-0000E1BF0000}"/>
    <cellStyle name="Normal 7 2 3 2 3 3 3" xfId="49108" xr:uid="{00000000-0005-0000-0000-0000E2BF0000}"/>
    <cellStyle name="Normal 7 2 3 2 3 3 3 2" xfId="49109" xr:uid="{00000000-0005-0000-0000-0000E3BF0000}"/>
    <cellStyle name="Normal 7 2 3 2 3 3 4" xfId="49110" xr:uid="{00000000-0005-0000-0000-0000E4BF0000}"/>
    <cellStyle name="Normal 7 2 3 2 3 3 5" xfId="49111" xr:uid="{00000000-0005-0000-0000-0000E5BF0000}"/>
    <cellStyle name="Normal 7 2 3 2 3 4" xfId="49112" xr:uid="{00000000-0005-0000-0000-0000E6BF0000}"/>
    <cellStyle name="Normal 7 2 3 2 3 4 2" xfId="49113" xr:uid="{00000000-0005-0000-0000-0000E7BF0000}"/>
    <cellStyle name="Normal 7 2 3 2 3 4 2 2" xfId="49114" xr:uid="{00000000-0005-0000-0000-0000E8BF0000}"/>
    <cellStyle name="Normal 7 2 3 2 3 4 3" xfId="49115" xr:uid="{00000000-0005-0000-0000-0000E9BF0000}"/>
    <cellStyle name="Normal 7 2 3 2 3 4 4" xfId="49116" xr:uid="{00000000-0005-0000-0000-0000EABF0000}"/>
    <cellStyle name="Normal 7 2 3 2 3 5" xfId="49117" xr:uid="{00000000-0005-0000-0000-0000EBBF0000}"/>
    <cellStyle name="Normal 7 2 3 2 3 5 2" xfId="49118" xr:uid="{00000000-0005-0000-0000-0000ECBF0000}"/>
    <cellStyle name="Normal 7 2 3 2 3 6" xfId="49119" xr:uid="{00000000-0005-0000-0000-0000EDBF0000}"/>
    <cellStyle name="Normal 7 2 3 2 3 7" xfId="49120" xr:uid="{00000000-0005-0000-0000-0000EEBF0000}"/>
    <cellStyle name="Normal 7 2 3 2 4" xfId="49121" xr:uid="{00000000-0005-0000-0000-0000EFBF0000}"/>
    <cellStyle name="Normal 7 2 3 2 4 2" xfId="49122" xr:uid="{00000000-0005-0000-0000-0000F0BF0000}"/>
    <cellStyle name="Normal 7 2 3 2 4 2 2" xfId="49123" xr:uid="{00000000-0005-0000-0000-0000F1BF0000}"/>
    <cellStyle name="Normal 7 2 3 2 4 2 2 2" xfId="49124" xr:uid="{00000000-0005-0000-0000-0000F2BF0000}"/>
    <cellStyle name="Normal 7 2 3 2 4 2 2 2 2" xfId="49125" xr:uid="{00000000-0005-0000-0000-0000F3BF0000}"/>
    <cellStyle name="Normal 7 2 3 2 4 2 2 3" xfId="49126" xr:uid="{00000000-0005-0000-0000-0000F4BF0000}"/>
    <cellStyle name="Normal 7 2 3 2 4 2 2 4" xfId="49127" xr:uid="{00000000-0005-0000-0000-0000F5BF0000}"/>
    <cellStyle name="Normal 7 2 3 2 4 2 3" xfId="49128" xr:uid="{00000000-0005-0000-0000-0000F6BF0000}"/>
    <cellStyle name="Normal 7 2 3 2 4 2 3 2" xfId="49129" xr:uid="{00000000-0005-0000-0000-0000F7BF0000}"/>
    <cellStyle name="Normal 7 2 3 2 4 2 4" xfId="49130" xr:uid="{00000000-0005-0000-0000-0000F8BF0000}"/>
    <cellStyle name="Normal 7 2 3 2 4 2 5" xfId="49131" xr:uid="{00000000-0005-0000-0000-0000F9BF0000}"/>
    <cellStyle name="Normal 7 2 3 2 4 3" xfId="49132" xr:uid="{00000000-0005-0000-0000-0000FABF0000}"/>
    <cellStyle name="Normal 7 2 3 2 4 3 2" xfId="49133" xr:uid="{00000000-0005-0000-0000-0000FBBF0000}"/>
    <cellStyle name="Normal 7 2 3 2 4 3 2 2" xfId="49134" xr:uid="{00000000-0005-0000-0000-0000FCBF0000}"/>
    <cellStyle name="Normal 7 2 3 2 4 3 3" xfId="49135" xr:uid="{00000000-0005-0000-0000-0000FDBF0000}"/>
    <cellStyle name="Normal 7 2 3 2 4 3 3 2" xfId="49136" xr:uid="{00000000-0005-0000-0000-0000FEBF0000}"/>
    <cellStyle name="Normal 7 2 3 2 4 3 4" xfId="49137" xr:uid="{00000000-0005-0000-0000-0000FFBF0000}"/>
    <cellStyle name="Normal 7 2 3 2 4 3 5" xfId="49138" xr:uid="{00000000-0005-0000-0000-000000C00000}"/>
    <cellStyle name="Normal 7 2 3 2 4 4" xfId="49139" xr:uid="{00000000-0005-0000-0000-000001C00000}"/>
    <cellStyle name="Normal 7 2 3 2 4 4 2" xfId="49140" xr:uid="{00000000-0005-0000-0000-000002C00000}"/>
    <cellStyle name="Normal 7 2 3 2 4 5" xfId="49141" xr:uid="{00000000-0005-0000-0000-000003C00000}"/>
    <cellStyle name="Normal 7 2 3 2 4 5 2" xfId="49142" xr:uid="{00000000-0005-0000-0000-000004C00000}"/>
    <cellStyle name="Normal 7 2 3 2 4 6" xfId="49143" xr:uid="{00000000-0005-0000-0000-000005C00000}"/>
    <cellStyle name="Normal 7 2 3 2 4 7" xfId="49144" xr:uid="{00000000-0005-0000-0000-000006C00000}"/>
    <cellStyle name="Normal 7 2 3 2 5" xfId="49145" xr:uid="{00000000-0005-0000-0000-000007C00000}"/>
    <cellStyle name="Normal 7 2 3 2 5 2" xfId="49146" xr:uid="{00000000-0005-0000-0000-000008C00000}"/>
    <cellStyle name="Normal 7 2 3 2 5 2 2" xfId="49147" xr:uid="{00000000-0005-0000-0000-000009C00000}"/>
    <cellStyle name="Normal 7 2 3 2 5 2 2 2" xfId="49148" xr:uid="{00000000-0005-0000-0000-00000AC00000}"/>
    <cellStyle name="Normal 7 2 3 2 5 2 3" xfId="49149" xr:uid="{00000000-0005-0000-0000-00000BC00000}"/>
    <cellStyle name="Normal 7 2 3 2 5 2 4" xfId="49150" xr:uid="{00000000-0005-0000-0000-00000CC00000}"/>
    <cellStyle name="Normal 7 2 3 2 5 3" xfId="49151" xr:uid="{00000000-0005-0000-0000-00000DC00000}"/>
    <cellStyle name="Normal 7 2 3 2 5 3 2" xfId="49152" xr:uid="{00000000-0005-0000-0000-00000EC00000}"/>
    <cellStyle name="Normal 7 2 3 2 5 4" xfId="49153" xr:uid="{00000000-0005-0000-0000-00000FC00000}"/>
    <cellStyle name="Normal 7 2 3 2 5 5" xfId="49154" xr:uid="{00000000-0005-0000-0000-000010C00000}"/>
    <cellStyle name="Normal 7 2 3 2 6" xfId="49155" xr:uid="{00000000-0005-0000-0000-000011C00000}"/>
    <cellStyle name="Normal 7 2 3 2 6 2" xfId="49156" xr:uid="{00000000-0005-0000-0000-000012C00000}"/>
    <cellStyle name="Normal 7 2 3 2 6 2 2" xfId="49157" xr:uid="{00000000-0005-0000-0000-000013C00000}"/>
    <cellStyle name="Normal 7 2 3 2 6 3" xfId="49158" xr:uid="{00000000-0005-0000-0000-000014C00000}"/>
    <cellStyle name="Normal 7 2 3 2 6 3 2" xfId="49159" xr:uid="{00000000-0005-0000-0000-000015C00000}"/>
    <cellStyle name="Normal 7 2 3 2 6 4" xfId="49160" xr:uid="{00000000-0005-0000-0000-000016C00000}"/>
    <cellStyle name="Normal 7 2 3 2 6 5" xfId="49161" xr:uid="{00000000-0005-0000-0000-000017C00000}"/>
    <cellStyle name="Normal 7 2 3 2 7" xfId="49162" xr:uid="{00000000-0005-0000-0000-000018C00000}"/>
    <cellStyle name="Normal 7 2 3 2 7 2" xfId="49163" xr:uid="{00000000-0005-0000-0000-000019C00000}"/>
    <cellStyle name="Normal 7 2 3 2 8" xfId="49164" xr:uid="{00000000-0005-0000-0000-00001AC00000}"/>
    <cellStyle name="Normal 7 2 3 2 8 2" xfId="49165" xr:uid="{00000000-0005-0000-0000-00001BC00000}"/>
    <cellStyle name="Normal 7 2 3 2 9" xfId="49166" xr:uid="{00000000-0005-0000-0000-00001CC00000}"/>
    <cellStyle name="Normal 7 2 3 3" xfId="49167" xr:uid="{00000000-0005-0000-0000-00001DC00000}"/>
    <cellStyle name="Normal 7 2 3 3 2" xfId="49168" xr:uid="{00000000-0005-0000-0000-00001EC00000}"/>
    <cellStyle name="Normal 7 2 3 3 2 2" xfId="49169" xr:uid="{00000000-0005-0000-0000-00001FC00000}"/>
    <cellStyle name="Normal 7 2 3 3 2 2 2" xfId="49170" xr:uid="{00000000-0005-0000-0000-000020C00000}"/>
    <cellStyle name="Normal 7 2 3 3 2 2 2 2" xfId="49171" xr:uid="{00000000-0005-0000-0000-000021C00000}"/>
    <cellStyle name="Normal 7 2 3 3 2 2 2 2 2" xfId="49172" xr:uid="{00000000-0005-0000-0000-000022C00000}"/>
    <cellStyle name="Normal 7 2 3 3 2 2 2 2 2 2" xfId="49173" xr:uid="{00000000-0005-0000-0000-000023C00000}"/>
    <cellStyle name="Normal 7 2 3 3 2 2 2 2 3" xfId="49174" xr:uid="{00000000-0005-0000-0000-000024C00000}"/>
    <cellStyle name="Normal 7 2 3 3 2 2 2 2 4" xfId="49175" xr:uid="{00000000-0005-0000-0000-000025C00000}"/>
    <cellStyle name="Normal 7 2 3 3 2 2 2 3" xfId="49176" xr:uid="{00000000-0005-0000-0000-000026C00000}"/>
    <cellStyle name="Normal 7 2 3 3 2 2 2 3 2" xfId="49177" xr:uid="{00000000-0005-0000-0000-000027C00000}"/>
    <cellStyle name="Normal 7 2 3 3 2 2 2 4" xfId="49178" xr:uid="{00000000-0005-0000-0000-000028C00000}"/>
    <cellStyle name="Normal 7 2 3 3 2 2 2 5" xfId="49179" xr:uid="{00000000-0005-0000-0000-000029C00000}"/>
    <cellStyle name="Normal 7 2 3 3 2 2 3" xfId="49180" xr:uid="{00000000-0005-0000-0000-00002AC00000}"/>
    <cellStyle name="Normal 7 2 3 3 2 2 3 2" xfId="49181" xr:uid="{00000000-0005-0000-0000-00002BC00000}"/>
    <cellStyle name="Normal 7 2 3 3 2 2 3 2 2" xfId="49182" xr:uid="{00000000-0005-0000-0000-00002CC00000}"/>
    <cellStyle name="Normal 7 2 3 3 2 2 3 3" xfId="49183" xr:uid="{00000000-0005-0000-0000-00002DC00000}"/>
    <cellStyle name="Normal 7 2 3 3 2 2 3 4" xfId="49184" xr:uid="{00000000-0005-0000-0000-00002EC00000}"/>
    <cellStyle name="Normal 7 2 3 3 2 2 4" xfId="49185" xr:uid="{00000000-0005-0000-0000-00002FC00000}"/>
    <cellStyle name="Normal 7 2 3 3 2 2 4 2" xfId="49186" xr:uid="{00000000-0005-0000-0000-000030C00000}"/>
    <cellStyle name="Normal 7 2 3 3 2 2 5" xfId="49187" xr:uid="{00000000-0005-0000-0000-000031C00000}"/>
    <cellStyle name="Normal 7 2 3 3 2 2 6" xfId="49188" xr:uid="{00000000-0005-0000-0000-000032C00000}"/>
    <cellStyle name="Normal 7 2 3 3 2 3" xfId="49189" xr:uid="{00000000-0005-0000-0000-000033C00000}"/>
    <cellStyle name="Normal 7 2 3 3 2 3 2" xfId="49190" xr:uid="{00000000-0005-0000-0000-000034C00000}"/>
    <cellStyle name="Normal 7 2 3 3 2 3 2 2" xfId="49191" xr:uid="{00000000-0005-0000-0000-000035C00000}"/>
    <cellStyle name="Normal 7 2 3 3 2 3 2 2 2" xfId="49192" xr:uid="{00000000-0005-0000-0000-000036C00000}"/>
    <cellStyle name="Normal 7 2 3 3 2 3 2 3" xfId="49193" xr:uid="{00000000-0005-0000-0000-000037C00000}"/>
    <cellStyle name="Normal 7 2 3 3 2 3 2 4" xfId="49194" xr:uid="{00000000-0005-0000-0000-000038C00000}"/>
    <cellStyle name="Normal 7 2 3 3 2 3 3" xfId="49195" xr:uid="{00000000-0005-0000-0000-000039C00000}"/>
    <cellStyle name="Normal 7 2 3 3 2 3 3 2" xfId="49196" xr:uid="{00000000-0005-0000-0000-00003AC00000}"/>
    <cellStyle name="Normal 7 2 3 3 2 3 4" xfId="49197" xr:uid="{00000000-0005-0000-0000-00003BC00000}"/>
    <cellStyle name="Normal 7 2 3 3 2 3 5" xfId="49198" xr:uid="{00000000-0005-0000-0000-00003CC00000}"/>
    <cellStyle name="Normal 7 2 3 3 2 4" xfId="49199" xr:uid="{00000000-0005-0000-0000-00003DC00000}"/>
    <cellStyle name="Normal 7 2 3 3 2 4 2" xfId="49200" xr:uid="{00000000-0005-0000-0000-00003EC00000}"/>
    <cellStyle name="Normal 7 2 3 3 2 4 2 2" xfId="49201" xr:uid="{00000000-0005-0000-0000-00003FC00000}"/>
    <cellStyle name="Normal 7 2 3 3 2 4 3" xfId="49202" xr:uid="{00000000-0005-0000-0000-000040C00000}"/>
    <cellStyle name="Normal 7 2 3 3 2 4 4" xfId="49203" xr:uid="{00000000-0005-0000-0000-000041C00000}"/>
    <cellStyle name="Normal 7 2 3 3 2 5" xfId="49204" xr:uid="{00000000-0005-0000-0000-000042C00000}"/>
    <cellStyle name="Normal 7 2 3 3 2 5 2" xfId="49205" xr:uid="{00000000-0005-0000-0000-000043C00000}"/>
    <cellStyle name="Normal 7 2 3 3 2 6" xfId="49206" xr:uid="{00000000-0005-0000-0000-000044C00000}"/>
    <cellStyle name="Normal 7 2 3 3 2 7" xfId="49207" xr:uid="{00000000-0005-0000-0000-000045C00000}"/>
    <cellStyle name="Normal 7 2 3 3 3" xfId="49208" xr:uid="{00000000-0005-0000-0000-000046C00000}"/>
    <cellStyle name="Normal 7 2 3 3 3 2" xfId="49209" xr:uid="{00000000-0005-0000-0000-000047C00000}"/>
    <cellStyle name="Normal 7 2 3 3 3 2 2" xfId="49210" xr:uid="{00000000-0005-0000-0000-000048C00000}"/>
    <cellStyle name="Normal 7 2 3 3 3 2 2 2" xfId="49211" xr:uid="{00000000-0005-0000-0000-000049C00000}"/>
    <cellStyle name="Normal 7 2 3 3 3 2 2 2 2" xfId="49212" xr:uid="{00000000-0005-0000-0000-00004AC00000}"/>
    <cellStyle name="Normal 7 2 3 3 3 2 2 3" xfId="49213" xr:uid="{00000000-0005-0000-0000-00004BC00000}"/>
    <cellStyle name="Normal 7 2 3 3 3 2 2 4" xfId="49214" xr:uid="{00000000-0005-0000-0000-00004CC00000}"/>
    <cellStyle name="Normal 7 2 3 3 3 2 3" xfId="49215" xr:uid="{00000000-0005-0000-0000-00004DC00000}"/>
    <cellStyle name="Normal 7 2 3 3 3 2 3 2" xfId="49216" xr:uid="{00000000-0005-0000-0000-00004EC00000}"/>
    <cellStyle name="Normal 7 2 3 3 3 2 4" xfId="49217" xr:uid="{00000000-0005-0000-0000-00004FC00000}"/>
    <cellStyle name="Normal 7 2 3 3 3 2 5" xfId="49218" xr:uid="{00000000-0005-0000-0000-000050C00000}"/>
    <cellStyle name="Normal 7 2 3 3 3 3" xfId="49219" xr:uid="{00000000-0005-0000-0000-000051C00000}"/>
    <cellStyle name="Normal 7 2 3 3 3 3 2" xfId="49220" xr:uid="{00000000-0005-0000-0000-000052C00000}"/>
    <cellStyle name="Normal 7 2 3 3 3 3 2 2" xfId="49221" xr:uid="{00000000-0005-0000-0000-000053C00000}"/>
    <cellStyle name="Normal 7 2 3 3 3 3 3" xfId="49222" xr:uid="{00000000-0005-0000-0000-000054C00000}"/>
    <cellStyle name="Normal 7 2 3 3 3 3 3 2" xfId="49223" xr:uid="{00000000-0005-0000-0000-000055C00000}"/>
    <cellStyle name="Normal 7 2 3 3 3 3 4" xfId="49224" xr:uid="{00000000-0005-0000-0000-000056C00000}"/>
    <cellStyle name="Normal 7 2 3 3 3 3 5" xfId="49225" xr:uid="{00000000-0005-0000-0000-000057C00000}"/>
    <cellStyle name="Normal 7 2 3 3 3 4" xfId="49226" xr:uid="{00000000-0005-0000-0000-000058C00000}"/>
    <cellStyle name="Normal 7 2 3 3 3 4 2" xfId="49227" xr:uid="{00000000-0005-0000-0000-000059C00000}"/>
    <cellStyle name="Normal 7 2 3 3 3 5" xfId="49228" xr:uid="{00000000-0005-0000-0000-00005AC00000}"/>
    <cellStyle name="Normal 7 2 3 3 3 5 2" xfId="49229" xr:uid="{00000000-0005-0000-0000-00005BC00000}"/>
    <cellStyle name="Normal 7 2 3 3 3 6" xfId="49230" xr:uid="{00000000-0005-0000-0000-00005CC00000}"/>
    <cellStyle name="Normal 7 2 3 3 3 7" xfId="49231" xr:uid="{00000000-0005-0000-0000-00005DC00000}"/>
    <cellStyle name="Normal 7 2 3 3 4" xfId="49232" xr:uid="{00000000-0005-0000-0000-00005EC00000}"/>
    <cellStyle name="Normal 7 2 3 3 4 2" xfId="49233" xr:uid="{00000000-0005-0000-0000-00005FC00000}"/>
    <cellStyle name="Normal 7 2 3 3 4 2 2" xfId="49234" xr:uid="{00000000-0005-0000-0000-000060C00000}"/>
    <cellStyle name="Normal 7 2 3 3 4 2 2 2" xfId="49235" xr:uid="{00000000-0005-0000-0000-000061C00000}"/>
    <cellStyle name="Normal 7 2 3 3 4 2 3" xfId="49236" xr:uid="{00000000-0005-0000-0000-000062C00000}"/>
    <cellStyle name="Normal 7 2 3 3 4 2 4" xfId="49237" xr:uid="{00000000-0005-0000-0000-000063C00000}"/>
    <cellStyle name="Normal 7 2 3 3 4 3" xfId="49238" xr:uid="{00000000-0005-0000-0000-000064C00000}"/>
    <cellStyle name="Normal 7 2 3 3 4 3 2" xfId="49239" xr:uid="{00000000-0005-0000-0000-000065C00000}"/>
    <cellStyle name="Normal 7 2 3 3 4 4" xfId="49240" xr:uid="{00000000-0005-0000-0000-000066C00000}"/>
    <cellStyle name="Normal 7 2 3 3 4 5" xfId="49241" xr:uid="{00000000-0005-0000-0000-000067C00000}"/>
    <cellStyle name="Normal 7 2 3 3 5" xfId="49242" xr:uid="{00000000-0005-0000-0000-000068C00000}"/>
    <cellStyle name="Normal 7 2 3 3 5 2" xfId="49243" xr:uid="{00000000-0005-0000-0000-000069C00000}"/>
    <cellStyle name="Normal 7 2 3 3 5 2 2" xfId="49244" xr:uid="{00000000-0005-0000-0000-00006AC00000}"/>
    <cellStyle name="Normal 7 2 3 3 5 3" xfId="49245" xr:uid="{00000000-0005-0000-0000-00006BC00000}"/>
    <cellStyle name="Normal 7 2 3 3 5 3 2" xfId="49246" xr:uid="{00000000-0005-0000-0000-00006CC00000}"/>
    <cellStyle name="Normal 7 2 3 3 5 4" xfId="49247" xr:uid="{00000000-0005-0000-0000-00006DC00000}"/>
    <cellStyle name="Normal 7 2 3 3 5 5" xfId="49248" xr:uid="{00000000-0005-0000-0000-00006EC00000}"/>
    <cellStyle name="Normal 7 2 3 3 6" xfId="49249" xr:uid="{00000000-0005-0000-0000-00006FC00000}"/>
    <cellStyle name="Normal 7 2 3 3 6 2" xfId="49250" xr:uid="{00000000-0005-0000-0000-000070C00000}"/>
    <cellStyle name="Normal 7 2 3 3 7" xfId="49251" xr:uid="{00000000-0005-0000-0000-000071C00000}"/>
    <cellStyle name="Normal 7 2 3 3 7 2" xfId="49252" xr:uid="{00000000-0005-0000-0000-000072C00000}"/>
    <cellStyle name="Normal 7 2 3 3 8" xfId="49253" xr:uid="{00000000-0005-0000-0000-000073C00000}"/>
    <cellStyle name="Normal 7 2 3 3 9" xfId="49254" xr:uid="{00000000-0005-0000-0000-000074C00000}"/>
    <cellStyle name="Normal 7 2 3 4" xfId="49255" xr:uid="{00000000-0005-0000-0000-000075C00000}"/>
    <cellStyle name="Normal 7 2 3 4 2" xfId="49256" xr:uid="{00000000-0005-0000-0000-000076C00000}"/>
    <cellStyle name="Normal 7 2 3 4 2 2" xfId="49257" xr:uid="{00000000-0005-0000-0000-000077C00000}"/>
    <cellStyle name="Normal 7 2 3 4 2 2 2" xfId="49258" xr:uid="{00000000-0005-0000-0000-000078C00000}"/>
    <cellStyle name="Normal 7 2 3 4 2 2 2 2" xfId="49259" xr:uid="{00000000-0005-0000-0000-000079C00000}"/>
    <cellStyle name="Normal 7 2 3 4 2 2 2 2 2" xfId="49260" xr:uid="{00000000-0005-0000-0000-00007AC00000}"/>
    <cellStyle name="Normal 7 2 3 4 2 2 2 3" xfId="49261" xr:uid="{00000000-0005-0000-0000-00007BC00000}"/>
    <cellStyle name="Normal 7 2 3 4 2 2 2 4" xfId="49262" xr:uid="{00000000-0005-0000-0000-00007CC00000}"/>
    <cellStyle name="Normal 7 2 3 4 2 2 3" xfId="49263" xr:uid="{00000000-0005-0000-0000-00007DC00000}"/>
    <cellStyle name="Normal 7 2 3 4 2 2 3 2" xfId="49264" xr:uid="{00000000-0005-0000-0000-00007EC00000}"/>
    <cellStyle name="Normal 7 2 3 4 2 2 4" xfId="49265" xr:uid="{00000000-0005-0000-0000-00007FC00000}"/>
    <cellStyle name="Normal 7 2 3 4 2 2 5" xfId="49266" xr:uid="{00000000-0005-0000-0000-000080C00000}"/>
    <cellStyle name="Normal 7 2 3 4 2 3" xfId="49267" xr:uid="{00000000-0005-0000-0000-000081C00000}"/>
    <cellStyle name="Normal 7 2 3 4 2 3 2" xfId="49268" xr:uid="{00000000-0005-0000-0000-000082C00000}"/>
    <cellStyle name="Normal 7 2 3 4 2 3 2 2" xfId="49269" xr:uid="{00000000-0005-0000-0000-000083C00000}"/>
    <cellStyle name="Normal 7 2 3 4 2 3 3" xfId="49270" xr:uid="{00000000-0005-0000-0000-000084C00000}"/>
    <cellStyle name="Normal 7 2 3 4 2 3 3 2" xfId="49271" xr:uid="{00000000-0005-0000-0000-000085C00000}"/>
    <cellStyle name="Normal 7 2 3 4 2 3 4" xfId="49272" xr:uid="{00000000-0005-0000-0000-000086C00000}"/>
    <cellStyle name="Normal 7 2 3 4 2 3 5" xfId="49273" xr:uid="{00000000-0005-0000-0000-000087C00000}"/>
    <cellStyle name="Normal 7 2 3 4 2 4" xfId="49274" xr:uid="{00000000-0005-0000-0000-000088C00000}"/>
    <cellStyle name="Normal 7 2 3 4 2 4 2" xfId="49275" xr:uid="{00000000-0005-0000-0000-000089C00000}"/>
    <cellStyle name="Normal 7 2 3 4 2 5" xfId="49276" xr:uid="{00000000-0005-0000-0000-00008AC00000}"/>
    <cellStyle name="Normal 7 2 3 4 2 5 2" xfId="49277" xr:uid="{00000000-0005-0000-0000-00008BC00000}"/>
    <cellStyle name="Normal 7 2 3 4 2 6" xfId="49278" xr:uid="{00000000-0005-0000-0000-00008CC00000}"/>
    <cellStyle name="Normal 7 2 3 4 2 7" xfId="49279" xr:uid="{00000000-0005-0000-0000-00008DC00000}"/>
    <cellStyle name="Normal 7 2 3 4 3" xfId="49280" xr:uid="{00000000-0005-0000-0000-00008EC00000}"/>
    <cellStyle name="Normal 7 2 3 4 3 2" xfId="49281" xr:uid="{00000000-0005-0000-0000-00008FC00000}"/>
    <cellStyle name="Normal 7 2 3 4 3 2 2" xfId="49282" xr:uid="{00000000-0005-0000-0000-000090C00000}"/>
    <cellStyle name="Normal 7 2 3 4 3 2 2 2" xfId="49283" xr:uid="{00000000-0005-0000-0000-000091C00000}"/>
    <cellStyle name="Normal 7 2 3 4 3 2 3" xfId="49284" xr:uid="{00000000-0005-0000-0000-000092C00000}"/>
    <cellStyle name="Normal 7 2 3 4 3 2 4" xfId="49285" xr:uid="{00000000-0005-0000-0000-000093C00000}"/>
    <cellStyle name="Normal 7 2 3 4 3 3" xfId="49286" xr:uid="{00000000-0005-0000-0000-000094C00000}"/>
    <cellStyle name="Normal 7 2 3 4 3 3 2" xfId="49287" xr:uid="{00000000-0005-0000-0000-000095C00000}"/>
    <cellStyle name="Normal 7 2 3 4 3 4" xfId="49288" xr:uid="{00000000-0005-0000-0000-000096C00000}"/>
    <cellStyle name="Normal 7 2 3 4 3 5" xfId="49289" xr:uid="{00000000-0005-0000-0000-000097C00000}"/>
    <cellStyle name="Normal 7 2 3 4 4" xfId="49290" xr:uid="{00000000-0005-0000-0000-000098C00000}"/>
    <cellStyle name="Normal 7 2 3 4 4 2" xfId="49291" xr:uid="{00000000-0005-0000-0000-000099C00000}"/>
    <cellStyle name="Normal 7 2 3 4 4 2 2" xfId="49292" xr:uid="{00000000-0005-0000-0000-00009AC00000}"/>
    <cellStyle name="Normal 7 2 3 4 4 3" xfId="49293" xr:uid="{00000000-0005-0000-0000-00009BC00000}"/>
    <cellStyle name="Normal 7 2 3 4 4 3 2" xfId="49294" xr:uid="{00000000-0005-0000-0000-00009CC00000}"/>
    <cellStyle name="Normal 7 2 3 4 4 4" xfId="49295" xr:uid="{00000000-0005-0000-0000-00009DC00000}"/>
    <cellStyle name="Normal 7 2 3 4 4 5" xfId="49296" xr:uid="{00000000-0005-0000-0000-00009EC00000}"/>
    <cellStyle name="Normal 7 2 3 4 5" xfId="49297" xr:uid="{00000000-0005-0000-0000-00009FC00000}"/>
    <cellStyle name="Normal 7 2 3 4 5 2" xfId="49298" xr:uid="{00000000-0005-0000-0000-0000A0C00000}"/>
    <cellStyle name="Normal 7 2 3 4 6" xfId="49299" xr:uid="{00000000-0005-0000-0000-0000A1C00000}"/>
    <cellStyle name="Normal 7 2 3 4 6 2" xfId="49300" xr:uid="{00000000-0005-0000-0000-0000A2C00000}"/>
    <cellStyle name="Normal 7 2 3 4 7" xfId="49301" xr:uid="{00000000-0005-0000-0000-0000A3C00000}"/>
    <cellStyle name="Normal 7 2 3 4 8" xfId="49302" xr:uid="{00000000-0005-0000-0000-0000A4C00000}"/>
    <cellStyle name="Normal 7 2 3 5" xfId="49303" xr:uid="{00000000-0005-0000-0000-0000A5C00000}"/>
    <cellStyle name="Normal 7 2 3 5 2" xfId="49304" xr:uid="{00000000-0005-0000-0000-0000A6C00000}"/>
    <cellStyle name="Normal 7 2 3 5 2 2" xfId="49305" xr:uid="{00000000-0005-0000-0000-0000A7C00000}"/>
    <cellStyle name="Normal 7 2 3 5 2 2 2" xfId="49306" xr:uid="{00000000-0005-0000-0000-0000A8C00000}"/>
    <cellStyle name="Normal 7 2 3 5 2 2 2 2" xfId="49307" xr:uid="{00000000-0005-0000-0000-0000A9C00000}"/>
    <cellStyle name="Normal 7 2 3 5 2 2 3" xfId="49308" xr:uid="{00000000-0005-0000-0000-0000AAC00000}"/>
    <cellStyle name="Normal 7 2 3 5 2 2 4" xfId="49309" xr:uid="{00000000-0005-0000-0000-0000ABC00000}"/>
    <cellStyle name="Normal 7 2 3 5 2 3" xfId="49310" xr:uid="{00000000-0005-0000-0000-0000ACC00000}"/>
    <cellStyle name="Normal 7 2 3 5 2 3 2" xfId="49311" xr:uid="{00000000-0005-0000-0000-0000ADC00000}"/>
    <cellStyle name="Normal 7 2 3 5 2 4" xfId="49312" xr:uid="{00000000-0005-0000-0000-0000AEC00000}"/>
    <cellStyle name="Normal 7 2 3 5 2 5" xfId="49313" xr:uid="{00000000-0005-0000-0000-0000AFC00000}"/>
    <cellStyle name="Normal 7 2 3 5 3" xfId="49314" xr:uid="{00000000-0005-0000-0000-0000B0C00000}"/>
    <cellStyle name="Normal 7 2 3 5 3 2" xfId="49315" xr:uid="{00000000-0005-0000-0000-0000B1C00000}"/>
    <cellStyle name="Normal 7 2 3 5 3 2 2" xfId="49316" xr:uid="{00000000-0005-0000-0000-0000B2C00000}"/>
    <cellStyle name="Normal 7 2 3 5 3 3" xfId="49317" xr:uid="{00000000-0005-0000-0000-0000B3C00000}"/>
    <cellStyle name="Normal 7 2 3 5 3 3 2" xfId="49318" xr:uid="{00000000-0005-0000-0000-0000B4C00000}"/>
    <cellStyle name="Normal 7 2 3 5 3 4" xfId="49319" xr:uid="{00000000-0005-0000-0000-0000B5C00000}"/>
    <cellStyle name="Normal 7 2 3 5 3 5" xfId="49320" xr:uid="{00000000-0005-0000-0000-0000B6C00000}"/>
    <cellStyle name="Normal 7 2 3 5 4" xfId="49321" xr:uid="{00000000-0005-0000-0000-0000B7C00000}"/>
    <cellStyle name="Normal 7 2 3 5 4 2" xfId="49322" xr:uid="{00000000-0005-0000-0000-0000B8C00000}"/>
    <cellStyle name="Normal 7 2 3 5 5" xfId="49323" xr:uid="{00000000-0005-0000-0000-0000B9C00000}"/>
    <cellStyle name="Normal 7 2 3 5 5 2" xfId="49324" xr:uid="{00000000-0005-0000-0000-0000BAC00000}"/>
    <cellStyle name="Normal 7 2 3 5 6" xfId="49325" xr:uid="{00000000-0005-0000-0000-0000BBC00000}"/>
    <cellStyle name="Normal 7 2 3 5 7" xfId="49326" xr:uid="{00000000-0005-0000-0000-0000BCC00000}"/>
    <cellStyle name="Normal 7 2 3 6" xfId="49327" xr:uid="{00000000-0005-0000-0000-0000BDC00000}"/>
    <cellStyle name="Normal 7 2 3 6 2" xfId="49328" xr:uid="{00000000-0005-0000-0000-0000BEC00000}"/>
    <cellStyle name="Normal 7 2 3 6 2 2" xfId="49329" xr:uid="{00000000-0005-0000-0000-0000BFC00000}"/>
    <cellStyle name="Normal 7 2 3 6 2 2 2" xfId="49330" xr:uid="{00000000-0005-0000-0000-0000C0C00000}"/>
    <cellStyle name="Normal 7 2 3 6 2 3" xfId="49331" xr:uid="{00000000-0005-0000-0000-0000C1C00000}"/>
    <cellStyle name="Normal 7 2 3 6 2 4" xfId="49332" xr:uid="{00000000-0005-0000-0000-0000C2C00000}"/>
    <cellStyle name="Normal 7 2 3 6 3" xfId="49333" xr:uid="{00000000-0005-0000-0000-0000C3C00000}"/>
    <cellStyle name="Normal 7 2 3 6 3 2" xfId="49334" xr:uid="{00000000-0005-0000-0000-0000C4C00000}"/>
    <cellStyle name="Normal 7 2 3 6 4" xfId="49335" xr:uid="{00000000-0005-0000-0000-0000C5C00000}"/>
    <cellStyle name="Normal 7 2 3 6 5" xfId="49336" xr:uid="{00000000-0005-0000-0000-0000C6C00000}"/>
    <cellStyle name="Normal 7 2 3 7" xfId="49337" xr:uid="{00000000-0005-0000-0000-0000C7C00000}"/>
    <cellStyle name="Normal 7 2 3 7 2" xfId="49338" xr:uid="{00000000-0005-0000-0000-0000C8C00000}"/>
    <cellStyle name="Normal 7 2 3 7 2 2" xfId="49339" xr:uid="{00000000-0005-0000-0000-0000C9C00000}"/>
    <cellStyle name="Normal 7 2 3 7 3" xfId="49340" xr:uid="{00000000-0005-0000-0000-0000CAC00000}"/>
    <cellStyle name="Normal 7 2 3 7 3 2" xfId="49341" xr:uid="{00000000-0005-0000-0000-0000CBC00000}"/>
    <cellStyle name="Normal 7 2 3 7 4" xfId="49342" xr:uid="{00000000-0005-0000-0000-0000CCC00000}"/>
    <cellStyle name="Normal 7 2 3 7 5" xfId="49343" xr:uid="{00000000-0005-0000-0000-0000CDC00000}"/>
    <cellStyle name="Normal 7 2 3 8" xfId="49344" xr:uid="{00000000-0005-0000-0000-0000CEC00000}"/>
    <cellStyle name="Normal 7 2 3 8 2" xfId="49345" xr:uid="{00000000-0005-0000-0000-0000CFC00000}"/>
    <cellStyle name="Normal 7 2 3 9" xfId="49346" xr:uid="{00000000-0005-0000-0000-0000D0C00000}"/>
    <cellStyle name="Normal 7 2 3 9 2" xfId="49347" xr:uid="{00000000-0005-0000-0000-0000D1C00000}"/>
    <cellStyle name="Normal 7 2 4" xfId="49348" xr:uid="{00000000-0005-0000-0000-0000D2C00000}"/>
    <cellStyle name="Normal 7 2 4 10" xfId="49349" xr:uid="{00000000-0005-0000-0000-0000D3C00000}"/>
    <cellStyle name="Normal 7 2 4 2" xfId="49350" xr:uid="{00000000-0005-0000-0000-0000D4C00000}"/>
    <cellStyle name="Normal 7 2 4 2 2" xfId="49351" xr:uid="{00000000-0005-0000-0000-0000D5C00000}"/>
    <cellStyle name="Normal 7 2 4 2 2 2" xfId="49352" xr:uid="{00000000-0005-0000-0000-0000D6C00000}"/>
    <cellStyle name="Normal 7 2 4 2 2 2 2" xfId="49353" xr:uid="{00000000-0005-0000-0000-0000D7C00000}"/>
    <cellStyle name="Normal 7 2 4 2 2 2 2 2" xfId="49354" xr:uid="{00000000-0005-0000-0000-0000D8C00000}"/>
    <cellStyle name="Normal 7 2 4 2 2 2 2 2 2" xfId="49355" xr:uid="{00000000-0005-0000-0000-0000D9C00000}"/>
    <cellStyle name="Normal 7 2 4 2 2 2 2 2 2 2" xfId="49356" xr:uid="{00000000-0005-0000-0000-0000DAC00000}"/>
    <cellStyle name="Normal 7 2 4 2 2 2 2 2 3" xfId="49357" xr:uid="{00000000-0005-0000-0000-0000DBC00000}"/>
    <cellStyle name="Normal 7 2 4 2 2 2 2 2 4" xfId="49358" xr:uid="{00000000-0005-0000-0000-0000DCC00000}"/>
    <cellStyle name="Normal 7 2 4 2 2 2 2 3" xfId="49359" xr:uid="{00000000-0005-0000-0000-0000DDC00000}"/>
    <cellStyle name="Normal 7 2 4 2 2 2 2 3 2" xfId="49360" xr:uid="{00000000-0005-0000-0000-0000DEC00000}"/>
    <cellStyle name="Normal 7 2 4 2 2 2 2 4" xfId="49361" xr:uid="{00000000-0005-0000-0000-0000DFC00000}"/>
    <cellStyle name="Normal 7 2 4 2 2 2 2 5" xfId="49362" xr:uid="{00000000-0005-0000-0000-0000E0C00000}"/>
    <cellStyle name="Normal 7 2 4 2 2 2 3" xfId="49363" xr:uid="{00000000-0005-0000-0000-0000E1C00000}"/>
    <cellStyle name="Normal 7 2 4 2 2 2 3 2" xfId="49364" xr:uid="{00000000-0005-0000-0000-0000E2C00000}"/>
    <cellStyle name="Normal 7 2 4 2 2 2 3 2 2" xfId="49365" xr:uid="{00000000-0005-0000-0000-0000E3C00000}"/>
    <cellStyle name="Normal 7 2 4 2 2 2 3 3" xfId="49366" xr:uid="{00000000-0005-0000-0000-0000E4C00000}"/>
    <cellStyle name="Normal 7 2 4 2 2 2 3 4" xfId="49367" xr:uid="{00000000-0005-0000-0000-0000E5C00000}"/>
    <cellStyle name="Normal 7 2 4 2 2 2 4" xfId="49368" xr:uid="{00000000-0005-0000-0000-0000E6C00000}"/>
    <cellStyle name="Normal 7 2 4 2 2 2 4 2" xfId="49369" xr:uid="{00000000-0005-0000-0000-0000E7C00000}"/>
    <cellStyle name="Normal 7 2 4 2 2 2 5" xfId="49370" xr:uid="{00000000-0005-0000-0000-0000E8C00000}"/>
    <cellStyle name="Normal 7 2 4 2 2 2 6" xfId="49371" xr:uid="{00000000-0005-0000-0000-0000E9C00000}"/>
    <cellStyle name="Normal 7 2 4 2 2 3" xfId="49372" xr:uid="{00000000-0005-0000-0000-0000EAC00000}"/>
    <cellStyle name="Normal 7 2 4 2 2 3 2" xfId="49373" xr:uid="{00000000-0005-0000-0000-0000EBC00000}"/>
    <cellStyle name="Normal 7 2 4 2 2 3 2 2" xfId="49374" xr:uid="{00000000-0005-0000-0000-0000ECC00000}"/>
    <cellStyle name="Normal 7 2 4 2 2 3 2 2 2" xfId="49375" xr:uid="{00000000-0005-0000-0000-0000EDC00000}"/>
    <cellStyle name="Normal 7 2 4 2 2 3 2 3" xfId="49376" xr:uid="{00000000-0005-0000-0000-0000EEC00000}"/>
    <cellStyle name="Normal 7 2 4 2 2 3 2 4" xfId="49377" xr:uid="{00000000-0005-0000-0000-0000EFC00000}"/>
    <cellStyle name="Normal 7 2 4 2 2 3 3" xfId="49378" xr:uid="{00000000-0005-0000-0000-0000F0C00000}"/>
    <cellStyle name="Normal 7 2 4 2 2 3 3 2" xfId="49379" xr:uid="{00000000-0005-0000-0000-0000F1C00000}"/>
    <cellStyle name="Normal 7 2 4 2 2 3 4" xfId="49380" xr:uid="{00000000-0005-0000-0000-0000F2C00000}"/>
    <cellStyle name="Normal 7 2 4 2 2 3 5" xfId="49381" xr:uid="{00000000-0005-0000-0000-0000F3C00000}"/>
    <cellStyle name="Normal 7 2 4 2 2 4" xfId="49382" xr:uid="{00000000-0005-0000-0000-0000F4C00000}"/>
    <cellStyle name="Normal 7 2 4 2 2 4 2" xfId="49383" xr:uid="{00000000-0005-0000-0000-0000F5C00000}"/>
    <cellStyle name="Normal 7 2 4 2 2 4 2 2" xfId="49384" xr:uid="{00000000-0005-0000-0000-0000F6C00000}"/>
    <cellStyle name="Normal 7 2 4 2 2 4 3" xfId="49385" xr:uid="{00000000-0005-0000-0000-0000F7C00000}"/>
    <cellStyle name="Normal 7 2 4 2 2 4 4" xfId="49386" xr:uid="{00000000-0005-0000-0000-0000F8C00000}"/>
    <cellStyle name="Normal 7 2 4 2 2 5" xfId="49387" xr:uid="{00000000-0005-0000-0000-0000F9C00000}"/>
    <cellStyle name="Normal 7 2 4 2 2 5 2" xfId="49388" xr:uid="{00000000-0005-0000-0000-0000FAC00000}"/>
    <cellStyle name="Normal 7 2 4 2 2 6" xfId="49389" xr:uid="{00000000-0005-0000-0000-0000FBC00000}"/>
    <cellStyle name="Normal 7 2 4 2 2 7" xfId="49390" xr:uid="{00000000-0005-0000-0000-0000FCC00000}"/>
    <cellStyle name="Normal 7 2 4 2 3" xfId="49391" xr:uid="{00000000-0005-0000-0000-0000FDC00000}"/>
    <cellStyle name="Normal 7 2 4 2 3 2" xfId="49392" xr:uid="{00000000-0005-0000-0000-0000FEC00000}"/>
    <cellStyle name="Normal 7 2 4 2 3 2 2" xfId="49393" xr:uid="{00000000-0005-0000-0000-0000FFC00000}"/>
    <cellStyle name="Normal 7 2 4 2 3 2 2 2" xfId="49394" xr:uid="{00000000-0005-0000-0000-000000C10000}"/>
    <cellStyle name="Normal 7 2 4 2 3 2 2 2 2" xfId="49395" xr:uid="{00000000-0005-0000-0000-000001C10000}"/>
    <cellStyle name="Normal 7 2 4 2 3 2 2 3" xfId="49396" xr:uid="{00000000-0005-0000-0000-000002C10000}"/>
    <cellStyle name="Normal 7 2 4 2 3 2 2 4" xfId="49397" xr:uid="{00000000-0005-0000-0000-000003C10000}"/>
    <cellStyle name="Normal 7 2 4 2 3 2 3" xfId="49398" xr:uid="{00000000-0005-0000-0000-000004C10000}"/>
    <cellStyle name="Normal 7 2 4 2 3 2 3 2" xfId="49399" xr:uid="{00000000-0005-0000-0000-000005C10000}"/>
    <cellStyle name="Normal 7 2 4 2 3 2 4" xfId="49400" xr:uid="{00000000-0005-0000-0000-000006C10000}"/>
    <cellStyle name="Normal 7 2 4 2 3 2 5" xfId="49401" xr:uid="{00000000-0005-0000-0000-000007C10000}"/>
    <cellStyle name="Normal 7 2 4 2 3 3" xfId="49402" xr:uid="{00000000-0005-0000-0000-000008C10000}"/>
    <cellStyle name="Normal 7 2 4 2 3 3 2" xfId="49403" xr:uid="{00000000-0005-0000-0000-000009C10000}"/>
    <cellStyle name="Normal 7 2 4 2 3 3 2 2" xfId="49404" xr:uid="{00000000-0005-0000-0000-00000AC10000}"/>
    <cellStyle name="Normal 7 2 4 2 3 3 3" xfId="49405" xr:uid="{00000000-0005-0000-0000-00000BC10000}"/>
    <cellStyle name="Normal 7 2 4 2 3 3 3 2" xfId="49406" xr:uid="{00000000-0005-0000-0000-00000CC10000}"/>
    <cellStyle name="Normal 7 2 4 2 3 3 4" xfId="49407" xr:uid="{00000000-0005-0000-0000-00000DC10000}"/>
    <cellStyle name="Normal 7 2 4 2 3 3 5" xfId="49408" xr:uid="{00000000-0005-0000-0000-00000EC10000}"/>
    <cellStyle name="Normal 7 2 4 2 3 4" xfId="49409" xr:uid="{00000000-0005-0000-0000-00000FC10000}"/>
    <cellStyle name="Normal 7 2 4 2 3 4 2" xfId="49410" xr:uid="{00000000-0005-0000-0000-000010C10000}"/>
    <cellStyle name="Normal 7 2 4 2 3 5" xfId="49411" xr:uid="{00000000-0005-0000-0000-000011C10000}"/>
    <cellStyle name="Normal 7 2 4 2 3 5 2" xfId="49412" xr:uid="{00000000-0005-0000-0000-000012C10000}"/>
    <cellStyle name="Normal 7 2 4 2 3 6" xfId="49413" xr:uid="{00000000-0005-0000-0000-000013C10000}"/>
    <cellStyle name="Normal 7 2 4 2 3 7" xfId="49414" xr:uid="{00000000-0005-0000-0000-000014C10000}"/>
    <cellStyle name="Normal 7 2 4 2 4" xfId="49415" xr:uid="{00000000-0005-0000-0000-000015C10000}"/>
    <cellStyle name="Normal 7 2 4 2 4 2" xfId="49416" xr:uid="{00000000-0005-0000-0000-000016C10000}"/>
    <cellStyle name="Normal 7 2 4 2 4 2 2" xfId="49417" xr:uid="{00000000-0005-0000-0000-000017C10000}"/>
    <cellStyle name="Normal 7 2 4 2 4 2 2 2" xfId="49418" xr:uid="{00000000-0005-0000-0000-000018C10000}"/>
    <cellStyle name="Normal 7 2 4 2 4 2 3" xfId="49419" xr:uid="{00000000-0005-0000-0000-000019C10000}"/>
    <cellStyle name="Normal 7 2 4 2 4 2 4" xfId="49420" xr:uid="{00000000-0005-0000-0000-00001AC10000}"/>
    <cellStyle name="Normal 7 2 4 2 4 3" xfId="49421" xr:uid="{00000000-0005-0000-0000-00001BC10000}"/>
    <cellStyle name="Normal 7 2 4 2 4 3 2" xfId="49422" xr:uid="{00000000-0005-0000-0000-00001CC10000}"/>
    <cellStyle name="Normal 7 2 4 2 4 4" xfId="49423" xr:uid="{00000000-0005-0000-0000-00001DC10000}"/>
    <cellStyle name="Normal 7 2 4 2 4 5" xfId="49424" xr:uid="{00000000-0005-0000-0000-00001EC10000}"/>
    <cellStyle name="Normal 7 2 4 2 5" xfId="49425" xr:uid="{00000000-0005-0000-0000-00001FC10000}"/>
    <cellStyle name="Normal 7 2 4 2 5 2" xfId="49426" xr:uid="{00000000-0005-0000-0000-000020C10000}"/>
    <cellStyle name="Normal 7 2 4 2 5 2 2" xfId="49427" xr:uid="{00000000-0005-0000-0000-000021C10000}"/>
    <cellStyle name="Normal 7 2 4 2 5 3" xfId="49428" xr:uid="{00000000-0005-0000-0000-000022C10000}"/>
    <cellStyle name="Normal 7 2 4 2 5 3 2" xfId="49429" xr:uid="{00000000-0005-0000-0000-000023C10000}"/>
    <cellStyle name="Normal 7 2 4 2 5 4" xfId="49430" xr:uid="{00000000-0005-0000-0000-000024C10000}"/>
    <cellStyle name="Normal 7 2 4 2 5 5" xfId="49431" xr:uid="{00000000-0005-0000-0000-000025C10000}"/>
    <cellStyle name="Normal 7 2 4 2 6" xfId="49432" xr:uid="{00000000-0005-0000-0000-000026C10000}"/>
    <cellStyle name="Normal 7 2 4 2 6 2" xfId="49433" xr:uid="{00000000-0005-0000-0000-000027C10000}"/>
    <cellStyle name="Normal 7 2 4 2 7" xfId="49434" xr:uid="{00000000-0005-0000-0000-000028C10000}"/>
    <cellStyle name="Normal 7 2 4 2 7 2" xfId="49435" xr:uid="{00000000-0005-0000-0000-000029C10000}"/>
    <cellStyle name="Normal 7 2 4 2 8" xfId="49436" xr:uid="{00000000-0005-0000-0000-00002AC10000}"/>
    <cellStyle name="Normal 7 2 4 2 9" xfId="49437" xr:uid="{00000000-0005-0000-0000-00002BC10000}"/>
    <cellStyle name="Normal 7 2 4 3" xfId="49438" xr:uid="{00000000-0005-0000-0000-00002CC10000}"/>
    <cellStyle name="Normal 7 2 4 3 2" xfId="49439" xr:uid="{00000000-0005-0000-0000-00002DC10000}"/>
    <cellStyle name="Normal 7 2 4 3 2 2" xfId="49440" xr:uid="{00000000-0005-0000-0000-00002EC10000}"/>
    <cellStyle name="Normal 7 2 4 3 2 2 2" xfId="49441" xr:uid="{00000000-0005-0000-0000-00002FC10000}"/>
    <cellStyle name="Normal 7 2 4 3 2 2 2 2" xfId="49442" xr:uid="{00000000-0005-0000-0000-000030C10000}"/>
    <cellStyle name="Normal 7 2 4 3 2 2 2 2 2" xfId="49443" xr:uid="{00000000-0005-0000-0000-000031C10000}"/>
    <cellStyle name="Normal 7 2 4 3 2 2 2 3" xfId="49444" xr:uid="{00000000-0005-0000-0000-000032C10000}"/>
    <cellStyle name="Normal 7 2 4 3 2 2 2 4" xfId="49445" xr:uid="{00000000-0005-0000-0000-000033C10000}"/>
    <cellStyle name="Normal 7 2 4 3 2 2 3" xfId="49446" xr:uid="{00000000-0005-0000-0000-000034C10000}"/>
    <cellStyle name="Normal 7 2 4 3 2 2 3 2" xfId="49447" xr:uid="{00000000-0005-0000-0000-000035C10000}"/>
    <cellStyle name="Normal 7 2 4 3 2 2 4" xfId="49448" xr:uid="{00000000-0005-0000-0000-000036C10000}"/>
    <cellStyle name="Normal 7 2 4 3 2 2 5" xfId="49449" xr:uid="{00000000-0005-0000-0000-000037C10000}"/>
    <cellStyle name="Normal 7 2 4 3 2 3" xfId="49450" xr:uid="{00000000-0005-0000-0000-000038C10000}"/>
    <cellStyle name="Normal 7 2 4 3 2 3 2" xfId="49451" xr:uid="{00000000-0005-0000-0000-000039C10000}"/>
    <cellStyle name="Normal 7 2 4 3 2 3 2 2" xfId="49452" xr:uid="{00000000-0005-0000-0000-00003AC10000}"/>
    <cellStyle name="Normal 7 2 4 3 2 3 3" xfId="49453" xr:uid="{00000000-0005-0000-0000-00003BC10000}"/>
    <cellStyle name="Normal 7 2 4 3 2 3 3 2" xfId="49454" xr:uid="{00000000-0005-0000-0000-00003CC10000}"/>
    <cellStyle name="Normal 7 2 4 3 2 3 4" xfId="49455" xr:uid="{00000000-0005-0000-0000-00003DC10000}"/>
    <cellStyle name="Normal 7 2 4 3 2 3 5" xfId="49456" xr:uid="{00000000-0005-0000-0000-00003EC10000}"/>
    <cellStyle name="Normal 7 2 4 3 2 4" xfId="49457" xr:uid="{00000000-0005-0000-0000-00003FC10000}"/>
    <cellStyle name="Normal 7 2 4 3 2 4 2" xfId="49458" xr:uid="{00000000-0005-0000-0000-000040C10000}"/>
    <cellStyle name="Normal 7 2 4 3 2 5" xfId="49459" xr:uid="{00000000-0005-0000-0000-000041C10000}"/>
    <cellStyle name="Normal 7 2 4 3 2 5 2" xfId="49460" xr:uid="{00000000-0005-0000-0000-000042C10000}"/>
    <cellStyle name="Normal 7 2 4 3 2 6" xfId="49461" xr:uid="{00000000-0005-0000-0000-000043C10000}"/>
    <cellStyle name="Normal 7 2 4 3 2 7" xfId="49462" xr:uid="{00000000-0005-0000-0000-000044C10000}"/>
    <cellStyle name="Normal 7 2 4 3 3" xfId="49463" xr:uid="{00000000-0005-0000-0000-000045C10000}"/>
    <cellStyle name="Normal 7 2 4 3 3 2" xfId="49464" xr:uid="{00000000-0005-0000-0000-000046C10000}"/>
    <cellStyle name="Normal 7 2 4 3 3 2 2" xfId="49465" xr:uid="{00000000-0005-0000-0000-000047C10000}"/>
    <cellStyle name="Normal 7 2 4 3 3 2 2 2" xfId="49466" xr:uid="{00000000-0005-0000-0000-000048C10000}"/>
    <cellStyle name="Normal 7 2 4 3 3 2 3" xfId="49467" xr:uid="{00000000-0005-0000-0000-000049C10000}"/>
    <cellStyle name="Normal 7 2 4 3 3 2 4" xfId="49468" xr:uid="{00000000-0005-0000-0000-00004AC10000}"/>
    <cellStyle name="Normal 7 2 4 3 3 3" xfId="49469" xr:uid="{00000000-0005-0000-0000-00004BC10000}"/>
    <cellStyle name="Normal 7 2 4 3 3 3 2" xfId="49470" xr:uid="{00000000-0005-0000-0000-00004CC10000}"/>
    <cellStyle name="Normal 7 2 4 3 3 4" xfId="49471" xr:uid="{00000000-0005-0000-0000-00004DC10000}"/>
    <cellStyle name="Normal 7 2 4 3 3 5" xfId="49472" xr:uid="{00000000-0005-0000-0000-00004EC10000}"/>
    <cellStyle name="Normal 7 2 4 3 4" xfId="49473" xr:uid="{00000000-0005-0000-0000-00004FC10000}"/>
    <cellStyle name="Normal 7 2 4 3 4 2" xfId="49474" xr:uid="{00000000-0005-0000-0000-000050C10000}"/>
    <cellStyle name="Normal 7 2 4 3 4 2 2" xfId="49475" xr:uid="{00000000-0005-0000-0000-000051C10000}"/>
    <cellStyle name="Normal 7 2 4 3 4 3" xfId="49476" xr:uid="{00000000-0005-0000-0000-000052C10000}"/>
    <cellStyle name="Normal 7 2 4 3 4 3 2" xfId="49477" xr:uid="{00000000-0005-0000-0000-000053C10000}"/>
    <cellStyle name="Normal 7 2 4 3 4 4" xfId="49478" xr:uid="{00000000-0005-0000-0000-000054C10000}"/>
    <cellStyle name="Normal 7 2 4 3 4 5" xfId="49479" xr:uid="{00000000-0005-0000-0000-000055C10000}"/>
    <cellStyle name="Normal 7 2 4 3 5" xfId="49480" xr:uid="{00000000-0005-0000-0000-000056C10000}"/>
    <cellStyle name="Normal 7 2 4 3 5 2" xfId="49481" xr:uid="{00000000-0005-0000-0000-000057C10000}"/>
    <cellStyle name="Normal 7 2 4 3 6" xfId="49482" xr:uid="{00000000-0005-0000-0000-000058C10000}"/>
    <cellStyle name="Normal 7 2 4 3 6 2" xfId="49483" xr:uid="{00000000-0005-0000-0000-000059C10000}"/>
    <cellStyle name="Normal 7 2 4 3 7" xfId="49484" xr:uid="{00000000-0005-0000-0000-00005AC10000}"/>
    <cellStyle name="Normal 7 2 4 3 8" xfId="49485" xr:uid="{00000000-0005-0000-0000-00005BC10000}"/>
    <cellStyle name="Normal 7 2 4 4" xfId="49486" xr:uid="{00000000-0005-0000-0000-00005CC10000}"/>
    <cellStyle name="Normal 7 2 4 4 2" xfId="49487" xr:uid="{00000000-0005-0000-0000-00005DC10000}"/>
    <cellStyle name="Normal 7 2 4 4 2 2" xfId="49488" xr:uid="{00000000-0005-0000-0000-00005EC10000}"/>
    <cellStyle name="Normal 7 2 4 4 2 2 2" xfId="49489" xr:uid="{00000000-0005-0000-0000-00005FC10000}"/>
    <cellStyle name="Normal 7 2 4 4 2 2 2 2" xfId="49490" xr:uid="{00000000-0005-0000-0000-000060C10000}"/>
    <cellStyle name="Normal 7 2 4 4 2 2 3" xfId="49491" xr:uid="{00000000-0005-0000-0000-000061C10000}"/>
    <cellStyle name="Normal 7 2 4 4 2 2 4" xfId="49492" xr:uid="{00000000-0005-0000-0000-000062C10000}"/>
    <cellStyle name="Normal 7 2 4 4 2 3" xfId="49493" xr:uid="{00000000-0005-0000-0000-000063C10000}"/>
    <cellStyle name="Normal 7 2 4 4 2 3 2" xfId="49494" xr:uid="{00000000-0005-0000-0000-000064C10000}"/>
    <cellStyle name="Normal 7 2 4 4 2 4" xfId="49495" xr:uid="{00000000-0005-0000-0000-000065C10000}"/>
    <cellStyle name="Normal 7 2 4 4 2 5" xfId="49496" xr:uid="{00000000-0005-0000-0000-000066C10000}"/>
    <cellStyle name="Normal 7 2 4 4 3" xfId="49497" xr:uid="{00000000-0005-0000-0000-000067C10000}"/>
    <cellStyle name="Normal 7 2 4 4 3 2" xfId="49498" xr:uid="{00000000-0005-0000-0000-000068C10000}"/>
    <cellStyle name="Normal 7 2 4 4 3 2 2" xfId="49499" xr:uid="{00000000-0005-0000-0000-000069C10000}"/>
    <cellStyle name="Normal 7 2 4 4 3 3" xfId="49500" xr:uid="{00000000-0005-0000-0000-00006AC10000}"/>
    <cellStyle name="Normal 7 2 4 4 3 3 2" xfId="49501" xr:uid="{00000000-0005-0000-0000-00006BC10000}"/>
    <cellStyle name="Normal 7 2 4 4 3 4" xfId="49502" xr:uid="{00000000-0005-0000-0000-00006CC10000}"/>
    <cellStyle name="Normal 7 2 4 4 3 5" xfId="49503" xr:uid="{00000000-0005-0000-0000-00006DC10000}"/>
    <cellStyle name="Normal 7 2 4 4 4" xfId="49504" xr:uid="{00000000-0005-0000-0000-00006EC10000}"/>
    <cellStyle name="Normal 7 2 4 4 4 2" xfId="49505" xr:uid="{00000000-0005-0000-0000-00006FC10000}"/>
    <cellStyle name="Normal 7 2 4 4 5" xfId="49506" xr:uid="{00000000-0005-0000-0000-000070C10000}"/>
    <cellStyle name="Normal 7 2 4 4 5 2" xfId="49507" xr:uid="{00000000-0005-0000-0000-000071C10000}"/>
    <cellStyle name="Normal 7 2 4 4 6" xfId="49508" xr:uid="{00000000-0005-0000-0000-000072C10000}"/>
    <cellStyle name="Normal 7 2 4 4 7" xfId="49509" xr:uid="{00000000-0005-0000-0000-000073C10000}"/>
    <cellStyle name="Normal 7 2 4 5" xfId="49510" xr:uid="{00000000-0005-0000-0000-000074C10000}"/>
    <cellStyle name="Normal 7 2 4 5 2" xfId="49511" xr:uid="{00000000-0005-0000-0000-000075C10000}"/>
    <cellStyle name="Normal 7 2 4 5 2 2" xfId="49512" xr:uid="{00000000-0005-0000-0000-000076C10000}"/>
    <cellStyle name="Normal 7 2 4 5 2 2 2" xfId="49513" xr:uid="{00000000-0005-0000-0000-000077C10000}"/>
    <cellStyle name="Normal 7 2 4 5 2 3" xfId="49514" xr:uid="{00000000-0005-0000-0000-000078C10000}"/>
    <cellStyle name="Normal 7 2 4 5 2 4" xfId="49515" xr:uid="{00000000-0005-0000-0000-000079C10000}"/>
    <cellStyle name="Normal 7 2 4 5 3" xfId="49516" xr:uid="{00000000-0005-0000-0000-00007AC10000}"/>
    <cellStyle name="Normal 7 2 4 5 3 2" xfId="49517" xr:uid="{00000000-0005-0000-0000-00007BC10000}"/>
    <cellStyle name="Normal 7 2 4 5 4" xfId="49518" xr:uid="{00000000-0005-0000-0000-00007CC10000}"/>
    <cellStyle name="Normal 7 2 4 5 5" xfId="49519" xr:uid="{00000000-0005-0000-0000-00007DC10000}"/>
    <cellStyle name="Normal 7 2 4 6" xfId="49520" xr:uid="{00000000-0005-0000-0000-00007EC10000}"/>
    <cellStyle name="Normal 7 2 4 6 2" xfId="49521" xr:uid="{00000000-0005-0000-0000-00007FC10000}"/>
    <cellStyle name="Normal 7 2 4 6 2 2" xfId="49522" xr:uid="{00000000-0005-0000-0000-000080C10000}"/>
    <cellStyle name="Normal 7 2 4 6 3" xfId="49523" xr:uid="{00000000-0005-0000-0000-000081C10000}"/>
    <cellStyle name="Normal 7 2 4 6 3 2" xfId="49524" xr:uid="{00000000-0005-0000-0000-000082C10000}"/>
    <cellStyle name="Normal 7 2 4 6 4" xfId="49525" xr:uid="{00000000-0005-0000-0000-000083C10000}"/>
    <cellStyle name="Normal 7 2 4 6 5" xfId="49526" xr:uid="{00000000-0005-0000-0000-000084C10000}"/>
    <cellStyle name="Normal 7 2 4 7" xfId="49527" xr:uid="{00000000-0005-0000-0000-000085C10000}"/>
    <cellStyle name="Normal 7 2 4 7 2" xfId="49528" xr:uid="{00000000-0005-0000-0000-000086C10000}"/>
    <cellStyle name="Normal 7 2 4 8" xfId="49529" xr:uid="{00000000-0005-0000-0000-000087C10000}"/>
    <cellStyle name="Normal 7 2 4 8 2" xfId="49530" xr:uid="{00000000-0005-0000-0000-000088C10000}"/>
    <cellStyle name="Normal 7 2 4 9" xfId="49531" xr:uid="{00000000-0005-0000-0000-000089C10000}"/>
    <cellStyle name="Normal 7 2 5" xfId="49532" xr:uid="{00000000-0005-0000-0000-00008AC10000}"/>
    <cellStyle name="Normal 7 2 5 2" xfId="49533" xr:uid="{00000000-0005-0000-0000-00008BC10000}"/>
    <cellStyle name="Normal 7 2 5 2 2" xfId="49534" xr:uid="{00000000-0005-0000-0000-00008CC10000}"/>
    <cellStyle name="Normal 7 2 5 2 2 2" xfId="49535" xr:uid="{00000000-0005-0000-0000-00008DC10000}"/>
    <cellStyle name="Normal 7 2 5 2 2 2 2" xfId="49536" xr:uid="{00000000-0005-0000-0000-00008EC10000}"/>
    <cellStyle name="Normal 7 2 5 2 2 2 2 2" xfId="49537" xr:uid="{00000000-0005-0000-0000-00008FC10000}"/>
    <cellStyle name="Normal 7 2 5 2 2 2 2 2 2" xfId="49538" xr:uid="{00000000-0005-0000-0000-000090C10000}"/>
    <cellStyle name="Normal 7 2 5 2 2 2 2 3" xfId="49539" xr:uid="{00000000-0005-0000-0000-000091C10000}"/>
    <cellStyle name="Normal 7 2 5 2 2 2 2 4" xfId="49540" xr:uid="{00000000-0005-0000-0000-000092C10000}"/>
    <cellStyle name="Normal 7 2 5 2 2 2 3" xfId="49541" xr:uid="{00000000-0005-0000-0000-000093C10000}"/>
    <cellStyle name="Normal 7 2 5 2 2 2 3 2" xfId="49542" xr:uid="{00000000-0005-0000-0000-000094C10000}"/>
    <cellStyle name="Normal 7 2 5 2 2 2 4" xfId="49543" xr:uid="{00000000-0005-0000-0000-000095C10000}"/>
    <cellStyle name="Normal 7 2 5 2 2 2 5" xfId="49544" xr:uid="{00000000-0005-0000-0000-000096C10000}"/>
    <cellStyle name="Normal 7 2 5 2 2 3" xfId="49545" xr:uid="{00000000-0005-0000-0000-000097C10000}"/>
    <cellStyle name="Normal 7 2 5 2 2 3 2" xfId="49546" xr:uid="{00000000-0005-0000-0000-000098C10000}"/>
    <cellStyle name="Normal 7 2 5 2 2 3 2 2" xfId="49547" xr:uid="{00000000-0005-0000-0000-000099C10000}"/>
    <cellStyle name="Normal 7 2 5 2 2 3 3" xfId="49548" xr:uid="{00000000-0005-0000-0000-00009AC10000}"/>
    <cellStyle name="Normal 7 2 5 2 2 3 4" xfId="49549" xr:uid="{00000000-0005-0000-0000-00009BC10000}"/>
    <cellStyle name="Normal 7 2 5 2 2 4" xfId="49550" xr:uid="{00000000-0005-0000-0000-00009CC10000}"/>
    <cellStyle name="Normal 7 2 5 2 2 4 2" xfId="49551" xr:uid="{00000000-0005-0000-0000-00009DC10000}"/>
    <cellStyle name="Normal 7 2 5 2 2 5" xfId="49552" xr:uid="{00000000-0005-0000-0000-00009EC10000}"/>
    <cellStyle name="Normal 7 2 5 2 2 6" xfId="49553" xr:uid="{00000000-0005-0000-0000-00009FC10000}"/>
    <cellStyle name="Normal 7 2 5 2 3" xfId="49554" xr:uid="{00000000-0005-0000-0000-0000A0C10000}"/>
    <cellStyle name="Normal 7 2 5 2 3 2" xfId="49555" xr:uid="{00000000-0005-0000-0000-0000A1C10000}"/>
    <cellStyle name="Normal 7 2 5 2 3 2 2" xfId="49556" xr:uid="{00000000-0005-0000-0000-0000A2C10000}"/>
    <cellStyle name="Normal 7 2 5 2 3 2 2 2" xfId="49557" xr:uid="{00000000-0005-0000-0000-0000A3C10000}"/>
    <cellStyle name="Normal 7 2 5 2 3 2 3" xfId="49558" xr:uid="{00000000-0005-0000-0000-0000A4C10000}"/>
    <cellStyle name="Normal 7 2 5 2 3 2 4" xfId="49559" xr:uid="{00000000-0005-0000-0000-0000A5C10000}"/>
    <cellStyle name="Normal 7 2 5 2 3 3" xfId="49560" xr:uid="{00000000-0005-0000-0000-0000A6C10000}"/>
    <cellStyle name="Normal 7 2 5 2 3 3 2" xfId="49561" xr:uid="{00000000-0005-0000-0000-0000A7C10000}"/>
    <cellStyle name="Normal 7 2 5 2 3 4" xfId="49562" xr:uid="{00000000-0005-0000-0000-0000A8C10000}"/>
    <cellStyle name="Normal 7 2 5 2 3 5" xfId="49563" xr:uid="{00000000-0005-0000-0000-0000A9C10000}"/>
    <cellStyle name="Normal 7 2 5 2 4" xfId="49564" xr:uid="{00000000-0005-0000-0000-0000AAC10000}"/>
    <cellStyle name="Normal 7 2 5 2 4 2" xfId="49565" xr:uid="{00000000-0005-0000-0000-0000ABC10000}"/>
    <cellStyle name="Normal 7 2 5 2 4 2 2" xfId="49566" xr:uid="{00000000-0005-0000-0000-0000ACC10000}"/>
    <cellStyle name="Normal 7 2 5 2 4 3" xfId="49567" xr:uid="{00000000-0005-0000-0000-0000ADC10000}"/>
    <cellStyle name="Normal 7 2 5 2 4 4" xfId="49568" xr:uid="{00000000-0005-0000-0000-0000AEC10000}"/>
    <cellStyle name="Normal 7 2 5 2 5" xfId="49569" xr:uid="{00000000-0005-0000-0000-0000AFC10000}"/>
    <cellStyle name="Normal 7 2 5 2 5 2" xfId="49570" xr:uid="{00000000-0005-0000-0000-0000B0C10000}"/>
    <cellStyle name="Normal 7 2 5 2 6" xfId="49571" xr:uid="{00000000-0005-0000-0000-0000B1C10000}"/>
    <cellStyle name="Normal 7 2 5 2 7" xfId="49572" xr:uid="{00000000-0005-0000-0000-0000B2C10000}"/>
    <cellStyle name="Normal 7 2 5 3" xfId="49573" xr:uid="{00000000-0005-0000-0000-0000B3C10000}"/>
    <cellStyle name="Normal 7 2 5 3 2" xfId="49574" xr:uid="{00000000-0005-0000-0000-0000B4C10000}"/>
    <cellStyle name="Normal 7 2 5 3 2 2" xfId="49575" xr:uid="{00000000-0005-0000-0000-0000B5C10000}"/>
    <cellStyle name="Normal 7 2 5 3 2 2 2" xfId="49576" xr:uid="{00000000-0005-0000-0000-0000B6C10000}"/>
    <cellStyle name="Normal 7 2 5 3 2 2 2 2" xfId="49577" xr:uid="{00000000-0005-0000-0000-0000B7C10000}"/>
    <cellStyle name="Normal 7 2 5 3 2 2 3" xfId="49578" xr:uid="{00000000-0005-0000-0000-0000B8C10000}"/>
    <cellStyle name="Normal 7 2 5 3 2 2 4" xfId="49579" xr:uid="{00000000-0005-0000-0000-0000B9C10000}"/>
    <cellStyle name="Normal 7 2 5 3 2 3" xfId="49580" xr:uid="{00000000-0005-0000-0000-0000BAC10000}"/>
    <cellStyle name="Normal 7 2 5 3 2 3 2" xfId="49581" xr:uid="{00000000-0005-0000-0000-0000BBC10000}"/>
    <cellStyle name="Normal 7 2 5 3 2 4" xfId="49582" xr:uid="{00000000-0005-0000-0000-0000BCC10000}"/>
    <cellStyle name="Normal 7 2 5 3 2 5" xfId="49583" xr:uid="{00000000-0005-0000-0000-0000BDC10000}"/>
    <cellStyle name="Normal 7 2 5 3 3" xfId="49584" xr:uid="{00000000-0005-0000-0000-0000BEC10000}"/>
    <cellStyle name="Normal 7 2 5 3 3 2" xfId="49585" xr:uid="{00000000-0005-0000-0000-0000BFC10000}"/>
    <cellStyle name="Normal 7 2 5 3 3 2 2" xfId="49586" xr:uid="{00000000-0005-0000-0000-0000C0C10000}"/>
    <cellStyle name="Normal 7 2 5 3 3 3" xfId="49587" xr:uid="{00000000-0005-0000-0000-0000C1C10000}"/>
    <cellStyle name="Normal 7 2 5 3 3 3 2" xfId="49588" xr:uid="{00000000-0005-0000-0000-0000C2C10000}"/>
    <cellStyle name="Normal 7 2 5 3 3 4" xfId="49589" xr:uid="{00000000-0005-0000-0000-0000C3C10000}"/>
    <cellStyle name="Normal 7 2 5 3 3 5" xfId="49590" xr:uid="{00000000-0005-0000-0000-0000C4C10000}"/>
    <cellStyle name="Normal 7 2 5 3 4" xfId="49591" xr:uid="{00000000-0005-0000-0000-0000C5C10000}"/>
    <cellStyle name="Normal 7 2 5 3 4 2" xfId="49592" xr:uid="{00000000-0005-0000-0000-0000C6C10000}"/>
    <cellStyle name="Normal 7 2 5 3 5" xfId="49593" xr:uid="{00000000-0005-0000-0000-0000C7C10000}"/>
    <cellStyle name="Normal 7 2 5 3 5 2" xfId="49594" xr:uid="{00000000-0005-0000-0000-0000C8C10000}"/>
    <cellStyle name="Normal 7 2 5 3 6" xfId="49595" xr:uid="{00000000-0005-0000-0000-0000C9C10000}"/>
    <cellStyle name="Normal 7 2 5 3 7" xfId="49596" xr:uid="{00000000-0005-0000-0000-0000CAC10000}"/>
    <cellStyle name="Normal 7 2 5 4" xfId="49597" xr:uid="{00000000-0005-0000-0000-0000CBC10000}"/>
    <cellStyle name="Normal 7 2 5 4 2" xfId="49598" xr:uid="{00000000-0005-0000-0000-0000CCC10000}"/>
    <cellStyle name="Normal 7 2 5 4 2 2" xfId="49599" xr:uid="{00000000-0005-0000-0000-0000CDC10000}"/>
    <cellStyle name="Normal 7 2 5 4 2 2 2" xfId="49600" xr:uid="{00000000-0005-0000-0000-0000CEC10000}"/>
    <cellStyle name="Normal 7 2 5 4 2 3" xfId="49601" xr:uid="{00000000-0005-0000-0000-0000CFC10000}"/>
    <cellStyle name="Normal 7 2 5 4 2 4" xfId="49602" xr:uid="{00000000-0005-0000-0000-0000D0C10000}"/>
    <cellStyle name="Normal 7 2 5 4 3" xfId="49603" xr:uid="{00000000-0005-0000-0000-0000D1C10000}"/>
    <cellStyle name="Normal 7 2 5 4 3 2" xfId="49604" xr:uid="{00000000-0005-0000-0000-0000D2C10000}"/>
    <cellStyle name="Normal 7 2 5 4 4" xfId="49605" xr:uid="{00000000-0005-0000-0000-0000D3C10000}"/>
    <cellStyle name="Normal 7 2 5 4 5" xfId="49606" xr:uid="{00000000-0005-0000-0000-0000D4C10000}"/>
    <cellStyle name="Normal 7 2 5 5" xfId="49607" xr:uid="{00000000-0005-0000-0000-0000D5C10000}"/>
    <cellStyle name="Normal 7 2 5 5 2" xfId="49608" xr:uid="{00000000-0005-0000-0000-0000D6C10000}"/>
    <cellStyle name="Normal 7 2 5 5 2 2" xfId="49609" xr:uid="{00000000-0005-0000-0000-0000D7C10000}"/>
    <cellStyle name="Normal 7 2 5 5 3" xfId="49610" xr:uid="{00000000-0005-0000-0000-0000D8C10000}"/>
    <cellStyle name="Normal 7 2 5 5 3 2" xfId="49611" xr:uid="{00000000-0005-0000-0000-0000D9C10000}"/>
    <cellStyle name="Normal 7 2 5 5 4" xfId="49612" xr:uid="{00000000-0005-0000-0000-0000DAC10000}"/>
    <cellStyle name="Normal 7 2 5 5 5" xfId="49613" xr:uid="{00000000-0005-0000-0000-0000DBC10000}"/>
    <cellStyle name="Normal 7 2 5 6" xfId="49614" xr:uid="{00000000-0005-0000-0000-0000DCC10000}"/>
    <cellStyle name="Normal 7 2 5 6 2" xfId="49615" xr:uid="{00000000-0005-0000-0000-0000DDC10000}"/>
    <cellStyle name="Normal 7 2 5 7" xfId="49616" xr:uid="{00000000-0005-0000-0000-0000DEC10000}"/>
    <cellStyle name="Normal 7 2 5 7 2" xfId="49617" xr:uid="{00000000-0005-0000-0000-0000DFC10000}"/>
    <cellStyle name="Normal 7 2 5 8" xfId="49618" xr:uid="{00000000-0005-0000-0000-0000E0C10000}"/>
    <cellStyle name="Normal 7 2 5 9" xfId="49619" xr:uid="{00000000-0005-0000-0000-0000E1C10000}"/>
    <cellStyle name="Normal 7 2 6" xfId="49620" xr:uid="{00000000-0005-0000-0000-0000E2C10000}"/>
    <cellStyle name="Normal 7 2 6 2" xfId="49621" xr:uid="{00000000-0005-0000-0000-0000E3C10000}"/>
    <cellStyle name="Normal 7 2 6 2 2" xfId="49622" xr:uid="{00000000-0005-0000-0000-0000E4C10000}"/>
    <cellStyle name="Normal 7 2 6 2 2 2" xfId="49623" xr:uid="{00000000-0005-0000-0000-0000E5C10000}"/>
    <cellStyle name="Normal 7 2 6 2 2 2 2" xfId="49624" xr:uid="{00000000-0005-0000-0000-0000E6C10000}"/>
    <cellStyle name="Normal 7 2 6 2 2 2 2 2" xfId="49625" xr:uid="{00000000-0005-0000-0000-0000E7C10000}"/>
    <cellStyle name="Normal 7 2 6 2 2 2 3" xfId="49626" xr:uid="{00000000-0005-0000-0000-0000E8C10000}"/>
    <cellStyle name="Normal 7 2 6 2 2 2 4" xfId="49627" xr:uid="{00000000-0005-0000-0000-0000E9C10000}"/>
    <cellStyle name="Normal 7 2 6 2 2 3" xfId="49628" xr:uid="{00000000-0005-0000-0000-0000EAC10000}"/>
    <cellStyle name="Normal 7 2 6 2 2 3 2" xfId="49629" xr:uid="{00000000-0005-0000-0000-0000EBC10000}"/>
    <cellStyle name="Normal 7 2 6 2 2 4" xfId="49630" xr:uid="{00000000-0005-0000-0000-0000ECC10000}"/>
    <cellStyle name="Normal 7 2 6 2 2 5" xfId="49631" xr:uid="{00000000-0005-0000-0000-0000EDC10000}"/>
    <cellStyle name="Normal 7 2 6 2 3" xfId="49632" xr:uid="{00000000-0005-0000-0000-0000EEC10000}"/>
    <cellStyle name="Normal 7 2 6 2 3 2" xfId="49633" xr:uid="{00000000-0005-0000-0000-0000EFC10000}"/>
    <cellStyle name="Normal 7 2 6 2 3 2 2" xfId="49634" xr:uid="{00000000-0005-0000-0000-0000F0C10000}"/>
    <cellStyle name="Normal 7 2 6 2 3 3" xfId="49635" xr:uid="{00000000-0005-0000-0000-0000F1C10000}"/>
    <cellStyle name="Normal 7 2 6 2 3 3 2" xfId="49636" xr:uid="{00000000-0005-0000-0000-0000F2C10000}"/>
    <cellStyle name="Normal 7 2 6 2 3 4" xfId="49637" xr:uid="{00000000-0005-0000-0000-0000F3C10000}"/>
    <cellStyle name="Normal 7 2 6 2 3 5" xfId="49638" xr:uid="{00000000-0005-0000-0000-0000F4C10000}"/>
    <cellStyle name="Normal 7 2 6 2 4" xfId="49639" xr:uid="{00000000-0005-0000-0000-0000F5C10000}"/>
    <cellStyle name="Normal 7 2 6 2 4 2" xfId="49640" xr:uid="{00000000-0005-0000-0000-0000F6C10000}"/>
    <cellStyle name="Normal 7 2 6 2 5" xfId="49641" xr:uid="{00000000-0005-0000-0000-0000F7C10000}"/>
    <cellStyle name="Normal 7 2 6 2 5 2" xfId="49642" xr:uid="{00000000-0005-0000-0000-0000F8C10000}"/>
    <cellStyle name="Normal 7 2 6 2 6" xfId="49643" xr:uid="{00000000-0005-0000-0000-0000F9C10000}"/>
    <cellStyle name="Normal 7 2 6 2 7" xfId="49644" xr:uid="{00000000-0005-0000-0000-0000FAC10000}"/>
    <cellStyle name="Normal 7 2 6 3" xfId="49645" xr:uid="{00000000-0005-0000-0000-0000FBC10000}"/>
    <cellStyle name="Normal 7 2 6 3 2" xfId="49646" xr:uid="{00000000-0005-0000-0000-0000FCC10000}"/>
    <cellStyle name="Normal 7 2 6 3 2 2" xfId="49647" xr:uid="{00000000-0005-0000-0000-0000FDC10000}"/>
    <cellStyle name="Normal 7 2 6 3 2 2 2" xfId="49648" xr:uid="{00000000-0005-0000-0000-0000FEC10000}"/>
    <cellStyle name="Normal 7 2 6 3 2 3" xfId="49649" xr:uid="{00000000-0005-0000-0000-0000FFC10000}"/>
    <cellStyle name="Normal 7 2 6 3 2 4" xfId="49650" xr:uid="{00000000-0005-0000-0000-000000C20000}"/>
    <cellStyle name="Normal 7 2 6 3 3" xfId="49651" xr:uid="{00000000-0005-0000-0000-000001C20000}"/>
    <cellStyle name="Normal 7 2 6 3 3 2" xfId="49652" xr:uid="{00000000-0005-0000-0000-000002C20000}"/>
    <cellStyle name="Normal 7 2 6 3 4" xfId="49653" xr:uid="{00000000-0005-0000-0000-000003C20000}"/>
    <cellStyle name="Normal 7 2 6 3 5" xfId="49654" xr:uid="{00000000-0005-0000-0000-000004C20000}"/>
    <cellStyle name="Normal 7 2 6 4" xfId="49655" xr:uid="{00000000-0005-0000-0000-000005C20000}"/>
    <cellStyle name="Normal 7 2 6 4 2" xfId="49656" xr:uid="{00000000-0005-0000-0000-000006C20000}"/>
    <cellStyle name="Normal 7 2 6 4 2 2" xfId="49657" xr:uid="{00000000-0005-0000-0000-000007C20000}"/>
    <cellStyle name="Normal 7 2 6 4 3" xfId="49658" xr:uid="{00000000-0005-0000-0000-000008C20000}"/>
    <cellStyle name="Normal 7 2 6 4 3 2" xfId="49659" xr:uid="{00000000-0005-0000-0000-000009C20000}"/>
    <cellStyle name="Normal 7 2 6 4 4" xfId="49660" xr:uid="{00000000-0005-0000-0000-00000AC20000}"/>
    <cellStyle name="Normal 7 2 6 4 5" xfId="49661" xr:uid="{00000000-0005-0000-0000-00000BC20000}"/>
    <cellStyle name="Normal 7 2 6 5" xfId="49662" xr:uid="{00000000-0005-0000-0000-00000CC20000}"/>
    <cellStyle name="Normal 7 2 6 5 2" xfId="49663" xr:uid="{00000000-0005-0000-0000-00000DC20000}"/>
    <cellStyle name="Normal 7 2 6 6" xfId="49664" xr:uid="{00000000-0005-0000-0000-00000EC20000}"/>
    <cellStyle name="Normal 7 2 6 6 2" xfId="49665" xr:uid="{00000000-0005-0000-0000-00000FC20000}"/>
    <cellStyle name="Normal 7 2 6 7" xfId="49666" xr:uid="{00000000-0005-0000-0000-000010C20000}"/>
    <cellStyle name="Normal 7 2 6 8" xfId="49667" xr:uid="{00000000-0005-0000-0000-000011C20000}"/>
    <cellStyle name="Normal 7 2 7" xfId="49668" xr:uid="{00000000-0005-0000-0000-000012C20000}"/>
    <cellStyle name="Normal 7 2 7 2" xfId="49669" xr:uid="{00000000-0005-0000-0000-000013C20000}"/>
    <cellStyle name="Normal 7 2 7 2 2" xfId="49670" xr:uid="{00000000-0005-0000-0000-000014C20000}"/>
    <cellStyle name="Normal 7 2 7 2 2 2" xfId="49671" xr:uid="{00000000-0005-0000-0000-000015C20000}"/>
    <cellStyle name="Normal 7 2 7 2 2 2 2" xfId="49672" xr:uid="{00000000-0005-0000-0000-000016C20000}"/>
    <cellStyle name="Normal 7 2 7 2 2 3" xfId="49673" xr:uid="{00000000-0005-0000-0000-000017C20000}"/>
    <cellStyle name="Normal 7 2 7 2 2 4" xfId="49674" xr:uid="{00000000-0005-0000-0000-000018C20000}"/>
    <cellStyle name="Normal 7 2 7 2 3" xfId="49675" xr:uid="{00000000-0005-0000-0000-000019C20000}"/>
    <cellStyle name="Normal 7 2 7 2 3 2" xfId="49676" xr:uid="{00000000-0005-0000-0000-00001AC20000}"/>
    <cellStyle name="Normal 7 2 7 2 4" xfId="49677" xr:uid="{00000000-0005-0000-0000-00001BC20000}"/>
    <cellStyle name="Normal 7 2 7 2 5" xfId="49678" xr:uid="{00000000-0005-0000-0000-00001CC20000}"/>
    <cellStyle name="Normal 7 2 7 3" xfId="49679" xr:uid="{00000000-0005-0000-0000-00001DC20000}"/>
    <cellStyle name="Normal 7 2 7 3 2" xfId="49680" xr:uid="{00000000-0005-0000-0000-00001EC20000}"/>
    <cellStyle name="Normal 7 2 7 3 2 2" xfId="49681" xr:uid="{00000000-0005-0000-0000-00001FC20000}"/>
    <cellStyle name="Normal 7 2 7 3 3" xfId="49682" xr:uid="{00000000-0005-0000-0000-000020C20000}"/>
    <cellStyle name="Normal 7 2 7 3 3 2" xfId="49683" xr:uid="{00000000-0005-0000-0000-000021C20000}"/>
    <cellStyle name="Normal 7 2 7 3 4" xfId="49684" xr:uid="{00000000-0005-0000-0000-000022C20000}"/>
    <cellStyle name="Normal 7 2 7 3 5" xfId="49685" xr:uid="{00000000-0005-0000-0000-000023C20000}"/>
    <cellStyle name="Normal 7 2 7 4" xfId="49686" xr:uid="{00000000-0005-0000-0000-000024C20000}"/>
    <cellStyle name="Normal 7 2 7 4 2" xfId="49687" xr:uid="{00000000-0005-0000-0000-000025C20000}"/>
    <cellStyle name="Normal 7 2 7 5" xfId="49688" xr:uid="{00000000-0005-0000-0000-000026C20000}"/>
    <cellStyle name="Normal 7 2 7 5 2" xfId="49689" xr:uid="{00000000-0005-0000-0000-000027C20000}"/>
    <cellStyle name="Normal 7 2 7 6" xfId="49690" xr:uid="{00000000-0005-0000-0000-000028C20000}"/>
    <cellStyle name="Normal 7 2 7 7" xfId="49691" xr:uid="{00000000-0005-0000-0000-000029C20000}"/>
    <cellStyle name="Normal 7 2 8" xfId="49692" xr:uid="{00000000-0005-0000-0000-00002AC20000}"/>
    <cellStyle name="Normal 7 2 8 2" xfId="49693" xr:uid="{00000000-0005-0000-0000-00002BC20000}"/>
    <cellStyle name="Normal 7 2 8 2 2" xfId="49694" xr:uid="{00000000-0005-0000-0000-00002CC20000}"/>
    <cellStyle name="Normal 7 2 8 2 2 2" xfId="49695" xr:uid="{00000000-0005-0000-0000-00002DC20000}"/>
    <cellStyle name="Normal 7 2 8 2 3" xfId="49696" xr:uid="{00000000-0005-0000-0000-00002EC20000}"/>
    <cellStyle name="Normal 7 2 8 2 4" xfId="49697" xr:uid="{00000000-0005-0000-0000-00002FC20000}"/>
    <cellStyle name="Normal 7 2 8 3" xfId="49698" xr:uid="{00000000-0005-0000-0000-000030C20000}"/>
    <cellStyle name="Normal 7 2 8 3 2" xfId="49699" xr:uid="{00000000-0005-0000-0000-000031C20000}"/>
    <cellStyle name="Normal 7 2 8 4" xfId="49700" xr:uid="{00000000-0005-0000-0000-000032C20000}"/>
    <cellStyle name="Normal 7 2 8 5" xfId="49701" xr:uid="{00000000-0005-0000-0000-000033C20000}"/>
    <cellStyle name="Normal 7 2 9" xfId="49702" xr:uid="{00000000-0005-0000-0000-000034C20000}"/>
    <cellStyle name="Normal 7 2 9 2" xfId="49703" xr:uid="{00000000-0005-0000-0000-000035C20000}"/>
    <cellStyle name="Normal 7 2 9 2 2" xfId="49704" xr:uid="{00000000-0005-0000-0000-000036C20000}"/>
    <cellStyle name="Normal 7 2 9 3" xfId="49705" xr:uid="{00000000-0005-0000-0000-000037C20000}"/>
    <cellStyle name="Normal 7 2 9 3 2" xfId="49706" xr:uid="{00000000-0005-0000-0000-000038C20000}"/>
    <cellStyle name="Normal 7 2 9 4" xfId="49707" xr:uid="{00000000-0005-0000-0000-000039C20000}"/>
    <cellStyle name="Normal 7 2 9 5" xfId="49708" xr:uid="{00000000-0005-0000-0000-00003AC20000}"/>
    <cellStyle name="Normal 7 20" xfId="49709" xr:uid="{00000000-0005-0000-0000-00003BC20000}"/>
    <cellStyle name="Normal 7 20 2" xfId="49710" xr:uid="{00000000-0005-0000-0000-00003CC20000}"/>
    <cellStyle name="Normal 7 21" xfId="49711" xr:uid="{00000000-0005-0000-0000-00003DC20000}"/>
    <cellStyle name="Normal 7 21 2" xfId="49712" xr:uid="{00000000-0005-0000-0000-00003EC20000}"/>
    <cellStyle name="Normal 7 22" xfId="49713" xr:uid="{00000000-0005-0000-0000-00003FC20000}"/>
    <cellStyle name="Normal 7 22 2" xfId="49714" xr:uid="{00000000-0005-0000-0000-000040C20000}"/>
    <cellStyle name="Normal 7 23" xfId="49715" xr:uid="{00000000-0005-0000-0000-000041C20000}"/>
    <cellStyle name="Normal 7 23 2" xfId="49716" xr:uid="{00000000-0005-0000-0000-000042C20000}"/>
    <cellStyle name="Normal 7 24" xfId="49717" xr:uid="{00000000-0005-0000-0000-000043C20000}"/>
    <cellStyle name="Normal 7 24 2" xfId="49718" xr:uid="{00000000-0005-0000-0000-000044C20000}"/>
    <cellStyle name="Normal 7 25" xfId="49719" xr:uid="{00000000-0005-0000-0000-000045C20000}"/>
    <cellStyle name="Normal 7 25 2" xfId="49720" xr:uid="{00000000-0005-0000-0000-000046C20000}"/>
    <cellStyle name="Normal 7 26" xfId="49721" xr:uid="{00000000-0005-0000-0000-000047C20000}"/>
    <cellStyle name="Normal 7 26 2" xfId="49722" xr:uid="{00000000-0005-0000-0000-000048C20000}"/>
    <cellStyle name="Normal 7 27" xfId="49723" xr:uid="{00000000-0005-0000-0000-000049C20000}"/>
    <cellStyle name="Normal 7 27 2" xfId="49724" xr:uid="{00000000-0005-0000-0000-00004AC20000}"/>
    <cellStyle name="Normal 7 28" xfId="49725" xr:uid="{00000000-0005-0000-0000-00004BC20000}"/>
    <cellStyle name="Normal 7 28 2" xfId="49726" xr:uid="{00000000-0005-0000-0000-00004CC20000}"/>
    <cellStyle name="Normal 7 29" xfId="49727" xr:uid="{00000000-0005-0000-0000-00004DC20000}"/>
    <cellStyle name="Normal 7 29 2" xfId="49728" xr:uid="{00000000-0005-0000-0000-00004EC20000}"/>
    <cellStyle name="Normal 7 3" xfId="49729" xr:uid="{00000000-0005-0000-0000-00004FC20000}"/>
    <cellStyle name="Normal 7 3 10" xfId="49730" xr:uid="{00000000-0005-0000-0000-000050C20000}"/>
    <cellStyle name="Normal 7 3 10 2" xfId="49731" xr:uid="{00000000-0005-0000-0000-000051C20000}"/>
    <cellStyle name="Normal 7 3 11" xfId="49732" xr:uid="{00000000-0005-0000-0000-000052C20000}"/>
    <cellStyle name="Normal 7 3 11 2" xfId="49733" xr:uid="{00000000-0005-0000-0000-000053C20000}"/>
    <cellStyle name="Normal 7 3 12" xfId="49734" xr:uid="{00000000-0005-0000-0000-000054C20000}"/>
    <cellStyle name="Normal 7 3 13" xfId="49735" xr:uid="{00000000-0005-0000-0000-000055C20000}"/>
    <cellStyle name="Normal 7 3 14" xfId="49736" xr:uid="{00000000-0005-0000-0000-000056C20000}"/>
    <cellStyle name="Normal 7 3 2" xfId="49737" xr:uid="{00000000-0005-0000-0000-000057C20000}"/>
    <cellStyle name="Normal 7 3 2 10" xfId="49738" xr:uid="{00000000-0005-0000-0000-000058C20000}"/>
    <cellStyle name="Normal 7 3 2 11" xfId="49739" xr:uid="{00000000-0005-0000-0000-000059C20000}"/>
    <cellStyle name="Normal 7 3 2 12" xfId="49740" xr:uid="{00000000-0005-0000-0000-00005AC20000}"/>
    <cellStyle name="Normal 7 3 2 2" xfId="49741" xr:uid="{00000000-0005-0000-0000-00005BC20000}"/>
    <cellStyle name="Normal 7 3 2 2 10" xfId="49742" xr:uid="{00000000-0005-0000-0000-00005CC20000}"/>
    <cellStyle name="Normal 7 3 2 2 2" xfId="49743" xr:uid="{00000000-0005-0000-0000-00005DC20000}"/>
    <cellStyle name="Normal 7 3 2 2 2 2" xfId="49744" xr:uid="{00000000-0005-0000-0000-00005EC20000}"/>
    <cellStyle name="Normal 7 3 2 2 2 2 2" xfId="49745" xr:uid="{00000000-0005-0000-0000-00005FC20000}"/>
    <cellStyle name="Normal 7 3 2 2 2 2 2 2" xfId="49746" xr:uid="{00000000-0005-0000-0000-000060C20000}"/>
    <cellStyle name="Normal 7 3 2 2 2 2 2 2 2" xfId="49747" xr:uid="{00000000-0005-0000-0000-000061C20000}"/>
    <cellStyle name="Normal 7 3 2 2 2 2 2 2 2 2" xfId="49748" xr:uid="{00000000-0005-0000-0000-000062C20000}"/>
    <cellStyle name="Normal 7 3 2 2 2 2 2 2 2 2 2" xfId="49749" xr:uid="{00000000-0005-0000-0000-000063C20000}"/>
    <cellStyle name="Normal 7 3 2 2 2 2 2 2 2 3" xfId="49750" xr:uid="{00000000-0005-0000-0000-000064C20000}"/>
    <cellStyle name="Normal 7 3 2 2 2 2 2 2 2 4" xfId="49751" xr:uid="{00000000-0005-0000-0000-000065C20000}"/>
    <cellStyle name="Normal 7 3 2 2 2 2 2 2 3" xfId="49752" xr:uid="{00000000-0005-0000-0000-000066C20000}"/>
    <cellStyle name="Normal 7 3 2 2 2 2 2 2 3 2" xfId="49753" xr:uid="{00000000-0005-0000-0000-000067C20000}"/>
    <cellStyle name="Normal 7 3 2 2 2 2 2 2 4" xfId="49754" xr:uid="{00000000-0005-0000-0000-000068C20000}"/>
    <cellStyle name="Normal 7 3 2 2 2 2 2 2 5" xfId="49755" xr:uid="{00000000-0005-0000-0000-000069C20000}"/>
    <cellStyle name="Normal 7 3 2 2 2 2 2 3" xfId="49756" xr:uid="{00000000-0005-0000-0000-00006AC20000}"/>
    <cellStyle name="Normal 7 3 2 2 2 2 2 3 2" xfId="49757" xr:uid="{00000000-0005-0000-0000-00006BC20000}"/>
    <cellStyle name="Normal 7 3 2 2 2 2 2 3 2 2" xfId="49758" xr:uid="{00000000-0005-0000-0000-00006CC20000}"/>
    <cellStyle name="Normal 7 3 2 2 2 2 2 3 3" xfId="49759" xr:uid="{00000000-0005-0000-0000-00006DC20000}"/>
    <cellStyle name="Normal 7 3 2 2 2 2 2 3 4" xfId="49760" xr:uid="{00000000-0005-0000-0000-00006EC20000}"/>
    <cellStyle name="Normal 7 3 2 2 2 2 2 4" xfId="49761" xr:uid="{00000000-0005-0000-0000-00006FC20000}"/>
    <cellStyle name="Normal 7 3 2 2 2 2 2 4 2" xfId="49762" xr:uid="{00000000-0005-0000-0000-000070C20000}"/>
    <cellStyle name="Normal 7 3 2 2 2 2 2 5" xfId="49763" xr:uid="{00000000-0005-0000-0000-000071C20000}"/>
    <cellStyle name="Normal 7 3 2 2 2 2 2 6" xfId="49764" xr:uid="{00000000-0005-0000-0000-000072C20000}"/>
    <cellStyle name="Normal 7 3 2 2 2 2 3" xfId="49765" xr:uid="{00000000-0005-0000-0000-000073C20000}"/>
    <cellStyle name="Normal 7 3 2 2 2 2 3 2" xfId="49766" xr:uid="{00000000-0005-0000-0000-000074C20000}"/>
    <cellStyle name="Normal 7 3 2 2 2 2 3 2 2" xfId="49767" xr:uid="{00000000-0005-0000-0000-000075C20000}"/>
    <cellStyle name="Normal 7 3 2 2 2 2 3 2 2 2" xfId="49768" xr:uid="{00000000-0005-0000-0000-000076C20000}"/>
    <cellStyle name="Normal 7 3 2 2 2 2 3 2 3" xfId="49769" xr:uid="{00000000-0005-0000-0000-000077C20000}"/>
    <cellStyle name="Normal 7 3 2 2 2 2 3 2 4" xfId="49770" xr:uid="{00000000-0005-0000-0000-000078C20000}"/>
    <cellStyle name="Normal 7 3 2 2 2 2 3 3" xfId="49771" xr:uid="{00000000-0005-0000-0000-000079C20000}"/>
    <cellStyle name="Normal 7 3 2 2 2 2 3 3 2" xfId="49772" xr:uid="{00000000-0005-0000-0000-00007AC20000}"/>
    <cellStyle name="Normal 7 3 2 2 2 2 3 4" xfId="49773" xr:uid="{00000000-0005-0000-0000-00007BC20000}"/>
    <cellStyle name="Normal 7 3 2 2 2 2 3 5" xfId="49774" xr:uid="{00000000-0005-0000-0000-00007CC20000}"/>
    <cellStyle name="Normal 7 3 2 2 2 2 4" xfId="49775" xr:uid="{00000000-0005-0000-0000-00007DC20000}"/>
    <cellStyle name="Normal 7 3 2 2 2 2 4 2" xfId="49776" xr:uid="{00000000-0005-0000-0000-00007EC20000}"/>
    <cellStyle name="Normal 7 3 2 2 2 2 4 2 2" xfId="49777" xr:uid="{00000000-0005-0000-0000-00007FC20000}"/>
    <cellStyle name="Normal 7 3 2 2 2 2 4 3" xfId="49778" xr:uid="{00000000-0005-0000-0000-000080C20000}"/>
    <cellStyle name="Normal 7 3 2 2 2 2 4 4" xfId="49779" xr:uid="{00000000-0005-0000-0000-000081C20000}"/>
    <cellStyle name="Normal 7 3 2 2 2 2 5" xfId="49780" xr:uid="{00000000-0005-0000-0000-000082C20000}"/>
    <cellStyle name="Normal 7 3 2 2 2 2 5 2" xfId="49781" xr:uid="{00000000-0005-0000-0000-000083C20000}"/>
    <cellStyle name="Normal 7 3 2 2 2 2 6" xfId="49782" xr:uid="{00000000-0005-0000-0000-000084C20000}"/>
    <cellStyle name="Normal 7 3 2 2 2 2 7" xfId="49783" xr:uid="{00000000-0005-0000-0000-000085C20000}"/>
    <cellStyle name="Normal 7 3 2 2 2 3" xfId="49784" xr:uid="{00000000-0005-0000-0000-000086C20000}"/>
    <cellStyle name="Normal 7 3 2 2 2 3 2" xfId="49785" xr:uid="{00000000-0005-0000-0000-000087C20000}"/>
    <cellStyle name="Normal 7 3 2 2 2 3 2 2" xfId="49786" xr:uid="{00000000-0005-0000-0000-000088C20000}"/>
    <cellStyle name="Normal 7 3 2 2 2 3 2 2 2" xfId="49787" xr:uid="{00000000-0005-0000-0000-000089C20000}"/>
    <cellStyle name="Normal 7 3 2 2 2 3 2 2 2 2" xfId="49788" xr:uid="{00000000-0005-0000-0000-00008AC20000}"/>
    <cellStyle name="Normal 7 3 2 2 2 3 2 2 3" xfId="49789" xr:uid="{00000000-0005-0000-0000-00008BC20000}"/>
    <cellStyle name="Normal 7 3 2 2 2 3 2 2 4" xfId="49790" xr:uid="{00000000-0005-0000-0000-00008CC20000}"/>
    <cellStyle name="Normal 7 3 2 2 2 3 2 3" xfId="49791" xr:uid="{00000000-0005-0000-0000-00008DC20000}"/>
    <cellStyle name="Normal 7 3 2 2 2 3 2 3 2" xfId="49792" xr:uid="{00000000-0005-0000-0000-00008EC20000}"/>
    <cellStyle name="Normal 7 3 2 2 2 3 2 4" xfId="49793" xr:uid="{00000000-0005-0000-0000-00008FC20000}"/>
    <cellStyle name="Normal 7 3 2 2 2 3 2 5" xfId="49794" xr:uid="{00000000-0005-0000-0000-000090C20000}"/>
    <cellStyle name="Normal 7 3 2 2 2 3 3" xfId="49795" xr:uid="{00000000-0005-0000-0000-000091C20000}"/>
    <cellStyle name="Normal 7 3 2 2 2 3 3 2" xfId="49796" xr:uid="{00000000-0005-0000-0000-000092C20000}"/>
    <cellStyle name="Normal 7 3 2 2 2 3 3 2 2" xfId="49797" xr:uid="{00000000-0005-0000-0000-000093C20000}"/>
    <cellStyle name="Normal 7 3 2 2 2 3 3 3" xfId="49798" xr:uid="{00000000-0005-0000-0000-000094C20000}"/>
    <cellStyle name="Normal 7 3 2 2 2 3 3 3 2" xfId="49799" xr:uid="{00000000-0005-0000-0000-000095C20000}"/>
    <cellStyle name="Normal 7 3 2 2 2 3 3 4" xfId="49800" xr:uid="{00000000-0005-0000-0000-000096C20000}"/>
    <cellStyle name="Normal 7 3 2 2 2 3 3 5" xfId="49801" xr:uid="{00000000-0005-0000-0000-000097C20000}"/>
    <cellStyle name="Normal 7 3 2 2 2 3 4" xfId="49802" xr:uid="{00000000-0005-0000-0000-000098C20000}"/>
    <cellStyle name="Normal 7 3 2 2 2 3 4 2" xfId="49803" xr:uid="{00000000-0005-0000-0000-000099C20000}"/>
    <cellStyle name="Normal 7 3 2 2 2 3 5" xfId="49804" xr:uid="{00000000-0005-0000-0000-00009AC20000}"/>
    <cellStyle name="Normal 7 3 2 2 2 3 5 2" xfId="49805" xr:uid="{00000000-0005-0000-0000-00009BC20000}"/>
    <cellStyle name="Normal 7 3 2 2 2 3 6" xfId="49806" xr:uid="{00000000-0005-0000-0000-00009CC20000}"/>
    <cellStyle name="Normal 7 3 2 2 2 3 7" xfId="49807" xr:uid="{00000000-0005-0000-0000-00009DC20000}"/>
    <cellStyle name="Normal 7 3 2 2 2 4" xfId="49808" xr:uid="{00000000-0005-0000-0000-00009EC20000}"/>
    <cellStyle name="Normal 7 3 2 2 2 4 2" xfId="49809" xr:uid="{00000000-0005-0000-0000-00009FC20000}"/>
    <cellStyle name="Normal 7 3 2 2 2 4 2 2" xfId="49810" xr:uid="{00000000-0005-0000-0000-0000A0C20000}"/>
    <cellStyle name="Normal 7 3 2 2 2 4 2 2 2" xfId="49811" xr:uid="{00000000-0005-0000-0000-0000A1C20000}"/>
    <cellStyle name="Normal 7 3 2 2 2 4 2 3" xfId="49812" xr:uid="{00000000-0005-0000-0000-0000A2C20000}"/>
    <cellStyle name="Normal 7 3 2 2 2 4 2 4" xfId="49813" xr:uid="{00000000-0005-0000-0000-0000A3C20000}"/>
    <cellStyle name="Normal 7 3 2 2 2 4 3" xfId="49814" xr:uid="{00000000-0005-0000-0000-0000A4C20000}"/>
    <cellStyle name="Normal 7 3 2 2 2 4 3 2" xfId="49815" xr:uid="{00000000-0005-0000-0000-0000A5C20000}"/>
    <cellStyle name="Normal 7 3 2 2 2 4 4" xfId="49816" xr:uid="{00000000-0005-0000-0000-0000A6C20000}"/>
    <cellStyle name="Normal 7 3 2 2 2 4 5" xfId="49817" xr:uid="{00000000-0005-0000-0000-0000A7C20000}"/>
    <cellStyle name="Normal 7 3 2 2 2 5" xfId="49818" xr:uid="{00000000-0005-0000-0000-0000A8C20000}"/>
    <cellStyle name="Normal 7 3 2 2 2 5 2" xfId="49819" xr:uid="{00000000-0005-0000-0000-0000A9C20000}"/>
    <cellStyle name="Normal 7 3 2 2 2 5 2 2" xfId="49820" xr:uid="{00000000-0005-0000-0000-0000AAC20000}"/>
    <cellStyle name="Normal 7 3 2 2 2 5 3" xfId="49821" xr:uid="{00000000-0005-0000-0000-0000ABC20000}"/>
    <cellStyle name="Normal 7 3 2 2 2 5 3 2" xfId="49822" xr:uid="{00000000-0005-0000-0000-0000ACC20000}"/>
    <cellStyle name="Normal 7 3 2 2 2 5 4" xfId="49823" xr:uid="{00000000-0005-0000-0000-0000ADC20000}"/>
    <cellStyle name="Normal 7 3 2 2 2 5 5" xfId="49824" xr:uid="{00000000-0005-0000-0000-0000AEC20000}"/>
    <cellStyle name="Normal 7 3 2 2 2 6" xfId="49825" xr:uid="{00000000-0005-0000-0000-0000AFC20000}"/>
    <cellStyle name="Normal 7 3 2 2 2 6 2" xfId="49826" xr:uid="{00000000-0005-0000-0000-0000B0C20000}"/>
    <cellStyle name="Normal 7 3 2 2 2 7" xfId="49827" xr:uid="{00000000-0005-0000-0000-0000B1C20000}"/>
    <cellStyle name="Normal 7 3 2 2 2 7 2" xfId="49828" xr:uid="{00000000-0005-0000-0000-0000B2C20000}"/>
    <cellStyle name="Normal 7 3 2 2 2 8" xfId="49829" xr:uid="{00000000-0005-0000-0000-0000B3C20000}"/>
    <cellStyle name="Normal 7 3 2 2 2 9" xfId="49830" xr:uid="{00000000-0005-0000-0000-0000B4C20000}"/>
    <cellStyle name="Normal 7 3 2 2 3" xfId="49831" xr:uid="{00000000-0005-0000-0000-0000B5C20000}"/>
    <cellStyle name="Normal 7 3 2 2 3 2" xfId="49832" xr:uid="{00000000-0005-0000-0000-0000B6C20000}"/>
    <cellStyle name="Normal 7 3 2 2 3 2 2" xfId="49833" xr:uid="{00000000-0005-0000-0000-0000B7C20000}"/>
    <cellStyle name="Normal 7 3 2 2 3 2 2 2" xfId="49834" xr:uid="{00000000-0005-0000-0000-0000B8C20000}"/>
    <cellStyle name="Normal 7 3 2 2 3 2 2 2 2" xfId="49835" xr:uid="{00000000-0005-0000-0000-0000B9C20000}"/>
    <cellStyle name="Normal 7 3 2 2 3 2 2 2 2 2" xfId="49836" xr:uid="{00000000-0005-0000-0000-0000BAC20000}"/>
    <cellStyle name="Normal 7 3 2 2 3 2 2 2 3" xfId="49837" xr:uid="{00000000-0005-0000-0000-0000BBC20000}"/>
    <cellStyle name="Normal 7 3 2 2 3 2 2 2 4" xfId="49838" xr:uid="{00000000-0005-0000-0000-0000BCC20000}"/>
    <cellStyle name="Normal 7 3 2 2 3 2 2 3" xfId="49839" xr:uid="{00000000-0005-0000-0000-0000BDC20000}"/>
    <cellStyle name="Normal 7 3 2 2 3 2 2 3 2" xfId="49840" xr:uid="{00000000-0005-0000-0000-0000BEC20000}"/>
    <cellStyle name="Normal 7 3 2 2 3 2 2 4" xfId="49841" xr:uid="{00000000-0005-0000-0000-0000BFC20000}"/>
    <cellStyle name="Normal 7 3 2 2 3 2 2 5" xfId="49842" xr:uid="{00000000-0005-0000-0000-0000C0C20000}"/>
    <cellStyle name="Normal 7 3 2 2 3 2 3" xfId="49843" xr:uid="{00000000-0005-0000-0000-0000C1C20000}"/>
    <cellStyle name="Normal 7 3 2 2 3 2 3 2" xfId="49844" xr:uid="{00000000-0005-0000-0000-0000C2C20000}"/>
    <cellStyle name="Normal 7 3 2 2 3 2 3 2 2" xfId="49845" xr:uid="{00000000-0005-0000-0000-0000C3C20000}"/>
    <cellStyle name="Normal 7 3 2 2 3 2 3 3" xfId="49846" xr:uid="{00000000-0005-0000-0000-0000C4C20000}"/>
    <cellStyle name="Normal 7 3 2 2 3 2 3 4" xfId="49847" xr:uid="{00000000-0005-0000-0000-0000C5C20000}"/>
    <cellStyle name="Normal 7 3 2 2 3 2 4" xfId="49848" xr:uid="{00000000-0005-0000-0000-0000C6C20000}"/>
    <cellStyle name="Normal 7 3 2 2 3 2 4 2" xfId="49849" xr:uid="{00000000-0005-0000-0000-0000C7C20000}"/>
    <cellStyle name="Normal 7 3 2 2 3 2 5" xfId="49850" xr:uid="{00000000-0005-0000-0000-0000C8C20000}"/>
    <cellStyle name="Normal 7 3 2 2 3 2 6" xfId="49851" xr:uid="{00000000-0005-0000-0000-0000C9C20000}"/>
    <cellStyle name="Normal 7 3 2 2 3 3" xfId="49852" xr:uid="{00000000-0005-0000-0000-0000CAC20000}"/>
    <cellStyle name="Normal 7 3 2 2 3 3 2" xfId="49853" xr:uid="{00000000-0005-0000-0000-0000CBC20000}"/>
    <cellStyle name="Normal 7 3 2 2 3 3 2 2" xfId="49854" xr:uid="{00000000-0005-0000-0000-0000CCC20000}"/>
    <cellStyle name="Normal 7 3 2 2 3 3 2 2 2" xfId="49855" xr:uid="{00000000-0005-0000-0000-0000CDC20000}"/>
    <cellStyle name="Normal 7 3 2 2 3 3 2 3" xfId="49856" xr:uid="{00000000-0005-0000-0000-0000CEC20000}"/>
    <cellStyle name="Normal 7 3 2 2 3 3 2 4" xfId="49857" xr:uid="{00000000-0005-0000-0000-0000CFC20000}"/>
    <cellStyle name="Normal 7 3 2 2 3 3 3" xfId="49858" xr:uid="{00000000-0005-0000-0000-0000D0C20000}"/>
    <cellStyle name="Normal 7 3 2 2 3 3 3 2" xfId="49859" xr:uid="{00000000-0005-0000-0000-0000D1C20000}"/>
    <cellStyle name="Normal 7 3 2 2 3 3 4" xfId="49860" xr:uid="{00000000-0005-0000-0000-0000D2C20000}"/>
    <cellStyle name="Normal 7 3 2 2 3 3 5" xfId="49861" xr:uid="{00000000-0005-0000-0000-0000D3C20000}"/>
    <cellStyle name="Normal 7 3 2 2 3 4" xfId="49862" xr:uid="{00000000-0005-0000-0000-0000D4C20000}"/>
    <cellStyle name="Normal 7 3 2 2 3 4 2" xfId="49863" xr:uid="{00000000-0005-0000-0000-0000D5C20000}"/>
    <cellStyle name="Normal 7 3 2 2 3 4 2 2" xfId="49864" xr:uid="{00000000-0005-0000-0000-0000D6C20000}"/>
    <cellStyle name="Normal 7 3 2 2 3 4 3" xfId="49865" xr:uid="{00000000-0005-0000-0000-0000D7C20000}"/>
    <cellStyle name="Normal 7 3 2 2 3 4 4" xfId="49866" xr:uid="{00000000-0005-0000-0000-0000D8C20000}"/>
    <cellStyle name="Normal 7 3 2 2 3 5" xfId="49867" xr:uid="{00000000-0005-0000-0000-0000D9C20000}"/>
    <cellStyle name="Normal 7 3 2 2 3 5 2" xfId="49868" xr:uid="{00000000-0005-0000-0000-0000DAC20000}"/>
    <cellStyle name="Normal 7 3 2 2 3 6" xfId="49869" xr:uid="{00000000-0005-0000-0000-0000DBC20000}"/>
    <cellStyle name="Normal 7 3 2 2 3 7" xfId="49870" xr:uid="{00000000-0005-0000-0000-0000DCC20000}"/>
    <cellStyle name="Normal 7 3 2 2 4" xfId="49871" xr:uid="{00000000-0005-0000-0000-0000DDC20000}"/>
    <cellStyle name="Normal 7 3 2 2 4 2" xfId="49872" xr:uid="{00000000-0005-0000-0000-0000DEC20000}"/>
    <cellStyle name="Normal 7 3 2 2 4 2 2" xfId="49873" xr:uid="{00000000-0005-0000-0000-0000DFC20000}"/>
    <cellStyle name="Normal 7 3 2 2 4 2 2 2" xfId="49874" xr:uid="{00000000-0005-0000-0000-0000E0C20000}"/>
    <cellStyle name="Normal 7 3 2 2 4 2 2 2 2" xfId="49875" xr:uid="{00000000-0005-0000-0000-0000E1C20000}"/>
    <cellStyle name="Normal 7 3 2 2 4 2 2 3" xfId="49876" xr:uid="{00000000-0005-0000-0000-0000E2C20000}"/>
    <cellStyle name="Normal 7 3 2 2 4 2 2 4" xfId="49877" xr:uid="{00000000-0005-0000-0000-0000E3C20000}"/>
    <cellStyle name="Normal 7 3 2 2 4 2 3" xfId="49878" xr:uid="{00000000-0005-0000-0000-0000E4C20000}"/>
    <cellStyle name="Normal 7 3 2 2 4 2 3 2" xfId="49879" xr:uid="{00000000-0005-0000-0000-0000E5C20000}"/>
    <cellStyle name="Normal 7 3 2 2 4 2 4" xfId="49880" xr:uid="{00000000-0005-0000-0000-0000E6C20000}"/>
    <cellStyle name="Normal 7 3 2 2 4 2 5" xfId="49881" xr:uid="{00000000-0005-0000-0000-0000E7C20000}"/>
    <cellStyle name="Normal 7 3 2 2 4 3" xfId="49882" xr:uid="{00000000-0005-0000-0000-0000E8C20000}"/>
    <cellStyle name="Normal 7 3 2 2 4 3 2" xfId="49883" xr:uid="{00000000-0005-0000-0000-0000E9C20000}"/>
    <cellStyle name="Normal 7 3 2 2 4 3 2 2" xfId="49884" xr:uid="{00000000-0005-0000-0000-0000EAC20000}"/>
    <cellStyle name="Normal 7 3 2 2 4 3 3" xfId="49885" xr:uid="{00000000-0005-0000-0000-0000EBC20000}"/>
    <cellStyle name="Normal 7 3 2 2 4 3 3 2" xfId="49886" xr:uid="{00000000-0005-0000-0000-0000ECC20000}"/>
    <cellStyle name="Normal 7 3 2 2 4 3 4" xfId="49887" xr:uid="{00000000-0005-0000-0000-0000EDC20000}"/>
    <cellStyle name="Normal 7 3 2 2 4 3 5" xfId="49888" xr:uid="{00000000-0005-0000-0000-0000EEC20000}"/>
    <cellStyle name="Normal 7 3 2 2 4 4" xfId="49889" xr:uid="{00000000-0005-0000-0000-0000EFC20000}"/>
    <cellStyle name="Normal 7 3 2 2 4 4 2" xfId="49890" xr:uid="{00000000-0005-0000-0000-0000F0C20000}"/>
    <cellStyle name="Normal 7 3 2 2 4 5" xfId="49891" xr:uid="{00000000-0005-0000-0000-0000F1C20000}"/>
    <cellStyle name="Normal 7 3 2 2 4 5 2" xfId="49892" xr:uid="{00000000-0005-0000-0000-0000F2C20000}"/>
    <cellStyle name="Normal 7 3 2 2 4 6" xfId="49893" xr:uid="{00000000-0005-0000-0000-0000F3C20000}"/>
    <cellStyle name="Normal 7 3 2 2 4 7" xfId="49894" xr:uid="{00000000-0005-0000-0000-0000F4C20000}"/>
    <cellStyle name="Normal 7 3 2 2 5" xfId="49895" xr:uid="{00000000-0005-0000-0000-0000F5C20000}"/>
    <cellStyle name="Normal 7 3 2 2 5 2" xfId="49896" xr:uid="{00000000-0005-0000-0000-0000F6C20000}"/>
    <cellStyle name="Normal 7 3 2 2 5 2 2" xfId="49897" xr:uid="{00000000-0005-0000-0000-0000F7C20000}"/>
    <cellStyle name="Normal 7 3 2 2 5 2 2 2" xfId="49898" xr:uid="{00000000-0005-0000-0000-0000F8C20000}"/>
    <cellStyle name="Normal 7 3 2 2 5 2 3" xfId="49899" xr:uid="{00000000-0005-0000-0000-0000F9C20000}"/>
    <cellStyle name="Normal 7 3 2 2 5 2 4" xfId="49900" xr:uid="{00000000-0005-0000-0000-0000FAC20000}"/>
    <cellStyle name="Normal 7 3 2 2 5 3" xfId="49901" xr:uid="{00000000-0005-0000-0000-0000FBC20000}"/>
    <cellStyle name="Normal 7 3 2 2 5 3 2" xfId="49902" xr:uid="{00000000-0005-0000-0000-0000FCC20000}"/>
    <cellStyle name="Normal 7 3 2 2 5 4" xfId="49903" xr:uid="{00000000-0005-0000-0000-0000FDC20000}"/>
    <cellStyle name="Normal 7 3 2 2 5 5" xfId="49904" xr:uid="{00000000-0005-0000-0000-0000FEC20000}"/>
    <cellStyle name="Normal 7 3 2 2 6" xfId="49905" xr:uid="{00000000-0005-0000-0000-0000FFC20000}"/>
    <cellStyle name="Normal 7 3 2 2 6 2" xfId="49906" xr:uid="{00000000-0005-0000-0000-000000C30000}"/>
    <cellStyle name="Normal 7 3 2 2 6 2 2" xfId="49907" xr:uid="{00000000-0005-0000-0000-000001C30000}"/>
    <cellStyle name="Normal 7 3 2 2 6 3" xfId="49908" xr:uid="{00000000-0005-0000-0000-000002C30000}"/>
    <cellStyle name="Normal 7 3 2 2 6 3 2" xfId="49909" xr:uid="{00000000-0005-0000-0000-000003C30000}"/>
    <cellStyle name="Normal 7 3 2 2 6 4" xfId="49910" xr:uid="{00000000-0005-0000-0000-000004C30000}"/>
    <cellStyle name="Normal 7 3 2 2 6 5" xfId="49911" xr:uid="{00000000-0005-0000-0000-000005C30000}"/>
    <cellStyle name="Normal 7 3 2 2 7" xfId="49912" xr:uid="{00000000-0005-0000-0000-000006C30000}"/>
    <cellStyle name="Normal 7 3 2 2 7 2" xfId="49913" xr:uid="{00000000-0005-0000-0000-000007C30000}"/>
    <cellStyle name="Normal 7 3 2 2 8" xfId="49914" xr:uid="{00000000-0005-0000-0000-000008C30000}"/>
    <cellStyle name="Normal 7 3 2 2 8 2" xfId="49915" xr:uid="{00000000-0005-0000-0000-000009C30000}"/>
    <cellStyle name="Normal 7 3 2 2 9" xfId="49916" xr:uid="{00000000-0005-0000-0000-00000AC30000}"/>
    <cellStyle name="Normal 7 3 2 3" xfId="49917" xr:uid="{00000000-0005-0000-0000-00000BC30000}"/>
    <cellStyle name="Normal 7 3 2 3 2" xfId="49918" xr:uid="{00000000-0005-0000-0000-00000CC30000}"/>
    <cellStyle name="Normal 7 3 2 3 2 2" xfId="49919" xr:uid="{00000000-0005-0000-0000-00000DC30000}"/>
    <cellStyle name="Normal 7 3 2 3 2 2 2" xfId="49920" xr:uid="{00000000-0005-0000-0000-00000EC30000}"/>
    <cellStyle name="Normal 7 3 2 3 2 2 2 2" xfId="49921" xr:uid="{00000000-0005-0000-0000-00000FC30000}"/>
    <cellStyle name="Normal 7 3 2 3 2 2 2 2 2" xfId="49922" xr:uid="{00000000-0005-0000-0000-000010C30000}"/>
    <cellStyle name="Normal 7 3 2 3 2 2 2 2 2 2" xfId="49923" xr:uid="{00000000-0005-0000-0000-000011C30000}"/>
    <cellStyle name="Normal 7 3 2 3 2 2 2 2 3" xfId="49924" xr:uid="{00000000-0005-0000-0000-000012C30000}"/>
    <cellStyle name="Normal 7 3 2 3 2 2 2 2 4" xfId="49925" xr:uid="{00000000-0005-0000-0000-000013C30000}"/>
    <cellStyle name="Normal 7 3 2 3 2 2 2 3" xfId="49926" xr:uid="{00000000-0005-0000-0000-000014C30000}"/>
    <cellStyle name="Normal 7 3 2 3 2 2 2 3 2" xfId="49927" xr:uid="{00000000-0005-0000-0000-000015C30000}"/>
    <cellStyle name="Normal 7 3 2 3 2 2 2 4" xfId="49928" xr:uid="{00000000-0005-0000-0000-000016C30000}"/>
    <cellStyle name="Normal 7 3 2 3 2 2 2 5" xfId="49929" xr:uid="{00000000-0005-0000-0000-000017C30000}"/>
    <cellStyle name="Normal 7 3 2 3 2 2 3" xfId="49930" xr:uid="{00000000-0005-0000-0000-000018C30000}"/>
    <cellStyle name="Normal 7 3 2 3 2 2 3 2" xfId="49931" xr:uid="{00000000-0005-0000-0000-000019C30000}"/>
    <cellStyle name="Normal 7 3 2 3 2 2 3 2 2" xfId="49932" xr:uid="{00000000-0005-0000-0000-00001AC30000}"/>
    <cellStyle name="Normal 7 3 2 3 2 2 3 3" xfId="49933" xr:uid="{00000000-0005-0000-0000-00001BC30000}"/>
    <cellStyle name="Normal 7 3 2 3 2 2 3 4" xfId="49934" xr:uid="{00000000-0005-0000-0000-00001CC30000}"/>
    <cellStyle name="Normal 7 3 2 3 2 2 4" xfId="49935" xr:uid="{00000000-0005-0000-0000-00001DC30000}"/>
    <cellStyle name="Normal 7 3 2 3 2 2 4 2" xfId="49936" xr:uid="{00000000-0005-0000-0000-00001EC30000}"/>
    <cellStyle name="Normal 7 3 2 3 2 2 5" xfId="49937" xr:uid="{00000000-0005-0000-0000-00001FC30000}"/>
    <cellStyle name="Normal 7 3 2 3 2 2 6" xfId="49938" xr:uid="{00000000-0005-0000-0000-000020C30000}"/>
    <cellStyle name="Normal 7 3 2 3 2 3" xfId="49939" xr:uid="{00000000-0005-0000-0000-000021C30000}"/>
    <cellStyle name="Normal 7 3 2 3 2 3 2" xfId="49940" xr:uid="{00000000-0005-0000-0000-000022C30000}"/>
    <cellStyle name="Normal 7 3 2 3 2 3 2 2" xfId="49941" xr:uid="{00000000-0005-0000-0000-000023C30000}"/>
    <cellStyle name="Normal 7 3 2 3 2 3 2 2 2" xfId="49942" xr:uid="{00000000-0005-0000-0000-000024C30000}"/>
    <cellStyle name="Normal 7 3 2 3 2 3 2 3" xfId="49943" xr:uid="{00000000-0005-0000-0000-000025C30000}"/>
    <cellStyle name="Normal 7 3 2 3 2 3 2 4" xfId="49944" xr:uid="{00000000-0005-0000-0000-000026C30000}"/>
    <cellStyle name="Normal 7 3 2 3 2 3 3" xfId="49945" xr:uid="{00000000-0005-0000-0000-000027C30000}"/>
    <cellStyle name="Normal 7 3 2 3 2 3 3 2" xfId="49946" xr:uid="{00000000-0005-0000-0000-000028C30000}"/>
    <cellStyle name="Normal 7 3 2 3 2 3 4" xfId="49947" xr:uid="{00000000-0005-0000-0000-000029C30000}"/>
    <cellStyle name="Normal 7 3 2 3 2 3 5" xfId="49948" xr:uid="{00000000-0005-0000-0000-00002AC30000}"/>
    <cellStyle name="Normal 7 3 2 3 2 4" xfId="49949" xr:uid="{00000000-0005-0000-0000-00002BC30000}"/>
    <cellStyle name="Normal 7 3 2 3 2 4 2" xfId="49950" xr:uid="{00000000-0005-0000-0000-00002CC30000}"/>
    <cellStyle name="Normal 7 3 2 3 2 4 2 2" xfId="49951" xr:uid="{00000000-0005-0000-0000-00002DC30000}"/>
    <cellStyle name="Normal 7 3 2 3 2 4 3" xfId="49952" xr:uid="{00000000-0005-0000-0000-00002EC30000}"/>
    <cellStyle name="Normal 7 3 2 3 2 4 4" xfId="49953" xr:uid="{00000000-0005-0000-0000-00002FC30000}"/>
    <cellStyle name="Normal 7 3 2 3 2 5" xfId="49954" xr:uid="{00000000-0005-0000-0000-000030C30000}"/>
    <cellStyle name="Normal 7 3 2 3 2 5 2" xfId="49955" xr:uid="{00000000-0005-0000-0000-000031C30000}"/>
    <cellStyle name="Normal 7 3 2 3 2 6" xfId="49956" xr:uid="{00000000-0005-0000-0000-000032C30000}"/>
    <cellStyle name="Normal 7 3 2 3 2 7" xfId="49957" xr:uid="{00000000-0005-0000-0000-000033C30000}"/>
    <cellStyle name="Normal 7 3 2 3 3" xfId="49958" xr:uid="{00000000-0005-0000-0000-000034C30000}"/>
    <cellStyle name="Normal 7 3 2 3 3 2" xfId="49959" xr:uid="{00000000-0005-0000-0000-000035C30000}"/>
    <cellStyle name="Normal 7 3 2 3 3 2 2" xfId="49960" xr:uid="{00000000-0005-0000-0000-000036C30000}"/>
    <cellStyle name="Normal 7 3 2 3 3 2 2 2" xfId="49961" xr:uid="{00000000-0005-0000-0000-000037C30000}"/>
    <cellStyle name="Normal 7 3 2 3 3 2 2 2 2" xfId="49962" xr:uid="{00000000-0005-0000-0000-000038C30000}"/>
    <cellStyle name="Normal 7 3 2 3 3 2 2 3" xfId="49963" xr:uid="{00000000-0005-0000-0000-000039C30000}"/>
    <cellStyle name="Normal 7 3 2 3 3 2 2 4" xfId="49964" xr:uid="{00000000-0005-0000-0000-00003AC30000}"/>
    <cellStyle name="Normal 7 3 2 3 3 2 3" xfId="49965" xr:uid="{00000000-0005-0000-0000-00003BC30000}"/>
    <cellStyle name="Normal 7 3 2 3 3 2 3 2" xfId="49966" xr:uid="{00000000-0005-0000-0000-00003CC30000}"/>
    <cellStyle name="Normal 7 3 2 3 3 2 4" xfId="49967" xr:uid="{00000000-0005-0000-0000-00003DC30000}"/>
    <cellStyle name="Normal 7 3 2 3 3 2 5" xfId="49968" xr:uid="{00000000-0005-0000-0000-00003EC30000}"/>
    <cellStyle name="Normal 7 3 2 3 3 3" xfId="49969" xr:uid="{00000000-0005-0000-0000-00003FC30000}"/>
    <cellStyle name="Normal 7 3 2 3 3 3 2" xfId="49970" xr:uid="{00000000-0005-0000-0000-000040C30000}"/>
    <cellStyle name="Normal 7 3 2 3 3 3 2 2" xfId="49971" xr:uid="{00000000-0005-0000-0000-000041C30000}"/>
    <cellStyle name="Normal 7 3 2 3 3 3 3" xfId="49972" xr:uid="{00000000-0005-0000-0000-000042C30000}"/>
    <cellStyle name="Normal 7 3 2 3 3 3 3 2" xfId="49973" xr:uid="{00000000-0005-0000-0000-000043C30000}"/>
    <cellStyle name="Normal 7 3 2 3 3 3 4" xfId="49974" xr:uid="{00000000-0005-0000-0000-000044C30000}"/>
    <cellStyle name="Normal 7 3 2 3 3 3 5" xfId="49975" xr:uid="{00000000-0005-0000-0000-000045C30000}"/>
    <cellStyle name="Normal 7 3 2 3 3 4" xfId="49976" xr:uid="{00000000-0005-0000-0000-000046C30000}"/>
    <cellStyle name="Normal 7 3 2 3 3 4 2" xfId="49977" xr:uid="{00000000-0005-0000-0000-000047C30000}"/>
    <cellStyle name="Normal 7 3 2 3 3 5" xfId="49978" xr:uid="{00000000-0005-0000-0000-000048C30000}"/>
    <cellStyle name="Normal 7 3 2 3 3 5 2" xfId="49979" xr:uid="{00000000-0005-0000-0000-000049C30000}"/>
    <cellStyle name="Normal 7 3 2 3 3 6" xfId="49980" xr:uid="{00000000-0005-0000-0000-00004AC30000}"/>
    <cellStyle name="Normal 7 3 2 3 3 7" xfId="49981" xr:uid="{00000000-0005-0000-0000-00004BC30000}"/>
    <cellStyle name="Normal 7 3 2 3 4" xfId="49982" xr:uid="{00000000-0005-0000-0000-00004CC30000}"/>
    <cellStyle name="Normal 7 3 2 3 4 2" xfId="49983" xr:uid="{00000000-0005-0000-0000-00004DC30000}"/>
    <cellStyle name="Normal 7 3 2 3 4 2 2" xfId="49984" xr:uid="{00000000-0005-0000-0000-00004EC30000}"/>
    <cellStyle name="Normal 7 3 2 3 4 2 2 2" xfId="49985" xr:uid="{00000000-0005-0000-0000-00004FC30000}"/>
    <cellStyle name="Normal 7 3 2 3 4 2 3" xfId="49986" xr:uid="{00000000-0005-0000-0000-000050C30000}"/>
    <cellStyle name="Normal 7 3 2 3 4 2 4" xfId="49987" xr:uid="{00000000-0005-0000-0000-000051C30000}"/>
    <cellStyle name="Normal 7 3 2 3 4 3" xfId="49988" xr:uid="{00000000-0005-0000-0000-000052C30000}"/>
    <cellStyle name="Normal 7 3 2 3 4 3 2" xfId="49989" xr:uid="{00000000-0005-0000-0000-000053C30000}"/>
    <cellStyle name="Normal 7 3 2 3 4 4" xfId="49990" xr:uid="{00000000-0005-0000-0000-000054C30000}"/>
    <cellStyle name="Normal 7 3 2 3 4 5" xfId="49991" xr:uid="{00000000-0005-0000-0000-000055C30000}"/>
    <cellStyle name="Normal 7 3 2 3 5" xfId="49992" xr:uid="{00000000-0005-0000-0000-000056C30000}"/>
    <cellStyle name="Normal 7 3 2 3 5 2" xfId="49993" xr:uid="{00000000-0005-0000-0000-000057C30000}"/>
    <cellStyle name="Normal 7 3 2 3 5 2 2" xfId="49994" xr:uid="{00000000-0005-0000-0000-000058C30000}"/>
    <cellStyle name="Normal 7 3 2 3 5 3" xfId="49995" xr:uid="{00000000-0005-0000-0000-000059C30000}"/>
    <cellStyle name="Normal 7 3 2 3 5 3 2" xfId="49996" xr:uid="{00000000-0005-0000-0000-00005AC30000}"/>
    <cellStyle name="Normal 7 3 2 3 5 4" xfId="49997" xr:uid="{00000000-0005-0000-0000-00005BC30000}"/>
    <cellStyle name="Normal 7 3 2 3 5 5" xfId="49998" xr:uid="{00000000-0005-0000-0000-00005CC30000}"/>
    <cellStyle name="Normal 7 3 2 3 6" xfId="49999" xr:uid="{00000000-0005-0000-0000-00005DC30000}"/>
    <cellStyle name="Normal 7 3 2 3 6 2" xfId="50000" xr:uid="{00000000-0005-0000-0000-00005EC30000}"/>
    <cellStyle name="Normal 7 3 2 3 7" xfId="50001" xr:uid="{00000000-0005-0000-0000-00005FC30000}"/>
    <cellStyle name="Normal 7 3 2 3 7 2" xfId="50002" xr:uid="{00000000-0005-0000-0000-000060C30000}"/>
    <cellStyle name="Normal 7 3 2 3 8" xfId="50003" xr:uid="{00000000-0005-0000-0000-000061C30000}"/>
    <cellStyle name="Normal 7 3 2 3 9" xfId="50004" xr:uid="{00000000-0005-0000-0000-000062C30000}"/>
    <cellStyle name="Normal 7 3 2 4" xfId="50005" xr:uid="{00000000-0005-0000-0000-000063C30000}"/>
    <cellStyle name="Normal 7 3 2 4 2" xfId="50006" xr:uid="{00000000-0005-0000-0000-000064C30000}"/>
    <cellStyle name="Normal 7 3 2 4 2 2" xfId="50007" xr:uid="{00000000-0005-0000-0000-000065C30000}"/>
    <cellStyle name="Normal 7 3 2 4 2 2 2" xfId="50008" xr:uid="{00000000-0005-0000-0000-000066C30000}"/>
    <cellStyle name="Normal 7 3 2 4 2 2 2 2" xfId="50009" xr:uid="{00000000-0005-0000-0000-000067C30000}"/>
    <cellStyle name="Normal 7 3 2 4 2 2 2 2 2" xfId="50010" xr:uid="{00000000-0005-0000-0000-000068C30000}"/>
    <cellStyle name="Normal 7 3 2 4 2 2 2 3" xfId="50011" xr:uid="{00000000-0005-0000-0000-000069C30000}"/>
    <cellStyle name="Normal 7 3 2 4 2 2 2 4" xfId="50012" xr:uid="{00000000-0005-0000-0000-00006AC30000}"/>
    <cellStyle name="Normal 7 3 2 4 2 2 3" xfId="50013" xr:uid="{00000000-0005-0000-0000-00006BC30000}"/>
    <cellStyle name="Normal 7 3 2 4 2 2 3 2" xfId="50014" xr:uid="{00000000-0005-0000-0000-00006CC30000}"/>
    <cellStyle name="Normal 7 3 2 4 2 2 4" xfId="50015" xr:uid="{00000000-0005-0000-0000-00006DC30000}"/>
    <cellStyle name="Normal 7 3 2 4 2 2 5" xfId="50016" xr:uid="{00000000-0005-0000-0000-00006EC30000}"/>
    <cellStyle name="Normal 7 3 2 4 2 3" xfId="50017" xr:uid="{00000000-0005-0000-0000-00006FC30000}"/>
    <cellStyle name="Normal 7 3 2 4 2 3 2" xfId="50018" xr:uid="{00000000-0005-0000-0000-000070C30000}"/>
    <cellStyle name="Normal 7 3 2 4 2 3 2 2" xfId="50019" xr:uid="{00000000-0005-0000-0000-000071C30000}"/>
    <cellStyle name="Normal 7 3 2 4 2 3 3" xfId="50020" xr:uid="{00000000-0005-0000-0000-000072C30000}"/>
    <cellStyle name="Normal 7 3 2 4 2 3 3 2" xfId="50021" xr:uid="{00000000-0005-0000-0000-000073C30000}"/>
    <cellStyle name="Normal 7 3 2 4 2 3 4" xfId="50022" xr:uid="{00000000-0005-0000-0000-000074C30000}"/>
    <cellStyle name="Normal 7 3 2 4 2 3 5" xfId="50023" xr:uid="{00000000-0005-0000-0000-000075C30000}"/>
    <cellStyle name="Normal 7 3 2 4 2 4" xfId="50024" xr:uid="{00000000-0005-0000-0000-000076C30000}"/>
    <cellStyle name="Normal 7 3 2 4 2 4 2" xfId="50025" xr:uid="{00000000-0005-0000-0000-000077C30000}"/>
    <cellStyle name="Normal 7 3 2 4 2 5" xfId="50026" xr:uid="{00000000-0005-0000-0000-000078C30000}"/>
    <cellStyle name="Normal 7 3 2 4 2 5 2" xfId="50027" xr:uid="{00000000-0005-0000-0000-000079C30000}"/>
    <cellStyle name="Normal 7 3 2 4 2 6" xfId="50028" xr:uid="{00000000-0005-0000-0000-00007AC30000}"/>
    <cellStyle name="Normal 7 3 2 4 2 7" xfId="50029" xr:uid="{00000000-0005-0000-0000-00007BC30000}"/>
    <cellStyle name="Normal 7 3 2 4 3" xfId="50030" xr:uid="{00000000-0005-0000-0000-00007CC30000}"/>
    <cellStyle name="Normal 7 3 2 4 3 2" xfId="50031" xr:uid="{00000000-0005-0000-0000-00007DC30000}"/>
    <cellStyle name="Normal 7 3 2 4 3 2 2" xfId="50032" xr:uid="{00000000-0005-0000-0000-00007EC30000}"/>
    <cellStyle name="Normal 7 3 2 4 3 2 2 2" xfId="50033" xr:uid="{00000000-0005-0000-0000-00007FC30000}"/>
    <cellStyle name="Normal 7 3 2 4 3 2 3" xfId="50034" xr:uid="{00000000-0005-0000-0000-000080C30000}"/>
    <cellStyle name="Normal 7 3 2 4 3 2 4" xfId="50035" xr:uid="{00000000-0005-0000-0000-000081C30000}"/>
    <cellStyle name="Normal 7 3 2 4 3 3" xfId="50036" xr:uid="{00000000-0005-0000-0000-000082C30000}"/>
    <cellStyle name="Normal 7 3 2 4 3 3 2" xfId="50037" xr:uid="{00000000-0005-0000-0000-000083C30000}"/>
    <cellStyle name="Normal 7 3 2 4 3 4" xfId="50038" xr:uid="{00000000-0005-0000-0000-000084C30000}"/>
    <cellStyle name="Normal 7 3 2 4 3 5" xfId="50039" xr:uid="{00000000-0005-0000-0000-000085C30000}"/>
    <cellStyle name="Normal 7 3 2 4 4" xfId="50040" xr:uid="{00000000-0005-0000-0000-000086C30000}"/>
    <cellStyle name="Normal 7 3 2 4 4 2" xfId="50041" xr:uid="{00000000-0005-0000-0000-000087C30000}"/>
    <cellStyle name="Normal 7 3 2 4 4 2 2" xfId="50042" xr:uid="{00000000-0005-0000-0000-000088C30000}"/>
    <cellStyle name="Normal 7 3 2 4 4 3" xfId="50043" xr:uid="{00000000-0005-0000-0000-000089C30000}"/>
    <cellStyle name="Normal 7 3 2 4 4 3 2" xfId="50044" xr:uid="{00000000-0005-0000-0000-00008AC30000}"/>
    <cellStyle name="Normal 7 3 2 4 4 4" xfId="50045" xr:uid="{00000000-0005-0000-0000-00008BC30000}"/>
    <cellStyle name="Normal 7 3 2 4 4 5" xfId="50046" xr:uid="{00000000-0005-0000-0000-00008CC30000}"/>
    <cellStyle name="Normal 7 3 2 4 5" xfId="50047" xr:uid="{00000000-0005-0000-0000-00008DC30000}"/>
    <cellStyle name="Normal 7 3 2 4 5 2" xfId="50048" xr:uid="{00000000-0005-0000-0000-00008EC30000}"/>
    <cellStyle name="Normal 7 3 2 4 6" xfId="50049" xr:uid="{00000000-0005-0000-0000-00008FC30000}"/>
    <cellStyle name="Normal 7 3 2 4 6 2" xfId="50050" xr:uid="{00000000-0005-0000-0000-000090C30000}"/>
    <cellStyle name="Normal 7 3 2 4 7" xfId="50051" xr:uid="{00000000-0005-0000-0000-000091C30000}"/>
    <cellStyle name="Normal 7 3 2 4 8" xfId="50052" xr:uid="{00000000-0005-0000-0000-000092C30000}"/>
    <cellStyle name="Normal 7 3 2 5" xfId="50053" xr:uid="{00000000-0005-0000-0000-000093C30000}"/>
    <cellStyle name="Normal 7 3 2 5 2" xfId="50054" xr:uid="{00000000-0005-0000-0000-000094C30000}"/>
    <cellStyle name="Normal 7 3 2 5 2 2" xfId="50055" xr:uid="{00000000-0005-0000-0000-000095C30000}"/>
    <cellStyle name="Normal 7 3 2 5 2 2 2" xfId="50056" xr:uid="{00000000-0005-0000-0000-000096C30000}"/>
    <cellStyle name="Normal 7 3 2 5 2 2 2 2" xfId="50057" xr:uid="{00000000-0005-0000-0000-000097C30000}"/>
    <cellStyle name="Normal 7 3 2 5 2 2 3" xfId="50058" xr:uid="{00000000-0005-0000-0000-000098C30000}"/>
    <cellStyle name="Normal 7 3 2 5 2 2 4" xfId="50059" xr:uid="{00000000-0005-0000-0000-000099C30000}"/>
    <cellStyle name="Normal 7 3 2 5 2 3" xfId="50060" xr:uid="{00000000-0005-0000-0000-00009AC30000}"/>
    <cellStyle name="Normal 7 3 2 5 2 3 2" xfId="50061" xr:uid="{00000000-0005-0000-0000-00009BC30000}"/>
    <cellStyle name="Normal 7 3 2 5 2 4" xfId="50062" xr:uid="{00000000-0005-0000-0000-00009CC30000}"/>
    <cellStyle name="Normal 7 3 2 5 2 5" xfId="50063" xr:uid="{00000000-0005-0000-0000-00009DC30000}"/>
    <cellStyle name="Normal 7 3 2 5 3" xfId="50064" xr:uid="{00000000-0005-0000-0000-00009EC30000}"/>
    <cellStyle name="Normal 7 3 2 5 3 2" xfId="50065" xr:uid="{00000000-0005-0000-0000-00009FC30000}"/>
    <cellStyle name="Normal 7 3 2 5 3 2 2" xfId="50066" xr:uid="{00000000-0005-0000-0000-0000A0C30000}"/>
    <cellStyle name="Normal 7 3 2 5 3 3" xfId="50067" xr:uid="{00000000-0005-0000-0000-0000A1C30000}"/>
    <cellStyle name="Normal 7 3 2 5 3 3 2" xfId="50068" xr:uid="{00000000-0005-0000-0000-0000A2C30000}"/>
    <cellStyle name="Normal 7 3 2 5 3 4" xfId="50069" xr:uid="{00000000-0005-0000-0000-0000A3C30000}"/>
    <cellStyle name="Normal 7 3 2 5 3 5" xfId="50070" xr:uid="{00000000-0005-0000-0000-0000A4C30000}"/>
    <cellStyle name="Normal 7 3 2 5 4" xfId="50071" xr:uid="{00000000-0005-0000-0000-0000A5C30000}"/>
    <cellStyle name="Normal 7 3 2 5 4 2" xfId="50072" xr:uid="{00000000-0005-0000-0000-0000A6C30000}"/>
    <cellStyle name="Normal 7 3 2 5 5" xfId="50073" xr:uid="{00000000-0005-0000-0000-0000A7C30000}"/>
    <cellStyle name="Normal 7 3 2 5 5 2" xfId="50074" xr:uid="{00000000-0005-0000-0000-0000A8C30000}"/>
    <cellStyle name="Normal 7 3 2 5 6" xfId="50075" xr:uid="{00000000-0005-0000-0000-0000A9C30000}"/>
    <cellStyle name="Normal 7 3 2 5 7" xfId="50076" xr:uid="{00000000-0005-0000-0000-0000AAC30000}"/>
    <cellStyle name="Normal 7 3 2 6" xfId="50077" xr:uid="{00000000-0005-0000-0000-0000ABC30000}"/>
    <cellStyle name="Normal 7 3 2 6 2" xfId="50078" xr:uid="{00000000-0005-0000-0000-0000ACC30000}"/>
    <cellStyle name="Normal 7 3 2 6 2 2" xfId="50079" xr:uid="{00000000-0005-0000-0000-0000ADC30000}"/>
    <cellStyle name="Normal 7 3 2 6 2 2 2" xfId="50080" xr:uid="{00000000-0005-0000-0000-0000AEC30000}"/>
    <cellStyle name="Normal 7 3 2 6 2 3" xfId="50081" xr:uid="{00000000-0005-0000-0000-0000AFC30000}"/>
    <cellStyle name="Normal 7 3 2 6 2 4" xfId="50082" xr:uid="{00000000-0005-0000-0000-0000B0C30000}"/>
    <cellStyle name="Normal 7 3 2 6 3" xfId="50083" xr:uid="{00000000-0005-0000-0000-0000B1C30000}"/>
    <cellStyle name="Normal 7 3 2 6 3 2" xfId="50084" xr:uid="{00000000-0005-0000-0000-0000B2C30000}"/>
    <cellStyle name="Normal 7 3 2 6 4" xfId="50085" xr:uid="{00000000-0005-0000-0000-0000B3C30000}"/>
    <cellStyle name="Normal 7 3 2 6 5" xfId="50086" xr:uid="{00000000-0005-0000-0000-0000B4C30000}"/>
    <cellStyle name="Normal 7 3 2 7" xfId="50087" xr:uid="{00000000-0005-0000-0000-0000B5C30000}"/>
    <cellStyle name="Normal 7 3 2 7 2" xfId="50088" xr:uid="{00000000-0005-0000-0000-0000B6C30000}"/>
    <cellStyle name="Normal 7 3 2 7 2 2" xfId="50089" xr:uid="{00000000-0005-0000-0000-0000B7C30000}"/>
    <cellStyle name="Normal 7 3 2 7 3" xfId="50090" xr:uid="{00000000-0005-0000-0000-0000B8C30000}"/>
    <cellStyle name="Normal 7 3 2 7 3 2" xfId="50091" xr:uid="{00000000-0005-0000-0000-0000B9C30000}"/>
    <cellStyle name="Normal 7 3 2 7 4" xfId="50092" xr:uid="{00000000-0005-0000-0000-0000BAC30000}"/>
    <cellStyle name="Normal 7 3 2 7 5" xfId="50093" xr:uid="{00000000-0005-0000-0000-0000BBC30000}"/>
    <cellStyle name="Normal 7 3 2 8" xfId="50094" xr:uid="{00000000-0005-0000-0000-0000BCC30000}"/>
    <cellStyle name="Normal 7 3 2 8 2" xfId="50095" xr:uid="{00000000-0005-0000-0000-0000BDC30000}"/>
    <cellStyle name="Normal 7 3 2 9" xfId="50096" xr:uid="{00000000-0005-0000-0000-0000BEC30000}"/>
    <cellStyle name="Normal 7 3 2 9 2" xfId="50097" xr:uid="{00000000-0005-0000-0000-0000BFC30000}"/>
    <cellStyle name="Normal 7 3 3" xfId="50098" xr:uid="{00000000-0005-0000-0000-0000C0C30000}"/>
    <cellStyle name="Normal 7 3 3 10" xfId="50099" xr:uid="{00000000-0005-0000-0000-0000C1C30000}"/>
    <cellStyle name="Normal 7 3 3 2" xfId="50100" xr:uid="{00000000-0005-0000-0000-0000C2C30000}"/>
    <cellStyle name="Normal 7 3 3 2 2" xfId="50101" xr:uid="{00000000-0005-0000-0000-0000C3C30000}"/>
    <cellStyle name="Normal 7 3 3 2 2 2" xfId="50102" xr:uid="{00000000-0005-0000-0000-0000C4C30000}"/>
    <cellStyle name="Normal 7 3 3 2 2 2 2" xfId="50103" xr:uid="{00000000-0005-0000-0000-0000C5C30000}"/>
    <cellStyle name="Normal 7 3 3 2 2 2 2 2" xfId="50104" xr:uid="{00000000-0005-0000-0000-0000C6C30000}"/>
    <cellStyle name="Normal 7 3 3 2 2 2 2 2 2" xfId="50105" xr:uid="{00000000-0005-0000-0000-0000C7C30000}"/>
    <cellStyle name="Normal 7 3 3 2 2 2 2 2 2 2" xfId="50106" xr:uid="{00000000-0005-0000-0000-0000C8C30000}"/>
    <cellStyle name="Normal 7 3 3 2 2 2 2 2 3" xfId="50107" xr:uid="{00000000-0005-0000-0000-0000C9C30000}"/>
    <cellStyle name="Normal 7 3 3 2 2 2 2 2 4" xfId="50108" xr:uid="{00000000-0005-0000-0000-0000CAC30000}"/>
    <cellStyle name="Normal 7 3 3 2 2 2 2 3" xfId="50109" xr:uid="{00000000-0005-0000-0000-0000CBC30000}"/>
    <cellStyle name="Normal 7 3 3 2 2 2 2 3 2" xfId="50110" xr:uid="{00000000-0005-0000-0000-0000CCC30000}"/>
    <cellStyle name="Normal 7 3 3 2 2 2 2 4" xfId="50111" xr:uid="{00000000-0005-0000-0000-0000CDC30000}"/>
    <cellStyle name="Normal 7 3 3 2 2 2 2 5" xfId="50112" xr:uid="{00000000-0005-0000-0000-0000CEC30000}"/>
    <cellStyle name="Normal 7 3 3 2 2 2 3" xfId="50113" xr:uid="{00000000-0005-0000-0000-0000CFC30000}"/>
    <cellStyle name="Normal 7 3 3 2 2 2 3 2" xfId="50114" xr:uid="{00000000-0005-0000-0000-0000D0C30000}"/>
    <cellStyle name="Normal 7 3 3 2 2 2 3 2 2" xfId="50115" xr:uid="{00000000-0005-0000-0000-0000D1C30000}"/>
    <cellStyle name="Normal 7 3 3 2 2 2 3 3" xfId="50116" xr:uid="{00000000-0005-0000-0000-0000D2C30000}"/>
    <cellStyle name="Normal 7 3 3 2 2 2 3 4" xfId="50117" xr:uid="{00000000-0005-0000-0000-0000D3C30000}"/>
    <cellStyle name="Normal 7 3 3 2 2 2 4" xfId="50118" xr:uid="{00000000-0005-0000-0000-0000D4C30000}"/>
    <cellStyle name="Normal 7 3 3 2 2 2 4 2" xfId="50119" xr:uid="{00000000-0005-0000-0000-0000D5C30000}"/>
    <cellStyle name="Normal 7 3 3 2 2 2 5" xfId="50120" xr:uid="{00000000-0005-0000-0000-0000D6C30000}"/>
    <cellStyle name="Normal 7 3 3 2 2 2 6" xfId="50121" xr:uid="{00000000-0005-0000-0000-0000D7C30000}"/>
    <cellStyle name="Normal 7 3 3 2 2 3" xfId="50122" xr:uid="{00000000-0005-0000-0000-0000D8C30000}"/>
    <cellStyle name="Normal 7 3 3 2 2 3 2" xfId="50123" xr:uid="{00000000-0005-0000-0000-0000D9C30000}"/>
    <cellStyle name="Normal 7 3 3 2 2 3 2 2" xfId="50124" xr:uid="{00000000-0005-0000-0000-0000DAC30000}"/>
    <cellStyle name="Normal 7 3 3 2 2 3 2 2 2" xfId="50125" xr:uid="{00000000-0005-0000-0000-0000DBC30000}"/>
    <cellStyle name="Normal 7 3 3 2 2 3 2 3" xfId="50126" xr:uid="{00000000-0005-0000-0000-0000DCC30000}"/>
    <cellStyle name="Normal 7 3 3 2 2 3 2 4" xfId="50127" xr:uid="{00000000-0005-0000-0000-0000DDC30000}"/>
    <cellStyle name="Normal 7 3 3 2 2 3 3" xfId="50128" xr:uid="{00000000-0005-0000-0000-0000DEC30000}"/>
    <cellStyle name="Normal 7 3 3 2 2 3 3 2" xfId="50129" xr:uid="{00000000-0005-0000-0000-0000DFC30000}"/>
    <cellStyle name="Normal 7 3 3 2 2 3 4" xfId="50130" xr:uid="{00000000-0005-0000-0000-0000E0C30000}"/>
    <cellStyle name="Normal 7 3 3 2 2 3 5" xfId="50131" xr:uid="{00000000-0005-0000-0000-0000E1C30000}"/>
    <cellStyle name="Normal 7 3 3 2 2 4" xfId="50132" xr:uid="{00000000-0005-0000-0000-0000E2C30000}"/>
    <cellStyle name="Normal 7 3 3 2 2 4 2" xfId="50133" xr:uid="{00000000-0005-0000-0000-0000E3C30000}"/>
    <cellStyle name="Normal 7 3 3 2 2 4 2 2" xfId="50134" xr:uid="{00000000-0005-0000-0000-0000E4C30000}"/>
    <cellStyle name="Normal 7 3 3 2 2 4 3" xfId="50135" xr:uid="{00000000-0005-0000-0000-0000E5C30000}"/>
    <cellStyle name="Normal 7 3 3 2 2 4 4" xfId="50136" xr:uid="{00000000-0005-0000-0000-0000E6C30000}"/>
    <cellStyle name="Normal 7 3 3 2 2 5" xfId="50137" xr:uid="{00000000-0005-0000-0000-0000E7C30000}"/>
    <cellStyle name="Normal 7 3 3 2 2 5 2" xfId="50138" xr:uid="{00000000-0005-0000-0000-0000E8C30000}"/>
    <cellStyle name="Normal 7 3 3 2 2 6" xfId="50139" xr:uid="{00000000-0005-0000-0000-0000E9C30000}"/>
    <cellStyle name="Normal 7 3 3 2 2 7" xfId="50140" xr:uid="{00000000-0005-0000-0000-0000EAC30000}"/>
    <cellStyle name="Normal 7 3 3 2 3" xfId="50141" xr:uid="{00000000-0005-0000-0000-0000EBC30000}"/>
    <cellStyle name="Normal 7 3 3 2 3 2" xfId="50142" xr:uid="{00000000-0005-0000-0000-0000ECC30000}"/>
    <cellStyle name="Normal 7 3 3 2 3 2 2" xfId="50143" xr:uid="{00000000-0005-0000-0000-0000EDC30000}"/>
    <cellStyle name="Normal 7 3 3 2 3 2 2 2" xfId="50144" xr:uid="{00000000-0005-0000-0000-0000EEC30000}"/>
    <cellStyle name="Normal 7 3 3 2 3 2 2 2 2" xfId="50145" xr:uid="{00000000-0005-0000-0000-0000EFC30000}"/>
    <cellStyle name="Normal 7 3 3 2 3 2 2 3" xfId="50146" xr:uid="{00000000-0005-0000-0000-0000F0C30000}"/>
    <cellStyle name="Normal 7 3 3 2 3 2 2 4" xfId="50147" xr:uid="{00000000-0005-0000-0000-0000F1C30000}"/>
    <cellStyle name="Normal 7 3 3 2 3 2 3" xfId="50148" xr:uid="{00000000-0005-0000-0000-0000F2C30000}"/>
    <cellStyle name="Normal 7 3 3 2 3 2 3 2" xfId="50149" xr:uid="{00000000-0005-0000-0000-0000F3C30000}"/>
    <cellStyle name="Normal 7 3 3 2 3 2 4" xfId="50150" xr:uid="{00000000-0005-0000-0000-0000F4C30000}"/>
    <cellStyle name="Normal 7 3 3 2 3 2 5" xfId="50151" xr:uid="{00000000-0005-0000-0000-0000F5C30000}"/>
    <cellStyle name="Normal 7 3 3 2 3 3" xfId="50152" xr:uid="{00000000-0005-0000-0000-0000F6C30000}"/>
    <cellStyle name="Normal 7 3 3 2 3 3 2" xfId="50153" xr:uid="{00000000-0005-0000-0000-0000F7C30000}"/>
    <cellStyle name="Normal 7 3 3 2 3 3 2 2" xfId="50154" xr:uid="{00000000-0005-0000-0000-0000F8C30000}"/>
    <cellStyle name="Normal 7 3 3 2 3 3 3" xfId="50155" xr:uid="{00000000-0005-0000-0000-0000F9C30000}"/>
    <cellStyle name="Normal 7 3 3 2 3 3 3 2" xfId="50156" xr:uid="{00000000-0005-0000-0000-0000FAC30000}"/>
    <cellStyle name="Normal 7 3 3 2 3 3 4" xfId="50157" xr:uid="{00000000-0005-0000-0000-0000FBC30000}"/>
    <cellStyle name="Normal 7 3 3 2 3 3 5" xfId="50158" xr:uid="{00000000-0005-0000-0000-0000FCC30000}"/>
    <cellStyle name="Normal 7 3 3 2 3 4" xfId="50159" xr:uid="{00000000-0005-0000-0000-0000FDC30000}"/>
    <cellStyle name="Normal 7 3 3 2 3 4 2" xfId="50160" xr:uid="{00000000-0005-0000-0000-0000FEC30000}"/>
    <cellStyle name="Normal 7 3 3 2 3 5" xfId="50161" xr:uid="{00000000-0005-0000-0000-0000FFC30000}"/>
    <cellStyle name="Normal 7 3 3 2 3 5 2" xfId="50162" xr:uid="{00000000-0005-0000-0000-000000C40000}"/>
    <cellStyle name="Normal 7 3 3 2 3 6" xfId="50163" xr:uid="{00000000-0005-0000-0000-000001C40000}"/>
    <cellStyle name="Normal 7 3 3 2 3 7" xfId="50164" xr:uid="{00000000-0005-0000-0000-000002C40000}"/>
    <cellStyle name="Normal 7 3 3 2 4" xfId="50165" xr:uid="{00000000-0005-0000-0000-000003C40000}"/>
    <cellStyle name="Normal 7 3 3 2 4 2" xfId="50166" xr:uid="{00000000-0005-0000-0000-000004C40000}"/>
    <cellStyle name="Normal 7 3 3 2 4 2 2" xfId="50167" xr:uid="{00000000-0005-0000-0000-000005C40000}"/>
    <cellStyle name="Normal 7 3 3 2 4 2 2 2" xfId="50168" xr:uid="{00000000-0005-0000-0000-000006C40000}"/>
    <cellStyle name="Normal 7 3 3 2 4 2 3" xfId="50169" xr:uid="{00000000-0005-0000-0000-000007C40000}"/>
    <cellStyle name="Normal 7 3 3 2 4 2 4" xfId="50170" xr:uid="{00000000-0005-0000-0000-000008C40000}"/>
    <cellStyle name="Normal 7 3 3 2 4 3" xfId="50171" xr:uid="{00000000-0005-0000-0000-000009C40000}"/>
    <cellStyle name="Normal 7 3 3 2 4 3 2" xfId="50172" xr:uid="{00000000-0005-0000-0000-00000AC40000}"/>
    <cellStyle name="Normal 7 3 3 2 4 4" xfId="50173" xr:uid="{00000000-0005-0000-0000-00000BC40000}"/>
    <cellStyle name="Normal 7 3 3 2 4 5" xfId="50174" xr:uid="{00000000-0005-0000-0000-00000CC40000}"/>
    <cellStyle name="Normal 7 3 3 2 5" xfId="50175" xr:uid="{00000000-0005-0000-0000-00000DC40000}"/>
    <cellStyle name="Normal 7 3 3 2 5 2" xfId="50176" xr:uid="{00000000-0005-0000-0000-00000EC40000}"/>
    <cellStyle name="Normal 7 3 3 2 5 2 2" xfId="50177" xr:uid="{00000000-0005-0000-0000-00000FC40000}"/>
    <cellStyle name="Normal 7 3 3 2 5 3" xfId="50178" xr:uid="{00000000-0005-0000-0000-000010C40000}"/>
    <cellStyle name="Normal 7 3 3 2 5 3 2" xfId="50179" xr:uid="{00000000-0005-0000-0000-000011C40000}"/>
    <cellStyle name="Normal 7 3 3 2 5 4" xfId="50180" xr:uid="{00000000-0005-0000-0000-000012C40000}"/>
    <cellStyle name="Normal 7 3 3 2 5 5" xfId="50181" xr:uid="{00000000-0005-0000-0000-000013C40000}"/>
    <cellStyle name="Normal 7 3 3 2 6" xfId="50182" xr:uid="{00000000-0005-0000-0000-000014C40000}"/>
    <cellStyle name="Normal 7 3 3 2 6 2" xfId="50183" xr:uid="{00000000-0005-0000-0000-000015C40000}"/>
    <cellStyle name="Normal 7 3 3 2 7" xfId="50184" xr:uid="{00000000-0005-0000-0000-000016C40000}"/>
    <cellStyle name="Normal 7 3 3 2 7 2" xfId="50185" xr:uid="{00000000-0005-0000-0000-000017C40000}"/>
    <cellStyle name="Normal 7 3 3 2 8" xfId="50186" xr:uid="{00000000-0005-0000-0000-000018C40000}"/>
    <cellStyle name="Normal 7 3 3 2 9" xfId="50187" xr:uid="{00000000-0005-0000-0000-000019C40000}"/>
    <cellStyle name="Normal 7 3 3 3" xfId="50188" xr:uid="{00000000-0005-0000-0000-00001AC40000}"/>
    <cellStyle name="Normal 7 3 3 3 2" xfId="50189" xr:uid="{00000000-0005-0000-0000-00001BC40000}"/>
    <cellStyle name="Normal 7 3 3 3 2 2" xfId="50190" xr:uid="{00000000-0005-0000-0000-00001CC40000}"/>
    <cellStyle name="Normal 7 3 3 3 2 2 2" xfId="50191" xr:uid="{00000000-0005-0000-0000-00001DC40000}"/>
    <cellStyle name="Normal 7 3 3 3 2 2 2 2" xfId="50192" xr:uid="{00000000-0005-0000-0000-00001EC40000}"/>
    <cellStyle name="Normal 7 3 3 3 2 2 2 2 2" xfId="50193" xr:uid="{00000000-0005-0000-0000-00001FC40000}"/>
    <cellStyle name="Normal 7 3 3 3 2 2 2 3" xfId="50194" xr:uid="{00000000-0005-0000-0000-000020C40000}"/>
    <cellStyle name="Normal 7 3 3 3 2 2 2 4" xfId="50195" xr:uid="{00000000-0005-0000-0000-000021C40000}"/>
    <cellStyle name="Normal 7 3 3 3 2 2 3" xfId="50196" xr:uid="{00000000-0005-0000-0000-000022C40000}"/>
    <cellStyle name="Normal 7 3 3 3 2 2 3 2" xfId="50197" xr:uid="{00000000-0005-0000-0000-000023C40000}"/>
    <cellStyle name="Normal 7 3 3 3 2 2 4" xfId="50198" xr:uid="{00000000-0005-0000-0000-000024C40000}"/>
    <cellStyle name="Normal 7 3 3 3 2 2 5" xfId="50199" xr:uid="{00000000-0005-0000-0000-000025C40000}"/>
    <cellStyle name="Normal 7 3 3 3 2 3" xfId="50200" xr:uid="{00000000-0005-0000-0000-000026C40000}"/>
    <cellStyle name="Normal 7 3 3 3 2 3 2" xfId="50201" xr:uid="{00000000-0005-0000-0000-000027C40000}"/>
    <cellStyle name="Normal 7 3 3 3 2 3 2 2" xfId="50202" xr:uid="{00000000-0005-0000-0000-000028C40000}"/>
    <cellStyle name="Normal 7 3 3 3 2 3 3" xfId="50203" xr:uid="{00000000-0005-0000-0000-000029C40000}"/>
    <cellStyle name="Normal 7 3 3 3 2 3 3 2" xfId="50204" xr:uid="{00000000-0005-0000-0000-00002AC40000}"/>
    <cellStyle name="Normal 7 3 3 3 2 3 4" xfId="50205" xr:uid="{00000000-0005-0000-0000-00002BC40000}"/>
    <cellStyle name="Normal 7 3 3 3 2 3 5" xfId="50206" xr:uid="{00000000-0005-0000-0000-00002CC40000}"/>
    <cellStyle name="Normal 7 3 3 3 2 4" xfId="50207" xr:uid="{00000000-0005-0000-0000-00002DC40000}"/>
    <cellStyle name="Normal 7 3 3 3 2 4 2" xfId="50208" xr:uid="{00000000-0005-0000-0000-00002EC40000}"/>
    <cellStyle name="Normal 7 3 3 3 2 5" xfId="50209" xr:uid="{00000000-0005-0000-0000-00002FC40000}"/>
    <cellStyle name="Normal 7 3 3 3 2 5 2" xfId="50210" xr:uid="{00000000-0005-0000-0000-000030C40000}"/>
    <cellStyle name="Normal 7 3 3 3 2 6" xfId="50211" xr:uid="{00000000-0005-0000-0000-000031C40000}"/>
    <cellStyle name="Normal 7 3 3 3 2 7" xfId="50212" xr:uid="{00000000-0005-0000-0000-000032C40000}"/>
    <cellStyle name="Normal 7 3 3 3 3" xfId="50213" xr:uid="{00000000-0005-0000-0000-000033C40000}"/>
    <cellStyle name="Normal 7 3 3 3 3 2" xfId="50214" xr:uid="{00000000-0005-0000-0000-000034C40000}"/>
    <cellStyle name="Normal 7 3 3 3 3 2 2" xfId="50215" xr:uid="{00000000-0005-0000-0000-000035C40000}"/>
    <cellStyle name="Normal 7 3 3 3 3 2 2 2" xfId="50216" xr:uid="{00000000-0005-0000-0000-000036C40000}"/>
    <cellStyle name="Normal 7 3 3 3 3 2 3" xfId="50217" xr:uid="{00000000-0005-0000-0000-000037C40000}"/>
    <cellStyle name="Normal 7 3 3 3 3 2 4" xfId="50218" xr:uid="{00000000-0005-0000-0000-000038C40000}"/>
    <cellStyle name="Normal 7 3 3 3 3 3" xfId="50219" xr:uid="{00000000-0005-0000-0000-000039C40000}"/>
    <cellStyle name="Normal 7 3 3 3 3 3 2" xfId="50220" xr:uid="{00000000-0005-0000-0000-00003AC40000}"/>
    <cellStyle name="Normal 7 3 3 3 3 4" xfId="50221" xr:uid="{00000000-0005-0000-0000-00003BC40000}"/>
    <cellStyle name="Normal 7 3 3 3 3 5" xfId="50222" xr:uid="{00000000-0005-0000-0000-00003CC40000}"/>
    <cellStyle name="Normal 7 3 3 3 4" xfId="50223" xr:uid="{00000000-0005-0000-0000-00003DC40000}"/>
    <cellStyle name="Normal 7 3 3 3 4 2" xfId="50224" xr:uid="{00000000-0005-0000-0000-00003EC40000}"/>
    <cellStyle name="Normal 7 3 3 3 4 2 2" xfId="50225" xr:uid="{00000000-0005-0000-0000-00003FC40000}"/>
    <cellStyle name="Normal 7 3 3 3 4 3" xfId="50226" xr:uid="{00000000-0005-0000-0000-000040C40000}"/>
    <cellStyle name="Normal 7 3 3 3 4 3 2" xfId="50227" xr:uid="{00000000-0005-0000-0000-000041C40000}"/>
    <cellStyle name="Normal 7 3 3 3 4 4" xfId="50228" xr:uid="{00000000-0005-0000-0000-000042C40000}"/>
    <cellStyle name="Normal 7 3 3 3 4 5" xfId="50229" xr:uid="{00000000-0005-0000-0000-000043C40000}"/>
    <cellStyle name="Normal 7 3 3 3 5" xfId="50230" xr:uid="{00000000-0005-0000-0000-000044C40000}"/>
    <cellStyle name="Normal 7 3 3 3 5 2" xfId="50231" xr:uid="{00000000-0005-0000-0000-000045C40000}"/>
    <cellStyle name="Normal 7 3 3 3 6" xfId="50232" xr:uid="{00000000-0005-0000-0000-000046C40000}"/>
    <cellStyle name="Normal 7 3 3 3 6 2" xfId="50233" xr:uid="{00000000-0005-0000-0000-000047C40000}"/>
    <cellStyle name="Normal 7 3 3 3 7" xfId="50234" xr:uid="{00000000-0005-0000-0000-000048C40000}"/>
    <cellStyle name="Normal 7 3 3 3 8" xfId="50235" xr:uid="{00000000-0005-0000-0000-000049C40000}"/>
    <cellStyle name="Normal 7 3 3 4" xfId="50236" xr:uid="{00000000-0005-0000-0000-00004AC40000}"/>
    <cellStyle name="Normal 7 3 3 4 2" xfId="50237" xr:uid="{00000000-0005-0000-0000-00004BC40000}"/>
    <cellStyle name="Normal 7 3 3 4 2 2" xfId="50238" xr:uid="{00000000-0005-0000-0000-00004CC40000}"/>
    <cellStyle name="Normal 7 3 3 4 2 2 2" xfId="50239" xr:uid="{00000000-0005-0000-0000-00004DC40000}"/>
    <cellStyle name="Normal 7 3 3 4 2 2 2 2" xfId="50240" xr:uid="{00000000-0005-0000-0000-00004EC40000}"/>
    <cellStyle name="Normal 7 3 3 4 2 2 3" xfId="50241" xr:uid="{00000000-0005-0000-0000-00004FC40000}"/>
    <cellStyle name="Normal 7 3 3 4 2 2 4" xfId="50242" xr:uid="{00000000-0005-0000-0000-000050C40000}"/>
    <cellStyle name="Normal 7 3 3 4 2 3" xfId="50243" xr:uid="{00000000-0005-0000-0000-000051C40000}"/>
    <cellStyle name="Normal 7 3 3 4 2 3 2" xfId="50244" xr:uid="{00000000-0005-0000-0000-000052C40000}"/>
    <cellStyle name="Normal 7 3 3 4 2 4" xfId="50245" xr:uid="{00000000-0005-0000-0000-000053C40000}"/>
    <cellStyle name="Normal 7 3 3 4 2 5" xfId="50246" xr:uid="{00000000-0005-0000-0000-000054C40000}"/>
    <cellStyle name="Normal 7 3 3 4 3" xfId="50247" xr:uid="{00000000-0005-0000-0000-000055C40000}"/>
    <cellStyle name="Normal 7 3 3 4 3 2" xfId="50248" xr:uid="{00000000-0005-0000-0000-000056C40000}"/>
    <cellStyle name="Normal 7 3 3 4 3 2 2" xfId="50249" xr:uid="{00000000-0005-0000-0000-000057C40000}"/>
    <cellStyle name="Normal 7 3 3 4 3 3" xfId="50250" xr:uid="{00000000-0005-0000-0000-000058C40000}"/>
    <cellStyle name="Normal 7 3 3 4 3 3 2" xfId="50251" xr:uid="{00000000-0005-0000-0000-000059C40000}"/>
    <cellStyle name="Normal 7 3 3 4 3 4" xfId="50252" xr:uid="{00000000-0005-0000-0000-00005AC40000}"/>
    <cellStyle name="Normal 7 3 3 4 3 5" xfId="50253" xr:uid="{00000000-0005-0000-0000-00005BC40000}"/>
    <cellStyle name="Normal 7 3 3 4 4" xfId="50254" xr:uid="{00000000-0005-0000-0000-00005CC40000}"/>
    <cellStyle name="Normal 7 3 3 4 4 2" xfId="50255" xr:uid="{00000000-0005-0000-0000-00005DC40000}"/>
    <cellStyle name="Normal 7 3 3 4 5" xfId="50256" xr:uid="{00000000-0005-0000-0000-00005EC40000}"/>
    <cellStyle name="Normal 7 3 3 4 5 2" xfId="50257" xr:uid="{00000000-0005-0000-0000-00005FC40000}"/>
    <cellStyle name="Normal 7 3 3 4 6" xfId="50258" xr:uid="{00000000-0005-0000-0000-000060C40000}"/>
    <cellStyle name="Normal 7 3 3 4 7" xfId="50259" xr:uid="{00000000-0005-0000-0000-000061C40000}"/>
    <cellStyle name="Normal 7 3 3 5" xfId="50260" xr:uid="{00000000-0005-0000-0000-000062C40000}"/>
    <cellStyle name="Normal 7 3 3 5 2" xfId="50261" xr:uid="{00000000-0005-0000-0000-000063C40000}"/>
    <cellStyle name="Normal 7 3 3 5 2 2" xfId="50262" xr:uid="{00000000-0005-0000-0000-000064C40000}"/>
    <cellStyle name="Normal 7 3 3 5 2 2 2" xfId="50263" xr:uid="{00000000-0005-0000-0000-000065C40000}"/>
    <cellStyle name="Normal 7 3 3 5 2 3" xfId="50264" xr:uid="{00000000-0005-0000-0000-000066C40000}"/>
    <cellStyle name="Normal 7 3 3 5 2 4" xfId="50265" xr:uid="{00000000-0005-0000-0000-000067C40000}"/>
    <cellStyle name="Normal 7 3 3 5 3" xfId="50266" xr:uid="{00000000-0005-0000-0000-000068C40000}"/>
    <cellStyle name="Normal 7 3 3 5 3 2" xfId="50267" xr:uid="{00000000-0005-0000-0000-000069C40000}"/>
    <cellStyle name="Normal 7 3 3 5 4" xfId="50268" xr:uid="{00000000-0005-0000-0000-00006AC40000}"/>
    <cellStyle name="Normal 7 3 3 5 5" xfId="50269" xr:uid="{00000000-0005-0000-0000-00006BC40000}"/>
    <cellStyle name="Normal 7 3 3 6" xfId="50270" xr:uid="{00000000-0005-0000-0000-00006CC40000}"/>
    <cellStyle name="Normal 7 3 3 6 2" xfId="50271" xr:uid="{00000000-0005-0000-0000-00006DC40000}"/>
    <cellStyle name="Normal 7 3 3 6 2 2" xfId="50272" xr:uid="{00000000-0005-0000-0000-00006EC40000}"/>
    <cellStyle name="Normal 7 3 3 6 3" xfId="50273" xr:uid="{00000000-0005-0000-0000-00006FC40000}"/>
    <cellStyle name="Normal 7 3 3 6 3 2" xfId="50274" xr:uid="{00000000-0005-0000-0000-000070C40000}"/>
    <cellStyle name="Normal 7 3 3 6 4" xfId="50275" xr:uid="{00000000-0005-0000-0000-000071C40000}"/>
    <cellStyle name="Normal 7 3 3 6 5" xfId="50276" xr:uid="{00000000-0005-0000-0000-000072C40000}"/>
    <cellStyle name="Normal 7 3 3 7" xfId="50277" xr:uid="{00000000-0005-0000-0000-000073C40000}"/>
    <cellStyle name="Normal 7 3 3 7 2" xfId="50278" xr:uid="{00000000-0005-0000-0000-000074C40000}"/>
    <cellStyle name="Normal 7 3 3 8" xfId="50279" xr:uid="{00000000-0005-0000-0000-000075C40000}"/>
    <cellStyle name="Normal 7 3 3 8 2" xfId="50280" xr:uid="{00000000-0005-0000-0000-000076C40000}"/>
    <cellStyle name="Normal 7 3 3 9" xfId="50281" xr:uid="{00000000-0005-0000-0000-000077C40000}"/>
    <cellStyle name="Normal 7 3 4" xfId="50282" xr:uid="{00000000-0005-0000-0000-000078C40000}"/>
    <cellStyle name="Normal 7 3 4 2" xfId="50283" xr:uid="{00000000-0005-0000-0000-000079C40000}"/>
    <cellStyle name="Normal 7 3 4 2 2" xfId="50284" xr:uid="{00000000-0005-0000-0000-00007AC40000}"/>
    <cellStyle name="Normal 7 3 4 2 2 2" xfId="50285" xr:uid="{00000000-0005-0000-0000-00007BC40000}"/>
    <cellStyle name="Normal 7 3 4 2 2 2 2" xfId="50286" xr:uid="{00000000-0005-0000-0000-00007CC40000}"/>
    <cellStyle name="Normal 7 3 4 2 2 2 2 2" xfId="50287" xr:uid="{00000000-0005-0000-0000-00007DC40000}"/>
    <cellStyle name="Normal 7 3 4 2 2 2 2 2 2" xfId="50288" xr:uid="{00000000-0005-0000-0000-00007EC40000}"/>
    <cellStyle name="Normal 7 3 4 2 2 2 2 3" xfId="50289" xr:uid="{00000000-0005-0000-0000-00007FC40000}"/>
    <cellStyle name="Normal 7 3 4 2 2 2 2 4" xfId="50290" xr:uid="{00000000-0005-0000-0000-000080C40000}"/>
    <cellStyle name="Normal 7 3 4 2 2 2 3" xfId="50291" xr:uid="{00000000-0005-0000-0000-000081C40000}"/>
    <cellStyle name="Normal 7 3 4 2 2 2 3 2" xfId="50292" xr:uid="{00000000-0005-0000-0000-000082C40000}"/>
    <cellStyle name="Normal 7 3 4 2 2 2 4" xfId="50293" xr:uid="{00000000-0005-0000-0000-000083C40000}"/>
    <cellStyle name="Normal 7 3 4 2 2 2 5" xfId="50294" xr:uid="{00000000-0005-0000-0000-000084C40000}"/>
    <cellStyle name="Normal 7 3 4 2 2 3" xfId="50295" xr:uid="{00000000-0005-0000-0000-000085C40000}"/>
    <cellStyle name="Normal 7 3 4 2 2 3 2" xfId="50296" xr:uid="{00000000-0005-0000-0000-000086C40000}"/>
    <cellStyle name="Normal 7 3 4 2 2 3 2 2" xfId="50297" xr:uid="{00000000-0005-0000-0000-000087C40000}"/>
    <cellStyle name="Normal 7 3 4 2 2 3 3" xfId="50298" xr:uid="{00000000-0005-0000-0000-000088C40000}"/>
    <cellStyle name="Normal 7 3 4 2 2 3 4" xfId="50299" xr:uid="{00000000-0005-0000-0000-000089C40000}"/>
    <cellStyle name="Normal 7 3 4 2 2 4" xfId="50300" xr:uid="{00000000-0005-0000-0000-00008AC40000}"/>
    <cellStyle name="Normal 7 3 4 2 2 4 2" xfId="50301" xr:uid="{00000000-0005-0000-0000-00008BC40000}"/>
    <cellStyle name="Normal 7 3 4 2 2 5" xfId="50302" xr:uid="{00000000-0005-0000-0000-00008CC40000}"/>
    <cellStyle name="Normal 7 3 4 2 2 6" xfId="50303" xr:uid="{00000000-0005-0000-0000-00008DC40000}"/>
    <cellStyle name="Normal 7 3 4 2 3" xfId="50304" xr:uid="{00000000-0005-0000-0000-00008EC40000}"/>
    <cellStyle name="Normal 7 3 4 2 3 2" xfId="50305" xr:uid="{00000000-0005-0000-0000-00008FC40000}"/>
    <cellStyle name="Normal 7 3 4 2 3 2 2" xfId="50306" xr:uid="{00000000-0005-0000-0000-000090C40000}"/>
    <cellStyle name="Normal 7 3 4 2 3 2 2 2" xfId="50307" xr:uid="{00000000-0005-0000-0000-000091C40000}"/>
    <cellStyle name="Normal 7 3 4 2 3 2 3" xfId="50308" xr:uid="{00000000-0005-0000-0000-000092C40000}"/>
    <cellStyle name="Normal 7 3 4 2 3 2 4" xfId="50309" xr:uid="{00000000-0005-0000-0000-000093C40000}"/>
    <cellStyle name="Normal 7 3 4 2 3 3" xfId="50310" xr:uid="{00000000-0005-0000-0000-000094C40000}"/>
    <cellStyle name="Normal 7 3 4 2 3 3 2" xfId="50311" xr:uid="{00000000-0005-0000-0000-000095C40000}"/>
    <cellStyle name="Normal 7 3 4 2 3 4" xfId="50312" xr:uid="{00000000-0005-0000-0000-000096C40000}"/>
    <cellStyle name="Normal 7 3 4 2 3 5" xfId="50313" xr:uid="{00000000-0005-0000-0000-000097C40000}"/>
    <cellStyle name="Normal 7 3 4 2 4" xfId="50314" xr:uid="{00000000-0005-0000-0000-000098C40000}"/>
    <cellStyle name="Normal 7 3 4 2 4 2" xfId="50315" xr:uid="{00000000-0005-0000-0000-000099C40000}"/>
    <cellStyle name="Normal 7 3 4 2 4 2 2" xfId="50316" xr:uid="{00000000-0005-0000-0000-00009AC40000}"/>
    <cellStyle name="Normal 7 3 4 2 4 3" xfId="50317" xr:uid="{00000000-0005-0000-0000-00009BC40000}"/>
    <cellStyle name="Normal 7 3 4 2 4 4" xfId="50318" xr:uid="{00000000-0005-0000-0000-00009CC40000}"/>
    <cellStyle name="Normal 7 3 4 2 5" xfId="50319" xr:uid="{00000000-0005-0000-0000-00009DC40000}"/>
    <cellStyle name="Normal 7 3 4 2 5 2" xfId="50320" xr:uid="{00000000-0005-0000-0000-00009EC40000}"/>
    <cellStyle name="Normal 7 3 4 2 6" xfId="50321" xr:uid="{00000000-0005-0000-0000-00009FC40000}"/>
    <cellStyle name="Normal 7 3 4 2 7" xfId="50322" xr:uid="{00000000-0005-0000-0000-0000A0C40000}"/>
    <cellStyle name="Normal 7 3 4 3" xfId="50323" xr:uid="{00000000-0005-0000-0000-0000A1C40000}"/>
    <cellStyle name="Normal 7 3 4 3 2" xfId="50324" xr:uid="{00000000-0005-0000-0000-0000A2C40000}"/>
    <cellStyle name="Normal 7 3 4 3 2 2" xfId="50325" xr:uid="{00000000-0005-0000-0000-0000A3C40000}"/>
    <cellStyle name="Normal 7 3 4 3 2 2 2" xfId="50326" xr:uid="{00000000-0005-0000-0000-0000A4C40000}"/>
    <cellStyle name="Normal 7 3 4 3 2 2 2 2" xfId="50327" xr:uid="{00000000-0005-0000-0000-0000A5C40000}"/>
    <cellStyle name="Normal 7 3 4 3 2 2 3" xfId="50328" xr:uid="{00000000-0005-0000-0000-0000A6C40000}"/>
    <cellStyle name="Normal 7 3 4 3 2 2 4" xfId="50329" xr:uid="{00000000-0005-0000-0000-0000A7C40000}"/>
    <cellStyle name="Normal 7 3 4 3 2 3" xfId="50330" xr:uid="{00000000-0005-0000-0000-0000A8C40000}"/>
    <cellStyle name="Normal 7 3 4 3 2 3 2" xfId="50331" xr:uid="{00000000-0005-0000-0000-0000A9C40000}"/>
    <cellStyle name="Normal 7 3 4 3 2 4" xfId="50332" xr:uid="{00000000-0005-0000-0000-0000AAC40000}"/>
    <cellStyle name="Normal 7 3 4 3 2 5" xfId="50333" xr:uid="{00000000-0005-0000-0000-0000ABC40000}"/>
    <cellStyle name="Normal 7 3 4 3 3" xfId="50334" xr:uid="{00000000-0005-0000-0000-0000ACC40000}"/>
    <cellStyle name="Normal 7 3 4 3 3 2" xfId="50335" xr:uid="{00000000-0005-0000-0000-0000ADC40000}"/>
    <cellStyle name="Normal 7 3 4 3 3 2 2" xfId="50336" xr:uid="{00000000-0005-0000-0000-0000AEC40000}"/>
    <cellStyle name="Normal 7 3 4 3 3 3" xfId="50337" xr:uid="{00000000-0005-0000-0000-0000AFC40000}"/>
    <cellStyle name="Normal 7 3 4 3 3 3 2" xfId="50338" xr:uid="{00000000-0005-0000-0000-0000B0C40000}"/>
    <cellStyle name="Normal 7 3 4 3 3 4" xfId="50339" xr:uid="{00000000-0005-0000-0000-0000B1C40000}"/>
    <cellStyle name="Normal 7 3 4 3 3 5" xfId="50340" xr:uid="{00000000-0005-0000-0000-0000B2C40000}"/>
    <cellStyle name="Normal 7 3 4 3 4" xfId="50341" xr:uid="{00000000-0005-0000-0000-0000B3C40000}"/>
    <cellStyle name="Normal 7 3 4 3 4 2" xfId="50342" xr:uid="{00000000-0005-0000-0000-0000B4C40000}"/>
    <cellStyle name="Normal 7 3 4 3 5" xfId="50343" xr:uid="{00000000-0005-0000-0000-0000B5C40000}"/>
    <cellStyle name="Normal 7 3 4 3 5 2" xfId="50344" xr:uid="{00000000-0005-0000-0000-0000B6C40000}"/>
    <cellStyle name="Normal 7 3 4 3 6" xfId="50345" xr:uid="{00000000-0005-0000-0000-0000B7C40000}"/>
    <cellStyle name="Normal 7 3 4 3 7" xfId="50346" xr:uid="{00000000-0005-0000-0000-0000B8C40000}"/>
    <cellStyle name="Normal 7 3 4 4" xfId="50347" xr:uid="{00000000-0005-0000-0000-0000B9C40000}"/>
    <cellStyle name="Normal 7 3 4 4 2" xfId="50348" xr:uid="{00000000-0005-0000-0000-0000BAC40000}"/>
    <cellStyle name="Normal 7 3 4 4 2 2" xfId="50349" xr:uid="{00000000-0005-0000-0000-0000BBC40000}"/>
    <cellStyle name="Normal 7 3 4 4 2 2 2" xfId="50350" xr:uid="{00000000-0005-0000-0000-0000BCC40000}"/>
    <cellStyle name="Normal 7 3 4 4 2 3" xfId="50351" xr:uid="{00000000-0005-0000-0000-0000BDC40000}"/>
    <cellStyle name="Normal 7 3 4 4 2 4" xfId="50352" xr:uid="{00000000-0005-0000-0000-0000BEC40000}"/>
    <cellStyle name="Normal 7 3 4 4 3" xfId="50353" xr:uid="{00000000-0005-0000-0000-0000BFC40000}"/>
    <cellStyle name="Normal 7 3 4 4 3 2" xfId="50354" xr:uid="{00000000-0005-0000-0000-0000C0C40000}"/>
    <cellStyle name="Normal 7 3 4 4 4" xfId="50355" xr:uid="{00000000-0005-0000-0000-0000C1C40000}"/>
    <cellStyle name="Normal 7 3 4 4 5" xfId="50356" xr:uid="{00000000-0005-0000-0000-0000C2C40000}"/>
    <cellStyle name="Normal 7 3 4 5" xfId="50357" xr:uid="{00000000-0005-0000-0000-0000C3C40000}"/>
    <cellStyle name="Normal 7 3 4 5 2" xfId="50358" xr:uid="{00000000-0005-0000-0000-0000C4C40000}"/>
    <cellStyle name="Normal 7 3 4 5 2 2" xfId="50359" xr:uid="{00000000-0005-0000-0000-0000C5C40000}"/>
    <cellStyle name="Normal 7 3 4 5 3" xfId="50360" xr:uid="{00000000-0005-0000-0000-0000C6C40000}"/>
    <cellStyle name="Normal 7 3 4 5 3 2" xfId="50361" xr:uid="{00000000-0005-0000-0000-0000C7C40000}"/>
    <cellStyle name="Normal 7 3 4 5 4" xfId="50362" xr:uid="{00000000-0005-0000-0000-0000C8C40000}"/>
    <cellStyle name="Normal 7 3 4 5 5" xfId="50363" xr:uid="{00000000-0005-0000-0000-0000C9C40000}"/>
    <cellStyle name="Normal 7 3 4 6" xfId="50364" xr:uid="{00000000-0005-0000-0000-0000CAC40000}"/>
    <cellStyle name="Normal 7 3 4 6 2" xfId="50365" xr:uid="{00000000-0005-0000-0000-0000CBC40000}"/>
    <cellStyle name="Normal 7 3 4 7" xfId="50366" xr:uid="{00000000-0005-0000-0000-0000CCC40000}"/>
    <cellStyle name="Normal 7 3 4 7 2" xfId="50367" xr:uid="{00000000-0005-0000-0000-0000CDC40000}"/>
    <cellStyle name="Normal 7 3 4 8" xfId="50368" xr:uid="{00000000-0005-0000-0000-0000CEC40000}"/>
    <cellStyle name="Normal 7 3 4 9" xfId="50369" xr:uid="{00000000-0005-0000-0000-0000CFC40000}"/>
    <cellStyle name="Normal 7 3 5" xfId="50370" xr:uid="{00000000-0005-0000-0000-0000D0C40000}"/>
    <cellStyle name="Normal 7 3 5 2" xfId="50371" xr:uid="{00000000-0005-0000-0000-0000D1C40000}"/>
    <cellStyle name="Normal 7 3 5 2 2" xfId="50372" xr:uid="{00000000-0005-0000-0000-0000D2C40000}"/>
    <cellStyle name="Normal 7 3 5 2 2 2" xfId="50373" xr:uid="{00000000-0005-0000-0000-0000D3C40000}"/>
    <cellStyle name="Normal 7 3 5 2 2 2 2" xfId="50374" xr:uid="{00000000-0005-0000-0000-0000D4C40000}"/>
    <cellStyle name="Normal 7 3 5 2 2 2 2 2" xfId="50375" xr:uid="{00000000-0005-0000-0000-0000D5C40000}"/>
    <cellStyle name="Normal 7 3 5 2 2 2 3" xfId="50376" xr:uid="{00000000-0005-0000-0000-0000D6C40000}"/>
    <cellStyle name="Normal 7 3 5 2 2 2 4" xfId="50377" xr:uid="{00000000-0005-0000-0000-0000D7C40000}"/>
    <cellStyle name="Normal 7 3 5 2 2 3" xfId="50378" xr:uid="{00000000-0005-0000-0000-0000D8C40000}"/>
    <cellStyle name="Normal 7 3 5 2 2 3 2" xfId="50379" xr:uid="{00000000-0005-0000-0000-0000D9C40000}"/>
    <cellStyle name="Normal 7 3 5 2 2 4" xfId="50380" xr:uid="{00000000-0005-0000-0000-0000DAC40000}"/>
    <cellStyle name="Normal 7 3 5 2 2 5" xfId="50381" xr:uid="{00000000-0005-0000-0000-0000DBC40000}"/>
    <cellStyle name="Normal 7 3 5 2 3" xfId="50382" xr:uid="{00000000-0005-0000-0000-0000DCC40000}"/>
    <cellStyle name="Normal 7 3 5 2 3 2" xfId="50383" xr:uid="{00000000-0005-0000-0000-0000DDC40000}"/>
    <cellStyle name="Normal 7 3 5 2 3 2 2" xfId="50384" xr:uid="{00000000-0005-0000-0000-0000DEC40000}"/>
    <cellStyle name="Normal 7 3 5 2 3 3" xfId="50385" xr:uid="{00000000-0005-0000-0000-0000DFC40000}"/>
    <cellStyle name="Normal 7 3 5 2 3 3 2" xfId="50386" xr:uid="{00000000-0005-0000-0000-0000E0C40000}"/>
    <cellStyle name="Normal 7 3 5 2 3 4" xfId="50387" xr:uid="{00000000-0005-0000-0000-0000E1C40000}"/>
    <cellStyle name="Normal 7 3 5 2 3 5" xfId="50388" xr:uid="{00000000-0005-0000-0000-0000E2C40000}"/>
    <cellStyle name="Normal 7 3 5 2 4" xfId="50389" xr:uid="{00000000-0005-0000-0000-0000E3C40000}"/>
    <cellStyle name="Normal 7 3 5 2 4 2" xfId="50390" xr:uid="{00000000-0005-0000-0000-0000E4C40000}"/>
    <cellStyle name="Normal 7 3 5 2 5" xfId="50391" xr:uid="{00000000-0005-0000-0000-0000E5C40000}"/>
    <cellStyle name="Normal 7 3 5 2 5 2" xfId="50392" xr:uid="{00000000-0005-0000-0000-0000E6C40000}"/>
    <cellStyle name="Normal 7 3 5 2 6" xfId="50393" xr:uid="{00000000-0005-0000-0000-0000E7C40000}"/>
    <cellStyle name="Normal 7 3 5 2 7" xfId="50394" xr:uid="{00000000-0005-0000-0000-0000E8C40000}"/>
    <cellStyle name="Normal 7 3 5 3" xfId="50395" xr:uid="{00000000-0005-0000-0000-0000E9C40000}"/>
    <cellStyle name="Normal 7 3 5 3 2" xfId="50396" xr:uid="{00000000-0005-0000-0000-0000EAC40000}"/>
    <cellStyle name="Normal 7 3 5 3 2 2" xfId="50397" xr:uid="{00000000-0005-0000-0000-0000EBC40000}"/>
    <cellStyle name="Normal 7 3 5 3 2 2 2" xfId="50398" xr:uid="{00000000-0005-0000-0000-0000ECC40000}"/>
    <cellStyle name="Normal 7 3 5 3 2 3" xfId="50399" xr:uid="{00000000-0005-0000-0000-0000EDC40000}"/>
    <cellStyle name="Normal 7 3 5 3 2 4" xfId="50400" xr:uid="{00000000-0005-0000-0000-0000EEC40000}"/>
    <cellStyle name="Normal 7 3 5 3 3" xfId="50401" xr:uid="{00000000-0005-0000-0000-0000EFC40000}"/>
    <cellStyle name="Normal 7 3 5 3 3 2" xfId="50402" xr:uid="{00000000-0005-0000-0000-0000F0C40000}"/>
    <cellStyle name="Normal 7 3 5 3 4" xfId="50403" xr:uid="{00000000-0005-0000-0000-0000F1C40000}"/>
    <cellStyle name="Normal 7 3 5 3 5" xfId="50404" xr:uid="{00000000-0005-0000-0000-0000F2C40000}"/>
    <cellStyle name="Normal 7 3 5 4" xfId="50405" xr:uid="{00000000-0005-0000-0000-0000F3C40000}"/>
    <cellStyle name="Normal 7 3 5 4 2" xfId="50406" xr:uid="{00000000-0005-0000-0000-0000F4C40000}"/>
    <cellStyle name="Normal 7 3 5 4 2 2" xfId="50407" xr:uid="{00000000-0005-0000-0000-0000F5C40000}"/>
    <cellStyle name="Normal 7 3 5 4 3" xfId="50408" xr:uid="{00000000-0005-0000-0000-0000F6C40000}"/>
    <cellStyle name="Normal 7 3 5 4 3 2" xfId="50409" xr:uid="{00000000-0005-0000-0000-0000F7C40000}"/>
    <cellStyle name="Normal 7 3 5 4 4" xfId="50410" xr:uid="{00000000-0005-0000-0000-0000F8C40000}"/>
    <cellStyle name="Normal 7 3 5 4 5" xfId="50411" xr:uid="{00000000-0005-0000-0000-0000F9C40000}"/>
    <cellStyle name="Normal 7 3 5 5" xfId="50412" xr:uid="{00000000-0005-0000-0000-0000FAC40000}"/>
    <cellStyle name="Normal 7 3 5 5 2" xfId="50413" xr:uid="{00000000-0005-0000-0000-0000FBC40000}"/>
    <cellStyle name="Normal 7 3 5 6" xfId="50414" xr:uid="{00000000-0005-0000-0000-0000FCC40000}"/>
    <cellStyle name="Normal 7 3 5 6 2" xfId="50415" xr:uid="{00000000-0005-0000-0000-0000FDC40000}"/>
    <cellStyle name="Normal 7 3 5 7" xfId="50416" xr:uid="{00000000-0005-0000-0000-0000FEC40000}"/>
    <cellStyle name="Normal 7 3 5 8" xfId="50417" xr:uid="{00000000-0005-0000-0000-0000FFC40000}"/>
    <cellStyle name="Normal 7 3 6" xfId="50418" xr:uid="{00000000-0005-0000-0000-000000C50000}"/>
    <cellStyle name="Normal 7 3 6 2" xfId="50419" xr:uid="{00000000-0005-0000-0000-000001C50000}"/>
    <cellStyle name="Normal 7 3 6 2 2" xfId="50420" xr:uid="{00000000-0005-0000-0000-000002C50000}"/>
    <cellStyle name="Normal 7 3 6 2 2 2" xfId="50421" xr:uid="{00000000-0005-0000-0000-000003C50000}"/>
    <cellStyle name="Normal 7 3 6 2 2 2 2" xfId="50422" xr:uid="{00000000-0005-0000-0000-000004C50000}"/>
    <cellStyle name="Normal 7 3 6 2 2 3" xfId="50423" xr:uid="{00000000-0005-0000-0000-000005C50000}"/>
    <cellStyle name="Normal 7 3 6 2 2 4" xfId="50424" xr:uid="{00000000-0005-0000-0000-000006C50000}"/>
    <cellStyle name="Normal 7 3 6 2 3" xfId="50425" xr:uid="{00000000-0005-0000-0000-000007C50000}"/>
    <cellStyle name="Normal 7 3 6 2 3 2" xfId="50426" xr:uid="{00000000-0005-0000-0000-000008C50000}"/>
    <cellStyle name="Normal 7 3 6 2 4" xfId="50427" xr:uid="{00000000-0005-0000-0000-000009C50000}"/>
    <cellStyle name="Normal 7 3 6 2 5" xfId="50428" xr:uid="{00000000-0005-0000-0000-00000AC50000}"/>
    <cellStyle name="Normal 7 3 6 3" xfId="50429" xr:uid="{00000000-0005-0000-0000-00000BC50000}"/>
    <cellStyle name="Normal 7 3 6 3 2" xfId="50430" xr:uid="{00000000-0005-0000-0000-00000CC50000}"/>
    <cellStyle name="Normal 7 3 6 3 3" xfId="50431" xr:uid="{00000000-0005-0000-0000-00000DC50000}"/>
    <cellStyle name="Normal 7 3 6 4" xfId="50432" xr:uid="{00000000-0005-0000-0000-00000EC50000}"/>
    <cellStyle name="Normal 7 3 6 4 2" xfId="50433" xr:uid="{00000000-0005-0000-0000-00000FC50000}"/>
    <cellStyle name="Normal 7 3 6 5" xfId="50434" xr:uid="{00000000-0005-0000-0000-000010C50000}"/>
    <cellStyle name="Normal 7 3 7" xfId="50435" xr:uid="{00000000-0005-0000-0000-000011C50000}"/>
    <cellStyle name="Normal 7 3 7 2" xfId="50436" xr:uid="{00000000-0005-0000-0000-000012C50000}"/>
    <cellStyle name="Normal 7 3 7 2 2" xfId="50437" xr:uid="{00000000-0005-0000-0000-000013C50000}"/>
    <cellStyle name="Normal 7 3 7 2 2 2" xfId="50438" xr:uid="{00000000-0005-0000-0000-000014C50000}"/>
    <cellStyle name="Normal 7 3 7 2 3" xfId="50439" xr:uid="{00000000-0005-0000-0000-000015C50000}"/>
    <cellStyle name="Normal 7 3 7 2 3 2" xfId="50440" xr:uid="{00000000-0005-0000-0000-000016C50000}"/>
    <cellStyle name="Normal 7 3 7 2 4" xfId="50441" xr:uid="{00000000-0005-0000-0000-000017C50000}"/>
    <cellStyle name="Normal 7 3 7 2 5" xfId="50442" xr:uid="{00000000-0005-0000-0000-000018C50000}"/>
    <cellStyle name="Normal 7 3 7 3" xfId="50443" xr:uid="{00000000-0005-0000-0000-000019C50000}"/>
    <cellStyle name="Normal 7 3 7 3 2" xfId="50444" xr:uid="{00000000-0005-0000-0000-00001AC50000}"/>
    <cellStyle name="Normal 7 3 7 4" xfId="50445" xr:uid="{00000000-0005-0000-0000-00001BC50000}"/>
    <cellStyle name="Normal 7 3 7 4 2" xfId="50446" xr:uid="{00000000-0005-0000-0000-00001CC50000}"/>
    <cellStyle name="Normal 7 3 7 5" xfId="50447" xr:uid="{00000000-0005-0000-0000-00001DC50000}"/>
    <cellStyle name="Normal 7 3 7 6" xfId="50448" xr:uid="{00000000-0005-0000-0000-00001EC50000}"/>
    <cellStyle name="Normal 7 3 8" xfId="50449" xr:uid="{00000000-0005-0000-0000-00001FC50000}"/>
    <cellStyle name="Normal 7 3 8 2" xfId="50450" xr:uid="{00000000-0005-0000-0000-000020C50000}"/>
    <cellStyle name="Normal 7 3 8 2 2" xfId="50451" xr:uid="{00000000-0005-0000-0000-000021C50000}"/>
    <cellStyle name="Normal 7 3 8 3" xfId="50452" xr:uid="{00000000-0005-0000-0000-000022C50000}"/>
    <cellStyle name="Normal 7 3 8 3 2" xfId="50453" xr:uid="{00000000-0005-0000-0000-000023C50000}"/>
    <cellStyle name="Normal 7 3 8 4" xfId="50454" xr:uid="{00000000-0005-0000-0000-000024C50000}"/>
    <cellStyle name="Normal 7 3 8 5" xfId="50455" xr:uid="{00000000-0005-0000-0000-000025C50000}"/>
    <cellStyle name="Normal 7 3 9" xfId="50456" xr:uid="{00000000-0005-0000-0000-000026C50000}"/>
    <cellStyle name="Normal 7 3 9 2" xfId="50457" xr:uid="{00000000-0005-0000-0000-000027C50000}"/>
    <cellStyle name="Normal 7 3 9 2 2" xfId="50458" xr:uid="{00000000-0005-0000-0000-000028C50000}"/>
    <cellStyle name="Normal 7 3 9 3" xfId="50459" xr:uid="{00000000-0005-0000-0000-000029C50000}"/>
    <cellStyle name="Normal 7 30" xfId="50460" xr:uid="{00000000-0005-0000-0000-00002AC50000}"/>
    <cellStyle name="Normal 7 30 2" xfId="50461" xr:uid="{00000000-0005-0000-0000-00002BC50000}"/>
    <cellStyle name="Normal 7 31" xfId="50462" xr:uid="{00000000-0005-0000-0000-00002CC50000}"/>
    <cellStyle name="Normal 7 31 2" xfId="50463" xr:uid="{00000000-0005-0000-0000-00002DC50000}"/>
    <cellStyle name="Normal 7 32" xfId="50464" xr:uid="{00000000-0005-0000-0000-00002EC50000}"/>
    <cellStyle name="Normal 7 32 2" xfId="50465" xr:uid="{00000000-0005-0000-0000-00002FC50000}"/>
    <cellStyle name="Normal 7 33" xfId="50466" xr:uid="{00000000-0005-0000-0000-000030C50000}"/>
    <cellStyle name="Normal 7 33 2" xfId="50467" xr:uid="{00000000-0005-0000-0000-000031C50000}"/>
    <cellStyle name="Normal 7 34" xfId="50468" xr:uid="{00000000-0005-0000-0000-000032C50000}"/>
    <cellStyle name="Normal 7 34 2" xfId="50469" xr:uid="{00000000-0005-0000-0000-000033C50000}"/>
    <cellStyle name="Normal 7 35" xfId="50470" xr:uid="{00000000-0005-0000-0000-000034C50000}"/>
    <cellStyle name="Normal 7 35 2" xfId="50471" xr:uid="{00000000-0005-0000-0000-000035C50000}"/>
    <cellStyle name="Normal 7 36" xfId="50472" xr:uid="{00000000-0005-0000-0000-000036C50000}"/>
    <cellStyle name="Normal 7 36 2" xfId="50473" xr:uid="{00000000-0005-0000-0000-000037C50000}"/>
    <cellStyle name="Normal 7 37" xfId="50474" xr:uid="{00000000-0005-0000-0000-000038C50000}"/>
    <cellStyle name="Normal 7 37 2" xfId="50475" xr:uid="{00000000-0005-0000-0000-000039C50000}"/>
    <cellStyle name="Normal 7 38" xfId="50476" xr:uid="{00000000-0005-0000-0000-00003AC50000}"/>
    <cellStyle name="Normal 7 38 2" xfId="50477" xr:uid="{00000000-0005-0000-0000-00003BC50000}"/>
    <cellStyle name="Normal 7 39" xfId="50478" xr:uid="{00000000-0005-0000-0000-00003CC50000}"/>
    <cellStyle name="Normal 7 39 2" xfId="50479" xr:uid="{00000000-0005-0000-0000-00003DC50000}"/>
    <cellStyle name="Normal 7 4" xfId="50480" xr:uid="{00000000-0005-0000-0000-00003EC50000}"/>
    <cellStyle name="Normal 7 4 10" xfId="50481" xr:uid="{00000000-0005-0000-0000-00003FC50000}"/>
    <cellStyle name="Normal 7 4 10 2" xfId="50482" xr:uid="{00000000-0005-0000-0000-000040C50000}"/>
    <cellStyle name="Normal 7 4 11" xfId="50483" xr:uid="{00000000-0005-0000-0000-000041C50000}"/>
    <cellStyle name="Normal 7 4 12" xfId="50484" xr:uid="{00000000-0005-0000-0000-000042C50000}"/>
    <cellStyle name="Normal 7 4 13" xfId="50485" xr:uid="{00000000-0005-0000-0000-000043C50000}"/>
    <cellStyle name="Normal 7 4 2" xfId="50486" xr:uid="{00000000-0005-0000-0000-000044C50000}"/>
    <cellStyle name="Normal 7 4 2 10" xfId="50487" xr:uid="{00000000-0005-0000-0000-000045C50000}"/>
    <cellStyle name="Normal 7 4 2 11" xfId="50488" xr:uid="{00000000-0005-0000-0000-000046C50000}"/>
    <cellStyle name="Normal 7 4 2 2" xfId="50489" xr:uid="{00000000-0005-0000-0000-000047C50000}"/>
    <cellStyle name="Normal 7 4 2 2 2" xfId="50490" xr:uid="{00000000-0005-0000-0000-000048C50000}"/>
    <cellStyle name="Normal 7 4 2 2 2 2" xfId="50491" xr:uid="{00000000-0005-0000-0000-000049C50000}"/>
    <cellStyle name="Normal 7 4 2 2 2 2 2" xfId="50492" xr:uid="{00000000-0005-0000-0000-00004AC50000}"/>
    <cellStyle name="Normal 7 4 2 2 2 2 2 2" xfId="50493" xr:uid="{00000000-0005-0000-0000-00004BC50000}"/>
    <cellStyle name="Normal 7 4 2 2 2 2 2 2 2" xfId="50494" xr:uid="{00000000-0005-0000-0000-00004CC50000}"/>
    <cellStyle name="Normal 7 4 2 2 2 2 2 2 2 2" xfId="50495" xr:uid="{00000000-0005-0000-0000-00004DC50000}"/>
    <cellStyle name="Normal 7 4 2 2 2 2 2 2 3" xfId="50496" xr:uid="{00000000-0005-0000-0000-00004EC50000}"/>
    <cellStyle name="Normal 7 4 2 2 2 2 2 2 4" xfId="50497" xr:uid="{00000000-0005-0000-0000-00004FC50000}"/>
    <cellStyle name="Normal 7 4 2 2 2 2 2 3" xfId="50498" xr:uid="{00000000-0005-0000-0000-000050C50000}"/>
    <cellStyle name="Normal 7 4 2 2 2 2 2 3 2" xfId="50499" xr:uid="{00000000-0005-0000-0000-000051C50000}"/>
    <cellStyle name="Normal 7 4 2 2 2 2 2 4" xfId="50500" xr:uid="{00000000-0005-0000-0000-000052C50000}"/>
    <cellStyle name="Normal 7 4 2 2 2 2 2 5" xfId="50501" xr:uid="{00000000-0005-0000-0000-000053C50000}"/>
    <cellStyle name="Normal 7 4 2 2 2 2 3" xfId="50502" xr:uid="{00000000-0005-0000-0000-000054C50000}"/>
    <cellStyle name="Normal 7 4 2 2 2 2 3 2" xfId="50503" xr:uid="{00000000-0005-0000-0000-000055C50000}"/>
    <cellStyle name="Normal 7 4 2 2 2 2 3 2 2" xfId="50504" xr:uid="{00000000-0005-0000-0000-000056C50000}"/>
    <cellStyle name="Normal 7 4 2 2 2 2 3 3" xfId="50505" xr:uid="{00000000-0005-0000-0000-000057C50000}"/>
    <cellStyle name="Normal 7 4 2 2 2 2 3 4" xfId="50506" xr:uid="{00000000-0005-0000-0000-000058C50000}"/>
    <cellStyle name="Normal 7 4 2 2 2 2 4" xfId="50507" xr:uid="{00000000-0005-0000-0000-000059C50000}"/>
    <cellStyle name="Normal 7 4 2 2 2 2 4 2" xfId="50508" xr:uid="{00000000-0005-0000-0000-00005AC50000}"/>
    <cellStyle name="Normal 7 4 2 2 2 2 5" xfId="50509" xr:uid="{00000000-0005-0000-0000-00005BC50000}"/>
    <cellStyle name="Normal 7 4 2 2 2 2 6" xfId="50510" xr:uid="{00000000-0005-0000-0000-00005CC50000}"/>
    <cellStyle name="Normal 7 4 2 2 2 3" xfId="50511" xr:uid="{00000000-0005-0000-0000-00005DC50000}"/>
    <cellStyle name="Normal 7 4 2 2 2 3 2" xfId="50512" xr:uid="{00000000-0005-0000-0000-00005EC50000}"/>
    <cellStyle name="Normal 7 4 2 2 2 3 2 2" xfId="50513" xr:uid="{00000000-0005-0000-0000-00005FC50000}"/>
    <cellStyle name="Normal 7 4 2 2 2 3 2 2 2" xfId="50514" xr:uid="{00000000-0005-0000-0000-000060C50000}"/>
    <cellStyle name="Normal 7 4 2 2 2 3 2 3" xfId="50515" xr:uid="{00000000-0005-0000-0000-000061C50000}"/>
    <cellStyle name="Normal 7 4 2 2 2 3 2 4" xfId="50516" xr:uid="{00000000-0005-0000-0000-000062C50000}"/>
    <cellStyle name="Normal 7 4 2 2 2 3 3" xfId="50517" xr:uid="{00000000-0005-0000-0000-000063C50000}"/>
    <cellStyle name="Normal 7 4 2 2 2 3 3 2" xfId="50518" xr:uid="{00000000-0005-0000-0000-000064C50000}"/>
    <cellStyle name="Normal 7 4 2 2 2 3 4" xfId="50519" xr:uid="{00000000-0005-0000-0000-000065C50000}"/>
    <cellStyle name="Normal 7 4 2 2 2 3 5" xfId="50520" xr:uid="{00000000-0005-0000-0000-000066C50000}"/>
    <cellStyle name="Normal 7 4 2 2 2 4" xfId="50521" xr:uid="{00000000-0005-0000-0000-000067C50000}"/>
    <cellStyle name="Normal 7 4 2 2 2 4 2" xfId="50522" xr:uid="{00000000-0005-0000-0000-000068C50000}"/>
    <cellStyle name="Normal 7 4 2 2 2 4 2 2" xfId="50523" xr:uid="{00000000-0005-0000-0000-000069C50000}"/>
    <cellStyle name="Normal 7 4 2 2 2 4 3" xfId="50524" xr:uid="{00000000-0005-0000-0000-00006AC50000}"/>
    <cellStyle name="Normal 7 4 2 2 2 4 4" xfId="50525" xr:uid="{00000000-0005-0000-0000-00006BC50000}"/>
    <cellStyle name="Normal 7 4 2 2 2 5" xfId="50526" xr:uid="{00000000-0005-0000-0000-00006CC50000}"/>
    <cellStyle name="Normal 7 4 2 2 2 5 2" xfId="50527" xr:uid="{00000000-0005-0000-0000-00006DC50000}"/>
    <cellStyle name="Normal 7 4 2 2 2 6" xfId="50528" xr:uid="{00000000-0005-0000-0000-00006EC50000}"/>
    <cellStyle name="Normal 7 4 2 2 2 7" xfId="50529" xr:uid="{00000000-0005-0000-0000-00006FC50000}"/>
    <cellStyle name="Normal 7 4 2 2 3" xfId="50530" xr:uid="{00000000-0005-0000-0000-000070C50000}"/>
    <cellStyle name="Normal 7 4 2 2 3 2" xfId="50531" xr:uid="{00000000-0005-0000-0000-000071C50000}"/>
    <cellStyle name="Normal 7 4 2 2 3 2 2" xfId="50532" xr:uid="{00000000-0005-0000-0000-000072C50000}"/>
    <cellStyle name="Normal 7 4 2 2 3 2 2 2" xfId="50533" xr:uid="{00000000-0005-0000-0000-000073C50000}"/>
    <cellStyle name="Normal 7 4 2 2 3 2 2 2 2" xfId="50534" xr:uid="{00000000-0005-0000-0000-000074C50000}"/>
    <cellStyle name="Normal 7 4 2 2 3 2 2 3" xfId="50535" xr:uid="{00000000-0005-0000-0000-000075C50000}"/>
    <cellStyle name="Normal 7 4 2 2 3 2 2 4" xfId="50536" xr:uid="{00000000-0005-0000-0000-000076C50000}"/>
    <cellStyle name="Normal 7 4 2 2 3 2 3" xfId="50537" xr:uid="{00000000-0005-0000-0000-000077C50000}"/>
    <cellStyle name="Normal 7 4 2 2 3 2 3 2" xfId="50538" xr:uid="{00000000-0005-0000-0000-000078C50000}"/>
    <cellStyle name="Normal 7 4 2 2 3 2 4" xfId="50539" xr:uid="{00000000-0005-0000-0000-000079C50000}"/>
    <cellStyle name="Normal 7 4 2 2 3 2 5" xfId="50540" xr:uid="{00000000-0005-0000-0000-00007AC50000}"/>
    <cellStyle name="Normal 7 4 2 2 3 3" xfId="50541" xr:uid="{00000000-0005-0000-0000-00007BC50000}"/>
    <cellStyle name="Normal 7 4 2 2 3 3 2" xfId="50542" xr:uid="{00000000-0005-0000-0000-00007CC50000}"/>
    <cellStyle name="Normal 7 4 2 2 3 3 2 2" xfId="50543" xr:uid="{00000000-0005-0000-0000-00007DC50000}"/>
    <cellStyle name="Normal 7 4 2 2 3 3 3" xfId="50544" xr:uid="{00000000-0005-0000-0000-00007EC50000}"/>
    <cellStyle name="Normal 7 4 2 2 3 3 3 2" xfId="50545" xr:uid="{00000000-0005-0000-0000-00007FC50000}"/>
    <cellStyle name="Normal 7 4 2 2 3 3 4" xfId="50546" xr:uid="{00000000-0005-0000-0000-000080C50000}"/>
    <cellStyle name="Normal 7 4 2 2 3 3 5" xfId="50547" xr:uid="{00000000-0005-0000-0000-000081C50000}"/>
    <cellStyle name="Normal 7 4 2 2 3 4" xfId="50548" xr:uid="{00000000-0005-0000-0000-000082C50000}"/>
    <cellStyle name="Normal 7 4 2 2 3 4 2" xfId="50549" xr:uid="{00000000-0005-0000-0000-000083C50000}"/>
    <cellStyle name="Normal 7 4 2 2 3 5" xfId="50550" xr:uid="{00000000-0005-0000-0000-000084C50000}"/>
    <cellStyle name="Normal 7 4 2 2 3 5 2" xfId="50551" xr:uid="{00000000-0005-0000-0000-000085C50000}"/>
    <cellStyle name="Normal 7 4 2 2 3 6" xfId="50552" xr:uid="{00000000-0005-0000-0000-000086C50000}"/>
    <cellStyle name="Normal 7 4 2 2 3 7" xfId="50553" xr:uid="{00000000-0005-0000-0000-000087C50000}"/>
    <cellStyle name="Normal 7 4 2 2 4" xfId="50554" xr:uid="{00000000-0005-0000-0000-000088C50000}"/>
    <cellStyle name="Normal 7 4 2 2 4 2" xfId="50555" xr:uid="{00000000-0005-0000-0000-000089C50000}"/>
    <cellStyle name="Normal 7 4 2 2 4 2 2" xfId="50556" xr:uid="{00000000-0005-0000-0000-00008AC50000}"/>
    <cellStyle name="Normal 7 4 2 2 4 2 2 2" xfId="50557" xr:uid="{00000000-0005-0000-0000-00008BC50000}"/>
    <cellStyle name="Normal 7 4 2 2 4 2 3" xfId="50558" xr:uid="{00000000-0005-0000-0000-00008CC50000}"/>
    <cellStyle name="Normal 7 4 2 2 4 2 4" xfId="50559" xr:uid="{00000000-0005-0000-0000-00008DC50000}"/>
    <cellStyle name="Normal 7 4 2 2 4 3" xfId="50560" xr:uid="{00000000-0005-0000-0000-00008EC50000}"/>
    <cellStyle name="Normal 7 4 2 2 4 3 2" xfId="50561" xr:uid="{00000000-0005-0000-0000-00008FC50000}"/>
    <cellStyle name="Normal 7 4 2 2 4 4" xfId="50562" xr:uid="{00000000-0005-0000-0000-000090C50000}"/>
    <cellStyle name="Normal 7 4 2 2 4 5" xfId="50563" xr:uid="{00000000-0005-0000-0000-000091C50000}"/>
    <cellStyle name="Normal 7 4 2 2 5" xfId="50564" xr:uid="{00000000-0005-0000-0000-000092C50000}"/>
    <cellStyle name="Normal 7 4 2 2 5 2" xfId="50565" xr:uid="{00000000-0005-0000-0000-000093C50000}"/>
    <cellStyle name="Normal 7 4 2 2 5 2 2" xfId="50566" xr:uid="{00000000-0005-0000-0000-000094C50000}"/>
    <cellStyle name="Normal 7 4 2 2 5 3" xfId="50567" xr:uid="{00000000-0005-0000-0000-000095C50000}"/>
    <cellStyle name="Normal 7 4 2 2 5 3 2" xfId="50568" xr:uid="{00000000-0005-0000-0000-000096C50000}"/>
    <cellStyle name="Normal 7 4 2 2 5 4" xfId="50569" xr:uid="{00000000-0005-0000-0000-000097C50000}"/>
    <cellStyle name="Normal 7 4 2 2 5 5" xfId="50570" xr:uid="{00000000-0005-0000-0000-000098C50000}"/>
    <cellStyle name="Normal 7 4 2 2 6" xfId="50571" xr:uid="{00000000-0005-0000-0000-000099C50000}"/>
    <cellStyle name="Normal 7 4 2 2 6 2" xfId="50572" xr:uid="{00000000-0005-0000-0000-00009AC50000}"/>
    <cellStyle name="Normal 7 4 2 2 7" xfId="50573" xr:uid="{00000000-0005-0000-0000-00009BC50000}"/>
    <cellStyle name="Normal 7 4 2 2 7 2" xfId="50574" xr:uid="{00000000-0005-0000-0000-00009CC50000}"/>
    <cellStyle name="Normal 7 4 2 2 8" xfId="50575" xr:uid="{00000000-0005-0000-0000-00009DC50000}"/>
    <cellStyle name="Normal 7 4 2 2 9" xfId="50576" xr:uid="{00000000-0005-0000-0000-00009EC50000}"/>
    <cellStyle name="Normal 7 4 2 3" xfId="50577" xr:uid="{00000000-0005-0000-0000-00009FC50000}"/>
    <cellStyle name="Normal 7 4 2 3 2" xfId="50578" xr:uid="{00000000-0005-0000-0000-0000A0C50000}"/>
    <cellStyle name="Normal 7 4 2 3 2 2" xfId="50579" xr:uid="{00000000-0005-0000-0000-0000A1C50000}"/>
    <cellStyle name="Normal 7 4 2 3 2 2 2" xfId="50580" xr:uid="{00000000-0005-0000-0000-0000A2C50000}"/>
    <cellStyle name="Normal 7 4 2 3 2 2 2 2" xfId="50581" xr:uid="{00000000-0005-0000-0000-0000A3C50000}"/>
    <cellStyle name="Normal 7 4 2 3 2 2 2 2 2" xfId="50582" xr:uid="{00000000-0005-0000-0000-0000A4C50000}"/>
    <cellStyle name="Normal 7 4 2 3 2 2 2 3" xfId="50583" xr:uid="{00000000-0005-0000-0000-0000A5C50000}"/>
    <cellStyle name="Normal 7 4 2 3 2 2 2 4" xfId="50584" xr:uid="{00000000-0005-0000-0000-0000A6C50000}"/>
    <cellStyle name="Normal 7 4 2 3 2 2 3" xfId="50585" xr:uid="{00000000-0005-0000-0000-0000A7C50000}"/>
    <cellStyle name="Normal 7 4 2 3 2 2 3 2" xfId="50586" xr:uid="{00000000-0005-0000-0000-0000A8C50000}"/>
    <cellStyle name="Normal 7 4 2 3 2 2 4" xfId="50587" xr:uid="{00000000-0005-0000-0000-0000A9C50000}"/>
    <cellStyle name="Normal 7 4 2 3 2 2 5" xfId="50588" xr:uid="{00000000-0005-0000-0000-0000AAC50000}"/>
    <cellStyle name="Normal 7 4 2 3 2 3" xfId="50589" xr:uid="{00000000-0005-0000-0000-0000ABC50000}"/>
    <cellStyle name="Normal 7 4 2 3 2 3 2" xfId="50590" xr:uid="{00000000-0005-0000-0000-0000ACC50000}"/>
    <cellStyle name="Normal 7 4 2 3 2 3 2 2" xfId="50591" xr:uid="{00000000-0005-0000-0000-0000ADC50000}"/>
    <cellStyle name="Normal 7 4 2 3 2 3 3" xfId="50592" xr:uid="{00000000-0005-0000-0000-0000AEC50000}"/>
    <cellStyle name="Normal 7 4 2 3 2 3 4" xfId="50593" xr:uid="{00000000-0005-0000-0000-0000AFC50000}"/>
    <cellStyle name="Normal 7 4 2 3 2 4" xfId="50594" xr:uid="{00000000-0005-0000-0000-0000B0C50000}"/>
    <cellStyle name="Normal 7 4 2 3 2 4 2" xfId="50595" xr:uid="{00000000-0005-0000-0000-0000B1C50000}"/>
    <cellStyle name="Normal 7 4 2 3 2 5" xfId="50596" xr:uid="{00000000-0005-0000-0000-0000B2C50000}"/>
    <cellStyle name="Normal 7 4 2 3 2 6" xfId="50597" xr:uid="{00000000-0005-0000-0000-0000B3C50000}"/>
    <cellStyle name="Normal 7 4 2 3 3" xfId="50598" xr:uid="{00000000-0005-0000-0000-0000B4C50000}"/>
    <cellStyle name="Normal 7 4 2 3 3 2" xfId="50599" xr:uid="{00000000-0005-0000-0000-0000B5C50000}"/>
    <cellStyle name="Normal 7 4 2 3 3 2 2" xfId="50600" xr:uid="{00000000-0005-0000-0000-0000B6C50000}"/>
    <cellStyle name="Normal 7 4 2 3 3 2 2 2" xfId="50601" xr:uid="{00000000-0005-0000-0000-0000B7C50000}"/>
    <cellStyle name="Normal 7 4 2 3 3 2 3" xfId="50602" xr:uid="{00000000-0005-0000-0000-0000B8C50000}"/>
    <cellStyle name="Normal 7 4 2 3 3 2 4" xfId="50603" xr:uid="{00000000-0005-0000-0000-0000B9C50000}"/>
    <cellStyle name="Normal 7 4 2 3 3 3" xfId="50604" xr:uid="{00000000-0005-0000-0000-0000BAC50000}"/>
    <cellStyle name="Normal 7 4 2 3 3 3 2" xfId="50605" xr:uid="{00000000-0005-0000-0000-0000BBC50000}"/>
    <cellStyle name="Normal 7 4 2 3 3 4" xfId="50606" xr:uid="{00000000-0005-0000-0000-0000BCC50000}"/>
    <cellStyle name="Normal 7 4 2 3 3 5" xfId="50607" xr:uid="{00000000-0005-0000-0000-0000BDC50000}"/>
    <cellStyle name="Normal 7 4 2 3 4" xfId="50608" xr:uid="{00000000-0005-0000-0000-0000BEC50000}"/>
    <cellStyle name="Normal 7 4 2 3 4 2" xfId="50609" xr:uid="{00000000-0005-0000-0000-0000BFC50000}"/>
    <cellStyle name="Normal 7 4 2 3 4 2 2" xfId="50610" xr:uid="{00000000-0005-0000-0000-0000C0C50000}"/>
    <cellStyle name="Normal 7 4 2 3 4 3" xfId="50611" xr:uid="{00000000-0005-0000-0000-0000C1C50000}"/>
    <cellStyle name="Normal 7 4 2 3 4 4" xfId="50612" xr:uid="{00000000-0005-0000-0000-0000C2C50000}"/>
    <cellStyle name="Normal 7 4 2 3 5" xfId="50613" xr:uid="{00000000-0005-0000-0000-0000C3C50000}"/>
    <cellStyle name="Normal 7 4 2 3 5 2" xfId="50614" xr:uid="{00000000-0005-0000-0000-0000C4C50000}"/>
    <cellStyle name="Normal 7 4 2 3 6" xfId="50615" xr:uid="{00000000-0005-0000-0000-0000C5C50000}"/>
    <cellStyle name="Normal 7 4 2 3 7" xfId="50616" xr:uid="{00000000-0005-0000-0000-0000C6C50000}"/>
    <cellStyle name="Normal 7 4 2 4" xfId="50617" xr:uid="{00000000-0005-0000-0000-0000C7C50000}"/>
    <cellStyle name="Normal 7 4 2 4 2" xfId="50618" xr:uid="{00000000-0005-0000-0000-0000C8C50000}"/>
    <cellStyle name="Normal 7 4 2 4 2 2" xfId="50619" xr:uid="{00000000-0005-0000-0000-0000C9C50000}"/>
    <cellStyle name="Normal 7 4 2 4 2 2 2" xfId="50620" xr:uid="{00000000-0005-0000-0000-0000CAC50000}"/>
    <cellStyle name="Normal 7 4 2 4 2 2 2 2" xfId="50621" xr:uid="{00000000-0005-0000-0000-0000CBC50000}"/>
    <cellStyle name="Normal 7 4 2 4 2 2 3" xfId="50622" xr:uid="{00000000-0005-0000-0000-0000CCC50000}"/>
    <cellStyle name="Normal 7 4 2 4 2 2 4" xfId="50623" xr:uid="{00000000-0005-0000-0000-0000CDC50000}"/>
    <cellStyle name="Normal 7 4 2 4 2 3" xfId="50624" xr:uid="{00000000-0005-0000-0000-0000CEC50000}"/>
    <cellStyle name="Normal 7 4 2 4 2 3 2" xfId="50625" xr:uid="{00000000-0005-0000-0000-0000CFC50000}"/>
    <cellStyle name="Normal 7 4 2 4 2 4" xfId="50626" xr:uid="{00000000-0005-0000-0000-0000D0C50000}"/>
    <cellStyle name="Normal 7 4 2 4 2 5" xfId="50627" xr:uid="{00000000-0005-0000-0000-0000D1C50000}"/>
    <cellStyle name="Normal 7 4 2 4 3" xfId="50628" xr:uid="{00000000-0005-0000-0000-0000D2C50000}"/>
    <cellStyle name="Normal 7 4 2 4 3 2" xfId="50629" xr:uid="{00000000-0005-0000-0000-0000D3C50000}"/>
    <cellStyle name="Normal 7 4 2 4 3 2 2" xfId="50630" xr:uid="{00000000-0005-0000-0000-0000D4C50000}"/>
    <cellStyle name="Normal 7 4 2 4 3 3" xfId="50631" xr:uid="{00000000-0005-0000-0000-0000D5C50000}"/>
    <cellStyle name="Normal 7 4 2 4 3 3 2" xfId="50632" xr:uid="{00000000-0005-0000-0000-0000D6C50000}"/>
    <cellStyle name="Normal 7 4 2 4 3 4" xfId="50633" xr:uid="{00000000-0005-0000-0000-0000D7C50000}"/>
    <cellStyle name="Normal 7 4 2 4 3 5" xfId="50634" xr:uid="{00000000-0005-0000-0000-0000D8C50000}"/>
    <cellStyle name="Normal 7 4 2 4 4" xfId="50635" xr:uid="{00000000-0005-0000-0000-0000D9C50000}"/>
    <cellStyle name="Normal 7 4 2 4 4 2" xfId="50636" xr:uid="{00000000-0005-0000-0000-0000DAC50000}"/>
    <cellStyle name="Normal 7 4 2 4 5" xfId="50637" xr:uid="{00000000-0005-0000-0000-0000DBC50000}"/>
    <cellStyle name="Normal 7 4 2 4 5 2" xfId="50638" xr:uid="{00000000-0005-0000-0000-0000DCC50000}"/>
    <cellStyle name="Normal 7 4 2 4 6" xfId="50639" xr:uid="{00000000-0005-0000-0000-0000DDC50000}"/>
    <cellStyle name="Normal 7 4 2 4 7" xfId="50640" xr:uid="{00000000-0005-0000-0000-0000DEC50000}"/>
    <cellStyle name="Normal 7 4 2 5" xfId="50641" xr:uid="{00000000-0005-0000-0000-0000DFC50000}"/>
    <cellStyle name="Normal 7 4 2 5 2" xfId="50642" xr:uid="{00000000-0005-0000-0000-0000E0C50000}"/>
    <cellStyle name="Normal 7 4 2 5 2 2" xfId="50643" xr:uid="{00000000-0005-0000-0000-0000E1C50000}"/>
    <cellStyle name="Normal 7 4 2 5 2 2 2" xfId="50644" xr:uid="{00000000-0005-0000-0000-0000E2C50000}"/>
    <cellStyle name="Normal 7 4 2 5 2 3" xfId="50645" xr:uid="{00000000-0005-0000-0000-0000E3C50000}"/>
    <cellStyle name="Normal 7 4 2 5 2 4" xfId="50646" xr:uid="{00000000-0005-0000-0000-0000E4C50000}"/>
    <cellStyle name="Normal 7 4 2 5 3" xfId="50647" xr:uid="{00000000-0005-0000-0000-0000E5C50000}"/>
    <cellStyle name="Normal 7 4 2 5 3 2" xfId="50648" xr:uid="{00000000-0005-0000-0000-0000E6C50000}"/>
    <cellStyle name="Normal 7 4 2 5 4" xfId="50649" xr:uid="{00000000-0005-0000-0000-0000E7C50000}"/>
    <cellStyle name="Normal 7 4 2 5 5" xfId="50650" xr:uid="{00000000-0005-0000-0000-0000E8C50000}"/>
    <cellStyle name="Normal 7 4 2 6" xfId="50651" xr:uid="{00000000-0005-0000-0000-0000E9C50000}"/>
    <cellStyle name="Normal 7 4 2 6 2" xfId="50652" xr:uid="{00000000-0005-0000-0000-0000EAC50000}"/>
    <cellStyle name="Normal 7 4 2 6 2 2" xfId="50653" xr:uid="{00000000-0005-0000-0000-0000EBC50000}"/>
    <cellStyle name="Normal 7 4 2 6 3" xfId="50654" xr:uid="{00000000-0005-0000-0000-0000ECC50000}"/>
    <cellStyle name="Normal 7 4 2 6 3 2" xfId="50655" xr:uid="{00000000-0005-0000-0000-0000EDC50000}"/>
    <cellStyle name="Normal 7 4 2 6 4" xfId="50656" xr:uid="{00000000-0005-0000-0000-0000EEC50000}"/>
    <cellStyle name="Normal 7 4 2 6 5" xfId="50657" xr:uid="{00000000-0005-0000-0000-0000EFC50000}"/>
    <cellStyle name="Normal 7 4 2 7" xfId="50658" xr:uid="{00000000-0005-0000-0000-0000F0C50000}"/>
    <cellStyle name="Normal 7 4 2 7 2" xfId="50659" xr:uid="{00000000-0005-0000-0000-0000F1C50000}"/>
    <cellStyle name="Normal 7 4 2 8" xfId="50660" xr:uid="{00000000-0005-0000-0000-0000F2C50000}"/>
    <cellStyle name="Normal 7 4 2 8 2" xfId="50661" xr:uid="{00000000-0005-0000-0000-0000F3C50000}"/>
    <cellStyle name="Normal 7 4 2 9" xfId="50662" xr:uid="{00000000-0005-0000-0000-0000F4C50000}"/>
    <cellStyle name="Normal 7 4 3" xfId="50663" xr:uid="{00000000-0005-0000-0000-0000F5C50000}"/>
    <cellStyle name="Normal 7 4 3 2" xfId="50664" xr:uid="{00000000-0005-0000-0000-0000F6C50000}"/>
    <cellStyle name="Normal 7 4 3 2 2" xfId="50665" xr:uid="{00000000-0005-0000-0000-0000F7C50000}"/>
    <cellStyle name="Normal 7 4 3 2 2 2" xfId="50666" xr:uid="{00000000-0005-0000-0000-0000F8C50000}"/>
    <cellStyle name="Normal 7 4 3 2 2 2 2" xfId="50667" xr:uid="{00000000-0005-0000-0000-0000F9C50000}"/>
    <cellStyle name="Normal 7 4 3 2 2 2 2 2" xfId="50668" xr:uid="{00000000-0005-0000-0000-0000FAC50000}"/>
    <cellStyle name="Normal 7 4 3 2 2 2 2 2 2" xfId="50669" xr:uid="{00000000-0005-0000-0000-0000FBC50000}"/>
    <cellStyle name="Normal 7 4 3 2 2 2 2 3" xfId="50670" xr:uid="{00000000-0005-0000-0000-0000FCC50000}"/>
    <cellStyle name="Normal 7 4 3 2 2 2 2 4" xfId="50671" xr:uid="{00000000-0005-0000-0000-0000FDC50000}"/>
    <cellStyle name="Normal 7 4 3 2 2 2 3" xfId="50672" xr:uid="{00000000-0005-0000-0000-0000FEC50000}"/>
    <cellStyle name="Normal 7 4 3 2 2 2 3 2" xfId="50673" xr:uid="{00000000-0005-0000-0000-0000FFC50000}"/>
    <cellStyle name="Normal 7 4 3 2 2 2 4" xfId="50674" xr:uid="{00000000-0005-0000-0000-000000C60000}"/>
    <cellStyle name="Normal 7 4 3 2 2 2 5" xfId="50675" xr:uid="{00000000-0005-0000-0000-000001C60000}"/>
    <cellStyle name="Normal 7 4 3 2 2 3" xfId="50676" xr:uid="{00000000-0005-0000-0000-000002C60000}"/>
    <cellStyle name="Normal 7 4 3 2 2 3 2" xfId="50677" xr:uid="{00000000-0005-0000-0000-000003C60000}"/>
    <cellStyle name="Normal 7 4 3 2 2 3 2 2" xfId="50678" xr:uid="{00000000-0005-0000-0000-000004C60000}"/>
    <cellStyle name="Normal 7 4 3 2 2 3 3" xfId="50679" xr:uid="{00000000-0005-0000-0000-000005C60000}"/>
    <cellStyle name="Normal 7 4 3 2 2 3 4" xfId="50680" xr:uid="{00000000-0005-0000-0000-000006C60000}"/>
    <cellStyle name="Normal 7 4 3 2 2 4" xfId="50681" xr:uid="{00000000-0005-0000-0000-000007C60000}"/>
    <cellStyle name="Normal 7 4 3 2 2 4 2" xfId="50682" xr:uid="{00000000-0005-0000-0000-000008C60000}"/>
    <cellStyle name="Normal 7 4 3 2 2 5" xfId="50683" xr:uid="{00000000-0005-0000-0000-000009C60000}"/>
    <cellStyle name="Normal 7 4 3 2 2 6" xfId="50684" xr:uid="{00000000-0005-0000-0000-00000AC60000}"/>
    <cellStyle name="Normal 7 4 3 2 3" xfId="50685" xr:uid="{00000000-0005-0000-0000-00000BC60000}"/>
    <cellStyle name="Normal 7 4 3 2 3 2" xfId="50686" xr:uid="{00000000-0005-0000-0000-00000CC60000}"/>
    <cellStyle name="Normal 7 4 3 2 3 2 2" xfId="50687" xr:uid="{00000000-0005-0000-0000-00000DC60000}"/>
    <cellStyle name="Normal 7 4 3 2 3 2 2 2" xfId="50688" xr:uid="{00000000-0005-0000-0000-00000EC60000}"/>
    <cellStyle name="Normal 7 4 3 2 3 2 3" xfId="50689" xr:uid="{00000000-0005-0000-0000-00000FC60000}"/>
    <cellStyle name="Normal 7 4 3 2 3 2 4" xfId="50690" xr:uid="{00000000-0005-0000-0000-000010C60000}"/>
    <cellStyle name="Normal 7 4 3 2 3 3" xfId="50691" xr:uid="{00000000-0005-0000-0000-000011C60000}"/>
    <cellStyle name="Normal 7 4 3 2 3 3 2" xfId="50692" xr:uid="{00000000-0005-0000-0000-000012C60000}"/>
    <cellStyle name="Normal 7 4 3 2 3 4" xfId="50693" xr:uid="{00000000-0005-0000-0000-000013C60000}"/>
    <cellStyle name="Normal 7 4 3 2 3 5" xfId="50694" xr:uid="{00000000-0005-0000-0000-000014C60000}"/>
    <cellStyle name="Normal 7 4 3 2 4" xfId="50695" xr:uid="{00000000-0005-0000-0000-000015C60000}"/>
    <cellStyle name="Normal 7 4 3 2 4 2" xfId="50696" xr:uid="{00000000-0005-0000-0000-000016C60000}"/>
    <cellStyle name="Normal 7 4 3 2 4 2 2" xfId="50697" xr:uid="{00000000-0005-0000-0000-000017C60000}"/>
    <cellStyle name="Normal 7 4 3 2 4 3" xfId="50698" xr:uid="{00000000-0005-0000-0000-000018C60000}"/>
    <cellStyle name="Normal 7 4 3 2 4 4" xfId="50699" xr:uid="{00000000-0005-0000-0000-000019C60000}"/>
    <cellStyle name="Normal 7 4 3 2 5" xfId="50700" xr:uid="{00000000-0005-0000-0000-00001AC60000}"/>
    <cellStyle name="Normal 7 4 3 2 5 2" xfId="50701" xr:uid="{00000000-0005-0000-0000-00001BC60000}"/>
    <cellStyle name="Normal 7 4 3 2 6" xfId="50702" xr:uid="{00000000-0005-0000-0000-00001CC60000}"/>
    <cellStyle name="Normal 7 4 3 2 7" xfId="50703" xr:uid="{00000000-0005-0000-0000-00001DC60000}"/>
    <cellStyle name="Normal 7 4 3 3" xfId="50704" xr:uid="{00000000-0005-0000-0000-00001EC60000}"/>
    <cellStyle name="Normal 7 4 3 3 2" xfId="50705" xr:uid="{00000000-0005-0000-0000-00001FC60000}"/>
    <cellStyle name="Normal 7 4 3 3 2 2" xfId="50706" xr:uid="{00000000-0005-0000-0000-000020C60000}"/>
    <cellStyle name="Normal 7 4 3 3 2 2 2" xfId="50707" xr:uid="{00000000-0005-0000-0000-000021C60000}"/>
    <cellStyle name="Normal 7 4 3 3 2 2 2 2" xfId="50708" xr:uid="{00000000-0005-0000-0000-000022C60000}"/>
    <cellStyle name="Normal 7 4 3 3 2 2 3" xfId="50709" xr:uid="{00000000-0005-0000-0000-000023C60000}"/>
    <cellStyle name="Normal 7 4 3 3 2 2 4" xfId="50710" xr:uid="{00000000-0005-0000-0000-000024C60000}"/>
    <cellStyle name="Normal 7 4 3 3 2 3" xfId="50711" xr:uid="{00000000-0005-0000-0000-000025C60000}"/>
    <cellStyle name="Normal 7 4 3 3 2 3 2" xfId="50712" xr:uid="{00000000-0005-0000-0000-000026C60000}"/>
    <cellStyle name="Normal 7 4 3 3 2 4" xfId="50713" xr:uid="{00000000-0005-0000-0000-000027C60000}"/>
    <cellStyle name="Normal 7 4 3 3 2 5" xfId="50714" xr:uid="{00000000-0005-0000-0000-000028C60000}"/>
    <cellStyle name="Normal 7 4 3 3 3" xfId="50715" xr:uid="{00000000-0005-0000-0000-000029C60000}"/>
    <cellStyle name="Normal 7 4 3 3 3 2" xfId="50716" xr:uid="{00000000-0005-0000-0000-00002AC60000}"/>
    <cellStyle name="Normal 7 4 3 3 3 2 2" xfId="50717" xr:uid="{00000000-0005-0000-0000-00002BC60000}"/>
    <cellStyle name="Normal 7 4 3 3 3 3" xfId="50718" xr:uid="{00000000-0005-0000-0000-00002CC60000}"/>
    <cellStyle name="Normal 7 4 3 3 3 3 2" xfId="50719" xr:uid="{00000000-0005-0000-0000-00002DC60000}"/>
    <cellStyle name="Normal 7 4 3 3 3 4" xfId="50720" xr:uid="{00000000-0005-0000-0000-00002EC60000}"/>
    <cellStyle name="Normal 7 4 3 3 3 5" xfId="50721" xr:uid="{00000000-0005-0000-0000-00002FC60000}"/>
    <cellStyle name="Normal 7 4 3 3 4" xfId="50722" xr:uid="{00000000-0005-0000-0000-000030C60000}"/>
    <cellStyle name="Normal 7 4 3 3 4 2" xfId="50723" xr:uid="{00000000-0005-0000-0000-000031C60000}"/>
    <cellStyle name="Normal 7 4 3 3 5" xfId="50724" xr:uid="{00000000-0005-0000-0000-000032C60000}"/>
    <cellStyle name="Normal 7 4 3 3 5 2" xfId="50725" xr:uid="{00000000-0005-0000-0000-000033C60000}"/>
    <cellStyle name="Normal 7 4 3 3 6" xfId="50726" xr:uid="{00000000-0005-0000-0000-000034C60000}"/>
    <cellStyle name="Normal 7 4 3 3 7" xfId="50727" xr:uid="{00000000-0005-0000-0000-000035C60000}"/>
    <cellStyle name="Normal 7 4 3 4" xfId="50728" xr:uid="{00000000-0005-0000-0000-000036C60000}"/>
    <cellStyle name="Normal 7 4 3 4 2" xfId="50729" xr:uid="{00000000-0005-0000-0000-000037C60000}"/>
    <cellStyle name="Normal 7 4 3 4 2 2" xfId="50730" xr:uid="{00000000-0005-0000-0000-000038C60000}"/>
    <cellStyle name="Normal 7 4 3 4 2 2 2" xfId="50731" xr:uid="{00000000-0005-0000-0000-000039C60000}"/>
    <cellStyle name="Normal 7 4 3 4 2 3" xfId="50732" xr:uid="{00000000-0005-0000-0000-00003AC60000}"/>
    <cellStyle name="Normal 7 4 3 4 2 4" xfId="50733" xr:uid="{00000000-0005-0000-0000-00003BC60000}"/>
    <cellStyle name="Normal 7 4 3 4 3" xfId="50734" xr:uid="{00000000-0005-0000-0000-00003CC60000}"/>
    <cellStyle name="Normal 7 4 3 4 3 2" xfId="50735" xr:uid="{00000000-0005-0000-0000-00003DC60000}"/>
    <cellStyle name="Normal 7 4 3 4 4" xfId="50736" xr:uid="{00000000-0005-0000-0000-00003EC60000}"/>
    <cellStyle name="Normal 7 4 3 4 5" xfId="50737" xr:uid="{00000000-0005-0000-0000-00003FC60000}"/>
    <cellStyle name="Normal 7 4 3 5" xfId="50738" xr:uid="{00000000-0005-0000-0000-000040C60000}"/>
    <cellStyle name="Normal 7 4 3 5 2" xfId="50739" xr:uid="{00000000-0005-0000-0000-000041C60000}"/>
    <cellStyle name="Normal 7 4 3 5 2 2" xfId="50740" xr:uid="{00000000-0005-0000-0000-000042C60000}"/>
    <cellStyle name="Normal 7 4 3 5 3" xfId="50741" xr:uid="{00000000-0005-0000-0000-000043C60000}"/>
    <cellStyle name="Normal 7 4 3 5 3 2" xfId="50742" xr:uid="{00000000-0005-0000-0000-000044C60000}"/>
    <cellStyle name="Normal 7 4 3 5 4" xfId="50743" xr:uid="{00000000-0005-0000-0000-000045C60000}"/>
    <cellStyle name="Normal 7 4 3 5 5" xfId="50744" xr:uid="{00000000-0005-0000-0000-000046C60000}"/>
    <cellStyle name="Normal 7 4 3 6" xfId="50745" xr:uid="{00000000-0005-0000-0000-000047C60000}"/>
    <cellStyle name="Normal 7 4 3 6 2" xfId="50746" xr:uid="{00000000-0005-0000-0000-000048C60000}"/>
    <cellStyle name="Normal 7 4 3 7" xfId="50747" xr:uid="{00000000-0005-0000-0000-000049C60000}"/>
    <cellStyle name="Normal 7 4 3 7 2" xfId="50748" xr:uid="{00000000-0005-0000-0000-00004AC60000}"/>
    <cellStyle name="Normal 7 4 3 8" xfId="50749" xr:uid="{00000000-0005-0000-0000-00004BC60000}"/>
    <cellStyle name="Normal 7 4 3 9" xfId="50750" xr:uid="{00000000-0005-0000-0000-00004CC60000}"/>
    <cellStyle name="Normal 7 4 4" xfId="50751" xr:uid="{00000000-0005-0000-0000-00004DC60000}"/>
    <cellStyle name="Normal 7 4 4 2" xfId="50752" xr:uid="{00000000-0005-0000-0000-00004EC60000}"/>
    <cellStyle name="Normal 7 4 4 2 2" xfId="50753" xr:uid="{00000000-0005-0000-0000-00004FC60000}"/>
    <cellStyle name="Normal 7 4 4 2 2 2" xfId="50754" xr:uid="{00000000-0005-0000-0000-000050C60000}"/>
    <cellStyle name="Normal 7 4 4 2 2 2 2" xfId="50755" xr:uid="{00000000-0005-0000-0000-000051C60000}"/>
    <cellStyle name="Normal 7 4 4 2 2 2 2 2" xfId="50756" xr:uid="{00000000-0005-0000-0000-000052C60000}"/>
    <cellStyle name="Normal 7 4 4 2 2 2 3" xfId="50757" xr:uid="{00000000-0005-0000-0000-000053C60000}"/>
    <cellStyle name="Normal 7 4 4 2 2 2 4" xfId="50758" xr:uid="{00000000-0005-0000-0000-000054C60000}"/>
    <cellStyle name="Normal 7 4 4 2 2 3" xfId="50759" xr:uid="{00000000-0005-0000-0000-000055C60000}"/>
    <cellStyle name="Normal 7 4 4 2 2 3 2" xfId="50760" xr:uid="{00000000-0005-0000-0000-000056C60000}"/>
    <cellStyle name="Normal 7 4 4 2 2 4" xfId="50761" xr:uid="{00000000-0005-0000-0000-000057C60000}"/>
    <cellStyle name="Normal 7 4 4 2 2 5" xfId="50762" xr:uid="{00000000-0005-0000-0000-000058C60000}"/>
    <cellStyle name="Normal 7 4 4 2 3" xfId="50763" xr:uid="{00000000-0005-0000-0000-000059C60000}"/>
    <cellStyle name="Normal 7 4 4 2 3 2" xfId="50764" xr:uid="{00000000-0005-0000-0000-00005AC60000}"/>
    <cellStyle name="Normal 7 4 4 2 3 2 2" xfId="50765" xr:uid="{00000000-0005-0000-0000-00005BC60000}"/>
    <cellStyle name="Normal 7 4 4 2 3 3" xfId="50766" xr:uid="{00000000-0005-0000-0000-00005CC60000}"/>
    <cellStyle name="Normal 7 4 4 2 3 3 2" xfId="50767" xr:uid="{00000000-0005-0000-0000-00005DC60000}"/>
    <cellStyle name="Normal 7 4 4 2 3 4" xfId="50768" xr:uid="{00000000-0005-0000-0000-00005EC60000}"/>
    <cellStyle name="Normal 7 4 4 2 3 5" xfId="50769" xr:uid="{00000000-0005-0000-0000-00005FC60000}"/>
    <cellStyle name="Normal 7 4 4 2 4" xfId="50770" xr:uid="{00000000-0005-0000-0000-000060C60000}"/>
    <cellStyle name="Normal 7 4 4 2 4 2" xfId="50771" xr:uid="{00000000-0005-0000-0000-000061C60000}"/>
    <cellStyle name="Normal 7 4 4 2 5" xfId="50772" xr:uid="{00000000-0005-0000-0000-000062C60000}"/>
    <cellStyle name="Normal 7 4 4 2 5 2" xfId="50773" xr:uid="{00000000-0005-0000-0000-000063C60000}"/>
    <cellStyle name="Normal 7 4 4 2 6" xfId="50774" xr:uid="{00000000-0005-0000-0000-000064C60000}"/>
    <cellStyle name="Normal 7 4 4 2 7" xfId="50775" xr:uid="{00000000-0005-0000-0000-000065C60000}"/>
    <cellStyle name="Normal 7 4 4 3" xfId="50776" xr:uid="{00000000-0005-0000-0000-000066C60000}"/>
    <cellStyle name="Normal 7 4 4 3 2" xfId="50777" xr:uid="{00000000-0005-0000-0000-000067C60000}"/>
    <cellStyle name="Normal 7 4 4 3 2 2" xfId="50778" xr:uid="{00000000-0005-0000-0000-000068C60000}"/>
    <cellStyle name="Normal 7 4 4 3 2 2 2" xfId="50779" xr:uid="{00000000-0005-0000-0000-000069C60000}"/>
    <cellStyle name="Normal 7 4 4 3 2 3" xfId="50780" xr:uid="{00000000-0005-0000-0000-00006AC60000}"/>
    <cellStyle name="Normal 7 4 4 3 2 4" xfId="50781" xr:uid="{00000000-0005-0000-0000-00006BC60000}"/>
    <cellStyle name="Normal 7 4 4 3 3" xfId="50782" xr:uid="{00000000-0005-0000-0000-00006CC60000}"/>
    <cellStyle name="Normal 7 4 4 3 3 2" xfId="50783" xr:uid="{00000000-0005-0000-0000-00006DC60000}"/>
    <cellStyle name="Normal 7 4 4 3 4" xfId="50784" xr:uid="{00000000-0005-0000-0000-00006EC60000}"/>
    <cellStyle name="Normal 7 4 4 3 5" xfId="50785" xr:uid="{00000000-0005-0000-0000-00006FC60000}"/>
    <cellStyle name="Normal 7 4 4 4" xfId="50786" xr:uid="{00000000-0005-0000-0000-000070C60000}"/>
    <cellStyle name="Normal 7 4 4 4 2" xfId="50787" xr:uid="{00000000-0005-0000-0000-000071C60000}"/>
    <cellStyle name="Normal 7 4 4 4 2 2" xfId="50788" xr:uid="{00000000-0005-0000-0000-000072C60000}"/>
    <cellStyle name="Normal 7 4 4 4 3" xfId="50789" xr:uid="{00000000-0005-0000-0000-000073C60000}"/>
    <cellStyle name="Normal 7 4 4 4 3 2" xfId="50790" xr:uid="{00000000-0005-0000-0000-000074C60000}"/>
    <cellStyle name="Normal 7 4 4 4 4" xfId="50791" xr:uid="{00000000-0005-0000-0000-000075C60000}"/>
    <cellStyle name="Normal 7 4 4 4 5" xfId="50792" xr:uid="{00000000-0005-0000-0000-000076C60000}"/>
    <cellStyle name="Normal 7 4 4 5" xfId="50793" xr:uid="{00000000-0005-0000-0000-000077C60000}"/>
    <cellStyle name="Normal 7 4 4 5 2" xfId="50794" xr:uid="{00000000-0005-0000-0000-000078C60000}"/>
    <cellStyle name="Normal 7 4 4 6" xfId="50795" xr:uid="{00000000-0005-0000-0000-000079C60000}"/>
    <cellStyle name="Normal 7 4 4 6 2" xfId="50796" xr:uid="{00000000-0005-0000-0000-00007AC60000}"/>
    <cellStyle name="Normal 7 4 4 7" xfId="50797" xr:uid="{00000000-0005-0000-0000-00007BC60000}"/>
    <cellStyle name="Normal 7 4 4 8" xfId="50798" xr:uid="{00000000-0005-0000-0000-00007CC60000}"/>
    <cellStyle name="Normal 7 4 5" xfId="50799" xr:uid="{00000000-0005-0000-0000-00007DC60000}"/>
    <cellStyle name="Normal 7 4 5 2" xfId="50800" xr:uid="{00000000-0005-0000-0000-00007EC60000}"/>
    <cellStyle name="Normal 7 4 5 2 2" xfId="50801" xr:uid="{00000000-0005-0000-0000-00007FC60000}"/>
    <cellStyle name="Normal 7 4 5 2 2 2" xfId="50802" xr:uid="{00000000-0005-0000-0000-000080C60000}"/>
    <cellStyle name="Normal 7 4 5 2 2 2 2" xfId="50803" xr:uid="{00000000-0005-0000-0000-000081C60000}"/>
    <cellStyle name="Normal 7 4 5 2 2 3" xfId="50804" xr:uid="{00000000-0005-0000-0000-000082C60000}"/>
    <cellStyle name="Normal 7 4 5 2 2 4" xfId="50805" xr:uid="{00000000-0005-0000-0000-000083C60000}"/>
    <cellStyle name="Normal 7 4 5 2 3" xfId="50806" xr:uid="{00000000-0005-0000-0000-000084C60000}"/>
    <cellStyle name="Normal 7 4 5 2 3 2" xfId="50807" xr:uid="{00000000-0005-0000-0000-000085C60000}"/>
    <cellStyle name="Normal 7 4 5 2 4" xfId="50808" xr:uid="{00000000-0005-0000-0000-000086C60000}"/>
    <cellStyle name="Normal 7 4 5 2 5" xfId="50809" xr:uid="{00000000-0005-0000-0000-000087C60000}"/>
    <cellStyle name="Normal 7 4 5 3" xfId="50810" xr:uid="{00000000-0005-0000-0000-000088C60000}"/>
    <cellStyle name="Normal 7 4 5 3 2" xfId="50811" xr:uid="{00000000-0005-0000-0000-000089C60000}"/>
    <cellStyle name="Normal 7 4 5 3 3" xfId="50812" xr:uid="{00000000-0005-0000-0000-00008AC60000}"/>
    <cellStyle name="Normal 7 4 5 4" xfId="50813" xr:uid="{00000000-0005-0000-0000-00008BC60000}"/>
    <cellStyle name="Normal 7 4 5 4 2" xfId="50814" xr:uid="{00000000-0005-0000-0000-00008CC60000}"/>
    <cellStyle name="Normal 7 4 5 5" xfId="50815" xr:uid="{00000000-0005-0000-0000-00008DC60000}"/>
    <cellStyle name="Normal 7 4 6" xfId="50816" xr:uid="{00000000-0005-0000-0000-00008EC60000}"/>
    <cellStyle name="Normal 7 4 6 2" xfId="50817" xr:uid="{00000000-0005-0000-0000-00008FC60000}"/>
    <cellStyle name="Normal 7 4 6 2 2" xfId="50818" xr:uid="{00000000-0005-0000-0000-000090C60000}"/>
    <cellStyle name="Normal 7 4 6 2 2 2" xfId="50819" xr:uid="{00000000-0005-0000-0000-000091C60000}"/>
    <cellStyle name="Normal 7 4 6 2 3" xfId="50820" xr:uid="{00000000-0005-0000-0000-000092C60000}"/>
    <cellStyle name="Normal 7 4 6 2 3 2" xfId="50821" xr:uid="{00000000-0005-0000-0000-000093C60000}"/>
    <cellStyle name="Normal 7 4 6 2 4" xfId="50822" xr:uid="{00000000-0005-0000-0000-000094C60000}"/>
    <cellStyle name="Normal 7 4 6 2 5" xfId="50823" xr:uid="{00000000-0005-0000-0000-000095C60000}"/>
    <cellStyle name="Normal 7 4 6 3" xfId="50824" xr:uid="{00000000-0005-0000-0000-000096C60000}"/>
    <cellStyle name="Normal 7 4 6 3 2" xfId="50825" xr:uid="{00000000-0005-0000-0000-000097C60000}"/>
    <cellStyle name="Normal 7 4 6 4" xfId="50826" xr:uid="{00000000-0005-0000-0000-000098C60000}"/>
    <cellStyle name="Normal 7 4 6 4 2" xfId="50827" xr:uid="{00000000-0005-0000-0000-000099C60000}"/>
    <cellStyle name="Normal 7 4 6 5" xfId="50828" xr:uid="{00000000-0005-0000-0000-00009AC60000}"/>
    <cellStyle name="Normal 7 4 6 6" xfId="50829" xr:uid="{00000000-0005-0000-0000-00009BC60000}"/>
    <cellStyle name="Normal 7 4 7" xfId="50830" xr:uid="{00000000-0005-0000-0000-00009CC60000}"/>
    <cellStyle name="Normal 7 4 7 2" xfId="50831" xr:uid="{00000000-0005-0000-0000-00009DC60000}"/>
    <cellStyle name="Normal 7 4 7 2 2" xfId="50832" xr:uid="{00000000-0005-0000-0000-00009EC60000}"/>
    <cellStyle name="Normal 7 4 7 3" xfId="50833" xr:uid="{00000000-0005-0000-0000-00009FC60000}"/>
    <cellStyle name="Normal 7 4 7 3 2" xfId="50834" xr:uid="{00000000-0005-0000-0000-0000A0C60000}"/>
    <cellStyle name="Normal 7 4 7 4" xfId="50835" xr:uid="{00000000-0005-0000-0000-0000A1C60000}"/>
    <cellStyle name="Normal 7 4 7 5" xfId="50836" xr:uid="{00000000-0005-0000-0000-0000A2C60000}"/>
    <cellStyle name="Normal 7 4 8" xfId="50837" xr:uid="{00000000-0005-0000-0000-0000A3C60000}"/>
    <cellStyle name="Normal 7 4 8 2" xfId="50838" xr:uid="{00000000-0005-0000-0000-0000A4C60000}"/>
    <cellStyle name="Normal 7 4 8 2 2" xfId="50839" xr:uid="{00000000-0005-0000-0000-0000A5C60000}"/>
    <cellStyle name="Normal 7 4 8 3" xfId="50840" xr:uid="{00000000-0005-0000-0000-0000A6C60000}"/>
    <cellStyle name="Normal 7 4 9" xfId="50841" xr:uid="{00000000-0005-0000-0000-0000A7C60000}"/>
    <cellStyle name="Normal 7 4 9 2" xfId="50842" xr:uid="{00000000-0005-0000-0000-0000A8C60000}"/>
    <cellStyle name="Normal 7 40" xfId="50843" xr:uid="{00000000-0005-0000-0000-0000A9C60000}"/>
    <cellStyle name="Normal 7 40 2" xfId="50844" xr:uid="{00000000-0005-0000-0000-0000AAC60000}"/>
    <cellStyle name="Normal 7 41" xfId="50845" xr:uid="{00000000-0005-0000-0000-0000ABC60000}"/>
    <cellStyle name="Normal 7 41 2" xfId="50846" xr:uid="{00000000-0005-0000-0000-0000ACC60000}"/>
    <cellStyle name="Normal 7 42" xfId="50847" xr:uid="{00000000-0005-0000-0000-0000ADC60000}"/>
    <cellStyle name="Normal 7 42 2" xfId="50848" xr:uid="{00000000-0005-0000-0000-0000AEC60000}"/>
    <cellStyle name="Normal 7 43" xfId="50849" xr:uid="{00000000-0005-0000-0000-0000AFC60000}"/>
    <cellStyle name="Normal 7 43 2" xfId="50850" xr:uid="{00000000-0005-0000-0000-0000B0C60000}"/>
    <cellStyle name="Normal 7 44" xfId="50851" xr:uid="{00000000-0005-0000-0000-0000B1C60000}"/>
    <cellStyle name="Normal 7 44 2" xfId="50852" xr:uid="{00000000-0005-0000-0000-0000B2C60000}"/>
    <cellStyle name="Normal 7 45" xfId="50853" xr:uid="{00000000-0005-0000-0000-0000B3C60000}"/>
    <cellStyle name="Normal 7 45 2" xfId="50854" xr:uid="{00000000-0005-0000-0000-0000B4C60000}"/>
    <cellStyle name="Normal 7 46" xfId="50855" xr:uid="{00000000-0005-0000-0000-0000B5C60000}"/>
    <cellStyle name="Normal 7 46 2" xfId="50856" xr:uid="{00000000-0005-0000-0000-0000B6C60000}"/>
    <cellStyle name="Normal 7 47" xfId="50857" xr:uid="{00000000-0005-0000-0000-0000B7C60000}"/>
    <cellStyle name="Normal 7 47 2" xfId="50858" xr:uid="{00000000-0005-0000-0000-0000B8C60000}"/>
    <cellStyle name="Normal 7 48" xfId="50859" xr:uid="{00000000-0005-0000-0000-0000B9C60000}"/>
    <cellStyle name="Normal 7 48 2" xfId="50860" xr:uid="{00000000-0005-0000-0000-0000BAC60000}"/>
    <cellStyle name="Normal 7 49" xfId="50861" xr:uid="{00000000-0005-0000-0000-0000BBC60000}"/>
    <cellStyle name="Normal 7 49 2" xfId="50862" xr:uid="{00000000-0005-0000-0000-0000BCC60000}"/>
    <cellStyle name="Normal 7 5" xfId="50863" xr:uid="{00000000-0005-0000-0000-0000BDC60000}"/>
    <cellStyle name="Normal 7 5 10" xfId="50864" xr:uid="{00000000-0005-0000-0000-0000BEC60000}"/>
    <cellStyle name="Normal 7 5 11" xfId="50865" xr:uid="{00000000-0005-0000-0000-0000BFC60000}"/>
    <cellStyle name="Normal 7 5 2" xfId="50866" xr:uid="{00000000-0005-0000-0000-0000C0C60000}"/>
    <cellStyle name="Normal 7 5 2 2" xfId="50867" xr:uid="{00000000-0005-0000-0000-0000C1C60000}"/>
    <cellStyle name="Normal 7 5 2 2 2" xfId="50868" xr:uid="{00000000-0005-0000-0000-0000C2C60000}"/>
    <cellStyle name="Normal 7 5 2 2 2 2" xfId="50869" xr:uid="{00000000-0005-0000-0000-0000C3C60000}"/>
    <cellStyle name="Normal 7 5 2 2 2 2 2" xfId="50870" xr:uid="{00000000-0005-0000-0000-0000C4C60000}"/>
    <cellStyle name="Normal 7 5 2 2 2 2 2 2" xfId="50871" xr:uid="{00000000-0005-0000-0000-0000C5C60000}"/>
    <cellStyle name="Normal 7 5 2 2 2 2 2 2 2" xfId="50872" xr:uid="{00000000-0005-0000-0000-0000C6C60000}"/>
    <cellStyle name="Normal 7 5 2 2 2 2 2 3" xfId="50873" xr:uid="{00000000-0005-0000-0000-0000C7C60000}"/>
    <cellStyle name="Normal 7 5 2 2 2 2 2 4" xfId="50874" xr:uid="{00000000-0005-0000-0000-0000C8C60000}"/>
    <cellStyle name="Normal 7 5 2 2 2 2 3" xfId="50875" xr:uid="{00000000-0005-0000-0000-0000C9C60000}"/>
    <cellStyle name="Normal 7 5 2 2 2 2 3 2" xfId="50876" xr:uid="{00000000-0005-0000-0000-0000CAC60000}"/>
    <cellStyle name="Normal 7 5 2 2 2 2 4" xfId="50877" xr:uid="{00000000-0005-0000-0000-0000CBC60000}"/>
    <cellStyle name="Normal 7 5 2 2 2 2 5" xfId="50878" xr:uid="{00000000-0005-0000-0000-0000CCC60000}"/>
    <cellStyle name="Normal 7 5 2 2 2 3" xfId="50879" xr:uid="{00000000-0005-0000-0000-0000CDC60000}"/>
    <cellStyle name="Normal 7 5 2 2 2 3 2" xfId="50880" xr:uid="{00000000-0005-0000-0000-0000CEC60000}"/>
    <cellStyle name="Normal 7 5 2 2 2 3 2 2" xfId="50881" xr:uid="{00000000-0005-0000-0000-0000CFC60000}"/>
    <cellStyle name="Normal 7 5 2 2 2 3 3" xfId="50882" xr:uid="{00000000-0005-0000-0000-0000D0C60000}"/>
    <cellStyle name="Normal 7 5 2 2 2 3 4" xfId="50883" xr:uid="{00000000-0005-0000-0000-0000D1C60000}"/>
    <cellStyle name="Normal 7 5 2 2 2 4" xfId="50884" xr:uid="{00000000-0005-0000-0000-0000D2C60000}"/>
    <cellStyle name="Normal 7 5 2 2 2 4 2" xfId="50885" xr:uid="{00000000-0005-0000-0000-0000D3C60000}"/>
    <cellStyle name="Normal 7 5 2 2 2 5" xfId="50886" xr:uid="{00000000-0005-0000-0000-0000D4C60000}"/>
    <cellStyle name="Normal 7 5 2 2 2 6" xfId="50887" xr:uid="{00000000-0005-0000-0000-0000D5C60000}"/>
    <cellStyle name="Normal 7 5 2 2 3" xfId="50888" xr:uid="{00000000-0005-0000-0000-0000D6C60000}"/>
    <cellStyle name="Normal 7 5 2 2 3 2" xfId="50889" xr:uid="{00000000-0005-0000-0000-0000D7C60000}"/>
    <cellStyle name="Normal 7 5 2 2 3 2 2" xfId="50890" xr:uid="{00000000-0005-0000-0000-0000D8C60000}"/>
    <cellStyle name="Normal 7 5 2 2 3 2 2 2" xfId="50891" xr:uid="{00000000-0005-0000-0000-0000D9C60000}"/>
    <cellStyle name="Normal 7 5 2 2 3 2 3" xfId="50892" xr:uid="{00000000-0005-0000-0000-0000DAC60000}"/>
    <cellStyle name="Normal 7 5 2 2 3 2 4" xfId="50893" xr:uid="{00000000-0005-0000-0000-0000DBC60000}"/>
    <cellStyle name="Normal 7 5 2 2 3 3" xfId="50894" xr:uid="{00000000-0005-0000-0000-0000DCC60000}"/>
    <cellStyle name="Normal 7 5 2 2 3 3 2" xfId="50895" xr:uid="{00000000-0005-0000-0000-0000DDC60000}"/>
    <cellStyle name="Normal 7 5 2 2 3 4" xfId="50896" xr:uid="{00000000-0005-0000-0000-0000DEC60000}"/>
    <cellStyle name="Normal 7 5 2 2 3 5" xfId="50897" xr:uid="{00000000-0005-0000-0000-0000DFC60000}"/>
    <cellStyle name="Normal 7 5 2 2 4" xfId="50898" xr:uid="{00000000-0005-0000-0000-0000E0C60000}"/>
    <cellStyle name="Normal 7 5 2 2 4 2" xfId="50899" xr:uid="{00000000-0005-0000-0000-0000E1C60000}"/>
    <cellStyle name="Normal 7 5 2 2 4 2 2" xfId="50900" xr:uid="{00000000-0005-0000-0000-0000E2C60000}"/>
    <cellStyle name="Normal 7 5 2 2 4 3" xfId="50901" xr:uid="{00000000-0005-0000-0000-0000E3C60000}"/>
    <cellStyle name="Normal 7 5 2 2 4 4" xfId="50902" xr:uid="{00000000-0005-0000-0000-0000E4C60000}"/>
    <cellStyle name="Normal 7 5 2 2 5" xfId="50903" xr:uid="{00000000-0005-0000-0000-0000E5C60000}"/>
    <cellStyle name="Normal 7 5 2 2 5 2" xfId="50904" xr:uid="{00000000-0005-0000-0000-0000E6C60000}"/>
    <cellStyle name="Normal 7 5 2 2 6" xfId="50905" xr:uid="{00000000-0005-0000-0000-0000E7C60000}"/>
    <cellStyle name="Normal 7 5 2 2 7" xfId="50906" xr:uid="{00000000-0005-0000-0000-0000E8C60000}"/>
    <cellStyle name="Normal 7 5 2 3" xfId="50907" xr:uid="{00000000-0005-0000-0000-0000E9C60000}"/>
    <cellStyle name="Normal 7 5 2 3 2" xfId="50908" xr:uid="{00000000-0005-0000-0000-0000EAC60000}"/>
    <cellStyle name="Normal 7 5 2 3 2 2" xfId="50909" xr:uid="{00000000-0005-0000-0000-0000EBC60000}"/>
    <cellStyle name="Normal 7 5 2 3 2 2 2" xfId="50910" xr:uid="{00000000-0005-0000-0000-0000ECC60000}"/>
    <cellStyle name="Normal 7 5 2 3 2 2 2 2" xfId="50911" xr:uid="{00000000-0005-0000-0000-0000EDC60000}"/>
    <cellStyle name="Normal 7 5 2 3 2 2 3" xfId="50912" xr:uid="{00000000-0005-0000-0000-0000EEC60000}"/>
    <cellStyle name="Normal 7 5 2 3 2 2 4" xfId="50913" xr:uid="{00000000-0005-0000-0000-0000EFC60000}"/>
    <cellStyle name="Normal 7 5 2 3 2 3" xfId="50914" xr:uid="{00000000-0005-0000-0000-0000F0C60000}"/>
    <cellStyle name="Normal 7 5 2 3 2 3 2" xfId="50915" xr:uid="{00000000-0005-0000-0000-0000F1C60000}"/>
    <cellStyle name="Normal 7 5 2 3 2 4" xfId="50916" xr:uid="{00000000-0005-0000-0000-0000F2C60000}"/>
    <cellStyle name="Normal 7 5 2 3 2 5" xfId="50917" xr:uid="{00000000-0005-0000-0000-0000F3C60000}"/>
    <cellStyle name="Normal 7 5 2 3 3" xfId="50918" xr:uid="{00000000-0005-0000-0000-0000F4C60000}"/>
    <cellStyle name="Normal 7 5 2 3 3 2" xfId="50919" xr:uid="{00000000-0005-0000-0000-0000F5C60000}"/>
    <cellStyle name="Normal 7 5 2 3 3 2 2" xfId="50920" xr:uid="{00000000-0005-0000-0000-0000F6C60000}"/>
    <cellStyle name="Normal 7 5 2 3 3 3" xfId="50921" xr:uid="{00000000-0005-0000-0000-0000F7C60000}"/>
    <cellStyle name="Normal 7 5 2 3 3 3 2" xfId="50922" xr:uid="{00000000-0005-0000-0000-0000F8C60000}"/>
    <cellStyle name="Normal 7 5 2 3 3 4" xfId="50923" xr:uid="{00000000-0005-0000-0000-0000F9C60000}"/>
    <cellStyle name="Normal 7 5 2 3 3 5" xfId="50924" xr:uid="{00000000-0005-0000-0000-0000FAC60000}"/>
    <cellStyle name="Normal 7 5 2 3 4" xfId="50925" xr:uid="{00000000-0005-0000-0000-0000FBC60000}"/>
    <cellStyle name="Normal 7 5 2 3 4 2" xfId="50926" xr:uid="{00000000-0005-0000-0000-0000FCC60000}"/>
    <cellStyle name="Normal 7 5 2 3 5" xfId="50927" xr:uid="{00000000-0005-0000-0000-0000FDC60000}"/>
    <cellStyle name="Normal 7 5 2 3 5 2" xfId="50928" xr:uid="{00000000-0005-0000-0000-0000FEC60000}"/>
    <cellStyle name="Normal 7 5 2 3 6" xfId="50929" xr:uid="{00000000-0005-0000-0000-0000FFC60000}"/>
    <cellStyle name="Normal 7 5 2 3 7" xfId="50930" xr:uid="{00000000-0005-0000-0000-000000C70000}"/>
    <cellStyle name="Normal 7 5 2 4" xfId="50931" xr:uid="{00000000-0005-0000-0000-000001C70000}"/>
    <cellStyle name="Normal 7 5 2 4 2" xfId="50932" xr:uid="{00000000-0005-0000-0000-000002C70000}"/>
    <cellStyle name="Normal 7 5 2 4 2 2" xfId="50933" xr:uid="{00000000-0005-0000-0000-000003C70000}"/>
    <cellStyle name="Normal 7 5 2 4 2 2 2" xfId="50934" xr:uid="{00000000-0005-0000-0000-000004C70000}"/>
    <cellStyle name="Normal 7 5 2 4 2 3" xfId="50935" xr:uid="{00000000-0005-0000-0000-000005C70000}"/>
    <cellStyle name="Normal 7 5 2 4 2 4" xfId="50936" xr:uid="{00000000-0005-0000-0000-000006C70000}"/>
    <cellStyle name="Normal 7 5 2 4 3" xfId="50937" xr:uid="{00000000-0005-0000-0000-000007C70000}"/>
    <cellStyle name="Normal 7 5 2 4 3 2" xfId="50938" xr:uid="{00000000-0005-0000-0000-000008C70000}"/>
    <cellStyle name="Normal 7 5 2 4 4" xfId="50939" xr:uid="{00000000-0005-0000-0000-000009C70000}"/>
    <cellStyle name="Normal 7 5 2 4 5" xfId="50940" xr:uid="{00000000-0005-0000-0000-00000AC70000}"/>
    <cellStyle name="Normal 7 5 2 5" xfId="50941" xr:uid="{00000000-0005-0000-0000-00000BC70000}"/>
    <cellStyle name="Normal 7 5 2 5 2" xfId="50942" xr:uid="{00000000-0005-0000-0000-00000CC70000}"/>
    <cellStyle name="Normal 7 5 2 5 2 2" xfId="50943" xr:uid="{00000000-0005-0000-0000-00000DC70000}"/>
    <cellStyle name="Normal 7 5 2 5 3" xfId="50944" xr:uid="{00000000-0005-0000-0000-00000EC70000}"/>
    <cellStyle name="Normal 7 5 2 5 3 2" xfId="50945" xr:uid="{00000000-0005-0000-0000-00000FC70000}"/>
    <cellStyle name="Normal 7 5 2 5 4" xfId="50946" xr:uid="{00000000-0005-0000-0000-000010C70000}"/>
    <cellStyle name="Normal 7 5 2 5 5" xfId="50947" xr:uid="{00000000-0005-0000-0000-000011C70000}"/>
    <cellStyle name="Normal 7 5 2 6" xfId="50948" xr:uid="{00000000-0005-0000-0000-000012C70000}"/>
    <cellStyle name="Normal 7 5 2 6 2" xfId="50949" xr:uid="{00000000-0005-0000-0000-000013C70000}"/>
    <cellStyle name="Normal 7 5 2 7" xfId="50950" xr:uid="{00000000-0005-0000-0000-000014C70000}"/>
    <cellStyle name="Normal 7 5 2 7 2" xfId="50951" xr:uid="{00000000-0005-0000-0000-000015C70000}"/>
    <cellStyle name="Normal 7 5 2 8" xfId="50952" xr:uid="{00000000-0005-0000-0000-000016C70000}"/>
    <cellStyle name="Normal 7 5 2 9" xfId="50953" xr:uid="{00000000-0005-0000-0000-000017C70000}"/>
    <cellStyle name="Normal 7 5 3" xfId="50954" xr:uid="{00000000-0005-0000-0000-000018C70000}"/>
    <cellStyle name="Normal 7 5 3 2" xfId="50955" xr:uid="{00000000-0005-0000-0000-000019C70000}"/>
    <cellStyle name="Normal 7 5 3 2 2" xfId="50956" xr:uid="{00000000-0005-0000-0000-00001AC70000}"/>
    <cellStyle name="Normal 7 5 3 2 2 2" xfId="50957" xr:uid="{00000000-0005-0000-0000-00001BC70000}"/>
    <cellStyle name="Normal 7 5 3 2 2 2 2" xfId="50958" xr:uid="{00000000-0005-0000-0000-00001CC70000}"/>
    <cellStyle name="Normal 7 5 3 2 2 2 2 2" xfId="50959" xr:uid="{00000000-0005-0000-0000-00001DC70000}"/>
    <cellStyle name="Normal 7 5 3 2 2 2 3" xfId="50960" xr:uid="{00000000-0005-0000-0000-00001EC70000}"/>
    <cellStyle name="Normal 7 5 3 2 2 2 4" xfId="50961" xr:uid="{00000000-0005-0000-0000-00001FC70000}"/>
    <cellStyle name="Normal 7 5 3 2 2 3" xfId="50962" xr:uid="{00000000-0005-0000-0000-000020C70000}"/>
    <cellStyle name="Normal 7 5 3 2 2 3 2" xfId="50963" xr:uid="{00000000-0005-0000-0000-000021C70000}"/>
    <cellStyle name="Normal 7 5 3 2 2 4" xfId="50964" xr:uid="{00000000-0005-0000-0000-000022C70000}"/>
    <cellStyle name="Normal 7 5 3 2 2 5" xfId="50965" xr:uid="{00000000-0005-0000-0000-000023C70000}"/>
    <cellStyle name="Normal 7 5 3 2 3" xfId="50966" xr:uid="{00000000-0005-0000-0000-000024C70000}"/>
    <cellStyle name="Normal 7 5 3 2 3 2" xfId="50967" xr:uid="{00000000-0005-0000-0000-000025C70000}"/>
    <cellStyle name="Normal 7 5 3 2 3 2 2" xfId="50968" xr:uid="{00000000-0005-0000-0000-000026C70000}"/>
    <cellStyle name="Normal 7 5 3 2 3 3" xfId="50969" xr:uid="{00000000-0005-0000-0000-000027C70000}"/>
    <cellStyle name="Normal 7 5 3 2 3 3 2" xfId="50970" xr:uid="{00000000-0005-0000-0000-000028C70000}"/>
    <cellStyle name="Normal 7 5 3 2 3 4" xfId="50971" xr:uid="{00000000-0005-0000-0000-000029C70000}"/>
    <cellStyle name="Normal 7 5 3 2 3 5" xfId="50972" xr:uid="{00000000-0005-0000-0000-00002AC70000}"/>
    <cellStyle name="Normal 7 5 3 2 4" xfId="50973" xr:uid="{00000000-0005-0000-0000-00002BC70000}"/>
    <cellStyle name="Normal 7 5 3 2 4 2" xfId="50974" xr:uid="{00000000-0005-0000-0000-00002CC70000}"/>
    <cellStyle name="Normal 7 5 3 2 5" xfId="50975" xr:uid="{00000000-0005-0000-0000-00002DC70000}"/>
    <cellStyle name="Normal 7 5 3 2 5 2" xfId="50976" xr:uid="{00000000-0005-0000-0000-00002EC70000}"/>
    <cellStyle name="Normal 7 5 3 2 6" xfId="50977" xr:uid="{00000000-0005-0000-0000-00002FC70000}"/>
    <cellStyle name="Normal 7 5 3 2 7" xfId="50978" xr:uid="{00000000-0005-0000-0000-000030C70000}"/>
    <cellStyle name="Normal 7 5 3 3" xfId="50979" xr:uid="{00000000-0005-0000-0000-000031C70000}"/>
    <cellStyle name="Normal 7 5 3 3 2" xfId="50980" xr:uid="{00000000-0005-0000-0000-000032C70000}"/>
    <cellStyle name="Normal 7 5 3 3 2 2" xfId="50981" xr:uid="{00000000-0005-0000-0000-000033C70000}"/>
    <cellStyle name="Normal 7 5 3 3 2 2 2" xfId="50982" xr:uid="{00000000-0005-0000-0000-000034C70000}"/>
    <cellStyle name="Normal 7 5 3 3 2 3" xfId="50983" xr:uid="{00000000-0005-0000-0000-000035C70000}"/>
    <cellStyle name="Normal 7 5 3 3 2 4" xfId="50984" xr:uid="{00000000-0005-0000-0000-000036C70000}"/>
    <cellStyle name="Normal 7 5 3 3 3" xfId="50985" xr:uid="{00000000-0005-0000-0000-000037C70000}"/>
    <cellStyle name="Normal 7 5 3 3 3 2" xfId="50986" xr:uid="{00000000-0005-0000-0000-000038C70000}"/>
    <cellStyle name="Normal 7 5 3 3 4" xfId="50987" xr:uid="{00000000-0005-0000-0000-000039C70000}"/>
    <cellStyle name="Normal 7 5 3 3 5" xfId="50988" xr:uid="{00000000-0005-0000-0000-00003AC70000}"/>
    <cellStyle name="Normal 7 5 3 4" xfId="50989" xr:uid="{00000000-0005-0000-0000-00003BC70000}"/>
    <cellStyle name="Normal 7 5 3 4 2" xfId="50990" xr:uid="{00000000-0005-0000-0000-00003CC70000}"/>
    <cellStyle name="Normal 7 5 3 4 2 2" xfId="50991" xr:uid="{00000000-0005-0000-0000-00003DC70000}"/>
    <cellStyle name="Normal 7 5 3 4 3" xfId="50992" xr:uid="{00000000-0005-0000-0000-00003EC70000}"/>
    <cellStyle name="Normal 7 5 3 4 3 2" xfId="50993" xr:uid="{00000000-0005-0000-0000-00003FC70000}"/>
    <cellStyle name="Normal 7 5 3 4 4" xfId="50994" xr:uid="{00000000-0005-0000-0000-000040C70000}"/>
    <cellStyle name="Normal 7 5 3 4 5" xfId="50995" xr:uid="{00000000-0005-0000-0000-000041C70000}"/>
    <cellStyle name="Normal 7 5 3 5" xfId="50996" xr:uid="{00000000-0005-0000-0000-000042C70000}"/>
    <cellStyle name="Normal 7 5 3 5 2" xfId="50997" xr:uid="{00000000-0005-0000-0000-000043C70000}"/>
    <cellStyle name="Normal 7 5 3 6" xfId="50998" xr:uid="{00000000-0005-0000-0000-000044C70000}"/>
    <cellStyle name="Normal 7 5 3 6 2" xfId="50999" xr:uid="{00000000-0005-0000-0000-000045C70000}"/>
    <cellStyle name="Normal 7 5 3 7" xfId="51000" xr:uid="{00000000-0005-0000-0000-000046C70000}"/>
    <cellStyle name="Normal 7 5 3 8" xfId="51001" xr:uid="{00000000-0005-0000-0000-000047C70000}"/>
    <cellStyle name="Normal 7 5 4" xfId="51002" xr:uid="{00000000-0005-0000-0000-000048C70000}"/>
    <cellStyle name="Normal 7 5 4 2" xfId="51003" xr:uid="{00000000-0005-0000-0000-000049C70000}"/>
    <cellStyle name="Normal 7 5 4 2 2" xfId="51004" xr:uid="{00000000-0005-0000-0000-00004AC70000}"/>
    <cellStyle name="Normal 7 5 4 2 2 2" xfId="51005" xr:uid="{00000000-0005-0000-0000-00004BC70000}"/>
    <cellStyle name="Normal 7 5 4 2 2 2 2" xfId="51006" xr:uid="{00000000-0005-0000-0000-00004CC70000}"/>
    <cellStyle name="Normal 7 5 4 2 2 3" xfId="51007" xr:uid="{00000000-0005-0000-0000-00004DC70000}"/>
    <cellStyle name="Normal 7 5 4 2 2 4" xfId="51008" xr:uid="{00000000-0005-0000-0000-00004EC70000}"/>
    <cellStyle name="Normal 7 5 4 2 3" xfId="51009" xr:uid="{00000000-0005-0000-0000-00004FC70000}"/>
    <cellStyle name="Normal 7 5 4 2 3 2" xfId="51010" xr:uid="{00000000-0005-0000-0000-000050C70000}"/>
    <cellStyle name="Normal 7 5 4 2 4" xfId="51011" xr:uid="{00000000-0005-0000-0000-000051C70000}"/>
    <cellStyle name="Normal 7 5 4 2 5" xfId="51012" xr:uid="{00000000-0005-0000-0000-000052C70000}"/>
    <cellStyle name="Normal 7 5 4 3" xfId="51013" xr:uid="{00000000-0005-0000-0000-000053C70000}"/>
    <cellStyle name="Normal 7 5 4 3 2" xfId="51014" xr:uid="{00000000-0005-0000-0000-000054C70000}"/>
    <cellStyle name="Normal 7 5 4 3 2 2" xfId="51015" xr:uid="{00000000-0005-0000-0000-000055C70000}"/>
    <cellStyle name="Normal 7 5 4 3 3" xfId="51016" xr:uid="{00000000-0005-0000-0000-000056C70000}"/>
    <cellStyle name="Normal 7 5 4 3 3 2" xfId="51017" xr:uid="{00000000-0005-0000-0000-000057C70000}"/>
    <cellStyle name="Normal 7 5 4 3 4" xfId="51018" xr:uid="{00000000-0005-0000-0000-000058C70000}"/>
    <cellStyle name="Normal 7 5 4 3 5" xfId="51019" xr:uid="{00000000-0005-0000-0000-000059C70000}"/>
    <cellStyle name="Normal 7 5 4 4" xfId="51020" xr:uid="{00000000-0005-0000-0000-00005AC70000}"/>
    <cellStyle name="Normal 7 5 4 4 2" xfId="51021" xr:uid="{00000000-0005-0000-0000-00005BC70000}"/>
    <cellStyle name="Normal 7 5 4 5" xfId="51022" xr:uid="{00000000-0005-0000-0000-00005CC70000}"/>
    <cellStyle name="Normal 7 5 4 5 2" xfId="51023" xr:uid="{00000000-0005-0000-0000-00005DC70000}"/>
    <cellStyle name="Normal 7 5 4 6" xfId="51024" xr:uid="{00000000-0005-0000-0000-00005EC70000}"/>
    <cellStyle name="Normal 7 5 4 7" xfId="51025" xr:uid="{00000000-0005-0000-0000-00005FC70000}"/>
    <cellStyle name="Normal 7 5 5" xfId="51026" xr:uid="{00000000-0005-0000-0000-000060C70000}"/>
    <cellStyle name="Normal 7 5 5 2" xfId="51027" xr:uid="{00000000-0005-0000-0000-000061C70000}"/>
    <cellStyle name="Normal 7 5 5 2 2" xfId="51028" xr:uid="{00000000-0005-0000-0000-000062C70000}"/>
    <cellStyle name="Normal 7 5 5 2 2 2" xfId="51029" xr:uid="{00000000-0005-0000-0000-000063C70000}"/>
    <cellStyle name="Normal 7 5 5 2 3" xfId="51030" xr:uid="{00000000-0005-0000-0000-000064C70000}"/>
    <cellStyle name="Normal 7 5 5 2 4" xfId="51031" xr:uid="{00000000-0005-0000-0000-000065C70000}"/>
    <cellStyle name="Normal 7 5 5 3" xfId="51032" xr:uid="{00000000-0005-0000-0000-000066C70000}"/>
    <cellStyle name="Normal 7 5 5 3 2" xfId="51033" xr:uid="{00000000-0005-0000-0000-000067C70000}"/>
    <cellStyle name="Normal 7 5 5 4" xfId="51034" xr:uid="{00000000-0005-0000-0000-000068C70000}"/>
    <cellStyle name="Normal 7 5 5 5" xfId="51035" xr:uid="{00000000-0005-0000-0000-000069C70000}"/>
    <cellStyle name="Normal 7 5 6" xfId="51036" xr:uid="{00000000-0005-0000-0000-00006AC70000}"/>
    <cellStyle name="Normal 7 5 6 2" xfId="51037" xr:uid="{00000000-0005-0000-0000-00006BC70000}"/>
    <cellStyle name="Normal 7 5 6 2 2" xfId="51038" xr:uid="{00000000-0005-0000-0000-00006CC70000}"/>
    <cellStyle name="Normal 7 5 6 3" xfId="51039" xr:uid="{00000000-0005-0000-0000-00006DC70000}"/>
    <cellStyle name="Normal 7 5 6 3 2" xfId="51040" xr:uid="{00000000-0005-0000-0000-00006EC70000}"/>
    <cellStyle name="Normal 7 5 6 4" xfId="51041" xr:uid="{00000000-0005-0000-0000-00006FC70000}"/>
    <cellStyle name="Normal 7 5 6 5" xfId="51042" xr:uid="{00000000-0005-0000-0000-000070C70000}"/>
    <cellStyle name="Normal 7 5 7" xfId="51043" xr:uid="{00000000-0005-0000-0000-000071C70000}"/>
    <cellStyle name="Normal 7 5 7 2" xfId="51044" xr:uid="{00000000-0005-0000-0000-000072C70000}"/>
    <cellStyle name="Normal 7 5 8" xfId="51045" xr:uid="{00000000-0005-0000-0000-000073C70000}"/>
    <cellStyle name="Normal 7 5 8 2" xfId="51046" xr:uid="{00000000-0005-0000-0000-000074C70000}"/>
    <cellStyle name="Normal 7 5 9" xfId="51047" xr:uid="{00000000-0005-0000-0000-000075C70000}"/>
    <cellStyle name="Normal 7 50" xfId="51048" xr:uid="{00000000-0005-0000-0000-000076C70000}"/>
    <cellStyle name="Normal 7 50 2" xfId="51049" xr:uid="{00000000-0005-0000-0000-000077C70000}"/>
    <cellStyle name="Normal 7 51" xfId="51050" xr:uid="{00000000-0005-0000-0000-000078C70000}"/>
    <cellStyle name="Normal 7 51 2" xfId="51051" xr:uid="{00000000-0005-0000-0000-000079C70000}"/>
    <cellStyle name="Normal 7 52" xfId="51052" xr:uid="{00000000-0005-0000-0000-00007AC70000}"/>
    <cellStyle name="Normal 7 52 2" xfId="51053" xr:uid="{00000000-0005-0000-0000-00007BC70000}"/>
    <cellStyle name="Normal 7 53" xfId="51054" xr:uid="{00000000-0005-0000-0000-00007CC70000}"/>
    <cellStyle name="Normal 7 53 2" xfId="51055" xr:uid="{00000000-0005-0000-0000-00007DC70000}"/>
    <cellStyle name="Normal 7 54" xfId="51056" xr:uid="{00000000-0005-0000-0000-00007EC70000}"/>
    <cellStyle name="Normal 7 54 2" xfId="51057" xr:uid="{00000000-0005-0000-0000-00007FC70000}"/>
    <cellStyle name="Normal 7 55" xfId="51058" xr:uid="{00000000-0005-0000-0000-000080C70000}"/>
    <cellStyle name="Normal 7 55 2" xfId="51059" xr:uid="{00000000-0005-0000-0000-000081C70000}"/>
    <cellStyle name="Normal 7 56" xfId="51060" xr:uid="{00000000-0005-0000-0000-000082C70000}"/>
    <cellStyle name="Normal 7 56 2" xfId="51061" xr:uid="{00000000-0005-0000-0000-000083C70000}"/>
    <cellStyle name="Normal 7 57" xfId="51062" xr:uid="{00000000-0005-0000-0000-000084C70000}"/>
    <cellStyle name="Normal 7 57 2" xfId="51063" xr:uid="{00000000-0005-0000-0000-000085C70000}"/>
    <cellStyle name="Normal 7 58" xfId="51064" xr:uid="{00000000-0005-0000-0000-000086C70000}"/>
    <cellStyle name="Normal 7 58 2" xfId="51065" xr:uid="{00000000-0005-0000-0000-000087C70000}"/>
    <cellStyle name="Normal 7 59" xfId="51066" xr:uid="{00000000-0005-0000-0000-000088C70000}"/>
    <cellStyle name="Normal 7 59 2" xfId="51067" xr:uid="{00000000-0005-0000-0000-000089C70000}"/>
    <cellStyle name="Normal 7 6" xfId="51068" xr:uid="{00000000-0005-0000-0000-00008AC70000}"/>
    <cellStyle name="Normal 7 6 2" xfId="51069" xr:uid="{00000000-0005-0000-0000-00008BC70000}"/>
    <cellStyle name="Normal 7 6 2 2" xfId="51070" xr:uid="{00000000-0005-0000-0000-00008CC70000}"/>
    <cellStyle name="Normal 7 6 2 2 2" xfId="51071" xr:uid="{00000000-0005-0000-0000-00008DC70000}"/>
    <cellStyle name="Normal 7 6 2 2 2 2" xfId="51072" xr:uid="{00000000-0005-0000-0000-00008EC70000}"/>
    <cellStyle name="Normal 7 6 2 2 2 2 2" xfId="51073" xr:uid="{00000000-0005-0000-0000-00008FC70000}"/>
    <cellStyle name="Normal 7 6 2 2 2 2 2 2" xfId="51074" xr:uid="{00000000-0005-0000-0000-000090C70000}"/>
    <cellStyle name="Normal 7 6 2 2 2 2 3" xfId="51075" xr:uid="{00000000-0005-0000-0000-000091C70000}"/>
    <cellStyle name="Normal 7 6 2 2 2 2 4" xfId="51076" xr:uid="{00000000-0005-0000-0000-000092C70000}"/>
    <cellStyle name="Normal 7 6 2 2 2 3" xfId="51077" xr:uid="{00000000-0005-0000-0000-000093C70000}"/>
    <cellStyle name="Normal 7 6 2 2 2 3 2" xfId="51078" xr:uid="{00000000-0005-0000-0000-000094C70000}"/>
    <cellStyle name="Normal 7 6 2 2 2 4" xfId="51079" xr:uid="{00000000-0005-0000-0000-000095C70000}"/>
    <cellStyle name="Normal 7 6 2 2 2 5" xfId="51080" xr:uid="{00000000-0005-0000-0000-000096C70000}"/>
    <cellStyle name="Normal 7 6 2 2 3" xfId="51081" xr:uid="{00000000-0005-0000-0000-000097C70000}"/>
    <cellStyle name="Normal 7 6 2 2 3 2" xfId="51082" xr:uid="{00000000-0005-0000-0000-000098C70000}"/>
    <cellStyle name="Normal 7 6 2 2 3 2 2" xfId="51083" xr:uid="{00000000-0005-0000-0000-000099C70000}"/>
    <cellStyle name="Normal 7 6 2 2 3 3" xfId="51084" xr:uid="{00000000-0005-0000-0000-00009AC70000}"/>
    <cellStyle name="Normal 7 6 2 2 3 4" xfId="51085" xr:uid="{00000000-0005-0000-0000-00009BC70000}"/>
    <cellStyle name="Normal 7 6 2 2 4" xfId="51086" xr:uid="{00000000-0005-0000-0000-00009CC70000}"/>
    <cellStyle name="Normal 7 6 2 2 4 2" xfId="51087" xr:uid="{00000000-0005-0000-0000-00009DC70000}"/>
    <cellStyle name="Normal 7 6 2 2 5" xfId="51088" xr:uid="{00000000-0005-0000-0000-00009EC70000}"/>
    <cellStyle name="Normal 7 6 2 2 6" xfId="51089" xr:uid="{00000000-0005-0000-0000-00009FC70000}"/>
    <cellStyle name="Normal 7 6 2 3" xfId="51090" xr:uid="{00000000-0005-0000-0000-0000A0C70000}"/>
    <cellStyle name="Normal 7 6 2 3 2" xfId="51091" xr:uid="{00000000-0005-0000-0000-0000A1C70000}"/>
    <cellStyle name="Normal 7 6 2 3 2 2" xfId="51092" xr:uid="{00000000-0005-0000-0000-0000A2C70000}"/>
    <cellStyle name="Normal 7 6 2 3 2 2 2" xfId="51093" xr:uid="{00000000-0005-0000-0000-0000A3C70000}"/>
    <cellStyle name="Normal 7 6 2 3 2 3" xfId="51094" xr:uid="{00000000-0005-0000-0000-0000A4C70000}"/>
    <cellStyle name="Normal 7 6 2 3 2 4" xfId="51095" xr:uid="{00000000-0005-0000-0000-0000A5C70000}"/>
    <cellStyle name="Normal 7 6 2 3 3" xfId="51096" xr:uid="{00000000-0005-0000-0000-0000A6C70000}"/>
    <cellStyle name="Normal 7 6 2 3 3 2" xfId="51097" xr:uid="{00000000-0005-0000-0000-0000A7C70000}"/>
    <cellStyle name="Normal 7 6 2 3 4" xfId="51098" xr:uid="{00000000-0005-0000-0000-0000A8C70000}"/>
    <cellStyle name="Normal 7 6 2 3 5" xfId="51099" xr:uid="{00000000-0005-0000-0000-0000A9C70000}"/>
    <cellStyle name="Normal 7 6 2 4" xfId="51100" xr:uid="{00000000-0005-0000-0000-0000AAC70000}"/>
    <cellStyle name="Normal 7 6 2 4 2" xfId="51101" xr:uid="{00000000-0005-0000-0000-0000ABC70000}"/>
    <cellStyle name="Normal 7 6 2 4 2 2" xfId="51102" xr:uid="{00000000-0005-0000-0000-0000ACC70000}"/>
    <cellStyle name="Normal 7 6 2 4 3" xfId="51103" xr:uid="{00000000-0005-0000-0000-0000ADC70000}"/>
    <cellStyle name="Normal 7 6 2 4 4" xfId="51104" xr:uid="{00000000-0005-0000-0000-0000AEC70000}"/>
    <cellStyle name="Normal 7 6 2 5" xfId="51105" xr:uid="{00000000-0005-0000-0000-0000AFC70000}"/>
    <cellStyle name="Normal 7 6 2 5 2" xfId="51106" xr:uid="{00000000-0005-0000-0000-0000B0C70000}"/>
    <cellStyle name="Normal 7 6 2 6" xfId="51107" xr:uid="{00000000-0005-0000-0000-0000B1C70000}"/>
    <cellStyle name="Normal 7 6 2 7" xfId="51108" xr:uid="{00000000-0005-0000-0000-0000B2C70000}"/>
    <cellStyle name="Normal 7 6 3" xfId="51109" xr:uid="{00000000-0005-0000-0000-0000B3C70000}"/>
    <cellStyle name="Normal 7 6 3 2" xfId="51110" xr:uid="{00000000-0005-0000-0000-0000B4C70000}"/>
    <cellStyle name="Normal 7 6 3 2 2" xfId="51111" xr:uid="{00000000-0005-0000-0000-0000B5C70000}"/>
    <cellStyle name="Normal 7 6 3 2 2 2" xfId="51112" xr:uid="{00000000-0005-0000-0000-0000B6C70000}"/>
    <cellStyle name="Normal 7 6 3 2 2 2 2" xfId="51113" xr:uid="{00000000-0005-0000-0000-0000B7C70000}"/>
    <cellStyle name="Normal 7 6 3 2 2 3" xfId="51114" xr:uid="{00000000-0005-0000-0000-0000B8C70000}"/>
    <cellStyle name="Normal 7 6 3 2 2 4" xfId="51115" xr:uid="{00000000-0005-0000-0000-0000B9C70000}"/>
    <cellStyle name="Normal 7 6 3 2 3" xfId="51116" xr:uid="{00000000-0005-0000-0000-0000BAC70000}"/>
    <cellStyle name="Normal 7 6 3 2 3 2" xfId="51117" xr:uid="{00000000-0005-0000-0000-0000BBC70000}"/>
    <cellStyle name="Normal 7 6 3 2 4" xfId="51118" xr:uid="{00000000-0005-0000-0000-0000BCC70000}"/>
    <cellStyle name="Normal 7 6 3 2 5" xfId="51119" xr:uid="{00000000-0005-0000-0000-0000BDC70000}"/>
    <cellStyle name="Normal 7 6 3 3" xfId="51120" xr:uid="{00000000-0005-0000-0000-0000BEC70000}"/>
    <cellStyle name="Normal 7 6 3 3 2" xfId="51121" xr:uid="{00000000-0005-0000-0000-0000BFC70000}"/>
    <cellStyle name="Normal 7 6 3 3 2 2" xfId="51122" xr:uid="{00000000-0005-0000-0000-0000C0C70000}"/>
    <cellStyle name="Normal 7 6 3 3 3" xfId="51123" xr:uid="{00000000-0005-0000-0000-0000C1C70000}"/>
    <cellStyle name="Normal 7 6 3 3 3 2" xfId="51124" xr:uid="{00000000-0005-0000-0000-0000C2C70000}"/>
    <cellStyle name="Normal 7 6 3 3 4" xfId="51125" xr:uid="{00000000-0005-0000-0000-0000C3C70000}"/>
    <cellStyle name="Normal 7 6 3 3 5" xfId="51126" xr:uid="{00000000-0005-0000-0000-0000C4C70000}"/>
    <cellStyle name="Normal 7 6 3 4" xfId="51127" xr:uid="{00000000-0005-0000-0000-0000C5C70000}"/>
    <cellStyle name="Normal 7 6 3 4 2" xfId="51128" xr:uid="{00000000-0005-0000-0000-0000C6C70000}"/>
    <cellStyle name="Normal 7 6 3 5" xfId="51129" xr:uid="{00000000-0005-0000-0000-0000C7C70000}"/>
    <cellStyle name="Normal 7 6 3 5 2" xfId="51130" xr:uid="{00000000-0005-0000-0000-0000C8C70000}"/>
    <cellStyle name="Normal 7 6 3 6" xfId="51131" xr:uid="{00000000-0005-0000-0000-0000C9C70000}"/>
    <cellStyle name="Normal 7 6 3 7" xfId="51132" xr:uid="{00000000-0005-0000-0000-0000CAC70000}"/>
    <cellStyle name="Normal 7 6 4" xfId="51133" xr:uid="{00000000-0005-0000-0000-0000CBC70000}"/>
    <cellStyle name="Normal 7 6 4 2" xfId="51134" xr:uid="{00000000-0005-0000-0000-0000CCC70000}"/>
    <cellStyle name="Normal 7 6 4 2 2" xfId="51135" xr:uid="{00000000-0005-0000-0000-0000CDC70000}"/>
    <cellStyle name="Normal 7 6 4 2 2 2" xfId="51136" xr:uid="{00000000-0005-0000-0000-0000CEC70000}"/>
    <cellStyle name="Normal 7 6 4 2 3" xfId="51137" xr:uid="{00000000-0005-0000-0000-0000CFC70000}"/>
    <cellStyle name="Normal 7 6 4 2 4" xfId="51138" xr:uid="{00000000-0005-0000-0000-0000D0C70000}"/>
    <cellStyle name="Normal 7 6 4 3" xfId="51139" xr:uid="{00000000-0005-0000-0000-0000D1C70000}"/>
    <cellStyle name="Normal 7 6 4 3 2" xfId="51140" xr:uid="{00000000-0005-0000-0000-0000D2C70000}"/>
    <cellStyle name="Normal 7 6 4 4" xfId="51141" xr:uid="{00000000-0005-0000-0000-0000D3C70000}"/>
    <cellStyle name="Normal 7 6 4 5" xfId="51142" xr:uid="{00000000-0005-0000-0000-0000D4C70000}"/>
    <cellStyle name="Normal 7 6 5" xfId="51143" xr:uid="{00000000-0005-0000-0000-0000D5C70000}"/>
    <cellStyle name="Normal 7 6 5 2" xfId="51144" xr:uid="{00000000-0005-0000-0000-0000D6C70000}"/>
    <cellStyle name="Normal 7 6 5 2 2" xfId="51145" xr:uid="{00000000-0005-0000-0000-0000D7C70000}"/>
    <cellStyle name="Normal 7 6 5 3" xfId="51146" xr:uid="{00000000-0005-0000-0000-0000D8C70000}"/>
    <cellStyle name="Normal 7 6 5 3 2" xfId="51147" xr:uid="{00000000-0005-0000-0000-0000D9C70000}"/>
    <cellStyle name="Normal 7 6 5 4" xfId="51148" xr:uid="{00000000-0005-0000-0000-0000DAC70000}"/>
    <cellStyle name="Normal 7 6 5 5" xfId="51149" xr:uid="{00000000-0005-0000-0000-0000DBC70000}"/>
    <cellStyle name="Normal 7 6 6" xfId="51150" xr:uid="{00000000-0005-0000-0000-0000DCC70000}"/>
    <cellStyle name="Normal 7 6 6 2" xfId="51151" xr:uid="{00000000-0005-0000-0000-0000DDC70000}"/>
    <cellStyle name="Normal 7 6 7" xfId="51152" xr:uid="{00000000-0005-0000-0000-0000DEC70000}"/>
    <cellStyle name="Normal 7 6 7 2" xfId="51153" xr:uid="{00000000-0005-0000-0000-0000DFC70000}"/>
    <cellStyle name="Normal 7 6 8" xfId="51154" xr:uid="{00000000-0005-0000-0000-0000E0C70000}"/>
    <cellStyle name="Normal 7 6 9" xfId="51155" xr:uid="{00000000-0005-0000-0000-0000E1C70000}"/>
    <cellStyle name="Normal 7 60" xfId="51156" xr:uid="{00000000-0005-0000-0000-0000E2C70000}"/>
    <cellStyle name="Normal 7 7" xfId="51157" xr:uid="{00000000-0005-0000-0000-0000E3C70000}"/>
    <cellStyle name="Normal 7 7 2" xfId="51158" xr:uid="{00000000-0005-0000-0000-0000E4C70000}"/>
    <cellStyle name="Normal 7 7 2 2" xfId="51159" xr:uid="{00000000-0005-0000-0000-0000E5C70000}"/>
    <cellStyle name="Normal 7 7 2 2 2" xfId="51160" xr:uid="{00000000-0005-0000-0000-0000E6C70000}"/>
    <cellStyle name="Normal 7 7 2 2 2 2" xfId="51161" xr:uid="{00000000-0005-0000-0000-0000E7C70000}"/>
    <cellStyle name="Normal 7 7 2 2 2 2 2" xfId="51162" xr:uid="{00000000-0005-0000-0000-0000E8C70000}"/>
    <cellStyle name="Normal 7 7 2 2 2 3" xfId="51163" xr:uid="{00000000-0005-0000-0000-0000E9C70000}"/>
    <cellStyle name="Normal 7 7 2 2 2 4" xfId="51164" xr:uid="{00000000-0005-0000-0000-0000EAC70000}"/>
    <cellStyle name="Normal 7 7 2 2 3" xfId="51165" xr:uid="{00000000-0005-0000-0000-0000EBC70000}"/>
    <cellStyle name="Normal 7 7 2 2 3 2" xfId="51166" xr:uid="{00000000-0005-0000-0000-0000ECC70000}"/>
    <cellStyle name="Normal 7 7 2 2 4" xfId="51167" xr:uid="{00000000-0005-0000-0000-0000EDC70000}"/>
    <cellStyle name="Normal 7 7 2 2 5" xfId="51168" xr:uid="{00000000-0005-0000-0000-0000EEC70000}"/>
    <cellStyle name="Normal 7 7 2 3" xfId="51169" xr:uid="{00000000-0005-0000-0000-0000EFC70000}"/>
    <cellStyle name="Normal 7 7 2 3 2" xfId="51170" xr:uid="{00000000-0005-0000-0000-0000F0C70000}"/>
    <cellStyle name="Normal 7 7 2 3 2 2" xfId="51171" xr:uid="{00000000-0005-0000-0000-0000F1C70000}"/>
    <cellStyle name="Normal 7 7 2 3 3" xfId="51172" xr:uid="{00000000-0005-0000-0000-0000F2C70000}"/>
    <cellStyle name="Normal 7 7 2 3 3 2" xfId="51173" xr:uid="{00000000-0005-0000-0000-0000F3C70000}"/>
    <cellStyle name="Normal 7 7 2 3 4" xfId="51174" xr:uid="{00000000-0005-0000-0000-0000F4C70000}"/>
    <cellStyle name="Normal 7 7 2 3 5" xfId="51175" xr:uid="{00000000-0005-0000-0000-0000F5C70000}"/>
    <cellStyle name="Normal 7 7 2 4" xfId="51176" xr:uid="{00000000-0005-0000-0000-0000F6C70000}"/>
    <cellStyle name="Normal 7 7 2 4 2" xfId="51177" xr:uid="{00000000-0005-0000-0000-0000F7C70000}"/>
    <cellStyle name="Normal 7 7 2 5" xfId="51178" xr:uid="{00000000-0005-0000-0000-0000F8C70000}"/>
    <cellStyle name="Normal 7 7 2 5 2" xfId="51179" xr:uid="{00000000-0005-0000-0000-0000F9C70000}"/>
    <cellStyle name="Normal 7 7 2 6" xfId="51180" xr:uid="{00000000-0005-0000-0000-0000FAC70000}"/>
    <cellStyle name="Normal 7 7 2 7" xfId="51181" xr:uid="{00000000-0005-0000-0000-0000FBC70000}"/>
    <cellStyle name="Normal 7 7 3" xfId="51182" xr:uid="{00000000-0005-0000-0000-0000FCC70000}"/>
    <cellStyle name="Normal 7 7 3 2" xfId="51183" xr:uid="{00000000-0005-0000-0000-0000FDC70000}"/>
    <cellStyle name="Normal 7 7 3 2 2" xfId="51184" xr:uid="{00000000-0005-0000-0000-0000FEC70000}"/>
    <cellStyle name="Normal 7 7 3 2 2 2" xfId="51185" xr:uid="{00000000-0005-0000-0000-0000FFC70000}"/>
    <cellStyle name="Normal 7 7 3 2 3" xfId="51186" xr:uid="{00000000-0005-0000-0000-000000C80000}"/>
    <cellStyle name="Normal 7 7 3 2 4" xfId="51187" xr:uid="{00000000-0005-0000-0000-000001C80000}"/>
    <cellStyle name="Normal 7 7 3 3" xfId="51188" xr:uid="{00000000-0005-0000-0000-000002C80000}"/>
    <cellStyle name="Normal 7 7 3 3 2" xfId="51189" xr:uid="{00000000-0005-0000-0000-000003C80000}"/>
    <cellStyle name="Normal 7 7 3 4" xfId="51190" xr:uid="{00000000-0005-0000-0000-000004C80000}"/>
    <cellStyle name="Normal 7 7 3 5" xfId="51191" xr:uid="{00000000-0005-0000-0000-000005C80000}"/>
    <cellStyle name="Normal 7 7 4" xfId="51192" xr:uid="{00000000-0005-0000-0000-000006C80000}"/>
    <cellStyle name="Normal 7 7 4 2" xfId="51193" xr:uid="{00000000-0005-0000-0000-000007C80000}"/>
    <cellStyle name="Normal 7 7 4 2 2" xfId="51194" xr:uid="{00000000-0005-0000-0000-000008C80000}"/>
    <cellStyle name="Normal 7 7 4 3" xfId="51195" xr:uid="{00000000-0005-0000-0000-000009C80000}"/>
    <cellStyle name="Normal 7 7 4 3 2" xfId="51196" xr:uid="{00000000-0005-0000-0000-00000AC80000}"/>
    <cellStyle name="Normal 7 7 4 4" xfId="51197" xr:uid="{00000000-0005-0000-0000-00000BC80000}"/>
    <cellStyle name="Normal 7 7 4 5" xfId="51198" xr:uid="{00000000-0005-0000-0000-00000CC80000}"/>
    <cellStyle name="Normal 7 7 5" xfId="51199" xr:uid="{00000000-0005-0000-0000-00000DC80000}"/>
    <cellStyle name="Normal 7 7 5 2" xfId="51200" xr:uid="{00000000-0005-0000-0000-00000EC80000}"/>
    <cellStyle name="Normal 7 7 6" xfId="51201" xr:uid="{00000000-0005-0000-0000-00000FC80000}"/>
    <cellStyle name="Normal 7 7 6 2" xfId="51202" xr:uid="{00000000-0005-0000-0000-000010C80000}"/>
    <cellStyle name="Normal 7 7 7" xfId="51203" xr:uid="{00000000-0005-0000-0000-000011C80000}"/>
    <cellStyle name="Normal 7 7 8" xfId="51204" xr:uid="{00000000-0005-0000-0000-000012C80000}"/>
    <cellStyle name="Normal 7 8" xfId="51205" xr:uid="{00000000-0005-0000-0000-000013C80000}"/>
    <cellStyle name="Normal 7 8 2" xfId="51206" xr:uid="{00000000-0005-0000-0000-000014C80000}"/>
    <cellStyle name="Normal 7 8 2 2" xfId="51207" xr:uid="{00000000-0005-0000-0000-000015C80000}"/>
    <cellStyle name="Normal 7 8 2 2 2" xfId="51208" xr:uid="{00000000-0005-0000-0000-000016C80000}"/>
    <cellStyle name="Normal 7 8 2 2 2 2" xfId="51209" xr:uid="{00000000-0005-0000-0000-000017C80000}"/>
    <cellStyle name="Normal 7 8 2 2 3" xfId="51210" xr:uid="{00000000-0005-0000-0000-000018C80000}"/>
    <cellStyle name="Normal 7 8 2 2 4" xfId="51211" xr:uid="{00000000-0005-0000-0000-000019C80000}"/>
    <cellStyle name="Normal 7 8 2 3" xfId="51212" xr:uid="{00000000-0005-0000-0000-00001AC80000}"/>
    <cellStyle name="Normal 7 8 2 3 2" xfId="51213" xr:uid="{00000000-0005-0000-0000-00001BC80000}"/>
    <cellStyle name="Normal 7 8 2 4" xfId="51214" xr:uid="{00000000-0005-0000-0000-00001CC80000}"/>
    <cellStyle name="Normal 7 8 2 5" xfId="51215" xr:uid="{00000000-0005-0000-0000-00001DC80000}"/>
    <cellStyle name="Normal 7 8 3" xfId="51216" xr:uid="{00000000-0005-0000-0000-00001EC80000}"/>
    <cellStyle name="Normal 7 8 3 2" xfId="51217" xr:uid="{00000000-0005-0000-0000-00001FC80000}"/>
    <cellStyle name="Normal 7 8 3 2 2" xfId="51218" xr:uid="{00000000-0005-0000-0000-000020C80000}"/>
    <cellStyle name="Normal 7 8 3 3" xfId="51219" xr:uid="{00000000-0005-0000-0000-000021C80000}"/>
    <cellStyle name="Normal 7 8 3 3 2" xfId="51220" xr:uid="{00000000-0005-0000-0000-000022C80000}"/>
    <cellStyle name="Normal 7 8 3 4" xfId="51221" xr:uid="{00000000-0005-0000-0000-000023C80000}"/>
    <cellStyle name="Normal 7 8 3 5" xfId="51222" xr:uid="{00000000-0005-0000-0000-000024C80000}"/>
    <cellStyle name="Normal 7 8 4" xfId="51223" xr:uid="{00000000-0005-0000-0000-000025C80000}"/>
    <cellStyle name="Normal 7 8 4 2" xfId="51224" xr:uid="{00000000-0005-0000-0000-000026C80000}"/>
    <cellStyle name="Normal 7 8 5" xfId="51225" xr:uid="{00000000-0005-0000-0000-000027C80000}"/>
    <cellStyle name="Normal 7 8 5 2" xfId="51226" xr:uid="{00000000-0005-0000-0000-000028C80000}"/>
    <cellStyle name="Normal 7 8 6" xfId="51227" xr:uid="{00000000-0005-0000-0000-000029C80000}"/>
    <cellStyle name="Normal 7 8 7" xfId="51228" xr:uid="{00000000-0005-0000-0000-00002AC80000}"/>
    <cellStyle name="Normal 7 9" xfId="51229" xr:uid="{00000000-0005-0000-0000-00002BC80000}"/>
    <cellStyle name="Normal 7 9 2" xfId="51230" xr:uid="{00000000-0005-0000-0000-00002CC80000}"/>
    <cellStyle name="Normal 7 9 2 2" xfId="51231" xr:uid="{00000000-0005-0000-0000-00002DC80000}"/>
    <cellStyle name="Normal 7 9 2 2 2" xfId="51232" xr:uid="{00000000-0005-0000-0000-00002EC80000}"/>
    <cellStyle name="Normal 7 9 2 3" xfId="51233" xr:uid="{00000000-0005-0000-0000-00002FC80000}"/>
    <cellStyle name="Normal 7 9 2 4" xfId="51234" xr:uid="{00000000-0005-0000-0000-000030C80000}"/>
    <cellStyle name="Normal 7 9 3" xfId="51235" xr:uid="{00000000-0005-0000-0000-000031C80000}"/>
    <cellStyle name="Normal 7 9 3 2" xfId="51236" xr:uid="{00000000-0005-0000-0000-000032C80000}"/>
    <cellStyle name="Normal 7 9 4" xfId="51237" xr:uid="{00000000-0005-0000-0000-000033C80000}"/>
    <cellStyle name="Normal 7 9 5" xfId="51238" xr:uid="{00000000-0005-0000-0000-000034C80000}"/>
    <cellStyle name="Normal 70" xfId="51239" xr:uid="{00000000-0005-0000-0000-000035C80000}"/>
    <cellStyle name="Normal 70 10" xfId="51240" xr:uid="{00000000-0005-0000-0000-000036C80000}"/>
    <cellStyle name="Normal 70 10 2" xfId="51241" xr:uid="{00000000-0005-0000-0000-000037C80000}"/>
    <cellStyle name="Normal 70 11" xfId="51242" xr:uid="{00000000-0005-0000-0000-000038C80000}"/>
    <cellStyle name="Normal 70 11 2" xfId="51243" xr:uid="{00000000-0005-0000-0000-000039C80000}"/>
    <cellStyle name="Normal 70 12" xfId="51244" xr:uid="{00000000-0005-0000-0000-00003AC80000}"/>
    <cellStyle name="Normal 70 12 2" xfId="51245" xr:uid="{00000000-0005-0000-0000-00003BC80000}"/>
    <cellStyle name="Normal 70 13" xfId="51246" xr:uid="{00000000-0005-0000-0000-00003CC80000}"/>
    <cellStyle name="Normal 70 13 2" xfId="51247" xr:uid="{00000000-0005-0000-0000-00003DC80000}"/>
    <cellStyle name="Normal 70 14" xfId="51248" xr:uid="{00000000-0005-0000-0000-00003EC80000}"/>
    <cellStyle name="Normal 70 14 2" xfId="51249" xr:uid="{00000000-0005-0000-0000-00003FC80000}"/>
    <cellStyle name="Normal 70 15" xfId="51250" xr:uid="{00000000-0005-0000-0000-000040C80000}"/>
    <cellStyle name="Normal 70 15 2" xfId="51251" xr:uid="{00000000-0005-0000-0000-000041C80000}"/>
    <cellStyle name="Normal 70 16" xfId="51252" xr:uid="{00000000-0005-0000-0000-000042C80000}"/>
    <cellStyle name="Normal 70 16 2" xfId="51253" xr:uid="{00000000-0005-0000-0000-000043C80000}"/>
    <cellStyle name="Normal 70 17" xfId="51254" xr:uid="{00000000-0005-0000-0000-000044C80000}"/>
    <cellStyle name="Normal 70 17 2" xfId="51255" xr:uid="{00000000-0005-0000-0000-000045C80000}"/>
    <cellStyle name="Normal 70 18" xfId="51256" xr:uid="{00000000-0005-0000-0000-000046C80000}"/>
    <cellStyle name="Normal 70 18 2" xfId="51257" xr:uid="{00000000-0005-0000-0000-000047C80000}"/>
    <cellStyle name="Normal 70 19" xfId="51258" xr:uid="{00000000-0005-0000-0000-000048C80000}"/>
    <cellStyle name="Normal 70 19 2" xfId="51259" xr:uid="{00000000-0005-0000-0000-000049C80000}"/>
    <cellStyle name="Normal 70 2" xfId="51260" xr:uid="{00000000-0005-0000-0000-00004AC80000}"/>
    <cellStyle name="Normal 70 2 2" xfId="51261" xr:uid="{00000000-0005-0000-0000-00004BC80000}"/>
    <cellStyle name="Normal 70 20" xfId="51262" xr:uid="{00000000-0005-0000-0000-00004CC80000}"/>
    <cellStyle name="Normal 70 20 2" xfId="51263" xr:uid="{00000000-0005-0000-0000-00004DC80000}"/>
    <cellStyle name="Normal 70 21" xfId="51264" xr:uid="{00000000-0005-0000-0000-00004EC80000}"/>
    <cellStyle name="Normal 70 21 2" xfId="51265" xr:uid="{00000000-0005-0000-0000-00004FC80000}"/>
    <cellStyle name="Normal 70 22" xfId="51266" xr:uid="{00000000-0005-0000-0000-000050C80000}"/>
    <cellStyle name="Normal 70 22 2" xfId="51267" xr:uid="{00000000-0005-0000-0000-000051C80000}"/>
    <cellStyle name="Normal 70 23" xfId="51268" xr:uid="{00000000-0005-0000-0000-000052C80000}"/>
    <cellStyle name="Normal 70 23 2" xfId="51269" xr:uid="{00000000-0005-0000-0000-000053C80000}"/>
    <cellStyle name="Normal 70 24" xfId="51270" xr:uid="{00000000-0005-0000-0000-000054C80000}"/>
    <cellStyle name="Normal 70 24 2" xfId="51271" xr:uid="{00000000-0005-0000-0000-000055C80000}"/>
    <cellStyle name="Normal 70 25" xfId="51272" xr:uid="{00000000-0005-0000-0000-000056C80000}"/>
    <cellStyle name="Normal 70 25 2" xfId="51273" xr:uid="{00000000-0005-0000-0000-000057C80000}"/>
    <cellStyle name="Normal 70 26" xfId="51274" xr:uid="{00000000-0005-0000-0000-000058C80000}"/>
    <cellStyle name="Normal 70 26 2" xfId="51275" xr:uid="{00000000-0005-0000-0000-000059C80000}"/>
    <cellStyle name="Normal 70 27" xfId="51276" xr:uid="{00000000-0005-0000-0000-00005AC80000}"/>
    <cellStyle name="Normal 70 27 2" xfId="51277" xr:uid="{00000000-0005-0000-0000-00005BC80000}"/>
    <cellStyle name="Normal 70 28" xfId="51278" xr:uid="{00000000-0005-0000-0000-00005CC80000}"/>
    <cellStyle name="Normal 70 28 2" xfId="51279" xr:uid="{00000000-0005-0000-0000-00005DC80000}"/>
    <cellStyle name="Normal 70 29" xfId="51280" xr:uid="{00000000-0005-0000-0000-00005EC80000}"/>
    <cellStyle name="Normal 70 29 2" xfId="51281" xr:uid="{00000000-0005-0000-0000-00005FC80000}"/>
    <cellStyle name="Normal 70 3" xfId="51282" xr:uid="{00000000-0005-0000-0000-000060C80000}"/>
    <cellStyle name="Normal 70 3 2" xfId="51283" xr:uid="{00000000-0005-0000-0000-000061C80000}"/>
    <cellStyle name="Normal 70 30" xfId="51284" xr:uid="{00000000-0005-0000-0000-000062C80000}"/>
    <cellStyle name="Normal 70 30 2" xfId="51285" xr:uid="{00000000-0005-0000-0000-000063C80000}"/>
    <cellStyle name="Normal 70 31" xfId="51286" xr:uid="{00000000-0005-0000-0000-000064C80000}"/>
    <cellStyle name="Normal 70 31 2" xfId="51287" xr:uid="{00000000-0005-0000-0000-000065C80000}"/>
    <cellStyle name="Normal 70 32" xfId="51288" xr:uid="{00000000-0005-0000-0000-000066C80000}"/>
    <cellStyle name="Normal 70 32 2" xfId="51289" xr:uid="{00000000-0005-0000-0000-000067C80000}"/>
    <cellStyle name="Normal 70 33" xfId="51290" xr:uid="{00000000-0005-0000-0000-000068C80000}"/>
    <cellStyle name="Normal 70 33 2" xfId="51291" xr:uid="{00000000-0005-0000-0000-000069C80000}"/>
    <cellStyle name="Normal 70 34" xfId="51292" xr:uid="{00000000-0005-0000-0000-00006AC80000}"/>
    <cellStyle name="Normal 70 34 2" xfId="51293" xr:uid="{00000000-0005-0000-0000-00006BC80000}"/>
    <cellStyle name="Normal 70 35" xfId="51294" xr:uid="{00000000-0005-0000-0000-00006CC80000}"/>
    <cellStyle name="Normal 70 35 2" xfId="51295" xr:uid="{00000000-0005-0000-0000-00006DC80000}"/>
    <cellStyle name="Normal 70 36" xfId="51296" xr:uid="{00000000-0005-0000-0000-00006EC80000}"/>
    <cellStyle name="Normal 70 36 2" xfId="51297" xr:uid="{00000000-0005-0000-0000-00006FC80000}"/>
    <cellStyle name="Normal 70 37" xfId="51298" xr:uid="{00000000-0005-0000-0000-000070C80000}"/>
    <cellStyle name="Normal 70 37 2" xfId="51299" xr:uid="{00000000-0005-0000-0000-000071C80000}"/>
    <cellStyle name="Normal 70 38" xfId="51300" xr:uid="{00000000-0005-0000-0000-000072C80000}"/>
    <cellStyle name="Normal 70 38 2" xfId="51301" xr:uid="{00000000-0005-0000-0000-000073C80000}"/>
    <cellStyle name="Normal 70 39" xfId="51302" xr:uid="{00000000-0005-0000-0000-000074C80000}"/>
    <cellStyle name="Normal 70 39 2" xfId="51303" xr:uid="{00000000-0005-0000-0000-000075C80000}"/>
    <cellStyle name="Normal 70 4" xfId="51304" xr:uid="{00000000-0005-0000-0000-000076C80000}"/>
    <cellStyle name="Normal 70 4 2" xfId="51305" xr:uid="{00000000-0005-0000-0000-000077C80000}"/>
    <cellStyle name="Normal 70 40" xfId="51306" xr:uid="{00000000-0005-0000-0000-000078C80000}"/>
    <cellStyle name="Normal 70 40 2" xfId="51307" xr:uid="{00000000-0005-0000-0000-000079C80000}"/>
    <cellStyle name="Normal 70 41" xfId="51308" xr:uid="{00000000-0005-0000-0000-00007AC80000}"/>
    <cellStyle name="Normal 70 41 2" xfId="51309" xr:uid="{00000000-0005-0000-0000-00007BC80000}"/>
    <cellStyle name="Normal 70 42" xfId="51310" xr:uid="{00000000-0005-0000-0000-00007CC80000}"/>
    <cellStyle name="Normal 70 42 2" xfId="51311" xr:uid="{00000000-0005-0000-0000-00007DC80000}"/>
    <cellStyle name="Normal 70 43" xfId="51312" xr:uid="{00000000-0005-0000-0000-00007EC80000}"/>
    <cellStyle name="Normal 70 43 2" xfId="51313" xr:uid="{00000000-0005-0000-0000-00007FC80000}"/>
    <cellStyle name="Normal 70 44" xfId="51314" xr:uid="{00000000-0005-0000-0000-000080C80000}"/>
    <cellStyle name="Normal 70 44 2" xfId="51315" xr:uid="{00000000-0005-0000-0000-000081C80000}"/>
    <cellStyle name="Normal 70 45" xfId="51316" xr:uid="{00000000-0005-0000-0000-000082C80000}"/>
    <cellStyle name="Normal 70 45 2" xfId="51317" xr:uid="{00000000-0005-0000-0000-000083C80000}"/>
    <cellStyle name="Normal 70 46" xfId="51318" xr:uid="{00000000-0005-0000-0000-000084C80000}"/>
    <cellStyle name="Normal 70 46 2" xfId="51319" xr:uid="{00000000-0005-0000-0000-000085C80000}"/>
    <cellStyle name="Normal 70 47" xfId="51320" xr:uid="{00000000-0005-0000-0000-000086C80000}"/>
    <cellStyle name="Normal 70 47 2" xfId="51321" xr:uid="{00000000-0005-0000-0000-000087C80000}"/>
    <cellStyle name="Normal 70 48" xfId="51322" xr:uid="{00000000-0005-0000-0000-000088C80000}"/>
    <cellStyle name="Normal 70 48 2" xfId="51323" xr:uid="{00000000-0005-0000-0000-000089C80000}"/>
    <cellStyle name="Normal 70 49" xfId="51324" xr:uid="{00000000-0005-0000-0000-00008AC80000}"/>
    <cellStyle name="Normal 70 49 2" xfId="51325" xr:uid="{00000000-0005-0000-0000-00008BC80000}"/>
    <cellStyle name="Normal 70 5" xfId="51326" xr:uid="{00000000-0005-0000-0000-00008CC80000}"/>
    <cellStyle name="Normal 70 5 2" xfId="51327" xr:uid="{00000000-0005-0000-0000-00008DC80000}"/>
    <cellStyle name="Normal 70 50" xfId="51328" xr:uid="{00000000-0005-0000-0000-00008EC80000}"/>
    <cellStyle name="Normal 70 50 2" xfId="51329" xr:uid="{00000000-0005-0000-0000-00008FC80000}"/>
    <cellStyle name="Normal 70 51" xfId="51330" xr:uid="{00000000-0005-0000-0000-000090C80000}"/>
    <cellStyle name="Normal 70 51 2" xfId="51331" xr:uid="{00000000-0005-0000-0000-000091C80000}"/>
    <cellStyle name="Normal 70 52" xfId="51332" xr:uid="{00000000-0005-0000-0000-000092C80000}"/>
    <cellStyle name="Normal 70 52 2" xfId="51333" xr:uid="{00000000-0005-0000-0000-000093C80000}"/>
    <cellStyle name="Normal 70 53" xfId="51334" xr:uid="{00000000-0005-0000-0000-000094C80000}"/>
    <cellStyle name="Normal 70 53 2" xfId="51335" xr:uid="{00000000-0005-0000-0000-000095C80000}"/>
    <cellStyle name="Normal 70 54" xfId="51336" xr:uid="{00000000-0005-0000-0000-000096C80000}"/>
    <cellStyle name="Normal 70 54 2" xfId="51337" xr:uid="{00000000-0005-0000-0000-000097C80000}"/>
    <cellStyle name="Normal 70 55" xfId="51338" xr:uid="{00000000-0005-0000-0000-000098C80000}"/>
    <cellStyle name="Normal 70 55 2" xfId="51339" xr:uid="{00000000-0005-0000-0000-000099C80000}"/>
    <cellStyle name="Normal 70 56" xfId="51340" xr:uid="{00000000-0005-0000-0000-00009AC80000}"/>
    <cellStyle name="Normal 70 56 2" xfId="51341" xr:uid="{00000000-0005-0000-0000-00009BC80000}"/>
    <cellStyle name="Normal 70 57" xfId="51342" xr:uid="{00000000-0005-0000-0000-00009CC80000}"/>
    <cellStyle name="Normal 70 57 2" xfId="51343" xr:uid="{00000000-0005-0000-0000-00009DC80000}"/>
    <cellStyle name="Normal 70 58" xfId="51344" xr:uid="{00000000-0005-0000-0000-00009EC80000}"/>
    <cellStyle name="Normal 70 58 2" xfId="51345" xr:uid="{00000000-0005-0000-0000-00009FC80000}"/>
    <cellStyle name="Normal 70 59" xfId="51346" xr:uid="{00000000-0005-0000-0000-0000A0C80000}"/>
    <cellStyle name="Normal 70 6" xfId="51347" xr:uid="{00000000-0005-0000-0000-0000A1C80000}"/>
    <cellStyle name="Normal 70 6 2" xfId="51348" xr:uid="{00000000-0005-0000-0000-0000A2C80000}"/>
    <cellStyle name="Normal 70 7" xfId="51349" xr:uid="{00000000-0005-0000-0000-0000A3C80000}"/>
    <cellStyle name="Normal 70 7 2" xfId="51350" xr:uid="{00000000-0005-0000-0000-0000A4C80000}"/>
    <cellStyle name="Normal 70 8" xfId="51351" xr:uid="{00000000-0005-0000-0000-0000A5C80000}"/>
    <cellStyle name="Normal 70 8 2" xfId="51352" xr:uid="{00000000-0005-0000-0000-0000A6C80000}"/>
    <cellStyle name="Normal 70 9" xfId="51353" xr:uid="{00000000-0005-0000-0000-0000A7C80000}"/>
    <cellStyle name="Normal 70 9 2" xfId="51354" xr:uid="{00000000-0005-0000-0000-0000A8C80000}"/>
    <cellStyle name="Normal 71" xfId="51355" xr:uid="{00000000-0005-0000-0000-0000A9C80000}"/>
    <cellStyle name="Normal 71 10" xfId="51356" xr:uid="{00000000-0005-0000-0000-0000AAC80000}"/>
    <cellStyle name="Normal 71 10 2" xfId="51357" xr:uid="{00000000-0005-0000-0000-0000ABC80000}"/>
    <cellStyle name="Normal 71 11" xfId="51358" xr:uid="{00000000-0005-0000-0000-0000ACC80000}"/>
    <cellStyle name="Normal 71 11 2" xfId="51359" xr:uid="{00000000-0005-0000-0000-0000ADC80000}"/>
    <cellStyle name="Normal 71 12" xfId="51360" xr:uid="{00000000-0005-0000-0000-0000AEC80000}"/>
    <cellStyle name="Normal 71 12 2" xfId="51361" xr:uid="{00000000-0005-0000-0000-0000AFC80000}"/>
    <cellStyle name="Normal 71 13" xfId="51362" xr:uid="{00000000-0005-0000-0000-0000B0C80000}"/>
    <cellStyle name="Normal 71 13 2" xfId="51363" xr:uid="{00000000-0005-0000-0000-0000B1C80000}"/>
    <cellStyle name="Normal 71 14" xfId="51364" xr:uid="{00000000-0005-0000-0000-0000B2C80000}"/>
    <cellStyle name="Normal 71 14 2" xfId="51365" xr:uid="{00000000-0005-0000-0000-0000B3C80000}"/>
    <cellStyle name="Normal 71 15" xfId="51366" xr:uid="{00000000-0005-0000-0000-0000B4C80000}"/>
    <cellStyle name="Normal 71 15 2" xfId="51367" xr:uid="{00000000-0005-0000-0000-0000B5C80000}"/>
    <cellStyle name="Normal 71 16" xfId="51368" xr:uid="{00000000-0005-0000-0000-0000B6C80000}"/>
    <cellStyle name="Normal 71 16 2" xfId="51369" xr:uid="{00000000-0005-0000-0000-0000B7C80000}"/>
    <cellStyle name="Normal 71 17" xfId="51370" xr:uid="{00000000-0005-0000-0000-0000B8C80000}"/>
    <cellStyle name="Normal 71 17 2" xfId="51371" xr:uid="{00000000-0005-0000-0000-0000B9C80000}"/>
    <cellStyle name="Normal 71 18" xfId="51372" xr:uid="{00000000-0005-0000-0000-0000BAC80000}"/>
    <cellStyle name="Normal 71 18 2" xfId="51373" xr:uid="{00000000-0005-0000-0000-0000BBC80000}"/>
    <cellStyle name="Normal 71 19" xfId="51374" xr:uid="{00000000-0005-0000-0000-0000BCC80000}"/>
    <cellStyle name="Normal 71 19 2" xfId="51375" xr:uid="{00000000-0005-0000-0000-0000BDC80000}"/>
    <cellStyle name="Normal 71 2" xfId="51376" xr:uid="{00000000-0005-0000-0000-0000BEC80000}"/>
    <cellStyle name="Normal 71 2 2" xfId="51377" xr:uid="{00000000-0005-0000-0000-0000BFC80000}"/>
    <cellStyle name="Normal 71 20" xfId="51378" xr:uid="{00000000-0005-0000-0000-0000C0C80000}"/>
    <cellStyle name="Normal 71 20 2" xfId="51379" xr:uid="{00000000-0005-0000-0000-0000C1C80000}"/>
    <cellStyle name="Normal 71 21" xfId="51380" xr:uid="{00000000-0005-0000-0000-0000C2C80000}"/>
    <cellStyle name="Normal 71 21 2" xfId="51381" xr:uid="{00000000-0005-0000-0000-0000C3C80000}"/>
    <cellStyle name="Normal 71 22" xfId="51382" xr:uid="{00000000-0005-0000-0000-0000C4C80000}"/>
    <cellStyle name="Normal 71 22 2" xfId="51383" xr:uid="{00000000-0005-0000-0000-0000C5C80000}"/>
    <cellStyle name="Normal 71 23" xfId="51384" xr:uid="{00000000-0005-0000-0000-0000C6C80000}"/>
    <cellStyle name="Normal 71 23 2" xfId="51385" xr:uid="{00000000-0005-0000-0000-0000C7C80000}"/>
    <cellStyle name="Normal 71 24" xfId="51386" xr:uid="{00000000-0005-0000-0000-0000C8C80000}"/>
    <cellStyle name="Normal 71 24 2" xfId="51387" xr:uid="{00000000-0005-0000-0000-0000C9C80000}"/>
    <cellStyle name="Normal 71 25" xfId="51388" xr:uid="{00000000-0005-0000-0000-0000CAC80000}"/>
    <cellStyle name="Normal 71 25 2" xfId="51389" xr:uid="{00000000-0005-0000-0000-0000CBC80000}"/>
    <cellStyle name="Normal 71 26" xfId="51390" xr:uid="{00000000-0005-0000-0000-0000CCC80000}"/>
    <cellStyle name="Normal 71 26 2" xfId="51391" xr:uid="{00000000-0005-0000-0000-0000CDC80000}"/>
    <cellStyle name="Normal 71 27" xfId="51392" xr:uid="{00000000-0005-0000-0000-0000CEC80000}"/>
    <cellStyle name="Normal 71 27 2" xfId="51393" xr:uid="{00000000-0005-0000-0000-0000CFC80000}"/>
    <cellStyle name="Normal 71 28" xfId="51394" xr:uid="{00000000-0005-0000-0000-0000D0C80000}"/>
    <cellStyle name="Normal 71 28 2" xfId="51395" xr:uid="{00000000-0005-0000-0000-0000D1C80000}"/>
    <cellStyle name="Normal 71 29" xfId="51396" xr:uid="{00000000-0005-0000-0000-0000D2C80000}"/>
    <cellStyle name="Normal 71 29 2" xfId="51397" xr:uid="{00000000-0005-0000-0000-0000D3C80000}"/>
    <cellStyle name="Normal 71 3" xfId="51398" xr:uid="{00000000-0005-0000-0000-0000D4C80000}"/>
    <cellStyle name="Normal 71 3 2" xfId="51399" xr:uid="{00000000-0005-0000-0000-0000D5C80000}"/>
    <cellStyle name="Normal 71 30" xfId="51400" xr:uid="{00000000-0005-0000-0000-0000D6C80000}"/>
    <cellStyle name="Normal 71 30 2" xfId="51401" xr:uid="{00000000-0005-0000-0000-0000D7C80000}"/>
    <cellStyle name="Normal 71 31" xfId="51402" xr:uid="{00000000-0005-0000-0000-0000D8C80000}"/>
    <cellStyle name="Normal 71 31 2" xfId="51403" xr:uid="{00000000-0005-0000-0000-0000D9C80000}"/>
    <cellStyle name="Normal 71 32" xfId="51404" xr:uid="{00000000-0005-0000-0000-0000DAC80000}"/>
    <cellStyle name="Normal 71 32 2" xfId="51405" xr:uid="{00000000-0005-0000-0000-0000DBC80000}"/>
    <cellStyle name="Normal 71 33" xfId="51406" xr:uid="{00000000-0005-0000-0000-0000DCC80000}"/>
    <cellStyle name="Normal 71 33 2" xfId="51407" xr:uid="{00000000-0005-0000-0000-0000DDC80000}"/>
    <cellStyle name="Normal 71 34" xfId="51408" xr:uid="{00000000-0005-0000-0000-0000DEC80000}"/>
    <cellStyle name="Normal 71 34 2" xfId="51409" xr:uid="{00000000-0005-0000-0000-0000DFC80000}"/>
    <cellStyle name="Normal 71 35" xfId="51410" xr:uid="{00000000-0005-0000-0000-0000E0C80000}"/>
    <cellStyle name="Normal 71 35 2" xfId="51411" xr:uid="{00000000-0005-0000-0000-0000E1C80000}"/>
    <cellStyle name="Normal 71 36" xfId="51412" xr:uid="{00000000-0005-0000-0000-0000E2C80000}"/>
    <cellStyle name="Normal 71 36 2" xfId="51413" xr:uid="{00000000-0005-0000-0000-0000E3C80000}"/>
    <cellStyle name="Normal 71 37" xfId="51414" xr:uid="{00000000-0005-0000-0000-0000E4C80000}"/>
    <cellStyle name="Normal 71 37 2" xfId="51415" xr:uid="{00000000-0005-0000-0000-0000E5C80000}"/>
    <cellStyle name="Normal 71 38" xfId="51416" xr:uid="{00000000-0005-0000-0000-0000E6C80000}"/>
    <cellStyle name="Normal 71 38 2" xfId="51417" xr:uid="{00000000-0005-0000-0000-0000E7C80000}"/>
    <cellStyle name="Normal 71 39" xfId="51418" xr:uid="{00000000-0005-0000-0000-0000E8C80000}"/>
    <cellStyle name="Normal 71 39 2" xfId="51419" xr:uid="{00000000-0005-0000-0000-0000E9C80000}"/>
    <cellStyle name="Normal 71 4" xfId="51420" xr:uid="{00000000-0005-0000-0000-0000EAC80000}"/>
    <cellStyle name="Normal 71 4 2" xfId="51421" xr:uid="{00000000-0005-0000-0000-0000EBC80000}"/>
    <cellStyle name="Normal 71 40" xfId="51422" xr:uid="{00000000-0005-0000-0000-0000ECC80000}"/>
    <cellStyle name="Normal 71 40 2" xfId="51423" xr:uid="{00000000-0005-0000-0000-0000EDC80000}"/>
    <cellStyle name="Normal 71 41" xfId="51424" xr:uid="{00000000-0005-0000-0000-0000EEC80000}"/>
    <cellStyle name="Normal 71 41 2" xfId="51425" xr:uid="{00000000-0005-0000-0000-0000EFC80000}"/>
    <cellStyle name="Normal 71 42" xfId="51426" xr:uid="{00000000-0005-0000-0000-0000F0C80000}"/>
    <cellStyle name="Normal 71 42 2" xfId="51427" xr:uid="{00000000-0005-0000-0000-0000F1C80000}"/>
    <cellStyle name="Normal 71 43" xfId="51428" xr:uid="{00000000-0005-0000-0000-0000F2C80000}"/>
    <cellStyle name="Normal 71 43 2" xfId="51429" xr:uid="{00000000-0005-0000-0000-0000F3C80000}"/>
    <cellStyle name="Normal 71 44" xfId="51430" xr:uid="{00000000-0005-0000-0000-0000F4C80000}"/>
    <cellStyle name="Normal 71 44 2" xfId="51431" xr:uid="{00000000-0005-0000-0000-0000F5C80000}"/>
    <cellStyle name="Normal 71 45" xfId="51432" xr:uid="{00000000-0005-0000-0000-0000F6C80000}"/>
    <cellStyle name="Normal 71 45 2" xfId="51433" xr:uid="{00000000-0005-0000-0000-0000F7C80000}"/>
    <cellStyle name="Normal 71 46" xfId="51434" xr:uid="{00000000-0005-0000-0000-0000F8C80000}"/>
    <cellStyle name="Normal 71 46 2" xfId="51435" xr:uid="{00000000-0005-0000-0000-0000F9C80000}"/>
    <cellStyle name="Normal 71 47" xfId="51436" xr:uid="{00000000-0005-0000-0000-0000FAC80000}"/>
    <cellStyle name="Normal 71 47 2" xfId="51437" xr:uid="{00000000-0005-0000-0000-0000FBC80000}"/>
    <cellStyle name="Normal 71 48" xfId="51438" xr:uid="{00000000-0005-0000-0000-0000FCC80000}"/>
    <cellStyle name="Normal 71 48 2" xfId="51439" xr:uid="{00000000-0005-0000-0000-0000FDC80000}"/>
    <cellStyle name="Normal 71 49" xfId="51440" xr:uid="{00000000-0005-0000-0000-0000FEC80000}"/>
    <cellStyle name="Normal 71 49 2" xfId="51441" xr:uid="{00000000-0005-0000-0000-0000FFC80000}"/>
    <cellStyle name="Normal 71 5" xfId="51442" xr:uid="{00000000-0005-0000-0000-000000C90000}"/>
    <cellStyle name="Normal 71 5 2" xfId="51443" xr:uid="{00000000-0005-0000-0000-000001C90000}"/>
    <cellStyle name="Normal 71 50" xfId="51444" xr:uid="{00000000-0005-0000-0000-000002C90000}"/>
    <cellStyle name="Normal 71 50 2" xfId="51445" xr:uid="{00000000-0005-0000-0000-000003C90000}"/>
    <cellStyle name="Normal 71 51" xfId="51446" xr:uid="{00000000-0005-0000-0000-000004C90000}"/>
    <cellStyle name="Normal 71 51 2" xfId="51447" xr:uid="{00000000-0005-0000-0000-000005C90000}"/>
    <cellStyle name="Normal 71 52" xfId="51448" xr:uid="{00000000-0005-0000-0000-000006C90000}"/>
    <cellStyle name="Normal 71 52 2" xfId="51449" xr:uid="{00000000-0005-0000-0000-000007C90000}"/>
    <cellStyle name="Normal 71 53" xfId="51450" xr:uid="{00000000-0005-0000-0000-000008C90000}"/>
    <cellStyle name="Normal 71 53 2" xfId="51451" xr:uid="{00000000-0005-0000-0000-000009C90000}"/>
    <cellStyle name="Normal 71 54" xfId="51452" xr:uid="{00000000-0005-0000-0000-00000AC90000}"/>
    <cellStyle name="Normal 71 54 2" xfId="51453" xr:uid="{00000000-0005-0000-0000-00000BC90000}"/>
    <cellStyle name="Normal 71 55" xfId="51454" xr:uid="{00000000-0005-0000-0000-00000CC90000}"/>
    <cellStyle name="Normal 71 55 2" xfId="51455" xr:uid="{00000000-0005-0000-0000-00000DC90000}"/>
    <cellStyle name="Normal 71 56" xfId="51456" xr:uid="{00000000-0005-0000-0000-00000EC90000}"/>
    <cellStyle name="Normal 71 56 2" xfId="51457" xr:uid="{00000000-0005-0000-0000-00000FC90000}"/>
    <cellStyle name="Normal 71 57" xfId="51458" xr:uid="{00000000-0005-0000-0000-000010C90000}"/>
    <cellStyle name="Normal 71 57 2" xfId="51459" xr:uid="{00000000-0005-0000-0000-000011C90000}"/>
    <cellStyle name="Normal 71 58" xfId="51460" xr:uid="{00000000-0005-0000-0000-000012C90000}"/>
    <cellStyle name="Normal 71 58 2" xfId="51461" xr:uid="{00000000-0005-0000-0000-000013C90000}"/>
    <cellStyle name="Normal 71 59" xfId="51462" xr:uid="{00000000-0005-0000-0000-000014C90000}"/>
    <cellStyle name="Normal 71 6" xfId="51463" xr:uid="{00000000-0005-0000-0000-000015C90000}"/>
    <cellStyle name="Normal 71 6 2" xfId="51464" xr:uid="{00000000-0005-0000-0000-000016C90000}"/>
    <cellStyle name="Normal 71 7" xfId="51465" xr:uid="{00000000-0005-0000-0000-000017C90000}"/>
    <cellStyle name="Normal 71 7 2" xfId="51466" xr:uid="{00000000-0005-0000-0000-000018C90000}"/>
    <cellStyle name="Normal 71 8" xfId="51467" xr:uid="{00000000-0005-0000-0000-000019C90000}"/>
    <cellStyle name="Normal 71 8 2" xfId="51468" xr:uid="{00000000-0005-0000-0000-00001AC90000}"/>
    <cellStyle name="Normal 71 9" xfId="51469" xr:uid="{00000000-0005-0000-0000-00001BC90000}"/>
    <cellStyle name="Normal 71 9 2" xfId="51470" xr:uid="{00000000-0005-0000-0000-00001CC90000}"/>
    <cellStyle name="Normal 72" xfId="51471" xr:uid="{00000000-0005-0000-0000-00001DC90000}"/>
    <cellStyle name="Normal 72 10" xfId="51472" xr:uid="{00000000-0005-0000-0000-00001EC90000}"/>
    <cellStyle name="Normal 72 10 2" xfId="51473" xr:uid="{00000000-0005-0000-0000-00001FC90000}"/>
    <cellStyle name="Normal 72 11" xfId="51474" xr:uid="{00000000-0005-0000-0000-000020C90000}"/>
    <cellStyle name="Normal 72 11 2" xfId="51475" xr:uid="{00000000-0005-0000-0000-000021C90000}"/>
    <cellStyle name="Normal 72 12" xfId="51476" xr:uid="{00000000-0005-0000-0000-000022C90000}"/>
    <cellStyle name="Normal 72 12 2" xfId="51477" xr:uid="{00000000-0005-0000-0000-000023C90000}"/>
    <cellStyle name="Normal 72 13" xfId="51478" xr:uid="{00000000-0005-0000-0000-000024C90000}"/>
    <cellStyle name="Normal 72 13 2" xfId="51479" xr:uid="{00000000-0005-0000-0000-000025C90000}"/>
    <cellStyle name="Normal 72 14" xfId="51480" xr:uid="{00000000-0005-0000-0000-000026C90000}"/>
    <cellStyle name="Normal 72 14 2" xfId="51481" xr:uid="{00000000-0005-0000-0000-000027C90000}"/>
    <cellStyle name="Normal 72 15" xfId="51482" xr:uid="{00000000-0005-0000-0000-000028C90000}"/>
    <cellStyle name="Normal 72 15 2" xfId="51483" xr:uid="{00000000-0005-0000-0000-000029C90000}"/>
    <cellStyle name="Normal 72 16" xfId="51484" xr:uid="{00000000-0005-0000-0000-00002AC90000}"/>
    <cellStyle name="Normal 72 16 2" xfId="51485" xr:uid="{00000000-0005-0000-0000-00002BC90000}"/>
    <cellStyle name="Normal 72 17" xfId="51486" xr:uid="{00000000-0005-0000-0000-00002CC90000}"/>
    <cellStyle name="Normal 72 17 2" xfId="51487" xr:uid="{00000000-0005-0000-0000-00002DC90000}"/>
    <cellStyle name="Normal 72 18" xfId="51488" xr:uid="{00000000-0005-0000-0000-00002EC90000}"/>
    <cellStyle name="Normal 72 18 2" xfId="51489" xr:uid="{00000000-0005-0000-0000-00002FC90000}"/>
    <cellStyle name="Normal 72 19" xfId="51490" xr:uid="{00000000-0005-0000-0000-000030C90000}"/>
    <cellStyle name="Normal 72 19 2" xfId="51491" xr:uid="{00000000-0005-0000-0000-000031C90000}"/>
    <cellStyle name="Normal 72 2" xfId="51492" xr:uid="{00000000-0005-0000-0000-000032C90000}"/>
    <cellStyle name="Normal 72 2 2" xfId="51493" xr:uid="{00000000-0005-0000-0000-000033C90000}"/>
    <cellStyle name="Normal 72 20" xfId="51494" xr:uid="{00000000-0005-0000-0000-000034C90000}"/>
    <cellStyle name="Normal 72 20 2" xfId="51495" xr:uid="{00000000-0005-0000-0000-000035C90000}"/>
    <cellStyle name="Normal 72 21" xfId="51496" xr:uid="{00000000-0005-0000-0000-000036C90000}"/>
    <cellStyle name="Normal 72 21 2" xfId="51497" xr:uid="{00000000-0005-0000-0000-000037C90000}"/>
    <cellStyle name="Normal 72 22" xfId="51498" xr:uid="{00000000-0005-0000-0000-000038C90000}"/>
    <cellStyle name="Normal 72 22 2" xfId="51499" xr:uid="{00000000-0005-0000-0000-000039C90000}"/>
    <cellStyle name="Normal 72 23" xfId="51500" xr:uid="{00000000-0005-0000-0000-00003AC90000}"/>
    <cellStyle name="Normal 72 23 2" xfId="51501" xr:uid="{00000000-0005-0000-0000-00003BC90000}"/>
    <cellStyle name="Normal 72 24" xfId="51502" xr:uid="{00000000-0005-0000-0000-00003CC90000}"/>
    <cellStyle name="Normal 72 24 2" xfId="51503" xr:uid="{00000000-0005-0000-0000-00003DC90000}"/>
    <cellStyle name="Normal 72 25" xfId="51504" xr:uid="{00000000-0005-0000-0000-00003EC90000}"/>
    <cellStyle name="Normal 72 25 2" xfId="51505" xr:uid="{00000000-0005-0000-0000-00003FC90000}"/>
    <cellStyle name="Normal 72 26" xfId="51506" xr:uid="{00000000-0005-0000-0000-000040C90000}"/>
    <cellStyle name="Normal 72 26 2" xfId="51507" xr:uid="{00000000-0005-0000-0000-000041C90000}"/>
    <cellStyle name="Normal 72 27" xfId="51508" xr:uid="{00000000-0005-0000-0000-000042C90000}"/>
    <cellStyle name="Normal 72 27 2" xfId="51509" xr:uid="{00000000-0005-0000-0000-000043C90000}"/>
    <cellStyle name="Normal 72 28" xfId="51510" xr:uid="{00000000-0005-0000-0000-000044C90000}"/>
    <cellStyle name="Normal 72 28 2" xfId="51511" xr:uid="{00000000-0005-0000-0000-000045C90000}"/>
    <cellStyle name="Normal 72 29" xfId="51512" xr:uid="{00000000-0005-0000-0000-000046C90000}"/>
    <cellStyle name="Normal 72 29 2" xfId="51513" xr:uid="{00000000-0005-0000-0000-000047C90000}"/>
    <cellStyle name="Normal 72 3" xfId="51514" xr:uid="{00000000-0005-0000-0000-000048C90000}"/>
    <cellStyle name="Normal 72 3 2" xfId="51515" xr:uid="{00000000-0005-0000-0000-000049C90000}"/>
    <cellStyle name="Normal 72 30" xfId="51516" xr:uid="{00000000-0005-0000-0000-00004AC90000}"/>
    <cellStyle name="Normal 72 30 2" xfId="51517" xr:uid="{00000000-0005-0000-0000-00004BC90000}"/>
    <cellStyle name="Normal 72 31" xfId="51518" xr:uid="{00000000-0005-0000-0000-00004CC90000}"/>
    <cellStyle name="Normal 72 31 2" xfId="51519" xr:uid="{00000000-0005-0000-0000-00004DC90000}"/>
    <cellStyle name="Normal 72 32" xfId="51520" xr:uid="{00000000-0005-0000-0000-00004EC90000}"/>
    <cellStyle name="Normal 72 32 2" xfId="51521" xr:uid="{00000000-0005-0000-0000-00004FC90000}"/>
    <cellStyle name="Normal 72 33" xfId="51522" xr:uid="{00000000-0005-0000-0000-000050C90000}"/>
    <cellStyle name="Normal 72 33 2" xfId="51523" xr:uid="{00000000-0005-0000-0000-000051C90000}"/>
    <cellStyle name="Normal 72 34" xfId="51524" xr:uid="{00000000-0005-0000-0000-000052C90000}"/>
    <cellStyle name="Normal 72 34 2" xfId="51525" xr:uid="{00000000-0005-0000-0000-000053C90000}"/>
    <cellStyle name="Normal 72 35" xfId="51526" xr:uid="{00000000-0005-0000-0000-000054C90000}"/>
    <cellStyle name="Normal 72 35 2" xfId="51527" xr:uid="{00000000-0005-0000-0000-000055C90000}"/>
    <cellStyle name="Normal 72 36" xfId="51528" xr:uid="{00000000-0005-0000-0000-000056C90000}"/>
    <cellStyle name="Normal 72 36 2" xfId="51529" xr:uid="{00000000-0005-0000-0000-000057C90000}"/>
    <cellStyle name="Normal 72 37" xfId="51530" xr:uid="{00000000-0005-0000-0000-000058C90000}"/>
    <cellStyle name="Normal 72 37 2" xfId="51531" xr:uid="{00000000-0005-0000-0000-000059C90000}"/>
    <cellStyle name="Normal 72 38" xfId="51532" xr:uid="{00000000-0005-0000-0000-00005AC90000}"/>
    <cellStyle name="Normal 72 38 2" xfId="51533" xr:uid="{00000000-0005-0000-0000-00005BC90000}"/>
    <cellStyle name="Normal 72 39" xfId="51534" xr:uid="{00000000-0005-0000-0000-00005CC90000}"/>
    <cellStyle name="Normal 72 39 2" xfId="51535" xr:uid="{00000000-0005-0000-0000-00005DC90000}"/>
    <cellStyle name="Normal 72 4" xfId="51536" xr:uid="{00000000-0005-0000-0000-00005EC90000}"/>
    <cellStyle name="Normal 72 4 2" xfId="51537" xr:uid="{00000000-0005-0000-0000-00005FC90000}"/>
    <cellStyle name="Normal 72 40" xfId="51538" xr:uid="{00000000-0005-0000-0000-000060C90000}"/>
    <cellStyle name="Normal 72 40 2" xfId="51539" xr:uid="{00000000-0005-0000-0000-000061C90000}"/>
    <cellStyle name="Normal 72 41" xfId="51540" xr:uid="{00000000-0005-0000-0000-000062C90000}"/>
    <cellStyle name="Normal 72 41 2" xfId="51541" xr:uid="{00000000-0005-0000-0000-000063C90000}"/>
    <cellStyle name="Normal 72 42" xfId="51542" xr:uid="{00000000-0005-0000-0000-000064C90000}"/>
    <cellStyle name="Normal 72 42 2" xfId="51543" xr:uid="{00000000-0005-0000-0000-000065C90000}"/>
    <cellStyle name="Normal 72 43" xfId="51544" xr:uid="{00000000-0005-0000-0000-000066C90000}"/>
    <cellStyle name="Normal 72 43 2" xfId="51545" xr:uid="{00000000-0005-0000-0000-000067C90000}"/>
    <cellStyle name="Normal 72 44" xfId="51546" xr:uid="{00000000-0005-0000-0000-000068C90000}"/>
    <cellStyle name="Normal 72 44 2" xfId="51547" xr:uid="{00000000-0005-0000-0000-000069C90000}"/>
    <cellStyle name="Normal 72 45" xfId="51548" xr:uid="{00000000-0005-0000-0000-00006AC90000}"/>
    <cellStyle name="Normal 72 45 2" xfId="51549" xr:uid="{00000000-0005-0000-0000-00006BC90000}"/>
    <cellStyle name="Normal 72 46" xfId="51550" xr:uid="{00000000-0005-0000-0000-00006CC90000}"/>
    <cellStyle name="Normal 72 46 2" xfId="51551" xr:uid="{00000000-0005-0000-0000-00006DC90000}"/>
    <cellStyle name="Normal 72 47" xfId="51552" xr:uid="{00000000-0005-0000-0000-00006EC90000}"/>
    <cellStyle name="Normal 72 47 2" xfId="51553" xr:uid="{00000000-0005-0000-0000-00006FC90000}"/>
    <cellStyle name="Normal 72 48" xfId="51554" xr:uid="{00000000-0005-0000-0000-000070C90000}"/>
    <cellStyle name="Normal 72 48 2" xfId="51555" xr:uid="{00000000-0005-0000-0000-000071C90000}"/>
    <cellStyle name="Normal 72 49" xfId="51556" xr:uid="{00000000-0005-0000-0000-000072C90000}"/>
    <cellStyle name="Normal 72 49 2" xfId="51557" xr:uid="{00000000-0005-0000-0000-000073C90000}"/>
    <cellStyle name="Normal 72 5" xfId="51558" xr:uid="{00000000-0005-0000-0000-000074C90000}"/>
    <cellStyle name="Normal 72 5 2" xfId="51559" xr:uid="{00000000-0005-0000-0000-000075C90000}"/>
    <cellStyle name="Normal 72 50" xfId="51560" xr:uid="{00000000-0005-0000-0000-000076C90000}"/>
    <cellStyle name="Normal 72 50 2" xfId="51561" xr:uid="{00000000-0005-0000-0000-000077C90000}"/>
    <cellStyle name="Normal 72 51" xfId="51562" xr:uid="{00000000-0005-0000-0000-000078C90000}"/>
    <cellStyle name="Normal 72 51 2" xfId="51563" xr:uid="{00000000-0005-0000-0000-000079C90000}"/>
    <cellStyle name="Normal 72 52" xfId="51564" xr:uid="{00000000-0005-0000-0000-00007AC90000}"/>
    <cellStyle name="Normal 72 52 2" xfId="51565" xr:uid="{00000000-0005-0000-0000-00007BC90000}"/>
    <cellStyle name="Normal 72 53" xfId="51566" xr:uid="{00000000-0005-0000-0000-00007CC90000}"/>
    <cellStyle name="Normal 72 53 2" xfId="51567" xr:uid="{00000000-0005-0000-0000-00007DC90000}"/>
    <cellStyle name="Normal 72 54" xfId="51568" xr:uid="{00000000-0005-0000-0000-00007EC90000}"/>
    <cellStyle name="Normal 72 54 2" xfId="51569" xr:uid="{00000000-0005-0000-0000-00007FC90000}"/>
    <cellStyle name="Normal 72 55" xfId="51570" xr:uid="{00000000-0005-0000-0000-000080C90000}"/>
    <cellStyle name="Normal 72 55 2" xfId="51571" xr:uid="{00000000-0005-0000-0000-000081C90000}"/>
    <cellStyle name="Normal 72 56" xfId="51572" xr:uid="{00000000-0005-0000-0000-000082C90000}"/>
    <cellStyle name="Normal 72 56 2" xfId="51573" xr:uid="{00000000-0005-0000-0000-000083C90000}"/>
    <cellStyle name="Normal 72 57" xfId="51574" xr:uid="{00000000-0005-0000-0000-000084C90000}"/>
    <cellStyle name="Normal 72 57 2" xfId="51575" xr:uid="{00000000-0005-0000-0000-000085C90000}"/>
    <cellStyle name="Normal 72 58" xfId="51576" xr:uid="{00000000-0005-0000-0000-000086C90000}"/>
    <cellStyle name="Normal 72 58 2" xfId="51577" xr:uid="{00000000-0005-0000-0000-000087C90000}"/>
    <cellStyle name="Normal 72 59" xfId="51578" xr:uid="{00000000-0005-0000-0000-000088C90000}"/>
    <cellStyle name="Normal 72 6" xfId="51579" xr:uid="{00000000-0005-0000-0000-000089C90000}"/>
    <cellStyle name="Normal 72 6 2" xfId="51580" xr:uid="{00000000-0005-0000-0000-00008AC90000}"/>
    <cellStyle name="Normal 72 7" xfId="51581" xr:uid="{00000000-0005-0000-0000-00008BC90000}"/>
    <cellStyle name="Normal 72 7 2" xfId="51582" xr:uid="{00000000-0005-0000-0000-00008CC90000}"/>
    <cellStyle name="Normal 72 8" xfId="51583" xr:uid="{00000000-0005-0000-0000-00008DC90000}"/>
    <cellStyle name="Normal 72 8 2" xfId="51584" xr:uid="{00000000-0005-0000-0000-00008EC90000}"/>
    <cellStyle name="Normal 72 9" xfId="51585" xr:uid="{00000000-0005-0000-0000-00008FC90000}"/>
    <cellStyle name="Normal 72 9 2" xfId="51586" xr:uid="{00000000-0005-0000-0000-000090C90000}"/>
    <cellStyle name="Normal 73" xfId="51587" xr:uid="{00000000-0005-0000-0000-000091C90000}"/>
    <cellStyle name="Normal 73 10" xfId="51588" xr:uid="{00000000-0005-0000-0000-000092C90000}"/>
    <cellStyle name="Normal 73 10 2" xfId="51589" xr:uid="{00000000-0005-0000-0000-000093C90000}"/>
    <cellStyle name="Normal 73 11" xfId="51590" xr:uid="{00000000-0005-0000-0000-000094C90000}"/>
    <cellStyle name="Normal 73 11 2" xfId="51591" xr:uid="{00000000-0005-0000-0000-000095C90000}"/>
    <cellStyle name="Normal 73 12" xfId="51592" xr:uid="{00000000-0005-0000-0000-000096C90000}"/>
    <cellStyle name="Normal 73 12 2" xfId="51593" xr:uid="{00000000-0005-0000-0000-000097C90000}"/>
    <cellStyle name="Normal 73 13" xfId="51594" xr:uid="{00000000-0005-0000-0000-000098C90000}"/>
    <cellStyle name="Normal 73 13 2" xfId="51595" xr:uid="{00000000-0005-0000-0000-000099C90000}"/>
    <cellStyle name="Normal 73 14" xfId="51596" xr:uid="{00000000-0005-0000-0000-00009AC90000}"/>
    <cellStyle name="Normal 73 14 2" xfId="51597" xr:uid="{00000000-0005-0000-0000-00009BC90000}"/>
    <cellStyle name="Normal 73 15" xfId="51598" xr:uid="{00000000-0005-0000-0000-00009CC90000}"/>
    <cellStyle name="Normal 73 15 2" xfId="51599" xr:uid="{00000000-0005-0000-0000-00009DC90000}"/>
    <cellStyle name="Normal 73 16" xfId="51600" xr:uid="{00000000-0005-0000-0000-00009EC90000}"/>
    <cellStyle name="Normal 73 16 2" xfId="51601" xr:uid="{00000000-0005-0000-0000-00009FC90000}"/>
    <cellStyle name="Normal 73 17" xfId="51602" xr:uid="{00000000-0005-0000-0000-0000A0C90000}"/>
    <cellStyle name="Normal 73 17 2" xfId="51603" xr:uid="{00000000-0005-0000-0000-0000A1C90000}"/>
    <cellStyle name="Normal 73 18" xfId="51604" xr:uid="{00000000-0005-0000-0000-0000A2C90000}"/>
    <cellStyle name="Normal 73 18 2" xfId="51605" xr:uid="{00000000-0005-0000-0000-0000A3C90000}"/>
    <cellStyle name="Normal 73 19" xfId="51606" xr:uid="{00000000-0005-0000-0000-0000A4C90000}"/>
    <cellStyle name="Normal 73 19 2" xfId="51607" xr:uid="{00000000-0005-0000-0000-0000A5C90000}"/>
    <cellStyle name="Normal 73 2" xfId="51608" xr:uid="{00000000-0005-0000-0000-0000A6C90000}"/>
    <cellStyle name="Normal 73 2 2" xfId="51609" xr:uid="{00000000-0005-0000-0000-0000A7C90000}"/>
    <cellStyle name="Normal 73 20" xfId="51610" xr:uid="{00000000-0005-0000-0000-0000A8C90000}"/>
    <cellStyle name="Normal 73 20 2" xfId="51611" xr:uid="{00000000-0005-0000-0000-0000A9C90000}"/>
    <cellStyle name="Normal 73 21" xfId="51612" xr:uid="{00000000-0005-0000-0000-0000AAC90000}"/>
    <cellStyle name="Normal 73 21 2" xfId="51613" xr:uid="{00000000-0005-0000-0000-0000ABC90000}"/>
    <cellStyle name="Normal 73 22" xfId="51614" xr:uid="{00000000-0005-0000-0000-0000ACC90000}"/>
    <cellStyle name="Normal 73 22 2" xfId="51615" xr:uid="{00000000-0005-0000-0000-0000ADC90000}"/>
    <cellStyle name="Normal 73 23" xfId="51616" xr:uid="{00000000-0005-0000-0000-0000AEC90000}"/>
    <cellStyle name="Normal 73 23 2" xfId="51617" xr:uid="{00000000-0005-0000-0000-0000AFC90000}"/>
    <cellStyle name="Normal 73 24" xfId="51618" xr:uid="{00000000-0005-0000-0000-0000B0C90000}"/>
    <cellStyle name="Normal 73 24 2" xfId="51619" xr:uid="{00000000-0005-0000-0000-0000B1C90000}"/>
    <cellStyle name="Normal 73 25" xfId="51620" xr:uid="{00000000-0005-0000-0000-0000B2C90000}"/>
    <cellStyle name="Normal 73 25 2" xfId="51621" xr:uid="{00000000-0005-0000-0000-0000B3C90000}"/>
    <cellStyle name="Normal 73 26" xfId="51622" xr:uid="{00000000-0005-0000-0000-0000B4C90000}"/>
    <cellStyle name="Normal 73 26 2" xfId="51623" xr:uid="{00000000-0005-0000-0000-0000B5C90000}"/>
    <cellStyle name="Normal 73 27" xfId="51624" xr:uid="{00000000-0005-0000-0000-0000B6C90000}"/>
    <cellStyle name="Normal 73 27 2" xfId="51625" xr:uid="{00000000-0005-0000-0000-0000B7C90000}"/>
    <cellStyle name="Normal 73 28" xfId="51626" xr:uid="{00000000-0005-0000-0000-0000B8C90000}"/>
    <cellStyle name="Normal 73 28 2" xfId="51627" xr:uid="{00000000-0005-0000-0000-0000B9C90000}"/>
    <cellStyle name="Normal 73 29" xfId="51628" xr:uid="{00000000-0005-0000-0000-0000BAC90000}"/>
    <cellStyle name="Normal 73 29 2" xfId="51629" xr:uid="{00000000-0005-0000-0000-0000BBC90000}"/>
    <cellStyle name="Normal 73 3" xfId="51630" xr:uid="{00000000-0005-0000-0000-0000BCC90000}"/>
    <cellStyle name="Normal 73 3 2" xfId="51631" xr:uid="{00000000-0005-0000-0000-0000BDC90000}"/>
    <cellStyle name="Normal 73 30" xfId="51632" xr:uid="{00000000-0005-0000-0000-0000BEC90000}"/>
    <cellStyle name="Normal 73 30 2" xfId="51633" xr:uid="{00000000-0005-0000-0000-0000BFC90000}"/>
    <cellStyle name="Normal 73 31" xfId="51634" xr:uid="{00000000-0005-0000-0000-0000C0C90000}"/>
    <cellStyle name="Normal 73 31 2" xfId="51635" xr:uid="{00000000-0005-0000-0000-0000C1C90000}"/>
    <cellStyle name="Normal 73 32" xfId="51636" xr:uid="{00000000-0005-0000-0000-0000C2C90000}"/>
    <cellStyle name="Normal 73 32 2" xfId="51637" xr:uid="{00000000-0005-0000-0000-0000C3C90000}"/>
    <cellStyle name="Normal 73 33" xfId="51638" xr:uid="{00000000-0005-0000-0000-0000C4C90000}"/>
    <cellStyle name="Normal 73 33 2" xfId="51639" xr:uid="{00000000-0005-0000-0000-0000C5C90000}"/>
    <cellStyle name="Normal 73 34" xfId="51640" xr:uid="{00000000-0005-0000-0000-0000C6C90000}"/>
    <cellStyle name="Normal 73 34 2" xfId="51641" xr:uid="{00000000-0005-0000-0000-0000C7C90000}"/>
    <cellStyle name="Normal 73 35" xfId="51642" xr:uid="{00000000-0005-0000-0000-0000C8C90000}"/>
    <cellStyle name="Normal 73 35 2" xfId="51643" xr:uid="{00000000-0005-0000-0000-0000C9C90000}"/>
    <cellStyle name="Normal 73 36" xfId="51644" xr:uid="{00000000-0005-0000-0000-0000CAC90000}"/>
    <cellStyle name="Normal 73 36 2" xfId="51645" xr:uid="{00000000-0005-0000-0000-0000CBC90000}"/>
    <cellStyle name="Normal 73 37" xfId="51646" xr:uid="{00000000-0005-0000-0000-0000CCC90000}"/>
    <cellStyle name="Normal 73 37 2" xfId="51647" xr:uid="{00000000-0005-0000-0000-0000CDC90000}"/>
    <cellStyle name="Normal 73 38" xfId="51648" xr:uid="{00000000-0005-0000-0000-0000CEC90000}"/>
    <cellStyle name="Normal 73 38 2" xfId="51649" xr:uid="{00000000-0005-0000-0000-0000CFC90000}"/>
    <cellStyle name="Normal 73 39" xfId="51650" xr:uid="{00000000-0005-0000-0000-0000D0C90000}"/>
    <cellStyle name="Normal 73 39 2" xfId="51651" xr:uid="{00000000-0005-0000-0000-0000D1C90000}"/>
    <cellStyle name="Normal 73 4" xfId="51652" xr:uid="{00000000-0005-0000-0000-0000D2C90000}"/>
    <cellStyle name="Normal 73 4 2" xfId="51653" xr:uid="{00000000-0005-0000-0000-0000D3C90000}"/>
    <cellStyle name="Normal 73 40" xfId="51654" xr:uid="{00000000-0005-0000-0000-0000D4C90000}"/>
    <cellStyle name="Normal 73 40 2" xfId="51655" xr:uid="{00000000-0005-0000-0000-0000D5C90000}"/>
    <cellStyle name="Normal 73 41" xfId="51656" xr:uid="{00000000-0005-0000-0000-0000D6C90000}"/>
    <cellStyle name="Normal 73 41 2" xfId="51657" xr:uid="{00000000-0005-0000-0000-0000D7C90000}"/>
    <cellStyle name="Normal 73 42" xfId="51658" xr:uid="{00000000-0005-0000-0000-0000D8C90000}"/>
    <cellStyle name="Normal 73 42 2" xfId="51659" xr:uid="{00000000-0005-0000-0000-0000D9C90000}"/>
    <cellStyle name="Normal 73 43" xfId="51660" xr:uid="{00000000-0005-0000-0000-0000DAC90000}"/>
    <cellStyle name="Normal 73 43 2" xfId="51661" xr:uid="{00000000-0005-0000-0000-0000DBC90000}"/>
    <cellStyle name="Normal 73 44" xfId="51662" xr:uid="{00000000-0005-0000-0000-0000DCC90000}"/>
    <cellStyle name="Normal 73 44 2" xfId="51663" xr:uid="{00000000-0005-0000-0000-0000DDC90000}"/>
    <cellStyle name="Normal 73 45" xfId="51664" xr:uid="{00000000-0005-0000-0000-0000DEC90000}"/>
    <cellStyle name="Normal 73 45 2" xfId="51665" xr:uid="{00000000-0005-0000-0000-0000DFC90000}"/>
    <cellStyle name="Normal 73 46" xfId="51666" xr:uid="{00000000-0005-0000-0000-0000E0C90000}"/>
    <cellStyle name="Normal 73 46 2" xfId="51667" xr:uid="{00000000-0005-0000-0000-0000E1C90000}"/>
    <cellStyle name="Normal 73 47" xfId="51668" xr:uid="{00000000-0005-0000-0000-0000E2C90000}"/>
    <cellStyle name="Normal 73 47 2" xfId="51669" xr:uid="{00000000-0005-0000-0000-0000E3C90000}"/>
    <cellStyle name="Normal 73 48" xfId="51670" xr:uid="{00000000-0005-0000-0000-0000E4C90000}"/>
    <cellStyle name="Normal 73 48 2" xfId="51671" xr:uid="{00000000-0005-0000-0000-0000E5C90000}"/>
    <cellStyle name="Normal 73 49" xfId="51672" xr:uid="{00000000-0005-0000-0000-0000E6C90000}"/>
    <cellStyle name="Normal 73 49 2" xfId="51673" xr:uid="{00000000-0005-0000-0000-0000E7C90000}"/>
    <cellStyle name="Normal 73 5" xfId="51674" xr:uid="{00000000-0005-0000-0000-0000E8C90000}"/>
    <cellStyle name="Normal 73 5 2" xfId="51675" xr:uid="{00000000-0005-0000-0000-0000E9C90000}"/>
    <cellStyle name="Normal 73 50" xfId="51676" xr:uid="{00000000-0005-0000-0000-0000EAC90000}"/>
    <cellStyle name="Normal 73 50 2" xfId="51677" xr:uid="{00000000-0005-0000-0000-0000EBC90000}"/>
    <cellStyle name="Normal 73 51" xfId="51678" xr:uid="{00000000-0005-0000-0000-0000ECC90000}"/>
    <cellStyle name="Normal 73 51 2" xfId="51679" xr:uid="{00000000-0005-0000-0000-0000EDC90000}"/>
    <cellStyle name="Normal 73 52" xfId="51680" xr:uid="{00000000-0005-0000-0000-0000EEC90000}"/>
    <cellStyle name="Normal 73 52 2" xfId="51681" xr:uid="{00000000-0005-0000-0000-0000EFC90000}"/>
    <cellStyle name="Normal 73 53" xfId="51682" xr:uid="{00000000-0005-0000-0000-0000F0C90000}"/>
    <cellStyle name="Normal 73 53 2" xfId="51683" xr:uid="{00000000-0005-0000-0000-0000F1C90000}"/>
    <cellStyle name="Normal 73 54" xfId="51684" xr:uid="{00000000-0005-0000-0000-0000F2C90000}"/>
    <cellStyle name="Normal 73 54 2" xfId="51685" xr:uid="{00000000-0005-0000-0000-0000F3C90000}"/>
    <cellStyle name="Normal 73 55" xfId="51686" xr:uid="{00000000-0005-0000-0000-0000F4C90000}"/>
    <cellStyle name="Normal 73 55 2" xfId="51687" xr:uid="{00000000-0005-0000-0000-0000F5C90000}"/>
    <cellStyle name="Normal 73 56" xfId="51688" xr:uid="{00000000-0005-0000-0000-0000F6C90000}"/>
    <cellStyle name="Normal 73 56 2" xfId="51689" xr:uid="{00000000-0005-0000-0000-0000F7C90000}"/>
    <cellStyle name="Normal 73 57" xfId="51690" xr:uid="{00000000-0005-0000-0000-0000F8C90000}"/>
    <cellStyle name="Normal 73 57 2" xfId="51691" xr:uid="{00000000-0005-0000-0000-0000F9C90000}"/>
    <cellStyle name="Normal 73 58" xfId="51692" xr:uid="{00000000-0005-0000-0000-0000FAC90000}"/>
    <cellStyle name="Normal 73 58 2" xfId="51693" xr:uid="{00000000-0005-0000-0000-0000FBC90000}"/>
    <cellStyle name="Normal 73 59" xfId="51694" xr:uid="{00000000-0005-0000-0000-0000FCC90000}"/>
    <cellStyle name="Normal 73 6" xfId="51695" xr:uid="{00000000-0005-0000-0000-0000FDC90000}"/>
    <cellStyle name="Normal 73 6 2" xfId="51696" xr:uid="{00000000-0005-0000-0000-0000FEC90000}"/>
    <cellStyle name="Normal 73 7" xfId="51697" xr:uid="{00000000-0005-0000-0000-0000FFC90000}"/>
    <cellStyle name="Normal 73 7 2" xfId="51698" xr:uid="{00000000-0005-0000-0000-000000CA0000}"/>
    <cellStyle name="Normal 73 8" xfId="51699" xr:uid="{00000000-0005-0000-0000-000001CA0000}"/>
    <cellStyle name="Normal 73 8 2" xfId="51700" xr:uid="{00000000-0005-0000-0000-000002CA0000}"/>
    <cellStyle name="Normal 73 9" xfId="51701" xr:uid="{00000000-0005-0000-0000-000003CA0000}"/>
    <cellStyle name="Normal 73 9 2" xfId="51702" xr:uid="{00000000-0005-0000-0000-000004CA0000}"/>
    <cellStyle name="Normal 74" xfId="51703" xr:uid="{00000000-0005-0000-0000-000005CA0000}"/>
    <cellStyle name="Normal 74 10" xfId="51704" xr:uid="{00000000-0005-0000-0000-000006CA0000}"/>
    <cellStyle name="Normal 74 10 2" xfId="51705" xr:uid="{00000000-0005-0000-0000-000007CA0000}"/>
    <cellStyle name="Normal 74 11" xfId="51706" xr:uid="{00000000-0005-0000-0000-000008CA0000}"/>
    <cellStyle name="Normal 74 11 2" xfId="51707" xr:uid="{00000000-0005-0000-0000-000009CA0000}"/>
    <cellStyle name="Normal 74 12" xfId="51708" xr:uid="{00000000-0005-0000-0000-00000ACA0000}"/>
    <cellStyle name="Normal 74 12 2" xfId="51709" xr:uid="{00000000-0005-0000-0000-00000BCA0000}"/>
    <cellStyle name="Normal 74 13" xfId="51710" xr:uid="{00000000-0005-0000-0000-00000CCA0000}"/>
    <cellStyle name="Normal 74 13 2" xfId="51711" xr:uid="{00000000-0005-0000-0000-00000DCA0000}"/>
    <cellStyle name="Normal 74 14" xfId="51712" xr:uid="{00000000-0005-0000-0000-00000ECA0000}"/>
    <cellStyle name="Normal 74 14 2" xfId="51713" xr:uid="{00000000-0005-0000-0000-00000FCA0000}"/>
    <cellStyle name="Normal 74 15" xfId="51714" xr:uid="{00000000-0005-0000-0000-000010CA0000}"/>
    <cellStyle name="Normal 74 15 2" xfId="51715" xr:uid="{00000000-0005-0000-0000-000011CA0000}"/>
    <cellStyle name="Normal 74 16" xfId="51716" xr:uid="{00000000-0005-0000-0000-000012CA0000}"/>
    <cellStyle name="Normal 74 16 2" xfId="51717" xr:uid="{00000000-0005-0000-0000-000013CA0000}"/>
    <cellStyle name="Normal 74 17" xfId="51718" xr:uid="{00000000-0005-0000-0000-000014CA0000}"/>
    <cellStyle name="Normal 74 17 2" xfId="51719" xr:uid="{00000000-0005-0000-0000-000015CA0000}"/>
    <cellStyle name="Normal 74 18" xfId="51720" xr:uid="{00000000-0005-0000-0000-000016CA0000}"/>
    <cellStyle name="Normal 74 18 2" xfId="51721" xr:uid="{00000000-0005-0000-0000-000017CA0000}"/>
    <cellStyle name="Normal 74 19" xfId="51722" xr:uid="{00000000-0005-0000-0000-000018CA0000}"/>
    <cellStyle name="Normal 74 19 2" xfId="51723" xr:uid="{00000000-0005-0000-0000-000019CA0000}"/>
    <cellStyle name="Normal 74 2" xfId="51724" xr:uid="{00000000-0005-0000-0000-00001ACA0000}"/>
    <cellStyle name="Normal 74 2 2" xfId="51725" xr:uid="{00000000-0005-0000-0000-00001BCA0000}"/>
    <cellStyle name="Normal 74 20" xfId="51726" xr:uid="{00000000-0005-0000-0000-00001CCA0000}"/>
    <cellStyle name="Normal 74 20 2" xfId="51727" xr:uid="{00000000-0005-0000-0000-00001DCA0000}"/>
    <cellStyle name="Normal 74 21" xfId="51728" xr:uid="{00000000-0005-0000-0000-00001ECA0000}"/>
    <cellStyle name="Normal 74 21 2" xfId="51729" xr:uid="{00000000-0005-0000-0000-00001FCA0000}"/>
    <cellStyle name="Normal 74 22" xfId="51730" xr:uid="{00000000-0005-0000-0000-000020CA0000}"/>
    <cellStyle name="Normal 74 22 2" xfId="51731" xr:uid="{00000000-0005-0000-0000-000021CA0000}"/>
    <cellStyle name="Normal 74 23" xfId="51732" xr:uid="{00000000-0005-0000-0000-000022CA0000}"/>
    <cellStyle name="Normal 74 23 2" xfId="51733" xr:uid="{00000000-0005-0000-0000-000023CA0000}"/>
    <cellStyle name="Normal 74 24" xfId="51734" xr:uid="{00000000-0005-0000-0000-000024CA0000}"/>
    <cellStyle name="Normal 74 24 2" xfId="51735" xr:uid="{00000000-0005-0000-0000-000025CA0000}"/>
    <cellStyle name="Normal 74 25" xfId="51736" xr:uid="{00000000-0005-0000-0000-000026CA0000}"/>
    <cellStyle name="Normal 74 25 2" xfId="51737" xr:uid="{00000000-0005-0000-0000-000027CA0000}"/>
    <cellStyle name="Normal 74 26" xfId="51738" xr:uid="{00000000-0005-0000-0000-000028CA0000}"/>
    <cellStyle name="Normal 74 26 2" xfId="51739" xr:uid="{00000000-0005-0000-0000-000029CA0000}"/>
    <cellStyle name="Normal 74 27" xfId="51740" xr:uid="{00000000-0005-0000-0000-00002ACA0000}"/>
    <cellStyle name="Normal 74 27 2" xfId="51741" xr:uid="{00000000-0005-0000-0000-00002BCA0000}"/>
    <cellStyle name="Normal 74 28" xfId="51742" xr:uid="{00000000-0005-0000-0000-00002CCA0000}"/>
    <cellStyle name="Normal 74 28 2" xfId="51743" xr:uid="{00000000-0005-0000-0000-00002DCA0000}"/>
    <cellStyle name="Normal 74 29" xfId="51744" xr:uid="{00000000-0005-0000-0000-00002ECA0000}"/>
    <cellStyle name="Normal 74 29 2" xfId="51745" xr:uid="{00000000-0005-0000-0000-00002FCA0000}"/>
    <cellStyle name="Normal 74 3" xfId="51746" xr:uid="{00000000-0005-0000-0000-000030CA0000}"/>
    <cellStyle name="Normal 74 3 2" xfId="51747" xr:uid="{00000000-0005-0000-0000-000031CA0000}"/>
    <cellStyle name="Normal 74 30" xfId="51748" xr:uid="{00000000-0005-0000-0000-000032CA0000}"/>
    <cellStyle name="Normal 74 30 2" xfId="51749" xr:uid="{00000000-0005-0000-0000-000033CA0000}"/>
    <cellStyle name="Normal 74 31" xfId="51750" xr:uid="{00000000-0005-0000-0000-000034CA0000}"/>
    <cellStyle name="Normal 74 31 2" xfId="51751" xr:uid="{00000000-0005-0000-0000-000035CA0000}"/>
    <cellStyle name="Normal 74 32" xfId="51752" xr:uid="{00000000-0005-0000-0000-000036CA0000}"/>
    <cellStyle name="Normal 74 32 2" xfId="51753" xr:uid="{00000000-0005-0000-0000-000037CA0000}"/>
    <cellStyle name="Normal 74 33" xfId="51754" xr:uid="{00000000-0005-0000-0000-000038CA0000}"/>
    <cellStyle name="Normal 74 33 2" xfId="51755" xr:uid="{00000000-0005-0000-0000-000039CA0000}"/>
    <cellStyle name="Normal 74 34" xfId="51756" xr:uid="{00000000-0005-0000-0000-00003ACA0000}"/>
    <cellStyle name="Normal 74 34 2" xfId="51757" xr:uid="{00000000-0005-0000-0000-00003BCA0000}"/>
    <cellStyle name="Normal 74 35" xfId="51758" xr:uid="{00000000-0005-0000-0000-00003CCA0000}"/>
    <cellStyle name="Normal 74 35 2" xfId="51759" xr:uid="{00000000-0005-0000-0000-00003DCA0000}"/>
    <cellStyle name="Normal 74 36" xfId="51760" xr:uid="{00000000-0005-0000-0000-00003ECA0000}"/>
    <cellStyle name="Normal 74 36 2" xfId="51761" xr:uid="{00000000-0005-0000-0000-00003FCA0000}"/>
    <cellStyle name="Normal 74 37" xfId="51762" xr:uid="{00000000-0005-0000-0000-000040CA0000}"/>
    <cellStyle name="Normal 74 37 2" xfId="51763" xr:uid="{00000000-0005-0000-0000-000041CA0000}"/>
    <cellStyle name="Normal 74 38" xfId="51764" xr:uid="{00000000-0005-0000-0000-000042CA0000}"/>
    <cellStyle name="Normal 74 38 2" xfId="51765" xr:uid="{00000000-0005-0000-0000-000043CA0000}"/>
    <cellStyle name="Normal 74 39" xfId="51766" xr:uid="{00000000-0005-0000-0000-000044CA0000}"/>
    <cellStyle name="Normal 74 39 2" xfId="51767" xr:uid="{00000000-0005-0000-0000-000045CA0000}"/>
    <cellStyle name="Normal 74 4" xfId="51768" xr:uid="{00000000-0005-0000-0000-000046CA0000}"/>
    <cellStyle name="Normal 74 4 2" xfId="51769" xr:uid="{00000000-0005-0000-0000-000047CA0000}"/>
    <cellStyle name="Normal 74 40" xfId="51770" xr:uid="{00000000-0005-0000-0000-000048CA0000}"/>
    <cellStyle name="Normal 74 40 2" xfId="51771" xr:uid="{00000000-0005-0000-0000-000049CA0000}"/>
    <cellStyle name="Normal 74 41" xfId="51772" xr:uid="{00000000-0005-0000-0000-00004ACA0000}"/>
    <cellStyle name="Normal 74 41 2" xfId="51773" xr:uid="{00000000-0005-0000-0000-00004BCA0000}"/>
    <cellStyle name="Normal 74 42" xfId="51774" xr:uid="{00000000-0005-0000-0000-00004CCA0000}"/>
    <cellStyle name="Normal 74 42 2" xfId="51775" xr:uid="{00000000-0005-0000-0000-00004DCA0000}"/>
    <cellStyle name="Normal 74 43" xfId="51776" xr:uid="{00000000-0005-0000-0000-00004ECA0000}"/>
    <cellStyle name="Normal 74 43 2" xfId="51777" xr:uid="{00000000-0005-0000-0000-00004FCA0000}"/>
    <cellStyle name="Normal 74 44" xfId="51778" xr:uid="{00000000-0005-0000-0000-000050CA0000}"/>
    <cellStyle name="Normal 74 44 2" xfId="51779" xr:uid="{00000000-0005-0000-0000-000051CA0000}"/>
    <cellStyle name="Normal 74 45" xfId="51780" xr:uid="{00000000-0005-0000-0000-000052CA0000}"/>
    <cellStyle name="Normal 74 45 2" xfId="51781" xr:uid="{00000000-0005-0000-0000-000053CA0000}"/>
    <cellStyle name="Normal 74 46" xfId="51782" xr:uid="{00000000-0005-0000-0000-000054CA0000}"/>
    <cellStyle name="Normal 74 46 2" xfId="51783" xr:uid="{00000000-0005-0000-0000-000055CA0000}"/>
    <cellStyle name="Normal 74 47" xfId="51784" xr:uid="{00000000-0005-0000-0000-000056CA0000}"/>
    <cellStyle name="Normal 74 47 2" xfId="51785" xr:uid="{00000000-0005-0000-0000-000057CA0000}"/>
    <cellStyle name="Normal 74 48" xfId="51786" xr:uid="{00000000-0005-0000-0000-000058CA0000}"/>
    <cellStyle name="Normal 74 48 2" xfId="51787" xr:uid="{00000000-0005-0000-0000-000059CA0000}"/>
    <cellStyle name="Normal 74 49" xfId="51788" xr:uid="{00000000-0005-0000-0000-00005ACA0000}"/>
    <cellStyle name="Normal 74 49 2" xfId="51789" xr:uid="{00000000-0005-0000-0000-00005BCA0000}"/>
    <cellStyle name="Normal 74 5" xfId="51790" xr:uid="{00000000-0005-0000-0000-00005CCA0000}"/>
    <cellStyle name="Normal 74 5 2" xfId="51791" xr:uid="{00000000-0005-0000-0000-00005DCA0000}"/>
    <cellStyle name="Normal 74 50" xfId="51792" xr:uid="{00000000-0005-0000-0000-00005ECA0000}"/>
    <cellStyle name="Normal 74 50 2" xfId="51793" xr:uid="{00000000-0005-0000-0000-00005FCA0000}"/>
    <cellStyle name="Normal 74 51" xfId="51794" xr:uid="{00000000-0005-0000-0000-000060CA0000}"/>
    <cellStyle name="Normal 74 51 2" xfId="51795" xr:uid="{00000000-0005-0000-0000-000061CA0000}"/>
    <cellStyle name="Normal 74 52" xfId="51796" xr:uid="{00000000-0005-0000-0000-000062CA0000}"/>
    <cellStyle name="Normal 74 52 2" xfId="51797" xr:uid="{00000000-0005-0000-0000-000063CA0000}"/>
    <cellStyle name="Normal 74 53" xfId="51798" xr:uid="{00000000-0005-0000-0000-000064CA0000}"/>
    <cellStyle name="Normal 74 53 2" xfId="51799" xr:uid="{00000000-0005-0000-0000-000065CA0000}"/>
    <cellStyle name="Normal 74 54" xfId="51800" xr:uid="{00000000-0005-0000-0000-000066CA0000}"/>
    <cellStyle name="Normal 74 54 2" xfId="51801" xr:uid="{00000000-0005-0000-0000-000067CA0000}"/>
    <cellStyle name="Normal 74 55" xfId="51802" xr:uid="{00000000-0005-0000-0000-000068CA0000}"/>
    <cellStyle name="Normal 74 55 2" xfId="51803" xr:uid="{00000000-0005-0000-0000-000069CA0000}"/>
    <cellStyle name="Normal 74 56" xfId="51804" xr:uid="{00000000-0005-0000-0000-00006ACA0000}"/>
    <cellStyle name="Normal 74 56 2" xfId="51805" xr:uid="{00000000-0005-0000-0000-00006BCA0000}"/>
    <cellStyle name="Normal 74 57" xfId="51806" xr:uid="{00000000-0005-0000-0000-00006CCA0000}"/>
    <cellStyle name="Normal 74 57 2" xfId="51807" xr:uid="{00000000-0005-0000-0000-00006DCA0000}"/>
    <cellStyle name="Normal 74 58" xfId="51808" xr:uid="{00000000-0005-0000-0000-00006ECA0000}"/>
    <cellStyle name="Normal 74 58 2" xfId="51809" xr:uid="{00000000-0005-0000-0000-00006FCA0000}"/>
    <cellStyle name="Normal 74 59" xfId="51810" xr:uid="{00000000-0005-0000-0000-000070CA0000}"/>
    <cellStyle name="Normal 74 59 2" xfId="51811" xr:uid="{00000000-0005-0000-0000-000071CA0000}"/>
    <cellStyle name="Normal 74 6" xfId="51812" xr:uid="{00000000-0005-0000-0000-000072CA0000}"/>
    <cellStyle name="Normal 74 6 2" xfId="51813" xr:uid="{00000000-0005-0000-0000-000073CA0000}"/>
    <cellStyle name="Normal 74 60" xfId="51814" xr:uid="{00000000-0005-0000-0000-000074CA0000}"/>
    <cellStyle name="Normal 74 60 2" xfId="51815" xr:uid="{00000000-0005-0000-0000-000075CA0000}"/>
    <cellStyle name="Normal 74 61" xfId="51816" xr:uid="{00000000-0005-0000-0000-000076CA0000}"/>
    <cellStyle name="Normal 74 61 2" xfId="51817" xr:uid="{00000000-0005-0000-0000-000077CA0000}"/>
    <cellStyle name="Normal 74 62" xfId="51818" xr:uid="{00000000-0005-0000-0000-000078CA0000}"/>
    <cellStyle name="Normal 74 62 2" xfId="51819" xr:uid="{00000000-0005-0000-0000-000079CA0000}"/>
    <cellStyle name="Normal 74 62 3" xfId="51820" xr:uid="{00000000-0005-0000-0000-00007ACA0000}"/>
    <cellStyle name="Normal 74 63" xfId="51821" xr:uid="{00000000-0005-0000-0000-00007BCA0000}"/>
    <cellStyle name="Normal 74 7" xfId="51822" xr:uid="{00000000-0005-0000-0000-00007CCA0000}"/>
    <cellStyle name="Normal 74 7 2" xfId="51823" xr:uid="{00000000-0005-0000-0000-00007DCA0000}"/>
    <cellStyle name="Normal 74 8" xfId="51824" xr:uid="{00000000-0005-0000-0000-00007ECA0000}"/>
    <cellStyle name="Normal 74 8 2" xfId="51825" xr:uid="{00000000-0005-0000-0000-00007FCA0000}"/>
    <cellStyle name="Normal 74 9" xfId="51826" xr:uid="{00000000-0005-0000-0000-000080CA0000}"/>
    <cellStyle name="Normal 74 9 2" xfId="51827" xr:uid="{00000000-0005-0000-0000-000081CA0000}"/>
    <cellStyle name="Normal 75" xfId="51828" xr:uid="{00000000-0005-0000-0000-000082CA0000}"/>
    <cellStyle name="Normal 75 10" xfId="51829" xr:uid="{00000000-0005-0000-0000-000083CA0000}"/>
    <cellStyle name="Normal 75 10 2" xfId="51830" xr:uid="{00000000-0005-0000-0000-000084CA0000}"/>
    <cellStyle name="Normal 75 11" xfId="51831" xr:uid="{00000000-0005-0000-0000-000085CA0000}"/>
    <cellStyle name="Normal 75 11 2" xfId="51832" xr:uid="{00000000-0005-0000-0000-000086CA0000}"/>
    <cellStyle name="Normal 75 12" xfId="51833" xr:uid="{00000000-0005-0000-0000-000087CA0000}"/>
    <cellStyle name="Normal 75 12 2" xfId="51834" xr:uid="{00000000-0005-0000-0000-000088CA0000}"/>
    <cellStyle name="Normal 75 13" xfId="51835" xr:uid="{00000000-0005-0000-0000-000089CA0000}"/>
    <cellStyle name="Normal 75 13 2" xfId="51836" xr:uid="{00000000-0005-0000-0000-00008ACA0000}"/>
    <cellStyle name="Normal 75 14" xfId="51837" xr:uid="{00000000-0005-0000-0000-00008BCA0000}"/>
    <cellStyle name="Normal 75 14 2" xfId="51838" xr:uid="{00000000-0005-0000-0000-00008CCA0000}"/>
    <cellStyle name="Normal 75 15" xfId="51839" xr:uid="{00000000-0005-0000-0000-00008DCA0000}"/>
    <cellStyle name="Normal 75 15 2" xfId="51840" xr:uid="{00000000-0005-0000-0000-00008ECA0000}"/>
    <cellStyle name="Normal 75 16" xfId="51841" xr:uid="{00000000-0005-0000-0000-00008FCA0000}"/>
    <cellStyle name="Normal 75 16 2" xfId="51842" xr:uid="{00000000-0005-0000-0000-000090CA0000}"/>
    <cellStyle name="Normal 75 17" xfId="51843" xr:uid="{00000000-0005-0000-0000-000091CA0000}"/>
    <cellStyle name="Normal 75 17 2" xfId="51844" xr:uid="{00000000-0005-0000-0000-000092CA0000}"/>
    <cellStyle name="Normal 75 18" xfId="51845" xr:uid="{00000000-0005-0000-0000-000093CA0000}"/>
    <cellStyle name="Normal 75 18 2" xfId="51846" xr:uid="{00000000-0005-0000-0000-000094CA0000}"/>
    <cellStyle name="Normal 75 19" xfId="51847" xr:uid="{00000000-0005-0000-0000-000095CA0000}"/>
    <cellStyle name="Normal 75 19 2" xfId="51848" xr:uid="{00000000-0005-0000-0000-000096CA0000}"/>
    <cellStyle name="Normal 75 2" xfId="51849" xr:uid="{00000000-0005-0000-0000-000097CA0000}"/>
    <cellStyle name="Normal 75 2 2" xfId="51850" xr:uid="{00000000-0005-0000-0000-000098CA0000}"/>
    <cellStyle name="Normal 75 20" xfId="51851" xr:uid="{00000000-0005-0000-0000-000099CA0000}"/>
    <cellStyle name="Normal 75 20 2" xfId="51852" xr:uid="{00000000-0005-0000-0000-00009ACA0000}"/>
    <cellStyle name="Normal 75 21" xfId="51853" xr:uid="{00000000-0005-0000-0000-00009BCA0000}"/>
    <cellStyle name="Normal 75 21 2" xfId="51854" xr:uid="{00000000-0005-0000-0000-00009CCA0000}"/>
    <cellStyle name="Normal 75 22" xfId="51855" xr:uid="{00000000-0005-0000-0000-00009DCA0000}"/>
    <cellStyle name="Normal 75 22 2" xfId="51856" xr:uid="{00000000-0005-0000-0000-00009ECA0000}"/>
    <cellStyle name="Normal 75 23" xfId="51857" xr:uid="{00000000-0005-0000-0000-00009FCA0000}"/>
    <cellStyle name="Normal 75 23 2" xfId="51858" xr:uid="{00000000-0005-0000-0000-0000A0CA0000}"/>
    <cellStyle name="Normal 75 24" xfId="51859" xr:uid="{00000000-0005-0000-0000-0000A1CA0000}"/>
    <cellStyle name="Normal 75 24 2" xfId="51860" xr:uid="{00000000-0005-0000-0000-0000A2CA0000}"/>
    <cellStyle name="Normal 75 25" xfId="51861" xr:uid="{00000000-0005-0000-0000-0000A3CA0000}"/>
    <cellStyle name="Normal 75 25 2" xfId="51862" xr:uid="{00000000-0005-0000-0000-0000A4CA0000}"/>
    <cellStyle name="Normal 75 26" xfId="51863" xr:uid="{00000000-0005-0000-0000-0000A5CA0000}"/>
    <cellStyle name="Normal 75 26 2" xfId="51864" xr:uid="{00000000-0005-0000-0000-0000A6CA0000}"/>
    <cellStyle name="Normal 75 27" xfId="51865" xr:uid="{00000000-0005-0000-0000-0000A7CA0000}"/>
    <cellStyle name="Normal 75 27 2" xfId="51866" xr:uid="{00000000-0005-0000-0000-0000A8CA0000}"/>
    <cellStyle name="Normal 75 28" xfId="51867" xr:uid="{00000000-0005-0000-0000-0000A9CA0000}"/>
    <cellStyle name="Normal 75 28 2" xfId="51868" xr:uid="{00000000-0005-0000-0000-0000AACA0000}"/>
    <cellStyle name="Normal 75 29" xfId="51869" xr:uid="{00000000-0005-0000-0000-0000ABCA0000}"/>
    <cellStyle name="Normal 75 29 2" xfId="51870" xr:uid="{00000000-0005-0000-0000-0000ACCA0000}"/>
    <cellStyle name="Normal 75 3" xfId="51871" xr:uid="{00000000-0005-0000-0000-0000ADCA0000}"/>
    <cellStyle name="Normal 75 3 2" xfId="51872" xr:uid="{00000000-0005-0000-0000-0000AECA0000}"/>
    <cellStyle name="Normal 75 30" xfId="51873" xr:uid="{00000000-0005-0000-0000-0000AFCA0000}"/>
    <cellStyle name="Normal 75 30 2" xfId="51874" xr:uid="{00000000-0005-0000-0000-0000B0CA0000}"/>
    <cellStyle name="Normal 75 31" xfId="51875" xr:uid="{00000000-0005-0000-0000-0000B1CA0000}"/>
    <cellStyle name="Normal 75 31 2" xfId="51876" xr:uid="{00000000-0005-0000-0000-0000B2CA0000}"/>
    <cellStyle name="Normal 75 32" xfId="51877" xr:uid="{00000000-0005-0000-0000-0000B3CA0000}"/>
    <cellStyle name="Normal 75 32 2" xfId="51878" xr:uid="{00000000-0005-0000-0000-0000B4CA0000}"/>
    <cellStyle name="Normal 75 33" xfId="51879" xr:uid="{00000000-0005-0000-0000-0000B5CA0000}"/>
    <cellStyle name="Normal 75 33 2" xfId="51880" xr:uid="{00000000-0005-0000-0000-0000B6CA0000}"/>
    <cellStyle name="Normal 75 34" xfId="51881" xr:uid="{00000000-0005-0000-0000-0000B7CA0000}"/>
    <cellStyle name="Normal 75 34 2" xfId="51882" xr:uid="{00000000-0005-0000-0000-0000B8CA0000}"/>
    <cellStyle name="Normal 75 35" xfId="51883" xr:uid="{00000000-0005-0000-0000-0000B9CA0000}"/>
    <cellStyle name="Normal 75 35 2" xfId="51884" xr:uid="{00000000-0005-0000-0000-0000BACA0000}"/>
    <cellStyle name="Normal 75 36" xfId="51885" xr:uid="{00000000-0005-0000-0000-0000BBCA0000}"/>
    <cellStyle name="Normal 75 36 2" xfId="51886" xr:uid="{00000000-0005-0000-0000-0000BCCA0000}"/>
    <cellStyle name="Normal 75 37" xfId="51887" xr:uid="{00000000-0005-0000-0000-0000BDCA0000}"/>
    <cellStyle name="Normal 75 37 2" xfId="51888" xr:uid="{00000000-0005-0000-0000-0000BECA0000}"/>
    <cellStyle name="Normal 75 38" xfId="51889" xr:uid="{00000000-0005-0000-0000-0000BFCA0000}"/>
    <cellStyle name="Normal 75 38 2" xfId="51890" xr:uid="{00000000-0005-0000-0000-0000C0CA0000}"/>
    <cellStyle name="Normal 75 39" xfId="51891" xr:uid="{00000000-0005-0000-0000-0000C1CA0000}"/>
    <cellStyle name="Normal 75 39 2" xfId="51892" xr:uid="{00000000-0005-0000-0000-0000C2CA0000}"/>
    <cellStyle name="Normal 75 4" xfId="51893" xr:uid="{00000000-0005-0000-0000-0000C3CA0000}"/>
    <cellStyle name="Normal 75 4 2" xfId="51894" xr:uid="{00000000-0005-0000-0000-0000C4CA0000}"/>
    <cellStyle name="Normal 75 40" xfId="51895" xr:uid="{00000000-0005-0000-0000-0000C5CA0000}"/>
    <cellStyle name="Normal 75 40 2" xfId="51896" xr:uid="{00000000-0005-0000-0000-0000C6CA0000}"/>
    <cellStyle name="Normal 75 41" xfId="51897" xr:uid="{00000000-0005-0000-0000-0000C7CA0000}"/>
    <cellStyle name="Normal 75 41 2" xfId="51898" xr:uid="{00000000-0005-0000-0000-0000C8CA0000}"/>
    <cellStyle name="Normal 75 42" xfId="51899" xr:uid="{00000000-0005-0000-0000-0000C9CA0000}"/>
    <cellStyle name="Normal 75 42 2" xfId="51900" xr:uid="{00000000-0005-0000-0000-0000CACA0000}"/>
    <cellStyle name="Normal 75 43" xfId="51901" xr:uid="{00000000-0005-0000-0000-0000CBCA0000}"/>
    <cellStyle name="Normal 75 43 2" xfId="51902" xr:uid="{00000000-0005-0000-0000-0000CCCA0000}"/>
    <cellStyle name="Normal 75 44" xfId="51903" xr:uid="{00000000-0005-0000-0000-0000CDCA0000}"/>
    <cellStyle name="Normal 75 44 2" xfId="51904" xr:uid="{00000000-0005-0000-0000-0000CECA0000}"/>
    <cellStyle name="Normal 75 45" xfId="51905" xr:uid="{00000000-0005-0000-0000-0000CFCA0000}"/>
    <cellStyle name="Normal 75 45 2" xfId="51906" xr:uid="{00000000-0005-0000-0000-0000D0CA0000}"/>
    <cellStyle name="Normal 75 46" xfId="51907" xr:uid="{00000000-0005-0000-0000-0000D1CA0000}"/>
    <cellStyle name="Normal 75 46 2" xfId="51908" xr:uid="{00000000-0005-0000-0000-0000D2CA0000}"/>
    <cellStyle name="Normal 75 47" xfId="51909" xr:uid="{00000000-0005-0000-0000-0000D3CA0000}"/>
    <cellStyle name="Normal 75 47 2" xfId="51910" xr:uid="{00000000-0005-0000-0000-0000D4CA0000}"/>
    <cellStyle name="Normal 75 48" xfId="51911" xr:uid="{00000000-0005-0000-0000-0000D5CA0000}"/>
    <cellStyle name="Normal 75 48 2" xfId="51912" xr:uid="{00000000-0005-0000-0000-0000D6CA0000}"/>
    <cellStyle name="Normal 75 49" xfId="51913" xr:uid="{00000000-0005-0000-0000-0000D7CA0000}"/>
    <cellStyle name="Normal 75 49 2" xfId="51914" xr:uid="{00000000-0005-0000-0000-0000D8CA0000}"/>
    <cellStyle name="Normal 75 5" xfId="51915" xr:uid="{00000000-0005-0000-0000-0000D9CA0000}"/>
    <cellStyle name="Normal 75 5 2" xfId="51916" xr:uid="{00000000-0005-0000-0000-0000DACA0000}"/>
    <cellStyle name="Normal 75 50" xfId="51917" xr:uid="{00000000-0005-0000-0000-0000DBCA0000}"/>
    <cellStyle name="Normal 75 50 2" xfId="51918" xr:uid="{00000000-0005-0000-0000-0000DCCA0000}"/>
    <cellStyle name="Normal 75 51" xfId="51919" xr:uid="{00000000-0005-0000-0000-0000DDCA0000}"/>
    <cellStyle name="Normal 75 51 2" xfId="51920" xr:uid="{00000000-0005-0000-0000-0000DECA0000}"/>
    <cellStyle name="Normal 75 52" xfId="51921" xr:uid="{00000000-0005-0000-0000-0000DFCA0000}"/>
    <cellStyle name="Normal 75 52 2" xfId="51922" xr:uid="{00000000-0005-0000-0000-0000E0CA0000}"/>
    <cellStyle name="Normal 75 53" xfId="51923" xr:uid="{00000000-0005-0000-0000-0000E1CA0000}"/>
    <cellStyle name="Normal 75 53 2" xfId="51924" xr:uid="{00000000-0005-0000-0000-0000E2CA0000}"/>
    <cellStyle name="Normal 75 54" xfId="51925" xr:uid="{00000000-0005-0000-0000-0000E3CA0000}"/>
    <cellStyle name="Normal 75 54 2" xfId="51926" xr:uid="{00000000-0005-0000-0000-0000E4CA0000}"/>
    <cellStyle name="Normal 75 55" xfId="51927" xr:uid="{00000000-0005-0000-0000-0000E5CA0000}"/>
    <cellStyle name="Normal 75 55 2" xfId="51928" xr:uid="{00000000-0005-0000-0000-0000E6CA0000}"/>
    <cellStyle name="Normal 75 56" xfId="51929" xr:uid="{00000000-0005-0000-0000-0000E7CA0000}"/>
    <cellStyle name="Normal 75 56 2" xfId="51930" xr:uid="{00000000-0005-0000-0000-0000E8CA0000}"/>
    <cellStyle name="Normal 75 57" xfId="51931" xr:uid="{00000000-0005-0000-0000-0000E9CA0000}"/>
    <cellStyle name="Normal 75 57 2" xfId="51932" xr:uid="{00000000-0005-0000-0000-0000EACA0000}"/>
    <cellStyle name="Normal 75 58" xfId="51933" xr:uid="{00000000-0005-0000-0000-0000EBCA0000}"/>
    <cellStyle name="Normal 75 58 2" xfId="51934" xr:uid="{00000000-0005-0000-0000-0000ECCA0000}"/>
    <cellStyle name="Normal 75 59" xfId="51935" xr:uid="{00000000-0005-0000-0000-0000EDCA0000}"/>
    <cellStyle name="Normal 75 6" xfId="51936" xr:uid="{00000000-0005-0000-0000-0000EECA0000}"/>
    <cellStyle name="Normal 75 6 2" xfId="51937" xr:uid="{00000000-0005-0000-0000-0000EFCA0000}"/>
    <cellStyle name="Normal 75 7" xfId="51938" xr:uid="{00000000-0005-0000-0000-0000F0CA0000}"/>
    <cellStyle name="Normal 75 7 2" xfId="51939" xr:uid="{00000000-0005-0000-0000-0000F1CA0000}"/>
    <cellStyle name="Normal 75 8" xfId="51940" xr:uid="{00000000-0005-0000-0000-0000F2CA0000}"/>
    <cellStyle name="Normal 75 8 2" xfId="51941" xr:uid="{00000000-0005-0000-0000-0000F3CA0000}"/>
    <cellStyle name="Normal 75 9" xfId="51942" xr:uid="{00000000-0005-0000-0000-0000F4CA0000}"/>
    <cellStyle name="Normal 75 9 2" xfId="51943" xr:uid="{00000000-0005-0000-0000-0000F5CA0000}"/>
    <cellStyle name="Normal 76" xfId="51944" xr:uid="{00000000-0005-0000-0000-0000F6CA0000}"/>
    <cellStyle name="Normal 76 10" xfId="51945" xr:uid="{00000000-0005-0000-0000-0000F7CA0000}"/>
    <cellStyle name="Normal 76 10 2" xfId="51946" xr:uid="{00000000-0005-0000-0000-0000F8CA0000}"/>
    <cellStyle name="Normal 76 11" xfId="51947" xr:uid="{00000000-0005-0000-0000-0000F9CA0000}"/>
    <cellStyle name="Normal 76 11 2" xfId="51948" xr:uid="{00000000-0005-0000-0000-0000FACA0000}"/>
    <cellStyle name="Normal 76 12" xfId="51949" xr:uid="{00000000-0005-0000-0000-0000FBCA0000}"/>
    <cellStyle name="Normal 76 12 2" xfId="51950" xr:uid="{00000000-0005-0000-0000-0000FCCA0000}"/>
    <cellStyle name="Normal 76 13" xfId="51951" xr:uid="{00000000-0005-0000-0000-0000FDCA0000}"/>
    <cellStyle name="Normal 76 13 2" xfId="51952" xr:uid="{00000000-0005-0000-0000-0000FECA0000}"/>
    <cellStyle name="Normal 76 14" xfId="51953" xr:uid="{00000000-0005-0000-0000-0000FFCA0000}"/>
    <cellStyle name="Normal 76 14 2" xfId="51954" xr:uid="{00000000-0005-0000-0000-000000CB0000}"/>
    <cellStyle name="Normal 76 15" xfId="51955" xr:uid="{00000000-0005-0000-0000-000001CB0000}"/>
    <cellStyle name="Normal 76 15 2" xfId="51956" xr:uid="{00000000-0005-0000-0000-000002CB0000}"/>
    <cellStyle name="Normal 76 16" xfId="51957" xr:uid="{00000000-0005-0000-0000-000003CB0000}"/>
    <cellStyle name="Normal 76 16 2" xfId="51958" xr:uid="{00000000-0005-0000-0000-000004CB0000}"/>
    <cellStyle name="Normal 76 17" xfId="51959" xr:uid="{00000000-0005-0000-0000-000005CB0000}"/>
    <cellStyle name="Normal 76 17 2" xfId="51960" xr:uid="{00000000-0005-0000-0000-000006CB0000}"/>
    <cellStyle name="Normal 76 18" xfId="51961" xr:uid="{00000000-0005-0000-0000-000007CB0000}"/>
    <cellStyle name="Normal 76 18 2" xfId="51962" xr:uid="{00000000-0005-0000-0000-000008CB0000}"/>
    <cellStyle name="Normal 76 19" xfId="51963" xr:uid="{00000000-0005-0000-0000-000009CB0000}"/>
    <cellStyle name="Normal 76 19 2" xfId="51964" xr:uid="{00000000-0005-0000-0000-00000ACB0000}"/>
    <cellStyle name="Normal 76 2" xfId="51965" xr:uid="{00000000-0005-0000-0000-00000BCB0000}"/>
    <cellStyle name="Normal 76 2 2" xfId="51966" xr:uid="{00000000-0005-0000-0000-00000CCB0000}"/>
    <cellStyle name="Normal 76 20" xfId="51967" xr:uid="{00000000-0005-0000-0000-00000DCB0000}"/>
    <cellStyle name="Normal 76 20 2" xfId="51968" xr:uid="{00000000-0005-0000-0000-00000ECB0000}"/>
    <cellStyle name="Normal 76 21" xfId="51969" xr:uid="{00000000-0005-0000-0000-00000FCB0000}"/>
    <cellStyle name="Normal 76 21 2" xfId="51970" xr:uid="{00000000-0005-0000-0000-000010CB0000}"/>
    <cellStyle name="Normal 76 22" xfId="51971" xr:uid="{00000000-0005-0000-0000-000011CB0000}"/>
    <cellStyle name="Normal 76 22 2" xfId="51972" xr:uid="{00000000-0005-0000-0000-000012CB0000}"/>
    <cellStyle name="Normal 76 23" xfId="51973" xr:uid="{00000000-0005-0000-0000-000013CB0000}"/>
    <cellStyle name="Normal 76 23 2" xfId="51974" xr:uid="{00000000-0005-0000-0000-000014CB0000}"/>
    <cellStyle name="Normal 76 24" xfId="51975" xr:uid="{00000000-0005-0000-0000-000015CB0000}"/>
    <cellStyle name="Normal 76 24 2" xfId="51976" xr:uid="{00000000-0005-0000-0000-000016CB0000}"/>
    <cellStyle name="Normal 76 25" xfId="51977" xr:uid="{00000000-0005-0000-0000-000017CB0000}"/>
    <cellStyle name="Normal 76 25 2" xfId="51978" xr:uid="{00000000-0005-0000-0000-000018CB0000}"/>
    <cellStyle name="Normal 76 26" xfId="51979" xr:uid="{00000000-0005-0000-0000-000019CB0000}"/>
    <cellStyle name="Normal 76 26 2" xfId="51980" xr:uid="{00000000-0005-0000-0000-00001ACB0000}"/>
    <cellStyle name="Normal 76 27" xfId="51981" xr:uid="{00000000-0005-0000-0000-00001BCB0000}"/>
    <cellStyle name="Normal 76 27 2" xfId="51982" xr:uid="{00000000-0005-0000-0000-00001CCB0000}"/>
    <cellStyle name="Normal 76 28" xfId="51983" xr:uid="{00000000-0005-0000-0000-00001DCB0000}"/>
    <cellStyle name="Normal 76 28 2" xfId="51984" xr:uid="{00000000-0005-0000-0000-00001ECB0000}"/>
    <cellStyle name="Normal 76 29" xfId="51985" xr:uid="{00000000-0005-0000-0000-00001FCB0000}"/>
    <cellStyle name="Normal 76 29 2" xfId="51986" xr:uid="{00000000-0005-0000-0000-000020CB0000}"/>
    <cellStyle name="Normal 76 3" xfId="51987" xr:uid="{00000000-0005-0000-0000-000021CB0000}"/>
    <cellStyle name="Normal 76 3 2" xfId="51988" xr:uid="{00000000-0005-0000-0000-000022CB0000}"/>
    <cellStyle name="Normal 76 30" xfId="51989" xr:uid="{00000000-0005-0000-0000-000023CB0000}"/>
    <cellStyle name="Normal 76 30 2" xfId="51990" xr:uid="{00000000-0005-0000-0000-000024CB0000}"/>
    <cellStyle name="Normal 76 31" xfId="51991" xr:uid="{00000000-0005-0000-0000-000025CB0000}"/>
    <cellStyle name="Normal 76 31 2" xfId="51992" xr:uid="{00000000-0005-0000-0000-000026CB0000}"/>
    <cellStyle name="Normal 76 32" xfId="51993" xr:uid="{00000000-0005-0000-0000-000027CB0000}"/>
    <cellStyle name="Normal 76 32 2" xfId="51994" xr:uid="{00000000-0005-0000-0000-000028CB0000}"/>
    <cellStyle name="Normal 76 33" xfId="51995" xr:uid="{00000000-0005-0000-0000-000029CB0000}"/>
    <cellStyle name="Normal 76 33 2" xfId="51996" xr:uid="{00000000-0005-0000-0000-00002ACB0000}"/>
    <cellStyle name="Normal 76 34" xfId="51997" xr:uid="{00000000-0005-0000-0000-00002BCB0000}"/>
    <cellStyle name="Normal 76 34 2" xfId="51998" xr:uid="{00000000-0005-0000-0000-00002CCB0000}"/>
    <cellStyle name="Normal 76 35" xfId="51999" xr:uid="{00000000-0005-0000-0000-00002DCB0000}"/>
    <cellStyle name="Normal 76 35 2" xfId="52000" xr:uid="{00000000-0005-0000-0000-00002ECB0000}"/>
    <cellStyle name="Normal 76 36" xfId="52001" xr:uid="{00000000-0005-0000-0000-00002FCB0000}"/>
    <cellStyle name="Normal 76 36 2" xfId="52002" xr:uid="{00000000-0005-0000-0000-000030CB0000}"/>
    <cellStyle name="Normal 76 37" xfId="52003" xr:uid="{00000000-0005-0000-0000-000031CB0000}"/>
    <cellStyle name="Normal 76 37 2" xfId="52004" xr:uid="{00000000-0005-0000-0000-000032CB0000}"/>
    <cellStyle name="Normal 76 38" xfId="52005" xr:uid="{00000000-0005-0000-0000-000033CB0000}"/>
    <cellStyle name="Normal 76 38 2" xfId="52006" xr:uid="{00000000-0005-0000-0000-000034CB0000}"/>
    <cellStyle name="Normal 76 39" xfId="52007" xr:uid="{00000000-0005-0000-0000-000035CB0000}"/>
    <cellStyle name="Normal 76 39 2" xfId="52008" xr:uid="{00000000-0005-0000-0000-000036CB0000}"/>
    <cellStyle name="Normal 76 4" xfId="52009" xr:uid="{00000000-0005-0000-0000-000037CB0000}"/>
    <cellStyle name="Normal 76 4 2" xfId="52010" xr:uid="{00000000-0005-0000-0000-000038CB0000}"/>
    <cellStyle name="Normal 76 40" xfId="52011" xr:uid="{00000000-0005-0000-0000-000039CB0000}"/>
    <cellStyle name="Normal 76 40 2" xfId="52012" xr:uid="{00000000-0005-0000-0000-00003ACB0000}"/>
    <cellStyle name="Normal 76 41" xfId="52013" xr:uid="{00000000-0005-0000-0000-00003BCB0000}"/>
    <cellStyle name="Normal 76 41 2" xfId="52014" xr:uid="{00000000-0005-0000-0000-00003CCB0000}"/>
    <cellStyle name="Normal 76 42" xfId="52015" xr:uid="{00000000-0005-0000-0000-00003DCB0000}"/>
    <cellStyle name="Normal 76 42 2" xfId="52016" xr:uid="{00000000-0005-0000-0000-00003ECB0000}"/>
    <cellStyle name="Normal 76 43" xfId="52017" xr:uid="{00000000-0005-0000-0000-00003FCB0000}"/>
    <cellStyle name="Normal 76 43 2" xfId="52018" xr:uid="{00000000-0005-0000-0000-000040CB0000}"/>
    <cellStyle name="Normal 76 44" xfId="52019" xr:uid="{00000000-0005-0000-0000-000041CB0000}"/>
    <cellStyle name="Normal 76 44 2" xfId="52020" xr:uid="{00000000-0005-0000-0000-000042CB0000}"/>
    <cellStyle name="Normal 76 45" xfId="52021" xr:uid="{00000000-0005-0000-0000-000043CB0000}"/>
    <cellStyle name="Normal 76 45 2" xfId="52022" xr:uid="{00000000-0005-0000-0000-000044CB0000}"/>
    <cellStyle name="Normal 76 46" xfId="52023" xr:uid="{00000000-0005-0000-0000-000045CB0000}"/>
    <cellStyle name="Normal 76 46 2" xfId="52024" xr:uid="{00000000-0005-0000-0000-000046CB0000}"/>
    <cellStyle name="Normal 76 47" xfId="52025" xr:uid="{00000000-0005-0000-0000-000047CB0000}"/>
    <cellStyle name="Normal 76 47 2" xfId="52026" xr:uid="{00000000-0005-0000-0000-000048CB0000}"/>
    <cellStyle name="Normal 76 48" xfId="52027" xr:uid="{00000000-0005-0000-0000-000049CB0000}"/>
    <cellStyle name="Normal 76 48 2" xfId="52028" xr:uid="{00000000-0005-0000-0000-00004ACB0000}"/>
    <cellStyle name="Normal 76 49" xfId="52029" xr:uid="{00000000-0005-0000-0000-00004BCB0000}"/>
    <cellStyle name="Normal 76 49 2" xfId="52030" xr:uid="{00000000-0005-0000-0000-00004CCB0000}"/>
    <cellStyle name="Normal 76 5" xfId="52031" xr:uid="{00000000-0005-0000-0000-00004DCB0000}"/>
    <cellStyle name="Normal 76 5 2" xfId="52032" xr:uid="{00000000-0005-0000-0000-00004ECB0000}"/>
    <cellStyle name="Normal 76 50" xfId="52033" xr:uid="{00000000-0005-0000-0000-00004FCB0000}"/>
    <cellStyle name="Normal 76 50 2" xfId="52034" xr:uid="{00000000-0005-0000-0000-000050CB0000}"/>
    <cellStyle name="Normal 76 51" xfId="52035" xr:uid="{00000000-0005-0000-0000-000051CB0000}"/>
    <cellStyle name="Normal 76 51 2" xfId="52036" xr:uid="{00000000-0005-0000-0000-000052CB0000}"/>
    <cellStyle name="Normal 76 52" xfId="52037" xr:uid="{00000000-0005-0000-0000-000053CB0000}"/>
    <cellStyle name="Normal 76 52 2" xfId="52038" xr:uid="{00000000-0005-0000-0000-000054CB0000}"/>
    <cellStyle name="Normal 76 53" xfId="52039" xr:uid="{00000000-0005-0000-0000-000055CB0000}"/>
    <cellStyle name="Normal 76 53 2" xfId="52040" xr:uid="{00000000-0005-0000-0000-000056CB0000}"/>
    <cellStyle name="Normal 76 54" xfId="52041" xr:uid="{00000000-0005-0000-0000-000057CB0000}"/>
    <cellStyle name="Normal 76 54 2" xfId="52042" xr:uid="{00000000-0005-0000-0000-000058CB0000}"/>
    <cellStyle name="Normal 76 55" xfId="52043" xr:uid="{00000000-0005-0000-0000-000059CB0000}"/>
    <cellStyle name="Normal 76 55 2" xfId="52044" xr:uid="{00000000-0005-0000-0000-00005ACB0000}"/>
    <cellStyle name="Normal 76 56" xfId="52045" xr:uid="{00000000-0005-0000-0000-00005BCB0000}"/>
    <cellStyle name="Normal 76 56 2" xfId="52046" xr:uid="{00000000-0005-0000-0000-00005CCB0000}"/>
    <cellStyle name="Normal 76 57" xfId="52047" xr:uid="{00000000-0005-0000-0000-00005DCB0000}"/>
    <cellStyle name="Normal 76 57 2" xfId="52048" xr:uid="{00000000-0005-0000-0000-00005ECB0000}"/>
    <cellStyle name="Normal 76 58" xfId="52049" xr:uid="{00000000-0005-0000-0000-00005FCB0000}"/>
    <cellStyle name="Normal 76 58 2" xfId="52050" xr:uid="{00000000-0005-0000-0000-000060CB0000}"/>
    <cellStyle name="Normal 76 59" xfId="52051" xr:uid="{00000000-0005-0000-0000-000061CB0000}"/>
    <cellStyle name="Normal 76 6" xfId="52052" xr:uid="{00000000-0005-0000-0000-000062CB0000}"/>
    <cellStyle name="Normal 76 6 2" xfId="52053" xr:uid="{00000000-0005-0000-0000-000063CB0000}"/>
    <cellStyle name="Normal 76 7" xfId="52054" xr:uid="{00000000-0005-0000-0000-000064CB0000}"/>
    <cellStyle name="Normal 76 7 2" xfId="52055" xr:uid="{00000000-0005-0000-0000-000065CB0000}"/>
    <cellStyle name="Normal 76 8" xfId="52056" xr:uid="{00000000-0005-0000-0000-000066CB0000}"/>
    <cellStyle name="Normal 76 8 2" xfId="52057" xr:uid="{00000000-0005-0000-0000-000067CB0000}"/>
    <cellStyle name="Normal 76 9" xfId="52058" xr:uid="{00000000-0005-0000-0000-000068CB0000}"/>
    <cellStyle name="Normal 76 9 2" xfId="52059" xr:uid="{00000000-0005-0000-0000-000069CB0000}"/>
    <cellStyle name="Normal 77" xfId="52060" xr:uid="{00000000-0005-0000-0000-00006ACB0000}"/>
    <cellStyle name="Normal 77 10" xfId="52061" xr:uid="{00000000-0005-0000-0000-00006BCB0000}"/>
    <cellStyle name="Normal 77 10 2" xfId="52062" xr:uid="{00000000-0005-0000-0000-00006CCB0000}"/>
    <cellStyle name="Normal 77 11" xfId="52063" xr:uid="{00000000-0005-0000-0000-00006DCB0000}"/>
    <cellStyle name="Normal 77 11 2" xfId="52064" xr:uid="{00000000-0005-0000-0000-00006ECB0000}"/>
    <cellStyle name="Normal 77 12" xfId="52065" xr:uid="{00000000-0005-0000-0000-00006FCB0000}"/>
    <cellStyle name="Normal 77 12 2" xfId="52066" xr:uid="{00000000-0005-0000-0000-000070CB0000}"/>
    <cellStyle name="Normal 77 13" xfId="52067" xr:uid="{00000000-0005-0000-0000-000071CB0000}"/>
    <cellStyle name="Normal 77 13 2" xfId="52068" xr:uid="{00000000-0005-0000-0000-000072CB0000}"/>
    <cellStyle name="Normal 77 14" xfId="52069" xr:uid="{00000000-0005-0000-0000-000073CB0000}"/>
    <cellStyle name="Normal 77 14 2" xfId="52070" xr:uid="{00000000-0005-0000-0000-000074CB0000}"/>
    <cellStyle name="Normal 77 15" xfId="52071" xr:uid="{00000000-0005-0000-0000-000075CB0000}"/>
    <cellStyle name="Normal 77 15 2" xfId="52072" xr:uid="{00000000-0005-0000-0000-000076CB0000}"/>
    <cellStyle name="Normal 77 16" xfId="52073" xr:uid="{00000000-0005-0000-0000-000077CB0000}"/>
    <cellStyle name="Normal 77 16 2" xfId="52074" xr:uid="{00000000-0005-0000-0000-000078CB0000}"/>
    <cellStyle name="Normal 77 17" xfId="52075" xr:uid="{00000000-0005-0000-0000-000079CB0000}"/>
    <cellStyle name="Normal 77 17 2" xfId="52076" xr:uid="{00000000-0005-0000-0000-00007ACB0000}"/>
    <cellStyle name="Normal 77 18" xfId="52077" xr:uid="{00000000-0005-0000-0000-00007BCB0000}"/>
    <cellStyle name="Normal 77 18 2" xfId="52078" xr:uid="{00000000-0005-0000-0000-00007CCB0000}"/>
    <cellStyle name="Normal 77 19" xfId="52079" xr:uid="{00000000-0005-0000-0000-00007DCB0000}"/>
    <cellStyle name="Normal 77 19 2" xfId="52080" xr:uid="{00000000-0005-0000-0000-00007ECB0000}"/>
    <cellStyle name="Normal 77 2" xfId="52081" xr:uid="{00000000-0005-0000-0000-00007FCB0000}"/>
    <cellStyle name="Normal 77 2 2" xfId="52082" xr:uid="{00000000-0005-0000-0000-000080CB0000}"/>
    <cellStyle name="Normal 77 20" xfId="52083" xr:uid="{00000000-0005-0000-0000-000081CB0000}"/>
    <cellStyle name="Normal 77 20 2" xfId="52084" xr:uid="{00000000-0005-0000-0000-000082CB0000}"/>
    <cellStyle name="Normal 77 21" xfId="52085" xr:uid="{00000000-0005-0000-0000-000083CB0000}"/>
    <cellStyle name="Normal 77 21 2" xfId="52086" xr:uid="{00000000-0005-0000-0000-000084CB0000}"/>
    <cellStyle name="Normal 77 22" xfId="52087" xr:uid="{00000000-0005-0000-0000-000085CB0000}"/>
    <cellStyle name="Normal 77 22 2" xfId="52088" xr:uid="{00000000-0005-0000-0000-000086CB0000}"/>
    <cellStyle name="Normal 77 23" xfId="52089" xr:uid="{00000000-0005-0000-0000-000087CB0000}"/>
    <cellStyle name="Normal 77 23 2" xfId="52090" xr:uid="{00000000-0005-0000-0000-000088CB0000}"/>
    <cellStyle name="Normal 77 24" xfId="52091" xr:uid="{00000000-0005-0000-0000-000089CB0000}"/>
    <cellStyle name="Normal 77 24 2" xfId="52092" xr:uid="{00000000-0005-0000-0000-00008ACB0000}"/>
    <cellStyle name="Normal 77 25" xfId="52093" xr:uid="{00000000-0005-0000-0000-00008BCB0000}"/>
    <cellStyle name="Normal 77 25 2" xfId="52094" xr:uid="{00000000-0005-0000-0000-00008CCB0000}"/>
    <cellStyle name="Normal 77 26" xfId="52095" xr:uid="{00000000-0005-0000-0000-00008DCB0000}"/>
    <cellStyle name="Normal 77 26 2" xfId="52096" xr:uid="{00000000-0005-0000-0000-00008ECB0000}"/>
    <cellStyle name="Normal 77 27" xfId="52097" xr:uid="{00000000-0005-0000-0000-00008FCB0000}"/>
    <cellStyle name="Normal 77 27 2" xfId="52098" xr:uid="{00000000-0005-0000-0000-000090CB0000}"/>
    <cellStyle name="Normal 77 28" xfId="52099" xr:uid="{00000000-0005-0000-0000-000091CB0000}"/>
    <cellStyle name="Normal 77 28 2" xfId="52100" xr:uid="{00000000-0005-0000-0000-000092CB0000}"/>
    <cellStyle name="Normal 77 29" xfId="52101" xr:uid="{00000000-0005-0000-0000-000093CB0000}"/>
    <cellStyle name="Normal 77 29 2" xfId="52102" xr:uid="{00000000-0005-0000-0000-000094CB0000}"/>
    <cellStyle name="Normal 77 3" xfId="52103" xr:uid="{00000000-0005-0000-0000-000095CB0000}"/>
    <cellStyle name="Normal 77 3 2" xfId="52104" xr:uid="{00000000-0005-0000-0000-000096CB0000}"/>
    <cellStyle name="Normal 77 30" xfId="52105" xr:uid="{00000000-0005-0000-0000-000097CB0000}"/>
    <cellStyle name="Normal 77 30 2" xfId="52106" xr:uid="{00000000-0005-0000-0000-000098CB0000}"/>
    <cellStyle name="Normal 77 31" xfId="52107" xr:uid="{00000000-0005-0000-0000-000099CB0000}"/>
    <cellStyle name="Normal 77 31 2" xfId="52108" xr:uid="{00000000-0005-0000-0000-00009ACB0000}"/>
    <cellStyle name="Normal 77 32" xfId="52109" xr:uid="{00000000-0005-0000-0000-00009BCB0000}"/>
    <cellStyle name="Normal 77 32 2" xfId="52110" xr:uid="{00000000-0005-0000-0000-00009CCB0000}"/>
    <cellStyle name="Normal 77 33" xfId="52111" xr:uid="{00000000-0005-0000-0000-00009DCB0000}"/>
    <cellStyle name="Normal 77 33 2" xfId="52112" xr:uid="{00000000-0005-0000-0000-00009ECB0000}"/>
    <cellStyle name="Normal 77 34" xfId="52113" xr:uid="{00000000-0005-0000-0000-00009FCB0000}"/>
    <cellStyle name="Normal 77 34 2" xfId="52114" xr:uid="{00000000-0005-0000-0000-0000A0CB0000}"/>
    <cellStyle name="Normal 77 35" xfId="52115" xr:uid="{00000000-0005-0000-0000-0000A1CB0000}"/>
    <cellStyle name="Normal 77 35 2" xfId="52116" xr:uid="{00000000-0005-0000-0000-0000A2CB0000}"/>
    <cellStyle name="Normal 77 36" xfId="52117" xr:uid="{00000000-0005-0000-0000-0000A3CB0000}"/>
    <cellStyle name="Normal 77 36 2" xfId="52118" xr:uid="{00000000-0005-0000-0000-0000A4CB0000}"/>
    <cellStyle name="Normal 77 37" xfId="52119" xr:uid="{00000000-0005-0000-0000-0000A5CB0000}"/>
    <cellStyle name="Normal 77 37 2" xfId="52120" xr:uid="{00000000-0005-0000-0000-0000A6CB0000}"/>
    <cellStyle name="Normal 77 38" xfId="52121" xr:uid="{00000000-0005-0000-0000-0000A7CB0000}"/>
    <cellStyle name="Normal 77 38 2" xfId="52122" xr:uid="{00000000-0005-0000-0000-0000A8CB0000}"/>
    <cellStyle name="Normal 77 39" xfId="52123" xr:uid="{00000000-0005-0000-0000-0000A9CB0000}"/>
    <cellStyle name="Normal 77 39 2" xfId="52124" xr:uid="{00000000-0005-0000-0000-0000AACB0000}"/>
    <cellStyle name="Normal 77 4" xfId="52125" xr:uid="{00000000-0005-0000-0000-0000ABCB0000}"/>
    <cellStyle name="Normal 77 4 2" xfId="52126" xr:uid="{00000000-0005-0000-0000-0000ACCB0000}"/>
    <cellStyle name="Normal 77 40" xfId="52127" xr:uid="{00000000-0005-0000-0000-0000ADCB0000}"/>
    <cellStyle name="Normal 77 40 2" xfId="52128" xr:uid="{00000000-0005-0000-0000-0000AECB0000}"/>
    <cellStyle name="Normal 77 41" xfId="52129" xr:uid="{00000000-0005-0000-0000-0000AFCB0000}"/>
    <cellStyle name="Normal 77 41 2" xfId="52130" xr:uid="{00000000-0005-0000-0000-0000B0CB0000}"/>
    <cellStyle name="Normal 77 42" xfId="52131" xr:uid="{00000000-0005-0000-0000-0000B1CB0000}"/>
    <cellStyle name="Normal 77 42 2" xfId="52132" xr:uid="{00000000-0005-0000-0000-0000B2CB0000}"/>
    <cellStyle name="Normal 77 43" xfId="52133" xr:uid="{00000000-0005-0000-0000-0000B3CB0000}"/>
    <cellStyle name="Normal 77 43 2" xfId="52134" xr:uid="{00000000-0005-0000-0000-0000B4CB0000}"/>
    <cellStyle name="Normal 77 44" xfId="52135" xr:uid="{00000000-0005-0000-0000-0000B5CB0000}"/>
    <cellStyle name="Normal 77 44 2" xfId="52136" xr:uid="{00000000-0005-0000-0000-0000B6CB0000}"/>
    <cellStyle name="Normal 77 45" xfId="52137" xr:uid="{00000000-0005-0000-0000-0000B7CB0000}"/>
    <cellStyle name="Normal 77 45 2" xfId="52138" xr:uid="{00000000-0005-0000-0000-0000B8CB0000}"/>
    <cellStyle name="Normal 77 46" xfId="52139" xr:uid="{00000000-0005-0000-0000-0000B9CB0000}"/>
    <cellStyle name="Normal 77 46 2" xfId="52140" xr:uid="{00000000-0005-0000-0000-0000BACB0000}"/>
    <cellStyle name="Normal 77 47" xfId="52141" xr:uid="{00000000-0005-0000-0000-0000BBCB0000}"/>
    <cellStyle name="Normal 77 47 2" xfId="52142" xr:uid="{00000000-0005-0000-0000-0000BCCB0000}"/>
    <cellStyle name="Normal 77 48" xfId="52143" xr:uid="{00000000-0005-0000-0000-0000BDCB0000}"/>
    <cellStyle name="Normal 77 48 2" xfId="52144" xr:uid="{00000000-0005-0000-0000-0000BECB0000}"/>
    <cellStyle name="Normal 77 49" xfId="52145" xr:uid="{00000000-0005-0000-0000-0000BFCB0000}"/>
    <cellStyle name="Normal 77 49 2" xfId="52146" xr:uid="{00000000-0005-0000-0000-0000C0CB0000}"/>
    <cellStyle name="Normal 77 5" xfId="52147" xr:uid="{00000000-0005-0000-0000-0000C1CB0000}"/>
    <cellStyle name="Normal 77 5 2" xfId="52148" xr:uid="{00000000-0005-0000-0000-0000C2CB0000}"/>
    <cellStyle name="Normal 77 50" xfId="52149" xr:uid="{00000000-0005-0000-0000-0000C3CB0000}"/>
    <cellStyle name="Normal 77 50 2" xfId="52150" xr:uid="{00000000-0005-0000-0000-0000C4CB0000}"/>
    <cellStyle name="Normal 77 51" xfId="52151" xr:uid="{00000000-0005-0000-0000-0000C5CB0000}"/>
    <cellStyle name="Normal 77 51 2" xfId="52152" xr:uid="{00000000-0005-0000-0000-0000C6CB0000}"/>
    <cellStyle name="Normal 77 52" xfId="52153" xr:uid="{00000000-0005-0000-0000-0000C7CB0000}"/>
    <cellStyle name="Normal 77 52 2" xfId="52154" xr:uid="{00000000-0005-0000-0000-0000C8CB0000}"/>
    <cellStyle name="Normal 77 53" xfId="52155" xr:uid="{00000000-0005-0000-0000-0000C9CB0000}"/>
    <cellStyle name="Normal 77 53 2" xfId="52156" xr:uid="{00000000-0005-0000-0000-0000CACB0000}"/>
    <cellStyle name="Normal 77 54" xfId="52157" xr:uid="{00000000-0005-0000-0000-0000CBCB0000}"/>
    <cellStyle name="Normal 77 54 2" xfId="52158" xr:uid="{00000000-0005-0000-0000-0000CCCB0000}"/>
    <cellStyle name="Normal 77 55" xfId="52159" xr:uid="{00000000-0005-0000-0000-0000CDCB0000}"/>
    <cellStyle name="Normal 77 55 2" xfId="52160" xr:uid="{00000000-0005-0000-0000-0000CECB0000}"/>
    <cellStyle name="Normal 77 56" xfId="52161" xr:uid="{00000000-0005-0000-0000-0000CFCB0000}"/>
    <cellStyle name="Normal 77 56 2" xfId="52162" xr:uid="{00000000-0005-0000-0000-0000D0CB0000}"/>
    <cellStyle name="Normal 77 57" xfId="52163" xr:uid="{00000000-0005-0000-0000-0000D1CB0000}"/>
    <cellStyle name="Normal 77 57 2" xfId="52164" xr:uid="{00000000-0005-0000-0000-0000D2CB0000}"/>
    <cellStyle name="Normal 77 58" xfId="52165" xr:uid="{00000000-0005-0000-0000-0000D3CB0000}"/>
    <cellStyle name="Normal 77 58 2" xfId="52166" xr:uid="{00000000-0005-0000-0000-0000D4CB0000}"/>
    <cellStyle name="Normal 77 59" xfId="52167" xr:uid="{00000000-0005-0000-0000-0000D5CB0000}"/>
    <cellStyle name="Normal 77 6" xfId="52168" xr:uid="{00000000-0005-0000-0000-0000D6CB0000}"/>
    <cellStyle name="Normal 77 6 2" xfId="52169" xr:uid="{00000000-0005-0000-0000-0000D7CB0000}"/>
    <cellStyle name="Normal 77 7" xfId="52170" xr:uid="{00000000-0005-0000-0000-0000D8CB0000}"/>
    <cellStyle name="Normal 77 7 2" xfId="52171" xr:uid="{00000000-0005-0000-0000-0000D9CB0000}"/>
    <cellStyle name="Normal 77 8" xfId="52172" xr:uid="{00000000-0005-0000-0000-0000DACB0000}"/>
    <cellStyle name="Normal 77 8 2" xfId="52173" xr:uid="{00000000-0005-0000-0000-0000DBCB0000}"/>
    <cellStyle name="Normal 77 9" xfId="52174" xr:uid="{00000000-0005-0000-0000-0000DCCB0000}"/>
    <cellStyle name="Normal 77 9 2" xfId="52175" xr:uid="{00000000-0005-0000-0000-0000DDCB0000}"/>
    <cellStyle name="Normal 78" xfId="52176" xr:uid="{00000000-0005-0000-0000-0000DECB0000}"/>
    <cellStyle name="Normal 78 2" xfId="52177" xr:uid="{00000000-0005-0000-0000-0000DFCB0000}"/>
    <cellStyle name="Normal 78 2 2" xfId="52178" xr:uid="{00000000-0005-0000-0000-0000E0CB0000}"/>
    <cellStyle name="Normal 78 3" xfId="52179" xr:uid="{00000000-0005-0000-0000-0000E1CB0000}"/>
    <cellStyle name="Normal 79" xfId="52180" xr:uid="{00000000-0005-0000-0000-0000E2CB0000}"/>
    <cellStyle name="Normal 79 2" xfId="52181" xr:uid="{00000000-0005-0000-0000-0000E3CB0000}"/>
    <cellStyle name="Normal 79 2 2" xfId="52182" xr:uid="{00000000-0005-0000-0000-0000E4CB0000}"/>
    <cellStyle name="Normal 79 3" xfId="52183" xr:uid="{00000000-0005-0000-0000-0000E5CB0000}"/>
    <cellStyle name="Normal 79 3 2" xfId="52184" xr:uid="{00000000-0005-0000-0000-0000E6CB0000}"/>
    <cellStyle name="Normal 79 4" xfId="52185" xr:uid="{00000000-0005-0000-0000-0000E7CB0000}"/>
    <cellStyle name="Normal 79 4 2" xfId="52186" xr:uid="{00000000-0005-0000-0000-0000E8CB0000}"/>
    <cellStyle name="Normal 79 5" xfId="52187" xr:uid="{00000000-0005-0000-0000-0000E9CB0000}"/>
    <cellStyle name="Normal 79 5 2" xfId="52188" xr:uid="{00000000-0005-0000-0000-0000EACB0000}"/>
    <cellStyle name="Normal 79 6" xfId="52189" xr:uid="{00000000-0005-0000-0000-0000EBCB0000}"/>
    <cellStyle name="Normal 79 6 2" xfId="52190" xr:uid="{00000000-0005-0000-0000-0000ECCB0000}"/>
    <cellStyle name="Normal 79 6 3" xfId="52191" xr:uid="{00000000-0005-0000-0000-0000EDCB0000}"/>
    <cellStyle name="Normal 79 7" xfId="52192" xr:uid="{00000000-0005-0000-0000-0000EECB0000}"/>
    <cellStyle name="Normal 8" xfId="52193" xr:uid="{00000000-0005-0000-0000-0000EFCB0000}"/>
    <cellStyle name="Normal 8 10" xfId="52194" xr:uid="{00000000-0005-0000-0000-0000F0CB0000}"/>
    <cellStyle name="Normal 8 10 2" xfId="52195" xr:uid="{00000000-0005-0000-0000-0000F1CB0000}"/>
    <cellStyle name="Normal 8 11" xfId="52196" xr:uid="{00000000-0005-0000-0000-0000F2CB0000}"/>
    <cellStyle name="Normal 8 11 2" xfId="52197" xr:uid="{00000000-0005-0000-0000-0000F3CB0000}"/>
    <cellStyle name="Normal 8 12" xfId="52198" xr:uid="{00000000-0005-0000-0000-0000F4CB0000}"/>
    <cellStyle name="Normal 8 12 2" xfId="52199" xr:uid="{00000000-0005-0000-0000-0000F5CB0000}"/>
    <cellStyle name="Normal 8 13" xfId="52200" xr:uid="{00000000-0005-0000-0000-0000F6CB0000}"/>
    <cellStyle name="Normal 8 13 2" xfId="52201" xr:uid="{00000000-0005-0000-0000-0000F7CB0000}"/>
    <cellStyle name="Normal 8 14" xfId="52202" xr:uid="{00000000-0005-0000-0000-0000F8CB0000}"/>
    <cellStyle name="Normal 8 14 2" xfId="52203" xr:uid="{00000000-0005-0000-0000-0000F9CB0000}"/>
    <cellStyle name="Normal 8 15" xfId="52204" xr:uid="{00000000-0005-0000-0000-0000FACB0000}"/>
    <cellStyle name="Normal 8 15 2" xfId="52205" xr:uid="{00000000-0005-0000-0000-0000FBCB0000}"/>
    <cellStyle name="Normal 8 16" xfId="52206" xr:uid="{00000000-0005-0000-0000-0000FCCB0000}"/>
    <cellStyle name="Normal 8 16 2" xfId="52207" xr:uid="{00000000-0005-0000-0000-0000FDCB0000}"/>
    <cellStyle name="Normal 8 17" xfId="52208" xr:uid="{00000000-0005-0000-0000-0000FECB0000}"/>
    <cellStyle name="Normal 8 17 2" xfId="52209" xr:uid="{00000000-0005-0000-0000-0000FFCB0000}"/>
    <cellStyle name="Normal 8 18" xfId="52210" xr:uid="{00000000-0005-0000-0000-000000CC0000}"/>
    <cellStyle name="Normal 8 18 2" xfId="52211" xr:uid="{00000000-0005-0000-0000-000001CC0000}"/>
    <cellStyle name="Normal 8 19" xfId="52212" xr:uid="{00000000-0005-0000-0000-000002CC0000}"/>
    <cellStyle name="Normal 8 19 2" xfId="52213" xr:uid="{00000000-0005-0000-0000-000003CC0000}"/>
    <cellStyle name="Normal 8 2" xfId="52214" xr:uid="{00000000-0005-0000-0000-000004CC0000}"/>
    <cellStyle name="Normal 8 2 10" xfId="52215" xr:uid="{00000000-0005-0000-0000-000005CC0000}"/>
    <cellStyle name="Normal 8 2 10 2" xfId="52216" xr:uid="{00000000-0005-0000-0000-000006CC0000}"/>
    <cellStyle name="Normal 8 2 11" xfId="52217" xr:uid="{00000000-0005-0000-0000-000007CC0000}"/>
    <cellStyle name="Normal 8 2 12" xfId="52218" xr:uid="{00000000-0005-0000-0000-000008CC0000}"/>
    <cellStyle name="Normal 8 2 2" xfId="52219" xr:uid="{00000000-0005-0000-0000-000009CC0000}"/>
    <cellStyle name="Normal 8 2 2 10" xfId="52220" xr:uid="{00000000-0005-0000-0000-00000ACC0000}"/>
    <cellStyle name="Normal 8 2 2 11" xfId="52221" xr:uid="{00000000-0005-0000-0000-00000BCC0000}"/>
    <cellStyle name="Normal 8 2 2 2" xfId="52222" xr:uid="{00000000-0005-0000-0000-00000CCC0000}"/>
    <cellStyle name="Normal 8 2 2 2 10" xfId="52223" xr:uid="{00000000-0005-0000-0000-00000DCC0000}"/>
    <cellStyle name="Normal 8 2 2 2 2" xfId="52224" xr:uid="{00000000-0005-0000-0000-00000ECC0000}"/>
    <cellStyle name="Normal 8 2 2 2 2 2" xfId="52225" xr:uid="{00000000-0005-0000-0000-00000FCC0000}"/>
    <cellStyle name="Normal 8 2 2 2 2 2 2" xfId="52226" xr:uid="{00000000-0005-0000-0000-000010CC0000}"/>
    <cellStyle name="Normal 8 2 2 2 2 2 2 2" xfId="52227" xr:uid="{00000000-0005-0000-0000-000011CC0000}"/>
    <cellStyle name="Normal 8 2 2 2 2 2 2 2 2" xfId="52228" xr:uid="{00000000-0005-0000-0000-000012CC0000}"/>
    <cellStyle name="Normal 8 2 2 2 2 2 2 2 2 2" xfId="52229" xr:uid="{00000000-0005-0000-0000-000013CC0000}"/>
    <cellStyle name="Normal 8 2 2 2 2 2 2 2 2 2 2" xfId="52230" xr:uid="{00000000-0005-0000-0000-000014CC0000}"/>
    <cellStyle name="Normal 8 2 2 2 2 2 2 2 2 3" xfId="52231" xr:uid="{00000000-0005-0000-0000-000015CC0000}"/>
    <cellStyle name="Normal 8 2 2 2 2 2 2 2 2 4" xfId="52232" xr:uid="{00000000-0005-0000-0000-000016CC0000}"/>
    <cellStyle name="Normal 8 2 2 2 2 2 2 2 3" xfId="52233" xr:uid="{00000000-0005-0000-0000-000017CC0000}"/>
    <cellStyle name="Normal 8 2 2 2 2 2 2 2 3 2" xfId="52234" xr:uid="{00000000-0005-0000-0000-000018CC0000}"/>
    <cellStyle name="Normal 8 2 2 2 2 2 2 2 4" xfId="52235" xr:uid="{00000000-0005-0000-0000-000019CC0000}"/>
    <cellStyle name="Normal 8 2 2 2 2 2 2 2 5" xfId="52236" xr:uid="{00000000-0005-0000-0000-00001ACC0000}"/>
    <cellStyle name="Normal 8 2 2 2 2 2 2 3" xfId="52237" xr:uid="{00000000-0005-0000-0000-00001BCC0000}"/>
    <cellStyle name="Normal 8 2 2 2 2 2 2 3 2" xfId="52238" xr:uid="{00000000-0005-0000-0000-00001CCC0000}"/>
    <cellStyle name="Normal 8 2 2 2 2 2 2 3 2 2" xfId="52239" xr:uid="{00000000-0005-0000-0000-00001DCC0000}"/>
    <cellStyle name="Normal 8 2 2 2 2 2 2 3 3" xfId="52240" xr:uid="{00000000-0005-0000-0000-00001ECC0000}"/>
    <cellStyle name="Normal 8 2 2 2 2 2 2 3 4" xfId="52241" xr:uid="{00000000-0005-0000-0000-00001FCC0000}"/>
    <cellStyle name="Normal 8 2 2 2 2 2 2 4" xfId="52242" xr:uid="{00000000-0005-0000-0000-000020CC0000}"/>
    <cellStyle name="Normal 8 2 2 2 2 2 2 4 2" xfId="52243" xr:uid="{00000000-0005-0000-0000-000021CC0000}"/>
    <cellStyle name="Normal 8 2 2 2 2 2 2 5" xfId="52244" xr:uid="{00000000-0005-0000-0000-000022CC0000}"/>
    <cellStyle name="Normal 8 2 2 2 2 2 2 6" xfId="52245" xr:uid="{00000000-0005-0000-0000-000023CC0000}"/>
    <cellStyle name="Normal 8 2 2 2 2 2 3" xfId="52246" xr:uid="{00000000-0005-0000-0000-000024CC0000}"/>
    <cellStyle name="Normal 8 2 2 2 2 2 3 2" xfId="52247" xr:uid="{00000000-0005-0000-0000-000025CC0000}"/>
    <cellStyle name="Normal 8 2 2 2 2 2 3 2 2" xfId="52248" xr:uid="{00000000-0005-0000-0000-000026CC0000}"/>
    <cellStyle name="Normal 8 2 2 2 2 2 3 2 2 2" xfId="52249" xr:uid="{00000000-0005-0000-0000-000027CC0000}"/>
    <cellStyle name="Normal 8 2 2 2 2 2 3 2 3" xfId="52250" xr:uid="{00000000-0005-0000-0000-000028CC0000}"/>
    <cellStyle name="Normal 8 2 2 2 2 2 3 2 4" xfId="52251" xr:uid="{00000000-0005-0000-0000-000029CC0000}"/>
    <cellStyle name="Normal 8 2 2 2 2 2 3 3" xfId="52252" xr:uid="{00000000-0005-0000-0000-00002ACC0000}"/>
    <cellStyle name="Normal 8 2 2 2 2 2 3 3 2" xfId="52253" xr:uid="{00000000-0005-0000-0000-00002BCC0000}"/>
    <cellStyle name="Normal 8 2 2 2 2 2 3 4" xfId="52254" xr:uid="{00000000-0005-0000-0000-00002CCC0000}"/>
    <cellStyle name="Normal 8 2 2 2 2 2 3 5" xfId="52255" xr:uid="{00000000-0005-0000-0000-00002DCC0000}"/>
    <cellStyle name="Normal 8 2 2 2 2 2 4" xfId="52256" xr:uid="{00000000-0005-0000-0000-00002ECC0000}"/>
    <cellStyle name="Normal 8 2 2 2 2 2 4 2" xfId="52257" xr:uid="{00000000-0005-0000-0000-00002FCC0000}"/>
    <cellStyle name="Normal 8 2 2 2 2 2 4 2 2" xfId="52258" xr:uid="{00000000-0005-0000-0000-000030CC0000}"/>
    <cellStyle name="Normal 8 2 2 2 2 2 4 3" xfId="52259" xr:uid="{00000000-0005-0000-0000-000031CC0000}"/>
    <cellStyle name="Normal 8 2 2 2 2 2 4 4" xfId="52260" xr:uid="{00000000-0005-0000-0000-000032CC0000}"/>
    <cellStyle name="Normal 8 2 2 2 2 2 5" xfId="52261" xr:uid="{00000000-0005-0000-0000-000033CC0000}"/>
    <cellStyle name="Normal 8 2 2 2 2 2 5 2" xfId="52262" xr:uid="{00000000-0005-0000-0000-000034CC0000}"/>
    <cellStyle name="Normal 8 2 2 2 2 2 6" xfId="52263" xr:uid="{00000000-0005-0000-0000-000035CC0000}"/>
    <cellStyle name="Normal 8 2 2 2 2 2 7" xfId="52264" xr:uid="{00000000-0005-0000-0000-000036CC0000}"/>
    <cellStyle name="Normal 8 2 2 2 2 3" xfId="52265" xr:uid="{00000000-0005-0000-0000-000037CC0000}"/>
    <cellStyle name="Normal 8 2 2 2 2 3 2" xfId="52266" xr:uid="{00000000-0005-0000-0000-000038CC0000}"/>
    <cellStyle name="Normal 8 2 2 2 2 3 2 2" xfId="52267" xr:uid="{00000000-0005-0000-0000-000039CC0000}"/>
    <cellStyle name="Normal 8 2 2 2 2 3 2 2 2" xfId="52268" xr:uid="{00000000-0005-0000-0000-00003ACC0000}"/>
    <cellStyle name="Normal 8 2 2 2 2 3 2 2 2 2" xfId="52269" xr:uid="{00000000-0005-0000-0000-00003BCC0000}"/>
    <cellStyle name="Normal 8 2 2 2 2 3 2 2 3" xfId="52270" xr:uid="{00000000-0005-0000-0000-00003CCC0000}"/>
    <cellStyle name="Normal 8 2 2 2 2 3 2 2 4" xfId="52271" xr:uid="{00000000-0005-0000-0000-00003DCC0000}"/>
    <cellStyle name="Normal 8 2 2 2 2 3 2 3" xfId="52272" xr:uid="{00000000-0005-0000-0000-00003ECC0000}"/>
    <cellStyle name="Normal 8 2 2 2 2 3 2 3 2" xfId="52273" xr:uid="{00000000-0005-0000-0000-00003FCC0000}"/>
    <cellStyle name="Normal 8 2 2 2 2 3 2 4" xfId="52274" xr:uid="{00000000-0005-0000-0000-000040CC0000}"/>
    <cellStyle name="Normal 8 2 2 2 2 3 2 5" xfId="52275" xr:uid="{00000000-0005-0000-0000-000041CC0000}"/>
    <cellStyle name="Normal 8 2 2 2 2 3 3" xfId="52276" xr:uid="{00000000-0005-0000-0000-000042CC0000}"/>
    <cellStyle name="Normal 8 2 2 2 2 3 3 2" xfId="52277" xr:uid="{00000000-0005-0000-0000-000043CC0000}"/>
    <cellStyle name="Normal 8 2 2 2 2 3 3 2 2" xfId="52278" xr:uid="{00000000-0005-0000-0000-000044CC0000}"/>
    <cellStyle name="Normal 8 2 2 2 2 3 3 3" xfId="52279" xr:uid="{00000000-0005-0000-0000-000045CC0000}"/>
    <cellStyle name="Normal 8 2 2 2 2 3 3 3 2" xfId="52280" xr:uid="{00000000-0005-0000-0000-000046CC0000}"/>
    <cellStyle name="Normal 8 2 2 2 2 3 3 4" xfId="52281" xr:uid="{00000000-0005-0000-0000-000047CC0000}"/>
    <cellStyle name="Normal 8 2 2 2 2 3 3 5" xfId="52282" xr:uid="{00000000-0005-0000-0000-000048CC0000}"/>
    <cellStyle name="Normal 8 2 2 2 2 3 4" xfId="52283" xr:uid="{00000000-0005-0000-0000-000049CC0000}"/>
    <cellStyle name="Normal 8 2 2 2 2 3 4 2" xfId="52284" xr:uid="{00000000-0005-0000-0000-00004ACC0000}"/>
    <cellStyle name="Normal 8 2 2 2 2 3 5" xfId="52285" xr:uid="{00000000-0005-0000-0000-00004BCC0000}"/>
    <cellStyle name="Normal 8 2 2 2 2 3 5 2" xfId="52286" xr:uid="{00000000-0005-0000-0000-00004CCC0000}"/>
    <cellStyle name="Normal 8 2 2 2 2 3 6" xfId="52287" xr:uid="{00000000-0005-0000-0000-00004DCC0000}"/>
    <cellStyle name="Normal 8 2 2 2 2 3 7" xfId="52288" xr:uid="{00000000-0005-0000-0000-00004ECC0000}"/>
    <cellStyle name="Normal 8 2 2 2 2 4" xfId="52289" xr:uid="{00000000-0005-0000-0000-00004FCC0000}"/>
    <cellStyle name="Normal 8 2 2 2 2 4 2" xfId="52290" xr:uid="{00000000-0005-0000-0000-000050CC0000}"/>
    <cellStyle name="Normal 8 2 2 2 2 4 2 2" xfId="52291" xr:uid="{00000000-0005-0000-0000-000051CC0000}"/>
    <cellStyle name="Normal 8 2 2 2 2 4 2 2 2" xfId="52292" xr:uid="{00000000-0005-0000-0000-000052CC0000}"/>
    <cellStyle name="Normal 8 2 2 2 2 4 2 3" xfId="52293" xr:uid="{00000000-0005-0000-0000-000053CC0000}"/>
    <cellStyle name="Normal 8 2 2 2 2 4 2 4" xfId="52294" xr:uid="{00000000-0005-0000-0000-000054CC0000}"/>
    <cellStyle name="Normal 8 2 2 2 2 4 3" xfId="52295" xr:uid="{00000000-0005-0000-0000-000055CC0000}"/>
    <cellStyle name="Normal 8 2 2 2 2 4 3 2" xfId="52296" xr:uid="{00000000-0005-0000-0000-000056CC0000}"/>
    <cellStyle name="Normal 8 2 2 2 2 4 4" xfId="52297" xr:uid="{00000000-0005-0000-0000-000057CC0000}"/>
    <cellStyle name="Normal 8 2 2 2 2 4 5" xfId="52298" xr:uid="{00000000-0005-0000-0000-000058CC0000}"/>
    <cellStyle name="Normal 8 2 2 2 2 5" xfId="52299" xr:uid="{00000000-0005-0000-0000-000059CC0000}"/>
    <cellStyle name="Normal 8 2 2 2 2 5 2" xfId="52300" xr:uid="{00000000-0005-0000-0000-00005ACC0000}"/>
    <cellStyle name="Normal 8 2 2 2 2 5 2 2" xfId="52301" xr:uid="{00000000-0005-0000-0000-00005BCC0000}"/>
    <cellStyle name="Normal 8 2 2 2 2 5 3" xfId="52302" xr:uid="{00000000-0005-0000-0000-00005CCC0000}"/>
    <cellStyle name="Normal 8 2 2 2 2 5 3 2" xfId="52303" xr:uid="{00000000-0005-0000-0000-00005DCC0000}"/>
    <cellStyle name="Normal 8 2 2 2 2 5 4" xfId="52304" xr:uid="{00000000-0005-0000-0000-00005ECC0000}"/>
    <cellStyle name="Normal 8 2 2 2 2 5 5" xfId="52305" xr:uid="{00000000-0005-0000-0000-00005FCC0000}"/>
    <cellStyle name="Normal 8 2 2 2 2 6" xfId="52306" xr:uid="{00000000-0005-0000-0000-000060CC0000}"/>
    <cellStyle name="Normal 8 2 2 2 2 6 2" xfId="52307" xr:uid="{00000000-0005-0000-0000-000061CC0000}"/>
    <cellStyle name="Normal 8 2 2 2 2 7" xfId="52308" xr:uid="{00000000-0005-0000-0000-000062CC0000}"/>
    <cellStyle name="Normal 8 2 2 2 2 7 2" xfId="52309" xr:uid="{00000000-0005-0000-0000-000063CC0000}"/>
    <cellStyle name="Normal 8 2 2 2 2 8" xfId="52310" xr:uid="{00000000-0005-0000-0000-000064CC0000}"/>
    <cellStyle name="Normal 8 2 2 2 2 9" xfId="52311" xr:uid="{00000000-0005-0000-0000-000065CC0000}"/>
    <cellStyle name="Normal 8 2 2 2 3" xfId="52312" xr:uid="{00000000-0005-0000-0000-000066CC0000}"/>
    <cellStyle name="Normal 8 2 2 2 3 2" xfId="52313" xr:uid="{00000000-0005-0000-0000-000067CC0000}"/>
    <cellStyle name="Normal 8 2 2 2 3 2 2" xfId="52314" xr:uid="{00000000-0005-0000-0000-000068CC0000}"/>
    <cellStyle name="Normal 8 2 2 2 3 2 2 2" xfId="52315" xr:uid="{00000000-0005-0000-0000-000069CC0000}"/>
    <cellStyle name="Normal 8 2 2 2 3 2 2 2 2" xfId="52316" xr:uid="{00000000-0005-0000-0000-00006ACC0000}"/>
    <cellStyle name="Normal 8 2 2 2 3 2 2 2 2 2" xfId="52317" xr:uid="{00000000-0005-0000-0000-00006BCC0000}"/>
    <cellStyle name="Normal 8 2 2 2 3 2 2 2 3" xfId="52318" xr:uid="{00000000-0005-0000-0000-00006CCC0000}"/>
    <cellStyle name="Normal 8 2 2 2 3 2 2 2 4" xfId="52319" xr:uid="{00000000-0005-0000-0000-00006DCC0000}"/>
    <cellStyle name="Normal 8 2 2 2 3 2 2 3" xfId="52320" xr:uid="{00000000-0005-0000-0000-00006ECC0000}"/>
    <cellStyle name="Normal 8 2 2 2 3 2 2 3 2" xfId="52321" xr:uid="{00000000-0005-0000-0000-00006FCC0000}"/>
    <cellStyle name="Normal 8 2 2 2 3 2 2 4" xfId="52322" xr:uid="{00000000-0005-0000-0000-000070CC0000}"/>
    <cellStyle name="Normal 8 2 2 2 3 2 2 5" xfId="52323" xr:uid="{00000000-0005-0000-0000-000071CC0000}"/>
    <cellStyle name="Normal 8 2 2 2 3 2 3" xfId="52324" xr:uid="{00000000-0005-0000-0000-000072CC0000}"/>
    <cellStyle name="Normal 8 2 2 2 3 2 3 2" xfId="52325" xr:uid="{00000000-0005-0000-0000-000073CC0000}"/>
    <cellStyle name="Normal 8 2 2 2 3 2 3 2 2" xfId="52326" xr:uid="{00000000-0005-0000-0000-000074CC0000}"/>
    <cellStyle name="Normal 8 2 2 2 3 2 3 3" xfId="52327" xr:uid="{00000000-0005-0000-0000-000075CC0000}"/>
    <cellStyle name="Normal 8 2 2 2 3 2 3 4" xfId="52328" xr:uid="{00000000-0005-0000-0000-000076CC0000}"/>
    <cellStyle name="Normal 8 2 2 2 3 2 4" xfId="52329" xr:uid="{00000000-0005-0000-0000-000077CC0000}"/>
    <cellStyle name="Normal 8 2 2 2 3 2 4 2" xfId="52330" xr:uid="{00000000-0005-0000-0000-000078CC0000}"/>
    <cellStyle name="Normal 8 2 2 2 3 2 5" xfId="52331" xr:uid="{00000000-0005-0000-0000-000079CC0000}"/>
    <cellStyle name="Normal 8 2 2 2 3 2 6" xfId="52332" xr:uid="{00000000-0005-0000-0000-00007ACC0000}"/>
    <cellStyle name="Normal 8 2 2 2 3 3" xfId="52333" xr:uid="{00000000-0005-0000-0000-00007BCC0000}"/>
    <cellStyle name="Normal 8 2 2 2 3 3 2" xfId="52334" xr:uid="{00000000-0005-0000-0000-00007CCC0000}"/>
    <cellStyle name="Normal 8 2 2 2 3 3 2 2" xfId="52335" xr:uid="{00000000-0005-0000-0000-00007DCC0000}"/>
    <cellStyle name="Normal 8 2 2 2 3 3 2 2 2" xfId="52336" xr:uid="{00000000-0005-0000-0000-00007ECC0000}"/>
    <cellStyle name="Normal 8 2 2 2 3 3 2 3" xfId="52337" xr:uid="{00000000-0005-0000-0000-00007FCC0000}"/>
    <cellStyle name="Normal 8 2 2 2 3 3 2 4" xfId="52338" xr:uid="{00000000-0005-0000-0000-000080CC0000}"/>
    <cellStyle name="Normal 8 2 2 2 3 3 3" xfId="52339" xr:uid="{00000000-0005-0000-0000-000081CC0000}"/>
    <cellStyle name="Normal 8 2 2 2 3 3 3 2" xfId="52340" xr:uid="{00000000-0005-0000-0000-000082CC0000}"/>
    <cellStyle name="Normal 8 2 2 2 3 3 4" xfId="52341" xr:uid="{00000000-0005-0000-0000-000083CC0000}"/>
    <cellStyle name="Normal 8 2 2 2 3 3 5" xfId="52342" xr:uid="{00000000-0005-0000-0000-000084CC0000}"/>
    <cellStyle name="Normal 8 2 2 2 3 4" xfId="52343" xr:uid="{00000000-0005-0000-0000-000085CC0000}"/>
    <cellStyle name="Normal 8 2 2 2 3 4 2" xfId="52344" xr:uid="{00000000-0005-0000-0000-000086CC0000}"/>
    <cellStyle name="Normal 8 2 2 2 3 4 2 2" xfId="52345" xr:uid="{00000000-0005-0000-0000-000087CC0000}"/>
    <cellStyle name="Normal 8 2 2 2 3 4 3" xfId="52346" xr:uid="{00000000-0005-0000-0000-000088CC0000}"/>
    <cellStyle name="Normal 8 2 2 2 3 4 4" xfId="52347" xr:uid="{00000000-0005-0000-0000-000089CC0000}"/>
    <cellStyle name="Normal 8 2 2 2 3 5" xfId="52348" xr:uid="{00000000-0005-0000-0000-00008ACC0000}"/>
    <cellStyle name="Normal 8 2 2 2 3 5 2" xfId="52349" xr:uid="{00000000-0005-0000-0000-00008BCC0000}"/>
    <cellStyle name="Normal 8 2 2 2 3 6" xfId="52350" xr:uid="{00000000-0005-0000-0000-00008CCC0000}"/>
    <cellStyle name="Normal 8 2 2 2 3 7" xfId="52351" xr:uid="{00000000-0005-0000-0000-00008DCC0000}"/>
    <cellStyle name="Normal 8 2 2 2 4" xfId="52352" xr:uid="{00000000-0005-0000-0000-00008ECC0000}"/>
    <cellStyle name="Normal 8 2 2 2 4 2" xfId="52353" xr:uid="{00000000-0005-0000-0000-00008FCC0000}"/>
    <cellStyle name="Normal 8 2 2 2 4 2 2" xfId="52354" xr:uid="{00000000-0005-0000-0000-000090CC0000}"/>
    <cellStyle name="Normal 8 2 2 2 4 2 2 2" xfId="52355" xr:uid="{00000000-0005-0000-0000-000091CC0000}"/>
    <cellStyle name="Normal 8 2 2 2 4 2 2 2 2" xfId="52356" xr:uid="{00000000-0005-0000-0000-000092CC0000}"/>
    <cellStyle name="Normal 8 2 2 2 4 2 2 3" xfId="52357" xr:uid="{00000000-0005-0000-0000-000093CC0000}"/>
    <cellStyle name="Normal 8 2 2 2 4 2 2 4" xfId="52358" xr:uid="{00000000-0005-0000-0000-000094CC0000}"/>
    <cellStyle name="Normal 8 2 2 2 4 2 3" xfId="52359" xr:uid="{00000000-0005-0000-0000-000095CC0000}"/>
    <cellStyle name="Normal 8 2 2 2 4 2 3 2" xfId="52360" xr:uid="{00000000-0005-0000-0000-000096CC0000}"/>
    <cellStyle name="Normal 8 2 2 2 4 2 4" xfId="52361" xr:uid="{00000000-0005-0000-0000-000097CC0000}"/>
    <cellStyle name="Normal 8 2 2 2 4 2 5" xfId="52362" xr:uid="{00000000-0005-0000-0000-000098CC0000}"/>
    <cellStyle name="Normal 8 2 2 2 4 3" xfId="52363" xr:uid="{00000000-0005-0000-0000-000099CC0000}"/>
    <cellStyle name="Normal 8 2 2 2 4 3 2" xfId="52364" xr:uid="{00000000-0005-0000-0000-00009ACC0000}"/>
    <cellStyle name="Normal 8 2 2 2 4 3 2 2" xfId="52365" xr:uid="{00000000-0005-0000-0000-00009BCC0000}"/>
    <cellStyle name="Normal 8 2 2 2 4 3 3" xfId="52366" xr:uid="{00000000-0005-0000-0000-00009CCC0000}"/>
    <cellStyle name="Normal 8 2 2 2 4 3 3 2" xfId="52367" xr:uid="{00000000-0005-0000-0000-00009DCC0000}"/>
    <cellStyle name="Normal 8 2 2 2 4 3 4" xfId="52368" xr:uid="{00000000-0005-0000-0000-00009ECC0000}"/>
    <cellStyle name="Normal 8 2 2 2 4 3 5" xfId="52369" xr:uid="{00000000-0005-0000-0000-00009FCC0000}"/>
    <cellStyle name="Normal 8 2 2 2 4 4" xfId="52370" xr:uid="{00000000-0005-0000-0000-0000A0CC0000}"/>
    <cellStyle name="Normal 8 2 2 2 4 4 2" xfId="52371" xr:uid="{00000000-0005-0000-0000-0000A1CC0000}"/>
    <cellStyle name="Normal 8 2 2 2 4 5" xfId="52372" xr:uid="{00000000-0005-0000-0000-0000A2CC0000}"/>
    <cellStyle name="Normal 8 2 2 2 4 5 2" xfId="52373" xr:uid="{00000000-0005-0000-0000-0000A3CC0000}"/>
    <cellStyle name="Normal 8 2 2 2 4 6" xfId="52374" xr:uid="{00000000-0005-0000-0000-0000A4CC0000}"/>
    <cellStyle name="Normal 8 2 2 2 4 7" xfId="52375" xr:uid="{00000000-0005-0000-0000-0000A5CC0000}"/>
    <cellStyle name="Normal 8 2 2 2 5" xfId="52376" xr:uid="{00000000-0005-0000-0000-0000A6CC0000}"/>
    <cellStyle name="Normal 8 2 2 2 5 2" xfId="52377" xr:uid="{00000000-0005-0000-0000-0000A7CC0000}"/>
    <cellStyle name="Normal 8 2 2 2 5 2 2" xfId="52378" xr:uid="{00000000-0005-0000-0000-0000A8CC0000}"/>
    <cellStyle name="Normal 8 2 2 2 5 2 2 2" xfId="52379" xr:uid="{00000000-0005-0000-0000-0000A9CC0000}"/>
    <cellStyle name="Normal 8 2 2 2 5 2 3" xfId="52380" xr:uid="{00000000-0005-0000-0000-0000AACC0000}"/>
    <cellStyle name="Normal 8 2 2 2 5 2 4" xfId="52381" xr:uid="{00000000-0005-0000-0000-0000ABCC0000}"/>
    <cellStyle name="Normal 8 2 2 2 5 3" xfId="52382" xr:uid="{00000000-0005-0000-0000-0000ACCC0000}"/>
    <cellStyle name="Normal 8 2 2 2 5 3 2" xfId="52383" xr:uid="{00000000-0005-0000-0000-0000ADCC0000}"/>
    <cellStyle name="Normal 8 2 2 2 5 4" xfId="52384" xr:uid="{00000000-0005-0000-0000-0000AECC0000}"/>
    <cellStyle name="Normal 8 2 2 2 5 5" xfId="52385" xr:uid="{00000000-0005-0000-0000-0000AFCC0000}"/>
    <cellStyle name="Normal 8 2 2 2 6" xfId="52386" xr:uid="{00000000-0005-0000-0000-0000B0CC0000}"/>
    <cellStyle name="Normal 8 2 2 2 6 2" xfId="52387" xr:uid="{00000000-0005-0000-0000-0000B1CC0000}"/>
    <cellStyle name="Normal 8 2 2 2 6 2 2" xfId="52388" xr:uid="{00000000-0005-0000-0000-0000B2CC0000}"/>
    <cellStyle name="Normal 8 2 2 2 6 3" xfId="52389" xr:uid="{00000000-0005-0000-0000-0000B3CC0000}"/>
    <cellStyle name="Normal 8 2 2 2 6 3 2" xfId="52390" xr:uid="{00000000-0005-0000-0000-0000B4CC0000}"/>
    <cellStyle name="Normal 8 2 2 2 6 4" xfId="52391" xr:uid="{00000000-0005-0000-0000-0000B5CC0000}"/>
    <cellStyle name="Normal 8 2 2 2 6 5" xfId="52392" xr:uid="{00000000-0005-0000-0000-0000B6CC0000}"/>
    <cellStyle name="Normal 8 2 2 2 7" xfId="52393" xr:uid="{00000000-0005-0000-0000-0000B7CC0000}"/>
    <cellStyle name="Normal 8 2 2 2 7 2" xfId="52394" xr:uid="{00000000-0005-0000-0000-0000B8CC0000}"/>
    <cellStyle name="Normal 8 2 2 2 8" xfId="52395" xr:uid="{00000000-0005-0000-0000-0000B9CC0000}"/>
    <cellStyle name="Normal 8 2 2 2 8 2" xfId="52396" xr:uid="{00000000-0005-0000-0000-0000BACC0000}"/>
    <cellStyle name="Normal 8 2 2 2 9" xfId="52397" xr:uid="{00000000-0005-0000-0000-0000BBCC0000}"/>
    <cellStyle name="Normal 8 2 2 3" xfId="52398" xr:uid="{00000000-0005-0000-0000-0000BCCC0000}"/>
    <cellStyle name="Normal 8 2 2 3 2" xfId="52399" xr:uid="{00000000-0005-0000-0000-0000BDCC0000}"/>
    <cellStyle name="Normal 8 2 2 3 2 2" xfId="52400" xr:uid="{00000000-0005-0000-0000-0000BECC0000}"/>
    <cellStyle name="Normal 8 2 2 3 2 2 2" xfId="52401" xr:uid="{00000000-0005-0000-0000-0000BFCC0000}"/>
    <cellStyle name="Normal 8 2 2 3 2 2 2 2" xfId="52402" xr:uid="{00000000-0005-0000-0000-0000C0CC0000}"/>
    <cellStyle name="Normal 8 2 2 3 2 2 2 2 2" xfId="52403" xr:uid="{00000000-0005-0000-0000-0000C1CC0000}"/>
    <cellStyle name="Normal 8 2 2 3 2 2 2 2 2 2" xfId="52404" xr:uid="{00000000-0005-0000-0000-0000C2CC0000}"/>
    <cellStyle name="Normal 8 2 2 3 2 2 2 2 3" xfId="52405" xr:uid="{00000000-0005-0000-0000-0000C3CC0000}"/>
    <cellStyle name="Normal 8 2 2 3 2 2 2 2 4" xfId="52406" xr:uid="{00000000-0005-0000-0000-0000C4CC0000}"/>
    <cellStyle name="Normal 8 2 2 3 2 2 2 3" xfId="52407" xr:uid="{00000000-0005-0000-0000-0000C5CC0000}"/>
    <cellStyle name="Normal 8 2 2 3 2 2 2 3 2" xfId="52408" xr:uid="{00000000-0005-0000-0000-0000C6CC0000}"/>
    <cellStyle name="Normal 8 2 2 3 2 2 2 4" xfId="52409" xr:uid="{00000000-0005-0000-0000-0000C7CC0000}"/>
    <cellStyle name="Normal 8 2 2 3 2 2 2 5" xfId="52410" xr:uid="{00000000-0005-0000-0000-0000C8CC0000}"/>
    <cellStyle name="Normal 8 2 2 3 2 2 3" xfId="52411" xr:uid="{00000000-0005-0000-0000-0000C9CC0000}"/>
    <cellStyle name="Normal 8 2 2 3 2 2 3 2" xfId="52412" xr:uid="{00000000-0005-0000-0000-0000CACC0000}"/>
    <cellStyle name="Normal 8 2 2 3 2 2 3 2 2" xfId="52413" xr:uid="{00000000-0005-0000-0000-0000CBCC0000}"/>
    <cellStyle name="Normal 8 2 2 3 2 2 3 3" xfId="52414" xr:uid="{00000000-0005-0000-0000-0000CCCC0000}"/>
    <cellStyle name="Normal 8 2 2 3 2 2 3 4" xfId="52415" xr:uid="{00000000-0005-0000-0000-0000CDCC0000}"/>
    <cellStyle name="Normal 8 2 2 3 2 2 4" xfId="52416" xr:uid="{00000000-0005-0000-0000-0000CECC0000}"/>
    <cellStyle name="Normal 8 2 2 3 2 2 4 2" xfId="52417" xr:uid="{00000000-0005-0000-0000-0000CFCC0000}"/>
    <cellStyle name="Normal 8 2 2 3 2 2 5" xfId="52418" xr:uid="{00000000-0005-0000-0000-0000D0CC0000}"/>
    <cellStyle name="Normal 8 2 2 3 2 2 6" xfId="52419" xr:uid="{00000000-0005-0000-0000-0000D1CC0000}"/>
    <cellStyle name="Normal 8 2 2 3 2 3" xfId="52420" xr:uid="{00000000-0005-0000-0000-0000D2CC0000}"/>
    <cellStyle name="Normal 8 2 2 3 2 3 2" xfId="52421" xr:uid="{00000000-0005-0000-0000-0000D3CC0000}"/>
    <cellStyle name="Normal 8 2 2 3 2 3 2 2" xfId="52422" xr:uid="{00000000-0005-0000-0000-0000D4CC0000}"/>
    <cellStyle name="Normal 8 2 2 3 2 3 2 2 2" xfId="52423" xr:uid="{00000000-0005-0000-0000-0000D5CC0000}"/>
    <cellStyle name="Normal 8 2 2 3 2 3 2 3" xfId="52424" xr:uid="{00000000-0005-0000-0000-0000D6CC0000}"/>
    <cellStyle name="Normal 8 2 2 3 2 3 2 4" xfId="52425" xr:uid="{00000000-0005-0000-0000-0000D7CC0000}"/>
    <cellStyle name="Normal 8 2 2 3 2 3 3" xfId="52426" xr:uid="{00000000-0005-0000-0000-0000D8CC0000}"/>
    <cellStyle name="Normal 8 2 2 3 2 3 3 2" xfId="52427" xr:uid="{00000000-0005-0000-0000-0000D9CC0000}"/>
    <cellStyle name="Normal 8 2 2 3 2 3 4" xfId="52428" xr:uid="{00000000-0005-0000-0000-0000DACC0000}"/>
    <cellStyle name="Normal 8 2 2 3 2 3 5" xfId="52429" xr:uid="{00000000-0005-0000-0000-0000DBCC0000}"/>
    <cellStyle name="Normal 8 2 2 3 2 4" xfId="52430" xr:uid="{00000000-0005-0000-0000-0000DCCC0000}"/>
    <cellStyle name="Normal 8 2 2 3 2 4 2" xfId="52431" xr:uid="{00000000-0005-0000-0000-0000DDCC0000}"/>
    <cellStyle name="Normal 8 2 2 3 2 4 2 2" xfId="52432" xr:uid="{00000000-0005-0000-0000-0000DECC0000}"/>
    <cellStyle name="Normal 8 2 2 3 2 4 3" xfId="52433" xr:uid="{00000000-0005-0000-0000-0000DFCC0000}"/>
    <cellStyle name="Normal 8 2 2 3 2 4 4" xfId="52434" xr:uid="{00000000-0005-0000-0000-0000E0CC0000}"/>
    <cellStyle name="Normal 8 2 2 3 2 5" xfId="52435" xr:uid="{00000000-0005-0000-0000-0000E1CC0000}"/>
    <cellStyle name="Normal 8 2 2 3 2 5 2" xfId="52436" xr:uid="{00000000-0005-0000-0000-0000E2CC0000}"/>
    <cellStyle name="Normal 8 2 2 3 2 6" xfId="52437" xr:uid="{00000000-0005-0000-0000-0000E3CC0000}"/>
    <cellStyle name="Normal 8 2 2 3 2 7" xfId="52438" xr:uid="{00000000-0005-0000-0000-0000E4CC0000}"/>
    <cellStyle name="Normal 8 2 2 3 3" xfId="52439" xr:uid="{00000000-0005-0000-0000-0000E5CC0000}"/>
    <cellStyle name="Normal 8 2 2 3 3 2" xfId="52440" xr:uid="{00000000-0005-0000-0000-0000E6CC0000}"/>
    <cellStyle name="Normal 8 2 2 3 3 2 2" xfId="52441" xr:uid="{00000000-0005-0000-0000-0000E7CC0000}"/>
    <cellStyle name="Normal 8 2 2 3 3 2 2 2" xfId="52442" xr:uid="{00000000-0005-0000-0000-0000E8CC0000}"/>
    <cellStyle name="Normal 8 2 2 3 3 2 2 2 2" xfId="52443" xr:uid="{00000000-0005-0000-0000-0000E9CC0000}"/>
    <cellStyle name="Normal 8 2 2 3 3 2 2 3" xfId="52444" xr:uid="{00000000-0005-0000-0000-0000EACC0000}"/>
    <cellStyle name="Normal 8 2 2 3 3 2 2 4" xfId="52445" xr:uid="{00000000-0005-0000-0000-0000EBCC0000}"/>
    <cellStyle name="Normal 8 2 2 3 3 2 3" xfId="52446" xr:uid="{00000000-0005-0000-0000-0000ECCC0000}"/>
    <cellStyle name="Normal 8 2 2 3 3 2 3 2" xfId="52447" xr:uid="{00000000-0005-0000-0000-0000EDCC0000}"/>
    <cellStyle name="Normal 8 2 2 3 3 2 4" xfId="52448" xr:uid="{00000000-0005-0000-0000-0000EECC0000}"/>
    <cellStyle name="Normal 8 2 2 3 3 2 5" xfId="52449" xr:uid="{00000000-0005-0000-0000-0000EFCC0000}"/>
    <cellStyle name="Normal 8 2 2 3 3 3" xfId="52450" xr:uid="{00000000-0005-0000-0000-0000F0CC0000}"/>
    <cellStyle name="Normal 8 2 2 3 3 3 2" xfId="52451" xr:uid="{00000000-0005-0000-0000-0000F1CC0000}"/>
    <cellStyle name="Normal 8 2 2 3 3 3 2 2" xfId="52452" xr:uid="{00000000-0005-0000-0000-0000F2CC0000}"/>
    <cellStyle name="Normal 8 2 2 3 3 3 3" xfId="52453" xr:uid="{00000000-0005-0000-0000-0000F3CC0000}"/>
    <cellStyle name="Normal 8 2 2 3 3 3 3 2" xfId="52454" xr:uid="{00000000-0005-0000-0000-0000F4CC0000}"/>
    <cellStyle name="Normal 8 2 2 3 3 3 4" xfId="52455" xr:uid="{00000000-0005-0000-0000-0000F5CC0000}"/>
    <cellStyle name="Normal 8 2 2 3 3 3 5" xfId="52456" xr:uid="{00000000-0005-0000-0000-0000F6CC0000}"/>
    <cellStyle name="Normal 8 2 2 3 3 4" xfId="52457" xr:uid="{00000000-0005-0000-0000-0000F7CC0000}"/>
    <cellStyle name="Normal 8 2 2 3 3 4 2" xfId="52458" xr:uid="{00000000-0005-0000-0000-0000F8CC0000}"/>
    <cellStyle name="Normal 8 2 2 3 3 5" xfId="52459" xr:uid="{00000000-0005-0000-0000-0000F9CC0000}"/>
    <cellStyle name="Normal 8 2 2 3 3 5 2" xfId="52460" xr:uid="{00000000-0005-0000-0000-0000FACC0000}"/>
    <cellStyle name="Normal 8 2 2 3 3 6" xfId="52461" xr:uid="{00000000-0005-0000-0000-0000FBCC0000}"/>
    <cellStyle name="Normal 8 2 2 3 3 7" xfId="52462" xr:uid="{00000000-0005-0000-0000-0000FCCC0000}"/>
    <cellStyle name="Normal 8 2 2 3 4" xfId="52463" xr:uid="{00000000-0005-0000-0000-0000FDCC0000}"/>
    <cellStyle name="Normal 8 2 2 3 4 2" xfId="52464" xr:uid="{00000000-0005-0000-0000-0000FECC0000}"/>
    <cellStyle name="Normal 8 2 2 3 4 2 2" xfId="52465" xr:uid="{00000000-0005-0000-0000-0000FFCC0000}"/>
    <cellStyle name="Normal 8 2 2 3 4 2 2 2" xfId="52466" xr:uid="{00000000-0005-0000-0000-000000CD0000}"/>
    <cellStyle name="Normal 8 2 2 3 4 2 3" xfId="52467" xr:uid="{00000000-0005-0000-0000-000001CD0000}"/>
    <cellStyle name="Normal 8 2 2 3 4 2 4" xfId="52468" xr:uid="{00000000-0005-0000-0000-000002CD0000}"/>
    <cellStyle name="Normal 8 2 2 3 4 3" xfId="52469" xr:uid="{00000000-0005-0000-0000-000003CD0000}"/>
    <cellStyle name="Normal 8 2 2 3 4 3 2" xfId="52470" xr:uid="{00000000-0005-0000-0000-000004CD0000}"/>
    <cellStyle name="Normal 8 2 2 3 4 4" xfId="52471" xr:uid="{00000000-0005-0000-0000-000005CD0000}"/>
    <cellStyle name="Normal 8 2 2 3 4 5" xfId="52472" xr:uid="{00000000-0005-0000-0000-000006CD0000}"/>
    <cellStyle name="Normal 8 2 2 3 5" xfId="52473" xr:uid="{00000000-0005-0000-0000-000007CD0000}"/>
    <cellStyle name="Normal 8 2 2 3 5 2" xfId="52474" xr:uid="{00000000-0005-0000-0000-000008CD0000}"/>
    <cellStyle name="Normal 8 2 2 3 5 2 2" xfId="52475" xr:uid="{00000000-0005-0000-0000-000009CD0000}"/>
    <cellStyle name="Normal 8 2 2 3 5 3" xfId="52476" xr:uid="{00000000-0005-0000-0000-00000ACD0000}"/>
    <cellStyle name="Normal 8 2 2 3 5 3 2" xfId="52477" xr:uid="{00000000-0005-0000-0000-00000BCD0000}"/>
    <cellStyle name="Normal 8 2 2 3 5 4" xfId="52478" xr:uid="{00000000-0005-0000-0000-00000CCD0000}"/>
    <cellStyle name="Normal 8 2 2 3 5 5" xfId="52479" xr:uid="{00000000-0005-0000-0000-00000DCD0000}"/>
    <cellStyle name="Normal 8 2 2 3 6" xfId="52480" xr:uid="{00000000-0005-0000-0000-00000ECD0000}"/>
    <cellStyle name="Normal 8 2 2 3 6 2" xfId="52481" xr:uid="{00000000-0005-0000-0000-00000FCD0000}"/>
    <cellStyle name="Normal 8 2 2 3 7" xfId="52482" xr:uid="{00000000-0005-0000-0000-000010CD0000}"/>
    <cellStyle name="Normal 8 2 2 3 7 2" xfId="52483" xr:uid="{00000000-0005-0000-0000-000011CD0000}"/>
    <cellStyle name="Normal 8 2 2 3 8" xfId="52484" xr:uid="{00000000-0005-0000-0000-000012CD0000}"/>
    <cellStyle name="Normal 8 2 2 3 9" xfId="52485" xr:uid="{00000000-0005-0000-0000-000013CD0000}"/>
    <cellStyle name="Normal 8 2 2 4" xfId="52486" xr:uid="{00000000-0005-0000-0000-000014CD0000}"/>
    <cellStyle name="Normal 8 2 2 4 2" xfId="52487" xr:uid="{00000000-0005-0000-0000-000015CD0000}"/>
    <cellStyle name="Normal 8 2 2 4 2 2" xfId="52488" xr:uid="{00000000-0005-0000-0000-000016CD0000}"/>
    <cellStyle name="Normal 8 2 2 4 2 2 2" xfId="52489" xr:uid="{00000000-0005-0000-0000-000017CD0000}"/>
    <cellStyle name="Normal 8 2 2 4 2 2 2 2" xfId="52490" xr:uid="{00000000-0005-0000-0000-000018CD0000}"/>
    <cellStyle name="Normal 8 2 2 4 2 2 2 2 2" xfId="52491" xr:uid="{00000000-0005-0000-0000-000019CD0000}"/>
    <cellStyle name="Normal 8 2 2 4 2 2 2 3" xfId="52492" xr:uid="{00000000-0005-0000-0000-00001ACD0000}"/>
    <cellStyle name="Normal 8 2 2 4 2 2 2 4" xfId="52493" xr:uid="{00000000-0005-0000-0000-00001BCD0000}"/>
    <cellStyle name="Normal 8 2 2 4 2 2 3" xfId="52494" xr:uid="{00000000-0005-0000-0000-00001CCD0000}"/>
    <cellStyle name="Normal 8 2 2 4 2 2 3 2" xfId="52495" xr:uid="{00000000-0005-0000-0000-00001DCD0000}"/>
    <cellStyle name="Normal 8 2 2 4 2 2 4" xfId="52496" xr:uid="{00000000-0005-0000-0000-00001ECD0000}"/>
    <cellStyle name="Normal 8 2 2 4 2 2 5" xfId="52497" xr:uid="{00000000-0005-0000-0000-00001FCD0000}"/>
    <cellStyle name="Normal 8 2 2 4 2 3" xfId="52498" xr:uid="{00000000-0005-0000-0000-000020CD0000}"/>
    <cellStyle name="Normal 8 2 2 4 2 3 2" xfId="52499" xr:uid="{00000000-0005-0000-0000-000021CD0000}"/>
    <cellStyle name="Normal 8 2 2 4 2 3 2 2" xfId="52500" xr:uid="{00000000-0005-0000-0000-000022CD0000}"/>
    <cellStyle name="Normal 8 2 2 4 2 3 3" xfId="52501" xr:uid="{00000000-0005-0000-0000-000023CD0000}"/>
    <cellStyle name="Normal 8 2 2 4 2 3 3 2" xfId="52502" xr:uid="{00000000-0005-0000-0000-000024CD0000}"/>
    <cellStyle name="Normal 8 2 2 4 2 3 4" xfId="52503" xr:uid="{00000000-0005-0000-0000-000025CD0000}"/>
    <cellStyle name="Normal 8 2 2 4 2 3 5" xfId="52504" xr:uid="{00000000-0005-0000-0000-000026CD0000}"/>
    <cellStyle name="Normal 8 2 2 4 2 4" xfId="52505" xr:uid="{00000000-0005-0000-0000-000027CD0000}"/>
    <cellStyle name="Normal 8 2 2 4 2 4 2" xfId="52506" xr:uid="{00000000-0005-0000-0000-000028CD0000}"/>
    <cellStyle name="Normal 8 2 2 4 2 5" xfId="52507" xr:uid="{00000000-0005-0000-0000-000029CD0000}"/>
    <cellStyle name="Normal 8 2 2 4 2 5 2" xfId="52508" xr:uid="{00000000-0005-0000-0000-00002ACD0000}"/>
    <cellStyle name="Normal 8 2 2 4 2 6" xfId="52509" xr:uid="{00000000-0005-0000-0000-00002BCD0000}"/>
    <cellStyle name="Normal 8 2 2 4 2 7" xfId="52510" xr:uid="{00000000-0005-0000-0000-00002CCD0000}"/>
    <cellStyle name="Normal 8 2 2 4 3" xfId="52511" xr:uid="{00000000-0005-0000-0000-00002DCD0000}"/>
    <cellStyle name="Normal 8 2 2 4 3 2" xfId="52512" xr:uid="{00000000-0005-0000-0000-00002ECD0000}"/>
    <cellStyle name="Normal 8 2 2 4 3 2 2" xfId="52513" xr:uid="{00000000-0005-0000-0000-00002FCD0000}"/>
    <cellStyle name="Normal 8 2 2 4 3 2 2 2" xfId="52514" xr:uid="{00000000-0005-0000-0000-000030CD0000}"/>
    <cellStyle name="Normal 8 2 2 4 3 2 3" xfId="52515" xr:uid="{00000000-0005-0000-0000-000031CD0000}"/>
    <cellStyle name="Normal 8 2 2 4 3 2 4" xfId="52516" xr:uid="{00000000-0005-0000-0000-000032CD0000}"/>
    <cellStyle name="Normal 8 2 2 4 3 3" xfId="52517" xr:uid="{00000000-0005-0000-0000-000033CD0000}"/>
    <cellStyle name="Normal 8 2 2 4 3 3 2" xfId="52518" xr:uid="{00000000-0005-0000-0000-000034CD0000}"/>
    <cellStyle name="Normal 8 2 2 4 3 4" xfId="52519" xr:uid="{00000000-0005-0000-0000-000035CD0000}"/>
    <cellStyle name="Normal 8 2 2 4 3 5" xfId="52520" xr:uid="{00000000-0005-0000-0000-000036CD0000}"/>
    <cellStyle name="Normal 8 2 2 4 4" xfId="52521" xr:uid="{00000000-0005-0000-0000-000037CD0000}"/>
    <cellStyle name="Normal 8 2 2 4 4 2" xfId="52522" xr:uid="{00000000-0005-0000-0000-000038CD0000}"/>
    <cellStyle name="Normal 8 2 2 4 4 2 2" xfId="52523" xr:uid="{00000000-0005-0000-0000-000039CD0000}"/>
    <cellStyle name="Normal 8 2 2 4 4 3" xfId="52524" xr:uid="{00000000-0005-0000-0000-00003ACD0000}"/>
    <cellStyle name="Normal 8 2 2 4 4 3 2" xfId="52525" xr:uid="{00000000-0005-0000-0000-00003BCD0000}"/>
    <cellStyle name="Normal 8 2 2 4 4 4" xfId="52526" xr:uid="{00000000-0005-0000-0000-00003CCD0000}"/>
    <cellStyle name="Normal 8 2 2 4 4 5" xfId="52527" xr:uid="{00000000-0005-0000-0000-00003DCD0000}"/>
    <cellStyle name="Normal 8 2 2 4 5" xfId="52528" xr:uid="{00000000-0005-0000-0000-00003ECD0000}"/>
    <cellStyle name="Normal 8 2 2 4 5 2" xfId="52529" xr:uid="{00000000-0005-0000-0000-00003FCD0000}"/>
    <cellStyle name="Normal 8 2 2 4 6" xfId="52530" xr:uid="{00000000-0005-0000-0000-000040CD0000}"/>
    <cellStyle name="Normal 8 2 2 4 6 2" xfId="52531" xr:uid="{00000000-0005-0000-0000-000041CD0000}"/>
    <cellStyle name="Normal 8 2 2 4 7" xfId="52532" xr:uid="{00000000-0005-0000-0000-000042CD0000}"/>
    <cellStyle name="Normal 8 2 2 4 8" xfId="52533" xr:uid="{00000000-0005-0000-0000-000043CD0000}"/>
    <cellStyle name="Normal 8 2 2 5" xfId="52534" xr:uid="{00000000-0005-0000-0000-000044CD0000}"/>
    <cellStyle name="Normal 8 2 2 5 2" xfId="52535" xr:uid="{00000000-0005-0000-0000-000045CD0000}"/>
    <cellStyle name="Normal 8 2 2 5 2 2" xfId="52536" xr:uid="{00000000-0005-0000-0000-000046CD0000}"/>
    <cellStyle name="Normal 8 2 2 5 2 2 2" xfId="52537" xr:uid="{00000000-0005-0000-0000-000047CD0000}"/>
    <cellStyle name="Normal 8 2 2 5 2 2 2 2" xfId="52538" xr:uid="{00000000-0005-0000-0000-000048CD0000}"/>
    <cellStyle name="Normal 8 2 2 5 2 2 3" xfId="52539" xr:uid="{00000000-0005-0000-0000-000049CD0000}"/>
    <cellStyle name="Normal 8 2 2 5 2 2 4" xfId="52540" xr:uid="{00000000-0005-0000-0000-00004ACD0000}"/>
    <cellStyle name="Normal 8 2 2 5 2 3" xfId="52541" xr:uid="{00000000-0005-0000-0000-00004BCD0000}"/>
    <cellStyle name="Normal 8 2 2 5 2 3 2" xfId="52542" xr:uid="{00000000-0005-0000-0000-00004CCD0000}"/>
    <cellStyle name="Normal 8 2 2 5 2 4" xfId="52543" xr:uid="{00000000-0005-0000-0000-00004DCD0000}"/>
    <cellStyle name="Normal 8 2 2 5 2 5" xfId="52544" xr:uid="{00000000-0005-0000-0000-00004ECD0000}"/>
    <cellStyle name="Normal 8 2 2 5 3" xfId="52545" xr:uid="{00000000-0005-0000-0000-00004FCD0000}"/>
    <cellStyle name="Normal 8 2 2 5 3 2" xfId="52546" xr:uid="{00000000-0005-0000-0000-000050CD0000}"/>
    <cellStyle name="Normal 8 2 2 5 3 2 2" xfId="52547" xr:uid="{00000000-0005-0000-0000-000051CD0000}"/>
    <cellStyle name="Normal 8 2 2 5 3 3" xfId="52548" xr:uid="{00000000-0005-0000-0000-000052CD0000}"/>
    <cellStyle name="Normal 8 2 2 5 3 3 2" xfId="52549" xr:uid="{00000000-0005-0000-0000-000053CD0000}"/>
    <cellStyle name="Normal 8 2 2 5 3 4" xfId="52550" xr:uid="{00000000-0005-0000-0000-000054CD0000}"/>
    <cellStyle name="Normal 8 2 2 5 3 5" xfId="52551" xr:uid="{00000000-0005-0000-0000-000055CD0000}"/>
    <cellStyle name="Normal 8 2 2 5 4" xfId="52552" xr:uid="{00000000-0005-0000-0000-000056CD0000}"/>
    <cellStyle name="Normal 8 2 2 5 4 2" xfId="52553" xr:uid="{00000000-0005-0000-0000-000057CD0000}"/>
    <cellStyle name="Normal 8 2 2 5 5" xfId="52554" xr:uid="{00000000-0005-0000-0000-000058CD0000}"/>
    <cellStyle name="Normal 8 2 2 5 5 2" xfId="52555" xr:uid="{00000000-0005-0000-0000-000059CD0000}"/>
    <cellStyle name="Normal 8 2 2 5 6" xfId="52556" xr:uid="{00000000-0005-0000-0000-00005ACD0000}"/>
    <cellStyle name="Normal 8 2 2 5 7" xfId="52557" xr:uid="{00000000-0005-0000-0000-00005BCD0000}"/>
    <cellStyle name="Normal 8 2 2 6" xfId="52558" xr:uid="{00000000-0005-0000-0000-00005CCD0000}"/>
    <cellStyle name="Normal 8 2 2 6 2" xfId="52559" xr:uid="{00000000-0005-0000-0000-00005DCD0000}"/>
    <cellStyle name="Normal 8 2 2 6 2 2" xfId="52560" xr:uid="{00000000-0005-0000-0000-00005ECD0000}"/>
    <cellStyle name="Normal 8 2 2 6 2 2 2" xfId="52561" xr:uid="{00000000-0005-0000-0000-00005FCD0000}"/>
    <cellStyle name="Normal 8 2 2 6 2 3" xfId="52562" xr:uid="{00000000-0005-0000-0000-000060CD0000}"/>
    <cellStyle name="Normal 8 2 2 6 2 4" xfId="52563" xr:uid="{00000000-0005-0000-0000-000061CD0000}"/>
    <cellStyle name="Normal 8 2 2 6 3" xfId="52564" xr:uid="{00000000-0005-0000-0000-000062CD0000}"/>
    <cellStyle name="Normal 8 2 2 6 3 2" xfId="52565" xr:uid="{00000000-0005-0000-0000-000063CD0000}"/>
    <cellStyle name="Normal 8 2 2 6 4" xfId="52566" xr:uid="{00000000-0005-0000-0000-000064CD0000}"/>
    <cellStyle name="Normal 8 2 2 6 5" xfId="52567" xr:uid="{00000000-0005-0000-0000-000065CD0000}"/>
    <cellStyle name="Normal 8 2 2 7" xfId="52568" xr:uid="{00000000-0005-0000-0000-000066CD0000}"/>
    <cellStyle name="Normal 8 2 2 7 2" xfId="52569" xr:uid="{00000000-0005-0000-0000-000067CD0000}"/>
    <cellStyle name="Normal 8 2 2 7 2 2" xfId="52570" xr:uid="{00000000-0005-0000-0000-000068CD0000}"/>
    <cellStyle name="Normal 8 2 2 7 3" xfId="52571" xr:uid="{00000000-0005-0000-0000-000069CD0000}"/>
    <cellStyle name="Normal 8 2 2 7 3 2" xfId="52572" xr:uid="{00000000-0005-0000-0000-00006ACD0000}"/>
    <cellStyle name="Normal 8 2 2 7 4" xfId="52573" xr:uid="{00000000-0005-0000-0000-00006BCD0000}"/>
    <cellStyle name="Normal 8 2 2 7 5" xfId="52574" xr:uid="{00000000-0005-0000-0000-00006CCD0000}"/>
    <cellStyle name="Normal 8 2 2 8" xfId="52575" xr:uid="{00000000-0005-0000-0000-00006DCD0000}"/>
    <cellStyle name="Normal 8 2 2 8 2" xfId="52576" xr:uid="{00000000-0005-0000-0000-00006ECD0000}"/>
    <cellStyle name="Normal 8 2 2 9" xfId="52577" xr:uid="{00000000-0005-0000-0000-00006FCD0000}"/>
    <cellStyle name="Normal 8 2 2 9 2" xfId="52578" xr:uid="{00000000-0005-0000-0000-000070CD0000}"/>
    <cellStyle name="Normal 8 2 3" xfId="52579" xr:uid="{00000000-0005-0000-0000-000071CD0000}"/>
    <cellStyle name="Normal 8 2 3 10" xfId="52580" xr:uid="{00000000-0005-0000-0000-000072CD0000}"/>
    <cellStyle name="Normal 8 2 3 2" xfId="52581" xr:uid="{00000000-0005-0000-0000-000073CD0000}"/>
    <cellStyle name="Normal 8 2 3 2 2" xfId="52582" xr:uid="{00000000-0005-0000-0000-000074CD0000}"/>
    <cellStyle name="Normal 8 2 3 2 2 2" xfId="52583" xr:uid="{00000000-0005-0000-0000-000075CD0000}"/>
    <cellStyle name="Normal 8 2 3 2 2 2 2" xfId="52584" xr:uid="{00000000-0005-0000-0000-000076CD0000}"/>
    <cellStyle name="Normal 8 2 3 2 2 2 2 2" xfId="52585" xr:uid="{00000000-0005-0000-0000-000077CD0000}"/>
    <cellStyle name="Normal 8 2 3 2 2 2 2 2 2" xfId="52586" xr:uid="{00000000-0005-0000-0000-000078CD0000}"/>
    <cellStyle name="Normal 8 2 3 2 2 2 2 2 2 2" xfId="52587" xr:uid="{00000000-0005-0000-0000-000079CD0000}"/>
    <cellStyle name="Normal 8 2 3 2 2 2 2 2 3" xfId="52588" xr:uid="{00000000-0005-0000-0000-00007ACD0000}"/>
    <cellStyle name="Normal 8 2 3 2 2 2 2 2 4" xfId="52589" xr:uid="{00000000-0005-0000-0000-00007BCD0000}"/>
    <cellStyle name="Normal 8 2 3 2 2 2 2 3" xfId="52590" xr:uid="{00000000-0005-0000-0000-00007CCD0000}"/>
    <cellStyle name="Normal 8 2 3 2 2 2 2 3 2" xfId="52591" xr:uid="{00000000-0005-0000-0000-00007DCD0000}"/>
    <cellStyle name="Normal 8 2 3 2 2 2 2 4" xfId="52592" xr:uid="{00000000-0005-0000-0000-00007ECD0000}"/>
    <cellStyle name="Normal 8 2 3 2 2 2 2 5" xfId="52593" xr:uid="{00000000-0005-0000-0000-00007FCD0000}"/>
    <cellStyle name="Normal 8 2 3 2 2 2 3" xfId="52594" xr:uid="{00000000-0005-0000-0000-000080CD0000}"/>
    <cellStyle name="Normal 8 2 3 2 2 2 3 2" xfId="52595" xr:uid="{00000000-0005-0000-0000-000081CD0000}"/>
    <cellStyle name="Normal 8 2 3 2 2 2 3 2 2" xfId="52596" xr:uid="{00000000-0005-0000-0000-000082CD0000}"/>
    <cellStyle name="Normal 8 2 3 2 2 2 3 3" xfId="52597" xr:uid="{00000000-0005-0000-0000-000083CD0000}"/>
    <cellStyle name="Normal 8 2 3 2 2 2 3 4" xfId="52598" xr:uid="{00000000-0005-0000-0000-000084CD0000}"/>
    <cellStyle name="Normal 8 2 3 2 2 2 4" xfId="52599" xr:uid="{00000000-0005-0000-0000-000085CD0000}"/>
    <cellStyle name="Normal 8 2 3 2 2 2 4 2" xfId="52600" xr:uid="{00000000-0005-0000-0000-000086CD0000}"/>
    <cellStyle name="Normal 8 2 3 2 2 2 5" xfId="52601" xr:uid="{00000000-0005-0000-0000-000087CD0000}"/>
    <cellStyle name="Normal 8 2 3 2 2 2 6" xfId="52602" xr:uid="{00000000-0005-0000-0000-000088CD0000}"/>
    <cellStyle name="Normal 8 2 3 2 2 3" xfId="52603" xr:uid="{00000000-0005-0000-0000-000089CD0000}"/>
    <cellStyle name="Normal 8 2 3 2 2 3 2" xfId="52604" xr:uid="{00000000-0005-0000-0000-00008ACD0000}"/>
    <cellStyle name="Normal 8 2 3 2 2 3 2 2" xfId="52605" xr:uid="{00000000-0005-0000-0000-00008BCD0000}"/>
    <cellStyle name="Normal 8 2 3 2 2 3 2 2 2" xfId="52606" xr:uid="{00000000-0005-0000-0000-00008CCD0000}"/>
    <cellStyle name="Normal 8 2 3 2 2 3 2 3" xfId="52607" xr:uid="{00000000-0005-0000-0000-00008DCD0000}"/>
    <cellStyle name="Normal 8 2 3 2 2 3 2 4" xfId="52608" xr:uid="{00000000-0005-0000-0000-00008ECD0000}"/>
    <cellStyle name="Normal 8 2 3 2 2 3 3" xfId="52609" xr:uid="{00000000-0005-0000-0000-00008FCD0000}"/>
    <cellStyle name="Normal 8 2 3 2 2 3 3 2" xfId="52610" xr:uid="{00000000-0005-0000-0000-000090CD0000}"/>
    <cellStyle name="Normal 8 2 3 2 2 3 4" xfId="52611" xr:uid="{00000000-0005-0000-0000-000091CD0000}"/>
    <cellStyle name="Normal 8 2 3 2 2 3 5" xfId="52612" xr:uid="{00000000-0005-0000-0000-000092CD0000}"/>
    <cellStyle name="Normal 8 2 3 2 2 4" xfId="52613" xr:uid="{00000000-0005-0000-0000-000093CD0000}"/>
    <cellStyle name="Normal 8 2 3 2 2 4 2" xfId="52614" xr:uid="{00000000-0005-0000-0000-000094CD0000}"/>
    <cellStyle name="Normal 8 2 3 2 2 4 2 2" xfId="52615" xr:uid="{00000000-0005-0000-0000-000095CD0000}"/>
    <cellStyle name="Normal 8 2 3 2 2 4 3" xfId="52616" xr:uid="{00000000-0005-0000-0000-000096CD0000}"/>
    <cellStyle name="Normal 8 2 3 2 2 4 4" xfId="52617" xr:uid="{00000000-0005-0000-0000-000097CD0000}"/>
    <cellStyle name="Normal 8 2 3 2 2 5" xfId="52618" xr:uid="{00000000-0005-0000-0000-000098CD0000}"/>
    <cellStyle name="Normal 8 2 3 2 2 5 2" xfId="52619" xr:uid="{00000000-0005-0000-0000-000099CD0000}"/>
    <cellStyle name="Normal 8 2 3 2 2 6" xfId="52620" xr:uid="{00000000-0005-0000-0000-00009ACD0000}"/>
    <cellStyle name="Normal 8 2 3 2 2 7" xfId="52621" xr:uid="{00000000-0005-0000-0000-00009BCD0000}"/>
    <cellStyle name="Normal 8 2 3 2 3" xfId="52622" xr:uid="{00000000-0005-0000-0000-00009CCD0000}"/>
    <cellStyle name="Normal 8 2 3 2 3 2" xfId="52623" xr:uid="{00000000-0005-0000-0000-00009DCD0000}"/>
    <cellStyle name="Normal 8 2 3 2 3 2 2" xfId="52624" xr:uid="{00000000-0005-0000-0000-00009ECD0000}"/>
    <cellStyle name="Normal 8 2 3 2 3 2 2 2" xfId="52625" xr:uid="{00000000-0005-0000-0000-00009FCD0000}"/>
    <cellStyle name="Normal 8 2 3 2 3 2 2 2 2" xfId="52626" xr:uid="{00000000-0005-0000-0000-0000A0CD0000}"/>
    <cellStyle name="Normal 8 2 3 2 3 2 2 3" xfId="52627" xr:uid="{00000000-0005-0000-0000-0000A1CD0000}"/>
    <cellStyle name="Normal 8 2 3 2 3 2 2 4" xfId="52628" xr:uid="{00000000-0005-0000-0000-0000A2CD0000}"/>
    <cellStyle name="Normal 8 2 3 2 3 2 3" xfId="52629" xr:uid="{00000000-0005-0000-0000-0000A3CD0000}"/>
    <cellStyle name="Normal 8 2 3 2 3 2 3 2" xfId="52630" xr:uid="{00000000-0005-0000-0000-0000A4CD0000}"/>
    <cellStyle name="Normal 8 2 3 2 3 2 4" xfId="52631" xr:uid="{00000000-0005-0000-0000-0000A5CD0000}"/>
    <cellStyle name="Normal 8 2 3 2 3 2 5" xfId="52632" xr:uid="{00000000-0005-0000-0000-0000A6CD0000}"/>
    <cellStyle name="Normal 8 2 3 2 3 3" xfId="52633" xr:uid="{00000000-0005-0000-0000-0000A7CD0000}"/>
    <cellStyle name="Normal 8 2 3 2 3 3 2" xfId="52634" xr:uid="{00000000-0005-0000-0000-0000A8CD0000}"/>
    <cellStyle name="Normal 8 2 3 2 3 3 2 2" xfId="52635" xr:uid="{00000000-0005-0000-0000-0000A9CD0000}"/>
    <cellStyle name="Normal 8 2 3 2 3 3 3" xfId="52636" xr:uid="{00000000-0005-0000-0000-0000AACD0000}"/>
    <cellStyle name="Normal 8 2 3 2 3 3 3 2" xfId="52637" xr:uid="{00000000-0005-0000-0000-0000ABCD0000}"/>
    <cellStyle name="Normal 8 2 3 2 3 3 4" xfId="52638" xr:uid="{00000000-0005-0000-0000-0000ACCD0000}"/>
    <cellStyle name="Normal 8 2 3 2 3 3 5" xfId="52639" xr:uid="{00000000-0005-0000-0000-0000ADCD0000}"/>
    <cellStyle name="Normal 8 2 3 2 3 4" xfId="52640" xr:uid="{00000000-0005-0000-0000-0000AECD0000}"/>
    <cellStyle name="Normal 8 2 3 2 3 4 2" xfId="52641" xr:uid="{00000000-0005-0000-0000-0000AFCD0000}"/>
    <cellStyle name="Normal 8 2 3 2 3 5" xfId="52642" xr:uid="{00000000-0005-0000-0000-0000B0CD0000}"/>
    <cellStyle name="Normal 8 2 3 2 3 5 2" xfId="52643" xr:uid="{00000000-0005-0000-0000-0000B1CD0000}"/>
    <cellStyle name="Normal 8 2 3 2 3 6" xfId="52644" xr:uid="{00000000-0005-0000-0000-0000B2CD0000}"/>
    <cellStyle name="Normal 8 2 3 2 3 7" xfId="52645" xr:uid="{00000000-0005-0000-0000-0000B3CD0000}"/>
    <cellStyle name="Normal 8 2 3 2 4" xfId="52646" xr:uid="{00000000-0005-0000-0000-0000B4CD0000}"/>
    <cellStyle name="Normal 8 2 3 2 4 2" xfId="52647" xr:uid="{00000000-0005-0000-0000-0000B5CD0000}"/>
    <cellStyle name="Normal 8 2 3 2 4 2 2" xfId="52648" xr:uid="{00000000-0005-0000-0000-0000B6CD0000}"/>
    <cellStyle name="Normal 8 2 3 2 4 2 2 2" xfId="52649" xr:uid="{00000000-0005-0000-0000-0000B7CD0000}"/>
    <cellStyle name="Normal 8 2 3 2 4 2 3" xfId="52650" xr:uid="{00000000-0005-0000-0000-0000B8CD0000}"/>
    <cellStyle name="Normal 8 2 3 2 4 2 4" xfId="52651" xr:uid="{00000000-0005-0000-0000-0000B9CD0000}"/>
    <cellStyle name="Normal 8 2 3 2 4 3" xfId="52652" xr:uid="{00000000-0005-0000-0000-0000BACD0000}"/>
    <cellStyle name="Normal 8 2 3 2 4 3 2" xfId="52653" xr:uid="{00000000-0005-0000-0000-0000BBCD0000}"/>
    <cellStyle name="Normal 8 2 3 2 4 4" xfId="52654" xr:uid="{00000000-0005-0000-0000-0000BCCD0000}"/>
    <cellStyle name="Normal 8 2 3 2 4 5" xfId="52655" xr:uid="{00000000-0005-0000-0000-0000BDCD0000}"/>
    <cellStyle name="Normal 8 2 3 2 5" xfId="52656" xr:uid="{00000000-0005-0000-0000-0000BECD0000}"/>
    <cellStyle name="Normal 8 2 3 2 5 2" xfId="52657" xr:uid="{00000000-0005-0000-0000-0000BFCD0000}"/>
    <cellStyle name="Normal 8 2 3 2 5 2 2" xfId="52658" xr:uid="{00000000-0005-0000-0000-0000C0CD0000}"/>
    <cellStyle name="Normal 8 2 3 2 5 3" xfId="52659" xr:uid="{00000000-0005-0000-0000-0000C1CD0000}"/>
    <cellStyle name="Normal 8 2 3 2 5 3 2" xfId="52660" xr:uid="{00000000-0005-0000-0000-0000C2CD0000}"/>
    <cellStyle name="Normal 8 2 3 2 5 4" xfId="52661" xr:uid="{00000000-0005-0000-0000-0000C3CD0000}"/>
    <cellStyle name="Normal 8 2 3 2 5 5" xfId="52662" xr:uid="{00000000-0005-0000-0000-0000C4CD0000}"/>
    <cellStyle name="Normal 8 2 3 2 6" xfId="52663" xr:uid="{00000000-0005-0000-0000-0000C5CD0000}"/>
    <cellStyle name="Normal 8 2 3 2 6 2" xfId="52664" xr:uid="{00000000-0005-0000-0000-0000C6CD0000}"/>
    <cellStyle name="Normal 8 2 3 2 7" xfId="52665" xr:uid="{00000000-0005-0000-0000-0000C7CD0000}"/>
    <cellStyle name="Normal 8 2 3 2 7 2" xfId="52666" xr:uid="{00000000-0005-0000-0000-0000C8CD0000}"/>
    <cellStyle name="Normal 8 2 3 2 8" xfId="52667" xr:uid="{00000000-0005-0000-0000-0000C9CD0000}"/>
    <cellStyle name="Normal 8 2 3 2 9" xfId="52668" xr:uid="{00000000-0005-0000-0000-0000CACD0000}"/>
    <cellStyle name="Normal 8 2 3 3" xfId="52669" xr:uid="{00000000-0005-0000-0000-0000CBCD0000}"/>
    <cellStyle name="Normal 8 2 3 3 2" xfId="52670" xr:uid="{00000000-0005-0000-0000-0000CCCD0000}"/>
    <cellStyle name="Normal 8 2 3 3 2 2" xfId="52671" xr:uid="{00000000-0005-0000-0000-0000CDCD0000}"/>
    <cellStyle name="Normal 8 2 3 3 2 2 2" xfId="52672" xr:uid="{00000000-0005-0000-0000-0000CECD0000}"/>
    <cellStyle name="Normal 8 2 3 3 2 2 2 2" xfId="52673" xr:uid="{00000000-0005-0000-0000-0000CFCD0000}"/>
    <cellStyle name="Normal 8 2 3 3 2 2 2 2 2" xfId="52674" xr:uid="{00000000-0005-0000-0000-0000D0CD0000}"/>
    <cellStyle name="Normal 8 2 3 3 2 2 2 3" xfId="52675" xr:uid="{00000000-0005-0000-0000-0000D1CD0000}"/>
    <cellStyle name="Normal 8 2 3 3 2 2 2 4" xfId="52676" xr:uid="{00000000-0005-0000-0000-0000D2CD0000}"/>
    <cellStyle name="Normal 8 2 3 3 2 2 3" xfId="52677" xr:uid="{00000000-0005-0000-0000-0000D3CD0000}"/>
    <cellStyle name="Normal 8 2 3 3 2 2 3 2" xfId="52678" xr:uid="{00000000-0005-0000-0000-0000D4CD0000}"/>
    <cellStyle name="Normal 8 2 3 3 2 2 4" xfId="52679" xr:uid="{00000000-0005-0000-0000-0000D5CD0000}"/>
    <cellStyle name="Normal 8 2 3 3 2 2 5" xfId="52680" xr:uid="{00000000-0005-0000-0000-0000D6CD0000}"/>
    <cellStyle name="Normal 8 2 3 3 2 3" xfId="52681" xr:uid="{00000000-0005-0000-0000-0000D7CD0000}"/>
    <cellStyle name="Normal 8 2 3 3 2 3 2" xfId="52682" xr:uid="{00000000-0005-0000-0000-0000D8CD0000}"/>
    <cellStyle name="Normal 8 2 3 3 2 3 2 2" xfId="52683" xr:uid="{00000000-0005-0000-0000-0000D9CD0000}"/>
    <cellStyle name="Normal 8 2 3 3 2 3 3" xfId="52684" xr:uid="{00000000-0005-0000-0000-0000DACD0000}"/>
    <cellStyle name="Normal 8 2 3 3 2 3 3 2" xfId="52685" xr:uid="{00000000-0005-0000-0000-0000DBCD0000}"/>
    <cellStyle name="Normal 8 2 3 3 2 3 4" xfId="52686" xr:uid="{00000000-0005-0000-0000-0000DCCD0000}"/>
    <cellStyle name="Normal 8 2 3 3 2 3 5" xfId="52687" xr:uid="{00000000-0005-0000-0000-0000DDCD0000}"/>
    <cellStyle name="Normal 8 2 3 3 2 4" xfId="52688" xr:uid="{00000000-0005-0000-0000-0000DECD0000}"/>
    <cellStyle name="Normal 8 2 3 3 2 4 2" xfId="52689" xr:uid="{00000000-0005-0000-0000-0000DFCD0000}"/>
    <cellStyle name="Normal 8 2 3 3 2 5" xfId="52690" xr:uid="{00000000-0005-0000-0000-0000E0CD0000}"/>
    <cellStyle name="Normal 8 2 3 3 2 5 2" xfId="52691" xr:uid="{00000000-0005-0000-0000-0000E1CD0000}"/>
    <cellStyle name="Normal 8 2 3 3 2 6" xfId="52692" xr:uid="{00000000-0005-0000-0000-0000E2CD0000}"/>
    <cellStyle name="Normal 8 2 3 3 2 7" xfId="52693" xr:uid="{00000000-0005-0000-0000-0000E3CD0000}"/>
    <cellStyle name="Normal 8 2 3 3 3" xfId="52694" xr:uid="{00000000-0005-0000-0000-0000E4CD0000}"/>
    <cellStyle name="Normal 8 2 3 3 3 2" xfId="52695" xr:uid="{00000000-0005-0000-0000-0000E5CD0000}"/>
    <cellStyle name="Normal 8 2 3 3 3 2 2" xfId="52696" xr:uid="{00000000-0005-0000-0000-0000E6CD0000}"/>
    <cellStyle name="Normal 8 2 3 3 3 2 2 2" xfId="52697" xr:uid="{00000000-0005-0000-0000-0000E7CD0000}"/>
    <cellStyle name="Normal 8 2 3 3 3 2 3" xfId="52698" xr:uid="{00000000-0005-0000-0000-0000E8CD0000}"/>
    <cellStyle name="Normal 8 2 3 3 3 2 4" xfId="52699" xr:uid="{00000000-0005-0000-0000-0000E9CD0000}"/>
    <cellStyle name="Normal 8 2 3 3 3 3" xfId="52700" xr:uid="{00000000-0005-0000-0000-0000EACD0000}"/>
    <cellStyle name="Normal 8 2 3 3 3 3 2" xfId="52701" xr:uid="{00000000-0005-0000-0000-0000EBCD0000}"/>
    <cellStyle name="Normal 8 2 3 3 3 4" xfId="52702" xr:uid="{00000000-0005-0000-0000-0000ECCD0000}"/>
    <cellStyle name="Normal 8 2 3 3 3 5" xfId="52703" xr:uid="{00000000-0005-0000-0000-0000EDCD0000}"/>
    <cellStyle name="Normal 8 2 3 3 4" xfId="52704" xr:uid="{00000000-0005-0000-0000-0000EECD0000}"/>
    <cellStyle name="Normal 8 2 3 3 4 2" xfId="52705" xr:uid="{00000000-0005-0000-0000-0000EFCD0000}"/>
    <cellStyle name="Normal 8 2 3 3 4 2 2" xfId="52706" xr:uid="{00000000-0005-0000-0000-0000F0CD0000}"/>
    <cellStyle name="Normal 8 2 3 3 4 3" xfId="52707" xr:uid="{00000000-0005-0000-0000-0000F1CD0000}"/>
    <cellStyle name="Normal 8 2 3 3 4 3 2" xfId="52708" xr:uid="{00000000-0005-0000-0000-0000F2CD0000}"/>
    <cellStyle name="Normal 8 2 3 3 4 4" xfId="52709" xr:uid="{00000000-0005-0000-0000-0000F3CD0000}"/>
    <cellStyle name="Normal 8 2 3 3 4 5" xfId="52710" xr:uid="{00000000-0005-0000-0000-0000F4CD0000}"/>
    <cellStyle name="Normal 8 2 3 3 5" xfId="52711" xr:uid="{00000000-0005-0000-0000-0000F5CD0000}"/>
    <cellStyle name="Normal 8 2 3 3 5 2" xfId="52712" xr:uid="{00000000-0005-0000-0000-0000F6CD0000}"/>
    <cellStyle name="Normal 8 2 3 3 6" xfId="52713" xr:uid="{00000000-0005-0000-0000-0000F7CD0000}"/>
    <cellStyle name="Normal 8 2 3 3 6 2" xfId="52714" xr:uid="{00000000-0005-0000-0000-0000F8CD0000}"/>
    <cellStyle name="Normal 8 2 3 3 7" xfId="52715" xr:uid="{00000000-0005-0000-0000-0000F9CD0000}"/>
    <cellStyle name="Normal 8 2 3 3 8" xfId="52716" xr:uid="{00000000-0005-0000-0000-0000FACD0000}"/>
    <cellStyle name="Normal 8 2 3 4" xfId="52717" xr:uid="{00000000-0005-0000-0000-0000FBCD0000}"/>
    <cellStyle name="Normal 8 2 3 4 2" xfId="52718" xr:uid="{00000000-0005-0000-0000-0000FCCD0000}"/>
    <cellStyle name="Normal 8 2 3 4 2 2" xfId="52719" xr:uid="{00000000-0005-0000-0000-0000FDCD0000}"/>
    <cellStyle name="Normal 8 2 3 4 2 2 2" xfId="52720" xr:uid="{00000000-0005-0000-0000-0000FECD0000}"/>
    <cellStyle name="Normal 8 2 3 4 2 2 2 2" xfId="52721" xr:uid="{00000000-0005-0000-0000-0000FFCD0000}"/>
    <cellStyle name="Normal 8 2 3 4 2 2 3" xfId="52722" xr:uid="{00000000-0005-0000-0000-000000CE0000}"/>
    <cellStyle name="Normal 8 2 3 4 2 2 4" xfId="52723" xr:uid="{00000000-0005-0000-0000-000001CE0000}"/>
    <cellStyle name="Normal 8 2 3 4 2 3" xfId="52724" xr:uid="{00000000-0005-0000-0000-000002CE0000}"/>
    <cellStyle name="Normal 8 2 3 4 2 3 2" xfId="52725" xr:uid="{00000000-0005-0000-0000-000003CE0000}"/>
    <cellStyle name="Normal 8 2 3 4 2 4" xfId="52726" xr:uid="{00000000-0005-0000-0000-000004CE0000}"/>
    <cellStyle name="Normal 8 2 3 4 2 5" xfId="52727" xr:uid="{00000000-0005-0000-0000-000005CE0000}"/>
    <cellStyle name="Normal 8 2 3 4 3" xfId="52728" xr:uid="{00000000-0005-0000-0000-000006CE0000}"/>
    <cellStyle name="Normal 8 2 3 4 3 2" xfId="52729" xr:uid="{00000000-0005-0000-0000-000007CE0000}"/>
    <cellStyle name="Normal 8 2 3 4 3 2 2" xfId="52730" xr:uid="{00000000-0005-0000-0000-000008CE0000}"/>
    <cellStyle name="Normal 8 2 3 4 3 3" xfId="52731" xr:uid="{00000000-0005-0000-0000-000009CE0000}"/>
    <cellStyle name="Normal 8 2 3 4 3 3 2" xfId="52732" xr:uid="{00000000-0005-0000-0000-00000ACE0000}"/>
    <cellStyle name="Normal 8 2 3 4 3 4" xfId="52733" xr:uid="{00000000-0005-0000-0000-00000BCE0000}"/>
    <cellStyle name="Normal 8 2 3 4 3 5" xfId="52734" xr:uid="{00000000-0005-0000-0000-00000CCE0000}"/>
    <cellStyle name="Normal 8 2 3 4 4" xfId="52735" xr:uid="{00000000-0005-0000-0000-00000DCE0000}"/>
    <cellStyle name="Normal 8 2 3 4 4 2" xfId="52736" xr:uid="{00000000-0005-0000-0000-00000ECE0000}"/>
    <cellStyle name="Normal 8 2 3 4 5" xfId="52737" xr:uid="{00000000-0005-0000-0000-00000FCE0000}"/>
    <cellStyle name="Normal 8 2 3 4 5 2" xfId="52738" xr:uid="{00000000-0005-0000-0000-000010CE0000}"/>
    <cellStyle name="Normal 8 2 3 4 6" xfId="52739" xr:uid="{00000000-0005-0000-0000-000011CE0000}"/>
    <cellStyle name="Normal 8 2 3 4 7" xfId="52740" xr:uid="{00000000-0005-0000-0000-000012CE0000}"/>
    <cellStyle name="Normal 8 2 3 5" xfId="52741" xr:uid="{00000000-0005-0000-0000-000013CE0000}"/>
    <cellStyle name="Normal 8 2 3 5 2" xfId="52742" xr:uid="{00000000-0005-0000-0000-000014CE0000}"/>
    <cellStyle name="Normal 8 2 3 5 2 2" xfId="52743" xr:uid="{00000000-0005-0000-0000-000015CE0000}"/>
    <cellStyle name="Normal 8 2 3 5 2 2 2" xfId="52744" xr:uid="{00000000-0005-0000-0000-000016CE0000}"/>
    <cellStyle name="Normal 8 2 3 5 2 3" xfId="52745" xr:uid="{00000000-0005-0000-0000-000017CE0000}"/>
    <cellStyle name="Normal 8 2 3 5 2 4" xfId="52746" xr:uid="{00000000-0005-0000-0000-000018CE0000}"/>
    <cellStyle name="Normal 8 2 3 5 3" xfId="52747" xr:uid="{00000000-0005-0000-0000-000019CE0000}"/>
    <cellStyle name="Normal 8 2 3 5 3 2" xfId="52748" xr:uid="{00000000-0005-0000-0000-00001ACE0000}"/>
    <cellStyle name="Normal 8 2 3 5 4" xfId="52749" xr:uid="{00000000-0005-0000-0000-00001BCE0000}"/>
    <cellStyle name="Normal 8 2 3 5 5" xfId="52750" xr:uid="{00000000-0005-0000-0000-00001CCE0000}"/>
    <cellStyle name="Normal 8 2 3 6" xfId="52751" xr:uid="{00000000-0005-0000-0000-00001DCE0000}"/>
    <cellStyle name="Normal 8 2 3 6 2" xfId="52752" xr:uid="{00000000-0005-0000-0000-00001ECE0000}"/>
    <cellStyle name="Normal 8 2 3 6 2 2" xfId="52753" xr:uid="{00000000-0005-0000-0000-00001FCE0000}"/>
    <cellStyle name="Normal 8 2 3 6 3" xfId="52754" xr:uid="{00000000-0005-0000-0000-000020CE0000}"/>
    <cellStyle name="Normal 8 2 3 6 3 2" xfId="52755" xr:uid="{00000000-0005-0000-0000-000021CE0000}"/>
    <cellStyle name="Normal 8 2 3 6 4" xfId="52756" xr:uid="{00000000-0005-0000-0000-000022CE0000}"/>
    <cellStyle name="Normal 8 2 3 6 5" xfId="52757" xr:uid="{00000000-0005-0000-0000-000023CE0000}"/>
    <cellStyle name="Normal 8 2 3 7" xfId="52758" xr:uid="{00000000-0005-0000-0000-000024CE0000}"/>
    <cellStyle name="Normal 8 2 3 7 2" xfId="52759" xr:uid="{00000000-0005-0000-0000-000025CE0000}"/>
    <cellStyle name="Normal 8 2 3 8" xfId="52760" xr:uid="{00000000-0005-0000-0000-000026CE0000}"/>
    <cellStyle name="Normal 8 2 3 8 2" xfId="52761" xr:uid="{00000000-0005-0000-0000-000027CE0000}"/>
    <cellStyle name="Normal 8 2 3 9" xfId="52762" xr:uid="{00000000-0005-0000-0000-000028CE0000}"/>
    <cellStyle name="Normal 8 2 4" xfId="52763" xr:uid="{00000000-0005-0000-0000-000029CE0000}"/>
    <cellStyle name="Normal 8 2 4 2" xfId="52764" xr:uid="{00000000-0005-0000-0000-00002ACE0000}"/>
    <cellStyle name="Normal 8 2 4 2 2" xfId="52765" xr:uid="{00000000-0005-0000-0000-00002BCE0000}"/>
    <cellStyle name="Normal 8 2 4 2 2 2" xfId="52766" xr:uid="{00000000-0005-0000-0000-00002CCE0000}"/>
    <cellStyle name="Normal 8 2 4 2 2 2 2" xfId="52767" xr:uid="{00000000-0005-0000-0000-00002DCE0000}"/>
    <cellStyle name="Normal 8 2 4 2 2 2 2 2" xfId="52768" xr:uid="{00000000-0005-0000-0000-00002ECE0000}"/>
    <cellStyle name="Normal 8 2 4 2 2 2 2 2 2" xfId="52769" xr:uid="{00000000-0005-0000-0000-00002FCE0000}"/>
    <cellStyle name="Normal 8 2 4 2 2 2 2 3" xfId="52770" xr:uid="{00000000-0005-0000-0000-000030CE0000}"/>
    <cellStyle name="Normal 8 2 4 2 2 2 2 4" xfId="52771" xr:uid="{00000000-0005-0000-0000-000031CE0000}"/>
    <cellStyle name="Normal 8 2 4 2 2 2 3" xfId="52772" xr:uid="{00000000-0005-0000-0000-000032CE0000}"/>
    <cellStyle name="Normal 8 2 4 2 2 2 3 2" xfId="52773" xr:uid="{00000000-0005-0000-0000-000033CE0000}"/>
    <cellStyle name="Normal 8 2 4 2 2 2 4" xfId="52774" xr:uid="{00000000-0005-0000-0000-000034CE0000}"/>
    <cellStyle name="Normal 8 2 4 2 2 2 5" xfId="52775" xr:uid="{00000000-0005-0000-0000-000035CE0000}"/>
    <cellStyle name="Normal 8 2 4 2 2 3" xfId="52776" xr:uid="{00000000-0005-0000-0000-000036CE0000}"/>
    <cellStyle name="Normal 8 2 4 2 2 3 2" xfId="52777" xr:uid="{00000000-0005-0000-0000-000037CE0000}"/>
    <cellStyle name="Normal 8 2 4 2 2 3 2 2" xfId="52778" xr:uid="{00000000-0005-0000-0000-000038CE0000}"/>
    <cellStyle name="Normal 8 2 4 2 2 3 3" xfId="52779" xr:uid="{00000000-0005-0000-0000-000039CE0000}"/>
    <cellStyle name="Normal 8 2 4 2 2 3 4" xfId="52780" xr:uid="{00000000-0005-0000-0000-00003ACE0000}"/>
    <cellStyle name="Normal 8 2 4 2 2 4" xfId="52781" xr:uid="{00000000-0005-0000-0000-00003BCE0000}"/>
    <cellStyle name="Normal 8 2 4 2 2 4 2" xfId="52782" xr:uid="{00000000-0005-0000-0000-00003CCE0000}"/>
    <cellStyle name="Normal 8 2 4 2 2 5" xfId="52783" xr:uid="{00000000-0005-0000-0000-00003DCE0000}"/>
    <cellStyle name="Normal 8 2 4 2 2 6" xfId="52784" xr:uid="{00000000-0005-0000-0000-00003ECE0000}"/>
    <cellStyle name="Normal 8 2 4 2 3" xfId="52785" xr:uid="{00000000-0005-0000-0000-00003FCE0000}"/>
    <cellStyle name="Normal 8 2 4 2 3 2" xfId="52786" xr:uid="{00000000-0005-0000-0000-000040CE0000}"/>
    <cellStyle name="Normal 8 2 4 2 3 2 2" xfId="52787" xr:uid="{00000000-0005-0000-0000-000041CE0000}"/>
    <cellStyle name="Normal 8 2 4 2 3 2 2 2" xfId="52788" xr:uid="{00000000-0005-0000-0000-000042CE0000}"/>
    <cellStyle name="Normal 8 2 4 2 3 2 3" xfId="52789" xr:uid="{00000000-0005-0000-0000-000043CE0000}"/>
    <cellStyle name="Normal 8 2 4 2 3 2 4" xfId="52790" xr:uid="{00000000-0005-0000-0000-000044CE0000}"/>
    <cellStyle name="Normal 8 2 4 2 3 3" xfId="52791" xr:uid="{00000000-0005-0000-0000-000045CE0000}"/>
    <cellStyle name="Normal 8 2 4 2 3 3 2" xfId="52792" xr:uid="{00000000-0005-0000-0000-000046CE0000}"/>
    <cellStyle name="Normal 8 2 4 2 3 4" xfId="52793" xr:uid="{00000000-0005-0000-0000-000047CE0000}"/>
    <cellStyle name="Normal 8 2 4 2 3 5" xfId="52794" xr:uid="{00000000-0005-0000-0000-000048CE0000}"/>
    <cellStyle name="Normal 8 2 4 2 4" xfId="52795" xr:uid="{00000000-0005-0000-0000-000049CE0000}"/>
    <cellStyle name="Normal 8 2 4 2 4 2" xfId="52796" xr:uid="{00000000-0005-0000-0000-00004ACE0000}"/>
    <cellStyle name="Normal 8 2 4 2 4 2 2" xfId="52797" xr:uid="{00000000-0005-0000-0000-00004BCE0000}"/>
    <cellStyle name="Normal 8 2 4 2 4 3" xfId="52798" xr:uid="{00000000-0005-0000-0000-00004CCE0000}"/>
    <cellStyle name="Normal 8 2 4 2 4 4" xfId="52799" xr:uid="{00000000-0005-0000-0000-00004DCE0000}"/>
    <cellStyle name="Normal 8 2 4 2 5" xfId="52800" xr:uid="{00000000-0005-0000-0000-00004ECE0000}"/>
    <cellStyle name="Normal 8 2 4 2 5 2" xfId="52801" xr:uid="{00000000-0005-0000-0000-00004FCE0000}"/>
    <cellStyle name="Normal 8 2 4 2 6" xfId="52802" xr:uid="{00000000-0005-0000-0000-000050CE0000}"/>
    <cellStyle name="Normal 8 2 4 2 7" xfId="52803" xr:uid="{00000000-0005-0000-0000-000051CE0000}"/>
    <cellStyle name="Normal 8 2 4 3" xfId="52804" xr:uid="{00000000-0005-0000-0000-000052CE0000}"/>
    <cellStyle name="Normal 8 2 4 3 2" xfId="52805" xr:uid="{00000000-0005-0000-0000-000053CE0000}"/>
    <cellStyle name="Normal 8 2 4 3 2 2" xfId="52806" xr:uid="{00000000-0005-0000-0000-000054CE0000}"/>
    <cellStyle name="Normal 8 2 4 3 2 2 2" xfId="52807" xr:uid="{00000000-0005-0000-0000-000055CE0000}"/>
    <cellStyle name="Normal 8 2 4 3 2 2 2 2" xfId="52808" xr:uid="{00000000-0005-0000-0000-000056CE0000}"/>
    <cellStyle name="Normal 8 2 4 3 2 2 3" xfId="52809" xr:uid="{00000000-0005-0000-0000-000057CE0000}"/>
    <cellStyle name="Normal 8 2 4 3 2 2 4" xfId="52810" xr:uid="{00000000-0005-0000-0000-000058CE0000}"/>
    <cellStyle name="Normal 8 2 4 3 2 3" xfId="52811" xr:uid="{00000000-0005-0000-0000-000059CE0000}"/>
    <cellStyle name="Normal 8 2 4 3 2 3 2" xfId="52812" xr:uid="{00000000-0005-0000-0000-00005ACE0000}"/>
    <cellStyle name="Normal 8 2 4 3 2 4" xfId="52813" xr:uid="{00000000-0005-0000-0000-00005BCE0000}"/>
    <cellStyle name="Normal 8 2 4 3 2 5" xfId="52814" xr:uid="{00000000-0005-0000-0000-00005CCE0000}"/>
    <cellStyle name="Normal 8 2 4 3 3" xfId="52815" xr:uid="{00000000-0005-0000-0000-00005DCE0000}"/>
    <cellStyle name="Normal 8 2 4 3 3 2" xfId="52816" xr:uid="{00000000-0005-0000-0000-00005ECE0000}"/>
    <cellStyle name="Normal 8 2 4 3 3 2 2" xfId="52817" xr:uid="{00000000-0005-0000-0000-00005FCE0000}"/>
    <cellStyle name="Normal 8 2 4 3 3 3" xfId="52818" xr:uid="{00000000-0005-0000-0000-000060CE0000}"/>
    <cellStyle name="Normal 8 2 4 3 3 3 2" xfId="52819" xr:uid="{00000000-0005-0000-0000-000061CE0000}"/>
    <cellStyle name="Normal 8 2 4 3 3 4" xfId="52820" xr:uid="{00000000-0005-0000-0000-000062CE0000}"/>
    <cellStyle name="Normal 8 2 4 3 3 5" xfId="52821" xr:uid="{00000000-0005-0000-0000-000063CE0000}"/>
    <cellStyle name="Normal 8 2 4 3 4" xfId="52822" xr:uid="{00000000-0005-0000-0000-000064CE0000}"/>
    <cellStyle name="Normal 8 2 4 3 4 2" xfId="52823" xr:uid="{00000000-0005-0000-0000-000065CE0000}"/>
    <cellStyle name="Normal 8 2 4 3 5" xfId="52824" xr:uid="{00000000-0005-0000-0000-000066CE0000}"/>
    <cellStyle name="Normal 8 2 4 3 5 2" xfId="52825" xr:uid="{00000000-0005-0000-0000-000067CE0000}"/>
    <cellStyle name="Normal 8 2 4 3 6" xfId="52826" xr:uid="{00000000-0005-0000-0000-000068CE0000}"/>
    <cellStyle name="Normal 8 2 4 3 7" xfId="52827" xr:uid="{00000000-0005-0000-0000-000069CE0000}"/>
    <cellStyle name="Normal 8 2 4 4" xfId="52828" xr:uid="{00000000-0005-0000-0000-00006ACE0000}"/>
    <cellStyle name="Normal 8 2 4 4 2" xfId="52829" xr:uid="{00000000-0005-0000-0000-00006BCE0000}"/>
    <cellStyle name="Normal 8 2 4 4 2 2" xfId="52830" xr:uid="{00000000-0005-0000-0000-00006CCE0000}"/>
    <cellStyle name="Normal 8 2 4 4 2 2 2" xfId="52831" xr:uid="{00000000-0005-0000-0000-00006DCE0000}"/>
    <cellStyle name="Normal 8 2 4 4 2 3" xfId="52832" xr:uid="{00000000-0005-0000-0000-00006ECE0000}"/>
    <cellStyle name="Normal 8 2 4 4 2 4" xfId="52833" xr:uid="{00000000-0005-0000-0000-00006FCE0000}"/>
    <cellStyle name="Normal 8 2 4 4 3" xfId="52834" xr:uid="{00000000-0005-0000-0000-000070CE0000}"/>
    <cellStyle name="Normal 8 2 4 4 3 2" xfId="52835" xr:uid="{00000000-0005-0000-0000-000071CE0000}"/>
    <cellStyle name="Normal 8 2 4 4 4" xfId="52836" xr:uid="{00000000-0005-0000-0000-000072CE0000}"/>
    <cellStyle name="Normal 8 2 4 4 5" xfId="52837" xr:uid="{00000000-0005-0000-0000-000073CE0000}"/>
    <cellStyle name="Normal 8 2 4 5" xfId="52838" xr:uid="{00000000-0005-0000-0000-000074CE0000}"/>
    <cellStyle name="Normal 8 2 4 5 2" xfId="52839" xr:uid="{00000000-0005-0000-0000-000075CE0000}"/>
    <cellStyle name="Normal 8 2 4 5 2 2" xfId="52840" xr:uid="{00000000-0005-0000-0000-000076CE0000}"/>
    <cellStyle name="Normal 8 2 4 5 3" xfId="52841" xr:uid="{00000000-0005-0000-0000-000077CE0000}"/>
    <cellStyle name="Normal 8 2 4 5 3 2" xfId="52842" xr:uid="{00000000-0005-0000-0000-000078CE0000}"/>
    <cellStyle name="Normal 8 2 4 5 4" xfId="52843" xr:uid="{00000000-0005-0000-0000-000079CE0000}"/>
    <cellStyle name="Normal 8 2 4 5 5" xfId="52844" xr:uid="{00000000-0005-0000-0000-00007ACE0000}"/>
    <cellStyle name="Normal 8 2 4 6" xfId="52845" xr:uid="{00000000-0005-0000-0000-00007BCE0000}"/>
    <cellStyle name="Normal 8 2 4 6 2" xfId="52846" xr:uid="{00000000-0005-0000-0000-00007CCE0000}"/>
    <cellStyle name="Normal 8 2 4 7" xfId="52847" xr:uid="{00000000-0005-0000-0000-00007DCE0000}"/>
    <cellStyle name="Normal 8 2 4 7 2" xfId="52848" xr:uid="{00000000-0005-0000-0000-00007ECE0000}"/>
    <cellStyle name="Normal 8 2 4 8" xfId="52849" xr:uid="{00000000-0005-0000-0000-00007FCE0000}"/>
    <cellStyle name="Normal 8 2 4 9" xfId="52850" xr:uid="{00000000-0005-0000-0000-000080CE0000}"/>
    <cellStyle name="Normal 8 2 5" xfId="52851" xr:uid="{00000000-0005-0000-0000-000081CE0000}"/>
    <cellStyle name="Normal 8 2 5 2" xfId="52852" xr:uid="{00000000-0005-0000-0000-000082CE0000}"/>
    <cellStyle name="Normal 8 2 5 2 2" xfId="52853" xr:uid="{00000000-0005-0000-0000-000083CE0000}"/>
    <cellStyle name="Normal 8 2 5 2 2 2" xfId="52854" xr:uid="{00000000-0005-0000-0000-000084CE0000}"/>
    <cellStyle name="Normal 8 2 5 2 2 2 2" xfId="52855" xr:uid="{00000000-0005-0000-0000-000085CE0000}"/>
    <cellStyle name="Normal 8 2 5 2 2 2 2 2" xfId="52856" xr:uid="{00000000-0005-0000-0000-000086CE0000}"/>
    <cellStyle name="Normal 8 2 5 2 2 2 3" xfId="52857" xr:uid="{00000000-0005-0000-0000-000087CE0000}"/>
    <cellStyle name="Normal 8 2 5 2 2 2 4" xfId="52858" xr:uid="{00000000-0005-0000-0000-000088CE0000}"/>
    <cellStyle name="Normal 8 2 5 2 2 3" xfId="52859" xr:uid="{00000000-0005-0000-0000-000089CE0000}"/>
    <cellStyle name="Normal 8 2 5 2 2 3 2" xfId="52860" xr:uid="{00000000-0005-0000-0000-00008ACE0000}"/>
    <cellStyle name="Normal 8 2 5 2 2 4" xfId="52861" xr:uid="{00000000-0005-0000-0000-00008BCE0000}"/>
    <cellStyle name="Normal 8 2 5 2 2 5" xfId="52862" xr:uid="{00000000-0005-0000-0000-00008CCE0000}"/>
    <cellStyle name="Normal 8 2 5 2 3" xfId="52863" xr:uid="{00000000-0005-0000-0000-00008DCE0000}"/>
    <cellStyle name="Normal 8 2 5 2 3 2" xfId="52864" xr:uid="{00000000-0005-0000-0000-00008ECE0000}"/>
    <cellStyle name="Normal 8 2 5 2 3 2 2" xfId="52865" xr:uid="{00000000-0005-0000-0000-00008FCE0000}"/>
    <cellStyle name="Normal 8 2 5 2 3 3" xfId="52866" xr:uid="{00000000-0005-0000-0000-000090CE0000}"/>
    <cellStyle name="Normal 8 2 5 2 3 3 2" xfId="52867" xr:uid="{00000000-0005-0000-0000-000091CE0000}"/>
    <cellStyle name="Normal 8 2 5 2 3 4" xfId="52868" xr:uid="{00000000-0005-0000-0000-000092CE0000}"/>
    <cellStyle name="Normal 8 2 5 2 3 5" xfId="52869" xr:uid="{00000000-0005-0000-0000-000093CE0000}"/>
    <cellStyle name="Normal 8 2 5 2 4" xfId="52870" xr:uid="{00000000-0005-0000-0000-000094CE0000}"/>
    <cellStyle name="Normal 8 2 5 2 4 2" xfId="52871" xr:uid="{00000000-0005-0000-0000-000095CE0000}"/>
    <cellStyle name="Normal 8 2 5 2 5" xfId="52872" xr:uid="{00000000-0005-0000-0000-000096CE0000}"/>
    <cellStyle name="Normal 8 2 5 2 5 2" xfId="52873" xr:uid="{00000000-0005-0000-0000-000097CE0000}"/>
    <cellStyle name="Normal 8 2 5 2 6" xfId="52874" xr:uid="{00000000-0005-0000-0000-000098CE0000}"/>
    <cellStyle name="Normal 8 2 5 2 7" xfId="52875" xr:uid="{00000000-0005-0000-0000-000099CE0000}"/>
    <cellStyle name="Normal 8 2 5 3" xfId="52876" xr:uid="{00000000-0005-0000-0000-00009ACE0000}"/>
    <cellStyle name="Normal 8 2 5 3 2" xfId="52877" xr:uid="{00000000-0005-0000-0000-00009BCE0000}"/>
    <cellStyle name="Normal 8 2 5 3 2 2" xfId="52878" xr:uid="{00000000-0005-0000-0000-00009CCE0000}"/>
    <cellStyle name="Normal 8 2 5 3 2 2 2" xfId="52879" xr:uid="{00000000-0005-0000-0000-00009DCE0000}"/>
    <cellStyle name="Normal 8 2 5 3 2 3" xfId="52880" xr:uid="{00000000-0005-0000-0000-00009ECE0000}"/>
    <cellStyle name="Normal 8 2 5 3 2 4" xfId="52881" xr:uid="{00000000-0005-0000-0000-00009FCE0000}"/>
    <cellStyle name="Normal 8 2 5 3 3" xfId="52882" xr:uid="{00000000-0005-0000-0000-0000A0CE0000}"/>
    <cellStyle name="Normal 8 2 5 3 3 2" xfId="52883" xr:uid="{00000000-0005-0000-0000-0000A1CE0000}"/>
    <cellStyle name="Normal 8 2 5 3 4" xfId="52884" xr:uid="{00000000-0005-0000-0000-0000A2CE0000}"/>
    <cellStyle name="Normal 8 2 5 3 5" xfId="52885" xr:uid="{00000000-0005-0000-0000-0000A3CE0000}"/>
    <cellStyle name="Normal 8 2 5 4" xfId="52886" xr:uid="{00000000-0005-0000-0000-0000A4CE0000}"/>
    <cellStyle name="Normal 8 2 5 4 2" xfId="52887" xr:uid="{00000000-0005-0000-0000-0000A5CE0000}"/>
    <cellStyle name="Normal 8 2 5 4 2 2" xfId="52888" xr:uid="{00000000-0005-0000-0000-0000A6CE0000}"/>
    <cellStyle name="Normal 8 2 5 4 3" xfId="52889" xr:uid="{00000000-0005-0000-0000-0000A7CE0000}"/>
    <cellStyle name="Normal 8 2 5 4 3 2" xfId="52890" xr:uid="{00000000-0005-0000-0000-0000A8CE0000}"/>
    <cellStyle name="Normal 8 2 5 4 4" xfId="52891" xr:uid="{00000000-0005-0000-0000-0000A9CE0000}"/>
    <cellStyle name="Normal 8 2 5 4 5" xfId="52892" xr:uid="{00000000-0005-0000-0000-0000AACE0000}"/>
    <cellStyle name="Normal 8 2 5 5" xfId="52893" xr:uid="{00000000-0005-0000-0000-0000ABCE0000}"/>
    <cellStyle name="Normal 8 2 5 5 2" xfId="52894" xr:uid="{00000000-0005-0000-0000-0000ACCE0000}"/>
    <cellStyle name="Normal 8 2 5 6" xfId="52895" xr:uid="{00000000-0005-0000-0000-0000ADCE0000}"/>
    <cellStyle name="Normal 8 2 5 6 2" xfId="52896" xr:uid="{00000000-0005-0000-0000-0000AECE0000}"/>
    <cellStyle name="Normal 8 2 5 7" xfId="52897" xr:uid="{00000000-0005-0000-0000-0000AFCE0000}"/>
    <cellStyle name="Normal 8 2 5 8" xfId="52898" xr:uid="{00000000-0005-0000-0000-0000B0CE0000}"/>
    <cellStyle name="Normal 8 2 6" xfId="52899" xr:uid="{00000000-0005-0000-0000-0000B1CE0000}"/>
    <cellStyle name="Normal 8 2 6 2" xfId="52900" xr:uid="{00000000-0005-0000-0000-0000B2CE0000}"/>
    <cellStyle name="Normal 8 2 6 2 2" xfId="52901" xr:uid="{00000000-0005-0000-0000-0000B3CE0000}"/>
    <cellStyle name="Normal 8 2 6 2 2 2" xfId="52902" xr:uid="{00000000-0005-0000-0000-0000B4CE0000}"/>
    <cellStyle name="Normal 8 2 6 2 2 2 2" xfId="52903" xr:uid="{00000000-0005-0000-0000-0000B5CE0000}"/>
    <cellStyle name="Normal 8 2 6 2 2 3" xfId="52904" xr:uid="{00000000-0005-0000-0000-0000B6CE0000}"/>
    <cellStyle name="Normal 8 2 6 2 2 4" xfId="52905" xr:uid="{00000000-0005-0000-0000-0000B7CE0000}"/>
    <cellStyle name="Normal 8 2 6 2 3" xfId="52906" xr:uid="{00000000-0005-0000-0000-0000B8CE0000}"/>
    <cellStyle name="Normal 8 2 6 2 3 2" xfId="52907" xr:uid="{00000000-0005-0000-0000-0000B9CE0000}"/>
    <cellStyle name="Normal 8 2 6 2 4" xfId="52908" xr:uid="{00000000-0005-0000-0000-0000BACE0000}"/>
    <cellStyle name="Normal 8 2 6 2 5" xfId="52909" xr:uid="{00000000-0005-0000-0000-0000BBCE0000}"/>
    <cellStyle name="Normal 8 2 6 3" xfId="52910" xr:uid="{00000000-0005-0000-0000-0000BCCE0000}"/>
    <cellStyle name="Normal 8 2 6 3 2" xfId="52911" xr:uid="{00000000-0005-0000-0000-0000BDCE0000}"/>
    <cellStyle name="Normal 8 2 6 3 2 2" xfId="52912" xr:uid="{00000000-0005-0000-0000-0000BECE0000}"/>
    <cellStyle name="Normal 8 2 6 3 3" xfId="52913" xr:uid="{00000000-0005-0000-0000-0000BFCE0000}"/>
    <cellStyle name="Normal 8 2 6 3 3 2" xfId="52914" xr:uid="{00000000-0005-0000-0000-0000C0CE0000}"/>
    <cellStyle name="Normal 8 2 6 3 4" xfId="52915" xr:uid="{00000000-0005-0000-0000-0000C1CE0000}"/>
    <cellStyle name="Normal 8 2 6 3 5" xfId="52916" xr:uid="{00000000-0005-0000-0000-0000C2CE0000}"/>
    <cellStyle name="Normal 8 2 6 4" xfId="52917" xr:uid="{00000000-0005-0000-0000-0000C3CE0000}"/>
    <cellStyle name="Normal 8 2 6 4 2" xfId="52918" xr:uid="{00000000-0005-0000-0000-0000C4CE0000}"/>
    <cellStyle name="Normal 8 2 6 5" xfId="52919" xr:uid="{00000000-0005-0000-0000-0000C5CE0000}"/>
    <cellStyle name="Normal 8 2 6 5 2" xfId="52920" xr:uid="{00000000-0005-0000-0000-0000C6CE0000}"/>
    <cellStyle name="Normal 8 2 6 6" xfId="52921" xr:uid="{00000000-0005-0000-0000-0000C7CE0000}"/>
    <cellStyle name="Normal 8 2 6 7" xfId="52922" xr:uid="{00000000-0005-0000-0000-0000C8CE0000}"/>
    <cellStyle name="Normal 8 2 7" xfId="52923" xr:uid="{00000000-0005-0000-0000-0000C9CE0000}"/>
    <cellStyle name="Normal 8 2 7 2" xfId="52924" xr:uid="{00000000-0005-0000-0000-0000CACE0000}"/>
    <cellStyle name="Normal 8 2 7 2 2" xfId="52925" xr:uid="{00000000-0005-0000-0000-0000CBCE0000}"/>
    <cellStyle name="Normal 8 2 7 2 2 2" xfId="52926" xr:uid="{00000000-0005-0000-0000-0000CCCE0000}"/>
    <cellStyle name="Normal 8 2 7 2 3" xfId="52927" xr:uid="{00000000-0005-0000-0000-0000CDCE0000}"/>
    <cellStyle name="Normal 8 2 7 2 4" xfId="52928" xr:uid="{00000000-0005-0000-0000-0000CECE0000}"/>
    <cellStyle name="Normal 8 2 7 3" xfId="52929" xr:uid="{00000000-0005-0000-0000-0000CFCE0000}"/>
    <cellStyle name="Normal 8 2 7 3 2" xfId="52930" xr:uid="{00000000-0005-0000-0000-0000D0CE0000}"/>
    <cellStyle name="Normal 8 2 7 4" xfId="52931" xr:uid="{00000000-0005-0000-0000-0000D1CE0000}"/>
    <cellStyle name="Normal 8 2 7 5" xfId="52932" xr:uid="{00000000-0005-0000-0000-0000D2CE0000}"/>
    <cellStyle name="Normal 8 2 8" xfId="52933" xr:uid="{00000000-0005-0000-0000-0000D3CE0000}"/>
    <cellStyle name="Normal 8 2 8 2" xfId="52934" xr:uid="{00000000-0005-0000-0000-0000D4CE0000}"/>
    <cellStyle name="Normal 8 2 8 2 2" xfId="52935" xr:uid="{00000000-0005-0000-0000-0000D5CE0000}"/>
    <cellStyle name="Normal 8 2 8 3" xfId="52936" xr:uid="{00000000-0005-0000-0000-0000D6CE0000}"/>
    <cellStyle name="Normal 8 2 8 3 2" xfId="52937" xr:uid="{00000000-0005-0000-0000-0000D7CE0000}"/>
    <cellStyle name="Normal 8 2 8 4" xfId="52938" xr:uid="{00000000-0005-0000-0000-0000D8CE0000}"/>
    <cellStyle name="Normal 8 2 8 5" xfId="52939" xr:uid="{00000000-0005-0000-0000-0000D9CE0000}"/>
    <cellStyle name="Normal 8 2 9" xfId="52940" xr:uid="{00000000-0005-0000-0000-0000DACE0000}"/>
    <cellStyle name="Normal 8 2 9 2" xfId="52941" xr:uid="{00000000-0005-0000-0000-0000DBCE0000}"/>
    <cellStyle name="Normal 8 20" xfId="52942" xr:uid="{00000000-0005-0000-0000-0000DCCE0000}"/>
    <cellStyle name="Normal 8 20 2" xfId="52943" xr:uid="{00000000-0005-0000-0000-0000DDCE0000}"/>
    <cellStyle name="Normal 8 21" xfId="52944" xr:uid="{00000000-0005-0000-0000-0000DECE0000}"/>
    <cellStyle name="Normal 8 21 2" xfId="52945" xr:uid="{00000000-0005-0000-0000-0000DFCE0000}"/>
    <cellStyle name="Normal 8 22" xfId="52946" xr:uid="{00000000-0005-0000-0000-0000E0CE0000}"/>
    <cellStyle name="Normal 8 22 2" xfId="52947" xr:uid="{00000000-0005-0000-0000-0000E1CE0000}"/>
    <cellStyle name="Normal 8 23" xfId="52948" xr:uid="{00000000-0005-0000-0000-0000E2CE0000}"/>
    <cellStyle name="Normal 8 23 2" xfId="52949" xr:uid="{00000000-0005-0000-0000-0000E3CE0000}"/>
    <cellStyle name="Normal 8 24" xfId="52950" xr:uid="{00000000-0005-0000-0000-0000E4CE0000}"/>
    <cellStyle name="Normal 8 24 2" xfId="52951" xr:uid="{00000000-0005-0000-0000-0000E5CE0000}"/>
    <cellStyle name="Normal 8 25" xfId="52952" xr:uid="{00000000-0005-0000-0000-0000E6CE0000}"/>
    <cellStyle name="Normal 8 25 2" xfId="52953" xr:uid="{00000000-0005-0000-0000-0000E7CE0000}"/>
    <cellStyle name="Normal 8 26" xfId="52954" xr:uid="{00000000-0005-0000-0000-0000E8CE0000}"/>
    <cellStyle name="Normal 8 26 2" xfId="52955" xr:uid="{00000000-0005-0000-0000-0000E9CE0000}"/>
    <cellStyle name="Normal 8 27" xfId="52956" xr:uid="{00000000-0005-0000-0000-0000EACE0000}"/>
    <cellStyle name="Normal 8 27 2" xfId="52957" xr:uid="{00000000-0005-0000-0000-0000EBCE0000}"/>
    <cellStyle name="Normal 8 28" xfId="52958" xr:uid="{00000000-0005-0000-0000-0000ECCE0000}"/>
    <cellStyle name="Normal 8 28 2" xfId="52959" xr:uid="{00000000-0005-0000-0000-0000EDCE0000}"/>
    <cellStyle name="Normal 8 29" xfId="52960" xr:uid="{00000000-0005-0000-0000-0000EECE0000}"/>
    <cellStyle name="Normal 8 29 2" xfId="52961" xr:uid="{00000000-0005-0000-0000-0000EFCE0000}"/>
    <cellStyle name="Normal 8 3" xfId="52962" xr:uid="{00000000-0005-0000-0000-0000F0CE0000}"/>
    <cellStyle name="Normal 8 3 10" xfId="52963" xr:uid="{00000000-0005-0000-0000-0000F1CE0000}"/>
    <cellStyle name="Normal 8 3 10 2" xfId="52964" xr:uid="{00000000-0005-0000-0000-0000F2CE0000}"/>
    <cellStyle name="Normal 8 3 11" xfId="52965" xr:uid="{00000000-0005-0000-0000-0000F3CE0000}"/>
    <cellStyle name="Normal 8 3 12" xfId="52966" xr:uid="{00000000-0005-0000-0000-0000F4CE0000}"/>
    <cellStyle name="Normal 8 3 13" xfId="52967" xr:uid="{00000000-0005-0000-0000-0000F5CE0000}"/>
    <cellStyle name="Normal 8 3 2" xfId="52968" xr:uid="{00000000-0005-0000-0000-0000F6CE0000}"/>
    <cellStyle name="Normal 8 3 2 10" xfId="52969" xr:uid="{00000000-0005-0000-0000-0000F7CE0000}"/>
    <cellStyle name="Normal 8 3 2 11" xfId="52970" xr:uid="{00000000-0005-0000-0000-0000F8CE0000}"/>
    <cellStyle name="Normal 8 3 2 2" xfId="52971" xr:uid="{00000000-0005-0000-0000-0000F9CE0000}"/>
    <cellStyle name="Normal 8 3 2 2 2" xfId="52972" xr:uid="{00000000-0005-0000-0000-0000FACE0000}"/>
    <cellStyle name="Normal 8 3 2 2 2 2" xfId="52973" xr:uid="{00000000-0005-0000-0000-0000FBCE0000}"/>
    <cellStyle name="Normal 8 3 2 2 2 2 2" xfId="52974" xr:uid="{00000000-0005-0000-0000-0000FCCE0000}"/>
    <cellStyle name="Normal 8 3 2 2 2 2 2 2" xfId="52975" xr:uid="{00000000-0005-0000-0000-0000FDCE0000}"/>
    <cellStyle name="Normal 8 3 2 2 2 2 2 2 2" xfId="52976" xr:uid="{00000000-0005-0000-0000-0000FECE0000}"/>
    <cellStyle name="Normal 8 3 2 2 2 2 2 2 2 2" xfId="52977" xr:uid="{00000000-0005-0000-0000-0000FFCE0000}"/>
    <cellStyle name="Normal 8 3 2 2 2 2 2 2 3" xfId="52978" xr:uid="{00000000-0005-0000-0000-000000CF0000}"/>
    <cellStyle name="Normal 8 3 2 2 2 2 2 2 4" xfId="52979" xr:uid="{00000000-0005-0000-0000-000001CF0000}"/>
    <cellStyle name="Normal 8 3 2 2 2 2 2 3" xfId="52980" xr:uid="{00000000-0005-0000-0000-000002CF0000}"/>
    <cellStyle name="Normal 8 3 2 2 2 2 2 3 2" xfId="52981" xr:uid="{00000000-0005-0000-0000-000003CF0000}"/>
    <cellStyle name="Normal 8 3 2 2 2 2 2 4" xfId="52982" xr:uid="{00000000-0005-0000-0000-000004CF0000}"/>
    <cellStyle name="Normal 8 3 2 2 2 2 2 5" xfId="52983" xr:uid="{00000000-0005-0000-0000-000005CF0000}"/>
    <cellStyle name="Normal 8 3 2 2 2 2 3" xfId="52984" xr:uid="{00000000-0005-0000-0000-000006CF0000}"/>
    <cellStyle name="Normal 8 3 2 2 2 2 3 2" xfId="52985" xr:uid="{00000000-0005-0000-0000-000007CF0000}"/>
    <cellStyle name="Normal 8 3 2 2 2 2 3 2 2" xfId="52986" xr:uid="{00000000-0005-0000-0000-000008CF0000}"/>
    <cellStyle name="Normal 8 3 2 2 2 2 3 3" xfId="52987" xr:uid="{00000000-0005-0000-0000-000009CF0000}"/>
    <cellStyle name="Normal 8 3 2 2 2 2 3 4" xfId="52988" xr:uid="{00000000-0005-0000-0000-00000ACF0000}"/>
    <cellStyle name="Normal 8 3 2 2 2 2 4" xfId="52989" xr:uid="{00000000-0005-0000-0000-00000BCF0000}"/>
    <cellStyle name="Normal 8 3 2 2 2 2 4 2" xfId="52990" xr:uid="{00000000-0005-0000-0000-00000CCF0000}"/>
    <cellStyle name="Normal 8 3 2 2 2 2 5" xfId="52991" xr:uid="{00000000-0005-0000-0000-00000DCF0000}"/>
    <cellStyle name="Normal 8 3 2 2 2 2 6" xfId="52992" xr:uid="{00000000-0005-0000-0000-00000ECF0000}"/>
    <cellStyle name="Normal 8 3 2 2 2 3" xfId="52993" xr:uid="{00000000-0005-0000-0000-00000FCF0000}"/>
    <cellStyle name="Normal 8 3 2 2 2 3 2" xfId="52994" xr:uid="{00000000-0005-0000-0000-000010CF0000}"/>
    <cellStyle name="Normal 8 3 2 2 2 3 2 2" xfId="52995" xr:uid="{00000000-0005-0000-0000-000011CF0000}"/>
    <cellStyle name="Normal 8 3 2 2 2 3 2 2 2" xfId="52996" xr:uid="{00000000-0005-0000-0000-000012CF0000}"/>
    <cellStyle name="Normal 8 3 2 2 2 3 2 3" xfId="52997" xr:uid="{00000000-0005-0000-0000-000013CF0000}"/>
    <cellStyle name="Normal 8 3 2 2 2 3 2 4" xfId="52998" xr:uid="{00000000-0005-0000-0000-000014CF0000}"/>
    <cellStyle name="Normal 8 3 2 2 2 3 3" xfId="52999" xr:uid="{00000000-0005-0000-0000-000015CF0000}"/>
    <cellStyle name="Normal 8 3 2 2 2 3 3 2" xfId="53000" xr:uid="{00000000-0005-0000-0000-000016CF0000}"/>
    <cellStyle name="Normal 8 3 2 2 2 3 4" xfId="53001" xr:uid="{00000000-0005-0000-0000-000017CF0000}"/>
    <cellStyle name="Normal 8 3 2 2 2 3 5" xfId="53002" xr:uid="{00000000-0005-0000-0000-000018CF0000}"/>
    <cellStyle name="Normal 8 3 2 2 2 4" xfId="53003" xr:uid="{00000000-0005-0000-0000-000019CF0000}"/>
    <cellStyle name="Normal 8 3 2 2 2 4 2" xfId="53004" xr:uid="{00000000-0005-0000-0000-00001ACF0000}"/>
    <cellStyle name="Normal 8 3 2 2 2 4 2 2" xfId="53005" xr:uid="{00000000-0005-0000-0000-00001BCF0000}"/>
    <cellStyle name="Normal 8 3 2 2 2 4 3" xfId="53006" xr:uid="{00000000-0005-0000-0000-00001CCF0000}"/>
    <cellStyle name="Normal 8 3 2 2 2 4 4" xfId="53007" xr:uid="{00000000-0005-0000-0000-00001DCF0000}"/>
    <cellStyle name="Normal 8 3 2 2 2 5" xfId="53008" xr:uid="{00000000-0005-0000-0000-00001ECF0000}"/>
    <cellStyle name="Normal 8 3 2 2 2 5 2" xfId="53009" xr:uid="{00000000-0005-0000-0000-00001FCF0000}"/>
    <cellStyle name="Normal 8 3 2 2 2 6" xfId="53010" xr:uid="{00000000-0005-0000-0000-000020CF0000}"/>
    <cellStyle name="Normal 8 3 2 2 2 7" xfId="53011" xr:uid="{00000000-0005-0000-0000-000021CF0000}"/>
    <cellStyle name="Normal 8 3 2 2 3" xfId="53012" xr:uid="{00000000-0005-0000-0000-000022CF0000}"/>
    <cellStyle name="Normal 8 3 2 2 3 2" xfId="53013" xr:uid="{00000000-0005-0000-0000-000023CF0000}"/>
    <cellStyle name="Normal 8 3 2 2 3 2 2" xfId="53014" xr:uid="{00000000-0005-0000-0000-000024CF0000}"/>
    <cellStyle name="Normal 8 3 2 2 3 2 2 2" xfId="53015" xr:uid="{00000000-0005-0000-0000-000025CF0000}"/>
    <cellStyle name="Normal 8 3 2 2 3 2 2 2 2" xfId="53016" xr:uid="{00000000-0005-0000-0000-000026CF0000}"/>
    <cellStyle name="Normal 8 3 2 2 3 2 2 3" xfId="53017" xr:uid="{00000000-0005-0000-0000-000027CF0000}"/>
    <cellStyle name="Normal 8 3 2 2 3 2 2 4" xfId="53018" xr:uid="{00000000-0005-0000-0000-000028CF0000}"/>
    <cellStyle name="Normal 8 3 2 2 3 2 3" xfId="53019" xr:uid="{00000000-0005-0000-0000-000029CF0000}"/>
    <cellStyle name="Normal 8 3 2 2 3 2 3 2" xfId="53020" xr:uid="{00000000-0005-0000-0000-00002ACF0000}"/>
    <cellStyle name="Normal 8 3 2 2 3 2 4" xfId="53021" xr:uid="{00000000-0005-0000-0000-00002BCF0000}"/>
    <cellStyle name="Normal 8 3 2 2 3 2 5" xfId="53022" xr:uid="{00000000-0005-0000-0000-00002CCF0000}"/>
    <cellStyle name="Normal 8 3 2 2 3 3" xfId="53023" xr:uid="{00000000-0005-0000-0000-00002DCF0000}"/>
    <cellStyle name="Normal 8 3 2 2 3 3 2" xfId="53024" xr:uid="{00000000-0005-0000-0000-00002ECF0000}"/>
    <cellStyle name="Normal 8 3 2 2 3 3 2 2" xfId="53025" xr:uid="{00000000-0005-0000-0000-00002FCF0000}"/>
    <cellStyle name="Normal 8 3 2 2 3 3 3" xfId="53026" xr:uid="{00000000-0005-0000-0000-000030CF0000}"/>
    <cellStyle name="Normal 8 3 2 2 3 3 3 2" xfId="53027" xr:uid="{00000000-0005-0000-0000-000031CF0000}"/>
    <cellStyle name="Normal 8 3 2 2 3 3 4" xfId="53028" xr:uid="{00000000-0005-0000-0000-000032CF0000}"/>
    <cellStyle name="Normal 8 3 2 2 3 3 5" xfId="53029" xr:uid="{00000000-0005-0000-0000-000033CF0000}"/>
    <cellStyle name="Normal 8 3 2 2 3 4" xfId="53030" xr:uid="{00000000-0005-0000-0000-000034CF0000}"/>
    <cellStyle name="Normal 8 3 2 2 3 4 2" xfId="53031" xr:uid="{00000000-0005-0000-0000-000035CF0000}"/>
    <cellStyle name="Normal 8 3 2 2 3 5" xfId="53032" xr:uid="{00000000-0005-0000-0000-000036CF0000}"/>
    <cellStyle name="Normal 8 3 2 2 3 5 2" xfId="53033" xr:uid="{00000000-0005-0000-0000-000037CF0000}"/>
    <cellStyle name="Normal 8 3 2 2 3 6" xfId="53034" xr:uid="{00000000-0005-0000-0000-000038CF0000}"/>
    <cellStyle name="Normal 8 3 2 2 3 7" xfId="53035" xr:uid="{00000000-0005-0000-0000-000039CF0000}"/>
    <cellStyle name="Normal 8 3 2 2 4" xfId="53036" xr:uid="{00000000-0005-0000-0000-00003ACF0000}"/>
    <cellStyle name="Normal 8 3 2 2 4 2" xfId="53037" xr:uid="{00000000-0005-0000-0000-00003BCF0000}"/>
    <cellStyle name="Normal 8 3 2 2 4 2 2" xfId="53038" xr:uid="{00000000-0005-0000-0000-00003CCF0000}"/>
    <cellStyle name="Normal 8 3 2 2 4 2 2 2" xfId="53039" xr:uid="{00000000-0005-0000-0000-00003DCF0000}"/>
    <cellStyle name="Normal 8 3 2 2 4 2 3" xfId="53040" xr:uid="{00000000-0005-0000-0000-00003ECF0000}"/>
    <cellStyle name="Normal 8 3 2 2 4 2 4" xfId="53041" xr:uid="{00000000-0005-0000-0000-00003FCF0000}"/>
    <cellStyle name="Normal 8 3 2 2 4 3" xfId="53042" xr:uid="{00000000-0005-0000-0000-000040CF0000}"/>
    <cellStyle name="Normal 8 3 2 2 4 3 2" xfId="53043" xr:uid="{00000000-0005-0000-0000-000041CF0000}"/>
    <cellStyle name="Normal 8 3 2 2 4 4" xfId="53044" xr:uid="{00000000-0005-0000-0000-000042CF0000}"/>
    <cellStyle name="Normal 8 3 2 2 4 5" xfId="53045" xr:uid="{00000000-0005-0000-0000-000043CF0000}"/>
    <cellStyle name="Normal 8 3 2 2 5" xfId="53046" xr:uid="{00000000-0005-0000-0000-000044CF0000}"/>
    <cellStyle name="Normal 8 3 2 2 5 2" xfId="53047" xr:uid="{00000000-0005-0000-0000-000045CF0000}"/>
    <cellStyle name="Normal 8 3 2 2 5 2 2" xfId="53048" xr:uid="{00000000-0005-0000-0000-000046CF0000}"/>
    <cellStyle name="Normal 8 3 2 2 5 3" xfId="53049" xr:uid="{00000000-0005-0000-0000-000047CF0000}"/>
    <cellStyle name="Normal 8 3 2 2 5 3 2" xfId="53050" xr:uid="{00000000-0005-0000-0000-000048CF0000}"/>
    <cellStyle name="Normal 8 3 2 2 5 4" xfId="53051" xr:uid="{00000000-0005-0000-0000-000049CF0000}"/>
    <cellStyle name="Normal 8 3 2 2 5 5" xfId="53052" xr:uid="{00000000-0005-0000-0000-00004ACF0000}"/>
    <cellStyle name="Normal 8 3 2 2 6" xfId="53053" xr:uid="{00000000-0005-0000-0000-00004BCF0000}"/>
    <cellStyle name="Normal 8 3 2 2 6 2" xfId="53054" xr:uid="{00000000-0005-0000-0000-00004CCF0000}"/>
    <cellStyle name="Normal 8 3 2 2 7" xfId="53055" xr:uid="{00000000-0005-0000-0000-00004DCF0000}"/>
    <cellStyle name="Normal 8 3 2 2 7 2" xfId="53056" xr:uid="{00000000-0005-0000-0000-00004ECF0000}"/>
    <cellStyle name="Normal 8 3 2 2 8" xfId="53057" xr:uid="{00000000-0005-0000-0000-00004FCF0000}"/>
    <cellStyle name="Normal 8 3 2 2 9" xfId="53058" xr:uid="{00000000-0005-0000-0000-000050CF0000}"/>
    <cellStyle name="Normal 8 3 2 3" xfId="53059" xr:uid="{00000000-0005-0000-0000-000051CF0000}"/>
    <cellStyle name="Normal 8 3 2 3 2" xfId="53060" xr:uid="{00000000-0005-0000-0000-000052CF0000}"/>
    <cellStyle name="Normal 8 3 2 3 2 2" xfId="53061" xr:uid="{00000000-0005-0000-0000-000053CF0000}"/>
    <cellStyle name="Normal 8 3 2 3 2 2 2" xfId="53062" xr:uid="{00000000-0005-0000-0000-000054CF0000}"/>
    <cellStyle name="Normal 8 3 2 3 2 2 2 2" xfId="53063" xr:uid="{00000000-0005-0000-0000-000055CF0000}"/>
    <cellStyle name="Normal 8 3 2 3 2 2 2 2 2" xfId="53064" xr:uid="{00000000-0005-0000-0000-000056CF0000}"/>
    <cellStyle name="Normal 8 3 2 3 2 2 2 3" xfId="53065" xr:uid="{00000000-0005-0000-0000-000057CF0000}"/>
    <cellStyle name="Normal 8 3 2 3 2 2 2 4" xfId="53066" xr:uid="{00000000-0005-0000-0000-000058CF0000}"/>
    <cellStyle name="Normal 8 3 2 3 2 2 3" xfId="53067" xr:uid="{00000000-0005-0000-0000-000059CF0000}"/>
    <cellStyle name="Normal 8 3 2 3 2 2 3 2" xfId="53068" xr:uid="{00000000-0005-0000-0000-00005ACF0000}"/>
    <cellStyle name="Normal 8 3 2 3 2 2 4" xfId="53069" xr:uid="{00000000-0005-0000-0000-00005BCF0000}"/>
    <cellStyle name="Normal 8 3 2 3 2 2 5" xfId="53070" xr:uid="{00000000-0005-0000-0000-00005CCF0000}"/>
    <cellStyle name="Normal 8 3 2 3 2 3" xfId="53071" xr:uid="{00000000-0005-0000-0000-00005DCF0000}"/>
    <cellStyle name="Normal 8 3 2 3 2 3 2" xfId="53072" xr:uid="{00000000-0005-0000-0000-00005ECF0000}"/>
    <cellStyle name="Normal 8 3 2 3 2 3 2 2" xfId="53073" xr:uid="{00000000-0005-0000-0000-00005FCF0000}"/>
    <cellStyle name="Normal 8 3 2 3 2 3 3" xfId="53074" xr:uid="{00000000-0005-0000-0000-000060CF0000}"/>
    <cellStyle name="Normal 8 3 2 3 2 3 4" xfId="53075" xr:uid="{00000000-0005-0000-0000-000061CF0000}"/>
    <cellStyle name="Normal 8 3 2 3 2 4" xfId="53076" xr:uid="{00000000-0005-0000-0000-000062CF0000}"/>
    <cellStyle name="Normal 8 3 2 3 2 4 2" xfId="53077" xr:uid="{00000000-0005-0000-0000-000063CF0000}"/>
    <cellStyle name="Normal 8 3 2 3 2 5" xfId="53078" xr:uid="{00000000-0005-0000-0000-000064CF0000}"/>
    <cellStyle name="Normal 8 3 2 3 2 6" xfId="53079" xr:uid="{00000000-0005-0000-0000-000065CF0000}"/>
    <cellStyle name="Normal 8 3 2 3 3" xfId="53080" xr:uid="{00000000-0005-0000-0000-000066CF0000}"/>
    <cellStyle name="Normal 8 3 2 3 3 2" xfId="53081" xr:uid="{00000000-0005-0000-0000-000067CF0000}"/>
    <cellStyle name="Normal 8 3 2 3 3 2 2" xfId="53082" xr:uid="{00000000-0005-0000-0000-000068CF0000}"/>
    <cellStyle name="Normal 8 3 2 3 3 2 2 2" xfId="53083" xr:uid="{00000000-0005-0000-0000-000069CF0000}"/>
    <cellStyle name="Normal 8 3 2 3 3 2 3" xfId="53084" xr:uid="{00000000-0005-0000-0000-00006ACF0000}"/>
    <cellStyle name="Normal 8 3 2 3 3 2 4" xfId="53085" xr:uid="{00000000-0005-0000-0000-00006BCF0000}"/>
    <cellStyle name="Normal 8 3 2 3 3 3" xfId="53086" xr:uid="{00000000-0005-0000-0000-00006CCF0000}"/>
    <cellStyle name="Normal 8 3 2 3 3 3 2" xfId="53087" xr:uid="{00000000-0005-0000-0000-00006DCF0000}"/>
    <cellStyle name="Normal 8 3 2 3 3 4" xfId="53088" xr:uid="{00000000-0005-0000-0000-00006ECF0000}"/>
    <cellStyle name="Normal 8 3 2 3 3 5" xfId="53089" xr:uid="{00000000-0005-0000-0000-00006FCF0000}"/>
    <cellStyle name="Normal 8 3 2 3 4" xfId="53090" xr:uid="{00000000-0005-0000-0000-000070CF0000}"/>
    <cellStyle name="Normal 8 3 2 3 4 2" xfId="53091" xr:uid="{00000000-0005-0000-0000-000071CF0000}"/>
    <cellStyle name="Normal 8 3 2 3 4 2 2" xfId="53092" xr:uid="{00000000-0005-0000-0000-000072CF0000}"/>
    <cellStyle name="Normal 8 3 2 3 4 3" xfId="53093" xr:uid="{00000000-0005-0000-0000-000073CF0000}"/>
    <cellStyle name="Normal 8 3 2 3 4 4" xfId="53094" xr:uid="{00000000-0005-0000-0000-000074CF0000}"/>
    <cellStyle name="Normal 8 3 2 3 5" xfId="53095" xr:uid="{00000000-0005-0000-0000-000075CF0000}"/>
    <cellStyle name="Normal 8 3 2 3 5 2" xfId="53096" xr:uid="{00000000-0005-0000-0000-000076CF0000}"/>
    <cellStyle name="Normal 8 3 2 3 6" xfId="53097" xr:uid="{00000000-0005-0000-0000-000077CF0000}"/>
    <cellStyle name="Normal 8 3 2 3 7" xfId="53098" xr:uid="{00000000-0005-0000-0000-000078CF0000}"/>
    <cellStyle name="Normal 8 3 2 4" xfId="53099" xr:uid="{00000000-0005-0000-0000-000079CF0000}"/>
    <cellStyle name="Normal 8 3 2 4 2" xfId="53100" xr:uid="{00000000-0005-0000-0000-00007ACF0000}"/>
    <cellStyle name="Normal 8 3 2 4 2 2" xfId="53101" xr:uid="{00000000-0005-0000-0000-00007BCF0000}"/>
    <cellStyle name="Normal 8 3 2 4 2 2 2" xfId="53102" xr:uid="{00000000-0005-0000-0000-00007CCF0000}"/>
    <cellStyle name="Normal 8 3 2 4 2 2 2 2" xfId="53103" xr:uid="{00000000-0005-0000-0000-00007DCF0000}"/>
    <cellStyle name="Normal 8 3 2 4 2 2 3" xfId="53104" xr:uid="{00000000-0005-0000-0000-00007ECF0000}"/>
    <cellStyle name="Normal 8 3 2 4 2 2 4" xfId="53105" xr:uid="{00000000-0005-0000-0000-00007FCF0000}"/>
    <cellStyle name="Normal 8 3 2 4 2 3" xfId="53106" xr:uid="{00000000-0005-0000-0000-000080CF0000}"/>
    <cellStyle name="Normal 8 3 2 4 2 3 2" xfId="53107" xr:uid="{00000000-0005-0000-0000-000081CF0000}"/>
    <cellStyle name="Normal 8 3 2 4 2 4" xfId="53108" xr:uid="{00000000-0005-0000-0000-000082CF0000}"/>
    <cellStyle name="Normal 8 3 2 4 2 5" xfId="53109" xr:uid="{00000000-0005-0000-0000-000083CF0000}"/>
    <cellStyle name="Normal 8 3 2 4 3" xfId="53110" xr:uid="{00000000-0005-0000-0000-000084CF0000}"/>
    <cellStyle name="Normal 8 3 2 4 3 2" xfId="53111" xr:uid="{00000000-0005-0000-0000-000085CF0000}"/>
    <cellStyle name="Normal 8 3 2 4 3 2 2" xfId="53112" xr:uid="{00000000-0005-0000-0000-000086CF0000}"/>
    <cellStyle name="Normal 8 3 2 4 3 3" xfId="53113" xr:uid="{00000000-0005-0000-0000-000087CF0000}"/>
    <cellStyle name="Normal 8 3 2 4 3 3 2" xfId="53114" xr:uid="{00000000-0005-0000-0000-000088CF0000}"/>
    <cellStyle name="Normal 8 3 2 4 3 4" xfId="53115" xr:uid="{00000000-0005-0000-0000-000089CF0000}"/>
    <cellStyle name="Normal 8 3 2 4 3 5" xfId="53116" xr:uid="{00000000-0005-0000-0000-00008ACF0000}"/>
    <cellStyle name="Normal 8 3 2 4 4" xfId="53117" xr:uid="{00000000-0005-0000-0000-00008BCF0000}"/>
    <cellStyle name="Normal 8 3 2 4 4 2" xfId="53118" xr:uid="{00000000-0005-0000-0000-00008CCF0000}"/>
    <cellStyle name="Normal 8 3 2 4 5" xfId="53119" xr:uid="{00000000-0005-0000-0000-00008DCF0000}"/>
    <cellStyle name="Normal 8 3 2 4 5 2" xfId="53120" xr:uid="{00000000-0005-0000-0000-00008ECF0000}"/>
    <cellStyle name="Normal 8 3 2 4 6" xfId="53121" xr:uid="{00000000-0005-0000-0000-00008FCF0000}"/>
    <cellStyle name="Normal 8 3 2 4 7" xfId="53122" xr:uid="{00000000-0005-0000-0000-000090CF0000}"/>
    <cellStyle name="Normal 8 3 2 5" xfId="53123" xr:uid="{00000000-0005-0000-0000-000091CF0000}"/>
    <cellStyle name="Normal 8 3 2 5 2" xfId="53124" xr:uid="{00000000-0005-0000-0000-000092CF0000}"/>
    <cellStyle name="Normal 8 3 2 5 2 2" xfId="53125" xr:uid="{00000000-0005-0000-0000-000093CF0000}"/>
    <cellStyle name="Normal 8 3 2 5 2 2 2" xfId="53126" xr:uid="{00000000-0005-0000-0000-000094CF0000}"/>
    <cellStyle name="Normal 8 3 2 5 2 3" xfId="53127" xr:uid="{00000000-0005-0000-0000-000095CF0000}"/>
    <cellStyle name="Normal 8 3 2 5 2 4" xfId="53128" xr:uid="{00000000-0005-0000-0000-000096CF0000}"/>
    <cellStyle name="Normal 8 3 2 5 3" xfId="53129" xr:uid="{00000000-0005-0000-0000-000097CF0000}"/>
    <cellStyle name="Normal 8 3 2 5 3 2" xfId="53130" xr:uid="{00000000-0005-0000-0000-000098CF0000}"/>
    <cellStyle name="Normal 8 3 2 5 4" xfId="53131" xr:uid="{00000000-0005-0000-0000-000099CF0000}"/>
    <cellStyle name="Normal 8 3 2 5 5" xfId="53132" xr:uid="{00000000-0005-0000-0000-00009ACF0000}"/>
    <cellStyle name="Normal 8 3 2 6" xfId="53133" xr:uid="{00000000-0005-0000-0000-00009BCF0000}"/>
    <cellStyle name="Normal 8 3 2 6 2" xfId="53134" xr:uid="{00000000-0005-0000-0000-00009CCF0000}"/>
    <cellStyle name="Normal 8 3 2 6 2 2" xfId="53135" xr:uid="{00000000-0005-0000-0000-00009DCF0000}"/>
    <cellStyle name="Normal 8 3 2 6 3" xfId="53136" xr:uid="{00000000-0005-0000-0000-00009ECF0000}"/>
    <cellStyle name="Normal 8 3 2 6 3 2" xfId="53137" xr:uid="{00000000-0005-0000-0000-00009FCF0000}"/>
    <cellStyle name="Normal 8 3 2 6 4" xfId="53138" xr:uid="{00000000-0005-0000-0000-0000A0CF0000}"/>
    <cellStyle name="Normal 8 3 2 6 5" xfId="53139" xr:uid="{00000000-0005-0000-0000-0000A1CF0000}"/>
    <cellStyle name="Normal 8 3 2 7" xfId="53140" xr:uid="{00000000-0005-0000-0000-0000A2CF0000}"/>
    <cellStyle name="Normal 8 3 2 7 2" xfId="53141" xr:uid="{00000000-0005-0000-0000-0000A3CF0000}"/>
    <cellStyle name="Normal 8 3 2 8" xfId="53142" xr:uid="{00000000-0005-0000-0000-0000A4CF0000}"/>
    <cellStyle name="Normal 8 3 2 8 2" xfId="53143" xr:uid="{00000000-0005-0000-0000-0000A5CF0000}"/>
    <cellStyle name="Normal 8 3 2 9" xfId="53144" xr:uid="{00000000-0005-0000-0000-0000A6CF0000}"/>
    <cellStyle name="Normal 8 3 3" xfId="53145" xr:uid="{00000000-0005-0000-0000-0000A7CF0000}"/>
    <cellStyle name="Normal 8 3 3 2" xfId="53146" xr:uid="{00000000-0005-0000-0000-0000A8CF0000}"/>
    <cellStyle name="Normal 8 3 3 2 2" xfId="53147" xr:uid="{00000000-0005-0000-0000-0000A9CF0000}"/>
    <cellStyle name="Normal 8 3 3 2 2 2" xfId="53148" xr:uid="{00000000-0005-0000-0000-0000AACF0000}"/>
    <cellStyle name="Normal 8 3 3 2 2 2 2" xfId="53149" xr:uid="{00000000-0005-0000-0000-0000ABCF0000}"/>
    <cellStyle name="Normal 8 3 3 2 2 2 2 2" xfId="53150" xr:uid="{00000000-0005-0000-0000-0000ACCF0000}"/>
    <cellStyle name="Normal 8 3 3 2 2 2 2 2 2" xfId="53151" xr:uid="{00000000-0005-0000-0000-0000ADCF0000}"/>
    <cellStyle name="Normal 8 3 3 2 2 2 2 3" xfId="53152" xr:uid="{00000000-0005-0000-0000-0000AECF0000}"/>
    <cellStyle name="Normal 8 3 3 2 2 2 2 4" xfId="53153" xr:uid="{00000000-0005-0000-0000-0000AFCF0000}"/>
    <cellStyle name="Normal 8 3 3 2 2 2 3" xfId="53154" xr:uid="{00000000-0005-0000-0000-0000B0CF0000}"/>
    <cellStyle name="Normal 8 3 3 2 2 2 3 2" xfId="53155" xr:uid="{00000000-0005-0000-0000-0000B1CF0000}"/>
    <cellStyle name="Normal 8 3 3 2 2 2 4" xfId="53156" xr:uid="{00000000-0005-0000-0000-0000B2CF0000}"/>
    <cellStyle name="Normal 8 3 3 2 2 2 5" xfId="53157" xr:uid="{00000000-0005-0000-0000-0000B3CF0000}"/>
    <cellStyle name="Normal 8 3 3 2 2 3" xfId="53158" xr:uid="{00000000-0005-0000-0000-0000B4CF0000}"/>
    <cellStyle name="Normal 8 3 3 2 2 3 2" xfId="53159" xr:uid="{00000000-0005-0000-0000-0000B5CF0000}"/>
    <cellStyle name="Normal 8 3 3 2 2 3 2 2" xfId="53160" xr:uid="{00000000-0005-0000-0000-0000B6CF0000}"/>
    <cellStyle name="Normal 8 3 3 2 2 3 3" xfId="53161" xr:uid="{00000000-0005-0000-0000-0000B7CF0000}"/>
    <cellStyle name="Normal 8 3 3 2 2 3 4" xfId="53162" xr:uid="{00000000-0005-0000-0000-0000B8CF0000}"/>
    <cellStyle name="Normal 8 3 3 2 2 4" xfId="53163" xr:uid="{00000000-0005-0000-0000-0000B9CF0000}"/>
    <cellStyle name="Normal 8 3 3 2 2 4 2" xfId="53164" xr:uid="{00000000-0005-0000-0000-0000BACF0000}"/>
    <cellStyle name="Normal 8 3 3 2 2 5" xfId="53165" xr:uid="{00000000-0005-0000-0000-0000BBCF0000}"/>
    <cellStyle name="Normal 8 3 3 2 2 6" xfId="53166" xr:uid="{00000000-0005-0000-0000-0000BCCF0000}"/>
    <cellStyle name="Normal 8 3 3 2 3" xfId="53167" xr:uid="{00000000-0005-0000-0000-0000BDCF0000}"/>
    <cellStyle name="Normal 8 3 3 2 3 2" xfId="53168" xr:uid="{00000000-0005-0000-0000-0000BECF0000}"/>
    <cellStyle name="Normal 8 3 3 2 3 2 2" xfId="53169" xr:uid="{00000000-0005-0000-0000-0000BFCF0000}"/>
    <cellStyle name="Normal 8 3 3 2 3 2 2 2" xfId="53170" xr:uid="{00000000-0005-0000-0000-0000C0CF0000}"/>
    <cellStyle name="Normal 8 3 3 2 3 2 3" xfId="53171" xr:uid="{00000000-0005-0000-0000-0000C1CF0000}"/>
    <cellStyle name="Normal 8 3 3 2 3 2 4" xfId="53172" xr:uid="{00000000-0005-0000-0000-0000C2CF0000}"/>
    <cellStyle name="Normal 8 3 3 2 3 3" xfId="53173" xr:uid="{00000000-0005-0000-0000-0000C3CF0000}"/>
    <cellStyle name="Normal 8 3 3 2 3 3 2" xfId="53174" xr:uid="{00000000-0005-0000-0000-0000C4CF0000}"/>
    <cellStyle name="Normal 8 3 3 2 3 4" xfId="53175" xr:uid="{00000000-0005-0000-0000-0000C5CF0000}"/>
    <cellStyle name="Normal 8 3 3 2 3 5" xfId="53176" xr:uid="{00000000-0005-0000-0000-0000C6CF0000}"/>
    <cellStyle name="Normal 8 3 3 2 4" xfId="53177" xr:uid="{00000000-0005-0000-0000-0000C7CF0000}"/>
    <cellStyle name="Normal 8 3 3 2 4 2" xfId="53178" xr:uid="{00000000-0005-0000-0000-0000C8CF0000}"/>
    <cellStyle name="Normal 8 3 3 2 4 2 2" xfId="53179" xr:uid="{00000000-0005-0000-0000-0000C9CF0000}"/>
    <cellStyle name="Normal 8 3 3 2 4 3" xfId="53180" xr:uid="{00000000-0005-0000-0000-0000CACF0000}"/>
    <cellStyle name="Normal 8 3 3 2 4 4" xfId="53181" xr:uid="{00000000-0005-0000-0000-0000CBCF0000}"/>
    <cellStyle name="Normal 8 3 3 2 5" xfId="53182" xr:uid="{00000000-0005-0000-0000-0000CCCF0000}"/>
    <cellStyle name="Normal 8 3 3 2 5 2" xfId="53183" xr:uid="{00000000-0005-0000-0000-0000CDCF0000}"/>
    <cellStyle name="Normal 8 3 3 2 6" xfId="53184" xr:uid="{00000000-0005-0000-0000-0000CECF0000}"/>
    <cellStyle name="Normal 8 3 3 2 7" xfId="53185" xr:uid="{00000000-0005-0000-0000-0000CFCF0000}"/>
    <cellStyle name="Normal 8 3 3 3" xfId="53186" xr:uid="{00000000-0005-0000-0000-0000D0CF0000}"/>
    <cellStyle name="Normal 8 3 3 3 2" xfId="53187" xr:uid="{00000000-0005-0000-0000-0000D1CF0000}"/>
    <cellStyle name="Normal 8 3 3 3 2 2" xfId="53188" xr:uid="{00000000-0005-0000-0000-0000D2CF0000}"/>
    <cellStyle name="Normal 8 3 3 3 2 2 2" xfId="53189" xr:uid="{00000000-0005-0000-0000-0000D3CF0000}"/>
    <cellStyle name="Normal 8 3 3 3 2 2 2 2" xfId="53190" xr:uid="{00000000-0005-0000-0000-0000D4CF0000}"/>
    <cellStyle name="Normal 8 3 3 3 2 2 3" xfId="53191" xr:uid="{00000000-0005-0000-0000-0000D5CF0000}"/>
    <cellStyle name="Normal 8 3 3 3 2 2 4" xfId="53192" xr:uid="{00000000-0005-0000-0000-0000D6CF0000}"/>
    <cellStyle name="Normal 8 3 3 3 2 3" xfId="53193" xr:uid="{00000000-0005-0000-0000-0000D7CF0000}"/>
    <cellStyle name="Normal 8 3 3 3 2 3 2" xfId="53194" xr:uid="{00000000-0005-0000-0000-0000D8CF0000}"/>
    <cellStyle name="Normal 8 3 3 3 2 4" xfId="53195" xr:uid="{00000000-0005-0000-0000-0000D9CF0000}"/>
    <cellStyle name="Normal 8 3 3 3 2 5" xfId="53196" xr:uid="{00000000-0005-0000-0000-0000DACF0000}"/>
    <cellStyle name="Normal 8 3 3 3 3" xfId="53197" xr:uid="{00000000-0005-0000-0000-0000DBCF0000}"/>
    <cellStyle name="Normal 8 3 3 3 3 2" xfId="53198" xr:uid="{00000000-0005-0000-0000-0000DCCF0000}"/>
    <cellStyle name="Normal 8 3 3 3 3 2 2" xfId="53199" xr:uid="{00000000-0005-0000-0000-0000DDCF0000}"/>
    <cellStyle name="Normal 8 3 3 3 3 3" xfId="53200" xr:uid="{00000000-0005-0000-0000-0000DECF0000}"/>
    <cellStyle name="Normal 8 3 3 3 3 3 2" xfId="53201" xr:uid="{00000000-0005-0000-0000-0000DFCF0000}"/>
    <cellStyle name="Normal 8 3 3 3 3 4" xfId="53202" xr:uid="{00000000-0005-0000-0000-0000E0CF0000}"/>
    <cellStyle name="Normal 8 3 3 3 3 5" xfId="53203" xr:uid="{00000000-0005-0000-0000-0000E1CF0000}"/>
    <cellStyle name="Normal 8 3 3 3 4" xfId="53204" xr:uid="{00000000-0005-0000-0000-0000E2CF0000}"/>
    <cellStyle name="Normal 8 3 3 3 4 2" xfId="53205" xr:uid="{00000000-0005-0000-0000-0000E3CF0000}"/>
    <cellStyle name="Normal 8 3 3 3 5" xfId="53206" xr:uid="{00000000-0005-0000-0000-0000E4CF0000}"/>
    <cellStyle name="Normal 8 3 3 3 5 2" xfId="53207" xr:uid="{00000000-0005-0000-0000-0000E5CF0000}"/>
    <cellStyle name="Normal 8 3 3 3 6" xfId="53208" xr:uid="{00000000-0005-0000-0000-0000E6CF0000}"/>
    <cellStyle name="Normal 8 3 3 3 7" xfId="53209" xr:uid="{00000000-0005-0000-0000-0000E7CF0000}"/>
    <cellStyle name="Normal 8 3 3 4" xfId="53210" xr:uid="{00000000-0005-0000-0000-0000E8CF0000}"/>
    <cellStyle name="Normal 8 3 3 4 2" xfId="53211" xr:uid="{00000000-0005-0000-0000-0000E9CF0000}"/>
    <cellStyle name="Normal 8 3 3 4 2 2" xfId="53212" xr:uid="{00000000-0005-0000-0000-0000EACF0000}"/>
    <cellStyle name="Normal 8 3 3 4 2 2 2" xfId="53213" xr:uid="{00000000-0005-0000-0000-0000EBCF0000}"/>
    <cellStyle name="Normal 8 3 3 4 2 3" xfId="53214" xr:uid="{00000000-0005-0000-0000-0000ECCF0000}"/>
    <cellStyle name="Normal 8 3 3 4 2 4" xfId="53215" xr:uid="{00000000-0005-0000-0000-0000EDCF0000}"/>
    <cellStyle name="Normal 8 3 3 4 3" xfId="53216" xr:uid="{00000000-0005-0000-0000-0000EECF0000}"/>
    <cellStyle name="Normal 8 3 3 4 3 2" xfId="53217" xr:uid="{00000000-0005-0000-0000-0000EFCF0000}"/>
    <cellStyle name="Normal 8 3 3 4 4" xfId="53218" xr:uid="{00000000-0005-0000-0000-0000F0CF0000}"/>
    <cellStyle name="Normal 8 3 3 4 5" xfId="53219" xr:uid="{00000000-0005-0000-0000-0000F1CF0000}"/>
    <cellStyle name="Normal 8 3 3 5" xfId="53220" xr:uid="{00000000-0005-0000-0000-0000F2CF0000}"/>
    <cellStyle name="Normal 8 3 3 5 2" xfId="53221" xr:uid="{00000000-0005-0000-0000-0000F3CF0000}"/>
    <cellStyle name="Normal 8 3 3 5 2 2" xfId="53222" xr:uid="{00000000-0005-0000-0000-0000F4CF0000}"/>
    <cellStyle name="Normal 8 3 3 5 3" xfId="53223" xr:uid="{00000000-0005-0000-0000-0000F5CF0000}"/>
    <cellStyle name="Normal 8 3 3 5 3 2" xfId="53224" xr:uid="{00000000-0005-0000-0000-0000F6CF0000}"/>
    <cellStyle name="Normal 8 3 3 5 4" xfId="53225" xr:uid="{00000000-0005-0000-0000-0000F7CF0000}"/>
    <cellStyle name="Normal 8 3 3 5 5" xfId="53226" xr:uid="{00000000-0005-0000-0000-0000F8CF0000}"/>
    <cellStyle name="Normal 8 3 3 6" xfId="53227" xr:uid="{00000000-0005-0000-0000-0000F9CF0000}"/>
    <cellStyle name="Normal 8 3 3 6 2" xfId="53228" xr:uid="{00000000-0005-0000-0000-0000FACF0000}"/>
    <cellStyle name="Normal 8 3 3 7" xfId="53229" xr:uid="{00000000-0005-0000-0000-0000FBCF0000}"/>
    <cellStyle name="Normal 8 3 3 7 2" xfId="53230" xr:uid="{00000000-0005-0000-0000-0000FCCF0000}"/>
    <cellStyle name="Normal 8 3 3 8" xfId="53231" xr:uid="{00000000-0005-0000-0000-0000FDCF0000}"/>
    <cellStyle name="Normal 8 3 3 9" xfId="53232" xr:uid="{00000000-0005-0000-0000-0000FECF0000}"/>
    <cellStyle name="Normal 8 3 4" xfId="53233" xr:uid="{00000000-0005-0000-0000-0000FFCF0000}"/>
    <cellStyle name="Normal 8 3 4 2" xfId="53234" xr:uid="{00000000-0005-0000-0000-000000D00000}"/>
    <cellStyle name="Normal 8 3 4 2 2" xfId="53235" xr:uid="{00000000-0005-0000-0000-000001D00000}"/>
    <cellStyle name="Normal 8 3 4 2 2 2" xfId="53236" xr:uid="{00000000-0005-0000-0000-000002D00000}"/>
    <cellStyle name="Normal 8 3 4 2 2 2 2" xfId="53237" xr:uid="{00000000-0005-0000-0000-000003D00000}"/>
    <cellStyle name="Normal 8 3 4 2 2 2 2 2" xfId="53238" xr:uid="{00000000-0005-0000-0000-000004D00000}"/>
    <cellStyle name="Normal 8 3 4 2 2 2 3" xfId="53239" xr:uid="{00000000-0005-0000-0000-000005D00000}"/>
    <cellStyle name="Normal 8 3 4 2 2 2 4" xfId="53240" xr:uid="{00000000-0005-0000-0000-000006D00000}"/>
    <cellStyle name="Normal 8 3 4 2 2 3" xfId="53241" xr:uid="{00000000-0005-0000-0000-000007D00000}"/>
    <cellStyle name="Normal 8 3 4 2 2 3 2" xfId="53242" xr:uid="{00000000-0005-0000-0000-000008D00000}"/>
    <cellStyle name="Normal 8 3 4 2 2 4" xfId="53243" xr:uid="{00000000-0005-0000-0000-000009D00000}"/>
    <cellStyle name="Normal 8 3 4 2 2 5" xfId="53244" xr:uid="{00000000-0005-0000-0000-00000AD00000}"/>
    <cellStyle name="Normal 8 3 4 2 3" xfId="53245" xr:uid="{00000000-0005-0000-0000-00000BD00000}"/>
    <cellStyle name="Normal 8 3 4 2 3 2" xfId="53246" xr:uid="{00000000-0005-0000-0000-00000CD00000}"/>
    <cellStyle name="Normal 8 3 4 2 3 2 2" xfId="53247" xr:uid="{00000000-0005-0000-0000-00000DD00000}"/>
    <cellStyle name="Normal 8 3 4 2 3 3" xfId="53248" xr:uid="{00000000-0005-0000-0000-00000ED00000}"/>
    <cellStyle name="Normal 8 3 4 2 3 3 2" xfId="53249" xr:uid="{00000000-0005-0000-0000-00000FD00000}"/>
    <cellStyle name="Normal 8 3 4 2 3 4" xfId="53250" xr:uid="{00000000-0005-0000-0000-000010D00000}"/>
    <cellStyle name="Normal 8 3 4 2 3 5" xfId="53251" xr:uid="{00000000-0005-0000-0000-000011D00000}"/>
    <cellStyle name="Normal 8 3 4 2 4" xfId="53252" xr:uid="{00000000-0005-0000-0000-000012D00000}"/>
    <cellStyle name="Normal 8 3 4 2 4 2" xfId="53253" xr:uid="{00000000-0005-0000-0000-000013D00000}"/>
    <cellStyle name="Normal 8 3 4 2 5" xfId="53254" xr:uid="{00000000-0005-0000-0000-000014D00000}"/>
    <cellStyle name="Normal 8 3 4 2 5 2" xfId="53255" xr:uid="{00000000-0005-0000-0000-000015D00000}"/>
    <cellStyle name="Normal 8 3 4 2 6" xfId="53256" xr:uid="{00000000-0005-0000-0000-000016D00000}"/>
    <cellStyle name="Normal 8 3 4 2 7" xfId="53257" xr:uid="{00000000-0005-0000-0000-000017D00000}"/>
    <cellStyle name="Normal 8 3 4 3" xfId="53258" xr:uid="{00000000-0005-0000-0000-000018D00000}"/>
    <cellStyle name="Normal 8 3 4 3 2" xfId="53259" xr:uid="{00000000-0005-0000-0000-000019D00000}"/>
    <cellStyle name="Normal 8 3 4 3 2 2" xfId="53260" xr:uid="{00000000-0005-0000-0000-00001AD00000}"/>
    <cellStyle name="Normal 8 3 4 3 2 2 2" xfId="53261" xr:uid="{00000000-0005-0000-0000-00001BD00000}"/>
    <cellStyle name="Normal 8 3 4 3 2 3" xfId="53262" xr:uid="{00000000-0005-0000-0000-00001CD00000}"/>
    <cellStyle name="Normal 8 3 4 3 2 4" xfId="53263" xr:uid="{00000000-0005-0000-0000-00001DD00000}"/>
    <cellStyle name="Normal 8 3 4 3 3" xfId="53264" xr:uid="{00000000-0005-0000-0000-00001ED00000}"/>
    <cellStyle name="Normal 8 3 4 3 3 2" xfId="53265" xr:uid="{00000000-0005-0000-0000-00001FD00000}"/>
    <cellStyle name="Normal 8 3 4 3 4" xfId="53266" xr:uid="{00000000-0005-0000-0000-000020D00000}"/>
    <cellStyle name="Normal 8 3 4 3 5" xfId="53267" xr:uid="{00000000-0005-0000-0000-000021D00000}"/>
    <cellStyle name="Normal 8 3 4 4" xfId="53268" xr:uid="{00000000-0005-0000-0000-000022D00000}"/>
    <cellStyle name="Normal 8 3 4 4 2" xfId="53269" xr:uid="{00000000-0005-0000-0000-000023D00000}"/>
    <cellStyle name="Normal 8 3 4 4 2 2" xfId="53270" xr:uid="{00000000-0005-0000-0000-000024D00000}"/>
    <cellStyle name="Normal 8 3 4 4 3" xfId="53271" xr:uid="{00000000-0005-0000-0000-000025D00000}"/>
    <cellStyle name="Normal 8 3 4 4 3 2" xfId="53272" xr:uid="{00000000-0005-0000-0000-000026D00000}"/>
    <cellStyle name="Normal 8 3 4 4 4" xfId="53273" xr:uid="{00000000-0005-0000-0000-000027D00000}"/>
    <cellStyle name="Normal 8 3 4 4 5" xfId="53274" xr:uid="{00000000-0005-0000-0000-000028D00000}"/>
    <cellStyle name="Normal 8 3 4 5" xfId="53275" xr:uid="{00000000-0005-0000-0000-000029D00000}"/>
    <cellStyle name="Normal 8 3 4 5 2" xfId="53276" xr:uid="{00000000-0005-0000-0000-00002AD00000}"/>
    <cellStyle name="Normal 8 3 4 6" xfId="53277" xr:uid="{00000000-0005-0000-0000-00002BD00000}"/>
    <cellStyle name="Normal 8 3 4 6 2" xfId="53278" xr:uid="{00000000-0005-0000-0000-00002CD00000}"/>
    <cellStyle name="Normal 8 3 4 7" xfId="53279" xr:uid="{00000000-0005-0000-0000-00002DD00000}"/>
    <cellStyle name="Normal 8 3 4 8" xfId="53280" xr:uid="{00000000-0005-0000-0000-00002ED00000}"/>
    <cellStyle name="Normal 8 3 5" xfId="53281" xr:uid="{00000000-0005-0000-0000-00002FD00000}"/>
    <cellStyle name="Normal 8 3 5 2" xfId="53282" xr:uid="{00000000-0005-0000-0000-000030D00000}"/>
    <cellStyle name="Normal 8 3 5 2 2" xfId="53283" xr:uid="{00000000-0005-0000-0000-000031D00000}"/>
    <cellStyle name="Normal 8 3 5 2 2 2" xfId="53284" xr:uid="{00000000-0005-0000-0000-000032D00000}"/>
    <cellStyle name="Normal 8 3 5 2 2 2 2" xfId="53285" xr:uid="{00000000-0005-0000-0000-000033D00000}"/>
    <cellStyle name="Normal 8 3 5 2 2 3" xfId="53286" xr:uid="{00000000-0005-0000-0000-000034D00000}"/>
    <cellStyle name="Normal 8 3 5 2 2 4" xfId="53287" xr:uid="{00000000-0005-0000-0000-000035D00000}"/>
    <cellStyle name="Normal 8 3 5 2 3" xfId="53288" xr:uid="{00000000-0005-0000-0000-000036D00000}"/>
    <cellStyle name="Normal 8 3 5 2 3 2" xfId="53289" xr:uid="{00000000-0005-0000-0000-000037D00000}"/>
    <cellStyle name="Normal 8 3 5 2 4" xfId="53290" xr:uid="{00000000-0005-0000-0000-000038D00000}"/>
    <cellStyle name="Normal 8 3 5 2 5" xfId="53291" xr:uid="{00000000-0005-0000-0000-000039D00000}"/>
    <cellStyle name="Normal 8 3 5 3" xfId="53292" xr:uid="{00000000-0005-0000-0000-00003AD00000}"/>
    <cellStyle name="Normal 8 3 5 3 2" xfId="53293" xr:uid="{00000000-0005-0000-0000-00003BD00000}"/>
    <cellStyle name="Normal 8 3 5 3 3" xfId="53294" xr:uid="{00000000-0005-0000-0000-00003CD00000}"/>
    <cellStyle name="Normal 8 3 5 4" xfId="53295" xr:uid="{00000000-0005-0000-0000-00003DD00000}"/>
    <cellStyle name="Normal 8 3 5 4 2" xfId="53296" xr:uid="{00000000-0005-0000-0000-00003ED00000}"/>
    <cellStyle name="Normal 8 3 5 5" xfId="53297" xr:uid="{00000000-0005-0000-0000-00003FD00000}"/>
    <cellStyle name="Normal 8 3 6" xfId="53298" xr:uid="{00000000-0005-0000-0000-000040D00000}"/>
    <cellStyle name="Normal 8 3 6 2" xfId="53299" xr:uid="{00000000-0005-0000-0000-000041D00000}"/>
    <cellStyle name="Normal 8 3 6 2 2" xfId="53300" xr:uid="{00000000-0005-0000-0000-000042D00000}"/>
    <cellStyle name="Normal 8 3 6 2 2 2" xfId="53301" xr:uid="{00000000-0005-0000-0000-000043D00000}"/>
    <cellStyle name="Normal 8 3 6 2 3" xfId="53302" xr:uid="{00000000-0005-0000-0000-000044D00000}"/>
    <cellStyle name="Normal 8 3 6 2 3 2" xfId="53303" xr:uid="{00000000-0005-0000-0000-000045D00000}"/>
    <cellStyle name="Normal 8 3 6 2 4" xfId="53304" xr:uid="{00000000-0005-0000-0000-000046D00000}"/>
    <cellStyle name="Normal 8 3 6 2 5" xfId="53305" xr:uid="{00000000-0005-0000-0000-000047D00000}"/>
    <cellStyle name="Normal 8 3 6 3" xfId="53306" xr:uid="{00000000-0005-0000-0000-000048D00000}"/>
    <cellStyle name="Normal 8 3 6 3 2" xfId="53307" xr:uid="{00000000-0005-0000-0000-000049D00000}"/>
    <cellStyle name="Normal 8 3 6 4" xfId="53308" xr:uid="{00000000-0005-0000-0000-00004AD00000}"/>
    <cellStyle name="Normal 8 3 6 4 2" xfId="53309" xr:uid="{00000000-0005-0000-0000-00004BD00000}"/>
    <cellStyle name="Normal 8 3 6 5" xfId="53310" xr:uid="{00000000-0005-0000-0000-00004CD00000}"/>
    <cellStyle name="Normal 8 3 6 6" xfId="53311" xr:uid="{00000000-0005-0000-0000-00004DD00000}"/>
    <cellStyle name="Normal 8 3 7" xfId="53312" xr:uid="{00000000-0005-0000-0000-00004ED00000}"/>
    <cellStyle name="Normal 8 3 7 2" xfId="53313" xr:uid="{00000000-0005-0000-0000-00004FD00000}"/>
    <cellStyle name="Normal 8 3 7 2 2" xfId="53314" xr:uid="{00000000-0005-0000-0000-000050D00000}"/>
    <cellStyle name="Normal 8 3 7 3" xfId="53315" xr:uid="{00000000-0005-0000-0000-000051D00000}"/>
    <cellStyle name="Normal 8 3 7 3 2" xfId="53316" xr:uid="{00000000-0005-0000-0000-000052D00000}"/>
    <cellStyle name="Normal 8 3 7 4" xfId="53317" xr:uid="{00000000-0005-0000-0000-000053D00000}"/>
    <cellStyle name="Normal 8 3 7 5" xfId="53318" xr:uid="{00000000-0005-0000-0000-000054D00000}"/>
    <cellStyle name="Normal 8 3 8" xfId="53319" xr:uid="{00000000-0005-0000-0000-000055D00000}"/>
    <cellStyle name="Normal 8 3 8 2" xfId="53320" xr:uid="{00000000-0005-0000-0000-000056D00000}"/>
    <cellStyle name="Normal 8 3 8 2 2" xfId="53321" xr:uid="{00000000-0005-0000-0000-000057D00000}"/>
    <cellStyle name="Normal 8 3 8 3" xfId="53322" xr:uid="{00000000-0005-0000-0000-000058D00000}"/>
    <cellStyle name="Normal 8 3 9" xfId="53323" xr:uid="{00000000-0005-0000-0000-000059D00000}"/>
    <cellStyle name="Normal 8 3 9 2" xfId="53324" xr:uid="{00000000-0005-0000-0000-00005AD00000}"/>
    <cellStyle name="Normal 8 30" xfId="53325" xr:uid="{00000000-0005-0000-0000-00005BD00000}"/>
    <cellStyle name="Normal 8 30 2" xfId="53326" xr:uid="{00000000-0005-0000-0000-00005CD00000}"/>
    <cellStyle name="Normal 8 31" xfId="53327" xr:uid="{00000000-0005-0000-0000-00005DD00000}"/>
    <cellStyle name="Normal 8 31 2" xfId="53328" xr:uid="{00000000-0005-0000-0000-00005ED00000}"/>
    <cellStyle name="Normal 8 32" xfId="53329" xr:uid="{00000000-0005-0000-0000-00005FD00000}"/>
    <cellStyle name="Normal 8 32 2" xfId="53330" xr:uid="{00000000-0005-0000-0000-000060D00000}"/>
    <cellStyle name="Normal 8 33" xfId="53331" xr:uid="{00000000-0005-0000-0000-000061D00000}"/>
    <cellStyle name="Normal 8 33 2" xfId="53332" xr:uid="{00000000-0005-0000-0000-000062D00000}"/>
    <cellStyle name="Normal 8 34" xfId="53333" xr:uid="{00000000-0005-0000-0000-000063D00000}"/>
    <cellStyle name="Normal 8 34 2" xfId="53334" xr:uid="{00000000-0005-0000-0000-000064D00000}"/>
    <cellStyle name="Normal 8 35" xfId="53335" xr:uid="{00000000-0005-0000-0000-000065D00000}"/>
    <cellStyle name="Normal 8 35 2" xfId="53336" xr:uid="{00000000-0005-0000-0000-000066D00000}"/>
    <cellStyle name="Normal 8 36" xfId="53337" xr:uid="{00000000-0005-0000-0000-000067D00000}"/>
    <cellStyle name="Normal 8 36 2" xfId="53338" xr:uid="{00000000-0005-0000-0000-000068D00000}"/>
    <cellStyle name="Normal 8 37" xfId="53339" xr:uid="{00000000-0005-0000-0000-000069D00000}"/>
    <cellStyle name="Normal 8 37 2" xfId="53340" xr:uid="{00000000-0005-0000-0000-00006AD00000}"/>
    <cellStyle name="Normal 8 38" xfId="53341" xr:uid="{00000000-0005-0000-0000-00006BD00000}"/>
    <cellStyle name="Normal 8 38 2" xfId="53342" xr:uid="{00000000-0005-0000-0000-00006CD00000}"/>
    <cellStyle name="Normal 8 39" xfId="53343" xr:uid="{00000000-0005-0000-0000-00006DD00000}"/>
    <cellStyle name="Normal 8 39 2" xfId="53344" xr:uid="{00000000-0005-0000-0000-00006ED00000}"/>
    <cellStyle name="Normal 8 4" xfId="53345" xr:uid="{00000000-0005-0000-0000-00006FD00000}"/>
    <cellStyle name="Normal 8 4 10" xfId="53346" xr:uid="{00000000-0005-0000-0000-000070D00000}"/>
    <cellStyle name="Normal 8 4 11" xfId="53347" xr:uid="{00000000-0005-0000-0000-000071D00000}"/>
    <cellStyle name="Normal 8 4 12" xfId="53348" xr:uid="{00000000-0005-0000-0000-000072D00000}"/>
    <cellStyle name="Normal 8 4 2" xfId="53349" xr:uid="{00000000-0005-0000-0000-000073D00000}"/>
    <cellStyle name="Normal 8 4 2 10" xfId="53350" xr:uid="{00000000-0005-0000-0000-000074D00000}"/>
    <cellStyle name="Normal 8 4 2 2" xfId="53351" xr:uid="{00000000-0005-0000-0000-000075D00000}"/>
    <cellStyle name="Normal 8 4 2 2 2" xfId="53352" xr:uid="{00000000-0005-0000-0000-000076D00000}"/>
    <cellStyle name="Normal 8 4 2 2 2 2" xfId="53353" xr:uid="{00000000-0005-0000-0000-000077D00000}"/>
    <cellStyle name="Normal 8 4 2 2 2 2 2" xfId="53354" xr:uid="{00000000-0005-0000-0000-000078D00000}"/>
    <cellStyle name="Normal 8 4 2 2 2 2 2 2" xfId="53355" xr:uid="{00000000-0005-0000-0000-000079D00000}"/>
    <cellStyle name="Normal 8 4 2 2 2 2 2 2 2" xfId="53356" xr:uid="{00000000-0005-0000-0000-00007AD00000}"/>
    <cellStyle name="Normal 8 4 2 2 2 2 2 3" xfId="53357" xr:uid="{00000000-0005-0000-0000-00007BD00000}"/>
    <cellStyle name="Normal 8 4 2 2 2 2 2 4" xfId="53358" xr:uid="{00000000-0005-0000-0000-00007CD00000}"/>
    <cellStyle name="Normal 8 4 2 2 2 2 3" xfId="53359" xr:uid="{00000000-0005-0000-0000-00007DD00000}"/>
    <cellStyle name="Normal 8 4 2 2 2 2 3 2" xfId="53360" xr:uid="{00000000-0005-0000-0000-00007ED00000}"/>
    <cellStyle name="Normal 8 4 2 2 2 2 4" xfId="53361" xr:uid="{00000000-0005-0000-0000-00007FD00000}"/>
    <cellStyle name="Normal 8 4 2 2 2 2 5" xfId="53362" xr:uid="{00000000-0005-0000-0000-000080D00000}"/>
    <cellStyle name="Normal 8 4 2 2 2 3" xfId="53363" xr:uid="{00000000-0005-0000-0000-000081D00000}"/>
    <cellStyle name="Normal 8 4 2 2 2 3 2" xfId="53364" xr:uid="{00000000-0005-0000-0000-000082D00000}"/>
    <cellStyle name="Normal 8 4 2 2 2 3 2 2" xfId="53365" xr:uid="{00000000-0005-0000-0000-000083D00000}"/>
    <cellStyle name="Normal 8 4 2 2 2 3 3" xfId="53366" xr:uid="{00000000-0005-0000-0000-000084D00000}"/>
    <cellStyle name="Normal 8 4 2 2 2 3 4" xfId="53367" xr:uid="{00000000-0005-0000-0000-000085D00000}"/>
    <cellStyle name="Normal 8 4 2 2 2 4" xfId="53368" xr:uid="{00000000-0005-0000-0000-000086D00000}"/>
    <cellStyle name="Normal 8 4 2 2 2 4 2" xfId="53369" xr:uid="{00000000-0005-0000-0000-000087D00000}"/>
    <cellStyle name="Normal 8 4 2 2 2 5" xfId="53370" xr:uid="{00000000-0005-0000-0000-000088D00000}"/>
    <cellStyle name="Normal 8 4 2 2 2 6" xfId="53371" xr:uid="{00000000-0005-0000-0000-000089D00000}"/>
    <cellStyle name="Normal 8 4 2 2 3" xfId="53372" xr:uid="{00000000-0005-0000-0000-00008AD00000}"/>
    <cellStyle name="Normal 8 4 2 2 3 2" xfId="53373" xr:uid="{00000000-0005-0000-0000-00008BD00000}"/>
    <cellStyle name="Normal 8 4 2 2 3 2 2" xfId="53374" xr:uid="{00000000-0005-0000-0000-00008CD00000}"/>
    <cellStyle name="Normal 8 4 2 2 3 2 2 2" xfId="53375" xr:uid="{00000000-0005-0000-0000-00008DD00000}"/>
    <cellStyle name="Normal 8 4 2 2 3 2 3" xfId="53376" xr:uid="{00000000-0005-0000-0000-00008ED00000}"/>
    <cellStyle name="Normal 8 4 2 2 3 2 4" xfId="53377" xr:uid="{00000000-0005-0000-0000-00008FD00000}"/>
    <cellStyle name="Normal 8 4 2 2 3 3" xfId="53378" xr:uid="{00000000-0005-0000-0000-000090D00000}"/>
    <cellStyle name="Normal 8 4 2 2 3 3 2" xfId="53379" xr:uid="{00000000-0005-0000-0000-000091D00000}"/>
    <cellStyle name="Normal 8 4 2 2 3 4" xfId="53380" xr:uid="{00000000-0005-0000-0000-000092D00000}"/>
    <cellStyle name="Normal 8 4 2 2 3 5" xfId="53381" xr:uid="{00000000-0005-0000-0000-000093D00000}"/>
    <cellStyle name="Normal 8 4 2 2 4" xfId="53382" xr:uid="{00000000-0005-0000-0000-000094D00000}"/>
    <cellStyle name="Normal 8 4 2 2 4 2" xfId="53383" xr:uid="{00000000-0005-0000-0000-000095D00000}"/>
    <cellStyle name="Normal 8 4 2 2 4 2 2" xfId="53384" xr:uid="{00000000-0005-0000-0000-000096D00000}"/>
    <cellStyle name="Normal 8 4 2 2 4 3" xfId="53385" xr:uid="{00000000-0005-0000-0000-000097D00000}"/>
    <cellStyle name="Normal 8 4 2 2 4 4" xfId="53386" xr:uid="{00000000-0005-0000-0000-000098D00000}"/>
    <cellStyle name="Normal 8 4 2 2 5" xfId="53387" xr:uid="{00000000-0005-0000-0000-000099D00000}"/>
    <cellStyle name="Normal 8 4 2 2 5 2" xfId="53388" xr:uid="{00000000-0005-0000-0000-00009AD00000}"/>
    <cellStyle name="Normal 8 4 2 2 6" xfId="53389" xr:uid="{00000000-0005-0000-0000-00009BD00000}"/>
    <cellStyle name="Normal 8 4 2 2 7" xfId="53390" xr:uid="{00000000-0005-0000-0000-00009CD00000}"/>
    <cellStyle name="Normal 8 4 2 3" xfId="53391" xr:uid="{00000000-0005-0000-0000-00009DD00000}"/>
    <cellStyle name="Normal 8 4 2 3 2" xfId="53392" xr:uid="{00000000-0005-0000-0000-00009ED00000}"/>
    <cellStyle name="Normal 8 4 2 3 2 2" xfId="53393" xr:uid="{00000000-0005-0000-0000-00009FD00000}"/>
    <cellStyle name="Normal 8 4 2 3 2 2 2" xfId="53394" xr:uid="{00000000-0005-0000-0000-0000A0D00000}"/>
    <cellStyle name="Normal 8 4 2 3 2 2 2 2" xfId="53395" xr:uid="{00000000-0005-0000-0000-0000A1D00000}"/>
    <cellStyle name="Normal 8 4 2 3 2 2 3" xfId="53396" xr:uid="{00000000-0005-0000-0000-0000A2D00000}"/>
    <cellStyle name="Normal 8 4 2 3 2 2 4" xfId="53397" xr:uid="{00000000-0005-0000-0000-0000A3D00000}"/>
    <cellStyle name="Normal 8 4 2 3 2 3" xfId="53398" xr:uid="{00000000-0005-0000-0000-0000A4D00000}"/>
    <cellStyle name="Normal 8 4 2 3 2 3 2" xfId="53399" xr:uid="{00000000-0005-0000-0000-0000A5D00000}"/>
    <cellStyle name="Normal 8 4 2 3 2 4" xfId="53400" xr:uid="{00000000-0005-0000-0000-0000A6D00000}"/>
    <cellStyle name="Normal 8 4 2 3 2 5" xfId="53401" xr:uid="{00000000-0005-0000-0000-0000A7D00000}"/>
    <cellStyle name="Normal 8 4 2 3 3" xfId="53402" xr:uid="{00000000-0005-0000-0000-0000A8D00000}"/>
    <cellStyle name="Normal 8 4 2 3 3 2" xfId="53403" xr:uid="{00000000-0005-0000-0000-0000A9D00000}"/>
    <cellStyle name="Normal 8 4 2 3 3 2 2" xfId="53404" xr:uid="{00000000-0005-0000-0000-0000AAD00000}"/>
    <cellStyle name="Normal 8 4 2 3 3 3" xfId="53405" xr:uid="{00000000-0005-0000-0000-0000ABD00000}"/>
    <cellStyle name="Normal 8 4 2 3 3 3 2" xfId="53406" xr:uid="{00000000-0005-0000-0000-0000ACD00000}"/>
    <cellStyle name="Normal 8 4 2 3 3 4" xfId="53407" xr:uid="{00000000-0005-0000-0000-0000ADD00000}"/>
    <cellStyle name="Normal 8 4 2 3 3 5" xfId="53408" xr:uid="{00000000-0005-0000-0000-0000AED00000}"/>
    <cellStyle name="Normal 8 4 2 3 4" xfId="53409" xr:uid="{00000000-0005-0000-0000-0000AFD00000}"/>
    <cellStyle name="Normal 8 4 2 3 4 2" xfId="53410" xr:uid="{00000000-0005-0000-0000-0000B0D00000}"/>
    <cellStyle name="Normal 8 4 2 3 5" xfId="53411" xr:uid="{00000000-0005-0000-0000-0000B1D00000}"/>
    <cellStyle name="Normal 8 4 2 3 5 2" xfId="53412" xr:uid="{00000000-0005-0000-0000-0000B2D00000}"/>
    <cellStyle name="Normal 8 4 2 3 6" xfId="53413" xr:uid="{00000000-0005-0000-0000-0000B3D00000}"/>
    <cellStyle name="Normal 8 4 2 3 7" xfId="53414" xr:uid="{00000000-0005-0000-0000-0000B4D00000}"/>
    <cellStyle name="Normal 8 4 2 4" xfId="53415" xr:uid="{00000000-0005-0000-0000-0000B5D00000}"/>
    <cellStyle name="Normal 8 4 2 4 2" xfId="53416" xr:uid="{00000000-0005-0000-0000-0000B6D00000}"/>
    <cellStyle name="Normal 8 4 2 4 2 2" xfId="53417" xr:uid="{00000000-0005-0000-0000-0000B7D00000}"/>
    <cellStyle name="Normal 8 4 2 4 2 2 2" xfId="53418" xr:uid="{00000000-0005-0000-0000-0000B8D00000}"/>
    <cellStyle name="Normal 8 4 2 4 2 3" xfId="53419" xr:uid="{00000000-0005-0000-0000-0000B9D00000}"/>
    <cellStyle name="Normal 8 4 2 4 2 4" xfId="53420" xr:uid="{00000000-0005-0000-0000-0000BAD00000}"/>
    <cellStyle name="Normal 8 4 2 4 3" xfId="53421" xr:uid="{00000000-0005-0000-0000-0000BBD00000}"/>
    <cellStyle name="Normal 8 4 2 4 3 2" xfId="53422" xr:uid="{00000000-0005-0000-0000-0000BCD00000}"/>
    <cellStyle name="Normal 8 4 2 4 4" xfId="53423" xr:uid="{00000000-0005-0000-0000-0000BDD00000}"/>
    <cellStyle name="Normal 8 4 2 4 5" xfId="53424" xr:uid="{00000000-0005-0000-0000-0000BED00000}"/>
    <cellStyle name="Normal 8 4 2 5" xfId="53425" xr:uid="{00000000-0005-0000-0000-0000BFD00000}"/>
    <cellStyle name="Normal 8 4 2 5 2" xfId="53426" xr:uid="{00000000-0005-0000-0000-0000C0D00000}"/>
    <cellStyle name="Normal 8 4 2 5 2 2" xfId="53427" xr:uid="{00000000-0005-0000-0000-0000C1D00000}"/>
    <cellStyle name="Normal 8 4 2 5 3" xfId="53428" xr:uid="{00000000-0005-0000-0000-0000C2D00000}"/>
    <cellStyle name="Normal 8 4 2 5 3 2" xfId="53429" xr:uid="{00000000-0005-0000-0000-0000C3D00000}"/>
    <cellStyle name="Normal 8 4 2 5 4" xfId="53430" xr:uid="{00000000-0005-0000-0000-0000C4D00000}"/>
    <cellStyle name="Normal 8 4 2 5 5" xfId="53431" xr:uid="{00000000-0005-0000-0000-0000C5D00000}"/>
    <cellStyle name="Normal 8 4 2 6" xfId="53432" xr:uid="{00000000-0005-0000-0000-0000C6D00000}"/>
    <cellStyle name="Normal 8 4 2 6 2" xfId="53433" xr:uid="{00000000-0005-0000-0000-0000C7D00000}"/>
    <cellStyle name="Normal 8 4 2 7" xfId="53434" xr:uid="{00000000-0005-0000-0000-0000C8D00000}"/>
    <cellStyle name="Normal 8 4 2 7 2" xfId="53435" xr:uid="{00000000-0005-0000-0000-0000C9D00000}"/>
    <cellStyle name="Normal 8 4 2 8" xfId="53436" xr:uid="{00000000-0005-0000-0000-0000CAD00000}"/>
    <cellStyle name="Normal 8 4 2 9" xfId="53437" xr:uid="{00000000-0005-0000-0000-0000CBD00000}"/>
    <cellStyle name="Normal 8 4 3" xfId="53438" xr:uid="{00000000-0005-0000-0000-0000CCD00000}"/>
    <cellStyle name="Normal 8 4 3 2" xfId="53439" xr:uid="{00000000-0005-0000-0000-0000CDD00000}"/>
    <cellStyle name="Normal 8 4 3 2 2" xfId="53440" xr:uid="{00000000-0005-0000-0000-0000CED00000}"/>
    <cellStyle name="Normal 8 4 3 2 2 2" xfId="53441" xr:uid="{00000000-0005-0000-0000-0000CFD00000}"/>
    <cellStyle name="Normal 8 4 3 2 2 2 2" xfId="53442" xr:uid="{00000000-0005-0000-0000-0000D0D00000}"/>
    <cellStyle name="Normal 8 4 3 2 2 2 2 2" xfId="53443" xr:uid="{00000000-0005-0000-0000-0000D1D00000}"/>
    <cellStyle name="Normal 8 4 3 2 2 2 3" xfId="53444" xr:uid="{00000000-0005-0000-0000-0000D2D00000}"/>
    <cellStyle name="Normal 8 4 3 2 2 2 4" xfId="53445" xr:uid="{00000000-0005-0000-0000-0000D3D00000}"/>
    <cellStyle name="Normal 8 4 3 2 2 3" xfId="53446" xr:uid="{00000000-0005-0000-0000-0000D4D00000}"/>
    <cellStyle name="Normal 8 4 3 2 2 3 2" xfId="53447" xr:uid="{00000000-0005-0000-0000-0000D5D00000}"/>
    <cellStyle name="Normal 8 4 3 2 2 4" xfId="53448" xr:uid="{00000000-0005-0000-0000-0000D6D00000}"/>
    <cellStyle name="Normal 8 4 3 2 2 5" xfId="53449" xr:uid="{00000000-0005-0000-0000-0000D7D00000}"/>
    <cellStyle name="Normal 8 4 3 2 3" xfId="53450" xr:uid="{00000000-0005-0000-0000-0000D8D00000}"/>
    <cellStyle name="Normal 8 4 3 2 3 2" xfId="53451" xr:uid="{00000000-0005-0000-0000-0000D9D00000}"/>
    <cellStyle name="Normal 8 4 3 2 3 2 2" xfId="53452" xr:uid="{00000000-0005-0000-0000-0000DAD00000}"/>
    <cellStyle name="Normal 8 4 3 2 3 3" xfId="53453" xr:uid="{00000000-0005-0000-0000-0000DBD00000}"/>
    <cellStyle name="Normal 8 4 3 2 3 3 2" xfId="53454" xr:uid="{00000000-0005-0000-0000-0000DCD00000}"/>
    <cellStyle name="Normal 8 4 3 2 3 4" xfId="53455" xr:uid="{00000000-0005-0000-0000-0000DDD00000}"/>
    <cellStyle name="Normal 8 4 3 2 3 5" xfId="53456" xr:uid="{00000000-0005-0000-0000-0000DED00000}"/>
    <cellStyle name="Normal 8 4 3 2 4" xfId="53457" xr:uid="{00000000-0005-0000-0000-0000DFD00000}"/>
    <cellStyle name="Normal 8 4 3 2 4 2" xfId="53458" xr:uid="{00000000-0005-0000-0000-0000E0D00000}"/>
    <cellStyle name="Normal 8 4 3 2 5" xfId="53459" xr:uid="{00000000-0005-0000-0000-0000E1D00000}"/>
    <cellStyle name="Normal 8 4 3 2 5 2" xfId="53460" xr:uid="{00000000-0005-0000-0000-0000E2D00000}"/>
    <cellStyle name="Normal 8 4 3 2 6" xfId="53461" xr:uid="{00000000-0005-0000-0000-0000E3D00000}"/>
    <cellStyle name="Normal 8 4 3 2 7" xfId="53462" xr:uid="{00000000-0005-0000-0000-0000E4D00000}"/>
    <cellStyle name="Normal 8 4 3 3" xfId="53463" xr:uid="{00000000-0005-0000-0000-0000E5D00000}"/>
    <cellStyle name="Normal 8 4 3 3 2" xfId="53464" xr:uid="{00000000-0005-0000-0000-0000E6D00000}"/>
    <cellStyle name="Normal 8 4 3 3 2 2" xfId="53465" xr:uid="{00000000-0005-0000-0000-0000E7D00000}"/>
    <cellStyle name="Normal 8 4 3 3 2 2 2" xfId="53466" xr:uid="{00000000-0005-0000-0000-0000E8D00000}"/>
    <cellStyle name="Normal 8 4 3 3 2 3" xfId="53467" xr:uid="{00000000-0005-0000-0000-0000E9D00000}"/>
    <cellStyle name="Normal 8 4 3 3 2 4" xfId="53468" xr:uid="{00000000-0005-0000-0000-0000EAD00000}"/>
    <cellStyle name="Normal 8 4 3 3 3" xfId="53469" xr:uid="{00000000-0005-0000-0000-0000EBD00000}"/>
    <cellStyle name="Normal 8 4 3 3 3 2" xfId="53470" xr:uid="{00000000-0005-0000-0000-0000ECD00000}"/>
    <cellStyle name="Normal 8 4 3 3 4" xfId="53471" xr:uid="{00000000-0005-0000-0000-0000EDD00000}"/>
    <cellStyle name="Normal 8 4 3 3 5" xfId="53472" xr:uid="{00000000-0005-0000-0000-0000EED00000}"/>
    <cellStyle name="Normal 8 4 3 4" xfId="53473" xr:uid="{00000000-0005-0000-0000-0000EFD00000}"/>
    <cellStyle name="Normal 8 4 3 4 2" xfId="53474" xr:uid="{00000000-0005-0000-0000-0000F0D00000}"/>
    <cellStyle name="Normal 8 4 3 4 2 2" xfId="53475" xr:uid="{00000000-0005-0000-0000-0000F1D00000}"/>
    <cellStyle name="Normal 8 4 3 4 3" xfId="53476" xr:uid="{00000000-0005-0000-0000-0000F2D00000}"/>
    <cellStyle name="Normal 8 4 3 4 3 2" xfId="53477" xr:uid="{00000000-0005-0000-0000-0000F3D00000}"/>
    <cellStyle name="Normal 8 4 3 4 4" xfId="53478" xr:uid="{00000000-0005-0000-0000-0000F4D00000}"/>
    <cellStyle name="Normal 8 4 3 4 5" xfId="53479" xr:uid="{00000000-0005-0000-0000-0000F5D00000}"/>
    <cellStyle name="Normal 8 4 3 5" xfId="53480" xr:uid="{00000000-0005-0000-0000-0000F6D00000}"/>
    <cellStyle name="Normal 8 4 3 5 2" xfId="53481" xr:uid="{00000000-0005-0000-0000-0000F7D00000}"/>
    <cellStyle name="Normal 8 4 3 6" xfId="53482" xr:uid="{00000000-0005-0000-0000-0000F8D00000}"/>
    <cellStyle name="Normal 8 4 3 6 2" xfId="53483" xr:uid="{00000000-0005-0000-0000-0000F9D00000}"/>
    <cellStyle name="Normal 8 4 3 7" xfId="53484" xr:uid="{00000000-0005-0000-0000-0000FAD00000}"/>
    <cellStyle name="Normal 8 4 3 8" xfId="53485" xr:uid="{00000000-0005-0000-0000-0000FBD00000}"/>
    <cellStyle name="Normal 8 4 4" xfId="53486" xr:uid="{00000000-0005-0000-0000-0000FCD00000}"/>
    <cellStyle name="Normal 8 4 4 2" xfId="53487" xr:uid="{00000000-0005-0000-0000-0000FDD00000}"/>
    <cellStyle name="Normal 8 4 4 2 2" xfId="53488" xr:uid="{00000000-0005-0000-0000-0000FED00000}"/>
    <cellStyle name="Normal 8 4 4 2 2 2" xfId="53489" xr:uid="{00000000-0005-0000-0000-0000FFD00000}"/>
    <cellStyle name="Normal 8 4 4 2 2 2 2" xfId="53490" xr:uid="{00000000-0005-0000-0000-000000D10000}"/>
    <cellStyle name="Normal 8 4 4 2 2 3" xfId="53491" xr:uid="{00000000-0005-0000-0000-000001D10000}"/>
    <cellStyle name="Normal 8 4 4 2 2 4" xfId="53492" xr:uid="{00000000-0005-0000-0000-000002D10000}"/>
    <cellStyle name="Normal 8 4 4 2 3" xfId="53493" xr:uid="{00000000-0005-0000-0000-000003D10000}"/>
    <cellStyle name="Normal 8 4 4 2 3 2" xfId="53494" xr:uid="{00000000-0005-0000-0000-000004D10000}"/>
    <cellStyle name="Normal 8 4 4 2 4" xfId="53495" xr:uid="{00000000-0005-0000-0000-000005D10000}"/>
    <cellStyle name="Normal 8 4 4 2 5" xfId="53496" xr:uid="{00000000-0005-0000-0000-000006D10000}"/>
    <cellStyle name="Normal 8 4 4 3" xfId="53497" xr:uid="{00000000-0005-0000-0000-000007D10000}"/>
    <cellStyle name="Normal 8 4 4 3 2" xfId="53498" xr:uid="{00000000-0005-0000-0000-000008D10000}"/>
    <cellStyle name="Normal 8 4 4 3 3" xfId="53499" xr:uid="{00000000-0005-0000-0000-000009D10000}"/>
    <cellStyle name="Normal 8 4 4 4" xfId="53500" xr:uid="{00000000-0005-0000-0000-00000AD10000}"/>
    <cellStyle name="Normal 8 4 4 4 2" xfId="53501" xr:uid="{00000000-0005-0000-0000-00000BD10000}"/>
    <cellStyle name="Normal 8 4 4 5" xfId="53502" xr:uid="{00000000-0005-0000-0000-00000CD10000}"/>
    <cellStyle name="Normal 8 4 5" xfId="53503" xr:uid="{00000000-0005-0000-0000-00000DD10000}"/>
    <cellStyle name="Normal 8 4 5 2" xfId="53504" xr:uid="{00000000-0005-0000-0000-00000ED10000}"/>
    <cellStyle name="Normal 8 4 5 2 2" xfId="53505" xr:uid="{00000000-0005-0000-0000-00000FD10000}"/>
    <cellStyle name="Normal 8 4 5 2 2 2" xfId="53506" xr:uid="{00000000-0005-0000-0000-000010D10000}"/>
    <cellStyle name="Normal 8 4 5 2 3" xfId="53507" xr:uid="{00000000-0005-0000-0000-000011D10000}"/>
    <cellStyle name="Normal 8 4 5 2 3 2" xfId="53508" xr:uid="{00000000-0005-0000-0000-000012D10000}"/>
    <cellStyle name="Normal 8 4 5 2 4" xfId="53509" xr:uid="{00000000-0005-0000-0000-000013D10000}"/>
    <cellStyle name="Normal 8 4 5 2 5" xfId="53510" xr:uid="{00000000-0005-0000-0000-000014D10000}"/>
    <cellStyle name="Normal 8 4 5 3" xfId="53511" xr:uid="{00000000-0005-0000-0000-000015D10000}"/>
    <cellStyle name="Normal 8 4 5 3 2" xfId="53512" xr:uid="{00000000-0005-0000-0000-000016D10000}"/>
    <cellStyle name="Normal 8 4 5 4" xfId="53513" xr:uid="{00000000-0005-0000-0000-000017D10000}"/>
    <cellStyle name="Normal 8 4 5 4 2" xfId="53514" xr:uid="{00000000-0005-0000-0000-000018D10000}"/>
    <cellStyle name="Normal 8 4 5 5" xfId="53515" xr:uid="{00000000-0005-0000-0000-000019D10000}"/>
    <cellStyle name="Normal 8 4 5 6" xfId="53516" xr:uid="{00000000-0005-0000-0000-00001AD10000}"/>
    <cellStyle name="Normal 8 4 6" xfId="53517" xr:uid="{00000000-0005-0000-0000-00001BD10000}"/>
    <cellStyle name="Normal 8 4 6 2" xfId="53518" xr:uid="{00000000-0005-0000-0000-00001CD10000}"/>
    <cellStyle name="Normal 8 4 6 2 2" xfId="53519" xr:uid="{00000000-0005-0000-0000-00001DD10000}"/>
    <cellStyle name="Normal 8 4 6 3" xfId="53520" xr:uid="{00000000-0005-0000-0000-00001ED10000}"/>
    <cellStyle name="Normal 8 4 6 3 2" xfId="53521" xr:uid="{00000000-0005-0000-0000-00001FD10000}"/>
    <cellStyle name="Normal 8 4 6 4" xfId="53522" xr:uid="{00000000-0005-0000-0000-000020D10000}"/>
    <cellStyle name="Normal 8 4 6 5" xfId="53523" xr:uid="{00000000-0005-0000-0000-000021D10000}"/>
    <cellStyle name="Normal 8 4 7" xfId="53524" xr:uid="{00000000-0005-0000-0000-000022D10000}"/>
    <cellStyle name="Normal 8 4 7 2" xfId="53525" xr:uid="{00000000-0005-0000-0000-000023D10000}"/>
    <cellStyle name="Normal 8 4 7 2 2" xfId="53526" xr:uid="{00000000-0005-0000-0000-000024D10000}"/>
    <cellStyle name="Normal 8 4 7 3" xfId="53527" xr:uid="{00000000-0005-0000-0000-000025D10000}"/>
    <cellStyle name="Normal 8 4 8" xfId="53528" xr:uid="{00000000-0005-0000-0000-000026D10000}"/>
    <cellStyle name="Normal 8 4 8 2" xfId="53529" xr:uid="{00000000-0005-0000-0000-000027D10000}"/>
    <cellStyle name="Normal 8 4 9" xfId="53530" xr:uid="{00000000-0005-0000-0000-000028D10000}"/>
    <cellStyle name="Normal 8 4 9 2" xfId="53531" xr:uid="{00000000-0005-0000-0000-000029D10000}"/>
    <cellStyle name="Normal 8 40" xfId="53532" xr:uid="{00000000-0005-0000-0000-00002AD10000}"/>
    <cellStyle name="Normal 8 40 2" xfId="53533" xr:uid="{00000000-0005-0000-0000-00002BD10000}"/>
    <cellStyle name="Normal 8 41" xfId="53534" xr:uid="{00000000-0005-0000-0000-00002CD10000}"/>
    <cellStyle name="Normal 8 41 2" xfId="53535" xr:uid="{00000000-0005-0000-0000-00002DD10000}"/>
    <cellStyle name="Normal 8 42" xfId="53536" xr:uid="{00000000-0005-0000-0000-00002ED10000}"/>
    <cellStyle name="Normal 8 42 2" xfId="53537" xr:uid="{00000000-0005-0000-0000-00002FD10000}"/>
    <cellStyle name="Normal 8 43" xfId="53538" xr:uid="{00000000-0005-0000-0000-000030D10000}"/>
    <cellStyle name="Normal 8 43 2" xfId="53539" xr:uid="{00000000-0005-0000-0000-000031D10000}"/>
    <cellStyle name="Normal 8 44" xfId="53540" xr:uid="{00000000-0005-0000-0000-000032D10000}"/>
    <cellStyle name="Normal 8 44 2" xfId="53541" xr:uid="{00000000-0005-0000-0000-000033D10000}"/>
    <cellStyle name="Normal 8 45" xfId="53542" xr:uid="{00000000-0005-0000-0000-000034D10000}"/>
    <cellStyle name="Normal 8 45 2" xfId="53543" xr:uid="{00000000-0005-0000-0000-000035D10000}"/>
    <cellStyle name="Normal 8 46" xfId="53544" xr:uid="{00000000-0005-0000-0000-000036D10000}"/>
    <cellStyle name="Normal 8 46 2" xfId="53545" xr:uid="{00000000-0005-0000-0000-000037D10000}"/>
    <cellStyle name="Normal 8 47" xfId="53546" xr:uid="{00000000-0005-0000-0000-000038D10000}"/>
    <cellStyle name="Normal 8 47 2" xfId="53547" xr:uid="{00000000-0005-0000-0000-000039D10000}"/>
    <cellStyle name="Normal 8 48" xfId="53548" xr:uid="{00000000-0005-0000-0000-00003AD10000}"/>
    <cellStyle name="Normal 8 48 2" xfId="53549" xr:uid="{00000000-0005-0000-0000-00003BD10000}"/>
    <cellStyle name="Normal 8 49" xfId="53550" xr:uid="{00000000-0005-0000-0000-00003CD10000}"/>
    <cellStyle name="Normal 8 49 2" xfId="53551" xr:uid="{00000000-0005-0000-0000-00003DD10000}"/>
    <cellStyle name="Normal 8 5" xfId="53552" xr:uid="{00000000-0005-0000-0000-00003ED10000}"/>
    <cellStyle name="Normal 8 5 2" xfId="53553" xr:uid="{00000000-0005-0000-0000-00003FD10000}"/>
    <cellStyle name="Normal 8 5 2 2" xfId="53554" xr:uid="{00000000-0005-0000-0000-000040D10000}"/>
    <cellStyle name="Normal 8 5 2 2 2" xfId="53555" xr:uid="{00000000-0005-0000-0000-000041D10000}"/>
    <cellStyle name="Normal 8 5 2 2 2 2" xfId="53556" xr:uid="{00000000-0005-0000-0000-000042D10000}"/>
    <cellStyle name="Normal 8 5 2 2 2 2 2" xfId="53557" xr:uid="{00000000-0005-0000-0000-000043D10000}"/>
    <cellStyle name="Normal 8 5 2 2 2 2 2 2" xfId="53558" xr:uid="{00000000-0005-0000-0000-000044D10000}"/>
    <cellStyle name="Normal 8 5 2 2 2 2 3" xfId="53559" xr:uid="{00000000-0005-0000-0000-000045D10000}"/>
    <cellStyle name="Normal 8 5 2 2 2 2 4" xfId="53560" xr:uid="{00000000-0005-0000-0000-000046D10000}"/>
    <cellStyle name="Normal 8 5 2 2 2 3" xfId="53561" xr:uid="{00000000-0005-0000-0000-000047D10000}"/>
    <cellStyle name="Normal 8 5 2 2 2 3 2" xfId="53562" xr:uid="{00000000-0005-0000-0000-000048D10000}"/>
    <cellStyle name="Normal 8 5 2 2 2 4" xfId="53563" xr:uid="{00000000-0005-0000-0000-000049D10000}"/>
    <cellStyle name="Normal 8 5 2 2 2 5" xfId="53564" xr:uid="{00000000-0005-0000-0000-00004AD10000}"/>
    <cellStyle name="Normal 8 5 2 2 3" xfId="53565" xr:uid="{00000000-0005-0000-0000-00004BD10000}"/>
    <cellStyle name="Normal 8 5 2 2 3 2" xfId="53566" xr:uid="{00000000-0005-0000-0000-00004CD10000}"/>
    <cellStyle name="Normal 8 5 2 2 3 2 2" xfId="53567" xr:uid="{00000000-0005-0000-0000-00004DD10000}"/>
    <cellStyle name="Normal 8 5 2 2 3 3" xfId="53568" xr:uid="{00000000-0005-0000-0000-00004ED10000}"/>
    <cellStyle name="Normal 8 5 2 2 3 4" xfId="53569" xr:uid="{00000000-0005-0000-0000-00004FD10000}"/>
    <cellStyle name="Normal 8 5 2 2 4" xfId="53570" xr:uid="{00000000-0005-0000-0000-000050D10000}"/>
    <cellStyle name="Normal 8 5 2 2 4 2" xfId="53571" xr:uid="{00000000-0005-0000-0000-000051D10000}"/>
    <cellStyle name="Normal 8 5 2 2 5" xfId="53572" xr:uid="{00000000-0005-0000-0000-000052D10000}"/>
    <cellStyle name="Normal 8 5 2 2 6" xfId="53573" xr:uid="{00000000-0005-0000-0000-000053D10000}"/>
    <cellStyle name="Normal 8 5 2 3" xfId="53574" xr:uid="{00000000-0005-0000-0000-000054D10000}"/>
    <cellStyle name="Normal 8 5 2 3 2" xfId="53575" xr:uid="{00000000-0005-0000-0000-000055D10000}"/>
    <cellStyle name="Normal 8 5 2 3 2 2" xfId="53576" xr:uid="{00000000-0005-0000-0000-000056D10000}"/>
    <cellStyle name="Normal 8 5 2 3 2 2 2" xfId="53577" xr:uid="{00000000-0005-0000-0000-000057D10000}"/>
    <cellStyle name="Normal 8 5 2 3 2 3" xfId="53578" xr:uid="{00000000-0005-0000-0000-000058D10000}"/>
    <cellStyle name="Normal 8 5 2 3 2 4" xfId="53579" xr:uid="{00000000-0005-0000-0000-000059D10000}"/>
    <cellStyle name="Normal 8 5 2 3 3" xfId="53580" xr:uid="{00000000-0005-0000-0000-00005AD10000}"/>
    <cellStyle name="Normal 8 5 2 3 3 2" xfId="53581" xr:uid="{00000000-0005-0000-0000-00005BD10000}"/>
    <cellStyle name="Normal 8 5 2 3 4" xfId="53582" xr:uid="{00000000-0005-0000-0000-00005CD10000}"/>
    <cellStyle name="Normal 8 5 2 3 5" xfId="53583" xr:uid="{00000000-0005-0000-0000-00005DD10000}"/>
    <cellStyle name="Normal 8 5 2 4" xfId="53584" xr:uid="{00000000-0005-0000-0000-00005ED10000}"/>
    <cellStyle name="Normal 8 5 2 4 2" xfId="53585" xr:uid="{00000000-0005-0000-0000-00005FD10000}"/>
    <cellStyle name="Normal 8 5 2 4 2 2" xfId="53586" xr:uid="{00000000-0005-0000-0000-000060D10000}"/>
    <cellStyle name="Normal 8 5 2 4 3" xfId="53587" xr:uid="{00000000-0005-0000-0000-000061D10000}"/>
    <cellStyle name="Normal 8 5 2 4 4" xfId="53588" xr:uid="{00000000-0005-0000-0000-000062D10000}"/>
    <cellStyle name="Normal 8 5 2 5" xfId="53589" xr:uid="{00000000-0005-0000-0000-000063D10000}"/>
    <cellStyle name="Normal 8 5 2 5 2" xfId="53590" xr:uid="{00000000-0005-0000-0000-000064D10000}"/>
    <cellStyle name="Normal 8 5 2 6" xfId="53591" xr:uid="{00000000-0005-0000-0000-000065D10000}"/>
    <cellStyle name="Normal 8 5 2 7" xfId="53592" xr:uid="{00000000-0005-0000-0000-000066D10000}"/>
    <cellStyle name="Normal 8 5 3" xfId="53593" xr:uid="{00000000-0005-0000-0000-000067D10000}"/>
    <cellStyle name="Normal 8 5 3 2" xfId="53594" xr:uid="{00000000-0005-0000-0000-000068D10000}"/>
    <cellStyle name="Normal 8 5 3 2 2" xfId="53595" xr:uid="{00000000-0005-0000-0000-000069D10000}"/>
    <cellStyle name="Normal 8 5 3 2 2 2" xfId="53596" xr:uid="{00000000-0005-0000-0000-00006AD10000}"/>
    <cellStyle name="Normal 8 5 3 2 2 2 2" xfId="53597" xr:uid="{00000000-0005-0000-0000-00006BD10000}"/>
    <cellStyle name="Normal 8 5 3 2 2 3" xfId="53598" xr:uid="{00000000-0005-0000-0000-00006CD10000}"/>
    <cellStyle name="Normal 8 5 3 2 2 4" xfId="53599" xr:uid="{00000000-0005-0000-0000-00006DD10000}"/>
    <cellStyle name="Normal 8 5 3 2 3" xfId="53600" xr:uid="{00000000-0005-0000-0000-00006ED10000}"/>
    <cellStyle name="Normal 8 5 3 2 3 2" xfId="53601" xr:uid="{00000000-0005-0000-0000-00006FD10000}"/>
    <cellStyle name="Normal 8 5 3 2 4" xfId="53602" xr:uid="{00000000-0005-0000-0000-000070D10000}"/>
    <cellStyle name="Normal 8 5 3 2 5" xfId="53603" xr:uid="{00000000-0005-0000-0000-000071D10000}"/>
    <cellStyle name="Normal 8 5 3 3" xfId="53604" xr:uid="{00000000-0005-0000-0000-000072D10000}"/>
    <cellStyle name="Normal 8 5 3 3 2" xfId="53605" xr:uid="{00000000-0005-0000-0000-000073D10000}"/>
    <cellStyle name="Normal 8 5 3 3 2 2" xfId="53606" xr:uid="{00000000-0005-0000-0000-000074D10000}"/>
    <cellStyle name="Normal 8 5 3 3 3" xfId="53607" xr:uid="{00000000-0005-0000-0000-000075D10000}"/>
    <cellStyle name="Normal 8 5 3 3 3 2" xfId="53608" xr:uid="{00000000-0005-0000-0000-000076D10000}"/>
    <cellStyle name="Normal 8 5 3 3 4" xfId="53609" xr:uid="{00000000-0005-0000-0000-000077D10000}"/>
    <cellStyle name="Normal 8 5 3 3 5" xfId="53610" xr:uid="{00000000-0005-0000-0000-000078D10000}"/>
    <cellStyle name="Normal 8 5 3 4" xfId="53611" xr:uid="{00000000-0005-0000-0000-000079D10000}"/>
    <cellStyle name="Normal 8 5 3 4 2" xfId="53612" xr:uid="{00000000-0005-0000-0000-00007AD10000}"/>
    <cellStyle name="Normal 8 5 3 5" xfId="53613" xr:uid="{00000000-0005-0000-0000-00007BD10000}"/>
    <cellStyle name="Normal 8 5 3 5 2" xfId="53614" xr:uid="{00000000-0005-0000-0000-00007CD10000}"/>
    <cellStyle name="Normal 8 5 3 6" xfId="53615" xr:uid="{00000000-0005-0000-0000-00007DD10000}"/>
    <cellStyle name="Normal 8 5 3 7" xfId="53616" xr:uid="{00000000-0005-0000-0000-00007ED10000}"/>
    <cellStyle name="Normal 8 5 4" xfId="53617" xr:uid="{00000000-0005-0000-0000-00007FD10000}"/>
    <cellStyle name="Normal 8 5 4 2" xfId="53618" xr:uid="{00000000-0005-0000-0000-000080D10000}"/>
    <cellStyle name="Normal 8 5 4 2 2" xfId="53619" xr:uid="{00000000-0005-0000-0000-000081D10000}"/>
    <cellStyle name="Normal 8 5 4 2 2 2" xfId="53620" xr:uid="{00000000-0005-0000-0000-000082D10000}"/>
    <cellStyle name="Normal 8 5 4 2 3" xfId="53621" xr:uid="{00000000-0005-0000-0000-000083D10000}"/>
    <cellStyle name="Normal 8 5 4 2 4" xfId="53622" xr:uid="{00000000-0005-0000-0000-000084D10000}"/>
    <cellStyle name="Normal 8 5 4 3" xfId="53623" xr:uid="{00000000-0005-0000-0000-000085D10000}"/>
    <cellStyle name="Normal 8 5 4 3 2" xfId="53624" xr:uid="{00000000-0005-0000-0000-000086D10000}"/>
    <cellStyle name="Normal 8 5 4 4" xfId="53625" xr:uid="{00000000-0005-0000-0000-000087D10000}"/>
    <cellStyle name="Normal 8 5 4 5" xfId="53626" xr:uid="{00000000-0005-0000-0000-000088D10000}"/>
    <cellStyle name="Normal 8 5 5" xfId="53627" xr:uid="{00000000-0005-0000-0000-000089D10000}"/>
    <cellStyle name="Normal 8 5 5 2" xfId="53628" xr:uid="{00000000-0005-0000-0000-00008AD10000}"/>
    <cellStyle name="Normal 8 5 5 2 2" xfId="53629" xr:uid="{00000000-0005-0000-0000-00008BD10000}"/>
    <cellStyle name="Normal 8 5 5 3" xfId="53630" xr:uid="{00000000-0005-0000-0000-00008CD10000}"/>
    <cellStyle name="Normal 8 5 5 3 2" xfId="53631" xr:uid="{00000000-0005-0000-0000-00008DD10000}"/>
    <cellStyle name="Normal 8 5 5 4" xfId="53632" xr:uid="{00000000-0005-0000-0000-00008ED10000}"/>
    <cellStyle name="Normal 8 5 5 5" xfId="53633" xr:uid="{00000000-0005-0000-0000-00008FD10000}"/>
    <cellStyle name="Normal 8 5 6" xfId="53634" xr:uid="{00000000-0005-0000-0000-000090D10000}"/>
    <cellStyle name="Normal 8 5 6 2" xfId="53635" xr:uid="{00000000-0005-0000-0000-000091D10000}"/>
    <cellStyle name="Normal 8 5 7" xfId="53636" xr:uid="{00000000-0005-0000-0000-000092D10000}"/>
    <cellStyle name="Normal 8 5 7 2" xfId="53637" xr:uid="{00000000-0005-0000-0000-000093D10000}"/>
    <cellStyle name="Normal 8 5 8" xfId="53638" xr:uid="{00000000-0005-0000-0000-000094D10000}"/>
    <cellStyle name="Normal 8 5 9" xfId="53639" xr:uid="{00000000-0005-0000-0000-000095D10000}"/>
    <cellStyle name="Normal 8 50" xfId="53640" xr:uid="{00000000-0005-0000-0000-000096D10000}"/>
    <cellStyle name="Normal 8 50 2" xfId="53641" xr:uid="{00000000-0005-0000-0000-000097D10000}"/>
    <cellStyle name="Normal 8 51" xfId="53642" xr:uid="{00000000-0005-0000-0000-000098D10000}"/>
    <cellStyle name="Normal 8 51 2" xfId="53643" xr:uid="{00000000-0005-0000-0000-000099D10000}"/>
    <cellStyle name="Normal 8 52" xfId="53644" xr:uid="{00000000-0005-0000-0000-00009AD10000}"/>
    <cellStyle name="Normal 8 52 2" xfId="53645" xr:uid="{00000000-0005-0000-0000-00009BD10000}"/>
    <cellStyle name="Normal 8 53" xfId="53646" xr:uid="{00000000-0005-0000-0000-00009CD10000}"/>
    <cellStyle name="Normal 8 53 2" xfId="53647" xr:uid="{00000000-0005-0000-0000-00009DD10000}"/>
    <cellStyle name="Normal 8 54" xfId="53648" xr:uid="{00000000-0005-0000-0000-00009ED10000}"/>
    <cellStyle name="Normal 8 54 2" xfId="53649" xr:uid="{00000000-0005-0000-0000-00009FD10000}"/>
    <cellStyle name="Normal 8 55" xfId="53650" xr:uid="{00000000-0005-0000-0000-0000A0D10000}"/>
    <cellStyle name="Normal 8 55 2" xfId="53651" xr:uid="{00000000-0005-0000-0000-0000A1D10000}"/>
    <cellStyle name="Normal 8 56" xfId="53652" xr:uid="{00000000-0005-0000-0000-0000A2D10000}"/>
    <cellStyle name="Normal 8 56 2" xfId="53653" xr:uid="{00000000-0005-0000-0000-0000A3D10000}"/>
    <cellStyle name="Normal 8 57" xfId="53654" xr:uid="{00000000-0005-0000-0000-0000A4D10000}"/>
    <cellStyle name="Normal 8 57 2" xfId="53655" xr:uid="{00000000-0005-0000-0000-0000A5D10000}"/>
    <cellStyle name="Normal 8 58" xfId="53656" xr:uid="{00000000-0005-0000-0000-0000A6D10000}"/>
    <cellStyle name="Normal 8 58 2" xfId="53657" xr:uid="{00000000-0005-0000-0000-0000A7D10000}"/>
    <cellStyle name="Normal 8 59" xfId="53658" xr:uid="{00000000-0005-0000-0000-0000A8D10000}"/>
    <cellStyle name="Normal 8 59 2" xfId="53659" xr:uid="{00000000-0005-0000-0000-0000A9D10000}"/>
    <cellStyle name="Normal 8 6" xfId="53660" xr:uid="{00000000-0005-0000-0000-0000AAD10000}"/>
    <cellStyle name="Normal 8 6 2" xfId="53661" xr:uid="{00000000-0005-0000-0000-0000ABD10000}"/>
    <cellStyle name="Normal 8 6 2 2" xfId="53662" xr:uid="{00000000-0005-0000-0000-0000ACD10000}"/>
    <cellStyle name="Normal 8 6 2 2 2" xfId="53663" xr:uid="{00000000-0005-0000-0000-0000ADD10000}"/>
    <cellStyle name="Normal 8 6 2 2 2 2" xfId="53664" xr:uid="{00000000-0005-0000-0000-0000AED10000}"/>
    <cellStyle name="Normal 8 6 2 2 2 2 2" xfId="53665" xr:uid="{00000000-0005-0000-0000-0000AFD10000}"/>
    <cellStyle name="Normal 8 6 2 2 2 3" xfId="53666" xr:uid="{00000000-0005-0000-0000-0000B0D10000}"/>
    <cellStyle name="Normal 8 6 2 2 2 4" xfId="53667" xr:uid="{00000000-0005-0000-0000-0000B1D10000}"/>
    <cellStyle name="Normal 8 6 2 2 3" xfId="53668" xr:uid="{00000000-0005-0000-0000-0000B2D10000}"/>
    <cellStyle name="Normal 8 6 2 2 3 2" xfId="53669" xr:uid="{00000000-0005-0000-0000-0000B3D10000}"/>
    <cellStyle name="Normal 8 6 2 2 4" xfId="53670" xr:uid="{00000000-0005-0000-0000-0000B4D10000}"/>
    <cellStyle name="Normal 8 6 2 2 5" xfId="53671" xr:uid="{00000000-0005-0000-0000-0000B5D10000}"/>
    <cellStyle name="Normal 8 6 2 3" xfId="53672" xr:uid="{00000000-0005-0000-0000-0000B6D10000}"/>
    <cellStyle name="Normal 8 6 2 3 2" xfId="53673" xr:uid="{00000000-0005-0000-0000-0000B7D10000}"/>
    <cellStyle name="Normal 8 6 2 3 2 2" xfId="53674" xr:uid="{00000000-0005-0000-0000-0000B8D10000}"/>
    <cellStyle name="Normal 8 6 2 3 3" xfId="53675" xr:uid="{00000000-0005-0000-0000-0000B9D10000}"/>
    <cellStyle name="Normal 8 6 2 3 3 2" xfId="53676" xr:uid="{00000000-0005-0000-0000-0000BAD10000}"/>
    <cellStyle name="Normal 8 6 2 3 4" xfId="53677" xr:uid="{00000000-0005-0000-0000-0000BBD10000}"/>
    <cellStyle name="Normal 8 6 2 3 5" xfId="53678" xr:uid="{00000000-0005-0000-0000-0000BCD10000}"/>
    <cellStyle name="Normal 8 6 2 4" xfId="53679" xr:uid="{00000000-0005-0000-0000-0000BDD10000}"/>
    <cellStyle name="Normal 8 6 2 4 2" xfId="53680" xr:uid="{00000000-0005-0000-0000-0000BED10000}"/>
    <cellStyle name="Normal 8 6 2 5" xfId="53681" xr:uid="{00000000-0005-0000-0000-0000BFD10000}"/>
    <cellStyle name="Normal 8 6 2 5 2" xfId="53682" xr:uid="{00000000-0005-0000-0000-0000C0D10000}"/>
    <cellStyle name="Normal 8 6 2 6" xfId="53683" xr:uid="{00000000-0005-0000-0000-0000C1D10000}"/>
    <cellStyle name="Normal 8 6 2 7" xfId="53684" xr:uid="{00000000-0005-0000-0000-0000C2D10000}"/>
    <cellStyle name="Normal 8 6 3" xfId="53685" xr:uid="{00000000-0005-0000-0000-0000C3D10000}"/>
    <cellStyle name="Normal 8 6 3 2" xfId="53686" xr:uid="{00000000-0005-0000-0000-0000C4D10000}"/>
    <cellStyle name="Normal 8 6 3 2 2" xfId="53687" xr:uid="{00000000-0005-0000-0000-0000C5D10000}"/>
    <cellStyle name="Normal 8 6 3 2 2 2" xfId="53688" xr:uid="{00000000-0005-0000-0000-0000C6D10000}"/>
    <cellStyle name="Normal 8 6 3 2 3" xfId="53689" xr:uid="{00000000-0005-0000-0000-0000C7D10000}"/>
    <cellStyle name="Normal 8 6 3 2 4" xfId="53690" xr:uid="{00000000-0005-0000-0000-0000C8D10000}"/>
    <cellStyle name="Normal 8 6 3 3" xfId="53691" xr:uid="{00000000-0005-0000-0000-0000C9D10000}"/>
    <cellStyle name="Normal 8 6 3 3 2" xfId="53692" xr:uid="{00000000-0005-0000-0000-0000CAD10000}"/>
    <cellStyle name="Normal 8 6 3 4" xfId="53693" xr:uid="{00000000-0005-0000-0000-0000CBD10000}"/>
    <cellStyle name="Normal 8 6 3 5" xfId="53694" xr:uid="{00000000-0005-0000-0000-0000CCD10000}"/>
    <cellStyle name="Normal 8 6 4" xfId="53695" xr:uid="{00000000-0005-0000-0000-0000CDD10000}"/>
    <cellStyle name="Normal 8 6 4 2" xfId="53696" xr:uid="{00000000-0005-0000-0000-0000CED10000}"/>
    <cellStyle name="Normal 8 6 4 2 2" xfId="53697" xr:uid="{00000000-0005-0000-0000-0000CFD10000}"/>
    <cellStyle name="Normal 8 6 4 3" xfId="53698" xr:uid="{00000000-0005-0000-0000-0000D0D10000}"/>
    <cellStyle name="Normal 8 6 4 3 2" xfId="53699" xr:uid="{00000000-0005-0000-0000-0000D1D10000}"/>
    <cellStyle name="Normal 8 6 4 4" xfId="53700" xr:uid="{00000000-0005-0000-0000-0000D2D10000}"/>
    <cellStyle name="Normal 8 6 4 5" xfId="53701" xr:uid="{00000000-0005-0000-0000-0000D3D10000}"/>
    <cellStyle name="Normal 8 6 5" xfId="53702" xr:uid="{00000000-0005-0000-0000-0000D4D10000}"/>
    <cellStyle name="Normal 8 6 5 2" xfId="53703" xr:uid="{00000000-0005-0000-0000-0000D5D10000}"/>
    <cellStyle name="Normal 8 6 6" xfId="53704" xr:uid="{00000000-0005-0000-0000-0000D6D10000}"/>
    <cellStyle name="Normal 8 6 6 2" xfId="53705" xr:uid="{00000000-0005-0000-0000-0000D7D10000}"/>
    <cellStyle name="Normal 8 6 7" xfId="53706" xr:uid="{00000000-0005-0000-0000-0000D8D10000}"/>
    <cellStyle name="Normal 8 6 8" xfId="53707" xr:uid="{00000000-0005-0000-0000-0000D9D10000}"/>
    <cellStyle name="Normal 8 60" xfId="53708" xr:uid="{00000000-0005-0000-0000-0000DAD10000}"/>
    <cellStyle name="Normal 8 7" xfId="53709" xr:uid="{00000000-0005-0000-0000-0000DBD10000}"/>
    <cellStyle name="Normal 8 7 2" xfId="53710" xr:uid="{00000000-0005-0000-0000-0000DCD10000}"/>
    <cellStyle name="Normal 8 7 2 2" xfId="53711" xr:uid="{00000000-0005-0000-0000-0000DDD10000}"/>
    <cellStyle name="Normal 8 7 2 2 2" xfId="53712" xr:uid="{00000000-0005-0000-0000-0000DED10000}"/>
    <cellStyle name="Normal 8 7 2 2 2 2" xfId="53713" xr:uid="{00000000-0005-0000-0000-0000DFD10000}"/>
    <cellStyle name="Normal 8 7 2 2 3" xfId="53714" xr:uid="{00000000-0005-0000-0000-0000E0D10000}"/>
    <cellStyle name="Normal 8 7 2 2 4" xfId="53715" xr:uid="{00000000-0005-0000-0000-0000E1D10000}"/>
    <cellStyle name="Normal 8 7 2 3" xfId="53716" xr:uid="{00000000-0005-0000-0000-0000E2D10000}"/>
    <cellStyle name="Normal 8 7 2 3 2" xfId="53717" xr:uid="{00000000-0005-0000-0000-0000E3D10000}"/>
    <cellStyle name="Normal 8 7 2 4" xfId="53718" xr:uid="{00000000-0005-0000-0000-0000E4D10000}"/>
    <cellStyle name="Normal 8 7 2 5" xfId="53719" xr:uid="{00000000-0005-0000-0000-0000E5D10000}"/>
    <cellStyle name="Normal 8 7 3" xfId="53720" xr:uid="{00000000-0005-0000-0000-0000E6D10000}"/>
    <cellStyle name="Normal 8 7 3 2" xfId="53721" xr:uid="{00000000-0005-0000-0000-0000E7D10000}"/>
    <cellStyle name="Normal 8 7 3 2 2" xfId="53722" xr:uid="{00000000-0005-0000-0000-0000E8D10000}"/>
    <cellStyle name="Normal 8 7 3 3" xfId="53723" xr:uid="{00000000-0005-0000-0000-0000E9D10000}"/>
    <cellStyle name="Normal 8 7 3 3 2" xfId="53724" xr:uid="{00000000-0005-0000-0000-0000EAD10000}"/>
    <cellStyle name="Normal 8 7 3 4" xfId="53725" xr:uid="{00000000-0005-0000-0000-0000EBD10000}"/>
    <cellStyle name="Normal 8 7 3 5" xfId="53726" xr:uid="{00000000-0005-0000-0000-0000ECD10000}"/>
    <cellStyle name="Normal 8 7 4" xfId="53727" xr:uid="{00000000-0005-0000-0000-0000EDD10000}"/>
    <cellStyle name="Normal 8 7 4 2" xfId="53728" xr:uid="{00000000-0005-0000-0000-0000EED10000}"/>
    <cellStyle name="Normal 8 7 5" xfId="53729" xr:uid="{00000000-0005-0000-0000-0000EFD10000}"/>
    <cellStyle name="Normal 8 7 5 2" xfId="53730" xr:uid="{00000000-0005-0000-0000-0000F0D10000}"/>
    <cellStyle name="Normal 8 7 6" xfId="53731" xr:uid="{00000000-0005-0000-0000-0000F1D10000}"/>
    <cellStyle name="Normal 8 7 7" xfId="53732" xr:uid="{00000000-0005-0000-0000-0000F2D10000}"/>
    <cellStyle name="Normal 8 8" xfId="53733" xr:uid="{00000000-0005-0000-0000-0000F3D10000}"/>
    <cellStyle name="Normal 8 8 2" xfId="53734" xr:uid="{00000000-0005-0000-0000-0000F4D10000}"/>
    <cellStyle name="Normal 8 8 2 2" xfId="53735" xr:uid="{00000000-0005-0000-0000-0000F5D10000}"/>
    <cellStyle name="Normal 8 8 2 2 2" xfId="53736" xr:uid="{00000000-0005-0000-0000-0000F6D10000}"/>
    <cellStyle name="Normal 8 8 2 3" xfId="53737" xr:uid="{00000000-0005-0000-0000-0000F7D10000}"/>
    <cellStyle name="Normal 8 8 2 4" xfId="53738" xr:uid="{00000000-0005-0000-0000-0000F8D10000}"/>
    <cellStyle name="Normal 8 8 3" xfId="53739" xr:uid="{00000000-0005-0000-0000-0000F9D10000}"/>
    <cellStyle name="Normal 8 8 3 2" xfId="53740" xr:uid="{00000000-0005-0000-0000-0000FAD10000}"/>
    <cellStyle name="Normal 8 8 4" xfId="53741" xr:uid="{00000000-0005-0000-0000-0000FBD10000}"/>
    <cellStyle name="Normal 8 8 5" xfId="53742" xr:uid="{00000000-0005-0000-0000-0000FCD10000}"/>
    <cellStyle name="Normal 8 9" xfId="53743" xr:uid="{00000000-0005-0000-0000-0000FDD10000}"/>
    <cellStyle name="Normal 8 9 2" xfId="53744" xr:uid="{00000000-0005-0000-0000-0000FED10000}"/>
    <cellStyle name="Normal 8 9 2 2" xfId="53745" xr:uid="{00000000-0005-0000-0000-0000FFD10000}"/>
    <cellStyle name="Normal 8 9 3" xfId="53746" xr:uid="{00000000-0005-0000-0000-000000D20000}"/>
    <cellStyle name="Normal 8 9 3 2" xfId="53747" xr:uid="{00000000-0005-0000-0000-000001D20000}"/>
    <cellStyle name="Normal 8 9 4" xfId="53748" xr:uid="{00000000-0005-0000-0000-000002D20000}"/>
    <cellStyle name="Normal 8 9 5" xfId="53749" xr:uid="{00000000-0005-0000-0000-000003D20000}"/>
    <cellStyle name="Normal 80" xfId="53750" xr:uid="{00000000-0005-0000-0000-000004D20000}"/>
    <cellStyle name="Normal 80 10" xfId="53751" xr:uid="{00000000-0005-0000-0000-000005D20000}"/>
    <cellStyle name="Normal 80 10 2" xfId="53752" xr:uid="{00000000-0005-0000-0000-000006D20000}"/>
    <cellStyle name="Normal 80 11" xfId="53753" xr:uid="{00000000-0005-0000-0000-000007D20000}"/>
    <cellStyle name="Normal 80 11 2" xfId="53754" xr:uid="{00000000-0005-0000-0000-000008D20000}"/>
    <cellStyle name="Normal 80 12" xfId="53755" xr:uid="{00000000-0005-0000-0000-000009D20000}"/>
    <cellStyle name="Normal 80 12 2" xfId="53756" xr:uid="{00000000-0005-0000-0000-00000AD20000}"/>
    <cellStyle name="Normal 80 13" xfId="53757" xr:uid="{00000000-0005-0000-0000-00000BD20000}"/>
    <cellStyle name="Normal 80 13 2" xfId="53758" xr:uid="{00000000-0005-0000-0000-00000CD20000}"/>
    <cellStyle name="Normal 80 14" xfId="53759" xr:uid="{00000000-0005-0000-0000-00000DD20000}"/>
    <cellStyle name="Normal 80 14 2" xfId="53760" xr:uid="{00000000-0005-0000-0000-00000ED20000}"/>
    <cellStyle name="Normal 80 15" xfId="53761" xr:uid="{00000000-0005-0000-0000-00000FD20000}"/>
    <cellStyle name="Normal 80 15 2" xfId="53762" xr:uid="{00000000-0005-0000-0000-000010D20000}"/>
    <cellStyle name="Normal 80 16" xfId="53763" xr:uid="{00000000-0005-0000-0000-000011D20000}"/>
    <cellStyle name="Normal 80 16 2" xfId="53764" xr:uid="{00000000-0005-0000-0000-000012D20000}"/>
    <cellStyle name="Normal 80 17" xfId="53765" xr:uid="{00000000-0005-0000-0000-000013D20000}"/>
    <cellStyle name="Normal 80 17 2" xfId="53766" xr:uid="{00000000-0005-0000-0000-000014D20000}"/>
    <cellStyle name="Normal 80 18" xfId="53767" xr:uid="{00000000-0005-0000-0000-000015D20000}"/>
    <cellStyle name="Normal 80 18 2" xfId="53768" xr:uid="{00000000-0005-0000-0000-000016D20000}"/>
    <cellStyle name="Normal 80 19" xfId="53769" xr:uid="{00000000-0005-0000-0000-000017D20000}"/>
    <cellStyle name="Normal 80 19 2" xfId="53770" xr:uid="{00000000-0005-0000-0000-000018D20000}"/>
    <cellStyle name="Normal 80 2" xfId="53771" xr:uid="{00000000-0005-0000-0000-000019D20000}"/>
    <cellStyle name="Normal 80 2 2" xfId="53772" xr:uid="{00000000-0005-0000-0000-00001AD20000}"/>
    <cellStyle name="Normal 80 20" xfId="53773" xr:uid="{00000000-0005-0000-0000-00001BD20000}"/>
    <cellStyle name="Normal 80 20 2" xfId="53774" xr:uid="{00000000-0005-0000-0000-00001CD20000}"/>
    <cellStyle name="Normal 80 21" xfId="53775" xr:uid="{00000000-0005-0000-0000-00001DD20000}"/>
    <cellStyle name="Normal 80 21 2" xfId="53776" xr:uid="{00000000-0005-0000-0000-00001ED20000}"/>
    <cellStyle name="Normal 80 22" xfId="53777" xr:uid="{00000000-0005-0000-0000-00001FD20000}"/>
    <cellStyle name="Normal 80 22 2" xfId="53778" xr:uid="{00000000-0005-0000-0000-000020D20000}"/>
    <cellStyle name="Normal 80 23" xfId="53779" xr:uid="{00000000-0005-0000-0000-000021D20000}"/>
    <cellStyle name="Normal 80 23 2" xfId="53780" xr:uid="{00000000-0005-0000-0000-000022D20000}"/>
    <cellStyle name="Normal 80 24" xfId="53781" xr:uid="{00000000-0005-0000-0000-000023D20000}"/>
    <cellStyle name="Normal 80 24 2" xfId="53782" xr:uid="{00000000-0005-0000-0000-000024D20000}"/>
    <cellStyle name="Normal 80 25" xfId="53783" xr:uid="{00000000-0005-0000-0000-000025D20000}"/>
    <cellStyle name="Normal 80 25 2" xfId="53784" xr:uid="{00000000-0005-0000-0000-000026D20000}"/>
    <cellStyle name="Normal 80 26" xfId="53785" xr:uid="{00000000-0005-0000-0000-000027D20000}"/>
    <cellStyle name="Normal 80 26 2" xfId="53786" xr:uid="{00000000-0005-0000-0000-000028D20000}"/>
    <cellStyle name="Normal 80 27" xfId="53787" xr:uid="{00000000-0005-0000-0000-000029D20000}"/>
    <cellStyle name="Normal 80 27 2" xfId="53788" xr:uid="{00000000-0005-0000-0000-00002AD20000}"/>
    <cellStyle name="Normal 80 28" xfId="53789" xr:uid="{00000000-0005-0000-0000-00002BD20000}"/>
    <cellStyle name="Normal 80 28 2" xfId="53790" xr:uid="{00000000-0005-0000-0000-00002CD20000}"/>
    <cellStyle name="Normal 80 29" xfId="53791" xr:uid="{00000000-0005-0000-0000-00002DD20000}"/>
    <cellStyle name="Normal 80 29 2" xfId="53792" xr:uid="{00000000-0005-0000-0000-00002ED20000}"/>
    <cellStyle name="Normal 80 3" xfId="53793" xr:uid="{00000000-0005-0000-0000-00002FD20000}"/>
    <cellStyle name="Normal 80 3 2" xfId="53794" xr:uid="{00000000-0005-0000-0000-000030D20000}"/>
    <cellStyle name="Normal 80 30" xfId="53795" xr:uid="{00000000-0005-0000-0000-000031D20000}"/>
    <cellStyle name="Normal 80 30 2" xfId="53796" xr:uid="{00000000-0005-0000-0000-000032D20000}"/>
    <cellStyle name="Normal 80 31" xfId="53797" xr:uid="{00000000-0005-0000-0000-000033D20000}"/>
    <cellStyle name="Normal 80 31 2" xfId="53798" xr:uid="{00000000-0005-0000-0000-000034D20000}"/>
    <cellStyle name="Normal 80 32" xfId="53799" xr:uid="{00000000-0005-0000-0000-000035D20000}"/>
    <cellStyle name="Normal 80 32 2" xfId="53800" xr:uid="{00000000-0005-0000-0000-000036D20000}"/>
    <cellStyle name="Normal 80 33" xfId="53801" xr:uid="{00000000-0005-0000-0000-000037D20000}"/>
    <cellStyle name="Normal 80 33 2" xfId="53802" xr:uid="{00000000-0005-0000-0000-000038D20000}"/>
    <cellStyle name="Normal 80 34" xfId="53803" xr:uid="{00000000-0005-0000-0000-000039D20000}"/>
    <cellStyle name="Normal 80 34 2" xfId="53804" xr:uid="{00000000-0005-0000-0000-00003AD20000}"/>
    <cellStyle name="Normal 80 35" xfId="53805" xr:uid="{00000000-0005-0000-0000-00003BD20000}"/>
    <cellStyle name="Normal 80 35 2" xfId="53806" xr:uid="{00000000-0005-0000-0000-00003CD20000}"/>
    <cellStyle name="Normal 80 36" xfId="53807" xr:uid="{00000000-0005-0000-0000-00003DD20000}"/>
    <cellStyle name="Normal 80 36 2" xfId="53808" xr:uid="{00000000-0005-0000-0000-00003ED20000}"/>
    <cellStyle name="Normal 80 37" xfId="53809" xr:uid="{00000000-0005-0000-0000-00003FD20000}"/>
    <cellStyle name="Normal 80 37 2" xfId="53810" xr:uid="{00000000-0005-0000-0000-000040D20000}"/>
    <cellStyle name="Normal 80 38" xfId="53811" xr:uid="{00000000-0005-0000-0000-000041D20000}"/>
    <cellStyle name="Normal 80 38 2" xfId="53812" xr:uid="{00000000-0005-0000-0000-000042D20000}"/>
    <cellStyle name="Normal 80 39" xfId="53813" xr:uid="{00000000-0005-0000-0000-000043D20000}"/>
    <cellStyle name="Normal 80 39 2" xfId="53814" xr:uid="{00000000-0005-0000-0000-000044D20000}"/>
    <cellStyle name="Normal 80 4" xfId="53815" xr:uid="{00000000-0005-0000-0000-000045D20000}"/>
    <cellStyle name="Normal 80 4 2" xfId="53816" xr:uid="{00000000-0005-0000-0000-000046D20000}"/>
    <cellStyle name="Normal 80 40" xfId="53817" xr:uid="{00000000-0005-0000-0000-000047D20000}"/>
    <cellStyle name="Normal 80 40 2" xfId="53818" xr:uid="{00000000-0005-0000-0000-000048D20000}"/>
    <cellStyle name="Normal 80 41" xfId="53819" xr:uid="{00000000-0005-0000-0000-000049D20000}"/>
    <cellStyle name="Normal 80 41 2" xfId="53820" xr:uid="{00000000-0005-0000-0000-00004AD20000}"/>
    <cellStyle name="Normal 80 42" xfId="53821" xr:uid="{00000000-0005-0000-0000-00004BD20000}"/>
    <cellStyle name="Normal 80 42 2" xfId="53822" xr:uid="{00000000-0005-0000-0000-00004CD20000}"/>
    <cellStyle name="Normal 80 43" xfId="53823" xr:uid="{00000000-0005-0000-0000-00004DD20000}"/>
    <cellStyle name="Normal 80 43 2" xfId="53824" xr:uid="{00000000-0005-0000-0000-00004ED20000}"/>
    <cellStyle name="Normal 80 44" xfId="53825" xr:uid="{00000000-0005-0000-0000-00004FD20000}"/>
    <cellStyle name="Normal 80 44 2" xfId="53826" xr:uid="{00000000-0005-0000-0000-000050D20000}"/>
    <cellStyle name="Normal 80 45" xfId="53827" xr:uid="{00000000-0005-0000-0000-000051D20000}"/>
    <cellStyle name="Normal 80 45 2" xfId="53828" xr:uid="{00000000-0005-0000-0000-000052D20000}"/>
    <cellStyle name="Normal 80 46" xfId="53829" xr:uid="{00000000-0005-0000-0000-000053D20000}"/>
    <cellStyle name="Normal 80 46 2" xfId="53830" xr:uid="{00000000-0005-0000-0000-000054D20000}"/>
    <cellStyle name="Normal 80 47" xfId="53831" xr:uid="{00000000-0005-0000-0000-000055D20000}"/>
    <cellStyle name="Normal 80 47 2" xfId="53832" xr:uid="{00000000-0005-0000-0000-000056D20000}"/>
    <cellStyle name="Normal 80 48" xfId="53833" xr:uid="{00000000-0005-0000-0000-000057D20000}"/>
    <cellStyle name="Normal 80 48 2" xfId="53834" xr:uid="{00000000-0005-0000-0000-000058D20000}"/>
    <cellStyle name="Normal 80 49" xfId="53835" xr:uid="{00000000-0005-0000-0000-000059D20000}"/>
    <cellStyle name="Normal 80 49 2" xfId="53836" xr:uid="{00000000-0005-0000-0000-00005AD20000}"/>
    <cellStyle name="Normal 80 5" xfId="53837" xr:uid="{00000000-0005-0000-0000-00005BD20000}"/>
    <cellStyle name="Normal 80 5 2" xfId="53838" xr:uid="{00000000-0005-0000-0000-00005CD20000}"/>
    <cellStyle name="Normal 80 50" xfId="53839" xr:uid="{00000000-0005-0000-0000-00005DD20000}"/>
    <cellStyle name="Normal 80 50 2" xfId="53840" xr:uid="{00000000-0005-0000-0000-00005ED20000}"/>
    <cellStyle name="Normal 80 51" xfId="53841" xr:uid="{00000000-0005-0000-0000-00005FD20000}"/>
    <cellStyle name="Normal 80 51 2" xfId="53842" xr:uid="{00000000-0005-0000-0000-000060D20000}"/>
    <cellStyle name="Normal 80 52" xfId="53843" xr:uid="{00000000-0005-0000-0000-000061D20000}"/>
    <cellStyle name="Normal 80 52 2" xfId="53844" xr:uid="{00000000-0005-0000-0000-000062D20000}"/>
    <cellStyle name="Normal 80 53" xfId="53845" xr:uid="{00000000-0005-0000-0000-000063D20000}"/>
    <cellStyle name="Normal 80 53 2" xfId="53846" xr:uid="{00000000-0005-0000-0000-000064D20000}"/>
    <cellStyle name="Normal 80 54" xfId="53847" xr:uid="{00000000-0005-0000-0000-000065D20000}"/>
    <cellStyle name="Normal 80 54 2" xfId="53848" xr:uid="{00000000-0005-0000-0000-000066D20000}"/>
    <cellStyle name="Normal 80 55" xfId="53849" xr:uid="{00000000-0005-0000-0000-000067D20000}"/>
    <cellStyle name="Normal 80 55 2" xfId="53850" xr:uid="{00000000-0005-0000-0000-000068D20000}"/>
    <cellStyle name="Normal 80 56" xfId="53851" xr:uid="{00000000-0005-0000-0000-000069D20000}"/>
    <cellStyle name="Normal 80 56 2" xfId="53852" xr:uid="{00000000-0005-0000-0000-00006AD20000}"/>
    <cellStyle name="Normal 80 57" xfId="53853" xr:uid="{00000000-0005-0000-0000-00006BD20000}"/>
    <cellStyle name="Normal 80 57 2" xfId="53854" xr:uid="{00000000-0005-0000-0000-00006CD20000}"/>
    <cellStyle name="Normal 80 58" xfId="53855" xr:uid="{00000000-0005-0000-0000-00006DD20000}"/>
    <cellStyle name="Normal 80 58 2" xfId="53856" xr:uid="{00000000-0005-0000-0000-00006ED20000}"/>
    <cellStyle name="Normal 80 59" xfId="53857" xr:uid="{00000000-0005-0000-0000-00006FD20000}"/>
    <cellStyle name="Normal 80 6" xfId="53858" xr:uid="{00000000-0005-0000-0000-000070D20000}"/>
    <cellStyle name="Normal 80 6 2" xfId="53859" xr:uid="{00000000-0005-0000-0000-000071D20000}"/>
    <cellStyle name="Normal 80 7" xfId="53860" xr:uid="{00000000-0005-0000-0000-000072D20000}"/>
    <cellStyle name="Normal 80 7 2" xfId="53861" xr:uid="{00000000-0005-0000-0000-000073D20000}"/>
    <cellStyle name="Normal 80 8" xfId="53862" xr:uid="{00000000-0005-0000-0000-000074D20000}"/>
    <cellStyle name="Normal 80 8 2" xfId="53863" xr:uid="{00000000-0005-0000-0000-000075D20000}"/>
    <cellStyle name="Normal 80 9" xfId="53864" xr:uid="{00000000-0005-0000-0000-000076D20000}"/>
    <cellStyle name="Normal 80 9 2" xfId="53865" xr:uid="{00000000-0005-0000-0000-000077D20000}"/>
    <cellStyle name="Normal 81" xfId="53866" xr:uid="{00000000-0005-0000-0000-000078D20000}"/>
    <cellStyle name="Normal 81 10" xfId="53867" xr:uid="{00000000-0005-0000-0000-000079D20000}"/>
    <cellStyle name="Normal 81 10 2" xfId="53868" xr:uid="{00000000-0005-0000-0000-00007AD20000}"/>
    <cellStyle name="Normal 81 11" xfId="53869" xr:uid="{00000000-0005-0000-0000-00007BD20000}"/>
    <cellStyle name="Normal 81 11 2" xfId="53870" xr:uid="{00000000-0005-0000-0000-00007CD20000}"/>
    <cellStyle name="Normal 81 12" xfId="53871" xr:uid="{00000000-0005-0000-0000-00007DD20000}"/>
    <cellStyle name="Normal 81 12 2" xfId="53872" xr:uid="{00000000-0005-0000-0000-00007ED20000}"/>
    <cellStyle name="Normal 81 13" xfId="53873" xr:uid="{00000000-0005-0000-0000-00007FD20000}"/>
    <cellStyle name="Normal 81 13 2" xfId="53874" xr:uid="{00000000-0005-0000-0000-000080D20000}"/>
    <cellStyle name="Normal 81 14" xfId="53875" xr:uid="{00000000-0005-0000-0000-000081D20000}"/>
    <cellStyle name="Normal 81 14 2" xfId="53876" xr:uid="{00000000-0005-0000-0000-000082D20000}"/>
    <cellStyle name="Normal 81 15" xfId="53877" xr:uid="{00000000-0005-0000-0000-000083D20000}"/>
    <cellStyle name="Normal 81 15 2" xfId="53878" xr:uid="{00000000-0005-0000-0000-000084D20000}"/>
    <cellStyle name="Normal 81 16" xfId="53879" xr:uid="{00000000-0005-0000-0000-000085D20000}"/>
    <cellStyle name="Normal 81 16 2" xfId="53880" xr:uid="{00000000-0005-0000-0000-000086D20000}"/>
    <cellStyle name="Normal 81 17" xfId="53881" xr:uid="{00000000-0005-0000-0000-000087D20000}"/>
    <cellStyle name="Normal 81 17 2" xfId="53882" xr:uid="{00000000-0005-0000-0000-000088D20000}"/>
    <cellStyle name="Normal 81 18" xfId="53883" xr:uid="{00000000-0005-0000-0000-000089D20000}"/>
    <cellStyle name="Normal 81 18 2" xfId="53884" xr:uid="{00000000-0005-0000-0000-00008AD20000}"/>
    <cellStyle name="Normal 81 19" xfId="53885" xr:uid="{00000000-0005-0000-0000-00008BD20000}"/>
    <cellStyle name="Normal 81 19 2" xfId="53886" xr:uid="{00000000-0005-0000-0000-00008CD20000}"/>
    <cellStyle name="Normal 81 2" xfId="53887" xr:uid="{00000000-0005-0000-0000-00008DD20000}"/>
    <cellStyle name="Normal 81 2 2" xfId="53888" xr:uid="{00000000-0005-0000-0000-00008ED20000}"/>
    <cellStyle name="Normal 81 20" xfId="53889" xr:uid="{00000000-0005-0000-0000-00008FD20000}"/>
    <cellStyle name="Normal 81 20 2" xfId="53890" xr:uid="{00000000-0005-0000-0000-000090D20000}"/>
    <cellStyle name="Normal 81 21" xfId="53891" xr:uid="{00000000-0005-0000-0000-000091D20000}"/>
    <cellStyle name="Normal 81 21 2" xfId="53892" xr:uid="{00000000-0005-0000-0000-000092D20000}"/>
    <cellStyle name="Normal 81 22" xfId="53893" xr:uid="{00000000-0005-0000-0000-000093D20000}"/>
    <cellStyle name="Normal 81 22 2" xfId="53894" xr:uid="{00000000-0005-0000-0000-000094D20000}"/>
    <cellStyle name="Normal 81 23" xfId="53895" xr:uid="{00000000-0005-0000-0000-000095D20000}"/>
    <cellStyle name="Normal 81 23 2" xfId="53896" xr:uid="{00000000-0005-0000-0000-000096D20000}"/>
    <cellStyle name="Normal 81 24" xfId="53897" xr:uid="{00000000-0005-0000-0000-000097D20000}"/>
    <cellStyle name="Normal 81 24 2" xfId="53898" xr:uid="{00000000-0005-0000-0000-000098D20000}"/>
    <cellStyle name="Normal 81 25" xfId="53899" xr:uid="{00000000-0005-0000-0000-000099D20000}"/>
    <cellStyle name="Normal 81 25 2" xfId="53900" xr:uid="{00000000-0005-0000-0000-00009AD20000}"/>
    <cellStyle name="Normal 81 26" xfId="53901" xr:uid="{00000000-0005-0000-0000-00009BD20000}"/>
    <cellStyle name="Normal 81 26 2" xfId="53902" xr:uid="{00000000-0005-0000-0000-00009CD20000}"/>
    <cellStyle name="Normal 81 27" xfId="53903" xr:uid="{00000000-0005-0000-0000-00009DD20000}"/>
    <cellStyle name="Normal 81 27 2" xfId="53904" xr:uid="{00000000-0005-0000-0000-00009ED20000}"/>
    <cellStyle name="Normal 81 28" xfId="53905" xr:uid="{00000000-0005-0000-0000-00009FD20000}"/>
    <cellStyle name="Normal 81 28 2" xfId="53906" xr:uid="{00000000-0005-0000-0000-0000A0D20000}"/>
    <cellStyle name="Normal 81 29" xfId="53907" xr:uid="{00000000-0005-0000-0000-0000A1D20000}"/>
    <cellStyle name="Normal 81 29 2" xfId="53908" xr:uid="{00000000-0005-0000-0000-0000A2D20000}"/>
    <cellStyle name="Normal 81 3" xfId="53909" xr:uid="{00000000-0005-0000-0000-0000A3D20000}"/>
    <cellStyle name="Normal 81 3 2" xfId="53910" xr:uid="{00000000-0005-0000-0000-0000A4D20000}"/>
    <cellStyle name="Normal 81 30" xfId="53911" xr:uid="{00000000-0005-0000-0000-0000A5D20000}"/>
    <cellStyle name="Normal 81 30 2" xfId="53912" xr:uid="{00000000-0005-0000-0000-0000A6D20000}"/>
    <cellStyle name="Normal 81 31" xfId="53913" xr:uid="{00000000-0005-0000-0000-0000A7D20000}"/>
    <cellStyle name="Normal 81 31 2" xfId="53914" xr:uid="{00000000-0005-0000-0000-0000A8D20000}"/>
    <cellStyle name="Normal 81 32" xfId="53915" xr:uid="{00000000-0005-0000-0000-0000A9D20000}"/>
    <cellStyle name="Normal 81 32 2" xfId="53916" xr:uid="{00000000-0005-0000-0000-0000AAD20000}"/>
    <cellStyle name="Normal 81 33" xfId="53917" xr:uid="{00000000-0005-0000-0000-0000ABD20000}"/>
    <cellStyle name="Normal 81 33 2" xfId="53918" xr:uid="{00000000-0005-0000-0000-0000ACD20000}"/>
    <cellStyle name="Normal 81 34" xfId="53919" xr:uid="{00000000-0005-0000-0000-0000ADD20000}"/>
    <cellStyle name="Normal 81 34 2" xfId="53920" xr:uid="{00000000-0005-0000-0000-0000AED20000}"/>
    <cellStyle name="Normal 81 35" xfId="53921" xr:uid="{00000000-0005-0000-0000-0000AFD20000}"/>
    <cellStyle name="Normal 81 35 2" xfId="53922" xr:uid="{00000000-0005-0000-0000-0000B0D20000}"/>
    <cellStyle name="Normal 81 36" xfId="53923" xr:uid="{00000000-0005-0000-0000-0000B1D20000}"/>
    <cellStyle name="Normal 81 36 2" xfId="53924" xr:uid="{00000000-0005-0000-0000-0000B2D20000}"/>
    <cellStyle name="Normal 81 37" xfId="53925" xr:uid="{00000000-0005-0000-0000-0000B3D20000}"/>
    <cellStyle name="Normal 81 37 2" xfId="53926" xr:uid="{00000000-0005-0000-0000-0000B4D20000}"/>
    <cellStyle name="Normal 81 38" xfId="53927" xr:uid="{00000000-0005-0000-0000-0000B5D20000}"/>
    <cellStyle name="Normal 81 38 2" xfId="53928" xr:uid="{00000000-0005-0000-0000-0000B6D20000}"/>
    <cellStyle name="Normal 81 39" xfId="53929" xr:uid="{00000000-0005-0000-0000-0000B7D20000}"/>
    <cellStyle name="Normal 81 39 2" xfId="53930" xr:uid="{00000000-0005-0000-0000-0000B8D20000}"/>
    <cellStyle name="Normal 81 4" xfId="53931" xr:uid="{00000000-0005-0000-0000-0000B9D20000}"/>
    <cellStyle name="Normal 81 4 2" xfId="53932" xr:uid="{00000000-0005-0000-0000-0000BAD20000}"/>
    <cellStyle name="Normal 81 40" xfId="53933" xr:uid="{00000000-0005-0000-0000-0000BBD20000}"/>
    <cellStyle name="Normal 81 40 2" xfId="53934" xr:uid="{00000000-0005-0000-0000-0000BCD20000}"/>
    <cellStyle name="Normal 81 41" xfId="53935" xr:uid="{00000000-0005-0000-0000-0000BDD20000}"/>
    <cellStyle name="Normal 81 41 2" xfId="53936" xr:uid="{00000000-0005-0000-0000-0000BED20000}"/>
    <cellStyle name="Normal 81 42" xfId="53937" xr:uid="{00000000-0005-0000-0000-0000BFD20000}"/>
    <cellStyle name="Normal 81 42 2" xfId="53938" xr:uid="{00000000-0005-0000-0000-0000C0D20000}"/>
    <cellStyle name="Normal 81 43" xfId="53939" xr:uid="{00000000-0005-0000-0000-0000C1D20000}"/>
    <cellStyle name="Normal 81 43 2" xfId="53940" xr:uid="{00000000-0005-0000-0000-0000C2D20000}"/>
    <cellStyle name="Normal 81 44" xfId="53941" xr:uid="{00000000-0005-0000-0000-0000C3D20000}"/>
    <cellStyle name="Normal 81 44 2" xfId="53942" xr:uid="{00000000-0005-0000-0000-0000C4D20000}"/>
    <cellStyle name="Normal 81 45" xfId="53943" xr:uid="{00000000-0005-0000-0000-0000C5D20000}"/>
    <cellStyle name="Normal 81 45 2" xfId="53944" xr:uid="{00000000-0005-0000-0000-0000C6D20000}"/>
    <cellStyle name="Normal 81 46" xfId="53945" xr:uid="{00000000-0005-0000-0000-0000C7D20000}"/>
    <cellStyle name="Normal 81 46 2" xfId="53946" xr:uid="{00000000-0005-0000-0000-0000C8D20000}"/>
    <cellStyle name="Normal 81 47" xfId="53947" xr:uid="{00000000-0005-0000-0000-0000C9D20000}"/>
    <cellStyle name="Normal 81 47 2" xfId="53948" xr:uid="{00000000-0005-0000-0000-0000CAD20000}"/>
    <cellStyle name="Normal 81 48" xfId="53949" xr:uid="{00000000-0005-0000-0000-0000CBD20000}"/>
    <cellStyle name="Normal 81 48 2" xfId="53950" xr:uid="{00000000-0005-0000-0000-0000CCD20000}"/>
    <cellStyle name="Normal 81 49" xfId="53951" xr:uid="{00000000-0005-0000-0000-0000CDD20000}"/>
    <cellStyle name="Normal 81 49 2" xfId="53952" xr:uid="{00000000-0005-0000-0000-0000CED20000}"/>
    <cellStyle name="Normal 81 5" xfId="53953" xr:uid="{00000000-0005-0000-0000-0000CFD20000}"/>
    <cellStyle name="Normal 81 5 2" xfId="53954" xr:uid="{00000000-0005-0000-0000-0000D0D20000}"/>
    <cellStyle name="Normal 81 50" xfId="53955" xr:uid="{00000000-0005-0000-0000-0000D1D20000}"/>
    <cellStyle name="Normal 81 50 2" xfId="53956" xr:uid="{00000000-0005-0000-0000-0000D2D20000}"/>
    <cellStyle name="Normal 81 51" xfId="53957" xr:uid="{00000000-0005-0000-0000-0000D3D20000}"/>
    <cellStyle name="Normal 81 51 2" xfId="53958" xr:uid="{00000000-0005-0000-0000-0000D4D20000}"/>
    <cellStyle name="Normal 81 52" xfId="53959" xr:uid="{00000000-0005-0000-0000-0000D5D20000}"/>
    <cellStyle name="Normal 81 52 2" xfId="53960" xr:uid="{00000000-0005-0000-0000-0000D6D20000}"/>
    <cellStyle name="Normal 81 53" xfId="53961" xr:uid="{00000000-0005-0000-0000-0000D7D20000}"/>
    <cellStyle name="Normal 81 53 2" xfId="53962" xr:uid="{00000000-0005-0000-0000-0000D8D20000}"/>
    <cellStyle name="Normal 81 54" xfId="53963" xr:uid="{00000000-0005-0000-0000-0000D9D20000}"/>
    <cellStyle name="Normal 81 54 2" xfId="53964" xr:uid="{00000000-0005-0000-0000-0000DAD20000}"/>
    <cellStyle name="Normal 81 55" xfId="53965" xr:uid="{00000000-0005-0000-0000-0000DBD20000}"/>
    <cellStyle name="Normal 81 55 2" xfId="53966" xr:uid="{00000000-0005-0000-0000-0000DCD20000}"/>
    <cellStyle name="Normal 81 56" xfId="53967" xr:uid="{00000000-0005-0000-0000-0000DDD20000}"/>
    <cellStyle name="Normal 81 56 2" xfId="53968" xr:uid="{00000000-0005-0000-0000-0000DED20000}"/>
    <cellStyle name="Normal 81 57" xfId="53969" xr:uid="{00000000-0005-0000-0000-0000DFD20000}"/>
    <cellStyle name="Normal 81 57 2" xfId="53970" xr:uid="{00000000-0005-0000-0000-0000E0D20000}"/>
    <cellStyle name="Normal 81 58" xfId="53971" xr:uid="{00000000-0005-0000-0000-0000E1D20000}"/>
    <cellStyle name="Normal 81 58 2" xfId="53972" xr:uid="{00000000-0005-0000-0000-0000E2D20000}"/>
    <cellStyle name="Normal 81 59" xfId="53973" xr:uid="{00000000-0005-0000-0000-0000E3D20000}"/>
    <cellStyle name="Normal 81 6" xfId="53974" xr:uid="{00000000-0005-0000-0000-0000E4D20000}"/>
    <cellStyle name="Normal 81 6 2" xfId="53975" xr:uid="{00000000-0005-0000-0000-0000E5D20000}"/>
    <cellStyle name="Normal 81 7" xfId="53976" xr:uid="{00000000-0005-0000-0000-0000E6D20000}"/>
    <cellStyle name="Normal 81 7 2" xfId="53977" xr:uid="{00000000-0005-0000-0000-0000E7D20000}"/>
    <cellStyle name="Normal 81 8" xfId="53978" xr:uid="{00000000-0005-0000-0000-0000E8D20000}"/>
    <cellStyle name="Normal 81 8 2" xfId="53979" xr:uid="{00000000-0005-0000-0000-0000E9D20000}"/>
    <cellStyle name="Normal 81 9" xfId="53980" xr:uid="{00000000-0005-0000-0000-0000EAD20000}"/>
    <cellStyle name="Normal 81 9 2" xfId="53981" xr:uid="{00000000-0005-0000-0000-0000EBD20000}"/>
    <cellStyle name="Normal 82" xfId="53982" xr:uid="{00000000-0005-0000-0000-0000ECD20000}"/>
    <cellStyle name="Normal 82 10" xfId="53983" xr:uid="{00000000-0005-0000-0000-0000EDD20000}"/>
    <cellStyle name="Normal 82 10 2" xfId="53984" xr:uid="{00000000-0005-0000-0000-0000EED20000}"/>
    <cellStyle name="Normal 82 11" xfId="53985" xr:uid="{00000000-0005-0000-0000-0000EFD20000}"/>
    <cellStyle name="Normal 82 11 2" xfId="53986" xr:uid="{00000000-0005-0000-0000-0000F0D20000}"/>
    <cellStyle name="Normal 82 12" xfId="53987" xr:uid="{00000000-0005-0000-0000-0000F1D20000}"/>
    <cellStyle name="Normal 82 12 2" xfId="53988" xr:uid="{00000000-0005-0000-0000-0000F2D20000}"/>
    <cellStyle name="Normal 82 13" xfId="53989" xr:uid="{00000000-0005-0000-0000-0000F3D20000}"/>
    <cellStyle name="Normal 82 13 2" xfId="53990" xr:uid="{00000000-0005-0000-0000-0000F4D20000}"/>
    <cellStyle name="Normal 82 14" xfId="53991" xr:uid="{00000000-0005-0000-0000-0000F5D20000}"/>
    <cellStyle name="Normal 82 14 2" xfId="53992" xr:uid="{00000000-0005-0000-0000-0000F6D20000}"/>
    <cellStyle name="Normal 82 15" xfId="53993" xr:uid="{00000000-0005-0000-0000-0000F7D20000}"/>
    <cellStyle name="Normal 82 15 2" xfId="53994" xr:uid="{00000000-0005-0000-0000-0000F8D20000}"/>
    <cellStyle name="Normal 82 16" xfId="53995" xr:uid="{00000000-0005-0000-0000-0000F9D20000}"/>
    <cellStyle name="Normal 82 16 2" xfId="53996" xr:uid="{00000000-0005-0000-0000-0000FAD20000}"/>
    <cellStyle name="Normal 82 17" xfId="53997" xr:uid="{00000000-0005-0000-0000-0000FBD20000}"/>
    <cellStyle name="Normal 82 17 2" xfId="53998" xr:uid="{00000000-0005-0000-0000-0000FCD20000}"/>
    <cellStyle name="Normal 82 18" xfId="53999" xr:uid="{00000000-0005-0000-0000-0000FDD20000}"/>
    <cellStyle name="Normal 82 18 2" xfId="54000" xr:uid="{00000000-0005-0000-0000-0000FED20000}"/>
    <cellStyle name="Normal 82 19" xfId="54001" xr:uid="{00000000-0005-0000-0000-0000FFD20000}"/>
    <cellStyle name="Normal 82 19 2" xfId="54002" xr:uid="{00000000-0005-0000-0000-000000D30000}"/>
    <cellStyle name="Normal 82 2" xfId="54003" xr:uid="{00000000-0005-0000-0000-000001D30000}"/>
    <cellStyle name="Normal 82 2 2" xfId="54004" xr:uid="{00000000-0005-0000-0000-000002D30000}"/>
    <cellStyle name="Normal 82 20" xfId="54005" xr:uid="{00000000-0005-0000-0000-000003D30000}"/>
    <cellStyle name="Normal 82 20 2" xfId="54006" xr:uid="{00000000-0005-0000-0000-000004D30000}"/>
    <cellStyle name="Normal 82 21" xfId="54007" xr:uid="{00000000-0005-0000-0000-000005D30000}"/>
    <cellStyle name="Normal 82 21 2" xfId="54008" xr:uid="{00000000-0005-0000-0000-000006D30000}"/>
    <cellStyle name="Normal 82 22" xfId="54009" xr:uid="{00000000-0005-0000-0000-000007D30000}"/>
    <cellStyle name="Normal 82 22 2" xfId="54010" xr:uid="{00000000-0005-0000-0000-000008D30000}"/>
    <cellStyle name="Normal 82 23" xfId="54011" xr:uid="{00000000-0005-0000-0000-000009D30000}"/>
    <cellStyle name="Normal 82 23 2" xfId="54012" xr:uid="{00000000-0005-0000-0000-00000AD30000}"/>
    <cellStyle name="Normal 82 24" xfId="54013" xr:uid="{00000000-0005-0000-0000-00000BD30000}"/>
    <cellStyle name="Normal 82 24 2" xfId="54014" xr:uid="{00000000-0005-0000-0000-00000CD30000}"/>
    <cellStyle name="Normal 82 25" xfId="54015" xr:uid="{00000000-0005-0000-0000-00000DD30000}"/>
    <cellStyle name="Normal 82 25 2" xfId="54016" xr:uid="{00000000-0005-0000-0000-00000ED30000}"/>
    <cellStyle name="Normal 82 26" xfId="54017" xr:uid="{00000000-0005-0000-0000-00000FD30000}"/>
    <cellStyle name="Normal 82 26 2" xfId="54018" xr:uid="{00000000-0005-0000-0000-000010D30000}"/>
    <cellStyle name="Normal 82 27" xfId="54019" xr:uid="{00000000-0005-0000-0000-000011D30000}"/>
    <cellStyle name="Normal 82 27 2" xfId="54020" xr:uid="{00000000-0005-0000-0000-000012D30000}"/>
    <cellStyle name="Normal 82 28" xfId="54021" xr:uid="{00000000-0005-0000-0000-000013D30000}"/>
    <cellStyle name="Normal 82 28 2" xfId="54022" xr:uid="{00000000-0005-0000-0000-000014D30000}"/>
    <cellStyle name="Normal 82 29" xfId="54023" xr:uid="{00000000-0005-0000-0000-000015D30000}"/>
    <cellStyle name="Normal 82 29 2" xfId="54024" xr:uid="{00000000-0005-0000-0000-000016D30000}"/>
    <cellStyle name="Normal 82 3" xfId="54025" xr:uid="{00000000-0005-0000-0000-000017D30000}"/>
    <cellStyle name="Normal 82 3 2" xfId="54026" xr:uid="{00000000-0005-0000-0000-000018D30000}"/>
    <cellStyle name="Normal 82 30" xfId="54027" xr:uid="{00000000-0005-0000-0000-000019D30000}"/>
    <cellStyle name="Normal 82 30 2" xfId="54028" xr:uid="{00000000-0005-0000-0000-00001AD30000}"/>
    <cellStyle name="Normal 82 31" xfId="54029" xr:uid="{00000000-0005-0000-0000-00001BD30000}"/>
    <cellStyle name="Normal 82 31 2" xfId="54030" xr:uid="{00000000-0005-0000-0000-00001CD30000}"/>
    <cellStyle name="Normal 82 32" xfId="54031" xr:uid="{00000000-0005-0000-0000-00001DD30000}"/>
    <cellStyle name="Normal 82 32 2" xfId="54032" xr:uid="{00000000-0005-0000-0000-00001ED30000}"/>
    <cellStyle name="Normal 82 33" xfId="54033" xr:uid="{00000000-0005-0000-0000-00001FD30000}"/>
    <cellStyle name="Normal 82 33 2" xfId="54034" xr:uid="{00000000-0005-0000-0000-000020D30000}"/>
    <cellStyle name="Normal 82 34" xfId="54035" xr:uid="{00000000-0005-0000-0000-000021D30000}"/>
    <cellStyle name="Normal 82 34 2" xfId="54036" xr:uid="{00000000-0005-0000-0000-000022D30000}"/>
    <cellStyle name="Normal 82 35" xfId="54037" xr:uid="{00000000-0005-0000-0000-000023D30000}"/>
    <cellStyle name="Normal 82 35 2" xfId="54038" xr:uid="{00000000-0005-0000-0000-000024D30000}"/>
    <cellStyle name="Normal 82 36" xfId="54039" xr:uid="{00000000-0005-0000-0000-000025D30000}"/>
    <cellStyle name="Normal 82 36 2" xfId="54040" xr:uid="{00000000-0005-0000-0000-000026D30000}"/>
    <cellStyle name="Normal 82 37" xfId="54041" xr:uid="{00000000-0005-0000-0000-000027D30000}"/>
    <cellStyle name="Normal 82 37 2" xfId="54042" xr:uid="{00000000-0005-0000-0000-000028D30000}"/>
    <cellStyle name="Normal 82 38" xfId="54043" xr:uid="{00000000-0005-0000-0000-000029D30000}"/>
    <cellStyle name="Normal 82 38 2" xfId="54044" xr:uid="{00000000-0005-0000-0000-00002AD30000}"/>
    <cellStyle name="Normal 82 39" xfId="54045" xr:uid="{00000000-0005-0000-0000-00002BD30000}"/>
    <cellStyle name="Normal 82 39 2" xfId="54046" xr:uid="{00000000-0005-0000-0000-00002CD30000}"/>
    <cellStyle name="Normal 82 4" xfId="54047" xr:uid="{00000000-0005-0000-0000-00002DD30000}"/>
    <cellStyle name="Normal 82 4 2" xfId="54048" xr:uid="{00000000-0005-0000-0000-00002ED30000}"/>
    <cellStyle name="Normal 82 40" xfId="54049" xr:uid="{00000000-0005-0000-0000-00002FD30000}"/>
    <cellStyle name="Normal 82 40 2" xfId="54050" xr:uid="{00000000-0005-0000-0000-000030D30000}"/>
    <cellStyle name="Normal 82 41" xfId="54051" xr:uid="{00000000-0005-0000-0000-000031D30000}"/>
    <cellStyle name="Normal 82 41 2" xfId="54052" xr:uid="{00000000-0005-0000-0000-000032D30000}"/>
    <cellStyle name="Normal 82 42" xfId="54053" xr:uid="{00000000-0005-0000-0000-000033D30000}"/>
    <cellStyle name="Normal 82 42 2" xfId="54054" xr:uid="{00000000-0005-0000-0000-000034D30000}"/>
    <cellStyle name="Normal 82 43" xfId="54055" xr:uid="{00000000-0005-0000-0000-000035D30000}"/>
    <cellStyle name="Normal 82 43 2" xfId="54056" xr:uid="{00000000-0005-0000-0000-000036D30000}"/>
    <cellStyle name="Normal 82 44" xfId="54057" xr:uid="{00000000-0005-0000-0000-000037D30000}"/>
    <cellStyle name="Normal 82 44 2" xfId="54058" xr:uid="{00000000-0005-0000-0000-000038D30000}"/>
    <cellStyle name="Normal 82 45" xfId="54059" xr:uid="{00000000-0005-0000-0000-000039D30000}"/>
    <cellStyle name="Normal 82 45 2" xfId="54060" xr:uid="{00000000-0005-0000-0000-00003AD30000}"/>
    <cellStyle name="Normal 82 46" xfId="54061" xr:uid="{00000000-0005-0000-0000-00003BD30000}"/>
    <cellStyle name="Normal 82 46 2" xfId="54062" xr:uid="{00000000-0005-0000-0000-00003CD30000}"/>
    <cellStyle name="Normal 82 47" xfId="54063" xr:uid="{00000000-0005-0000-0000-00003DD30000}"/>
    <cellStyle name="Normal 82 47 2" xfId="54064" xr:uid="{00000000-0005-0000-0000-00003ED30000}"/>
    <cellStyle name="Normal 82 48" xfId="54065" xr:uid="{00000000-0005-0000-0000-00003FD30000}"/>
    <cellStyle name="Normal 82 48 2" xfId="54066" xr:uid="{00000000-0005-0000-0000-000040D30000}"/>
    <cellStyle name="Normal 82 49" xfId="54067" xr:uid="{00000000-0005-0000-0000-000041D30000}"/>
    <cellStyle name="Normal 82 49 2" xfId="54068" xr:uid="{00000000-0005-0000-0000-000042D30000}"/>
    <cellStyle name="Normal 82 5" xfId="54069" xr:uid="{00000000-0005-0000-0000-000043D30000}"/>
    <cellStyle name="Normal 82 5 2" xfId="54070" xr:uid="{00000000-0005-0000-0000-000044D30000}"/>
    <cellStyle name="Normal 82 50" xfId="54071" xr:uid="{00000000-0005-0000-0000-000045D30000}"/>
    <cellStyle name="Normal 82 50 2" xfId="54072" xr:uid="{00000000-0005-0000-0000-000046D30000}"/>
    <cellStyle name="Normal 82 51" xfId="54073" xr:uid="{00000000-0005-0000-0000-000047D30000}"/>
    <cellStyle name="Normal 82 51 2" xfId="54074" xr:uid="{00000000-0005-0000-0000-000048D30000}"/>
    <cellStyle name="Normal 82 52" xfId="54075" xr:uid="{00000000-0005-0000-0000-000049D30000}"/>
    <cellStyle name="Normal 82 52 2" xfId="54076" xr:uid="{00000000-0005-0000-0000-00004AD30000}"/>
    <cellStyle name="Normal 82 53" xfId="54077" xr:uid="{00000000-0005-0000-0000-00004BD30000}"/>
    <cellStyle name="Normal 82 53 2" xfId="54078" xr:uid="{00000000-0005-0000-0000-00004CD30000}"/>
    <cellStyle name="Normal 82 54" xfId="54079" xr:uid="{00000000-0005-0000-0000-00004DD30000}"/>
    <cellStyle name="Normal 82 54 2" xfId="54080" xr:uid="{00000000-0005-0000-0000-00004ED30000}"/>
    <cellStyle name="Normal 82 55" xfId="54081" xr:uid="{00000000-0005-0000-0000-00004FD30000}"/>
    <cellStyle name="Normal 82 55 2" xfId="54082" xr:uid="{00000000-0005-0000-0000-000050D30000}"/>
    <cellStyle name="Normal 82 56" xfId="54083" xr:uid="{00000000-0005-0000-0000-000051D30000}"/>
    <cellStyle name="Normal 82 56 2" xfId="54084" xr:uid="{00000000-0005-0000-0000-000052D30000}"/>
    <cellStyle name="Normal 82 57" xfId="54085" xr:uid="{00000000-0005-0000-0000-000053D30000}"/>
    <cellStyle name="Normal 82 57 2" xfId="54086" xr:uid="{00000000-0005-0000-0000-000054D30000}"/>
    <cellStyle name="Normal 82 58" xfId="54087" xr:uid="{00000000-0005-0000-0000-000055D30000}"/>
    <cellStyle name="Normal 82 58 2" xfId="54088" xr:uid="{00000000-0005-0000-0000-000056D30000}"/>
    <cellStyle name="Normal 82 59" xfId="54089" xr:uid="{00000000-0005-0000-0000-000057D30000}"/>
    <cellStyle name="Normal 82 59 2" xfId="54090" xr:uid="{00000000-0005-0000-0000-000058D30000}"/>
    <cellStyle name="Normal 82 6" xfId="54091" xr:uid="{00000000-0005-0000-0000-000059D30000}"/>
    <cellStyle name="Normal 82 6 2" xfId="54092" xr:uid="{00000000-0005-0000-0000-00005AD30000}"/>
    <cellStyle name="Normal 82 60" xfId="54093" xr:uid="{00000000-0005-0000-0000-00005BD30000}"/>
    <cellStyle name="Normal 82 60 2" xfId="54094" xr:uid="{00000000-0005-0000-0000-00005CD30000}"/>
    <cellStyle name="Normal 82 61" xfId="54095" xr:uid="{00000000-0005-0000-0000-00005DD30000}"/>
    <cellStyle name="Normal 82 61 2" xfId="54096" xr:uid="{00000000-0005-0000-0000-00005ED30000}"/>
    <cellStyle name="Normal 82 62" xfId="54097" xr:uid="{00000000-0005-0000-0000-00005FD30000}"/>
    <cellStyle name="Normal 82 62 2" xfId="54098" xr:uid="{00000000-0005-0000-0000-000060D30000}"/>
    <cellStyle name="Normal 82 62 3" xfId="54099" xr:uid="{00000000-0005-0000-0000-000061D30000}"/>
    <cellStyle name="Normal 82 63" xfId="54100" xr:uid="{00000000-0005-0000-0000-000062D30000}"/>
    <cellStyle name="Normal 82 7" xfId="54101" xr:uid="{00000000-0005-0000-0000-000063D30000}"/>
    <cellStyle name="Normal 82 7 2" xfId="54102" xr:uid="{00000000-0005-0000-0000-000064D30000}"/>
    <cellStyle name="Normal 82 8" xfId="54103" xr:uid="{00000000-0005-0000-0000-000065D30000}"/>
    <cellStyle name="Normal 82 8 2" xfId="54104" xr:uid="{00000000-0005-0000-0000-000066D30000}"/>
    <cellStyle name="Normal 82 9" xfId="54105" xr:uid="{00000000-0005-0000-0000-000067D30000}"/>
    <cellStyle name="Normal 82 9 2" xfId="54106" xr:uid="{00000000-0005-0000-0000-000068D30000}"/>
    <cellStyle name="Normal 83" xfId="54107" xr:uid="{00000000-0005-0000-0000-000069D30000}"/>
    <cellStyle name="Normal 83 10" xfId="54108" xr:uid="{00000000-0005-0000-0000-00006AD30000}"/>
    <cellStyle name="Normal 83 10 2" xfId="54109" xr:uid="{00000000-0005-0000-0000-00006BD30000}"/>
    <cellStyle name="Normal 83 11" xfId="54110" xr:uid="{00000000-0005-0000-0000-00006CD30000}"/>
    <cellStyle name="Normal 83 11 2" xfId="54111" xr:uid="{00000000-0005-0000-0000-00006DD30000}"/>
    <cellStyle name="Normal 83 12" xfId="54112" xr:uid="{00000000-0005-0000-0000-00006ED30000}"/>
    <cellStyle name="Normal 83 12 2" xfId="54113" xr:uid="{00000000-0005-0000-0000-00006FD30000}"/>
    <cellStyle name="Normal 83 13" xfId="54114" xr:uid="{00000000-0005-0000-0000-000070D30000}"/>
    <cellStyle name="Normal 83 13 2" xfId="54115" xr:uid="{00000000-0005-0000-0000-000071D30000}"/>
    <cellStyle name="Normal 83 14" xfId="54116" xr:uid="{00000000-0005-0000-0000-000072D30000}"/>
    <cellStyle name="Normal 83 14 2" xfId="54117" xr:uid="{00000000-0005-0000-0000-000073D30000}"/>
    <cellStyle name="Normal 83 15" xfId="54118" xr:uid="{00000000-0005-0000-0000-000074D30000}"/>
    <cellStyle name="Normal 83 15 2" xfId="54119" xr:uid="{00000000-0005-0000-0000-000075D30000}"/>
    <cellStyle name="Normal 83 16" xfId="54120" xr:uid="{00000000-0005-0000-0000-000076D30000}"/>
    <cellStyle name="Normal 83 16 2" xfId="54121" xr:uid="{00000000-0005-0000-0000-000077D30000}"/>
    <cellStyle name="Normal 83 17" xfId="54122" xr:uid="{00000000-0005-0000-0000-000078D30000}"/>
    <cellStyle name="Normal 83 17 2" xfId="54123" xr:uid="{00000000-0005-0000-0000-000079D30000}"/>
    <cellStyle name="Normal 83 18" xfId="54124" xr:uid="{00000000-0005-0000-0000-00007AD30000}"/>
    <cellStyle name="Normal 83 18 2" xfId="54125" xr:uid="{00000000-0005-0000-0000-00007BD30000}"/>
    <cellStyle name="Normal 83 19" xfId="54126" xr:uid="{00000000-0005-0000-0000-00007CD30000}"/>
    <cellStyle name="Normal 83 19 2" xfId="54127" xr:uid="{00000000-0005-0000-0000-00007DD30000}"/>
    <cellStyle name="Normal 83 2" xfId="54128" xr:uid="{00000000-0005-0000-0000-00007ED30000}"/>
    <cellStyle name="Normal 83 2 2" xfId="54129" xr:uid="{00000000-0005-0000-0000-00007FD30000}"/>
    <cellStyle name="Normal 83 20" xfId="54130" xr:uid="{00000000-0005-0000-0000-000080D30000}"/>
    <cellStyle name="Normal 83 20 2" xfId="54131" xr:uid="{00000000-0005-0000-0000-000081D30000}"/>
    <cellStyle name="Normal 83 21" xfId="54132" xr:uid="{00000000-0005-0000-0000-000082D30000}"/>
    <cellStyle name="Normal 83 21 2" xfId="54133" xr:uid="{00000000-0005-0000-0000-000083D30000}"/>
    <cellStyle name="Normal 83 22" xfId="54134" xr:uid="{00000000-0005-0000-0000-000084D30000}"/>
    <cellStyle name="Normal 83 22 2" xfId="54135" xr:uid="{00000000-0005-0000-0000-000085D30000}"/>
    <cellStyle name="Normal 83 23" xfId="54136" xr:uid="{00000000-0005-0000-0000-000086D30000}"/>
    <cellStyle name="Normal 83 23 2" xfId="54137" xr:uid="{00000000-0005-0000-0000-000087D30000}"/>
    <cellStyle name="Normal 83 24" xfId="54138" xr:uid="{00000000-0005-0000-0000-000088D30000}"/>
    <cellStyle name="Normal 83 24 2" xfId="54139" xr:uid="{00000000-0005-0000-0000-000089D30000}"/>
    <cellStyle name="Normal 83 25" xfId="54140" xr:uid="{00000000-0005-0000-0000-00008AD30000}"/>
    <cellStyle name="Normal 83 25 2" xfId="54141" xr:uid="{00000000-0005-0000-0000-00008BD30000}"/>
    <cellStyle name="Normal 83 26" xfId="54142" xr:uid="{00000000-0005-0000-0000-00008CD30000}"/>
    <cellStyle name="Normal 83 26 2" xfId="54143" xr:uid="{00000000-0005-0000-0000-00008DD30000}"/>
    <cellStyle name="Normal 83 27" xfId="54144" xr:uid="{00000000-0005-0000-0000-00008ED30000}"/>
    <cellStyle name="Normal 83 27 2" xfId="54145" xr:uid="{00000000-0005-0000-0000-00008FD30000}"/>
    <cellStyle name="Normal 83 28" xfId="54146" xr:uid="{00000000-0005-0000-0000-000090D30000}"/>
    <cellStyle name="Normal 83 28 2" xfId="54147" xr:uid="{00000000-0005-0000-0000-000091D30000}"/>
    <cellStyle name="Normal 83 29" xfId="54148" xr:uid="{00000000-0005-0000-0000-000092D30000}"/>
    <cellStyle name="Normal 83 29 2" xfId="54149" xr:uid="{00000000-0005-0000-0000-000093D30000}"/>
    <cellStyle name="Normal 83 3" xfId="54150" xr:uid="{00000000-0005-0000-0000-000094D30000}"/>
    <cellStyle name="Normal 83 3 2" xfId="54151" xr:uid="{00000000-0005-0000-0000-000095D30000}"/>
    <cellStyle name="Normal 83 30" xfId="54152" xr:uid="{00000000-0005-0000-0000-000096D30000}"/>
    <cellStyle name="Normal 83 30 2" xfId="54153" xr:uid="{00000000-0005-0000-0000-000097D30000}"/>
    <cellStyle name="Normal 83 31" xfId="54154" xr:uid="{00000000-0005-0000-0000-000098D30000}"/>
    <cellStyle name="Normal 83 31 2" xfId="54155" xr:uid="{00000000-0005-0000-0000-000099D30000}"/>
    <cellStyle name="Normal 83 32" xfId="54156" xr:uid="{00000000-0005-0000-0000-00009AD30000}"/>
    <cellStyle name="Normal 83 32 2" xfId="54157" xr:uid="{00000000-0005-0000-0000-00009BD30000}"/>
    <cellStyle name="Normal 83 33" xfId="54158" xr:uid="{00000000-0005-0000-0000-00009CD30000}"/>
    <cellStyle name="Normal 83 33 2" xfId="54159" xr:uid="{00000000-0005-0000-0000-00009DD30000}"/>
    <cellStyle name="Normal 83 34" xfId="54160" xr:uid="{00000000-0005-0000-0000-00009ED30000}"/>
    <cellStyle name="Normal 83 34 2" xfId="54161" xr:uid="{00000000-0005-0000-0000-00009FD30000}"/>
    <cellStyle name="Normal 83 35" xfId="54162" xr:uid="{00000000-0005-0000-0000-0000A0D30000}"/>
    <cellStyle name="Normal 83 35 2" xfId="54163" xr:uid="{00000000-0005-0000-0000-0000A1D30000}"/>
    <cellStyle name="Normal 83 36" xfId="54164" xr:uid="{00000000-0005-0000-0000-0000A2D30000}"/>
    <cellStyle name="Normal 83 36 2" xfId="54165" xr:uid="{00000000-0005-0000-0000-0000A3D30000}"/>
    <cellStyle name="Normal 83 37" xfId="54166" xr:uid="{00000000-0005-0000-0000-0000A4D30000}"/>
    <cellStyle name="Normal 83 37 2" xfId="54167" xr:uid="{00000000-0005-0000-0000-0000A5D30000}"/>
    <cellStyle name="Normal 83 38" xfId="54168" xr:uid="{00000000-0005-0000-0000-0000A6D30000}"/>
    <cellStyle name="Normal 83 38 2" xfId="54169" xr:uid="{00000000-0005-0000-0000-0000A7D30000}"/>
    <cellStyle name="Normal 83 39" xfId="54170" xr:uid="{00000000-0005-0000-0000-0000A8D30000}"/>
    <cellStyle name="Normal 83 39 2" xfId="54171" xr:uid="{00000000-0005-0000-0000-0000A9D30000}"/>
    <cellStyle name="Normal 83 4" xfId="54172" xr:uid="{00000000-0005-0000-0000-0000AAD30000}"/>
    <cellStyle name="Normal 83 4 2" xfId="54173" xr:uid="{00000000-0005-0000-0000-0000ABD30000}"/>
    <cellStyle name="Normal 83 40" xfId="54174" xr:uid="{00000000-0005-0000-0000-0000ACD30000}"/>
    <cellStyle name="Normal 83 40 2" xfId="54175" xr:uid="{00000000-0005-0000-0000-0000ADD30000}"/>
    <cellStyle name="Normal 83 41" xfId="54176" xr:uid="{00000000-0005-0000-0000-0000AED30000}"/>
    <cellStyle name="Normal 83 41 2" xfId="54177" xr:uid="{00000000-0005-0000-0000-0000AFD30000}"/>
    <cellStyle name="Normal 83 42" xfId="54178" xr:uid="{00000000-0005-0000-0000-0000B0D30000}"/>
    <cellStyle name="Normal 83 42 2" xfId="54179" xr:uid="{00000000-0005-0000-0000-0000B1D30000}"/>
    <cellStyle name="Normal 83 43" xfId="54180" xr:uid="{00000000-0005-0000-0000-0000B2D30000}"/>
    <cellStyle name="Normal 83 43 2" xfId="54181" xr:uid="{00000000-0005-0000-0000-0000B3D30000}"/>
    <cellStyle name="Normal 83 44" xfId="54182" xr:uid="{00000000-0005-0000-0000-0000B4D30000}"/>
    <cellStyle name="Normal 83 44 2" xfId="54183" xr:uid="{00000000-0005-0000-0000-0000B5D30000}"/>
    <cellStyle name="Normal 83 45" xfId="54184" xr:uid="{00000000-0005-0000-0000-0000B6D30000}"/>
    <cellStyle name="Normal 83 45 2" xfId="54185" xr:uid="{00000000-0005-0000-0000-0000B7D30000}"/>
    <cellStyle name="Normal 83 46" xfId="54186" xr:uid="{00000000-0005-0000-0000-0000B8D30000}"/>
    <cellStyle name="Normal 83 46 2" xfId="54187" xr:uid="{00000000-0005-0000-0000-0000B9D30000}"/>
    <cellStyle name="Normal 83 47" xfId="54188" xr:uid="{00000000-0005-0000-0000-0000BAD30000}"/>
    <cellStyle name="Normal 83 47 2" xfId="54189" xr:uid="{00000000-0005-0000-0000-0000BBD30000}"/>
    <cellStyle name="Normal 83 48" xfId="54190" xr:uid="{00000000-0005-0000-0000-0000BCD30000}"/>
    <cellStyle name="Normal 83 48 2" xfId="54191" xr:uid="{00000000-0005-0000-0000-0000BDD30000}"/>
    <cellStyle name="Normal 83 49" xfId="54192" xr:uid="{00000000-0005-0000-0000-0000BED30000}"/>
    <cellStyle name="Normal 83 49 2" xfId="54193" xr:uid="{00000000-0005-0000-0000-0000BFD30000}"/>
    <cellStyle name="Normal 83 5" xfId="54194" xr:uid="{00000000-0005-0000-0000-0000C0D30000}"/>
    <cellStyle name="Normal 83 5 2" xfId="54195" xr:uid="{00000000-0005-0000-0000-0000C1D30000}"/>
    <cellStyle name="Normal 83 50" xfId="54196" xr:uid="{00000000-0005-0000-0000-0000C2D30000}"/>
    <cellStyle name="Normal 83 50 2" xfId="54197" xr:uid="{00000000-0005-0000-0000-0000C3D30000}"/>
    <cellStyle name="Normal 83 51" xfId="54198" xr:uid="{00000000-0005-0000-0000-0000C4D30000}"/>
    <cellStyle name="Normal 83 51 2" xfId="54199" xr:uid="{00000000-0005-0000-0000-0000C5D30000}"/>
    <cellStyle name="Normal 83 52" xfId="54200" xr:uid="{00000000-0005-0000-0000-0000C6D30000}"/>
    <cellStyle name="Normal 83 52 2" xfId="54201" xr:uid="{00000000-0005-0000-0000-0000C7D30000}"/>
    <cellStyle name="Normal 83 53" xfId="54202" xr:uid="{00000000-0005-0000-0000-0000C8D30000}"/>
    <cellStyle name="Normal 83 53 2" xfId="54203" xr:uid="{00000000-0005-0000-0000-0000C9D30000}"/>
    <cellStyle name="Normal 83 54" xfId="54204" xr:uid="{00000000-0005-0000-0000-0000CAD30000}"/>
    <cellStyle name="Normal 83 54 2" xfId="54205" xr:uid="{00000000-0005-0000-0000-0000CBD30000}"/>
    <cellStyle name="Normal 83 55" xfId="54206" xr:uid="{00000000-0005-0000-0000-0000CCD30000}"/>
    <cellStyle name="Normal 83 55 2" xfId="54207" xr:uid="{00000000-0005-0000-0000-0000CDD30000}"/>
    <cellStyle name="Normal 83 56" xfId="54208" xr:uid="{00000000-0005-0000-0000-0000CED30000}"/>
    <cellStyle name="Normal 83 56 2" xfId="54209" xr:uid="{00000000-0005-0000-0000-0000CFD30000}"/>
    <cellStyle name="Normal 83 57" xfId="54210" xr:uid="{00000000-0005-0000-0000-0000D0D30000}"/>
    <cellStyle name="Normal 83 57 2" xfId="54211" xr:uid="{00000000-0005-0000-0000-0000D1D30000}"/>
    <cellStyle name="Normal 83 58" xfId="54212" xr:uid="{00000000-0005-0000-0000-0000D2D30000}"/>
    <cellStyle name="Normal 83 58 2" xfId="54213" xr:uid="{00000000-0005-0000-0000-0000D3D30000}"/>
    <cellStyle name="Normal 83 59" xfId="54214" xr:uid="{00000000-0005-0000-0000-0000D4D30000}"/>
    <cellStyle name="Normal 83 59 2" xfId="54215" xr:uid="{00000000-0005-0000-0000-0000D5D30000}"/>
    <cellStyle name="Normal 83 6" xfId="54216" xr:uid="{00000000-0005-0000-0000-0000D6D30000}"/>
    <cellStyle name="Normal 83 6 2" xfId="54217" xr:uid="{00000000-0005-0000-0000-0000D7D30000}"/>
    <cellStyle name="Normal 83 60" xfId="54218" xr:uid="{00000000-0005-0000-0000-0000D8D30000}"/>
    <cellStyle name="Normal 83 60 2" xfId="54219" xr:uid="{00000000-0005-0000-0000-0000D9D30000}"/>
    <cellStyle name="Normal 83 61" xfId="54220" xr:uid="{00000000-0005-0000-0000-0000DAD30000}"/>
    <cellStyle name="Normal 83 61 2" xfId="54221" xr:uid="{00000000-0005-0000-0000-0000DBD30000}"/>
    <cellStyle name="Normal 83 62" xfId="54222" xr:uid="{00000000-0005-0000-0000-0000DCD30000}"/>
    <cellStyle name="Normal 83 62 2" xfId="54223" xr:uid="{00000000-0005-0000-0000-0000DDD30000}"/>
    <cellStyle name="Normal 83 62 3" xfId="54224" xr:uid="{00000000-0005-0000-0000-0000DED30000}"/>
    <cellStyle name="Normal 83 63" xfId="54225" xr:uid="{00000000-0005-0000-0000-0000DFD30000}"/>
    <cellStyle name="Normal 83 7" xfId="54226" xr:uid="{00000000-0005-0000-0000-0000E0D30000}"/>
    <cellStyle name="Normal 83 7 2" xfId="54227" xr:uid="{00000000-0005-0000-0000-0000E1D30000}"/>
    <cellStyle name="Normal 83 8" xfId="54228" xr:uid="{00000000-0005-0000-0000-0000E2D30000}"/>
    <cellStyle name="Normal 83 8 2" xfId="54229" xr:uid="{00000000-0005-0000-0000-0000E3D30000}"/>
    <cellStyle name="Normal 83 9" xfId="54230" xr:uid="{00000000-0005-0000-0000-0000E4D30000}"/>
    <cellStyle name="Normal 83 9 2" xfId="54231" xr:uid="{00000000-0005-0000-0000-0000E5D30000}"/>
    <cellStyle name="Normal 84" xfId="54232" xr:uid="{00000000-0005-0000-0000-0000E6D30000}"/>
    <cellStyle name="Normal 84 10" xfId="54233" xr:uid="{00000000-0005-0000-0000-0000E7D30000}"/>
    <cellStyle name="Normal 84 10 2" xfId="54234" xr:uid="{00000000-0005-0000-0000-0000E8D30000}"/>
    <cellStyle name="Normal 84 11" xfId="54235" xr:uid="{00000000-0005-0000-0000-0000E9D30000}"/>
    <cellStyle name="Normal 84 11 2" xfId="54236" xr:uid="{00000000-0005-0000-0000-0000EAD30000}"/>
    <cellStyle name="Normal 84 12" xfId="54237" xr:uid="{00000000-0005-0000-0000-0000EBD30000}"/>
    <cellStyle name="Normal 84 12 2" xfId="54238" xr:uid="{00000000-0005-0000-0000-0000ECD30000}"/>
    <cellStyle name="Normal 84 13" xfId="54239" xr:uid="{00000000-0005-0000-0000-0000EDD30000}"/>
    <cellStyle name="Normal 84 13 2" xfId="54240" xr:uid="{00000000-0005-0000-0000-0000EED30000}"/>
    <cellStyle name="Normal 84 14" xfId="54241" xr:uid="{00000000-0005-0000-0000-0000EFD30000}"/>
    <cellStyle name="Normal 84 14 2" xfId="54242" xr:uid="{00000000-0005-0000-0000-0000F0D30000}"/>
    <cellStyle name="Normal 84 15" xfId="54243" xr:uid="{00000000-0005-0000-0000-0000F1D30000}"/>
    <cellStyle name="Normal 84 15 2" xfId="54244" xr:uid="{00000000-0005-0000-0000-0000F2D30000}"/>
    <cellStyle name="Normal 84 16" xfId="54245" xr:uid="{00000000-0005-0000-0000-0000F3D30000}"/>
    <cellStyle name="Normal 84 16 2" xfId="54246" xr:uid="{00000000-0005-0000-0000-0000F4D30000}"/>
    <cellStyle name="Normal 84 17" xfId="54247" xr:uid="{00000000-0005-0000-0000-0000F5D30000}"/>
    <cellStyle name="Normal 84 17 2" xfId="54248" xr:uid="{00000000-0005-0000-0000-0000F6D30000}"/>
    <cellStyle name="Normal 84 18" xfId="54249" xr:uid="{00000000-0005-0000-0000-0000F7D30000}"/>
    <cellStyle name="Normal 84 18 2" xfId="54250" xr:uid="{00000000-0005-0000-0000-0000F8D30000}"/>
    <cellStyle name="Normal 84 19" xfId="54251" xr:uid="{00000000-0005-0000-0000-0000F9D30000}"/>
    <cellStyle name="Normal 84 19 2" xfId="54252" xr:uid="{00000000-0005-0000-0000-0000FAD30000}"/>
    <cellStyle name="Normal 84 2" xfId="54253" xr:uid="{00000000-0005-0000-0000-0000FBD30000}"/>
    <cellStyle name="Normal 84 2 2" xfId="54254" xr:uid="{00000000-0005-0000-0000-0000FCD30000}"/>
    <cellStyle name="Normal 84 20" xfId="54255" xr:uid="{00000000-0005-0000-0000-0000FDD30000}"/>
    <cellStyle name="Normal 84 20 2" xfId="54256" xr:uid="{00000000-0005-0000-0000-0000FED30000}"/>
    <cellStyle name="Normal 84 21" xfId="54257" xr:uid="{00000000-0005-0000-0000-0000FFD30000}"/>
    <cellStyle name="Normal 84 21 2" xfId="54258" xr:uid="{00000000-0005-0000-0000-000000D40000}"/>
    <cellStyle name="Normal 84 22" xfId="54259" xr:uid="{00000000-0005-0000-0000-000001D40000}"/>
    <cellStyle name="Normal 84 22 2" xfId="54260" xr:uid="{00000000-0005-0000-0000-000002D40000}"/>
    <cellStyle name="Normal 84 23" xfId="54261" xr:uid="{00000000-0005-0000-0000-000003D40000}"/>
    <cellStyle name="Normal 84 23 2" xfId="54262" xr:uid="{00000000-0005-0000-0000-000004D40000}"/>
    <cellStyle name="Normal 84 24" xfId="54263" xr:uid="{00000000-0005-0000-0000-000005D40000}"/>
    <cellStyle name="Normal 84 24 2" xfId="54264" xr:uid="{00000000-0005-0000-0000-000006D40000}"/>
    <cellStyle name="Normal 84 25" xfId="54265" xr:uid="{00000000-0005-0000-0000-000007D40000}"/>
    <cellStyle name="Normal 84 25 2" xfId="54266" xr:uid="{00000000-0005-0000-0000-000008D40000}"/>
    <cellStyle name="Normal 84 26" xfId="54267" xr:uid="{00000000-0005-0000-0000-000009D40000}"/>
    <cellStyle name="Normal 84 26 2" xfId="54268" xr:uid="{00000000-0005-0000-0000-00000AD40000}"/>
    <cellStyle name="Normal 84 27" xfId="54269" xr:uid="{00000000-0005-0000-0000-00000BD40000}"/>
    <cellStyle name="Normal 84 27 2" xfId="54270" xr:uid="{00000000-0005-0000-0000-00000CD40000}"/>
    <cellStyle name="Normal 84 28" xfId="54271" xr:uid="{00000000-0005-0000-0000-00000DD40000}"/>
    <cellStyle name="Normal 84 28 2" xfId="54272" xr:uid="{00000000-0005-0000-0000-00000ED40000}"/>
    <cellStyle name="Normal 84 29" xfId="54273" xr:uid="{00000000-0005-0000-0000-00000FD40000}"/>
    <cellStyle name="Normal 84 29 2" xfId="54274" xr:uid="{00000000-0005-0000-0000-000010D40000}"/>
    <cellStyle name="Normal 84 3" xfId="54275" xr:uid="{00000000-0005-0000-0000-000011D40000}"/>
    <cellStyle name="Normal 84 3 2" xfId="54276" xr:uid="{00000000-0005-0000-0000-000012D40000}"/>
    <cellStyle name="Normal 84 30" xfId="54277" xr:uid="{00000000-0005-0000-0000-000013D40000}"/>
    <cellStyle name="Normal 84 30 2" xfId="54278" xr:uid="{00000000-0005-0000-0000-000014D40000}"/>
    <cellStyle name="Normal 84 31" xfId="54279" xr:uid="{00000000-0005-0000-0000-000015D40000}"/>
    <cellStyle name="Normal 84 31 2" xfId="54280" xr:uid="{00000000-0005-0000-0000-000016D40000}"/>
    <cellStyle name="Normal 84 32" xfId="54281" xr:uid="{00000000-0005-0000-0000-000017D40000}"/>
    <cellStyle name="Normal 84 32 2" xfId="54282" xr:uid="{00000000-0005-0000-0000-000018D40000}"/>
    <cellStyle name="Normal 84 33" xfId="54283" xr:uid="{00000000-0005-0000-0000-000019D40000}"/>
    <cellStyle name="Normal 84 33 2" xfId="54284" xr:uid="{00000000-0005-0000-0000-00001AD40000}"/>
    <cellStyle name="Normal 84 34" xfId="54285" xr:uid="{00000000-0005-0000-0000-00001BD40000}"/>
    <cellStyle name="Normal 84 34 2" xfId="54286" xr:uid="{00000000-0005-0000-0000-00001CD40000}"/>
    <cellStyle name="Normal 84 35" xfId="54287" xr:uid="{00000000-0005-0000-0000-00001DD40000}"/>
    <cellStyle name="Normal 84 35 2" xfId="54288" xr:uid="{00000000-0005-0000-0000-00001ED40000}"/>
    <cellStyle name="Normal 84 36" xfId="54289" xr:uid="{00000000-0005-0000-0000-00001FD40000}"/>
    <cellStyle name="Normal 84 36 2" xfId="54290" xr:uid="{00000000-0005-0000-0000-000020D40000}"/>
    <cellStyle name="Normal 84 37" xfId="54291" xr:uid="{00000000-0005-0000-0000-000021D40000}"/>
    <cellStyle name="Normal 84 37 2" xfId="54292" xr:uid="{00000000-0005-0000-0000-000022D40000}"/>
    <cellStyle name="Normal 84 38" xfId="54293" xr:uid="{00000000-0005-0000-0000-000023D40000}"/>
    <cellStyle name="Normal 84 38 2" xfId="54294" xr:uid="{00000000-0005-0000-0000-000024D40000}"/>
    <cellStyle name="Normal 84 39" xfId="54295" xr:uid="{00000000-0005-0000-0000-000025D40000}"/>
    <cellStyle name="Normal 84 39 2" xfId="54296" xr:uid="{00000000-0005-0000-0000-000026D40000}"/>
    <cellStyle name="Normal 84 4" xfId="54297" xr:uid="{00000000-0005-0000-0000-000027D40000}"/>
    <cellStyle name="Normal 84 4 2" xfId="54298" xr:uid="{00000000-0005-0000-0000-000028D40000}"/>
    <cellStyle name="Normal 84 40" xfId="54299" xr:uid="{00000000-0005-0000-0000-000029D40000}"/>
    <cellStyle name="Normal 84 40 2" xfId="54300" xr:uid="{00000000-0005-0000-0000-00002AD40000}"/>
    <cellStyle name="Normal 84 41" xfId="54301" xr:uid="{00000000-0005-0000-0000-00002BD40000}"/>
    <cellStyle name="Normal 84 41 2" xfId="54302" xr:uid="{00000000-0005-0000-0000-00002CD40000}"/>
    <cellStyle name="Normal 84 42" xfId="54303" xr:uid="{00000000-0005-0000-0000-00002DD40000}"/>
    <cellStyle name="Normal 84 42 2" xfId="54304" xr:uid="{00000000-0005-0000-0000-00002ED40000}"/>
    <cellStyle name="Normal 84 43" xfId="54305" xr:uid="{00000000-0005-0000-0000-00002FD40000}"/>
    <cellStyle name="Normal 84 43 2" xfId="54306" xr:uid="{00000000-0005-0000-0000-000030D40000}"/>
    <cellStyle name="Normal 84 44" xfId="54307" xr:uid="{00000000-0005-0000-0000-000031D40000}"/>
    <cellStyle name="Normal 84 44 2" xfId="54308" xr:uid="{00000000-0005-0000-0000-000032D40000}"/>
    <cellStyle name="Normal 84 45" xfId="54309" xr:uid="{00000000-0005-0000-0000-000033D40000}"/>
    <cellStyle name="Normal 84 45 2" xfId="54310" xr:uid="{00000000-0005-0000-0000-000034D40000}"/>
    <cellStyle name="Normal 84 46" xfId="54311" xr:uid="{00000000-0005-0000-0000-000035D40000}"/>
    <cellStyle name="Normal 84 46 2" xfId="54312" xr:uid="{00000000-0005-0000-0000-000036D40000}"/>
    <cellStyle name="Normal 84 47" xfId="54313" xr:uid="{00000000-0005-0000-0000-000037D40000}"/>
    <cellStyle name="Normal 84 47 2" xfId="54314" xr:uid="{00000000-0005-0000-0000-000038D40000}"/>
    <cellStyle name="Normal 84 48" xfId="54315" xr:uid="{00000000-0005-0000-0000-000039D40000}"/>
    <cellStyle name="Normal 84 48 2" xfId="54316" xr:uid="{00000000-0005-0000-0000-00003AD40000}"/>
    <cellStyle name="Normal 84 49" xfId="54317" xr:uid="{00000000-0005-0000-0000-00003BD40000}"/>
    <cellStyle name="Normal 84 49 2" xfId="54318" xr:uid="{00000000-0005-0000-0000-00003CD40000}"/>
    <cellStyle name="Normal 84 5" xfId="54319" xr:uid="{00000000-0005-0000-0000-00003DD40000}"/>
    <cellStyle name="Normal 84 5 2" xfId="54320" xr:uid="{00000000-0005-0000-0000-00003ED40000}"/>
    <cellStyle name="Normal 84 50" xfId="54321" xr:uid="{00000000-0005-0000-0000-00003FD40000}"/>
    <cellStyle name="Normal 84 50 2" xfId="54322" xr:uid="{00000000-0005-0000-0000-000040D40000}"/>
    <cellStyle name="Normal 84 51" xfId="54323" xr:uid="{00000000-0005-0000-0000-000041D40000}"/>
    <cellStyle name="Normal 84 51 2" xfId="54324" xr:uid="{00000000-0005-0000-0000-000042D40000}"/>
    <cellStyle name="Normal 84 52" xfId="54325" xr:uid="{00000000-0005-0000-0000-000043D40000}"/>
    <cellStyle name="Normal 84 52 2" xfId="54326" xr:uid="{00000000-0005-0000-0000-000044D40000}"/>
    <cellStyle name="Normal 84 53" xfId="54327" xr:uid="{00000000-0005-0000-0000-000045D40000}"/>
    <cellStyle name="Normal 84 53 2" xfId="54328" xr:uid="{00000000-0005-0000-0000-000046D40000}"/>
    <cellStyle name="Normal 84 54" xfId="54329" xr:uid="{00000000-0005-0000-0000-000047D40000}"/>
    <cellStyle name="Normal 84 54 2" xfId="54330" xr:uid="{00000000-0005-0000-0000-000048D40000}"/>
    <cellStyle name="Normal 84 55" xfId="54331" xr:uid="{00000000-0005-0000-0000-000049D40000}"/>
    <cellStyle name="Normal 84 55 2" xfId="54332" xr:uid="{00000000-0005-0000-0000-00004AD40000}"/>
    <cellStyle name="Normal 84 56" xfId="54333" xr:uid="{00000000-0005-0000-0000-00004BD40000}"/>
    <cellStyle name="Normal 84 56 2" xfId="54334" xr:uid="{00000000-0005-0000-0000-00004CD40000}"/>
    <cellStyle name="Normal 84 57" xfId="54335" xr:uid="{00000000-0005-0000-0000-00004DD40000}"/>
    <cellStyle name="Normal 84 57 2" xfId="54336" xr:uid="{00000000-0005-0000-0000-00004ED40000}"/>
    <cellStyle name="Normal 84 58" xfId="54337" xr:uid="{00000000-0005-0000-0000-00004FD40000}"/>
    <cellStyle name="Normal 84 58 2" xfId="54338" xr:uid="{00000000-0005-0000-0000-000050D40000}"/>
    <cellStyle name="Normal 84 59" xfId="54339" xr:uid="{00000000-0005-0000-0000-000051D40000}"/>
    <cellStyle name="Normal 84 59 2" xfId="54340" xr:uid="{00000000-0005-0000-0000-000052D40000}"/>
    <cellStyle name="Normal 84 6" xfId="54341" xr:uid="{00000000-0005-0000-0000-000053D40000}"/>
    <cellStyle name="Normal 84 6 2" xfId="54342" xr:uid="{00000000-0005-0000-0000-000054D40000}"/>
    <cellStyle name="Normal 84 60" xfId="54343" xr:uid="{00000000-0005-0000-0000-000055D40000}"/>
    <cellStyle name="Normal 84 60 2" xfId="54344" xr:uid="{00000000-0005-0000-0000-000056D40000}"/>
    <cellStyle name="Normal 84 61" xfId="54345" xr:uid="{00000000-0005-0000-0000-000057D40000}"/>
    <cellStyle name="Normal 84 61 2" xfId="54346" xr:uid="{00000000-0005-0000-0000-000058D40000}"/>
    <cellStyle name="Normal 84 62" xfId="54347" xr:uid="{00000000-0005-0000-0000-000059D40000}"/>
    <cellStyle name="Normal 84 62 2" xfId="54348" xr:uid="{00000000-0005-0000-0000-00005AD40000}"/>
    <cellStyle name="Normal 84 62 3" xfId="54349" xr:uid="{00000000-0005-0000-0000-00005BD40000}"/>
    <cellStyle name="Normal 84 63" xfId="54350" xr:uid="{00000000-0005-0000-0000-00005CD40000}"/>
    <cellStyle name="Normal 84 7" xfId="54351" xr:uid="{00000000-0005-0000-0000-00005DD40000}"/>
    <cellStyle name="Normal 84 7 2" xfId="54352" xr:uid="{00000000-0005-0000-0000-00005ED40000}"/>
    <cellStyle name="Normal 84 8" xfId="54353" xr:uid="{00000000-0005-0000-0000-00005FD40000}"/>
    <cellStyle name="Normal 84 8 2" xfId="54354" xr:uid="{00000000-0005-0000-0000-000060D40000}"/>
    <cellStyle name="Normal 84 9" xfId="54355" xr:uid="{00000000-0005-0000-0000-000061D40000}"/>
    <cellStyle name="Normal 84 9 2" xfId="54356" xr:uid="{00000000-0005-0000-0000-000062D40000}"/>
    <cellStyle name="Normal 85" xfId="54357" xr:uid="{00000000-0005-0000-0000-000063D40000}"/>
    <cellStyle name="Normal 85 10" xfId="54358" xr:uid="{00000000-0005-0000-0000-000064D40000}"/>
    <cellStyle name="Normal 85 10 2" xfId="54359" xr:uid="{00000000-0005-0000-0000-000065D40000}"/>
    <cellStyle name="Normal 85 11" xfId="54360" xr:uid="{00000000-0005-0000-0000-000066D40000}"/>
    <cellStyle name="Normal 85 11 2" xfId="54361" xr:uid="{00000000-0005-0000-0000-000067D40000}"/>
    <cellStyle name="Normal 85 12" xfId="54362" xr:uid="{00000000-0005-0000-0000-000068D40000}"/>
    <cellStyle name="Normal 85 12 2" xfId="54363" xr:uid="{00000000-0005-0000-0000-000069D40000}"/>
    <cellStyle name="Normal 85 13" xfId="54364" xr:uid="{00000000-0005-0000-0000-00006AD40000}"/>
    <cellStyle name="Normal 85 13 2" xfId="54365" xr:uid="{00000000-0005-0000-0000-00006BD40000}"/>
    <cellStyle name="Normal 85 14" xfId="54366" xr:uid="{00000000-0005-0000-0000-00006CD40000}"/>
    <cellStyle name="Normal 85 14 2" xfId="54367" xr:uid="{00000000-0005-0000-0000-00006DD40000}"/>
    <cellStyle name="Normal 85 15" xfId="54368" xr:uid="{00000000-0005-0000-0000-00006ED40000}"/>
    <cellStyle name="Normal 85 15 2" xfId="54369" xr:uid="{00000000-0005-0000-0000-00006FD40000}"/>
    <cellStyle name="Normal 85 16" xfId="54370" xr:uid="{00000000-0005-0000-0000-000070D40000}"/>
    <cellStyle name="Normal 85 16 2" xfId="54371" xr:uid="{00000000-0005-0000-0000-000071D40000}"/>
    <cellStyle name="Normal 85 17" xfId="54372" xr:uid="{00000000-0005-0000-0000-000072D40000}"/>
    <cellStyle name="Normal 85 17 2" xfId="54373" xr:uid="{00000000-0005-0000-0000-000073D40000}"/>
    <cellStyle name="Normal 85 18" xfId="54374" xr:uid="{00000000-0005-0000-0000-000074D40000}"/>
    <cellStyle name="Normal 85 18 2" xfId="54375" xr:uid="{00000000-0005-0000-0000-000075D40000}"/>
    <cellStyle name="Normal 85 19" xfId="54376" xr:uid="{00000000-0005-0000-0000-000076D40000}"/>
    <cellStyle name="Normal 85 19 2" xfId="54377" xr:uid="{00000000-0005-0000-0000-000077D40000}"/>
    <cellStyle name="Normal 85 2" xfId="54378" xr:uid="{00000000-0005-0000-0000-000078D40000}"/>
    <cellStyle name="Normal 85 2 2" xfId="54379" xr:uid="{00000000-0005-0000-0000-000079D40000}"/>
    <cellStyle name="Normal 85 20" xfId="54380" xr:uid="{00000000-0005-0000-0000-00007AD40000}"/>
    <cellStyle name="Normal 85 20 2" xfId="54381" xr:uid="{00000000-0005-0000-0000-00007BD40000}"/>
    <cellStyle name="Normal 85 21" xfId="54382" xr:uid="{00000000-0005-0000-0000-00007CD40000}"/>
    <cellStyle name="Normal 85 21 2" xfId="54383" xr:uid="{00000000-0005-0000-0000-00007DD40000}"/>
    <cellStyle name="Normal 85 22" xfId="54384" xr:uid="{00000000-0005-0000-0000-00007ED40000}"/>
    <cellStyle name="Normal 85 22 2" xfId="54385" xr:uid="{00000000-0005-0000-0000-00007FD40000}"/>
    <cellStyle name="Normal 85 23" xfId="54386" xr:uid="{00000000-0005-0000-0000-000080D40000}"/>
    <cellStyle name="Normal 85 23 2" xfId="54387" xr:uid="{00000000-0005-0000-0000-000081D40000}"/>
    <cellStyle name="Normal 85 24" xfId="54388" xr:uid="{00000000-0005-0000-0000-000082D40000}"/>
    <cellStyle name="Normal 85 24 2" xfId="54389" xr:uid="{00000000-0005-0000-0000-000083D40000}"/>
    <cellStyle name="Normal 85 25" xfId="54390" xr:uid="{00000000-0005-0000-0000-000084D40000}"/>
    <cellStyle name="Normal 85 25 2" xfId="54391" xr:uid="{00000000-0005-0000-0000-000085D40000}"/>
    <cellStyle name="Normal 85 26" xfId="54392" xr:uid="{00000000-0005-0000-0000-000086D40000}"/>
    <cellStyle name="Normal 85 26 2" xfId="54393" xr:uid="{00000000-0005-0000-0000-000087D40000}"/>
    <cellStyle name="Normal 85 27" xfId="54394" xr:uid="{00000000-0005-0000-0000-000088D40000}"/>
    <cellStyle name="Normal 85 27 2" xfId="54395" xr:uid="{00000000-0005-0000-0000-000089D40000}"/>
    <cellStyle name="Normal 85 28" xfId="54396" xr:uid="{00000000-0005-0000-0000-00008AD40000}"/>
    <cellStyle name="Normal 85 28 2" xfId="54397" xr:uid="{00000000-0005-0000-0000-00008BD40000}"/>
    <cellStyle name="Normal 85 29" xfId="54398" xr:uid="{00000000-0005-0000-0000-00008CD40000}"/>
    <cellStyle name="Normal 85 29 2" xfId="54399" xr:uid="{00000000-0005-0000-0000-00008DD40000}"/>
    <cellStyle name="Normal 85 3" xfId="54400" xr:uid="{00000000-0005-0000-0000-00008ED40000}"/>
    <cellStyle name="Normal 85 3 2" xfId="54401" xr:uid="{00000000-0005-0000-0000-00008FD40000}"/>
    <cellStyle name="Normal 85 30" xfId="54402" xr:uid="{00000000-0005-0000-0000-000090D40000}"/>
    <cellStyle name="Normal 85 30 2" xfId="54403" xr:uid="{00000000-0005-0000-0000-000091D40000}"/>
    <cellStyle name="Normal 85 31" xfId="54404" xr:uid="{00000000-0005-0000-0000-000092D40000}"/>
    <cellStyle name="Normal 85 31 2" xfId="54405" xr:uid="{00000000-0005-0000-0000-000093D40000}"/>
    <cellStyle name="Normal 85 32" xfId="54406" xr:uid="{00000000-0005-0000-0000-000094D40000}"/>
    <cellStyle name="Normal 85 32 2" xfId="54407" xr:uid="{00000000-0005-0000-0000-000095D40000}"/>
    <cellStyle name="Normal 85 33" xfId="54408" xr:uid="{00000000-0005-0000-0000-000096D40000}"/>
    <cellStyle name="Normal 85 33 2" xfId="54409" xr:uid="{00000000-0005-0000-0000-000097D40000}"/>
    <cellStyle name="Normal 85 34" xfId="54410" xr:uid="{00000000-0005-0000-0000-000098D40000}"/>
    <cellStyle name="Normal 85 34 2" xfId="54411" xr:uid="{00000000-0005-0000-0000-000099D40000}"/>
    <cellStyle name="Normal 85 35" xfId="54412" xr:uid="{00000000-0005-0000-0000-00009AD40000}"/>
    <cellStyle name="Normal 85 35 2" xfId="54413" xr:uid="{00000000-0005-0000-0000-00009BD40000}"/>
    <cellStyle name="Normal 85 36" xfId="54414" xr:uid="{00000000-0005-0000-0000-00009CD40000}"/>
    <cellStyle name="Normal 85 36 2" xfId="54415" xr:uid="{00000000-0005-0000-0000-00009DD40000}"/>
    <cellStyle name="Normal 85 37" xfId="54416" xr:uid="{00000000-0005-0000-0000-00009ED40000}"/>
    <cellStyle name="Normal 85 37 2" xfId="54417" xr:uid="{00000000-0005-0000-0000-00009FD40000}"/>
    <cellStyle name="Normal 85 38" xfId="54418" xr:uid="{00000000-0005-0000-0000-0000A0D40000}"/>
    <cellStyle name="Normal 85 38 2" xfId="54419" xr:uid="{00000000-0005-0000-0000-0000A1D40000}"/>
    <cellStyle name="Normal 85 39" xfId="54420" xr:uid="{00000000-0005-0000-0000-0000A2D40000}"/>
    <cellStyle name="Normal 85 39 2" xfId="54421" xr:uid="{00000000-0005-0000-0000-0000A3D40000}"/>
    <cellStyle name="Normal 85 4" xfId="54422" xr:uid="{00000000-0005-0000-0000-0000A4D40000}"/>
    <cellStyle name="Normal 85 4 2" xfId="54423" xr:uid="{00000000-0005-0000-0000-0000A5D40000}"/>
    <cellStyle name="Normal 85 40" xfId="54424" xr:uid="{00000000-0005-0000-0000-0000A6D40000}"/>
    <cellStyle name="Normal 85 40 2" xfId="54425" xr:uid="{00000000-0005-0000-0000-0000A7D40000}"/>
    <cellStyle name="Normal 85 41" xfId="54426" xr:uid="{00000000-0005-0000-0000-0000A8D40000}"/>
    <cellStyle name="Normal 85 41 2" xfId="54427" xr:uid="{00000000-0005-0000-0000-0000A9D40000}"/>
    <cellStyle name="Normal 85 42" xfId="54428" xr:uid="{00000000-0005-0000-0000-0000AAD40000}"/>
    <cellStyle name="Normal 85 42 2" xfId="54429" xr:uid="{00000000-0005-0000-0000-0000ABD40000}"/>
    <cellStyle name="Normal 85 43" xfId="54430" xr:uid="{00000000-0005-0000-0000-0000ACD40000}"/>
    <cellStyle name="Normal 85 43 2" xfId="54431" xr:uid="{00000000-0005-0000-0000-0000ADD40000}"/>
    <cellStyle name="Normal 85 44" xfId="54432" xr:uid="{00000000-0005-0000-0000-0000AED40000}"/>
    <cellStyle name="Normal 85 44 2" xfId="54433" xr:uid="{00000000-0005-0000-0000-0000AFD40000}"/>
    <cellStyle name="Normal 85 45" xfId="54434" xr:uid="{00000000-0005-0000-0000-0000B0D40000}"/>
    <cellStyle name="Normal 85 45 2" xfId="54435" xr:uid="{00000000-0005-0000-0000-0000B1D40000}"/>
    <cellStyle name="Normal 85 46" xfId="54436" xr:uid="{00000000-0005-0000-0000-0000B2D40000}"/>
    <cellStyle name="Normal 85 46 2" xfId="54437" xr:uid="{00000000-0005-0000-0000-0000B3D40000}"/>
    <cellStyle name="Normal 85 47" xfId="54438" xr:uid="{00000000-0005-0000-0000-0000B4D40000}"/>
    <cellStyle name="Normal 85 47 2" xfId="54439" xr:uid="{00000000-0005-0000-0000-0000B5D40000}"/>
    <cellStyle name="Normal 85 48" xfId="54440" xr:uid="{00000000-0005-0000-0000-0000B6D40000}"/>
    <cellStyle name="Normal 85 48 2" xfId="54441" xr:uid="{00000000-0005-0000-0000-0000B7D40000}"/>
    <cellStyle name="Normal 85 49" xfId="54442" xr:uid="{00000000-0005-0000-0000-0000B8D40000}"/>
    <cellStyle name="Normal 85 49 2" xfId="54443" xr:uid="{00000000-0005-0000-0000-0000B9D40000}"/>
    <cellStyle name="Normal 85 5" xfId="54444" xr:uid="{00000000-0005-0000-0000-0000BAD40000}"/>
    <cellStyle name="Normal 85 5 2" xfId="54445" xr:uid="{00000000-0005-0000-0000-0000BBD40000}"/>
    <cellStyle name="Normal 85 50" xfId="54446" xr:uid="{00000000-0005-0000-0000-0000BCD40000}"/>
    <cellStyle name="Normal 85 50 2" xfId="54447" xr:uid="{00000000-0005-0000-0000-0000BDD40000}"/>
    <cellStyle name="Normal 85 51" xfId="54448" xr:uid="{00000000-0005-0000-0000-0000BED40000}"/>
    <cellStyle name="Normal 85 51 2" xfId="54449" xr:uid="{00000000-0005-0000-0000-0000BFD40000}"/>
    <cellStyle name="Normal 85 52" xfId="54450" xr:uid="{00000000-0005-0000-0000-0000C0D40000}"/>
    <cellStyle name="Normal 85 52 2" xfId="54451" xr:uid="{00000000-0005-0000-0000-0000C1D40000}"/>
    <cellStyle name="Normal 85 53" xfId="54452" xr:uid="{00000000-0005-0000-0000-0000C2D40000}"/>
    <cellStyle name="Normal 85 53 2" xfId="54453" xr:uid="{00000000-0005-0000-0000-0000C3D40000}"/>
    <cellStyle name="Normal 85 54" xfId="54454" xr:uid="{00000000-0005-0000-0000-0000C4D40000}"/>
    <cellStyle name="Normal 85 54 2" xfId="54455" xr:uid="{00000000-0005-0000-0000-0000C5D40000}"/>
    <cellStyle name="Normal 85 55" xfId="54456" xr:uid="{00000000-0005-0000-0000-0000C6D40000}"/>
    <cellStyle name="Normal 85 55 2" xfId="54457" xr:uid="{00000000-0005-0000-0000-0000C7D40000}"/>
    <cellStyle name="Normal 85 56" xfId="54458" xr:uid="{00000000-0005-0000-0000-0000C8D40000}"/>
    <cellStyle name="Normal 85 56 2" xfId="54459" xr:uid="{00000000-0005-0000-0000-0000C9D40000}"/>
    <cellStyle name="Normal 85 57" xfId="54460" xr:uid="{00000000-0005-0000-0000-0000CAD40000}"/>
    <cellStyle name="Normal 85 57 2" xfId="54461" xr:uid="{00000000-0005-0000-0000-0000CBD40000}"/>
    <cellStyle name="Normal 85 58" xfId="54462" xr:uid="{00000000-0005-0000-0000-0000CCD40000}"/>
    <cellStyle name="Normal 85 58 2" xfId="54463" xr:uid="{00000000-0005-0000-0000-0000CDD40000}"/>
    <cellStyle name="Normal 85 59" xfId="54464" xr:uid="{00000000-0005-0000-0000-0000CED40000}"/>
    <cellStyle name="Normal 85 59 2" xfId="54465" xr:uid="{00000000-0005-0000-0000-0000CFD40000}"/>
    <cellStyle name="Normal 85 6" xfId="54466" xr:uid="{00000000-0005-0000-0000-0000D0D40000}"/>
    <cellStyle name="Normal 85 6 2" xfId="54467" xr:uid="{00000000-0005-0000-0000-0000D1D40000}"/>
    <cellStyle name="Normal 85 60" xfId="54468" xr:uid="{00000000-0005-0000-0000-0000D2D40000}"/>
    <cellStyle name="Normal 85 60 2" xfId="54469" xr:uid="{00000000-0005-0000-0000-0000D3D40000}"/>
    <cellStyle name="Normal 85 61" xfId="54470" xr:uid="{00000000-0005-0000-0000-0000D4D40000}"/>
    <cellStyle name="Normal 85 61 2" xfId="54471" xr:uid="{00000000-0005-0000-0000-0000D5D40000}"/>
    <cellStyle name="Normal 85 62" xfId="54472" xr:uid="{00000000-0005-0000-0000-0000D6D40000}"/>
    <cellStyle name="Normal 85 62 2" xfId="54473" xr:uid="{00000000-0005-0000-0000-0000D7D40000}"/>
    <cellStyle name="Normal 85 62 3" xfId="54474" xr:uid="{00000000-0005-0000-0000-0000D8D40000}"/>
    <cellStyle name="Normal 85 63" xfId="54475" xr:uid="{00000000-0005-0000-0000-0000D9D40000}"/>
    <cellStyle name="Normal 85 7" xfId="54476" xr:uid="{00000000-0005-0000-0000-0000DAD40000}"/>
    <cellStyle name="Normal 85 7 2" xfId="54477" xr:uid="{00000000-0005-0000-0000-0000DBD40000}"/>
    <cellStyle name="Normal 85 8" xfId="54478" xr:uid="{00000000-0005-0000-0000-0000DCD40000}"/>
    <cellStyle name="Normal 85 8 2" xfId="54479" xr:uid="{00000000-0005-0000-0000-0000DDD40000}"/>
    <cellStyle name="Normal 85 9" xfId="54480" xr:uid="{00000000-0005-0000-0000-0000DED40000}"/>
    <cellStyle name="Normal 85 9 2" xfId="54481" xr:uid="{00000000-0005-0000-0000-0000DFD40000}"/>
    <cellStyle name="Normal 86" xfId="54482" xr:uid="{00000000-0005-0000-0000-0000E0D40000}"/>
    <cellStyle name="Normal 86 10" xfId="54483" xr:uid="{00000000-0005-0000-0000-0000E1D40000}"/>
    <cellStyle name="Normal 86 10 2" xfId="54484" xr:uid="{00000000-0005-0000-0000-0000E2D40000}"/>
    <cellStyle name="Normal 86 11" xfId="54485" xr:uid="{00000000-0005-0000-0000-0000E3D40000}"/>
    <cellStyle name="Normal 86 11 2" xfId="54486" xr:uid="{00000000-0005-0000-0000-0000E4D40000}"/>
    <cellStyle name="Normal 86 12" xfId="54487" xr:uid="{00000000-0005-0000-0000-0000E5D40000}"/>
    <cellStyle name="Normal 86 12 2" xfId="54488" xr:uid="{00000000-0005-0000-0000-0000E6D40000}"/>
    <cellStyle name="Normal 86 13" xfId="54489" xr:uid="{00000000-0005-0000-0000-0000E7D40000}"/>
    <cellStyle name="Normal 86 13 2" xfId="54490" xr:uid="{00000000-0005-0000-0000-0000E8D40000}"/>
    <cellStyle name="Normal 86 14" xfId="54491" xr:uid="{00000000-0005-0000-0000-0000E9D40000}"/>
    <cellStyle name="Normal 86 14 2" xfId="54492" xr:uid="{00000000-0005-0000-0000-0000EAD40000}"/>
    <cellStyle name="Normal 86 15" xfId="54493" xr:uid="{00000000-0005-0000-0000-0000EBD40000}"/>
    <cellStyle name="Normal 86 15 2" xfId="54494" xr:uid="{00000000-0005-0000-0000-0000ECD40000}"/>
    <cellStyle name="Normal 86 16" xfId="54495" xr:uid="{00000000-0005-0000-0000-0000EDD40000}"/>
    <cellStyle name="Normal 86 16 2" xfId="54496" xr:uid="{00000000-0005-0000-0000-0000EED40000}"/>
    <cellStyle name="Normal 86 17" xfId="54497" xr:uid="{00000000-0005-0000-0000-0000EFD40000}"/>
    <cellStyle name="Normal 86 17 2" xfId="54498" xr:uid="{00000000-0005-0000-0000-0000F0D40000}"/>
    <cellStyle name="Normal 86 18" xfId="54499" xr:uid="{00000000-0005-0000-0000-0000F1D40000}"/>
    <cellStyle name="Normal 86 18 2" xfId="54500" xr:uid="{00000000-0005-0000-0000-0000F2D40000}"/>
    <cellStyle name="Normal 86 19" xfId="54501" xr:uid="{00000000-0005-0000-0000-0000F3D40000}"/>
    <cellStyle name="Normal 86 19 2" xfId="54502" xr:uid="{00000000-0005-0000-0000-0000F4D40000}"/>
    <cellStyle name="Normal 86 2" xfId="54503" xr:uid="{00000000-0005-0000-0000-0000F5D40000}"/>
    <cellStyle name="Normal 86 2 2" xfId="54504" xr:uid="{00000000-0005-0000-0000-0000F6D40000}"/>
    <cellStyle name="Normal 86 20" xfId="54505" xr:uid="{00000000-0005-0000-0000-0000F7D40000}"/>
    <cellStyle name="Normal 86 20 2" xfId="54506" xr:uid="{00000000-0005-0000-0000-0000F8D40000}"/>
    <cellStyle name="Normal 86 21" xfId="54507" xr:uid="{00000000-0005-0000-0000-0000F9D40000}"/>
    <cellStyle name="Normal 86 21 2" xfId="54508" xr:uid="{00000000-0005-0000-0000-0000FAD40000}"/>
    <cellStyle name="Normal 86 22" xfId="54509" xr:uid="{00000000-0005-0000-0000-0000FBD40000}"/>
    <cellStyle name="Normal 86 22 2" xfId="54510" xr:uid="{00000000-0005-0000-0000-0000FCD40000}"/>
    <cellStyle name="Normal 86 23" xfId="54511" xr:uid="{00000000-0005-0000-0000-0000FDD40000}"/>
    <cellStyle name="Normal 86 23 2" xfId="54512" xr:uid="{00000000-0005-0000-0000-0000FED40000}"/>
    <cellStyle name="Normal 86 24" xfId="54513" xr:uid="{00000000-0005-0000-0000-0000FFD40000}"/>
    <cellStyle name="Normal 86 24 2" xfId="54514" xr:uid="{00000000-0005-0000-0000-000000D50000}"/>
    <cellStyle name="Normal 86 25" xfId="54515" xr:uid="{00000000-0005-0000-0000-000001D50000}"/>
    <cellStyle name="Normal 86 25 2" xfId="54516" xr:uid="{00000000-0005-0000-0000-000002D50000}"/>
    <cellStyle name="Normal 86 26" xfId="54517" xr:uid="{00000000-0005-0000-0000-000003D50000}"/>
    <cellStyle name="Normal 86 26 2" xfId="54518" xr:uid="{00000000-0005-0000-0000-000004D50000}"/>
    <cellStyle name="Normal 86 27" xfId="54519" xr:uid="{00000000-0005-0000-0000-000005D50000}"/>
    <cellStyle name="Normal 86 27 2" xfId="54520" xr:uid="{00000000-0005-0000-0000-000006D50000}"/>
    <cellStyle name="Normal 86 28" xfId="54521" xr:uid="{00000000-0005-0000-0000-000007D50000}"/>
    <cellStyle name="Normal 86 28 2" xfId="54522" xr:uid="{00000000-0005-0000-0000-000008D50000}"/>
    <cellStyle name="Normal 86 29" xfId="54523" xr:uid="{00000000-0005-0000-0000-000009D50000}"/>
    <cellStyle name="Normal 86 29 2" xfId="54524" xr:uid="{00000000-0005-0000-0000-00000AD50000}"/>
    <cellStyle name="Normal 86 3" xfId="54525" xr:uid="{00000000-0005-0000-0000-00000BD50000}"/>
    <cellStyle name="Normal 86 3 2" xfId="54526" xr:uid="{00000000-0005-0000-0000-00000CD50000}"/>
    <cellStyle name="Normal 86 30" xfId="54527" xr:uid="{00000000-0005-0000-0000-00000DD50000}"/>
    <cellStyle name="Normal 86 30 2" xfId="54528" xr:uid="{00000000-0005-0000-0000-00000ED50000}"/>
    <cellStyle name="Normal 86 31" xfId="54529" xr:uid="{00000000-0005-0000-0000-00000FD50000}"/>
    <cellStyle name="Normal 86 31 2" xfId="54530" xr:uid="{00000000-0005-0000-0000-000010D50000}"/>
    <cellStyle name="Normal 86 32" xfId="54531" xr:uid="{00000000-0005-0000-0000-000011D50000}"/>
    <cellStyle name="Normal 86 32 2" xfId="54532" xr:uid="{00000000-0005-0000-0000-000012D50000}"/>
    <cellStyle name="Normal 86 33" xfId="54533" xr:uid="{00000000-0005-0000-0000-000013D50000}"/>
    <cellStyle name="Normal 86 33 2" xfId="54534" xr:uid="{00000000-0005-0000-0000-000014D50000}"/>
    <cellStyle name="Normal 86 34" xfId="54535" xr:uid="{00000000-0005-0000-0000-000015D50000}"/>
    <cellStyle name="Normal 86 34 2" xfId="54536" xr:uid="{00000000-0005-0000-0000-000016D50000}"/>
    <cellStyle name="Normal 86 35" xfId="54537" xr:uid="{00000000-0005-0000-0000-000017D50000}"/>
    <cellStyle name="Normal 86 35 2" xfId="54538" xr:uid="{00000000-0005-0000-0000-000018D50000}"/>
    <cellStyle name="Normal 86 36" xfId="54539" xr:uid="{00000000-0005-0000-0000-000019D50000}"/>
    <cellStyle name="Normal 86 36 2" xfId="54540" xr:uid="{00000000-0005-0000-0000-00001AD50000}"/>
    <cellStyle name="Normal 86 37" xfId="54541" xr:uid="{00000000-0005-0000-0000-00001BD50000}"/>
    <cellStyle name="Normal 86 37 2" xfId="54542" xr:uid="{00000000-0005-0000-0000-00001CD50000}"/>
    <cellStyle name="Normal 86 38" xfId="54543" xr:uid="{00000000-0005-0000-0000-00001DD50000}"/>
    <cellStyle name="Normal 86 38 2" xfId="54544" xr:uid="{00000000-0005-0000-0000-00001ED50000}"/>
    <cellStyle name="Normal 86 39" xfId="54545" xr:uid="{00000000-0005-0000-0000-00001FD50000}"/>
    <cellStyle name="Normal 86 39 2" xfId="54546" xr:uid="{00000000-0005-0000-0000-000020D50000}"/>
    <cellStyle name="Normal 86 4" xfId="54547" xr:uid="{00000000-0005-0000-0000-000021D50000}"/>
    <cellStyle name="Normal 86 4 2" xfId="54548" xr:uid="{00000000-0005-0000-0000-000022D50000}"/>
    <cellStyle name="Normal 86 40" xfId="54549" xr:uid="{00000000-0005-0000-0000-000023D50000}"/>
    <cellStyle name="Normal 86 40 2" xfId="54550" xr:uid="{00000000-0005-0000-0000-000024D50000}"/>
    <cellStyle name="Normal 86 41" xfId="54551" xr:uid="{00000000-0005-0000-0000-000025D50000}"/>
    <cellStyle name="Normal 86 41 2" xfId="54552" xr:uid="{00000000-0005-0000-0000-000026D50000}"/>
    <cellStyle name="Normal 86 42" xfId="54553" xr:uid="{00000000-0005-0000-0000-000027D50000}"/>
    <cellStyle name="Normal 86 42 2" xfId="54554" xr:uid="{00000000-0005-0000-0000-000028D50000}"/>
    <cellStyle name="Normal 86 43" xfId="54555" xr:uid="{00000000-0005-0000-0000-000029D50000}"/>
    <cellStyle name="Normal 86 43 2" xfId="54556" xr:uid="{00000000-0005-0000-0000-00002AD50000}"/>
    <cellStyle name="Normal 86 44" xfId="54557" xr:uid="{00000000-0005-0000-0000-00002BD50000}"/>
    <cellStyle name="Normal 86 44 2" xfId="54558" xr:uid="{00000000-0005-0000-0000-00002CD50000}"/>
    <cellStyle name="Normal 86 45" xfId="54559" xr:uid="{00000000-0005-0000-0000-00002DD50000}"/>
    <cellStyle name="Normal 86 45 2" xfId="54560" xr:uid="{00000000-0005-0000-0000-00002ED50000}"/>
    <cellStyle name="Normal 86 46" xfId="54561" xr:uid="{00000000-0005-0000-0000-00002FD50000}"/>
    <cellStyle name="Normal 86 46 2" xfId="54562" xr:uid="{00000000-0005-0000-0000-000030D50000}"/>
    <cellStyle name="Normal 86 47" xfId="54563" xr:uid="{00000000-0005-0000-0000-000031D50000}"/>
    <cellStyle name="Normal 86 47 2" xfId="54564" xr:uid="{00000000-0005-0000-0000-000032D50000}"/>
    <cellStyle name="Normal 86 48" xfId="54565" xr:uid="{00000000-0005-0000-0000-000033D50000}"/>
    <cellStyle name="Normal 86 48 2" xfId="54566" xr:uid="{00000000-0005-0000-0000-000034D50000}"/>
    <cellStyle name="Normal 86 49" xfId="54567" xr:uid="{00000000-0005-0000-0000-000035D50000}"/>
    <cellStyle name="Normal 86 49 2" xfId="54568" xr:uid="{00000000-0005-0000-0000-000036D50000}"/>
    <cellStyle name="Normal 86 5" xfId="54569" xr:uid="{00000000-0005-0000-0000-000037D50000}"/>
    <cellStyle name="Normal 86 5 2" xfId="54570" xr:uid="{00000000-0005-0000-0000-000038D50000}"/>
    <cellStyle name="Normal 86 50" xfId="54571" xr:uid="{00000000-0005-0000-0000-000039D50000}"/>
    <cellStyle name="Normal 86 50 2" xfId="54572" xr:uid="{00000000-0005-0000-0000-00003AD50000}"/>
    <cellStyle name="Normal 86 51" xfId="54573" xr:uid="{00000000-0005-0000-0000-00003BD50000}"/>
    <cellStyle name="Normal 86 51 2" xfId="54574" xr:uid="{00000000-0005-0000-0000-00003CD50000}"/>
    <cellStyle name="Normal 86 52" xfId="54575" xr:uid="{00000000-0005-0000-0000-00003DD50000}"/>
    <cellStyle name="Normal 86 52 2" xfId="54576" xr:uid="{00000000-0005-0000-0000-00003ED50000}"/>
    <cellStyle name="Normal 86 53" xfId="54577" xr:uid="{00000000-0005-0000-0000-00003FD50000}"/>
    <cellStyle name="Normal 86 53 2" xfId="54578" xr:uid="{00000000-0005-0000-0000-000040D50000}"/>
    <cellStyle name="Normal 86 54" xfId="54579" xr:uid="{00000000-0005-0000-0000-000041D50000}"/>
    <cellStyle name="Normal 86 54 2" xfId="54580" xr:uid="{00000000-0005-0000-0000-000042D50000}"/>
    <cellStyle name="Normal 86 55" xfId="54581" xr:uid="{00000000-0005-0000-0000-000043D50000}"/>
    <cellStyle name="Normal 86 55 2" xfId="54582" xr:uid="{00000000-0005-0000-0000-000044D50000}"/>
    <cellStyle name="Normal 86 56" xfId="54583" xr:uid="{00000000-0005-0000-0000-000045D50000}"/>
    <cellStyle name="Normal 86 56 2" xfId="54584" xr:uid="{00000000-0005-0000-0000-000046D50000}"/>
    <cellStyle name="Normal 86 57" xfId="54585" xr:uid="{00000000-0005-0000-0000-000047D50000}"/>
    <cellStyle name="Normal 86 57 2" xfId="54586" xr:uid="{00000000-0005-0000-0000-000048D50000}"/>
    <cellStyle name="Normal 86 58" xfId="54587" xr:uid="{00000000-0005-0000-0000-000049D50000}"/>
    <cellStyle name="Normal 86 58 2" xfId="54588" xr:uid="{00000000-0005-0000-0000-00004AD50000}"/>
    <cellStyle name="Normal 86 59" xfId="54589" xr:uid="{00000000-0005-0000-0000-00004BD50000}"/>
    <cellStyle name="Normal 86 59 2" xfId="54590" xr:uid="{00000000-0005-0000-0000-00004CD50000}"/>
    <cellStyle name="Normal 86 6" xfId="54591" xr:uid="{00000000-0005-0000-0000-00004DD50000}"/>
    <cellStyle name="Normal 86 6 2" xfId="54592" xr:uid="{00000000-0005-0000-0000-00004ED50000}"/>
    <cellStyle name="Normal 86 60" xfId="54593" xr:uid="{00000000-0005-0000-0000-00004FD50000}"/>
    <cellStyle name="Normal 86 60 2" xfId="54594" xr:uid="{00000000-0005-0000-0000-000050D50000}"/>
    <cellStyle name="Normal 86 61" xfId="54595" xr:uid="{00000000-0005-0000-0000-000051D50000}"/>
    <cellStyle name="Normal 86 61 2" xfId="54596" xr:uid="{00000000-0005-0000-0000-000052D50000}"/>
    <cellStyle name="Normal 86 62" xfId="54597" xr:uid="{00000000-0005-0000-0000-000053D50000}"/>
    <cellStyle name="Normal 86 62 2" xfId="54598" xr:uid="{00000000-0005-0000-0000-000054D50000}"/>
    <cellStyle name="Normal 86 62 3" xfId="54599" xr:uid="{00000000-0005-0000-0000-000055D50000}"/>
    <cellStyle name="Normal 86 63" xfId="54600" xr:uid="{00000000-0005-0000-0000-000056D50000}"/>
    <cellStyle name="Normal 86 7" xfId="54601" xr:uid="{00000000-0005-0000-0000-000057D50000}"/>
    <cellStyle name="Normal 86 7 2" xfId="54602" xr:uid="{00000000-0005-0000-0000-000058D50000}"/>
    <cellStyle name="Normal 86 8" xfId="54603" xr:uid="{00000000-0005-0000-0000-000059D50000}"/>
    <cellStyle name="Normal 86 8 2" xfId="54604" xr:uid="{00000000-0005-0000-0000-00005AD50000}"/>
    <cellStyle name="Normal 86 9" xfId="54605" xr:uid="{00000000-0005-0000-0000-00005BD50000}"/>
    <cellStyle name="Normal 86 9 2" xfId="54606" xr:uid="{00000000-0005-0000-0000-00005CD50000}"/>
    <cellStyle name="Normal 87" xfId="54607" xr:uid="{00000000-0005-0000-0000-00005DD50000}"/>
    <cellStyle name="Normal 87 10" xfId="54608" xr:uid="{00000000-0005-0000-0000-00005ED50000}"/>
    <cellStyle name="Normal 87 10 2" xfId="54609" xr:uid="{00000000-0005-0000-0000-00005FD50000}"/>
    <cellStyle name="Normal 87 11" xfId="54610" xr:uid="{00000000-0005-0000-0000-000060D50000}"/>
    <cellStyle name="Normal 87 11 2" xfId="54611" xr:uid="{00000000-0005-0000-0000-000061D50000}"/>
    <cellStyle name="Normal 87 12" xfId="54612" xr:uid="{00000000-0005-0000-0000-000062D50000}"/>
    <cellStyle name="Normal 87 12 2" xfId="54613" xr:uid="{00000000-0005-0000-0000-000063D50000}"/>
    <cellStyle name="Normal 87 13" xfId="54614" xr:uid="{00000000-0005-0000-0000-000064D50000}"/>
    <cellStyle name="Normal 87 13 2" xfId="54615" xr:uid="{00000000-0005-0000-0000-000065D50000}"/>
    <cellStyle name="Normal 87 14" xfId="54616" xr:uid="{00000000-0005-0000-0000-000066D50000}"/>
    <cellStyle name="Normal 87 14 2" xfId="54617" xr:uid="{00000000-0005-0000-0000-000067D50000}"/>
    <cellStyle name="Normal 87 15" xfId="54618" xr:uid="{00000000-0005-0000-0000-000068D50000}"/>
    <cellStyle name="Normal 87 15 2" xfId="54619" xr:uid="{00000000-0005-0000-0000-000069D50000}"/>
    <cellStyle name="Normal 87 16" xfId="54620" xr:uid="{00000000-0005-0000-0000-00006AD50000}"/>
    <cellStyle name="Normal 87 16 2" xfId="54621" xr:uid="{00000000-0005-0000-0000-00006BD50000}"/>
    <cellStyle name="Normal 87 17" xfId="54622" xr:uid="{00000000-0005-0000-0000-00006CD50000}"/>
    <cellStyle name="Normal 87 17 2" xfId="54623" xr:uid="{00000000-0005-0000-0000-00006DD50000}"/>
    <cellStyle name="Normal 87 18" xfId="54624" xr:uid="{00000000-0005-0000-0000-00006ED50000}"/>
    <cellStyle name="Normal 87 18 2" xfId="54625" xr:uid="{00000000-0005-0000-0000-00006FD50000}"/>
    <cellStyle name="Normal 87 19" xfId="54626" xr:uid="{00000000-0005-0000-0000-000070D50000}"/>
    <cellStyle name="Normal 87 19 2" xfId="54627" xr:uid="{00000000-0005-0000-0000-000071D50000}"/>
    <cellStyle name="Normal 87 2" xfId="54628" xr:uid="{00000000-0005-0000-0000-000072D50000}"/>
    <cellStyle name="Normal 87 2 2" xfId="54629" xr:uid="{00000000-0005-0000-0000-000073D50000}"/>
    <cellStyle name="Normal 87 20" xfId="54630" xr:uid="{00000000-0005-0000-0000-000074D50000}"/>
    <cellStyle name="Normal 87 20 2" xfId="54631" xr:uid="{00000000-0005-0000-0000-000075D50000}"/>
    <cellStyle name="Normal 87 21" xfId="54632" xr:uid="{00000000-0005-0000-0000-000076D50000}"/>
    <cellStyle name="Normal 87 21 2" xfId="54633" xr:uid="{00000000-0005-0000-0000-000077D50000}"/>
    <cellStyle name="Normal 87 22" xfId="54634" xr:uid="{00000000-0005-0000-0000-000078D50000}"/>
    <cellStyle name="Normal 87 22 2" xfId="54635" xr:uid="{00000000-0005-0000-0000-000079D50000}"/>
    <cellStyle name="Normal 87 23" xfId="54636" xr:uid="{00000000-0005-0000-0000-00007AD50000}"/>
    <cellStyle name="Normal 87 23 2" xfId="54637" xr:uid="{00000000-0005-0000-0000-00007BD50000}"/>
    <cellStyle name="Normal 87 24" xfId="54638" xr:uid="{00000000-0005-0000-0000-00007CD50000}"/>
    <cellStyle name="Normal 87 24 2" xfId="54639" xr:uid="{00000000-0005-0000-0000-00007DD50000}"/>
    <cellStyle name="Normal 87 25" xfId="54640" xr:uid="{00000000-0005-0000-0000-00007ED50000}"/>
    <cellStyle name="Normal 87 25 2" xfId="54641" xr:uid="{00000000-0005-0000-0000-00007FD50000}"/>
    <cellStyle name="Normal 87 26" xfId="54642" xr:uid="{00000000-0005-0000-0000-000080D50000}"/>
    <cellStyle name="Normal 87 26 2" xfId="54643" xr:uid="{00000000-0005-0000-0000-000081D50000}"/>
    <cellStyle name="Normal 87 27" xfId="54644" xr:uid="{00000000-0005-0000-0000-000082D50000}"/>
    <cellStyle name="Normal 87 27 2" xfId="54645" xr:uid="{00000000-0005-0000-0000-000083D50000}"/>
    <cellStyle name="Normal 87 28" xfId="54646" xr:uid="{00000000-0005-0000-0000-000084D50000}"/>
    <cellStyle name="Normal 87 28 2" xfId="54647" xr:uid="{00000000-0005-0000-0000-000085D50000}"/>
    <cellStyle name="Normal 87 29" xfId="54648" xr:uid="{00000000-0005-0000-0000-000086D50000}"/>
    <cellStyle name="Normal 87 29 2" xfId="54649" xr:uid="{00000000-0005-0000-0000-000087D50000}"/>
    <cellStyle name="Normal 87 3" xfId="54650" xr:uid="{00000000-0005-0000-0000-000088D50000}"/>
    <cellStyle name="Normal 87 3 2" xfId="54651" xr:uid="{00000000-0005-0000-0000-000089D50000}"/>
    <cellStyle name="Normal 87 30" xfId="54652" xr:uid="{00000000-0005-0000-0000-00008AD50000}"/>
    <cellStyle name="Normal 87 30 2" xfId="54653" xr:uid="{00000000-0005-0000-0000-00008BD50000}"/>
    <cellStyle name="Normal 87 31" xfId="54654" xr:uid="{00000000-0005-0000-0000-00008CD50000}"/>
    <cellStyle name="Normal 87 31 2" xfId="54655" xr:uid="{00000000-0005-0000-0000-00008DD50000}"/>
    <cellStyle name="Normal 87 32" xfId="54656" xr:uid="{00000000-0005-0000-0000-00008ED50000}"/>
    <cellStyle name="Normal 87 32 2" xfId="54657" xr:uid="{00000000-0005-0000-0000-00008FD50000}"/>
    <cellStyle name="Normal 87 33" xfId="54658" xr:uid="{00000000-0005-0000-0000-000090D50000}"/>
    <cellStyle name="Normal 87 33 2" xfId="54659" xr:uid="{00000000-0005-0000-0000-000091D50000}"/>
    <cellStyle name="Normal 87 34" xfId="54660" xr:uid="{00000000-0005-0000-0000-000092D50000}"/>
    <cellStyle name="Normal 87 34 2" xfId="54661" xr:uid="{00000000-0005-0000-0000-000093D50000}"/>
    <cellStyle name="Normal 87 35" xfId="54662" xr:uid="{00000000-0005-0000-0000-000094D50000}"/>
    <cellStyle name="Normal 87 35 2" xfId="54663" xr:uid="{00000000-0005-0000-0000-000095D50000}"/>
    <cellStyle name="Normal 87 36" xfId="54664" xr:uid="{00000000-0005-0000-0000-000096D50000}"/>
    <cellStyle name="Normal 87 36 2" xfId="54665" xr:uid="{00000000-0005-0000-0000-000097D50000}"/>
    <cellStyle name="Normal 87 37" xfId="54666" xr:uid="{00000000-0005-0000-0000-000098D50000}"/>
    <cellStyle name="Normal 87 37 2" xfId="54667" xr:uid="{00000000-0005-0000-0000-000099D50000}"/>
    <cellStyle name="Normal 87 38" xfId="54668" xr:uid="{00000000-0005-0000-0000-00009AD50000}"/>
    <cellStyle name="Normal 87 38 2" xfId="54669" xr:uid="{00000000-0005-0000-0000-00009BD50000}"/>
    <cellStyle name="Normal 87 39" xfId="54670" xr:uid="{00000000-0005-0000-0000-00009CD50000}"/>
    <cellStyle name="Normal 87 39 2" xfId="54671" xr:uid="{00000000-0005-0000-0000-00009DD50000}"/>
    <cellStyle name="Normal 87 4" xfId="54672" xr:uid="{00000000-0005-0000-0000-00009ED50000}"/>
    <cellStyle name="Normal 87 4 2" xfId="54673" xr:uid="{00000000-0005-0000-0000-00009FD50000}"/>
    <cellStyle name="Normal 87 40" xfId="54674" xr:uid="{00000000-0005-0000-0000-0000A0D50000}"/>
    <cellStyle name="Normal 87 40 2" xfId="54675" xr:uid="{00000000-0005-0000-0000-0000A1D50000}"/>
    <cellStyle name="Normal 87 41" xfId="54676" xr:uid="{00000000-0005-0000-0000-0000A2D50000}"/>
    <cellStyle name="Normal 87 41 2" xfId="54677" xr:uid="{00000000-0005-0000-0000-0000A3D50000}"/>
    <cellStyle name="Normal 87 42" xfId="54678" xr:uid="{00000000-0005-0000-0000-0000A4D50000}"/>
    <cellStyle name="Normal 87 42 2" xfId="54679" xr:uid="{00000000-0005-0000-0000-0000A5D50000}"/>
    <cellStyle name="Normal 87 43" xfId="54680" xr:uid="{00000000-0005-0000-0000-0000A6D50000}"/>
    <cellStyle name="Normal 87 43 2" xfId="54681" xr:uid="{00000000-0005-0000-0000-0000A7D50000}"/>
    <cellStyle name="Normal 87 44" xfId="54682" xr:uid="{00000000-0005-0000-0000-0000A8D50000}"/>
    <cellStyle name="Normal 87 44 2" xfId="54683" xr:uid="{00000000-0005-0000-0000-0000A9D50000}"/>
    <cellStyle name="Normal 87 45" xfId="54684" xr:uid="{00000000-0005-0000-0000-0000AAD50000}"/>
    <cellStyle name="Normal 87 45 2" xfId="54685" xr:uid="{00000000-0005-0000-0000-0000ABD50000}"/>
    <cellStyle name="Normal 87 46" xfId="54686" xr:uid="{00000000-0005-0000-0000-0000ACD50000}"/>
    <cellStyle name="Normal 87 46 2" xfId="54687" xr:uid="{00000000-0005-0000-0000-0000ADD50000}"/>
    <cellStyle name="Normal 87 47" xfId="54688" xr:uid="{00000000-0005-0000-0000-0000AED50000}"/>
    <cellStyle name="Normal 87 47 2" xfId="54689" xr:uid="{00000000-0005-0000-0000-0000AFD50000}"/>
    <cellStyle name="Normal 87 48" xfId="54690" xr:uid="{00000000-0005-0000-0000-0000B0D50000}"/>
    <cellStyle name="Normal 87 48 2" xfId="54691" xr:uid="{00000000-0005-0000-0000-0000B1D50000}"/>
    <cellStyle name="Normal 87 49" xfId="54692" xr:uid="{00000000-0005-0000-0000-0000B2D50000}"/>
    <cellStyle name="Normal 87 49 2" xfId="54693" xr:uid="{00000000-0005-0000-0000-0000B3D50000}"/>
    <cellStyle name="Normal 87 5" xfId="54694" xr:uid="{00000000-0005-0000-0000-0000B4D50000}"/>
    <cellStyle name="Normal 87 5 2" xfId="54695" xr:uid="{00000000-0005-0000-0000-0000B5D50000}"/>
    <cellStyle name="Normal 87 50" xfId="54696" xr:uid="{00000000-0005-0000-0000-0000B6D50000}"/>
    <cellStyle name="Normal 87 50 2" xfId="54697" xr:uid="{00000000-0005-0000-0000-0000B7D50000}"/>
    <cellStyle name="Normal 87 51" xfId="54698" xr:uid="{00000000-0005-0000-0000-0000B8D50000}"/>
    <cellStyle name="Normal 87 51 2" xfId="54699" xr:uid="{00000000-0005-0000-0000-0000B9D50000}"/>
    <cellStyle name="Normal 87 52" xfId="54700" xr:uid="{00000000-0005-0000-0000-0000BAD50000}"/>
    <cellStyle name="Normal 87 52 2" xfId="54701" xr:uid="{00000000-0005-0000-0000-0000BBD50000}"/>
    <cellStyle name="Normal 87 53" xfId="54702" xr:uid="{00000000-0005-0000-0000-0000BCD50000}"/>
    <cellStyle name="Normal 87 53 2" xfId="54703" xr:uid="{00000000-0005-0000-0000-0000BDD50000}"/>
    <cellStyle name="Normal 87 54" xfId="54704" xr:uid="{00000000-0005-0000-0000-0000BED50000}"/>
    <cellStyle name="Normal 87 54 2" xfId="54705" xr:uid="{00000000-0005-0000-0000-0000BFD50000}"/>
    <cellStyle name="Normal 87 55" xfId="54706" xr:uid="{00000000-0005-0000-0000-0000C0D50000}"/>
    <cellStyle name="Normal 87 55 2" xfId="54707" xr:uid="{00000000-0005-0000-0000-0000C1D50000}"/>
    <cellStyle name="Normal 87 56" xfId="54708" xr:uid="{00000000-0005-0000-0000-0000C2D50000}"/>
    <cellStyle name="Normal 87 56 2" xfId="54709" xr:uid="{00000000-0005-0000-0000-0000C3D50000}"/>
    <cellStyle name="Normal 87 57" xfId="54710" xr:uid="{00000000-0005-0000-0000-0000C4D50000}"/>
    <cellStyle name="Normal 87 57 2" xfId="54711" xr:uid="{00000000-0005-0000-0000-0000C5D50000}"/>
    <cellStyle name="Normal 87 58" xfId="54712" xr:uid="{00000000-0005-0000-0000-0000C6D50000}"/>
    <cellStyle name="Normal 87 58 2" xfId="54713" xr:uid="{00000000-0005-0000-0000-0000C7D50000}"/>
    <cellStyle name="Normal 87 59" xfId="54714" xr:uid="{00000000-0005-0000-0000-0000C8D50000}"/>
    <cellStyle name="Normal 87 59 2" xfId="54715" xr:uid="{00000000-0005-0000-0000-0000C9D50000}"/>
    <cellStyle name="Normal 87 6" xfId="54716" xr:uid="{00000000-0005-0000-0000-0000CAD50000}"/>
    <cellStyle name="Normal 87 6 2" xfId="54717" xr:uid="{00000000-0005-0000-0000-0000CBD50000}"/>
    <cellStyle name="Normal 87 60" xfId="54718" xr:uid="{00000000-0005-0000-0000-0000CCD50000}"/>
    <cellStyle name="Normal 87 60 2" xfId="54719" xr:uid="{00000000-0005-0000-0000-0000CDD50000}"/>
    <cellStyle name="Normal 87 61" xfId="54720" xr:uid="{00000000-0005-0000-0000-0000CED50000}"/>
    <cellStyle name="Normal 87 61 2" xfId="54721" xr:uid="{00000000-0005-0000-0000-0000CFD50000}"/>
    <cellStyle name="Normal 87 62" xfId="54722" xr:uid="{00000000-0005-0000-0000-0000D0D50000}"/>
    <cellStyle name="Normal 87 62 2" xfId="54723" xr:uid="{00000000-0005-0000-0000-0000D1D50000}"/>
    <cellStyle name="Normal 87 62 3" xfId="54724" xr:uid="{00000000-0005-0000-0000-0000D2D50000}"/>
    <cellStyle name="Normal 87 63" xfId="54725" xr:uid="{00000000-0005-0000-0000-0000D3D50000}"/>
    <cellStyle name="Normal 87 7" xfId="54726" xr:uid="{00000000-0005-0000-0000-0000D4D50000}"/>
    <cellStyle name="Normal 87 7 2" xfId="54727" xr:uid="{00000000-0005-0000-0000-0000D5D50000}"/>
    <cellStyle name="Normal 87 8" xfId="54728" xr:uid="{00000000-0005-0000-0000-0000D6D50000}"/>
    <cellStyle name="Normal 87 8 2" xfId="54729" xr:uid="{00000000-0005-0000-0000-0000D7D50000}"/>
    <cellStyle name="Normal 87 9" xfId="54730" xr:uid="{00000000-0005-0000-0000-0000D8D50000}"/>
    <cellStyle name="Normal 87 9 2" xfId="54731" xr:uid="{00000000-0005-0000-0000-0000D9D50000}"/>
    <cellStyle name="Normal 88" xfId="54732" xr:uid="{00000000-0005-0000-0000-0000DAD50000}"/>
    <cellStyle name="Normal 88 10" xfId="54733" xr:uid="{00000000-0005-0000-0000-0000DBD50000}"/>
    <cellStyle name="Normal 88 10 2" xfId="54734" xr:uid="{00000000-0005-0000-0000-0000DCD50000}"/>
    <cellStyle name="Normal 88 11" xfId="54735" xr:uid="{00000000-0005-0000-0000-0000DDD50000}"/>
    <cellStyle name="Normal 88 11 2" xfId="54736" xr:uid="{00000000-0005-0000-0000-0000DED50000}"/>
    <cellStyle name="Normal 88 12" xfId="54737" xr:uid="{00000000-0005-0000-0000-0000DFD50000}"/>
    <cellStyle name="Normal 88 12 2" xfId="54738" xr:uid="{00000000-0005-0000-0000-0000E0D50000}"/>
    <cellStyle name="Normal 88 13" xfId="54739" xr:uid="{00000000-0005-0000-0000-0000E1D50000}"/>
    <cellStyle name="Normal 88 13 2" xfId="54740" xr:uid="{00000000-0005-0000-0000-0000E2D50000}"/>
    <cellStyle name="Normal 88 14" xfId="54741" xr:uid="{00000000-0005-0000-0000-0000E3D50000}"/>
    <cellStyle name="Normal 88 14 2" xfId="54742" xr:uid="{00000000-0005-0000-0000-0000E4D50000}"/>
    <cellStyle name="Normal 88 15" xfId="54743" xr:uid="{00000000-0005-0000-0000-0000E5D50000}"/>
    <cellStyle name="Normal 88 15 2" xfId="54744" xr:uid="{00000000-0005-0000-0000-0000E6D50000}"/>
    <cellStyle name="Normal 88 16" xfId="54745" xr:uid="{00000000-0005-0000-0000-0000E7D50000}"/>
    <cellStyle name="Normal 88 16 2" xfId="54746" xr:uid="{00000000-0005-0000-0000-0000E8D50000}"/>
    <cellStyle name="Normal 88 17" xfId="54747" xr:uid="{00000000-0005-0000-0000-0000E9D50000}"/>
    <cellStyle name="Normal 88 17 2" xfId="54748" xr:uid="{00000000-0005-0000-0000-0000EAD50000}"/>
    <cellStyle name="Normal 88 18" xfId="54749" xr:uid="{00000000-0005-0000-0000-0000EBD50000}"/>
    <cellStyle name="Normal 88 18 2" xfId="54750" xr:uid="{00000000-0005-0000-0000-0000ECD50000}"/>
    <cellStyle name="Normal 88 19" xfId="54751" xr:uid="{00000000-0005-0000-0000-0000EDD50000}"/>
    <cellStyle name="Normal 88 19 2" xfId="54752" xr:uid="{00000000-0005-0000-0000-0000EED50000}"/>
    <cellStyle name="Normal 88 2" xfId="54753" xr:uid="{00000000-0005-0000-0000-0000EFD50000}"/>
    <cellStyle name="Normal 88 2 2" xfId="54754" xr:uid="{00000000-0005-0000-0000-0000F0D50000}"/>
    <cellStyle name="Normal 88 20" xfId="54755" xr:uid="{00000000-0005-0000-0000-0000F1D50000}"/>
    <cellStyle name="Normal 88 20 2" xfId="54756" xr:uid="{00000000-0005-0000-0000-0000F2D50000}"/>
    <cellStyle name="Normal 88 21" xfId="54757" xr:uid="{00000000-0005-0000-0000-0000F3D50000}"/>
    <cellStyle name="Normal 88 21 2" xfId="54758" xr:uid="{00000000-0005-0000-0000-0000F4D50000}"/>
    <cellStyle name="Normal 88 22" xfId="54759" xr:uid="{00000000-0005-0000-0000-0000F5D50000}"/>
    <cellStyle name="Normal 88 22 2" xfId="54760" xr:uid="{00000000-0005-0000-0000-0000F6D50000}"/>
    <cellStyle name="Normal 88 23" xfId="54761" xr:uid="{00000000-0005-0000-0000-0000F7D50000}"/>
    <cellStyle name="Normal 88 23 2" xfId="54762" xr:uid="{00000000-0005-0000-0000-0000F8D50000}"/>
    <cellStyle name="Normal 88 24" xfId="54763" xr:uid="{00000000-0005-0000-0000-0000F9D50000}"/>
    <cellStyle name="Normal 88 24 2" xfId="54764" xr:uid="{00000000-0005-0000-0000-0000FAD50000}"/>
    <cellStyle name="Normal 88 25" xfId="54765" xr:uid="{00000000-0005-0000-0000-0000FBD50000}"/>
    <cellStyle name="Normal 88 25 2" xfId="54766" xr:uid="{00000000-0005-0000-0000-0000FCD50000}"/>
    <cellStyle name="Normal 88 26" xfId="54767" xr:uid="{00000000-0005-0000-0000-0000FDD50000}"/>
    <cellStyle name="Normal 88 26 2" xfId="54768" xr:uid="{00000000-0005-0000-0000-0000FED50000}"/>
    <cellStyle name="Normal 88 27" xfId="54769" xr:uid="{00000000-0005-0000-0000-0000FFD50000}"/>
    <cellStyle name="Normal 88 27 2" xfId="54770" xr:uid="{00000000-0005-0000-0000-000000D60000}"/>
    <cellStyle name="Normal 88 28" xfId="54771" xr:uid="{00000000-0005-0000-0000-000001D60000}"/>
    <cellStyle name="Normal 88 28 2" xfId="54772" xr:uid="{00000000-0005-0000-0000-000002D60000}"/>
    <cellStyle name="Normal 88 29" xfId="54773" xr:uid="{00000000-0005-0000-0000-000003D60000}"/>
    <cellStyle name="Normal 88 29 2" xfId="54774" xr:uid="{00000000-0005-0000-0000-000004D60000}"/>
    <cellStyle name="Normal 88 3" xfId="54775" xr:uid="{00000000-0005-0000-0000-000005D60000}"/>
    <cellStyle name="Normal 88 3 2" xfId="54776" xr:uid="{00000000-0005-0000-0000-000006D60000}"/>
    <cellStyle name="Normal 88 30" xfId="54777" xr:uid="{00000000-0005-0000-0000-000007D60000}"/>
    <cellStyle name="Normal 88 30 2" xfId="54778" xr:uid="{00000000-0005-0000-0000-000008D60000}"/>
    <cellStyle name="Normal 88 31" xfId="54779" xr:uid="{00000000-0005-0000-0000-000009D60000}"/>
    <cellStyle name="Normal 88 31 2" xfId="54780" xr:uid="{00000000-0005-0000-0000-00000AD60000}"/>
    <cellStyle name="Normal 88 32" xfId="54781" xr:uid="{00000000-0005-0000-0000-00000BD60000}"/>
    <cellStyle name="Normal 88 32 2" xfId="54782" xr:uid="{00000000-0005-0000-0000-00000CD60000}"/>
    <cellStyle name="Normal 88 33" xfId="54783" xr:uid="{00000000-0005-0000-0000-00000DD60000}"/>
    <cellStyle name="Normal 88 33 2" xfId="54784" xr:uid="{00000000-0005-0000-0000-00000ED60000}"/>
    <cellStyle name="Normal 88 34" xfId="54785" xr:uid="{00000000-0005-0000-0000-00000FD60000}"/>
    <cellStyle name="Normal 88 34 2" xfId="54786" xr:uid="{00000000-0005-0000-0000-000010D60000}"/>
    <cellStyle name="Normal 88 35" xfId="54787" xr:uid="{00000000-0005-0000-0000-000011D60000}"/>
    <cellStyle name="Normal 88 35 2" xfId="54788" xr:uid="{00000000-0005-0000-0000-000012D60000}"/>
    <cellStyle name="Normal 88 36" xfId="54789" xr:uid="{00000000-0005-0000-0000-000013D60000}"/>
    <cellStyle name="Normal 88 36 2" xfId="54790" xr:uid="{00000000-0005-0000-0000-000014D60000}"/>
    <cellStyle name="Normal 88 37" xfId="54791" xr:uid="{00000000-0005-0000-0000-000015D60000}"/>
    <cellStyle name="Normal 88 37 2" xfId="54792" xr:uid="{00000000-0005-0000-0000-000016D60000}"/>
    <cellStyle name="Normal 88 38" xfId="54793" xr:uid="{00000000-0005-0000-0000-000017D60000}"/>
    <cellStyle name="Normal 88 38 2" xfId="54794" xr:uid="{00000000-0005-0000-0000-000018D60000}"/>
    <cellStyle name="Normal 88 39" xfId="54795" xr:uid="{00000000-0005-0000-0000-000019D60000}"/>
    <cellStyle name="Normal 88 39 2" xfId="54796" xr:uid="{00000000-0005-0000-0000-00001AD60000}"/>
    <cellStyle name="Normal 88 4" xfId="54797" xr:uid="{00000000-0005-0000-0000-00001BD60000}"/>
    <cellStyle name="Normal 88 4 2" xfId="54798" xr:uid="{00000000-0005-0000-0000-00001CD60000}"/>
    <cellStyle name="Normal 88 40" xfId="54799" xr:uid="{00000000-0005-0000-0000-00001DD60000}"/>
    <cellStyle name="Normal 88 40 2" xfId="54800" xr:uid="{00000000-0005-0000-0000-00001ED60000}"/>
    <cellStyle name="Normal 88 41" xfId="54801" xr:uid="{00000000-0005-0000-0000-00001FD60000}"/>
    <cellStyle name="Normal 88 41 2" xfId="54802" xr:uid="{00000000-0005-0000-0000-000020D60000}"/>
    <cellStyle name="Normal 88 42" xfId="54803" xr:uid="{00000000-0005-0000-0000-000021D60000}"/>
    <cellStyle name="Normal 88 42 2" xfId="54804" xr:uid="{00000000-0005-0000-0000-000022D60000}"/>
    <cellStyle name="Normal 88 43" xfId="54805" xr:uid="{00000000-0005-0000-0000-000023D60000}"/>
    <cellStyle name="Normal 88 43 2" xfId="54806" xr:uid="{00000000-0005-0000-0000-000024D60000}"/>
    <cellStyle name="Normal 88 44" xfId="54807" xr:uid="{00000000-0005-0000-0000-000025D60000}"/>
    <cellStyle name="Normal 88 44 2" xfId="54808" xr:uid="{00000000-0005-0000-0000-000026D60000}"/>
    <cellStyle name="Normal 88 45" xfId="54809" xr:uid="{00000000-0005-0000-0000-000027D60000}"/>
    <cellStyle name="Normal 88 45 2" xfId="54810" xr:uid="{00000000-0005-0000-0000-000028D60000}"/>
    <cellStyle name="Normal 88 46" xfId="54811" xr:uid="{00000000-0005-0000-0000-000029D60000}"/>
    <cellStyle name="Normal 88 46 2" xfId="54812" xr:uid="{00000000-0005-0000-0000-00002AD60000}"/>
    <cellStyle name="Normal 88 47" xfId="54813" xr:uid="{00000000-0005-0000-0000-00002BD60000}"/>
    <cellStyle name="Normal 88 47 2" xfId="54814" xr:uid="{00000000-0005-0000-0000-00002CD60000}"/>
    <cellStyle name="Normal 88 48" xfId="54815" xr:uid="{00000000-0005-0000-0000-00002DD60000}"/>
    <cellStyle name="Normal 88 48 2" xfId="54816" xr:uid="{00000000-0005-0000-0000-00002ED60000}"/>
    <cellStyle name="Normal 88 49" xfId="54817" xr:uid="{00000000-0005-0000-0000-00002FD60000}"/>
    <cellStyle name="Normal 88 49 2" xfId="54818" xr:uid="{00000000-0005-0000-0000-000030D60000}"/>
    <cellStyle name="Normal 88 5" xfId="54819" xr:uid="{00000000-0005-0000-0000-000031D60000}"/>
    <cellStyle name="Normal 88 5 2" xfId="54820" xr:uid="{00000000-0005-0000-0000-000032D60000}"/>
    <cellStyle name="Normal 88 50" xfId="54821" xr:uid="{00000000-0005-0000-0000-000033D60000}"/>
    <cellStyle name="Normal 88 50 2" xfId="54822" xr:uid="{00000000-0005-0000-0000-000034D60000}"/>
    <cellStyle name="Normal 88 51" xfId="54823" xr:uid="{00000000-0005-0000-0000-000035D60000}"/>
    <cellStyle name="Normal 88 51 2" xfId="54824" xr:uid="{00000000-0005-0000-0000-000036D60000}"/>
    <cellStyle name="Normal 88 52" xfId="54825" xr:uid="{00000000-0005-0000-0000-000037D60000}"/>
    <cellStyle name="Normal 88 52 2" xfId="54826" xr:uid="{00000000-0005-0000-0000-000038D60000}"/>
    <cellStyle name="Normal 88 53" xfId="54827" xr:uid="{00000000-0005-0000-0000-000039D60000}"/>
    <cellStyle name="Normal 88 53 2" xfId="54828" xr:uid="{00000000-0005-0000-0000-00003AD60000}"/>
    <cellStyle name="Normal 88 54" xfId="54829" xr:uid="{00000000-0005-0000-0000-00003BD60000}"/>
    <cellStyle name="Normal 88 54 2" xfId="54830" xr:uid="{00000000-0005-0000-0000-00003CD60000}"/>
    <cellStyle name="Normal 88 55" xfId="54831" xr:uid="{00000000-0005-0000-0000-00003DD60000}"/>
    <cellStyle name="Normal 88 55 2" xfId="54832" xr:uid="{00000000-0005-0000-0000-00003ED60000}"/>
    <cellStyle name="Normal 88 56" xfId="54833" xr:uid="{00000000-0005-0000-0000-00003FD60000}"/>
    <cellStyle name="Normal 88 56 2" xfId="54834" xr:uid="{00000000-0005-0000-0000-000040D60000}"/>
    <cellStyle name="Normal 88 57" xfId="54835" xr:uid="{00000000-0005-0000-0000-000041D60000}"/>
    <cellStyle name="Normal 88 57 2" xfId="54836" xr:uid="{00000000-0005-0000-0000-000042D60000}"/>
    <cellStyle name="Normal 88 58" xfId="54837" xr:uid="{00000000-0005-0000-0000-000043D60000}"/>
    <cellStyle name="Normal 88 58 2" xfId="54838" xr:uid="{00000000-0005-0000-0000-000044D60000}"/>
    <cellStyle name="Normal 88 59" xfId="54839" xr:uid="{00000000-0005-0000-0000-000045D60000}"/>
    <cellStyle name="Normal 88 59 2" xfId="54840" xr:uid="{00000000-0005-0000-0000-000046D60000}"/>
    <cellStyle name="Normal 88 6" xfId="54841" xr:uid="{00000000-0005-0000-0000-000047D60000}"/>
    <cellStyle name="Normal 88 6 2" xfId="54842" xr:uid="{00000000-0005-0000-0000-000048D60000}"/>
    <cellStyle name="Normal 88 60" xfId="54843" xr:uid="{00000000-0005-0000-0000-000049D60000}"/>
    <cellStyle name="Normal 88 60 2" xfId="54844" xr:uid="{00000000-0005-0000-0000-00004AD60000}"/>
    <cellStyle name="Normal 88 61" xfId="54845" xr:uid="{00000000-0005-0000-0000-00004BD60000}"/>
    <cellStyle name="Normal 88 61 2" xfId="54846" xr:uid="{00000000-0005-0000-0000-00004CD60000}"/>
    <cellStyle name="Normal 88 62" xfId="54847" xr:uid="{00000000-0005-0000-0000-00004DD60000}"/>
    <cellStyle name="Normal 88 62 2" xfId="54848" xr:uid="{00000000-0005-0000-0000-00004ED60000}"/>
    <cellStyle name="Normal 88 62 3" xfId="54849" xr:uid="{00000000-0005-0000-0000-00004FD60000}"/>
    <cellStyle name="Normal 88 63" xfId="54850" xr:uid="{00000000-0005-0000-0000-000050D60000}"/>
    <cellStyle name="Normal 88 7" xfId="54851" xr:uid="{00000000-0005-0000-0000-000051D60000}"/>
    <cellStyle name="Normal 88 7 2" xfId="54852" xr:uid="{00000000-0005-0000-0000-000052D60000}"/>
    <cellStyle name="Normal 88 8" xfId="54853" xr:uid="{00000000-0005-0000-0000-000053D60000}"/>
    <cellStyle name="Normal 88 8 2" xfId="54854" xr:uid="{00000000-0005-0000-0000-000054D60000}"/>
    <cellStyle name="Normal 88 9" xfId="54855" xr:uid="{00000000-0005-0000-0000-000055D60000}"/>
    <cellStyle name="Normal 88 9 2" xfId="54856" xr:uid="{00000000-0005-0000-0000-000056D60000}"/>
    <cellStyle name="Normal 89" xfId="54857" xr:uid="{00000000-0005-0000-0000-000057D60000}"/>
    <cellStyle name="Normal 89 2" xfId="54858" xr:uid="{00000000-0005-0000-0000-000058D60000}"/>
    <cellStyle name="Normal 9" xfId="54859" xr:uid="{00000000-0005-0000-0000-000059D60000}"/>
    <cellStyle name="Normal 9 10" xfId="54860" xr:uid="{00000000-0005-0000-0000-00005AD60000}"/>
    <cellStyle name="Normal 9 10 2" xfId="54861" xr:uid="{00000000-0005-0000-0000-00005BD60000}"/>
    <cellStyle name="Normal 9 11" xfId="54862" xr:uid="{00000000-0005-0000-0000-00005CD60000}"/>
    <cellStyle name="Normal 9 11 2" xfId="54863" xr:uid="{00000000-0005-0000-0000-00005DD60000}"/>
    <cellStyle name="Normal 9 12" xfId="54864" xr:uid="{00000000-0005-0000-0000-00005ED60000}"/>
    <cellStyle name="Normal 9 12 2" xfId="54865" xr:uid="{00000000-0005-0000-0000-00005FD60000}"/>
    <cellStyle name="Normal 9 13" xfId="54866" xr:uid="{00000000-0005-0000-0000-000060D60000}"/>
    <cellStyle name="Normal 9 13 2" xfId="54867" xr:uid="{00000000-0005-0000-0000-000061D60000}"/>
    <cellStyle name="Normal 9 14" xfId="54868" xr:uid="{00000000-0005-0000-0000-000062D60000}"/>
    <cellStyle name="Normal 9 14 2" xfId="54869" xr:uid="{00000000-0005-0000-0000-000063D60000}"/>
    <cellStyle name="Normal 9 15" xfId="54870" xr:uid="{00000000-0005-0000-0000-000064D60000}"/>
    <cellStyle name="Normal 9 15 2" xfId="54871" xr:uid="{00000000-0005-0000-0000-000065D60000}"/>
    <cellStyle name="Normal 9 16" xfId="54872" xr:uid="{00000000-0005-0000-0000-000066D60000}"/>
    <cellStyle name="Normal 9 16 2" xfId="54873" xr:uid="{00000000-0005-0000-0000-000067D60000}"/>
    <cellStyle name="Normal 9 17" xfId="54874" xr:uid="{00000000-0005-0000-0000-000068D60000}"/>
    <cellStyle name="Normal 9 17 2" xfId="54875" xr:uid="{00000000-0005-0000-0000-000069D60000}"/>
    <cellStyle name="Normal 9 18" xfId="54876" xr:uid="{00000000-0005-0000-0000-00006AD60000}"/>
    <cellStyle name="Normal 9 18 2" xfId="54877" xr:uid="{00000000-0005-0000-0000-00006BD60000}"/>
    <cellStyle name="Normal 9 19" xfId="54878" xr:uid="{00000000-0005-0000-0000-00006CD60000}"/>
    <cellStyle name="Normal 9 19 2" xfId="54879" xr:uid="{00000000-0005-0000-0000-00006DD60000}"/>
    <cellStyle name="Normal 9 2" xfId="54880" xr:uid="{00000000-0005-0000-0000-00006ED60000}"/>
    <cellStyle name="Normal 9 2 2" xfId="54881" xr:uid="{00000000-0005-0000-0000-00006FD60000}"/>
    <cellStyle name="Normal 9 2 2 2" xfId="54882" xr:uid="{00000000-0005-0000-0000-000070D60000}"/>
    <cellStyle name="Normal 9 2 2 2 2" xfId="54883" xr:uid="{00000000-0005-0000-0000-000071D60000}"/>
    <cellStyle name="Normal 9 2 2 2 2 2" xfId="54884" xr:uid="{00000000-0005-0000-0000-000072D60000}"/>
    <cellStyle name="Normal 9 2 2 2 3" xfId="54885" xr:uid="{00000000-0005-0000-0000-000073D60000}"/>
    <cellStyle name="Normal 9 2 2 3" xfId="54886" xr:uid="{00000000-0005-0000-0000-000074D60000}"/>
    <cellStyle name="Normal 9 2 2 3 2" xfId="54887" xr:uid="{00000000-0005-0000-0000-000075D60000}"/>
    <cellStyle name="Normal 9 2 2 4" xfId="54888" xr:uid="{00000000-0005-0000-0000-000076D60000}"/>
    <cellStyle name="Normal 9 2 3" xfId="54889" xr:uid="{00000000-0005-0000-0000-000077D60000}"/>
    <cellStyle name="Normal 9 2 3 2" xfId="54890" xr:uid="{00000000-0005-0000-0000-000078D60000}"/>
    <cellStyle name="Normal 9 2 3 2 2" xfId="54891" xr:uid="{00000000-0005-0000-0000-000079D60000}"/>
    <cellStyle name="Normal 9 2 3 3" xfId="54892" xr:uid="{00000000-0005-0000-0000-00007AD60000}"/>
    <cellStyle name="Normal 9 2 4" xfId="54893" xr:uid="{00000000-0005-0000-0000-00007BD60000}"/>
    <cellStyle name="Normal 9 2 4 2" xfId="54894" xr:uid="{00000000-0005-0000-0000-00007CD60000}"/>
    <cellStyle name="Normal 9 2 5" xfId="54895" xr:uid="{00000000-0005-0000-0000-00007DD60000}"/>
    <cellStyle name="Normal 9 20" xfId="54896" xr:uid="{00000000-0005-0000-0000-00007ED60000}"/>
    <cellStyle name="Normal 9 20 2" xfId="54897" xr:uid="{00000000-0005-0000-0000-00007FD60000}"/>
    <cellStyle name="Normal 9 21" xfId="54898" xr:uid="{00000000-0005-0000-0000-000080D60000}"/>
    <cellStyle name="Normal 9 21 2" xfId="54899" xr:uid="{00000000-0005-0000-0000-000081D60000}"/>
    <cellStyle name="Normal 9 22" xfId="54900" xr:uid="{00000000-0005-0000-0000-000082D60000}"/>
    <cellStyle name="Normal 9 22 2" xfId="54901" xr:uid="{00000000-0005-0000-0000-000083D60000}"/>
    <cellStyle name="Normal 9 23" xfId="54902" xr:uid="{00000000-0005-0000-0000-000084D60000}"/>
    <cellStyle name="Normal 9 23 2" xfId="54903" xr:uid="{00000000-0005-0000-0000-000085D60000}"/>
    <cellStyle name="Normal 9 24" xfId="54904" xr:uid="{00000000-0005-0000-0000-000086D60000}"/>
    <cellStyle name="Normal 9 24 2" xfId="54905" xr:uid="{00000000-0005-0000-0000-000087D60000}"/>
    <cellStyle name="Normal 9 25" xfId="54906" xr:uid="{00000000-0005-0000-0000-000088D60000}"/>
    <cellStyle name="Normal 9 25 2" xfId="54907" xr:uid="{00000000-0005-0000-0000-000089D60000}"/>
    <cellStyle name="Normal 9 26" xfId="54908" xr:uid="{00000000-0005-0000-0000-00008AD60000}"/>
    <cellStyle name="Normal 9 26 2" xfId="54909" xr:uid="{00000000-0005-0000-0000-00008BD60000}"/>
    <cellStyle name="Normal 9 27" xfId="54910" xr:uid="{00000000-0005-0000-0000-00008CD60000}"/>
    <cellStyle name="Normal 9 27 2" xfId="54911" xr:uid="{00000000-0005-0000-0000-00008DD60000}"/>
    <cellStyle name="Normal 9 28" xfId="54912" xr:uid="{00000000-0005-0000-0000-00008ED60000}"/>
    <cellStyle name="Normal 9 28 2" xfId="54913" xr:uid="{00000000-0005-0000-0000-00008FD60000}"/>
    <cellStyle name="Normal 9 29" xfId="54914" xr:uid="{00000000-0005-0000-0000-000090D60000}"/>
    <cellStyle name="Normal 9 29 2" xfId="54915" xr:uid="{00000000-0005-0000-0000-000091D60000}"/>
    <cellStyle name="Normal 9 3" xfId="54916" xr:uid="{00000000-0005-0000-0000-000092D60000}"/>
    <cellStyle name="Normal 9 3 2" xfId="54917" xr:uid="{00000000-0005-0000-0000-000093D60000}"/>
    <cellStyle name="Normal 9 3 2 2" xfId="54918" xr:uid="{00000000-0005-0000-0000-000094D60000}"/>
    <cellStyle name="Normal 9 3 3" xfId="54919" xr:uid="{00000000-0005-0000-0000-000095D60000}"/>
    <cellStyle name="Normal 9 30" xfId="54920" xr:uid="{00000000-0005-0000-0000-000096D60000}"/>
    <cellStyle name="Normal 9 30 2" xfId="54921" xr:uid="{00000000-0005-0000-0000-000097D60000}"/>
    <cellStyle name="Normal 9 31" xfId="54922" xr:uid="{00000000-0005-0000-0000-000098D60000}"/>
    <cellStyle name="Normal 9 31 2" xfId="54923" xr:uid="{00000000-0005-0000-0000-000099D60000}"/>
    <cellStyle name="Normal 9 32" xfId="54924" xr:uid="{00000000-0005-0000-0000-00009AD60000}"/>
    <cellStyle name="Normal 9 32 2" xfId="54925" xr:uid="{00000000-0005-0000-0000-00009BD60000}"/>
    <cellStyle name="Normal 9 33" xfId="54926" xr:uid="{00000000-0005-0000-0000-00009CD60000}"/>
    <cellStyle name="Normal 9 33 2" xfId="54927" xr:uid="{00000000-0005-0000-0000-00009DD60000}"/>
    <cellStyle name="Normal 9 34" xfId="54928" xr:uid="{00000000-0005-0000-0000-00009ED60000}"/>
    <cellStyle name="Normal 9 34 2" xfId="54929" xr:uid="{00000000-0005-0000-0000-00009FD60000}"/>
    <cellStyle name="Normal 9 35" xfId="54930" xr:uid="{00000000-0005-0000-0000-0000A0D60000}"/>
    <cellStyle name="Normal 9 35 2" xfId="54931" xr:uid="{00000000-0005-0000-0000-0000A1D60000}"/>
    <cellStyle name="Normal 9 36" xfId="54932" xr:uid="{00000000-0005-0000-0000-0000A2D60000}"/>
    <cellStyle name="Normal 9 36 2" xfId="54933" xr:uid="{00000000-0005-0000-0000-0000A3D60000}"/>
    <cellStyle name="Normal 9 37" xfId="54934" xr:uid="{00000000-0005-0000-0000-0000A4D60000}"/>
    <cellStyle name="Normal 9 37 2" xfId="54935" xr:uid="{00000000-0005-0000-0000-0000A5D60000}"/>
    <cellStyle name="Normal 9 38" xfId="54936" xr:uid="{00000000-0005-0000-0000-0000A6D60000}"/>
    <cellStyle name="Normal 9 38 2" xfId="54937" xr:uid="{00000000-0005-0000-0000-0000A7D60000}"/>
    <cellStyle name="Normal 9 39" xfId="54938" xr:uid="{00000000-0005-0000-0000-0000A8D60000}"/>
    <cellStyle name="Normal 9 39 2" xfId="54939" xr:uid="{00000000-0005-0000-0000-0000A9D60000}"/>
    <cellStyle name="Normal 9 4" xfId="54940" xr:uid="{00000000-0005-0000-0000-0000AAD60000}"/>
    <cellStyle name="Normal 9 4 2" xfId="54941" xr:uid="{00000000-0005-0000-0000-0000ABD60000}"/>
    <cellStyle name="Normal 9 4 2 2" xfId="54942" xr:uid="{00000000-0005-0000-0000-0000ACD60000}"/>
    <cellStyle name="Normal 9 4 3" xfId="54943" xr:uid="{00000000-0005-0000-0000-0000ADD60000}"/>
    <cellStyle name="Normal 9 40" xfId="54944" xr:uid="{00000000-0005-0000-0000-0000AED60000}"/>
    <cellStyle name="Normal 9 40 2" xfId="54945" xr:uid="{00000000-0005-0000-0000-0000AFD60000}"/>
    <cellStyle name="Normal 9 41" xfId="54946" xr:uid="{00000000-0005-0000-0000-0000B0D60000}"/>
    <cellStyle name="Normal 9 41 2" xfId="54947" xr:uid="{00000000-0005-0000-0000-0000B1D60000}"/>
    <cellStyle name="Normal 9 42" xfId="54948" xr:uid="{00000000-0005-0000-0000-0000B2D60000}"/>
    <cellStyle name="Normal 9 42 2" xfId="54949" xr:uid="{00000000-0005-0000-0000-0000B3D60000}"/>
    <cellStyle name="Normal 9 43" xfId="54950" xr:uid="{00000000-0005-0000-0000-0000B4D60000}"/>
    <cellStyle name="Normal 9 43 2" xfId="54951" xr:uid="{00000000-0005-0000-0000-0000B5D60000}"/>
    <cellStyle name="Normal 9 44" xfId="54952" xr:uid="{00000000-0005-0000-0000-0000B6D60000}"/>
    <cellStyle name="Normal 9 44 2" xfId="54953" xr:uid="{00000000-0005-0000-0000-0000B7D60000}"/>
    <cellStyle name="Normal 9 45" xfId="54954" xr:uid="{00000000-0005-0000-0000-0000B8D60000}"/>
    <cellStyle name="Normal 9 45 2" xfId="54955" xr:uid="{00000000-0005-0000-0000-0000B9D60000}"/>
    <cellStyle name="Normal 9 46" xfId="54956" xr:uid="{00000000-0005-0000-0000-0000BAD60000}"/>
    <cellStyle name="Normal 9 46 2" xfId="54957" xr:uid="{00000000-0005-0000-0000-0000BBD60000}"/>
    <cellStyle name="Normal 9 47" xfId="54958" xr:uid="{00000000-0005-0000-0000-0000BCD60000}"/>
    <cellStyle name="Normal 9 47 2" xfId="54959" xr:uid="{00000000-0005-0000-0000-0000BDD60000}"/>
    <cellStyle name="Normal 9 48" xfId="54960" xr:uid="{00000000-0005-0000-0000-0000BED60000}"/>
    <cellStyle name="Normal 9 48 2" xfId="54961" xr:uid="{00000000-0005-0000-0000-0000BFD60000}"/>
    <cellStyle name="Normal 9 49" xfId="54962" xr:uid="{00000000-0005-0000-0000-0000C0D60000}"/>
    <cellStyle name="Normal 9 49 2" xfId="54963" xr:uid="{00000000-0005-0000-0000-0000C1D60000}"/>
    <cellStyle name="Normal 9 5" xfId="54964" xr:uid="{00000000-0005-0000-0000-0000C2D60000}"/>
    <cellStyle name="Normal 9 5 2" xfId="54965" xr:uid="{00000000-0005-0000-0000-0000C3D60000}"/>
    <cellStyle name="Normal 9 5 2 2" xfId="54966" xr:uid="{00000000-0005-0000-0000-0000C4D60000}"/>
    <cellStyle name="Normal 9 5 2 2 2" xfId="54967" xr:uid="{00000000-0005-0000-0000-0000C5D60000}"/>
    <cellStyle name="Normal 9 5 2 3" xfId="54968" xr:uid="{00000000-0005-0000-0000-0000C6D60000}"/>
    <cellStyle name="Normal 9 5 3" xfId="54969" xr:uid="{00000000-0005-0000-0000-0000C7D60000}"/>
    <cellStyle name="Normal 9 5 3 2" xfId="54970" xr:uid="{00000000-0005-0000-0000-0000C8D60000}"/>
    <cellStyle name="Normal 9 5 4" xfId="54971" xr:uid="{00000000-0005-0000-0000-0000C9D60000}"/>
    <cellStyle name="Normal 9 50" xfId="54972" xr:uid="{00000000-0005-0000-0000-0000CAD60000}"/>
    <cellStyle name="Normal 9 50 2" xfId="54973" xr:uid="{00000000-0005-0000-0000-0000CBD60000}"/>
    <cellStyle name="Normal 9 51" xfId="54974" xr:uid="{00000000-0005-0000-0000-0000CCD60000}"/>
    <cellStyle name="Normal 9 51 2" xfId="54975" xr:uid="{00000000-0005-0000-0000-0000CDD60000}"/>
    <cellStyle name="Normal 9 52" xfId="54976" xr:uid="{00000000-0005-0000-0000-0000CED60000}"/>
    <cellStyle name="Normal 9 52 2" xfId="54977" xr:uid="{00000000-0005-0000-0000-0000CFD60000}"/>
    <cellStyle name="Normal 9 53" xfId="54978" xr:uid="{00000000-0005-0000-0000-0000D0D60000}"/>
    <cellStyle name="Normal 9 53 2" xfId="54979" xr:uid="{00000000-0005-0000-0000-0000D1D60000}"/>
    <cellStyle name="Normal 9 54" xfId="54980" xr:uid="{00000000-0005-0000-0000-0000D2D60000}"/>
    <cellStyle name="Normal 9 54 2" xfId="54981" xr:uid="{00000000-0005-0000-0000-0000D3D60000}"/>
    <cellStyle name="Normal 9 55" xfId="54982" xr:uid="{00000000-0005-0000-0000-0000D4D60000}"/>
    <cellStyle name="Normal 9 55 2" xfId="54983" xr:uid="{00000000-0005-0000-0000-0000D5D60000}"/>
    <cellStyle name="Normal 9 56" xfId="54984" xr:uid="{00000000-0005-0000-0000-0000D6D60000}"/>
    <cellStyle name="Normal 9 56 2" xfId="54985" xr:uid="{00000000-0005-0000-0000-0000D7D60000}"/>
    <cellStyle name="Normal 9 57" xfId="54986" xr:uid="{00000000-0005-0000-0000-0000D8D60000}"/>
    <cellStyle name="Normal 9 57 2" xfId="54987" xr:uid="{00000000-0005-0000-0000-0000D9D60000}"/>
    <cellStyle name="Normal 9 58" xfId="54988" xr:uid="{00000000-0005-0000-0000-0000DAD60000}"/>
    <cellStyle name="Normal 9 58 2" xfId="54989" xr:uid="{00000000-0005-0000-0000-0000DBD60000}"/>
    <cellStyle name="Normal 9 59" xfId="54990" xr:uid="{00000000-0005-0000-0000-0000DCD60000}"/>
    <cellStyle name="Normal 9 59 2" xfId="54991" xr:uid="{00000000-0005-0000-0000-0000DDD60000}"/>
    <cellStyle name="Normal 9 6" xfId="54992" xr:uid="{00000000-0005-0000-0000-0000DED60000}"/>
    <cellStyle name="Normal 9 6 2" xfId="54993" xr:uid="{00000000-0005-0000-0000-0000DFD60000}"/>
    <cellStyle name="Normal 9 60" xfId="54994" xr:uid="{00000000-0005-0000-0000-0000E0D60000}"/>
    <cellStyle name="Normal 9 7" xfId="54995" xr:uid="{00000000-0005-0000-0000-0000E1D60000}"/>
    <cellStyle name="Normal 9 7 2" xfId="54996" xr:uid="{00000000-0005-0000-0000-0000E2D60000}"/>
    <cellStyle name="Normal 9 8" xfId="54997" xr:uid="{00000000-0005-0000-0000-0000E3D60000}"/>
    <cellStyle name="Normal 9 8 2" xfId="54998" xr:uid="{00000000-0005-0000-0000-0000E4D60000}"/>
    <cellStyle name="Normal 9 9" xfId="54999" xr:uid="{00000000-0005-0000-0000-0000E5D60000}"/>
    <cellStyle name="Normal 9 9 2" xfId="55000" xr:uid="{00000000-0005-0000-0000-0000E6D60000}"/>
    <cellStyle name="Normal 90" xfId="55001" xr:uid="{00000000-0005-0000-0000-0000E7D60000}"/>
    <cellStyle name="Normal 90 2" xfId="55002" xr:uid="{00000000-0005-0000-0000-0000E8D60000}"/>
    <cellStyle name="Normal 91" xfId="55003" xr:uid="{00000000-0005-0000-0000-0000E9D60000}"/>
    <cellStyle name="Normal 91 10" xfId="55004" xr:uid="{00000000-0005-0000-0000-0000EAD60000}"/>
    <cellStyle name="Normal 91 10 2" xfId="55005" xr:uid="{00000000-0005-0000-0000-0000EBD60000}"/>
    <cellStyle name="Normal 91 11" xfId="55006" xr:uid="{00000000-0005-0000-0000-0000ECD60000}"/>
    <cellStyle name="Normal 91 11 2" xfId="55007" xr:uid="{00000000-0005-0000-0000-0000EDD60000}"/>
    <cellStyle name="Normal 91 12" xfId="55008" xr:uid="{00000000-0005-0000-0000-0000EED60000}"/>
    <cellStyle name="Normal 91 12 2" xfId="55009" xr:uid="{00000000-0005-0000-0000-0000EFD60000}"/>
    <cellStyle name="Normal 91 13" xfId="55010" xr:uid="{00000000-0005-0000-0000-0000F0D60000}"/>
    <cellStyle name="Normal 91 13 2" xfId="55011" xr:uid="{00000000-0005-0000-0000-0000F1D60000}"/>
    <cellStyle name="Normal 91 14" xfId="55012" xr:uid="{00000000-0005-0000-0000-0000F2D60000}"/>
    <cellStyle name="Normal 91 14 2" xfId="55013" xr:uid="{00000000-0005-0000-0000-0000F3D60000}"/>
    <cellStyle name="Normal 91 15" xfId="55014" xr:uid="{00000000-0005-0000-0000-0000F4D60000}"/>
    <cellStyle name="Normal 91 15 2" xfId="55015" xr:uid="{00000000-0005-0000-0000-0000F5D60000}"/>
    <cellStyle name="Normal 91 16" xfId="55016" xr:uid="{00000000-0005-0000-0000-0000F6D60000}"/>
    <cellStyle name="Normal 91 16 2" xfId="55017" xr:uid="{00000000-0005-0000-0000-0000F7D60000}"/>
    <cellStyle name="Normal 91 17" xfId="55018" xr:uid="{00000000-0005-0000-0000-0000F8D60000}"/>
    <cellStyle name="Normal 91 17 2" xfId="55019" xr:uid="{00000000-0005-0000-0000-0000F9D60000}"/>
    <cellStyle name="Normal 91 18" xfId="55020" xr:uid="{00000000-0005-0000-0000-0000FAD60000}"/>
    <cellStyle name="Normal 91 18 2" xfId="55021" xr:uid="{00000000-0005-0000-0000-0000FBD60000}"/>
    <cellStyle name="Normal 91 19" xfId="55022" xr:uid="{00000000-0005-0000-0000-0000FCD60000}"/>
    <cellStyle name="Normal 91 19 2" xfId="55023" xr:uid="{00000000-0005-0000-0000-0000FDD60000}"/>
    <cellStyle name="Normal 91 2" xfId="55024" xr:uid="{00000000-0005-0000-0000-0000FED60000}"/>
    <cellStyle name="Normal 91 2 2" xfId="55025" xr:uid="{00000000-0005-0000-0000-0000FFD60000}"/>
    <cellStyle name="Normal 91 20" xfId="55026" xr:uid="{00000000-0005-0000-0000-000000D70000}"/>
    <cellStyle name="Normal 91 20 2" xfId="55027" xr:uid="{00000000-0005-0000-0000-000001D70000}"/>
    <cellStyle name="Normal 91 21" xfId="55028" xr:uid="{00000000-0005-0000-0000-000002D70000}"/>
    <cellStyle name="Normal 91 21 2" xfId="55029" xr:uid="{00000000-0005-0000-0000-000003D70000}"/>
    <cellStyle name="Normal 91 22" xfId="55030" xr:uid="{00000000-0005-0000-0000-000004D70000}"/>
    <cellStyle name="Normal 91 22 2" xfId="55031" xr:uid="{00000000-0005-0000-0000-000005D70000}"/>
    <cellStyle name="Normal 91 23" xfId="55032" xr:uid="{00000000-0005-0000-0000-000006D70000}"/>
    <cellStyle name="Normal 91 23 2" xfId="55033" xr:uid="{00000000-0005-0000-0000-000007D70000}"/>
    <cellStyle name="Normal 91 24" xfId="55034" xr:uid="{00000000-0005-0000-0000-000008D70000}"/>
    <cellStyle name="Normal 91 24 2" xfId="55035" xr:uid="{00000000-0005-0000-0000-000009D70000}"/>
    <cellStyle name="Normal 91 25" xfId="55036" xr:uid="{00000000-0005-0000-0000-00000AD70000}"/>
    <cellStyle name="Normal 91 25 2" xfId="55037" xr:uid="{00000000-0005-0000-0000-00000BD70000}"/>
    <cellStyle name="Normal 91 26" xfId="55038" xr:uid="{00000000-0005-0000-0000-00000CD70000}"/>
    <cellStyle name="Normal 91 26 2" xfId="55039" xr:uid="{00000000-0005-0000-0000-00000DD70000}"/>
    <cellStyle name="Normal 91 27" xfId="55040" xr:uid="{00000000-0005-0000-0000-00000ED70000}"/>
    <cellStyle name="Normal 91 27 2" xfId="55041" xr:uid="{00000000-0005-0000-0000-00000FD70000}"/>
    <cellStyle name="Normal 91 28" xfId="55042" xr:uid="{00000000-0005-0000-0000-000010D70000}"/>
    <cellStyle name="Normal 91 28 2" xfId="55043" xr:uid="{00000000-0005-0000-0000-000011D70000}"/>
    <cellStyle name="Normal 91 29" xfId="55044" xr:uid="{00000000-0005-0000-0000-000012D70000}"/>
    <cellStyle name="Normal 91 29 2" xfId="55045" xr:uid="{00000000-0005-0000-0000-000013D70000}"/>
    <cellStyle name="Normal 91 3" xfId="55046" xr:uid="{00000000-0005-0000-0000-000014D70000}"/>
    <cellStyle name="Normal 91 3 2" xfId="55047" xr:uid="{00000000-0005-0000-0000-000015D70000}"/>
    <cellStyle name="Normal 91 30" xfId="55048" xr:uid="{00000000-0005-0000-0000-000016D70000}"/>
    <cellStyle name="Normal 91 30 2" xfId="55049" xr:uid="{00000000-0005-0000-0000-000017D70000}"/>
    <cellStyle name="Normal 91 31" xfId="55050" xr:uid="{00000000-0005-0000-0000-000018D70000}"/>
    <cellStyle name="Normal 91 31 2" xfId="55051" xr:uid="{00000000-0005-0000-0000-000019D70000}"/>
    <cellStyle name="Normal 91 32" xfId="55052" xr:uid="{00000000-0005-0000-0000-00001AD70000}"/>
    <cellStyle name="Normal 91 32 2" xfId="55053" xr:uid="{00000000-0005-0000-0000-00001BD70000}"/>
    <cellStyle name="Normal 91 33" xfId="55054" xr:uid="{00000000-0005-0000-0000-00001CD70000}"/>
    <cellStyle name="Normal 91 33 2" xfId="55055" xr:uid="{00000000-0005-0000-0000-00001DD70000}"/>
    <cellStyle name="Normal 91 34" xfId="55056" xr:uid="{00000000-0005-0000-0000-00001ED70000}"/>
    <cellStyle name="Normal 91 34 2" xfId="55057" xr:uid="{00000000-0005-0000-0000-00001FD70000}"/>
    <cellStyle name="Normal 91 35" xfId="55058" xr:uid="{00000000-0005-0000-0000-000020D70000}"/>
    <cellStyle name="Normal 91 35 2" xfId="55059" xr:uid="{00000000-0005-0000-0000-000021D70000}"/>
    <cellStyle name="Normal 91 36" xfId="55060" xr:uid="{00000000-0005-0000-0000-000022D70000}"/>
    <cellStyle name="Normal 91 36 2" xfId="55061" xr:uid="{00000000-0005-0000-0000-000023D70000}"/>
    <cellStyle name="Normal 91 37" xfId="55062" xr:uid="{00000000-0005-0000-0000-000024D70000}"/>
    <cellStyle name="Normal 91 37 2" xfId="55063" xr:uid="{00000000-0005-0000-0000-000025D70000}"/>
    <cellStyle name="Normal 91 38" xfId="55064" xr:uid="{00000000-0005-0000-0000-000026D70000}"/>
    <cellStyle name="Normal 91 38 2" xfId="55065" xr:uid="{00000000-0005-0000-0000-000027D70000}"/>
    <cellStyle name="Normal 91 39" xfId="55066" xr:uid="{00000000-0005-0000-0000-000028D70000}"/>
    <cellStyle name="Normal 91 39 2" xfId="55067" xr:uid="{00000000-0005-0000-0000-000029D70000}"/>
    <cellStyle name="Normal 91 4" xfId="55068" xr:uid="{00000000-0005-0000-0000-00002AD70000}"/>
    <cellStyle name="Normal 91 4 2" xfId="55069" xr:uid="{00000000-0005-0000-0000-00002BD70000}"/>
    <cellStyle name="Normal 91 40" xfId="55070" xr:uid="{00000000-0005-0000-0000-00002CD70000}"/>
    <cellStyle name="Normal 91 40 2" xfId="55071" xr:uid="{00000000-0005-0000-0000-00002DD70000}"/>
    <cellStyle name="Normal 91 41" xfId="55072" xr:uid="{00000000-0005-0000-0000-00002ED70000}"/>
    <cellStyle name="Normal 91 41 2" xfId="55073" xr:uid="{00000000-0005-0000-0000-00002FD70000}"/>
    <cellStyle name="Normal 91 42" xfId="55074" xr:uid="{00000000-0005-0000-0000-000030D70000}"/>
    <cellStyle name="Normal 91 42 2" xfId="55075" xr:uid="{00000000-0005-0000-0000-000031D70000}"/>
    <cellStyle name="Normal 91 43" xfId="55076" xr:uid="{00000000-0005-0000-0000-000032D70000}"/>
    <cellStyle name="Normal 91 43 2" xfId="55077" xr:uid="{00000000-0005-0000-0000-000033D70000}"/>
    <cellStyle name="Normal 91 44" xfId="55078" xr:uid="{00000000-0005-0000-0000-000034D70000}"/>
    <cellStyle name="Normal 91 44 2" xfId="55079" xr:uid="{00000000-0005-0000-0000-000035D70000}"/>
    <cellStyle name="Normal 91 45" xfId="55080" xr:uid="{00000000-0005-0000-0000-000036D70000}"/>
    <cellStyle name="Normal 91 45 2" xfId="55081" xr:uid="{00000000-0005-0000-0000-000037D70000}"/>
    <cellStyle name="Normal 91 46" xfId="55082" xr:uid="{00000000-0005-0000-0000-000038D70000}"/>
    <cellStyle name="Normal 91 46 2" xfId="55083" xr:uid="{00000000-0005-0000-0000-000039D70000}"/>
    <cellStyle name="Normal 91 47" xfId="55084" xr:uid="{00000000-0005-0000-0000-00003AD70000}"/>
    <cellStyle name="Normal 91 47 2" xfId="55085" xr:uid="{00000000-0005-0000-0000-00003BD70000}"/>
    <cellStyle name="Normal 91 48" xfId="55086" xr:uid="{00000000-0005-0000-0000-00003CD70000}"/>
    <cellStyle name="Normal 91 48 2" xfId="55087" xr:uid="{00000000-0005-0000-0000-00003DD70000}"/>
    <cellStyle name="Normal 91 49" xfId="55088" xr:uid="{00000000-0005-0000-0000-00003ED70000}"/>
    <cellStyle name="Normal 91 49 2" xfId="55089" xr:uid="{00000000-0005-0000-0000-00003FD70000}"/>
    <cellStyle name="Normal 91 5" xfId="55090" xr:uid="{00000000-0005-0000-0000-000040D70000}"/>
    <cellStyle name="Normal 91 5 2" xfId="55091" xr:uid="{00000000-0005-0000-0000-000041D70000}"/>
    <cellStyle name="Normal 91 50" xfId="55092" xr:uid="{00000000-0005-0000-0000-000042D70000}"/>
    <cellStyle name="Normal 91 50 2" xfId="55093" xr:uid="{00000000-0005-0000-0000-000043D70000}"/>
    <cellStyle name="Normal 91 51" xfId="55094" xr:uid="{00000000-0005-0000-0000-000044D70000}"/>
    <cellStyle name="Normal 91 51 2" xfId="55095" xr:uid="{00000000-0005-0000-0000-000045D70000}"/>
    <cellStyle name="Normal 91 52" xfId="55096" xr:uid="{00000000-0005-0000-0000-000046D70000}"/>
    <cellStyle name="Normal 91 52 2" xfId="55097" xr:uid="{00000000-0005-0000-0000-000047D70000}"/>
    <cellStyle name="Normal 91 53" xfId="55098" xr:uid="{00000000-0005-0000-0000-000048D70000}"/>
    <cellStyle name="Normal 91 53 2" xfId="55099" xr:uid="{00000000-0005-0000-0000-000049D70000}"/>
    <cellStyle name="Normal 91 54" xfId="55100" xr:uid="{00000000-0005-0000-0000-00004AD70000}"/>
    <cellStyle name="Normal 91 54 2" xfId="55101" xr:uid="{00000000-0005-0000-0000-00004BD70000}"/>
    <cellStyle name="Normal 91 55" xfId="55102" xr:uid="{00000000-0005-0000-0000-00004CD70000}"/>
    <cellStyle name="Normal 91 55 2" xfId="55103" xr:uid="{00000000-0005-0000-0000-00004DD70000}"/>
    <cellStyle name="Normal 91 56" xfId="55104" xr:uid="{00000000-0005-0000-0000-00004ED70000}"/>
    <cellStyle name="Normal 91 56 2" xfId="55105" xr:uid="{00000000-0005-0000-0000-00004FD70000}"/>
    <cellStyle name="Normal 91 57" xfId="55106" xr:uid="{00000000-0005-0000-0000-000050D70000}"/>
    <cellStyle name="Normal 91 57 2" xfId="55107" xr:uid="{00000000-0005-0000-0000-000051D70000}"/>
    <cellStyle name="Normal 91 58" xfId="55108" xr:uid="{00000000-0005-0000-0000-000052D70000}"/>
    <cellStyle name="Normal 91 58 2" xfId="55109" xr:uid="{00000000-0005-0000-0000-000053D70000}"/>
    <cellStyle name="Normal 91 59" xfId="55110" xr:uid="{00000000-0005-0000-0000-000054D70000}"/>
    <cellStyle name="Normal 91 59 2" xfId="55111" xr:uid="{00000000-0005-0000-0000-000055D70000}"/>
    <cellStyle name="Normal 91 6" xfId="55112" xr:uid="{00000000-0005-0000-0000-000056D70000}"/>
    <cellStyle name="Normal 91 6 2" xfId="55113" xr:uid="{00000000-0005-0000-0000-000057D70000}"/>
    <cellStyle name="Normal 91 60" xfId="55114" xr:uid="{00000000-0005-0000-0000-000058D70000}"/>
    <cellStyle name="Normal 91 60 2" xfId="55115" xr:uid="{00000000-0005-0000-0000-000059D70000}"/>
    <cellStyle name="Normal 91 61" xfId="55116" xr:uid="{00000000-0005-0000-0000-00005AD70000}"/>
    <cellStyle name="Normal 91 61 2" xfId="55117" xr:uid="{00000000-0005-0000-0000-00005BD70000}"/>
    <cellStyle name="Normal 91 62" xfId="55118" xr:uid="{00000000-0005-0000-0000-00005CD70000}"/>
    <cellStyle name="Normal 91 62 2" xfId="55119" xr:uid="{00000000-0005-0000-0000-00005DD70000}"/>
    <cellStyle name="Normal 91 62 3" xfId="55120" xr:uid="{00000000-0005-0000-0000-00005ED70000}"/>
    <cellStyle name="Normal 91 63" xfId="55121" xr:uid="{00000000-0005-0000-0000-00005FD70000}"/>
    <cellStyle name="Normal 91 7" xfId="55122" xr:uid="{00000000-0005-0000-0000-000060D70000}"/>
    <cellStyle name="Normal 91 7 2" xfId="55123" xr:uid="{00000000-0005-0000-0000-000061D70000}"/>
    <cellStyle name="Normal 91 8" xfId="55124" xr:uid="{00000000-0005-0000-0000-000062D70000}"/>
    <cellStyle name="Normal 91 8 2" xfId="55125" xr:uid="{00000000-0005-0000-0000-000063D70000}"/>
    <cellStyle name="Normal 91 9" xfId="55126" xr:uid="{00000000-0005-0000-0000-000064D70000}"/>
    <cellStyle name="Normal 91 9 2" xfId="55127" xr:uid="{00000000-0005-0000-0000-000065D70000}"/>
    <cellStyle name="Normal 92" xfId="55128" xr:uid="{00000000-0005-0000-0000-000066D70000}"/>
    <cellStyle name="Normal 92 10" xfId="55129" xr:uid="{00000000-0005-0000-0000-000067D70000}"/>
    <cellStyle name="Normal 92 10 2" xfId="55130" xr:uid="{00000000-0005-0000-0000-000068D70000}"/>
    <cellStyle name="Normal 92 11" xfId="55131" xr:uid="{00000000-0005-0000-0000-000069D70000}"/>
    <cellStyle name="Normal 92 11 2" xfId="55132" xr:uid="{00000000-0005-0000-0000-00006AD70000}"/>
    <cellStyle name="Normal 92 12" xfId="55133" xr:uid="{00000000-0005-0000-0000-00006BD70000}"/>
    <cellStyle name="Normal 92 12 2" xfId="55134" xr:uid="{00000000-0005-0000-0000-00006CD70000}"/>
    <cellStyle name="Normal 92 13" xfId="55135" xr:uid="{00000000-0005-0000-0000-00006DD70000}"/>
    <cellStyle name="Normal 92 13 2" xfId="55136" xr:uid="{00000000-0005-0000-0000-00006ED70000}"/>
    <cellStyle name="Normal 92 14" xfId="55137" xr:uid="{00000000-0005-0000-0000-00006FD70000}"/>
    <cellStyle name="Normal 92 14 2" xfId="55138" xr:uid="{00000000-0005-0000-0000-000070D70000}"/>
    <cellStyle name="Normal 92 15" xfId="55139" xr:uid="{00000000-0005-0000-0000-000071D70000}"/>
    <cellStyle name="Normal 92 15 2" xfId="55140" xr:uid="{00000000-0005-0000-0000-000072D70000}"/>
    <cellStyle name="Normal 92 16" xfId="55141" xr:uid="{00000000-0005-0000-0000-000073D70000}"/>
    <cellStyle name="Normal 92 16 2" xfId="55142" xr:uid="{00000000-0005-0000-0000-000074D70000}"/>
    <cellStyle name="Normal 92 17" xfId="55143" xr:uid="{00000000-0005-0000-0000-000075D70000}"/>
    <cellStyle name="Normal 92 17 2" xfId="55144" xr:uid="{00000000-0005-0000-0000-000076D70000}"/>
    <cellStyle name="Normal 92 18" xfId="55145" xr:uid="{00000000-0005-0000-0000-000077D70000}"/>
    <cellStyle name="Normal 92 18 2" xfId="55146" xr:uid="{00000000-0005-0000-0000-000078D70000}"/>
    <cellStyle name="Normal 92 19" xfId="55147" xr:uid="{00000000-0005-0000-0000-000079D70000}"/>
    <cellStyle name="Normal 92 19 2" xfId="55148" xr:uid="{00000000-0005-0000-0000-00007AD70000}"/>
    <cellStyle name="Normal 92 2" xfId="55149" xr:uid="{00000000-0005-0000-0000-00007BD70000}"/>
    <cellStyle name="Normal 92 2 2" xfId="55150" xr:uid="{00000000-0005-0000-0000-00007CD70000}"/>
    <cellStyle name="Normal 92 20" xfId="55151" xr:uid="{00000000-0005-0000-0000-00007DD70000}"/>
    <cellStyle name="Normal 92 20 2" xfId="55152" xr:uid="{00000000-0005-0000-0000-00007ED70000}"/>
    <cellStyle name="Normal 92 21" xfId="55153" xr:uid="{00000000-0005-0000-0000-00007FD70000}"/>
    <cellStyle name="Normal 92 21 2" xfId="55154" xr:uid="{00000000-0005-0000-0000-000080D70000}"/>
    <cellStyle name="Normal 92 22" xfId="55155" xr:uid="{00000000-0005-0000-0000-000081D70000}"/>
    <cellStyle name="Normal 92 22 2" xfId="55156" xr:uid="{00000000-0005-0000-0000-000082D70000}"/>
    <cellStyle name="Normal 92 23" xfId="55157" xr:uid="{00000000-0005-0000-0000-000083D70000}"/>
    <cellStyle name="Normal 92 23 2" xfId="55158" xr:uid="{00000000-0005-0000-0000-000084D70000}"/>
    <cellStyle name="Normal 92 24" xfId="55159" xr:uid="{00000000-0005-0000-0000-000085D70000}"/>
    <cellStyle name="Normal 92 24 2" xfId="55160" xr:uid="{00000000-0005-0000-0000-000086D70000}"/>
    <cellStyle name="Normal 92 25" xfId="55161" xr:uid="{00000000-0005-0000-0000-000087D70000}"/>
    <cellStyle name="Normal 92 25 2" xfId="55162" xr:uid="{00000000-0005-0000-0000-000088D70000}"/>
    <cellStyle name="Normal 92 26" xfId="55163" xr:uid="{00000000-0005-0000-0000-000089D70000}"/>
    <cellStyle name="Normal 92 26 2" xfId="55164" xr:uid="{00000000-0005-0000-0000-00008AD70000}"/>
    <cellStyle name="Normal 92 27" xfId="55165" xr:uid="{00000000-0005-0000-0000-00008BD70000}"/>
    <cellStyle name="Normal 92 27 2" xfId="55166" xr:uid="{00000000-0005-0000-0000-00008CD70000}"/>
    <cellStyle name="Normal 92 28" xfId="55167" xr:uid="{00000000-0005-0000-0000-00008DD70000}"/>
    <cellStyle name="Normal 92 28 2" xfId="55168" xr:uid="{00000000-0005-0000-0000-00008ED70000}"/>
    <cellStyle name="Normal 92 29" xfId="55169" xr:uid="{00000000-0005-0000-0000-00008FD70000}"/>
    <cellStyle name="Normal 92 29 2" xfId="55170" xr:uid="{00000000-0005-0000-0000-000090D70000}"/>
    <cellStyle name="Normal 92 3" xfId="55171" xr:uid="{00000000-0005-0000-0000-000091D70000}"/>
    <cellStyle name="Normal 92 3 2" xfId="55172" xr:uid="{00000000-0005-0000-0000-000092D70000}"/>
    <cellStyle name="Normal 92 30" xfId="55173" xr:uid="{00000000-0005-0000-0000-000093D70000}"/>
    <cellStyle name="Normal 92 30 2" xfId="55174" xr:uid="{00000000-0005-0000-0000-000094D70000}"/>
    <cellStyle name="Normal 92 31" xfId="55175" xr:uid="{00000000-0005-0000-0000-000095D70000}"/>
    <cellStyle name="Normal 92 31 2" xfId="55176" xr:uid="{00000000-0005-0000-0000-000096D70000}"/>
    <cellStyle name="Normal 92 32" xfId="55177" xr:uid="{00000000-0005-0000-0000-000097D70000}"/>
    <cellStyle name="Normal 92 32 2" xfId="55178" xr:uid="{00000000-0005-0000-0000-000098D70000}"/>
    <cellStyle name="Normal 92 33" xfId="55179" xr:uid="{00000000-0005-0000-0000-000099D70000}"/>
    <cellStyle name="Normal 92 33 2" xfId="55180" xr:uid="{00000000-0005-0000-0000-00009AD70000}"/>
    <cellStyle name="Normal 92 34" xfId="55181" xr:uid="{00000000-0005-0000-0000-00009BD70000}"/>
    <cellStyle name="Normal 92 34 2" xfId="55182" xr:uid="{00000000-0005-0000-0000-00009CD70000}"/>
    <cellStyle name="Normal 92 35" xfId="55183" xr:uid="{00000000-0005-0000-0000-00009DD70000}"/>
    <cellStyle name="Normal 92 35 2" xfId="55184" xr:uid="{00000000-0005-0000-0000-00009ED70000}"/>
    <cellStyle name="Normal 92 36" xfId="55185" xr:uid="{00000000-0005-0000-0000-00009FD70000}"/>
    <cellStyle name="Normal 92 36 2" xfId="55186" xr:uid="{00000000-0005-0000-0000-0000A0D70000}"/>
    <cellStyle name="Normal 92 37" xfId="55187" xr:uid="{00000000-0005-0000-0000-0000A1D70000}"/>
    <cellStyle name="Normal 92 37 2" xfId="55188" xr:uid="{00000000-0005-0000-0000-0000A2D70000}"/>
    <cellStyle name="Normal 92 38" xfId="55189" xr:uid="{00000000-0005-0000-0000-0000A3D70000}"/>
    <cellStyle name="Normal 92 38 2" xfId="55190" xr:uid="{00000000-0005-0000-0000-0000A4D70000}"/>
    <cellStyle name="Normal 92 39" xfId="55191" xr:uid="{00000000-0005-0000-0000-0000A5D70000}"/>
    <cellStyle name="Normal 92 39 2" xfId="55192" xr:uid="{00000000-0005-0000-0000-0000A6D70000}"/>
    <cellStyle name="Normal 92 4" xfId="55193" xr:uid="{00000000-0005-0000-0000-0000A7D70000}"/>
    <cellStyle name="Normal 92 4 2" xfId="55194" xr:uid="{00000000-0005-0000-0000-0000A8D70000}"/>
    <cellStyle name="Normal 92 40" xfId="55195" xr:uid="{00000000-0005-0000-0000-0000A9D70000}"/>
    <cellStyle name="Normal 92 40 2" xfId="55196" xr:uid="{00000000-0005-0000-0000-0000AAD70000}"/>
    <cellStyle name="Normal 92 41" xfId="55197" xr:uid="{00000000-0005-0000-0000-0000ABD70000}"/>
    <cellStyle name="Normal 92 41 2" xfId="55198" xr:uid="{00000000-0005-0000-0000-0000ACD70000}"/>
    <cellStyle name="Normal 92 42" xfId="55199" xr:uid="{00000000-0005-0000-0000-0000ADD70000}"/>
    <cellStyle name="Normal 92 42 2" xfId="55200" xr:uid="{00000000-0005-0000-0000-0000AED70000}"/>
    <cellStyle name="Normal 92 43" xfId="55201" xr:uid="{00000000-0005-0000-0000-0000AFD70000}"/>
    <cellStyle name="Normal 92 43 2" xfId="55202" xr:uid="{00000000-0005-0000-0000-0000B0D70000}"/>
    <cellStyle name="Normal 92 44" xfId="55203" xr:uid="{00000000-0005-0000-0000-0000B1D70000}"/>
    <cellStyle name="Normal 92 44 2" xfId="55204" xr:uid="{00000000-0005-0000-0000-0000B2D70000}"/>
    <cellStyle name="Normal 92 45" xfId="55205" xr:uid="{00000000-0005-0000-0000-0000B3D70000}"/>
    <cellStyle name="Normal 92 45 2" xfId="55206" xr:uid="{00000000-0005-0000-0000-0000B4D70000}"/>
    <cellStyle name="Normal 92 46" xfId="55207" xr:uid="{00000000-0005-0000-0000-0000B5D70000}"/>
    <cellStyle name="Normal 92 46 2" xfId="55208" xr:uid="{00000000-0005-0000-0000-0000B6D70000}"/>
    <cellStyle name="Normal 92 47" xfId="55209" xr:uid="{00000000-0005-0000-0000-0000B7D70000}"/>
    <cellStyle name="Normal 92 47 2" xfId="55210" xr:uid="{00000000-0005-0000-0000-0000B8D70000}"/>
    <cellStyle name="Normal 92 48" xfId="55211" xr:uid="{00000000-0005-0000-0000-0000B9D70000}"/>
    <cellStyle name="Normal 92 48 2" xfId="55212" xr:uid="{00000000-0005-0000-0000-0000BAD70000}"/>
    <cellStyle name="Normal 92 49" xfId="55213" xr:uid="{00000000-0005-0000-0000-0000BBD70000}"/>
    <cellStyle name="Normal 92 49 2" xfId="55214" xr:uid="{00000000-0005-0000-0000-0000BCD70000}"/>
    <cellStyle name="Normal 92 5" xfId="55215" xr:uid="{00000000-0005-0000-0000-0000BDD70000}"/>
    <cellStyle name="Normal 92 5 2" xfId="55216" xr:uid="{00000000-0005-0000-0000-0000BED70000}"/>
    <cellStyle name="Normal 92 50" xfId="55217" xr:uid="{00000000-0005-0000-0000-0000BFD70000}"/>
    <cellStyle name="Normal 92 50 2" xfId="55218" xr:uid="{00000000-0005-0000-0000-0000C0D70000}"/>
    <cellStyle name="Normal 92 51" xfId="55219" xr:uid="{00000000-0005-0000-0000-0000C1D70000}"/>
    <cellStyle name="Normal 92 51 2" xfId="55220" xr:uid="{00000000-0005-0000-0000-0000C2D70000}"/>
    <cellStyle name="Normal 92 52" xfId="55221" xr:uid="{00000000-0005-0000-0000-0000C3D70000}"/>
    <cellStyle name="Normal 92 52 2" xfId="55222" xr:uid="{00000000-0005-0000-0000-0000C4D70000}"/>
    <cellStyle name="Normal 92 53" xfId="55223" xr:uid="{00000000-0005-0000-0000-0000C5D70000}"/>
    <cellStyle name="Normal 92 53 2" xfId="55224" xr:uid="{00000000-0005-0000-0000-0000C6D70000}"/>
    <cellStyle name="Normal 92 54" xfId="55225" xr:uid="{00000000-0005-0000-0000-0000C7D70000}"/>
    <cellStyle name="Normal 92 54 2" xfId="55226" xr:uid="{00000000-0005-0000-0000-0000C8D70000}"/>
    <cellStyle name="Normal 92 55" xfId="55227" xr:uid="{00000000-0005-0000-0000-0000C9D70000}"/>
    <cellStyle name="Normal 92 55 2" xfId="55228" xr:uid="{00000000-0005-0000-0000-0000CAD70000}"/>
    <cellStyle name="Normal 92 56" xfId="55229" xr:uid="{00000000-0005-0000-0000-0000CBD70000}"/>
    <cellStyle name="Normal 92 56 2" xfId="55230" xr:uid="{00000000-0005-0000-0000-0000CCD70000}"/>
    <cellStyle name="Normal 92 57" xfId="55231" xr:uid="{00000000-0005-0000-0000-0000CDD70000}"/>
    <cellStyle name="Normal 92 57 2" xfId="55232" xr:uid="{00000000-0005-0000-0000-0000CED70000}"/>
    <cellStyle name="Normal 92 58" xfId="55233" xr:uid="{00000000-0005-0000-0000-0000CFD70000}"/>
    <cellStyle name="Normal 92 58 2" xfId="55234" xr:uid="{00000000-0005-0000-0000-0000D0D70000}"/>
    <cellStyle name="Normal 92 59" xfId="55235" xr:uid="{00000000-0005-0000-0000-0000D1D70000}"/>
    <cellStyle name="Normal 92 6" xfId="55236" xr:uid="{00000000-0005-0000-0000-0000D2D70000}"/>
    <cellStyle name="Normal 92 6 2" xfId="55237" xr:uid="{00000000-0005-0000-0000-0000D3D70000}"/>
    <cellStyle name="Normal 92 7" xfId="55238" xr:uid="{00000000-0005-0000-0000-0000D4D70000}"/>
    <cellStyle name="Normal 92 7 2" xfId="55239" xr:uid="{00000000-0005-0000-0000-0000D5D70000}"/>
    <cellStyle name="Normal 92 8" xfId="55240" xr:uid="{00000000-0005-0000-0000-0000D6D70000}"/>
    <cellStyle name="Normal 92 8 2" xfId="55241" xr:uid="{00000000-0005-0000-0000-0000D7D70000}"/>
    <cellStyle name="Normal 92 9" xfId="55242" xr:uid="{00000000-0005-0000-0000-0000D8D70000}"/>
    <cellStyle name="Normal 92 9 2" xfId="55243" xr:uid="{00000000-0005-0000-0000-0000D9D70000}"/>
    <cellStyle name="Normal 93" xfId="55244" xr:uid="{00000000-0005-0000-0000-0000DAD70000}"/>
    <cellStyle name="Normal 93 2" xfId="55245" xr:uid="{00000000-0005-0000-0000-0000DBD70000}"/>
    <cellStyle name="Normal 93 2 2" xfId="55246" xr:uid="{00000000-0005-0000-0000-0000DCD70000}"/>
    <cellStyle name="Normal 93 3" xfId="55247" xr:uid="{00000000-0005-0000-0000-0000DDD70000}"/>
    <cellStyle name="Normal 94" xfId="55248" xr:uid="{00000000-0005-0000-0000-0000DED70000}"/>
    <cellStyle name="Normal 94 10" xfId="55249" xr:uid="{00000000-0005-0000-0000-0000DFD70000}"/>
    <cellStyle name="Normal 94 10 2" xfId="55250" xr:uid="{00000000-0005-0000-0000-0000E0D70000}"/>
    <cellStyle name="Normal 94 11" xfId="55251" xr:uid="{00000000-0005-0000-0000-0000E1D70000}"/>
    <cellStyle name="Normal 94 11 2" xfId="55252" xr:uid="{00000000-0005-0000-0000-0000E2D70000}"/>
    <cellStyle name="Normal 94 12" xfId="55253" xr:uid="{00000000-0005-0000-0000-0000E3D70000}"/>
    <cellStyle name="Normal 94 12 2" xfId="55254" xr:uid="{00000000-0005-0000-0000-0000E4D70000}"/>
    <cellStyle name="Normal 94 13" xfId="55255" xr:uid="{00000000-0005-0000-0000-0000E5D70000}"/>
    <cellStyle name="Normal 94 13 2" xfId="55256" xr:uid="{00000000-0005-0000-0000-0000E6D70000}"/>
    <cellStyle name="Normal 94 14" xfId="55257" xr:uid="{00000000-0005-0000-0000-0000E7D70000}"/>
    <cellStyle name="Normal 94 14 2" xfId="55258" xr:uid="{00000000-0005-0000-0000-0000E8D70000}"/>
    <cellStyle name="Normal 94 15" xfId="55259" xr:uid="{00000000-0005-0000-0000-0000E9D70000}"/>
    <cellStyle name="Normal 94 15 2" xfId="55260" xr:uid="{00000000-0005-0000-0000-0000EAD70000}"/>
    <cellStyle name="Normal 94 16" xfId="55261" xr:uid="{00000000-0005-0000-0000-0000EBD70000}"/>
    <cellStyle name="Normal 94 16 2" xfId="55262" xr:uid="{00000000-0005-0000-0000-0000ECD70000}"/>
    <cellStyle name="Normal 94 17" xfId="55263" xr:uid="{00000000-0005-0000-0000-0000EDD70000}"/>
    <cellStyle name="Normal 94 17 2" xfId="55264" xr:uid="{00000000-0005-0000-0000-0000EED70000}"/>
    <cellStyle name="Normal 94 18" xfId="55265" xr:uid="{00000000-0005-0000-0000-0000EFD70000}"/>
    <cellStyle name="Normal 94 18 2" xfId="55266" xr:uid="{00000000-0005-0000-0000-0000F0D70000}"/>
    <cellStyle name="Normal 94 19" xfId="55267" xr:uid="{00000000-0005-0000-0000-0000F1D70000}"/>
    <cellStyle name="Normal 94 19 2" xfId="55268" xr:uid="{00000000-0005-0000-0000-0000F2D70000}"/>
    <cellStyle name="Normal 94 2" xfId="55269" xr:uid="{00000000-0005-0000-0000-0000F3D70000}"/>
    <cellStyle name="Normal 94 2 2" xfId="55270" xr:uid="{00000000-0005-0000-0000-0000F4D70000}"/>
    <cellStyle name="Normal 94 20" xfId="55271" xr:uid="{00000000-0005-0000-0000-0000F5D70000}"/>
    <cellStyle name="Normal 94 20 2" xfId="55272" xr:uid="{00000000-0005-0000-0000-0000F6D70000}"/>
    <cellStyle name="Normal 94 21" xfId="55273" xr:uid="{00000000-0005-0000-0000-0000F7D70000}"/>
    <cellStyle name="Normal 94 21 2" xfId="55274" xr:uid="{00000000-0005-0000-0000-0000F8D70000}"/>
    <cellStyle name="Normal 94 22" xfId="55275" xr:uid="{00000000-0005-0000-0000-0000F9D70000}"/>
    <cellStyle name="Normal 94 22 2" xfId="55276" xr:uid="{00000000-0005-0000-0000-0000FAD70000}"/>
    <cellStyle name="Normal 94 23" xfId="55277" xr:uid="{00000000-0005-0000-0000-0000FBD70000}"/>
    <cellStyle name="Normal 94 23 2" xfId="55278" xr:uid="{00000000-0005-0000-0000-0000FCD70000}"/>
    <cellStyle name="Normal 94 24" xfId="55279" xr:uid="{00000000-0005-0000-0000-0000FDD70000}"/>
    <cellStyle name="Normal 94 24 2" xfId="55280" xr:uid="{00000000-0005-0000-0000-0000FED70000}"/>
    <cellStyle name="Normal 94 25" xfId="55281" xr:uid="{00000000-0005-0000-0000-0000FFD70000}"/>
    <cellStyle name="Normal 94 25 2" xfId="55282" xr:uid="{00000000-0005-0000-0000-000000D80000}"/>
    <cellStyle name="Normal 94 26" xfId="55283" xr:uid="{00000000-0005-0000-0000-000001D80000}"/>
    <cellStyle name="Normal 94 26 2" xfId="55284" xr:uid="{00000000-0005-0000-0000-000002D80000}"/>
    <cellStyle name="Normal 94 27" xfId="55285" xr:uid="{00000000-0005-0000-0000-000003D80000}"/>
    <cellStyle name="Normal 94 27 2" xfId="55286" xr:uid="{00000000-0005-0000-0000-000004D80000}"/>
    <cellStyle name="Normal 94 28" xfId="55287" xr:uid="{00000000-0005-0000-0000-000005D80000}"/>
    <cellStyle name="Normal 94 28 2" xfId="55288" xr:uid="{00000000-0005-0000-0000-000006D80000}"/>
    <cellStyle name="Normal 94 29" xfId="55289" xr:uid="{00000000-0005-0000-0000-000007D80000}"/>
    <cellStyle name="Normal 94 29 2" xfId="55290" xr:uid="{00000000-0005-0000-0000-000008D80000}"/>
    <cellStyle name="Normal 94 3" xfId="55291" xr:uid="{00000000-0005-0000-0000-000009D80000}"/>
    <cellStyle name="Normal 94 3 2" xfId="55292" xr:uid="{00000000-0005-0000-0000-00000AD80000}"/>
    <cellStyle name="Normal 94 30" xfId="55293" xr:uid="{00000000-0005-0000-0000-00000BD80000}"/>
    <cellStyle name="Normal 94 30 2" xfId="55294" xr:uid="{00000000-0005-0000-0000-00000CD80000}"/>
    <cellStyle name="Normal 94 31" xfId="55295" xr:uid="{00000000-0005-0000-0000-00000DD80000}"/>
    <cellStyle name="Normal 94 31 2" xfId="55296" xr:uid="{00000000-0005-0000-0000-00000ED80000}"/>
    <cellStyle name="Normal 94 32" xfId="55297" xr:uid="{00000000-0005-0000-0000-00000FD80000}"/>
    <cellStyle name="Normal 94 32 2" xfId="55298" xr:uid="{00000000-0005-0000-0000-000010D80000}"/>
    <cellStyle name="Normal 94 33" xfId="55299" xr:uid="{00000000-0005-0000-0000-000011D80000}"/>
    <cellStyle name="Normal 94 33 2" xfId="55300" xr:uid="{00000000-0005-0000-0000-000012D80000}"/>
    <cellStyle name="Normal 94 34" xfId="55301" xr:uid="{00000000-0005-0000-0000-000013D80000}"/>
    <cellStyle name="Normal 94 34 2" xfId="55302" xr:uid="{00000000-0005-0000-0000-000014D80000}"/>
    <cellStyle name="Normal 94 35" xfId="55303" xr:uid="{00000000-0005-0000-0000-000015D80000}"/>
    <cellStyle name="Normal 94 35 2" xfId="55304" xr:uid="{00000000-0005-0000-0000-000016D80000}"/>
    <cellStyle name="Normal 94 36" xfId="55305" xr:uid="{00000000-0005-0000-0000-000017D80000}"/>
    <cellStyle name="Normal 94 36 2" xfId="55306" xr:uid="{00000000-0005-0000-0000-000018D80000}"/>
    <cellStyle name="Normal 94 37" xfId="55307" xr:uid="{00000000-0005-0000-0000-000019D80000}"/>
    <cellStyle name="Normal 94 37 2" xfId="55308" xr:uid="{00000000-0005-0000-0000-00001AD80000}"/>
    <cellStyle name="Normal 94 38" xfId="55309" xr:uid="{00000000-0005-0000-0000-00001BD80000}"/>
    <cellStyle name="Normal 94 38 2" xfId="55310" xr:uid="{00000000-0005-0000-0000-00001CD80000}"/>
    <cellStyle name="Normal 94 39" xfId="55311" xr:uid="{00000000-0005-0000-0000-00001DD80000}"/>
    <cellStyle name="Normal 94 39 2" xfId="55312" xr:uid="{00000000-0005-0000-0000-00001ED80000}"/>
    <cellStyle name="Normal 94 4" xfId="55313" xr:uid="{00000000-0005-0000-0000-00001FD80000}"/>
    <cellStyle name="Normal 94 4 2" xfId="55314" xr:uid="{00000000-0005-0000-0000-000020D80000}"/>
    <cellStyle name="Normal 94 40" xfId="55315" xr:uid="{00000000-0005-0000-0000-000021D80000}"/>
    <cellStyle name="Normal 94 40 2" xfId="55316" xr:uid="{00000000-0005-0000-0000-000022D80000}"/>
    <cellStyle name="Normal 94 41" xfId="55317" xr:uid="{00000000-0005-0000-0000-000023D80000}"/>
    <cellStyle name="Normal 94 41 2" xfId="55318" xr:uid="{00000000-0005-0000-0000-000024D80000}"/>
    <cellStyle name="Normal 94 42" xfId="55319" xr:uid="{00000000-0005-0000-0000-000025D80000}"/>
    <cellStyle name="Normal 94 42 2" xfId="55320" xr:uid="{00000000-0005-0000-0000-000026D80000}"/>
    <cellStyle name="Normal 94 43" xfId="55321" xr:uid="{00000000-0005-0000-0000-000027D80000}"/>
    <cellStyle name="Normal 94 43 2" xfId="55322" xr:uid="{00000000-0005-0000-0000-000028D80000}"/>
    <cellStyle name="Normal 94 44" xfId="55323" xr:uid="{00000000-0005-0000-0000-000029D80000}"/>
    <cellStyle name="Normal 94 44 2" xfId="55324" xr:uid="{00000000-0005-0000-0000-00002AD80000}"/>
    <cellStyle name="Normal 94 45" xfId="55325" xr:uid="{00000000-0005-0000-0000-00002BD80000}"/>
    <cellStyle name="Normal 94 45 2" xfId="55326" xr:uid="{00000000-0005-0000-0000-00002CD80000}"/>
    <cellStyle name="Normal 94 46" xfId="55327" xr:uid="{00000000-0005-0000-0000-00002DD80000}"/>
    <cellStyle name="Normal 94 46 2" xfId="55328" xr:uid="{00000000-0005-0000-0000-00002ED80000}"/>
    <cellStyle name="Normal 94 47" xfId="55329" xr:uid="{00000000-0005-0000-0000-00002FD80000}"/>
    <cellStyle name="Normal 94 47 2" xfId="55330" xr:uid="{00000000-0005-0000-0000-000030D80000}"/>
    <cellStyle name="Normal 94 48" xfId="55331" xr:uid="{00000000-0005-0000-0000-000031D80000}"/>
    <cellStyle name="Normal 94 48 2" xfId="55332" xr:uid="{00000000-0005-0000-0000-000032D80000}"/>
    <cellStyle name="Normal 94 49" xfId="55333" xr:uid="{00000000-0005-0000-0000-000033D80000}"/>
    <cellStyle name="Normal 94 49 2" xfId="55334" xr:uid="{00000000-0005-0000-0000-000034D80000}"/>
    <cellStyle name="Normal 94 5" xfId="55335" xr:uid="{00000000-0005-0000-0000-000035D80000}"/>
    <cellStyle name="Normal 94 5 2" xfId="55336" xr:uid="{00000000-0005-0000-0000-000036D80000}"/>
    <cellStyle name="Normal 94 50" xfId="55337" xr:uid="{00000000-0005-0000-0000-000037D80000}"/>
    <cellStyle name="Normal 94 50 2" xfId="55338" xr:uid="{00000000-0005-0000-0000-000038D80000}"/>
    <cellStyle name="Normal 94 51" xfId="55339" xr:uid="{00000000-0005-0000-0000-000039D80000}"/>
    <cellStyle name="Normal 94 51 2" xfId="55340" xr:uid="{00000000-0005-0000-0000-00003AD80000}"/>
    <cellStyle name="Normal 94 52" xfId="55341" xr:uid="{00000000-0005-0000-0000-00003BD80000}"/>
    <cellStyle name="Normal 94 52 2" xfId="55342" xr:uid="{00000000-0005-0000-0000-00003CD80000}"/>
    <cellStyle name="Normal 94 53" xfId="55343" xr:uid="{00000000-0005-0000-0000-00003DD80000}"/>
    <cellStyle name="Normal 94 53 2" xfId="55344" xr:uid="{00000000-0005-0000-0000-00003ED80000}"/>
    <cellStyle name="Normal 94 54" xfId="55345" xr:uid="{00000000-0005-0000-0000-00003FD80000}"/>
    <cellStyle name="Normal 94 54 2" xfId="55346" xr:uid="{00000000-0005-0000-0000-000040D80000}"/>
    <cellStyle name="Normal 94 55" xfId="55347" xr:uid="{00000000-0005-0000-0000-000041D80000}"/>
    <cellStyle name="Normal 94 55 2" xfId="55348" xr:uid="{00000000-0005-0000-0000-000042D80000}"/>
    <cellStyle name="Normal 94 56" xfId="55349" xr:uid="{00000000-0005-0000-0000-000043D80000}"/>
    <cellStyle name="Normal 94 56 2" xfId="55350" xr:uid="{00000000-0005-0000-0000-000044D80000}"/>
    <cellStyle name="Normal 94 57" xfId="55351" xr:uid="{00000000-0005-0000-0000-000045D80000}"/>
    <cellStyle name="Normal 94 57 2" xfId="55352" xr:uid="{00000000-0005-0000-0000-000046D80000}"/>
    <cellStyle name="Normal 94 58" xfId="55353" xr:uid="{00000000-0005-0000-0000-000047D80000}"/>
    <cellStyle name="Normal 94 58 2" xfId="55354" xr:uid="{00000000-0005-0000-0000-000048D80000}"/>
    <cellStyle name="Normal 94 59" xfId="55355" xr:uid="{00000000-0005-0000-0000-000049D80000}"/>
    <cellStyle name="Normal 94 59 2" xfId="55356" xr:uid="{00000000-0005-0000-0000-00004AD80000}"/>
    <cellStyle name="Normal 94 6" xfId="55357" xr:uid="{00000000-0005-0000-0000-00004BD80000}"/>
    <cellStyle name="Normal 94 6 2" xfId="55358" xr:uid="{00000000-0005-0000-0000-00004CD80000}"/>
    <cellStyle name="Normal 94 60" xfId="55359" xr:uid="{00000000-0005-0000-0000-00004DD80000}"/>
    <cellStyle name="Normal 94 60 2" xfId="55360" xr:uid="{00000000-0005-0000-0000-00004ED80000}"/>
    <cellStyle name="Normal 94 61" xfId="55361" xr:uid="{00000000-0005-0000-0000-00004FD80000}"/>
    <cellStyle name="Normal 94 61 2" xfId="55362" xr:uid="{00000000-0005-0000-0000-000050D80000}"/>
    <cellStyle name="Normal 94 62" xfId="55363" xr:uid="{00000000-0005-0000-0000-000051D80000}"/>
    <cellStyle name="Normal 94 62 2" xfId="55364" xr:uid="{00000000-0005-0000-0000-000052D80000}"/>
    <cellStyle name="Normal 94 62 3" xfId="55365" xr:uid="{00000000-0005-0000-0000-000053D80000}"/>
    <cellStyle name="Normal 94 63" xfId="55366" xr:uid="{00000000-0005-0000-0000-000054D80000}"/>
    <cellStyle name="Normal 94 7" xfId="55367" xr:uid="{00000000-0005-0000-0000-000055D80000}"/>
    <cellStyle name="Normal 94 7 2" xfId="55368" xr:uid="{00000000-0005-0000-0000-000056D80000}"/>
    <cellStyle name="Normal 94 8" xfId="55369" xr:uid="{00000000-0005-0000-0000-000057D80000}"/>
    <cellStyle name="Normal 94 8 2" xfId="55370" xr:uid="{00000000-0005-0000-0000-000058D80000}"/>
    <cellStyle name="Normal 94 9" xfId="55371" xr:uid="{00000000-0005-0000-0000-000059D80000}"/>
    <cellStyle name="Normal 94 9 2" xfId="55372" xr:uid="{00000000-0005-0000-0000-00005AD80000}"/>
    <cellStyle name="Normal 95" xfId="55373" xr:uid="{00000000-0005-0000-0000-00005BD80000}"/>
    <cellStyle name="Normal 95 10" xfId="55374" xr:uid="{00000000-0005-0000-0000-00005CD80000}"/>
    <cellStyle name="Normal 95 10 2" xfId="55375" xr:uid="{00000000-0005-0000-0000-00005DD80000}"/>
    <cellStyle name="Normal 95 11" xfId="55376" xr:uid="{00000000-0005-0000-0000-00005ED80000}"/>
    <cellStyle name="Normal 95 11 2" xfId="55377" xr:uid="{00000000-0005-0000-0000-00005FD80000}"/>
    <cellStyle name="Normal 95 12" xfId="55378" xr:uid="{00000000-0005-0000-0000-000060D80000}"/>
    <cellStyle name="Normal 95 12 2" xfId="55379" xr:uid="{00000000-0005-0000-0000-000061D80000}"/>
    <cellStyle name="Normal 95 13" xfId="55380" xr:uid="{00000000-0005-0000-0000-000062D80000}"/>
    <cellStyle name="Normal 95 13 2" xfId="55381" xr:uid="{00000000-0005-0000-0000-000063D80000}"/>
    <cellStyle name="Normal 95 14" xfId="55382" xr:uid="{00000000-0005-0000-0000-000064D80000}"/>
    <cellStyle name="Normal 95 14 2" xfId="55383" xr:uid="{00000000-0005-0000-0000-000065D80000}"/>
    <cellStyle name="Normal 95 15" xfId="55384" xr:uid="{00000000-0005-0000-0000-000066D80000}"/>
    <cellStyle name="Normal 95 15 2" xfId="55385" xr:uid="{00000000-0005-0000-0000-000067D80000}"/>
    <cellStyle name="Normal 95 16" xfId="55386" xr:uid="{00000000-0005-0000-0000-000068D80000}"/>
    <cellStyle name="Normal 95 16 2" xfId="55387" xr:uid="{00000000-0005-0000-0000-000069D80000}"/>
    <cellStyle name="Normal 95 17" xfId="55388" xr:uid="{00000000-0005-0000-0000-00006AD80000}"/>
    <cellStyle name="Normal 95 17 2" xfId="55389" xr:uid="{00000000-0005-0000-0000-00006BD80000}"/>
    <cellStyle name="Normal 95 18" xfId="55390" xr:uid="{00000000-0005-0000-0000-00006CD80000}"/>
    <cellStyle name="Normal 95 18 2" xfId="55391" xr:uid="{00000000-0005-0000-0000-00006DD80000}"/>
    <cellStyle name="Normal 95 19" xfId="55392" xr:uid="{00000000-0005-0000-0000-00006ED80000}"/>
    <cellStyle name="Normal 95 19 2" xfId="55393" xr:uid="{00000000-0005-0000-0000-00006FD80000}"/>
    <cellStyle name="Normal 95 2" xfId="55394" xr:uid="{00000000-0005-0000-0000-000070D80000}"/>
    <cellStyle name="Normal 95 2 2" xfId="55395" xr:uid="{00000000-0005-0000-0000-000071D80000}"/>
    <cellStyle name="Normal 95 20" xfId="55396" xr:uid="{00000000-0005-0000-0000-000072D80000}"/>
    <cellStyle name="Normal 95 20 2" xfId="55397" xr:uid="{00000000-0005-0000-0000-000073D80000}"/>
    <cellStyle name="Normal 95 21" xfId="55398" xr:uid="{00000000-0005-0000-0000-000074D80000}"/>
    <cellStyle name="Normal 95 21 2" xfId="55399" xr:uid="{00000000-0005-0000-0000-000075D80000}"/>
    <cellStyle name="Normal 95 22" xfId="55400" xr:uid="{00000000-0005-0000-0000-000076D80000}"/>
    <cellStyle name="Normal 95 22 2" xfId="55401" xr:uid="{00000000-0005-0000-0000-000077D80000}"/>
    <cellStyle name="Normal 95 23" xfId="55402" xr:uid="{00000000-0005-0000-0000-000078D80000}"/>
    <cellStyle name="Normal 95 23 2" xfId="55403" xr:uid="{00000000-0005-0000-0000-000079D80000}"/>
    <cellStyle name="Normal 95 24" xfId="55404" xr:uid="{00000000-0005-0000-0000-00007AD80000}"/>
    <cellStyle name="Normal 95 24 2" xfId="55405" xr:uid="{00000000-0005-0000-0000-00007BD80000}"/>
    <cellStyle name="Normal 95 25" xfId="55406" xr:uid="{00000000-0005-0000-0000-00007CD80000}"/>
    <cellStyle name="Normal 95 25 2" xfId="55407" xr:uid="{00000000-0005-0000-0000-00007DD80000}"/>
    <cellStyle name="Normal 95 26" xfId="55408" xr:uid="{00000000-0005-0000-0000-00007ED80000}"/>
    <cellStyle name="Normal 95 26 2" xfId="55409" xr:uid="{00000000-0005-0000-0000-00007FD80000}"/>
    <cellStyle name="Normal 95 27" xfId="55410" xr:uid="{00000000-0005-0000-0000-000080D80000}"/>
    <cellStyle name="Normal 95 27 2" xfId="55411" xr:uid="{00000000-0005-0000-0000-000081D80000}"/>
    <cellStyle name="Normal 95 28" xfId="55412" xr:uid="{00000000-0005-0000-0000-000082D80000}"/>
    <cellStyle name="Normal 95 28 2" xfId="55413" xr:uid="{00000000-0005-0000-0000-000083D80000}"/>
    <cellStyle name="Normal 95 29" xfId="55414" xr:uid="{00000000-0005-0000-0000-000084D80000}"/>
    <cellStyle name="Normal 95 29 2" xfId="55415" xr:uid="{00000000-0005-0000-0000-000085D80000}"/>
    <cellStyle name="Normal 95 3" xfId="55416" xr:uid="{00000000-0005-0000-0000-000086D80000}"/>
    <cellStyle name="Normal 95 3 2" xfId="55417" xr:uid="{00000000-0005-0000-0000-000087D80000}"/>
    <cellStyle name="Normal 95 30" xfId="55418" xr:uid="{00000000-0005-0000-0000-000088D80000}"/>
    <cellStyle name="Normal 95 30 2" xfId="55419" xr:uid="{00000000-0005-0000-0000-000089D80000}"/>
    <cellStyle name="Normal 95 31" xfId="55420" xr:uid="{00000000-0005-0000-0000-00008AD80000}"/>
    <cellStyle name="Normal 95 31 2" xfId="55421" xr:uid="{00000000-0005-0000-0000-00008BD80000}"/>
    <cellStyle name="Normal 95 32" xfId="55422" xr:uid="{00000000-0005-0000-0000-00008CD80000}"/>
    <cellStyle name="Normal 95 32 2" xfId="55423" xr:uid="{00000000-0005-0000-0000-00008DD80000}"/>
    <cellStyle name="Normal 95 33" xfId="55424" xr:uid="{00000000-0005-0000-0000-00008ED80000}"/>
    <cellStyle name="Normal 95 33 2" xfId="55425" xr:uid="{00000000-0005-0000-0000-00008FD80000}"/>
    <cellStyle name="Normal 95 34" xfId="55426" xr:uid="{00000000-0005-0000-0000-000090D80000}"/>
    <cellStyle name="Normal 95 34 2" xfId="55427" xr:uid="{00000000-0005-0000-0000-000091D80000}"/>
    <cellStyle name="Normal 95 35" xfId="55428" xr:uid="{00000000-0005-0000-0000-000092D80000}"/>
    <cellStyle name="Normal 95 35 2" xfId="55429" xr:uid="{00000000-0005-0000-0000-000093D80000}"/>
    <cellStyle name="Normal 95 36" xfId="55430" xr:uid="{00000000-0005-0000-0000-000094D80000}"/>
    <cellStyle name="Normal 95 36 2" xfId="55431" xr:uid="{00000000-0005-0000-0000-000095D80000}"/>
    <cellStyle name="Normal 95 37" xfId="55432" xr:uid="{00000000-0005-0000-0000-000096D80000}"/>
    <cellStyle name="Normal 95 37 2" xfId="55433" xr:uid="{00000000-0005-0000-0000-000097D80000}"/>
    <cellStyle name="Normal 95 38" xfId="55434" xr:uid="{00000000-0005-0000-0000-000098D80000}"/>
    <cellStyle name="Normal 95 38 2" xfId="55435" xr:uid="{00000000-0005-0000-0000-000099D80000}"/>
    <cellStyle name="Normal 95 39" xfId="55436" xr:uid="{00000000-0005-0000-0000-00009AD80000}"/>
    <cellStyle name="Normal 95 39 2" xfId="55437" xr:uid="{00000000-0005-0000-0000-00009BD80000}"/>
    <cellStyle name="Normal 95 4" xfId="55438" xr:uid="{00000000-0005-0000-0000-00009CD80000}"/>
    <cellStyle name="Normal 95 4 2" xfId="55439" xr:uid="{00000000-0005-0000-0000-00009DD80000}"/>
    <cellStyle name="Normal 95 40" xfId="55440" xr:uid="{00000000-0005-0000-0000-00009ED80000}"/>
    <cellStyle name="Normal 95 40 2" xfId="55441" xr:uid="{00000000-0005-0000-0000-00009FD80000}"/>
    <cellStyle name="Normal 95 41" xfId="55442" xr:uid="{00000000-0005-0000-0000-0000A0D80000}"/>
    <cellStyle name="Normal 95 41 2" xfId="55443" xr:uid="{00000000-0005-0000-0000-0000A1D80000}"/>
    <cellStyle name="Normal 95 42" xfId="55444" xr:uid="{00000000-0005-0000-0000-0000A2D80000}"/>
    <cellStyle name="Normal 95 42 2" xfId="55445" xr:uid="{00000000-0005-0000-0000-0000A3D80000}"/>
    <cellStyle name="Normal 95 43" xfId="55446" xr:uid="{00000000-0005-0000-0000-0000A4D80000}"/>
    <cellStyle name="Normal 95 43 2" xfId="55447" xr:uid="{00000000-0005-0000-0000-0000A5D80000}"/>
    <cellStyle name="Normal 95 44" xfId="55448" xr:uid="{00000000-0005-0000-0000-0000A6D80000}"/>
    <cellStyle name="Normal 95 44 2" xfId="55449" xr:uid="{00000000-0005-0000-0000-0000A7D80000}"/>
    <cellStyle name="Normal 95 45" xfId="55450" xr:uid="{00000000-0005-0000-0000-0000A8D80000}"/>
    <cellStyle name="Normal 95 45 2" xfId="55451" xr:uid="{00000000-0005-0000-0000-0000A9D80000}"/>
    <cellStyle name="Normal 95 46" xfId="55452" xr:uid="{00000000-0005-0000-0000-0000AAD80000}"/>
    <cellStyle name="Normal 95 46 2" xfId="55453" xr:uid="{00000000-0005-0000-0000-0000ABD80000}"/>
    <cellStyle name="Normal 95 47" xfId="55454" xr:uid="{00000000-0005-0000-0000-0000ACD80000}"/>
    <cellStyle name="Normal 95 47 2" xfId="55455" xr:uid="{00000000-0005-0000-0000-0000ADD80000}"/>
    <cellStyle name="Normal 95 48" xfId="55456" xr:uid="{00000000-0005-0000-0000-0000AED80000}"/>
    <cellStyle name="Normal 95 48 2" xfId="55457" xr:uid="{00000000-0005-0000-0000-0000AFD80000}"/>
    <cellStyle name="Normal 95 49" xfId="55458" xr:uid="{00000000-0005-0000-0000-0000B0D80000}"/>
    <cellStyle name="Normal 95 49 2" xfId="55459" xr:uid="{00000000-0005-0000-0000-0000B1D80000}"/>
    <cellStyle name="Normal 95 5" xfId="55460" xr:uid="{00000000-0005-0000-0000-0000B2D80000}"/>
    <cellStyle name="Normal 95 5 2" xfId="55461" xr:uid="{00000000-0005-0000-0000-0000B3D80000}"/>
    <cellStyle name="Normal 95 50" xfId="55462" xr:uid="{00000000-0005-0000-0000-0000B4D80000}"/>
    <cellStyle name="Normal 95 50 2" xfId="55463" xr:uid="{00000000-0005-0000-0000-0000B5D80000}"/>
    <cellStyle name="Normal 95 51" xfId="55464" xr:uid="{00000000-0005-0000-0000-0000B6D80000}"/>
    <cellStyle name="Normal 95 51 2" xfId="55465" xr:uid="{00000000-0005-0000-0000-0000B7D80000}"/>
    <cellStyle name="Normal 95 52" xfId="55466" xr:uid="{00000000-0005-0000-0000-0000B8D80000}"/>
    <cellStyle name="Normal 95 52 2" xfId="55467" xr:uid="{00000000-0005-0000-0000-0000B9D80000}"/>
    <cellStyle name="Normal 95 53" xfId="55468" xr:uid="{00000000-0005-0000-0000-0000BAD80000}"/>
    <cellStyle name="Normal 95 53 2" xfId="55469" xr:uid="{00000000-0005-0000-0000-0000BBD80000}"/>
    <cellStyle name="Normal 95 54" xfId="55470" xr:uid="{00000000-0005-0000-0000-0000BCD80000}"/>
    <cellStyle name="Normal 95 54 2" xfId="55471" xr:uid="{00000000-0005-0000-0000-0000BDD80000}"/>
    <cellStyle name="Normal 95 55" xfId="55472" xr:uid="{00000000-0005-0000-0000-0000BED80000}"/>
    <cellStyle name="Normal 95 55 2" xfId="55473" xr:uid="{00000000-0005-0000-0000-0000BFD80000}"/>
    <cellStyle name="Normal 95 56" xfId="55474" xr:uid="{00000000-0005-0000-0000-0000C0D80000}"/>
    <cellStyle name="Normal 95 56 2" xfId="55475" xr:uid="{00000000-0005-0000-0000-0000C1D80000}"/>
    <cellStyle name="Normal 95 57" xfId="55476" xr:uid="{00000000-0005-0000-0000-0000C2D80000}"/>
    <cellStyle name="Normal 95 57 2" xfId="55477" xr:uid="{00000000-0005-0000-0000-0000C3D80000}"/>
    <cellStyle name="Normal 95 58" xfId="55478" xr:uid="{00000000-0005-0000-0000-0000C4D80000}"/>
    <cellStyle name="Normal 95 58 2" xfId="55479" xr:uid="{00000000-0005-0000-0000-0000C5D80000}"/>
    <cellStyle name="Normal 95 59" xfId="55480" xr:uid="{00000000-0005-0000-0000-0000C6D80000}"/>
    <cellStyle name="Normal 95 59 2" xfId="55481" xr:uid="{00000000-0005-0000-0000-0000C7D80000}"/>
    <cellStyle name="Normal 95 6" xfId="55482" xr:uid="{00000000-0005-0000-0000-0000C8D80000}"/>
    <cellStyle name="Normal 95 6 2" xfId="55483" xr:uid="{00000000-0005-0000-0000-0000C9D80000}"/>
    <cellStyle name="Normal 95 60" xfId="55484" xr:uid="{00000000-0005-0000-0000-0000CAD80000}"/>
    <cellStyle name="Normal 95 60 2" xfId="55485" xr:uid="{00000000-0005-0000-0000-0000CBD80000}"/>
    <cellStyle name="Normal 95 61" xfId="55486" xr:uid="{00000000-0005-0000-0000-0000CCD80000}"/>
    <cellStyle name="Normal 95 61 2" xfId="55487" xr:uid="{00000000-0005-0000-0000-0000CDD80000}"/>
    <cellStyle name="Normal 95 62" xfId="55488" xr:uid="{00000000-0005-0000-0000-0000CED80000}"/>
    <cellStyle name="Normal 95 62 2" xfId="55489" xr:uid="{00000000-0005-0000-0000-0000CFD80000}"/>
    <cellStyle name="Normal 95 62 3" xfId="55490" xr:uid="{00000000-0005-0000-0000-0000D0D80000}"/>
    <cellStyle name="Normal 95 63" xfId="55491" xr:uid="{00000000-0005-0000-0000-0000D1D80000}"/>
    <cellStyle name="Normal 95 7" xfId="55492" xr:uid="{00000000-0005-0000-0000-0000D2D80000}"/>
    <cellStyle name="Normal 95 7 2" xfId="55493" xr:uid="{00000000-0005-0000-0000-0000D3D80000}"/>
    <cellStyle name="Normal 95 8" xfId="55494" xr:uid="{00000000-0005-0000-0000-0000D4D80000}"/>
    <cellStyle name="Normal 95 8 2" xfId="55495" xr:uid="{00000000-0005-0000-0000-0000D5D80000}"/>
    <cellStyle name="Normal 95 9" xfId="55496" xr:uid="{00000000-0005-0000-0000-0000D6D80000}"/>
    <cellStyle name="Normal 95 9 2" xfId="55497" xr:uid="{00000000-0005-0000-0000-0000D7D80000}"/>
    <cellStyle name="Normal 96" xfId="55498" xr:uid="{00000000-0005-0000-0000-0000D8D80000}"/>
    <cellStyle name="Normal 96 10" xfId="55499" xr:uid="{00000000-0005-0000-0000-0000D9D80000}"/>
    <cellStyle name="Normal 96 10 2" xfId="55500" xr:uid="{00000000-0005-0000-0000-0000DAD80000}"/>
    <cellStyle name="Normal 96 11" xfId="55501" xr:uid="{00000000-0005-0000-0000-0000DBD80000}"/>
    <cellStyle name="Normal 96 11 2" xfId="55502" xr:uid="{00000000-0005-0000-0000-0000DCD80000}"/>
    <cellStyle name="Normal 96 12" xfId="55503" xr:uid="{00000000-0005-0000-0000-0000DDD80000}"/>
    <cellStyle name="Normal 96 12 2" xfId="55504" xr:uid="{00000000-0005-0000-0000-0000DED80000}"/>
    <cellStyle name="Normal 96 13" xfId="55505" xr:uid="{00000000-0005-0000-0000-0000DFD80000}"/>
    <cellStyle name="Normal 96 13 2" xfId="55506" xr:uid="{00000000-0005-0000-0000-0000E0D80000}"/>
    <cellStyle name="Normal 96 14" xfId="55507" xr:uid="{00000000-0005-0000-0000-0000E1D80000}"/>
    <cellStyle name="Normal 96 14 2" xfId="55508" xr:uid="{00000000-0005-0000-0000-0000E2D80000}"/>
    <cellStyle name="Normal 96 15" xfId="55509" xr:uid="{00000000-0005-0000-0000-0000E3D80000}"/>
    <cellStyle name="Normal 96 15 2" xfId="55510" xr:uid="{00000000-0005-0000-0000-0000E4D80000}"/>
    <cellStyle name="Normal 96 16" xfId="55511" xr:uid="{00000000-0005-0000-0000-0000E5D80000}"/>
    <cellStyle name="Normal 96 16 2" xfId="55512" xr:uid="{00000000-0005-0000-0000-0000E6D80000}"/>
    <cellStyle name="Normal 96 17" xfId="55513" xr:uid="{00000000-0005-0000-0000-0000E7D80000}"/>
    <cellStyle name="Normal 96 17 2" xfId="55514" xr:uid="{00000000-0005-0000-0000-0000E8D80000}"/>
    <cellStyle name="Normal 96 18" xfId="55515" xr:uid="{00000000-0005-0000-0000-0000E9D80000}"/>
    <cellStyle name="Normal 96 18 2" xfId="55516" xr:uid="{00000000-0005-0000-0000-0000EAD80000}"/>
    <cellStyle name="Normal 96 19" xfId="55517" xr:uid="{00000000-0005-0000-0000-0000EBD80000}"/>
    <cellStyle name="Normal 96 19 2" xfId="55518" xr:uid="{00000000-0005-0000-0000-0000ECD80000}"/>
    <cellStyle name="Normal 96 2" xfId="55519" xr:uid="{00000000-0005-0000-0000-0000EDD80000}"/>
    <cellStyle name="Normal 96 2 2" xfId="55520" xr:uid="{00000000-0005-0000-0000-0000EED80000}"/>
    <cellStyle name="Normal 96 20" xfId="55521" xr:uid="{00000000-0005-0000-0000-0000EFD80000}"/>
    <cellStyle name="Normal 96 20 2" xfId="55522" xr:uid="{00000000-0005-0000-0000-0000F0D80000}"/>
    <cellStyle name="Normal 96 21" xfId="55523" xr:uid="{00000000-0005-0000-0000-0000F1D80000}"/>
    <cellStyle name="Normal 96 21 2" xfId="55524" xr:uid="{00000000-0005-0000-0000-0000F2D80000}"/>
    <cellStyle name="Normal 96 22" xfId="55525" xr:uid="{00000000-0005-0000-0000-0000F3D80000}"/>
    <cellStyle name="Normal 96 22 2" xfId="55526" xr:uid="{00000000-0005-0000-0000-0000F4D80000}"/>
    <cellStyle name="Normal 96 23" xfId="55527" xr:uid="{00000000-0005-0000-0000-0000F5D80000}"/>
    <cellStyle name="Normal 96 23 2" xfId="55528" xr:uid="{00000000-0005-0000-0000-0000F6D80000}"/>
    <cellStyle name="Normal 96 24" xfId="55529" xr:uid="{00000000-0005-0000-0000-0000F7D80000}"/>
    <cellStyle name="Normal 96 24 2" xfId="55530" xr:uid="{00000000-0005-0000-0000-0000F8D80000}"/>
    <cellStyle name="Normal 96 25" xfId="55531" xr:uid="{00000000-0005-0000-0000-0000F9D80000}"/>
    <cellStyle name="Normal 96 25 2" xfId="55532" xr:uid="{00000000-0005-0000-0000-0000FAD80000}"/>
    <cellStyle name="Normal 96 26" xfId="55533" xr:uid="{00000000-0005-0000-0000-0000FBD80000}"/>
    <cellStyle name="Normal 96 26 2" xfId="55534" xr:uid="{00000000-0005-0000-0000-0000FCD80000}"/>
    <cellStyle name="Normal 96 27" xfId="55535" xr:uid="{00000000-0005-0000-0000-0000FDD80000}"/>
    <cellStyle name="Normal 96 27 2" xfId="55536" xr:uid="{00000000-0005-0000-0000-0000FED80000}"/>
    <cellStyle name="Normal 96 28" xfId="55537" xr:uid="{00000000-0005-0000-0000-0000FFD80000}"/>
    <cellStyle name="Normal 96 28 2" xfId="55538" xr:uid="{00000000-0005-0000-0000-000000D90000}"/>
    <cellStyle name="Normal 96 29" xfId="55539" xr:uid="{00000000-0005-0000-0000-000001D90000}"/>
    <cellStyle name="Normal 96 29 2" xfId="55540" xr:uid="{00000000-0005-0000-0000-000002D90000}"/>
    <cellStyle name="Normal 96 3" xfId="55541" xr:uid="{00000000-0005-0000-0000-000003D90000}"/>
    <cellStyle name="Normal 96 3 2" xfId="55542" xr:uid="{00000000-0005-0000-0000-000004D90000}"/>
    <cellStyle name="Normal 96 30" xfId="55543" xr:uid="{00000000-0005-0000-0000-000005D90000}"/>
    <cellStyle name="Normal 96 30 2" xfId="55544" xr:uid="{00000000-0005-0000-0000-000006D90000}"/>
    <cellStyle name="Normal 96 31" xfId="55545" xr:uid="{00000000-0005-0000-0000-000007D90000}"/>
    <cellStyle name="Normal 96 31 2" xfId="55546" xr:uid="{00000000-0005-0000-0000-000008D90000}"/>
    <cellStyle name="Normal 96 32" xfId="55547" xr:uid="{00000000-0005-0000-0000-000009D90000}"/>
    <cellStyle name="Normal 96 32 2" xfId="55548" xr:uid="{00000000-0005-0000-0000-00000AD90000}"/>
    <cellStyle name="Normal 96 33" xfId="55549" xr:uid="{00000000-0005-0000-0000-00000BD90000}"/>
    <cellStyle name="Normal 96 33 2" xfId="55550" xr:uid="{00000000-0005-0000-0000-00000CD90000}"/>
    <cellStyle name="Normal 96 34" xfId="55551" xr:uid="{00000000-0005-0000-0000-00000DD90000}"/>
    <cellStyle name="Normal 96 34 2" xfId="55552" xr:uid="{00000000-0005-0000-0000-00000ED90000}"/>
    <cellStyle name="Normal 96 35" xfId="55553" xr:uid="{00000000-0005-0000-0000-00000FD90000}"/>
    <cellStyle name="Normal 96 35 2" xfId="55554" xr:uid="{00000000-0005-0000-0000-000010D90000}"/>
    <cellStyle name="Normal 96 36" xfId="55555" xr:uid="{00000000-0005-0000-0000-000011D90000}"/>
    <cellStyle name="Normal 96 36 2" xfId="55556" xr:uid="{00000000-0005-0000-0000-000012D90000}"/>
    <cellStyle name="Normal 96 37" xfId="55557" xr:uid="{00000000-0005-0000-0000-000013D90000}"/>
    <cellStyle name="Normal 96 37 2" xfId="55558" xr:uid="{00000000-0005-0000-0000-000014D90000}"/>
    <cellStyle name="Normal 96 38" xfId="55559" xr:uid="{00000000-0005-0000-0000-000015D90000}"/>
    <cellStyle name="Normal 96 38 2" xfId="55560" xr:uid="{00000000-0005-0000-0000-000016D90000}"/>
    <cellStyle name="Normal 96 39" xfId="55561" xr:uid="{00000000-0005-0000-0000-000017D90000}"/>
    <cellStyle name="Normal 96 39 2" xfId="55562" xr:uid="{00000000-0005-0000-0000-000018D90000}"/>
    <cellStyle name="Normal 96 4" xfId="55563" xr:uid="{00000000-0005-0000-0000-000019D90000}"/>
    <cellStyle name="Normal 96 4 2" xfId="55564" xr:uid="{00000000-0005-0000-0000-00001AD90000}"/>
    <cellStyle name="Normal 96 40" xfId="55565" xr:uid="{00000000-0005-0000-0000-00001BD90000}"/>
    <cellStyle name="Normal 96 40 2" xfId="55566" xr:uid="{00000000-0005-0000-0000-00001CD90000}"/>
    <cellStyle name="Normal 96 41" xfId="55567" xr:uid="{00000000-0005-0000-0000-00001DD90000}"/>
    <cellStyle name="Normal 96 41 2" xfId="55568" xr:uid="{00000000-0005-0000-0000-00001ED90000}"/>
    <cellStyle name="Normal 96 42" xfId="55569" xr:uid="{00000000-0005-0000-0000-00001FD90000}"/>
    <cellStyle name="Normal 96 42 2" xfId="55570" xr:uid="{00000000-0005-0000-0000-000020D90000}"/>
    <cellStyle name="Normal 96 43" xfId="55571" xr:uid="{00000000-0005-0000-0000-000021D90000}"/>
    <cellStyle name="Normal 96 43 2" xfId="55572" xr:uid="{00000000-0005-0000-0000-000022D90000}"/>
    <cellStyle name="Normal 96 44" xfId="55573" xr:uid="{00000000-0005-0000-0000-000023D90000}"/>
    <cellStyle name="Normal 96 44 2" xfId="55574" xr:uid="{00000000-0005-0000-0000-000024D90000}"/>
    <cellStyle name="Normal 96 45" xfId="55575" xr:uid="{00000000-0005-0000-0000-000025D90000}"/>
    <cellStyle name="Normal 96 45 2" xfId="55576" xr:uid="{00000000-0005-0000-0000-000026D90000}"/>
    <cellStyle name="Normal 96 46" xfId="55577" xr:uid="{00000000-0005-0000-0000-000027D90000}"/>
    <cellStyle name="Normal 96 46 2" xfId="55578" xr:uid="{00000000-0005-0000-0000-000028D90000}"/>
    <cellStyle name="Normal 96 47" xfId="55579" xr:uid="{00000000-0005-0000-0000-000029D90000}"/>
    <cellStyle name="Normal 96 47 2" xfId="55580" xr:uid="{00000000-0005-0000-0000-00002AD90000}"/>
    <cellStyle name="Normal 96 48" xfId="55581" xr:uid="{00000000-0005-0000-0000-00002BD90000}"/>
    <cellStyle name="Normal 96 48 2" xfId="55582" xr:uid="{00000000-0005-0000-0000-00002CD90000}"/>
    <cellStyle name="Normal 96 49" xfId="55583" xr:uid="{00000000-0005-0000-0000-00002DD90000}"/>
    <cellStyle name="Normal 96 49 2" xfId="55584" xr:uid="{00000000-0005-0000-0000-00002ED90000}"/>
    <cellStyle name="Normal 96 5" xfId="55585" xr:uid="{00000000-0005-0000-0000-00002FD90000}"/>
    <cellStyle name="Normal 96 5 2" xfId="55586" xr:uid="{00000000-0005-0000-0000-000030D90000}"/>
    <cellStyle name="Normal 96 50" xfId="55587" xr:uid="{00000000-0005-0000-0000-000031D90000}"/>
    <cellStyle name="Normal 96 50 2" xfId="55588" xr:uid="{00000000-0005-0000-0000-000032D90000}"/>
    <cellStyle name="Normal 96 51" xfId="55589" xr:uid="{00000000-0005-0000-0000-000033D90000}"/>
    <cellStyle name="Normal 96 51 2" xfId="55590" xr:uid="{00000000-0005-0000-0000-000034D90000}"/>
    <cellStyle name="Normal 96 52" xfId="55591" xr:uid="{00000000-0005-0000-0000-000035D90000}"/>
    <cellStyle name="Normal 96 52 2" xfId="55592" xr:uid="{00000000-0005-0000-0000-000036D90000}"/>
    <cellStyle name="Normal 96 53" xfId="55593" xr:uid="{00000000-0005-0000-0000-000037D90000}"/>
    <cellStyle name="Normal 96 53 2" xfId="55594" xr:uid="{00000000-0005-0000-0000-000038D90000}"/>
    <cellStyle name="Normal 96 54" xfId="55595" xr:uid="{00000000-0005-0000-0000-000039D90000}"/>
    <cellStyle name="Normal 96 54 2" xfId="55596" xr:uid="{00000000-0005-0000-0000-00003AD90000}"/>
    <cellStyle name="Normal 96 55" xfId="55597" xr:uid="{00000000-0005-0000-0000-00003BD90000}"/>
    <cellStyle name="Normal 96 55 2" xfId="55598" xr:uid="{00000000-0005-0000-0000-00003CD90000}"/>
    <cellStyle name="Normal 96 56" xfId="55599" xr:uid="{00000000-0005-0000-0000-00003DD90000}"/>
    <cellStyle name="Normal 96 56 2" xfId="55600" xr:uid="{00000000-0005-0000-0000-00003ED90000}"/>
    <cellStyle name="Normal 96 57" xfId="55601" xr:uid="{00000000-0005-0000-0000-00003FD90000}"/>
    <cellStyle name="Normal 96 57 2" xfId="55602" xr:uid="{00000000-0005-0000-0000-000040D90000}"/>
    <cellStyle name="Normal 96 58" xfId="55603" xr:uid="{00000000-0005-0000-0000-000041D90000}"/>
    <cellStyle name="Normal 96 58 2" xfId="55604" xr:uid="{00000000-0005-0000-0000-000042D90000}"/>
    <cellStyle name="Normal 96 59" xfId="55605" xr:uid="{00000000-0005-0000-0000-000043D90000}"/>
    <cellStyle name="Normal 96 59 2" xfId="55606" xr:uid="{00000000-0005-0000-0000-000044D90000}"/>
    <cellStyle name="Normal 96 6" xfId="55607" xr:uid="{00000000-0005-0000-0000-000045D90000}"/>
    <cellStyle name="Normal 96 6 2" xfId="55608" xr:uid="{00000000-0005-0000-0000-000046D90000}"/>
    <cellStyle name="Normal 96 60" xfId="55609" xr:uid="{00000000-0005-0000-0000-000047D90000}"/>
    <cellStyle name="Normal 96 60 2" xfId="55610" xr:uid="{00000000-0005-0000-0000-000048D90000}"/>
    <cellStyle name="Normal 96 61" xfId="55611" xr:uid="{00000000-0005-0000-0000-000049D90000}"/>
    <cellStyle name="Normal 96 61 2" xfId="55612" xr:uid="{00000000-0005-0000-0000-00004AD90000}"/>
    <cellStyle name="Normal 96 62" xfId="55613" xr:uid="{00000000-0005-0000-0000-00004BD90000}"/>
    <cellStyle name="Normal 96 62 2" xfId="55614" xr:uid="{00000000-0005-0000-0000-00004CD90000}"/>
    <cellStyle name="Normal 96 62 3" xfId="55615" xr:uid="{00000000-0005-0000-0000-00004DD90000}"/>
    <cellStyle name="Normal 96 63" xfId="55616" xr:uid="{00000000-0005-0000-0000-00004ED90000}"/>
    <cellStyle name="Normal 96 7" xfId="55617" xr:uid="{00000000-0005-0000-0000-00004FD90000}"/>
    <cellStyle name="Normal 96 7 2" xfId="55618" xr:uid="{00000000-0005-0000-0000-000050D90000}"/>
    <cellStyle name="Normal 96 8" xfId="55619" xr:uid="{00000000-0005-0000-0000-000051D90000}"/>
    <cellStyle name="Normal 96 8 2" xfId="55620" xr:uid="{00000000-0005-0000-0000-000052D90000}"/>
    <cellStyle name="Normal 96 9" xfId="55621" xr:uid="{00000000-0005-0000-0000-000053D90000}"/>
    <cellStyle name="Normal 96 9 2" xfId="55622" xr:uid="{00000000-0005-0000-0000-000054D90000}"/>
    <cellStyle name="Normal 97" xfId="55623" xr:uid="{00000000-0005-0000-0000-000055D90000}"/>
    <cellStyle name="Normal 97 10" xfId="55624" xr:uid="{00000000-0005-0000-0000-000056D90000}"/>
    <cellStyle name="Normal 97 10 2" xfId="55625" xr:uid="{00000000-0005-0000-0000-000057D90000}"/>
    <cellStyle name="Normal 97 11" xfId="55626" xr:uid="{00000000-0005-0000-0000-000058D90000}"/>
    <cellStyle name="Normal 97 11 2" xfId="55627" xr:uid="{00000000-0005-0000-0000-000059D90000}"/>
    <cellStyle name="Normal 97 12" xfId="55628" xr:uid="{00000000-0005-0000-0000-00005AD90000}"/>
    <cellStyle name="Normal 97 12 2" xfId="55629" xr:uid="{00000000-0005-0000-0000-00005BD90000}"/>
    <cellStyle name="Normal 97 13" xfId="55630" xr:uid="{00000000-0005-0000-0000-00005CD90000}"/>
    <cellStyle name="Normal 97 13 2" xfId="55631" xr:uid="{00000000-0005-0000-0000-00005DD90000}"/>
    <cellStyle name="Normal 97 14" xfId="55632" xr:uid="{00000000-0005-0000-0000-00005ED90000}"/>
    <cellStyle name="Normal 97 14 2" xfId="55633" xr:uid="{00000000-0005-0000-0000-00005FD90000}"/>
    <cellStyle name="Normal 97 15" xfId="55634" xr:uid="{00000000-0005-0000-0000-000060D90000}"/>
    <cellStyle name="Normal 97 15 2" xfId="55635" xr:uid="{00000000-0005-0000-0000-000061D90000}"/>
    <cellStyle name="Normal 97 16" xfId="55636" xr:uid="{00000000-0005-0000-0000-000062D90000}"/>
    <cellStyle name="Normal 97 16 2" xfId="55637" xr:uid="{00000000-0005-0000-0000-000063D90000}"/>
    <cellStyle name="Normal 97 17" xfId="55638" xr:uid="{00000000-0005-0000-0000-000064D90000}"/>
    <cellStyle name="Normal 97 17 2" xfId="55639" xr:uid="{00000000-0005-0000-0000-000065D90000}"/>
    <cellStyle name="Normal 97 18" xfId="55640" xr:uid="{00000000-0005-0000-0000-000066D90000}"/>
    <cellStyle name="Normal 97 18 2" xfId="55641" xr:uid="{00000000-0005-0000-0000-000067D90000}"/>
    <cellStyle name="Normal 97 19" xfId="55642" xr:uid="{00000000-0005-0000-0000-000068D90000}"/>
    <cellStyle name="Normal 97 19 2" xfId="55643" xr:uid="{00000000-0005-0000-0000-000069D90000}"/>
    <cellStyle name="Normal 97 2" xfId="55644" xr:uid="{00000000-0005-0000-0000-00006AD90000}"/>
    <cellStyle name="Normal 97 2 2" xfId="55645" xr:uid="{00000000-0005-0000-0000-00006BD90000}"/>
    <cellStyle name="Normal 97 20" xfId="55646" xr:uid="{00000000-0005-0000-0000-00006CD90000}"/>
    <cellStyle name="Normal 97 20 2" xfId="55647" xr:uid="{00000000-0005-0000-0000-00006DD90000}"/>
    <cellStyle name="Normal 97 21" xfId="55648" xr:uid="{00000000-0005-0000-0000-00006ED90000}"/>
    <cellStyle name="Normal 97 21 2" xfId="55649" xr:uid="{00000000-0005-0000-0000-00006FD90000}"/>
    <cellStyle name="Normal 97 22" xfId="55650" xr:uid="{00000000-0005-0000-0000-000070D90000}"/>
    <cellStyle name="Normal 97 22 2" xfId="55651" xr:uid="{00000000-0005-0000-0000-000071D90000}"/>
    <cellStyle name="Normal 97 23" xfId="55652" xr:uid="{00000000-0005-0000-0000-000072D90000}"/>
    <cellStyle name="Normal 97 23 2" xfId="55653" xr:uid="{00000000-0005-0000-0000-000073D90000}"/>
    <cellStyle name="Normal 97 24" xfId="55654" xr:uid="{00000000-0005-0000-0000-000074D90000}"/>
    <cellStyle name="Normal 97 24 2" xfId="55655" xr:uid="{00000000-0005-0000-0000-000075D90000}"/>
    <cellStyle name="Normal 97 25" xfId="55656" xr:uid="{00000000-0005-0000-0000-000076D90000}"/>
    <cellStyle name="Normal 97 25 2" xfId="55657" xr:uid="{00000000-0005-0000-0000-000077D90000}"/>
    <cellStyle name="Normal 97 26" xfId="55658" xr:uid="{00000000-0005-0000-0000-000078D90000}"/>
    <cellStyle name="Normal 97 26 2" xfId="55659" xr:uid="{00000000-0005-0000-0000-000079D90000}"/>
    <cellStyle name="Normal 97 27" xfId="55660" xr:uid="{00000000-0005-0000-0000-00007AD90000}"/>
    <cellStyle name="Normal 97 27 2" xfId="55661" xr:uid="{00000000-0005-0000-0000-00007BD90000}"/>
    <cellStyle name="Normal 97 28" xfId="55662" xr:uid="{00000000-0005-0000-0000-00007CD90000}"/>
    <cellStyle name="Normal 97 28 2" xfId="55663" xr:uid="{00000000-0005-0000-0000-00007DD90000}"/>
    <cellStyle name="Normal 97 29" xfId="55664" xr:uid="{00000000-0005-0000-0000-00007ED90000}"/>
    <cellStyle name="Normal 97 29 2" xfId="55665" xr:uid="{00000000-0005-0000-0000-00007FD90000}"/>
    <cellStyle name="Normal 97 3" xfId="55666" xr:uid="{00000000-0005-0000-0000-000080D90000}"/>
    <cellStyle name="Normal 97 3 2" xfId="55667" xr:uid="{00000000-0005-0000-0000-000081D90000}"/>
    <cellStyle name="Normal 97 30" xfId="55668" xr:uid="{00000000-0005-0000-0000-000082D90000}"/>
    <cellStyle name="Normal 97 30 2" xfId="55669" xr:uid="{00000000-0005-0000-0000-000083D90000}"/>
    <cellStyle name="Normal 97 31" xfId="55670" xr:uid="{00000000-0005-0000-0000-000084D90000}"/>
    <cellStyle name="Normal 97 31 2" xfId="55671" xr:uid="{00000000-0005-0000-0000-000085D90000}"/>
    <cellStyle name="Normal 97 32" xfId="55672" xr:uid="{00000000-0005-0000-0000-000086D90000}"/>
    <cellStyle name="Normal 97 32 2" xfId="55673" xr:uid="{00000000-0005-0000-0000-000087D90000}"/>
    <cellStyle name="Normal 97 33" xfId="55674" xr:uid="{00000000-0005-0000-0000-000088D90000}"/>
    <cellStyle name="Normal 97 33 2" xfId="55675" xr:uid="{00000000-0005-0000-0000-000089D90000}"/>
    <cellStyle name="Normal 97 34" xfId="55676" xr:uid="{00000000-0005-0000-0000-00008AD90000}"/>
    <cellStyle name="Normal 97 34 2" xfId="55677" xr:uid="{00000000-0005-0000-0000-00008BD90000}"/>
    <cellStyle name="Normal 97 35" xfId="55678" xr:uid="{00000000-0005-0000-0000-00008CD90000}"/>
    <cellStyle name="Normal 97 35 2" xfId="55679" xr:uid="{00000000-0005-0000-0000-00008DD90000}"/>
    <cellStyle name="Normal 97 36" xfId="55680" xr:uid="{00000000-0005-0000-0000-00008ED90000}"/>
    <cellStyle name="Normal 97 36 2" xfId="55681" xr:uid="{00000000-0005-0000-0000-00008FD90000}"/>
    <cellStyle name="Normal 97 37" xfId="55682" xr:uid="{00000000-0005-0000-0000-000090D90000}"/>
    <cellStyle name="Normal 97 37 2" xfId="55683" xr:uid="{00000000-0005-0000-0000-000091D90000}"/>
    <cellStyle name="Normal 97 38" xfId="55684" xr:uid="{00000000-0005-0000-0000-000092D90000}"/>
    <cellStyle name="Normal 97 38 2" xfId="55685" xr:uid="{00000000-0005-0000-0000-000093D90000}"/>
    <cellStyle name="Normal 97 39" xfId="55686" xr:uid="{00000000-0005-0000-0000-000094D90000}"/>
    <cellStyle name="Normal 97 39 2" xfId="55687" xr:uid="{00000000-0005-0000-0000-000095D90000}"/>
    <cellStyle name="Normal 97 4" xfId="55688" xr:uid="{00000000-0005-0000-0000-000096D90000}"/>
    <cellStyle name="Normal 97 4 2" xfId="55689" xr:uid="{00000000-0005-0000-0000-000097D90000}"/>
    <cellStyle name="Normal 97 40" xfId="55690" xr:uid="{00000000-0005-0000-0000-000098D90000}"/>
    <cellStyle name="Normal 97 40 2" xfId="55691" xr:uid="{00000000-0005-0000-0000-000099D90000}"/>
    <cellStyle name="Normal 97 41" xfId="55692" xr:uid="{00000000-0005-0000-0000-00009AD90000}"/>
    <cellStyle name="Normal 97 41 2" xfId="55693" xr:uid="{00000000-0005-0000-0000-00009BD90000}"/>
    <cellStyle name="Normal 97 42" xfId="55694" xr:uid="{00000000-0005-0000-0000-00009CD90000}"/>
    <cellStyle name="Normal 97 42 2" xfId="55695" xr:uid="{00000000-0005-0000-0000-00009DD90000}"/>
    <cellStyle name="Normal 97 43" xfId="55696" xr:uid="{00000000-0005-0000-0000-00009ED90000}"/>
    <cellStyle name="Normal 97 43 2" xfId="55697" xr:uid="{00000000-0005-0000-0000-00009FD90000}"/>
    <cellStyle name="Normal 97 44" xfId="55698" xr:uid="{00000000-0005-0000-0000-0000A0D90000}"/>
    <cellStyle name="Normal 97 44 2" xfId="55699" xr:uid="{00000000-0005-0000-0000-0000A1D90000}"/>
    <cellStyle name="Normal 97 45" xfId="55700" xr:uid="{00000000-0005-0000-0000-0000A2D90000}"/>
    <cellStyle name="Normal 97 45 2" xfId="55701" xr:uid="{00000000-0005-0000-0000-0000A3D90000}"/>
    <cellStyle name="Normal 97 46" xfId="55702" xr:uid="{00000000-0005-0000-0000-0000A4D90000}"/>
    <cellStyle name="Normal 97 46 2" xfId="55703" xr:uid="{00000000-0005-0000-0000-0000A5D90000}"/>
    <cellStyle name="Normal 97 47" xfId="55704" xr:uid="{00000000-0005-0000-0000-0000A6D90000}"/>
    <cellStyle name="Normal 97 47 2" xfId="55705" xr:uid="{00000000-0005-0000-0000-0000A7D90000}"/>
    <cellStyle name="Normal 97 48" xfId="55706" xr:uid="{00000000-0005-0000-0000-0000A8D90000}"/>
    <cellStyle name="Normal 97 48 2" xfId="55707" xr:uid="{00000000-0005-0000-0000-0000A9D90000}"/>
    <cellStyle name="Normal 97 49" xfId="55708" xr:uid="{00000000-0005-0000-0000-0000AAD90000}"/>
    <cellStyle name="Normal 97 49 2" xfId="55709" xr:uid="{00000000-0005-0000-0000-0000ABD90000}"/>
    <cellStyle name="Normal 97 5" xfId="55710" xr:uid="{00000000-0005-0000-0000-0000ACD90000}"/>
    <cellStyle name="Normal 97 5 2" xfId="55711" xr:uid="{00000000-0005-0000-0000-0000ADD90000}"/>
    <cellStyle name="Normal 97 50" xfId="55712" xr:uid="{00000000-0005-0000-0000-0000AED90000}"/>
    <cellStyle name="Normal 97 50 2" xfId="55713" xr:uid="{00000000-0005-0000-0000-0000AFD90000}"/>
    <cellStyle name="Normal 97 51" xfId="55714" xr:uid="{00000000-0005-0000-0000-0000B0D90000}"/>
    <cellStyle name="Normal 97 51 2" xfId="55715" xr:uid="{00000000-0005-0000-0000-0000B1D90000}"/>
    <cellStyle name="Normal 97 52" xfId="55716" xr:uid="{00000000-0005-0000-0000-0000B2D90000}"/>
    <cellStyle name="Normal 97 52 2" xfId="55717" xr:uid="{00000000-0005-0000-0000-0000B3D90000}"/>
    <cellStyle name="Normal 97 53" xfId="55718" xr:uid="{00000000-0005-0000-0000-0000B4D90000}"/>
    <cellStyle name="Normal 97 53 2" xfId="55719" xr:uid="{00000000-0005-0000-0000-0000B5D90000}"/>
    <cellStyle name="Normal 97 54" xfId="55720" xr:uid="{00000000-0005-0000-0000-0000B6D90000}"/>
    <cellStyle name="Normal 97 54 2" xfId="55721" xr:uid="{00000000-0005-0000-0000-0000B7D90000}"/>
    <cellStyle name="Normal 97 55" xfId="55722" xr:uid="{00000000-0005-0000-0000-0000B8D90000}"/>
    <cellStyle name="Normal 97 55 2" xfId="55723" xr:uid="{00000000-0005-0000-0000-0000B9D90000}"/>
    <cellStyle name="Normal 97 56" xfId="55724" xr:uid="{00000000-0005-0000-0000-0000BAD90000}"/>
    <cellStyle name="Normal 97 56 2" xfId="55725" xr:uid="{00000000-0005-0000-0000-0000BBD90000}"/>
    <cellStyle name="Normal 97 57" xfId="55726" xr:uid="{00000000-0005-0000-0000-0000BCD90000}"/>
    <cellStyle name="Normal 97 57 2" xfId="55727" xr:uid="{00000000-0005-0000-0000-0000BDD90000}"/>
    <cellStyle name="Normal 97 58" xfId="55728" xr:uid="{00000000-0005-0000-0000-0000BED90000}"/>
    <cellStyle name="Normal 97 58 2" xfId="55729" xr:uid="{00000000-0005-0000-0000-0000BFD90000}"/>
    <cellStyle name="Normal 97 59" xfId="55730" xr:uid="{00000000-0005-0000-0000-0000C0D90000}"/>
    <cellStyle name="Normal 97 6" xfId="55731" xr:uid="{00000000-0005-0000-0000-0000C1D90000}"/>
    <cellStyle name="Normal 97 6 2" xfId="55732" xr:uid="{00000000-0005-0000-0000-0000C2D90000}"/>
    <cellStyle name="Normal 97 7" xfId="55733" xr:uid="{00000000-0005-0000-0000-0000C3D90000}"/>
    <cellStyle name="Normal 97 7 2" xfId="55734" xr:uid="{00000000-0005-0000-0000-0000C4D90000}"/>
    <cellStyle name="Normal 97 8" xfId="55735" xr:uid="{00000000-0005-0000-0000-0000C5D90000}"/>
    <cellStyle name="Normal 97 8 2" xfId="55736" xr:uid="{00000000-0005-0000-0000-0000C6D90000}"/>
    <cellStyle name="Normal 97 9" xfId="55737" xr:uid="{00000000-0005-0000-0000-0000C7D90000}"/>
    <cellStyle name="Normal 97 9 2" xfId="55738" xr:uid="{00000000-0005-0000-0000-0000C8D90000}"/>
    <cellStyle name="Normal 98" xfId="55739" xr:uid="{00000000-0005-0000-0000-0000C9D90000}"/>
    <cellStyle name="Normal 98 10" xfId="55740" xr:uid="{00000000-0005-0000-0000-0000CAD90000}"/>
    <cellStyle name="Normal 98 10 2" xfId="55741" xr:uid="{00000000-0005-0000-0000-0000CBD90000}"/>
    <cellStyle name="Normal 98 11" xfId="55742" xr:uid="{00000000-0005-0000-0000-0000CCD90000}"/>
    <cellStyle name="Normal 98 11 2" xfId="55743" xr:uid="{00000000-0005-0000-0000-0000CDD90000}"/>
    <cellStyle name="Normal 98 12" xfId="55744" xr:uid="{00000000-0005-0000-0000-0000CED90000}"/>
    <cellStyle name="Normal 98 12 2" xfId="55745" xr:uid="{00000000-0005-0000-0000-0000CFD90000}"/>
    <cellStyle name="Normal 98 13" xfId="55746" xr:uid="{00000000-0005-0000-0000-0000D0D90000}"/>
    <cellStyle name="Normal 98 13 2" xfId="55747" xr:uid="{00000000-0005-0000-0000-0000D1D90000}"/>
    <cellStyle name="Normal 98 14" xfId="55748" xr:uid="{00000000-0005-0000-0000-0000D2D90000}"/>
    <cellStyle name="Normal 98 14 2" xfId="55749" xr:uid="{00000000-0005-0000-0000-0000D3D90000}"/>
    <cellStyle name="Normal 98 15" xfId="55750" xr:uid="{00000000-0005-0000-0000-0000D4D90000}"/>
    <cellStyle name="Normal 98 15 2" xfId="55751" xr:uid="{00000000-0005-0000-0000-0000D5D90000}"/>
    <cellStyle name="Normal 98 16" xfId="55752" xr:uid="{00000000-0005-0000-0000-0000D6D90000}"/>
    <cellStyle name="Normal 98 16 2" xfId="55753" xr:uid="{00000000-0005-0000-0000-0000D7D90000}"/>
    <cellStyle name="Normal 98 17" xfId="55754" xr:uid="{00000000-0005-0000-0000-0000D8D90000}"/>
    <cellStyle name="Normal 98 17 2" xfId="55755" xr:uid="{00000000-0005-0000-0000-0000D9D90000}"/>
    <cellStyle name="Normal 98 18" xfId="55756" xr:uid="{00000000-0005-0000-0000-0000DAD90000}"/>
    <cellStyle name="Normal 98 18 2" xfId="55757" xr:uid="{00000000-0005-0000-0000-0000DBD90000}"/>
    <cellStyle name="Normal 98 19" xfId="55758" xr:uid="{00000000-0005-0000-0000-0000DCD90000}"/>
    <cellStyle name="Normal 98 19 2" xfId="55759" xr:uid="{00000000-0005-0000-0000-0000DDD90000}"/>
    <cellStyle name="Normal 98 2" xfId="55760" xr:uid="{00000000-0005-0000-0000-0000DED90000}"/>
    <cellStyle name="Normal 98 2 2" xfId="55761" xr:uid="{00000000-0005-0000-0000-0000DFD90000}"/>
    <cellStyle name="Normal 98 20" xfId="55762" xr:uid="{00000000-0005-0000-0000-0000E0D90000}"/>
    <cellStyle name="Normal 98 20 2" xfId="55763" xr:uid="{00000000-0005-0000-0000-0000E1D90000}"/>
    <cellStyle name="Normal 98 21" xfId="55764" xr:uid="{00000000-0005-0000-0000-0000E2D90000}"/>
    <cellStyle name="Normal 98 21 2" xfId="55765" xr:uid="{00000000-0005-0000-0000-0000E3D90000}"/>
    <cellStyle name="Normal 98 22" xfId="55766" xr:uid="{00000000-0005-0000-0000-0000E4D90000}"/>
    <cellStyle name="Normal 98 22 2" xfId="55767" xr:uid="{00000000-0005-0000-0000-0000E5D90000}"/>
    <cellStyle name="Normal 98 23" xfId="55768" xr:uid="{00000000-0005-0000-0000-0000E6D90000}"/>
    <cellStyle name="Normal 98 23 2" xfId="55769" xr:uid="{00000000-0005-0000-0000-0000E7D90000}"/>
    <cellStyle name="Normal 98 24" xfId="55770" xr:uid="{00000000-0005-0000-0000-0000E8D90000}"/>
    <cellStyle name="Normal 98 24 2" xfId="55771" xr:uid="{00000000-0005-0000-0000-0000E9D90000}"/>
    <cellStyle name="Normal 98 25" xfId="55772" xr:uid="{00000000-0005-0000-0000-0000EAD90000}"/>
    <cellStyle name="Normal 98 25 2" xfId="55773" xr:uid="{00000000-0005-0000-0000-0000EBD90000}"/>
    <cellStyle name="Normal 98 26" xfId="55774" xr:uid="{00000000-0005-0000-0000-0000ECD90000}"/>
    <cellStyle name="Normal 98 26 2" xfId="55775" xr:uid="{00000000-0005-0000-0000-0000EDD90000}"/>
    <cellStyle name="Normal 98 27" xfId="55776" xr:uid="{00000000-0005-0000-0000-0000EED90000}"/>
    <cellStyle name="Normal 98 27 2" xfId="55777" xr:uid="{00000000-0005-0000-0000-0000EFD90000}"/>
    <cellStyle name="Normal 98 28" xfId="55778" xr:uid="{00000000-0005-0000-0000-0000F0D90000}"/>
    <cellStyle name="Normal 98 28 2" xfId="55779" xr:uid="{00000000-0005-0000-0000-0000F1D90000}"/>
    <cellStyle name="Normal 98 29" xfId="55780" xr:uid="{00000000-0005-0000-0000-0000F2D90000}"/>
    <cellStyle name="Normal 98 29 2" xfId="55781" xr:uid="{00000000-0005-0000-0000-0000F3D90000}"/>
    <cellStyle name="Normal 98 3" xfId="55782" xr:uid="{00000000-0005-0000-0000-0000F4D90000}"/>
    <cellStyle name="Normal 98 3 2" xfId="55783" xr:uid="{00000000-0005-0000-0000-0000F5D90000}"/>
    <cellStyle name="Normal 98 30" xfId="55784" xr:uid="{00000000-0005-0000-0000-0000F6D90000}"/>
    <cellStyle name="Normal 98 30 2" xfId="55785" xr:uid="{00000000-0005-0000-0000-0000F7D90000}"/>
    <cellStyle name="Normal 98 31" xfId="55786" xr:uid="{00000000-0005-0000-0000-0000F8D90000}"/>
    <cellStyle name="Normal 98 31 2" xfId="55787" xr:uid="{00000000-0005-0000-0000-0000F9D90000}"/>
    <cellStyle name="Normal 98 32" xfId="55788" xr:uid="{00000000-0005-0000-0000-0000FAD90000}"/>
    <cellStyle name="Normal 98 32 2" xfId="55789" xr:uid="{00000000-0005-0000-0000-0000FBD90000}"/>
    <cellStyle name="Normal 98 33" xfId="55790" xr:uid="{00000000-0005-0000-0000-0000FCD90000}"/>
    <cellStyle name="Normal 98 33 2" xfId="55791" xr:uid="{00000000-0005-0000-0000-0000FDD90000}"/>
    <cellStyle name="Normal 98 34" xfId="55792" xr:uid="{00000000-0005-0000-0000-0000FED90000}"/>
    <cellStyle name="Normal 98 34 2" xfId="55793" xr:uid="{00000000-0005-0000-0000-0000FFD90000}"/>
    <cellStyle name="Normal 98 35" xfId="55794" xr:uid="{00000000-0005-0000-0000-000000DA0000}"/>
    <cellStyle name="Normal 98 35 2" xfId="55795" xr:uid="{00000000-0005-0000-0000-000001DA0000}"/>
    <cellStyle name="Normal 98 36" xfId="55796" xr:uid="{00000000-0005-0000-0000-000002DA0000}"/>
    <cellStyle name="Normal 98 36 2" xfId="55797" xr:uid="{00000000-0005-0000-0000-000003DA0000}"/>
    <cellStyle name="Normal 98 37" xfId="55798" xr:uid="{00000000-0005-0000-0000-000004DA0000}"/>
    <cellStyle name="Normal 98 37 2" xfId="55799" xr:uid="{00000000-0005-0000-0000-000005DA0000}"/>
    <cellStyle name="Normal 98 38" xfId="55800" xr:uid="{00000000-0005-0000-0000-000006DA0000}"/>
    <cellStyle name="Normal 98 38 2" xfId="55801" xr:uid="{00000000-0005-0000-0000-000007DA0000}"/>
    <cellStyle name="Normal 98 39" xfId="55802" xr:uid="{00000000-0005-0000-0000-000008DA0000}"/>
    <cellStyle name="Normal 98 39 2" xfId="55803" xr:uid="{00000000-0005-0000-0000-000009DA0000}"/>
    <cellStyle name="Normal 98 4" xfId="55804" xr:uid="{00000000-0005-0000-0000-00000ADA0000}"/>
    <cellStyle name="Normal 98 4 2" xfId="55805" xr:uid="{00000000-0005-0000-0000-00000BDA0000}"/>
    <cellStyle name="Normal 98 40" xfId="55806" xr:uid="{00000000-0005-0000-0000-00000CDA0000}"/>
    <cellStyle name="Normal 98 40 2" xfId="55807" xr:uid="{00000000-0005-0000-0000-00000DDA0000}"/>
    <cellStyle name="Normal 98 41" xfId="55808" xr:uid="{00000000-0005-0000-0000-00000EDA0000}"/>
    <cellStyle name="Normal 98 41 2" xfId="55809" xr:uid="{00000000-0005-0000-0000-00000FDA0000}"/>
    <cellStyle name="Normal 98 42" xfId="55810" xr:uid="{00000000-0005-0000-0000-000010DA0000}"/>
    <cellStyle name="Normal 98 42 2" xfId="55811" xr:uid="{00000000-0005-0000-0000-000011DA0000}"/>
    <cellStyle name="Normal 98 43" xfId="55812" xr:uid="{00000000-0005-0000-0000-000012DA0000}"/>
    <cellStyle name="Normal 98 43 2" xfId="55813" xr:uid="{00000000-0005-0000-0000-000013DA0000}"/>
    <cellStyle name="Normal 98 44" xfId="55814" xr:uid="{00000000-0005-0000-0000-000014DA0000}"/>
    <cellStyle name="Normal 98 44 2" xfId="55815" xr:uid="{00000000-0005-0000-0000-000015DA0000}"/>
    <cellStyle name="Normal 98 45" xfId="55816" xr:uid="{00000000-0005-0000-0000-000016DA0000}"/>
    <cellStyle name="Normal 98 45 2" xfId="55817" xr:uid="{00000000-0005-0000-0000-000017DA0000}"/>
    <cellStyle name="Normal 98 46" xfId="55818" xr:uid="{00000000-0005-0000-0000-000018DA0000}"/>
    <cellStyle name="Normal 98 46 2" xfId="55819" xr:uid="{00000000-0005-0000-0000-000019DA0000}"/>
    <cellStyle name="Normal 98 47" xfId="55820" xr:uid="{00000000-0005-0000-0000-00001ADA0000}"/>
    <cellStyle name="Normal 98 47 2" xfId="55821" xr:uid="{00000000-0005-0000-0000-00001BDA0000}"/>
    <cellStyle name="Normal 98 48" xfId="55822" xr:uid="{00000000-0005-0000-0000-00001CDA0000}"/>
    <cellStyle name="Normal 98 48 2" xfId="55823" xr:uid="{00000000-0005-0000-0000-00001DDA0000}"/>
    <cellStyle name="Normal 98 49" xfId="55824" xr:uid="{00000000-0005-0000-0000-00001EDA0000}"/>
    <cellStyle name="Normal 98 49 2" xfId="55825" xr:uid="{00000000-0005-0000-0000-00001FDA0000}"/>
    <cellStyle name="Normal 98 5" xfId="55826" xr:uid="{00000000-0005-0000-0000-000020DA0000}"/>
    <cellStyle name="Normal 98 5 2" xfId="55827" xr:uid="{00000000-0005-0000-0000-000021DA0000}"/>
    <cellStyle name="Normal 98 50" xfId="55828" xr:uid="{00000000-0005-0000-0000-000022DA0000}"/>
    <cellStyle name="Normal 98 50 2" xfId="55829" xr:uid="{00000000-0005-0000-0000-000023DA0000}"/>
    <cellStyle name="Normal 98 51" xfId="55830" xr:uid="{00000000-0005-0000-0000-000024DA0000}"/>
    <cellStyle name="Normal 98 51 2" xfId="55831" xr:uid="{00000000-0005-0000-0000-000025DA0000}"/>
    <cellStyle name="Normal 98 52" xfId="55832" xr:uid="{00000000-0005-0000-0000-000026DA0000}"/>
    <cellStyle name="Normal 98 52 2" xfId="55833" xr:uid="{00000000-0005-0000-0000-000027DA0000}"/>
    <cellStyle name="Normal 98 53" xfId="55834" xr:uid="{00000000-0005-0000-0000-000028DA0000}"/>
    <cellStyle name="Normal 98 53 2" xfId="55835" xr:uid="{00000000-0005-0000-0000-000029DA0000}"/>
    <cellStyle name="Normal 98 54" xfId="55836" xr:uid="{00000000-0005-0000-0000-00002ADA0000}"/>
    <cellStyle name="Normal 98 54 2" xfId="55837" xr:uid="{00000000-0005-0000-0000-00002BDA0000}"/>
    <cellStyle name="Normal 98 55" xfId="55838" xr:uid="{00000000-0005-0000-0000-00002CDA0000}"/>
    <cellStyle name="Normal 98 55 2" xfId="55839" xr:uid="{00000000-0005-0000-0000-00002DDA0000}"/>
    <cellStyle name="Normal 98 56" xfId="55840" xr:uid="{00000000-0005-0000-0000-00002EDA0000}"/>
    <cellStyle name="Normal 98 56 2" xfId="55841" xr:uid="{00000000-0005-0000-0000-00002FDA0000}"/>
    <cellStyle name="Normal 98 57" xfId="55842" xr:uid="{00000000-0005-0000-0000-000030DA0000}"/>
    <cellStyle name="Normal 98 57 2" xfId="55843" xr:uid="{00000000-0005-0000-0000-000031DA0000}"/>
    <cellStyle name="Normal 98 58" xfId="55844" xr:uid="{00000000-0005-0000-0000-000032DA0000}"/>
    <cellStyle name="Normal 98 58 2" xfId="55845" xr:uid="{00000000-0005-0000-0000-000033DA0000}"/>
    <cellStyle name="Normal 98 59" xfId="55846" xr:uid="{00000000-0005-0000-0000-000034DA0000}"/>
    <cellStyle name="Normal 98 6" xfId="55847" xr:uid="{00000000-0005-0000-0000-000035DA0000}"/>
    <cellStyle name="Normal 98 6 2" xfId="55848" xr:uid="{00000000-0005-0000-0000-000036DA0000}"/>
    <cellStyle name="Normal 98 7" xfId="55849" xr:uid="{00000000-0005-0000-0000-000037DA0000}"/>
    <cellStyle name="Normal 98 7 2" xfId="55850" xr:uid="{00000000-0005-0000-0000-000038DA0000}"/>
    <cellStyle name="Normal 98 8" xfId="55851" xr:uid="{00000000-0005-0000-0000-000039DA0000}"/>
    <cellStyle name="Normal 98 8 2" xfId="55852" xr:uid="{00000000-0005-0000-0000-00003ADA0000}"/>
    <cellStyle name="Normal 98 9" xfId="55853" xr:uid="{00000000-0005-0000-0000-00003BDA0000}"/>
    <cellStyle name="Normal 98 9 2" xfId="55854" xr:uid="{00000000-0005-0000-0000-00003CDA0000}"/>
    <cellStyle name="Normal 99" xfId="55855" xr:uid="{00000000-0005-0000-0000-00003DDA0000}"/>
    <cellStyle name="Normal 99 10" xfId="55856" xr:uid="{00000000-0005-0000-0000-00003EDA0000}"/>
    <cellStyle name="Normal 99 10 2" xfId="55857" xr:uid="{00000000-0005-0000-0000-00003FDA0000}"/>
    <cellStyle name="Normal 99 11" xfId="55858" xr:uid="{00000000-0005-0000-0000-000040DA0000}"/>
    <cellStyle name="Normal 99 11 2" xfId="55859" xr:uid="{00000000-0005-0000-0000-000041DA0000}"/>
    <cellStyle name="Normal 99 12" xfId="55860" xr:uid="{00000000-0005-0000-0000-000042DA0000}"/>
    <cellStyle name="Normal 99 12 2" xfId="55861" xr:uid="{00000000-0005-0000-0000-000043DA0000}"/>
    <cellStyle name="Normal 99 13" xfId="55862" xr:uid="{00000000-0005-0000-0000-000044DA0000}"/>
    <cellStyle name="Normal 99 13 2" xfId="55863" xr:uid="{00000000-0005-0000-0000-000045DA0000}"/>
    <cellStyle name="Normal 99 14" xfId="55864" xr:uid="{00000000-0005-0000-0000-000046DA0000}"/>
    <cellStyle name="Normal 99 14 2" xfId="55865" xr:uid="{00000000-0005-0000-0000-000047DA0000}"/>
    <cellStyle name="Normal 99 15" xfId="55866" xr:uid="{00000000-0005-0000-0000-000048DA0000}"/>
    <cellStyle name="Normal 99 15 2" xfId="55867" xr:uid="{00000000-0005-0000-0000-000049DA0000}"/>
    <cellStyle name="Normal 99 16" xfId="55868" xr:uid="{00000000-0005-0000-0000-00004ADA0000}"/>
    <cellStyle name="Normal 99 16 2" xfId="55869" xr:uid="{00000000-0005-0000-0000-00004BDA0000}"/>
    <cellStyle name="Normal 99 17" xfId="55870" xr:uid="{00000000-0005-0000-0000-00004CDA0000}"/>
    <cellStyle name="Normal 99 17 2" xfId="55871" xr:uid="{00000000-0005-0000-0000-00004DDA0000}"/>
    <cellStyle name="Normal 99 18" xfId="55872" xr:uid="{00000000-0005-0000-0000-00004EDA0000}"/>
    <cellStyle name="Normal 99 18 2" xfId="55873" xr:uid="{00000000-0005-0000-0000-00004FDA0000}"/>
    <cellStyle name="Normal 99 19" xfId="55874" xr:uid="{00000000-0005-0000-0000-000050DA0000}"/>
    <cellStyle name="Normal 99 19 2" xfId="55875" xr:uid="{00000000-0005-0000-0000-000051DA0000}"/>
    <cellStyle name="Normal 99 2" xfId="55876" xr:uid="{00000000-0005-0000-0000-000052DA0000}"/>
    <cellStyle name="Normal 99 2 2" xfId="55877" xr:uid="{00000000-0005-0000-0000-000053DA0000}"/>
    <cellStyle name="Normal 99 20" xfId="55878" xr:uid="{00000000-0005-0000-0000-000054DA0000}"/>
    <cellStyle name="Normal 99 20 2" xfId="55879" xr:uid="{00000000-0005-0000-0000-000055DA0000}"/>
    <cellStyle name="Normal 99 21" xfId="55880" xr:uid="{00000000-0005-0000-0000-000056DA0000}"/>
    <cellStyle name="Normal 99 21 2" xfId="55881" xr:uid="{00000000-0005-0000-0000-000057DA0000}"/>
    <cellStyle name="Normal 99 22" xfId="55882" xr:uid="{00000000-0005-0000-0000-000058DA0000}"/>
    <cellStyle name="Normal 99 22 2" xfId="55883" xr:uid="{00000000-0005-0000-0000-000059DA0000}"/>
    <cellStyle name="Normal 99 23" xfId="55884" xr:uid="{00000000-0005-0000-0000-00005ADA0000}"/>
    <cellStyle name="Normal 99 23 2" xfId="55885" xr:uid="{00000000-0005-0000-0000-00005BDA0000}"/>
    <cellStyle name="Normal 99 24" xfId="55886" xr:uid="{00000000-0005-0000-0000-00005CDA0000}"/>
    <cellStyle name="Normal 99 24 2" xfId="55887" xr:uid="{00000000-0005-0000-0000-00005DDA0000}"/>
    <cellStyle name="Normal 99 25" xfId="55888" xr:uid="{00000000-0005-0000-0000-00005EDA0000}"/>
    <cellStyle name="Normal 99 25 2" xfId="55889" xr:uid="{00000000-0005-0000-0000-00005FDA0000}"/>
    <cellStyle name="Normal 99 26" xfId="55890" xr:uid="{00000000-0005-0000-0000-000060DA0000}"/>
    <cellStyle name="Normal 99 26 2" xfId="55891" xr:uid="{00000000-0005-0000-0000-000061DA0000}"/>
    <cellStyle name="Normal 99 27" xfId="55892" xr:uid="{00000000-0005-0000-0000-000062DA0000}"/>
    <cellStyle name="Normal 99 27 2" xfId="55893" xr:uid="{00000000-0005-0000-0000-000063DA0000}"/>
    <cellStyle name="Normal 99 28" xfId="55894" xr:uid="{00000000-0005-0000-0000-000064DA0000}"/>
    <cellStyle name="Normal 99 28 2" xfId="55895" xr:uid="{00000000-0005-0000-0000-000065DA0000}"/>
    <cellStyle name="Normal 99 29" xfId="55896" xr:uid="{00000000-0005-0000-0000-000066DA0000}"/>
    <cellStyle name="Normal 99 29 2" xfId="55897" xr:uid="{00000000-0005-0000-0000-000067DA0000}"/>
    <cellStyle name="Normal 99 3" xfId="55898" xr:uid="{00000000-0005-0000-0000-000068DA0000}"/>
    <cellStyle name="Normal 99 3 2" xfId="55899" xr:uid="{00000000-0005-0000-0000-000069DA0000}"/>
    <cellStyle name="Normal 99 30" xfId="55900" xr:uid="{00000000-0005-0000-0000-00006ADA0000}"/>
    <cellStyle name="Normal 99 30 2" xfId="55901" xr:uid="{00000000-0005-0000-0000-00006BDA0000}"/>
    <cellStyle name="Normal 99 31" xfId="55902" xr:uid="{00000000-0005-0000-0000-00006CDA0000}"/>
    <cellStyle name="Normal 99 31 2" xfId="55903" xr:uid="{00000000-0005-0000-0000-00006DDA0000}"/>
    <cellStyle name="Normal 99 32" xfId="55904" xr:uid="{00000000-0005-0000-0000-00006EDA0000}"/>
    <cellStyle name="Normal 99 32 2" xfId="55905" xr:uid="{00000000-0005-0000-0000-00006FDA0000}"/>
    <cellStyle name="Normal 99 33" xfId="55906" xr:uid="{00000000-0005-0000-0000-000070DA0000}"/>
    <cellStyle name="Normal 99 33 2" xfId="55907" xr:uid="{00000000-0005-0000-0000-000071DA0000}"/>
    <cellStyle name="Normal 99 34" xfId="55908" xr:uid="{00000000-0005-0000-0000-000072DA0000}"/>
    <cellStyle name="Normal 99 34 2" xfId="55909" xr:uid="{00000000-0005-0000-0000-000073DA0000}"/>
    <cellStyle name="Normal 99 35" xfId="55910" xr:uid="{00000000-0005-0000-0000-000074DA0000}"/>
    <cellStyle name="Normal 99 35 2" xfId="55911" xr:uid="{00000000-0005-0000-0000-000075DA0000}"/>
    <cellStyle name="Normal 99 36" xfId="55912" xr:uid="{00000000-0005-0000-0000-000076DA0000}"/>
    <cellStyle name="Normal 99 36 2" xfId="55913" xr:uid="{00000000-0005-0000-0000-000077DA0000}"/>
    <cellStyle name="Normal 99 37" xfId="55914" xr:uid="{00000000-0005-0000-0000-000078DA0000}"/>
    <cellStyle name="Normal 99 37 2" xfId="55915" xr:uid="{00000000-0005-0000-0000-000079DA0000}"/>
    <cellStyle name="Normal 99 38" xfId="55916" xr:uid="{00000000-0005-0000-0000-00007ADA0000}"/>
    <cellStyle name="Normal 99 38 2" xfId="55917" xr:uid="{00000000-0005-0000-0000-00007BDA0000}"/>
    <cellStyle name="Normal 99 39" xfId="55918" xr:uid="{00000000-0005-0000-0000-00007CDA0000}"/>
    <cellStyle name="Normal 99 39 2" xfId="55919" xr:uid="{00000000-0005-0000-0000-00007DDA0000}"/>
    <cellStyle name="Normal 99 4" xfId="55920" xr:uid="{00000000-0005-0000-0000-00007EDA0000}"/>
    <cellStyle name="Normal 99 4 2" xfId="55921" xr:uid="{00000000-0005-0000-0000-00007FDA0000}"/>
    <cellStyle name="Normal 99 40" xfId="55922" xr:uid="{00000000-0005-0000-0000-000080DA0000}"/>
    <cellStyle name="Normal 99 40 2" xfId="55923" xr:uid="{00000000-0005-0000-0000-000081DA0000}"/>
    <cellStyle name="Normal 99 41" xfId="55924" xr:uid="{00000000-0005-0000-0000-000082DA0000}"/>
    <cellStyle name="Normal 99 41 2" xfId="55925" xr:uid="{00000000-0005-0000-0000-000083DA0000}"/>
    <cellStyle name="Normal 99 42" xfId="55926" xr:uid="{00000000-0005-0000-0000-000084DA0000}"/>
    <cellStyle name="Normal 99 42 2" xfId="55927" xr:uid="{00000000-0005-0000-0000-000085DA0000}"/>
    <cellStyle name="Normal 99 43" xfId="55928" xr:uid="{00000000-0005-0000-0000-000086DA0000}"/>
    <cellStyle name="Normal 99 43 2" xfId="55929" xr:uid="{00000000-0005-0000-0000-000087DA0000}"/>
    <cellStyle name="Normal 99 44" xfId="55930" xr:uid="{00000000-0005-0000-0000-000088DA0000}"/>
    <cellStyle name="Normal 99 44 2" xfId="55931" xr:uid="{00000000-0005-0000-0000-000089DA0000}"/>
    <cellStyle name="Normal 99 45" xfId="55932" xr:uid="{00000000-0005-0000-0000-00008ADA0000}"/>
    <cellStyle name="Normal 99 45 2" xfId="55933" xr:uid="{00000000-0005-0000-0000-00008BDA0000}"/>
    <cellStyle name="Normal 99 46" xfId="55934" xr:uid="{00000000-0005-0000-0000-00008CDA0000}"/>
    <cellStyle name="Normal 99 46 2" xfId="55935" xr:uid="{00000000-0005-0000-0000-00008DDA0000}"/>
    <cellStyle name="Normal 99 47" xfId="55936" xr:uid="{00000000-0005-0000-0000-00008EDA0000}"/>
    <cellStyle name="Normal 99 47 2" xfId="55937" xr:uid="{00000000-0005-0000-0000-00008FDA0000}"/>
    <cellStyle name="Normal 99 48" xfId="55938" xr:uid="{00000000-0005-0000-0000-000090DA0000}"/>
    <cellStyle name="Normal 99 48 2" xfId="55939" xr:uid="{00000000-0005-0000-0000-000091DA0000}"/>
    <cellStyle name="Normal 99 49" xfId="55940" xr:uid="{00000000-0005-0000-0000-000092DA0000}"/>
    <cellStyle name="Normal 99 49 2" xfId="55941" xr:uid="{00000000-0005-0000-0000-000093DA0000}"/>
    <cellStyle name="Normal 99 5" xfId="55942" xr:uid="{00000000-0005-0000-0000-000094DA0000}"/>
    <cellStyle name="Normal 99 5 2" xfId="55943" xr:uid="{00000000-0005-0000-0000-000095DA0000}"/>
    <cellStyle name="Normal 99 50" xfId="55944" xr:uid="{00000000-0005-0000-0000-000096DA0000}"/>
    <cellStyle name="Normal 99 50 2" xfId="55945" xr:uid="{00000000-0005-0000-0000-000097DA0000}"/>
    <cellStyle name="Normal 99 51" xfId="55946" xr:uid="{00000000-0005-0000-0000-000098DA0000}"/>
    <cellStyle name="Normal 99 51 2" xfId="55947" xr:uid="{00000000-0005-0000-0000-000099DA0000}"/>
    <cellStyle name="Normal 99 52" xfId="55948" xr:uid="{00000000-0005-0000-0000-00009ADA0000}"/>
    <cellStyle name="Normal 99 52 2" xfId="55949" xr:uid="{00000000-0005-0000-0000-00009BDA0000}"/>
    <cellStyle name="Normal 99 53" xfId="55950" xr:uid="{00000000-0005-0000-0000-00009CDA0000}"/>
    <cellStyle name="Normal 99 53 2" xfId="55951" xr:uid="{00000000-0005-0000-0000-00009DDA0000}"/>
    <cellStyle name="Normal 99 54" xfId="55952" xr:uid="{00000000-0005-0000-0000-00009EDA0000}"/>
    <cellStyle name="Normal 99 54 2" xfId="55953" xr:uid="{00000000-0005-0000-0000-00009FDA0000}"/>
    <cellStyle name="Normal 99 55" xfId="55954" xr:uid="{00000000-0005-0000-0000-0000A0DA0000}"/>
    <cellStyle name="Normal 99 55 2" xfId="55955" xr:uid="{00000000-0005-0000-0000-0000A1DA0000}"/>
    <cellStyle name="Normal 99 56" xfId="55956" xr:uid="{00000000-0005-0000-0000-0000A2DA0000}"/>
    <cellStyle name="Normal 99 56 2" xfId="55957" xr:uid="{00000000-0005-0000-0000-0000A3DA0000}"/>
    <cellStyle name="Normal 99 57" xfId="55958" xr:uid="{00000000-0005-0000-0000-0000A4DA0000}"/>
    <cellStyle name="Normal 99 57 2" xfId="55959" xr:uid="{00000000-0005-0000-0000-0000A5DA0000}"/>
    <cellStyle name="Normal 99 58" xfId="55960" xr:uid="{00000000-0005-0000-0000-0000A6DA0000}"/>
    <cellStyle name="Normal 99 58 2" xfId="55961" xr:uid="{00000000-0005-0000-0000-0000A7DA0000}"/>
    <cellStyle name="Normal 99 59" xfId="55962" xr:uid="{00000000-0005-0000-0000-0000A8DA0000}"/>
    <cellStyle name="Normal 99 59 2" xfId="55963" xr:uid="{00000000-0005-0000-0000-0000A9DA0000}"/>
    <cellStyle name="Normal 99 6" xfId="55964" xr:uid="{00000000-0005-0000-0000-0000AADA0000}"/>
    <cellStyle name="Normal 99 6 2" xfId="55965" xr:uid="{00000000-0005-0000-0000-0000ABDA0000}"/>
    <cellStyle name="Normal 99 60" xfId="55966" xr:uid="{00000000-0005-0000-0000-0000ACDA0000}"/>
    <cellStyle name="Normal 99 60 2" xfId="55967" xr:uid="{00000000-0005-0000-0000-0000ADDA0000}"/>
    <cellStyle name="Normal 99 61" xfId="55968" xr:uid="{00000000-0005-0000-0000-0000AEDA0000}"/>
    <cellStyle name="Normal 99 61 2" xfId="55969" xr:uid="{00000000-0005-0000-0000-0000AFDA0000}"/>
    <cellStyle name="Normal 99 62" xfId="55970" xr:uid="{00000000-0005-0000-0000-0000B0DA0000}"/>
    <cellStyle name="Normal 99 62 2" xfId="55971" xr:uid="{00000000-0005-0000-0000-0000B1DA0000}"/>
    <cellStyle name="Normal 99 62 3" xfId="55972" xr:uid="{00000000-0005-0000-0000-0000B2DA0000}"/>
    <cellStyle name="Normal 99 63" xfId="55973" xr:uid="{00000000-0005-0000-0000-0000B3DA0000}"/>
    <cellStyle name="Normal 99 7" xfId="55974" xr:uid="{00000000-0005-0000-0000-0000B4DA0000}"/>
    <cellStyle name="Normal 99 7 2" xfId="55975" xr:uid="{00000000-0005-0000-0000-0000B5DA0000}"/>
    <cellStyle name="Normal 99 8" xfId="55976" xr:uid="{00000000-0005-0000-0000-0000B6DA0000}"/>
    <cellStyle name="Normal 99 8 2" xfId="55977" xr:uid="{00000000-0005-0000-0000-0000B7DA0000}"/>
    <cellStyle name="Normal 99 9" xfId="55978" xr:uid="{00000000-0005-0000-0000-0000B8DA0000}"/>
    <cellStyle name="Normal 99 9 2" xfId="55979" xr:uid="{00000000-0005-0000-0000-0000B9DA0000}"/>
    <cellStyle name="Notas 2" xfId="55980" xr:uid="{00000000-0005-0000-0000-0000BDDA0000}"/>
    <cellStyle name="Notas 2 2" xfId="55981" xr:uid="{00000000-0005-0000-0000-0000BEDA0000}"/>
    <cellStyle name="Notas 2 3" xfId="55982" xr:uid="{00000000-0005-0000-0000-0000BFDA0000}"/>
    <cellStyle name="Notas 2 4" xfId="55983" xr:uid="{00000000-0005-0000-0000-0000C0DA0000}"/>
    <cellStyle name="Notas 3" xfId="55984" xr:uid="{00000000-0005-0000-0000-0000C1DA0000}"/>
    <cellStyle name="Notas 3 2" xfId="55985" xr:uid="{00000000-0005-0000-0000-0000C2DA0000}"/>
    <cellStyle name="Notas 4" xfId="55986" xr:uid="{00000000-0005-0000-0000-0000C3DA0000}"/>
    <cellStyle name="Notas 4 10" xfId="55987" xr:uid="{00000000-0005-0000-0000-0000C4DA0000}"/>
    <cellStyle name="Notas 4 10 2" xfId="55988" xr:uid="{00000000-0005-0000-0000-0000C5DA0000}"/>
    <cellStyle name="Notas 4 11" xfId="55989" xr:uid="{00000000-0005-0000-0000-0000C6DA0000}"/>
    <cellStyle name="Notas 4 11 2" xfId="55990" xr:uid="{00000000-0005-0000-0000-0000C7DA0000}"/>
    <cellStyle name="Notas 4 12" xfId="55991" xr:uid="{00000000-0005-0000-0000-0000C8DA0000}"/>
    <cellStyle name="Notas 4 13" xfId="55992" xr:uid="{00000000-0005-0000-0000-0000C9DA0000}"/>
    <cellStyle name="Notas 4 2" xfId="55993" xr:uid="{00000000-0005-0000-0000-0000CADA0000}"/>
    <cellStyle name="Notas 4 2 10" xfId="55994" xr:uid="{00000000-0005-0000-0000-0000CBDA0000}"/>
    <cellStyle name="Notas 4 2 11" xfId="55995" xr:uid="{00000000-0005-0000-0000-0000CCDA0000}"/>
    <cellStyle name="Notas 4 2 2" xfId="55996" xr:uid="{00000000-0005-0000-0000-0000CDDA0000}"/>
    <cellStyle name="Notas 4 2 2 10" xfId="55997" xr:uid="{00000000-0005-0000-0000-0000CEDA0000}"/>
    <cellStyle name="Notas 4 2 2 2" xfId="55998" xr:uid="{00000000-0005-0000-0000-0000CFDA0000}"/>
    <cellStyle name="Notas 4 2 2 2 2" xfId="55999" xr:uid="{00000000-0005-0000-0000-0000D0DA0000}"/>
    <cellStyle name="Notas 4 2 2 2 2 2" xfId="56000" xr:uid="{00000000-0005-0000-0000-0000D1DA0000}"/>
    <cellStyle name="Notas 4 2 2 2 2 2 2" xfId="56001" xr:uid="{00000000-0005-0000-0000-0000D2DA0000}"/>
    <cellStyle name="Notas 4 2 2 2 2 2 2 2" xfId="56002" xr:uid="{00000000-0005-0000-0000-0000D3DA0000}"/>
    <cellStyle name="Notas 4 2 2 2 2 2 2 2 2" xfId="56003" xr:uid="{00000000-0005-0000-0000-0000D4DA0000}"/>
    <cellStyle name="Notas 4 2 2 2 2 2 2 2 2 2" xfId="56004" xr:uid="{00000000-0005-0000-0000-0000D5DA0000}"/>
    <cellStyle name="Notas 4 2 2 2 2 2 2 2 3" xfId="56005" xr:uid="{00000000-0005-0000-0000-0000D6DA0000}"/>
    <cellStyle name="Notas 4 2 2 2 2 2 2 2 4" xfId="56006" xr:uid="{00000000-0005-0000-0000-0000D7DA0000}"/>
    <cellStyle name="Notas 4 2 2 2 2 2 2 3" xfId="56007" xr:uid="{00000000-0005-0000-0000-0000D8DA0000}"/>
    <cellStyle name="Notas 4 2 2 2 2 2 2 3 2" xfId="56008" xr:uid="{00000000-0005-0000-0000-0000D9DA0000}"/>
    <cellStyle name="Notas 4 2 2 2 2 2 2 4" xfId="56009" xr:uid="{00000000-0005-0000-0000-0000DADA0000}"/>
    <cellStyle name="Notas 4 2 2 2 2 2 2 5" xfId="56010" xr:uid="{00000000-0005-0000-0000-0000DBDA0000}"/>
    <cellStyle name="Notas 4 2 2 2 2 2 3" xfId="56011" xr:uid="{00000000-0005-0000-0000-0000DCDA0000}"/>
    <cellStyle name="Notas 4 2 2 2 2 2 3 2" xfId="56012" xr:uid="{00000000-0005-0000-0000-0000DDDA0000}"/>
    <cellStyle name="Notas 4 2 2 2 2 2 3 2 2" xfId="56013" xr:uid="{00000000-0005-0000-0000-0000DEDA0000}"/>
    <cellStyle name="Notas 4 2 2 2 2 2 3 3" xfId="56014" xr:uid="{00000000-0005-0000-0000-0000DFDA0000}"/>
    <cellStyle name="Notas 4 2 2 2 2 2 3 4" xfId="56015" xr:uid="{00000000-0005-0000-0000-0000E0DA0000}"/>
    <cellStyle name="Notas 4 2 2 2 2 2 4" xfId="56016" xr:uid="{00000000-0005-0000-0000-0000E1DA0000}"/>
    <cellStyle name="Notas 4 2 2 2 2 2 4 2" xfId="56017" xr:uid="{00000000-0005-0000-0000-0000E2DA0000}"/>
    <cellStyle name="Notas 4 2 2 2 2 2 5" xfId="56018" xr:uid="{00000000-0005-0000-0000-0000E3DA0000}"/>
    <cellStyle name="Notas 4 2 2 2 2 2 6" xfId="56019" xr:uid="{00000000-0005-0000-0000-0000E4DA0000}"/>
    <cellStyle name="Notas 4 2 2 2 2 3" xfId="56020" xr:uid="{00000000-0005-0000-0000-0000E5DA0000}"/>
    <cellStyle name="Notas 4 2 2 2 2 3 2" xfId="56021" xr:uid="{00000000-0005-0000-0000-0000E6DA0000}"/>
    <cellStyle name="Notas 4 2 2 2 2 3 2 2" xfId="56022" xr:uid="{00000000-0005-0000-0000-0000E7DA0000}"/>
    <cellStyle name="Notas 4 2 2 2 2 3 2 2 2" xfId="56023" xr:uid="{00000000-0005-0000-0000-0000E8DA0000}"/>
    <cellStyle name="Notas 4 2 2 2 2 3 2 3" xfId="56024" xr:uid="{00000000-0005-0000-0000-0000E9DA0000}"/>
    <cellStyle name="Notas 4 2 2 2 2 3 2 4" xfId="56025" xr:uid="{00000000-0005-0000-0000-0000EADA0000}"/>
    <cellStyle name="Notas 4 2 2 2 2 3 3" xfId="56026" xr:uid="{00000000-0005-0000-0000-0000EBDA0000}"/>
    <cellStyle name="Notas 4 2 2 2 2 3 3 2" xfId="56027" xr:uid="{00000000-0005-0000-0000-0000ECDA0000}"/>
    <cellStyle name="Notas 4 2 2 2 2 3 4" xfId="56028" xr:uid="{00000000-0005-0000-0000-0000EDDA0000}"/>
    <cellStyle name="Notas 4 2 2 2 2 3 5" xfId="56029" xr:uid="{00000000-0005-0000-0000-0000EEDA0000}"/>
    <cellStyle name="Notas 4 2 2 2 2 4" xfId="56030" xr:uid="{00000000-0005-0000-0000-0000EFDA0000}"/>
    <cellStyle name="Notas 4 2 2 2 2 4 2" xfId="56031" xr:uid="{00000000-0005-0000-0000-0000F0DA0000}"/>
    <cellStyle name="Notas 4 2 2 2 2 4 2 2" xfId="56032" xr:uid="{00000000-0005-0000-0000-0000F1DA0000}"/>
    <cellStyle name="Notas 4 2 2 2 2 4 3" xfId="56033" xr:uid="{00000000-0005-0000-0000-0000F2DA0000}"/>
    <cellStyle name="Notas 4 2 2 2 2 4 4" xfId="56034" xr:uid="{00000000-0005-0000-0000-0000F3DA0000}"/>
    <cellStyle name="Notas 4 2 2 2 2 5" xfId="56035" xr:uid="{00000000-0005-0000-0000-0000F4DA0000}"/>
    <cellStyle name="Notas 4 2 2 2 2 5 2" xfId="56036" xr:uid="{00000000-0005-0000-0000-0000F5DA0000}"/>
    <cellStyle name="Notas 4 2 2 2 2 6" xfId="56037" xr:uid="{00000000-0005-0000-0000-0000F6DA0000}"/>
    <cellStyle name="Notas 4 2 2 2 2 7" xfId="56038" xr:uid="{00000000-0005-0000-0000-0000F7DA0000}"/>
    <cellStyle name="Notas 4 2 2 2 3" xfId="56039" xr:uid="{00000000-0005-0000-0000-0000F8DA0000}"/>
    <cellStyle name="Notas 4 2 2 2 3 2" xfId="56040" xr:uid="{00000000-0005-0000-0000-0000F9DA0000}"/>
    <cellStyle name="Notas 4 2 2 2 3 2 2" xfId="56041" xr:uid="{00000000-0005-0000-0000-0000FADA0000}"/>
    <cellStyle name="Notas 4 2 2 2 3 2 2 2" xfId="56042" xr:uid="{00000000-0005-0000-0000-0000FBDA0000}"/>
    <cellStyle name="Notas 4 2 2 2 3 2 2 2 2" xfId="56043" xr:uid="{00000000-0005-0000-0000-0000FCDA0000}"/>
    <cellStyle name="Notas 4 2 2 2 3 2 2 3" xfId="56044" xr:uid="{00000000-0005-0000-0000-0000FDDA0000}"/>
    <cellStyle name="Notas 4 2 2 2 3 2 2 4" xfId="56045" xr:uid="{00000000-0005-0000-0000-0000FEDA0000}"/>
    <cellStyle name="Notas 4 2 2 2 3 2 3" xfId="56046" xr:uid="{00000000-0005-0000-0000-0000FFDA0000}"/>
    <cellStyle name="Notas 4 2 2 2 3 2 3 2" xfId="56047" xr:uid="{00000000-0005-0000-0000-000000DB0000}"/>
    <cellStyle name="Notas 4 2 2 2 3 2 4" xfId="56048" xr:uid="{00000000-0005-0000-0000-000001DB0000}"/>
    <cellStyle name="Notas 4 2 2 2 3 2 5" xfId="56049" xr:uid="{00000000-0005-0000-0000-000002DB0000}"/>
    <cellStyle name="Notas 4 2 2 2 3 3" xfId="56050" xr:uid="{00000000-0005-0000-0000-000003DB0000}"/>
    <cellStyle name="Notas 4 2 2 2 3 3 2" xfId="56051" xr:uid="{00000000-0005-0000-0000-000004DB0000}"/>
    <cellStyle name="Notas 4 2 2 2 3 3 2 2" xfId="56052" xr:uid="{00000000-0005-0000-0000-000005DB0000}"/>
    <cellStyle name="Notas 4 2 2 2 3 3 3" xfId="56053" xr:uid="{00000000-0005-0000-0000-000006DB0000}"/>
    <cellStyle name="Notas 4 2 2 2 3 3 3 2" xfId="56054" xr:uid="{00000000-0005-0000-0000-000007DB0000}"/>
    <cellStyle name="Notas 4 2 2 2 3 3 4" xfId="56055" xr:uid="{00000000-0005-0000-0000-000008DB0000}"/>
    <cellStyle name="Notas 4 2 2 2 3 3 5" xfId="56056" xr:uid="{00000000-0005-0000-0000-000009DB0000}"/>
    <cellStyle name="Notas 4 2 2 2 3 4" xfId="56057" xr:uid="{00000000-0005-0000-0000-00000ADB0000}"/>
    <cellStyle name="Notas 4 2 2 2 3 4 2" xfId="56058" xr:uid="{00000000-0005-0000-0000-00000BDB0000}"/>
    <cellStyle name="Notas 4 2 2 2 3 5" xfId="56059" xr:uid="{00000000-0005-0000-0000-00000CDB0000}"/>
    <cellStyle name="Notas 4 2 2 2 3 5 2" xfId="56060" xr:uid="{00000000-0005-0000-0000-00000DDB0000}"/>
    <cellStyle name="Notas 4 2 2 2 3 6" xfId="56061" xr:uid="{00000000-0005-0000-0000-00000EDB0000}"/>
    <cellStyle name="Notas 4 2 2 2 3 7" xfId="56062" xr:uid="{00000000-0005-0000-0000-00000FDB0000}"/>
    <cellStyle name="Notas 4 2 2 2 4" xfId="56063" xr:uid="{00000000-0005-0000-0000-000010DB0000}"/>
    <cellStyle name="Notas 4 2 2 2 4 2" xfId="56064" xr:uid="{00000000-0005-0000-0000-000011DB0000}"/>
    <cellStyle name="Notas 4 2 2 2 4 2 2" xfId="56065" xr:uid="{00000000-0005-0000-0000-000012DB0000}"/>
    <cellStyle name="Notas 4 2 2 2 4 2 2 2" xfId="56066" xr:uid="{00000000-0005-0000-0000-000013DB0000}"/>
    <cellStyle name="Notas 4 2 2 2 4 2 3" xfId="56067" xr:uid="{00000000-0005-0000-0000-000014DB0000}"/>
    <cellStyle name="Notas 4 2 2 2 4 2 4" xfId="56068" xr:uid="{00000000-0005-0000-0000-000015DB0000}"/>
    <cellStyle name="Notas 4 2 2 2 4 3" xfId="56069" xr:uid="{00000000-0005-0000-0000-000016DB0000}"/>
    <cellStyle name="Notas 4 2 2 2 4 3 2" xfId="56070" xr:uid="{00000000-0005-0000-0000-000017DB0000}"/>
    <cellStyle name="Notas 4 2 2 2 4 4" xfId="56071" xr:uid="{00000000-0005-0000-0000-000018DB0000}"/>
    <cellStyle name="Notas 4 2 2 2 4 5" xfId="56072" xr:uid="{00000000-0005-0000-0000-000019DB0000}"/>
    <cellStyle name="Notas 4 2 2 2 5" xfId="56073" xr:uid="{00000000-0005-0000-0000-00001ADB0000}"/>
    <cellStyle name="Notas 4 2 2 2 5 2" xfId="56074" xr:uid="{00000000-0005-0000-0000-00001BDB0000}"/>
    <cellStyle name="Notas 4 2 2 2 5 2 2" xfId="56075" xr:uid="{00000000-0005-0000-0000-00001CDB0000}"/>
    <cellStyle name="Notas 4 2 2 2 5 3" xfId="56076" xr:uid="{00000000-0005-0000-0000-00001DDB0000}"/>
    <cellStyle name="Notas 4 2 2 2 5 3 2" xfId="56077" xr:uid="{00000000-0005-0000-0000-00001EDB0000}"/>
    <cellStyle name="Notas 4 2 2 2 5 4" xfId="56078" xr:uid="{00000000-0005-0000-0000-00001FDB0000}"/>
    <cellStyle name="Notas 4 2 2 2 5 5" xfId="56079" xr:uid="{00000000-0005-0000-0000-000020DB0000}"/>
    <cellStyle name="Notas 4 2 2 2 6" xfId="56080" xr:uid="{00000000-0005-0000-0000-000021DB0000}"/>
    <cellStyle name="Notas 4 2 2 2 6 2" xfId="56081" xr:uid="{00000000-0005-0000-0000-000022DB0000}"/>
    <cellStyle name="Notas 4 2 2 2 7" xfId="56082" xr:uid="{00000000-0005-0000-0000-000023DB0000}"/>
    <cellStyle name="Notas 4 2 2 2 7 2" xfId="56083" xr:uid="{00000000-0005-0000-0000-000024DB0000}"/>
    <cellStyle name="Notas 4 2 2 2 8" xfId="56084" xr:uid="{00000000-0005-0000-0000-000025DB0000}"/>
    <cellStyle name="Notas 4 2 2 2 9" xfId="56085" xr:uid="{00000000-0005-0000-0000-000026DB0000}"/>
    <cellStyle name="Notas 4 2 2 3" xfId="56086" xr:uid="{00000000-0005-0000-0000-000027DB0000}"/>
    <cellStyle name="Notas 4 2 2 3 2" xfId="56087" xr:uid="{00000000-0005-0000-0000-000028DB0000}"/>
    <cellStyle name="Notas 4 2 2 3 2 2" xfId="56088" xr:uid="{00000000-0005-0000-0000-000029DB0000}"/>
    <cellStyle name="Notas 4 2 2 3 2 2 2" xfId="56089" xr:uid="{00000000-0005-0000-0000-00002ADB0000}"/>
    <cellStyle name="Notas 4 2 2 3 2 2 2 2" xfId="56090" xr:uid="{00000000-0005-0000-0000-00002BDB0000}"/>
    <cellStyle name="Notas 4 2 2 3 2 2 2 2 2" xfId="56091" xr:uid="{00000000-0005-0000-0000-00002CDB0000}"/>
    <cellStyle name="Notas 4 2 2 3 2 2 2 3" xfId="56092" xr:uid="{00000000-0005-0000-0000-00002DDB0000}"/>
    <cellStyle name="Notas 4 2 2 3 2 2 2 4" xfId="56093" xr:uid="{00000000-0005-0000-0000-00002EDB0000}"/>
    <cellStyle name="Notas 4 2 2 3 2 2 3" xfId="56094" xr:uid="{00000000-0005-0000-0000-00002FDB0000}"/>
    <cellStyle name="Notas 4 2 2 3 2 2 3 2" xfId="56095" xr:uid="{00000000-0005-0000-0000-000030DB0000}"/>
    <cellStyle name="Notas 4 2 2 3 2 2 4" xfId="56096" xr:uid="{00000000-0005-0000-0000-000031DB0000}"/>
    <cellStyle name="Notas 4 2 2 3 2 2 5" xfId="56097" xr:uid="{00000000-0005-0000-0000-000032DB0000}"/>
    <cellStyle name="Notas 4 2 2 3 2 3" xfId="56098" xr:uid="{00000000-0005-0000-0000-000033DB0000}"/>
    <cellStyle name="Notas 4 2 2 3 2 3 2" xfId="56099" xr:uid="{00000000-0005-0000-0000-000034DB0000}"/>
    <cellStyle name="Notas 4 2 2 3 2 3 2 2" xfId="56100" xr:uid="{00000000-0005-0000-0000-000035DB0000}"/>
    <cellStyle name="Notas 4 2 2 3 2 3 3" xfId="56101" xr:uid="{00000000-0005-0000-0000-000036DB0000}"/>
    <cellStyle name="Notas 4 2 2 3 2 3 4" xfId="56102" xr:uid="{00000000-0005-0000-0000-000037DB0000}"/>
    <cellStyle name="Notas 4 2 2 3 2 4" xfId="56103" xr:uid="{00000000-0005-0000-0000-000038DB0000}"/>
    <cellStyle name="Notas 4 2 2 3 2 4 2" xfId="56104" xr:uid="{00000000-0005-0000-0000-000039DB0000}"/>
    <cellStyle name="Notas 4 2 2 3 2 5" xfId="56105" xr:uid="{00000000-0005-0000-0000-00003ADB0000}"/>
    <cellStyle name="Notas 4 2 2 3 2 6" xfId="56106" xr:uid="{00000000-0005-0000-0000-00003BDB0000}"/>
    <cellStyle name="Notas 4 2 2 3 3" xfId="56107" xr:uid="{00000000-0005-0000-0000-00003CDB0000}"/>
    <cellStyle name="Notas 4 2 2 3 3 2" xfId="56108" xr:uid="{00000000-0005-0000-0000-00003DDB0000}"/>
    <cellStyle name="Notas 4 2 2 3 3 2 2" xfId="56109" xr:uid="{00000000-0005-0000-0000-00003EDB0000}"/>
    <cellStyle name="Notas 4 2 2 3 3 2 2 2" xfId="56110" xr:uid="{00000000-0005-0000-0000-00003FDB0000}"/>
    <cellStyle name="Notas 4 2 2 3 3 2 3" xfId="56111" xr:uid="{00000000-0005-0000-0000-000040DB0000}"/>
    <cellStyle name="Notas 4 2 2 3 3 2 4" xfId="56112" xr:uid="{00000000-0005-0000-0000-000041DB0000}"/>
    <cellStyle name="Notas 4 2 2 3 3 3" xfId="56113" xr:uid="{00000000-0005-0000-0000-000042DB0000}"/>
    <cellStyle name="Notas 4 2 2 3 3 3 2" xfId="56114" xr:uid="{00000000-0005-0000-0000-000043DB0000}"/>
    <cellStyle name="Notas 4 2 2 3 3 4" xfId="56115" xr:uid="{00000000-0005-0000-0000-000044DB0000}"/>
    <cellStyle name="Notas 4 2 2 3 3 5" xfId="56116" xr:uid="{00000000-0005-0000-0000-000045DB0000}"/>
    <cellStyle name="Notas 4 2 2 3 4" xfId="56117" xr:uid="{00000000-0005-0000-0000-000046DB0000}"/>
    <cellStyle name="Notas 4 2 2 3 4 2" xfId="56118" xr:uid="{00000000-0005-0000-0000-000047DB0000}"/>
    <cellStyle name="Notas 4 2 2 3 4 2 2" xfId="56119" xr:uid="{00000000-0005-0000-0000-000048DB0000}"/>
    <cellStyle name="Notas 4 2 2 3 4 3" xfId="56120" xr:uid="{00000000-0005-0000-0000-000049DB0000}"/>
    <cellStyle name="Notas 4 2 2 3 4 4" xfId="56121" xr:uid="{00000000-0005-0000-0000-00004ADB0000}"/>
    <cellStyle name="Notas 4 2 2 3 5" xfId="56122" xr:uid="{00000000-0005-0000-0000-00004BDB0000}"/>
    <cellStyle name="Notas 4 2 2 3 5 2" xfId="56123" xr:uid="{00000000-0005-0000-0000-00004CDB0000}"/>
    <cellStyle name="Notas 4 2 2 3 6" xfId="56124" xr:uid="{00000000-0005-0000-0000-00004DDB0000}"/>
    <cellStyle name="Notas 4 2 2 3 7" xfId="56125" xr:uid="{00000000-0005-0000-0000-00004EDB0000}"/>
    <cellStyle name="Notas 4 2 2 4" xfId="56126" xr:uid="{00000000-0005-0000-0000-00004FDB0000}"/>
    <cellStyle name="Notas 4 2 2 4 2" xfId="56127" xr:uid="{00000000-0005-0000-0000-000050DB0000}"/>
    <cellStyle name="Notas 4 2 2 4 2 2" xfId="56128" xr:uid="{00000000-0005-0000-0000-000051DB0000}"/>
    <cellStyle name="Notas 4 2 2 4 2 2 2" xfId="56129" xr:uid="{00000000-0005-0000-0000-000052DB0000}"/>
    <cellStyle name="Notas 4 2 2 4 2 2 2 2" xfId="56130" xr:uid="{00000000-0005-0000-0000-000053DB0000}"/>
    <cellStyle name="Notas 4 2 2 4 2 2 3" xfId="56131" xr:uid="{00000000-0005-0000-0000-000054DB0000}"/>
    <cellStyle name="Notas 4 2 2 4 2 2 4" xfId="56132" xr:uid="{00000000-0005-0000-0000-000055DB0000}"/>
    <cellStyle name="Notas 4 2 2 4 2 3" xfId="56133" xr:uid="{00000000-0005-0000-0000-000056DB0000}"/>
    <cellStyle name="Notas 4 2 2 4 2 3 2" xfId="56134" xr:uid="{00000000-0005-0000-0000-000057DB0000}"/>
    <cellStyle name="Notas 4 2 2 4 2 4" xfId="56135" xr:uid="{00000000-0005-0000-0000-000058DB0000}"/>
    <cellStyle name="Notas 4 2 2 4 2 5" xfId="56136" xr:uid="{00000000-0005-0000-0000-000059DB0000}"/>
    <cellStyle name="Notas 4 2 2 4 3" xfId="56137" xr:uid="{00000000-0005-0000-0000-00005ADB0000}"/>
    <cellStyle name="Notas 4 2 2 4 3 2" xfId="56138" xr:uid="{00000000-0005-0000-0000-00005BDB0000}"/>
    <cellStyle name="Notas 4 2 2 4 3 2 2" xfId="56139" xr:uid="{00000000-0005-0000-0000-00005CDB0000}"/>
    <cellStyle name="Notas 4 2 2 4 3 3" xfId="56140" xr:uid="{00000000-0005-0000-0000-00005DDB0000}"/>
    <cellStyle name="Notas 4 2 2 4 3 3 2" xfId="56141" xr:uid="{00000000-0005-0000-0000-00005EDB0000}"/>
    <cellStyle name="Notas 4 2 2 4 3 4" xfId="56142" xr:uid="{00000000-0005-0000-0000-00005FDB0000}"/>
    <cellStyle name="Notas 4 2 2 4 3 5" xfId="56143" xr:uid="{00000000-0005-0000-0000-000060DB0000}"/>
    <cellStyle name="Notas 4 2 2 4 4" xfId="56144" xr:uid="{00000000-0005-0000-0000-000061DB0000}"/>
    <cellStyle name="Notas 4 2 2 4 4 2" xfId="56145" xr:uid="{00000000-0005-0000-0000-000062DB0000}"/>
    <cellStyle name="Notas 4 2 2 4 5" xfId="56146" xr:uid="{00000000-0005-0000-0000-000063DB0000}"/>
    <cellStyle name="Notas 4 2 2 4 5 2" xfId="56147" xr:uid="{00000000-0005-0000-0000-000064DB0000}"/>
    <cellStyle name="Notas 4 2 2 4 6" xfId="56148" xr:uid="{00000000-0005-0000-0000-000065DB0000}"/>
    <cellStyle name="Notas 4 2 2 4 7" xfId="56149" xr:uid="{00000000-0005-0000-0000-000066DB0000}"/>
    <cellStyle name="Notas 4 2 2 5" xfId="56150" xr:uid="{00000000-0005-0000-0000-000067DB0000}"/>
    <cellStyle name="Notas 4 2 2 5 2" xfId="56151" xr:uid="{00000000-0005-0000-0000-000068DB0000}"/>
    <cellStyle name="Notas 4 2 2 5 2 2" xfId="56152" xr:uid="{00000000-0005-0000-0000-000069DB0000}"/>
    <cellStyle name="Notas 4 2 2 5 2 2 2" xfId="56153" xr:uid="{00000000-0005-0000-0000-00006ADB0000}"/>
    <cellStyle name="Notas 4 2 2 5 2 3" xfId="56154" xr:uid="{00000000-0005-0000-0000-00006BDB0000}"/>
    <cellStyle name="Notas 4 2 2 5 2 4" xfId="56155" xr:uid="{00000000-0005-0000-0000-00006CDB0000}"/>
    <cellStyle name="Notas 4 2 2 5 3" xfId="56156" xr:uid="{00000000-0005-0000-0000-00006DDB0000}"/>
    <cellStyle name="Notas 4 2 2 5 3 2" xfId="56157" xr:uid="{00000000-0005-0000-0000-00006EDB0000}"/>
    <cellStyle name="Notas 4 2 2 5 4" xfId="56158" xr:uid="{00000000-0005-0000-0000-00006FDB0000}"/>
    <cellStyle name="Notas 4 2 2 5 5" xfId="56159" xr:uid="{00000000-0005-0000-0000-000070DB0000}"/>
    <cellStyle name="Notas 4 2 2 6" xfId="56160" xr:uid="{00000000-0005-0000-0000-000071DB0000}"/>
    <cellStyle name="Notas 4 2 2 6 2" xfId="56161" xr:uid="{00000000-0005-0000-0000-000072DB0000}"/>
    <cellStyle name="Notas 4 2 2 6 2 2" xfId="56162" xr:uid="{00000000-0005-0000-0000-000073DB0000}"/>
    <cellStyle name="Notas 4 2 2 6 3" xfId="56163" xr:uid="{00000000-0005-0000-0000-000074DB0000}"/>
    <cellStyle name="Notas 4 2 2 6 3 2" xfId="56164" xr:uid="{00000000-0005-0000-0000-000075DB0000}"/>
    <cellStyle name="Notas 4 2 2 6 4" xfId="56165" xr:uid="{00000000-0005-0000-0000-000076DB0000}"/>
    <cellStyle name="Notas 4 2 2 6 5" xfId="56166" xr:uid="{00000000-0005-0000-0000-000077DB0000}"/>
    <cellStyle name="Notas 4 2 2 7" xfId="56167" xr:uid="{00000000-0005-0000-0000-000078DB0000}"/>
    <cellStyle name="Notas 4 2 2 7 2" xfId="56168" xr:uid="{00000000-0005-0000-0000-000079DB0000}"/>
    <cellStyle name="Notas 4 2 2 8" xfId="56169" xr:uid="{00000000-0005-0000-0000-00007ADB0000}"/>
    <cellStyle name="Notas 4 2 2 8 2" xfId="56170" xr:uid="{00000000-0005-0000-0000-00007BDB0000}"/>
    <cellStyle name="Notas 4 2 2 9" xfId="56171" xr:uid="{00000000-0005-0000-0000-00007CDB0000}"/>
    <cellStyle name="Notas 4 2 3" xfId="56172" xr:uid="{00000000-0005-0000-0000-00007DDB0000}"/>
    <cellStyle name="Notas 4 2 3 2" xfId="56173" xr:uid="{00000000-0005-0000-0000-00007EDB0000}"/>
    <cellStyle name="Notas 4 2 3 2 2" xfId="56174" xr:uid="{00000000-0005-0000-0000-00007FDB0000}"/>
    <cellStyle name="Notas 4 2 3 2 2 2" xfId="56175" xr:uid="{00000000-0005-0000-0000-000080DB0000}"/>
    <cellStyle name="Notas 4 2 3 2 2 2 2" xfId="56176" xr:uid="{00000000-0005-0000-0000-000081DB0000}"/>
    <cellStyle name="Notas 4 2 3 2 2 2 2 2" xfId="56177" xr:uid="{00000000-0005-0000-0000-000082DB0000}"/>
    <cellStyle name="Notas 4 2 3 2 2 2 2 2 2" xfId="56178" xr:uid="{00000000-0005-0000-0000-000083DB0000}"/>
    <cellStyle name="Notas 4 2 3 2 2 2 2 3" xfId="56179" xr:uid="{00000000-0005-0000-0000-000084DB0000}"/>
    <cellStyle name="Notas 4 2 3 2 2 2 2 4" xfId="56180" xr:uid="{00000000-0005-0000-0000-000085DB0000}"/>
    <cellStyle name="Notas 4 2 3 2 2 2 3" xfId="56181" xr:uid="{00000000-0005-0000-0000-000086DB0000}"/>
    <cellStyle name="Notas 4 2 3 2 2 2 3 2" xfId="56182" xr:uid="{00000000-0005-0000-0000-000087DB0000}"/>
    <cellStyle name="Notas 4 2 3 2 2 2 4" xfId="56183" xr:uid="{00000000-0005-0000-0000-000088DB0000}"/>
    <cellStyle name="Notas 4 2 3 2 2 2 5" xfId="56184" xr:uid="{00000000-0005-0000-0000-000089DB0000}"/>
    <cellStyle name="Notas 4 2 3 2 2 3" xfId="56185" xr:uid="{00000000-0005-0000-0000-00008ADB0000}"/>
    <cellStyle name="Notas 4 2 3 2 2 3 2" xfId="56186" xr:uid="{00000000-0005-0000-0000-00008BDB0000}"/>
    <cellStyle name="Notas 4 2 3 2 2 3 2 2" xfId="56187" xr:uid="{00000000-0005-0000-0000-00008CDB0000}"/>
    <cellStyle name="Notas 4 2 3 2 2 3 3" xfId="56188" xr:uid="{00000000-0005-0000-0000-00008DDB0000}"/>
    <cellStyle name="Notas 4 2 3 2 2 3 4" xfId="56189" xr:uid="{00000000-0005-0000-0000-00008EDB0000}"/>
    <cellStyle name="Notas 4 2 3 2 2 4" xfId="56190" xr:uid="{00000000-0005-0000-0000-00008FDB0000}"/>
    <cellStyle name="Notas 4 2 3 2 2 4 2" xfId="56191" xr:uid="{00000000-0005-0000-0000-000090DB0000}"/>
    <cellStyle name="Notas 4 2 3 2 2 5" xfId="56192" xr:uid="{00000000-0005-0000-0000-000091DB0000}"/>
    <cellStyle name="Notas 4 2 3 2 2 6" xfId="56193" xr:uid="{00000000-0005-0000-0000-000092DB0000}"/>
    <cellStyle name="Notas 4 2 3 2 3" xfId="56194" xr:uid="{00000000-0005-0000-0000-000093DB0000}"/>
    <cellStyle name="Notas 4 2 3 2 3 2" xfId="56195" xr:uid="{00000000-0005-0000-0000-000094DB0000}"/>
    <cellStyle name="Notas 4 2 3 2 3 2 2" xfId="56196" xr:uid="{00000000-0005-0000-0000-000095DB0000}"/>
    <cellStyle name="Notas 4 2 3 2 3 2 2 2" xfId="56197" xr:uid="{00000000-0005-0000-0000-000096DB0000}"/>
    <cellStyle name="Notas 4 2 3 2 3 2 3" xfId="56198" xr:uid="{00000000-0005-0000-0000-000097DB0000}"/>
    <cellStyle name="Notas 4 2 3 2 3 2 4" xfId="56199" xr:uid="{00000000-0005-0000-0000-000098DB0000}"/>
    <cellStyle name="Notas 4 2 3 2 3 3" xfId="56200" xr:uid="{00000000-0005-0000-0000-000099DB0000}"/>
    <cellStyle name="Notas 4 2 3 2 3 3 2" xfId="56201" xr:uid="{00000000-0005-0000-0000-00009ADB0000}"/>
    <cellStyle name="Notas 4 2 3 2 3 4" xfId="56202" xr:uid="{00000000-0005-0000-0000-00009BDB0000}"/>
    <cellStyle name="Notas 4 2 3 2 3 5" xfId="56203" xr:uid="{00000000-0005-0000-0000-00009CDB0000}"/>
    <cellStyle name="Notas 4 2 3 2 4" xfId="56204" xr:uid="{00000000-0005-0000-0000-00009DDB0000}"/>
    <cellStyle name="Notas 4 2 3 2 4 2" xfId="56205" xr:uid="{00000000-0005-0000-0000-00009EDB0000}"/>
    <cellStyle name="Notas 4 2 3 2 4 2 2" xfId="56206" xr:uid="{00000000-0005-0000-0000-00009FDB0000}"/>
    <cellStyle name="Notas 4 2 3 2 4 3" xfId="56207" xr:uid="{00000000-0005-0000-0000-0000A0DB0000}"/>
    <cellStyle name="Notas 4 2 3 2 4 4" xfId="56208" xr:uid="{00000000-0005-0000-0000-0000A1DB0000}"/>
    <cellStyle name="Notas 4 2 3 2 5" xfId="56209" xr:uid="{00000000-0005-0000-0000-0000A2DB0000}"/>
    <cellStyle name="Notas 4 2 3 2 5 2" xfId="56210" xr:uid="{00000000-0005-0000-0000-0000A3DB0000}"/>
    <cellStyle name="Notas 4 2 3 2 6" xfId="56211" xr:uid="{00000000-0005-0000-0000-0000A4DB0000}"/>
    <cellStyle name="Notas 4 2 3 2 7" xfId="56212" xr:uid="{00000000-0005-0000-0000-0000A5DB0000}"/>
    <cellStyle name="Notas 4 2 3 3" xfId="56213" xr:uid="{00000000-0005-0000-0000-0000A6DB0000}"/>
    <cellStyle name="Notas 4 2 3 3 2" xfId="56214" xr:uid="{00000000-0005-0000-0000-0000A7DB0000}"/>
    <cellStyle name="Notas 4 2 3 3 2 2" xfId="56215" xr:uid="{00000000-0005-0000-0000-0000A8DB0000}"/>
    <cellStyle name="Notas 4 2 3 3 2 2 2" xfId="56216" xr:uid="{00000000-0005-0000-0000-0000A9DB0000}"/>
    <cellStyle name="Notas 4 2 3 3 2 2 2 2" xfId="56217" xr:uid="{00000000-0005-0000-0000-0000AADB0000}"/>
    <cellStyle name="Notas 4 2 3 3 2 2 3" xfId="56218" xr:uid="{00000000-0005-0000-0000-0000ABDB0000}"/>
    <cellStyle name="Notas 4 2 3 3 2 2 4" xfId="56219" xr:uid="{00000000-0005-0000-0000-0000ACDB0000}"/>
    <cellStyle name="Notas 4 2 3 3 2 3" xfId="56220" xr:uid="{00000000-0005-0000-0000-0000ADDB0000}"/>
    <cellStyle name="Notas 4 2 3 3 2 3 2" xfId="56221" xr:uid="{00000000-0005-0000-0000-0000AEDB0000}"/>
    <cellStyle name="Notas 4 2 3 3 2 4" xfId="56222" xr:uid="{00000000-0005-0000-0000-0000AFDB0000}"/>
    <cellStyle name="Notas 4 2 3 3 2 5" xfId="56223" xr:uid="{00000000-0005-0000-0000-0000B0DB0000}"/>
    <cellStyle name="Notas 4 2 3 3 3" xfId="56224" xr:uid="{00000000-0005-0000-0000-0000B1DB0000}"/>
    <cellStyle name="Notas 4 2 3 3 3 2" xfId="56225" xr:uid="{00000000-0005-0000-0000-0000B2DB0000}"/>
    <cellStyle name="Notas 4 2 3 3 3 2 2" xfId="56226" xr:uid="{00000000-0005-0000-0000-0000B3DB0000}"/>
    <cellStyle name="Notas 4 2 3 3 3 3" xfId="56227" xr:uid="{00000000-0005-0000-0000-0000B4DB0000}"/>
    <cellStyle name="Notas 4 2 3 3 3 3 2" xfId="56228" xr:uid="{00000000-0005-0000-0000-0000B5DB0000}"/>
    <cellStyle name="Notas 4 2 3 3 3 4" xfId="56229" xr:uid="{00000000-0005-0000-0000-0000B6DB0000}"/>
    <cellStyle name="Notas 4 2 3 3 3 5" xfId="56230" xr:uid="{00000000-0005-0000-0000-0000B7DB0000}"/>
    <cellStyle name="Notas 4 2 3 3 4" xfId="56231" xr:uid="{00000000-0005-0000-0000-0000B8DB0000}"/>
    <cellStyle name="Notas 4 2 3 3 4 2" xfId="56232" xr:uid="{00000000-0005-0000-0000-0000B9DB0000}"/>
    <cellStyle name="Notas 4 2 3 3 5" xfId="56233" xr:uid="{00000000-0005-0000-0000-0000BADB0000}"/>
    <cellStyle name="Notas 4 2 3 3 5 2" xfId="56234" xr:uid="{00000000-0005-0000-0000-0000BBDB0000}"/>
    <cellStyle name="Notas 4 2 3 3 6" xfId="56235" xr:uid="{00000000-0005-0000-0000-0000BCDB0000}"/>
    <cellStyle name="Notas 4 2 3 3 7" xfId="56236" xr:uid="{00000000-0005-0000-0000-0000BDDB0000}"/>
    <cellStyle name="Notas 4 2 3 4" xfId="56237" xr:uid="{00000000-0005-0000-0000-0000BEDB0000}"/>
    <cellStyle name="Notas 4 2 3 4 2" xfId="56238" xr:uid="{00000000-0005-0000-0000-0000BFDB0000}"/>
    <cellStyle name="Notas 4 2 3 4 2 2" xfId="56239" xr:uid="{00000000-0005-0000-0000-0000C0DB0000}"/>
    <cellStyle name="Notas 4 2 3 4 2 2 2" xfId="56240" xr:uid="{00000000-0005-0000-0000-0000C1DB0000}"/>
    <cellStyle name="Notas 4 2 3 4 2 3" xfId="56241" xr:uid="{00000000-0005-0000-0000-0000C2DB0000}"/>
    <cellStyle name="Notas 4 2 3 4 2 4" xfId="56242" xr:uid="{00000000-0005-0000-0000-0000C3DB0000}"/>
    <cellStyle name="Notas 4 2 3 4 3" xfId="56243" xr:uid="{00000000-0005-0000-0000-0000C4DB0000}"/>
    <cellStyle name="Notas 4 2 3 4 3 2" xfId="56244" xr:uid="{00000000-0005-0000-0000-0000C5DB0000}"/>
    <cellStyle name="Notas 4 2 3 4 4" xfId="56245" xr:uid="{00000000-0005-0000-0000-0000C6DB0000}"/>
    <cellStyle name="Notas 4 2 3 4 5" xfId="56246" xr:uid="{00000000-0005-0000-0000-0000C7DB0000}"/>
    <cellStyle name="Notas 4 2 3 5" xfId="56247" xr:uid="{00000000-0005-0000-0000-0000C8DB0000}"/>
    <cellStyle name="Notas 4 2 3 5 2" xfId="56248" xr:uid="{00000000-0005-0000-0000-0000C9DB0000}"/>
    <cellStyle name="Notas 4 2 3 5 2 2" xfId="56249" xr:uid="{00000000-0005-0000-0000-0000CADB0000}"/>
    <cellStyle name="Notas 4 2 3 5 3" xfId="56250" xr:uid="{00000000-0005-0000-0000-0000CBDB0000}"/>
    <cellStyle name="Notas 4 2 3 5 3 2" xfId="56251" xr:uid="{00000000-0005-0000-0000-0000CCDB0000}"/>
    <cellStyle name="Notas 4 2 3 5 4" xfId="56252" xr:uid="{00000000-0005-0000-0000-0000CDDB0000}"/>
    <cellStyle name="Notas 4 2 3 5 5" xfId="56253" xr:uid="{00000000-0005-0000-0000-0000CEDB0000}"/>
    <cellStyle name="Notas 4 2 3 6" xfId="56254" xr:uid="{00000000-0005-0000-0000-0000CFDB0000}"/>
    <cellStyle name="Notas 4 2 3 6 2" xfId="56255" xr:uid="{00000000-0005-0000-0000-0000D0DB0000}"/>
    <cellStyle name="Notas 4 2 3 7" xfId="56256" xr:uid="{00000000-0005-0000-0000-0000D1DB0000}"/>
    <cellStyle name="Notas 4 2 3 7 2" xfId="56257" xr:uid="{00000000-0005-0000-0000-0000D2DB0000}"/>
    <cellStyle name="Notas 4 2 3 8" xfId="56258" xr:uid="{00000000-0005-0000-0000-0000D3DB0000}"/>
    <cellStyle name="Notas 4 2 3 9" xfId="56259" xr:uid="{00000000-0005-0000-0000-0000D4DB0000}"/>
    <cellStyle name="Notas 4 2 4" xfId="56260" xr:uid="{00000000-0005-0000-0000-0000D5DB0000}"/>
    <cellStyle name="Notas 4 2 4 2" xfId="56261" xr:uid="{00000000-0005-0000-0000-0000D6DB0000}"/>
    <cellStyle name="Notas 4 2 4 2 2" xfId="56262" xr:uid="{00000000-0005-0000-0000-0000D7DB0000}"/>
    <cellStyle name="Notas 4 2 4 2 2 2" xfId="56263" xr:uid="{00000000-0005-0000-0000-0000D8DB0000}"/>
    <cellStyle name="Notas 4 2 4 2 2 2 2" xfId="56264" xr:uid="{00000000-0005-0000-0000-0000D9DB0000}"/>
    <cellStyle name="Notas 4 2 4 2 2 2 2 2" xfId="56265" xr:uid="{00000000-0005-0000-0000-0000DADB0000}"/>
    <cellStyle name="Notas 4 2 4 2 2 2 3" xfId="56266" xr:uid="{00000000-0005-0000-0000-0000DBDB0000}"/>
    <cellStyle name="Notas 4 2 4 2 2 2 4" xfId="56267" xr:uid="{00000000-0005-0000-0000-0000DCDB0000}"/>
    <cellStyle name="Notas 4 2 4 2 2 3" xfId="56268" xr:uid="{00000000-0005-0000-0000-0000DDDB0000}"/>
    <cellStyle name="Notas 4 2 4 2 2 3 2" xfId="56269" xr:uid="{00000000-0005-0000-0000-0000DEDB0000}"/>
    <cellStyle name="Notas 4 2 4 2 2 4" xfId="56270" xr:uid="{00000000-0005-0000-0000-0000DFDB0000}"/>
    <cellStyle name="Notas 4 2 4 2 2 5" xfId="56271" xr:uid="{00000000-0005-0000-0000-0000E0DB0000}"/>
    <cellStyle name="Notas 4 2 4 2 3" xfId="56272" xr:uid="{00000000-0005-0000-0000-0000E1DB0000}"/>
    <cellStyle name="Notas 4 2 4 2 3 2" xfId="56273" xr:uid="{00000000-0005-0000-0000-0000E2DB0000}"/>
    <cellStyle name="Notas 4 2 4 2 3 2 2" xfId="56274" xr:uid="{00000000-0005-0000-0000-0000E3DB0000}"/>
    <cellStyle name="Notas 4 2 4 2 3 3" xfId="56275" xr:uid="{00000000-0005-0000-0000-0000E4DB0000}"/>
    <cellStyle name="Notas 4 2 4 2 3 3 2" xfId="56276" xr:uid="{00000000-0005-0000-0000-0000E5DB0000}"/>
    <cellStyle name="Notas 4 2 4 2 3 4" xfId="56277" xr:uid="{00000000-0005-0000-0000-0000E6DB0000}"/>
    <cellStyle name="Notas 4 2 4 2 3 5" xfId="56278" xr:uid="{00000000-0005-0000-0000-0000E7DB0000}"/>
    <cellStyle name="Notas 4 2 4 2 4" xfId="56279" xr:uid="{00000000-0005-0000-0000-0000E8DB0000}"/>
    <cellStyle name="Notas 4 2 4 2 4 2" xfId="56280" xr:uid="{00000000-0005-0000-0000-0000E9DB0000}"/>
    <cellStyle name="Notas 4 2 4 2 5" xfId="56281" xr:uid="{00000000-0005-0000-0000-0000EADB0000}"/>
    <cellStyle name="Notas 4 2 4 2 5 2" xfId="56282" xr:uid="{00000000-0005-0000-0000-0000EBDB0000}"/>
    <cellStyle name="Notas 4 2 4 2 6" xfId="56283" xr:uid="{00000000-0005-0000-0000-0000ECDB0000}"/>
    <cellStyle name="Notas 4 2 4 2 7" xfId="56284" xr:uid="{00000000-0005-0000-0000-0000EDDB0000}"/>
    <cellStyle name="Notas 4 2 4 3" xfId="56285" xr:uid="{00000000-0005-0000-0000-0000EEDB0000}"/>
    <cellStyle name="Notas 4 2 4 3 2" xfId="56286" xr:uid="{00000000-0005-0000-0000-0000EFDB0000}"/>
    <cellStyle name="Notas 4 2 4 3 2 2" xfId="56287" xr:uid="{00000000-0005-0000-0000-0000F0DB0000}"/>
    <cellStyle name="Notas 4 2 4 3 2 2 2" xfId="56288" xr:uid="{00000000-0005-0000-0000-0000F1DB0000}"/>
    <cellStyle name="Notas 4 2 4 3 2 3" xfId="56289" xr:uid="{00000000-0005-0000-0000-0000F2DB0000}"/>
    <cellStyle name="Notas 4 2 4 3 2 4" xfId="56290" xr:uid="{00000000-0005-0000-0000-0000F3DB0000}"/>
    <cellStyle name="Notas 4 2 4 3 3" xfId="56291" xr:uid="{00000000-0005-0000-0000-0000F4DB0000}"/>
    <cellStyle name="Notas 4 2 4 3 3 2" xfId="56292" xr:uid="{00000000-0005-0000-0000-0000F5DB0000}"/>
    <cellStyle name="Notas 4 2 4 3 4" xfId="56293" xr:uid="{00000000-0005-0000-0000-0000F6DB0000}"/>
    <cellStyle name="Notas 4 2 4 3 5" xfId="56294" xr:uid="{00000000-0005-0000-0000-0000F7DB0000}"/>
    <cellStyle name="Notas 4 2 4 4" xfId="56295" xr:uid="{00000000-0005-0000-0000-0000F8DB0000}"/>
    <cellStyle name="Notas 4 2 4 4 2" xfId="56296" xr:uid="{00000000-0005-0000-0000-0000F9DB0000}"/>
    <cellStyle name="Notas 4 2 4 4 2 2" xfId="56297" xr:uid="{00000000-0005-0000-0000-0000FADB0000}"/>
    <cellStyle name="Notas 4 2 4 4 3" xfId="56298" xr:uid="{00000000-0005-0000-0000-0000FBDB0000}"/>
    <cellStyle name="Notas 4 2 4 4 3 2" xfId="56299" xr:uid="{00000000-0005-0000-0000-0000FCDB0000}"/>
    <cellStyle name="Notas 4 2 4 4 4" xfId="56300" xr:uid="{00000000-0005-0000-0000-0000FDDB0000}"/>
    <cellStyle name="Notas 4 2 4 4 5" xfId="56301" xr:uid="{00000000-0005-0000-0000-0000FEDB0000}"/>
    <cellStyle name="Notas 4 2 4 5" xfId="56302" xr:uid="{00000000-0005-0000-0000-0000FFDB0000}"/>
    <cellStyle name="Notas 4 2 4 5 2" xfId="56303" xr:uid="{00000000-0005-0000-0000-000000DC0000}"/>
    <cellStyle name="Notas 4 2 4 6" xfId="56304" xr:uid="{00000000-0005-0000-0000-000001DC0000}"/>
    <cellStyle name="Notas 4 2 4 6 2" xfId="56305" xr:uid="{00000000-0005-0000-0000-000002DC0000}"/>
    <cellStyle name="Notas 4 2 4 7" xfId="56306" xr:uid="{00000000-0005-0000-0000-000003DC0000}"/>
    <cellStyle name="Notas 4 2 4 8" xfId="56307" xr:uid="{00000000-0005-0000-0000-000004DC0000}"/>
    <cellStyle name="Notas 4 2 5" xfId="56308" xr:uid="{00000000-0005-0000-0000-000005DC0000}"/>
    <cellStyle name="Notas 4 2 5 2" xfId="56309" xr:uid="{00000000-0005-0000-0000-000006DC0000}"/>
    <cellStyle name="Notas 4 2 5 2 2" xfId="56310" xr:uid="{00000000-0005-0000-0000-000007DC0000}"/>
    <cellStyle name="Notas 4 2 5 2 2 2" xfId="56311" xr:uid="{00000000-0005-0000-0000-000008DC0000}"/>
    <cellStyle name="Notas 4 2 5 2 2 2 2" xfId="56312" xr:uid="{00000000-0005-0000-0000-000009DC0000}"/>
    <cellStyle name="Notas 4 2 5 2 2 3" xfId="56313" xr:uid="{00000000-0005-0000-0000-00000ADC0000}"/>
    <cellStyle name="Notas 4 2 5 2 2 4" xfId="56314" xr:uid="{00000000-0005-0000-0000-00000BDC0000}"/>
    <cellStyle name="Notas 4 2 5 2 3" xfId="56315" xr:uid="{00000000-0005-0000-0000-00000CDC0000}"/>
    <cellStyle name="Notas 4 2 5 2 3 2" xfId="56316" xr:uid="{00000000-0005-0000-0000-00000DDC0000}"/>
    <cellStyle name="Notas 4 2 5 2 4" xfId="56317" xr:uid="{00000000-0005-0000-0000-00000EDC0000}"/>
    <cellStyle name="Notas 4 2 5 2 5" xfId="56318" xr:uid="{00000000-0005-0000-0000-00000FDC0000}"/>
    <cellStyle name="Notas 4 2 5 3" xfId="56319" xr:uid="{00000000-0005-0000-0000-000010DC0000}"/>
    <cellStyle name="Notas 4 2 5 3 2" xfId="56320" xr:uid="{00000000-0005-0000-0000-000011DC0000}"/>
    <cellStyle name="Notas 4 2 5 3 2 2" xfId="56321" xr:uid="{00000000-0005-0000-0000-000012DC0000}"/>
    <cellStyle name="Notas 4 2 5 3 3" xfId="56322" xr:uid="{00000000-0005-0000-0000-000013DC0000}"/>
    <cellStyle name="Notas 4 2 5 3 3 2" xfId="56323" xr:uid="{00000000-0005-0000-0000-000014DC0000}"/>
    <cellStyle name="Notas 4 2 5 3 4" xfId="56324" xr:uid="{00000000-0005-0000-0000-000015DC0000}"/>
    <cellStyle name="Notas 4 2 5 3 5" xfId="56325" xr:uid="{00000000-0005-0000-0000-000016DC0000}"/>
    <cellStyle name="Notas 4 2 5 4" xfId="56326" xr:uid="{00000000-0005-0000-0000-000017DC0000}"/>
    <cellStyle name="Notas 4 2 5 4 2" xfId="56327" xr:uid="{00000000-0005-0000-0000-000018DC0000}"/>
    <cellStyle name="Notas 4 2 5 5" xfId="56328" xr:uid="{00000000-0005-0000-0000-000019DC0000}"/>
    <cellStyle name="Notas 4 2 5 5 2" xfId="56329" xr:uid="{00000000-0005-0000-0000-00001ADC0000}"/>
    <cellStyle name="Notas 4 2 5 6" xfId="56330" xr:uid="{00000000-0005-0000-0000-00001BDC0000}"/>
    <cellStyle name="Notas 4 2 5 7" xfId="56331" xr:uid="{00000000-0005-0000-0000-00001CDC0000}"/>
    <cellStyle name="Notas 4 2 6" xfId="56332" xr:uid="{00000000-0005-0000-0000-00001DDC0000}"/>
    <cellStyle name="Notas 4 2 6 2" xfId="56333" xr:uid="{00000000-0005-0000-0000-00001EDC0000}"/>
    <cellStyle name="Notas 4 2 6 2 2" xfId="56334" xr:uid="{00000000-0005-0000-0000-00001FDC0000}"/>
    <cellStyle name="Notas 4 2 6 2 2 2" xfId="56335" xr:uid="{00000000-0005-0000-0000-000020DC0000}"/>
    <cellStyle name="Notas 4 2 6 2 3" xfId="56336" xr:uid="{00000000-0005-0000-0000-000021DC0000}"/>
    <cellStyle name="Notas 4 2 6 2 4" xfId="56337" xr:uid="{00000000-0005-0000-0000-000022DC0000}"/>
    <cellStyle name="Notas 4 2 6 3" xfId="56338" xr:uid="{00000000-0005-0000-0000-000023DC0000}"/>
    <cellStyle name="Notas 4 2 6 3 2" xfId="56339" xr:uid="{00000000-0005-0000-0000-000024DC0000}"/>
    <cellStyle name="Notas 4 2 6 4" xfId="56340" xr:uid="{00000000-0005-0000-0000-000025DC0000}"/>
    <cellStyle name="Notas 4 2 6 5" xfId="56341" xr:uid="{00000000-0005-0000-0000-000026DC0000}"/>
    <cellStyle name="Notas 4 2 7" xfId="56342" xr:uid="{00000000-0005-0000-0000-000027DC0000}"/>
    <cellStyle name="Notas 4 2 7 2" xfId="56343" xr:uid="{00000000-0005-0000-0000-000028DC0000}"/>
    <cellStyle name="Notas 4 2 7 2 2" xfId="56344" xr:uid="{00000000-0005-0000-0000-000029DC0000}"/>
    <cellStyle name="Notas 4 2 7 3" xfId="56345" xr:uid="{00000000-0005-0000-0000-00002ADC0000}"/>
    <cellStyle name="Notas 4 2 7 3 2" xfId="56346" xr:uid="{00000000-0005-0000-0000-00002BDC0000}"/>
    <cellStyle name="Notas 4 2 7 4" xfId="56347" xr:uid="{00000000-0005-0000-0000-00002CDC0000}"/>
    <cellStyle name="Notas 4 2 7 5" xfId="56348" xr:uid="{00000000-0005-0000-0000-00002DDC0000}"/>
    <cellStyle name="Notas 4 2 8" xfId="56349" xr:uid="{00000000-0005-0000-0000-00002EDC0000}"/>
    <cellStyle name="Notas 4 2 8 2" xfId="56350" xr:uid="{00000000-0005-0000-0000-00002FDC0000}"/>
    <cellStyle name="Notas 4 2 9" xfId="56351" xr:uid="{00000000-0005-0000-0000-000030DC0000}"/>
    <cellStyle name="Notas 4 2 9 2" xfId="56352" xr:uid="{00000000-0005-0000-0000-000031DC0000}"/>
    <cellStyle name="Notas 4 3" xfId="56353" xr:uid="{00000000-0005-0000-0000-000032DC0000}"/>
    <cellStyle name="Notas 4 3 10" xfId="56354" xr:uid="{00000000-0005-0000-0000-000033DC0000}"/>
    <cellStyle name="Notas 4 3 2" xfId="56355" xr:uid="{00000000-0005-0000-0000-000034DC0000}"/>
    <cellStyle name="Notas 4 3 2 2" xfId="56356" xr:uid="{00000000-0005-0000-0000-000035DC0000}"/>
    <cellStyle name="Notas 4 3 2 2 2" xfId="56357" xr:uid="{00000000-0005-0000-0000-000036DC0000}"/>
    <cellStyle name="Notas 4 3 2 2 2 2" xfId="56358" xr:uid="{00000000-0005-0000-0000-000037DC0000}"/>
    <cellStyle name="Notas 4 3 2 2 2 2 2" xfId="56359" xr:uid="{00000000-0005-0000-0000-000038DC0000}"/>
    <cellStyle name="Notas 4 3 2 2 2 2 2 2" xfId="56360" xr:uid="{00000000-0005-0000-0000-000039DC0000}"/>
    <cellStyle name="Notas 4 3 2 2 2 2 2 2 2" xfId="56361" xr:uid="{00000000-0005-0000-0000-00003ADC0000}"/>
    <cellStyle name="Notas 4 3 2 2 2 2 2 3" xfId="56362" xr:uid="{00000000-0005-0000-0000-00003BDC0000}"/>
    <cellStyle name="Notas 4 3 2 2 2 2 2 4" xfId="56363" xr:uid="{00000000-0005-0000-0000-00003CDC0000}"/>
    <cellStyle name="Notas 4 3 2 2 2 2 3" xfId="56364" xr:uid="{00000000-0005-0000-0000-00003DDC0000}"/>
    <cellStyle name="Notas 4 3 2 2 2 2 3 2" xfId="56365" xr:uid="{00000000-0005-0000-0000-00003EDC0000}"/>
    <cellStyle name="Notas 4 3 2 2 2 2 4" xfId="56366" xr:uid="{00000000-0005-0000-0000-00003FDC0000}"/>
    <cellStyle name="Notas 4 3 2 2 2 2 5" xfId="56367" xr:uid="{00000000-0005-0000-0000-000040DC0000}"/>
    <cellStyle name="Notas 4 3 2 2 2 3" xfId="56368" xr:uid="{00000000-0005-0000-0000-000041DC0000}"/>
    <cellStyle name="Notas 4 3 2 2 2 3 2" xfId="56369" xr:uid="{00000000-0005-0000-0000-000042DC0000}"/>
    <cellStyle name="Notas 4 3 2 2 2 3 2 2" xfId="56370" xr:uid="{00000000-0005-0000-0000-000043DC0000}"/>
    <cellStyle name="Notas 4 3 2 2 2 3 3" xfId="56371" xr:uid="{00000000-0005-0000-0000-000044DC0000}"/>
    <cellStyle name="Notas 4 3 2 2 2 3 4" xfId="56372" xr:uid="{00000000-0005-0000-0000-000045DC0000}"/>
    <cellStyle name="Notas 4 3 2 2 2 4" xfId="56373" xr:uid="{00000000-0005-0000-0000-000046DC0000}"/>
    <cellStyle name="Notas 4 3 2 2 2 4 2" xfId="56374" xr:uid="{00000000-0005-0000-0000-000047DC0000}"/>
    <cellStyle name="Notas 4 3 2 2 2 5" xfId="56375" xr:uid="{00000000-0005-0000-0000-000048DC0000}"/>
    <cellStyle name="Notas 4 3 2 2 2 6" xfId="56376" xr:uid="{00000000-0005-0000-0000-000049DC0000}"/>
    <cellStyle name="Notas 4 3 2 2 3" xfId="56377" xr:uid="{00000000-0005-0000-0000-00004ADC0000}"/>
    <cellStyle name="Notas 4 3 2 2 3 2" xfId="56378" xr:uid="{00000000-0005-0000-0000-00004BDC0000}"/>
    <cellStyle name="Notas 4 3 2 2 3 2 2" xfId="56379" xr:uid="{00000000-0005-0000-0000-00004CDC0000}"/>
    <cellStyle name="Notas 4 3 2 2 3 2 2 2" xfId="56380" xr:uid="{00000000-0005-0000-0000-00004DDC0000}"/>
    <cellStyle name="Notas 4 3 2 2 3 2 3" xfId="56381" xr:uid="{00000000-0005-0000-0000-00004EDC0000}"/>
    <cellStyle name="Notas 4 3 2 2 3 2 4" xfId="56382" xr:uid="{00000000-0005-0000-0000-00004FDC0000}"/>
    <cellStyle name="Notas 4 3 2 2 3 3" xfId="56383" xr:uid="{00000000-0005-0000-0000-000050DC0000}"/>
    <cellStyle name="Notas 4 3 2 2 3 3 2" xfId="56384" xr:uid="{00000000-0005-0000-0000-000051DC0000}"/>
    <cellStyle name="Notas 4 3 2 2 3 4" xfId="56385" xr:uid="{00000000-0005-0000-0000-000052DC0000}"/>
    <cellStyle name="Notas 4 3 2 2 3 5" xfId="56386" xr:uid="{00000000-0005-0000-0000-000053DC0000}"/>
    <cellStyle name="Notas 4 3 2 2 4" xfId="56387" xr:uid="{00000000-0005-0000-0000-000054DC0000}"/>
    <cellStyle name="Notas 4 3 2 2 4 2" xfId="56388" xr:uid="{00000000-0005-0000-0000-000055DC0000}"/>
    <cellStyle name="Notas 4 3 2 2 4 2 2" xfId="56389" xr:uid="{00000000-0005-0000-0000-000056DC0000}"/>
    <cellStyle name="Notas 4 3 2 2 4 3" xfId="56390" xr:uid="{00000000-0005-0000-0000-000057DC0000}"/>
    <cellStyle name="Notas 4 3 2 2 4 4" xfId="56391" xr:uid="{00000000-0005-0000-0000-000058DC0000}"/>
    <cellStyle name="Notas 4 3 2 2 5" xfId="56392" xr:uid="{00000000-0005-0000-0000-000059DC0000}"/>
    <cellStyle name="Notas 4 3 2 2 5 2" xfId="56393" xr:uid="{00000000-0005-0000-0000-00005ADC0000}"/>
    <cellStyle name="Notas 4 3 2 2 6" xfId="56394" xr:uid="{00000000-0005-0000-0000-00005BDC0000}"/>
    <cellStyle name="Notas 4 3 2 2 7" xfId="56395" xr:uid="{00000000-0005-0000-0000-00005CDC0000}"/>
    <cellStyle name="Notas 4 3 2 3" xfId="56396" xr:uid="{00000000-0005-0000-0000-00005DDC0000}"/>
    <cellStyle name="Notas 4 3 2 3 2" xfId="56397" xr:uid="{00000000-0005-0000-0000-00005EDC0000}"/>
    <cellStyle name="Notas 4 3 2 3 2 2" xfId="56398" xr:uid="{00000000-0005-0000-0000-00005FDC0000}"/>
    <cellStyle name="Notas 4 3 2 3 2 2 2" xfId="56399" xr:uid="{00000000-0005-0000-0000-000060DC0000}"/>
    <cellStyle name="Notas 4 3 2 3 2 2 2 2" xfId="56400" xr:uid="{00000000-0005-0000-0000-000061DC0000}"/>
    <cellStyle name="Notas 4 3 2 3 2 2 3" xfId="56401" xr:uid="{00000000-0005-0000-0000-000062DC0000}"/>
    <cellStyle name="Notas 4 3 2 3 2 2 4" xfId="56402" xr:uid="{00000000-0005-0000-0000-000063DC0000}"/>
    <cellStyle name="Notas 4 3 2 3 2 3" xfId="56403" xr:uid="{00000000-0005-0000-0000-000064DC0000}"/>
    <cellStyle name="Notas 4 3 2 3 2 3 2" xfId="56404" xr:uid="{00000000-0005-0000-0000-000065DC0000}"/>
    <cellStyle name="Notas 4 3 2 3 2 4" xfId="56405" xr:uid="{00000000-0005-0000-0000-000066DC0000}"/>
    <cellStyle name="Notas 4 3 2 3 2 5" xfId="56406" xr:uid="{00000000-0005-0000-0000-000067DC0000}"/>
    <cellStyle name="Notas 4 3 2 3 3" xfId="56407" xr:uid="{00000000-0005-0000-0000-000068DC0000}"/>
    <cellStyle name="Notas 4 3 2 3 3 2" xfId="56408" xr:uid="{00000000-0005-0000-0000-000069DC0000}"/>
    <cellStyle name="Notas 4 3 2 3 3 2 2" xfId="56409" xr:uid="{00000000-0005-0000-0000-00006ADC0000}"/>
    <cellStyle name="Notas 4 3 2 3 3 3" xfId="56410" xr:uid="{00000000-0005-0000-0000-00006BDC0000}"/>
    <cellStyle name="Notas 4 3 2 3 3 3 2" xfId="56411" xr:uid="{00000000-0005-0000-0000-00006CDC0000}"/>
    <cellStyle name="Notas 4 3 2 3 3 4" xfId="56412" xr:uid="{00000000-0005-0000-0000-00006DDC0000}"/>
    <cellStyle name="Notas 4 3 2 3 3 5" xfId="56413" xr:uid="{00000000-0005-0000-0000-00006EDC0000}"/>
    <cellStyle name="Notas 4 3 2 3 4" xfId="56414" xr:uid="{00000000-0005-0000-0000-00006FDC0000}"/>
    <cellStyle name="Notas 4 3 2 3 4 2" xfId="56415" xr:uid="{00000000-0005-0000-0000-000070DC0000}"/>
    <cellStyle name="Notas 4 3 2 3 5" xfId="56416" xr:uid="{00000000-0005-0000-0000-000071DC0000}"/>
    <cellStyle name="Notas 4 3 2 3 5 2" xfId="56417" xr:uid="{00000000-0005-0000-0000-000072DC0000}"/>
    <cellStyle name="Notas 4 3 2 3 6" xfId="56418" xr:uid="{00000000-0005-0000-0000-000073DC0000}"/>
    <cellStyle name="Notas 4 3 2 3 7" xfId="56419" xr:uid="{00000000-0005-0000-0000-000074DC0000}"/>
    <cellStyle name="Notas 4 3 2 4" xfId="56420" xr:uid="{00000000-0005-0000-0000-000075DC0000}"/>
    <cellStyle name="Notas 4 3 2 4 2" xfId="56421" xr:uid="{00000000-0005-0000-0000-000076DC0000}"/>
    <cellStyle name="Notas 4 3 2 4 2 2" xfId="56422" xr:uid="{00000000-0005-0000-0000-000077DC0000}"/>
    <cellStyle name="Notas 4 3 2 4 2 2 2" xfId="56423" xr:uid="{00000000-0005-0000-0000-000078DC0000}"/>
    <cellStyle name="Notas 4 3 2 4 2 3" xfId="56424" xr:uid="{00000000-0005-0000-0000-000079DC0000}"/>
    <cellStyle name="Notas 4 3 2 4 2 4" xfId="56425" xr:uid="{00000000-0005-0000-0000-00007ADC0000}"/>
    <cellStyle name="Notas 4 3 2 4 3" xfId="56426" xr:uid="{00000000-0005-0000-0000-00007BDC0000}"/>
    <cellStyle name="Notas 4 3 2 4 3 2" xfId="56427" xr:uid="{00000000-0005-0000-0000-00007CDC0000}"/>
    <cellStyle name="Notas 4 3 2 4 4" xfId="56428" xr:uid="{00000000-0005-0000-0000-00007DDC0000}"/>
    <cellStyle name="Notas 4 3 2 4 5" xfId="56429" xr:uid="{00000000-0005-0000-0000-00007EDC0000}"/>
    <cellStyle name="Notas 4 3 2 5" xfId="56430" xr:uid="{00000000-0005-0000-0000-00007FDC0000}"/>
    <cellStyle name="Notas 4 3 2 5 2" xfId="56431" xr:uid="{00000000-0005-0000-0000-000080DC0000}"/>
    <cellStyle name="Notas 4 3 2 5 2 2" xfId="56432" xr:uid="{00000000-0005-0000-0000-000081DC0000}"/>
    <cellStyle name="Notas 4 3 2 5 3" xfId="56433" xr:uid="{00000000-0005-0000-0000-000082DC0000}"/>
    <cellStyle name="Notas 4 3 2 5 3 2" xfId="56434" xr:uid="{00000000-0005-0000-0000-000083DC0000}"/>
    <cellStyle name="Notas 4 3 2 5 4" xfId="56435" xr:uid="{00000000-0005-0000-0000-000084DC0000}"/>
    <cellStyle name="Notas 4 3 2 5 5" xfId="56436" xr:uid="{00000000-0005-0000-0000-000085DC0000}"/>
    <cellStyle name="Notas 4 3 2 6" xfId="56437" xr:uid="{00000000-0005-0000-0000-000086DC0000}"/>
    <cellStyle name="Notas 4 3 2 6 2" xfId="56438" xr:uid="{00000000-0005-0000-0000-000087DC0000}"/>
    <cellStyle name="Notas 4 3 2 7" xfId="56439" xr:uid="{00000000-0005-0000-0000-000088DC0000}"/>
    <cellStyle name="Notas 4 3 2 7 2" xfId="56440" xr:uid="{00000000-0005-0000-0000-000089DC0000}"/>
    <cellStyle name="Notas 4 3 2 8" xfId="56441" xr:uid="{00000000-0005-0000-0000-00008ADC0000}"/>
    <cellStyle name="Notas 4 3 2 9" xfId="56442" xr:uid="{00000000-0005-0000-0000-00008BDC0000}"/>
    <cellStyle name="Notas 4 3 3" xfId="56443" xr:uid="{00000000-0005-0000-0000-00008CDC0000}"/>
    <cellStyle name="Notas 4 3 3 2" xfId="56444" xr:uid="{00000000-0005-0000-0000-00008DDC0000}"/>
    <cellStyle name="Notas 4 3 3 2 2" xfId="56445" xr:uid="{00000000-0005-0000-0000-00008EDC0000}"/>
    <cellStyle name="Notas 4 3 3 2 2 2" xfId="56446" xr:uid="{00000000-0005-0000-0000-00008FDC0000}"/>
    <cellStyle name="Notas 4 3 3 2 2 2 2" xfId="56447" xr:uid="{00000000-0005-0000-0000-000090DC0000}"/>
    <cellStyle name="Notas 4 3 3 2 2 2 2 2" xfId="56448" xr:uid="{00000000-0005-0000-0000-000091DC0000}"/>
    <cellStyle name="Notas 4 3 3 2 2 2 3" xfId="56449" xr:uid="{00000000-0005-0000-0000-000092DC0000}"/>
    <cellStyle name="Notas 4 3 3 2 2 2 4" xfId="56450" xr:uid="{00000000-0005-0000-0000-000093DC0000}"/>
    <cellStyle name="Notas 4 3 3 2 2 3" xfId="56451" xr:uid="{00000000-0005-0000-0000-000094DC0000}"/>
    <cellStyle name="Notas 4 3 3 2 2 3 2" xfId="56452" xr:uid="{00000000-0005-0000-0000-000095DC0000}"/>
    <cellStyle name="Notas 4 3 3 2 2 4" xfId="56453" xr:uid="{00000000-0005-0000-0000-000096DC0000}"/>
    <cellStyle name="Notas 4 3 3 2 2 5" xfId="56454" xr:uid="{00000000-0005-0000-0000-000097DC0000}"/>
    <cellStyle name="Notas 4 3 3 2 3" xfId="56455" xr:uid="{00000000-0005-0000-0000-000098DC0000}"/>
    <cellStyle name="Notas 4 3 3 2 3 2" xfId="56456" xr:uid="{00000000-0005-0000-0000-000099DC0000}"/>
    <cellStyle name="Notas 4 3 3 2 3 2 2" xfId="56457" xr:uid="{00000000-0005-0000-0000-00009ADC0000}"/>
    <cellStyle name="Notas 4 3 3 2 3 3" xfId="56458" xr:uid="{00000000-0005-0000-0000-00009BDC0000}"/>
    <cellStyle name="Notas 4 3 3 2 3 3 2" xfId="56459" xr:uid="{00000000-0005-0000-0000-00009CDC0000}"/>
    <cellStyle name="Notas 4 3 3 2 3 4" xfId="56460" xr:uid="{00000000-0005-0000-0000-00009DDC0000}"/>
    <cellStyle name="Notas 4 3 3 2 3 5" xfId="56461" xr:uid="{00000000-0005-0000-0000-00009EDC0000}"/>
    <cellStyle name="Notas 4 3 3 2 4" xfId="56462" xr:uid="{00000000-0005-0000-0000-00009FDC0000}"/>
    <cellStyle name="Notas 4 3 3 2 4 2" xfId="56463" xr:uid="{00000000-0005-0000-0000-0000A0DC0000}"/>
    <cellStyle name="Notas 4 3 3 2 5" xfId="56464" xr:uid="{00000000-0005-0000-0000-0000A1DC0000}"/>
    <cellStyle name="Notas 4 3 3 2 5 2" xfId="56465" xr:uid="{00000000-0005-0000-0000-0000A2DC0000}"/>
    <cellStyle name="Notas 4 3 3 2 6" xfId="56466" xr:uid="{00000000-0005-0000-0000-0000A3DC0000}"/>
    <cellStyle name="Notas 4 3 3 2 7" xfId="56467" xr:uid="{00000000-0005-0000-0000-0000A4DC0000}"/>
    <cellStyle name="Notas 4 3 3 3" xfId="56468" xr:uid="{00000000-0005-0000-0000-0000A5DC0000}"/>
    <cellStyle name="Notas 4 3 3 3 2" xfId="56469" xr:uid="{00000000-0005-0000-0000-0000A6DC0000}"/>
    <cellStyle name="Notas 4 3 3 3 2 2" xfId="56470" xr:uid="{00000000-0005-0000-0000-0000A7DC0000}"/>
    <cellStyle name="Notas 4 3 3 3 2 2 2" xfId="56471" xr:uid="{00000000-0005-0000-0000-0000A8DC0000}"/>
    <cellStyle name="Notas 4 3 3 3 2 3" xfId="56472" xr:uid="{00000000-0005-0000-0000-0000A9DC0000}"/>
    <cellStyle name="Notas 4 3 3 3 2 4" xfId="56473" xr:uid="{00000000-0005-0000-0000-0000AADC0000}"/>
    <cellStyle name="Notas 4 3 3 3 3" xfId="56474" xr:uid="{00000000-0005-0000-0000-0000ABDC0000}"/>
    <cellStyle name="Notas 4 3 3 3 3 2" xfId="56475" xr:uid="{00000000-0005-0000-0000-0000ACDC0000}"/>
    <cellStyle name="Notas 4 3 3 3 4" xfId="56476" xr:uid="{00000000-0005-0000-0000-0000ADDC0000}"/>
    <cellStyle name="Notas 4 3 3 3 5" xfId="56477" xr:uid="{00000000-0005-0000-0000-0000AEDC0000}"/>
    <cellStyle name="Notas 4 3 3 4" xfId="56478" xr:uid="{00000000-0005-0000-0000-0000AFDC0000}"/>
    <cellStyle name="Notas 4 3 3 4 2" xfId="56479" xr:uid="{00000000-0005-0000-0000-0000B0DC0000}"/>
    <cellStyle name="Notas 4 3 3 4 2 2" xfId="56480" xr:uid="{00000000-0005-0000-0000-0000B1DC0000}"/>
    <cellStyle name="Notas 4 3 3 4 3" xfId="56481" xr:uid="{00000000-0005-0000-0000-0000B2DC0000}"/>
    <cellStyle name="Notas 4 3 3 4 3 2" xfId="56482" xr:uid="{00000000-0005-0000-0000-0000B3DC0000}"/>
    <cellStyle name="Notas 4 3 3 4 4" xfId="56483" xr:uid="{00000000-0005-0000-0000-0000B4DC0000}"/>
    <cellStyle name="Notas 4 3 3 4 5" xfId="56484" xr:uid="{00000000-0005-0000-0000-0000B5DC0000}"/>
    <cellStyle name="Notas 4 3 3 5" xfId="56485" xr:uid="{00000000-0005-0000-0000-0000B6DC0000}"/>
    <cellStyle name="Notas 4 3 3 5 2" xfId="56486" xr:uid="{00000000-0005-0000-0000-0000B7DC0000}"/>
    <cellStyle name="Notas 4 3 3 6" xfId="56487" xr:uid="{00000000-0005-0000-0000-0000B8DC0000}"/>
    <cellStyle name="Notas 4 3 3 6 2" xfId="56488" xr:uid="{00000000-0005-0000-0000-0000B9DC0000}"/>
    <cellStyle name="Notas 4 3 3 7" xfId="56489" xr:uid="{00000000-0005-0000-0000-0000BADC0000}"/>
    <cellStyle name="Notas 4 3 3 8" xfId="56490" xr:uid="{00000000-0005-0000-0000-0000BBDC0000}"/>
    <cellStyle name="Notas 4 3 4" xfId="56491" xr:uid="{00000000-0005-0000-0000-0000BCDC0000}"/>
    <cellStyle name="Notas 4 3 4 2" xfId="56492" xr:uid="{00000000-0005-0000-0000-0000BDDC0000}"/>
    <cellStyle name="Notas 4 3 4 2 2" xfId="56493" xr:uid="{00000000-0005-0000-0000-0000BEDC0000}"/>
    <cellStyle name="Notas 4 3 4 2 2 2" xfId="56494" xr:uid="{00000000-0005-0000-0000-0000BFDC0000}"/>
    <cellStyle name="Notas 4 3 4 2 2 2 2" xfId="56495" xr:uid="{00000000-0005-0000-0000-0000C0DC0000}"/>
    <cellStyle name="Notas 4 3 4 2 2 3" xfId="56496" xr:uid="{00000000-0005-0000-0000-0000C1DC0000}"/>
    <cellStyle name="Notas 4 3 4 2 2 4" xfId="56497" xr:uid="{00000000-0005-0000-0000-0000C2DC0000}"/>
    <cellStyle name="Notas 4 3 4 2 3" xfId="56498" xr:uid="{00000000-0005-0000-0000-0000C3DC0000}"/>
    <cellStyle name="Notas 4 3 4 2 3 2" xfId="56499" xr:uid="{00000000-0005-0000-0000-0000C4DC0000}"/>
    <cellStyle name="Notas 4 3 4 2 4" xfId="56500" xr:uid="{00000000-0005-0000-0000-0000C5DC0000}"/>
    <cellStyle name="Notas 4 3 4 2 5" xfId="56501" xr:uid="{00000000-0005-0000-0000-0000C6DC0000}"/>
    <cellStyle name="Notas 4 3 4 3" xfId="56502" xr:uid="{00000000-0005-0000-0000-0000C7DC0000}"/>
    <cellStyle name="Notas 4 3 4 3 2" xfId="56503" xr:uid="{00000000-0005-0000-0000-0000C8DC0000}"/>
    <cellStyle name="Notas 4 3 4 3 2 2" xfId="56504" xr:uid="{00000000-0005-0000-0000-0000C9DC0000}"/>
    <cellStyle name="Notas 4 3 4 3 3" xfId="56505" xr:uid="{00000000-0005-0000-0000-0000CADC0000}"/>
    <cellStyle name="Notas 4 3 4 3 3 2" xfId="56506" xr:uid="{00000000-0005-0000-0000-0000CBDC0000}"/>
    <cellStyle name="Notas 4 3 4 3 4" xfId="56507" xr:uid="{00000000-0005-0000-0000-0000CCDC0000}"/>
    <cellStyle name="Notas 4 3 4 3 5" xfId="56508" xr:uid="{00000000-0005-0000-0000-0000CDDC0000}"/>
    <cellStyle name="Notas 4 3 4 4" xfId="56509" xr:uid="{00000000-0005-0000-0000-0000CEDC0000}"/>
    <cellStyle name="Notas 4 3 4 4 2" xfId="56510" xr:uid="{00000000-0005-0000-0000-0000CFDC0000}"/>
    <cellStyle name="Notas 4 3 4 5" xfId="56511" xr:uid="{00000000-0005-0000-0000-0000D0DC0000}"/>
    <cellStyle name="Notas 4 3 4 5 2" xfId="56512" xr:uid="{00000000-0005-0000-0000-0000D1DC0000}"/>
    <cellStyle name="Notas 4 3 4 6" xfId="56513" xr:uid="{00000000-0005-0000-0000-0000D2DC0000}"/>
    <cellStyle name="Notas 4 3 4 7" xfId="56514" xr:uid="{00000000-0005-0000-0000-0000D3DC0000}"/>
    <cellStyle name="Notas 4 3 5" xfId="56515" xr:uid="{00000000-0005-0000-0000-0000D4DC0000}"/>
    <cellStyle name="Notas 4 3 5 2" xfId="56516" xr:uid="{00000000-0005-0000-0000-0000D5DC0000}"/>
    <cellStyle name="Notas 4 3 5 2 2" xfId="56517" xr:uid="{00000000-0005-0000-0000-0000D6DC0000}"/>
    <cellStyle name="Notas 4 3 5 2 2 2" xfId="56518" xr:uid="{00000000-0005-0000-0000-0000D7DC0000}"/>
    <cellStyle name="Notas 4 3 5 2 3" xfId="56519" xr:uid="{00000000-0005-0000-0000-0000D8DC0000}"/>
    <cellStyle name="Notas 4 3 5 2 4" xfId="56520" xr:uid="{00000000-0005-0000-0000-0000D9DC0000}"/>
    <cellStyle name="Notas 4 3 5 3" xfId="56521" xr:uid="{00000000-0005-0000-0000-0000DADC0000}"/>
    <cellStyle name="Notas 4 3 5 3 2" xfId="56522" xr:uid="{00000000-0005-0000-0000-0000DBDC0000}"/>
    <cellStyle name="Notas 4 3 5 4" xfId="56523" xr:uid="{00000000-0005-0000-0000-0000DCDC0000}"/>
    <cellStyle name="Notas 4 3 5 5" xfId="56524" xr:uid="{00000000-0005-0000-0000-0000DDDC0000}"/>
    <cellStyle name="Notas 4 3 6" xfId="56525" xr:uid="{00000000-0005-0000-0000-0000DEDC0000}"/>
    <cellStyle name="Notas 4 3 6 2" xfId="56526" xr:uid="{00000000-0005-0000-0000-0000DFDC0000}"/>
    <cellStyle name="Notas 4 3 6 2 2" xfId="56527" xr:uid="{00000000-0005-0000-0000-0000E0DC0000}"/>
    <cellStyle name="Notas 4 3 6 3" xfId="56528" xr:uid="{00000000-0005-0000-0000-0000E1DC0000}"/>
    <cellStyle name="Notas 4 3 6 3 2" xfId="56529" xr:uid="{00000000-0005-0000-0000-0000E2DC0000}"/>
    <cellStyle name="Notas 4 3 6 4" xfId="56530" xr:uid="{00000000-0005-0000-0000-0000E3DC0000}"/>
    <cellStyle name="Notas 4 3 6 5" xfId="56531" xr:uid="{00000000-0005-0000-0000-0000E4DC0000}"/>
    <cellStyle name="Notas 4 3 7" xfId="56532" xr:uid="{00000000-0005-0000-0000-0000E5DC0000}"/>
    <cellStyle name="Notas 4 3 7 2" xfId="56533" xr:uid="{00000000-0005-0000-0000-0000E6DC0000}"/>
    <cellStyle name="Notas 4 3 8" xfId="56534" xr:uid="{00000000-0005-0000-0000-0000E7DC0000}"/>
    <cellStyle name="Notas 4 3 8 2" xfId="56535" xr:uid="{00000000-0005-0000-0000-0000E8DC0000}"/>
    <cellStyle name="Notas 4 3 9" xfId="56536" xr:uid="{00000000-0005-0000-0000-0000E9DC0000}"/>
    <cellStyle name="Notas 4 4" xfId="56537" xr:uid="{00000000-0005-0000-0000-0000EADC0000}"/>
    <cellStyle name="Notas 4 4 2" xfId="56538" xr:uid="{00000000-0005-0000-0000-0000EBDC0000}"/>
    <cellStyle name="Notas 4 4 2 2" xfId="56539" xr:uid="{00000000-0005-0000-0000-0000ECDC0000}"/>
    <cellStyle name="Notas 4 4 2 2 2" xfId="56540" xr:uid="{00000000-0005-0000-0000-0000EDDC0000}"/>
    <cellStyle name="Notas 4 4 2 2 2 2" xfId="56541" xr:uid="{00000000-0005-0000-0000-0000EEDC0000}"/>
    <cellStyle name="Notas 4 4 2 2 2 2 2" xfId="56542" xr:uid="{00000000-0005-0000-0000-0000EFDC0000}"/>
    <cellStyle name="Notas 4 4 2 2 2 2 2 2" xfId="56543" xr:uid="{00000000-0005-0000-0000-0000F0DC0000}"/>
    <cellStyle name="Notas 4 4 2 2 2 2 3" xfId="56544" xr:uid="{00000000-0005-0000-0000-0000F1DC0000}"/>
    <cellStyle name="Notas 4 4 2 2 2 2 4" xfId="56545" xr:uid="{00000000-0005-0000-0000-0000F2DC0000}"/>
    <cellStyle name="Notas 4 4 2 2 2 3" xfId="56546" xr:uid="{00000000-0005-0000-0000-0000F3DC0000}"/>
    <cellStyle name="Notas 4 4 2 2 2 3 2" xfId="56547" xr:uid="{00000000-0005-0000-0000-0000F4DC0000}"/>
    <cellStyle name="Notas 4 4 2 2 2 4" xfId="56548" xr:uid="{00000000-0005-0000-0000-0000F5DC0000}"/>
    <cellStyle name="Notas 4 4 2 2 2 5" xfId="56549" xr:uid="{00000000-0005-0000-0000-0000F6DC0000}"/>
    <cellStyle name="Notas 4 4 2 2 3" xfId="56550" xr:uid="{00000000-0005-0000-0000-0000F7DC0000}"/>
    <cellStyle name="Notas 4 4 2 2 3 2" xfId="56551" xr:uid="{00000000-0005-0000-0000-0000F8DC0000}"/>
    <cellStyle name="Notas 4 4 2 2 3 2 2" xfId="56552" xr:uid="{00000000-0005-0000-0000-0000F9DC0000}"/>
    <cellStyle name="Notas 4 4 2 2 3 3" xfId="56553" xr:uid="{00000000-0005-0000-0000-0000FADC0000}"/>
    <cellStyle name="Notas 4 4 2 2 3 4" xfId="56554" xr:uid="{00000000-0005-0000-0000-0000FBDC0000}"/>
    <cellStyle name="Notas 4 4 2 2 4" xfId="56555" xr:uid="{00000000-0005-0000-0000-0000FCDC0000}"/>
    <cellStyle name="Notas 4 4 2 2 4 2" xfId="56556" xr:uid="{00000000-0005-0000-0000-0000FDDC0000}"/>
    <cellStyle name="Notas 4 4 2 2 5" xfId="56557" xr:uid="{00000000-0005-0000-0000-0000FEDC0000}"/>
    <cellStyle name="Notas 4 4 2 2 6" xfId="56558" xr:uid="{00000000-0005-0000-0000-0000FFDC0000}"/>
    <cellStyle name="Notas 4 4 2 3" xfId="56559" xr:uid="{00000000-0005-0000-0000-000000DD0000}"/>
    <cellStyle name="Notas 4 4 2 3 2" xfId="56560" xr:uid="{00000000-0005-0000-0000-000001DD0000}"/>
    <cellStyle name="Notas 4 4 2 3 2 2" xfId="56561" xr:uid="{00000000-0005-0000-0000-000002DD0000}"/>
    <cellStyle name="Notas 4 4 2 3 2 2 2" xfId="56562" xr:uid="{00000000-0005-0000-0000-000003DD0000}"/>
    <cellStyle name="Notas 4 4 2 3 2 3" xfId="56563" xr:uid="{00000000-0005-0000-0000-000004DD0000}"/>
    <cellStyle name="Notas 4 4 2 3 2 4" xfId="56564" xr:uid="{00000000-0005-0000-0000-000005DD0000}"/>
    <cellStyle name="Notas 4 4 2 3 3" xfId="56565" xr:uid="{00000000-0005-0000-0000-000006DD0000}"/>
    <cellStyle name="Notas 4 4 2 3 3 2" xfId="56566" xr:uid="{00000000-0005-0000-0000-000007DD0000}"/>
    <cellStyle name="Notas 4 4 2 3 4" xfId="56567" xr:uid="{00000000-0005-0000-0000-000008DD0000}"/>
    <cellStyle name="Notas 4 4 2 3 5" xfId="56568" xr:uid="{00000000-0005-0000-0000-000009DD0000}"/>
    <cellStyle name="Notas 4 4 2 4" xfId="56569" xr:uid="{00000000-0005-0000-0000-00000ADD0000}"/>
    <cellStyle name="Notas 4 4 2 4 2" xfId="56570" xr:uid="{00000000-0005-0000-0000-00000BDD0000}"/>
    <cellStyle name="Notas 4 4 2 4 2 2" xfId="56571" xr:uid="{00000000-0005-0000-0000-00000CDD0000}"/>
    <cellStyle name="Notas 4 4 2 4 3" xfId="56572" xr:uid="{00000000-0005-0000-0000-00000DDD0000}"/>
    <cellStyle name="Notas 4 4 2 4 4" xfId="56573" xr:uid="{00000000-0005-0000-0000-00000EDD0000}"/>
    <cellStyle name="Notas 4 4 2 5" xfId="56574" xr:uid="{00000000-0005-0000-0000-00000FDD0000}"/>
    <cellStyle name="Notas 4 4 2 5 2" xfId="56575" xr:uid="{00000000-0005-0000-0000-000010DD0000}"/>
    <cellStyle name="Notas 4 4 2 6" xfId="56576" xr:uid="{00000000-0005-0000-0000-000011DD0000}"/>
    <cellStyle name="Notas 4 4 2 7" xfId="56577" xr:uid="{00000000-0005-0000-0000-000012DD0000}"/>
    <cellStyle name="Notas 4 4 3" xfId="56578" xr:uid="{00000000-0005-0000-0000-000013DD0000}"/>
    <cellStyle name="Notas 4 4 3 2" xfId="56579" xr:uid="{00000000-0005-0000-0000-000014DD0000}"/>
    <cellStyle name="Notas 4 4 3 2 2" xfId="56580" xr:uid="{00000000-0005-0000-0000-000015DD0000}"/>
    <cellStyle name="Notas 4 4 3 2 2 2" xfId="56581" xr:uid="{00000000-0005-0000-0000-000016DD0000}"/>
    <cellStyle name="Notas 4 4 3 2 2 2 2" xfId="56582" xr:uid="{00000000-0005-0000-0000-000017DD0000}"/>
    <cellStyle name="Notas 4 4 3 2 2 3" xfId="56583" xr:uid="{00000000-0005-0000-0000-000018DD0000}"/>
    <cellStyle name="Notas 4 4 3 2 2 4" xfId="56584" xr:uid="{00000000-0005-0000-0000-000019DD0000}"/>
    <cellStyle name="Notas 4 4 3 2 3" xfId="56585" xr:uid="{00000000-0005-0000-0000-00001ADD0000}"/>
    <cellStyle name="Notas 4 4 3 2 3 2" xfId="56586" xr:uid="{00000000-0005-0000-0000-00001BDD0000}"/>
    <cellStyle name="Notas 4 4 3 2 4" xfId="56587" xr:uid="{00000000-0005-0000-0000-00001CDD0000}"/>
    <cellStyle name="Notas 4 4 3 2 5" xfId="56588" xr:uid="{00000000-0005-0000-0000-00001DDD0000}"/>
    <cellStyle name="Notas 4 4 3 3" xfId="56589" xr:uid="{00000000-0005-0000-0000-00001EDD0000}"/>
    <cellStyle name="Notas 4 4 3 3 2" xfId="56590" xr:uid="{00000000-0005-0000-0000-00001FDD0000}"/>
    <cellStyle name="Notas 4 4 3 3 2 2" xfId="56591" xr:uid="{00000000-0005-0000-0000-000020DD0000}"/>
    <cellStyle name="Notas 4 4 3 3 3" xfId="56592" xr:uid="{00000000-0005-0000-0000-000021DD0000}"/>
    <cellStyle name="Notas 4 4 3 3 3 2" xfId="56593" xr:uid="{00000000-0005-0000-0000-000022DD0000}"/>
    <cellStyle name="Notas 4 4 3 3 4" xfId="56594" xr:uid="{00000000-0005-0000-0000-000023DD0000}"/>
    <cellStyle name="Notas 4 4 3 3 5" xfId="56595" xr:uid="{00000000-0005-0000-0000-000024DD0000}"/>
    <cellStyle name="Notas 4 4 3 4" xfId="56596" xr:uid="{00000000-0005-0000-0000-000025DD0000}"/>
    <cellStyle name="Notas 4 4 3 4 2" xfId="56597" xr:uid="{00000000-0005-0000-0000-000026DD0000}"/>
    <cellStyle name="Notas 4 4 3 5" xfId="56598" xr:uid="{00000000-0005-0000-0000-000027DD0000}"/>
    <cellStyle name="Notas 4 4 3 5 2" xfId="56599" xr:uid="{00000000-0005-0000-0000-000028DD0000}"/>
    <cellStyle name="Notas 4 4 3 6" xfId="56600" xr:uid="{00000000-0005-0000-0000-000029DD0000}"/>
    <cellStyle name="Notas 4 4 3 7" xfId="56601" xr:uid="{00000000-0005-0000-0000-00002ADD0000}"/>
    <cellStyle name="Notas 4 4 4" xfId="56602" xr:uid="{00000000-0005-0000-0000-00002BDD0000}"/>
    <cellStyle name="Notas 4 4 4 2" xfId="56603" xr:uid="{00000000-0005-0000-0000-00002CDD0000}"/>
    <cellStyle name="Notas 4 4 4 2 2" xfId="56604" xr:uid="{00000000-0005-0000-0000-00002DDD0000}"/>
    <cellStyle name="Notas 4 4 4 2 2 2" xfId="56605" xr:uid="{00000000-0005-0000-0000-00002EDD0000}"/>
    <cellStyle name="Notas 4 4 4 2 3" xfId="56606" xr:uid="{00000000-0005-0000-0000-00002FDD0000}"/>
    <cellStyle name="Notas 4 4 4 2 4" xfId="56607" xr:uid="{00000000-0005-0000-0000-000030DD0000}"/>
    <cellStyle name="Notas 4 4 4 3" xfId="56608" xr:uid="{00000000-0005-0000-0000-000031DD0000}"/>
    <cellStyle name="Notas 4 4 4 3 2" xfId="56609" xr:uid="{00000000-0005-0000-0000-000032DD0000}"/>
    <cellStyle name="Notas 4 4 4 4" xfId="56610" xr:uid="{00000000-0005-0000-0000-000033DD0000}"/>
    <cellStyle name="Notas 4 4 4 5" xfId="56611" xr:uid="{00000000-0005-0000-0000-000034DD0000}"/>
    <cellStyle name="Notas 4 4 5" xfId="56612" xr:uid="{00000000-0005-0000-0000-000035DD0000}"/>
    <cellStyle name="Notas 4 4 5 2" xfId="56613" xr:uid="{00000000-0005-0000-0000-000036DD0000}"/>
    <cellStyle name="Notas 4 4 5 2 2" xfId="56614" xr:uid="{00000000-0005-0000-0000-000037DD0000}"/>
    <cellStyle name="Notas 4 4 5 3" xfId="56615" xr:uid="{00000000-0005-0000-0000-000038DD0000}"/>
    <cellStyle name="Notas 4 4 5 3 2" xfId="56616" xr:uid="{00000000-0005-0000-0000-000039DD0000}"/>
    <cellStyle name="Notas 4 4 5 4" xfId="56617" xr:uid="{00000000-0005-0000-0000-00003ADD0000}"/>
    <cellStyle name="Notas 4 4 5 5" xfId="56618" xr:uid="{00000000-0005-0000-0000-00003BDD0000}"/>
    <cellStyle name="Notas 4 4 6" xfId="56619" xr:uid="{00000000-0005-0000-0000-00003CDD0000}"/>
    <cellStyle name="Notas 4 4 6 2" xfId="56620" xr:uid="{00000000-0005-0000-0000-00003DDD0000}"/>
    <cellStyle name="Notas 4 4 7" xfId="56621" xr:uid="{00000000-0005-0000-0000-00003EDD0000}"/>
    <cellStyle name="Notas 4 4 7 2" xfId="56622" xr:uid="{00000000-0005-0000-0000-00003FDD0000}"/>
    <cellStyle name="Notas 4 4 8" xfId="56623" xr:uid="{00000000-0005-0000-0000-000040DD0000}"/>
    <cellStyle name="Notas 4 4 9" xfId="56624" xr:uid="{00000000-0005-0000-0000-000041DD0000}"/>
    <cellStyle name="Notas 4 5" xfId="56625" xr:uid="{00000000-0005-0000-0000-000042DD0000}"/>
    <cellStyle name="Notas 4 5 2" xfId="56626" xr:uid="{00000000-0005-0000-0000-000043DD0000}"/>
    <cellStyle name="Notas 4 5 2 2" xfId="56627" xr:uid="{00000000-0005-0000-0000-000044DD0000}"/>
    <cellStyle name="Notas 4 5 2 2 2" xfId="56628" xr:uid="{00000000-0005-0000-0000-000045DD0000}"/>
    <cellStyle name="Notas 4 5 2 2 2 2" xfId="56629" xr:uid="{00000000-0005-0000-0000-000046DD0000}"/>
    <cellStyle name="Notas 4 5 2 2 2 2 2" xfId="56630" xr:uid="{00000000-0005-0000-0000-000047DD0000}"/>
    <cellStyle name="Notas 4 5 2 2 2 3" xfId="56631" xr:uid="{00000000-0005-0000-0000-000048DD0000}"/>
    <cellStyle name="Notas 4 5 2 2 2 4" xfId="56632" xr:uid="{00000000-0005-0000-0000-000049DD0000}"/>
    <cellStyle name="Notas 4 5 2 2 3" xfId="56633" xr:uid="{00000000-0005-0000-0000-00004ADD0000}"/>
    <cellStyle name="Notas 4 5 2 2 3 2" xfId="56634" xr:uid="{00000000-0005-0000-0000-00004BDD0000}"/>
    <cellStyle name="Notas 4 5 2 2 4" xfId="56635" xr:uid="{00000000-0005-0000-0000-00004CDD0000}"/>
    <cellStyle name="Notas 4 5 2 2 5" xfId="56636" xr:uid="{00000000-0005-0000-0000-00004DDD0000}"/>
    <cellStyle name="Notas 4 5 2 3" xfId="56637" xr:uid="{00000000-0005-0000-0000-00004EDD0000}"/>
    <cellStyle name="Notas 4 5 2 3 2" xfId="56638" xr:uid="{00000000-0005-0000-0000-00004FDD0000}"/>
    <cellStyle name="Notas 4 5 2 3 2 2" xfId="56639" xr:uid="{00000000-0005-0000-0000-000050DD0000}"/>
    <cellStyle name="Notas 4 5 2 3 3" xfId="56640" xr:uid="{00000000-0005-0000-0000-000051DD0000}"/>
    <cellStyle name="Notas 4 5 2 3 3 2" xfId="56641" xr:uid="{00000000-0005-0000-0000-000052DD0000}"/>
    <cellStyle name="Notas 4 5 2 3 4" xfId="56642" xr:uid="{00000000-0005-0000-0000-000053DD0000}"/>
    <cellStyle name="Notas 4 5 2 3 5" xfId="56643" xr:uid="{00000000-0005-0000-0000-000054DD0000}"/>
    <cellStyle name="Notas 4 5 2 4" xfId="56644" xr:uid="{00000000-0005-0000-0000-000055DD0000}"/>
    <cellStyle name="Notas 4 5 2 4 2" xfId="56645" xr:uid="{00000000-0005-0000-0000-000056DD0000}"/>
    <cellStyle name="Notas 4 5 2 5" xfId="56646" xr:uid="{00000000-0005-0000-0000-000057DD0000}"/>
    <cellStyle name="Notas 4 5 2 5 2" xfId="56647" xr:uid="{00000000-0005-0000-0000-000058DD0000}"/>
    <cellStyle name="Notas 4 5 2 6" xfId="56648" xr:uid="{00000000-0005-0000-0000-000059DD0000}"/>
    <cellStyle name="Notas 4 5 2 7" xfId="56649" xr:uid="{00000000-0005-0000-0000-00005ADD0000}"/>
    <cellStyle name="Notas 4 5 3" xfId="56650" xr:uid="{00000000-0005-0000-0000-00005BDD0000}"/>
    <cellStyle name="Notas 4 5 3 2" xfId="56651" xr:uid="{00000000-0005-0000-0000-00005CDD0000}"/>
    <cellStyle name="Notas 4 5 3 2 2" xfId="56652" xr:uid="{00000000-0005-0000-0000-00005DDD0000}"/>
    <cellStyle name="Notas 4 5 3 2 2 2" xfId="56653" xr:uid="{00000000-0005-0000-0000-00005EDD0000}"/>
    <cellStyle name="Notas 4 5 3 2 3" xfId="56654" xr:uid="{00000000-0005-0000-0000-00005FDD0000}"/>
    <cellStyle name="Notas 4 5 3 2 4" xfId="56655" xr:uid="{00000000-0005-0000-0000-000060DD0000}"/>
    <cellStyle name="Notas 4 5 3 3" xfId="56656" xr:uid="{00000000-0005-0000-0000-000061DD0000}"/>
    <cellStyle name="Notas 4 5 3 3 2" xfId="56657" xr:uid="{00000000-0005-0000-0000-000062DD0000}"/>
    <cellStyle name="Notas 4 5 3 4" xfId="56658" xr:uid="{00000000-0005-0000-0000-000063DD0000}"/>
    <cellStyle name="Notas 4 5 3 5" xfId="56659" xr:uid="{00000000-0005-0000-0000-000064DD0000}"/>
    <cellStyle name="Notas 4 5 4" xfId="56660" xr:uid="{00000000-0005-0000-0000-000065DD0000}"/>
    <cellStyle name="Notas 4 5 4 2" xfId="56661" xr:uid="{00000000-0005-0000-0000-000066DD0000}"/>
    <cellStyle name="Notas 4 5 4 2 2" xfId="56662" xr:uid="{00000000-0005-0000-0000-000067DD0000}"/>
    <cellStyle name="Notas 4 5 4 3" xfId="56663" xr:uid="{00000000-0005-0000-0000-000068DD0000}"/>
    <cellStyle name="Notas 4 5 4 3 2" xfId="56664" xr:uid="{00000000-0005-0000-0000-000069DD0000}"/>
    <cellStyle name="Notas 4 5 4 4" xfId="56665" xr:uid="{00000000-0005-0000-0000-00006ADD0000}"/>
    <cellStyle name="Notas 4 5 4 5" xfId="56666" xr:uid="{00000000-0005-0000-0000-00006BDD0000}"/>
    <cellStyle name="Notas 4 5 5" xfId="56667" xr:uid="{00000000-0005-0000-0000-00006CDD0000}"/>
    <cellStyle name="Notas 4 5 5 2" xfId="56668" xr:uid="{00000000-0005-0000-0000-00006DDD0000}"/>
    <cellStyle name="Notas 4 5 6" xfId="56669" xr:uid="{00000000-0005-0000-0000-00006EDD0000}"/>
    <cellStyle name="Notas 4 5 6 2" xfId="56670" xr:uid="{00000000-0005-0000-0000-00006FDD0000}"/>
    <cellStyle name="Notas 4 5 7" xfId="56671" xr:uid="{00000000-0005-0000-0000-000070DD0000}"/>
    <cellStyle name="Notas 4 5 8" xfId="56672" xr:uid="{00000000-0005-0000-0000-000071DD0000}"/>
    <cellStyle name="Notas 4 6" xfId="56673" xr:uid="{00000000-0005-0000-0000-000072DD0000}"/>
    <cellStyle name="Notas 4 6 2" xfId="56674" xr:uid="{00000000-0005-0000-0000-000073DD0000}"/>
    <cellStyle name="Notas 4 6 2 2" xfId="56675" xr:uid="{00000000-0005-0000-0000-000074DD0000}"/>
    <cellStyle name="Notas 4 6 2 2 2" xfId="56676" xr:uid="{00000000-0005-0000-0000-000075DD0000}"/>
    <cellStyle name="Notas 4 6 2 2 2 2" xfId="56677" xr:uid="{00000000-0005-0000-0000-000076DD0000}"/>
    <cellStyle name="Notas 4 6 2 2 3" xfId="56678" xr:uid="{00000000-0005-0000-0000-000077DD0000}"/>
    <cellStyle name="Notas 4 6 2 2 4" xfId="56679" xr:uid="{00000000-0005-0000-0000-000078DD0000}"/>
    <cellStyle name="Notas 4 6 2 3" xfId="56680" xr:uid="{00000000-0005-0000-0000-000079DD0000}"/>
    <cellStyle name="Notas 4 6 2 3 2" xfId="56681" xr:uid="{00000000-0005-0000-0000-00007ADD0000}"/>
    <cellStyle name="Notas 4 6 2 4" xfId="56682" xr:uid="{00000000-0005-0000-0000-00007BDD0000}"/>
    <cellStyle name="Notas 4 6 2 5" xfId="56683" xr:uid="{00000000-0005-0000-0000-00007CDD0000}"/>
    <cellStyle name="Notas 4 6 3" xfId="56684" xr:uid="{00000000-0005-0000-0000-00007DDD0000}"/>
    <cellStyle name="Notas 4 6 3 2" xfId="56685" xr:uid="{00000000-0005-0000-0000-00007EDD0000}"/>
    <cellStyle name="Notas 4 6 3 3" xfId="56686" xr:uid="{00000000-0005-0000-0000-00007FDD0000}"/>
    <cellStyle name="Notas 4 6 4" xfId="56687" xr:uid="{00000000-0005-0000-0000-000080DD0000}"/>
    <cellStyle name="Notas 4 6 4 2" xfId="56688" xr:uid="{00000000-0005-0000-0000-000081DD0000}"/>
    <cellStyle name="Notas 4 6 5" xfId="56689" xr:uid="{00000000-0005-0000-0000-000082DD0000}"/>
    <cellStyle name="Notas 4 7" xfId="56690" xr:uid="{00000000-0005-0000-0000-000083DD0000}"/>
    <cellStyle name="Notas 4 7 2" xfId="56691" xr:uid="{00000000-0005-0000-0000-000084DD0000}"/>
    <cellStyle name="Notas 4 7 2 2" xfId="56692" xr:uid="{00000000-0005-0000-0000-000085DD0000}"/>
    <cellStyle name="Notas 4 7 2 2 2" xfId="56693" xr:uid="{00000000-0005-0000-0000-000086DD0000}"/>
    <cellStyle name="Notas 4 7 2 3" xfId="56694" xr:uid="{00000000-0005-0000-0000-000087DD0000}"/>
    <cellStyle name="Notas 4 7 2 3 2" xfId="56695" xr:uid="{00000000-0005-0000-0000-000088DD0000}"/>
    <cellStyle name="Notas 4 7 2 4" xfId="56696" xr:uid="{00000000-0005-0000-0000-000089DD0000}"/>
    <cellStyle name="Notas 4 7 2 5" xfId="56697" xr:uid="{00000000-0005-0000-0000-00008ADD0000}"/>
    <cellStyle name="Notas 4 7 3" xfId="56698" xr:uid="{00000000-0005-0000-0000-00008BDD0000}"/>
    <cellStyle name="Notas 4 7 3 2" xfId="56699" xr:uid="{00000000-0005-0000-0000-00008CDD0000}"/>
    <cellStyle name="Notas 4 7 4" xfId="56700" xr:uid="{00000000-0005-0000-0000-00008DDD0000}"/>
    <cellStyle name="Notas 4 7 4 2" xfId="56701" xr:uid="{00000000-0005-0000-0000-00008EDD0000}"/>
    <cellStyle name="Notas 4 7 5" xfId="56702" xr:uid="{00000000-0005-0000-0000-00008FDD0000}"/>
    <cellStyle name="Notas 4 7 6" xfId="56703" xr:uid="{00000000-0005-0000-0000-000090DD0000}"/>
    <cellStyle name="Notas 4 8" xfId="56704" xr:uid="{00000000-0005-0000-0000-000091DD0000}"/>
    <cellStyle name="Notas 4 8 2" xfId="56705" xr:uid="{00000000-0005-0000-0000-000092DD0000}"/>
    <cellStyle name="Notas 4 8 2 2" xfId="56706" xr:uid="{00000000-0005-0000-0000-000093DD0000}"/>
    <cellStyle name="Notas 4 8 3" xfId="56707" xr:uid="{00000000-0005-0000-0000-000094DD0000}"/>
    <cellStyle name="Notas 4 8 3 2" xfId="56708" xr:uid="{00000000-0005-0000-0000-000095DD0000}"/>
    <cellStyle name="Notas 4 8 4" xfId="56709" xr:uid="{00000000-0005-0000-0000-000096DD0000}"/>
    <cellStyle name="Notas 4 8 5" xfId="56710" xr:uid="{00000000-0005-0000-0000-000097DD0000}"/>
    <cellStyle name="Notas 4 9" xfId="56711" xr:uid="{00000000-0005-0000-0000-000098DD0000}"/>
    <cellStyle name="Notas 4 9 2" xfId="56712" xr:uid="{00000000-0005-0000-0000-000099DD0000}"/>
    <cellStyle name="Notas 4 9 2 2" xfId="56713" xr:uid="{00000000-0005-0000-0000-00009ADD0000}"/>
    <cellStyle name="Notas 4 9 3" xfId="56714" xr:uid="{00000000-0005-0000-0000-00009BDD0000}"/>
    <cellStyle name="Note" xfId="56715" xr:uid="{00000000-0005-0000-0000-00009CDD0000}"/>
    <cellStyle name="Note 2" xfId="56716" xr:uid="{00000000-0005-0000-0000-00009DDD0000}"/>
    <cellStyle name="Note 2 2" xfId="56717" xr:uid="{00000000-0005-0000-0000-00009EDD0000}"/>
    <cellStyle name="Note 2 3" xfId="56718" xr:uid="{00000000-0005-0000-0000-00009FDD0000}"/>
    <cellStyle name="Note 3" xfId="56719" xr:uid="{00000000-0005-0000-0000-0000A0DD0000}"/>
    <cellStyle name="Output" xfId="56720" xr:uid="{00000000-0005-0000-0000-0000A1DD0000}"/>
    <cellStyle name="Output 2" xfId="56721" xr:uid="{00000000-0005-0000-0000-0000A2DD0000}"/>
    <cellStyle name="Percent" xfId="62551" builtinId="5"/>
    <cellStyle name="Percent 2" xfId="56722" xr:uid="{00000000-0005-0000-0000-0000A3DD0000}"/>
    <cellStyle name="Percent 3" xfId="56723" xr:uid="{00000000-0005-0000-0000-0000A4DD0000}"/>
    <cellStyle name="Porcentaje 2" xfId="56724" xr:uid="{00000000-0005-0000-0000-0000A5DD0000}"/>
    <cellStyle name="Porcentaje 2 2" xfId="56725" xr:uid="{00000000-0005-0000-0000-0000A6DD0000}"/>
    <cellStyle name="Porcentaje 2 2 2" xfId="56726" xr:uid="{00000000-0005-0000-0000-0000A7DD0000}"/>
    <cellStyle name="Porcentaje 2 2 3" xfId="56727" xr:uid="{00000000-0005-0000-0000-0000A8DD0000}"/>
    <cellStyle name="Porcentaje 2 3" xfId="56728" xr:uid="{00000000-0005-0000-0000-0000A9DD0000}"/>
    <cellStyle name="Porcentaje 2 3 2" xfId="56729" xr:uid="{00000000-0005-0000-0000-0000AADD0000}"/>
    <cellStyle name="Porcentaje 2 4" xfId="56730" xr:uid="{00000000-0005-0000-0000-0000ABDD0000}"/>
    <cellStyle name="Porcentaje 2 4 2" xfId="56731" xr:uid="{00000000-0005-0000-0000-0000ACDD0000}"/>
    <cellStyle name="Porcentaje 2 4 2 2" xfId="56732" xr:uid="{00000000-0005-0000-0000-0000ADDD0000}"/>
    <cellStyle name="Porcentaje 2 4 2 2 2" xfId="56733" xr:uid="{00000000-0005-0000-0000-0000AEDD0000}"/>
    <cellStyle name="Porcentaje 2 4 2 3" xfId="56734" xr:uid="{00000000-0005-0000-0000-0000AFDD0000}"/>
    <cellStyle name="Porcentaje 2 4 3" xfId="56735" xr:uid="{00000000-0005-0000-0000-0000B0DD0000}"/>
    <cellStyle name="Porcentaje 2 4 3 2" xfId="56736" xr:uid="{00000000-0005-0000-0000-0000B1DD0000}"/>
    <cellStyle name="Porcentaje 2 4 4" xfId="56737" xr:uid="{00000000-0005-0000-0000-0000B2DD0000}"/>
    <cellStyle name="Porcentaje 2 5" xfId="56738" xr:uid="{00000000-0005-0000-0000-0000B3DD0000}"/>
    <cellStyle name="Porcentaje 2 5 2" xfId="56739" xr:uid="{00000000-0005-0000-0000-0000B4DD0000}"/>
    <cellStyle name="Porcentaje 2 5 2 2" xfId="56740" xr:uid="{00000000-0005-0000-0000-0000B5DD0000}"/>
    <cellStyle name="Porcentaje 2 5 2 2 2" xfId="56741" xr:uid="{00000000-0005-0000-0000-0000B6DD0000}"/>
    <cellStyle name="Porcentaje 2 5 2 3" xfId="56742" xr:uid="{00000000-0005-0000-0000-0000B7DD0000}"/>
    <cellStyle name="Porcentaje 2 5 3" xfId="56743" xr:uid="{00000000-0005-0000-0000-0000B8DD0000}"/>
    <cellStyle name="Porcentaje 2 5 3 2" xfId="56744" xr:uid="{00000000-0005-0000-0000-0000B9DD0000}"/>
    <cellStyle name="Porcentaje 2 5 4" xfId="56745" xr:uid="{00000000-0005-0000-0000-0000BADD0000}"/>
    <cellStyle name="Porcentaje 2 6" xfId="56746" xr:uid="{00000000-0005-0000-0000-0000BBDD0000}"/>
    <cellStyle name="Porcentaje 2 6 2" xfId="56747" xr:uid="{00000000-0005-0000-0000-0000BCDD0000}"/>
    <cellStyle name="Porcentaje 3" xfId="56748" xr:uid="{00000000-0005-0000-0000-0000BDDD0000}"/>
    <cellStyle name="Porcentaje 3 2" xfId="56749" xr:uid="{00000000-0005-0000-0000-0000BEDD0000}"/>
    <cellStyle name="Porcentaje 4" xfId="56750" xr:uid="{00000000-0005-0000-0000-0000BFDD0000}"/>
    <cellStyle name="Porcentaje 4 2" xfId="56751" xr:uid="{00000000-0005-0000-0000-0000C0DD0000}"/>
    <cellStyle name="Porcentaje 4 3" xfId="56752" xr:uid="{00000000-0005-0000-0000-0000C1DD0000}"/>
    <cellStyle name="Porcentaje 5" xfId="56753" xr:uid="{00000000-0005-0000-0000-0000C2DD0000}"/>
    <cellStyle name="Porcentaje 5 2" xfId="56754" xr:uid="{00000000-0005-0000-0000-0000C3DD0000}"/>
    <cellStyle name="Porcentaje 6" xfId="56755" xr:uid="{00000000-0005-0000-0000-0000C4DD0000}"/>
    <cellStyle name="Porcentaje 6 2 2" xfId="62546" xr:uid="{00000000-0005-0000-0000-0000C5DD0000}"/>
    <cellStyle name="Porcentaje 7" xfId="56756" xr:uid="{00000000-0005-0000-0000-0000C6DD0000}"/>
    <cellStyle name="Porcentaje 8" xfId="56757" xr:uid="{00000000-0005-0000-0000-0000C7DD0000}"/>
    <cellStyle name="Porcentual 2" xfId="56758" xr:uid="{00000000-0005-0000-0000-0000C8DD0000}"/>
    <cellStyle name="Porcentual 2 2" xfId="56759" xr:uid="{00000000-0005-0000-0000-0000C9DD0000}"/>
    <cellStyle name="Porcentual 2 2 2" xfId="56760" xr:uid="{00000000-0005-0000-0000-0000CADD0000}"/>
    <cellStyle name="Porcentual 2 3" xfId="56761" xr:uid="{00000000-0005-0000-0000-0000CBDD0000}"/>
    <cellStyle name="Porcentual 3" xfId="56762" xr:uid="{00000000-0005-0000-0000-0000CCDD0000}"/>
    <cellStyle name="Porcentual 3 10" xfId="56763" xr:uid="{00000000-0005-0000-0000-0000CDDD0000}"/>
    <cellStyle name="Porcentual 3 10 10" xfId="56764" xr:uid="{00000000-0005-0000-0000-0000CEDD0000}"/>
    <cellStyle name="Porcentual 3 10 2" xfId="56765" xr:uid="{00000000-0005-0000-0000-0000CFDD0000}"/>
    <cellStyle name="Porcentual 3 10 2 2" xfId="56766" xr:uid="{00000000-0005-0000-0000-0000D0DD0000}"/>
    <cellStyle name="Porcentual 3 10 2 2 2" xfId="56767" xr:uid="{00000000-0005-0000-0000-0000D1DD0000}"/>
    <cellStyle name="Porcentual 3 10 2 2 2 2" xfId="56768" xr:uid="{00000000-0005-0000-0000-0000D2DD0000}"/>
    <cellStyle name="Porcentual 3 10 2 2 2 2 2" xfId="56769" xr:uid="{00000000-0005-0000-0000-0000D3DD0000}"/>
    <cellStyle name="Porcentual 3 10 2 2 2 2 2 2" xfId="56770" xr:uid="{00000000-0005-0000-0000-0000D4DD0000}"/>
    <cellStyle name="Porcentual 3 10 2 2 2 2 2 2 2" xfId="56771" xr:uid="{00000000-0005-0000-0000-0000D5DD0000}"/>
    <cellStyle name="Porcentual 3 10 2 2 2 2 2 3" xfId="56772" xr:uid="{00000000-0005-0000-0000-0000D6DD0000}"/>
    <cellStyle name="Porcentual 3 10 2 2 2 2 2 4" xfId="56773" xr:uid="{00000000-0005-0000-0000-0000D7DD0000}"/>
    <cellStyle name="Porcentual 3 10 2 2 2 2 3" xfId="56774" xr:uid="{00000000-0005-0000-0000-0000D8DD0000}"/>
    <cellStyle name="Porcentual 3 10 2 2 2 2 3 2" xfId="56775" xr:uid="{00000000-0005-0000-0000-0000D9DD0000}"/>
    <cellStyle name="Porcentual 3 10 2 2 2 2 4" xfId="56776" xr:uid="{00000000-0005-0000-0000-0000DADD0000}"/>
    <cellStyle name="Porcentual 3 10 2 2 2 2 5" xfId="56777" xr:uid="{00000000-0005-0000-0000-0000DBDD0000}"/>
    <cellStyle name="Porcentual 3 10 2 2 2 3" xfId="56778" xr:uid="{00000000-0005-0000-0000-0000DCDD0000}"/>
    <cellStyle name="Porcentual 3 10 2 2 2 3 2" xfId="56779" xr:uid="{00000000-0005-0000-0000-0000DDDD0000}"/>
    <cellStyle name="Porcentual 3 10 2 2 2 3 2 2" xfId="56780" xr:uid="{00000000-0005-0000-0000-0000DEDD0000}"/>
    <cellStyle name="Porcentual 3 10 2 2 2 3 3" xfId="56781" xr:uid="{00000000-0005-0000-0000-0000DFDD0000}"/>
    <cellStyle name="Porcentual 3 10 2 2 2 3 4" xfId="56782" xr:uid="{00000000-0005-0000-0000-0000E0DD0000}"/>
    <cellStyle name="Porcentual 3 10 2 2 2 4" xfId="56783" xr:uid="{00000000-0005-0000-0000-0000E1DD0000}"/>
    <cellStyle name="Porcentual 3 10 2 2 2 4 2" xfId="56784" xr:uid="{00000000-0005-0000-0000-0000E2DD0000}"/>
    <cellStyle name="Porcentual 3 10 2 2 2 5" xfId="56785" xr:uid="{00000000-0005-0000-0000-0000E3DD0000}"/>
    <cellStyle name="Porcentual 3 10 2 2 2 6" xfId="56786" xr:uid="{00000000-0005-0000-0000-0000E4DD0000}"/>
    <cellStyle name="Porcentual 3 10 2 2 3" xfId="56787" xr:uid="{00000000-0005-0000-0000-0000E5DD0000}"/>
    <cellStyle name="Porcentual 3 10 2 2 3 2" xfId="56788" xr:uid="{00000000-0005-0000-0000-0000E6DD0000}"/>
    <cellStyle name="Porcentual 3 10 2 2 3 2 2" xfId="56789" xr:uid="{00000000-0005-0000-0000-0000E7DD0000}"/>
    <cellStyle name="Porcentual 3 10 2 2 3 2 2 2" xfId="56790" xr:uid="{00000000-0005-0000-0000-0000E8DD0000}"/>
    <cellStyle name="Porcentual 3 10 2 2 3 2 3" xfId="56791" xr:uid="{00000000-0005-0000-0000-0000E9DD0000}"/>
    <cellStyle name="Porcentual 3 10 2 2 3 2 4" xfId="56792" xr:uid="{00000000-0005-0000-0000-0000EADD0000}"/>
    <cellStyle name="Porcentual 3 10 2 2 3 3" xfId="56793" xr:uid="{00000000-0005-0000-0000-0000EBDD0000}"/>
    <cellStyle name="Porcentual 3 10 2 2 3 3 2" xfId="56794" xr:uid="{00000000-0005-0000-0000-0000ECDD0000}"/>
    <cellStyle name="Porcentual 3 10 2 2 3 4" xfId="56795" xr:uid="{00000000-0005-0000-0000-0000EDDD0000}"/>
    <cellStyle name="Porcentual 3 10 2 2 3 5" xfId="56796" xr:uid="{00000000-0005-0000-0000-0000EEDD0000}"/>
    <cellStyle name="Porcentual 3 10 2 2 4" xfId="56797" xr:uid="{00000000-0005-0000-0000-0000EFDD0000}"/>
    <cellStyle name="Porcentual 3 10 2 2 4 2" xfId="56798" xr:uid="{00000000-0005-0000-0000-0000F0DD0000}"/>
    <cellStyle name="Porcentual 3 10 2 2 4 2 2" xfId="56799" xr:uid="{00000000-0005-0000-0000-0000F1DD0000}"/>
    <cellStyle name="Porcentual 3 10 2 2 4 3" xfId="56800" xr:uid="{00000000-0005-0000-0000-0000F2DD0000}"/>
    <cellStyle name="Porcentual 3 10 2 2 4 4" xfId="56801" xr:uid="{00000000-0005-0000-0000-0000F3DD0000}"/>
    <cellStyle name="Porcentual 3 10 2 2 5" xfId="56802" xr:uid="{00000000-0005-0000-0000-0000F4DD0000}"/>
    <cellStyle name="Porcentual 3 10 2 2 5 2" xfId="56803" xr:uid="{00000000-0005-0000-0000-0000F5DD0000}"/>
    <cellStyle name="Porcentual 3 10 2 2 6" xfId="56804" xr:uid="{00000000-0005-0000-0000-0000F6DD0000}"/>
    <cellStyle name="Porcentual 3 10 2 2 7" xfId="56805" xr:uid="{00000000-0005-0000-0000-0000F7DD0000}"/>
    <cellStyle name="Porcentual 3 10 2 3" xfId="56806" xr:uid="{00000000-0005-0000-0000-0000F8DD0000}"/>
    <cellStyle name="Porcentual 3 10 2 3 2" xfId="56807" xr:uid="{00000000-0005-0000-0000-0000F9DD0000}"/>
    <cellStyle name="Porcentual 3 10 2 3 2 2" xfId="56808" xr:uid="{00000000-0005-0000-0000-0000FADD0000}"/>
    <cellStyle name="Porcentual 3 10 2 3 2 2 2" xfId="56809" xr:uid="{00000000-0005-0000-0000-0000FBDD0000}"/>
    <cellStyle name="Porcentual 3 10 2 3 2 2 2 2" xfId="56810" xr:uid="{00000000-0005-0000-0000-0000FCDD0000}"/>
    <cellStyle name="Porcentual 3 10 2 3 2 2 3" xfId="56811" xr:uid="{00000000-0005-0000-0000-0000FDDD0000}"/>
    <cellStyle name="Porcentual 3 10 2 3 2 2 4" xfId="56812" xr:uid="{00000000-0005-0000-0000-0000FEDD0000}"/>
    <cellStyle name="Porcentual 3 10 2 3 2 3" xfId="56813" xr:uid="{00000000-0005-0000-0000-0000FFDD0000}"/>
    <cellStyle name="Porcentual 3 10 2 3 2 3 2" xfId="56814" xr:uid="{00000000-0005-0000-0000-000000DE0000}"/>
    <cellStyle name="Porcentual 3 10 2 3 2 4" xfId="56815" xr:uid="{00000000-0005-0000-0000-000001DE0000}"/>
    <cellStyle name="Porcentual 3 10 2 3 2 5" xfId="56816" xr:uid="{00000000-0005-0000-0000-000002DE0000}"/>
    <cellStyle name="Porcentual 3 10 2 3 3" xfId="56817" xr:uid="{00000000-0005-0000-0000-000003DE0000}"/>
    <cellStyle name="Porcentual 3 10 2 3 3 2" xfId="56818" xr:uid="{00000000-0005-0000-0000-000004DE0000}"/>
    <cellStyle name="Porcentual 3 10 2 3 3 2 2" xfId="56819" xr:uid="{00000000-0005-0000-0000-000005DE0000}"/>
    <cellStyle name="Porcentual 3 10 2 3 3 3" xfId="56820" xr:uid="{00000000-0005-0000-0000-000006DE0000}"/>
    <cellStyle name="Porcentual 3 10 2 3 3 3 2" xfId="56821" xr:uid="{00000000-0005-0000-0000-000007DE0000}"/>
    <cellStyle name="Porcentual 3 10 2 3 3 4" xfId="56822" xr:uid="{00000000-0005-0000-0000-000008DE0000}"/>
    <cellStyle name="Porcentual 3 10 2 3 3 5" xfId="56823" xr:uid="{00000000-0005-0000-0000-000009DE0000}"/>
    <cellStyle name="Porcentual 3 10 2 3 4" xfId="56824" xr:uid="{00000000-0005-0000-0000-00000ADE0000}"/>
    <cellStyle name="Porcentual 3 10 2 3 4 2" xfId="56825" xr:uid="{00000000-0005-0000-0000-00000BDE0000}"/>
    <cellStyle name="Porcentual 3 10 2 3 5" xfId="56826" xr:uid="{00000000-0005-0000-0000-00000CDE0000}"/>
    <cellStyle name="Porcentual 3 10 2 3 5 2" xfId="56827" xr:uid="{00000000-0005-0000-0000-00000DDE0000}"/>
    <cellStyle name="Porcentual 3 10 2 3 6" xfId="56828" xr:uid="{00000000-0005-0000-0000-00000EDE0000}"/>
    <cellStyle name="Porcentual 3 10 2 3 7" xfId="56829" xr:uid="{00000000-0005-0000-0000-00000FDE0000}"/>
    <cellStyle name="Porcentual 3 10 2 4" xfId="56830" xr:uid="{00000000-0005-0000-0000-000010DE0000}"/>
    <cellStyle name="Porcentual 3 10 2 4 2" xfId="56831" xr:uid="{00000000-0005-0000-0000-000011DE0000}"/>
    <cellStyle name="Porcentual 3 10 2 4 2 2" xfId="56832" xr:uid="{00000000-0005-0000-0000-000012DE0000}"/>
    <cellStyle name="Porcentual 3 10 2 4 2 2 2" xfId="56833" xr:uid="{00000000-0005-0000-0000-000013DE0000}"/>
    <cellStyle name="Porcentual 3 10 2 4 2 3" xfId="56834" xr:uid="{00000000-0005-0000-0000-000014DE0000}"/>
    <cellStyle name="Porcentual 3 10 2 4 2 4" xfId="56835" xr:uid="{00000000-0005-0000-0000-000015DE0000}"/>
    <cellStyle name="Porcentual 3 10 2 4 3" xfId="56836" xr:uid="{00000000-0005-0000-0000-000016DE0000}"/>
    <cellStyle name="Porcentual 3 10 2 4 3 2" xfId="56837" xr:uid="{00000000-0005-0000-0000-000017DE0000}"/>
    <cellStyle name="Porcentual 3 10 2 4 4" xfId="56838" xr:uid="{00000000-0005-0000-0000-000018DE0000}"/>
    <cellStyle name="Porcentual 3 10 2 4 5" xfId="56839" xr:uid="{00000000-0005-0000-0000-000019DE0000}"/>
    <cellStyle name="Porcentual 3 10 2 5" xfId="56840" xr:uid="{00000000-0005-0000-0000-00001ADE0000}"/>
    <cellStyle name="Porcentual 3 10 2 5 2" xfId="56841" xr:uid="{00000000-0005-0000-0000-00001BDE0000}"/>
    <cellStyle name="Porcentual 3 10 2 5 2 2" xfId="56842" xr:uid="{00000000-0005-0000-0000-00001CDE0000}"/>
    <cellStyle name="Porcentual 3 10 2 5 3" xfId="56843" xr:uid="{00000000-0005-0000-0000-00001DDE0000}"/>
    <cellStyle name="Porcentual 3 10 2 5 3 2" xfId="56844" xr:uid="{00000000-0005-0000-0000-00001EDE0000}"/>
    <cellStyle name="Porcentual 3 10 2 5 4" xfId="56845" xr:uid="{00000000-0005-0000-0000-00001FDE0000}"/>
    <cellStyle name="Porcentual 3 10 2 5 5" xfId="56846" xr:uid="{00000000-0005-0000-0000-000020DE0000}"/>
    <cellStyle name="Porcentual 3 10 2 6" xfId="56847" xr:uid="{00000000-0005-0000-0000-000021DE0000}"/>
    <cellStyle name="Porcentual 3 10 2 6 2" xfId="56848" xr:uid="{00000000-0005-0000-0000-000022DE0000}"/>
    <cellStyle name="Porcentual 3 10 2 7" xfId="56849" xr:uid="{00000000-0005-0000-0000-000023DE0000}"/>
    <cellStyle name="Porcentual 3 10 2 7 2" xfId="56850" xr:uid="{00000000-0005-0000-0000-000024DE0000}"/>
    <cellStyle name="Porcentual 3 10 2 8" xfId="56851" xr:uid="{00000000-0005-0000-0000-000025DE0000}"/>
    <cellStyle name="Porcentual 3 10 2 9" xfId="56852" xr:uid="{00000000-0005-0000-0000-000026DE0000}"/>
    <cellStyle name="Porcentual 3 10 3" xfId="56853" xr:uid="{00000000-0005-0000-0000-000027DE0000}"/>
    <cellStyle name="Porcentual 3 10 3 2" xfId="56854" xr:uid="{00000000-0005-0000-0000-000028DE0000}"/>
    <cellStyle name="Porcentual 3 10 3 2 2" xfId="56855" xr:uid="{00000000-0005-0000-0000-000029DE0000}"/>
    <cellStyle name="Porcentual 3 10 3 2 2 2" xfId="56856" xr:uid="{00000000-0005-0000-0000-00002ADE0000}"/>
    <cellStyle name="Porcentual 3 10 3 2 2 2 2" xfId="56857" xr:uid="{00000000-0005-0000-0000-00002BDE0000}"/>
    <cellStyle name="Porcentual 3 10 3 2 2 2 2 2" xfId="56858" xr:uid="{00000000-0005-0000-0000-00002CDE0000}"/>
    <cellStyle name="Porcentual 3 10 3 2 2 2 3" xfId="56859" xr:uid="{00000000-0005-0000-0000-00002DDE0000}"/>
    <cellStyle name="Porcentual 3 10 3 2 2 2 4" xfId="56860" xr:uid="{00000000-0005-0000-0000-00002EDE0000}"/>
    <cellStyle name="Porcentual 3 10 3 2 2 3" xfId="56861" xr:uid="{00000000-0005-0000-0000-00002FDE0000}"/>
    <cellStyle name="Porcentual 3 10 3 2 2 3 2" xfId="56862" xr:uid="{00000000-0005-0000-0000-000030DE0000}"/>
    <cellStyle name="Porcentual 3 10 3 2 2 4" xfId="56863" xr:uid="{00000000-0005-0000-0000-000031DE0000}"/>
    <cellStyle name="Porcentual 3 10 3 2 2 5" xfId="56864" xr:uid="{00000000-0005-0000-0000-000032DE0000}"/>
    <cellStyle name="Porcentual 3 10 3 2 3" xfId="56865" xr:uid="{00000000-0005-0000-0000-000033DE0000}"/>
    <cellStyle name="Porcentual 3 10 3 2 3 2" xfId="56866" xr:uid="{00000000-0005-0000-0000-000034DE0000}"/>
    <cellStyle name="Porcentual 3 10 3 2 3 2 2" xfId="56867" xr:uid="{00000000-0005-0000-0000-000035DE0000}"/>
    <cellStyle name="Porcentual 3 10 3 2 3 3" xfId="56868" xr:uid="{00000000-0005-0000-0000-000036DE0000}"/>
    <cellStyle name="Porcentual 3 10 3 2 3 3 2" xfId="56869" xr:uid="{00000000-0005-0000-0000-000037DE0000}"/>
    <cellStyle name="Porcentual 3 10 3 2 3 4" xfId="56870" xr:uid="{00000000-0005-0000-0000-000038DE0000}"/>
    <cellStyle name="Porcentual 3 10 3 2 3 5" xfId="56871" xr:uid="{00000000-0005-0000-0000-000039DE0000}"/>
    <cellStyle name="Porcentual 3 10 3 2 4" xfId="56872" xr:uid="{00000000-0005-0000-0000-00003ADE0000}"/>
    <cellStyle name="Porcentual 3 10 3 2 4 2" xfId="56873" xr:uid="{00000000-0005-0000-0000-00003BDE0000}"/>
    <cellStyle name="Porcentual 3 10 3 2 5" xfId="56874" xr:uid="{00000000-0005-0000-0000-00003CDE0000}"/>
    <cellStyle name="Porcentual 3 10 3 2 5 2" xfId="56875" xr:uid="{00000000-0005-0000-0000-00003DDE0000}"/>
    <cellStyle name="Porcentual 3 10 3 2 6" xfId="56876" xr:uid="{00000000-0005-0000-0000-00003EDE0000}"/>
    <cellStyle name="Porcentual 3 10 3 2 7" xfId="56877" xr:uid="{00000000-0005-0000-0000-00003FDE0000}"/>
    <cellStyle name="Porcentual 3 10 3 3" xfId="56878" xr:uid="{00000000-0005-0000-0000-000040DE0000}"/>
    <cellStyle name="Porcentual 3 10 3 3 2" xfId="56879" xr:uid="{00000000-0005-0000-0000-000041DE0000}"/>
    <cellStyle name="Porcentual 3 10 3 3 2 2" xfId="56880" xr:uid="{00000000-0005-0000-0000-000042DE0000}"/>
    <cellStyle name="Porcentual 3 10 3 3 2 2 2" xfId="56881" xr:uid="{00000000-0005-0000-0000-000043DE0000}"/>
    <cellStyle name="Porcentual 3 10 3 3 2 3" xfId="56882" xr:uid="{00000000-0005-0000-0000-000044DE0000}"/>
    <cellStyle name="Porcentual 3 10 3 3 2 4" xfId="56883" xr:uid="{00000000-0005-0000-0000-000045DE0000}"/>
    <cellStyle name="Porcentual 3 10 3 3 3" xfId="56884" xr:uid="{00000000-0005-0000-0000-000046DE0000}"/>
    <cellStyle name="Porcentual 3 10 3 3 3 2" xfId="56885" xr:uid="{00000000-0005-0000-0000-000047DE0000}"/>
    <cellStyle name="Porcentual 3 10 3 3 4" xfId="56886" xr:uid="{00000000-0005-0000-0000-000048DE0000}"/>
    <cellStyle name="Porcentual 3 10 3 3 5" xfId="56887" xr:uid="{00000000-0005-0000-0000-000049DE0000}"/>
    <cellStyle name="Porcentual 3 10 3 4" xfId="56888" xr:uid="{00000000-0005-0000-0000-00004ADE0000}"/>
    <cellStyle name="Porcentual 3 10 3 4 2" xfId="56889" xr:uid="{00000000-0005-0000-0000-00004BDE0000}"/>
    <cellStyle name="Porcentual 3 10 3 4 2 2" xfId="56890" xr:uid="{00000000-0005-0000-0000-00004CDE0000}"/>
    <cellStyle name="Porcentual 3 10 3 4 3" xfId="56891" xr:uid="{00000000-0005-0000-0000-00004DDE0000}"/>
    <cellStyle name="Porcentual 3 10 3 4 3 2" xfId="56892" xr:uid="{00000000-0005-0000-0000-00004EDE0000}"/>
    <cellStyle name="Porcentual 3 10 3 4 4" xfId="56893" xr:uid="{00000000-0005-0000-0000-00004FDE0000}"/>
    <cellStyle name="Porcentual 3 10 3 4 5" xfId="56894" xr:uid="{00000000-0005-0000-0000-000050DE0000}"/>
    <cellStyle name="Porcentual 3 10 3 5" xfId="56895" xr:uid="{00000000-0005-0000-0000-000051DE0000}"/>
    <cellStyle name="Porcentual 3 10 3 5 2" xfId="56896" xr:uid="{00000000-0005-0000-0000-000052DE0000}"/>
    <cellStyle name="Porcentual 3 10 3 6" xfId="56897" xr:uid="{00000000-0005-0000-0000-000053DE0000}"/>
    <cellStyle name="Porcentual 3 10 3 6 2" xfId="56898" xr:uid="{00000000-0005-0000-0000-000054DE0000}"/>
    <cellStyle name="Porcentual 3 10 3 7" xfId="56899" xr:uid="{00000000-0005-0000-0000-000055DE0000}"/>
    <cellStyle name="Porcentual 3 10 3 8" xfId="56900" xr:uid="{00000000-0005-0000-0000-000056DE0000}"/>
    <cellStyle name="Porcentual 3 10 4" xfId="56901" xr:uid="{00000000-0005-0000-0000-000057DE0000}"/>
    <cellStyle name="Porcentual 3 10 4 2" xfId="56902" xr:uid="{00000000-0005-0000-0000-000058DE0000}"/>
    <cellStyle name="Porcentual 3 10 4 2 2" xfId="56903" xr:uid="{00000000-0005-0000-0000-000059DE0000}"/>
    <cellStyle name="Porcentual 3 10 4 2 2 2" xfId="56904" xr:uid="{00000000-0005-0000-0000-00005ADE0000}"/>
    <cellStyle name="Porcentual 3 10 4 2 2 2 2" xfId="56905" xr:uid="{00000000-0005-0000-0000-00005BDE0000}"/>
    <cellStyle name="Porcentual 3 10 4 2 2 3" xfId="56906" xr:uid="{00000000-0005-0000-0000-00005CDE0000}"/>
    <cellStyle name="Porcentual 3 10 4 2 2 4" xfId="56907" xr:uid="{00000000-0005-0000-0000-00005DDE0000}"/>
    <cellStyle name="Porcentual 3 10 4 2 3" xfId="56908" xr:uid="{00000000-0005-0000-0000-00005EDE0000}"/>
    <cellStyle name="Porcentual 3 10 4 2 3 2" xfId="56909" xr:uid="{00000000-0005-0000-0000-00005FDE0000}"/>
    <cellStyle name="Porcentual 3 10 4 2 4" xfId="56910" xr:uid="{00000000-0005-0000-0000-000060DE0000}"/>
    <cellStyle name="Porcentual 3 10 4 2 5" xfId="56911" xr:uid="{00000000-0005-0000-0000-000061DE0000}"/>
    <cellStyle name="Porcentual 3 10 4 3" xfId="56912" xr:uid="{00000000-0005-0000-0000-000062DE0000}"/>
    <cellStyle name="Porcentual 3 10 4 3 2" xfId="56913" xr:uid="{00000000-0005-0000-0000-000063DE0000}"/>
    <cellStyle name="Porcentual 3 10 4 3 2 2" xfId="56914" xr:uid="{00000000-0005-0000-0000-000064DE0000}"/>
    <cellStyle name="Porcentual 3 10 4 3 3" xfId="56915" xr:uid="{00000000-0005-0000-0000-000065DE0000}"/>
    <cellStyle name="Porcentual 3 10 4 3 3 2" xfId="56916" xr:uid="{00000000-0005-0000-0000-000066DE0000}"/>
    <cellStyle name="Porcentual 3 10 4 3 4" xfId="56917" xr:uid="{00000000-0005-0000-0000-000067DE0000}"/>
    <cellStyle name="Porcentual 3 10 4 3 5" xfId="56918" xr:uid="{00000000-0005-0000-0000-000068DE0000}"/>
    <cellStyle name="Porcentual 3 10 4 4" xfId="56919" xr:uid="{00000000-0005-0000-0000-000069DE0000}"/>
    <cellStyle name="Porcentual 3 10 4 4 2" xfId="56920" xr:uid="{00000000-0005-0000-0000-00006ADE0000}"/>
    <cellStyle name="Porcentual 3 10 4 5" xfId="56921" xr:uid="{00000000-0005-0000-0000-00006BDE0000}"/>
    <cellStyle name="Porcentual 3 10 4 5 2" xfId="56922" xr:uid="{00000000-0005-0000-0000-00006CDE0000}"/>
    <cellStyle name="Porcentual 3 10 4 6" xfId="56923" xr:uid="{00000000-0005-0000-0000-00006DDE0000}"/>
    <cellStyle name="Porcentual 3 10 4 7" xfId="56924" xr:uid="{00000000-0005-0000-0000-00006EDE0000}"/>
    <cellStyle name="Porcentual 3 10 5" xfId="56925" xr:uid="{00000000-0005-0000-0000-00006FDE0000}"/>
    <cellStyle name="Porcentual 3 10 5 2" xfId="56926" xr:uid="{00000000-0005-0000-0000-000070DE0000}"/>
    <cellStyle name="Porcentual 3 10 5 2 2" xfId="56927" xr:uid="{00000000-0005-0000-0000-000071DE0000}"/>
    <cellStyle name="Porcentual 3 10 5 2 2 2" xfId="56928" xr:uid="{00000000-0005-0000-0000-000072DE0000}"/>
    <cellStyle name="Porcentual 3 10 5 2 3" xfId="56929" xr:uid="{00000000-0005-0000-0000-000073DE0000}"/>
    <cellStyle name="Porcentual 3 10 5 2 4" xfId="56930" xr:uid="{00000000-0005-0000-0000-000074DE0000}"/>
    <cellStyle name="Porcentual 3 10 5 3" xfId="56931" xr:uid="{00000000-0005-0000-0000-000075DE0000}"/>
    <cellStyle name="Porcentual 3 10 5 3 2" xfId="56932" xr:uid="{00000000-0005-0000-0000-000076DE0000}"/>
    <cellStyle name="Porcentual 3 10 5 4" xfId="56933" xr:uid="{00000000-0005-0000-0000-000077DE0000}"/>
    <cellStyle name="Porcentual 3 10 5 5" xfId="56934" xr:uid="{00000000-0005-0000-0000-000078DE0000}"/>
    <cellStyle name="Porcentual 3 10 6" xfId="56935" xr:uid="{00000000-0005-0000-0000-000079DE0000}"/>
    <cellStyle name="Porcentual 3 10 6 2" xfId="56936" xr:uid="{00000000-0005-0000-0000-00007ADE0000}"/>
    <cellStyle name="Porcentual 3 10 6 2 2" xfId="56937" xr:uid="{00000000-0005-0000-0000-00007BDE0000}"/>
    <cellStyle name="Porcentual 3 10 6 3" xfId="56938" xr:uid="{00000000-0005-0000-0000-00007CDE0000}"/>
    <cellStyle name="Porcentual 3 10 6 3 2" xfId="56939" xr:uid="{00000000-0005-0000-0000-00007DDE0000}"/>
    <cellStyle name="Porcentual 3 10 6 4" xfId="56940" xr:uid="{00000000-0005-0000-0000-00007EDE0000}"/>
    <cellStyle name="Porcentual 3 10 6 5" xfId="56941" xr:uid="{00000000-0005-0000-0000-00007FDE0000}"/>
    <cellStyle name="Porcentual 3 10 7" xfId="56942" xr:uid="{00000000-0005-0000-0000-000080DE0000}"/>
    <cellStyle name="Porcentual 3 10 7 2" xfId="56943" xr:uid="{00000000-0005-0000-0000-000081DE0000}"/>
    <cellStyle name="Porcentual 3 10 8" xfId="56944" xr:uid="{00000000-0005-0000-0000-000082DE0000}"/>
    <cellStyle name="Porcentual 3 10 8 2" xfId="56945" xr:uid="{00000000-0005-0000-0000-000083DE0000}"/>
    <cellStyle name="Porcentual 3 10 9" xfId="56946" xr:uid="{00000000-0005-0000-0000-000084DE0000}"/>
    <cellStyle name="Porcentual 3 11" xfId="56947" xr:uid="{00000000-0005-0000-0000-000085DE0000}"/>
    <cellStyle name="Porcentual 3 11 10" xfId="56948" xr:uid="{00000000-0005-0000-0000-000086DE0000}"/>
    <cellStyle name="Porcentual 3 11 2" xfId="56949" xr:uid="{00000000-0005-0000-0000-000087DE0000}"/>
    <cellStyle name="Porcentual 3 11 2 2" xfId="56950" xr:uid="{00000000-0005-0000-0000-000088DE0000}"/>
    <cellStyle name="Porcentual 3 11 2 2 2" xfId="56951" xr:uid="{00000000-0005-0000-0000-000089DE0000}"/>
    <cellStyle name="Porcentual 3 11 2 2 2 2" xfId="56952" xr:uid="{00000000-0005-0000-0000-00008ADE0000}"/>
    <cellStyle name="Porcentual 3 11 2 2 2 2 2" xfId="56953" xr:uid="{00000000-0005-0000-0000-00008BDE0000}"/>
    <cellStyle name="Porcentual 3 11 2 2 2 2 2 2" xfId="56954" xr:uid="{00000000-0005-0000-0000-00008CDE0000}"/>
    <cellStyle name="Porcentual 3 11 2 2 2 2 2 2 2" xfId="56955" xr:uid="{00000000-0005-0000-0000-00008DDE0000}"/>
    <cellStyle name="Porcentual 3 11 2 2 2 2 2 3" xfId="56956" xr:uid="{00000000-0005-0000-0000-00008EDE0000}"/>
    <cellStyle name="Porcentual 3 11 2 2 2 2 2 4" xfId="56957" xr:uid="{00000000-0005-0000-0000-00008FDE0000}"/>
    <cellStyle name="Porcentual 3 11 2 2 2 2 3" xfId="56958" xr:uid="{00000000-0005-0000-0000-000090DE0000}"/>
    <cellStyle name="Porcentual 3 11 2 2 2 2 3 2" xfId="56959" xr:uid="{00000000-0005-0000-0000-000091DE0000}"/>
    <cellStyle name="Porcentual 3 11 2 2 2 2 4" xfId="56960" xr:uid="{00000000-0005-0000-0000-000092DE0000}"/>
    <cellStyle name="Porcentual 3 11 2 2 2 2 5" xfId="56961" xr:uid="{00000000-0005-0000-0000-000093DE0000}"/>
    <cellStyle name="Porcentual 3 11 2 2 2 3" xfId="56962" xr:uid="{00000000-0005-0000-0000-000094DE0000}"/>
    <cellStyle name="Porcentual 3 11 2 2 2 3 2" xfId="56963" xr:uid="{00000000-0005-0000-0000-000095DE0000}"/>
    <cellStyle name="Porcentual 3 11 2 2 2 3 2 2" xfId="56964" xr:uid="{00000000-0005-0000-0000-000096DE0000}"/>
    <cellStyle name="Porcentual 3 11 2 2 2 3 3" xfId="56965" xr:uid="{00000000-0005-0000-0000-000097DE0000}"/>
    <cellStyle name="Porcentual 3 11 2 2 2 3 4" xfId="56966" xr:uid="{00000000-0005-0000-0000-000098DE0000}"/>
    <cellStyle name="Porcentual 3 11 2 2 2 4" xfId="56967" xr:uid="{00000000-0005-0000-0000-000099DE0000}"/>
    <cellStyle name="Porcentual 3 11 2 2 2 4 2" xfId="56968" xr:uid="{00000000-0005-0000-0000-00009ADE0000}"/>
    <cellStyle name="Porcentual 3 11 2 2 2 5" xfId="56969" xr:uid="{00000000-0005-0000-0000-00009BDE0000}"/>
    <cellStyle name="Porcentual 3 11 2 2 2 6" xfId="56970" xr:uid="{00000000-0005-0000-0000-00009CDE0000}"/>
    <cellStyle name="Porcentual 3 11 2 2 3" xfId="56971" xr:uid="{00000000-0005-0000-0000-00009DDE0000}"/>
    <cellStyle name="Porcentual 3 11 2 2 3 2" xfId="56972" xr:uid="{00000000-0005-0000-0000-00009EDE0000}"/>
    <cellStyle name="Porcentual 3 11 2 2 3 2 2" xfId="56973" xr:uid="{00000000-0005-0000-0000-00009FDE0000}"/>
    <cellStyle name="Porcentual 3 11 2 2 3 2 2 2" xfId="56974" xr:uid="{00000000-0005-0000-0000-0000A0DE0000}"/>
    <cellStyle name="Porcentual 3 11 2 2 3 2 3" xfId="56975" xr:uid="{00000000-0005-0000-0000-0000A1DE0000}"/>
    <cellStyle name="Porcentual 3 11 2 2 3 2 4" xfId="56976" xr:uid="{00000000-0005-0000-0000-0000A2DE0000}"/>
    <cellStyle name="Porcentual 3 11 2 2 3 3" xfId="56977" xr:uid="{00000000-0005-0000-0000-0000A3DE0000}"/>
    <cellStyle name="Porcentual 3 11 2 2 3 3 2" xfId="56978" xr:uid="{00000000-0005-0000-0000-0000A4DE0000}"/>
    <cellStyle name="Porcentual 3 11 2 2 3 4" xfId="56979" xr:uid="{00000000-0005-0000-0000-0000A5DE0000}"/>
    <cellStyle name="Porcentual 3 11 2 2 3 5" xfId="56980" xr:uid="{00000000-0005-0000-0000-0000A6DE0000}"/>
    <cellStyle name="Porcentual 3 11 2 2 4" xfId="56981" xr:uid="{00000000-0005-0000-0000-0000A7DE0000}"/>
    <cellStyle name="Porcentual 3 11 2 2 4 2" xfId="56982" xr:uid="{00000000-0005-0000-0000-0000A8DE0000}"/>
    <cellStyle name="Porcentual 3 11 2 2 4 2 2" xfId="56983" xr:uid="{00000000-0005-0000-0000-0000A9DE0000}"/>
    <cellStyle name="Porcentual 3 11 2 2 4 3" xfId="56984" xr:uid="{00000000-0005-0000-0000-0000AADE0000}"/>
    <cellStyle name="Porcentual 3 11 2 2 4 4" xfId="56985" xr:uid="{00000000-0005-0000-0000-0000ABDE0000}"/>
    <cellStyle name="Porcentual 3 11 2 2 5" xfId="56986" xr:uid="{00000000-0005-0000-0000-0000ACDE0000}"/>
    <cellStyle name="Porcentual 3 11 2 2 5 2" xfId="56987" xr:uid="{00000000-0005-0000-0000-0000ADDE0000}"/>
    <cellStyle name="Porcentual 3 11 2 2 6" xfId="56988" xr:uid="{00000000-0005-0000-0000-0000AEDE0000}"/>
    <cellStyle name="Porcentual 3 11 2 2 7" xfId="56989" xr:uid="{00000000-0005-0000-0000-0000AFDE0000}"/>
    <cellStyle name="Porcentual 3 11 2 3" xfId="56990" xr:uid="{00000000-0005-0000-0000-0000B0DE0000}"/>
    <cellStyle name="Porcentual 3 11 2 3 2" xfId="56991" xr:uid="{00000000-0005-0000-0000-0000B1DE0000}"/>
    <cellStyle name="Porcentual 3 11 2 3 2 2" xfId="56992" xr:uid="{00000000-0005-0000-0000-0000B2DE0000}"/>
    <cellStyle name="Porcentual 3 11 2 3 2 2 2" xfId="56993" xr:uid="{00000000-0005-0000-0000-0000B3DE0000}"/>
    <cellStyle name="Porcentual 3 11 2 3 2 2 2 2" xfId="56994" xr:uid="{00000000-0005-0000-0000-0000B4DE0000}"/>
    <cellStyle name="Porcentual 3 11 2 3 2 2 3" xfId="56995" xr:uid="{00000000-0005-0000-0000-0000B5DE0000}"/>
    <cellStyle name="Porcentual 3 11 2 3 2 2 4" xfId="56996" xr:uid="{00000000-0005-0000-0000-0000B6DE0000}"/>
    <cellStyle name="Porcentual 3 11 2 3 2 3" xfId="56997" xr:uid="{00000000-0005-0000-0000-0000B7DE0000}"/>
    <cellStyle name="Porcentual 3 11 2 3 2 3 2" xfId="56998" xr:uid="{00000000-0005-0000-0000-0000B8DE0000}"/>
    <cellStyle name="Porcentual 3 11 2 3 2 4" xfId="56999" xr:uid="{00000000-0005-0000-0000-0000B9DE0000}"/>
    <cellStyle name="Porcentual 3 11 2 3 2 5" xfId="57000" xr:uid="{00000000-0005-0000-0000-0000BADE0000}"/>
    <cellStyle name="Porcentual 3 11 2 3 3" xfId="57001" xr:uid="{00000000-0005-0000-0000-0000BBDE0000}"/>
    <cellStyle name="Porcentual 3 11 2 3 3 2" xfId="57002" xr:uid="{00000000-0005-0000-0000-0000BCDE0000}"/>
    <cellStyle name="Porcentual 3 11 2 3 3 2 2" xfId="57003" xr:uid="{00000000-0005-0000-0000-0000BDDE0000}"/>
    <cellStyle name="Porcentual 3 11 2 3 3 3" xfId="57004" xr:uid="{00000000-0005-0000-0000-0000BEDE0000}"/>
    <cellStyle name="Porcentual 3 11 2 3 3 3 2" xfId="57005" xr:uid="{00000000-0005-0000-0000-0000BFDE0000}"/>
    <cellStyle name="Porcentual 3 11 2 3 3 4" xfId="57006" xr:uid="{00000000-0005-0000-0000-0000C0DE0000}"/>
    <cellStyle name="Porcentual 3 11 2 3 3 5" xfId="57007" xr:uid="{00000000-0005-0000-0000-0000C1DE0000}"/>
    <cellStyle name="Porcentual 3 11 2 3 4" xfId="57008" xr:uid="{00000000-0005-0000-0000-0000C2DE0000}"/>
    <cellStyle name="Porcentual 3 11 2 3 4 2" xfId="57009" xr:uid="{00000000-0005-0000-0000-0000C3DE0000}"/>
    <cellStyle name="Porcentual 3 11 2 3 5" xfId="57010" xr:uid="{00000000-0005-0000-0000-0000C4DE0000}"/>
    <cellStyle name="Porcentual 3 11 2 3 5 2" xfId="57011" xr:uid="{00000000-0005-0000-0000-0000C5DE0000}"/>
    <cellStyle name="Porcentual 3 11 2 3 6" xfId="57012" xr:uid="{00000000-0005-0000-0000-0000C6DE0000}"/>
    <cellStyle name="Porcentual 3 11 2 3 7" xfId="57013" xr:uid="{00000000-0005-0000-0000-0000C7DE0000}"/>
    <cellStyle name="Porcentual 3 11 2 4" xfId="57014" xr:uid="{00000000-0005-0000-0000-0000C8DE0000}"/>
    <cellStyle name="Porcentual 3 11 2 4 2" xfId="57015" xr:uid="{00000000-0005-0000-0000-0000C9DE0000}"/>
    <cellStyle name="Porcentual 3 11 2 4 2 2" xfId="57016" xr:uid="{00000000-0005-0000-0000-0000CADE0000}"/>
    <cellStyle name="Porcentual 3 11 2 4 2 2 2" xfId="57017" xr:uid="{00000000-0005-0000-0000-0000CBDE0000}"/>
    <cellStyle name="Porcentual 3 11 2 4 2 3" xfId="57018" xr:uid="{00000000-0005-0000-0000-0000CCDE0000}"/>
    <cellStyle name="Porcentual 3 11 2 4 2 4" xfId="57019" xr:uid="{00000000-0005-0000-0000-0000CDDE0000}"/>
    <cellStyle name="Porcentual 3 11 2 4 3" xfId="57020" xr:uid="{00000000-0005-0000-0000-0000CEDE0000}"/>
    <cellStyle name="Porcentual 3 11 2 4 3 2" xfId="57021" xr:uid="{00000000-0005-0000-0000-0000CFDE0000}"/>
    <cellStyle name="Porcentual 3 11 2 4 4" xfId="57022" xr:uid="{00000000-0005-0000-0000-0000D0DE0000}"/>
    <cellStyle name="Porcentual 3 11 2 4 5" xfId="57023" xr:uid="{00000000-0005-0000-0000-0000D1DE0000}"/>
    <cellStyle name="Porcentual 3 11 2 5" xfId="57024" xr:uid="{00000000-0005-0000-0000-0000D2DE0000}"/>
    <cellStyle name="Porcentual 3 11 2 5 2" xfId="57025" xr:uid="{00000000-0005-0000-0000-0000D3DE0000}"/>
    <cellStyle name="Porcentual 3 11 2 5 2 2" xfId="57026" xr:uid="{00000000-0005-0000-0000-0000D4DE0000}"/>
    <cellStyle name="Porcentual 3 11 2 5 3" xfId="57027" xr:uid="{00000000-0005-0000-0000-0000D5DE0000}"/>
    <cellStyle name="Porcentual 3 11 2 5 3 2" xfId="57028" xr:uid="{00000000-0005-0000-0000-0000D6DE0000}"/>
    <cellStyle name="Porcentual 3 11 2 5 4" xfId="57029" xr:uid="{00000000-0005-0000-0000-0000D7DE0000}"/>
    <cellStyle name="Porcentual 3 11 2 5 5" xfId="57030" xr:uid="{00000000-0005-0000-0000-0000D8DE0000}"/>
    <cellStyle name="Porcentual 3 11 2 6" xfId="57031" xr:uid="{00000000-0005-0000-0000-0000D9DE0000}"/>
    <cellStyle name="Porcentual 3 11 2 6 2" xfId="57032" xr:uid="{00000000-0005-0000-0000-0000DADE0000}"/>
    <cellStyle name="Porcentual 3 11 2 7" xfId="57033" xr:uid="{00000000-0005-0000-0000-0000DBDE0000}"/>
    <cellStyle name="Porcentual 3 11 2 7 2" xfId="57034" xr:uid="{00000000-0005-0000-0000-0000DCDE0000}"/>
    <cellStyle name="Porcentual 3 11 2 8" xfId="57035" xr:uid="{00000000-0005-0000-0000-0000DDDE0000}"/>
    <cellStyle name="Porcentual 3 11 2 9" xfId="57036" xr:uid="{00000000-0005-0000-0000-0000DEDE0000}"/>
    <cellStyle name="Porcentual 3 11 3" xfId="57037" xr:uid="{00000000-0005-0000-0000-0000DFDE0000}"/>
    <cellStyle name="Porcentual 3 11 3 2" xfId="57038" xr:uid="{00000000-0005-0000-0000-0000E0DE0000}"/>
    <cellStyle name="Porcentual 3 11 3 2 2" xfId="57039" xr:uid="{00000000-0005-0000-0000-0000E1DE0000}"/>
    <cellStyle name="Porcentual 3 11 3 2 2 2" xfId="57040" xr:uid="{00000000-0005-0000-0000-0000E2DE0000}"/>
    <cellStyle name="Porcentual 3 11 3 2 2 2 2" xfId="57041" xr:uid="{00000000-0005-0000-0000-0000E3DE0000}"/>
    <cellStyle name="Porcentual 3 11 3 2 2 2 2 2" xfId="57042" xr:uid="{00000000-0005-0000-0000-0000E4DE0000}"/>
    <cellStyle name="Porcentual 3 11 3 2 2 2 3" xfId="57043" xr:uid="{00000000-0005-0000-0000-0000E5DE0000}"/>
    <cellStyle name="Porcentual 3 11 3 2 2 2 4" xfId="57044" xr:uid="{00000000-0005-0000-0000-0000E6DE0000}"/>
    <cellStyle name="Porcentual 3 11 3 2 2 3" xfId="57045" xr:uid="{00000000-0005-0000-0000-0000E7DE0000}"/>
    <cellStyle name="Porcentual 3 11 3 2 2 3 2" xfId="57046" xr:uid="{00000000-0005-0000-0000-0000E8DE0000}"/>
    <cellStyle name="Porcentual 3 11 3 2 2 4" xfId="57047" xr:uid="{00000000-0005-0000-0000-0000E9DE0000}"/>
    <cellStyle name="Porcentual 3 11 3 2 2 5" xfId="57048" xr:uid="{00000000-0005-0000-0000-0000EADE0000}"/>
    <cellStyle name="Porcentual 3 11 3 2 3" xfId="57049" xr:uid="{00000000-0005-0000-0000-0000EBDE0000}"/>
    <cellStyle name="Porcentual 3 11 3 2 3 2" xfId="57050" xr:uid="{00000000-0005-0000-0000-0000ECDE0000}"/>
    <cellStyle name="Porcentual 3 11 3 2 3 2 2" xfId="57051" xr:uid="{00000000-0005-0000-0000-0000EDDE0000}"/>
    <cellStyle name="Porcentual 3 11 3 2 3 3" xfId="57052" xr:uid="{00000000-0005-0000-0000-0000EEDE0000}"/>
    <cellStyle name="Porcentual 3 11 3 2 3 4" xfId="57053" xr:uid="{00000000-0005-0000-0000-0000EFDE0000}"/>
    <cellStyle name="Porcentual 3 11 3 2 4" xfId="57054" xr:uid="{00000000-0005-0000-0000-0000F0DE0000}"/>
    <cellStyle name="Porcentual 3 11 3 2 4 2" xfId="57055" xr:uid="{00000000-0005-0000-0000-0000F1DE0000}"/>
    <cellStyle name="Porcentual 3 11 3 2 5" xfId="57056" xr:uid="{00000000-0005-0000-0000-0000F2DE0000}"/>
    <cellStyle name="Porcentual 3 11 3 2 6" xfId="57057" xr:uid="{00000000-0005-0000-0000-0000F3DE0000}"/>
    <cellStyle name="Porcentual 3 11 3 3" xfId="57058" xr:uid="{00000000-0005-0000-0000-0000F4DE0000}"/>
    <cellStyle name="Porcentual 3 11 3 3 2" xfId="57059" xr:uid="{00000000-0005-0000-0000-0000F5DE0000}"/>
    <cellStyle name="Porcentual 3 11 3 3 2 2" xfId="57060" xr:uid="{00000000-0005-0000-0000-0000F6DE0000}"/>
    <cellStyle name="Porcentual 3 11 3 3 2 2 2" xfId="57061" xr:uid="{00000000-0005-0000-0000-0000F7DE0000}"/>
    <cellStyle name="Porcentual 3 11 3 3 2 3" xfId="57062" xr:uid="{00000000-0005-0000-0000-0000F8DE0000}"/>
    <cellStyle name="Porcentual 3 11 3 3 2 4" xfId="57063" xr:uid="{00000000-0005-0000-0000-0000F9DE0000}"/>
    <cellStyle name="Porcentual 3 11 3 3 3" xfId="57064" xr:uid="{00000000-0005-0000-0000-0000FADE0000}"/>
    <cellStyle name="Porcentual 3 11 3 3 3 2" xfId="57065" xr:uid="{00000000-0005-0000-0000-0000FBDE0000}"/>
    <cellStyle name="Porcentual 3 11 3 3 4" xfId="57066" xr:uid="{00000000-0005-0000-0000-0000FCDE0000}"/>
    <cellStyle name="Porcentual 3 11 3 3 5" xfId="57067" xr:uid="{00000000-0005-0000-0000-0000FDDE0000}"/>
    <cellStyle name="Porcentual 3 11 3 4" xfId="57068" xr:uid="{00000000-0005-0000-0000-0000FEDE0000}"/>
    <cellStyle name="Porcentual 3 11 3 4 2" xfId="57069" xr:uid="{00000000-0005-0000-0000-0000FFDE0000}"/>
    <cellStyle name="Porcentual 3 11 3 4 2 2" xfId="57070" xr:uid="{00000000-0005-0000-0000-000000DF0000}"/>
    <cellStyle name="Porcentual 3 11 3 4 3" xfId="57071" xr:uid="{00000000-0005-0000-0000-000001DF0000}"/>
    <cellStyle name="Porcentual 3 11 3 4 4" xfId="57072" xr:uid="{00000000-0005-0000-0000-000002DF0000}"/>
    <cellStyle name="Porcentual 3 11 3 5" xfId="57073" xr:uid="{00000000-0005-0000-0000-000003DF0000}"/>
    <cellStyle name="Porcentual 3 11 3 5 2" xfId="57074" xr:uid="{00000000-0005-0000-0000-000004DF0000}"/>
    <cellStyle name="Porcentual 3 11 3 6" xfId="57075" xr:uid="{00000000-0005-0000-0000-000005DF0000}"/>
    <cellStyle name="Porcentual 3 11 3 7" xfId="57076" xr:uid="{00000000-0005-0000-0000-000006DF0000}"/>
    <cellStyle name="Porcentual 3 11 4" xfId="57077" xr:uid="{00000000-0005-0000-0000-000007DF0000}"/>
    <cellStyle name="Porcentual 3 11 4 2" xfId="57078" xr:uid="{00000000-0005-0000-0000-000008DF0000}"/>
    <cellStyle name="Porcentual 3 11 4 2 2" xfId="57079" xr:uid="{00000000-0005-0000-0000-000009DF0000}"/>
    <cellStyle name="Porcentual 3 11 4 2 2 2" xfId="57080" xr:uid="{00000000-0005-0000-0000-00000ADF0000}"/>
    <cellStyle name="Porcentual 3 11 4 2 2 2 2" xfId="57081" xr:uid="{00000000-0005-0000-0000-00000BDF0000}"/>
    <cellStyle name="Porcentual 3 11 4 2 2 3" xfId="57082" xr:uid="{00000000-0005-0000-0000-00000CDF0000}"/>
    <cellStyle name="Porcentual 3 11 4 2 2 4" xfId="57083" xr:uid="{00000000-0005-0000-0000-00000DDF0000}"/>
    <cellStyle name="Porcentual 3 11 4 2 3" xfId="57084" xr:uid="{00000000-0005-0000-0000-00000EDF0000}"/>
    <cellStyle name="Porcentual 3 11 4 2 3 2" xfId="57085" xr:uid="{00000000-0005-0000-0000-00000FDF0000}"/>
    <cellStyle name="Porcentual 3 11 4 2 4" xfId="57086" xr:uid="{00000000-0005-0000-0000-000010DF0000}"/>
    <cellStyle name="Porcentual 3 11 4 2 5" xfId="57087" xr:uid="{00000000-0005-0000-0000-000011DF0000}"/>
    <cellStyle name="Porcentual 3 11 4 3" xfId="57088" xr:uid="{00000000-0005-0000-0000-000012DF0000}"/>
    <cellStyle name="Porcentual 3 11 4 3 2" xfId="57089" xr:uid="{00000000-0005-0000-0000-000013DF0000}"/>
    <cellStyle name="Porcentual 3 11 4 3 2 2" xfId="57090" xr:uid="{00000000-0005-0000-0000-000014DF0000}"/>
    <cellStyle name="Porcentual 3 11 4 3 3" xfId="57091" xr:uid="{00000000-0005-0000-0000-000015DF0000}"/>
    <cellStyle name="Porcentual 3 11 4 3 3 2" xfId="57092" xr:uid="{00000000-0005-0000-0000-000016DF0000}"/>
    <cellStyle name="Porcentual 3 11 4 3 4" xfId="57093" xr:uid="{00000000-0005-0000-0000-000017DF0000}"/>
    <cellStyle name="Porcentual 3 11 4 3 5" xfId="57094" xr:uid="{00000000-0005-0000-0000-000018DF0000}"/>
    <cellStyle name="Porcentual 3 11 4 4" xfId="57095" xr:uid="{00000000-0005-0000-0000-000019DF0000}"/>
    <cellStyle name="Porcentual 3 11 4 4 2" xfId="57096" xr:uid="{00000000-0005-0000-0000-00001ADF0000}"/>
    <cellStyle name="Porcentual 3 11 4 5" xfId="57097" xr:uid="{00000000-0005-0000-0000-00001BDF0000}"/>
    <cellStyle name="Porcentual 3 11 4 5 2" xfId="57098" xr:uid="{00000000-0005-0000-0000-00001CDF0000}"/>
    <cellStyle name="Porcentual 3 11 4 6" xfId="57099" xr:uid="{00000000-0005-0000-0000-00001DDF0000}"/>
    <cellStyle name="Porcentual 3 11 4 7" xfId="57100" xr:uid="{00000000-0005-0000-0000-00001EDF0000}"/>
    <cellStyle name="Porcentual 3 11 5" xfId="57101" xr:uid="{00000000-0005-0000-0000-00001FDF0000}"/>
    <cellStyle name="Porcentual 3 11 5 2" xfId="57102" xr:uid="{00000000-0005-0000-0000-000020DF0000}"/>
    <cellStyle name="Porcentual 3 11 5 2 2" xfId="57103" xr:uid="{00000000-0005-0000-0000-000021DF0000}"/>
    <cellStyle name="Porcentual 3 11 5 2 2 2" xfId="57104" xr:uid="{00000000-0005-0000-0000-000022DF0000}"/>
    <cellStyle name="Porcentual 3 11 5 2 3" xfId="57105" xr:uid="{00000000-0005-0000-0000-000023DF0000}"/>
    <cellStyle name="Porcentual 3 11 5 2 4" xfId="57106" xr:uid="{00000000-0005-0000-0000-000024DF0000}"/>
    <cellStyle name="Porcentual 3 11 5 3" xfId="57107" xr:uid="{00000000-0005-0000-0000-000025DF0000}"/>
    <cellStyle name="Porcentual 3 11 5 3 2" xfId="57108" xr:uid="{00000000-0005-0000-0000-000026DF0000}"/>
    <cellStyle name="Porcentual 3 11 5 4" xfId="57109" xr:uid="{00000000-0005-0000-0000-000027DF0000}"/>
    <cellStyle name="Porcentual 3 11 5 5" xfId="57110" xr:uid="{00000000-0005-0000-0000-000028DF0000}"/>
    <cellStyle name="Porcentual 3 11 6" xfId="57111" xr:uid="{00000000-0005-0000-0000-000029DF0000}"/>
    <cellStyle name="Porcentual 3 11 6 2" xfId="57112" xr:uid="{00000000-0005-0000-0000-00002ADF0000}"/>
    <cellStyle name="Porcentual 3 11 6 2 2" xfId="57113" xr:uid="{00000000-0005-0000-0000-00002BDF0000}"/>
    <cellStyle name="Porcentual 3 11 6 3" xfId="57114" xr:uid="{00000000-0005-0000-0000-00002CDF0000}"/>
    <cellStyle name="Porcentual 3 11 6 3 2" xfId="57115" xr:uid="{00000000-0005-0000-0000-00002DDF0000}"/>
    <cellStyle name="Porcentual 3 11 6 4" xfId="57116" xr:uid="{00000000-0005-0000-0000-00002EDF0000}"/>
    <cellStyle name="Porcentual 3 11 6 5" xfId="57117" xr:uid="{00000000-0005-0000-0000-00002FDF0000}"/>
    <cellStyle name="Porcentual 3 11 7" xfId="57118" xr:uid="{00000000-0005-0000-0000-000030DF0000}"/>
    <cellStyle name="Porcentual 3 11 7 2" xfId="57119" xr:uid="{00000000-0005-0000-0000-000031DF0000}"/>
    <cellStyle name="Porcentual 3 11 8" xfId="57120" xr:uid="{00000000-0005-0000-0000-000032DF0000}"/>
    <cellStyle name="Porcentual 3 11 8 2" xfId="57121" xr:uid="{00000000-0005-0000-0000-000033DF0000}"/>
    <cellStyle name="Porcentual 3 11 9" xfId="57122" xr:uid="{00000000-0005-0000-0000-000034DF0000}"/>
    <cellStyle name="Porcentual 3 12" xfId="57123" xr:uid="{00000000-0005-0000-0000-000035DF0000}"/>
    <cellStyle name="Porcentual 3 12 2" xfId="57124" xr:uid="{00000000-0005-0000-0000-000036DF0000}"/>
    <cellStyle name="Porcentual 3 12 2 2" xfId="57125" xr:uid="{00000000-0005-0000-0000-000037DF0000}"/>
    <cellStyle name="Porcentual 3 12 2 2 2" xfId="57126" xr:uid="{00000000-0005-0000-0000-000038DF0000}"/>
    <cellStyle name="Porcentual 3 12 2 2 2 2" xfId="57127" xr:uid="{00000000-0005-0000-0000-000039DF0000}"/>
    <cellStyle name="Porcentual 3 12 2 2 2 2 2" xfId="57128" xr:uid="{00000000-0005-0000-0000-00003ADF0000}"/>
    <cellStyle name="Porcentual 3 12 2 2 2 2 2 2" xfId="57129" xr:uid="{00000000-0005-0000-0000-00003BDF0000}"/>
    <cellStyle name="Porcentual 3 12 2 2 2 2 3" xfId="57130" xr:uid="{00000000-0005-0000-0000-00003CDF0000}"/>
    <cellStyle name="Porcentual 3 12 2 2 2 2 4" xfId="57131" xr:uid="{00000000-0005-0000-0000-00003DDF0000}"/>
    <cellStyle name="Porcentual 3 12 2 2 2 3" xfId="57132" xr:uid="{00000000-0005-0000-0000-00003EDF0000}"/>
    <cellStyle name="Porcentual 3 12 2 2 2 3 2" xfId="57133" xr:uid="{00000000-0005-0000-0000-00003FDF0000}"/>
    <cellStyle name="Porcentual 3 12 2 2 2 4" xfId="57134" xr:uid="{00000000-0005-0000-0000-000040DF0000}"/>
    <cellStyle name="Porcentual 3 12 2 2 2 5" xfId="57135" xr:uid="{00000000-0005-0000-0000-000041DF0000}"/>
    <cellStyle name="Porcentual 3 12 2 2 3" xfId="57136" xr:uid="{00000000-0005-0000-0000-000042DF0000}"/>
    <cellStyle name="Porcentual 3 12 2 2 3 2" xfId="57137" xr:uid="{00000000-0005-0000-0000-000043DF0000}"/>
    <cellStyle name="Porcentual 3 12 2 2 3 2 2" xfId="57138" xr:uid="{00000000-0005-0000-0000-000044DF0000}"/>
    <cellStyle name="Porcentual 3 12 2 2 3 3" xfId="57139" xr:uid="{00000000-0005-0000-0000-000045DF0000}"/>
    <cellStyle name="Porcentual 3 12 2 2 3 4" xfId="57140" xr:uid="{00000000-0005-0000-0000-000046DF0000}"/>
    <cellStyle name="Porcentual 3 12 2 2 4" xfId="57141" xr:uid="{00000000-0005-0000-0000-000047DF0000}"/>
    <cellStyle name="Porcentual 3 12 2 2 4 2" xfId="57142" xr:uid="{00000000-0005-0000-0000-000048DF0000}"/>
    <cellStyle name="Porcentual 3 12 2 2 5" xfId="57143" xr:uid="{00000000-0005-0000-0000-000049DF0000}"/>
    <cellStyle name="Porcentual 3 12 2 2 6" xfId="57144" xr:uid="{00000000-0005-0000-0000-00004ADF0000}"/>
    <cellStyle name="Porcentual 3 12 2 3" xfId="57145" xr:uid="{00000000-0005-0000-0000-00004BDF0000}"/>
    <cellStyle name="Porcentual 3 12 2 3 2" xfId="57146" xr:uid="{00000000-0005-0000-0000-00004CDF0000}"/>
    <cellStyle name="Porcentual 3 12 2 3 2 2" xfId="57147" xr:uid="{00000000-0005-0000-0000-00004DDF0000}"/>
    <cellStyle name="Porcentual 3 12 2 3 2 2 2" xfId="57148" xr:uid="{00000000-0005-0000-0000-00004EDF0000}"/>
    <cellStyle name="Porcentual 3 12 2 3 2 3" xfId="57149" xr:uid="{00000000-0005-0000-0000-00004FDF0000}"/>
    <cellStyle name="Porcentual 3 12 2 3 2 4" xfId="57150" xr:uid="{00000000-0005-0000-0000-000050DF0000}"/>
    <cellStyle name="Porcentual 3 12 2 3 3" xfId="57151" xr:uid="{00000000-0005-0000-0000-000051DF0000}"/>
    <cellStyle name="Porcentual 3 12 2 3 3 2" xfId="57152" xr:uid="{00000000-0005-0000-0000-000052DF0000}"/>
    <cellStyle name="Porcentual 3 12 2 3 4" xfId="57153" xr:uid="{00000000-0005-0000-0000-000053DF0000}"/>
    <cellStyle name="Porcentual 3 12 2 3 5" xfId="57154" xr:uid="{00000000-0005-0000-0000-000054DF0000}"/>
    <cellStyle name="Porcentual 3 12 2 4" xfId="57155" xr:uid="{00000000-0005-0000-0000-000055DF0000}"/>
    <cellStyle name="Porcentual 3 12 2 4 2" xfId="57156" xr:uid="{00000000-0005-0000-0000-000056DF0000}"/>
    <cellStyle name="Porcentual 3 12 2 4 2 2" xfId="57157" xr:uid="{00000000-0005-0000-0000-000057DF0000}"/>
    <cellStyle name="Porcentual 3 12 2 4 3" xfId="57158" xr:uid="{00000000-0005-0000-0000-000058DF0000}"/>
    <cellStyle name="Porcentual 3 12 2 4 4" xfId="57159" xr:uid="{00000000-0005-0000-0000-000059DF0000}"/>
    <cellStyle name="Porcentual 3 12 2 5" xfId="57160" xr:uid="{00000000-0005-0000-0000-00005ADF0000}"/>
    <cellStyle name="Porcentual 3 12 2 5 2" xfId="57161" xr:uid="{00000000-0005-0000-0000-00005BDF0000}"/>
    <cellStyle name="Porcentual 3 12 2 6" xfId="57162" xr:uid="{00000000-0005-0000-0000-00005CDF0000}"/>
    <cellStyle name="Porcentual 3 12 2 7" xfId="57163" xr:uid="{00000000-0005-0000-0000-00005DDF0000}"/>
    <cellStyle name="Porcentual 3 12 3" xfId="57164" xr:uid="{00000000-0005-0000-0000-00005EDF0000}"/>
    <cellStyle name="Porcentual 3 12 3 2" xfId="57165" xr:uid="{00000000-0005-0000-0000-00005FDF0000}"/>
    <cellStyle name="Porcentual 3 12 3 2 2" xfId="57166" xr:uid="{00000000-0005-0000-0000-000060DF0000}"/>
    <cellStyle name="Porcentual 3 12 3 2 2 2" xfId="57167" xr:uid="{00000000-0005-0000-0000-000061DF0000}"/>
    <cellStyle name="Porcentual 3 12 3 2 2 2 2" xfId="57168" xr:uid="{00000000-0005-0000-0000-000062DF0000}"/>
    <cellStyle name="Porcentual 3 12 3 2 2 3" xfId="57169" xr:uid="{00000000-0005-0000-0000-000063DF0000}"/>
    <cellStyle name="Porcentual 3 12 3 2 2 4" xfId="57170" xr:uid="{00000000-0005-0000-0000-000064DF0000}"/>
    <cellStyle name="Porcentual 3 12 3 2 3" xfId="57171" xr:uid="{00000000-0005-0000-0000-000065DF0000}"/>
    <cellStyle name="Porcentual 3 12 3 2 3 2" xfId="57172" xr:uid="{00000000-0005-0000-0000-000066DF0000}"/>
    <cellStyle name="Porcentual 3 12 3 2 4" xfId="57173" xr:uid="{00000000-0005-0000-0000-000067DF0000}"/>
    <cellStyle name="Porcentual 3 12 3 2 5" xfId="57174" xr:uid="{00000000-0005-0000-0000-000068DF0000}"/>
    <cellStyle name="Porcentual 3 12 3 3" xfId="57175" xr:uid="{00000000-0005-0000-0000-000069DF0000}"/>
    <cellStyle name="Porcentual 3 12 3 3 2" xfId="57176" xr:uid="{00000000-0005-0000-0000-00006ADF0000}"/>
    <cellStyle name="Porcentual 3 12 3 3 2 2" xfId="57177" xr:uid="{00000000-0005-0000-0000-00006BDF0000}"/>
    <cellStyle name="Porcentual 3 12 3 3 3" xfId="57178" xr:uid="{00000000-0005-0000-0000-00006CDF0000}"/>
    <cellStyle name="Porcentual 3 12 3 3 3 2" xfId="57179" xr:uid="{00000000-0005-0000-0000-00006DDF0000}"/>
    <cellStyle name="Porcentual 3 12 3 3 4" xfId="57180" xr:uid="{00000000-0005-0000-0000-00006EDF0000}"/>
    <cellStyle name="Porcentual 3 12 3 3 5" xfId="57181" xr:uid="{00000000-0005-0000-0000-00006FDF0000}"/>
    <cellStyle name="Porcentual 3 12 3 4" xfId="57182" xr:uid="{00000000-0005-0000-0000-000070DF0000}"/>
    <cellStyle name="Porcentual 3 12 3 4 2" xfId="57183" xr:uid="{00000000-0005-0000-0000-000071DF0000}"/>
    <cellStyle name="Porcentual 3 12 3 5" xfId="57184" xr:uid="{00000000-0005-0000-0000-000072DF0000}"/>
    <cellStyle name="Porcentual 3 12 3 5 2" xfId="57185" xr:uid="{00000000-0005-0000-0000-000073DF0000}"/>
    <cellStyle name="Porcentual 3 12 3 6" xfId="57186" xr:uid="{00000000-0005-0000-0000-000074DF0000}"/>
    <cellStyle name="Porcentual 3 12 3 7" xfId="57187" xr:uid="{00000000-0005-0000-0000-000075DF0000}"/>
    <cellStyle name="Porcentual 3 12 4" xfId="57188" xr:uid="{00000000-0005-0000-0000-000076DF0000}"/>
    <cellStyle name="Porcentual 3 12 4 2" xfId="57189" xr:uid="{00000000-0005-0000-0000-000077DF0000}"/>
    <cellStyle name="Porcentual 3 12 4 2 2" xfId="57190" xr:uid="{00000000-0005-0000-0000-000078DF0000}"/>
    <cellStyle name="Porcentual 3 12 4 2 2 2" xfId="57191" xr:uid="{00000000-0005-0000-0000-000079DF0000}"/>
    <cellStyle name="Porcentual 3 12 4 2 3" xfId="57192" xr:uid="{00000000-0005-0000-0000-00007ADF0000}"/>
    <cellStyle name="Porcentual 3 12 4 2 4" xfId="57193" xr:uid="{00000000-0005-0000-0000-00007BDF0000}"/>
    <cellStyle name="Porcentual 3 12 4 3" xfId="57194" xr:uid="{00000000-0005-0000-0000-00007CDF0000}"/>
    <cellStyle name="Porcentual 3 12 4 3 2" xfId="57195" xr:uid="{00000000-0005-0000-0000-00007DDF0000}"/>
    <cellStyle name="Porcentual 3 12 4 4" xfId="57196" xr:uid="{00000000-0005-0000-0000-00007EDF0000}"/>
    <cellStyle name="Porcentual 3 12 4 5" xfId="57197" xr:uid="{00000000-0005-0000-0000-00007FDF0000}"/>
    <cellStyle name="Porcentual 3 12 5" xfId="57198" xr:uid="{00000000-0005-0000-0000-000080DF0000}"/>
    <cellStyle name="Porcentual 3 12 5 2" xfId="57199" xr:uid="{00000000-0005-0000-0000-000081DF0000}"/>
    <cellStyle name="Porcentual 3 12 5 2 2" xfId="57200" xr:uid="{00000000-0005-0000-0000-000082DF0000}"/>
    <cellStyle name="Porcentual 3 12 5 3" xfId="57201" xr:uid="{00000000-0005-0000-0000-000083DF0000}"/>
    <cellStyle name="Porcentual 3 12 5 3 2" xfId="57202" xr:uid="{00000000-0005-0000-0000-000084DF0000}"/>
    <cellStyle name="Porcentual 3 12 5 4" xfId="57203" xr:uid="{00000000-0005-0000-0000-000085DF0000}"/>
    <cellStyle name="Porcentual 3 12 5 5" xfId="57204" xr:uid="{00000000-0005-0000-0000-000086DF0000}"/>
    <cellStyle name="Porcentual 3 12 6" xfId="57205" xr:uid="{00000000-0005-0000-0000-000087DF0000}"/>
    <cellStyle name="Porcentual 3 12 6 2" xfId="57206" xr:uid="{00000000-0005-0000-0000-000088DF0000}"/>
    <cellStyle name="Porcentual 3 12 7" xfId="57207" xr:uid="{00000000-0005-0000-0000-000089DF0000}"/>
    <cellStyle name="Porcentual 3 12 7 2" xfId="57208" xr:uid="{00000000-0005-0000-0000-00008ADF0000}"/>
    <cellStyle name="Porcentual 3 12 8" xfId="57209" xr:uid="{00000000-0005-0000-0000-00008BDF0000}"/>
    <cellStyle name="Porcentual 3 12 9" xfId="57210" xr:uid="{00000000-0005-0000-0000-00008CDF0000}"/>
    <cellStyle name="Porcentual 3 13" xfId="57211" xr:uid="{00000000-0005-0000-0000-00008DDF0000}"/>
    <cellStyle name="Porcentual 3 13 2" xfId="57212" xr:uid="{00000000-0005-0000-0000-00008EDF0000}"/>
    <cellStyle name="Porcentual 3 13 2 2" xfId="57213" xr:uid="{00000000-0005-0000-0000-00008FDF0000}"/>
    <cellStyle name="Porcentual 3 13 2 2 2" xfId="57214" xr:uid="{00000000-0005-0000-0000-000090DF0000}"/>
    <cellStyle name="Porcentual 3 13 2 2 2 2" xfId="57215" xr:uid="{00000000-0005-0000-0000-000091DF0000}"/>
    <cellStyle name="Porcentual 3 13 2 2 2 2 2" xfId="57216" xr:uid="{00000000-0005-0000-0000-000092DF0000}"/>
    <cellStyle name="Porcentual 3 13 2 2 2 2 2 2" xfId="57217" xr:uid="{00000000-0005-0000-0000-000093DF0000}"/>
    <cellStyle name="Porcentual 3 13 2 2 2 2 3" xfId="57218" xr:uid="{00000000-0005-0000-0000-000094DF0000}"/>
    <cellStyle name="Porcentual 3 13 2 2 2 2 4" xfId="57219" xr:uid="{00000000-0005-0000-0000-000095DF0000}"/>
    <cellStyle name="Porcentual 3 13 2 2 2 3" xfId="57220" xr:uid="{00000000-0005-0000-0000-000096DF0000}"/>
    <cellStyle name="Porcentual 3 13 2 2 2 3 2" xfId="57221" xr:uid="{00000000-0005-0000-0000-000097DF0000}"/>
    <cellStyle name="Porcentual 3 13 2 2 2 4" xfId="57222" xr:uid="{00000000-0005-0000-0000-000098DF0000}"/>
    <cellStyle name="Porcentual 3 13 2 2 2 5" xfId="57223" xr:uid="{00000000-0005-0000-0000-000099DF0000}"/>
    <cellStyle name="Porcentual 3 13 2 2 3" xfId="57224" xr:uid="{00000000-0005-0000-0000-00009ADF0000}"/>
    <cellStyle name="Porcentual 3 13 2 2 3 2" xfId="57225" xr:uid="{00000000-0005-0000-0000-00009BDF0000}"/>
    <cellStyle name="Porcentual 3 13 2 2 3 2 2" xfId="57226" xr:uid="{00000000-0005-0000-0000-00009CDF0000}"/>
    <cellStyle name="Porcentual 3 13 2 2 3 3" xfId="57227" xr:uid="{00000000-0005-0000-0000-00009DDF0000}"/>
    <cellStyle name="Porcentual 3 13 2 2 3 4" xfId="57228" xr:uid="{00000000-0005-0000-0000-00009EDF0000}"/>
    <cellStyle name="Porcentual 3 13 2 2 4" xfId="57229" xr:uid="{00000000-0005-0000-0000-00009FDF0000}"/>
    <cellStyle name="Porcentual 3 13 2 2 4 2" xfId="57230" xr:uid="{00000000-0005-0000-0000-0000A0DF0000}"/>
    <cellStyle name="Porcentual 3 13 2 2 5" xfId="57231" xr:uid="{00000000-0005-0000-0000-0000A1DF0000}"/>
    <cellStyle name="Porcentual 3 13 2 2 6" xfId="57232" xr:uid="{00000000-0005-0000-0000-0000A2DF0000}"/>
    <cellStyle name="Porcentual 3 13 2 3" xfId="57233" xr:uid="{00000000-0005-0000-0000-0000A3DF0000}"/>
    <cellStyle name="Porcentual 3 13 2 3 2" xfId="57234" xr:uid="{00000000-0005-0000-0000-0000A4DF0000}"/>
    <cellStyle name="Porcentual 3 13 2 3 2 2" xfId="57235" xr:uid="{00000000-0005-0000-0000-0000A5DF0000}"/>
    <cellStyle name="Porcentual 3 13 2 3 2 2 2" xfId="57236" xr:uid="{00000000-0005-0000-0000-0000A6DF0000}"/>
    <cellStyle name="Porcentual 3 13 2 3 2 3" xfId="57237" xr:uid="{00000000-0005-0000-0000-0000A7DF0000}"/>
    <cellStyle name="Porcentual 3 13 2 3 2 4" xfId="57238" xr:uid="{00000000-0005-0000-0000-0000A8DF0000}"/>
    <cellStyle name="Porcentual 3 13 2 3 3" xfId="57239" xr:uid="{00000000-0005-0000-0000-0000A9DF0000}"/>
    <cellStyle name="Porcentual 3 13 2 3 3 2" xfId="57240" xr:uid="{00000000-0005-0000-0000-0000AADF0000}"/>
    <cellStyle name="Porcentual 3 13 2 3 4" xfId="57241" xr:uid="{00000000-0005-0000-0000-0000ABDF0000}"/>
    <cellStyle name="Porcentual 3 13 2 3 5" xfId="57242" xr:uid="{00000000-0005-0000-0000-0000ACDF0000}"/>
    <cellStyle name="Porcentual 3 13 2 4" xfId="57243" xr:uid="{00000000-0005-0000-0000-0000ADDF0000}"/>
    <cellStyle name="Porcentual 3 13 2 4 2" xfId="57244" xr:uid="{00000000-0005-0000-0000-0000AEDF0000}"/>
    <cellStyle name="Porcentual 3 13 2 4 2 2" xfId="57245" xr:uid="{00000000-0005-0000-0000-0000AFDF0000}"/>
    <cellStyle name="Porcentual 3 13 2 4 3" xfId="57246" xr:uid="{00000000-0005-0000-0000-0000B0DF0000}"/>
    <cellStyle name="Porcentual 3 13 2 4 4" xfId="57247" xr:uid="{00000000-0005-0000-0000-0000B1DF0000}"/>
    <cellStyle name="Porcentual 3 13 2 5" xfId="57248" xr:uid="{00000000-0005-0000-0000-0000B2DF0000}"/>
    <cellStyle name="Porcentual 3 13 2 5 2" xfId="57249" xr:uid="{00000000-0005-0000-0000-0000B3DF0000}"/>
    <cellStyle name="Porcentual 3 13 2 6" xfId="57250" xr:uid="{00000000-0005-0000-0000-0000B4DF0000}"/>
    <cellStyle name="Porcentual 3 13 2 7" xfId="57251" xr:uid="{00000000-0005-0000-0000-0000B5DF0000}"/>
    <cellStyle name="Porcentual 3 13 3" xfId="57252" xr:uid="{00000000-0005-0000-0000-0000B6DF0000}"/>
    <cellStyle name="Porcentual 3 13 3 2" xfId="57253" xr:uid="{00000000-0005-0000-0000-0000B7DF0000}"/>
    <cellStyle name="Porcentual 3 13 3 2 2" xfId="57254" xr:uid="{00000000-0005-0000-0000-0000B8DF0000}"/>
    <cellStyle name="Porcentual 3 13 3 2 2 2" xfId="57255" xr:uid="{00000000-0005-0000-0000-0000B9DF0000}"/>
    <cellStyle name="Porcentual 3 13 3 2 2 2 2" xfId="57256" xr:uid="{00000000-0005-0000-0000-0000BADF0000}"/>
    <cellStyle name="Porcentual 3 13 3 2 2 3" xfId="57257" xr:uid="{00000000-0005-0000-0000-0000BBDF0000}"/>
    <cellStyle name="Porcentual 3 13 3 2 2 4" xfId="57258" xr:uid="{00000000-0005-0000-0000-0000BCDF0000}"/>
    <cellStyle name="Porcentual 3 13 3 2 3" xfId="57259" xr:uid="{00000000-0005-0000-0000-0000BDDF0000}"/>
    <cellStyle name="Porcentual 3 13 3 2 3 2" xfId="57260" xr:uid="{00000000-0005-0000-0000-0000BEDF0000}"/>
    <cellStyle name="Porcentual 3 13 3 2 4" xfId="57261" xr:uid="{00000000-0005-0000-0000-0000BFDF0000}"/>
    <cellStyle name="Porcentual 3 13 3 2 5" xfId="57262" xr:uid="{00000000-0005-0000-0000-0000C0DF0000}"/>
    <cellStyle name="Porcentual 3 13 3 3" xfId="57263" xr:uid="{00000000-0005-0000-0000-0000C1DF0000}"/>
    <cellStyle name="Porcentual 3 13 3 3 2" xfId="57264" xr:uid="{00000000-0005-0000-0000-0000C2DF0000}"/>
    <cellStyle name="Porcentual 3 13 3 3 2 2" xfId="57265" xr:uid="{00000000-0005-0000-0000-0000C3DF0000}"/>
    <cellStyle name="Porcentual 3 13 3 3 3" xfId="57266" xr:uid="{00000000-0005-0000-0000-0000C4DF0000}"/>
    <cellStyle name="Porcentual 3 13 3 3 3 2" xfId="57267" xr:uid="{00000000-0005-0000-0000-0000C5DF0000}"/>
    <cellStyle name="Porcentual 3 13 3 3 4" xfId="57268" xr:uid="{00000000-0005-0000-0000-0000C6DF0000}"/>
    <cellStyle name="Porcentual 3 13 3 3 5" xfId="57269" xr:uid="{00000000-0005-0000-0000-0000C7DF0000}"/>
    <cellStyle name="Porcentual 3 13 3 4" xfId="57270" xr:uid="{00000000-0005-0000-0000-0000C8DF0000}"/>
    <cellStyle name="Porcentual 3 13 3 4 2" xfId="57271" xr:uid="{00000000-0005-0000-0000-0000C9DF0000}"/>
    <cellStyle name="Porcentual 3 13 3 5" xfId="57272" xr:uid="{00000000-0005-0000-0000-0000CADF0000}"/>
    <cellStyle name="Porcentual 3 13 3 5 2" xfId="57273" xr:uid="{00000000-0005-0000-0000-0000CBDF0000}"/>
    <cellStyle name="Porcentual 3 13 3 6" xfId="57274" xr:uid="{00000000-0005-0000-0000-0000CCDF0000}"/>
    <cellStyle name="Porcentual 3 13 3 7" xfId="57275" xr:uid="{00000000-0005-0000-0000-0000CDDF0000}"/>
    <cellStyle name="Porcentual 3 13 4" xfId="57276" xr:uid="{00000000-0005-0000-0000-0000CEDF0000}"/>
    <cellStyle name="Porcentual 3 13 4 2" xfId="57277" xr:uid="{00000000-0005-0000-0000-0000CFDF0000}"/>
    <cellStyle name="Porcentual 3 13 4 2 2" xfId="57278" xr:uid="{00000000-0005-0000-0000-0000D0DF0000}"/>
    <cellStyle name="Porcentual 3 13 4 2 2 2" xfId="57279" xr:uid="{00000000-0005-0000-0000-0000D1DF0000}"/>
    <cellStyle name="Porcentual 3 13 4 2 3" xfId="57280" xr:uid="{00000000-0005-0000-0000-0000D2DF0000}"/>
    <cellStyle name="Porcentual 3 13 4 2 4" xfId="57281" xr:uid="{00000000-0005-0000-0000-0000D3DF0000}"/>
    <cellStyle name="Porcentual 3 13 4 3" xfId="57282" xr:uid="{00000000-0005-0000-0000-0000D4DF0000}"/>
    <cellStyle name="Porcentual 3 13 4 3 2" xfId="57283" xr:uid="{00000000-0005-0000-0000-0000D5DF0000}"/>
    <cellStyle name="Porcentual 3 13 4 4" xfId="57284" xr:uid="{00000000-0005-0000-0000-0000D6DF0000}"/>
    <cellStyle name="Porcentual 3 13 4 5" xfId="57285" xr:uid="{00000000-0005-0000-0000-0000D7DF0000}"/>
    <cellStyle name="Porcentual 3 13 5" xfId="57286" xr:uid="{00000000-0005-0000-0000-0000D8DF0000}"/>
    <cellStyle name="Porcentual 3 13 5 2" xfId="57287" xr:uid="{00000000-0005-0000-0000-0000D9DF0000}"/>
    <cellStyle name="Porcentual 3 13 5 2 2" xfId="57288" xr:uid="{00000000-0005-0000-0000-0000DADF0000}"/>
    <cellStyle name="Porcentual 3 13 5 3" xfId="57289" xr:uid="{00000000-0005-0000-0000-0000DBDF0000}"/>
    <cellStyle name="Porcentual 3 13 5 3 2" xfId="57290" xr:uid="{00000000-0005-0000-0000-0000DCDF0000}"/>
    <cellStyle name="Porcentual 3 13 5 4" xfId="57291" xr:uid="{00000000-0005-0000-0000-0000DDDF0000}"/>
    <cellStyle name="Porcentual 3 13 5 5" xfId="57292" xr:uid="{00000000-0005-0000-0000-0000DEDF0000}"/>
    <cellStyle name="Porcentual 3 13 6" xfId="57293" xr:uid="{00000000-0005-0000-0000-0000DFDF0000}"/>
    <cellStyle name="Porcentual 3 13 6 2" xfId="57294" xr:uid="{00000000-0005-0000-0000-0000E0DF0000}"/>
    <cellStyle name="Porcentual 3 13 7" xfId="57295" xr:uid="{00000000-0005-0000-0000-0000E1DF0000}"/>
    <cellStyle name="Porcentual 3 13 7 2" xfId="57296" xr:uid="{00000000-0005-0000-0000-0000E2DF0000}"/>
    <cellStyle name="Porcentual 3 13 8" xfId="57297" xr:uid="{00000000-0005-0000-0000-0000E3DF0000}"/>
    <cellStyle name="Porcentual 3 13 9" xfId="57298" xr:uid="{00000000-0005-0000-0000-0000E4DF0000}"/>
    <cellStyle name="Porcentual 3 14" xfId="57299" xr:uid="{00000000-0005-0000-0000-0000E5DF0000}"/>
    <cellStyle name="Porcentual 3 14 2" xfId="57300" xr:uid="{00000000-0005-0000-0000-0000E6DF0000}"/>
    <cellStyle name="Porcentual 3 14 2 2" xfId="57301" xr:uid="{00000000-0005-0000-0000-0000E7DF0000}"/>
    <cellStyle name="Porcentual 3 14 2 2 2" xfId="57302" xr:uid="{00000000-0005-0000-0000-0000E8DF0000}"/>
    <cellStyle name="Porcentual 3 14 2 2 2 2" xfId="57303" xr:uid="{00000000-0005-0000-0000-0000E9DF0000}"/>
    <cellStyle name="Porcentual 3 14 2 2 2 2 2" xfId="57304" xr:uid="{00000000-0005-0000-0000-0000EADF0000}"/>
    <cellStyle name="Porcentual 3 14 2 2 2 3" xfId="57305" xr:uid="{00000000-0005-0000-0000-0000EBDF0000}"/>
    <cellStyle name="Porcentual 3 14 2 2 2 4" xfId="57306" xr:uid="{00000000-0005-0000-0000-0000ECDF0000}"/>
    <cellStyle name="Porcentual 3 14 2 2 3" xfId="57307" xr:uid="{00000000-0005-0000-0000-0000EDDF0000}"/>
    <cellStyle name="Porcentual 3 14 2 2 3 2" xfId="57308" xr:uid="{00000000-0005-0000-0000-0000EEDF0000}"/>
    <cellStyle name="Porcentual 3 14 2 2 4" xfId="57309" xr:uid="{00000000-0005-0000-0000-0000EFDF0000}"/>
    <cellStyle name="Porcentual 3 14 2 2 5" xfId="57310" xr:uid="{00000000-0005-0000-0000-0000F0DF0000}"/>
    <cellStyle name="Porcentual 3 14 2 3" xfId="57311" xr:uid="{00000000-0005-0000-0000-0000F1DF0000}"/>
    <cellStyle name="Porcentual 3 14 2 3 2" xfId="57312" xr:uid="{00000000-0005-0000-0000-0000F2DF0000}"/>
    <cellStyle name="Porcentual 3 14 2 3 2 2" xfId="57313" xr:uid="{00000000-0005-0000-0000-0000F3DF0000}"/>
    <cellStyle name="Porcentual 3 14 2 3 3" xfId="57314" xr:uid="{00000000-0005-0000-0000-0000F4DF0000}"/>
    <cellStyle name="Porcentual 3 14 2 3 3 2" xfId="57315" xr:uid="{00000000-0005-0000-0000-0000F5DF0000}"/>
    <cellStyle name="Porcentual 3 14 2 3 4" xfId="57316" xr:uid="{00000000-0005-0000-0000-0000F6DF0000}"/>
    <cellStyle name="Porcentual 3 14 2 3 5" xfId="57317" xr:uid="{00000000-0005-0000-0000-0000F7DF0000}"/>
    <cellStyle name="Porcentual 3 14 2 4" xfId="57318" xr:uid="{00000000-0005-0000-0000-0000F8DF0000}"/>
    <cellStyle name="Porcentual 3 14 2 4 2" xfId="57319" xr:uid="{00000000-0005-0000-0000-0000F9DF0000}"/>
    <cellStyle name="Porcentual 3 14 2 5" xfId="57320" xr:uid="{00000000-0005-0000-0000-0000FADF0000}"/>
    <cellStyle name="Porcentual 3 14 2 5 2" xfId="57321" xr:uid="{00000000-0005-0000-0000-0000FBDF0000}"/>
    <cellStyle name="Porcentual 3 14 2 6" xfId="57322" xr:uid="{00000000-0005-0000-0000-0000FCDF0000}"/>
    <cellStyle name="Porcentual 3 14 2 7" xfId="57323" xr:uid="{00000000-0005-0000-0000-0000FDDF0000}"/>
    <cellStyle name="Porcentual 3 14 3" xfId="57324" xr:uid="{00000000-0005-0000-0000-0000FEDF0000}"/>
    <cellStyle name="Porcentual 3 14 3 2" xfId="57325" xr:uid="{00000000-0005-0000-0000-0000FFDF0000}"/>
    <cellStyle name="Porcentual 3 14 3 2 2" xfId="57326" xr:uid="{00000000-0005-0000-0000-000000E00000}"/>
    <cellStyle name="Porcentual 3 14 3 2 2 2" xfId="57327" xr:uid="{00000000-0005-0000-0000-000001E00000}"/>
    <cellStyle name="Porcentual 3 14 3 2 3" xfId="57328" xr:uid="{00000000-0005-0000-0000-000002E00000}"/>
    <cellStyle name="Porcentual 3 14 3 2 4" xfId="57329" xr:uid="{00000000-0005-0000-0000-000003E00000}"/>
    <cellStyle name="Porcentual 3 14 3 3" xfId="57330" xr:uid="{00000000-0005-0000-0000-000004E00000}"/>
    <cellStyle name="Porcentual 3 14 3 3 2" xfId="57331" xr:uid="{00000000-0005-0000-0000-000005E00000}"/>
    <cellStyle name="Porcentual 3 14 3 4" xfId="57332" xr:uid="{00000000-0005-0000-0000-000006E00000}"/>
    <cellStyle name="Porcentual 3 14 3 5" xfId="57333" xr:uid="{00000000-0005-0000-0000-000007E00000}"/>
    <cellStyle name="Porcentual 3 14 4" xfId="57334" xr:uid="{00000000-0005-0000-0000-000008E00000}"/>
    <cellStyle name="Porcentual 3 14 4 2" xfId="57335" xr:uid="{00000000-0005-0000-0000-000009E00000}"/>
    <cellStyle name="Porcentual 3 14 4 2 2" xfId="57336" xr:uid="{00000000-0005-0000-0000-00000AE00000}"/>
    <cellStyle name="Porcentual 3 14 4 3" xfId="57337" xr:uid="{00000000-0005-0000-0000-00000BE00000}"/>
    <cellStyle name="Porcentual 3 14 4 3 2" xfId="57338" xr:uid="{00000000-0005-0000-0000-00000CE00000}"/>
    <cellStyle name="Porcentual 3 14 4 4" xfId="57339" xr:uid="{00000000-0005-0000-0000-00000DE00000}"/>
    <cellStyle name="Porcentual 3 14 4 5" xfId="57340" xr:uid="{00000000-0005-0000-0000-00000EE00000}"/>
    <cellStyle name="Porcentual 3 14 5" xfId="57341" xr:uid="{00000000-0005-0000-0000-00000FE00000}"/>
    <cellStyle name="Porcentual 3 14 5 2" xfId="57342" xr:uid="{00000000-0005-0000-0000-000010E00000}"/>
    <cellStyle name="Porcentual 3 14 6" xfId="57343" xr:uid="{00000000-0005-0000-0000-000011E00000}"/>
    <cellStyle name="Porcentual 3 14 6 2" xfId="57344" xr:uid="{00000000-0005-0000-0000-000012E00000}"/>
    <cellStyle name="Porcentual 3 14 7" xfId="57345" xr:uid="{00000000-0005-0000-0000-000013E00000}"/>
    <cellStyle name="Porcentual 3 14 8" xfId="57346" xr:uid="{00000000-0005-0000-0000-000014E00000}"/>
    <cellStyle name="Porcentual 3 15" xfId="57347" xr:uid="{00000000-0005-0000-0000-000015E00000}"/>
    <cellStyle name="Porcentual 3 15 2" xfId="57348" xr:uid="{00000000-0005-0000-0000-000016E00000}"/>
    <cellStyle name="Porcentual 3 15 2 2" xfId="57349" xr:uid="{00000000-0005-0000-0000-000017E00000}"/>
    <cellStyle name="Porcentual 3 15 2 2 2" xfId="57350" xr:uid="{00000000-0005-0000-0000-000018E00000}"/>
    <cellStyle name="Porcentual 3 15 2 2 2 2" xfId="57351" xr:uid="{00000000-0005-0000-0000-000019E00000}"/>
    <cellStyle name="Porcentual 3 15 2 2 3" xfId="57352" xr:uid="{00000000-0005-0000-0000-00001AE00000}"/>
    <cellStyle name="Porcentual 3 15 2 2 4" xfId="57353" xr:uid="{00000000-0005-0000-0000-00001BE00000}"/>
    <cellStyle name="Porcentual 3 15 2 3" xfId="57354" xr:uid="{00000000-0005-0000-0000-00001CE00000}"/>
    <cellStyle name="Porcentual 3 15 2 3 2" xfId="57355" xr:uid="{00000000-0005-0000-0000-00001DE00000}"/>
    <cellStyle name="Porcentual 3 15 2 4" xfId="57356" xr:uid="{00000000-0005-0000-0000-00001EE00000}"/>
    <cellStyle name="Porcentual 3 15 2 5" xfId="57357" xr:uid="{00000000-0005-0000-0000-00001FE00000}"/>
    <cellStyle name="Porcentual 3 15 3" xfId="57358" xr:uid="{00000000-0005-0000-0000-000020E00000}"/>
    <cellStyle name="Porcentual 3 15 3 2" xfId="57359" xr:uid="{00000000-0005-0000-0000-000021E00000}"/>
    <cellStyle name="Porcentual 3 15 3 2 2" xfId="57360" xr:uid="{00000000-0005-0000-0000-000022E00000}"/>
    <cellStyle name="Porcentual 3 15 3 3" xfId="57361" xr:uid="{00000000-0005-0000-0000-000023E00000}"/>
    <cellStyle name="Porcentual 3 15 3 3 2" xfId="57362" xr:uid="{00000000-0005-0000-0000-000024E00000}"/>
    <cellStyle name="Porcentual 3 15 3 4" xfId="57363" xr:uid="{00000000-0005-0000-0000-000025E00000}"/>
    <cellStyle name="Porcentual 3 15 3 5" xfId="57364" xr:uid="{00000000-0005-0000-0000-000026E00000}"/>
    <cellStyle name="Porcentual 3 15 4" xfId="57365" xr:uid="{00000000-0005-0000-0000-000027E00000}"/>
    <cellStyle name="Porcentual 3 15 4 2" xfId="57366" xr:uid="{00000000-0005-0000-0000-000028E00000}"/>
    <cellStyle name="Porcentual 3 15 5" xfId="57367" xr:uid="{00000000-0005-0000-0000-000029E00000}"/>
    <cellStyle name="Porcentual 3 15 5 2" xfId="57368" xr:uid="{00000000-0005-0000-0000-00002AE00000}"/>
    <cellStyle name="Porcentual 3 15 6" xfId="57369" xr:uid="{00000000-0005-0000-0000-00002BE00000}"/>
    <cellStyle name="Porcentual 3 15 7" xfId="57370" xr:uid="{00000000-0005-0000-0000-00002CE00000}"/>
    <cellStyle name="Porcentual 3 16" xfId="57371" xr:uid="{00000000-0005-0000-0000-00002DE00000}"/>
    <cellStyle name="Porcentual 3 16 2" xfId="57372" xr:uid="{00000000-0005-0000-0000-00002EE00000}"/>
    <cellStyle name="Porcentual 3 16 2 2" xfId="57373" xr:uid="{00000000-0005-0000-0000-00002FE00000}"/>
    <cellStyle name="Porcentual 3 16 2 2 2" xfId="57374" xr:uid="{00000000-0005-0000-0000-000030E00000}"/>
    <cellStyle name="Porcentual 3 16 2 3" xfId="57375" xr:uid="{00000000-0005-0000-0000-000031E00000}"/>
    <cellStyle name="Porcentual 3 16 2 4" xfId="57376" xr:uid="{00000000-0005-0000-0000-000032E00000}"/>
    <cellStyle name="Porcentual 3 16 3" xfId="57377" xr:uid="{00000000-0005-0000-0000-000033E00000}"/>
    <cellStyle name="Porcentual 3 16 3 2" xfId="57378" xr:uid="{00000000-0005-0000-0000-000034E00000}"/>
    <cellStyle name="Porcentual 3 16 4" xfId="57379" xr:uid="{00000000-0005-0000-0000-000035E00000}"/>
    <cellStyle name="Porcentual 3 16 5" xfId="57380" xr:uid="{00000000-0005-0000-0000-000036E00000}"/>
    <cellStyle name="Porcentual 3 17" xfId="57381" xr:uid="{00000000-0005-0000-0000-000037E00000}"/>
    <cellStyle name="Porcentual 3 17 2" xfId="57382" xr:uid="{00000000-0005-0000-0000-000038E00000}"/>
    <cellStyle name="Porcentual 3 17 2 2" xfId="57383" xr:uid="{00000000-0005-0000-0000-000039E00000}"/>
    <cellStyle name="Porcentual 3 17 2 2 2" xfId="57384" xr:uid="{00000000-0005-0000-0000-00003AE00000}"/>
    <cellStyle name="Porcentual 3 17 2 3" xfId="57385" xr:uid="{00000000-0005-0000-0000-00003BE00000}"/>
    <cellStyle name="Porcentual 3 17 2 4" xfId="57386" xr:uid="{00000000-0005-0000-0000-00003CE00000}"/>
    <cellStyle name="Porcentual 3 17 3" xfId="57387" xr:uid="{00000000-0005-0000-0000-00003DE00000}"/>
    <cellStyle name="Porcentual 3 17 3 2" xfId="57388" xr:uid="{00000000-0005-0000-0000-00003EE00000}"/>
    <cellStyle name="Porcentual 3 17 4" xfId="57389" xr:uid="{00000000-0005-0000-0000-00003FE00000}"/>
    <cellStyle name="Porcentual 3 17 5" xfId="57390" xr:uid="{00000000-0005-0000-0000-000040E00000}"/>
    <cellStyle name="Porcentual 3 18" xfId="57391" xr:uid="{00000000-0005-0000-0000-000041E00000}"/>
    <cellStyle name="Porcentual 3 18 2" xfId="57392" xr:uid="{00000000-0005-0000-0000-000042E00000}"/>
    <cellStyle name="Porcentual 3 18 2 2" xfId="57393" xr:uid="{00000000-0005-0000-0000-000043E00000}"/>
    <cellStyle name="Porcentual 3 18 3" xfId="57394" xr:uid="{00000000-0005-0000-0000-000044E00000}"/>
    <cellStyle name="Porcentual 3 18 4" xfId="57395" xr:uid="{00000000-0005-0000-0000-000045E00000}"/>
    <cellStyle name="Porcentual 3 19" xfId="57396" xr:uid="{00000000-0005-0000-0000-000046E00000}"/>
    <cellStyle name="Porcentual 3 19 2" xfId="57397" xr:uid="{00000000-0005-0000-0000-000047E00000}"/>
    <cellStyle name="Porcentual 3 19 3" xfId="57398" xr:uid="{00000000-0005-0000-0000-000048E00000}"/>
    <cellStyle name="Porcentual 3 2" xfId="57399" xr:uid="{00000000-0005-0000-0000-000049E00000}"/>
    <cellStyle name="Porcentual 3 2 10" xfId="57400" xr:uid="{00000000-0005-0000-0000-00004AE00000}"/>
    <cellStyle name="Porcentual 3 2 10 2" xfId="57401" xr:uid="{00000000-0005-0000-0000-00004BE00000}"/>
    <cellStyle name="Porcentual 3 2 11" xfId="57402" xr:uid="{00000000-0005-0000-0000-00004CE00000}"/>
    <cellStyle name="Porcentual 3 2 12" xfId="57403" xr:uid="{00000000-0005-0000-0000-00004DE00000}"/>
    <cellStyle name="Porcentual 3 2 2" xfId="57404" xr:uid="{00000000-0005-0000-0000-00004EE00000}"/>
    <cellStyle name="Porcentual 3 2 2 10" xfId="57405" xr:uid="{00000000-0005-0000-0000-00004FE00000}"/>
    <cellStyle name="Porcentual 3 2 2 11" xfId="57406" xr:uid="{00000000-0005-0000-0000-000050E00000}"/>
    <cellStyle name="Porcentual 3 2 2 2" xfId="57407" xr:uid="{00000000-0005-0000-0000-000051E00000}"/>
    <cellStyle name="Porcentual 3 2 2 2 10" xfId="57408" xr:uid="{00000000-0005-0000-0000-000052E00000}"/>
    <cellStyle name="Porcentual 3 2 2 2 2" xfId="57409" xr:uid="{00000000-0005-0000-0000-000053E00000}"/>
    <cellStyle name="Porcentual 3 2 2 2 2 2" xfId="57410" xr:uid="{00000000-0005-0000-0000-000054E00000}"/>
    <cellStyle name="Porcentual 3 2 2 2 2 2 2" xfId="57411" xr:uid="{00000000-0005-0000-0000-000055E00000}"/>
    <cellStyle name="Porcentual 3 2 2 2 2 2 2 2" xfId="57412" xr:uid="{00000000-0005-0000-0000-000056E00000}"/>
    <cellStyle name="Porcentual 3 2 2 2 2 2 2 2 2" xfId="57413" xr:uid="{00000000-0005-0000-0000-000057E00000}"/>
    <cellStyle name="Porcentual 3 2 2 2 2 2 2 2 2 2" xfId="57414" xr:uid="{00000000-0005-0000-0000-000058E00000}"/>
    <cellStyle name="Porcentual 3 2 2 2 2 2 2 2 2 2 2" xfId="57415" xr:uid="{00000000-0005-0000-0000-000059E00000}"/>
    <cellStyle name="Porcentual 3 2 2 2 2 2 2 2 2 3" xfId="57416" xr:uid="{00000000-0005-0000-0000-00005AE00000}"/>
    <cellStyle name="Porcentual 3 2 2 2 2 2 2 2 2 4" xfId="57417" xr:uid="{00000000-0005-0000-0000-00005BE00000}"/>
    <cellStyle name="Porcentual 3 2 2 2 2 2 2 2 3" xfId="57418" xr:uid="{00000000-0005-0000-0000-00005CE00000}"/>
    <cellStyle name="Porcentual 3 2 2 2 2 2 2 2 3 2" xfId="57419" xr:uid="{00000000-0005-0000-0000-00005DE00000}"/>
    <cellStyle name="Porcentual 3 2 2 2 2 2 2 2 4" xfId="57420" xr:uid="{00000000-0005-0000-0000-00005EE00000}"/>
    <cellStyle name="Porcentual 3 2 2 2 2 2 2 2 5" xfId="57421" xr:uid="{00000000-0005-0000-0000-00005FE00000}"/>
    <cellStyle name="Porcentual 3 2 2 2 2 2 2 3" xfId="57422" xr:uid="{00000000-0005-0000-0000-000060E00000}"/>
    <cellStyle name="Porcentual 3 2 2 2 2 2 2 3 2" xfId="57423" xr:uid="{00000000-0005-0000-0000-000061E00000}"/>
    <cellStyle name="Porcentual 3 2 2 2 2 2 2 3 2 2" xfId="57424" xr:uid="{00000000-0005-0000-0000-000062E00000}"/>
    <cellStyle name="Porcentual 3 2 2 2 2 2 2 3 3" xfId="57425" xr:uid="{00000000-0005-0000-0000-000063E00000}"/>
    <cellStyle name="Porcentual 3 2 2 2 2 2 2 3 4" xfId="57426" xr:uid="{00000000-0005-0000-0000-000064E00000}"/>
    <cellStyle name="Porcentual 3 2 2 2 2 2 2 4" xfId="57427" xr:uid="{00000000-0005-0000-0000-000065E00000}"/>
    <cellStyle name="Porcentual 3 2 2 2 2 2 2 4 2" xfId="57428" xr:uid="{00000000-0005-0000-0000-000066E00000}"/>
    <cellStyle name="Porcentual 3 2 2 2 2 2 2 5" xfId="57429" xr:uid="{00000000-0005-0000-0000-000067E00000}"/>
    <cellStyle name="Porcentual 3 2 2 2 2 2 2 6" xfId="57430" xr:uid="{00000000-0005-0000-0000-000068E00000}"/>
    <cellStyle name="Porcentual 3 2 2 2 2 2 3" xfId="57431" xr:uid="{00000000-0005-0000-0000-000069E00000}"/>
    <cellStyle name="Porcentual 3 2 2 2 2 2 3 2" xfId="57432" xr:uid="{00000000-0005-0000-0000-00006AE00000}"/>
    <cellStyle name="Porcentual 3 2 2 2 2 2 3 2 2" xfId="57433" xr:uid="{00000000-0005-0000-0000-00006BE00000}"/>
    <cellStyle name="Porcentual 3 2 2 2 2 2 3 2 2 2" xfId="57434" xr:uid="{00000000-0005-0000-0000-00006CE00000}"/>
    <cellStyle name="Porcentual 3 2 2 2 2 2 3 2 3" xfId="57435" xr:uid="{00000000-0005-0000-0000-00006DE00000}"/>
    <cellStyle name="Porcentual 3 2 2 2 2 2 3 2 4" xfId="57436" xr:uid="{00000000-0005-0000-0000-00006EE00000}"/>
    <cellStyle name="Porcentual 3 2 2 2 2 2 3 3" xfId="57437" xr:uid="{00000000-0005-0000-0000-00006FE00000}"/>
    <cellStyle name="Porcentual 3 2 2 2 2 2 3 3 2" xfId="57438" xr:uid="{00000000-0005-0000-0000-000070E00000}"/>
    <cellStyle name="Porcentual 3 2 2 2 2 2 3 4" xfId="57439" xr:uid="{00000000-0005-0000-0000-000071E00000}"/>
    <cellStyle name="Porcentual 3 2 2 2 2 2 3 5" xfId="57440" xr:uid="{00000000-0005-0000-0000-000072E00000}"/>
    <cellStyle name="Porcentual 3 2 2 2 2 2 4" xfId="57441" xr:uid="{00000000-0005-0000-0000-000073E00000}"/>
    <cellStyle name="Porcentual 3 2 2 2 2 2 4 2" xfId="57442" xr:uid="{00000000-0005-0000-0000-000074E00000}"/>
    <cellStyle name="Porcentual 3 2 2 2 2 2 4 2 2" xfId="57443" xr:uid="{00000000-0005-0000-0000-000075E00000}"/>
    <cellStyle name="Porcentual 3 2 2 2 2 2 4 3" xfId="57444" xr:uid="{00000000-0005-0000-0000-000076E00000}"/>
    <cellStyle name="Porcentual 3 2 2 2 2 2 4 4" xfId="57445" xr:uid="{00000000-0005-0000-0000-000077E00000}"/>
    <cellStyle name="Porcentual 3 2 2 2 2 2 5" xfId="57446" xr:uid="{00000000-0005-0000-0000-000078E00000}"/>
    <cellStyle name="Porcentual 3 2 2 2 2 2 5 2" xfId="57447" xr:uid="{00000000-0005-0000-0000-000079E00000}"/>
    <cellStyle name="Porcentual 3 2 2 2 2 2 6" xfId="57448" xr:uid="{00000000-0005-0000-0000-00007AE00000}"/>
    <cellStyle name="Porcentual 3 2 2 2 2 2 7" xfId="57449" xr:uid="{00000000-0005-0000-0000-00007BE00000}"/>
    <cellStyle name="Porcentual 3 2 2 2 2 3" xfId="57450" xr:uid="{00000000-0005-0000-0000-00007CE00000}"/>
    <cellStyle name="Porcentual 3 2 2 2 2 3 2" xfId="57451" xr:uid="{00000000-0005-0000-0000-00007DE00000}"/>
    <cellStyle name="Porcentual 3 2 2 2 2 3 2 2" xfId="57452" xr:uid="{00000000-0005-0000-0000-00007EE00000}"/>
    <cellStyle name="Porcentual 3 2 2 2 2 3 2 2 2" xfId="57453" xr:uid="{00000000-0005-0000-0000-00007FE00000}"/>
    <cellStyle name="Porcentual 3 2 2 2 2 3 2 2 2 2" xfId="57454" xr:uid="{00000000-0005-0000-0000-000080E00000}"/>
    <cellStyle name="Porcentual 3 2 2 2 2 3 2 2 3" xfId="57455" xr:uid="{00000000-0005-0000-0000-000081E00000}"/>
    <cellStyle name="Porcentual 3 2 2 2 2 3 2 2 4" xfId="57456" xr:uid="{00000000-0005-0000-0000-000082E00000}"/>
    <cellStyle name="Porcentual 3 2 2 2 2 3 2 3" xfId="57457" xr:uid="{00000000-0005-0000-0000-000083E00000}"/>
    <cellStyle name="Porcentual 3 2 2 2 2 3 2 3 2" xfId="57458" xr:uid="{00000000-0005-0000-0000-000084E00000}"/>
    <cellStyle name="Porcentual 3 2 2 2 2 3 2 4" xfId="57459" xr:uid="{00000000-0005-0000-0000-000085E00000}"/>
    <cellStyle name="Porcentual 3 2 2 2 2 3 2 5" xfId="57460" xr:uid="{00000000-0005-0000-0000-000086E00000}"/>
    <cellStyle name="Porcentual 3 2 2 2 2 3 3" xfId="57461" xr:uid="{00000000-0005-0000-0000-000087E00000}"/>
    <cellStyle name="Porcentual 3 2 2 2 2 3 3 2" xfId="57462" xr:uid="{00000000-0005-0000-0000-000088E00000}"/>
    <cellStyle name="Porcentual 3 2 2 2 2 3 3 2 2" xfId="57463" xr:uid="{00000000-0005-0000-0000-000089E00000}"/>
    <cellStyle name="Porcentual 3 2 2 2 2 3 3 3" xfId="57464" xr:uid="{00000000-0005-0000-0000-00008AE00000}"/>
    <cellStyle name="Porcentual 3 2 2 2 2 3 3 3 2" xfId="57465" xr:uid="{00000000-0005-0000-0000-00008BE00000}"/>
    <cellStyle name="Porcentual 3 2 2 2 2 3 3 4" xfId="57466" xr:uid="{00000000-0005-0000-0000-00008CE00000}"/>
    <cellStyle name="Porcentual 3 2 2 2 2 3 3 5" xfId="57467" xr:uid="{00000000-0005-0000-0000-00008DE00000}"/>
    <cellStyle name="Porcentual 3 2 2 2 2 3 4" xfId="57468" xr:uid="{00000000-0005-0000-0000-00008EE00000}"/>
    <cellStyle name="Porcentual 3 2 2 2 2 3 4 2" xfId="57469" xr:uid="{00000000-0005-0000-0000-00008FE00000}"/>
    <cellStyle name="Porcentual 3 2 2 2 2 3 5" xfId="57470" xr:uid="{00000000-0005-0000-0000-000090E00000}"/>
    <cellStyle name="Porcentual 3 2 2 2 2 3 5 2" xfId="57471" xr:uid="{00000000-0005-0000-0000-000091E00000}"/>
    <cellStyle name="Porcentual 3 2 2 2 2 3 6" xfId="57472" xr:uid="{00000000-0005-0000-0000-000092E00000}"/>
    <cellStyle name="Porcentual 3 2 2 2 2 3 7" xfId="57473" xr:uid="{00000000-0005-0000-0000-000093E00000}"/>
    <cellStyle name="Porcentual 3 2 2 2 2 4" xfId="57474" xr:uid="{00000000-0005-0000-0000-000094E00000}"/>
    <cellStyle name="Porcentual 3 2 2 2 2 4 2" xfId="57475" xr:uid="{00000000-0005-0000-0000-000095E00000}"/>
    <cellStyle name="Porcentual 3 2 2 2 2 4 2 2" xfId="57476" xr:uid="{00000000-0005-0000-0000-000096E00000}"/>
    <cellStyle name="Porcentual 3 2 2 2 2 4 2 2 2" xfId="57477" xr:uid="{00000000-0005-0000-0000-000097E00000}"/>
    <cellStyle name="Porcentual 3 2 2 2 2 4 2 3" xfId="57478" xr:uid="{00000000-0005-0000-0000-000098E00000}"/>
    <cellStyle name="Porcentual 3 2 2 2 2 4 2 4" xfId="57479" xr:uid="{00000000-0005-0000-0000-000099E00000}"/>
    <cellStyle name="Porcentual 3 2 2 2 2 4 3" xfId="57480" xr:uid="{00000000-0005-0000-0000-00009AE00000}"/>
    <cellStyle name="Porcentual 3 2 2 2 2 4 3 2" xfId="57481" xr:uid="{00000000-0005-0000-0000-00009BE00000}"/>
    <cellStyle name="Porcentual 3 2 2 2 2 4 4" xfId="57482" xr:uid="{00000000-0005-0000-0000-00009CE00000}"/>
    <cellStyle name="Porcentual 3 2 2 2 2 4 5" xfId="57483" xr:uid="{00000000-0005-0000-0000-00009DE00000}"/>
    <cellStyle name="Porcentual 3 2 2 2 2 5" xfId="57484" xr:uid="{00000000-0005-0000-0000-00009EE00000}"/>
    <cellStyle name="Porcentual 3 2 2 2 2 5 2" xfId="57485" xr:uid="{00000000-0005-0000-0000-00009FE00000}"/>
    <cellStyle name="Porcentual 3 2 2 2 2 5 2 2" xfId="57486" xr:uid="{00000000-0005-0000-0000-0000A0E00000}"/>
    <cellStyle name="Porcentual 3 2 2 2 2 5 3" xfId="57487" xr:uid="{00000000-0005-0000-0000-0000A1E00000}"/>
    <cellStyle name="Porcentual 3 2 2 2 2 5 3 2" xfId="57488" xr:uid="{00000000-0005-0000-0000-0000A2E00000}"/>
    <cellStyle name="Porcentual 3 2 2 2 2 5 4" xfId="57489" xr:uid="{00000000-0005-0000-0000-0000A3E00000}"/>
    <cellStyle name="Porcentual 3 2 2 2 2 5 5" xfId="57490" xr:uid="{00000000-0005-0000-0000-0000A4E00000}"/>
    <cellStyle name="Porcentual 3 2 2 2 2 6" xfId="57491" xr:uid="{00000000-0005-0000-0000-0000A5E00000}"/>
    <cellStyle name="Porcentual 3 2 2 2 2 6 2" xfId="57492" xr:uid="{00000000-0005-0000-0000-0000A6E00000}"/>
    <cellStyle name="Porcentual 3 2 2 2 2 7" xfId="57493" xr:uid="{00000000-0005-0000-0000-0000A7E00000}"/>
    <cellStyle name="Porcentual 3 2 2 2 2 7 2" xfId="57494" xr:uid="{00000000-0005-0000-0000-0000A8E00000}"/>
    <cellStyle name="Porcentual 3 2 2 2 2 8" xfId="57495" xr:uid="{00000000-0005-0000-0000-0000A9E00000}"/>
    <cellStyle name="Porcentual 3 2 2 2 2 9" xfId="57496" xr:uid="{00000000-0005-0000-0000-0000AAE00000}"/>
    <cellStyle name="Porcentual 3 2 2 2 3" xfId="57497" xr:uid="{00000000-0005-0000-0000-0000ABE00000}"/>
    <cellStyle name="Porcentual 3 2 2 2 3 2" xfId="57498" xr:uid="{00000000-0005-0000-0000-0000ACE00000}"/>
    <cellStyle name="Porcentual 3 2 2 2 3 2 2" xfId="57499" xr:uid="{00000000-0005-0000-0000-0000ADE00000}"/>
    <cellStyle name="Porcentual 3 2 2 2 3 2 2 2" xfId="57500" xr:uid="{00000000-0005-0000-0000-0000AEE00000}"/>
    <cellStyle name="Porcentual 3 2 2 2 3 2 2 2 2" xfId="57501" xr:uid="{00000000-0005-0000-0000-0000AFE00000}"/>
    <cellStyle name="Porcentual 3 2 2 2 3 2 2 2 2 2" xfId="57502" xr:uid="{00000000-0005-0000-0000-0000B0E00000}"/>
    <cellStyle name="Porcentual 3 2 2 2 3 2 2 2 3" xfId="57503" xr:uid="{00000000-0005-0000-0000-0000B1E00000}"/>
    <cellStyle name="Porcentual 3 2 2 2 3 2 2 2 4" xfId="57504" xr:uid="{00000000-0005-0000-0000-0000B2E00000}"/>
    <cellStyle name="Porcentual 3 2 2 2 3 2 2 3" xfId="57505" xr:uid="{00000000-0005-0000-0000-0000B3E00000}"/>
    <cellStyle name="Porcentual 3 2 2 2 3 2 2 3 2" xfId="57506" xr:uid="{00000000-0005-0000-0000-0000B4E00000}"/>
    <cellStyle name="Porcentual 3 2 2 2 3 2 2 4" xfId="57507" xr:uid="{00000000-0005-0000-0000-0000B5E00000}"/>
    <cellStyle name="Porcentual 3 2 2 2 3 2 2 5" xfId="57508" xr:uid="{00000000-0005-0000-0000-0000B6E00000}"/>
    <cellStyle name="Porcentual 3 2 2 2 3 2 3" xfId="57509" xr:uid="{00000000-0005-0000-0000-0000B7E00000}"/>
    <cellStyle name="Porcentual 3 2 2 2 3 2 3 2" xfId="57510" xr:uid="{00000000-0005-0000-0000-0000B8E00000}"/>
    <cellStyle name="Porcentual 3 2 2 2 3 2 3 2 2" xfId="57511" xr:uid="{00000000-0005-0000-0000-0000B9E00000}"/>
    <cellStyle name="Porcentual 3 2 2 2 3 2 3 3" xfId="57512" xr:uid="{00000000-0005-0000-0000-0000BAE00000}"/>
    <cellStyle name="Porcentual 3 2 2 2 3 2 3 4" xfId="57513" xr:uid="{00000000-0005-0000-0000-0000BBE00000}"/>
    <cellStyle name="Porcentual 3 2 2 2 3 2 4" xfId="57514" xr:uid="{00000000-0005-0000-0000-0000BCE00000}"/>
    <cellStyle name="Porcentual 3 2 2 2 3 2 4 2" xfId="57515" xr:uid="{00000000-0005-0000-0000-0000BDE00000}"/>
    <cellStyle name="Porcentual 3 2 2 2 3 2 5" xfId="57516" xr:uid="{00000000-0005-0000-0000-0000BEE00000}"/>
    <cellStyle name="Porcentual 3 2 2 2 3 2 6" xfId="57517" xr:uid="{00000000-0005-0000-0000-0000BFE00000}"/>
    <cellStyle name="Porcentual 3 2 2 2 3 3" xfId="57518" xr:uid="{00000000-0005-0000-0000-0000C0E00000}"/>
    <cellStyle name="Porcentual 3 2 2 2 3 3 2" xfId="57519" xr:uid="{00000000-0005-0000-0000-0000C1E00000}"/>
    <cellStyle name="Porcentual 3 2 2 2 3 3 2 2" xfId="57520" xr:uid="{00000000-0005-0000-0000-0000C2E00000}"/>
    <cellStyle name="Porcentual 3 2 2 2 3 3 2 2 2" xfId="57521" xr:uid="{00000000-0005-0000-0000-0000C3E00000}"/>
    <cellStyle name="Porcentual 3 2 2 2 3 3 2 3" xfId="57522" xr:uid="{00000000-0005-0000-0000-0000C4E00000}"/>
    <cellStyle name="Porcentual 3 2 2 2 3 3 2 4" xfId="57523" xr:uid="{00000000-0005-0000-0000-0000C5E00000}"/>
    <cellStyle name="Porcentual 3 2 2 2 3 3 3" xfId="57524" xr:uid="{00000000-0005-0000-0000-0000C6E00000}"/>
    <cellStyle name="Porcentual 3 2 2 2 3 3 3 2" xfId="57525" xr:uid="{00000000-0005-0000-0000-0000C7E00000}"/>
    <cellStyle name="Porcentual 3 2 2 2 3 3 4" xfId="57526" xr:uid="{00000000-0005-0000-0000-0000C8E00000}"/>
    <cellStyle name="Porcentual 3 2 2 2 3 3 5" xfId="57527" xr:uid="{00000000-0005-0000-0000-0000C9E00000}"/>
    <cellStyle name="Porcentual 3 2 2 2 3 4" xfId="57528" xr:uid="{00000000-0005-0000-0000-0000CAE00000}"/>
    <cellStyle name="Porcentual 3 2 2 2 3 4 2" xfId="57529" xr:uid="{00000000-0005-0000-0000-0000CBE00000}"/>
    <cellStyle name="Porcentual 3 2 2 2 3 4 2 2" xfId="57530" xr:uid="{00000000-0005-0000-0000-0000CCE00000}"/>
    <cellStyle name="Porcentual 3 2 2 2 3 4 3" xfId="57531" xr:uid="{00000000-0005-0000-0000-0000CDE00000}"/>
    <cellStyle name="Porcentual 3 2 2 2 3 4 4" xfId="57532" xr:uid="{00000000-0005-0000-0000-0000CEE00000}"/>
    <cellStyle name="Porcentual 3 2 2 2 3 5" xfId="57533" xr:uid="{00000000-0005-0000-0000-0000CFE00000}"/>
    <cellStyle name="Porcentual 3 2 2 2 3 5 2" xfId="57534" xr:uid="{00000000-0005-0000-0000-0000D0E00000}"/>
    <cellStyle name="Porcentual 3 2 2 2 3 6" xfId="57535" xr:uid="{00000000-0005-0000-0000-0000D1E00000}"/>
    <cellStyle name="Porcentual 3 2 2 2 3 7" xfId="57536" xr:uid="{00000000-0005-0000-0000-0000D2E00000}"/>
    <cellStyle name="Porcentual 3 2 2 2 4" xfId="57537" xr:uid="{00000000-0005-0000-0000-0000D3E00000}"/>
    <cellStyle name="Porcentual 3 2 2 2 4 2" xfId="57538" xr:uid="{00000000-0005-0000-0000-0000D4E00000}"/>
    <cellStyle name="Porcentual 3 2 2 2 4 2 2" xfId="57539" xr:uid="{00000000-0005-0000-0000-0000D5E00000}"/>
    <cellStyle name="Porcentual 3 2 2 2 4 2 2 2" xfId="57540" xr:uid="{00000000-0005-0000-0000-0000D6E00000}"/>
    <cellStyle name="Porcentual 3 2 2 2 4 2 2 2 2" xfId="57541" xr:uid="{00000000-0005-0000-0000-0000D7E00000}"/>
    <cellStyle name="Porcentual 3 2 2 2 4 2 2 3" xfId="57542" xr:uid="{00000000-0005-0000-0000-0000D8E00000}"/>
    <cellStyle name="Porcentual 3 2 2 2 4 2 2 4" xfId="57543" xr:uid="{00000000-0005-0000-0000-0000D9E00000}"/>
    <cellStyle name="Porcentual 3 2 2 2 4 2 3" xfId="57544" xr:uid="{00000000-0005-0000-0000-0000DAE00000}"/>
    <cellStyle name="Porcentual 3 2 2 2 4 2 3 2" xfId="57545" xr:uid="{00000000-0005-0000-0000-0000DBE00000}"/>
    <cellStyle name="Porcentual 3 2 2 2 4 2 4" xfId="57546" xr:uid="{00000000-0005-0000-0000-0000DCE00000}"/>
    <cellStyle name="Porcentual 3 2 2 2 4 2 5" xfId="57547" xr:uid="{00000000-0005-0000-0000-0000DDE00000}"/>
    <cellStyle name="Porcentual 3 2 2 2 4 3" xfId="57548" xr:uid="{00000000-0005-0000-0000-0000DEE00000}"/>
    <cellStyle name="Porcentual 3 2 2 2 4 3 2" xfId="57549" xr:uid="{00000000-0005-0000-0000-0000DFE00000}"/>
    <cellStyle name="Porcentual 3 2 2 2 4 3 2 2" xfId="57550" xr:uid="{00000000-0005-0000-0000-0000E0E00000}"/>
    <cellStyle name="Porcentual 3 2 2 2 4 3 3" xfId="57551" xr:uid="{00000000-0005-0000-0000-0000E1E00000}"/>
    <cellStyle name="Porcentual 3 2 2 2 4 3 3 2" xfId="57552" xr:uid="{00000000-0005-0000-0000-0000E2E00000}"/>
    <cellStyle name="Porcentual 3 2 2 2 4 3 4" xfId="57553" xr:uid="{00000000-0005-0000-0000-0000E3E00000}"/>
    <cellStyle name="Porcentual 3 2 2 2 4 3 5" xfId="57554" xr:uid="{00000000-0005-0000-0000-0000E4E00000}"/>
    <cellStyle name="Porcentual 3 2 2 2 4 4" xfId="57555" xr:uid="{00000000-0005-0000-0000-0000E5E00000}"/>
    <cellStyle name="Porcentual 3 2 2 2 4 4 2" xfId="57556" xr:uid="{00000000-0005-0000-0000-0000E6E00000}"/>
    <cellStyle name="Porcentual 3 2 2 2 4 5" xfId="57557" xr:uid="{00000000-0005-0000-0000-0000E7E00000}"/>
    <cellStyle name="Porcentual 3 2 2 2 4 5 2" xfId="57558" xr:uid="{00000000-0005-0000-0000-0000E8E00000}"/>
    <cellStyle name="Porcentual 3 2 2 2 4 6" xfId="57559" xr:uid="{00000000-0005-0000-0000-0000E9E00000}"/>
    <cellStyle name="Porcentual 3 2 2 2 4 7" xfId="57560" xr:uid="{00000000-0005-0000-0000-0000EAE00000}"/>
    <cellStyle name="Porcentual 3 2 2 2 5" xfId="57561" xr:uid="{00000000-0005-0000-0000-0000EBE00000}"/>
    <cellStyle name="Porcentual 3 2 2 2 5 2" xfId="57562" xr:uid="{00000000-0005-0000-0000-0000ECE00000}"/>
    <cellStyle name="Porcentual 3 2 2 2 5 2 2" xfId="57563" xr:uid="{00000000-0005-0000-0000-0000EDE00000}"/>
    <cellStyle name="Porcentual 3 2 2 2 5 2 2 2" xfId="57564" xr:uid="{00000000-0005-0000-0000-0000EEE00000}"/>
    <cellStyle name="Porcentual 3 2 2 2 5 2 3" xfId="57565" xr:uid="{00000000-0005-0000-0000-0000EFE00000}"/>
    <cellStyle name="Porcentual 3 2 2 2 5 2 4" xfId="57566" xr:uid="{00000000-0005-0000-0000-0000F0E00000}"/>
    <cellStyle name="Porcentual 3 2 2 2 5 3" xfId="57567" xr:uid="{00000000-0005-0000-0000-0000F1E00000}"/>
    <cellStyle name="Porcentual 3 2 2 2 5 3 2" xfId="57568" xr:uid="{00000000-0005-0000-0000-0000F2E00000}"/>
    <cellStyle name="Porcentual 3 2 2 2 5 4" xfId="57569" xr:uid="{00000000-0005-0000-0000-0000F3E00000}"/>
    <cellStyle name="Porcentual 3 2 2 2 5 5" xfId="57570" xr:uid="{00000000-0005-0000-0000-0000F4E00000}"/>
    <cellStyle name="Porcentual 3 2 2 2 6" xfId="57571" xr:uid="{00000000-0005-0000-0000-0000F5E00000}"/>
    <cellStyle name="Porcentual 3 2 2 2 6 2" xfId="57572" xr:uid="{00000000-0005-0000-0000-0000F6E00000}"/>
    <cellStyle name="Porcentual 3 2 2 2 6 2 2" xfId="57573" xr:uid="{00000000-0005-0000-0000-0000F7E00000}"/>
    <cellStyle name="Porcentual 3 2 2 2 6 3" xfId="57574" xr:uid="{00000000-0005-0000-0000-0000F8E00000}"/>
    <cellStyle name="Porcentual 3 2 2 2 6 3 2" xfId="57575" xr:uid="{00000000-0005-0000-0000-0000F9E00000}"/>
    <cellStyle name="Porcentual 3 2 2 2 6 4" xfId="57576" xr:uid="{00000000-0005-0000-0000-0000FAE00000}"/>
    <cellStyle name="Porcentual 3 2 2 2 6 5" xfId="57577" xr:uid="{00000000-0005-0000-0000-0000FBE00000}"/>
    <cellStyle name="Porcentual 3 2 2 2 7" xfId="57578" xr:uid="{00000000-0005-0000-0000-0000FCE00000}"/>
    <cellStyle name="Porcentual 3 2 2 2 7 2" xfId="57579" xr:uid="{00000000-0005-0000-0000-0000FDE00000}"/>
    <cellStyle name="Porcentual 3 2 2 2 8" xfId="57580" xr:uid="{00000000-0005-0000-0000-0000FEE00000}"/>
    <cellStyle name="Porcentual 3 2 2 2 8 2" xfId="57581" xr:uid="{00000000-0005-0000-0000-0000FFE00000}"/>
    <cellStyle name="Porcentual 3 2 2 2 9" xfId="57582" xr:uid="{00000000-0005-0000-0000-000000E10000}"/>
    <cellStyle name="Porcentual 3 2 2 3" xfId="57583" xr:uid="{00000000-0005-0000-0000-000001E10000}"/>
    <cellStyle name="Porcentual 3 2 2 3 2" xfId="57584" xr:uid="{00000000-0005-0000-0000-000002E10000}"/>
    <cellStyle name="Porcentual 3 2 2 3 2 2" xfId="57585" xr:uid="{00000000-0005-0000-0000-000003E10000}"/>
    <cellStyle name="Porcentual 3 2 2 3 2 2 2" xfId="57586" xr:uid="{00000000-0005-0000-0000-000004E10000}"/>
    <cellStyle name="Porcentual 3 2 2 3 2 2 2 2" xfId="57587" xr:uid="{00000000-0005-0000-0000-000005E10000}"/>
    <cellStyle name="Porcentual 3 2 2 3 2 2 2 2 2" xfId="57588" xr:uid="{00000000-0005-0000-0000-000006E10000}"/>
    <cellStyle name="Porcentual 3 2 2 3 2 2 2 2 2 2" xfId="57589" xr:uid="{00000000-0005-0000-0000-000007E10000}"/>
    <cellStyle name="Porcentual 3 2 2 3 2 2 2 2 3" xfId="57590" xr:uid="{00000000-0005-0000-0000-000008E10000}"/>
    <cellStyle name="Porcentual 3 2 2 3 2 2 2 2 4" xfId="57591" xr:uid="{00000000-0005-0000-0000-000009E10000}"/>
    <cellStyle name="Porcentual 3 2 2 3 2 2 2 3" xfId="57592" xr:uid="{00000000-0005-0000-0000-00000AE10000}"/>
    <cellStyle name="Porcentual 3 2 2 3 2 2 2 3 2" xfId="57593" xr:uid="{00000000-0005-0000-0000-00000BE10000}"/>
    <cellStyle name="Porcentual 3 2 2 3 2 2 2 4" xfId="57594" xr:uid="{00000000-0005-0000-0000-00000CE10000}"/>
    <cellStyle name="Porcentual 3 2 2 3 2 2 2 5" xfId="57595" xr:uid="{00000000-0005-0000-0000-00000DE10000}"/>
    <cellStyle name="Porcentual 3 2 2 3 2 2 3" xfId="57596" xr:uid="{00000000-0005-0000-0000-00000EE10000}"/>
    <cellStyle name="Porcentual 3 2 2 3 2 2 3 2" xfId="57597" xr:uid="{00000000-0005-0000-0000-00000FE10000}"/>
    <cellStyle name="Porcentual 3 2 2 3 2 2 3 2 2" xfId="57598" xr:uid="{00000000-0005-0000-0000-000010E10000}"/>
    <cellStyle name="Porcentual 3 2 2 3 2 2 3 3" xfId="57599" xr:uid="{00000000-0005-0000-0000-000011E10000}"/>
    <cellStyle name="Porcentual 3 2 2 3 2 2 3 4" xfId="57600" xr:uid="{00000000-0005-0000-0000-000012E10000}"/>
    <cellStyle name="Porcentual 3 2 2 3 2 2 4" xfId="57601" xr:uid="{00000000-0005-0000-0000-000013E10000}"/>
    <cellStyle name="Porcentual 3 2 2 3 2 2 4 2" xfId="57602" xr:uid="{00000000-0005-0000-0000-000014E10000}"/>
    <cellStyle name="Porcentual 3 2 2 3 2 2 5" xfId="57603" xr:uid="{00000000-0005-0000-0000-000015E10000}"/>
    <cellStyle name="Porcentual 3 2 2 3 2 2 6" xfId="57604" xr:uid="{00000000-0005-0000-0000-000016E10000}"/>
    <cellStyle name="Porcentual 3 2 2 3 2 3" xfId="57605" xr:uid="{00000000-0005-0000-0000-000017E10000}"/>
    <cellStyle name="Porcentual 3 2 2 3 2 3 2" xfId="57606" xr:uid="{00000000-0005-0000-0000-000018E10000}"/>
    <cellStyle name="Porcentual 3 2 2 3 2 3 2 2" xfId="57607" xr:uid="{00000000-0005-0000-0000-000019E10000}"/>
    <cellStyle name="Porcentual 3 2 2 3 2 3 2 2 2" xfId="57608" xr:uid="{00000000-0005-0000-0000-00001AE10000}"/>
    <cellStyle name="Porcentual 3 2 2 3 2 3 2 3" xfId="57609" xr:uid="{00000000-0005-0000-0000-00001BE10000}"/>
    <cellStyle name="Porcentual 3 2 2 3 2 3 2 4" xfId="57610" xr:uid="{00000000-0005-0000-0000-00001CE10000}"/>
    <cellStyle name="Porcentual 3 2 2 3 2 3 3" xfId="57611" xr:uid="{00000000-0005-0000-0000-00001DE10000}"/>
    <cellStyle name="Porcentual 3 2 2 3 2 3 3 2" xfId="57612" xr:uid="{00000000-0005-0000-0000-00001EE10000}"/>
    <cellStyle name="Porcentual 3 2 2 3 2 3 4" xfId="57613" xr:uid="{00000000-0005-0000-0000-00001FE10000}"/>
    <cellStyle name="Porcentual 3 2 2 3 2 3 5" xfId="57614" xr:uid="{00000000-0005-0000-0000-000020E10000}"/>
    <cellStyle name="Porcentual 3 2 2 3 2 4" xfId="57615" xr:uid="{00000000-0005-0000-0000-000021E10000}"/>
    <cellStyle name="Porcentual 3 2 2 3 2 4 2" xfId="57616" xr:uid="{00000000-0005-0000-0000-000022E10000}"/>
    <cellStyle name="Porcentual 3 2 2 3 2 4 2 2" xfId="57617" xr:uid="{00000000-0005-0000-0000-000023E10000}"/>
    <cellStyle name="Porcentual 3 2 2 3 2 4 3" xfId="57618" xr:uid="{00000000-0005-0000-0000-000024E10000}"/>
    <cellStyle name="Porcentual 3 2 2 3 2 4 4" xfId="57619" xr:uid="{00000000-0005-0000-0000-000025E10000}"/>
    <cellStyle name="Porcentual 3 2 2 3 2 5" xfId="57620" xr:uid="{00000000-0005-0000-0000-000026E10000}"/>
    <cellStyle name="Porcentual 3 2 2 3 2 5 2" xfId="57621" xr:uid="{00000000-0005-0000-0000-000027E10000}"/>
    <cellStyle name="Porcentual 3 2 2 3 2 6" xfId="57622" xr:uid="{00000000-0005-0000-0000-000028E10000}"/>
    <cellStyle name="Porcentual 3 2 2 3 2 7" xfId="57623" xr:uid="{00000000-0005-0000-0000-000029E10000}"/>
    <cellStyle name="Porcentual 3 2 2 3 3" xfId="57624" xr:uid="{00000000-0005-0000-0000-00002AE10000}"/>
    <cellStyle name="Porcentual 3 2 2 3 3 2" xfId="57625" xr:uid="{00000000-0005-0000-0000-00002BE10000}"/>
    <cellStyle name="Porcentual 3 2 2 3 3 2 2" xfId="57626" xr:uid="{00000000-0005-0000-0000-00002CE10000}"/>
    <cellStyle name="Porcentual 3 2 2 3 3 2 2 2" xfId="57627" xr:uid="{00000000-0005-0000-0000-00002DE10000}"/>
    <cellStyle name="Porcentual 3 2 2 3 3 2 2 2 2" xfId="57628" xr:uid="{00000000-0005-0000-0000-00002EE10000}"/>
    <cellStyle name="Porcentual 3 2 2 3 3 2 2 3" xfId="57629" xr:uid="{00000000-0005-0000-0000-00002FE10000}"/>
    <cellStyle name="Porcentual 3 2 2 3 3 2 2 4" xfId="57630" xr:uid="{00000000-0005-0000-0000-000030E10000}"/>
    <cellStyle name="Porcentual 3 2 2 3 3 2 3" xfId="57631" xr:uid="{00000000-0005-0000-0000-000031E10000}"/>
    <cellStyle name="Porcentual 3 2 2 3 3 2 3 2" xfId="57632" xr:uid="{00000000-0005-0000-0000-000032E10000}"/>
    <cellStyle name="Porcentual 3 2 2 3 3 2 4" xfId="57633" xr:uid="{00000000-0005-0000-0000-000033E10000}"/>
    <cellStyle name="Porcentual 3 2 2 3 3 2 5" xfId="57634" xr:uid="{00000000-0005-0000-0000-000034E10000}"/>
    <cellStyle name="Porcentual 3 2 2 3 3 3" xfId="57635" xr:uid="{00000000-0005-0000-0000-000035E10000}"/>
    <cellStyle name="Porcentual 3 2 2 3 3 3 2" xfId="57636" xr:uid="{00000000-0005-0000-0000-000036E10000}"/>
    <cellStyle name="Porcentual 3 2 2 3 3 3 2 2" xfId="57637" xr:uid="{00000000-0005-0000-0000-000037E10000}"/>
    <cellStyle name="Porcentual 3 2 2 3 3 3 3" xfId="57638" xr:uid="{00000000-0005-0000-0000-000038E10000}"/>
    <cellStyle name="Porcentual 3 2 2 3 3 3 3 2" xfId="57639" xr:uid="{00000000-0005-0000-0000-000039E10000}"/>
    <cellStyle name="Porcentual 3 2 2 3 3 3 4" xfId="57640" xr:uid="{00000000-0005-0000-0000-00003AE10000}"/>
    <cellStyle name="Porcentual 3 2 2 3 3 3 5" xfId="57641" xr:uid="{00000000-0005-0000-0000-00003BE10000}"/>
    <cellStyle name="Porcentual 3 2 2 3 3 4" xfId="57642" xr:uid="{00000000-0005-0000-0000-00003CE10000}"/>
    <cellStyle name="Porcentual 3 2 2 3 3 4 2" xfId="57643" xr:uid="{00000000-0005-0000-0000-00003DE10000}"/>
    <cellStyle name="Porcentual 3 2 2 3 3 5" xfId="57644" xr:uid="{00000000-0005-0000-0000-00003EE10000}"/>
    <cellStyle name="Porcentual 3 2 2 3 3 5 2" xfId="57645" xr:uid="{00000000-0005-0000-0000-00003FE10000}"/>
    <cellStyle name="Porcentual 3 2 2 3 3 6" xfId="57646" xr:uid="{00000000-0005-0000-0000-000040E10000}"/>
    <cellStyle name="Porcentual 3 2 2 3 3 7" xfId="57647" xr:uid="{00000000-0005-0000-0000-000041E10000}"/>
    <cellStyle name="Porcentual 3 2 2 3 4" xfId="57648" xr:uid="{00000000-0005-0000-0000-000042E10000}"/>
    <cellStyle name="Porcentual 3 2 2 3 4 2" xfId="57649" xr:uid="{00000000-0005-0000-0000-000043E10000}"/>
    <cellStyle name="Porcentual 3 2 2 3 4 2 2" xfId="57650" xr:uid="{00000000-0005-0000-0000-000044E10000}"/>
    <cellStyle name="Porcentual 3 2 2 3 4 2 2 2" xfId="57651" xr:uid="{00000000-0005-0000-0000-000045E10000}"/>
    <cellStyle name="Porcentual 3 2 2 3 4 2 3" xfId="57652" xr:uid="{00000000-0005-0000-0000-000046E10000}"/>
    <cellStyle name="Porcentual 3 2 2 3 4 2 4" xfId="57653" xr:uid="{00000000-0005-0000-0000-000047E10000}"/>
    <cellStyle name="Porcentual 3 2 2 3 4 3" xfId="57654" xr:uid="{00000000-0005-0000-0000-000048E10000}"/>
    <cellStyle name="Porcentual 3 2 2 3 4 3 2" xfId="57655" xr:uid="{00000000-0005-0000-0000-000049E10000}"/>
    <cellStyle name="Porcentual 3 2 2 3 4 4" xfId="57656" xr:uid="{00000000-0005-0000-0000-00004AE10000}"/>
    <cellStyle name="Porcentual 3 2 2 3 4 5" xfId="57657" xr:uid="{00000000-0005-0000-0000-00004BE10000}"/>
    <cellStyle name="Porcentual 3 2 2 3 5" xfId="57658" xr:uid="{00000000-0005-0000-0000-00004CE10000}"/>
    <cellStyle name="Porcentual 3 2 2 3 5 2" xfId="57659" xr:uid="{00000000-0005-0000-0000-00004DE10000}"/>
    <cellStyle name="Porcentual 3 2 2 3 5 2 2" xfId="57660" xr:uid="{00000000-0005-0000-0000-00004EE10000}"/>
    <cellStyle name="Porcentual 3 2 2 3 5 3" xfId="57661" xr:uid="{00000000-0005-0000-0000-00004FE10000}"/>
    <cellStyle name="Porcentual 3 2 2 3 5 3 2" xfId="57662" xr:uid="{00000000-0005-0000-0000-000050E10000}"/>
    <cellStyle name="Porcentual 3 2 2 3 5 4" xfId="57663" xr:uid="{00000000-0005-0000-0000-000051E10000}"/>
    <cellStyle name="Porcentual 3 2 2 3 5 5" xfId="57664" xr:uid="{00000000-0005-0000-0000-000052E10000}"/>
    <cellStyle name="Porcentual 3 2 2 3 6" xfId="57665" xr:uid="{00000000-0005-0000-0000-000053E10000}"/>
    <cellStyle name="Porcentual 3 2 2 3 6 2" xfId="57666" xr:uid="{00000000-0005-0000-0000-000054E10000}"/>
    <cellStyle name="Porcentual 3 2 2 3 7" xfId="57667" xr:uid="{00000000-0005-0000-0000-000055E10000}"/>
    <cellStyle name="Porcentual 3 2 2 3 7 2" xfId="57668" xr:uid="{00000000-0005-0000-0000-000056E10000}"/>
    <cellStyle name="Porcentual 3 2 2 3 8" xfId="57669" xr:uid="{00000000-0005-0000-0000-000057E10000}"/>
    <cellStyle name="Porcentual 3 2 2 3 9" xfId="57670" xr:uid="{00000000-0005-0000-0000-000058E10000}"/>
    <cellStyle name="Porcentual 3 2 2 4" xfId="57671" xr:uid="{00000000-0005-0000-0000-000059E10000}"/>
    <cellStyle name="Porcentual 3 2 2 4 2" xfId="57672" xr:uid="{00000000-0005-0000-0000-00005AE10000}"/>
    <cellStyle name="Porcentual 3 2 2 4 2 2" xfId="57673" xr:uid="{00000000-0005-0000-0000-00005BE10000}"/>
    <cellStyle name="Porcentual 3 2 2 4 2 2 2" xfId="57674" xr:uid="{00000000-0005-0000-0000-00005CE10000}"/>
    <cellStyle name="Porcentual 3 2 2 4 2 2 2 2" xfId="57675" xr:uid="{00000000-0005-0000-0000-00005DE10000}"/>
    <cellStyle name="Porcentual 3 2 2 4 2 2 2 2 2" xfId="57676" xr:uid="{00000000-0005-0000-0000-00005EE10000}"/>
    <cellStyle name="Porcentual 3 2 2 4 2 2 2 3" xfId="57677" xr:uid="{00000000-0005-0000-0000-00005FE10000}"/>
    <cellStyle name="Porcentual 3 2 2 4 2 2 2 4" xfId="57678" xr:uid="{00000000-0005-0000-0000-000060E10000}"/>
    <cellStyle name="Porcentual 3 2 2 4 2 2 3" xfId="57679" xr:uid="{00000000-0005-0000-0000-000061E10000}"/>
    <cellStyle name="Porcentual 3 2 2 4 2 2 3 2" xfId="57680" xr:uid="{00000000-0005-0000-0000-000062E10000}"/>
    <cellStyle name="Porcentual 3 2 2 4 2 2 4" xfId="57681" xr:uid="{00000000-0005-0000-0000-000063E10000}"/>
    <cellStyle name="Porcentual 3 2 2 4 2 2 5" xfId="57682" xr:uid="{00000000-0005-0000-0000-000064E10000}"/>
    <cellStyle name="Porcentual 3 2 2 4 2 3" xfId="57683" xr:uid="{00000000-0005-0000-0000-000065E10000}"/>
    <cellStyle name="Porcentual 3 2 2 4 2 3 2" xfId="57684" xr:uid="{00000000-0005-0000-0000-000066E10000}"/>
    <cellStyle name="Porcentual 3 2 2 4 2 3 2 2" xfId="57685" xr:uid="{00000000-0005-0000-0000-000067E10000}"/>
    <cellStyle name="Porcentual 3 2 2 4 2 3 3" xfId="57686" xr:uid="{00000000-0005-0000-0000-000068E10000}"/>
    <cellStyle name="Porcentual 3 2 2 4 2 3 3 2" xfId="57687" xr:uid="{00000000-0005-0000-0000-000069E10000}"/>
    <cellStyle name="Porcentual 3 2 2 4 2 3 4" xfId="57688" xr:uid="{00000000-0005-0000-0000-00006AE10000}"/>
    <cellStyle name="Porcentual 3 2 2 4 2 3 5" xfId="57689" xr:uid="{00000000-0005-0000-0000-00006BE10000}"/>
    <cellStyle name="Porcentual 3 2 2 4 2 4" xfId="57690" xr:uid="{00000000-0005-0000-0000-00006CE10000}"/>
    <cellStyle name="Porcentual 3 2 2 4 2 4 2" xfId="57691" xr:uid="{00000000-0005-0000-0000-00006DE10000}"/>
    <cellStyle name="Porcentual 3 2 2 4 2 5" xfId="57692" xr:uid="{00000000-0005-0000-0000-00006EE10000}"/>
    <cellStyle name="Porcentual 3 2 2 4 2 5 2" xfId="57693" xr:uid="{00000000-0005-0000-0000-00006FE10000}"/>
    <cellStyle name="Porcentual 3 2 2 4 2 6" xfId="57694" xr:uid="{00000000-0005-0000-0000-000070E10000}"/>
    <cellStyle name="Porcentual 3 2 2 4 2 7" xfId="57695" xr:uid="{00000000-0005-0000-0000-000071E10000}"/>
    <cellStyle name="Porcentual 3 2 2 4 3" xfId="57696" xr:uid="{00000000-0005-0000-0000-000072E10000}"/>
    <cellStyle name="Porcentual 3 2 2 4 3 2" xfId="57697" xr:uid="{00000000-0005-0000-0000-000073E10000}"/>
    <cellStyle name="Porcentual 3 2 2 4 3 2 2" xfId="57698" xr:uid="{00000000-0005-0000-0000-000074E10000}"/>
    <cellStyle name="Porcentual 3 2 2 4 3 2 2 2" xfId="57699" xr:uid="{00000000-0005-0000-0000-000075E10000}"/>
    <cellStyle name="Porcentual 3 2 2 4 3 2 3" xfId="57700" xr:uid="{00000000-0005-0000-0000-000076E10000}"/>
    <cellStyle name="Porcentual 3 2 2 4 3 2 4" xfId="57701" xr:uid="{00000000-0005-0000-0000-000077E10000}"/>
    <cellStyle name="Porcentual 3 2 2 4 3 3" xfId="57702" xr:uid="{00000000-0005-0000-0000-000078E10000}"/>
    <cellStyle name="Porcentual 3 2 2 4 3 3 2" xfId="57703" xr:uid="{00000000-0005-0000-0000-000079E10000}"/>
    <cellStyle name="Porcentual 3 2 2 4 3 4" xfId="57704" xr:uid="{00000000-0005-0000-0000-00007AE10000}"/>
    <cellStyle name="Porcentual 3 2 2 4 3 5" xfId="57705" xr:uid="{00000000-0005-0000-0000-00007BE10000}"/>
    <cellStyle name="Porcentual 3 2 2 4 4" xfId="57706" xr:uid="{00000000-0005-0000-0000-00007CE10000}"/>
    <cellStyle name="Porcentual 3 2 2 4 4 2" xfId="57707" xr:uid="{00000000-0005-0000-0000-00007DE10000}"/>
    <cellStyle name="Porcentual 3 2 2 4 4 2 2" xfId="57708" xr:uid="{00000000-0005-0000-0000-00007EE10000}"/>
    <cellStyle name="Porcentual 3 2 2 4 4 3" xfId="57709" xr:uid="{00000000-0005-0000-0000-00007FE10000}"/>
    <cellStyle name="Porcentual 3 2 2 4 4 3 2" xfId="57710" xr:uid="{00000000-0005-0000-0000-000080E10000}"/>
    <cellStyle name="Porcentual 3 2 2 4 4 4" xfId="57711" xr:uid="{00000000-0005-0000-0000-000081E10000}"/>
    <cellStyle name="Porcentual 3 2 2 4 4 5" xfId="57712" xr:uid="{00000000-0005-0000-0000-000082E10000}"/>
    <cellStyle name="Porcentual 3 2 2 4 5" xfId="57713" xr:uid="{00000000-0005-0000-0000-000083E10000}"/>
    <cellStyle name="Porcentual 3 2 2 4 5 2" xfId="57714" xr:uid="{00000000-0005-0000-0000-000084E10000}"/>
    <cellStyle name="Porcentual 3 2 2 4 6" xfId="57715" xr:uid="{00000000-0005-0000-0000-000085E10000}"/>
    <cellStyle name="Porcentual 3 2 2 4 6 2" xfId="57716" xr:uid="{00000000-0005-0000-0000-000086E10000}"/>
    <cellStyle name="Porcentual 3 2 2 4 7" xfId="57717" xr:uid="{00000000-0005-0000-0000-000087E10000}"/>
    <cellStyle name="Porcentual 3 2 2 4 8" xfId="57718" xr:uid="{00000000-0005-0000-0000-000088E10000}"/>
    <cellStyle name="Porcentual 3 2 2 5" xfId="57719" xr:uid="{00000000-0005-0000-0000-000089E10000}"/>
    <cellStyle name="Porcentual 3 2 2 5 2" xfId="57720" xr:uid="{00000000-0005-0000-0000-00008AE10000}"/>
    <cellStyle name="Porcentual 3 2 2 5 2 2" xfId="57721" xr:uid="{00000000-0005-0000-0000-00008BE10000}"/>
    <cellStyle name="Porcentual 3 2 2 5 2 2 2" xfId="57722" xr:uid="{00000000-0005-0000-0000-00008CE10000}"/>
    <cellStyle name="Porcentual 3 2 2 5 2 2 2 2" xfId="57723" xr:uid="{00000000-0005-0000-0000-00008DE10000}"/>
    <cellStyle name="Porcentual 3 2 2 5 2 2 3" xfId="57724" xr:uid="{00000000-0005-0000-0000-00008EE10000}"/>
    <cellStyle name="Porcentual 3 2 2 5 2 2 4" xfId="57725" xr:uid="{00000000-0005-0000-0000-00008FE10000}"/>
    <cellStyle name="Porcentual 3 2 2 5 2 3" xfId="57726" xr:uid="{00000000-0005-0000-0000-000090E10000}"/>
    <cellStyle name="Porcentual 3 2 2 5 2 3 2" xfId="57727" xr:uid="{00000000-0005-0000-0000-000091E10000}"/>
    <cellStyle name="Porcentual 3 2 2 5 2 4" xfId="57728" xr:uid="{00000000-0005-0000-0000-000092E10000}"/>
    <cellStyle name="Porcentual 3 2 2 5 2 5" xfId="57729" xr:uid="{00000000-0005-0000-0000-000093E10000}"/>
    <cellStyle name="Porcentual 3 2 2 5 3" xfId="57730" xr:uid="{00000000-0005-0000-0000-000094E10000}"/>
    <cellStyle name="Porcentual 3 2 2 5 3 2" xfId="57731" xr:uid="{00000000-0005-0000-0000-000095E10000}"/>
    <cellStyle name="Porcentual 3 2 2 5 3 2 2" xfId="57732" xr:uid="{00000000-0005-0000-0000-000096E10000}"/>
    <cellStyle name="Porcentual 3 2 2 5 3 3" xfId="57733" xr:uid="{00000000-0005-0000-0000-000097E10000}"/>
    <cellStyle name="Porcentual 3 2 2 5 3 3 2" xfId="57734" xr:uid="{00000000-0005-0000-0000-000098E10000}"/>
    <cellStyle name="Porcentual 3 2 2 5 3 4" xfId="57735" xr:uid="{00000000-0005-0000-0000-000099E10000}"/>
    <cellStyle name="Porcentual 3 2 2 5 3 5" xfId="57736" xr:uid="{00000000-0005-0000-0000-00009AE10000}"/>
    <cellStyle name="Porcentual 3 2 2 5 4" xfId="57737" xr:uid="{00000000-0005-0000-0000-00009BE10000}"/>
    <cellStyle name="Porcentual 3 2 2 5 4 2" xfId="57738" xr:uid="{00000000-0005-0000-0000-00009CE10000}"/>
    <cellStyle name="Porcentual 3 2 2 5 5" xfId="57739" xr:uid="{00000000-0005-0000-0000-00009DE10000}"/>
    <cellStyle name="Porcentual 3 2 2 5 5 2" xfId="57740" xr:uid="{00000000-0005-0000-0000-00009EE10000}"/>
    <cellStyle name="Porcentual 3 2 2 5 6" xfId="57741" xr:uid="{00000000-0005-0000-0000-00009FE10000}"/>
    <cellStyle name="Porcentual 3 2 2 5 7" xfId="57742" xr:uid="{00000000-0005-0000-0000-0000A0E10000}"/>
    <cellStyle name="Porcentual 3 2 2 6" xfId="57743" xr:uid="{00000000-0005-0000-0000-0000A1E10000}"/>
    <cellStyle name="Porcentual 3 2 2 6 2" xfId="57744" xr:uid="{00000000-0005-0000-0000-0000A2E10000}"/>
    <cellStyle name="Porcentual 3 2 2 6 2 2" xfId="57745" xr:uid="{00000000-0005-0000-0000-0000A3E10000}"/>
    <cellStyle name="Porcentual 3 2 2 6 2 2 2" xfId="57746" xr:uid="{00000000-0005-0000-0000-0000A4E10000}"/>
    <cellStyle name="Porcentual 3 2 2 6 2 3" xfId="57747" xr:uid="{00000000-0005-0000-0000-0000A5E10000}"/>
    <cellStyle name="Porcentual 3 2 2 6 2 4" xfId="57748" xr:uid="{00000000-0005-0000-0000-0000A6E10000}"/>
    <cellStyle name="Porcentual 3 2 2 6 3" xfId="57749" xr:uid="{00000000-0005-0000-0000-0000A7E10000}"/>
    <cellStyle name="Porcentual 3 2 2 6 3 2" xfId="57750" xr:uid="{00000000-0005-0000-0000-0000A8E10000}"/>
    <cellStyle name="Porcentual 3 2 2 6 4" xfId="57751" xr:uid="{00000000-0005-0000-0000-0000A9E10000}"/>
    <cellStyle name="Porcentual 3 2 2 6 5" xfId="57752" xr:uid="{00000000-0005-0000-0000-0000AAE10000}"/>
    <cellStyle name="Porcentual 3 2 2 7" xfId="57753" xr:uid="{00000000-0005-0000-0000-0000ABE10000}"/>
    <cellStyle name="Porcentual 3 2 2 7 2" xfId="57754" xr:uid="{00000000-0005-0000-0000-0000ACE10000}"/>
    <cellStyle name="Porcentual 3 2 2 7 2 2" xfId="57755" xr:uid="{00000000-0005-0000-0000-0000ADE10000}"/>
    <cellStyle name="Porcentual 3 2 2 7 3" xfId="57756" xr:uid="{00000000-0005-0000-0000-0000AEE10000}"/>
    <cellStyle name="Porcentual 3 2 2 7 3 2" xfId="57757" xr:uid="{00000000-0005-0000-0000-0000AFE10000}"/>
    <cellStyle name="Porcentual 3 2 2 7 4" xfId="57758" xr:uid="{00000000-0005-0000-0000-0000B0E10000}"/>
    <cellStyle name="Porcentual 3 2 2 7 5" xfId="57759" xr:uid="{00000000-0005-0000-0000-0000B1E10000}"/>
    <cellStyle name="Porcentual 3 2 2 8" xfId="57760" xr:uid="{00000000-0005-0000-0000-0000B2E10000}"/>
    <cellStyle name="Porcentual 3 2 2 8 2" xfId="57761" xr:uid="{00000000-0005-0000-0000-0000B3E10000}"/>
    <cellStyle name="Porcentual 3 2 2 9" xfId="57762" xr:uid="{00000000-0005-0000-0000-0000B4E10000}"/>
    <cellStyle name="Porcentual 3 2 2 9 2" xfId="57763" xr:uid="{00000000-0005-0000-0000-0000B5E10000}"/>
    <cellStyle name="Porcentual 3 2 3" xfId="57764" xr:uid="{00000000-0005-0000-0000-0000B6E10000}"/>
    <cellStyle name="Porcentual 3 2 3 10" xfId="57765" xr:uid="{00000000-0005-0000-0000-0000B7E10000}"/>
    <cellStyle name="Porcentual 3 2 3 2" xfId="57766" xr:uid="{00000000-0005-0000-0000-0000B8E10000}"/>
    <cellStyle name="Porcentual 3 2 3 2 2" xfId="57767" xr:uid="{00000000-0005-0000-0000-0000B9E10000}"/>
    <cellStyle name="Porcentual 3 2 3 2 2 2" xfId="57768" xr:uid="{00000000-0005-0000-0000-0000BAE10000}"/>
    <cellStyle name="Porcentual 3 2 3 2 2 2 2" xfId="57769" xr:uid="{00000000-0005-0000-0000-0000BBE10000}"/>
    <cellStyle name="Porcentual 3 2 3 2 2 2 2 2" xfId="57770" xr:uid="{00000000-0005-0000-0000-0000BCE10000}"/>
    <cellStyle name="Porcentual 3 2 3 2 2 2 2 2 2" xfId="57771" xr:uid="{00000000-0005-0000-0000-0000BDE10000}"/>
    <cellStyle name="Porcentual 3 2 3 2 2 2 2 2 2 2" xfId="57772" xr:uid="{00000000-0005-0000-0000-0000BEE10000}"/>
    <cellStyle name="Porcentual 3 2 3 2 2 2 2 2 3" xfId="57773" xr:uid="{00000000-0005-0000-0000-0000BFE10000}"/>
    <cellStyle name="Porcentual 3 2 3 2 2 2 2 2 4" xfId="57774" xr:uid="{00000000-0005-0000-0000-0000C0E10000}"/>
    <cellStyle name="Porcentual 3 2 3 2 2 2 2 3" xfId="57775" xr:uid="{00000000-0005-0000-0000-0000C1E10000}"/>
    <cellStyle name="Porcentual 3 2 3 2 2 2 2 3 2" xfId="57776" xr:uid="{00000000-0005-0000-0000-0000C2E10000}"/>
    <cellStyle name="Porcentual 3 2 3 2 2 2 2 4" xfId="57777" xr:uid="{00000000-0005-0000-0000-0000C3E10000}"/>
    <cellStyle name="Porcentual 3 2 3 2 2 2 2 5" xfId="57778" xr:uid="{00000000-0005-0000-0000-0000C4E10000}"/>
    <cellStyle name="Porcentual 3 2 3 2 2 2 3" xfId="57779" xr:uid="{00000000-0005-0000-0000-0000C5E10000}"/>
    <cellStyle name="Porcentual 3 2 3 2 2 2 3 2" xfId="57780" xr:uid="{00000000-0005-0000-0000-0000C6E10000}"/>
    <cellStyle name="Porcentual 3 2 3 2 2 2 3 2 2" xfId="57781" xr:uid="{00000000-0005-0000-0000-0000C7E10000}"/>
    <cellStyle name="Porcentual 3 2 3 2 2 2 3 3" xfId="57782" xr:uid="{00000000-0005-0000-0000-0000C8E10000}"/>
    <cellStyle name="Porcentual 3 2 3 2 2 2 3 4" xfId="57783" xr:uid="{00000000-0005-0000-0000-0000C9E10000}"/>
    <cellStyle name="Porcentual 3 2 3 2 2 2 4" xfId="57784" xr:uid="{00000000-0005-0000-0000-0000CAE10000}"/>
    <cellStyle name="Porcentual 3 2 3 2 2 2 4 2" xfId="57785" xr:uid="{00000000-0005-0000-0000-0000CBE10000}"/>
    <cellStyle name="Porcentual 3 2 3 2 2 2 5" xfId="57786" xr:uid="{00000000-0005-0000-0000-0000CCE10000}"/>
    <cellStyle name="Porcentual 3 2 3 2 2 2 6" xfId="57787" xr:uid="{00000000-0005-0000-0000-0000CDE10000}"/>
    <cellStyle name="Porcentual 3 2 3 2 2 3" xfId="57788" xr:uid="{00000000-0005-0000-0000-0000CEE10000}"/>
    <cellStyle name="Porcentual 3 2 3 2 2 3 2" xfId="57789" xr:uid="{00000000-0005-0000-0000-0000CFE10000}"/>
    <cellStyle name="Porcentual 3 2 3 2 2 3 2 2" xfId="57790" xr:uid="{00000000-0005-0000-0000-0000D0E10000}"/>
    <cellStyle name="Porcentual 3 2 3 2 2 3 2 2 2" xfId="57791" xr:uid="{00000000-0005-0000-0000-0000D1E10000}"/>
    <cellStyle name="Porcentual 3 2 3 2 2 3 2 3" xfId="57792" xr:uid="{00000000-0005-0000-0000-0000D2E10000}"/>
    <cellStyle name="Porcentual 3 2 3 2 2 3 2 4" xfId="57793" xr:uid="{00000000-0005-0000-0000-0000D3E10000}"/>
    <cellStyle name="Porcentual 3 2 3 2 2 3 3" xfId="57794" xr:uid="{00000000-0005-0000-0000-0000D4E10000}"/>
    <cellStyle name="Porcentual 3 2 3 2 2 3 3 2" xfId="57795" xr:uid="{00000000-0005-0000-0000-0000D5E10000}"/>
    <cellStyle name="Porcentual 3 2 3 2 2 3 4" xfId="57796" xr:uid="{00000000-0005-0000-0000-0000D6E10000}"/>
    <cellStyle name="Porcentual 3 2 3 2 2 3 5" xfId="57797" xr:uid="{00000000-0005-0000-0000-0000D7E10000}"/>
    <cellStyle name="Porcentual 3 2 3 2 2 4" xfId="57798" xr:uid="{00000000-0005-0000-0000-0000D8E10000}"/>
    <cellStyle name="Porcentual 3 2 3 2 2 4 2" xfId="57799" xr:uid="{00000000-0005-0000-0000-0000D9E10000}"/>
    <cellStyle name="Porcentual 3 2 3 2 2 4 2 2" xfId="57800" xr:uid="{00000000-0005-0000-0000-0000DAE10000}"/>
    <cellStyle name="Porcentual 3 2 3 2 2 4 3" xfId="57801" xr:uid="{00000000-0005-0000-0000-0000DBE10000}"/>
    <cellStyle name="Porcentual 3 2 3 2 2 4 4" xfId="57802" xr:uid="{00000000-0005-0000-0000-0000DCE10000}"/>
    <cellStyle name="Porcentual 3 2 3 2 2 5" xfId="57803" xr:uid="{00000000-0005-0000-0000-0000DDE10000}"/>
    <cellStyle name="Porcentual 3 2 3 2 2 5 2" xfId="57804" xr:uid="{00000000-0005-0000-0000-0000DEE10000}"/>
    <cellStyle name="Porcentual 3 2 3 2 2 6" xfId="57805" xr:uid="{00000000-0005-0000-0000-0000DFE10000}"/>
    <cellStyle name="Porcentual 3 2 3 2 2 7" xfId="57806" xr:uid="{00000000-0005-0000-0000-0000E0E10000}"/>
    <cellStyle name="Porcentual 3 2 3 2 3" xfId="57807" xr:uid="{00000000-0005-0000-0000-0000E1E10000}"/>
    <cellStyle name="Porcentual 3 2 3 2 3 2" xfId="57808" xr:uid="{00000000-0005-0000-0000-0000E2E10000}"/>
    <cellStyle name="Porcentual 3 2 3 2 3 2 2" xfId="57809" xr:uid="{00000000-0005-0000-0000-0000E3E10000}"/>
    <cellStyle name="Porcentual 3 2 3 2 3 2 2 2" xfId="57810" xr:uid="{00000000-0005-0000-0000-0000E4E10000}"/>
    <cellStyle name="Porcentual 3 2 3 2 3 2 2 2 2" xfId="57811" xr:uid="{00000000-0005-0000-0000-0000E5E10000}"/>
    <cellStyle name="Porcentual 3 2 3 2 3 2 2 3" xfId="57812" xr:uid="{00000000-0005-0000-0000-0000E6E10000}"/>
    <cellStyle name="Porcentual 3 2 3 2 3 2 2 4" xfId="57813" xr:uid="{00000000-0005-0000-0000-0000E7E10000}"/>
    <cellStyle name="Porcentual 3 2 3 2 3 2 3" xfId="57814" xr:uid="{00000000-0005-0000-0000-0000E8E10000}"/>
    <cellStyle name="Porcentual 3 2 3 2 3 2 3 2" xfId="57815" xr:uid="{00000000-0005-0000-0000-0000E9E10000}"/>
    <cellStyle name="Porcentual 3 2 3 2 3 2 4" xfId="57816" xr:uid="{00000000-0005-0000-0000-0000EAE10000}"/>
    <cellStyle name="Porcentual 3 2 3 2 3 2 5" xfId="57817" xr:uid="{00000000-0005-0000-0000-0000EBE10000}"/>
    <cellStyle name="Porcentual 3 2 3 2 3 3" xfId="57818" xr:uid="{00000000-0005-0000-0000-0000ECE10000}"/>
    <cellStyle name="Porcentual 3 2 3 2 3 3 2" xfId="57819" xr:uid="{00000000-0005-0000-0000-0000EDE10000}"/>
    <cellStyle name="Porcentual 3 2 3 2 3 3 2 2" xfId="57820" xr:uid="{00000000-0005-0000-0000-0000EEE10000}"/>
    <cellStyle name="Porcentual 3 2 3 2 3 3 3" xfId="57821" xr:uid="{00000000-0005-0000-0000-0000EFE10000}"/>
    <cellStyle name="Porcentual 3 2 3 2 3 3 3 2" xfId="57822" xr:uid="{00000000-0005-0000-0000-0000F0E10000}"/>
    <cellStyle name="Porcentual 3 2 3 2 3 3 4" xfId="57823" xr:uid="{00000000-0005-0000-0000-0000F1E10000}"/>
    <cellStyle name="Porcentual 3 2 3 2 3 3 5" xfId="57824" xr:uid="{00000000-0005-0000-0000-0000F2E10000}"/>
    <cellStyle name="Porcentual 3 2 3 2 3 4" xfId="57825" xr:uid="{00000000-0005-0000-0000-0000F3E10000}"/>
    <cellStyle name="Porcentual 3 2 3 2 3 4 2" xfId="57826" xr:uid="{00000000-0005-0000-0000-0000F4E10000}"/>
    <cellStyle name="Porcentual 3 2 3 2 3 5" xfId="57827" xr:uid="{00000000-0005-0000-0000-0000F5E10000}"/>
    <cellStyle name="Porcentual 3 2 3 2 3 5 2" xfId="57828" xr:uid="{00000000-0005-0000-0000-0000F6E10000}"/>
    <cellStyle name="Porcentual 3 2 3 2 3 6" xfId="57829" xr:uid="{00000000-0005-0000-0000-0000F7E10000}"/>
    <cellStyle name="Porcentual 3 2 3 2 3 7" xfId="57830" xr:uid="{00000000-0005-0000-0000-0000F8E10000}"/>
    <cellStyle name="Porcentual 3 2 3 2 4" xfId="57831" xr:uid="{00000000-0005-0000-0000-0000F9E10000}"/>
    <cellStyle name="Porcentual 3 2 3 2 4 2" xfId="57832" xr:uid="{00000000-0005-0000-0000-0000FAE10000}"/>
    <cellStyle name="Porcentual 3 2 3 2 4 2 2" xfId="57833" xr:uid="{00000000-0005-0000-0000-0000FBE10000}"/>
    <cellStyle name="Porcentual 3 2 3 2 4 2 2 2" xfId="57834" xr:uid="{00000000-0005-0000-0000-0000FCE10000}"/>
    <cellStyle name="Porcentual 3 2 3 2 4 2 3" xfId="57835" xr:uid="{00000000-0005-0000-0000-0000FDE10000}"/>
    <cellStyle name="Porcentual 3 2 3 2 4 2 4" xfId="57836" xr:uid="{00000000-0005-0000-0000-0000FEE10000}"/>
    <cellStyle name="Porcentual 3 2 3 2 4 3" xfId="57837" xr:uid="{00000000-0005-0000-0000-0000FFE10000}"/>
    <cellStyle name="Porcentual 3 2 3 2 4 3 2" xfId="57838" xr:uid="{00000000-0005-0000-0000-000000E20000}"/>
    <cellStyle name="Porcentual 3 2 3 2 4 4" xfId="57839" xr:uid="{00000000-0005-0000-0000-000001E20000}"/>
    <cellStyle name="Porcentual 3 2 3 2 4 5" xfId="57840" xr:uid="{00000000-0005-0000-0000-000002E20000}"/>
    <cellStyle name="Porcentual 3 2 3 2 5" xfId="57841" xr:uid="{00000000-0005-0000-0000-000003E20000}"/>
    <cellStyle name="Porcentual 3 2 3 2 5 2" xfId="57842" xr:uid="{00000000-0005-0000-0000-000004E20000}"/>
    <cellStyle name="Porcentual 3 2 3 2 5 2 2" xfId="57843" xr:uid="{00000000-0005-0000-0000-000005E20000}"/>
    <cellStyle name="Porcentual 3 2 3 2 5 3" xfId="57844" xr:uid="{00000000-0005-0000-0000-000006E20000}"/>
    <cellStyle name="Porcentual 3 2 3 2 5 3 2" xfId="57845" xr:uid="{00000000-0005-0000-0000-000007E20000}"/>
    <cellStyle name="Porcentual 3 2 3 2 5 4" xfId="57846" xr:uid="{00000000-0005-0000-0000-000008E20000}"/>
    <cellStyle name="Porcentual 3 2 3 2 5 5" xfId="57847" xr:uid="{00000000-0005-0000-0000-000009E20000}"/>
    <cellStyle name="Porcentual 3 2 3 2 6" xfId="57848" xr:uid="{00000000-0005-0000-0000-00000AE20000}"/>
    <cellStyle name="Porcentual 3 2 3 2 6 2" xfId="57849" xr:uid="{00000000-0005-0000-0000-00000BE20000}"/>
    <cellStyle name="Porcentual 3 2 3 2 7" xfId="57850" xr:uid="{00000000-0005-0000-0000-00000CE20000}"/>
    <cellStyle name="Porcentual 3 2 3 2 7 2" xfId="57851" xr:uid="{00000000-0005-0000-0000-00000DE20000}"/>
    <cellStyle name="Porcentual 3 2 3 2 8" xfId="57852" xr:uid="{00000000-0005-0000-0000-00000EE20000}"/>
    <cellStyle name="Porcentual 3 2 3 2 9" xfId="57853" xr:uid="{00000000-0005-0000-0000-00000FE20000}"/>
    <cellStyle name="Porcentual 3 2 3 3" xfId="57854" xr:uid="{00000000-0005-0000-0000-000010E20000}"/>
    <cellStyle name="Porcentual 3 2 3 3 2" xfId="57855" xr:uid="{00000000-0005-0000-0000-000011E20000}"/>
    <cellStyle name="Porcentual 3 2 3 3 2 2" xfId="57856" xr:uid="{00000000-0005-0000-0000-000012E20000}"/>
    <cellStyle name="Porcentual 3 2 3 3 2 2 2" xfId="57857" xr:uid="{00000000-0005-0000-0000-000013E20000}"/>
    <cellStyle name="Porcentual 3 2 3 3 2 2 2 2" xfId="57858" xr:uid="{00000000-0005-0000-0000-000014E20000}"/>
    <cellStyle name="Porcentual 3 2 3 3 2 2 2 2 2" xfId="57859" xr:uid="{00000000-0005-0000-0000-000015E20000}"/>
    <cellStyle name="Porcentual 3 2 3 3 2 2 2 3" xfId="57860" xr:uid="{00000000-0005-0000-0000-000016E20000}"/>
    <cellStyle name="Porcentual 3 2 3 3 2 2 2 4" xfId="57861" xr:uid="{00000000-0005-0000-0000-000017E20000}"/>
    <cellStyle name="Porcentual 3 2 3 3 2 2 3" xfId="57862" xr:uid="{00000000-0005-0000-0000-000018E20000}"/>
    <cellStyle name="Porcentual 3 2 3 3 2 2 3 2" xfId="57863" xr:uid="{00000000-0005-0000-0000-000019E20000}"/>
    <cellStyle name="Porcentual 3 2 3 3 2 2 4" xfId="57864" xr:uid="{00000000-0005-0000-0000-00001AE20000}"/>
    <cellStyle name="Porcentual 3 2 3 3 2 2 5" xfId="57865" xr:uid="{00000000-0005-0000-0000-00001BE20000}"/>
    <cellStyle name="Porcentual 3 2 3 3 2 3" xfId="57866" xr:uid="{00000000-0005-0000-0000-00001CE20000}"/>
    <cellStyle name="Porcentual 3 2 3 3 2 3 2" xfId="57867" xr:uid="{00000000-0005-0000-0000-00001DE20000}"/>
    <cellStyle name="Porcentual 3 2 3 3 2 3 2 2" xfId="57868" xr:uid="{00000000-0005-0000-0000-00001EE20000}"/>
    <cellStyle name="Porcentual 3 2 3 3 2 3 3" xfId="57869" xr:uid="{00000000-0005-0000-0000-00001FE20000}"/>
    <cellStyle name="Porcentual 3 2 3 3 2 3 3 2" xfId="57870" xr:uid="{00000000-0005-0000-0000-000020E20000}"/>
    <cellStyle name="Porcentual 3 2 3 3 2 3 4" xfId="57871" xr:uid="{00000000-0005-0000-0000-000021E20000}"/>
    <cellStyle name="Porcentual 3 2 3 3 2 3 5" xfId="57872" xr:uid="{00000000-0005-0000-0000-000022E20000}"/>
    <cellStyle name="Porcentual 3 2 3 3 2 4" xfId="57873" xr:uid="{00000000-0005-0000-0000-000023E20000}"/>
    <cellStyle name="Porcentual 3 2 3 3 2 4 2" xfId="57874" xr:uid="{00000000-0005-0000-0000-000024E20000}"/>
    <cellStyle name="Porcentual 3 2 3 3 2 5" xfId="57875" xr:uid="{00000000-0005-0000-0000-000025E20000}"/>
    <cellStyle name="Porcentual 3 2 3 3 2 5 2" xfId="57876" xr:uid="{00000000-0005-0000-0000-000026E20000}"/>
    <cellStyle name="Porcentual 3 2 3 3 2 6" xfId="57877" xr:uid="{00000000-0005-0000-0000-000027E20000}"/>
    <cellStyle name="Porcentual 3 2 3 3 2 7" xfId="57878" xr:uid="{00000000-0005-0000-0000-000028E20000}"/>
    <cellStyle name="Porcentual 3 2 3 3 3" xfId="57879" xr:uid="{00000000-0005-0000-0000-000029E20000}"/>
    <cellStyle name="Porcentual 3 2 3 3 3 2" xfId="57880" xr:uid="{00000000-0005-0000-0000-00002AE20000}"/>
    <cellStyle name="Porcentual 3 2 3 3 3 2 2" xfId="57881" xr:uid="{00000000-0005-0000-0000-00002BE20000}"/>
    <cellStyle name="Porcentual 3 2 3 3 3 2 2 2" xfId="57882" xr:uid="{00000000-0005-0000-0000-00002CE20000}"/>
    <cellStyle name="Porcentual 3 2 3 3 3 2 3" xfId="57883" xr:uid="{00000000-0005-0000-0000-00002DE20000}"/>
    <cellStyle name="Porcentual 3 2 3 3 3 2 4" xfId="57884" xr:uid="{00000000-0005-0000-0000-00002EE20000}"/>
    <cellStyle name="Porcentual 3 2 3 3 3 3" xfId="57885" xr:uid="{00000000-0005-0000-0000-00002FE20000}"/>
    <cellStyle name="Porcentual 3 2 3 3 3 3 2" xfId="57886" xr:uid="{00000000-0005-0000-0000-000030E20000}"/>
    <cellStyle name="Porcentual 3 2 3 3 3 4" xfId="57887" xr:uid="{00000000-0005-0000-0000-000031E20000}"/>
    <cellStyle name="Porcentual 3 2 3 3 3 5" xfId="57888" xr:uid="{00000000-0005-0000-0000-000032E20000}"/>
    <cellStyle name="Porcentual 3 2 3 3 4" xfId="57889" xr:uid="{00000000-0005-0000-0000-000033E20000}"/>
    <cellStyle name="Porcentual 3 2 3 3 4 2" xfId="57890" xr:uid="{00000000-0005-0000-0000-000034E20000}"/>
    <cellStyle name="Porcentual 3 2 3 3 4 2 2" xfId="57891" xr:uid="{00000000-0005-0000-0000-000035E20000}"/>
    <cellStyle name="Porcentual 3 2 3 3 4 3" xfId="57892" xr:uid="{00000000-0005-0000-0000-000036E20000}"/>
    <cellStyle name="Porcentual 3 2 3 3 4 3 2" xfId="57893" xr:uid="{00000000-0005-0000-0000-000037E20000}"/>
    <cellStyle name="Porcentual 3 2 3 3 4 4" xfId="57894" xr:uid="{00000000-0005-0000-0000-000038E20000}"/>
    <cellStyle name="Porcentual 3 2 3 3 4 5" xfId="57895" xr:uid="{00000000-0005-0000-0000-000039E20000}"/>
    <cellStyle name="Porcentual 3 2 3 3 5" xfId="57896" xr:uid="{00000000-0005-0000-0000-00003AE20000}"/>
    <cellStyle name="Porcentual 3 2 3 3 5 2" xfId="57897" xr:uid="{00000000-0005-0000-0000-00003BE20000}"/>
    <cellStyle name="Porcentual 3 2 3 3 6" xfId="57898" xr:uid="{00000000-0005-0000-0000-00003CE20000}"/>
    <cellStyle name="Porcentual 3 2 3 3 6 2" xfId="57899" xr:uid="{00000000-0005-0000-0000-00003DE20000}"/>
    <cellStyle name="Porcentual 3 2 3 3 7" xfId="57900" xr:uid="{00000000-0005-0000-0000-00003EE20000}"/>
    <cellStyle name="Porcentual 3 2 3 3 8" xfId="57901" xr:uid="{00000000-0005-0000-0000-00003FE20000}"/>
    <cellStyle name="Porcentual 3 2 3 4" xfId="57902" xr:uid="{00000000-0005-0000-0000-000040E20000}"/>
    <cellStyle name="Porcentual 3 2 3 4 2" xfId="57903" xr:uid="{00000000-0005-0000-0000-000041E20000}"/>
    <cellStyle name="Porcentual 3 2 3 4 2 2" xfId="57904" xr:uid="{00000000-0005-0000-0000-000042E20000}"/>
    <cellStyle name="Porcentual 3 2 3 4 2 2 2" xfId="57905" xr:uid="{00000000-0005-0000-0000-000043E20000}"/>
    <cellStyle name="Porcentual 3 2 3 4 2 2 2 2" xfId="57906" xr:uid="{00000000-0005-0000-0000-000044E20000}"/>
    <cellStyle name="Porcentual 3 2 3 4 2 2 3" xfId="57907" xr:uid="{00000000-0005-0000-0000-000045E20000}"/>
    <cellStyle name="Porcentual 3 2 3 4 2 2 4" xfId="57908" xr:uid="{00000000-0005-0000-0000-000046E20000}"/>
    <cellStyle name="Porcentual 3 2 3 4 2 3" xfId="57909" xr:uid="{00000000-0005-0000-0000-000047E20000}"/>
    <cellStyle name="Porcentual 3 2 3 4 2 3 2" xfId="57910" xr:uid="{00000000-0005-0000-0000-000048E20000}"/>
    <cellStyle name="Porcentual 3 2 3 4 2 4" xfId="57911" xr:uid="{00000000-0005-0000-0000-000049E20000}"/>
    <cellStyle name="Porcentual 3 2 3 4 2 5" xfId="57912" xr:uid="{00000000-0005-0000-0000-00004AE20000}"/>
    <cellStyle name="Porcentual 3 2 3 4 3" xfId="57913" xr:uid="{00000000-0005-0000-0000-00004BE20000}"/>
    <cellStyle name="Porcentual 3 2 3 4 3 2" xfId="57914" xr:uid="{00000000-0005-0000-0000-00004CE20000}"/>
    <cellStyle name="Porcentual 3 2 3 4 3 2 2" xfId="57915" xr:uid="{00000000-0005-0000-0000-00004DE20000}"/>
    <cellStyle name="Porcentual 3 2 3 4 3 3" xfId="57916" xr:uid="{00000000-0005-0000-0000-00004EE20000}"/>
    <cellStyle name="Porcentual 3 2 3 4 3 3 2" xfId="57917" xr:uid="{00000000-0005-0000-0000-00004FE20000}"/>
    <cellStyle name="Porcentual 3 2 3 4 3 4" xfId="57918" xr:uid="{00000000-0005-0000-0000-000050E20000}"/>
    <cellStyle name="Porcentual 3 2 3 4 3 5" xfId="57919" xr:uid="{00000000-0005-0000-0000-000051E20000}"/>
    <cellStyle name="Porcentual 3 2 3 4 4" xfId="57920" xr:uid="{00000000-0005-0000-0000-000052E20000}"/>
    <cellStyle name="Porcentual 3 2 3 4 4 2" xfId="57921" xr:uid="{00000000-0005-0000-0000-000053E20000}"/>
    <cellStyle name="Porcentual 3 2 3 4 5" xfId="57922" xr:uid="{00000000-0005-0000-0000-000054E20000}"/>
    <cellStyle name="Porcentual 3 2 3 4 5 2" xfId="57923" xr:uid="{00000000-0005-0000-0000-000055E20000}"/>
    <cellStyle name="Porcentual 3 2 3 4 6" xfId="57924" xr:uid="{00000000-0005-0000-0000-000056E20000}"/>
    <cellStyle name="Porcentual 3 2 3 4 7" xfId="57925" xr:uid="{00000000-0005-0000-0000-000057E20000}"/>
    <cellStyle name="Porcentual 3 2 3 5" xfId="57926" xr:uid="{00000000-0005-0000-0000-000058E20000}"/>
    <cellStyle name="Porcentual 3 2 3 5 2" xfId="57927" xr:uid="{00000000-0005-0000-0000-000059E20000}"/>
    <cellStyle name="Porcentual 3 2 3 5 2 2" xfId="57928" xr:uid="{00000000-0005-0000-0000-00005AE20000}"/>
    <cellStyle name="Porcentual 3 2 3 5 2 2 2" xfId="57929" xr:uid="{00000000-0005-0000-0000-00005BE20000}"/>
    <cellStyle name="Porcentual 3 2 3 5 2 3" xfId="57930" xr:uid="{00000000-0005-0000-0000-00005CE20000}"/>
    <cellStyle name="Porcentual 3 2 3 5 2 4" xfId="57931" xr:uid="{00000000-0005-0000-0000-00005DE20000}"/>
    <cellStyle name="Porcentual 3 2 3 5 3" xfId="57932" xr:uid="{00000000-0005-0000-0000-00005EE20000}"/>
    <cellStyle name="Porcentual 3 2 3 5 3 2" xfId="57933" xr:uid="{00000000-0005-0000-0000-00005FE20000}"/>
    <cellStyle name="Porcentual 3 2 3 5 4" xfId="57934" xr:uid="{00000000-0005-0000-0000-000060E20000}"/>
    <cellStyle name="Porcentual 3 2 3 5 5" xfId="57935" xr:uid="{00000000-0005-0000-0000-000061E20000}"/>
    <cellStyle name="Porcentual 3 2 3 6" xfId="57936" xr:uid="{00000000-0005-0000-0000-000062E20000}"/>
    <cellStyle name="Porcentual 3 2 3 6 2" xfId="57937" xr:uid="{00000000-0005-0000-0000-000063E20000}"/>
    <cellStyle name="Porcentual 3 2 3 6 2 2" xfId="57938" xr:uid="{00000000-0005-0000-0000-000064E20000}"/>
    <cellStyle name="Porcentual 3 2 3 6 3" xfId="57939" xr:uid="{00000000-0005-0000-0000-000065E20000}"/>
    <cellStyle name="Porcentual 3 2 3 6 3 2" xfId="57940" xr:uid="{00000000-0005-0000-0000-000066E20000}"/>
    <cellStyle name="Porcentual 3 2 3 6 4" xfId="57941" xr:uid="{00000000-0005-0000-0000-000067E20000}"/>
    <cellStyle name="Porcentual 3 2 3 6 5" xfId="57942" xr:uid="{00000000-0005-0000-0000-000068E20000}"/>
    <cellStyle name="Porcentual 3 2 3 7" xfId="57943" xr:uid="{00000000-0005-0000-0000-000069E20000}"/>
    <cellStyle name="Porcentual 3 2 3 7 2" xfId="57944" xr:uid="{00000000-0005-0000-0000-00006AE20000}"/>
    <cellStyle name="Porcentual 3 2 3 8" xfId="57945" xr:uid="{00000000-0005-0000-0000-00006BE20000}"/>
    <cellStyle name="Porcentual 3 2 3 8 2" xfId="57946" xr:uid="{00000000-0005-0000-0000-00006CE20000}"/>
    <cellStyle name="Porcentual 3 2 3 9" xfId="57947" xr:uid="{00000000-0005-0000-0000-00006DE20000}"/>
    <cellStyle name="Porcentual 3 2 4" xfId="57948" xr:uid="{00000000-0005-0000-0000-00006EE20000}"/>
    <cellStyle name="Porcentual 3 2 4 2" xfId="57949" xr:uid="{00000000-0005-0000-0000-00006FE20000}"/>
    <cellStyle name="Porcentual 3 2 4 2 2" xfId="57950" xr:uid="{00000000-0005-0000-0000-000070E20000}"/>
    <cellStyle name="Porcentual 3 2 4 2 2 2" xfId="57951" xr:uid="{00000000-0005-0000-0000-000071E20000}"/>
    <cellStyle name="Porcentual 3 2 4 2 2 2 2" xfId="57952" xr:uid="{00000000-0005-0000-0000-000072E20000}"/>
    <cellStyle name="Porcentual 3 2 4 2 2 2 2 2" xfId="57953" xr:uid="{00000000-0005-0000-0000-000073E20000}"/>
    <cellStyle name="Porcentual 3 2 4 2 2 2 2 2 2" xfId="57954" xr:uid="{00000000-0005-0000-0000-000074E20000}"/>
    <cellStyle name="Porcentual 3 2 4 2 2 2 2 3" xfId="57955" xr:uid="{00000000-0005-0000-0000-000075E20000}"/>
    <cellStyle name="Porcentual 3 2 4 2 2 2 2 4" xfId="57956" xr:uid="{00000000-0005-0000-0000-000076E20000}"/>
    <cellStyle name="Porcentual 3 2 4 2 2 2 3" xfId="57957" xr:uid="{00000000-0005-0000-0000-000077E20000}"/>
    <cellStyle name="Porcentual 3 2 4 2 2 2 3 2" xfId="57958" xr:uid="{00000000-0005-0000-0000-000078E20000}"/>
    <cellStyle name="Porcentual 3 2 4 2 2 2 4" xfId="57959" xr:uid="{00000000-0005-0000-0000-000079E20000}"/>
    <cellStyle name="Porcentual 3 2 4 2 2 2 5" xfId="57960" xr:uid="{00000000-0005-0000-0000-00007AE20000}"/>
    <cellStyle name="Porcentual 3 2 4 2 2 3" xfId="57961" xr:uid="{00000000-0005-0000-0000-00007BE20000}"/>
    <cellStyle name="Porcentual 3 2 4 2 2 3 2" xfId="57962" xr:uid="{00000000-0005-0000-0000-00007CE20000}"/>
    <cellStyle name="Porcentual 3 2 4 2 2 3 2 2" xfId="57963" xr:uid="{00000000-0005-0000-0000-00007DE20000}"/>
    <cellStyle name="Porcentual 3 2 4 2 2 3 3" xfId="57964" xr:uid="{00000000-0005-0000-0000-00007EE20000}"/>
    <cellStyle name="Porcentual 3 2 4 2 2 3 4" xfId="57965" xr:uid="{00000000-0005-0000-0000-00007FE20000}"/>
    <cellStyle name="Porcentual 3 2 4 2 2 4" xfId="57966" xr:uid="{00000000-0005-0000-0000-000080E20000}"/>
    <cellStyle name="Porcentual 3 2 4 2 2 4 2" xfId="57967" xr:uid="{00000000-0005-0000-0000-000081E20000}"/>
    <cellStyle name="Porcentual 3 2 4 2 2 5" xfId="57968" xr:uid="{00000000-0005-0000-0000-000082E20000}"/>
    <cellStyle name="Porcentual 3 2 4 2 2 6" xfId="57969" xr:uid="{00000000-0005-0000-0000-000083E20000}"/>
    <cellStyle name="Porcentual 3 2 4 2 3" xfId="57970" xr:uid="{00000000-0005-0000-0000-000084E20000}"/>
    <cellStyle name="Porcentual 3 2 4 2 3 2" xfId="57971" xr:uid="{00000000-0005-0000-0000-000085E20000}"/>
    <cellStyle name="Porcentual 3 2 4 2 3 2 2" xfId="57972" xr:uid="{00000000-0005-0000-0000-000086E20000}"/>
    <cellStyle name="Porcentual 3 2 4 2 3 2 2 2" xfId="57973" xr:uid="{00000000-0005-0000-0000-000087E20000}"/>
    <cellStyle name="Porcentual 3 2 4 2 3 2 3" xfId="57974" xr:uid="{00000000-0005-0000-0000-000088E20000}"/>
    <cellStyle name="Porcentual 3 2 4 2 3 2 4" xfId="57975" xr:uid="{00000000-0005-0000-0000-000089E20000}"/>
    <cellStyle name="Porcentual 3 2 4 2 3 3" xfId="57976" xr:uid="{00000000-0005-0000-0000-00008AE20000}"/>
    <cellStyle name="Porcentual 3 2 4 2 3 3 2" xfId="57977" xr:uid="{00000000-0005-0000-0000-00008BE20000}"/>
    <cellStyle name="Porcentual 3 2 4 2 3 4" xfId="57978" xr:uid="{00000000-0005-0000-0000-00008CE20000}"/>
    <cellStyle name="Porcentual 3 2 4 2 3 5" xfId="57979" xr:uid="{00000000-0005-0000-0000-00008DE20000}"/>
    <cellStyle name="Porcentual 3 2 4 2 4" xfId="57980" xr:uid="{00000000-0005-0000-0000-00008EE20000}"/>
    <cellStyle name="Porcentual 3 2 4 2 4 2" xfId="57981" xr:uid="{00000000-0005-0000-0000-00008FE20000}"/>
    <cellStyle name="Porcentual 3 2 4 2 4 2 2" xfId="57982" xr:uid="{00000000-0005-0000-0000-000090E20000}"/>
    <cellStyle name="Porcentual 3 2 4 2 4 3" xfId="57983" xr:uid="{00000000-0005-0000-0000-000091E20000}"/>
    <cellStyle name="Porcentual 3 2 4 2 4 4" xfId="57984" xr:uid="{00000000-0005-0000-0000-000092E20000}"/>
    <cellStyle name="Porcentual 3 2 4 2 5" xfId="57985" xr:uid="{00000000-0005-0000-0000-000093E20000}"/>
    <cellStyle name="Porcentual 3 2 4 2 5 2" xfId="57986" xr:uid="{00000000-0005-0000-0000-000094E20000}"/>
    <cellStyle name="Porcentual 3 2 4 2 6" xfId="57987" xr:uid="{00000000-0005-0000-0000-000095E20000}"/>
    <cellStyle name="Porcentual 3 2 4 2 7" xfId="57988" xr:uid="{00000000-0005-0000-0000-000096E20000}"/>
    <cellStyle name="Porcentual 3 2 4 3" xfId="57989" xr:uid="{00000000-0005-0000-0000-000097E20000}"/>
    <cellStyle name="Porcentual 3 2 4 3 2" xfId="57990" xr:uid="{00000000-0005-0000-0000-000098E20000}"/>
    <cellStyle name="Porcentual 3 2 4 3 2 2" xfId="57991" xr:uid="{00000000-0005-0000-0000-000099E20000}"/>
    <cellStyle name="Porcentual 3 2 4 3 2 2 2" xfId="57992" xr:uid="{00000000-0005-0000-0000-00009AE20000}"/>
    <cellStyle name="Porcentual 3 2 4 3 2 2 2 2" xfId="57993" xr:uid="{00000000-0005-0000-0000-00009BE20000}"/>
    <cellStyle name="Porcentual 3 2 4 3 2 2 3" xfId="57994" xr:uid="{00000000-0005-0000-0000-00009CE20000}"/>
    <cellStyle name="Porcentual 3 2 4 3 2 2 4" xfId="57995" xr:uid="{00000000-0005-0000-0000-00009DE20000}"/>
    <cellStyle name="Porcentual 3 2 4 3 2 3" xfId="57996" xr:uid="{00000000-0005-0000-0000-00009EE20000}"/>
    <cellStyle name="Porcentual 3 2 4 3 2 3 2" xfId="57997" xr:uid="{00000000-0005-0000-0000-00009FE20000}"/>
    <cellStyle name="Porcentual 3 2 4 3 2 4" xfId="57998" xr:uid="{00000000-0005-0000-0000-0000A0E20000}"/>
    <cellStyle name="Porcentual 3 2 4 3 2 5" xfId="57999" xr:uid="{00000000-0005-0000-0000-0000A1E20000}"/>
    <cellStyle name="Porcentual 3 2 4 3 3" xfId="58000" xr:uid="{00000000-0005-0000-0000-0000A2E20000}"/>
    <cellStyle name="Porcentual 3 2 4 3 3 2" xfId="58001" xr:uid="{00000000-0005-0000-0000-0000A3E20000}"/>
    <cellStyle name="Porcentual 3 2 4 3 3 2 2" xfId="58002" xr:uid="{00000000-0005-0000-0000-0000A4E20000}"/>
    <cellStyle name="Porcentual 3 2 4 3 3 3" xfId="58003" xr:uid="{00000000-0005-0000-0000-0000A5E20000}"/>
    <cellStyle name="Porcentual 3 2 4 3 3 3 2" xfId="58004" xr:uid="{00000000-0005-0000-0000-0000A6E20000}"/>
    <cellStyle name="Porcentual 3 2 4 3 3 4" xfId="58005" xr:uid="{00000000-0005-0000-0000-0000A7E20000}"/>
    <cellStyle name="Porcentual 3 2 4 3 3 5" xfId="58006" xr:uid="{00000000-0005-0000-0000-0000A8E20000}"/>
    <cellStyle name="Porcentual 3 2 4 3 4" xfId="58007" xr:uid="{00000000-0005-0000-0000-0000A9E20000}"/>
    <cellStyle name="Porcentual 3 2 4 3 4 2" xfId="58008" xr:uid="{00000000-0005-0000-0000-0000AAE20000}"/>
    <cellStyle name="Porcentual 3 2 4 3 5" xfId="58009" xr:uid="{00000000-0005-0000-0000-0000ABE20000}"/>
    <cellStyle name="Porcentual 3 2 4 3 5 2" xfId="58010" xr:uid="{00000000-0005-0000-0000-0000ACE20000}"/>
    <cellStyle name="Porcentual 3 2 4 3 6" xfId="58011" xr:uid="{00000000-0005-0000-0000-0000ADE20000}"/>
    <cellStyle name="Porcentual 3 2 4 3 7" xfId="58012" xr:uid="{00000000-0005-0000-0000-0000AEE20000}"/>
    <cellStyle name="Porcentual 3 2 4 4" xfId="58013" xr:uid="{00000000-0005-0000-0000-0000AFE20000}"/>
    <cellStyle name="Porcentual 3 2 4 4 2" xfId="58014" xr:uid="{00000000-0005-0000-0000-0000B0E20000}"/>
    <cellStyle name="Porcentual 3 2 4 4 2 2" xfId="58015" xr:uid="{00000000-0005-0000-0000-0000B1E20000}"/>
    <cellStyle name="Porcentual 3 2 4 4 2 2 2" xfId="58016" xr:uid="{00000000-0005-0000-0000-0000B2E20000}"/>
    <cellStyle name="Porcentual 3 2 4 4 2 3" xfId="58017" xr:uid="{00000000-0005-0000-0000-0000B3E20000}"/>
    <cellStyle name="Porcentual 3 2 4 4 2 4" xfId="58018" xr:uid="{00000000-0005-0000-0000-0000B4E20000}"/>
    <cellStyle name="Porcentual 3 2 4 4 3" xfId="58019" xr:uid="{00000000-0005-0000-0000-0000B5E20000}"/>
    <cellStyle name="Porcentual 3 2 4 4 3 2" xfId="58020" xr:uid="{00000000-0005-0000-0000-0000B6E20000}"/>
    <cellStyle name="Porcentual 3 2 4 4 4" xfId="58021" xr:uid="{00000000-0005-0000-0000-0000B7E20000}"/>
    <cellStyle name="Porcentual 3 2 4 4 5" xfId="58022" xr:uid="{00000000-0005-0000-0000-0000B8E20000}"/>
    <cellStyle name="Porcentual 3 2 4 5" xfId="58023" xr:uid="{00000000-0005-0000-0000-0000B9E20000}"/>
    <cellStyle name="Porcentual 3 2 4 5 2" xfId="58024" xr:uid="{00000000-0005-0000-0000-0000BAE20000}"/>
    <cellStyle name="Porcentual 3 2 4 5 2 2" xfId="58025" xr:uid="{00000000-0005-0000-0000-0000BBE20000}"/>
    <cellStyle name="Porcentual 3 2 4 5 3" xfId="58026" xr:uid="{00000000-0005-0000-0000-0000BCE20000}"/>
    <cellStyle name="Porcentual 3 2 4 5 3 2" xfId="58027" xr:uid="{00000000-0005-0000-0000-0000BDE20000}"/>
    <cellStyle name="Porcentual 3 2 4 5 4" xfId="58028" xr:uid="{00000000-0005-0000-0000-0000BEE20000}"/>
    <cellStyle name="Porcentual 3 2 4 5 5" xfId="58029" xr:uid="{00000000-0005-0000-0000-0000BFE20000}"/>
    <cellStyle name="Porcentual 3 2 4 6" xfId="58030" xr:uid="{00000000-0005-0000-0000-0000C0E20000}"/>
    <cellStyle name="Porcentual 3 2 4 6 2" xfId="58031" xr:uid="{00000000-0005-0000-0000-0000C1E20000}"/>
    <cellStyle name="Porcentual 3 2 4 7" xfId="58032" xr:uid="{00000000-0005-0000-0000-0000C2E20000}"/>
    <cellStyle name="Porcentual 3 2 4 7 2" xfId="58033" xr:uid="{00000000-0005-0000-0000-0000C3E20000}"/>
    <cellStyle name="Porcentual 3 2 4 8" xfId="58034" xr:uid="{00000000-0005-0000-0000-0000C4E20000}"/>
    <cellStyle name="Porcentual 3 2 4 9" xfId="58035" xr:uid="{00000000-0005-0000-0000-0000C5E20000}"/>
    <cellStyle name="Porcentual 3 2 5" xfId="58036" xr:uid="{00000000-0005-0000-0000-0000C6E20000}"/>
    <cellStyle name="Porcentual 3 2 5 2" xfId="58037" xr:uid="{00000000-0005-0000-0000-0000C7E20000}"/>
    <cellStyle name="Porcentual 3 2 5 2 2" xfId="58038" xr:uid="{00000000-0005-0000-0000-0000C8E20000}"/>
    <cellStyle name="Porcentual 3 2 5 2 2 2" xfId="58039" xr:uid="{00000000-0005-0000-0000-0000C9E20000}"/>
    <cellStyle name="Porcentual 3 2 5 2 2 2 2" xfId="58040" xr:uid="{00000000-0005-0000-0000-0000CAE20000}"/>
    <cellStyle name="Porcentual 3 2 5 2 2 2 2 2" xfId="58041" xr:uid="{00000000-0005-0000-0000-0000CBE20000}"/>
    <cellStyle name="Porcentual 3 2 5 2 2 2 3" xfId="58042" xr:uid="{00000000-0005-0000-0000-0000CCE20000}"/>
    <cellStyle name="Porcentual 3 2 5 2 2 2 4" xfId="58043" xr:uid="{00000000-0005-0000-0000-0000CDE20000}"/>
    <cellStyle name="Porcentual 3 2 5 2 2 3" xfId="58044" xr:uid="{00000000-0005-0000-0000-0000CEE20000}"/>
    <cellStyle name="Porcentual 3 2 5 2 2 3 2" xfId="58045" xr:uid="{00000000-0005-0000-0000-0000CFE20000}"/>
    <cellStyle name="Porcentual 3 2 5 2 2 4" xfId="58046" xr:uid="{00000000-0005-0000-0000-0000D0E20000}"/>
    <cellStyle name="Porcentual 3 2 5 2 2 5" xfId="58047" xr:uid="{00000000-0005-0000-0000-0000D1E20000}"/>
    <cellStyle name="Porcentual 3 2 5 2 3" xfId="58048" xr:uid="{00000000-0005-0000-0000-0000D2E20000}"/>
    <cellStyle name="Porcentual 3 2 5 2 3 2" xfId="58049" xr:uid="{00000000-0005-0000-0000-0000D3E20000}"/>
    <cellStyle name="Porcentual 3 2 5 2 3 2 2" xfId="58050" xr:uid="{00000000-0005-0000-0000-0000D4E20000}"/>
    <cellStyle name="Porcentual 3 2 5 2 3 3" xfId="58051" xr:uid="{00000000-0005-0000-0000-0000D5E20000}"/>
    <cellStyle name="Porcentual 3 2 5 2 3 3 2" xfId="58052" xr:uid="{00000000-0005-0000-0000-0000D6E20000}"/>
    <cellStyle name="Porcentual 3 2 5 2 3 4" xfId="58053" xr:uid="{00000000-0005-0000-0000-0000D7E20000}"/>
    <cellStyle name="Porcentual 3 2 5 2 3 5" xfId="58054" xr:uid="{00000000-0005-0000-0000-0000D8E20000}"/>
    <cellStyle name="Porcentual 3 2 5 2 4" xfId="58055" xr:uid="{00000000-0005-0000-0000-0000D9E20000}"/>
    <cellStyle name="Porcentual 3 2 5 2 4 2" xfId="58056" xr:uid="{00000000-0005-0000-0000-0000DAE20000}"/>
    <cellStyle name="Porcentual 3 2 5 2 5" xfId="58057" xr:uid="{00000000-0005-0000-0000-0000DBE20000}"/>
    <cellStyle name="Porcentual 3 2 5 2 5 2" xfId="58058" xr:uid="{00000000-0005-0000-0000-0000DCE20000}"/>
    <cellStyle name="Porcentual 3 2 5 2 6" xfId="58059" xr:uid="{00000000-0005-0000-0000-0000DDE20000}"/>
    <cellStyle name="Porcentual 3 2 5 2 7" xfId="58060" xr:uid="{00000000-0005-0000-0000-0000DEE20000}"/>
    <cellStyle name="Porcentual 3 2 5 3" xfId="58061" xr:uid="{00000000-0005-0000-0000-0000DFE20000}"/>
    <cellStyle name="Porcentual 3 2 5 3 2" xfId="58062" xr:uid="{00000000-0005-0000-0000-0000E0E20000}"/>
    <cellStyle name="Porcentual 3 2 5 3 2 2" xfId="58063" xr:uid="{00000000-0005-0000-0000-0000E1E20000}"/>
    <cellStyle name="Porcentual 3 2 5 3 2 2 2" xfId="58064" xr:uid="{00000000-0005-0000-0000-0000E2E20000}"/>
    <cellStyle name="Porcentual 3 2 5 3 2 3" xfId="58065" xr:uid="{00000000-0005-0000-0000-0000E3E20000}"/>
    <cellStyle name="Porcentual 3 2 5 3 2 4" xfId="58066" xr:uid="{00000000-0005-0000-0000-0000E4E20000}"/>
    <cellStyle name="Porcentual 3 2 5 3 3" xfId="58067" xr:uid="{00000000-0005-0000-0000-0000E5E20000}"/>
    <cellStyle name="Porcentual 3 2 5 3 3 2" xfId="58068" xr:uid="{00000000-0005-0000-0000-0000E6E20000}"/>
    <cellStyle name="Porcentual 3 2 5 3 4" xfId="58069" xr:uid="{00000000-0005-0000-0000-0000E7E20000}"/>
    <cellStyle name="Porcentual 3 2 5 3 5" xfId="58070" xr:uid="{00000000-0005-0000-0000-0000E8E20000}"/>
    <cellStyle name="Porcentual 3 2 5 4" xfId="58071" xr:uid="{00000000-0005-0000-0000-0000E9E20000}"/>
    <cellStyle name="Porcentual 3 2 5 4 2" xfId="58072" xr:uid="{00000000-0005-0000-0000-0000EAE20000}"/>
    <cellStyle name="Porcentual 3 2 5 4 2 2" xfId="58073" xr:uid="{00000000-0005-0000-0000-0000EBE20000}"/>
    <cellStyle name="Porcentual 3 2 5 4 3" xfId="58074" xr:uid="{00000000-0005-0000-0000-0000ECE20000}"/>
    <cellStyle name="Porcentual 3 2 5 4 3 2" xfId="58075" xr:uid="{00000000-0005-0000-0000-0000EDE20000}"/>
    <cellStyle name="Porcentual 3 2 5 4 4" xfId="58076" xr:uid="{00000000-0005-0000-0000-0000EEE20000}"/>
    <cellStyle name="Porcentual 3 2 5 4 5" xfId="58077" xr:uid="{00000000-0005-0000-0000-0000EFE20000}"/>
    <cellStyle name="Porcentual 3 2 5 5" xfId="58078" xr:uid="{00000000-0005-0000-0000-0000F0E20000}"/>
    <cellStyle name="Porcentual 3 2 5 5 2" xfId="58079" xr:uid="{00000000-0005-0000-0000-0000F1E20000}"/>
    <cellStyle name="Porcentual 3 2 5 6" xfId="58080" xr:uid="{00000000-0005-0000-0000-0000F2E20000}"/>
    <cellStyle name="Porcentual 3 2 5 6 2" xfId="58081" xr:uid="{00000000-0005-0000-0000-0000F3E20000}"/>
    <cellStyle name="Porcentual 3 2 5 7" xfId="58082" xr:uid="{00000000-0005-0000-0000-0000F4E20000}"/>
    <cellStyle name="Porcentual 3 2 5 8" xfId="58083" xr:uid="{00000000-0005-0000-0000-0000F5E20000}"/>
    <cellStyle name="Porcentual 3 2 6" xfId="58084" xr:uid="{00000000-0005-0000-0000-0000F6E20000}"/>
    <cellStyle name="Porcentual 3 2 6 2" xfId="58085" xr:uid="{00000000-0005-0000-0000-0000F7E20000}"/>
    <cellStyle name="Porcentual 3 2 6 2 2" xfId="58086" xr:uid="{00000000-0005-0000-0000-0000F8E20000}"/>
    <cellStyle name="Porcentual 3 2 6 2 2 2" xfId="58087" xr:uid="{00000000-0005-0000-0000-0000F9E20000}"/>
    <cellStyle name="Porcentual 3 2 6 2 2 2 2" xfId="58088" xr:uid="{00000000-0005-0000-0000-0000FAE20000}"/>
    <cellStyle name="Porcentual 3 2 6 2 2 3" xfId="58089" xr:uid="{00000000-0005-0000-0000-0000FBE20000}"/>
    <cellStyle name="Porcentual 3 2 6 2 2 4" xfId="58090" xr:uid="{00000000-0005-0000-0000-0000FCE20000}"/>
    <cellStyle name="Porcentual 3 2 6 2 3" xfId="58091" xr:uid="{00000000-0005-0000-0000-0000FDE20000}"/>
    <cellStyle name="Porcentual 3 2 6 2 3 2" xfId="58092" xr:uid="{00000000-0005-0000-0000-0000FEE20000}"/>
    <cellStyle name="Porcentual 3 2 6 2 4" xfId="58093" xr:uid="{00000000-0005-0000-0000-0000FFE20000}"/>
    <cellStyle name="Porcentual 3 2 6 2 5" xfId="58094" xr:uid="{00000000-0005-0000-0000-000000E30000}"/>
    <cellStyle name="Porcentual 3 2 6 3" xfId="58095" xr:uid="{00000000-0005-0000-0000-000001E30000}"/>
    <cellStyle name="Porcentual 3 2 6 3 2" xfId="58096" xr:uid="{00000000-0005-0000-0000-000002E30000}"/>
    <cellStyle name="Porcentual 3 2 6 3 2 2" xfId="58097" xr:uid="{00000000-0005-0000-0000-000003E30000}"/>
    <cellStyle name="Porcentual 3 2 6 3 3" xfId="58098" xr:uid="{00000000-0005-0000-0000-000004E30000}"/>
    <cellStyle name="Porcentual 3 2 6 3 3 2" xfId="58099" xr:uid="{00000000-0005-0000-0000-000005E30000}"/>
    <cellStyle name="Porcentual 3 2 6 3 4" xfId="58100" xr:uid="{00000000-0005-0000-0000-000006E30000}"/>
    <cellStyle name="Porcentual 3 2 6 3 5" xfId="58101" xr:uid="{00000000-0005-0000-0000-000007E30000}"/>
    <cellStyle name="Porcentual 3 2 6 4" xfId="58102" xr:uid="{00000000-0005-0000-0000-000008E30000}"/>
    <cellStyle name="Porcentual 3 2 6 4 2" xfId="58103" xr:uid="{00000000-0005-0000-0000-000009E30000}"/>
    <cellStyle name="Porcentual 3 2 6 5" xfId="58104" xr:uid="{00000000-0005-0000-0000-00000AE30000}"/>
    <cellStyle name="Porcentual 3 2 6 5 2" xfId="58105" xr:uid="{00000000-0005-0000-0000-00000BE30000}"/>
    <cellStyle name="Porcentual 3 2 6 6" xfId="58106" xr:uid="{00000000-0005-0000-0000-00000CE30000}"/>
    <cellStyle name="Porcentual 3 2 6 7" xfId="58107" xr:uid="{00000000-0005-0000-0000-00000DE30000}"/>
    <cellStyle name="Porcentual 3 2 7" xfId="58108" xr:uid="{00000000-0005-0000-0000-00000EE30000}"/>
    <cellStyle name="Porcentual 3 2 7 2" xfId="58109" xr:uid="{00000000-0005-0000-0000-00000FE30000}"/>
    <cellStyle name="Porcentual 3 2 7 2 2" xfId="58110" xr:uid="{00000000-0005-0000-0000-000010E30000}"/>
    <cellStyle name="Porcentual 3 2 7 2 2 2" xfId="58111" xr:uid="{00000000-0005-0000-0000-000011E30000}"/>
    <cellStyle name="Porcentual 3 2 7 2 3" xfId="58112" xr:uid="{00000000-0005-0000-0000-000012E30000}"/>
    <cellStyle name="Porcentual 3 2 7 2 4" xfId="58113" xr:uid="{00000000-0005-0000-0000-000013E30000}"/>
    <cellStyle name="Porcentual 3 2 7 3" xfId="58114" xr:uid="{00000000-0005-0000-0000-000014E30000}"/>
    <cellStyle name="Porcentual 3 2 7 3 2" xfId="58115" xr:uid="{00000000-0005-0000-0000-000015E30000}"/>
    <cellStyle name="Porcentual 3 2 7 4" xfId="58116" xr:uid="{00000000-0005-0000-0000-000016E30000}"/>
    <cellStyle name="Porcentual 3 2 7 5" xfId="58117" xr:uid="{00000000-0005-0000-0000-000017E30000}"/>
    <cellStyle name="Porcentual 3 2 8" xfId="58118" xr:uid="{00000000-0005-0000-0000-000018E30000}"/>
    <cellStyle name="Porcentual 3 2 8 2" xfId="58119" xr:uid="{00000000-0005-0000-0000-000019E30000}"/>
    <cellStyle name="Porcentual 3 2 8 2 2" xfId="58120" xr:uid="{00000000-0005-0000-0000-00001AE30000}"/>
    <cellStyle name="Porcentual 3 2 8 3" xfId="58121" xr:uid="{00000000-0005-0000-0000-00001BE30000}"/>
    <cellStyle name="Porcentual 3 2 8 3 2" xfId="58122" xr:uid="{00000000-0005-0000-0000-00001CE30000}"/>
    <cellStyle name="Porcentual 3 2 8 4" xfId="58123" xr:uid="{00000000-0005-0000-0000-00001DE30000}"/>
    <cellStyle name="Porcentual 3 2 8 5" xfId="58124" xr:uid="{00000000-0005-0000-0000-00001EE30000}"/>
    <cellStyle name="Porcentual 3 2 9" xfId="58125" xr:uid="{00000000-0005-0000-0000-00001FE30000}"/>
    <cellStyle name="Porcentual 3 2 9 2" xfId="58126" xr:uid="{00000000-0005-0000-0000-000020E30000}"/>
    <cellStyle name="Porcentual 3 20" xfId="58127" xr:uid="{00000000-0005-0000-0000-000021E30000}"/>
    <cellStyle name="Porcentual 3 21" xfId="58128" xr:uid="{00000000-0005-0000-0000-000022E30000}"/>
    <cellStyle name="Porcentual 3 22" xfId="58129" xr:uid="{00000000-0005-0000-0000-000023E30000}"/>
    <cellStyle name="Porcentual 3 23" xfId="58130" xr:uid="{00000000-0005-0000-0000-000024E30000}"/>
    <cellStyle name="Porcentual 3 24" xfId="58131" xr:uid="{00000000-0005-0000-0000-000025E30000}"/>
    <cellStyle name="Porcentual 3 25" xfId="58132" xr:uid="{00000000-0005-0000-0000-000026E30000}"/>
    <cellStyle name="Porcentual 3 26" xfId="58133" xr:uid="{00000000-0005-0000-0000-000027E30000}"/>
    <cellStyle name="Porcentual 3 27" xfId="58134" xr:uid="{00000000-0005-0000-0000-000028E30000}"/>
    <cellStyle name="Porcentual 3 28" xfId="58135" xr:uid="{00000000-0005-0000-0000-000029E30000}"/>
    <cellStyle name="Porcentual 3 29" xfId="58136" xr:uid="{00000000-0005-0000-0000-00002AE30000}"/>
    <cellStyle name="Porcentual 3 3" xfId="58137" xr:uid="{00000000-0005-0000-0000-00002BE30000}"/>
    <cellStyle name="Porcentual 3 3 10" xfId="58138" xr:uid="{00000000-0005-0000-0000-00002CE30000}"/>
    <cellStyle name="Porcentual 3 3 10 2" xfId="58139" xr:uid="{00000000-0005-0000-0000-00002DE30000}"/>
    <cellStyle name="Porcentual 3 3 11" xfId="58140" xr:uid="{00000000-0005-0000-0000-00002EE30000}"/>
    <cellStyle name="Porcentual 3 3 12" xfId="58141" xr:uid="{00000000-0005-0000-0000-00002FE30000}"/>
    <cellStyle name="Porcentual 3 3 2" xfId="58142" xr:uid="{00000000-0005-0000-0000-000030E30000}"/>
    <cellStyle name="Porcentual 3 3 2 10" xfId="58143" xr:uid="{00000000-0005-0000-0000-000031E30000}"/>
    <cellStyle name="Porcentual 3 3 2 11" xfId="58144" xr:uid="{00000000-0005-0000-0000-000032E30000}"/>
    <cellStyle name="Porcentual 3 3 2 2" xfId="58145" xr:uid="{00000000-0005-0000-0000-000033E30000}"/>
    <cellStyle name="Porcentual 3 3 2 2 10" xfId="58146" xr:uid="{00000000-0005-0000-0000-000034E30000}"/>
    <cellStyle name="Porcentual 3 3 2 2 2" xfId="58147" xr:uid="{00000000-0005-0000-0000-000035E30000}"/>
    <cellStyle name="Porcentual 3 3 2 2 2 2" xfId="58148" xr:uid="{00000000-0005-0000-0000-000036E30000}"/>
    <cellStyle name="Porcentual 3 3 2 2 2 2 2" xfId="58149" xr:uid="{00000000-0005-0000-0000-000037E30000}"/>
    <cellStyle name="Porcentual 3 3 2 2 2 2 2 2" xfId="58150" xr:uid="{00000000-0005-0000-0000-000038E30000}"/>
    <cellStyle name="Porcentual 3 3 2 2 2 2 2 2 2" xfId="58151" xr:uid="{00000000-0005-0000-0000-000039E30000}"/>
    <cellStyle name="Porcentual 3 3 2 2 2 2 2 2 2 2" xfId="58152" xr:uid="{00000000-0005-0000-0000-00003AE30000}"/>
    <cellStyle name="Porcentual 3 3 2 2 2 2 2 2 2 2 2" xfId="58153" xr:uid="{00000000-0005-0000-0000-00003BE30000}"/>
    <cellStyle name="Porcentual 3 3 2 2 2 2 2 2 2 3" xfId="58154" xr:uid="{00000000-0005-0000-0000-00003CE30000}"/>
    <cellStyle name="Porcentual 3 3 2 2 2 2 2 2 2 4" xfId="58155" xr:uid="{00000000-0005-0000-0000-00003DE30000}"/>
    <cellStyle name="Porcentual 3 3 2 2 2 2 2 2 3" xfId="58156" xr:uid="{00000000-0005-0000-0000-00003EE30000}"/>
    <cellStyle name="Porcentual 3 3 2 2 2 2 2 2 3 2" xfId="58157" xr:uid="{00000000-0005-0000-0000-00003FE30000}"/>
    <cellStyle name="Porcentual 3 3 2 2 2 2 2 2 4" xfId="58158" xr:uid="{00000000-0005-0000-0000-000040E30000}"/>
    <cellStyle name="Porcentual 3 3 2 2 2 2 2 2 5" xfId="58159" xr:uid="{00000000-0005-0000-0000-000041E30000}"/>
    <cellStyle name="Porcentual 3 3 2 2 2 2 2 3" xfId="58160" xr:uid="{00000000-0005-0000-0000-000042E30000}"/>
    <cellStyle name="Porcentual 3 3 2 2 2 2 2 3 2" xfId="58161" xr:uid="{00000000-0005-0000-0000-000043E30000}"/>
    <cellStyle name="Porcentual 3 3 2 2 2 2 2 3 2 2" xfId="58162" xr:uid="{00000000-0005-0000-0000-000044E30000}"/>
    <cellStyle name="Porcentual 3 3 2 2 2 2 2 3 3" xfId="58163" xr:uid="{00000000-0005-0000-0000-000045E30000}"/>
    <cellStyle name="Porcentual 3 3 2 2 2 2 2 3 4" xfId="58164" xr:uid="{00000000-0005-0000-0000-000046E30000}"/>
    <cellStyle name="Porcentual 3 3 2 2 2 2 2 4" xfId="58165" xr:uid="{00000000-0005-0000-0000-000047E30000}"/>
    <cellStyle name="Porcentual 3 3 2 2 2 2 2 4 2" xfId="58166" xr:uid="{00000000-0005-0000-0000-000048E30000}"/>
    <cellStyle name="Porcentual 3 3 2 2 2 2 2 5" xfId="58167" xr:uid="{00000000-0005-0000-0000-000049E30000}"/>
    <cellStyle name="Porcentual 3 3 2 2 2 2 2 6" xfId="58168" xr:uid="{00000000-0005-0000-0000-00004AE30000}"/>
    <cellStyle name="Porcentual 3 3 2 2 2 2 3" xfId="58169" xr:uid="{00000000-0005-0000-0000-00004BE30000}"/>
    <cellStyle name="Porcentual 3 3 2 2 2 2 3 2" xfId="58170" xr:uid="{00000000-0005-0000-0000-00004CE30000}"/>
    <cellStyle name="Porcentual 3 3 2 2 2 2 3 2 2" xfId="58171" xr:uid="{00000000-0005-0000-0000-00004DE30000}"/>
    <cellStyle name="Porcentual 3 3 2 2 2 2 3 2 2 2" xfId="58172" xr:uid="{00000000-0005-0000-0000-00004EE30000}"/>
    <cellStyle name="Porcentual 3 3 2 2 2 2 3 2 3" xfId="58173" xr:uid="{00000000-0005-0000-0000-00004FE30000}"/>
    <cellStyle name="Porcentual 3 3 2 2 2 2 3 2 4" xfId="58174" xr:uid="{00000000-0005-0000-0000-000050E30000}"/>
    <cellStyle name="Porcentual 3 3 2 2 2 2 3 3" xfId="58175" xr:uid="{00000000-0005-0000-0000-000051E30000}"/>
    <cellStyle name="Porcentual 3 3 2 2 2 2 3 3 2" xfId="58176" xr:uid="{00000000-0005-0000-0000-000052E30000}"/>
    <cellStyle name="Porcentual 3 3 2 2 2 2 3 4" xfId="58177" xr:uid="{00000000-0005-0000-0000-000053E30000}"/>
    <cellStyle name="Porcentual 3 3 2 2 2 2 3 5" xfId="58178" xr:uid="{00000000-0005-0000-0000-000054E30000}"/>
    <cellStyle name="Porcentual 3 3 2 2 2 2 4" xfId="58179" xr:uid="{00000000-0005-0000-0000-000055E30000}"/>
    <cellStyle name="Porcentual 3 3 2 2 2 2 4 2" xfId="58180" xr:uid="{00000000-0005-0000-0000-000056E30000}"/>
    <cellStyle name="Porcentual 3 3 2 2 2 2 4 2 2" xfId="58181" xr:uid="{00000000-0005-0000-0000-000057E30000}"/>
    <cellStyle name="Porcentual 3 3 2 2 2 2 4 3" xfId="58182" xr:uid="{00000000-0005-0000-0000-000058E30000}"/>
    <cellStyle name="Porcentual 3 3 2 2 2 2 4 4" xfId="58183" xr:uid="{00000000-0005-0000-0000-000059E30000}"/>
    <cellStyle name="Porcentual 3 3 2 2 2 2 5" xfId="58184" xr:uid="{00000000-0005-0000-0000-00005AE30000}"/>
    <cellStyle name="Porcentual 3 3 2 2 2 2 5 2" xfId="58185" xr:uid="{00000000-0005-0000-0000-00005BE30000}"/>
    <cellStyle name="Porcentual 3 3 2 2 2 2 6" xfId="58186" xr:uid="{00000000-0005-0000-0000-00005CE30000}"/>
    <cellStyle name="Porcentual 3 3 2 2 2 2 7" xfId="58187" xr:uid="{00000000-0005-0000-0000-00005DE30000}"/>
    <cellStyle name="Porcentual 3 3 2 2 2 3" xfId="58188" xr:uid="{00000000-0005-0000-0000-00005EE30000}"/>
    <cellStyle name="Porcentual 3 3 2 2 2 3 2" xfId="58189" xr:uid="{00000000-0005-0000-0000-00005FE30000}"/>
    <cellStyle name="Porcentual 3 3 2 2 2 3 2 2" xfId="58190" xr:uid="{00000000-0005-0000-0000-000060E30000}"/>
    <cellStyle name="Porcentual 3 3 2 2 2 3 2 2 2" xfId="58191" xr:uid="{00000000-0005-0000-0000-000061E30000}"/>
    <cellStyle name="Porcentual 3 3 2 2 2 3 2 2 2 2" xfId="58192" xr:uid="{00000000-0005-0000-0000-000062E30000}"/>
    <cellStyle name="Porcentual 3 3 2 2 2 3 2 2 3" xfId="58193" xr:uid="{00000000-0005-0000-0000-000063E30000}"/>
    <cellStyle name="Porcentual 3 3 2 2 2 3 2 2 4" xfId="58194" xr:uid="{00000000-0005-0000-0000-000064E30000}"/>
    <cellStyle name="Porcentual 3 3 2 2 2 3 2 3" xfId="58195" xr:uid="{00000000-0005-0000-0000-000065E30000}"/>
    <cellStyle name="Porcentual 3 3 2 2 2 3 2 3 2" xfId="58196" xr:uid="{00000000-0005-0000-0000-000066E30000}"/>
    <cellStyle name="Porcentual 3 3 2 2 2 3 2 4" xfId="58197" xr:uid="{00000000-0005-0000-0000-000067E30000}"/>
    <cellStyle name="Porcentual 3 3 2 2 2 3 2 5" xfId="58198" xr:uid="{00000000-0005-0000-0000-000068E30000}"/>
    <cellStyle name="Porcentual 3 3 2 2 2 3 3" xfId="58199" xr:uid="{00000000-0005-0000-0000-000069E30000}"/>
    <cellStyle name="Porcentual 3 3 2 2 2 3 3 2" xfId="58200" xr:uid="{00000000-0005-0000-0000-00006AE30000}"/>
    <cellStyle name="Porcentual 3 3 2 2 2 3 3 2 2" xfId="58201" xr:uid="{00000000-0005-0000-0000-00006BE30000}"/>
    <cellStyle name="Porcentual 3 3 2 2 2 3 3 3" xfId="58202" xr:uid="{00000000-0005-0000-0000-00006CE30000}"/>
    <cellStyle name="Porcentual 3 3 2 2 2 3 3 3 2" xfId="58203" xr:uid="{00000000-0005-0000-0000-00006DE30000}"/>
    <cellStyle name="Porcentual 3 3 2 2 2 3 3 4" xfId="58204" xr:uid="{00000000-0005-0000-0000-00006EE30000}"/>
    <cellStyle name="Porcentual 3 3 2 2 2 3 3 5" xfId="58205" xr:uid="{00000000-0005-0000-0000-00006FE30000}"/>
    <cellStyle name="Porcentual 3 3 2 2 2 3 4" xfId="58206" xr:uid="{00000000-0005-0000-0000-000070E30000}"/>
    <cellStyle name="Porcentual 3 3 2 2 2 3 4 2" xfId="58207" xr:uid="{00000000-0005-0000-0000-000071E30000}"/>
    <cellStyle name="Porcentual 3 3 2 2 2 3 5" xfId="58208" xr:uid="{00000000-0005-0000-0000-000072E30000}"/>
    <cellStyle name="Porcentual 3 3 2 2 2 3 5 2" xfId="58209" xr:uid="{00000000-0005-0000-0000-000073E30000}"/>
    <cellStyle name="Porcentual 3 3 2 2 2 3 6" xfId="58210" xr:uid="{00000000-0005-0000-0000-000074E30000}"/>
    <cellStyle name="Porcentual 3 3 2 2 2 3 7" xfId="58211" xr:uid="{00000000-0005-0000-0000-000075E30000}"/>
    <cellStyle name="Porcentual 3 3 2 2 2 4" xfId="58212" xr:uid="{00000000-0005-0000-0000-000076E30000}"/>
    <cellStyle name="Porcentual 3 3 2 2 2 4 2" xfId="58213" xr:uid="{00000000-0005-0000-0000-000077E30000}"/>
    <cellStyle name="Porcentual 3 3 2 2 2 4 2 2" xfId="58214" xr:uid="{00000000-0005-0000-0000-000078E30000}"/>
    <cellStyle name="Porcentual 3 3 2 2 2 4 2 2 2" xfId="58215" xr:uid="{00000000-0005-0000-0000-000079E30000}"/>
    <cellStyle name="Porcentual 3 3 2 2 2 4 2 3" xfId="58216" xr:uid="{00000000-0005-0000-0000-00007AE30000}"/>
    <cellStyle name="Porcentual 3 3 2 2 2 4 2 4" xfId="58217" xr:uid="{00000000-0005-0000-0000-00007BE30000}"/>
    <cellStyle name="Porcentual 3 3 2 2 2 4 3" xfId="58218" xr:uid="{00000000-0005-0000-0000-00007CE30000}"/>
    <cellStyle name="Porcentual 3 3 2 2 2 4 3 2" xfId="58219" xr:uid="{00000000-0005-0000-0000-00007DE30000}"/>
    <cellStyle name="Porcentual 3 3 2 2 2 4 4" xfId="58220" xr:uid="{00000000-0005-0000-0000-00007EE30000}"/>
    <cellStyle name="Porcentual 3 3 2 2 2 4 5" xfId="58221" xr:uid="{00000000-0005-0000-0000-00007FE30000}"/>
    <cellStyle name="Porcentual 3 3 2 2 2 5" xfId="58222" xr:uid="{00000000-0005-0000-0000-000080E30000}"/>
    <cellStyle name="Porcentual 3 3 2 2 2 5 2" xfId="58223" xr:uid="{00000000-0005-0000-0000-000081E30000}"/>
    <cellStyle name="Porcentual 3 3 2 2 2 5 2 2" xfId="58224" xr:uid="{00000000-0005-0000-0000-000082E30000}"/>
    <cellStyle name="Porcentual 3 3 2 2 2 5 3" xfId="58225" xr:uid="{00000000-0005-0000-0000-000083E30000}"/>
    <cellStyle name="Porcentual 3 3 2 2 2 5 3 2" xfId="58226" xr:uid="{00000000-0005-0000-0000-000084E30000}"/>
    <cellStyle name="Porcentual 3 3 2 2 2 5 4" xfId="58227" xr:uid="{00000000-0005-0000-0000-000085E30000}"/>
    <cellStyle name="Porcentual 3 3 2 2 2 5 5" xfId="58228" xr:uid="{00000000-0005-0000-0000-000086E30000}"/>
    <cellStyle name="Porcentual 3 3 2 2 2 6" xfId="58229" xr:uid="{00000000-0005-0000-0000-000087E30000}"/>
    <cellStyle name="Porcentual 3 3 2 2 2 6 2" xfId="58230" xr:uid="{00000000-0005-0000-0000-000088E30000}"/>
    <cellStyle name="Porcentual 3 3 2 2 2 7" xfId="58231" xr:uid="{00000000-0005-0000-0000-000089E30000}"/>
    <cellStyle name="Porcentual 3 3 2 2 2 7 2" xfId="58232" xr:uid="{00000000-0005-0000-0000-00008AE30000}"/>
    <cellStyle name="Porcentual 3 3 2 2 2 8" xfId="58233" xr:uid="{00000000-0005-0000-0000-00008BE30000}"/>
    <cellStyle name="Porcentual 3 3 2 2 2 9" xfId="58234" xr:uid="{00000000-0005-0000-0000-00008CE30000}"/>
    <cellStyle name="Porcentual 3 3 2 2 3" xfId="58235" xr:uid="{00000000-0005-0000-0000-00008DE30000}"/>
    <cellStyle name="Porcentual 3 3 2 2 3 2" xfId="58236" xr:uid="{00000000-0005-0000-0000-00008EE30000}"/>
    <cellStyle name="Porcentual 3 3 2 2 3 2 2" xfId="58237" xr:uid="{00000000-0005-0000-0000-00008FE30000}"/>
    <cellStyle name="Porcentual 3 3 2 2 3 2 2 2" xfId="58238" xr:uid="{00000000-0005-0000-0000-000090E30000}"/>
    <cellStyle name="Porcentual 3 3 2 2 3 2 2 2 2" xfId="58239" xr:uid="{00000000-0005-0000-0000-000091E30000}"/>
    <cellStyle name="Porcentual 3 3 2 2 3 2 2 2 2 2" xfId="58240" xr:uid="{00000000-0005-0000-0000-000092E30000}"/>
    <cellStyle name="Porcentual 3 3 2 2 3 2 2 2 3" xfId="58241" xr:uid="{00000000-0005-0000-0000-000093E30000}"/>
    <cellStyle name="Porcentual 3 3 2 2 3 2 2 2 4" xfId="58242" xr:uid="{00000000-0005-0000-0000-000094E30000}"/>
    <cellStyle name="Porcentual 3 3 2 2 3 2 2 3" xfId="58243" xr:uid="{00000000-0005-0000-0000-000095E30000}"/>
    <cellStyle name="Porcentual 3 3 2 2 3 2 2 3 2" xfId="58244" xr:uid="{00000000-0005-0000-0000-000096E30000}"/>
    <cellStyle name="Porcentual 3 3 2 2 3 2 2 4" xfId="58245" xr:uid="{00000000-0005-0000-0000-000097E30000}"/>
    <cellStyle name="Porcentual 3 3 2 2 3 2 2 5" xfId="58246" xr:uid="{00000000-0005-0000-0000-000098E30000}"/>
    <cellStyle name="Porcentual 3 3 2 2 3 2 3" xfId="58247" xr:uid="{00000000-0005-0000-0000-000099E30000}"/>
    <cellStyle name="Porcentual 3 3 2 2 3 2 3 2" xfId="58248" xr:uid="{00000000-0005-0000-0000-00009AE30000}"/>
    <cellStyle name="Porcentual 3 3 2 2 3 2 3 2 2" xfId="58249" xr:uid="{00000000-0005-0000-0000-00009BE30000}"/>
    <cellStyle name="Porcentual 3 3 2 2 3 2 3 3" xfId="58250" xr:uid="{00000000-0005-0000-0000-00009CE30000}"/>
    <cellStyle name="Porcentual 3 3 2 2 3 2 3 4" xfId="58251" xr:uid="{00000000-0005-0000-0000-00009DE30000}"/>
    <cellStyle name="Porcentual 3 3 2 2 3 2 4" xfId="58252" xr:uid="{00000000-0005-0000-0000-00009EE30000}"/>
    <cellStyle name="Porcentual 3 3 2 2 3 2 4 2" xfId="58253" xr:uid="{00000000-0005-0000-0000-00009FE30000}"/>
    <cellStyle name="Porcentual 3 3 2 2 3 2 5" xfId="58254" xr:uid="{00000000-0005-0000-0000-0000A0E30000}"/>
    <cellStyle name="Porcentual 3 3 2 2 3 2 6" xfId="58255" xr:uid="{00000000-0005-0000-0000-0000A1E30000}"/>
    <cellStyle name="Porcentual 3 3 2 2 3 3" xfId="58256" xr:uid="{00000000-0005-0000-0000-0000A2E30000}"/>
    <cellStyle name="Porcentual 3 3 2 2 3 3 2" xfId="58257" xr:uid="{00000000-0005-0000-0000-0000A3E30000}"/>
    <cellStyle name="Porcentual 3 3 2 2 3 3 2 2" xfId="58258" xr:uid="{00000000-0005-0000-0000-0000A4E30000}"/>
    <cellStyle name="Porcentual 3 3 2 2 3 3 2 2 2" xfId="58259" xr:uid="{00000000-0005-0000-0000-0000A5E30000}"/>
    <cellStyle name="Porcentual 3 3 2 2 3 3 2 3" xfId="58260" xr:uid="{00000000-0005-0000-0000-0000A6E30000}"/>
    <cellStyle name="Porcentual 3 3 2 2 3 3 2 4" xfId="58261" xr:uid="{00000000-0005-0000-0000-0000A7E30000}"/>
    <cellStyle name="Porcentual 3 3 2 2 3 3 3" xfId="58262" xr:uid="{00000000-0005-0000-0000-0000A8E30000}"/>
    <cellStyle name="Porcentual 3 3 2 2 3 3 3 2" xfId="58263" xr:uid="{00000000-0005-0000-0000-0000A9E30000}"/>
    <cellStyle name="Porcentual 3 3 2 2 3 3 4" xfId="58264" xr:uid="{00000000-0005-0000-0000-0000AAE30000}"/>
    <cellStyle name="Porcentual 3 3 2 2 3 3 5" xfId="58265" xr:uid="{00000000-0005-0000-0000-0000ABE30000}"/>
    <cellStyle name="Porcentual 3 3 2 2 3 4" xfId="58266" xr:uid="{00000000-0005-0000-0000-0000ACE30000}"/>
    <cellStyle name="Porcentual 3 3 2 2 3 4 2" xfId="58267" xr:uid="{00000000-0005-0000-0000-0000ADE30000}"/>
    <cellStyle name="Porcentual 3 3 2 2 3 4 2 2" xfId="58268" xr:uid="{00000000-0005-0000-0000-0000AEE30000}"/>
    <cellStyle name="Porcentual 3 3 2 2 3 4 3" xfId="58269" xr:uid="{00000000-0005-0000-0000-0000AFE30000}"/>
    <cellStyle name="Porcentual 3 3 2 2 3 4 4" xfId="58270" xr:uid="{00000000-0005-0000-0000-0000B0E30000}"/>
    <cellStyle name="Porcentual 3 3 2 2 3 5" xfId="58271" xr:uid="{00000000-0005-0000-0000-0000B1E30000}"/>
    <cellStyle name="Porcentual 3 3 2 2 3 5 2" xfId="58272" xr:uid="{00000000-0005-0000-0000-0000B2E30000}"/>
    <cellStyle name="Porcentual 3 3 2 2 3 6" xfId="58273" xr:uid="{00000000-0005-0000-0000-0000B3E30000}"/>
    <cellStyle name="Porcentual 3 3 2 2 3 7" xfId="58274" xr:uid="{00000000-0005-0000-0000-0000B4E30000}"/>
    <cellStyle name="Porcentual 3 3 2 2 4" xfId="58275" xr:uid="{00000000-0005-0000-0000-0000B5E30000}"/>
    <cellStyle name="Porcentual 3 3 2 2 4 2" xfId="58276" xr:uid="{00000000-0005-0000-0000-0000B6E30000}"/>
    <cellStyle name="Porcentual 3 3 2 2 4 2 2" xfId="58277" xr:uid="{00000000-0005-0000-0000-0000B7E30000}"/>
    <cellStyle name="Porcentual 3 3 2 2 4 2 2 2" xfId="58278" xr:uid="{00000000-0005-0000-0000-0000B8E30000}"/>
    <cellStyle name="Porcentual 3 3 2 2 4 2 2 2 2" xfId="58279" xr:uid="{00000000-0005-0000-0000-0000B9E30000}"/>
    <cellStyle name="Porcentual 3 3 2 2 4 2 2 3" xfId="58280" xr:uid="{00000000-0005-0000-0000-0000BAE30000}"/>
    <cellStyle name="Porcentual 3 3 2 2 4 2 2 4" xfId="58281" xr:uid="{00000000-0005-0000-0000-0000BBE30000}"/>
    <cellStyle name="Porcentual 3 3 2 2 4 2 3" xfId="58282" xr:uid="{00000000-0005-0000-0000-0000BCE30000}"/>
    <cellStyle name="Porcentual 3 3 2 2 4 2 3 2" xfId="58283" xr:uid="{00000000-0005-0000-0000-0000BDE30000}"/>
    <cellStyle name="Porcentual 3 3 2 2 4 2 4" xfId="58284" xr:uid="{00000000-0005-0000-0000-0000BEE30000}"/>
    <cellStyle name="Porcentual 3 3 2 2 4 2 5" xfId="58285" xr:uid="{00000000-0005-0000-0000-0000BFE30000}"/>
    <cellStyle name="Porcentual 3 3 2 2 4 3" xfId="58286" xr:uid="{00000000-0005-0000-0000-0000C0E30000}"/>
    <cellStyle name="Porcentual 3 3 2 2 4 3 2" xfId="58287" xr:uid="{00000000-0005-0000-0000-0000C1E30000}"/>
    <cellStyle name="Porcentual 3 3 2 2 4 3 2 2" xfId="58288" xr:uid="{00000000-0005-0000-0000-0000C2E30000}"/>
    <cellStyle name="Porcentual 3 3 2 2 4 3 3" xfId="58289" xr:uid="{00000000-0005-0000-0000-0000C3E30000}"/>
    <cellStyle name="Porcentual 3 3 2 2 4 3 3 2" xfId="58290" xr:uid="{00000000-0005-0000-0000-0000C4E30000}"/>
    <cellStyle name="Porcentual 3 3 2 2 4 3 4" xfId="58291" xr:uid="{00000000-0005-0000-0000-0000C5E30000}"/>
    <cellStyle name="Porcentual 3 3 2 2 4 3 5" xfId="58292" xr:uid="{00000000-0005-0000-0000-0000C6E30000}"/>
    <cellStyle name="Porcentual 3 3 2 2 4 4" xfId="58293" xr:uid="{00000000-0005-0000-0000-0000C7E30000}"/>
    <cellStyle name="Porcentual 3 3 2 2 4 4 2" xfId="58294" xr:uid="{00000000-0005-0000-0000-0000C8E30000}"/>
    <cellStyle name="Porcentual 3 3 2 2 4 5" xfId="58295" xr:uid="{00000000-0005-0000-0000-0000C9E30000}"/>
    <cellStyle name="Porcentual 3 3 2 2 4 5 2" xfId="58296" xr:uid="{00000000-0005-0000-0000-0000CAE30000}"/>
    <cellStyle name="Porcentual 3 3 2 2 4 6" xfId="58297" xr:uid="{00000000-0005-0000-0000-0000CBE30000}"/>
    <cellStyle name="Porcentual 3 3 2 2 4 7" xfId="58298" xr:uid="{00000000-0005-0000-0000-0000CCE30000}"/>
    <cellStyle name="Porcentual 3 3 2 2 5" xfId="58299" xr:uid="{00000000-0005-0000-0000-0000CDE30000}"/>
    <cellStyle name="Porcentual 3 3 2 2 5 2" xfId="58300" xr:uid="{00000000-0005-0000-0000-0000CEE30000}"/>
    <cellStyle name="Porcentual 3 3 2 2 5 2 2" xfId="58301" xr:uid="{00000000-0005-0000-0000-0000CFE30000}"/>
    <cellStyle name="Porcentual 3 3 2 2 5 2 2 2" xfId="58302" xr:uid="{00000000-0005-0000-0000-0000D0E30000}"/>
    <cellStyle name="Porcentual 3 3 2 2 5 2 3" xfId="58303" xr:uid="{00000000-0005-0000-0000-0000D1E30000}"/>
    <cellStyle name="Porcentual 3 3 2 2 5 2 4" xfId="58304" xr:uid="{00000000-0005-0000-0000-0000D2E30000}"/>
    <cellStyle name="Porcentual 3 3 2 2 5 3" xfId="58305" xr:uid="{00000000-0005-0000-0000-0000D3E30000}"/>
    <cellStyle name="Porcentual 3 3 2 2 5 3 2" xfId="58306" xr:uid="{00000000-0005-0000-0000-0000D4E30000}"/>
    <cellStyle name="Porcentual 3 3 2 2 5 4" xfId="58307" xr:uid="{00000000-0005-0000-0000-0000D5E30000}"/>
    <cellStyle name="Porcentual 3 3 2 2 5 5" xfId="58308" xr:uid="{00000000-0005-0000-0000-0000D6E30000}"/>
    <cellStyle name="Porcentual 3 3 2 2 6" xfId="58309" xr:uid="{00000000-0005-0000-0000-0000D7E30000}"/>
    <cellStyle name="Porcentual 3 3 2 2 6 2" xfId="58310" xr:uid="{00000000-0005-0000-0000-0000D8E30000}"/>
    <cellStyle name="Porcentual 3 3 2 2 6 2 2" xfId="58311" xr:uid="{00000000-0005-0000-0000-0000D9E30000}"/>
    <cellStyle name="Porcentual 3 3 2 2 6 3" xfId="58312" xr:uid="{00000000-0005-0000-0000-0000DAE30000}"/>
    <cellStyle name="Porcentual 3 3 2 2 6 3 2" xfId="58313" xr:uid="{00000000-0005-0000-0000-0000DBE30000}"/>
    <cellStyle name="Porcentual 3 3 2 2 6 4" xfId="58314" xr:uid="{00000000-0005-0000-0000-0000DCE30000}"/>
    <cellStyle name="Porcentual 3 3 2 2 6 5" xfId="58315" xr:uid="{00000000-0005-0000-0000-0000DDE30000}"/>
    <cellStyle name="Porcentual 3 3 2 2 7" xfId="58316" xr:uid="{00000000-0005-0000-0000-0000DEE30000}"/>
    <cellStyle name="Porcentual 3 3 2 2 7 2" xfId="58317" xr:uid="{00000000-0005-0000-0000-0000DFE30000}"/>
    <cellStyle name="Porcentual 3 3 2 2 8" xfId="58318" xr:uid="{00000000-0005-0000-0000-0000E0E30000}"/>
    <cellStyle name="Porcentual 3 3 2 2 8 2" xfId="58319" xr:uid="{00000000-0005-0000-0000-0000E1E30000}"/>
    <cellStyle name="Porcentual 3 3 2 2 9" xfId="58320" xr:uid="{00000000-0005-0000-0000-0000E2E30000}"/>
    <cellStyle name="Porcentual 3 3 2 3" xfId="58321" xr:uid="{00000000-0005-0000-0000-0000E3E30000}"/>
    <cellStyle name="Porcentual 3 3 2 3 2" xfId="58322" xr:uid="{00000000-0005-0000-0000-0000E4E30000}"/>
    <cellStyle name="Porcentual 3 3 2 3 2 2" xfId="58323" xr:uid="{00000000-0005-0000-0000-0000E5E30000}"/>
    <cellStyle name="Porcentual 3 3 2 3 2 2 2" xfId="58324" xr:uid="{00000000-0005-0000-0000-0000E6E30000}"/>
    <cellStyle name="Porcentual 3 3 2 3 2 2 2 2" xfId="58325" xr:uid="{00000000-0005-0000-0000-0000E7E30000}"/>
    <cellStyle name="Porcentual 3 3 2 3 2 2 2 2 2" xfId="58326" xr:uid="{00000000-0005-0000-0000-0000E8E30000}"/>
    <cellStyle name="Porcentual 3 3 2 3 2 2 2 2 2 2" xfId="58327" xr:uid="{00000000-0005-0000-0000-0000E9E30000}"/>
    <cellStyle name="Porcentual 3 3 2 3 2 2 2 2 3" xfId="58328" xr:uid="{00000000-0005-0000-0000-0000EAE30000}"/>
    <cellStyle name="Porcentual 3 3 2 3 2 2 2 2 4" xfId="58329" xr:uid="{00000000-0005-0000-0000-0000EBE30000}"/>
    <cellStyle name="Porcentual 3 3 2 3 2 2 2 3" xfId="58330" xr:uid="{00000000-0005-0000-0000-0000ECE30000}"/>
    <cellStyle name="Porcentual 3 3 2 3 2 2 2 3 2" xfId="58331" xr:uid="{00000000-0005-0000-0000-0000EDE30000}"/>
    <cellStyle name="Porcentual 3 3 2 3 2 2 2 4" xfId="58332" xr:uid="{00000000-0005-0000-0000-0000EEE30000}"/>
    <cellStyle name="Porcentual 3 3 2 3 2 2 2 5" xfId="58333" xr:uid="{00000000-0005-0000-0000-0000EFE30000}"/>
    <cellStyle name="Porcentual 3 3 2 3 2 2 3" xfId="58334" xr:uid="{00000000-0005-0000-0000-0000F0E30000}"/>
    <cellStyle name="Porcentual 3 3 2 3 2 2 3 2" xfId="58335" xr:uid="{00000000-0005-0000-0000-0000F1E30000}"/>
    <cellStyle name="Porcentual 3 3 2 3 2 2 3 2 2" xfId="58336" xr:uid="{00000000-0005-0000-0000-0000F2E30000}"/>
    <cellStyle name="Porcentual 3 3 2 3 2 2 3 3" xfId="58337" xr:uid="{00000000-0005-0000-0000-0000F3E30000}"/>
    <cellStyle name="Porcentual 3 3 2 3 2 2 3 4" xfId="58338" xr:uid="{00000000-0005-0000-0000-0000F4E30000}"/>
    <cellStyle name="Porcentual 3 3 2 3 2 2 4" xfId="58339" xr:uid="{00000000-0005-0000-0000-0000F5E30000}"/>
    <cellStyle name="Porcentual 3 3 2 3 2 2 4 2" xfId="58340" xr:uid="{00000000-0005-0000-0000-0000F6E30000}"/>
    <cellStyle name="Porcentual 3 3 2 3 2 2 5" xfId="58341" xr:uid="{00000000-0005-0000-0000-0000F7E30000}"/>
    <cellStyle name="Porcentual 3 3 2 3 2 2 6" xfId="58342" xr:uid="{00000000-0005-0000-0000-0000F8E30000}"/>
    <cellStyle name="Porcentual 3 3 2 3 2 3" xfId="58343" xr:uid="{00000000-0005-0000-0000-0000F9E30000}"/>
    <cellStyle name="Porcentual 3 3 2 3 2 3 2" xfId="58344" xr:uid="{00000000-0005-0000-0000-0000FAE30000}"/>
    <cellStyle name="Porcentual 3 3 2 3 2 3 2 2" xfId="58345" xr:uid="{00000000-0005-0000-0000-0000FBE30000}"/>
    <cellStyle name="Porcentual 3 3 2 3 2 3 2 2 2" xfId="58346" xr:uid="{00000000-0005-0000-0000-0000FCE30000}"/>
    <cellStyle name="Porcentual 3 3 2 3 2 3 2 3" xfId="58347" xr:uid="{00000000-0005-0000-0000-0000FDE30000}"/>
    <cellStyle name="Porcentual 3 3 2 3 2 3 2 4" xfId="58348" xr:uid="{00000000-0005-0000-0000-0000FEE30000}"/>
    <cellStyle name="Porcentual 3 3 2 3 2 3 3" xfId="58349" xr:uid="{00000000-0005-0000-0000-0000FFE30000}"/>
    <cellStyle name="Porcentual 3 3 2 3 2 3 3 2" xfId="58350" xr:uid="{00000000-0005-0000-0000-000000E40000}"/>
    <cellStyle name="Porcentual 3 3 2 3 2 3 4" xfId="58351" xr:uid="{00000000-0005-0000-0000-000001E40000}"/>
    <cellStyle name="Porcentual 3 3 2 3 2 3 5" xfId="58352" xr:uid="{00000000-0005-0000-0000-000002E40000}"/>
    <cellStyle name="Porcentual 3 3 2 3 2 4" xfId="58353" xr:uid="{00000000-0005-0000-0000-000003E40000}"/>
    <cellStyle name="Porcentual 3 3 2 3 2 4 2" xfId="58354" xr:uid="{00000000-0005-0000-0000-000004E40000}"/>
    <cellStyle name="Porcentual 3 3 2 3 2 4 2 2" xfId="58355" xr:uid="{00000000-0005-0000-0000-000005E40000}"/>
    <cellStyle name="Porcentual 3 3 2 3 2 4 3" xfId="58356" xr:uid="{00000000-0005-0000-0000-000006E40000}"/>
    <cellStyle name="Porcentual 3 3 2 3 2 4 4" xfId="58357" xr:uid="{00000000-0005-0000-0000-000007E40000}"/>
    <cellStyle name="Porcentual 3 3 2 3 2 5" xfId="58358" xr:uid="{00000000-0005-0000-0000-000008E40000}"/>
    <cellStyle name="Porcentual 3 3 2 3 2 5 2" xfId="58359" xr:uid="{00000000-0005-0000-0000-000009E40000}"/>
    <cellStyle name="Porcentual 3 3 2 3 2 6" xfId="58360" xr:uid="{00000000-0005-0000-0000-00000AE40000}"/>
    <cellStyle name="Porcentual 3 3 2 3 2 7" xfId="58361" xr:uid="{00000000-0005-0000-0000-00000BE40000}"/>
    <cellStyle name="Porcentual 3 3 2 3 3" xfId="58362" xr:uid="{00000000-0005-0000-0000-00000CE40000}"/>
    <cellStyle name="Porcentual 3 3 2 3 3 2" xfId="58363" xr:uid="{00000000-0005-0000-0000-00000DE40000}"/>
    <cellStyle name="Porcentual 3 3 2 3 3 2 2" xfId="58364" xr:uid="{00000000-0005-0000-0000-00000EE40000}"/>
    <cellStyle name="Porcentual 3 3 2 3 3 2 2 2" xfId="58365" xr:uid="{00000000-0005-0000-0000-00000FE40000}"/>
    <cellStyle name="Porcentual 3 3 2 3 3 2 2 2 2" xfId="58366" xr:uid="{00000000-0005-0000-0000-000010E40000}"/>
    <cellStyle name="Porcentual 3 3 2 3 3 2 2 3" xfId="58367" xr:uid="{00000000-0005-0000-0000-000011E40000}"/>
    <cellStyle name="Porcentual 3 3 2 3 3 2 2 4" xfId="58368" xr:uid="{00000000-0005-0000-0000-000012E40000}"/>
    <cellStyle name="Porcentual 3 3 2 3 3 2 3" xfId="58369" xr:uid="{00000000-0005-0000-0000-000013E40000}"/>
    <cellStyle name="Porcentual 3 3 2 3 3 2 3 2" xfId="58370" xr:uid="{00000000-0005-0000-0000-000014E40000}"/>
    <cellStyle name="Porcentual 3 3 2 3 3 2 4" xfId="58371" xr:uid="{00000000-0005-0000-0000-000015E40000}"/>
    <cellStyle name="Porcentual 3 3 2 3 3 2 5" xfId="58372" xr:uid="{00000000-0005-0000-0000-000016E40000}"/>
    <cellStyle name="Porcentual 3 3 2 3 3 3" xfId="58373" xr:uid="{00000000-0005-0000-0000-000017E40000}"/>
    <cellStyle name="Porcentual 3 3 2 3 3 3 2" xfId="58374" xr:uid="{00000000-0005-0000-0000-000018E40000}"/>
    <cellStyle name="Porcentual 3 3 2 3 3 3 2 2" xfId="58375" xr:uid="{00000000-0005-0000-0000-000019E40000}"/>
    <cellStyle name="Porcentual 3 3 2 3 3 3 3" xfId="58376" xr:uid="{00000000-0005-0000-0000-00001AE40000}"/>
    <cellStyle name="Porcentual 3 3 2 3 3 3 3 2" xfId="58377" xr:uid="{00000000-0005-0000-0000-00001BE40000}"/>
    <cellStyle name="Porcentual 3 3 2 3 3 3 4" xfId="58378" xr:uid="{00000000-0005-0000-0000-00001CE40000}"/>
    <cellStyle name="Porcentual 3 3 2 3 3 3 5" xfId="58379" xr:uid="{00000000-0005-0000-0000-00001DE40000}"/>
    <cellStyle name="Porcentual 3 3 2 3 3 4" xfId="58380" xr:uid="{00000000-0005-0000-0000-00001EE40000}"/>
    <cellStyle name="Porcentual 3 3 2 3 3 4 2" xfId="58381" xr:uid="{00000000-0005-0000-0000-00001FE40000}"/>
    <cellStyle name="Porcentual 3 3 2 3 3 5" xfId="58382" xr:uid="{00000000-0005-0000-0000-000020E40000}"/>
    <cellStyle name="Porcentual 3 3 2 3 3 5 2" xfId="58383" xr:uid="{00000000-0005-0000-0000-000021E40000}"/>
    <cellStyle name="Porcentual 3 3 2 3 3 6" xfId="58384" xr:uid="{00000000-0005-0000-0000-000022E40000}"/>
    <cellStyle name="Porcentual 3 3 2 3 3 7" xfId="58385" xr:uid="{00000000-0005-0000-0000-000023E40000}"/>
    <cellStyle name="Porcentual 3 3 2 3 4" xfId="58386" xr:uid="{00000000-0005-0000-0000-000024E40000}"/>
    <cellStyle name="Porcentual 3 3 2 3 4 2" xfId="58387" xr:uid="{00000000-0005-0000-0000-000025E40000}"/>
    <cellStyle name="Porcentual 3 3 2 3 4 2 2" xfId="58388" xr:uid="{00000000-0005-0000-0000-000026E40000}"/>
    <cellStyle name="Porcentual 3 3 2 3 4 2 2 2" xfId="58389" xr:uid="{00000000-0005-0000-0000-000027E40000}"/>
    <cellStyle name="Porcentual 3 3 2 3 4 2 3" xfId="58390" xr:uid="{00000000-0005-0000-0000-000028E40000}"/>
    <cellStyle name="Porcentual 3 3 2 3 4 2 4" xfId="58391" xr:uid="{00000000-0005-0000-0000-000029E40000}"/>
    <cellStyle name="Porcentual 3 3 2 3 4 3" xfId="58392" xr:uid="{00000000-0005-0000-0000-00002AE40000}"/>
    <cellStyle name="Porcentual 3 3 2 3 4 3 2" xfId="58393" xr:uid="{00000000-0005-0000-0000-00002BE40000}"/>
    <cellStyle name="Porcentual 3 3 2 3 4 4" xfId="58394" xr:uid="{00000000-0005-0000-0000-00002CE40000}"/>
    <cellStyle name="Porcentual 3 3 2 3 4 5" xfId="58395" xr:uid="{00000000-0005-0000-0000-00002DE40000}"/>
    <cellStyle name="Porcentual 3 3 2 3 5" xfId="58396" xr:uid="{00000000-0005-0000-0000-00002EE40000}"/>
    <cellStyle name="Porcentual 3 3 2 3 5 2" xfId="58397" xr:uid="{00000000-0005-0000-0000-00002FE40000}"/>
    <cellStyle name="Porcentual 3 3 2 3 5 2 2" xfId="58398" xr:uid="{00000000-0005-0000-0000-000030E40000}"/>
    <cellStyle name="Porcentual 3 3 2 3 5 3" xfId="58399" xr:uid="{00000000-0005-0000-0000-000031E40000}"/>
    <cellStyle name="Porcentual 3 3 2 3 5 3 2" xfId="58400" xr:uid="{00000000-0005-0000-0000-000032E40000}"/>
    <cellStyle name="Porcentual 3 3 2 3 5 4" xfId="58401" xr:uid="{00000000-0005-0000-0000-000033E40000}"/>
    <cellStyle name="Porcentual 3 3 2 3 5 5" xfId="58402" xr:uid="{00000000-0005-0000-0000-000034E40000}"/>
    <cellStyle name="Porcentual 3 3 2 3 6" xfId="58403" xr:uid="{00000000-0005-0000-0000-000035E40000}"/>
    <cellStyle name="Porcentual 3 3 2 3 6 2" xfId="58404" xr:uid="{00000000-0005-0000-0000-000036E40000}"/>
    <cellStyle name="Porcentual 3 3 2 3 7" xfId="58405" xr:uid="{00000000-0005-0000-0000-000037E40000}"/>
    <cellStyle name="Porcentual 3 3 2 3 7 2" xfId="58406" xr:uid="{00000000-0005-0000-0000-000038E40000}"/>
    <cellStyle name="Porcentual 3 3 2 3 8" xfId="58407" xr:uid="{00000000-0005-0000-0000-000039E40000}"/>
    <cellStyle name="Porcentual 3 3 2 3 9" xfId="58408" xr:uid="{00000000-0005-0000-0000-00003AE40000}"/>
    <cellStyle name="Porcentual 3 3 2 4" xfId="58409" xr:uid="{00000000-0005-0000-0000-00003BE40000}"/>
    <cellStyle name="Porcentual 3 3 2 4 2" xfId="58410" xr:uid="{00000000-0005-0000-0000-00003CE40000}"/>
    <cellStyle name="Porcentual 3 3 2 4 2 2" xfId="58411" xr:uid="{00000000-0005-0000-0000-00003DE40000}"/>
    <cellStyle name="Porcentual 3 3 2 4 2 2 2" xfId="58412" xr:uid="{00000000-0005-0000-0000-00003EE40000}"/>
    <cellStyle name="Porcentual 3 3 2 4 2 2 2 2" xfId="58413" xr:uid="{00000000-0005-0000-0000-00003FE40000}"/>
    <cellStyle name="Porcentual 3 3 2 4 2 2 2 2 2" xfId="58414" xr:uid="{00000000-0005-0000-0000-000040E40000}"/>
    <cellStyle name="Porcentual 3 3 2 4 2 2 2 3" xfId="58415" xr:uid="{00000000-0005-0000-0000-000041E40000}"/>
    <cellStyle name="Porcentual 3 3 2 4 2 2 2 4" xfId="58416" xr:uid="{00000000-0005-0000-0000-000042E40000}"/>
    <cellStyle name="Porcentual 3 3 2 4 2 2 3" xfId="58417" xr:uid="{00000000-0005-0000-0000-000043E40000}"/>
    <cellStyle name="Porcentual 3 3 2 4 2 2 3 2" xfId="58418" xr:uid="{00000000-0005-0000-0000-000044E40000}"/>
    <cellStyle name="Porcentual 3 3 2 4 2 2 4" xfId="58419" xr:uid="{00000000-0005-0000-0000-000045E40000}"/>
    <cellStyle name="Porcentual 3 3 2 4 2 2 5" xfId="58420" xr:uid="{00000000-0005-0000-0000-000046E40000}"/>
    <cellStyle name="Porcentual 3 3 2 4 2 3" xfId="58421" xr:uid="{00000000-0005-0000-0000-000047E40000}"/>
    <cellStyle name="Porcentual 3 3 2 4 2 3 2" xfId="58422" xr:uid="{00000000-0005-0000-0000-000048E40000}"/>
    <cellStyle name="Porcentual 3 3 2 4 2 3 2 2" xfId="58423" xr:uid="{00000000-0005-0000-0000-000049E40000}"/>
    <cellStyle name="Porcentual 3 3 2 4 2 3 3" xfId="58424" xr:uid="{00000000-0005-0000-0000-00004AE40000}"/>
    <cellStyle name="Porcentual 3 3 2 4 2 3 3 2" xfId="58425" xr:uid="{00000000-0005-0000-0000-00004BE40000}"/>
    <cellStyle name="Porcentual 3 3 2 4 2 3 4" xfId="58426" xr:uid="{00000000-0005-0000-0000-00004CE40000}"/>
    <cellStyle name="Porcentual 3 3 2 4 2 3 5" xfId="58427" xr:uid="{00000000-0005-0000-0000-00004DE40000}"/>
    <cellStyle name="Porcentual 3 3 2 4 2 4" xfId="58428" xr:uid="{00000000-0005-0000-0000-00004EE40000}"/>
    <cellStyle name="Porcentual 3 3 2 4 2 4 2" xfId="58429" xr:uid="{00000000-0005-0000-0000-00004FE40000}"/>
    <cellStyle name="Porcentual 3 3 2 4 2 5" xfId="58430" xr:uid="{00000000-0005-0000-0000-000050E40000}"/>
    <cellStyle name="Porcentual 3 3 2 4 2 5 2" xfId="58431" xr:uid="{00000000-0005-0000-0000-000051E40000}"/>
    <cellStyle name="Porcentual 3 3 2 4 2 6" xfId="58432" xr:uid="{00000000-0005-0000-0000-000052E40000}"/>
    <cellStyle name="Porcentual 3 3 2 4 2 7" xfId="58433" xr:uid="{00000000-0005-0000-0000-000053E40000}"/>
    <cellStyle name="Porcentual 3 3 2 4 3" xfId="58434" xr:uid="{00000000-0005-0000-0000-000054E40000}"/>
    <cellStyle name="Porcentual 3 3 2 4 3 2" xfId="58435" xr:uid="{00000000-0005-0000-0000-000055E40000}"/>
    <cellStyle name="Porcentual 3 3 2 4 3 2 2" xfId="58436" xr:uid="{00000000-0005-0000-0000-000056E40000}"/>
    <cellStyle name="Porcentual 3 3 2 4 3 2 2 2" xfId="58437" xr:uid="{00000000-0005-0000-0000-000057E40000}"/>
    <cellStyle name="Porcentual 3 3 2 4 3 2 3" xfId="58438" xr:uid="{00000000-0005-0000-0000-000058E40000}"/>
    <cellStyle name="Porcentual 3 3 2 4 3 2 4" xfId="58439" xr:uid="{00000000-0005-0000-0000-000059E40000}"/>
    <cellStyle name="Porcentual 3 3 2 4 3 3" xfId="58440" xr:uid="{00000000-0005-0000-0000-00005AE40000}"/>
    <cellStyle name="Porcentual 3 3 2 4 3 3 2" xfId="58441" xr:uid="{00000000-0005-0000-0000-00005BE40000}"/>
    <cellStyle name="Porcentual 3 3 2 4 3 4" xfId="58442" xr:uid="{00000000-0005-0000-0000-00005CE40000}"/>
    <cellStyle name="Porcentual 3 3 2 4 3 5" xfId="58443" xr:uid="{00000000-0005-0000-0000-00005DE40000}"/>
    <cellStyle name="Porcentual 3 3 2 4 4" xfId="58444" xr:uid="{00000000-0005-0000-0000-00005EE40000}"/>
    <cellStyle name="Porcentual 3 3 2 4 4 2" xfId="58445" xr:uid="{00000000-0005-0000-0000-00005FE40000}"/>
    <cellStyle name="Porcentual 3 3 2 4 4 2 2" xfId="58446" xr:uid="{00000000-0005-0000-0000-000060E40000}"/>
    <cellStyle name="Porcentual 3 3 2 4 4 3" xfId="58447" xr:uid="{00000000-0005-0000-0000-000061E40000}"/>
    <cellStyle name="Porcentual 3 3 2 4 4 3 2" xfId="58448" xr:uid="{00000000-0005-0000-0000-000062E40000}"/>
    <cellStyle name="Porcentual 3 3 2 4 4 4" xfId="58449" xr:uid="{00000000-0005-0000-0000-000063E40000}"/>
    <cellStyle name="Porcentual 3 3 2 4 4 5" xfId="58450" xr:uid="{00000000-0005-0000-0000-000064E40000}"/>
    <cellStyle name="Porcentual 3 3 2 4 5" xfId="58451" xr:uid="{00000000-0005-0000-0000-000065E40000}"/>
    <cellStyle name="Porcentual 3 3 2 4 5 2" xfId="58452" xr:uid="{00000000-0005-0000-0000-000066E40000}"/>
    <cellStyle name="Porcentual 3 3 2 4 6" xfId="58453" xr:uid="{00000000-0005-0000-0000-000067E40000}"/>
    <cellStyle name="Porcentual 3 3 2 4 6 2" xfId="58454" xr:uid="{00000000-0005-0000-0000-000068E40000}"/>
    <cellStyle name="Porcentual 3 3 2 4 7" xfId="58455" xr:uid="{00000000-0005-0000-0000-000069E40000}"/>
    <cellStyle name="Porcentual 3 3 2 4 8" xfId="58456" xr:uid="{00000000-0005-0000-0000-00006AE40000}"/>
    <cellStyle name="Porcentual 3 3 2 5" xfId="58457" xr:uid="{00000000-0005-0000-0000-00006BE40000}"/>
    <cellStyle name="Porcentual 3 3 2 5 2" xfId="58458" xr:uid="{00000000-0005-0000-0000-00006CE40000}"/>
    <cellStyle name="Porcentual 3 3 2 5 2 2" xfId="58459" xr:uid="{00000000-0005-0000-0000-00006DE40000}"/>
    <cellStyle name="Porcentual 3 3 2 5 2 2 2" xfId="58460" xr:uid="{00000000-0005-0000-0000-00006EE40000}"/>
    <cellStyle name="Porcentual 3 3 2 5 2 2 2 2" xfId="58461" xr:uid="{00000000-0005-0000-0000-00006FE40000}"/>
    <cellStyle name="Porcentual 3 3 2 5 2 2 3" xfId="58462" xr:uid="{00000000-0005-0000-0000-000070E40000}"/>
    <cellStyle name="Porcentual 3 3 2 5 2 2 4" xfId="58463" xr:uid="{00000000-0005-0000-0000-000071E40000}"/>
    <cellStyle name="Porcentual 3 3 2 5 2 3" xfId="58464" xr:uid="{00000000-0005-0000-0000-000072E40000}"/>
    <cellStyle name="Porcentual 3 3 2 5 2 3 2" xfId="58465" xr:uid="{00000000-0005-0000-0000-000073E40000}"/>
    <cellStyle name="Porcentual 3 3 2 5 2 4" xfId="58466" xr:uid="{00000000-0005-0000-0000-000074E40000}"/>
    <cellStyle name="Porcentual 3 3 2 5 2 5" xfId="58467" xr:uid="{00000000-0005-0000-0000-000075E40000}"/>
    <cellStyle name="Porcentual 3 3 2 5 3" xfId="58468" xr:uid="{00000000-0005-0000-0000-000076E40000}"/>
    <cellStyle name="Porcentual 3 3 2 5 3 2" xfId="58469" xr:uid="{00000000-0005-0000-0000-000077E40000}"/>
    <cellStyle name="Porcentual 3 3 2 5 3 2 2" xfId="58470" xr:uid="{00000000-0005-0000-0000-000078E40000}"/>
    <cellStyle name="Porcentual 3 3 2 5 3 3" xfId="58471" xr:uid="{00000000-0005-0000-0000-000079E40000}"/>
    <cellStyle name="Porcentual 3 3 2 5 3 3 2" xfId="58472" xr:uid="{00000000-0005-0000-0000-00007AE40000}"/>
    <cellStyle name="Porcentual 3 3 2 5 3 4" xfId="58473" xr:uid="{00000000-0005-0000-0000-00007BE40000}"/>
    <cellStyle name="Porcentual 3 3 2 5 3 5" xfId="58474" xr:uid="{00000000-0005-0000-0000-00007CE40000}"/>
    <cellStyle name="Porcentual 3 3 2 5 4" xfId="58475" xr:uid="{00000000-0005-0000-0000-00007DE40000}"/>
    <cellStyle name="Porcentual 3 3 2 5 4 2" xfId="58476" xr:uid="{00000000-0005-0000-0000-00007EE40000}"/>
    <cellStyle name="Porcentual 3 3 2 5 5" xfId="58477" xr:uid="{00000000-0005-0000-0000-00007FE40000}"/>
    <cellStyle name="Porcentual 3 3 2 5 5 2" xfId="58478" xr:uid="{00000000-0005-0000-0000-000080E40000}"/>
    <cellStyle name="Porcentual 3 3 2 5 6" xfId="58479" xr:uid="{00000000-0005-0000-0000-000081E40000}"/>
    <cellStyle name="Porcentual 3 3 2 5 7" xfId="58480" xr:uid="{00000000-0005-0000-0000-000082E40000}"/>
    <cellStyle name="Porcentual 3 3 2 6" xfId="58481" xr:uid="{00000000-0005-0000-0000-000083E40000}"/>
    <cellStyle name="Porcentual 3 3 2 6 2" xfId="58482" xr:uid="{00000000-0005-0000-0000-000084E40000}"/>
    <cellStyle name="Porcentual 3 3 2 6 2 2" xfId="58483" xr:uid="{00000000-0005-0000-0000-000085E40000}"/>
    <cellStyle name="Porcentual 3 3 2 6 2 2 2" xfId="58484" xr:uid="{00000000-0005-0000-0000-000086E40000}"/>
    <cellStyle name="Porcentual 3 3 2 6 2 3" xfId="58485" xr:uid="{00000000-0005-0000-0000-000087E40000}"/>
    <cellStyle name="Porcentual 3 3 2 6 2 4" xfId="58486" xr:uid="{00000000-0005-0000-0000-000088E40000}"/>
    <cellStyle name="Porcentual 3 3 2 6 3" xfId="58487" xr:uid="{00000000-0005-0000-0000-000089E40000}"/>
    <cellStyle name="Porcentual 3 3 2 6 3 2" xfId="58488" xr:uid="{00000000-0005-0000-0000-00008AE40000}"/>
    <cellStyle name="Porcentual 3 3 2 6 4" xfId="58489" xr:uid="{00000000-0005-0000-0000-00008BE40000}"/>
    <cellStyle name="Porcentual 3 3 2 6 5" xfId="58490" xr:uid="{00000000-0005-0000-0000-00008CE40000}"/>
    <cellStyle name="Porcentual 3 3 2 7" xfId="58491" xr:uid="{00000000-0005-0000-0000-00008DE40000}"/>
    <cellStyle name="Porcentual 3 3 2 7 2" xfId="58492" xr:uid="{00000000-0005-0000-0000-00008EE40000}"/>
    <cellStyle name="Porcentual 3 3 2 7 2 2" xfId="58493" xr:uid="{00000000-0005-0000-0000-00008FE40000}"/>
    <cellStyle name="Porcentual 3 3 2 7 3" xfId="58494" xr:uid="{00000000-0005-0000-0000-000090E40000}"/>
    <cellStyle name="Porcentual 3 3 2 7 3 2" xfId="58495" xr:uid="{00000000-0005-0000-0000-000091E40000}"/>
    <cellStyle name="Porcentual 3 3 2 7 4" xfId="58496" xr:uid="{00000000-0005-0000-0000-000092E40000}"/>
    <cellStyle name="Porcentual 3 3 2 7 5" xfId="58497" xr:uid="{00000000-0005-0000-0000-000093E40000}"/>
    <cellStyle name="Porcentual 3 3 2 8" xfId="58498" xr:uid="{00000000-0005-0000-0000-000094E40000}"/>
    <cellStyle name="Porcentual 3 3 2 8 2" xfId="58499" xr:uid="{00000000-0005-0000-0000-000095E40000}"/>
    <cellStyle name="Porcentual 3 3 2 9" xfId="58500" xr:uid="{00000000-0005-0000-0000-000096E40000}"/>
    <cellStyle name="Porcentual 3 3 2 9 2" xfId="58501" xr:uid="{00000000-0005-0000-0000-000097E40000}"/>
    <cellStyle name="Porcentual 3 3 3" xfId="58502" xr:uid="{00000000-0005-0000-0000-000098E40000}"/>
    <cellStyle name="Porcentual 3 3 3 10" xfId="58503" xr:uid="{00000000-0005-0000-0000-000099E40000}"/>
    <cellStyle name="Porcentual 3 3 3 2" xfId="58504" xr:uid="{00000000-0005-0000-0000-00009AE40000}"/>
    <cellStyle name="Porcentual 3 3 3 2 2" xfId="58505" xr:uid="{00000000-0005-0000-0000-00009BE40000}"/>
    <cellStyle name="Porcentual 3 3 3 2 2 2" xfId="58506" xr:uid="{00000000-0005-0000-0000-00009CE40000}"/>
    <cellStyle name="Porcentual 3 3 3 2 2 2 2" xfId="58507" xr:uid="{00000000-0005-0000-0000-00009DE40000}"/>
    <cellStyle name="Porcentual 3 3 3 2 2 2 2 2" xfId="58508" xr:uid="{00000000-0005-0000-0000-00009EE40000}"/>
    <cellStyle name="Porcentual 3 3 3 2 2 2 2 2 2" xfId="58509" xr:uid="{00000000-0005-0000-0000-00009FE40000}"/>
    <cellStyle name="Porcentual 3 3 3 2 2 2 2 2 2 2" xfId="58510" xr:uid="{00000000-0005-0000-0000-0000A0E40000}"/>
    <cellStyle name="Porcentual 3 3 3 2 2 2 2 2 3" xfId="58511" xr:uid="{00000000-0005-0000-0000-0000A1E40000}"/>
    <cellStyle name="Porcentual 3 3 3 2 2 2 2 2 4" xfId="58512" xr:uid="{00000000-0005-0000-0000-0000A2E40000}"/>
    <cellStyle name="Porcentual 3 3 3 2 2 2 2 3" xfId="58513" xr:uid="{00000000-0005-0000-0000-0000A3E40000}"/>
    <cellStyle name="Porcentual 3 3 3 2 2 2 2 3 2" xfId="58514" xr:uid="{00000000-0005-0000-0000-0000A4E40000}"/>
    <cellStyle name="Porcentual 3 3 3 2 2 2 2 4" xfId="58515" xr:uid="{00000000-0005-0000-0000-0000A5E40000}"/>
    <cellStyle name="Porcentual 3 3 3 2 2 2 2 5" xfId="58516" xr:uid="{00000000-0005-0000-0000-0000A6E40000}"/>
    <cellStyle name="Porcentual 3 3 3 2 2 2 3" xfId="58517" xr:uid="{00000000-0005-0000-0000-0000A7E40000}"/>
    <cellStyle name="Porcentual 3 3 3 2 2 2 3 2" xfId="58518" xr:uid="{00000000-0005-0000-0000-0000A8E40000}"/>
    <cellStyle name="Porcentual 3 3 3 2 2 2 3 2 2" xfId="58519" xr:uid="{00000000-0005-0000-0000-0000A9E40000}"/>
    <cellStyle name="Porcentual 3 3 3 2 2 2 3 3" xfId="58520" xr:uid="{00000000-0005-0000-0000-0000AAE40000}"/>
    <cellStyle name="Porcentual 3 3 3 2 2 2 3 4" xfId="58521" xr:uid="{00000000-0005-0000-0000-0000ABE40000}"/>
    <cellStyle name="Porcentual 3 3 3 2 2 2 4" xfId="58522" xr:uid="{00000000-0005-0000-0000-0000ACE40000}"/>
    <cellStyle name="Porcentual 3 3 3 2 2 2 4 2" xfId="58523" xr:uid="{00000000-0005-0000-0000-0000ADE40000}"/>
    <cellStyle name="Porcentual 3 3 3 2 2 2 5" xfId="58524" xr:uid="{00000000-0005-0000-0000-0000AEE40000}"/>
    <cellStyle name="Porcentual 3 3 3 2 2 2 6" xfId="58525" xr:uid="{00000000-0005-0000-0000-0000AFE40000}"/>
    <cellStyle name="Porcentual 3 3 3 2 2 3" xfId="58526" xr:uid="{00000000-0005-0000-0000-0000B0E40000}"/>
    <cellStyle name="Porcentual 3 3 3 2 2 3 2" xfId="58527" xr:uid="{00000000-0005-0000-0000-0000B1E40000}"/>
    <cellStyle name="Porcentual 3 3 3 2 2 3 2 2" xfId="58528" xr:uid="{00000000-0005-0000-0000-0000B2E40000}"/>
    <cellStyle name="Porcentual 3 3 3 2 2 3 2 2 2" xfId="58529" xr:uid="{00000000-0005-0000-0000-0000B3E40000}"/>
    <cellStyle name="Porcentual 3 3 3 2 2 3 2 3" xfId="58530" xr:uid="{00000000-0005-0000-0000-0000B4E40000}"/>
    <cellStyle name="Porcentual 3 3 3 2 2 3 2 4" xfId="58531" xr:uid="{00000000-0005-0000-0000-0000B5E40000}"/>
    <cellStyle name="Porcentual 3 3 3 2 2 3 3" xfId="58532" xr:uid="{00000000-0005-0000-0000-0000B6E40000}"/>
    <cellStyle name="Porcentual 3 3 3 2 2 3 3 2" xfId="58533" xr:uid="{00000000-0005-0000-0000-0000B7E40000}"/>
    <cellStyle name="Porcentual 3 3 3 2 2 3 4" xfId="58534" xr:uid="{00000000-0005-0000-0000-0000B8E40000}"/>
    <cellStyle name="Porcentual 3 3 3 2 2 3 5" xfId="58535" xr:uid="{00000000-0005-0000-0000-0000B9E40000}"/>
    <cellStyle name="Porcentual 3 3 3 2 2 4" xfId="58536" xr:uid="{00000000-0005-0000-0000-0000BAE40000}"/>
    <cellStyle name="Porcentual 3 3 3 2 2 4 2" xfId="58537" xr:uid="{00000000-0005-0000-0000-0000BBE40000}"/>
    <cellStyle name="Porcentual 3 3 3 2 2 4 2 2" xfId="58538" xr:uid="{00000000-0005-0000-0000-0000BCE40000}"/>
    <cellStyle name="Porcentual 3 3 3 2 2 4 3" xfId="58539" xr:uid="{00000000-0005-0000-0000-0000BDE40000}"/>
    <cellStyle name="Porcentual 3 3 3 2 2 4 4" xfId="58540" xr:uid="{00000000-0005-0000-0000-0000BEE40000}"/>
    <cellStyle name="Porcentual 3 3 3 2 2 5" xfId="58541" xr:uid="{00000000-0005-0000-0000-0000BFE40000}"/>
    <cellStyle name="Porcentual 3 3 3 2 2 5 2" xfId="58542" xr:uid="{00000000-0005-0000-0000-0000C0E40000}"/>
    <cellStyle name="Porcentual 3 3 3 2 2 6" xfId="58543" xr:uid="{00000000-0005-0000-0000-0000C1E40000}"/>
    <cellStyle name="Porcentual 3 3 3 2 2 7" xfId="58544" xr:uid="{00000000-0005-0000-0000-0000C2E40000}"/>
    <cellStyle name="Porcentual 3 3 3 2 3" xfId="58545" xr:uid="{00000000-0005-0000-0000-0000C3E40000}"/>
    <cellStyle name="Porcentual 3 3 3 2 3 2" xfId="58546" xr:uid="{00000000-0005-0000-0000-0000C4E40000}"/>
    <cellStyle name="Porcentual 3 3 3 2 3 2 2" xfId="58547" xr:uid="{00000000-0005-0000-0000-0000C5E40000}"/>
    <cellStyle name="Porcentual 3 3 3 2 3 2 2 2" xfId="58548" xr:uid="{00000000-0005-0000-0000-0000C6E40000}"/>
    <cellStyle name="Porcentual 3 3 3 2 3 2 2 2 2" xfId="58549" xr:uid="{00000000-0005-0000-0000-0000C7E40000}"/>
    <cellStyle name="Porcentual 3 3 3 2 3 2 2 3" xfId="58550" xr:uid="{00000000-0005-0000-0000-0000C8E40000}"/>
    <cellStyle name="Porcentual 3 3 3 2 3 2 2 4" xfId="58551" xr:uid="{00000000-0005-0000-0000-0000C9E40000}"/>
    <cellStyle name="Porcentual 3 3 3 2 3 2 3" xfId="58552" xr:uid="{00000000-0005-0000-0000-0000CAE40000}"/>
    <cellStyle name="Porcentual 3 3 3 2 3 2 3 2" xfId="58553" xr:uid="{00000000-0005-0000-0000-0000CBE40000}"/>
    <cellStyle name="Porcentual 3 3 3 2 3 2 4" xfId="58554" xr:uid="{00000000-0005-0000-0000-0000CCE40000}"/>
    <cellStyle name="Porcentual 3 3 3 2 3 2 5" xfId="58555" xr:uid="{00000000-0005-0000-0000-0000CDE40000}"/>
    <cellStyle name="Porcentual 3 3 3 2 3 3" xfId="58556" xr:uid="{00000000-0005-0000-0000-0000CEE40000}"/>
    <cellStyle name="Porcentual 3 3 3 2 3 3 2" xfId="58557" xr:uid="{00000000-0005-0000-0000-0000CFE40000}"/>
    <cellStyle name="Porcentual 3 3 3 2 3 3 2 2" xfId="58558" xr:uid="{00000000-0005-0000-0000-0000D0E40000}"/>
    <cellStyle name="Porcentual 3 3 3 2 3 3 3" xfId="58559" xr:uid="{00000000-0005-0000-0000-0000D1E40000}"/>
    <cellStyle name="Porcentual 3 3 3 2 3 3 3 2" xfId="58560" xr:uid="{00000000-0005-0000-0000-0000D2E40000}"/>
    <cellStyle name="Porcentual 3 3 3 2 3 3 4" xfId="58561" xr:uid="{00000000-0005-0000-0000-0000D3E40000}"/>
    <cellStyle name="Porcentual 3 3 3 2 3 3 5" xfId="58562" xr:uid="{00000000-0005-0000-0000-0000D4E40000}"/>
    <cellStyle name="Porcentual 3 3 3 2 3 4" xfId="58563" xr:uid="{00000000-0005-0000-0000-0000D5E40000}"/>
    <cellStyle name="Porcentual 3 3 3 2 3 4 2" xfId="58564" xr:uid="{00000000-0005-0000-0000-0000D6E40000}"/>
    <cellStyle name="Porcentual 3 3 3 2 3 5" xfId="58565" xr:uid="{00000000-0005-0000-0000-0000D7E40000}"/>
    <cellStyle name="Porcentual 3 3 3 2 3 5 2" xfId="58566" xr:uid="{00000000-0005-0000-0000-0000D8E40000}"/>
    <cellStyle name="Porcentual 3 3 3 2 3 6" xfId="58567" xr:uid="{00000000-0005-0000-0000-0000D9E40000}"/>
    <cellStyle name="Porcentual 3 3 3 2 3 7" xfId="58568" xr:uid="{00000000-0005-0000-0000-0000DAE40000}"/>
    <cellStyle name="Porcentual 3 3 3 2 4" xfId="58569" xr:uid="{00000000-0005-0000-0000-0000DBE40000}"/>
    <cellStyle name="Porcentual 3 3 3 2 4 2" xfId="58570" xr:uid="{00000000-0005-0000-0000-0000DCE40000}"/>
    <cellStyle name="Porcentual 3 3 3 2 4 2 2" xfId="58571" xr:uid="{00000000-0005-0000-0000-0000DDE40000}"/>
    <cellStyle name="Porcentual 3 3 3 2 4 2 2 2" xfId="58572" xr:uid="{00000000-0005-0000-0000-0000DEE40000}"/>
    <cellStyle name="Porcentual 3 3 3 2 4 2 3" xfId="58573" xr:uid="{00000000-0005-0000-0000-0000DFE40000}"/>
    <cellStyle name="Porcentual 3 3 3 2 4 2 4" xfId="58574" xr:uid="{00000000-0005-0000-0000-0000E0E40000}"/>
    <cellStyle name="Porcentual 3 3 3 2 4 3" xfId="58575" xr:uid="{00000000-0005-0000-0000-0000E1E40000}"/>
    <cellStyle name="Porcentual 3 3 3 2 4 3 2" xfId="58576" xr:uid="{00000000-0005-0000-0000-0000E2E40000}"/>
    <cellStyle name="Porcentual 3 3 3 2 4 4" xfId="58577" xr:uid="{00000000-0005-0000-0000-0000E3E40000}"/>
    <cellStyle name="Porcentual 3 3 3 2 4 5" xfId="58578" xr:uid="{00000000-0005-0000-0000-0000E4E40000}"/>
    <cellStyle name="Porcentual 3 3 3 2 5" xfId="58579" xr:uid="{00000000-0005-0000-0000-0000E5E40000}"/>
    <cellStyle name="Porcentual 3 3 3 2 5 2" xfId="58580" xr:uid="{00000000-0005-0000-0000-0000E6E40000}"/>
    <cellStyle name="Porcentual 3 3 3 2 5 2 2" xfId="58581" xr:uid="{00000000-0005-0000-0000-0000E7E40000}"/>
    <cellStyle name="Porcentual 3 3 3 2 5 3" xfId="58582" xr:uid="{00000000-0005-0000-0000-0000E8E40000}"/>
    <cellStyle name="Porcentual 3 3 3 2 5 3 2" xfId="58583" xr:uid="{00000000-0005-0000-0000-0000E9E40000}"/>
    <cellStyle name="Porcentual 3 3 3 2 5 4" xfId="58584" xr:uid="{00000000-0005-0000-0000-0000EAE40000}"/>
    <cellStyle name="Porcentual 3 3 3 2 5 5" xfId="58585" xr:uid="{00000000-0005-0000-0000-0000EBE40000}"/>
    <cellStyle name="Porcentual 3 3 3 2 6" xfId="58586" xr:uid="{00000000-0005-0000-0000-0000ECE40000}"/>
    <cellStyle name="Porcentual 3 3 3 2 6 2" xfId="58587" xr:uid="{00000000-0005-0000-0000-0000EDE40000}"/>
    <cellStyle name="Porcentual 3 3 3 2 7" xfId="58588" xr:uid="{00000000-0005-0000-0000-0000EEE40000}"/>
    <cellStyle name="Porcentual 3 3 3 2 7 2" xfId="58589" xr:uid="{00000000-0005-0000-0000-0000EFE40000}"/>
    <cellStyle name="Porcentual 3 3 3 2 8" xfId="58590" xr:uid="{00000000-0005-0000-0000-0000F0E40000}"/>
    <cellStyle name="Porcentual 3 3 3 2 9" xfId="58591" xr:uid="{00000000-0005-0000-0000-0000F1E40000}"/>
    <cellStyle name="Porcentual 3 3 3 3" xfId="58592" xr:uid="{00000000-0005-0000-0000-0000F2E40000}"/>
    <cellStyle name="Porcentual 3 3 3 3 2" xfId="58593" xr:uid="{00000000-0005-0000-0000-0000F3E40000}"/>
    <cellStyle name="Porcentual 3 3 3 3 2 2" xfId="58594" xr:uid="{00000000-0005-0000-0000-0000F4E40000}"/>
    <cellStyle name="Porcentual 3 3 3 3 2 2 2" xfId="58595" xr:uid="{00000000-0005-0000-0000-0000F5E40000}"/>
    <cellStyle name="Porcentual 3 3 3 3 2 2 2 2" xfId="58596" xr:uid="{00000000-0005-0000-0000-0000F6E40000}"/>
    <cellStyle name="Porcentual 3 3 3 3 2 2 2 2 2" xfId="58597" xr:uid="{00000000-0005-0000-0000-0000F7E40000}"/>
    <cellStyle name="Porcentual 3 3 3 3 2 2 2 3" xfId="58598" xr:uid="{00000000-0005-0000-0000-0000F8E40000}"/>
    <cellStyle name="Porcentual 3 3 3 3 2 2 2 4" xfId="58599" xr:uid="{00000000-0005-0000-0000-0000F9E40000}"/>
    <cellStyle name="Porcentual 3 3 3 3 2 2 3" xfId="58600" xr:uid="{00000000-0005-0000-0000-0000FAE40000}"/>
    <cellStyle name="Porcentual 3 3 3 3 2 2 3 2" xfId="58601" xr:uid="{00000000-0005-0000-0000-0000FBE40000}"/>
    <cellStyle name="Porcentual 3 3 3 3 2 2 4" xfId="58602" xr:uid="{00000000-0005-0000-0000-0000FCE40000}"/>
    <cellStyle name="Porcentual 3 3 3 3 2 2 5" xfId="58603" xr:uid="{00000000-0005-0000-0000-0000FDE40000}"/>
    <cellStyle name="Porcentual 3 3 3 3 2 3" xfId="58604" xr:uid="{00000000-0005-0000-0000-0000FEE40000}"/>
    <cellStyle name="Porcentual 3 3 3 3 2 3 2" xfId="58605" xr:uid="{00000000-0005-0000-0000-0000FFE40000}"/>
    <cellStyle name="Porcentual 3 3 3 3 2 3 2 2" xfId="58606" xr:uid="{00000000-0005-0000-0000-000000E50000}"/>
    <cellStyle name="Porcentual 3 3 3 3 2 3 3" xfId="58607" xr:uid="{00000000-0005-0000-0000-000001E50000}"/>
    <cellStyle name="Porcentual 3 3 3 3 2 3 3 2" xfId="58608" xr:uid="{00000000-0005-0000-0000-000002E50000}"/>
    <cellStyle name="Porcentual 3 3 3 3 2 3 4" xfId="58609" xr:uid="{00000000-0005-0000-0000-000003E50000}"/>
    <cellStyle name="Porcentual 3 3 3 3 2 3 5" xfId="58610" xr:uid="{00000000-0005-0000-0000-000004E50000}"/>
    <cellStyle name="Porcentual 3 3 3 3 2 4" xfId="58611" xr:uid="{00000000-0005-0000-0000-000005E50000}"/>
    <cellStyle name="Porcentual 3 3 3 3 2 4 2" xfId="58612" xr:uid="{00000000-0005-0000-0000-000006E50000}"/>
    <cellStyle name="Porcentual 3 3 3 3 2 5" xfId="58613" xr:uid="{00000000-0005-0000-0000-000007E50000}"/>
    <cellStyle name="Porcentual 3 3 3 3 2 5 2" xfId="58614" xr:uid="{00000000-0005-0000-0000-000008E50000}"/>
    <cellStyle name="Porcentual 3 3 3 3 2 6" xfId="58615" xr:uid="{00000000-0005-0000-0000-000009E50000}"/>
    <cellStyle name="Porcentual 3 3 3 3 2 7" xfId="58616" xr:uid="{00000000-0005-0000-0000-00000AE50000}"/>
    <cellStyle name="Porcentual 3 3 3 3 3" xfId="58617" xr:uid="{00000000-0005-0000-0000-00000BE50000}"/>
    <cellStyle name="Porcentual 3 3 3 3 3 2" xfId="58618" xr:uid="{00000000-0005-0000-0000-00000CE50000}"/>
    <cellStyle name="Porcentual 3 3 3 3 3 2 2" xfId="58619" xr:uid="{00000000-0005-0000-0000-00000DE50000}"/>
    <cellStyle name="Porcentual 3 3 3 3 3 2 2 2" xfId="58620" xr:uid="{00000000-0005-0000-0000-00000EE50000}"/>
    <cellStyle name="Porcentual 3 3 3 3 3 2 3" xfId="58621" xr:uid="{00000000-0005-0000-0000-00000FE50000}"/>
    <cellStyle name="Porcentual 3 3 3 3 3 2 4" xfId="58622" xr:uid="{00000000-0005-0000-0000-000010E50000}"/>
    <cellStyle name="Porcentual 3 3 3 3 3 3" xfId="58623" xr:uid="{00000000-0005-0000-0000-000011E50000}"/>
    <cellStyle name="Porcentual 3 3 3 3 3 3 2" xfId="58624" xr:uid="{00000000-0005-0000-0000-000012E50000}"/>
    <cellStyle name="Porcentual 3 3 3 3 3 4" xfId="58625" xr:uid="{00000000-0005-0000-0000-000013E50000}"/>
    <cellStyle name="Porcentual 3 3 3 3 3 5" xfId="58626" xr:uid="{00000000-0005-0000-0000-000014E50000}"/>
    <cellStyle name="Porcentual 3 3 3 3 4" xfId="58627" xr:uid="{00000000-0005-0000-0000-000015E50000}"/>
    <cellStyle name="Porcentual 3 3 3 3 4 2" xfId="58628" xr:uid="{00000000-0005-0000-0000-000016E50000}"/>
    <cellStyle name="Porcentual 3 3 3 3 4 2 2" xfId="58629" xr:uid="{00000000-0005-0000-0000-000017E50000}"/>
    <cellStyle name="Porcentual 3 3 3 3 4 3" xfId="58630" xr:uid="{00000000-0005-0000-0000-000018E50000}"/>
    <cellStyle name="Porcentual 3 3 3 3 4 3 2" xfId="58631" xr:uid="{00000000-0005-0000-0000-000019E50000}"/>
    <cellStyle name="Porcentual 3 3 3 3 4 4" xfId="58632" xr:uid="{00000000-0005-0000-0000-00001AE50000}"/>
    <cellStyle name="Porcentual 3 3 3 3 4 5" xfId="58633" xr:uid="{00000000-0005-0000-0000-00001BE50000}"/>
    <cellStyle name="Porcentual 3 3 3 3 5" xfId="58634" xr:uid="{00000000-0005-0000-0000-00001CE50000}"/>
    <cellStyle name="Porcentual 3 3 3 3 5 2" xfId="58635" xr:uid="{00000000-0005-0000-0000-00001DE50000}"/>
    <cellStyle name="Porcentual 3 3 3 3 6" xfId="58636" xr:uid="{00000000-0005-0000-0000-00001EE50000}"/>
    <cellStyle name="Porcentual 3 3 3 3 6 2" xfId="58637" xr:uid="{00000000-0005-0000-0000-00001FE50000}"/>
    <cellStyle name="Porcentual 3 3 3 3 7" xfId="58638" xr:uid="{00000000-0005-0000-0000-000020E50000}"/>
    <cellStyle name="Porcentual 3 3 3 3 8" xfId="58639" xr:uid="{00000000-0005-0000-0000-000021E50000}"/>
    <cellStyle name="Porcentual 3 3 3 4" xfId="58640" xr:uid="{00000000-0005-0000-0000-000022E50000}"/>
    <cellStyle name="Porcentual 3 3 3 4 2" xfId="58641" xr:uid="{00000000-0005-0000-0000-000023E50000}"/>
    <cellStyle name="Porcentual 3 3 3 4 2 2" xfId="58642" xr:uid="{00000000-0005-0000-0000-000024E50000}"/>
    <cellStyle name="Porcentual 3 3 3 4 2 2 2" xfId="58643" xr:uid="{00000000-0005-0000-0000-000025E50000}"/>
    <cellStyle name="Porcentual 3 3 3 4 2 2 2 2" xfId="58644" xr:uid="{00000000-0005-0000-0000-000026E50000}"/>
    <cellStyle name="Porcentual 3 3 3 4 2 2 3" xfId="58645" xr:uid="{00000000-0005-0000-0000-000027E50000}"/>
    <cellStyle name="Porcentual 3 3 3 4 2 2 4" xfId="58646" xr:uid="{00000000-0005-0000-0000-000028E50000}"/>
    <cellStyle name="Porcentual 3 3 3 4 2 3" xfId="58647" xr:uid="{00000000-0005-0000-0000-000029E50000}"/>
    <cellStyle name="Porcentual 3 3 3 4 2 3 2" xfId="58648" xr:uid="{00000000-0005-0000-0000-00002AE50000}"/>
    <cellStyle name="Porcentual 3 3 3 4 2 4" xfId="58649" xr:uid="{00000000-0005-0000-0000-00002BE50000}"/>
    <cellStyle name="Porcentual 3 3 3 4 2 5" xfId="58650" xr:uid="{00000000-0005-0000-0000-00002CE50000}"/>
    <cellStyle name="Porcentual 3 3 3 4 3" xfId="58651" xr:uid="{00000000-0005-0000-0000-00002DE50000}"/>
    <cellStyle name="Porcentual 3 3 3 4 3 2" xfId="58652" xr:uid="{00000000-0005-0000-0000-00002EE50000}"/>
    <cellStyle name="Porcentual 3 3 3 4 3 2 2" xfId="58653" xr:uid="{00000000-0005-0000-0000-00002FE50000}"/>
    <cellStyle name="Porcentual 3 3 3 4 3 3" xfId="58654" xr:uid="{00000000-0005-0000-0000-000030E50000}"/>
    <cellStyle name="Porcentual 3 3 3 4 3 3 2" xfId="58655" xr:uid="{00000000-0005-0000-0000-000031E50000}"/>
    <cellStyle name="Porcentual 3 3 3 4 3 4" xfId="58656" xr:uid="{00000000-0005-0000-0000-000032E50000}"/>
    <cellStyle name="Porcentual 3 3 3 4 3 5" xfId="58657" xr:uid="{00000000-0005-0000-0000-000033E50000}"/>
    <cellStyle name="Porcentual 3 3 3 4 4" xfId="58658" xr:uid="{00000000-0005-0000-0000-000034E50000}"/>
    <cellStyle name="Porcentual 3 3 3 4 4 2" xfId="58659" xr:uid="{00000000-0005-0000-0000-000035E50000}"/>
    <cellStyle name="Porcentual 3 3 3 4 5" xfId="58660" xr:uid="{00000000-0005-0000-0000-000036E50000}"/>
    <cellStyle name="Porcentual 3 3 3 4 5 2" xfId="58661" xr:uid="{00000000-0005-0000-0000-000037E50000}"/>
    <cellStyle name="Porcentual 3 3 3 4 6" xfId="58662" xr:uid="{00000000-0005-0000-0000-000038E50000}"/>
    <cellStyle name="Porcentual 3 3 3 4 7" xfId="58663" xr:uid="{00000000-0005-0000-0000-000039E50000}"/>
    <cellStyle name="Porcentual 3 3 3 5" xfId="58664" xr:uid="{00000000-0005-0000-0000-00003AE50000}"/>
    <cellStyle name="Porcentual 3 3 3 5 2" xfId="58665" xr:uid="{00000000-0005-0000-0000-00003BE50000}"/>
    <cellStyle name="Porcentual 3 3 3 5 2 2" xfId="58666" xr:uid="{00000000-0005-0000-0000-00003CE50000}"/>
    <cellStyle name="Porcentual 3 3 3 5 2 2 2" xfId="58667" xr:uid="{00000000-0005-0000-0000-00003DE50000}"/>
    <cellStyle name="Porcentual 3 3 3 5 2 3" xfId="58668" xr:uid="{00000000-0005-0000-0000-00003EE50000}"/>
    <cellStyle name="Porcentual 3 3 3 5 2 4" xfId="58669" xr:uid="{00000000-0005-0000-0000-00003FE50000}"/>
    <cellStyle name="Porcentual 3 3 3 5 3" xfId="58670" xr:uid="{00000000-0005-0000-0000-000040E50000}"/>
    <cellStyle name="Porcentual 3 3 3 5 3 2" xfId="58671" xr:uid="{00000000-0005-0000-0000-000041E50000}"/>
    <cellStyle name="Porcentual 3 3 3 5 4" xfId="58672" xr:uid="{00000000-0005-0000-0000-000042E50000}"/>
    <cellStyle name="Porcentual 3 3 3 5 5" xfId="58673" xr:uid="{00000000-0005-0000-0000-000043E50000}"/>
    <cellStyle name="Porcentual 3 3 3 6" xfId="58674" xr:uid="{00000000-0005-0000-0000-000044E50000}"/>
    <cellStyle name="Porcentual 3 3 3 6 2" xfId="58675" xr:uid="{00000000-0005-0000-0000-000045E50000}"/>
    <cellStyle name="Porcentual 3 3 3 6 2 2" xfId="58676" xr:uid="{00000000-0005-0000-0000-000046E50000}"/>
    <cellStyle name="Porcentual 3 3 3 6 3" xfId="58677" xr:uid="{00000000-0005-0000-0000-000047E50000}"/>
    <cellStyle name="Porcentual 3 3 3 6 3 2" xfId="58678" xr:uid="{00000000-0005-0000-0000-000048E50000}"/>
    <cellStyle name="Porcentual 3 3 3 6 4" xfId="58679" xr:uid="{00000000-0005-0000-0000-000049E50000}"/>
    <cellStyle name="Porcentual 3 3 3 6 5" xfId="58680" xr:uid="{00000000-0005-0000-0000-00004AE50000}"/>
    <cellStyle name="Porcentual 3 3 3 7" xfId="58681" xr:uid="{00000000-0005-0000-0000-00004BE50000}"/>
    <cellStyle name="Porcentual 3 3 3 7 2" xfId="58682" xr:uid="{00000000-0005-0000-0000-00004CE50000}"/>
    <cellStyle name="Porcentual 3 3 3 8" xfId="58683" xr:uid="{00000000-0005-0000-0000-00004DE50000}"/>
    <cellStyle name="Porcentual 3 3 3 8 2" xfId="58684" xr:uid="{00000000-0005-0000-0000-00004EE50000}"/>
    <cellStyle name="Porcentual 3 3 3 9" xfId="58685" xr:uid="{00000000-0005-0000-0000-00004FE50000}"/>
    <cellStyle name="Porcentual 3 3 4" xfId="58686" xr:uid="{00000000-0005-0000-0000-000050E50000}"/>
    <cellStyle name="Porcentual 3 3 4 2" xfId="58687" xr:uid="{00000000-0005-0000-0000-000051E50000}"/>
    <cellStyle name="Porcentual 3 3 4 2 2" xfId="58688" xr:uid="{00000000-0005-0000-0000-000052E50000}"/>
    <cellStyle name="Porcentual 3 3 4 2 2 2" xfId="58689" xr:uid="{00000000-0005-0000-0000-000053E50000}"/>
    <cellStyle name="Porcentual 3 3 4 2 2 2 2" xfId="58690" xr:uid="{00000000-0005-0000-0000-000054E50000}"/>
    <cellStyle name="Porcentual 3 3 4 2 2 2 2 2" xfId="58691" xr:uid="{00000000-0005-0000-0000-000055E50000}"/>
    <cellStyle name="Porcentual 3 3 4 2 2 2 2 2 2" xfId="58692" xr:uid="{00000000-0005-0000-0000-000056E50000}"/>
    <cellStyle name="Porcentual 3 3 4 2 2 2 2 3" xfId="58693" xr:uid="{00000000-0005-0000-0000-000057E50000}"/>
    <cellStyle name="Porcentual 3 3 4 2 2 2 2 4" xfId="58694" xr:uid="{00000000-0005-0000-0000-000058E50000}"/>
    <cellStyle name="Porcentual 3 3 4 2 2 2 3" xfId="58695" xr:uid="{00000000-0005-0000-0000-000059E50000}"/>
    <cellStyle name="Porcentual 3 3 4 2 2 2 3 2" xfId="58696" xr:uid="{00000000-0005-0000-0000-00005AE50000}"/>
    <cellStyle name="Porcentual 3 3 4 2 2 2 4" xfId="58697" xr:uid="{00000000-0005-0000-0000-00005BE50000}"/>
    <cellStyle name="Porcentual 3 3 4 2 2 2 5" xfId="58698" xr:uid="{00000000-0005-0000-0000-00005CE50000}"/>
    <cellStyle name="Porcentual 3 3 4 2 2 3" xfId="58699" xr:uid="{00000000-0005-0000-0000-00005DE50000}"/>
    <cellStyle name="Porcentual 3 3 4 2 2 3 2" xfId="58700" xr:uid="{00000000-0005-0000-0000-00005EE50000}"/>
    <cellStyle name="Porcentual 3 3 4 2 2 3 2 2" xfId="58701" xr:uid="{00000000-0005-0000-0000-00005FE50000}"/>
    <cellStyle name="Porcentual 3 3 4 2 2 3 3" xfId="58702" xr:uid="{00000000-0005-0000-0000-000060E50000}"/>
    <cellStyle name="Porcentual 3 3 4 2 2 3 4" xfId="58703" xr:uid="{00000000-0005-0000-0000-000061E50000}"/>
    <cellStyle name="Porcentual 3 3 4 2 2 4" xfId="58704" xr:uid="{00000000-0005-0000-0000-000062E50000}"/>
    <cellStyle name="Porcentual 3 3 4 2 2 4 2" xfId="58705" xr:uid="{00000000-0005-0000-0000-000063E50000}"/>
    <cellStyle name="Porcentual 3 3 4 2 2 5" xfId="58706" xr:uid="{00000000-0005-0000-0000-000064E50000}"/>
    <cellStyle name="Porcentual 3 3 4 2 2 6" xfId="58707" xr:uid="{00000000-0005-0000-0000-000065E50000}"/>
    <cellStyle name="Porcentual 3 3 4 2 3" xfId="58708" xr:uid="{00000000-0005-0000-0000-000066E50000}"/>
    <cellStyle name="Porcentual 3 3 4 2 3 2" xfId="58709" xr:uid="{00000000-0005-0000-0000-000067E50000}"/>
    <cellStyle name="Porcentual 3 3 4 2 3 2 2" xfId="58710" xr:uid="{00000000-0005-0000-0000-000068E50000}"/>
    <cellStyle name="Porcentual 3 3 4 2 3 2 2 2" xfId="58711" xr:uid="{00000000-0005-0000-0000-000069E50000}"/>
    <cellStyle name="Porcentual 3 3 4 2 3 2 3" xfId="58712" xr:uid="{00000000-0005-0000-0000-00006AE50000}"/>
    <cellStyle name="Porcentual 3 3 4 2 3 2 4" xfId="58713" xr:uid="{00000000-0005-0000-0000-00006BE50000}"/>
    <cellStyle name="Porcentual 3 3 4 2 3 3" xfId="58714" xr:uid="{00000000-0005-0000-0000-00006CE50000}"/>
    <cellStyle name="Porcentual 3 3 4 2 3 3 2" xfId="58715" xr:uid="{00000000-0005-0000-0000-00006DE50000}"/>
    <cellStyle name="Porcentual 3 3 4 2 3 4" xfId="58716" xr:uid="{00000000-0005-0000-0000-00006EE50000}"/>
    <cellStyle name="Porcentual 3 3 4 2 3 5" xfId="58717" xr:uid="{00000000-0005-0000-0000-00006FE50000}"/>
    <cellStyle name="Porcentual 3 3 4 2 4" xfId="58718" xr:uid="{00000000-0005-0000-0000-000070E50000}"/>
    <cellStyle name="Porcentual 3 3 4 2 4 2" xfId="58719" xr:uid="{00000000-0005-0000-0000-000071E50000}"/>
    <cellStyle name="Porcentual 3 3 4 2 4 2 2" xfId="58720" xr:uid="{00000000-0005-0000-0000-000072E50000}"/>
    <cellStyle name="Porcentual 3 3 4 2 4 3" xfId="58721" xr:uid="{00000000-0005-0000-0000-000073E50000}"/>
    <cellStyle name="Porcentual 3 3 4 2 4 4" xfId="58722" xr:uid="{00000000-0005-0000-0000-000074E50000}"/>
    <cellStyle name="Porcentual 3 3 4 2 5" xfId="58723" xr:uid="{00000000-0005-0000-0000-000075E50000}"/>
    <cellStyle name="Porcentual 3 3 4 2 5 2" xfId="58724" xr:uid="{00000000-0005-0000-0000-000076E50000}"/>
    <cellStyle name="Porcentual 3 3 4 2 6" xfId="58725" xr:uid="{00000000-0005-0000-0000-000077E50000}"/>
    <cellStyle name="Porcentual 3 3 4 2 7" xfId="58726" xr:uid="{00000000-0005-0000-0000-000078E50000}"/>
    <cellStyle name="Porcentual 3 3 4 3" xfId="58727" xr:uid="{00000000-0005-0000-0000-000079E50000}"/>
    <cellStyle name="Porcentual 3 3 4 3 2" xfId="58728" xr:uid="{00000000-0005-0000-0000-00007AE50000}"/>
    <cellStyle name="Porcentual 3 3 4 3 2 2" xfId="58729" xr:uid="{00000000-0005-0000-0000-00007BE50000}"/>
    <cellStyle name="Porcentual 3 3 4 3 2 2 2" xfId="58730" xr:uid="{00000000-0005-0000-0000-00007CE50000}"/>
    <cellStyle name="Porcentual 3 3 4 3 2 2 2 2" xfId="58731" xr:uid="{00000000-0005-0000-0000-00007DE50000}"/>
    <cellStyle name="Porcentual 3 3 4 3 2 2 3" xfId="58732" xr:uid="{00000000-0005-0000-0000-00007EE50000}"/>
    <cellStyle name="Porcentual 3 3 4 3 2 2 4" xfId="58733" xr:uid="{00000000-0005-0000-0000-00007FE50000}"/>
    <cellStyle name="Porcentual 3 3 4 3 2 3" xfId="58734" xr:uid="{00000000-0005-0000-0000-000080E50000}"/>
    <cellStyle name="Porcentual 3 3 4 3 2 3 2" xfId="58735" xr:uid="{00000000-0005-0000-0000-000081E50000}"/>
    <cellStyle name="Porcentual 3 3 4 3 2 4" xfId="58736" xr:uid="{00000000-0005-0000-0000-000082E50000}"/>
    <cellStyle name="Porcentual 3 3 4 3 2 5" xfId="58737" xr:uid="{00000000-0005-0000-0000-000083E50000}"/>
    <cellStyle name="Porcentual 3 3 4 3 3" xfId="58738" xr:uid="{00000000-0005-0000-0000-000084E50000}"/>
    <cellStyle name="Porcentual 3 3 4 3 3 2" xfId="58739" xr:uid="{00000000-0005-0000-0000-000085E50000}"/>
    <cellStyle name="Porcentual 3 3 4 3 3 2 2" xfId="58740" xr:uid="{00000000-0005-0000-0000-000086E50000}"/>
    <cellStyle name="Porcentual 3 3 4 3 3 3" xfId="58741" xr:uid="{00000000-0005-0000-0000-000087E50000}"/>
    <cellStyle name="Porcentual 3 3 4 3 3 3 2" xfId="58742" xr:uid="{00000000-0005-0000-0000-000088E50000}"/>
    <cellStyle name="Porcentual 3 3 4 3 3 4" xfId="58743" xr:uid="{00000000-0005-0000-0000-000089E50000}"/>
    <cellStyle name="Porcentual 3 3 4 3 3 5" xfId="58744" xr:uid="{00000000-0005-0000-0000-00008AE50000}"/>
    <cellStyle name="Porcentual 3 3 4 3 4" xfId="58745" xr:uid="{00000000-0005-0000-0000-00008BE50000}"/>
    <cellStyle name="Porcentual 3 3 4 3 4 2" xfId="58746" xr:uid="{00000000-0005-0000-0000-00008CE50000}"/>
    <cellStyle name="Porcentual 3 3 4 3 5" xfId="58747" xr:uid="{00000000-0005-0000-0000-00008DE50000}"/>
    <cellStyle name="Porcentual 3 3 4 3 5 2" xfId="58748" xr:uid="{00000000-0005-0000-0000-00008EE50000}"/>
    <cellStyle name="Porcentual 3 3 4 3 6" xfId="58749" xr:uid="{00000000-0005-0000-0000-00008FE50000}"/>
    <cellStyle name="Porcentual 3 3 4 3 7" xfId="58750" xr:uid="{00000000-0005-0000-0000-000090E50000}"/>
    <cellStyle name="Porcentual 3 3 4 4" xfId="58751" xr:uid="{00000000-0005-0000-0000-000091E50000}"/>
    <cellStyle name="Porcentual 3 3 4 4 2" xfId="58752" xr:uid="{00000000-0005-0000-0000-000092E50000}"/>
    <cellStyle name="Porcentual 3 3 4 4 2 2" xfId="58753" xr:uid="{00000000-0005-0000-0000-000093E50000}"/>
    <cellStyle name="Porcentual 3 3 4 4 2 2 2" xfId="58754" xr:uid="{00000000-0005-0000-0000-000094E50000}"/>
    <cellStyle name="Porcentual 3 3 4 4 2 3" xfId="58755" xr:uid="{00000000-0005-0000-0000-000095E50000}"/>
    <cellStyle name="Porcentual 3 3 4 4 2 4" xfId="58756" xr:uid="{00000000-0005-0000-0000-000096E50000}"/>
    <cellStyle name="Porcentual 3 3 4 4 3" xfId="58757" xr:uid="{00000000-0005-0000-0000-000097E50000}"/>
    <cellStyle name="Porcentual 3 3 4 4 3 2" xfId="58758" xr:uid="{00000000-0005-0000-0000-000098E50000}"/>
    <cellStyle name="Porcentual 3 3 4 4 4" xfId="58759" xr:uid="{00000000-0005-0000-0000-000099E50000}"/>
    <cellStyle name="Porcentual 3 3 4 4 5" xfId="58760" xr:uid="{00000000-0005-0000-0000-00009AE50000}"/>
    <cellStyle name="Porcentual 3 3 4 5" xfId="58761" xr:uid="{00000000-0005-0000-0000-00009BE50000}"/>
    <cellStyle name="Porcentual 3 3 4 5 2" xfId="58762" xr:uid="{00000000-0005-0000-0000-00009CE50000}"/>
    <cellStyle name="Porcentual 3 3 4 5 2 2" xfId="58763" xr:uid="{00000000-0005-0000-0000-00009DE50000}"/>
    <cellStyle name="Porcentual 3 3 4 5 3" xfId="58764" xr:uid="{00000000-0005-0000-0000-00009EE50000}"/>
    <cellStyle name="Porcentual 3 3 4 5 3 2" xfId="58765" xr:uid="{00000000-0005-0000-0000-00009FE50000}"/>
    <cellStyle name="Porcentual 3 3 4 5 4" xfId="58766" xr:uid="{00000000-0005-0000-0000-0000A0E50000}"/>
    <cellStyle name="Porcentual 3 3 4 5 5" xfId="58767" xr:uid="{00000000-0005-0000-0000-0000A1E50000}"/>
    <cellStyle name="Porcentual 3 3 4 6" xfId="58768" xr:uid="{00000000-0005-0000-0000-0000A2E50000}"/>
    <cellStyle name="Porcentual 3 3 4 6 2" xfId="58769" xr:uid="{00000000-0005-0000-0000-0000A3E50000}"/>
    <cellStyle name="Porcentual 3 3 4 7" xfId="58770" xr:uid="{00000000-0005-0000-0000-0000A4E50000}"/>
    <cellStyle name="Porcentual 3 3 4 7 2" xfId="58771" xr:uid="{00000000-0005-0000-0000-0000A5E50000}"/>
    <cellStyle name="Porcentual 3 3 4 8" xfId="58772" xr:uid="{00000000-0005-0000-0000-0000A6E50000}"/>
    <cellStyle name="Porcentual 3 3 4 9" xfId="58773" xr:uid="{00000000-0005-0000-0000-0000A7E50000}"/>
    <cellStyle name="Porcentual 3 3 5" xfId="58774" xr:uid="{00000000-0005-0000-0000-0000A8E50000}"/>
    <cellStyle name="Porcentual 3 3 5 2" xfId="58775" xr:uid="{00000000-0005-0000-0000-0000A9E50000}"/>
    <cellStyle name="Porcentual 3 3 5 2 2" xfId="58776" xr:uid="{00000000-0005-0000-0000-0000AAE50000}"/>
    <cellStyle name="Porcentual 3 3 5 2 2 2" xfId="58777" xr:uid="{00000000-0005-0000-0000-0000ABE50000}"/>
    <cellStyle name="Porcentual 3 3 5 2 2 2 2" xfId="58778" xr:uid="{00000000-0005-0000-0000-0000ACE50000}"/>
    <cellStyle name="Porcentual 3 3 5 2 2 2 2 2" xfId="58779" xr:uid="{00000000-0005-0000-0000-0000ADE50000}"/>
    <cellStyle name="Porcentual 3 3 5 2 2 2 3" xfId="58780" xr:uid="{00000000-0005-0000-0000-0000AEE50000}"/>
    <cellStyle name="Porcentual 3 3 5 2 2 2 4" xfId="58781" xr:uid="{00000000-0005-0000-0000-0000AFE50000}"/>
    <cellStyle name="Porcentual 3 3 5 2 2 3" xfId="58782" xr:uid="{00000000-0005-0000-0000-0000B0E50000}"/>
    <cellStyle name="Porcentual 3 3 5 2 2 3 2" xfId="58783" xr:uid="{00000000-0005-0000-0000-0000B1E50000}"/>
    <cellStyle name="Porcentual 3 3 5 2 2 4" xfId="58784" xr:uid="{00000000-0005-0000-0000-0000B2E50000}"/>
    <cellStyle name="Porcentual 3 3 5 2 2 5" xfId="58785" xr:uid="{00000000-0005-0000-0000-0000B3E50000}"/>
    <cellStyle name="Porcentual 3 3 5 2 3" xfId="58786" xr:uid="{00000000-0005-0000-0000-0000B4E50000}"/>
    <cellStyle name="Porcentual 3 3 5 2 3 2" xfId="58787" xr:uid="{00000000-0005-0000-0000-0000B5E50000}"/>
    <cellStyle name="Porcentual 3 3 5 2 3 2 2" xfId="58788" xr:uid="{00000000-0005-0000-0000-0000B6E50000}"/>
    <cellStyle name="Porcentual 3 3 5 2 3 3" xfId="58789" xr:uid="{00000000-0005-0000-0000-0000B7E50000}"/>
    <cellStyle name="Porcentual 3 3 5 2 3 3 2" xfId="58790" xr:uid="{00000000-0005-0000-0000-0000B8E50000}"/>
    <cellStyle name="Porcentual 3 3 5 2 3 4" xfId="58791" xr:uid="{00000000-0005-0000-0000-0000B9E50000}"/>
    <cellStyle name="Porcentual 3 3 5 2 3 5" xfId="58792" xr:uid="{00000000-0005-0000-0000-0000BAE50000}"/>
    <cellStyle name="Porcentual 3 3 5 2 4" xfId="58793" xr:uid="{00000000-0005-0000-0000-0000BBE50000}"/>
    <cellStyle name="Porcentual 3 3 5 2 4 2" xfId="58794" xr:uid="{00000000-0005-0000-0000-0000BCE50000}"/>
    <cellStyle name="Porcentual 3 3 5 2 5" xfId="58795" xr:uid="{00000000-0005-0000-0000-0000BDE50000}"/>
    <cellStyle name="Porcentual 3 3 5 2 5 2" xfId="58796" xr:uid="{00000000-0005-0000-0000-0000BEE50000}"/>
    <cellStyle name="Porcentual 3 3 5 2 6" xfId="58797" xr:uid="{00000000-0005-0000-0000-0000BFE50000}"/>
    <cellStyle name="Porcentual 3 3 5 2 7" xfId="58798" xr:uid="{00000000-0005-0000-0000-0000C0E50000}"/>
    <cellStyle name="Porcentual 3 3 5 3" xfId="58799" xr:uid="{00000000-0005-0000-0000-0000C1E50000}"/>
    <cellStyle name="Porcentual 3 3 5 3 2" xfId="58800" xr:uid="{00000000-0005-0000-0000-0000C2E50000}"/>
    <cellStyle name="Porcentual 3 3 5 3 2 2" xfId="58801" xr:uid="{00000000-0005-0000-0000-0000C3E50000}"/>
    <cellStyle name="Porcentual 3 3 5 3 2 2 2" xfId="58802" xr:uid="{00000000-0005-0000-0000-0000C4E50000}"/>
    <cellStyle name="Porcentual 3 3 5 3 2 3" xfId="58803" xr:uid="{00000000-0005-0000-0000-0000C5E50000}"/>
    <cellStyle name="Porcentual 3 3 5 3 2 4" xfId="58804" xr:uid="{00000000-0005-0000-0000-0000C6E50000}"/>
    <cellStyle name="Porcentual 3 3 5 3 3" xfId="58805" xr:uid="{00000000-0005-0000-0000-0000C7E50000}"/>
    <cellStyle name="Porcentual 3 3 5 3 3 2" xfId="58806" xr:uid="{00000000-0005-0000-0000-0000C8E50000}"/>
    <cellStyle name="Porcentual 3 3 5 3 4" xfId="58807" xr:uid="{00000000-0005-0000-0000-0000C9E50000}"/>
    <cellStyle name="Porcentual 3 3 5 3 5" xfId="58808" xr:uid="{00000000-0005-0000-0000-0000CAE50000}"/>
    <cellStyle name="Porcentual 3 3 5 4" xfId="58809" xr:uid="{00000000-0005-0000-0000-0000CBE50000}"/>
    <cellStyle name="Porcentual 3 3 5 4 2" xfId="58810" xr:uid="{00000000-0005-0000-0000-0000CCE50000}"/>
    <cellStyle name="Porcentual 3 3 5 4 2 2" xfId="58811" xr:uid="{00000000-0005-0000-0000-0000CDE50000}"/>
    <cellStyle name="Porcentual 3 3 5 4 3" xfId="58812" xr:uid="{00000000-0005-0000-0000-0000CEE50000}"/>
    <cellStyle name="Porcentual 3 3 5 4 3 2" xfId="58813" xr:uid="{00000000-0005-0000-0000-0000CFE50000}"/>
    <cellStyle name="Porcentual 3 3 5 4 4" xfId="58814" xr:uid="{00000000-0005-0000-0000-0000D0E50000}"/>
    <cellStyle name="Porcentual 3 3 5 4 5" xfId="58815" xr:uid="{00000000-0005-0000-0000-0000D1E50000}"/>
    <cellStyle name="Porcentual 3 3 5 5" xfId="58816" xr:uid="{00000000-0005-0000-0000-0000D2E50000}"/>
    <cellStyle name="Porcentual 3 3 5 5 2" xfId="58817" xr:uid="{00000000-0005-0000-0000-0000D3E50000}"/>
    <cellStyle name="Porcentual 3 3 5 6" xfId="58818" xr:uid="{00000000-0005-0000-0000-0000D4E50000}"/>
    <cellStyle name="Porcentual 3 3 5 6 2" xfId="58819" xr:uid="{00000000-0005-0000-0000-0000D5E50000}"/>
    <cellStyle name="Porcentual 3 3 5 7" xfId="58820" xr:uid="{00000000-0005-0000-0000-0000D6E50000}"/>
    <cellStyle name="Porcentual 3 3 5 8" xfId="58821" xr:uid="{00000000-0005-0000-0000-0000D7E50000}"/>
    <cellStyle name="Porcentual 3 3 6" xfId="58822" xr:uid="{00000000-0005-0000-0000-0000D8E50000}"/>
    <cellStyle name="Porcentual 3 3 6 2" xfId="58823" xr:uid="{00000000-0005-0000-0000-0000D9E50000}"/>
    <cellStyle name="Porcentual 3 3 6 2 2" xfId="58824" xr:uid="{00000000-0005-0000-0000-0000DAE50000}"/>
    <cellStyle name="Porcentual 3 3 6 2 2 2" xfId="58825" xr:uid="{00000000-0005-0000-0000-0000DBE50000}"/>
    <cellStyle name="Porcentual 3 3 6 2 2 2 2" xfId="58826" xr:uid="{00000000-0005-0000-0000-0000DCE50000}"/>
    <cellStyle name="Porcentual 3 3 6 2 2 3" xfId="58827" xr:uid="{00000000-0005-0000-0000-0000DDE50000}"/>
    <cellStyle name="Porcentual 3 3 6 2 2 4" xfId="58828" xr:uid="{00000000-0005-0000-0000-0000DEE50000}"/>
    <cellStyle name="Porcentual 3 3 6 2 3" xfId="58829" xr:uid="{00000000-0005-0000-0000-0000DFE50000}"/>
    <cellStyle name="Porcentual 3 3 6 2 3 2" xfId="58830" xr:uid="{00000000-0005-0000-0000-0000E0E50000}"/>
    <cellStyle name="Porcentual 3 3 6 2 4" xfId="58831" xr:uid="{00000000-0005-0000-0000-0000E1E50000}"/>
    <cellStyle name="Porcentual 3 3 6 2 5" xfId="58832" xr:uid="{00000000-0005-0000-0000-0000E2E50000}"/>
    <cellStyle name="Porcentual 3 3 6 3" xfId="58833" xr:uid="{00000000-0005-0000-0000-0000E3E50000}"/>
    <cellStyle name="Porcentual 3 3 6 3 2" xfId="58834" xr:uid="{00000000-0005-0000-0000-0000E4E50000}"/>
    <cellStyle name="Porcentual 3 3 6 3 2 2" xfId="58835" xr:uid="{00000000-0005-0000-0000-0000E5E50000}"/>
    <cellStyle name="Porcentual 3 3 6 3 3" xfId="58836" xr:uid="{00000000-0005-0000-0000-0000E6E50000}"/>
    <cellStyle name="Porcentual 3 3 6 3 3 2" xfId="58837" xr:uid="{00000000-0005-0000-0000-0000E7E50000}"/>
    <cellStyle name="Porcentual 3 3 6 3 4" xfId="58838" xr:uid="{00000000-0005-0000-0000-0000E8E50000}"/>
    <cellStyle name="Porcentual 3 3 6 3 5" xfId="58839" xr:uid="{00000000-0005-0000-0000-0000E9E50000}"/>
    <cellStyle name="Porcentual 3 3 6 4" xfId="58840" xr:uid="{00000000-0005-0000-0000-0000EAE50000}"/>
    <cellStyle name="Porcentual 3 3 6 4 2" xfId="58841" xr:uid="{00000000-0005-0000-0000-0000EBE50000}"/>
    <cellStyle name="Porcentual 3 3 6 5" xfId="58842" xr:uid="{00000000-0005-0000-0000-0000ECE50000}"/>
    <cellStyle name="Porcentual 3 3 6 5 2" xfId="58843" xr:uid="{00000000-0005-0000-0000-0000EDE50000}"/>
    <cellStyle name="Porcentual 3 3 6 6" xfId="58844" xr:uid="{00000000-0005-0000-0000-0000EEE50000}"/>
    <cellStyle name="Porcentual 3 3 6 7" xfId="58845" xr:uid="{00000000-0005-0000-0000-0000EFE50000}"/>
    <cellStyle name="Porcentual 3 3 7" xfId="58846" xr:uid="{00000000-0005-0000-0000-0000F0E50000}"/>
    <cellStyle name="Porcentual 3 3 7 2" xfId="58847" xr:uid="{00000000-0005-0000-0000-0000F1E50000}"/>
    <cellStyle name="Porcentual 3 3 7 2 2" xfId="58848" xr:uid="{00000000-0005-0000-0000-0000F2E50000}"/>
    <cellStyle name="Porcentual 3 3 7 2 2 2" xfId="58849" xr:uid="{00000000-0005-0000-0000-0000F3E50000}"/>
    <cellStyle name="Porcentual 3 3 7 2 3" xfId="58850" xr:uid="{00000000-0005-0000-0000-0000F4E50000}"/>
    <cellStyle name="Porcentual 3 3 7 2 4" xfId="58851" xr:uid="{00000000-0005-0000-0000-0000F5E50000}"/>
    <cellStyle name="Porcentual 3 3 7 3" xfId="58852" xr:uid="{00000000-0005-0000-0000-0000F6E50000}"/>
    <cellStyle name="Porcentual 3 3 7 3 2" xfId="58853" xr:uid="{00000000-0005-0000-0000-0000F7E50000}"/>
    <cellStyle name="Porcentual 3 3 7 4" xfId="58854" xr:uid="{00000000-0005-0000-0000-0000F8E50000}"/>
    <cellStyle name="Porcentual 3 3 7 5" xfId="58855" xr:uid="{00000000-0005-0000-0000-0000F9E50000}"/>
    <cellStyle name="Porcentual 3 3 8" xfId="58856" xr:uid="{00000000-0005-0000-0000-0000FAE50000}"/>
    <cellStyle name="Porcentual 3 3 8 2" xfId="58857" xr:uid="{00000000-0005-0000-0000-0000FBE50000}"/>
    <cellStyle name="Porcentual 3 3 8 2 2" xfId="58858" xr:uid="{00000000-0005-0000-0000-0000FCE50000}"/>
    <cellStyle name="Porcentual 3 3 8 3" xfId="58859" xr:uid="{00000000-0005-0000-0000-0000FDE50000}"/>
    <cellStyle name="Porcentual 3 3 8 3 2" xfId="58860" xr:uid="{00000000-0005-0000-0000-0000FEE50000}"/>
    <cellStyle name="Porcentual 3 3 8 4" xfId="58861" xr:uid="{00000000-0005-0000-0000-0000FFE50000}"/>
    <cellStyle name="Porcentual 3 3 8 5" xfId="58862" xr:uid="{00000000-0005-0000-0000-000000E60000}"/>
    <cellStyle name="Porcentual 3 3 9" xfId="58863" xr:uid="{00000000-0005-0000-0000-000001E60000}"/>
    <cellStyle name="Porcentual 3 3 9 2" xfId="58864" xr:uid="{00000000-0005-0000-0000-000002E60000}"/>
    <cellStyle name="Porcentual 3 30" xfId="58865" xr:uid="{00000000-0005-0000-0000-000003E60000}"/>
    <cellStyle name="Porcentual 3 31" xfId="58866" xr:uid="{00000000-0005-0000-0000-000004E60000}"/>
    <cellStyle name="Porcentual 3 32" xfId="58867" xr:uid="{00000000-0005-0000-0000-000005E60000}"/>
    <cellStyle name="Porcentual 3 33" xfId="58868" xr:uid="{00000000-0005-0000-0000-000006E60000}"/>
    <cellStyle name="Porcentual 3 34" xfId="58869" xr:uid="{00000000-0005-0000-0000-000007E60000}"/>
    <cellStyle name="Porcentual 3 35" xfId="58870" xr:uid="{00000000-0005-0000-0000-000008E60000}"/>
    <cellStyle name="Porcentual 3 36" xfId="58871" xr:uid="{00000000-0005-0000-0000-000009E60000}"/>
    <cellStyle name="Porcentual 3 37" xfId="58872" xr:uid="{00000000-0005-0000-0000-00000AE60000}"/>
    <cellStyle name="Porcentual 3 38" xfId="58873" xr:uid="{00000000-0005-0000-0000-00000BE60000}"/>
    <cellStyle name="Porcentual 3 4" xfId="58874" xr:uid="{00000000-0005-0000-0000-00000CE60000}"/>
    <cellStyle name="Porcentual 3 4 10" xfId="58875" xr:uid="{00000000-0005-0000-0000-00000DE60000}"/>
    <cellStyle name="Porcentual 3 4 10 2" xfId="58876" xr:uid="{00000000-0005-0000-0000-00000EE60000}"/>
    <cellStyle name="Porcentual 3 4 11" xfId="58877" xr:uid="{00000000-0005-0000-0000-00000FE60000}"/>
    <cellStyle name="Porcentual 3 4 12" xfId="58878" xr:uid="{00000000-0005-0000-0000-000010E60000}"/>
    <cellStyle name="Porcentual 3 4 2" xfId="58879" xr:uid="{00000000-0005-0000-0000-000011E60000}"/>
    <cellStyle name="Porcentual 3 4 2 10" xfId="58880" xr:uid="{00000000-0005-0000-0000-000012E60000}"/>
    <cellStyle name="Porcentual 3 4 2 11" xfId="58881" xr:uid="{00000000-0005-0000-0000-000013E60000}"/>
    <cellStyle name="Porcentual 3 4 2 2" xfId="58882" xr:uid="{00000000-0005-0000-0000-000014E60000}"/>
    <cellStyle name="Porcentual 3 4 2 2 10" xfId="58883" xr:uid="{00000000-0005-0000-0000-000015E60000}"/>
    <cellStyle name="Porcentual 3 4 2 2 2" xfId="58884" xr:uid="{00000000-0005-0000-0000-000016E60000}"/>
    <cellStyle name="Porcentual 3 4 2 2 2 2" xfId="58885" xr:uid="{00000000-0005-0000-0000-000017E60000}"/>
    <cellStyle name="Porcentual 3 4 2 2 2 2 2" xfId="58886" xr:uid="{00000000-0005-0000-0000-000018E60000}"/>
    <cellStyle name="Porcentual 3 4 2 2 2 2 2 2" xfId="58887" xr:uid="{00000000-0005-0000-0000-000019E60000}"/>
    <cellStyle name="Porcentual 3 4 2 2 2 2 2 2 2" xfId="58888" xr:uid="{00000000-0005-0000-0000-00001AE60000}"/>
    <cellStyle name="Porcentual 3 4 2 2 2 2 2 2 2 2" xfId="58889" xr:uid="{00000000-0005-0000-0000-00001BE60000}"/>
    <cellStyle name="Porcentual 3 4 2 2 2 2 2 2 2 2 2" xfId="58890" xr:uid="{00000000-0005-0000-0000-00001CE60000}"/>
    <cellStyle name="Porcentual 3 4 2 2 2 2 2 2 2 3" xfId="58891" xr:uid="{00000000-0005-0000-0000-00001DE60000}"/>
    <cellStyle name="Porcentual 3 4 2 2 2 2 2 2 2 4" xfId="58892" xr:uid="{00000000-0005-0000-0000-00001EE60000}"/>
    <cellStyle name="Porcentual 3 4 2 2 2 2 2 2 3" xfId="58893" xr:uid="{00000000-0005-0000-0000-00001FE60000}"/>
    <cellStyle name="Porcentual 3 4 2 2 2 2 2 2 3 2" xfId="58894" xr:uid="{00000000-0005-0000-0000-000020E60000}"/>
    <cellStyle name="Porcentual 3 4 2 2 2 2 2 2 4" xfId="58895" xr:uid="{00000000-0005-0000-0000-000021E60000}"/>
    <cellStyle name="Porcentual 3 4 2 2 2 2 2 2 5" xfId="58896" xr:uid="{00000000-0005-0000-0000-000022E60000}"/>
    <cellStyle name="Porcentual 3 4 2 2 2 2 2 3" xfId="58897" xr:uid="{00000000-0005-0000-0000-000023E60000}"/>
    <cellStyle name="Porcentual 3 4 2 2 2 2 2 3 2" xfId="58898" xr:uid="{00000000-0005-0000-0000-000024E60000}"/>
    <cellStyle name="Porcentual 3 4 2 2 2 2 2 3 2 2" xfId="58899" xr:uid="{00000000-0005-0000-0000-000025E60000}"/>
    <cellStyle name="Porcentual 3 4 2 2 2 2 2 3 3" xfId="58900" xr:uid="{00000000-0005-0000-0000-000026E60000}"/>
    <cellStyle name="Porcentual 3 4 2 2 2 2 2 3 4" xfId="58901" xr:uid="{00000000-0005-0000-0000-000027E60000}"/>
    <cellStyle name="Porcentual 3 4 2 2 2 2 2 4" xfId="58902" xr:uid="{00000000-0005-0000-0000-000028E60000}"/>
    <cellStyle name="Porcentual 3 4 2 2 2 2 2 4 2" xfId="58903" xr:uid="{00000000-0005-0000-0000-000029E60000}"/>
    <cellStyle name="Porcentual 3 4 2 2 2 2 2 5" xfId="58904" xr:uid="{00000000-0005-0000-0000-00002AE60000}"/>
    <cellStyle name="Porcentual 3 4 2 2 2 2 2 6" xfId="58905" xr:uid="{00000000-0005-0000-0000-00002BE60000}"/>
    <cellStyle name="Porcentual 3 4 2 2 2 2 3" xfId="58906" xr:uid="{00000000-0005-0000-0000-00002CE60000}"/>
    <cellStyle name="Porcentual 3 4 2 2 2 2 3 2" xfId="58907" xr:uid="{00000000-0005-0000-0000-00002DE60000}"/>
    <cellStyle name="Porcentual 3 4 2 2 2 2 3 2 2" xfId="58908" xr:uid="{00000000-0005-0000-0000-00002EE60000}"/>
    <cellStyle name="Porcentual 3 4 2 2 2 2 3 2 2 2" xfId="58909" xr:uid="{00000000-0005-0000-0000-00002FE60000}"/>
    <cellStyle name="Porcentual 3 4 2 2 2 2 3 2 3" xfId="58910" xr:uid="{00000000-0005-0000-0000-000030E60000}"/>
    <cellStyle name="Porcentual 3 4 2 2 2 2 3 2 4" xfId="58911" xr:uid="{00000000-0005-0000-0000-000031E60000}"/>
    <cellStyle name="Porcentual 3 4 2 2 2 2 3 3" xfId="58912" xr:uid="{00000000-0005-0000-0000-000032E60000}"/>
    <cellStyle name="Porcentual 3 4 2 2 2 2 3 3 2" xfId="58913" xr:uid="{00000000-0005-0000-0000-000033E60000}"/>
    <cellStyle name="Porcentual 3 4 2 2 2 2 3 4" xfId="58914" xr:uid="{00000000-0005-0000-0000-000034E60000}"/>
    <cellStyle name="Porcentual 3 4 2 2 2 2 3 5" xfId="58915" xr:uid="{00000000-0005-0000-0000-000035E60000}"/>
    <cellStyle name="Porcentual 3 4 2 2 2 2 4" xfId="58916" xr:uid="{00000000-0005-0000-0000-000036E60000}"/>
    <cellStyle name="Porcentual 3 4 2 2 2 2 4 2" xfId="58917" xr:uid="{00000000-0005-0000-0000-000037E60000}"/>
    <cellStyle name="Porcentual 3 4 2 2 2 2 4 2 2" xfId="58918" xr:uid="{00000000-0005-0000-0000-000038E60000}"/>
    <cellStyle name="Porcentual 3 4 2 2 2 2 4 3" xfId="58919" xr:uid="{00000000-0005-0000-0000-000039E60000}"/>
    <cellStyle name="Porcentual 3 4 2 2 2 2 4 4" xfId="58920" xr:uid="{00000000-0005-0000-0000-00003AE60000}"/>
    <cellStyle name="Porcentual 3 4 2 2 2 2 5" xfId="58921" xr:uid="{00000000-0005-0000-0000-00003BE60000}"/>
    <cellStyle name="Porcentual 3 4 2 2 2 2 5 2" xfId="58922" xr:uid="{00000000-0005-0000-0000-00003CE60000}"/>
    <cellStyle name="Porcentual 3 4 2 2 2 2 6" xfId="58923" xr:uid="{00000000-0005-0000-0000-00003DE60000}"/>
    <cellStyle name="Porcentual 3 4 2 2 2 2 7" xfId="58924" xr:uid="{00000000-0005-0000-0000-00003EE60000}"/>
    <cellStyle name="Porcentual 3 4 2 2 2 3" xfId="58925" xr:uid="{00000000-0005-0000-0000-00003FE60000}"/>
    <cellStyle name="Porcentual 3 4 2 2 2 3 2" xfId="58926" xr:uid="{00000000-0005-0000-0000-000040E60000}"/>
    <cellStyle name="Porcentual 3 4 2 2 2 3 2 2" xfId="58927" xr:uid="{00000000-0005-0000-0000-000041E60000}"/>
    <cellStyle name="Porcentual 3 4 2 2 2 3 2 2 2" xfId="58928" xr:uid="{00000000-0005-0000-0000-000042E60000}"/>
    <cellStyle name="Porcentual 3 4 2 2 2 3 2 2 2 2" xfId="58929" xr:uid="{00000000-0005-0000-0000-000043E60000}"/>
    <cellStyle name="Porcentual 3 4 2 2 2 3 2 2 3" xfId="58930" xr:uid="{00000000-0005-0000-0000-000044E60000}"/>
    <cellStyle name="Porcentual 3 4 2 2 2 3 2 2 4" xfId="58931" xr:uid="{00000000-0005-0000-0000-000045E60000}"/>
    <cellStyle name="Porcentual 3 4 2 2 2 3 2 3" xfId="58932" xr:uid="{00000000-0005-0000-0000-000046E60000}"/>
    <cellStyle name="Porcentual 3 4 2 2 2 3 2 3 2" xfId="58933" xr:uid="{00000000-0005-0000-0000-000047E60000}"/>
    <cellStyle name="Porcentual 3 4 2 2 2 3 2 4" xfId="58934" xr:uid="{00000000-0005-0000-0000-000048E60000}"/>
    <cellStyle name="Porcentual 3 4 2 2 2 3 2 5" xfId="58935" xr:uid="{00000000-0005-0000-0000-000049E60000}"/>
    <cellStyle name="Porcentual 3 4 2 2 2 3 3" xfId="58936" xr:uid="{00000000-0005-0000-0000-00004AE60000}"/>
    <cellStyle name="Porcentual 3 4 2 2 2 3 3 2" xfId="58937" xr:uid="{00000000-0005-0000-0000-00004BE60000}"/>
    <cellStyle name="Porcentual 3 4 2 2 2 3 3 2 2" xfId="58938" xr:uid="{00000000-0005-0000-0000-00004CE60000}"/>
    <cellStyle name="Porcentual 3 4 2 2 2 3 3 3" xfId="58939" xr:uid="{00000000-0005-0000-0000-00004DE60000}"/>
    <cellStyle name="Porcentual 3 4 2 2 2 3 3 3 2" xfId="58940" xr:uid="{00000000-0005-0000-0000-00004EE60000}"/>
    <cellStyle name="Porcentual 3 4 2 2 2 3 3 4" xfId="58941" xr:uid="{00000000-0005-0000-0000-00004FE60000}"/>
    <cellStyle name="Porcentual 3 4 2 2 2 3 3 5" xfId="58942" xr:uid="{00000000-0005-0000-0000-000050E60000}"/>
    <cellStyle name="Porcentual 3 4 2 2 2 3 4" xfId="58943" xr:uid="{00000000-0005-0000-0000-000051E60000}"/>
    <cellStyle name="Porcentual 3 4 2 2 2 3 4 2" xfId="58944" xr:uid="{00000000-0005-0000-0000-000052E60000}"/>
    <cellStyle name="Porcentual 3 4 2 2 2 3 5" xfId="58945" xr:uid="{00000000-0005-0000-0000-000053E60000}"/>
    <cellStyle name="Porcentual 3 4 2 2 2 3 5 2" xfId="58946" xr:uid="{00000000-0005-0000-0000-000054E60000}"/>
    <cellStyle name="Porcentual 3 4 2 2 2 3 6" xfId="58947" xr:uid="{00000000-0005-0000-0000-000055E60000}"/>
    <cellStyle name="Porcentual 3 4 2 2 2 3 7" xfId="58948" xr:uid="{00000000-0005-0000-0000-000056E60000}"/>
    <cellStyle name="Porcentual 3 4 2 2 2 4" xfId="58949" xr:uid="{00000000-0005-0000-0000-000057E60000}"/>
    <cellStyle name="Porcentual 3 4 2 2 2 4 2" xfId="58950" xr:uid="{00000000-0005-0000-0000-000058E60000}"/>
    <cellStyle name="Porcentual 3 4 2 2 2 4 2 2" xfId="58951" xr:uid="{00000000-0005-0000-0000-000059E60000}"/>
    <cellStyle name="Porcentual 3 4 2 2 2 4 2 2 2" xfId="58952" xr:uid="{00000000-0005-0000-0000-00005AE60000}"/>
    <cellStyle name="Porcentual 3 4 2 2 2 4 2 3" xfId="58953" xr:uid="{00000000-0005-0000-0000-00005BE60000}"/>
    <cellStyle name="Porcentual 3 4 2 2 2 4 2 4" xfId="58954" xr:uid="{00000000-0005-0000-0000-00005CE60000}"/>
    <cellStyle name="Porcentual 3 4 2 2 2 4 3" xfId="58955" xr:uid="{00000000-0005-0000-0000-00005DE60000}"/>
    <cellStyle name="Porcentual 3 4 2 2 2 4 3 2" xfId="58956" xr:uid="{00000000-0005-0000-0000-00005EE60000}"/>
    <cellStyle name="Porcentual 3 4 2 2 2 4 4" xfId="58957" xr:uid="{00000000-0005-0000-0000-00005FE60000}"/>
    <cellStyle name="Porcentual 3 4 2 2 2 4 5" xfId="58958" xr:uid="{00000000-0005-0000-0000-000060E60000}"/>
    <cellStyle name="Porcentual 3 4 2 2 2 5" xfId="58959" xr:uid="{00000000-0005-0000-0000-000061E60000}"/>
    <cellStyle name="Porcentual 3 4 2 2 2 5 2" xfId="58960" xr:uid="{00000000-0005-0000-0000-000062E60000}"/>
    <cellStyle name="Porcentual 3 4 2 2 2 5 2 2" xfId="58961" xr:uid="{00000000-0005-0000-0000-000063E60000}"/>
    <cellStyle name="Porcentual 3 4 2 2 2 5 3" xfId="58962" xr:uid="{00000000-0005-0000-0000-000064E60000}"/>
    <cellStyle name="Porcentual 3 4 2 2 2 5 3 2" xfId="58963" xr:uid="{00000000-0005-0000-0000-000065E60000}"/>
    <cellStyle name="Porcentual 3 4 2 2 2 5 4" xfId="58964" xr:uid="{00000000-0005-0000-0000-000066E60000}"/>
    <cellStyle name="Porcentual 3 4 2 2 2 5 5" xfId="58965" xr:uid="{00000000-0005-0000-0000-000067E60000}"/>
    <cellStyle name="Porcentual 3 4 2 2 2 6" xfId="58966" xr:uid="{00000000-0005-0000-0000-000068E60000}"/>
    <cellStyle name="Porcentual 3 4 2 2 2 6 2" xfId="58967" xr:uid="{00000000-0005-0000-0000-000069E60000}"/>
    <cellStyle name="Porcentual 3 4 2 2 2 7" xfId="58968" xr:uid="{00000000-0005-0000-0000-00006AE60000}"/>
    <cellStyle name="Porcentual 3 4 2 2 2 7 2" xfId="58969" xr:uid="{00000000-0005-0000-0000-00006BE60000}"/>
    <cellStyle name="Porcentual 3 4 2 2 2 8" xfId="58970" xr:uid="{00000000-0005-0000-0000-00006CE60000}"/>
    <cellStyle name="Porcentual 3 4 2 2 2 9" xfId="58971" xr:uid="{00000000-0005-0000-0000-00006DE60000}"/>
    <cellStyle name="Porcentual 3 4 2 2 3" xfId="58972" xr:uid="{00000000-0005-0000-0000-00006EE60000}"/>
    <cellStyle name="Porcentual 3 4 2 2 3 2" xfId="58973" xr:uid="{00000000-0005-0000-0000-00006FE60000}"/>
    <cellStyle name="Porcentual 3 4 2 2 3 2 2" xfId="58974" xr:uid="{00000000-0005-0000-0000-000070E60000}"/>
    <cellStyle name="Porcentual 3 4 2 2 3 2 2 2" xfId="58975" xr:uid="{00000000-0005-0000-0000-000071E60000}"/>
    <cellStyle name="Porcentual 3 4 2 2 3 2 2 2 2" xfId="58976" xr:uid="{00000000-0005-0000-0000-000072E60000}"/>
    <cellStyle name="Porcentual 3 4 2 2 3 2 2 2 2 2" xfId="58977" xr:uid="{00000000-0005-0000-0000-000073E60000}"/>
    <cellStyle name="Porcentual 3 4 2 2 3 2 2 2 3" xfId="58978" xr:uid="{00000000-0005-0000-0000-000074E60000}"/>
    <cellStyle name="Porcentual 3 4 2 2 3 2 2 2 4" xfId="58979" xr:uid="{00000000-0005-0000-0000-000075E60000}"/>
    <cellStyle name="Porcentual 3 4 2 2 3 2 2 3" xfId="58980" xr:uid="{00000000-0005-0000-0000-000076E60000}"/>
    <cellStyle name="Porcentual 3 4 2 2 3 2 2 3 2" xfId="58981" xr:uid="{00000000-0005-0000-0000-000077E60000}"/>
    <cellStyle name="Porcentual 3 4 2 2 3 2 2 4" xfId="58982" xr:uid="{00000000-0005-0000-0000-000078E60000}"/>
    <cellStyle name="Porcentual 3 4 2 2 3 2 2 5" xfId="58983" xr:uid="{00000000-0005-0000-0000-000079E60000}"/>
    <cellStyle name="Porcentual 3 4 2 2 3 2 3" xfId="58984" xr:uid="{00000000-0005-0000-0000-00007AE60000}"/>
    <cellStyle name="Porcentual 3 4 2 2 3 2 3 2" xfId="58985" xr:uid="{00000000-0005-0000-0000-00007BE60000}"/>
    <cellStyle name="Porcentual 3 4 2 2 3 2 3 2 2" xfId="58986" xr:uid="{00000000-0005-0000-0000-00007CE60000}"/>
    <cellStyle name="Porcentual 3 4 2 2 3 2 3 3" xfId="58987" xr:uid="{00000000-0005-0000-0000-00007DE60000}"/>
    <cellStyle name="Porcentual 3 4 2 2 3 2 3 4" xfId="58988" xr:uid="{00000000-0005-0000-0000-00007EE60000}"/>
    <cellStyle name="Porcentual 3 4 2 2 3 2 4" xfId="58989" xr:uid="{00000000-0005-0000-0000-00007FE60000}"/>
    <cellStyle name="Porcentual 3 4 2 2 3 2 4 2" xfId="58990" xr:uid="{00000000-0005-0000-0000-000080E60000}"/>
    <cellStyle name="Porcentual 3 4 2 2 3 2 5" xfId="58991" xr:uid="{00000000-0005-0000-0000-000081E60000}"/>
    <cellStyle name="Porcentual 3 4 2 2 3 2 6" xfId="58992" xr:uid="{00000000-0005-0000-0000-000082E60000}"/>
    <cellStyle name="Porcentual 3 4 2 2 3 3" xfId="58993" xr:uid="{00000000-0005-0000-0000-000083E60000}"/>
    <cellStyle name="Porcentual 3 4 2 2 3 3 2" xfId="58994" xr:uid="{00000000-0005-0000-0000-000084E60000}"/>
    <cellStyle name="Porcentual 3 4 2 2 3 3 2 2" xfId="58995" xr:uid="{00000000-0005-0000-0000-000085E60000}"/>
    <cellStyle name="Porcentual 3 4 2 2 3 3 2 2 2" xfId="58996" xr:uid="{00000000-0005-0000-0000-000086E60000}"/>
    <cellStyle name="Porcentual 3 4 2 2 3 3 2 3" xfId="58997" xr:uid="{00000000-0005-0000-0000-000087E60000}"/>
    <cellStyle name="Porcentual 3 4 2 2 3 3 2 4" xfId="58998" xr:uid="{00000000-0005-0000-0000-000088E60000}"/>
    <cellStyle name="Porcentual 3 4 2 2 3 3 3" xfId="58999" xr:uid="{00000000-0005-0000-0000-000089E60000}"/>
    <cellStyle name="Porcentual 3 4 2 2 3 3 3 2" xfId="59000" xr:uid="{00000000-0005-0000-0000-00008AE60000}"/>
    <cellStyle name="Porcentual 3 4 2 2 3 3 4" xfId="59001" xr:uid="{00000000-0005-0000-0000-00008BE60000}"/>
    <cellStyle name="Porcentual 3 4 2 2 3 3 5" xfId="59002" xr:uid="{00000000-0005-0000-0000-00008CE60000}"/>
    <cellStyle name="Porcentual 3 4 2 2 3 4" xfId="59003" xr:uid="{00000000-0005-0000-0000-00008DE60000}"/>
    <cellStyle name="Porcentual 3 4 2 2 3 4 2" xfId="59004" xr:uid="{00000000-0005-0000-0000-00008EE60000}"/>
    <cellStyle name="Porcentual 3 4 2 2 3 4 2 2" xfId="59005" xr:uid="{00000000-0005-0000-0000-00008FE60000}"/>
    <cellStyle name="Porcentual 3 4 2 2 3 4 3" xfId="59006" xr:uid="{00000000-0005-0000-0000-000090E60000}"/>
    <cellStyle name="Porcentual 3 4 2 2 3 4 4" xfId="59007" xr:uid="{00000000-0005-0000-0000-000091E60000}"/>
    <cellStyle name="Porcentual 3 4 2 2 3 5" xfId="59008" xr:uid="{00000000-0005-0000-0000-000092E60000}"/>
    <cellStyle name="Porcentual 3 4 2 2 3 5 2" xfId="59009" xr:uid="{00000000-0005-0000-0000-000093E60000}"/>
    <cellStyle name="Porcentual 3 4 2 2 3 6" xfId="59010" xr:uid="{00000000-0005-0000-0000-000094E60000}"/>
    <cellStyle name="Porcentual 3 4 2 2 3 7" xfId="59011" xr:uid="{00000000-0005-0000-0000-000095E60000}"/>
    <cellStyle name="Porcentual 3 4 2 2 4" xfId="59012" xr:uid="{00000000-0005-0000-0000-000096E60000}"/>
    <cellStyle name="Porcentual 3 4 2 2 4 2" xfId="59013" xr:uid="{00000000-0005-0000-0000-000097E60000}"/>
    <cellStyle name="Porcentual 3 4 2 2 4 2 2" xfId="59014" xr:uid="{00000000-0005-0000-0000-000098E60000}"/>
    <cellStyle name="Porcentual 3 4 2 2 4 2 2 2" xfId="59015" xr:uid="{00000000-0005-0000-0000-000099E60000}"/>
    <cellStyle name="Porcentual 3 4 2 2 4 2 2 2 2" xfId="59016" xr:uid="{00000000-0005-0000-0000-00009AE60000}"/>
    <cellStyle name="Porcentual 3 4 2 2 4 2 2 3" xfId="59017" xr:uid="{00000000-0005-0000-0000-00009BE60000}"/>
    <cellStyle name="Porcentual 3 4 2 2 4 2 2 4" xfId="59018" xr:uid="{00000000-0005-0000-0000-00009CE60000}"/>
    <cellStyle name="Porcentual 3 4 2 2 4 2 3" xfId="59019" xr:uid="{00000000-0005-0000-0000-00009DE60000}"/>
    <cellStyle name="Porcentual 3 4 2 2 4 2 3 2" xfId="59020" xr:uid="{00000000-0005-0000-0000-00009EE60000}"/>
    <cellStyle name="Porcentual 3 4 2 2 4 2 4" xfId="59021" xr:uid="{00000000-0005-0000-0000-00009FE60000}"/>
    <cellStyle name="Porcentual 3 4 2 2 4 2 5" xfId="59022" xr:uid="{00000000-0005-0000-0000-0000A0E60000}"/>
    <cellStyle name="Porcentual 3 4 2 2 4 3" xfId="59023" xr:uid="{00000000-0005-0000-0000-0000A1E60000}"/>
    <cellStyle name="Porcentual 3 4 2 2 4 3 2" xfId="59024" xr:uid="{00000000-0005-0000-0000-0000A2E60000}"/>
    <cellStyle name="Porcentual 3 4 2 2 4 3 2 2" xfId="59025" xr:uid="{00000000-0005-0000-0000-0000A3E60000}"/>
    <cellStyle name="Porcentual 3 4 2 2 4 3 3" xfId="59026" xr:uid="{00000000-0005-0000-0000-0000A4E60000}"/>
    <cellStyle name="Porcentual 3 4 2 2 4 3 3 2" xfId="59027" xr:uid="{00000000-0005-0000-0000-0000A5E60000}"/>
    <cellStyle name="Porcentual 3 4 2 2 4 3 4" xfId="59028" xr:uid="{00000000-0005-0000-0000-0000A6E60000}"/>
    <cellStyle name="Porcentual 3 4 2 2 4 3 5" xfId="59029" xr:uid="{00000000-0005-0000-0000-0000A7E60000}"/>
    <cellStyle name="Porcentual 3 4 2 2 4 4" xfId="59030" xr:uid="{00000000-0005-0000-0000-0000A8E60000}"/>
    <cellStyle name="Porcentual 3 4 2 2 4 4 2" xfId="59031" xr:uid="{00000000-0005-0000-0000-0000A9E60000}"/>
    <cellStyle name="Porcentual 3 4 2 2 4 5" xfId="59032" xr:uid="{00000000-0005-0000-0000-0000AAE60000}"/>
    <cellStyle name="Porcentual 3 4 2 2 4 5 2" xfId="59033" xr:uid="{00000000-0005-0000-0000-0000ABE60000}"/>
    <cellStyle name="Porcentual 3 4 2 2 4 6" xfId="59034" xr:uid="{00000000-0005-0000-0000-0000ACE60000}"/>
    <cellStyle name="Porcentual 3 4 2 2 4 7" xfId="59035" xr:uid="{00000000-0005-0000-0000-0000ADE60000}"/>
    <cellStyle name="Porcentual 3 4 2 2 5" xfId="59036" xr:uid="{00000000-0005-0000-0000-0000AEE60000}"/>
    <cellStyle name="Porcentual 3 4 2 2 5 2" xfId="59037" xr:uid="{00000000-0005-0000-0000-0000AFE60000}"/>
    <cellStyle name="Porcentual 3 4 2 2 5 2 2" xfId="59038" xr:uid="{00000000-0005-0000-0000-0000B0E60000}"/>
    <cellStyle name="Porcentual 3 4 2 2 5 2 2 2" xfId="59039" xr:uid="{00000000-0005-0000-0000-0000B1E60000}"/>
    <cellStyle name="Porcentual 3 4 2 2 5 2 3" xfId="59040" xr:uid="{00000000-0005-0000-0000-0000B2E60000}"/>
    <cellStyle name="Porcentual 3 4 2 2 5 2 4" xfId="59041" xr:uid="{00000000-0005-0000-0000-0000B3E60000}"/>
    <cellStyle name="Porcentual 3 4 2 2 5 3" xfId="59042" xr:uid="{00000000-0005-0000-0000-0000B4E60000}"/>
    <cellStyle name="Porcentual 3 4 2 2 5 3 2" xfId="59043" xr:uid="{00000000-0005-0000-0000-0000B5E60000}"/>
    <cellStyle name="Porcentual 3 4 2 2 5 4" xfId="59044" xr:uid="{00000000-0005-0000-0000-0000B6E60000}"/>
    <cellStyle name="Porcentual 3 4 2 2 5 5" xfId="59045" xr:uid="{00000000-0005-0000-0000-0000B7E60000}"/>
    <cellStyle name="Porcentual 3 4 2 2 6" xfId="59046" xr:uid="{00000000-0005-0000-0000-0000B8E60000}"/>
    <cellStyle name="Porcentual 3 4 2 2 6 2" xfId="59047" xr:uid="{00000000-0005-0000-0000-0000B9E60000}"/>
    <cellStyle name="Porcentual 3 4 2 2 6 2 2" xfId="59048" xr:uid="{00000000-0005-0000-0000-0000BAE60000}"/>
    <cellStyle name="Porcentual 3 4 2 2 6 3" xfId="59049" xr:uid="{00000000-0005-0000-0000-0000BBE60000}"/>
    <cellStyle name="Porcentual 3 4 2 2 6 3 2" xfId="59050" xr:uid="{00000000-0005-0000-0000-0000BCE60000}"/>
    <cellStyle name="Porcentual 3 4 2 2 6 4" xfId="59051" xr:uid="{00000000-0005-0000-0000-0000BDE60000}"/>
    <cellStyle name="Porcentual 3 4 2 2 6 5" xfId="59052" xr:uid="{00000000-0005-0000-0000-0000BEE60000}"/>
    <cellStyle name="Porcentual 3 4 2 2 7" xfId="59053" xr:uid="{00000000-0005-0000-0000-0000BFE60000}"/>
    <cellStyle name="Porcentual 3 4 2 2 7 2" xfId="59054" xr:uid="{00000000-0005-0000-0000-0000C0E60000}"/>
    <cellStyle name="Porcentual 3 4 2 2 8" xfId="59055" xr:uid="{00000000-0005-0000-0000-0000C1E60000}"/>
    <cellStyle name="Porcentual 3 4 2 2 8 2" xfId="59056" xr:uid="{00000000-0005-0000-0000-0000C2E60000}"/>
    <cellStyle name="Porcentual 3 4 2 2 9" xfId="59057" xr:uid="{00000000-0005-0000-0000-0000C3E60000}"/>
    <cellStyle name="Porcentual 3 4 2 3" xfId="59058" xr:uid="{00000000-0005-0000-0000-0000C4E60000}"/>
    <cellStyle name="Porcentual 3 4 2 3 2" xfId="59059" xr:uid="{00000000-0005-0000-0000-0000C5E60000}"/>
    <cellStyle name="Porcentual 3 4 2 3 2 2" xfId="59060" xr:uid="{00000000-0005-0000-0000-0000C6E60000}"/>
    <cellStyle name="Porcentual 3 4 2 3 2 2 2" xfId="59061" xr:uid="{00000000-0005-0000-0000-0000C7E60000}"/>
    <cellStyle name="Porcentual 3 4 2 3 2 2 2 2" xfId="59062" xr:uid="{00000000-0005-0000-0000-0000C8E60000}"/>
    <cellStyle name="Porcentual 3 4 2 3 2 2 2 2 2" xfId="59063" xr:uid="{00000000-0005-0000-0000-0000C9E60000}"/>
    <cellStyle name="Porcentual 3 4 2 3 2 2 2 2 2 2" xfId="59064" xr:uid="{00000000-0005-0000-0000-0000CAE60000}"/>
    <cellStyle name="Porcentual 3 4 2 3 2 2 2 2 3" xfId="59065" xr:uid="{00000000-0005-0000-0000-0000CBE60000}"/>
    <cellStyle name="Porcentual 3 4 2 3 2 2 2 2 4" xfId="59066" xr:uid="{00000000-0005-0000-0000-0000CCE60000}"/>
    <cellStyle name="Porcentual 3 4 2 3 2 2 2 3" xfId="59067" xr:uid="{00000000-0005-0000-0000-0000CDE60000}"/>
    <cellStyle name="Porcentual 3 4 2 3 2 2 2 3 2" xfId="59068" xr:uid="{00000000-0005-0000-0000-0000CEE60000}"/>
    <cellStyle name="Porcentual 3 4 2 3 2 2 2 4" xfId="59069" xr:uid="{00000000-0005-0000-0000-0000CFE60000}"/>
    <cellStyle name="Porcentual 3 4 2 3 2 2 2 5" xfId="59070" xr:uid="{00000000-0005-0000-0000-0000D0E60000}"/>
    <cellStyle name="Porcentual 3 4 2 3 2 2 3" xfId="59071" xr:uid="{00000000-0005-0000-0000-0000D1E60000}"/>
    <cellStyle name="Porcentual 3 4 2 3 2 2 3 2" xfId="59072" xr:uid="{00000000-0005-0000-0000-0000D2E60000}"/>
    <cellStyle name="Porcentual 3 4 2 3 2 2 3 2 2" xfId="59073" xr:uid="{00000000-0005-0000-0000-0000D3E60000}"/>
    <cellStyle name="Porcentual 3 4 2 3 2 2 3 3" xfId="59074" xr:uid="{00000000-0005-0000-0000-0000D4E60000}"/>
    <cellStyle name="Porcentual 3 4 2 3 2 2 3 4" xfId="59075" xr:uid="{00000000-0005-0000-0000-0000D5E60000}"/>
    <cellStyle name="Porcentual 3 4 2 3 2 2 4" xfId="59076" xr:uid="{00000000-0005-0000-0000-0000D6E60000}"/>
    <cellStyle name="Porcentual 3 4 2 3 2 2 4 2" xfId="59077" xr:uid="{00000000-0005-0000-0000-0000D7E60000}"/>
    <cellStyle name="Porcentual 3 4 2 3 2 2 5" xfId="59078" xr:uid="{00000000-0005-0000-0000-0000D8E60000}"/>
    <cellStyle name="Porcentual 3 4 2 3 2 2 6" xfId="59079" xr:uid="{00000000-0005-0000-0000-0000D9E60000}"/>
    <cellStyle name="Porcentual 3 4 2 3 2 3" xfId="59080" xr:uid="{00000000-0005-0000-0000-0000DAE60000}"/>
    <cellStyle name="Porcentual 3 4 2 3 2 3 2" xfId="59081" xr:uid="{00000000-0005-0000-0000-0000DBE60000}"/>
    <cellStyle name="Porcentual 3 4 2 3 2 3 2 2" xfId="59082" xr:uid="{00000000-0005-0000-0000-0000DCE60000}"/>
    <cellStyle name="Porcentual 3 4 2 3 2 3 2 2 2" xfId="59083" xr:uid="{00000000-0005-0000-0000-0000DDE60000}"/>
    <cellStyle name="Porcentual 3 4 2 3 2 3 2 3" xfId="59084" xr:uid="{00000000-0005-0000-0000-0000DEE60000}"/>
    <cellStyle name="Porcentual 3 4 2 3 2 3 2 4" xfId="59085" xr:uid="{00000000-0005-0000-0000-0000DFE60000}"/>
    <cellStyle name="Porcentual 3 4 2 3 2 3 3" xfId="59086" xr:uid="{00000000-0005-0000-0000-0000E0E60000}"/>
    <cellStyle name="Porcentual 3 4 2 3 2 3 3 2" xfId="59087" xr:uid="{00000000-0005-0000-0000-0000E1E60000}"/>
    <cellStyle name="Porcentual 3 4 2 3 2 3 4" xfId="59088" xr:uid="{00000000-0005-0000-0000-0000E2E60000}"/>
    <cellStyle name="Porcentual 3 4 2 3 2 3 5" xfId="59089" xr:uid="{00000000-0005-0000-0000-0000E3E60000}"/>
    <cellStyle name="Porcentual 3 4 2 3 2 4" xfId="59090" xr:uid="{00000000-0005-0000-0000-0000E4E60000}"/>
    <cellStyle name="Porcentual 3 4 2 3 2 4 2" xfId="59091" xr:uid="{00000000-0005-0000-0000-0000E5E60000}"/>
    <cellStyle name="Porcentual 3 4 2 3 2 4 2 2" xfId="59092" xr:uid="{00000000-0005-0000-0000-0000E6E60000}"/>
    <cellStyle name="Porcentual 3 4 2 3 2 4 3" xfId="59093" xr:uid="{00000000-0005-0000-0000-0000E7E60000}"/>
    <cellStyle name="Porcentual 3 4 2 3 2 4 4" xfId="59094" xr:uid="{00000000-0005-0000-0000-0000E8E60000}"/>
    <cellStyle name="Porcentual 3 4 2 3 2 5" xfId="59095" xr:uid="{00000000-0005-0000-0000-0000E9E60000}"/>
    <cellStyle name="Porcentual 3 4 2 3 2 5 2" xfId="59096" xr:uid="{00000000-0005-0000-0000-0000EAE60000}"/>
    <cellStyle name="Porcentual 3 4 2 3 2 6" xfId="59097" xr:uid="{00000000-0005-0000-0000-0000EBE60000}"/>
    <cellStyle name="Porcentual 3 4 2 3 2 7" xfId="59098" xr:uid="{00000000-0005-0000-0000-0000ECE60000}"/>
    <cellStyle name="Porcentual 3 4 2 3 3" xfId="59099" xr:uid="{00000000-0005-0000-0000-0000EDE60000}"/>
    <cellStyle name="Porcentual 3 4 2 3 3 2" xfId="59100" xr:uid="{00000000-0005-0000-0000-0000EEE60000}"/>
    <cellStyle name="Porcentual 3 4 2 3 3 2 2" xfId="59101" xr:uid="{00000000-0005-0000-0000-0000EFE60000}"/>
    <cellStyle name="Porcentual 3 4 2 3 3 2 2 2" xfId="59102" xr:uid="{00000000-0005-0000-0000-0000F0E60000}"/>
    <cellStyle name="Porcentual 3 4 2 3 3 2 2 2 2" xfId="59103" xr:uid="{00000000-0005-0000-0000-0000F1E60000}"/>
    <cellStyle name="Porcentual 3 4 2 3 3 2 2 3" xfId="59104" xr:uid="{00000000-0005-0000-0000-0000F2E60000}"/>
    <cellStyle name="Porcentual 3 4 2 3 3 2 2 4" xfId="59105" xr:uid="{00000000-0005-0000-0000-0000F3E60000}"/>
    <cellStyle name="Porcentual 3 4 2 3 3 2 3" xfId="59106" xr:uid="{00000000-0005-0000-0000-0000F4E60000}"/>
    <cellStyle name="Porcentual 3 4 2 3 3 2 3 2" xfId="59107" xr:uid="{00000000-0005-0000-0000-0000F5E60000}"/>
    <cellStyle name="Porcentual 3 4 2 3 3 2 4" xfId="59108" xr:uid="{00000000-0005-0000-0000-0000F6E60000}"/>
    <cellStyle name="Porcentual 3 4 2 3 3 2 5" xfId="59109" xr:uid="{00000000-0005-0000-0000-0000F7E60000}"/>
    <cellStyle name="Porcentual 3 4 2 3 3 3" xfId="59110" xr:uid="{00000000-0005-0000-0000-0000F8E60000}"/>
    <cellStyle name="Porcentual 3 4 2 3 3 3 2" xfId="59111" xr:uid="{00000000-0005-0000-0000-0000F9E60000}"/>
    <cellStyle name="Porcentual 3 4 2 3 3 3 2 2" xfId="59112" xr:uid="{00000000-0005-0000-0000-0000FAE60000}"/>
    <cellStyle name="Porcentual 3 4 2 3 3 3 3" xfId="59113" xr:uid="{00000000-0005-0000-0000-0000FBE60000}"/>
    <cellStyle name="Porcentual 3 4 2 3 3 3 3 2" xfId="59114" xr:uid="{00000000-0005-0000-0000-0000FCE60000}"/>
    <cellStyle name="Porcentual 3 4 2 3 3 3 4" xfId="59115" xr:uid="{00000000-0005-0000-0000-0000FDE60000}"/>
    <cellStyle name="Porcentual 3 4 2 3 3 3 5" xfId="59116" xr:uid="{00000000-0005-0000-0000-0000FEE60000}"/>
    <cellStyle name="Porcentual 3 4 2 3 3 4" xfId="59117" xr:uid="{00000000-0005-0000-0000-0000FFE60000}"/>
    <cellStyle name="Porcentual 3 4 2 3 3 4 2" xfId="59118" xr:uid="{00000000-0005-0000-0000-000000E70000}"/>
    <cellStyle name="Porcentual 3 4 2 3 3 5" xfId="59119" xr:uid="{00000000-0005-0000-0000-000001E70000}"/>
    <cellStyle name="Porcentual 3 4 2 3 3 5 2" xfId="59120" xr:uid="{00000000-0005-0000-0000-000002E70000}"/>
    <cellStyle name="Porcentual 3 4 2 3 3 6" xfId="59121" xr:uid="{00000000-0005-0000-0000-000003E70000}"/>
    <cellStyle name="Porcentual 3 4 2 3 3 7" xfId="59122" xr:uid="{00000000-0005-0000-0000-000004E70000}"/>
    <cellStyle name="Porcentual 3 4 2 3 4" xfId="59123" xr:uid="{00000000-0005-0000-0000-000005E70000}"/>
    <cellStyle name="Porcentual 3 4 2 3 4 2" xfId="59124" xr:uid="{00000000-0005-0000-0000-000006E70000}"/>
    <cellStyle name="Porcentual 3 4 2 3 4 2 2" xfId="59125" xr:uid="{00000000-0005-0000-0000-000007E70000}"/>
    <cellStyle name="Porcentual 3 4 2 3 4 2 2 2" xfId="59126" xr:uid="{00000000-0005-0000-0000-000008E70000}"/>
    <cellStyle name="Porcentual 3 4 2 3 4 2 3" xfId="59127" xr:uid="{00000000-0005-0000-0000-000009E70000}"/>
    <cellStyle name="Porcentual 3 4 2 3 4 2 4" xfId="59128" xr:uid="{00000000-0005-0000-0000-00000AE70000}"/>
    <cellStyle name="Porcentual 3 4 2 3 4 3" xfId="59129" xr:uid="{00000000-0005-0000-0000-00000BE70000}"/>
    <cellStyle name="Porcentual 3 4 2 3 4 3 2" xfId="59130" xr:uid="{00000000-0005-0000-0000-00000CE70000}"/>
    <cellStyle name="Porcentual 3 4 2 3 4 4" xfId="59131" xr:uid="{00000000-0005-0000-0000-00000DE70000}"/>
    <cellStyle name="Porcentual 3 4 2 3 4 5" xfId="59132" xr:uid="{00000000-0005-0000-0000-00000EE70000}"/>
    <cellStyle name="Porcentual 3 4 2 3 5" xfId="59133" xr:uid="{00000000-0005-0000-0000-00000FE70000}"/>
    <cellStyle name="Porcentual 3 4 2 3 5 2" xfId="59134" xr:uid="{00000000-0005-0000-0000-000010E70000}"/>
    <cellStyle name="Porcentual 3 4 2 3 5 2 2" xfId="59135" xr:uid="{00000000-0005-0000-0000-000011E70000}"/>
    <cellStyle name="Porcentual 3 4 2 3 5 3" xfId="59136" xr:uid="{00000000-0005-0000-0000-000012E70000}"/>
    <cellStyle name="Porcentual 3 4 2 3 5 3 2" xfId="59137" xr:uid="{00000000-0005-0000-0000-000013E70000}"/>
    <cellStyle name="Porcentual 3 4 2 3 5 4" xfId="59138" xr:uid="{00000000-0005-0000-0000-000014E70000}"/>
    <cellStyle name="Porcentual 3 4 2 3 5 5" xfId="59139" xr:uid="{00000000-0005-0000-0000-000015E70000}"/>
    <cellStyle name="Porcentual 3 4 2 3 6" xfId="59140" xr:uid="{00000000-0005-0000-0000-000016E70000}"/>
    <cellStyle name="Porcentual 3 4 2 3 6 2" xfId="59141" xr:uid="{00000000-0005-0000-0000-000017E70000}"/>
    <cellStyle name="Porcentual 3 4 2 3 7" xfId="59142" xr:uid="{00000000-0005-0000-0000-000018E70000}"/>
    <cellStyle name="Porcentual 3 4 2 3 7 2" xfId="59143" xr:uid="{00000000-0005-0000-0000-000019E70000}"/>
    <cellStyle name="Porcentual 3 4 2 3 8" xfId="59144" xr:uid="{00000000-0005-0000-0000-00001AE70000}"/>
    <cellStyle name="Porcentual 3 4 2 3 9" xfId="59145" xr:uid="{00000000-0005-0000-0000-00001BE70000}"/>
    <cellStyle name="Porcentual 3 4 2 4" xfId="59146" xr:uid="{00000000-0005-0000-0000-00001CE70000}"/>
    <cellStyle name="Porcentual 3 4 2 4 2" xfId="59147" xr:uid="{00000000-0005-0000-0000-00001DE70000}"/>
    <cellStyle name="Porcentual 3 4 2 4 2 2" xfId="59148" xr:uid="{00000000-0005-0000-0000-00001EE70000}"/>
    <cellStyle name="Porcentual 3 4 2 4 2 2 2" xfId="59149" xr:uid="{00000000-0005-0000-0000-00001FE70000}"/>
    <cellStyle name="Porcentual 3 4 2 4 2 2 2 2" xfId="59150" xr:uid="{00000000-0005-0000-0000-000020E70000}"/>
    <cellStyle name="Porcentual 3 4 2 4 2 2 2 2 2" xfId="59151" xr:uid="{00000000-0005-0000-0000-000021E70000}"/>
    <cellStyle name="Porcentual 3 4 2 4 2 2 2 3" xfId="59152" xr:uid="{00000000-0005-0000-0000-000022E70000}"/>
    <cellStyle name="Porcentual 3 4 2 4 2 2 2 4" xfId="59153" xr:uid="{00000000-0005-0000-0000-000023E70000}"/>
    <cellStyle name="Porcentual 3 4 2 4 2 2 3" xfId="59154" xr:uid="{00000000-0005-0000-0000-000024E70000}"/>
    <cellStyle name="Porcentual 3 4 2 4 2 2 3 2" xfId="59155" xr:uid="{00000000-0005-0000-0000-000025E70000}"/>
    <cellStyle name="Porcentual 3 4 2 4 2 2 4" xfId="59156" xr:uid="{00000000-0005-0000-0000-000026E70000}"/>
    <cellStyle name="Porcentual 3 4 2 4 2 2 5" xfId="59157" xr:uid="{00000000-0005-0000-0000-000027E70000}"/>
    <cellStyle name="Porcentual 3 4 2 4 2 3" xfId="59158" xr:uid="{00000000-0005-0000-0000-000028E70000}"/>
    <cellStyle name="Porcentual 3 4 2 4 2 3 2" xfId="59159" xr:uid="{00000000-0005-0000-0000-000029E70000}"/>
    <cellStyle name="Porcentual 3 4 2 4 2 3 2 2" xfId="59160" xr:uid="{00000000-0005-0000-0000-00002AE70000}"/>
    <cellStyle name="Porcentual 3 4 2 4 2 3 3" xfId="59161" xr:uid="{00000000-0005-0000-0000-00002BE70000}"/>
    <cellStyle name="Porcentual 3 4 2 4 2 3 3 2" xfId="59162" xr:uid="{00000000-0005-0000-0000-00002CE70000}"/>
    <cellStyle name="Porcentual 3 4 2 4 2 3 4" xfId="59163" xr:uid="{00000000-0005-0000-0000-00002DE70000}"/>
    <cellStyle name="Porcentual 3 4 2 4 2 3 5" xfId="59164" xr:uid="{00000000-0005-0000-0000-00002EE70000}"/>
    <cellStyle name="Porcentual 3 4 2 4 2 4" xfId="59165" xr:uid="{00000000-0005-0000-0000-00002FE70000}"/>
    <cellStyle name="Porcentual 3 4 2 4 2 4 2" xfId="59166" xr:uid="{00000000-0005-0000-0000-000030E70000}"/>
    <cellStyle name="Porcentual 3 4 2 4 2 5" xfId="59167" xr:uid="{00000000-0005-0000-0000-000031E70000}"/>
    <cellStyle name="Porcentual 3 4 2 4 2 5 2" xfId="59168" xr:uid="{00000000-0005-0000-0000-000032E70000}"/>
    <cellStyle name="Porcentual 3 4 2 4 2 6" xfId="59169" xr:uid="{00000000-0005-0000-0000-000033E70000}"/>
    <cellStyle name="Porcentual 3 4 2 4 2 7" xfId="59170" xr:uid="{00000000-0005-0000-0000-000034E70000}"/>
    <cellStyle name="Porcentual 3 4 2 4 3" xfId="59171" xr:uid="{00000000-0005-0000-0000-000035E70000}"/>
    <cellStyle name="Porcentual 3 4 2 4 3 2" xfId="59172" xr:uid="{00000000-0005-0000-0000-000036E70000}"/>
    <cellStyle name="Porcentual 3 4 2 4 3 2 2" xfId="59173" xr:uid="{00000000-0005-0000-0000-000037E70000}"/>
    <cellStyle name="Porcentual 3 4 2 4 3 2 2 2" xfId="59174" xr:uid="{00000000-0005-0000-0000-000038E70000}"/>
    <cellStyle name="Porcentual 3 4 2 4 3 2 3" xfId="59175" xr:uid="{00000000-0005-0000-0000-000039E70000}"/>
    <cellStyle name="Porcentual 3 4 2 4 3 2 4" xfId="59176" xr:uid="{00000000-0005-0000-0000-00003AE70000}"/>
    <cellStyle name="Porcentual 3 4 2 4 3 3" xfId="59177" xr:uid="{00000000-0005-0000-0000-00003BE70000}"/>
    <cellStyle name="Porcentual 3 4 2 4 3 3 2" xfId="59178" xr:uid="{00000000-0005-0000-0000-00003CE70000}"/>
    <cellStyle name="Porcentual 3 4 2 4 3 4" xfId="59179" xr:uid="{00000000-0005-0000-0000-00003DE70000}"/>
    <cellStyle name="Porcentual 3 4 2 4 3 5" xfId="59180" xr:uid="{00000000-0005-0000-0000-00003EE70000}"/>
    <cellStyle name="Porcentual 3 4 2 4 4" xfId="59181" xr:uid="{00000000-0005-0000-0000-00003FE70000}"/>
    <cellStyle name="Porcentual 3 4 2 4 4 2" xfId="59182" xr:uid="{00000000-0005-0000-0000-000040E70000}"/>
    <cellStyle name="Porcentual 3 4 2 4 4 2 2" xfId="59183" xr:uid="{00000000-0005-0000-0000-000041E70000}"/>
    <cellStyle name="Porcentual 3 4 2 4 4 3" xfId="59184" xr:uid="{00000000-0005-0000-0000-000042E70000}"/>
    <cellStyle name="Porcentual 3 4 2 4 4 3 2" xfId="59185" xr:uid="{00000000-0005-0000-0000-000043E70000}"/>
    <cellStyle name="Porcentual 3 4 2 4 4 4" xfId="59186" xr:uid="{00000000-0005-0000-0000-000044E70000}"/>
    <cellStyle name="Porcentual 3 4 2 4 4 5" xfId="59187" xr:uid="{00000000-0005-0000-0000-000045E70000}"/>
    <cellStyle name="Porcentual 3 4 2 4 5" xfId="59188" xr:uid="{00000000-0005-0000-0000-000046E70000}"/>
    <cellStyle name="Porcentual 3 4 2 4 5 2" xfId="59189" xr:uid="{00000000-0005-0000-0000-000047E70000}"/>
    <cellStyle name="Porcentual 3 4 2 4 6" xfId="59190" xr:uid="{00000000-0005-0000-0000-000048E70000}"/>
    <cellStyle name="Porcentual 3 4 2 4 6 2" xfId="59191" xr:uid="{00000000-0005-0000-0000-000049E70000}"/>
    <cellStyle name="Porcentual 3 4 2 4 7" xfId="59192" xr:uid="{00000000-0005-0000-0000-00004AE70000}"/>
    <cellStyle name="Porcentual 3 4 2 4 8" xfId="59193" xr:uid="{00000000-0005-0000-0000-00004BE70000}"/>
    <cellStyle name="Porcentual 3 4 2 5" xfId="59194" xr:uid="{00000000-0005-0000-0000-00004CE70000}"/>
    <cellStyle name="Porcentual 3 4 2 5 2" xfId="59195" xr:uid="{00000000-0005-0000-0000-00004DE70000}"/>
    <cellStyle name="Porcentual 3 4 2 5 2 2" xfId="59196" xr:uid="{00000000-0005-0000-0000-00004EE70000}"/>
    <cellStyle name="Porcentual 3 4 2 5 2 2 2" xfId="59197" xr:uid="{00000000-0005-0000-0000-00004FE70000}"/>
    <cellStyle name="Porcentual 3 4 2 5 2 2 2 2" xfId="59198" xr:uid="{00000000-0005-0000-0000-000050E70000}"/>
    <cellStyle name="Porcentual 3 4 2 5 2 2 3" xfId="59199" xr:uid="{00000000-0005-0000-0000-000051E70000}"/>
    <cellStyle name="Porcentual 3 4 2 5 2 2 4" xfId="59200" xr:uid="{00000000-0005-0000-0000-000052E70000}"/>
    <cellStyle name="Porcentual 3 4 2 5 2 3" xfId="59201" xr:uid="{00000000-0005-0000-0000-000053E70000}"/>
    <cellStyle name="Porcentual 3 4 2 5 2 3 2" xfId="59202" xr:uid="{00000000-0005-0000-0000-000054E70000}"/>
    <cellStyle name="Porcentual 3 4 2 5 2 4" xfId="59203" xr:uid="{00000000-0005-0000-0000-000055E70000}"/>
    <cellStyle name="Porcentual 3 4 2 5 2 5" xfId="59204" xr:uid="{00000000-0005-0000-0000-000056E70000}"/>
    <cellStyle name="Porcentual 3 4 2 5 3" xfId="59205" xr:uid="{00000000-0005-0000-0000-000057E70000}"/>
    <cellStyle name="Porcentual 3 4 2 5 3 2" xfId="59206" xr:uid="{00000000-0005-0000-0000-000058E70000}"/>
    <cellStyle name="Porcentual 3 4 2 5 3 2 2" xfId="59207" xr:uid="{00000000-0005-0000-0000-000059E70000}"/>
    <cellStyle name="Porcentual 3 4 2 5 3 3" xfId="59208" xr:uid="{00000000-0005-0000-0000-00005AE70000}"/>
    <cellStyle name="Porcentual 3 4 2 5 3 3 2" xfId="59209" xr:uid="{00000000-0005-0000-0000-00005BE70000}"/>
    <cellStyle name="Porcentual 3 4 2 5 3 4" xfId="59210" xr:uid="{00000000-0005-0000-0000-00005CE70000}"/>
    <cellStyle name="Porcentual 3 4 2 5 3 5" xfId="59211" xr:uid="{00000000-0005-0000-0000-00005DE70000}"/>
    <cellStyle name="Porcentual 3 4 2 5 4" xfId="59212" xr:uid="{00000000-0005-0000-0000-00005EE70000}"/>
    <cellStyle name="Porcentual 3 4 2 5 4 2" xfId="59213" xr:uid="{00000000-0005-0000-0000-00005FE70000}"/>
    <cellStyle name="Porcentual 3 4 2 5 5" xfId="59214" xr:uid="{00000000-0005-0000-0000-000060E70000}"/>
    <cellStyle name="Porcentual 3 4 2 5 5 2" xfId="59215" xr:uid="{00000000-0005-0000-0000-000061E70000}"/>
    <cellStyle name="Porcentual 3 4 2 5 6" xfId="59216" xr:uid="{00000000-0005-0000-0000-000062E70000}"/>
    <cellStyle name="Porcentual 3 4 2 5 7" xfId="59217" xr:uid="{00000000-0005-0000-0000-000063E70000}"/>
    <cellStyle name="Porcentual 3 4 2 6" xfId="59218" xr:uid="{00000000-0005-0000-0000-000064E70000}"/>
    <cellStyle name="Porcentual 3 4 2 6 2" xfId="59219" xr:uid="{00000000-0005-0000-0000-000065E70000}"/>
    <cellStyle name="Porcentual 3 4 2 6 2 2" xfId="59220" xr:uid="{00000000-0005-0000-0000-000066E70000}"/>
    <cellStyle name="Porcentual 3 4 2 6 2 2 2" xfId="59221" xr:uid="{00000000-0005-0000-0000-000067E70000}"/>
    <cellStyle name="Porcentual 3 4 2 6 2 3" xfId="59222" xr:uid="{00000000-0005-0000-0000-000068E70000}"/>
    <cellStyle name="Porcentual 3 4 2 6 2 4" xfId="59223" xr:uid="{00000000-0005-0000-0000-000069E70000}"/>
    <cellStyle name="Porcentual 3 4 2 6 3" xfId="59224" xr:uid="{00000000-0005-0000-0000-00006AE70000}"/>
    <cellStyle name="Porcentual 3 4 2 6 3 2" xfId="59225" xr:uid="{00000000-0005-0000-0000-00006BE70000}"/>
    <cellStyle name="Porcentual 3 4 2 6 4" xfId="59226" xr:uid="{00000000-0005-0000-0000-00006CE70000}"/>
    <cellStyle name="Porcentual 3 4 2 6 5" xfId="59227" xr:uid="{00000000-0005-0000-0000-00006DE70000}"/>
    <cellStyle name="Porcentual 3 4 2 7" xfId="59228" xr:uid="{00000000-0005-0000-0000-00006EE70000}"/>
    <cellStyle name="Porcentual 3 4 2 7 2" xfId="59229" xr:uid="{00000000-0005-0000-0000-00006FE70000}"/>
    <cellStyle name="Porcentual 3 4 2 7 2 2" xfId="59230" xr:uid="{00000000-0005-0000-0000-000070E70000}"/>
    <cellStyle name="Porcentual 3 4 2 7 3" xfId="59231" xr:uid="{00000000-0005-0000-0000-000071E70000}"/>
    <cellStyle name="Porcentual 3 4 2 7 3 2" xfId="59232" xr:uid="{00000000-0005-0000-0000-000072E70000}"/>
    <cellStyle name="Porcentual 3 4 2 7 4" xfId="59233" xr:uid="{00000000-0005-0000-0000-000073E70000}"/>
    <cellStyle name="Porcentual 3 4 2 7 5" xfId="59234" xr:uid="{00000000-0005-0000-0000-000074E70000}"/>
    <cellStyle name="Porcentual 3 4 2 8" xfId="59235" xr:uid="{00000000-0005-0000-0000-000075E70000}"/>
    <cellStyle name="Porcentual 3 4 2 8 2" xfId="59236" xr:uid="{00000000-0005-0000-0000-000076E70000}"/>
    <cellStyle name="Porcentual 3 4 2 9" xfId="59237" xr:uid="{00000000-0005-0000-0000-000077E70000}"/>
    <cellStyle name="Porcentual 3 4 2 9 2" xfId="59238" xr:uid="{00000000-0005-0000-0000-000078E70000}"/>
    <cellStyle name="Porcentual 3 4 3" xfId="59239" xr:uid="{00000000-0005-0000-0000-000079E70000}"/>
    <cellStyle name="Porcentual 3 4 3 10" xfId="59240" xr:uid="{00000000-0005-0000-0000-00007AE70000}"/>
    <cellStyle name="Porcentual 3 4 3 2" xfId="59241" xr:uid="{00000000-0005-0000-0000-00007BE70000}"/>
    <cellStyle name="Porcentual 3 4 3 2 2" xfId="59242" xr:uid="{00000000-0005-0000-0000-00007CE70000}"/>
    <cellStyle name="Porcentual 3 4 3 2 2 2" xfId="59243" xr:uid="{00000000-0005-0000-0000-00007DE70000}"/>
    <cellStyle name="Porcentual 3 4 3 2 2 2 2" xfId="59244" xr:uid="{00000000-0005-0000-0000-00007EE70000}"/>
    <cellStyle name="Porcentual 3 4 3 2 2 2 2 2" xfId="59245" xr:uid="{00000000-0005-0000-0000-00007FE70000}"/>
    <cellStyle name="Porcentual 3 4 3 2 2 2 2 2 2" xfId="59246" xr:uid="{00000000-0005-0000-0000-000080E70000}"/>
    <cellStyle name="Porcentual 3 4 3 2 2 2 2 2 2 2" xfId="59247" xr:uid="{00000000-0005-0000-0000-000081E70000}"/>
    <cellStyle name="Porcentual 3 4 3 2 2 2 2 2 3" xfId="59248" xr:uid="{00000000-0005-0000-0000-000082E70000}"/>
    <cellStyle name="Porcentual 3 4 3 2 2 2 2 2 4" xfId="59249" xr:uid="{00000000-0005-0000-0000-000083E70000}"/>
    <cellStyle name="Porcentual 3 4 3 2 2 2 2 3" xfId="59250" xr:uid="{00000000-0005-0000-0000-000084E70000}"/>
    <cellStyle name="Porcentual 3 4 3 2 2 2 2 3 2" xfId="59251" xr:uid="{00000000-0005-0000-0000-000085E70000}"/>
    <cellStyle name="Porcentual 3 4 3 2 2 2 2 4" xfId="59252" xr:uid="{00000000-0005-0000-0000-000086E70000}"/>
    <cellStyle name="Porcentual 3 4 3 2 2 2 2 5" xfId="59253" xr:uid="{00000000-0005-0000-0000-000087E70000}"/>
    <cellStyle name="Porcentual 3 4 3 2 2 2 3" xfId="59254" xr:uid="{00000000-0005-0000-0000-000088E70000}"/>
    <cellStyle name="Porcentual 3 4 3 2 2 2 3 2" xfId="59255" xr:uid="{00000000-0005-0000-0000-000089E70000}"/>
    <cellStyle name="Porcentual 3 4 3 2 2 2 3 2 2" xfId="59256" xr:uid="{00000000-0005-0000-0000-00008AE70000}"/>
    <cellStyle name="Porcentual 3 4 3 2 2 2 3 3" xfId="59257" xr:uid="{00000000-0005-0000-0000-00008BE70000}"/>
    <cellStyle name="Porcentual 3 4 3 2 2 2 3 4" xfId="59258" xr:uid="{00000000-0005-0000-0000-00008CE70000}"/>
    <cellStyle name="Porcentual 3 4 3 2 2 2 4" xfId="59259" xr:uid="{00000000-0005-0000-0000-00008DE70000}"/>
    <cellStyle name="Porcentual 3 4 3 2 2 2 4 2" xfId="59260" xr:uid="{00000000-0005-0000-0000-00008EE70000}"/>
    <cellStyle name="Porcentual 3 4 3 2 2 2 5" xfId="59261" xr:uid="{00000000-0005-0000-0000-00008FE70000}"/>
    <cellStyle name="Porcentual 3 4 3 2 2 2 6" xfId="59262" xr:uid="{00000000-0005-0000-0000-000090E70000}"/>
    <cellStyle name="Porcentual 3 4 3 2 2 3" xfId="59263" xr:uid="{00000000-0005-0000-0000-000091E70000}"/>
    <cellStyle name="Porcentual 3 4 3 2 2 3 2" xfId="59264" xr:uid="{00000000-0005-0000-0000-000092E70000}"/>
    <cellStyle name="Porcentual 3 4 3 2 2 3 2 2" xfId="59265" xr:uid="{00000000-0005-0000-0000-000093E70000}"/>
    <cellStyle name="Porcentual 3 4 3 2 2 3 2 2 2" xfId="59266" xr:uid="{00000000-0005-0000-0000-000094E70000}"/>
    <cellStyle name="Porcentual 3 4 3 2 2 3 2 3" xfId="59267" xr:uid="{00000000-0005-0000-0000-000095E70000}"/>
    <cellStyle name="Porcentual 3 4 3 2 2 3 2 4" xfId="59268" xr:uid="{00000000-0005-0000-0000-000096E70000}"/>
    <cellStyle name="Porcentual 3 4 3 2 2 3 3" xfId="59269" xr:uid="{00000000-0005-0000-0000-000097E70000}"/>
    <cellStyle name="Porcentual 3 4 3 2 2 3 3 2" xfId="59270" xr:uid="{00000000-0005-0000-0000-000098E70000}"/>
    <cellStyle name="Porcentual 3 4 3 2 2 3 4" xfId="59271" xr:uid="{00000000-0005-0000-0000-000099E70000}"/>
    <cellStyle name="Porcentual 3 4 3 2 2 3 5" xfId="59272" xr:uid="{00000000-0005-0000-0000-00009AE70000}"/>
    <cellStyle name="Porcentual 3 4 3 2 2 4" xfId="59273" xr:uid="{00000000-0005-0000-0000-00009BE70000}"/>
    <cellStyle name="Porcentual 3 4 3 2 2 4 2" xfId="59274" xr:uid="{00000000-0005-0000-0000-00009CE70000}"/>
    <cellStyle name="Porcentual 3 4 3 2 2 4 2 2" xfId="59275" xr:uid="{00000000-0005-0000-0000-00009DE70000}"/>
    <cellStyle name="Porcentual 3 4 3 2 2 4 3" xfId="59276" xr:uid="{00000000-0005-0000-0000-00009EE70000}"/>
    <cellStyle name="Porcentual 3 4 3 2 2 4 4" xfId="59277" xr:uid="{00000000-0005-0000-0000-00009FE70000}"/>
    <cellStyle name="Porcentual 3 4 3 2 2 5" xfId="59278" xr:uid="{00000000-0005-0000-0000-0000A0E70000}"/>
    <cellStyle name="Porcentual 3 4 3 2 2 5 2" xfId="59279" xr:uid="{00000000-0005-0000-0000-0000A1E70000}"/>
    <cellStyle name="Porcentual 3 4 3 2 2 6" xfId="59280" xr:uid="{00000000-0005-0000-0000-0000A2E70000}"/>
    <cellStyle name="Porcentual 3 4 3 2 2 7" xfId="59281" xr:uid="{00000000-0005-0000-0000-0000A3E70000}"/>
    <cellStyle name="Porcentual 3 4 3 2 3" xfId="59282" xr:uid="{00000000-0005-0000-0000-0000A4E70000}"/>
    <cellStyle name="Porcentual 3 4 3 2 3 2" xfId="59283" xr:uid="{00000000-0005-0000-0000-0000A5E70000}"/>
    <cellStyle name="Porcentual 3 4 3 2 3 2 2" xfId="59284" xr:uid="{00000000-0005-0000-0000-0000A6E70000}"/>
    <cellStyle name="Porcentual 3 4 3 2 3 2 2 2" xfId="59285" xr:uid="{00000000-0005-0000-0000-0000A7E70000}"/>
    <cellStyle name="Porcentual 3 4 3 2 3 2 2 2 2" xfId="59286" xr:uid="{00000000-0005-0000-0000-0000A8E70000}"/>
    <cellStyle name="Porcentual 3 4 3 2 3 2 2 3" xfId="59287" xr:uid="{00000000-0005-0000-0000-0000A9E70000}"/>
    <cellStyle name="Porcentual 3 4 3 2 3 2 2 4" xfId="59288" xr:uid="{00000000-0005-0000-0000-0000AAE70000}"/>
    <cellStyle name="Porcentual 3 4 3 2 3 2 3" xfId="59289" xr:uid="{00000000-0005-0000-0000-0000ABE70000}"/>
    <cellStyle name="Porcentual 3 4 3 2 3 2 3 2" xfId="59290" xr:uid="{00000000-0005-0000-0000-0000ACE70000}"/>
    <cellStyle name="Porcentual 3 4 3 2 3 2 4" xfId="59291" xr:uid="{00000000-0005-0000-0000-0000ADE70000}"/>
    <cellStyle name="Porcentual 3 4 3 2 3 2 5" xfId="59292" xr:uid="{00000000-0005-0000-0000-0000AEE70000}"/>
    <cellStyle name="Porcentual 3 4 3 2 3 3" xfId="59293" xr:uid="{00000000-0005-0000-0000-0000AFE70000}"/>
    <cellStyle name="Porcentual 3 4 3 2 3 3 2" xfId="59294" xr:uid="{00000000-0005-0000-0000-0000B0E70000}"/>
    <cellStyle name="Porcentual 3 4 3 2 3 3 2 2" xfId="59295" xr:uid="{00000000-0005-0000-0000-0000B1E70000}"/>
    <cellStyle name="Porcentual 3 4 3 2 3 3 3" xfId="59296" xr:uid="{00000000-0005-0000-0000-0000B2E70000}"/>
    <cellStyle name="Porcentual 3 4 3 2 3 3 3 2" xfId="59297" xr:uid="{00000000-0005-0000-0000-0000B3E70000}"/>
    <cellStyle name="Porcentual 3 4 3 2 3 3 4" xfId="59298" xr:uid="{00000000-0005-0000-0000-0000B4E70000}"/>
    <cellStyle name="Porcentual 3 4 3 2 3 3 5" xfId="59299" xr:uid="{00000000-0005-0000-0000-0000B5E70000}"/>
    <cellStyle name="Porcentual 3 4 3 2 3 4" xfId="59300" xr:uid="{00000000-0005-0000-0000-0000B6E70000}"/>
    <cellStyle name="Porcentual 3 4 3 2 3 4 2" xfId="59301" xr:uid="{00000000-0005-0000-0000-0000B7E70000}"/>
    <cellStyle name="Porcentual 3 4 3 2 3 5" xfId="59302" xr:uid="{00000000-0005-0000-0000-0000B8E70000}"/>
    <cellStyle name="Porcentual 3 4 3 2 3 5 2" xfId="59303" xr:uid="{00000000-0005-0000-0000-0000B9E70000}"/>
    <cellStyle name="Porcentual 3 4 3 2 3 6" xfId="59304" xr:uid="{00000000-0005-0000-0000-0000BAE70000}"/>
    <cellStyle name="Porcentual 3 4 3 2 3 7" xfId="59305" xr:uid="{00000000-0005-0000-0000-0000BBE70000}"/>
    <cellStyle name="Porcentual 3 4 3 2 4" xfId="59306" xr:uid="{00000000-0005-0000-0000-0000BCE70000}"/>
    <cellStyle name="Porcentual 3 4 3 2 4 2" xfId="59307" xr:uid="{00000000-0005-0000-0000-0000BDE70000}"/>
    <cellStyle name="Porcentual 3 4 3 2 4 2 2" xfId="59308" xr:uid="{00000000-0005-0000-0000-0000BEE70000}"/>
    <cellStyle name="Porcentual 3 4 3 2 4 2 2 2" xfId="59309" xr:uid="{00000000-0005-0000-0000-0000BFE70000}"/>
    <cellStyle name="Porcentual 3 4 3 2 4 2 3" xfId="59310" xr:uid="{00000000-0005-0000-0000-0000C0E70000}"/>
    <cellStyle name="Porcentual 3 4 3 2 4 2 4" xfId="59311" xr:uid="{00000000-0005-0000-0000-0000C1E70000}"/>
    <cellStyle name="Porcentual 3 4 3 2 4 3" xfId="59312" xr:uid="{00000000-0005-0000-0000-0000C2E70000}"/>
    <cellStyle name="Porcentual 3 4 3 2 4 3 2" xfId="59313" xr:uid="{00000000-0005-0000-0000-0000C3E70000}"/>
    <cellStyle name="Porcentual 3 4 3 2 4 4" xfId="59314" xr:uid="{00000000-0005-0000-0000-0000C4E70000}"/>
    <cellStyle name="Porcentual 3 4 3 2 4 5" xfId="59315" xr:uid="{00000000-0005-0000-0000-0000C5E70000}"/>
    <cellStyle name="Porcentual 3 4 3 2 5" xfId="59316" xr:uid="{00000000-0005-0000-0000-0000C6E70000}"/>
    <cellStyle name="Porcentual 3 4 3 2 5 2" xfId="59317" xr:uid="{00000000-0005-0000-0000-0000C7E70000}"/>
    <cellStyle name="Porcentual 3 4 3 2 5 2 2" xfId="59318" xr:uid="{00000000-0005-0000-0000-0000C8E70000}"/>
    <cellStyle name="Porcentual 3 4 3 2 5 3" xfId="59319" xr:uid="{00000000-0005-0000-0000-0000C9E70000}"/>
    <cellStyle name="Porcentual 3 4 3 2 5 3 2" xfId="59320" xr:uid="{00000000-0005-0000-0000-0000CAE70000}"/>
    <cellStyle name="Porcentual 3 4 3 2 5 4" xfId="59321" xr:uid="{00000000-0005-0000-0000-0000CBE70000}"/>
    <cellStyle name="Porcentual 3 4 3 2 5 5" xfId="59322" xr:uid="{00000000-0005-0000-0000-0000CCE70000}"/>
    <cellStyle name="Porcentual 3 4 3 2 6" xfId="59323" xr:uid="{00000000-0005-0000-0000-0000CDE70000}"/>
    <cellStyle name="Porcentual 3 4 3 2 6 2" xfId="59324" xr:uid="{00000000-0005-0000-0000-0000CEE70000}"/>
    <cellStyle name="Porcentual 3 4 3 2 7" xfId="59325" xr:uid="{00000000-0005-0000-0000-0000CFE70000}"/>
    <cellStyle name="Porcentual 3 4 3 2 7 2" xfId="59326" xr:uid="{00000000-0005-0000-0000-0000D0E70000}"/>
    <cellStyle name="Porcentual 3 4 3 2 8" xfId="59327" xr:uid="{00000000-0005-0000-0000-0000D1E70000}"/>
    <cellStyle name="Porcentual 3 4 3 2 9" xfId="59328" xr:uid="{00000000-0005-0000-0000-0000D2E70000}"/>
    <cellStyle name="Porcentual 3 4 3 3" xfId="59329" xr:uid="{00000000-0005-0000-0000-0000D3E70000}"/>
    <cellStyle name="Porcentual 3 4 3 3 2" xfId="59330" xr:uid="{00000000-0005-0000-0000-0000D4E70000}"/>
    <cellStyle name="Porcentual 3 4 3 3 2 2" xfId="59331" xr:uid="{00000000-0005-0000-0000-0000D5E70000}"/>
    <cellStyle name="Porcentual 3 4 3 3 2 2 2" xfId="59332" xr:uid="{00000000-0005-0000-0000-0000D6E70000}"/>
    <cellStyle name="Porcentual 3 4 3 3 2 2 2 2" xfId="59333" xr:uid="{00000000-0005-0000-0000-0000D7E70000}"/>
    <cellStyle name="Porcentual 3 4 3 3 2 2 2 2 2" xfId="59334" xr:uid="{00000000-0005-0000-0000-0000D8E70000}"/>
    <cellStyle name="Porcentual 3 4 3 3 2 2 2 3" xfId="59335" xr:uid="{00000000-0005-0000-0000-0000D9E70000}"/>
    <cellStyle name="Porcentual 3 4 3 3 2 2 2 4" xfId="59336" xr:uid="{00000000-0005-0000-0000-0000DAE70000}"/>
    <cellStyle name="Porcentual 3 4 3 3 2 2 3" xfId="59337" xr:uid="{00000000-0005-0000-0000-0000DBE70000}"/>
    <cellStyle name="Porcentual 3 4 3 3 2 2 3 2" xfId="59338" xr:uid="{00000000-0005-0000-0000-0000DCE70000}"/>
    <cellStyle name="Porcentual 3 4 3 3 2 2 4" xfId="59339" xr:uid="{00000000-0005-0000-0000-0000DDE70000}"/>
    <cellStyle name="Porcentual 3 4 3 3 2 2 5" xfId="59340" xr:uid="{00000000-0005-0000-0000-0000DEE70000}"/>
    <cellStyle name="Porcentual 3 4 3 3 2 3" xfId="59341" xr:uid="{00000000-0005-0000-0000-0000DFE70000}"/>
    <cellStyle name="Porcentual 3 4 3 3 2 3 2" xfId="59342" xr:uid="{00000000-0005-0000-0000-0000E0E70000}"/>
    <cellStyle name="Porcentual 3 4 3 3 2 3 2 2" xfId="59343" xr:uid="{00000000-0005-0000-0000-0000E1E70000}"/>
    <cellStyle name="Porcentual 3 4 3 3 2 3 3" xfId="59344" xr:uid="{00000000-0005-0000-0000-0000E2E70000}"/>
    <cellStyle name="Porcentual 3 4 3 3 2 3 3 2" xfId="59345" xr:uid="{00000000-0005-0000-0000-0000E3E70000}"/>
    <cellStyle name="Porcentual 3 4 3 3 2 3 4" xfId="59346" xr:uid="{00000000-0005-0000-0000-0000E4E70000}"/>
    <cellStyle name="Porcentual 3 4 3 3 2 3 5" xfId="59347" xr:uid="{00000000-0005-0000-0000-0000E5E70000}"/>
    <cellStyle name="Porcentual 3 4 3 3 2 4" xfId="59348" xr:uid="{00000000-0005-0000-0000-0000E6E70000}"/>
    <cellStyle name="Porcentual 3 4 3 3 2 4 2" xfId="59349" xr:uid="{00000000-0005-0000-0000-0000E7E70000}"/>
    <cellStyle name="Porcentual 3 4 3 3 2 5" xfId="59350" xr:uid="{00000000-0005-0000-0000-0000E8E70000}"/>
    <cellStyle name="Porcentual 3 4 3 3 2 5 2" xfId="59351" xr:uid="{00000000-0005-0000-0000-0000E9E70000}"/>
    <cellStyle name="Porcentual 3 4 3 3 2 6" xfId="59352" xr:uid="{00000000-0005-0000-0000-0000EAE70000}"/>
    <cellStyle name="Porcentual 3 4 3 3 2 7" xfId="59353" xr:uid="{00000000-0005-0000-0000-0000EBE70000}"/>
    <cellStyle name="Porcentual 3 4 3 3 3" xfId="59354" xr:uid="{00000000-0005-0000-0000-0000ECE70000}"/>
    <cellStyle name="Porcentual 3 4 3 3 3 2" xfId="59355" xr:uid="{00000000-0005-0000-0000-0000EDE70000}"/>
    <cellStyle name="Porcentual 3 4 3 3 3 2 2" xfId="59356" xr:uid="{00000000-0005-0000-0000-0000EEE70000}"/>
    <cellStyle name="Porcentual 3 4 3 3 3 2 2 2" xfId="59357" xr:uid="{00000000-0005-0000-0000-0000EFE70000}"/>
    <cellStyle name="Porcentual 3 4 3 3 3 2 3" xfId="59358" xr:uid="{00000000-0005-0000-0000-0000F0E70000}"/>
    <cellStyle name="Porcentual 3 4 3 3 3 2 4" xfId="59359" xr:uid="{00000000-0005-0000-0000-0000F1E70000}"/>
    <cellStyle name="Porcentual 3 4 3 3 3 3" xfId="59360" xr:uid="{00000000-0005-0000-0000-0000F2E70000}"/>
    <cellStyle name="Porcentual 3 4 3 3 3 3 2" xfId="59361" xr:uid="{00000000-0005-0000-0000-0000F3E70000}"/>
    <cellStyle name="Porcentual 3 4 3 3 3 4" xfId="59362" xr:uid="{00000000-0005-0000-0000-0000F4E70000}"/>
    <cellStyle name="Porcentual 3 4 3 3 3 5" xfId="59363" xr:uid="{00000000-0005-0000-0000-0000F5E70000}"/>
    <cellStyle name="Porcentual 3 4 3 3 4" xfId="59364" xr:uid="{00000000-0005-0000-0000-0000F6E70000}"/>
    <cellStyle name="Porcentual 3 4 3 3 4 2" xfId="59365" xr:uid="{00000000-0005-0000-0000-0000F7E70000}"/>
    <cellStyle name="Porcentual 3 4 3 3 4 2 2" xfId="59366" xr:uid="{00000000-0005-0000-0000-0000F8E70000}"/>
    <cellStyle name="Porcentual 3 4 3 3 4 3" xfId="59367" xr:uid="{00000000-0005-0000-0000-0000F9E70000}"/>
    <cellStyle name="Porcentual 3 4 3 3 4 3 2" xfId="59368" xr:uid="{00000000-0005-0000-0000-0000FAE70000}"/>
    <cellStyle name="Porcentual 3 4 3 3 4 4" xfId="59369" xr:uid="{00000000-0005-0000-0000-0000FBE70000}"/>
    <cellStyle name="Porcentual 3 4 3 3 4 5" xfId="59370" xr:uid="{00000000-0005-0000-0000-0000FCE70000}"/>
    <cellStyle name="Porcentual 3 4 3 3 5" xfId="59371" xr:uid="{00000000-0005-0000-0000-0000FDE70000}"/>
    <cellStyle name="Porcentual 3 4 3 3 5 2" xfId="59372" xr:uid="{00000000-0005-0000-0000-0000FEE70000}"/>
    <cellStyle name="Porcentual 3 4 3 3 6" xfId="59373" xr:uid="{00000000-0005-0000-0000-0000FFE70000}"/>
    <cellStyle name="Porcentual 3 4 3 3 6 2" xfId="59374" xr:uid="{00000000-0005-0000-0000-000000E80000}"/>
    <cellStyle name="Porcentual 3 4 3 3 7" xfId="59375" xr:uid="{00000000-0005-0000-0000-000001E80000}"/>
    <cellStyle name="Porcentual 3 4 3 3 8" xfId="59376" xr:uid="{00000000-0005-0000-0000-000002E80000}"/>
    <cellStyle name="Porcentual 3 4 3 4" xfId="59377" xr:uid="{00000000-0005-0000-0000-000003E80000}"/>
    <cellStyle name="Porcentual 3 4 3 4 2" xfId="59378" xr:uid="{00000000-0005-0000-0000-000004E80000}"/>
    <cellStyle name="Porcentual 3 4 3 4 2 2" xfId="59379" xr:uid="{00000000-0005-0000-0000-000005E80000}"/>
    <cellStyle name="Porcentual 3 4 3 4 2 2 2" xfId="59380" xr:uid="{00000000-0005-0000-0000-000006E80000}"/>
    <cellStyle name="Porcentual 3 4 3 4 2 2 2 2" xfId="59381" xr:uid="{00000000-0005-0000-0000-000007E80000}"/>
    <cellStyle name="Porcentual 3 4 3 4 2 2 3" xfId="59382" xr:uid="{00000000-0005-0000-0000-000008E80000}"/>
    <cellStyle name="Porcentual 3 4 3 4 2 2 4" xfId="59383" xr:uid="{00000000-0005-0000-0000-000009E80000}"/>
    <cellStyle name="Porcentual 3 4 3 4 2 3" xfId="59384" xr:uid="{00000000-0005-0000-0000-00000AE80000}"/>
    <cellStyle name="Porcentual 3 4 3 4 2 3 2" xfId="59385" xr:uid="{00000000-0005-0000-0000-00000BE80000}"/>
    <cellStyle name="Porcentual 3 4 3 4 2 4" xfId="59386" xr:uid="{00000000-0005-0000-0000-00000CE80000}"/>
    <cellStyle name="Porcentual 3 4 3 4 2 5" xfId="59387" xr:uid="{00000000-0005-0000-0000-00000DE80000}"/>
    <cellStyle name="Porcentual 3 4 3 4 3" xfId="59388" xr:uid="{00000000-0005-0000-0000-00000EE80000}"/>
    <cellStyle name="Porcentual 3 4 3 4 3 2" xfId="59389" xr:uid="{00000000-0005-0000-0000-00000FE80000}"/>
    <cellStyle name="Porcentual 3 4 3 4 3 2 2" xfId="59390" xr:uid="{00000000-0005-0000-0000-000010E80000}"/>
    <cellStyle name="Porcentual 3 4 3 4 3 3" xfId="59391" xr:uid="{00000000-0005-0000-0000-000011E80000}"/>
    <cellStyle name="Porcentual 3 4 3 4 3 3 2" xfId="59392" xr:uid="{00000000-0005-0000-0000-000012E80000}"/>
    <cellStyle name="Porcentual 3 4 3 4 3 4" xfId="59393" xr:uid="{00000000-0005-0000-0000-000013E80000}"/>
    <cellStyle name="Porcentual 3 4 3 4 3 5" xfId="59394" xr:uid="{00000000-0005-0000-0000-000014E80000}"/>
    <cellStyle name="Porcentual 3 4 3 4 4" xfId="59395" xr:uid="{00000000-0005-0000-0000-000015E80000}"/>
    <cellStyle name="Porcentual 3 4 3 4 4 2" xfId="59396" xr:uid="{00000000-0005-0000-0000-000016E80000}"/>
    <cellStyle name="Porcentual 3 4 3 4 5" xfId="59397" xr:uid="{00000000-0005-0000-0000-000017E80000}"/>
    <cellStyle name="Porcentual 3 4 3 4 5 2" xfId="59398" xr:uid="{00000000-0005-0000-0000-000018E80000}"/>
    <cellStyle name="Porcentual 3 4 3 4 6" xfId="59399" xr:uid="{00000000-0005-0000-0000-000019E80000}"/>
    <cellStyle name="Porcentual 3 4 3 4 7" xfId="59400" xr:uid="{00000000-0005-0000-0000-00001AE80000}"/>
    <cellStyle name="Porcentual 3 4 3 5" xfId="59401" xr:uid="{00000000-0005-0000-0000-00001BE80000}"/>
    <cellStyle name="Porcentual 3 4 3 5 2" xfId="59402" xr:uid="{00000000-0005-0000-0000-00001CE80000}"/>
    <cellStyle name="Porcentual 3 4 3 5 2 2" xfId="59403" xr:uid="{00000000-0005-0000-0000-00001DE80000}"/>
    <cellStyle name="Porcentual 3 4 3 5 2 2 2" xfId="59404" xr:uid="{00000000-0005-0000-0000-00001EE80000}"/>
    <cellStyle name="Porcentual 3 4 3 5 2 3" xfId="59405" xr:uid="{00000000-0005-0000-0000-00001FE80000}"/>
    <cellStyle name="Porcentual 3 4 3 5 2 4" xfId="59406" xr:uid="{00000000-0005-0000-0000-000020E80000}"/>
    <cellStyle name="Porcentual 3 4 3 5 3" xfId="59407" xr:uid="{00000000-0005-0000-0000-000021E80000}"/>
    <cellStyle name="Porcentual 3 4 3 5 3 2" xfId="59408" xr:uid="{00000000-0005-0000-0000-000022E80000}"/>
    <cellStyle name="Porcentual 3 4 3 5 4" xfId="59409" xr:uid="{00000000-0005-0000-0000-000023E80000}"/>
    <cellStyle name="Porcentual 3 4 3 5 5" xfId="59410" xr:uid="{00000000-0005-0000-0000-000024E80000}"/>
    <cellStyle name="Porcentual 3 4 3 6" xfId="59411" xr:uid="{00000000-0005-0000-0000-000025E80000}"/>
    <cellStyle name="Porcentual 3 4 3 6 2" xfId="59412" xr:uid="{00000000-0005-0000-0000-000026E80000}"/>
    <cellStyle name="Porcentual 3 4 3 6 2 2" xfId="59413" xr:uid="{00000000-0005-0000-0000-000027E80000}"/>
    <cellStyle name="Porcentual 3 4 3 6 3" xfId="59414" xr:uid="{00000000-0005-0000-0000-000028E80000}"/>
    <cellStyle name="Porcentual 3 4 3 6 3 2" xfId="59415" xr:uid="{00000000-0005-0000-0000-000029E80000}"/>
    <cellStyle name="Porcentual 3 4 3 6 4" xfId="59416" xr:uid="{00000000-0005-0000-0000-00002AE80000}"/>
    <cellStyle name="Porcentual 3 4 3 6 5" xfId="59417" xr:uid="{00000000-0005-0000-0000-00002BE80000}"/>
    <cellStyle name="Porcentual 3 4 3 7" xfId="59418" xr:uid="{00000000-0005-0000-0000-00002CE80000}"/>
    <cellStyle name="Porcentual 3 4 3 7 2" xfId="59419" xr:uid="{00000000-0005-0000-0000-00002DE80000}"/>
    <cellStyle name="Porcentual 3 4 3 8" xfId="59420" xr:uid="{00000000-0005-0000-0000-00002EE80000}"/>
    <cellStyle name="Porcentual 3 4 3 8 2" xfId="59421" xr:uid="{00000000-0005-0000-0000-00002FE80000}"/>
    <cellStyle name="Porcentual 3 4 3 9" xfId="59422" xr:uid="{00000000-0005-0000-0000-000030E80000}"/>
    <cellStyle name="Porcentual 3 4 4" xfId="59423" xr:uid="{00000000-0005-0000-0000-000031E80000}"/>
    <cellStyle name="Porcentual 3 4 4 2" xfId="59424" xr:uid="{00000000-0005-0000-0000-000032E80000}"/>
    <cellStyle name="Porcentual 3 4 4 2 2" xfId="59425" xr:uid="{00000000-0005-0000-0000-000033E80000}"/>
    <cellStyle name="Porcentual 3 4 4 2 2 2" xfId="59426" xr:uid="{00000000-0005-0000-0000-000034E80000}"/>
    <cellStyle name="Porcentual 3 4 4 2 2 2 2" xfId="59427" xr:uid="{00000000-0005-0000-0000-000035E80000}"/>
    <cellStyle name="Porcentual 3 4 4 2 2 2 2 2" xfId="59428" xr:uid="{00000000-0005-0000-0000-000036E80000}"/>
    <cellStyle name="Porcentual 3 4 4 2 2 2 2 2 2" xfId="59429" xr:uid="{00000000-0005-0000-0000-000037E80000}"/>
    <cellStyle name="Porcentual 3 4 4 2 2 2 2 3" xfId="59430" xr:uid="{00000000-0005-0000-0000-000038E80000}"/>
    <cellStyle name="Porcentual 3 4 4 2 2 2 2 4" xfId="59431" xr:uid="{00000000-0005-0000-0000-000039E80000}"/>
    <cellStyle name="Porcentual 3 4 4 2 2 2 3" xfId="59432" xr:uid="{00000000-0005-0000-0000-00003AE80000}"/>
    <cellStyle name="Porcentual 3 4 4 2 2 2 3 2" xfId="59433" xr:uid="{00000000-0005-0000-0000-00003BE80000}"/>
    <cellStyle name="Porcentual 3 4 4 2 2 2 4" xfId="59434" xr:uid="{00000000-0005-0000-0000-00003CE80000}"/>
    <cellStyle name="Porcentual 3 4 4 2 2 2 5" xfId="59435" xr:uid="{00000000-0005-0000-0000-00003DE80000}"/>
    <cellStyle name="Porcentual 3 4 4 2 2 3" xfId="59436" xr:uid="{00000000-0005-0000-0000-00003EE80000}"/>
    <cellStyle name="Porcentual 3 4 4 2 2 3 2" xfId="59437" xr:uid="{00000000-0005-0000-0000-00003FE80000}"/>
    <cellStyle name="Porcentual 3 4 4 2 2 3 2 2" xfId="59438" xr:uid="{00000000-0005-0000-0000-000040E80000}"/>
    <cellStyle name="Porcentual 3 4 4 2 2 3 3" xfId="59439" xr:uid="{00000000-0005-0000-0000-000041E80000}"/>
    <cellStyle name="Porcentual 3 4 4 2 2 3 4" xfId="59440" xr:uid="{00000000-0005-0000-0000-000042E80000}"/>
    <cellStyle name="Porcentual 3 4 4 2 2 4" xfId="59441" xr:uid="{00000000-0005-0000-0000-000043E80000}"/>
    <cellStyle name="Porcentual 3 4 4 2 2 4 2" xfId="59442" xr:uid="{00000000-0005-0000-0000-000044E80000}"/>
    <cellStyle name="Porcentual 3 4 4 2 2 5" xfId="59443" xr:uid="{00000000-0005-0000-0000-000045E80000}"/>
    <cellStyle name="Porcentual 3 4 4 2 2 6" xfId="59444" xr:uid="{00000000-0005-0000-0000-000046E80000}"/>
    <cellStyle name="Porcentual 3 4 4 2 3" xfId="59445" xr:uid="{00000000-0005-0000-0000-000047E80000}"/>
    <cellStyle name="Porcentual 3 4 4 2 3 2" xfId="59446" xr:uid="{00000000-0005-0000-0000-000048E80000}"/>
    <cellStyle name="Porcentual 3 4 4 2 3 2 2" xfId="59447" xr:uid="{00000000-0005-0000-0000-000049E80000}"/>
    <cellStyle name="Porcentual 3 4 4 2 3 2 2 2" xfId="59448" xr:uid="{00000000-0005-0000-0000-00004AE80000}"/>
    <cellStyle name="Porcentual 3 4 4 2 3 2 3" xfId="59449" xr:uid="{00000000-0005-0000-0000-00004BE80000}"/>
    <cellStyle name="Porcentual 3 4 4 2 3 2 4" xfId="59450" xr:uid="{00000000-0005-0000-0000-00004CE80000}"/>
    <cellStyle name="Porcentual 3 4 4 2 3 3" xfId="59451" xr:uid="{00000000-0005-0000-0000-00004DE80000}"/>
    <cellStyle name="Porcentual 3 4 4 2 3 3 2" xfId="59452" xr:uid="{00000000-0005-0000-0000-00004EE80000}"/>
    <cellStyle name="Porcentual 3 4 4 2 3 4" xfId="59453" xr:uid="{00000000-0005-0000-0000-00004FE80000}"/>
    <cellStyle name="Porcentual 3 4 4 2 3 5" xfId="59454" xr:uid="{00000000-0005-0000-0000-000050E80000}"/>
    <cellStyle name="Porcentual 3 4 4 2 4" xfId="59455" xr:uid="{00000000-0005-0000-0000-000051E80000}"/>
    <cellStyle name="Porcentual 3 4 4 2 4 2" xfId="59456" xr:uid="{00000000-0005-0000-0000-000052E80000}"/>
    <cellStyle name="Porcentual 3 4 4 2 4 2 2" xfId="59457" xr:uid="{00000000-0005-0000-0000-000053E80000}"/>
    <cellStyle name="Porcentual 3 4 4 2 4 3" xfId="59458" xr:uid="{00000000-0005-0000-0000-000054E80000}"/>
    <cellStyle name="Porcentual 3 4 4 2 4 4" xfId="59459" xr:uid="{00000000-0005-0000-0000-000055E80000}"/>
    <cellStyle name="Porcentual 3 4 4 2 5" xfId="59460" xr:uid="{00000000-0005-0000-0000-000056E80000}"/>
    <cellStyle name="Porcentual 3 4 4 2 5 2" xfId="59461" xr:uid="{00000000-0005-0000-0000-000057E80000}"/>
    <cellStyle name="Porcentual 3 4 4 2 6" xfId="59462" xr:uid="{00000000-0005-0000-0000-000058E80000}"/>
    <cellStyle name="Porcentual 3 4 4 2 7" xfId="59463" xr:uid="{00000000-0005-0000-0000-000059E80000}"/>
    <cellStyle name="Porcentual 3 4 4 3" xfId="59464" xr:uid="{00000000-0005-0000-0000-00005AE80000}"/>
    <cellStyle name="Porcentual 3 4 4 3 2" xfId="59465" xr:uid="{00000000-0005-0000-0000-00005BE80000}"/>
    <cellStyle name="Porcentual 3 4 4 3 2 2" xfId="59466" xr:uid="{00000000-0005-0000-0000-00005CE80000}"/>
    <cellStyle name="Porcentual 3 4 4 3 2 2 2" xfId="59467" xr:uid="{00000000-0005-0000-0000-00005DE80000}"/>
    <cellStyle name="Porcentual 3 4 4 3 2 2 2 2" xfId="59468" xr:uid="{00000000-0005-0000-0000-00005EE80000}"/>
    <cellStyle name="Porcentual 3 4 4 3 2 2 3" xfId="59469" xr:uid="{00000000-0005-0000-0000-00005FE80000}"/>
    <cellStyle name="Porcentual 3 4 4 3 2 2 4" xfId="59470" xr:uid="{00000000-0005-0000-0000-000060E80000}"/>
    <cellStyle name="Porcentual 3 4 4 3 2 3" xfId="59471" xr:uid="{00000000-0005-0000-0000-000061E80000}"/>
    <cellStyle name="Porcentual 3 4 4 3 2 3 2" xfId="59472" xr:uid="{00000000-0005-0000-0000-000062E80000}"/>
    <cellStyle name="Porcentual 3 4 4 3 2 4" xfId="59473" xr:uid="{00000000-0005-0000-0000-000063E80000}"/>
    <cellStyle name="Porcentual 3 4 4 3 2 5" xfId="59474" xr:uid="{00000000-0005-0000-0000-000064E80000}"/>
    <cellStyle name="Porcentual 3 4 4 3 3" xfId="59475" xr:uid="{00000000-0005-0000-0000-000065E80000}"/>
    <cellStyle name="Porcentual 3 4 4 3 3 2" xfId="59476" xr:uid="{00000000-0005-0000-0000-000066E80000}"/>
    <cellStyle name="Porcentual 3 4 4 3 3 2 2" xfId="59477" xr:uid="{00000000-0005-0000-0000-000067E80000}"/>
    <cellStyle name="Porcentual 3 4 4 3 3 3" xfId="59478" xr:uid="{00000000-0005-0000-0000-000068E80000}"/>
    <cellStyle name="Porcentual 3 4 4 3 3 3 2" xfId="59479" xr:uid="{00000000-0005-0000-0000-000069E80000}"/>
    <cellStyle name="Porcentual 3 4 4 3 3 4" xfId="59480" xr:uid="{00000000-0005-0000-0000-00006AE80000}"/>
    <cellStyle name="Porcentual 3 4 4 3 3 5" xfId="59481" xr:uid="{00000000-0005-0000-0000-00006BE80000}"/>
    <cellStyle name="Porcentual 3 4 4 3 4" xfId="59482" xr:uid="{00000000-0005-0000-0000-00006CE80000}"/>
    <cellStyle name="Porcentual 3 4 4 3 4 2" xfId="59483" xr:uid="{00000000-0005-0000-0000-00006DE80000}"/>
    <cellStyle name="Porcentual 3 4 4 3 5" xfId="59484" xr:uid="{00000000-0005-0000-0000-00006EE80000}"/>
    <cellStyle name="Porcentual 3 4 4 3 5 2" xfId="59485" xr:uid="{00000000-0005-0000-0000-00006FE80000}"/>
    <cellStyle name="Porcentual 3 4 4 3 6" xfId="59486" xr:uid="{00000000-0005-0000-0000-000070E80000}"/>
    <cellStyle name="Porcentual 3 4 4 3 7" xfId="59487" xr:uid="{00000000-0005-0000-0000-000071E80000}"/>
    <cellStyle name="Porcentual 3 4 4 4" xfId="59488" xr:uid="{00000000-0005-0000-0000-000072E80000}"/>
    <cellStyle name="Porcentual 3 4 4 4 2" xfId="59489" xr:uid="{00000000-0005-0000-0000-000073E80000}"/>
    <cellStyle name="Porcentual 3 4 4 4 2 2" xfId="59490" xr:uid="{00000000-0005-0000-0000-000074E80000}"/>
    <cellStyle name="Porcentual 3 4 4 4 2 2 2" xfId="59491" xr:uid="{00000000-0005-0000-0000-000075E80000}"/>
    <cellStyle name="Porcentual 3 4 4 4 2 3" xfId="59492" xr:uid="{00000000-0005-0000-0000-000076E80000}"/>
    <cellStyle name="Porcentual 3 4 4 4 2 4" xfId="59493" xr:uid="{00000000-0005-0000-0000-000077E80000}"/>
    <cellStyle name="Porcentual 3 4 4 4 3" xfId="59494" xr:uid="{00000000-0005-0000-0000-000078E80000}"/>
    <cellStyle name="Porcentual 3 4 4 4 3 2" xfId="59495" xr:uid="{00000000-0005-0000-0000-000079E80000}"/>
    <cellStyle name="Porcentual 3 4 4 4 4" xfId="59496" xr:uid="{00000000-0005-0000-0000-00007AE80000}"/>
    <cellStyle name="Porcentual 3 4 4 4 5" xfId="59497" xr:uid="{00000000-0005-0000-0000-00007BE80000}"/>
    <cellStyle name="Porcentual 3 4 4 5" xfId="59498" xr:uid="{00000000-0005-0000-0000-00007CE80000}"/>
    <cellStyle name="Porcentual 3 4 4 5 2" xfId="59499" xr:uid="{00000000-0005-0000-0000-00007DE80000}"/>
    <cellStyle name="Porcentual 3 4 4 5 2 2" xfId="59500" xr:uid="{00000000-0005-0000-0000-00007EE80000}"/>
    <cellStyle name="Porcentual 3 4 4 5 3" xfId="59501" xr:uid="{00000000-0005-0000-0000-00007FE80000}"/>
    <cellStyle name="Porcentual 3 4 4 5 3 2" xfId="59502" xr:uid="{00000000-0005-0000-0000-000080E80000}"/>
    <cellStyle name="Porcentual 3 4 4 5 4" xfId="59503" xr:uid="{00000000-0005-0000-0000-000081E80000}"/>
    <cellStyle name="Porcentual 3 4 4 5 5" xfId="59504" xr:uid="{00000000-0005-0000-0000-000082E80000}"/>
    <cellStyle name="Porcentual 3 4 4 6" xfId="59505" xr:uid="{00000000-0005-0000-0000-000083E80000}"/>
    <cellStyle name="Porcentual 3 4 4 6 2" xfId="59506" xr:uid="{00000000-0005-0000-0000-000084E80000}"/>
    <cellStyle name="Porcentual 3 4 4 7" xfId="59507" xr:uid="{00000000-0005-0000-0000-000085E80000}"/>
    <cellStyle name="Porcentual 3 4 4 7 2" xfId="59508" xr:uid="{00000000-0005-0000-0000-000086E80000}"/>
    <cellStyle name="Porcentual 3 4 4 8" xfId="59509" xr:uid="{00000000-0005-0000-0000-000087E80000}"/>
    <cellStyle name="Porcentual 3 4 4 9" xfId="59510" xr:uid="{00000000-0005-0000-0000-000088E80000}"/>
    <cellStyle name="Porcentual 3 4 5" xfId="59511" xr:uid="{00000000-0005-0000-0000-000089E80000}"/>
    <cellStyle name="Porcentual 3 4 5 2" xfId="59512" xr:uid="{00000000-0005-0000-0000-00008AE80000}"/>
    <cellStyle name="Porcentual 3 4 5 2 2" xfId="59513" xr:uid="{00000000-0005-0000-0000-00008BE80000}"/>
    <cellStyle name="Porcentual 3 4 5 2 2 2" xfId="59514" xr:uid="{00000000-0005-0000-0000-00008CE80000}"/>
    <cellStyle name="Porcentual 3 4 5 2 2 2 2" xfId="59515" xr:uid="{00000000-0005-0000-0000-00008DE80000}"/>
    <cellStyle name="Porcentual 3 4 5 2 2 2 2 2" xfId="59516" xr:uid="{00000000-0005-0000-0000-00008EE80000}"/>
    <cellStyle name="Porcentual 3 4 5 2 2 2 3" xfId="59517" xr:uid="{00000000-0005-0000-0000-00008FE80000}"/>
    <cellStyle name="Porcentual 3 4 5 2 2 2 4" xfId="59518" xr:uid="{00000000-0005-0000-0000-000090E80000}"/>
    <cellStyle name="Porcentual 3 4 5 2 2 3" xfId="59519" xr:uid="{00000000-0005-0000-0000-000091E80000}"/>
    <cellStyle name="Porcentual 3 4 5 2 2 3 2" xfId="59520" xr:uid="{00000000-0005-0000-0000-000092E80000}"/>
    <cellStyle name="Porcentual 3 4 5 2 2 4" xfId="59521" xr:uid="{00000000-0005-0000-0000-000093E80000}"/>
    <cellStyle name="Porcentual 3 4 5 2 2 5" xfId="59522" xr:uid="{00000000-0005-0000-0000-000094E80000}"/>
    <cellStyle name="Porcentual 3 4 5 2 3" xfId="59523" xr:uid="{00000000-0005-0000-0000-000095E80000}"/>
    <cellStyle name="Porcentual 3 4 5 2 3 2" xfId="59524" xr:uid="{00000000-0005-0000-0000-000096E80000}"/>
    <cellStyle name="Porcentual 3 4 5 2 3 2 2" xfId="59525" xr:uid="{00000000-0005-0000-0000-000097E80000}"/>
    <cellStyle name="Porcentual 3 4 5 2 3 3" xfId="59526" xr:uid="{00000000-0005-0000-0000-000098E80000}"/>
    <cellStyle name="Porcentual 3 4 5 2 3 3 2" xfId="59527" xr:uid="{00000000-0005-0000-0000-000099E80000}"/>
    <cellStyle name="Porcentual 3 4 5 2 3 4" xfId="59528" xr:uid="{00000000-0005-0000-0000-00009AE80000}"/>
    <cellStyle name="Porcentual 3 4 5 2 3 5" xfId="59529" xr:uid="{00000000-0005-0000-0000-00009BE80000}"/>
    <cellStyle name="Porcentual 3 4 5 2 4" xfId="59530" xr:uid="{00000000-0005-0000-0000-00009CE80000}"/>
    <cellStyle name="Porcentual 3 4 5 2 4 2" xfId="59531" xr:uid="{00000000-0005-0000-0000-00009DE80000}"/>
    <cellStyle name="Porcentual 3 4 5 2 5" xfId="59532" xr:uid="{00000000-0005-0000-0000-00009EE80000}"/>
    <cellStyle name="Porcentual 3 4 5 2 5 2" xfId="59533" xr:uid="{00000000-0005-0000-0000-00009FE80000}"/>
    <cellStyle name="Porcentual 3 4 5 2 6" xfId="59534" xr:uid="{00000000-0005-0000-0000-0000A0E80000}"/>
    <cellStyle name="Porcentual 3 4 5 2 7" xfId="59535" xr:uid="{00000000-0005-0000-0000-0000A1E80000}"/>
    <cellStyle name="Porcentual 3 4 5 3" xfId="59536" xr:uid="{00000000-0005-0000-0000-0000A2E80000}"/>
    <cellStyle name="Porcentual 3 4 5 3 2" xfId="59537" xr:uid="{00000000-0005-0000-0000-0000A3E80000}"/>
    <cellStyle name="Porcentual 3 4 5 3 2 2" xfId="59538" xr:uid="{00000000-0005-0000-0000-0000A4E80000}"/>
    <cellStyle name="Porcentual 3 4 5 3 2 2 2" xfId="59539" xr:uid="{00000000-0005-0000-0000-0000A5E80000}"/>
    <cellStyle name="Porcentual 3 4 5 3 2 3" xfId="59540" xr:uid="{00000000-0005-0000-0000-0000A6E80000}"/>
    <cellStyle name="Porcentual 3 4 5 3 2 4" xfId="59541" xr:uid="{00000000-0005-0000-0000-0000A7E80000}"/>
    <cellStyle name="Porcentual 3 4 5 3 3" xfId="59542" xr:uid="{00000000-0005-0000-0000-0000A8E80000}"/>
    <cellStyle name="Porcentual 3 4 5 3 3 2" xfId="59543" xr:uid="{00000000-0005-0000-0000-0000A9E80000}"/>
    <cellStyle name="Porcentual 3 4 5 3 4" xfId="59544" xr:uid="{00000000-0005-0000-0000-0000AAE80000}"/>
    <cellStyle name="Porcentual 3 4 5 3 5" xfId="59545" xr:uid="{00000000-0005-0000-0000-0000ABE80000}"/>
    <cellStyle name="Porcentual 3 4 5 4" xfId="59546" xr:uid="{00000000-0005-0000-0000-0000ACE80000}"/>
    <cellStyle name="Porcentual 3 4 5 4 2" xfId="59547" xr:uid="{00000000-0005-0000-0000-0000ADE80000}"/>
    <cellStyle name="Porcentual 3 4 5 4 2 2" xfId="59548" xr:uid="{00000000-0005-0000-0000-0000AEE80000}"/>
    <cellStyle name="Porcentual 3 4 5 4 3" xfId="59549" xr:uid="{00000000-0005-0000-0000-0000AFE80000}"/>
    <cellStyle name="Porcentual 3 4 5 4 3 2" xfId="59550" xr:uid="{00000000-0005-0000-0000-0000B0E80000}"/>
    <cellStyle name="Porcentual 3 4 5 4 4" xfId="59551" xr:uid="{00000000-0005-0000-0000-0000B1E80000}"/>
    <cellStyle name="Porcentual 3 4 5 4 5" xfId="59552" xr:uid="{00000000-0005-0000-0000-0000B2E80000}"/>
    <cellStyle name="Porcentual 3 4 5 5" xfId="59553" xr:uid="{00000000-0005-0000-0000-0000B3E80000}"/>
    <cellStyle name="Porcentual 3 4 5 5 2" xfId="59554" xr:uid="{00000000-0005-0000-0000-0000B4E80000}"/>
    <cellStyle name="Porcentual 3 4 5 6" xfId="59555" xr:uid="{00000000-0005-0000-0000-0000B5E80000}"/>
    <cellStyle name="Porcentual 3 4 5 6 2" xfId="59556" xr:uid="{00000000-0005-0000-0000-0000B6E80000}"/>
    <cellStyle name="Porcentual 3 4 5 7" xfId="59557" xr:uid="{00000000-0005-0000-0000-0000B7E80000}"/>
    <cellStyle name="Porcentual 3 4 5 8" xfId="59558" xr:uid="{00000000-0005-0000-0000-0000B8E80000}"/>
    <cellStyle name="Porcentual 3 4 6" xfId="59559" xr:uid="{00000000-0005-0000-0000-0000B9E80000}"/>
    <cellStyle name="Porcentual 3 4 6 2" xfId="59560" xr:uid="{00000000-0005-0000-0000-0000BAE80000}"/>
    <cellStyle name="Porcentual 3 4 6 2 2" xfId="59561" xr:uid="{00000000-0005-0000-0000-0000BBE80000}"/>
    <cellStyle name="Porcentual 3 4 6 2 2 2" xfId="59562" xr:uid="{00000000-0005-0000-0000-0000BCE80000}"/>
    <cellStyle name="Porcentual 3 4 6 2 2 2 2" xfId="59563" xr:uid="{00000000-0005-0000-0000-0000BDE80000}"/>
    <cellStyle name="Porcentual 3 4 6 2 2 3" xfId="59564" xr:uid="{00000000-0005-0000-0000-0000BEE80000}"/>
    <cellStyle name="Porcentual 3 4 6 2 2 4" xfId="59565" xr:uid="{00000000-0005-0000-0000-0000BFE80000}"/>
    <cellStyle name="Porcentual 3 4 6 2 3" xfId="59566" xr:uid="{00000000-0005-0000-0000-0000C0E80000}"/>
    <cellStyle name="Porcentual 3 4 6 2 3 2" xfId="59567" xr:uid="{00000000-0005-0000-0000-0000C1E80000}"/>
    <cellStyle name="Porcentual 3 4 6 2 4" xfId="59568" xr:uid="{00000000-0005-0000-0000-0000C2E80000}"/>
    <cellStyle name="Porcentual 3 4 6 2 5" xfId="59569" xr:uid="{00000000-0005-0000-0000-0000C3E80000}"/>
    <cellStyle name="Porcentual 3 4 6 3" xfId="59570" xr:uid="{00000000-0005-0000-0000-0000C4E80000}"/>
    <cellStyle name="Porcentual 3 4 6 3 2" xfId="59571" xr:uid="{00000000-0005-0000-0000-0000C5E80000}"/>
    <cellStyle name="Porcentual 3 4 6 3 2 2" xfId="59572" xr:uid="{00000000-0005-0000-0000-0000C6E80000}"/>
    <cellStyle name="Porcentual 3 4 6 3 3" xfId="59573" xr:uid="{00000000-0005-0000-0000-0000C7E80000}"/>
    <cellStyle name="Porcentual 3 4 6 3 3 2" xfId="59574" xr:uid="{00000000-0005-0000-0000-0000C8E80000}"/>
    <cellStyle name="Porcentual 3 4 6 3 4" xfId="59575" xr:uid="{00000000-0005-0000-0000-0000C9E80000}"/>
    <cellStyle name="Porcentual 3 4 6 3 5" xfId="59576" xr:uid="{00000000-0005-0000-0000-0000CAE80000}"/>
    <cellStyle name="Porcentual 3 4 6 4" xfId="59577" xr:uid="{00000000-0005-0000-0000-0000CBE80000}"/>
    <cellStyle name="Porcentual 3 4 6 4 2" xfId="59578" xr:uid="{00000000-0005-0000-0000-0000CCE80000}"/>
    <cellStyle name="Porcentual 3 4 6 5" xfId="59579" xr:uid="{00000000-0005-0000-0000-0000CDE80000}"/>
    <cellStyle name="Porcentual 3 4 6 5 2" xfId="59580" xr:uid="{00000000-0005-0000-0000-0000CEE80000}"/>
    <cellStyle name="Porcentual 3 4 6 6" xfId="59581" xr:uid="{00000000-0005-0000-0000-0000CFE80000}"/>
    <cellStyle name="Porcentual 3 4 6 7" xfId="59582" xr:uid="{00000000-0005-0000-0000-0000D0E80000}"/>
    <cellStyle name="Porcentual 3 4 7" xfId="59583" xr:uid="{00000000-0005-0000-0000-0000D1E80000}"/>
    <cellStyle name="Porcentual 3 4 7 2" xfId="59584" xr:uid="{00000000-0005-0000-0000-0000D2E80000}"/>
    <cellStyle name="Porcentual 3 4 7 2 2" xfId="59585" xr:uid="{00000000-0005-0000-0000-0000D3E80000}"/>
    <cellStyle name="Porcentual 3 4 7 2 2 2" xfId="59586" xr:uid="{00000000-0005-0000-0000-0000D4E80000}"/>
    <cellStyle name="Porcentual 3 4 7 2 3" xfId="59587" xr:uid="{00000000-0005-0000-0000-0000D5E80000}"/>
    <cellStyle name="Porcentual 3 4 7 2 4" xfId="59588" xr:uid="{00000000-0005-0000-0000-0000D6E80000}"/>
    <cellStyle name="Porcentual 3 4 7 3" xfId="59589" xr:uid="{00000000-0005-0000-0000-0000D7E80000}"/>
    <cellStyle name="Porcentual 3 4 7 3 2" xfId="59590" xr:uid="{00000000-0005-0000-0000-0000D8E80000}"/>
    <cellStyle name="Porcentual 3 4 7 4" xfId="59591" xr:uid="{00000000-0005-0000-0000-0000D9E80000}"/>
    <cellStyle name="Porcentual 3 4 7 5" xfId="59592" xr:uid="{00000000-0005-0000-0000-0000DAE80000}"/>
    <cellStyle name="Porcentual 3 4 8" xfId="59593" xr:uid="{00000000-0005-0000-0000-0000DBE80000}"/>
    <cellStyle name="Porcentual 3 4 8 2" xfId="59594" xr:uid="{00000000-0005-0000-0000-0000DCE80000}"/>
    <cellStyle name="Porcentual 3 4 8 2 2" xfId="59595" xr:uid="{00000000-0005-0000-0000-0000DDE80000}"/>
    <cellStyle name="Porcentual 3 4 8 3" xfId="59596" xr:uid="{00000000-0005-0000-0000-0000DEE80000}"/>
    <cellStyle name="Porcentual 3 4 8 3 2" xfId="59597" xr:uid="{00000000-0005-0000-0000-0000DFE80000}"/>
    <cellStyle name="Porcentual 3 4 8 4" xfId="59598" xr:uid="{00000000-0005-0000-0000-0000E0E80000}"/>
    <cellStyle name="Porcentual 3 4 8 5" xfId="59599" xr:uid="{00000000-0005-0000-0000-0000E1E80000}"/>
    <cellStyle name="Porcentual 3 4 9" xfId="59600" xr:uid="{00000000-0005-0000-0000-0000E2E80000}"/>
    <cellStyle name="Porcentual 3 4 9 2" xfId="59601" xr:uid="{00000000-0005-0000-0000-0000E3E80000}"/>
    <cellStyle name="Porcentual 3 5" xfId="59602" xr:uid="{00000000-0005-0000-0000-0000E4E80000}"/>
    <cellStyle name="Porcentual 3 5 10" xfId="59603" xr:uid="{00000000-0005-0000-0000-0000E5E80000}"/>
    <cellStyle name="Porcentual 3 5 10 2" xfId="59604" xr:uid="{00000000-0005-0000-0000-0000E6E80000}"/>
    <cellStyle name="Porcentual 3 5 11" xfId="59605" xr:uid="{00000000-0005-0000-0000-0000E7E80000}"/>
    <cellStyle name="Porcentual 3 5 12" xfId="59606" xr:uid="{00000000-0005-0000-0000-0000E8E80000}"/>
    <cellStyle name="Porcentual 3 5 2" xfId="59607" xr:uid="{00000000-0005-0000-0000-0000E9E80000}"/>
    <cellStyle name="Porcentual 3 5 2 10" xfId="59608" xr:uid="{00000000-0005-0000-0000-0000EAE80000}"/>
    <cellStyle name="Porcentual 3 5 2 11" xfId="59609" xr:uid="{00000000-0005-0000-0000-0000EBE80000}"/>
    <cellStyle name="Porcentual 3 5 2 2" xfId="59610" xr:uid="{00000000-0005-0000-0000-0000ECE80000}"/>
    <cellStyle name="Porcentual 3 5 2 2 10" xfId="59611" xr:uid="{00000000-0005-0000-0000-0000EDE80000}"/>
    <cellStyle name="Porcentual 3 5 2 2 2" xfId="59612" xr:uid="{00000000-0005-0000-0000-0000EEE80000}"/>
    <cellStyle name="Porcentual 3 5 2 2 2 2" xfId="59613" xr:uid="{00000000-0005-0000-0000-0000EFE80000}"/>
    <cellStyle name="Porcentual 3 5 2 2 2 2 2" xfId="59614" xr:uid="{00000000-0005-0000-0000-0000F0E80000}"/>
    <cellStyle name="Porcentual 3 5 2 2 2 2 2 2" xfId="59615" xr:uid="{00000000-0005-0000-0000-0000F1E80000}"/>
    <cellStyle name="Porcentual 3 5 2 2 2 2 2 2 2" xfId="59616" xr:uid="{00000000-0005-0000-0000-0000F2E80000}"/>
    <cellStyle name="Porcentual 3 5 2 2 2 2 2 2 2 2" xfId="59617" xr:uid="{00000000-0005-0000-0000-0000F3E80000}"/>
    <cellStyle name="Porcentual 3 5 2 2 2 2 2 2 2 2 2" xfId="59618" xr:uid="{00000000-0005-0000-0000-0000F4E80000}"/>
    <cellStyle name="Porcentual 3 5 2 2 2 2 2 2 2 3" xfId="59619" xr:uid="{00000000-0005-0000-0000-0000F5E80000}"/>
    <cellStyle name="Porcentual 3 5 2 2 2 2 2 2 2 4" xfId="59620" xr:uid="{00000000-0005-0000-0000-0000F6E80000}"/>
    <cellStyle name="Porcentual 3 5 2 2 2 2 2 2 3" xfId="59621" xr:uid="{00000000-0005-0000-0000-0000F7E80000}"/>
    <cellStyle name="Porcentual 3 5 2 2 2 2 2 2 3 2" xfId="59622" xr:uid="{00000000-0005-0000-0000-0000F8E80000}"/>
    <cellStyle name="Porcentual 3 5 2 2 2 2 2 2 4" xfId="59623" xr:uid="{00000000-0005-0000-0000-0000F9E80000}"/>
    <cellStyle name="Porcentual 3 5 2 2 2 2 2 2 5" xfId="59624" xr:uid="{00000000-0005-0000-0000-0000FAE80000}"/>
    <cellStyle name="Porcentual 3 5 2 2 2 2 2 3" xfId="59625" xr:uid="{00000000-0005-0000-0000-0000FBE80000}"/>
    <cellStyle name="Porcentual 3 5 2 2 2 2 2 3 2" xfId="59626" xr:uid="{00000000-0005-0000-0000-0000FCE80000}"/>
    <cellStyle name="Porcentual 3 5 2 2 2 2 2 3 2 2" xfId="59627" xr:uid="{00000000-0005-0000-0000-0000FDE80000}"/>
    <cellStyle name="Porcentual 3 5 2 2 2 2 2 3 3" xfId="59628" xr:uid="{00000000-0005-0000-0000-0000FEE80000}"/>
    <cellStyle name="Porcentual 3 5 2 2 2 2 2 3 4" xfId="59629" xr:uid="{00000000-0005-0000-0000-0000FFE80000}"/>
    <cellStyle name="Porcentual 3 5 2 2 2 2 2 4" xfId="59630" xr:uid="{00000000-0005-0000-0000-000000E90000}"/>
    <cellStyle name="Porcentual 3 5 2 2 2 2 2 4 2" xfId="59631" xr:uid="{00000000-0005-0000-0000-000001E90000}"/>
    <cellStyle name="Porcentual 3 5 2 2 2 2 2 5" xfId="59632" xr:uid="{00000000-0005-0000-0000-000002E90000}"/>
    <cellStyle name="Porcentual 3 5 2 2 2 2 2 6" xfId="59633" xr:uid="{00000000-0005-0000-0000-000003E90000}"/>
    <cellStyle name="Porcentual 3 5 2 2 2 2 3" xfId="59634" xr:uid="{00000000-0005-0000-0000-000004E90000}"/>
    <cellStyle name="Porcentual 3 5 2 2 2 2 3 2" xfId="59635" xr:uid="{00000000-0005-0000-0000-000005E90000}"/>
    <cellStyle name="Porcentual 3 5 2 2 2 2 3 2 2" xfId="59636" xr:uid="{00000000-0005-0000-0000-000006E90000}"/>
    <cellStyle name="Porcentual 3 5 2 2 2 2 3 2 2 2" xfId="59637" xr:uid="{00000000-0005-0000-0000-000007E90000}"/>
    <cellStyle name="Porcentual 3 5 2 2 2 2 3 2 3" xfId="59638" xr:uid="{00000000-0005-0000-0000-000008E90000}"/>
    <cellStyle name="Porcentual 3 5 2 2 2 2 3 2 4" xfId="59639" xr:uid="{00000000-0005-0000-0000-000009E90000}"/>
    <cellStyle name="Porcentual 3 5 2 2 2 2 3 3" xfId="59640" xr:uid="{00000000-0005-0000-0000-00000AE90000}"/>
    <cellStyle name="Porcentual 3 5 2 2 2 2 3 3 2" xfId="59641" xr:uid="{00000000-0005-0000-0000-00000BE90000}"/>
    <cellStyle name="Porcentual 3 5 2 2 2 2 3 4" xfId="59642" xr:uid="{00000000-0005-0000-0000-00000CE90000}"/>
    <cellStyle name="Porcentual 3 5 2 2 2 2 3 5" xfId="59643" xr:uid="{00000000-0005-0000-0000-00000DE90000}"/>
    <cellStyle name="Porcentual 3 5 2 2 2 2 4" xfId="59644" xr:uid="{00000000-0005-0000-0000-00000EE90000}"/>
    <cellStyle name="Porcentual 3 5 2 2 2 2 4 2" xfId="59645" xr:uid="{00000000-0005-0000-0000-00000FE90000}"/>
    <cellStyle name="Porcentual 3 5 2 2 2 2 4 2 2" xfId="59646" xr:uid="{00000000-0005-0000-0000-000010E90000}"/>
    <cellStyle name="Porcentual 3 5 2 2 2 2 4 3" xfId="59647" xr:uid="{00000000-0005-0000-0000-000011E90000}"/>
    <cellStyle name="Porcentual 3 5 2 2 2 2 4 4" xfId="59648" xr:uid="{00000000-0005-0000-0000-000012E90000}"/>
    <cellStyle name="Porcentual 3 5 2 2 2 2 5" xfId="59649" xr:uid="{00000000-0005-0000-0000-000013E90000}"/>
    <cellStyle name="Porcentual 3 5 2 2 2 2 5 2" xfId="59650" xr:uid="{00000000-0005-0000-0000-000014E90000}"/>
    <cellStyle name="Porcentual 3 5 2 2 2 2 6" xfId="59651" xr:uid="{00000000-0005-0000-0000-000015E90000}"/>
    <cellStyle name="Porcentual 3 5 2 2 2 2 7" xfId="59652" xr:uid="{00000000-0005-0000-0000-000016E90000}"/>
    <cellStyle name="Porcentual 3 5 2 2 2 3" xfId="59653" xr:uid="{00000000-0005-0000-0000-000017E90000}"/>
    <cellStyle name="Porcentual 3 5 2 2 2 3 2" xfId="59654" xr:uid="{00000000-0005-0000-0000-000018E90000}"/>
    <cellStyle name="Porcentual 3 5 2 2 2 3 2 2" xfId="59655" xr:uid="{00000000-0005-0000-0000-000019E90000}"/>
    <cellStyle name="Porcentual 3 5 2 2 2 3 2 2 2" xfId="59656" xr:uid="{00000000-0005-0000-0000-00001AE90000}"/>
    <cellStyle name="Porcentual 3 5 2 2 2 3 2 2 2 2" xfId="59657" xr:uid="{00000000-0005-0000-0000-00001BE90000}"/>
    <cellStyle name="Porcentual 3 5 2 2 2 3 2 2 3" xfId="59658" xr:uid="{00000000-0005-0000-0000-00001CE90000}"/>
    <cellStyle name="Porcentual 3 5 2 2 2 3 2 2 4" xfId="59659" xr:uid="{00000000-0005-0000-0000-00001DE90000}"/>
    <cellStyle name="Porcentual 3 5 2 2 2 3 2 3" xfId="59660" xr:uid="{00000000-0005-0000-0000-00001EE90000}"/>
    <cellStyle name="Porcentual 3 5 2 2 2 3 2 3 2" xfId="59661" xr:uid="{00000000-0005-0000-0000-00001FE90000}"/>
    <cellStyle name="Porcentual 3 5 2 2 2 3 2 4" xfId="59662" xr:uid="{00000000-0005-0000-0000-000020E90000}"/>
    <cellStyle name="Porcentual 3 5 2 2 2 3 2 5" xfId="59663" xr:uid="{00000000-0005-0000-0000-000021E90000}"/>
    <cellStyle name="Porcentual 3 5 2 2 2 3 3" xfId="59664" xr:uid="{00000000-0005-0000-0000-000022E90000}"/>
    <cellStyle name="Porcentual 3 5 2 2 2 3 3 2" xfId="59665" xr:uid="{00000000-0005-0000-0000-000023E90000}"/>
    <cellStyle name="Porcentual 3 5 2 2 2 3 3 2 2" xfId="59666" xr:uid="{00000000-0005-0000-0000-000024E90000}"/>
    <cellStyle name="Porcentual 3 5 2 2 2 3 3 3" xfId="59667" xr:uid="{00000000-0005-0000-0000-000025E90000}"/>
    <cellStyle name="Porcentual 3 5 2 2 2 3 3 3 2" xfId="59668" xr:uid="{00000000-0005-0000-0000-000026E90000}"/>
    <cellStyle name="Porcentual 3 5 2 2 2 3 3 4" xfId="59669" xr:uid="{00000000-0005-0000-0000-000027E90000}"/>
    <cellStyle name="Porcentual 3 5 2 2 2 3 3 5" xfId="59670" xr:uid="{00000000-0005-0000-0000-000028E90000}"/>
    <cellStyle name="Porcentual 3 5 2 2 2 3 4" xfId="59671" xr:uid="{00000000-0005-0000-0000-000029E90000}"/>
    <cellStyle name="Porcentual 3 5 2 2 2 3 4 2" xfId="59672" xr:uid="{00000000-0005-0000-0000-00002AE90000}"/>
    <cellStyle name="Porcentual 3 5 2 2 2 3 5" xfId="59673" xr:uid="{00000000-0005-0000-0000-00002BE90000}"/>
    <cellStyle name="Porcentual 3 5 2 2 2 3 5 2" xfId="59674" xr:uid="{00000000-0005-0000-0000-00002CE90000}"/>
    <cellStyle name="Porcentual 3 5 2 2 2 3 6" xfId="59675" xr:uid="{00000000-0005-0000-0000-00002DE90000}"/>
    <cellStyle name="Porcentual 3 5 2 2 2 3 7" xfId="59676" xr:uid="{00000000-0005-0000-0000-00002EE90000}"/>
    <cellStyle name="Porcentual 3 5 2 2 2 4" xfId="59677" xr:uid="{00000000-0005-0000-0000-00002FE90000}"/>
    <cellStyle name="Porcentual 3 5 2 2 2 4 2" xfId="59678" xr:uid="{00000000-0005-0000-0000-000030E90000}"/>
    <cellStyle name="Porcentual 3 5 2 2 2 4 2 2" xfId="59679" xr:uid="{00000000-0005-0000-0000-000031E90000}"/>
    <cellStyle name="Porcentual 3 5 2 2 2 4 2 2 2" xfId="59680" xr:uid="{00000000-0005-0000-0000-000032E90000}"/>
    <cellStyle name="Porcentual 3 5 2 2 2 4 2 3" xfId="59681" xr:uid="{00000000-0005-0000-0000-000033E90000}"/>
    <cellStyle name="Porcentual 3 5 2 2 2 4 2 4" xfId="59682" xr:uid="{00000000-0005-0000-0000-000034E90000}"/>
    <cellStyle name="Porcentual 3 5 2 2 2 4 3" xfId="59683" xr:uid="{00000000-0005-0000-0000-000035E90000}"/>
    <cellStyle name="Porcentual 3 5 2 2 2 4 3 2" xfId="59684" xr:uid="{00000000-0005-0000-0000-000036E90000}"/>
    <cellStyle name="Porcentual 3 5 2 2 2 4 4" xfId="59685" xr:uid="{00000000-0005-0000-0000-000037E90000}"/>
    <cellStyle name="Porcentual 3 5 2 2 2 4 5" xfId="59686" xr:uid="{00000000-0005-0000-0000-000038E90000}"/>
    <cellStyle name="Porcentual 3 5 2 2 2 5" xfId="59687" xr:uid="{00000000-0005-0000-0000-000039E90000}"/>
    <cellStyle name="Porcentual 3 5 2 2 2 5 2" xfId="59688" xr:uid="{00000000-0005-0000-0000-00003AE90000}"/>
    <cellStyle name="Porcentual 3 5 2 2 2 5 2 2" xfId="59689" xr:uid="{00000000-0005-0000-0000-00003BE90000}"/>
    <cellStyle name="Porcentual 3 5 2 2 2 5 3" xfId="59690" xr:uid="{00000000-0005-0000-0000-00003CE90000}"/>
    <cellStyle name="Porcentual 3 5 2 2 2 5 3 2" xfId="59691" xr:uid="{00000000-0005-0000-0000-00003DE90000}"/>
    <cellStyle name="Porcentual 3 5 2 2 2 5 4" xfId="59692" xr:uid="{00000000-0005-0000-0000-00003EE90000}"/>
    <cellStyle name="Porcentual 3 5 2 2 2 5 5" xfId="59693" xr:uid="{00000000-0005-0000-0000-00003FE90000}"/>
    <cellStyle name="Porcentual 3 5 2 2 2 6" xfId="59694" xr:uid="{00000000-0005-0000-0000-000040E90000}"/>
    <cellStyle name="Porcentual 3 5 2 2 2 6 2" xfId="59695" xr:uid="{00000000-0005-0000-0000-000041E90000}"/>
    <cellStyle name="Porcentual 3 5 2 2 2 7" xfId="59696" xr:uid="{00000000-0005-0000-0000-000042E90000}"/>
    <cellStyle name="Porcentual 3 5 2 2 2 7 2" xfId="59697" xr:uid="{00000000-0005-0000-0000-000043E90000}"/>
    <cellStyle name="Porcentual 3 5 2 2 2 8" xfId="59698" xr:uid="{00000000-0005-0000-0000-000044E90000}"/>
    <cellStyle name="Porcentual 3 5 2 2 2 9" xfId="59699" xr:uid="{00000000-0005-0000-0000-000045E90000}"/>
    <cellStyle name="Porcentual 3 5 2 2 3" xfId="59700" xr:uid="{00000000-0005-0000-0000-000046E90000}"/>
    <cellStyle name="Porcentual 3 5 2 2 3 2" xfId="59701" xr:uid="{00000000-0005-0000-0000-000047E90000}"/>
    <cellStyle name="Porcentual 3 5 2 2 3 2 2" xfId="59702" xr:uid="{00000000-0005-0000-0000-000048E90000}"/>
    <cellStyle name="Porcentual 3 5 2 2 3 2 2 2" xfId="59703" xr:uid="{00000000-0005-0000-0000-000049E90000}"/>
    <cellStyle name="Porcentual 3 5 2 2 3 2 2 2 2" xfId="59704" xr:uid="{00000000-0005-0000-0000-00004AE90000}"/>
    <cellStyle name="Porcentual 3 5 2 2 3 2 2 2 2 2" xfId="59705" xr:uid="{00000000-0005-0000-0000-00004BE90000}"/>
    <cellStyle name="Porcentual 3 5 2 2 3 2 2 2 3" xfId="59706" xr:uid="{00000000-0005-0000-0000-00004CE90000}"/>
    <cellStyle name="Porcentual 3 5 2 2 3 2 2 2 4" xfId="59707" xr:uid="{00000000-0005-0000-0000-00004DE90000}"/>
    <cellStyle name="Porcentual 3 5 2 2 3 2 2 3" xfId="59708" xr:uid="{00000000-0005-0000-0000-00004EE90000}"/>
    <cellStyle name="Porcentual 3 5 2 2 3 2 2 3 2" xfId="59709" xr:uid="{00000000-0005-0000-0000-00004FE90000}"/>
    <cellStyle name="Porcentual 3 5 2 2 3 2 2 4" xfId="59710" xr:uid="{00000000-0005-0000-0000-000050E90000}"/>
    <cellStyle name="Porcentual 3 5 2 2 3 2 2 5" xfId="59711" xr:uid="{00000000-0005-0000-0000-000051E90000}"/>
    <cellStyle name="Porcentual 3 5 2 2 3 2 3" xfId="59712" xr:uid="{00000000-0005-0000-0000-000052E90000}"/>
    <cellStyle name="Porcentual 3 5 2 2 3 2 3 2" xfId="59713" xr:uid="{00000000-0005-0000-0000-000053E90000}"/>
    <cellStyle name="Porcentual 3 5 2 2 3 2 3 2 2" xfId="59714" xr:uid="{00000000-0005-0000-0000-000054E90000}"/>
    <cellStyle name="Porcentual 3 5 2 2 3 2 3 3" xfId="59715" xr:uid="{00000000-0005-0000-0000-000055E90000}"/>
    <cellStyle name="Porcentual 3 5 2 2 3 2 3 4" xfId="59716" xr:uid="{00000000-0005-0000-0000-000056E90000}"/>
    <cellStyle name="Porcentual 3 5 2 2 3 2 4" xfId="59717" xr:uid="{00000000-0005-0000-0000-000057E90000}"/>
    <cellStyle name="Porcentual 3 5 2 2 3 2 4 2" xfId="59718" xr:uid="{00000000-0005-0000-0000-000058E90000}"/>
    <cellStyle name="Porcentual 3 5 2 2 3 2 5" xfId="59719" xr:uid="{00000000-0005-0000-0000-000059E90000}"/>
    <cellStyle name="Porcentual 3 5 2 2 3 2 6" xfId="59720" xr:uid="{00000000-0005-0000-0000-00005AE90000}"/>
    <cellStyle name="Porcentual 3 5 2 2 3 3" xfId="59721" xr:uid="{00000000-0005-0000-0000-00005BE90000}"/>
    <cellStyle name="Porcentual 3 5 2 2 3 3 2" xfId="59722" xr:uid="{00000000-0005-0000-0000-00005CE90000}"/>
    <cellStyle name="Porcentual 3 5 2 2 3 3 2 2" xfId="59723" xr:uid="{00000000-0005-0000-0000-00005DE90000}"/>
    <cellStyle name="Porcentual 3 5 2 2 3 3 2 2 2" xfId="59724" xr:uid="{00000000-0005-0000-0000-00005EE90000}"/>
    <cellStyle name="Porcentual 3 5 2 2 3 3 2 3" xfId="59725" xr:uid="{00000000-0005-0000-0000-00005FE90000}"/>
    <cellStyle name="Porcentual 3 5 2 2 3 3 2 4" xfId="59726" xr:uid="{00000000-0005-0000-0000-000060E90000}"/>
    <cellStyle name="Porcentual 3 5 2 2 3 3 3" xfId="59727" xr:uid="{00000000-0005-0000-0000-000061E90000}"/>
    <cellStyle name="Porcentual 3 5 2 2 3 3 3 2" xfId="59728" xr:uid="{00000000-0005-0000-0000-000062E90000}"/>
    <cellStyle name="Porcentual 3 5 2 2 3 3 4" xfId="59729" xr:uid="{00000000-0005-0000-0000-000063E90000}"/>
    <cellStyle name="Porcentual 3 5 2 2 3 3 5" xfId="59730" xr:uid="{00000000-0005-0000-0000-000064E90000}"/>
    <cellStyle name="Porcentual 3 5 2 2 3 4" xfId="59731" xr:uid="{00000000-0005-0000-0000-000065E90000}"/>
    <cellStyle name="Porcentual 3 5 2 2 3 4 2" xfId="59732" xr:uid="{00000000-0005-0000-0000-000066E90000}"/>
    <cellStyle name="Porcentual 3 5 2 2 3 4 2 2" xfId="59733" xr:uid="{00000000-0005-0000-0000-000067E90000}"/>
    <cellStyle name="Porcentual 3 5 2 2 3 4 3" xfId="59734" xr:uid="{00000000-0005-0000-0000-000068E90000}"/>
    <cellStyle name="Porcentual 3 5 2 2 3 4 4" xfId="59735" xr:uid="{00000000-0005-0000-0000-000069E90000}"/>
    <cellStyle name="Porcentual 3 5 2 2 3 5" xfId="59736" xr:uid="{00000000-0005-0000-0000-00006AE90000}"/>
    <cellStyle name="Porcentual 3 5 2 2 3 5 2" xfId="59737" xr:uid="{00000000-0005-0000-0000-00006BE90000}"/>
    <cellStyle name="Porcentual 3 5 2 2 3 6" xfId="59738" xr:uid="{00000000-0005-0000-0000-00006CE90000}"/>
    <cellStyle name="Porcentual 3 5 2 2 3 7" xfId="59739" xr:uid="{00000000-0005-0000-0000-00006DE90000}"/>
    <cellStyle name="Porcentual 3 5 2 2 4" xfId="59740" xr:uid="{00000000-0005-0000-0000-00006EE90000}"/>
    <cellStyle name="Porcentual 3 5 2 2 4 2" xfId="59741" xr:uid="{00000000-0005-0000-0000-00006FE90000}"/>
    <cellStyle name="Porcentual 3 5 2 2 4 2 2" xfId="59742" xr:uid="{00000000-0005-0000-0000-000070E90000}"/>
    <cellStyle name="Porcentual 3 5 2 2 4 2 2 2" xfId="59743" xr:uid="{00000000-0005-0000-0000-000071E90000}"/>
    <cellStyle name="Porcentual 3 5 2 2 4 2 2 2 2" xfId="59744" xr:uid="{00000000-0005-0000-0000-000072E90000}"/>
    <cellStyle name="Porcentual 3 5 2 2 4 2 2 3" xfId="59745" xr:uid="{00000000-0005-0000-0000-000073E90000}"/>
    <cellStyle name="Porcentual 3 5 2 2 4 2 2 4" xfId="59746" xr:uid="{00000000-0005-0000-0000-000074E90000}"/>
    <cellStyle name="Porcentual 3 5 2 2 4 2 3" xfId="59747" xr:uid="{00000000-0005-0000-0000-000075E90000}"/>
    <cellStyle name="Porcentual 3 5 2 2 4 2 3 2" xfId="59748" xr:uid="{00000000-0005-0000-0000-000076E90000}"/>
    <cellStyle name="Porcentual 3 5 2 2 4 2 4" xfId="59749" xr:uid="{00000000-0005-0000-0000-000077E90000}"/>
    <cellStyle name="Porcentual 3 5 2 2 4 2 5" xfId="59750" xr:uid="{00000000-0005-0000-0000-000078E90000}"/>
    <cellStyle name="Porcentual 3 5 2 2 4 3" xfId="59751" xr:uid="{00000000-0005-0000-0000-000079E90000}"/>
    <cellStyle name="Porcentual 3 5 2 2 4 3 2" xfId="59752" xr:uid="{00000000-0005-0000-0000-00007AE90000}"/>
    <cellStyle name="Porcentual 3 5 2 2 4 3 2 2" xfId="59753" xr:uid="{00000000-0005-0000-0000-00007BE90000}"/>
    <cellStyle name="Porcentual 3 5 2 2 4 3 3" xfId="59754" xr:uid="{00000000-0005-0000-0000-00007CE90000}"/>
    <cellStyle name="Porcentual 3 5 2 2 4 3 3 2" xfId="59755" xr:uid="{00000000-0005-0000-0000-00007DE90000}"/>
    <cellStyle name="Porcentual 3 5 2 2 4 3 4" xfId="59756" xr:uid="{00000000-0005-0000-0000-00007EE90000}"/>
    <cellStyle name="Porcentual 3 5 2 2 4 3 5" xfId="59757" xr:uid="{00000000-0005-0000-0000-00007FE90000}"/>
    <cellStyle name="Porcentual 3 5 2 2 4 4" xfId="59758" xr:uid="{00000000-0005-0000-0000-000080E90000}"/>
    <cellStyle name="Porcentual 3 5 2 2 4 4 2" xfId="59759" xr:uid="{00000000-0005-0000-0000-000081E90000}"/>
    <cellStyle name="Porcentual 3 5 2 2 4 5" xfId="59760" xr:uid="{00000000-0005-0000-0000-000082E90000}"/>
    <cellStyle name="Porcentual 3 5 2 2 4 5 2" xfId="59761" xr:uid="{00000000-0005-0000-0000-000083E90000}"/>
    <cellStyle name="Porcentual 3 5 2 2 4 6" xfId="59762" xr:uid="{00000000-0005-0000-0000-000084E90000}"/>
    <cellStyle name="Porcentual 3 5 2 2 4 7" xfId="59763" xr:uid="{00000000-0005-0000-0000-000085E90000}"/>
    <cellStyle name="Porcentual 3 5 2 2 5" xfId="59764" xr:uid="{00000000-0005-0000-0000-000086E90000}"/>
    <cellStyle name="Porcentual 3 5 2 2 5 2" xfId="59765" xr:uid="{00000000-0005-0000-0000-000087E90000}"/>
    <cellStyle name="Porcentual 3 5 2 2 5 2 2" xfId="59766" xr:uid="{00000000-0005-0000-0000-000088E90000}"/>
    <cellStyle name="Porcentual 3 5 2 2 5 2 2 2" xfId="59767" xr:uid="{00000000-0005-0000-0000-000089E90000}"/>
    <cellStyle name="Porcentual 3 5 2 2 5 2 3" xfId="59768" xr:uid="{00000000-0005-0000-0000-00008AE90000}"/>
    <cellStyle name="Porcentual 3 5 2 2 5 2 4" xfId="59769" xr:uid="{00000000-0005-0000-0000-00008BE90000}"/>
    <cellStyle name="Porcentual 3 5 2 2 5 3" xfId="59770" xr:uid="{00000000-0005-0000-0000-00008CE90000}"/>
    <cellStyle name="Porcentual 3 5 2 2 5 3 2" xfId="59771" xr:uid="{00000000-0005-0000-0000-00008DE90000}"/>
    <cellStyle name="Porcentual 3 5 2 2 5 4" xfId="59772" xr:uid="{00000000-0005-0000-0000-00008EE90000}"/>
    <cellStyle name="Porcentual 3 5 2 2 5 5" xfId="59773" xr:uid="{00000000-0005-0000-0000-00008FE90000}"/>
    <cellStyle name="Porcentual 3 5 2 2 6" xfId="59774" xr:uid="{00000000-0005-0000-0000-000090E90000}"/>
    <cellStyle name="Porcentual 3 5 2 2 6 2" xfId="59775" xr:uid="{00000000-0005-0000-0000-000091E90000}"/>
    <cellStyle name="Porcentual 3 5 2 2 6 2 2" xfId="59776" xr:uid="{00000000-0005-0000-0000-000092E90000}"/>
    <cellStyle name="Porcentual 3 5 2 2 6 3" xfId="59777" xr:uid="{00000000-0005-0000-0000-000093E90000}"/>
    <cellStyle name="Porcentual 3 5 2 2 6 3 2" xfId="59778" xr:uid="{00000000-0005-0000-0000-000094E90000}"/>
    <cellStyle name="Porcentual 3 5 2 2 6 4" xfId="59779" xr:uid="{00000000-0005-0000-0000-000095E90000}"/>
    <cellStyle name="Porcentual 3 5 2 2 6 5" xfId="59780" xr:uid="{00000000-0005-0000-0000-000096E90000}"/>
    <cellStyle name="Porcentual 3 5 2 2 7" xfId="59781" xr:uid="{00000000-0005-0000-0000-000097E90000}"/>
    <cellStyle name="Porcentual 3 5 2 2 7 2" xfId="59782" xr:uid="{00000000-0005-0000-0000-000098E90000}"/>
    <cellStyle name="Porcentual 3 5 2 2 8" xfId="59783" xr:uid="{00000000-0005-0000-0000-000099E90000}"/>
    <cellStyle name="Porcentual 3 5 2 2 8 2" xfId="59784" xr:uid="{00000000-0005-0000-0000-00009AE90000}"/>
    <cellStyle name="Porcentual 3 5 2 2 9" xfId="59785" xr:uid="{00000000-0005-0000-0000-00009BE90000}"/>
    <cellStyle name="Porcentual 3 5 2 3" xfId="59786" xr:uid="{00000000-0005-0000-0000-00009CE90000}"/>
    <cellStyle name="Porcentual 3 5 2 3 2" xfId="59787" xr:uid="{00000000-0005-0000-0000-00009DE90000}"/>
    <cellStyle name="Porcentual 3 5 2 3 2 2" xfId="59788" xr:uid="{00000000-0005-0000-0000-00009EE90000}"/>
    <cellStyle name="Porcentual 3 5 2 3 2 2 2" xfId="59789" xr:uid="{00000000-0005-0000-0000-00009FE90000}"/>
    <cellStyle name="Porcentual 3 5 2 3 2 2 2 2" xfId="59790" xr:uid="{00000000-0005-0000-0000-0000A0E90000}"/>
    <cellStyle name="Porcentual 3 5 2 3 2 2 2 2 2" xfId="59791" xr:uid="{00000000-0005-0000-0000-0000A1E90000}"/>
    <cellStyle name="Porcentual 3 5 2 3 2 2 2 2 2 2" xfId="59792" xr:uid="{00000000-0005-0000-0000-0000A2E90000}"/>
    <cellStyle name="Porcentual 3 5 2 3 2 2 2 2 3" xfId="59793" xr:uid="{00000000-0005-0000-0000-0000A3E90000}"/>
    <cellStyle name="Porcentual 3 5 2 3 2 2 2 2 4" xfId="59794" xr:uid="{00000000-0005-0000-0000-0000A4E90000}"/>
    <cellStyle name="Porcentual 3 5 2 3 2 2 2 3" xfId="59795" xr:uid="{00000000-0005-0000-0000-0000A5E90000}"/>
    <cellStyle name="Porcentual 3 5 2 3 2 2 2 3 2" xfId="59796" xr:uid="{00000000-0005-0000-0000-0000A6E90000}"/>
    <cellStyle name="Porcentual 3 5 2 3 2 2 2 4" xfId="59797" xr:uid="{00000000-0005-0000-0000-0000A7E90000}"/>
    <cellStyle name="Porcentual 3 5 2 3 2 2 2 5" xfId="59798" xr:uid="{00000000-0005-0000-0000-0000A8E90000}"/>
    <cellStyle name="Porcentual 3 5 2 3 2 2 3" xfId="59799" xr:uid="{00000000-0005-0000-0000-0000A9E90000}"/>
    <cellStyle name="Porcentual 3 5 2 3 2 2 3 2" xfId="59800" xr:uid="{00000000-0005-0000-0000-0000AAE90000}"/>
    <cellStyle name="Porcentual 3 5 2 3 2 2 3 2 2" xfId="59801" xr:uid="{00000000-0005-0000-0000-0000ABE90000}"/>
    <cellStyle name="Porcentual 3 5 2 3 2 2 3 3" xfId="59802" xr:uid="{00000000-0005-0000-0000-0000ACE90000}"/>
    <cellStyle name="Porcentual 3 5 2 3 2 2 3 4" xfId="59803" xr:uid="{00000000-0005-0000-0000-0000ADE90000}"/>
    <cellStyle name="Porcentual 3 5 2 3 2 2 4" xfId="59804" xr:uid="{00000000-0005-0000-0000-0000AEE90000}"/>
    <cellStyle name="Porcentual 3 5 2 3 2 2 4 2" xfId="59805" xr:uid="{00000000-0005-0000-0000-0000AFE90000}"/>
    <cellStyle name="Porcentual 3 5 2 3 2 2 5" xfId="59806" xr:uid="{00000000-0005-0000-0000-0000B0E90000}"/>
    <cellStyle name="Porcentual 3 5 2 3 2 2 6" xfId="59807" xr:uid="{00000000-0005-0000-0000-0000B1E90000}"/>
    <cellStyle name="Porcentual 3 5 2 3 2 3" xfId="59808" xr:uid="{00000000-0005-0000-0000-0000B2E90000}"/>
    <cellStyle name="Porcentual 3 5 2 3 2 3 2" xfId="59809" xr:uid="{00000000-0005-0000-0000-0000B3E90000}"/>
    <cellStyle name="Porcentual 3 5 2 3 2 3 2 2" xfId="59810" xr:uid="{00000000-0005-0000-0000-0000B4E90000}"/>
    <cellStyle name="Porcentual 3 5 2 3 2 3 2 2 2" xfId="59811" xr:uid="{00000000-0005-0000-0000-0000B5E90000}"/>
    <cellStyle name="Porcentual 3 5 2 3 2 3 2 3" xfId="59812" xr:uid="{00000000-0005-0000-0000-0000B6E90000}"/>
    <cellStyle name="Porcentual 3 5 2 3 2 3 2 4" xfId="59813" xr:uid="{00000000-0005-0000-0000-0000B7E90000}"/>
    <cellStyle name="Porcentual 3 5 2 3 2 3 3" xfId="59814" xr:uid="{00000000-0005-0000-0000-0000B8E90000}"/>
    <cellStyle name="Porcentual 3 5 2 3 2 3 3 2" xfId="59815" xr:uid="{00000000-0005-0000-0000-0000B9E90000}"/>
    <cellStyle name="Porcentual 3 5 2 3 2 3 4" xfId="59816" xr:uid="{00000000-0005-0000-0000-0000BAE90000}"/>
    <cellStyle name="Porcentual 3 5 2 3 2 3 5" xfId="59817" xr:uid="{00000000-0005-0000-0000-0000BBE90000}"/>
    <cellStyle name="Porcentual 3 5 2 3 2 4" xfId="59818" xr:uid="{00000000-0005-0000-0000-0000BCE90000}"/>
    <cellStyle name="Porcentual 3 5 2 3 2 4 2" xfId="59819" xr:uid="{00000000-0005-0000-0000-0000BDE90000}"/>
    <cellStyle name="Porcentual 3 5 2 3 2 4 2 2" xfId="59820" xr:uid="{00000000-0005-0000-0000-0000BEE90000}"/>
    <cellStyle name="Porcentual 3 5 2 3 2 4 3" xfId="59821" xr:uid="{00000000-0005-0000-0000-0000BFE90000}"/>
    <cellStyle name="Porcentual 3 5 2 3 2 4 4" xfId="59822" xr:uid="{00000000-0005-0000-0000-0000C0E90000}"/>
    <cellStyle name="Porcentual 3 5 2 3 2 5" xfId="59823" xr:uid="{00000000-0005-0000-0000-0000C1E90000}"/>
    <cellStyle name="Porcentual 3 5 2 3 2 5 2" xfId="59824" xr:uid="{00000000-0005-0000-0000-0000C2E90000}"/>
    <cellStyle name="Porcentual 3 5 2 3 2 6" xfId="59825" xr:uid="{00000000-0005-0000-0000-0000C3E90000}"/>
    <cellStyle name="Porcentual 3 5 2 3 2 7" xfId="59826" xr:uid="{00000000-0005-0000-0000-0000C4E90000}"/>
    <cellStyle name="Porcentual 3 5 2 3 3" xfId="59827" xr:uid="{00000000-0005-0000-0000-0000C5E90000}"/>
    <cellStyle name="Porcentual 3 5 2 3 3 2" xfId="59828" xr:uid="{00000000-0005-0000-0000-0000C6E90000}"/>
    <cellStyle name="Porcentual 3 5 2 3 3 2 2" xfId="59829" xr:uid="{00000000-0005-0000-0000-0000C7E90000}"/>
    <cellStyle name="Porcentual 3 5 2 3 3 2 2 2" xfId="59830" xr:uid="{00000000-0005-0000-0000-0000C8E90000}"/>
    <cellStyle name="Porcentual 3 5 2 3 3 2 2 2 2" xfId="59831" xr:uid="{00000000-0005-0000-0000-0000C9E90000}"/>
    <cellStyle name="Porcentual 3 5 2 3 3 2 2 3" xfId="59832" xr:uid="{00000000-0005-0000-0000-0000CAE90000}"/>
    <cellStyle name="Porcentual 3 5 2 3 3 2 2 4" xfId="59833" xr:uid="{00000000-0005-0000-0000-0000CBE90000}"/>
    <cellStyle name="Porcentual 3 5 2 3 3 2 3" xfId="59834" xr:uid="{00000000-0005-0000-0000-0000CCE90000}"/>
    <cellStyle name="Porcentual 3 5 2 3 3 2 3 2" xfId="59835" xr:uid="{00000000-0005-0000-0000-0000CDE90000}"/>
    <cellStyle name="Porcentual 3 5 2 3 3 2 4" xfId="59836" xr:uid="{00000000-0005-0000-0000-0000CEE90000}"/>
    <cellStyle name="Porcentual 3 5 2 3 3 2 5" xfId="59837" xr:uid="{00000000-0005-0000-0000-0000CFE90000}"/>
    <cellStyle name="Porcentual 3 5 2 3 3 3" xfId="59838" xr:uid="{00000000-0005-0000-0000-0000D0E90000}"/>
    <cellStyle name="Porcentual 3 5 2 3 3 3 2" xfId="59839" xr:uid="{00000000-0005-0000-0000-0000D1E90000}"/>
    <cellStyle name="Porcentual 3 5 2 3 3 3 2 2" xfId="59840" xr:uid="{00000000-0005-0000-0000-0000D2E90000}"/>
    <cellStyle name="Porcentual 3 5 2 3 3 3 3" xfId="59841" xr:uid="{00000000-0005-0000-0000-0000D3E90000}"/>
    <cellStyle name="Porcentual 3 5 2 3 3 3 3 2" xfId="59842" xr:uid="{00000000-0005-0000-0000-0000D4E90000}"/>
    <cellStyle name="Porcentual 3 5 2 3 3 3 4" xfId="59843" xr:uid="{00000000-0005-0000-0000-0000D5E90000}"/>
    <cellStyle name="Porcentual 3 5 2 3 3 3 5" xfId="59844" xr:uid="{00000000-0005-0000-0000-0000D6E90000}"/>
    <cellStyle name="Porcentual 3 5 2 3 3 4" xfId="59845" xr:uid="{00000000-0005-0000-0000-0000D7E90000}"/>
    <cellStyle name="Porcentual 3 5 2 3 3 4 2" xfId="59846" xr:uid="{00000000-0005-0000-0000-0000D8E90000}"/>
    <cellStyle name="Porcentual 3 5 2 3 3 5" xfId="59847" xr:uid="{00000000-0005-0000-0000-0000D9E90000}"/>
    <cellStyle name="Porcentual 3 5 2 3 3 5 2" xfId="59848" xr:uid="{00000000-0005-0000-0000-0000DAE90000}"/>
    <cellStyle name="Porcentual 3 5 2 3 3 6" xfId="59849" xr:uid="{00000000-0005-0000-0000-0000DBE90000}"/>
    <cellStyle name="Porcentual 3 5 2 3 3 7" xfId="59850" xr:uid="{00000000-0005-0000-0000-0000DCE90000}"/>
    <cellStyle name="Porcentual 3 5 2 3 4" xfId="59851" xr:uid="{00000000-0005-0000-0000-0000DDE90000}"/>
    <cellStyle name="Porcentual 3 5 2 3 4 2" xfId="59852" xr:uid="{00000000-0005-0000-0000-0000DEE90000}"/>
    <cellStyle name="Porcentual 3 5 2 3 4 2 2" xfId="59853" xr:uid="{00000000-0005-0000-0000-0000DFE90000}"/>
    <cellStyle name="Porcentual 3 5 2 3 4 2 2 2" xfId="59854" xr:uid="{00000000-0005-0000-0000-0000E0E90000}"/>
    <cellStyle name="Porcentual 3 5 2 3 4 2 3" xfId="59855" xr:uid="{00000000-0005-0000-0000-0000E1E90000}"/>
    <cellStyle name="Porcentual 3 5 2 3 4 2 4" xfId="59856" xr:uid="{00000000-0005-0000-0000-0000E2E90000}"/>
    <cellStyle name="Porcentual 3 5 2 3 4 3" xfId="59857" xr:uid="{00000000-0005-0000-0000-0000E3E90000}"/>
    <cellStyle name="Porcentual 3 5 2 3 4 3 2" xfId="59858" xr:uid="{00000000-0005-0000-0000-0000E4E90000}"/>
    <cellStyle name="Porcentual 3 5 2 3 4 4" xfId="59859" xr:uid="{00000000-0005-0000-0000-0000E5E90000}"/>
    <cellStyle name="Porcentual 3 5 2 3 4 5" xfId="59860" xr:uid="{00000000-0005-0000-0000-0000E6E90000}"/>
    <cellStyle name="Porcentual 3 5 2 3 5" xfId="59861" xr:uid="{00000000-0005-0000-0000-0000E7E90000}"/>
    <cellStyle name="Porcentual 3 5 2 3 5 2" xfId="59862" xr:uid="{00000000-0005-0000-0000-0000E8E90000}"/>
    <cellStyle name="Porcentual 3 5 2 3 5 2 2" xfId="59863" xr:uid="{00000000-0005-0000-0000-0000E9E90000}"/>
    <cellStyle name="Porcentual 3 5 2 3 5 3" xfId="59864" xr:uid="{00000000-0005-0000-0000-0000EAE90000}"/>
    <cellStyle name="Porcentual 3 5 2 3 5 3 2" xfId="59865" xr:uid="{00000000-0005-0000-0000-0000EBE90000}"/>
    <cellStyle name="Porcentual 3 5 2 3 5 4" xfId="59866" xr:uid="{00000000-0005-0000-0000-0000ECE90000}"/>
    <cellStyle name="Porcentual 3 5 2 3 5 5" xfId="59867" xr:uid="{00000000-0005-0000-0000-0000EDE90000}"/>
    <cellStyle name="Porcentual 3 5 2 3 6" xfId="59868" xr:uid="{00000000-0005-0000-0000-0000EEE90000}"/>
    <cellStyle name="Porcentual 3 5 2 3 6 2" xfId="59869" xr:uid="{00000000-0005-0000-0000-0000EFE90000}"/>
    <cellStyle name="Porcentual 3 5 2 3 7" xfId="59870" xr:uid="{00000000-0005-0000-0000-0000F0E90000}"/>
    <cellStyle name="Porcentual 3 5 2 3 7 2" xfId="59871" xr:uid="{00000000-0005-0000-0000-0000F1E90000}"/>
    <cellStyle name="Porcentual 3 5 2 3 8" xfId="59872" xr:uid="{00000000-0005-0000-0000-0000F2E90000}"/>
    <cellStyle name="Porcentual 3 5 2 3 9" xfId="59873" xr:uid="{00000000-0005-0000-0000-0000F3E90000}"/>
    <cellStyle name="Porcentual 3 5 2 4" xfId="59874" xr:uid="{00000000-0005-0000-0000-0000F4E90000}"/>
    <cellStyle name="Porcentual 3 5 2 4 2" xfId="59875" xr:uid="{00000000-0005-0000-0000-0000F5E90000}"/>
    <cellStyle name="Porcentual 3 5 2 4 2 2" xfId="59876" xr:uid="{00000000-0005-0000-0000-0000F6E90000}"/>
    <cellStyle name="Porcentual 3 5 2 4 2 2 2" xfId="59877" xr:uid="{00000000-0005-0000-0000-0000F7E90000}"/>
    <cellStyle name="Porcentual 3 5 2 4 2 2 2 2" xfId="59878" xr:uid="{00000000-0005-0000-0000-0000F8E90000}"/>
    <cellStyle name="Porcentual 3 5 2 4 2 2 2 2 2" xfId="59879" xr:uid="{00000000-0005-0000-0000-0000F9E90000}"/>
    <cellStyle name="Porcentual 3 5 2 4 2 2 2 3" xfId="59880" xr:uid="{00000000-0005-0000-0000-0000FAE90000}"/>
    <cellStyle name="Porcentual 3 5 2 4 2 2 2 4" xfId="59881" xr:uid="{00000000-0005-0000-0000-0000FBE90000}"/>
    <cellStyle name="Porcentual 3 5 2 4 2 2 3" xfId="59882" xr:uid="{00000000-0005-0000-0000-0000FCE90000}"/>
    <cellStyle name="Porcentual 3 5 2 4 2 2 3 2" xfId="59883" xr:uid="{00000000-0005-0000-0000-0000FDE90000}"/>
    <cellStyle name="Porcentual 3 5 2 4 2 2 4" xfId="59884" xr:uid="{00000000-0005-0000-0000-0000FEE90000}"/>
    <cellStyle name="Porcentual 3 5 2 4 2 2 5" xfId="59885" xr:uid="{00000000-0005-0000-0000-0000FFE90000}"/>
    <cellStyle name="Porcentual 3 5 2 4 2 3" xfId="59886" xr:uid="{00000000-0005-0000-0000-000000EA0000}"/>
    <cellStyle name="Porcentual 3 5 2 4 2 3 2" xfId="59887" xr:uid="{00000000-0005-0000-0000-000001EA0000}"/>
    <cellStyle name="Porcentual 3 5 2 4 2 3 2 2" xfId="59888" xr:uid="{00000000-0005-0000-0000-000002EA0000}"/>
    <cellStyle name="Porcentual 3 5 2 4 2 3 3" xfId="59889" xr:uid="{00000000-0005-0000-0000-000003EA0000}"/>
    <cellStyle name="Porcentual 3 5 2 4 2 3 3 2" xfId="59890" xr:uid="{00000000-0005-0000-0000-000004EA0000}"/>
    <cellStyle name="Porcentual 3 5 2 4 2 3 4" xfId="59891" xr:uid="{00000000-0005-0000-0000-000005EA0000}"/>
    <cellStyle name="Porcentual 3 5 2 4 2 3 5" xfId="59892" xr:uid="{00000000-0005-0000-0000-000006EA0000}"/>
    <cellStyle name="Porcentual 3 5 2 4 2 4" xfId="59893" xr:uid="{00000000-0005-0000-0000-000007EA0000}"/>
    <cellStyle name="Porcentual 3 5 2 4 2 4 2" xfId="59894" xr:uid="{00000000-0005-0000-0000-000008EA0000}"/>
    <cellStyle name="Porcentual 3 5 2 4 2 5" xfId="59895" xr:uid="{00000000-0005-0000-0000-000009EA0000}"/>
    <cellStyle name="Porcentual 3 5 2 4 2 5 2" xfId="59896" xr:uid="{00000000-0005-0000-0000-00000AEA0000}"/>
    <cellStyle name="Porcentual 3 5 2 4 2 6" xfId="59897" xr:uid="{00000000-0005-0000-0000-00000BEA0000}"/>
    <cellStyle name="Porcentual 3 5 2 4 2 7" xfId="59898" xr:uid="{00000000-0005-0000-0000-00000CEA0000}"/>
    <cellStyle name="Porcentual 3 5 2 4 3" xfId="59899" xr:uid="{00000000-0005-0000-0000-00000DEA0000}"/>
    <cellStyle name="Porcentual 3 5 2 4 3 2" xfId="59900" xr:uid="{00000000-0005-0000-0000-00000EEA0000}"/>
    <cellStyle name="Porcentual 3 5 2 4 3 2 2" xfId="59901" xr:uid="{00000000-0005-0000-0000-00000FEA0000}"/>
    <cellStyle name="Porcentual 3 5 2 4 3 2 2 2" xfId="59902" xr:uid="{00000000-0005-0000-0000-000010EA0000}"/>
    <cellStyle name="Porcentual 3 5 2 4 3 2 3" xfId="59903" xr:uid="{00000000-0005-0000-0000-000011EA0000}"/>
    <cellStyle name="Porcentual 3 5 2 4 3 2 4" xfId="59904" xr:uid="{00000000-0005-0000-0000-000012EA0000}"/>
    <cellStyle name="Porcentual 3 5 2 4 3 3" xfId="59905" xr:uid="{00000000-0005-0000-0000-000013EA0000}"/>
    <cellStyle name="Porcentual 3 5 2 4 3 3 2" xfId="59906" xr:uid="{00000000-0005-0000-0000-000014EA0000}"/>
    <cellStyle name="Porcentual 3 5 2 4 3 4" xfId="59907" xr:uid="{00000000-0005-0000-0000-000015EA0000}"/>
    <cellStyle name="Porcentual 3 5 2 4 3 5" xfId="59908" xr:uid="{00000000-0005-0000-0000-000016EA0000}"/>
    <cellStyle name="Porcentual 3 5 2 4 4" xfId="59909" xr:uid="{00000000-0005-0000-0000-000017EA0000}"/>
    <cellStyle name="Porcentual 3 5 2 4 4 2" xfId="59910" xr:uid="{00000000-0005-0000-0000-000018EA0000}"/>
    <cellStyle name="Porcentual 3 5 2 4 4 2 2" xfId="59911" xr:uid="{00000000-0005-0000-0000-000019EA0000}"/>
    <cellStyle name="Porcentual 3 5 2 4 4 3" xfId="59912" xr:uid="{00000000-0005-0000-0000-00001AEA0000}"/>
    <cellStyle name="Porcentual 3 5 2 4 4 3 2" xfId="59913" xr:uid="{00000000-0005-0000-0000-00001BEA0000}"/>
    <cellStyle name="Porcentual 3 5 2 4 4 4" xfId="59914" xr:uid="{00000000-0005-0000-0000-00001CEA0000}"/>
    <cellStyle name="Porcentual 3 5 2 4 4 5" xfId="59915" xr:uid="{00000000-0005-0000-0000-00001DEA0000}"/>
    <cellStyle name="Porcentual 3 5 2 4 5" xfId="59916" xr:uid="{00000000-0005-0000-0000-00001EEA0000}"/>
    <cellStyle name="Porcentual 3 5 2 4 5 2" xfId="59917" xr:uid="{00000000-0005-0000-0000-00001FEA0000}"/>
    <cellStyle name="Porcentual 3 5 2 4 6" xfId="59918" xr:uid="{00000000-0005-0000-0000-000020EA0000}"/>
    <cellStyle name="Porcentual 3 5 2 4 6 2" xfId="59919" xr:uid="{00000000-0005-0000-0000-000021EA0000}"/>
    <cellStyle name="Porcentual 3 5 2 4 7" xfId="59920" xr:uid="{00000000-0005-0000-0000-000022EA0000}"/>
    <cellStyle name="Porcentual 3 5 2 4 8" xfId="59921" xr:uid="{00000000-0005-0000-0000-000023EA0000}"/>
    <cellStyle name="Porcentual 3 5 2 5" xfId="59922" xr:uid="{00000000-0005-0000-0000-000024EA0000}"/>
    <cellStyle name="Porcentual 3 5 2 5 2" xfId="59923" xr:uid="{00000000-0005-0000-0000-000025EA0000}"/>
    <cellStyle name="Porcentual 3 5 2 5 2 2" xfId="59924" xr:uid="{00000000-0005-0000-0000-000026EA0000}"/>
    <cellStyle name="Porcentual 3 5 2 5 2 2 2" xfId="59925" xr:uid="{00000000-0005-0000-0000-000027EA0000}"/>
    <cellStyle name="Porcentual 3 5 2 5 2 2 2 2" xfId="59926" xr:uid="{00000000-0005-0000-0000-000028EA0000}"/>
    <cellStyle name="Porcentual 3 5 2 5 2 2 3" xfId="59927" xr:uid="{00000000-0005-0000-0000-000029EA0000}"/>
    <cellStyle name="Porcentual 3 5 2 5 2 2 4" xfId="59928" xr:uid="{00000000-0005-0000-0000-00002AEA0000}"/>
    <cellStyle name="Porcentual 3 5 2 5 2 3" xfId="59929" xr:uid="{00000000-0005-0000-0000-00002BEA0000}"/>
    <cellStyle name="Porcentual 3 5 2 5 2 3 2" xfId="59930" xr:uid="{00000000-0005-0000-0000-00002CEA0000}"/>
    <cellStyle name="Porcentual 3 5 2 5 2 4" xfId="59931" xr:uid="{00000000-0005-0000-0000-00002DEA0000}"/>
    <cellStyle name="Porcentual 3 5 2 5 2 5" xfId="59932" xr:uid="{00000000-0005-0000-0000-00002EEA0000}"/>
    <cellStyle name="Porcentual 3 5 2 5 3" xfId="59933" xr:uid="{00000000-0005-0000-0000-00002FEA0000}"/>
    <cellStyle name="Porcentual 3 5 2 5 3 2" xfId="59934" xr:uid="{00000000-0005-0000-0000-000030EA0000}"/>
    <cellStyle name="Porcentual 3 5 2 5 3 2 2" xfId="59935" xr:uid="{00000000-0005-0000-0000-000031EA0000}"/>
    <cellStyle name="Porcentual 3 5 2 5 3 3" xfId="59936" xr:uid="{00000000-0005-0000-0000-000032EA0000}"/>
    <cellStyle name="Porcentual 3 5 2 5 3 3 2" xfId="59937" xr:uid="{00000000-0005-0000-0000-000033EA0000}"/>
    <cellStyle name="Porcentual 3 5 2 5 3 4" xfId="59938" xr:uid="{00000000-0005-0000-0000-000034EA0000}"/>
    <cellStyle name="Porcentual 3 5 2 5 3 5" xfId="59939" xr:uid="{00000000-0005-0000-0000-000035EA0000}"/>
    <cellStyle name="Porcentual 3 5 2 5 4" xfId="59940" xr:uid="{00000000-0005-0000-0000-000036EA0000}"/>
    <cellStyle name="Porcentual 3 5 2 5 4 2" xfId="59941" xr:uid="{00000000-0005-0000-0000-000037EA0000}"/>
    <cellStyle name="Porcentual 3 5 2 5 5" xfId="59942" xr:uid="{00000000-0005-0000-0000-000038EA0000}"/>
    <cellStyle name="Porcentual 3 5 2 5 5 2" xfId="59943" xr:uid="{00000000-0005-0000-0000-000039EA0000}"/>
    <cellStyle name="Porcentual 3 5 2 5 6" xfId="59944" xr:uid="{00000000-0005-0000-0000-00003AEA0000}"/>
    <cellStyle name="Porcentual 3 5 2 5 7" xfId="59945" xr:uid="{00000000-0005-0000-0000-00003BEA0000}"/>
    <cellStyle name="Porcentual 3 5 2 6" xfId="59946" xr:uid="{00000000-0005-0000-0000-00003CEA0000}"/>
    <cellStyle name="Porcentual 3 5 2 6 2" xfId="59947" xr:uid="{00000000-0005-0000-0000-00003DEA0000}"/>
    <cellStyle name="Porcentual 3 5 2 6 2 2" xfId="59948" xr:uid="{00000000-0005-0000-0000-00003EEA0000}"/>
    <cellStyle name="Porcentual 3 5 2 6 2 2 2" xfId="59949" xr:uid="{00000000-0005-0000-0000-00003FEA0000}"/>
    <cellStyle name="Porcentual 3 5 2 6 2 3" xfId="59950" xr:uid="{00000000-0005-0000-0000-000040EA0000}"/>
    <cellStyle name="Porcentual 3 5 2 6 2 4" xfId="59951" xr:uid="{00000000-0005-0000-0000-000041EA0000}"/>
    <cellStyle name="Porcentual 3 5 2 6 3" xfId="59952" xr:uid="{00000000-0005-0000-0000-000042EA0000}"/>
    <cellStyle name="Porcentual 3 5 2 6 3 2" xfId="59953" xr:uid="{00000000-0005-0000-0000-000043EA0000}"/>
    <cellStyle name="Porcentual 3 5 2 6 4" xfId="59954" xr:uid="{00000000-0005-0000-0000-000044EA0000}"/>
    <cellStyle name="Porcentual 3 5 2 6 5" xfId="59955" xr:uid="{00000000-0005-0000-0000-000045EA0000}"/>
    <cellStyle name="Porcentual 3 5 2 7" xfId="59956" xr:uid="{00000000-0005-0000-0000-000046EA0000}"/>
    <cellStyle name="Porcentual 3 5 2 7 2" xfId="59957" xr:uid="{00000000-0005-0000-0000-000047EA0000}"/>
    <cellStyle name="Porcentual 3 5 2 7 2 2" xfId="59958" xr:uid="{00000000-0005-0000-0000-000048EA0000}"/>
    <cellStyle name="Porcentual 3 5 2 7 3" xfId="59959" xr:uid="{00000000-0005-0000-0000-000049EA0000}"/>
    <cellStyle name="Porcentual 3 5 2 7 3 2" xfId="59960" xr:uid="{00000000-0005-0000-0000-00004AEA0000}"/>
    <cellStyle name="Porcentual 3 5 2 7 4" xfId="59961" xr:uid="{00000000-0005-0000-0000-00004BEA0000}"/>
    <cellStyle name="Porcentual 3 5 2 7 5" xfId="59962" xr:uid="{00000000-0005-0000-0000-00004CEA0000}"/>
    <cellStyle name="Porcentual 3 5 2 8" xfId="59963" xr:uid="{00000000-0005-0000-0000-00004DEA0000}"/>
    <cellStyle name="Porcentual 3 5 2 8 2" xfId="59964" xr:uid="{00000000-0005-0000-0000-00004EEA0000}"/>
    <cellStyle name="Porcentual 3 5 2 9" xfId="59965" xr:uid="{00000000-0005-0000-0000-00004FEA0000}"/>
    <cellStyle name="Porcentual 3 5 2 9 2" xfId="59966" xr:uid="{00000000-0005-0000-0000-000050EA0000}"/>
    <cellStyle name="Porcentual 3 5 3" xfId="59967" xr:uid="{00000000-0005-0000-0000-000051EA0000}"/>
    <cellStyle name="Porcentual 3 5 3 10" xfId="59968" xr:uid="{00000000-0005-0000-0000-000052EA0000}"/>
    <cellStyle name="Porcentual 3 5 3 2" xfId="59969" xr:uid="{00000000-0005-0000-0000-000053EA0000}"/>
    <cellStyle name="Porcentual 3 5 3 2 2" xfId="59970" xr:uid="{00000000-0005-0000-0000-000054EA0000}"/>
    <cellStyle name="Porcentual 3 5 3 2 2 2" xfId="59971" xr:uid="{00000000-0005-0000-0000-000055EA0000}"/>
    <cellStyle name="Porcentual 3 5 3 2 2 2 2" xfId="59972" xr:uid="{00000000-0005-0000-0000-000056EA0000}"/>
    <cellStyle name="Porcentual 3 5 3 2 2 2 2 2" xfId="59973" xr:uid="{00000000-0005-0000-0000-000057EA0000}"/>
    <cellStyle name="Porcentual 3 5 3 2 2 2 2 2 2" xfId="59974" xr:uid="{00000000-0005-0000-0000-000058EA0000}"/>
    <cellStyle name="Porcentual 3 5 3 2 2 2 2 2 2 2" xfId="59975" xr:uid="{00000000-0005-0000-0000-000059EA0000}"/>
    <cellStyle name="Porcentual 3 5 3 2 2 2 2 2 3" xfId="59976" xr:uid="{00000000-0005-0000-0000-00005AEA0000}"/>
    <cellStyle name="Porcentual 3 5 3 2 2 2 2 2 4" xfId="59977" xr:uid="{00000000-0005-0000-0000-00005BEA0000}"/>
    <cellStyle name="Porcentual 3 5 3 2 2 2 2 3" xfId="59978" xr:uid="{00000000-0005-0000-0000-00005CEA0000}"/>
    <cellStyle name="Porcentual 3 5 3 2 2 2 2 3 2" xfId="59979" xr:uid="{00000000-0005-0000-0000-00005DEA0000}"/>
    <cellStyle name="Porcentual 3 5 3 2 2 2 2 4" xfId="59980" xr:uid="{00000000-0005-0000-0000-00005EEA0000}"/>
    <cellStyle name="Porcentual 3 5 3 2 2 2 2 5" xfId="59981" xr:uid="{00000000-0005-0000-0000-00005FEA0000}"/>
    <cellStyle name="Porcentual 3 5 3 2 2 2 3" xfId="59982" xr:uid="{00000000-0005-0000-0000-000060EA0000}"/>
    <cellStyle name="Porcentual 3 5 3 2 2 2 3 2" xfId="59983" xr:uid="{00000000-0005-0000-0000-000061EA0000}"/>
    <cellStyle name="Porcentual 3 5 3 2 2 2 3 2 2" xfId="59984" xr:uid="{00000000-0005-0000-0000-000062EA0000}"/>
    <cellStyle name="Porcentual 3 5 3 2 2 2 3 3" xfId="59985" xr:uid="{00000000-0005-0000-0000-000063EA0000}"/>
    <cellStyle name="Porcentual 3 5 3 2 2 2 3 4" xfId="59986" xr:uid="{00000000-0005-0000-0000-000064EA0000}"/>
    <cellStyle name="Porcentual 3 5 3 2 2 2 4" xfId="59987" xr:uid="{00000000-0005-0000-0000-000065EA0000}"/>
    <cellStyle name="Porcentual 3 5 3 2 2 2 4 2" xfId="59988" xr:uid="{00000000-0005-0000-0000-000066EA0000}"/>
    <cellStyle name="Porcentual 3 5 3 2 2 2 5" xfId="59989" xr:uid="{00000000-0005-0000-0000-000067EA0000}"/>
    <cellStyle name="Porcentual 3 5 3 2 2 2 6" xfId="59990" xr:uid="{00000000-0005-0000-0000-000068EA0000}"/>
    <cellStyle name="Porcentual 3 5 3 2 2 3" xfId="59991" xr:uid="{00000000-0005-0000-0000-000069EA0000}"/>
    <cellStyle name="Porcentual 3 5 3 2 2 3 2" xfId="59992" xr:uid="{00000000-0005-0000-0000-00006AEA0000}"/>
    <cellStyle name="Porcentual 3 5 3 2 2 3 2 2" xfId="59993" xr:uid="{00000000-0005-0000-0000-00006BEA0000}"/>
    <cellStyle name="Porcentual 3 5 3 2 2 3 2 2 2" xfId="59994" xr:uid="{00000000-0005-0000-0000-00006CEA0000}"/>
    <cellStyle name="Porcentual 3 5 3 2 2 3 2 3" xfId="59995" xr:uid="{00000000-0005-0000-0000-00006DEA0000}"/>
    <cellStyle name="Porcentual 3 5 3 2 2 3 2 4" xfId="59996" xr:uid="{00000000-0005-0000-0000-00006EEA0000}"/>
    <cellStyle name="Porcentual 3 5 3 2 2 3 3" xfId="59997" xr:uid="{00000000-0005-0000-0000-00006FEA0000}"/>
    <cellStyle name="Porcentual 3 5 3 2 2 3 3 2" xfId="59998" xr:uid="{00000000-0005-0000-0000-000070EA0000}"/>
    <cellStyle name="Porcentual 3 5 3 2 2 3 4" xfId="59999" xr:uid="{00000000-0005-0000-0000-000071EA0000}"/>
    <cellStyle name="Porcentual 3 5 3 2 2 3 5" xfId="60000" xr:uid="{00000000-0005-0000-0000-000072EA0000}"/>
    <cellStyle name="Porcentual 3 5 3 2 2 4" xfId="60001" xr:uid="{00000000-0005-0000-0000-000073EA0000}"/>
    <cellStyle name="Porcentual 3 5 3 2 2 4 2" xfId="60002" xr:uid="{00000000-0005-0000-0000-000074EA0000}"/>
    <cellStyle name="Porcentual 3 5 3 2 2 4 2 2" xfId="60003" xr:uid="{00000000-0005-0000-0000-000075EA0000}"/>
    <cellStyle name="Porcentual 3 5 3 2 2 4 3" xfId="60004" xr:uid="{00000000-0005-0000-0000-000076EA0000}"/>
    <cellStyle name="Porcentual 3 5 3 2 2 4 4" xfId="60005" xr:uid="{00000000-0005-0000-0000-000077EA0000}"/>
    <cellStyle name="Porcentual 3 5 3 2 2 5" xfId="60006" xr:uid="{00000000-0005-0000-0000-000078EA0000}"/>
    <cellStyle name="Porcentual 3 5 3 2 2 5 2" xfId="60007" xr:uid="{00000000-0005-0000-0000-000079EA0000}"/>
    <cellStyle name="Porcentual 3 5 3 2 2 6" xfId="60008" xr:uid="{00000000-0005-0000-0000-00007AEA0000}"/>
    <cellStyle name="Porcentual 3 5 3 2 2 7" xfId="60009" xr:uid="{00000000-0005-0000-0000-00007BEA0000}"/>
    <cellStyle name="Porcentual 3 5 3 2 3" xfId="60010" xr:uid="{00000000-0005-0000-0000-00007CEA0000}"/>
    <cellStyle name="Porcentual 3 5 3 2 3 2" xfId="60011" xr:uid="{00000000-0005-0000-0000-00007DEA0000}"/>
    <cellStyle name="Porcentual 3 5 3 2 3 2 2" xfId="60012" xr:uid="{00000000-0005-0000-0000-00007EEA0000}"/>
    <cellStyle name="Porcentual 3 5 3 2 3 2 2 2" xfId="60013" xr:uid="{00000000-0005-0000-0000-00007FEA0000}"/>
    <cellStyle name="Porcentual 3 5 3 2 3 2 2 2 2" xfId="60014" xr:uid="{00000000-0005-0000-0000-000080EA0000}"/>
    <cellStyle name="Porcentual 3 5 3 2 3 2 2 3" xfId="60015" xr:uid="{00000000-0005-0000-0000-000081EA0000}"/>
    <cellStyle name="Porcentual 3 5 3 2 3 2 2 4" xfId="60016" xr:uid="{00000000-0005-0000-0000-000082EA0000}"/>
    <cellStyle name="Porcentual 3 5 3 2 3 2 3" xfId="60017" xr:uid="{00000000-0005-0000-0000-000083EA0000}"/>
    <cellStyle name="Porcentual 3 5 3 2 3 2 3 2" xfId="60018" xr:uid="{00000000-0005-0000-0000-000084EA0000}"/>
    <cellStyle name="Porcentual 3 5 3 2 3 2 4" xfId="60019" xr:uid="{00000000-0005-0000-0000-000085EA0000}"/>
    <cellStyle name="Porcentual 3 5 3 2 3 2 5" xfId="60020" xr:uid="{00000000-0005-0000-0000-000086EA0000}"/>
    <cellStyle name="Porcentual 3 5 3 2 3 3" xfId="60021" xr:uid="{00000000-0005-0000-0000-000087EA0000}"/>
    <cellStyle name="Porcentual 3 5 3 2 3 3 2" xfId="60022" xr:uid="{00000000-0005-0000-0000-000088EA0000}"/>
    <cellStyle name="Porcentual 3 5 3 2 3 3 2 2" xfId="60023" xr:uid="{00000000-0005-0000-0000-000089EA0000}"/>
    <cellStyle name="Porcentual 3 5 3 2 3 3 3" xfId="60024" xr:uid="{00000000-0005-0000-0000-00008AEA0000}"/>
    <cellStyle name="Porcentual 3 5 3 2 3 3 3 2" xfId="60025" xr:uid="{00000000-0005-0000-0000-00008BEA0000}"/>
    <cellStyle name="Porcentual 3 5 3 2 3 3 4" xfId="60026" xr:uid="{00000000-0005-0000-0000-00008CEA0000}"/>
    <cellStyle name="Porcentual 3 5 3 2 3 3 5" xfId="60027" xr:uid="{00000000-0005-0000-0000-00008DEA0000}"/>
    <cellStyle name="Porcentual 3 5 3 2 3 4" xfId="60028" xr:uid="{00000000-0005-0000-0000-00008EEA0000}"/>
    <cellStyle name="Porcentual 3 5 3 2 3 4 2" xfId="60029" xr:uid="{00000000-0005-0000-0000-00008FEA0000}"/>
    <cellStyle name="Porcentual 3 5 3 2 3 5" xfId="60030" xr:uid="{00000000-0005-0000-0000-000090EA0000}"/>
    <cellStyle name="Porcentual 3 5 3 2 3 5 2" xfId="60031" xr:uid="{00000000-0005-0000-0000-000091EA0000}"/>
    <cellStyle name="Porcentual 3 5 3 2 3 6" xfId="60032" xr:uid="{00000000-0005-0000-0000-000092EA0000}"/>
    <cellStyle name="Porcentual 3 5 3 2 3 7" xfId="60033" xr:uid="{00000000-0005-0000-0000-000093EA0000}"/>
    <cellStyle name="Porcentual 3 5 3 2 4" xfId="60034" xr:uid="{00000000-0005-0000-0000-000094EA0000}"/>
    <cellStyle name="Porcentual 3 5 3 2 4 2" xfId="60035" xr:uid="{00000000-0005-0000-0000-000095EA0000}"/>
    <cellStyle name="Porcentual 3 5 3 2 4 2 2" xfId="60036" xr:uid="{00000000-0005-0000-0000-000096EA0000}"/>
    <cellStyle name="Porcentual 3 5 3 2 4 2 2 2" xfId="60037" xr:uid="{00000000-0005-0000-0000-000097EA0000}"/>
    <cellStyle name="Porcentual 3 5 3 2 4 2 3" xfId="60038" xr:uid="{00000000-0005-0000-0000-000098EA0000}"/>
    <cellStyle name="Porcentual 3 5 3 2 4 2 4" xfId="60039" xr:uid="{00000000-0005-0000-0000-000099EA0000}"/>
    <cellStyle name="Porcentual 3 5 3 2 4 3" xfId="60040" xr:uid="{00000000-0005-0000-0000-00009AEA0000}"/>
    <cellStyle name="Porcentual 3 5 3 2 4 3 2" xfId="60041" xr:uid="{00000000-0005-0000-0000-00009BEA0000}"/>
    <cellStyle name="Porcentual 3 5 3 2 4 4" xfId="60042" xr:uid="{00000000-0005-0000-0000-00009CEA0000}"/>
    <cellStyle name="Porcentual 3 5 3 2 4 5" xfId="60043" xr:uid="{00000000-0005-0000-0000-00009DEA0000}"/>
    <cellStyle name="Porcentual 3 5 3 2 5" xfId="60044" xr:uid="{00000000-0005-0000-0000-00009EEA0000}"/>
    <cellStyle name="Porcentual 3 5 3 2 5 2" xfId="60045" xr:uid="{00000000-0005-0000-0000-00009FEA0000}"/>
    <cellStyle name="Porcentual 3 5 3 2 5 2 2" xfId="60046" xr:uid="{00000000-0005-0000-0000-0000A0EA0000}"/>
    <cellStyle name="Porcentual 3 5 3 2 5 3" xfId="60047" xr:uid="{00000000-0005-0000-0000-0000A1EA0000}"/>
    <cellStyle name="Porcentual 3 5 3 2 5 3 2" xfId="60048" xr:uid="{00000000-0005-0000-0000-0000A2EA0000}"/>
    <cellStyle name="Porcentual 3 5 3 2 5 4" xfId="60049" xr:uid="{00000000-0005-0000-0000-0000A3EA0000}"/>
    <cellStyle name="Porcentual 3 5 3 2 5 5" xfId="60050" xr:uid="{00000000-0005-0000-0000-0000A4EA0000}"/>
    <cellStyle name="Porcentual 3 5 3 2 6" xfId="60051" xr:uid="{00000000-0005-0000-0000-0000A5EA0000}"/>
    <cellStyle name="Porcentual 3 5 3 2 6 2" xfId="60052" xr:uid="{00000000-0005-0000-0000-0000A6EA0000}"/>
    <cellStyle name="Porcentual 3 5 3 2 7" xfId="60053" xr:uid="{00000000-0005-0000-0000-0000A7EA0000}"/>
    <cellStyle name="Porcentual 3 5 3 2 7 2" xfId="60054" xr:uid="{00000000-0005-0000-0000-0000A8EA0000}"/>
    <cellStyle name="Porcentual 3 5 3 2 8" xfId="60055" xr:uid="{00000000-0005-0000-0000-0000A9EA0000}"/>
    <cellStyle name="Porcentual 3 5 3 2 9" xfId="60056" xr:uid="{00000000-0005-0000-0000-0000AAEA0000}"/>
    <cellStyle name="Porcentual 3 5 3 3" xfId="60057" xr:uid="{00000000-0005-0000-0000-0000ABEA0000}"/>
    <cellStyle name="Porcentual 3 5 3 3 2" xfId="60058" xr:uid="{00000000-0005-0000-0000-0000ACEA0000}"/>
    <cellStyle name="Porcentual 3 5 3 3 2 2" xfId="60059" xr:uid="{00000000-0005-0000-0000-0000ADEA0000}"/>
    <cellStyle name="Porcentual 3 5 3 3 2 2 2" xfId="60060" xr:uid="{00000000-0005-0000-0000-0000AEEA0000}"/>
    <cellStyle name="Porcentual 3 5 3 3 2 2 2 2" xfId="60061" xr:uid="{00000000-0005-0000-0000-0000AFEA0000}"/>
    <cellStyle name="Porcentual 3 5 3 3 2 2 2 2 2" xfId="60062" xr:uid="{00000000-0005-0000-0000-0000B0EA0000}"/>
    <cellStyle name="Porcentual 3 5 3 3 2 2 2 3" xfId="60063" xr:uid="{00000000-0005-0000-0000-0000B1EA0000}"/>
    <cellStyle name="Porcentual 3 5 3 3 2 2 2 4" xfId="60064" xr:uid="{00000000-0005-0000-0000-0000B2EA0000}"/>
    <cellStyle name="Porcentual 3 5 3 3 2 2 3" xfId="60065" xr:uid="{00000000-0005-0000-0000-0000B3EA0000}"/>
    <cellStyle name="Porcentual 3 5 3 3 2 2 3 2" xfId="60066" xr:uid="{00000000-0005-0000-0000-0000B4EA0000}"/>
    <cellStyle name="Porcentual 3 5 3 3 2 2 4" xfId="60067" xr:uid="{00000000-0005-0000-0000-0000B5EA0000}"/>
    <cellStyle name="Porcentual 3 5 3 3 2 2 5" xfId="60068" xr:uid="{00000000-0005-0000-0000-0000B6EA0000}"/>
    <cellStyle name="Porcentual 3 5 3 3 2 3" xfId="60069" xr:uid="{00000000-0005-0000-0000-0000B7EA0000}"/>
    <cellStyle name="Porcentual 3 5 3 3 2 3 2" xfId="60070" xr:uid="{00000000-0005-0000-0000-0000B8EA0000}"/>
    <cellStyle name="Porcentual 3 5 3 3 2 3 2 2" xfId="60071" xr:uid="{00000000-0005-0000-0000-0000B9EA0000}"/>
    <cellStyle name="Porcentual 3 5 3 3 2 3 3" xfId="60072" xr:uid="{00000000-0005-0000-0000-0000BAEA0000}"/>
    <cellStyle name="Porcentual 3 5 3 3 2 3 4" xfId="60073" xr:uid="{00000000-0005-0000-0000-0000BBEA0000}"/>
    <cellStyle name="Porcentual 3 5 3 3 2 4" xfId="60074" xr:uid="{00000000-0005-0000-0000-0000BCEA0000}"/>
    <cellStyle name="Porcentual 3 5 3 3 2 4 2" xfId="60075" xr:uid="{00000000-0005-0000-0000-0000BDEA0000}"/>
    <cellStyle name="Porcentual 3 5 3 3 2 5" xfId="60076" xr:uid="{00000000-0005-0000-0000-0000BEEA0000}"/>
    <cellStyle name="Porcentual 3 5 3 3 2 6" xfId="60077" xr:uid="{00000000-0005-0000-0000-0000BFEA0000}"/>
    <cellStyle name="Porcentual 3 5 3 3 3" xfId="60078" xr:uid="{00000000-0005-0000-0000-0000C0EA0000}"/>
    <cellStyle name="Porcentual 3 5 3 3 3 2" xfId="60079" xr:uid="{00000000-0005-0000-0000-0000C1EA0000}"/>
    <cellStyle name="Porcentual 3 5 3 3 3 2 2" xfId="60080" xr:uid="{00000000-0005-0000-0000-0000C2EA0000}"/>
    <cellStyle name="Porcentual 3 5 3 3 3 2 2 2" xfId="60081" xr:uid="{00000000-0005-0000-0000-0000C3EA0000}"/>
    <cellStyle name="Porcentual 3 5 3 3 3 2 3" xfId="60082" xr:uid="{00000000-0005-0000-0000-0000C4EA0000}"/>
    <cellStyle name="Porcentual 3 5 3 3 3 2 4" xfId="60083" xr:uid="{00000000-0005-0000-0000-0000C5EA0000}"/>
    <cellStyle name="Porcentual 3 5 3 3 3 3" xfId="60084" xr:uid="{00000000-0005-0000-0000-0000C6EA0000}"/>
    <cellStyle name="Porcentual 3 5 3 3 3 3 2" xfId="60085" xr:uid="{00000000-0005-0000-0000-0000C7EA0000}"/>
    <cellStyle name="Porcentual 3 5 3 3 3 4" xfId="60086" xr:uid="{00000000-0005-0000-0000-0000C8EA0000}"/>
    <cellStyle name="Porcentual 3 5 3 3 3 5" xfId="60087" xr:uid="{00000000-0005-0000-0000-0000C9EA0000}"/>
    <cellStyle name="Porcentual 3 5 3 3 4" xfId="60088" xr:uid="{00000000-0005-0000-0000-0000CAEA0000}"/>
    <cellStyle name="Porcentual 3 5 3 3 4 2" xfId="60089" xr:uid="{00000000-0005-0000-0000-0000CBEA0000}"/>
    <cellStyle name="Porcentual 3 5 3 3 4 2 2" xfId="60090" xr:uid="{00000000-0005-0000-0000-0000CCEA0000}"/>
    <cellStyle name="Porcentual 3 5 3 3 4 3" xfId="60091" xr:uid="{00000000-0005-0000-0000-0000CDEA0000}"/>
    <cellStyle name="Porcentual 3 5 3 3 4 4" xfId="60092" xr:uid="{00000000-0005-0000-0000-0000CEEA0000}"/>
    <cellStyle name="Porcentual 3 5 3 3 5" xfId="60093" xr:uid="{00000000-0005-0000-0000-0000CFEA0000}"/>
    <cellStyle name="Porcentual 3 5 3 3 5 2" xfId="60094" xr:uid="{00000000-0005-0000-0000-0000D0EA0000}"/>
    <cellStyle name="Porcentual 3 5 3 3 6" xfId="60095" xr:uid="{00000000-0005-0000-0000-0000D1EA0000}"/>
    <cellStyle name="Porcentual 3 5 3 3 7" xfId="60096" xr:uid="{00000000-0005-0000-0000-0000D2EA0000}"/>
    <cellStyle name="Porcentual 3 5 3 4" xfId="60097" xr:uid="{00000000-0005-0000-0000-0000D3EA0000}"/>
    <cellStyle name="Porcentual 3 5 3 4 2" xfId="60098" xr:uid="{00000000-0005-0000-0000-0000D4EA0000}"/>
    <cellStyle name="Porcentual 3 5 3 4 2 2" xfId="60099" xr:uid="{00000000-0005-0000-0000-0000D5EA0000}"/>
    <cellStyle name="Porcentual 3 5 3 4 2 2 2" xfId="60100" xr:uid="{00000000-0005-0000-0000-0000D6EA0000}"/>
    <cellStyle name="Porcentual 3 5 3 4 2 2 2 2" xfId="60101" xr:uid="{00000000-0005-0000-0000-0000D7EA0000}"/>
    <cellStyle name="Porcentual 3 5 3 4 2 2 3" xfId="60102" xr:uid="{00000000-0005-0000-0000-0000D8EA0000}"/>
    <cellStyle name="Porcentual 3 5 3 4 2 2 4" xfId="60103" xr:uid="{00000000-0005-0000-0000-0000D9EA0000}"/>
    <cellStyle name="Porcentual 3 5 3 4 2 3" xfId="60104" xr:uid="{00000000-0005-0000-0000-0000DAEA0000}"/>
    <cellStyle name="Porcentual 3 5 3 4 2 3 2" xfId="60105" xr:uid="{00000000-0005-0000-0000-0000DBEA0000}"/>
    <cellStyle name="Porcentual 3 5 3 4 2 4" xfId="60106" xr:uid="{00000000-0005-0000-0000-0000DCEA0000}"/>
    <cellStyle name="Porcentual 3 5 3 4 2 5" xfId="60107" xr:uid="{00000000-0005-0000-0000-0000DDEA0000}"/>
    <cellStyle name="Porcentual 3 5 3 4 3" xfId="60108" xr:uid="{00000000-0005-0000-0000-0000DEEA0000}"/>
    <cellStyle name="Porcentual 3 5 3 4 3 2" xfId="60109" xr:uid="{00000000-0005-0000-0000-0000DFEA0000}"/>
    <cellStyle name="Porcentual 3 5 3 4 3 2 2" xfId="60110" xr:uid="{00000000-0005-0000-0000-0000E0EA0000}"/>
    <cellStyle name="Porcentual 3 5 3 4 3 3" xfId="60111" xr:uid="{00000000-0005-0000-0000-0000E1EA0000}"/>
    <cellStyle name="Porcentual 3 5 3 4 3 3 2" xfId="60112" xr:uid="{00000000-0005-0000-0000-0000E2EA0000}"/>
    <cellStyle name="Porcentual 3 5 3 4 3 4" xfId="60113" xr:uid="{00000000-0005-0000-0000-0000E3EA0000}"/>
    <cellStyle name="Porcentual 3 5 3 4 3 5" xfId="60114" xr:uid="{00000000-0005-0000-0000-0000E4EA0000}"/>
    <cellStyle name="Porcentual 3 5 3 4 4" xfId="60115" xr:uid="{00000000-0005-0000-0000-0000E5EA0000}"/>
    <cellStyle name="Porcentual 3 5 3 4 4 2" xfId="60116" xr:uid="{00000000-0005-0000-0000-0000E6EA0000}"/>
    <cellStyle name="Porcentual 3 5 3 4 5" xfId="60117" xr:uid="{00000000-0005-0000-0000-0000E7EA0000}"/>
    <cellStyle name="Porcentual 3 5 3 4 5 2" xfId="60118" xr:uid="{00000000-0005-0000-0000-0000E8EA0000}"/>
    <cellStyle name="Porcentual 3 5 3 4 6" xfId="60119" xr:uid="{00000000-0005-0000-0000-0000E9EA0000}"/>
    <cellStyle name="Porcentual 3 5 3 4 7" xfId="60120" xr:uid="{00000000-0005-0000-0000-0000EAEA0000}"/>
    <cellStyle name="Porcentual 3 5 3 5" xfId="60121" xr:uid="{00000000-0005-0000-0000-0000EBEA0000}"/>
    <cellStyle name="Porcentual 3 5 3 5 2" xfId="60122" xr:uid="{00000000-0005-0000-0000-0000ECEA0000}"/>
    <cellStyle name="Porcentual 3 5 3 5 2 2" xfId="60123" xr:uid="{00000000-0005-0000-0000-0000EDEA0000}"/>
    <cellStyle name="Porcentual 3 5 3 5 2 2 2" xfId="60124" xr:uid="{00000000-0005-0000-0000-0000EEEA0000}"/>
    <cellStyle name="Porcentual 3 5 3 5 2 3" xfId="60125" xr:uid="{00000000-0005-0000-0000-0000EFEA0000}"/>
    <cellStyle name="Porcentual 3 5 3 5 2 4" xfId="60126" xr:uid="{00000000-0005-0000-0000-0000F0EA0000}"/>
    <cellStyle name="Porcentual 3 5 3 5 3" xfId="60127" xr:uid="{00000000-0005-0000-0000-0000F1EA0000}"/>
    <cellStyle name="Porcentual 3 5 3 5 3 2" xfId="60128" xr:uid="{00000000-0005-0000-0000-0000F2EA0000}"/>
    <cellStyle name="Porcentual 3 5 3 5 4" xfId="60129" xr:uid="{00000000-0005-0000-0000-0000F3EA0000}"/>
    <cellStyle name="Porcentual 3 5 3 5 5" xfId="60130" xr:uid="{00000000-0005-0000-0000-0000F4EA0000}"/>
    <cellStyle name="Porcentual 3 5 3 6" xfId="60131" xr:uid="{00000000-0005-0000-0000-0000F5EA0000}"/>
    <cellStyle name="Porcentual 3 5 3 6 2" xfId="60132" xr:uid="{00000000-0005-0000-0000-0000F6EA0000}"/>
    <cellStyle name="Porcentual 3 5 3 6 2 2" xfId="60133" xr:uid="{00000000-0005-0000-0000-0000F7EA0000}"/>
    <cellStyle name="Porcentual 3 5 3 6 3" xfId="60134" xr:uid="{00000000-0005-0000-0000-0000F8EA0000}"/>
    <cellStyle name="Porcentual 3 5 3 6 3 2" xfId="60135" xr:uid="{00000000-0005-0000-0000-0000F9EA0000}"/>
    <cellStyle name="Porcentual 3 5 3 6 4" xfId="60136" xr:uid="{00000000-0005-0000-0000-0000FAEA0000}"/>
    <cellStyle name="Porcentual 3 5 3 6 5" xfId="60137" xr:uid="{00000000-0005-0000-0000-0000FBEA0000}"/>
    <cellStyle name="Porcentual 3 5 3 7" xfId="60138" xr:uid="{00000000-0005-0000-0000-0000FCEA0000}"/>
    <cellStyle name="Porcentual 3 5 3 7 2" xfId="60139" xr:uid="{00000000-0005-0000-0000-0000FDEA0000}"/>
    <cellStyle name="Porcentual 3 5 3 8" xfId="60140" xr:uid="{00000000-0005-0000-0000-0000FEEA0000}"/>
    <cellStyle name="Porcentual 3 5 3 8 2" xfId="60141" xr:uid="{00000000-0005-0000-0000-0000FFEA0000}"/>
    <cellStyle name="Porcentual 3 5 3 9" xfId="60142" xr:uid="{00000000-0005-0000-0000-000000EB0000}"/>
    <cellStyle name="Porcentual 3 5 4" xfId="60143" xr:uid="{00000000-0005-0000-0000-000001EB0000}"/>
    <cellStyle name="Porcentual 3 5 4 2" xfId="60144" xr:uid="{00000000-0005-0000-0000-000002EB0000}"/>
    <cellStyle name="Porcentual 3 5 4 2 2" xfId="60145" xr:uid="{00000000-0005-0000-0000-000003EB0000}"/>
    <cellStyle name="Porcentual 3 5 4 2 2 2" xfId="60146" xr:uid="{00000000-0005-0000-0000-000004EB0000}"/>
    <cellStyle name="Porcentual 3 5 4 2 2 2 2" xfId="60147" xr:uid="{00000000-0005-0000-0000-000005EB0000}"/>
    <cellStyle name="Porcentual 3 5 4 2 2 2 2 2" xfId="60148" xr:uid="{00000000-0005-0000-0000-000006EB0000}"/>
    <cellStyle name="Porcentual 3 5 4 2 2 2 2 2 2" xfId="60149" xr:uid="{00000000-0005-0000-0000-000007EB0000}"/>
    <cellStyle name="Porcentual 3 5 4 2 2 2 2 3" xfId="60150" xr:uid="{00000000-0005-0000-0000-000008EB0000}"/>
    <cellStyle name="Porcentual 3 5 4 2 2 2 2 4" xfId="60151" xr:uid="{00000000-0005-0000-0000-000009EB0000}"/>
    <cellStyle name="Porcentual 3 5 4 2 2 2 3" xfId="60152" xr:uid="{00000000-0005-0000-0000-00000AEB0000}"/>
    <cellStyle name="Porcentual 3 5 4 2 2 2 3 2" xfId="60153" xr:uid="{00000000-0005-0000-0000-00000BEB0000}"/>
    <cellStyle name="Porcentual 3 5 4 2 2 2 4" xfId="60154" xr:uid="{00000000-0005-0000-0000-00000CEB0000}"/>
    <cellStyle name="Porcentual 3 5 4 2 2 2 5" xfId="60155" xr:uid="{00000000-0005-0000-0000-00000DEB0000}"/>
    <cellStyle name="Porcentual 3 5 4 2 2 3" xfId="60156" xr:uid="{00000000-0005-0000-0000-00000EEB0000}"/>
    <cellStyle name="Porcentual 3 5 4 2 2 3 2" xfId="60157" xr:uid="{00000000-0005-0000-0000-00000FEB0000}"/>
    <cellStyle name="Porcentual 3 5 4 2 2 3 2 2" xfId="60158" xr:uid="{00000000-0005-0000-0000-000010EB0000}"/>
    <cellStyle name="Porcentual 3 5 4 2 2 3 3" xfId="60159" xr:uid="{00000000-0005-0000-0000-000011EB0000}"/>
    <cellStyle name="Porcentual 3 5 4 2 2 3 4" xfId="60160" xr:uid="{00000000-0005-0000-0000-000012EB0000}"/>
    <cellStyle name="Porcentual 3 5 4 2 2 4" xfId="60161" xr:uid="{00000000-0005-0000-0000-000013EB0000}"/>
    <cellStyle name="Porcentual 3 5 4 2 2 4 2" xfId="60162" xr:uid="{00000000-0005-0000-0000-000014EB0000}"/>
    <cellStyle name="Porcentual 3 5 4 2 2 5" xfId="60163" xr:uid="{00000000-0005-0000-0000-000015EB0000}"/>
    <cellStyle name="Porcentual 3 5 4 2 2 6" xfId="60164" xr:uid="{00000000-0005-0000-0000-000016EB0000}"/>
    <cellStyle name="Porcentual 3 5 4 2 3" xfId="60165" xr:uid="{00000000-0005-0000-0000-000017EB0000}"/>
    <cellStyle name="Porcentual 3 5 4 2 3 2" xfId="60166" xr:uid="{00000000-0005-0000-0000-000018EB0000}"/>
    <cellStyle name="Porcentual 3 5 4 2 3 2 2" xfId="60167" xr:uid="{00000000-0005-0000-0000-000019EB0000}"/>
    <cellStyle name="Porcentual 3 5 4 2 3 2 2 2" xfId="60168" xr:uid="{00000000-0005-0000-0000-00001AEB0000}"/>
    <cellStyle name="Porcentual 3 5 4 2 3 2 3" xfId="60169" xr:uid="{00000000-0005-0000-0000-00001BEB0000}"/>
    <cellStyle name="Porcentual 3 5 4 2 3 2 4" xfId="60170" xr:uid="{00000000-0005-0000-0000-00001CEB0000}"/>
    <cellStyle name="Porcentual 3 5 4 2 3 3" xfId="60171" xr:uid="{00000000-0005-0000-0000-00001DEB0000}"/>
    <cellStyle name="Porcentual 3 5 4 2 3 3 2" xfId="60172" xr:uid="{00000000-0005-0000-0000-00001EEB0000}"/>
    <cellStyle name="Porcentual 3 5 4 2 3 4" xfId="60173" xr:uid="{00000000-0005-0000-0000-00001FEB0000}"/>
    <cellStyle name="Porcentual 3 5 4 2 3 5" xfId="60174" xr:uid="{00000000-0005-0000-0000-000020EB0000}"/>
    <cellStyle name="Porcentual 3 5 4 2 4" xfId="60175" xr:uid="{00000000-0005-0000-0000-000021EB0000}"/>
    <cellStyle name="Porcentual 3 5 4 2 4 2" xfId="60176" xr:uid="{00000000-0005-0000-0000-000022EB0000}"/>
    <cellStyle name="Porcentual 3 5 4 2 4 2 2" xfId="60177" xr:uid="{00000000-0005-0000-0000-000023EB0000}"/>
    <cellStyle name="Porcentual 3 5 4 2 4 3" xfId="60178" xr:uid="{00000000-0005-0000-0000-000024EB0000}"/>
    <cellStyle name="Porcentual 3 5 4 2 4 4" xfId="60179" xr:uid="{00000000-0005-0000-0000-000025EB0000}"/>
    <cellStyle name="Porcentual 3 5 4 2 5" xfId="60180" xr:uid="{00000000-0005-0000-0000-000026EB0000}"/>
    <cellStyle name="Porcentual 3 5 4 2 5 2" xfId="60181" xr:uid="{00000000-0005-0000-0000-000027EB0000}"/>
    <cellStyle name="Porcentual 3 5 4 2 6" xfId="60182" xr:uid="{00000000-0005-0000-0000-000028EB0000}"/>
    <cellStyle name="Porcentual 3 5 4 2 7" xfId="60183" xr:uid="{00000000-0005-0000-0000-000029EB0000}"/>
    <cellStyle name="Porcentual 3 5 4 3" xfId="60184" xr:uid="{00000000-0005-0000-0000-00002AEB0000}"/>
    <cellStyle name="Porcentual 3 5 4 3 2" xfId="60185" xr:uid="{00000000-0005-0000-0000-00002BEB0000}"/>
    <cellStyle name="Porcentual 3 5 4 3 2 2" xfId="60186" xr:uid="{00000000-0005-0000-0000-00002CEB0000}"/>
    <cellStyle name="Porcentual 3 5 4 3 2 2 2" xfId="60187" xr:uid="{00000000-0005-0000-0000-00002DEB0000}"/>
    <cellStyle name="Porcentual 3 5 4 3 2 2 2 2" xfId="60188" xr:uid="{00000000-0005-0000-0000-00002EEB0000}"/>
    <cellStyle name="Porcentual 3 5 4 3 2 2 3" xfId="60189" xr:uid="{00000000-0005-0000-0000-00002FEB0000}"/>
    <cellStyle name="Porcentual 3 5 4 3 2 2 4" xfId="60190" xr:uid="{00000000-0005-0000-0000-000030EB0000}"/>
    <cellStyle name="Porcentual 3 5 4 3 2 3" xfId="60191" xr:uid="{00000000-0005-0000-0000-000031EB0000}"/>
    <cellStyle name="Porcentual 3 5 4 3 2 3 2" xfId="60192" xr:uid="{00000000-0005-0000-0000-000032EB0000}"/>
    <cellStyle name="Porcentual 3 5 4 3 2 4" xfId="60193" xr:uid="{00000000-0005-0000-0000-000033EB0000}"/>
    <cellStyle name="Porcentual 3 5 4 3 2 5" xfId="60194" xr:uid="{00000000-0005-0000-0000-000034EB0000}"/>
    <cellStyle name="Porcentual 3 5 4 3 3" xfId="60195" xr:uid="{00000000-0005-0000-0000-000035EB0000}"/>
    <cellStyle name="Porcentual 3 5 4 3 3 2" xfId="60196" xr:uid="{00000000-0005-0000-0000-000036EB0000}"/>
    <cellStyle name="Porcentual 3 5 4 3 3 2 2" xfId="60197" xr:uid="{00000000-0005-0000-0000-000037EB0000}"/>
    <cellStyle name="Porcentual 3 5 4 3 3 3" xfId="60198" xr:uid="{00000000-0005-0000-0000-000038EB0000}"/>
    <cellStyle name="Porcentual 3 5 4 3 3 3 2" xfId="60199" xr:uid="{00000000-0005-0000-0000-000039EB0000}"/>
    <cellStyle name="Porcentual 3 5 4 3 3 4" xfId="60200" xr:uid="{00000000-0005-0000-0000-00003AEB0000}"/>
    <cellStyle name="Porcentual 3 5 4 3 3 5" xfId="60201" xr:uid="{00000000-0005-0000-0000-00003BEB0000}"/>
    <cellStyle name="Porcentual 3 5 4 3 4" xfId="60202" xr:uid="{00000000-0005-0000-0000-00003CEB0000}"/>
    <cellStyle name="Porcentual 3 5 4 3 4 2" xfId="60203" xr:uid="{00000000-0005-0000-0000-00003DEB0000}"/>
    <cellStyle name="Porcentual 3 5 4 3 5" xfId="60204" xr:uid="{00000000-0005-0000-0000-00003EEB0000}"/>
    <cellStyle name="Porcentual 3 5 4 3 5 2" xfId="60205" xr:uid="{00000000-0005-0000-0000-00003FEB0000}"/>
    <cellStyle name="Porcentual 3 5 4 3 6" xfId="60206" xr:uid="{00000000-0005-0000-0000-000040EB0000}"/>
    <cellStyle name="Porcentual 3 5 4 3 7" xfId="60207" xr:uid="{00000000-0005-0000-0000-000041EB0000}"/>
    <cellStyle name="Porcentual 3 5 4 4" xfId="60208" xr:uid="{00000000-0005-0000-0000-000042EB0000}"/>
    <cellStyle name="Porcentual 3 5 4 4 2" xfId="60209" xr:uid="{00000000-0005-0000-0000-000043EB0000}"/>
    <cellStyle name="Porcentual 3 5 4 4 2 2" xfId="60210" xr:uid="{00000000-0005-0000-0000-000044EB0000}"/>
    <cellStyle name="Porcentual 3 5 4 4 2 2 2" xfId="60211" xr:uid="{00000000-0005-0000-0000-000045EB0000}"/>
    <cellStyle name="Porcentual 3 5 4 4 2 3" xfId="60212" xr:uid="{00000000-0005-0000-0000-000046EB0000}"/>
    <cellStyle name="Porcentual 3 5 4 4 2 4" xfId="60213" xr:uid="{00000000-0005-0000-0000-000047EB0000}"/>
    <cellStyle name="Porcentual 3 5 4 4 3" xfId="60214" xr:uid="{00000000-0005-0000-0000-000048EB0000}"/>
    <cellStyle name="Porcentual 3 5 4 4 3 2" xfId="60215" xr:uid="{00000000-0005-0000-0000-000049EB0000}"/>
    <cellStyle name="Porcentual 3 5 4 4 4" xfId="60216" xr:uid="{00000000-0005-0000-0000-00004AEB0000}"/>
    <cellStyle name="Porcentual 3 5 4 4 5" xfId="60217" xr:uid="{00000000-0005-0000-0000-00004BEB0000}"/>
    <cellStyle name="Porcentual 3 5 4 5" xfId="60218" xr:uid="{00000000-0005-0000-0000-00004CEB0000}"/>
    <cellStyle name="Porcentual 3 5 4 5 2" xfId="60219" xr:uid="{00000000-0005-0000-0000-00004DEB0000}"/>
    <cellStyle name="Porcentual 3 5 4 5 2 2" xfId="60220" xr:uid="{00000000-0005-0000-0000-00004EEB0000}"/>
    <cellStyle name="Porcentual 3 5 4 5 3" xfId="60221" xr:uid="{00000000-0005-0000-0000-00004FEB0000}"/>
    <cellStyle name="Porcentual 3 5 4 5 3 2" xfId="60222" xr:uid="{00000000-0005-0000-0000-000050EB0000}"/>
    <cellStyle name="Porcentual 3 5 4 5 4" xfId="60223" xr:uid="{00000000-0005-0000-0000-000051EB0000}"/>
    <cellStyle name="Porcentual 3 5 4 5 5" xfId="60224" xr:uid="{00000000-0005-0000-0000-000052EB0000}"/>
    <cellStyle name="Porcentual 3 5 4 6" xfId="60225" xr:uid="{00000000-0005-0000-0000-000053EB0000}"/>
    <cellStyle name="Porcentual 3 5 4 6 2" xfId="60226" xr:uid="{00000000-0005-0000-0000-000054EB0000}"/>
    <cellStyle name="Porcentual 3 5 4 7" xfId="60227" xr:uid="{00000000-0005-0000-0000-000055EB0000}"/>
    <cellStyle name="Porcentual 3 5 4 7 2" xfId="60228" xr:uid="{00000000-0005-0000-0000-000056EB0000}"/>
    <cellStyle name="Porcentual 3 5 4 8" xfId="60229" xr:uid="{00000000-0005-0000-0000-000057EB0000}"/>
    <cellStyle name="Porcentual 3 5 4 9" xfId="60230" xr:uid="{00000000-0005-0000-0000-000058EB0000}"/>
    <cellStyle name="Porcentual 3 5 5" xfId="60231" xr:uid="{00000000-0005-0000-0000-000059EB0000}"/>
    <cellStyle name="Porcentual 3 5 5 2" xfId="60232" xr:uid="{00000000-0005-0000-0000-00005AEB0000}"/>
    <cellStyle name="Porcentual 3 5 5 2 2" xfId="60233" xr:uid="{00000000-0005-0000-0000-00005BEB0000}"/>
    <cellStyle name="Porcentual 3 5 5 2 2 2" xfId="60234" xr:uid="{00000000-0005-0000-0000-00005CEB0000}"/>
    <cellStyle name="Porcentual 3 5 5 2 2 2 2" xfId="60235" xr:uid="{00000000-0005-0000-0000-00005DEB0000}"/>
    <cellStyle name="Porcentual 3 5 5 2 2 2 2 2" xfId="60236" xr:uid="{00000000-0005-0000-0000-00005EEB0000}"/>
    <cellStyle name="Porcentual 3 5 5 2 2 2 3" xfId="60237" xr:uid="{00000000-0005-0000-0000-00005FEB0000}"/>
    <cellStyle name="Porcentual 3 5 5 2 2 2 4" xfId="60238" xr:uid="{00000000-0005-0000-0000-000060EB0000}"/>
    <cellStyle name="Porcentual 3 5 5 2 2 3" xfId="60239" xr:uid="{00000000-0005-0000-0000-000061EB0000}"/>
    <cellStyle name="Porcentual 3 5 5 2 2 3 2" xfId="60240" xr:uid="{00000000-0005-0000-0000-000062EB0000}"/>
    <cellStyle name="Porcentual 3 5 5 2 2 4" xfId="60241" xr:uid="{00000000-0005-0000-0000-000063EB0000}"/>
    <cellStyle name="Porcentual 3 5 5 2 2 5" xfId="60242" xr:uid="{00000000-0005-0000-0000-000064EB0000}"/>
    <cellStyle name="Porcentual 3 5 5 2 3" xfId="60243" xr:uid="{00000000-0005-0000-0000-000065EB0000}"/>
    <cellStyle name="Porcentual 3 5 5 2 3 2" xfId="60244" xr:uid="{00000000-0005-0000-0000-000066EB0000}"/>
    <cellStyle name="Porcentual 3 5 5 2 3 2 2" xfId="60245" xr:uid="{00000000-0005-0000-0000-000067EB0000}"/>
    <cellStyle name="Porcentual 3 5 5 2 3 3" xfId="60246" xr:uid="{00000000-0005-0000-0000-000068EB0000}"/>
    <cellStyle name="Porcentual 3 5 5 2 3 3 2" xfId="60247" xr:uid="{00000000-0005-0000-0000-000069EB0000}"/>
    <cellStyle name="Porcentual 3 5 5 2 3 4" xfId="60248" xr:uid="{00000000-0005-0000-0000-00006AEB0000}"/>
    <cellStyle name="Porcentual 3 5 5 2 3 5" xfId="60249" xr:uid="{00000000-0005-0000-0000-00006BEB0000}"/>
    <cellStyle name="Porcentual 3 5 5 2 4" xfId="60250" xr:uid="{00000000-0005-0000-0000-00006CEB0000}"/>
    <cellStyle name="Porcentual 3 5 5 2 4 2" xfId="60251" xr:uid="{00000000-0005-0000-0000-00006DEB0000}"/>
    <cellStyle name="Porcentual 3 5 5 2 5" xfId="60252" xr:uid="{00000000-0005-0000-0000-00006EEB0000}"/>
    <cellStyle name="Porcentual 3 5 5 2 5 2" xfId="60253" xr:uid="{00000000-0005-0000-0000-00006FEB0000}"/>
    <cellStyle name="Porcentual 3 5 5 2 6" xfId="60254" xr:uid="{00000000-0005-0000-0000-000070EB0000}"/>
    <cellStyle name="Porcentual 3 5 5 2 7" xfId="60255" xr:uid="{00000000-0005-0000-0000-000071EB0000}"/>
    <cellStyle name="Porcentual 3 5 5 3" xfId="60256" xr:uid="{00000000-0005-0000-0000-000072EB0000}"/>
    <cellStyle name="Porcentual 3 5 5 3 2" xfId="60257" xr:uid="{00000000-0005-0000-0000-000073EB0000}"/>
    <cellStyle name="Porcentual 3 5 5 3 2 2" xfId="60258" xr:uid="{00000000-0005-0000-0000-000074EB0000}"/>
    <cellStyle name="Porcentual 3 5 5 3 2 2 2" xfId="60259" xr:uid="{00000000-0005-0000-0000-000075EB0000}"/>
    <cellStyle name="Porcentual 3 5 5 3 2 3" xfId="60260" xr:uid="{00000000-0005-0000-0000-000076EB0000}"/>
    <cellStyle name="Porcentual 3 5 5 3 2 4" xfId="60261" xr:uid="{00000000-0005-0000-0000-000077EB0000}"/>
    <cellStyle name="Porcentual 3 5 5 3 3" xfId="60262" xr:uid="{00000000-0005-0000-0000-000078EB0000}"/>
    <cellStyle name="Porcentual 3 5 5 3 3 2" xfId="60263" xr:uid="{00000000-0005-0000-0000-000079EB0000}"/>
    <cellStyle name="Porcentual 3 5 5 3 4" xfId="60264" xr:uid="{00000000-0005-0000-0000-00007AEB0000}"/>
    <cellStyle name="Porcentual 3 5 5 3 5" xfId="60265" xr:uid="{00000000-0005-0000-0000-00007BEB0000}"/>
    <cellStyle name="Porcentual 3 5 5 4" xfId="60266" xr:uid="{00000000-0005-0000-0000-00007CEB0000}"/>
    <cellStyle name="Porcentual 3 5 5 4 2" xfId="60267" xr:uid="{00000000-0005-0000-0000-00007DEB0000}"/>
    <cellStyle name="Porcentual 3 5 5 4 2 2" xfId="60268" xr:uid="{00000000-0005-0000-0000-00007EEB0000}"/>
    <cellStyle name="Porcentual 3 5 5 4 3" xfId="60269" xr:uid="{00000000-0005-0000-0000-00007FEB0000}"/>
    <cellStyle name="Porcentual 3 5 5 4 3 2" xfId="60270" xr:uid="{00000000-0005-0000-0000-000080EB0000}"/>
    <cellStyle name="Porcentual 3 5 5 4 4" xfId="60271" xr:uid="{00000000-0005-0000-0000-000081EB0000}"/>
    <cellStyle name="Porcentual 3 5 5 4 5" xfId="60272" xr:uid="{00000000-0005-0000-0000-000082EB0000}"/>
    <cellStyle name="Porcentual 3 5 5 5" xfId="60273" xr:uid="{00000000-0005-0000-0000-000083EB0000}"/>
    <cellStyle name="Porcentual 3 5 5 5 2" xfId="60274" xr:uid="{00000000-0005-0000-0000-000084EB0000}"/>
    <cellStyle name="Porcentual 3 5 5 6" xfId="60275" xr:uid="{00000000-0005-0000-0000-000085EB0000}"/>
    <cellStyle name="Porcentual 3 5 5 6 2" xfId="60276" xr:uid="{00000000-0005-0000-0000-000086EB0000}"/>
    <cellStyle name="Porcentual 3 5 5 7" xfId="60277" xr:uid="{00000000-0005-0000-0000-000087EB0000}"/>
    <cellStyle name="Porcentual 3 5 5 8" xfId="60278" xr:uid="{00000000-0005-0000-0000-000088EB0000}"/>
    <cellStyle name="Porcentual 3 5 6" xfId="60279" xr:uid="{00000000-0005-0000-0000-000089EB0000}"/>
    <cellStyle name="Porcentual 3 5 6 2" xfId="60280" xr:uid="{00000000-0005-0000-0000-00008AEB0000}"/>
    <cellStyle name="Porcentual 3 5 6 2 2" xfId="60281" xr:uid="{00000000-0005-0000-0000-00008BEB0000}"/>
    <cellStyle name="Porcentual 3 5 6 2 2 2" xfId="60282" xr:uid="{00000000-0005-0000-0000-00008CEB0000}"/>
    <cellStyle name="Porcentual 3 5 6 2 2 2 2" xfId="60283" xr:uid="{00000000-0005-0000-0000-00008DEB0000}"/>
    <cellStyle name="Porcentual 3 5 6 2 2 3" xfId="60284" xr:uid="{00000000-0005-0000-0000-00008EEB0000}"/>
    <cellStyle name="Porcentual 3 5 6 2 2 4" xfId="60285" xr:uid="{00000000-0005-0000-0000-00008FEB0000}"/>
    <cellStyle name="Porcentual 3 5 6 2 3" xfId="60286" xr:uid="{00000000-0005-0000-0000-000090EB0000}"/>
    <cellStyle name="Porcentual 3 5 6 2 3 2" xfId="60287" xr:uid="{00000000-0005-0000-0000-000091EB0000}"/>
    <cellStyle name="Porcentual 3 5 6 2 4" xfId="60288" xr:uid="{00000000-0005-0000-0000-000092EB0000}"/>
    <cellStyle name="Porcentual 3 5 6 2 5" xfId="60289" xr:uid="{00000000-0005-0000-0000-000093EB0000}"/>
    <cellStyle name="Porcentual 3 5 6 3" xfId="60290" xr:uid="{00000000-0005-0000-0000-000094EB0000}"/>
    <cellStyle name="Porcentual 3 5 6 3 2" xfId="60291" xr:uid="{00000000-0005-0000-0000-000095EB0000}"/>
    <cellStyle name="Porcentual 3 5 6 3 2 2" xfId="60292" xr:uid="{00000000-0005-0000-0000-000096EB0000}"/>
    <cellStyle name="Porcentual 3 5 6 3 3" xfId="60293" xr:uid="{00000000-0005-0000-0000-000097EB0000}"/>
    <cellStyle name="Porcentual 3 5 6 3 3 2" xfId="60294" xr:uid="{00000000-0005-0000-0000-000098EB0000}"/>
    <cellStyle name="Porcentual 3 5 6 3 4" xfId="60295" xr:uid="{00000000-0005-0000-0000-000099EB0000}"/>
    <cellStyle name="Porcentual 3 5 6 3 5" xfId="60296" xr:uid="{00000000-0005-0000-0000-00009AEB0000}"/>
    <cellStyle name="Porcentual 3 5 6 4" xfId="60297" xr:uid="{00000000-0005-0000-0000-00009BEB0000}"/>
    <cellStyle name="Porcentual 3 5 6 4 2" xfId="60298" xr:uid="{00000000-0005-0000-0000-00009CEB0000}"/>
    <cellStyle name="Porcentual 3 5 6 5" xfId="60299" xr:uid="{00000000-0005-0000-0000-00009DEB0000}"/>
    <cellStyle name="Porcentual 3 5 6 5 2" xfId="60300" xr:uid="{00000000-0005-0000-0000-00009EEB0000}"/>
    <cellStyle name="Porcentual 3 5 6 6" xfId="60301" xr:uid="{00000000-0005-0000-0000-00009FEB0000}"/>
    <cellStyle name="Porcentual 3 5 6 7" xfId="60302" xr:uid="{00000000-0005-0000-0000-0000A0EB0000}"/>
    <cellStyle name="Porcentual 3 5 7" xfId="60303" xr:uid="{00000000-0005-0000-0000-0000A1EB0000}"/>
    <cellStyle name="Porcentual 3 5 7 2" xfId="60304" xr:uid="{00000000-0005-0000-0000-0000A2EB0000}"/>
    <cellStyle name="Porcentual 3 5 7 2 2" xfId="60305" xr:uid="{00000000-0005-0000-0000-0000A3EB0000}"/>
    <cellStyle name="Porcentual 3 5 7 2 2 2" xfId="60306" xr:uid="{00000000-0005-0000-0000-0000A4EB0000}"/>
    <cellStyle name="Porcentual 3 5 7 2 3" xfId="60307" xr:uid="{00000000-0005-0000-0000-0000A5EB0000}"/>
    <cellStyle name="Porcentual 3 5 7 2 4" xfId="60308" xr:uid="{00000000-0005-0000-0000-0000A6EB0000}"/>
    <cellStyle name="Porcentual 3 5 7 3" xfId="60309" xr:uid="{00000000-0005-0000-0000-0000A7EB0000}"/>
    <cellStyle name="Porcentual 3 5 7 3 2" xfId="60310" xr:uid="{00000000-0005-0000-0000-0000A8EB0000}"/>
    <cellStyle name="Porcentual 3 5 7 4" xfId="60311" xr:uid="{00000000-0005-0000-0000-0000A9EB0000}"/>
    <cellStyle name="Porcentual 3 5 7 5" xfId="60312" xr:uid="{00000000-0005-0000-0000-0000AAEB0000}"/>
    <cellStyle name="Porcentual 3 5 8" xfId="60313" xr:uid="{00000000-0005-0000-0000-0000ABEB0000}"/>
    <cellStyle name="Porcentual 3 5 8 2" xfId="60314" xr:uid="{00000000-0005-0000-0000-0000ACEB0000}"/>
    <cellStyle name="Porcentual 3 5 8 2 2" xfId="60315" xr:uid="{00000000-0005-0000-0000-0000ADEB0000}"/>
    <cellStyle name="Porcentual 3 5 8 3" xfId="60316" xr:uid="{00000000-0005-0000-0000-0000AEEB0000}"/>
    <cellStyle name="Porcentual 3 5 8 3 2" xfId="60317" xr:uid="{00000000-0005-0000-0000-0000AFEB0000}"/>
    <cellStyle name="Porcentual 3 5 8 4" xfId="60318" xr:uid="{00000000-0005-0000-0000-0000B0EB0000}"/>
    <cellStyle name="Porcentual 3 5 8 5" xfId="60319" xr:uid="{00000000-0005-0000-0000-0000B1EB0000}"/>
    <cellStyle name="Porcentual 3 5 9" xfId="60320" xr:uid="{00000000-0005-0000-0000-0000B2EB0000}"/>
    <cellStyle name="Porcentual 3 5 9 2" xfId="60321" xr:uid="{00000000-0005-0000-0000-0000B3EB0000}"/>
    <cellStyle name="Porcentual 3 6" xfId="60322" xr:uid="{00000000-0005-0000-0000-0000B4EB0000}"/>
    <cellStyle name="Porcentual 3 6 10" xfId="60323" xr:uid="{00000000-0005-0000-0000-0000B5EB0000}"/>
    <cellStyle name="Porcentual 3 6 10 2" xfId="60324" xr:uid="{00000000-0005-0000-0000-0000B6EB0000}"/>
    <cellStyle name="Porcentual 3 6 11" xfId="60325" xr:uid="{00000000-0005-0000-0000-0000B7EB0000}"/>
    <cellStyle name="Porcentual 3 6 12" xfId="60326" xr:uid="{00000000-0005-0000-0000-0000B8EB0000}"/>
    <cellStyle name="Porcentual 3 6 2" xfId="60327" xr:uid="{00000000-0005-0000-0000-0000B9EB0000}"/>
    <cellStyle name="Porcentual 3 6 2 10" xfId="60328" xr:uid="{00000000-0005-0000-0000-0000BAEB0000}"/>
    <cellStyle name="Porcentual 3 6 2 11" xfId="60329" xr:uid="{00000000-0005-0000-0000-0000BBEB0000}"/>
    <cellStyle name="Porcentual 3 6 2 2" xfId="60330" xr:uid="{00000000-0005-0000-0000-0000BCEB0000}"/>
    <cellStyle name="Porcentual 3 6 2 2 10" xfId="60331" xr:uid="{00000000-0005-0000-0000-0000BDEB0000}"/>
    <cellStyle name="Porcentual 3 6 2 2 2" xfId="60332" xr:uid="{00000000-0005-0000-0000-0000BEEB0000}"/>
    <cellStyle name="Porcentual 3 6 2 2 2 2" xfId="60333" xr:uid="{00000000-0005-0000-0000-0000BFEB0000}"/>
    <cellStyle name="Porcentual 3 6 2 2 2 2 2" xfId="60334" xr:uid="{00000000-0005-0000-0000-0000C0EB0000}"/>
    <cellStyle name="Porcentual 3 6 2 2 2 2 2 2" xfId="60335" xr:uid="{00000000-0005-0000-0000-0000C1EB0000}"/>
    <cellStyle name="Porcentual 3 6 2 2 2 2 2 2 2" xfId="60336" xr:uid="{00000000-0005-0000-0000-0000C2EB0000}"/>
    <cellStyle name="Porcentual 3 6 2 2 2 2 2 2 2 2" xfId="60337" xr:uid="{00000000-0005-0000-0000-0000C3EB0000}"/>
    <cellStyle name="Porcentual 3 6 2 2 2 2 2 2 2 2 2" xfId="60338" xr:uid="{00000000-0005-0000-0000-0000C4EB0000}"/>
    <cellStyle name="Porcentual 3 6 2 2 2 2 2 2 2 3" xfId="60339" xr:uid="{00000000-0005-0000-0000-0000C5EB0000}"/>
    <cellStyle name="Porcentual 3 6 2 2 2 2 2 2 2 4" xfId="60340" xr:uid="{00000000-0005-0000-0000-0000C6EB0000}"/>
    <cellStyle name="Porcentual 3 6 2 2 2 2 2 2 3" xfId="60341" xr:uid="{00000000-0005-0000-0000-0000C7EB0000}"/>
    <cellStyle name="Porcentual 3 6 2 2 2 2 2 2 3 2" xfId="60342" xr:uid="{00000000-0005-0000-0000-0000C8EB0000}"/>
    <cellStyle name="Porcentual 3 6 2 2 2 2 2 2 4" xfId="60343" xr:uid="{00000000-0005-0000-0000-0000C9EB0000}"/>
    <cellStyle name="Porcentual 3 6 2 2 2 2 2 2 5" xfId="60344" xr:uid="{00000000-0005-0000-0000-0000CAEB0000}"/>
    <cellStyle name="Porcentual 3 6 2 2 2 2 2 3" xfId="60345" xr:uid="{00000000-0005-0000-0000-0000CBEB0000}"/>
    <cellStyle name="Porcentual 3 6 2 2 2 2 2 3 2" xfId="60346" xr:uid="{00000000-0005-0000-0000-0000CCEB0000}"/>
    <cellStyle name="Porcentual 3 6 2 2 2 2 2 3 2 2" xfId="60347" xr:uid="{00000000-0005-0000-0000-0000CDEB0000}"/>
    <cellStyle name="Porcentual 3 6 2 2 2 2 2 3 3" xfId="60348" xr:uid="{00000000-0005-0000-0000-0000CEEB0000}"/>
    <cellStyle name="Porcentual 3 6 2 2 2 2 2 3 4" xfId="60349" xr:uid="{00000000-0005-0000-0000-0000CFEB0000}"/>
    <cellStyle name="Porcentual 3 6 2 2 2 2 2 4" xfId="60350" xr:uid="{00000000-0005-0000-0000-0000D0EB0000}"/>
    <cellStyle name="Porcentual 3 6 2 2 2 2 2 4 2" xfId="60351" xr:uid="{00000000-0005-0000-0000-0000D1EB0000}"/>
    <cellStyle name="Porcentual 3 6 2 2 2 2 2 5" xfId="60352" xr:uid="{00000000-0005-0000-0000-0000D2EB0000}"/>
    <cellStyle name="Porcentual 3 6 2 2 2 2 2 6" xfId="60353" xr:uid="{00000000-0005-0000-0000-0000D3EB0000}"/>
    <cellStyle name="Porcentual 3 6 2 2 2 2 3" xfId="60354" xr:uid="{00000000-0005-0000-0000-0000D4EB0000}"/>
    <cellStyle name="Porcentual 3 6 2 2 2 2 3 2" xfId="60355" xr:uid="{00000000-0005-0000-0000-0000D5EB0000}"/>
    <cellStyle name="Porcentual 3 6 2 2 2 2 3 2 2" xfId="60356" xr:uid="{00000000-0005-0000-0000-0000D6EB0000}"/>
    <cellStyle name="Porcentual 3 6 2 2 2 2 3 2 2 2" xfId="60357" xr:uid="{00000000-0005-0000-0000-0000D7EB0000}"/>
    <cellStyle name="Porcentual 3 6 2 2 2 2 3 2 3" xfId="60358" xr:uid="{00000000-0005-0000-0000-0000D8EB0000}"/>
    <cellStyle name="Porcentual 3 6 2 2 2 2 3 2 4" xfId="60359" xr:uid="{00000000-0005-0000-0000-0000D9EB0000}"/>
    <cellStyle name="Porcentual 3 6 2 2 2 2 3 3" xfId="60360" xr:uid="{00000000-0005-0000-0000-0000DAEB0000}"/>
    <cellStyle name="Porcentual 3 6 2 2 2 2 3 3 2" xfId="60361" xr:uid="{00000000-0005-0000-0000-0000DBEB0000}"/>
    <cellStyle name="Porcentual 3 6 2 2 2 2 3 4" xfId="60362" xr:uid="{00000000-0005-0000-0000-0000DCEB0000}"/>
    <cellStyle name="Porcentual 3 6 2 2 2 2 3 5" xfId="60363" xr:uid="{00000000-0005-0000-0000-0000DDEB0000}"/>
    <cellStyle name="Porcentual 3 6 2 2 2 2 4" xfId="60364" xr:uid="{00000000-0005-0000-0000-0000DEEB0000}"/>
    <cellStyle name="Porcentual 3 6 2 2 2 2 4 2" xfId="60365" xr:uid="{00000000-0005-0000-0000-0000DFEB0000}"/>
    <cellStyle name="Porcentual 3 6 2 2 2 2 4 2 2" xfId="60366" xr:uid="{00000000-0005-0000-0000-0000E0EB0000}"/>
    <cellStyle name="Porcentual 3 6 2 2 2 2 4 3" xfId="60367" xr:uid="{00000000-0005-0000-0000-0000E1EB0000}"/>
    <cellStyle name="Porcentual 3 6 2 2 2 2 4 4" xfId="60368" xr:uid="{00000000-0005-0000-0000-0000E2EB0000}"/>
    <cellStyle name="Porcentual 3 6 2 2 2 2 5" xfId="60369" xr:uid="{00000000-0005-0000-0000-0000E3EB0000}"/>
    <cellStyle name="Porcentual 3 6 2 2 2 2 5 2" xfId="60370" xr:uid="{00000000-0005-0000-0000-0000E4EB0000}"/>
    <cellStyle name="Porcentual 3 6 2 2 2 2 6" xfId="60371" xr:uid="{00000000-0005-0000-0000-0000E5EB0000}"/>
    <cellStyle name="Porcentual 3 6 2 2 2 2 7" xfId="60372" xr:uid="{00000000-0005-0000-0000-0000E6EB0000}"/>
    <cellStyle name="Porcentual 3 6 2 2 2 3" xfId="60373" xr:uid="{00000000-0005-0000-0000-0000E7EB0000}"/>
    <cellStyle name="Porcentual 3 6 2 2 2 3 2" xfId="60374" xr:uid="{00000000-0005-0000-0000-0000E8EB0000}"/>
    <cellStyle name="Porcentual 3 6 2 2 2 3 2 2" xfId="60375" xr:uid="{00000000-0005-0000-0000-0000E9EB0000}"/>
    <cellStyle name="Porcentual 3 6 2 2 2 3 2 2 2" xfId="60376" xr:uid="{00000000-0005-0000-0000-0000EAEB0000}"/>
    <cellStyle name="Porcentual 3 6 2 2 2 3 2 2 2 2" xfId="60377" xr:uid="{00000000-0005-0000-0000-0000EBEB0000}"/>
    <cellStyle name="Porcentual 3 6 2 2 2 3 2 2 3" xfId="60378" xr:uid="{00000000-0005-0000-0000-0000ECEB0000}"/>
    <cellStyle name="Porcentual 3 6 2 2 2 3 2 2 4" xfId="60379" xr:uid="{00000000-0005-0000-0000-0000EDEB0000}"/>
    <cellStyle name="Porcentual 3 6 2 2 2 3 2 3" xfId="60380" xr:uid="{00000000-0005-0000-0000-0000EEEB0000}"/>
    <cellStyle name="Porcentual 3 6 2 2 2 3 2 3 2" xfId="60381" xr:uid="{00000000-0005-0000-0000-0000EFEB0000}"/>
    <cellStyle name="Porcentual 3 6 2 2 2 3 2 4" xfId="60382" xr:uid="{00000000-0005-0000-0000-0000F0EB0000}"/>
    <cellStyle name="Porcentual 3 6 2 2 2 3 2 5" xfId="60383" xr:uid="{00000000-0005-0000-0000-0000F1EB0000}"/>
    <cellStyle name="Porcentual 3 6 2 2 2 3 3" xfId="60384" xr:uid="{00000000-0005-0000-0000-0000F2EB0000}"/>
    <cellStyle name="Porcentual 3 6 2 2 2 3 3 2" xfId="60385" xr:uid="{00000000-0005-0000-0000-0000F3EB0000}"/>
    <cellStyle name="Porcentual 3 6 2 2 2 3 3 2 2" xfId="60386" xr:uid="{00000000-0005-0000-0000-0000F4EB0000}"/>
    <cellStyle name="Porcentual 3 6 2 2 2 3 3 3" xfId="60387" xr:uid="{00000000-0005-0000-0000-0000F5EB0000}"/>
    <cellStyle name="Porcentual 3 6 2 2 2 3 3 3 2" xfId="60388" xr:uid="{00000000-0005-0000-0000-0000F6EB0000}"/>
    <cellStyle name="Porcentual 3 6 2 2 2 3 3 4" xfId="60389" xr:uid="{00000000-0005-0000-0000-0000F7EB0000}"/>
    <cellStyle name="Porcentual 3 6 2 2 2 3 3 5" xfId="60390" xr:uid="{00000000-0005-0000-0000-0000F8EB0000}"/>
    <cellStyle name="Porcentual 3 6 2 2 2 3 4" xfId="60391" xr:uid="{00000000-0005-0000-0000-0000F9EB0000}"/>
    <cellStyle name="Porcentual 3 6 2 2 2 3 4 2" xfId="60392" xr:uid="{00000000-0005-0000-0000-0000FAEB0000}"/>
    <cellStyle name="Porcentual 3 6 2 2 2 3 5" xfId="60393" xr:uid="{00000000-0005-0000-0000-0000FBEB0000}"/>
    <cellStyle name="Porcentual 3 6 2 2 2 3 5 2" xfId="60394" xr:uid="{00000000-0005-0000-0000-0000FCEB0000}"/>
    <cellStyle name="Porcentual 3 6 2 2 2 3 6" xfId="60395" xr:uid="{00000000-0005-0000-0000-0000FDEB0000}"/>
    <cellStyle name="Porcentual 3 6 2 2 2 3 7" xfId="60396" xr:uid="{00000000-0005-0000-0000-0000FEEB0000}"/>
    <cellStyle name="Porcentual 3 6 2 2 2 4" xfId="60397" xr:uid="{00000000-0005-0000-0000-0000FFEB0000}"/>
    <cellStyle name="Porcentual 3 6 2 2 2 4 2" xfId="60398" xr:uid="{00000000-0005-0000-0000-000000EC0000}"/>
    <cellStyle name="Porcentual 3 6 2 2 2 4 2 2" xfId="60399" xr:uid="{00000000-0005-0000-0000-000001EC0000}"/>
    <cellStyle name="Porcentual 3 6 2 2 2 4 2 2 2" xfId="60400" xr:uid="{00000000-0005-0000-0000-000002EC0000}"/>
    <cellStyle name="Porcentual 3 6 2 2 2 4 2 3" xfId="60401" xr:uid="{00000000-0005-0000-0000-000003EC0000}"/>
    <cellStyle name="Porcentual 3 6 2 2 2 4 2 4" xfId="60402" xr:uid="{00000000-0005-0000-0000-000004EC0000}"/>
    <cellStyle name="Porcentual 3 6 2 2 2 4 3" xfId="60403" xr:uid="{00000000-0005-0000-0000-000005EC0000}"/>
    <cellStyle name="Porcentual 3 6 2 2 2 4 3 2" xfId="60404" xr:uid="{00000000-0005-0000-0000-000006EC0000}"/>
    <cellStyle name="Porcentual 3 6 2 2 2 4 4" xfId="60405" xr:uid="{00000000-0005-0000-0000-000007EC0000}"/>
    <cellStyle name="Porcentual 3 6 2 2 2 4 5" xfId="60406" xr:uid="{00000000-0005-0000-0000-000008EC0000}"/>
    <cellStyle name="Porcentual 3 6 2 2 2 5" xfId="60407" xr:uid="{00000000-0005-0000-0000-000009EC0000}"/>
    <cellStyle name="Porcentual 3 6 2 2 2 5 2" xfId="60408" xr:uid="{00000000-0005-0000-0000-00000AEC0000}"/>
    <cellStyle name="Porcentual 3 6 2 2 2 5 2 2" xfId="60409" xr:uid="{00000000-0005-0000-0000-00000BEC0000}"/>
    <cellStyle name="Porcentual 3 6 2 2 2 5 3" xfId="60410" xr:uid="{00000000-0005-0000-0000-00000CEC0000}"/>
    <cellStyle name="Porcentual 3 6 2 2 2 5 3 2" xfId="60411" xr:uid="{00000000-0005-0000-0000-00000DEC0000}"/>
    <cellStyle name="Porcentual 3 6 2 2 2 5 4" xfId="60412" xr:uid="{00000000-0005-0000-0000-00000EEC0000}"/>
    <cellStyle name="Porcentual 3 6 2 2 2 5 5" xfId="60413" xr:uid="{00000000-0005-0000-0000-00000FEC0000}"/>
    <cellStyle name="Porcentual 3 6 2 2 2 6" xfId="60414" xr:uid="{00000000-0005-0000-0000-000010EC0000}"/>
    <cellStyle name="Porcentual 3 6 2 2 2 6 2" xfId="60415" xr:uid="{00000000-0005-0000-0000-000011EC0000}"/>
    <cellStyle name="Porcentual 3 6 2 2 2 7" xfId="60416" xr:uid="{00000000-0005-0000-0000-000012EC0000}"/>
    <cellStyle name="Porcentual 3 6 2 2 2 7 2" xfId="60417" xr:uid="{00000000-0005-0000-0000-000013EC0000}"/>
    <cellStyle name="Porcentual 3 6 2 2 2 8" xfId="60418" xr:uid="{00000000-0005-0000-0000-000014EC0000}"/>
    <cellStyle name="Porcentual 3 6 2 2 2 9" xfId="60419" xr:uid="{00000000-0005-0000-0000-000015EC0000}"/>
    <cellStyle name="Porcentual 3 6 2 2 3" xfId="60420" xr:uid="{00000000-0005-0000-0000-000016EC0000}"/>
    <cellStyle name="Porcentual 3 6 2 2 3 2" xfId="60421" xr:uid="{00000000-0005-0000-0000-000017EC0000}"/>
    <cellStyle name="Porcentual 3 6 2 2 3 2 2" xfId="60422" xr:uid="{00000000-0005-0000-0000-000018EC0000}"/>
    <cellStyle name="Porcentual 3 6 2 2 3 2 2 2" xfId="60423" xr:uid="{00000000-0005-0000-0000-000019EC0000}"/>
    <cellStyle name="Porcentual 3 6 2 2 3 2 2 2 2" xfId="60424" xr:uid="{00000000-0005-0000-0000-00001AEC0000}"/>
    <cellStyle name="Porcentual 3 6 2 2 3 2 2 2 2 2" xfId="60425" xr:uid="{00000000-0005-0000-0000-00001BEC0000}"/>
    <cellStyle name="Porcentual 3 6 2 2 3 2 2 2 3" xfId="60426" xr:uid="{00000000-0005-0000-0000-00001CEC0000}"/>
    <cellStyle name="Porcentual 3 6 2 2 3 2 2 2 4" xfId="60427" xr:uid="{00000000-0005-0000-0000-00001DEC0000}"/>
    <cellStyle name="Porcentual 3 6 2 2 3 2 2 3" xfId="60428" xr:uid="{00000000-0005-0000-0000-00001EEC0000}"/>
    <cellStyle name="Porcentual 3 6 2 2 3 2 2 3 2" xfId="60429" xr:uid="{00000000-0005-0000-0000-00001FEC0000}"/>
    <cellStyle name="Porcentual 3 6 2 2 3 2 2 4" xfId="60430" xr:uid="{00000000-0005-0000-0000-000020EC0000}"/>
    <cellStyle name="Porcentual 3 6 2 2 3 2 2 5" xfId="60431" xr:uid="{00000000-0005-0000-0000-000021EC0000}"/>
    <cellStyle name="Porcentual 3 6 2 2 3 2 3" xfId="60432" xr:uid="{00000000-0005-0000-0000-000022EC0000}"/>
    <cellStyle name="Porcentual 3 6 2 2 3 2 3 2" xfId="60433" xr:uid="{00000000-0005-0000-0000-000023EC0000}"/>
    <cellStyle name="Porcentual 3 6 2 2 3 2 3 2 2" xfId="60434" xr:uid="{00000000-0005-0000-0000-000024EC0000}"/>
    <cellStyle name="Porcentual 3 6 2 2 3 2 3 3" xfId="60435" xr:uid="{00000000-0005-0000-0000-000025EC0000}"/>
    <cellStyle name="Porcentual 3 6 2 2 3 2 3 4" xfId="60436" xr:uid="{00000000-0005-0000-0000-000026EC0000}"/>
    <cellStyle name="Porcentual 3 6 2 2 3 2 4" xfId="60437" xr:uid="{00000000-0005-0000-0000-000027EC0000}"/>
    <cellStyle name="Porcentual 3 6 2 2 3 2 4 2" xfId="60438" xr:uid="{00000000-0005-0000-0000-000028EC0000}"/>
    <cellStyle name="Porcentual 3 6 2 2 3 2 5" xfId="60439" xr:uid="{00000000-0005-0000-0000-000029EC0000}"/>
    <cellStyle name="Porcentual 3 6 2 2 3 2 6" xfId="60440" xr:uid="{00000000-0005-0000-0000-00002AEC0000}"/>
    <cellStyle name="Porcentual 3 6 2 2 3 3" xfId="60441" xr:uid="{00000000-0005-0000-0000-00002BEC0000}"/>
    <cellStyle name="Porcentual 3 6 2 2 3 3 2" xfId="60442" xr:uid="{00000000-0005-0000-0000-00002CEC0000}"/>
    <cellStyle name="Porcentual 3 6 2 2 3 3 2 2" xfId="60443" xr:uid="{00000000-0005-0000-0000-00002DEC0000}"/>
    <cellStyle name="Porcentual 3 6 2 2 3 3 2 2 2" xfId="60444" xr:uid="{00000000-0005-0000-0000-00002EEC0000}"/>
    <cellStyle name="Porcentual 3 6 2 2 3 3 2 3" xfId="60445" xr:uid="{00000000-0005-0000-0000-00002FEC0000}"/>
    <cellStyle name="Porcentual 3 6 2 2 3 3 2 4" xfId="60446" xr:uid="{00000000-0005-0000-0000-000030EC0000}"/>
    <cellStyle name="Porcentual 3 6 2 2 3 3 3" xfId="60447" xr:uid="{00000000-0005-0000-0000-000031EC0000}"/>
    <cellStyle name="Porcentual 3 6 2 2 3 3 3 2" xfId="60448" xr:uid="{00000000-0005-0000-0000-000032EC0000}"/>
    <cellStyle name="Porcentual 3 6 2 2 3 3 4" xfId="60449" xr:uid="{00000000-0005-0000-0000-000033EC0000}"/>
    <cellStyle name="Porcentual 3 6 2 2 3 3 5" xfId="60450" xr:uid="{00000000-0005-0000-0000-000034EC0000}"/>
    <cellStyle name="Porcentual 3 6 2 2 3 4" xfId="60451" xr:uid="{00000000-0005-0000-0000-000035EC0000}"/>
    <cellStyle name="Porcentual 3 6 2 2 3 4 2" xfId="60452" xr:uid="{00000000-0005-0000-0000-000036EC0000}"/>
    <cellStyle name="Porcentual 3 6 2 2 3 4 2 2" xfId="60453" xr:uid="{00000000-0005-0000-0000-000037EC0000}"/>
    <cellStyle name="Porcentual 3 6 2 2 3 4 3" xfId="60454" xr:uid="{00000000-0005-0000-0000-000038EC0000}"/>
    <cellStyle name="Porcentual 3 6 2 2 3 4 4" xfId="60455" xr:uid="{00000000-0005-0000-0000-000039EC0000}"/>
    <cellStyle name="Porcentual 3 6 2 2 3 5" xfId="60456" xr:uid="{00000000-0005-0000-0000-00003AEC0000}"/>
    <cellStyle name="Porcentual 3 6 2 2 3 5 2" xfId="60457" xr:uid="{00000000-0005-0000-0000-00003BEC0000}"/>
    <cellStyle name="Porcentual 3 6 2 2 3 6" xfId="60458" xr:uid="{00000000-0005-0000-0000-00003CEC0000}"/>
    <cellStyle name="Porcentual 3 6 2 2 3 7" xfId="60459" xr:uid="{00000000-0005-0000-0000-00003DEC0000}"/>
    <cellStyle name="Porcentual 3 6 2 2 4" xfId="60460" xr:uid="{00000000-0005-0000-0000-00003EEC0000}"/>
    <cellStyle name="Porcentual 3 6 2 2 4 2" xfId="60461" xr:uid="{00000000-0005-0000-0000-00003FEC0000}"/>
    <cellStyle name="Porcentual 3 6 2 2 4 2 2" xfId="60462" xr:uid="{00000000-0005-0000-0000-000040EC0000}"/>
    <cellStyle name="Porcentual 3 6 2 2 4 2 2 2" xfId="60463" xr:uid="{00000000-0005-0000-0000-000041EC0000}"/>
    <cellStyle name="Porcentual 3 6 2 2 4 2 2 2 2" xfId="60464" xr:uid="{00000000-0005-0000-0000-000042EC0000}"/>
    <cellStyle name="Porcentual 3 6 2 2 4 2 2 3" xfId="60465" xr:uid="{00000000-0005-0000-0000-000043EC0000}"/>
    <cellStyle name="Porcentual 3 6 2 2 4 2 2 4" xfId="60466" xr:uid="{00000000-0005-0000-0000-000044EC0000}"/>
    <cellStyle name="Porcentual 3 6 2 2 4 2 3" xfId="60467" xr:uid="{00000000-0005-0000-0000-000045EC0000}"/>
    <cellStyle name="Porcentual 3 6 2 2 4 2 3 2" xfId="60468" xr:uid="{00000000-0005-0000-0000-000046EC0000}"/>
    <cellStyle name="Porcentual 3 6 2 2 4 2 4" xfId="60469" xr:uid="{00000000-0005-0000-0000-000047EC0000}"/>
    <cellStyle name="Porcentual 3 6 2 2 4 2 5" xfId="60470" xr:uid="{00000000-0005-0000-0000-000048EC0000}"/>
    <cellStyle name="Porcentual 3 6 2 2 4 3" xfId="60471" xr:uid="{00000000-0005-0000-0000-000049EC0000}"/>
    <cellStyle name="Porcentual 3 6 2 2 4 3 2" xfId="60472" xr:uid="{00000000-0005-0000-0000-00004AEC0000}"/>
    <cellStyle name="Porcentual 3 6 2 2 4 3 2 2" xfId="60473" xr:uid="{00000000-0005-0000-0000-00004BEC0000}"/>
    <cellStyle name="Porcentual 3 6 2 2 4 3 3" xfId="60474" xr:uid="{00000000-0005-0000-0000-00004CEC0000}"/>
    <cellStyle name="Porcentual 3 6 2 2 4 3 3 2" xfId="60475" xr:uid="{00000000-0005-0000-0000-00004DEC0000}"/>
    <cellStyle name="Porcentual 3 6 2 2 4 3 4" xfId="60476" xr:uid="{00000000-0005-0000-0000-00004EEC0000}"/>
    <cellStyle name="Porcentual 3 6 2 2 4 3 5" xfId="60477" xr:uid="{00000000-0005-0000-0000-00004FEC0000}"/>
    <cellStyle name="Porcentual 3 6 2 2 4 4" xfId="60478" xr:uid="{00000000-0005-0000-0000-000050EC0000}"/>
    <cellStyle name="Porcentual 3 6 2 2 4 4 2" xfId="60479" xr:uid="{00000000-0005-0000-0000-000051EC0000}"/>
    <cellStyle name="Porcentual 3 6 2 2 4 5" xfId="60480" xr:uid="{00000000-0005-0000-0000-000052EC0000}"/>
    <cellStyle name="Porcentual 3 6 2 2 4 5 2" xfId="60481" xr:uid="{00000000-0005-0000-0000-000053EC0000}"/>
    <cellStyle name="Porcentual 3 6 2 2 4 6" xfId="60482" xr:uid="{00000000-0005-0000-0000-000054EC0000}"/>
    <cellStyle name="Porcentual 3 6 2 2 4 7" xfId="60483" xr:uid="{00000000-0005-0000-0000-000055EC0000}"/>
    <cellStyle name="Porcentual 3 6 2 2 5" xfId="60484" xr:uid="{00000000-0005-0000-0000-000056EC0000}"/>
    <cellStyle name="Porcentual 3 6 2 2 5 2" xfId="60485" xr:uid="{00000000-0005-0000-0000-000057EC0000}"/>
    <cellStyle name="Porcentual 3 6 2 2 5 2 2" xfId="60486" xr:uid="{00000000-0005-0000-0000-000058EC0000}"/>
    <cellStyle name="Porcentual 3 6 2 2 5 2 2 2" xfId="60487" xr:uid="{00000000-0005-0000-0000-000059EC0000}"/>
    <cellStyle name="Porcentual 3 6 2 2 5 2 3" xfId="60488" xr:uid="{00000000-0005-0000-0000-00005AEC0000}"/>
    <cellStyle name="Porcentual 3 6 2 2 5 2 4" xfId="60489" xr:uid="{00000000-0005-0000-0000-00005BEC0000}"/>
    <cellStyle name="Porcentual 3 6 2 2 5 3" xfId="60490" xr:uid="{00000000-0005-0000-0000-00005CEC0000}"/>
    <cellStyle name="Porcentual 3 6 2 2 5 3 2" xfId="60491" xr:uid="{00000000-0005-0000-0000-00005DEC0000}"/>
    <cellStyle name="Porcentual 3 6 2 2 5 4" xfId="60492" xr:uid="{00000000-0005-0000-0000-00005EEC0000}"/>
    <cellStyle name="Porcentual 3 6 2 2 5 5" xfId="60493" xr:uid="{00000000-0005-0000-0000-00005FEC0000}"/>
    <cellStyle name="Porcentual 3 6 2 2 6" xfId="60494" xr:uid="{00000000-0005-0000-0000-000060EC0000}"/>
    <cellStyle name="Porcentual 3 6 2 2 6 2" xfId="60495" xr:uid="{00000000-0005-0000-0000-000061EC0000}"/>
    <cellStyle name="Porcentual 3 6 2 2 6 2 2" xfId="60496" xr:uid="{00000000-0005-0000-0000-000062EC0000}"/>
    <cellStyle name="Porcentual 3 6 2 2 6 3" xfId="60497" xr:uid="{00000000-0005-0000-0000-000063EC0000}"/>
    <cellStyle name="Porcentual 3 6 2 2 6 3 2" xfId="60498" xr:uid="{00000000-0005-0000-0000-000064EC0000}"/>
    <cellStyle name="Porcentual 3 6 2 2 6 4" xfId="60499" xr:uid="{00000000-0005-0000-0000-000065EC0000}"/>
    <cellStyle name="Porcentual 3 6 2 2 6 5" xfId="60500" xr:uid="{00000000-0005-0000-0000-000066EC0000}"/>
    <cellStyle name="Porcentual 3 6 2 2 7" xfId="60501" xr:uid="{00000000-0005-0000-0000-000067EC0000}"/>
    <cellStyle name="Porcentual 3 6 2 2 7 2" xfId="60502" xr:uid="{00000000-0005-0000-0000-000068EC0000}"/>
    <cellStyle name="Porcentual 3 6 2 2 8" xfId="60503" xr:uid="{00000000-0005-0000-0000-000069EC0000}"/>
    <cellStyle name="Porcentual 3 6 2 2 8 2" xfId="60504" xr:uid="{00000000-0005-0000-0000-00006AEC0000}"/>
    <cellStyle name="Porcentual 3 6 2 2 9" xfId="60505" xr:uid="{00000000-0005-0000-0000-00006BEC0000}"/>
    <cellStyle name="Porcentual 3 6 2 3" xfId="60506" xr:uid="{00000000-0005-0000-0000-00006CEC0000}"/>
    <cellStyle name="Porcentual 3 6 2 3 2" xfId="60507" xr:uid="{00000000-0005-0000-0000-00006DEC0000}"/>
    <cellStyle name="Porcentual 3 6 2 3 2 2" xfId="60508" xr:uid="{00000000-0005-0000-0000-00006EEC0000}"/>
    <cellStyle name="Porcentual 3 6 2 3 2 2 2" xfId="60509" xr:uid="{00000000-0005-0000-0000-00006FEC0000}"/>
    <cellStyle name="Porcentual 3 6 2 3 2 2 2 2" xfId="60510" xr:uid="{00000000-0005-0000-0000-000070EC0000}"/>
    <cellStyle name="Porcentual 3 6 2 3 2 2 2 2 2" xfId="60511" xr:uid="{00000000-0005-0000-0000-000071EC0000}"/>
    <cellStyle name="Porcentual 3 6 2 3 2 2 2 2 2 2" xfId="60512" xr:uid="{00000000-0005-0000-0000-000072EC0000}"/>
    <cellStyle name="Porcentual 3 6 2 3 2 2 2 2 3" xfId="60513" xr:uid="{00000000-0005-0000-0000-000073EC0000}"/>
    <cellStyle name="Porcentual 3 6 2 3 2 2 2 2 4" xfId="60514" xr:uid="{00000000-0005-0000-0000-000074EC0000}"/>
    <cellStyle name="Porcentual 3 6 2 3 2 2 2 3" xfId="60515" xr:uid="{00000000-0005-0000-0000-000075EC0000}"/>
    <cellStyle name="Porcentual 3 6 2 3 2 2 2 3 2" xfId="60516" xr:uid="{00000000-0005-0000-0000-000076EC0000}"/>
    <cellStyle name="Porcentual 3 6 2 3 2 2 2 4" xfId="60517" xr:uid="{00000000-0005-0000-0000-000077EC0000}"/>
    <cellStyle name="Porcentual 3 6 2 3 2 2 2 5" xfId="60518" xr:uid="{00000000-0005-0000-0000-000078EC0000}"/>
    <cellStyle name="Porcentual 3 6 2 3 2 2 3" xfId="60519" xr:uid="{00000000-0005-0000-0000-000079EC0000}"/>
    <cellStyle name="Porcentual 3 6 2 3 2 2 3 2" xfId="60520" xr:uid="{00000000-0005-0000-0000-00007AEC0000}"/>
    <cellStyle name="Porcentual 3 6 2 3 2 2 3 2 2" xfId="60521" xr:uid="{00000000-0005-0000-0000-00007BEC0000}"/>
    <cellStyle name="Porcentual 3 6 2 3 2 2 3 3" xfId="60522" xr:uid="{00000000-0005-0000-0000-00007CEC0000}"/>
    <cellStyle name="Porcentual 3 6 2 3 2 2 3 4" xfId="60523" xr:uid="{00000000-0005-0000-0000-00007DEC0000}"/>
    <cellStyle name="Porcentual 3 6 2 3 2 2 4" xfId="60524" xr:uid="{00000000-0005-0000-0000-00007EEC0000}"/>
    <cellStyle name="Porcentual 3 6 2 3 2 2 4 2" xfId="60525" xr:uid="{00000000-0005-0000-0000-00007FEC0000}"/>
    <cellStyle name="Porcentual 3 6 2 3 2 2 5" xfId="60526" xr:uid="{00000000-0005-0000-0000-000080EC0000}"/>
    <cellStyle name="Porcentual 3 6 2 3 2 2 6" xfId="60527" xr:uid="{00000000-0005-0000-0000-000081EC0000}"/>
    <cellStyle name="Porcentual 3 6 2 3 2 3" xfId="60528" xr:uid="{00000000-0005-0000-0000-000082EC0000}"/>
    <cellStyle name="Porcentual 3 6 2 3 2 3 2" xfId="60529" xr:uid="{00000000-0005-0000-0000-000083EC0000}"/>
    <cellStyle name="Porcentual 3 6 2 3 2 3 2 2" xfId="60530" xr:uid="{00000000-0005-0000-0000-000084EC0000}"/>
    <cellStyle name="Porcentual 3 6 2 3 2 3 2 2 2" xfId="60531" xr:uid="{00000000-0005-0000-0000-000085EC0000}"/>
    <cellStyle name="Porcentual 3 6 2 3 2 3 2 3" xfId="60532" xr:uid="{00000000-0005-0000-0000-000086EC0000}"/>
    <cellStyle name="Porcentual 3 6 2 3 2 3 2 4" xfId="60533" xr:uid="{00000000-0005-0000-0000-000087EC0000}"/>
    <cellStyle name="Porcentual 3 6 2 3 2 3 3" xfId="60534" xr:uid="{00000000-0005-0000-0000-000088EC0000}"/>
    <cellStyle name="Porcentual 3 6 2 3 2 3 3 2" xfId="60535" xr:uid="{00000000-0005-0000-0000-000089EC0000}"/>
    <cellStyle name="Porcentual 3 6 2 3 2 3 4" xfId="60536" xr:uid="{00000000-0005-0000-0000-00008AEC0000}"/>
    <cellStyle name="Porcentual 3 6 2 3 2 3 5" xfId="60537" xr:uid="{00000000-0005-0000-0000-00008BEC0000}"/>
    <cellStyle name="Porcentual 3 6 2 3 2 4" xfId="60538" xr:uid="{00000000-0005-0000-0000-00008CEC0000}"/>
    <cellStyle name="Porcentual 3 6 2 3 2 4 2" xfId="60539" xr:uid="{00000000-0005-0000-0000-00008DEC0000}"/>
    <cellStyle name="Porcentual 3 6 2 3 2 4 2 2" xfId="60540" xr:uid="{00000000-0005-0000-0000-00008EEC0000}"/>
    <cellStyle name="Porcentual 3 6 2 3 2 4 3" xfId="60541" xr:uid="{00000000-0005-0000-0000-00008FEC0000}"/>
    <cellStyle name="Porcentual 3 6 2 3 2 4 4" xfId="60542" xr:uid="{00000000-0005-0000-0000-000090EC0000}"/>
    <cellStyle name="Porcentual 3 6 2 3 2 5" xfId="60543" xr:uid="{00000000-0005-0000-0000-000091EC0000}"/>
    <cellStyle name="Porcentual 3 6 2 3 2 5 2" xfId="60544" xr:uid="{00000000-0005-0000-0000-000092EC0000}"/>
    <cellStyle name="Porcentual 3 6 2 3 2 6" xfId="60545" xr:uid="{00000000-0005-0000-0000-000093EC0000}"/>
    <cellStyle name="Porcentual 3 6 2 3 2 7" xfId="60546" xr:uid="{00000000-0005-0000-0000-000094EC0000}"/>
    <cellStyle name="Porcentual 3 6 2 3 3" xfId="60547" xr:uid="{00000000-0005-0000-0000-000095EC0000}"/>
    <cellStyle name="Porcentual 3 6 2 3 3 2" xfId="60548" xr:uid="{00000000-0005-0000-0000-000096EC0000}"/>
    <cellStyle name="Porcentual 3 6 2 3 3 2 2" xfId="60549" xr:uid="{00000000-0005-0000-0000-000097EC0000}"/>
    <cellStyle name="Porcentual 3 6 2 3 3 2 2 2" xfId="60550" xr:uid="{00000000-0005-0000-0000-000098EC0000}"/>
    <cellStyle name="Porcentual 3 6 2 3 3 2 2 2 2" xfId="60551" xr:uid="{00000000-0005-0000-0000-000099EC0000}"/>
    <cellStyle name="Porcentual 3 6 2 3 3 2 2 3" xfId="60552" xr:uid="{00000000-0005-0000-0000-00009AEC0000}"/>
    <cellStyle name="Porcentual 3 6 2 3 3 2 2 4" xfId="60553" xr:uid="{00000000-0005-0000-0000-00009BEC0000}"/>
    <cellStyle name="Porcentual 3 6 2 3 3 2 3" xfId="60554" xr:uid="{00000000-0005-0000-0000-00009CEC0000}"/>
    <cellStyle name="Porcentual 3 6 2 3 3 2 3 2" xfId="60555" xr:uid="{00000000-0005-0000-0000-00009DEC0000}"/>
    <cellStyle name="Porcentual 3 6 2 3 3 2 4" xfId="60556" xr:uid="{00000000-0005-0000-0000-00009EEC0000}"/>
    <cellStyle name="Porcentual 3 6 2 3 3 2 5" xfId="60557" xr:uid="{00000000-0005-0000-0000-00009FEC0000}"/>
    <cellStyle name="Porcentual 3 6 2 3 3 3" xfId="60558" xr:uid="{00000000-0005-0000-0000-0000A0EC0000}"/>
    <cellStyle name="Porcentual 3 6 2 3 3 3 2" xfId="60559" xr:uid="{00000000-0005-0000-0000-0000A1EC0000}"/>
    <cellStyle name="Porcentual 3 6 2 3 3 3 2 2" xfId="60560" xr:uid="{00000000-0005-0000-0000-0000A2EC0000}"/>
    <cellStyle name="Porcentual 3 6 2 3 3 3 3" xfId="60561" xr:uid="{00000000-0005-0000-0000-0000A3EC0000}"/>
    <cellStyle name="Porcentual 3 6 2 3 3 3 3 2" xfId="60562" xr:uid="{00000000-0005-0000-0000-0000A4EC0000}"/>
    <cellStyle name="Porcentual 3 6 2 3 3 3 4" xfId="60563" xr:uid="{00000000-0005-0000-0000-0000A5EC0000}"/>
    <cellStyle name="Porcentual 3 6 2 3 3 3 5" xfId="60564" xr:uid="{00000000-0005-0000-0000-0000A6EC0000}"/>
    <cellStyle name="Porcentual 3 6 2 3 3 4" xfId="60565" xr:uid="{00000000-0005-0000-0000-0000A7EC0000}"/>
    <cellStyle name="Porcentual 3 6 2 3 3 4 2" xfId="60566" xr:uid="{00000000-0005-0000-0000-0000A8EC0000}"/>
    <cellStyle name="Porcentual 3 6 2 3 3 5" xfId="60567" xr:uid="{00000000-0005-0000-0000-0000A9EC0000}"/>
    <cellStyle name="Porcentual 3 6 2 3 3 5 2" xfId="60568" xr:uid="{00000000-0005-0000-0000-0000AAEC0000}"/>
    <cellStyle name="Porcentual 3 6 2 3 3 6" xfId="60569" xr:uid="{00000000-0005-0000-0000-0000ABEC0000}"/>
    <cellStyle name="Porcentual 3 6 2 3 3 7" xfId="60570" xr:uid="{00000000-0005-0000-0000-0000ACEC0000}"/>
    <cellStyle name="Porcentual 3 6 2 3 4" xfId="60571" xr:uid="{00000000-0005-0000-0000-0000ADEC0000}"/>
    <cellStyle name="Porcentual 3 6 2 3 4 2" xfId="60572" xr:uid="{00000000-0005-0000-0000-0000AEEC0000}"/>
    <cellStyle name="Porcentual 3 6 2 3 4 2 2" xfId="60573" xr:uid="{00000000-0005-0000-0000-0000AFEC0000}"/>
    <cellStyle name="Porcentual 3 6 2 3 4 2 2 2" xfId="60574" xr:uid="{00000000-0005-0000-0000-0000B0EC0000}"/>
    <cellStyle name="Porcentual 3 6 2 3 4 2 3" xfId="60575" xr:uid="{00000000-0005-0000-0000-0000B1EC0000}"/>
    <cellStyle name="Porcentual 3 6 2 3 4 2 4" xfId="60576" xr:uid="{00000000-0005-0000-0000-0000B2EC0000}"/>
    <cellStyle name="Porcentual 3 6 2 3 4 3" xfId="60577" xr:uid="{00000000-0005-0000-0000-0000B3EC0000}"/>
    <cellStyle name="Porcentual 3 6 2 3 4 3 2" xfId="60578" xr:uid="{00000000-0005-0000-0000-0000B4EC0000}"/>
    <cellStyle name="Porcentual 3 6 2 3 4 4" xfId="60579" xr:uid="{00000000-0005-0000-0000-0000B5EC0000}"/>
    <cellStyle name="Porcentual 3 6 2 3 4 5" xfId="60580" xr:uid="{00000000-0005-0000-0000-0000B6EC0000}"/>
    <cellStyle name="Porcentual 3 6 2 3 5" xfId="60581" xr:uid="{00000000-0005-0000-0000-0000B7EC0000}"/>
    <cellStyle name="Porcentual 3 6 2 3 5 2" xfId="60582" xr:uid="{00000000-0005-0000-0000-0000B8EC0000}"/>
    <cellStyle name="Porcentual 3 6 2 3 5 2 2" xfId="60583" xr:uid="{00000000-0005-0000-0000-0000B9EC0000}"/>
    <cellStyle name="Porcentual 3 6 2 3 5 3" xfId="60584" xr:uid="{00000000-0005-0000-0000-0000BAEC0000}"/>
    <cellStyle name="Porcentual 3 6 2 3 5 3 2" xfId="60585" xr:uid="{00000000-0005-0000-0000-0000BBEC0000}"/>
    <cellStyle name="Porcentual 3 6 2 3 5 4" xfId="60586" xr:uid="{00000000-0005-0000-0000-0000BCEC0000}"/>
    <cellStyle name="Porcentual 3 6 2 3 5 5" xfId="60587" xr:uid="{00000000-0005-0000-0000-0000BDEC0000}"/>
    <cellStyle name="Porcentual 3 6 2 3 6" xfId="60588" xr:uid="{00000000-0005-0000-0000-0000BEEC0000}"/>
    <cellStyle name="Porcentual 3 6 2 3 6 2" xfId="60589" xr:uid="{00000000-0005-0000-0000-0000BFEC0000}"/>
    <cellStyle name="Porcentual 3 6 2 3 7" xfId="60590" xr:uid="{00000000-0005-0000-0000-0000C0EC0000}"/>
    <cellStyle name="Porcentual 3 6 2 3 7 2" xfId="60591" xr:uid="{00000000-0005-0000-0000-0000C1EC0000}"/>
    <cellStyle name="Porcentual 3 6 2 3 8" xfId="60592" xr:uid="{00000000-0005-0000-0000-0000C2EC0000}"/>
    <cellStyle name="Porcentual 3 6 2 3 9" xfId="60593" xr:uid="{00000000-0005-0000-0000-0000C3EC0000}"/>
    <cellStyle name="Porcentual 3 6 2 4" xfId="60594" xr:uid="{00000000-0005-0000-0000-0000C4EC0000}"/>
    <cellStyle name="Porcentual 3 6 2 4 2" xfId="60595" xr:uid="{00000000-0005-0000-0000-0000C5EC0000}"/>
    <cellStyle name="Porcentual 3 6 2 4 2 2" xfId="60596" xr:uid="{00000000-0005-0000-0000-0000C6EC0000}"/>
    <cellStyle name="Porcentual 3 6 2 4 2 2 2" xfId="60597" xr:uid="{00000000-0005-0000-0000-0000C7EC0000}"/>
    <cellStyle name="Porcentual 3 6 2 4 2 2 2 2" xfId="60598" xr:uid="{00000000-0005-0000-0000-0000C8EC0000}"/>
    <cellStyle name="Porcentual 3 6 2 4 2 2 2 2 2" xfId="60599" xr:uid="{00000000-0005-0000-0000-0000C9EC0000}"/>
    <cellStyle name="Porcentual 3 6 2 4 2 2 2 3" xfId="60600" xr:uid="{00000000-0005-0000-0000-0000CAEC0000}"/>
    <cellStyle name="Porcentual 3 6 2 4 2 2 2 4" xfId="60601" xr:uid="{00000000-0005-0000-0000-0000CBEC0000}"/>
    <cellStyle name="Porcentual 3 6 2 4 2 2 3" xfId="60602" xr:uid="{00000000-0005-0000-0000-0000CCEC0000}"/>
    <cellStyle name="Porcentual 3 6 2 4 2 2 3 2" xfId="60603" xr:uid="{00000000-0005-0000-0000-0000CDEC0000}"/>
    <cellStyle name="Porcentual 3 6 2 4 2 2 4" xfId="60604" xr:uid="{00000000-0005-0000-0000-0000CEEC0000}"/>
    <cellStyle name="Porcentual 3 6 2 4 2 2 5" xfId="60605" xr:uid="{00000000-0005-0000-0000-0000CFEC0000}"/>
    <cellStyle name="Porcentual 3 6 2 4 2 3" xfId="60606" xr:uid="{00000000-0005-0000-0000-0000D0EC0000}"/>
    <cellStyle name="Porcentual 3 6 2 4 2 3 2" xfId="60607" xr:uid="{00000000-0005-0000-0000-0000D1EC0000}"/>
    <cellStyle name="Porcentual 3 6 2 4 2 3 2 2" xfId="60608" xr:uid="{00000000-0005-0000-0000-0000D2EC0000}"/>
    <cellStyle name="Porcentual 3 6 2 4 2 3 3" xfId="60609" xr:uid="{00000000-0005-0000-0000-0000D3EC0000}"/>
    <cellStyle name="Porcentual 3 6 2 4 2 3 3 2" xfId="60610" xr:uid="{00000000-0005-0000-0000-0000D4EC0000}"/>
    <cellStyle name="Porcentual 3 6 2 4 2 3 4" xfId="60611" xr:uid="{00000000-0005-0000-0000-0000D5EC0000}"/>
    <cellStyle name="Porcentual 3 6 2 4 2 3 5" xfId="60612" xr:uid="{00000000-0005-0000-0000-0000D6EC0000}"/>
    <cellStyle name="Porcentual 3 6 2 4 2 4" xfId="60613" xr:uid="{00000000-0005-0000-0000-0000D7EC0000}"/>
    <cellStyle name="Porcentual 3 6 2 4 2 4 2" xfId="60614" xr:uid="{00000000-0005-0000-0000-0000D8EC0000}"/>
    <cellStyle name="Porcentual 3 6 2 4 2 5" xfId="60615" xr:uid="{00000000-0005-0000-0000-0000D9EC0000}"/>
    <cellStyle name="Porcentual 3 6 2 4 2 5 2" xfId="60616" xr:uid="{00000000-0005-0000-0000-0000DAEC0000}"/>
    <cellStyle name="Porcentual 3 6 2 4 2 6" xfId="60617" xr:uid="{00000000-0005-0000-0000-0000DBEC0000}"/>
    <cellStyle name="Porcentual 3 6 2 4 2 7" xfId="60618" xr:uid="{00000000-0005-0000-0000-0000DCEC0000}"/>
    <cellStyle name="Porcentual 3 6 2 4 3" xfId="60619" xr:uid="{00000000-0005-0000-0000-0000DDEC0000}"/>
    <cellStyle name="Porcentual 3 6 2 4 3 2" xfId="60620" xr:uid="{00000000-0005-0000-0000-0000DEEC0000}"/>
    <cellStyle name="Porcentual 3 6 2 4 3 2 2" xfId="60621" xr:uid="{00000000-0005-0000-0000-0000DFEC0000}"/>
    <cellStyle name="Porcentual 3 6 2 4 3 2 2 2" xfId="60622" xr:uid="{00000000-0005-0000-0000-0000E0EC0000}"/>
    <cellStyle name="Porcentual 3 6 2 4 3 2 3" xfId="60623" xr:uid="{00000000-0005-0000-0000-0000E1EC0000}"/>
    <cellStyle name="Porcentual 3 6 2 4 3 2 4" xfId="60624" xr:uid="{00000000-0005-0000-0000-0000E2EC0000}"/>
    <cellStyle name="Porcentual 3 6 2 4 3 3" xfId="60625" xr:uid="{00000000-0005-0000-0000-0000E3EC0000}"/>
    <cellStyle name="Porcentual 3 6 2 4 3 3 2" xfId="60626" xr:uid="{00000000-0005-0000-0000-0000E4EC0000}"/>
    <cellStyle name="Porcentual 3 6 2 4 3 4" xfId="60627" xr:uid="{00000000-0005-0000-0000-0000E5EC0000}"/>
    <cellStyle name="Porcentual 3 6 2 4 3 5" xfId="60628" xr:uid="{00000000-0005-0000-0000-0000E6EC0000}"/>
    <cellStyle name="Porcentual 3 6 2 4 4" xfId="60629" xr:uid="{00000000-0005-0000-0000-0000E7EC0000}"/>
    <cellStyle name="Porcentual 3 6 2 4 4 2" xfId="60630" xr:uid="{00000000-0005-0000-0000-0000E8EC0000}"/>
    <cellStyle name="Porcentual 3 6 2 4 4 2 2" xfId="60631" xr:uid="{00000000-0005-0000-0000-0000E9EC0000}"/>
    <cellStyle name="Porcentual 3 6 2 4 4 3" xfId="60632" xr:uid="{00000000-0005-0000-0000-0000EAEC0000}"/>
    <cellStyle name="Porcentual 3 6 2 4 4 3 2" xfId="60633" xr:uid="{00000000-0005-0000-0000-0000EBEC0000}"/>
    <cellStyle name="Porcentual 3 6 2 4 4 4" xfId="60634" xr:uid="{00000000-0005-0000-0000-0000ECEC0000}"/>
    <cellStyle name="Porcentual 3 6 2 4 4 5" xfId="60635" xr:uid="{00000000-0005-0000-0000-0000EDEC0000}"/>
    <cellStyle name="Porcentual 3 6 2 4 5" xfId="60636" xr:uid="{00000000-0005-0000-0000-0000EEEC0000}"/>
    <cellStyle name="Porcentual 3 6 2 4 5 2" xfId="60637" xr:uid="{00000000-0005-0000-0000-0000EFEC0000}"/>
    <cellStyle name="Porcentual 3 6 2 4 6" xfId="60638" xr:uid="{00000000-0005-0000-0000-0000F0EC0000}"/>
    <cellStyle name="Porcentual 3 6 2 4 6 2" xfId="60639" xr:uid="{00000000-0005-0000-0000-0000F1EC0000}"/>
    <cellStyle name="Porcentual 3 6 2 4 7" xfId="60640" xr:uid="{00000000-0005-0000-0000-0000F2EC0000}"/>
    <cellStyle name="Porcentual 3 6 2 4 8" xfId="60641" xr:uid="{00000000-0005-0000-0000-0000F3EC0000}"/>
    <cellStyle name="Porcentual 3 6 2 5" xfId="60642" xr:uid="{00000000-0005-0000-0000-0000F4EC0000}"/>
    <cellStyle name="Porcentual 3 6 2 5 2" xfId="60643" xr:uid="{00000000-0005-0000-0000-0000F5EC0000}"/>
    <cellStyle name="Porcentual 3 6 2 5 2 2" xfId="60644" xr:uid="{00000000-0005-0000-0000-0000F6EC0000}"/>
    <cellStyle name="Porcentual 3 6 2 5 2 2 2" xfId="60645" xr:uid="{00000000-0005-0000-0000-0000F7EC0000}"/>
    <cellStyle name="Porcentual 3 6 2 5 2 2 2 2" xfId="60646" xr:uid="{00000000-0005-0000-0000-0000F8EC0000}"/>
    <cellStyle name="Porcentual 3 6 2 5 2 2 3" xfId="60647" xr:uid="{00000000-0005-0000-0000-0000F9EC0000}"/>
    <cellStyle name="Porcentual 3 6 2 5 2 2 4" xfId="60648" xr:uid="{00000000-0005-0000-0000-0000FAEC0000}"/>
    <cellStyle name="Porcentual 3 6 2 5 2 3" xfId="60649" xr:uid="{00000000-0005-0000-0000-0000FBEC0000}"/>
    <cellStyle name="Porcentual 3 6 2 5 2 3 2" xfId="60650" xr:uid="{00000000-0005-0000-0000-0000FCEC0000}"/>
    <cellStyle name="Porcentual 3 6 2 5 2 4" xfId="60651" xr:uid="{00000000-0005-0000-0000-0000FDEC0000}"/>
    <cellStyle name="Porcentual 3 6 2 5 2 5" xfId="60652" xr:uid="{00000000-0005-0000-0000-0000FEEC0000}"/>
    <cellStyle name="Porcentual 3 6 2 5 3" xfId="60653" xr:uid="{00000000-0005-0000-0000-0000FFEC0000}"/>
    <cellStyle name="Porcentual 3 6 2 5 3 2" xfId="60654" xr:uid="{00000000-0005-0000-0000-000000ED0000}"/>
    <cellStyle name="Porcentual 3 6 2 5 3 2 2" xfId="60655" xr:uid="{00000000-0005-0000-0000-000001ED0000}"/>
    <cellStyle name="Porcentual 3 6 2 5 3 3" xfId="60656" xr:uid="{00000000-0005-0000-0000-000002ED0000}"/>
    <cellStyle name="Porcentual 3 6 2 5 3 3 2" xfId="60657" xr:uid="{00000000-0005-0000-0000-000003ED0000}"/>
    <cellStyle name="Porcentual 3 6 2 5 3 4" xfId="60658" xr:uid="{00000000-0005-0000-0000-000004ED0000}"/>
    <cellStyle name="Porcentual 3 6 2 5 3 5" xfId="60659" xr:uid="{00000000-0005-0000-0000-000005ED0000}"/>
    <cellStyle name="Porcentual 3 6 2 5 4" xfId="60660" xr:uid="{00000000-0005-0000-0000-000006ED0000}"/>
    <cellStyle name="Porcentual 3 6 2 5 4 2" xfId="60661" xr:uid="{00000000-0005-0000-0000-000007ED0000}"/>
    <cellStyle name="Porcentual 3 6 2 5 5" xfId="60662" xr:uid="{00000000-0005-0000-0000-000008ED0000}"/>
    <cellStyle name="Porcentual 3 6 2 5 5 2" xfId="60663" xr:uid="{00000000-0005-0000-0000-000009ED0000}"/>
    <cellStyle name="Porcentual 3 6 2 5 6" xfId="60664" xr:uid="{00000000-0005-0000-0000-00000AED0000}"/>
    <cellStyle name="Porcentual 3 6 2 5 7" xfId="60665" xr:uid="{00000000-0005-0000-0000-00000BED0000}"/>
    <cellStyle name="Porcentual 3 6 2 6" xfId="60666" xr:uid="{00000000-0005-0000-0000-00000CED0000}"/>
    <cellStyle name="Porcentual 3 6 2 6 2" xfId="60667" xr:uid="{00000000-0005-0000-0000-00000DED0000}"/>
    <cellStyle name="Porcentual 3 6 2 6 2 2" xfId="60668" xr:uid="{00000000-0005-0000-0000-00000EED0000}"/>
    <cellStyle name="Porcentual 3 6 2 6 2 2 2" xfId="60669" xr:uid="{00000000-0005-0000-0000-00000FED0000}"/>
    <cellStyle name="Porcentual 3 6 2 6 2 3" xfId="60670" xr:uid="{00000000-0005-0000-0000-000010ED0000}"/>
    <cellStyle name="Porcentual 3 6 2 6 2 4" xfId="60671" xr:uid="{00000000-0005-0000-0000-000011ED0000}"/>
    <cellStyle name="Porcentual 3 6 2 6 3" xfId="60672" xr:uid="{00000000-0005-0000-0000-000012ED0000}"/>
    <cellStyle name="Porcentual 3 6 2 6 3 2" xfId="60673" xr:uid="{00000000-0005-0000-0000-000013ED0000}"/>
    <cellStyle name="Porcentual 3 6 2 6 4" xfId="60674" xr:uid="{00000000-0005-0000-0000-000014ED0000}"/>
    <cellStyle name="Porcentual 3 6 2 6 5" xfId="60675" xr:uid="{00000000-0005-0000-0000-000015ED0000}"/>
    <cellStyle name="Porcentual 3 6 2 7" xfId="60676" xr:uid="{00000000-0005-0000-0000-000016ED0000}"/>
    <cellStyle name="Porcentual 3 6 2 7 2" xfId="60677" xr:uid="{00000000-0005-0000-0000-000017ED0000}"/>
    <cellStyle name="Porcentual 3 6 2 7 2 2" xfId="60678" xr:uid="{00000000-0005-0000-0000-000018ED0000}"/>
    <cellStyle name="Porcentual 3 6 2 7 3" xfId="60679" xr:uid="{00000000-0005-0000-0000-000019ED0000}"/>
    <cellStyle name="Porcentual 3 6 2 7 3 2" xfId="60680" xr:uid="{00000000-0005-0000-0000-00001AED0000}"/>
    <cellStyle name="Porcentual 3 6 2 7 4" xfId="60681" xr:uid="{00000000-0005-0000-0000-00001BED0000}"/>
    <cellStyle name="Porcentual 3 6 2 7 5" xfId="60682" xr:uid="{00000000-0005-0000-0000-00001CED0000}"/>
    <cellStyle name="Porcentual 3 6 2 8" xfId="60683" xr:uid="{00000000-0005-0000-0000-00001DED0000}"/>
    <cellStyle name="Porcentual 3 6 2 8 2" xfId="60684" xr:uid="{00000000-0005-0000-0000-00001EED0000}"/>
    <cellStyle name="Porcentual 3 6 2 9" xfId="60685" xr:uid="{00000000-0005-0000-0000-00001FED0000}"/>
    <cellStyle name="Porcentual 3 6 2 9 2" xfId="60686" xr:uid="{00000000-0005-0000-0000-000020ED0000}"/>
    <cellStyle name="Porcentual 3 6 3" xfId="60687" xr:uid="{00000000-0005-0000-0000-000021ED0000}"/>
    <cellStyle name="Porcentual 3 6 3 10" xfId="60688" xr:uid="{00000000-0005-0000-0000-000022ED0000}"/>
    <cellStyle name="Porcentual 3 6 3 2" xfId="60689" xr:uid="{00000000-0005-0000-0000-000023ED0000}"/>
    <cellStyle name="Porcentual 3 6 3 2 2" xfId="60690" xr:uid="{00000000-0005-0000-0000-000024ED0000}"/>
    <cellStyle name="Porcentual 3 6 3 2 2 2" xfId="60691" xr:uid="{00000000-0005-0000-0000-000025ED0000}"/>
    <cellStyle name="Porcentual 3 6 3 2 2 2 2" xfId="60692" xr:uid="{00000000-0005-0000-0000-000026ED0000}"/>
    <cellStyle name="Porcentual 3 6 3 2 2 2 2 2" xfId="60693" xr:uid="{00000000-0005-0000-0000-000027ED0000}"/>
    <cellStyle name="Porcentual 3 6 3 2 2 2 2 2 2" xfId="60694" xr:uid="{00000000-0005-0000-0000-000028ED0000}"/>
    <cellStyle name="Porcentual 3 6 3 2 2 2 2 2 2 2" xfId="60695" xr:uid="{00000000-0005-0000-0000-000029ED0000}"/>
    <cellStyle name="Porcentual 3 6 3 2 2 2 2 2 3" xfId="60696" xr:uid="{00000000-0005-0000-0000-00002AED0000}"/>
    <cellStyle name="Porcentual 3 6 3 2 2 2 2 2 4" xfId="60697" xr:uid="{00000000-0005-0000-0000-00002BED0000}"/>
    <cellStyle name="Porcentual 3 6 3 2 2 2 2 3" xfId="60698" xr:uid="{00000000-0005-0000-0000-00002CED0000}"/>
    <cellStyle name="Porcentual 3 6 3 2 2 2 2 3 2" xfId="60699" xr:uid="{00000000-0005-0000-0000-00002DED0000}"/>
    <cellStyle name="Porcentual 3 6 3 2 2 2 2 4" xfId="60700" xr:uid="{00000000-0005-0000-0000-00002EED0000}"/>
    <cellStyle name="Porcentual 3 6 3 2 2 2 2 5" xfId="60701" xr:uid="{00000000-0005-0000-0000-00002FED0000}"/>
    <cellStyle name="Porcentual 3 6 3 2 2 2 3" xfId="60702" xr:uid="{00000000-0005-0000-0000-000030ED0000}"/>
    <cellStyle name="Porcentual 3 6 3 2 2 2 3 2" xfId="60703" xr:uid="{00000000-0005-0000-0000-000031ED0000}"/>
    <cellStyle name="Porcentual 3 6 3 2 2 2 3 2 2" xfId="60704" xr:uid="{00000000-0005-0000-0000-000032ED0000}"/>
    <cellStyle name="Porcentual 3 6 3 2 2 2 3 3" xfId="60705" xr:uid="{00000000-0005-0000-0000-000033ED0000}"/>
    <cellStyle name="Porcentual 3 6 3 2 2 2 3 4" xfId="60706" xr:uid="{00000000-0005-0000-0000-000034ED0000}"/>
    <cellStyle name="Porcentual 3 6 3 2 2 2 4" xfId="60707" xr:uid="{00000000-0005-0000-0000-000035ED0000}"/>
    <cellStyle name="Porcentual 3 6 3 2 2 2 4 2" xfId="60708" xr:uid="{00000000-0005-0000-0000-000036ED0000}"/>
    <cellStyle name="Porcentual 3 6 3 2 2 2 5" xfId="60709" xr:uid="{00000000-0005-0000-0000-000037ED0000}"/>
    <cellStyle name="Porcentual 3 6 3 2 2 2 6" xfId="60710" xr:uid="{00000000-0005-0000-0000-000038ED0000}"/>
    <cellStyle name="Porcentual 3 6 3 2 2 3" xfId="60711" xr:uid="{00000000-0005-0000-0000-000039ED0000}"/>
    <cellStyle name="Porcentual 3 6 3 2 2 3 2" xfId="60712" xr:uid="{00000000-0005-0000-0000-00003AED0000}"/>
    <cellStyle name="Porcentual 3 6 3 2 2 3 2 2" xfId="60713" xr:uid="{00000000-0005-0000-0000-00003BED0000}"/>
    <cellStyle name="Porcentual 3 6 3 2 2 3 2 2 2" xfId="60714" xr:uid="{00000000-0005-0000-0000-00003CED0000}"/>
    <cellStyle name="Porcentual 3 6 3 2 2 3 2 3" xfId="60715" xr:uid="{00000000-0005-0000-0000-00003DED0000}"/>
    <cellStyle name="Porcentual 3 6 3 2 2 3 2 4" xfId="60716" xr:uid="{00000000-0005-0000-0000-00003EED0000}"/>
    <cellStyle name="Porcentual 3 6 3 2 2 3 3" xfId="60717" xr:uid="{00000000-0005-0000-0000-00003FED0000}"/>
    <cellStyle name="Porcentual 3 6 3 2 2 3 3 2" xfId="60718" xr:uid="{00000000-0005-0000-0000-000040ED0000}"/>
    <cellStyle name="Porcentual 3 6 3 2 2 3 4" xfId="60719" xr:uid="{00000000-0005-0000-0000-000041ED0000}"/>
    <cellStyle name="Porcentual 3 6 3 2 2 3 5" xfId="60720" xr:uid="{00000000-0005-0000-0000-000042ED0000}"/>
    <cellStyle name="Porcentual 3 6 3 2 2 4" xfId="60721" xr:uid="{00000000-0005-0000-0000-000043ED0000}"/>
    <cellStyle name="Porcentual 3 6 3 2 2 4 2" xfId="60722" xr:uid="{00000000-0005-0000-0000-000044ED0000}"/>
    <cellStyle name="Porcentual 3 6 3 2 2 4 2 2" xfId="60723" xr:uid="{00000000-0005-0000-0000-000045ED0000}"/>
    <cellStyle name="Porcentual 3 6 3 2 2 4 3" xfId="60724" xr:uid="{00000000-0005-0000-0000-000046ED0000}"/>
    <cellStyle name="Porcentual 3 6 3 2 2 4 4" xfId="60725" xr:uid="{00000000-0005-0000-0000-000047ED0000}"/>
    <cellStyle name="Porcentual 3 6 3 2 2 5" xfId="60726" xr:uid="{00000000-0005-0000-0000-000048ED0000}"/>
    <cellStyle name="Porcentual 3 6 3 2 2 5 2" xfId="60727" xr:uid="{00000000-0005-0000-0000-000049ED0000}"/>
    <cellStyle name="Porcentual 3 6 3 2 2 6" xfId="60728" xr:uid="{00000000-0005-0000-0000-00004AED0000}"/>
    <cellStyle name="Porcentual 3 6 3 2 2 7" xfId="60729" xr:uid="{00000000-0005-0000-0000-00004BED0000}"/>
    <cellStyle name="Porcentual 3 6 3 2 3" xfId="60730" xr:uid="{00000000-0005-0000-0000-00004CED0000}"/>
    <cellStyle name="Porcentual 3 6 3 2 3 2" xfId="60731" xr:uid="{00000000-0005-0000-0000-00004DED0000}"/>
    <cellStyle name="Porcentual 3 6 3 2 3 2 2" xfId="60732" xr:uid="{00000000-0005-0000-0000-00004EED0000}"/>
    <cellStyle name="Porcentual 3 6 3 2 3 2 2 2" xfId="60733" xr:uid="{00000000-0005-0000-0000-00004FED0000}"/>
    <cellStyle name="Porcentual 3 6 3 2 3 2 2 2 2" xfId="60734" xr:uid="{00000000-0005-0000-0000-000050ED0000}"/>
    <cellStyle name="Porcentual 3 6 3 2 3 2 2 3" xfId="60735" xr:uid="{00000000-0005-0000-0000-000051ED0000}"/>
    <cellStyle name="Porcentual 3 6 3 2 3 2 2 4" xfId="60736" xr:uid="{00000000-0005-0000-0000-000052ED0000}"/>
    <cellStyle name="Porcentual 3 6 3 2 3 2 3" xfId="60737" xr:uid="{00000000-0005-0000-0000-000053ED0000}"/>
    <cellStyle name="Porcentual 3 6 3 2 3 2 3 2" xfId="60738" xr:uid="{00000000-0005-0000-0000-000054ED0000}"/>
    <cellStyle name="Porcentual 3 6 3 2 3 2 4" xfId="60739" xr:uid="{00000000-0005-0000-0000-000055ED0000}"/>
    <cellStyle name="Porcentual 3 6 3 2 3 2 5" xfId="60740" xr:uid="{00000000-0005-0000-0000-000056ED0000}"/>
    <cellStyle name="Porcentual 3 6 3 2 3 3" xfId="60741" xr:uid="{00000000-0005-0000-0000-000057ED0000}"/>
    <cellStyle name="Porcentual 3 6 3 2 3 3 2" xfId="60742" xr:uid="{00000000-0005-0000-0000-000058ED0000}"/>
    <cellStyle name="Porcentual 3 6 3 2 3 3 2 2" xfId="60743" xr:uid="{00000000-0005-0000-0000-000059ED0000}"/>
    <cellStyle name="Porcentual 3 6 3 2 3 3 3" xfId="60744" xr:uid="{00000000-0005-0000-0000-00005AED0000}"/>
    <cellStyle name="Porcentual 3 6 3 2 3 3 3 2" xfId="60745" xr:uid="{00000000-0005-0000-0000-00005BED0000}"/>
    <cellStyle name="Porcentual 3 6 3 2 3 3 4" xfId="60746" xr:uid="{00000000-0005-0000-0000-00005CED0000}"/>
    <cellStyle name="Porcentual 3 6 3 2 3 3 5" xfId="60747" xr:uid="{00000000-0005-0000-0000-00005DED0000}"/>
    <cellStyle name="Porcentual 3 6 3 2 3 4" xfId="60748" xr:uid="{00000000-0005-0000-0000-00005EED0000}"/>
    <cellStyle name="Porcentual 3 6 3 2 3 4 2" xfId="60749" xr:uid="{00000000-0005-0000-0000-00005FED0000}"/>
    <cellStyle name="Porcentual 3 6 3 2 3 5" xfId="60750" xr:uid="{00000000-0005-0000-0000-000060ED0000}"/>
    <cellStyle name="Porcentual 3 6 3 2 3 5 2" xfId="60751" xr:uid="{00000000-0005-0000-0000-000061ED0000}"/>
    <cellStyle name="Porcentual 3 6 3 2 3 6" xfId="60752" xr:uid="{00000000-0005-0000-0000-000062ED0000}"/>
    <cellStyle name="Porcentual 3 6 3 2 3 7" xfId="60753" xr:uid="{00000000-0005-0000-0000-000063ED0000}"/>
    <cellStyle name="Porcentual 3 6 3 2 4" xfId="60754" xr:uid="{00000000-0005-0000-0000-000064ED0000}"/>
    <cellStyle name="Porcentual 3 6 3 2 4 2" xfId="60755" xr:uid="{00000000-0005-0000-0000-000065ED0000}"/>
    <cellStyle name="Porcentual 3 6 3 2 4 2 2" xfId="60756" xr:uid="{00000000-0005-0000-0000-000066ED0000}"/>
    <cellStyle name="Porcentual 3 6 3 2 4 2 2 2" xfId="60757" xr:uid="{00000000-0005-0000-0000-000067ED0000}"/>
    <cellStyle name="Porcentual 3 6 3 2 4 2 3" xfId="60758" xr:uid="{00000000-0005-0000-0000-000068ED0000}"/>
    <cellStyle name="Porcentual 3 6 3 2 4 2 4" xfId="60759" xr:uid="{00000000-0005-0000-0000-000069ED0000}"/>
    <cellStyle name="Porcentual 3 6 3 2 4 3" xfId="60760" xr:uid="{00000000-0005-0000-0000-00006AED0000}"/>
    <cellStyle name="Porcentual 3 6 3 2 4 3 2" xfId="60761" xr:uid="{00000000-0005-0000-0000-00006BED0000}"/>
    <cellStyle name="Porcentual 3 6 3 2 4 4" xfId="60762" xr:uid="{00000000-0005-0000-0000-00006CED0000}"/>
    <cellStyle name="Porcentual 3 6 3 2 4 5" xfId="60763" xr:uid="{00000000-0005-0000-0000-00006DED0000}"/>
    <cellStyle name="Porcentual 3 6 3 2 5" xfId="60764" xr:uid="{00000000-0005-0000-0000-00006EED0000}"/>
    <cellStyle name="Porcentual 3 6 3 2 5 2" xfId="60765" xr:uid="{00000000-0005-0000-0000-00006FED0000}"/>
    <cellStyle name="Porcentual 3 6 3 2 5 2 2" xfId="60766" xr:uid="{00000000-0005-0000-0000-000070ED0000}"/>
    <cellStyle name="Porcentual 3 6 3 2 5 3" xfId="60767" xr:uid="{00000000-0005-0000-0000-000071ED0000}"/>
    <cellStyle name="Porcentual 3 6 3 2 5 3 2" xfId="60768" xr:uid="{00000000-0005-0000-0000-000072ED0000}"/>
    <cellStyle name="Porcentual 3 6 3 2 5 4" xfId="60769" xr:uid="{00000000-0005-0000-0000-000073ED0000}"/>
    <cellStyle name="Porcentual 3 6 3 2 5 5" xfId="60770" xr:uid="{00000000-0005-0000-0000-000074ED0000}"/>
    <cellStyle name="Porcentual 3 6 3 2 6" xfId="60771" xr:uid="{00000000-0005-0000-0000-000075ED0000}"/>
    <cellStyle name="Porcentual 3 6 3 2 6 2" xfId="60772" xr:uid="{00000000-0005-0000-0000-000076ED0000}"/>
    <cellStyle name="Porcentual 3 6 3 2 7" xfId="60773" xr:uid="{00000000-0005-0000-0000-000077ED0000}"/>
    <cellStyle name="Porcentual 3 6 3 2 7 2" xfId="60774" xr:uid="{00000000-0005-0000-0000-000078ED0000}"/>
    <cellStyle name="Porcentual 3 6 3 2 8" xfId="60775" xr:uid="{00000000-0005-0000-0000-000079ED0000}"/>
    <cellStyle name="Porcentual 3 6 3 2 9" xfId="60776" xr:uid="{00000000-0005-0000-0000-00007AED0000}"/>
    <cellStyle name="Porcentual 3 6 3 3" xfId="60777" xr:uid="{00000000-0005-0000-0000-00007BED0000}"/>
    <cellStyle name="Porcentual 3 6 3 3 2" xfId="60778" xr:uid="{00000000-0005-0000-0000-00007CED0000}"/>
    <cellStyle name="Porcentual 3 6 3 3 2 2" xfId="60779" xr:uid="{00000000-0005-0000-0000-00007DED0000}"/>
    <cellStyle name="Porcentual 3 6 3 3 2 2 2" xfId="60780" xr:uid="{00000000-0005-0000-0000-00007EED0000}"/>
    <cellStyle name="Porcentual 3 6 3 3 2 2 2 2" xfId="60781" xr:uid="{00000000-0005-0000-0000-00007FED0000}"/>
    <cellStyle name="Porcentual 3 6 3 3 2 2 2 2 2" xfId="60782" xr:uid="{00000000-0005-0000-0000-000080ED0000}"/>
    <cellStyle name="Porcentual 3 6 3 3 2 2 2 3" xfId="60783" xr:uid="{00000000-0005-0000-0000-000081ED0000}"/>
    <cellStyle name="Porcentual 3 6 3 3 2 2 2 4" xfId="60784" xr:uid="{00000000-0005-0000-0000-000082ED0000}"/>
    <cellStyle name="Porcentual 3 6 3 3 2 2 3" xfId="60785" xr:uid="{00000000-0005-0000-0000-000083ED0000}"/>
    <cellStyle name="Porcentual 3 6 3 3 2 2 3 2" xfId="60786" xr:uid="{00000000-0005-0000-0000-000084ED0000}"/>
    <cellStyle name="Porcentual 3 6 3 3 2 2 4" xfId="60787" xr:uid="{00000000-0005-0000-0000-000085ED0000}"/>
    <cellStyle name="Porcentual 3 6 3 3 2 2 5" xfId="60788" xr:uid="{00000000-0005-0000-0000-000086ED0000}"/>
    <cellStyle name="Porcentual 3 6 3 3 2 3" xfId="60789" xr:uid="{00000000-0005-0000-0000-000087ED0000}"/>
    <cellStyle name="Porcentual 3 6 3 3 2 3 2" xfId="60790" xr:uid="{00000000-0005-0000-0000-000088ED0000}"/>
    <cellStyle name="Porcentual 3 6 3 3 2 3 2 2" xfId="60791" xr:uid="{00000000-0005-0000-0000-000089ED0000}"/>
    <cellStyle name="Porcentual 3 6 3 3 2 3 3" xfId="60792" xr:uid="{00000000-0005-0000-0000-00008AED0000}"/>
    <cellStyle name="Porcentual 3 6 3 3 2 3 4" xfId="60793" xr:uid="{00000000-0005-0000-0000-00008BED0000}"/>
    <cellStyle name="Porcentual 3 6 3 3 2 4" xfId="60794" xr:uid="{00000000-0005-0000-0000-00008CED0000}"/>
    <cellStyle name="Porcentual 3 6 3 3 2 4 2" xfId="60795" xr:uid="{00000000-0005-0000-0000-00008DED0000}"/>
    <cellStyle name="Porcentual 3 6 3 3 2 5" xfId="60796" xr:uid="{00000000-0005-0000-0000-00008EED0000}"/>
    <cellStyle name="Porcentual 3 6 3 3 2 6" xfId="60797" xr:uid="{00000000-0005-0000-0000-00008FED0000}"/>
    <cellStyle name="Porcentual 3 6 3 3 3" xfId="60798" xr:uid="{00000000-0005-0000-0000-000090ED0000}"/>
    <cellStyle name="Porcentual 3 6 3 3 3 2" xfId="60799" xr:uid="{00000000-0005-0000-0000-000091ED0000}"/>
    <cellStyle name="Porcentual 3 6 3 3 3 2 2" xfId="60800" xr:uid="{00000000-0005-0000-0000-000092ED0000}"/>
    <cellStyle name="Porcentual 3 6 3 3 3 2 2 2" xfId="60801" xr:uid="{00000000-0005-0000-0000-000093ED0000}"/>
    <cellStyle name="Porcentual 3 6 3 3 3 2 3" xfId="60802" xr:uid="{00000000-0005-0000-0000-000094ED0000}"/>
    <cellStyle name="Porcentual 3 6 3 3 3 2 4" xfId="60803" xr:uid="{00000000-0005-0000-0000-000095ED0000}"/>
    <cellStyle name="Porcentual 3 6 3 3 3 3" xfId="60804" xr:uid="{00000000-0005-0000-0000-000096ED0000}"/>
    <cellStyle name="Porcentual 3 6 3 3 3 3 2" xfId="60805" xr:uid="{00000000-0005-0000-0000-000097ED0000}"/>
    <cellStyle name="Porcentual 3 6 3 3 3 4" xfId="60806" xr:uid="{00000000-0005-0000-0000-000098ED0000}"/>
    <cellStyle name="Porcentual 3 6 3 3 3 5" xfId="60807" xr:uid="{00000000-0005-0000-0000-000099ED0000}"/>
    <cellStyle name="Porcentual 3 6 3 3 4" xfId="60808" xr:uid="{00000000-0005-0000-0000-00009AED0000}"/>
    <cellStyle name="Porcentual 3 6 3 3 4 2" xfId="60809" xr:uid="{00000000-0005-0000-0000-00009BED0000}"/>
    <cellStyle name="Porcentual 3 6 3 3 4 2 2" xfId="60810" xr:uid="{00000000-0005-0000-0000-00009CED0000}"/>
    <cellStyle name="Porcentual 3 6 3 3 4 3" xfId="60811" xr:uid="{00000000-0005-0000-0000-00009DED0000}"/>
    <cellStyle name="Porcentual 3 6 3 3 4 4" xfId="60812" xr:uid="{00000000-0005-0000-0000-00009EED0000}"/>
    <cellStyle name="Porcentual 3 6 3 3 5" xfId="60813" xr:uid="{00000000-0005-0000-0000-00009FED0000}"/>
    <cellStyle name="Porcentual 3 6 3 3 5 2" xfId="60814" xr:uid="{00000000-0005-0000-0000-0000A0ED0000}"/>
    <cellStyle name="Porcentual 3 6 3 3 6" xfId="60815" xr:uid="{00000000-0005-0000-0000-0000A1ED0000}"/>
    <cellStyle name="Porcentual 3 6 3 3 7" xfId="60816" xr:uid="{00000000-0005-0000-0000-0000A2ED0000}"/>
    <cellStyle name="Porcentual 3 6 3 4" xfId="60817" xr:uid="{00000000-0005-0000-0000-0000A3ED0000}"/>
    <cellStyle name="Porcentual 3 6 3 4 2" xfId="60818" xr:uid="{00000000-0005-0000-0000-0000A4ED0000}"/>
    <cellStyle name="Porcentual 3 6 3 4 2 2" xfId="60819" xr:uid="{00000000-0005-0000-0000-0000A5ED0000}"/>
    <cellStyle name="Porcentual 3 6 3 4 2 2 2" xfId="60820" xr:uid="{00000000-0005-0000-0000-0000A6ED0000}"/>
    <cellStyle name="Porcentual 3 6 3 4 2 2 2 2" xfId="60821" xr:uid="{00000000-0005-0000-0000-0000A7ED0000}"/>
    <cellStyle name="Porcentual 3 6 3 4 2 2 3" xfId="60822" xr:uid="{00000000-0005-0000-0000-0000A8ED0000}"/>
    <cellStyle name="Porcentual 3 6 3 4 2 2 4" xfId="60823" xr:uid="{00000000-0005-0000-0000-0000A9ED0000}"/>
    <cellStyle name="Porcentual 3 6 3 4 2 3" xfId="60824" xr:uid="{00000000-0005-0000-0000-0000AAED0000}"/>
    <cellStyle name="Porcentual 3 6 3 4 2 3 2" xfId="60825" xr:uid="{00000000-0005-0000-0000-0000ABED0000}"/>
    <cellStyle name="Porcentual 3 6 3 4 2 4" xfId="60826" xr:uid="{00000000-0005-0000-0000-0000ACED0000}"/>
    <cellStyle name="Porcentual 3 6 3 4 2 5" xfId="60827" xr:uid="{00000000-0005-0000-0000-0000ADED0000}"/>
    <cellStyle name="Porcentual 3 6 3 4 3" xfId="60828" xr:uid="{00000000-0005-0000-0000-0000AEED0000}"/>
    <cellStyle name="Porcentual 3 6 3 4 3 2" xfId="60829" xr:uid="{00000000-0005-0000-0000-0000AFED0000}"/>
    <cellStyle name="Porcentual 3 6 3 4 3 2 2" xfId="60830" xr:uid="{00000000-0005-0000-0000-0000B0ED0000}"/>
    <cellStyle name="Porcentual 3 6 3 4 3 3" xfId="60831" xr:uid="{00000000-0005-0000-0000-0000B1ED0000}"/>
    <cellStyle name="Porcentual 3 6 3 4 3 3 2" xfId="60832" xr:uid="{00000000-0005-0000-0000-0000B2ED0000}"/>
    <cellStyle name="Porcentual 3 6 3 4 3 4" xfId="60833" xr:uid="{00000000-0005-0000-0000-0000B3ED0000}"/>
    <cellStyle name="Porcentual 3 6 3 4 3 5" xfId="60834" xr:uid="{00000000-0005-0000-0000-0000B4ED0000}"/>
    <cellStyle name="Porcentual 3 6 3 4 4" xfId="60835" xr:uid="{00000000-0005-0000-0000-0000B5ED0000}"/>
    <cellStyle name="Porcentual 3 6 3 4 4 2" xfId="60836" xr:uid="{00000000-0005-0000-0000-0000B6ED0000}"/>
    <cellStyle name="Porcentual 3 6 3 4 5" xfId="60837" xr:uid="{00000000-0005-0000-0000-0000B7ED0000}"/>
    <cellStyle name="Porcentual 3 6 3 4 5 2" xfId="60838" xr:uid="{00000000-0005-0000-0000-0000B8ED0000}"/>
    <cellStyle name="Porcentual 3 6 3 4 6" xfId="60839" xr:uid="{00000000-0005-0000-0000-0000B9ED0000}"/>
    <cellStyle name="Porcentual 3 6 3 4 7" xfId="60840" xr:uid="{00000000-0005-0000-0000-0000BAED0000}"/>
    <cellStyle name="Porcentual 3 6 3 5" xfId="60841" xr:uid="{00000000-0005-0000-0000-0000BBED0000}"/>
    <cellStyle name="Porcentual 3 6 3 5 2" xfId="60842" xr:uid="{00000000-0005-0000-0000-0000BCED0000}"/>
    <cellStyle name="Porcentual 3 6 3 5 2 2" xfId="60843" xr:uid="{00000000-0005-0000-0000-0000BDED0000}"/>
    <cellStyle name="Porcentual 3 6 3 5 2 2 2" xfId="60844" xr:uid="{00000000-0005-0000-0000-0000BEED0000}"/>
    <cellStyle name="Porcentual 3 6 3 5 2 3" xfId="60845" xr:uid="{00000000-0005-0000-0000-0000BFED0000}"/>
    <cellStyle name="Porcentual 3 6 3 5 2 4" xfId="60846" xr:uid="{00000000-0005-0000-0000-0000C0ED0000}"/>
    <cellStyle name="Porcentual 3 6 3 5 3" xfId="60847" xr:uid="{00000000-0005-0000-0000-0000C1ED0000}"/>
    <cellStyle name="Porcentual 3 6 3 5 3 2" xfId="60848" xr:uid="{00000000-0005-0000-0000-0000C2ED0000}"/>
    <cellStyle name="Porcentual 3 6 3 5 4" xfId="60849" xr:uid="{00000000-0005-0000-0000-0000C3ED0000}"/>
    <cellStyle name="Porcentual 3 6 3 5 5" xfId="60850" xr:uid="{00000000-0005-0000-0000-0000C4ED0000}"/>
    <cellStyle name="Porcentual 3 6 3 6" xfId="60851" xr:uid="{00000000-0005-0000-0000-0000C5ED0000}"/>
    <cellStyle name="Porcentual 3 6 3 6 2" xfId="60852" xr:uid="{00000000-0005-0000-0000-0000C6ED0000}"/>
    <cellStyle name="Porcentual 3 6 3 6 2 2" xfId="60853" xr:uid="{00000000-0005-0000-0000-0000C7ED0000}"/>
    <cellStyle name="Porcentual 3 6 3 6 3" xfId="60854" xr:uid="{00000000-0005-0000-0000-0000C8ED0000}"/>
    <cellStyle name="Porcentual 3 6 3 6 3 2" xfId="60855" xr:uid="{00000000-0005-0000-0000-0000C9ED0000}"/>
    <cellStyle name="Porcentual 3 6 3 6 4" xfId="60856" xr:uid="{00000000-0005-0000-0000-0000CAED0000}"/>
    <cellStyle name="Porcentual 3 6 3 6 5" xfId="60857" xr:uid="{00000000-0005-0000-0000-0000CBED0000}"/>
    <cellStyle name="Porcentual 3 6 3 7" xfId="60858" xr:uid="{00000000-0005-0000-0000-0000CCED0000}"/>
    <cellStyle name="Porcentual 3 6 3 7 2" xfId="60859" xr:uid="{00000000-0005-0000-0000-0000CDED0000}"/>
    <cellStyle name="Porcentual 3 6 3 8" xfId="60860" xr:uid="{00000000-0005-0000-0000-0000CEED0000}"/>
    <cellStyle name="Porcentual 3 6 3 8 2" xfId="60861" xr:uid="{00000000-0005-0000-0000-0000CFED0000}"/>
    <cellStyle name="Porcentual 3 6 3 9" xfId="60862" xr:uid="{00000000-0005-0000-0000-0000D0ED0000}"/>
    <cellStyle name="Porcentual 3 6 4" xfId="60863" xr:uid="{00000000-0005-0000-0000-0000D1ED0000}"/>
    <cellStyle name="Porcentual 3 6 4 2" xfId="60864" xr:uid="{00000000-0005-0000-0000-0000D2ED0000}"/>
    <cellStyle name="Porcentual 3 6 4 2 2" xfId="60865" xr:uid="{00000000-0005-0000-0000-0000D3ED0000}"/>
    <cellStyle name="Porcentual 3 6 4 2 2 2" xfId="60866" xr:uid="{00000000-0005-0000-0000-0000D4ED0000}"/>
    <cellStyle name="Porcentual 3 6 4 2 2 2 2" xfId="60867" xr:uid="{00000000-0005-0000-0000-0000D5ED0000}"/>
    <cellStyle name="Porcentual 3 6 4 2 2 2 2 2" xfId="60868" xr:uid="{00000000-0005-0000-0000-0000D6ED0000}"/>
    <cellStyle name="Porcentual 3 6 4 2 2 2 2 2 2" xfId="60869" xr:uid="{00000000-0005-0000-0000-0000D7ED0000}"/>
    <cellStyle name="Porcentual 3 6 4 2 2 2 2 3" xfId="60870" xr:uid="{00000000-0005-0000-0000-0000D8ED0000}"/>
    <cellStyle name="Porcentual 3 6 4 2 2 2 2 4" xfId="60871" xr:uid="{00000000-0005-0000-0000-0000D9ED0000}"/>
    <cellStyle name="Porcentual 3 6 4 2 2 2 3" xfId="60872" xr:uid="{00000000-0005-0000-0000-0000DAED0000}"/>
    <cellStyle name="Porcentual 3 6 4 2 2 2 3 2" xfId="60873" xr:uid="{00000000-0005-0000-0000-0000DBED0000}"/>
    <cellStyle name="Porcentual 3 6 4 2 2 2 4" xfId="60874" xr:uid="{00000000-0005-0000-0000-0000DCED0000}"/>
    <cellStyle name="Porcentual 3 6 4 2 2 2 5" xfId="60875" xr:uid="{00000000-0005-0000-0000-0000DDED0000}"/>
    <cellStyle name="Porcentual 3 6 4 2 2 3" xfId="60876" xr:uid="{00000000-0005-0000-0000-0000DEED0000}"/>
    <cellStyle name="Porcentual 3 6 4 2 2 3 2" xfId="60877" xr:uid="{00000000-0005-0000-0000-0000DFED0000}"/>
    <cellStyle name="Porcentual 3 6 4 2 2 3 2 2" xfId="60878" xr:uid="{00000000-0005-0000-0000-0000E0ED0000}"/>
    <cellStyle name="Porcentual 3 6 4 2 2 3 3" xfId="60879" xr:uid="{00000000-0005-0000-0000-0000E1ED0000}"/>
    <cellStyle name="Porcentual 3 6 4 2 2 3 4" xfId="60880" xr:uid="{00000000-0005-0000-0000-0000E2ED0000}"/>
    <cellStyle name="Porcentual 3 6 4 2 2 4" xfId="60881" xr:uid="{00000000-0005-0000-0000-0000E3ED0000}"/>
    <cellStyle name="Porcentual 3 6 4 2 2 4 2" xfId="60882" xr:uid="{00000000-0005-0000-0000-0000E4ED0000}"/>
    <cellStyle name="Porcentual 3 6 4 2 2 5" xfId="60883" xr:uid="{00000000-0005-0000-0000-0000E5ED0000}"/>
    <cellStyle name="Porcentual 3 6 4 2 2 6" xfId="60884" xr:uid="{00000000-0005-0000-0000-0000E6ED0000}"/>
    <cellStyle name="Porcentual 3 6 4 2 3" xfId="60885" xr:uid="{00000000-0005-0000-0000-0000E7ED0000}"/>
    <cellStyle name="Porcentual 3 6 4 2 3 2" xfId="60886" xr:uid="{00000000-0005-0000-0000-0000E8ED0000}"/>
    <cellStyle name="Porcentual 3 6 4 2 3 2 2" xfId="60887" xr:uid="{00000000-0005-0000-0000-0000E9ED0000}"/>
    <cellStyle name="Porcentual 3 6 4 2 3 2 2 2" xfId="60888" xr:uid="{00000000-0005-0000-0000-0000EAED0000}"/>
    <cellStyle name="Porcentual 3 6 4 2 3 2 3" xfId="60889" xr:uid="{00000000-0005-0000-0000-0000EBED0000}"/>
    <cellStyle name="Porcentual 3 6 4 2 3 2 4" xfId="60890" xr:uid="{00000000-0005-0000-0000-0000ECED0000}"/>
    <cellStyle name="Porcentual 3 6 4 2 3 3" xfId="60891" xr:uid="{00000000-0005-0000-0000-0000EDED0000}"/>
    <cellStyle name="Porcentual 3 6 4 2 3 3 2" xfId="60892" xr:uid="{00000000-0005-0000-0000-0000EEED0000}"/>
    <cellStyle name="Porcentual 3 6 4 2 3 4" xfId="60893" xr:uid="{00000000-0005-0000-0000-0000EFED0000}"/>
    <cellStyle name="Porcentual 3 6 4 2 3 5" xfId="60894" xr:uid="{00000000-0005-0000-0000-0000F0ED0000}"/>
    <cellStyle name="Porcentual 3 6 4 2 4" xfId="60895" xr:uid="{00000000-0005-0000-0000-0000F1ED0000}"/>
    <cellStyle name="Porcentual 3 6 4 2 4 2" xfId="60896" xr:uid="{00000000-0005-0000-0000-0000F2ED0000}"/>
    <cellStyle name="Porcentual 3 6 4 2 4 2 2" xfId="60897" xr:uid="{00000000-0005-0000-0000-0000F3ED0000}"/>
    <cellStyle name="Porcentual 3 6 4 2 4 3" xfId="60898" xr:uid="{00000000-0005-0000-0000-0000F4ED0000}"/>
    <cellStyle name="Porcentual 3 6 4 2 4 4" xfId="60899" xr:uid="{00000000-0005-0000-0000-0000F5ED0000}"/>
    <cellStyle name="Porcentual 3 6 4 2 5" xfId="60900" xr:uid="{00000000-0005-0000-0000-0000F6ED0000}"/>
    <cellStyle name="Porcentual 3 6 4 2 5 2" xfId="60901" xr:uid="{00000000-0005-0000-0000-0000F7ED0000}"/>
    <cellStyle name="Porcentual 3 6 4 2 6" xfId="60902" xr:uid="{00000000-0005-0000-0000-0000F8ED0000}"/>
    <cellStyle name="Porcentual 3 6 4 2 7" xfId="60903" xr:uid="{00000000-0005-0000-0000-0000F9ED0000}"/>
    <cellStyle name="Porcentual 3 6 4 3" xfId="60904" xr:uid="{00000000-0005-0000-0000-0000FAED0000}"/>
    <cellStyle name="Porcentual 3 6 4 3 2" xfId="60905" xr:uid="{00000000-0005-0000-0000-0000FBED0000}"/>
    <cellStyle name="Porcentual 3 6 4 3 2 2" xfId="60906" xr:uid="{00000000-0005-0000-0000-0000FCED0000}"/>
    <cellStyle name="Porcentual 3 6 4 3 2 2 2" xfId="60907" xr:uid="{00000000-0005-0000-0000-0000FDED0000}"/>
    <cellStyle name="Porcentual 3 6 4 3 2 2 2 2" xfId="60908" xr:uid="{00000000-0005-0000-0000-0000FEED0000}"/>
    <cellStyle name="Porcentual 3 6 4 3 2 2 3" xfId="60909" xr:uid="{00000000-0005-0000-0000-0000FFED0000}"/>
    <cellStyle name="Porcentual 3 6 4 3 2 2 4" xfId="60910" xr:uid="{00000000-0005-0000-0000-000000EE0000}"/>
    <cellStyle name="Porcentual 3 6 4 3 2 3" xfId="60911" xr:uid="{00000000-0005-0000-0000-000001EE0000}"/>
    <cellStyle name="Porcentual 3 6 4 3 2 3 2" xfId="60912" xr:uid="{00000000-0005-0000-0000-000002EE0000}"/>
    <cellStyle name="Porcentual 3 6 4 3 2 4" xfId="60913" xr:uid="{00000000-0005-0000-0000-000003EE0000}"/>
    <cellStyle name="Porcentual 3 6 4 3 2 5" xfId="60914" xr:uid="{00000000-0005-0000-0000-000004EE0000}"/>
    <cellStyle name="Porcentual 3 6 4 3 3" xfId="60915" xr:uid="{00000000-0005-0000-0000-000005EE0000}"/>
    <cellStyle name="Porcentual 3 6 4 3 3 2" xfId="60916" xr:uid="{00000000-0005-0000-0000-000006EE0000}"/>
    <cellStyle name="Porcentual 3 6 4 3 3 2 2" xfId="60917" xr:uid="{00000000-0005-0000-0000-000007EE0000}"/>
    <cellStyle name="Porcentual 3 6 4 3 3 3" xfId="60918" xr:uid="{00000000-0005-0000-0000-000008EE0000}"/>
    <cellStyle name="Porcentual 3 6 4 3 3 3 2" xfId="60919" xr:uid="{00000000-0005-0000-0000-000009EE0000}"/>
    <cellStyle name="Porcentual 3 6 4 3 3 4" xfId="60920" xr:uid="{00000000-0005-0000-0000-00000AEE0000}"/>
    <cellStyle name="Porcentual 3 6 4 3 3 5" xfId="60921" xr:uid="{00000000-0005-0000-0000-00000BEE0000}"/>
    <cellStyle name="Porcentual 3 6 4 3 4" xfId="60922" xr:uid="{00000000-0005-0000-0000-00000CEE0000}"/>
    <cellStyle name="Porcentual 3 6 4 3 4 2" xfId="60923" xr:uid="{00000000-0005-0000-0000-00000DEE0000}"/>
    <cellStyle name="Porcentual 3 6 4 3 5" xfId="60924" xr:uid="{00000000-0005-0000-0000-00000EEE0000}"/>
    <cellStyle name="Porcentual 3 6 4 3 5 2" xfId="60925" xr:uid="{00000000-0005-0000-0000-00000FEE0000}"/>
    <cellStyle name="Porcentual 3 6 4 3 6" xfId="60926" xr:uid="{00000000-0005-0000-0000-000010EE0000}"/>
    <cellStyle name="Porcentual 3 6 4 3 7" xfId="60927" xr:uid="{00000000-0005-0000-0000-000011EE0000}"/>
    <cellStyle name="Porcentual 3 6 4 4" xfId="60928" xr:uid="{00000000-0005-0000-0000-000012EE0000}"/>
    <cellStyle name="Porcentual 3 6 4 4 2" xfId="60929" xr:uid="{00000000-0005-0000-0000-000013EE0000}"/>
    <cellStyle name="Porcentual 3 6 4 4 2 2" xfId="60930" xr:uid="{00000000-0005-0000-0000-000014EE0000}"/>
    <cellStyle name="Porcentual 3 6 4 4 2 2 2" xfId="60931" xr:uid="{00000000-0005-0000-0000-000015EE0000}"/>
    <cellStyle name="Porcentual 3 6 4 4 2 3" xfId="60932" xr:uid="{00000000-0005-0000-0000-000016EE0000}"/>
    <cellStyle name="Porcentual 3 6 4 4 2 4" xfId="60933" xr:uid="{00000000-0005-0000-0000-000017EE0000}"/>
    <cellStyle name="Porcentual 3 6 4 4 3" xfId="60934" xr:uid="{00000000-0005-0000-0000-000018EE0000}"/>
    <cellStyle name="Porcentual 3 6 4 4 3 2" xfId="60935" xr:uid="{00000000-0005-0000-0000-000019EE0000}"/>
    <cellStyle name="Porcentual 3 6 4 4 4" xfId="60936" xr:uid="{00000000-0005-0000-0000-00001AEE0000}"/>
    <cellStyle name="Porcentual 3 6 4 4 5" xfId="60937" xr:uid="{00000000-0005-0000-0000-00001BEE0000}"/>
    <cellStyle name="Porcentual 3 6 4 5" xfId="60938" xr:uid="{00000000-0005-0000-0000-00001CEE0000}"/>
    <cellStyle name="Porcentual 3 6 4 5 2" xfId="60939" xr:uid="{00000000-0005-0000-0000-00001DEE0000}"/>
    <cellStyle name="Porcentual 3 6 4 5 2 2" xfId="60940" xr:uid="{00000000-0005-0000-0000-00001EEE0000}"/>
    <cellStyle name="Porcentual 3 6 4 5 3" xfId="60941" xr:uid="{00000000-0005-0000-0000-00001FEE0000}"/>
    <cellStyle name="Porcentual 3 6 4 5 3 2" xfId="60942" xr:uid="{00000000-0005-0000-0000-000020EE0000}"/>
    <cellStyle name="Porcentual 3 6 4 5 4" xfId="60943" xr:uid="{00000000-0005-0000-0000-000021EE0000}"/>
    <cellStyle name="Porcentual 3 6 4 5 5" xfId="60944" xr:uid="{00000000-0005-0000-0000-000022EE0000}"/>
    <cellStyle name="Porcentual 3 6 4 6" xfId="60945" xr:uid="{00000000-0005-0000-0000-000023EE0000}"/>
    <cellStyle name="Porcentual 3 6 4 6 2" xfId="60946" xr:uid="{00000000-0005-0000-0000-000024EE0000}"/>
    <cellStyle name="Porcentual 3 6 4 7" xfId="60947" xr:uid="{00000000-0005-0000-0000-000025EE0000}"/>
    <cellStyle name="Porcentual 3 6 4 7 2" xfId="60948" xr:uid="{00000000-0005-0000-0000-000026EE0000}"/>
    <cellStyle name="Porcentual 3 6 4 8" xfId="60949" xr:uid="{00000000-0005-0000-0000-000027EE0000}"/>
    <cellStyle name="Porcentual 3 6 4 9" xfId="60950" xr:uid="{00000000-0005-0000-0000-000028EE0000}"/>
    <cellStyle name="Porcentual 3 6 5" xfId="60951" xr:uid="{00000000-0005-0000-0000-000029EE0000}"/>
    <cellStyle name="Porcentual 3 6 5 2" xfId="60952" xr:uid="{00000000-0005-0000-0000-00002AEE0000}"/>
    <cellStyle name="Porcentual 3 6 5 2 2" xfId="60953" xr:uid="{00000000-0005-0000-0000-00002BEE0000}"/>
    <cellStyle name="Porcentual 3 6 5 2 2 2" xfId="60954" xr:uid="{00000000-0005-0000-0000-00002CEE0000}"/>
    <cellStyle name="Porcentual 3 6 5 2 2 2 2" xfId="60955" xr:uid="{00000000-0005-0000-0000-00002DEE0000}"/>
    <cellStyle name="Porcentual 3 6 5 2 2 2 2 2" xfId="60956" xr:uid="{00000000-0005-0000-0000-00002EEE0000}"/>
    <cellStyle name="Porcentual 3 6 5 2 2 2 3" xfId="60957" xr:uid="{00000000-0005-0000-0000-00002FEE0000}"/>
    <cellStyle name="Porcentual 3 6 5 2 2 2 4" xfId="60958" xr:uid="{00000000-0005-0000-0000-000030EE0000}"/>
    <cellStyle name="Porcentual 3 6 5 2 2 3" xfId="60959" xr:uid="{00000000-0005-0000-0000-000031EE0000}"/>
    <cellStyle name="Porcentual 3 6 5 2 2 3 2" xfId="60960" xr:uid="{00000000-0005-0000-0000-000032EE0000}"/>
    <cellStyle name="Porcentual 3 6 5 2 2 4" xfId="60961" xr:uid="{00000000-0005-0000-0000-000033EE0000}"/>
    <cellStyle name="Porcentual 3 6 5 2 2 5" xfId="60962" xr:uid="{00000000-0005-0000-0000-000034EE0000}"/>
    <cellStyle name="Porcentual 3 6 5 2 3" xfId="60963" xr:uid="{00000000-0005-0000-0000-000035EE0000}"/>
    <cellStyle name="Porcentual 3 6 5 2 3 2" xfId="60964" xr:uid="{00000000-0005-0000-0000-000036EE0000}"/>
    <cellStyle name="Porcentual 3 6 5 2 3 2 2" xfId="60965" xr:uid="{00000000-0005-0000-0000-000037EE0000}"/>
    <cellStyle name="Porcentual 3 6 5 2 3 3" xfId="60966" xr:uid="{00000000-0005-0000-0000-000038EE0000}"/>
    <cellStyle name="Porcentual 3 6 5 2 3 3 2" xfId="60967" xr:uid="{00000000-0005-0000-0000-000039EE0000}"/>
    <cellStyle name="Porcentual 3 6 5 2 3 4" xfId="60968" xr:uid="{00000000-0005-0000-0000-00003AEE0000}"/>
    <cellStyle name="Porcentual 3 6 5 2 3 5" xfId="60969" xr:uid="{00000000-0005-0000-0000-00003BEE0000}"/>
    <cellStyle name="Porcentual 3 6 5 2 4" xfId="60970" xr:uid="{00000000-0005-0000-0000-00003CEE0000}"/>
    <cellStyle name="Porcentual 3 6 5 2 4 2" xfId="60971" xr:uid="{00000000-0005-0000-0000-00003DEE0000}"/>
    <cellStyle name="Porcentual 3 6 5 2 5" xfId="60972" xr:uid="{00000000-0005-0000-0000-00003EEE0000}"/>
    <cellStyle name="Porcentual 3 6 5 2 5 2" xfId="60973" xr:uid="{00000000-0005-0000-0000-00003FEE0000}"/>
    <cellStyle name="Porcentual 3 6 5 2 6" xfId="60974" xr:uid="{00000000-0005-0000-0000-000040EE0000}"/>
    <cellStyle name="Porcentual 3 6 5 2 7" xfId="60975" xr:uid="{00000000-0005-0000-0000-000041EE0000}"/>
    <cellStyle name="Porcentual 3 6 5 3" xfId="60976" xr:uid="{00000000-0005-0000-0000-000042EE0000}"/>
    <cellStyle name="Porcentual 3 6 5 3 2" xfId="60977" xr:uid="{00000000-0005-0000-0000-000043EE0000}"/>
    <cellStyle name="Porcentual 3 6 5 3 2 2" xfId="60978" xr:uid="{00000000-0005-0000-0000-000044EE0000}"/>
    <cellStyle name="Porcentual 3 6 5 3 2 2 2" xfId="60979" xr:uid="{00000000-0005-0000-0000-000045EE0000}"/>
    <cellStyle name="Porcentual 3 6 5 3 2 3" xfId="60980" xr:uid="{00000000-0005-0000-0000-000046EE0000}"/>
    <cellStyle name="Porcentual 3 6 5 3 2 4" xfId="60981" xr:uid="{00000000-0005-0000-0000-000047EE0000}"/>
    <cellStyle name="Porcentual 3 6 5 3 3" xfId="60982" xr:uid="{00000000-0005-0000-0000-000048EE0000}"/>
    <cellStyle name="Porcentual 3 6 5 3 3 2" xfId="60983" xr:uid="{00000000-0005-0000-0000-000049EE0000}"/>
    <cellStyle name="Porcentual 3 6 5 3 4" xfId="60984" xr:uid="{00000000-0005-0000-0000-00004AEE0000}"/>
    <cellStyle name="Porcentual 3 6 5 3 5" xfId="60985" xr:uid="{00000000-0005-0000-0000-00004BEE0000}"/>
    <cellStyle name="Porcentual 3 6 5 4" xfId="60986" xr:uid="{00000000-0005-0000-0000-00004CEE0000}"/>
    <cellStyle name="Porcentual 3 6 5 4 2" xfId="60987" xr:uid="{00000000-0005-0000-0000-00004DEE0000}"/>
    <cellStyle name="Porcentual 3 6 5 4 2 2" xfId="60988" xr:uid="{00000000-0005-0000-0000-00004EEE0000}"/>
    <cellStyle name="Porcentual 3 6 5 4 3" xfId="60989" xr:uid="{00000000-0005-0000-0000-00004FEE0000}"/>
    <cellStyle name="Porcentual 3 6 5 4 3 2" xfId="60990" xr:uid="{00000000-0005-0000-0000-000050EE0000}"/>
    <cellStyle name="Porcentual 3 6 5 4 4" xfId="60991" xr:uid="{00000000-0005-0000-0000-000051EE0000}"/>
    <cellStyle name="Porcentual 3 6 5 4 5" xfId="60992" xr:uid="{00000000-0005-0000-0000-000052EE0000}"/>
    <cellStyle name="Porcentual 3 6 5 5" xfId="60993" xr:uid="{00000000-0005-0000-0000-000053EE0000}"/>
    <cellStyle name="Porcentual 3 6 5 5 2" xfId="60994" xr:uid="{00000000-0005-0000-0000-000054EE0000}"/>
    <cellStyle name="Porcentual 3 6 5 6" xfId="60995" xr:uid="{00000000-0005-0000-0000-000055EE0000}"/>
    <cellStyle name="Porcentual 3 6 5 6 2" xfId="60996" xr:uid="{00000000-0005-0000-0000-000056EE0000}"/>
    <cellStyle name="Porcentual 3 6 5 7" xfId="60997" xr:uid="{00000000-0005-0000-0000-000057EE0000}"/>
    <cellStyle name="Porcentual 3 6 5 8" xfId="60998" xr:uid="{00000000-0005-0000-0000-000058EE0000}"/>
    <cellStyle name="Porcentual 3 6 6" xfId="60999" xr:uid="{00000000-0005-0000-0000-000059EE0000}"/>
    <cellStyle name="Porcentual 3 6 6 2" xfId="61000" xr:uid="{00000000-0005-0000-0000-00005AEE0000}"/>
    <cellStyle name="Porcentual 3 6 6 2 2" xfId="61001" xr:uid="{00000000-0005-0000-0000-00005BEE0000}"/>
    <cellStyle name="Porcentual 3 6 6 2 2 2" xfId="61002" xr:uid="{00000000-0005-0000-0000-00005CEE0000}"/>
    <cellStyle name="Porcentual 3 6 6 2 2 2 2" xfId="61003" xr:uid="{00000000-0005-0000-0000-00005DEE0000}"/>
    <cellStyle name="Porcentual 3 6 6 2 2 3" xfId="61004" xr:uid="{00000000-0005-0000-0000-00005EEE0000}"/>
    <cellStyle name="Porcentual 3 6 6 2 2 4" xfId="61005" xr:uid="{00000000-0005-0000-0000-00005FEE0000}"/>
    <cellStyle name="Porcentual 3 6 6 2 3" xfId="61006" xr:uid="{00000000-0005-0000-0000-000060EE0000}"/>
    <cellStyle name="Porcentual 3 6 6 2 3 2" xfId="61007" xr:uid="{00000000-0005-0000-0000-000061EE0000}"/>
    <cellStyle name="Porcentual 3 6 6 2 4" xfId="61008" xr:uid="{00000000-0005-0000-0000-000062EE0000}"/>
    <cellStyle name="Porcentual 3 6 6 2 5" xfId="61009" xr:uid="{00000000-0005-0000-0000-000063EE0000}"/>
    <cellStyle name="Porcentual 3 6 6 3" xfId="61010" xr:uid="{00000000-0005-0000-0000-000064EE0000}"/>
    <cellStyle name="Porcentual 3 6 6 3 2" xfId="61011" xr:uid="{00000000-0005-0000-0000-000065EE0000}"/>
    <cellStyle name="Porcentual 3 6 6 3 2 2" xfId="61012" xr:uid="{00000000-0005-0000-0000-000066EE0000}"/>
    <cellStyle name="Porcentual 3 6 6 3 3" xfId="61013" xr:uid="{00000000-0005-0000-0000-000067EE0000}"/>
    <cellStyle name="Porcentual 3 6 6 3 3 2" xfId="61014" xr:uid="{00000000-0005-0000-0000-000068EE0000}"/>
    <cellStyle name="Porcentual 3 6 6 3 4" xfId="61015" xr:uid="{00000000-0005-0000-0000-000069EE0000}"/>
    <cellStyle name="Porcentual 3 6 6 3 5" xfId="61016" xr:uid="{00000000-0005-0000-0000-00006AEE0000}"/>
    <cellStyle name="Porcentual 3 6 6 4" xfId="61017" xr:uid="{00000000-0005-0000-0000-00006BEE0000}"/>
    <cellStyle name="Porcentual 3 6 6 4 2" xfId="61018" xr:uid="{00000000-0005-0000-0000-00006CEE0000}"/>
    <cellStyle name="Porcentual 3 6 6 5" xfId="61019" xr:uid="{00000000-0005-0000-0000-00006DEE0000}"/>
    <cellStyle name="Porcentual 3 6 6 5 2" xfId="61020" xr:uid="{00000000-0005-0000-0000-00006EEE0000}"/>
    <cellStyle name="Porcentual 3 6 6 6" xfId="61021" xr:uid="{00000000-0005-0000-0000-00006FEE0000}"/>
    <cellStyle name="Porcentual 3 6 6 7" xfId="61022" xr:uid="{00000000-0005-0000-0000-000070EE0000}"/>
    <cellStyle name="Porcentual 3 6 7" xfId="61023" xr:uid="{00000000-0005-0000-0000-000071EE0000}"/>
    <cellStyle name="Porcentual 3 6 7 2" xfId="61024" xr:uid="{00000000-0005-0000-0000-000072EE0000}"/>
    <cellStyle name="Porcentual 3 6 7 2 2" xfId="61025" xr:uid="{00000000-0005-0000-0000-000073EE0000}"/>
    <cellStyle name="Porcentual 3 6 7 2 2 2" xfId="61026" xr:uid="{00000000-0005-0000-0000-000074EE0000}"/>
    <cellStyle name="Porcentual 3 6 7 2 3" xfId="61027" xr:uid="{00000000-0005-0000-0000-000075EE0000}"/>
    <cellStyle name="Porcentual 3 6 7 2 4" xfId="61028" xr:uid="{00000000-0005-0000-0000-000076EE0000}"/>
    <cellStyle name="Porcentual 3 6 7 3" xfId="61029" xr:uid="{00000000-0005-0000-0000-000077EE0000}"/>
    <cellStyle name="Porcentual 3 6 7 3 2" xfId="61030" xr:uid="{00000000-0005-0000-0000-000078EE0000}"/>
    <cellStyle name="Porcentual 3 6 7 4" xfId="61031" xr:uid="{00000000-0005-0000-0000-000079EE0000}"/>
    <cellStyle name="Porcentual 3 6 7 5" xfId="61032" xr:uid="{00000000-0005-0000-0000-00007AEE0000}"/>
    <cellStyle name="Porcentual 3 6 8" xfId="61033" xr:uid="{00000000-0005-0000-0000-00007BEE0000}"/>
    <cellStyle name="Porcentual 3 6 8 2" xfId="61034" xr:uid="{00000000-0005-0000-0000-00007CEE0000}"/>
    <cellStyle name="Porcentual 3 6 8 2 2" xfId="61035" xr:uid="{00000000-0005-0000-0000-00007DEE0000}"/>
    <cellStyle name="Porcentual 3 6 8 3" xfId="61036" xr:uid="{00000000-0005-0000-0000-00007EEE0000}"/>
    <cellStyle name="Porcentual 3 6 8 3 2" xfId="61037" xr:uid="{00000000-0005-0000-0000-00007FEE0000}"/>
    <cellStyle name="Porcentual 3 6 8 4" xfId="61038" xr:uid="{00000000-0005-0000-0000-000080EE0000}"/>
    <cellStyle name="Porcentual 3 6 8 5" xfId="61039" xr:uid="{00000000-0005-0000-0000-000081EE0000}"/>
    <cellStyle name="Porcentual 3 6 9" xfId="61040" xr:uid="{00000000-0005-0000-0000-000082EE0000}"/>
    <cellStyle name="Porcentual 3 6 9 2" xfId="61041" xr:uid="{00000000-0005-0000-0000-000083EE0000}"/>
    <cellStyle name="Porcentual 3 7" xfId="61042" xr:uid="{00000000-0005-0000-0000-000084EE0000}"/>
    <cellStyle name="Porcentual 3 7 10" xfId="61043" xr:uid="{00000000-0005-0000-0000-000085EE0000}"/>
    <cellStyle name="Porcentual 3 7 10 2" xfId="61044" xr:uid="{00000000-0005-0000-0000-000086EE0000}"/>
    <cellStyle name="Porcentual 3 7 11" xfId="61045" xr:uid="{00000000-0005-0000-0000-000087EE0000}"/>
    <cellStyle name="Porcentual 3 7 12" xfId="61046" xr:uid="{00000000-0005-0000-0000-000088EE0000}"/>
    <cellStyle name="Porcentual 3 7 2" xfId="61047" xr:uid="{00000000-0005-0000-0000-000089EE0000}"/>
    <cellStyle name="Porcentual 3 7 2 10" xfId="61048" xr:uid="{00000000-0005-0000-0000-00008AEE0000}"/>
    <cellStyle name="Porcentual 3 7 2 11" xfId="61049" xr:uid="{00000000-0005-0000-0000-00008BEE0000}"/>
    <cellStyle name="Porcentual 3 7 2 2" xfId="61050" xr:uid="{00000000-0005-0000-0000-00008CEE0000}"/>
    <cellStyle name="Porcentual 3 7 2 2 10" xfId="61051" xr:uid="{00000000-0005-0000-0000-00008DEE0000}"/>
    <cellStyle name="Porcentual 3 7 2 2 2" xfId="61052" xr:uid="{00000000-0005-0000-0000-00008EEE0000}"/>
    <cellStyle name="Porcentual 3 7 2 2 2 2" xfId="61053" xr:uid="{00000000-0005-0000-0000-00008FEE0000}"/>
    <cellStyle name="Porcentual 3 7 2 2 2 2 2" xfId="61054" xr:uid="{00000000-0005-0000-0000-000090EE0000}"/>
    <cellStyle name="Porcentual 3 7 2 2 2 2 2 2" xfId="61055" xr:uid="{00000000-0005-0000-0000-000091EE0000}"/>
    <cellStyle name="Porcentual 3 7 2 2 2 2 2 2 2" xfId="61056" xr:uid="{00000000-0005-0000-0000-000092EE0000}"/>
    <cellStyle name="Porcentual 3 7 2 2 2 2 2 2 2 2" xfId="61057" xr:uid="{00000000-0005-0000-0000-000093EE0000}"/>
    <cellStyle name="Porcentual 3 7 2 2 2 2 2 2 2 2 2" xfId="61058" xr:uid="{00000000-0005-0000-0000-000094EE0000}"/>
    <cellStyle name="Porcentual 3 7 2 2 2 2 2 2 2 3" xfId="61059" xr:uid="{00000000-0005-0000-0000-000095EE0000}"/>
    <cellStyle name="Porcentual 3 7 2 2 2 2 2 2 2 4" xfId="61060" xr:uid="{00000000-0005-0000-0000-000096EE0000}"/>
    <cellStyle name="Porcentual 3 7 2 2 2 2 2 2 3" xfId="61061" xr:uid="{00000000-0005-0000-0000-000097EE0000}"/>
    <cellStyle name="Porcentual 3 7 2 2 2 2 2 2 3 2" xfId="61062" xr:uid="{00000000-0005-0000-0000-000098EE0000}"/>
    <cellStyle name="Porcentual 3 7 2 2 2 2 2 2 4" xfId="61063" xr:uid="{00000000-0005-0000-0000-000099EE0000}"/>
    <cellStyle name="Porcentual 3 7 2 2 2 2 2 2 5" xfId="61064" xr:uid="{00000000-0005-0000-0000-00009AEE0000}"/>
    <cellStyle name="Porcentual 3 7 2 2 2 2 2 3" xfId="61065" xr:uid="{00000000-0005-0000-0000-00009BEE0000}"/>
    <cellStyle name="Porcentual 3 7 2 2 2 2 2 3 2" xfId="61066" xr:uid="{00000000-0005-0000-0000-00009CEE0000}"/>
    <cellStyle name="Porcentual 3 7 2 2 2 2 2 3 2 2" xfId="61067" xr:uid="{00000000-0005-0000-0000-00009DEE0000}"/>
    <cellStyle name="Porcentual 3 7 2 2 2 2 2 3 3" xfId="61068" xr:uid="{00000000-0005-0000-0000-00009EEE0000}"/>
    <cellStyle name="Porcentual 3 7 2 2 2 2 2 3 4" xfId="61069" xr:uid="{00000000-0005-0000-0000-00009FEE0000}"/>
    <cellStyle name="Porcentual 3 7 2 2 2 2 2 4" xfId="61070" xr:uid="{00000000-0005-0000-0000-0000A0EE0000}"/>
    <cellStyle name="Porcentual 3 7 2 2 2 2 2 4 2" xfId="61071" xr:uid="{00000000-0005-0000-0000-0000A1EE0000}"/>
    <cellStyle name="Porcentual 3 7 2 2 2 2 2 5" xfId="61072" xr:uid="{00000000-0005-0000-0000-0000A2EE0000}"/>
    <cellStyle name="Porcentual 3 7 2 2 2 2 2 6" xfId="61073" xr:uid="{00000000-0005-0000-0000-0000A3EE0000}"/>
    <cellStyle name="Porcentual 3 7 2 2 2 2 3" xfId="61074" xr:uid="{00000000-0005-0000-0000-0000A4EE0000}"/>
    <cellStyle name="Porcentual 3 7 2 2 2 2 3 2" xfId="61075" xr:uid="{00000000-0005-0000-0000-0000A5EE0000}"/>
    <cellStyle name="Porcentual 3 7 2 2 2 2 3 2 2" xfId="61076" xr:uid="{00000000-0005-0000-0000-0000A6EE0000}"/>
    <cellStyle name="Porcentual 3 7 2 2 2 2 3 2 2 2" xfId="61077" xr:uid="{00000000-0005-0000-0000-0000A7EE0000}"/>
    <cellStyle name="Porcentual 3 7 2 2 2 2 3 2 3" xfId="61078" xr:uid="{00000000-0005-0000-0000-0000A8EE0000}"/>
    <cellStyle name="Porcentual 3 7 2 2 2 2 3 2 4" xfId="61079" xr:uid="{00000000-0005-0000-0000-0000A9EE0000}"/>
    <cellStyle name="Porcentual 3 7 2 2 2 2 3 3" xfId="61080" xr:uid="{00000000-0005-0000-0000-0000AAEE0000}"/>
    <cellStyle name="Porcentual 3 7 2 2 2 2 3 3 2" xfId="61081" xr:uid="{00000000-0005-0000-0000-0000ABEE0000}"/>
    <cellStyle name="Porcentual 3 7 2 2 2 2 3 4" xfId="61082" xr:uid="{00000000-0005-0000-0000-0000ACEE0000}"/>
    <cellStyle name="Porcentual 3 7 2 2 2 2 3 5" xfId="61083" xr:uid="{00000000-0005-0000-0000-0000ADEE0000}"/>
    <cellStyle name="Porcentual 3 7 2 2 2 2 4" xfId="61084" xr:uid="{00000000-0005-0000-0000-0000AEEE0000}"/>
    <cellStyle name="Porcentual 3 7 2 2 2 2 4 2" xfId="61085" xr:uid="{00000000-0005-0000-0000-0000AFEE0000}"/>
    <cellStyle name="Porcentual 3 7 2 2 2 2 4 2 2" xfId="61086" xr:uid="{00000000-0005-0000-0000-0000B0EE0000}"/>
    <cellStyle name="Porcentual 3 7 2 2 2 2 4 3" xfId="61087" xr:uid="{00000000-0005-0000-0000-0000B1EE0000}"/>
    <cellStyle name="Porcentual 3 7 2 2 2 2 4 4" xfId="61088" xr:uid="{00000000-0005-0000-0000-0000B2EE0000}"/>
    <cellStyle name="Porcentual 3 7 2 2 2 2 5" xfId="61089" xr:uid="{00000000-0005-0000-0000-0000B3EE0000}"/>
    <cellStyle name="Porcentual 3 7 2 2 2 2 5 2" xfId="61090" xr:uid="{00000000-0005-0000-0000-0000B4EE0000}"/>
    <cellStyle name="Porcentual 3 7 2 2 2 2 6" xfId="61091" xr:uid="{00000000-0005-0000-0000-0000B5EE0000}"/>
    <cellStyle name="Porcentual 3 7 2 2 2 2 7" xfId="61092" xr:uid="{00000000-0005-0000-0000-0000B6EE0000}"/>
    <cellStyle name="Porcentual 3 7 2 2 2 3" xfId="61093" xr:uid="{00000000-0005-0000-0000-0000B7EE0000}"/>
    <cellStyle name="Porcentual 3 7 2 2 2 3 2" xfId="61094" xr:uid="{00000000-0005-0000-0000-0000B8EE0000}"/>
    <cellStyle name="Porcentual 3 7 2 2 2 3 2 2" xfId="61095" xr:uid="{00000000-0005-0000-0000-0000B9EE0000}"/>
    <cellStyle name="Porcentual 3 7 2 2 2 3 2 2 2" xfId="61096" xr:uid="{00000000-0005-0000-0000-0000BAEE0000}"/>
    <cellStyle name="Porcentual 3 7 2 2 2 3 2 2 2 2" xfId="61097" xr:uid="{00000000-0005-0000-0000-0000BBEE0000}"/>
    <cellStyle name="Porcentual 3 7 2 2 2 3 2 2 3" xfId="61098" xr:uid="{00000000-0005-0000-0000-0000BCEE0000}"/>
    <cellStyle name="Porcentual 3 7 2 2 2 3 2 2 4" xfId="61099" xr:uid="{00000000-0005-0000-0000-0000BDEE0000}"/>
    <cellStyle name="Porcentual 3 7 2 2 2 3 2 3" xfId="61100" xr:uid="{00000000-0005-0000-0000-0000BEEE0000}"/>
    <cellStyle name="Porcentual 3 7 2 2 2 3 2 3 2" xfId="61101" xr:uid="{00000000-0005-0000-0000-0000BFEE0000}"/>
    <cellStyle name="Porcentual 3 7 2 2 2 3 2 4" xfId="61102" xr:uid="{00000000-0005-0000-0000-0000C0EE0000}"/>
    <cellStyle name="Porcentual 3 7 2 2 2 3 2 5" xfId="61103" xr:uid="{00000000-0005-0000-0000-0000C1EE0000}"/>
    <cellStyle name="Porcentual 3 7 2 2 2 3 3" xfId="61104" xr:uid="{00000000-0005-0000-0000-0000C2EE0000}"/>
    <cellStyle name="Porcentual 3 7 2 2 2 3 3 2" xfId="61105" xr:uid="{00000000-0005-0000-0000-0000C3EE0000}"/>
    <cellStyle name="Porcentual 3 7 2 2 2 3 3 2 2" xfId="61106" xr:uid="{00000000-0005-0000-0000-0000C4EE0000}"/>
    <cellStyle name="Porcentual 3 7 2 2 2 3 3 3" xfId="61107" xr:uid="{00000000-0005-0000-0000-0000C5EE0000}"/>
    <cellStyle name="Porcentual 3 7 2 2 2 3 3 3 2" xfId="61108" xr:uid="{00000000-0005-0000-0000-0000C6EE0000}"/>
    <cellStyle name="Porcentual 3 7 2 2 2 3 3 4" xfId="61109" xr:uid="{00000000-0005-0000-0000-0000C7EE0000}"/>
    <cellStyle name="Porcentual 3 7 2 2 2 3 3 5" xfId="61110" xr:uid="{00000000-0005-0000-0000-0000C8EE0000}"/>
    <cellStyle name="Porcentual 3 7 2 2 2 3 4" xfId="61111" xr:uid="{00000000-0005-0000-0000-0000C9EE0000}"/>
    <cellStyle name="Porcentual 3 7 2 2 2 3 4 2" xfId="61112" xr:uid="{00000000-0005-0000-0000-0000CAEE0000}"/>
    <cellStyle name="Porcentual 3 7 2 2 2 3 5" xfId="61113" xr:uid="{00000000-0005-0000-0000-0000CBEE0000}"/>
    <cellStyle name="Porcentual 3 7 2 2 2 3 5 2" xfId="61114" xr:uid="{00000000-0005-0000-0000-0000CCEE0000}"/>
    <cellStyle name="Porcentual 3 7 2 2 2 3 6" xfId="61115" xr:uid="{00000000-0005-0000-0000-0000CDEE0000}"/>
    <cellStyle name="Porcentual 3 7 2 2 2 3 7" xfId="61116" xr:uid="{00000000-0005-0000-0000-0000CEEE0000}"/>
    <cellStyle name="Porcentual 3 7 2 2 2 4" xfId="61117" xr:uid="{00000000-0005-0000-0000-0000CFEE0000}"/>
    <cellStyle name="Porcentual 3 7 2 2 2 4 2" xfId="61118" xr:uid="{00000000-0005-0000-0000-0000D0EE0000}"/>
    <cellStyle name="Porcentual 3 7 2 2 2 4 2 2" xfId="61119" xr:uid="{00000000-0005-0000-0000-0000D1EE0000}"/>
    <cellStyle name="Porcentual 3 7 2 2 2 4 2 2 2" xfId="61120" xr:uid="{00000000-0005-0000-0000-0000D2EE0000}"/>
    <cellStyle name="Porcentual 3 7 2 2 2 4 2 3" xfId="61121" xr:uid="{00000000-0005-0000-0000-0000D3EE0000}"/>
    <cellStyle name="Porcentual 3 7 2 2 2 4 2 4" xfId="61122" xr:uid="{00000000-0005-0000-0000-0000D4EE0000}"/>
    <cellStyle name="Porcentual 3 7 2 2 2 4 3" xfId="61123" xr:uid="{00000000-0005-0000-0000-0000D5EE0000}"/>
    <cellStyle name="Porcentual 3 7 2 2 2 4 3 2" xfId="61124" xr:uid="{00000000-0005-0000-0000-0000D6EE0000}"/>
    <cellStyle name="Porcentual 3 7 2 2 2 4 4" xfId="61125" xr:uid="{00000000-0005-0000-0000-0000D7EE0000}"/>
    <cellStyle name="Porcentual 3 7 2 2 2 4 5" xfId="61126" xr:uid="{00000000-0005-0000-0000-0000D8EE0000}"/>
    <cellStyle name="Porcentual 3 7 2 2 2 5" xfId="61127" xr:uid="{00000000-0005-0000-0000-0000D9EE0000}"/>
    <cellStyle name="Porcentual 3 7 2 2 2 5 2" xfId="61128" xr:uid="{00000000-0005-0000-0000-0000DAEE0000}"/>
    <cellStyle name="Porcentual 3 7 2 2 2 5 2 2" xfId="61129" xr:uid="{00000000-0005-0000-0000-0000DBEE0000}"/>
    <cellStyle name="Porcentual 3 7 2 2 2 5 3" xfId="61130" xr:uid="{00000000-0005-0000-0000-0000DCEE0000}"/>
    <cellStyle name="Porcentual 3 7 2 2 2 5 3 2" xfId="61131" xr:uid="{00000000-0005-0000-0000-0000DDEE0000}"/>
    <cellStyle name="Porcentual 3 7 2 2 2 5 4" xfId="61132" xr:uid="{00000000-0005-0000-0000-0000DEEE0000}"/>
    <cellStyle name="Porcentual 3 7 2 2 2 5 5" xfId="61133" xr:uid="{00000000-0005-0000-0000-0000DFEE0000}"/>
    <cellStyle name="Porcentual 3 7 2 2 2 6" xfId="61134" xr:uid="{00000000-0005-0000-0000-0000E0EE0000}"/>
    <cellStyle name="Porcentual 3 7 2 2 2 6 2" xfId="61135" xr:uid="{00000000-0005-0000-0000-0000E1EE0000}"/>
    <cellStyle name="Porcentual 3 7 2 2 2 7" xfId="61136" xr:uid="{00000000-0005-0000-0000-0000E2EE0000}"/>
    <cellStyle name="Porcentual 3 7 2 2 2 7 2" xfId="61137" xr:uid="{00000000-0005-0000-0000-0000E3EE0000}"/>
    <cellStyle name="Porcentual 3 7 2 2 2 8" xfId="61138" xr:uid="{00000000-0005-0000-0000-0000E4EE0000}"/>
    <cellStyle name="Porcentual 3 7 2 2 2 9" xfId="61139" xr:uid="{00000000-0005-0000-0000-0000E5EE0000}"/>
    <cellStyle name="Porcentual 3 7 2 2 3" xfId="61140" xr:uid="{00000000-0005-0000-0000-0000E6EE0000}"/>
    <cellStyle name="Porcentual 3 7 2 2 3 2" xfId="61141" xr:uid="{00000000-0005-0000-0000-0000E7EE0000}"/>
    <cellStyle name="Porcentual 3 7 2 2 3 2 2" xfId="61142" xr:uid="{00000000-0005-0000-0000-0000E8EE0000}"/>
    <cellStyle name="Porcentual 3 7 2 2 3 2 2 2" xfId="61143" xr:uid="{00000000-0005-0000-0000-0000E9EE0000}"/>
    <cellStyle name="Porcentual 3 7 2 2 3 2 2 2 2" xfId="61144" xr:uid="{00000000-0005-0000-0000-0000EAEE0000}"/>
    <cellStyle name="Porcentual 3 7 2 2 3 2 2 2 2 2" xfId="61145" xr:uid="{00000000-0005-0000-0000-0000EBEE0000}"/>
    <cellStyle name="Porcentual 3 7 2 2 3 2 2 2 3" xfId="61146" xr:uid="{00000000-0005-0000-0000-0000ECEE0000}"/>
    <cellStyle name="Porcentual 3 7 2 2 3 2 2 2 4" xfId="61147" xr:uid="{00000000-0005-0000-0000-0000EDEE0000}"/>
    <cellStyle name="Porcentual 3 7 2 2 3 2 2 3" xfId="61148" xr:uid="{00000000-0005-0000-0000-0000EEEE0000}"/>
    <cellStyle name="Porcentual 3 7 2 2 3 2 2 3 2" xfId="61149" xr:uid="{00000000-0005-0000-0000-0000EFEE0000}"/>
    <cellStyle name="Porcentual 3 7 2 2 3 2 2 4" xfId="61150" xr:uid="{00000000-0005-0000-0000-0000F0EE0000}"/>
    <cellStyle name="Porcentual 3 7 2 2 3 2 2 5" xfId="61151" xr:uid="{00000000-0005-0000-0000-0000F1EE0000}"/>
    <cellStyle name="Porcentual 3 7 2 2 3 2 3" xfId="61152" xr:uid="{00000000-0005-0000-0000-0000F2EE0000}"/>
    <cellStyle name="Porcentual 3 7 2 2 3 2 3 2" xfId="61153" xr:uid="{00000000-0005-0000-0000-0000F3EE0000}"/>
    <cellStyle name="Porcentual 3 7 2 2 3 2 3 2 2" xfId="61154" xr:uid="{00000000-0005-0000-0000-0000F4EE0000}"/>
    <cellStyle name="Porcentual 3 7 2 2 3 2 3 3" xfId="61155" xr:uid="{00000000-0005-0000-0000-0000F5EE0000}"/>
    <cellStyle name="Porcentual 3 7 2 2 3 2 3 4" xfId="61156" xr:uid="{00000000-0005-0000-0000-0000F6EE0000}"/>
    <cellStyle name="Porcentual 3 7 2 2 3 2 4" xfId="61157" xr:uid="{00000000-0005-0000-0000-0000F7EE0000}"/>
    <cellStyle name="Porcentual 3 7 2 2 3 2 4 2" xfId="61158" xr:uid="{00000000-0005-0000-0000-0000F8EE0000}"/>
    <cellStyle name="Porcentual 3 7 2 2 3 2 5" xfId="61159" xr:uid="{00000000-0005-0000-0000-0000F9EE0000}"/>
    <cellStyle name="Porcentual 3 7 2 2 3 2 6" xfId="61160" xr:uid="{00000000-0005-0000-0000-0000FAEE0000}"/>
    <cellStyle name="Porcentual 3 7 2 2 3 3" xfId="61161" xr:uid="{00000000-0005-0000-0000-0000FBEE0000}"/>
    <cellStyle name="Porcentual 3 7 2 2 3 3 2" xfId="61162" xr:uid="{00000000-0005-0000-0000-0000FCEE0000}"/>
    <cellStyle name="Porcentual 3 7 2 2 3 3 2 2" xfId="61163" xr:uid="{00000000-0005-0000-0000-0000FDEE0000}"/>
    <cellStyle name="Porcentual 3 7 2 2 3 3 2 2 2" xfId="61164" xr:uid="{00000000-0005-0000-0000-0000FEEE0000}"/>
    <cellStyle name="Porcentual 3 7 2 2 3 3 2 3" xfId="61165" xr:uid="{00000000-0005-0000-0000-0000FFEE0000}"/>
    <cellStyle name="Porcentual 3 7 2 2 3 3 2 4" xfId="61166" xr:uid="{00000000-0005-0000-0000-000000EF0000}"/>
    <cellStyle name="Porcentual 3 7 2 2 3 3 3" xfId="61167" xr:uid="{00000000-0005-0000-0000-000001EF0000}"/>
    <cellStyle name="Porcentual 3 7 2 2 3 3 3 2" xfId="61168" xr:uid="{00000000-0005-0000-0000-000002EF0000}"/>
    <cellStyle name="Porcentual 3 7 2 2 3 3 4" xfId="61169" xr:uid="{00000000-0005-0000-0000-000003EF0000}"/>
    <cellStyle name="Porcentual 3 7 2 2 3 3 5" xfId="61170" xr:uid="{00000000-0005-0000-0000-000004EF0000}"/>
    <cellStyle name="Porcentual 3 7 2 2 3 4" xfId="61171" xr:uid="{00000000-0005-0000-0000-000005EF0000}"/>
    <cellStyle name="Porcentual 3 7 2 2 3 4 2" xfId="61172" xr:uid="{00000000-0005-0000-0000-000006EF0000}"/>
    <cellStyle name="Porcentual 3 7 2 2 3 4 2 2" xfId="61173" xr:uid="{00000000-0005-0000-0000-000007EF0000}"/>
    <cellStyle name="Porcentual 3 7 2 2 3 4 3" xfId="61174" xr:uid="{00000000-0005-0000-0000-000008EF0000}"/>
    <cellStyle name="Porcentual 3 7 2 2 3 4 4" xfId="61175" xr:uid="{00000000-0005-0000-0000-000009EF0000}"/>
    <cellStyle name="Porcentual 3 7 2 2 3 5" xfId="61176" xr:uid="{00000000-0005-0000-0000-00000AEF0000}"/>
    <cellStyle name="Porcentual 3 7 2 2 3 5 2" xfId="61177" xr:uid="{00000000-0005-0000-0000-00000BEF0000}"/>
    <cellStyle name="Porcentual 3 7 2 2 3 6" xfId="61178" xr:uid="{00000000-0005-0000-0000-00000CEF0000}"/>
    <cellStyle name="Porcentual 3 7 2 2 3 7" xfId="61179" xr:uid="{00000000-0005-0000-0000-00000DEF0000}"/>
    <cellStyle name="Porcentual 3 7 2 2 4" xfId="61180" xr:uid="{00000000-0005-0000-0000-00000EEF0000}"/>
    <cellStyle name="Porcentual 3 7 2 2 4 2" xfId="61181" xr:uid="{00000000-0005-0000-0000-00000FEF0000}"/>
    <cellStyle name="Porcentual 3 7 2 2 4 2 2" xfId="61182" xr:uid="{00000000-0005-0000-0000-000010EF0000}"/>
    <cellStyle name="Porcentual 3 7 2 2 4 2 2 2" xfId="61183" xr:uid="{00000000-0005-0000-0000-000011EF0000}"/>
    <cellStyle name="Porcentual 3 7 2 2 4 2 2 2 2" xfId="61184" xr:uid="{00000000-0005-0000-0000-000012EF0000}"/>
    <cellStyle name="Porcentual 3 7 2 2 4 2 2 3" xfId="61185" xr:uid="{00000000-0005-0000-0000-000013EF0000}"/>
    <cellStyle name="Porcentual 3 7 2 2 4 2 2 4" xfId="61186" xr:uid="{00000000-0005-0000-0000-000014EF0000}"/>
    <cellStyle name="Porcentual 3 7 2 2 4 2 3" xfId="61187" xr:uid="{00000000-0005-0000-0000-000015EF0000}"/>
    <cellStyle name="Porcentual 3 7 2 2 4 2 3 2" xfId="61188" xr:uid="{00000000-0005-0000-0000-000016EF0000}"/>
    <cellStyle name="Porcentual 3 7 2 2 4 2 4" xfId="61189" xr:uid="{00000000-0005-0000-0000-000017EF0000}"/>
    <cellStyle name="Porcentual 3 7 2 2 4 2 5" xfId="61190" xr:uid="{00000000-0005-0000-0000-000018EF0000}"/>
    <cellStyle name="Porcentual 3 7 2 2 4 3" xfId="61191" xr:uid="{00000000-0005-0000-0000-000019EF0000}"/>
    <cellStyle name="Porcentual 3 7 2 2 4 3 2" xfId="61192" xr:uid="{00000000-0005-0000-0000-00001AEF0000}"/>
    <cellStyle name="Porcentual 3 7 2 2 4 3 2 2" xfId="61193" xr:uid="{00000000-0005-0000-0000-00001BEF0000}"/>
    <cellStyle name="Porcentual 3 7 2 2 4 3 3" xfId="61194" xr:uid="{00000000-0005-0000-0000-00001CEF0000}"/>
    <cellStyle name="Porcentual 3 7 2 2 4 3 3 2" xfId="61195" xr:uid="{00000000-0005-0000-0000-00001DEF0000}"/>
    <cellStyle name="Porcentual 3 7 2 2 4 3 4" xfId="61196" xr:uid="{00000000-0005-0000-0000-00001EEF0000}"/>
    <cellStyle name="Porcentual 3 7 2 2 4 3 5" xfId="61197" xr:uid="{00000000-0005-0000-0000-00001FEF0000}"/>
    <cellStyle name="Porcentual 3 7 2 2 4 4" xfId="61198" xr:uid="{00000000-0005-0000-0000-000020EF0000}"/>
    <cellStyle name="Porcentual 3 7 2 2 4 4 2" xfId="61199" xr:uid="{00000000-0005-0000-0000-000021EF0000}"/>
    <cellStyle name="Porcentual 3 7 2 2 4 5" xfId="61200" xr:uid="{00000000-0005-0000-0000-000022EF0000}"/>
    <cellStyle name="Porcentual 3 7 2 2 4 5 2" xfId="61201" xr:uid="{00000000-0005-0000-0000-000023EF0000}"/>
    <cellStyle name="Porcentual 3 7 2 2 4 6" xfId="61202" xr:uid="{00000000-0005-0000-0000-000024EF0000}"/>
    <cellStyle name="Porcentual 3 7 2 2 4 7" xfId="61203" xr:uid="{00000000-0005-0000-0000-000025EF0000}"/>
    <cellStyle name="Porcentual 3 7 2 2 5" xfId="61204" xr:uid="{00000000-0005-0000-0000-000026EF0000}"/>
    <cellStyle name="Porcentual 3 7 2 2 5 2" xfId="61205" xr:uid="{00000000-0005-0000-0000-000027EF0000}"/>
    <cellStyle name="Porcentual 3 7 2 2 5 2 2" xfId="61206" xr:uid="{00000000-0005-0000-0000-000028EF0000}"/>
    <cellStyle name="Porcentual 3 7 2 2 5 2 2 2" xfId="61207" xr:uid="{00000000-0005-0000-0000-000029EF0000}"/>
    <cellStyle name="Porcentual 3 7 2 2 5 2 3" xfId="61208" xr:uid="{00000000-0005-0000-0000-00002AEF0000}"/>
    <cellStyle name="Porcentual 3 7 2 2 5 2 4" xfId="61209" xr:uid="{00000000-0005-0000-0000-00002BEF0000}"/>
    <cellStyle name="Porcentual 3 7 2 2 5 3" xfId="61210" xr:uid="{00000000-0005-0000-0000-00002CEF0000}"/>
    <cellStyle name="Porcentual 3 7 2 2 5 3 2" xfId="61211" xr:uid="{00000000-0005-0000-0000-00002DEF0000}"/>
    <cellStyle name="Porcentual 3 7 2 2 5 4" xfId="61212" xr:uid="{00000000-0005-0000-0000-00002EEF0000}"/>
    <cellStyle name="Porcentual 3 7 2 2 5 5" xfId="61213" xr:uid="{00000000-0005-0000-0000-00002FEF0000}"/>
    <cellStyle name="Porcentual 3 7 2 2 6" xfId="61214" xr:uid="{00000000-0005-0000-0000-000030EF0000}"/>
    <cellStyle name="Porcentual 3 7 2 2 6 2" xfId="61215" xr:uid="{00000000-0005-0000-0000-000031EF0000}"/>
    <cellStyle name="Porcentual 3 7 2 2 6 2 2" xfId="61216" xr:uid="{00000000-0005-0000-0000-000032EF0000}"/>
    <cellStyle name="Porcentual 3 7 2 2 6 3" xfId="61217" xr:uid="{00000000-0005-0000-0000-000033EF0000}"/>
    <cellStyle name="Porcentual 3 7 2 2 6 3 2" xfId="61218" xr:uid="{00000000-0005-0000-0000-000034EF0000}"/>
    <cellStyle name="Porcentual 3 7 2 2 6 4" xfId="61219" xr:uid="{00000000-0005-0000-0000-000035EF0000}"/>
    <cellStyle name="Porcentual 3 7 2 2 6 5" xfId="61220" xr:uid="{00000000-0005-0000-0000-000036EF0000}"/>
    <cellStyle name="Porcentual 3 7 2 2 7" xfId="61221" xr:uid="{00000000-0005-0000-0000-000037EF0000}"/>
    <cellStyle name="Porcentual 3 7 2 2 7 2" xfId="61222" xr:uid="{00000000-0005-0000-0000-000038EF0000}"/>
    <cellStyle name="Porcentual 3 7 2 2 8" xfId="61223" xr:uid="{00000000-0005-0000-0000-000039EF0000}"/>
    <cellStyle name="Porcentual 3 7 2 2 8 2" xfId="61224" xr:uid="{00000000-0005-0000-0000-00003AEF0000}"/>
    <cellStyle name="Porcentual 3 7 2 2 9" xfId="61225" xr:uid="{00000000-0005-0000-0000-00003BEF0000}"/>
    <cellStyle name="Porcentual 3 7 2 3" xfId="61226" xr:uid="{00000000-0005-0000-0000-00003CEF0000}"/>
    <cellStyle name="Porcentual 3 7 2 3 2" xfId="61227" xr:uid="{00000000-0005-0000-0000-00003DEF0000}"/>
    <cellStyle name="Porcentual 3 7 2 3 2 2" xfId="61228" xr:uid="{00000000-0005-0000-0000-00003EEF0000}"/>
    <cellStyle name="Porcentual 3 7 2 3 2 2 2" xfId="61229" xr:uid="{00000000-0005-0000-0000-00003FEF0000}"/>
    <cellStyle name="Porcentual 3 7 2 3 2 2 2 2" xfId="61230" xr:uid="{00000000-0005-0000-0000-000040EF0000}"/>
    <cellStyle name="Porcentual 3 7 2 3 2 2 2 2 2" xfId="61231" xr:uid="{00000000-0005-0000-0000-000041EF0000}"/>
    <cellStyle name="Porcentual 3 7 2 3 2 2 2 2 2 2" xfId="61232" xr:uid="{00000000-0005-0000-0000-000042EF0000}"/>
    <cellStyle name="Porcentual 3 7 2 3 2 2 2 2 3" xfId="61233" xr:uid="{00000000-0005-0000-0000-000043EF0000}"/>
    <cellStyle name="Porcentual 3 7 2 3 2 2 2 2 4" xfId="61234" xr:uid="{00000000-0005-0000-0000-000044EF0000}"/>
    <cellStyle name="Porcentual 3 7 2 3 2 2 2 3" xfId="61235" xr:uid="{00000000-0005-0000-0000-000045EF0000}"/>
    <cellStyle name="Porcentual 3 7 2 3 2 2 2 3 2" xfId="61236" xr:uid="{00000000-0005-0000-0000-000046EF0000}"/>
    <cellStyle name="Porcentual 3 7 2 3 2 2 2 4" xfId="61237" xr:uid="{00000000-0005-0000-0000-000047EF0000}"/>
    <cellStyle name="Porcentual 3 7 2 3 2 2 2 5" xfId="61238" xr:uid="{00000000-0005-0000-0000-000048EF0000}"/>
    <cellStyle name="Porcentual 3 7 2 3 2 2 3" xfId="61239" xr:uid="{00000000-0005-0000-0000-000049EF0000}"/>
    <cellStyle name="Porcentual 3 7 2 3 2 2 3 2" xfId="61240" xr:uid="{00000000-0005-0000-0000-00004AEF0000}"/>
    <cellStyle name="Porcentual 3 7 2 3 2 2 3 2 2" xfId="61241" xr:uid="{00000000-0005-0000-0000-00004BEF0000}"/>
    <cellStyle name="Porcentual 3 7 2 3 2 2 3 3" xfId="61242" xr:uid="{00000000-0005-0000-0000-00004CEF0000}"/>
    <cellStyle name="Porcentual 3 7 2 3 2 2 3 4" xfId="61243" xr:uid="{00000000-0005-0000-0000-00004DEF0000}"/>
    <cellStyle name="Porcentual 3 7 2 3 2 2 4" xfId="61244" xr:uid="{00000000-0005-0000-0000-00004EEF0000}"/>
    <cellStyle name="Porcentual 3 7 2 3 2 2 4 2" xfId="61245" xr:uid="{00000000-0005-0000-0000-00004FEF0000}"/>
    <cellStyle name="Porcentual 3 7 2 3 2 2 5" xfId="61246" xr:uid="{00000000-0005-0000-0000-000050EF0000}"/>
    <cellStyle name="Porcentual 3 7 2 3 2 2 6" xfId="61247" xr:uid="{00000000-0005-0000-0000-000051EF0000}"/>
    <cellStyle name="Porcentual 3 7 2 3 2 3" xfId="61248" xr:uid="{00000000-0005-0000-0000-000052EF0000}"/>
    <cellStyle name="Porcentual 3 7 2 3 2 3 2" xfId="61249" xr:uid="{00000000-0005-0000-0000-000053EF0000}"/>
    <cellStyle name="Porcentual 3 7 2 3 2 3 2 2" xfId="61250" xr:uid="{00000000-0005-0000-0000-000054EF0000}"/>
    <cellStyle name="Porcentual 3 7 2 3 2 3 2 2 2" xfId="61251" xr:uid="{00000000-0005-0000-0000-000055EF0000}"/>
    <cellStyle name="Porcentual 3 7 2 3 2 3 2 3" xfId="61252" xr:uid="{00000000-0005-0000-0000-000056EF0000}"/>
    <cellStyle name="Porcentual 3 7 2 3 2 3 2 4" xfId="61253" xr:uid="{00000000-0005-0000-0000-000057EF0000}"/>
    <cellStyle name="Porcentual 3 7 2 3 2 3 3" xfId="61254" xr:uid="{00000000-0005-0000-0000-000058EF0000}"/>
    <cellStyle name="Porcentual 3 7 2 3 2 3 3 2" xfId="61255" xr:uid="{00000000-0005-0000-0000-000059EF0000}"/>
    <cellStyle name="Porcentual 3 7 2 3 2 3 4" xfId="61256" xr:uid="{00000000-0005-0000-0000-00005AEF0000}"/>
    <cellStyle name="Porcentual 3 7 2 3 2 3 5" xfId="61257" xr:uid="{00000000-0005-0000-0000-00005BEF0000}"/>
    <cellStyle name="Porcentual 3 7 2 3 2 4" xfId="61258" xr:uid="{00000000-0005-0000-0000-00005CEF0000}"/>
    <cellStyle name="Porcentual 3 7 2 3 2 4 2" xfId="61259" xr:uid="{00000000-0005-0000-0000-00005DEF0000}"/>
    <cellStyle name="Porcentual 3 7 2 3 2 4 2 2" xfId="61260" xr:uid="{00000000-0005-0000-0000-00005EEF0000}"/>
    <cellStyle name="Porcentual 3 7 2 3 2 4 3" xfId="61261" xr:uid="{00000000-0005-0000-0000-00005FEF0000}"/>
    <cellStyle name="Porcentual 3 7 2 3 2 4 4" xfId="61262" xr:uid="{00000000-0005-0000-0000-000060EF0000}"/>
    <cellStyle name="Porcentual 3 7 2 3 2 5" xfId="61263" xr:uid="{00000000-0005-0000-0000-000061EF0000}"/>
    <cellStyle name="Porcentual 3 7 2 3 2 5 2" xfId="61264" xr:uid="{00000000-0005-0000-0000-000062EF0000}"/>
    <cellStyle name="Porcentual 3 7 2 3 2 6" xfId="61265" xr:uid="{00000000-0005-0000-0000-000063EF0000}"/>
    <cellStyle name="Porcentual 3 7 2 3 2 7" xfId="61266" xr:uid="{00000000-0005-0000-0000-000064EF0000}"/>
    <cellStyle name="Porcentual 3 7 2 3 3" xfId="61267" xr:uid="{00000000-0005-0000-0000-000065EF0000}"/>
    <cellStyle name="Porcentual 3 7 2 3 3 2" xfId="61268" xr:uid="{00000000-0005-0000-0000-000066EF0000}"/>
    <cellStyle name="Porcentual 3 7 2 3 3 2 2" xfId="61269" xr:uid="{00000000-0005-0000-0000-000067EF0000}"/>
    <cellStyle name="Porcentual 3 7 2 3 3 2 2 2" xfId="61270" xr:uid="{00000000-0005-0000-0000-000068EF0000}"/>
    <cellStyle name="Porcentual 3 7 2 3 3 2 2 2 2" xfId="61271" xr:uid="{00000000-0005-0000-0000-000069EF0000}"/>
    <cellStyle name="Porcentual 3 7 2 3 3 2 2 3" xfId="61272" xr:uid="{00000000-0005-0000-0000-00006AEF0000}"/>
    <cellStyle name="Porcentual 3 7 2 3 3 2 2 4" xfId="61273" xr:uid="{00000000-0005-0000-0000-00006BEF0000}"/>
    <cellStyle name="Porcentual 3 7 2 3 3 2 3" xfId="61274" xr:uid="{00000000-0005-0000-0000-00006CEF0000}"/>
    <cellStyle name="Porcentual 3 7 2 3 3 2 3 2" xfId="61275" xr:uid="{00000000-0005-0000-0000-00006DEF0000}"/>
    <cellStyle name="Porcentual 3 7 2 3 3 2 4" xfId="61276" xr:uid="{00000000-0005-0000-0000-00006EEF0000}"/>
    <cellStyle name="Porcentual 3 7 2 3 3 2 5" xfId="61277" xr:uid="{00000000-0005-0000-0000-00006FEF0000}"/>
    <cellStyle name="Porcentual 3 7 2 3 3 3" xfId="61278" xr:uid="{00000000-0005-0000-0000-000070EF0000}"/>
    <cellStyle name="Porcentual 3 7 2 3 3 3 2" xfId="61279" xr:uid="{00000000-0005-0000-0000-000071EF0000}"/>
    <cellStyle name="Porcentual 3 7 2 3 3 3 2 2" xfId="61280" xr:uid="{00000000-0005-0000-0000-000072EF0000}"/>
    <cellStyle name="Porcentual 3 7 2 3 3 3 3" xfId="61281" xr:uid="{00000000-0005-0000-0000-000073EF0000}"/>
    <cellStyle name="Porcentual 3 7 2 3 3 3 3 2" xfId="61282" xr:uid="{00000000-0005-0000-0000-000074EF0000}"/>
    <cellStyle name="Porcentual 3 7 2 3 3 3 4" xfId="61283" xr:uid="{00000000-0005-0000-0000-000075EF0000}"/>
    <cellStyle name="Porcentual 3 7 2 3 3 3 5" xfId="61284" xr:uid="{00000000-0005-0000-0000-000076EF0000}"/>
    <cellStyle name="Porcentual 3 7 2 3 3 4" xfId="61285" xr:uid="{00000000-0005-0000-0000-000077EF0000}"/>
    <cellStyle name="Porcentual 3 7 2 3 3 4 2" xfId="61286" xr:uid="{00000000-0005-0000-0000-000078EF0000}"/>
    <cellStyle name="Porcentual 3 7 2 3 3 5" xfId="61287" xr:uid="{00000000-0005-0000-0000-000079EF0000}"/>
    <cellStyle name="Porcentual 3 7 2 3 3 5 2" xfId="61288" xr:uid="{00000000-0005-0000-0000-00007AEF0000}"/>
    <cellStyle name="Porcentual 3 7 2 3 3 6" xfId="61289" xr:uid="{00000000-0005-0000-0000-00007BEF0000}"/>
    <cellStyle name="Porcentual 3 7 2 3 3 7" xfId="61290" xr:uid="{00000000-0005-0000-0000-00007CEF0000}"/>
    <cellStyle name="Porcentual 3 7 2 3 4" xfId="61291" xr:uid="{00000000-0005-0000-0000-00007DEF0000}"/>
    <cellStyle name="Porcentual 3 7 2 3 4 2" xfId="61292" xr:uid="{00000000-0005-0000-0000-00007EEF0000}"/>
    <cellStyle name="Porcentual 3 7 2 3 4 2 2" xfId="61293" xr:uid="{00000000-0005-0000-0000-00007FEF0000}"/>
    <cellStyle name="Porcentual 3 7 2 3 4 2 2 2" xfId="61294" xr:uid="{00000000-0005-0000-0000-000080EF0000}"/>
    <cellStyle name="Porcentual 3 7 2 3 4 2 3" xfId="61295" xr:uid="{00000000-0005-0000-0000-000081EF0000}"/>
    <cellStyle name="Porcentual 3 7 2 3 4 2 4" xfId="61296" xr:uid="{00000000-0005-0000-0000-000082EF0000}"/>
    <cellStyle name="Porcentual 3 7 2 3 4 3" xfId="61297" xr:uid="{00000000-0005-0000-0000-000083EF0000}"/>
    <cellStyle name="Porcentual 3 7 2 3 4 3 2" xfId="61298" xr:uid="{00000000-0005-0000-0000-000084EF0000}"/>
    <cellStyle name="Porcentual 3 7 2 3 4 4" xfId="61299" xr:uid="{00000000-0005-0000-0000-000085EF0000}"/>
    <cellStyle name="Porcentual 3 7 2 3 4 5" xfId="61300" xr:uid="{00000000-0005-0000-0000-000086EF0000}"/>
    <cellStyle name="Porcentual 3 7 2 3 5" xfId="61301" xr:uid="{00000000-0005-0000-0000-000087EF0000}"/>
    <cellStyle name="Porcentual 3 7 2 3 5 2" xfId="61302" xr:uid="{00000000-0005-0000-0000-000088EF0000}"/>
    <cellStyle name="Porcentual 3 7 2 3 5 2 2" xfId="61303" xr:uid="{00000000-0005-0000-0000-000089EF0000}"/>
    <cellStyle name="Porcentual 3 7 2 3 5 3" xfId="61304" xr:uid="{00000000-0005-0000-0000-00008AEF0000}"/>
    <cellStyle name="Porcentual 3 7 2 3 5 3 2" xfId="61305" xr:uid="{00000000-0005-0000-0000-00008BEF0000}"/>
    <cellStyle name="Porcentual 3 7 2 3 5 4" xfId="61306" xr:uid="{00000000-0005-0000-0000-00008CEF0000}"/>
    <cellStyle name="Porcentual 3 7 2 3 5 5" xfId="61307" xr:uid="{00000000-0005-0000-0000-00008DEF0000}"/>
    <cellStyle name="Porcentual 3 7 2 3 6" xfId="61308" xr:uid="{00000000-0005-0000-0000-00008EEF0000}"/>
    <cellStyle name="Porcentual 3 7 2 3 6 2" xfId="61309" xr:uid="{00000000-0005-0000-0000-00008FEF0000}"/>
    <cellStyle name="Porcentual 3 7 2 3 7" xfId="61310" xr:uid="{00000000-0005-0000-0000-000090EF0000}"/>
    <cellStyle name="Porcentual 3 7 2 3 7 2" xfId="61311" xr:uid="{00000000-0005-0000-0000-000091EF0000}"/>
    <cellStyle name="Porcentual 3 7 2 3 8" xfId="61312" xr:uid="{00000000-0005-0000-0000-000092EF0000}"/>
    <cellStyle name="Porcentual 3 7 2 3 9" xfId="61313" xr:uid="{00000000-0005-0000-0000-000093EF0000}"/>
    <cellStyle name="Porcentual 3 7 2 4" xfId="61314" xr:uid="{00000000-0005-0000-0000-000094EF0000}"/>
    <cellStyle name="Porcentual 3 7 2 4 2" xfId="61315" xr:uid="{00000000-0005-0000-0000-000095EF0000}"/>
    <cellStyle name="Porcentual 3 7 2 4 2 2" xfId="61316" xr:uid="{00000000-0005-0000-0000-000096EF0000}"/>
    <cellStyle name="Porcentual 3 7 2 4 2 2 2" xfId="61317" xr:uid="{00000000-0005-0000-0000-000097EF0000}"/>
    <cellStyle name="Porcentual 3 7 2 4 2 2 2 2" xfId="61318" xr:uid="{00000000-0005-0000-0000-000098EF0000}"/>
    <cellStyle name="Porcentual 3 7 2 4 2 2 2 2 2" xfId="61319" xr:uid="{00000000-0005-0000-0000-000099EF0000}"/>
    <cellStyle name="Porcentual 3 7 2 4 2 2 2 3" xfId="61320" xr:uid="{00000000-0005-0000-0000-00009AEF0000}"/>
    <cellStyle name="Porcentual 3 7 2 4 2 2 2 4" xfId="61321" xr:uid="{00000000-0005-0000-0000-00009BEF0000}"/>
    <cellStyle name="Porcentual 3 7 2 4 2 2 3" xfId="61322" xr:uid="{00000000-0005-0000-0000-00009CEF0000}"/>
    <cellStyle name="Porcentual 3 7 2 4 2 2 3 2" xfId="61323" xr:uid="{00000000-0005-0000-0000-00009DEF0000}"/>
    <cellStyle name="Porcentual 3 7 2 4 2 2 4" xfId="61324" xr:uid="{00000000-0005-0000-0000-00009EEF0000}"/>
    <cellStyle name="Porcentual 3 7 2 4 2 2 5" xfId="61325" xr:uid="{00000000-0005-0000-0000-00009FEF0000}"/>
    <cellStyle name="Porcentual 3 7 2 4 2 3" xfId="61326" xr:uid="{00000000-0005-0000-0000-0000A0EF0000}"/>
    <cellStyle name="Porcentual 3 7 2 4 2 3 2" xfId="61327" xr:uid="{00000000-0005-0000-0000-0000A1EF0000}"/>
    <cellStyle name="Porcentual 3 7 2 4 2 3 2 2" xfId="61328" xr:uid="{00000000-0005-0000-0000-0000A2EF0000}"/>
    <cellStyle name="Porcentual 3 7 2 4 2 3 3" xfId="61329" xr:uid="{00000000-0005-0000-0000-0000A3EF0000}"/>
    <cellStyle name="Porcentual 3 7 2 4 2 3 3 2" xfId="61330" xr:uid="{00000000-0005-0000-0000-0000A4EF0000}"/>
    <cellStyle name="Porcentual 3 7 2 4 2 3 4" xfId="61331" xr:uid="{00000000-0005-0000-0000-0000A5EF0000}"/>
    <cellStyle name="Porcentual 3 7 2 4 2 3 5" xfId="61332" xr:uid="{00000000-0005-0000-0000-0000A6EF0000}"/>
    <cellStyle name="Porcentual 3 7 2 4 2 4" xfId="61333" xr:uid="{00000000-0005-0000-0000-0000A7EF0000}"/>
    <cellStyle name="Porcentual 3 7 2 4 2 4 2" xfId="61334" xr:uid="{00000000-0005-0000-0000-0000A8EF0000}"/>
    <cellStyle name="Porcentual 3 7 2 4 2 5" xfId="61335" xr:uid="{00000000-0005-0000-0000-0000A9EF0000}"/>
    <cellStyle name="Porcentual 3 7 2 4 2 5 2" xfId="61336" xr:uid="{00000000-0005-0000-0000-0000AAEF0000}"/>
    <cellStyle name="Porcentual 3 7 2 4 2 6" xfId="61337" xr:uid="{00000000-0005-0000-0000-0000ABEF0000}"/>
    <cellStyle name="Porcentual 3 7 2 4 2 7" xfId="61338" xr:uid="{00000000-0005-0000-0000-0000ACEF0000}"/>
    <cellStyle name="Porcentual 3 7 2 4 3" xfId="61339" xr:uid="{00000000-0005-0000-0000-0000ADEF0000}"/>
    <cellStyle name="Porcentual 3 7 2 4 3 2" xfId="61340" xr:uid="{00000000-0005-0000-0000-0000AEEF0000}"/>
    <cellStyle name="Porcentual 3 7 2 4 3 2 2" xfId="61341" xr:uid="{00000000-0005-0000-0000-0000AFEF0000}"/>
    <cellStyle name="Porcentual 3 7 2 4 3 2 2 2" xfId="61342" xr:uid="{00000000-0005-0000-0000-0000B0EF0000}"/>
    <cellStyle name="Porcentual 3 7 2 4 3 2 3" xfId="61343" xr:uid="{00000000-0005-0000-0000-0000B1EF0000}"/>
    <cellStyle name="Porcentual 3 7 2 4 3 2 4" xfId="61344" xr:uid="{00000000-0005-0000-0000-0000B2EF0000}"/>
    <cellStyle name="Porcentual 3 7 2 4 3 3" xfId="61345" xr:uid="{00000000-0005-0000-0000-0000B3EF0000}"/>
    <cellStyle name="Porcentual 3 7 2 4 3 3 2" xfId="61346" xr:uid="{00000000-0005-0000-0000-0000B4EF0000}"/>
    <cellStyle name="Porcentual 3 7 2 4 3 4" xfId="61347" xr:uid="{00000000-0005-0000-0000-0000B5EF0000}"/>
    <cellStyle name="Porcentual 3 7 2 4 3 5" xfId="61348" xr:uid="{00000000-0005-0000-0000-0000B6EF0000}"/>
    <cellStyle name="Porcentual 3 7 2 4 4" xfId="61349" xr:uid="{00000000-0005-0000-0000-0000B7EF0000}"/>
    <cellStyle name="Porcentual 3 7 2 4 4 2" xfId="61350" xr:uid="{00000000-0005-0000-0000-0000B8EF0000}"/>
    <cellStyle name="Porcentual 3 7 2 4 4 2 2" xfId="61351" xr:uid="{00000000-0005-0000-0000-0000B9EF0000}"/>
    <cellStyle name="Porcentual 3 7 2 4 4 3" xfId="61352" xr:uid="{00000000-0005-0000-0000-0000BAEF0000}"/>
    <cellStyle name="Porcentual 3 7 2 4 4 3 2" xfId="61353" xr:uid="{00000000-0005-0000-0000-0000BBEF0000}"/>
    <cellStyle name="Porcentual 3 7 2 4 4 4" xfId="61354" xr:uid="{00000000-0005-0000-0000-0000BCEF0000}"/>
    <cellStyle name="Porcentual 3 7 2 4 4 5" xfId="61355" xr:uid="{00000000-0005-0000-0000-0000BDEF0000}"/>
    <cellStyle name="Porcentual 3 7 2 4 5" xfId="61356" xr:uid="{00000000-0005-0000-0000-0000BEEF0000}"/>
    <cellStyle name="Porcentual 3 7 2 4 5 2" xfId="61357" xr:uid="{00000000-0005-0000-0000-0000BFEF0000}"/>
    <cellStyle name="Porcentual 3 7 2 4 6" xfId="61358" xr:uid="{00000000-0005-0000-0000-0000C0EF0000}"/>
    <cellStyle name="Porcentual 3 7 2 4 6 2" xfId="61359" xr:uid="{00000000-0005-0000-0000-0000C1EF0000}"/>
    <cellStyle name="Porcentual 3 7 2 4 7" xfId="61360" xr:uid="{00000000-0005-0000-0000-0000C2EF0000}"/>
    <cellStyle name="Porcentual 3 7 2 4 8" xfId="61361" xr:uid="{00000000-0005-0000-0000-0000C3EF0000}"/>
    <cellStyle name="Porcentual 3 7 2 5" xfId="61362" xr:uid="{00000000-0005-0000-0000-0000C4EF0000}"/>
    <cellStyle name="Porcentual 3 7 2 5 2" xfId="61363" xr:uid="{00000000-0005-0000-0000-0000C5EF0000}"/>
    <cellStyle name="Porcentual 3 7 2 5 2 2" xfId="61364" xr:uid="{00000000-0005-0000-0000-0000C6EF0000}"/>
    <cellStyle name="Porcentual 3 7 2 5 2 2 2" xfId="61365" xr:uid="{00000000-0005-0000-0000-0000C7EF0000}"/>
    <cellStyle name="Porcentual 3 7 2 5 2 2 2 2" xfId="61366" xr:uid="{00000000-0005-0000-0000-0000C8EF0000}"/>
    <cellStyle name="Porcentual 3 7 2 5 2 2 3" xfId="61367" xr:uid="{00000000-0005-0000-0000-0000C9EF0000}"/>
    <cellStyle name="Porcentual 3 7 2 5 2 2 4" xfId="61368" xr:uid="{00000000-0005-0000-0000-0000CAEF0000}"/>
    <cellStyle name="Porcentual 3 7 2 5 2 3" xfId="61369" xr:uid="{00000000-0005-0000-0000-0000CBEF0000}"/>
    <cellStyle name="Porcentual 3 7 2 5 2 3 2" xfId="61370" xr:uid="{00000000-0005-0000-0000-0000CCEF0000}"/>
    <cellStyle name="Porcentual 3 7 2 5 2 4" xfId="61371" xr:uid="{00000000-0005-0000-0000-0000CDEF0000}"/>
    <cellStyle name="Porcentual 3 7 2 5 2 5" xfId="61372" xr:uid="{00000000-0005-0000-0000-0000CEEF0000}"/>
    <cellStyle name="Porcentual 3 7 2 5 3" xfId="61373" xr:uid="{00000000-0005-0000-0000-0000CFEF0000}"/>
    <cellStyle name="Porcentual 3 7 2 5 3 2" xfId="61374" xr:uid="{00000000-0005-0000-0000-0000D0EF0000}"/>
    <cellStyle name="Porcentual 3 7 2 5 3 2 2" xfId="61375" xr:uid="{00000000-0005-0000-0000-0000D1EF0000}"/>
    <cellStyle name="Porcentual 3 7 2 5 3 3" xfId="61376" xr:uid="{00000000-0005-0000-0000-0000D2EF0000}"/>
    <cellStyle name="Porcentual 3 7 2 5 3 3 2" xfId="61377" xr:uid="{00000000-0005-0000-0000-0000D3EF0000}"/>
    <cellStyle name="Porcentual 3 7 2 5 3 4" xfId="61378" xr:uid="{00000000-0005-0000-0000-0000D4EF0000}"/>
    <cellStyle name="Porcentual 3 7 2 5 3 5" xfId="61379" xr:uid="{00000000-0005-0000-0000-0000D5EF0000}"/>
    <cellStyle name="Porcentual 3 7 2 5 4" xfId="61380" xr:uid="{00000000-0005-0000-0000-0000D6EF0000}"/>
    <cellStyle name="Porcentual 3 7 2 5 4 2" xfId="61381" xr:uid="{00000000-0005-0000-0000-0000D7EF0000}"/>
    <cellStyle name="Porcentual 3 7 2 5 5" xfId="61382" xr:uid="{00000000-0005-0000-0000-0000D8EF0000}"/>
    <cellStyle name="Porcentual 3 7 2 5 5 2" xfId="61383" xr:uid="{00000000-0005-0000-0000-0000D9EF0000}"/>
    <cellStyle name="Porcentual 3 7 2 5 6" xfId="61384" xr:uid="{00000000-0005-0000-0000-0000DAEF0000}"/>
    <cellStyle name="Porcentual 3 7 2 5 7" xfId="61385" xr:uid="{00000000-0005-0000-0000-0000DBEF0000}"/>
    <cellStyle name="Porcentual 3 7 2 6" xfId="61386" xr:uid="{00000000-0005-0000-0000-0000DCEF0000}"/>
    <cellStyle name="Porcentual 3 7 2 6 2" xfId="61387" xr:uid="{00000000-0005-0000-0000-0000DDEF0000}"/>
    <cellStyle name="Porcentual 3 7 2 6 2 2" xfId="61388" xr:uid="{00000000-0005-0000-0000-0000DEEF0000}"/>
    <cellStyle name="Porcentual 3 7 2 6 2 2 2" xfId="61389" xr:uid="{00000000-0005-0000-0000-0000DFEF0000}"/>
    <cellStyle name="Porcentual 3 7 2 6 2 3" xfId="61390" xr:uid="{00000000-0005-0000-0000-0000E0EF0000}"/>
    <cellStyle name="Porcentual 3 7 2 6 2 4" xfId="61391" xr:uid="{00000000-0005-0000-0000-0000E1EF0000}"/>
    <cellStyle name="Porcentual 3 7 2 6 3" xfId="61392" xr:uid="{00000000-0005-0000-0000-0000E2EF0000}"/>
    <cellStyle name="Porcentual 3 7 2 6 3 2" xfId="61393" xr:uid="{00000000-0005-0000-0000-0000E3EF0000}"/>
    <cellStyle name="Porcentual 3 7 2 6 4" xfId="61394" xr:uid="{00000000-0005-0000-0000-0000E4EF0000}"/>
    <cellStyle name="Porcentual 3 7 2 6 5" xfId="61395" xr:uid="{00000000-0005-0000-0000-0000E5EF0000}"/>
    <cellStyle name="Porcentual 3 7 2 7" xfId="61396" xr:uid="{00000000-0005-0000-0000-0000E6EF0000}"/>
    <cellStyle name="Porcentual 3 7 2 7 2" xfId="61397" xr:uid="{00000000-0005-0000-0000-0000E7EF0000}"/>
    <cellStyle name="Porcentual 3 7 2 7 2 2" xfId="61398" xr:uid="{00000000-0005-0000-0000-0000E8EF0000}"/>
    <cellStyle name="Porcentual 3 7 2 7 3" xfId="61399" xr:uid="{00000000-0005-0000-0000-0000E9EF0000}"/>
    <cellStyle name="Porcentual 3 7 2 7 3 2" xfId="61400" xr:uid="{00000000-0005-0000-0000-0000EAEF0000}"/>
    <cellStyle name="Porcentual 3 7 2 7 4" xfId="61401" xr:uid="{00000000-0005-0000-0000-0000EBEF0000}"/>
    <cellStyle name="Porcentual 3 7 2 7 5" xfId="61402" xr:uid="{00000000-0005-0000-0000-0000ECEF0000}"/>
    <cellStyle name="Porcentual 3 7 2 8" xfId="61403" xr:uid="{00000000-0005-0000-0000-0000EDEF0000}"/>
    <cellStyle name="Porcentual 3 7 2 8 2" xfId="61404" xr:uid="{00000000-0005-0000-0000-0000EEEF0000}"/>
    <cellStyle name="Porcentual 3 7 2 9" xfId="61405" xr:uid="{00000000-0005-0000-0000-0000EFEF0000}"/>
    <cellStyle name="Porcentual 3 7 2 9 2" xfId="61406" xr:uid="{00000000-0005-0000-0000-0000F0EF0000}"/>
    <cellStyle name="Porcentual 3 7 3" xfId="61407" xr:uid="{00000000-0005-0000-0000-0000F1EF0000}"/>
    <cellStyle name="Porcentual 3 7 3 10" xfId="61408" xr:uid="{00000000-0005-0000-0000-0000F2EF0000}"/>
    <cellStyle name="Porcentual 3 7 3 2" xfId="61409" xr:uid="{00000000-0005-0000-0000-0000F3EF0000}"/>
    <cellStyle name="Porcentual 3 7 3 2 2" xfId="61410" xr:uid="{00000000-0005-0000-0000-0000F4EF0000}"/>
    <cellStyle name="Porcentual 3 7 3 2 2 2" xfId="61411" xr:uid="{00000000-0005-0000-0000-0000F5EF0000}"/>
    <cellStyle name="Porcentual 3 7 3 2 2 2 2" xfId="61412" xr:uid="{00000000-0005-0000-0000-0000F6EF0000}"/>
    <cellStyle name="Porcentual 3 7 3 2 2 2 2 2" xfId="61413" xr:uid="{00000000-0005-0000-0000-0000F7EF0000}"/>
    <cellStyle name="Porcentual 3 7 3 2 2 2 2 2 2" xfId="61414" xr:uid="{00000000-0005-0000-0000-0000F8EF0000}"/>
    <cellStyle name="Porcentual 3 7 3 2 2 2 2 2 2 2" xfId="61415" xr:uid="{00000000-0005-0000-0000-0000F9EF0000}"/>
    <cellStyle name="Porcentual 3 7 3 2 2 2 2 2 3" xfId="61416" xr:uid="{00000000-0005-0000-0000-0000FAEF0000}"/>
    <cellStyle name="Porcentual 3 7 3 2 2 2 2 2 4" xfId="61417" xr:uid="{00000000-0005-0000-0000-0000FBEF0000}"/>
    <cellStyle name="Porcentual 3 7 3 2 2 2 2 3" xfId="61418" xr:uid="{00000000-0005-0000-0000-0000FCEF0000}"/>
    <cellStyle name="Porcentual 3 7 3 2 2 2 2 3 2" xfId="61419" xr:uid="{00000000-0005-0000-0000-0000FDEF0000}"/>
    <cellStyle name="Porcentual 3 7 3 2 2 2 2 4" xfId="61420" xr:uid="{00000000-0005-0000-0000-0000FEEF0000}"/>
    <cellStyle name="Porcentual 3 7 3 2 2 2 2 5" xfId="61421" xr:uid="{00000000-0005-0000-0000-0000FFEF0000}"/>
    <cellStyle name="Porcentual 3 7 3 2 2 2 3" xfId="61422" xr:uid="{00000000-0005-0000-0000-000000F00000}"/>
    <cellStyle name="Porcentual 3 7 3 2 2 2 3 2" xfId="61423" xr:uid="{00000000-0005-0000-0000-000001F00000}"/>
    <cellStyle name="Porcentual 3 7 3 2 2 2 3 2 2" xfId="61424" xr:uid="{00000000-0005-0000-0000-000002F00000}"/>
    <cellStyle name="Porcentual 3 7 3 2 2 2 3 3" xfId="61425" xr:uid="{00000000-0005-0000-0000-000003F00000}"/>
    <cellStyle name="Porcentual 3 7 3 2 2 2 3 4" xfId="61426" xr:uid="{00000000-0005-0000-0000-000004F00000}"/>
    <cellStyle name="Porcentual 3 7 3 2 2 2 4" xfId="61427" xr:uid="{00000000-0005-0000-0000-000005F00000}"/>
    <cellStyle name="Porcentual 3 7 3 2 2 2 4 2" xfId="61428" xr:uid="{00000000-0005-0000-0000-000006F00000}"/>
    <cellStyle name="Porcentual 3 7 3 2 2 2 5" xfId="61429" xr:uid="{00000000-0005-0000-0000-000007F00000}"/>
    <cellStyle name="Porcentual 3 7 3 2 2 2 6" xfId="61430" xr:uid="{00000000-0005-0000-0000-000008F00000}"/>
    <cellStyle name="Porcentual 3 7 3 2 2 3" xfId="61431" xr:uid="{00000000-0005-0000-0000-000009F00000}"/>
    <cellStyle name="Porcentual 3 7 3 2 2 3 2" xfId="61432" xr:uid="{00000000-0005-0000-0000-00000AF00000}"/>
    <cellStyle name="Porcentual 3 7 3 2 2 3 2 2" xfId="61433" xr:uid="{00000000-0005-0000-0000-00000BF00000}"/>
    <cellStyle name="Porcentual 3 7 3 2 2 3 2 2 2" xfId="61434" xr:uid="{00000000-0005-0000-0000-00000CF00000}"/>
    <cellStyle name="Porcentual 3 7 3 2 2 3 2 3" xfId="61435" xr:uid="{00000000-0005-0000-0000-00000DF00000}"/>
    <cellStyle name="Porcentual 3 7 3 2 2 3 2 4" xfId="61436" xr:uid="{00000000-0005-0000-0000-00000EF00000}"/>
    <cellStyle name="Porcentual 3 7 3 2 2 3 3" xfId="61437" xr:uid="{00000000-0005-0000-0000-00000FF00000}"/>
    <cellStyle name="Porcentual 3 7 3 2 2 3 3 2" xfId="61438" xr:uid="{00000000-0005-0000-0000-000010F00000}"/>
    <cellStyle name="Porcentual 3 7 3 2 2 3 4" xfId="61439" xr:uid="{00000000-0005-0000-0000-000011F00000}"/>
    <cellStyle name="Porcentual 3 7 3 2 2 3 5" xfId="61440" xr:uid="{00000000-0005-0000-0000-000012F00000}"/>
    <cellStyle name="Porcentual 3 7 3 2 2 4" xfId="61441" xr:uid="{00000000-0005-0000-0000-000013F00000}"/>
    <cellStyle name="Porcentual 3 7 3 2 2 4 2" xfId="61442" xr:uid="{00000000-0005-0000-0000-000014F00000}"/>
    <cellStyle name="Porcentual 3 7 3 2 2 4 2 2" xfId="61443" xr:uid="{00000000-0005-0000-0000-000015F00000}"/>
    <cellStyle name="Porcentual 3 7 3 2 2 4 3" xfId="61444" xr:uid="{00000000-0005-0000-0000-000016F00000}"/>
    <cellStyle name="Porcentual 3 7 3 2 2 4 4" xfId="61445" xr:uid="{00000000-0005-0000-0000-000017F00000}"/>
    <cellStyle name="Porcentual 3 7 3 2 2 5" xfId="61446" xr:uid="{00000000-0005-0000-0000-000018F00000}"/>
    <cellStyle name="Porcentual 3 7 3 2 2 5 2" xfId="61447" xr:uid="{00000000-0005-0000-0000-000019F00000}"/>
    <cellStyle name="Porcentual 3 7 3 2 2 6" xfId="61448" xr:uid="{00000000-0005-0000-0000-00001AF00000}"/>
    <cellStyle name="Porcentual 3 7 3 2 2 7" xfId="61449" xr:uid="{00000000-0005-0000-0000-00001BF00000}"/>
    <cellStyle name="Porcentual 3 7 3 2 3" xfId="61450" xr:uid="{00000000-0005-0000-0000-00001CF00000}"/>
    <cellStyle name="Porcentual 3 7 3 2 3 2" xfId="61451" xr:uid="{00000000-0005-0000-0000-00001DF00000}"/>
    <cellStyle name="Porcentual 3 7 3 2 3 2 2" xfId="61452" xr:uid="{00000000-0005-0000-0000-00001EF00000}"/>
    <cellStyle name="Porcentual 3 7 3 2 3 2 2 2" xfId="61453" xr:uid="{00000000-0005-0000-0000-00001FF00000}"/>
    <cellStyle name="Porcentual 3 7 3 2 3 2 2 2 2" xfId="61454" xr:uid="{00000000-0005-0000-0000-000020F00000}"/>
    <cellStyle name="Porcentual 3 7 3 2 3 2 2 3" xfId="61455" xr:uid="{00000000-0005-0000-0000-000021F00000}"/>
    <cellStyle name="Porcentual 3 7 3 2 3 2 2 4" xfId="61456" xr:uid="{00000000-0005-0000-0000-000022F00000}"/>
    <cellStyle name="Porcentual 3 7 3 2 3 2 3" xfId="61457" xr:uid="{00000000-0005-0000-0000-000023F00000}"/>
    <cellStyle name="Porcentual 3 7 3 2 3 2 3 2" xfId="61458" xr:uid="{00000000-0005-0000-0000-000024F00000}"/>
    <cellStyle name="Porcentual 3 7 3 2 3 2 4" xfId="61459" xr:uid="{00000000-0005-0000-0000-000025F00000}"/>
    <cellStyle name="Porcentual 3 7 3 2 3 2 5" xfId="61460" xr:uid="{00000000-0005-0000-0000-000026F00000}"/>
    <cellStyle name="Porcentual 3 7 3 2 3 3" xfId="61461" xr:uid="{00000000-0005-0000-0000-000027F00000}"/>
    <cellStyle name="Porcentual 3 7 3 2 3 3 2" xfId="61462" xr:uid="{00000000-0005-0000-0000-000028F00000}"/>
    <cellStyle name="Porcentual 3 7 3 2 3 3 2 2" xfId="61463" xr:uid="{00000000-0005-0000-0000-000029F00000}"/>
    <cellStyle name="Porcentual 3 7 3 2 3 3 3" xfId="61464" xr:uid="{00000000-0005-0000-0000-00002AF00000}"/>
    <cellStyle name="Porcentual 3 7 3 2 3 3 3 2" xfId="61465" xr:uid="{00000000-0005-0000-0000-00002BF00000}"/>
    <cellStyle name="Porcentual 3 7 3 2 3 3 4" xfId="61466" xr:uid="{00000000-0005-0000-0000-00002CF00000}"/>
    <cellStyle name="Porcentual 3 7 3 2 3 3 5" xfId="61467" xr:uid="{00000000-0005-0000-0000-00002DF00000}"/>
    <cellStyle name="Porcentual 3 7 3 2 3 4" xfId="61468" xr:uid="{00000000-0005-0000-0000-00002EF00000}"/>
    <cellStyle name="Porcentual 3 7 3 2 3 4 2" xfId="61469" xr:uid="{00000000-0005-0000-0000-00002FF00000}"/>
    <cellStyle name="Porcentual 3 7 3 2 3 5" xfId="61470" xr:uid="{00000000-0005-0000-0000-000030F00000}"/>
    <cellStyle name="Porcentual 3 7 3 2 3 5 2" xfId="61471" xr:uid="{00000000-0005-0000-0000-000031F00000}"/>
    <cellStyle name="Porcentual 3 7 3 2 3 6" xfId="61472" xr:uid="{00000000-0005-0000-0000-000032F00000}"/>
    <cellStyle name="Porcentual 3 7 3 2 3 7" xfId="61473" xr:uid="{00000000-0005-0000-0000-000033F00000}"/>
    <cellStyle name="Porcentual 3 7 3 2 4" xfId="61474" xr:uid="{00000000-0005-0000-0000-000034F00000}"/>
    <cellStyle name="Porcentual 3 7 3 2 4 2" xfId="61475" xr:uid="{00000000-0005-0000-0000-000035F00000}"/>
    <cellStyle name="Porcentual 3 7 3 2 4 2 2" xfId="61476" xr:uid="{00000000-0005-0000-0000-000036F00000}"/>
    <cellStyle name="Porcentual 3 7 3 2 4 2 2 2" xfId="61477" xr:uid="{00000000-0005-0000-0000-000037F00000}"/>
    <cellStyle name="Porcentual 3 7 3 2 4 2 3" xfId="61478" xr:uid="{00000000-0005-0000-0000-000038F00000}"/>
    <cellStyle name="Porcentual 3 7 3 2 4 2 4" xfId="61479" xr:uid="{00000000-0005-0000-0000-000039F00000}"/>
    <cellStyle name="Porcentual 3 7 3 2 4 3" xfId="61480" xr:uid="{00000000-0005-0000-0000-00003AF00000}"/>
    <cellStyle name="Porcentual 3 7 3 2 4 3 2" xfId="61481" xr:uid="{00000000-0005-0000-0000-00003BF00000}"/>
    <cellStyle name="Porcentual 3 7 3 2 4 4" xfId="61482" xr:uid="{00000000-0005-0000-0000-00003CF00000}"/>
    <cellStyle name="Porcentual 3 7 3 2 4 5" xfId="61483" xr:uid="{00000000-0005-0000-0000-00003DF00000}"/>
    <cellStyle name="Porcentual 3 7 3 2 5" xfId="61484" xr:uid="{00000000-0005-0000-0000-00003EF00000}"/>
    <cellStyle name="Porcentual 3 7 3 2 5 2" xfId="61485" xr:uid="{00000000-0005-0000-0000-00003FF00000}"/>
    <cellStyle name="Porcentual 3 7 3 2 5 2 2" xfId="61486" xr:uid="{00000000-0005-0000-0000-000040F00000}"/>
    <cellStyle name="Porcentual 3 7 3 2 5 3" xfId="61487" xr:uid="{00000000-0005-0000-0000-000041F00000}"/>
    <cellStyle name="Porcentual 3 7 3 2 5 3 2" xfId="61488" xr:uid="{00000000-0005-0000-0000-000042F00000}"/>
    <cellStyle name="Porcentual 3 7 3 2 5 4" xfId="61489" xr:uid="{00000000-0005-0000-0000-000043F00000}"/>
    <cellStyle name="Porcentual 3 7 3 2 5 5" xfId="61490" xr:uid="{00000000-0005-0000-0000-000044F00000}"/>
    <cellStyle name="Porcentual 3 7 3 2 6" xfId="61491" xr:uid="{00000000-0005-0000-0000-000045F00000}"/>
    <cellStyle name="Porcentual 3 7 3 2 6 2" xfId="61492" xr:uid="{00000000-0005-0000-0000-000046F00000}"/>
    <cellStyle name="Porcentual 3 7 3 2 7" xfId="61493" xr:uid="{00000000-0005-0000-0000-000047F00000}"/>
    <cellStyle name="Porcentual 3 7 3 2 7 2" xfId="61494" xr:uid="{00000000-0005-0000-0000-000048F00000}"/>
    <cellStyle name="Porcentual 3 7 3 2 8" xfId="61495" xr:uid="{00000000-0005-0000-0000-000049F00000}"/>
    <cellStyle name="Porcentual 3 7 3 2 9" xfId="61496" xr:uid="{00000000-0005-0000-0000-00004AF00000}"/>
    <cellStyle name="Porcentual 3 7 3 3" xfId="61497" xr:uid="{00000000-0005-0000-0000-00004BF00000}"/>
    <cellStyle name="Porcentual 3 7 3 3 2" xfId="61498" xr:uid="{00000000-0005-0000-0000-00004CF00000}"/>
    <cellStyle name="Porcentual 3 7 3 3 2 2" xfId="61499" xr:uid="{00000000-0005-0000-0000-00004DF00000}"/>
    <cellStyle name="Porcentual 3 7 3 3 2 2 2" xfId="61500" xr:uid="{00000000-0005-0000-0000-00004EF00000}"/>
    <cellStyle name="Porcentual 3 7 3 3 2 2 2 2" xfId="61501" xr:uid="{00000000-0005-0000-0000-00004FF00000}"/>
    <cellStyle name="Porcentual 3 7 3 3 2 2 2 2 2" xfId="61502" xr:uid="{00000000-0005-0000-0000-000050F00000}"/>
    <cellStyle name="Porcentual 3 7 3 3 2 2 2 3" xfId="61503" xr:uid="{00000000-0005-0000-0000-000051F00000}"/>
    <cellStyle name="Porcentual 3 7 3 3 2 2 2 4" xfId="61504" xr:uid="{00000000-0005-0000-0000-000052F00000}"/>
    <cellStyle name="Porcentual 3 7 3 3 2 2 3" xfId="61505" xr:uid="{00000000-0005-0000-0000-000053F00000}"/>
    <cellStyle name="Porcentual 3 7 3 3 2 2 3 2" xfId="61506" xr:uid="{00000000-0005-0000-0000-000054F00000}"/>
    <cellStyle name="Porcentual 3 7 3 3 2 2 4" xfId="61507" xr:uid="{00000000-0005-0000-0000-000055F00000}"/>
    <cellStyle name="Porcentual 3 7 3 3 2 2 5" xfId="61508" xr:uid="{00000000-0005-0000-0000-000056F00000}"/>
    <cellStyle name="Porcentual 3 7 3 3 2 3" xfId="61509" xr:uid="{00000000-0005-0000-0000-000057F00000}"/>
    <cellStyle name="Porcentual 3 7 3 3 2 3 2" xfId="61510" xr:uid="{00000000-0005-0000-0000-000058F00000}"/>
    <cellStyle name="Porcentual 3 7 3 3 2 3 2 2" xfId="61511" xr:uid="{00000000-0005-0000-0000-000059F00000}"/>
    <cellStyle name="Porcentual 3 7 3 3 2 3 3" xfId="61512" xr:uid="{00000000-0005-0000-0000-00005AF00000}"/>
    <cellStyle name="Porcentual 3 7 3 3 2 3 4" xfId="61513" xr:uid="{00000000-0005-0000-0000-00005BF00000}"/>
    <cellStyle name="Porcentual 3 7 3 3 2 4" xfId="61514" xr:uid="{00000000-0005-0000-0000-00005CF00000}"/>
    <cellStyle name="Porcentual 3 7 3 3 2 4 2" xfId="61515" xr:uid="{00000000-0005-0000-0000-00005DF00000}"/>
    <cellStyle name="Porcentual 3 7 3 3 2 5" xfId="61516" xr:uid="{00000000-0005-0000-0000-00005EF00000}"/>
    <cellStyle name="Porcentual 3 7 3 3 2 6" xfId="61517" xr:uid="{00000000-0005-0000-0000-00005FF00000}"/>
    <cellStyle name="Porcentual 3 7 3 3 3" xfId="61518" xr:uid="{00000000-0005-0000-0000-000060F00000}"/>
    <cellStyle name="Porcentual 3 7 3 3 3 2" xfId="61519" xr:uid="{00000000-0005-0000-0000-000061F00000}"/>
    <cellStyle name="Porcentual 3 7 3 3 3 2 2" xfId="61520" xr:uid="{00000000-0005-0000-0000-000062F00000}"/>
    <cellStyle name="Porcentual 3 7 3 3 3 2 2 2" xfId="61521" xr:uid="{00000000-0005-0000-0000-000063F00000}"/>
    <cellStyle name="Porcentual 3 7 3 3 3 2 3" xfId="61522" xr:uid="{00000000-0005-0000-0000-000064F00000}"/>
    <cellStyle name="Porcentual 3 7 3 3 3 2 4" xfId="61523" xr:uid="{00000000-0005-0000-0000-000065F00000}"/>
    <cellStyle name="Porcentual 3 7 3 3 3 3" xfId="61524" xr:uid="{00000000-0005-0000-0000-000066F00000}"/>
    <cellStyle name="Porcentual 3 7 3 3 3 3 2" xfId="61525" xr:uid="{00000000-0005-0000-0000-000067F00000}"/>
    <cellStyle name="Porcentual 3 7 3 3 3 4" xfId="61526" xr:uid="{00000000-0005-0000-0000-000068F00000}"/>
    <cellStyle name="Porcentual 3 7 3 3 3 5" xfId="61527" xr:uid="{00000000-0005-0000-0000-000069F00000}"/>
    <cellStyle name="Porcentual 3 7 3 3 4" xfId="61528" xr:uid="{00000000-0005-0000-0000-00006AF00000}"/>
    <cellStyle name="Porcentual 3 7 3 3 4 2" xfId="61529" xr:uid="{00000000-0005-0000-0000-00006BF00000}"/>
    <cellStyle name="Porcentual 3 7 3 3 4 2 2" xfId="61530" xr:uid="{00000000-0005-0000-0000-00006CF00000}"/>
    <cellStyle name="Porcentual 3 7 3 3 4 3" xfId="61531" xr:uid="{00000000-0005-0000-0000-00006DF00000}"/>
    <cellStyle name="Porcentual 3 7 3 3 4 4" xfId="61532" xr:uid="{00000000-0005-0000-0000-00006EF00000}"/>
    <cellStyle name="Porcentual 3 7 3 3 5" xfId="61533" xr:uid="{00000000-0005-0000-0000-00006FF00000}"/>
    <cellStyle name="Porcentual 3 7 3 3 5 2" xfId="61534" xr:uid="{00000000-0005-0000-0000-000070F00000}"/>
    <cellStyle name="Porcentual 3 7 3 3 6" xfId="61535" xr:uid="{00000000-0005-0000-0000-000071F00000}"/>
    <cellStyle name="Porcentual 3 7 3 3 7" xfId="61536" xr:uid="{00000000-0005-0000-0000-000072F00000}"/>
    <cellStyle name="Porcentual 3 7 3 4" xfId="61537" xr:uid="{00000000-0005-0000-0000-000073F00000}"/>
    <cellStyle name="Porcentual 3 7 3 4 2" xfId="61538" xr:uid="{00000000-0005-0000-0000-000074F00000}"/>
    <cellStyle name="Porcentual 3 7 3 4 2 2" xfId="61539" xr:uid="{00000000-0005-0000-0000-000075F00000}"/>
    <cellStyle name="Porcentual 3 7 3 4 2 2 2" xfId="61540" xr:uid="{00000000-0005-0000-0000-000076F00000}"/>
    <cellStyle name="Porcentual 3 7 3 4 2 2 2 2" xfId="61541" xr:uid="{00000000-0005-0000-0000-000077F00000}"/>
    <cellStyle name="Porcentual 3 7 3 4 2 2 3" xfId="61542" xr:uid="{00000000-0005-0000-0000-000078F00000}"/>
    <cellStyle name="Porcentual 3 7 3 4 2 2 4" xfId="61543" xr:uid="{00000000-0005-0000-0000-000079F00000}"/>
    <cellStyle name="Porcentual 3 7 3 4 2 3" xfId="61544" xr:uid="{00000000-0005-0000-0000-00007AF00000}"/>
    <cellStyle name="Porcentual 3 7 3 4 2 3 2" xfId="61545" xr:uid="{00000000-0005-0000-0000-00007BF00000}"/>
    <cellStyle name="Porcentual 3 7 3 4 2 4" xfId="61546" xr:uid="{00000000-0005-0000-0000-00007CF00000}"/>
    <cellStyle name="Porcentual 3 7 3 4 2 5" xfId="61547" xr:uid="{00000000-0005-0000-0000-00007DF00000}"/>
    <cellStyle name="Porcentual 3 7 3 4 3" xfId="61548" xr:uid="{00000000-0005-0000-0000-00007EF00000}"/>
    <cellStyle name="Porcentual 3 7 3 4 3 2" xfId="61549" xr:uid="{00000000-0005-0000-0000-00007FF00000}"/>
    <cellStyle name="Porcentual 3 7 3 4 3 2 2" xfId="61550" xr:uid="{00000000-0005-0000-0000-000080F00000}"/>
    <cellStyle name="Porcentual 3 7 3 4 3 3" xfId="61551" xr:uid="{00000000-0005-0000-0000-000081F00000}"/>
    <cellStyle name="Porcentual 3 7 3 4 3 3 2" xfId="61552" xr:uid="{00000000-0005-0000-0000-000082F00000}"/>
    <cellStyle name="Porcentual 3 7 3 4 3 4" xfId="61553" xr:uid="{00000000-0005-0000-0000-000083F00000}"/>
    <cellStyle name="Porcentual 3 7 3 4 3 5" xfId="61554" xr:uid="{00000000-0005-0000-0000-000084F00000}"/>
    <cellStyle name="Porcentual 3 7 3 4 4" xfId="61555" xr:uid="{00000000-0005-0000-0000-000085F00000}"/>
    <cellStyle name="Porcentual 3 7 3 4 4 2" xfId="61556" xr:uid="{00000000-0005-0000-0000-000086F00000}"/>
    <cellStyle name="Porcentual 3 7 3 4 5" xfId="61557" xr:uid="{00000000-0005-0000-0000-000087F00000}"/>
    <cellStyle name="Porcentual 3 7 3 4 5 2" xfId="61558" xr:uid="{00000000-0005-0000-0000-000088F00000}"/>
    <cellStyle name="Porcentual 3 7 3 4 6" xfId="61559" xr:uid="{00000000-0005-0000-0000-000089F00000}"/>
    <cellStyle name="Porcentual 3 7 3 4 7" xfId="61560" xr:uid="{00000000-0005-0000-0000-00008AF00000}"/>
    <cellStyle name="Porcentual 3 7 3 5" xfId="61561" xr:uid="{00000000-0005-0000-0000-00008BF00000}"/>
    <cellStyle name="Porcentual 3 7 3 5 2" xfId="61562" xr:uid="{00000000-0005-0000-0000-00008CF00000}"/>
    <cellStyle name="Porcentual 3 7 3 5 2 2" xfId="61563" xr:uid="{00000000-0005-0000-0000-00008DF00000}"/>
    <cellStyle name="Porcentual 3 7 3 5 2 2 2" xfId="61564" xr:uid="{00000000-0005-0000-0000-00008EF00000}"/>
    <cellStyle name="Porcentual 3 7 3 5 2 3" xfId="61565" xr:uid="{00000000-0005-0000-0000-00008FF00000}"/>
    <cellStyle name="Porcentual 3 7 3 5 2 4" xfId="61566" xr:uid="{00000000-0005-0000-0000-000090F00000}"/>
    <cellStyle name="Porcentual 3 7 3 5 3" xfId="61567" xr:uid="{00000000-0005-0000-0000-000091F00000}"/>
    <cellStyle name="Porcentual 3 7 3 5 3 2" xfId="61568" xr:uid="{00000000-0005-0000-0000-000092F00000}"/>
    <cellStyle name="Porcentual 3 7 3 5 4" xfId="61569" xr:uid="{00000000-0005-0000-0000-000093F00000}"/>
    <cellStyle name="Porcentual 3 7 3 5 5" xfId="61570" xr:uid="{00000000-0005-0000-0000-000094F00000}"/>
    <cellStyle name="Porcentual 3 7 3 6" xfId="61571" xr:uid="{00000000-0005-0000-0000-000095F00000}"/>
    <cellStyle name="Porcentual 3 7 3 6 2" xfId="61572" xr:uid="{00000000-0005-0000-0000-000096F00000}"/>
    <cellStyle name="Porcentual 3 7 3 6 2 2" xfId="61573" xr:uid="{00000000-0005-0000-0000-000097F00000}"/>
    <cellStyle name="Porcentual 3 7 3 6 3" xfId="61574" xr:uid="{00000000-0005-0000-0000-000098F00000}"/>
    <cellStyle name="Porcentual 3 7 3 6 3 2" xfId="61575" xr:uid="{00000000-0005-0000-0000-000099F00000}"/>
    <cellStyle name="Porcentual 3 7 3 6 4" xfId="61576" xr:uid="{00000000-0005-0000-0000-00009AF00000}"/>
    <cellStyle name="Porcentual 3 7 3 6 5" xfId="61577" xr:uid="{00000000-0005-0000-0000-00009BF00000}"/>
    <cellStyle name="Porcentual 3 7 3 7" xfId="61578" xr:uid="{00000000-0005-0000-0000-00009CF00000}"/>
    <cellStyle name="Porcentual 3 7 3 7 2" xfId="61579" xr:uid="{00000000-0005-0000-0000-00009DF00000}"/>
    <cellStyle name="Porcentual 3 7 3 8" xfId="61580" xr:uid="{00000000-0005-0000-0000-00009EF00000}"/>
    <cellStyle name="Porcentual 3 7 3 8 2" xfId="61581" xr:uid="{00000000-0005-0000-0000-00009FF00000}"/>
    <cellStyle name="Porcentual 3 7 3 9" xfId="61582" xr:uid="{00000000-0005-0000-0000-0000A0F00000}"/>
    <cellStyle name="Porcentual 3 7 4" xfId="61583" xr:uid="{00000000-0005-0000-0000-0000A1F00000}"/>
    <cellStyle name="Porcentual 3 7 4 2" xfId="61584" xr:uid="{00000000-0005-0000-0000-0000A2F00000}"/>
    <cellStyle name="Porcentual 3 7 4 2 2" xfId="61585" xr:uid="{00000000-0005-0000-0000-0000A3F00000}"/>
    <cellStyle name="Porcentual 3 7 4 2 2 2" xfId="61586" xr:uid="{00000000-0005-0000-0000-0000A4F00000}"/>
    <cellStyle name="Porcentual 3 7 4 2 2 2 2" xfId="61587" xr:uid="{00000000-0005-0000-0000-0000A5F00000}"/>
    <cellStyle name="Porcentual 3 7 4 2 2 2 2 2" xfId="61588" xr:uid="{00000000-0005-0000-0000-0000A6F00000}"/>
    <cellStyle name="Porcentual 3 7 4 2 2 2 2 2 2" xfId="61589" xr:uid="{00000000-0005-0000-0000-0000A7F00000}"/>
    <cellStyle name="Porcentual 3 7 4 2 2 2 2 3" xfId="61590" xr:uid="{00000000-0005-0000-0000-0000A8F00000}"/>
    <cellStyle name="Porcentual 3 7 4 2 2 2 2 4" xfId="61591" xr:uid="{00000000-0005-0000-0000-0000A9F00000}"/>
    <cellStyle name="Porcentual 3 7 4 2 2 2 3" xfId="61592" xr:uid="{00000000-0005-0000-0000-0000AAF00000}"/>
    <cellStyle name="Porcentual 3 7 4 2 2 2 3 2" xfId="61593" xr:uid="{00000000-0005-0000-0000-0000ABF00000}"/>
    <cellStyle name="Porcentual 3 7 4 2 2 2 4" xfId="61594" xr:uid="{00000000-0005-0000-0000-0000ACF00000}"/>
    <cellStyle name="Porcentual 3 7 4 2 2 2 5" xfId="61595" xr:uid="{00000000-0005-0000-0000-0000ADF00000}"/>
    <cellStyle name="Porcentual 3 7 4 2 2 3" xfId="61596" xr:uid="{00000000-0005-0000-0000-0000AEF00000}"/>
    <cellStyle name="Porcentual 3 7 4 2 2 3 2" xfId="61597" xr:uid="{00000000-0005-0000-0000-0000AFF00000}"/>
    <cellStyle name="Porcentual 3 7 4 2 2 3 2 2" xfId="61598" xr:uid="{00000000-0005-0000-0000-0000B0F00000}"/>
    <cellStyle name="Porcentual 3 7 4 2 2 3 3" xfId="61599" xr:uid="{00000000-0005-0000-0000-0000B1F00000}"/>
    <cellStyle name="Porcentual 3 7 4 2 2 3 4" xfId="61600" xr:uid="{00000000-0005-0000-0000-0000B2F00000}"/>
    <cellStyle name="Porcentual 3 7 4 2 2 4" xfId="61601" xr:uid="{00000000-0005-0000-0000-0000B3F00000}"/>
    <cellStyle name="Porcentual 3 7 4 2 2 4 2" xfId="61602" xr:uid="{00000000-0005-0000-0000-0000B4F00000}"/>
    <cellStyle name="Porcentual 3 7 4 2 2 5" xfId="61603" xr:uid="{00000000-0005-0000-0000-0000B5F00000}"/>
    <cellStyle name="Porcentual 3 7 4 2 2 6" xfId="61604" xr:uid="{00000000-0005-0000-0000-0000B6F00000}"/>
    <cellStyle name="Porcentual 3 7 4 2 3" xfId="61605" xr:uid="{00000000-0005-0000-0000-0000B7F00000}"/>
    <cellStyle name="Porcentual 3 7 4 2 3 2" xfId="61606" xr:uid="{00000000-0005-0000-0000-0000B8F00000}"/>
    <cellStyle name="Porcentual 3 7 4 2 3 2 2" xfId="61607" xr:uid="{00000000-0005-0000-0000-0000B9F00000}"/>
    <cellStyle name="Porcentual 3 7 4 2 3 2 2 2" xfId="61608" xr:uid="{00000000-0005-0000-0000-0000BAF00000}"/>
    <cellStyle name="Porcentual 3 7 4 2 3 2 3" xfId="61609" xr:uid="{00000000-0005-0000-0000-0000BBF00000}"/>
    <cellStyle name="Porcentual 3 7 4 2 3 2 4" xfId="61610" xr:uid="{00000000-0005-0000-0000-0000BCF00000}"/>
    <cellStyle name="Porcentual 3 7 4 2 3 3" xfId="61611" xr:uid="{00000000-0005-0000-0000-0000BDF00000}"/>
    <cellStyle name="Porcentual 3 7 4 2 3 3 2" xfId="61612" xr:uid="{00000000-0005-0000-0000-0000BEF00000}"/>
    <cellStyle name="Porcentual 3 7 4 2 3 4" xfId="61613" xr:uid="{00000000-0005-0000-0000-0000BFF00000}"/>
    <cellStyle name="Porcentual 3 7 4 2 3 5" xfId="61614" xr:uid="{00000000-0005-0000-0000-0000C0F00000}"/>
    <cellStyle name="Porcentual 3 7 4 2 4" xfId="61615" xr:uid="{00000000-0005-0000-0000-0000C1F00000}"/>
    <cellStyle name="Porcentual 3 7 4 2 4 2" xfId="61616" xr:uid="{00000000-0005-0000-0000-0000C2F00000}"/>
    <cellStyle name="Porcentual 3 7 4 2 4 2 2" xfId="61617" xr:uid="{00000000-0005-0000-0000-0000C3F00000}"/>
    <cellStyle name="Porcentual 3 7 4 2 4 3" xfId="61618" xr:uid="{00000000-0005-0000-0000-0000C4F00000}"/>
    <cellStyle name="Porcentual 3 7 4 2 4 4" xfId="61619" xr:uid="{00000000-0005-0000-0000-0000C5F00000}"/>
    <cellStyle name="Porcentual 3 7 4 2 5" xfId="61620" xr:uid="{00000000-0005-0000-0000-0000C6F00000}"/>
    <cellStyle name="Porcentual 3 7 4 2 5 2" xfId="61621" xr:uid="{00000000-0005-0000-0000-0000C7F00000}"/>
    <cellStyle name="Porcentual 3 7 4 2 6" xfId="61622" xr:uid="{00000000-0005-0000-0000-0000C8F00000}"/>
    <cellStyle name="Porcentual 3 7 4 2 7" xfId="61623" xr:uid="{00000000-0005-0000-0000-0000C9F00000}"/>
    <cellStyle name="Porcentual 3 7 4 3" xfId="61624" xr:uid="{00000000-0005-0000-0000-0000CAF00000}"/>
    <cellStyle name="Porcentual 3 7 4 3 2" xfId="61625" xr:uid="{00000000-0005-0000-0000-0000CBF00000}"/>
    <cellStyle name="Porcentual 3 7 4 3 2 2" xfId="61626" xr:uid="{00000000-0005-0000-0000-0000CCF00000}"/>
    <cellStyle name="Porcentual 3 7 4 3 2 2 2" xfId="61627" xr:uid="{00000000-0005-0000-0000-0000CDF00000}"/>
    <cellStyle name="Porcentual 3 7 4 3 2 2 2 2" xfId="61628" xr:uid="{00000000-0005-0000-0000-0000CEF00000}"/>
    <cellStyle name="Porcentual 3 7 4 3 2 2 3" xfId="61629" xr:uid="{00000000-0005-0000-0000-0000CFF00000}"/>
    <cellStyle name="Porcentual 3 7 4 3 2 2 4" xfId="61630" xr:uid="{00000000-0005-0000-0000-0000D0F00000}"/>
    <cellStyle name="Porcentual 3 7 4 3 2 3" xfId="61631" xr:uid="{00000000-0005-0000-0000-0000D1F00000}"/>
    <cellStyle name="Porcentual 3 7 4 3 2 3 2" xfId="61632" xr:uid="{00000000-0005-0000-0000-0000D2F00000}"/>
    <cellStyle name="Porcentual 3 7 4 3 2 4" xfId="61633" xr:uid="{00000000-0005-0000-0000-0000D3F00000}"/>
    <cellStyle name="Porcentual 3 7 4 3 2 5" xfId="61634" xr:uid="{00000000-0005-0000-0000-0000D4F00000}"/>
    <cellStyle name="Porcentual 3 7 4 3 3" xfId="61635" xr:uid="{00000000-0005-0000-0000-0000D5F00000}"/>
    <cellStyle name="Porcentual 3 7 4 3 3 2" xfId="61636" xr:uid="{00000000-0005-0000-0000-0000D6F00000}"/>
    <cellStyle name="Porcentual 3 7 4 3 3 2 2" xfId="61637" xr:uid="{00000000-0005-0000-0000-0000D7F00000}"/>
    <cellStyle name="Porcentual 3 7 4 3 3 3" xfId="61638" xr:uid="{00000000-0005-0000-0000-0000D8F00000}"/>
    <cellStyle name="Porcentual 3 7 4 3 3 3 2" xfId="61639" xr:uid="{00000000-0005-0000-0000-0000D9F00000}"/>
    <cellStyle name="Porcentual 3 7 4 3 3 4" xfId="61640" xr:uid="{00000000-0005-0000-0000-0000DAF00000}"/>
    <cellStyle name="Porcentual 3 7 4 3 3 5" xfId="61641" xr:uid="{00000000-0005-0000-0000-0000DBF00000}"/>
    <cellStyle name="Porcentual 3 7 4 3 4" xfId="61642" xr:uid="{00000000-0005-0000-0000-0000DCF00000}"/>
    <cellStyle name="Porcentual 3 7 4 3 4 2" xfId="61643" xr:uid="{00000000-0005-0000-0000-0000DDF00000}"/>
    <cellStyle name="Porcentual 3 7 4 3 5" xfId="61644" xr:uid="{00000000-0005-0000-0000-0000DEF00000}"/>
    <cellStyle name="Porcentual 3 7 4 3 5 2" xfId="61645" xr:uid="{00000000-0005-0000-0000-0000DFF00000}"/>
    <cellStyle name="Porcentual 3 7 4 3 6" xfId="61646" xr:uid="{00000000-0005-0000-0000-0000E0F00000}"/>
    <cellStyle name="Porcentual 3 7 4 3 7" xfId="61647" xr:uid="{00000000-0005-0000-0000-0000E1F00000}"/>
    <cellStyle name="Porcentual 3 7 4 4" xfId="61648" xr:uid="{00000000-0005-0000-0000-0000E2F00000}"/>
    <cellStyle name="Porcentual 3 7 4 4 2" xfId="61649" xr:uid="{00000000-0005-0000-0000-0000E3F00000}"/>
    <cellStyle name="Porcentual 3 7 4 4 2 2" xfId="61650" xr:uid="{00000000-0005-0000-0000-0000E4F00000}"/>
    <cellStyle name="Porcentual 3 7 4 4 2 2 2" xfId="61651" xr:uid="{00000000-0005-0000-0000-0000E5F00000}"/>
    <cellStyle name="Porcentual 3 7 4 4 2 3" xfId="61652" xr:uid="{00000000-0005-0000-0000-0000E6F00000}"/>
    <cellStyle name="Porcentual 3 7 4 4 2 4" xfId="61653" xr:uid="{00000000-0005-0000-0000-0000E7F00000}"/>
    <cellStyle name="Porcentual 3 7 4 4 3" xfId="61654" xr:uid="{00000000-0005-0000-0000-0000E8F00000}"/>
    <cellStyle name="Porcentual 3 7 4 4 3 2" xfId="61655" xr:uid="{00000000-0005-0000-0000-0000E9F00000}"/>
    <cellStyle name="Porcentual 3 7 4 4 4" xfId="61656" xr:uid="{00000000-0005-0000-0000-0000EAF00000}"/>
    <cellStyle name="Porcentual 3 7 4 4 5" xfId="61657" xr:uid="{00000000-0005-0000-0000-0000EBF00000}"/>
    <cellStyle name="Porcentual 3 7 4 5" xfId="61658" xr:uid="{00000000-0005-0000-0000-0000ECF00000}"/>
    <cellStyle name="Porcentual 3 7 4 5 2" xfId="61659" xr:uid="{00000000-0005-0000-0000-0000EDF00000}"/>
    <cellStyle name="Porcentual 3 7 4 5 2 2" xfId="61660" xr:uid="{00000000-0005-0000-0000-0000EEF00000}"/>
    <cellStyle name="Porcentual 3 7 4 5 3" xfId="61661" xr:uid="{00000000-0005-0000-0000-0000EFF00000}"/>
    <cellStyle name="Porcentual 3 7 4 5 3 2" xfId="61662" xr:uid="{00000000-0005-0000-0000-0000F0F00000}"/>
    <cellStyle name="Porcentual 3 7 4 5 4" xfId="61663" xr:uid="{00000000-0005-0000-0000-0000F1F00000}"/>
    <cellStyle name="Porcentual 3 7 4 5 5" xfId="61664" xr:uid="{00000000-0005-0000-0000-0000F2F00000}"/>
    <cellStyle name="Porcentual 3 7 4 6" xfId="61665" xr:uid="{00000000-0005-0000-0000-0000F3F00000}"/>
    <cellStyle name="Porcentual 3 7 4 6 2" xfId="61666" xr:uid="{00000000-0005-0000-0000-0000F4F00000}"/>
    <cellStyle name="Porcentual 3 7 4 7" xfId="61667" xr:uid="{00000000-0005-0000-0000-0000F5F00000}"/>
    <cellStyle name="Porcentual 3 7 4 7 2" xfId="61668" xr:uid="{00000000-0005-0000-0000-0000F6F00000}"/>
    <cellStyle name="Porcentual 3 7 4 8" xfId="61669" xr:uid="{00000000-0005-0000-0000-0000F7F00000}"/>
    <cellStyle name="Porcentual 3 7 4 9" xfId="61670" xr:uid="{00000000-0005-0000-0000-0000F8F00000}"/>
    <cellStyle name="Porcentual 3 7 5" xfId="61671" xr:uid="{00000000-0005-0000-0000-0000F9F00000}"/>
    <cellStyle name="Porcentual 3 7 5 2" xfId="61672" xr:uid="{00000000-0005-0000-0000-0000FAF00000}"/>
    <cellStyle name="Porcentual 3 7 5 2 2" xfId="61673" xr:uid="{00000000-0005-0000-0000-0000FBF00000}"/>
    <cellStyle name="Porcentual 3 7 5 2 2 2" xfId="61674" xr:uid="{00000000-0005-0000-0000-0000FCF00000}"/>
    <cellStyle name="Porcentual 3 7 5 2 2 2 2" xfId="61675" xr:uid="{00000000-0005-0000-0000-0000FDF00000}"/>
    <cellStyle name="Porcentual 3 7 5 2 2 2 2 2" xfId="61676" xr:uid="{00000000-0005-0000-0000-0000FEF00000}"/>
    <cellStyle name="Porcentual 3 7 5 2 2 2 3" xfId="61677" xr:uid="{00000000-0005-0000-0000-0000FFF00000}"/>
    <cellStyle name="Porcentual 3 7 5 2 2 2 4" xfId="61678" xr:uid="{00000000-0005-0000-0000-000000F10000}"/>
    <cellStyle name="Porcentual 3 7 5 2 2 3" xfId="61679" xr:uid="{00000000-0005-0000-0000-000001F10000}"/>
    <cellStyle name="Porcentual 3 7 5 2 2 3 2" xfId="61680" xr:uid="{00000000-0005-0000-0000-000002F10000}"/>
    <cellStyle name="Porcentual 3 7 5 2 2 4" xfId="61681" xr:uid="{00000000-0005-0000-0000-000003F10000}"/>
    <cellStyle name="Porcentual 3 7 5 2 2 5" xfId="61682" xr:uid="{00000000-0005-0000-0000-000004F10000}"/>
    <cellStyle name="Porcentual 3 7 5 2 3" xfId="61683" xr:uid="{00000000-0005-0000-0000-000005F10000}"/>
    <cellStyle name="Porcentual 3 7 5 2 3 2" xfId="61684" xr:uid="{00000000-0005-0000-0000-000006F10000}"/>
    <cellStyle name="Porcentual 3 7 5 2 3 2 2" xfId="61685" xr:uid="{00000000-0005-0000-0000-000007F10000}"/>
    <cellStyle name="Porcentual 3 7 5 2 3 3" xfId="61686" xr:uid="{00000000-0005-0000-0000-000008F10000}"/>
    <cellStyle name="Porcentual 3 7 5 2 3 3 2" xfId="61687" xr:uid="{00000000-0005-0000-0000-000009F10000}"/>
    <cellStyle name="Porcentual 3 7 5 2 3 4" xfId="61688" xr:uid="{00000000-0005-0000-0000-00000AF10000}"/>
    <cellStyle name="Porcentual 3 7 5 2 3 5" xfId="61689" xr:uid="{00000000-0005-0000-0000-00000BF10000}"/>
    <cellStyle name="Porcentual 3 7 5 2 4" xfId="61690" xr:uid="{00000000-0005-0000-0000-00000CF10000}"/>
    <cellStyle name="Porcentual 3 7 5 2 4 2" xfId="61691" xr:uid="{00000000-0005-0000-0000-00000DF10000}"/>
    <cellStyle name="Porcentual 3 7 5 2 5" xfId="61692" xr:uid="{00000000-0005-0000-0000-00000EF10000}"/>
    <cellStyle name="Porcentual 3 7 5 2 5 2" xfId="61693" xr:uid="{00000000-0005-0000-0000-00000FF10000}"/>
    <cellStyle name="Porcentual 3 7 5 2 6" xfId="61694" xr:uid="{00000000-0005-0000-0000-000010F10000}"/>
    <cellStyle name="Porcentual 3 7 5 2 7" xfId="61695" xr:uid="{00000000-0005-0000-0000-000011F10000}"/>
    <cellStyle name="Porcentual 3 7 5 3" xfId="61696" xr:uid="{00000000-0005-0000-0000-000012F10000}"/>
    <cellStyle name="Porcentual 3 7 5 3 2" xfId="61697" xr:uid="{00000000-0005-0000-0000-000013F10000}"/>
    <cellStyle name="Porcentual 3 7 5 3 2 2" xfId="61698" xr:uid="{00000000-0005-0000-0000-000014F10000}"/>
    <cellStyle name="Porcentual 3 7 5 3 2 2 2" xfId="61699" xr:uid="{00000000-0005-0000-0000-000015F10000}"/>
    <cellStyle name="Porcentual 3 7 5 3 2 3" xfId="61700" xr:uid="{00000000-0005-0000-0000-000016F10000}"/>
    <cellStyle name="Porcentual 3 7 5 3 2 4" xfId="61701" xr:uid="{00000000-0005-0000-0000-000017F10000}"/>
    <cellStyle name="Porcentual 3 7 5 3 3" xfId="61702" xr:uid="{00000000-0005-0000-0000-000018F10000}"/>
    <cellStyle name="Porcentual 3 7 5 3 3 2" xfId="61703" xr:uid="{00000000-0005-0000-0000-000019F10000}"/>
    <cellStyle name="Porcentual 3 7 5 3 4" xfId="61704" xr:uid="{00000000-0005-0000-0000-00001AF10000}"/>
    <cellStyle name="Porcentual 3 7 5 3 5" xfId="61705" xr:uid="{00000000-0005-0000-0000-00001BF10000}"/>
    <cellStyle name="Porcentual 3 7 5 4" xfId="61706" xr:uid="{00000000-0005-0000-0000-00001CF10000}"/>
    <cellStyle name="Porcentual 3 7 5 4 2" xfId="61707" xr:uid="{00000000-0005-0000-0000-00001DF10000}"/>
    <cellStyle name="Porcentual 3 7 5 4 2 2" xfId="61708" xr:uid="{00000000-0005-0000-0000-00001EF10000}"/>
    <cellStyle name="Porcentual 3 7 5 4 3" xfId="61709" xr:uid="{00000000-0005-0000-0000-00001FF10000}"/>
    <cellStyle name="Porcentual 3 7 5 4 3 2" xfId="61710" xr:uid="{00000000-0005-0000-0000-000020F10000}"/>
    <cellStyle name="Porcentual 3 7 5 4 4" xfId="61711" xr:uid="{00000000-0005-0000-0000-000021F10000}"/>
    <cellStyle name="Porcentual 3 7 5 4 5" xfId="61712" xr:uid="{00000000-0005-0000-0000-000022F10000}"/>
    <cellStyle name="Porcentual 3 7 5 5" xfId="61713" xr:uid="{00000000-0005-0000-0000-000023F10000}"/>
    <cellStyle name="Porcentual 3 7 5 5 2" xfId="61714" xr:uid="{00000000-0005-0000-0000-000024F10000}"/>
    <cellStyle name="Porcentual 3 7 5 6" xfId="61715" xr:uid="{00000000-0005-0000-0000-000025F10000}"/>
    <cellStyle name="Porcentual 3 7 5 6 2" xfId="61716" xr:uid="{00000000-0005-0000-0000-000026F10000}"/>
    <cellStyle name="Porcentual 3 7 5 7" xfId="61717" xr:uid="{00000000-0005-0000-0000-000027F10000}"/>
    <cellStyle name="Porcentual 3 7 5 8" xfId="61718" xr:uid="{00000000-0005-0000-0000-000028F10000}"/>
    <cellStyle name="Porcentual 3 7 6" xfId="61719" xr:uid="{00000000-0005-0000-0000-000029F10000}"/>
    <cellStyle name="Porcentual 3 7 6 2" xfId="61720" xr:uid="{00000000-0005-0000-0000-00002AF10000}"/>
    <cellStyle name="Porcentual 3 7 6 2 2" xfId="61721" xr:uid="{00000000-0005-0000-0000-00002BF10000}"/>
    <cellStyle name="Porcentual 3 7 6 2 2 2" xfId="61722" xr:uid="{00000000-0005-0000-0000-00002CF10000}"/>
    <cellStyle name="Porcentual 3 7 6 2 2 2 2" xfId="61723" xr:uid="{00000000-0005-0000-0000-00002DF10000}"/>
    <cellStyle name="Porcentual 3 7 6 2 2 3" xfId="61724" xr:uid="{00000000-0005-0000-0000-00002EF10000}"/>
    <cellStyle name="Porcentual 3 7 6 2 2 4" xfId="61725" xr:uid="{00000000-0005-0000-0000-00002FF10000}"/>
    <cellStyle name="Porcentual 3 7 6 2 3" xfId="61726" xr:uid="{00000000-0005-0000-0000-000030F10000}"/>
    <cellStyle name="Porcentual 3 7 6 2 3 2" xfId="61727" xr:uid="{00000000-0005-0000-0000-000031F10000}"/>
    <cellStyle name="Porcentual 3 7 6 2 4" xfId="61728" xr:uid="{00000000-0005-0000-0000-000032F10000}"/>
    <cellStyle name="Porcentual 3 7 6 2 5" xfId="61729" xr:uid="{00000000-0005-0000-0000-000033F10000}"/>
    <cellStyle name="Porcentual 3 7 6 3" xfId="61730" xr:uid="{00000000-0005-0000-0000-000034F10000}"/>
    <cellStyle name="Porcentual 3 7 6 3 2" xfId="61731" xr:uid="{00000000-0005-0000-0000-000035F10000}"/>
    <cellStyle name="Porcentual 3 7 6 3 2 2" xfId="61732" xr:uid="{00000000-0005-0000-0000-000036F10000}"/>
    <cellStyle name="Porcentual 3 7 6 3 3" xfId="61733" xr:uid="{00000000-0005-0000-0000-000037F10000}"/>
    <cellStyle name="Porcentual 3 7 6 3 3 2" xfId="61734" xr:uid="{00000000-0005-0000-0000-000038F10000}"/>
    <cellStyle name="Porcentual 3 7 6 3 4" xfId="61735" xr:uid="{00000000-0005-0000-0000-000039F10000}"/>
    <cellStyle name="Porcentual 3 7 6 3 5" xfId="61736" xr:uid="{00000000-0005-0000-0000-00003AF10000}"/>
    <cellStyle name="Porcentual 3 7 6 4" xfId="61737" xr:uid="{00000000-0005-0000-0000-00003BF10000}"/>
    <cellStyle name="Porcentual 3 7 6 4 2" xfId="61738" xr:uid="{00000000-0005-0000-0000-00003CF10000}"/>
    <cellStyle name="Porcentual 3 7 6 5" xfId="61739" xr:uid="{00000000-0005-0000-0000-00003DF10000}"/>
    <cellStyle name="Porcentual 3 7 6 5 2" xfId="61740" xr:uid="{00000000-0005-0000-0000-00003EF10000}"/>
    <cellStyle name="Porcentual 3 7 6 6" xfId="61741" xr:uid="{00000000-0005-0000-0000-00003FF10000}"/>
    <cellStyle name="Porcentual 3 7 6 7" xfId="61742" xr:uid="{00000000-0005-0000-0000-000040F10000}"/>
    <cellStyle name="Porcentual 3 7 7" xfId="61743" xr:uid="{00000000-0005-0000-0000-000041F10000}"/>
    <cellStyle name="Porcentual 3 7 7 2" xfId="61744" xr:uid="{00000000-0005-0000-0000-000042F10000}"/>
    <cellStyle name="Porcentual 3 7 7 2 2" xfId="61745" xr:uid="{00000000-0005-0000-0000-000043F10000}"/>
    <cellStyle name="Porcentual 3 7 7 2 2 2" xfId="61746" xr:uid="{00000000-0005-0000-0000-000044F10000}"/>
    <cellStyle name="Porcentual 3 7 7 2 3" xfId="61747" xr:uid="{00000000-0005-0000-0000-000045F10000}"/>
    <cellStyle name="Porcentual 3 7 7 2 4" xfId="61748" xr:uid="{00000000-0005-0000-0000-000046F10000}"/>
    <cellStyle name="Porcentual 3 7 7 3" xfId="61749" xr:uid="{00000000-0005-0000-0000-000047F10000}"/>
    <cellStyle name="Porcentual 3 7 7 3 2" xfId="61750" xr:uid="{00000000-0005-0000-0000-000048F10000}"/>
    <cellStyle name="Porcentual 3 7 7 4" xfId="61751" xr:uid="{00000000-0005-0000-0000-000049F10000}"/>
    <cellStyle name="Porcentual 3 7 7 5" xfId="61752" xr:uid="{00000000-0005-0000-0000-00004AF10000}"/>
    <cellStyle name="Porcentual 3 7 8" xfId="61753" xr:uid="{00000000-0005-0000-0000-00004BF10000}"/>
    <cellStyle name="Porcentual 3 7 8 2" xfId="61754" xr:uid="{00000000-0005-0000-0000-00004CF10000}"/>
    <cellStyle name="Porcentual 3 7 8 2 2" xfId="61755" xr:uid="{00000000-0005-0000-0000-00004DF10000}"/>
    <cellStyle name="Porcentual 3 7 8 3" xfId="61756" xr:uid="{00000000-0005-0000-0000-00004EF10000}"/>
    <cellStyle name="Porcentual 3 7 8 3 2" xfId="61757" xr:uid="{00000000-0005-0000-0000-00004FF10000}"/>
    <cellStyle name="Porcentual 3 7 8 4" xfId="61758" xr:uid="{00000000-0005-0000-0000-000050F10000}"/>
    <cellStyle name="Porcentual 3 7 8 5" xfId="61759" xr:uid="{00000000-0005-0000-0000-000051F10000}"/>
    <cellStyle name="Porcentual 3 7 9" xfId="61760" xr:uid="{00000000-0005-0000-0000-000052F10000}"/>
    <cellStyle name="Porcentual 3 7 9 2" xfId="61761" xr:uid="{00000000-0005-0000-0000-000053F10000}"/>
    <cellStyle name="Porcentual 3 8" xfId="61762" xr:uid="{00000000-0005-0000-0000-000054F10000}"/>
    <cellStyle name="Porcentual 3 8 10" xfId="61763" xr:uid="{00000000-0005-0000-0000-000055F10000}"/>
    <cellStyle name="Porcentual 3 8 11" xfId="61764" xr:uid="{00000000-0005-0000-0000-000056F10000}"/>
    <cellStyle name="Porcentual 3 8 2" xfId="61765" xr:uid="{00000000-0005-0000-0000-000057F10000}"/>
    <cellStyle name="Porcentual 3 8 2 10" xfId="61766" xr:uid="{00000000-0005-0000-0000-000058F10000}"/>
    <cellStyle name="Porcentual 3 8 2 2" xfId="61767" xr:uid="{00000000-0005-0000-0000-000059F10000}"/>
    <cellStyle name="Porcentual 3 8 2 2 2" xfId="61768" xr:uid="{00000000-0005-0000-0000-00005AF10000}"/>
    <cellStyle name="Porcentual 3 8 2 2 2 2" xfId="61769" xr:uid="{00000000-0005-0000-0000-00005BF10000}"/>
    <cellStyle name="Porcentual 3 8 2 2 2 2 2" xfId="61770" xr:uid="{00000000-0005-0000-0000-00005CF10000}"/>
    <cellStyle name="Porcentual 3 8 2 2 2 2 2 2" xfId="61771" xr:uid="{00000000-0005-0000-0000-00005DF10000}"/>
    <cellStyle name="Porcentual 3 8 2 2 2 2 2 2 2" xfId="61772" xr:uid="{00000000-0005-0000-0000-00005EF10000}"/>
    <cellStyle name="Porcentual 3 8 2 2 2 2 2 2 2 2" xfId="61773" xr:uid="{00000000-0005-0000-0000-00005FF10000}"/>
    <cellStyle name="Porcentual 3 8 2 2 2 2 2 2 3" xfId="61774" xr:uid="{00000000-0005-0000-0000-000060F10000}"/>
    <cellStyle name="Porcentual 3 8 2 2 2 2 2 2 4" xfId="61775" xr:uid="{00000000-0005-0000-0000-000061F10000}"/>
    <cellStyle name="Porcentual 3 8 2 2 2 2 2 3" xfId="61776" xr:uid="{00000000-0005-0000-0000-000062F10000}"/>
    <cellStyle name="Porcentual 3 8 2 2 2 2 2 3 2" xfId="61777" xr:uid="{00000000-0005-0000-0000-000063F10000}"/>
    <cellStyle name="Porcentual 3 8 2 2 2 2 2 4" xfId="61778" xr:uid="{00000000-0005-0000-0000-000064F10000}"/>
    <cellStyle name="Porcentual 3 8 2 2 2 2 2 5" xfId="61779" xr:uid="{00000000-0005-0000-0000-000065F10000}"/>
    <cellStyle name="Porcentual 3 8 2 2 2 2 3" xfId="61780" xr:uid="{00000000-0005-0000-0000-000066F10000}"/>
    <cellStyle name="Porcentual 3 8 2 2 2 2 3 2" xfId="61781" xr:uid="{00000000-0005-0000-0000-000067F10000}"/>
    <cellStyle name="Porcentual 3 8 2 2 2 2 3 2 2" xfId="61782" xr:uid="{00000000-0005-0000-0000-000068F10000}"/>
    <cellStyle name="Porcentual 3 8 2 2 2 2 3 3" xfId="61783" xr:uid="{00000000-0005-0000-0000-000069F10000}"/>
    <cellStyle name="Porcentual 3 8 2 2 2 2 3 4" xfId="61784" xr:uid="{00000000-0005-0000-0000-00006AF10000}"/>
    <cellStyle name="Porcentual 3 8 2 2 2 2 4" xfId="61785" xr:uid="{00000000-0005-0000-0000-00006BF10000}"/>
    <cellStyle name="Porcentual 3 8 2 2 2 2 4 2" xfId="61786" xr:uid="{00000000-0005-0000-0000-00006CF10000}"/>
    <cellStyle name="Porcentual 3 8 2 2 2 2 5" xfId="61787" xr:uid="{00000000-0005-0000-0000-00006DF10000}"/>
    <cellStyle name="Porcentual 3 8 2 2 2 2 6" xfId="61788" xr:uid="{00000000-0005-0000-0000-00006EF10000}"/>
    <cellStyle name="Porcentual 3 8 2 2 2 3" xfId="61789" xr:uid="{00000000-0005-0000-0000-00006FF10000}"/>
    <cellStyle name="Porcentual 3 8 2 2 2 3 2" xfId="61790" xr:uid="{00000000-0005-0000-0000-000070F10000}"/>
    <cellStyle name="Porcentual 3 8 2 2 2 3 2 2" xfId="61791" xr:uid="{00000000-0005-0000-0000-000071F10000}"/>
    <cellStyle name="Porcentual 3 8 2 2 2 3 2 2 2" xfId="61792" xr:uid="{00000000-0005-0000-0000-000072F10000}"/>
    <cellStyle name="Porcentual 3 8 2 2 2 3 2 3" xfId="61793" xr:uid="{00000000-0005-0000-0000-000073F10000}"/>
    <cellStyle name="Porcentual 3 8 2 2 2 3 2 4" xfId="61794" xr:uid="{00000000-0005-0000-0000-000074F10000}"/>
    <cellStyle name="Porcentual 3 8 2 2 2 3 3" xfId="61795" xr:uid="{00000000-0005-0000-0000-000075F10000}"/>
    <cellStyle name="Porcentual 3 8 2 2 2 3 3 2" xfId="61796" xr:uid="{00000000-0005-0000-0000-000076F10000}"/>
    <cellStyle name="Porcentual 3 8 2 2 2 3 4" xfId="61797" xr:uid="{00000000-0005-0000-0000-000077F10000}"/>
    <cellStyle name="Porcentual 3 8 2 2 2 3 5" xfId="61798" xr:uid="{00000000-0005-0000-0000-000078F10000}"/>
    <cellStyle name="Porcentual 3 8 2 2 2 4" xfId="61799" xr:uid="{00000000-0005-0000-0000-000079F10000}"/>
    <cellStyle name="Porcentual 3 8 2 2 2 4 2" xfId="61800" xr:uid="{00000000-0005-0000-0000-00007AF10000}"/>
    <cellStyle name="Porcentual 3 8 2 2 2 4 2 2" xfId="61801" xr:uid="{00000000-0005-0000-0000-00007BF10000}"/>
    <cellStyle name="Porcentual 3 8 2 2 2 4 3" xfId="61802" xr:uid="{00000000-0005-0000-0000-00007CF10000}"/>
    <cellStyle name="Porcentual 3 8 2 2 2 4 4" xfId="61803" xr:uid="{00000000-0005-0000-0000-00007DF10000}"/>
    <cellStyle name="Porcentual 3 8 2 2 2 5" xfId="61804" xr:uid="{00000000-0005-0000-0000-00007EF10000}"/>
    <cellStyle name="Porcentual 3 8 2 2 2 5 2" xfId="61805" xr:uid="{00000000-0005-0000-0000-00007FF10000}"/>
    <cellStyle name="Porcentual 3 8 2 2 2 6" xfId="61806" xr:uid="{00000000-0005-0000-0000-000080F10000}"/>
    <cellStyle name="Porcentual 3 8 2 2 2 7" xfId="61807" xr:uid="{00000000-0005-0000-0000-000081F10000}"/>
    <cellStyle name="Porcentual 3 8 2 2 3" xfId="61808" xr:uid="{00000000-0005-0000-0000-000082F10000}"/>
    <cellStyle name="Porcentual 3 8 2 2 3 2" xfId="61809" xr:uid="{00000000-0005-0000-0000-000083F10000}"/>
    <cellStyle name="Porcentual 3 8 2 2 3 2 2" xfId="61810" xr:uid="{00000000-0005-0000-0000-000084F10000}"/>
    <cellStyle name="Porcentual 3 8 2 2 3 2 2 2" xfId="61811" xr:uid="{00000000-0005-0000-0000-000085F10000}"/>
    <cellStyle name="Porcentual 3 8 2 2 3 2 2 2 2" xfId="61812" xr:uid="{00000000-0005-0000-0000-000086F10000}"/>
    <cellStyle name="Porcentual 3 8 2 2 3 2 2 3" xfId="61813" xr:uid="{00000000-0005-0000-0000-000087F10000}"/>
    <cellStyle name="Porcentual 3 8 2 2 3 2 2 4" xfId="61814" xr:uid="{00000000-0005-0000-0000-000088F10000}"/>
    <cellStyle name="Porcentual 3 8 2 2 3 2 3" xfId="61815" xr:uid="{00000000-0005-0000-0000-000089F10000}"/>
    <cellStyle name="Porcentual 3 8 2 2 3 2 3 2" xfId="61816" xr:uid="{00000000-0005-0000-0000-00008AF10000}"/>
    <cellStyle name="Porcentual 3 8 2 2 3 2 4" xfId="61817" xr:uid="{00000000-0005-0000-0000-00008BF10000}"/>
    <cellStyle name="Porcentual 3 8 2 2 3 2 5" xfId="61818" xr:uid="{00000000-0005-0000-0000-00008CF10000}"/>
    <cellStyle name="Porcentual 3 8 2 2 3 3" xfId="61819" xr:uid="{00000000-0005-0000-0000-00008DF10000}"/>
    <cellStyle name="Porcentual 3 8 2 2 3 3 2" xfId="61820" xr:uid="{00000000-0005-0000-0000-00008EF10000}"/>
    <cellStyle name="Porcentual 3 8 2 2 3 3 2 2" xfId="61821" xr:uid="{00000000-0005-0000-0000-00008FF10000}"/>
    <cellStyle name="Porcentual 3 8 2 2 3 3 3" xfId="61822" xr:uid="{00000000-0005-0000-0000-000090F10000}"/>
    <cellStyle name="Porcentual 3 8 2 2 3 3 3 2" xfId="61823" xr:uid="{00000000-0005-0000-0000-000091F10000}"/>
    <cellStyle name="Porcentual 3 8 2 2 3 3 4" xfId="61824" xr:uid="{00000000-0005-0000-0000-000092F10000}"/>
    <cellStyle name="Porcentual 3 8 2 2 3 3 5" xfId="61825" xr:uid="{00000000-0005-0000-0000-000093F10000}"/>
    <cellStyle name="Porcentual 3 8 2 2 3 4" xfId="61826" xr:uid="{00000000-0005-0000-0000-000094F10000}"/>
    <cellStyle name="Porcentual 3 8 2 2 3 4 2" xfId="61827" xr:uid="{00000000-0005-0000-0000-000095F10000}"/>
    <cellStyle name="Porcentual 3 8 2 2 3 5" xfId="61828" xr:uid="{00000000-0005-0000-0000-000096F10000}"/>
    <cellStyle name="Porcentual 3 8 2 2 3 5 2" xfId="61829" xr:uid="{00000000-0005-0000-0000-000097F10000}"/>
    <cellStyle name="Porcentual 3 8 2 2 3 6" xfId="61830" xr:uid="{00000000-0005-0000-0000-000098F10000}"/>
    <cellStyle name="Porcentual 3 8 2 2 3 7" xfId="61831" xr:uid="{00000000-0005-0000-0000-000099F10000}"/>
    <cellStyle name="Porcentual 3 8 2 2 4" xfId="61832" xr:uid="{00000000-0005-0000-0000-00009AF10000}"/>
    <cellStyle name="Porcentual 3 8 2 2 4 2" xfId="61833" xr:uid="{00000000-0005-0000-0000-00009BF10000}"/>
    <cellStyle name="Porcentual 3 8 2 2 4 2 2" xfId="61834" xr:uid="{00000000-0005-0000-0000-00009CF10000}"/>
    <cellStyle name="Porcentual 3 8 2 2 4 2 2 2" xfId="61835" xr:uid="{00000000-0005-0000-0000-00009DF10000}"/>
    <cellStyle name="Porcentual 3 8 2 2 4 2 3" xfId="61836" xr:uid="{00000000-0005-0000-0000-00009EF10000}"/>
    <cellStyle name="Porcentual 3 8 2 2 4 2 4" xfId="61837" xr:uid="{00000000-0005-0000-0000-00009FF10000}"/>
    <cellStyle name="Porcentual 3 8 2 2 4 3" xfId="61838" xr:uid="{00000000-0005-0000-0000-0000A0F10000}"/>
    <cellStyle name="Porcentual 3 8 2 2 4 3 2" xfId="61839" xr:uid="{00000000-0005-0000-0000-0000A1F10000}"/>
    <cellStyle name="Porcentual 3 8 2 2 4 4" xfId="61840" xr:uid="{00000000-0005-0000-0000-0000A2F10000}"/>
    <cellStyle name="Porcentual 3 8 2 2 4 5" xfId="61841" xr:uid="{00000000-0005-0000-0000-0000A3F10000}"/>
    <cellStyle name="Porcentual 3 8 2 2 5" xfId="61842" xr:uid="{00000000-0005-0000-0000-0000A4F10000}"/>
    <cellStyle name="Porcentual 3 8 2 2 5 2" xfId="61843" xr:uid="{00000000-0005-0000-0000-0000A5F10000}"/>
    <cellStyle name="Porcentual 3 8 2 2 5 2 2" xfId="61844" xr:uid="{00000000-0005-0000-0000-0000A6F10000}"/>
    <cellStyle name="Porcentual 3 8 2 2 5 3" xfId="61845" xr:uid="{00000000-0005-0000-0000-0000A7F10000}"/>
    <cellStyle name="Porcentual 3 8 2 2 5 3 2" xfId="61846" xr:uid="{00000000-0005-0000-0000-0000A8F10000}"/>
    <cellStyle name="Porcentual 3 8 2 2 5 4" xfId="61847" xr:uid="{00000000-0005-0000-0000-0000A9F10000}"/>
    <cellStyle name="Porcentual 3 8 2 2 5 5" xfId="61848" xr:uid="{00000000-0005-0000-0000-0000AAF10000}"/>
    <cellStyle name="Porcentual 3 8 2 2 6" xfId="61849" xr:uid="{00000000-0005-0000-0000-0000ABF10000}"/>
    <cellStyle name="Porcentual 3 8 2 2 6 2" xfId="61850" xr:uid="{00000000-0005-0000-0000-0000ACF10000}"/>
    <cellStyle name="Porcentual 3 8 2 2 7" xfId="61851" xr:uid="{00000000-0005-0000-0000-0000ADF10000}"/>
    <cellStyle name="Porcentual 3 8 2 2 7 2" xfId="61852" xr:uid="{00000000-0005-0000-0000-0000AEF10000}"/>
    <cellStyle name="Porcentual 3 8 2 2 8" xfId="61853" xr:uid="{00000000-0005-0000-0000-0000AFF10000}"/>
    <cellStyle name="Porcentual 3 8 2 2 9" xfId="61854" xr:uid="{00000000-0005-0000-0000-0000B0F10000}"/>
    <cellStyle name="Porcentual 3 8 2 3" xfId="61855" xr:uid="{00000000-0005-0000-0000-0000B1F10000}"/>
    <cellStyle name="Porcentual 3 8 2 3 2" xfId="61856" xr:uid="{00000000-0005-0000-0000-0000B2F10000}"/>
    <cellStyle name="Porcentual 3 8 2 3 2 2" xfId="61857" xr:uid="{00000000-0005-0000-0000-0000B3F10000}"/>
    <cellStyle name="Porcentual 3 8 2 3 2 2 2" xfId="61858" xr:uid="{00000000-0005-0000-0000-0000B4F10000}"/>
    <cellStyle name="Porcentual 3 8 2 3 2 2 2 2" xfId="61859" xr:uid="{00000000-0005-0000-0000-0000B5F10000}"/>
    <cellStyle name="Porcentual 3 8 2 3 2 2 2 2 2" xfId="61860" xr:uid="{00000000-0005-0000-0000-0000B6F10000}"/>
    <cellStyle name="Porcentual 3 8 2 3 2 2 2 3" xfId="61861" xr:uid="{00000000-0005-0000-0000-0000B7F10000}"/>
    <cellStyle name="Porcentual 3 8 2 3 2 2 2 4" xfId="61862" xr:uid="{00000000-0005-0000-0000-0000B8F10000}"/>
    <cellStyle name="Porcentual 3 8 2 3 2 2 3" xfId="61863" xr:uid="{00000000-0005-0000-0000-0000B9F10000}"/>
    <cellStyle name="Porcentual 3 8 2 3 2 2 3 2" xfId="61864" xr:uid="{00000000-0005-0000-0000-0000BAF10000}"/>
    <cellStyle name="Porcentual 3 8 2 3 2 2 4" xfId="61865" xr:uid="{00000000-0005-0000-0000-0000BBF10000}"/>
    <cellStyle name="Porcentual 3 8 2 3 2 2 5" xfId="61866" xr:uid="{00000000-0005-0000-0000-0000BCF10000}"/>
    <cellStyle name="Porcentual 3 8 2 3 2 3" xfId="61867" xr:uid="{00000000-0005-0000-0000-0000BDF10000}"/>
    <cellStyle name="Porcentual 3 8 2 3 2 3 2" xfId="61868" xr:uid="{00000000-0005-0000-0000-0000BEF10000}"/>
    <cellStyle name="Porcentual 3 8 2 3 2 3 2 2" xfId="61869" xr:uid="{00000000-0005-0000-0000-0000BFF10000}"/>
    <cellStyle name="Porcentual 3 8 2 3 2 3 3" xfId="61870" xr:uid="{00000000-0005-0000-0000-0000C0F10000}"/>
    <cellStyle name="Porcentual 3 8 2 3 2 3 4" xfId="61871" xr:uid="{00000000-0005-0000-0000-0000C1F10000}"/>
    <cellStyle name="Porcentual 3 8 2 3 2 4" xfId="61872" xr:uid="{00000000-0005-0000-0000-0000C2F10000}"/>
    <cellStyle name="Porcentual 3 8 2 3 2 4 2" xfId="61873" xr:uid="{00000000-0005-0000-0000-0000C3F10000}"/>
    <cellStyle name="Porcentual 3 8 2 3 2 5" xfId="61874" xr:uid="{00000000-0005-0000-0000-0000C4F10000}"/>
    <cellStyle name="Porcentual 3 8 2 3 2 6" xfId="61875" xr:uid="{00000000-0005-0000-0000-0000C5F10000}"/>
    <cellStyle name="Porcentual 3 8 2 3 3" xfId="61876" xr:uid="{00000000-0005-0000-0000-0000C6F10000}"/>
    <cellStyle name="Porcentual 3 8 2 3 3 2" xfId="61877" xr:uid="{00000000-0005-0000-0000-0000C7F10000}"/>
    <cellStyle name="Porcentual 3 8 2 3 3 2 2" xfId="61878" xr:uid="{00000000-0005-0000-0000-0000C8F10000}"/>
    <cellStyle name="Porcentual 3 8 2 3 3 2 2 2" xfId="61879" xr:uid="{00000000-0005-0000-0000-0000C9F10000}"/>
    <cellStyle name="Porcentual 3 8 2 3 3 2 3" xfId="61880" xr:uid="{00000000-0005-0000-0000-0000CAF10000}"/>
    <cellStyle name="Porcentual 3 8 2 3 3 2 4" xfId="61881" xr:uid="{00000000-0005-0000-0000-0000CBF10000}"/>
    <cellStyle name="Porcentual 3 8 2 3 3 3" xfId="61882" xr:uid="{00000000-0005-0000-0000-0000CCF10000}"/>
    <cellStyle name="Porcentual 3 8 2 3 3 3 2" xfId="61883" xr:uid="{00000000-0005-0000-0000-0000CDF10000}"/>
    <cellStyle name="Porcentual 3 8 2 3 3 4" xfId="61884" xr:uid="{00000000-0005-0000-0000-0000CEF10000}"/>
    <cellStyle name="Porcentual 3 8 2 3 3 5" xfId="61885" xr:uid="{00000000-0005-0000-0000-0000CFF10000}"/>
    <cellStyle name="Porcentual 3 8 2 3 4" xfId="61886" xr:uid="{00000000-0005-0000-0000-0000D0F10000}"/>
    <cellStyle name="Porcentual 3 8 2 3 4 2" xfId="61887" xr:uid="{00000000-0005-0000-0000-0000D1F10000}"/>
    <cellStyle name="Porcentual 3 8 2 3 4 2 2" xfId="61888" xr:uid="{00000000-0005-0000-0000-0000D2F10000}"/>
    <cellStyle name="Porcentual 3 8 2 3 4 3" xfId="61889" xr:uid="{00000000-0005-0000-0000-0000D3F10000}"/>
    <cellStyle name="Porcentual 3 8 2 3 4 4" xfId="61890" xr:uid="{00000000-0005-0000-0000-0000D4F10000}"/>
    <cellStyle name="Porcentual 3 8 2 3 5" xfId="61891" xr:uid="{00000000-0005-0000-0000-0000D5F10000}"/>
    <cellStyle name="Porcentual 3 8 2 3 5 2" xfId="61892" xr:uid="{00000000-0005-0000-0000-0000D6F10000}"/>
    <cellStyle name="Porcentual 3 8 2 3 6" xfId="61893" xr:uid="{00000000-0005-0000-0000-0000D7F10000}"/>
    <cellStyle name="Porcentual 3 8 2 3 7" xfId="61894" xr:uid="{00000000-0005-0000-0000-0000D8F10000}"/>
    <cellStyle name="Porcentual 3 8 2 4" xfId="61895" xr:uid="{00000000-0005-0000-0000-0000D9F10000}"/>
    <cellStyle name="Porcentual 3 8 2 4 2" xfId="61896" xr:uid="{00000000-0005-0000-0000-0000DAF10000}"/>
    <cellStyle name="Porcentual 3 8 2 4 2 2" xfId="61897" xr:uid="{00000000-0005-0000-0000-0000DBF10000}"/>
    <cellStyle name="Porcentual 3 8 2 4 2 2 2" xfId="61898" xr:uid="{00000000-0005-0000-0000-0000DCF10000}"/>
    <cellStyle name="Porcentual 3 8 2 4 2 2 2 2" xfId="61899" xr:uid="{00000000-0005-0000-0000-0000DDF10000}"/>
    <cellStyle name="Porcentual 3 8 2 4 2 2 3" xfId="61900" xr:uid="{00000000-0005-0000-0000-0000DEF10000}"/>
    <cellStyle name="Porcentual 3 8 2 4 2 2 4" xfId="61901" xr:uid="{00000000-0005-0000-0000-0000DFF10000}"/>
    <cellStyle name="Porcentual 3 8 2 4 2 3" xfId="61902" xr:uid="{00000000-0005-0000-0000-0000E0F10000}"/>
    <cellStyle name="Porcentual 3 8 2 4 2 3 2" xfId="61903" xr:uid="{00000000-0005-0000-0000-0000E1F10000}"/>
    <cellStyle name="Porcentual 3 8 2 4 2 4" xfId="61904" xr:uid="{00000000-0005-0000-0000-0000E2F10000}"/>
    <cellStyle name="Porcentual 3 8 2 4 2 5" xfId="61905" xr:uid="{00000000-0005-0000-0000-0000E3F10000}"/>
    <cellStyle name="Porcentual 3 8 2 4 3" xfId="61906" xr:uid="{00000000-0005-0000-0000-0000E4F10000}"/>
    <cellStyle name="Porcentual 3 8 2 4 3 2" xfId="61907" xr:uid="{00000000-0005-0000-0000-0000E5F10000}"/>
    <cellStyle name="Porcentual 3 8 2 4 3 2 2" xfId="61908" xr:uid="{00000000-0005-0000-0000-0000E6F10000}"/>
    <cellStyle name="Porcentual 3 8 2 4 3 3" xfId="61909" xr:uid="{00000000-0005-0000-0000-0000E7F10000}"/>
    <cellStyle name="Porcentual 3 8 2 4 3 3 2" xfId="61910" xr:uid="{00000000-0005-0000-0000-0000E8F10000}"/>
    <cellStyle name="Porcentual 3 8 2 4 3 4" xfId="61911" xr:uid="{00000000-0005-0000-0000-0000E9F10000}"/>
    <cellStyle name="Porcentual 3 8 2 4 3 5" xfId="61912" xr:uid="{00000000-0005-0000-0000-0000EAF10000}"/>
    <cellStyle name="Porcentual 3 8 2 4 4" xfId="61913" xr:uid="{00000000-0005-0000-0000-0000EBF10000}"/>
    <cellStyle name="Porcentual 3 8 2 4 4 2" xfId="61914" xr:uid="{00000000-0005-0000-0000-0000ECF10000}"/>
    <cellStyle name="Porcentual 3 8 2 4 5" xfId="61915" xr:uid="{00000000-0005-0000-0000-0000EDF10000}"/>
    <cellStyle name="Porcentual 3 8 2 4 5 2" xfId="61916" xr:uid="{00000000-0005-0000-0000-0000EEF10000}"/>
    <cellStyle name="Porcentual 3 8 2 4 6" xfId="61917" xr:uid="{00000000-0005-0000-0000-0000EFF10000}"/>
    <cellStyle name="Porcentual 3 8 2 4 7" xfId="61918" xr:uid="{00000000-0005-0000-0000-0000F0F10000}"/>
    <cellStyle name="Porcentual 3 8 2 5" xfId="61919" xr:uid="{00000000-0005-0000-0000-0000F1F10000}"/>
    <cellStyle name="Porcentual 3 8 2 5 2" xfId="61920" xr:uid="{00000000-0005-0000-0000-0000F2F10000}"/>
    <cellStyle name="Porcentual 3 8 2 5 2 2" xfId="61921" xr:uid="{00000000-0005-0000-0000-0000F3F10000}"/>
    <cellStyle name="Porcentual 3 8 2 5 2 2 2" xfId="61922" xr:uid="{00000000-0005-0000-0000-0000F4F10000}"/>
    <cellStyle name="Porcentual 3 8 2 5 2 3" xfId="61923" xr:uid="{00000000-0005-0000-0000-0000F5F10000}"/>
    <cellStyle name="Porcentual 3 8 2 5 2 4" xfId="61924" xr:uid="{00000000-0005-0000-0000-0000F6F10000}"/>
    <cellStyle name="Porcentual 3 8 2 5 3" xfId="61925" xr:uid="{00000000-0005-0000-0000-0000F7F10000}"/>
    <cellStyle name="Porcentual 3 8 2 5 3 2" xfId="61926" xr:uid="{00000000-0005-0000-0000-0000F8F10000}"/>
    <cellStyle name="Porcentual 3 8 2 5 4" xfId="61927" xr:uid="{00000000-0005-0000-0000-0000F9F10000}"/>
    <cellStyle name="Porcentual 3 8 2 5 5" xfId="61928" xr:uid="{00000000-0005-0000-0000-0000FAF10000}"/>
    <cellStyle name="Porcentual 3 8 2 6" xfId="61929" xr:uid="{00000000-0005-0000-0000-0000FBF10000}"/>
    <cellStyle name="Porcentual 3 8 2 6 2" xfId="61930" xr:uid="{00000000-0005-0000-0000-0000FCF10000}"/>
    <cellStyle name="Porcentual 3 8 2 6 2 2" xfId="61931" xr:uid="{00000000-0005-0000-0000-0000FDF10000}"/>
    <cellStyle name="Porcentual 3 8 2 6 3" xfId="61932" xr:uid="{00000000-0005-0000-0000-0000FEF10000}"/>
    <cellStyle name="Porcentual 3 8 2 6 3 2" xfId="61933" xr:uid="{00000000-0005-0000-0000-0000FFF10000}"/>
    <cellStyle name="Porcentual 3 8 2 6 4" xfId="61934" xr:uid="{00000000-0005-0000-0000-000000F20000}"/>
    <cellStyle name="Porcentual 3 8 2 6 5" xfId="61935" xr:uid="{00000000-0005-0000-0000-000001F20000}"/>
    <cellStyle name="Porcentual 3 8 2 7" xfId="61936" xr:uid="{00000000-0005-0000-0000-000002F20000}"/>
    <cellStyle name="Porcentual 3 8 2 7 2" xfId="61937" xr:uid="{00000000-0005-0000-0000-000003F20000}"/>
    <cellStyle name="Porcentual 3 8 2 8" xfId="61938" xr:uid="{00000000-0005-0000-0000-000004F20000}"/>
    <cellStyle name="Porcentual 3 8 2 8 2" xfId="61939" xr:uid="{00000000-0005-0000-0000-000005F20000}"/>
    <cellStyle name="Porcentual 3 8 2 9" xfId="61940" xr:uid="{00000000-0005-0000-0000-000006F20000}"/>
    <cellStyle name="Porcentual 3 8 3" xfId="61941" xr:uid="{00000000-0005-0000-0000-000007F20000}"/>
    <cellStyle name="Porcentual 3 8 3 2" xfId="61942" xr:uid="{00000000-0005-0000-0000-000008F20000}"/>
    <cellStyle name="Porcentual 3 8 3 2 2" xfId="61943" xr:uid="{00000000-0005-0000-0000-000009F20000}"/>
    <cellStyle name="Porcentual 3 8 3 2 2 2" xfId="61944" xr:uid="{00000000-0005-0000-0000-00000AF20000}"/>
    <cellStyle name="Porcentual 3 8 3 2 2 2 2" xfId="61945" xr:uid="{00000000-0005-0000-0000-00000BF20000}"/>
    <cellStyle name="Porcentual 3 8 3 2 2 2 2 2" xfId="61946" xr:uid="{00000000-0005-0000-0000-00000CF20000}"/>
    <cellStyle name="Porcentual 3 8 3 2 2 2 2 2 2" xfId="61947" xr:uid="{00000000-0005-0000-0000-00000DF20000}"/>
    <cellStyle name="Porcentual 3 8 3 2 2 2 2 3" xfId="61948" xr:uid="{00000000-0005-0000-0000-00000EF20000}"/>
    <cellStyle name="Porcentual 3 8 3 2 2 2 2 4" xfId="61949" xr:uid="{00000000-0005-0000-0000-00000FF20000}"/>
    <cellStyle name="Porcentual 3 8 3 2 2 2 3" xfId="61950" xr:uid="{00000000-0005-0000-0000-000010F20000}"/>
    <cellStyle name="Porcentual 3 8 3 2 2 2 3 2" xfId="61951" xr:uid="{00000000-0005-0000-0000-000011F20000}"/>
    <cellStyle name="Porcentual 3 8 3 2 2 2 4" xfId="61952" xr:uid="{00000000-0005-0000-0000-000012F20000}"/>
    <cellStyle name="Porcentual 3 8 3 2 2 2 5" xfId="61953" xr:uid="{00000000-0005-0000-0000-000013F20000}"/>
    <cellStyle name="Porcentual 3 8 3 2 2 3" xfId="61954" xr:uid="{00000000-0005-0000-0000-000014F20000}"/>
    <cellStyle name="Porcentual 3 8 3 2 2 3 2" xfId="61955" xr:uid="{00000000-0005-0000-0000-000015F20000}"/>
    <cellStyle name="Porcentual 3 8 3 2 2 3 2 2" xfId="61956" xr:uid="{00000000-0005-0000-0000-000016F20000}"/>
    <cellStyle name="Porcentual 3 8 3 2 2 3 3" xfId="61957" xr:uid="{00000000-0005-0000-0000-000017F20000}"/>
    <cellStyle name="Porcentual 3 8 3 2 2 3 4" xfId="61958" xr:uid="{00000000-0005-0000-0000-000018F20000}"/>
    <cellStyle name="Porcentual 3 8 3 2 2 4" xfId="61959" xr:uid="{00000000-0005-0000-0000-000019F20000}"/>
    <cellStyle name="Porcentual 3 8 3 2 2 4 2" xfId="61960" xr:uid="{00000000-0005-0000-0000-00001AF20000}"/>
    <cellStyle name="Porcentual 3 8 3 2 2 5" xfId="61961" xr:uid="{00000000-0005-0000-0000-00001BF20000}"/>
    <cellStyle name="Porcentual 3 8 3 2 2 6" xfId="61962" xr:uid="{00000000-0005-0000-0000-00001CF20000}"/>
    <cellStyle name="Porcentual 3 8 3 2 3" xfId="61963" xr:uid="{00000000-0005-0000-0000-00001DF20000}"/>
    <cellStyle name="Porcentual 3 8 3 2 3 2" xfId="61964" xr:uid="{00000000-0005-0000-0000-00001EF20000}"/>
    <cellStyle name="Porcentual 3 8 3 2 3 2 2" xfId="61965" xr:uid="{00000000-0005-0000-0000-00001FF20000}"/>
    <cellStyle name="Porcentual 3 8 3 2 3 2 2 2" xfId="61966" xr:uid="{00000000-0005-0000-0000-000020F20000}"/>
    <cellStyle name="Porcentual 3 8 3 2 3 2 3" xfId="61967" xr:uid="{00000000-0005-0000-0000-000021F20000}"/>
    <cellStyle name="Porcentual 3 8 3 2 3 2 4" xfId="61968" xr:uid="{00000000-0005-0000-0000-000022F20000}"/>
    <cellStyle name="Porcentual 3 8 3 2 3 3" xfId="61969" xr:uid="{00000000-0005-0000-0000-000023F20000}"/>
    <cellStyle name="Porcentual 3 8 3 2 3 3 2" xfId="61970" xr:uid="{00000000-0005-0000-0000-000024F20000}"/>
    <cellStyle name="Porcentual 3 8 3 2 3 4" xfId="61971" xr:uid="{00000000-0005-0000-0000-000025F20000}"/>
    <cellStyle name="Porcentual 3 8 3 2 3 5" xfId="61972" xr:uid="{00000000-0005-0000-0000-000026F20000}"/>
    <cellStyle name="Porcentual 3 8 3 2 4" xfId="61973" xr:uid="{00000000-0005-0000-0000-000027F20000}"/>
    <cellStyle name="Porcentual 3 8 3 2 4 2" xfId="61974" xr:uid="{00000000-0005-0000-0000-000028F20000}"/>
    <cellStyle name="Porcentual 3 8 3 2 4 2 2" xfId="61975" xr:uid="{00000000-0005-0000-0000-000029F20000}"/>
    <cellStyle name="Porcentual 3 8 3 2 4 3" xfId="61976" xr:uid="{00000000-0005-0000-0000-00002AF20000}"/>
    <cellStyle name="Porcentual 3 8 3 2 4 4" xfId="61977" xr:uid="{00000000-0005-0000-0000-00002BF20000}"/>
    <cellStyle name="Porcentual 3 8 3 2 5" xfId="61978" xr:uid="{00000000-0005-0000-0000-00002CF20000}"/>
    <cellStyle name="Porcentual 3 8 3 2 5 2" xfId="61979" xr:uid="{00000000-0005-0000-0000-00002DF20000}"/>
    <cellStyle name="Porcentual 3 8 3 2 6" xfId="61980" xr:uid="{00000000-0005-0000-0000-00002EF20000}"/>
    <cellStyle name="Porcentual 3 8 3 2 7" xfId="61981" xr:uid="{00000000-0005-0000-0000-00002FF20000}"/>
    <cellStyle name="Porcentual 3 8 3 3" xfId="61982" xr:uid="{00000000-0005-0000-0000-000030F20000}"/>
    <cellStyle name="Porcentual 3 8 3 3 2" xfId="61983" xr:uid="{00000000-0005-0000-0000-000031F20000}"/>
    <cellStyle name="Porcentual 3 8 3 3 2 2" xfId="61984" xr:uid="{00000000-0005-0000-0000-000032F20000}"/>
    <cellStyle name="Porcentual 3 8 3 3 2 2 2" xfId="61985" xr:uid="{00000000-0005-0000-0000-000033F20000}"/>
    <cellStyle name="Porcentual 3 8 3 3 2 2 2 2" xfId="61986" xr:uid="{00000000-0005-0000-0000-000034F20000}"/>
    <cellStyle name="Porcentual 3 8 3 3 2 2 3" xfId="61987" xr:uid="{00000000-0005-0000-0000-000035F20000}"/>
    <cellStyle name="Porcentual 3 8 3 3 2 2 4" xfId="61988" xr:uid="{00000000-0005-0000-0000-000036F20000}"/>
    <cellStyle name="Porcentual 3 8 3 3 2 3" xfId="61989" xr:uid="{00000000-0005-0000-0000-000037F20000}"/>
    <cellStyle name="Porcentual 3 8 3 3 2 3 2" xfId="61990" xr:uid="{00000000-0005-0000-0000-000038F20000}"/>
    <cellStyle name="Porcentual 3 8 3 3 2 4" xfId="61991" xr:uid="{00000000-0005-0000-0000-000039F20000}"/>
    <cellStyle name="Porcentual 3 8 3 3 2 5" xfId="61992" xr:uid="{00000000-0005-0000-0000-00003AF20000}"/>
    <cellStyle name="Porcentual 3 8 3 3 3" xfId="61993" xr:uid="{00000000-0005-0000-0000-00003BF20000}"/>
    <cellStyle name="Porcentual 3 8 3 3 3 2" xfId="61994" xr:uid="{00000000-0005-0000-0000-00003CF20000}"/>
    <cellStyle name="Porcentual 3 8 3 3 3 2 2" xfId="61995" xr:uid="{00000000-0005-0000-0000-00003DF20000}"/>
    <cellStyle name="Porcentual 3 8 3 3 3 3" xfId="61996" xr:uid="{00000000-0005-0000-0000-00003EF20000}"/>
    <cellStyle name="Porcentual 3 8 3 3 3 3 2" xfId="61997" xr:uid="{00000000-0005-0000-0000-00003FF20000}"/>
    <cellStyle name="Porcentual 3 8 3 3 3 4" xfId="61998" xr:uid="{00000000-0005-0000-0000-000040F20000}"/>
    <cellStyle name="Porcentual 3 8 3 3 3 5" xfId="61999" xr:uid="{00000000-0005-0000-0000-000041F20000}"/>
    <cellStyle name="Porcentual 3 8 3 3 4" xfId="62000" xr:uid="{00000000-0005-0000-0000-000042F20000}"/>
    <cellStyle name="Porcentual 3 8 3 3 4 2" xfId="62001" xr:uid="{00000000-0005-0000-0000-000043F20000}"/>
    <cellStyle name="Porcentual 3 8 3 3 5" xfId="62002" xr:uid="{00000000-0005-0000-0000-000044F20000}"/>
    <cellStyle name="Porcentual 3 8 3 3 5 2" xfId="62003" xr:uid="{00000000-0005-0000-0000-000045F20000}"/>
    <cellStyle name="Porcentual 3 8 3 3 6" xfId="62004" xr:uid="{00000000-0005-0000-0000-000046F20000}"/>
    <cellStyle name="Porcentual 3 8 3 3 7" xfId="62005" xr:uid="{00000000-0005-0000-0000-000047F20000}"/>
    <cellStyle name="Porcentual 3 8 3 4" xfId="62006" xr:uid="{00000000-0005-0000-0000-000048F20000}"/>
    <cellStyle name="Porcentual 3 8 3 4 2" xfId="62007" xr:uid="{00000000-0005-0000-0000-000049F20000}"/>
    <cellStyle name="Porcentual 3 8 3 4 2 2" xfId="62008" xr:uid="{00000000-0005-0000-0000-00004AF20000}"/>
    <cellStyle name="Porcentual 3 8 3 4 2 2 2" xfId="62009" xr:uid="{00000000-0005-0000-0000-00004BF20000}"/>
    <cellStyle name="Porcentual 3 8 3 4 2 3" xfId="62010" xr:uid="{00000000-0005-0000-0000-00004CF20000}"/>
    <cellStyle name="Porcentual 3 8 3 4 2 4" xfId="62011" xr:uid="{00000000-0005-0000-0000-00004DF20000}"/>
    <cellStyle name="Porcentual 3 8 3 4 3" xfId="62012" xr:uid="{00000000-0005-0000-0000-00004EF20000}"/>
    <cellStyle name="Porcentual 3 8 3 4 3 2" xfId="62013" xr:uid="{00000000-0005-0000-0000-00004FF20000}"/>
    <cellStyle name="Porcentual 3 8 3 4 4" xfId="62014" xr:uid="{00000000-0005-0000-0000-000050F20000}"/>
    <cellStyle name="Porcentual 3 8 3 4 5" xfId="62015" xr:uid="{00000000-0005-0000-0000-000051F20000}"/>
    <cellStyle name="Porcentual 3 8 3 5" xfId="62016" xr:uid="{00000000-0005-0000-0000-000052F20000}"/>
    <cellStyle name="Porcentual 3 8 3 5 2" xfId="62017" xr:uid="{00000000-0005-0000-0000-000053F20000}"/>
    <cellStyle name="Porcentual 3 8 3 5 2 2" xfId="62018" xr:uid="{00000000-0005-0000-0000-000054F20000}"/>
    <cellStyle name="Porcentual 3 8 3 5 3" xfId="62019" xr:uid="{00000000-0005-0000-0000-000055F20000}"/>
    <cellStyle name="Porcentual 3 8 3 5 3 2" xfId="62020" xr:uid="{00000000-0005-0000-0000-000056F20000}"/>
    <cellStyle name="Porcentual 3 8 3 5 4" xfId="62021" xr:uid="{00000000-0005-0000-0000-000057F20000}"/>
    <cellStyle name="Porcentual 3 8 3 5 5" xfId="62022" xr:uid="{00000000-0005-0000-0000-000058F20000}"/>
    <cellStyle name="Porcentual 3 8 3 6" xfId="62023" xr:uid="{00000000-0005-0000-0000-000059F20000}"/>
    <cellStyle name="Porcentual 3 8 3 6 2" xfId="62024" xr:uid="{00000000-0005-0000-0000-00005AF20000}"/>
    <cellStyle name="Porcentual 3 8 3 7" xfId="62025" xr:uid="{00000000-0005-0000-0000-00005BF20000}"/>
    <cellStyle name="Porcentual 3 8 3 7 2" xfId="62026" xr:uid="{00000000-0005-0000-0000-00005CF20000}"/>
    <cellStyle name="Porcentual 3 8 3 8" xfId="62027" xr:uid="{00000000-0005-0000-0000-00005DF20000}"/>
    <cellStyle name="Porcentual 3 8 3 9" xfId="62028" xr:uid="{00000000-0005-0000-0000-00005EF20000}"/>
    <cellStyle name="Porcentual 3 8 4" xfId="62029" xr:uid="{00000000-0005-0000-0000-00005FF20000}"/>
    <cellStyle name="Porcentual 3 8 4 2" xfId="62030" xr:uid="{00000000-0005-0000-0000-000060F20000}"/>
    <cellStyle name="Porcentual 3 8 4 2 2" xfId="62031" xr:uid="{00000000-0005-0000-0000-000061F20000}"/>
    <cellStyle name="Porcentual 3 8 4 2 2 2" xfId="62032" xr:uid="{00000000-0005-0000-0000-000062F20000}"/>
    <cellStyle name="Porcentual 3 8 4 2 2 2 2" xfId="62033" xr:uid="{00000000-0005-0000-0000-000063F20000}"/>
    <cellStyle name="Porcentual 3 8 4 2 2 2 2 2" xfId="62034" xr:uid="{00000000-0005-0000-0000-000064F20000}"/>
    <cellStyle name="Porcentual 3 8 4 2 2 2 3" xfId="62035" xr:uid="{00000000-0005-0000-0000-000065F20000}"/>
    <cellStyle name="Porcentual 3 8 4 2 2 2 4" xfId="62036" xr:uid="{00000000-0005-0000-0000-000066F20000}"/>
    <cellStyle name="Porcentual 3 8 4 2 2 3" xfId="62037" xr:uid="{00000000-0005-0000-0000-000067F20000}"/>
    <cellStyle name="Porcentual 3 8 4 2 2 3 2" xfId="62038" xr:uid="{00000000-0005-0000-0000-000068F20000}"/>
    <cellStyle name="Porcentual 3 8 4 2 2 4" xfId="62039" xr:uid="{00000000-0005-0000-0000-000069F20000}"/>
    <cellStyle name="Porcentual 3 8 4 2 2 5" xfId="62040" xr:uid="{00000000-0005-0000-0000-00006AF20000}"/>
    <cellStyle name="Porcentual 3 8 4 2 3" xfId="62041" xr:uid="{00000000-0005-0000-0000-00006BF20000}"/>
    <cellStyle name="Porcentual 3 8 4 2 3 2" xfId="62042" xr:uid="{00000000-0005-0000-0000-00006CF20000}"/>
    <cellStyle name="Porcentual 3 8 4 2 3 2 2" xfId="62043" xr:uid="{00000000-0005-0000-0000-00006DF20000}"/>
    <cellStyle name="Porcentual 3 8 4 2 3 3" xfId="62044" xr:uid="{00000000-0005-0000-0000-00006EF20000}"/>
    <cellStyle name="Porcentual 3 8 4 2 3 3 2" xfId="62045" xr:uid="{00000000-0005-0000-0000-00006FF20000}"/>
    <cellStyle name="Porcentual 3 8 4 2 3 4" xfId="62046" xr:uid="{00000000-0005-0000-0000-000070F20000}"/>
    <cellStyle name="Porcentual 3 8 4 2 3 5" xfId="62047" xr:uid="{00000000-0005-0000-0000-000071F20000}"/>
    <cellStyle name="Porcentual 3 8 4 2 4" xfId="62048" xr:uid="{00000000-0005-0000-0000-000072F20000}"/>
    <cellStyle name="Porcentual 3 8 4 2 4 2" xfId="62049" xr:uid="{00000000-0005-0000-0000-000073F20000}"/>
    <cellStyle name="Porcentual 3 8 4 2 5" xfId="62050" xr:uid="{00000000-0005-0000-0000-000074F20000}"/>
    <cellStyle name="Porcentual 3 8 4 2 5 2" xfId="62051" xr:uid="{00000000-0005-0000-0000-000075F20000}"/>
    <cellStyle name="Porcentual 3 8 4 2 6" xfId="62052" xr:uid="{00000000-0005-0000-0000-000076F20000}"/>
    <cellStyle name="Porcentual 3 8 4 2 7" xfId="62053" xr:uid="{00000000-0005-0000-0000-000077F20000}"/>
    <cellStyle name="Porcentual 3 8 4 3" xfId="62054" xr:uid="{00000000-0005-0000-0000-000078F20000}"/>
    <cellStyle name="Porcentual 3 8 4 3 2" xfId="62055" xr:uid="{00000000-0005-0000-0000-000079F20000}"/>
    <cellStyle name="Porcentual 3 8 4 3 2 2" xfId="62056" xr:uid="{00000000-0005-0000-0000-00007AF20000}"/>
    <cellStyle name="Porcentual 3 8 4 3 2 2 2" xfId="62057" xr:uid="{00000000-0005-0000-0000-00007BF20000}"/>
    <cellStyle name="Porcentual 3 8 4 3 2 3" xfId="62058" xr:uid="{00000000-0005-0000-0000-00007CF20000}"/>
    <cellStyle name="Porcentual 3 8 4 3 2 4" xfId="62059" xr:uid="{00000000-0005-0000-0000-00007DF20000}"/>
    <cellStyle name="Porcentual 3 8 4 3 3" xfId="62060" xr:uid="{00000000-0005-0000-0000-00007EF20000}"/>
    <cellStyle name="Porcentual 3 8 4 3 3 2" xfId="62061" xr:uid="{00000000-0005-0000-0000-00007FF20000}"/>
    <cellStyle name="Porcentual 3 8 4 3 4" xfId="62062" xr:uid="{00000000-0005-0000-0000-000080F20000}"/>
    <cellStyle name="Porcentual 3 8 4 3 5" xfId="62063" xr:uid="{00000000-0005-0000-0000-000081F20000}"/>
    <cellStyle name="Porcentual 3 8 4 4" xfId="62064" xr:uid="{00000000-0005-0000-0000-000082F20000}"/>
    <cellStyle name="Porcentual 3 8 4 4 2" xfId="62065" xr:uid="{00000000-0005-0000-0000-000083F20000}"/>
    <cellStyle name="Porcentual 3 8 4 4 2 2" xfId="62066" xr:uid="{00000000-0005-0000-0000-000084F20000}"/>
    <cellStyle name="Porcentual 3 8 4 4 3" xfId="62067" xr:uid="{00000000-0005-0000-0000-000085F20000}"/>
    <cellStyle name="Porcentual 3 8 4 4 3 2" xfId="62068" xr:uid="{00000000-0005-0000-0000-000086F20000}"/>
    <cellStyle name="Porcentual 3 8 4 4 4" xfId="62069" xr:uid="{00000000-0005-0000-0000-000087F20000}"/>
    <cellStyle name="Porcentual 3 8 4 4 5" xfId="62070" xr:uid="{00000000-0005-0000-0000-000088F20000}"/>
    <cellStyle name="Porcentual 3 8 4 5" xfId="62071" xr:uid="{00000000-0005-0000-0000-000089F20000}"/>
    <cellStyle name="Porcentual 3 8 4 5 2" xfId="62072" xr:uid="{00000000-0005-0000-0000-00008AF20000}"/>
    <cellStyle name="Porcentual 3 8 4 6" xfId="62073" xr:uid="{00000000-0005-0000-0000-00008BF20000}"/>
    <cellStyle name="Porcentual 3 8 4 6 2" xfId="62074" xr:uid="{00000000-0005-0000-0000-00008CF20000}"/>
    <cellStyle name="Porcentual 3 8 4 7" xfId="62075" xr:uid="{00000000-0005-0000-0000-00008DF20000}"/>
    <cellStyle name="Porcentual 3 8 4 8" xfId="62076" xr:uid="{00000000-0005-0000-0000-00008EF20000}"/>
    <cellStyle name="Porcentual 3 8 5" xfId="62077" xr:uid="{00000000-0005-0000-0000-00008FF20000}"/>
    <cellStyle name="Porcentual 3 8 5 2" xfId="62078" xr:uid="{00000000-0005-0000-0000-000090F20000}"/>
    <cellStyle name="Porcentual 3 8 5 2 2" xfId="62079" xr:uid="{00000000-0005-0000-0000-000091F20000}"/>
    <cellStyle name="Porcentual 3 8 5 2 2 2" xfId="62080" xr:uid="{00000000-0005-0000-0000-000092F20000}"/>
    <cellStyle name="Porcentual 3 8 5 2 2 2 2" xfId="62081" xr:uid="{00000000-0005-0000-0000-000093F20000}"/>
    <cellStyle name="Porcentual 3 8 5 2 2 3" xfId="62082" xr:uid="{00000000-0005-0000-0000-000094F20000}"/>
    <cellStyle name="Porcentual 3 8 5 2 2 4" xfId="62083" xr:uid="{00000000-0005-0000-0000-000095F20000}"/>
    <cellStyle name="Porcentual 3 8 5 2 3" xfId="62084" xr:uid="{00000000-0005-0000-0000-000096F20000}"/>
    <cellStyle name="Porcentual 3 8 5 2 3 2" xfId="62085" xr:uid="{00000000-0005-0000-0000-000097F20000}"/>
    <cellStyle name="Porcentual 3 8 5 2 4" xfId="62086" xr:uid="{00000000-0005-0000-0000-000098F20000}"/>
    <cellStyle name="Porcentual 3 8 5 2 5" xfId="62087" xr:uid="{00000000-0005-0000-0000-000099F20000}"/>
    <cellStyle name="Porcentual 3 8 5 3" xfId="62088" xr:uid="{00000000-0005-0000-0000-00009AF20000}"/>
    <cellStyle name="Porcentual 3 8 5 3 2" xfId="62089" xr:uid="{00000000-0005-0000-0000-00009BF20000}"/>
    <cellStyle name="Porcentual 3 8 5 3 2 2" xfId="62090" xr:uid="{00000000-0005-0000-0000-00009CF20000}"/>
    <cellStyle name="Porcentual 3 8 5 3 3" xfId="62091" xr:uid="{00000000-0005-0000-0000-00009DF20000}"/>
    <cellStyle name="Porcentual 3 8 5 3 3 2" xfId="62092" xr:uid="{00000000-0005-0000-0000-00009EF20000}"/>
    <cellStyle name="Porcentual 3 8 5 3 4" xfId="62093" xr:uid="{00000000-0005-0000-0000-00009FF20000}"/>
    <cellStyle name="Porcentual 3 8 5 3 5" xfId="62094" xr:uid="{00000000-0005-0000-0000-0000A0F20000}"/>
    <cellStyle name="Porcentual 3 8 5 4" xfId="62095" xr:uid="{00000000-0005-0000-0000-0000A1F20000}"/>
    <cellStyle name="Porcentual 3 8 5 4 2" xfId="62096" xr:uid="{00000000-0005-0000-0000-0000A2F20000}"/>
    <cellStyle name="Porcentual 3 8 5 5" xfId="62097" xr:uid="{00000000-0005-0000-0000-0000A3F20000}"/>
    <cellStyle name="Porcentual 3 8 5 5 2" xfId="62098" xr:uid="{00000000-0005-0000-0000-0000A4F20000}"/>
    <cellStyle name="Porcentual 3 8 5 6" xfId="62099" xr:uid="{00000000-0005-0000-0000-0000A5F20000}"/>
    <cellStyle name="Porcentual 3 8 5 7" xfId="62100" xr:uid="{00000000-0005-0000-0000-0000A6F20000}"/>
    <cellStyle name="Porcentual 3 8 6" xfId="62101" xr:uid="{00000000-0005-0000-0000-0000A7F20000}"/>
    <cellStyle name="Porcentual 3 8 6 2" xfId="62102" xr:uid="{00000000-0005-0000-0000-0000A8F20000}"/>
    <cellStyle name="Porcentual 3 8 6 2 2" xfId="62103" xr:uid="{00000000-0005-0000-0000-0000A9F20000}"/>
    <cellStyle name="Porcentual 3 8 6 2 2 2" xfId="62104" xr:uid="{00000000-0005-0000-0000-0000AAF20000}"/>
    <cellStyle name="Porcentual 3 8 6 2 3" xfId="62105" xr:uid="{00000000-0005-0000-0000-0000ABF20000}"/>
    <cellStyle name="Porcentual 3 8 6 2 4" xfId="62106" xr:uid="{00000000-0005-0000-0000-0000ACF20000}"/>
    <cellStyle name="Porcentual 3 8 6 3" xfId="62107" xr:uid="{00000000-0005-0000-0000-0000ADF20000}"/>
    <cellStyle name="Porcentual 3 8 6 3 2" xfId="62108" xr:uid="{00000000-0005-0000-0000-0000AEF20000}"/>
    <cellStyle name="Porcentual 3 8 6 4" xfId="62109" xr:uid="{00000000-0005-0000-0000-0000AFF20000}"/>
    <cellStyle name="Porcentual 3 8 6 5" xfId="62110" xr:uid="{00000000-0005-0000-0000-0000B0F20000}"/>
    <cellStyle name="Porcentual 3 8 7" xfId="62111" xr:uid="{00000000-0005-0000-0000-0000B1F20000}"/>
    <cellStyle name="Porcentual 3 8 7 2" xfId="62112" xr:uid="{00000000-0005-0000-0000-0000B2F20000}"/>
    <cellStyle name="Porcentual 3 8 7 2 2" xfId="62113" xr:uid="{00000000-0005-0000-0000-0000B3F20000}"/>
    <cellStyle name="Porcentual 3 8 7 3" xfId="62114" xr:uid="{00000000-0005-0000-0000-0000B4F20000}"/>
    <cellStyle name="Porcentual 3 8 7 3 2" xfId="62115" xr:uid="{00000000-0005-0000-0000-0000B5F20000}"/>
    <cellStyle name="Porcentual 3 8 7 4" xfId="62116" xr:uid="{00000000-0005-0000-0000-0000B6F20000}"/>
    <cellStyle name="Porcentual 3 8 7 5" xfId="62117" xr:uid="{00000000-0005-0000-0000-0000B7F20000}"/>
    <cellStyle name="Porcentual 3 8 8" xfId="62118" xr:uid="{00000000-0005-0000-0000-0000B8F20000}"/>
    <cellStyle name="Porcentual 3 8 8 2" xfId="62119" xr:uid="{00000000-0005-0000-0000-0000B9F20000}"/>
    <cellStyle name="Porcentual 3 8 9" xfId="62120" xr:uid="{00000000-0005-0000-0000-0000BAF20000}"/>
    <cellStyle name="Porcentual 3 8 9 2" xfId="62121" xr:uid="{00000000-0005-0000-0000-0000BBF20000}"/>
    <cellStyle name="Porcentual 3 9" xfId="62122" xr:uid="{00000000-0005-0000-0000-0000BCF20000}"/>
    <cellStyle name="Porcentual 3 9 10" xfId="62123" xr:uid="{00000000-0005-0000-0000-0000BDF20000}"/>
    <cellStyle name="Porcentual 3 9 11" xfId="62124" xr:uid="{00000000-0005-0000-0000-0000BEF20000}"/>
    <cellStyle name="Porcentual 3 9 2" xfId="62125" xr:uid="{00000000-0005-0000-0000-0000BFF20000}"/>
    <cellStyle name="Porcentual 3 9 2 10" xfId="62126" xr:uid="{00000000-0005-0000-0000-0000C0F20000}"/>
    <cellStyle name="Porcentual 3 9 2 2" xfId="62127" xr:uid="{00000000-0005-0000-0000-0000C1F20000}"/>
    <cellStyle name="Porcentual 3 9 2 2 2" xfId="62128" xr:uid="{00000000-0005-0000-0000-0000C2F20000}"/>
    <cellStyle name="Porcentual 3 9 2 2 2 2" xfId="62129" xr:uid="{00000000-0005-0000-0000-0000C3F20000}"/>
    <cellStyle name="Porcentual 3 9 2 2 2 2 2" xfId="62130" xr:uid="{00000000-0005-0000-0000-0000C4F20000}"/>
    <cellStyle name="Porcentual 3 9 2 2 2 2 2 2" xfId="62131" xr:uid="{00000000-0005-0000-0000-0000C5F20000}"/>
    <cellStyle name="Porcentual 3 9 2 2 2 2 2 2 2" xfId="62132" xr:uid="{00000000-0005-0000-0000-0000C6F20000}"/>
    <cellStyle name="Porcentual 3 9 2 2 2 2 2 2 2 2" xfId="62133" xr:uid="{00000000-0005-0000-0000-0000C7F20000}"/>
    <cellStyle name="Porcentual 3 9 2 2 2 2 2 2 3" xfId="62134" xr:uid="{00000000-0005-0000-0000-0000C8F20000}"/>
    <cellStyle name="Porcentual 3 9 2 2 2 2 2 2 4" xfId="62135" xr:uid="{00000000-0005-0000-0000-0000C9F20000}"/>
    <cellStyle name="Porcentual 3 9 2 2 2 2 2 3" xfId="62136" xr:uid="{00000000-0005-0000-0000-0000CAF20000}"/>
    <cellStyle name="Porcentual 3 9 2 2 2 2 2 3 2" xfId="62137" xr:uid="{00000000-0005-0000-0000-0000CBF20000}"/>
    <cellStyle name="Porcentual 3 9 2 2 2 2 2 4" xfId="62138" xr:uid="{00000000-0005-0000-0000-0000CCF20000}"/>
    <cellStyle name="Porcentual 3 9 2 2 2 2 2 5" xfId="62139" xr:uid="{00000000-0005-0000-0000-0000CDF20000}"/>
    <cellStyle name="Porcentual 3 9 2 2 2 2 3" xfId="62140" xr:uid="{00000000-0005-0000-0000-0000CEF20000}"/>
    <cellStyle name="Porcentual 3 9 2 2 2 2 3 2" xfId="62141" xr:uid="{00000000-0005-0000-0000-0000CFF20000}"/>
    <cellStyle name="Porcentual 3 9 2 2 2 2 3 2 2" xfId="62142" xr:uid="{00000000-0005-0000-0000-0000D0F20000}"/>
    <cellStyle name="Porcentual 3 9 2 2 2 2 3 3" xfId="62143" xr:uid="{00000000-0005-0000-0000-0000D1F20000}"/>
    <cellStyle name="Porcentual 3 9 2 2 2 2 3 4" xfId="62144" xr:uid="{00000000-0005-0000-0000-0000D2F20000}"/>
    <cellStyle name="Porcentual 3 9 2 2 2 2 4" xfId="62145" xr:uid="{00000000-0005-0000-0000-0000D3F20000}"/>
    <cellStyle name="Porcentual 3 9 2 2 2 2 4 2" xfId="62146" xr:uid="{00000000-0005-0000-0000-0000D4F20000}"/>
    <cellStyle name="Porcentual 3 9 2 2 2 2 5" xfId="62147" xr:uid="{00000000-0005-0000-0000-0000D5F20000}"/>
    <cellStyle name="Porcentual 3 9 2 2 2 2 6" xfId="62148" xr:uid="{00000000-0005-0000-0000-0000D6F20000}"/>
    <cellStyle name="Porcentual 3 9 2 2 2 3" xfId="62149" xr:uid="{00000000-0005-0000-0000-0000D7F20000}"/>
    <cellStyle name="Porcentual 3 9 2 2 2 3 2" xfId="62150" xr:uid="{00000000-0005-0000-0000-0000D8F20000}"/>
    <cellStyle name="Porcentual 3 9 2 2 2 3 2 2" xfId="62151" xr:uid="{00000000-0005-0000-0000-0000D9F20000}"/>
    <cellStyle name="Porcentual 3 9 2 2 2 3 2 2 2" xfId="62152" xr:uid="{00000000-0005-0000-0000-0000DAF20000}"/>
    <cellStyle name="Porcentual 3 9 2 2 2 3 2 3" xfId="62153" xr:uid="{00000000-0005-0000-0000-0000DBF20000}"/>
    <cellStyle name="Porcentual 3 9 2 2 2 3 2 4" xfId="62154" xr:uid="{00000000-0005-0000-0000-0000DCF20000}"/>
    <cellStyle name="Porcentual 3 9 2 2 2 3 3" xfId="62155" xr:uid="{00000000-0005-0000-0000-0000DDF20000}"/>
    <cellStyle name="Porcentual 3 9 2 2 2 3 3 2" xfId="62156" xr:uid="{00000000-0005-0000-0000-0000DEF20000}"/>
    <cellStyle name="Porcentual 3 9 2 2 2 3 4" xfId="62157" xr:uid="{00000000-0005-0000-0000-0000DFF20000}"/>
    <cellStyle name="Porcentual 3 9 2 2 2 3 5" xfId="62158" xr:uid="{00000000-0005-0000-0000-0000E0F20000}"/>
    <cellStyle name="Porcentual 3 9 2 2 2 4" xfId="62159" xr:uid="{00000000-0005-0000-0000-0000E1F20000}"/>
    <cellStyle name="Porcentual 3 9 2 2 2 4 2" xfId="62160" xr:uid="{00000000-0005-0000-0000-0000E2F20000}"/>
    <cellStyle name="Porcentual 3 9 2 2 2 4 2 2" xfId="62161" xr:uid="{00000000-0005-0000-0000-0000E3F20000}"/>
    <cellStyle name="Porcentual 3 9 2 2 2 4 3" xfId="62162" xr:uid="{00000000-0005-0000-0000-0000E4F20000}"/>
    <cellStyle name="Porcentual 3 9 2 2 2 4 4" xfId="62163" xr:uid="{00000000-0005-0000-0000-0000E5F20000}"/>
    <cellStyle name="Porcentual 3 9 2 2 2 5" xfId="62164" xr:uid="{00000000-0005-0000-0000-0000E6F20000}"/>
    <cellStyle name="Porcentual 3 9 2 2 2 5 2" xfId="62165" xr:uid="{00000000-0005-0000-0000-0000E7F20000}"/>
    <cellStyle name="Porcentual 3 9 2 2 2 6" xfId="62166" xr:uid="{00000000-0005-0000-0000-0000E8F20000}"/>
    <cellStyle name="Porcentual 3 9 2 2 2 7" xfId="62167" xr:uid="{00000000-0005-0000-0000-0000E9F20000}"/>
    <cellStyle name="Porcentual 3 9 2 2 3" xfId="62168" xr:uid="{00000000-0005-0000-0000-0000EAF20000}"/>
    <cellStyle name="Porcentual 3 9 2 2 3 2" xfId="62169" xr:uid="{00000000-0005-0000-0000-0000EBF20000}"/>
    <cellStyle name="Porcentual 3 9 2 2 3 2 2" xfId="62170" xr:uid="{00000000-0005-0000-0000-0000ECF20000}"/>
    <cellStyle name="Porcentual 3 9 2 2 3 2 2 2" xfId="62171" xr:uid="{00000000-0005-0000-0000-0000EDF20000}"/>
    <cellStyle name="Porcentual 3 9 2 2 3 2 2 2 2" xfId="62172" xr:uid="{00000000-0005-0000-0000-0000EEF20000}"/>
    <cellStyle name="Porcentual 3 9 2 2 3 2 2 3" xfId="62173" xr:uid="{00000000-0005-0000-0000-0000EFF20000}"/>
    <cellStyle name="Porcentual 3 9 2 2 3 2 2 4" xfId="62174" xr:uid="{00000000-0005-0000-0000-0000F0F20000}"/>
    <cellStyle name="Porcentual 3 9 2 2 3 2 3" xfId="62175" xr:uid="{00000000-0005-0000-0000-0000F1F20000}"/>
    <cellStyle name="Porcentual 3 9 2 2 3 2 3 2" xfId="62176" xr:uid="{00000000-0005-0000-0000-0000F2F20000}"/>
    <cellStyle name="Porcentual 3 9 2 2 3 2 4" xfId="62177" xr:uid="{00000000-0005-0000-0000-0000F3F20000}"/>
    <cellStyle name="Porcentual 3 9 2 2 3 2 5" xfId="62178" xr:uid="{00000000-0005-0000-0000-0000F4F20000}"/>
    <cellStyle name="Porcentual 3 9 2 2 3 3" xfId="62179" xr:uid="{00000000-0005-0000-0000-0000F5F20000}"/>
    <cellStyle name="Porcentual 3 9 2 2 3 3 2" xfId="62180" xr:uid="{00000000-0005-0000-0000-0000F6F20000}"/>
    <cellStyle name="Porcentual 3 9 2 2 3 3 2 2" xfId="62181" xr:uid="{00000000-0005-0000-0000-0000F7F20000}"/>
    <cellStyle name="Porcentual 3 9 2 2 3 3 3" xfId="62182" xr:uid="{00000000-0005-0000-0000-0000F8F20000}"/>
    <cellStyle name="Porcentual 3 9 2 2 3 3 3 2" xfId="62183" xr:uid="{00000000-0005-0000-0000-0000F9F20000}"/>
    <cellStyle name="Porcentual 3 9 2 2 3 3 4" xfId="62184" xr:uid="{00000000-0005-0000-0000-0000FAF20000}"/>
    <cellStyle name="Porcentual 3 9 2 2 3 3 5" xfId="62185" xr:uid="{00000000-0005-0000-0000-0000FBF20000}"/>
    <cellStyle name="Porcentual 3 9 2 2 3 4" xfId="62186" xr:uid="{00000000-0005-0000-0000-0000FCF20000}"/>
    <cellStyle name="Porcentual 3 9 2 2 3 4 2" xfId="62187" xr:uid="{00000000-0005-0000-0000-0000FDF20000}"/>
    <cellStyle name="Porcentual 3 9 2 2 3 5" xfId="62188" xr:uid="{00000000-0005-0000-0000-0000FEF20000}"/>
    <cellStyle name="Porcentual 3 9 2 2 3 5 2" xfId="62189" xr:uid="{00000000-0005-0000-0000-0000FFF20000}"/>
    <cellStyle name="Porcentual 3 9 2 2 3 6" xfId="62190" xr:uid="{00000000-0005-0000-0000-000000F30000}"/>
    <cellStyle name="Porcentual 3 9 2 2 3 7" xfId="62191" xr:uid="{00000000-0005-0000-0000-000001F30000}"/>
    <cellStyle name="Porcentual 3 9 2 2 4" xfId="62192" xr:uid="{00000000-0005-0000-0000-000002F30000}"/>
    <cellStyle name="Porcentual 3 9 2 2 4 2" xfId="62193" xr:uid="{00000000-0005-0000-0000-000003F30000}"/>
    <cellStyle name="Porcentual 3 9 2 2 4 2 2" xfId="62194" xr:uid="{00000000-0005-0000-0000-000004F30000}"/>
    <cellStyle name="Porcentual 3 9 2 2 4 2 2 2" xfId="62195" xr:uid="{00000000-0005-0000-0000-000005F30000}"/>
    <cellStyle name="Porcentual 3 9 2 2 4 2 3" xfId="62196" xr:uid="{00000000-0005-0000-0000-000006F30000}"/>
    <cellStyle name="Porcentual 3 9 2 2 4 2 4" xfId="62197" xr:uid="{00000000-0005-0000-0000-000007F30000}"/>
    <cellStyle name="Porcentual 3 9 2 2 4 3" xfId="62198" xr:uid="{00000000-0005-0000-0000-000008F30000}"/>
    <cellStyle name="Porcentual 3 9 2 2 4 3 2" xfId="62199" xr:uid="{00000000-0005-0000-0000-000009F30000}"/>
    <cellStyle name="Porcentual 3 9 2 2 4 4" xfId="62200" xr:uid="{00000000-0005-0000-0000-00000AF30000}"/>
    <cellStyle name="Porcentual 3 9 2 2 4 5" xfId="62201" xr:uid="{00000000-0005-0000-0000-00000BF30000}"/>
    <cellStyle name="Porcentual 3 9 2 2 5" xfId="62202" xr:uid="{00000000-0005-0000-0000-00000CF30000}"/>
    <cellStyle name="Porcentual 3 9 2 2 5 2" xfId="62203" xr:uid="{00000000-0005-0000-0000-00000DF30000}"/>
    <cellStyle name="Porcentual 3 9 2 2 5 2 2" xfId="62204" xr:uid="{00000000-0005-0000-0000-00000EF30000}"/>
    <cellStyle name="Porcentual 3 9 2 2 5 3" xfId="62205" xr:uid="{00000000-0005-0000-0000-00000FF30000}"/>
    <cellStyle name="Porcentual 3 9 2 2 5 3 2" xfId="62206" xr:uid="{00000000-0005-0000-0000-000010F30000}"/>
    <cellStyle name="Porcentual 3 9 2 2 5 4" xfId="62207" xr:uid="{00000000-0005-0000-0000-000011F30000}"/>
    <cellStyle name="Porcentual 3 9 2 2 5 5" xfId="62208" xr:uid="{00000000-0005-0000-0000-000012F30000}"/>
    <cellStyle name="Porcentual 3 9 2 2 6" xfId="62209" xr:uid="{00000000-0005-0000-0000-000013F30000}"/>
    <cellStyle name="Porcentual 3 9 2 2 6 2" xfId="62210" xr:uid="{00000000-0005-0000-0000-000014F30000}"/>
    <cellStyle name="Porcentual 3 9 2 2 7" xfId="62211" xr:uid="{00000000-0005-0000-0000-000015F30000}"/>
    <cellStyle name="Porcentual 3 9 2 2 7 2" xfId="62212" xr:uid="{00000000-0005-0000-0000-000016F30000}"/>
    <cellStyle name="Porcentual 3 9 2 2 8" xfId="62213" xr:uid="{00000000-0005-0000-0000-000017F30000}"/>
    <cellStyle name="Porcentual 3 9 2 2 9" xfId="62214" xr:uid="{00000000-0005-0000-0000-000018F30000}"/>
    <cellStyle name="Porcentual 3 9 2 3" xfId="62215" xr:uid="{00000000-0005-0000-0000-000019F30000}"/>
    <cellStyle name="Porcentual 3 9 2 3 2" xfId="62216" xr:uid="{00000000-0005-0000-0000-00001AF30000}"/>
    <cellStyle name="Porcentual 3 9 2 3 2 2" xfId="62217" xr:uid="{00000000-0005-0000-0000-00001BF30000}"/>
    <cellStyle name="Porcentual 3 9 2 3 2 2 2" xfId="62218" xr:uid="{00000000-0005-0000-0000-00001CF30000}"/>
    <cellStyle name="Porcentual 3 9 2 3 2 2 2 2" xfId="62219" xr:uid="{00000000-0005-0000-0000-00001DF30000}"/>
    <cellStyle name="Porcentual 3 9 2 3 2 2 2 2 2" xfId="62220" xr:uid="{00000000-0005-0000-0000-00001EF30000}"/>
    <cellStyle name="Porcentual 3 9 2 3 2 2 2 3" xfId="62221" xr:uid="{00000000-0005-0000-0000-00001FF30000}"/>
    <cellStyle name="Porcentual 3 9 2 3 2 2 2 4" xfId="62222" xr:uid="{00000000-0005-0000-0000-000020F30000}"/>
    <cellStyle name="Porcentual 3 9 2 3 2 2 3" xfId="62223" xr:uid="{00000000-0005-0000-0000-000021F30000}"/>
    <cellStyle name="Porcentual 3 9 2 3 2 2 3 2" xfId="62224" xr:uid="{00000000-0005-0000-0000-000022F30000}"/>
    <cellStyle name="Porcentual 3 9 2 3 2 2 4" xfId="62225" xr:uid="{00000000-0005-0000-0000-000023F30000}"/>
    <cellStyle name="Porcentual 3 9 2 3 2 2 5" xfId="62226" xr:uid="{00000000-0005-0000-0000-000024F30000}"/>
    <cellStyle name="Porcentual 3 9 2 3 2 3" xfId="62227" xr:uid="{00000000-0005-0000-0000-000025F30000}"/>
    <cellStyle name="Porcentual 3 9 2 3 2 3 2" xfId="62228" xr:uid="{00000000-0005-0000-0000-000026F30000}"/>
    <cellStyle name="Porcentual 3 9 2 3 2 3 2 2" xfId="62229" xr:uid="{00000000-0005-0000-0000-000027F30000}"/>
    <cellStyle name="Porcentual 3 9 2 3 2 3 3" xfId="62230" xr:uid="{00000000-0005-0000-0000-000028F30000}"/>
    <cellStyle name="Porcentual 3 9 2 3 2 3 4" xfId="62231" xr:uid="{00000000-0005-0000-0000-000029F30000}"/>
    <cellStyle name="Porcentual 3 9 2 3 2 4" xfId="62232" xr:uid="{00000000-0005-0000-0000-00002AF30000}"/>
    <cellStyle name="Porcentual 3 9 2 3 2 4 2" xfId="62233" xr:uid="{00000000-0005-0000-0000-00002BF30000}"/>
    <cellStyle name="Porcentual 3 9 2 3 2 5" xfId="62234" xr:uid="{00000000-0005-0000-0000-00002CF30000}"/>
    <cellStyle name="Porcentual 3 9 2 3 2 6" xfId="62235" xr:uid="{00000000-0005-0000-0000-00002DF30000}"/>
    <cellStyle name="Porcentual 3 9 2 3 3" xfId="62236" xr:uid="{00000000-0005-0000-0000-00002EF30000}"/>
    <cellStyle name="Porcentual 3 9 2 3 3 2" xfId="62237" xr:uid="{00000000-0005-0000-0000-00002FF30000}"/>
    <cellStyle name="Porcentual 3 9 2 3 3 2 2" xfId="62238" xr:uid="{00000000-0005-0000-0000-000030F30000}"/>
    <cellStyle name="Porcentual 3 9 2 3 3 2 2 2" xfId="62239" xr:uid="{00000000-0005-0000-0000-000031F30000}"/>
    <cellStyle name="Porcentual 3 9 2 3 3 2 3" xfId="62240" xr:uid="{00000000-0005-0000-0000-000032F30000}"/>
    <cellStyle name="Porcentual 3 9 2 3 3 2 4" xfId="62241" xr:uid="{00000000-0005-0000-0000-000033F30000}"/>
    <cellStyle name="Porcentual 3 9 2 3 3 3" xfId="62242" xr:uid="{00000000-0005-0000-0000-000034F30000}"/>
    <cellStyle name="Porcentual 3 9 2 3 3 3 2" xfId="62243" xr:uid="{00000000-0005-0000-0000-000035F30000}"/>
    <cellStyle name="Porcentual 3 9 2 3 3 4" xfId="62244" xr:uid="{00000000-0005-0000-0000-000036F30000}"/>
    <cellStyle name="Porcentual 3 9 2 3 3 5" xfId="62245" xr:uid="{00000000-0005-0000-0000-000037F30000}"/>
    <cellStyle name="Porcentual 3 9 2 3 4" xfId="62246" xr:uid="{00000000-0005-0000-0000-000038F30000}"/>
    <cellStyle name="Porcentual 3 9 2 3 4 2" xfId="62247" xr:uid="{00000000-0005-0000-0000-000039F30000}"/>
    <cellStyle name="Porcentual 3 9 2 3 4 2 2" xfId="62248" xr:uid="{00000000-0005-0000-0000-00003AF30000}"/>
    <cellStyle name="Porcentual 3 9 2 3 4 3" xfId="62249" xr:uid="{00000000-0005-0000-0000-00003BF30000}"/>
    <cellStyle name="Porcentual 3 9 2 3 4 4" xfId="62250" xr:uid="{00000000-0005-0000-0000-00003CF30000}"/>
    <cellStyle name="Porcentual 3 9 2 3 5" xfId="62251" xr:uid="{00000000-0005-0000-0000-00003DF30000}"/>
    <cellStyle name="Porcentual 3 9 2 3 5 2" xfId="62252" xr:uid="{00000000-0005-0000-0000-00003EF30000}"/>
    <cellStyle name="Porcentual 3 9 2 3 6" xfId="62253" xr:uid="{00000000-0005-0000-0000-00003FF30000}"/>
    <cellStyle name="Porcentual 3 9 2 3 7" xfId="62254" xr:uid="{00000000-0005-0000-0000-000040F30000}"/>
    <cellStyle name="Porcentual 3 9 2 4" xfId="62255" xr:uid="{00000000-0005-0000-0000-000041F30000}"/>
    <cellStyle name="Porcentual 3 9 2 4 2" xfId="62256" xr:uid="{00000000-0005-0000-0000-000042F30000}"/>
    <cellStyle name="Porcentual 3 9 2 4 2 2" xfId="62257" xr:uid="{00000000-0005-0000-0000-000043F30000}"/>
    <cellStyle name="Porcentual 3 9 2 4 2 2 2" xfId="62258" xr:uid="{00000000-0005-0000-0000-000044F30000}"/>
    <cellStyle name="Porcentual 3 9 2 4 2 2 2 2" xfId="62259" xr:uid="{00000000-0005-0000-0000-000045F30000}"/>
    <cellStyle name="Porcentual 3 9 2 4 2 2 3" xfId="62260" xr:uid="{00000000-0005-0000-0000-000046F30000}"/>
    <cellStyle name="Porcentual 3 9 2 4 2 2 4" xfId="62261" xr:uid="{00000000-0005-0000-0000-000047F30000}"/>
    <cellStyle name="Porcentual 3 9 2 4 2 3" xfId="62262" xr:uid="{00000000-0005-0000-0000-000048F30000}"/>
    <cellStyle name="Porcentual 3 9 2 4 2 3 2" xfId="62263" xr:uid="{00000000-0005-0000-0000-000049F30000}"/>
    <cellStyle name="Porcentual 3 9 2 4 2 4" xfId="62264" xr:uid="{00000000-0005-0000-0000-00004AF30000}"/>
    <cellStyle name="Porcentual 3 9 2 4 2 5" xfId="62265" xr:uid="{00000000-0005-0000-0000-00004BF30000}"/>
    <cellStyle name="Porcentual 3 9 2 4 3" xfId="62266" xr:uid="{00000000-0005-0000-0000-00004CF30000}"/>
    <cellStyle name="Porcentual 3 9 2 4 3 2" xfId="62267" xr:uid="{00000000-0005-0000-0000-00004DF30000}"/>
    <cellStyle name="Porcentual 3 9 2 4 3 2 2" xfId="62268" xr:uid="{00000000-0005-0000-0000-00004EF30000}"/>
    <cellStyle name="Porcentual 3 9 2 4 3 3" xfId="62269" xr:uid="{00000000-0005-0000-0000-00004FF30000}"/>
    <cellStyle name="Porcentual 3 9 2 4 3 3 2" xfId="62270" xr:uid="{00000000-0005-0000-0000-000050F30000}"/>
    <cellStyle name="Porcentual 3 9 2 4 3 4" xfId="62271" xr:uid="{00000000-0005-0000-0000-000051F30000}"/>
    <cellStyle name="Porcentual 3 9 2 4 3 5" xfId="62272" xr:uid="{00000000-0005-0000-0000-000052F30000}"/>
    <cellStyle name="Porcentual 3 9 2 4 4" xfId="62273" xr:uid="{00000000-0005-0000-0000-000053F30000}"/>
    <cellStyle name="Porcentual 3 9 2 4 4 2" xfId="62274" xr:uid="{00000000-0005-0000-0000-000054F30000}"/>
    <cellStyle name="Porcentual 3 9 2 4 5" xfId="62275" xr:uid="{00000000-0005-0000-0000-000055F30000}"/>
    <cellStyle name="Porcentual 3 9 2 4 5 2" xfId="62276" xr:uid="{00000000-0005-0000-0000-000056F30000}"/>
    <cellStyle name="Porcentual 3 9 2 4 6" xfId="62277" xr:uid="{00000000-0005-0000-0000-000057F30000}"/>
    <cellStyle name="Porcentual 3 9 2 4 7" xfId="62278" xr:uid="{00000000-0005-0000-0000-000058F30000}"/>
    <cellStyle name="Porcentual 3 9 2 5" xfId="62279" xr:uid="{00000000-0005-0000-0000-000059F30000}"/>
    <cellStyle name="Porcentual 3 9 2 5 2" xfId="62280" xr:uid="{00000000-0005-0000-0000-00005AF30000}"/>
    <cellStyle name="Porcentual 3 9 2 5 2 2" xfId="62281" xr:uid="{00000000-0005-0000-0000-00005BF30000}"/>
    <cellStyle name="Porcentual 3 9 2 5 2 2 2" xfId="62282" xr:uid="{00000000-0005-0000-0000-00005CF30000}"/>
    <cellStyle name="Porcentual 3 9 2 5 2 3" xfId="62283" xr:uid="{00000000-0005-0000-0000-00005DF30000}"/>
    <cellStyle name="Porcentual 3 9 2 5 2 4" xfId="62284" xr:uid="{00000000-0005-0000-0000-00005EF30000}"/>
    <cellStyle name="Porcentual 3 9 2 5 3" xfId="62285" xr:uid="{00000000-0005-0000-0000-00005FF30000}"/>
    <cellStyle name="Porcentual 3 9 2 5 3 2" xfId="62286" xr:uid="{00000000-0005-0000-0000-000060F30000}"/>
    <cellStyle name="Porcentual 3 9 2 5 4" xfId="62287" xr:uid="{00000000-0005-0000-0000-000061F30000}"/>
    <cellStyle name="Porcentual 3 9 2 5 5" xfId="62288" xr:uid="{00000000-0005-0000-0000-000062F30000}"/>
    <cellStyle name="Porcentual 3 9 2 6" xfId="62289" xr:uid="{00000000-0005-0000-0000-000063F30000}"/>
    <cellStyle name="Porcentual 3 9 2 6 2" xfId="62290" xr:uid="{00000000-0005-0000-0000-000064F30000}"/>
    <cellStyle name="Porcentual 3 9 2 6 2 2" xfId="62291" xr:uid="{00000000-0005-0000-0000-000065F30000}"/>
    <cellStyle name="Porcentual 3 9 2 6 3" xfId="62292" xr:uid="{00000000-0005-0000-0000-000066F30000}"/>
    <cellStyle name="Porcentual 3 9 2 6 3 2" xfId="62293" xr:uid="{00000000-0005-0000-0000-000067F30000}"/>
    <cellStyle name="Porcentual 3 9 2 6 4" xfId="62294" xr:uid="{00000000-0005-0000-0000-000068F30000}"/>
    <cellStyle name="Porcentual 3 9 2 6 5" xfId="62295" xr:uid="{00000000-0005-0000-0000-000069F30000}"/>
    <cellStyle name="Porcentual 3 9 2 7" xfId="62296" xr:uid="{00000000-0005-0000-0000-00006AF30000}"/>
    <cellStyle name="Porcentual 3 9 2 7 2" xfId="62297" xr:uid="{00000000-0005-0000-0000-00006BF30000}"/>
    <cellStyle name="Porcentual 3 9 2 8" xfId="62298" xr:uid="{00000000-0005-0000-0000-00006CF30000}"/>
    <cellStyle name="Porcentual 3 9 2 8 2" xfId="62299" xr:uid="{00000000-0005-0000-0000-00006DF30000}"/>
    <cellStyle name="Porcentual 3 9 2 9" xfId="62300" xr:uid="{00000000-0005-0000-0000-00006EF30000}"/>
    <cellStyle name="Porcentual 3 9 3" xfId="62301" xr:uid="{00000000-0005-0000-0000-00006FF30000}"/>
    <cellStyle name="Porcentual 3 9 3 2" xfId="62302" xr:uid="{00000000-0005-0000-0000-000070F30000}"/>
    <cellStyle name="Porcentual 3 9 3 2 2" xfId="62303" xr:uid="{00000000-0005-0000-0000-000071F30000}"/>
    <cellStyle name="Porcentual 3 9 3 2 2 2" xfId="62304" xr:uid="{00000000-0005-0000-0000-000072F30000}"/>
    <cellStyle name="Porcentual 3 9 3 2 2 2 2" xfId="62305" xr:uid="{00000000-0005-0000-0000-000073F30000}"/>
    <cellStyle name="Porcentual 3 9 3 2 2 2 2 2" xfId="62306" xr:uid="{00000000-0005-0000-0000-000074F30000}"/>
    <cellStyle name="Porcentual 3 9 3 2 2 2 2 2 2" xfId="62307" xr:uid="{00000000-0005-0000-0000-000075F30000}"/>
    <cellStyle name="Porcentual 3 9 3 2 2 2 2 3" xfId="62308" xr:uid="{00000000-0005-0000-0000-000076F30000}"/>
    <cellStyle name="Porcentual 3 9 3 2 2 2 2 4" xfId="62309" xr:uid="{00000000-0005-0000-0000-000077F30000}"/>
    <cellStyle name="Porcentual 3 9 3 2 2 2 3" xfId="62310" xr:uid="{00000000-0005-0000-0000-000078F30000}"/>
    <cellStyle name="Porcentual 3 9 3 2 2 2 3 2" xfId="62311" xr:uid="{00000000-0005-0000-0000-000079F30000}"/>
    <cellStyle name="Porcentual 3 9 3 2 2 2 4" xfId="62312" xr:uid="{00000000-0005-0000-0000-00007AF30000}"/>
    <cellStyle name="Porcentual 3 9 3 2 2 2 5" xfId="62313" xr:uid="{00000000-0005-0000-0000-00007BF30000}"/>
    <cellStyle name="Porcentual 3 9 3 2 2 3" xfId="62314" xr:uid="{00000000-0005-0000-0000-00007CF30000}"/>
    <cellStyle name="Porcentual 3 9 3 2 2 3 2" xfId="62315" xr:uid="{00000000-0005-0000-0000-00007DF30000}"/>
    <cellStyle name="Porcentual 3 9 3 2 2 3 2 2" xfId="62316" xr:uid="{00000000-0005-0000-0000-00007EF30000}"/>
    <cellStyle name="Porcentual 3 9 3 2 2 3 3" xfId="62317" xr:uid="{00000000-0005-0000-0000-00007FF30000}"/>
    <cellStyle name="Porcentual 3 9 3 2 2 3 4" xfId="62318" xr:uid="{00000000-0005-0000-0000-000080F30000}"/>
    <cellStyle name="Porcentual 3 9 3 2 2 4" xfId="62319" xr:uid="{00000000-0005-0000-0000-000081F30000}"/>
    <cellStyle name="Porcentual 3 9 3 2 2 4 2" xfId="62320" xr:uid="{00000000-0005-0000-0000-000082F30000}"/>
    <cellStyle name="Porcentual 3 9 3 2 2 5" xfId="62321" xr:uid="{00000000-0005-0000-0000-000083F30000}"/>
    <cellStyle name="Porcentual 3 9 3 2 2 6" xfId="62322" xr:uid="{00000000-0005-0000-0000-000084F30000}"/>
    <cellStyle name="Porcentual 3 9 3 2 3" xfId="62323" xr:uid="{00000000-0005-0000-0000-000085F30000}"/>
    <cellStyle name="Porcentual 3 9 3 2 3 2" xfId="62324" xr:uid="{00000000-0005-0000-0000-000086F30000}"/>
    <cellStyle name="Porcentual 3 9 3 2 3 2 2" xfId="62325" xr:uid="{00000000-0005-0000-0000-000087F30000}"/>
    <cellStyle name="Porcentual 3 9 3 2 3 2 2 2" xfId="62326" xr:uid="{00000000-0005-0000-0000-000088F30000}"/>
    <cellStyle name="Porcentual 3 9 3 2 3 2 3" xfId="62327" xr:uid="{00000000-0005-0000-0000-000089F30000}"/>
    <cellStyle name="Porcentual 3 9 3 2 3 2 4" xfId="62328" xr:uid="{00000000-0005-0000-0000-00008AF30000}"/>
    <cellStyle name="Porcentual 3 9 3 2 3 3" xfId="62329" xr:uid="{00000000-0005-0000-0000-00008BF30000}"/>
    <cellStyle name="Porcentual 3 9 3 2 3 3 2" xfId="62330" xr:uid="{00000000-0005-0000-0000-00008CF30000}"/>
    <cellStyle name="Porcentual 3 9 3 2 3 4" xfId="62331" xr:uid="{00000000-0005-0000-0000-00008DF30000}"/>
    <cellStyle name="Porcentual 3 9 3 2 3 5" xfId="62332" xr:uid="{00000000-0005-0000-0000-00008EF30000}"/>
    <cellStyle name="Porcentual 3 9 3 2 4" xfId="62333" xr:uid="{00000000-0005-0000-0000-00008FF30000}"/>
    <cellStyle name="Porcentual 3 9 3 2 4 2" xfId="62334" xr:uid="{00000000-0005-0000-0000-000090F30000}"/>
    <cellStyle name="Porcentual 3 9 3 2 4 2 2" xfId="62335" xr:uid="{00000000-0005-0000-0000-000091F30000}"/>
    <cellStyle name="Porcentual 3 9 3 2 4 3" xfId="62336" xr:uid="{00000000-0005-0000-0000-000092F30000}"/>
    <cellStyle name="Porcentual 3 9 3 2 4 4" xfId="62337" xr:uid="{00000000-0005-0000-0000-000093F30000}"/>
    <cellStyle name="Porcentual 3 9 3 2 5" xfId="62338" xr:uid="{00000000-0005-0000-0000-000094F30000}"/>
    <cellStyle name="Porcentual 3 9 3 2 5 2" xfId="62339" xr:uid="{00000000-0005-0000-0000-000095F30000}"/>
    <cellStyle name="Porcentual 3 9 3 2 6" xfId="62340" xr:uid="{00000000-0005-0000-0000-000096F30000}"/>
    <cellStyle name="Porcentual 3 9 3 2 7" xfId="62341" xr:uid="{00000000-0005-0000-0000-000097F30000}"/>
    <cellStyle name="Porcentual 3 9 3 3" xfId="62342" xr:uid="{00000000-0005-0000-0000-000098F30000}"/>
    <cellStyle name="Porcentual 3 9 3 3 2" xfId="62343" xr:uid="{00000000-0005-0000-0000-000099F30000}"/>
    <cellStyle name="Porcentual 3 9 3 3 2 2" xfId="62344" xr:uid="{00000000-0005-0000-0000-00009AF30000}"/>
    <cellStyle name="Porcentual 3 9 3 3 2 2 2" xfId="62345" xr:uid="{00000000-0005-0000-0000-00009BF30000}"/>
    <cellStyle name="Porcentual 3 9 3 3 2 2 2 2" xfId="62346" xr:uid="{00000000-0005-0000-0000-00009CF30000}"/>
    <cellStyle name="Porcentual 3 9 3 3 2 2 3" xfId="62347" xr:uid="{00000000-0005-0000-0000-00009DF30000}"/>
    <cellStyle name="Porcentual 3 9 3 3 2 2 4" xfId="62348" xr:uid="{00000000-0005-0000-0000-00009EF30000}"/>
    <cellStyle name="Porcentual 3 9 3 3 2 3" xfId="62349" xr:uid="{00000000-0005-0000-0000-00009FF30000}"/>
    <cellStyle name="Porcentual 3 9 3 3 2 3 2" xfId="62350" xr:uid="{00000000-0005-0000-0000-0000A0F30000}"/>
    <cellStyle name="Porcentual 3 9 3 3 2 4" xfId="62351" xr:uid="{00000000-0005-0000-0000-0000A1F30000}"/>
    <cellStyle name="Porcentual 3 9 3 3 2 5" xfId="62352" xr:uid="{00000000-0005-0000-0000-0000A2F30000}"/>
    <cellStyle name="Porcentual 3 9 3 3 3" xfId="62353" xr:uid="{00000000-0005-0000-0000-0000A3F30000}"/>
    <cellStyle name="Porcentual 3 9 3 3 3 2" xfId="62354" xr:uid="{00000000-0005-0000-0000-0000A4F30000}"/>
    <cellStyle name="Porcentual 3 9 3 3 3 2 2" xfId="62355" xr:uid="{00000000-0005-0000-0000-0000A5F30000}"/>
    <cellStyle name="Porcentual 3 9 3 3 3 3" xfId="62356" xr:uid="{00000000-0005-0000-0000-0000A6F30000}"/>
    <cellStyle name="Porcentual 3 9 3 3 3 3 2" xfId="62357" xr:uid="{00000000-0005-0000-0000-0000A7F30000}"/>
    <cellStyle name="Porcentual 3 9 3 3 3 4" xfId="62358" xr:uid="{00000000-0005-0000-0000-0000A8F30000}"/>
    <cellStyle name="Porcentual 3 9 3 3 3 5" xfId="62359" xr:uid="{00000000-0005-0000-0000-0000A9F30000}"/>
    <cellStyle name="Porcentual 3 9 3 3 4" xfId="62360" xr:uid="{00000000-0005-0000-0000-0000AAF30000}"/>
    <cellStyle name="Porcentual 3 9 3 3 4 2" xfId="62361" xr:uid="{00000000-0005-0000-0000-0000ABF30000}"/>
    <cellStyle name="Porcentual 3 9 3 3 5" xfId="62362" xr:uid="{00000000-0005-0000-0000-0000ACF30000}"/>
    <cellStyle name="Porcentual 3 9 3 3 5 2" xfId="62363" xr:uid="{00000000-0005-0000-0000-0000ADF30000}"/>
    <cellStyle name="Porcentual 3 9 3 3 6" xfId="62364" xr:uid="{00000000-0005-0000-0000-0000AEF30000}"/>
    <cellStyle name="Porcentual 3 9 3 3 7" xfId="62365" xr:uid="{00000000-0005-0000-0000-0000AFF30000}"/>
    <cellStyle name="Porcentual 3 9 3 4" xfId="62366" xr:uid="{00000000-0005-0000-0000-0000B0F30000}"/>
    <cellStyle name="Porcentual 3 9 3 4 2" xfId="62367" xr:uid="{00000000-0005-0000-0000-0000B1F30000}"/>
    <cellStyle name="Porcentual 3 9 3 4 2 2" xfId="62368" xr:uid="{00000000-0005-0000-0000-0000B2F30000}"/>
    <cellStyle name="Porcentual 3 9 3 4 2 2 2" xfId="62369" xr:uid="{00000000-0005-0000-0000-0000B3F30000}"/>
    <cellStyle name="Porcentual 3 9 3 4 2 3" xfId="62370" xr:uid="{00000000-0005-0000-0000-0000B4F30000}"/>
    <cellStyle name="Porcentual 3 9 3 4 2 4" xfId="62371" xr:uid="{00000000-0005-0000-0000-0000B5F30000}"/>
    <cellStyle name="Porcentual 3 9 3 4 3" xfId="62372" xr:uid="{00000000-0005-0000-0000-0000B6F30000}"/>
    <cellStyle name="Porcentual 3 9 3 4 3 2" xfId="62373" xr:uid="{00000000-0005-0000-0000-0000B7F30000}"/>
    <cellStyle name="Porcentual 3 9 3 4 4" xfId="62374" xr:uid="{00000000-0005-0000-0000-0000B8F30000}"/>
    <cellStyle name="Porcentual 3 9 3 4 5" xfId="62375" xr:uid="{00000000-0005-0000-0000-0000B9F30000}"/>
    <cellStyle name="Porcentual 3 9 3 5" xfId="62376" xr:uid="{00000000-0005-0000-0000-0000BAF30000}"/>
    <cellStyle name="Porcentual 3 9 3 5 2" xfId="62377" xr:uid="{00000000-0005-0000-0000-0000BBF30000}"/>
    <cellStyle name="Porcentual 3 9 3 5 2 2" xfId="62378" xr:uid="{00000000-0005-0000-0000-0000BCF30000}"/>
    <cellStyle name="Porcentual 3 9 3 5 3" xfId="62379" xr:uid="{00000000-0005-0000-0000-0000BDF30000}"/>
    <cellStyle name="Porcentual 3 9 3 5 3 2" xfId="62380" xr:uid="{00000000-0005-0000-0000-0000BEF30000}"/>
    <cellStyle name="Porcentual 3 9 3 5 4" xfId="62381" xr:uid="{00000000-0005-0000-0000-0000BFF30000}"/>
    <cellStyle name="Porcentual 3 9 3 5 5" xfId="62382" xr:uid="{00000000-0005-0000-0000-0000C0F30000}"/>
    <cellStyle name="Porcentual 3 9 3 6" xfId="62383" xr:uid="{00000000-0005-0000-0000-0000C1F30000}"/>
    <cellStyle name="Porcentual 3 9 3 6 2" xfId="62384" xr:uid="{00000000-0005-0000-0000-0000C2F30000}"/>
    <cellStyle name="Porcentual 3 9 3 7" xfId="62385" xr:uid="{00000000-0005-0000-0000-0000C3F30000}"/>
    <cellStyle name="Porcentual 3 9 3 7 2" xfId="62386" xr:uid="{00000000-0005-0000-0000-0000C4F30000}"/>
    <cellStyle name="Porcentual 3 9 3 8" xfId="62387" xr:uid="{00000000-0005-0000-0000-0000C5F30000}"/>
    <cellStyle name="Porcentual 3 9 3 9" xfId="62388" xr:uid="{00000000-0005-0000-0000-0000C6F30000}"/>
    <cellStyle name="Porcentual 3 9 4" xfId="62389" xr:uid="{00000000-0005-0000-0000-0000C7F30000}"/>
    <cellStyle name="Porcentual 3 9 4 2" xfId="62390" xr:uid="{00000000-0005-0000-0000-0000C8F30000}"/>
    <cellStyle name="Porcentual 3 9 4 2 2" xfId="62391" xr:uid="{00000000-0005-0000-0000-0000C9F30000}"/>
    <cellStyle name="Porcentual 3 9 4 2 2 2" xfId="62392" xr:uid="{00000000-0005-0000-0000-0000CAF30000}"/>
    <cellStyle name="Porcentual 3 9 4 2 2 2 2" xfId="62393" xr:uid="{00000000-0005-0000-0000-0000CBF30000}"/>
    <cellStyle name="Porcentual 3 9 4 2 2 2 2 2" xfId="62394" xr:uid="{00000000-0005-0000-0000-0000CCF30000}"/>
    <cellStyle name="Porcentual 3 9 4 2 2 2 3" xfId="62395" xr:uid="{00000000-0005-0000-0000-0000CDF30000}"/>
    <cellStyle name="Porcentual 3 9 4 2 2 2 4" xfId="62396" xr:uid="{00000000-0005-0000-0000-0000CEF30000}"/>
    <cellStyle name="Porcentual 3 9 4 2 2 3" xfId="62397" xr:uid="{00000000-0005-0000-0000-0000CFF30000}"/>
    <cellStyle name="Porcentual 3 9 4 2 2 3 2" xfId="62398" xr:uid="{00000000-0005-0000-0000-0000D0F30000}"/>
    <cellStyle name="Porcentual 3 9 4 2 2 4" xfId="62399" xr:uid="{00000000-0005-0000-0000-0000D1F30000}"/>
    <cellStyle name="Porcentual 3 9 4 2 2 5" xfId="62400" xr:uid="{00000000-0005-0000-0000-0000D2F30000}"/>
    <cellStyle name="Porcentual 3 9 4 2 3" xfId="62401" xr:uid="{00000000-0005-0000-0000-0000D3F30000}"/>
    <cellStyle name="Porcentual 3 9 4 2 3 2" xfId="62402" xr:uid="{00000000-0005-0000-0000-0000D4F30000}"/>
    <cellStyle name="Porcentual 3 9 4 2 3 2 2" xfId="62403" xr:uid="{00000000-0005-0000-0000-0000D5F30000}"/>
    <cellStyle name="Porcentual 3 9 4 2 3 3" xfId="62404" xr:uid="{00000000-0005-0000-0000-0000D6F30000}"/>
    <cellStyle name="Porcentual 3 9 4 2 3 3 2" xfId="62405" xr:uid="{00000000-0005-0000-0000-0000D7F30000}"/>
    <cellStyle name="Porcentual 3 9 4 2 3 4" xfId="62406" xr:uid="{00000000-0005-0000-0000-0000D8F30000}"/>
    <cellStyle name="Porcentual 3 9 4 2 3 5" xfId="62407" xr:uid="{00000000-0005-0000-0000-0000D9F30000}"/>
    <cellStyle name="Porcentual 3 9 4 2 4" xfId="62408" xr:uid="{00000000-0005-0000-0000-0000DAF30000}"/>
    <cellStyle name="Porcentual 3 9 4 2 4 2" xfId="62409" xr:uid="{00000000-0005-0000-0000-0000DBF30000}"/>
    <cellStyle name="Porcentual 3 9 4 2 5" xfId="62410" xr:uid="{00000000-0005-0000-0000-0000DCF30000}"/>
    <cellStyle name="Porcentual 3 9 4 2 5 2" xfId="62411" xr:uid="{00000000-0005-0000-0000-0000DDF30000}"/>
    <cellStyle name="Porcentual 3 9 4 2 6" xfId="62412" xr:uid="{00000000-0005-0000-0000-0000DEF30000}"/>
    <cellStyle name="Porcentual 3 9 4 2 7" xfId="62413" xr:uid="{00000000-0005-0000-0000-0000DFF30000}"/>
    <cellStyle name="Porcentual 3 9 4 3" xfId="62414" xr:uid="{00000000-0005-0000-0000-0000E0F30000}"/>
    <cellStyle name="Porcentual 3 9 4 3 2" xfId="62415" xr:uid="{00000000-0005-0000-0000-0000E1F30000}"/>
    <cellStyle name="Porcentual 3 9 4 3 2 2" xfId="62416" xr:uid="{00000000-0005-0000-0000-0000E2F30000}"/>
    <cellStyle name="Porcentual 3 9 4 3 2 2 2" xfId="62417" xr:uid="{00000000-0005-0000-0000-0000E3F30000}"/>
    <cellStyle name="Porcentual 3 9 4 3 2 3" xfId="62418" xr:uid="{00000000-0005-0000-0000-0000E4F30000}"/>
    <cellStyle name="Porcentual 3 9 4 3 2 4" xfId="62419" xr:uid="{00000000-0005-0000-0000-0000E5F30000}"/>
    <cellStyle name="Porcentual 3 9 4 3 3" xfId="62420" xr:uid="{00000000-0005-0000-0000-0000E6F30000}"/>
    <cellStyle name="Porcentual 3 9 4 3 3 2" xfId="62421" xr:uid="{00000000-0005-0000-0000-0000E7F30000}"/>
    <cellStyle name="Porcentual 3 9 4 3 4" xfId="62422" xr:uid="{00000000-0005-0000-0000-0000E8F30000}"/>
    <cellStyle name="Porcentual 3 9 4 3 5" xfId="62423" xr:uid="{00000000-0005-0000-0000-0000E9F30000}"/>
    <cellStyle name="Porcentual 3 9 4 4" xfId="62424" xr:uid="{00000000-0005-0000-0000-0000EAF30000}"/>
    <cellStyle name="Porcentual 3 9 4 4 2" xfId="62425" xr:uid="{00000000-0005-0000-0000-0000EBF30000}"/>
    <cellStyle name="Porcentual 3 9 4 4 2 2" xfId="62426" xr:uid="{00000000-0005-0000-0000-0000ECF30000}"/>
    <cellStyle name="Porcentual 3 9 4 4 3" xfId="62427" xr:uid="{00000000-0005-0000-0000-0000EDF30000}"/>
    <cellStyle name="Porcentual 3 9 4 4 3 2" xfId="62428" xr:uid="{00000000-0005-0000-0000-0000EEF30000}"/>
    <cellStyle name="Porcentual 3 9 4 4 4" xfId="62429" xr:uid="{00000000-0005-0000-0000-0000EFF30000}"/>
    <cellStyle name="Porcentual 3 9 4 4 5" xfId="62430" xr:uid="{00000000-0005-0000-0000-0000F0F30000}"/>
    <cellStyle name="Porcentual 3 9 4 5" xfId="62431" xr:uid="{00000000-0005-0000-0000-0000F1F30000}"/>
    <cellStyle name="Porcentual 3 9 4 5 2" xfId="62432" xr:uid="{00000000-0005-0000-0000-0000F2F30000}"/>
    <cellStyle name="Porcentual 3 9 4 6" xfId="62433" xr:uid="{00000000-0005-0000-0000-0000F3F30000}"/>
    <cellStyle name="Porcentual 3 9 4 6 2" xfId="62434" xr:uid="{00000000-0005-0000-0000-0000F4F30000}"/>
    <cellStyle name="Porcentual 3 9 4 7" xfId="62435" xr:uid="{00000000-0005-0000-0000-0000F5F30000}"/>
    <cellStyle name="Porcentual 3 9 4 8" xfId="62436" xr:uid="{00000000-0005-0000-0000-0000F6F30000}"/>
    <cellStyle name="Porcentual 3 9 5" xfId="62437" xr:uid="{00000000-0005-0000-0000-0000F7F30000}"/>
    <cellStyle name="Porcentual 3 9 5 2" xfId="62438" xr:uid="{00000000-0005-0000-0000-0000F8F30000}"/>
    <cellStyle name="Porcentual 3 9 5 2 2" xfId="62439" xr:uid="{00000000-0005-0000-0000-0000F9F30000}"/>
    <cellStyle name="Porcentual 3 9 5 2 2 2" xfId="62440" xr:uid="{00000000-0005-0000-0000-0000FAF30000}"/>
    <cellStyle name="Porcentual 3 9 5 2 2 2 2" xfId="62441" xr:uid="{00000000-0005-0000-0000-0000FBF30000}"/>
    <cellStyle name="Porcentual 3 9 5 2 2 3" xfId="62442" xr:uid="{00000000-0005-0000-0000-0000FCF30000}"/>
    <cellStyle name="Porcentual 3 9 5 2 2 4" xfId="62443" xr:uid="{00000000-0005-0000-0000-0000FDF30000}"/>
    <cellStyle name="Porcentual 3 9 5 2 3" xfId="62444" xr:uid="{00000000-0005-0000-0000-0000FEF30000}"/>
    <cellStyle name="Porcentual 3 9 5 2 3 2" xfId="62445" xr:uid="{00000000-0005-0000-0000-0000FFF30000}"/>
    <cellStyle name="Porcentual 3 9 5 2 4" xfId="62446" xr:uid="{00000000-0005-0000-0000-000000F40000}"/>
    <cellStyle name="Porcentual 3 9 5 2 5" xfId="62447" xr:uid="{00000000-0005-0000-0000-000001F40000}"/>
    <cellStyle name="Porcentual 3 9 5 3" xfId="62448" xr:uid="{00000000-0005-0000-0000-000002F40000}"/>
    <cellStyle name="Porcentual 3 9 5 3 2" xfId="62449" xr:uid="{00000000-0005-0000-0000-000003F40000}"/>
    <cellStyle name="Porcentual 3 9 5 3 2 2" xfId="62450" xr:uid="{00000000-0005-0000-0000-000004F40000}"/>
    <cellStyle name="Porcentual 3 9 5 3 3" xfId="62451" xr:uid="{00000000-0005-0000-0000-000005F40000}"/>
    <cellStyle name="Porcentual 3 9 5 3 3 2" xfId="62452" xr:uid="{00000000-0005-0000-0000-000006F40000}"/>
    <cellStyle name="Porcentual 3 9 5 3 4" xfId="62453" xr:uid="{00000000-0005-0000-0000-000007F40000}"/>
    <cellStyle name="Porcentual 3 9 5 3 5" xfId="62454" xr:uid="{00000000-0005-0000-0000-000008F40000}"/>
    <cellStyle name="Porcentual 3 9 5 4" xfId="62455" xr:uid="{00000000-0005-0000-0000-000009F40000}"/>
    <cellStyle name="Porcentual 3 9 5 4 2" xfId="62456" xr:uid="{00000000-0005-0000-0000-00000AF40000}"/>
    <cellStyle name="Porcentual 3 9 5 5" xfId="62457" xr:uid="{00000000-0005-0000-0000-00000BF40000}"/>
    <cellStyle name="Porcentual 3 9 5 5 2" xfId="62458" xr:uid="{00000000-0005-0000-0000-00000CF40000}"/>
    <cellStyle name="Porcentual 3 9 5 6" xfId="62459" xr:uid="{00000000-0005-0000-0000-00000DF40000}"/>
    <cellStyle name="Porcentual 3 9 5 7" xfId="62460" xr:uid="{00000000-0005-0000-0000-00000EF40000}"/>
    <cellStyle name="Porcentual 3 9 6" xfId="62461" xr:uid="{00000000-0005-0000-0000-00000FF40000}"/>
    <cellStyle name="Porcentual 3 9 6 2" xfId="62462" xr:uid="{00000000-0005-0000-0000-000010F40000}"/>
    <cellStyle name="Porcentual 3 9 6 2 2" xfId="62463" xr:uid="{00000000-0005-0000-0000-000011F40000}"/>
    <cellStyle name="Porcentual 3 9 6 2 2 2" xfId="62464" xr:uid="{00000000-0005-0000-0000-000012F40000}"/>
    <cellStyle name="Porcentual 3 9 6 2 3" xfId="62465" xr:uid="{00000000-0005-0000-0000-000013F40000}"/>
    <cellStyle name="Porcentual 3 9 6 2 4" xfId="62466" xr:uid="{00000000-0005-0000-0000-000014F40000}"/>
    <cellStyle name="Porcentual 3 9 6 3" xfId="62467" xr:uid="{00000000-0005-0000-0000-000015F40000}"/>
    <cellStyle name="Porcentual 3 9 6 3 2" xfId="62468" xr:uid="{00000000-0005-0000-0000-000016F40000}"/>
    <cellStyle name="Porcentual 3 9 6 4" xfId="62469" xr:uid="{00000000-0005-0000-0000-000017F40000}"/>
    <cellStyle name="Porcentual 3 9 6 5" xfId="62470" xr:uid="{00000000-0005-0000-0000-000018F40000}"/>
    <cellStyle name="Porcentual 3 9 7" xfId="62471" xr:uid="{00000000-0005-0000-0000-000019F40000}"/>
    <cellStyle name="Porcentual 3 9 7 2" xfId="62472" xr:uid="{00000000-0005-0000-0000-00001AF40000}"/>
    <cellStyle name="Porcentual 3 9 7 2 2" xfId="62473" xr:uid="{00000000-0005-0000-0000-00001BF40000}"/>
    <cellStyle name="Porcentual 3 9 7 3" xfId="62474" xr:uid="{00000000-0005-0000-0000-00001CF40000}"/>
    <cellStyle name="Porcentual 3 9 7 3 2" xfId="62475" xr:uid="{00000000-0005-0000-0000-00001DF40000}"/>
    <cellStyle name="Porcentual 3 9 7 4" xfId="62476" xr:uid="{00000000-0005-0000-0000-00001EF40000}"/>
    <cellStyle name="Porcentual 3 9 7 5" xfId="62477" xr:uid="{00000000-0005-0000-0000-00001FF40000}"/>
    <cellStyle name="Porcentual 3 9 8" xfId="62478" xr:uid="{00000000-0005-0000-0000-000020F40000}"/>
    <cellStyle name="Porcentual 3 9 8 2" xfId="62479" xr:uid="{00000000-0005-0000-0000-000021F40000}"/>
    <cellStyle name="Porcentual 3 9 9" xfId="62480" xr:uid="{00000000-0005-0000-0000-000022F40000}"/>
    <cellStyle name="Porcentual 3 9 9 2" xfId="62481" xr:uid="{00000000-0005-0000-0000-000023F40000}"/>
    <cellStyle name="Porcentual 4" xfId="62482" xr:uid="{00000000-0005-0000-0000-000024F40000}"/>
    <cellStyle name="PSChar" xfId="62483" xr:uid="{00000000-0005-0000-0000-000025F40000}"/>
    <cellStyle name="PSChar 2" xfId="62484" xr:uid="{00000000-0005-0000-0000-000026F40000}"/>
    <cellStyle name="Punto0" xfId="62485" xr:uid="{00000000-0005-0000-0000-000027F40000}"/>
    <cellStyle name="Punto0 2" xfId="62486" xr:uid="{00000000-0005-0000-0000-000028F40000}"/>
    <cellStyle name="RowHeading" xfId="62487" xr:uid="{00000000-0005-0000-0000-000029F40000}"/>
    <cellStyle name="Salida 2" xfId="62488" xr:uid="{00000000-0005-0000-0000-00002AF40000}"/>
    <cellStyle name="Salida 2 2" xfId="62489" xr:uid="{00000000-0005-0000-0000-00002BF40000}"/>
    <cellStyle name="Salida 3" xfId="62490" xr:uid="{00000000-0005-0000-0000-00002CF40000}"/>
    <cellStyle name="STANDARD" xfId="62491" xr:uid="{00000000-0005-0000-0000-00002DF40000}"/>
    <cellStyle name="Style 1" xfId="62492" xr:uid="{00000000-0005-0000-0000-00002EF40000}"/>
    <cellStyle name="Style 1 2" xfId="62493" xr:uid="{00000000-0005-0000-0000-00002FF40000}"/>
    <cellStyle name="Style 23" xfId="62494" xr:uid="{00000000-0005-0000-0000-000030F40000}"/>
    <cellStyle name="Style 23 2" xfId="62495" xr:uid="{00000000-0005-0000-0000-000031F40000}"/>
    <cellStyle name="SubHeading" xfId="62496" xr:uid="{00000000-0005-0000-0000-000032F40000}"/>
    <cellStyle name="SubsidTitle" xfId="62497" xr:uid="{00000000-0005-0000-0000-000033F40000}"/>
    <cellStyle name="Texto de advertencia 2" xfId="62498" xr:uid="{00000000-0005-0000-0000-000034F40000}"/>
    <cellStyle name="Texto de advertencia 2 2" xfId="62499" xr:uid="{00000000-0005-0000-0000-000035F40000}"/>
    <cellStyle name="Texto de advertencia 3" xfId="62500" xr:uid="{00000000-0005-0000-0000-000036F40000}"/>
    <cellStyle name="Texto explicativo 2" xfId="62501" xr:uid="{00000000-0005-0000-0000-000037F40000}"/>
    <cellStyle name="Texto explicativo 2 2" xfId="62502" xr:uid="{00000000-0005-0000-0000-000038F40000}"/>
    <cellStyle name="Texto explicativo 3" xfId="62503" xr:uid="{00000000-0005-0000-0000-000039F40000}"/>
    <cellStyle name="Title" xfId="62504" xr:uid="{00000000-0005-0000-0000-00003AF40000}"/>
    <cellStyle name="Title 2" xfId="62505" xr:uid="{00000000-0005-0000-0000-00003BF40000}"/>
    <cellStyle name="Título 1 2" xfId="62506" xr:uid="{00000000-0005-0000-0000-00003CF40000}"/>
    <cellStyle name="Título 1 2 2" xfId="62507" xr:uid="{00000000-0005-0000-0000-00003DF40000}"/>
    <cellStyle name="Título 1 3" xfId="62508" xr:uid="{00000000-0005-0000-0000-00003EF40000}"/>
    <cellStyle name="Título 2 2" xfId="62509" xr:uid="{00000000-0005-0000-0000-00003FF40000}"/>
    <cellStyle name="Título 2 2 2" xfId="62510" xr:uid="{00000000-0005-0000-0000-000040F40000}"/>
    <cellStyle name="Título 2 3" xfId="62511" xr:uid="{00000000-0005-0000-0000-000041F40000}"/>
    <cellStyle name="Título 3 2" xfId="62512" xr:uid="{00000000-0005-0000-0000-000042F40000}"/>
    <cellStyle name="Título 3 2 2" xfId="62513" xr:uid="{00000000-0005-0000-0000-000043F40000}"/>
    <cellStyle name="Título 3 3" xfId="62514" xr:uid="{00000000-0005-0000-0000-000044F40000}"/>
    <cellStyle name="Título 4" xfId="62515" xr:uid="{00000000-0005-0000-0000-000045F40000}"/>
    <cellStyle name="Título 4 2" xfId="62516" xr:uid="{00000000-0005-0000-0000-000046F40000}"/>
    <cellStyle name="Título 5" xfId="62517" xr:uid="{00000000-0005-0000-0000-000047F40000}"/>
    <cellStyle name="Total 2" xfId="62518" xr:uid="{00000000-0005-0000-0000-000048F40000}"/>
    <cellStyle name="Total 2 2" xfId="62519" xr:uid="{00000000-0005-0000-0000-000049F40000}"/>
    <cellStyle name="Total 2 3" xfId="62520" xr:uid="{00000000-0005-0000-0000-00004AF40000}"/>
    <cellStyle name="Total 2 4" xfId="62521" xr:uid="{00000000-0005-0000-0000-00004BF40000}"/>
    <cellStyle name="Total 3" xfId="62522" xr:uid="{00000000-0005-0000-0000-00004CF40000}"/>
    <cellStyle name="Totals" xfId="62523" xr:uid="{00000000-0005-0000-0000-00004DF40000}"/>
    <cellStyle name="Totals [0]" xfId="62524" xr:uid="{00000000-0005-0000-0000-00004EF40000}"/>
    <cellStyle name="Totals [2]" xfId="62525" xr:uid="{00000000-0005-0000-0000-00004FF40000}"/>
    <cellStyle name="Totals_Bases Economicas para PE marzo2010" xfId="62526" xr:uid="{00000000-0005-0000-0000-000050F40000}"/>
    <cellStyle name="Undefiniert" xfId="62527" xr:uid="{00000000-0005-0000-0000-000051F40000}"/>
    <cellStyle name="Undefiniert 2" xfId="62528" xr:uid="{00000000-0005-0000-0000-000052F40000}"/>
    <cellStyle name="W„hrung" xfId="62529" xr:uid="{00000000-0005-0000-0000-000053F40000}"/>
    <cellStyle name="W„hrung 2" xfId="62530" xr:uid="{00000000-0005-0000-0000-000054F40000}"/>
    <cellStyle name="Warning Text" xfId="62531" xr:uid="{00000000-0005-0000-0000-000055F40000}"/>
    <cellStyle name="Warning Text 2" xfId="62532" xr:uid="{00000000-0005-0000-0000-000056F40000}"/>
    <cellStyle name="Year" xfId="62533" xr:uid="{00000000-0005-0000-0000-000057F40000}"/>
    <cellStyle name="콤마 [0]_95년총괄수량 " xfId="62534" xr:uid="{00000000-0005-0000-0000-000058F40000}"/>
    <cellStyle name="콤마_95년총괄수량 " xfId="62535" xr:uid="{00000000-0005-0000-0000-000059F40000}"/>
    <cellStyle name="표준_5Q83-BM" xfId="62536" xr:uid="{00000000-0005-0000-0000-00005AF40000}"/>
    <cellStyle name="標準_Book2" xfId="62537" xr:uid="{00000000-0005-0000-0000-00005BF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exce\Seg4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\a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.gr.repsolypf.com\laarbuety\PLANIFICACION%20Y%20ANALISIS\CM%20DPART\Cuadro%20de%20Mando%20DPART\Cuadro%20de%20Man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madcadat06\RC\DG_COMUNICACIONGP\SERVICIO_ESTUDIOS\TRABAJOS\PETROLEO\PRESENTACIONES_%20POWERPOINTDE_PETR&#211;LEO\Archivos%20excel\02_Grupo%20de%20Analistas%20de%20Coyuntura%20y%20CEFI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madcadat06\RC\DG_COMUNICACIONGP\SERVICIO_ESTUDIOS\TRABAJOS\PETROLEO\estadisticas%20energ&#233;ticas%20de%20BP\Statistical_review_full_report_workbook_20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C\DG_COMUNICACIONGP\SERVICIO_ESTUDIOS\TRABAJOS\PRESENTACIONES%20POWERPIONT\2007\Archivos%20Excel\BP_Statistical_review_2006_Latin%20America_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4\Documents%20and%20Settings\y149382\Mis%20documentos\DPO\An&#225;lisis%20IMs\Crudo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C\DG_COMUNICACIONGP\SERVICIO_ESTUDIOS\TRABAJOS\PETROLEO\estadisticas%20energ&#233;ticas%20de%20BP\Statistical_review_full_report_workbook_20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2\MODELOS%20PIMS\%25%20%20%20%20%20Presupuesto%202007%20-%20V34%20Definitiva\2007%20Presup%20v34\z%20Publicaciones\GLB\Primbl_GL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madcadat06\RC\DC_ESTUDIOS\TRABAJO\PETROLEO\Bolet&#237;n%20EIA%20AIE%20OPEP\Tablas%20del%20bolet&#237;n%20EIA%20AIE%20OPE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madcadat06\ICAE%20JOB\Trabajo%20Universidad%20ICAE\EMPLEO\EMPLE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C\DG_COMUNICACIONGP\SERVICIO_ESTUDIOS\TRABAJOS\PETROLEO\Notas%20semanales%20EIA\Tablas%20informe%20semanal%20EI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2\MODELOS%20PIMS\%25%20%20%20%20%20Presupuesto%202007%20-%20V34%20Definitiva\2007%20Presup%20v34\z%20Publicaciones\Presupuesto%202007%20-%20v3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2\Documents%20and%20Settings\y131714\Configuraci&#243;n%20local\Archivos%20temporales%20de%20Internet\OLK2B\Import%20Parity_2007_PE%20A&#241;o%2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madcadat06\Planificaci&#243;n%20y%20An&#225;lisis\Bases%20para%20an&#225;lisis%20de%20inversiones\Copia%20de%20Bases%20para%20evaluaci&#243;n%20inversiones%20v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c90461\My%20Documents\GAS\Informes%20Evoluci&#243;n%20del%20Mercado%20del%20Gas%20Natural\openint_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ORKAREA\Sandrea\Database\Global%20E&amp;P%20Research\Company%20data\Competive%20analysis\Benchmarking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00985\AppData\Local\Microsoft\Windows\INetCache\Content.Outlook\3R1EHXH3\Daily%20Price%20Evolution%20Feb20%20(003)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madcadat04\depart\RQ\DGPLANYC\PLANIF\Documentos\Inversiones\Proyecto%20Sines\Incremento%20capacidad%20l&#237;nea%20acelerantes\C&#225;lculos%20Econ&#243;micos%20LineaIV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45"/>
      <sheetName val="DESAC"/>
      <sheetName val="DESACDesulf"/>
      <sheetName val="TNORM"/>
      <sheetName val="DESACTNOR"/>
      <sheetName val="ConsumoF2"/>
      <sheetName val="Placas645"/>
      <sheetName val="limpiezacamb"/>
      <sheetName val="F1"/>
      <sheetName val="E14"/>
      <sheetName val="E1F1comp"/>
      <sheetName val="DatosF2stress"/>
      <sheetName val="Act742"/>
      <sheetName val="GrafAct742"/>
      <sheetName val="Dat9296"/>
      <sheetName val="Grafdat9296"/>
      <sheetName val="Dat9294+Desulf"/>
      <sheetName val="Graf9294"/>
      <sheetName val="E1Nov97Jun99"/>
      <sheetName val="E4Nov97Jun99"/>
      <sheetName val="E1E4Nov97Jun99"/>
      <sheetName val="S50ppm"/>
      <sheetName val="DPL1"/>
      <sheetName val="DPRx"/>
      <sheetName val="DPC2A"/>
      <sheetName val="Desul414245"/>
      <sheetName val="LCO"/>
      <sheetName val="Hoja0"/>
      <sheetName val="GNL 2019"/>
      <sheetName val="Ba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0"/>
      <sheetName val="Rend52"/>
      <sheetName val="Op652"/>
      <sheetName val="#¡REF"/>
      <sheetName val="Hoja0"/>
      <sheetName val="ACTI742A"/>
      <sheetName val="DESAC"/>
      <sheetName val="Dat9294+Desulf"/>
      <sheetName val="DESACTNOR"/>
      <sheetName val="DESAC1"/>
      <sheetName val="DESAC1C2Combust"/>
      <sheetName val="HDS_MHC"/>
      <sheetName val="HIST51"/>
      <sheetName val="DP96"/>
      <sheetName val="Hist41"/>
      <sheetName val="Datpack"/>
      <sheetName val="UNIDADES_PROCESO"/>
      <sheetName val="ACTIVIDAD_UNIDADES"/>
      <sheetName val="CANTIDAD CRUDOS"/>
      <sheetName val="UCC capac Referencia"/>
      <sheetName val="Destilación"/>
      <sheetName val="desulfuración"/>
      <sheetName val="CARGAS"/>
      <sheetName val="CC+MM"/>
      <sheetName val="RENDIMIENTOS"/>
      <sheetName val="PA20 A PRECIOS REALES MES"/>
      <sheetName val="PRECIOS FGARCIA"/>
      <sheetName val="Densidades PA19"/>
      <sheetName val="PA20 MENSUALIZADO"/>
      <sheetName val="CAPACIDADES_P&amp;O_OPT"/>
      <sheetName val="23.10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dad mes acu"/>
      <sheetName val="Actividad hoy"/>
      <sheetName val="Gráfico8"/>
      <sheetName val="Utilización"/>
      <sheetName val="tablas act"/>
      <sheetName val="2006_S1"/>
      <sheetName val="2006_S2"/>
      <sheetName val="Paros Prog. Europa 06"/>
      <sheetName val="Paros Prog. Europa 05"/>
      <sheetName val="Paros Prog. Argentina"/>
      <sheetName val="Tupras"/>
      <sheetName val="CNOOC"/>
      <sheetName val="Precio Crudo"/>
      <sheetName val="Biocarburantes"/>
      <sheetName val="Hoja3"/>
      <sheetName val="2005 WRS"/>
      <sheetName val="2004 WRS"/>
      <sheetName val="España"/>
      <sheetName val="Cepsa"/>
      <sheetName val="Hoja4"/>
      <sheetName val="EHN"/>
      <sheetName val="Puertollano"/>
      <sheetName val="Extremadura"/>
      <sheetName val="Precios crudo"/>
      <sheetName val="Argentina"/>
      <sheetName val="Carátula"/>
      <sheetName val="Coti"/>
      <sheetName val="TC"/>
      <sheetName val="IM"/>
      <sheetName val="PA05"/>
      <sheetName val="Espec Perú"/>
      <sheetName val="Espec España"/>
      <sheetName val="Espec Argentina"/>
      <sheetName val="Gráfico4"/>
      <sheetName val="Gráfico5"/>
      <sheetName val="Gráfico6"/>
      <sheetName val="Gráfico7"/>
      <sheetName val="Coti2"/>
      <sheetName val="WTI-Brent"/>
      <sheetName val="Gráfico1"/>
      <sheetName val="Gráfico3 bis"/>
      <sheetName val="Gráfico3"/>
      <sheetName val="Gráfico2"/>
      <sheetName val="ROP"/>
      <sheetName val="CF"/>
      <sheetName val="CV"/>
      <sheetName val="CU"/>
      <sheetName val="inversiones"/>
      <sheetName val="Hoja1"/>
      <sheetName val="TC Mensuales"/>
      <sheetName val="TC Diarias"/>
      <sheetName val="Cotizaciones Mensuales"/>
      <sheetName val="Cotizaciones diarias"/>
      <sheetName val="Spread Mensuales"/>
      <sheetName val="MC mensual"/>
      <sheetName val="IM mensual"/>
      <sheetName val="IM diario"/>
      <sheetName val="Lista"/>
      <sheetName val="Spreads $t"/>
      <sheetName val="Tables"/>
      <sheetName val="Actividad_mes_acu"/>
      <sheetName val="Actividad_hoy"/>
      <sheetName val="tablas_act"/>
      <sheetName val="Paros_Prog__Europa_06"/>
      <sheetName val="Paros_Prog__Europa_05"/>
      <sheetName val="Paros_Prog__Argentina"/>
      <sheetName val="Precio_Crudo"/>
      <sheetName val="2005_WRS"/>
      <sheetName val="2004_WRS"/>
      <sheetName val="Precios_crudo"/>
      <sheetName val="Espec_Perú"/>
      <sheetName val="Espec_España"/>
      <sheetName val="Espec_Argentina"/>
      <sheetName val="Gráfico3_bis"/>
      <sheetName val="TC_Mensuales"/>
      <sheetName val="TC_Diarias"/>
      <sheetName val="Cotizaciones_Mensuales"/>
      <sheetName val="Cotizaciones_diarias"/>
      <sheetName val="Spread_Mensuales"/>
      <sheetName val="MC_mensual"/>
      <sheetName val="IM_mensual"/>
      <sheetName val="IM_diario"/>
      <sheetName val="SETTINGS"/>
      <sheetName val="LTOLists"/>
      <sheetName val="Actividad_mes_acu1"/>
      <sheetName val="Actividad_hoy1"/>
      <sheetName val="tablas_act1"/>
      <sheetName val="Paros_Prog__Europa_061"/>
      <sheetName val="Paros_Prog__Europa_051"/>
      <sheetName val="Paros_Prog__Argentina1"/>
      <sheetName val="Precio_Crudo1"/>
      <sheetName val="2005_WRS1"/>
      <sheetName val="2004_WRS1"/>
      <sheetName val="Precios_crudo1"/>
      <sheetName val="Espec_Perú1"/>
      <sheetName val="Espec_España1"/>
      <sheetName val="Espec_Argentina1"/>
      <sheetName val="Gráfico3_bis1"/>
      <sheetName val="TC_Mensuales1"/>
      <sheetName val="TC_Diarias1"/>
      <sheetName val="Cotizaciones_Mensuales1"/>
      <sheetName val="Cotizaciones_diarias1"/>
      <sheetName val="Spread_Mensuales1"/>
      <sheetName val="MC_mensual1"/>
      <sheetName val="IM_mensual1"/>
      <sheetName val="IM_diario1"/>
      <sheetName val="Spreads_$t"/>
      <sheetName val="Actividad_mes_acu2"/>
      <sheetName val="Actividad_hoy2"/>
      <sheetName val="tablas_act2"/>
      <sheetName val="Paros_Prog__Europa_062"/>
      <sheetName val="Paros_Prog__Europa_052"/>
      <sheetName val="Paros_Prog__Argentina2"/>
      <sheetName val="Precio_Crudo2"/>
      <sheetName val="2005_WRS2"/>
      <sheetName val="2004_WRS2"/>
      <sheetName val="Precios_crudo2"/>
      <sheetName val="Espec_Perú2"/>
      <sheetName val="Espec_España2"/>
      <sheetName val="Espec_Argentina2"/>
      <sheetName val="Gráfico3_bis2"/>
      <sheetName val="TC_Mensuales2"/>
      <sheetName val="TC_Diarias2"/>
      <sheetName val="Cotizaciones_Mensuales2"/>
      <sheetName val="Cotizaciones_diarias2"/>
      <sheetName val="Spread_Mensuales2"/>
      <sheetName val="MC_mensual2"/>
      <sheetName val="IM_mensual2"/>
      <sheetName val="IM_diario2"/>
      <sheetName val="Spreads_$t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398">
          <cell r="A398">
            <v>37078</v>
          </cell>
          <cell r="B398">
            <v>28.13</v>
          </cell>
          <cell r="C398">
            <v>26.375</v>
          </cell>
        </row>
        <row r="399">
          <cell r="A399">
            <v>37081</v>
          </cell>
          <cell r="B399">
            <v>27.51</v>
          </cell>
          <cell r="C399">
            <v>25.13</v>
          </cell>
        </row>
        <row r="400">
          <cell r="A400">
            <v>37082</v>
          </cell>
          <cell r="B400">
            <v>27.52</v>
          </cell>
          <cell r="C400">
            <v>25.125</v>
          </cell>
        </row>
        <row r="401">
          <cell r="A401">
            <v>37083</v>
          </cell>
          <cell r="B401">
            <v>27.03</v>
          </cell>
          <cell r="C401">
            <v>24.234999999999999</v>
          </cell>
        </row>
        <row r="402">
          <cell r="A402">
            <v>37084</v>
          </cell>
          <cell r="B402">
            <v>26.9</v>
          </cell>
          <cell r="C402">
            <v>24.15</v>
          </cell>
        </row>
        <row r="403">
          <cell r="A403">
            <v>37085</v>
          </cell>
          <cell r="B403">
            <v>26.67</v>
          </cell>
          <cell r="C403">
            <v>24.184999999999999</v>
          </cell>
        </row>
        <row r="404">
          <cell r="A404">
            <v>37088</v>
          </cell>
          <cell r="B404">
            <v>26.05</v>
          </cell>
          <cell r="C404">
            <v>23.815000000000001</v>
          </cell>
        </row>
        <row r="405">
          <cell r="A405">
            <v>37089</v>
          </cell>
          <cell r="B405">
            <v>25.555</v>
          </cell>
          <cell r="C405">
            <v>23.475000000000001</v>
          </cell>
        </row>
        <row r="406">
          <cell r="A406">
            <v>37090</v>
          </cell>
          <cell r="B406">
            <v>24.824999999999999</v>
          </cell>
          <cell r="C406">
            <v>22.765000000000001</v>
          </cell>
        </row>
        <row r="407">
          <cell r="A407">
            <v>37091</v>
          </cell>
          <cell r="B407">
            <v>24.805</v>
          </cell>
          <cell r="C407">
            <v>22.84</v>
          </cell>
        </row>
        <row r="408">
          <cell r="A408">
            <v>37092</v>
          </cell>
          <cell r="B408">
            <v>25.8</v>
          </cell>
          <cell r="C408">
            <v>23.97</v>
          </cell>
        </row>
        <row r="409">
          <cell r="A409">
            <v>37095</v>
          </cell>
          <cell r="B409">
            <v>26.01</v>
          </cell>
          <cell r="C409">
            <v>24.225000000000001</v>
          </cell>
        </row>
        <row r="410">
          <cell r="A410">
            <v>37096</v>
          </cell>
          <cell r="B410">
            <v>26.13</v>
          </cell>
          <cell r="C410">
            <v>24.105</v>
          </cell>
        </row>
        <row r="411">
          <cell r="A411">
            <v>37097</v>
          </cell>
          <cell r="B411">
            <v>26.59</v>
          </cell>
          <cell r="C411">
            <v>24.66</v>
          </cell>
        </row>
        <row r="412">
          <cell r="A412">
            <v>37098</v>
          </cell>
          <cell r="B412">
            <v>26.63</v>
          </cell>
          <cell r="C412">
            <v>24.605</v>
          </cell>
        </row>
        <row r="413">
          <cell r="A413">
            <v>37099</v>
          </cell>
          <cell r="B413">
            <v>26.92</v>
          </cell>
          <cell r="C413">
            <v>24.895</v>
          </cell>
        </row>
        <row r="414">
          <cell r="A414">
            <v>37102</v>
          </cell>
          <cell r="B414">
            <v>26.52</v>
          </cell>
          <cell r="C414">
            <v>24.515000000000001</v>
          </cell>
        </row>
        <row r="415">
          <cell r="A415">
            <v>37103</v>
          </cell>
          <cell r="B415">
            <v>26.24</v>
          </cell>
          <cell r="C415">
            <v>24.2</v>
          </cell>
        </row>
        <row r="416">
          <cell r="A416">
            <v>37104</v>
          </cell>
          <cell r="B416">
            <v>26.72</v>
          </cell>
          <cell r="C416">
            <v>24.76</v>
          </cell>
        </row>
        <row r="417">
          <cell r="A417">
            <v>37105</v>
          </cell>
          <cell r="B417">
            <v>27.68</v>
          </cell>
          <cell r="C417">
            <v>25.795000000000002</v>
          </cell>
        </row>
        <row r="418">
          <cell r="A418">
            <v>37106</v>
          </cell>
          <cell r="B418">
            <v>27.475000000000001</v>
          </cell>
          <cell r="C418">
            <v>25.265000000000001</v>
          </cell>
        </row>
        <row r="419">
          <cell r="A419">
            <v>37109</v>
          </cell>
          <cell r="B419">
            <v>27.635000000000002</v>
          </cell>
          <cell r="C419">
            <v>25.414999999999999</v>
          </cell>
        </row>
        <row r="420">
          <cell r="A420">
            <v>37110</v>
          </cell>
          <cell r="B420">
            <v>27.89</v>
          </cell>
          <cell r="C420">
            <v>25.645</v>
          </cell>
        </row>
        <row r="421">
          <cell r="A421">
            <v>37111</v>
          </cell>
          <cell r="B421">
            <v>27.51</v>
          </cell>
          <cell r="C421">
            <v>25.15</v>
          </cell>
        </row>
        <row r="422">
          <cell r="A422">
            <v>37112</v>
          </cell>
          <cell r="B422">
            <v>27.64</v>
          </cell>
          <cell r="C422">
            <v>25.375</v>
          </cell>
        </row>
        <row r="423">
          <cell r="A423">
            <v>37113</v>
          </cell>
          <cell r="B423">
            <v>28.06</v>
          </cell>
          <cell r="C423">
            <v>25.835000000000001</v>
          </cell>
        </row>
        <row r="424">
          <cell r="A424">
            <v>37116</v>
          </cell>
          <cell r="B424">
            <v>27.79</v>
          </cell>
          <cell r="C424">
            <v>25.71</v>
          </cell>
        </row>
        <row r="425">
          <cell r="A425">
            <v>37117</v>
          </cell>
          <cell r="B425">
            <v>28.01</v>
          </cell>
          <cell r="C425">
            <v>25.92</v>
          </cell>
        </row>
        <row r="426">
          <cell r="A426">
            <v>37118</v>
          </cell>
          <cell r="B426">
            <v>27.504999999999999</v>
          </cell>
          <cell r="C426">
            <v>25.344999999999999</v>
          </cell>
        </row>
        <row r="427">
          <cell r="A427">
            <v>37119</v>
          </cell>
          <cell r="B427">
            <v>27.39</v>
          </cell>
          <cell r="C427">
            <v>25.15</v>
          </cell>
        </row>
        <row r="428">
          <cell r="A428">
            <v>37120</v>
          </cell>
          <cell r="B428">
            <v>26.48</v>
          </cell>
          <cell r="C428">
            <v>24.324999999999999</v>
          </cell>
        </row>
        <row r="429">
          <cell r="A429">
            <v>37123</v>
          </cell>
          <cell r="B429">
            <v>27.04</v>
          </cell>
          <cell r="C429">
            <v>25.125</v>
          </cell>
        </row>
        <row r="430">
          <cell r="A430">
            <v>37124</v>
          </cell>
          <cell r="B430">
            <v>27.91</v>
          </cell>
          <cell r="C430">
            <v>25.7</v>
          </cell>
        </row>
        <row r="431">
          <cell r="A431">
            <v>37125</v>
          </cell>
          <cell r="B431">
            <v>27.02</v>
          </cell>
          <cell r="C431">
            <v>25.524999999999999</v>
          </cell>
        </row>
        <row r="432">
          <cell r="A432">
            <v>37126</v>
          </cell>
          <cell r="B432">
            <v>27.73</v>
          </cell>
          <cell r="C432">
            <v>26.14</v>
          </cell>
        </row>
        <row r="433">
          <cell r="A433">
            <v>37127</v>
          </cell>
          <cell r="B433">
            <v>28.2</v>
          </cell>
          <cell r="C433">
            <v>26.39</v>
          </cell>
        </row>
        <row r="434">
          <cell r="A434">
            <v>37130</v>
          </cell>
          <cell r="B434">
            <v>26.64</v>
          </cell>
          <cell r="C434">
            <v>26.2</v>
          </cell>
        </row>
        <row r="435">
          <cell r="A435">
            <v>37131</v>
          </cell>
          <cell r="B435">
            <v>27.08</v>
          </cell>
          <cell r="C435">
            <v>26.914999999999999</v>
          </cell>
        </row>
        <row r="436">
          <cell r="A436">
            <v>37132</v>
          </cell>
          <cell r="B436">
            <v>27.024999999999999</v>
          </cell>
          <cell r="C436">
            <v>26.82</v>
          </cell>
        </row>
        <row r="437">
          <cell r="A437">
            <v>37133</v>
          </cell>
          <cell r="B437">
            <v>26.55</v>
          </cell>
          <cell r="C437">
            <v>26.55</v>
          </cell>
        </row>
        <row r="438">
          <cell r="A438">
            <v>37134</v>
          </cell>
          <cell r="B438">
            <v>27.15</v>
          </cell>
          <cell r="C438">
            <v>26.975000000000001</v>
          </cell>
        </row>
        <row r="439">
          <cell r="A439">
            <v>37137</v>
          </cell>
          <cell r="B439">
            <v>27.15</v>
          </cell>
          <cell r="C439">
            <v>26.52</v>
          </cell>
        </row>
        <row r="440">
          <cell r="A440">
            <v>37138</v>
          </cell>
          <cell r="B440">
            <v>26.91</v>
          </cell>
          <cell r="C440">
            <v>26.18</v>
          </cell>
        </row>
        <row r="441">
          <cell r="A441">
            <v>37139</v>
          </cell>
          <cell r="B441">
            <v>26.98</v>
          </cell>
          <cell r="C441">
            <v>26.265000000000001</v>
          </cell>
        </row>
        <row r="442">
          <cell r="A442">
            <v>37140</v>
          </cell>
          <cell r="B442">
            <v>27.56</v>
          </cell>
          <cell r="C442">
            <v>26.805</v>
          </cell>
        </row>
        <row r="443">
          <cell r="A443">
            <v>37141</v>
          </cell>
          <cell r="B443">
            <v>28</v>
          </cell>
          <cell r="C443">
            <v>27.63</v>
          </cell>
        </row>
        <row r="444">
          <cell r="A444">
            <v>37144</v>
          </cell>
          <cell r="B444">
            <v>27.53</v>
          </cell>
          <cell r="C444">
            <v>27.18</v>
          </cell>
        </row>
        <row r="445">
          <cell r="A445">
            <v>37145</v>
          </cell>
          <cell r="B445">
            <v>27.53</v>
          </cell>
          <cell r="C445">
            <v>28.42</v>
          </cell>
        </row>
        <row r="446">
          <cell r="A446">
            <v>37146</v>
          </cell>
          <cell r="B446">
            <v>27.53</v>
          </cell>
          <cell r="C446">
            <v>27.57</v>
          </cell>
        </row>
        <row r="447">
          <cell r="A447">
            <v>37147</v>
          </cell>
          <cell r="B447">
            <v>28.65</v>
          </cell>
          <cell r="C447">
            <v>28.01</v>
          </cell>
        </row>
        <row r="448">
          <cell r="A448">
            <v>37148</v>
          </cell>
          <cell r="B448">
            <v>29.9</v>
          </cell>
          <cell r="C448">
            <v>29.15</v>
          </cell>
        </row>
        <row r="449">
          <cell r="A449">
            <v>37151</v>
          </cell>
          <cell r="B449">
            <v>28.734999999999999</v>
          </cell>
          <cell r="C449">
            <v>27.905000000000001</v>
          </cell>
        </row>
        <row r="450">
          <cell r="A450">
            <v>37152</v>
          </cell>
          <cell r="B450">
            <v>27.74</v>
          </cell>
          <cell r="C450">
            <v>26.77</v>
          </cell>
        </row>
        <row r="451">
          <cell r="A451">
            <v>37153</v>
          </cell>
          <cell r="B451">
            <v>26.745000000000001</v>
          </cell>
          <cell r="C451">
            <v>25.58</v>
          </cell>
        </row>
        <row r="452">
          <cell r="A452">
            <v>37154</v>
          </cell>
          <cell r="B452">
            <v>26.59</v>
          </cell>
          <cell r="C452">
            <v>25.14</v>
          </cell>
        </row>
        <row r="453">
          <cell r="A453">
            <v>37155</v>
          </cell>
          <cell r="B453">
            <v>25.41</v>
          </cell>
          <cell r="C453">
            <v>24.605</v>
          </cell>
        </row>
        <row r="454">
          <cell r="A454">
            <v>37158</v>
          </cell>
          <cell r="B454">
            <v>21.66</v>
          </cell>
          <cell r="C454">
            <v>20.984999999999999</v>
          </cell>
        </row>
        <row r="455">
          <cell r="A455">
            <v>37159</v>
          </cell>
          <cell r="B455">
            <v>22.1</v>
          </cell>
          <cell r="C455">
            <v>21.145</v>
          </cell>
        </row>
        <row r="456">
          <cell r="A456">
            <v>37160</v>
          </cell>
          <cell r="B456">
            <v>22.65</v>
          </cell>
          <cell r="C456">
            <v>21.81</v>
          </cell>
        </row>
        <row r="457">
          <cell r="A457">
            <v>37161</v>
          </cell>
          <cell r="B457">
            <v>22.84</v>
          </cell>
          <cell r="C457">
            <v>21.62</v>
          </cell>
        </row>
        <row r="458">
          <cell r="A458">
            <v>37162</v>
          </cell>
          <cell r="B458">
            <v>23.375</v>
          </cell>
          <cell r="C458">
            <v>22.114999999999998</v>
          </cell>
        </row>
        <row r="459">
          <cell r="A459">
            <v>37165</v>
          </cell>
          <cell r="B459">
            <v>23.03</v>
          </cell>
          <cell r="C459">
            <v>21.32</v>
          </cell>
        </row>
        <row r="460">
          <cell r="A460">
            <v>37166</v>
          </cell>
          <cell r="B460">
            <v>22.484999999999999</v>
          </cell>
          <cell r="C460">
            <v>21.105</v>
          </cell>
        </row>
        <row r="461">
          <cell r="A461">
            <v>37167</v>
          </cell>
          <cell r="B461">
            <v>21.98</v>
          </cell>
          <cell r="C461">
            <v>20.420000000000002</v>
          </cell>
        </row>
        <row r="462">
          <cell r="A462">
            <v>37168</v>
          </cell>
          <cell r="B462">
            <v>22.63</v>
          </cell>
          <cell r="C462">
            <v>21.05</v>
          </cell>
        </row>
        <row r="463">
          <cell r="A463">
            <v>37169</v>
          </cell>
          <cell r="B463">
            <v>22.07</v>
          </cell>
          <cell r="C463">
            <v>20.414999999999999</v>
          </cell>
        </row>
        <row r="464">
          <cell r="A464">
            <v>37172</v>
          </cell>
          <cell r="B464">
            <v>22.254999999999999</v>
          </cell>
          <cell r="C464">
            <v>20.3</v>
          </cell>
        </row>
        <row r="465">
          <cell r="A465">
            <v>37173</v>
          </cell>
          <cell r="B465">
            <v>22.4</v>
          </cell>
          <cell r="C465">
            <v>20.64</v>
          </cell>
        </row>
        <row r="466">
          <cell r="A466">
            <v>37174</v>
          </cell>
          <cell r="B466">
            <v>22.48</v>
          </cell>
          <cell r="C466">
            <v>20.785</v>
          </cell>
        </row>
        <row r="467">
          <cell r="A467">
            <v>37175</v>
          </cell>
          <cell r="B467">
            <v>23.26</v>
          </cell>
          <cell r="C467">
            <v>21.405000000000001</v>
          </cell>
        </row>
        <row r="468">
          <cell r="A468">
            <v>37176</v>
          </cell>
          <cell r="B468">
            <v>22.5</v>
          </cell>
          <cell r="C468">
            <v>20.675000000000001</v>
          </cell>
        </row>
        <row r="469">
          <cell r="A469">
            <v>37179</v>
          </cell>
          <cell r="B469">
            <v>22.285</v>
          </cell>
          <cell r="C469">
            <v>20.89</v>
          </cell>
        </row>
        <row r="470">
          <cell r="A470">
            <v>37180</v>
          </cell>
          <cell r="B470">
            <v>21.975000000000001</v>
          </cell>
          <cell r="C470">
            <v>20.36</v>
          </cell>
        </row>
        <row r="471">
          <cell r="A471">
            <v>37181</v>
          </cell>
          <cell r="B471">
            <v>21.795000000000002</v>
          </cell>
          <cell r="C471">
            <v>20.155000000000001</v>
          </cell>
        </row>
        <row r="472">
          <cell r="A472">
            <v>37182</v>
          </cell>
          <cell r="B472">
            <v>21.28</v>
          </cell>
          <cell r="C472">
            <v>19.684999999999999</v>
          </cell>
        </row>
        <row r="473">
          <cell r="A473">
            <v>37183</v>
          </cell>
          <cell r="B473">
            <v>21.855</v>
          </cell>
          <cell r="C473">
            <v>20.515000000000001</v>
          </cell>
        </row>
        <row r="474">
          <cell r="A474">
            <v>37186</v>
          </cell>
          <cell r="B474">
            <v>21.67</v>
          </cell>
          <cell r="C474">
            <v>20.13</v>
          </cell>
        </row>
        <row r="475">
          <cell r="A475">
            <v>37187</v>
          </cell>
          <cell r="B475">
            <v>21.35</v>
          </cell>
          <cell r="C475">
            <v>19.97</v>
          </cell>
        </row>
        <row r="476">
          <cell r="A476">
            <v>37188</v>
          </cell>
          <cell r="B476">
            <v>21.9</v>
          </cell>
          <cell r="C476">
            <v>20.454999999999998</v>
          </cell>
        </row>
        <row r="477">
          <cell r="A477">
            <v>37189</v>
          </cell>
          <cell r="B477">
            <v>21.61</v>
          </cell>
          <cell r="C477">
            <v>20.14</v>
          </cell>
        </row>
        <row r="478">
          <cell r="A478">
            <v>37190</v>
          </cell>
          <cell r="B478">
            <v>22.07</v>
          </cell>
          <cell r="C478">
            <v>20.420000000000002</v>
          </cell>
        </row>
        <row r="479">
          <cell r="A479">
            <v>37193</v>
          </cell>
          <cell r="B479">
            <v>22.05</v>
          </cell>
          <cell r="C479">
            <v>20.329999999999998</v>
          </cell>
        </row>
        <row r="480">
          <cell r="A480">
            <v>37194</v>
          </cell>
          <cell r="B480">
            <v>21.734999999999999</v>
          </cell>
          <cell r="C480">
            <v>20.329999999999998</v>
          </cell>
        </row>
        <row r="481">
          <cell r="A481">
            <v>37195</v>
          </cell>
          <cell r="B481">
            <v>21.16</v>
          </cell>
          <cell r="C481">
            <v>19.690000000000001</v>
          </cell>
        </row>
        <row r="482">
          <cell r="A482">
            <v>37196</v>
          </cell>
          <cell r="B482">
            <v>20.29</v>
          </cell>
          <cell r="C482">
            <v>19.11</v>
          </cell>
        </row>
        <row r="483">
          <cell r="A483">
            <v>37197</v>
          </cell>
          <cell r="B483">
            <v>20.329999999999998</v>
          </cell>
          <cell r="C483">
            <v>19.45</v>
          </cell>
        </row>
        <row r="484">
          <cell r="A484">
            <v>37200</v>
          </cell>
          <cell r="B484">
            <v>19.97</v>
          </cell>
          <cell r="C484">
            <v>18.8</v>
          </cell>
        </row>
        <row r="485">
          <cell r="A485">
            <v>37201</v>
          </cell>
          <cell r="B485">
            <v>19.885000000000002</v>
          </cell>
          <cell r="C485">
            <v>18.68</v>
          </cell>
        </row>
        <row r="486">
          <cell r="A486">
            <v>37202</v>
          </cell>
          <cell r="B486">
            <v>20.11</v>
          </cell>
          <cell r="C486">
            <v>18.89</v>
          </cell>
        </row>
        <row r="487">
          <cell r="A487">
            <v>37203</v>
          </cell>
          <cell r="B487">
            <v>21.13</v>
          </cell>
          <cell r="C487">
            <v>19.760000000000002</v>
          </cell>
        </row>
        <row r="488">
          <cell r="A488">
            <v>37204</v>
          </cell>
          <cell r="B488">
            <v>22.23</v>
          </cell>
          <cell r="C488">
            <v>21.02</v>
          </cell>
        </row>
        <row r="489">
          <cell r="A489">
            <v>37207</v>
          </cell>
          <cell r="B489">
            <v>21.15</v>
          </cell>
          <cell r="C489">
            <v>19.78</v>
          </cell>
        </row>
        <row r="490">
          <cell r="A490">
            <v>37208</v>
          </cell>
          <cell r="B490">
            <v>21.51</v>
          </cell>
          <cell r="C490">
            <v>20.21</v>
          </cell>
        </row>
        <row r="491">
          <cell r="A491">
            <v>37209</v>
          </cell>
          <cell r="B491">
            <v>19.72</v>
          </cell>
          <cell r="C491">
            <v>18.395</v>
          </cell>
        </row>
        <row r="492">
          <cell r="A492">
            <v>37210</v>
          </cell>
          <cell r="B492">
            <v>17.350000000000001</v>
          </cell>
          <cell r="C492">
            <v>16.535</v>
          </cell>
        </row>
        <row r="493">
          <cell r="A493">
            <v>37211</v>
          </cell>
          <cell r="B493">
            <v>18.105</v>
          </cell>
          <cell r="C493">
            <v>17.434999999999999</v>
          </cell>
        </row>
        <row r="494">
          <cell r="A494">
            <v>37214</v>
          </cell>
          <cell r="B494">
            <v>17.8</v>
          </cell>
          <cell r="C494">
            <v>17.72</v>
          </cell>
        </row>
        <row r="495">
          <cell r="A495">
            <v>37215</v>
          </cell>
          <cell r="B495">
            <v>18.45</v>
          </cell>
          <cell r="C495">
            <v>18.495000000000001</v>
          </cell>
        </row>
        <row r="496">
          <cell r="A496">
            <v>37216</v>
          </cell>
          <cell r="B496">
            <v>18.2</v>
          </cell>
          <cell r="C496">
            <v>18.66</v>
          </cell>
        </row>
        <row r="497">
          <cell r="A497">
            <v>37217</v>
          </cell>
          <cell r="B497">
            <v>18.2</v>
          </cell>
          <cell r="C497">
            <v>20.09</v>
          </cell>
        </row>
        <row r="498">
          <cell r="A498">
            <v>37218</v>
          </cell>
          <cell r="B498">
            <v>18.2</v>
          </cell>
          <cell r="C498">
            <v>19.43</v>
          </cell>
        </row>
        <row r="499">
          <cell r="A499">
            <v>37221</v>
          </cell>
          <cell r="B499">
            <v>18.61</v>
          </cell>
          <cell r="C499">
            <v>18.690000000000001</v>
          </cell>
        </row>
        <row r="500">
          <cell r="A500">
            <v>37222</v>
          </cell>
          <cell r="B500">
            <v>19.53</v>
          </cell>
          <cell r="C500">
            <v>19.25</v>
          </cell>
        </row>
        <row r="501">
          <cell r="A501">
            <v>37223</v>
          </cell>
          <cell r="B501">
            <v>19.315000000000001</v>
          </cell>
          <cell r="C501">
            <v>19.02</v>
          </cell>
        </row>
        <row r="502">
          <cell r="A502">
            <v>37224</v>
          </cell>
          <cell r="B502">
            <v>18.63</v>
          </cell>
          <cell r="C502">
            <v>18.61</v>
          </cell>
        </row>
        <row r="503">
          <cell r="A503">
            <v>37225</v>
          </cell>
          <cell r="B503">
            <v>19.43</v>
          </cell>
          <cell r="C503">
            <v>19.420000000000002</v>
          </cell>
        </row>
        <row r="504">
          <cell r="A504">
            <v>37228</v>
          </cell>
          <cell r="B504">
            <v>20.09</v>
          </cell>
          <cell r="C504">
            <v>19.695</v>
          </cell>
        </row>
        <row r="505">
          <cell r="A505">
            <v>37229</v>
          </cell>
          <cell r="B505">
            <v>19.55</v>
          </cell>
          <cell r="C505">
            <v>18.78</v>
          </cell>
        </row>
        <row r="506">
          <cell r="A506">
            <v>37230</v>
          </cell>
          <cell r="B506">
            <v>19.489999999999998</v>
          </cell>
          <cell r="C506">
            <v>19.100000000000001</v>
          </cell>
        </row>
        <row r="507">
          <cell r="A507">
            <v>37231</v>
          </cell>
          <cell r="B507">
            <v>18.54</v>
          </cell>
          <cell r="C507">
            <v>18.035</v>
          </cell>
        </row>
        <row r="508">
          <cell r="A508">
            <v>37232</v>
          </cell>
          <cell r="B508">
            <v>19.085000000000001</v>
          </cell>
          <cell r="C508">
            <v>18.765000000000001</v>
          </cell>
        </row>
        <row r="509">
          <cell r="A509">
            <v>37235</v>
          </cell>
          <cell r="B509">
            <v>18.37</v>
          </cell>
          <cell r="C509">
            <v>17.809999999999999</v>
          </cell>
        </row>
        <row r="510">
          <cell r="A510">
            <v>37236</v>
          </cell>
          <cell r="B510">
            <v>18.074999999999999</v>
          </cell>
          <cell r="C510">
            <v>17.48</v>
          </cell>
        </row>
        <row r="511">
          <cell r="A511">
            <v>37237</v>
          </cell>
          <cell r="B511">
            <v>18.36</v>
          </cell>
          <cell r="C511">
            <v>17.809999999999999</v>
          </cell>
        </row>
        <row r="512">
          <cell r="A512">
            <v>37238</v>
          </cell>
          <cell r="B512">
            <v>18.079999999999998</v>
          </cell>
          <cell r="C512">
            <v>17.55</v>
          </cell>
        </row>
        <row r="513">
          <cell r="A513">
            <v>37239</v>
          </cell>
          <cell r="B513">
            <v>19.18</v>
          </cell>
          <cell r="C513">
            <v>18.62</v>
          </cell>
        </row>
        <row r="514">
          <cell r="A514">
            <v>37242</v>
          </cell>
          <cell r="B514">
            <v>19.170000000000002</v>
          </cell>
          <cell r="C514">
            <v>18.535</v>
          </cell>
        </row>
        <row r="515">
          <cell r="A515">
            <v>37243</v>
          </cell>
          <cell r="B515">
            <v>19.13</v>
          </cell>
          <cell r="C515">
            <v>18.489999999999998</v>
          </cell>
        </row>
        <row r="516">
          <cell r="A516">
            <v>37244</v>
          </cell>
          <cell r="B516">
            <v>19.125</v>
          </cell>
          <cell r="C516">
            <v>18.54</v>
          </cell>
        </row>
        <row r="517">
          <cell r="A517">
            <v>37245</v>
          </cell>
          <cell r="B517">
            <v>18.329999999999998</v>
          </cell>
          <cell r="C517">
            <v>18.25</v>
          </cell>
        </row>
        <row r="518">
          <cell r="A518">
            <v>37246</v>
          </cell>
          <cell r="B518">
            <v>19.190000000000001</v>
          </cell>
          <cell r="C518">
            <v>18.649999999999999</v>
          </cell>
        </row>
        <row r="519">
          <cell r="A519">
            <v>37249</v>
          </cell>
          <cell r="B519">
            <v>19.190000000000001</v>
          </cell>
          <cell r="C519">
            <v>18.649999999999999</v>
          </cell>
        </row>
        <row r="520">
          <cell r="A520">
            <v>37251</v>
          </cell>
          <cell r="B520">
            <v>21.254999999999999</v>
          </cell>
          <cell r="C520">
            <v>20.245000000000001</v>
          </cell>
        </row>
        <row r="521">
          <cell r="A521">
            <v>37252</v>
          </cell>
          <cell r="B521">
            <v>20.87</v>
          </cell>
          <cell r="C521">
            <v>19.774999999999999</v>
          </cell>
        </row>
        <row r="522">
          <cell r="A522">
            <v>37253</v>
          </cell>
          <cell r="B522">
            <v>20.41</v>
          </cell>
          <cell r="C522">
            <v>19.71</v>
          </cell>
        </row>
        <row r="523">
          <cell r="A523">
            <v>37256</v>
          </cell>
          <cell r="B523">
            <v>19.84</v>
          </cell>
          <cell r="C523">
            <v>19.010000000000002</v>
          </cell>
        </row>
        <row r="524">
          <cell r="A524">
            <v>37258</v>
          </cell>
          <cell r="B524">
            <v>20.88</v>
          </cell>
          <cell r="C524">
            <v>20.285</v>
          </cell>
        </row>
        <row r="525">
          <cell r="A525">
            <v>37259</v>
          </cell>
          <cell r="B525">
            <v>20.315000000000001</v>
          </cell>
          <cell r="C525">
            <v>19.82</v>
          </cell>
        </row>
        <row r="526">
          <cell r="A526">
            <v>37260</v>
          </cell>
          <cell r="B526">
            <v>21.6</v>
          </cell>
          <cell r="C526">
            <v>21.245000000000001</v>
          </cell>
        </row>
        <row r="527">
          <cell r="A527">
            <v>37263</v>
          </cell>
          <cell r="B527">
            <v>21.454999999999998</v>
          </cell>
          <cell r="C527">
            <v>20.844999999999999</v>
          </cell>
        </row>
        <row r="528">
          <cell r="A528">
            <v>37264</v>
          </cell>
          <cell r="B528">
            <v>21.16</v>
          </cell>
          <cell r="C528">
            <v>20.78</v>
          </cell>
        </row>
        <row r="529">
          <cell r="A529">
            <v>37265</v>
          </cell>
          <cell r="B529">
            <v>20.190000000000001</v>
          </cell>
          <cell r="C529">
            <v>19.844999999999999</v>
          </cell>
        </row>
        <row r="530">
          <cell r="A530">
            <v>37266</v>
          </cell>
          <cell r="B530">
            <v>20.420000000000002</v>
          </cell>
          <cell r="C530">
            <v>20.170000000000002</v>
          </cell>
        </row>
        <row r="531">
          <cell r="A531">
            <v>37267</v>
          </cell>
          <cell r="B531">
            <v>19.594999999999999</v>
          </cell>
          <cell r="C531">
            <v>19.350000000000001</v>
          </cell>
        </row>
        <row r="532">
          <cell r="A532">
            <v>37270</v>
          </cell>
          <cell r="B532">
            <v>18.824999999999999</v>
          </cell>
          <cell r="C532">
            <v>18.579999999999998</v>
          </cell>
        </row>
        <row r="533">
          <cell r="A533">
            <v>37271</v>
          </cell>
          <cell r="B533">
            <v>18.855</v>
          </cell>
          <cell r="C533">
            <v>18.844999999999999</v>
          </cell>
        </row>
        <row r="534">
          <cell r="A534">
            <v>37272</v>
          </cell>
          <cell r="B534">
            <v>18.835000000000001</v>
          </cell>
          <cell r="C534">
            <v>18.704999999999998</v>
          </cell>
        </row>
        <row r="535">
          <cell r="A535">
            <v>37273</v>
          </cell>
          <cell r="B535">
            <v>17.925000000000001</v>
          </cell>
          <cell r="C535">
            <v>18.02</v>
          </cell>
        </row>
        <row r="536">
          <cell r="A536">
            <v>37274</v>
          </cell>
          <cell r="B536">
            <v>18</v>
          </cell>
          <cell r="C536">
            <v>18.05</v>
          </cell>
        </row>
        <row r="537">
          <cell r="A537">
            <v>37277</v>
          </cell>
          <cell r="B537">
            <v>18</v>
          </cell>
          <cell r="C537">
            <v>18.555</v>
          </cell>
        </row>
        <row r="538">
          <cell r="A538">
            <v>37278</v>
          </cell>
          <cell r="B538">
            <v>18.579999999999998</v>
          </cell>
          <cell r="C538">
            <v>18.8</v>
          </cell>
        </row>
        <row r="539">
          <cell r="A539">
            <v>37279</v>
          </cell>
          <cell r="B539">
            <v>19.175000000000001</v>
          </cell>
          <cell r="C539">
            <v>19.2</v>
          </cell>
        </row>
        <row r="540">
          <cell r="A540">
            <v>37280</v>
          </cell>
          <cell r="B540">
            <v>19.41</v>
          </cell>
          <cell r="C540">
            <v>19.504999999999999</v>
          </cell>
        </row>
        <row r="541">
          <cell r="A541">
            <v>37281</v>
          </cell>
          <cell r="B541">
            <v>19.79</v>
          </cell>
          <cell r="C541">
            <v>19.745000000000001</v>
          </cell>
        </row>
        <row r="542">
          <cell r="A542">
            <v>37284</v>
          </cell>
          <cell r="B542">
            <v>20.035</v>
          </cell>
          <cell r="C542">
            <v>19.95</v>
          </cell>
        </row>
        <row r="543">
          <cell r="A543">
            <v>37285</v>
          </cell>
          <cell r="B543">
            <v>19.555</v>
          </cell>
          <cell r="C543">
            <v>19.585000000000001</v>
          </cell>
        </row>
        <row r="544">
          <cell r="A544">
            <v>37286</v>
          </cell>
          <cell r="B544">
            <v>19.155000000000001</v>
          </cell>
          <cell r="C544">
            <v>19.195</v>
          </cell>
        </row>
        <row r="545">
          <cell r="A545">
            <v>37287</v>
          </cell>
          <cell r="B545">
            <v>19.515000000000001</v>
          </cell>
          <cell r="C545">
            <v>19.535</v>
          </cell>
        </row>
        <row r="546">
          <cell r="A546">
            <v>37288</v>
          </cell>
          <cell r="B546">
            <v>20.414999999999999</v>
          </cell>
          <cell r="C546">
            <v>20.39</v>
          </cell>
        </row>
        <row r="547">
          <cell r="A547">
            <v>37291</v>
          </cell>
          <cell r="B547">
            <v>19.995000000000001</v>
          </cell>
          <cell r="C547">
            <v>20.215</v>
          </cell>
        </row>
        <row r="548">
          <cell r="A548">
            <v>37292</v>
          </cell>
          <cell r="B548">
            <v>20.015000000000001</v>
          </cell>
          <cell r="C548">
            <v>19.984999999999999</v>
          </cell>
        </row>
        <row r="549">
          <cell r="A549">
            <v>37293</v>
          </cell>
          <cell r="B549">
            <v>19.725000000000001</v>
          </cell>
          <cell r="C549">
            <v>19.690000000000001</v>
          </cell>
        </row>
        <row r="550">
          <cell r="A550">
            <v>37294</v>
          </cell>
          <cell r="B550">
            <v>19.64</v>
          </cell>
          <cell r="C550">
            <v>19.704999999999998</v>
          </cell>
        </row>
        <row r="551">
          <cell r="A551">
            <v>37295</v>
          </cell>
          <cell r="B551">
            <v>20.2</v>
          </cell>
          <cell r="C551">
            <v>20.225000000000001</v>
          </cell>
        </row>
        <row r="552">
          <cell r="A552">
            <v>37298</v>
          </cell>
          <cell r="B552">
            <v>21.375</v>
          </cell>
          <cell r="C552">
            <v>21.454999999999998</v>
          </cell>
        </row>
        <row r="553">
          <cell r="A553">
            <v>37299</v>
          </cell>
          <cell r="B553">
            <v>20.684999999999999</v>
          </cell>
          <cell r="C553">
            <v>20.59</v>
          </cell>
        </row>
        <row r="554">
          <cell r="A554">
            <v>37300</v>
          </cell>
          <cell r="B554">
            <v>21.114999999999998</v>
          </cell>
          <cell r="C554">
            <v>20.655000000000001</v>
          </cell>
        </row>
        <row r="555">
          <cell r="A555">
            <v>37301</v>
          </cell>
          <cell r="B555">
            <v>21.184999999999999</v>
          </cell>
          <cell r="C555">
            <v>20.635000000000002</v>
          </cell>
        </row>
        <row r="556">
          <cell r="A556">
            <v>37302</v>
          </cell>
          <cell r="B556">
            <v>21.375</v>
          </cell>
          <cell r="C556">
            <v>20.585000000000001</v>
          </cell>
        </row>
        <row r="557">
          <cell r="A557">
            <v>37305</v>
          </cell>
          <cell r="B557">
            <v>21.375</v>
          </cell>
          <cell r="C557">
            <v>19.82</v>
          </cell>
        </row>
        <row r="558">
          <cell r="A558">
            <v>37306</v>
          </cell>
          <cell r="B558">
            <v>20.78</v>
          </cell>
          <cell r="C558">
            <v>19.68</v>
          </cell>
        </row>
        <row r="559">
          <cell r="A559">
            <v>37307</v>
          </cell>
          <cell r="B559">
            <v>20.14</v>
          </cell>
          <cell r="C559">
            <v>19.37</v>
          </cell>
        </row>
        <row r="560">
          <cell r="A560">
            <v>37308</v>
          </cell>
          <cell r="B560">
            <v>20.65</v>
          </cell>
          <cell r="C560">
            <v>19.835000000000001</v>
          </cell>
        </row>
        <row r="561">
          <cell r="A561">
            <v>37309</v>
          </cell>
          <cell r="B561">
            <v>20.824999999999999</v>
          </cell>
          <cell r="C561">
            <v>19.835000000000001</v>
          </cell>
        </row>
        <row r="562">
          <cell r="A562">
            <v>37312</v>
          </cell>
          <cell r="B562">
            <v>20.18</v>
          </cell>
          <cell r="C562">
            <v>19.63</v>
          </cell>
        </row>
        <row r="563">
          <cell r="A563">
            <v>37313</v>
          </cell>
          <cell r="B563">
            <v>21.315000000000001</v>
          </cell>
          <cell r="C563">
            <v>20.605</v>
          </cell>
        </row>
        <row r="564">
          <cell r="A564">
            <v>37314</v>
          </cell>
          <cell r="B564">
            <v>21.225000000000001</v>
          </cell>
          <cell r="C564">
            <v>20.484999999999999</v>
          </cell>
        </row>
        <row r="565">
          <cell r="A565">
            <v>37315</v>
          </cell>
          <cell r="B565">
            <v>21.73</v>
          </cell>
          <cell r="C565">
            <v>21.06</v>
          </cell>
        </row>
        <row r="566">
          <cell r="A566">
            <v>37316</v>
          </cell>
          <cell r="B566">
            <v>22.355</v>
          </cell>
          <cell r="C566">
            <v>21.495000000000001</v>
          </cell>
        </row>
        <row r="567">
          <cell r="A567">
            <v>37319</v>
          </cell>
          <cell r="B567">
            <v>22.4</v>
          </cell>
          <cell r="C567">
            <v>21.555</v>
          </cell>
        </row>
        <row r="568">
          <cell r="A568">
            <v>37320</v>
          </cell>
          <cell r="B568">
            <v>23.12</v>
          </cell>
          <cell r="C568">
            <v>22.25</v>
          </cell>
        </row>
        <row r="569">
          <cell r="A569">
            <v>37321</v>
          </cell>
          <cell r="B569">
            <v>23.125</v>
          </cell>
          <cell r="C569">
            <v>22.15</v>
          </cell>
        </row>
        <row r="570">
          <cell r="A570">
            <v>37322</v>
          </cell>
          <cell r="B570">
            <v>23.66</v>
          </cell>
          <cell r="C570">
            <v>22.614999999999998</v>
          </cell>
        </row>
        <row r="571">
          <cell r="A571">
            <v>37323</v>
          </cell>
          <cell r="B571">
            <v>23.79</v>
          </cell>
          <cell r="C571">
            <v>22.925000000000001</v>
          </cell>
        </row>
        <row r="572">
          <cell r="A572">
            <v>37326</v>
          </cell>
          <cell r="B572">
            <v>24.27</v>
          </cell>
          <cell r="C572">
            <v>23.414999999999999</v>
          </cell>
        </row>
        <row r="573">
          <cell r="A573">
            <v>37327</v>
          </cell>
          <cell r="B573">
            <v>24.2</v>
          </cell>
          <cell r="C573">
            <v>23.35</v>
          </cell>
        </row>
        <row r="574">
          <cell r="A574">
            <v>37328</v>
          </cell>
          <cell r="B574">
            <v>24.15</v>
          </cell>
          <cell r="C574">
            <v>23.335000000000001</v>
          </cell>
        </row>
        <row r="575">
          <cell r="A575">
            <v>37329</v>
          </cell>
          <cell r="B575">
            <v>24.53</v>
          </cell>
          <cell r="C575">
            <v>23.93</v>
          </cell>
        </row>
        <row r="576">
          <cell r="A576">
            <v>37330</v>
          </cell>
          <cell r="B576">
            <v>24.43</v>
          </cell>
          <cell r="C576">
            <v>23.875</v>
          </cell>
        </row>
        <row r="577">
          <cell r="A577">
            <v>37333</v>
          </cell>
          <cell r="B577">
            <v>25.024999999999999</v>
          </cell>
          <cell r="C577">
            <v>24.355</v>
          </cell>
        </row>
        <row r="578">
          <cell r="A578">
            <v>37334</v>
          </cell>
          <cell r="B578">
            <v>24.89</v>
          </cell>
          <cell r="C578">
            <v>24.364999999999998</v>
          </cell>
        </row>
        <row r="579">
          <cell r="A579">
            <v>37335</v>
          </cell>
          <cell r="B579">
            <v>24.65</v>
          </cell>
          <cell r="C579">
            <v>23.984999999999999</v>
          </cell>
        </row>
        <row r="580">
          <cell r="A580">
            <v>37336</v>
          </cell>
          <cell r="B580">
            <v>25.425000000000001</v>
          </cell>
          <cell r="C580">
            <v>25.14</v>
          </cell>
        </row>
        <row r="581">
          <cell r="A581">
            <v>37337</v>
          </cell>
          <cell r="B581">
            <v>25.05</v>
          </cell>
          <cell r="C581">
            <v>25.01</v>
          </cell>
        </row>
        <row r="582">
          <cell r="A582">
            <v>37340</v>
          </cell>
          <cell r="B582">
            <v>24.385000000000002</v>
          </cell>
          <cell r="C582">
            <v>24.95</v>
          </cell>
        </row>
        <row r="583">
          <cell r="A583">
            <v>37341</v>
          </cell>
          <cell r="B583">
            <v>25.39</v>
          </cell>
          <cell r="C583">
            <v>24.99</v>
          </cell>
        </row>
        <row r="584">
          <cell r="A584">
            <v>37342</v>
          </cell>
          <cell r="B584">
            <v>25.844999999999999</v>
          </cell>
          <cell r="C584">
            <v>25.125</v>
          </cell>
        </row>
        <row r="585">
          <cell r="A585">
            <v>37343</v>
          </cell>
          <cell r="B585">
            <v>26.315000000000001</v>
          </cell>
          <cell r="C585">
            <v>25.71</v>
          </cell>
        </row>
        <row r="586">
          <cell r="A586">
            <v>37347</v>
          </cell>
          <cell r="B586">
            <v>26.885000000000002</v>
          </cell>
          <cell r="C586">
            <v>26.02</v>
          </cell>
        </row>
        <row r="587">
          <cell r="A587">
            <v>37348</v>
          </cell>
          <cell r="B587">
            <v>27.72</v>
          </cell>
          <cell r="C587">
            <v>26.93</v>
          </cell>
        </row>
        <row r="588">
          <cell r="A588">
            <v>37349</v>
          </cell>
          <cell r="B588">
            <v>27.6</v>
          </cell>
          <cell r="C588">
            <v>26.74</v>
          </cell>
        </row>
        <row r="589">
          <cell r="A589">
            <v>37350</v>
          </cell>
          <cell r="B589">
            <v>26.66</v>
          </cell>
          <cell r="C589">
            <v>26.2</v>
          </cell>
        </row>
        <row r="590">
          <cell r="A590">
            <v>37351</v>
          </cell>
          <cell r="B590">
            <v>26.27</v>
          </cell>
          <cell r="C590">
            <v>25.914999999999999</v>
          </cell>
        </row>
        <row r="591">
          <cell r="A591">
            <v>37354</v>
          </cell>
          <cell r="B591">
            <v>26.55</v>
          </cell>
          <cell r="C591">
            <v>26.17</v>
          </cell>
        </row>
        <row r="592">
          <cell r="A592">
            <v>37355</v>
          </cell>
          <cell r="B592">
            <v>25.82</v>
          </cell>
          <cell r="C592">
            <v>24.73</v>
          </cell>
        </row>
        <row r="593">
          <cell r="A593">
            <v>37356</v>
          </cell>
          <cell r="B593">
            <v>26.074999999999999</v>
          </cell>
          <cell r="C593">
            <v>24.62</v>
          </cell>
        </row>
        <row r="594">
          <cell r="A594">
            <v>37357</v>
          </cell>
          <cell r="B594">
            <v>24.995000000000001</v>
          </cell>
          <cell r="C594">
            <v>23.765000000000001</v>
          </cell>
        </row>
        <row r="595">
          <cell r="A595">
            <v>37358</v>
          </cell>
          <cell r="B595">
            <v>23.475000000000001</v>
          </cell>
          <cell r="C595">
            <v>22.555</v>
          </cell>
        </row>
        <row r="596">
          <cell r="A596">
            <v>37361</v>
          </cell>
          <cell r="B596">
            <v>24.5</v>
          </cell>
          <cell r="C596">
            <v>23.35</v>
          </cell>
        </row>
        <row r="597">
          <cell r="A597">
            <v>37362</v>
          </cell>
          <cell r="B597">
            <v>24.77</v>
          </cell>
          <cell r="C597">
            <v>24.135000000000002</v>
          </cell>
        </row>
        <row r="598">
          <cell r="A598">
            <v>37363</v>
          </cell>
          <cell r="B598">
            <v>25.87</v>
          </cell>
          <cell r="C598">
            <v>25.164999999999999</v>
          </cell>
        </row>
        <row r="599">
          <cell r="A599">
            <v>37364</v>
          </cell>
          <cell r="B599">
            <v>26.19</v>
          </cell>
          <cell r="C599">
            <v>25.655000000000001</v>
          </cell>
        </row>
        <row r="600">
          <cell r="A600">
            <v>37365</v>
          </cell>
          <cell r="B600">
            <v>26.395</v>
          </cell>
          <cell r="C600">
            <v>25.99</v>
          </cell>
        </row>
        <row r="601">
          <cell r="A601">
            <v>37368</v>
          </cell>
          <cell r="B601">
            <v>26.44</v>
          </cell>
          <cell r="C601">
            <v>26.21</v>
          </cell>
        </row>
        <row r="602">
          <cell r="A602">
            <v>37369</v>
          </cell>
          <cell r="B602">
            <v>26.594999999999999</v>
          </cell>
          <cell r="C602">
            <v>26.574999999999999</v>
          </cell>
        </row>
        <row r="603">
          <cell r="A603">
            <v>37370</v>
          </cell>
          <cell r="B603">
            <v>26.405000000000001</v>
          </cell>
          <cell r="C603">
            <v>25.86</v>
          </cell>
        </row>
        <row r="604">
          <cell r="A604">
            <v>37371</v>
          </cell>
          <cell r="B604">
            <v>26.63</v>
          </cell>
          <cell r="C604">
            <v>26.504999999999999</v>
          </cell>
        </row>
        <row r="605">
          <cell r="A605">
            <v>37372</v>
          </cell>
          <cell r="B605">
            <v>27.06</v>
          </cell>
          <cell r="C605">
            <v>26.87</v>
          </cell>
        </row>
        <row r="606">
          <cell r="A606">
            <v>37375</v>
          </cell>
          <cell r="B606">
            <v>27.51</v>
          </cell>
          <cell r="C606">
            <v>27.324999999999999</v>
          </cell>
        </row>
        <row r="607">
          <cell r="A607">
            <v>37376</v>
          </cell>
          <cell r="B607">
            <v>27.274999999999999</v>
          </cell>
          <cell r="C607">
            <v>27.24</v>
          </cell>
        </row>
        <row r="608">
          <cell r="A608">
            <v>37377</v>
          </cell>
          <cell r="B608">
            <v>26.785</v>
          </cell>
          <cell r="C608">
            <v>26.56</v>
          </cell>
        </row>
        <row r="609">
          <cell r="A609">
            <v>37378</v>
          </cell>
          <cell r="B609">
            <v>26.36</v>
          </cell>
          <cell r="C609">
            <v>26.184999999999999</v>
          </cell>
        </row>
        <row r="610">
          <cell r="A610">
            <v>37379</v>
          </cell>
          <cell r="B610">
            <v>26.66</v>
          </cell>
          <cell r="C610">
            <v>26.295000000000002</v>
          </cell>
        </row>
        <row r="611">
          <cell r="A611">
            <v>37382</v>
          </cell>
          <cell r="B611">
            <v>26.12</v>
          </cell>
          <cell r="C611">
            <v>25.81</v>
          </cell>
        </row>
        <row r="612">
          <cell r="A612">
            <v>37383</v>
          </cell>
          <cell r="B612">
            <v>26.68</v>
          </cell>
          <cell r="C612">
            <v>25.85</v>
          </cell>
        </row>
        <row r="613">
          <cell r="A613">
            <v>37384</v>
          </cell>
          <cell r="B613">
            <v>27.82</v>
          </cell>
          <cell r="C613">
            <v>26.265000000000001</v>
          </cell>
        </row>
        <row r="614">
          <cell r="A614">
            <v>37385</v>
          </cell>
          <cell r="B614">
            <v>27.745000000000001</v>
          </cell>
          <cell r="C614">
            <v>26.065000000000001</v>
          </cell>
        </row>
        <row r="615">
          <cell r="A615">
            <v>37386</v>
          </cell>
          <cell r="B615">
            <v>28.04</v>
          </cell>
          <cell r="C615">
            <v>26.44</v>
          </cell>
        </row>
        <row r="616">
          <cell r="A616">
            <v>37389</v>
          </cell>
          <cell r="B616">
            <v>28.53</v>
          </cell>
          <cell r="C616">
            <v>26.67</v>
          </cell>
        </row>
        <row r="617">
          <cell r="A617">
            <v>37390</v>
          </cell>
          <cell r="B617">
            <v>29.44</v>
          </cell>
          <cell r="C617">
            <v>27.07</v>
          </cell>
        </row>
        <row r="618">
          <cell r="A618">
            <v>37391</v>
          </cell>
          <cell r="B618">
            <v>28.25</v>
          </cell>
          <cell r="C618">
            <v>25.795000000000002</v>
          </cell>
        </row>
        <row r="619">
          <cell r="A619">
            <v>37392</v>
          </cell>
          <cell r="B619">
            <v>28.05</v>
          </cell>
          <cell r="C619">
            <v>25.77</v>
          </cell>
        </row>
        <row r="620">
          <cell r="A620">
            <v>37393</v>
          </cell>
          <cell r="B620">
            <v>28.24</v>
          </cell>
          <cell r="C620">
            <v>25.47</v>
          </cell>
        </row>
        <row r="621">
          <cell r="A621">
            <v>37396</v>
          </cell>
          <cell r="B621">
            <v>28.28</v>
          </cell>
          <cell r="C621">
            <v>25.04</v>
          </cell>
        </row>
        <row r="622">
          <cell r="A622">
            <v>37397</v>
          </cell>
          <cell r="B622">
            <v>27.05</v>
          </cell>
          <cell r="C622">
            <v>24.094999999999999</v>
          </cell>
        </row>
        <row r="623">
          <cell r="A623">
            <v>37398</v>
          </cell>
          <cell r="B623">
            <v>26.844999999999999</v>
          </cell>
          <cell r="C623">
            <v>24.274999999999999</v>
          </cell>
        </row>
        <row r="624">
          <cell r="A624">
            <v>37399</v>
          </cell>
          <cell r="B624">
            <v>26.59</v>
          </cell>
          <cell r="C624">
            <v>24.245000000000001</v>
          </cell>
        </row>
        <row r="625">
          <cell r="A625">
            <v>37400</v>
          </cell>
          <cell r="B625">
            <v>26.83</v>
          </cell>
          <cell r="C625">
            <v>24.204999999999998</v>
          </cell>
        </row>
        <row r="626">
          <cell r="A626">
            <v>37403</v>
          </cell>
          <cell r="B626">
            <v>26.83</v>
          </cell>
          <cell r="C626">
            <v>24.295000000000002</v>
          </cell>
        </row>
        <row r="627">
          <cell r="A627">
            <v>37404</v>
          </cell>
          <cell r="B627">
            <v>25.26</v>
          </cell>
          <cell r="C627">
            <v>24.34</v>
          </cell>
        </row>
        <row r="628">
          <cell r="A628">
            <v>37405</v>
          </cell>
          <cell r="B628">
            <v>25.68</v>
          </cell>
          <cell r="C628">
            <v>24.504999999999999</v>
          </cell>
        </row>
        <row r="629">
          <cell r="A629">
            <v>37406</v>
          </cell>
          <cell r="B629">
            <v>24.74</v>
          </cell>
          <cell r="C629">
            <v>23.56</v>
          </cell>
        </row>
        <row r="630">
          <cell r="A630">
            <v>37407</v>
          </cell>
          <cell r="B630">
            <v>25.26</v>
          </cell>
          <cell r="C630">
            <v>23.675000000000001</v>
          </cell>
        </row>
        <row r="631">
          <cell r="A631">
            <v>37410</v>
          </cell>
          <cell r="B631">
            <v>25.01</v>
          </cell>
          <cell r="C631">
            <v>23.39</v>
          </cell>
        </row>
        <row r="632">
          <cell r="A632">
            <v>37411</v>
          </cell>
          <cell r="B632">
            <v>25.3</v>
          </cell>
          <cell r="C632">
            <v>23.64</v>
          </cell>
        </row>
        <row r="633">
          <cell r="A633">
            <v>37412</v>
          </cell>
          <cell r="B633">
            <v>24.87</v>
          </cell>
          <cell r="C633">
            <v>23.31</v>
          </cell>
        </row>
        <row r="634">
          <cell r="A634">
            <v>37413</v>
          </cell>
          <cell r="B634">
            <v>24.89</v>
          </cell>
          <cell r="C634">
            <v>23.355</v>
          </cell>
        </row>
        <row r="635">
          <cell r="A635">
            <v>37414</v>
          </cell>
          <cell r="B635">
            <v>24.85</v>
          </cell>
          <cell r="C635">
            <v>23.26</v>
          </cell>
        </row>
        <row r="636">
          <cell r="A636">
            <v>37417</v>
          </cell>
          <cell r="B636">
            <v>24.215</v>
          </cell>
          <cell r="C636">
            <v>22.934999999999999</v>
          </cell>
        </row>
        <row r="637">
          <cell r="A637">
            <v>37418</v>
          </cell>
          <cell r="B637">
            <v>24.07</v>
          </cell>
          <cell r="C637">
            <v>22.625</v>
          </cell>
        </row>
        <row r="638">
          <cell r="A638">
            <v>37419</v>
          </cell>
          <cell r="B638">
            <v>24.66</v>
          </cell>
          <cell r="C638">
            <v>22.97</v>
          </cell>
        </row>
        <row r="639">
          <cell r="A639">
            <v>37420</v>
          </cell>
          <cell r="B639">
            <v>25.555</v>
          </cell>
          <cell r="C639">
            <v>23.945</v>
          </cell>
        </row>
        <row r="640">
          <cell r="A640">
            <v>37421</v>
          </cell>
          <cell r="B640">
            <v>25.86</v>
          </cell>
          <cell r="C640">
            <v>24.44</v>
          </cell>
        </row>
        <row r="641">
          <cell r="A641">
            <v>37424</v>
          </cell>
          <cell r="B641">
            <v>25.98</v>
          </cell>
          <cell r="C641">
            <v>24.84</v>
          </cell>
        </row>
        <row r="642">
          <cell r="A642">
            <v>37425</v>
          </cell>
          <cell r="B642">
            <v>25.35</v>
          </cell>
          <cell r="C642">
            <v>24.375</v>
          </cell>
        </row>
        <row r="643">
          <cell r="A643">
            <v>37426</v>
          </cell>
          <cell r="B643">
            <v>25.27</v>
          </cell>
          <cell r="C643">
            <v>24.37</v>
          </cell>
        </row>
        <row r="644">
          <cell r="A644">
            <v>37427</v>
          </cell>
          <cell r="B644">
            <v>25.395</v>
          </cell>
          <cell r="C644">
            <v>24.574999999999999</v>
          </cell>
        </row>
        <row r="645">
          <cell r="A645">
            <v>37428</v>
          </cell>
          <cell r="B645">
            <v>25.67</v>
          </cell>
          <cell r="C645">
            <v>24.4</v>
          </cell>
        </row>
        <row r="646">
          <cell r="A646">
            <v>37431</v>
          </cell>
          <cell r="B646">
            <v>26.47</v>
          </cell>
          <cell r="C646">
            <v>25.305</v>
          </cell>
        </row>
        <row r="647">
          <cell r="A647">
            <v>37432</v>
          </cell>
          <cell r="B647">
            <v>26.1</v>
          </cell>
          <cell r="C647">
            <v>24.984999999999999</v>
          </cell>
        </row>
        <row r="648">
          <cell r="A648">
            <v>37433</v>
          </cell>
          <cell r="B648">
            <v>26.76</v>
          </cell>
          <cell r="C648">
            <v>25.1</v>
          </cell>
        </row>
        <row r="649">
          <cell r="A649">
            <v>37434</v>
          </cell>
          <cell r="B649">
            <v>26.86</v>
          </cell>
          <cell r="C649">
            <v>25.35</v>
          </cell>
        </row>
        <row r="650">
          <cell r="A650">
            <v>37435</v>
          </cell>
          <cell r="B650">
            <v>26.82</v>
          </cell>
          <cell r="C650">
            <v>25.515000000000001</v>
          </cell>
        </row>
        <row r="651">
          <cell r="A651">
            <v>37438</v>
          </cell>
          <cell r="B651">
            <v>26.86</v>
          </cell>
          <cell r="C651">
            <v>25.71</v>
          </cell>
        </row>
        <row r="652">
          <cell r="A652">
            <v>37439</v>
          </cell>
          <cell r="B652">
            <v>26.8</v>
          </cell>
          <cell r="C652">
            <v>25.85</v>
          </cell>
        </row>
        <row r="653">
          <cell r="A653">
            <v>37440</v>
          </cell>
          <cell r="B653">
            <v>26.84</v>
          </cell>
          <cell r="C653">
            <v>25.895</v>
          </cell>
        </row>
        <row r="654">
          <cell r="A654">
            <v>37441</v>
          </cell>
          <cell r="B654">
            <v>26.84</v>
          </cell>
          <cell r="C654">
            <v>25.64</v>
          </cell>
        </row>
        <row r="655">
          <cell r="A655">
            <v>37442</v>
          </cell>
          <cell r="B655">
            <v>26.84</v>
          </cell>
          <cell r="C655">
            <v>25.83</v>
          </cell>
        </row>
        <row r="656">
          <cell r="A656">
            <v>37445</v>
          </cell>
          <cell r="B656">
            <v>26.12</v>
          </cell>
          <cell r="C656">
            <v>25.1</v>
          </cell>
        </row>
        <row r="657">
          <cell r="A657">
            <v>37446</v>
          </cell>
          <cell r="B657">
            <v>26.105</v>
          </cell>
          <cell r="C657">
            <v>25.27</v>
          </cell>
        </row>
        <row r="658">
          <cell r="A658">
            <v>37447</v>
          </cell>
          <cell r="B658">
            <v>26.74</v>
          </cell>
          <cell r="C658">
            <v>25.754999999999999</v>
          </cell>
        </row>
        <row r="659">
          <cell r="A659">
            <v>37448</v>
          </cell>
          <cell r="B659">
            <v>26.85</v>
          </cell>
          <cell r="C659">
            <v>25.745000000000001</v>
          </cell>
        </row>
        <row r="660">
          <cell r="A660">
            <v>37449</v>
          </cell>
          <cell r="B660">
            <v>27.504999999999999</v>
          </cell>
          <cell r="C660">
            <v>26.234999999999999</v>
          </cell>
        </row>
        <row r="661">
          <cell r="A661">
            <v>37452</v>
          </cell>
          <cell r="B661">
            <v>27.01</v>
          </cell>
          <cell r="C661">
            <v>25.875</v>
          </cell>
        </row>
        <row r="662">
          <cell r="A662">
            <v>37453</v>
          </cell>
          <cell r="B662">
            <v>27.75</v>
          </cell>
          <cell r="C662">
            <v>26.355</v>
          </cell>
        </row>
        <row r="663">
          <cell r="A663">
            <v>37454</v>
          </cell>
          <cell r="B663">
            <v>27.88</v>
          </cell>
          <cell r="C663">
            <v>26.774999999999999</v>
          </cell>
        </row>
        <row r="664">
          <cell r="A664">
            <v>37455</v>
          </cell>
          <cell r="B664">
            <v>27.5</v>
          </cell>
          <cell r="C664">
            <v>26.58</v>
          </cell>
        </row>
        <row r="665">
          <cell r="A665">
            <v>37456</v>
          </cell>
          <cell r="B665">
            <v>27.78</v>
          </cell>
          <cell r="C665">
            <v>26.725000000000001</v>
          </cell>
        </row>
        <row r="666">
          <cell r="A666">
            <v>37459</v>
          </cell>
          <cell r="B666">
            <v>26.61</v>
          </cell>
          <cell r="C666">
            <v>25.56</v>
          </cell>
        </row>
        <row r="667">
          <cell r="A667">
            <v>37460</v>
          </cell>
          <cell r="B667">
            <v>26.21</v>
          </cell>
          <cell r="C667">
            <v>25.145</v>
          </cell>
        </row>
        <row r="668">
          <cell r="A668">
            <v>37461</v>
          </cell>
          <cell r="B668">
            <v>26.704999999999998</v>
          </cell>
          <cell r="C668">
            <v>25.53</v>
          </cell>
        </row>
        <row r="669">
          <cell r="A669">
            <v>37462</v>
          </cell>
          <cell r="B669">
            <v>26.72</v>
          </cell>
          <cell r="C669">
            <v>25.434999999999999</v>
          </cell>
        </row>
        <row r="670">
          <cell r="A670">
            <v>37463</v>
          </cell>
          <cell r="B670">
            <v>26.46</v>
          </cell>
          <cell r="C670">
            <v>25.28</v>
          </cell>
        </row>
        <row r="671">
          <cell r="A671">
            <v>37466</v>
          </cell>
          <cell r="B671">
            <v>26.5</v>
          </cell>
          <cell r="C671">
            <v>25.265000000000001</v>
          </cell>
        </row>
        <row r="672">
          <cell r="A672">
            <v>37467</v>
          </cell>
          <cell r="B672">
            <v>27.36</v>
          </cell>
          <cell r="C672">
            <v>26.234999999999999</v>
          </cell>
        </row>
        <row r="673">
          <cell r="A673">
            <v>37468</v>
          </cell>
          <cell r="B673">
            <v>26.91</v>
          </cell>
          <cell r="C673">
            <v>25.885000000000002</v>
          </cell>
        </row>
        <row r="674">
          <cell r="A674">
            <v>37469</v>
          </cell>
          <cell r="B674">
            <v>26.39</v>
          </cell>
          <cell r="C674">
            <v>25.47</v>
          </cell>
        </row>
        <row r="675">
          <cell r="A675">
            <v>37470</v>
          </cell>
          <cell r="B675">
            <v>26.815000000000001</v>
          </cell>
          <cell r="C675">
            <v>25.9</v>
          </cell>
        </row>
        <row r="676">
          <cell r="A676">
            <v>37473</v>
          </cell>
          <cell r="B676">
            <v>26.51</v>
          </cell>
          <cell r="C676">
            <v>25.26</v>
          </cell>
        </row>
        <row r="677">
          <cell r="A677">
            <v>37474</v>
          </cell>
          <cell r="B677">
            <v>27.16</v>
          </cell>
          <cell r="C677">
            <v>25.785</v>
          </cell>
        </row>
        <row r="678">
          <cell r="A678">
            <v>37475</v>
          </cell>
          <cell r="B678">
            <v>26.48</v>
          </cell>
          <cell r="C678">
            <v>25.164999999999999</v>
          </cell>
        </row>
        <row r="679">
          <cell r="A679">
            <v>37476</v>
          </cell>
          <cell r="B679">
            <v>26.68</v>
          </cell>
          <cell r="C679">
            <v>25.504999999999999</v>
          </cell>
        </row>
        <row r="680">
          <cell r="A680">
            <v>37477</v>
          </cell>
          <cell r="B680">
            <v>26.77</v>
          </cell>
          <cell r="C680">
            <v>25.704999999999998</v>
          </cell>
        </row>
        <row r="681">
          <cell r="A681">
            <v>37480</v>
          </cell>
          <cell r="B681">
            <v>27.795000000000002</v>
          </cell>
          <cell r="C681">
            <v>26.265000000000001</v>
          </cell>
        </row>
        <row r="682">
          <cell r="A682">
            <v>37481</v>
          </cell>
          <cell r="B682">
            <v>28</v>
          </cell>
          <cell r="C682">
            <v>26.515000000000001</v>
          </cell>
        </row>
        <row r="683">
          <cell r="A683">
            <v>37482</v>
          </cell>
          <cell r="B683">
            <v>28.08</v>
          </cell>
          <cell r="C683">
            <v>26.645</v>
          </cell>
        </row>
        <row r="684">
          <cell r="A684">
            <v>37483</v>
          </cell>
          <cell r="B684">
            <v>29.035</v>
          </cell>
          <cell r="C684">
            <v>27.475000000000001</v>
          </cell>
        </row>
        <row r="685">
          <cell r="A685">
            <v>37484</v>
          </cell>
          <cell r="B685">
            <v>29.184999999999999</v>
          </cell>
          <cell r="C685">
            <v>27.465</v>
          </cell>
        </row>
        <row r="686">
          <cell r="A686">
            <v>37487</v>
          </cell>
          <cell r="B686">
            <v>29.85</v>
          </cell>
          <cell r="C686">
            <v>27.66</v>
          </cell>
        </row>
        <row r="687">
          <cell r="A687">
            <v>37488</v>
          </cell>
          <cell r="B687">
            <v>29.81</v>
          </cell>
          <cell r="C687">
            <v>27.27</v>
          </cell>
        </row>
        <row r="688">
          <cell r="A688">
            <v>37489</v>
          </cell>
          <cell r="B688">
            <v>30.36</v>
          </cell>
          <cell r="C688">
            <v>27.8</v>
          </cell>
        </row>
        <row r="689">
          <cell r="A689">
            <v>37490</v>
          </cell>
          <cell r="B689">
            <v>30.19</v>
          </cell>
          <cell r="C689">
            <v>27.274999999999999</v>
          </cell>
        </row>
        <row r="690">
          <cell r="A690">
            <v>37491</v>
          </cell>
          <cell r="B690">
            <v>30.08</v>
          </cell>
          <cell r="C690">
            <v>27.14</v>
          </cell>
        </row>
        <row r="691">
          <cell r="A691">
            <v>37494</v>
          </cell>
          <cell r="B691">
            <v>29.26</v>
          </cell>
          <cell r="C691">
            <v>27.425000000000001</v>
          </cell>
        </row>
        <row r="692">
          <cell r="A692">
            <v>37495</v>
          </cell>
          <cell r="B692">
            <v>28.83</v>
          </cell>
          <cell r="C692">
            <v>27.14</v>
          </cell>
        </row>
        <row r="693">
          <cell r="A693">
            <v>37496</v>
          </cell>
          <cell r="B693">
            <v>28.39</v>
          </cell>
          <cell r="C693">
            <v>26.855</v>
          </cell>
        </row>
        <row r="694">
          <cell r="A694">
            <v>37497</v>
          </cell>
          <cell r="B694">
            <v>28.9</v>
          </cell>
          <cell r="C694">
            <v>27.35</v>
          </cell>
        </row>
        <row r="695">
          <cell r="A695">
            <v>37498</v>
          </cell>
          <cell r="B695">
            <v>28.91</v>
          </cell>
          <cell r="C695">
            <v>27.484999999999999</v>
          </cell>
        </row>
        <row r="696">
          <cell r="A696">
            <v>37501</v>
          </cell>
          <cell r="B696">
            <v>28.91</v>
          </cell>
          <cell r="C696">
            <v>27.76</v>
          </cell>
        </row>
        <row r="697">
          <cell r="A697">
            <v>37502</v>
          </cell>
          <cell r="B697">
            <v>27.85</v>
          </cell>
          <cell r="C697">
            <v>26.64</v>
          </cell>
        </row>
        <row r="698">
          <cell r="A698">
            <v>37503</v>
          </cell>
          <cell r="B698">
            <v>28.34</v>
          </cell>
          <cell r="C698">
            <v>27.135000000000002</v>
          </cell>
        </row>
        <row r="699">
          <cell r="A699">
            <v>37504</v>
          </cell>
          <cell r="B699">
            <v>29.02</v>
          </cell>
          <cell r="C699">
            <v>27.745000000000001</v>
          </cell>
        </row>
        <row r="700">
          <cell r="A700">
            <v>37505</v>
          </cell>
          <cell r="B700">
            <v>29.54</v>
          </cell>
          <cell r="C700">
            <v>28.324999999999999</v>
          </cell>
        </row>
        <row r="701">
          <cell r="A701">
            <v>37508</v>
          </cell>
          <cell r="B701">
            <v>29.68</v>
          </cell>
          <cell r="C701">
            <v>28.465</v>
          </cell>
        </row>
        <row r="702">
          <cell r="A702">
            <v>37509</v>
          </cell>
          <cell r="B702">
            <v>29.58</v>
          </cell>
          <cell r="C702">
            <v>28.41</v>
          </cell>
        </row>
        <row r="703">
          <cell r="A703">
            <v>37510</v>
          </cell>
          <cell r="B703">
            <v>29.725000000000001</v>
          </cell>
          <cell r="C703">
            <v>28.545000000000002</v>
          </cell>
        </row>
        <row r="704">
          <cell r="A704">
            <v>37511</v>
          </cell>
          <cell r="B704">
            <v>29</v>
          </cell>
          <cell r="C704">
            <v>27.815000000000001</v>
          </cell>
        </row>
        <row r="705">
          <cell r="A705">
            <v>37512</v>
          </cell>
          <cell r="B705">
            <v>29.85</v>
          </cell>
          <cell r="C705">
            <v>28.64</v>
          </cell>
        </row>
        <row r="706">
          <cell r="A706">
            <v>37515</v>
          </cell>
          <cell r="B706">
            <v>29.69</v>
          </cell>
          <cell r="C706">
            <v>28.5</v>
          </cell>
        </row>
        <row r="707">
          <cell r="A707">
            <v>37516</v>
          </cell>
          <cell r="B707">
            <v>29.015000000000001</v>
          </cell>
          <cell r="C707">
            <v>27.86</v>
          </cell>
        </row>
        <row r="708">
          <cell r="A708">
            <v>37517</v>
          </cell>
          <cell r="B708">
            <v>29.5</v>
          </cell>
          <cell r="C708">
            <v>28.3</v>
          </cell>
        </row>
        <row r="709">
          <cell r="A709">
            <v>37518</v>
          </cell>
          <cell r="B709">
            <v>29.54</v>
          </cell>
          <cell r="C709">
            <v>28.535</v>
          </cell>
        </row>
        <row r="710">
          <cell r="A710">
            <v>37519</v>
          </cell>
          <cell r="B710">
            <v>29.89</v>
          </cell>
          <cell r="C710">
            <v>28.42</v>
          </cell>
        </row>
        <row r="711">
          <cell r="A711">
            <v>37522</v>
          </cell>
          <cell r="B711">
            <v>30.835000000000001</v>
          </cell>
          <cell r="C711">
            <v>29.515000000000001</v>
          </cell>
        </row>
        <row r="712">
          <cell r="A712">
            <v>37523</v>
          </cell>
          <cell r="B712">
            <v>30.87</v>
          </cell>
          <cell r="C712">
            <v>29.155000000000001</v>
          </cell>
        </row>
        <row r="713">
          <cell r="A713">
            <v>37524</v>
          </cell>
          <cell r="B713">
            <v>30.664999999999999</v>
          </cell>
          <cell r="C713">
            <v>29.28</v>
          </cell>
        </row>
        <row r="714">
          <cell r="A714">
            <v>37525</v>
          </cell>
          <cell r="B714">
            <v>30.41</v>
          </cell>
          <cell r="C714">
            <v>29.015000000000001</v>
          </cell>
        </row>
        <row r="715">
          <cell r="A715">
            <v>37526</v>
          </cell>
          <cell r="B715">
            <v>30.56</v>
          </cell>
          <cell r="C715">
            <v>29.01</v>
          </cell>
        </row>
        <row r="716">
          <cell r="A716">
            <v>37529</v>
          </cell>
          <cell r="B716">
            <v>30.54</v>
          </cell>
          <cell r="C716">
            <v>28.875</v>
          </cell>
        </row>
        <row r="717">
          <cell r="A717">
            <v>37530</v>
          </cell>
          <cell r="B717">
            <v>30.82</v>
          </cell>
          <cell r="C717">
            <v>29.065000000000001</v>
          </cell>
        </row>
        <row r="718">
          <cell r="A718">
            <v>37531</v>
          </cell>
          <cell r="B718">
            <v>30.44</v>
          </cell>
          <cell r="C718">
            <v>28.914999999999999</v>
          </cell>
        </row>
        <row r="719">
          <cell r="A719">
            <v>37532</v>
          </cell>
          <cell r="B719">
            <v>29.71</v>
          </cell>
          <cell r="C719">
            <v>28.43</v>
          </cell>
        </row>
        <row r="720">
          <cell r="A720">
            <v>37533</v>
          </cell>
          <cell r="B720">
            <v>29.75</v>
          </cell>
          <cell r="C720">
            <v>28.504999999999999</v>
          </cell>
        </row>
        <row r="721">
          <cell r="A721">
            <v>37536</v>
          </cell>
          <cell r="B721">
            <v>29.69</v>
          </cell>
          <cell r="C721">
            <v>28.57</v>
          </cell>
        </row>
        <row r="722">
          <cell r="A722">
            <v>37537</v>
          </cell>
          <cell r="B722">
            <v>29.43</v>
          </cell>
          <cell r="C722">
            <v>28.4</v>
          </cell>
        </row>
        <row r="723">
          <cell r="A723">
            <v>37538</v>
          </cell>
          <cell r="B723">
            <v>29.26</v>
          </cell>
          <cell r="C723">
            <v>28.45</v>
          </cell>
        </row>
        <row r="724">
          <cell r="A724">
            <v>37539</v>
          </cell>
          <cell r="B724">
            <v>29.02</v>
          </cell>
          <cell r="C724">
            <v>27.995000000000001</v>
          </cell>
        </row>
        <row r="725">
          <cell r="A725">
            <v>37540</v>
          </cell>
          <cell r="B725">
            <v>29.45</v>
          </cell>
          <cell r="C725">
            <v>28.29</v>
          </cell>
        </row>
        <row r="726">
          <cell r="A726">
            <v>37543</v>
          </cell>
          <cell r="B726">
            <v>30.04</v>
          </cell>
          <cell r="C726">
            <v>28.844999999999999</v>
          </cell>
        </row>
        <row r="727">
          <cell r="A727">
            <v>37544</v>
          </cell>
          <cell r="B727">
            <v>29.77</v>
          </cell>
          <cell r="C727">
            <v>28.725000000000001</v>
          </cell>
        </row>
        <row r="728">
          <cell r="A728">
            <v>37545</v>
          </cell>
          <cell r="B728">
            <v>29.51</v>
          </cell>
          <cell r="C728">
            <v>28.335000000000001</v>
          </cell>
        </row>
        <row r="729">
          <cell r="A729">
            <v>37546</v>
          </cell>
          <cell r="B729">
            <v>29.72</v>
          </cell>
          <cell r="C729">
            <v>28.61</v>
          </cell>
        </row>
        <row r="730">
          <cell r="A730">
            <v>37547</v>
          </cell>
          <cell r="B730">
            <v>29.63</v>
          </cell>
          <cell r="C730">
            <v>28.34</v>
          </cell>
        </row>
        <row r="731">
          <cell r="A731">
            <v>37550</v>
          </cell>
          <cell r="B731">
            <v>28.44</v>
          </cell>
          <cell r="C731">
            <v>27.07</v>
          </cell>
        </row>
        <row r="732">
          <cell r="A732">
            <v>37551</v>
          </cell>
          <cell r="B732">
            <v>27.87</v>
          </cell>
          <cell r="C732">
            <v>26.56</v>
          </cell>
        </row>
        <row r="733">
          <cell r="A733">
            <v>37552</v>
          </cell>
          <cell r="B733">
            <v>28.07</v>
          </cell>
          <cell r="C733">
            <v>26.734999999999999</v>
          </cell>
        </row>
        <row r="734">
          <cell r="A734">
            <v>37553</v>
          </cell>
          <cell r="B734">
            <v>28.015000000000001</v>
          </cell>
          <cell r="C734">
            <v>26.67</v>
          </cell>
        </row>
        <row r="735">
          <cell r="A735">
            <v>37554</v>
          </cell>
          <cell r="B735">
            <v>27.45</v>
          </cell>
          <cell r="C735">
            <v>25.954999999999998</v>
          </cell>
        </row>
        <row r="736">
          <cell r="A736">
            <v>37557</v>
          </cell>
          <cell r="B736">
            <v>27.19</v>
          </cell>
          <cell r="C736">
            <v>25.6</v>
          </cell>
        </row>
        <row r="737">
          <cell r="A737">
            <v>37558</v>
          </cell>
          <cell r="B737">
            <v>26.734999999999999</v>
          </cell>
          <cell r="C737">
            <v>25.274999999999999</v>
          </cell>
        </row>
        <row r="738">
          <cell r="A738">
            <v>37559</v>
          </cell>
          <cell r="B738">
            <v>26.79</v>
          </cell>
          <cell r="C738">
            <v>25.37</v>
          </cell>
        </row>
        <row r="739">
          <cell r="A739">
            <v>37560</v>
          </cell>
          <cell r="B739">
            <v>27.12</v>
          </cell>
          <cell r="C739">
            <v>25.614999999999998</v>
          </cell>
        </row>
        <row r="740">
          <cell r="A740">
            <v>37561</v>
          </cell>
          <cell r="B740">
            <v>26.93</v>
          </cell>
          <cell r="C740">
            <v>25.3</v>
          </cell>
        </row>
        <row r="741">
          <cell r="A741">
            <v>37564</v>
          </cell>
          <cell r="B741">
            <v>26.95</v>
          </cell>
          <cell r="C741">
            <v>24.984999999999999</v>
          </cell>
        </row>
        <row r="742">
          <cell r="A742">
            <v>37565</v>
          </cell>
          <cell r="B742">
            <v>26.09</v>
          </cell>
          <cell r="C742">
            <v>24.094999999999999</v>
          </cell>
        </row>
        <row r="743">
          <cell r="A743">
            <v>37566</v>
          </cell>
          <cell r="B743">
            <v>25.72</v>
          </cell>
          <cell r="C743">
            <v>23.7</v>
          </cell>
        </row>
        <row r="744">
          <cell r="A744">
            <v>37567</v>
          </cell>
          <cell r="B744">
            <v>25.38</v>
          </cell>
          <cell r="C744">
            <v>23.465</v>
          </cell>
        </row>
        <row r="745">
          <cell r="A745">
            <v>37568</v>
          </cell>
          <cell r="B745">
            <v>25.78</v>
          </cell>
          <cell r="C745">
            <v>23.62</v>
          </cell>
        </row>
        <row r="746">
          <cell r="A746">
            <v>37571</v>
          </cell>
          <cell r="B746">
            <v>25.85</v>
          </cell>
          <cell r="C746">
            <v>23.81</v>
          </cell>
        </row>
        <row r="747">
          <cell r="A747">
            <v>37572</v>
          </cell>
          <cell r="B747">
            <v>25.98</v>
          </cell>
          <cell r="C747">
            <v>23.795000000000002</v>
          </cell>
        </row>
        <row r="748">
          <cell r="A748">
            <v>37573</v>
          </cell>
          <cell r="B748">
            <v>25.19</v>
          </cell>
          <cell r="C748">
            <v>22.58</v>
          </cell>
        </row>
        <row r="749">
          <cell r="A749">
            <v>37574</v>
          </cell>
          <cell r="B749">
            <v>25.21</v>
          </cell>
          <cell r="C749">
            <v>22.765000000000001</v>
          </cell>
        </row>
        <row r="750">
          <cell r="A750">
            <v>37575</v>
          </cell>
          <cell r="B750">
            <v>25.57</v>
          </cell>
          <cell r="C750">
            <v>23.045000000000002</v>
          </cell>
        </row>
        <row r="751">
          <cell r="A751">
            <v>37578</v>
          </cell>
          <cell r="B751">
            <v>26.645</v>
          </cell>
          <cell r="C751">
            <v>23.83</v>
          </cell>
        </row>
        <row r="752">
          <cell r="A752">
            <v>37579</v>
          </cell>
          <cell r="B752">
            <v>26.385000000000002</v>
          </cell>
          <cell r="C752">
            <v>23.62</v>
          </cell>
        </row>
        <row r="753">
          <cell r="A753">
            <v>37580</v>
          </cell>
          <cell r="B753">
            <v>27.05</v>
          </cell>
          <cell r="C753">
            <v>24.164999999999999</v>
          </cell>
        </row>
        <row r="754">
          <cell r="A754">
            <v>37581</v>
          </cell>
          <cell r="B754">
            <v>27.324999999999999</v>
          </cell>
          <cell r="C754">
            <v>24.315000000000001</v>
          </cell>
        </row>
        <row r="755">
          <cell r="A755">
            <v>37582</v>
          </cell>
          <cell r="B755">
            <v>27.89</v>
          </cell>
          <cell r="C755">
            <v>24.86</v>
          </cell>
        </row>
        <row r="756">
          <cell r="A756">
            <v>37585</v>
          </cell>
          <cell r="B756">
            <v>26.234999999999999</v>
          </cell>
          <cell r="C756">
            <v>24.204999999999998</v>
          </cell>
        </row>
        <row r="757">
          <cell r="A757">
            <v>37586</v>
          </cell>
          <cell r="B757">
            <v>26.4</v>
          </cell>
          <cell r="C757">
            <v>24.594999999999999</v>
          </cell>
        </row>
        <row r="758">
          <cell r="A758">
            <v>37587</v>
          </cell>
          <cell r="B758">
            <v>26.99</v>
          </cell>
          <cell r="C758">
            <v>25.234999999999999</v>
          </cell>
        </row>
        <row r="759">
          <cell r="A759">
            <v>37588</v>
          </cell>
          <cell r="B759">
            <v>26.99</v>
          </cell>
          <cell r="C759">
            <v>24.895</v>
          </cell>
        </row>
        <row r="760">
          <cell r="A760">
            <v>37589</v>
          </cell>
          <cell r="B760">
            <v>26.99</v>
          </cell>
          <cell r="C760">
            <v>25.245000000000001</v>
          </cell>
        </row>
        <row r="761">
          <cell r="A761">
            <v>37592</v>
          </cell>
          <cell r="B761">
            <v>27.155000000000001</v>
          </cell>
          <cell r="C761">
            <v>25.864999999999998</v>
          </cell>
        </row>
        <row r="762">
          <cell r="A762">
            <v>37593</v>
          </cell>
          <cell r="B762">
            <v>27.31</v>
          </cell>
          <cell r="C762">
            <v>26.145</v>
          </cell>
        </row>
        <row r="763">
          <cell r="A763">
            <v>37594</v>
          </cell>
          <cell r="B763">
            <v>26.67</v>
          </cell>
          <cell r="C763">
            <v>25.475000000000001</v>
          </cell>
        </row>
        <row r="764">
          <cell r="A764">
            <v>37595</v>
          </cell>
          <cell r="B764">
            <v>27.34</v>
          </cell>
          <cell r="C764">
            <v>26.274999999999999</v>
          </cell>
        </row>
        <row r="765">
          <cell r="A765">
            <v>37596</v>
          </cell>
          <cell r="B765">
            <v>26.96</v>
          </cell>
          <cell r="C765">
            <v>25.96</v>
          </cell>
        </row>
        <row r="766">
          <cell r="A766">
            <v>37599</v>
          </cell>
          <cell r="B766">
            <v>27.27</v>
          </cell>
          <cell r="C766">
            <v>26.504999999999999</v>
          </cell>
        </row>
        <row r="767">
          <cell r="A767">
            <v>37600</v>
          </cell>
          <cell r="B767">
            <v>27.64</v>
          </cell>
          <cell r="C767">
            <v>27.015000000000001</v>
          </cell>
        </row>
        <row r="768">
          <cell r="A768">
            <v>37601</v>
          </cell>
          <cell r="B768">
            <v>27.5</v>
          </cell>
          <cell r="C768">
            <v>26.98</v>
          </cell>
        </row>
        <row r="769">
          <cell r="A769">
            <v>37602</v>
          </cell>
          <cell r="B769">
            <v>28</v>
          </cell>
          <cell r="C769">
            <v>27.6</v>
          </cell>
        </row>
        <row r="770">
          <cell r="A770">
            <v>37603</v>
          </cell>
          <cell r="B770">
            <v>28.465</v>
          </cell>
          <cell r="C770">
            <v>27.885000000000002</v>
          </cell>
        </row>
        <row r="771">
          <cell r="A771">
            <v>37606</v>
          </cell>
          <cell r="B771">
            <v>30.12</v>
          </cell>
          <cell r="C771">
            <v>29.42</v>
          </cell>
        </row>
        <row r="772">
          <cell r="A772">
            <v>37607</v>
          </cell>
          <cell r="B772">
            <v>30.015000000000001</v>
          </cell>
          <cell r="C772">
            <v>28.95</v>
          </cell>
        </row>
        <row r="773">
          <cell r="A773">
            <v>37608</v>
          </cell>
          <cell r="B773">
            <v>30.434999999999999</v>
          </cell>
          <cell r="C773">
            <v>29.875</v>
          </cell>
        </row>
        <row r="774">
          <cell r="A774">
            <v>37609</v>
          </cell>
          <cell r="B774">
            <v>30.26</v>
          </cell>
          <cell r="C774">
            <v>30.16</v>
          </cell>
        </row>
        <row r="775">
          <cell r="A775">
            <v>37610</v>
          </cell>
          <cell r="B775">
            <v>31.05</v>
          </cell>
          <cell r="C775">
            <v>30.42</v>
          </cell>
        </row>
        <row r="776">
          <cell r="A776">
            <v>37613</v>
          </cell>
          <cell r="B776">
            <v>32.225000000000001</v>
          </cell>
          <cell r="C776">
            <v>31.66</v>
          </cell>
        </row>
        <row r="777">
          <cell r="A777">
            <v>37614</v>
          </cell>
          <cell r="B777">
            <v>32.57</v>
          </cell>
          <cell r="C777">
            <v>31.545000000000002</v>
          </cell>
        </row>
        <row r="778">
          <cell r="A778">
            <v>37616</v>
          </cell>
          <cell r="B778">
            <v>32.39</v>
          </cell>
          <cell r="C778">
            <v>31.844999999999999</v>
          </cell>
        </row>
        <row r="779">
          <cell r="A779">
            <v>37617</v>
          </cell>
          <cell r="B779">
            <v>32.619999999999997</v>
          </cell>
          <cell r="C779">
            <v>31.754999999999999</v>
          </cell>
        </row>
        <row r="780">
          <cell r="A780">
            <v>37620</v>
          </cell>
          <cell r="B780">
            <v>31.3</v>
          </cell>
          <cell r="C780">
            <v>30.37</v>
          </cell>
        </row>
        <row r="781">
          <cell r="A781">
            <v>37621</v>
          </cell>
          <cell r="B781">
            <v>31.25</v>
          </cell>
          <cell r="C781">
            <v>30.375</v>
          </cell>
        </row>
        <row r="782">
          <cell r="A782">
            <v>37623</v>
          </cell>
          <cell r="B782">
            <v>32</v>
          </cell>
          <cell r="C782">
            <v>31.07</v>
          </cell>
        </row>
        <row r="783">
          <cell r="A783">
            <v>37624</v>
          </cell>
          <cell r="B783">
            <v>33.28</v>
          </cell>
          <cell r="C783">
            <v>32.479999999999997</v>
          </cell>
        </row>
        <row r="784">
          <cell r="A784">
            <v>37627</v>
          </cell>
          <cell r="B784">
            <v>32.1</v>
          </cell>
          <cell r="C784">
            <v>31.975000000000001</v>
          </cell>
        </row>
        <row r="785">
          <cell r="A785">
            <v>37628</v>
          </cell>
          <cell r="B785">
            <v>31.15</v>
          </cell>
          <cell r="C785">
            <v>30.87</v>
          </cell>
        </row>
        <row r="786">
          <cell r="A786">
            <v>37629</v>
          </cell>
          <cell r="B786">
            <v>30.71</v>
          </cell>
          <cell r="C786">
            <v>29.49</v>
          </cell>
        </row>
        <row r="787">
          <cell r="A787">
            <v>37630</v>
          </cell>
          <cell r="B787">
            <v>32.090000000000003</v>
          </cell>
          <cell r="C787">
            <v>30.23</v>
          </cell>
        </row>
        <row r="788">
          <cell r="A788">
            <v>37631</v>
          </cell>
          <cell r="B788">
            <v>31.805</v>
          </cell>
          <cell r="C788">
            <v>30.745000000000001</v>
          </cell>
        </row>
        <row r="789">
          <cell r="A789">
            <v>37634</v>
          </cell>
          <cell r="B789">
            <v>32.134999999999998</v>
          </cell>
          <cell r="C789">
            <v>30.954999999999998</v>
          </cell>
        </row>
        <row r="790">
          <cell r="A790">
            <v>37635</v>
          </cell>
          <cell r="B790">
            <v>32.369999999999997</v>
          </cell>
          <cell r="C790">
            <v>31.76</v>
          </cell>
        </row>
        <row r="791">
          <cell r="A791">
            <v>37636</v>
          </cell>
          <cell r="B791">
            <v>33.075000000000003</v>
          </cell>
          <cell r="C791">
            <v>32.034999999999997</v>
          </cell>
        </row>
        <row r="792">
          <cell r="A792">
            <v>37637</v>
          </cell>
          <cell r="B792">
            <v>33.594999999999999</v>
          </cell>
          <cell r="C792">
            <v>32.174999999999997</v>
          </cell>
        </row>
        <row r="793">
          <cell r="A793">
            <v>37638</v>
          </cell>
          <cell r="B793">
            <v>34.1</v>
          </cell>
          <cell r="C793">
            <v>31.984999999999999</v>
          </cell>
        </row>
        <row r="794">
          <cell r="A794">
            <v>37641</v>
          </cell>
          <cell r="B794">
            <v>34.1</v>
          </cell>
          <cell r="C794">
            <v>32.33</v>
          </cell>
        </row>
        <row r="795">
          <cell r="A795">
            <v>37642</v>
          </cell>
          <cell r="B795">
            <v>34.31</v>
          </cell>
          <cell r="C795">
            <v>31.54</v>
          </cell>
        </row>
        <row r="796">
          <cell r="A796">
            <v>37643</v>
          </cell>
          <cell r="B796">
            <v>34.594999999999999</v>
          </cell>
          <cell r="C796">
            <v>31.905000000000001</v>
          </cell>
        </row>
        <row r="797">
          <cell r="A797">
            <v>37644</v>
          </cell>
          <cell r="B797">
            <v>34.15</v>
          </cell>
          <cell r="C797">
            <v>30.74</v>
          </cell>
        </row>
        <row r="798">
          <cell r="A798">
            <v>37645</v>
          </cell>
          <cell r="B798">
            <v>35.405000000000001</v>
          </cell>
          <cell r="C798">
            <v>31.03</v>
          </cell>
        </row>
        <row r="799">
          <cell r="A799">
            <v>37648</v>
          </cell>
          <cell r="B799">
            <v>32.29</v>
          </cell>
          <cell r="C799">
            <v>30.635000000000002</v>
          </cell>
        </row>
        <row r="800">
          <cell r="A800">
            <v>37649</v>
          </cell>
          <cell r="B800">
            <v>32.67</v>
          </cell>
          <cell r="C800">
            <v>30.69</v>
          </cell>
        </row>
        <row r="801">
          <cell r="A801">
            <v>37650</v>
          </cell>
          <cell r="B801">
            <v>33.590000000000003</v>
          </cell>
          <cell r="C801">
            <v>31.26</v>
          </cell>
        </row>
        <row r="802">
          <cell r="A802">
            <v>37651</v>
          </cell>
          <cell r="B802">
            <v>33.79</v>
          </cell>
          <cell r="C802">
            <v>31.445</v>
          </cell>
        </row>
        <row r="803">
          <cell r="A803">
            <v>37652</v>
          </cell>
          <cell r="B803">
            <v>33.484999999999999</v>
          </cell>
          <cell r="C803">
            <v>31.75</v>
          </cell>
        </row>
        <row r="804">
          <cell r="A804">
            <v>37655</v>
          </cell>
          <cell r="B804">
            <v>32.700000000000003</v>
          </cell>
          <cell r="C804">
            <v>30.984999999999999</v>
          </cell>
        </row>
        <row r="805">
          <cell r="A805">
            <v>37656</v>
          </cell>
          <cell r="B805">
            <v>33.43</v>
          </cell>
          <cell r="C805">
            <v>30.92</v>
          </cell>
        </row>
        <row r="806">
          <cell r="A806">
            <v>37657</v>
          </cell>
          <cell r="B806">
            <v>33.844999999999999</v>
          </cell>
          <cell r="C806">
            <v>31.35</v>
          </cell>
        </row>
        <row r="807">
          <cell r="A807">
            <v>37658</v>
          </cell>
          <cell r="B807">
            <v>34.130000000000003</v>
          </cell>
          <cell r="C807">
            <v>31.91</v>
          </cell>
        </row>
        <row r="808">
          <cell r="A808">
            <v>37659</v>
          </cell>
          <cell r="B808">
            <v>34.92</v>
          </cell>
          <cell r="C808">
            <v>32.314999999999998</v>
          </cell>
        </row>
        <row r="809">
          <cell r="A809">
            <v>37662</v>
          </cell>
          <cell r="B809">
            <v>34.479999999999997</v>
          </cell>
          <cell r="C809">
            <v>32.020000000000003</v>
          </cell>
        </row>
        <row r="810">
          <cell r="A810">
            <v>37663</v>
          </cell>
          <cell r="B810">
            <v>35.450000000000003</v>
          </cell>
          <cell r="C810">
            <v>32.575000000000003</v>
          </cell>
        </row>
        <row r="811">
          <cell r="A811">
            <v>37664</v>
          </cell>
          <cell r="B811">
            <v>35.795000000000002</v>
          </cell>
          <cell r="C811">
            <v>32.380000000000003</v>
          </cell>
        </row>
        <row r="812">
          <cell r="A812">
            <v>37665</v>
          </cell>
          <cell r="B812">
            <v>36.36</v>
          </cell>
          <cell r="C812">
            <v>33.06</v>
          </cell>
        </row>
        <row r="813">
          <cell r="A813">
            <v>37666</v>
          </cell>
          <cell r="B813">
            <v>36.85</v>
          </cell>
          <cell r="C813">
            <v>33.4</v>
          </cell>
        </row>
        <row r="814">
          <cell r="A814">
            <v>37669</v>
          </cell>
          <cell r="B814">
            <v>36.85</v>
          </cell>
          <cell r="C814">
            <v>32.865000000000002</v>
          </cell>
        </row>
        <row r="815">
          <cell r="A815">
            <v>37670</v>
          </cell>
          <cell r="B815">
            <v>36.86</v>
          </cell>
          <cell r="C815">
            <v>33.055</v>
          </cell>
        </row>
        <row r="816">
          <cell r="A816">
            <v>37671</v>
          </cell>
          <cell r="B816">
            <v>37.159999999999997</v>
          </cell>
          <cell r="C816">
            <v>32.909999999999997</v>
          </cell>
        </row>
        <row r="817">
          <cell r="A817">
            <v>37672</v>
          </cell>
          <cell r="B817">
            <v>35.99</v>
          </cell>
          <cell r="C817">
            <v>32.405000000000001</v>
          </cell>
        </row>
        <row r="818">
          <cell r="A818">
            <v>37673</v>
          </cell>
          <cell r="B818">
            <v>36.979999999999997</v>
          </cell>
          <cell r="C818">
            <v>32.704999999999998</v>
          </cell>
        </row>
        <row r="819">
          <cell r="A819">
            <v>37676</v>
          </cell>
          <cell r="B819">
            <v>36.79</v>
          </cell>
          <cell r="C819">
            <v>33.325000000000003</v>
          </cell>
        </row>
        <row r="820">
          <cell r="A820">
            <v>37677</v>
          </cell>
          <cell r="B820">
            <v>35.96</v>
          </cell>
          <cell r="C820">
            <v>33.465000000000003</v>
          </cell>
        </row>
        <row r="821">
          <cell r="A821">
            <v>37678</v>
          </cell>
          <cell r="B821">
            <v>37.65</v>
          </cell>
          <cell r="C821">
            <v>33.51</v>
          </cell>
        </row>
        <row r="822">
          <cell r="A822">
            <v>37679</v>
          </cell>
          <cell r="B822">
            <v>37.049999999999997</v>
          </cell>
          <cell r="C822">
            <v>33.965000000000003</v>
          </cell>
        </row>
        <row r="823">
          <cell r="A823">
            <v>37680</v>
          </cell>
          <cell r="B823">
            <v>36.9</v>
          </cell>
          <cell r="C823">
            <v>34.354999999999997</v>
          </cell>
        </row>
        <row r="824">
          <cell r="A824">
            <v>37683</v>
          </cell>
          <cell r="B824">
            <v>35.78</v>
          </cell>
          <cell r="C824">
            <v>33.395000000000003</v>
          </cell>
        </row>
        <row r="825">
          <cell r="A825">
            <v>37684</v>
          </cell>
          <cell r="B825">
            <v>36.869999999999997</v>
          </cell>
          <cell r="C825">
            <v>34.314999999999998</v>
          </cell>
        </row>
        <row r="826">
          <cell r="A826">
            <v>37685</v>
          </cell>
          <cell r="B826">
            <v>36.74</v>
          </cell>
          <cell r="C826">
            <v>34.06</v>
          </cell>
        </row>
        <row r="827">
          <cell r="A827">
            <v>37686</v>
          </cell>
          <cell r="B827">
            <v>37.08</v>
          </cell>
          <cell r="C827">
            <v>34.664999999999999</v>
          </cell>
        </row>
        <row r="828">
          <cell r="A828">
            <v>37687</v>
          </cell>
          <cell r="B828">
            <v>37.78</v>
          </cell>
          <cell r="C828">
            <v>34.564999999999998</v>
          </cell>
        </row>
        <row r="829">
          <cell r="A829">
            <v>37690</v>
          </cell>
          <cell r="B829">
            <v>37.270000000000003</v>
          </cell>
          <cell r="C829">
            <v>34.725000000000001</v>
          </cell>
        </row>
        <row r="830">
          <cell r="A830">
            <v>37691</v>
          </cell>
          <cell r="B830">
            <v>36.67</v>
          </cell>
          <cell r="C830">
            <v>33.954999999999998</v>
          </cell>
        </row>
        <row r="831">
          <cell r="A831">
            <v>37692</v>
          </cell>
          <cell r="B831">
            <v>37.729999999999997</v>
          </cell>
          <cell r="C831">
            <v>34.39</v>
          </cell>
        </row>
        <row r="832">
          <cell r="A832">
            <v>37693</v>
          </cell>
          <cell r="B832">
            <v>36.159999999999997</v>
          </cell>
          <cell r="C832">
            <v>34.04</v>
          </cell>
        </row>
        <row r="833">
          <cell r="A833">
            <v>37694</v>
          </cell>
          <cell r="B833">
            <v>35.380000000000003</v>
          </cell>
          <cell r="C833">
            <v>31.24</v>
          </cell>
        </row>
        <row r="834">
          <cell r="A834">
            <v>37697</v>
          </cell>
          <cell r="B834">
            <v>34.93</v>
          </cell>
          <cell r="C834">
            <v>29.855</v>
          </cell>
        </row>
        <row r="835">
          <cell r="A835">
            <v>37698</v>
          </cell>
          <cell r="B835">
            <v>31.495000000000001</v>
          </cell>
          <cell r="C835">
            <v>28.42</v>
          </cell>
        </row>
        <row r="836">
          <cell r="A836">
            <v>37699</v>
          </cell>
          <cell r="B836">
            <v>29.58</v>
          </cell>
          <cell r="C836">
            <v>28.305</v>
          </cell>
        </row>
        <row r="837">
          <cell r="A837">
            <v>37700</v>
          </cell>
          <cell r="B837">
            <v>28.81</v>
          </cell>
          <cell r="C837">
            <v>27.57</v>
          </cell>
        </row>
        <row r="838">
          <cell r="A838">
            <v>37701</v>
          </cell>
          <cell r="B838">
            <v>27.51</v>
          </cell>
          <cell r="C838">
            <v>24.96</v>
          </cell>
        </row>
        <row r="839">
          <cell r="A839">
            <v>37704</v>
          </cell>
          <cell r="B839">
            <v>29.72</v>
          </cell>
          <cell r="C839">
            <v>26.364999999999998</v>
          </cell>
        </row>
        <row r="840">
          <cell r="A840">
            <v>37705</v>
          </cell>
          <cell r="B840">
            <v>32.17</v>
          </cell>
          <cell r="C840">
            <v>26.79</v>
          </cell>
        </row>
        <row r="841">
          <cell r="A841">
            <v>37706</v>
          </cell>
          <cell r="B841">
            <v>28.664999999999999</v>
          </cell>
          <cell r="C841">
            <v>26.16</v>
          </cell>
        </row>
        <row r="842">
          <cell r="A842">
            <v>37707</v>
          </cell>
          <cell r="B842">
            <v>30.37</v>
          </cell>
          <cell r="C842">
            <v>27.465</v>
          </cell>
        </row>
        <row r="843">
          <cell r="A843">
            <v>37708</v>
          </cell>
          <cell r="B843">
            <v>30.21</v>
          </cell>
          <cell r="C843">
            <v>27.96</v>
          </cell>
        </row>
        <row r="844">
          <cell r="A844">
            <v>37711</v>
          </cell>
          <cell r="B844">
            <v>31.12</v>
          </cell>
          <cell r="C844">
            <v>28.08</v>
          </cell>
        </row>
        <row r="845">
          <cell r="A845">
            <v>37712</v>
          </cell>
          <cell r="B845">
            <v>29.805</v>
          </cell>
          <cell r="C845">
            <v>28.02</v>
          </cell>
        </row>
        <row r="846">
          <cell r="A846">
            <v>37713</v>
          </cell>
          <cell r="B846">
            <v>28.56</v>
          </cell>
          <cell r="C846">
            <v>26.49</v>
          </cell>
        </row>
        <row r="847">
          <cell r="A847">
            <v>37714</v>
          </cell>
          <cell r="B847">
            <v>28.945</v>
          </cell>
          <cell r="C847">
            <v>26.774999999999999</v>
          </cell>
        </row>
        <row r="848">
          <cell r="A848">
            <v>37715</v>
          </cell>
          <cell r="B848">
            <v>28.545000000000002</v>
          </cell>
          <cell r="C848">
            <v>25.004999999999999</v>
          </cell>
        </row>
        <row r="849">
          <cell r="A849">
            <v>37718</v>
          </cell>
          <cell r="B849">
            <v>28.04</v>
          </cell>
          <cell r="C849">
            <v>24.844999999999999</v>
          </cell>
        </row>
        <row r="850">
          <cell r="A850">
            <v>37719</v>
          </cell>
          <cell r="B850">
            <v>28.03</v>
          </cell>
          <cell r="C850">
            <v>25.01</v>
          </cell>
        </row>
        <row r="851">
          <cell r="A851">
            <v>37720</v>
          </cell>
          <cell r="B851">
            <v>28.824999999999999</v>
          </cell>
          <cell r="C851">
            <v>24.864999999999998</v>
          </cell>
        </row>
        <row r="852">
          <cell r="A852">
            <v>37721</v>
          </cell>
          <cell r="B852">
            <v>27.46</v>
          </cell>
          <cell r="C852">
            <v>25</v>
          </cell>
        </row>
        <row r="853">
          <cell r="A853">
            <v>37722</v>
          </cell>
          <cell r="B853">
            <v>28.15</v>
          </cell>
          <cell r="C853">
            <v>23.934999999999999</v>
          </cell>
        </row>
        <row r="854">
          <cell r="A854">
            <v>37725</v>
          </cell>
          <cell r="B854">
            <v>28.7</v>
          </cell>
          <cell r="C854">
            <v>24.52</v>
          </cell>
        </row>
        <row r="855">
          <cell r="A855">
            <v>37726</v>
          </cell>
          <cell r="B855">
            <v>29.36</v>
          </cell>
          <cell r="C855">
            <v>24.645</v>
          </cell>
        </row>
        <row r="856">
          <cell r="A856">
            <v>37727</v>
          </cell>
          <cell r="B856">
            <v>29.31</v>
          </cell>
          <cell r="C856">
            <v>24.73</v>
          </cell>
        </row>
        <row r="857">
          <cell r="A857">
            <v>37728</v>
          </cell>
          <cell r="B857">
            <v>30.7</v>
          </cell>
          <cell r="C857">
            <v>25.215</v>
          </cell>
        </row>
        <row r="858">
          <cell r="A858">
            <v>37729</v>
          </cell>
          <cell r="B858">
            <v>30.7</v>
          </cell>
          <cell r="C858">
            <v>25.215</v>
          </cell>
        </row>
        <row r="859">
          <cell r="A859">
            <v>37732</v>
          </cell>
          <cell r="B859">
            <v>31.08</v>
          </cell>
          <cell r="C859">
            <v>25.98</v>
          </cell>
        </row>
        <row r="860">
          <cell r="A860">
            <v>37733</v>
          </cell>
          <cell r="B860">
            <v>29.92</v>
          </cell>
          <cell r="C860">
            <v>25.67</v>
          </cell>
        </row>
        <row r="861">
          <cell r="A861">
            <v>37734</v>
          </cell>
          <cell r="B861">
            <v>28.175000000000001</v>
          </cell>
          <cell r="C861">
            <v>24.445</v>
          </cell>
        </row>
        <row r="862">
          <cell r="A862">
            <v>37735</v>
          </cell>
          <cell r="B862">
            <v>27.055</v>
          </cell>
          <cell r="C862">
            <v>23.42</v>
          </cell>
        </row>
        <row r="863">
          <cell r="A863">
            <v>37736</v>
          </cell>
          <cell r="B863">
            <v>26.51</v>
          </cell>
          <cell r="C863">
            <v>23.9</v>
          </cell>
        </row>
        <row r="864">
          <cell r="A864">
            <v>37739</v>
          </cell>
          <cell r="B864">
            <v>25.414999999999999</v>
          </cell>
          <cell r="C864">
            <v>23.05</v>
          </cell>
        </row>
        <row r="865">
          <cell r="A865">
            <v>37740</v>
          </cell>
          <cell r="B865">
            <v>25.2</v>
          </cell>
          <cell r="C865">
            <v>22.88</v>
          </cell>
        </row>
        <row r="866">
          <cell r="A866">
            <v>37741</v>
          </cell>
          <cell r="B866">
            <v>25.72</v>
          </cell>
          <cell r="C866">
            <v>23.5</v>
          </cell>
        </row>
        <row r="867">
          <cell r="A867">
            <v>37742</v>
          </cell>
          <cell r="B867">
            <v>26.03</v>
          </cell>
          <cell r="C867">
            <v>23.93</v>
          </cell>
        </row>
        <row r="868">
          <cell r="A868">
            <v>37743</v>
          </cell>
          <cell r="B868">
            <v>25.64</v>
          </cell>
          <cell r="C868">
            <v>23.375</v>
          </cell>
        </row>
        <row r="869">
          <cell r="A869">
            <v>37746</v>
          </cell>
          <cell r="B869">
            <v>26.515000000000001</v>
          </cell>
          <cell r="C869">
            <v>23.695</v>
          </cell>
        </row>
        <row r="870">
          <cell r="A870">
            <v>37747</v>
          </cell>
          <cell r="B870">
            <v>25.67</v>
          </cell>
          <cell r="C870">
            <v>23.36</v>
          </cell>
        </row>
        <row r="871">
          <cell r="A871">
            <v>37748</v>
          </cell>
          <cell r="B871">
            <v>26.24</v>
          </cell>
          <cell r="C871">
            <v>23.95</v>
          </cell>
        </row>
        <row r="872">
          <cell r="A872">
            <v>37749</v>
          </cell>
          <cell r="B872">
            <v>27.01</v>
          </cell>
          <cell r="C872">
            <v>24.734999999999999</v>
          </cell>
        </row>
        <row r="873">
          <cell r="A873">
            <v>37750</v>
          </cell>
          <cell r="B873">
            <v>27.74</v>
          </cell>
          <cell r="C873">
            <v>25.274999999999999</v>
          </cell>
        </row>
        <row r="874">
          <cell r="A874">
            <v>37753</v>
          </cell>
          <cell r="B874">
            <v>27.39</v>
          </cell>
          <cell r="C874">
            <v>25.445</v>
          </cell>
        </row>
        <row r="875">
          <cell r="A875">
            <v>37754</v>
          </cell>
          <cell r="B875">
            <v>28.6</v>
          </cell>
          <cell r="C875">
            <v>25.4</v>
          </cell>
        </row>
        <row r="876">
          <cell r="A876">
            <v>37755</v>
          </cell>
          <cell r="B876">
            <v>29.295000000000002</v>
          </cell>
          <cell r="C876">
            <v>26.375</v>
          </cell>
        </row>
        <row r="877">
          <cell r="A877">
            <v>37756</v>
          </cell>
          <cell r="B877">
            <v>28.68</v>
          </cell>
          <cell r="C877">
            <v>27.035</v>
          </cell>
        </row>
        <row r="878">
          <cell r="A878">
            <v>37757</v>
          </cell>
          <cell r="B878">
            <v>29.13</v>
          </cell>
          <cell r="C878">
            <v>27.125</v>
          </cell>
        </row>
        <row r="879">
          <cell r="A879">
            <v>37760</v>
          </cell>
          <cell r="B879">
            <v>28.8</v>
          </cell>
          <cell r="C879">
            <v>27.405000000000001</v>
          </cell>
        </row>
        <row r="880">
          <cell r="A880">
            <v>37761</v>
          </cell>
          <cell r="B880">
            <v>29.08</v>
          </cell>
          <cell r="C880">
            <v>26.295000000000002</v>
          </cell>
        </row>
        <row r="881">
          <cell r="A881">
            <v>37762</v>
          </cell>
          <cell r="B881">
            <v>29.46</v>
          </cell>
          <cell r="C881">
            <v>27.324999999999999</v>
          </cell>
        </row>
        <row r="882">
          <cell r="A882">
            <v>37763</v>
          </cell>
          <cell r="B882">
            <v>29.28</v>
          </cell>
          <cell r="C882">
            <v>26.64</v>
          </cell>
        </row>
        <row r="883">
          <cell r="A883">
            <v>37764</v>
          </cell>
          <cell r="B883">
            <v>30.11</v>
          </cell>
          <cell r="C883">
            <v>26.92</v>
          </cell>
        </row>
        <row r="884">
          <cell r="A884">
            <v>37767</v>
          </cell>
          <cell r="B884">
            <v>30.11</v>
          </cell>
          <cell r="C884">
            <v>26.92</v>
          </cell>
        </row>
        <row r="885">
          <cell r="A885">
            <v>37768</v>
          </cell>
          <cell r="B885">
            <v>29.22</v>
          </cell>
          <cell r="C885">
            <v>26.195</v>
          </cell>
        </row>
        <row r="886">
          <cell r="A886">
            <v>37769</v>
          </cell>
          <cell r="B886">
            <v>28.495000000000001</v>
          </cell>
          <cell r="C886">
            <v>26.24</v>
          </cell>
        </row>
        <row r="887">
          <cell r="A887">
            <v>37770</v>
          </cell>
          <cell r="B887">
            <v>29.055</v>
          </cell>
          <cell r="C887">
            <v>26.535</v>
          </cell>
        </row>
        <row r="888">
          <cell r="A888">
            <v>37771</v>
          </cell>
          <cell r="B888">
            <v>29.56</v>
          </cell>
          <cell r="C888">
            <v>26.8</v>
          </cell>
        </row>
        <row r="889">
          <cell r="A889">
            <v>37774</v>
          </cell>
          <cell r="B889">
            <v>30.71</v>
          </cell>
          <cell r="C889">
            <v>28.12</v>
          </cell>
        </row>
        <row r="890">
          <cell r="A890">
            <v>37775</v>
          </cell>
          <cell r="B890">
            <v>30.68</v>
          </cell>
          <cell r="C890">
            <v>28.07</v>
          </cell>
        </row>
        <row r="891">
          <cell r="A891">
            <v>37776</v>
          </cell>
          <cell r="B891">
            <v>30.01</v>
          </cell>
          <cell r="C891">
            <v>27.614999999999998</v>
          </cell>
        </row>
        <row r="892">
          <cell r="A892">
            <v>37777</v>
          </cell>
          <cell r="B892">
            <v>30.74</v>
          </cell>
          <cell r="C892">
            <v>28.024999999999999</v>
          </cell>
        </row>
        <row r="893">
          <cell r="A893">
            <v>37778</v>
          </cell>
          <cell r="B893">
            <v>31.29</v>
          </cell>
          <cell r="C893">
            <v>28.05</v>
          </cell>
        </row>
        <row r="894">
          <cell r="A894">
            <v>37781</v>
          </cell>
          <cell r="B894">
            <v>31.36</v>
          </cell>
          <cell r="C894">
            <v>28.545000000000002</v>
          </cell>
        </row>
        <row r="895">
          <cell r="A895">
            <v>37782</v>
          </cell>
          <cell r="B895">
            <v>31.65</v>
          </cell>
          <cell r="C895">
            <v>28.324999999999999</v>
          </cell>
        </row>
        <row r="896">
          <cell r="A896">
            <v>37783</v>
          </cell>
          <cell r="B896">
            <v>32.28</v>
          </cell>
          <cell r="C896">
            <v>28.96</v>
          </cell>
        </row>
        <row r="897">
          <cell r="A897">
            <v>37784</v>
          </cell>
          <cell r="B897">
            <v>31.46</v>
          </cell>
          <cell r="C897">
            <v>28.414999999999999</v>
          </cell>
        </row>
        <row r="898">
          <cell r="A898">
            <v>37785</v>
          </cell>
          <cell r="B898">
            <v>30.625</v>
          </cell>
          <cell r="C898">
            <v>27.135000000000002</v>
          </cell>
        </row>
        <row r="899">
          <cell r="A899">
            <v>37788</v>
          </cell>
          <cell r="B899">
            <v>31.1</v>
          </cell>
          <cell r="C899">
            <v>26.785</v>
          </cell>
        </row>
        <row r="900">
          <cell r="A900">
            <v>37789</v>
          </cell>
          <cell r="B900">
            <v>31.08</v>
          </cell>
          <cell r="C900">
            <v>26.73</v>
          </cell>
        </row>
        <row r="901">
          <cell r="A901">
            <v>37790</v>
          </cell>
          <cell r="B901">
            <v>30.31</v>
          </cell>
          <cell r="C901">
            <v>25.785</v>
          </cell>
        </row>
        <row r="902">
          <cell r="A902">
            <v>37791</v>
          </cell>
          <cell r="B902">
            <v>29.87</v>
          </cell>
          <cell r="C902">
            <v>26.2</v>
          </cell>
        </row>
        <row r="903">
          <cell r="A903">
            <v>37792</v>
          </cell>
          <cell r="B903">
            <v>30.895</v>
          </cell>
          <cell r="C903">
            <v>26.795000000000002</v>
          </cell>
        </row>
        <row r="904">
          <cell r="A904">
            <v>37795</v>
          </cell>
          <cell r="B904">
            <v>30.27</v>
          </cell>
          <cell r="C904">
            <v>26.864999999999998</v>
          </cell>
        </row>
        <row r="905">
          <cell r="A905">
            <v>37796</v>
          </cell>
          <cell r="B905">
            <v>30.13</v>
          </cell>
          <cell r="C905">
            <v>26.675000000000001</v>
          </cell>
        </row>
        <row r="906">
          <cell r="A906">
            <v>37797</v>
          </cell>
          <cell r="B906">
            <v>31.2</v>
          </cell>
          <cell r="C906">
            <v>27.36</v>
          </cell>
        </row>
        <row r="907">
          <cell r="A907">
            <v>37798</v>
          </cell>
          <cell r="B907">
            <v>28.945</v>
          </cell>
          <cell r="C907">
            <v>27.425000000000001</v>
          </cell>
        </row>
        <row r="908">
          <cell r="A908">
            <v>37799</v>
          </cell>
          <cell r="B908">
            <v>29.19</v>
          </cell>
          <cell r="C908">
            <v>27.594999999999999</v>
          </cell>
        </row>
        <row r="909">
          <cell r="A909">
            <v>37802</v>
          </cell>
          <cell r="B909">
            <v>30.01</v>
          </cell>
          <cell r="C909">
            <v>28.324999999999999</v>
          </cell>
        </row>
        <row r="910">
          <cell r="A910">
            <v>37803</v>
          </cell>
          <cell r="B910">
            <v>30.324999999999999</v>
          </cell>
          <cell r="C910">
            <v>27.86</v>
          </cell>
        </row>
        <row r="911">
          <cell r="A911">
            <v>37804</v>
          </cell>
          <cell r="B911">
            <v>30.1</v>
          </cell>
          <cell r="C911">
            <v>28.234999999999999</v>
          </cell>
        </row>
        <row r="912">
          <cell r="A912">
            <v>37805</v>
          </cell>
          <cell r="B912">
            <v>30.52</v>
          </cell>
          <cell r="C912">
            <v>28.75</v>
          </cell>
        </row>
        <row r="913">
          <cell r="A913">
            <v>37806</v>
          </cell>
          <cell r="B913">
            <v>30.52</v>
          </cell>
          <cell r="C913">
            <v>27.805</v>
          </cell>
        </row>
        <row r="914">
          <cell r="A914">
            <v>37809</v>
          </cell>
          <cell r="B914">
            <v>30.12</v>
          </cell>
          <cell r="C914">
            <v>27.75</v>
          </cell>
        </row>
        <row r="915">
          <cell r="A915">
            <v>37810</v>
          </cell>
          <cell r="B915">
            <v>30.26</v>
          </cell>
          <cell r="C915">
            <v>27.7</v>
          </cell>
        </row>
        <row r="916">
          <cell r="A916">
            <v>37811</v>
          </cell>
          <cell r="B916">
            <v>30.84</v>
          </cell>
          <cell r="C916">
            <v>28.03</v>
          </cell>
        </row>
        <row r="917">
          <cell r="A917">
            <v>37812</v>
          </cell>
          <cell r="B917">
            <v>30.93</v>
          </cell>
          <cell r="C917">
            <v>29.03</v>
          </cell>
        </row>
        <row r="918">
          <cell r="A918">
            <v>37813</v>
          </cell>
          <cell r="B918">
            <v>31.28</v>
          </cell>
          <cell r="C918">
            <v>29.395</v>
          </cell>
        </row>
        <row r="919">
          <cell r="A919">
            <v>37816</v>
          </cell>
          <cell r="B919">
            <v>31.2</v>
          </cell>
          <cell r="C919">
            <v>28.72</v>
          </cell>
        </row>
        <row r="920">
          <cell r="A920">
            <v>37817</v>
          </cell>
          <cell r="B920">
            <v>31.62</v>
          </cell>
          <cell r="C920">
            <v>28.61</v>
          </cell>
        </row>
        <row r="921">
          <cell r="A921">
            <v>37818</v>
          </cell>
          <cell r="B921">
            <v>31.01</v>
          </cell>
          <cell r="C921">
            <v>28.625</v>
          </cell>
        </row>
        <row r="922">
          <cell r="A922">
            <v>37819</v>
          </cell>
          <cell r="B922">
            <v>31.38</v>
          </cell>
          <cell r="C922">
            <v>28.824999999999999</v>
          </cell>
        </row>
        <row r="923">
          <cell r="A923">
            <v>37820</v>
          </cell>
          <cell r="B923">
            <v>32.04</v>
          </cell>
          <cell r="C923">
            <v>29.125</v>
          </cell>
        </row>
        <row r="924">
          <cell r="A924">
            <v>37823</v>
          </cell>
          <cell r="B924">
            <v>31.67</v>
          </cell>
          <cell r="C924">
            <v>28.51</v>
          </cell>
        </row>
        <row r="925">
          <cell r="A925">
            <v>37824</v>
          </cell>
          <cell r="B925">
            <v>29.614999999999998</v>
          </cell>
          <cell r="C925">
            <v>27.85</v>
          </cell>
        </row>
        <row r="926">
          <cell r="A926">
            <v>37825</v>
          </cell>
          <cell r="B926">
            <v>30.12</v>
          </cell>
          <cell r="C926">
            <v>27.83</v>
          </cell>
        </row>
        <row r="927">
          <cell r="A927">
            <v>37826</v>
          </cell>
          <cell r="B927">
            <v>30.594999999999999</v>
          </cell>
          <cell r="C927">
            <v>28.074999999999999</v>
          </cell>
        </row>
        <row r="928">
          <cell r="A928">
            <v>37827</v>
          </cell>
          <cell r="B928">
            <v>30.47</v>
          </cell>
          <cell r="C928">
            <v>28.434999999999999</v>
          </cell>
        </row>
        <row r="929">
          <cell r="A929">
            <v>37830</v>
          </cell>
          <cell r="B929">
            <v>30.02</v>
          </cell>
          <cell r="C929">
            <v>27.965</v>
          </cell>
        </row>
        <row r="930">
          <cell r="A930">
            <v>37831</v>
          </cell>
          <cell r="B930">
            <v>30.2</v>
          </cell>
          <cell r="C930">
            <v>28.22</v>
          </cell>
        </row>
        <row r="931">
          <cell r="A931">
            <v>37832</v>
          </cell>
          <cell r="B931">
            <v>30.65</v>
          </cell>
          <cell r="C931">
            <v>28.125</v>
          </cell>
        </row>
        <row r="932">
          <cell r="A932">
            <v>37833</v>
          </cell>
          <cell r="B932">
            <v>30.52</v>
          </cell>
          <cell r="C932">
            <v>28.62</v>
          </cell>
        </row>
        <row r="933">
          <cell r="A933">
            <v>37834</v>
          </cell>
          <cell r="B933">
            <v>32.409999999999997</v>
          </cell>
          <cell r="C933">
            <v>29.715</v>
          </cell>
        </row>
        <row r="934">
          <cell r="A934">
            <v>37837</v>
          </cell>
          <cell r="B934">
            <v>31.795000000000002</v>
          </cell>
          <cell r="C934">
            <v>30.215</v>
          </cell>
        </row>
        <row r="935">
          <cell r="A935">
            <v>37838</v>
          </cell>
          <cell r="B935">
            <v>32.24</v>
          </cell>
          <cell r="C935">
            <v>30.285</v>
          </cell>
        </row>
        <row r="936">
          <cell r="A936">
            <v>37839</v>
          </cell>
          <cell r="B936">
            <v>31.704999999999998</v>
          </cell>
          <cell r="C936">
            <v>29.6</v>
          </cell>
        </row>
        <row r="937">
          <cell r="A937">
            <v>37840</v>
          </cell>
          <cell r="B937">
            <v>32.395000000000003</v>
          </cell>
          <cell r="C937">
            <v>30.215</v>
          </cell>
        </row>
        <row r="938">
          <cell r="A938">
            <v>37841</v>
          </cell>
          <cell r="B938">
            <v>32.26</v>
          </cell>
          <cell r="C938">
            <v>30.23</v>
          </cell>
        </row>
        <row r="939">
          <cell r="A939">
            <v>37844</v>
          </cell>
          <cell r="B939">
            <v>31.97</v>
          </cell>
          <cell r="C939">
            <v>30.234999999999999</v>
          </cell>
        </row>
        <row r="940">
          <cell r="A940">
            <v>37845</v>
          </cell>
          <cell r="B940">
            <v>31.87</v>
          </cell>
          <cell r="C940">
            <v>30.265000000000001</v>
          </cell>
        </row>
        <row r="941">
          <cell r="A941">
            <v>37846</v>
          </cell>
          <cell r="B941">
            <v>30.75</v>
          </cell>
          <cell r="C941">
            <v>29.465</v>
          </cell>
        </row>
        <row r="942">
          <cell r="A942">
            <v>37847</v>
          </cell>
          <cell r="B942">
            <v>31.04</v>
          </cell>
          <cell r="C942">
            <v>28.785</v>
          </cell>
        </row>
        <row r="943">
          <cell r="A943">
            <v>37848</v>
          </cell>
          <cell r="B943">
            <v>31.15</v>
          </cell>
          <cell r="C943">
            <v>29.265000000000001</v>
          </cell>
        </row>
        <row r="944">
          <cell r="A944">
            <v>37851</v>
          </cell>
          <cell r="B944">
            <v>30.84</v>
          </cell>
          <cell r="C944">
            <v>29.164999999999999</v>
          </cell>
        </row>
        <row r="945">
          <cell r="A945">
            <v>37852</v>
          </cell>
          <cell r="B945">
            <v>30.73</v>
          </cell>
          <cell r="C945">
            <v>28.774999999999999</v>
          </cell>
        </row>
        <row r="946">
          <cell r="A946">
            <v>37853</v>
          </cell>
          <cell r="B946">
            <v>31.02</v>
          </cell>
          <cell r="C946">
            <v>29.145</v>
          </cell>
        </row>
        <row r="947">
          <cell r="A947">
            <v>37854</v>
          </cell>
          <cell r="B947">
            <v>31.754999999999999</v>
          </cell>
          <cell r="C947">
            <v>29.984999999999999</v>
          </cell>
        </row>
        <row r="948">
          <cell r="A948">
            <v>37855</v>
          </cell>
          <cell r="B948">
            <v>31.91</v>
          </cell>
          <cell r="C948">
            <v>30.375</v>
          </cell>
        </row>
        <row r="949">
          <cell r="A949">
            <v>37858</v>
          </cell>
          <cell r="B949">
            <v>31.48</v>
          </cell>
          <cell r="C949">
            <v>29.945</v>
          </cell>
        </row>
        <row r="950">
          <cell r="A950">
            <v>37859</v>
          </cell>
          <cell r="B950">
            <v>31.9</v>
          </cell>
          <cell r="C950">
            <v>30.05</v>
          </cell>
        </row>
        <row r="951">
          <cell r="A951">
            <v>37860</v>
          </cell>
          <cell r="B951">
            <v>31.234999999999999</v>
          </cell>
          <cell r="C951">
            <v>29.765000000000001</v>
          </cell>
        </row>
        <row r="952">
          <cell r="A952">
            <v>37861</v>
          </cell>
          <cell r="B952">
            <v>31.45</v>
          </cell>
          <cell r="C952">
            <v>29.965</v>
          </cell>
        </row>
        <row r="953">
          <cell r="A953">
            <v>37862</v>
          </cell>
          <cell r="B953">
            <v>31.55</v>
          </cell>
          <cell r="C953">
            <v>30.09</v>
          </cell>
        </row>
        <row r="954">
          <cell r="A954">
            <v>37865</v>
          </cell>
          <cell r="B954">
            <v>31.55</v>
          </cell>
          <cell r="C954">
            <v>29.565000000000001</v>
          </cell>
        </row>
        <row r="955">
          <cell r="A955">
            <v>37866</v>
          </cell>
          <cell r="B955">
            <v>29.41</v>
          </cell>
          <cell r="C955">
            <v>28.3</v>
          </cell>
        </row>
        <row r="956">
          <cell r="A956">
            <v>37867</v>
          </cell>
          <cell r="B956">
            <v>29.44</v>
          </cell>
          <cell r="C956">
            <v>28.03</v>
          </cell>
        </row>
        <row r="957">
          <cell r="A957">
            <v>37868</v>
          </cell>
          <cell r="B957">
            <v>28.905000000000001</v>
          </cell>
          <cell r="C957">
            <v>27.64</v>
          </cell>
        </row>
        <row r="958">
          <cell r="A958">
            <v>37869</v>
          </cell>
          <cell r="B958">
            <v>28.93</v>
          </cell>
          <cell r="C958">
            <v>27.504999999999999</v>
          </cell>
        </row>
        <row r="959">
          <cell r="A959">
            <v>37872</v>
          </cell>
          <cell r="B959">
            <v>28.78</v>
          </cell>
          <cell r="C959">
            <v>27.574999999999999</v>
          </cell>
        </row>
        <row r="960">
          <cell r="A960">
            <v>37873</v>
          </cell>
          <cell r="B960">
            <v>29.16</v>
          </cell>
          <cell r="C960">
            <v>27.254999999999999</v>
          </cell>
        </row>
        <row r="961">
          <cell r="A961">
            <v>37874</v>
          </cell>
          <cell r="B961">
            <v>29.33</v>
          </cell>
          <cell r="C961">
            <v>27.355</v>
          </cell>
        </row>
        <row r="962">
          <cell r="A962">
            <v>37875</v>
          </cell>
          <cell r="B962">
            <v>28.8</v>
          </cell>
          <cell r="C962">
            <v>27.24</v>
          </cell>
        </row>
        <row r="963">
          <cell r="A963">
            <v>37876</v>
          </cell>
          <cell r="B963">
            <v>28.13</v>
          </cell>
          <cell r="C963">
            <v>26.7</v>
          </cell>
        </row>
        <row r="964">
          <cell r="A964">
            <v>37879</v>
          </cell>
          <cell r="B964">
            <v>28.1</v>
          </cell>
          <cell r="C964">
            <v>26.68</v>
          </cell>
        </row>
        <row r="965">
          <cell r="A965">
            <v>37880</v>
          </cell>
          <cell r="B965">
            <v>27.56</v>
          </cell>
          <cell r="C965">
            <v>26.195</v>
          </cell>
        </row>
        <row r="966">
          <cell r="A966">
            <v>37881</v>
          </cell>
          <cell r="B966">
            <v>26.98</v>
          </cell>
          <cell r="C966">
            <v>25.954999999999998</v>
          </cell>
        </row>
        <row r="967">
          <cell r="A967">
            <v>37882</v>
          </cell>
          <cell r="B967">
            <v>27.13</v>
          </cell>
          <cell r="C967">
            <v>25.63</v>
          </cell>
        </row>
        <row r="968">
          <cell r="A968">
            <v>37883</v>
          </cell>
          <cell r="B968">
            <v>26.94</v>
          </cell>
          <cell r="C968">
            <v>25.28</v>
          </cell>
        </row>
        <row r="969">
          <cell r="A969">
            <v>37886</v>
          </cell>
          <cell r="B969">
            <v>26.93</v>
          </cell>
          <cell r="C969">
            <v>25.73</v>
          </cell>
        </row>
        <row r="970">
          <cell r="A970">
            <v>37887</v>
          </cell>
          <cell r="B970">
            <v>26.94</v>
          </cell>
          <cell r="C970">
            <v>26.08</v>
          </cell>
        </row>
        <row r="971">
          <cell r="A971">
            <v>37888</v>
          </cell>
          <cell r="B971">
            <v>28.02</v>
          </cell>
          <cell r="C971">
            <v>26.965</v>
          </cell>
        </row>
        <row r="972">
          <cell r="A972">
            <v>37889</v>
          </cell>
          <cell r="B972">
            <v>28.13</v>
          </cell>
          <cell r="C972">
            <v>27.265000000000001</v>
          </cell>
        </row>
        <row r="973">
          <cell r="A973">
            <v>37890</v>
          </cell>
          <cell r="B973">
            <v>28.19</v>
          </cell>
          <cell r="C973">
            <v>27.094999999999999</v>
          </cell>
        </row>
        <row r="974">
          <cell r="A974">
            <v>37893</v>
          </cell>
          <cell r="B974">
            <v>28.35</v>
          </cell>
          <cell r="C974">
            <v>27.495000000000001</v>
          </cell>
        </row>
        <row r="975">
          <cell r="A975">
            <v>37894</v>
          </cell>
          <cell r="B975">
            <v>29.105</v>
          </cell>
          <cell r="C975">
            <v>28.175000000000001</v>
          </cell>
        </row>
        <row r="976">
          <cell r="A976">
            <v>37895</v>
          </cell>
          <cell r="B976">
            <v>29.41</v>
          </cell>
          <cell r="C976">
            <v>28.24</v>
          </cell>
        </row>
        <row r="977">
          <cell r="A977">
            <v>37896</v>
          </cell>
          <cell r="B977">
            <v>29.78</v>
          </cell>
          <cell r="C977">
            <v>28.925000000000001</v>
          </cell>
        </row>
        <row r="978">
          <cell r="A978">
            <v>37897</v>
          </cell>
          <cell r="B978">
            <v>30.34</v>
          </cell>
          <cell r="C978">
            <v>29.26</v>
          </cell>
        </row>
        <row r="979">
          <cell r="A979">
            <v>37900</v>
          </cell>
          <cell r="B979">
            <v>30.405000000000001</v>
          </cell>
          <cell r="C979">
            <v>29.4</v>
          </cell>
        </row>
        <row r="980">
          <cell r="A980">
            <v>37901</v>
          </cell>
          <cell r="B980">
            <v>30.37</v>
          </cell>
          <cell r="C980">
            <v>29.545000000000002</v>
          </cell>
        </row>
        <row r="981">
          <cell r="A981">
            <v>37902</v>
          </cell>
          <cell r="B981">
            <v>29.77</v>
          </cell>
          <cell r="C981">
            <v>29.18</v>
          </cell>
        </row>
        <row r="982">
          <cell r="A982">
            <v>37903</v>
          </cell>
          <cell r="B982">
            <v>31.01</v>
          </cell>
          <cell r="C982">
            <v>30.36</v>
          </cell>
        </row>
        <row r="983">
          <cell r="A983">
            <v>37904</v>
          </cell>
          <cell r="B983">
            <v>32.045000000000002</v>
          </cell>
          <cell r="C983">
            <v>32.090000000000003</v>
          </cell>
        </row>
        <row r="984">
          <cell r="A984">
            <v>37907</v>
          </cell>
          <cell r="B984">
            <v>31.91</v>
          </cell>
          <cell r="C984">
            <v>31.234999999999999</v>
          </cell>
        </row>
        <row r="985">
          <cell r="A985">
            <v>37908</v>
          </cell>
          <cell r="B985">
            <v>31.75</v>
          </cell>
          <cell r="C985">
            <v>31.53</v>
          </cell>
        </row>
        <row r="986">
          <cell r="A986">
            <v>37909</v>
          </cell>
          <cell r="B986">
            <v>31.73</v>
          </cell>
          <cell r="C986">
            <v>31.225000000000001</v>
          </cell>
        </row>
        <row r="987">
          <cell r="A987">
            <v>37910</v>
          </cell>
          <cell r="B987">
            <v>31.45</v>
          </cell>
          <cell r="C987">
            <v>31.094999999999999</v>
          </cell>
        </row>
        <row r="988">
          <cell r="A988">
            <v>37911</v>
          </cell>
          <cell r="B988">
            <v>30.63</v>
          </cell>
          <cell r="C988">
            <v>29.704999999999998</v>
          </cell>
        </row>
        <row r="989">
          <cell r="A989">
            <v>37914</v>
          </cell>
          <cell r="B989">
            <v>30.324999999999999</v>
          </cell>
          <cell r="C989">
            <v>29.785</v>
          </cell>
        </row>
        <row r="990">
          <cell r="A990">
            <v>37915</v>
          </cell>
          <cell r="B990">
            <v>30.08</v>
          </cell>
          <cell r="C990">
            <v>29.684999999999999</v>
          </cell>
        </row>
        <row r="991">
          <cell r="A991">
            <v>37916</v>
          </cell>
          <cell r="B991">
            <v>29.704999999999998</v>
          </cell>
          <cell r="C991">
            <v>29.395</v>
          </cell>
        </row>
        <row r="992">
          <cell r="A992">
            <v>37917</v>
          </cell>
          <cell r="B992">
            <v>30.13</v>
          </cell>
          <cell r="C992">
            <v>29.45</v>
          </cell>
        </row>
        <row r="993">
          <cell r="A993">
            <v>37918</v>
          </cell>
          <cell r="B993">
            <v>30.2</v>
          </cell>
          <cell r="C993">
            <v>29.8</v>
          </cell>
        </row>
        <row r="994">
          <cell r="A994">
            <v>37921</v>
          </cell>
          <cell r="B994">
            <v>29.84</v>
          </cell>
          <cell r="C994">
            <v>29.26</v>
          </cell>
        </row>
        <row r="995">
          <cell r="A995">
            <v>37922</v>
          </cell>
          <cell r="B995">
            <v>29.51</v>
          </cell>
          <cell r="C995">
            <v>28.7</v>
          </cell>
        </row>
        <row r="996">
          <cell r="A996">
            <v>37923</v>
          </cell>
          <cell r="B996">
            <v>28.885000000000002</v>
          </cell>
          <cell r="C996">
            <v>28.48</v>
          </cell>
        </row>
        <row r="997">
          <cell r="A997">
            <v>37924</v>
          </cell>
          <cell r="B997">
            <v>28.47</v>
          </cell>
          <cell r="C997">
            <v>27.734999999999999</v>
          </cell>
        </row>
        <row r="998">
          <cell r="A998">
            <v>37925</v>
          </cell>
          <cell r="B998">
            <v>29.25</v>
          </cell>
          <cell r="C998">
            <v>27.92</v>
          </cell>
        </row>
        <row r="999">
          <cell r="A999">
            <v>37928</v>
          </cell>
          <cell r="B999">
            <v>28.85</v>
          </cell>
          <cell r="C999">
            <v>27.89</v>
          </cell>
        </row>
        <row r="1000">
          <cell r="A1000">
            <v>37929</v>
          </cell>
          <cell r="B1000">
            <v>28.75</v>
          </cell>
          <cell r="C1000">
            <v>27.175000000000001</v>
          </cell>
        </row>
        <row r="1001">
          <cell r="A1001">
            <v>37930</v>
          </cell>
          <cell r="B1001">
            <v>30.29</v>
          </cell>
          <cell r="C1001">
            <v>28.17</v>
          </cell>
        </row>
        <row r="1002">
          <cell r="A1002">
            <v>37931</v>
          </cell>
          <cell r="B1002">
            <v>30.295000000000002</v>
          </cell>
          <cell r="C1002">
            <v>28.09</v>
          </cell>
        </row>
        <row r="1003">
          <cell r="A1003">
            <v>37932</v>
          </cell>
          <cell r="B1003">
            <v>30.77</v>
          </cell>
          <cell r="C1003">
            <v>28.71</v>
          </cell>
        </row>
        <row r="1004">
          <cell r="A1004">
            <v>37935</v>
          </cell>
          <cell r="B1004">
            <v>30.88</v>
          </cell>
          <cell r="C1004">
            <v>28.65</v>
          </cell>
        </row>
        <row r="1005">
          <cell r="A1005">
            <v>37936</v>
          </cell>
          <cell r="B1005">
            <v>31.12</v>
          </cell>
          <cell r="C1005">
            <v>28.77</v>
          </cell>
        </row>
        <row r="1006">
          <cell r="A1006">
            <v>37937</v>
          </cell>
          <cell r="B1006">
            <v>31.335000000000001</v>
          </cell>
          <cell r="C1006">
            <v>28.79</v>
          </cell>
        </row>
        <row r="1007">
          <cell r="A1007">
            <v>37938</v>
          </cell>
          <cell r="B1007">
            <v>31.92</v>
          </cell>
          <cell r="C1007">
            <v>29.225000000000001</v>
          </cell>
        </row>
        <row r="1008">
          <cell r="A1008">
            <v>37939</v>
          </cell>
          <cell r="B1008">
            <v>32.295000000000002</v>
          </cell>
          <cell r="C1008">
            <v>29.74</v>
          </cell>
        </row>
        <row r="1009">
          <cell r="A1009">
            <v>37942</v>
          </cell>
          <cell r="B1009">
            <v>31.66</v>
          </cell>
          <cell r="C1009">
            <v>29.12</v>
          </cell>
        </row>
        <row r="1010">
          <cell r="A1010">
            <v>37943</v>
          </cell>
          <cell r="B1010">
            <v>33.200000000000003</v>
          </cell>
          <cell r="C1010">
            <v>29.28</v>
          </cell>
        </row>
        <row r="1011">
          <cell r="A1011">
            <v>37944</v>
          </cell>
          <cell r="B1011">
            <v>32.795000000000002</v>
          </cell>
          <cell r="C1011">
            <v>29.74</v>
          </cell>
        </row>
        <row r="1012">
          <cell r="A1012">
            <v>37945</v>
          </cell>
          <cell r="B1012">
            <v>32.549999999999997</v>
          </cell>
          <cell r="C1012">
            <v>29.625</v>
          </cell>
        </row>
        <row r="1013">
          <cell r="A1013">
            <v>37946</v>
          </cell>
          <cell r="B1013">
            <v>32.200000000000003</v>
          </cell>
          <cell r="C1013">
            <v>29.375</v>
          </cell>
        </row>
        <row r="1014">
          <cell r="A1014">
            <v>37949</v>
          </cell>
          <cell r="B1014">
            <v>29.99</v>
          </cell>
          <cell r="C1014">
            <v>28.385000000000002</v>
          </cell>
        </row>
        <row r="1015">
          <cell r="A1015">
            <v>37950</v>
          </cell>
          <cell r="B1015">
            <v>29.72</v>
          </cell>
          <cell r="C1015">
            <v>27.62</v>
          </cell>
        </row>
        <row r="1016">
          <cell r="A1016">
            <v>37951</v>
          </cell>
          <cell r="B1016">
            <v>30.46</v>
          </cell>
          <cell r="C1016">
            <v>28.36</v>
          </cell>
        </row>
        <row r="1017">
          <cell r="A1017">
            <v>37952</v>
          </cell>
          <cell r="B1017">
            <v>30.46</v>
          </cell>
          <cell r="C1017">
            <v>28.984999999999999</v>
          </cell>
        </row>
        <row r="1018">
          <cell r="A1018">
            <v>37953</v>
          </cell>
          <cell r="B1018">
            <v>30.46</v>
          </cell>
          <cell r="C1018">
            <v>28.81</v>
          </cell>
        </row>
        <row r="1019">
          <cell r="A1019">
            <v>37956</v>
          </cell>
          <cell r="B1019">
            <v>29.93</v>
          </cell>
          <cell r="C1019">
            <v>28.37</v>
          </cell>
        </row>
        <row r="1020">
          <cell r="A1020">
            <v>37957</v>
          </cell>
          <cell r="B1020">
            <v>30.74</v>
          </cell>
          <cell r="C1020">
            <v>29.2</v>
          </cell>
        </row>
        <row r="1021">
          <cell r="A1021">
            <v>37958</v>
          </cell>
          <cell r="B1021">
            <v>31.1</v>
          </cell>
          <cell r="C1021">
            <v>28.895</v>
          </cell>
        </row>
        <row r="1022">
          <cell r="A1022">
            <v>37959</v>
          </cell>
          <cell r="B1022">
            <v>31.25</v>
          </cell>
          <cell r="C1022">
            <v>29.305</v>
          </cell>
        </row>
        <row r="1023">
          <cell r="A1023">
            <v>37960</v>
          </cell>
          <cell r="B1023">
            <v>30.76</v>
          </cell>
          <cell r="C1023">
            <v>29.02</v>
          </cell>
        </row>
        <row r="1024">
          <cell r="A1024">
            <v>37963</v>
          </cell>
          <cell r="B1024">
            <v>32.07</v>
          </cell>
          <cell r="C1024">
            <v>30.29</v>
          </cell>
        </row>
        <row r="1025">
          <cell r="A1025">
            <v>37964</v>
          </cell>
          <cell r="B1025">
            <v>31.69</v>
          </cell>
          <cell r="C1025">
            <v>30.465</v>
          </cell>
        </row>
        <row r="1026">
          <cell r="A1026">
            <v>37965</v>
          </cell>
          <cell r="B1026">
            <v>31.86</v>
          </cell>
          <cell r="C1026">
            <v>30.09</v>
          </cell>
        </row>
        <row r="1027">
          <cell r="A1027">
            <v>37966</v>
          </cell>
          <cell r="B1027">
            <v>31.85</v>
          </cell>
          <cell r="C1027">
            <v>29.725000000000001</v>
          </cell>
        </row>
        <row r="1028">
          <cell r="A1028">
            <v>37967</v>
          </cell>
          <cell r="B1028">
            <v>33.119999999999997</v>
          </cell>
          <cell r="C1028">
            <v>30.065000000000001</v>
          </cell>
        </row>
        <row r="1029">
          <cell r="A1029">
            <v>37970</v>
          </cell>
          <cell r="B1029">
            <v>33.1</v>
          </cell>
          <cell r="C1029">
            <v>30.315000000000001</v>
          </cell>
        </row>
        <row r="1030">
          <cell r="A1030">
            <v>37971</v>
          </cell>
          <cell r="B1030">
            <v>32.81</v>
          </cell>
          <cell r="C1030">
            <v>30.27</v>
          </cell>
        </row>
        <row r="1031">
          <cell r="A1031">
            <v>37972</v>
          </cell>
          <cell r="B1031">
            <v>33.25</v>
          </cell>
          <cell r="C1031">
            <v>30.805</v>
          </cell>
        </row>
        <row r="1032">
          <cell r="A1032">
            <v>37973</v>
          </cell>
          <cell r="B1032">
            <v>33.67</v>
          </cell>
          <cell r="C1032">
            <v>30.92</v>
          </cell>
        </row>
        <row r="1033">
          <cell r="A1033">
            <v>37974</v>
          </cell>
          <cell r="B1033">
            <v>33</v>
          </cell>
          <cell r="C1033">
            <v>30.984999999999999</v>
          </cell>
        </row>
        <row r="1034">
          <cell r="A1034">
            <v>37977</v>
          </cell>
          <cell r="B1034">
            <v>31.64</v>
          </cell>
          <cell r="C1034">
            <v>29.875</v>
          </cell>
        </row>
        <row r="1035">
          <cell r="A1035">
            <v>37978</v>
          </cell>
          <cell r="B1035">
            <v>31.87</v>
          </cell>
          <cell r="C1035">
            <v>29.254999999999999</v>
          </cell>
        </row>
        <row r="1036">
          <cell r="A1036">
            <v>37979</v>
          </cell>
          <cell r="B1036">
            <v>33.56</v>
          </cell>
          <cell r="C1036">
            <v>29.585000000000001</v>
          </cell>
        </row>
        <row r="1037">
          <cell r="A1037">
            <v>37981</v>
          </cell>
          <cell r="B1037">
            <v>33.56</v>
          </cell>
          <cell r="C1037">
            <v>29.585000000000001</v>
          </cell>
        </row>
        <row r="1038">
          <cell r="A1038">
            <v>37984</v>
          </cell>
          <cell r="B1038">
            <v>32.450000000000003</v>
          </cell>
          <cell r="C1038">
            <v>29.695</v>
          </cell>
        </row>
        <row r="1039">
          <cell r="A1039">
            <v>37985</v>
          </cell>
          <cell r="B1039">
            <v>32.76</v>
          </cell>
          <cell r="C1039">
            <v>29.975000000000001</v>
          </cell>
        </row>
        <row r="1040">
          <cell r="A1040">
            <v>37986</v>
          </cell>
          <cell r="B1040">
            <v>32.47</v>
          </cell>
          <cell r="C1040">
            <v>30.105</v>
          </cell>
        </row>
        <row r="1041">
          <cell r="A1041">
            <v>37988</v>
          </cell>
          <cell r="B1041">
            <v>32.47</v>
          </cell>
          <cell r="C1041">
            <v>30.135000000000002</v>
          </cell>
        </row>
        <row r="1042">
          <cell r="A1042">
            <v>37991</v>
          </cell>
          <cell r="B1042">
            <v>33.82</v>
          </cell>
          <cell r="C1042">
            <v>31</v>
          </cell>
        </row>
        <row r="1043">
          <cell r="A1043">
            <v>37992</v>
          </cell>
          <cell r="B1043">
            <v>33.630000000000003</v>
          </cell>
          <cell r="C1043">
            <v>31.414999999999999</v>
          </cell>
        </row>
        <row r="1044">
          <cell r="A1044">
            <v>37993</v>
          </cell>
          <cell r="B1044">
            <v>33.57</v>
          </cell>
          <cell r="C1044">
            <v>31.22</v>
          </cell>
        </row>
        <row r="1045">
          <cell r="A1045">
            <v>37994</v>
          </cell>
          <cell r="B1045">
            <v>34.03</v>
          </cell>
          <cell r="C1045">
            <v>31.32</v>
          </cell>
        </row>
        <row r="1046">
          <cell r="A1046">
            <v>37995</v>
          </cell>
          <cell r="B1046">
            <v>34.409999999999997</v>
          </cell>
          <cell r="C1046">
            <v>32.18</v>
          </cell>
        </row>
        <row r="1047">
          <cell r="A1047">
            <v>37998</v>
          </cell>
          <cell r="B1047">
            <v>34.74</v>
          </cell>
          <cell r="C1047">
            <v>32.354999999999997</v>
          </cell>
        </row>
        <row r="1048">
          <cell r="A1048">
            <v>37999</v>
          </cell>
          <cell r="B1048">
            <v>34.380000000000003</v>
          </cell>
          <cell r="C1048">
            <v>32.56</v>
          </cell>
        </row>
        <row r="1049">
          <cell r="A1049">
            <v>38000</v>
          </cell>
          <cell r="B1049">
            <v>34.479999999999997</v>
          </cell>
          <cell r="C1049">
            <v>31.655000000000001</v>
          </cell>
        </row>
        <row r="1050">
          <cell r="A1050">
            <v>38001</v>
          </cell>
          <cell r="B1050">
            <v>33.49</v>
          </cell>
          <cell r="C1050">
            <v>31.69</v>
          </cell>
        </row>
        <row r="1051">
          <cell r="A1051">
            <v>38002</v>
          </cell>
          <cell r="B1051">
            <v>35.270000000000003</v>
          </cell>
          <cell r="C1051">
            <v>31.454999999999998</v>
          </cell>
        </row>
        <row r="1052">
          <cell r="A1052">
            <v>38005</v>
          </cell>
          <cell r="B1052">
            <v>35.270000000000003</v>
          </cell>
          <cell r="C1052">
            <v>31.78</v>
          </cell>
        </row>
        <row r="1053">
          <cell r="A1053">
            <v>38006</v>
          </cell>
          <cell r="B1053">
            <v>36.049999999999997</v>
          </cell>
          <cell r="C1053">
            <v>32.090000000000003</v>
          </cell>
        </row>
        <row r="1054">
          <cell r="A1054">
            <v>38007</v>
          </cell>
          <cell r="B1054">
            <v>34.914999999999999</v>
          </cell>
          <cell r="C1054">
            <v>31.8</v>
          </cell>
        </row>
        <row r="1055">
          <cell r="A1055">
            <v>38008</v>
          </cell>
          <cell r="B1055">
            <v>34.93</v>
          </cell>
          <cell r="C1055">
            <v>31.195</v>
          </cell>
        </row>
        <row r="1056">
          <cell r="A1056">
            <v>38009</v>
          </cell>
          <cell r="B1056">
            <v>34.99</v>
          </cell>
          <cell r="C1056">
            <v>31.695</v>
          </cell>
        </row>
        <row r="1057">
          <cell r="A1057">
            <v>38012</v>
          </cell>
          <cell r="B1057">
            <v>34.4</v>
          </cell>
          <cell r="C1057">
            <v>30.715</v>
          </cell>
        </row>
        <row r="1058">
          <cell r="A1058">
            <v>38013</v>
          </cell>
          <cell r="B1058">
            <v>34.07</v>
          </cell>
          <cell r="C1058">
            <v>30.765000000000001</v>
          </cell>
        </row>
        <row r="1059">
          <cell r="A1059">
            <v>38014</v>
          </cell>
          <cell r="B1059">
            <v>33.6</v>
          </cell>
          <cell r="C1059">
            <v>29.965</v>
          </cell>
        </row>
        <row r="1060">
          <cell r="A1060">
            <v>38015</v>
          </cell>
          <cell r="B1060">
            <v>32.81</v>
          </cell>
          <cell r="C1060">
            <v>29.49</v>
          </cell>
        </row>
        <row r="1061">
          <cell r="A1061">
            <v>38016</v>
          </cell>
          <cell r="B1061">
            <v>32.979999999999997</v>
          </cell>
          <cell r="C1061">
            <v>29.375</v>
          </cell>
        </row>
        <row r="1062">
          <cell r="A1062">
            <v>38019</v>
          </cell>
          <cell r="B1062">
            <v>34.86</v>
          </cell>
          <cell r="C1062">
            <v>29.344999999999999</v>
          </cell>
        </row>
        <row r="1063">
          <cell r="A1063">
            <v>38020</v>
          </cell>
          <cell r="B1063">
            <v>34.11</v>
          </cell>
          <cell r="C1063">
            <v>30.225000000000001</v>
          </cell>
        </row>
        <row r="1064">
          <cell r="A1064">
            <v>38021</v>
          </cell>
          <cell r="B1064">
            <v>33.11</v>
          </cell>
          <cell r="C1064">
            <v>29.585000000000001</v>
          </cell>
        </row>
        <row r="1065">
          <cell r="A1065">
            <v>38022</v>
          </cell>
          <cell r="B1065">
            <v>33.130000000000003</v>
          </cell>
          <cell r="C1065">
            <v>29.125</v>
          </cell>
        </row>
        <row r="1066">
          <cell r="A1066">
            <v>38023</v>
          </cell>
          <cell r="B1066">
            <v>32.409999999999997</v>
          </cell>
          <cell r="C1066">
            <v>29.245000000000001</v>
          </cell>
        </row>
        <row r="1067">
          <cell r="A1067">
            <v>38026</v>
          </cell>
          <cell r="B1067">
            <v>32.954999999999998</v>
          </cell>
          <cell r="C1067">
            <v>29.305</v>
          </cell>
        </row>
        <row r="1068">
          <cell r="A1068">
            <v>38027</v>
          </cell>
          <cell r="B1068">
            <v>33.880000000000003</v>
          </cell>
          <cell r="C1068">
            <v>30.085000000000001</v>
          </cell>
        </row>
        <row r="1069">
          <cell r="A1069">
            <v>38028</v>
          </cell>
          <cell r="B1069">
            <v>34</v>
          </cell>
          <cell r="C1069">
            <v>30.405000000000001</v>
          </cell>
        </row>
        <row r="1070">
          <cell r="A1070">
            <v>38029</v>
          </cell>
          <cell r="B1070">
            <v>33.99</v>
          </cell>
          <cell r="C1070">
            <v>30.434999999999999</v>
          </cell>
        </row>
        <row r="1071">
          <cell r="A1071">
            <v>38030</v>
          </cell>
          <cell r="B1071">
            <v>34.76</v>
          </cell>
          <cell r="C1071">
            <v>31.45</v>
          </cell>
        </row>
        <row r="1072">
          <cell r="A1072">
            <v>38033</v>
          </cell>
          <cell r="B1072">
            <v>34.76</v>
          </cell>
          <cell r="C1072">
            <v>30.84</v>
          </cell>
        </row>
        <row r="1073">
          <cell r="A1073">
            <v>38034</v>
          </cell>
          <cell r="B1073">
            <v>35.29</v>
          </cell>
          <cell r="C1073">
            <v>31.3</v>
          </cell>
        </row>
        <row r="1074">
          <cell r="A1074">
            <v>38035</v>
          </cell>
          <cell r="B1074">
            <v>35.409999999999997</v>
          </cell>
          <cell r="C1074">
            <v>31.5</v>
          </cell>
        </row>
        <row r="1075">
          <cell r="A1075">
            <v>38036</v>
          </cell>
          <cell r="B1075">
            <v>35.799999999999997</v>
          </cell>
          <cell r="C1075">
            <v>31.445</v>
          </cell>
        </row>
        <row r="1076">
          <cell r="A1076">
            <v>38037</v>
          </cell>
          <cell r="B1076">
            <v>35.65</v>
          </cell>
          <cell r="C1076">
            <v>31.02</v>
          </cell>
        </row>
        <row r="1077">
          <cell r="A1077">
            <v>38040</v>
          </cell>
          <cell r="B1077">
            <v>35.53</v>
          </cell>
          <cell r="C1077">
            <v>31.55</v>
          </cell>
        </row>
        <row r="1078">
          <cell r="A1078">
            <v>38041</v>
          </cell>
          <cell r="B1078">
            <v>36.03</v>
          </cell>
          <cell r="C1078">
            <v>31.625</v>
          </cell>
        </row>
        <row r="1079">
          <cell r="A1079">
            <v>38042</v>
          </cell>
          <cell r="B1079">
            <v>37.43</v>
          </cell>
          <cell r="C1079">
            <v>32.51</v>
          </cell>
        </row>
        <row r="1080">
          <cell r="A1080">
            <v>38043</v>
          </cell>
          <cell r="B1080">
            <v>35.53</v>
          </cell>
          <cell r="C1080">
            <v>32.615000000000002</v>
          </cell>
        </row>
        <row r="1081">
          <cell r="A1081">
            <v>38044</v>
          </cell>
          <cell r="B1081">
            <v>36.055</v>
          </cell>
          <cell r="C1081">
            <v>33.075000000000003</v>
          </cell>
        </row>
        <row r="1082">
          <cell r="A1082">
            <v>38047</v>
          </cell>
          <cell r="B1082">
            <v>36.770000000000003</v>
          </cell>
          <cell r="C1082">
            <v>33.72</v>
          </cell>
        </row>
        <row r="1083">
          <cell r="A1083">
            <v>38048</v>
          </cell>
          <cell r="B1083">
            <v>36.58</v>
          </cell>
          <cell r="C1083">
            <v>34.424999999999997</v>
          </cell>
        </row>
        <row r="1084">
          <cell r="A1084">
            <v>38049</v>
          </cell>
          <cell r="B1084">
            <v>35.715000000000003</v>
          </cell>
          <cell r="C1084">
            <v>33.42</v>
          </cell>
        </row>
        <row r="1085">
          <cell r="A1085">
            <v>38050</v>
          </cell>
          <cell r="B1085">
            <v>36.69</v>
          </cell>
          <cell r="C1085">
            <v>33.94</v>
          </cell>
        </row>
        <row r="1086">
          <cell r="A1086">
            <v>38051</v>
          </cell>
          <cell r="B1086">
            <v>37.29</v>
          </cell>
          <cell r="C1086">
            <v>34.49</v>
          </cell>
        </row>
        <row r="1087">
          <cell r="A1087">
            <v>38054</v>
          </cell>
          <cell r="B1087">
            <v>36.590000000000003</v>
          </cell>
          <cell r="C1087">
            <v>34.564999999999998</v>
          </cell>
        </row>
        <row r="1088">
          <cell r="A1088">
            <v>38055</v>
          </cell>
          <cell r="B1088">
            <v>36.24</v>
          </cell>
          <cell r="C1088">
            <v>33.869999999999997</v>
          </cell>
        </row>
        <row r="1089">
          <cell r="A1089">
            <v>38056</v>
          </cell>
          <cell r="B1089">
            <v>36.15</v>
          </cell>
          <cell r="C1089">
            <v>32.979999999999997</v>
          </cell>
        </row>
        <row r="1090">
          <cell r="A1090">
            <v>38057</v>
          </cell>
          <cell r="B1090">
            <v>36.880000000000003</v>
          </cell>
          <cell r="C1090">
            <v>33.49</v>
          </cell>
        </row>
        <row r="1091">
          <cell r="A1091">
            <v>38058</v>
          </cell>
          <cell r="B1091">
            <v>36.19</v>
          </cell>
          <cell r="C1091">
            <v>32.94</v>
          </cell>
        </row>
        <row r="1092">
          <cell r="A1092">
            <v>38061</v>
          </cell>
          <cell r="B1092">
            <v>37.42</v>
          </cell>
          <cell r="C1092">
            <v>34.195</v>
          </cell>
        </row>
        <row r="1093">
          <cell r="A1093">
            <v>38062</v>
          </cell>
          <cell r="B1093">
            <v>37.46</v>
          </cell>
          <cell r="C1093">
            <v>34.130000000000003</v>
          </cell>
        </row>
        <row r="1094">
          <cell r="A1094">
            <v>38063</v>
          </cell>
          <cell r="B1094">
            <v>38.18</v>
          </cell>
          <cell r="C1094">
            <v>34.97</v>
          </cell>
        </row>
        <row r="1095">
          <cell r="A1095">
            <v>38064</v>
          </cell>
          <cell r="B1095">
            <v>37.854999999999997</v>
          </cell>
          <cell r="C1095">
            <v>34.594999999999999</v>
          </cell>
        </row>
        <row r="1096">
          <cell r="A1096">
            <v>38065</v>
          </cell>
          <cell r="B1096">
            <v>37.979999999999997</v>
          </cell>
          <cell r="C1096">
            <v>34.840000000000003</v>
          </cell>
        </row>
        <row r="1097">
          <cell r="A1097">
            <v>38068</v>
          </cell>
          <cell r="B1097">
            <v>37.22</v>
          </cell>
          <cell r="C1097">
            <v>33.96</v>
          </cell>
        </row>
        <row r="1098">
          <cell r="A1098">
            <v>38069</v>
          </cell>
          <cell r="B1098">
            <v>37.630000000000003</v>
          </cell>
          <cell r="C1098">
            <v>34.615000000000002</v>
          </cell>
        </row>
        <row r="1099">
          <cell r="A1099">
            <v>38070</v>
          </cell>
          <cell r="B1099">
            <v>37.17</v>
          </cell>
          <cell r="C1099">
            <v>34.234999999999999</v>
          </cell>
        </row>
        <row r="1100">
          <cell r="A1100">
            <v>38071</v>
          </cell>
          <cell r="B1100">
            <v>35.56</v>
          </cell>
          <cell r="C1100">
            <v>33.274999999999999</v>
          </cell>
        </row>
        <row r="1101">
          <cell r="A1101">
            <v>38072</v>
          </cell>
          <cell r="B1101">
            <v>35.58</v>
          </cell>
          <cell r="C1101">
            <v>32.844999999999999</v>
          </cell>
        </row>
        <row r="1102">
          <cell r="A1102">
            <v>38075</v>
          </cell>
          <cell r="B1102">
            <v>35.369999999999997</v>
          </cell>
          <cell r="C1102">
            <v>32.344999999999999</v>
          </cell>
        </row>
        <row r="1103">
          <cell r="A1103">
            <v>38076</v>
          </cell>
          <cell r="B1103">
            <v>36.200000000000003</v>
          </cell>
          <cell r="C1103">
            <v>33.204999999999998</v>
          </cell>
        </row>
        <row r="1104">
          <cell r="A1104">
            <v>38077</v>
          </cell>
          <cell r="B1104">
            <v>35.72</v>
          </cell>
          <cell r="C1104">
            <v>32.094999999999999</v>
          </cell>
        </row>
        <row r="1105">
          <cell r="A1105">
            <v>38078</v>
          </cell>
          <cell r="B1105">
            <v>34.369999999999997</v>
          </cell>
          <cell r="C1105">
            <v>32.085000000000001</v>
          </cell>
        </row>
        <row r="1106">
          <cell r="A1106">
            <v>38079</v>
          </cell>
          <cell r="B1106">
            <v>34.49</v>
          </cell>
          <cell r="C1106">
            <v>30.92</v>
          </cell>
        </row>
        <row r="1107">
          <cell r="A1107">
            <v>38082</v>
          </cell>
          <cell r="B1107">
            <v>34.35</v>
          </cell>
          <cell r="C1107">
            <v>31.145</v>
          </cell>
        </row>
        <row r="1108">
          <cell r="A1108">
            <v>38083</v>
          </cell>
          <cell r="B1108">
            <v>34.92</v>
          </cell>
          <cell r="C1108">
            <v>31.5</v>
          </cell>
        </row>
        <row r="1109">
          <cell r="A1109">
            <v>38084</v>
          </cell>
          <cell r="B1109">
            <v>36.119999999999997</v>
          </cell>
          <cell r="C1109">
            <v>33.08</v>
          </cell>
        </row>
        <row r="1110">
          <cell r="A1110">
            <v>38085</v>
          </cell>
          <cell r="B1110">
            <v>37.22</v>
          </cell>
          <cell r="C1110">
            <v>33.715000000000003</v>
          </cell>
        </row>
        <row r="1111">
          <cell r="A1111">
            <v>38089</v>
          </cell>
          <cell r="B1111">
            <v>37.75</v>
          </cell>
          <cell r="C1111">
            <v>34.265000000000001</v>
          </cell>
        </row>
        <row r="1112">
          <cell r="A1112">
            <v>38090</v>
          </cell>
          <cell r="B1112">
            <v>37.090000000000003</v>
          </cell>
          <cell r="C1112">
            <v>33.645000000000003</v>
          </cell>
        </row>
        <row r="1113">
          <cell r="A1113">
            <v>38091</v>
          </cell>
          <cell r="B1113">
            <v>36.659999999999997</v>
          </cell>
          <cell r="C1113">
            <v>32.83</v>
          </cell>
        </row>
        <row r="1114">
          <cell r="A1114">
            <v>38092</v>
          </cell>
          <cell r="B1114">
            <v>37.56</v>
          </cell>
          <cell r="C1114">
            <v>33.520000000000003</v>
          </cell>
        </row>
        <row r="1115">
          <cell r="A1115">
            <v>38093</v>
          </cell>
          <cell r="B1115">
            <v>37.615000000000002</v>
          </cell>
          <cell r="C1115">
            <v>33.57</v>
          </cell>
        </row>
        <row r="1116">
          <cell r="A1116">
            <v>38096</v>
          </cell>
          <cell r="B1116">
            <v>37.42</v>
          </cell>
          <cell r="C1116">
            <v>34.08</v>
          </cell>
        </row>
        <row r="1117">
          <cell r="A1117">
            <v>38097</v>
          </cell>
          <cell r="B1117">
            <v>37.32</v>
          </cell>
          <cell r="C1117">
            <v>32.92</v>
          </cell>
        </row>
        <row r="1118">
          <cell r="A1118">
            <v>38098</v>
          </cell>
          <cell r="B1118">
            <v>36.604999999999997</v>
          </cell>
          <cell r="C1118">
            <v>32.6</v>
          </cell>
        </row>
        <row r="1119">
          <cell r="A1119">
            <v>38099</v>
          </cell>
          <cell r="B1119">
            <v>37.51</v>
          </cell>
          <cell r="C1119">
            <v>33.380000000000003</v>
          </cell>
        </row>
        <row r="1120">
          <cell r="A1120">
            <v>38100</v>
          </cell>
          <cell r="B1120">
            <v>37.06</v>
          </cell>
          <cell r="C1120">
            <v>33.26</v>
          </cell>
        </row>
        <row r="1121">
          <cell r="A1121">
            <v>38103</v>
          </cell>
          <cell r="B1121">
            <v>36.905000000000001</v>
          </cell>
          <cell r="C1121">
            <v>33.5</v>
          </cell>
        </row>
        <row r="1122">
          <cell r="A1122">
            <v>38104</v>
          </cell>
          <cell r="B1122">
            <v>37.479999999999997</v>
          </cell>
          <cell r="C1122">
            <v>34.185000000000002</v>
          </cell>
        </row>
        <row r="1123">
          <cell r="A1123">
            <v>38105</v>
          </cell>
          <cell r="B1123">
            <v>37.31</v>
          </cell>
          <cell r="C1123">
            <v>34.78</v>
          </cell>
        </row>
        <row r="1124">
          <cell r="A1124">
            <v>38106</v>
          </cell>
          <cell r="B1124">
            <v>37.39</v>
          </cell>
          <cell r="C1124">
            <v>34.18</v>
          </cell>
        </row>
        <row r="1125">
          <cell r="A1125">
            <v>38107</v>
          </cell>
          <cell r="B1125">
            <v>37.35</v>
          </cell>
          <cell r="C1125">
            <v>35.04</v>
          </cell>
        </row>
        <row r="1126">
          <cell r="A1126">
            <v>38110</v>
          </cell>
          <cell r="B1126">
            <v>38.17</v>
          </cell>
          <cell r="C1126">
            <v>35.924999999999997</v>
          </cell>
        </row>
        <row r="1127">
          <cell r="A1127">
            <v>38111</v>
          </cell>
          <cell r="B1127">
            <v>38.92</v>
          </cell>
          <cell r="C1127">
            <v>36.344999999999999</v>
          </cell>
        </row>
        <row r="1128">
          <cell r="A1128">
            <v>38112</v>
          </cell>
          <cell r="B1128">
            <v>39.58</v>
          </cell>
          <cell r="C1128">
            <v>36.844999999999999</v>
          </cell>
        </row>
        <row r="1129">
          <cell r="A1129">
            <v>38113</v>
          </cell>
          <cell r="B1129">
            <v>39.39</v>
          </cell>
          <cell r="C1129">
            <v>37.354999999999997</v>
          </cell>
        </row>
        <row r="1130">
          <cell r="A1130">
            <v>38114</v>
          </cell>
          <cell r="B1130">
            <v>39.97</v>
          </cell>
          <cell r="C1130">
            <v>37.58</v>
          </cell>
        </row>
        <row r="1131">
          <cell r="A1131">
            <v>38117</v>
          </cell>
          <cell r="B1131">
            <v>38.909999999999997</v>
          </cell>
          <cell r="C1131">
            <v>37.159999999999997</v>
          </cell>
        </row>
        <row r="1132">
          <cell r="A1132">
            <v>38118</v>
          </cell>
          <cell r="B1132">
            <v>40.07</v>
          </cell>
          <cell r="C1132">
            <v>37.185000000000002</v>
          </cell>
        </row>
        <row r="1133">
          <cell r="A1133">
            <v>38119</v>
          </cell>
          <cell r="B1133">
            <v>40.659999999999997</v>
          </cell>
          <cell r="C1133">
            <v>38.575000000000003</v>
          </cell>
        </row>
        <row r="1134">
          <cell r="A1134">
            <v>38120</v>
          </cell>
          <cell r="B1134">
            <v>41.015000000000001</v>
          </cell>
          <cell r="C1134">
            <v>38.53</v>
          </cell>
        </row>
        <row r="1135">
          <cell r="A1135">
            <v>38121</v>
          </cell>
          <cell r="B1135">
            <v>41.31</v>
          </cell>
          <cell r="C1135">
            <v>39.36</v>
          </cell>
        </row>
        <row r="1136">
          <cell r="A1136">
            <v>38124</v>
          </cell>
          <cell r="B1136">
            <v>41.48</v>
          </cell>
          <cell r="C1136">
            <v>38.99</v>
          </cell>
        </row>
        <row r="1137">
          <cell r="A1137">
            <v>38125</v>
          </cell>
          <cell r="B1137">
            <v>40.340000000000003</v>
          </cell>
          <cell r="C1137">
            <v>38.225000000000001</v>
          </cell>
        </row>
        <row r="1138">
          <cell r="A1138">
            <v>38126</v>
          </cell>
          <cell r="B1138">
            <v>41.58</v>
          </cell>
          <cell r="C1138">
            <v>38.85</v>
          </cell>
        </row>
        <row r="1139">
          <cell r="A1139">
            <v>38127</v>
          </cell>
          <cell r="B1139">
            <v>40.520000000000003</v>
          </cell>
          <cell r="C1139">
            <v>38.984999999999999</v>
          </cell>
        </row>
        <row r="1140">
          <cell r="A1140">
            <v>38128</v>
          </cell>
          <cell r="B1140">
            <v>39.979999999999997</v>
          </cell>
          <cell r="C1140">
            <v>37.515000000000001</v>
          </cell>
        </row>
        <row r="1141">
          <cell r="A1141">
            <v>38131</v>
          </cell>
          <cell r="B1141">
            <v>41.77</v>
          </cell>
          <cell r="C1141">
            <v>38.884999999999998</v>
          </cell>
        </row>
        <row r="1142">
          <cell r="A1142">
            <v>38132</v>
          </cell>
          <cell r="B1142">
            <v>41.14</v>
          </cell>
          <cell r="C1142">
            <v>38.07</v>
          </cell>
        </row>
        <row r="1143">
          <cell r="A1143">
            <v>38133</v>
          </cell>
          <cell r="B1143">
            <v>40.630000000000003</v>
          </cell>
          <cell r="C1143">
            <v>37.965000000000003</v>
          </cell>
        </row>
        <row r="1144">
          <cell r="A1144">
            <v>38134</v>
          </cell>
          <cell r="B1144">
            <v>39.409999999999997</v>
          </cell>
          <cell r="C1144">
            <v>36.765000000000001</v>
          </cell>
        </row>
        <row r="1145">
          <cell r="A1145">
            <v>38135</v>
          </cell>
          <cell r="B1145">
            <v>39.93</v>
          </cell>
          <cell r="C1145">
            <v>36.905000000000001</v>
          </cell>
        </row>
        <row r="1146">
          <cell r="A1146">
            <v>38139</v>
          </cell>
          <cell r="B1146">
            <v>42.35</v>
          </cell>
          <cell r="C1146">
            <v>38.945</v>
          </cell>
        </row>
        <row r="1147">
          <cell r="A1147">
            <v>38140</v>
          </cell>
          <cell r="B1147">
            <v>39.86</v>
          </cell>
          <cell r="C1147">
            <v>38.325000000000003</v>
          </cell>
        </row>
        <row r="1148">
          <cell r="A1148">
            <v>38141</v>
          </cell>
          <cell r="B1148">
            <v>39.15</v>
          </cell>
          <cell r="C1148">
            <v>36.14</v>
          </cell>
        </row>
        <row r="1149">
          <cell r="A1149">
            <v>38142</v>
          </cell>
          <cell r="B1149">
            <v>38.29</v>
          </cell>
          <cell r="C1149">
            <v>35.79</v>
          </cell>
        </row>
        <row r="1150">
          <cell r="A1150">
            <v>38145</v>
          </cell>
          <cell r="B1150">
            <v>38.604999999999997</v>
          </cell>
          <cell r="C1150">
            <v>35.25</v>
          </cell>
        </row>
        <row r="1151">
          <cell r="A1151">
            <v>38146</v>
          </cell>
          <cell r="B1151">
            <v>37.130000000000003</v>
          </cell>
          <cell r="C1151">
            <v>35.494999999999997</v>
          </cell>
        </row>
        <row r="1152">
          <cell r="A1152">
            <v>38147</v>
          </cell>
          <cell r="B1152">
            <v>37.57</v>
          </cell>
          <cell r="C1152">
            <v>34.564999999999998</v>
          </cell>
        </row>
        <row r="1153">
          <cell r="A1153">
            <v>38148</v>
          </cell>
          <cell r="B1153">
            <v>38.479999999999997</v>
          </cell>
          <cell r="C1153">
            <v>35.409999999999997</v>
          </cell>
        </row>
        <row r="1154">
          <cell r="A1154">
            <v>38149</v>
          </cell>
          <cell r="B1154">
            <v>38.479999999999997</v>
          </cell>
          <cell r="C1154">
            <v>35.284999999999997</v>
          </cell>
        </row>
        <row r="1155">
          <cell r="A1155">
            <v>38152</v>
          </cell>
          <cell r="B1155">
            <v>37.47</v>
          </cell>
          <cell r="C1155">
            <v>34.9</v>
          </cell>
        </row>
        <row r="1156">
          <cell r="A1156">
            <v>38153</v>
          </cell>
          <cell r="B1156">
            <v>37.14</v>
          </cell>
          <cell r="C1156">
            <v>34.450000000000003</v>
          </cell>
        </row>
        <row r="1157">
          <cell r="A1157">
            <v>38154</v>
          </cell>
          <cell r="B1157">
            <v>37.24</v>
          </cell>
          <cell r="C1157">
            <v>34.244999999999997</v>
          </cell>
        </row>
        <row r="1158">
          <cell r="A1158">
            <v>38155</v>
          </cell>
          <cell r="B1158">
            <v>38.36</v>
          </cell>
          <cell r="C1158">
            <v>35.18</v>
          </cell>
        </row>
        <row r="1159">
          <cell r="A1159">
            <v>38156</v>
          </cell>
          <cell r="B1159">
            <v>38.659999999999997</v>
          </cell>
          <cell r="C1159">
            <v>35.375</v>
          </cell>
        </row>
        <row r="1160">
          <cell r="A1160">
            <v>38159</v>
          </cell>
          <cell r="B1160">
            <v>37.630000000000003</v>
          </cell>
          <cell r="C1160">
            <v>35.045000000000002</v>
          </cell>
        </row>
        <row r="1161">
          <cell r="A1161">
            <v>38160</v>
          </cell>
          <cell r="B1161">
            <v>38.020000000000003</v>
          </cell>
          <cell r="C1161">
            <v>34.65</v>
          </cell>
        </row>
        <row r="1162">
          <cell r="A1162">
            <v>38161</v>
          </cell>
          <cell r="B1162">
            <v>37.630000000000003</v>
          </cell>
          <cell r="C1162">
            <v>34.274999999999999</v>
          </cell>
        </row>
        <row r="1163">
          <cell r="A1163">
            <v>38162</v>
          </cell>
          <cell r="B1163">
            <v>37.924999999999997</v>
          </cell>
          <cell r="C1163">
            <v>34.6</v>
          </cell>
        </row>
        <row r="1164">
          <cell r="A1164">
            <v>38163</v>
          </cell>
          <cell r="B1164">
            <v>37.54</v>
          </cell>
          <cell r="C1164">
            <v>34.31</v>
          </cell>
        </row>
        <row r="1165">
          <cell r="A1165">
            <v>38166</v>
          </cell>
          <cell r="B1165">
            <v>36.215000000000003</v>
          </cell>
          <cell r="C1165">
            <v>32.954999999999998</v>
          </cell>
        </row>
        <row r="1166">
          <cell r="A1166">
            <v>38167</v>
          </cell>
          <cell r="B1166">
            <v>35.61</v>
          </cell>
          <cell r="C1166">
            <v>32.75</v>
          </cell>
        </row>
        <row r="1167">
          <cell r="A1167">
            <v>38168</v>
          </cell>
          <cell r="B1167">
            <v>37.049999999999997</v>
          </cell>
          <cell r="C1167">
            <v>33.04</v>
          </cell>
        </row>
        <row r="1168">
          <cell r="A1168">
            <v>38169</v>
          </cell>
          <cell r="B1168">
            <v>38.664999999999999</v>
          </cell>
          <cell r="C1168">
            <v>34.814999999999998</v>
          </cell>
        </row>
        <row r="1169">
          <cell r="A1169">
            <v>38170</v>
          </cell>
          <cell r="B1169">
            <v>38.414999999999999</v>
          </cell>
          <cell r="C1169">
            <v>35.22</v>
          </cell>
        </row>
        <row r="1170">
          <cell r="A1170">
            <v>38173</v>
          </cell>
          <cell r="B1170">
            <v>38.414999999999999</v>
          </cell>
          <cell r="C1170">
            <v>35.835000000000001</v>
          </cell>
        </row>
        <row r="1171">
          <cell r="A1171">
            <v>38174</v>
          </cell>
          <cell r="B1171">
            <v>39.65</v>
          </cell>
          <cell r="C1171">
            <v>36.549999999999997</v>
          </cell>
        </row>
        <row r="1172">
          <cell r="A1172">
            <v>38175</v>
          </cell>
          <cell r="B1172">
            <v>39.18</v>
          </cell>
          <cell r="C1172">
            <v>36.475000000000001</v>
          </cell>
        </row>
        <row r="1173">
          <cell r="A1173">
            <v>38176</v>
          </cell>
          <cell r="B1173">
            <v>40.26</v>
          </cell>
          <cell r="C1173">
            <v>37.26</v>
          </cell>
        </row>
        <row r="1174">
          <cell r="A1174">
            <v>38177</v>
          </cell>
          <cell r="B1174">
            <v>39.93</v>
          </cell>
          <cell r="C1174">
            <v>37.615000000000002</v>
          </cell>
        </row>
        <row r="1175">
          <cell r="A1175">
            <v>38180</v>
          </cell>
          <cell r="B1175">
            <v>39.409999999999997</v>
          </cell>
          <cell r="C1175">
            <v>37.64</v>
          </cell>
        </row>
        <row r="1176">
          <cell r="A1176">
            <v>38181</v>
          </cell>
          <cell r="B1176">
            <v>39.5</v>
          </cell>
          <cell r="C1176">
            <v>36.57</v>
          </cell>
        </row>
        <row r="1177">
          <cell r="A1177">
            <v>38182</v>
          </cell>
          <cell r="B1177">
            <v>41.03</v>
          </cell>
          <cell r="C1177">
            <v>37.11</v>
          </cell>
        </row>
        <row r="1178">
          <cell r="A1178">
            <v>38183</v>
          </cell>
          <cell r="B1178">
            <v>40.69</v>
          </cell>
          <cell r="C1178">
            <v>38.424999999999997</v>
          </cell>
        </row>
        <row r="1179">
          <cell r="A1179">
            <v>38184</v>
          </cell>
          <cell r="B1179">
            <v>41.15</v>
          </cell>
          <cell r="C1179">
            <v>38.954999999999998</v>
          </cell>
        </row>
        <row r="1180">
          <cell r="A1180">
            <v>38187</v>
          </cell>
          <cell r="B1180">
            <v>41.594999999999999</v>
          </cell>
          <cell r="C1180">
            <v>39.424999999999997</v>
          </cell>
        </row>
        <row r="1181">
          <cell r="A1181">
            <v>38188</v>
          </cell>
          <cell r="B1181">
            <v>40.56</v>
          </cell>
          <cell r="C1181">
            <v>39.174999999999997</v>
          </cell>
        </row>
        <row r="1182">
          <cell r="A1182">
            <v>38189</v>
          </cell>
          <cell r="B1182">
            <v>40.69</v>
          </cell>
          <cell r="C1182">
            <v>38.9</v>
          </cell>
        </row>
        <row r="1183">
          <cell r="A1183">
            <v>38190</v>
          </cell>
          <cell r="B1183">
            <v>41.48</v>
          </cell>
          <cell r="C1183">
            <v>39.46</v>
          </cell>
        </row>
        <row r="1184">
          <cell r="A1184">
            <v>38191</v>
          </cell>
          <cell r="B1184">
            <v>41.88</v>
          </cell>
          <cell r="C1184">
            <v>39.53</v>
          </cell>
        </row>
        <row r="1185">
          <cell r="A1185">
            <v>38194</v>
          </cell>
          <cell r="B1185">
            <v>41.41</v>
          </cell>
          <cell r="C1185">
            <v>39.634999999999998</v>
          </cell>
        </row>
        <row r="1186">
          <cell r="A1186">
            <v>38195</v>
          </cell>
          <cell r="B1186">
            <v>41.85</v>
          </cell>
          <cell r="C1186">
            <v>40.314999999999998</v>
          </cell>
        </row>
        <row r="1187">
          <cell r="A1187">
            <v>38196</v>
          </cell>
          <cell r="B1187">
            <v>42.89</v>
          </cell>
          <cell r="C1187">
            <v>41.52</v>
          </cell>
        </row>
        <row r="1188">
          <cell r="A1188">
            <v>38197</v>
          </cell>
          <cell r="B1188">
            <v>42.73</v>
          </cell>
          <cell r="C1188">
            <v>40.965000000000003</v>
          </cell>
        </row>
        <row r="1189">
          <cell r="A1189">
            <v>38198</v>
          </cell>
          <cell r="B1189">
            <v>43.61</v>
          </cell>
          <cell r="C1189">
            <v>41.744999999999997</v>
          </cell>
        </row>
        <row r="1190">
          <cell r="A1190">
            <v>38201</v>
          </cell>
          <cell r="B1190">
            <v>43.72</v>
          </cell>
          <cell r="C1190">
            <v>42.064999999999998</v>
          </cell>
        </row>
        <row r="1191">
          <cell r="A1191">
            <v>38202</v>
          </cell>
          <cell r="B1191">
            <v>44.104999999999997</v>
          </cell>
          <cell r="C1191">
            <v>42.48</v>
          </cell>
        </row>
        <row r="1192">
          <cell r="A1192">
            <v>38203</v>
          </cell>
          <cell r="B1192">
            <v>42.69</v>
          </cell>
          <cell r="C1192">
            <v>43.04</v>
          </cell>
        </row>
        <row r="1193">
          <cell r="A1193">
            <v>38204</v>
          </cell>
          <cell r="B1193">
            <v>44.41</v>
          </cell>
          <cell r="C1193">
            <v>43.575000000000003</v>
          </cell>
        </row>
        <row r="1194">
          <cell r="A1194">
            <v>38205</v>
          </cell>
          <cell r="B1194">
            <v>43.835000000000001</v>
          </cell>
          <cell r="C1194">
            <v>43.024999999999999</v>
          </cell>
        </row>
        <row r="1195">
          <cell r="A1195">
            <v>38208</v>
          </cell>
          <cell r="B1195">
            <v>44.81</v>
          </cell>
          <cell r="C1195">
            <v>43.62</v>
          </cell>
        </row>
        <row r="1196">
          <cell r="A1196">
            <v>38209</v>
          </cell>
          <cell r="B1196">
            <v>44.49</v>
          </cell>
          <cell r="C1196">
            <v>43.36</v>
          </cell>
        </row>
        <row r="1197">
          <cell r="A1197">
            <v>38210</v>
          </cell>
          <cell r="B1197">
            <v>44.73</v>
          </cell>
          <cell r="C1197">
            <v>43.234999999999999</v>
          </cell>
        </row>
        <row r="1198">
          <cell r="A1198">
            <v>38211</v>
          </cell>
          <cell r="B1198">
            <v>45.42</v>
          </cell>
          <cell r="C1198">
            <v>44.164999999999999</v>
          </cell>
        </row>
        <row r="1199">
          <cell r="A1199">
            <v>38212</v>
          </cell>
          <cell r="B1199">
            <v>46.58</v>
          </cell>
          <cell r="C1199">
            <v>44.865000000000002</v>
          </cell>
        </row>
        <row r="1200">
          <cell r="A1200">
            <v>38215</v>
          </cell>
          <cell r="B1200">
            <v>46.1</v>
          </cell>
          <cell r="C1200">
            <v>44.645000000000003</v>
          </cell>
        </row>
        <row r="1201">
          <cell r="A1201">
            <v>38216</v>
          </cell>
          <cell r="B1201">
            <v>46.8</v>
          </cell>
          <cell r="C1201">
            <v>44.25</v>
          </cell>
        </row>
        <row r="1202">
          <cell r="A1202">
            <v>38217</v>
          </cell>
          <cell r="B1202">
            <v>47.33</v>
          </cell>
          <cell r="C1202">
            <v>44.204999999999998</v>
          </cell>
        </row>
        <row r="1203">
          <cell r="A1203">
            <v>38218</v>
          </cell>
          <cell r="B1203">
            <v>48.755000000000003</v>
          </cell>
          <cell r="C1203">
            <v>44.75</v>
          </cell>
        </row>
        <row r="1204">
          <cell r="A1204">
            <v>38219</v>
          </cell>
          <cell r="B1204">
            <v>47.77</v>
          </cell>
          <cell r="C1204">
            <v>45.34</v>
          </cell>
        </row>
        <row r="1205">
          <cell r="A1205">
            <v>38222</v>
          </cell>
          <cell r="B1205">
            <v>46.5</v>
          </cell>
          <cell r="C1205">
            <v>44.145000000000003</v>
          </cell>
        </row>
        <row r="1206">
          <cell r="A1206">
            <v>38223</v>
          </cell>
          <cell r="B1206">
            <v>45.6</v>
          </cell>
          <cell r="C1206">
            <v>43.395000000000003</v>
          </cell>
        </row>
        <row r="1207">
          <cell r="A1207">
            <v>38224</v>
          </cell>
          <cell r="B1207">
            <v>43.524999999999999</v>
          </cell>
          <cell r="C1207">
            <v>42.435000000000002</v>
          </cell>
        </row>
        <row r="1208">
          <cell r="A1208">
            <v>38225</v>
          </cell>
          <cell r="B1208">
            <v>43.02</v>
          </cell>
          <cell r="C1208">
            <v>40.47</v>
          </cell>
        </row>
        <row r="1209">
          <cell r="A1209">
            <v>38226</v>
          </cell>
          <cell r="B1209">
            <v>43.24</v>
          </cell>
          <cell r="C1209">
            <v>40.634999999999998</v>
          </cell>
        </row>
        <row r="1210">
          <cell r="A1210">
            <v>38229</v>
          </cell>
          <cell r="B1210">
            <v>42.21</v>
          </cell>
          <cell r="C1210">
            <v>39.445</v>
          </cell>
        </row>
        <row r="1211">
          <cell r="A1211">
            <v>38230</v>
          </cell>
          <cell r="B1211">
            <v>42.1</v>
          </cell>
          <cell r="C1211">
            <v>39.685000000000002</v>
          </cell>
        </row>
        <row r="1212">
          <cell r="A1212">
            <v>38231</v>
          </cell>
          <cell r="B1212">
            <v>43.85</v>
          </cell>
          <cell r="C1212">
            <v>41</v>
          </cell>
        </row>
        <row r="1213">
          <cell r="A1213">
            <v>38232</v>
          </cell>
          <cell r="B1213">
            <v>43.97</v>
          </cell>
          <cell r="C1213">
            <v>42.13</v>
          </cell>
        </row>
        <row r="1214">
          <cell r="A1214">
            <v>38233</v>
          </cell>
          <cell r="B1214">
            <v>43.99</v>
          </cell>
          <cell r="C1214">
            <v>41.02</v>
          </cell>
        </row>
        <row r="1215">
          <cell r="A1215">
            <v>38236</v>
          </cell>
          <cell r="B1215">
            <v>43.99</v>
          </cell>
          <cell r="C1215">
            <v>40.4</v>
          </cell>
        </row>
        <row r="1216">
          <cell r="A1216">
            <v>38237</v>
          </cell>
          <cell r="B1216">
            <v>43.234999999999999</v>
          </cell>
          <cell r="C1216">
            <v>40.200000000000003</v>
          </cell>
        </row>
        <row r="1217">
          <cell r="A1217">
            <v>38238</v>
          </cell>
          <cell r="B1217">
            <v>42.7</v>
          </cell>
          <cell r="C1217">
            <v>40.659999999999997</v>
          </cell>
        </row>
        <row r="1218">
          <cell r="A1218">
            <v>38239</v>
          </cell>
          <cell r="B1218">
            <v>44.57</v>
          </cell>
          <cell r="C1218">
            <v>41.57</v>
          </cell>
        </row>
        <row r="1219">
          <cell r="A1219">
            <v>38240</v>
          </cell>
          <cell r="B1219">
            <v>42.79</v>
          </cell>
          <cell r="C1219">
            <v>41.42</v>
          </cell>
        </row>
        <row r="1220">
          <cell r="A1220">
            <v>38243</v>
          </cell>
          <cell r="B1220">
            <v>43.82</v>
          </cell>
          <cell r="C1220">
            <v>41.1</v>
          </cell>
        </row>
        <row r="1221">
          <cell r="A1221">
            <v>38244</v>
          </cell>
          <cell r="B1221">
            <v>44.34</v>
          </cell>
          <cell r="C1221">
            <v>41.87</v>
          </cell>
        </row>
        <row r="1222">
          <cell r="A1222">
            <v>38245</v>
          </cell>
          <cell r="B1222">
            <v>43.73</v>
          </cell>
          <cell r="C1222">
            <v>42.244999999999997</v>
          </cell>
        </row>
        <row r="1223">
          <cell r="A1223">
            <v>38246</v>
          </cell>
          <cell r="B1223">
            <v>43.94</v>
          </cell>
          <cell r="C1223">
            <v>41.024999999999999</v>
          </cell>
        </row>
        <row r="1224">
          <cell r="A1224">
            <v>38247</v>
          </cell>
          <cell r="B1224">
            <v>45.6</v>
          </cell>
          <cell r="C1224">
            <v>42.95</v>
          </cell>
        </row>
        <row r="1225">
          <cell r="A1225">
            <v>38250</v>
          </cell>
          <cell r="B1225">
            <v>46.33</v>
          </cell>
          <cell r="C1225">
            <v>43.23</v>
          </cell>
        </row>
        <row r="1226">
          <cell r="A1226">
            <v>38251</v>
          </cell>
          <cell r="B1226">
            <v>46.95</v>
          </cell>
          <cell r="C1226">
            <v>44.484999999999999</v>
          </cell>
        </row>
        <row r="1227">
          <cell r="A1227">
            <v>38252</v>
          </cell>
          <cell r="B1227">
            <v>48.274999999999999</v>
          </cell>
          <cell r="C1227">
            <v>46.02</v>
          </cell>
        </row>
        <row r="1228">
          <cell r="A1228">
            <v>38253</v>
          </cell>
          <cell r="B1228">
            <v>48.31</v>
          </cell>
          <cell r="C1228">
            <v>46.54</v>
          </cell>
        </row>
        <row r="1229">
          <cell r="A1229">
            <v>38254</v>
          </cell>
          <cell r="B1229">
            <v>48.93</v>
          </cell>
          <cell r="C1229">
            <v>46.04</v>
          </cell>
        </row>
        <row r="1230">
          <cell r="A1230">
            <v>38257</v>
          </cell>
          <cell r="B1230">
            <v>49.6</v>
          </cell>
          <cell r="C1230">
            <v>46.91</v>
          </cell>
        </row>
        <row r="1231">
          <cell r="A1231">
            <v>38258</v>
          </cell>
          <cell r="B1231">
            <v>49.9</v>
          </cell>
          <cell r="C1231">
            <v>47.09</v>
          </cell>
        </row>
        <row r="1232">
          <cell r="A1232">
            <v>38259</v>
          </cell>
          <cell r="B1232">
            <v>49.484999999999999</v>
          </cell>
          <cell r="C1232">
            <v>46.475000000000001</v>
          </cell>
        </row>
        <row r="1233">
          <cell r="A1233">
            <v>38260</v>
          </cell>
          <cell r="B1233">
            <v>49.59</v>
          </cell>
          <cell r="C1233">
            <v>47.225000000000001</v>
          </cell>
        </row>
        <row r="1234">
          <cell r="A1234">
            <v>38261</v>
          </cell>
          <cell r="B1234">
            <v>50.07</v>
          </cell>
          <cell r="C1234">
            <v>46.84</v>
          </cell>
        </row>
        <row r="1235">
          <cell r="A1235">
            <v>38264</v>
          </cell>
          <cell r="B1235">
            <v>49.86</v>
          </cell>
          <cell r="C1235">
            <v>46.13</v>
          </cell>
        </row>
        <row r="1236">
          <cell r="A1236">
            <v>38265</v>
          </cell>
          <cell r="B1236">
            <v>51.09</v>
          </cell>
          <cell r="C1236">
            <v>46.54</v>
          </cell>
        </row>
        <row r="1237">
          <cell r="A1237">
            <v>38266</v>
          </cell>
          <cell r="B1237">
            <v>52</v>
          </cell>
          <cell r="C1237">
            <v>47.45</v>
          </cell>
        </row>
        <row r="1238">
          <cell r="A1238">
            <v>38267</v>
          </cell>
          <cell r="B1238">
            <v>52.56</v>
          </cell>
          <cell r="C1238">
            <v>48.765000000000001</v>
          </cell>
        </row>
        <row r="1239">
          <cell r="A1239">
            <v>38268</v>
          </cell>
          <cell r="B1239">
            <v>53.354999999999997</v>
          </cell>
          <cell r="C1239">
            <v>49.71</v>
          </cell>
        </row>
        <row r="1240">
          <cell r="A1240">
            <v>38271</v>
          </cell>
          <cell r="B1240">
            <v>53.59</v>
          </cell>
          <cell r="C1240">
            <v>51.16</v>
          </cell>
        </row>
        <row r="1241">
          <cell r="A1241">
            <v>38272</v>
          </cell>
          <cell r="B1241">
            <v>52.49</v>
          </cell>
          <cell r="C1241">
            <v>51.585000000000001</v>
          </cell>
        </row>
        <row r="1242">
          <cell r="A1242">
            <v>38273</v>
          </cell>
          <cell r="B1242">
            <v>53.79</v>
          </cell>
          <cell r="C1242">
            <v>49.69</v>
          </cell>
        </row>
        <row r="1243">
          <cell r="A1243">
            <v>38274</v>
          </cell>
          <cell r="B1243">
            <v>54.76</v>
          </cell>
          <cell r="C1243">
            <v>51.255000000000003</v>
          </cell>
        </row>
        <row r="1244">
          <cell r="A1244">
            <v>38275</v>
          </cell>
          <cell r="B1244">
            <v>55.08</v>
          </cell>
          <cell r="C1244">
            <v>51.07</v>
          </cell>
        </row>
        <row r="1245">
          <cell r="A1245">
            <v>38278</v>
          </cell>
          <cell r="B1245">
            <v>53.545000000000002</v>
          </cell>
          <cell r="C1245">
            <v>49.034999999999997</v>
          </cell>
        </row>
        <row r="1246">
          <cell r="A1246">
            <v>38279</v>
          </cell>
          <cell r="B1246">
            <v>53.164999999999999</v>
          </cell>
          <cell r="C1246">
            <v>48.64</v>
          </cell>
        </row>
        <row r="1247">
          <cell r="A1247">
            <v>38280</v>
          </cell>
          <cell r="B1247">
            <v>54.87</v>
          </cell>
          <cell r="C1247">
            <v>50.47</v>
          </cell>
        </row>
        <row r="1248">
          <cell r="A1248">
            <v>38281</v>
          </cell>
          <cell r="B1248">
            <v>55.344999999999999</v>
          </cell>
          <cell r="C1248">
            <v>51.13</v>
          </cell>
        </row>
        <row r="1249">
          <cell r="A1249">
            <v>38282</v>
          </cell>
          <cell r="B1249">
            <v>56.42</v>
          </cell>
          <cell r="C1249">
            <v>52.03</v>
          </cell>
        </row>
        <row r="1250">
          <cell r="A1250">
            <v>38285</v>
          </cell>
          <cell r="B1250">
            <v>55.935000000000002</v>
          </cell>
          <cell r="C1250">
            <v>51.91</v>
          </cell>
        </row>
        <row r="1251">
          <cell r="A1251">
            <v>38286</v>
          </cell>
          <cell r="B1251">
            <v>55.185000000000002</v>
          </cell>
          <cell r="C1251">
            <v>51.424999999999997</v>
          </cell>
        </row>
        <row r="1252">
          <cell r="A1252">
            <v>38287</v>
          </cell>
          <cell r="B1252">
            <v>52.4</v>
          </cell>
          <cell r="C1252">
            <v>50.265000000000001</v>
          </cell>
        </row>
        <row r="1253">
          <cell r="A1253">
            <v>38288</v>
          </cell>
          <cell r="B1253">
            <v>50.78</v>
          </cell>
          <cell r="C1253">
            <v>49.545000000000002</v>
          </cell>
        </row>
        <row r="1254">
          <cell r="A1254">
            <v>38289</v>
          </cell>
          <cell r="B1254">
            <v>51.73</v>
          </cell>
          <cell r="C1254">
            <v>47.83</v>
          </cell>
        </row>
        <row r="1255">
          <cell r="A1255">
            <v>38292</v>
          </cell>
          <cell r="B1255">
            <v>50.134999999999998</v>
          </cell>
          <cell r="C1255">
            <v>45.86</v>
          </cell>
        </row>
        <row r="1256">
          <cell r="A1256">
            <v>38293</v>
          </cell>
          <cell r="B1256">
            <v>49.58</v>
          </cell>
          <cell r="C1256">
            <v>45.82</v>
          </cell>
        </row>
        <row r="1257">
          <cell r="A1257">
            <v>38294</v>
          </cell>
          <cell r="B1257">
            <v>50.86</v>
          </cell>
          <cell r="C1257">
            <v>44.805</v>
          </cell>
        </row>
        <row r="1258">
          <cell r="A1258">
            <v>38295</v>
          </cell>
          <cell r="B1258">
            <v>48.73</v>
          </cell>
          <cell r="C1258">
            <v>45.234999999999999</v>
          </cell>
        </row>
        <row r="1259">
          <cell r="A1259">
            <v>38296</v>
          </cell>
          <cell r="B1259">
            <v>49.58</v>
          </cell>
          <cell r="C1259">
            <v>43.884999999999998</v>
          </cell>
        </row>
        <row r="1260">
          <cell r="A1260">
            <v>38299</v>
          </cell>
          <cell r="B1260">
            <v>49.024999999999999</v>
          </cell>
          <cell r="C1260">
            <v>43.93</v>
          </cell>
        </row>
        <row r="1261">
          <cell r="A1261">
            <v>38300</v>
          </cell>
          <cell r="B1261">
            <v>47.344999999999999</v>
          </cell>
          <cell r="C1261">
            <v>42.53</v>
          </cell>
        </row>
        <row r="1262">
          <cell r="A1262">
            <v>38301</v>
          </cell>
          <cell r="B1262">
            <v>48.85</v>
          </cell>
          <cell r="C1262">
            <v>42.44</v>
          </cell>
        </row>
        <row r="1263">
          <cell r="A1263">
            <v>38302</v>
          </cell>
          <cell r="B1263">
            <v>47.47</v>
          </cell>
          <cell r="C1263">
            <v>41.795000000000002</v>
          </cell>
        </row>
        <row r="1264">
          <cell r="A1264">
            <v>38303</v>
          </cell>
          <cell r="B1264">
            <v>47.47</v>
          </cell>
          <cell r="C1264">
            <v>41.59</v>
          </cell>
        </row>
        <row r="1265">
          <cell r="A1265">
            <v>38306</v>
          </cell>
          <cell r="B1265">
            <v>46.87</v>
          </cell>
          <cell r="C1265">
            <v>39.97</v>
          </cell>
        </row>
        <row r="1266">
          <cell r="A1266">
            <v>38307</v>
          </cell>
          <cell r="B1266">
            <v>46.06</v>
          </cell>
          <cell r="C1266">
            <v>40.875</v>
          </cell>
        </row>
        <row r="1267">
          <cell r="A1267">
            <v>38308</v>
          </cell>
          <cell r="B1267">
            <v>46.76</v>
          </cell>
          <cell r="C1267">
            <v>39.835000000000001</v>
          </cell>
        </row>
        <row r="1268">
          <cell r="A1268">
            <v>38309</v>
          </cell>
          <cell r="B1268">
            <v>46.16</v>
          </cell>
          <cell r="C1268">
            <v>40.21</v>
          </cell>
        </row>
        <row r="1269">
          <cell r="A1269">
            <v>38310</v>
          </cell>
          <cell r="B1269">
            <v>48.81</v>
          </cell>
          <cell r="C1269">
            <v>42.2</v>
          </cell>
        </row>
        <row r="1270">
          <cell r="A1270">
            <v>38313</v>
          </cell>
          <cell r="B1270">
            <v>48.27</v>
          </cell>
          <cell r="C1270">
            <v>41.95</v>
          </cell>
        </row>
        <row r="1271">
          <cell r="A1271">
            <v>38314</v>
          </cell>
          <cell r="B1271">
            <v>48.6</v>
          </cell>
          <cell r="C1271">
            <v>43.55</v>
          </cell>
        </row>
        <row r="1272">
          <cell r="A1272">
            <v>38315</v>
          </cell>
          <cell r="B1272">
            <v>49.38</v>
          </cell>
          <cell r="C1272">
            <v>42.395000000000003</v>
          </cell>
        </row>
        <row r="1273">
          <cell r="A1273">
            <v>38316</v>
          </cell>
          <cell r="B1273">
            <v>49.38</v>
          </cell>
          <cell r="C1273">
            <v>42.765000000000001</v>
          </cell>
        </row>
        <row r="1274">
          <cell r="A1274">
            <v>38317</v>
          </cell>
          <cell r="B1274">
            <v>49.38</v>
          </cell>
          <cell r="C1274">
            <v>42.765000000000001</v>
          </cell>
        </row>
        <row r="1275">
          <cell r="A1275">
            <v>38320</v>
          </cell>
          <cell r="B1275">
            <v>49.715000000000003</v>
          </cell>
          <cell r="C1275">
            <v>43.954999999999998</v>
          </cell>
        </row>
        <row r="1276">
          <cell r="A1276">
            <v>38321</v>
          </cell>
          <cell r="B1276">
            <v>49.04</v>
          </cell>
          <cell r="C1276">
            <v>44.134999999999998</v>
          </cell>
        </row>
        <row r="1277">
          <cell r="A1277">
            <v>38322</v>
          </cell>
          <cell r="B1277">
            <v>45.45</v>
          </cell>
          <cell r="C1277">
            <v>41.72</v>
          </cell>
        </row>
        <row r="1278">
          <cell r="A1278">
            <v>38323</v>
          </cell>
          <cell r="B1278">
            <v>43.28</v>
          </cell>
          <cell r="C1278">
            <v>38.57</v>
          </cell>
        </row>
        <row r="1279">
          <cell r="A1279">
            <v>38324</v>
          </cell>
          <cell r="B1279">
            <v>42.38</v>
          </cell>
          <cell r="C1279">
            <v>37.76</v>
          </cell>
        </row>
        <row r="1280">
          <cell r="A1280">
            <v>38327</v>
          </cell>
          <cell r="B1280">
            <v>43.03</v>
          </cell>
          <cell r="C1280">
            <v>38.225000000000001</v>
          </cell>
        </row>
        <row r="1281">
          <cell r="A1281">
            <v>38328</v>
          </cell>
          <cell r="B1281">
            <v>41.4</v>
          </cell>
          <cell r="C1281">
            <v>36.935000000000002</v>
          </cell>
        </row>
        <row r="1282">
          <cell r="A1282">
            <v>38329</v>
          </cell>
          <cell r="B1282">
            <v>41.94</v>
          </cell>
          <cell r="C1282">
            <v>37.56</v>
          </cell>
        </row>
        <row r="1283">
          <cell r="A1283">
            <v>38330</v>
          </cell>
          <cell r="B1283">
            <v>42.505000000000003</v>
          </cell>
          <cell r="C1283">
            <v>38.375</v>
          </cell>
        </row>
        <row r="1284">
          <cell r="A1284">
            <v>38331</v>
          </cell>
          <cell r="B1284">
            <v>40.68</v>
          </cell>
          <cell r="C1284">
            <v>37.869999999999997</v>
          </cell>
        </row>
        <row r="1285">
          <cell r="A1285">
            <v>38334</v>
          </cell>
          <cell r="B1285">
            <v>41.08</v>
          </cell>
          <cell r="C1285">
            <v>36.704999999999998</v>
          </cell>
        </row>
        <row r="1286">
          <cell r="A1286">
            <v>38335</v>
          </cell>
          <cell r="B1286">
            <v>41.814999999999998</v>
          </cell>
          <cell r="C1286">
            <v>37.950000000000003</v>
          </cell>
        </row>
        <row r="1287">
          <cell r="A1287">
            <v>38336</v>
          </cell>
          <cell r="B1287">
            <v>44.24</v>
          </cell>
          <cell r="C1287">
            <v>41.35</v>
          </cell>
        </row>
        <row r="1288">
          <cell r="A1288">
            <v>38337</v>
          </cell>
          <cell r="B1288">
            <v>44.18</v>
          </cell>
          <cell r="C1288">
            <v>41.08</v>
          </cell>
        </row>
        <row r="1289">
          <cell r="A1289">
            <v>38338</v>
          </cell>
          <cell r="B1289">
            <v>46.08</v>
          </cell>
          <cell r="C1289">
            <v>43.32</v>
          </cell>
        </row>
        <row r="1290">
          <cell r="A1290">
            <v>38341</v>
          </cell>
          <cell r="B1290">
            <v>45.46</v>
          </cell>
          <cell r="C1290">
            <v>42.33</v>
          </cell>
        </row>
        <row r="1291">
          <cell r="A1291">
            <v>38342</v>
          </cell>
          <cell r="B1291">
            <v>45.51</v>
          </cell>
          <cell r="C1291">
            <v>42.47</v>
          </cell>
        </row>
        <row r="1292">
          <cell r="A1292">
            <v>38343</v>
          </cell>
          <cell r="B1292">
            <v>44.01</v>
          </cell>
          <cell r="C1292">
            <v>40.604999999999997</v>
          </cell>
        </row>
        <row r="1293">
          <cell r="A1293">
            <v>38344</v>
          </cell>
          <cell r="B1293">
            <v>44.01</v>
          </cell>
          <cell r="C1293">
            <v>40.545000000000002</v>
          </cell>
        </row>
        <row r="1294">
          <cell r="A1294">
            <v>38345</v>
          </cell>
          <cell r="B1294">
            <v>44.01</v>
          </cell>
          <cell r="C1294">
            <v>40.115000000000002</v>
          </cell>
        </row>
        <row r="1295">
          <cell r="A1295">
            <v>38348</v>
          </cell>
          <cell r="B1295">
            <v>41.094999999999999</v>
          </cell>
          <cell r="C1295">
            <v>38.215000000000003</v>
          </cell>
        </row>
        <row r="1296">
          <cell r="A1296">
            <v>38349</v>
          </cell>
          <cell r="B1296">
            <v>41.82</v>
          </cell>
          <cell r="C1296">
            <v>38.17</v>
          </cell>
        </row>
        <row r="1297">
          <cell r="A1297">
            <v>38350</v>
          </cell>
          <cell r="B1297">
            <v>43.79</v>
          </cell>
          <cell r="C1297">
            <v>39.005000000000003</v>
          </cell>
        </row>
        <row r="1298">
          <cell r="A1298">
            <v>38351</v>
          </cell>
          <cell r="B1298">
            <v>43.39</v>
          </cell>
          <cell r="C1298">
            <v>39.884999999999998</v>
          </cell>
        </row>
        <row r="1299">
          <cell r="A1299">
            <v>38352</v>
          </cell>
          <cell r="B1299">
            <v>43.39</v>
          </cell>
          <cell r="C1299">
            <v>40.47</v>
          </cell>
        </row>
        <row r="1300">
          <cell r="A1300">
            <v>38355</v>
          </cell>
          <cell r="B1300">
            <v>42.17</v>
          </cell>
          <cell r="C1300">
            <v>38.21</v>
          </cell>
        </row>
        <row r="1301">
          <cell r="A1301">
            <v>38356</v>
          </cell>
          <cell r="B1301">
            <v>43.89</v>
          </cell>
          <cell r="C1301">
            <v>40.31</v>
          </cell>
        </row>
        <row r="1302">
          <cell r="A1302">
            <v>38357</v>
          </cell>
          <cell r="B1302">
            <v>43.36</v>
          </cell>
          <cell r="C1302">
            <v>41.13</v>
          </cell>
        </row>
        <row r="1303">
          <cell r="A1303">
            <v>38358</v>
          </cell>
          <cell r="B1303">
            <v>45.49</v>
          </cell>
          <cell r="C1303">
            <v>43.04</v>
          </cell>
        </row>
        <row r="1304">
          <cell r="A1304">
            <v>38359</v>
          </cell>
          <cell r="B1304">
            <v>45.16</v>
          </cell>
          <cell r="C1304">
            <v>43.69</v>
          </cell>
        </row>
        <row r="1305">
          <cell r="A1305">
            <v>38362</v>
          </cell>
          <cell r="B1305">
            <v>45.21</v>
          </cell>
          <cell r="C1305">
            <v>45.22</v>
          </cell>
        </row>
        <row r="1306">
          <cell r="A1306">
            <v>38363</v>
          </cell>
          <cell r="B1306">
            <v>45.76</v>
          </cell>
          <cell r="C1306">
            <v>43.564999999999998</v>
          </cell>
        </row>
        <row r="1307">
          <cell r="A1307">
            <v>38364</v>
          </cell>
          <cell r="B1307">
            <v>46.35</v>
          </cell>
          <cell r="C1307">
            <v>43.29</v>
          </cell>
        </row>
        <row r="1308">
          <cell r="A1308">
            <v>38365</v>
          </cell>
          <cell r="B1308">
            <v>47.89</v>
          </cell>
          <cell r="C1308">
            <v>45.65</v>
          </cell>
        </row>
        <row r="1309">
          <cell r="A1309">
            <v>38366</v>
          </cell>
          <cell r="B1309">
            <v>48.48</v>
          </cell>
          <cell r="C1309">
            <v>45.685000000000002</v>
          </cell>
        </row>
        <row r="1310">
          <cell r="A1310">
            <v>38369</v>
          </cell>
          <cell r="B1310">
            <v>48.48</v>
          </cell>
          <cell r="C1310">
            <v>45.115000000000002</v>
          </cell>
        </row>
        <row r="1311">
          <cell r="A1311">
            <v>38370</v>
          </cell>
          <cell r="B1311">
            <v>48.32</v>
          </cell>
          <cell r="C1311">
            <v>44.91</v>
          </cell>
        </row>
        <row r="1312">
          <cell r="A1312">
            <v>38371</v>
          </cell>
          <cell r="B1312">
            <v>47.55</v>
          </cell>
          <cell r="C1312">
            <v>45.05</v>
          </cell>
        </row>
        <row r="1313">
          <cell r="A1313">
            <v>38372</v>
          </cell>
          <cell r="B1313">
            <v>47.234999999999999</v>
          </cell>
          <cell r="C1313">
            <v>43.88</v>
          </cell>
        </row>
        <row r="1314">
          <cell r="A1314">
            <v>38373</v>
          </cell>
          <cell r="B1314">
            <v>48.53</v>
          </cell>
          <cell r="C1314">
            <v>45.725000000000001</v>
          </cell>
        </row>
        <row r="1315">
          <cell r="A1315">
            <v>38376</v>
          </cell>
          <cell r="B1315">
            <v>48.634999999999998</v>
          </cell>
          <cell r="C1315">
            <v>45.66</v>
          </cell>
        </row>
        <row r="1316">
          <cell r="A1316">
            <v>38377</v>
          </cell>
          <cell r="B1316">
            <v>49.46</v>
          </cell>
          <cell r="C1316">
            <v>45.99</v>
          </cell>
        </row>
        <row r="1317">
          <cell r="A1317">
            <v>38378</v>
          </cell>
          <cell r="B1317">
            <v>48.92</v>
          </cell>
          <cell r="C1317">
            <v>46.575000000000003</v>
          </cell>
        </row>
        <row r="1318">
          <cell r="A1318">
            <v>38379</v>
          </cell>
          <cell r="B1318">
            <v>48.75</v>
          </cell>
          <cell r="C1318">
            <v>46.835000000000001</v>
          </cell>
        </row>
        <row r="1319">
          <cell r="A1319">
            <v>38380</v>
          </cell>
          <cell r="B1319">
            <v>47.22</v>
          </cell>
          <cell r="C1319">
            <v>45.195</v>
          </cell>
        </row>
        <row r="1320">
          <cell r="A1320">
            <v>38383</v>
          </cell>
          <cell r="B1320">
            <v>48.2</v>
          </cell>
          <cell r="C1320">
            <v>44.1</v>
          </cell>
        </row>
        <row r="1321">
          <cell r="A1321">
            <v>38384</v>
          </cell>
          <cell r="B1321">
            <v>47.12</v>
          </cell>
          <cell r="C1321">
            <v>44.935000000000002</v>
          </cell>
        </row>
        <row r="1322">
          <cell r="A1322">
            <v>38385</v>
          </cell>
          <cell r="B1322">
            <v>46.73</v>
          </cell>
          <cell r="C1322">
            <v>43.98</v>
          </cell>
        </row>
        <row r="1323">
          <cell r="A1323">
            <v>38386</v>
          </cell>
          <cell r="B1323">
            <v>46.56</v>
          </cell>
          <cell r="C1323">
            <v>43.094999999999999</v>
          </cell>
        </row>
        <row r="1324">
          <cell r="A1324">
            <v>38387</v>
          </cell>
          <cell r="B1324">
            <v>46.46</v>
          </cell>
          <cell r="C1324">
            <v>43.59</v>
          </cell>
        </row>
        <row r="1325">
          <cell r="A1325">
            <v>38390</v>
          </cell>
          <cell r="B1325">
            <v>45.3</v>
          </cell>
          <cell r="C1325">
            <v>42.76</v>
          </cell>
        </row>
        <row r="1326">
          <cell r="A1326">
            <v>38391</v>
          </cell>
          <cell r="B1326">
            <v>45.35</v>
          </cell>
          <cell r="C1326">
            <v>42.734999999999999</v>
          </cell>
        </row>
        <row r="1327">
          <cell r="A1327">
            <v>38392</v>
          </cell>
          <cell r="B1327">
            <v>45.51</v>
          </cell>
          <cell r="C1327">
            <v>43.134999999999998</v>
          </cell>
        </row>
        <row r="1328">
          <cell r="A1328">
            <v>38393</v>
          </cell>
          <cell r="B1328">
            <v>47</v>
          </cell>
          <cell r="C1328">
            <v>43.805</v>
          </cell>
        </row>
        <row r="1329">
          <cell r="A1329">
            <v>38394</v>
          </cell>
          <cell r="B1329">
            <v>47.16</v>
          </cell>
          <cell r="C1329">
            <v>44.3</v>
          </cell>
        </row>
        <row r="1330">
          <cell r="A1330">
            <v>38397</v>
          </cell>
          <cell r="B1330">
            <v>47.39</v>
          </cell>
          <cell r="C1330">
            <v>44.01</v>
          </cell>
        </row>
        <row r="1331">
          <cell r="A1331">
            <v>38398</v>
          </cell>
          <cell r="B1331">
            <v>47.25</v>
          </cell>
          <cell r="C1331">
            <v>44.914999999999999</v>
          </cell>
        </row>
        <row r="1332">
          <cell r="A1332">
            <v>38399</v>
          </cell>
          <cell r="B1332">
            <v>48.29</v>
          </cell>
          <cell r="C1332">
            <v>44.46</v>
          </cell>
        </row>
        <row r="1333">
          <cell r="A1333">
            <v>38400</v>
          </cell>
          <cell r="B1333">
            <v>47.51</v>
          </cell>
          <cell r="C1333">
            <v>45.9</v>
          </cell>
        </row>
        <row r="1334">
          <cell r="A1334">
            <v>38401</v>
          </cell>
          <cell r="B1334">
            <v>48.55</v>
          </cell>
          <cell r="C1334">
            <v>45.465000000000003</v>
          </cell>
        </row>
        <row r="1335">
          <cell r="A1335">
            <v>38404</v>
          </cell>
          <cell r="B1335">
            <v>48.55</v>
          </cell>
          <cell r="C1335">
            <v>45.87</v>
          </cell>
        </row>
        <row r="1336">
          <cell r="A1336">
            <v>38405</v>
          </cell>
          <cell r="B1336">
            <v>50.65</v>
          </cell>
          <cell r="C1336">
            <v>47.564999999999998</v>
          </cell>
        </row>
        <row r="1337">
          <cell r="A1337">
            <v>38406</v>
          </cell>
          <cell r="B1337">
            <v>50.52</v>
          </cell>
          <cell r="C1337">
            <v>48.024999999999999</v>
          </cell>
        </row>
        <row r="1338">
          <cell r="A1338">
            <v>38407</v>
          </cell>
          <cell r="B1338">
            <v>50.81</v>
          </cell>
          <cell r="C1338">
            <v>49.39</v>
          </cell>
        </row>
        <row r="1339">
          <cell r="A1339">
            <v>38408</v>
          </cell>
          <cell r="B1339">
            <v>51</v>
          </cell>
          <cell r="C1339">
            <v>49.63</v>
          </cell>
        </row>
        <row r="1340">
          <cell r="A1340">
            <v>38411</v>
          </cell>
          <cell r="B1340">
            <v>51.704999999999998</v>
          </cell>
          <cell r="C1340">
            <v>49.91</v>
          </cell>
        </row>
        <row r="1341">
          <cell r="A1341">
            <v>38412</v>
          </cell>
          <cell r="B1341">
            <v>51.6</v>
          </cell>
          <cell r="C1341">
            <v>49.92</v>
          </cell>
        </row>
        <row r="1342">
          <cell r="A1342">
            <v>38413</v>
          </cell>
          <cell r="B1342">
            <v>53.05</v>
          </cell>
          <cell r="C1342">
            <v>50.715000000000003</v>
          </cell>
        </row>
        <row r="1343">
          <cell r="A1343">
            <v>38414</v>
          </cell>
          <cell r="B1343">
            <v>53.54</v>
          </cell>
          <cell r="C1343">
            <v>53.225000000000001</v>
          </cell>
        </row>
        <row r="1344">
          <cell r="A1344">
            <v>38415</v>
          </cell>
          <cell r="B1344">
            <v>53.664999999999999</v>
          </cell>
          <cell r="C1344">
            <v>52.204999999999998</v>
          </cell>
        </row>
        <row r="1345">
          <cell r="A1345">
            <v>38418</v>
          </cell>
          <cell r="B1345">
            <v>53.79</v>
          </cell>
          <cell r="C1345">
            <v>51.335000000000001</v>
          </cell>
        </row>
        <row r="1346">
          <cell r="A1346">
            <v>38419</v>
          </cell>
          <cell r="B1346">
            <v>54.555</v>
          </cell>
          <cell r="C1346">
            <v>53.02</v>
          </cell>
        </row>
        <row r="1347">
          <cell r="A1347">
            <v>38420</v>
          </cell>
          <cell r="B1347">
            <v>54.585000000000001</v>
          </cell>
          <cell r="C1347">
            <v>54.104999999999997</v>
          </cell>
        </row>
        <row r="1348">
          <cell r="A1348">
            <v>38421</v>
          </cell>
          <cell r="B1348">
            <v>53.55</v>
          </cell>
          <cell r="C1348">
            <v>53.35</v>
          </cell>
        </row>
        <row r="1349">
          <cell r="A1349">
            <v>38422</v>
          </cell>
          <cell r="B1349">
            <v>54.63</v>
          </cell>
          <cell r="C1349">
            <v>53.13</v>
          </cell>
        </row>
        <row r="1350">
          <cell r="A1350">
            <v>38425</v>
          </cell>
          <cell r="B1350">
            <v>54.994999999999997</v>
          </cell>
          <cell r="C1350">
            <v>52.77</v>
          </cell>
        </row>
        <row r="1351">
          <cell r="A1351">
            <v>38426</v>
          </cell>
          <cell r="B1351">
            <v>55.1</v>
          </cell>
          <cell r="C1351">
            <v>53.685000000000002</v>
          </cell>
        </row>
        <row r="1352">
          <cell r="A1352">
            <v>38427</v>
          </cell>
          <cell r="B1352">
            <v>56.48</v>
          </cell>
          <cell r="C1352">
            <v>54.854999999999997</v>
          </cell>
        </row>
        <row r="1353">
          <cell r="A1353">
            <v>38428</v>
          </cell>
          <cell r="B1353">
            <v>56.33</v>
          </cell>
          <cell r="C1353">
            <v>55.58</v>
          </cell>
        </row>
        <row r="1354">
          <cell r="A1354">
            <v>38429</v>
          </cell>
          <cell r="B1354">
            <v>56.88</v>
          </cell>
          <cell r="C1354">
            <v>55.72</v>
          </cell>
        </row>
        <row r="1355">
          <cell r="A1355">
            <v>38432</v>
          </cell>
          <cell r="B1355">
            <v>56.835000000000001</v>
          </cell>
          <cell r="C1355">
            <v>55.295000000000002</v>
          </cell>
        </row>
        <row r="1356">
          <cell r="A1356">
            <v>38433</v>
          </cell>
          <cell r="B1356">
            <v>54.19</v>
          </cell>
          <cell r="C1356">
            <v>55.27</v>
          </cell>
        </row>
        <row r="1357">
          <cell r="A1357">
            <v>38434</v>
          </cell>
          <cell r="B1357">
            <v>50.26</v>
          </cell>
          <cell r="C1357">
            <v>51.6</v>
          </cell>
        </row>
        <row r="1358">
          <cell r="A1358">
            <v>38435</v>
          </cell>
          <cell r="B1358">
            <v>53.84</v>
          </cell>
          <cell r="C1358">
            <v>52.435000000000002</v>
          </cell>
        </row>
        <row r="1359">
          <cell r="A1359">
            <v>38439</v>
          </cell>
          <cell r="B1359">
            <v>53.9</v>
          </cell>
          <cell r="C1359">
            <v>51.09</v>
          </cell>
        </row>
        <row r="1360">
          <cell r="A1360">
            <v>38440</v>
          </cell>
          <cell r="B1360">
            <v>54.19</v>
          </cell>
          <cell r="C1360">
            <v>51.18</v>
          </cell>
        </row>
        <row r="1361">
          <cell r="A1361">
            <v>38441</v>
          </cell>
          <cell r="B1361">
            <v>53.99</v>
          </cell>
          <cell r="C1361">
            <v>50.58</v>
          </cell>
        </row>
        <row r="1362">
          <cell r="A1362">
            <v>38442</v>
          </cell>
          <cell r="B1362">
            <v>55.32</v>
          </cell>
          <cell r="C1362">
            <v>52.854999999999997</v>
          </cell>
        </row>
        <row r="1363">
          <cell r="A1363">
            <v>38443</v>
          </cell>
          <cell r="B1363">
            <v>57.52</v>
          </cell>
          <cell r="C1363">
            <v>53.784999999999997</v>
          </cell>
        </row>
        <row r="1364">
          <cell r="A1364">
            <v>38446</v>
          </cell>
          <cell r="B1364">
            <v>56.93</v>
          </cell>
          <cell r="C1364">
            <v>55.445</v>
          </cell>
        </row>
        <row r="1365">
          <cell r="A1365">
            <v>38447</v>
          </cell>
          <cell r="B1365">
            <v>55.89</v>
          </cell>
          <cell r="C1365">
            <v>54.5</v>
          </cell>
        </row>
        <row r="1366">
          <cell r="A1366">
            <v>38448</v>
          </cell>
          <cell r="B1366">
            <v>55.8</v>
          </cell>
          <cell r="C1366">
            <v>54.465000000000003</v>
          </cell>
        </row>
        <row r="1367">
          <cell r="A1367">
            <v>38449</v>
          </cell>
          <cell r="B1367">
            <v>54.1</v>
          </cell>
          <cell r="C1367">
            <v>54.15</v>
          </cell>
        </row>
        <row r="1368">
          <cell r="A1368">
            <v>38450</v>
          </cell>
          <cell r="B1368">
            <v>53.5</v>
          </cell>
          <cell r="C1368">
            <v>51.865000000000002</v>
          </cell>
        </row>
        <row r="1369">
          <cell r="A1369">
            <v>38453</v>
          </cell>
          <cell r="B1369">
            <v>53.76</v>
          </cell>
          <cell r="C1369">
            <v>50.81</v>
          </cell>
        </row>
        <row r="1370">
          <cell r="A1370">
            <v>38454</v>
          </cell>
          <cell r="B1370">
            <v>51.64</v>
          </cell>
          <cell r="C1370">
            <v>51.494999999999997</v>
          </cell>
        </row>
        <row r="1371">
          <cell r="A1371">
            <v>38455</v>
          </cell>
          <cell r="B1371">
            <v>50.32</v>
          </cell>
          <cell r="C1371">
            <v>49.87</v>
          </cell>
        </row>
        <row r="1372">
          <cell r="A1372">
            <v>38456</v>
          </cell>
          <cell r="B1372">
            <v>50.984999999999999</v>
          </cell>
          <cell r="C1372">
            <v>49.74</v>
          </cell>
        </row>
        <row r="1373">
          <cell r="A1373">
            <v>38457</v>
          </cell>
          <cell r="B1373">
            <v>50.4</v>
          </cell>
          <cell r="C1373">
            <v>49.37</v>
          </cell>
        </row>
        <row r="1374">
          <cell r="A1374">
            <v>38460</v>
          </cell>
          <cell r="B1374">
            <v>50.424999999999997</v>
          </cell>
          <cell r="C1374">
            <v>48.905000000000001</v>
          </cell>
        </row>
        <row r="1375">
          <cell r="A1375">
            <v>38461</v>
          </cell>
          <cell r="B1375">
            <v>52.28</v>
          </cell>
          <cell r="C1375">
            <v>50.225000000000001</v>
          </cell>
        </row>
        <row r="1376">
          <cell r="A1376">
            <v>38462</v>
          </cell>
          <cell r="B1376">
            <v>52.44</v>
          </cell>
          <cell r="C1376">
            <v>51.56</v>
          </cell>
        </row>
        <row r="1377">
          <cell r="A1377">
            <v>38463</v>
          </cell>
          <cell r="B1377">
            <v>52.384999999999998</v>
          </cell>
          <cell r="C1377">
            <v>51.58</v>
          </cell>
        </row>
        <row r="1378">
          <cell r="A1378">
            <v>38464</v>
          </cell>
          <cell r="B1378">
            <v>54.805</v>
          </cell>
          <cell r="C1378">
            <v>53.11</v>
          </cell>
        </row>
        <row r="1379">
          <cell r="A1379">
            <v>38467</v>
          </cell>
          <cell r="B1379">
            <v>51.71</v>
          </cell>
          <cell r="C1379">
            <v>53.13</v>
          </cell>
        </row>
        <row r="1380">
          <cell r="A1380">
            <v>38468</v>
          </cell>
          <cell r="B1380">
            <v>54.075000000000003</v>
          </cell>
          <cell r="C1380">
            <v>51.805</v>
          </cell>
        </row>
        <row r="1381">
          <cell r="A1381">
            <v>38469</v>
          </cell>
          <cell r="B1381">
            <v>51.185000000000002</v>
          </cell>
          <cell r="C1381">
            <v>51.405000000000001</v>
          </cell>
        </row>
        <row r="1382">
          <cell r="A1382">
            <v>38470</v>
          </cell>
          <cell r="B1382">
            <v>51.67</v>
          </cell>
          <cell r="C1382">
            <v>50.2</v>
          </cell>
        </row>
        <row r="1383">
          <cell r="A1383">
            <v>38471</v>
          </cell>
          <cell r="B1383">
            <v>48.87</v>
          </cell>
          <cell r="C1383">
            <v>50.71</v>
          </cell>
        </row>
        <row r="1384">
          <cell r="A1384">
            <v>38474</v>
          </cell>
          <cell r="B1384">
            <v>50.92</v>
          </cell>
          <cell r="C1384">
            <v>48.89</v>
          </cell>
        </row>
        <row r="1385">
          <cell r="A1385">
            <v>38475</v>
          </cell>
          <cell r="B1385">
            <v>49.45</v>
          </cell>
          <cell r="C1385">
            <v>49.94</v>
          </cell>
        </row>
        <row r="1386">
          <cell r="A1386">
            <v>38476</v>
          </cell>
          <cell r="B1386">
            <v>50.13</v>
          </cell>
          <cell r="C1386">
            <v>50.14</v>
          </cell>
        </row>
        <row r="1387">
          <cell r="A1387">
            <v>38477</v>
          </cell>
          <cell r="B1387">
            <v>50.91</v>
          </cell>
          <cell r="C1387">
            <v>49.39</v>
          </cell>
        </row>
        <row r="1388">
          <cell r="A1388">
            <v>38478</v>
          </cell>
          <cell r="B1388">
            <v>51.21</v>
          </cell>
          <cell r="C1388">
            <v>50.13</v>
          </cell>
        </row>
        <row r="1389">
          <cell r="A1389">
            <v>38481</v>
          </cell>
          <cell r="B1389">
            <v>51.98</v>
          </cell>
          <cell r="C1389">
            <v>49.424999999999997</v>
          </cell>
        </row>
        <row r="1390">
          <cell r="A1390">
            <v>38482</v>
          </cell>
          <cell r="B1390">
            <v>51.84</v>
          </cell>
          <cell r="C1390">
            <v>50.615000000000002</v>
          </cell>
        </row>
        <row r="1391">
          <cell r="A1391">
            <v>38483</v>
          </cell>
          <cell r="B1391">
            <v>50.4</v>
          </cell>
          <cell r="C1391">
            <v>49.38</v>
          </cell>
        </row>
        <row r="1392">
          <cell r="A1392">
            <v>38484</v>
          </cell>
          <cell r="B1392">
            <v>48.68</v>
          </cell>
          <cell r="C1392">
            <v>47.06</v>
          </cell>
        </row>
        <row r="1393">
          <cell r="A1393">
            <v>38485</v>
          </cell>
          <cell r="B1393">
            <v>48.77</v>
          </cell>
          <cell r="C1393">
            <v>46.314999999999998</v>
          </cell>
        </row>
        <row r="1394">
          <cell r="A1394">
            <v>38488</v>
          </cell>
          <cell r="B1394">
            <v>48.645000000000003</v>
          </cell>
          <cell r="C1394">
            <v>47.09</v>
          </cell>
        </row>
        <row r="1395">
          <cell r="A1395">
            <v>38489</v>
          </cell>
          <cell r="B1395">
            <v>48.89</v>
          </cell>
          <cell r="C1395">
            <v>47.435000000000002</v>
          </cell>
        </row>
        <row r="1396">
          <cell r="A1396">
            <v>38490</v>
          </cell>
          <cell r="B1396">
            <v>46.9</v>
          </cell>
          <cell r="C1396">
            <v>47.244999999999997</v>
          </cell>
        </row>
        <row r="1397">
          <cell r="A1397">
            <v>38491</v>
          </cell>
          <cell r="B1397">
            <v>46.85</v>
          </cell>
          <cell r="C1397">
            <v>46.94</v>
          </cell>
        </row>
        <row r="1398">
          <cell r="A1398">
            <v>38492</v>
          </cell>
          <cell r="B1398">
            <v>48.2</v>
          </cell>
          <cell r="C1398">
            <v>47.12</v>
          </cell>
        </row>
        <row r="1399">
          <cell r="A1399">
            <v>38495</v>
          </cell>
          <cell r="B1399">
            <v>48.61</v>
          </cell>
          <cell r="C1399">
            <v>47.354999999999997</v>
          </cell>
        </row>
        <row r="1400">
          <cell r="A1400">
            <v>38496</v>
          </cell>
          <cell r="B1400">
            <v>49.33</v>
          </cell>
          <cell r="C1400">
            <v>47.405000000000001</v>
          </cell>
        </row>
        <row r="1401">
          <cell r="A1401">
            <v>38497</v>
          </cell>
          <cell r="B1401">
            <v>50.55</v>
          </cell>
          <cell r="C1401">
            <v>49.11</v>
          </cell>
        </row>
        <row r="1402">
          <cell r="A1402">
            <v>38498</v>
          </cell>
          <cell r="B1402">
            <v>50.83</v>
          </cell>
          <cell r="C1402">
            <v>49.58</v>
          </cell>
        </row>
        <row r="1403">
          <cell r="A1403">
            <v>38499</v>
          </cell>
          <cell r="B1403">
            <v>51.57</v>
          </cell>
          <cell r="C1403">
            <v>49.515000000000001</v>
          </cell>
        </row>
        <row r="1404">
          <cell r="A1404">
            <v>38502</v>
          </cell>
          <cell r="B1404">
            <v>51.57</v>
          </cell>
          <cell r="C1404">
            <v>49.515000000000001</v>
          </cell>
        </row>
        <row r="1405">
          <cell r="A1405">
            <v>38503</v>
          </cell>
          <cell r="B1405">
            <v>51.97</v>
          </cell>
          <cell r="C1405">
            <v>49.575000000000003</v>
          </cell>
        </row>
        <row r="1406">
          <cell r="A1406">
            <v>38504</v>
          </cell>
          <cell r="B1406">
            <v>54.52</v>
          </cell>
          <cell r="C1406">
            <v>50.475000000000001</v>
          </cell>
        </row>
        <row r="1407">
          <cell r="A1407">
            <v>38505</v>
          </cell>
          <cell r="B1407">
            <v>53.44</v>
          </cell>
          <cell r="C1407">
            <v>51.45</v>
          </cell>
        </row>
        <row r="1408">
          <cell r="A1408">
            <v>38506</v>
          </cell>
          <cell r="B1408">
            <v>54.95</v>
          </cell>
          <cell r="C1408">
            <v>52.25</v>
          </cell>
        </row>
        <row r="1409">
          <cell r="A1409">
            <v>38509</v>
          </cell>
          <cell r="B1409">
            <v>54.49</v>
          </cell>
          <cell r="C1409">
            <v>52.295000000000002</v>
          </cell>
        </row>
        <row r="1410">
          <cell r="A1410">
            <v>38510</v>
          </cell>
          <cell r="B1410">
            <v>53.74</v>
          </cell>
          <cell r="C1410">
            <v>51.55</v>
          </cell>
        </row>
        <row r="1411">
          <cell r="A1411">
            <v>38511</v>
          </cell>
          <cell r="B1411">
            <v>52.51</v>
          </cell>
          <cell r="C1411">
            <v>51.9</v>
          </cell>
        </row>
        <row r="1412">
          <cell r="A1412">
            <v>38512</v>
          </cell>
          <cell r="B1412">
            <v>54.42</v>
          </cell>
          <cell r="C1412">
            <v>51.63</v>
          </cell>
        </row>
        <row r="1413">
          <cell r="A1413">
            <v>38513</v>
          </cell>
          <cell r="B1413">
            <v>53.564999999999998</v>
          </cell>
          <cell r="C1413">
            <v>52.195</v>
          </cell>
        </row>
        <row r="1414">
          <cell r="A1414">
            <v>38516</v>
          </cell>
          <cell r="B1414">
            <v>55.5</v>
          </cell>
          <cell r="C1414">
            <v>52</v>
          </cell>
        </row>
        <row r="1415">
          <cell r="A1415">
            <v>38517</v>
          </cell>
          <cell r="B1415">
            <v>54.94</v>
          </cell>
          <cell r="C1415">
            <v>53.56</v>
          </cell>
        </row>
        <row r="1416">
          <cell r="A1416">
            <v>38518</v>
          </cell>
          <cell r="B1416">
            <v>55.49</v>
          </cell>
          <cell r="C1416">
            <v>55.04</v>
          </cell>
        </row>
        <row r="1417">
          <cell r="A1417">
            <v>38519</v>
          </cell>
          <cell r="B1417">
            <v>56.545000000000002</v>
          </cell>
          <cell r="C1417">
            <v>54.255000000000003</v>
          </cell>
        </row>
        <row r="1418">
          <cell r="A1418">
            <v>38520</v>
          </cell>
          <cell r="B1418">
            <v>58.634999999999998</v>
          </cell>
          <cell r="C1418">
            <v>56.945</v>
          </cell>
        </row>
        <row r="1419">
          <cell r="A1419">
            <v>38523</v>
          </cell>
          <cell r="B1419">
            <v>59.19</v>
          </cell>
          <cell r="C1419">
            <v>57.06</v>
          </cell>
        </row>
        <row r="1420">
          <cell r="A1420">
            <v>38524</v>
          </cell>
          <cell r="B1420">
            <v>58.68</v>
          </cell>
          <cell r="C1420">
            <v>56.99</v>
          </cell>
        </row>
        <row r="1421">
          <cell r="A1421">
            <v>38525</v>
          </cell>
          <cell r="B1421">
            <v>57.87</v>
          </cell>
          <cell r="C1421">
            <v>56.1</v>
          </cell>
        </row>
        <row r="1422">
          <cell r="A1422">
            <v>38526</v>
          </cell>
          <cell r="B1422">
            <v>59.25</v>
          </cell>
          <cell r="C1422">
            <v>57.145000000000003</v>
          </cell>
        </row>
        <row r="1423">
          <cell r="A1423">
            <v>38527</v>
          </cell>
          <cell r="B1423">
            <v>59.84</v>
          </cell>
          <cell r="C1423">
            <v>57.03</v>
          </cell>
        </row>
        <row r="1424">
          <cell r="A1424">
            <v>38530</v>
          </cell>
          <cell r="B1424">
            <v>60.54</v>
          </cell>
          <cell r="C1424">
            <v>58.47</v>
          </cell>
        </row>
        <row r="1425">
          <cell r="A1425">
            <v>38531</v>
          </cell>
          <cell r="B1425">
            <v>58.2</v>
          </cell>
          <cell r="C1425">
            <v>57.57</v>
          </cell>
        </row>
        <row r="1426">
          <cell r="A1426">
            <v>38532</v>
          </cell>
          <cell r="B1426">
            <v>57.16</v>
          </cell>
          <cell r="C1426">
            <v>55.53</v>
          </cell>
        </row>
        <row r="1427">
          <cell r="A1427">
            <v>38533</v>
          </cell>
          <cell r="B1427">
            <v>56.725000000000001</v>
          </cell>
          <cell r="C1427">
            <v>55.44</v>
          </cell>
        </row>
        <row r="1428">
          <cell r="A1428">
            <v>38534</v>
          </cell>
          <cell r="B1428">
            <v>59.25</v>
          </cell>
          <cell r="C1428">
            <v>56.67</v>
          </cell>
        </row>
        <row r="1429">
          <cell r="A1429">
            <v>38537</v>
          </cell>
          <cell r="B1429">
            <v>59.25</v>
          </cell>
          <cell r="C1429">
            <v>57.094999999999999</v>
          </cell>
        </row>
        <row r="1430">
          <cell r="A1430">
            <v>38538</v>
          </cell>
          <cell r="B1430">
            <v>59.564999999999998</v>
          </cell>
          <cell r="C1430">
            <v>57.68</v>
          </cell>
        </row>
        <row r="1431">
          <cell r="A1431">
            <v>38539</v>
          </cell>
          <cell r="B1431">
            <v>61.13</v>
          </cell>
          <cell r="C1431">
            <v>58.54</v>
          </cell>
        </row>
        <row r="1432">
          <cell r="A1432">
            <v>38540</v>
          </cell>
          <cell r="B1432">
            <v>60.69</v>
          </cell>
          <cell r="C1432">
            <v>57.54</v>
          </cell>
        </row>
        <row r="1433">
          <cell r="A1433">
            <v>38541</v>
          </cell>
          <cell r="B1433">
            <v>59.61</v>
          </cell>
          <cell r="C1433">
            <v>59.01</v>
          </cell>
        </row>
        <row r="1434">
          <cell r="A1434">
            <v>38544</v>
          </cell>
          <cell r="B1434">
            <v>58.99</v>
          </cell>
          <cell r="C1434">
            <v>57.094999999999999</v>
          </cell>
        </row>
        <row r="1435">
          <cell r="A1435">
            <v>38545</v>
          </cell>
          <cell r="B1435">
            <v>60.55</v>
          </cell>
          <cell r="C1435">
            <v>58.844999999999999</v>
          </cell>
        </row>
        <row r="1436">
          <cell r="A1436">
            <v>38546</v>
          </cell>
          <cell r="B1436">
            <v>59.895000000000003</v>
          </cell>
          <cell r="C1436">
            <v>58.265000000000001</v>
          </cell>
        </row>
        <row r="1437">
          <cell r="A1437">
            <v>38547</v>
          </cell>
          <cell r="B1437">
            <v>57.854999999999997</v>
          </cell>
          <cell r="C1437">
            <v>56.69</v>
          </cell>
        </row>
        <row r="1438">
          <cell r="A1438">
            <v>38548</v>
          </cell>
          <cell r="B1438">
            <v>58.29</v>
          </cell>
          <cell r="C1438">
            <v>57.15</v>
          </cell>
        </row>
        <row r="1439">
          <cell r="A1439">
            <v>38551</v>
          </cell>
          <cell r="B1439">
            <v>57.22</v>
          </cell>
          <cell r="C1439">
            <v>56.484999999999999</v>
          </cell>
        </row>
        <row r="1440">
          <cell r="A1440">
            <v>38552</v>
          </cell>
          <cell r="B1440">
            <v>57.424999999999997</v>
          </cell>
          <cell r="C1440">
            <v>56.82</v>
          </cell>
        </row>
        <row r="1441">
          <cell r="A1441">
            <v>38553</v>
          </cell>
          <cell r="B1441">
            <v>56.57</v>
          </cell>
          <cell r="C1441">
            <v>56.51</v>
          </cell>
        </row>
        <row r="1442">
          <cell r="A1442">
            <v>38554</v>
          </cell>
          <cell r="B1442">
            <v>55.08</v>
          </cell>
          <cell r="C1442">
            <v>55.7</v>
          </cell>
        </row>
        <row r="1443">
          <cell r="A1443">
            <v>38555</v>
          </cell>
          <cell r="B1443">
            <v>56.7</v>
          </cell>
          <cell r="C1443">
            <v>57.06</v>
          </cell>
        </row>
        <row r="1444">
          <cell r="A1444">
            <v>38558</v>
          </cell>
          <cell r="B1444">
            <v>56.05</v>
          </cell>
          <cell r="C1444">
            <v>57.63</v>
          </cell>
        </row>
        <row r="1445">
          <cell r="A1445">
            <v>38559</v>
          </cell>
          <cell r="B1445">
            <v>59.09</v>
          </cell>
          <cell r="C1445">
            <v>58.63</v>
          </cell>
        </row>
        <row r="1446">
          <cell r="A1446">
            <v>38560</v>
          </cell>
          <cell r="B1446">
            <v>59.17</v>
          </cell>
          <cell r="C1446">
            <v>58.62</v>
          </cell>
        </row>
        <row r="1447">
          <cell r="A1447">
            <v>38561</v>
          </cell>
          <cell r="B1447">
            <v>59.88</v>
          </cell>
          <cell r="C1447">
            <v>58.265000000000001</v>
          </cell>
        </row>
        <row r="1448">
          <cell r="A1448">
            <v>38562</v>
          </cell>
          <cell r="B1448">
            <v>60.575000000000003</v>
          </cell>
          <cell r="C1448">
            <v>59.875</v>
          </cell>
        </row>
        <row r="1449">
          <cell r="A1449">
            <v>38565</v>
          </cell>
          <cell r="B1449">
            <v>61.49</v>
          </cell>
          <cell r="C1449">
            <v>60.8</v>
          </cell>
        </row>
        <row r="1450">
          <cell r="A1450">
            <v>38566</v>
          </cell>
          <cell r="B1450">
            <v>61.87</v>
          </cell>
          <cell r="C1450">
            <v>60.35</v>
          </cell>
        </row>
        <row r="1451">
          <cell r="A1451">
            <v>38567</v>
          </cell>
          <cell r="B1451">
            <v>60.7</v>
          </cell>
          <cell r="C1451">
            <v>60.19</v>
          </cell>
        </row>
        <row r="1452">
          <cell r="A1452">
            <v>38568</v>
          </cell>
          <cell r="B1452">
            <v>61.45</v>
          </cell>
          <cell r="C1452">
            <v>60.82</v>
          </cell>
        </row>
        <row r="1453">
          <cell r="A1453">
            <v>38569</v>
          </cell>
          <cell r="B1453">
            <v>62.11</v>
          </cell>
          <cell r="C1453">
            <v>61</v>
          </cell>
        </row>
        <row r="1454">
          <cell r="A1454">
            <v>38572</v>
          </cell>
          <cell r="B1454">
            <v>63.86</v>
          </cell>
          <cell r="C1454">
            <v>63.14</v>
          </cell>
        </row>
        <row r="1455">
          <cell r="A1455">
            <v>38573</v>
          </cell>
          <cell r="B1455">
            <v>63.085000000000001</v>
          </cell>
          <cell r="C1455">
            <v>62.814999999999998</v>
          </cell>
        </row>
        <row r="1456">
          <cell r="A1456">
            <v>38574</v>
          </cell>
          <cell r="B1456">
            <v>64.875</v>
          </cell>
          <cell r="C1456">
            <v>63.755000000000003</v>
          </cell>
        </row>
        <row r="1457">
          <cell r="A1457">
            <v>38575</v>
          </cell>
          <cell r="B1457">
            <v>65.77</v>
          </cell>
          <cell r="C1457">
            <v>66.245000000000005</v>
          </cell>
        </row>
        <row r="1458">
          <cell r="A1458">
            <v>38576</v>
          </cell>
          <cell r="B1458">
            <v>66.86</v>
          </cell>
          <cell r="C1458">
            <v>67.325000000000003</v>
          </cell>
        </row>
        <row r="1459">
          <cell r="A1459">
            <v>38579</v>
          </cell>
          <cell r="B1459">
            <v>66.22</v>
          </cell>
          <cell r="C1459">
            <v>66.424999999999997</v>
          </cell>
        </row>
        <row r="1460">
          <cell r="A1460">
            <v>38580</v>
          </cell>
          <cell r="B1460">
            <v>66.099999999999994</v>
          </cell>
          <cell r="C1460">
            <v>65.22</v>
          </cell>
        </row>
        <row r="1461">
          <cell r="A1461">
            <v>38581</v>
          </cell>
          <cell r="B1461">
            <v>63.395000000000003</v>
          </cell>
          <cell r="C1461">
            <v>63.41</v>
          </cell>
        </row>
        <row r="1462">
          <cell r="A1462">
            <v>38582</v>
          </cell>
          <cell r="B1462">
            <v>63.375</v>
          </cell>
          <cell r="C1462">
            <v>61.75</v>
          </cell>
        </row>
        <row r="1463">
          <cell r="A1463">
            <v>38583</v>
          </cell>
          <cell r="B1463">
            <v>65.7</v>
          </cell>
          <cell r="C1463">
            <v>64.344999999999999</v>
          </cell>
        </row>
        <row r="1464">
          <cell r="A1464">
            <v>38586</v>
          </cell>
          <cell r="B1464">
            <v>65.09</v>
          </cell>
          <cell r="C1464">
            <v>65.924999999999997</v>
          </cell>
        </row>
        <row r="1465">
          <cell r="A1465">
            <v>38587</v>
          </cell>
          <cell r="B1465">
            <v>65.400000000000006</v>
          </cell>
          <cell r="C1465">
            <v>65.239999999999995</v>
          </cell>
        </row>
        <row r="1466">
          <cell r="A1466">
            <v>38588</v>
          </cell>
          <cell r="B1466">
            <v>67.27</v>
          </cell>
          <cell r="C1466">
            <v>65.084999999999994</v>
          </cell>
        </row>
        <row r="1467">
          <cell r="A1467">
            <v>38589</v>
          </cell>
          <cell r="B1467">
            <v>67.28</v>
          </cell>
          <cell r="C1467">
            <v>65.849999999999994</v>
          </cell>
        </row>
        <row r="1468">
          <cell r="A1468">
            <v>38590</v>
          </cell>
          <cell r="B1468">
            <v>66.385000000000005</v>
          </cell>
          <cell r="C1468">
            <v>66.099999999999994</v>
          </cell>
        </row>
        <row r="1469">
          <cell r="A1469">
            <v>38593</v>
          </cell>
          <cell r="B1469">
            <v>67.33</v>
          </cell>
          <cell r="C1469">
            <v>65.930000000000007</v>
          </cell>
        </row>
        <row r="1470">
          <cell r="A1470">
            <v>38594</v>
          </cell>
          <cell r="B1470">
            <v>69.905000000000001</v>
          </cell>
          <cell r="C1470">
            <v>66.105000000000004</v>
          </cell>
        </row>
        <row r="1471">
          <cell r="A1471">
            <v>38595</v>
          </cell>
          <cell r="B1471">
            <v>68.540000000000006</v>
          </cell>
          <cell r="C1471">
            <v>66.834999999999994</v>
          </cell>
        </row>
        <row r="1472">
          <cell r="A1472">
            <v>38596</v>
          </cell>
          <cell r="B1472">
            <v>69.28</v>
          </cell>
          <cell r="C1472">
            <v>66.959999999999994</v>
          </cell>
        </row>
        <row r="1473">
          <cell r="A1473">
            <v>38597</v>
          </cell>
          <cell r="B1473">
            <v>66.819999999999993</v>
          </cell>
          <cell r="C1473">
            <v>65.900000000000006</v>
          </cell>
        </row>
        <row r="1474">
          <cell r="A1474">
            <v>38600</v>
          </cell>
          <cell r="B1474">
            <v>66.819999999999993</v>
          </cell>
          <cell r="C1474">
            <v>64.305000000000007</v>
          </cell>
        </row>
        <row r="1475">
          <cell r="A1475">
            <v>38601</v>
          </cell>
          <cell r="B1475">
            <v>65.8</v>
          </cell>
          <cell r="C1475">
            <v>64.015000000000001</v>
          </cell>
        </row>
        <row r="1476">
          <cell r="A1476">
            <v>38602</v>
          </cell>
          <cell r="B1476">
            <v>64.375</v>
          </cell>
          <cell r="C1476">
            <v>63.44</v>
          </cell>
        </row>
        <row r="1477">
          <cell r="A1477">
            <v>38603</v>
          </cell>
          <cell r="B1477">
            <v>64.89</v>
          </cell>
          <cell r="C1477">
            <v>61.44</v>
          </cell>
        </row>
        <row r="1478">
          <cell r="A1478">
            <v>38604</v>
          </cell>
          <cell r="B1478">
            <v>64.31</v>
          </cell>
          <cell r="C1478">
            <v>62.895000000000003</v>
          </cell>
        </row>
        <row r="1479">
          <cell r="A1479">
            <v>38607</v>
          </cell>
          <cell r="B1479">
            <v>63.38</v>
          </cell>
          <cell r="C1479">
            <v>60.61</v>
          </cell>
        </row>
        <row r="1480">
          <cell r="A1480">
            <v>38608</v>
          </cell>
          <cell r="B1480">
            <v>63.07</v>
          </cell>
          <cell r="C1480">
            <v>61.1</v>
          </cell>
        </row>
        <row r="1481">
          <cell r="A1481">
            <v>38609</v>
          </cell>
          <cell r="B1481">
            <v>65.069999999999993</v>
          </cell>
          <cell r="C1481">
            <v>61.634999999999998</v>
          </cell>
        </row>
        <row r="1482">
          <cell r="A1482">
            <v>38610</v>
          </cell>
          <cell r="B1482">
            <v>64.72</v>
          </cell>
          <cell r="C1482">
            <v>61.82</v>
          </cell>
        </row>
        <row r="1483">
          <cell r="A1483">
            <v>38611</v>
          </cell>
          <cell r="B1483">
            <v>63.034999999999997</v>
          </cell>
          <cell r="C1483">
            <v>60.445</v>
          </cell>
        </row>
        <row r="1484">
          <cell r="A1484">
            <v>38614</v>
          </cell>
          <cell r="B1484">
            <v>67.34</v>
          </cell>
          <cell r="C1484">
            <v>63.905000000000001</v>
          </cell>
        </row>
        <row r="1485">
          <cell r="A1485">
            <v>38615</v>
          </cell>
          <cell r="B1485">
            <v>65.88</v>
          </cell>
          <cell r="C1485">
            <v>62.98</v>
          </cell>
        </row>
        <row r="1486">
          <cell r="A1486">
            <v>38616</v>
          </cell>
          <cell r="B1486">
            <v>66.52</v>
          </cell>
          <cell r="C1486">
            <v>64.47</v>
          </cell>
        </row>
        <row r="1487">
          <cell r="A1487">
            <v>38617</v>
          </cell>
          <cell r="B1487">
            <v>66.400000000000006</v>
          </cell>
          <cell r="C1487">
            <v>64.55</v>
          </cell>
        </row>
        <row r="1488">
          <cell r="A1488">
            <v>38618</v>
          </cell>
          <cell r="B1488">
            <v>64.59</v>
          </cell>
          <cell r="C1488">
            <v>61.93</v>
          </cell>
        </row>
        <row r="1489">
          <cell r="A1489">
            <v>38621</v>
          </cell>
          <cell r="B1489">
            <v>65.989999999999995</v>
          </cell>
          <cell r="C1489">
            <v>62.104999999999997</v>
          </cell>
        </row>
        <row r="1490">
          <cell r="A1490">
            <v>38622</v>
          </cell>
          <cell r="B1490">
            <v>65.02</v>
          </cell>
          <cell r="C1490">
            <v>62.634999999999998</v>
          </cell>
        </row>
        <row r="1491">
          <cell r="A1491">
            <v>38623</v>
          </cell>
          <cell r="B1491">
            <v>66.275000000000006</v>
          </cell>
          <cell r="C1491">
            <v>62.86</v>
          </cell>
        </row>
        <row r="1492">
          <cell r="A1492">
            <v>38624</v>
          </cell>
          <cell r="B1492">
            <v>66.7</v>
          </cell>
          <cell r="C1492">
            <v>61.92</v>
          </cell>
        </row>
        <row r="1493">
          <cell r="A1493">
            <v>38625</v>
          </cell>
          <cell r="B1493">
            <v>66.38</v>
          </cell>
          <cell r="C1493">
            <v>62.05</v>
          </cell>
        </row>
        <row r="1494">
          <cell r="A1494">
            <v>38628</v>
          </cell>
          <cell r="B1494">
            <v>65.245000000000005</v>
          </cell>
          <cell r="C1494">
            <v>61.77</v>
          </cell>
        </row>
        <row r="1495">
          <cell r="A1495">
            <v>38629</v>
          </cell>
          <cell r="B1495">
            <v>63.854999999999997</v>
          </cell>
          <cell r="C1495">
            <v>59.395000000000003</v>
          </cell>
        </row>
        <row r="1496">
          <cell r="A1496">
            <v>38630</v>
          </cell>
          <cell r="B1496">
            <v>62.69</v>
          </cell>
          <cell r="C1496">
            <v>59.3</v>
          </cell>
        </row>
        <row r="1497">
          <cell r="A1497">
            <v>38631</v>
          </cell>
          <cell r="B1497">
            <v>61.484999999999999</v>
          </cell>
          <cell r="C1497">
            <v>57.31</v>
          </cell>
        </row>
        <row r="1498">
          <cell r="A1498">
            <v>38632</v>
          </cell>
          <cell r="B1498">
            <v>61.844999999999999</v>
          </cell>
          <cell r="C1498">
            <v>57.36</v>
          </cell>
        </row>
        <row r="1499">
          <cell r="A1499">
            <v>38635</v>
          </cell>
          <cell r="B1499">
            <v>61.95</v>
          </cell>
          <cell r="C1499">
            <v>56.7</v>
          </cell>
        </row>
        <row r="1500">
          <cell r="A1500">
            <v>38636</v>
          </cell>
          <cell r="B1500">
            <v>63.48</v>
          </cell>
          <cell r="C1500">
            <v>58</v>
          </cell>
        </row>
        <row r="1501">
          <cell r="A1501">
            <v>38637</v>
          </cell>
          <cell r="B1501">
            <v>64.064999999999998</v>
          </cell>
          <cell r="C1501">
            <v>59.905000000000001</v>
          </cell>
        </row>
        <row r="1502">
          <cell r="A1502">
            <v>38642</v>
          </cell>
          <cell r="B1502">
            <v>64.260000000000005</v>
          </cell>
          <cell r="C1502">
            <v>59.454999999999998</v>
          </cell>
        </row>
        <row r="1503">
          <cell r="A1503">
            <v>38643</v>
          </cell>
          <cell r="B1503">
            <v>63</v>
          </cell>
          <cell r="C1503">
            <v>58.59</v>
          </cell>
        </row>
        <row r="1504">
          <cell r="A1504">
            <v>38644</v>
          </cell>
          <cell r="B1504">
            <v>62.16</v>
          </cell>
          <cell r="C1504">
            <v>58.09</v>
          </cell>
        </row>
        <row r="1505">
          <cell r="A1505">
            <v>38645</v>
          </cell>
          <cell r="B1505">
            <v>60.43</v>
          </cell>
          <cell r="C1505">
            <v>57.08</v>
          </cell>
        </row>
        <row r="1506">
          <cell r="A1506">
            <v>38646</v>
          </cell>
          <cell r="B1506">
            <v>61.27</v>
          </cell>
          <cell r="C1506">
            <v>56.744999999999997</v>
          </cell>
        </row>
        <row r="1507">
          <cell r="A1507">
            <v>38649</v>
          </cell>
          <cell r="B1507">
            <v>60.905000000000001</v>
          </cell>
          <cell r="C1507">
            <v>57.734999999999999</v>
          </cell>
        </row>
        <row r="1508">
          <cell r="A1508">
            <v>38650</v>
          </cell>
          <cell r="B1508">
            <v>62.92</v>
          </cell>
          <cell r="C1508">
            <v>58.49</v>
          </cell>
        </row>
        <row r="1509">
          <cell r="A1509">
            <v>38651</v>
          </cell>
          <cell r="B1509">
            <v>60.77</v>
          </cell>
          <cell r="C1509">
            <v>60.11</v>
          </cell>
        </row>
        <row r="1510">
          <cell r="A1510">
            <v>38652</v>
          </cell>
          <cell r="B1510">
            <v>61.015000000000001</v>
          </cell>
          <cell r="C1510">
            <v>58.28</v>
          </cell>
        </row>
        <row r="1511">
          <cell r="A1511">
            <v>38653</v>
          </cell>
          <cell r="B1511">
            <v>61.22</v>
          </cell>
          <cell r="C1511">
            <v>59.5</v>
          </cell>
        </row>
        <row r="1512">
          <cell r="A1512">
            <v>38656</v>
          </cell>
          <cell r="B1512">
            <v>59.67</v>
          </cell>
          <cell r="C1512">
            <v>58.38</v>
          </cell>
        </row>
        <row r="1513">
          <cell r="A1513">
            <v>38657</v>
          </cell>
          <cell r="B1513">
            <v>59.87</v>
          </cell>
          <cell r="C1513">
            <v>58.674999999999997</v>
          </cell>
        </row>
        <row r="1514">
          <cell r="A1514">
            <v>38658</v>
          </cell>
          <cell r="B1514">
            <v>59.67</v>
          </cell>
          <cell r="C1514">
            <v>58.69</v>
          </cell>
        </row>
        <row r="1515">
          <cell r="A1515">
            <v>38659</v>
          </cell>
          <cell r="B1515">
            <v>61.75</v>
          </cell>
          <cell r="C1515">
            <v>59.49</v>
          </cell>
        </row>
        <row r="1516">
          <cell r="A1516">
            <v>38660</v>
          </cell>
          <cell r="B1516">
            <v>60.49</v>
          </cell>
          <cell r="C1516">
            <v>60.46</v>
          </cell>
        </row>
        <row r="1517">
          <cell r="A1517">
            <v>38663</v>
          </cell>
          <cell r="B1517">
            <v>59.37</v>
          </cell>
          <cell r="C1517">
            <v>57.97</v>
          </cell>
        </row>
        <row r="1518">
          <cell r="A1518">
            <v>38664</v>
          </cell>
          <cell r="B1518">
            <v>59.56</v>
          </cell>
          <cell r="C1518">
            <v>57.51</v>
          </cell>
        </row>
        <row r="1519">
          <cell r="A1519">
            <v>38665</v>
          </cell>
          <cell r="B1519">
            <v>58.81</v>
          </cell>
          <cell r="C1519">
            <v>56.72</v>
          </cell>
        </row>
        <row r="1520">
          <cell r="A1520">
            <v>38666</v>
          </cell>
          <cell r="B1520">
            <v>57.72</v>
          </cell>
          <cell r="C1520">
            <v>54.64</v>
          </cell>
        </row>
        <row r="1521">
          <cell r="A1521">
            <v>38667</v>
          </cell>
          <cell r="B1521">
            <v>57.64</v>
          </cell>
          <cell r="C1521">
            <v>54.25</v>
          </cell>
        </row>
        <row r="1522">
          <cell r="A1522">
            <v>38670</v>
          </cell>
          <cell r="B1522">
            <v>57.67</v>
          </cell>
          <cell r="C1522">
            <v>54.064999999999998</v>
          </cell>
        </row>
        <row r="1523">
          <cell r="A1523">
            <v>38671</v>
          </cell>
          <cell r="B1523">
            <v>57.06</v>
          </cell>
          <cell r="C1523">
            <v>54.274999999999999</v>
          </cell>
        </row>
        <row r="1524">
          <cell r="A1524">
            <v>38672</v>
          </cell>
          <cell r="B1524">
            <v>57.82</v>
          </cell>
          <cell r="C1524">
            <v>53.564999999999998</v>
          </cell>
        </row>
        <row r="1525">
          <cell r="A1525">
            <v>38673</v>
          </cell>
          <cell r="B1525">
            <v>56.35</v>
          </cell>
          <cell r="C1525">
            <v>53.58</v>
          </cell>
        </row>
        <row r="1526">
          <cell r="A1526">
            <v>38674</v>
          </cell>
          <cell r="B1526">
            <v>56.78</v>
          </cell>
          <cell r="C1526">
            <v>52.6</v>
          </cell>
        </row>
        <row r="1527">
          <cell r="A1527">
            <v>38677</v>
          </cell>
          <cell r="B1527">
            <v>57.28</v>
          </cell>
          <cell r="C1527">
            <v>53.064999999999998</v>
          </cell>
        </row>
        <row r="1528">
          <cell r="A1528">
            <v>38678</v>
          </cell>
          <cell r="B1528">
            <v>58.19</v>
          </cell>
          <cell r="C1528">
            <v>54.034999999999997</v>
          </cell>
        </row>
        <row r="1529">
          <cell r="A1529">
            <v>38679</v>
          </cell>
          <cell r="B1529">
            <v>58.51</v>
          </cell>
          <cell r="C1529">
            <v>53.744999999999997</v>
          </cell>
        </row>
        <row r="1530">
          <cell r="A1530">
            <v>38680</v>
          </cell>
          <cell r="B1530">
            <v>58.51</v>
          </cell>
          <cell r="C1530">
            <v>53.5</v>
          </cell>
        </row>
        <row r="1531">
          <cell r="A1531">
            <v>38681</v>
          </cell>
          <cell r="B1531">
            <v>58.51</v>
          </cell>
          <cell r="C1531">
            <v>53.2</v>
          </cell>
        </row>
        <row r="1532">
          <cell r="A1532">
            <v>38684</v>
          </cell>
          <cell r="B1532">
            <v>57.26</v>
          </cell>
          <cell r="C1532">
            <v>53.314999999999998</v>
          </cell>
        </row>
        <row r="1533">
          <cell r="A1533">
            <v>38685</v>
          </cell>
          <cell r="B1533">
            <v>56.22</v>
          </cell>
          <cell r="C1533">
            <v>53.505000000000003</v>
          </cell>
        </row>
        <row r="1534">
          <cell r="A1534">
            <v>38686</v>
          </cell>
          <cell r="B1534">
            <v>57.4</v>
          </cell>
          <cell r="C1534">
            <v>52.975000000000001</v>
          </cell>
        </row>
        <row r="1535">
          <cell r="A1535">
            <v>38687</v>
          </cell>
          <cell r="B1535">
            <v>58.37</v>
          </cell>
          <cell r="C1535">
            <v>53.42</v>
          </cell>
        </row>
        <row r="1536">
          <cell r="A1536">
            <v>38688</v>
          </cell>
          <cell r="B1536">
            <v>59.42</v>
          </cell>
          <cell r="C1536">
            <v>55.15</v>
          </cell>
        </row>
        <row r="1537">
          <cell r="A1537">
            <v>38691</v>
          </cell>
          <cell r="B1537">
            <v>59.75</v>
          </cell>
          <cell r="C1537">
            <v>56.02</v>
          </cell>
        </row>
        <row r="1538">
          <cell r="A1538">
            <v>38692</v>
          </cell>
          <cell r="B1538">
            <v>59.94</v>
          </cell>
          <cell r="C1538">
            <v>55.7</v>
          </cell>
        </row>
        <row r="1539">
          <cell r="A1539">
            <v>38693</v>
          </cell>
          <cell r="B1539">
            <v>59.265000000000001</v>
          </cell>
          <cell r="C1539">
            <v>55.45</v>
          </cell>
        </row>
        <row r="1540">
          <cell r="A1540">
            <v>38694</v>
          </cell>
          <cell r="B1540">
            <v>60.76</v>
          </cell>
          <cell r="C1540">
            <v>56.4</v>
          </cell>
        </row>
        <row r="1541">
          <cell r="A1541">
            <v>38695</v>
          </cell>
          <cell r="B1541">
            <v>59.64</v>
          </cell>
          <cell r="C1541">
            <v>57.365000000000002</v>
          </cell>
        </row>
        <row r="1542">
          <cell r="A1542">
            <v>38698</v>
          </cell>
          <cell r="B1542">
            <v>61.28</v>
          </cell>
          <cell r="C1542">
            <v>57.87</v>
          </cell>
        </row>
        <row r="1543">
          <cell r="A1543">
            <v>38699</v>
          </cell>
          <cell r="B1543">
            <v>61.284999999999997</v>
          </cell>
          <cell r="C1543">
            <v>58.98</v>
          </cell>
        </row>
        <row r="1544">
          <cell r="A1544">
            <v>38700</v>
          </cell>
          <cell r="B1544">
            <v>60.884999999999998</v>
          </cell>
          <cell r="C1544">
            <v>59.645000000000003</v>
          </cell>
        </row>
        <row r="1545">
          <cell r="A1545">
            <v>38701</v>
          </cell>
          <cell r="B1545">
            <v>59.96</v>
          </cell>
          <cell r="C1545">
            <v>60.04</v>
          </cell>
        </row>
        <row r="1546">
          <cell r="A1546">
            <v>38702</v>
          </cell>
          <cell r="B1546">
            <v>58.16</v>
          </cell>
          <cell r="C1546">
            <v>58.04</v>
          </cell>
        </row>
        <row r="1547">
          <cell r="A1547">
            <v>38705</v>
          </cell>
          <cell r="B1547">
            <v>57.305</v>
          </cell>
          <cell r="C1547">
            <v>55.79</v>
          </cell>
        </row>
        <row r="1548">
          <cell r="A1548">
            <v>38706</v>
          </cell>
          <cell r="B1548">
            <v>57.78</v>
          </cell>
          <cell r="C1548">
            <v>56.12</v>
          </cell>
        </row>
        <row r="1549">
          <cell r="A1549">
            <v>38707</v>
          </cell>
          <cell r="B1549">
            <v>58.41</v>
          </cell>
          <cell r="C1549">
            <v>56.13</v>
          </cell>
        </row>
        <row r="1550">
          <cell r="A1550">
            <v>38708</v>
          </cell>
          <cell r="B1550">
            <v>57.99</v>
          </cell>
          <cell r="C1550">
            <v>57.4</v>
          </cell>
        </row>
        <row r="1551">
          <cell r="A1551">
            <v>38709</v>
          </cell>
          <cell r="B1551">
            <v>58.25</v>
          </cell>
          <cell r="C1551">
            <v>56.71</v>
          </cell>
        </row>
        <row r="1552">
          <cell r="A1552">
            <v>38712</v>
          </cell>
          <cell r="B1552">
            <v>58.25</v>
          </cell>
          <cell r="C1552">
            <v>56.71</v>
          </cell>
        </row>
        <row r="1553">
          <cell r="A1553">
            <v>38713</v>
          </cell>
          <cell r="B1553">
            <v>57.975000000000001</v>
          </cell>
          <cell r="C1553">
            <v>55.844999999999999</v>
          </cell>
        </row>
        <row r="1554">
          <cell r="A1554">
            <v>38714</v>
          </cell>
          <cell r="B1554">
            <v>59.77</v>
          </cell>
          <cell r="C1554">
            <v>57.015000000000001</v>
          </cell>
        </row>
        <row r="1555">
          <cell r="A1555">
            <v>38715</v>
          </cell>
          <cell r="B1555">
            <v>60.22</v>
          </cell>
          <cell r="C1555">
            <v>57.79</v>
          </cell>
        </row>
        <row r="1556">
          <cell r="A1556">
            <v>38716</v>
          </cell>
          <cell r="B1556">
            <v>61.11</v>
          </cell>
          <cell r="C1556">
            <v>58.204999999999998</v>
          </cell>
        </row>
        <row r="1557">
          <cell r="A1557">
            <v>38719</v>
          </cell>
          <cell r="B1557">
            <v>61.11</v>
          </cell>
          <cell r="C1557">
            <v>58.204999999999998</v>
          </cell>
        </row>
        <row r="1558">
          <cell r="A1558">
            <v>38720</v>
          </cell>
          <cell r="B1558">
            <v>63.09</v>
          </cell>
          <cell r="C1558">
            <v>61.67</v>
          </cell>
        </row>
        <row r="1559">
          <cell r="A1559">
            <v>38721</v>
          </cell>
          <cell r="B1559">
            <v>63.34</v>
          </cell>
          <cell r="C1559">
            <v>61.41</v>
          </cell>
        </row>
        <row r="1560">
          <cell r="A1560">
            <v>38722</v>
          </cell>
          <cell r="B1560">
            <v>62.76</v>
          </cell>
          <cell r="C1560">
            <v>61.93</v>
          </cell>
        </row>
        <row r="1561">
          <cell r="A1561">
            <v>38723</v>
          </cell>
          <cell r="B1561">
            <v>64.209999999999994</v>
          </cell>
          <cell r="C1561">
            <v>62.63</v>
          </cell>
        </row>
        <row r="1562">
          <cell r="A1562">
            <v>38726</v>
          </cell>
          <cell r="B1562">
            <v>63.34</v>
          </cell>
          <cell r="C1562">
            <v>62.45</v>
          </cell>
        </row>
        <row r="1563">
          <cell r="A1563">
            <v>38727</v>
          </cell>
          <cell r="B1563">
            <v>63.31</v>
          </cell>
          <cell r="C1563">
            <v>62.03</v>
          </cell>
        </row>
        <row r="1564">
          <cell r="A1564">
            <v>38728</v>
          </cell>
          <cell r="B1564">
            <v>63.94</v>
          </cell>
          <cell r="C1564">
            <v>60.77</v>
          </cell>
        </row>
        <row r="1565">
          <cell r="A1565">
            <v>38729</v>
          </cell>
          <cell r="B1565">
            <v>63.93</v>
          </cell>
          <cell r="C1565">
            <v>62.97</v>
          </cell>
        </row>
        <row r="1566">
          <cell r="A1566">
            <v>38730</v>
          </cell>
          <cell r="B1566">
            <v>63.97</v>
          </cell>
          <cell r="C1566">
            <v>61.56</v>
          </cell>
        </row>
        <row r="1567">
          <cell r="A1567">
            <v>38733</v>
          </cell>
          <cell r="B1567">
            <v>63.97</v>
          </cell>
          <cell r="C1567">
            <v>62.08</v>
          </cell>
        </row>
        <row r="1568">
          <cell r="A1568">
            <v>38734</v>
          </cell>
          <cell r="B1568">
            <v>66.34</v>
          </cell>
          <cell r="C1568">
            <v>63.24</v>
          </cell>
        </row>
        <row r="1569">
          <cell r="A1569">
            <v>38735</v>
          </cell>
          <cell r="B1569">
            <v>65.709999999999994</v>
          </cell>
          <cell r="C1569">
            <v>63.56</v>
          </cell>
        </row>
        <row r="1570">
          <cell r="A1570">
            <v>38736</v>
          </cell>
          <cell r="B1570">
            <v>66.849999999999994</v>
          </cell>
          <cell r="C1570">
            <v>63.46</v>
          </cell>
        </row>
        <row r="1571">
          <cell r="A1571">
            <v>38737</v>
          </cell>
          <cell r="B1571">
            <v>68.400000000000006</v>
          </cell>
          <cell r="C1571">
            <v>65.3</v>
          </cell>
        </row>
        <row r="1572">
          <cell r="A1572">
            <v>38740</v>
          </cell>
          <cell r="B1572">
            <v>67.834999999999994</v>
          </cell>
          <cell r="C1572">
            <v>64.05</v>
          </cell>
        </row>
        <row r="1573">
          <cell r="A1573">
            <v>38741</v>
          </cell>
          <cell r="B1573">
            <v>66.680000000000007</v>
          </cell>
          <cell r="C1573">
            <v>63.92</v>
          </cell>
        </row>
        <row r="1574">
          <cell r="A1574">
            <v>38742</v>
          </cell>
          <cell r="B1574">
            <v>65.349999999999994</v>
          </cell>
          <cell r="C1574">
            <v>62.61</v>
          </cell>
        </row>
        <row r="1575">
          <cell r="A1575">
            <v>38743</v>
          </cell>
          <cell r="B1575">
            <v>66.36</v>
          </cell>
          <cell r="C1575">
            <v>63.484999999999999</v>
          </cell>
        </row>
        <row r="1576">
          <cell r="A1576">
            <v>38744</v>
          </cell>
          <cell r="B1576">
            <v>67.784999999999997</v>
          </cell>
          <cell r="C1576">
            <v>64.8</v>
          </cell>
        </row>
        <row r="1577">
          <cell r="A1577">
            <v>38747</v>
          </cell>
          <cell r="B1577">
            <v>68.33</v>
          </cell>
          <cell r="C1577">
            <v>65.040000000000006</v>
          </cell>
        </row>
        <row r="1578">
          <cell r="A1578">
            <v>38748</v>
          </cell>
          <cell r="B1578">
            <v>67.760000000000005</v>
          </cell>
          <cell r="C1578">
            <v>65.040000000000006</v>
          </cell>
        </row>
        <row r="1579">
          <cell r="A1579">
            <v>38749</v>
          </cell>
          <cell r="B1579">
            <v>66.23</v>
          </cell>
          <cell r="C1579">
            <v>65.61</v>
          </cell>
        </row>
        <row r="1580">
          <cell r="A1580">
            <v>38750</v>
          </cell>
          <cell r="B1580">
            <v>64.66</v>
          </cell>
          <cell r="C1580">
            <v>62.99</v>
          </cell>
        </row>
        <row r="1581">
          <cell r="A1581">
            <v>38751</v>
          </cell>
          <cell r="B1581">
            <v>65.349999999999994</v>
          </cell>
          <cell r="C1581">
            <v>62.19</v>
          </cell>
        </row>
        <row r="1582">
          <cell r="A1582">
            <v>38754</v>
          </cell>
          <cell r="B1582">
            <v>65.03</v>
          </cell>
          <cell r="C1582">
            <v>63.25</v>
          </cell>
        </row>
        <row r="1583">
          <cell r="A1583">
            <v>38755</v>
          </cell>
          <cell r="B1583">
            <v>62.89</v>
          </cell>
          <cell r="C1583">
            <v>61.37</v>
          </cell>
        </row>
        <row r="1584">
          <cell r="A1584">
            <v>38756</v>
          </cell>
          <cell r="B1584">
            <v>62.55</v>
          </cell>
          <cell r="C1584">
            <v>60.505000000000003</v>
          </cell>
        </row>
        <row r="1585">
          <cell r="A1585">
            <v>38757</v>
          </cell>
          <cell r="B1585">
            <v>62.66</v>
          </cell>
          <cell r="C1585">
            <v>60.755000000000003</v>
          </cell>
        </row>
        <row r="1586">
          <cell r="A1586">
            <v>38758</v>
          </cell>
          <cell r="B1586">
            <v>61.93</v>
          </cell>
          <cell r="C1586">
            <v>59.81</v>
          </cell>
        </row>
        <row r="1587">
          <cell r="A1587">
            <v>38761</v>
          </cell>
          <cell r="B1587">
            <v>61.09</v>
          </cell>
          <cell r="C1587">
            <v>58.984999999999999</v>
          </cell>
        </row>
        <row r="1588">
          <cell r="A1588">
            <v>38762</v>
          </cell>
          <cell r="B1588">
            <v>59.49</v>
          </cell>
          <cell r="C1588">
            <v>58.16</v>
          </cell>
        </row>
        <row r="1589">
          <cell r="A1589">
            <v>38763</v>
          </cell>
          <cell r="B1589">
            <v>57.59</v>
          </cell>
          <cell r="C1589">
            <v>57.62</v>
          </cell>
        </row>
        <row r="1590">
          <cell r="A1590">
            <v>38764</v>
          </cell>
          <cell r="B1590">
            <v>58.71</v>
          </cell>
          <cell r="C1590">
            <v>56.85</v>
          </cell>
        </row>
        <row r="1591">
          <cell r="A1591">
            <v>38765</v>
          </cell>
          <cell r="B1591">
            <v>59.88</v>
          </cell>
          <cell r="C1591">
            <v>58.12</v>
          </cell>
        </row>
        <row r="1592">
          <cell r="A1592">
            <v>38768</v>
          </cell>
          <cell r="B1592">
            <v>59.88</v>
          </cell>
          <cell r="C1592">
            <v>59.805</v>
          </cell>
        </row>
        <row r="1593">
          <cell r="A1593">
            <v>38769</v>
          </cell>
          <cell r="B1593">
            <v>60.725000000000001</v>
          </cell>
          <cell r="C1593">
            <v>59.31</v>
          </cell>
        </row>
        <row r="1594">
          <cell r="A1594">
            <v>38770</v>
          </cell>
          <cell r="B1594">
            <v>58.06</v>
          </cell>
          <cell r="C1594">
            <v>58.725000000000001</v>
          </cell>
        </row>
        <row r="1595">
          <cell r="A1595">
            <v>38771</v>
          </cell>
          <cell r="B1595">
            <v>58.18</v>
          </cell>
          <cell r="C1595">
            <v>58.84</v>
          </cell>
        </row>
        <row r="1596">
          <cell r="A1596">
            <v>38772</v>
          </cell>
          <cell r="B1596">
            <v>62.38</v>
          </cell>
          <cell r="C1596">
            <v>60.284999999999997</v>
          </cell>
        </row>
        <row r="1597">
          <cell r="A1597">
            <v>38775</v>
          </cell>
          <cell r="B1597">
            <v>60.8</v>
          </cell>
          <cell r="C1597">
            <v>59.354999999999997</v>
          </cell>
        </row>
        <row r="1598">
          <cell r="A1598">
            <v>38776</v>
          </cell>
          <cell r="B1598">
            <v>61.64</v>
          </cell>
          <cell r="C1598">
            <v>59.83</v>
          </cell>
        </row>
        <row r="1599">
          <cell r="A1599">
            <v>38777</v>
          </cell>
          <cell r="B1599">
            <v>61.86</v>
          </cell>
          <cell r="C1599">
            <v>60.725000000000001</v>
          </cell>
        </row>
        <row r="1600">
          <cell r="A1600">
            <v>38778</v>
          </cell>
          <cell r="B1600">
            <v>63.5</v>
          </cell>
          <cell r="C1600">
            <v>62.29</v>
          </cell>
        </row>
        <row r="1601">
          <cell r="A1601">
            <v>38779</v>
          </cell>
          <cell r="B1601">
            <v>63.484999999999999</v>
          </cell>
          <cell r="C1601">
            <v>62.44</v>
          </cell>
        </row>
        <row r="1602">
          <cell r="A1602">
            <v>38782</v>
          </cell>
          <cell r="B1602">
            <v>62.22</v>
          </cell>
          <cell r="C1602">
            <v>61.215000000000003</v>
          </cell>
        </row>
        <row r="1603">
          <cell r="A1603">
            <v>38783</v>
          </cell>
          <cell r="B1603">
            <v>61.484999999999999</v>
          </cell>
          <cell r="C1603">
            <v>60.06</v>
          </cell>
        </row>
        <row r="1604">
          <cell r="A1604">
            <v>38784</v>
          </cell>
          <cell r="B1604">
            <v>59.935000000000002</v>
          </cell>
          <cell r="C1604">
            <v>58.505000000000003</v>
          </cell>
        </row>
        <row r="1605">
          <cell r="A1605">
            <v>38785</v>
          </cell>
          <cell r="B1605">
            <v>60.5</v>
          </cell>
          <cell r="C1605">
            <v>59.134999999999998</v>
          </cell>
        </row>
        <row r="1606">
          <cell r="A1606">
            <v>38786</v>
          </cell>
          <cell r="B1606">
            <v>59.98</v>
          </cell>
          <cell r="C1606">
            <v>59.66</v>
          </cell>
        </row>
        <row r="1607">
          <cell r="A1607">
            <v>38789</v>
          </cell>
          <cell r="B1607">
            <v>61.774999999999999</v>
          </cell>
          <cell r="C1607">
            <v>60.88</v>
          </cell>
        </row>
        <row r="1608">
          <cell r="A1608">
            <v>38790</v>
          </cell>
          <cell r="B1608">
            <v>62.87</v>
          </cell>
          <cell r="C1608">
            <v>62.37</v>
          </cell>
        </row>
        <row r="1609">
          <cell r="A1609">
            <v>38791</v>
          </cell>
          <cell r="B1609">
            <v>61.94</v>
          </cell>
          <cell r="C1609">
            <v>63.384999999999998</v>
          </cell>
        </row>
        <row r="1610">
          <cell r="A1610">
            <v>38792</v>
          </cell>
          <cell r="B1610">
            <v>63.34</v>
          </cell>
          <cell r="C1610">
            <v>61.884999999999998</v>
          </cell>
        </row>
        <row r="1611">
          <cell r="A1611">
            <v>38793</v>
          </cell>
          <cell r="B1611">
            <v>62.92</v>
          </cell>
          <cell r="C1611">
            <v>63.24</v>
          </cell>
        </row>
        <row r="1612">
          <cell r="A1612">
            <v>38796</v>
          </cell>
          <cell r="B1612">
            <v>60.42</v>
          </cell>
          <cell r="C1612">
            <v>61.494999999999997</v>
          </cell>
        </row>
        <row r="1613">
          <cell r="A1613">
            <v>38797</v>
          </cell>
          <cell r="B1613">
            <v>60.22</v>
          </cell>
          <cell r="C1613">
            <v>60.1</v>
          </cell>
        </row>
        <row r="1614">
          <cell r="A1614">
            <v>38798</v>
          </cell>
          <cell r="B1614">
            <v>61.024999999999999</v>
          </cell>
          <cell r="C1614">
            <v>61.4</v>
          </cell>
        </row>
        <row r="1615">
          <cell r="A1615">
            <v>38799</v>
          </cell>
          <cell r="B1615">
            <v>63.34</v>
          </cell>
          <cell r="C1615">
            <v>61.825000000000003</v>
          </cell>
        </row>
        <row r="1616">
          <cell r="A1616">
            <v>38800</v>
          </cell>
          <cell r="B1616">
            <v>64.105000000000004</v>
          </cell>
          <cell r="C1616">
            <v>62.73</v>
          </cell>
        </row>
        <row r="1617">
          <cell r="A1617">
            <v>38803</v>
          </cell>
          <cell r="B1617">
            <v>64.19</v>
          </cell>
          <cell r="C1617">
            <v>62.86</v>
          </cell>
        </row>
        <row r="1618">
          <cell r="A1618">
            <v>38804</v>
          </cell>
          <cell r="B1618">
            <v>66.02</v>
          </cell>
          <cell r="C1618">
            <v>64.66</v>
          </cell>
        </row>
        <row r="1619">
          <cell r="A1619">
            <v>38805</v>
          </cell>
          <cell r="B1619">
            <v>66.44</v>
          </cell>
          <cell r="C1619">
            <v>64.954999999999998</v>
          </cell>
        </row>
        <row r="1620">
          <cell r="A1620">
            <v>38806</v>
          </cell>
          <cell r="B1620">
            <v>67.05</v>
          </cell>
          <cell r="C1620">
            <v>66</v>
          </cell>
        </row>
        <row r="1621">
          <cell r="A1621">
            <v>38807</v>
          </cell>
          <cell r="B1621">
            <v>66.33</v>
          </cell>
          <cell r="C1621">
            <v>66.05</v>
          </cell>
        </row>
        <row r="1622">
          <cell r="A1622">
            <v>38810</v>
          </cell>
          <cell r="B1622">
            <v>66.489999999999995</v>
          </cell>
          <cell r="C1622">
            <v>67.58</v>
          </cell>
        </row>
        <row r="1623">
          <cell r="A1623">
            <v>38811</v>
          </cell>
          <cell r="B1623">
            <v>66.144999999999996</v>
          </cell>
          <cell r="C1623">
            <v>66.11</v>
          </cell>
        </row>
        <row r="1624">
          <cell r="A1624">
            <v>38812</v>
          </cell>
          <cell r="B1624">
            <v>67.11</v>
          </cell>
          <cell r="C1624">
            <v>66.819999999999993</v>
          </cell>
        </row>
        <row r="1625">
          <cell r="A1625">
            <v>38813</v>
          </cell>
          <cell r="B1625">
            <v>67.64</v>
          </cell>
          <cell r="C1625">
            <v>67.459999999999994</v>
          </cell>
        </row>
        <row r="1626">
          <cell r="A1626">
            <v>38814</v>
          </cell>
          <cell r="B1626">
            <v>67.349999999999994</v>
          </cell>
          <cell r="C1626">
            <v>67</v>
          </cell>
        </row>
        <row r="1627">
          <cell r="A1627">
            <v>38817</v>
          </cell>
          <cell r="B1627">
            <v>68.62</v>
          </cell>
          <cell r="C1627">
            <v>68.38</v>
          </cell>
        </row>
        <row r="1628">
          <cell r="A1628">
            <v>38818</v>
          </cell>
          <cell r="B1628">
            <v>68.900000000000006</v>
          </cell>
          <cell r="C1628">
            <v>68.34</v>
          </cell>
        </row>
        <row r="1629">
          <cell r="A1629">
            <v>38819</v>
          </cell>
          <cell r="B1629">
            <v>68.52</v>
          </cell>
          <cell r="C1629">
            <v>69.53</v>
          </cell>
        </row>
        <row r="1630">
          <cell r="A1630">
            <v>38820</v>
          </cell>
          <cell r="B1630">
            <v>69.72</v>
          </cell>
          <cell r="C1630">
            <v>69.38</v>
          </cell>
        </row>
        <row r="1631">
          <cell r="A1631">
            <v>38821</v>
          </cell>
          <cell r="B1631">
            <v>69.72</v>
          </cell>
          <cell r="C1631">
            <v>69.38</v>
          </cell>
        </row>
        <row r="1632">
          <cell r="A1632">
            <v>38824</v>
          </cell>
          <cell r="B1632">
            <v>70.23</v>
          </cell>
          <cell r="C1632">
            <v>70.474999999999994</v>
          </cell>
        </row>
        <row r="1633">
          <cell r="A1633">
            <v>38825</v>
          </cell>
          <cell r="B1633">
            <v>71.245000000000005</v>
          </cell>
          <cell r="C1633">
            <v>71.36</v>
          </cell>
        </row>
        <row r="1634">
          <cell r="A1634">
            <v>38826</v>
          </cell>
          <cell r="B1634">
            <v>72.03</v>
          </cell>
          <cell r="C1634">
            <v>72.75</v>
          </cell>
        </row>
        <row r="1635">
          <cell r="A1635">
            <v>38827</v>
          </cell>
          <cell r="B1635">
            <v>71.599999999999994</v>
          </cell>
          <cell r="C1635">
            <v>73.12</v>
          </cell>
        </row>
        <row r="1636">
          <cell r="A1636">
            <v>38828</v>
          </cell>
          <cell r="B1636">
            <v>73.67</v>
          </cell>
          <cell r="C1636">
            <v>74.010000000000005</v>
          </cell>
        </row>
        <row r="1637">
          <cell r="A1637">
            <v>38831</v>
          </cell>
          <cell r="B1637">
            <v>69.125</v>
          </cell>
          <cell r="C1637">
            <v>74.114999999999995</v>
          </cell>
        </row>
        <row r="1638">
          <cell r="A1638">
            <v>38832</v>
          </cell>
          <cell r="B1638">
            <v>66.834999999999994</v>
          </cell>
          <cell r="C1638">
            <v>72.784999999999997</v>
          </cell>
        </row>
        <row r="1639">
          <cell r="A1639">
            <v>38833</v>
          </cell>
          <cell r="B1639">
            <v>71.849999999999994</v>
          </cell>
          <cell r="C1639">
            <v>73.55</v>
          </cell>
        </row>
        <row r="1640">
          <cell r="A1640">
            <v>38834</v>
          </cell>
          <cell r="B1640">
            <v>70.87</v>
          </cell>
          <cell r="C1640">
            <v>71.66</v>
          </cell>
        </row>
        <row r="1641">
          <cell r="A1641">
            <v>38835</v>
          </cell>
          <cell r="B1641">
            <v>71.83</v>
          </cell>
          <cell r="C1641">
            <v>72.14</v>
          </cell>
        </row>
        <row r="1642">
          <cell r="A1642">
            <v>38838</v>
          </cell>
          <cell r="B1642">
            <v>73.709999999999994</v>
          </cell>
          <cell r="C1642">
            <v>73.459999999999994</v>
          </cell>
        </row>
        <row r="1643">
          <cell r="A1643">
            <v>38839</v>
          </cell>
          <cell r="B1643">
            <v>74.555000000000007</v>
          </cell>
          <cell r="C1643">
            <v>74.444999999999993</v>
          </cell>
        </row>
        <row r="1644">
          <cell r="A1644">
            <v>38840</v>
          </cell>
          <cell r="B1644">
            <v>72.11</v>
          </cell>
          <cell r="C1644">
            <v>73.55</v>
          </cell>
        </row>
        <row r="1645">
          <cell r="A1645">
            <v>38841</v>
          </cell>
          <cell r="B1645">
            <v>70.19</v>
          </cell>
          <cell r="C1645">
            <v>71.555000000000007</v>
          </cell>
        </row>
        <row r="1646">
          <cell r="A1646">
            <v>38842</v>
          </cell>
          <cell r="B1646">
            <v>70.19</v>
          </cell>
          <cell r="C1646">
            <v>70.8</v>
          </cell>
        </row>
        <row r="1647">
          <cell r="A1647">
            <v>38845</v>
          </cell>
          <cell r="B1647">
            <v>69.739999999999995</v>
          </cell>
          <cell r="C1647">
            <v>68.39</v>
          </cell>
        </row>
        <row r="1648">
          <cell r="A1648">
            <v>38846</v>
          </cell>
          <cell r="B1648">
            <v>70.55</v>
          </cell>
          <cell r="C1648">
            <v>70.400000000000006</v>
          </cell>
        </row>
        <row r="1649">
          <cell r="A1649">
            <v>38847</v>
          </cell>
          <cell r="B1649">
            <v>72.055000000000007</v>
          </cell>
          <cell r="C1649">
            <v>69.894999999999996</v>
          </cell>
        </row>
        <row r="1650">
          <cell r="A1650">
            <v>38848</v>
          </cell>
          <cell r="B1650">
            <v>73.034999999999997</v>
          </cell>
          <cell r="C1650">
            <v>72.05</v>
          </cell>
        </row>
        <row r="1651">
          <cell r="A1651">
            <v>38849</v>
          </cell>
          <cell r="B1651">
            <v>71.89</v>
          </cell>
          <cell r="C1651">
            <v>71.545000000000002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2."/>
      <sheetName val="Lámina 7"/>
      <sheetName val="inventory gaps"/>
      <sheetName val="WTI"/>
      <sheetName val="Gráfico 1. Evolución precios"/>
      <sheetName val="Precios y Tipos de cambio"/>
      <sheetName val="Posiciones Especulativas"/>
      <sheetName val="Irán"/>
      <sheetName val="Demanda según productos"/>
      <sheetName val="Demanda según productos (2)"/>
      <sheetName val="Balance mes OCT vs. AGO"/>
      <sheetName val="Balance mes OCT vs. AGO (2)"/>
      <sheetName val="Global demand"/>
      <sheetName val="Non-OPEP supply"/>
      <sheetName val="OECD demand"/>
      <sheetName val="Non OECD demand"/>
      <sheetName val="Temporada de huracanes C. Atlán"/>
      <sheetName val="Temporada de huracanes C. A (2)"/>
      <sheetName val="Entrada de crudos ligeros"/>
      <sheetName val="Expectativas de crecimiento USA"/>
      <sheetName val="Consensus del petróleo"/>
      <sheetName val="Consensus del Gas"/>
      <sheetName val="Entrada de Crudo no OPEP"/>
      <sheetName val="Nigeria"/>
    </sheetNames>
    <sheetDataSet>
      <sheetData sheetId="0"/>
      <sheetData sheetId="1"/>
      <sheetData sheetId="2">
        <row r="2">
          <cell r="A2" t="str">
            <v>fecha</v>
          </cell>
        </row>
        <row r="3">
          <cell r="A3">
            <v>36161</v>
          </cell>
        </row>
        <row r="4">
          <cell r="A4">
            <v>36168</v>
          </cell>
        </row>
        <row r="5">
          <cell r="A5">
            <v>36175</v>
          </cell>
        </row>
        <row r="6">
          <cell r="A6">
            <v>36182</v>
          </cell>
        </row>
        <row r="7">
          <cell r="A7">
            <v>36189</v>
          </cell>
        </row>
        <row r="8">
          <cell r="A8">
            <v>36196</v>
          </cell>
        </row>
        <row r="9">
          <cell r="A9">
            <v>36203</v>
          </cell>
        </row>
        <row r="10">
          <cell r="A10">
            <v>36210</v>
          </cell>
        </row>
        <row r="11">
          <cell r="A11">
            <v>36217</v>
          </cell>
        </row>
        <row r="12">
          <cell r="A12">
            <v>36224</v>
          </cell>
        </row>
        <row r="13">
          <cell r="A13">
            <v>36231</v>
          </cell>
        </row>
        <row r="14">
          <cell r="A14">
            <v>36238</v>
          </cell>
        </row>
        <row r="15">
          <cell r="A15">
            <v>36245</v>
          </cell>
        </row>
        <row r="16">
          <cell r="A16">
            <v>36252</v>
          </cell>
        </row>
        <row r="17">
          <cell r="A17">
            <v>36259</v>
          </cell>
        </row>
        <row r="18">
          <cell r="A18">
            <v>36266</v>
          </cell>
        </row>
        <row r="19">
          <cell r="A19">
            <v>36273</v>
          </cell>
        </row>
        <row r="20">
          <cell r="A20">
            <v>36280</v>
          </cell>
        </row>
        <row r="21">
          <cell r="A21">
            <v>36287</v>
          </cell>
        </row>
        <row r="22">
          <cell r="A22">
            <v>36294</v>
          </cell>
        </row>
        <row r="23">
          <cell r="A23">
            <v>36301</v>
          </cell>
        </row>
        <row r="24">
          <cell r="A24">
            <v>36308</v>
          </cell>
        </row>
        <row r="25">
          <cell r="A25">
            <v>36315</v>
          </cell>
        </row>
        <row r="26">
          <cell r="A26">
            <v>36322</v>
          </cell>
        </row>
        <row r="27">
          <cell r="A27">
            <v>36329</v>
          </cell>
        </row>
        <row r="28">
          <cell r="A28">
            <v>36336</v>
          </cell>
        </row>
        <row r="29">
          <cell r="A29">
            <v>36343</v>
          </cell>
        </row>
        <row r="30">
          <cell r="A30">
            <v>36350</v>
          </cell>
        </row>
        <row r="31">
          <cell r="A31">
            <v>36357</v>
          </cell>
        </row>
        <row r="32">
          <cell r="A32">
            <v>36364</v>
          </cell>
        </row>
        <row r="33">
          <cell r="A33">
            <v>36371</v>
          </cell>
        </row>
        <row r="34">
          <cell r="A34">
            <v>36378</v>
          </cell>
        </row>
        <row r="35">
          <cell r="A35">
            <v>36385</v>
          </cell>
        </row>
        <row r="36">
          <cell r="A36">
            <v>36392</v>
          </cell>
        </row>
        <row r="37">
          <cell r="A37">
            <v>36399</v>
          </cell>
        </row>
        <row r="38">
          <cell r="A38">
            <v>36406</v>
          </cell>
        </row>
        <row r="39">
          <cell r="A39">
            <v>36413</v>
          </cell>
        </row>
        <row r="40">
          <cell r="A40">
            <v>36420</v>
          </cell>
        </row>
        <row r="41">
          <cell r="A41">
            <v>36427</v>
          </cell>
        </row>
        <row r="42">
          <cell r="A42">
            <v>36434</v>
          </cell>
        </row>
        <row r="43">
          <cell r="A43">
            <v>36441</v>
          </cell>
        </row>
        <row r="44">
          <cell r="A44">
            <v>36448</v>
          </cell>
        </row>
        <row r="45">
          <cell r="A45">
            <v>36455</v>
          </cell>
        </row>
        <row r="46">
          <cell r="A46">
            <v>36462</v>
          </cell>
        </row>
        <row r="47">
          <cell r="A47">
            <v>36469</v>
          </cell>
        </row>
        <row r="48">
          <cell r="A48">
            <v>36476</v>
          </cell>
        </row>
        <row r="49">
          <cell r="A49">
            <v>36483</v>
          </cell>
        </row>
        <row r="50">
          <cell r="A50">
            <v>36490</v>
          </cell>
        </row>
        <row r="51">
          <cell r="A51">
            <v>36497</v>
          </cell>
        </row>
        <row r="52">
          <cell r="A52">
            <v>36504</v>
          </cell>
        </row>
        <row r="53">
          <cell r="A53">
            <v>36511</v>
          </cell>
        </row>
        <row r="54">
          <cell r="A54">
            <v>36518</v>
          </cell>
        </row>
        <row r="55">
          <cell r="A55">
            <v>36525</v>
          </cell>
        </row>
        <row r="56">
          <cell r="A56">
            <v>36532</v>
          </cell>
        </row>
        <row r="57">
          <cell r="A57">
            <v>36539</v>
          </cell>
        </row>
        <row r="58">
          <cell r="A58">
            <v>36546</v>
          </cell>
        </row>
        <row r="59">
          <cell r="A59">
            <v>36553</v>
          </cell>
        </row>
        <row r="60">
          <cell r="A60">
            <v>36560</v>
          </cell>
        </row>
        <row r="61">
          <cell r="A61">
            <v>36567</v>
          </cell>
        </row>
        <row r="62">
          <cell r="A62">
            <v>36574</v>
          </cell>
        </row>
        <row r="63">
          <cell r="A63">
            <v>36581</v>
          </cell>
        </row>
        <row r="64">
          <cell r="A64">
            <v>36588</v>
          </cell>
        </row>
        <row r="65">
          <cell r="A65">
            <v>36595</v>
          </cell>
        </row>
        <row r="66">
          <cell r="A66">
            <v>36602</v>
          </cell>
        </row>
        <row r="67">
          <cell r="A67">
            <v>36609</v>
          </cell>
        </row>
        <row r="68">
          <cell r="A68">
            <v>36616</v>
          </cell>
        </row>
        <row r="69">
          <cell r="A69">
            <v>36623</v>
          </cell>
        </row>
        <row r="70">
          <cell r="A70">
            <v>36630</v>
          </cell>
        </row>
        <row r="71">
          <cell r="A71">
            <v>36637</v>
          </cell>
        </row>
        <row r="72">
          <cell r="A72">
            <v>36644</v>
          </cell>
        </row>
        <row r="73">
          <cell r="A73">
            <v>36651</v>
          </cell>
        </row>
        <row r="74">
          <cell r="A74">
            <v>36658</v>
          </cell>
        </row>
        <row r="75">
          <cell r="A75">
            <v>36665</v>
          </cell>
        </row>
        <row r="76">
          <cell r="A76">
            <v>36672</v>
          </cell>
        </row>
        <row r="77">
          <cell r="A77">
            <v>36679</v>
          </cell>
        </row>
        <row r="78">
          <cell r="A78">
            <v>36686</v>
          </cell>
        </row>
        <row r="79">
          <cell r="A79">
            <v>36693</v>
          </cell>
        </row>
        <row r="80">
          <cell r="A80">
            <v>36700</v>
          </cell>
        </row>
        <row r="81">
          <cell r="A81">
            <v>36707</v>
          </cell>
        </row>
        <row r="82">
          <cell r="A82">
            <v>36714</v>
          </cell>
        </row>
        <row r="83">
          <cell r="A83">
            <v>36721</v>
          </cell>
        </row>
        <row r="84">
          <cell r="A84">
            <v>36728</v>
          </cell>
        </row>
        <row r="85">
          <cell r="A85">
            <v>36735</v>
          </cell>
        </row>
        <row r="86">
          <cell r="A86">
            <v>36742</v>
          </cell>
        </row>
        <row r="87">
          <cell r="A87">
            <v>36749</v>
          </cell>
        </row>
        <row r="88">
          <cell r="A88">
            <v>36756</v>
          </cell>
        </row>
        <row r="89">
          <cell r="A89">
            <v>36763</v>
          </cell>
        </row>
        <row r="90">
          <cell r="A90">
            <v>36770</v>
          </cell>
        </row>
        <row r="91">
          <cell r="A91">
            <v>36777</v>
          </cell>
        </row>
        <row r="92">
          <cell r="A92">
            <v>36784</v>
          </cell>
        </row>
        <row r="93">
          <cell r="A93">
            <v>36791</v>
          </cell>
        </row>
        <row r="94">
          <cell r="A94">
            <v>36798</v>
          </cell>
        </row>
        <row r="95">
          <cell r="A95">
            <v>36805</v>
          </cell>
        </row>
        <row r="96">
          <cell r="A96">
            <v>36812</v>
          </cell>
        </row>
        <row r="97">
          <cell r="A97">
            <v>36819</v>
          </cell>
        </row>
        <row r="98">
          <cell r="A98">
            <v>36826</v>
          </cell>
        </row>
        <row r="99">
          <cell r="A99">
            <v>36833</v>
          </cell>
        </row>
        <row r="100">
          <cell r="A100">
            <v>36840</v>
          </cell>
        </row>
        <row r="101">
          <cell r="A101">
            <v>36847</v>
          </cell>
        </row>
        <row r="102">
          <cell r="A102">
            <v>36854</v>
          </cell>
        </row>
        <row r="103">
          <cell r="A103">
            <v>36861</v>
          </cell>
        </row>
        <row r="104">
          <cell r="A104">
            <v>36868</v>
          </cell>
        </row>
        <row r="105">
          <cell r="A105">
            <v>36875</v>
          </cell>
        </row>
        <row r="106">
          <cell r="A106">
            <v>36882</v>
          </cell>
        </row>
        <row r="107">
          <cell r="A107">
            <v>36889</v>
          </cell>
        </row>
        <row r="108">
          <cell r="A108">
            <v>36896</v>
          </cell>
        </row>
        <row r="109">
          <cell r="A109">
            <v>36903</v>
          </cell>
        </row>
        <row r="110">
          <cell r="A110">
            <v>36910</v>
          </cell>
        </row>
        <row r="111">
          <cell r="A111">
            <v>36917</v>
          </cell>
        </row>
        <row r="112">
          <cell r="A112">
            <v>36924</v>
          </cell>
        </row>
        <row r="113">
          <cell r="A113">
            <v>36931</v>
          </cell>
        </row>
        <row r="114">
          <cell r="A114">
            <v>36938</v>
          </cell>
        </row>
        <row r="115">
          <cell r="A115">
            <v>36945</v>
          </cell>
        </row>
        <row r="116">
          <cell r="A116">
            <v>36952</v>
          </cell>
        </row>
        <row r="117">
          <cell r="A117">
            <v>36959</v>
          </cell>
        </row>
        <row r="118">
          <cell r="A118">
            <v>36966</v>
          </cell>
        </row>
        <row r="119">
          <cell r="A119">
            <v>36973</v>
          </cell>
        </row>
        <row r="120">
          <cell r="A120">
            <v>36980</v>
          </cell>
        </row>
        <row r="121">
          <cell r="A121">
            <v>36987</v>
          </cell>
        </row>
        <row r="122">
          <cell r="A122">
            <v>36994</v>
          </cell>
        </row>
        <row r="123">
          <cell r="A123">
            <v>37001</v>
          </cell>
        </row>
        <row r="124">
          <cell r="A124">
            <v>37008</v>
          </cell>
        </row>
        <row r="125">
          <cell r="A125">
            <v>37015</v>
          </cell>
        </row>
        <row r="126">
          <cell r="A126">
            <v>37022</v>
          </cell>
        </row>
        <row r="127">
          <cell r="A127">
            <v>37029</v>
          </cell>
        </row>
        <row r="128">
          <cell r="A128">
            <v>37036</v>
          </cell>
        </row>
        <row r="129">
          <cell r="A129">
            <v>37043</v>
          </cell>
        </row>
        <row r="130">
          <cell r="A130">
            <v>37050</v>
          </cell>
        </row>
        <row r="131">
          <cell r="A131">
            <v>37057</v>
          </cell>
        </row>
        <row r="132">
          <cell r="A132">
            <v>37064</v>
          </cell>
        </row>
        <row r="133">
          <cell r="A133">
            <v>37071</v>
          </cell>
        </row>
        <row r="134">
          <cell r="A134">
            <v>37078</v>
          </cell>
        </row>
        <row r="135">
          <cell r="A135">
            <v>37085</v>
          </cell>
        </row>
        <row r="136">
          <cell r="A136">
            <v>37092</v>
          </cell>
        </row>
        <row r="137">
          <cell r="A137">
            <v>37099</v>
          </cell>
        </row>
        <row r="138">
          <cell r="A138">
            <v>37106</v>
          </cell>
        </row>
        <row r="139">
          <cell r="A139">
            <v>37113</v>
          </cell>
        </row>
        <row r="140">
          <cell r="A140">
            <v>37120</v>
          </cell>
        </row>
        <row r="141">
          <cell r="A141">
            <v>37127</v>
          </cell>
        </row>
        <row r="142">
          <cell r="A142">
            <v>37134</v>
          </cell>
        </row>
        <row r="143">
          <cell r="A143">
            <v>37141</v>
          </cell>
        </row>
        <row r="144">
          <cell r="A144">
            <v>37148</v>
          </cell>
        </row>
        <row r="145">
          <cell r="A145">
            <v>37155</v>
          </cell>
        </row>
        <row r="146">
          <cell r="A146">
            <v>37162</v>
          </cell>
        </row>
        <row r="147">
          <cell r="A147">
            <v>37169</v>
          </cell>
        </row>
        <row r="148">
          <cell r="A148">
            <v>37176</v>
          </cell>
        </row>
        <row r="149">
          <cell r="A149">
            <v>37183</v>
          </cell>
        </row>
        <row r="150">
          <cell r="A150">
            <v>37190</v>
          </cell>
        </row>
        <row r="151">
          <cell r="A151">
            <v>37197</v>
          </cell>
        </row>
        <row r="152">
          <cell r="A152">
            <v>37204</v>
          </cell>
        </row>
        <row r="153">
          <cell r="A153">
            <v>37211</v>
          </cell>
        </row>
        <row r="154">
          <cell r="A154">
            <v>37218</v>
          </cell>
        </row>
        <row r="155">
          <cell r="A155">
            <v>37225</v>
          </cell>
        </row>
        <row r="156">
          <cell r="A156">
            <v>37232</v>
          </cell>
        </row>
        <row r="157">
          <cell r="A157">
            <v>37239</v>
          </cell>
        </row>
        <row r="158">
          <cell r="A158">
            <v>37246</v>
          </cell>
        </row>
        <row r="159">
          <cell r="A159">
            <v>37253</v>
          </cell>
        </row>
        <row r="160">
          <cell r="A160">
            <v>37260</v>
          </cell>
        </row>
        <row r="161">
          <cell r="A161">
            <v>37267</v>
          </cell>
        </row>
        <row r="162">
          <cell r="A162">
            <v>37274</v>
          </cell>
        </row>
        <row r="163">
          <cell r="A163">
            <v>37281</v>
          </cell>
        </row>
        <row r="164">
          <cell r="A164">
            <v>37288</v>
          </cell>
        </row>
        <row r="165">
          <cell r="A165">
            <v>37295</v>
          </cell>
        </row>
        <row r="166">
          <cell r="A166">
            <v>37302</v>
          </cell>
        </row>
        <row r="167">
          <cell r="A167">
            <v>37309</v>
          </cell>
        </row>
        <row r="168">
          <cell r="A168">
            <v>37316</v>
          </cell>
        </row>
        <row r="169">
          <cell r="A169">
            <v>37323</v>
          </cell>
        </row>
        <row r="170">
          <cell r="A170">
            <v>37330</v>
          </cell>
        </row>
        <row r="171">
          <cell r="A171">
            <v>37337</v>
          </cell>
        </row>
        <row r="172">
          <cell r="A172">
            <v>37344</v>
          </cell>
        </row>
        <row r="173">
          <cell r="A173">
            <v>37351</v>
          </cell>
        </row>
        <row r="174">
          <cell r="A174">
            <v>37358</v>
          </cell>
        </row>
        <row r="175">
          <cell r="A175">
            <v>37365</v>
          </cell>
        </row>
        <row r="176">
          <cell r="A176">
            <v>37372</v>
          </cell>
        </row>
        <row r="177">
          <cell r="A177">
            <v>37379</v>
          </cell>
        </row>
        <row r="178">
          <cell r="A178">
            <v>37386</v>
          </cell>
        </row>
        <row r="179">
          <cell r="A179">
            <v>37393</v>
          </cell>
        </row>
        <row r="180">
          <cell r="A180">
            <v>37400</v>
          </cell>
        </row>
        <row r="181">
          <cell r="A181">
            <v>37407</v>
          </cell>
        </row>
        <row r="182">
          <cell r="A182">
            <v>37414</v>
          </cell>
        </row>
        <row r="183">
          <cell r="A183">
            <v>37421</v>
          </cell>
        </row>
        <row r="184">
          <cell r="A184">
            <v>37428</v>
          </cell>
        </row>
        <row r="185">
          <cell r="A185">
            <v>37435</v>
          </cell>
        </row>
        <row r="186">
          <cell r="A186">
            <v>37442</v>
          </cell>
        </row>
        <row r="187">
          <cell r="A187">
            <v>37449</v>
          </cell>
        </row>
        <row r="188">
          <cell r="A188">
            <v>37456</v>
          </cell>
        </row>
        <row r="189">
          <cell r="A189">
            <v>37463</v>
          </cell>
        </row>
        <row r="190">
          <cell r="A190">
            <v>37470</v>
          </cell>
        </row>
        <row r="191">
          <cell r="A191">
            <v>37477</v>
          </cell>
        </row>
        <row r="192">
          <cell r="A192">
            <v>37484</v>
          </cell>
        </row>
        <row r="193">
          <cell r="A193">
            <v>37491</v>
          </cell>
        </row>
        <row r="194">
          <cell r="A194">
            <v>37498</v>
          </cell>
        </row>
        <row r="195">
          <cell r="A195">
            <v>37505</v>
          </cell>
        </row>
        <row r="196">
          <cell r="A196">
            <v>37512</v>
          </cell>
        </row>
        <row r="197">
          <cell r="A197">
            <v>37519</v>
          </cell>
        </row>
        <row r="198">
          <cell r="A198">
            <v>37526</v>
          </cell>
        </row>
        <row r="199">
          <cell r="A199">
            <v>37533</v>
          </cell>
        </row>
        <row r="200">
          <cell r="A200">
            <v>37540</v>
          </cell>
        </row>
        <row r="201">
          <cell r="A201">
            <v>37547</v>
          </cell>
        </row>
        <row r="202">
          <cell r="A202">
            <v>37554</v>
          </cell>
        </row>
        <row r="203">
          <cell r="A203">
            <v>37561</v>
          </cell>
        </row>
        <row r="204">
          <cell r="A204">
            <v>37568</v>
          </cell>
        </row>
        <row r="205">
          <cell r="A205">
            <v>37575</v>
          </cell>
        </row>
        <row r="206">
          <cell r="A206">
            <v>37582</v>
          </cell>
        </row>
        <row r="207">
          <cell r="A207">
            <v>37589</v>
          </cell>
        </row>
        <row r="208">
          <cell r="A208">
            <v>37596</v>
          </cell>
        </row>
        <row r="209">
          <cell r="A209">
            <v>37603</v>
          </cell>
        </row>
        <row r="210">
          <cell r="A210">
            <v>37610</v>
          </cell>
        </row>
        <row r="211">
          <cell r="A211">
            <v>37617</v>
          </cell>
        </row>
        <row r="212">
          <cell r="A212">
            <v>37624</v>
          </cell>
        </row>
        <row r="213">
          <cell r="A213">
            <v>37631</v>
          </cell>
        </row>
        <row r="214">
          <cell r="A214">
            <v>37638</v>
          </cell>
        </row>
        <row r="215">
          <cell r="A215">
            <v>37645</v>
          </cell>
        </row>
        <row r="216">
          <cell r="A216">
            <v>37652</v>
          </cell>
        </row>
        <row r="217">
          <cell r="A217">
            <v>37659</v>
          </cell>
        </row>
        <row r="218">
          <cell r="A218">
            <v>37666</v>
          </cell>
        </row>
        <row r="219">
          <cell r="A219">
            <v>37673</v>
          </cell>
        </row>
        <row r="220">
          <cell r="A220">
            <v>37680</v>
          </cell>
        </row>
        <row r="221">
          <cell r="A221">
            <v>37687</v>
          </cell>
        </row>
        <row r="222">
          <cell r="A222">
            <v>37694</v>
          </cell>
        </row>
        <row r="223">
          <cell r="A223">
            <v>37701</v>
          </cell>
        </row>
        <row r="224">
          <cell r="A224">
            <v>37708</v>
          </cell>
        </row>
        <row r="225">
          <cell r="A225">
            <v>37715</v>
          </cell>
        </row>
        <row r="226">
          <cell r="A226">
            <v>37722</v>
          </cell>
        </row>
        <row r="227">
          <cell r="A227">
            <v>37729</v>
          </cell>
        </row>
        <row r="228">
          <cell r="A228">
            <v>37736</v>
          </cell>
        </row>
        <row r="229">
          <cell r="A229">
            <v>37743</v>
          </cell>
        </row>
        <row r="230">
          <cell r="A230">
            <v>37750</v>
          </cell>
        </row>
        <row r="231">
          <cell r="A231">
            <v>37757</v>
          </cell>
        </row>
        <row r="232">
          <cell r="A232">
            <v>37764</v>
          </cell>
        </row>
        <row r="233">
          <cell r="A233">
            <v>37771</v>
          </cell>
        </row>
        <row r="234">
          <cell r="A234">
            <v>37778</v>
          </cell>
        </row>
        <row r="235">
          <cell r="A235">
            <v>37785</v>
          </cell>
        </row>
        <row r="236">
          <cell r="A236">
            <v>37792</v>
          </cell>
        </row>
        <row r="237">
          <cell r="A237">
            <v>37799</v>
          </cell>
        </row>
        <row r="238">
          <cell r="A238">
            <v>37806</v>
          </cell>
        </row>
        <row r="239">
          <cell r="A239">
            <v>37813</v>
          </cell>
        </row>
        <row r="240">
          <cell r="A240">
            <v>37820</v>
          </cell>
        </row>
        <row r="241">
          <cell r="A241">
            <v>37827</v>
          </cell>
        </row>
        <row r="242">
          <cell r="A242">
            <v>37834</v>
          </cell>
        </row>
        <row r="243">
          <cell r="A243">
            <v>37841</v>
          </cell>
        </row>
        <row r="244">
          <cell r="A244">
            <v>37848</v>
          </cell>
        </row>
        <row r="245">
          <cell r="A245">
            <v>37855</v>
          </cell>
        </row>
        <row r="246">
          <cell r="A246">
            <v>37862</v>
          </cell>
        </row>
        <row r="247">
          <cell r="A247">
            <v>37869</v>
          </cell>
        </row>
        <row r="248">
          <cell r="A248">
            <v>37876</v>
          </cell>
        </row>
        <row r="249">
          <cell r="A249">
            <v>37883</v>
          </cell>
        </row>
        <row r="250">
          <cell r="A250">
            <v>37890</v>
          </cell>
        </row>
        <row r="251">
          <cell r="A251">
            <v>37897</v>
          </cell>
        </row>
        <row r="252">
          <cell r="A252">
            <v>37904</v>
          </cell>
        </row>
        <row r="253">
          <cell r="A253">
            <v>37911</v>
          </cell>
        </row>
        <row r="254">
          <cell r="A254">
            <v>37918</v>
          </cell>
        </row>
        <row r="255">
          <cell r="A255">
            <v>37925</v>
          </cell>
        </row>
        <row r="256">
          <cell r="A256">
            <v>37932</v>
          </cell>
        </row>
        <row r="257">
          <cell r="A257">
            <v>37939</v>
          </cell>
        </row>
        <row r="258">
          <cell r="A258">
            <v>37946</v>
          </cell>
        </row>
        <row r="259">
          <cell r="A259">
            <v>37953</v>
          </cell>
        </row>
        <row r="260">
          <cell r="A260">
            <v>37960</v>
          </cell>
        </row>
        <row r="261">
          <cell r="A261">
            <v>37967</v>
          </cell>
        </row>
        <row r="262">
          <cell r="A262">
            <v>37974</v>
          </cell>
        </row>
        <row r="263">
          <cell r="A263">
            <v>37981</v>
          </cell>
        </row>
        <row r="264">
          <cell r="A264">
            <v>37988</v>
          </cell>
        </row>
        <row r="265">
          <cell r="A265">
            <v>37995</v>
          </cell>
        </row>
        <row r="266">
          <cell r="A266">
            <v>38002</v>
          </cell>
        </row>
        <row r="267">
          <cell r="A267">
            <v>38009</v>
          </cell>
        </row>
        <row r="268">
          <cell r="A268">
            <v>38016</v>
          </cell>
        </row>
        <row r="269">
          <cell r="A269">
            <v>38023</v>
          </cell>
        </row>
        <row r="270">
          <cell r="A270">
            <v>38030</v>
          </cell>
        </row>
        <row r="271">
          <cell r="A271">
            <v>38037</v>
          </cell>
        </row>
        <row r="272">
          <cell r="A272">
            <v>38044</v>
          </cell>
        </row>
        <row r="273">
          <cell r="A273">
            <v>38051</v>
          </cell>
        </row>
        <row r="274">
          <cell r="A274">
            <v>38058</v>
          </cell>
        </row>
        <row r="275">
          <cell r="A275">
            <v>38065</v>
          </cell>
        </row>
        <row r="276">
          <cell r="A276">
            <v>38072</v>
          </cell>
        </row>
        <row r="277">
          <cell r="A277">
            <v>38079</v>
          </cell>
        </row>
        <row r="278">
          <cell r="A278">
            <v>38086</v>
          </cell>
        </row>
        <row r="279">
          <cell r="A279">
            <v>38093</v>
          </cell>
        </row>
        <row r="280">
          <cell r="A280">
            <v>38100</v>
          </cell>
        </row>
        <row r="281">
          <cell r="A281">
            <v>38107</v>
          </cell>
        </row>
        <row r="282">
          <cell r="A282">
            <v>38114</v>
          </cell>
        </row>
        <row r="283">
          <cell r="A283">
            <v>38121</v>
          </cell>
        </row>
        <row r="284">
          <cell r="A284">
            <v>38128</v>
          </cell>
        </row>
        <row r="285">
          <cell r="A285">
            <v>38135</v>
          </cell>
        </row>
        <row r="286">
          <cell r="A286">
            <v>38142</v>
          </cell>
        </row>
        <row r="287">
          <cell r="A287">
            <v>38149</v>
          </cell>
        </row>
        <row r="288">
          <cell r="A288">
            <v>38156</v>
          </cell>
        </row>
        <row r="289">
          <cell r="A289">
            <v>38163</v>
          </cell>
        </row>
        <row r="290">
          <cell r="A290">
            <v>38170</v>
          </cell>
        </row>
        <row r="291">
          <cell r="A291">
            <v>38177</v>
          </cell>
        </row>
        <row r="292">
          <cell r="A292">
            <v>38184</v>
          </cell>
        </row>
        <row r="293">
          <cell r="A293">
            <v>38191</v>
          </cell>
        </row>
        <row r="294">
          <cell r="A294">
            <v>38198</v>
          </cell>
        </row>
        <row r="295">
          <cell r="A295">
            <v>38205</v>
          </cell>
        </row>
        <row r="296">
          <cell r="A296">
            <v>38212</v>
          </cell>
        </row>
        <row r="297">
          <cell r="A297">
            <v>38219</v>
          </cell>
        </row>
        <row r="298">
          <cell r="A298">
            <v>38226</v>
          </cell>
        </row>
        <row r="299">
          <cell r="A299">
            <v>38233</v>
          </cell>
        </row>
        <row r="300">
          <cell r="A300">
            <v>38240</v>
          </cell>
        </row>
        <row r="301">
          <cell r="A301">
            <v>38247</v>
          </cell>
        </row>
        <row r="302">
          <cell r="A302">
            <v>38254</v>
          </cell>
        </row>
        <row r="303">
          <cell r="A303">
            <v>38261</v>
          </cell>
        </row>
        <row r="304">
          <cell r="A304">
            <v>38268</v>
          </cell>
        </row>
        <row r="305">
          <cell r="A305">
            <v>38275</v>
          </cell>
        </row>
        <row r="306">
          <cell r="A306">
            <v>38282</v>
          </cell>
        </row>
        <row r="307">
          <cell r="A307">
            <v>38289</v>
          </cell>
        </row>
        <row r="308">
          <cell r="A308">
            <v>38296</v>
          </cell>
        </row>
        <row r="309">
          <cell r="A309">
            <v>38303</v>
          </cell>
        </row>
        <row r="310">
          <cell r="A310">
            <v>38310</v>
          </cell>
        </row>
        <row r="311">
          <cell r="A311">
            <v>38317</v>
          </cell>
        </row>
        <row r="312">
          <cell r="A312">
            <v>38324</v>
          </cell>
        </row>
        <row r="313">
          <cell r="A313">
            <v>38331</v>
          </cell>
        </row>
        <row r="314">
          <cell r="A314">
            <v>38338</v>
          </cell>
        </row>
        <row r="315">
          <cell r="A315">
            <v>38345</v>
          </cell>
        </row>
        <row r="316">
          <cell r="A316">
            <v>38352</v>
          </cell>
        </row>
        <row r="317">
          <cell r="A317">
            <v>38359</v>
          </cell>
        </row>
        <row r="318">
          <cell r="A318">
            <v>38366</v>
          </cell>
        </row>
        <row r="319">
          <cell r="A319">
            <v>38373</v>
          </cell>
        </row>
        <row r="320">
          <cell r="A320">
            <v>38380</v>
          </cell>
        </row>
        <row r="321">
          <cell r="A321">
            <v>38387</v>
          </cell>
        </row>
        <row r="322">
          <cell r="A322">
            <v>38394</v>
          </cell>
        </row>
        <row r="323">
          <cell r="A323">
            <v>38401</v>
          </cell>
        </row>
        <row r="324">
          <cell r="A324">
            <v>38408</v>
          </cell>
        </row>
        <row r="325">
          <cell r="A325">
            <v>38415</v>
          </cell>
        </row>
        <row r="326">
          <cell r="A326">
            <v>38422</v>
          </cell>
        </row>
        <row r="327">
          <cell r="A327">
            <v>38429</v>
          </cell>
        </row>
        <row r="328">
          <cell r="A328">
            <v>38436</v>
          </cell>
        </row>
        <row r="329">
          <cell r="A329">
            <v>38443</v>
          </cell>
        </row>
        <row r="330">
          <cell r="A330">
            <v>38450</v>
          </cell>
        </row>
        <row r="331">
          <cell r="A331">
            <v>38457</v>
          </cell>
        </row>
        <row r="332">
          <cell r="A332">
            <v>38464</v>
          </cell>
        </row>
        <row r="333">
          <cell r="A333">
            <v>38471</v>
          </cell>
        </row>
        <row r="334">
          <cell r="A334">
            <v>38478</v>
          </cell>
        </row>
        <row r="335">
          <cell r="A335">
            <v>38485</v>
          </cell>
        </row>
        <row r="336">
          <cell r="A336">
            <v>38492</v>
          </cell>
        </row>
        <row r="337">
          <cell r="A337">
            <v>38499</v>
          </cell>
        </row>
        <row r="338">
          <cell r="A338">
            <v>38506</v>
          </cell>
        </row>
        <row r="339">
          <cell r="A339">
            <v>38513</v>
          </cell>
        </row>
        <row r="340">
          <cell r="A340">
            <v>38520</v>
          </cell>
        </row>
        <row r="341">
          <cell r="A341">
            <v>38527</v>
          </cell>
        </row>
        <row r="342">
          <cell r="A342">
            <v>38534</v>
          </cell>
        </row>
        <row r="343">
          <cell r="A343">
            <v>38541</v>
          </cell>
        </row>
        <row r="344">
          <cell r="A344">
            <v>38548</v>
          </cell>
        </row>
        <row r="345">
          <cell r="A345">
            <v>38555</v>
          </cell>
        </row>
        <row r="346">
          <cell r="A346">
            <v>38562</v>
          </cell>
        </row>
        <row r="347">
          <cell r="A347">
            <v>38569</v>
          </cell>
        </row>
        <row r="348">
          <cell r="A348">
            <v>38576</v>
          </cell>
        </row>
        <row r="349">
          <cell r="A349">
            <v>38583</v>
          </cell>
        </row>
        <row r="350">
          <cell r="A350">
            <v>38590</v>
          </cell>
        </row>
        <row r="351">
          <cell r="A351">
            <v>38597</v>
          </cell>
        </row>
        <row r="352">
          <cell r="A352">
            <v>38604</v>
          </cell>
        </row>
        <row r="353">
          <cell r="A353">
            <v>38611</v>
          </cell>
        </row>
        <row r="354">
          <cell r="A354">
            <v>38618</v>
          </cell>
        </row>
        <row r="355">
          <cell r="A355">
            <v>38625</v>
          </cell>
        </row>
        <row r="356">
          <cell r="A356">
            <v>38632</v>
          </cell>
        </row>
        <row r="357">
          <cell r="A357">
            <v>38639</v>
          </cell>
        </row>
        <row r="358">
          <cell r="A358">
            <v>38646</v>
          </cell>
        </row>
        <row r="359">
          <cell r="A359">
            <v>38653</v>
          </cell>
        </row>
        <row r="360">
          <cell r="A360">
            <v>38660</v>
          </cell>
        </row>
        <row r="361">
          <cell r="A361">
            <v>38667</v>
          </cell>
        </row>
        <row r="362">
          <cell r="A362">
            <v>38674</v>
          </cell>
        </row>
        <row r="363">
          <cell r="A363">
            <v>38681</v>
          </cell>
        </row>
        <row r="364">
          <cell r="A364">
            <v>38688</v>
          </cell>
        </row>
        <row r="365">
          <cell r="A365">
            <v>38695</v>
          </cell>
        </row>
        <row r="366">
          <cell r="A366">
            <v>38702</v>
          </cell>
        </row>
        <row r="367">
          <cell r="A367">
            <v>38709</v>
          </cell>
        </row>
        <row r="368">
          <cell r="A368">
            <v>38716</v>
          </cell>
        </row>
        <row r="369">
          <cell r="A369">
            <v>38723</v>
          </cell>
        </row>
        <row r="370">
          <cell r="A370">
            <v>38730</v>
          </cell>
        </row>
        <row r="371">
          <cell r="A371">
            <v>38737</v>
          </cell>
        </row>
        <row r="372">
          <cell r="A372">
            <v>38744</v>
          </cell>
        </row>
        <row r="373">
          <cell r="A373">
            <v>38751</v>
          </cell>
        </row>
        <row r="374">
          <cell r="A374">
            <v>38758</v>
          </cell>
        </row>
        <row r="375">
          <cell r="A375">
            <v>38765</v>
          </cell>
        </row>
        <row r="376">
          <cell r="A376">
            <v>38772</v>
          </cell>
        </row>
        <row r="377">
          <cell r="A377">
            <v>38779</v>
          </cell>
        </row>
        <row r="378">
          <cell r="A378">
            <v>38786</v>
          </cell>
        </row>
        <row r="379">
          <cell r="A379">
            <v>38793</v>
          </cell>
        </row>
        <row r="380">
          <cell r="A380">
            <v>38800</v>
          </cell>
        </row>
        <row r="381">
          <cell r="A381">
            <v>38807</v>
          </cell>
        </row>
        <row r="382">
          <cell r="A382">
            <v>38814</v>
          </cell>
        </row>
        <row r="383">
          <cell r="A383">
            <v>38821</v>
          </cell>
        </row>
        <row r="384">
          <cell r="A384">
            <v>38828</v>
          </cell>
        </row>
        <row r="385">
          <cell r="A385">
            <v>38835</v>
          </cell>
        </row>
        <row r="386">
          <cell r="A386">
            <v>38842</v>
          </cell>
        </row>
        <row r="387">
          <cell r="A387">
            <v>38849</v>
          </cell>
        </row>
        <row r="388">
          <cell r="A388">
            <v>38856</v>
          </cell>
        </row>
        <row r="389">
          <cell r="A389">
            <v>38863</v>
          </cell>
        </row>
        <row r="390">
          <cell r="A390">
            <v>38870</v>
          </cell>
        </row>
        <row r="391">
          <cell r="A391">
            <v>38877</v>
          </cell>
        </row>
        <row r="392">
          <cell r="A392">
            <v>38884</v>
          </cell>
        </row>
        <row r="393">
          <cell r="A393">
            <v>38891</v>
          </cell>
        </row>
        <row r="394">
          <cell r="A394">
            <v>38898</v>
          </cell>
        </row>
        <row r="395">
          <cell r="A395">
            <v>38905</v>
          </cell>
        </row>
        <row r="396">
          <cell r="A396">
            <v>38912</v>
          </cell>
        </row>
        <row r="397">
          <cell r="A397">
            <v>38919</v>
          </cell>
        </row>
        <row r="398">
          <cell r="A398">
            <v>38926</v>
          </cell>
        </row>
        <row r="399">
          <cell r="A399">
            <v>38933</v>
          </cell>
        </row>
        <row r="400">
          <cell r="A400">
            <v>38940</v>
          </cell>
        </row>
        <row r="401">
          <cell r="A401">
            <v>38947</v>
          </cell>
        </row>
        <row r="402">
          <cell r="A402">
            <v>38954</v>
          </cell>
        </row>
        <row r="403">
          <cell r="A403">
            <v>38961</v>
          </cell>
        </row>
        <row r="404">
          <cell r="A404">
            <v>38968</v>
          </cell>
        </row>
        <row r="405">
          <cell r="A405">
            <v>38975</v>
          </cell>
        </row>
        <row r="406">
          <cell r="A406">
            <v>38982</v>
          </cell>
        </row>
        <row r="407">
          <cell r="A407">
            <v>38989</v>
          </cell>
        </row>
        <row r="408">
          <cell r="A408">
            <v>38996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Oil Consumption – tonnes"/>
      <sheetName val="Oil - Regional consumption "/>
      <sheetName val="Oil –  Spot crude prices"/>
      <sheetName val="Oil - crude prices since 1861"/>
      <sheetName val="Oil - Refinery capacities"/>
      <sheetName val="Oil - Refinery throughputs"/>
      <sheetName val="Refinery capacity utilization"/>
      <sheetName val="Oil - Regional refining margins"/>
      <sheetName val="Oil - Trade movements"/>
      <sheetName val="Oil - Inter-area movements "/>
      <sheetName val="Oil - Imports and exports"/>
      <sheetName val="Gas – Proved reserves"/>
      <sheetName val="Gas - Proved reserves history "/>
      <sheetName val="Gas Production – bcm"/>
      <sheetName val="Gas Production – bcf"/>
      <sheetName val="Gas Production – tonnes"/>
      <sheetName val="Gas Consumption – bcm"/>
      <sheetName val="Gas Consumption – bcf"/>
      <sheetName val="Gas Consumption – tonnes"/>
      <sheetName val="Gas – Trade movements pipeline"/>
      <sheetName val="Gas – Trade movements LNG"/>
      <sheetName val="Gas - Prices "/>
      <sheetName val="Coal - Reserves"/>
      <sheetName val="Coal - Production tonnes"/>
      <sheetName val=" Coal - Production Mtoe"/>
      <sheetName val="Coal - Consumption Mtoe"/>
      <sheetName val="Coal - Prices"/>
      <sheetName val="Nuclear Energy Consumption TWh"/>
      <sheetName val="Nuclear Consumption - tonnes"/>
      <sheetName val="Hydro Consumption TWh"/>
      <sheetName val=" Hydro Consumption - tonnes "/>
      <sheetName val="Primary Energy - Consumption"/>
      <sheetName val="Primary Energy - Cons by fuel"/>
      <sheetName val="Electricity Generation "/>
      <sheetName val="Approximate conversion factors"/>
      <sheetName val="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Vehículos"/>
      <sheetName val="Saldo importador ENI"/>
      <sheetName val="Excedente exportable BP"/>
      <sheetName val="EEUU y UE-15"/>
      <sheetName val="Saldo importador neto AIE"/>
      <sheetName val="Gráficos Latinoamérica Petróleo"/>
      <sheetName val="Gráficos Latinoamérica Gas"/>
      <sheetName val="Consumo Oil and Gas percápita"/>
      <sheetName val="Gas Consumption – bcm"/>
      <sheetName val="PIB percápita"/>
      <sheetName val="PIB percápita (2)"/>
      <sheetName val="Consumo América"/>
      <sheetName val="Consumo Asia y Pacífico"/>
      <sheetName val="Consumo Europa"/>
      <sheetName val="Consumo por sectores en LatinA"/>
      <sheetName val="Perspectivas energéticas"/>
      <sheetName val="Análisis Economic Growth"/>
      <sheetName val="Oil Consumption – tonnes"/>
      <sheetName val="Oil - Regional consumption "/>
      <sheetName val="Oil –  Spot crude prices"/>
      <sheetName val="Oil - crude prices since 1861"/>
      <sheetName val="Oil - Refinery capacities"/>
      <sheetName val="Oil - Refinery throughputs"/>
      <sheetName val="Refinery capacity utilization"/>
      <sheetName val="Oil - Regional refining margins"/>
      <sheetName val="Oil - Trade movements"/>
      <sheetName val="Oil - Inter-area movements "/>
      <sheetName val="Oil - Imports and exports"/>
      <sheetName val="Gas – Proved reserves"/>
      <sheetName val="Gas - Proved reserves history "/>
      <sheetName val="Gas Production – bcm"/>
      <sheetName val="Gas Production – bcf"/>
      <sheetName val="Gas Production – tonnes"/>
      <sheetName val="Gas Consumption – bcf"/>
      <sheetName val="Gas Consumption – tonnes"/>
      <sheetName val="Gas – Trade movements pipeline"/>
      <sheetName val="Gas – Trade movements LNG"/>
      <sheetName val="Gas - Prices "/>
      <sheetName val="Coal - Reserves"/>
      <sheetName val="Coal - Production tonnes"/>
      <sheetName val=" Coal - Production Mtoe"/>
      <sheetName val="Coal - Consumption Mtoe"/>
      <sheetName val="Coal - Prices"/>
      <sheetName val="Nuclear Energy Consumption TWh"/>
      <sheetName val="Nuclear Consumption - tonnes"/>
      <sheetName val="Hydro Consumption TWh"/>
      <sheetName val=" Hydro Consumption - tonnes "/>
      <sheetName val="Primary Energy - Consumption"/>
      <sheetName val="Primary Energy - Cons by fuel"/>
      <sheetName val="Electricity Generation "/>
      <sheetName val="Approximate conversion factors"/>
      <sheetName val="Definitions"/>
      <sheetName val="INVER-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órmula descuento crudos (2)"/>
      <sheetName val="Hoja3"/>
      <sheetName val="Fórmula descuento crudos"/>
      <sheetName val="Fórmula descuento crudosx2 (2)"/>
      <sheetName val="Hoja2"/>
      <sheetName val="Hoja4"/>
      <sheetName val="Hoja1"/>
      <sheetName val="todos los crudos"/>
      <sheetName val="Fórmula descuento crudosx2"/>
      <sheetName val="217 crudos"/>
      <sheetName val="195 crudos"/>
      <sheetName val="165 crudos"/>
      <sheetName val="124 crudos"/>
      <sheetName val="77 crudos"/>
      <sheetName val="Fórmula_descuento_crudos_(2)"/>
      <sheetName val="Fórmula_descuento_crudos"/>
      <sheetName val="Fórmula_descuento_crudosx2_(2)"/>
      <sheetName val="todos_los_crudos"/>
      <sheetName val="Fórmula_descuento_crudosx2"/>
      <sheetName val="217_crudos"/>
      <sheetName val="195_crudos"/>
      <sheetName val="165_crudos"/>
      <sheetName val="124_crudos"/>
      <sheetName val="77_cru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">
          <cell r="C15">
            <v>31.6</v>
          </cell>
          <cell r="D15">
            <v>40.5</v>
          </cell>
          <cell r="E15">
            <v>37.4</v>
          </cell>
          <cell r="F15">
            <v>40.6</v>
          </cell>
          <cell r="G15">
            <v>33.1</v>
          </cell>
          <cell r="H15">
            <v>43.7</v>
          </cell>
          <cell r="I15">
            <v>45.5</v>
          </cell>
          <cell r="J15">
            <v>43</v>
          </cell>
          <cell r="K15">
            <v>31.7</v>
          </cell>
          <cell r="L15">
            <v>40.1</v>
          </cell>
          <cell r="M15">
            <v>32.4</v>
          </cell>
          <cell r="N15">
            <v>22.7</v>
          </cell>
          <cell r="O15">
            <v>30</v>
          </cell>
          <cell r="P15">
            <v>38.4</v>
          </cell>
          <cell r="Q15">
            <v>24.1</v>
          </cell>
          <cell r="R15">
            <v>23.9</v>
          </cell>
          <cell r="S15">
            <v>40.5</v>
          </cell>
          <cell r="T15">
            <v>26.7</v>
          </cell>
          <cell r="U15">
            <v>13.2</v>
          </cell>
          <cell r="V15">
            <v>39.700000000000003</v>
          </cell>
          <cell r="W15">
            <v>35.1</v>
          </cell>
          <cell r="X15">
            <v>20.7</v>
          </cell>
          <cell r="Y15">
            <v>40.700000000000003</v>
          </cell>
          <cell r="Z15">
            <v>39.5</v>
          </cell>
          <cell r="AA15">
            <v>23.1</v>
          </cell>
          <cell r="AB15">
            <v>32.6</v>
          </cell>
          <cell r="AC15">
            <v>24.2</v>
          </cell>
          <cell r="AD15">
            <v>32.6</v>
          </cell>
          <cell r="AE15">
            <v>29.3</v>
          </cell>
          <cell r="AF15">
            <v>27.6</v>
          </cell>
          <cell r="AG15">
            <v>23.6</v>
          </cell>
          <cell r="AH15">
            <v>31.1</v>
          </cell>
          <cell r="AI15">
            <v>29.2</v>
          </cell>
          <cell r="AJ15">
            <v>27.5</v>
          </cell>
          <cell r="AK15">
            <v>31.9</v>
          </cell>
          <cell r="AL15">
            <v>21.5</v>
          </cell>
          <cell r="AM15">
            <v>31.4</v>
          </cell>
          <cell r="AN15">
            <v>39.6</v>
          </cell>
          <cell r="AO15">
            <v>30.1</v>
          </cell>
          <cell r="AP15">
            <v>37.4</v>
          </cell>
          <cell r="AQ15">
            <v>39.200000000000003</v>
          </cell>
          <cell r="AR15">
            <v>35.200000000000003</v>
          </cell>
          <cell r="AS15">
            <v>43.3</v>
          </cell>
          <cell r="AT15">
            <v>41.2</v>
          </cell>
          <cell r="AU15">
            <v>33.4</v>
          </cell>
          <cell r="AV15">
            <v>21.3</v>
          </cell>
          <cell r="AW15">
            <v>34.5</v>
          </cell>
          <cell r="AX15">
            <v>38</v>
          </cell>
          <cell r="AY15">
            <v>35.4</v>
          </cell>
          <cell r="AZ15">
            <v>26.9</v>
          </cell>
          <cell r="BA15">
            <v>27.1</v>
          </cell>
          <cell r="BB15">
            <v>33.6</v>
          </cell>
          <cell r="BC15">
            <v>31.3</v>
          </cell>
          <cell r="BD15">
            <v>30.9</v>
          </cell>
          <cell r="BE15">
            <v>33.799999999999997</v>
          </cell>
          <cell r="BF15">
            <v>35.9</v>
          </cell>
          <cell r="BG15">
            <v>33.9</v>
          </cell>
          <cell r="BH15">
            <v>18.100000000000001</v>
          </cell>
          <cell r="BI15">
            <v>24.7</v>
          </cell>
          <cell r="BJ15">
            <v>33.700000000000003</v>
          </cell>
          <cell r="BK15">
            <v>31.1</v>
          </cell>
          <cell r="BL15">
            <v>35.1</v>
          </cell>
          <cell r="BM15">
            <v>33.700000000000003</v>
          </cell>
          <cell r="BN15">
            <v>32.299999999999997</v>
          </cell>
          <cell r="BO15">
            <v>31.4</v>
          </cell>
          <cell r="BP15">
            <v>36</v>
          </cell>
          <cell r="BQ15">
            <v>40.4</v>
          </cell>
          <cell r="BR15">
            <v>43.3</v>
          </cell>
          <cell r="BS15">
            <v>37</v>
          </cell>
          <cell r="BT15">
            <v>38.4</v>
          </cell>
          <cell r="BU15">
            <v>41.3</v>
          </cell>
          <cell r="BV15">
            <v>41.3</v>
          </cell>
          <cell r="BW15">
            <v>28.1</v>
          </cell>
          <cell r="BX15">
            <v>32.200000000000003</v>
          </cell>
          <cell r="BY15">
            <v>32.6</v>
          </cell>
          <cell r="BZ15">
            <v>45.9</v>
          </cell>
          <cell r="CA15">
            <v>37.4</v>
          </cell>
          <cell r="CB15">
            <v>33.299999999999997</v>
          </cell>
          <cell r="CC15">
            <v>22.2</v>
          </cell>
          <cell r="CD15">
            <v>23.3</v>
          </cell>
          <cell r="CE15">
            <v>18.600000000000001</v>
          </cell>
          <cell r="CF15">
            <v>32.799999999999997</v>
          </cell>
          <cell r="CG15">
            <v>28.5</v>
          </cell>
          <cell r="CH15">
            <v>23.5</v>
          </cell>
          <cell r="CI15">
            <v>33.9</v>
          </cell>
          <cell r="CJ15">
            <v>25.2</v>
          </cell>
          <cell r="CK15">
            <v>42.8</v>
          </cell>
          <cell r="CL15">
            <v>36.4</v>
          </cell>
          <cell r="CM15">
            <v>29.6</v>
          </cell>
          <cell r="CN15">
            <v>36.6</v>
          </cell>
          <cell r="CO15">
            <v>35.799999999999997</v>
          </cell>
          <cell r="CP15">
            <v>38</v>
          </cell>
          <cell r="CQ15">
            <v>37.200000000000003</v>
          </cell>
          <cell r="CR15">
            <v>38.700000000000003</v>
          </cell>
          <cell r="CS15">
            <v>37.5</v>
          </cell>
          <cell r="CT15">
            <v>33.6</v>
          </cell>
          <cell r="CU15">
            <v>38.299999999999997</v>
          </cell>
          <cell r="CV15">
            <v>33.700000000000003</v>
          </cell>
          <cell r="CW15">
            <v>44.3</v>
          </cell>
          <cell r="CX15">
            <v>34.9</v>
          </cell>
          <cell r="CY15">
            <v>35.700000000000003</v>
          </cell>
          <cell r="CZ15">
            <v>30.4</v>
          </cell>
          <cell r="DA15">
            <v>34.9</v>
          </cell>
          <cell r="DB15">
            <v>39.200000000000003</v>
          </cell>
          <cell r="DC15">
            <v>34.700000000000003</v>
          </cell>
          <cell r="DD15">
            <v>40.5</v>
          </cell>
          <cell r="DE15">
            <v>39.299999999999997</v>
          </cell>
          <cell r="DF15">
            <v>33.9</v>
          </cell>
          <cell r="DG15">
            <v>29.3</v>
          </cell>
          <cell r="DH15">
            <v>30.5</v>
          </cell>
          <cell r="DI15">
            <v>39.299999999999997</v>
          </cell>
          <cell r="DJ15">
            <v>35.6</v>
          </cell>
          <cell r="DK15">
            <v>39.9</v>
          </cell>
          <cell r="DL15">
            <v>38</v>
          </cell>
          <cell r="DM15">
            <v>35.799999999999997</v>
          </cell>
          <cell r="DN15">
            <v>35</v>
          </cell>
          <cell r="DO15">
            <v>37.799999999999997</v>
          </cell>
          <cell r="DP15">
            <v>41.7</v>
          </cell>
          <cell r="DQ15">
            <v>37</v>
          </cell>
          <cell r="DR15">
            <v>34.700000000000003</v>
          </cell>
          <cell r="DS15">
            <v>33.1</v>
          </cell>
          <cell r="DT15">
            <v>40.9</v>
          </cell>
          <cell r="DU15">
            <v>36</v>
          </cell>
          <cell r="DV15">
            <v>33.4</v>
          </cell>
          <cell r="DW15">
            <v>37.200000000000003</v>
          </cell>
          <cell r="DX15">
            <v>28.5</v>
          </cell>
          <cell r="DY15">
            <v>28.8</v>
          </cell>
          <cell r="DZ15">
            <v>27.4</v>
          </cell>
          <cell r="EA15">
            <v>37</v>
          </cell>
          <cell r="EB15">
            <v>24.9</v>
          </cell>
          <cell r="EC15">
            <v>32.799999999999997</v>
          </cell>
          <cell r="ED15">
            <v>30</v>
          </cell>
          <cell r="EE15">
            <v>27.5</v>
          </cell>
          <cell r="EF15">
            <v>16.3</v>
          </cell>
          <cell r="EG15">
            <v>32.200000000000003</v>
          </cell>
          <cell r="EH15">
            <v>37</v>
          </cell>
          <cell r="EI15">
            <v>34.200000000000003</v>
          </cell>
          <cell r="EJ15">
            <v>20.7</v>
          </cell>
          <cell r="EK15">
            <v>36.1</v>
          </cell>
          <cell r="EL15">
            <v>32</v>
          </cell>
          <cell r="EM15">
            <v>15.7</v>
          </cell>
          <cell r="EN15">
            <v>37.9</v>
          </cell>
          <cell r="EO15">
            <v>32.799999999999997</v>
          </cell>
          <cell r="EP15">
            <v>39</v>
          </cell>
          <cell r="EQ15">
            <v>34.1</v>
          </cell>
          <cell r="ER15">
            <v>18.600000000000001</v>
          </cell>
          <cell r="ES15">
            <v>31.8</v>
          </cell>
          <cell r="ET15">
            <v>16.8</v>
          </cell>
          <cell r="EU15">
            <v>12.8</v>
          </cell>
          <cell r="EV15">
            <v>23.5</v>
          </cell>
          <cell r="EW15">
            <v>10.1</v>
          </cell>
          <cell r="EX15">
            <v>27.8</v>
          </cell>
          <cell r="EY15">
            <v>30.3</v>
          </cell>
          <cell r="EZ15">
            <v>32.200000000000003</v>
          </cell>
          <cell r="FA15">
            <v>26.7</v>
          </cell>
          <cell r="FB15">
            <v>17</v>
          </cell>
          <cell r="FC15">
            <v>25.3</v>
          </cell>
          <cell r="FD15">
            <v>24.4</v>
          </cell>
          <cell r="FE15">
            <v>18</v>
          </cell>
          <cell r="FF15">
            <v>29.9</v>
          </cell>
          <cell r="FG15">
            <v>33.299999999999997</v>
          </cell>
          <cell r="FH15">
            <v>14.1</v>
          </cell>
          <cell r="FI15">
            <v>21</v>
          </cell>
          <cell r="FJ15">
            <v>40.5</v>
          </cell>
          <cell r="FK15">
            <v>18.2</v>
          </cell>
          <cell r="FL15">
            <v>31.8</v>
          </cell>
          <cell r="FM15">
            <v>24.8</v>
          </cell>
          <cell r="FN15">
            <v>26.9</v>
          </cell>
          <cell r="FO15">
            <v>12.1</v>
          </cell>
          <cell r="FP15">
            <v>25.8</v>
          </cell>
          <cell r="FQ15">
            <v>31.7</v>
          </cell>
          <cell r="FR15">
            <v>42.3</v>
          </cell>
          <cell r="FS15">
            <v>47</v>
          </cell>
          <cell r="FT15">
            <v>39.5</v>
          </cell>
          <cell r="FU15">
            <v>41.9</v>
          </cell>
          <cell r="FV15">
            <v>40.6</v>
          </cell>
          <cell r="FW15">
            <v>45.1</v>
          </cell>
          <cell r="FX15">
            <v>44</v>
          </cell>
          <cell r="FY15">
            <v>51.5</v>
          </cell>
          <cell r="FZ15">
            <v>30.5</v>
          </cell>
          <cell r="GA15">
            <v>37.700000000000003</v>
          </cell>
          <cell r="GB15">
            <v>37.5</v>
          </cell>
          <cell r="GC15">
            <v>33.5</v>
          </cell>
          <cell r="GD15">
            <v>49.5</v>
          </cell>
          <cell r="GE15">
            <v>45.2</v>
          </cell>
          <cell r="GF15">
            <v>55</v>
          </cell>
          <cell r="GG15">
            <v>48.2</v>
          </cell>
          <cell r="GH15">
            <v>40.299999999999997</v>
          </cell>
          <cell r="GI15">
            <v>53</v>
          </cell>
          <cell r="GJ15">
            <v>45.2</v>
          </cell>
          <cell r="GK15">
            <v>50.8</v>
          </cell>
          <cell r="GL15">
            <v>44.7</v>
          </cell>
          <cell r="GM15">
            <v>35</v>
          </cell>
          <cell r="GN15">
            <v>21.1</v>
          </cell>
          <cell r="GO15">
            <v>37.299999999999997</v>
          </cell>
          <cell r="GP15">
            <v>43.8</v>
          </cell>
          <cell r="GQ15">
            <v>38.799999999999997</v>
          </cell>
          <cell r="GR15">
            <v>37.9</v>
          </cell>
          <cell r="GS15">
            <v>33.299999999999997</v>
          </cell>
          <cell r="GT15">
            <v>54.8</v>
          </cell>
          <cell r="GU15">
            <v>48</v>
          </cell>
          <cell r="GV15">
            <v>39</v>
          </cell>
          <cell r="GW15">
            <v>39.700000000000003</v>
          </cell>
          <cell r="GX15">
            <v>37.1</v>
          </cell>
          <cell r="GY15">
            <v>20.8</v>
          </cell>
          <cell r="GZ15">
            <v>19.399999999999999</v>
          </cell>
          <cell r="HA15">
            <v>35.200000000000003</v>
          </cell>
          <cell r="HB15">
            <v>22.6</v>
          </cell>
          <cell r="HC15">
            <v>38.700000000000003</v>
          </cell>
          <cell r="HD15">
            <v>33.200000000000003</v>
          </cell>
          <cell r="HE15">
            <v>50.3</v>
          </cell>
          <cell r="HF15">
            <v>39</v>
          </cell>
          <cell r="HG15">
            <v>35.299999999999997</v>
          </cell>
          <cell r="HH15">
            <v>41.9</v>
          </cell>
          <cell r="HI15">
            <v>39.799999999999997</v>
          </cell>
          <cell r="HJ15">
            <v>47</v>
          </cell>
          <cell r="HK15">
            <v>37.6</v>
          </cell>
          <cell r="HL15">
            <v>38.5</v>
          </cell>
          <cell r="HM15">
            <v>43.3</v>
          </cell>
          <cell r="HN15">
            <v>20</v>
          </cell>
          <cell r="HO15">
            <v>33.700000000000003</v>
          </cell>
          <cell r="HP15">
            <v>22</v>
          </cell>
          <cell r="HQ15">
            <v>37</v>
          </cell>
          <cell r="HR15">
            <v>34</v>
          </cell>
          <cell r="HS15">
            <v>49.7</v>
          </cell>
          <cell r="HT15">
            <v>44.3</v>
          </cell>
          <cell r="HU15">
            <v>38.6</v>
          </cell>
          <cell r="HV15">
            <v>36.9</v>
          </cell>
          <cell r="HW15">
            <v>38.200000000000003</v>
          </cell>
          <cell r="HX15">
            <v>37.200000000000003</v>
          </cell>
          <cell r="HY15">
            <v>20.7</v>
          </cell>
          <cell r="HZ15">
            <v>26.2</v>
          </cell>
          <cell r="IA15">
            <v>32.1</v>
          </cell>
          <cell r="IB15">
            <v>45.7</v>
          </cell>
          <cell r="IC15">
            <v>37.799999999999997</v>
          </cell>
          <cell r="ID15">
            <v>42.5</v>
          </cell>
          <cell r="IE15">
            <v>39.700000000000003</v>
          </cell>
          <cell r="IF15">
            <v>34.5</v>
          </cell>
          <cell r="IG15">
            <v>24.9</v>
          </cell>
          <cell r="IH15">
            <v>38.1</v>
          </cell>
          <cell r="II15">
            <v>38.5</v>
          </cell>
          <cell r="IJ15">
            <v>37.5</v>
          </cell>
          <cell r="IK15">
            <v>34.6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Oil Consumption – tonnes"/>
      <sheetName val="Oil - Regional consumption "/>
      <sheetName val="Oil –  Spot crude prices"/>
      <sheetName val="Oil - crude prices since 1861"/>
      <sheetName val="Oil - Refinery capacities"/>
      <sheetName val="Oil - Refinery throughputs"/>
      <sheetName val="Refinery capacity utilization"/>
      <sheetName val="Oil - Regional refining margins"/>
      <sheetName val="Oil - Trade movements"/>
      <sheetName val="Oil - Inter-area movements "/>
      <sheetName val="Oil - Imports and exports"/>
      <sheetName val="Gas – Proved reserves"/>
      <sheetName val="Gas - Proved reserves history "/>
      <sheetName val="Gas Production – bcm"/>
      <sheetName val="Gas Production – bcf"/>
      <sheetName val="Gas Production – tonnes"/>
      <sheetName val="Gas Consumption – bcm"/>
      <sheetName val="Gas Consumption – bcf"/>
      <sheetName val="Gas Consumption – tonnes"/>
      <sheetName val="Gas – Trade movements pipeline"/>
      <sheetName val="Gas – Trade movements LNG"/>
      <sheetName val="Gas - Prices "/>
      <sheetName val="Coal - Reserves"/>
      <sheetName val="Coal - Production tonnes"/>
      <sheetName val=" Coal - Production Mtoe"/>
      <sheetName val="Coal - Consumption Mtoe"/>
      <sheetName val="Coal - Prices"/>
      <sheetName val="Nuclear Energy Consumption TWh"/>
      <sheetName val="Nuclear Consumption - tonnes"/>
      <sheetName val="Hydro Consumption TWh"/>
      <sheetName val=" Hydro Consumption - tonnes "/>
      <sheetName val="Primary Energy - Consumption"/>
      <sheetName val="Primary Energy - Cons by fuel"/>
      <sheetName val="Electricity Generation "/>
      <sheetName val="Approximate conversion factors"/>
      <sheetName val="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bl_GLB"/>
      <sheetName val="PRIMB001"/>
      <sheetName val="PRIMB002"/>
      <sheetName val="PRIMB003"/>
      <sheetName val="PRIMB004"/>
      <sheetName val="PRIMB005"/>
      <sheetName val="R1"/>
      <sheetName val="R2"/>
      <sheetName val="R3"/>
      <sheetName val="R4"/>
      <sheetName val="R5"/>
      <sheetName val="Auxiliar"/>
    </sheetNames>
    <sheetDataSet>
      <sheetData sheetId="0">
        <row r="6">
          <cell r="A6" t="str">
            <v>COLUMN</v>
          </cell>
          <cell r="B6" t="str">
            <v>ACTIVITY</v>
          </cell>
          <cell r="C6" t="str">
            <v>COST</v>
          </cell>
          <cell r="D6" t="str">
            <v>LO BND</v>
          </cell>
          <cell r="E6" t="str">
            <v>HI BND</v>
          </cell>
          <cell r="F6" t="str">
            <v>DJ VALUE</v>
          </cell>
        </row>
        <row r="7">
          <cell r="A7" t="str">
            <v xml:space="preserve">PURCAL0 </v>
          </cell>
          <cell r="B7">
            <v>0.31999999284744263</v>
          </cell>
          <cell r="C7">
            <v>0</v>
          </cell>
          <cell r="D7">
            <v>0</v>
          </cell>
          <cell r="E7">
            <v>0.31999999284744263</v>
          </cell>
          <cell r="F7">
            <v>309.05344974047517</v>
          </cell>
        </row>
        <row r="8">
          <cell r="A8" t="str">
            <v xml:space="preserve">PURCCE0 </v>
          </cell>
          <cell r="B8">
            <v>0.41999998688697815</v>
          </cell>
          <cell r="C8">
            <v>0</v>
          </cell>
          <cell r="D8">
            <v>0</v>
          </cell>
          <cell r="E8">
            <v>0.41999998688697815</v>
          </cell>
          <cell r="F8">
            <v>303.63183485057255</v>
          </cell>
        </row>
        <row r="9">
          <cell r="A9" t="str">
            <v xml:space="preserve">PURCCC0 </v>
          </cell>
          <cell r="B9">
            <v>0.55000001192092896</v>
          </cell>
          <cell r="C9">
            <v>0</v>
          </cell>
          <cell r="D9">
            <v>0</v>
          </cell>
          <cell r="E9">
            <v>0.55000001192092896</v>
          </cell>
          <cell r="F9">
            <v>336.66613635755567</v>
          </cell>
        </row>
        <row r="10">
          <cell r="A10" t="str">
            <v xml:space="preserve">PURCPC0 </v>
          </cell>
          <cell r="B10">
            <v>0.40000000596046448</v>
          </cell>
          <cell r="C10">
            <v>0</v>
          </cell>
          <cell r="D10">
            <v>0</v>
          </cell>
          <cell r="E10">
            <v>0.40000000596046448</v>
          </cell>
          <cell r="F10">
            <v>340.97098965579517</v>
          </cell>
        </row>
        <row r="11">
          <cell r="A11" t="str">
            <v xml:space="preserve">PURCSD0 </v>
          </cell>
          <cell r="B11">
            <v>0.40000000596046448</v>
          </cell>
          <cell r="C11">
            <v>0</v>
          </cell>
          <cell r="D11">
            <v>0</v>
          </cell>
          <cell r="E11">
            <v>0.40000000596046448</v>
          </cell>
          <cell r="F11">
            <v>328.39804236007063</v>
          </cell>
        </row>
        <row r="12">
          <cell r="A12" t="str">
            <v xml:space="preserve">PURCCH0 </v>
          </cell>
          <cell r="B12">
            <v>5.0999999046325684</v>
          </cell>
          <cell r="C12">
            <v>0</v>
          </cell>
          <cell r="D12">
            <v>0</v>
          </cell>
          <cell r="E12">
            <v>5.0999999046325684</v>
          </cell>
          <cell r="F12">
            <v>227.74223377802602</v>
          </cell>
        </row>
        <row r="13">
          <cell r="A13" t="str">
            <v xml:space="preserve">PURCCL0 </v>
          </cell>
          <cell r="B13">
            <v>1.5</v>
          </cell>
          <cell r="C13">
            <v>0</v>
          </cell>
          <cell r="D13">
            <v>0</v>
          </cell>
          <cell r="E13">
            <v>1.5</v>
          </cell>
          <cell r="F13">
            <v>273.60573705385809</v>
          </cell>
        </row>
        <row r="14">
          <cell r="A14" t="str">
            <v xml:space="preserve">PURCLL0 </v>
          </cell>
          <cell r="B14">
            <v>0.30000001192092896</v>
          </cell>
          <cell r="C14">
            <v>0</v>
          </cell>
          <cell r="D14">
            <v>0</v>
          </cell>
          <cell r="E14">
            <v>0.30000001192092896</v>
          </cell>
          <cell r="F14">
            <v>266.06267875775899</v>
          </cell>
        </row>
        <row r="15">
          <cell r="A15" t="str">
            <v xml:space="preserve">PURCDV0 </v>
          </cell>
          <cell r="B15">
            <v>1.8250000476837158</v>
          </cell>
          <cell r="C15">
            <v>0</v>
          </cell>
          <cell r="D15">
            <v>1.8250000476837158</v>
          </cell>
          <cell r="E15">
            <v>1.8250000476837158</v>
          </cell>
          <cell r="F15">
            <v>299.89643186804369</v>
          </cell>
        </row>
        <row r="16">
          <cell r="A16" t="str">
            <v xml:space="preserve">PURCFR0 </v>
          </cell>
          <cell r="B16">
            <v>9.4999998807907104E-2</v>
          </cell>
          <cell r="C16">
            <v>0</v>
          </cell>
          <cell r="D16">
            <v>0</v>
          </cell>
          <cell r="E16">
            <v>9.4999998807907104E-2</v>
          </cell>
          <cell r="F16">
            <v>383.06100463867188</v>
          </cell>
        </row>
        <row r="17">
          <cell r="A17" t="str">
            <v xml:space="preserve">PURCGL0 </v>
          </cell>
          <cell r="B17">
            <v>0.66699999570846558</v>
          </cell>
          <cell r="C17">
            <v>0</v>
          </cell>
          <cell r="D17">
            <v>0</v>
          </cell>
          <cell r="E17">
            <v>0.66699999570846558</v>
          </cell>
          <cell r="F17">
            <v>251.55513464522687</v>
          </cell>
        </row>
        <row r="18">
          <cell r="A18" t="str">
            <v xml:space="preserve">PURCMG0 </v>
          </cell>
          <cell r="B18">
            <v>0.50499999523162842</v>
          </cell>
          <cell r="C18">
            <v>0</v>
          </cell>
          <cell r="D18">
            <v>0.50499999523162842</v>
          </cell>
          <cell r="E18">
            <v>0.50499999523162842</v>
          </cell>
          <cell r="F18">
            <v>305.26898034500749</v>
          </cell>
        </row>
        <row r="19">
          <cell r="A19" t="str">
            <v xml:space="preserve">PURCMD0 </v>
          </cell>
          <cell r="B19">
            <v>2.7699999809265137</v>
          </cell>
          <cell r="C19">
            <v>0</v>
          </cell>
          <cell r="D19">
            <v>0</v>
          </cell>
          <cell r="E19">
            <v>2.7699999809265137</v>
          </cell>
          <cell r="F19">
            <v>309.05344974047517</v>
          </cell>
        </row>
        <row r="20">
          <cell r="A20" t="str">
            <v xml:space="preserve">PURCMN0 </v>
          </cell>
          <cell r="B20">
            <v>5.5999999046325684</v>
          </cell>
          <cell r="C20">
            <v>0</v>
          </cell>
          <cell r="D20">
            <v>5.5999999046325684</v>
          </cell>
          <cell r="E20">
            <v>5.5999999046325684</v>
          </cell>
          <cell r="F20">
            <v>295.17289127715645</v>
          </cell>
        </row>
        <row r="21">
          <cell r="A21" t="str">
            <v xml:space="preserve">PURCNQ0 </v>
          </cell>
          <cell r="B21">
            <v>12.038032816534173</v>
          </cell>
          <cell r="C21">
            <v>0</v>
          </cell>
          <cell r="D21">
            <v>0</v>
          </cell>
          <cell r="E21">
            <v>12.038032816534173</v>
          </cell>
          <cell r="F21">
            <v>303.51205486140839</v>
          </cell>
        </row>
        <row r="22">
          <cell r="A22" t="str">
            <v xml:space="preserve">PURCCO0 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299.88789179553726</v>
          </cell>
        </row>
        <row r="23">
          <cell r="A23" t="str">
            <v xml:space="preserve">PURCAD0 </v>
          </cell>
          <cell r="B23">
            <v>0.23999999463558197</v>
          </cell>
          <cell r="C23">
            <v>0</v>
          </cell>
          <cell r="D23">
            <v>0.23999999463558197</v>
          </cell>
          <cell r="E23">
            <v>0.23999999463558197</v>
          </cell>
          <cell r="F23">
            <v>302.01889748769264</v>
          </cell>
        </row>
        <row r="24">
          <cell r="A24" t="str">
            <v xml:space="preserve">PURCND0 </v>
          </cell>
          <cell r="B24">
            <v>0.56000000238418579</v>
          </cell>
          <cell r="C24">
            <v>0</v>
          </cell>
          <cell r="D24">
            <v>0</v>
          </cell>
          <cell r="E24">
            <v>0.56000000238418579</v>
          </cell>
          <cell r="F24">
            <v>308.2448842505886</v>
          </cell>
        </row>
        <row r="25">
          <cell r="A25" t="str">
            <v xml:space="preserve">PURCAG0 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269.05258797423483</v>
          </cell>
        </row>
        <row r="26">
          <cell r="A26" t="str">
            <v xml:space="preserve">PURCGNT </v>
          </cell>
          <cell r="B26">
            <v>8.2191801629960537E-4</v>
          </cell>
          <cell r="C26">
            <v>-98</v>
          </cell>
          <cell r="D26">
            <v>8.2191801629960537E-4</v>
          </cell>
          <cell r="E26">
            <v>8.2191801629960537E-4</v>
          </cell>
          <cell r="F26">
            <v>257.37158207305492</v>
          </cell>
        </row>
        <row r="27">
          <cell r="A27" t="str">
            <v xml:space="preserve">PURCSN0 </v>
          </cell>
          <cell r="B27">
            <v>11.199999809265137</v>
          </cell>
          <cell r="C27">
            <v>0</v>
          </cell>
          <cell r="D27">
            <v>0</v>
          </cell>
          <cell r="E27">
            <v>11.199999809265137</v>
          </cell>
          <cell r="F27">
            <v>240.34669222897045</v>
          </cell>
        </row>
        <row r="28">
          <cell r="A28" t="str">
            <v xml:space="preserve">PURCSS0 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252.48399353027344</v>
          </cell>
        </row>
        <row r="29">
          <cell r="A29" t="str">
            <v xml:space="preserve">PURCTF0 </v>
          </cell>
          <cell r="B29">
            <v>0.18999999761581421</v>
          </cell>
          <cell r="C29">
            <v>0</v>
          </cell>
          <cell r="D29">
            <v>0</v>
          </cell>
          <cell r="E29">
            <v>0.18999999761581421</v>
          </cell>
          <cell r="F29">
            <v>254.74000549316406</v>
          </cell>
        </row>
        <row r="30">
          <cell r="A30" t="str">
            <v xml:space="preserve">PURCS50 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A31" t="str">
            <v xml:space="preserve">PURCS40 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428.28088947452909</v>
          </cell>
        </row>
        <row r="32">
          <cell r="A32" t="str">
            <v xml:space="preserve">PURCSLP </v>
          </cell>
          <cell r="B32">
            <v>0</v>
          </cell>
          <cell r="C32">
            <v>-224.74400329589844</v>
          </cell>
          <cell r="D32">
            <v>0</v>
          </cell>
          <cell r="E32">
            <v>0</v>
          </cell>
          <cell r="F32">
            <v>45.121577328198576</v>
          </cell>
        </row>
        <row r="33">
          <cell r="A33" t="str">
            <v xml:space="preserve">PURCSLD </v>
          </cell>
          <cell r="B33">
            <v>0</v>
          </cell>
          <cell r="C33">
            <v>-224.74400329589844</v>
          </cell>
          <cell r="D33">
            <v>0</v>
          </cell>
          <cell r="E33">
            <v>0</v>
          </cell>
          <cell r="F33">
            <v>-38.448023960688346</v>
          </cell>
        </row>
        <row r="34">
          <cell r="A34" t="str">
            <v xml:space="preserve">PURCINE 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316.13382509832513</v>
          </cell>
        </row>
        <row r="35">
          <cell r="A35" t="str">
            <v xml:space="preserve">PURCODX </v>
          </cell>
          <cell r="B35">
            <v>0</v>
          </cell>
          <cell r="C35">
            <v>-474.70599365234375</v>
          </cell>
          <cell r="D35">
            <v>0</v>
          </cell>
          <cell r="E35">
            <v>0</v>
          </cell>
          <cell r="F35">
            <v>-179.72119044473726</v>
          </cell>
        </row>
        <row r="36">
          <cell r="A36" t="str">
            <v xml:space="preserve">PURCFCX </v>
          </cell>
          <cell r="B36">
            <v>0</v>
          </cell>
          <cell r="C36">
            <v>-472.51800537109375</v>
          </cell>
          <cell r="D36">
            <v>0</v>
          </cell>
          <cell r="E36">
            <v>0</v>
          </cell>
          <cell r="F36">
            <v>-167.47093246668985</v>
          </cell>
        </row>
        <row r="37">
          <cell r="A37" t="str">
            <v xml:space="preserve">PURCZFX </v>
          </cell>
          <cell r="B37">
            <v>0</v>
          </cell>
          <cell r="C37">
            <v>-452.96499633789063</v>
          </cell>
          <cell r="D37">
            <v>0</v>
          </cell>
          <cell r="E37">
            <v>0</v>
          </cell>
          <cell r="F37">
            <v>-174.53381393641641</v>
          </cell>
        </row>
        <row r="38">
          <cell r="A38" t="str">
            <v xml:space="preserve">PURCBNL </v>
          </cell>
          <cell r="B38">
            <v>0</v>
          </cell>
          <cell r="C38">
            <v>-470.4739990234375</v>
          </cell>
          <cell r="D38">
            <v>0</v>
          </cell>
          <cell r="E38">
            <v>0</v>
          </cell>
          <cell r="F38">
            <v>-173.01443552513646</v>
          </cell>
        </row>
        <row r="39">
          <cell r="A39" t="str">
            <v xml:space="preserve">PURCBSS </v>
          </cell>
          <cell r="B39">
            <v>0</v>
          </cell>
          <cell r="C39">
            <v>-470.58099365234375</v>
          </cell>
          <cell r="D39">
            <v>0</v>
          </cell>
          <cell r="E39">
            <v>0</v>
          </cell>
          <cell r="F39">
            <v>-163.92823256401167</v>
          </cell>
        </row>
        <row r="40">
          <cell r="A40" t="str">
            <v xml:space="preserve">PURCCAB </v>
          </cell>
          <cell r="B40">
            <v>0</v>
          </cell>
          <cell r="C40">
            <v>-437.7650146484375</v>
          </cell>
          <cell r="D40">
            <v>0</v>
          </cell>
          <cell r="E40">
            <v>0</v>
          </cell>
          <cell r="F40">
            <v>-185.31014554794521</v>
          </cell>
        </row>
        <row r="41">
          <cell r="A41" t="str">
            <v xml:space="preserve">PURCKIT </v>
          </cell>
          <cell r="B41">
            <v>0</v>
          </cell>
          <cell r="C41">
            <v>-477.88198852539063</v>
          </cell>
          <cell r="D41">
            <v>0</v>
          </cell>
          <cell r="E41">
            <v>0</v>
          </cell>
          <cell r="F41">
            <v>-200.23861263745451</v>
          </cell>
        </row>
        <row r="42">
          <cell r="A42" t="str">
            <v xml:space="preserve">PURCQUA </v>
          </cell>
          <cell r="B42">
            <v>0</v>
          </cell>
          <cell r="C42">
            <v>-470.4739990234375</v>
          </cell>
          <cell r="D42">
            <v>0</v>
          </cell>
          <cell r="E42">
            <v>0</v>
          </cell>
          <cell r="F42">
            <v>-175.63242116431667</v>
          </cell>
        </row>
        <row r="43">
          <cell r="A43" t="str">
            <v xml:space="preserve">PURCPNT </v>
          </cell>
          <cell r="B43">
            <v>0</v>
          </cell>
          <cell r="C43">
            <v>-480.32901000976563</v>
          </cell>
          <cell r="D43">
            <v>0</v>
          </cell>
          <cell r="E43">
            <v>0</v>
          </cell>
          <cell r="F43">
            <v>-172.36448489672517</v>
          </cell>
        </row>
        <row r="44">
          <cell r="A44" t="str">
            <v xml:space="preserve">PURCOSE </v>
          </cell>
          <cell r="B44">
            <v>0</v>
          </cell>
          <cell r="C44">
            <v>-462.76300048828125</v>
          </cell>
          <cell r="D44">
            <v>0</v>
          </cell>
          <cell r="E44">
            <v>0</v>
          </cell>
          <cell r="F44">
            <v>-188.84665263972872</v>
          </cell>
        </row>
        <row r="45">
          <cell r="A45" t="str">
            <v xml:space="preserve">PURCTRL </v>
          </cell>
          <cell r="B45">
            <v>0</v>
          </cell>
          <cell r="C45">
            <v>-472.51800537109375</v>
          </cell>
          <cell r="D45">
            <v>0</v>
          </cell>
          <cell r="E45">
            <v>0</v>
          </cell>
          <cell r="F45">
            <v>-191.4596977338399</v>
          </cell>
        </row>
        <row r="46">
          <cell r="A46" t="str">
            <v xml:space="preserve">PURCFNV </v>
          </cell>
          <cell r="B46">
            <v>0</v>
          </cell>
          <cell r="C46">
            <v>-474.70599365234375</v>
          </cell>
          <cell r="D46">
            <v>0</v>
          </cell>
          <cell r="E46">
            <v>0</v>
          </cell>
          <cell r="F46">
            <v>-225.24240743558701</v>
          </cell>
        </row>
        <row r="47">
          <cell r="A47" t="str">
            <v xml:space="preserve">PURCSHL </v>
          </cell>
          <cell r="B47">
            <v>0</v>
          </cell>
          <cell r="C47">
            <v>-474.70599365234375</v>
          </cell>
          <cell r="D47">
            <v>0</v>
          </cell>
          <cell r="E47">
            <v>0</v>
          </cell>
          <cell r="F47">
            <v>-220.19351133581711</v>
          </cell>
        </row>
        <row r="48">
          <cell r="A48" t="str">
            <v xml:space="preserve">PURCNEU </v>
          </cell>
          <cell r="B48">
            <v>3</v>
          </cell>
          <cell r="C48">
            <v>-264.17300415039063</v>
          </cell>
          <cell r="D48">
            <v>3</v>
          </cell>
          <cell r="E48">
            <v>3</v>
          </cell>
          <cell r="F48">
            <v>45.772645495689076</v>
          </cell>
        </row>
        <row r="49">
          <cell r="A49" t="str">
            <v xml:space="preserve">PURCCAÑ </v>
          </cell>
          <cell r="B49">
            <v>0</v>
          </cell>
          <cell r="C49">
            <v>-211.03599548339844</v>
          </cell>
          <cell r="D49">
            <v>0</v>
          </cell>
          <cell r="E49">
            <v>0</v>
          </cell>
          <cell r="F49">
            <v>30.040985551598954</v>
          </cell>
        </row>
        <row r="50">
          <cell r="A50" t="str">
            <v xml:space="preserve">PURCESC </v>
          </cell>
          <cell r="B50">
            <v>0.39357736717434344</v>
          </cell>
          <cell r="C50">
            <v>-229.33000183105469</v>
          </cell>
          <cell r="D50">
            <v>0</v>
          </cell>
          <cell r="E50">
            <v>1</v>
          </cell>
          <cell r="F50">
            <v>0</v>
          </cell>
        </row>
        <row r="51">
          <cell r="A51" t="str">
            <v xml:space="preserve">PURCCR1 </v>
          </cell>
          <cell r="B51">
            <v>0</v>
          </cell>
          <cell r="C51">
            <v>-364.4219970703125</v>
          </cell>
          <cell r="D51">
            <v>0</v>
          </cell>
          <cell r="E51">
            <v>0</v>
          </cell>
          <cell r="F51">
            <v>-172.03565832686752</v>
          </cell>
        </row>
        <row r="52">
          <cell r="A52" t="str">
            <v xml:space="preserve">PURCR05 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572.73896501096965</v>
          </cell>
        </row>
        <row r="53">
          <cell r="A53" t="str">
            <v xml:space="preserve">PURCR20 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614.94598723111085</v>
          </cell>
        </row>
        <row r="54">
          <cell r="A54" t="str">
            <v xml:space="preserve">PURCR40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559.54008187071918</v>
          </cell>
        </row>
        <row r="55">
          <cell r="A55" t="str">
            <v xml:space="preserve">PURCCR5 </v>
          </cell>
          <cell r="B55">
            <v>0</v>
          </cell>
          <cell r="C55">
            <v>-435.468994140625</v>
          </cell>
          <cell r="D55">
            <v>0</v>
          </cell>
          <cell r="E55">
            <v>0</v>
          </cell>
          <cell r="F55">
            <v>-172.68900347147903</v>
          </cell>
        </row>
        <row r="56">
          <cell r="A56" t="str">
            <v xml:space="preserve">PURCBTT </v>
          </cell>
          <cell r="B56">
            <v>0</v>
          </cell>
          <cell r="C56">
            <v>-420.093994140625</v>
          </cell>
          <cell r="D56">
            <v>0</v>
          </cell>
          <cell r="E56">
            <v>0</v>
          </cell>
          <cell r="F56">
            <v>-86.901389448610075</v>
          </cell>
        </row>
        <row r="57">
          <cell r="A57" t="str">
            <v xml:space="preserve">PURCGN1 </v>
          </cell>
          <cell r="B57">
            <v>1.6438399907201529E-3</v>
          </cell>
          <cell r="C57">
            <v>-80</v>
          </cell>
          <cell r="D57">
            <v>1.6438399907201529E-3</v>
          </cell>
          <cell r="E57">
            <v>498.23835611433196</v>
          </cell>
          <cell r="F57">
            <v>-79.387622425654158</v>
          </cell>
        </row>
        <row r="58">
          <cell r="A58" t="str">
            <v xml:space="preserve">PURCGN2 </v>
          </cell>
          <cell r="B58">
            <v>2.5350332775548712E-2</v>
          </cell>
          <cell r="C58">
            <v>-84</v>
          </cell>
          <cell r="D58">
            <v>0</v>
          </cell>
          <cell r="E58">
            <v>999</v>
          </cell>
          <cell r="F58">
            <v>0</v>
          </cell>
        </row>
        <row r="59">
          <cell r="A59" t="str">
            <v xml:space="preserve">PURCGN3 </v>
          </cell>
          <cell r="B59">
            <v>0.11175954035700184</v>
          </cell>
          <cell r="C59">
            <v>-102</v>
          </cell>
          <cell r="D59">
            <v>0</v>
          </cell>
          <cell r="E59">
            <v>999</v>
          </cell>
          <cell r="F59">
            <v>0</v>
          </cell>
        </row>
        <row r="60">
          <cell r="A60" t="str">
            <v xml:space="preserve">PURCGN4 </v>
          </cell>
          <cell r="B60">
            <v>0</v>
          </cell>
          <cell r="C60">
            <v>-80</v>
          </cell>
          <cell r="D60">
            <v>0</v>
          </cell>
          <cell r="E60">
            <v>999</v>
          </cell>
          <cell r="F60">
            <v>0</v>
          </cell>
        </row>
        <row r="61">
          <cell r="A61" t="str">
            <v xml:space="preserve">PURCGN5 </v>
          </cell>
          <cell r="B61">
            <v>0.25214105991468039</v>
          </cell>
          <cell r="C61">
            <v>-80</v>
          </cell>
          <cell r="D61">
            <v>1.6438399907201529E-3</v>
          </cell>
          <cell r="E61">
            <v>999</v>
          </cell>
          <cell r="F61">
            <v>0</v>
          </cell>
        </row>
        <row r="62">
          <cell r="A62" t="str">
            <v xml:space="preserve">PURCGN6 </v>
          </cell>
          <cell r="B62">
            <v>2.4279949946762764E-2</v>
          </cell>
          <cell r="C62">
            <v>-80</v>
          </cell>
          <cell r="D62">
            <v>1.6438399907201529E-3</v>
          </cell>
          <cell r="E62">
            <v>999</v>
          </cell>
          <cell r="F62">
            <v>0</v>
          </cell>
        </row>
        <row r="63">
          <cell r="A63" t="str">
            <v xml:space="preserve">PURCFOB </v>
          </cell>
          <cell r="B63">
            <v>0</v>
          </cell>
          <cell r="C63">
            <v>-237.08999633789063</v>
          </cell>
          <cell r="D63">
            <v>0</v>
          </cell>
          <cell r="E63">
            <v>0</v>
          </cell>
          <cell r="F63">
            <v>131.48347331007867</v>
          </cell>
        </row>
        <row r="64">
          <cell r="A64" t="str">
            <v xml:space="preserve">PURCIOC </v>
          </cell>
          <cell r="B64">
            <v>0</v>
          </cell>
          <cell r="C64">
            <v>-237.08999633789063</v>
          </cell>
          <cell r="D64">
            <v>0</v>
          </cell>
          <cell r="E64">
            <v>0</v>
          </cell>
          <cell r="F64">
            <v>150.04236542166095</v>
          </cell>
        </row>
        <row r="65">
          <cell r="A65" t="str">
            <v xml:space="preserve">PURCBCD </v>
          </cell>
          <cell r="B65">
            <v>0</v>
          </cell>
          <cell r="C65">
            <v>-237.08999633789063</v>
          </cell>
          <cell r="D65">
            <v>0</v>
          </cell>
          <cell r="E65">
            <v>0</v>
          </cell>
          <cell r="F65">
            <v>140.00678662861864</v>
          </cell>
        </row>
        <row r="66">
          <cell r="A66" t="str">
            <v xml:space="preserve">PURCR94 </v>
          </cell>
          <cell r="B66">
            <v>0</v>
          </cell>
          <cell r="C66">
            <v>-608.49700927734375</v>
          </cell>
          <cell r="D66">
            <v>0</v>
          </cell>
          <cell r="E66">
            <v>0</v>
          </cell>
          <cell r="F66">
            <v>-186.16693650337115</v>
          </cell>
        </row>
        <row r="67">
          <cell r="A67" t="str">
            <v xml:space="preserve">PURCGSB </v>
          </cell>
          <cell r="B67">
            <v>5.8333300985395908E-3</v>
          </cell>
          <cell r="C67">
            <v>-93.050003051757813</v>
          </cell>
          <cell r="D67">
            <v>5.8333300985395908E-3</v>
          </cell>
          <cell r="E67">
            <v>5.8333300985395908E-3</v>
          </cell>
          <cell r="F67">
            <v>187.51579543858358</v>
          </cell>
        </row>
        <row r="68">
          <cell r="A68" t="str">
            <v xml:space="preserve">PURCALK </v>
          </cell>
          <cell r="B68">
            <v>0</v>
          </cell>
          <cell r="C68">
            <v>-516.093994140625</v>
          </cell>
          <cell r="D68">
            <v>0</v>
          </cell>
          <cell r="E68">
            <v>0</v>
          </cell>
          <cell r="F68">
            <v>35.285487666277035</v>
          </cell>
        </row>
        <row r="69">
          <cell r="A69" t="str">
            <v xml:space="preserve">PURCALH </v>
          </cell>
          <cell r="B69">
            <v>0</v>
          </cell>
          <cell r="C69">
            <v>-516.093994140625</v>
          </cell>
          <cell r="D69">
            <v>0</v>
          </cell>
          <cell r="E69">
            <v>0</v>
          </cell>
          <cell r="F69">
            <v>97.216388315697245</v>
          </cell>
        </row>
        <row r="70">
          <cell r="A70" t="str">
            <v xml:space="preserve">PURCPIM 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629.2205810546875</v>
          </cell>
        </row>
        <row r="71">
          <cell r="A71" t="str">
            <v xml:space="preserve">PURCMTB </v>
          </cell>
          <cell r="B71">
            <v>0</v>
          </cell>
          <cell r="C71">
            <v>-667.708984375</v>
          </cell>
          <cell r="D71">
            <v>0</v>
          </cell>
          <cell r="E71">
            <v>0</v>
          </cell>
          <cell r="F71">
            <v>49.037320630844327</v>
          </cell>
        </row>
        <row r="72">
          <cell r="A72" t="str">
            <v xml:space="preserve">PURCMTC </v>
          </cell>
          <cell r="B72">
            <v>0</v>
          </cell>
          <cell r="C72">
            <v>-667.708984375</v>
          </cell>
          <cell r="D72">
            <v>0</v>
          </cell>
          <cell r="E72">
            <v>0</v>
          </cell>
          <cell r="F72">
            <v>34.037320630844327</v>
          </cell>
        </row>
        <row r="73">
          <cell r="A73" t="str">
            <v xml:space="preserve">PURCMTH </v>
          </cell>
          <cell r="B73">
            <v>0.14576230788067596</v>
          </cell>
          <cell r="C73">
            <v>-291.76901245117188</v>
          </cell>
          <cell r="D73">
            <v>0</v>
          </cell>
          <cell r="E73" t="e">
            <v>#VALUE!</v>
          </cell>
          <cell r="F73">
            <v>0</v>
          </cell>
        </row>
        <row r="74">
          <cell r="A74" t="str">
            <v xml:space="preserve">PURCGPR </v>
          </cell>
          <cell r="B74">
            <v>0</v>
          </cell>
          <cell r="C74">
            <v>-130.94999694824219</v>
          </cell>
          <cell r="D74">
            <v>0</v>
          </cell>
          <cell r="E74">
            <v>0</v>
          </cell>
          <cell r="F74">
            <v>-127.70784759521484</v>
          </cell>
        </row>
        <row r="75">
          <cell r="A75" t="str">
            <v xml:space="preserve">PURCNT1 </v>
          </cell>
          <cell r="B75">
            <v>0</v>
          </cell>
          <cell r="C75">
            <v>-511.3800048828125</v>
          </cell>
          <cell r="D75">
            <v>0</v>
          </cell>
          <cell r="E75">
            <v>0</v>
          </cell>
          <cell r="F75">
            <v>-15.825265142362412</v>
          </cell>
        </row>
        <row r="76">
          <cell r="A76" t="str">
            <v xml:space="preserve">PURCNLS </v>
          </cell>
          <cell r="B76">
            <v>0</v>
          </cell>
          <cell r="C76">
            <v>-491</v>
          </cell>
          <cell r="D76">
            <v>0</v>
          </cell>
          <cell r="E76">
            <v>0</v>
          </cell>
          <cell r="F76">
            <v>19.008366866960916</v>
          </cell>
        </row>
        <row r="77">
          <cell r="A77" t="str">
            <v xml:space="preserve">PURCXL1 </v>
          </cell>
          <cell r="B77">
            <v>0</v>
          </cell>
          <cell r="C77">
            <v>-360</v>
          </cell>
          <cell r="D77">
            <v>0</v>
          </cell>
          <cell r="E77">
            <v>0</v>
          </cell>
          <cell r="F77">
            <v>312.3280029296875</v>
          </cell>
        </row>
        <row r="78">
          <cell r="A78" t="str">
            <v xml:space="preserve">PURCMXY </v>
          </cell>
          <cell r="B78">
            <v>0</v>
          </cell>
          <cell r="C78">
            <v>-360</v>
          </cell>
          <cell r="D78">
            <v>0</v>
          </cell>
          <cell r="E78">
            <v>0</v>
          </cell>
          <cell r="F78">
            <v>312.3280029296875</v>
          </cell>
        </row>
        <row r="79">
          <cell r="A79" t="str">
            <v xml:space="preserve">PURCNON </v>
          </cell>
          <cell r="B79">
            <v>0</v>
          </cell>
          <cell r="C79">
            <v>-440</v>
          </cell>
          <cell r="D79">
            <v>0</v>
          </cell>
          <cell r="E79">
            <v>0</v>
          </cell>
          <cell r="F79">
            <v>-440</v>
          </cell>
        </row>
        <row r="80">
          <cell r="A80" t="str">
            <v xml:space="preserve">PURC4LP </v>
          </cell>
          <cell r="B80">
            <v>0</v>
          </cell>
          <cell r="C80">
            <v>-420.093994140625</v>
          </cell>
          <cell r="D80">
            <v>0</v>
          </cell>
          <cell r="E80">
            <v>0</v>
          </cell>
          <cell r="F80">
            <v>455.06171875000001</v>
          </cell>
        </row>
        <row r="81">
          <cell r="A81" t="str">
            <v xml:space="preserve">PURCPGG </v>
          </cell>
          <cell r="B81">
            <v>0.12943600118160248</v>
          </cell>
          <cell r="C81">
            <v>0</v>
          </cell>
          <cell r="D81">
            <v>0.12943600118160248</v>
          </cell>
          <cell r="E81">
            <v>0.12943600118160248</v>
          </cell>
          <cell r="F81">
            <v>182.48399353027344</v>
          </cell>
        </row>
        <row r="82">
          <cell r="A82" t="str">
            <v xml:space="preserve">PURCBGG </v>
          </cell>
          <cell r="B82">
            <v>7.3134399950504303E-2</v>
          </cell>
          <cell r="C82">
            <v>0</v>
          </cell>
          <cell r="D82">
            <v>7.3134399950504303E-2</v>
          </cell>
          <cell r="E82">
            <v>7.3134399950504303E-2</v>
          </cell>
          <cell r="F82">
            <v>204.6510009765625</v>
          </cell>
        </row>
        <row r="83">
          <cell r="A83" t="str">
            <v xml:space="preserve">PURCPGS </v>
          </cell>
          <cell r="B83">
            <v>5.9178099036216736E-2</v>
          </cell>
          <cell r="C83">
            <v>0</v>
          </cell>
          <cell r="D83">
            <v>5.9178099036216736E-2</v>
          </cell>
          <cell r="E83">
            <v>5.9178099036216736E-2</v>
          </cell>
          <cell r="F83">
            <v>95.452211395681715</v>
          </cell>
        </row>
        <row r="84">
          <cell r="A84" t="str">
            <v xml:space="preserve">PURCBGS </v>
          </cell>
          <cell r="B84">
            <v>3.9452098309993744E-2</v>
          </cell>
          <cell r="C84">
            <v>0</v>
          </cell>
          <cell r="D84">
            <v>3.9452098309993744E-2</v>
          </cell>
          <cell r="E84">
            <v>3.9452098309993744E-2</v>
          </cell>
          <cell r="F84">
            <v>253.97599792480469</v>
          </cell>
        </row>
        <row r="85">
          <cell r="A85" t="str">
            <v xml:space="preserve">PURCFIL 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311.24905520922516</v>
          </cell>
        </row>
        <row r="86">
          <cell r="A86" t="str">
            <v xml:space="preserve">PURCAGU </v>
          </cell>
          <cell r="B86">
            <v>2.6353457927295605E-2</v>
          </cell>
          <cell r="C86">
            <v>0</v>
          </cell>
          <cell r="D86">
            <v>0</v>
          </cell>
          <cell r="E86" t="e">
            <v>#VALUE!</v>
          </cell>
          <cell r="F86">
            <v>0</v>
          </cell>
        </row>
        <row r="87">
          <cell r="A87" t="str">
            <v xml:space="preserve">PURCRBS </v>
          </cell>
          <cell r="B87">
            <v>0</v>
          </cell>
          <cell r="C87">
            <v>-380</v>
          </cell>
          <cell r="D87">
            <v>0</v>
          </cell>
          <cell r="E87">
            <v>0</v>
          </cell>
          <cell r="F87">
            <v>175.64830643118245</v>
          </cell>
        </row>
        <row r="88">
          <cell r="A88" t="str">
            <v xml:space="preserve">PURCJET 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366.5820715499251</v>
          </cell>
        </row>
        <row r="89">
          <cell r="A89" t="str">
            <v xml:space="preserve">PURCFUE </v>
          </cell>
          <cell r="B89">
            <v>0</v>
          </cell>
          <cell r="C89">
            <v>-285.50799560546875</v>
          </cell>
          <cell r="D89">
            <v>0</v>
          </cell>
          <cell r="E89">
            <v>0</v>
          </cell>
          <cell r="F89">
            <v>-109.77293949911039</v>
          </cell>
        </row>
        <row r="90">
          <cell r="A90" t="str">
            <v xml:space="preserve">PURCSUL </v>
          </cell>
          <cell r="B90">
            <v>6.690881073423853E-3</v>
          </cell>
          <cell r="C90">
            <v>-50</v>
          </cell>
          <cell r="D90">
            <v>0</v>
          </cell>
          <cell r="E90">
            <v>999</v>
          </cell>
          <cell r="F90">
            <v>0</v>
          </cell>
        </row>
        <row r="91">
          <cell r="A91" t="str">
            <v xml:space="preserve">PURCAIR </v>
          </cell>
          <cell r="B91">
            <v>7.9653344563629536E-3</v>
          </cell>
          <cell r="C91">
            <v>0</v>
          </cell>
          <cell r="D91">
            <v>0</v>
          </cell>
          <cell r="E91" t="e">
            <v>#VALUE!</v>
          </cell>
          <cell r="F91">
            <v>0</v>
          </cell>
        </row>
        <row r="92">
          <cell r="A92" t="str">
            <v xml:space="preserve">PURCOCT 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374.77047729492188</v>
          </cell>
        </row>
        <row r="93">
          <cell r="A93" t="str">
            <v xml:space="preserve">PURCDOD </v>
          </cell>
          <cell r="B93">
            <v>0</v>
          </cell>
          <cell r="C93">
            <v>-440</v>
          </cell>
          <cell r="D93">
            <v>0</v>
          </cell>
          <cell r="E93">
            <v>0</v>
          </cell>
          <cell r="F93">
            <v>0.99699997901916504</v>
          </cell>
        </row>
        <row r="94">
          <cell r="A94" t="str">
            <v xml:space="preserve">PURCBEN </v>
          </cell>
          <cell r="B94">
            <v>0</v>
          </cell>
          <cell r="C94">
            <v>-10</v>
          </cell>
          <cell r="D94">
            <v>0</v>
          </cell>
          <cell r="E94">
            <v>0</v>
          </cell>
          <cell r="F94">
            <v>865.82974569242299</v>
          </cell>
        </row>
        <row r="95">
          <cell r="A95" t="str">
            <v xml:space="preserve">PURCHEX 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</row>
        <row r="96">
          <cell r="A96" t="str">
            <v xml:space="preserve">PURCHEP 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</row>
        <row r="97">
          <cell r="A97" t="str">
            <v xml:space="preserve">PURCTOL </v>
          </cell>
          <cell r="B97">
            <v>0</v>
          </cell>
          <cell r="C97">
            <v>-360</v>
          </cell>
          <cell r="D97">
            <v>0</v>
          </cell>
          <cell r="E97">
            <v>0</v>
          </cell>
          <cell r="F97">
            <v>353.05695708810464</v>
          </cell>
        </row>
        <row r="98">
          <cell r="A98" t="str">
            <v xml:space="preserve">PURCMN1 </v>
          </cell>
          <cell r="B98">
            <v>0</v>
          </cell>
          <cell r="C98">
            <v>-10</v>
          </cell>
          <cell r="D98">
            <v>0</v>
          </cell>
          <cell r="E98">
            <v>0</v>
          </cell>
          <cell r="F98">
            <v>506.01750128759096</v>
          </cell>
        </row>
        <row r="99">
          <cell r="A99" t="str">
            <v xml:space="preserve">PURCLCP </v>
          </cell>
          <cell r="B99">
            <v>0</v>
          </cell>
          <cell r="C99">
            <v>-429.50698852539063</v>
          </cell>
          <cell r="D99">
            <v>0</v>
          </cell>
          <cell r="E99">
            <v>0</v>
          </cell>
          <cell r="F99">
            <v>46.655513457729391</v>
          </cell>
        </row>
        <row r="100">
          <cell r="A100" t="str">
            <v xml:space="preserve">PURCMJO </v>
          </cell>
          <cell r="B100">
            <v>0</v>
          </cell>
          <cell r="C100">
            <v>-360</v>
          </cell>
          <cell r="D100">
            <v>0</v>
          </cell>
          <cell r="E100">
            <v>0</v>
          </cell>
          <cell r="F100">
            <v>-360</v>
          </cell>
        </row>
        <row r="101">
          <cell r="A101" t="str">
            <v xml:space="preserve">PURCCAN </v>
          </cell>
          <cell r="B101">
            <v>0</v>
          </cell>
          <cell r="C101">
            <v>-429.45199584960938</v>
          </cell>
          <cell r="D101">
            <v>0</v>
          </cell>
          <cell r="E101">
            <v>0</v>
          </cell>
          <cell r="F101">
            <v>-78.790979150223407</v>
          </cell>
        </row>
        <row r="102">
          <cell r="A102" t="str">
            <v xml:space="preserve">PURCSAN </v>
          </cell>
          <cell r="B102">
            <v>0</v>
          </cell>
          <cell r="C102">
            <v>-450.09698486328125</v>
          </cell>
          <cell r="D102">
            <v>0</v>
          </cell>
          <cell r="E102">
            <v>0</v>
          </cell>
          <cell r="F102">
            <v>-70.427253785851889</v>
          </cell>
        </row>
        <row r="103">
          <cell r="A103" t="str">
            <v xml:space="preserve">PURCCEN </v>
          </cell>
          <cell r="B103">
            <v>0</v>
          </cell>
          <cell r="C103">
            <v>-456.21600341796875</v>
          </cell>
          <cell r="D103">
            <v>0</v>
          </cell>
          <cell r="E103">
            <v>0</v>
          </cell>
          <cell r="F103">
            <v>-63.29602002705613</v>
          </cell>
        </row>
        <row r="104">
          <cell r="A104" t="str">
            <v xml:space="preserve">PURCIOG </v>
          </cell>
          <cell r="B104">
            <v>1.4247899795231753</v>
          </cell>
          <cell r="C104">
            <v>-397.51300048828125</v>
          </cell>
          <cell r="D104">
            <v>1.4247899795231753</v>
          </cell>
          <cell r="E104">
            <v>999</v>
          </cell>
          <cell r="F104">
            <v>-31.048791064954784</v>
          </cell>
        </row>
        <row r="105">
          <cell r="A105" t="str">
            <v xml:space="preserve">PURCTEJ </v>
          </cell>
          <cell r="B105">
            <v>0</v>
          </cell>
          <cell r="C105">
            <v>-494.49301147460938</v>
          </cell>
          <cell r="D105">
            <v>0</v>
          </cell>
          <cell r="E105">
            <v>0</v>
          </cell>
          <cell r="F105">
            <v>-125.27472759926155</v>
          </cell>
        </row>
        <row r="106">
          <cell r="A106" t="str">
            <v xml:space="preserve">PURCREK </v>
          </cell>
          <cell r="B106">
            <v>0</v>
          </cell>
          <cell r="C106">
            <v>-494.49301147460938</v>
          </cell>
          <cell r="D106">
            <v>0</v>
          </cell>
          <cell r="E106">
            <v>0</v>
          </cell>
          <cell r="F106">
            <v>-494.49301147460938</v>
          </cell>
        </row>
        <row r="107">
          <cell r="A107" t="str">
            <v xml:space="preserve">PURCPLN </v>
          </cell>
          <cell r="B107">
            <v>6.0205877087181052E-5</v>
          </cell>
          <cell r="C107">
            <v>-515.20599365234375</v>
          </cell>
          <cell r="D107">
            <v>0</v>
          </cell>
          <cell r="E107">
            <v>9.9999997473787516E-5</v>
          </cell>
          <cell r="F107">
            <v>-9.1838156350671429</v>
          </cell>
        </row>
        <row r="108">
          <cell r="A108" t="str">
            <v xml:space="preserve">PURCATB </v>
          </cell>
          <cell r="B108">
            <v>0</v>
          </cell>
          <cell r="C108">
            <v>-127.59999847412109</v>
          </cell>
          <cell r="D108">
            <v>0</v>
          </cell>
          <cell r="E108">
            <v>0</v>
          </cell>
          <cell r="F108">
            <v>211.05953339877195</v>
          </cell>
        </row>
        <row r="109">
          <cell r="A109" t="str">
            <v xml:space="preserve">PURCBT2 </v>
          </cell>
          <cell r="B109">
            <v>0</v>
          </cell>
          <cell r="C109">
            <v>-127.59999847412109</v>
          </cell>
          <cell r="D109">
            <v>0</v>
          </cell>
          <cell r="E109">
            <v>0</v>
          </cell>
          <cell r="F109">
            <v>265.17133772340537</v>
          </cell>
        </row>
        <row r="110">
          <cell r="A110" t="str">
            <v xml:space="preserve">PURCRFT </v>
          </cell>
          <cell r="B110">
            <v>0</v>
          </cell>
          <cell r="C110">
            <v>-608.49700927734375</v>
          </cell>
          <cell r="D110">
            <v>0</v>
          </cell>
          <cell r="E110">
            <v>0</v>
          </cell>
          <cell r="F110">
            <v>-100.20798394190122</v>
          </cell>
        </row>
        <row r="111">
          <cell r="A111" t="str">
            <v xml:space="preserve">PURCNBB </v>
          </cell>
          <cell r="B111">
            <v>0</v>
          </cell>
          <cell r="C111">
            <v>-491</v>
          </cell>
          <cell r="D111">
            <v>0</v>
          </cell>
          <cell r="E111">
            <v>0</v>
          </cell>
          <cell r="F111">
            <v>17.224634350815865</v>
          </cell>
        </row>
        <row r="112">
          <cell r="A112" t="str">
            <v xml:space="preserve">PURCI5D 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542.15576054821281</v>
          </cell>
        </row>
        <row r="113">
          <cell r="A113" t="str">
            <v xml:space="preserve">PURCIZO 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531.74925353167805</v>
          </cell>
        </row>
        <row r="114">
          <cell r="A114" t="str">
            <v xml:space="preserve">PURCADI </v>
          </cell>
          <cell r="B114">
            <v>0.41854939922078016</v>
          </cell>
          <cell r="C114">
            <v>-1.5349999666213989</v>
          </cell>
          <cell r="D114">
            <v>0</v>
          </cell>
          <cell r="E114" t="e">
            <v>#VALUE!</v>
          </cell>
          <cell r="F114">
            <v>0</v>
          </cell>
        </row>
        <row r="115">
          <cell r="A115" t="str">
            <v xml:space="preserve">PURCLPC </v>
          </cell>
          <cell r="B115">
            <v>0</v>
          </cell>
          <cell r="C115">
            <v>-237.08999633789063</v>
          </cell>
          <cell r="D115">
            <v>0</v>
          </cell>
          <cell r="E115">
            <v>0</v>
          </cell>
          <cell r="F115">
            <v>247.70274470081068</v>
          </cell>
        </row>
        <row r="116">
          <cell r="A116" t="str">
            <v xml:space="preserve">PURCISO </v>
          </cell>
          <cell r="B116">
            <v>0</v>
          </cell>
          <cell r="C116">
            <v>-237.08999633789063</v>
          </cell>
          <cell r="D116">
            <v>0</v>
          </cell>
          <cell r="E116">
            <v>0</v>
          </cell>
          <cell r="F116">
            <v>277.42494506835936</v>
          </cell>
        </row>
        <row r="117">
          <cell r="A117" t="str">
            <v xml:space="preserve">PURCR30 </v>
          </cell>
          <cell r="B117">
            <v>0</v>
          </cell>
          <cell r="C117">
            <v>-197.08999633789063</v>
          </cell>
          <cell r="D117">
            <v>0</v>
          </cell>
          <cell r="E117">
            <v>0</v>
          </cell>
          <cell r="F117">
            <v>414.56536848512417</v>
          </cell>
        </row>
        <row r="118">
          <cell r="A118" t="str">
            <v xml:space="preserve">PURCLVA </v>
          </cell>
          <cell r="B118">
            <v>0</v>
          </cell>
          <cell r="C118">
            <v>-237.08999633789063</v>
          </cell>
          <cell r="D118">
            <v>0</v>
          </cell>
          <cell r="E118">
            <v>0</v>
          </cell>
          <cell r="F118">
            <v>190.50851026561162</v>
          </cell>
        </row>
        <row r="119">
          <cell r="A119" t="str">
            <v xml:space="preserve">PURCC4F </v>
          </cell>
          <cell r="B119">
            <v>0</v>
          </cell>
          <cell r="C119">
            <v>-420.093994140625</v>
          </cell>
          <cell r="D119">
            <v>0</v>
          </cell>
          <cell r="E119">
            <v>0</v>
          </cell>
          <cell r="F119">
            <v>83.816873328326494</v>
          </cell>
        </row>
        <row r="120">
          <cell r="A120" t="str">
            <v xml:space="preserve">PURCIRP </v>
          </cell>
          <cell r="B120">
            <v>0</v>
          </cell>
          <cell r="C120">
            <v>-229.33000183105469</v>
          </cell>
          <cell r="D120">
            <v>0</v>
          </cell>
          <cell r="E120">
            <v>0.20000000298023224</v>
          </cell>
          <cell r="F120">
            <v>-229.33000183105469</v>
          </cell>
        </row>
        <row r="121">
          <cell r="A121" t="str">
            <v>PURCMTHA</v>
          </cell>
          <cell r="B121">
            <v>0.14576230788067596</v>
          </cell>
          <cell r="C121">
            <v>0</v>
          </cell>
          <cell r="D121">
            <v>0</v>
          </cell>
          <cell r="E121" t="e">
            <v>#VALUE!</v>
          </cell>
          <cell r="F121">
            <v>0</v>
          </cell>
        </row>
        <row r="122">
          <cell r="A122" t="str">
            <v>PURCR30A</v>
          </cell>
          <cell r="B122">
            <v>0</v>
          </cell>
          <cell r="C122">
            <v>0</v>
          </cell>
          <cell r="D122">
            <v>0</v>
          </cell>
          <cell r="E122" t="e">
            <v>#VALUE!</v>
          </cell>
          <cell r="F122">
            <v>0</v>
          </cell>
        </row>
        <row r="123">
          <cell r="A123" t="str">
            <v>PURCADIA</v>
          </cell>
          <cell r="B123">
            <v>4.0047994388701165E-2</v>
          </cell>
          <cell r="C123">
            <v>-3.5000000149011612E-2</v>
          </cell>
          <cell r="D123">
            <v>0</v>
          </cell>
          <cell r="E123" t="e">
            <v>#VALUE!</v>
          </cell>
          <cell r="F123">
            <v>0</v>
          </cell>
        </row>
        <row r="124">
          <cell r="A124" t="str">
            <v>PURCGN1A</v>
          </cell>
          <cell r="B124">
            <v>1.6438399907201529E-3</v>
          </cell>
          <cell r="C124">
            <v>0</v>
          </cell>
          <cell r="D124">
            <v>0</v>
          </cell>
          <cell r="E124" t="e">
            <v>#VALUE!</v>
          </cell>
          <cell r="F124">
            <v>0</v>
          </cell>
        </row>
        <row r="125">
          <cell r="A125" t="str">
            <v>PURCALKA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408.14344338194962</v>
          </cell>
        </row>
        <row r="126">
          <cell r="A126" t="str">
            <v>PURCFOBA</v>
          </cell>
          <cell r="B126">
            <v>0</v>
          </cell>
          <cell r="C126">
            <v>0</v>
          </cell>
          <cell r="D126">
            <v>0</v>
          </cell>
          <cell r="E126" t="e">
            <v>#VALUE!</v>
          </cell>
          <cell r="F126">
            <v>0</v>
          </cell>
        </row>
        <row r="127">
          <cell r="A127" t="str">
            <v>PURCSLPA</v>
          </cell>
          <cell r="B127">
            <v>0</v>
          </cell>
          <cell r="C127">
            <v>0</v>
          </cell>
          <cell r="D127">
            <v>0</v>
          </cell>
          <cell r="E127" t="e">
            <v>#VALUE!</v>
          </cell>
          <cell r="F127">
            <v>0</v>
          </cell>
        </row>
        <row r="128">
          <cell r="A128" t="str">
            <v>PURCSLDA</v>
          </cell>
          <cell r="B128">
            <v>0</v>
          </cell>
          <cell r="C128">
            <v>0</v>
          </cell>
          <cell r="D128">
            <v>0</v>
          </cell>
          <cell r="E128" t="e">
            <v>#VALUE!</v>
          </cell>
          <cell r="F128">
            <v>0</v>
          </cell>
        </row>
        <row r="129">
          <cell r="A129" t="str">
            <v>PURCPIMA</v>
          </cell>
          <cell r="B129">
            <v>0</v>
          </cell>
          <cell r="C129">
            <v>0</v>
          </cell>
          <cell r="D129">
            <v>0</v>
          </cell>
          <cell r="E129" t="e">
            <v>#VALUE!</v>
          </cell>
          <cell r="F129">
            <v>0</v>
          </cell>
        </row>
        <row r="130">
          <cell r="A130" t="str">
            <v>PURCRBSA</v>
          </cell>
          <cell r="B130">
            <v>0</v>
          </cell>
          <cell r="C130">
            <v>0</v>
          </cell>
          <cell r="D130">
            <v>0</v>
          </cell>
          <cell r="E130" t="e">
            <v>#VALUE!</v>
          </cell>
          <cell r="F130">
            <v>0</v>
          </cell>
        </row>
        <row r="131">
          <cell r="A131" t="str">
            <v>PURCJETA</v>
          </cell>
          <cell r="B131">
            <v>0</v>
          </cell>
          <cell r="C131">
            <v>0</v>
          </cell>
          <cell r="D131">
            <v>0</v>
          </cell>
          <cell r="E131" t="e">
            <v>#VALUE!</v>
          </cell>
          <cell r="F131">
            <v>0</v>
          </cell>
        </row>
        <row r="132">
          <cell r="A132" t="str">
            <v>PURCLCPA</v>
          </cell>
          <cell r="B132">
            <v>0</v>
          </cell>
          <cell r="C132">
            <v>0</v>
          </cell>
          <cell r="D132">
            <v>0</v>
          </cell>
          <cell r="E132" t="e">
            <v>#VALUE!</v>
          </cell>
          <cell r="F132">
            <v>0</v>
          </cell>
        </row>
        <row r="133">
          <cell r="A133" t="str">
            <v>PURCFUEA</v>
          </cell>
          <cell r="B133">
            <v>0</v>
          </cell>
          <cell r="C133">
            <v>0</v>
          </cell>
          <cell r="D133">
            <v>0</v>
          </cell>
          <cell r="E133" t="e">
            <v>#VALUE!</v>
          </cell>
          <cell r="F133">
            <v>0</v>
          </cell>
        </row>
        <row r="134">
          <cell r="A134" t="str">
            <v>PURCRFTA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13.931183862032956</v>
          </cell>
        </row>
        <row r="135">
          <cell r="A135" t="str">
            <v>PURCINEA</v>
          </cell>
          <cell r="B135">
            <v>0</v>
          </cell>
          <cell r="C135">
            <v>-9.4318504333496094</v>
          </cell>
          <cell r="D135">
            <v>0</v>
          </cell>
          <cell r="E135" t="e">
            <v>#VALUE!</v>
          </cell>
          <cell r="F135">
            <v>0</v>
          </cell>
        </row>
        <row r="136">
          <cell r="A136" t="str">
            <v>PURCODXA</v>
          </cell>
          <cell r="B136">
            <v>0</v>
          </cell>
          <cell r="C136">
            <v>-18.455799102783203</v>
          </cell>
          <cell r="D136">
            <v>0</v>
          </cell>
          <cell r="E136" t="e">
            <v>#VALUE!</v>
          </cell>
          <cell r="F136">
            <v>0</v>
          </cell>
        </row>
        <row r="137">
          <cell r="A137" t="str">
            <v>PURCFCXA</v>
          </cell>
          <cell r="B137">
            <v>0</v>
          </cell>
          <cell r="C137">
            <v>-18.003599166870117</v>
          </cell>
          <cell r="D137">
            <v>0</v>
          </cell>
          <cell r="E137" t="e">
            <v>#VALUE!</v>
          </cell>
          <cell r="F137">
            <v>0</v>
          </cell>
        </row>
        <row r="138">
          <cell r="A138" t="str">
            <v>PURCZFXA</v>
          </cell>
          <cell r="B138">
            <v>0</v>
          </cell>
          <cell r="C138">
            <v>-18.018499374389648</v>
          </cell>
          <cell r="D138">
            <v>0</v>
          </cell>
          <cell r="E138" t="e">
            <v>#VALUE!</v>
          </cell>
          <cell r="F138">
            <v>0</v>
          </cell>
        </row>
        <row r="139">
          <cell r="A139" t="str">
            <v>PURCBNLA</v>
          </cell>
          <cell r="B139">
            <v>0</v>
          </cell>
          <cell r="C139">
            <v>-19.284500122070313</v>
          </cell>
          <cell r="D139">
            <v>0</v>
          </cell>
          <cell r="E139" t="e">
            <v>#VALUE!</v>
          </cell>
          <cell r="F139">
            <v>0</v>
          </cell>
        </row>
        <row r="140">
          <cell r="A140" t="str">
            <v>PURCBSSA</v>
          </cell>
          <cell r="B140">
            <v>0</v>
          </cell>
          <cell r="C140">
            <v>-16.815399169921875</v>
          </cell>
          <cell r="D140">
            <v>0</v>
          </cell>
          <cell r="E140" t="e">
            <v>#VALUE!</v>
          </cell>
          <cell r="F140">
            <v>0</v>
          </cell>
        </row>
        <row r="141">
          <cell r="A141" t="str">
            <v>PURCCABA</v>
          </cell>
          <cell r="B141">
            <v>0</v>
          </cell>
          <cell r="C141">
            <v>-17.665800094604492</v>
          </cell>
          <cell r="D141">
            <v>0</v>
          </cell>
          <cell r="E141" t="e">
            <v>#VALUE!</v>
          </cell>
          <cell r="F141">
            <v>0</v>
          </cell>
        </row>
        <row r="142">
          <cell r="A142" t="str">
            <v>PURCKITA</v>
          </cell>
          <cell r="B142">
            <v>0</v>
          </cell>
          <cell r="C142">
            <v>-18.111799240112305</v>
          </cell>
          <cell r="D142">
            <v>0</v>
          </cell>
          <cell r="E142" t="e">
            <v>#VALUE!</v>
          </cell>
          <cell r="F142">
            <v>0</v>
          </cell>
        </row>
        <row r="143">
          <cell r="A143" t="str">
            <v>PURCQUAA</v>
          </cell>
          <cell r="B143">
            <v>0</v>
          </cell>
          <cell r="C143">
            <v>-17.229099273681641</v>
          </cell>
          <cell r="D143">
            <v>0</v>
          </cell>
          <cell r="E143" t="e">
            <v>#VALUE!</v>
          </cell>
          <cell r="F143">
            <v>0</v>
          </cell>
        </row>
        <row r="144">
          <cell r="A144" t="str">
            <v>PURCPNTA</v>
          </cell>
          <cell r="B144">
            <v>0</v>
          </cell>
          <cell r="C144">
            <v>-17.736400604248047</v>
          </cell>
          <cell r="D144">
            <v>0</v>
          </cell>
          <cell r="E144" t="e">
            <v>#VALUE!</v>
          </cell>
          <cell r="F144">
            <v>0</v>
          </cell>
        </row>
        <row r="145">
          <cell r="A145" t="str">
            <v>PURCOSEA</v>
          </cell>
          <cell r="B145">
            <v>0</v>
          </cell>
          <cell r="C145">
            <v>-21.296300888061523</v>
          </cell>
          <cell r="D145">
            <v>0</v>
          </cell>
          <cell r="E145" t="e">
            <v>#VALUE!</v>
          </cell>
          <cell r="F145">
            <v>0</v>
          </cell>
        </row>
        <row r="146">
          <cell r="A146" t="str">
            <v>PURCTRLA</v>
          </cell>
          <cell r="B146">
            <v>0</v>
          </cell>
          <cell r="C146">
            <v>-22.321800231933594</v>
          </cell>
          <cell r="D146">
            <v>0</v>
          </cell>
          <cell r="E146" t="e">
            <v>#VALUE!</v>
          </cell>
          <cell r="F146">
            <v>0</v>
          </cell>
        </row>
        <row r="147">
          <cell r="A147" t="str">
            <v>PURCFNVA</v>
          </cell>
          <cell r="B147">
            <v>0</v>
          </cell>
          <cell r="C147">
            <v>-22.55780029296875</v>
          </cell>
          <cell r="D147">
            <v>0</v>
          </cell>
          <cell r="E147" t="e">
            <v>#VALUE!</v>
          </cell>
          <cell r="F147">
            <v>0</v>
          </cell>
        </row>
        <row r="148">
          <cell r="A148" t="str">
            <v>PURCSHLA</v>
          </cell>
          <cell r="B148">
            <v>0</v>
          </cell>
          <cell r="C148">
            <v>-22.763500213623047</v>
          </cell>
          <cell r="D148">
            <v>0</v>
          </cell>
          <cell r="E148" t="e">
            <v>#VALUE!</v>
          </cell>
          <cell r="F148">
            <v>0</v>
          </cell>
        </row>
        <row r="149">
          <cell r="A149" t="str">
            <v>PURCNEUA</v>
          </cell>
          <cell r="B149">
            <v>3</v>
          </cell>
          <cell r="C149">
            <v>-1.5800000429153442</v>
          </cell>
          <cell r="D149">
            <v>0</v>
          </cell>
          <cell r="E149" t="e">
            <v>#VALUE!</v>
          </cell>
          <cell r="F149">
            <v>0</v>
          </cell>
        </row>
        <row r="150">
          <cell r="A150" t="str">
            <v>PURCCAÑA</v>
          </cell>
          <cell r="B150">
            <v>0</v>
          </cell>
          <cell r="C150">
            <v>-7.5275998115539551</v>
          </cell>
          <cell r="D150">
            <v>0</v>
          </cell>
          <cell r="E150" t="e">
            <v>#VALUE!</v>
          </cell>
          <cell r="F150">
            <v>0</v>
          </cell>
        </row>
        <row r="151">
          <cell r="A151" t="str">
            <v>PURCESCA</v>
          </cell>
          <cell r="B151">
            <v>0.39357736717434344</v>
          </cell>
          <cell r="C151">
            <v>-7.5275998115539551</v>
          </cell>
          <cell r="D151">
            <v>0</v>
          </cell>
          <cell r="E151" t="e">
            <v>#VALUE!</v>
          </cell>
          <cell r="F151">
            <v>0</v>
          </cell>
        </row>
        <row r="152">
          <cell r="A152" t="str">
            <v>PURCCR1A</v>
          </cell>
          <cell r="B152">
            <v>0</v>
          </cell>
          <cell r="C152">
            <v>-22.812700271606445</v>
          </cell>
          <cell r="D152">
            <v>0</v>
          </cell>
          <cell r="E152" t="e">
            <v>#VALUE!</v>
          </cell>
          <cell r="F152">
            <v>0</v>
          </cell>
        </row>
        <row r="153">
          <cell r="A153" t="str">
            <v>PURCR05A</v>
          </cell>
          <cell r="B153">
            <v>0</v>
          </cell>
          <cell r="C153">
            <v>0</v>
          </cell>
          <cell r="D153">
            <v>0</v>
          </cell>
          <cell r="E153" t="e">
            <v>#VALUE!</v>
          </cell>
          <cell r="F153">
            <v>0</v>
          </cell>
        </row>
        <row r="154">
          <cell r="A154" t="str">
            <v>PURCR20A</v>
          </cell>
          <cell r="B154">
            <v>0</v>
          </cell>
          <cell r="C154">
            <v>0</v>
          </cell>
          <cell r="D154">
            <v>0</v>
          </cell>
          <cell r="E154" t="e">
            <v>#VALUE!</v>
          </cell>
          <cell r="F154">
            <v>0</v>
          </cell>
        </row>
        <row r="155">
          <cell r="A155" t="str">
            <v>PURCR40A</v>
          </cell>
          <cell r="B155">
            <v>0</v>
          </cell>
          <cell r="C155">
            <v>0</v>
          </cell>
          <cell r="D155">
            <v>0</v>
          </cell>
          <cell r="E155" t="e">
            <v>#VALUE!</v>
          </cell>
          <cell r="F155">
            <v>0</v>
          </cell>
        </row>
        <row r="156">
          <cell r="A156" t="str">
            <v>PURCCR5A</v>
          </cell>
          <cell r="B156">
            <v>0</v>
          </cell>
          <cell r="C156">
            <v>-25.843399047851563</v>
          </cell>
          <cell r="D156">
            <v>0</v>
          </cell>
          <cell r="E156" t="e">
            <v>#VALUE!</v>
          </cell>
          <cell r="F156">
            <v>0</v>
          </cell>
        </row>
        <row r="157">
          <cell r="A157" t="str">
            <v>PURCBTTA</v>
          </cell>
          <cell r="B157">
            <v>0</v>
          </cell>
          <cell r="C157">
            <v>0</v>
          </cell>
          <cell r="D157">
            <v>0</v>
          </cell>
          <cell r="E157" t="e">
            <v>#VALUE!</v>
          </cell>
          <cell r="F157">
            <v>0</v>
          </cell>
        </row>
        <row r="158">
          <cell r="A158" t="str">
            <v>PURCNBBA</v>
          </cell>
          <cell r="B158">
            <v>0</v>
          </cell>
          <cell r="C158">
            <v>0</v>
          </cell>
          <cell r="D158">
            <v>0</v>
          </cell>
          <cell r="E158" t="e">
            <v>#VALUE!</v>
          </cell>
          <cell r="F158">
            <v>0</v>
          </cell>
        </row>
        <row r="159">
          <cell r="A159" t="str">
            <v>PURCI5DA</v>
          </cell>
          <cell r="B159">
            <v>0</v>
          </cell>
          <cell r="C159">
            <v>0</v>
          </cell>
          <cell r="D159">
            <v>0</v>
          </cell>
          <cell r="E159" t="e">
            <v>#VALUE!</v>
          </cell>
          <cell r="F159">
            <v>0</v>
          </cell>
        </row>
        <row r="160">
          <cell r="A160" t="str">
            <v>PURCIZOA</v>
          </cell>
          <cell r="B160">
            <v>0</v>
          </cell>
          <cell r="C160">
            <v>0</v>
          </cell>
          <cell r="D160">
            <v>0</v>
          </cell>
          <cell r="E160" t="e">
            <v>#VALUE!</v>
          </cell>
          <cell r="F160">
            <v>0</v>
          </cell>
        </row>
        <row r="161">
          <cell r="A161" t="str">
            <v>PURCLVAB</v>
          </cell>
          <cell r="B161">
            <v>0</v>
          </cell>
          <cell r="C161">
            <v>0</v>
          </cell>
          <cell r="D161">
            <v>0</v>
          </cell>
          <cell r="E161" t="e">
            <v>#VALUE!</v>
          </cell>
          <cell r="F161">
            <v>0</v>
          </cell>
        </row>
        <row r="162">
          <cell r="A162" t="str">
            <v>PURCADIB</v>
          </cell>
          <cell r="B162">
            <v>0.34575400142483925</v>
          </cell>
          <cell r="C162">
            <v>0</v>
          </cell>
          <cell r="D162">
            <v>0</v>
          </cell>
          <cell r="E162" t="e">
            <v>#VALUE!</v>
          </cell>
          <cell r="F162">
            <v>0</v>
          </cell>
        </row>
        <row r="163">
          <cell r="A163" t="str">
            <v>PURCLPCB</v>
          </cell>
          <cell r="B163">
            <v>0</v>
          </cell>
          <cell r="C163">
            <v>0</v>
          </cell>
          <cell r="D163">
            <v>0</v>
          </cell>
          <cell r="E163" t="e">
            <v>#VALUE!</v>
          </cell>
          <cell r="F163">
            <v>0</v>
          </cell>
        </row>
        <row r="164">
          <cell r="A164" t="str">
            <v>PURCIOCB</v>
          </cell>
          <cell r="B164">
            <v>0</v>
          </cell>
          <cell r="C164">
            <v>0</v>
          </cell>
          <cell r="D164">
            <v>0</v>
          </cell>
          <cell r="E164" t="e">
            <v>#VALUE!</v>
          </cell>
          <cell r="F164">
            <v>0</v>
          </cell>
        </row>
        <row r="165">
          <cell r="A165" t="str">
            <v>PURCISOB</v>
          </cell>
          <cell r="B165">
            <v>0</v>
          </cell>
          <cell r="C165">
            <v>0</v>
          </cell>
          <cell r="D165">
            <v>0</v>
          </cell>
          <cell r="E165" t="e">
            <v>#VALUE!</v>
          </cell>
          <cell r="F165">
            <v>0</v>
          </cell>
        </row>
        <row r="166">
          <cell r="A166" t="str">
            <v>PURCBCDB</v>
          </cell>
          <cell r="B166">
            <v>0</v>
          </cell>
          <cell r="C166">
            <v>0</v>
          </cell>
          <cell r="D166">
            <v>0</v>
          </cell>
          <cell r="E166" t="e">
            <v>#VALUE!</v>
          </cell>
          <cell r="F166">
            <v>0</v>
          </cell>
        </row>
        <row r="167">
          <cell r="A167" t="str">
            <v>PURCRFTB</v>
          </cell>
          <cell r="B167">
            <v>0</v>
          </cell>
          <cell r="C167">
            <v>0</v>
          </cell>
          <cell r="D167">
            <v>0</v>
          </cell>
          <cell r="E167" t="e">
            <v>#VALUE!</v>
          </cell>
          <cell r="F167">
            <v>0</v>
          </cell>
        </row>
        <row r="168">
          <cell r="A168" t="str">
            <v>PURCGN2B</v>
          </cell>
          <cell r="B168">
            <v>2.5350332775548712E-2</v>
          </cell>
          <cell r="C168">
            <v>0</v>
          </cell>
          <cell r="D168">
            <v>0</v>
          </cell>
          <cell r="E168" t="e">
            <v>#VALUE!</v>
          </cell>
          <cell r="F168">
            <v>0</v>
          </cell>
        </row>
        <row r="169">
          <cell r="A169" t="str">
            <v>PURCGN3B</v>
          </cell>
          <cell r="B169">
            <v>0.11175954035700184</v>
          </cell>
          <cell r="C169">
            <v>0</v>
          </cell>
          <cell r="D169">
            <v>0</v>
          </cell>
          <cell r="E169" t="e">
            <v>#VALUE!</v>
          </cell>
          <cell r="F169">
            <v>0</v>
          </cell>
        </row>
        <row r="170">
          <cell r="A170" t="str">
            <v>PURCALKB</v>
          </cell>
          <cell r="B170">
            <v>0</v>
          </cell>
          <cell r="C170">
            <v>-48.285701751708984</v>
          </cell>
          <cell r="D170">
            <v>0</v>
          </cell>
          <cell r="E170" t="e">
            <v>#VALUE!</v>
          </cell>
          <cell r="F170">
            <v>0</v>
          </cell>
        </row>
        <row r="171">
          <cell r="A171" t="str">
            <v>PURCGSBB</v>
          </cell>
          <cell r="B171">
            <v>5.8333300985395908E-3</v>
          </cell>
          <cell r="C171">
            <v>0</v>
          </cell>
          <cell r="D171">
            <v>0</v>
          </cell>
          <cell r="E171" t="e">
            <v>#VALUE!</v>
          </cell>
          <cell r="F171">
            <v>0</v>
          </cell>
        </row>
        <row r="172">
          <cell r="A172" t="str">
            <v>PURCAGUB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1.5783712733536959E-3</v>
          </cell>
        </row>
        <row r="173">
          <cell r="A173" t="str">
            <v>PURC4LPB</v>
          </cell>
          <cell r="B173">
            <v>0</v>
          </cell>
          <cell r="C173">
            <v>0</v>
          </cell>
          <cell r="D173">
            <v>0</v>
          </cell>
          <cell r="E173" t="e">
            <v>#VALUE!</v>
          </cell>
          <cell r="F173">
            <v>0</v>
          </cell>
        </row>
        <row r="174">
          <cell r="A174" t="str">
            <v>PURCFILB</v>
          </cell>
          <cell r="B174">
            <v>0</v>
          </cell>
          <cell r="C174">
            <v>0</v>
          </cell>
          <cell r="D174">
            <v>0</v>
          </cell>
          <cell r="E174" t="e">
            <v>#VALUE!</v>
          </cell>
          <cell r="F174">
            <v>0</v>
          </cell>
        </row>
        <row r="175">
          <cell r="A175" t="str">
            <v>PURCPGSB</v>
          </cell>
          <cell r="B175">
            <v>5.9178099036216736E-2</v>
          </cell>
          <cell r="C175">
            <v>0</v>
          </cell>
          <cell r="D175">
            <v>0</v>
          </cell>
          <cell r="E175" t="e">
            <v>#VALUE!</v>
          </cell>
          <cell r="F175">
            <v>0</v>
          </cell>
        </row>
        <row r="176">
          <cell r="A176" t="str">
            <v>PURCBGSB</v>
          </cell>
          <cell r="B176">
            <v>3.9452098309993744E-2</v>
          </cell>
          <cell r="C176">
            <v>0</v>
          </cell>
          <cell r="D176">
            <v>0</v>
          </cell>
          <cell r="E176" t="e">
            <v>#VALUE!</v>
          </cell>
          <cell r="F176">
            <v>0</v>
          </cell>
        </row>
        <row r="177">
          <cell r="A177" t="str">
            <v>PURCMTBB</v>
          </cell>
          <cell r="B177">
            <v>0</v>
          </cell>
          <cell r="C177">
            <v>0</v>
          </cell>
          <cell r="D177">
            <v>0</v>
          </cell>
          <cell r="E177" t="e">
            <v>#VALUE!</v>
          </cell>
          <cell r="F177">
            <v>0</v>
          </cell>
        </row>
        <row r="178">
          <cell r="A178" t="str">
            <v>PURCC4FB</v>
          </cell>
          <cell r="B178">
            <v>0</v>
          </cell>
          <cell r="C178">
            <v>0</v>
          </cell>
          <cell r="D178">
            <v>0</v>
          </cell>
          <cell r="E178" t="e">
            <v>#VALUE!</v>
          </cell>
          <cell r="F178">
            <v>0</v>
          </cell>
        </row>
        <row r="179">
          <cell r="A179" t="str">
            <v>PURCIRPB</v>
          </cell>
          <cell r="B179">
            <v>0</v>
          </cell>
          <cell r="C179">
            <v>0</v>
          </cell>
          <cell r="D179">
            <v>0</v>
          </cell>
          <cell r="E179" t="e">
            <v>#VALUE!</v>
          </cell>
          <cell r="F179">
            <v>0</v>
          </cell>
        </row>
        <row r="180">
          <cell r="A180" t="str">
            <v>PURCADIC</v>
          </cell>
          <cell r="B180">
            <v>3.2747413401734336E-2</v>
          </cell>
          <cell r="C180">
            <v>-3.5000000149011612E-2</v>
          </cell>
          <cell r="D180">
            <v>0</v>
          </cell>
          <cell r="E180" t="e">
            <v>#VALUE!</v>
          </cell>
          <cell r="F180">
            <v>0</v>
          </cell>
        </row>
        <row r="181">
          <cell r="A181" t="str">
            <v>PURCGN4C</v>
          </cell>
          <cell r="B181">
            <v>0</v>
          </cell>
          <cell r="C181">
            <v>0</v>
          </cell>
          <cell r="D181">
            <v>0</v>
          </cell>
          <cell r="E181" t="e">
            <v>#VALUE!</v>
          </cell>
          <cell r="F181">
            <v>0</v>
          </cell>
        </row>
        <row r="182">
          <cell r="A182" t="str">
            <v>PURCALHC</v>
          </cell>
          <cell r="B182">
            <v>0</v>
          </cell>
          <cell r="C182">
            <v>-33.950000762939453</v>
          </cell>
          <cell r="D182">
            <v>0</v>
          </cell>
          <cell r="E182" t="e">
            <v>#VALUE!</v>
          </cell>
          <cell r="F182">
            <v>0</v>
          </cell>
        </row>
        <row r="183">
          <cell r="A183" t="str">
            <v>PURCMTCC</v>
          </cell>
          <cell r="B183">
            <v>0</v>
          </cell>
          <cell r="C183">
            <v>0</v>
          </cell>
          <cell r="D183">
            <v>0</v>
          </cell>
          <cell r="E183" t="e">
            <v>#VALUE!</v>
          </cell>
          <cell r="F183">
            <v>0</v>
          </cell>
        </row>
        <row r="184">
          <cell r="A184" t="str">
            <v>PURCISOC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48.936599731445313</v>
          </cell>
        </row>
        <row r="185">
          <cell r="A185" t="str">
            <v>PURCGNTC</v>
          </cell>
          <cell r="B185">
            <v>8.2191801629960537E-4</v>
          </cell>
          <cell r="C185">
            <v>0</v>
          </cell>
          <cell r="D185">
            <v>0</v>
          </cell>
          <cell r="E185" t="e">
            <v>#VALUE!</v>
          </cell>
          <cell r="F185">
            <v>0</v>
          </cell>
        </row>
        <row r="186">
          <cell r="A186" t="str">
            <v>PURCR94C</v>
          </cell>
          <cell r="B186">
            <v>0</v>
          </cell>
          <cell r="C186">
            <v>0</v>
          </cell>
          <cell r="D186">
            <v>0</v>
          </cell>
          <cell r="E186" t="e">
            <v>#VALUE!</v>
          </cell>
          <cell r="F186">
            <v>0</v>
          </cell>
        </row>
        <row r="187">
          <cell r="A187" t="str">
            <v>PURCGN5D</v>
          </cell>
          <cell r="B187">
            <v>0.25170982455554075</v>
          </cell>
          <cell r="C187">
            <v>0</v>
          </cell>
          <cell r="D187">
            <v>0</v>
          </cell>
          <cell r="E187" t="e">
            <v>#VALUE!</v>
          </cell>
          <cell r="F187">
            <v>0</v>
          </cell>
        </row>
        <row r="188">
          <cell r="A188" t="str">
            <v>PURCGN6D</v>
          </cell>
          <cell r="B188">
            <v>2.4279949946762764E-2</v>
          </cell>
          <cell r="C188">
            <v>0</v>
          </cell>
          <cell r="D188">
            <v>0</v>
          </cell>
          <cell r="E188" t="e">
            <v>#VALUE!</v>
          </cell>
          <cell r="F188">
            <v>0</v>
          </cell>
        </row>
        <row r="189">
          <cell r="A189" t="str">
            <v>PURCMTBD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-59.960399627685547</v>
          </cell>
        </row>
        <row r="190">
          <cell r="A190" t="str">
            <v>PURCGPRD</v>
          </cell>
          <cell r="B190">
            <v>0</v>
          </cell>
          <cell r="C190">
            <v>0</v>
          </cell>
          <cell r="D190">
            <v>0</v>
          </cell>
          <cell r="E190" t="e">
            <v>#VALUE!</v>
          </cell>
          <cell r="F190">
            <v>0</v>
          </cell>
        </row>
        <row r="191">
          <cell r="A191" t="str">
            <v>PURCNT1D</v>
          </cell>
          <cell r="B191">
            <v>0</v>
          </cell>
          <cell r="C191">
            <v>0</v>
          </cell>
          <cell r="D191">
            <v>0</v>
          </cell>
          <cell r="E191" t="e">
            <v>#VALUE!</v>
          </cell>
          <cell r="F191">
            <v>0</v>
          </cell>
        </row>
        <row r="192">
          <cell r="A192" t="str">
            <v>PURCNLSD</v>
          </cell>
          <cell r="B192">
            <v>0</v>
          </cell>
          <cell r="C192">
            <v>0</v>
          </cell>
          <cell r="D192">
            <v>0</v>
          </cell>
          <cell r="E192" t="e">
            <v>#VALUE!</v>
          </cell>
          <cell r="F192">
            <v>0</v>
          </cell>
        </row>
        <row r="193">
          <cell r="A193" t="str">
            <v>PURCXL1D</v>
          </cell>
          <cell r="B193">
            <v>0</v>
          </cell>
          <cell r="C193">
            <v>0</v>
          </cell>
          <cell r="D193">
            <v>0</v>
          </cell>
          <cell r="E193" t="e">
            <v>#VALUE!</v>
          </cell>
          <cell r="F193">
            <v>0</v>
          </cell>
        </row>
        <row r="194">
          <cell r="A194" t="str">
            <v>PURCMXYD</v>
          </cell>
          <cell r="B194">
            <v>0</v>
          </cell>
          <cell r="C194">
            <v>0</v>
          </cell>
          <cell r="D194">
            <v>0</v>
          </cell>
          <cell r="E194" t="e">
            <v>#VALUE!</v>
          </cell>
          <cell r="F194">
            <v>0</v>
          </cell>
        </row>
        <row r="195">
          <cell r="A195" t="str">
            <v>PURCNOND</v>
          </cell>
          <cell r="B195">
            <v>0</v>
          </cell>
          <cell r="C195">
            <v>0</v>
          </cell>
          <cell r="D195">
            <v>0</v>
          </cell>
          <cell r="E195" t="e">
            <v>#VALUE!</v>
          </cell>
          <cell r="F195">
            <v>0</v>
          </cell>
        </row>
        <row r="196">
          <cell r="A196" t="str">
            <v>PURCAGUD</v>
          </cell>
          <cell r="B196">
            <v>2.6353457927295605E-2</v>
          </cell>
          <cell r="C196">
            <v>0</v>
          </cell>
          <cell r="D196">
            <v>0</v>
          </cell>
          <cell r="E196" t="e">
            <v>#VALUE!</v>
          </cell>
          <cell r="F196">
            <v>0</v>
          </cell>
        </row>
        <row r="197">
          <cell r="A197" t="str">
            <v>PURCOCTD</v>
          </cell>
          <cell r="B197">
            <v>0</v>
          </cell>
          <cell r="C197">
            <v>0</v>
          </cell>
          <cell r="D197">
            <v>0</v>
          </cell>
          <cell r="E197" t="e">
            <v>#VALUE!</v>
          </cell>
          <cell r="F197">
            <v>0</v>
          </cell>
        </row>
        <row r="198">
          <cell r="A198" t="str">
            <v>PURCDODD</v>
          </cell>
          <cell r="B198">
            <v>0</v>
          </cell>
          <cell r="C198">
            <v>0</v>
          </cell>
          <cell r="D198">
            <v>0</v>
          </cell>
          <cell r="E198" t="e">
            <v>#VALUE!</v>
          </cell>
          <cell r="F198">
            <v>0</v>
          </cell>
        </row>
        <row r="199">
          <cell r="A199" t="str">
            <v>PURCBEND</v>
          </cell>
          <cell r="B199">
            <v>0</v>
          </cell>
          <cell r="C199">
            <v>0</v>
          </cell>
          <cell r="D199">
            <v>0</v>
          </cell>
          <cell r="E199" t="e">
            <v>#VALUE!</v>
          </cell>
          <cell r="F199">
            <v>0</v>
          </cell>
        </row>
        <row r="200">
          <cell r="A200" t="str">
            <v>PURCHEXD</v>
          </cell>
          <cell r="B200">
            <v>0</v>
          </cell>
          <cell r="C200">
            <v>0</v>
          </cell>
          <cell r="D200">
            <v>0</v>
          </cell>
          <cell r="E200" t="e">
            <v>#VALUE!</v>
          </cell>
          <cell r="F200">
            <v>0</v>
          </cell>
        </row>
        <row r="201">
          <cell r="A201" t="str">
            <v>PURCHEPD</v>
          </cell>
          <cell r="B201">
            <v>0</v>
          </cell>
          <cell r="C201">
            <v>0</v>
          </cell>
          <cell r="D201">
            <v>0</v>
          </cell>
          <cell r="E201" t="e">
            <v>#VALUE!</v>
          </cell>
          <cell r="F201">
            <v>0</v>
          </cell>
        </row>
        <row r="202">
          <cell r="A202" t="str">
            <v>PURCTOLD</v>
          </cell>
          <cell r="B202">
            <v>0</v>
          </cell>
          <cell r="C202">
            <v>0</v>
          </cell>
          <cell r="D202">
            <v>0</v>
          </cell>
          <cell r="E202" t="e">
            <v>#VALUE!</v>
          </cell>
          <cell r="F202">
            <v>0</v>
          </cell>
        </row>
        <row r="203">
          <cell r="A203" t="str">
            <v>PURCMN1D</v>
          </cell>
          <cell r="B203">
            <v>0</v>
          </cell>
          <cell r="C203">
            <v>0</v>
          </cell>
          <cell r="D203">
            <v>0</v>
          </cell>
          <cell r="E203" t="e">
            <v>#VALUE!</v>
          </cell>
          <cell r="F203">
            <v>0</v>
          </cell>
        </row>
        <row r="204">
          <cell r="A204" t="str">
            <v>PURCMJOD</v>
          </cell>
          <cell r="B204">
            <v>0</v>
          </cell>
          <cell r="C204">
            <v>0</v>
          </cell>
          <cell r="D204">
            <v>0</v>
          </cell>
          <cell r="E204" t="e">
            <v>#VALUE!</v>
          </cell>
          <cell r="F204">
            <v>0</v>
          </cell>
        </row>
        <row r="205">
          <cell r="A205" t="str">
            <v>PURCSULD</v>
          </cell>
          <cell r="B205">
            <v>6.690881073423853E-3</v>
          </cell>
          <cell r="C205">
            <v>0</v>
          </cell>
          <cell r="D205">
            <v>0</v>
          </cell>
          <cell r="E205" t="e">
            <v>#VALUE!</v>
          </cell>
          <cell r="F205">
            <v>0</v>
          </cell>
        </row>
        <row r="206">
          <cell r="A206" t="str">
            <v>PURCAIRD</v>
          </cell>
          <cell r="B206">
            <v>7.9653344563629536E-3</v>
          </cell>
          <cell r="C206">
            <v>0</v>
          </cell>
          <cell r="D206">
            <v>0</v>
          </cell>
          <cell r="E206" t="e">
            <v>#VALUE!</v>
          </cell>
          <cell r="F206">
            <v>0</v>
          </cell>
        </row>
        <row r="207">
          <cell r="A207" t="str">
            <v>PURCGN5F</v>
          </cell>
          <cell r="B207">
            <v>4.3123096302598204E-4</v>
          </cell>
          <cell r="C207">
            <v>0</v>
          </cell>
          <cell r="D207">
            <v>0</v>
          </cell>
          <cell r="E207" t="e">
            <v>#VALUE!</v>
          </cell>
          <cell r="F207">
            <v>0</v>
          </cell>
        </row>
        <row r="208">
          <cell r="A208" t="str">
            <v>PURCAL0E</v>
          </cell>
          <cell r="B208">
            <v>0.31999999284744263</v>
          </cell>
          <cell r="C208">
            <v>0</v>
          </cell>
          <cell r="D208">
            <v>0</v>
          </cell>
          <cell r="E208" t="e">
            <v>#VALUE!</v>
          </cell>
          <cell r="F208">
            <v>0</v>
          </cell>
        </row>
        <row r="209">
          <cell r="A209" t="str">
            <v>PURCCE0E</v>
          </cell>
          <cell r="B209">
            <v>0.41999998688697815</v>
          </cell>
          <cell r="C209">
            <v>0</v>
          </cell>
          <cell r="D209">
            <v>0</v>
          </cell>
          <cell r="E209" t="e">
            <v>#VALUE!</v>
          </cell>
          <cell r="F209">
            <v>0</v>
          </cell>
        </row>
        <row r="210">
          <cell r="A210" t="str">
            <v>PURCCC0E</v>
          </cell>
          <cell r="B210">
            <v>0.55000001192092896</v>
          </cell>
          <cell r="C210">
            <v>0</v>
          </cell>
          <cell r="D210">
            <v>0</v>
          </cell>
          <cell r="E210" t="e">
            <v>#VALUE!</v>
          </cell>
          <cell r="F210">
            <v>0</v>
          </cell>
        </row>
        <row r="211">
          <cell r="A211" t="str">
            <v>PURCCH0E</v>
          </cell>
          <cell r="B211">
            <v>5.0999999046325684</v>
          </cell>
          <cell r="C211">
            <v>0</v>
          </cell>
          <cell r="D211">
            <v>0</v>
          </cell>
          <cell r="E211" t="e">
            <v>#VALUE!</v>
          </cell>
          <cell r="F211">
            <v>0</v>
          </cell>
        </row>
        <row r="212">
          <cell r="A212" t="str">
            <v>PURCCL0E</v>
          </cell>
          <cell r="B212">
            <v>1.5</v>
          </cell>
          <cell r="C212">
            <v>0</v>
          </cell>
          <cell r="D212">
            <v>0</v>
          </cell>
          <cell r="E212" t="e">
            <v>#VALUE!</v>
          </cell>
          <cell r="F212">
            <v>0</v>
          </cell>
        </row>
        <row r="213">
          <cell r="A213" t="str">
            <v>PURCLL0E</v>
          </cell>
          <cell r="B213">
            <v>0.30000001192092896</v>
          </cell>
          <cell r="C213">
            <v>0</v>
          </cell>
          <cell r="D213">
            <v>0</v>
          </cell>
          <cell r="E213" t="e">
            <v>#VALUE!</v>
          </cell>
          <cell r="F213">
            <v>0</v>
          </cell>
        </row>
        <row r="214">
          <cell r="A214" t="str">
            <v>PURCDV0E</v>
          </cell>
          <cell r="B214">
            <v>1.8250000476837158</v>
          </cell>
          <cell r="C214">
            <v>0</v>
          </cell>
          <cell r="D214">
            <v>0</v>
          </cell>
          <cell r="E214" t="e">
            <v>#VALUE!</v>
          </cell>
          <cell r="F214">
            <v>0</v>
          </cell>
        </row>
        <row r="215">
          <cell r="A215" t="str">
            <v>PURCFR0E</v>
          </cell>
          <cell r="B215">
            <v>9.4999998807907104E-2</v>
          </cell>
          <cell r="C215">
            <v>0</v>
          </cell>
          <cell r="D215">
            <v>0</v>
          </cell>
          <cell r="E215" t="e">
            <v>#VALUE!</v>
          </cell>
          <cell r="F215">
            <v>0</v>
          </cell>
        </row>
        <row r="216">
          <cell r="A216" t="str">
            <v>PURCGL0E</v>
          </cell>
          <cell r="B216">
            <v>0.66699999570846558</v>
          </cell>
          <cell r="C216">
            <v>0</v>
          </cell>
          <cell r="D216">
            <v>0</v>
          </cell>
          <cell r="E216" t="e">
            <v>#VALUE!</v>
          </cell>
          <cell r="F216">
            <v>0</v>
          </cell>
        </row>
        <row r="217">
          <cell r="A217" t="str">
            <v>PURCMD0E</v>
          </cell>
          <cell r="B217">
            <v>2.7699999809265137</v>
          </cell>
          <cell r="C217">
            <v>0</v>
          </cell>
          <cell r="D217">
            <v>0</v>
          </cell>
          <cell r="E217" t="e">
            <v>#VALUE!</v>
          </cell>
          <cell r="F217">
            <v>0</v>
          </cell>
        </row>
        <row r="218">
          <cell r="A218" t="str">
            <v>PURCMG0E</v>
          </cell>
          <cell r="B218">
            <v>0.50499999523162842</v>
          </cell>
          <cell r="C218">
            <v>0</v>
          </cell>
          <cell r="D218">
            <v>0</v>
          </cell>
          <cell r="E218" t="e">
            <v>#VALUE!</v>
          </cell>
          <cell r="F218">
            <v>0</v>
          </cell>
        </row>
        <row r="219">
          <cell r="A219" t="str">
            <v>PURCMN0E</v>
          </cell>
          <cell r="B219">
            <v>5.5999999046325684</v>
          </cell>
          <cell r="C219">
            <v>0</v>
          </cell>
          <cell r="D219">
            <v>0</v>
          </cell>
          <cell r="E219" t="e">
            <v>#VALUE!</v>
          </cell>
          <cell r="F219">
            <v>0</v>
          </cell>
        </row>
        <row r="220">
          <cell r="A220" t="str">
            <v>PURCND0E</v>
          </cell>
          <cell r="B220">
            <v>0.56000000238418579</v>
          </cell>
          <cell r="C220">
            <v>0</v>
          </cell>
          <cell r="D220">
            <v>0</v>
          </cell>
          <cell r="E220" t="e">
            <v>#VALUE!</v>
          </cell>
          <cell r="F220">
            <v>0</v>
          </cell>
        </row>
        <row r="221">
          <cell r="A221" t="str">
            <v>PURCCO0E</v>
          </cell>
          <cell r="B221">
            <v>0</v>
          </cell>
          <cell r="C221">
            <v>0</v>
          </cell>
          <cell r="D221">
            <v>0</v>
          </cell>
          <cell r="E221" t="e">
            <v>#VALUE!</v>
          </cell>
          <cell r="F221">
            <v>0</v>
          </cell>
        </row>
        <row r="222">
          <cell r="A222" t="str">
            <v>PURCAD0E</v>
          </cell>
          <cell r="B222">
            <v>0.23999999463558197</v>
          </cell>
          <cell r="C222">
            <v>0</v>
          </cell>
          <cell r="D222">
            <v>0</v>
          </cell>
          <cell r="E222" t="e">
            <v>#VALUE!</v>
          </cell>
          <cell r="F222">
            <v>0</v>
          </cell>
        </row>
        <row r="223">
          <cell r="A223" t="str">
            <v>PURCNQ0E</v>
          </cell>
          <cell r="B223">
            <v>12.038032816534173</v>
          </cell>
          <cell r="C223">
            <v>0</v>
          </cell>
          <cell r="D223">
            <v>0</v>
          </cell>
          <cell r="E223" t="e">
            <v>#VALUE!</v>
          </cell>
          <cell r="F223">
            <v>0</v>
          </cell>
        </row>
        <row r="224">
          <cell r="A224" t="str">
            <v>PURCAG0E</v>
          </cell>
          <cell r="B224">
            <v>0</v>
          </cell>
          <cell r="C224">
            <v>0</v>
          </cell>
          <cell r="D224">
            <v>0</v>
          </cell>
          <cell r="E224" t="e">
            <v>#VALUE!</v>
          </cell>
          <cell r="F224">
            <v>0</v>
          </cell>
        </row>
        <row r="225">
          <cell r="A225" t="str">
            <v>PURCPC0E</v>
          </cell>
          <cell r="B225">
            <v>0.40000000596046448</v>
          </cell>
          <cell r="C225">
            <v>0</v>
          </cell>
          <cell r="D225">
            <v>0</v>
          </cell>
          <cell r="E225" t="e">
            <v>#VALUE!</v>
          </cell>
          <cell r="F225">
            <v>0</v>
          </cell>
        </row>
        <row r="226">
          <cell r="A226" t="str">
            <v>PURCSD0E</v>
          </cell>
          <cell r="B226">
            <v>0.40000000596046448</v>
          </cell>
          <cell r="C226">
            <v>0</v>
          </cell>
          <cell r="D226">
            <v>0</v>
          </cell>
          <cell r="E226" t="e">
            <v>#VALUE!</v>
          </cell>
          <cell r="F226">
            <v>0</v>
          </cell>
        </row>
        <row r="227">
          <cell r="A227" t="str">
            <v>PURCSN0E</v>
          </cell>
          <cell r="B227">
            <v>11.199999809265137</v>
          </cell>
          <cell r="C227">
            <v>0</v>
          </cell>
          <cell r="D227">
            <v>0</v>
          </cell>
          <cell r="E227" t="e">
            <v>#VALUE!</v>
          </cell>
          <cell r="F227">
            <v>0</v>
          </cell>
        </row>
        <row r="228">
          <cell r="A228" t="str">
            <v>PURCSS0E</v>
          </cell>
          <cell r="B228">
            <v>0</v>
          </cell>
          <cell r="C228">
            <v>0</v>
          </cell>
          <cell r="D228">
            <v>0</v>
          </cell>
          <cell r="E228" t="e">
            <v>#VALUE!</v>
          </cell>
          <cell r="F228">
            <v>0</v>
          </cell>
        </row>
        <row r="229">
          <cell r="A229" t="str">
            <v>PURCTF0E</v>
          </cell>
          <cell r="B229">
            <v>0.18999999761581421</v>
          </cell>
          <cell r="C229">
            <v>0</v>
          </cell>
          <cell r="D229">
            <v>0</v>
          </cell>
          <cell r="E229" t="e">
            <v>#VALUE!</v>
          </cell>
          <cell r="F229">
            <v>0</v>
          </cell>
        </row>
        <row r="230">
          <cell r="A230" t="str">
            <v>PURCS50E</v>
          </cell>
          <cell r="B230">
            <v>0</v>
          </cell>
          <cell r="C230">
            <v>0</v>
          </cell>
          <cell r="D230">
            <v>0</v>
          </cell>
          <cell r="E230" t="e">
            <v>#VALUE!</v>
          </cell>
          <cell r="F230">
            <v>0</v>
          </cell>
        </row>
        <row r="231">
          <cell r="A231" t="str">
            <v>PURCS40E</v>
          </cell>
          <cell r="B231">
            <v>0</v>
          </cell>
          <cell r="C231">
            <v>0</v>
          </cell>
          <cell r="D231">
            <v>0</v>
          </cell>
          <cell r="E231" t="e">
            <v>#VALUE!</v>
          </cell>
          <cell r="F231">
            <v>0</v>
          </cell>
        </row>
        <row r="232">
          <cell r="A232" t="str">
            <v>PURCPGGE</v>
          </cell>
          <cell r="B232">
            <v>0.12943600118160248</v>
          </cell>
          <cell r="C232">
            <v>0</v>
          </cell>
          <cell r="D232">
            <v>0</v>
          </cell>
          <cell r="E232" t="e">
            <v>#VALUE!</v>
          </cell>
          <cell r="F232">
            <v>0</v>
          </cell>
        </row>
        <row r="233">
          <cell r="A233" t="str">
            <v>PURCBGGE</v>
          </cell>
          <cell r="B233">
            <v>7.3134399950504303E-2</v>
          </cell>
          <cell r="C233">
            <v>0</v>
          </cell>
          <cell r="D233">
            <v>0</v>
          </cell>
          <cell r="E233" t="e">
            <v>#VALUE!</v>
          </cell>
          <cell r="F233">
            <v>0</v>
          </cell>
        </row>
        <row r="234">
          <cell r="A234" t="str">
            <v>PURCCANG</v>
          </cell>
          <cell r="B234">
            <v>0</v>
          </cell>
          <cell r="C234">
            <v>0</v>
          </cell>
          <cell r="D234">
            <v>0</v>
          </cell>
          <cell r="E234" t="e">
            <v>#VALUE!</v>
          </cell>
          <cell r="F234">
            <v>0</v>
          </cell>
        </row>
        <row r="235">
          <cell r="A235" t="str">
            <v>PURCSANG</v>
          </cell>
          <cell r="B235">
            <v>0</v>
          </cell>
          <cell r="C235">
            <v>0</v>
          </cell>
          <cell r="D235">
            <v>0</v>
          </cell>
          <cell r="E235" t="e">
            <v>#VALUE!</v>
          </cell>
          <cell r="F235">
            <v>0</v>
          </cell>
        </row>
        <row r="236">
          <cell r="A236" t="str">
            <v>PURCCENG</v>
          </cell>
          <cell r="B236">
            <v>0</v>
          </cell>
          <cell r="C236">
            <v>0</v>
          </cell>
          <cell r="D236">
            <v>0</v>
          </cell>
          <cell r="E236" t="e">
            <v>#VALUE!</v>
          </cell>
          <cell r="F236">
            <v>0</v>
          </cell>
        </row>
        <row r="237">
          <cell r="A237" t="str">
            <v>PURCIOGG</v>
          </cell>
          <cell r="B237">
            <v>1.4247899795231753</v>
          </cell>
          <cell r="C237">
            <v>0</v>
          </cell>
          <cell r="D237">
            <v>0</v>
          </cell>
          <cell r="E237" t="e">
            <v>#VALUE!</v>
          </cell>
          <cell r="F237">
            <v>0</v>
          </cell>
        </row>
        <row r="238">
          <cell r="A238" t="str">
            <v>PURCTEJG</v>
          </cell>
          <cell r="B238">
            <v>0</v>
          </cell>
          <cell r="C238">
            <v>0</v>
          </cell>
          <cell r="D238">
            <v>0</v>
          </cell>
          <cell r="E238" t="e">
            <v>#VALUE!</v>
          </cell>
          <cell r="F238">
            <v>0</v>
          </cell>
        </row>
        <row r="239">
          <cell r="A239" t="str">
            <v>PURCREKG</v>
          </cell>
          <cell r="B239">
            <v>0</v>
          </cell>
          <cell r="C239">
            <v>0</v>
          </cell>
          <cell r="D239">
            <v>0</v>
          </cell>
          <cell r="E239" t="e">
            <v>#VALUE!</v>
          </cell>
          <cell r="F239">
            <v>0</v>
          </cell>
        </row>
        <row r="240">
          <cell r="A240" t="str">
            <v>PURCPLNG</v>
          </cell>
          <cell r="B240">
            <v>6.0205877087181052E-5</v>
          </cell>
          <cell r="C240">
            <v>0</v>
          </cell>
          <cell r="D240">
            <v>0</v>
          </cell>
          <cell r="E240" t="e">
            <v>#VALUE!</v>
          </cell>
          <cell r="F240">
            <v>0</v>
          </cell>
        </row>
        <row r="241">
          <cell r="A241" t="str">
            <v>PURCATBG</v>
          </cell>
          <cell r="B241">
            <v>0</v>
          </cell>
          <cell r="C241">
            <v>0</v>
          </cell>
          <cell r="D241">
            <v>0</v>
          </cell>
          <cell r="E241" t="e">
            <v>#VALUE!</v>
          </cell>
          <cell r="F241">
            <v>0</v>
          </cell>
        </row>
        <row r="242">
          <cell r="A242" t="str">
            <v>PURCBT2G</v>
          </cell>
          <cell r="B242">
            <v>0</v>
          </cell>
          <cell r="C242">
            <v>0</v>
          </cell>
          <cell r="D242">
            <v>0</v>
          </cell>
          <cell r="E242" t="e">
            <v>#VALUE!</v>
          </cell>
          <cell r="F242">
            <v>0</v>
          </cell>
        </row>
        <row r="243">
          <cell r="A243" t="str">
            <v>SELNACAA</v>
          </cell>
          <cell r="B243">
            <v>8.0458017265143456E-2</v>
          </cell>
          <cell r="C243">
            <v>-21.030000686645508</v>
          </cell>
          <cell r="D243">
            <v>0</v>
          </cell>
          <cell r="E243" t="e">
            <v>#VALUE!</v>
          </cell>
          <cell r="F243">
            <v>0</v>
          </cell>
        </row>
        <row r="244">
          <cell r="A244" t="str">
            <v>SELNACAG</v>
          </cell>
          <cell r="B244">
            <v>0</v>
          </cell>
          <cell r="C244">
            <v>-21.033100128173828</v>
          </cell>
          <cell r="D244">
            <v>0</v>
          </cell>
          <cell r="E244" t="e">
            <v>#VALUE!</v>
          </cell>
          <cell r="F244">
            <v>-5.2438586375714369</v>
          </cell>
        </row>
        <row r="245">
          <cell r="A245" t="str">
            <v>SELNACAB</v>
          </cell>
          <cell r="B245">
            <v>3.5243540389897072E-3</v>
          </cell>
          <cell r="C245">
            <v>-17.493000030517578</v>
          </cell>
          <cell r="D245">
            <v>0</v>
          </cell>
          <cell r="E245" t="e">
            <v>#VALUE!</v>
          </cell>
          <cell r="F245">
            <v>-2.3626654740882245</v>
          </cell>
        </row>
        <row r="246">
          <cell r="A246" t="str">
            <v xml:space="preserve">SELNACA </v>
          </cell>
          <cell r="B246">
            <v>8.3982371773621806E-2</v>
          </cell>
          <cell r="C246">
            <v>277.2449951171875</v>
          </cell>
          <cell r="D246">
            <v>8.3982371773621806E-2</v>
          </cell>
          <cell r="E246">
            <v>8.3982371773621806E-2</v>
          </cell>
          <cell r="F246">
            <v>-89.205262380103548</v>
          </cell>
        </row>
        <row r="247">
          <cell r="A247" t="str">
            <v>SELNASAA</v>
          </cell>
          <cell r="B247">
            <v>0.123555433096951</v>
          </cell>
          <cell r="C247">
            <v>-21.030000686645508</v>
          </cell>
          <cell r="D247">
            <v>0</v>
          </cell>
          <cell r="E247" t="e">
            <v>#VALUE!</v>
          </cell>
          <cell r="F247">
            <v>-1.9187287918508869</v>
          </cell>
        </row>
        <row r="248">
          <cell r="A248" t="str">
            <v>SELNASAG</v>
          </cell>
          <cell r="B248">
            <v>0</v>
          </cell>
          <cell r="C248">
            <v>-21.033100128173828</v>
          </cell>
          <cell r="D248">
            <v>0</v>
          </cell>
          <cell r="E248" t="e">
            <v>#VALUE!</v>
          </cell>
          <cell r="F248">
            <v>-1.9218287511900936</v>
          </cell>
        </row>
        <row r="249">
          <cell r="A249" t="str">
            <v>SELNASAB</v>
          </cell>
          <cell r="B249">
            <v>0.12698018109961731</v>
          </cell>
          <cell r="C249">
            <v>-17.493000030517578</v>
          </cell>
          <cell r="D249">
            <v>0</v>
          </cell>
          <cell r="E249" t="e">
            <v>#VALUE!</v>
          </cell>
          <cell r="F249">
            <v>-1.099660939713047</v>
          </cell>
        </row>
        <row r="250">
          <cell r="A250" t="str">
            <v xml:space="preserve">SELNASA </v>
          </cell>
          <cell r="B250">
            <v>0.25053561419656833</v>
          </cell>
          <cell r="C250">
            <v>289.57400512695313</v>
          </cell>
          <cell r="D250">
            <v>0.25053561419656833</v>
          </cell>
          <cell r="E250">
            <v>0.25053561419656833</v>
          </cell>
          <cell r="F250">
            <v>-109.2070190638712</v>
          </cell>
        </row>
        <row r="251">
          <cell r="A251" t="str">
            <v>SELNECAA</v>
          </cell>
          <cell r="B251">
            <v>0</v>
          </cell>
          <cell r="C251">
            <v>-21.030000686645508</v>
          </cell>
          <cell r="D251">
            <v>0</v>
          </cell>
          <cell r="E251">
            <v>0</v>
          </cell>
          <cell r="F251">
            <v>-0.90249867896511127</v>
          </cell>
        </row>
        <row r="252">
          <cell r="A252" t="str">
            <v>SELNECAG</v>
          </cell>
          <cell r="B252">
            <v>0</v>
          </cell>
          <cell r="C252">
            <v>-21.033100128173828</v>
          </cell>
          <cell r="D252">
            <v>0</v>
          </cell>
          <cell r="E252" t="e">
            <v>#VALUE!</v>
          </cell>
          <cell r="F252">
            <v>-3.8811932002028375</v>
          </cell>
        </row>
        <row r="253">
          <cell r="A253" t="str">
            <v>SELNECAB</v>
          </cell>
          <cell r="B253">
            <v>0.1190574710703876</v>
          </cell>
          <cell r="C253">
            <v>-17.202999114990234</v>
          </cell>
          <cell r="D253">
            <v>0</v>
          </cell>
          <cell r="E253" t="e">
            <v>#VALUE!</v>
          </cell>
          <cell r="F253">
            <v>0</v>
          </cell>
        </row>
        <row r="254">
          <cell r="A254" t="str">
            <v xml:space="preserve">SELNECA </v>
          </cell>
          <cell r="B254">
            <v>0.1190574710703876</v>
          </cell>
          <cell r="C254">
            <v>293.22799682617188</v>
          </cell>
          <cell r="D254">
            <v>0.1190574710703876</v>
          </cell>
          <cell r="E254">
            <v>0.1190574710703876</v>
          </cell>
          <cell r="F254">
            <v>-116.84388766354077</v>
          </cell>
        </row>
        <row r="255">
          <cell r="A255" t="str">
            <v>SELGOIAA</v>
          </cell>
          <cell r="B255">
            <v>0.9001795905910126</v>
          </cell>
          <cell r="C255">
            <v>-21.033100128173828</v>
          </cell>
          <cell r="D255">
            <v>0</v>
          </cell>
          <cell r="E255" t="e">
            <v>#VALUE!</v>
          </cell>
          <cell r="F255">
            <v>0</v>
          </cell>
        </row>
        <row r="256">
          <cell r="A256" t="str">
            <v>SELGOIAG</v>
          </cell>
          <cell r="B256">
            <v>0.28442512734295572</v>
          </cell>
          <cell r="C256">
            <v>-21.033100128173828</v>
          </cell>
          <cell r="D256">
            <v>0</v>
          </cell>
          <cell r="E256">
            <v>999</v>
          </cell>
          <cell r="F256">
            <v>-2.4657533623673635E-6</v>
          </cell>
        </row>
        <row r="257">
          <cell r="A257" t="str">
            <v>SELGOIAB</v>
          </cell>
          <cell r="B257">
            <v>0.10055569540964414</v>
          </cell>
          <cell r="C257">
            <v>-17.493000030517578</v>
          </cell>
          <cell r="D257">
            <v>0</v>
          </cell>
          <cell r="E257" t="e">
            <v>#VALUE!</v>
          </cell>
          <cell r="F257">
            <v>-1.9838703514778451</v>
          </cell>
        </row>
        <row r="258">
          <cell r="A258" t="str">
            <v xml:space="preserve">SELGOIA </v>
          </cell>
          <cell r="B258">
            <v>1.2851604095877034</v>
          </cell>
          <cell r="C258">
            <v>340.31100463867188</v>
          </cell>
          <cell r="D258">
            <v>1.2851604095877034</v>
          </cell>
          <cell r="E258">
            <v>1.2851604095877034</v>
          </cell>
          <cell r="F258">
            <v>-47.186306146073015</v>
          </cell>
        </row>
        <row r="259">
          <cell r="A259" t="str">
            <v>SELGIOAA</v>
          </cell>
          <cell r="B259">
            <v>0</v>
          </cell>
          <cell r="C259">
            <v>-21.033100128173828</v>
          </cell>
          <cell r="D259">
            <v>0</v>
          </cell>
          <cell r="E259" t="e">
            <v>#VALUE!</v>
          </cell>
          <cell r="F259">
            <v>-21.033100128173828</v>
          </cell>
        </row>
        <row r="260">
          <cell r="A260" t="str">
            <v>SELGIOAB</v>
          </cell>
          <cell r="B260">
            <v>0</v>
          </cell>
          <cell r="C260">
            <v>-17.493000030517578</v>
          </cell>
          <cell r="D260">
            <v>0</v>
          </cell>
          <cell r="E260" t="e">
            <v>#VALUE!</v>
          </cell>
          <cell r="F260">
            <v>-17.493000030517578</v>
          </cell>
        </row>
        <row r="261">
          <cell r="A261" t="str">
            <v xml:space="preserve">SELGIOA </v>
          </cell>
          <cell r="B261">
            <v>0</v>
          </cell>
          <cell r="C261">
            <v>340.31100463867188</v>
          </cell>
          <cell r="D261">
            <v>0</v>
          </cell>
          <cell r="E261">
            <v>0</v>
          </cell>
          <cell r="F261">
            <v>340.31100463867188</v>
          </cell>
        </row>
        <row r="262">
          <cell r="A262" t="str">
            <v>SELDSLAA</v>
          </cell>
          <cell r="B262">
            <v>0</v>
          </cell>
          <cell r="C262">
            <v>-21.033100128173828</v>
          </cell>
          <cell r="D262">
            <v>0</v>
          </cell>
          <cell r="E262" t="e">
            <v>#VALUE!</v>
          </cell>
          <cell r="F262">
            <v>-387.49067733973675</v>
          </cell>
        </row>
        <row r="263">
          <cell r="A263" t="str">
            <v>SELDSLAB</v>
          </cell>
          <cell r="B263">
            <v>0</v>
          </cell>
          <cell r="C263">
            <v>-17.493000030517578</v>
          </cell>
          <cell r="D263">
            <v>0</v>
          </cell>
          <cell r="E263" t="e">
            <v>#VALUE!</v>
          </cell>
          <cell r="F263">
            <v>-391.44758651942425</v>
          </cell>
        </row>
        <row r="264">
          <cell r="A264" t="str">
            <v xml:space="preserve">SELDSLA </v>
          </cell>
          <cell r="B264">
            <v>0</v>
          </cell>
          <cell r="C264">
            <v>340.31100463867188</v>
          </cell>
          <cell r="D264">
            <v>0</v>
          </cell>
          <cell r="E264">
            <v>0</v>
          </cell>
          <cell r="F264">
            <v>340.31100463867188</v>
          </cell>
        </row>
        <row r="265">
          <cell r="A265" t="str">
            <v>SELKERAA</v>
          </cell>
          <cell r="B265">
            <v>0</v>
          </cell>
          <cell r="C265">
            <v>-21.033100128173828</v>
          </cell>
          <cell r="D265">
            <v>0</v>
          </cell>
          <cell r="E265" t="e">
            <v>#VALUE!</v>
          </cell>
          <cell r="F265">
            <v>-387.1246421500428</v>
          </cell>
        </row>
        <row r="266">
          <cell r="A266" t="str">
            <v>SELKERAG</v>
          </cell>
          <cell r="B266">
            <v>0</v>
          </cell>
          <cell r="C266">
            <v>-21.033100128173828</v>
          </cell>
          <cell r="D266">
            <v>0</v>
          </cell>
          <cell r="E266" t="e">
            <v>#VALUE!</v>
          </cell>
          <cell r="F266">
            <v>-21.033100128173828</v>
          </cell>
        </row>
        <row r="267">
          <cell r="A267" t="str">
            <v>SELKERAB</v>
          </cell>
          <cell r="B267">
            <v>0</v>
          </cell>
          <cell r="C267">
            <v>-17.493000030517578</v>
          </cell>
          <cell r="D267">
            <v>0</v>
          </cell>
          <cell r="E267" t="e">
            <v>#VALUE!</v>
          </cell>
          <cell r="F267">
            <v>-107.97437709651581</v>
          </cell>
        </row>
        <row r="268">
          <cell r="A268" t="str">
            <v xml:space="preserve">SELKERA </v>
          </cell>
          <cell r="B268">
            <v>0</v>
          </cell>
          <cell r="C268">
            <v>486.81298828125</v>
          </cell>
          <cell r="D268">
            <v>0</v>
          </cell>
          <cell r="E268">
            <v>0</v>
          </cell>
          <cell r="F268">
            <v>486.81298828125</v>
          </cell>
        </row>
        <row r="269">
          <cell r="A269" t="str">
            <v>SELJETAA</v>
          </cell>
          <cell r="B269">
            <v>0</v>
          </cell>
          <cell r="C269">
            <v>-21.030000686645508</v>
          </cell>
          <cell r="D269">
            <v>0</v>
          </cell>
          <cell r="E269">
            <v>0</v>
          </cell>
          <cell r="F269">
            <v>2.63930321879787</v>
          </cell>
        </row>
        <row r="270">
          <cell r="A270" t="str">
            <v>SELJETAG</v>
          </cell>
          <cell r="B270">
            <v>0</v>
          </cell>
          <cell r="C270">
            <v>-21.033100128173828</v>
          </cell>
          <cell r="D270">
            <v>0</v>
          </cell>
          <cell r="E270" t="e">
            <v>#VALUE!</v>
          </cell>
          <cell r="F270">
            <v>0</v>
          </cell>
        </row>
        <row r="271">
          <cell r="A271" t="str">
            <v>SELJETAB</v>
          </cell>
          <cell r="B271">
            <v>3.6736338606027708E-2</v>
          </cell>
          <cell r="C271">
            <v>-17.493000030517578</v>
          </cell>
          <cell r="D271">
            <v>0</v>
          </cell>
          <cell r="E271" t="e">
            <v>#VALUE!</v>
          </cell>
          <cell r="F271">
            <v>0</v>
          </cell>
        </row>
        <row r="272">
          <cell r="A272" t="str">
            <v xml:space="preserve">SELJETA </v>
          </cell>
          <cell r="B272">
            <v>3.6736338606027708E-2</v>
          </cell>
          <cell r="C272">
            <v>486.81298828125</v>
          </cell>
          <cell r="D272">
            <v>3.6736338606027708E-2</v>
          </cell>
          <cell r="E272">
            <v>3.6736338606027708E-2</v>
          </cell>
          <cell r="F272">
            <v>96.561623351214678</v>
          </cell>
        </row>
        <row r="273">
          <cell r="A273" t="str">
            <v>SELNACBA</v>
          </cell>
          <cell r="B273">
            <v>2.2989487326512598E-2</v>
          </cell>
          <cell r="C273">
            <v>-15.659999847412109</v>
          </cell>
          <cell r="D273">
            <v>0</v>
          </cell>
          <cell r="E273" t="e">
            <v>#VALUE!</v>
          </cell>
          <cell r="F273">
            <v>0</v>
          </cell>
        </row>
        <row r="274">
          <cell r="A274" t="str">
            <v>SELNACBG</v>
          </cell>
          <cell r="B274">
            <v>0</v>
          </cell>
          <cell r="C274">
            <v>-15.659999847412109</v>
          </cell>
          <cell r="D274">
            <v>0</v>
          </cell>
          <cell r="E274" t="e">
            <v>#VALUE!</v>
          </cell>
          <cell r="F274">
            <v>-5.2407585784180526</v>
          </cell>
        </row>
        <row r="275">
          <cell r="A275" t="str">
            <v>SELNACBC</v>
          </cell>
          <cell r="B275">
            <v>0</v>
          </cell>
          <cell r="C275">
            <v>-33.979999542236328</v>
          </cell>
          <cell r="D275">
            <v>0</v>
          </cell>
          <cell r="E275">
            <v>0</v>
          </cell>
          <cell r="F275">
            <v>3.5458833887152474</v>
          </cell>
        </row>
        <row r="276">
          <cell r="A276" t="str">
            <v>SELNACBB</v>
          </cell>
          <cell r="B276">
            <v>0</v>
          </cell>
          <cell r="C276">
            <v>-16.025999069213867</v>
          </cell>
          <cell r="D276">
            <v>0</v>
          </cell>
          <cell r="E276">
            <v>0</v>
          </cell>
          <cell r="F276">
            <v>-6.2656654488550476</v>
          </cell>
        </row>
        <row r="277">
          <cell r="A277" t="str">
            <v xml:space="preserve">SELNACB </v>
          </cell>
          <cell r="B277">
            <v>2.2989487326512598E-2</v>
          </cell>
          <cell r="C277">
            <v>274.739013671875</v>
          </cell>
          <cell r="D277">
            <v>2.2989487326512598E-2</v>
          </cell>
          <cell r="E277">
            <v>2.2989487326512598E-2</v>
          </cell>
          <cell r="F277">
            <v>-86.341262064894579</v>
          </cell>
        </row>
        <row r="278">
          <cell r="A278" t="str">
            <v>SELNASBA</v>
          </cell>
          <cell r="B278">
            <v>0.18335059660754791</v>
          </cell>
          <cell r="C278">
            <v>-15.659999847412109</v>
          </cell>
          <cell r="D278">
            <v>0</v>
          </cell>
          <cell r="E278" t="e">
            <v>#VALUE!</v>
          </cell>
          <cell r="F278">
            <v>0</v>
          </cell>
        </row>
        <row r="279">
          <cell r="A279" t="str">
            <v>SELNASBG</v>
          </cell>
          <cell r="B279">
            <v>0</v>
          </cell>
          <cell r="C279">
            <v>-15.659999847412109</v>
          </cell>
          <cell r="D279">
            <v>0</v>
          </cell>
          <cell r="E279" t="e">
            <v>#VALUE!</v>
          </cell>
          <cell r="F279">
            <v>0</v>
          </cell>
        </row>
        <row r="280">
          <cell r="A280" t="str">
            <v>SELNASBC</v>
          </cell>
          <cell r="B280">
            <v>0</v>
          </cell>
          <cell r="C280">
            <v>-33.979999542236328</v>
          </cell>
          <cell r="D280">
            <v>0</v>
          </cell>
          <cell r="E280">
            <v>0</v>
          </cell>
          <cell r="F280">
            <v>14.946456115866361</v>
          </cell>
        </row>
        <row r="281">
          <cell r="A281" t="str">
            <v>SELNASBB</v>
          </cell>
          <cell r="B281">
            <v>0</v>
          </cell>
          <cell r="C281">
            <v>-16.025999069213867</v>
          </cell>
          <cell r="D281">
            <v>0</v>
          </cell>
          <cell r="E281">
            <v>0</v>
          </cell>
          <cell r="F281">
            <v>-3.0839322004007967</v>
          </cell>
        </row>
        <row r="282">
          <cell r="A282" t="str">
            <v xml:space="preserve">SELNASB </v>
          </cell>
          <cell r="B282">
            <v>0.18335059660754791</v>
          </cell>
          <cell r="C282">
            <v>287.0679931640625</v>
          </cell>
          <cell r="D282">
            <v>0.18335059660754791</v>
          </cell>
          <cell r="E282">
            <v>0.18335059660754791</v>
          </cell>
          <cell r="F282">
            <v>-108.26174542152718</v>
          </cell>
        </row>
        <row r="283">
          <cell r="A283" t="str">
            <v>SELNECBA</v>
          </cell>
          <cell r="B283">
            <v>7.4061095490031051E-2</v>
          </cell>
          <cell r="C283">
            <v>-15.659999847412109</v>
          </cell>
          <cell r="D283">
            <v>0</v>
          </cell>
          <cell r="E283" t="e">
            <v>#VALUE!</v>
          </cell>
          <cell r="F283">
            <v>0</v>
          </cell>
        </row>
        <row r="284">
          <cell r="A284" t="str">
            <v>SELNECBG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12.684405363422551</v>
          </cell>
        </row>
        <row r="285">
          <cell r="A285" t="str">
            <v>SELNECBC</v>
          </cell>
          <cell r="B285">
            <v>0</v>
          </cell>
          <cell r="C285">
            <v>-33.979999542236328</v>
          </cell>
          <cell r="D285">
            <v>0</v>
          </cell>
          <cell r="E285">
            <v>0</v>
          </cell>
          <cell r="F285">
            <v>9.6711088605123017</v>
          </cell>
        </row>
        <row r="286">
          <cell r="A286" t="str">
            <v xml:space="preserve">SELNECB </v>
          </cell>
          <cell r="B286">
            <v>7.4061095490031051E-2</v>
          </cell>
          <cell r="C286">
            <v>295.302001953125</v>
          </cell>
          <cell r="D286">
            <v>7.4061095490031051E-2</v>
          </cell>
          <cell r="E286">
            <v>7.4061095490031051E-2</v>
          </cell>
          <cell r="F286">
            <v>-110.30238304660745</v>
          </cell>
        </row>
        <row r="287">
          <cell r="A287" t="str">
            <v>SELGOABA</v>
          </cell>
          <cell r="B287">
            <v>0.68700780378629078</v>
          </cell>
          <cell r="C287">
            <v>-15.659999847412109</v>
          </cell>
          <cell r="D287">
            <v>0</v>
          </cell>
          <cell r="E287" t="e">
            <v>#VALUE!</v>
          </cell>
          <cell r="F287">
            <v>0</v>
          </cell>
        </row>
        <row r="288">
          <cell r="A288" t="str">
            <v>SELGOABG</v>
          </cell>
          <cell r="B288">
            <v>0</v>
          </cell>
          <cell r="C288">
            <v>-15.659999847412109</v>
          </cell>
          <cell r="D288">
            <v>0</v>
          </cell>
          <cell r="E288">
            <v>0</v>
          </cell>
          <cell r="F288">
            <v>366.52423162590969</v>
          </cell>
        </row>
        <row r="289">
          <cell r="A289" t="str">
            <v>SELGOABC</v>
          </cell>
          <cell r="B289">
            <v>0</v>
          </cell>
          <cell r="C289">
            <v>-34</v>
          </cell>
          <cell r="D289">
            <v>0</v>
          </cell>
          <cell r="E289">
            <v>0</v>
          </cell>
          <cell r="F289">
            <v>348.18423528801907</v>
          </cell>
        </row>
        <row r="290">
          <cell r="A290" t="str">
            <v xml:space="preserve">SELGOAB </v>
          </cell>
          <cell r="B290">
            <v>0.68700780378629078</v>
          </cell>
          <cell r="C290">
            <v>337.70599365234375</v>
          </cell>
          <cell r="D290">
            <v>0.68700780378629078</v>
          </cell>
          <cell r="E290">
            <v>0.68700780378629078</v>
          </cell>
          <cell r="F290">
            <v>-44.478236869916522</v>
          </cell>
        </row>
        <row r="291">
          <cell r="A291" t="str">
            <v>SELGIOBA</v>
          </cell>
          <cell r="B291">
            <v>0</v>
          </cell>
          <cell r="C291">
            <v>-15.659999847412109</v>
          </cell>
          <cell r="D291">
            <v>0</v>
          </cell>
          <cell r="E291" t="e">
            <v>#VALUE!</v>
          </cell>
          <cell r="F291">
            <v>-15.659999847412109</v>
          </cell>
        </row>
        <row r="292">
          <cell r="A292" t="str">
            <v>SELGIOBC</v>
          </cell>
          <cell r="B292">
            <v>0</v>
          </cell>
          <cell r="C292">
            <v>-33.979999542236328</v>
          </cell>
          <cell r="D292">
            <v>0</v>
          </cell>
          <cell r="E292" t="e">
            <v>#VALUE!</v>
          </cell>
          <cell r="F292">
            <v>-33.979999542236328</v>
          </cell>
        </row>
        <row r="293">
          <cell r="A293" t="str">
            <v xml:space="preserve">SELGIOB </v>
          </cell>
          <cell r="B293">
            <v>0</v>
          </cell>
          <cell r="C293">
            <v>342.2860107421875</v>
          </cell>
          <cell r="D293">
            <v>0</v>
          </cell>
          <cell r="E293">
            <v>0</v>
          </cell>
          <cell r="F293">
            <v>342.2860107421875</v>
          </cell>
        </row>
        <row r="294">
          <cell r="A294" t="str">
            <v>SELDSABA</v>
          </cell>
          <cell r="B294">
            <v>0.10958916083590625</v>
          </cell>
          <cell r="C294">
            <v>322.04598999023438</v>
          </cell>
          <cell r="D294">
            <v>0.10958916083590625</v>
          </cell>
          <cell r="E294">
            <v>0.10958916083590625</v>
          </cell>
          <cell r="F294">
            <v>-44.46245315238221</v>
          </cell>
        </row>
        <row r="295">
          <cell r="A295" t="str">
            <v>SELKERBA</v>
          </cell>
          <cell r="B295">
            <v>0</v>
          </cell>
          <cell r="C295">
            <v>-15.659999847412109</v>
          </cell>
          <cell r="D295">
            <v>0</v>
          </cell>
          <cell r="E295" t="e">
            <v>#VALUE!</v>
          </cell>
          <cell r="F295">
            <v>-381.75154176476883</v>
          </cell>
        </row>
        <row r="296">
          <cell r="A296" t="str">
            <v>SELKERBG</v>
          </cell>
          <cell r="B296">
            <v>0</v>
          </cell>
          <cell r="C296">
            <v>-15.659999847412109</v>
          </cell>
          <cell r="D296">
            <v>0</v>
          </cell>
          <cell r="E296" t="e">
            <v>#VALUE!</v>
          </cell>
          <cell r="F296">
            <v>-15.659999847412109</v>
          </cell>
        </row>
        <row r="297">
          <cell r="A297" t="str">
            <v>SELKERBC</v>
          </cell>
          <cell r="B297">
            <v>0</v>
          </cell>
          <cell r="C297">
            <v>-33.979999542236328</v>
          </cell>
          <cell r="D297">
            <v>0</v>
          </cell>
          <cell r="E297" t="e">
            <v>#VALUE!</v>
          </cell>
          <cell r="F297">
            <v>-33.979999542236328</v>
          </cell>
        </row>
        <row r="298">
          <cell r="A298" t="str">
            <v xml:space="preserve">SELKERB </v>
          </cell>
          <cell r="B298">
            <v>0</v>
          </cell>
          <cell r="C298">
            <v>475.1929931640625</v>
          </cell>
          <cell r="D298">
            <v>0</v>
          </cell>
          <cell r="E298">
            <v>0</v>
          </cell>
          <cell r="F298">
            <v>475.1929931640625</v>
          </cell>
        </row>
        <row r="299">
          <cell r="A299" t="str">
            <v>SELJETBA</v>
          </cell>
          <cell r="B299">
            <v>3.2352769813717229E-2</v>
          </cell>
          <cell r="C299">
            <v>-15.659999847412109</v>
          </cell>
          <cell r="D299">
            <v>0</v>
          </cell>
          <cell r="E299" t="e">
            <v>#VALUE!</v>
          </cell>
          <cell r="F299">
            <v>0</v>
          </cell>
        </row>
        <row r="300">
          <cell r="A300" t="str">
            <v>SELJETBG</v>
          </cell>
          <cell r="B300">
            <v>0</v>
          </cell>
          <cell r="C300">
            <v>-15.659999847412109</v>
          </cell>
          <cell r="D300">
            <v>0</v>
          </cell>
          <cell r="E300" t="e">
            <v>#VALUE!</v>
          </cell>
          <cell r="F300">
            <v>-2.6362032576885124</v>
          </cell>
        </row>
        <row r="301">
          <cell r="A301" t="str">
            <v>SELJETBC</v>
          </cell>
          <cell r="B301">
            <v>0</v>
          </cell>
          <cell r="C301">
            <v>-33.979999542236328</v>
          </cell>
          <cell r="D301">
            <v>0</v>
          </cell>
          <cell r="E301">
            <v>0</v>
          </cell>
          <cell r="F301">
            <v>-9.4705773183744242</v>
          </cell>
        </row>
        <row r="302">
          <cell r="A302" t="str">
            <v xml:space="preserve">SELJETB </v>
          </cell>
          <cell r="B302">
            <v>3.2352769813717229E-2</v>
          </cell>
          <cell r="C302">
            <v>475.1929931640625</v>
          </cell>
          <cell r="D302">
            <v>3.2352769813717229E-2</v>
          </cell>
          <cell r="E302">
            <v>3.2352769813717229E-2</v>
          </cell>
          <cell r="F302">
            <v>92.950925581422567</v>
          </cell>
        </row>
        <row r="303">
          <cell r="A303" t="str">
            <v>SELNACCA</v>
          </cell>
          <cell r="B303">
            <v>2.9861668737171446E-2</v>
          </cell>
          <cell r="C303">
            <v>-8.8731203079223633</v>
          </cell>
          <cell r="D303">
            <v>0</v>
          </cell>
          <cell r="E303" t="e">
            <v>#VALUE!</v>
          </cell>
          <cell r="F303">
            <v>0</v>
          </cell>
        </row>
        <row r="304">
          <cell r="A304" t="str">
            <v>SELNACCG</v>
          </cell>
          <cell r="B304">
            <v>0</v>
          </cell>
          <cell r="C304">
            <v>-8.8731203079223633</v>
          </cell>
          <cell r="D304">
            <v>0</v>
          </cell>
          <cell r="E304" t="e">
            <v>#VALUE!</v>
          </cell>
          <cell r="F304">
            <v>-5.2407585784180384</v>
          </cell>
        </row>
        <row r="305">
          <cell r="A305" t="str">
            <v>SELNACCB</v>
          </cell>
          <cell r="B305">
            <v>0</v>
          </cell>
          <cell r="C305">
            <v>-7.9130101203918457</v>
          </cell>
          <cell r="D305">
            <v>0</v>
          </cell>
          <cell r="E305">
            <v>0</v>
          </cell>
          <cell r="F305">
            <v>-4.9395554438029254</v>
          </cell>
        </row>
        <row r="306">
          <cell r="A306" t="str">
            <v xml:space="preserve">SELNACC </v>
          </cell>
          <cell r="B306">
            <v>2.9861668737171446E-2</v>
          </cell>
          <cell r="C306">
            <v>265.97900390625</v>
          </cell>
          <cell r="D306">
            <v>2.9861668737171446E-2</v>
          </cell>
          <cell r="E306">
            <v>2.9861668737171446E-2</v>
          </cell>
          <cell r="F306">
            <v>-88.314381826740416</v>
          </cell>
        </row>
        <row r="307">
          <cell r="A307" t="str">
            <v>SELNASCA</v>
          </cell>
          <cell r="B307">
            <v>0.10086992262569193</v>
          </cell>
          <cell r="C307">
            <v>-8.8731203079223633</v>
          </cell>
          <cell r="D307">
            <v>0</v>
          </cell>
          <cell r="E307" t="e">
            <v>#VALUE!</v>
          </cell>
          <cell r="F307">
            <v>0</v>
          </cell>
        </row>
        <row r="308">
          <cell r="A308" t="str">
            <v>SELNASCG</v>
          </cell>
          <cell r="B308">
            <v>0</v>
          </cell>
          <cell r="C308">
            <v>-8.8731203079223633</v>
          </cell>
          <cell r="D308">
            <v>0</v>
          </cell>
          <cell r="E308" t="e">
            <v>#VALUE!</v>
          </cell>
          <cell r="F308">
            <v>0</v>
          </cell>
        </row>
        <row r="309">
          <cell r="A309" t="str">
            <v>SELNASCB</v>
          </cell>
          <cell r="B309">
            <v>0</v>
          </cell>
          <cell r="C309">
            <v>-7.9130101203918457</v>
          </cell>
          <cell r="D309">
            <v>0</v>
          </cell>
          <cell r="E309">
            <v>0</v>
          </cell>
          <cell r="F309">
            <v>-1.7578221693430862</v>
          </cell>
        </row>
        <row r="310">
          <cell r="A310" t="str">
            <v xml:space="preserve">SELNASC </v>
          </cell>
          <cell r="B310">
            <v>0.10086992262569193</v>
          </cell>
          <cell r="C310">
            <v>278.30801391601563</v>
          </cell>
          <cell r="D310">
            <v>0.10086992262569193</v>
          </cell>
          <cell r="E310">
            <v>0.10086992262569193</v>
          </cell>
          <cell r="F310">
            <v>-110.23486321854264</v>
          </cell>
        </row>
        <row r="311">
          <cell r="A311" t="str">
            <v>SELNECCA</v>
          </cell>
          <cell r="B311">
            <v>6.1119328643361184E-2</v>
          </cell>
          <cell r="C311">
            <v>-7.7620100975036621</v>
          </cell>
          <cell r="D311">
            <v>0</v>
          </cell>
          <cell r="E311" t="e">
            <v>#VALUE!</v>
          </cell>
          <cell r="F311">
            <v>0</v>
          </cell>
        </row>
        <row r="312">
          <cell r="A312" t="str">
            <v>SELNECCG</v>
          </cell>
          <cell r="B312">
            <v>0</v>
          </cell>
          <cell r="C312">
            <v>-8.8731203079223633</v>
          </cell>
          <cell r="D312">
            <v>0</v>
          </cell>
          <cell r="E312" t="e">
            <v>#VALUE!</v>
          </cell>
          <cell r="F312">
            <v>-4.0867045761787733</v>
          </cell>
        </row>
        <row r="313">
          <cell r="A313" t="str">
            <v xml:space="preserve">SELNECC </v>
          </cell>
          <cell r="B313">
            <v>6.1119328643361184E-2</v>
          </cell>
          <cell r="C313">
            <v>281.96200561523438</v>
          </cell>
          <cell r="D313">
            <v>6.1119328643361184E-2</v>
          </cell>
          <cell r="E313">
            <v>6.1119328643361184E-2</v>
          </cell>
          <cell r="F313">
            <v>-115.74439201877541</v>
          </cell>
        </row>
        <row r="314">
          <cell r="A314" t="str">
            <v>SELGOICA</v>
          </cell>
          <cell r="B314">
            <v>0.71643427757367695</v>
          </cell>
          <cell r="C314">
            <v>-8.8731203079223633</v>
          </cell>
          <cell r="D314">
            <v>0</v>
          </cell>
          <cell r="E314" t="e">
            <v>#VALUE!</v>
          </cell>
          <cell r="F314">
            <v>0</v>
          </cell>
        </row>
        <row r="315">
          <cell r="A315" t="str">
            <v>SELGOICG</v>
          </cell>
          <cell r="B315">
            <v>0</v>
          </cell>
          <cell r="C315">
            <v>-9.9999997473787516E-6</v>
          </cell>
          <cell r="D315">
            <v>0</v>
          </cell>
          <cell r="E315">
            <v>0</v>
          </cell>
          <cell r="F315">
            <v>8.8731074659791709</v>
          </cell>
        </row>
        <row r="316">
          <cell r="A316" t="str">
            <v>SELGOICB</v>
          </cell>
          <cell r="B316">
            <v>0</v>
          </cell>
          <cell r="C316">
            <v>-7.9130101203918457</v>
          </cell>
          <cell r="D316">
            <v>0</v>
          </cell>
          <cell r="E316">
            <v>0</v>
          </cell>
          <cell r="F316">
            <v>-4.5638603811394676</v>
          </cell>
        </row>
        <row r="317">
          <cell r="A317" t="str">
            <v xml:space="preserve">SELGOIC </v>
          </cell>
          <cell r="B317">
            <v>0.71643427757367695</v>
          </cell>
          <cell r="C317">
            <v>328.94601440429688</v>
          </cell>
          <cell r="D317">
            <v>0.71643427757367695</v>
          </cell>
          <cell r="E317">
            <v>0.71643427757367695</v>
          </cell>
          <cell r="F317">
            <v>-46.391325613570537</v>
          </cell>
        </row>
        <row r="318">
          <cell r="A318" t="str">
            <v>SELGIOCA</v>
          </cell>
          <cell r="B318">
            <v>0</v>
          </cell>
          <cell r="C318">
            <v>-8.8731203079223633</v>
          </cell>
          <cell r="D318">
            <v>0</v>
          </cell>
          <cell r="E318" t="e">
            <v>#VALUE!</v>
          </cell>
          <cell r="F318">
            <v>-8.8731203079223633</v>
          </cell>
        </row>
        <row r="319">
          <cell r="A319" t="str">
            <v>SELGIOCB</v>
          </cell>
          <cell r="B319">
            <v>0</v>
          </cell>
          <cell r="C319">
            <v>-7.9130101203918457</v>
          </cell>
          <cell r="D319">
            <v>0</v>
          </cell>
          <cell r="E319">
            <v>0</v>
          </cell>
          <cell r="F319">
            <v>-7.9130101203918457</v>
          </cell>
        </row>
        <row r="320">
          <cell r="A320" t="str">
            <v xml:space="preserve">SELGIOC </v>
          </cell>
          <cell r="B320">
            <v>0</v>
          </cell>
          <cell r="C320">
            <v>328.94601440429688</v>
          </cell>
          <cell r="D320">
            <v>0</v>
          </cell>
          <cell r="E320">
            <v>0</v>
          </cell>
          <cell r="F320">
            <v>328.94601440429688</v>
          </cell>
        </row>
        <row r="321">
          <cell r="A321" t="str">
            <v>SELDSLCA</v>
          </cell>
          <cell r="B321">
            <v>0</v>
          </cell>
          <cell r="C321">
            <v>-8.8731203079223633</v>
          </cell>
          <cell r="D321">
            <v>0</v>
          </cell>
          <cell r="E321" t="e">
            <v>#VALUE!</v>
          </cell>
          <cell r="F321">
            <v>-375.3307041952055</v>
          </cell>
        </row>
        <row r="322">
          <cell r="A322" t="str">
            <v>SELDSLCB</v>
          </cell>
          <cell r="B322">
            <v>0</v>
          </cell>
          <cell r="C322">
            <v>-7.9130101203918457</v>
          </cell>
          <cell r="D322">
            <v>0</v>
          </cell>
          <cell r="E322">
            <v>0</v>
          </cell>
          <cell r="F322">
            <v>-381.86759242227635</v>
          </cell>
        </row>
        <row r="323">
          <cell r="A323" t="str">
            <v xml:space="preserve">SELDSLC </v>
          </cell>
          <cell r="B323">
            <v>0</v>
          </cell>
          <cell r="C323">
            <v>328.94601440429688</v>
          </cell>
          <cell r="D323">
            <v>0</v>
          </cell>
          <cell r="E323">
            <v>0</v>
          </cell>
          <cell r="F323">
            <v>328.94601440429688</v>
          </cell>
        </row>
        <row r="324">
          <cell r="A324" t="str">
            <v>SELJETCA</v>
          </cell>
          <cell r="B324">
            <v>3.3330741115169572E-3</v>
          </cell>
          <cell r="C324">
            <v>-8.8731203079223633</v>
          </cell>
          <cell r="D324">
            <v>0</v>
          </cell>
          <cell r="E324" t="e">
            <v>#VALUE!</v>
          </cell>
          <cell r="F324">
            <v>0</v>
          </cell>
        </row>
        <row r="325">
          <cell r="A325" t="str">
            <v>SELJETCG</v>
          </cell>
          <cell r="B325">
            <v>0</v>
          </cell>
          <cell r="C325">
            <v>-8.8731203079223633</v>
          </cell>
          <cell r="D325">
            <v>0</v>
          </cell>
          <cell r="E325" t="e">
            <v>#VALUE!</v>
          </cell>
          <cell r="F325">
            <v>-2.6362032576885124</v>
          </cell>
        </row>
        <row r="326">
          <cell r="A326" t="str">
            <v xml:space="preserve">SELJETC </v>
          </cell>
          <cell r="B326">
            <v>3.3330741115169572E-3</v>
          </cell>
          <cell r="C326">
            <v>468.74301147460938</v>
          </cell>
          <cell r="D326">
            <v>3.3330741115169572E-3</v>
          </cell>
          <cell r="E326">
            <v>3.3330741115169572E-3</v>
          </cell>
          <cell r="F326">
            <v>93.287809126344442</v>
          </cell>
        </row>
        <row r="327">
          <cell r="A327" t="str">
            <v>SELKERCA</v>
          </cell>
          <cell r="B327">
            <v>0</v>
          </cell>
          <cell r="C327">
            <v>-8.8731203079223633</v>
          </cell>
          <cell r="D327">
            <v>0</v>
          </cell>
          <cell r="E327" t="e">
            <v>#VALUE!</v>
          </cell>
          <cell r="F327">
            <v>-374.96466131340969</v>
          </cell>
        </row>
        <row r="328">
          <cell r="A328" t="str">
            <v>SELKERCG</v>
          </cell>
          <cell r="B328">
            <v>0</v>
          </cell>
          <cell r="C328">
            <v>-8.8731203079223633</v>
          </cell>
          <cell r="D328">
            <v>0</v>
          </cell>
          <cell r="E328" t="e">
            <v>#VALUE!</v>
          </cell>
          <cell r="F328">
            <v>-8.8731203079223633</v>
          </cell>
        </row>
        <row r="329">
          <cell r="A329" t="str">
            <v xml:space="preserve">SELKERC </v>
          </cell>
          <cell r="B329">
            <v>0</v>
          </cell>
          <cell r="C329">
            <v>468.74301147460938</v>
          </cell>
          <cell r="D329">
            <v>0</v>
          </cell>
          <cell r="E329">
            <v>0</v>
          </cell>
          <cell r="F329">
            <v>468.74301147460938</v>
          </cell>
        </row>
        <row r="330">
          <cell r="A330" t="str">
            <v>SELNACDA</v>
          </cell>
          <cell r="B330">
            <v>0</v>
          </cell>
          <cell r="C330">
            <v>-5.7009998708963394E-2</v>
          </cell>
          <cell r="D330">
            <v>0</v>
          </cell>
          <cell r="E330" t="e">
            <v>#VALUE!</v>
          </cell>
          <cell r="F330">
            <v>-345.47727318332619</v>
          </cell>
        </row>
        <row r="331">
          <cell r="A331" t="str">
            <v>SELNACDG</v>
          </cell>
          <cell r="B331">
            <v>0</v>
          </cell>
          <cell r="C331">
            <v>-5.7009998708963394E-2</v>
          </cell>
          <cell r="D331">
            <v>0</v>
          </cell>
          <cell r="E331" t="e">
            <v>#VALUE!</v>
          </cell>
          <cell r="F331">
            <v>-350.71802744408177</v>
          </cell>
        </row>
        <row r="332">
          <cell r="A332" t="str">
            <v>SELNACDB</v>
          </cell>
          <cell r="B332">
            <v>0</v>
          </cell>
          <cell r="C332">
            <v>-0.43801000714302063</v>
          </cell>
          <cell r="D332">
            <v>0</v>
          </cell>
          <cell r="E332">
            <v>0</v>
          </cell>
          <cell r="F332">
            <v>-351.7579395869007</v>
          </cell>
        </row>
        <row r="333">
          <cell r="A333" t="str">
            <v xml:space="preserve">SELNACD </v>
          </cell>
          <cell r="B333">
            <v>0</v>
          </cell>
          <cell r="C333">
            <v>256.468994140625</v>
          </cell>
          <cell r="D333">
            <v>0</v>
          </cell>
          <cell r="E333">
            <v>0</v>
          </cell>
          <cell r="F333">
            <v>256.468994140625</v>
          </cell>
        </row>
        <row r="334">
          <cell r="A334" t="str">
            <v>SELNASDA</v>
          </cell>
          <cell r="B334">
            <v>0</v>
          </cell>
          <cell r="C334">
            <v>-5.7009998708963394E-2</v>
          </cell>
          <cell r="D334">
            <v>0</v>
          </cell>
          <cell r="E334" t="e">
            <v>#VALUE!</v>
          </cell>
          <cell r="F334">
            <v>-280.85129277477523</v>
          </cell>
        </row>
        <row r="335">
          <cell r="A335" t="str">
            <v>SELNASDG</v>
          </cell>
          <cell r="B335">
            <v>0</v>
          </cell>
          <cell r="C335">
            <v>-5.7009998708963394E-2</v>
          </cell>
          <cell r="D335">
            <v>0</v>
          </cell>
          <cell r="E335" t="e">
            <v>#VALUE!</v>
          </cell>
          <cell r="F335">
            <v>-280.85129277477523</v>
          </cell>
        </row>
        <row r="336">
          <cell r="A336" t="str">
            <v>SELNASDB</v>
          </cell>
          <cell r="B336">
            <v>0</v>
          </cell>
          <cell r="C336">
            <v>-0.43801000714302063</v>
          </cell>
          <cell r="D336">
            <v>0</v>
          </cell>
          <cell r="E336">
            <v>0</v>
          </cell>
          <cell r="F336">
            <v>-283.95021286394496</v>
          </cell>
        </row>
        <row r="337">
          <cell r="A337" t="str">
            <v xml:space="preserve">SELNASD </v>
          </cell>
          <cell r="B337">
            <v>0</v>
          </cell>
          <cell r="C337">
            <v>268.79800415039063</v>
          </cell>
          <cell r="D337">
            <v>0</v>
          </cell>
          <cell r="E337">
            <v>0</v>
          </cell>
          <cell r="F337">
            <v>169.92253426329731</v>
          </cell>
        </row>
        <row r="338">
          <cell r="A338" t="str">
            <v>SELGOIDA</v>
          </cell>
          <cell r="B338">
            <v>2.7397251904827273E-2</v>
          </cell>
          <cell r="C338">
            <v>-5.7009998708963394E-2</v>
          </cell>
          <cell r="D338">
            <v>0</v>
          </cell>
          <cell r="E338" t="e">
            <v>#VALUE!</v>
          </cell>
          <cell r="F338">
            <v>0</v>
          </cell>
        </row>
        <row r="339">
          <cell r="A339" t="str">
            <v>SELGOIDG</v>
          </cell>
          <cell r="B339">
            <v>0</v>
          </cell>
          <cell r="C339">
            <v>-5.7009998708963394E-2</v>
          </cell>
          <cell r="D339">
            <v>0</v>
          </cell>
          <cell r="E339">
            <v>0</v>
          </cell>
          <cell r="F339">
            <v>-2.4657533623673635E-6</v>
          </cell>
        </row>
        <row r="340">
          <cell r="A340" t="str">
            <v xml:space="preserve">SELGOID </v>
          </cell>
          <cell r="B340">
            <v>2.7397251904827273E-2</v>
          </cell>
          <cell r="C340">
            <v>319.43600463867188</v>
          </cell>
          <cell r="D340">
            <v>2.7397251904827273E-2</v>
          </cell>
          <cell r="E340">
            <v>2.7397251904827273E-2</v>
          </cell>
          <cell r="F340">
            <v>-47.085216668533953</v>
          </cell>
        </row>
        <row r="341">
          <cell r="A341" t="str">
            <v>SELGIODA</v>
          </cell>
          <cell r="B341">
            <v>0</v>
          </cell>
          <cell r="C341">
            <v>319.37899780273438</v>
          </cell>
          <cell r="D341">
            <v>0</v>
          </cell>
          <cell r="E341">
            <v>0</v>
          </cell>
          <cell r="F341">
            <v>319.37899780273438</v>
          </cell>
        </row>
        <row r="342">
          <cell r="A342" t="str">
            <v>SELJETDA</v>
          </cell>
          <cell r="B342">
            <v>0</v>
          </cell>
          <cell r="C342">
            <v>-5.7009998708963394E-2</v>
          </cell>
          <cell r="D342">
            <v>0</v>
          </cell>
          <cell r="E342" t="e">
            <v>#VALUE!</v>
          </cell>
          <cell r="F342">
            <v>-272.85256464709977</v>
          </cell>
        </row>
        <row r="343">
          <cell r="A343" t="str">
            <v>SELJETDG</v>
          </cell>
          <cell r="B343">
            <v>0</v>
          </cell>
          <cell r="C343">
            <v>-5.7009998708963394E-2</v>
          </cell>
          <cell r="D343">
            <v>0</v>
          </cell>
          <cell r="E343" t="e">
            <v>#VALUE!</v>
          </cell>
          <cell r="F343">
            <v>-275.48876690293014</v>
          </cell>
        </row>
        <row r="344">
          <cell r="A344" t="str">
            <v xml:space="preserve">SELJETD </v>
          </cell>
          <cell r="B344">
            <v>0</v>
          </cell>
          <cell r="C344">
            <v>459.98800659179688</v>
          </cell>
          <cell r="D344">
            <v>0</v>
          </cell>
          <cell r="E344">
            <v>0</v>
          </cell>
          <cell r="F344">
            <v>366.20148516093212</v>
          </cell>
        </row>
        <row r="345">
          <cell r="A345" t="str">
            <v>SELFOCDA</v>
          </cell>
          <cell r="B345">
            <v>0</v>
          </cell>
          <cell r="C345">
            <v>205.77900695800781</v>
          </cell>
          <cell r="D345">
            <v>0</v>
          </cell>
          <cell r="E345">
            <v>0</v>
          </cell>
          <cell r="F345">
            <v>-16.067237289637735</v>
          </cell>
        </row>
        <row r="346">
          <cell r="A346" t="str">
            <v>SELIFODA</v>
          </cell>
          <cell r="B346">
            <v>0.19196699559688568</v>
          </cell>
          <cell r="C346">
            <v>337.49301147460938</v>
          </cell>
          <cell r="D346">
            <v>0.19196699559688568</v>
          </cell>
          <cell r="E346">
            <v>0.19196699559688568</v>
          </cell>
          <cell r="F346">
            <v>102.94821187894638</v>
          </cell>
        </row>
        <row r="347">
          <cell r="A347" t="str">
            <v>SELNRXEE</v>
          </cell>
          <cell r="B347">
            <v>0</v>
          </cell>
          <cell r="C347">
            <v>250.70599365234375</v>
          </cell>
          <cell r="D347">
            <v>0</v>
          </cell>
          <cell r="E347" t="e">
            <v>#VALUE!</v>
          </cell>
          <cell r="F347">
            <v>0</v>
          </cell>
        </row>
        <row r="348">
          <cell r="A348" t="str">
            <v>SELNACFB</v>
          </cell>
          <cell r="B348">
            <v>3.0342103158162066E-2</v>
          </cell>
          <cell r="C348">
            <v>265.56298828125</v>
          </cell>
          <cell r="D348">
            <v>3.0342103158162066E-2</v>
          </cell>
          <cell r="E348">
            <v>3.0342103158162066E-2</v>
          </cell>
          <cell r="F348">
            <v>-85.756926737746141</v>
          </cell>
        </row>
        <row r="349">
          <cell r="A349" t="str">
            <v>SELNASFB</v>
          </cell>
          <cell r="B349">
            <v>0.19352052293411673</v>
          </cell>
          <cell r="C349">
            <v>277.89199829101563</v>
          </cell>
          <cell r="D349">
            <v>0.19352052293411673</v>
          </cell>
          <cell r="E349">
            <v>0.19352052293411673</v>
          </cell>
          <cell r="F349">
            <v>-104.49567701783899</v>
          </cell>
        </row>
        <row r="350">
          <cell r="A350" t="str">
            <v>SELNECFB</v>
          </cell>
          <cell r="B350">
            <v>0.14429172248872993</v>
          </cell>
          <cell r="C350">
            <v>-0.36601001024246216</v>
          </cell>
          <cell r="D350">
            <v>0</v>
          </cell>
          <cell r="E350" t="e">
            <v>#VALUE!</v>
          </cell>
          <cell r="F350">
            <v>0</v>
          </cell>
        </row>
        <row r="351">
          <cell r="A351" t="str">
            <v>SELNECFA</v>
          </cell>
          <cell r="B351">
            <v>0</v>
          </cell>
          <cell r="C351">
            <v>-7.4800100326538086</v>
          </cell>
          <cell r="D351">
            <v>0</v>
          </cell>
          <cell r="E351">
            <v>0</v>
          </cell>
          <cell r="F351">
            <v>-4.1894987994677404</v>
          </cell>
        </row>
        <row r="352">
          <cell r="A352" t="str">
            <v xml:space="preserve">SELNECF </v>
          </cell>
          <cell r="B352">
            <v>0.14429172248872993</v>
          </cell>
          <cell r="C352">
            <v>281.9119873046875</v>
          </cell>
          <cell r="D352">
            <v>0.14429172248872993</v>
          </cell>
          <cell r="E352">
            <v>0.14429172248872993</v>
          </cell>
          <cell r="F352">
            <v>-111.32289535313437</v>
          </cell>
        </row>
        <row r="353">
          <cell r="A353" t="str">
            <v>SELGONFB</v>
          </cell>
          <cell r="B353">
            <v>1.8216606708422098</v>
          </cell>
          <cell r="C353">
            <v>-0.36599999666213989</v>
          </cell>
          <cell r="D353">
            <v>0</v>
          </cell>
          <cell r="E353" t="e">
            <v>#VALUE!</v>
          </cell>
          <cell r="F353">
            <v>0</v>
          </cell>
        </row>
        <row r="354">
          <cell r="A354" t="str">
            <v>SELGONFC</v>
          </cell>
          <cell r="B354">
            <v>0.12977518480118008</v>
          </cell>
          <cell r="C354">
            <v>-34</v>
          </cell>
          <cell r="D354">
            <v>0</v>
          </cell>
          <cell r="E354">
            <v>999</v>
          </cell>
          <cell r="F354">
            <v>-16.520335973452216</v>
          </cell>
        </row>
        <row r="355">
          <cell r="A355" t="str">
            <v xml:space="preserve">SELGONF </v>
          </cell>
          <cell r="B355">
            <v>1.9514358481315717</v>
          </cell>
          <cell r="C355">
            <v>328.89599609375</v>
          </cell>
          <cell r="D355">
            <v>1.9514358481315717</v>
          </cell>
          <cell r="E355">
            <v>1.9514358481315717</v>
          </cell>
          <cell r="F355">
            <v>-43.587075680249356</v>
          </cell>
        </row>
        <row r="356">
          <cell r="A356" t="str">
            <v>SELGIOFB</v>
          </cell>
          <cell r="B356">
            <v>0</v>
          </cell>
          <cell r="C356">
            <v>328.52999877929688</v>
          </cell>
          <cell r="D356">
            <v>0</v>
          </cell>
          <cell r="E356">
            <v>0</v>
          </cell>
          <cell r="F356">
            <v>328.52999877929688</v>
          </cell>
        </row>
        <row r="357">
          <cell r="A357" t="str">
            <v>SELDSLFA</v>
          </cell>
          <cell r="B357">
            <v>0</v>
          </cell>
          <cell r="C357">
            <v>-7.4800100326538086</v>
          </cell>
          <cell r="D357">
            <v>0</v>
          </cell>
          <cell r="E357">
            <v>0</v>
          </cell>
          <cell r="F357">
            <v>-373.93759205439318</v>
          </cell>
        </row>
        <row r="358">
          <cell r="A358" t="str">
            <v>SELDSLFB</v>
          </cell>
          <cell r="B358">
            <v>0</v>
          </cell>
          <cell r="C358">
            <v>-0.36601001024246216</v>
          </cell>
          <cell r="D358">
            <v>0</v>
          </cell>
          <cell r="E358" t="e">
            <v>#VALUE!</v>
          </cell>
          <cell r="F358">
            <v>-374.32059535196385</v>
          </cell>
        </row>
        <row r="359">
          <cell r="A359" t="str">
            <v xml:space="preserve">SELDSLF </v>
          </cell>
          <cell r="B359">
            <v>0</v>
          </cell>
          <cell r="C359">
            <v>328.89599609375</v>
          </cell>
          <cell r="D359">
            <v>0</v>
          </cell>
          <cell r="E359">
            <v>0</v>
          </cell>
          <cell r="F359">
            <v>328.89599609375</v>
          </cell>
        </row>
        <row r="360">
          <cell r="A360" t="str">
            <v>SELJETFA</v>
          </cell>
          <cell r="B360">
            <v>0</v>
          </cell>
          <cell r="C360">
            <v>-7.4800100326538086</v>
          </cell>
          <cell r="D360">
            <v>0</v>
          </cell>
          <cell r="E360">
            <v>0</v>
          </cell>
          <cell r="F360">
            <v>-0.93769671818981437</v>
          </cell>
        </row>
        <row r="361">
          <cell r="A361" t="str">
            <v>SELJETFB</v>
          </cell>
          <cell r="B361">
            <v>3.1745391384991883E-2</v>
          </cell>
          <cell r="C361">
            <v>-0.36601001024246216</v>
          </cell>
          <cell r="D361">
            <v>0</v>
          </cell>
          <cell r="E361" t="e">
            <v>#VALUE!</v>
          </cell>
          <cell r="F361">
            <v>0</v>
          </cell>
        </row>
        <row r="362">
          <cell r="A362" t="str">
            <v xml:space="preserve">SELJETF </v>
          </cell>
          <cell r="B362">
            <v>3.1745391384991883E-2</v>
          </cell>
          <cell r="C362">
            <v>350.66000366210938</v>
          </cell>
          <cell r="D362">
            <v>3.1745391384991883E-2</v>
          </cell>
          <cell r="E362">
            <v>3.1745391384991883E-2</v>
          </cell>
          <cell r="F362">
            <v>-22.46438463420084</v>
          </cell>
        </row>
        <row r="363">
          <cell r="A363" t="str">
            <v>SELKERFB</v>
          </cell>
          <cell r="B363">
            <v>0</v>
          </cell>
          <cell r="C363">
            <v>350.29400634765625</v>
          </cell>
          <cell r="D363">
            <v>0</v>
          </cell>
          <cell r="E363">
            <v>0</v>
          </cell>
          <cell r="F363">
            <v>259.81262551921685</v>
          </cell>
        </row>
        <row r="364">
          <cell r="A364" t="str">
            <v>SELPRDGA</v>
          </cell>
          <cell r="B364">
            <v>3.0827537862813635E-2</v>
          </cell>
          <cell r="C364">
            <v>-9.2009998857975006E-2</v>
          </cell>
          <cell r="D364">
            <v>0</v>
          </cell>
          <cell r="E364" t="e">
            <v>#VALUE!</v>
          </cell>
          <cell r="F364">
            <v>0</v>
          </cell>
        </row>
        <row r="365">
          <cell r="A365" t="str">
            <v>SELPRDGD</v>
          </cell>
          <cell r="B365">
            <v>0</v>
          </cell>
          <cell r="C365">
            <v>-9.2009998857975006E-2</v>
          </cell>
          <cell r="D365">
            <v>0</v>
          </cell>
          <cell r="E365">
            <v>0</v>
          </cell>
          <cell r="F365">
            <v>0</v>
          </cell>
        </row>
        <row r="366">
          <cell r="A366" t="str">
            <v xml:space="preserve">SELPRDG </v>
          </cell>
          <cell r="B366">
            <v>3.0827537862813635E-2</v>
          </cell>
          <cell r="C366">
            <v>156.99699401855469</v>
          </cell>
          <cell r="D366">
            <v>0</v>
          </cell>
          <cell r="E366">
            <v>9.2293202877044678E-2</v>
          </cell>
          <cell r="F366">
            <v>0</v>
          </cell>
        </row>
        <row r="367">
          <cell r="A367" t="str">
            <v>SELBTDGD</v>
          </cell>
          <cell r="B367">
            <v>0</v>
          </cell>
          <cell r="C367">
            <v>132.06399536132813</v>
          </cell>
          <cell r="D367">
            <v>0</v>
          </cell>
          <cell r="E367">
            <v>0.1820169985294342</v>
          </cell>
          <cell r="F367">
            <v>-34.227989196777344</v>
          </cell>
        </row>
        <row r="368">
          <cell r="A368" t="str">
            <v>SELNACGA</v>
          </cell>
          <cell r="B368">
            <v>2.0015468826032664E-2</v>
          </cell>
          <cell r="C368">
            <v>-9.2009998857975006E-2</v>
          </cell>
          <cell r="D368">
            <v>0</v>
          </cell>
          <cell r="E368">
            <v>251.8027397260274</v>
          </cell>
          <cell r="F368">
            <v>5.2407585784180526</v>
          </cell>
        </row>
        <row r="369">
          <cell r="A369" t="str">
            <v>SELNACGG</v>
          </cell>
          <cell r="B369">
            <v>0</v>
          </cell>
          <cell r="C369">
            <v>-9.2009998857975006E-2</v>
          </cell>
          <cell r="D369">
            <v>0</v>
          </cell>
          <cell r="E369" t="e">
            <v>#VALUE!</v>
          </cell>
          <cell r="F369">
            <v>0</v>
          </cell>
        </row>
        <row r="370">
          <cell r="A370" t="str">
            <v>SELNACGB</v>
          </cell>
          <cell r="B370">
            <v>5.8826693525053049E-2</v>
          </cell>
          <cell r="C370">
            <v>-0.40301001071929932</v>
          </cell>
          <cell r="D370">
            <v>0</v>
          </cell>
          <cell r="E370">
            <v>747.19726027397257</v>
          </cell>
          <cell r="F370">
            <v>-0.96990686181473407</v>
          </cell>
        </row>
        <row r="371">
          <cell r="A371" t="str">
            <v xml:space="preserve">SELNACG </v>
          </cell>
          <cell r="B371">
            <v>7.8842162351085709E-2</v>
          </cell>
          <cell r="C371">
            <v>256.468994140625</v>
          </cell>
          <cell r="D371">
            <v>7.8842162351085709E-2</v>
          </cell>
          <cell r="E371">
            <v>7.8842162351085709E-2</v>
          </cell>
          <cell r="F371">
            <v>-94.284029273464256</v>
          </cell>
        </row>
        <row r="372">
          <cell r="A372" t="str">
            <v>SELNASGA</v>
          </cell>
          <cell r="B372">
            <v>0.84669062323766209</v>
          </cell>
          <cell r="C372">
            <v>-9.2009998857975006E-2</v>
          </cell>
          <cell r="D372">
            <v>0</v>
          </cell>
          <cell r="E372" t="e">
            <v>#VALUE!</v>
          </cell>
          <cell r="F372">
            <v>0</v>
          </cell>
        </row>
        <row r="373">
          <cell r="A373" t="str">
            <v>SELNASGG</v>
          </cell>
          <cell r="B373">
            <v>0</v>
          </cell>
          <cell r="C373">
            <v>-9.2009998857975006E-2</v>
          </cell>
          <cell r="D373">
            <v>0</v>
          </cell>
          <cell r="E373" t="e">
            <v>#VALUE!</v>
          </cell>
          <cell r="F373">
            <v>0</v>
          </cell>
        </row>
        <row r="374">
          <cell r="A374" t="str">
            <v>SELNASGB</v>
          </cell>
          <cell r="B374">
            <v>0.12917804864987936</v>
          </cell>
          <cell r="C374">
            <v>-0.40301001071929932</v>
          </cell>
          <cell r="D374">
            <v>0</v>
          </cell>
          <cell r="E374" t="e">
            <v>#VALUE!</v>
          </cell>
          <cell r="F374">
            <v>-3.0289321677325525</v>
          </cell>
        </row>
        <row r="375">
          <cell r="A375" t="str">
            <v xml:space="preserve">SELNASG </v>
          </cell>
          <cell r="B375">
            <v>0.9758686642124228</v>
          </cell>
          <cell r="C375">
            <v>268.79800415039063</v>
          </cell>
          <cell r="D375">
            <v>0.9758686642124228</v>
          </cell>
          <cell r="E375">
            <v>0.9758686642124228</v>
          </cell>
          <cell r="F375">
            <v>-110.96375460690015</v>
          </cell>
        </row>
        <row r="376">
          <cell r="A376" t="str">
            <v>SELNECGA</v>
          </cell>
          <cell r="B376">
            <v>0.50921001695606805</v>
          </cell>
          <cell r="C376">
            <v>-9.2009998857975006E-2</v>
          </cell>
          <cell r="D376">
            <v>7.0071232155577784E-2</v>
          </cell>
          <cell r="E376" t="e">
            <v>#VALUE!</v>
          </cell>
          <cell r="F376">
            <v>2.9755944238950129</v>
          </cell>
        </row>
        <row r="377">
          <cell r="A377" t="str">
            <v>SELNECGG</v>
          </cell>
          <cell r="B377">
            <v>0</v>
          </cell>
          <cell r="C377">
            <v>-9.2009998857975006E-2</v>
          </cell>
          <cell r="D377">
            <v>0</v>
          </cell>
          <cell r="E377" t="e">
            <v>#VALUE!</v>
          </cell>
          <cell r="F377">
            <v>0</v>
          </cell>
        </row>
        <row r="378">
          <cell r="A378" t="str">
            <v>SELNECGB</v>
          </cell>
          <cell r="B378">
            <v>0.32772881707100021</v>
          </cell>
          <cell r="C378">
            <v>-0.40301001071929932</v>
          </cell>
          <cell r="D378">
            <v>0.14644382816471466</v>
          </cell>
          <cell r="E378" t="e">
            <v>#VALUE!</v>
          </cell>
          <cell r="F378">
            <v>-0.25990675900080434</v>
          </cell>
        </row>
        <row r="379">
          <cell r="A379" t="str">
            <v xml:space="preserve">SELNECG </v>
          </cell>
          <cell r="B379">
            <v>0.83693883402706826</v>
          </cell>
          <cell r="C379">
            <v>272.45199584960938</v>
          </cell>
          <cell r="D379">
            <v>0.83693883402706826</v>
          </cell>
          <cell r="E379">
            <v>0.83693883402706826</v>
          </cell>
          <cell r="F379">
            <v>-120.55999329449379</v>
          </cell>
        </row>
        <row r="380">
          <cell r="A380" t="str">
            <v>SELGONGA</v>
          </cell>
          <cell r="B380">
            <v>4.0043699525807002</v>
          </cell>
          <cell r="C380">
            <v>-9.2009998857975006E-2</v>
          </cell>
          <cell r="D380">
            <v>0</v>
          </cell>
          <cell r="E380" t="e">
            <v>#VALUE!</v>
          </cell>
          <cell r="F380">
            <v>0</v>
          </cell>
        </row>
        <row r="381">
          <cell r="A381" t="str">
            <v>SELGONGB</v>
          </cell>
          <cell r="B381">
            <v>0</v>
          </cell>
          <cell r="C381">
            <v>-0.40299999713897705</v>
          </cell>
          <cell r="D381">
            <v>0</v>
          </cell>
          <cell r="E381" t="e">
            <v>#VALUE!</v>
          </cell>
          <cell r="F381">
            <v>-5.9638599918313222</v>
          </cell>
        </row>
        <row r="382">
          <cell r="A382" t="str">
            <v>SELGONGC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11.552803854746362</v>
          </cell>
        </row>
        <row r="383">
          <cell r="A383" t="str">
            <v xml:space="preserve">SELGONG </v>
          </cell>
          <cell r="B383">
            <v>4.0043699525807002</v>
          </cell>
          <cell r="C383">
            <v>319.43600463867188</v>
          </cell>
          <cell r="D383">
            <v>4.0043699525807002</v>
          </cell>
          <cell r="E383">
            <v>4.0043699525807002</v>
          </cell>
          <cell r="F383">
            <v>-47.120215554433329</v>
          </cell>
        </row>
        <row r="384">
          <cell r="A384" t="str">
            <v>SELGIOGA</v>
          </cell>
          <cell r="B384">
            <v>0</v>
          </cell>
          <cell r="C384">
            <v>-9.2009998857975006E-2</v>
          </cell>
          <cell r="D384">
            <v>0</v>
          </cell>
          <cell r="E384" t="e">
            <v>#VALUE!</v>
          </cell>
          <cell r="F384">
            <v>-9.2009998857975006E-2</v>
          </cell>
        </row>
        <row r="385">
          <cell r="A385" t="str">
            <v>SELGIOGB</v>
          </cell>
          <cell r="B385">
            <v>0</v>
          </cell>
          <cell r="C385">
            <v>-0.40299999713897705</v>
          </cell>
          <cell r="D385">
            <v>0</v>
          </cell>
          <cell r="E385">
            <v>999</v>
          </cell>
          <cell r="F385">
            <v>-0.40299999713897705</v>
          </cell>
        </row>
        <row r="386">
          <cell r="A386" t="str">
            <v xml:space="preserve">SELGIOG </v>
          </cell>
          <cell r="B386">
            <v>0</v>
          </cell>
          <cell r="C386">
            <v>319.43600463867188</v>
          </cell>
          <cell r="D386">
            <v>0</v>
          </cell>
          <cell r="E386">
            <v>0</v>
          </cell>
          <cell r="F386">
            <v>319.43600463867188</v>
          </cell>
        </row>
        <row r="387">
          <cell r="A387" t="str">
            <v>SELDSLGA</v>
          </cell>
          <cell r="B387">
            <v>0</v>
          </cell>
          <cell r="C387">
            <v>-9.2009998857975006E-2</v>
          </cell>
          <cell r="D387">
            <v>0</v>
          </cell>
          <cell r="E387" t="e">
            <v>#VALUE!</v>
          </cell>
          <cell r="F387">
            <v>-272.7542472943868</v>
          </cell>
        </row>
        <row r="388">
          <cell r="A388" t="str">
            <v>SELDSLGB</v>
          </cell>
          <cell r="B388">
            <v>0</v>
          </cell>
          <cell r="C388">
            <v>-0.40301001071929932</v>
          </cell>
          <cell r="D388">
            <v>0</v>
          </cell>
          <cell r="E388">
            <v>999</v>
          </cell>
          <cell r="F388">
            <v>-280.56225011642664</v>
          </cell>
        </row>
        <row r="389">
          <cell r="A389" t="str">
            <v xml:space="preserve">SELDSLG </v>
          </cell>
          <cell r="B389">
            <v>0</v>
          </cell>
          <cell r="C389">
            <v>319.43600463867188</v>
          </cell>
          <cell r="D389">
            <v>0</v>
          </cell>
          <cell r="E389">
            <v>0</v>
          </cell>
          <cell r="F389">
            <v>225.64066132845943</v>
          </cell>
        </row>
        <row r="390">
          <cell r="A390" t="str">
            <v>SELKERGA</v>
          </cell>
          <cell r="B390">
            <v>0</v>
          </cell>
          <cell r="C390">
            <v>-9.2009998857975006E-2</v>
          </cell>
          <cell r="D390">
            <v>0</v>
          </cell>
          <cell r="E390" t="e">
            <v>#VALUE!</v>
          </cell>
          <cell r="F390">
            <v>-366.18354860070633</v>
          </cell>
        </row>
        <row r="391">
          <cell r="A391" t="str">
            <v>SELKERGG</v>
          </cell>
          <cell r="B391">
            <v>0</v>
          </cell>
          <cell r="C391">
            <v>-9.2009998857975006E-2</v>
          </cell>
          <cell r="D391">
            <v>0</v>
          </cell>
          <cell r="E391" t="e">
            <v>#VALUE!</v>
          </cell>
          <cell r="F391">
            <v>-9.2009998857975006E-2</v>
          </cell>
        </row>
        <row r="392">
          <cell r="A392" t="str">
            <v xml:space="preserve">SELKERG </v>
          </cell>
          <cell r="B392">
            <v>0</v>
          </cell>
          <cell r="C392">
            <v>460.82400512695313</v>
          </cell>
          <cell r="D392">
            <v>0</v>
          </cell>
          <cell r="E392">
            <v>0</v>
          </cell>
          <cell r="F392">
            <v>460.82400512695313</v>
          </cell>
        </row>
        <row r="393">
          <cell r="A393" t="str">
            <v>SELJETGA</v>
          </cell>
          <cell r="B393">
            <v>1.459285169431608</v>
          </cell>
          <cell r="C393">
            <v>-9.2009998857975006E-2</v>
          </cell>
          <cell r="D393">
            <v>0</v>
          </cell>
          <cell r="E393" t="e">
            <v>#VALUE!</v>
          </cell>
          <cell r="F393">
            <v>0</v>
          </cell>
        </row>
        <row r="394">
          <cell r="A394" t="str">
            <v>SELJETGG</v>
          </cell>
          <cell r="B394">
            <v>0</v>
          </cell>
          <cell r="C394">
            <v>-9.2009998857975006E-2</v>
          </cell>
          <cell r="D394">
            <v>0</v>
          </cell>
          <cell r="E394" t="e">
            <v>#VALUE!</v>
          </cell>
          <cell r="F394">
            <v>-2.6362032576885124</v>
          </cell>
        </row>
        <row r="395">
          <cell r="A395" t="str">
            <v>SELJETGB</v>
          </cell>
          <cell r="B395">
            <v>0</v>
          </cell>
          <cell r="C395">
            <v>-0.40301001071929932</v>
          </cell>
          <cell r="D395">
            <v>0</v>
          </cell>
          <cell r="E395">
            <v>0.32876700162887573</v>
          </cell>
          <cell r="F395">
            <v>-6.4873032191028335</v>
          </cell>
        </row>
        <row r="396">
          <cell r="A396" t="str">
            <v xml:space="preserve">SELJETG </v>
          </cell>
          <cell r="B396">
            <v>1.459285169431608</v>
          </cell>
          <cell r="C396">
            <v>460.82400512695313</v>
          </cell>
          <cell r="D396">
            <v>1.459285169431608</v>
          </cell>
          <cell r="E396">
            <v>1.459285169431608</v>
          </cell>
          <cell r="F396">
            <v>94.149917372612109</v>
          </cell>
        </row>
        <row r="397">
          <cell r="A397" t="str">
            <v>SELPRDHA</v>
          </cell>
          <cell r="B397">
            <v>0.33050400018692017</v>
          </cell>
          <cell r="C397">
            <v>-3.1155899632722139E-3</v>
          </cell>
          <cell r="D397">
            <v>0</v>
          </cell>
          <cell r="E397" t="e">
            <v>#VALUE!</v>
          </cell>
          <cell r="F397">
            <v>0</v>
          </cell>
        </row>
        <row r="398">
          <cell r="A398" t="str">
            <v>SELPRDHD</v>
          </cell>
          <cell r="B398">
            <v>0</v>
          </cell>
          <cell r="C398">
            <v>-3.1155899632722139E-3</v>
          </cell>
          <cell r="D398">
            <v>0</v>
          </cell>
          <cell r="E398" t="e">
            <v>#VALUE!</v>
          </cell>
          <cell r="F398">
            <v>0</v>
          </cell>
        </row>
        <row r="399">
          <cell r="A399" t="str">
            <v xml:space="preserve">SELPRDH </v>
          </cell>
          <cell r="B399">
            <v>0.33050400018692017</v>
          </cell>
          <cell r="C399">
            <v>160.22799682617188</v>
          </cell>
          <cell r="D399">
            <v>0.33050400018692017</v>
          </cell>
          <cell r="E399">
            <v>0.33050400018692017</v>
          </cell>
          <cell r="F399">
            <v>3.3198943138122559</v>
          </cell>
        </row>
        <row r="400">
          <cell r="A400" t="str">
            <v>SELBTDHD</v>
          </cell>
          <cell r="B400">
            <v>0.25755301117897034</v>
          </cell>
          <cell r="C400">
            <v>120.56400299072266</v>
          </cell>
          <cell r="D400">
            <v>0.25755301117897034</v>
          </cell>
          <cell r="E400">
            <v>0.25755301117897034</v>
          </cell>
          <cell r="F400">
            <v>-45.727989196777344</v>
          </cell>
        </row>
        <row r="401">
          <cell r="A401" t="str">
            <v>SELPRPHA</v>
          </cell>
          <cell r="B401">
            <v>0.52031729335654275</v>
          </cell>
          <cell r="C401">
            <v>396.71701049804688</v>
          </cell>
          <cell r="D401">
            <v>0</v>
          </cell>
          <cell r="E401" t="e">
            <v>#VALUE!</v>
          </cell>
          <cell r="F401">
            <v>0</v>
          </cell>
        </row>
        <row r="402">
          <cell r="A402" t="str">
            <v>SELPRIHA</v>
          </cell>
          <cell r="B402">
            <v>0</v>
          </cell>
          <cell r="C402">
            <v>-3.1155899632722139E-3</v>
          </cell>
          <cell r="D402">
            <v>0</v>
          </cell>
          <cell r="E402">
            <v>0</v>
          </cell>
          <cell r="F402">
            <v>-3.1155899632722139E-3</v>
          </cell>
        </row>
        <row r="403">
          <cell r="A403" t="str">
            <v>SELPRCHA</v>
          </cell>
          <cell r="B403">
            <v>0</v>
          </cell>
          <cell r="C403">
            <v>-3.1155899632722139E-3</v>
          </cell>
          <cell r="D403">
            <v>0</v>
          </cell>
          <cell r="E403">
            <v>0</v>
          </cell>
          <cell r="F403">
            <v>-3.1155899632722139E-3</v>
          </cell>
        </row>
        <row r="404">
          <cell r="A404" t="str">
            <v>SELBENHA</v>
          </cell>
          <cell r="B404">
            <v>0</v>
          </cell>
          <cell r="C404">
            <v>-3.1155899632722139E-3</v>
          </cell>
          <cell r="D404">
            <v>0</v>
          </cell>
          <cell r="E404">
            <v>0</v>
          </cell>
          <cell r="F404">
            <v>875.82974569242299</v>
          </cell>
        </row>
        <row r="405">
          <cell r="A405" t="str">
            <v>SELBENHD</v>
          </cell>
          <cell r="B405">
            <v>5.2054802654311061E-4</v>
          </cell>
          <cell r="C405">
            <v>-3.1155899632722139E-3</v>
          </cell>
          <cell r="D405">
            <v>0</v>
          </cell>
          <cell r="E405" t="e">
            <v>#VALUE!</v>
          </cell>
          <cell r="F405">
            <v>0</v>
          </cell>
        </row>
        <row r="406">
          <cell r="A406" t="str">
            <v xml:space="preserve">SELBENH </v>
          </cell>
          <cell r="B406">
            <v>5.2054802654311061E-4</v>
          </cell>
          <cell r="C406">
            <v>787</v>
          </cell>
          <cell r="D406">
            <v>5.2054802654311061E-4</v>
          </cell>
          <cell r="E406">
            <v>5.2054802654311061E-4</v>
          </cell>
          <cell r="F406">
            <v>-88.832866135688676</v>
          </cell>
        </row>
        <row r="407">
          <cell r="A407" t="str">
            <v>SELBU1HD</v>
          </cell>
          <cell r="B407">
            <v>2.6301400735974312E-2</v>
          </cell>
          <cell r="C407">
            <v>1173</v>
          </cell>
          <cell r="D407">
            <v>0</v>
          </cell>
          <cell r="E407">
            <v>2.6301400735974312E-2</v>
          </cell>
          <cell r="F407">
            <v>868.12310791015625</v>
          </cell>
        </row>
        <row r="408">
          <cell r="A408" t="str">
            <v>SELCIHHD</v>
          </cell>
          <cell r="B408">
            <v>1.3561600353568792E-3</v>
          </cell>
          <cell r="C408">
            <v>1332.989990234375</v>
          </cell>
          <cell r="D408">
            <v>1.3561600353568792E-3</v>
          </cell>
          <cell r="E408">
            <v>1.3561600353568792E-3</v>
          </cell>
          <cell r="F408">
            <v>440.61199951171875</v>
          </cell>
        </row>
        <row r="409">
          <cell r="A409" t="str">
            <v>SELLOSHA</v>
          </cell>
          <cell r="B409">
            <v>0</v>
          </cell>
          <cell r="C409">
            <v>-3.1155899632722139E-3</v>
          </cell>
          <cell r="D409">
            <v>0</v>
          </cell>
          <cell r="E409" t="e">
            <v>#VALUE!</v>
          </cell>
          <cell r="F409">
            <v>-3.1155899632722139E-3</v>
          </cell>
        </row>
        <row r="410">
          <cell r="A410" t="str">
            <v>SELLOSHD</v>
          </cell>
          <cell r="B410">
            <v>1.3242035685745003E-2</v>
          </cell>
          <cell r="C410">
            <v>-3.1155899632722139E-3</v>
          </cell>
          <cell r="D410">
            <v>0</v>
          </cell>
          <cell r="E410" t="e">
            <v>#VALUE!</v>
          </cell>
          <cell r="F410">
            <v>0</v>
          </cell>
        </row>
        <row r="411">
          <cell r="A411" t="str">
            <v>SELLOSHF</v>
          </cell>
          <cell r="B411">
            <v>1.4794657434247535E-3</v>
          </cell>
          <cell r="C411">
            <v>-9.9999997473787516E-6</v>
          </cell>
          <cell r="D411">
            <v>0</v>
          </cell>
          <cell r="E411" t="e">
            <v>#VALUE!</v>
          </cell>
          <cell r="F411">
            <v>0</v>
          </cell>
        </row>
        <row r="412">
          <cell r="A412" t="str">
            <v xml:space="preserve">SELLOSH </v>
          </cell>
          <cell r="B412">
            <v>1.4721501429807649E-2</v>
          </cell>
          <cell r="C412">
            <v>0</v>
          </cell>
          <cell r="D412">
            <v>0</v>
          </cell>
          <cell r="E412" t="e">
            <v>#VALUE!</v>
          </cell>
          <cell r="F412">
            <v>0</v>
          </cell>
        </row>
        <row r="413">
          <cell r="A413" t="str">
            <v>SELMXYHA</v>
          </cell>
          <cell r="B413">
            <v>0</v>
          </cell>
          <cell r="C413">
            <v>-3.1155899632722139E-3</v>
          </cell>
          <cell r="D413">
            <v>0</v>
          </cell>
          <cell r="E413">
            <v>0</v>
          </cell>
          <cell r="F413">
            <v>-9.9999997473787516E-5</v>
          </cell>
        </row>
        <row r="414">
          <cell r="A414" t="str">
            <v>SELMXYHD</v>
          </cell>
          <cell r="B414">
            <v>6.04109987616539E-2</v>
          </cell>
          <cell r="C414">
            <v>-3.1155899632722139E-3</v>
          </cell>
          <cell r="D414">
            <v>0</v>
          </cell>
          <cell r="E414" t="e">
            <v>#VALUE!</v>
          </cell>
          <cell r="F414">
            <v>0</v>
          </cell>
        </row>
        <row r="415">
          <cell r="A415" t="str">
            <v xml:space="preserve">SELMXYH </v>
          </cell>
          <cell r="B415">
            <v>6.04109987616539E-2</v>
          </cell>
          <cell r="C415">
            <v>732.2080078125</v>
          </cell>
          <cell r="D415">
            <v>4.5184116882004147E-2</v>
          </cell>
          <cell r="E415">
            <v>6.04109987616539E-2</v>
          </cell>
          <cell r="F415">
            <v>59.876884460449219</v>
          </cell>
        </row>
        <row r="416">
          <cell r="A416" t="str">
            <v>SELNC5HD</v>
          </cell>
          <cell r="B416">
            <v>3.3150699455291033E-3</v>
          </cell>
          <cell r="C416">
            <v>713.59698486328125</v>
          </cell>
          <cell r="D416">
            <v>3.3150699455291033E-3</v>
          </cell>
          <cell r="E416">
            <v>3.3150699455291033E-3</v>
          </cell>
          <cell r="F416">
            <v>100.69303068396164</v>
          </cell>
        </row>
        <row r="417">
          <cell r="A417" t="str">
            <v>SELNC6HD</v>
          </cell>
          <cell r="B417">
            <v>0</v>
          </cell>
          <cell r="C417">
            <v>770.99700927734375</v>
          </cell>
          <cell r="D417">
            <v>0</v>
          </cell>
          <cell r="E417">
            <v>3.5616399254649878E-3</v>
          </cell>
          <cell r="F417">
            <v>0</v>
          </cell>
        </row>
        <row r="418">
          <cell r="A418" t="str">
            <v>SELNC7HD</v>
          </cell>
          <cell r="B418">
            <v>1.2876699911430478E-3</v>
          </cell>
          <cell r="C418">
            <v>1554.1099853515625</v>
          </cell>
          <cell r="D418">
            <v>0</v>
          </cell>
          <cell r="E418">
            <v>1.2876699911430478E-3</v>
          </cell>
          <cell r="F418">
            <v>662.34821426182577</v>
          </cell>
        </row>
        <row r="419">
          <cell r="A419" t="str">
            <v>SELIO0HD</v>
          </cell>
          <cell r="B419">
            <v>0</v>
          </cell>
          <cell r="C419">
            <v>-3.1155899632722139E-3</v>
          </cell>
          <cell r="D419">
            <v>0</v>
          </cell>
          <cell r="E419">
            <v>0</v>
          </cell>
          <cell r="F419">
            <v>-3.1155899632722139E-3</v>
          </cell>
        </row>
        <row r="420">
          <cell r="A420" t="str">
            <v>SELIO3HD</v>
          </cell>
          <cell r="B420">
            <v>0</v>
          </cell>
          <cell r="C420">
            <v>-3.1155899632722139E-3</v>
          </cell>
          <cell r="D420">
            <v>0</v>
          </cell>
          <cell r="E420">
            <v>0</v>
          </cell>
          <cell r="F420">
            <v>-3.1155899632722139E-3</v>
          </cell>
        </row>
        <row r="421">
          <cell r="A421" t="str">
            <v>SELIO7HD</v>
          </cell>
          <cell r="B421">
            <v>0</v>
          </cell>
          <cell r="C421">
            <v>-3.1155899632722139E-3</v>
          </cell>
          <cell r="D421">
            <v>0</v>
          </cell>
          <cell r="E421">
            <v>0</v>
          </cell>
          <cell r="F421">
            <v>-3.1155899632722139E-3</v>
          </cell>
        </row>
        <row r="422">
          <cell r="A422" t="str">
            <v>SELIO8HD</v>
          </cell>
          <cell r="B422">
            <v>0</v>
          </cell>
          <cell r="C422">
            <v>-3.1155899632722139E-3</v>
          </cell>
          <cell r="D422">
            <v>0</v>
          </cell>
          <cell r="E422">
            <v>0</v>
          </cell>
          <cell r="F422">
            <v>-3.1155899632722139E-3</v>
          </cell>
        </row>
        <row r="423">
          <cell r="A423" t="str">
            <v>SELIO9HD</v>
          </cell>
          <cell r="B423">
            <v>0</v>
          </cell>
          <cell r="C423">
            <v>-3.1155899632722139E-3</v>
          </cell>
          <cell r="D423">
            <v>0</v>
          </cell>
          <cell r="E423">
            <v>0</v>
          </cell>
          <cell r="F423">
            <v>-441.0001220703125</v>
          </cell>
        </row>
        <row r="424">
          <cell r="A424" t="str">
            <v>SELOXYHD</v>
          </cell>
          <cell r="B424">
            <v>3.7945199757814407E-2</v>
          </cell>
          <cell r="C424">
            <v>866.99700927734375</v>
          </cell>
          <cell r="D424">
            <v>2.8380930229817351E-2</v>
          </cell>
          <cell r="E424">
            <v>3.7945199757814407E-2</v>
          </cell>
          <cell r="F424">
            <v>194.66900634765625</v>
          </cell>
        </row>
        <row r="425">
          <cell r="A425" t="str">
            <v>SELPPLHD</v>
          </cell>
          <cell r="B425">
            <v>0</v>
          </cell>
          <cell r="C425">
            <v>459.62399291992188</v>
          </cell>
          <cell r="D425">
            <v>0</v>
          </cell>
          <cell r="E425">
            <v>6.438360083848238E-3</v>
          </cell>
          <cell r="F425">
            <v>-657.6094970703125</v>
          </cell>
        </row>
        <row r="426">
          <cell r="A426" t="str">
            <v>SELSOBHD</v>
          </cell>
          <cell r="B426">
            <v>0</v>
          </cell>
          <cell r="C426">
            <v>-3.1155899632722139E-3</v>
          </cell>
          <cell r="D426">
            <v>0</v>
          </cell>
          <cell r="E426">
            <v>0</v>
          </cell>
          <cell r="F426">
            <v>-508.12411499023438</v>
          </cell>
        </row>
        <row r="427">
          <cell r="A427" t="str">
            <v>SELSOCHD</v>
          </cell>
          <cell r="B427">
            <v>2.9400142363897742E-2</v>
          </cell>
          <cell r="C427">
            <v>750.74700927734375</v>
          </cell>
          <cell r="D427">
            <v>0</v>
          </cell>
          <cell r="E427">
            <v>3.3616401255130768E-2</v>
          </cell>
          <cell r="F427">
            <v>0</v>
          </cell>
        </row>
        <row r="428">
          <cell r="A428" t="str">
            <v>SELSOFHD</v>
          </cell>
          <cell r="B428">
            <v>0</v>
          </cell>
          <cell r="C428">
            <v>-3.1155899632722139E-3</v>
          </cell>
          <cell r="D428">
            <v>0</v>
          </cell>
          <cell r="E428">
            <v>0</v>
          </cell>
          <cell r="F428">
            <v>-3.1155899632722139E-3</v>
          </cell>
        </row>
        <row r="429">
          <cell r="A429" t="str">
            <v>SELSOGHD</v>
          </cell>
          <cell r="B429">
            <v>3.9315097965300083E-3</v>
          </cell>
          <cell r="C429">
            <v>640.93402099609375</v>
          </cell>
          <cell r="D429">
            <v>3.9315097965300083E-3</v>
          </cell>
          <cell r="E429">
            <v>3.9315097965300083E-3</v>
          </cell>
          <cell r="F429">
            <v>127.77940368652344</v>
          </cell>
        </row>
        <row r="430">
          <cell r="A430" t="str">
            <v>SELTOLHD</v>
          </cell>
          <cell r="B430">
            <v>9.601370245218277E-2</v>
          </cell>
          <cell r="C430">
            <v>723.75701904296875</v>
          </cell>
          <cell r="D430">
            <v>9.601370245218277E-2</v>
          </cell>
          <cell r="E430">
            <v>9.601370245218277E-2</v>
          </cell>
          <cell r="F430">
            <v>10.700049084180021</v>
          </cell>
        </row>
        <row r="431">
          <cell r="A431" t="str">
            <v>SELAGRHD</v>
          </cell>
          <cell r="B431">
            <v>3.3972598612308502E-2</v>
          </cell>
          <cell r="C431">
            <v>590.99700927734375</v>
          </cell>
          <cell r="D431">
            <v>8.4698807499180104E-3</v>
          </cell>
          <cell r="E431">
            <v>3.3972598612308502E-2</v>
          </cell>
          <cell r="F431">
            <v>105.6423282989084</v>
          </cell>
        </row>
        <row r="432">
          <cell r="A432" t="str">
            <v>SELAKPHA</v>
          </cell>
          <cell r="B432">
            <v>3.1182900420390069E-4</v>
          </cell>
          <cell r="C432">
            <v>327.42498779296875</v>
          </cell>
          <cell r="D432">
            <v>0</v>
          </cell>
          <cell r="E432">
            <v>3.1182900420390069E-4</v>
          </cell>
          <cell r="F432">
            <v>22.741506926654136</v>
          </cell>
        </row>
        <row r="433">
          <cell r="A433" t="str">
            <v>SELARPHA</v>
          </cell>
          <cell r="B433">
            <v>0</v>
          </cell>
          <cell r="C433">
            <v>-3.1155899632722139E-3</v>
          </cell>
          <cell r="D433">
            <v>0</v>
          </cell>
          <cell r="E433">
            <v>0</v>
          </cell>
          <cell r="F433">
            <v>-9.9999997473787516E-5</v>
          </cell>
        </row>
        <row r="434">
          <cell r="A434" t="str">
            <v>SELARPHD</v>
          </cell>
          <cell r="B434">
            <v>2.8493199497461319E-2</v>
          </cell>
          <cell r="C434">
            <v>-3.1155899632722139E-3</v>
          </cell>
          <cell r="D434">
            <v>0</v>
          </cell>
          <cell r="E434" t="e">
            <v>#VALUE!</v>
          </cell>
          <cell r="F434">
            <v>0</v>
          </cell>
        </row>
        <row r="435">
          <cell r="A435" t="str">
            <v xml:space="preserve">SELARPH </v>
          </cell>
          <cell r="B435">
            <v>2.8493199497461319E-2</v>
          </cell>
          <cell r="C435">
            <v>733</v>
          </cell>
          <cell r="D435">
            <v>0</v>
          </cell>
          <cell r="E435">
            <v>2.8493199497461319E-2</v>
          </cell>
          <cell r="F435">
            <v>235.23231502167167</v>
          </cell>
        </row>
        <row r="436">
          <cell r="A436" t="str">
            <v>SELBTIHA</v>
          </cell>
          <cell r="B436">
            <v>0.55753397941589355</v>
          </cell>
          <cell r="C436">
            <v>319.99700927734375</v>
          </cell>
          <cell r="D436">
            <v>0</v>
          </cell>
          <cell r="E436">
            <v>0.55753397941589355</v>
          </cell>
          <cell r="F436">
            <v>148.56259853415293</v>
          </cell>
        </row>
        <row r="437">
          <cell r="A437" t="str">
            <v>SELEXAHA</v>
          </cell>
          <cell r="B437">
            <v>4.3835598975419998E-2</v>
          </cell>
          <cell r="C437">
            <v>437.99700927734375</v>
          </cell>
          <cell r="D437">
            <v>4.3835598975419998E-2</v>
          </cell>
          <cell r="E437">
            <v>4.3835598975419998E-2</v>
          </cell>
          <cell r="F437">
            <v>44.567573003899561</v>
          </cell>
        </row>
        <row r="438">
          <cell r="A438" t="str">
            <v>SELIPKHA</v>
          </cell>
          <cell r="B438">
            <v>0</v>
          </cell>
          <cell r="C438">
            <v>6.8844100460410118E-3</v>
          </cell>
          <cell r="D438">
            <v>0</v>
          </cell>
          <cell r="E438" t="e">
            <v>#VALUE!</v>
          </cell>
          <cell r="F438">
            <v>6.8844100460410118E-3</v>
          </cell>
        </row>
        <row r="439">
          <cell r="A439" t="str">
            <v>SELLABHD</v>
          </cell>
          <cell r="B439">
            <v>6.107030680326566E-2</v>
          </cell>
          <cell r="C439">
            <v>1127.8599853515625</v>
          </cell>
          <cell r="D439">
            <v>2.1747569831675046E-2</v>
          </cell>
          <cell r="E439">
            <v>6.2513001263141632E-2</v>
          </cell>
          <cell r="F439">
            <v>139.90614310486677</v>
          </cell>
        </row>
        <row r="440">
          <cell r="A440" t="str">
            <v>SELLASHD</v>
          </cell>
          <cell r="B440">
            <v>5.7534199208021164E-2</v>
          </cell>
          <cell r="C440">
            <v>1085</v>
          </cell>
          <cell r="D440">
            <v>2.8845913575528421E-2</v>
          </cell>
          <cell r="E440">
            <v>5.7534199208021164E-2</v>
          </cell>
          <cell r="F440">
            <v>185.10873622110446</v>
          </cell>
        </row>
        <row r="441">
          <cell r="A441" t="str">
            <v>SELMALHD</v>
          </cell>
          <cell r="B441">
            <v>6.9342497736215591E-3</v>
          </cell>
          <cell r="C441">
            <v>1371</v>
          </cell>
          <cell r="D441">
            <v>6.9342497736215591E-3</v>
          </cell>
          <cell r="E441">
            <v>6.9342497736215591E-3</v>
          </cell>
          <cell r="F441">
            <v>215.77000427246094</v>
          </cell>
        </row>
        <row r="442">
          <cell r="A442" t="str">
            <v>SELB05HA</v>
          </cell>
          <cell r="B442">
            <v>0</v>
          </cell>
          <cell r="C442">
            <v>812.92498779296875</v>
          </cell>
          <cell r="D442">
            <v>0</v>
          </cell>
          <cell r="E442">
            <v>999</v>
          </cell>
          <cell r="F442">
            <v>-79.071998596191406</v>
          </cell>
        </row>
        <row r="443">
          <cell r="A443" t="str">
            <v>SELB20HA</v>
          </cell>
          <cell r="B443">
            <v>0</v>
          </cell>
          <cell r="C443">
            <v>812.92498779296875</v>
          </cell>
          <cell r="D443">
            <v>0</v>
          </cell>
          <cell r="E443">
            <v>999</v>
          </cell>
          <cell r="F443">
            <v>-88.071998596191406</v>
          </cell>
        </row>
        <row r="444">
          <cell r="A444" t="str">
            <v>SELB30HA</v>
          </cell>
          <cell r="B444">
            <v>0</v>
          </cell>
          <cell r="C444">
            <v>814.89599609375</v>
          </cell>
          <cell r="D444">
            <v>0</v>
          </cell>
          <cell r="E444">
            <v>999</v>
          </cell>
          <cell r="F444">
            <v>-91.100997924804688</v>
          </cell>
        </row>
        <row r="445">
          <cell r="A445" t="str">
            <v>SELB40HA</v>
          </cell>
          <cell r="B445">
            <v>0</v>
          </cell>
          <cell r="C445">
            <v>816.86700439453125</v>
          </cell>
          <cell r="D445">
            <v>0</v>
          </cell>
          <cell r="E445">
            <v>999</v>
          </cell>
          <cell r="F445">
            <v>-103.12999725341797</v>
          </cell>
        </row>
        <row r="446">
          <cell r="A446" t="str">
            <v>SELB50HA</v>
          </cell>
          <cell r="B446">
            <v>7.9245062345919548E-2</v>
          </cell>
          <cell r="C446">
            <v>841.04400634765625</v>
          </cell>
          <cell r="D446">
            <v>7.9245062345919548E-2</v>
          </cell>
          <cell r="E446">
            <v>999</v>
          </cell>
          <cell r="F446">
            <v>-386.00334271992722</v>
          </cell>
        </row>
        <row r="447">
          <cell r="A447" t="str">
            <v>SELB60HA</v>
          </cell>
          <cell r="B447">
            <v>0</v>
          </cell>
          <cell r="C447">
            <v>841.04400634765625</v>
          </cell>
          <cell r="D447">
            <v>0</v>
          </cell>
          <cell r="E447">
            <v>0</v>
          </cell>
          <cell r="F447">
            <v>841.04400634765625</v>
          </cell>
        </row>
        <row r="448">
          <cell r="A448" t="str">
            <v>SELWAXHA</v>
          </cell>
          <cell r="B448">
            <v>0</v>
          </cell>
          <cell r="C448">
            <v>-3.1155899632722139E-3</v>
          </cell>
          <cell r="D448">
            <v>0</v>
          </cell>
          <cell r="E448">
            <v>0</v>
          </cell>
          <cell r="F448">
            <v>-3.1155899632722139E-3</v>
          </cell>
        </row>
        <row r="449">
          <cell r="A449" t="str">
            <v>SELFD1HA</v>
          </cell>
          <cell r="B449">
            <v>1.2227785193093428E-3</v>
          </cell>
          <cell r="C449">
            <v>901.99700927734375</v>
          </cell>
          <cell r="D449">
            <v>0</v>
          </cell>
          <cell r="E449">
            <v>1.7387572541986019E-3</v>
          </cell>
          <cell r="F449">
            <v>206.52696303276167</v>
          </cell>
        </row>
        <row r="450">
          <cell r="A450" t="str">
            <v>SELFD2HA</v>
          </cell>
          <cell r="B450">
            <v>1.5591899864375591E-2</v>
          </cell>
          <cell r="C450">
            <v>901.99700927734375</v>
          </cell>
          <cell r="D450">
            <v>0</v>
          </cell>
          <cell r="E450">
            <v>1.5591899864375591E-2</v>
          </cell>
          <cell r="F450">
            <v>561.51861672597386</v>
          </cell>
        </row>
        <row r="451">
          <cell r="A451" t="str">
            <v>SELFD3HA</v>
          </cell>
          <cell r="B451">
            <v>6.7878077559377229E-3</v>
          </cell>
          <cell r="C451">
            <v>909.58697509765625</v>
          </cell>
          <cell r="D451">
            <v>0</v>
          </cell>
          <cell r="E451">
            <v>6.7878077559377229E-3</v>
          </cell>
          <cell r="F451">
            <v>516.85101351803291</v>
          </cell>
        </row>
        <row r="452">
          <cell r="A452" t="str">
            <v>SELFD4HA</v>
          </cell>
          <cell r="B452">
            <v>1.2422504214161675E-2</v>
          </cell>
          <cell r="C452">
            <v>909.8070068359375</v>
          </cell>
          <cell r="D452">
            <v>0</v>
          </cell>
          <cell r="E452">
            <v>1.2422504214161675E-2</v>
          </cell>
          <cell r="F452">
            <v>566.92248886317418</v>
          </cell>
        </row>
        <row r="453">
          <cell r="A453" t="str">
            <v>SELFD5HA</v>
          </cell>
          <cell r="B453">
            <v>0</v>
          </cell>
          <cell r="C453">
            <v>919.70697021484375</v>
          </cell>
          <cell r="D453">
            <v>0</v>
          </cell>
          <cell r="E453">
            <v>0</v>
          </cell>
          <cell r="F453">
            <v>919.70697021484375</v>
          </cell>
        </row>
        <row r="454">
          <cell r="A454" t="str">
            <v>SELFC2HA</v>
          </cell>
          <cell r="B454">
            <v>0</v>
          </cell>
          <cell r="C454">
            <v>340.2860107421875</v>
          </cell>
          <cell r="D454">
            <v>0</v>
          </cell>
          <cell r="E454">
            <v>0</v>
          </cell>
          <cell r="F454">
            <v>340.2860107421875</v>
          </cell>
        </row>
        <row r="455">
          <cell r="A455" t="str">
            <v>SELARSHA</v>
          </cell>
          <cell r="B455">
            <v>0</v>
          </cell>
          <cell r="C455">
            <v>207.08700561523438</v>
          </cell>
          <cell r="D455">
            <v>0</v>
          </cell>
          <cell r="E455">
            <v>0</v>
          </cell>
          <cell r="F455">
            <v>207.08700561523438</v>
          </cell>
        </row>
        <row r="456">
          <cell r="A456" t="str">
            <v>SELRFTHA</v>
          </cell>
          <cell r="B456">
            <v>0</v>
          </cell>
          <cell r="C456">
            <v>0</v>
          </cell>
          <cell r="D456">
            <v>0</v>
          </cell>
          <cell r="E456" t="e">
            <v>#VALUE!</v>
          </cell>
          <cell r="F456">
            <v>-522.21862650832088</v>
          </cell>
        </row>
        <row r="457">
          <cell r="A457" t="str">
            <v>SELRFTHD</v>
          </cell>
          <cell r="B457">
            <v>0</v>
          </cell>
          <cell r="C457">
            <v>-3.1155899632722139E-3</v>
          </cell>
          <cell r="D457">
            <v>0</v>
          </cell>
          <cell r="E457" t="e">
            <v>#VALUE!</v>
          </cell>
          <cell r="F457">
            <v>-1.5449911872664952E-3</v>
          </cell>
        </row>
        <row r="458">
          <cell r="A458" t="str">
            <v xml:space="preserve">SELRFTH </v>
          </cell>
          <cell r="B458">
            <v>0</v>
          </cell>
          <cell r="C458">
            <v>481.89199829101563</v>
          </cell>
          <cell r="D458">
            <v>0</v>
          </cell>
          <cell r="E458">
            <v>0</v>
          </cell>
          <cell r="F458">
            <v>481.89042910223139</v>
          </cell>
        </row>
        <row r="459">
          <cell r="A459" t="str">
            <v>SELSCLHA</v>
          </cell>
          <cell r="B459">
            <v>0</v>
          </cell>
          <cell r="C459">
            <v>1100</v>
          </cell>
          <cell r="D459">
            <v>0</v>
          </cell>
          <cell r="E459">
            <v>0</v>
          </cell>
          <cell r="F459">
            <v>1100</v>
          </cell>
        </row>
        <row r="460">
          <cell r="A460" t="str">
            <v>SELSLOHA</v>
          </cell>
          <cell r="B460">
            <v>0.11536924222560778</v>
          </cell>
          <cell r="C460">
            <v>224.74400329589844</v>
          </cell>
          <cell r="D460">
            <v>0</v>
          </cell>
          <cell r="E460">
            <v>7777</v>
          </cell>
          <cell r="F460">
            <v>0</v>
          </cell>
        </row>
        <row r="461">
          <cell r="A461" t="str">
            <v>SELALKHA</v>
          </cell>
          <cell r="B461">
            <v>0</v>
          </cell>
          <cell r="C461">
            <v>-3.1155899632722139E-3</v>
          </cell>
          <cell r="D461">
            <v>0</v>
          </cell>
          <cell r="E461">
            <v>0</v>
          </cell>
          <cell r="F461">
            <v>-959.52603141053078</v>
          </cell>
        </row>
        <row r="462">
          <cell r="A462" t="str">
            <v>SELNRPHA</v>
          </cell>
          <cell r="B462">
            <v>0</v>
          </cell>
          <cell r="C462">
            <v>-3.1155899632722139E-3</v>
          </cell>
          <cell r="D462">
            <v>0</v>
          </cell>
          <cell r="E462" t="e">
            <v>#VALUE!</v>
          </cell>
          <cell r="F462">
            <v>-3.1155899632722139E-3</v>
          </cell>
        </row>
        <row r="463">
          <cell r="A463" t="str">
            <v>SELNRPHD</v>
          </cell>
          <cell r="B463">
            <v>0</v>
          </cell>
          <cell r="C463">
            <v>-3.1155899632722139E-3</v>
          </cell>
          <cell r="D463">
            <v>0</v>
          </cell>
          <cell r="E463" t="e">
            <v>#VALUE!</v>
          </cell>
          <cell r="F463">
            <v>-717.38737224422084</v>
          </cell>
        </row>
        <row r="464">
          <cell r="A464" t="str">
            <v xml:space="preserve">SELNRPH </v>
          </cell>
          <cell r="B464">
            <v>0</v>
          </cell>
          <cell r="C464">
            <v>1085</v>
          </cell>
          <cell r="D464">
            <v>0</v>
          </cell>
          <cell r="E464">
            <v>0</v>
          </cell>
          <cell r="F464">
            <v>1085</v>
          </cell>
        </row>
        <row r="465">
          <cell r="A465" t="str">
            <v>SELRFLHA</v>
          </cell>
          <cell r="B465">
            <v>1.5124448155703609</v>
          </cell>
          <cell r="C465">
            <v>-9.9999997473787516E-6</v>
          </cell>
          <cell r="D465">
            <v>0</v>
          </cell>
          <cell r="E465" t="e">
            <v>#VALUE!</v>
          </cell>
          <cell r="F465">
            <v>0</v>
          </cell>
        </row>
        <row r="466">
          <cell r="A466" t="str">
            <v>SELRFLHD</v>
          </cell>
          <cell r="B466">
            <v>0.64212121881850781</v>
          </cell>
          <cell r="C466">
            <v>-9.9999997473787516E-6</v>
          </cell>
          <cell r="D466">
            <v>0</v>
          </cell>
          <cell r="E466" t="e">
            <v>#VALUE!</v>
          </cell>
          <cell r="F466">
            <v>0</v>
          </cell>
        </row>
        <row r="467">
          <cell r="A467" t="str">
            <v>SELRFLHF</v>
          </cell>
          <cell r="B467">
            <v>2.6504295565545149E-3</v>
          </cell>
          <cell r="C467">
            <v>-9.9999997473787516E-6</v>
          </cell>
          <cell r="D467">
            <v>0</v>
          </cell>
          <cell r="E467" t="e">
            <v>#VALUE!</v>
          </cell>
          <cell r="F467">
            <v>0</v>
          </cell>
        </row>
        <row r="468">
          <cell r="A468" t="str">
            <v xml:space="preserve">SELRFLH </v>
          </cell>
          <cell r="B468">
            <v>2.1572164097877398</v>
          </cell>
          <cell r="C468">
            <v>0</v>
          </cell>
          <cell r="D468">
            <v>0</v>
          </cell>
          <cell r="E468" t="e">
            <v>#VALUE!</v>
          </cell>
          <cell r="F468">
            <v>0</v>
          </cell>
        </row>
        <row r="469">
          <cell r="A469" t="str">
            <v>SELGTGHA</v>
          </cell>
          <cell r="B469">
            <v>0.32852798700332642</v>
          </cell>
          <cell r="C469">
            <v>259.99700927734375</v>
          </cell>
          <cell r="D469">
            <v>0.32852798700332642</v>
          </cell>
          <cell r="E469" t="e">
            <v>#VALUE!</v>
          </cell>
          <cell r="F469">
            <v>-405.58344592786813</v>
          </cell>
        </row>
        <row r="470">
          <cell r="A470" t="str">
            <v>SELCKEHA</v>
          </cell>
          <cell r="B470">
            <v>1.2580534794559217</v>
          </cell>
          <cell r="C470">
            <v>-3.1155899632722139E-3</v>
          </cell>
          <cell r="D470">
            <v>0</v>
          </cell>
          <cell r="E470" t="e">
            <v>#VALUE!</v>
          </cell>
          <cell r="F470">
            <v>0</v>
          </cell>
        </row>
        <row r="471">
          <cell r="A471" t="str">
            <v>SELCKEHB</v>
          </cell>
          <cell r="B471">
            <v>0.16660652701577094</v>
          </cell>
          <cell r="C471">
            <v>-20.659999847412109</v>
          </cell>
          <cell r="D471">
            <v>0</v>
          </cell>
          <cell r="E471" t="e">
            <v>#VALUE!</v>
          </cell>
          <cell r="F471">
            <v>0</v>
          </cell>
        </row>
        <row r="472">
          <cell r="A472" t="str">
            <v xml:space="preserve">SELCKEH </v>
          </cell>
          <cell r="B472">
            <v>1.4246599674224854</v>
          </cell>
          <cell r="C472">
            <v>87</v>
          </cell>
          <cell r="D472">
            <v>0</v>
          </cell>
          <cell r="E472">
            <v>1.4246599674224854</v>
          </cell>
          <cell r="F472">
            <v>47</v>
          </cell>
        </row>
        <row r="473">
          <cell r="A473" t="str">
            <v>SELPI0HF</v>
          </cell>
          <cell r="B473">
            <v>8.2191801629960537E-4</v>
          </cell>
          <cell r="C473">
            <v>1098.5</v>
          </cell>
          <cell r="D473">
            <v>8.2191801629960537E-4</v>
          </cell>
          <cell r="E473">
            <v>8.2191801629960537E-4</v>
          </cell>
          <cell r="F473">
            <v>62.586393884110123</v>
          </cell>
        </row>
        <row r="474">
          <cell r="A474" t="str">
            <v>SELP10HF</v>
          </cell>
          <cell r="B474">
            <v>7.7534199226647615E-4</v>
          </cell>
          <cell r="C474">
            <v>1098.5</v>
          </cell>
          <cell r="D474">
            <v>7.7534199226647615E-4</v>
          </cell>
          <cell r="E474">
            <v>7.7534199226647615E-4</v>
          </cell>
          <cell r="F474">
            <v>150.9051267859054</v>
          </cell>
        </row>
        <row r="475">
          <cell r="A475" t="str">
            <v>SELP30HF</v>
          </cell>
          <cell r="B475">
            <v>1.0958899511024356E-3</v>
          </cell>
          <cell r="C475">
            <v>1098.5</v>
          </cell>
          <cell r="D475">
            <v>1.0958899511024356E-3</v>
          </cell>
          <cell r="E475">
            <v>1.0958899511024356E-3</v>
          </cell>
          <cell r="F475">
            <v>174.09777129708905</v>
          </cell>
        </row>
        <row r="476">
          <cell r="A476" t="str">
            <v>SELP15HF</v>
          </cell>
          <cell r="B476">
            <v>2.7397301164455712E-4</v>
          </cell>
          <cell r="C476">
            <v>1098.5</v>
          </cell>
          <cell r="D476">
            <v>2.7397301164455712E-4</v>
          </cell>
          <cell r="E476">
            <v>2.7397301164455712E-4</v>
          </cell>
          <cell r="F476">
            <v>176.89651564506636</v>
          </cell>
        </row>
        <row r="477">
          <cell r="A477" t="str">
            <v>SELP20HF</v>
          </cell>
          <cell r="B477">
            <v>1.3698600232601166E-3</v>
          </cell>
          <cell r="C477">
            <v>1098.5</v>
          </cell>
          <cell r="D477">
            <v>1.3698600232601166E-3</v>
          </cell>
          <cell r="E477">
            <v>1.3698600232601166E-3</v>
          </cell>
          <cell r="F477">
            <v>176.89651564506636</v>
          </cell>
        </row>
        <row r="478">
          <cell r="A478" t="str">
            <v>SELC3CHF</v>
          </cell>
          <cell r="B478">
            <v>3.7385518574921335E-4</v>
          </cell>
          <cell r="C478">
            <v>9.9999904632568359</v>
          </cell>
          <cell r="D478">
            <v>0</v>
          </cell>
          <cell r="E478">
            <v>2.7397299185395241E-2</v>
          </cell>
          <cell r="F478">
            <v>0</v>
          </cell>
        </row>
        <row r="479">
          <cell r="A479" t="str">
            <v>SELPLSHF</v>
          </cell>
          <cell r="B479">
            <v>6.942503695210365E-3</v>
          </cell>
          <cell r="C479">
            <v>250</v>
          </cell>
          <cell r="D479">
            <v>0</v>
          </cell>
          <cell r="E479">
            <v>3.8904100656509399E-2</v>
          </cell>
          <cell r="F479">
            <v>0</v>
          </cell>
        </row>
        <row r="480">
          <cell r="A480" t="str">
            <v>SELNACHA</v>
          </cell>
          <cell r="B480">
            <v>4.1148970725193412E-2</v>
          </cell>
          <cell r="C480">
            <v>-3.1155899632722139E-3</v>
          </cell>
          <cell r="D480">
            <v>0</v>
          </cell>
          <cell r="E480" t="e">
            <v>#VALUE!</v>
          </cell>
          <cell r="F480">
            <v>0</v>
          </cell>
        </row>
        <row r="481">
          <cell r="A481" t="str">
            <v>SELNACHG</v>
          </cell>
          <cell r="B481">
            <v>0</v>
          </cell>
          <cell r="C481">
            <v>-3.1155899632722139E-3</v>
          </cell>
          <cell r="D481">
            <v>0</v>
          </cell>
          <cell r="E481" t="e">
            <v>#VALUE!</v>
          </cell>
          <cell r="F481">
            <v>-5.2407585784180526</v>
          </cell>
        </row>
        <row r="482">
          <cell r="A482" t="str">
            <v xml:space="preserve">SELNACH </v>
          </cell>
          <cell r="B482">
            <v>4.1148970725193412E-2</v>
          </cell>
          <cell r="C482">
            <v>256.468994140625</v>
          </cell>
          <cell r="D482">
            <v>4.1148970725193412E-2</v>
          </cell>
          <cell r="E482">
            <v>4.1148970725193412E-2</v>
          </cell>
          <cell r="F482">
            <v>-88.954379293363388</v>
          </cell>
        </row>
        <row r="483">
          <cell r="A483" t="str">
            <v>SELNASHA</v>
          </cell>
          <cell r="B483">
            <v>0.27291671466337492</v>
          </cell>
          <cell r="C483">
            <v>-3.1155899632722139E-3</v>
          </cell>
          <cell r="D483">
            <v>0</v>
          </cell>
          <cell r="E483" t="e">
            <v>#VALUE!</v>
          </cell>
          <cell r="F483">
            <v>0</v>
          </cell>
        </row>
        <row r="484">
          <cell r="A484" t="str">
            <v>SELNASHG</v>
          </cell>
          <cell r="B484">
            <v>0</v>
          </cell>
          <cell r="C484">
            <v>-3.1155899632722139E-3</v>
          </cell>
          <cell r="D484">
            <v>0</v>
          </cell>
          <cell r="E484" t="e">
            <v>#VALUE!</v>
          </cell>
          <cell r="F484">
            <v>0</v>
          </cell>
        </row>
        <row r="485">
          <cell r="A485" t="str">
            <v xml:space="preserve">SELNASH </v>
          </cell>
          <cell r="B485">
            <v>0.27291671466337492</v>
          </cell>
          <cell r="C485">
            <v>268.79800415039063</v>
          </cell>
          <cell r="D485">
            <v>0.27291671466337492</v>
          </cell>
          <cell r="E485">
            <v>0.27291671466337492</v>
          </cell>
          <cell r="F485">
            <v>-110.87486260819108</v>
          </cell>
        </row>
        <row r="486">
          <cell r="A486" t="str">
            <v>SELNECHA</v>
          </cell>
          <cell r="B486">
            <v>0.22215204981908407</v>
          </cell>
          <cell r="C486">
            <v>-3.1155899632722139E-3</v>
          </cell>
          <cell r="D486">
            <v>0</v>
          </cell>
          <cell r="E486" t="e">
            <v>#VALUE!</v>
          </cell>
          <cell r="F486">
            <v>0</v>
          </cell>
        </row>
        <row r="487">
          <cell r="A487" t="str">
            <v>SELNECHG</v>
          </cell>
          <cell r="B487">
            <v>0</v>
          </cell>
          <cell r="C487">
            <v>-3.1155899632722139E-3</v>
          </cell>
          <cell r="D487">
            <v>0</v>
          </cell>
          <cell r="E487" t="e">
            <v>#VALUE!</v>
          </cell>
          <cell r="F487">
            <v>-2.9755944238950129</v>
          </cell>
        </row>
        <row r="488">
          <cell r="A488" t="str">
            <v xml:space="preserve">SELNECH </v>
          </cell>
          <cell r="B488">
            <v>0.22215204981908407</v>
          </cell>
          <cell r="C488">
            <v>272.45199584960938</v>
          </cell>
          <cell r="D488">
            <v>0.22215204981908407</v>
          </cell>
          <cell r="E488">
            <v>0.22215204981908407</v>
          </cell>
          <cell r="F488">
            <v>-117.49550020400793</v>
          </cell>
        </row>
        <row r="489">
          <cell r="A489" t="str">
            <v>SELGOUHA</v>
          </cell>
          <cell r="B489">
            <v>1.62742754825174</v>
          </cell>
          <cell r="C489">
            <v>319.43301391601563</v>
          </cell>
          <cell r="D489">
            <v>1.62742754825174</v>
          </cell>
          <cell r="E489">
            <v>1.62742754825174</v>
          </cell>
          <cell r="F489">
            <v>-47.056990265519651</v>
          </cell>
        </row>
        <row r="490">
          <cell r="A490" t="str">
            <v>SELGIOHA</v>
          </cell>
          <cell r="B490">
            <v>0</v>
          </cell>
          <cell r="C490">
            <v>319.43301391601563</v>
          </cell>
          <cell r="D490">
            <v>0</v>
          </cell>
          <cell r="E490">
            <v>0</v>
          </cell>
          <cell r="F490">
            <v>319.43301391601563</v>
          </cell>
        </row>
        <row r="491">
          <cell r="A491" t="str">
            <v>SELFOCHA</v>
          </cell>
          <cell r="B491">
            <v>1.6205979023894219</v>
          </cell>
          <cell r="C491">
            <v>217.35600280761719</v>
          </cell>
          <cell r="D491">
            <v>1.6205979023894219</v>
          </cell>
          <cell r="E491">
            <v>1.6205979023894219</v>
          </cell>
          <cell r="F491">
            <v>-4.4902373888721208</v>
          </cell>
        </row>
        <row r="492">
          <cell r="A492" t="str">
            <v>SELDSLHA</v>
          </cell>
          <cell r="B492">
            <v>9.5890398731786911E-2</v>
          </cell>
          <cell r="C492">
            <v>319.43301391601563</v>
          </cell>
          <cell r="D492">
            <v>9.5890398731786911E-2</v>
          </cell>
          <cell r="E492">
            <v>9.5890398731786911E-2</v>
          </cell>
          <cell r="F492">
            <v>-47.024581924856527</v>
          </cell>
        </row>
        <row r="493">
          <cell r="A493" t="str">
            <v>SELKERHA</v>
          </cell>
          <cell r="B493">
            <v>0</v>
          </cell>
          <cell r="C493">
            <v>-3.1155899632722139E-3</v>
          </cell>
          <cell r="D493">
            <v>0</v>
          </cell>
          <cell r="E493" t="e">
            <v>#VALUE!</v>
          </cell>
          <cell r="F493">
            <v>-366.09465089562821</v>
          </cell>
        </row>
        <row r="494">
          <cell r="A494" t="str">
            <v>SELKERHG</v>
          </cell>
          <cell r="B494">
            <v>0</v>
          </cell>
          <cell r="C494">
            <v>-3.1155899632722139E-3</v>
          </cell>
          <cell r="D494">
            <v>0</v>
          </cell>
          <cell r="E494" t="e">
            <v>#VALUE!</v>
          </cell>
          <cell r="F494">
            <v>-3.1155899632722139E-3</v>
          </cell>
        </row>
        <row r="495">
          <cell r="A495" t="str">
            <v xml:space="preserve">SELKERH </v>
          </cell>
          <cell r="B495">
            <v>0</v>
          </cell>
          <cell r="C495">
            <v>459.23300170898438</v>
          </cell>
          <cell r="D495">
            <v>0</v>
          </cell>
          <cell r="E495">
            <v>0</v>
          </cell>
          <cell r="F495">
            <v>459.23300170898438</v>
          </cell>
        </row>
        <row r="496">
          <cell r="A496" t="str">
            <v>SELJETHA</v>
          </cell>
          <cell r="B496">
            <v>4.0452949049538126E-2</v>
          </cell>
          <cell r="C496">
            <v>-3.1155899632722139E-3</v>
          </cell>
          <cell r="D496">
            <v>0</v>
          </cell>
          <cell r="E496" t="e">
            <v>#VALUE!</v>
          </cell>
          <cell r="F496">
            <v>0</v>
          </cell>
        </row>
        <row r="497">
          <cell r="A497" t="str">
            <v>SELJETHG</v>
          </cell>
          <cell r="B497">
            <v>0</v>
          </cell>
          <cell r="C497">
            <v>-3.1155899632722139E-3</v>
          </cell>
          <cell r="D497">
            <v>0</v>
          </cell>
          <cell r="E497" t="e">
            <v>#VALUE!</v>
          </cell>
          <cell r="F497">
            <v>-2.6362032576885124</v>
          </cell>
        </row>
        <row r="498">
          <cell r="A498" t="str">
            <v xml:space="preserve">SELJETH </v>
          </cell>
          <cell r="B498">
            <v>4.0452949049538126E-2</v>
          </cell>
          <cell r="C498">
            <v>459.23300170898438</v>
          </cell>
          <cell r="D498">
            <v>4.0452949049538126E-2</v>
          </cell>
          <cell r="E498">
            <v>4.0452949049538126E-2</v>
          </cell>
          <cell r="F498">
            <v>92.647811659721484</v>
          </cell>
        </row>
        <row r="499">
          <cell r="A499" t="str">
            <v>SELA87HA</v>
          </cell>
          <cell r="B499">
            <v>0</v>
          </cell>
          <cell r="C499">
            <v>839.99700927734375</v>
          </cell>
          <cell r="D499">
            <v>0</v>
          </cell>
          <cell r="E499">
            <v>0</v>
          </cell>
          <cell r="F499">
            <v>839.99700927734375</v>
          </cell>
        </row>
        <row r="500">
          <cell r="A500" t="str">
            <v>SELBTBHA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-272.20333527865478</v>
          </cell>
        </row>
        <row r="501">
          <cell r="A501" t="str">
            <v>SELBTBHD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120.56800079345703</v>
          </cell>
        </row>
        <row r="502">
          <cell r="A502" t="str">
            <v>SELBTBHG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-272.20333527865478</v>
          </cell>
        </row>
        <row r="503">
          <cell r="A503" t="str">
            <v>SELBTBHF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-272.20333527865478</v>
          </cell>
        </row>
        <row r="504">
          <cell r="A504" t="str">
            <v xml:space="preserve">SELBTBH </v>
          </cell>
          <cell r="B504">
            <v>0</v>
          </cell>
          <cell r="C504">
            <v>120.56800079345703</v>
          </cell>
          <cell r="D504">
            <v>0</v>
          </cell>
          <cell r="E504" t="e">
            <v>#VALUE!</v>
          </cell>
          <cell r="F504">
            <v>0</v>
          </cell>
        </row>
        <row r="505">
          <cell r="A505" t="str">
            <v>SELCO2IB</v>
          </cell>
          <cell r="B505">
            <v>0.29367054121135033</v>
          </cell>
          <cell r="C505">
            <v>13.907999992370605</v>
          </cell>
          <cell r="D505">
            <v>0</v>
          </cell>
          <cell r="E505" t="e">
            <v>#VALUE!</v>
          </cell>
          <cell r="F505">
            <v>0</v>
          </cell>
        </row>
        <row r="506">
          <cell r="A506" t="str">
            <v>SELIC4IB</v>
          </cell>
          <cell r="B506">
            <v>0</v>
          </cell>
          <cell r="C506">
            <v>237.30499267578125</v>
          </cell>
          <cell r="D506">
            <v>0</v>
          </cell>
          <cell r="E506">
            <v>0</v>
          </cell>
          <cell r="F506">
            <v>-632.40144126578548</v>
          </cell>
        </row>
        <row r="507">
          <cell r="A507" t="str">
            <v>SELRFLIB</v>
          </cell>
          <cell r="B507">
            <v>0.98628119671181458</v>
          </cell>
          <cell r="C507">
            <v>9.9999904632568359</v>
          </cell>
          <cell r="D507">
            <v>0</v>
          </cell>
          <cell r="E507" t="e">
            <v>#VALUE!</v>
          </cell>
          <cell r="F507">
            <v>0</v>
          </cell>
        </row>
        <row r="508">
          <cell r="A508" t="str">
            <v>SELCKEIB</v>
          </cell>
          <cell r="B508">
            <v>0.65753400325775146</v>
          </cell>
          <cell r="C508">
            <v>86.996902465820313</v>
          </cell>
          <cell r="D508">
            <v>0</v>
          </cell>
          <cell r="E508">
            <v>0.65753400325775146</v>
          </cell>
          <cell r="F508">
            <v>67.656898498535156</v>
          </cell>
        </row>
        <row r="509">
          <cell r="A509" t="str">
            <v>SELCEEIB</v>
          </cell>
          <cell r="B509">
            <v>0</v>
          </cell>
          <cell r="C509">
            <v>-3.1155899632722139E-3</v>
          </cell>
          <cell r="D509">
            <v>0</v>
          </cell>
          <cell r="E509" t="e">
            <v>#VALUE!</v>
          </cell>
          <cell r="F509">
            <v>-3.1155899632722139E-3</v>
          </cell>
        </row>
        <row r="510">
          <cell r="A510" t="str">
            <v>SELNACIB</v>
          </cell>
          <cell r="B510">
            <v>3.4448345740364025E-2</v>
          </cell>
          <cell r="C510">
            <v>283.72601318359375</v>
          </cell>
          <cell r="D510">
            <v>3.4448345740364025E-2</v>
          </cell>
          <cell r="E510">
            <v>3.4448345740364025E-2</v>
          </cell>
          <cell r="F510">
            <v>-67.593927555868063</v>
          </cell>
        </row>
        <row r="511">
          <cell r="A511" t="str">
            <v>SELNASIB</v>
          </cell>
          <cell r="B511">
            <v>0.24653943944467258</v>
          </cell>
          <cell r="C511">
            <v>295.96701049804688</v>
          </cell>
          <cell r="D511">
            <v>0.24653943944467258</v>
          </cell>
          <cell r="E511">
            <v>0.24653943944467258</v>
          </cell>
          <cell r="F511">
            <v>-86.420678146571333</v>
          </cell>
        </row>
        <row r="512">
          <cell r="A512" t="str">
            <v>SELNECIB</v>
          </cell>
          <cell r="B512">
            <v>0.1390171225348564</v>
          </cell>
          <cell r="C512">
            <v>299.70999145507813</v>
          </cell>
          <cell r="D512">
            <v>0.1390171225348564</v>
          </cell>
          <cell r="E512">
            <v>0.1390171225348564</v>
          </cell>
          <cell r="F512">
            <v>-93.15888437767552</v>
          </cell>
        </row>
        <row r="513">
          <cell r="A513" t="str">
            <v>SELGONIB</v>
          </cell>
          <cell r="B513">
            <v>1.6068573360573755</v>
          </cell>
          <cell r="C513">
            <v>346.7919921875</v>
          </cell>
          <cell r="D513">
            <v>1.6068573360573755</v>
          </cell>
          <cell r="E513">
            <v>1.6068573360573755</v>
          </cell>
          <cell r="F513">
            <v>-25.32507536488853</v>
          </cell>
        </row>
        <row r="514">
          <cell r="A514" t="str">
            <v>SELGIOIB</v>
          </cell>
          <cell r="B514">
            <v>0</v>
          </cell>
          <cell r="C514">
            <v>346.7919921875</v>
          </cell>
          <cell r="D514">
            <v>0</v>
          </cell>
          <cell r="E514">
            <v>0</v>
          </cell>
          <cell r="F514">
            <v>346.7919921875</v>
          </cell>
        </row>
        <row r="515">
          <cell r="A515" t="str">
            <v>SELDSLIB</v>
          </cell>
          <cell r="B515">
            <v>0</v>
          </cell>
          <cell r="C515">
            <v>346.7919921875</v>
          </cell>
          <cell r="D515">
            <v>0</v>
          </cell>
          <cell r="E515">
            <v>0</v>
          </cell>
          <cell r="F515">
            <v>-27.162580802995866</v>
          </cell>
        </row>
        <row r="516">
          <cell r="A516" t="str">
            <v>SELGOMIB</v>
          </cell>
          <cell r="B516">
            <v>0.21369902001668328</v>
          </cell>
          <cell r="C516">
            <v>419.843994140625</v>
          </cell>
          <cell r="D516">
            <v>0.21369902001668328</v>
          </cell>
          <cell r="E516">
            <v>0.21369902001668328</v>
          </cell>
          <cell r="F516">
            <v>47.718598561744166</v>
          </cell>
        </row>
        <row r="517">
          <cell r="A517" t="str">
            <v>SELFOCIB</v>
          </cell>
          <cell r="B517">
            <v>5.38574730018983E-7</v>
          </cell>
          <cell r="C517">
            <v>213.1427044803149</v>
          </cell>
          <cell r="D517">
            <v>0</v>
          </cell>
          <cell r="E517">
            <v>4.9863012584104929E-3</v>
          </cell>
          <cell r="F517">
            <v>188.21274405701519</v>
          </cell>
        </row>
        <row r="518">
          <cell r="A518" t="str">
            <v>SELKERIB</v>
          </cell>
          <cell r="B518">
            <v>0</v>
          </cell>
          <cell r="C518">
            <v>368.59698486328125</v>
          </cell>
          <cell r="D518">
            <v>0</v>
          </cell>
          <cell r="E518">
            <v>0</v>
          </cell>
          <cell r="F518">
            <v>278.11560917880439</v>
          </cell>
        </row>
        <row r="519">
          <cell r="A519" t="str">
            <v>SELJETIB</v>
          </cell>
          <cell r="B519">
            <v>6.4509831307685533E-2</v>
          </cell>
          <cell r="C519">
            <v>459.23001098632813</v>
          </cell>
          <cell r="D519">
            <v>6.4509831307685533E-2</v>
          </cell>
          <cell r="E519">
            <v>6.4509831307685533E-2</v>
          </cell>
          <cell r="F519">
            <v>86.471625132103483</v>
          </cell>
        </row>
        <row r="520">
          <cell r="A520" t="str">
            <v>SELPRDIB</v>
          </cell>
          <cell r="B520">
            <v>8.196529746055603E-2</v>
          </cell>
          <cell r="C520">
            <v>161.20599365234375</v>
          </cell>
          <cell r="D520">
            <v>8.196529746055603E-2</v>
          </cell>
          <cell r="E520">
            <v>8.196529746055603E-2</v>
          </cell>
          <cell r="F520">
            <v>65.753790847569292</v>
          </cell>
        </row>
        <row r="521">
          <cell r="A521" t="str">
            <v>SELBTDIB</v>
          </cell>
          <cell r="B521">
            <v>3.2513000071048737E-2</v>
          </cell>
          <cell r="C521">
            <v>137.68699645996094</v>
          </cell>
          <cell r="D521">
            <v>3.2513000071048737E-2</v>
          </cell>
          <cell r="E521">
            <v>3.2513000071048737E-2</v>
          </cell>
          <cell r="F521">
            <v>-116.28900146484375</v>
          </cell>
        </row>
        <row r="522">
          <cell r="A522" t="str">
            <v>SELNFCIB</v>
          </cell>
          <cell r="B522">
            <v>3.2876699697226286E-3</v>
          </cell>
          <cell r="C522">
            <v>434.55899047851563</v>
          </cell>
          <cell r="D522">
            <v>3.2876699697226286E-3</v>
          </cell>
          <cell r="E522">
            <v>3.2876699697226286E-3</v>
          </cell>
          <cell r="F522">
            <v>65.177388585756901</v>
          </cell>
        </row>
        <row r="523">
          <cell r="A523" t="str">
            <v>SELFCCIB</v>
          </cell>
          <cell r="B523">
            <v>0</v>
          </cell>
          <cell r="C523">
            <v>409.87701416015625</v>
          </cell>
          <cell r="D523">
            <v>0</v>
          </cell>
          <cell r="E523">
            <v>0</v>
          </cell>
          <cell r="F523">
            <v>409.87701416015625</v>
          </cell>
        </row>
        <row r="524">
          <cell r="A524" t="str">
            <v>SELMTEIB</v>
          </cell>
          <cell r="B524">
            <v>0</v>
          </cell>
          <cell r="C524">
            <v>508.12100219726563</v>
          </cell>
          <cell r="D524">
            <v>0</v>
          </cell>
          <cell r="E524">
            <v>0</v>
          </cell>
          <cell r="F524">
            <v>-115.32056946427855</v>
          </cell>
        </row>
        <row r="525">
          <cell r="A525" t="str">
            <v>SELHTJIB</v>
          </cell>
          <cell r="B525">
            <v>0</v>
          </cell>
          <cell r="C525">
            <v>294.99700927734375</v>
          </cell>
          <cell r="D525">
            <v>0</v>
          </cell>
          <cell r="E525">
            <v>0</v>
          </cell>
          <cell r="F525">
            <v>294.99700927734375</v>
          </cell>
        </row>
        <row r="526">
          <cell r="A526" t="str">
            <v>SELIZOIB</v>
          </cell>
          <cell r="B526">
            <v>0</v>
          </cell>
          <cell r="C526">
            <v>-3.1155899632722139E-3</v>
          </cell>
          <cell r="D526">
            <v>0</v>
          </cell>
          <cell r="E526">
            <v>0</v>
          </cell>
          <cell r="F526">
            <v>-514.51804650711688</v>
          </cell>
        </row>
        <row r="527">
          <cell r="A527" t="str">
            <v>SELPTCIB</v>
          </cell>
          <cell r="B527">
            <v>0.43465147426683609</v>
          </cell>
          <cell r="C527">
            <v>406.02398681640625</v>
          </cell>
          <cell r="D527">
            <v>0</v>
          </cell>
          <cell r="E527" t="e">
            <v>#VALUE!</v>
          </cell>
          <cell r="F527">
            <v>0</v>
          </cell>
        </row>
        <row r="528">
          <cell r="A528" t="str">
            <v>SELRFTIB</v>
          </cell>
          <cell r="B528">
            <v>0</v>
          </cell>
          <cell r="C528">
            <v>508.12100219726563</v>
          </cell>
          <cell r="D528">
            <v>0</v>
          </cell>
          <cell r="E528">
            <v>0</v>
          </cell>
          <cell r="F528">
            <v>-0.16801694060025149</v>
          </cell>
        </row>
        <row r="529">
          <cell r="A529" t="str">
            <v>SELLVVIB</v>
          </cell>
          <cell r="B529">
            <v>0</v>
          </cell>
          <cell r="C529">
            <v>330.28900146484375</v>
          </cell>
          <cell r="D529">
            <v>0</v>
          </cell>
          <cell r="E529">
            <v>0</v>
          </cell>
          <cell r="F529">
            <v>330.28900146484375</v>
          </cell>
        </row>
        <row r="530">
          <cell r="A530" t="str">
            <v>SELNPTIB</v>
          </cell>
          <cell r="B530">
            <v>0</v>
          </cell>
          <cell r="C530">
            <v>508.03201293945313</v>
          </cell>
          <cell r="D530">
            <v>0</v>
          </cell>
          <cell r="E530">
            <v>0</v>
          </cell>
          <cell r="F530">
            <v>508.03201293945313</v>
          </cell>
        </row>
        <row r="531">
          <cell r="A531" t="str">
            <v>SELALKIB</v>
          </cell>
          <cell r="B531">
            <v>0</v>
          </cell>
          <cell r="C531">
            <v>508.12100219726563</v>
          </cell>
          <cell r="D531">
            <v>0</v>
          </cell>
          <cell r="E531">
            <v>0</v>
          </cell>
          <cell r="F531">
            <v>-91.544188125819375</v>
          </cell>
        </row>
        <row r="532">
          <cell r="A532" t="str">
            <v>SELLCTIB</v>
          </cell>
          <cell r="B532">
            <v>0</v>
          </cell>
          <cell r="C532">
            <v>508.12100219726563</v>
          </cell>
          <cell r="D532">
            <v>0</v>
          </cell>
          <cell r="E532">
            <v>0</v>
          </cell>
          <cell r="F532">
            <v>4.7385768263307337</v>
          </cell>
        </row>
        <row r="533">
          <cell r="A533" t="str">
            <v>SELNACJA</v>
          </cell>
          <cell r="B533">
            <v>0</v>
          </cell>
          <cell r="C533">
            <v>-12.289999961853027</v>
          </cell>
          <cell r="D533">
            <v>0</v>
          </cell>
          <cell r="E533" t="e">
            <v>#VALUE!</v>
          </cell>
          <cell r="F533">
            <v>-357.71025959171664</v>
          </cell>
        </row>
        <row r="534">
          <cell r="A534" t="str">
            <v>SELNACJB</v>
          </cell>
          <cell r="B534">
            <v>0</v>
          </cell>
          <cell r="C534">
            <v>-13.703000068664551</v>
          </cell>
          <cell r="D534">
            <v>0</v>
          </cell>
          <cell r="E534">
            <v>0</v>
          </cell>
          <cell r="F534">
            <v>-365.02292371776008</v>
          </cell>
        </row>
        <row r="535">
          <cell r="A535" t="str">
            <v>SELNACJG</v>
          </cell>
          <cell r="B535">
            <v>0</v>
          </cell>
          <cell r="C535">
            <v>-12.289999961853027</v>
          </cell>
          <cell r="D535">
            <v>0</v>
          </cell>
          <cell r="E535" t="e">
            <v>#VALUE!</v>
          </cell>
          <cell r="F535">
            <v>-362.95101376886237</v>
          </cell>
        </row>
        <row r="536">
          <cell r="A536" t="str">
            <v xml:space="preserve">SELNACJ </v>
          </cell>
          <cell r="B536">
            <v>0</v>
          </cell>
          <cell r="C536">
            <v>273.07199096679688</v>
          </cell>
          <cell r="D536">
            <v>0</v>
          </cell>
          <cell r="E536">
            <v>0</v>
          </cell>
          <cell r="F536">
            <v>273.07199096679688</v>
          </cell>
        </row>
        <row r="537">
          <cell r="A537" t="str">
            <v>SELNASJA</v>
          </cell>
          <cell r="B537">
            <v>0</v>
          </cell>
          <cell r="C537">
            <v>-12.289999961853027</v>
          </cell>
          <cell r="D537">
            <v>0</v>
          </cell>
          <cell r="E537" t="e">
            <v>#VALUE!</v>
          </cell>
          <cell r="F537">
            <v>-391.95974154537669</v>
          </cell>
        </row>
        <row r="538">
          <cell r="A538" t="str">
            <v>SELNASJB</v>
          </cell>
          <cell r="B538">
            <v>0</v>
          </cell>
          <cell r="C538">
            <v>-13.703000068664551</v>
          </cell>
          <cell r="D538">
            <v>0</v>
          </cell>
          <cell r="E538">
            <v>0</v>
          </cell>
          <cell r="F538">
            <v>-396.0906764200289</v>
          </cell>
        </row>
        <row r="539">
          <cell r="A539" t="str">
            <v>SELNASJG</v>
          </cell>
          <cell r="B539">
            <v>0</v>
          </cell>
          <cell r="C539">
            <v>-12.289999961853027</v>
          </cell>
          <cell r="D539">
            <v>0</v>
          </cell>
          <cell r="E539" t="e">
            <v>#VALUE!</v>
          </cell>
          <cell r="F539">
            <v>-391.95974154537669</v>
          </cell>
        </row>
        <row r="540">
          <cell r="A540" t="str">
            <v xml:space="preserve">SELNASJ </v>
          </cell>
          <cell r="B540">
            <v>0</v>
          </cell>
          <cell r="C540">
            <v>285.40200805664063</v>
          </cell>
          <cell r="D540">
            <v>0</v>
          </cell>
          <cell r="E540">
            <v>0</v>
          </cell>
          <cell r="F540">
            <v>285.40200805664063</v>
          </cell>
        </row>
        <row r="541">
          <cell r="A541" t="str">
            <v>SELGOIJA</v>
          </cell>
          <cell r="B541">
            <v>0</v>
          </cell>
          <cell r="C541">
            <v>-12.289999961853027</v>
          </cell>
          <cell r="D541">
            <v>0</v>
          </cell>
          <cell r="E541" t="e">
            <v>#VALUE!</v>
          </cell>
          <cell r="F541">
            <v>-378.75419721211472</v>
          </cell>
        </row>
        <row r="542">
          <cell r="A542" t="str">
            <v>SELGOIJB</v>
          </cell>
          <cell r="B542">
            <v>0</v>
          </cell>
          <cell r="C542">
            <v>-13.703000068664551</v>
          </cell>
          <cell r="D542">
            <v>0</v>
          </cell>
          <cell r="E542">
            <v>0</v>
          </cell>
          <cell r="F542">
            <v>-385.69117440001605</v>
          </cell>
        </row>
        <row r="543">
          <cell r="A543" t="str">
            <v>SELGOIJG</v>
          </cell>
          <cell r="B543">
            <v>0</v>
          </cell>
          <cell r="C543">
            <v>-12.289999961853027</v>
          </cell>
          <cell r="D543">
            <v>0</v>
          </cell>
          <cell r="E543" t="e">
            <v>#VALUE!</v>
          </cell>
          <cell r="F543">
            <v>-378.75419721211472</v>
          </cell>
        </row>
        <row r="544">
          <cell r="A544" t="str">
            <v xml:space="preserve">SELGOIJ </v>
          </cell>
          <cell r="B544">
            <v>0</v>
          </cell>
          <cell r="C544">
            <v>336.03900146484375</v>
          </cell>
          <cell r="D544">
            <v>0</v>
          </cell>
          <cell r="E544">
            <v>0</v>
          </cell>
          <cell r="F544">
            <v>336.03900146484375</v>
          </cell>
        </row>
        <row r="545">
          <cell r="A545" t="str">
            <v>SELGIOJA</v>
          </cell>
          <cell r="B545">
            <v>0</v>
          </cell>
          <cell r="C545">
            <v>-12.289999961853027</v>
          </cell>
          <cell r="D545">
            <v>0</v>
          </cell>
          <cell r="E545" t="e">
            <v>#VALUE!</v>
          </cell>
          <cell r="F545">
            <v>-12.289999961853027</v>
          </cell>
        </row>
        <row r="546">
          <cell r="A546" t="str">
            <v>SELGIOJB</v>
          </cell>
          <cell r="B546">
            <v>0</v>
          </cell>
          <cell r="C546">
            <v>-12.289999961853027</v>
          </cell>
          <cell r="D546">
            <v>0</v>
          </cell>
          <cell r="E546" t="e">
            <v>#VALUE!</v>
          </cell>
          <cell r="F546">
            <v>-12.289999961853027</v>
          </cell>
        </row>
        <row r="547">
          <cell r="A547" t="str">
            <v xml:space="preserve">SELGIOJ </v>
          </cell>
          <cell r="B547">
            <v>0</v>
          </cell>
          <cell r="C547">
            <v>336.03900146484375</v>
          </cell>
          <cell r="D547">
            <v>0</v>
          </cell>
          <cell r="E547">
            <v>0</v>
          </cell>
          <cell r="F547">
            <v>336.03900146484375</v>
          </cell>
        </row>
        <row r="548">
          <cell r="A548" t="str">
            <v>SELDSLJA</v>
          </cell>
          <cell r="B548">
            <v>0.21917781837999004</v>
          </cell>
          <cell r="C548">
            <v>-12.289999961853027</v>
          </cell>
          <cell r="D548">
            <v>0</v>
          </cell>
          <cell r="E548" t="e">
            <v>#VALUE!</v>
          </cell>
          <cell r="F548">
            <v>0</v>
          </cell>
        </row>
        <row r="549">
          <cell r="A549" t="str">
            <v>SELDSLJB</v>
          </cell>
          <cell r="B549">
            <v>0</v>
          </cell>
          <cell r="C549">
            <v>-13.703000068664551</v>
          </cell>
          <cell r="D549">
            <v>0</v>
          </cell>
          <cell r="E549">
            <v>0</v>
          </cell>
          <cell r="F549">
            <v>-8.9099998474121094</v>
          </cell>
        </row>
        <row r="550">
          <cell r="A550" t="str">
            <v xml:space="preserve">SELDSLJ </v>
          </cell>
          <cell r="B550">
            <v>0.21917781837999004</v>
          </cell>
          <cell r="C550">
            <v>336.03900146484375</v>
          </cell>
          <cell r="D550">
            <v>0.21917781837999004</v>
          </cell>
          <cell r="E550">
            <v>0.21917781837999004</v>
          </cell>
          <cell r="F550">
            <v>-42.70858146981017</v>
          </cell>
        </row>
        <row r="551">
          <cell r="A551" t="str">
            <v>SELNACKB</v>
          </cell>
          <cell r="B551">
            <v>4.9701336852899972E-2</v>
          </cell>
          <cell r="C551">
            <v>294.49301147460938</v>
          </cell>
          <cell r="D551">
            <v>4.9701336852899972E-2</v>
          </cell>
          <cell r="E551">
            <v>4.9701336852899972E-2</v>
          </cell>
          <cell r="F551">
            <v>-56.826927362729428</v>
          </cell>
        </row>
        <row r="552">
          <cell r="A552" t="str">
            <v>SELNASKB</v>
          </cell>
          <cell r="B552">
            <v>0.33496340717354867</v>
          </cell>
          <cell r="C552">
            <v>306.82199096679688</v>
          </cell>
          <cell r="D552">
            <v>0.33496340717354867</v>
          </cell>
          <cell r="E552">
            <v>0.33496340717354867</v>
          </cell>
          <cell r="F552">
            <v>-75.565677663724713</v>
          </cell>
        </row>
        <row r="553">
          <cell r="A553" t="str">
            <v>SELNECKB</v>
          </cell>
          <cell r="B553">
            <v>0.23921940265453026</v>
          </cell>
          <cell r="C553">
            <v>-0.77500998973846436</v>
          </cell>
          <cell r="D553">
            <v>0</v>
          </cell>
          <cell r="E553" t="e">
            <v>#VALUE!</v>
          </cell>
          <cell r="F553">
            <v>0</v>
          </cell>
        </row>
        <row r="554">
          <cell r="A554" t="str">
            <v>SELNECKA</v>
          </cell>
          <cell r="B554">
            <v>0</v>
          </cell>
          <cell r="C554">
            <v>-24.389999389648438</v>
          </cell>
          <cell r="D554">
            <v>0</v>
          </cell>
          <cell r="E554">
            <v>0</v>
          </cell>
          <cell r="F554">
            <v>-20.690488355453699</v>
          </cell>
        </row>
        <row r="555">
          <cell r="A555" t="str">
            <v xml:space="preserve">SELNECK </v>
          </cell>
          <cell r="B555">
            <v>0.23921940265453026</v>
          </cell>
          <cell r="C555">
            <v>311.25100708007813</v>
          </cell>
          <cell r="D555">
            <v>0.23921940265453026</v>
          </cell>
          <cell r="E555">
            <v>0.23921940265453026</v>
          </cell>
          <cell r="F555">
            <v>-82.392896970984054</v>
          </cell>
        </row>
        <row r="556">
          <cell r="A556" t="str">
            <v>SELGOIKB</v>
          </cell>
          <cell r="B556">
            <v>2.7879241871507201</v>
          </cell>
          <cell r="C556">
            <v>352.58599853515625</v>
          </cell>
          <cell r="D556">
            <v>2.7879241871507201</v>
          </cell>
          <cell r="E556">
            <v>2.7879241871507201</v>
          </cell>
          <cell r="F556">
            <v>-19.40217696411969</v>
          </cell>
        </row>
        <row r="557">
          <cell r="A557" t="str">
            <v>SELGIOKB</v>
          </cell>
          <cell r="B557">
            <v>0</v>
          </cell>
          <cell r="C557">
            <v>352.58599853515625</v>
          </cell>
          <cell r="D557">
            <v>0</v>
          </cell>
          <cell r="E557">
            <v>0</v>
          </cell>
          <cell r="F557">
            <v>352.58599853515625</v>
          </cell>
        </row>
        <row r="558">
          <cell r="A558" t="str">
            <v>SELDSLKB</v>
          </cell>
          <cell r="B558">
            <v>0</v>
          </cell>
          <cell r="C558">
            <v>352.58599853515625</v>
          </cell>
          <cell r="D558">
            <v>0</v>
          </cell>
          <cell r="E558">
            <v>0</v>
          </cell>
          <cell r="F558">
            <v>-21.368581787527425</v>
          </cell>
        </row>
        <row r="559">
          <cell r="A559" t="str">
            <v>SELGORKB</v>
          </cell>
          <cell r="B559">
            <v>0</v>
          </cell>
          <cell r="C559">
            <v>488.25799560546875</v>
          </cell>
          <cell r="D559">
            <v>0</v>
          </cell>
          <cell r="E559">
            <v>0</v>
          </cell>
          <cell r="F559">
            <v>116.14092398865583</v>
          </cell>
        </row>
        <row r="560">
          <cell r="A560" t="str">
            <v>SELKERKB</v>
          </cell>
          <cell r="B560">
            <v>0</v>
          </cell>
          <cell r="C560">
            <v>463.15200805664063</v>
          </cell>
          <cell r="D560">
            <v>0</v>
          </cell>
          <cell r="E560">
            <v>0</v>
          </cell>
          <cell r="F560">
            <v>372.67062628759095</v>
          </cell>
        </row>
        <row r="561">
          <cell r="A561" t="str">
            <v>SELJETKB</v>
          </cell>
          <cell r="B561">
            <v>0.16187262355464779</v>
          </cell>
          <cell r="C561">
            <v>463.15200805664063</v>
          </cell>
          <cell r="D561">
            <v>0.16187262355464779</v>
          </cell>
          <cell r="E561">
            <v>0.16187262355464779</v>
          </cell>
          <cell r="F561">
            <v>90.393624083636553</v>
          </cell>
        </row>
        <row r="562">
          <cell r="A562" t="str">
            <v>SELPRDKB</v>
          </cell>
          <cell r="B562">
            <v>0</v>
          </cell>
          <cell r="C562">
            <v>162.3179931640625</v>
          </cell>
          <cell r="D562">
            <v>0</v>
          </cell>
          <cell r="E562">
            <v>0</v>
          </cell>
          <cell r="F562">
            <v>66.865790962519711</v>
          </cell>
        </row>
        <row r="563">
          <cell r="A563" t="str">
            <v>SELBTDKB</v>
          </cell>
          <cell r="B563">
            <v>0</v>
          </cell>
          <cell r="C563">
            <v>127.83399963378906</v>
          </cell>
          <cell r="D563">
            <v>0</v>
          </cell>
          <cell r="E563">
            <v>0</v>
          </cell>
          <cell r="F563">
            <v>-126.14199829101563</v>
          </cell>
        </row>
        <row r="564">
          <cell r="A564" t="str">
            <v>SELNASLA</v>
          </cell>
          <cell r="B564">
            <v>9.2391445477531378E-2</v>
          </cell>
          <cell r="C564">
            <v>-26.270000457763672</v>
          </cell>
          <cell r="D564">
            <v>0</v>
          </cell>
          <cell r="E564" t="e">
            <v>#VALUE!</v>
          </cell>
          <cell r="F564">
            <v>0</v>
          </cell>
        </row>
        <row r="565">
          <cell r="A565" t="str">
            <v>SELNASLG</v>
          </cell>
          <cell r="B565">
            <v>0</v>
          </cell>
          <cell r="C565">
            <v>-26.270000457763672</v>
          </cell>
          <cell r="D565">
            <v>0</v>
          </cell>
          <cell r="E565" t="e">
            <v>#VALUE!</v>
          </cell>
          <cell r="F565">
            <v>0</v>
          </cell>
        </row>
        <row r="566">
          <cell r="A566" t="str">
            <v>SELNASLB</v>
          </cell>
          <cell r="B566">
            <v>0</v>
          </cell>
          <cell r="C566">
            <v>-27.683000564575195</v>
          </cell>
          <cell r="D566">
            <v>0</v>
          </cell>
          <cell r="E566">
            <v>0</v>
          </cell>
          <cell r="F566">
            <v>-4.1309321651720019</v>
          </cell>
        </row>
        <row r="567">
          <cell r="A567" t="str">
            <v xml:space="preserve">SELNASL </v>
          </cell>
          <cell r="B567">
            <v>9.2391445477531378E-2</v>
          </cell>
          <cell r="C567">
            <v>395.3389892578125</v>
          </cell>
          <cell r="D567">
            <v>9.2391445477531378E-2</v>
          </cell>
          <cell r="E567">
            <v>9.2391445477531378E-2</v>
          </cell>
          <cell r="F567">
            <v>-10.600745624385468</v>
          </cell>
        </row>
        <row r="568">
          <cell r="A568" t="str">
            <v>SELGOALA</v>
          </cell>
          <cell r="B568">
            <v>7.9842063274285571E-2</v>
          </cell>
          <cell r="C568">
            <v>-26.270000457763672</v>
          </cell>
          <cell r="D568">
            <v>0</v>
          </cell>
          <cell r="E568" t="e">
            <v>#VALUE!</v>
          </cell>
          <cell r="F568">
            <v>0</v>
          </cell>
        </row>
        <row r="569">
          <cell r="A569" t="str">
            <v>SELGOALG</v>
          </cell>
          <cell r="B569">
            <v>0</v>
          </cell>
          <cell r="C569">
            <v>-26.270000457763672</v>
          </cell>
          <cell r="D569">
            <v>0</v>
          </cell>
          <cell r="E569">
            <v>0</v>
          </cell>
          <cell r="F569">
            <v>366.52423162590969</v>
          </cell>
        </row>
        <row r="570">
          <cell r="A570" t="str">
            <v xml:space="preserve">SELGOAL </v>
          </cell>
          <cell r="B570">
            <v>7.9842063274285571E-2</v>
          </cell>
          <cell r="C570">
            <v>445.97698974609375</v>
          </cell>
          <cell r="D570">
            <v>7.9842063274285571E-2</v>
          </cell>
          <cell r="E570">
            <v>7.9842063274285571E-2</v>
          </cell>
          <cell r="F570">
            <v>53.182764340753423</v>
          </cell>
        </row>
        <row r="571">
          <cell r="A571" t="str">
            <v>SELGIOLA</v>
          </cell>
          <cell r="B571">
            <v>0</v>
          </cell>
          <cell r="C571">
            <v>419.70700073242188</v>
          </cell>
          <cell r="D571">
            <v>0</v>
          </cell>
          <cell r="E571">
            <v>0</v>
          </cell>
          <cell r="F571">
            <v>419.70700073242188</v>
          </cell>
        </row>
        <row r="572">
          <cell r="A572" t="str">
            <v>SELDSALA</v>
          </cell>
          <cell r="B572">
            <v>0.20821923078739479</v>
          </cell>
          <cell r="C572">
            <v>419.70700073242188</v>
          </cell>
          <cell r="D572">
            <v>0.20821923078739479</v>
          </cell>
          <cell r="E572">
            <v>0.20821923078739479</v>
          </cell>
          <cell r="F572">
            <v>53.198545670182739</v>
          </cell>
        </row>
        <row r="573">
          <cell r="A573" t="str">
            <v>SELKERLA</v>
          </cell>
          <cell r="B573">
            <v>0</v>
          </cell>
          <cell r="C573">
            <v>-26.270000457763672</v>
          </cell>
          <cell r="D573">
            <v>0</v>
          </cell>
          <cell r="E573" t="e">
            <v>#VALUE!</v>
          </cell>
          <cell r="F573">
            <v>-392.36154241692532</v>
          </cell>
        </row>
        <row r="574">
          <cell r="A574" t="str">
            <v>SELKERLG</v>
          </cell>
          <cell r="B574">
            <v>0</v>
          </cell>
          <cell r="C574">
            <v>-26.270000457763672</v>
          </cell>
          <cell r="D574">
            <v>0</v>
          </cell>
          <cell r="E574" t="e">
            <v>#VALUE!</v>
          </cell>
          <cell r="F574">
            <v>-26.270000457763672</v>
          </cell>
        </row>
        <row r="575">
          <cell r="A575" t="str">
            <v xml:space="preserve">SELKERL </v>
          </cell>
          <cell r="B575">
            <v>0</v>
          </cell>
          <cell r="C575">
            <v>483.76300048828125</v>
          </cell>
          <cell r="D575">
            <v>0</v>
          </cell>
          <cell r="E575">
            <v>0</v>
          </cell>
          <cell r="F575">
            <v>483.76300048828125</v>
          </cell>
        </row>
        <row r="576">
          <cell r="A576" t="str">
            <v>SELJETLA</v>
          </cell>
          <cell r="B576">
            <v>7.8802550696346854E-2</v>
          </cell>
          <cell r="C576">
            <v>-26.270000457763672</v>
          </cell>
          <cell r="D576">
            <v>0</v>
          </cell>
          <cell r="E576" t="e">
            <v>#VALUE!</v>
          </cell>
          <cell r="F576">
            <v>0</v>
          </cell>
        </row>
        <row r="577">
          <cell r="A577" t="str">
            <v>SELJETLG</v>
          </cell>
          <cell r="B577">
            <v>0</v>
          </cell>
          <cell r="C577">
            <v>-26.270000457763672</v>
          </cell>
          <cell r="D577">
            <v>0</v>
          </cell>
          <cell r="E577" t="e">
            <v>#VALUE!</v>
          </cell>
          <cell r="F577">
            <v>-2.6362032576885124</v>
          </cell>
        </row>
        <row r="578">
          <cell r="A578" t="str">
            <v xml:space="preserve">SELJETL </v>
          </cell>
          <cell r="B578">
            <v>7.8802550696346854E-2</v>
          </cell>
          <cell r="C578">
            <v>483.76300048828125</v>
          </cell>
          <cell r="D578">
            <v>7.8802550696346854E-2</v>
          </cell>
          <cell r="E578">
            <v>7.8802550696346854E-2</v>
          </cell>
          <cell r="F578">
            <v>90.910928511946167</v>
          </cell>
        </row>
        <row r="579">
          <cell r="A579" t="str">
            <v>SELRFLMB</v>
          </cell>
          <cell r="B579">
            <v>0</v>
          </cell>
          <cell r="C579">
            <v>-32.631999969482422</v>
          </cell>
          <cell r="D579">
            <v>0</v>
          </cell>
          <cell r="E579" t="e">
            <v>#VALUE!</v>
          </cell>
          <cell r="F579">
            <v>-42.631988525390625</v>
          </cell>
        </row>
        <row r="580">
          <cell r="A580" t="str">
            <v>SELRFLMC</v>
          </cell>
          <cell r="B580">
            <v>9.5978548224658178E-2</v>
          </cell>
          <cell r="C580">
            <v>-9.9999997473787516E-6</v>
          </cell>
          <cell r="D580">
            <v>0</v>
          </cell>
          <cell r="E580" t="e">
            <v>#VALUE!</v>
          </cell>
          <cell r="F580">
            <v>0</v>
          </cell>
        </row>
        <row r="581">
          <cell r="A581" t="str">
            <v xml:space="preserve">SELRFLM </v>
          </cell>
          <cell r="B581">
            <v>9.5978548224658178E-2</v>
          </cell>
          <cell r="C581">
            <v>0</v>
          </cell>
          <cell r="D581">
            <v>0</v>
          </cell>
          <cell r="E581" t="e">
            <v>#VALUE!</v>
          </cell>
          <cell r="F581">
            <v>0</v>
          </cell>
        </row>
        <row r="582">
          <cell r="A582" t="str">
            <v>SELR98MC</v>
          </cell>
          <cell r="B582">
            <v>0</v>
          </cell>
          <cell r="C582">
            <v>287.89801025390625</v>
          </cell>
          <cell r="D582">
            <v>0</v>
          </cell>
          <cell r="E582">
            <v>0</v>
          </cell>
          <cell r="F582">
            <v>-141.4675128257438</v>
          </cell>
        </row>
        <row r="583">
          <cell r="A583" t="str">
            <v>SELNACMB</v>
          </cell>
          <cell r="B583">
            <v>0</v>
          </cell>
          <cell r="C583">
            <v>-32.631999969482422</v>
          </cell>
          <cell r="D583">
            <v>0</v>
          </cell>
          <cell r="E583">
            <v>0</v>
          </cell>
          <cell r="F583">
            <v>-60.394432872615447</v>
          </cell>
        </row>
        <row r="584">
          <cell r="A584" t="str">
            <v>SELNACMC</v>
          </cell>
          <cell r="B584">
            <v>3.7600434591917142E-2</v>
          </cell>
          <cell r="C584">
            <v>-3.1155899632722139E-3</v>
          </cell>
          <cell r="D584">
            <v>0</v>
          </cell>
          <cell r="E584" t="e">
            <v>#VALUE!</v>
          </cell>
          <cell r="F584">
            <v>0</v>
          </cell>
        </row>
        <row r="585">
          <cell r="A585" t="str">
            <v xml:space="preserve">SELNACM </v>
          </cell>
          <cell r="B585">
            <v>3.7600434591917142E-2</v>
          </cell>
          <cell r="C585">
            <v>271.91799926757813</v>
          </cell>
          <cell r="D585">
            <v>3.7600434591917142E-2</v>
          </cell>
          <cell r="E585">
            <v>3.7600434591917142E-2</v>
          </cell>
          <cell r="F585">
            <v>-51.639493330864056</v>
          </cell>
        </row>
        <row r="586">
          <cell r="A586" t="str">
            <v>SELNASMB</v>
          </cell>
          <cell r="B586">
            <v>0</v>
          </cell>
          <cell r="C586">
            <v>-32.631999969482422</v>
          </cell>
          <cell r="D586">
            <v>0</v>
          </cell>
          <cell r="E586">
            <v>0</v>
          </cell>
          <cell r="F586">
            <v>-68.613274059556929</v>
          </cell>
        </row>
        <row r="587">
          <cell r="A587" t="str">
            <v>SELNASMC</v>
          </cell>
          <cell r="B587">
            <v>0.23882411163147182</v>
          </cell>
          <cell r="C587">
            <v>-3.1155899632722139E-3</v>
          </cell>
          <cell r="D587">
            <v>0</v>
          </cell>
          <cell r="E587" t="e">
            <v>#VALUE!</v>
          </cell>
          <cell r="F587">
            <v>0</v>
          </cell>
        </row>
        <row r="588">
          <cell r="A588" t="str">
            <v>SELNASMA</v>
          </cell>
          <cell r="B588">
            <v>0</v>
          </cell>
          <cell r="C588">
            <v>-5.175990104675293</v>
          </cell>
          <cell r="D588">
            <v>0</v>
          </cell>
          <cell r="E588">
            <v>0</v>
          </cell>
          <cell r="F588">
            <v>-38.439329507906145</v>
          </cell>
        </row>
        <row r="589">
          <cell r="A589" t="str">
            <v xml:space="preserve">SELNASM </v>
          </cell>
          <cell r="B589">
            <v>0.23882411163147182</v>
          </cell>
          <cell r="C589">
            <v>284.24700927734375</v>
          </cell>
          <cell r="D589">
            <v>0.23882411163147182</v>
          </cell>
          <cell r="E589">
            <v>0.23882411163147182</v>
          </cell>
          <cell r="F589">
            <v>-62.15940433658966</v>
          </cell>
        </row>
        <row r="590">
          <cell r="A590" t="str">
            <v>SELNECMB</v>
          </cell>
          <cell r="B590">
            <v>0</v>
          </cell>
          <cell r="C590">
            <v>-32.631999969482422</v>
          </cell>
          <cell r="D590">
            <v>0</v>
          </cell>
          <cell r="E590">
            <v>0</v>
          </cell>
          <cell r="F590">
            <v>-63.544493980930277</v>
          </cell>
        </row>
        <row r="591">
          <cell r="A591" t="str">
            <v>SELNECMC</v>
          </cell>
          <cell r="B591">
            <v>0.12888575620847206</v>
          </cell>
          <cell r="C591">
            <v>-3.1155899632722139E-3</v>
          </cell>
          <cell r="D591">
            <v>0</v>
          </cell>
          <cell r="E591" t="e">
            <v>#VALUE!</v>
          </cell>
          <cell r="F591">
            <v>0</v>
          </cell>
        </row>
        <row r="592">
          <cell r="A592" t="str">
            <v>SELNECMA</v>
          </cell>
          <cell r="B592">
            <v>0</v>
          </cell>
          <cell r="C592">
            <v>-5.175990104675293</v>
          </cell>
          <cell r="D592">
            <v>0</v>
          </cell>
          <cell r="E592">
            <v>0</v>
          </cell>
          <cell r="F592">
            <v>-33.163982945272366</v>
          </cell>
        </row>
        <row r="593">
          <cell r="A593" t="str">
            <v xml:space="preserve">SELNECM </v>
          </cell>
          <cell r="B593">
            <v>0.12888575620847206</v>
          </cell>
          <cell r="C593">
            <v>287.9010009765625</v>
          </cell>
          <cell r="D593">
            <v>0.12888575620847206</v>
          </cell>
          <cell r="E593">
            <v>0.12888575620847206</v>
          </cell>
          <cell r="F593">
            <v>-74.05539228883508</v>
          </cell>
        </row>
        <row r="594">
          <cell r="A594" t="str">
            <v>SELGONMB</v>
          </cell>
          <cell r="B594">
            <v>2.6666811823028408E-2</v>
          </cell>
          <cell r="C594">
            <v>-32.631999969482422</v>
          </cell>
          <cell r="D594">
            <v>0</v>
          </cell>
          <cell r="E594" t="e">
            <v>#VALUE!</v>
          </cell>
          <cell r="F594">
            <v>-49.742550073911069</v>
          </cell>
        </row>
        <row r="595">
          <cell r="A595" t="str">
            <v>SELGONMC</v>
          </cell>
          <cell r="B595">
            <v>0.71667316368181411</v>
          </cell>
          <cell r="C595">
            <v>-3.1155899632722139E-3</v>
          </cell>
          <cell r="D595">
            <v>0</v>
          </cell>
          <cell r="E595" t="e">
            <v>#VALUE!</v>
          </cell>
          <cell r="F595">
            <v>0</v>
          </cell>
        </row>
        <row r="596">
          <cell r="A596" t="str">
            <v>SELGONMA</v>
          </cell>
          <cell r="B596">
            <v>0</v>
          </cell>
          <cell r="C596">
            <v>-37.970001220703125</v>
          </cell>
          <cell r="D596">
            <v>0</v>
          </cell>
          <cell r="E596">
            <v>0</v>
          </cell>
          <cell r="F596">
            <v>-49.427679109573361</v>
          </cell>
        </row>
        <row r="597">
          <cell r="A597" t="str">
            <v xml:space="preserve">SELGONM </v>
          </cell>
          <cell r="B597">
            <v>0.74333997736238455</v>
          </cell>
          <cell r="C597">
            <v>334.88400268554688</v>
          </cell>
          <cell r="D597">
            <v>0.74333997736238455</v>
          </cell>
          <cell r="E597">
            <v>0.74333997736238455</v>
          </cell>
          <cell r="F597">
            <v>-20.122526982712419</v>
          </cell>
        </row>
        <row r="598">
          <cell r="A598" t="str">
            <v>SELGIOMB</v>
          </cell>
          <cell r="B598">
            <v>0</v>
          </cell>
          <cell r="C598">
            <v>-32.631999969482422</v>
          </cell>
          <cell r="D598">
            <v>0</v>
          </cell>
          <cell r="E598" t="e">
            <v>#VALUE!</v>
          </cell>
          <cell r="F598">
            <v>-32.631999969482422</v>
          </cell>
        </row>
        <row r="599">
          <cell r="A599" t="str">
            <v>SELGIOMC</v>
          </cell>
          <cell r="B599">
            <v>0</v>
          </cell>
          <cell r="C599">
            <v>-9.9999997473787516E-6</v>
          </cell>
          <cell r="D599">
            <v>0</v>
          </cell>
          <cell r="E599" t="e">
            <v>#VALUE!</v>
          </cell>
          <cell r="F599">
            <v>-9.9999997473787516E-6</v>
          </cell>
        </row>
        <row r="600">
          <cell r="A600" t="str">
            <v>SELGIOMA</v>
          </cell>
          <cell r="B600">
            <v>0</v>
          </cell>
          <cell r="C600">
            <v>-37.970001220703125</v>
          </cell>
          <cell r="D600">
            <v>0</v>
          </cell>
          <cell r="E600" t="e">
            <v>#VALUE!</v>
          </cell>
          <cell r="F600">
            <v>-37.970001220703125</v>
          </cell>
        </row>
        <row r="601">
          <cell r="A601" t="str">
            <v xml:space="preserve">SELGIOM </v>
          </cell>
          <cell r="B601">
            <v>0</v>
          </cell>
          <cell r="C601">
            <v>334.88400268554688</v>
          </cell>
          <cell r="D601">
            <v>0</v>
          </cell>
          <cell r="E601">
            <v>0</v>
          </cell>
          <cell r="F601">
            <v>334.88400268554688</v>
          </cell>
        </row>
        <row r="602">
          <cell r="A602" t="str">
            <v>SELGOCMC</v>
          </cell>
          <cell r="B602">
            <v>0.4955599899161352</v>
          </cell>
          <cell r="C602">
            <v>334.88101196289063</v>
          </cell>
          <cell r="D602">
            <v>0.4955599899161352</v>
          </cell>
          <cell r="E602">
            <v>0.4955599899161352</v>
          </cell>
          <cell r="F602">
            <v>-20.832782527518599</v>
          </cell>
        </row>
        <row r="603">
          <cell r="A603" t="str">
            <v>SELGOEMB</v>
          </cell>
          <cell r="B603">
            <v>0</v>
          </cell>
          <cell r="C603">
            <v>-32.631999969482422</v>
          </cell>
          <cell r="D603">
            <v>0</v>
          </cell>
          <cell r="E603">
            <v>0</v>
          </cell>
          <cell r="F603">
            <v>-32.631999969482422</v>
          </cell>
        </row>
        <row r="604">
          <cell r="A604" t="str">
            <v>SELGOEMC</v>
          </cell>
          <cell r="B604">
            <v>0</v>
          </cell>
          <cell r="C604">
            <v>-3.1155899632722139E-3</v>
          </cell>
          <cell r="D604">
            <v>0</v>
          </cell>
          <cell r="E604" t="e">
            <v>#VALUE!</v>
          </cell>
          <cell r="F604">
            <v>-3.1155899632722139E-3</v>
          </cell>
        </row>
        <row r="605">
          <cell r="A605" t="str">
            <v xml:space="preserve">SELGOEM </v>
          </cell>
          <cell r="B605">
            <v>0</v>
          </cell>
          <cell r="C605">
            <v>417.94198608398438</v>
          </cell>
          <cell r="D605">
            <v>0</v>
          </cell>
          <cell r="E605">
            <v>0</v>
          </cell>
          <cell r="F605">
            <v>417.94198608398438</v>
          </cell>
        </row>
        <row r="606">
          <cell r="A606" t="str">
            <v>SELDSLMB</v>
          </cell>
          <cell r="B606">
            <v>0</v>
          </cell>
          <cell r="C606">
            <v>-32.631999969482422</v>
          </cell>
          <cell r="D606">
            <v>0</v>
          </cell>
          <cell r="E606">
            <v>0</v>
          </cell>
          <cell r="F606">
            <v>-406.58657887079943</v>
          </cell>
        </row>
        <row r="607">
          <cell r="A607" t="str">
            <v>SELDSLMC</v>
          </cell>
          <cell r="B607">
            <v>0</v>
          </cell>
          <cell r="C607">
            <v>-3.1155899632722139E-3</v>
          </cell>
          <cell r="D607">
            <v>0</v>
          </cell>
          <cell r="E607" t="e">
            <v>#VALUE!</v>
          </cell>
          <cell r="F607">
            <v>-3.1155899632722139E-3</v>
          </cell>
        </row>
        <row r="608">
          <cell r="A608" t="str">
            <v>SELDSLMA</v>
          </cell>
          <cell r="B608">
            <v>0</v>
          </cell>
          <cell r="C608">
            <v>-37.970001220703125</v>
          </cell>
          <cell r="D608">
            <v>0</v>
          </cell>
          <cell r="E608" t="e">
            <v>#VALUE!</v>
          </cell>
          <cell r="F608">
            <v>-404.42758228876818</v>
          </cell>
        </row>
        <row r="609">
          <cell r="A609" t="str">
            <v xml:space="preserve">SELDSLM </v>
          </cell>
          <cell r="B609">
            <v>0</v>
          </cell>
          <cell r="C609">
            <v>334.88400268554688</v>
          </cell>
          <cell r="D609">
            <v>0</v>
          </cell>
          <cell r="E609">
            <v>0</v>
          </cell>
          <cell r="F609">
            <v>334.88400268554688</v>
          </cell>
        </row>
        <row r="610">
          <cell r="A610" t="str">
            <v>SELFOCMB</v>
          </cell>
          <cell r="B610">
            <v>0</v>
          </cell>
          <cell r="C610">
            <v>-32.631999969482422</v>
          </cell>
          <cell r="D610">
            <v>0</v>
          </cell>
          <cell r="E610">
            <v>0</v>
          </cell>
          <cell r="F610">
            <v>-57.561960392782133</v>
          </cell>
        </row>
        <row r="611">
          <cell r="A611" t="str">
            <v>SELFOCMC</v>
          </cell>
          <cell r="B611">
            <v>0</v>
          </cell>
          <cell r="C611">
            <v>-3.1155899632722139E-3</v>
          </cell>
          <cell r="D611">
            <v>0</v>
          </cell>
          <cell r="E611" t="e">
            <v>#VALUE!</v>
          </cell>
          <cell r="F611">
            <v>-3.1155899632722139E-3</v>
          </cell>
        </row>
        <row r="612">
          <cell r="A612" t="str">
            <v xml:space="preserve">SELFOCM </v>
          </cell>
          <cell r="B612">
            <v>0</v>
          </cell>
          <cell r="C612">
            <v>258.87899780273438</v>
          </cell>
          <cell r="D612">
            <v>0</v>
          </cell>
          <cell r="E612">
            <v>0</v>
          </cell>
          <cell r="F612">
            <v>258.87899780273438</v>
          </cell>
        </row>
        <row r="613">
          <cell r="A613" t="str">
            <v>SELKERMB</v>
          </cell>
          <cell r="B613">
            <v>0</v>
          </cell>
          <cell r="C613">
            <v>-32.631999969482422</v>
          </cell>
          <cell r="D613">
            <v>0</v>
          </cell>
          <cell r="E613">
            <v>0</v>
          </cell>
          <cell r="F613">
            <v>-123.11337891670122</v>
          </cell>
        </row>
        <row r="614">
          <cell r="A614" t="str">
            <v>SELKERMC</v>
          </cell>
          <cell r="B614">
            <v>0</v>
          </cell>
          <cell r="C614">
            <v>-3.1155899632722139E-3</v>
          </cell>
          <cell r="D614">
            <v>0</v>
          </cell>
          <cell r="E614" t="e">
            <v>#VALUE!</v>
          </cell>
          <cell r="F614">
            <v>-3.1155899632722139E-3</v>
          </cell>
        </row>
        <row r="615">
          <cell r="A615" t="str">
            <v xml:space="preserve">SELKERM </v>
          </cell>
          <cell r="B615">
            <v>0</v>
          </cell>
          <cell r="C615">
            <v>356.64898681640625</v>
          </cell>
          <cell r="D615">
            <v>0</v>
          </cell>
          <cell r="E615">
            <v>0</v>
          </cell>
          <cell r="F615">
            <v>356.64898681640625</v>
          </cell>
        </row>
        <row r="616">
          <cell r="A616" t="str">
            <v>SELJETMB</v>
          </cell>
          <cell r="B616">
            <v>0</v>
          </cell>
          <cell r="C616">
            <v>-32.631999969482422</v>
          </cell>
          <cell r="D616">
            <v>0</v>
          </cell>
          <cell r="E616">
            <v>0</v>
          </cell>
          <cell r="F616">
            <v>-47.65460973308511</v>
          </cell>
        </row>
        <row r="617">
          <cell r="A617" t="str">
            <v>SELJETMC</v>
          </cell>
          <cell r="B617">
            <v>0.11273648736819829</v>
          </cell>
          <cell r="C617">
            <v>-3.1155899632722139E-3</v>
          </cell>
          <cell r="D617">
            <v>0</v>
          </cell>
          <cell r="E617" t="e">
            <v>#VALUE!</v>
          </cell>
          <cell r="F617">
            <v>0</v>
          </cell>
        </row>
        <row r="618">
          <cell r="A618" t="str">
            <v xml:space="preserve">SELJETM </v>
          </cell>
          <cell r="B618">
            <v>0.11273648736819829</v>
          </cell>
          <cell r="C618">
            <v>459.23300170898438</v>
          </cell>
          <cell r="D618">
            <v>0.11273648736819829</v>
          </cell>
          <cell r="E618">
            <v>0.11273648736819829</v>
          </cell>
          <cell r="F618">
            <v>101.49723498200717</v>
          </cell>
        </row>
        <row r="619">
          <cell r="A619" t="str">
            <v>SELNACNA</v>
          </cell>
          <cell r="B619">
            <v>8.7670912379271358E-3</v>
          </cell>
          <cell r="C619">
            <v>-19.219999313354492</v>
          </cell>
          <cell r="D619">
            <v>0</v>
          </cell>
          <cell r="E619" t="e">
            <v>#VALUE!</v>
          </cell>
          <cell r="F619">
            <v>0</v>
          </cell>
        </row>
        <row r="620">
          <cell r="A620" t="str">
            <v>SELNACNG</v>
          </cell>
          <cell r="B620">
            <v>0</v>
          </cell>
          <cell r="C620">
            <v>-19.219999313354492</v>
          </cell>
          <cell r="D620">
            <v>0</v>
          </cell>
          <cell r="E620" t="e">
            <v>#VALUE!</v>
          </cell>
          <cell r="F620">
            <v>-5.2407585784180526</v>
          </cell>
        </row>
        <row r="621">
          <cell r="A621" t="str">
            <v>SELNACNC</v>
          </cell>
          <cell r="B621">
            <v>0</v>
          </cell>
          <cell r="C621">
            <v>-55.529998779296875</v>
          </cell>
          <cell r="D621">
            <v>0</v>
          </cell>
          <cell r="E621">
            <v>0</v>
          </cell>
          <cell r="F621">
            <v>-14.444116595020033</v>
          </cell>
        </row>
        <row r="622">
          <cell r="A622" t="str">
            <v>SELNACNB</v>
          </cell>
          <cell r="B622">
            <v>0</v>
          </cell>
          <cell r="C622">
            <v>-19.658000946044922</v>
          </cell>
          <cell r="D622">
            <v>0</v>
          </cell>
          <cell r="E622">
            <v>0</v>
          </cell>
          <cell r="F622">
            <v>-6.3376652952742907</v>
          </cell>
        </row>
        <row r="623">
          <cell r="A623" t="str">
            <v xml:space="preserve">SELNACN </v>
          </cell>
          <cell r="B623">
            <v>8.7670912379271358E-3</v>
          </cell>
          <cell r="C623">
            <v>277.31900024414063</v>
          </cell>
          <cell r="D623">
            <v>8.7670912379271358E-3</v>
          </cell>
          <cell r="E623">
            <v>8.7670912379271358E-3</v>
          </cell>
          <cell r="F623">
            <v>-87.321261617582138</v>
          </cell>
        </row>
        <row r="624">
          <cell r="A624" t="str">
            <v>SELNASNA</v>
          </cell>
          <cell r="B624">
            <v>7.1914519369602206E-2</v>
          </cell>
          <cell r="C624">
            <v>-19.219999313354492</v>
          </cell>
          <cell r="D624">
            <v>0</v>
          </cell>
          <cell r="E624" t="e">
            <v>#VALUE!</v>
          </cell>
          <cell r="F624">
            <v>0</v>
          </cell>
        </row>
        <row r="625">
          <cell r="A625" t="str">
            <v>SELNASNG</v>
          </cell>
          <cell r="B625">
            <v>0</v>
          </cell>
          <cell r="C625">
            <v>-19.219999313354492</v>
          </cell>
          <cell r="D625">
            <v>0</v>
          </cell>
          <cell r="E625" t="e">
            <v>#VALUE!</v>
          </cell>
          <cell r="F625">
            <v>0</v>
          </cell>
        </row>
        <row r="626">
          <cell r="A626" t="str">
            <v>SELNASNC</v>
          </cell>
          <cell r="B626">
            <v>0</v>
          </cell>
          <cell r="C626">
            <v>-55.529998779296875</v>
          </cell>
          <cell r="D626">
            <v>0</v>
          </cell>
          <cell r="E626">
            <v>0</v>
          </cell>
          <cell r="F626">
            <v>-3.0435440755870244</v>
          </cell>
        </row>
        <row r="627">
          <cell r="A627" t="str">
            <v>SELNASNB</v>
          </cell>
          <cell r="B627">
            <v>0</v>
          </cell>
          <cell r="C627">
            <v>-19.658000946044922</v>
          </cell>
          <cell r="D627">
            <v>0</v>
          </cell>
          <cell r="E627">
            <v>0</v>
          </cell>
          <cell r="F627">
            <v>-3.1559320970757367</v>
          </cell>
        </row>
        <row r="628">
          <cell r="A628" t="str">
            <v xml:space="preserve">SELNASN </v>
          </cell>
          <cell r="B628">
            <v>7.1914519369602206E-2</v>
          </cell>
          <cell r="C628">
            <v>289.64801025390625</v>
          </cell>
          <cell r="D628">
            <v>7.1914519369602206E-2</v>
          </cell>
          <cell r="E628">
            <v>7.1914519369602206E-2</v>
          </cell>
          <cell r="F628">
            <v>-109.24174493240983</v>
          </cell>
        </row>
        <row r="629">
          <cell r="A629" t="str">
            <v>SELNECNA</v>
          </cell>
          <cell r="B629">
            <v>1.860904628283357E-2</v>
          </cell>
          <cell r="C629">
            <v>-19.219999313354492</v>
          </cell>
          <cell r="D629">
            <v>0</v>
          </cell>
          <cell r="E629" t="e">
            <v>#VALUE!</v>
          </cell>
          <cell r="F629">
            <v>0</v>
          </cell>
        </row>
        <row r="630">
          <cell r="A630" t="str">
            <v>SELNECNG</v>
          </cell>
          <cell r="B630">
            <v>0</v>
          </cell>
          <cell r="C630">
            <v>-9.9999997473787516E-6</v>
          </cell>
          <cell r="D630">
            <v>0</v>
          </cell>
          <cell r="E630">
            <v>0</v>
          </cell>
          <cell r="F630">
            <v>16.244395352716314</v>
          </cell>
        </row>
        <row r="631">
          <cell r="A631" t="str">
            <v>SELNECNC</v>
          </cell>
          <cell r="B631">
            <v>0</v>
          </cell>
          <cell r="C631">
            <v>-55.529998779296875</v>
          </cell>
          <cell r="D631">
            <v>0</v>
          </cell>
          <cell r="E631">
            <v>0</v>
          </cell>
          <cell r="F631">
            <v>-8.3188910863170893</v>
          </cell>
        </row>
        <row r="632">
          <cell r="A632" t="str">
            <v xml:space="preserve">SELNECN </v>
          </cell>
          <cell r="B632">
            <v>1.860904628283357E-2</v>
          </cell>
          <cell r="C632">
            <v>293.302001953125</v>
          </cell>
          <cell r="D632">
            <v>1.860904628283357E-2</v>
          </cell>
          <cell r="E632">
            <v>1.860904628283357E-2</v>
          </cell>
          <cell r="F632">
            <v>-115.86238443034969</v>
          </cell>
        </row>
        <row r="633">
          <cell r="A633" t="str">
            <v>SELGOANA</v>
          </cell>
          <cell r="B633">
            <v>0.22865416607628131</v>
          </cell>
          <cell r="C633">
            <v>-19.219999313354492</v>
          </cell>
          <cell r="D633">
            <v>0</v>
          </cell>
          <cell r="E633" t="e">
            <v>#VALUE!</v>
          </cell>
          <cell r="F633">
            <v>0</v>
          </cell>
        </row>
        <row r="634">
          <cell r="A634" t="str">
            <v>SELGOANG</v>
          </cell>
          <cell r="B634">
            <v>0</v>
          </cell>
          <cell r="C634">
            <v>-19.219999313354492</v>
          </cell>
          <cell r="D634">
            <v>0</v>
          </cell>
          <cell r="E634">
            <v>0</v>
          </cell>
          <cell r="F634">
            <v>366.52423162590969</v>
          </cell>
        </row>
        <row r="635">
          <cell r="A635" t="str">
            <v>SELGOANC</v>
          </cell>
          <cell r="B635">
            <v>0</v>
          </cell>
          <cell r="C635">
            <v>-55.529998779296875</v>
          </cell>
          <cell r="D635">
            <v>0</v>
          </cell>
          <cell r="E635">
            <v>0</v>
          </cell>
          <cell r="F635">
            <v>330.21423406731594</v>
          </cell>
        </row>
        <row r="636">
          <cell r="A636" t="str">
            <v xml:space="preserve">SELGOAN </v>
          </cell>
          <cell r="B636">
            <v>0.22865416607628131</v>
          </cell>
          <cell r="C636">
            <v>340.2860107421875</v>
          </cell>
          <cell r="D636">
            <v>0.22865416607628131</v>
          </cell>
          <cell r="E636">
            <v>0.22865416607628131</v>
          </cell>
          <cell r="F636">
            <v>-45.458235450640117</v>
          </cell>
        </row>
        <row r="637">
          <cell r="A637" t="str">
            <v>SELGIONA</v>
          </cell>
          <cell r="B637">
            <v>0</v>
          </cell>
          <cell r="C637">
            <v>-19.219999313354492</v>
          </cell>
          <cell r="D637">
            <v>0</v>
          </cell>
          <cell r="E637" t="e">
            <v>#VALUE!</v>
          </cell>
          <cell r="F637">
            <v>-19.219999313354492</v>
          </cell>
        </row>
        <row r="638">
          <cell r="A638" t="str">
            <v>SELGIONC</v>
          </cell>
          <cell r="B638">
            <v>0</v>
          </cell>
          <cell r="C638">
            <v>-55.529998779296875</v>
          </cell>
          <cell r="D638">
            <v>0</v>
          </cell>
          <cell r="E638" t="e">
            <v>#VALUE!</v>
          </cell>
          <cell r="F638">
            <v>-55.529998779296875</v>
          </cell>
        </row>
        <row r="639">
          <cell r="A639" t="str">
            <v xml:space="preserve">SELGION </v>
          </cell>
          <cell r="B639">
            <v>0</v>
          </cell>
          <cell r="C639">
            <v>340.2860107421875</v>
          </cell>
          <cell r="D639">
            <v>0</v>
          </cell>
          <cell r="E639">
            <v>0</v>
          </cell>
          <cell r="F639">
            <v>340.2860107421875</v>
          </cell>
        </row>
        <row r="640">
          <cell r="A640" t="str">
            <v>SELDSANA</v>
          </cell>
          <cell r="B640">
            <v>2.7397252026026787E-3</v>
          </cell>
          <cell r="C640">
            <v>321.06600952148438</v>
          </cell>
          <cell r="D640">
            <v>2.7397252026026787E-3</v>
          </cell>
          <cell r="E640">
            <v>2.7397252026026787E-3</v>
          </cell>
          <cell r="F640">
            <v>-45.442455072272317</v>
          </cell>
        </row>
        <row r="641">
          <cell r="A641" t="str">
            <v>SELKERNA</v>
          </cell>
          <cell r="B641">
            <v>0</v>
          </cell>
          <cell r="C641">
            <v>-19.219999313354492</v>
          </cell>
          <cell r="D641">
            <v>0</v>
          </cell>
          <cell r="E641" t="e">
            <v>#VALUE!</v>
          </cell>
          <cell r="F641">
            <v>-385.31153932336258</v>
          </cell>
        </row>
        <row r="642">
          <cell r="A642" t="str">
            <v>SELKERNG</v>
          </cell>
          <cell r="B642">
            <v>0</v>
          </cell>
          <cell r="C642">
            <v>-19.219999313354492</v>
          </cell>
          <cell r="D642">
            <v>0</v>
          </cell>
          <cell r="E642" t="e">
            <v>#VALUE!</v>
          </cell>
          <cell r="F642">
            <v>-19.219999313354492</v>
          </cell>
        </row>
        <row r="643">
          <cell r="A643" t="str">
            <v>SELKERNC</v>
          </cell>
          <cell r="B643">
            <v>0</v>
          </cell>
          <cell r="C643">
            <v>-55.529998779296875</v>
          </cell>
          <cell r="D643">
            <v>0</v>
          </cell>
          <cell r="E643" t="e">
            <v>#VALUE!</v>
          </cell>
          <cell r="F643">
            <v>-55.529998779296875</v>
          </cell>
        </row>
        <row r="644">
          <cell r="A644" t="str">
            <v xml:space="preserve">SELKERN </v>
          </cell>
          <cell r="B644">
            <v>0</v>
          </cell>
          <cell r="C644">
            <v>481.4530029296875</v>
          </cell>
          <cell r="D644">
            <v>0</v>
          </cell>
          <cell r="E644">
            <v>0</v>
          </cell>
          <cell r="F644">
            <v>481.4530029296875</v>
          </cell>
        </row>
        <row r="645">
          <cell r="A645" t="str">
            <v>SELJETNA</v>
          </cell>
          <cell r="B645">
            <v>4.1333030929712397E-2</v>
          </cell>
          <cell r="C645">
            <v>-19.219999313354492</v>
          </cell>
          <cell r="D645">
            <v>0</v>
          </cell>
          <cell r="E645" t="e">
            <v>#VALUE!</v>
          </cell>
          <cell r="F645">
            <v>0</v>
          </cell>
        </row>
        <row r="646">
          <cell r="A646" t="str">
            <v>SELJETNG</v>
          </cell>
          <cell r="B646">
            <v>0</v>
          </cell>
          <cell r="C646">
            <v>-19.219999313354492</v>
          </cell>
          <cell r="D646">
            <v>0</v>
          </cell>
          <cell r="E646" t="e">
            <v>#VALUE!</v>
          </cell>
          <cell r="F646">
            <v>-2.6362032576885124</v>
          </cell>
        </row>
        <row r="647">
          <cell r="A647" t="str">
            <v>SELJETNC</v>
          </cell>
          <cell r="B647">
            <v>0</v>
          </cell>
          <cell r="C647">
            <v>-55.529998779296875</v>
          </cell>
          <cell r="D647">
            <v>0</v>
          </cell>
          <cell r="E647">
            <v>0</v>
          </cell>
          <cell r="F647">
            <v>-27.460577565023343</v>
          </cell>
        </row>
        <row r="648">
          <cell r="A648" t="str">
            <v xml:space="preserve">SELJETN </v>
          </cell>
          <cell r="B648">
            <v>4.1333030929712397E-2</v>
          </cell>
          <cell r="C648">
            <v>481.4530029296875</v>
          </cell>
          <cell r="D648">
            <v>4.1333030929712397E-2</v>
          </cell>
          <cell r="E648">
            <v>4.1333030929712397E-2</v>
          </cell>
          <cell r="F648">
            <v>95.650928256936268</v>
          </cell>
        </row>
        <row r="649">
          <cell r="A649" t="str">
            <v>SELPASOB</v>
          </cell>
          <cell r="B649">
            <v>0</v>
          </cell>
          <cell r="C649">
            <v>349.1929931640625</v>
          </cell>
          <cell r="D649">
            <v>0</v>
          </cell>
          <cell r="E649">
            <v>2.7397300428333438E-8</v>
          </cell>
          <cell r="F649">
            <v>-6.378207733206553</v>
          </cell>
        </row>
        <row r="650">
          <cell r="A650" t="str">
            <v>SELPRDOA</v>
          </cell>
          <cell r="B650">
            <v>0</v>
          </cell>
          <cell r="C650">
            <v>-5.080009937286377</v>
          </cell>
          <cell r="D650">
            <v>0</v>
          </cell>
          <cell r="E650">
            <v>0</v>
          </cell>
          <cell r="F650">
            <v>-65.119781098300464</v>
          </cell>
        </row>
        <row r="651">
          <cell r="A651" t="str">
            <v>SELPRDOB</v>
          </cell>
          <cell r="B651">
            <v>5.3000665649975819E-2</v>
          </cell>
          <cell r="C651">
            <v>-1.4130100011825562</v>
          </cell>
          <cell r="D651">
            <v>0</v>
          </cell>
          <cell r="E651" t="e">
            <v>#VALUE!</v>
          </cell>
          <cell r="F651">
            <v>0</v>
          </cell>
        </row>
        <row r="652">
          <cell r="A652" t="str">
            <v xml:space="preserve">SELPRDO </v>
          </cell>
          <cell r="B652">
            <v>5.3000665649975819E-2</v>
          </cell>
          <cell r="C652">
            <v>163.40800476074219</v>
          </cell>
          <cell r="D652">
            <v>0</v>
          </cell>
          <cell r="E652">
            <v>5.8979600667953491E-2</v>
          </cell>
          <cell r="F652">
            <v>66.542778966198227</v>
          </cell>
        </row>
        <row r="653">
          <cell r="A653" t="str">
            <v>SELBTDOB</v>
          </cell>
          <cell r="B653">
            <v>0</v>
          </cell>
          <cell r="C653">
            <v>136.04400634765625</v>
          </cell>
          <cell r="D653">
            <v>0</v>
          </cell>
          <cell r="E653">
            <v>0.19673100113868713</v>
          </cell>
          <cell r="F653">
            <v>-117.93199920654297</v>
          </cell>
        </row>
        <row r="654">
          <cell r="A654" t="str">
            <v>SELNACOA</v>
          </cell>
          <cell r="B654">
            <v>1.190643455475977E-2</v>
          </cell>
          <cell r="C654">
            <v>-8.9100103378295898</v>
          </cell>
          <cell r="D654">
            <v>0</v>
          </cell>
          <cell r="E654" t="e">
            <v>#VALUE!</v>
          </cell>
          <cell r="F654">
            <v>-1.867404224448008</v>
          </cell>
        </row>
        <row r="655">
          <cell r="A655" t="str">
            <v>SELNACOG</v>
          </cell>
          <cell r="B655">
            <v>0</v>
          </cell>
          <cell r="C655">
            <v>-8.9100103378295898</v>
          </cell>
          <cell r="D655">
            <v>0</v>
          </cell>
          <cell r="E655" t="e">
            <v>#VALUE!</v>
          </cell>
          <cell r="F655">
            <v>-7.1081628028660608</v>
          </cell>
        </row>
        <row r="656">
          <cell r="A656" t="str">
            <v>SELNACOB</v>
          </cell>
          <cell r="B656">
            <v>1.3015965827779002E-2</v>
          </cell>
          <cell r="C656">
            <v>-1.4130100011825562</v>
          </cell>
          <cell r="D656">
            <v>0</v>
          </cell>
          <cell r="E656" t="e">
            <v>#VALUE!</v>
          </cell>
          <cell r="F656">
            <v>-0.27006966708457636</v>
          </cell>
        </row>
        <row r="657">
          <cell r="A657" t="str">
            <v xml:space="preserve">SELNACO </v>
          </cell>
          <cell r="B657">
            <v>2.4922400498635148E-2</v>
          </cell>
          <cell r="C657">
            <v>261.83599853515625</v>
          </cell>
          <cell r="D657">
            <v>2.4922400498635148E-2</v>
          </cell>
          <cell r="E657">
            <v>2.4922400498635148E-2</v>
          </cell>
          <cell r="F657">
            <v>-90.626867843000852</v>
          </cell>
        </row>
        <row r="658">
          <cell r="A658" t="str">
            <v>SELNASOA</v>
          </cell>
          <cell r="B658">
            <v>4.9006388611989478E-2</v>
          </cell>
          <cell r="C658">
            <v>-8.9100103378295898</v>
          </cell>
          <cell r="D658">
            <v>0</v>
          </cell>
          <cell r="E658" t="e">
            <v>#VALUE!</v>
          </cell>
          <cell r="F658">
            <v>-4.7790678605641403</v>
          </cell>
        </row>
        <row r="659">
          <cell r="A659" t="str">
            <v>SELNASOG</v>
          </cell>
          <cell r="B659">
            <v>0</v>
          </cell>
          <cell r="C659">
            <v>-8.9100103378295898</v>
          </cell>
          <cell r="D659">
            <v>0</v>
          </cell>
          <cell r="E659" t="e">
            <v>#VALUE!</v>
          </cell>
          <cell r="F659">
            <v>-4.7790678605641403</v>
          </cell>
        </row>
        <row r="660">
          <cell r="A660" t="str">
            <v>SELNASOB</v>
          </cell>
          <cell r="B660">
            <v>0.16868987877483238</v>
          </cell>
          <cell r="C660">
            <v>-1.4130100011825562</v>
          </cell>
          <cell r="D660">
            <v>0</v>
          </cell>
          <cell r="E660" t="e">
            <v>#VALUE!</v>
          </cell>
          <cell r="F660">
            <v>0</v>
          </cell>
        </row>
        <row r="661">
          <cell r="A661" t="str">
            <v xml:space="preserve">SELNASO </v>
          </cell>
          <cell r="B661">
            <v>0.21769626691733321</v>
          </cell>
          <cell r="C661">
            <v>274.16500854492188</v>
          </cell>
          <cell r="D661">
            <v>0.21769626691733321</v>
          </cell>
          <cell r="E661">
            <v>0.21769626691733321</v>
          </cell>
          <cell r="F661">
            <v>-109.63568974325102</v>
          </cell>
        </row>
        <row r="662">
          <cell r="A662" t="str">
            <v>SELNECOA</v>
          </cell>
          <cell r="B662">
            <v>0</v>
          </cell>
          <cell r="C662">
            <v>-9.3100099563598633</v>
          </cell>
          <cell r="D662">
            <v>0</v>
          </cell>
          <cell r="E662">
            <v>0</v>
          </cell>
          <cell r="F662">
            <v>-4.9724987918383459</v>
          </cell>
        </row>
        <row r="663">
          <cell r="A663" t="str">
            <v>SELNECOG</v>
          </cell>
          <cell r="B663">
            <v>0</v>
          </cell>
          <cell r="C663">
            <v>-9.3100099563598633</v>
          </cell>
          <cell r="D663">
            <v>0</v>
          </cell>
          <cell r="E663" t="e">
            <v>#VALUE!</v>
          </cell>
          <cell r="F663">
            <v>-7.9480933359224499</v>
          </cell>
        </row>
        <row r="664">
          <cell r="A664" t="str">
            <v>SELNECOB</v>
          </cell>
          <cell r="B664">
            <v>0.17162645908251201</v>
          </cell>
          <cell r="C664">
            <v>-1.4130100011825562</v>
          </cell>
          <cell r="D664">
            <v>0</v>
          </cell>
          <cell r="E664" t="e">
            <v>#VALUE!</v>
          </cell>
          <cell r="F664">
            <v>0</v>
          </cell>
        </row>
        <row r="665">
          <cell r="A665" t="str">
            <v xml:space="preserve">SELNECO </v>
          </cell>
          <cell r="B665">
            <v>0.17162645908251201</v>
          </cell>
          <cell r="C665">
            <v>277.81900024414063</v>
          </cell>
          <cell r="D665">
            <v>0.17162645908251201</v>
          </cell>
          <cell r="E665">
            <v>0.17162645908251201</v>
          </cell>
          <cell r="F665">
            <v>-116.46289666580827</v>
          </cell>
        </row>
        <row r="666">
          <cell r="A666" t="str">
            <v>SELGOIOA</v>
          </cell>
          <cell r="B666">
            <v>6.7849411703135867E-2</v>
          </cell>
          <cell r="C666">
            <v>-8.9100103378295898</v>
          </cell>
          <cell r="D666">
            <v>0</v>
          </cell>
          <cell r="E666" t="e">
            <v>#VALUE!</v>
          </cell>
          <cell r="F666">
            <v>-1.97302952988507</v>
          </cell>
        </row>
        <row r="667">
          <cell r="A667" t="str">
            <v>SELGOIOG</v>
          </cell>
          <cell r="B667">
            <v>0.36773517229785657</v>
          </cell>
          <cell r="C667">
            <v>-8.9100103378295898</v>
          </cell>
          <cell r="D667">
            <v>0</v>
          </cell>
          <cell r="E667" t="e">
            <v>#VALUE!</v>
          </cell>
          <cell r="F667">
            <v>-1.9730319989870673</v>
          </cell>
        </row>
        <row r="668">
          <cell r="A668" t="str">
            <v>SELGOIOB</v>
          </cell>
          <cell r="B668">
            <v>1.3718775899442908</v>
          </cell>
          <cell r="C668">
            <v>-1.4130100011825562</v>
          </cell>
          <cell r="D668">
            <v>0</v>
          </cell>
          <cell r="E668" t="e">
            <v>#VALUE!</v>
          </cell>
          <cell r="F668">
            <v>0</v>
          </cell>
        </row>
        <row r="669">
          <cell r="A669" t="str">
            <v xml:space="preserve">SELGOIO </v>
          </cell>
          <cell r="B669">
            <v>1.8074621589216469</v>
          </cell>
          <cell r="C669">
            <v>324.90200805664063</v>
          </cell>
          <cell r="D669">
            <v>1.8074621589216469</v>
          </cell>
          <cell r="E669">
            <v>1.8074621589216469</v>
          </cell>
          <cell r="F669">
            <v>-48.49918686853696</v>
          </cell>
        </row>
        <row r="670">
          <cell r="A670" t="str">
            <v>SELGIOOA</v>
          </cell>
          <cell r="B670">
            <v>0</v>
          </cell>
          <cell r="C670">
            <v>-8.9099998474121094</v>
          </cell>
          <cell r="D670">
            <v>0</v>
          </cell>
          <cell r="E670" t="e">
            <v>#VALUE!</v>
          </cell>
          <cell r="F670">
            <v>-8.9099998474121094</v>
          </cell>
        </row>
        <row r="671">
          <cell r="A671" t="str">
            <v>SELGIOOB</v>
          </cell>
          <cell r="B671">
            <v>0</v>
          </cell>
          <cell r="C671">
            <v>-1.4129999876022339</v>
          </cell>
          <cell r="D671">
            <v>0</v>
          </cell>
          <cell r="E671" t="e">
            <v>#VALUE!</v>
          </cell>
          <cell r="F671">
            <v>-1.4129999876022339</v>
          </cell>
        </row>
        <row r="672">
          <cell r="A672" t="str">
            <v xml:space="preserve">SELGIOO </v>
          </cell>
          <cell r="B672">
            <v>0</v>
          </cell>
          <cell r="C672">
            <v>324.90200805664063</v>
          </cell>
          <cell r="D672">
            <v>0</v>
          </cell>
          <cell r="E672">
            <v>0</v>
          </cell>
          <cell r="F672">
            <v>324.90200805664063</v>
          </cell>
        </row>
        <row r="673">
          <cell r="A673" t="str">
            <v>SELDSLOA</v>
          </cell>
          <cell r="B673">
            <v>9.0410949085673237E-2</v>
          </cell>
          <cell r="C673">
            <v>-8.9100103378295898</v>
          </cell>
          <cell r="D673">
            <v>0</v>
          </cell>
          <cell r="E673" t="e">
            <v>#VALUE!</v>
          </cell>
          <cell r="F673">
            <v>0</v>
          </cell>
        </row>
        <row r="674">
          <cell r="A674" t="str">
            <v>SELDSLOB</v>
          </cell>
          <cell r="B674">
            <v>-1.5984898336492042E-11</v>
          </cell>
          <cell r="C674">
            <v>-1.4130100011825562</v>
          </cell>
          <cell r="D674">
            <v>0</v>
          </cell>
          <cell r="E674" t="e">
            <v>#VALUE!</v>
          </cell>
          <cell r="F674">
            <v>0</v>
          </cell>
        </row>
        <row r="675">
          <cell r="A675" t="str">
            <v xml:space="preserve">SELDSLO </v>
          </cell>
          <cell r="B675">
            <v>9.0410949085673237E-2</v>
          </cell>
          <cell r="C675">
            <v>324.90200805664063</v>
          </cell>
          <cell r="D675">
            <v>9.0410949085673237E-2</v>
          </cell>
          <cell r="E675">
            <v>9.0410949085673237E-2</v>
          </cell>
          <cell r="F675">
            <v>-50.465592407853634</v>
          </cell>
        </row>
        <row r="676">
          <cell r="A676" t="str">
            <v>SELKEROA</v>
          </cell>
          <cell r="B676">
            <v>0</v>
          </cell>
          <cell r="C676">
            <v>-8.9100103378295898</v>
          </cell>
          <cell r="D676">
            <v>0</v>
          </cell>
          <cell r="E676">
            <v>0</v>
          </cell>
          <cell r="F676">
            <v>-375.00154945687069</v>
          </cell>
        </row>
        <row r="677">
          <cell r="A677" t="str">
            <v>SELKEROG</v>
          </cell>
          <cell r="B677">
            <v>0</v>
          </cell>
          <cell r="C677">
            <v>-8.9100103378295898</v>
          </cell>
          <cell r="D677">
            <v>0</v>
          </cell>
          <cell r="E677" t="e">
            <v>#VALUE!</v>
          </cell>
          <cell r="F677">
            <v>-8.9100103378295898</v>
          </cell>
        </row>
        <row r="678">
          <cell r="A678" t="str">
            <v>SELKEROB</v>
          </cell>
          <cell r="B678">
            <v>0</v>
          </cell>
          <cell r="C678">
            <v>-1.4130100011825562</v>
          </cell>
          <cell r="D678">
            <v>0</v>
          </cell>
          <cell r="E678" t="e">
            <v>#VALUE!</v>
          </cell>
          <cell r="F678">
            <v>-91.89438791960886</v>
          </cell>
        </row>
        <row r="679">
          <cell r="A679" t="str">
            <v xml:space="preserve">SELKERO </v>
          </cell>
          <cell r="B679">
            <v>0</v>
          </cell>
          <cell r="C679">
            <v>481.4530029296875</v>
          </cell>
          <cell r="D679">
            <v>0</v>
          </cell>
          <cell r="E679">
            <v>0</v>
          </cell>
          <cell r="F679">
            <v>481.4530029296875</v>
          </cell>
        </row>
        <row r="680">
          <cell r="A680" t="str">
            <v>SELJETOA</v>
          </cell>
          <cell r="B680">
            <v>0</v>
          </cell>
          <cell r="C680">
            <v>-8.9100103378295898</v>
          </cell>
          <cell r="D680">
            <v>0</v>
          </cell>
          <cell r="E680">
            <v>0</v>
          </cell>
          <cell r="F680">
            <v>-1.3206967040284039</v>
          </cell>
        </row>
        <row r="681">
          <cell r="A681" t="str">
            <v>SELJETOG</v>
          </cell>
          <cell r="B681">
            <v>0</v>
          </cell>
          <cell r="C681">
            <v>-8.9100103378295898</v>
          </cell>
          <cell r="D681">
            <v>0</v>
          </cell>
          <cell r="E681" t="e">
            <v>#VALUE!</v>
          </cell>
          <cell r="F681">
            <v>-3.956899881362915</v>
          </cell>
        </row>
        <row r="682">
          <cell r="A682" t="str">
            <v>SELJETOB</v>
          </cell>
          <cell r="B682">
            <v>2.2866153487399832E-2</v>
          </cell>
          <cell r="C682">
            <v>-1.4130100011825562</v>
          </cell>
          <cell r="D682">
            <v>0</v>
          </cell>
          <cell r="E682" t="e">
            <v>#VALUE!</v>
          </cell>
          <cell r="F682">
            <v>0</v>
          </cell>
        </row>
        <row r="683">
          <cell r="A683" t="str">
            <v xml:space="preserve">SELJETO </v>
          </cell>
          <cell r="B683">
            <v>2.2866153487399832E-2</v>
          </cell>
          <cell r="C683">
            <v>481.4530029296875</v>
          </cell>
          <cell r="D683">
            <v>2.2866153487399832E-2</v>
          </cell>
          <cell r="E683">
            <v>2.2866153487399832E-2</v>
          </cell>
          <cell r="F683">
            <v>107.28161315917968</v>
          </cell>
        </row>
        <row r="684">
          <cell r="A684" t="str">
            <v>SELNACPB</v>
          </cell>
          <cell r="B684">
            <v>2.5151480423056916E-2</v>
          </cell>
          <cell r="C684">
            <v>268.05599975585938</v>
          </cell>
          <cell r="D684">
            <v>2.5151480423056916E-2</v>
          </cell>
          <cell r="E684">
            <v>2.5151480423056916E-2</v>
          </cell>
          <cell r="F684">
            <v>-83.263928598900364</v>
          </cell>
        </row>
        <row r="685">
          <cell r="A685" t="str">
            <v>SELNASPB</v>
          </cell>
          <cell r="B685">
            <v>0.17727295384831623</v>
          </cell>
          <cell r="C685">
            <v>280.385009765625</v>
          </cell>
          <cell r="D685">
            <v>0.17727295384831623</v>
          </cell>
          <cell r="E685">
            <v>0.17727295384831623</v>
          </cell>
          <cell r="F685">
            <v>-102.00267887899321</v>
          </cell>
        </row>
        <row r="686">
          <cell r="A686" t="str">
            <v>SELNECPB</v>
          </cell>
          <cell r="B686">
            <v>0.11916082521823988</v>
          </cell>
          <cell r="C686">
            <v>284.03900146484375</v>
          </cell>
          <cell r="D686">
            <v>0.11916082521823988</v>
          </cell>
          <cell r="E686">
            <v>0.11916082521823988</v>
          </cell>
          <cell r="F686">
            <v>-108.82988580155046</v>
          </cell>
        </row>
        <row r="687">
          <cell r="A687" t="str">
            <v>SELGONPB</v>
          </cell>
          <cell r="B687">
            <v>1.3550590978909844</v>
          </cell>
          <cell r="C687">
            <v>-2.0812599658966064</v>
          </cell>
          <cell r="D687">
            <v>0</v>
          </cell>
          <cell r="E687" t="e">
            <v>#VALUE!</v>
          </cell>
          <cell r="F687">
            <v>0</v>
          </cell>
        </row>
        <row r="688">
          <cell r="A688" t="str">
            <v>SELGONPC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19.194924054080492</v>
          </cell>
        </row>
        <row r="689">
          <cell r="A689" t="str">
            <v xml:space="preserve">SELGONP </v>
          </cell>
          <cell r="B689">
            <v>1.3550590978909844</v>
          </cell>
          <cell r="C689">
            <v>332.99398803710938</v>
          </cell>
          <cell r="D689">
            <v>1.3550590978909844</v>
          </cell>
          <cell r="E689">
            <v>1.3550590978909844</v>
          </cell>
          <cell r="F689">
            <v>-41.204336621010142</v>
          </cell>
        </row>
        <row r="690">
          <cell r="A690" t="str">
            <v>SELGIOPB</v>
          </cell>
          <cell r="B690">
            <v>0</v>
          </cell>
          <cell r="C690">
            <v>332.6820068359375</v>
          </cell>
          <cell r="D690">
            <v>0</v>
          </cell>
          <cell r="E690">
            <v>0</v>
          </cell>
          <cell r="F690">
            <v>332.6820068359375</v>
          </cell>
        </row>
        <row r="691">
          <cell r="A691" t="str">
            <v>SELDSLPB</v>
          </cell>
          <cell r="B691">
            <v>0</v>
          </cell>
          <cell r="C691">
            <v>332.6820068359375</v>
          </cell>
          <cell r="D691">
            <v>0</v>
          </cell>
          <cell r="E691">
            <v>0</v>
          </cell>
          <cell r="F691">
            <v>-41.272579922088205</v>
          </cell>
        </row>
        <row r="692">
          <cell r="A692" t="str">
            <v>SELKERPB</v>
          </cell>
          <cell r="B692">
            <v>0</v>
          </cell>
          <cell r="C692">
            <v>463.614990234375</v>
          </cell>
          <cell r="D692">
            <v>0</v>
          </cell>
          <cell r="E692">
            <v>0</v>
          </cell>
          <cell r="F692">
            <v>373.13361410898705</v>
          </cell>
        </row>
        <row r="693">
          <cell r="A693" t="str">
            <v>SELJETPB</v>
          </cell>
          <cell r="B693">
            <v>2.9319973177697561E-2</v>
          </cell>
          <cell r="C693">
            <v>463.614990234375</v>
          </cell>
          <cell r="D693">
            <v>2.9319973177697561E-2</v>
          </cell>
          <cell r="E693">
            <v>2.9319973177697561E-2</v>
          </cell>
          <cell r="F693">
            <v>90.856625366210935</v>
          </cell>
        </row>
        <row r="694">
          <cell r="A694" t="str">
            <v>SELPRDQA</v>
          </cell>
          <cell r="B694">
            <v>0</v>
          </cell>
          <cell r="C694">
            <v>-3.1155899632722139E-3</v>
          </cell>
          <cell r="D694">
            <v>0</v>
          </cell>
          <cell r="E694" t="e">
            <v>#VALUE!</v>
          </cell>
          <cell r="F694">
            <v>-156.90811157226563</v>
          </cell>
        </row>
        <row r="695">
          <cell r="A695" t="str">
            <v>SELPRDQD</v>
          </cell>
          <cell r="B695">
            <v>0</v>
          </cell>
          <cell r="C695">
            <v>-3.1155899632722139E-3</v>
          </cell>
          <cell r="D695">
            <v>0</v>
          </cell>
          <cell r="E695">
            <v>0</v>
          </cell>
          <cell r="F695">
            <v>-156.90811157226563</v>
          </cell>
        </row>
        <row r="696">
          <cell r="A696" t="str">
            <v xml:space="preserve">SELPRDQ 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</row>
        <row r="697">
          <cell r="A697" t="str">
            <v>SELBTDQD</v>
          </cell>
          <cell r="B697">
            <v>0</v>
          </cell>
          <cell r="C697">
            <v>-3.1155899632722139E-3</v>
          </cell>
          <cell r="D697">
            <v>0</v>
          </cell>
          <cell r="E697">
            <v>0</v>
          </cell>
          <cell r="F697">
            <v>-166.29510498046875</v>
          </cell>
        </row>
        <row r="698">
          <cell r="A698" t="str">
            <v>SELBEXQD</v>
          </cell>
          <cell r="B698">
            <v>0</v>
          </cell>
          <cell r="C698">
            <v>739.99700927734375</v>
          </cell>
          <cell r="D698">
            <v>0</v>
          </cell>
          <cell r="E698">
            <v>0</v>
          </cell>
          <cell r="F698">
            <v>-135.83274979264769</v>
          </cell>
        </row>
        <row r="699">
          <cell r="A699" t="str">
            <v>SELBUXQD</v>
          </cell>
          <cell r="B699">
            <v>1.0958899511024356E-3</v>
          </cell>
          <cell r="C699">
            <v>981.9019775390625</v>
          </cell>
          <cell r="D699">
            <v>1.0958899511024356E-3</v>
          </cell>
          <cell r="E699">
            <v>1.0958899511024356E-3</v>
          </cell>
          <cell r="F699">
            <v>677.02508544921875</v>
          </cell>
        </row>
        <row r="700">
          <cell r="A700" t="str">
            <v>SELCIXQD</v>
          </cell>
          <cell r="B700">
            <v>0.2614024682404244</v>
          </cell>
          <cell r="C700">
            <v>892.37799072265625</v>
          </cell>
          <cell r="D700">
            <v>0</v>
          </cell>
          <cell r="E700" t="e">
            <v>#VALUE!</v>
          </cell>
          <cell r="F700">
            <v>0</v>
          </cell>
        </row>
        <row r="701">
          <cell r="A701" t="str">
            <v>SELMXXQD</v>
          </cell>
          <cell r="B701">
            <v>0.11783674404229204</v>
          </cell>
          <cell r="C701">
            <v>672.3280029296875</v>
          </cell>
          <cell r="D701">
            <v>9.7725025186799971E-3</v>
          </cell>
          <cell r="E701" t="e">
            <v>#VALUE!</v>
          </cell>
          <cell r="F701">
            <v>0</v>
          </cell>
        </row>
        <row r="702">
          <cell r="A702" t="str">
            <v>SELOE0QD</v>
          </cell>
          <cell r="B702">
            <v>0</v>
          </cell>
          <cell r="C702">
            <v>-3.1155899632722139E-3</v>
          </cell>
          <cell r="D702">
            <v>0</v>
          </cell>
          <cell r="E702">
            <v>0</v>
          </cell>
          <cell r="F702">
            <v>-3.1155899632722139E-3</v>
          </cell>
        </row>
        <row r="703">
          <cell r="A703" t="str">
            <v>SELNONQD</v>
          </cell>
          <cell r="B703">
            <v>0</v>
          </cell>
          <cell r="C703">
            <v>0.99688398838043213</v>
          </cell>
          <cell r="D703">
            <v>0</v>
          </cell>
          <cell r="E703">
            <v>0</v>
          </cell>
          <cell r="F703">
            <v>0.99688398838043213</v>
          </cell>
        </row>
        <row r="704">
          <cell r="A704" t="str">
            <v>SELOE3QD</v>
          </cell>
          <cell r="B704">
            <v>0</v>
          </cell>
          <cell r="C704">
            <v>-3.1155899632722139E-3</v>
          </cell>
          <cell r="D704">
            <v>0</v>
          </cell>
          <cell r="E704">
            <v>0</v>
          </cell>
          <cell r="F704">
            <v>-3.1155899632722139E-3</v>
          </cell>
        </row>
        <row r="705">
          <cell r="A705" t="str">
            <v>SELDODQD</v>
          </cell>
          <cell r="B705">
            <v>0</v>
          </cell>
          <cell r="C705">
            <v>440.99700927734375</v>
          </cell>
          <cell r="D705">
            <v>0</v>
          </cell>
          <cell r="E705" t="e">
            <v>#VALUE!</v>
          </cell>
          <cell r="F705">
            <v>0</v>
          </cell>
        </row>
        <row r="706">
          <cell r="A706" t="str">
            <v>SELOE7QD</v>
          </cell>
          <cell r="B706">
            <v>0</v>
          </cell>
          <cell r="C706">
            <v>-3.1155899632722139E-3</v>
          </cell>
          <cell r="D706">
            <v>0</v>
          </cell>
          <cell r="E706">
            <v>0</v>
          </cell>
          <cell r="F706">
            <v>-3.1155899632722139E-3</v>
          </cell>
        </row>
        <row r="707">
          <cell r="A707" t="str">
            <v>SELHEXQD</v>
          </cell>
          <cell r="B707">
            <v>0</v>
          </cell>
          <cell r="C707">
            <v>0.99688398838043213</v>
          </cell>
          <cell r="D707">
            <v>0</v>
          </cell>
          <cell r="E707">
            <v>0</v>
          </cell>
          <cell r="F707">
            <v>0.99688398838043213</v>
          </cell>
        </row>
        <row r="708">
          <cell r="A708" t="str">
            <v>SELOE8QD</v>
          </cell>
          <cell r="B708">
            <v>0</v>
          </cell>
          <cell r="C708">
            <v>-3.1155899632722139E-3</v>
          </cell>
          <cell r="D708">
            <v>0</v>
          </cell>
          <cell r="E708">
            <v>0</v>
          </cell>
          <cell r="F708">
            <v>-3.1155899632722139E-3</v>
          </cell>
        </row>
        <row r="709">
          <cell r="A709" t="str">
            <v>SELHEPQD</v>
          </cell>
          <cell r="B709">
            <v>0</v>
          </cell>
          <cell r="C709">
            <v>0.99688398838043213</v>
          </cell>
          <cell r="D709">
            <v>0</v>
          </cell>
          <cell r="E709">
            <v>0</v>
          </cell>
          <cell r="F709">
            <v>0.99688398838043213</v>
          </cell>
        </row>
        <row r="710">
          <cell r="A710" t="str">
            <v>SELOE9QD</v>
          </cell>
          <cell r="B710">
            <v>3.9216000586748123E-2</v>
          </cell>
          <cell r="C710">
            <v>440.99700927734375</v>
          </cell>
          <cell r="D710">
            <v>0</v>
          </cell>
          <cell r="E710" t="e">
            <v>#VALUE!</v>
          </cell>
          <cell r="F710">
            <v>0</v>
          </cell>
        </row>
        <row r="711">
          <cell r="A711" t="str">
            <v>SELOCTQD</v>
          </cell>
          <cell r="B711">
            <v>0</v>
          </cell>
          <cell r="C711">
            <v>299.99700927734375</v>
          </cell>
          <cell r="D711">
            <v>0</v>
          </cell>
          <cell r="E711">
            <v>3.3002700805664063</v>
          </cell>
          <cell r="F711">
            <v>-74.773483276367188</v>
          </cell>
        </row>
        <row r="712">
          <cell r="A712" t="str">
            <v>SELOXXQD</v>
          </cell>
          <cell r="B712">
            <v>2.1232899278402328E-2</v>
          </cell>
          <cell r="C712">
            <v>651.42498779296875</v>
          </cell>
          <cell r="D712">
            <v>2.1232899278402328E-2</v>
          </cell>
          <cell r="E712" t="e">
            <v>#VALUE!</v>
          </cell>
          <cell r="F712">
            <v>-20.902999877929688</v>
          </cell>
        </row>
        <row r="713">
          <cell r="A713" t="str">
            <v>SELPPXQD</v>
          </cell>
          <cell r="B713">
            <v>0</v>
          </cell>
          <cell r="C713">
            <v>-3.1155899632722139E-3</v>
          </cell>
          <cell r="D713">
            <v>0</v>
          </cell>
          <cell r="E713">
            <v>0</v>
          </cell>
          <cell r="F713">
            <v>-1117.236572265625</v>
          </cell>
        </row>
        <row r="714">
          <cell r="A714" t="str">
            <v>SELPXXQD</v>
          </cell>
          <cell r="B714">
            <v>9.8888208523188553E-2</v>
          </cell>
          <cell r="C714">
            <v>1036.18994140625</v>
          </cell>
          <cell r="D714">
            <v>0</v>
          </cell>
          <cell r="E714" t="e">
            <v>#VALUE!</v>
          </cell>
          <cell r="F714">
            <v>0</v>
          </cell>
        </row>
        <row r="715">
          <cell r="A715" t="str">
            <v>SELR+LQD</v>
          </cell>
          <cell r="B715">
            <v>0.70934926973630308</v>
          </cell>
          <cell r="C715">
            <v>508.12100219726563</v>
          </cell>
          <cell r="D715">
            <v>0</v>
          </cell>
          <cell r="E715" t="e">
            <v>#VALUE!</v>
          </cell>
          <cell r="F715">
            <v>0</v>
          </cell>
        </row>
        <row r="716">
          <cell r="A716" t="str">
            <v>SELTOXQD</v>
          </cell>
          <cell r="B716">
            <v>0.10007864083737543</v>
          </cell>
          <cell r="C716">
            <v>681.9019775390625</v>
          </cell>
          <cell r="D716">
            <v>0.10000000149011612</v>
          </cell>
          <cell r="E716" t="e">
            <v>#VALUE!</v>
          </cell>
          <cell r="F716">
            <v>-31.154951884648572</v>
          </cell>
        </row>
        <row r="717">
          <cell r="A717" t="str">
            <v>SELARXQD</v>
          </cell>
          <cell r="B717">
            <v>9.9999997764825821E-3</v>
          </cell>
          <cell r="C717">
            <v>672.3280029296875</v>
          </cell>
          <cell r="D717">
            <v>0</v>
          </cell>
          <cell r="E717">
            <v>9.9999997764825821E-3</v>
          </cell>
          <cell r="F717">
            <v>174.56343074432792</v>
          </cell>
        </row>
        <row r="718">
          <cell r="A718" t="str">
            <v>SELNC5QD</v>
          </cell>
          <cell r="B718">
            <v>1.5479500405490398E-2</v>
          </cell>
          <cell r="C718">
            <v>620.948974609375</v>
          </cell>
          <cell r="D718">
            <v>1.5479500405490398E-2</v>
          </cell>
          <cell r="E718">
            <v>1.5479500405490398E-2</v>
          </cell>
          <cell r="F718">
            <v>8.0450323549035474</v>
          </cell>
        </row>
        <row r="719">
          <cell r="A719" t="str">
            <v>SELNC6QD</v>
          </cell>
          <cell r="B719">
            <v>0</v>
          </cell>
          <cell r="C719">
            <v>734.28302001953125</v>
          </cell>
          <cell r="D719">
            <v>0</v>
          </cell>
          <cell r="E719">
            <v>2.7397300582379103E-3</v>
          </cell>
          <cell r="F719">
            <v>-36.714000701904297</v>
          </cell>
        </row>
        <row r="720">
          <cell r="A720" t="str">
            <v>SELNC7QD</v>
          </cell>
          <cell r="B720">
            <v>1.3424700126051903E-2</v>
          </cell>
          <cell r="C720">
            <v>1574.280029296875</v>
          </cell>
          <cell r="D720">
            <v>0</v>
          </cell>
          <cell r="E720">
            <v>1.3424700126051903E-2</v>
          </cell>
          <cell r="F720">
            <v>682.5182276059503</v>
          </cell>
        </row>
        <row r="721">
          <cell r="A721" t="str">
            <v>SELSGXQD</v>
          </cell>
          <cell r="B721">
            <v>0</v>
          </cell>
          <cell r="C721">
            <v>-3.1155899632722139E-3</v>
          </cell>
          <cell r="D721">
            <v>0</v>
          </cell>
          <cell r="E721">
            <v>0</v>
          </cell>
          <cell r="F721">
            <v>-513.15771484375</v>
          </cell>
        </row>
        <row r="722">
          <cell r="A722" t="str">
            <v>SELAGXQD</v>
          </cell>
          <cell r="B722">
            <v>2.1917799487709999E-2</v>
          </cell>
          <cell r="C722">
            <v>686.66400146484375</v>
          </cell>
          <cell r="D722">
            <v>1.6393313041492684E-2</v>
          </cell>
          <cell r="E722">
            <v>2.1917799487709999E-2</v>
          </cell>
          <cell r="F722">
            <v>201.30932809490048</v>
          </cell>
        </row>
        <row r="723">
          <cell r="A723" t="str">
            <v>SELMTBQA</v>
          </cell>
          <cell r="B723">
            <v>0</v>
          </cell>
          <cell r="C723">
            <v>0</v>
          </cell>
          <cell r="D723">
            <v>0</v>
          </cell>
          <cell r="E723">
            <v>999</v>
          </cell>
          <cell r="F723">
            <v>-318.38039718000857</v>
          </cell>
        </row>
        <row r="724">
          <cell r="A724" t="str">
            <v>SELMTBQD</v>
          </cell>
          <cell r="B724">
            <v>0</v>
          </cell>
          <cell r="C724">
            <v>-3.1155899632722139E-3</v>
          </cell>
          <cell r="D724">
            <v>0</v>
          </cell>
          <cell r="E724" t="e">
            <v>#VALUE!</v>
          </cell>
          <cell r="F724">
            <v>-318.38343070522973</v>
          </cell>
        </row>
        <row r="725">
          <cell r="A725" t="str">
            <v xml:space="preserve">SELMTBQ 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-338.40562259203767</v>
          </cell>
        </row>
        <row r="726">
          <cell r="A726" t="str">
            <v>SELTMEQA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-594.01703148410741</v>
          </cell>
        </row>
        <row r="727">
          <cell r="A727" t="str">
            <v>SELTMEQD</v>
          </cell>
          <cell r="B727">
            <v>0</v>
          </cell>
          <cell r="C727">
            <v>-3.1155899632722139E-3</v>
          </cell>
          <cell r="D727">
            <v>0</v>
          </cell>
          <cell r="E727" t="e">
            <v>#VALUE!</v>
          </cell>
          <cell r="F727">
            <v>-594.02005280795163</v>
          </cell>
        </row>
        <row r="728">
          <cell r="A728" t="str">
            <v xml:space="preserve">SELTMEQ 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</row>
        <row r="729">
          <cell r="A729" t="str">
            <v>SELTI0QF</v>
          </cell>
          <cell r="B729">
            <v>6.4105082456379723E-3</v>
          </cell>
          <cell r="C729">
            <v>1004.2000122070313</v>
          </cell>
          <cell r="D729">
            <v>0</v>
          </cell>
          <cell r="E729">
            <v>1.6813699156045914E-2</v>
          </cell>
          <cell r="F729">
            <v>-31.713609167647689</v>
          </cell>
        </row>
        <row r="730">
          <cell r="A730" t="str">
            <v>SELT10QF</v>
          </cell>
          <cell r="B730">
            <v>7.1720762841709675E-3</v>
          </cell>
          <cell r="C730">
            <v>1004.2000122070313</v>
          </cell>
          <cell r="D730">
            <v>0</v>
          </cell>
          <cell r="E730">
            <v>9.589039720594883E-3</v>
          </cell>
          <cell r="F730">
            <v>56.605125134611782</v>
          </cell>
        </row>
        <row r="731">
          <cell r="A731" t="str">
            <v>SELT30QF</v>
          </cell>
          <cell r="B731">
            <v>2.1786887744722302E-2</v>
          </cell>
          <cell r="C731">
            <v>1004.2000122070313</v>
          </cell>
          <cell r="D731">
            <v>0</v>
          </cell>
          <cell r="E731">
            <v>2.1917799487709999E-2</v>
          </cell>
          <cell r="F731">
            <v>79.797770168356706</v>
          </cell>
        </row>
        <row r="732">
          <cell r="A732" t="str">
            <v>SELT15QF</v>
          </cell>
          <cell r="B732">
            <v>2.7397300582379103E-3</v>
          </cell>
          <cell r="C732">
            <v>1004.2000122070313</v>
          </cell>
          <cell r="D732">
            <v>0</v>
          </cell>
          <cell r="E732">
            <v>2.7397300582379103E-3</v>
          </cell>
          <cell r="F732">
            <v>82.596515817511573</v>
          </cell>
        </row>
        <row r="733">
          <cell r="A733" t="str">
            <v>SELT20QF</v>
          </cell>
          <cell r="B733">
            <v>4.1095898486673832E-3</v>
          </cell>
          <cell r="C733">
            <v>1004.2000122070313</v>
          </cell>
          <cell r="D733">
            <v>0</v>
          </cell>
          <cell r="E733">
            <v>4.1095898486673832E-3</v>
          </cell>
          <cell r="F733">
            <v>82.596515817511573</v>
          </cell>
        </row>
        <row r="734">
          <cell r="A734" t="str">
            <v>SELLABQD</v>
          </cell>
          <cell r="B734">
            <v>2.7778394234507051E-2</v>
          </cell>
          <cell r="C734">
            <v>940.8060302734375</v>
          </cell>
          <cell r="D734">
            <v>0</v>
          </cell>
          <cell r="E734">
            <v>6.1875101178884506E-2</v>
          </cell>
          <cell r="F734">
            <v>-47.14785774962543</v>
          </cell>
        </row>
        <row r="735">
          <cell r="A735" t="str">
            <v>SELLASQD</v>
          </cell>
          <cell r="B735">
            <v>6.1884764428824591E-3</v>
          </cell>
          <cell r="C735">
            <v>939.99700927734375</v>
          </cell>
          <cell r="D735">
            <v>0</v>
          </cell>
          <cell r="E735">
            <v>8.2739703357219696E-3</v>
          </cell>
          <cell r="F735">
            <v>40.105736907540937</v>
          </cell>
        </row>
        <row r="736">
          <cell r="A736" t="str">
            <v>SELMALQD</v>
          </cell>
          <cell r="B736">
            <v>1.0512166243199617E-2</v>
          </cell>
          <cell r="C736">
            <v>1155.22998046875</v>
          </cell>
          <cell r="D736">
            <v>0</v>
          </cell>
          <cell r="E736">
            <v>3.7079498171806335E-2</v>
          </cell>
          <cell r="F736">
            <v>0</v>
          </cell>
        </row>
        <row r="737">
          <cell r="A737" t="str">
            <v>SELFOEQA</v>
          </cell>
          <cell r="B737">
            <v>2.0844629411828026</v>
          </cell>
          <cell r="C737">
            <v>222.62300109863281</v>
          </cell>
          <cell r="D737">
            <v>0</v>
          </cell>
          <cell r="E737">
            <v>11.657636032365772</v>
          </cell>
          <cell r="F737">
            <v>0</v>
          </cell>
        </row>
        <row r="738">
          <cell r="A738" t="str">
            <v>SELE05QA</v>
          </cell>
          <cell r="B738">
            <v>3.7272802250434271E-2</v>
          </cell>
          <cell r="C738">
            <v>891.99700927734375</v>
          </cell>
          <cell r="D738">
            <v>0</v>
          </cell>
          <cell r="E738" t="e">
            <v>#VALUE!</v>
          </cell>
          <cell r="F738">
            <v>0</v>
          </cell>
        </row>
        <row r="739">
          <cell r="A739" t="str">
            <v>SELE20QA</v>
          </cell>
          <cell r="B739">
            <v>0.23558219169100669</v>
          </cell>
          <cell r="C739">
            <v>900.99700927734375</v>
          </cell>
          <cell r="D739">
            <v>0</v>
          </cell>
          <cell r="E739" t="e">
            <v>#VALUE!</v>
          </cell>
          <cell r="F739">
            <v>0</v>
          </cell>
        </row>
        <row r="740">
          <cell r="A740" t="str">
            <v>SELE30QA</v>
          </cell>
          <cell r="B740">
            <v>8.4488908711769811E-2</v>
          </cell>
          <cell r="C740">
            <v>905.99700927734375</v>
          </cell>
          <cell r="D740">
            <v>0</v>
          </cell>
          <cell r="E740" t="e">
            <v>#VALUE!</v>
          </cell>
          <cell r="F740">
            <v>0</v>
          </cell>
        </row>
        <row r="741">
          <cell r="A741" t="str">
            <v>SELE40QA</v>
          </cell>
          <cell r="B741">
            <v>0.23100828341629406</v>
          </cell>
          <cell r="C741">
            <v>919.99700927734375</v>
          </cell>
          <cell r="D741">
            <v>0</v>
          </cell>
          <cell r="E741" t="e">
            <v>#VALUE!</v>
          </cell>
          <cell r="F741">
            <v>0</v>
          </cell>
        </row>
        <row r="742">
          <cell r="A742" t="str">
            <v>SELE50QA</v>
          </cell>
          <cell r="B742">
            <v>0</v>
          </cell>
          <cell r="C742">
            <v>1100</v>
          </cell>
          <cell r="D742">
            <v>0</v>
          </cell>
          <cell r="E742" t="e">
            <v>#VALUE!</v>
          </cell>
          <cell r="F742">
            <v>-127.04734716546045</v>
          </cell>
        </row>
        <row r="743">
          <cell r="A743" t="str">
            <v>SELNE3QA</v>
          </cell>
          <cell r="B743">
            <v>1.6152493179660954</v>
          </cell>
          <cell r="C743">
            <v>381.44000244140625</v>
          </cell>
          <cell r="D743">
            <v>0</v>
          </cell>
          <cell r="E743" t="e">
            <v>#VALUE!</v>
          </cell>
          <cell r="F743">
            <v>7.1752854647701731</v>
          </cell>
        </row>
        <row r="744">
          <cell r="A744" t="str">
            <v>SELNE4QA</v>
          </cell>
          <cell r="B744">
            <v>-1.6919390032085339E-9</v>
          </cell>
          <cell r="C744">
            <v>381.510009765625</v>
          </cell>
          <cell r="D744">
            <v>0</v>
          </cell>
          <cell r="E744" t="e">
            <v>#VALUE!</v>
          </cell>
          <cell r="F744">
            <v>0</v>
          </cell>
        </row>
        <row r="745">
          <cell r="A745" t="str">
            <v>SELNE1QA</v>
          </cell>
          <cell r="B745">
            <v>0.32876700162887573</v>
          </cell>
          <cell r="C745">
            <v>405.5880126953125</v>
          </cell>
          <cell r="D745">
            <v>8.2867299040702919E-2</v>
          </cell>
          <cell r="E745">
            <v>0.32876700162887573</v>
          </cell>
          <cell r="F745">
            <v>21.461325648059585</v>
          </cell>
        </row>
        <row r="746">
          <cell r="A746" t="str">
            <v>SELNE2QA</v>
          </cell>
          <cell r="B746">
            <v>1.0696679386994448E-10</v>
          </cell>
          <cell r="C746">
            <v>347.54501342773438</v>
          </cell>
          <cell r="D746">
            <v>0</v>
          </cell>
          <cell r="E746" t="e">
            <v>#VALUE!</v>
          </cell>
          <cell r="F746">
            <v>0</v>
          </cell>
        </row>
        <row r="747">
          <cell r="A747" t="str">
            <v>SELNE5QA</v>
          </cell>
          <cell r="B747">
            <v>0.16438399255275726</v>
          </cell>
          <cell r="C747">
            <v>437.20498657226563</v>
          </cell>
          <cell r="D747">
            <v>4.1433773465352514E-2</v>
          </cell>
          <cell r="E747">
            <v>0.16438399255275726</v>
          </cell>
          <cell r="F747">
            <v>36.807818990210961</v>
          </cell>
        </row>
        <row r="748">
          <cell r="A748" t="str">
            <v>SELNE6QA</v>
          </cell>
          <cell r="B748">
            <v>0.12309959147074451</v>
          </cell>
          <cell r="C748">
            <v>358.1669921875</v>
          </cell>
          <cell r="D748">
            <v>0</v>
          </cell>
          <cell r="E748" t="e">
            <v>#VALUE!</v>
          </cell>
          <cell r="F748">
            <v>90.277707619863008</v>
          </cell>
        </row>
        <row r="749">
          <cell r="A749" t="str">
            <v>SELNE7QA</v>
          </cell>
          <cell r="B749">
            <v>0</v>
          </cell>
          <cell r="C749">
            <v>392.13299560546875</v>
          </cell>
          <cell r="D749">
            <v>0</v>
          </cell>
          <cell r="E749" t="e">
            <v>#VALUE!</v>
          </cell>
          <cell r="F749">
            <v>0</v>
          </cell>
        </row>
        <row r="750">
          <cell r="A750" t="str">
            <v>SELNE8QA</v>
          </cell>
          <cell r="B750">
            <v>9.9452929481951707E-13</v>
          </cell>
          <cell r="C750">
            <v>326.29998779296875</v>
          </cell>
          <cell r="D750">
            <v>0</v>
          </cell>
          <cell r="E750" t="e">
            <v>#VALUE!</v>
          </cell>
          <cell r="F750">
            <v>82.245476375214039</v>
          </cell>
        </row>
        <row r="751">
          <cell r="A751" t="str">
            <v>SELNE9QA</v>
          </cell>
          <cell r="B751">
            <v>1.2892186527572576E-12</v>
          </cell>
          <cell r="C751">
            <v>326.71798706054688</v>
          </cell>
          <cell r="D751">
            <v>0</v>
          </cell>
          <cell r="E751" t="e">
            <v>#VALUE!</v>
          </cell>
          <cell r="F751">
            <v>0</v>
          </cell>
        </row>
        <row r="752">
          <cell r="A752" t="str">
            <v>SELNASQA</v>
          </cell>
          <cell r="B752">
            <v>0</v>
          </cell>
          <cell r="C752">
            <v>-3.1155899632722139E-3</v>
          </cell>
          <cell r="D752">
            <v>0</v>
          </cell>
          <cell r="E752" t="e">
            <v>#VALUE!</v>
          </cell>
          <cell r="F752">
            <v>-280.81098298373286</v>
          </cell>
        </row>
        <row r="753">
          <cell r="A753" t="str">
            <v>SELNASQG</v>
          </cell>
          <cell r="B753">
            <v>0</v>
          </cell>
          <cell r="C753">
            <v>-3.1155899632722139E-3</v>
          </cell>
          <cell r="D753">
            <v>0</v>
          </cell>
          <cell r="E753" t="e">
            <v>#VALUE!</v>
          </cell>
          <cell r="F753">
            <v>-280.81098298373286</v>
          </cell>
        </row>
        <row r="754">
          <cell r="A754" t="str">
            <v xml:space="preserve">SELNASQ </v>
          </cell>
          <cell r="B754">
            <v>0</v>
          </cell>
          <cell r="C754">
            <v>409.59201049804688</v>
          </cell>
          <cell r="D754">
            <v>0</v>
          </cell>
          <cell r="E754">
            <v>0</v>
          </cell>
          <cell r="F754">
            <v>310.73012342061082</v>
          </cell>
        </row>
        <row r="755">
          <cell r="A755" t="str">
            <v>SELNECQA</v>
          </cell>
          <cell r="B755">
            <v>0</v>
          </cell>
          <cell r="C755">
            <v>-3.1155899632722139E-3</v>
          </cell>
          <cell r="D755">
            <v>0</v>
          </cell>
          <cell r="E755" t="e">
            <v>#VALUE!</v>
          </cell>
          <cell r="F755">
            <v>-287.49849870237585</v>
          </cell>
        </row>
        <row r="756">
          <cell r="A756" t="str">
            <v>SELNECQG</v>
          </cell>
          <cell r="B756">
            <v>0</v>
          </cell>
          <cell r="C756">
            <v>-3.1155899632722139E-3</v>
          </cell>
          <cell r="D756">
            <v>0</v>
          </cell>
          <cell r="E756" t="e">
            <v>#VALUE!</v>
          </cell>
          <cell r="F756">
            <v>-290.47409601080909</v>
          </cell>
        </row>
        <row r="757">
          <cell r="A757" t="str">
            <v xml:space="preserve">SELNECQ </v>
          </cell>
          <cell r="B757">
            <v>0</v>
          </cell>
          <cell r="C757">
            <v>272.45199584960938</v>
          </cell>
          <cell r="D757">
            <v>0</v>
          </cell>
          <cell r="E757">
            <v>0</v>
          </cell>
          <cell r="F757">
            <v>170.002994652317</v>
          </cell>
        </row>
        <row r="758">
          <cell r="A758" t="str">
            <v>SELNLPQA</v>
          </cell>
          <cell r="B758">
            <v>0</v>
          </cell>
          <cell r="C758">
            <v>-3.1155899632722139E-3</v>
          </cell>
          <cell r="D758">
            <v>0</v>
          </cell>
          <cell r="E758" t="e">
            <v>#VALUE!</v>
          </cell>
          <cell r="F758">
            <v>-247.59820146952589</v>
          </cell>
        </row>
        <row r="759">
          <cell r="A759" t="str">
            <v>SELNLPQG</v>
          </cell>
          <cell r="B759">
            <v>0</v>
          </cell>
          <cell r="C759">
            <v>-3.1155899632722139E-3</v>
          </cell>
          <cell r="D759">
            <v>0</v>
          </cell>
          <cell r="E759" t="e">
            <v>#VALUE!</v>
          </cell>
          <cell r="F759">
            <v>-248.53685452056257</v>
          </cell>
        </row>
        <row r="760">
          <cell r="A760" t="str">
            <v>SELNLPQD</v>
          </cell>
          <cell r="B760">
            <v>0</v>
          </cell>
          <cell r="C760">
            <v>-3.1155899632722139E-3</v>
          </cell>
          <cell r="D760">
            <v>0</v>
          </cell>
          <cell r="E760">
            <v>0</v>
          </cell>
          <cell r="F760">
            <v>-248.53695801094514</v>
          </cell>
        </row>
        <row r="761">
          <cell r="A761" t="str">
            <v xml:space="preserve">SELNLPQ </v>
          </cell>
          <cell r="B761">
            <v>0</v>
          </cell>
          <cell r="C761">
            <v>508.12399291992188</v>
          </cell>
          <cell r="D761">
            <v>0</v>
          </cell>
          <cell r="E761">
            <v>0</v>
          </cell>
          <cell r="F761">
            <v>250.63555555866191</v>
          </cell>
        </row>
        <row r="762">
          <cell r="A762" t="str">
            <v>SELJETQA</v>
          </cell>
          <cell r="B762">
            <v>0</v>
          </cell>
          <cell r="C762">
            <v>-3.1155899632722139E-3</v>
          </cell>
          <cell r="D762">
            <v>0</v>
          </cell>
          <cell r="E762" t="e">
            <v>#VALUE!</v>
          </cell>
          <cell r="F762">
            <v>-174.30472127836043</v>
          </cell>
        </row>
        <row r="763">
          <cell r="A763" t="str">
            <v>SELJETQG</v>
          </cell>
          <cell r="B763">
            <v>0</v>
          </cell>
          <cell r="C763">
            <v>-3.1155899632722139E-3</v>
          </cell>
          <cell r="D763">
            <v>0</v>
          </cell>
          <cell r="E763" t="e">
            <v>#VALUE!</v>
          </cell>
          <cell r="F763">
            <v>-176.94092677929629</v>
          </cell>
        </row>
        <row r="764">
          <cell r="A764" t="str">
            <v xml:space="preserve">SELJETQ </v>
          </cell>
          <cell r="B764">
            <v>0</v>
          </cell>
          <cell r="C764">
            <v>409.5679931640625</v>
          </cell>
          <cell r="D764">
            <v>0</v>
          </cell>
          <cell r="E764">
            <v>0</v>
          </cell>
          <cell r="F764">
            <v>217.28753009952911</v>
          </cell>
        </row>
        <row r="765">
          <cell r="A765" t="str">
            <v>SELKERQA</v>
          </cell>
          <cell r="B765">
            <v>0</v>
          </cell>
          <cell r="C765">
            <v>-3.1155899632722139E-3</v>
          </cell>
          <cell r="D765">
            <v>0</v>
          </cell>
          <cell r="E765" t="e">
            <v>#VALUE!</v>
          </cell>
          <cell r="F765">
            <v>-366.09465089562821</v>
          </cell>
        </row>
        <row r="766">
          <cell r="A766" t="str">
            <v>SELKERQG</v>
          </cell>
          <cell r="B766">
            <v>0</v>
          </cell>
          <cell r="C766">
            <v>-3.1155899632722139E-3</v>
          </cell>
          <cell r="D766">
            <v>0</v>
          </cell>
          <cell r="E766" t="e">
            <v>#VALUE!</v>
          </cell>
          <cell r="F766">
            <v>-3.1155899632722139E-3</v>
          </cell>
        </row>
        <row r="767">
          <cell r="A767" t="str">
            <v xml:space="preserve">SELKERQ 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A768" t="str">
            <v>SELGOEQA</v>
          </cell>
          <cell r="B768">
            <v>-1.847992760708047E-12</v>
          </cell>
          <cell r="C768">
            <v>276.49700927734375</v>
          </cell>
          <cell r="D768">
            <v>0</v>
          </cell>
          <cell r="E768" t="e">
            <v>#VALUE!</v>
          </cell>
          <cell r="F768">
            <v>0</v>
          </cell>
        </row>
        <row r="769">
          <cell r="A769" t="str">
            <v>SELGOCQA</v>
          </cell>
          <cell r="B769">
            <v>0</v>
          </cell>
          <cell r="C769">
            <v>417.93899536132813</v>
          </cell>
          <cell r="D769">
            <v>0</v>
          </cell>
          <cell r="E769">
            <v>0</v>
          </cell>
          <cell r="F769">
            <v>417.93899536132813</v>
          </cell>
        </row>
        <row r="770">
          <cell r="A770" t="str">
            <v>SELGOYQA</v>
          </cell>
          <cell r="B770">
            <v>0</v>
          </cell>
          <cell r="C770">
            <v>-3.1155899632722139E-3</v>
          </cell>
          <cell r="D770">
            <v>0</v>
          </cell>
          <cell r="E770" t="e">
            <v>#VALUE!</v>
          </cell>
          <cell r="F770">
            <v>-3.1155899632722139E-3</v>
          </cell>
        </row>
        <row r="771">
          <cell r="A771" t="str">
            <v>SELGOYQG</v>
          </cell>
          <cell r="B771">
            <v>0</v>
          </cell>
          <cell r="C771">
            <v>-3.1155899632722139E-3</v>
          </cell>
          <cell r="D771">
            <v>0</v>
          </cell>
          <cell r="E771" t="e">
            <v>#VALUE!</v>
          </cell>
          <cell r="F771">
            <v>-3.1155899632722139E-3</v>
          </cell>
        </row>
        <row r="772">
          <cell r="A772" t="str">
            <v xml:space="preserve">SELGOYQ </v>
          </cell>
          <cell r="B772">
            <v>0</v>
          </cell>
          <cell r="C772">
            <v>417.94198608398438</v>
          </cell>
          <cell r="D772">
            <v>0</v>
          </cell>
          <cell r="E772">
            <v>0</v>
          </cell>
          <cell r="F772">
            <v>417.94198608398438</v>
          </cell>
        </row>
        <row r="773">
          <cell r="A773" t="str">
            <v>SELGONQA</v>
          </cell>
          <cell r="B773">
            <v>0</v>
          </cell>
          <cell r="C773">
            <v>417.93899536132813</v>
          </cell>
          <cell r="D773">
            <v>0</v>
          </cell>
          <cell r="E773">
            <v>0</v>
          </cell>
          <cell r="F773">
            <v>51.474792814907964</v>
          </cell>
        </row>
        <row r="774">
          <cell r="A774" t="str">
            <v>SELCKEQA</v>
          </cell>
          <cell r="B774">
            <v>3.8932292918636376E-2</v>
          </cell>
          <cell r="C774">
            <v>-3.1155899632722139E-3</v>
          </cell>
          <cell r="D774">
            <v>0</v>
          </cell>
          <cell r="E774" t="e">
            <v>#VALUE!</v>
          </cell>
          <cell r="F774">
            <v>0</v>
          </cell>
        </row>
        <row r="775">
          <cell r="A775" t="str">
            <v>SELCKEQB</v>
          </cell>
          <cell r="B775">
            <v>0.22996872981933697</v>
          </cell>
          <cell r="C775">
            <v>-20.659999847412109</v>
          </cell>
          <cell r="D775">
            <v>0</v>
          </cell>
          <cell r="E775">
            <v>0.89999997615814209</v>
          </cell>
          <cell r="F775">
            <v>0</v>
          </cell>
        </row>
        <row r="776">
          <cell r="A776" t="str">
            <v xml:space="preserve">SELCKEQ </v>
          </cell>
          <cell r="B776">
            <v>0.26890102273797334</v>
          </cell>
          <cell r="C776">
            <v>40</v>
          </cell>
          <cell r="D776">
            <v>0</v>
          </cell>
          <cell r="E776" t="e">
            <v>#VALUE!</v>
          </cell>
          <cell r="F776">
            <v>0</v>
          </cell>
        </row>
        <row r="777">
          <cell r="A777" t="str">
            <v>SELHOXQD</v>
          </cell>
          <cell r="B777">
            <v>3.0000000260770321E-3</v>
          </cell>
          <cell r="C777">
            <v>-3.1155899632722139E-3</v>
          </cell>
          <cell r="D777">
            <v>3.0000000260770321E-3</v>
          </cell>
          <cell r="E777">
            <v>3.0000000260770321E-3</v>
          </cell>
          <cell r="F777">
            <v>-490.90570335910746</v>
          </cell>
        </row>
        <row r="778">
          <cell r="A778" t="str">
            <v>SELPRDRB</v>
          </cell>
          <cell r="B778">
            <v>0</v>
          </cell>
          <cell r="C778">
            <v>-1.4130100011825562</v>
          </cell>
          <cell r="D778">
            <v>0</v>
          </cell>
          <cell r="E778" t="e">
            <v>#VALUE!</v>
          </cell>
          <cell r="F778">
            <v>-96.865221039236403</v>
          </cell>
        </row>
        <row r="779">
          <cell r="A779" t="str">
            <v>SELBTDRB</v>
          </cell>
          <cell r="B779">
            <v>0.23196086214013295</v>
          </cell>
          <cell r="C779">
            <v>253.97599792480469</v>
          </cell>
          <cell r="D779">
            <v>0</v>
          </cell>
          <cell r="E779" t="e">
            <v>#VALUE!</v>
          </cell>
          <cell r="F779">
            <v>0</v>
          </cell>
        </row>
        <row r="780">
          <cell r="A780" t="str">
            <v>SELNLCRB</v>
          </cell>
          <cell r="B780">
            <v>0.98472823182197466</v>
          </cell>
          <cell r="C780">
            <v>506.07598876953125</v>
          </cell>
          <cell r="D780">
            <v>0</v>
          </cell>
          <cell r="E780">
            <v>2</v>
          </cell>
          <cell r="F780">
            <v>0</v>
          </cell>
        </row>
        <row r="781">
          <cell r="A781" t="str">
            <v>SELNACRB</v>
          </cell>
          <cell r="B781">
            <v>0</v>
          </cell>
          <cell r="C781">
            <v>408.17800903320313</v>
          </cell>
          <cell r="D781">
            <v>0</v>
          </cell>
          <cell r="E781">
            <v>0</v>
          </cell>
          <cell r="F781">
            <v>56.858072087536122</v>
          </cell>
        </row>
        <row r="782">
          <cell r="A782" t="str">
            <v>SELNASRB</v>
          </cell>
          <cell r="B782">
            <v>0</v>
          </cell>
          <cell r="C782">
            <v>393.58599853515625</v>
          </cell>
          <cell r="D782">
            <v>0</v>
          </cell>
          <cell r="E782">
            <v>0</v>
          </cell>
          <cell r="F782">
            <v>11.198321829756646</v>
          </cell>
        </row>
        <row r="783">
          <cell r="A783" t="str">
            <v>SELNECRB</v>
          </cell>
          <cell r="B783">
            <v>0</v>
          </cell>
          <cell r="C783">
            <v>423.77801513671875</v>
          </cell>
          <cell r="D783">
            <v>0</v>
          </cell>
          <cell r="E783">
            <v>0</v>
          </cell>
          <cell r="F783">
            <v>30.909114032902131</v>
          </cell>
        </row>
        <row r="784">
          <cell r="A784" t="str">
            <v>SELNE2RB</v>
          </cell>
          <cell r="B784">
            <v>0</v>
          </cell>
          <cell r="C784">
            <v>356.75698852539063</v>
          </cell>
          <cell r="D784">
            <v>0</v>
          </cell>
          <cell r="E784">
            <v>0</v>
          </cell>
          <cell r="F784">
            <v>356.75698852539063</v>
          </cell>
        </row>
        <row r="785">
          <cell r="A785" t="str">
            <v>SELNE7RB</v>
          </cell>
          <cell r="B785">
            <v>0.90413319672623726</v>
          </cell>
          <cell r="C785">
            <v>380.02999877929688</v>
          </cell>
          <cell r="D785">
            <v>0</v>
          </cell>
          <cell r="E785">
            <v>0.97005204272596801</v>
          </cell>
          <cell r="F785">
            <v>6.0261633846857778</v>
          </cell>
        </row>
        <row r="786">
          <cell r="A786" t="str">
            <v>SELNE8RB</v>
          </cell>
          <cell r="B786">
            <v>0</v>
          </cell>
          <cell r="C786">
            <v>328.8900146484375</v>
          </cell>
          <cell r="D786">
            <v>0</v>
          </cell>
          <cell r="E786">
            <v>0</v>
          </cell>
          <cell r="F786">
            <v>328.8900146484375</v>
          </cell>
        </row>
        <row r="787">
          <cell r="A787" t="str">
            <v>SELNE9RB</v>
          </cell>
          <cell r="B787">
            <v>0</v>
          </cell>
          <cell r="C787">
            <v>325.30801391601563</v>
          </cell>
          <cell r="D787">
            <v>0</v>
          </cell>
          <cell r="E787">
            <v>0</v>
          </cell>
          <cell r="F787">
            <v>325.30801391601563</v>
          </cell>
        </row>
        <row r="788">
          <cell r="A788" t="str">
            <v>SELGOYRB</v>
          </cell>
          <cell r="B788">
            <v>0</v>
          </cell>
          <cell r="C788">
            <v>323.489013671875</v>
          </cell>
          <cell r="D788">
            <v>0</v>
          </cell>
          <cell r="E788">
            <v>0</v>
          </cell>
          <cell r="F788">
            <v>-48.628076046460293</v>
          </cell>
        </row>
        <row r="789">
          <cell r="A789" t="str">
            <v>SELGOIRB</v>
          </cell>
          <cell r="B789">
            <v>0</v>
          </cell>
          <cell r="C789">
            <v>275.08700561523438</v>
          </cell>
          <cell r="D789">
            <v>0</v>
          </cell>
          <cell r="E789">
            <v>0</v>
          </cell>
          <cell r="F789">
            <v>-96.901177267832296</v>
          </cell>
        </row>
        <row r="790">
          <cell r="A790" t="str">
            <v>SELPRDSA</v>
          </cell>
          <cell r="B790">
            <v>0</v>
          </cell>
          <cell r="C790">
            <v>-5.7009998708963394E-2</v>
          </cell>
          <cell r="D790">
            <v>0</v>
          </cell>
          <cell r="E790" t="e">
            <v>#VALUE!</v>
          </cell>
          <cell r="F790">
            <v>-156.96200561523438</v>
          </cell>
        </row>
        <row r="791">
          <cell r="A791" t="str">
            <v>SELPRDSD</v>
          </cell>
          <cell r="B791">
            <v>0</v>
          </cell>
          <cell r="C791">
            <v>-5.7009998708963394E-2</v>
          </cell>
          <cell r="D791">
            <v>0</v>
          </cell>
          <cell r="E791" t="e">
            <v>#VALUE!</v>
          </cell>
          <cell r="F791">
            <v>-156.96200561523438</v>
          </cell>
        </row>
        <row r="792">
          <cell r="A792" t="str">
            <v>SELPRDSB</v>
          </cell>
          <cell r="B792">
            <v>0</v>
          </cell>
          <cell r="C792">
            <v>-0.43801000714302063</v>
          </cell>
          <cell r="D792">
            <v>0</v>
          </cell>
          <cell r="E792">
            <v>0</v>
          </cell>
          <cell r="F792">
            <v>-95.890216837843809</v>
          </cell>
        </row>
        <row r="793">
          <cell r="A793" t="str">
            <v xml:space="preserve">SELPRDS </v>
          </cell>
          <cell r="B793">
            <v>0</v>
          </cell>
          <cell r="C793">
            <v>0</v>
          </cell>
          <cell r="D793">
            <v>0</v>
          </cell>
          <cell r="E793" t="e">
            <v>#VALUE!</v>
          </cell>
          <cell r="F793">
            <v>0</v>
          </cell>
        </row>
        <row r="794">
          <cell r="A794" t="str">
            <v>SELBTDSD</v>
          </cell>
          <cell r="B794">
            <v>0.66800829221124514</v>
          </cell>
          <cell r="C794">
            <v>-5.7009998708963394E-2</v>
          </cell>
          <cell r="D794">
            <v>0</v>
          </cell>
          <cell r="E794" t="e">
            <v>#VALUE!</v>
          </cell>
          <cell r="F794">
            <v>0</v>
          </cell>
        </row>
        <row r="795">
          <cell r="A795" t="str">
            <v>SELBTDSB</v>
          </cell>
          <cell r="B795">
            <v>0</v>
          </cell>
          <cell r="C795">
            <v>-0.43801000714302063</v>
          </cell>
          <cell r="D795">
            <v>0</v>
          </cell>
          <cell r="E795">
            <v>0</v>
          </cell>
          <cell r="F795">
            <v>-88.065010070800781</v>
          </cell>
        </row>
        <row r="796">
          <cell r="A796" t="str">
            <v xml:space="preserve">SELBTDS </v>
          </cell>
          <cell r="B796">
            <v>0.66800829221124514</v>
          </cell>
          <cell r="C796">
            <v>166.3489990234375</v>
          </cell>
          <cell r="D796">
            <v>0</v>
          </cell>
          <cell r="E796" t="e">
            <v>#VALUE!</v>
          </cell>
          <cell r="F796">
            <v>0</v>
          </cell>
        </row>
        <row r="797">
          <cell r="A797" t="str">
            <v>SELN83SB</v>
          </cell>
          <cell r="B797">
            <v>0</v>
          </cell>
          <cell r="C797">
            <v>-0.43801000714302063</v>
          </cell>
          <cell r="D797">
            <v>0</v>
          </cell>
          <cell r="E797">
            <v>0</v>
          </cell>
          <cell r="F797">
            <v>-0.43801000714302063</v>
          </cell>
        </row>
        <row r="798">
          <cell r="A798" t="str">
            <v>SELNFCSB</v>
          </cell>
          <cell r="B798">
            <v>0</v>
          </cell>
          <cell r="C798">
            <v>-0.43801000714302063</v>
          </cell>
          <cell r="D798">
            <v>0</v>
          </cell>
          <cell r="E798">
            <v>0</v>
          </cell>
          <cell r="F798">
            <v>-369.81962539463825</v>
          </cell>
        </row>
        <row r="799">
          <cell r="A799" t="str">
            <v>SELNE1SA</v>
          </cell>
          <cell r="B799">
            <v>0</v>
          </cell>
          <cell r="C799">
            <v>-5.7009998708963394E-2</v>
          </cell>
          <cell r="D799">
            <v>0</v>
          </cell>
          <cell r="E799">
            <v>0</v>
          </cell>
          <cell r="F799">
            <v>-384.18368028614617</v>
          </cell>
        </row>
        <row r="800">
          <cell r="A800" t="str">
            <v>SELNE2SA</v>
          </cell>
          <cell r="B800">
            <v>0</v>
          </cell>
          <cell r="C800">
            <v>-4.0570101737976074</v>
          </cell>
          <cell r="D800">
            <v>0</v>
          </cell>
          <cell r="E800" t="e">
            <v>#VALUE!</v>
          </cell>
          <cell r="F800">
            <v>-351.60202026367188</v>
          </cell>
        </row>
        <row r="801">
          <cell r="A801" t="str">
            <v>SELNE2SB</v>
          </cell>
          <cell r="B801">
            <v>0</v>
          </cell>
          <cell r="C801">
            <v>-4.4380102157592773</v>
          </cell>
          <cell r="D801">
            <v>0</v>
          </cell>
          <cell r="E801" t="e">
            <v>#VALUE!</v>
          </cell>
          <cell r="F801">
            <v>-4.4380102157592773</v>
          </cell>
        </row>
        <row r="802">
          <cell r="A802" t="str">
            <v xml:space="preserve">SELNE2S </v>
          </cell>
          <cell r="B802">
            <v>0</v>
          </cell>
          <cell r="C802">
            <v>351.54800415039063</v>
          </cell>
          <cell r="D802">
            <v>0</v>
          </cell>
          <cell r="E802">
            <v>0</v>
          </cell>
          <cell r="F802">
            <v>351.54800415039063</v>
          </cell>
        </row>
        <row r="803">
          <cell r="A803" t="str">
            <v>SELNE3SA</v>
          </cell>
          <cell r="B803">
            <v>0</v>
          </cell>
          <cell r="C803">
            <v>-5.7009998708963394E-2</v>
          </cell>
          <cell r="D803">
            <v>0</v>
          </cell>
          <cell r="E803">
            <v>0</v>
          </cell>
          <cell r="F803">
            <v>-374.32172191045055</v>
          </cell>
        </row>
        <row r="804">
          <cell r="A804" t="str">
            <v>SELNE4SA</v>
          </cell>
          <cell r="B804">
            <v>0</v>
          </cell>
          <cell r="C804">
            <v>-5.7009998708963394E-2</v>
          </cell>
          <cell r="D804">
            <v>0</v>
          </cell>
          <cell r="E804">
            <v>0</v>
          </cell>
          <cell r="F804">
            <v>-381.5670166015625</v>
          </cell>
        </row>
        <row r="805">
          <cell r="A805" t="str">
            <v>SELNE5SA</v>
          </cell>
          <cell r="B805">
            <v>0</v>
          </cell>
          <cell r="C805">
            <v>-5.7009998708963394E-2</v>
          </cell>
          <cell r="D805">
            <v>0</v>
          </cell>
          <cell r="E805">
            <v>0</v>
          </cell>
          <cell r="F805">
            <v>-400.4541939513324</v>
          </cell>
        </row>
        <row r="806">
          <cell r="A806" t="str">
            <v>SELNE6SA</v>
          </cell>
          <cell r="B806">
            <v>0</v>
          </cell>
          <cell r="C806">
            <v>-5.7009998708963394E-2</v>
          </cell>
          <cell r="D806">
            <v>0</v>
          </cell>
          <cell r="E806">
            <v>0</v>
          </cell>
          <cell r="F806">
            <v>-267.94629220076621</v>
          </cell>
        </row>
        <row r="807">
          <cell r="A807" t="str">
            <v>SELNE7SA</v>
          </cell>
          <cell r="B807">
            <v>0</v>
          </cell>
          <cell r="C807">
            <v>-4.0570101737976074</v>
          </cell>
          <cell r="D807">
            <v>0</v>
          </cell>
          <cell r="E807" t="e">
            <v>#VALUE!</v>
          </cell>
          <cell r="F807">
            <v>-396.19000244140625</v>
          </cell>
        </row>
        <row r="808">
          <cell r="A808" t="str">
            <v>SELNE7SB</v>
          </cell>
          <cell r="B808">
            <v>0</v>
          </cell>
          <cell r="C808">
            <v>-4.4380102157592773</v>
          </cell>
          <cell r="D808">
            <v>0</v>
          </cell>
          <cell r="E808">
            <v>0</v>
          </cell>
          <cell r="F808">
            <v>-378.4418518902504</v>
          </cell>
        </row>
        <row r="809">
          <cell r="A809" t="str">
            <v xml:space="preserve">SELNE7S </v>
          </cell>
          <cell r="B809">
            <v>0</v>
          </cell>
          <cell r="C809">
            <v>396.135986328125</v>
          </cell>
          <cell r="D809">
            <v>0</v>
          </cell>
          <cell r="E809">
            <v>0</v>
          </cell>
          <cell r="F809">
            <v>396.135986328125</v>
          </cell>
        </row>
        <row r="810">
          <cell r="A810" t="str">
            <v>SELNE8SA</v>
          </cell>
          <cell r="B810">
            <v>0</v>
          </cell>
          <cell r="C810">
            <v>-4.4380102157592773</v>
          </cell>
          <cell r="D810">
            <v>0</v>
          </cell>
          <cell r="E810" t="e">
            <v>#VALUE!</v>
          </cell>
          <cell r="F810">
            <v>-248.49252805317917</v>
          </cell>
        </row>
        <row r="811">
          <cell r="A811" t="str">
            <v>SELNE8SB</v>
          </cell>
          <cell r="B811">
            <v>0</v>
          </cell>
          <cell r="C811">
            <v>-4.4380102157592773</v>
          </cell>
          <cell r="D811">
            <v>0</v>
          </cell>
          <cell r="E811" t="e">
            <v>#VALUE!</v>
          </cell>
          <cell r="F811">
            <v>-4.4380102157592773</v>
          </cell>
        </row>
        <row r="812">
          <cell r="A812" t="str">
            <v xml:space="preserve">SELNE8S </v>
          </cell>
          <cell r="B812">
            <v>0</v>
          </cell>
          <cell r="C812">
            <v>330.30300903320313</v>
          </cell>
          <cell r="D812">
            <v>0</v>
          </cell>
          <cell r="E812">
            <v>0</v>
          </cell>
          <cell r="F812">
            <v>330.30300903320313</v>
          </cell>
        </row>
        <row r="813">
          <cell r="A813" t="str">
            <v>SELNE9SA</v>
          </cell>
          <cell r="B813">
            <v>0</v>
          </cell>
          <cell r="C813">
            <v>-4.4380102157592773</v>
          </cell>
          <cell r="D813">
            <v>0</v>
          </cell>
          <cell r="E813" t="e">
            <v>#VALUE!</v>
          </cell>
          <cell r="F813">
            <v>-331.156005859375</v>
          </cell>
        </row>
        <row r="814">
          <cell r="A814" t="str">
            <v>SELNE9SB</v>
          </cell>
          <cell r="B814">
            <v>0</v>
          </cell>
          <cell r="C814">
            <v>-4.4380102157592773</v>
          </cell>
          <cell r="D814">
            <v>0</v>
          </cell>
          <cell r="E814" t="e">
            <v>#VALUE!</v>
          </cell>
          <cell r="F814">
            <v>-4.4380102157592773</v>
          </cell>
        </row>
        <row r="815">
          <cell r="A815" t="str">
            <v xml:space="preserve">SELNE9S </v>
          </cell>
          <cell r="B815">
            <v>0</v>
          </cell>
          <cell r="C815">
            <v>330.72100830078125</v>
          </cell>
          <cell r="D815">
            <v>0</v>
          </cell>
          <cell r="E815">
            <v>0</v>
          </cell>
          <cell r="F815">
            <v>330.72100830078125</v>
          </cell>
        </row>
        <row r="816">
          <cell r="A816" t="str">
            <v>SELNACSA</v>
          </cell>
          <cell r="B816">
            <v>0</v>
          </cell>
          <cell r="C816">
            <v>-5.7009998708963394E-2</v>
          </cell>
          <cell r="D816">
            <v>0</v>
          </cell>
          <cell r="E816" t="e">
            <v>#VALUE!</v>
          </cell>
          <cell r="F816">
            <v>-345.47727318332619</v>
          </cell>
        </row>
        <row r="817">
          <cell r="A817" t="str">
            <v>SELNACSG</v>
          </cell>
          <cell r="B817">
            <v>0</v>
          </cell>
          <cell r="C817">
            <v>-5.7009998708963394E-2</v>
          </cell>
          <cell r="D817">
            <v>0</v>
          </cell>
          <cell r="E817" t="e">
            <v>#VALUE!</v>
          </cell>
          <cell r="F817">
            <v>-350.71802744408177</v>
          </cell>
        </row>
        <row r="818">
          <cell r="A818" t="str">
            <v>SELNACSB</v>
          </cell>
          <cell r="B818">
            <v>0</v>
          </cell>
          <cell r="C818">
            <v>-0.43801000714302063</v>
          </cell>
          <cell r="D818">
            <v>0</v>
          </cell>
          <cell r="E818">
            <v>0</v>
          </cell>
          <cell r="F818">
            <v>-351.7579395869007</v>
          </cell>
        </row>
        <row r="819">
          <cell r="A819" t="str">
            <v xml:space="preserve">SELNACS 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A820" t="str">
            <v>SELNASSA</v>
          </cell>
          <cell r="B820">
            <v>0</v>
          </cell>
          <cell r="C820">
            <v>-5.7009998708963394E-2</v>
          </cell>
          <cell r="D820">
            <v>0</v>
          </cell>
          <cell r="E820" t="e">
            <v>#VALUE!</v>
          </cell>
          <cell r="F820">
            <v>-280.85129277477523</v>
          </cell>
        </row>
        <row r="821">
          <cell r="A821" t="str">
            <v>SELNASSG</v>
          </cell>
          <cell r="B821">
            <v>0</v>
          </cell>
          <cell r="C821">
            <v>-5.7009998708963394E-2</v>
          </cell>
          <cell r="D821">
            <v>0</v>
          </cell>
          <cell r="E821" t="e">
            <v>#VALUE!</v>
          </cell>
          <cell r="F821">
            <v>-280.85129277477523</v>
          </cell>
        </row>
        <row r="822">
          <cell r="A822" t="str">
            <v>SELNASSB</v>
          </cell>
          <cell r="B822">
            <v>0</v>
          </cell>
          <cell r="C822">
            <v>-0.43801000714302063</v>
          </cell>
          <cell r="D822">
            <v>0</v>
          </cell>
          <cell r="E822">
            <v>0</v>
          </cell>
          <cell r="F822">
            <v>-283.95021286394496</v>
          </cell>
        </row>
        <row r="823">
          <cell r="A823" t="str">
            <v xml:space="preserve">SELNASS </v>
          </cell>
          <cell r="B823">
            <v>0</v>
          </cell>
          <cell r="C823">
            <v>423.93301391601563</v>
          </cell>
          <cell r="D823">
            <v>0</v>
          </cell>
          <cell r="E823">
            <v>0</v>
          </cell>
          <cell r="F823">
            <v>325.05754162514046</v>
          </cell>
        </row>
        <row r="824">
          <cell r="A824" t="str">
            <v>SELGOBSA</v>
          </cell>
          <cell r="B824">
            <v>0</v>
          </cell>
          <cell r="C824">
            <v>-5.7009998708963394E-2</v>
          </cell>
          <cell r="D824">
            <v>0</v>
          </cell>
          <cell r="E824" t="e">
            <v>#VALUE!</v>
          </cell>
          <cell r="F824">
            <v>-5.7009998708963394E-2</v>
          </cell>
        </row>
        <row r="825">
          <cell r="A825" t="str">
            <v>SELGOBSB</v>
          </cell>
          <cell r="B825">
            <v>0</v>
          </cell>
          <cell r="C825">
            <v>-0.43801000714302063</v>
          </cell>
          <cell r="D825">
            <v>0</v>
          </cell>
          <cell r="E825">
            <v>0</v>
          </cell>
          <cell r="F825">
            <v>-0.43801000714302063</v>
          </cell>
        </row>
        <row r="826">
          <cell r="A826" t="str">
            <v xml:space="preserve">SELGOBS </v>
          </cell>
          <cell r="B826">
            <v>0</v>
          </cell>
          <cell r="C826">
            <v>412.91000366210938</v>
          </cell>
          <cell r="D826">
            <v>0</v>
          </cell>
          <cell r="E826">
            <v>0</v>
          </cell>
          <cell r="F826">
            <v>412.91000366210938</v>
          </cell>
        </row>
        <row r="827">
          <cell r="A827" t="str">
            <v>SELGOYSA</v>
          </cell>
          <cell r="B827">
            <v>0</v>
          </cell>
          <cell r="C827">
            <v>-5.7009998708963394E-2</v>
          </cell>
          <cell r="D827">
            <v>0</v>
          </cell>
          <cell r="E827" t="e">
            <v>#VALUE!</v>
          </cell>
          <cell r="F827">
            <v>-5.7009998708963394E-2</v>
          </cell>
        </row>
        <row r="828">
          <cell r="A828" t="str">
            <v>SELGOYSG</v>
          </cell>
          <cell r="B828">
            <v>0</v>
          </cell>
          <cell r="C828">
            <v>-5.7009998708963394E-2</v>
          </cell>
          <cell r="D828">
            <v>0</v>
          </cell>
          <cell r="E828" t="e">
            <v>#VALUE!</v>
          </cell>
          <cell r="F828">
            <v>-5.7009998708963394E-2</v>
          </cell>
        </row>
        <row r="829">
          <cell r="A829" t="str">
            <v xml:space="preserve">SELGOYS </v>
          </cell>
          <cell r="B829">
            <v>0</v>
          </cell>
          <cell r="C829">
            <v>417.94198608398438</v>
          </cell>
          <cell r="D829">
            <v>0</v>
          </cell>
          <cell r="E829">
            <v>0</v>
          </cell>
          <cell r="F829">
            <v>417.94198608398438</v>
          </cell>
        </row>
        <row r="830">
          <cell r="A830" t="str">
            <v>SELKERSA</v>
          </cell>
          <cell r="B830">
            <v>0</v>
          </cell>
          <cell r="C830">
            <v>-5.7009998708963394E-2</v>
          </cell>
          <cell r="D830">
            <v>0</v>
          </cell>
          <cell r="E830" t="e">
            <v>#VALUE!</v>
          </cell>
          <cell r="F830">
            <v>-366.14854493859696</v>
          </cell>
        </row>
        <row r="831">
          <cell r="A831" t="str">
            <v>SELKERSG</v>
          </cell>
          <cell r="B831">
            <v>0</v>
          </cell>
          <cell r="C831">
            <v>-5.7009998708963394E-2</v>
          </cell>
          <cell r="D831">
            <v>0</v>
          </cell>
          <cell r="E831" t="e">
            <v>#VALUE!</v>
          </cell>
          <cell r="F831">
            <v>-5.7009998708963394E-2</v>
          </cell>
        </row>
        <row r="832">
          <cell r="A832" t="str">
            <v>SELKERSB</v>
          </cell>
          <cell r="B832">
            <v>0</v>
          </cell>
          <cell r="C832">
            <v>-0.43801000714302063</v>
          </cell>
          <cell r="D832">
            <v>0</v>
          </cell>
          <cell r="E832">
            <v>0</v>
          </cell>
          <cell r="F832">
            <v>-90.919386419123171</v>
          </cell>
        </row>
        <row r="833">
          <cell r="A833" t="str">
            <v xml:space="preserve">SELKERS 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A834" t="str">
            <v>SELNQXTE</v>
          </cell>
          <cell r="B834">
            <v>0</v>
          </cell>
          <cell r="C834">
            <v>247.73199462890625</v>
          </cell>
          <cell r="D834">
            <v>0</v>
          </cell>
          <cell r="E834">
            <v>15.898300170898438</v>
          </cell>
          <cell r="F834">
            <v>0</v>
          </cell>
        </row>
        <row r="835">
          <cell r="A835" t="str">
            <v>SELPRDUB</v>
          </cell>
          <cell r="B835">
            <v>5.4168243741948313E-2</v>
          </cell>
          <cell r="C835">
            <v>138.427001953125</v>
          </cell>
          <cell r="D835">
            <v>0</v>
          </cell>
          <cell r="E835">
            <v>9.522169828414917E-2</v>
          </cell>
          <cell r="F835">
            <v>42.974791518956017</v>
          </cell>
        </row>
        <row r="836">
          <cell r="A836" t="str">
            <v>SELBTDUB</v>
          </cell>
          <cell r="B836">
            <v>0</v>
          </cell>
          <cell r="C836">
            <v>132.58000183105469</v>
          </cell>
          <cell r="D836">
            <v>0</v>
          </cell>
          <cell r="E836">
            <v>1.8283599987626076E-2</v>
          </cell>
          <cell r="F836">
            <v>-121.39600372314453</v>
          </cell>
        </row>
        <row r="837">
          <cell r="A837" t="str">
            <v>SELNASUB</v>
          </cell>
          <cell r="B837">
            <v>0</v>
          </cell>
          <cell r="C837">
            <v>441.20498657226563</v>
          </cell>
          <cell r="D837">
            <v>0</v>
          </cell>
          <cell r="E837">
            <v>0</v>
          </cell>
          <cell r="F837">
            <v>58.817321756441302</v>
          </cell>
        </row>
        <row r="838">
          <cell r="A838" t="str">
            <v>SELN83UB</v>
          </cell>
          <cell r="B838">
            <v>0</v>
          </cell>
          <cell r="C838">
            <v>441.20498657226563</v>
          </cell>
          <cell r="D838">
            <v>0</v>
          </cell>
          <cell r="E838">
            <v>0</v>
          </cell>
          <cell r="F838">
            <v>441.20498657226563</v>
          </cell>
        </row>
        <row r="839">
          <cell r="A839" t="str">
            <v>SELGONUB</v>
          </cell>
          <cell r="B839">
            <v>0</v>
          </cell>
          <cell r="C839">
            <v>-3.1155899632722139E-3</v>
          </cell>
          <cell r="D839">
            <v>0</v>
          </cell>
          <cell r="E839">
            <v>0</v>
          </cell>
          <cell r="F839">
            <v>-372.12018633280712</v>
          </cell>
        </row>
        <row r="840">
          <cell r="A840" t="str">
            <v>SELGOMUB</v>
          </cell>
          <cell r="B840">
            <v>0</v>
          </cell>
          <cell r="C840">
            <v>419.843994140625</v>
          </cell>
          <cell r="D840">
            <v>0</v>
          </cell>
          <cell r="E840">
            <v>0</v>
          </cell>
          <cell r="F840">
            <v>47.718598561744166</v>
          </cell>
        </row>
        <row r="841">
          <cell r="A841" t="str">
            <v>SELSNXVE</v>
          </cell>
          <cell r="B841">
            <v>0</v>
          </cell>
          <cell r="C841">
            <v>209.80799865722656</v>
          </cell>
          <cell r="D841">
            <v>0</v>
          </cell>
          <cell r="E841" t="e">
            <v>#VALUE!</v>
          </cell>
          <cell r="F841">
            <v>0</v>
          </cell>
        </row>
        <row r="842">
          <cell r="A842" t="str">
            <v>SELSSXVE</v>
          </cell>
          <cell r="B842">
            <v>0</v>
          </cell>
          <cell r="C842">
            <v>252.48399353027344</v>
          </cell>
          <cell r="D842">
            <v>0</v>
          </cell>
          <cell r="E842" t="e">
            <v>#VALUE!</v>
          </cell>
          <cell r="F842">
            <v>0</v>
          </cell>
        </row>
        <row r="843">
          <cell r="A843" t="str">
            <v>SELCHXVE</v>
          </cell>
          <cell r="B843">
            <v>0.27083647349109391</v>
          </cell>
          <cell r="C843">
            <v>223.51600646972656</v>
          </cell>
          <cell r="D843">
            <v>0</v>
          </cell>
          <cell r="E843" t="e">
            <v>#VALUE!</v>
          </cell>
          <cell r="F843">
            <v>0</v>
          </cell>
        </row>
        <row r="844">
          <cell r="A844" t="str">
            <v>SELTDXVE</v>
          </cell>
          <cell r="B844">
            <v>0.18999999761581421</v>
          </cell>
          <cell r="C844">
            <v>254.74000549316406</v>
          </cell>
          <cell r="D844">
            <v>0</v>
          </cell>
          <cell r="E844" t="e">
            <v>#VALUE!</v>
          </cell>
          <cell r="F844">
            <v>0</v>
          </cell>
        </row>
        <row r="845">
          <cell r="A845" t="str">
            <v>SELFOXWE</v>
          </cell>
          <cell r="B845">
            <v>9.4999998807907104E-2</v>
          </cell>
          <cell r="C845">
            <v>383.06100463867188</v>
          </cell>
          <cell r="D845">
            <v>9.4999998807907104E-2</v>
          </cell>
          <cell r="E845" t="e">
            <v>#VALUE!</v>
          </cell>
          <cell r="F845">
            <v>0</v>
          </cell>
        </row>
        <row r="846">
          <cell r="A846" t="str">
            <v>SELPRDYE</v>
          </cell>
          <cell r="B846">
            <v>0</v>
          </cell>
          <cell r="C846">
            <v>143.52999877929688</v>
          </cell>
          <cell r="D846">
            <v>0</v>
          </cell>
          <cell r="E846">
            <v>6.7069396376609802E-2</v>
          </cell>
          <cell r="F846">
            <v>0</v>
          </cell>
        </row>
        <row r="847">
          <cell r="A847" t="str">
            <v>SELPGXYE</v>
          </cell>
          <cell r="B847">
            <v>0.12943600118160248</v>
          </cell>
          <cell r="C847">
            <v>182.48399353027344</v>
          </cell>
          <cell r="D847">
            <v>0</v>
          </cell>
          <cell r="E847" t="e">
            <v>#VALUE!</v>
          </cell>
          <cell r="F847">
            <v>0</v>
          </cell>
        </row>
        <row r="848">
          <cell r="A848" t="str">
            <v>SELBTDYE</v>
          </cell>
          <cell r="B848">
            <v>0</v>
          </cell>
          <cell r="C848">
            <v>-9.9999997473787516E-6</v>
          </cell>
          <cell r="D848">
            <v>0</v>
          </cell>
          <cell r="E848">
            <v>0</v>
          </cell>
          <cell r="F848">
            <v>-9.9999997473787516E-6</v>
          </cell>
        </row>
        <row r="849">
          <cell r="A849" t="str">
            <v>SELBGXYE</v>
          </cell>
          <cell r="B849">
            <v>7.3134399950504303E-2</v>
          </cell>
          <cell r="C849">
            <v>204.6510009765625</v>
          </cell>
          <cell r="D849">
            <v>0</v>
          </cell>
          <cell r="E849" t="e">
            <v>#VALUE!</v>
          </cell>
          <cell r="F849">
            <v>0</v>
          </cell>
        </row>
        <row r="850">
          <cell r="A850" t="str">
            <v>SELGOAYA</v>
          </cell>
          <cell r="B850">
            <v>0</v>
          </cell>
          <cell r="C850">
            <v>-8.3000097274780273</v>
          </cell>
          <cell r="D850">
            <v>0</v>
          </cell>
          <cell r="E850">
            <v>1.3333300352096558</v>
          </cell>
          <cell r="F850">
            <v>-374.82424993645657</v>
          </cell>
        </row>
        <row r="851">
          <cell r="A851" t="str">
            <v>SELGOAYC</v>
          </cell>
          <cell r="B851">
            <v>0</v>
          </cell>
          <cell r="C851">
            <v>-16.420000076293945</v>
          </cell>
          <cell r="D851">
            <v>0</v>
          </cell>
          <cell r="E851">
            <v>1.5824700593948364</v>
          </cell>
          <cell r="F851">
            <v>-16.420000076293945</v>
          </cell>
        </row>
        <row r="852">
          <cell r="A852" t="str">
            <v xml:space="preserve">SELGOAY 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A853" t="str">
            <v>SELNACXA</v>
          </cell>
          <cell r="B853">
            <v>0</v>
          </cell>
          <cell r="C853">
            <v>-21.033100128173828</v>
          </cell>
          <cell r="D853">
            <v>0</v>
          </cell>
          <cell r="E853" t="e">
            <v>#VALUE!</v>
          </cell>
          <cell r="F853">
            <v>-366.45335509417811</v>
          </cell>
        </row>
        <row r="854">
          <cell r="A854" t="str">
            <v>SELNACXB</v>
          </cell>
          <cell r="B854">
            <v>0</v>
          </cell>
          <cell r="C854">
            <v>-17.493000030517578</v>
          </cell>
          <cell r="D854">
            <v>0</v>
          </cell>
          <cell r="E854" t="e">
            <v>#VALUE!</v>
          </cell>
          <cell r="F854">
            <v>-368.81292457058004</v>
          </cell>
        </row>
        <row r="855">
          <cell r="A855" t="str">
            <v>SELNACXG</v>
          </cell>
          <cell r="B855">
            <v>0</v>
          </cell>
          <cell r="C855">
            <v>-21.033100128173828</v>
          </cell>
          <cell r="D855">
            <v>0</v>
          </cell>
          <cell r="E855" t="e">
            <v>#VALUE!</v>
          </cell>
          <cell r="F855">
            <v>-371.69411679620612</v>
          </cell>
        </row>
        <row r="856">
          <cell r="A856" t="str">
            <v xml:space="preserve">SELNACX 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</row>
        <row r="857">
          <cell r="A857" t="str">
            <v>SELNASXA</v>
          </cell>
          <cell r="B857">
            <v>0</v>
          </cell>
          <cell r="C857">
            <v>-21.033100128173828</v>
          </cell>
          <cell r="D857">
            <v>0</v>
          </cell>
          <cell r="E857" t="e">
            <v>#VALUE!</v>
          </cell>
          <cell r="F857">
            <v>-400.70284457272044</v>
          </cell>
        </row>
        <row r="858">
          <cell r="A858" t="str">
            <v>SELNASXB</v>
          </cell>
          <cell r="B858">
            <v>0</v>
          </cell>
          <cell r="C858">
            <v>-17.493000030517578</v>
          </cell>
          <cell r="D858">
            <v>0</v>
          </cell>
          <cell r="E858" t="e">
            <v>#VALUE!</v>
          </cell>
          <cell r="F858">
            <v>-399.88067727284891</v>
          </cell>
        </row>
        <row r="859">
          <cell r="A859" t="str">
            <v>SELNASXG</v>
          </cell>
          <cell r="B859">
            <v>0</v>
          </cell>
          <cell r="C859">
            <v>-21.033100128173828</v>
          </cell>
          <cell r="D859">
            <v>0</v>
          </cell>
          <cell r="E859" t="e">
            <v>#VALUE!</v>
          </cell>
          <cell r="F859">
            <v>-400.70284457272044</v>
          </cell>
        </row>
        <row r="860">
          <cell r="A860" t="str">
            <v xml:space="preserve">SELNASX 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</row>
        <row r="861">
          <cell r="A861" t="str">
            <v>SELNECXA</v>
          </cell>
          <cell r="B861">
            <v>0</v>
          </cell>
          <cell r="C861">
            <v>-21.033100128173828</v>
          </cell>
          <cell r="D861">
            <v>0</v>
          </cell>
          <cell r="E861" t="e">
            <v>#VALUE!</v>
          </cell>
          <cell r="F861">
            <v>-410.97747953232022</v>
          </cell>
        </row>
        <row r="862">
          <cell r="A862" t="str">
            <v>SELNECXB</v>
          </cell>
          <cell r="B862">
            <v>0</v>
          </cell>
          <cell r="C862">
            <v>-17.493000030517578</v>
          </cell>
          <cell r="D862">
            <v>0</v>
          </cell>
          <cell r="E862" t="e">
            <v>#VALUE!</v>
          </cell>
          <cell r="F862">
            <v>-410.36188153828658</v>
          </cell>
        </row>
        <row r="863">
          <cell r="A863" t="str">
            <v>SELNECXG</v>
          </cell>
          <cell r="B863">
            <v>0</v>
          </cell>
          <cell r="C863">
            <v>-21.033100128173828</v>
          </cell>
          <cell r="D863">
            <v>0</v>
          </cell>
          <cell r="E863" t="e">
            <v>#VALUE!</v>
          </cell>
          <cell r="F863">
            <v>-413.9530768407534</v>
          </cell>
        </row>
        <row r="864">
          <cell r="A864" t="str">
            <v xml:space="preserve">SELNECX 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</row>
        <row r="865">
          <cell r="A865" t="str">
            <v>SELGONXA</v>
          </cell>
          <cell r="B865">
            <v>0</v>
          </cell>
          <cell r="C865">
            <v>-21.033100128173828</v>
          </cell>
          <cell r="D865">
            <v>0</v>
          </cell>
          <cell r="E865" t="e">
            <v>#VALUE!</v>
          </cell>
          <cell r="F865">
            <v>-387.49730023945847</v>
          </cell>
        </row>
        <row r="866">
          <cell r="A866" t="str">
            <v>SELGONXB</v>
          </cell>
          <cell r="B866">
            <v>0</v>
          </cell>
          <cell r="C866">
            <v>-17.493000030517578</v>
          </cell>
          <cell r="D866">
            <v>0</v>
          </cell>
          <cell r="E866" t="e">
            <v>#VALUE!</v>
          </cell>
          <cell r="F866">
            <v>-389.61007732234589</v>
          </cell>
        </row>
        <row r="867">
          <cell r="A867" t="str">
            <v xml:space="preserve">SELGONX </v>
          </cell>
          <cell r="B867">
            <v>0</v>
          </cell>
          <cell r="C867">
            <v>412.91000366210938</v>
          </cell>
          <cell r="D867">
            <v>0</v>
          </cell>
          <cell r="E867">
            <v>0</v>
          </cell>
          <cell r="F867">
            <v>412.91000366210938</v>
          </cell>
        </row>
        <row r="868">
          <cell r="A868" t="str">
            <v>SELJETXA</v>
          </cell>
          <cell r="B868">
            <v>0</v>
          </cell>
          <cell r="C868">
            <v>-21.033100128173828</v>
          </cell>
          <cell r="D868">
            <v>0</v>
          </cell>
          <cell r="E868" t="e">
            <v>#VALUE!</v>
          </cell>
          <cell r="F868">
            <v>-387.61516782159674</v>
          </cell>
        </row>
        <row r="869">
          <cell r="A869" t="str">
            <v>SELJETXB</v>
          </cell>
          <cell r="B869">
            <v>0</v>
          </cell>
          <cell r="C869">
            <v>-17.493000030517578</v>
          </cell>
          <cell r="D869">
            <v>0</v>
          </cell>
          <cell r="E869" t="e">
            <v>#VALUE!</v>
          </cell>
          <cell r="F869">
            <v>-390.25137454516266</v>
          </cell>
        </row>
        <row r="870">
          <cell r="A870" t="str">
            <v>SELJETXG</v>
          </cell>
          <cell r="B870">
            <v>0</v>
          </cell>
          <cell r="C870">
            <v>-21.033100128173828</v>
          </cell>
          <cell r="D870">
            <v>0</v>
          </cell>
          <cell r="E870" t="e">
            <v>#VALUE!</v>
          </cell>
          <cell r="F870">
            <v>-390.25137454516266</v>
          </cell>
        </row>
        <row r="871">
          <cell r="A871" t="str">
            <v xml:space="preserve">SELJETX 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</row>
        <row r="872">
          <cell r="A872" t="str">
            <v>SELNAC!A</v>
          </cell>
          <cell r="B872">
            <v>2.0547940749209262E-8</v>
          </cell>
          <cell r="C872">
            <v>-21.033100128173828</v>
          </cell>
          <cell r="D872">
            <v>0</v>
          </cell>
          <cell r="E872" t="e">
            <v>#VALUE!</v>
          </cell>
          <cell r="F872">
            <v>-7.8136988545525563E-4</v>
          </cell>
        </row>
        <row r="873">
          <cell r="A873" t="str">
            <v>SELNAC!B</v>
          </cell>
          <cell r="B873">
            <v>6.8493118975585615E-9</v>
          </cell>
          <cell r="C873">
            <v>-17.493000030517578</v>
          </cell>
          <cell r="D873">
            <v>0</v>
          </cell>
          <cell r="E873" t="e">
            <v>#VALUE!</v>
          </cell>
          <cell r="F873">
            <v>-2.3603468235224891</v>
          </cell>
        </row>
        <row r="874">
          <cell r="A874" t="str">
            <v xml:space="preserve">SELNAC! </v>
          </cell>
          <cell r="B874">
            <v>2.7397252646767824E-8</v>
          </cell>
          <cell r="C874">
            <v>0</v>
          </cell>
          <cell r="D874">
            <v>2.7397252646767824E-8</v>
          </cell>
          <cell r="E874">
            <v>2.7397252646767824E-8</v>
          </cell>
          <cell r="F874">
            <v>-366.45257819188782</v>
          </cell>
        </row>
        <row r="875">
          <cell r="A875" t="str">
            <v>SELNAS!A</v>
          </cell>
          <cell r="B875">
            <v>1.3698620295937485E-8</v>
          </cell>
          <cell r="C875">
            <v>-21.033100128173828</v>
          </cell>
          <cell r="D875">
            <v>0</v>
          </cell>
          <cell r="E875" t="e">
            <v>#VALUE!</v>
          </cell>
          <cell r="F875">
            <v>-1.9202745045701117</v>
          </cell>
        </row>
        <row r="876">
          <cell r="A876" t="str">
            <v>SELNAS!B</v>
          </cell>
          <cell r="B876">
            <v>1.3698632350830337E-8</v>
          </cell>
          <cell r="C876">
            <v>-17.493000030517578</v>
          </cell>
          <cell r="D876">
            <v>0</v>
          </cell>
          <cell r="E876" t="e">
            <v>#VALUE!</v>
          </cell>
          <cell r="F876">
            <v>-1.0981066591119113</v>
          </cell>
        </row>
        <row r="877">
          <cell r="A877" t="str">
            <v xml:space="preserve">SELNAS! </v>
          </cell>
          <cell r="B877">
            <v>2.7397252646767824E-8</v>
          </cell>
          <cell r="C877">
            <v>0</v>
          </cell>
          <cell r="D877">
            <v>2.7397252646767824E-8</v>
          </cell>
          <cell r="E877">
            <v>2.7397252646767824E-8</v>
          </cell>
          <cell r="F877">
            <v>-398.78257538259845</v>
          </cell>
        </row>
        <row r="878">
          <cell r="A878" t="str">
            <v>SELNEC!A</v>
          </cell>
          <cell r="B878">
            <v>6.8493118975585615E-9</v>
          </cell>
          <cell r="C878">
            <v>-21.033100128173828</v>
          </cell>
          <cell r="D878">
            <v>0</v>
          </cell>
          <cell r="E878" t="e">
            <v>#VALUE!</v>
          </cell>
          <cell r="F878">
            <v>-2.6205049684602919</v>
          </cell>
        </row>
        <row r="879">
          <cell r="A879" t="str">
            <v>SELNEC!B</v>
          </cell>
          <cell r="B879">
            <v>2.0547940749209262E-8</v>
          </cell>
          <cell r="C879">
            <v>-17.493000030517578</v>
          </cell>
          <cell r="D879">
            <v>0</v>
          </cell>
          <cell r="E879" t="e">
            <v>#VALUE!</v>
          </cell>
          <cell r="F879">
            <v>-2.0049063329827295</v>
          </cell>
        </row>
        <row r="880">
          <cell r="A880" t="str">
            <v xml:space="preserve">SELNEC! </v>
          </cell>
          <cell r="B880">
            <v>2.7397252646767824E-8</v>
          </cell>
          <cell r="C880">
            <v>0</v>
          </cell>
          <cell r="D880">
            <v>2.7397252646767824E-8</v>
          </cell>
          <cell r="E880">
            <v>2.7397252646767824E-8</v>
          </cell>
          <cell r="F880">
            <v>-408.35697364284567</v>
          </cell>
        </row>
        <row r="881">
          <cell r="A881" t="str">
            <v>SELGON!A</v>
          </cell>
          <cell r="B881">
            <v>2.7397252646767824E-8</v>
          </cell>
          <cell r="C881">
            <v>-21.033100128173828</v>
          </cell>
          <cell r="D881">
            <v>0</v>
          </cell>
          <cell r="E881" t="e">
            <v>#VALUE!</v>
          </cell>
          <cell r="F881">
            <v>0</v>
          </cell>
        </row>
        <row r="882">
          <cell r="A882" t="str">
            <v>SELGON!B</v>
          </cell>
          <cell r="B882">
            <v>0</v>
          </cell>
          <cell r="C882">
            <v>-17.493000030517578</v>
          </cell>
          <cell r="D882">
            <v>0</v>
          </cell>
          <cell r="E882" t="e">
            <v>#VALUE!</v>
          </cell>
          <cell r="F882">
            <v>-2.1127699185723841</v>
          </cell>
        </row>
        <row r="883">
          <cell r="A883" t="str">
            <v xml:space="preserve">SELGON! </v>
          </cell>
          <cell r="B883">
            <v>2.7397252646767824E-8</v>
          </cell>
          <cell r="C883">
            <v>0</v>
          </cell>
          <cell r="D883">
            <v>2.7397252646767824E-8</v>
          </cell>
          <cell r="E883">
            <v>2.7397252646767824E-8</v>
          </cell>
          <cell r="F883">
            <v>-387.49730023945847</v>
          </cell>
        </row>
        <row r="884">
          <cell r="A884" t="str">
            <v>SELGIO!A</v>
          </cell>
          <cell r="B884">
            <v>0</v>
          </cell>
          <cell r="C884">
            <v>-21.033100128173828</v>
          </cell>
          <cell r="D884">
            <v>0</v>
          </cell>
          <cell r="E884" t="e">
            <v>#VALUE!</v>
          </cell>
          <cell r="F884">
            <v>-21.033100128173828</v>
          </cell>
        </row>
        <row r="885">
          <cell r="A885" t="str">
            <v>SELGIO!B</v>
          </cell>
          <cell r="B885">
            <v>0</v>
          </cell>
          <cell r="C885">
            <v>-17.493000030517578</v>
          </cell>
          <cell r="D885">
            <v>0</v>
          </cell>
          <cell r="E885" t="e">
            <v>#VALUE!</v>
          </cell>
          <cell r="F885">
            <v>-17.493000030517578</v>
          </cell>
        </row>
        <row r="886">
          <cell r="A886" t="str">
            <v xml:space="preserve">SELGIO! </v>
          </cell>
          <cell r="B886">
            <v>2.7397300428333438E-8</v>
          </cell>
          <cell r="C886">
            <v>0</v>
          </cell>
          <cell r="D886">
            <v>2.7397300428333438E-8</v>
          </cell>
          <cell r="E886">
            <v>2.7397300428333438E-8</v>
          </cell>
          <cell r="F886">
            <v>0</v>
          </cell>
        </row>
        <row r="887">
          <cell r="A887" t="str">
            <v>SELKER!A</v>
          </cell>
          <cell r="B887">
            <v>6.7553138973075312E-9</v>
          </cell>
          <cell r="C887">
            <v>-21.033100128173828</v>
          </cell>
          <cell r="D887">
            <v>0</v>
          </cell>
          <cell r="E887" t="e">
            <v>#VALUE!</v>
          </cell>
          <cell r="F887">
            <v>-279.15025643126603</v>
          </cell>
        </row>
        <row r="888">
          <cell r="A888" t="str">
            <v>SELKER!B</v>
          </cell>
          <cell r="B888">
            <v>2.0641986539286637E-8</v>
          </cell>
          <cell r="C888">
            <v>-17.493000030517578</v>
          </cell>
          <cell r="D888">
            <v>0</v>
          </cell>
          <cell r="E888" t="e">
            <v>#VALUE!</v>
          </cell>
          <cell r="F888">
            <v>0</v>
          </cell>
        </row>
        <row r="889">
          <cell r="A889" t="str">
            <v xml:space="preserve">SELKER! </v>
          </cell>
          <cell r="B889">
            <v>2.7397300428333438E-8</v>
          </cell>
          <cell r="C889">
            <v>0</v>
          </cell>
          <cell r="D889">
            <v>2.7397300428333438E-8</v>
          </cell>
          <cell r="E889">
            <v>2.7397300428333438E-8</v>
          </cell>
          <cell r="F889">
            <v>-107.97437709651581</v>
          </cell>
        </row>
        <row r="890">
          <cell r="A890" t="str">
            <v>SELJET!A</v>
          </cell>
          <cell r="B890">
            <v>2.7397252646767824E-8</v>
          </cell>
          <cell r="C890">
            <v>-21.033100128173828</v>
          </cell>
          <cell r="D890">
            <v>0</v>
          </cell>
          <cell r="E890" t="e">
            <v>#VALUE!</v>
          </cell>
          <cell r="F890">
            <v>0</v>
          </cell>
        </row>
        <row r="891">
          <cell r="A891" t="str">
            <v>SELJET!B</v>
          </cell>
          <cell r="B891">
            <v>0</v>
          </cell>
          <cell r="C891">
            <v>-17.493000030517578</v>
          </cell>
          <cell r="D891">
            <v>0</v>
          </cell>
          <cell r="E891" t="e">
            <v>#VALUE!</v>
          </cell>
          <cell r="F891">
            <v>-2.6362032576885124</v>
          </cell>
        </row>
        <row r="892">
          <cell r="A892" t="str">
            <v xml:space="preserve">SELJET! </v>
          </cell>
          <cell r="B892">
            <v>2.7397252646767824E-8</v>
          </cell>
          <cell r="C892">
            <v>0</v>
          </cell>
          <cell r="D892">
            <v>2.7397252646767824E-8</v>
          </cell>
          <cell r="E892">
            <v>2.7397252646767824E-8</v>
          </cell>
          <cell r="F892">
            <v>-387.61516782159674</v>
          </cell>
        </row>
        <row r="893">
          <cell r="A893" t="str">
            <v>SELNAC"A</v>
          </cell>
          <cell r="B893">
            <v>3.9452103382512316E-2</v>
          </cell>
          <cell r="C893">
            <v>-5.7009998708963394E-2</v>
          </cell>
          <cell r="D893">
            <v>3.9452103382512316E-2</v>
          </cell>
          <cell r="E893">
            <v>3.9452103382512316E-2</v>
          </cell>
          <cell r="F893">
            <v>-345.47727318332619</v>
          </cell>
        </row>
        <row r="894">
          <cell r="A894" t="str">
            <v>SELNAS"A</v>
          </cell>
          <cell r="B894">
            <v>8.2191833833309066E-2</v>
          </cell>
          <cell r="C894">
            <v>-5.7009998708963394E-2</v>
          </cell>
          <cell r="D894">
            <v>8.2191833833309066E-2</v>
          </cell>
          <cell r="E894">
            <v>8.2191833833309066E-2</v>
          </cell>
          <cell r="F894">
            <v>-379.72676266186858</v>
          </cell>
        </row>
        <row r="895">
          <cell r="A895" t="str">
            <v>SELGOI"A</v>
          </cell>
          <cell r="B895">
            <v>9.860276522701733E-2</v>
          </cell>
          <cell r="C895">
            <v>-5.7009998708963394E-2</v>
          </cell>
          <cell r="D895">
            <v>0</v>
          </cell>
          <cell r="E895" t="e">
            <v>#VALUE!</v>
          </cell>
          <cell r="F895">
            <v>-7.5342463850113882E-6</v>
          </cell>
        </row>
        <row r="896">
          <cell r="A896" t="str">
            <v>SELGOI"G</v>
          </cell>
          <cell r="B896">
            <v>0.77262972495327253</v>
          </cell>
          <cell r="C896">
            <v>-5.7000000029802322E-2</v>
          </cell>
          <cell r="D896">
            <v>0</v>
          </cell>
          <cell r="E896" t="e">
            <v>#VALUE!</v>
          </cell>
          <cell r="F896">
            <v>0</v>
          </cell>
        </row>
        <row r="897">
          <cell r="A897" t="str">
            <v xml:space="preserve">SELGOI" </v>
          </cell>
          <cell r="B897">
            <v>0.87123249752880771</v>
          </cell>
          <cell r="C897">
            <v>249.0679931640625</v>
          </cell>
          <cell r="D897">
            <v>0.87123249752880771</v>
          </cell>
          <cell r="E897">
            <v>0.87123249752880771</v>
          </cell>
          <cell r="F897">
            <v>-117.45321189148785</v>
          </cell>
        </row>
        <row r="898">
          <cell r="A898" t="str">
            <v>SELGIO"A</v>
          </cell>
          <cell r="B898">
            <v>2.7397300428333438E-8</v>
          </cell>
          <cell r="C898">
            <v>-5.7009998708963394E-2</v>
          </cell>
          <cell r="D898">
            <v>2.7397300428333438E-8</v>
          </cell>
          <cell r="E898">
            <v>2.7397300428333438E-8</v>
          </cell>
          <cell r="F898">
            <v>-5.7009998708963394E-2</v>
          </cell>
        </row>
        <row r="899">
          <cell r="A899" t="str">
            <v>SELJET"A</v>
          </cell>
          <cell r="B899">
            <v>5.4794530094397161E-8</v>
          </cell>
          <cell r="C899">
            <v>-5.7009998708963394E-2</v>
          </cell>
          <cell r="D899">
            <v>5.4794530094397161E-8</v>
          </cell>
          <cell r="E899">
            <v>5.4794530094397161E-8</v>
          </cell>
          <cell r="F899">
            <v>-366.63908607796446</v>
          </cell>
        </row>
        <row r="900">
          <cell r="A900" t="str">
            <v>SELFOC"A</v>
          </cell>
          <cell r="B900">
            <v>2.7397252646767824E-8</v>
          </cell>
          <cell r="C900">
            <v>-5.7009998708963394E-2</v>
          </cell>
          <cell r="D900">
            <v>2.7397252646767824E-8</v>
          </cell>
          <cell r="E900">
            <v>2.7397252646767824E-8</v>
          </cell>
          <cell r="F900">
            <v>-221.90324681948309</v>
          </cell>
        </row>
        <row r="901">
          <cell r="A901" t="str">
            <v>SELNAC&amp;A</v>
          </cell>
          <cell r="B901">
            <v>5.5890439113933744E-2</v>
          </cell>
          <cell r="C901">
            <v>-9.2009998857975006E-2</v>
          </cell>
          <cell r="D901">
            <v>0</v>
          </cell>
          <cell r="E901" t="e">
            <v>#VALUE!</v>
          </cell>
          <cell r="F901">
            <v>0</v>
          </cell>
        </row>
        <row r="902">
          <cell r="A902" t="str">
            <v>SELNAC&amp;B</v>
          </cell>
          <cell r="B902">
            <v>0</v>
          </cell>
          <cell r="C902">
            <v>-0.40301001071929932</v>
          </cell>
          <cell r="D902">
            <v>0</v>
          </cell>
          <cell r="E902" t="e">
            <v>#VALUE!</v>
          </cell>
          <cell r="F902">
            <v>-6.2106654402327868</v>
          </cell>
        </row>
        <row r="903">
          <cell r="A903" t="str">
            <v xml:space="preserve">SELNAC&amp; </v>
          </cell>
          <cell r="B903">
            <v>5.5890439113933744E-2</v>
          </cell>
          <cell r="C903">
            <v>119.96499633789063</v>
          </cell>
          <cell r="D903">
            <v>5.5890439113933744E-2</v>
          </cell>
          <cell r="E903">
            <v>5.5890439113933744E-2</v>
          </cell>
          <cell r="F903">
            <v>-225.54726909480684</v>
          </cell>
        </row>
        <row r="904">
          <cell r="A904" t="str">
            <v>SELNAS&amp;A</v>
          </cell>
          <cell r="B904">
            <v>0.19726013606541778</v>
          </cell>
          <cell r="C904">
            <v>-9.2009998857975006E-2</v>
          </cell>
          <cell r="D904">
            <v>0</v>
          </cell>
          <cell r="E904" t="e">
            <v>#VALUE!</v>
          </cell>
          <cell r="F904">
            <v>0</v>
          </cell>
        </row>
        <row r="905">
          <cell r="A905" t="str">
            <v>SELNAS&amp;B</v>
          </cell>
          <cell r="B905">
            <v>0</v>
          </cell>
          <cell r="C905">
            <v>-0.40301001071929932</v>
          </cell>
          <cell r="D905">
            <v>0</v>
          </cell>
          <cell r="E905" t="e">
            <v>#VALUE!</v>
          </cell>
          <cell r="F905">
            <v>-3.0289321677325525</v>
          </cell>
        </row>
        <row r="906">
          <cell r="A906" t="str">
            <v xml:space="preserve">SELNAS&amp; </v>
          </cell>
          <cell r="B906">
            <v>0.19726013606541778</v>
          </cell>
          <cell r="C906">
            <v>0</v>
          </cell>
          <cell r="D906">
            <v>0.19726013606541778</v>
          </cell>
          <cell r="E906">
            <v>0.19726013606541778</v>
          </cell>
          <cell r="F906">
            <v>-379.7617511906036</v>
          </cell>
        </row>
        <row r="907">
          <cell r="A907" t="str">
            <v>SELNEC&amp;A</v>
          </cell>
          <cell r="B907">
            <v>1.9726057289397879E-2</v>
          </cell>
          <cell r="C907">
            <v>-9.2009998857975006E-2</v>
          </cell>
          <cell r="D907">
            <v>0</v>
          </cell>
          <cell r="E907" t="e">
            <v>#VALUE!</v>
          </cell>
          <cell r="F907">
            <v>0</v>
          </cell>
        </row>
        <row r="908">
          <cell r="A908" t="str">
            <v>SELNEC&amp;B</v>
          </cell>
          <cell r="B908">
            <v>6.5753606492525906E-3</v>
          </cell>
          <cell r="C908">
            <v>-0.40301001071929932</v>
          </cell>
          <cell r="D908">
            <v>0</v>
          </cell>
          <cell r="E908" t="e">
            <v>#VALUE!</v>
          </cell>
          <cell r="F908">
            <v>-3.2355011828958173</v>
          </cell>
        </row>
        <row r="909">
          <cell r="A909" t="str">
            <v xml:space="preserve">SELNEC&amp; </v>
          </cell>
          <cell r="B909">
            <v>2.630141793865047E-2</v>
          </cell>
          <cell r="C909">
            <v>0</v>
          </cell>
          <cell r="D909">
            <v>2.630141793865047E-2</v>
          </cell>
          <cell r="E909">
            <v>2.630141793865047E-2</v>
          </cell>
          <cell r="F909">
            <v>-390.0363937586954</v>
          </cell>
        </row>
        <row r="910">
          <cell r="A910" t="str">
            <v>SELGON&amp;A</v>
          </cell>
          <cell r="B910">
            <v>2.7397252646767824E-8</v>
          </cell>
          <cell r="C910">
            <v>-9.2009998857975006E-2</v>
          </cell>
          <cell r="D910">
            <v>0</v>
          </cell>
          <cell r="E910" t="e">
            <v>#VALUE!</v>
          </cell>
          <cell r="F910">
            <v>0</v>
          </cell>
        </row>
        <row r="911">
          <cell r="A911" t="str">
            <v>SELGON&amp;B</v>
          </cell>
          <cell r="B911">
            <v>0</v>
          </cell>
          <cell r="C911">
            <v>-0.40301001071929932</v>
          </cell>
          <cell r="D911">
            <v>0</v>
          </cell>
          <cell r="E911" t="e">
            <v>#VALUE!</v>
          </cell>
          <cell r="F911">
            <v>-5.9638698865289559</v>
          </cell>
        </row>
        <row r="912">
          <cell r="A912" t="str">
            <v xml:space="preserve">SELGON&amp; </v>
          </cell>
          <cell r="B912">
            <v>2.7397252646767824E-8</v>
          </cell>
          <cell r="C912">
            <v>0</v>
          </cell>
          <cell r="D912">
            <v>2.7397252646767824E-8</v>
          </cell>
          <cell r="E912">
            <v>2.7397252646767824E-8</v>
          </cell>
          <cell r="F912">
            <v>-366.55622215793557</v>
          </cell>
        </row>
        <row r="913">
          <cell r="A913" t="str">
            <v>SELGIO&amp;A</v>
          </cell>
          <cell r="B913">
            <v>0</v>
          </cell>
          <cell r="C913">
            <v>-9.2009998857975006E-2</v>
          </cell>
          <cell r="D913">
            <v>0</v>
          </cell>
          <cell r="E913" t="e">
            <v>#VALUE!</v>
          </cell>
          <cell r="F913">
            <v>-9.2009998857975006E-2</v>
          </cell>
        </row>
        <row r="914">
          <cell r="A914" t="str">
            <v>SELGIO&amp;B</v>
          </cell>
          <cell r="B914">
            <v>0</v>
          </cell>
          <cell r="C914">
            <v>-0.40301001071929932</v>
          </cell>
          <cell r="D914">
            <v>0</v>
          </cell>
          <cell r="E914" t="e">
            <v>#VALUE!</v>
          </cell>
          <cell r="F914">
            <v>-0.40301001071929932</v>
          </cell>
        </row>
        <row r="915">
          <cell r="A915" t="str">
            <v xml:space="preserve">SELGIO&amp; </v>
          </cell>
          <cell r="B915">
            <v>2.7397300428333438E-8</v>
          </cell>
          <cell r="C915">
            <v>0</v>
          </cell>
          <cell r="D915">
            <v>2.7397300428333438E-8</v>
          </cell>
          <cell r="E915">
            <v>2.7397300428333438E-8</v>
          </cell>
          <cell r="F915">
            <v>0</v>
          </cell>
        </row>
        <row r="916">
          <cell r="A916" t="str">
            <v>SELKER&amp;A</v>
          </cell>
          <cell r="B916">
            <v>0</v>
          </cell>
          <cell r="C916">
            <v>-9.2009998857975006E-2</v>
          </cell>
          <cell r="D916">
            <v>0</v>
          </cell>
          <cell r="E916" t="e">
            <v>#VALUE!</v>
          </cell>
          <cell r="F916">
            <v>-366.18354860070633</v>
          </cell>
        </row>
        <row r="917">
          <cell r="A917" t="str">
            <v>SELKER&amp;B</v>
          </cell>
          <cell r="B917">
            <v>0</v>
          </cell>
          <cell r="C917">
            <v>-0.40301001071929932</v>
          </cell>
          <cell r="D917">
            <v>0</v>
          </cell>
          <cell r="E917" t="e">
            <v>#VALUE!</v>
          </cell>
          <cell r="F917">
            <v>-90.884393043714027</v>
          </cell>
        </row>
        <row r="918">
          <cell r="A918" t="str">
            <v xml:space="preserve">SELKER&amp; 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</row>
        <row r="919">
          <cell r="A919" t="str">
            <v>SELJET&amp;A</v>
          </cell>
          <cell r="B919">
            <v>2.7397252646767824E-8</v>
          </cell>
          <cell r="C919">
            <v>-9.2009998857975006E-2</v>
          </cell>
          <cell r="D919">
            <v>0</v>
          </cell>
          <cell r="E919" t="e">
            <v>#VALUE!</v>
          </cell>
          <cell r="F919">
            <v>0</v>
          </cell>
        </row>
        <row r="920">
          <cell r="A920" t="str">
            <v>SELJET&amp;B</v>
          </cell>
          <cell r="B920">
            <v>0</v>
          </cell>
          <cell r="C920">
            <v>-0.40301001071929932</v>
          </cell>
          <cell r="D920">
            <v>0</v>
          </cell>
          <cell r="E920" t="e">
            <v>#VALUE!</v>
          </cell>
          <cell r="F920">
            <v>-6.4873032191028335</v>
          </cell>
        </row>
        <row r="921">
          <cell r="A921" t="str">
            <v xml:space="preserve">SELJET&amp; </v>
          </cell>
          <cell r="B921">
            <v>2.7397252646767824E-8</v>
          </cell>
          <cell r="C921">
            <v>0</v>
          </cell>
          <cell r="D921">
            <v>2.7397252646767824E-8</v>
          </cell>
          <cell r="E921">
            <v>2.7397252646767824E-8</v>
          </cell>
          <cell r="F921">
            <v>-366.67408204797198</v>
          </cell>
        </row>
        <row r="922">
          <cell r="A922" t="str">
            <v>SELNAC$A</v>
          </cell>
          <cell r="B922">
            <v>2.7397252646767824E-8</v>
          </cell>
          <cell r="C922">
            <v>-3.1155899632722139E-3</v>
          </cell>
          <cell r="D922">
            <v>2.7397252646767824E-8</v>
          </cell>
          <cell r="E922">
            <v>2.7397252646767824E-8</v>
          </cell>
          <cell r="F922">
            <v>-345.42337914035744</v>
          </cell>
        </row>
        <row r="923">
          <cell r="A923" t="str">
            <v>SELNAS$A</v>
          </cell>
          <cell r="B923">
            <v>2.7397252646767824E-8</v>
          </cell>
          <cell r="C923">
            <v>-3.1155899632722139E-3</v>
          </cell>
          <cell r="D923">
            <v>2.7397252646767824E-8</v>
          </cell>
          <cell r="E923">
            <v>2.7397252646767824E-8</v>
          </cell>
          <cell r="F923">
            <v>-379.67286861889983</v>
          </cell>
        </row>
        <row r="924">
          <cell r="A924" t="str">
            <v>SELNEC$A</v>
          </cell>
          <cell r="B924">
            <v>2.7397252646767824E-8</v>
          </cell>
          <cell r="C924">
            <v>-3.1155899632722139E-3</v>
          </cell>
          <cell r="D924">
            <v>2.7397252646767824E-8</v>
          </cell>
          <cell r="E924">
            <v>2.7397252646767824E-8</v>
          </cell>
          <cell r="F924">
            <v>-389.94750374571919</v>
          </cell>
        </row>
        <row r="925">
          <cell r="A925" t="str">
            <v>SELGOI$A</v>
          </cell>
          <cell r="B925">
            <v>0.26301377832073053</v>
          </cell>
          <cell r="C925">
            <v>-3.1155899632722139E-3</v>
          </cell>
          <cell r="D925">
            <v>0.26301377832073053</v>
          </cell>
          <cell r="E925">
            <v>0.26301377832073053</v>
          </cell>
          <cell r="F925">
            <v>-366.46732445285744</v>
          </cell>
        </row>
        <row r="926">
          <cell r="A926" t="str">
            <v>SELGIO$A</v>
          </cell>
          <cell r="B926">
            <v>2.7397300428333438E-8</v>
          </cell>
          <cell r="C926">
            <v>-3.1155899632722139E-3</v>
          </cell>
          <cell r="D926">
            <v>2.7397300428333438E-8</v>
          </cell>
          <cell r="E926">
            <v>2.7397300428333438E-8</v>
          </cell>
          <cell r="F926">
            <v>-3.1155899632722139E-3</v>
          </cell>
        </row>
        <row r="927">
          <cell r="A927" t="str">
            <v>SELFOC$A</v>
          </cell>
          <cell r="B927">
            <v>2.7397252646767824E-8</v>
          </cell>
          <cell r="C927">
            <v>-3.1155899632722139E-3</v>
          </cell>
          <cell r="D927">
            <v>2.7397252646767824E-8</v>
          </cell>
          <cell r="E927">
            <v>2.7397252646767824E-8</v>
          </cell>
          <cell r="F927">
            <v>-221.84934893046341</v>
          </cell>
        </row>
        <row r="928">
          <cell r="A928" t="str">
            <v>SELKER$A</v>
          </cell>
          <cell r="B928">
            <v>2.7397300428333438E-8</v>
          </cell>
          <cell r="C928">
            <v>-3.1155899632722139E-3</v>
          </cell>
          <cell r="D928">
            <v>2.7397300428333438E-8</v>
          </cell>
          <cell r="E928">
            <v>2.7397300428333438E-8</v>
          </cell>
          <cell r="F928">
            <v>-366.09465089562821</v>
          </cell>
        </row>
        <row r="929">
          <cell r="A929" t="str">
            <v>SELJET$A</v>
          </cell>
          <cell r="B929">
            <v>2.7397252646767824E-8</v>
          </cell>
          <cell r="C929">
            <v>-3.1155899632722139E-3</v>
          </cell>
          <cell r="D929">
            <v>2.7397252646767824E-8</v>
          </cell>
          <cell r="E929">
            <v>2.7397252646767824E-8</v>
          </cell>
          <cell r="F929">
            <v>-366.58519203499571</v>
          </cell>
        </row>
        <row r="930">
          <cell r="A930" t="str">
            <v>SELA87$A</v>
          </cell>
          <cell r="B930">
            <v>0</v>
          </cell>
          <cell r="C930">
            <v>-3.1155899632722139E-3</v>
          </cell>
          <cell r="D930">
            <v>0</v>
          </cell>
          <cell r="E930">
            <v>0</v>
          </cell>
          <cell r="F930">
            <v>-3.1155899632722139E-3</v>
          </cell>
        </row>
        <row r="931">
          <cell r="A931" t="str">
            <v>SELNAC%A</v>
          </cell>
          <cell r="B931">
            <v>0</v>
          </cell>
          <cell r="C931">
            <v>-8.9100103378295898</v>
          </cell>
          <cell r="D931">
            <v>0</v>
          </cell>
          <cell r="E931">
            <v>0</v>
          </cell>
          <cell r="F931">
            <v>-1.5973345573634317</v>
          </cell>
        </row>
        <row r="932">
          <cell r="A932" t="str">
            <v>SELNAC%B</v>
          </cell>
          <cell r="B932">
            <v>1.3150708834092095E-2</v>
          </cell>
          <cell r="C932">
            <v>-1.4130100011825562</v>
          </cell>
          <cell r="D932">
            <v>0</v>
          </cell>
          <cell r="E932" t="e">
            <v>#VALUE!</v>
          </cell>
          <cell r="F932">
            <v>0</v>
          </cell>
        </row>
        <row r="933">
          <cell r="A933" t="str">
            <v xml:space="preserve">SELNAC% </v>
          </cell>
          <cell r="B933">
            <v>1.3150708834092095E-2</v>
          </cell>
          <cell r="C933">
            <v>392.40701293945313</v>
          </cell>
          <cell r="D933">
            <v>1.3150708834092095E-2</v>
          </cell>
          <cell r="E933">
            <v>1.3150708834092095E-2</v>
          </cell>
          <cell r="F933">
            <v>39.674062535534169</v>
          </cell>
        </row>
        <row r="934">
          <cell r="A934" t="str">
            <v>SELNAS%A</v>
          </cell>
          <cell r="B934">
            <v>0</v>
          </cell>
          <cell r="C934">
            <v>-8.9100103378295898</v>
          </cell>
          <cell r="D934">
            <v>0</v>
          </cell>
          <cell r="E934">
            <v>0</v>
          </cell>
          <cell r="F934">
            <v>-4.7790678605641403</v>
          </cell>
        </row>
        <row r="935">
          <cell r="A935" t="str">
            <v>SELNAS%B</v>
          </cell>
          <cell r="B935">
            <v>5.2602762902436193E-2</v>
          </cell>
          <cell r="C935">
            <v>-1.4130100011825562</v>
          </cell>
          <cell r="D935">
            <v>0</v>
          </cell>
          <cell r="E935" t="e">
            <v>#VALUE!</v>
          </cell>
          <cell r="F935">
            <v>0</v>
          </cell>
        </row>
        <row r="936">
          <cell r="A936" t="str">
            <v xml:space="preserve">SELNAS% </v>
          </cell>
          <cell r="B936">
            <v>5.2602762902436193E-2</v>
          </cell>
          <cell r="C936">
            <v>413.5419921875</v>
          </cell>
          <cell r="D936">
            <v>5.2602762902436193E-2</v>
          </cell>
          <cell r="E936">
            <v>5.2602762902436193E-2</v>
          </cell>
          <cell r="F936">
            <v>29.741311530544333</v>
          </cell>
        </row>
        <row r="937">
          <cell r="A937" t="str">
            <v>SELNEC%A</v>
          </cell>
          <cell r="B937">
            <v>0</v>
          </cell>
          <cell r="C937">
            <v>-8.9100103378295898</v>
          </cell>
          <cell r="D937">
            <v>0</v>
          </cell>
          <cell r="E937">
            <v>0</v>
          </cell>
          <cell r="F937">
            <v>-4.5724986964709142</v>
          </cell>
        </row>
        <row r="938">
          <cell r="A938" t="str">
            <v>SELNEC%B</v>
          </cell>
          <cell r="B938">
            <v>2.7397252646767824E-8</v>
          </cell>
          <cell r="C938">
            <v>-1.4130100011825562</v>
          </cell>
          <cell r="D938">
            <v>0</v>
          </cell>
          <cell r="E938" t="e">
            <v>#VALUE!</v>
          </cell>
          <cell r="F938">
            <v>0</v>
          </cell>
        </row>
        <row r="939">
          <cell r="A939" t="str">
            <v xml:space="preserve">SELNEC% </v>
          </cell>
          <cell r="B939">
            <v>2.7397252646767824E-8</v>
          </cell>
          <cell r="C939">
            <v>0</v>
          </cell>
          <cell r="D939">
            <v>2.7397252646767824E-8</v>
          </cell>
          <cell r="E939">
            <v>2.7397252646767824E-8</v>
          </cell>
          <cell r="F939">
            <v>-394.28189496602096</v>
          </cell>
        </row>
        <row r="940">
          <cell r="A940" t="str">
            <v>SELGON%A</v>
          </cell>
          <cell r="B940">
            <v>0</v>
          </cell>
          <cell r="C940">
            <v>-8.9100103378295898</v>
          </cell>
          <cell r="D940">
            <v>0</v>
          </cell>
          <cell r="E940">
            <v>0</v>
          </cell>
          <cell r="F940">
            <v>-1.8441300286005622</v>
          </cell>
        </row>
        <row r="941">
          <cell r="A941" t="str">
            <v>SELGON%B</v>
          </cell>
          <cell r="B941">
            <v>0.18082200443907959</v>
          </cell>
          <cell r="C941">
            <v>-1.4130100011825562</v>
          </cell>
          <cell r="D941">
            <v>0</v>
          </cell>
          <cell r="E941" t="e">
            <v>#VALUE!</v>
          </cell>
          <cell r="F941">
            <v>0</v>
          </cell>
        </row>
        <row r="942">
          <cell r="A942" t="str">
            <v xml:space="preserve">SELGON% </v>
          </cell>
          <cell r="B942">
            <v>0.18082200443907959</v>
          </cell>
          <cell r="C942">
            <v>288.39999389648438</v>
          </cell>
          <cell r="D942">
            <v>0.18082200443907959</v>
          </cell>
          <cell r="E942">
            <v>0.18082200443907959</v>
          </cell>
          <cell r="F942">
            <v>-85.130086412821726</v>
          </cell>
        </row>
        <row r="943">
          <cell r="A943" t="str">
            <v>SELGIO%A</v>
          </cell>
          <cell r="B943">
            <v>0</v>
          </cell>
          <cell r="C943">
            <v>-8.9100103378295898</v>
          </cell>
          <cell r="D943">
            <v>0</v>
          </cell>
          <cell r="E943">
            <v>0</v>
          </cell>
          <cell r="F943">
            <v>-7.4970002174377441</v>
          </cell>
        </row>
        <row r="944">
          <cell r="A944" t="str">
            <v>SELGIO%B</v>
          </cell>
          <cell r="B944">
            <v>2.7397300428333438E-8</v>
          </cell>
          <cell r="C944">
            <v>-1.4130100011825562</v>
          </cell>
          <cell r="D944">
            <v>0</v>
          </cell>
          <cell r="E944" t="e">
            <v>#VALUE!</v>
          </cell>
          <cell r="F944">
            <v>0</v>
          </cell>
        </row>
        <row r="945">
          <cell r="A945" t="str">
            <v xml:space="preserve">SELGIO% </v>
          </cell>
          <cell r="B945">
            <v>2.7397300428333438E-8</v>
          </cell>
          <cell r="C945">
            <v>0</v>
          </cell>
          <cell r="D945">
            <v>2.7397300428333438E-8</v>
          </cell>
          <cell r="E945">
            <v>2.7397300428333438E-8</v>
          </cell>
          <cell r="F945">
            <v>-1.4130100011825562</v>
          </cell>
        </row>
        <row r="946">
          <cell r="A946" t="str">
            <v>SELKER%A</v>
          </cell>
          <cell r="B946">
            <v>0</v>
          </cell>
          <cell r="C946">
            <v>-8.9100103378295898</v>
          </cell>
          <cell r="D946">
            <v>0</v>
          </cell>
          <cell r="E946">
            <v>0</v>
          </cell>
          <cell r="F946">
            <v>-375.00154945687069</v>
          </cell>
        </row>
        <row r="947">
          <cell r="A947" t="str">
            <v>SELKER%B</v>
          </cell>
          <cell r="B947">
            <v>0</v>
          </cell>
          <cell r="C947">
            <v>-1.4130100011825562</v>
          </cell>
          <cell r="D947">
            <v>0</v>
          </cell>
          <cell r="E947" t="e">
            <v>#VALUE!</v>
          </cell>
          <cell r="F947">
            <v>-91.89438791960886</v>
          </cell>
        </row>
        <row r="948">
          <cell r="A948" t="str">
            <v xml:space="preserve">SELKER% 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</row>
        <row r="949">
          <cell r="A949" t="str">
            <v>SELJET%A</v>
          </cell>
          <cell r="B949">
            <v>0</v>
          </cell>
          <cell r="C949">
            <v>-8.9100103378295898</v>
          </cell>
          <cell r="D949">
            <v>0</v>
          </cell>
          <cell r="E949">
            <v>0</v>
          </cell>
          <cell r="F949">
            <v>-1.3206967040284039</v>
          </cell>
        </row>
        <row r="950">
          <cell r="A950" t="str">
            <v>SELJET%B</v>
          </cell>
          <cell r="B950">
            <v>2.7397252646767824E-8</v>
          </cell>
          <cell r="C950">
            <v>-1.4130100011825562</v>
          </cell>
          <cell r="D950">
            <v>0</v>
          </cell>
          <cell r="E950" t="e">
            <v>#VALUE!</v>
          </cell>
          <cell r="F950">
            <v>0</v>
          </cell>
        </row>
        <row r="951">
          <cell r="A951" t="str">
            <v xml:space="preserve">SELJET% </v>
          </cell>
          <cell r="B951">
            <v>2.7397252646767824E-8</v>
          </cell>
          <cell r="C951">
            <v>0</v>
          </cell>
          <cell r="D951">
            <v>2.7397252646767824E-8</v>
          </cell>
          <cell r="E951">
            <v>2.7397252646767824E-8</v>
          </cell>
          <cell r="F951">
            <v>-374.17138028079518</v>
          </cell>
        </row>
        <row r="952">
          <cell r="A952" t="str">
            <v xml:space="preserve">TFOIADP </v>
          </cell>
          <cell r="B952">
            <v>4.3835598044097424E-3</v>
          </cell>
          <cell r="C952">
            <v>-9.9999997473787516E-5</v>
          </cell>
          <cell r="D952">
            <v>4.3835598044097424E-3</v>
          </cell>
          <cell r="E952">
            <v>0.20000000298023224</v>
          </cell>
          <cell r="F952">
            <v>-172.94165465472497</v>
          </cell>
        </row>
        <row r="953">
          <cell r="A953" t="str">
            <v xml:space="preserve">TNC2ADP </v>
          </cell>
          <cell r="B953">
            <v>3.0773743119550077E-2</v>
          </cell>
          <cell r="C953">
            <v>-9.9999997473787516E-5</v>
          </cell>
          <cell r="D953">
            <v>0</v>
          </cell>
          <cell r="E953" t="e">
            <v>#VALUE!</v>
          </cell>
          <cell r="F953">
            <v>0</v>
          </cell>
        </row>
        <row r="954">
          <cell r="A954" t="str">
            <v xml:space="preserve">TBTAADP </v>
          </cell>
          <cell r="B954">
            <v>0</v>
          </cell>
          <cell r="C954">
            <v>-9.9999997473787516E-5</v>
          </cell>
          <cell r="D954">
            <v>0</v>
          </cell>
          <cell r="E954" t="e">
            <v>#VALUE!</v>
          </cell>
          <cell r="F954">
            <v>-324.31062170577377</v>
          </cell>
        </row>
        <row r="955">
          <cell r="A955" t="str">
            <v xml:space="preserve">TBTBADP </v>
          </cell>
          <cell r="B955">
            <v>0</v>
          </cell>
          <cell r="C955">
            <v>-9.9999997473787516E-5</v>
          </cell>
          <cell r="D955">
            <v>0</v>
          </cell>
          <cell r="E955" t="e">
            <v>#VALUE!</v>
          </cell>
          <cell r="F955">
            <v>-392.77143537965537</v>
          </cell>
        </row>
        <row r="956">
          <cell r="A956" t="str">
            <v xml:space="preserve">TNLPADP </v>
          </cell>
          <cell r="B956">
            <v>3.0350628219238698</v>
          </cell>
          <cell r="C956">
            <v>-9.9999997473787516E-5</v>
          </cell>
          <cell r="D956">
            <v>0.71990137230860041</v>
          </cell>
          <cell r="E956" t="e">
            <v>#VALUE!</v>
          </cell>
          <cell r="F956">
            <v>0.93865305103667795</v>
          </cell>
        </row>
        <row r="957">
          <cell r="A957" t="str">
            <v xml:space="preserve">TD7PADP </v>
          </cell>
          <cell r="B957">
            <v>0</v>
          </cell>
          <cell r="C957">
            <v>-9.9999997473787516E-5</v>
          </cell>
          <cell r="D957">
            <v>0</v>
          </cell>
          <cell r="E957">
            <v>0</v>
          </cell>
          <cell r="F957">
            <v>907.9854736328125</v>
          </cell>
        </row>
        <row r="958">
          <cell r="A958" t="str">
            <v xml:space="preserve">TCTMADP </v>
          </cell>
          <cell r="B958">
            <v>0</v>
          </cell>
          <cell r="C958">
            <v>-9.9999997473787516E-5</v>
          </cell>
          <cell r="D958">
            <v>0</v>
          </cell>
          <cell r="E958" t="e">
            <v>#VALUE!</v>
          </cell>
          <cell r="F958">
            <v>-562.4844107849957</v>
          </cell>
        </row>
        <row r="959">
          <cell r="A959" t="str">
            <v xml:space="preserve">TISOADP </v>
          </cell>
          <cell r="B959">
            <v>3.1640689820051193E-2</v>
          </cell>
          <cell r="C959">
            <v>-9.9999997473787516E-5</v>
          </cell>
          <cell r="D959">
            <v>0</v>
          </cell>
          <cell r="E959" t="e">
            <v>#VALUE!</v>
          </cell>
          <cell r="F959">
            <v>0</v>
          </cell>
        </row>
        <row r="960">
          <cell r="A960" t="str">
            <v xml:space="preserve">TLKFADP </v>
          </cell>
          <cell r="B960">
            <v>0.96422390121303192</v>
          </cell>
          <cell r="C960">
            <v>-9.9999997473787516E-5</v>
          </cell>
          <cell r="D960">
            <v>0</v>
          </cell>
          <cell r="E960" t="e">
            <v>#VALUE!</v>
          </cell>
          <cell r="F960">
            <v>0</v>
          </cell>
        </row>
        <row r="961">
          <cell r="A961" t="str">
            <v xml:space="preserve">TH51ADP </v>
          </cell>
          <cell r="B961">
            <v>7.7216726829846432E-4</v>
          </cell>
          <cell r="C961">
            <v>-9.9999997473787516E-5</v>
          </cell>
          <cell r="D961">
            <v>0</v>
          </cell>
          <cell r="E961" t="e">
            <v>#VALUE!</v>
          </cell>
          <cell r="F961">
            <v>0</v>
          </cell>
        </row>
        <row r="962">
          <cell r="A962" t="str">
            <v xml:space="preserve">TB4IADP </v>
          </cell>
          <cell r="B962">
            <v>0.48691175718830054</v>
          </cell>
          <cell r="C962">
            <v>-9.9999997473787516E-5</v>
          </cell>
          <cell r="D962">
            <v>0</v>
          </cell>
          <cell r="E962" t="e">
            <v>#VALUE!</v>
          </cell>
          <cell r="F962">
            <v>0</v>
          </cell>
        </row>
        <row r="963">
          <cell r="A963" t="str">
            <v xml:space="preserve">TBTRDAP </v>
          </cell>
          <cell r="B963">
            <v>6.3286312128583044E-2</v>
          </cell>
          <cell r="C963">
            <v>-9.9999997473787516E-5</v>
          </cell>
          <cell r="D963">
            <v>0</v>
          </cell>
          <cell r="E963" t="e">
            <v>#VALUE!</v>
          </cell>
          <cell r="F963">
            <v>0</v>
          </cell>
        </row>
        <row r="964">
          <cell r="A964" t="str">
            <v xml:space="preserve">TPESDAP </v>
          </cell>
          <cell r="B964">
            <v>0.38073263143839903</v>
          </cell>
          <cell r="C964">
            <v>-9.9999997473787516E-5</v>
          </cell>
          <cell r="D964">
            <v>0.25805753289836725</v>
          </cell>
          <cell r="E964" t="e">
            <v>#VALUE!</v>
          </cell>
          <cell r="F964">
            <v>-2.9003251173724869</v>
          </cell>
        </row>
        <row r="965">
          <cell r="A965" t="str">
            <v xml:space="preserve">TLIVDAP </v>
          </cell>
          <cell r="B965">
            <v>0.64260979645872773</v>
          </cell>
          <cell r="C965">
            <v>-9.9999997473787516E-5</v>
          </cell>
          <cell r="D965">
            <v>0.14687150765771737</v>
          </cell>
          <cell r="E965" t="e">
            <v>#VALUE!</v>
          </cell>
          <cell r="F965">
            <v>6.1539987913549761E-2</v>
          </cell>
        </row>
        <row r="966">
          <cell r="A966" t="str">
            <v xml:space="preserve">TMJODAP </v>
          </cell>
          <cell r="B966">
            <v>0</v>
          </cell>
          <cell r="C966">
            <v>-9.9999997473787516E-5</v>
          </cell>
          <cell r="D966">
            <v>0</v>
          </cell>
          <cell r="E966">
            <v>0</v>
          </cell>
          <cell r="F966">
            <v>468.47517591502566</v>
          </cell>
        </row>
        <row r="967">
          <cell r="A967" t="str">
            <v xml:space="preserve">TH2RDAP </v>
          </cell>
          <cell r="B967">
            <v>2.4358800574116511E-2</v>
          </cell>
          <cell r="C967">
            <v>-9.9999997473787516E-5</v>
          </cell>
          <cell r="D967">
            <v>0</v>
          </cell>
          <cell r="E967" t="e">
            <v>#VALUE!</v>
          </cell>
          <cell r="F967">
            <v>0</v>
          </cell>
        </row>
        <row r="968">
          <cell r="A968" t="str">
            <v xml:space="preserve">TH32DAP </v>
          </cell>
          <cell r="B968">
            <v>3.2933732950804782E-4</v>
          </cell>
          <cell r="C968">
            <v>0</v>
          </cell>
          <cell r="D968">
            <v>0</v>
          </cell>
          <cell r="E968" t="e">
            <v>#VALUE!</v>
          </cell>
          <cell r="F968">
            <v>0</v>
          </cell>
        </row>
        <row r="969">
          <cell r="A969" t="str">
            <v xml:space="preserve">TMTBDAP </v>
          </cell>
          <cell r="B969">
            <v>0</v>
          </cell>
          <cell r="C969">
            <v>-9.9999997473787516E-5</v>
          </cell>
          <cell r="D969">
            <v>0</v>
          </cell>
          <cell r="E969" t="e">
            <v>#VALUE!</v>
          </cell>
          <cell r="F969">
            <v>0</v>
          </cell>
        </row>
        <row r="970">
          <cell r="A970" t="str">
            <v xml:space="preserve">TTLNDAP </v>
          </cell>
          <cell r="B970">
            <v>0</v>
          </cell>
          <cell r="C970">
            <v>-9.9999997473787516E-5</v>
          </cell>
          <cell r="D970">
            <v>0</v>
          </cell>
          <cell r="E970" t="e">
            <v>#VALUE!</v>
          </cell>
          <cell r="F970">
            <v>0</v>
          </cell>
        </row>
        <row r="971">
          <cell r="A971" t="str">
            <v xml:space="preserve">TTMEDAP </v>
          </cell>
          <cell r="B971">
            <v>0</v>
          </cell>
          <cell r="C971">
            <v>-9.9999997473787516E-5</v>
          </cell>
          <cell r="D971">
            <v>0</v>
          </cell>
          <cell r="E971" t="e">
            <v>#VALUE!</v>
          </cell>
          <cell r="F971">
            <v>0</v>
          </cell>
        </row>
        <row r="972">
          <cell r="A972" t="str">
            <v xml:space="preserve">TI5DDAP </v>
          </cell>
          <cell r="B972">
            <v>0</v>
          </cell>
          <cell r="C972">
            <v>-9.9999997473787516E-5</v>
          </cell>
          <cell r="D972">
            <v>0</v>
          </cell>
          <cell r="E972" t="e">
            <v>#VALUE!</v>
          </cell>
          <cell r="F972">
            <v>0</v>
          </cell>
        </row>
        <row r="973">
          <cell r="A973" t="str">
            <v xml:space="preserve">TMXYDAP </v>
          </cell>
          <cell r="B973">
            <v>0</v>
          </cell>
          <cell r="C973">
            <v>-9.9999997473787516E-5</v>
          </cell>
          <cell r="D973">
            <v>0</v>
          </cell>
          <cell r="E973" t="e">
            <v>#VALUE!</v>
          </cell>
          <cell r="F973">
            <v>0</v>
          </cell>
        </row>
        <row r="974">
          <cell r="A974" t="str">
            <v xml:space="preserve">TARPDAP </v>
          </cell>
          <cell r="B974">
            <v>4.3085743354199686E-3</v>
          </cell>
          <cell r="C974">
            <v>-9.9999997473787516E-5</v>
          </cell>
          <cell r="D974">
            <v>0</v>
          </cell>
          <cell r="E974" t="e">
            <v>#VALUE!</v>
          </cell>
          <cell r="F974">
            <v>0</v>
          </cell>
        </row>
        <row r="975">
          <cell r="A975" t="str">
            <v xml:space="preserve">TRESDAP </v>
          </cell>
          <cell r="B975">
            <v>0</v>
          </cell>
          <cell r="C975">
            <v>-9.9999997473787516E-5</v>
          </cell>
          <cell r="D975">
            <v>0</v>
          </cell>
          <cell r="E975" t="e">
            <v>#VALUE!</v>
          </cell>
          <cell r="F975">
            <v>0</v>
          </cell>
        </row>
        <row r="976">
          <cell r="A976" t="str">
            <v xml:space="preserve">TI56DAP </v>
          </cell>
          <cell r="B976">
            <v>4.8832095205171469E-2</v>
          </cell>
          <cell r="C976">
            <v>-9.9999997473787516E-5</v>
          </cell>
          <cell r="D976">
            <v>1.6131506441798928E-3</v>
          </cell>
          <cell r="E976">
            <v>5.1575889086274251E-2</v>
          </cell>
          <cell r="F976">
            <v>2.5193722555082139</v>
          </cell>
        </row>
        <row r="977">
          <cell r="A977" t="str">
            <v xml:space="preserve">TLKLDAP </v>
          </cell>
          <cell r="B977">
            <v>0.2408631244750872</v>
          </cell>
          <cell r="C977">
            <v>-9.9999997473787516E-5</v>
          </cell>
          <cell r="D977">
            <v>0</v>
          </cell>
          <cell r="E977" t="e">
            <v>#VALUE!</v>
          </cell>
          <cell r="F977">
            <v>0</v>
          </cell>
        </row>
        <row r="978">
          <cell r="A978" t="str">
            <v xml:space="preserve">TLKPDAP </v>
          </cell>
          <cell r="B978">
            <v>0.17356030161250127</v>
          </cell>
          <cell r="C978">
            <v>-9.9999997473787516E-5</v>
          </cell>
          <cell r="D978">
            <v>0</v>
          </cell>
          <cell r="E978" t="e">
            <v>#VALUE!</v>
          </cell>
          <cell r="F978">
            <v>0</v>
          </cell>
        </row>
        <row r="979">
          <cell r="A979" t="str">
            <v xml:space="preserve">TI4CDAP </v>
          </cell>
          <cell r="B979">
            <v>0</v>
          </cell>
          <cell r="C979">
            <v>-9.9999997473787516E-5</v>
          </cell>
          <cell r="D979">
            <v>0</v>
          </cell>
          <cell r="E979" t="e">
            <v>#VALUE!</v>
          </cell>
          <cell r="F979">
            <v>0</v>
          </cell>
        </row>
        <row r="980">
          <cell r="A980" t="str">
            <v xml:space="preserve">TGRSDAP </v>
          </cell>
          <cell r="B980">
            <v>6.5976054302403981E-4</v>
          </cell>
          <cell r="C980">
            <v>-9.9999997473787516E-5</v>
          </cell>
          <cell r="D980">
            <v>0</v>
          </cell>
          <cell r="E980" t="e">
            <v>#VALUE!</v>
          </cell>
          <cell r="F980">
            <v>0</v>
          </cell>
        </row>
        <row r="981">
          <cell r="A981" t="str">
            <v xml:space="preserve">TNNPDAP </v>
          </cell>
          <cell r="B981">
            <v>0.43786108722425487</v>
          </cell>
          <cell r="C981">
            <v>-9.9999997473787516E-5</v>
          </cell>
          <cell r="D981">
            <v>0</v>
          </cell>
          <cell r="E981" t="e">
            <v>#VALUE!</v>
          </cell>
          <cell r="F981">
            <v>0</v>
          </cell>
        </row>
        <row r="982">
          <cell r="A982" t="str">
            <v xml:space="preserve">TALPDAP </v>
          </cell>
          <cell r="B982">
            <v>2.258580323972114E-2</v>
          </cell>
          <cell r="C982">
            <v>-9.9999997473787516E-5</v>
          </cell>
          <cell r="D982">
            <v>0</v>
          </cell>
          <cell r="E982" t="e">
            <v>#VALUE!</v>
          </cell>
          <cell r="F982">
            <v>0</v>
          </cell>
        </row>
        <row r="983">
          <cell r="A983" t="str">
            <v xml:space="preserve">TTARDAP </v>
          </cell>
          <cell r="B983">
            <v>7.0044579443662132E-3</v>
          </cell>
          <cell r="C983">
            <v>-9.9999997473787516E-5</v>
          </cell>
          <cell r="D983">
            <v>0</v>
          </cell>
          <cell r="E983" t="e">
            <v>#VALUE!</v>
          </cell>
          <cell r="F983">
            <v>0</v>
          </cell>
        </row>
        <row r="984">
          <cell r="A984" t="str">
            <v xml:space="preserve">TMTBABT </v>
          </cell>
          <cell r="B984">
            <v>0</v>
          </cell>
          <cell r="C984">
            <v>-59.960300445556641</v>
          </cell>
          <cell r="D984">
            <v>0</v>
          </cell>
          <cell r="E984" t="e">
            <v>#VALUE!</v>
          </cell>
          <cell r="F984">
            <v>0</v>
          </cell>
        </row>
        <row r="985">
          <cell r="A985" t="str">
            <v xml:space="preserve">TMTHABT </v>
          </cell>
          <cell r="B985">
            <v>4.3824827803732598E-2</v>
          </cell>
          <cell r="C985">
            <v>-15.090999603271484</v>
          </cell>
          <cell r="D985">
            <v>0</v>
          </cell>
          <cell r="E985" t="e">
            <v>#VALUE!</v>
          </cell>
          <cell r="F985">
            <v>0</v>
          </cell>
        </row>
        <row r="986">
          <cell r="A986" t="str">
            <v xml:space="preserve">TMTBACT </v>
          </cell>
          <cell r="B986">
            <v>0</v>
          </cell>
          <cell r="C986">
            <v>-14.930000305175781</v>
          </cell>
          <cell r="D986">
            <v>0</v>
          </cell>
          <cell r="E986">
            <v>0</v>
          </cell>
          <cell r="F986">
            <v>5.7218500816658748</v>
          </cell>
        </row>
        <row r="987">
          <cell r="A987" t="str">
            <v xml:space="preserve">TMTCACT </v>
          </cell>
          <cell r="B987">
            <v>2.0604046546433071E-3</v>
          </cell>
          <cell r="C987">
            <v>-44.960300445556641</v>
          </cell>
          <cell r="D987">
            <v>0</v>
          </cell>
          <cell r="E987" t="e">
            <v>#VALUE!</v>
          </cell>
          <cell r="F987">
            <v>0</v>
          </cell>
        </row>
        <row r="988">
          <cell r="A988" t="str">
            <v xml:space="preserve">TNLCBDZ </v>
          </cell>
          <cell r="B988">
            <v>7.3972605679133163E-2</v>
          </cell>
          <cell r="C988">
            <v>-14.96090030670166</v>
          </cell>
          <cell r="D988">
            <v>7.3972605679133163E-2</v>
          </cell>
          <cell r="E988" t="e">
            <v>#VALUE!</v>
          </cell>
          <cell r="F988">
            <v>-6.6543394637434448</v>
          </cell>
        </row>
        <row r="989">
          <cell r="A989" t="str">
            <v xml:space="preserve">TNPHCDT </v>
          </cell>
          <cell r="B989">
            <v>0</v>
          </cell>
          <cell r="C989">
            <v>-8.7517299652099609</v>
          </cell>
          <cell r="D989">
            <v>0</v>
          </cell>
          <cell r="E989">
            <v>0</v>
          </cell>
          <cell r="F989">
            <v>487.95955634966288</v>
          </cell>
        </row>
        <row r="990">
          <cell r="A990" t="str">
            <v xml:space="preserve">TNLCBAP </v>
          </cell>
          <cell r="B990">
            <v>0</v>
          </cell>
          <cell r="C990">
            <v>-7.3097801208496094</v>
          </cell>
          <cell r="D990">
            <v>0</v>
          </cell>
          <cell r="E990">
            <v>0</v>
          </cell>
          <cell r="F990">
            <v>-72.250595056194143</v>
          </cell>
        </row>
        <row r="991">
          <cell r="A991" t="str">
            <v xml:space="preserve">TALKBAT </v>
          </cell>
          <cell r="B991">
            <v>0</v>
          </cell>
          <cell r="C991">
            <v>-12.012399673461914</v>
          </cell>
          <cell r="D991">
            <v>0</v>
          </cell>
          <cell r="E991">
            <v>0</v>
          </cell>
          <cell r="F991">
            <v>347.845346257458</v>
          </cell>
        </row>
        <row r="992">
          <cell r="A992" t="str">
            <v xml:space="preserve">TIZOBAT </v>
          </cell>
          <cell r="B992">
            <v>0</v>
          </cell>
          <cell r="C992">
            <v>-0.67384600639343262</v>
          </cell>
          <cell r="D992">
            <v>0</v>
          </cell>
          <cell r="E992">
            <v>0</v>
          </cell>
          <cell r="F992">
            <v>16.560464461862225</v>
          </cell>
        </row>
        <row r="993">
          <cell r="A993" t="str">
            <v xml:space="preserve">TALHBCT </v>
          </cell>
          <cell r="B993">
            <v>1.2414699075871135E-2</v>
          </cell>
          <cell r="C993">
            <v>-47.595199584960938</v>
          </cell>
          <cell r="D993">
            <v>0</v>
          </cell>
          <cell r="E993" t="e">
            <v>#VALUE!</v>
          </cell>
          <cell r="F993">
            <v>0</v>
          </cell>
        </row>
        <row r="994">
          <cell r="A994" t="str">
            <v xml:space="preserve">TMTVBCT </v>
          </cell>
          <cell r="B994">
            <v>3.926284842907566E-2</v>
          </cell>
          <cell r="C994">
            <v>-43.295101165771484</v>
          </cell>
          <cell r="D994">
            <v>0</v>
          </cell>
          <cell r="E994" t="e">
            <v>#VALUE!</v>
          </cell>
          <cell r="F994">
            <v>0</v>
          </cell>
        </row>
        <row r="995">
          <cell r="A995" t="str">
            <v xml:space="preserve">TISOBCT </v>
          </cell>
          <cell r="B995">
            <v>5.0921750293202598E-3</v>
          </cell>
          <cell r="C995">
            <v>-48.936599731445313</v>
          </cell>
          <cell r="D995">
            <v>0</v>
          </cell>
          <cell r="E995" t="e">
            <v>#VALUE!</v>
          </cell>
          <cell r="F995">
            <v>0</v>
          </cell>
        </row>
        <row r="996">
          <cell r="A996" t="str">
            <v xml:space="preserve">TLCTBCT </v>
          </cell>
          <cell r="B996">
            <v>0</v>
          </cell>
          <cell r="C996">
            <v>-47.595199584960938</v>
          </cell>
          <cell r="D996">
            <v>0</v>
          </cell>
          <cell r="E996" t="e">
            <v>#VALUE!</v>
          </cell>
          <cell r="F996">
            <v>0</v>
          </cell>
        </row>
        <row r="997">
          <cell r="A997" t="str">
            <v xml:space="preserve">TRLPCEP </v>
          </cell>
          <cell r="B997">
            <v>1.7840597198434072</v>
          </cell>
          <cell r="C997">
            <v>1.2407399415969849</v>
          </cell>
          <cell r="D997">
            <v>0</v>
          </cell>
          <cell r="E997" t="e">
            <v>#VALUE!</v>
          </cell>
          <cell r="F997">
            <v>0</v>
          </cell>
        </row>
        <row r="998">
          <cell r="A998" t="str">
            <v xml:space="preserve">TRFTCAT </v>
          </cell>
          <cell r="B998">
            <v>0</v>
          </cell>
          <cell r="C998">
            <v>-63.960300445556641</v>
          </cell>
          <cell r="D998">
            <v>0</v>
          </cell>
          <cell r="E998">
            <v>0</v>
          </cell>
          <cell r="F998">
            <v>28.893196713761107</v>
          </cell>
        </row>
        <row r="999">
          <cell r="A999" t="str">
            <v xml:space="preserve">TRFHCBT </v>
          </cell>
          <cell r="B999">
            <v>4.8703536728065308E-2</v>
          </cell>
          <cell r="C999">
            <v>-43.295101165771484</v>
          </cell>
          <cell r="D999">
            <v>0</v>
          </cell>
          <cell r="E999">
            <v>5.000000074505806E-2</v>
          </cell>
          <cell r="F999">
            <v>31.651395510320793</v>
          </cell>
        </row>
        <row r="1000">
          <cell r="A1000" t="str">
            <v xml:space="preserve">TBTAAFP </v>
          </cell>
          <cell r="B1000">
            <v>0</v>
          </cell>
          <cell r="C1000">
            <v>-9.9999997473787516E-5</v>
          </cell>
          <cell r="D1000">
            <v>0</v>
          </cell>
          <cell r="E1000">
            <v>0</v>
          </cell>
          <cell r="F1000">
            <v>14.349016206558437</v>
          </cell>
        </row>
        <row r="1001">
          <cell r="A1001" t="str">
            <v xml:space="preserve">TBTBAFP </v>
          </cell>
          <cell r="B1001">
            <v>0.24501207626029237</v>
          </cell>
          <cell r="C1001">
            <v>0</v>
          </cell>
          <cell r="D1001">
            <v>0</v>
          </cell>
          <cell r="E1001" t="e">
            <v>#VALUE!</v>
          </cell>
          <cell r="F1001">
            <v>0</v>
          </cell>
        </row>
        <row r="1002">
          <cell r="A1002" t="str">
            <v xml:space="preserve">TBTPFDP </v>
          </cell>
          <cell r="B1002">
            <v>0.18738033996052939</v>
          </cell>
          <cell r="C1002">
            <v>-9.9999997473787516E-5</v>
          </cell>
          <cell r="D1002">
            <v>0</v>
          </cell>
          <cell r="E1002" t="e">
            <v>#VALUE!</v>
          </cell>
          <cell r="F1002">
            <v>0</v>
          </cell>
        </row>
        <row r="1003">
          <cell r="A1003" t="str">
            <v xml:space="preserve">TBTAGDP </v>
          </cell>
          <cell r="B1003">
            <v>0</v>
          </cell>
          <cell r="C1003">
            <v>-9.9999997473787516E-5</v>
          </cell>
          <cell r="D1003">
            <v>0</v>
          </cell>
          <cell r="E1003" t="e">
            <v>#VALUE!</v>
          </cell>
          <cell r="F1003">
            <v>-338.65963109682684</v>
          </cell>
        </row>
        <row r="1004">
          <cell r="A1004" t="str">
            <v xml:space="preserve">TBTBGDP </v>
          </cell>
          <cell r="B1004">
            <v>0</v>
          </cell>
          <cell r="C1004">
            <v>-9.9999997473787516E-5</v>
          </cell>
          <cell r="D1004">
            <v>0</v>
          </cell>
          <cell r="E1004" t="e">
            <v>#VALUE!</v>
          </cell>
          <cell r="F1004">
            <v>-392.77143537965537</v>
          </cell>
        </row>
        <row r="1005">
          <cell r="A1005" t="str">
            <v xml:space="preserve">TNLPGDP </v>
          </cell>
          <cell r="B1005">
            <v>6.0205877087181052E-5</v>
          </cell>
          <cell r="C1005">
            <v>-9.9999997473787516E-5</v>
          </cell>
          <cell r="D1005">
            <v>0</v>
          </cell>
          <cell r="E1005" t="e">
            <v>#VALUE!</v>
          </cell>
          <cell r="F1005">
            <v>0</v>
          </cell>
        </row>
        <row r="1006">
          <cell r="A1006" t="str">
            <v xml:space="preserve">TBTAGFP </v>
          </cell>
          <cell r="B1006">
            <v>0</v>
          </cell>
          <cell r="C1006">
            <v>-9.9999997473787516E-5</v>
          </cell>
          <cell r="D1006">
            <v>0</v>
          </cell>
          <cell r="E1006" t="e">
            <v>#VALUE!</v>
          </cell>
          <cell r="F1006">
            <v>0</v>
          </cell>
        </row>
        <row r="1007">
          <cell r="A1007" t="str">
            <v xml:space="preserve">TBTBGFP </v>
          </cell>
          <cell r="B1007">
            <v>0</v>
          </cell>
          <cell r="C1007">
            <v>0</v>
          </cell>
          <cell r="D1007">
            <v>0</v>
          </cell>
          <cell r="E1007" t="e">
            <v>#VALUE!</v>
          </cell>
          <cell r="F1007">
            <v>0</v>
          </cell>
        </row>
        <row r="1008">
          <cell r="A1008" t="str">
            <v xml:space="preserve">TNRNEAP </v>
          </cell>
          <cell r="B1008">
            <v>7.9072240254650374</v>
          </cell>
          <cell r="C1008">
            <v>-7.580930233001709</v>
          </cell>
          <cell r="D1008">
            <v>0</v>
          </cell>
          <cell r="E1008" t="e">
            <v>#VALUE!</v>
          </cell>
          <cell r="F1008">
            <v>0</v>
          </cell>
        </row>
        <row r="1009">
          <cell r="A1009" t="str">
            <v xml:space="preserve">TSCNEAZ </v>
          </cell>
          <cell r="B1009">
            <v>10.082351684570313</v>
          </cell>
          <cell r="C1009">
            <v>-8.3620500564575195</v>
          </cell>
          <cell r="D1009">
            <v>0</v>
          </cell>
          <cell r="E1009" t="e">
            <v>#VALUE!</v>
          </cell>
          <cell r="F1009">
            <v>0</v>
          </cell>
        </row>
        <row r="1010">
          <cell r="A1010" t="str">
            <v xml:space="preserve">TCHUEAZ </v>
          </cell>
          <cell r="B1010">
            <v>4.4046317871302776</v>
          </cell>
          <cell r="C1010">
            <v>-8.2531499862670898</v>
          </cell>
          <cell r="D1010">
            <v>0</v>
          </cell>
          <cell r="E1010" t="e">
            <v>#VALUE!</v>
          </cell>
          <cell r="F1010">
            <v>0</v>
          </cell>
        </row>
        <row r="1011">
          <cell r="A1011" t="str">
            <v xml:space="preserve">TSCSEAZ </v>
          </cell>
          <cell r="B1011">
            <v>0</v>
          </cell>
          <cell r="C1011">
            <v>-10.836700439453125</v>
          </cell>
          <cell r="D1011">
            <v>0</v>
          </cell>
          <cell r="E1011">
            <v>0</v>
          </cell>
          <cell r="F1011">
            <v>409.1482661835135</v>
          </cell>
        </row>
        <row r="1012">
          <cell r="A1012" t="str">
            <v xml:space="preserve">TTDFEAZ </v>
          </cell>
          <cell r="B1012">
            <v>0</v>
          </cell>
          <cell r="C1012">
            <v>-12.660400390625</v>
          </cell>
          <cell r="D1012">
            <v>0</v>
          </cell>
          <cell r="E1012">
            <v>0</v>
          </cell>
          <cell r="F1012">
            <v>416.53750518380781</v>
          </cell>
        </row>
        <row r="1013">
          <cell r="A1013" t="str">
            <v xml:space="preserve">TSB4EAZ </v>
          </cell>
          <cell r="B1013">
            <v>0</v>
          </cell>
          <cell r="C1013">
            <v>-0.6887279748916626</v>
          </cell>
          <cell r="D1013">
            <v>0</v>
          </cell>
          <cell r="E1013" t="e">
            <v>#VALUE!</v>
          </cell>
          <cell r="F1013">
            <v>0</v>
          </cell>
        </row>
        <row r="1014">
          <cell r="A1014" t="str">
            <v xml:space="preserve">TNQNEBP </v>
          </cell>
          <cell r="B1014">
            <v>7.1682312534280017</v>
          </cell>
          <cell r="C1014">
            <v>-0.46413901448249817</v>
          </cell>
          <cell r="D1014">
            <v>0</v>
          </cell>
          <cell r="E1014" t="e">
            <v>#VALUE!</v>
          </cell>
          <cell r="F1014">
            <v>0</v>
          </cell>
        </row>
        <row r="1015">
          <cell r="A1015" t="str">
            <v xml:space="preserve">TMLGEBP </v>
          </cell>
          <cell r="B1015">
            <v>0.4619235098361969</v>
          </cell>
          <cell r="C1015">
            <v>-7.3247797787189484E-2</v>
          </cell>
          <cell r="D1015">
            <v>0</v>
          </cell>
          <cell r="E1015" t="e">
            <v>#VALUE!</v>
          </cell>
          <cell r="F1015">
            <v>0</v>
          </cell>
        </row>
        <row r="1016">
          <cell r="A1016" t="str">
            <v xml:space="preserve">TTUPEBP </v>
          </cell>
          <cell r="B1016">
            <v>1.1989599466323853</v>
          </cell>
          <cell r="C1016">
            <v>0</v>
          </cell>
          <cell r="D1016">
            <v>0</v>
          </cell>
          <cell r="E1016" t="e">
            <v>#VALUE!</v>
          </cell>
          <cell r="F1016">
            <v>0</v>
          </cell>
        </row>
        <row r="1017">
          <cell r="A1017" t="str">
            <v xml:space="preserve">TDVDEBP </v>
          </cell>
          <cell r="B1017">
            <v>1.6859897375106812</v>
          </cell>
          <cell r="C1017">
            <v>-0.27818998694419861</v>
          </cell>
          <cell r="D1017">
            <v>0</v>
          </cell>
          <cell r="E1017" t="e">
            <v>#VALUE!</v>
          </cell>
          <cell r="F1017">
            <v>0</v>
          </cell>
        </row>
        <row r="1018">
          <cell r="A1018" t="str">
            <v xml:space="preserve">TMNNEBP </v>
          </cell>
          <cell r="B1018">
            <v>3.7351999282836914</v>
          </cell>
          <cell r="C1018">
            <v>0</v>
          </cell>
          <cell r="D1018">
            <v>0</v>
          </cell>
          <cell r="E1018" t="e">
            <v>#VALUE!</v>
          </cell>
          <cell r="F1018">
            <v>0</v>
          </cell>
        </row>
        <row r="1019">
          <cell r="A1019" t="str">
            <v xml:space="preserve">TCOFEBP </v>
          </cell>
          <cell r="B1019">
            <v>0</v>
          </cell>
          <cell r="C1019">
            <v>-0.45192798972129822</v>
          </cell>
          <cell r="D1019">
            <v>0</v>
          </cell>
          <cell r="E1019" t="e">
            <v>#VALUE!</v>
          </cell>
          <cell r="F1019">
            <v>0</v>
          </cell>
        </row>
        <row r="1020">
          <cell r="A1020" t="str">
            <v xml:space="preserve">TADCEBP </v>
          </cell>
          <cell r="B1020">
            <v>0.20729279518127441</v>
          </cell>
          <cell r="C1020">
            <v>-0.46413901448249817</v>
          </cell>
          <cell r="D1020">
            <v>0</v>
          </cell>
          <cell r="E1020" t="e">
            <v>#VALUE!</v>
          </cell>
          <cell r="F1020">
            <v>0</v>
          </cell>
        </row>
        <row r="1021">
          <cell r="A1021" t="str">
            <v xml:space="preserve">TCHUEBT </v>
          </cell>
          <cell r="B1021">
            <v>0</v>
          </cell>
          <cell r="C1021">
            <v>-0.10000000149011612</v>
          </cell>
          <cell r="D1021">
            <v>0</v>
          </cell>
          <cell r="E1021">
            <v>0</v>
          </cell>
          <cell r="F1021">
            <v>72.084408119933244</v>
          </cell>
        </row>
        <row r="1022">
          <cell r="A1022" t="str">
            <v xml:space="preserve">TNDDECP </v>
          </cell>
          <cell r="B1022">
            <v>0.48033899068832397</v>
          </cell>
          <cell r="C1022">
            <v>0</v>
          </cell>
          <cell r="D1022">
            <v>0</v>
          </cell>
          <cell r="E1022">
            <v>0.48033899068832397</v>
          </cell>
          <cell r="F1022">
            <v>28.300510187018407</v>
          </cell>
        </row>
        <row r="1023">
          <cell r="A1023" t="str">
            <v xml:space="preserve">TCHAECP </v>
          </cell>
          <cell r="B1023">
            <v>0.47468850016593933</v>
          </cell>
          <cell r="C1023">
            <v>-0.12745100259780884</v>
          </cell>
          <cell r="D1023">
            <v>0</v>
          </cell>
          <cell r="E1023">
            <v>0.48332199454307556</v>
          </cell>
          <cell r="F1023">
            <v>0</v>
          </cell>
        </row>
        <row r="1024">
          <cell r="A1024" t="str">
            <v xml:space="preserve">TCENECP </v>
          </cell>
          <cell r="B1024">
            <v>0.33176219463348389</v>
          </cell>
          <cell r="C1024">
            <v>-1.2026699781417847</v>
          </cell>
          <cell r="D1024">
            <v>0</v>
          </cell>
          <cell r="E1024">
            <v>0.44235000014305115</v>
          </cell>
          <cell r="F1024">
            <v>0</v>
          </cell>
        </row>
        <row r="1025">
          <cell r="A1025" t="str">
            <v xml:space="preserve">TAGSECP </v>
          </cell>
          <cell r="B1025">
            <v>0</v>
          </cell>
          <cell r="C1025">
            <v>-1.2688800096511841</v>
          </cell>
          <cell r="D1025">
            <v>0</v>
          </cell>
          <cell r="E1025">
            <v>0</v>
          </cell>
          <cell r="F1025">
            <v>600.3325698643514</v>
          </cell>
        </row>
        <row r="1026">
          <cell r="A1026" t="str">
            <v xml:space="preserve">TCLLECP </v>
          </cell>
          <cell r="B1026">
            <v>1.1420300006866455</v>
          </cell>
          <cell r="C1026">
            <v>-1.2477699518203735</v>
          </cell>
          <cell r="D1026">
            <v>0</v>
          </cell>
          <cell r="E1026">
            <v>1.1420300006866455</v>
          </cell>
          <cell r="F1026">
            <v>9.1789702405668283</v>
          </cell>
        </row>
        <row r="1027">
          <cell r="A1027" t="str">
            <v xml:space="preserve">TLLLECP </v>
          </cell>
          <cell r="B1027">
            <v>0.22211000323295593</v>
          </cell>
          <cell r="C1027">
            <v>-1.2831499576568604</v>
          </cell>
          <cell r="D1027">
            <v>0</v>
          </cell>
          <cell r="E1027">
            <v>0.22211000323295593</v>
          </cell>
          <cell r="F1027">
            <v>22.165732219121228</v>
          </cell>
        </row>
        <row r="1028">
          <cell r="A1028" t="str">
            <v xml:space="preserve">TPCHECP </v>
          </cell>
          <cell r="B1028">
            <v>0.35624799132347107</v>
          </cell>
          <cell r="C1028">
            <v>-1.0666699409484863</v>
          </cell>
          <cell r="D1028">
            <v>0</v>
          </cell>
          <cell r="E1028">
            <v>0.35624900460243225</v>
          </cell>
          <cell r="F1028">
            <v>0</v>
          </cell>
        </row>
        <row r="1029">
          <cell r="A1029" t="str">
            <v xml:space="preserve">TSDDECP </v>
          </cell>
          <cell r="B1029">
            <v>0.36553001403808594</v>
          </cell>
          <cell r="C1029">
            <v>-1.0395900011062622</v>
          </cell>
          <cell r="D1029">
            <v>0</v>
          </cell>
          <cell r="E1029">
            <v>0.36553001403808594</v>
          </cell>
          <cell r="F1029">
            <v>18.132643890380859</v>
          </cell>
        </row>
        <row r="1030">
          <cell r="A1030" t="str">
            <v>TOTOLDEL</v>
          </cell>
          <cell r="B1030">
            <v>9.2546944657417196</v>
          </cell>
          <cell r="C1030">
            <v>0</v>
          </cell>
          <cell r="D1030">
            <v>0</v>
          </cell>
          <cell r="E1030" t="e">
            <v>#VALUE!</v>
          </cell>
          <cell r="F1030">
            <v>0</v>
          </cell>
        </row>
        <row r="1031">
          <cell r="A1031" t="str">
            <v>TOTPHRLC</v>
          </cell>
          <cell r="B1031">
            <v>11.380823469815189</v>
          </cell>
          <cell r="C1031">
            <v>0</v>
          </cell>
          <cell r="D1031">
            <v>0</v>
          </cell>
          <cell r="E1031" t="e">
            <v>#VALUE!</v>
          </cell>
          <cell r="F1031">
            <v>0</v>
          </cell>
        </row>
        <row r="1032">
          <cell r="A1032" t="str">
            <v>SETJET!B</v>
          </cell>
          <cell r="B1032">
            <v>0</v>
          </cell>
          <cell r="C1032">
            <v>0</v>
          </cell>
          <cell r="D1032">
            <v>0</v>
          </cell>
          <cell r="E1032" t="e">
            <v>#VALUE!</v>
          </cell>
          <cell r="F1032">
            <v>0</v>
          </cell>
        </row>
        <row r="1033">
          <cell r="A1033" t="str">
            <v>SETJET%B</v>
          </cell>
          <cell r="B1033">
            <v>0</v>
          </cell>
          <cell r="C1033">
            <v>0</v>
          </cell>
          <cell r="D1033">
            <v>0</v>
          </cell>
          <cell r="E1033" t="e">
            <v>#VALUE!</v>
          </cell>
          <cell r="F1033">
            <v>0</v>
          </cell>
        </row>
        <row r="1034">
          <cell r="A1034" t="str">
            <v xml:space="preserve">TOTAPRD </v>
          </cell>
          <cell r="B1034">
            <v>5.3000665649975819E-2</v>
          </cell>
          <cell r="C1034">
            <v>0</v>
          </cell>
          <cell r="D1034">
            <v>0</v>
          </cell>
          <cell r="E1034" t="e">
            <v>#VALUE!</v>
          </cell>
          <cell r="F1034">
            <v>0</v>
          </cell>
        </row>
        <row r="1035">
          <cell r="A1035" t="str">
            <v xml:space="preserve">TIZOBAZ </v>
          </cell>
          <cell r="B1035">
            <v>0</v>
          </cell>
          <cell r="C1035">
            <v>0</v>
          </cell>
          <cell r="D1035">
            <v>0</v>
          </cell>
          <cell r="E1035" t="e">
            <v>#VALUE!</v>
          </cell>
          <cell r="F1035">
            <v>0</v>
          </cell>
        </row>
        <row r="1036">
          <cell r="A1036" t="str">
            <v xml:space="preserve">CAPDUCT </v>
          </cell>
          <cell r="B1036">
            <v>0.69999998807907104</v>
          </cell>
          <cell r="C1036">
            <v>0</v>
          </cell>
          <cell r="D1036">
            <v>0</v>
          </cell>
          <cell r="E1036">
            <v>0.69999998807907104</v>
          </cell>
          <cell r="F1036">
            <v>0</v>
          </cell>
        </row>
        <row r="1037">
          <cell r="A1037" t="str">
            <v>TOTALCVM</v>
          </cell>
          <cell r="B1037">
            <v>16.048000335693359</v>
          </cell>
          <cell r="C1037">
            <v>0</v>
          </cell>
          <cell r="D1037">
            <v>0</v>
          </cell>
          <cell r="E1037">
            <v>16.048000335693359</v>
          </cell>
          <cell r="F1037">
            <v>0</v>
          </cell>
        </row>
        <row r="1038">
          <cell r="A1038" t="str">
            <v>TOTAVMMC</v>
          </cell>
          <cell r="B1038">
            <v>8.5985445074839131</v>
          </cell>
          <cell r="C1038">
            <v>0</v>
          </cell>
          <cell r="D1038">
            <v>0</v>
          </cell>
          <cell r="E1038" t="e">
            <v>#VALUE!</v>
          </cell>
          <cell r="F1038">
            <v>0</v>
          </cell>
        </row>
        <row r="1039">
          <cell r="A1039" t="str">
            <v>TOTAMCSL</v>
          </cell>
          <cell r="B1039">
            <v>10.482999801635742</v>
          </cell>
          <cell r="C1039">
            <v>0</v>
          </cell>
          <cell r="D1039">
            <v>0</v>
          </cell>
          <cell r="E1039">
            <v>10.482999801635742</v>
          </cell>
          <cell r="F1039">
            <v>0</v>
          </cell>
        </row>
        <row r="1040">
          <cell r="A1040" t="str">
            <v>TOTAVMJN</v>
          </cell>
          <cell r="B1040">
            <v>4.6020002365112305</v>
          </cell>
          <cell r="C1040">
            <v>0</v>
          </cell>
          <cell r="D1040">
            <v>0</v>
          </cell>
          <cell r="E1040">
            <v>4.6020002365112305</v>
          </cell>
          <cell r="F1040">
            <v>0</v>
          </cell>
        </row>
        <row r="1041">
          <cell r="A1041" t="str">
            <v>TOTAJNLM</v>
          </cell>
          <cell r="B1041">
            <v>4.6020002365112305</v>
          </cell>
          <cell r="C1041">
            <v>0</v>
          </cell>
          <cell r="D1041">
            <v>0</v>
          </cell>
          <cell r="E1041">
            <v>4.6020002365112305</v>
          </cell>
          <cell r="F1041">
            <v>0</v>
          </cell>
        </row>
        <row r="1042">
          <cell r="A1042" t="str">
            <v>TOTALMDS</v>
          </cell>
          <cell r="B1042">
            <v>5.9000000953674316</v>
          </cell>
          <cell r="C1042">
            <v>0</v>
          </cell>
          <cell r="D1042">
            <v>0</v>
          </cell>
          <cell r="E1042">
            <v>5.9000000953674316</v>
          </cell>
          <cell r="F1042">
            <v>0</v>
          </cell>
        </row>
        <row r="1043">
          <cell r="A1043" t="str">
            <v>TOTADSLM</v>
          </cell>
          <cell r="B1043">
            <v>7.7880001068115234</v>
          </cell>
          <cell r="C1043">
            <v>0</v>
          </cell>
          <cell r="D1043">
            <v>0</v>
          </cell>
          <cell r="E1043">
            <v>7.7880001068115234</v>
          </cell>
          <cell r="F1043">
            <v>0</v>
          </cell>
        </row>
        <row r="1044">
          <cell r="A1044" t="str">
            <v>TOTALPDS</v>
          </cell>
          <cell r="B1044">
            <v>11.800000190734863</v>
          </cell>
          <cell r="C1044">
            <v>0</v>
          </cell>
          <cell r="D1044">
            <v>0</v>
          </cell>
          <cell r="E1044">
            <v>11.800000190734863</v>
          </cell>
          <cell r="F1044">
            <v>0</v>
          </cell>
        </row>
        <row r="1045">
          <cell r="A1045" t="str">
            <v>TOTAMDDM</v>
          </cell>
          <cell r="B1045">
            <v>7.7880001068115234</v>
          </cell>
          <cell r="C1045">
            <v>0</v>
          </cell>
          <cell r="D1045">
            <v>0</v>
          </cell>
          <cell r="E1045">
            <v>7.7880001068115234</v>
          </cell>
          <cell r="F1045">
            <v>0</v>
          </cell>
        </row>
        <row r="1046">
          <cell r="A1046" t="str">
            <v>TLPGLPLM</v>
          </cell>
          <cell r="B1046">
            <v>3.0827537862813635E-2</v>
          </cell>
          <cell r="C1046">
            <v>0</v>
          </cell>
          <cell r="D1046">
            <v>0</v>
          </cell>
          <cell r="E1046" t="e">
            <v>#VALUE!</v>
          </cell>
          <cell r="F1046">
            <v>0</v>
          </cell>
        </row>
        <row r="1047">
          <cell r="A1047" t="str">
            <v>TLPGLMDS</v>
          </cell>
          <cell r="B1047">
            <v>0</v>
          </cell>
          <cell r="C1047">
            <v>0</v>
          </cell>
          <cell r="D1047">
            <v>0</v>
          </cell>
          <cell r="E1047" t="e">
            <v>#VALUE!</v>
          </cell>
          <cell r="F1047">
            <v>0</v>
          </cell>
        </row>
        <row r="1048">
          <cell r="A1048" t="str">
            <v>TOTN83EX</v>
          </cell>
          <cell r="B1048">
            <v>0.32876700162887573</v>
          </cell>
          <cell r="C1048">
            <v>0</v>
          </cell>
          <cell r="D1048">
            <v>0</v>
          </cell>
          <cell r="E1048" t="e">
            <v>#VALUE!</v>
          </cell>
          <cell r="F1048">
            <v>0</v>
          </cell>
        </row>
        <row r="1049">
          <cell r="A1049" t="str">
            <v xml:space="preserve">TOTPARY </v>
          </cell>
          <cell r="B1049">
            <v>0</v>
          </cell>
          <cell r="C1049">
            <v>0</v>
          </cell>
          <cell r="D1049">
            <v>0</v>
          </cell>
          <cell r="E1049" t="e">
            <v>#VALUE!</v>
          </cell>
          <cell r="F1049">
            <v>0</v>
          </cell>
        </row>
        <row r="1050">
          <cell r="A1050" t="str">
            <v>TOTNVIEX</v>
          </cell>
          <cell r="B1050">
            <v>1.6940774715110047</v>
          </cell>
          <cell r="C1050">
            <v>0</v>
          </cell>
          <cell r="D1050">
            <v>0</v>
          </cell>
          <cell r="E1050" t="e">
            <v>#VALUE!</v>
          </cell>
          <cell r="F1050">
            <v>0</v>
          </cell>
        </row>
        <row r="1051">
          <cell r="A1051" t="str">
            <v>TOTGOEEX</v>
          </cell>
          <cell r="B1051">
            <v>-1.847992760708047E-12</v>
          </cell>
          <cell r="C1051">
            <v>0</v>
          </cell>
          <cell r="D1051">
            <v>0</v>
          </cell>
          <cell r="E1051" t="e">
            <v>#VALUE!</v>
          </cell>
          <cell r="F1051">
            <v>0</v>
          </cell>
        </row>
        <row r="1052">
          <cell r="A1052" t="str">
            <v xml:space="preserve">TOTMEX  </v>
          </cell>
          <cell r="B1052">
            <v>2.5193825447396057</v>
          </cell>
          <cell r="C1052">
            <v>0</v>
          </cell>
          <cell r="D1052">
            <v>0</v>
          </cell>
          <cell r="E1052" t="e">
            <v>#VALUE!</v>
          </cell>
          <cell r="F1052">
            <v>0</v>
          </cell>
        </row>
        <row r="1053">
          <cell r="A1053" t="str">
            <v>PURCPENA</v>
          </cell>
          <cell r="B1053">
            <v>0</v>
          </cell>
          <cell r="C1053">
            <v>-2000</v>
          </cell>
          <cell r="D1053">
            <v>0</v>
          </cell>
          <cell r="E1053" t="e">
            <v>#VALUE!</v>
          </cell>
          <cell r="F1053">
            <v>-2000</v>
          </cell>
        </row>
        <row r="1054">
          <cell r="A1054" t="str">
            <v>PURCCCCA</v>
          </cell>
          <cell r="B1054">
            <v>42.447397101415348</v>
          </cell>
          <cell r="C1054">
            <v>-1</v>
          </cell>
          <cell r="D1054">
            <v>0</v>
          </cell>
          <cell r="E1054" t="e">
            <v>#VALUE!</v>
          </cell>
          <cell r="F1054">
            <v>0</v>
          </cell>
        </row>
        <row r="1055">
          <cell r="A1055" t="str">
            <v>PURCPWRA</v>
          </cell>
          <cell r="B1055">
            <v>0</v>
          </cell>
          <cell r="C1055">
            <v>-5.7000000029802322E-2</v>
          </cell>
          <cell r="D1055">
            <v>0</v>
          </cell>
          <cell r="E1055">
            <v>0</v>
          </cell>
          <cell r="F1055">
            <v>-5.7000000029802322E-2</v>
          </cell>
        </row>
        <row r="1056">
          <cell r="A1056" t="str">
            <v>PURCRIVA</v>
          </cell>
          <cell r="B1056">
            <v>23.31095378300915</v>
          </cell>
          <cell r="C1056">
            <v>0</v>
          </cell>
          <cell r="D1056">
            <v>0</v>
          </cell>
          <cell r="E1056" t="e">
            <v>#VALUE!</v>
          </cell>
          <cell r="F1056">
            <v>0</v>
          </cell>
        </row>
        <row r="1057">
          <cell r="A1057" t="str">
            <v>PURCKWHA</v>
          </cell>
          <cell r="B1057">
            <v>917.39795858304797</v>
          </cell>
          <cell r="C1057">
            <v>-1.2859099544584751E-2</v>
          </cell>
          <cell r="D1057">
            <v>0</v>
          </cell>
          <cell r="E1057">
            <v>10000000</v>
          </cell>
          <cell r="F1057">
            <v>0</v>
          </cell>
        </row>
        <row r="1058">
          <cell r="A1058" t="str">
            <v>PURCSTMA</v>
          </cell>
          <cell r="B1058">
            <v>4.8000001907348633</v>
          </cell>
          <cell r="C1058">
            <v>-2.6587400436401367</v>
          </cell>
          <cell r="D1058">
            <v>4.8000001907348633</v>
          </cell>
          <cell r="E1058">
            <v>4.8000001907348633</v>
          </cell>
          <cell r="F1058">
            <v>-1.886440404147318</v>
          </cell>
        </row>
        <row r="1059">
          <cell r="A1059" t="str">
            <v>PURCWATA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0.40447470545768738</v>
          </cell>
        </row>
        <row r="1060">
          <cell r="A1060" t="str">
            <v>PURCH2OA</v>
          </cell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4.7429550439119339E-2</v>
          </cell>
        </row>
        <row r="1061">
          <cell r="A1061" t="str">
            <v>PURCFULA</v>
          </cell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0.55470055651991335</v>
          </cell>
        </row>
        <row r="1062">
          <cell r="A1062" t="str">
            <v>FBLNPRPA</v>
          </cell>
          <cell r="B1062">
            <v>0.52031729335654275</v>
          </cell>
          <cell r="C1062">
            <v>0</v>
          </cell>
          <cell r="D1062">
            <v>0</v>
          </cell>
          <cell r="E1062" t="e">
            <v>#VALUE!</v>
          </cell>
          <cell r="F1062">
            <v>0</v>
          </cell>
        </row>
        <row r="1063">
          <cell r="A1063" t="str">
            <v>FBLNPROA</v>
          </cell>
          <cell r="B1063">
            <v>0</v>
          </cell>
          <cell r="C1063">
            <v>0</v>
          </cell>
          <cell r="D1063">
            <v>0</v>
          </cell>
          <cell r="E1063" t="e">
            <v>#VALUE!</v>
          </cell>
          <cell r="F1063">
            <v>-759.9942626953125</v>
          </cell>
        </row>
        <row r="1064">
          <cell r="A1064" t="str">
            <v>FBLNPRCA</v>
          </cell>
          <cell r="B1064">
            <v>0</v>
          </cell>
          <cell r="C1064">
            <v>0</v>
          </cell>
          <cell r="D1064">
            <v>0</v>
          </cell>
          <cell r="E1064" t="e">
            <v>#VALUE!</v>
          </cell>
          <cell r="F1064">
            <v>-396.71701049804688</v>
          </cell>
        </row>
        <row r="1065">
          <cell r="A1065" t="str">
            <v>FBLNPRIA</v>
          </cell>
          <cell r="B1065">
            <v>0</v>
          </cell>
          <cell r="C1065">
            <v>0</v>
          </cell>
          <cell r="D1065">
            <v>0</v>
          </cell>
          <cell r="E1065" t="e">
            <v>#VALUE!</v>
          </cell>
          <cell r="F1065">
            <v>-156.90498352050781</v>
          </cell>
        </row>
        <row r="1066">
          <cell r="A1066" t="str">
            <v>FBLNSCLA</v>
          </cell>
          <cell r="B1066">
            <v>0</v>
          </cell>
          <cell r="C1066">
            <v>0</v>
          </cell>
          <cell r="D1066">
            <v>0</v>
          </cell>
          <cell r="E1066" t="e">
            <v>#VALUE!</v>
          </cell>
          <cell r="F1066">
            <v>-381.97058222522475</v>
          </cell>
        </row>
        <row r="1067">
          <cell r="A1067" t="str">
            <v>FBLNA87A</v>
          </cell>
          <cell r="B1067">
            <v>0</v>
          </cell>
          <cell r="C1067">
            <v>0</v>
          </cell>
          <cell r="D1067">
            <v>0</v>
          </cell>
          <cell r="E1067" t="e">
            <v>#VALUE!</v>
          </cell>
          <cell r="F1067">
            <v>-546.47807784407109</v>
          </cell>
        </row>
        <row r="1068">
          <cell r="A1068" t="str">
            <v>BVBLPRDA</v>
          </cell>
          <cell r="B1068">
            <v>0.36133153242607641</v>
          </cell>
          <cell r="C1068">
            <v>0</v>
          </cell>
          <cell r="D1068">
            <v>0</v>
          </cell>
          <cell r="E1068" t="e">
            <v>#VALUE!</v>
          </cell>
          <cell r="F1068">
            <v>0</v>
          </cell>
        </row>
        <row r="1069">
          <cell r="A1069" t="str">
            <v>BWBLPRDA</v>
          </cell>
          <cell r="B1069">
            <v>0.1841621706338778</v>
          </cell>
          <cell r="C1069">
            <v>0</v>
          </cell>
          <cell r="D1069">
            <v>0</v>
          </cell>
          <cell r="E1069" t="e">
            <v>#VALUE!</v>
          </cell>
          <cell r="F1069">
            <v>0</v>
          </cell>
        </row>
        <row r="1070">
          <cell r="A1070" t="str">
            <v>BVBLD7PA</v>
          </cell>
          <cell r="B1070">
            <v>0</v>
          </cell>
          <cell r="C1070">
            <v>0</v>
          </cell>
          <cell r="D1070">
            <v>0</v>
          </cell>
          <cell r="E1070" t="e">
            <v>#VALUE!</v>
          </cell>
          <cell r="F1070">
            <v>0</v>
          </cell>
        </row>
        <row r="1071">
          <cell r="A1071" t="str">
            <v>BWBLD7PA</v>
          </cell>
          <cell r="B1071">
            <v>0</v>
          </cell>
          <cell r="C1071">
            <v>0</v>
          </cell>
          <cell r="D1071">
            <v>0</v>
          </cell>
          <cell r="E1071" t="e">
            <v>#VALUE!</v>
          </cell>
          <cell r="F1071">
            <v>0</v>
          </cell>
        </row>
        <row r="1072">
          <cell r="A1072" t="str">
            <v>BVBLNACA</v>
          </cell>
          <cell r="B1072">
            <v>0.31048972680144116</v>
          </cell>
          <cell r="C1072">
            <v>0</v>
          </cell>
          <cell r="D1072">
            <v>0</v>
          </cell>
          <cell r="E1072" t="e">
            <v>#VALUE!</v>
          </cell>
          <cell r="F1072">
            <v>0</v>
          </cell>
        </row>
        <row r="1073">
          <cell r="A1073" t="str">
            <v>BWBLNACA</v>
          </cell>
          <cell r="B1073">
            <v>0.21939369893237337</v>
          </cell>
          <cell r="C1073">
            <v>0</v>
          </cell>
          <cell r="D1073">
            <v>0</v>
          </cell>
          <cell r="E1073" t="e">
            <v>#VALUE!</v>
          </cell>
          <cell r="F1073">
            <v>0</v>
          </cell>
        </row>
        <row r="1074">
          <cell r="A1074" t="str">
            <v>BVBLNASA</v>
          </cell>
          <cell r="B1074">
            <v>2.0201476397579663</v>
          </cell>
          <cell r="C1074">
            <v>0</v>
          </cell>
          <cell r="D1074">
            <v>0</v>
          </cell>
          <cell r="E1074" t="e">
            <v>#VALUE!</v>
          </cell>
          <cell r="F1074">
            <v>0</v>
          </cell>
        </row>
        <row r="1075">
          <cell r="A1075" t="str">
            <v>BWBLNASA</v>
          </cell>
          <cell r="B1075">
            <v>1.4751438496864004</v>
          </cell>
          <cell r="C1075">
            <v>0</v>
          </cell>
          <cell r="D1075">
            <v>0</v>
          </cell>
          <cell r="E1075" t="e">
            <v>#VALUE!</v>
          </cell>
          <cell r="F1075">
            <v>0</v>
          </cell>
        </row>
        <row r="1076">
          <cell r="A1076" t="str">
            <v>BVBLNECA</v>
          </cell>
          <cell r="B1076">
            <v>0.90487763228481766</v>
          </cell>
          <cell r="C1076">
            <v>0</v>
          </cell>
          <cell r="D1076">
            <v>0</v>
          </cell>
          <cell r="E1076" t="e">
            <v>#VALUE!</v>
          </cell>
          <cell r="F1076">
            <v>0</v>
          </cell>
        </row>
        <row r="1077">
          <cell r="A1077" t="str">
            <v>BWBLNECA</v>
          </cell>
          <cell r="B1077">
            <v>0.68485202258580347</v>
          </cell>
          <cell r="C1077">
            <v>0</v>
          </cell>
          <cell r="D1077">
            <v>0</v>
          </cell>
          <cell r="E1077" t="e">
            <v>#VALUE!</v>
          </cell>
          <cell r="F1077">
            <v>0</v>
          </cell>
        </row>
        <row r="1078">
          <cell r="A1078" t="str">
            <v>BVBLNE1A</v>
          </cell>
          <cell r="B1078">
            <v>0.32876700162887573</v>
          </cell>
          <cell r="C1078">
            <v>0</v>
          </cell>
          <cell r="D1078">
            <v>0</v>
          </cell>
          <cell r="E1078" t="e">
            <v>#VALUE!</v>
          </cell>
          <cell r="F1078">
            <v>0</v>
          </cell>
        </row>
        <row r="1079">
          <cell r="A1079" t="str">
            <v>BWBLNE1A</v>
          </cell>
          <cell r="B1079">
            <v>0.24834003489311426</v>
          </cell>
          <cell r="C1079">
            <v>0</v>
          </cell>
          <cell r="D1079">
            <v>0</v>
          </cell>
          <cell r="E1079" t="e">
            <v>#VALUE!</v>
          </cell>
          <cell r="F1079">
            <v>0</v>
          </cell>
        </row>
        <row r="1080">
          <cell r="A1080" t="str">
            <v>BVBLNE2A</v>
          </cell>
          <cell r="B1080">
            <v>1.0696679386994448E-10</v>
          </cell>
          <cell r="C1080">
            <v>0</v>
          </cell>
          <cell r="D1080">
            <v>0</v>
          </cell>
          <cell r="E1080" t="e">
            <v>#VALUE!</v>
          </cell>
          <cell r="F1080">
            <v>-4.9980053366047059</v>
          </cell>
        </row>
        <row r="1081">
          <cell r="A1081" t="str">
            <v>BWBLNE2A</v>
          </cell>
          <cell r="B1081">
            <v>7.8858989353779026E-11</v>
          </cell>
          <cell r="C1081">
            <v>0</v>
          </cell>
          <cell r="D1081">
            <v>0</v>
          </cell>
          <cell r="E1081" t="e">
            <v>#VALUE!</v>
          </cell>
          <cell r="F1081">
            <v>0</v>
          </cell>
        </row>
        <row r="1082">
          <cell r="A1082" t="str">
            <v>BVBLNE3A</v>
          </cell>
          <cell r="B1082">
            <v>1.6152493179660954</v>
          </cell>
          <cell r="C1082">
            <v>0</v>
          </cell>
          <cell r="D1082">
            <v>0</v>
          </cell>
          <cell r="E1082" t="e">
            <v>#VALUE!</v>
          </cell>
          <cell r="F1082">
            <v>0</v>
          </cell>
        </row>
        <row r="1083">
          <cell r="A1083" t="str">
            <v>BWBLNE3A</v>
          </cell>
          <cell r="B1083">
            <v>1.1930422570607433</v>
          </cell>
          <cell r="C1083">
            <v>0</v>
          </cell>
          <cell r="D1083">
            <v>0</v>
          </cell>
          <cell r="E1083" t="e">
            <v>#VALUE!</v>
          </cell>
          <cell r="F1083">
            <v>0</v>
          </cell>
        </row>
        <row r="1084">
          <cell r="A1084" t="str">
            <v>BVBLNE4A</v>
          </cell>
          <cell r="B1084">
            <v>-1.6919390032085339E-9</v>
          </cell>
          <cell r="C1084">
            <v>0</v>
          </cell>
          <cell r="D1084">
            <v>0</v>
          </cell>
          <cell r="E1084" t="e">
            <v>#VALUE!</v>
          </cell>
          <cell r="F1084">
            <v>0</v>
          </cell>
        </row>
        <row r="1085">
          <cell r="A1085" t="str">
            <v>BWBLNE4A</v>
          </cell>
          <cell r="B1085">
            <v>-1.2233506664304121E-9</v>
          </cell>
          <cell r="C1085">
            <v>0</v>
          </cell>
          <cell r="D1085">
            <v>0</v>
          </cell>
          <cell r="E1085" t="e">
            <v>#VALUE!</v>
          </cell>
          <cell r="F1085">
            <v>0</v>
          </cell>
        </row>
        <row r="1086">
          <cell r="A1086" t="str">
            <v>BVBLNE5A</v>
          </cell>
          <cell r="B1086">
            <v>0.16438399255275726</v>
          </cell>
          <cell r="C1086">
            <v>0</v>
          </cell>
          <cell r="D1086">
            <v>0</v>
          </cell>
          <cell r="E1086" t="e">
            <v>#VALUE!</v>
          </cell>
          <cell r="F1086">
            <v>0</v>
          </cell>
        </row>
        <row r="1087">
          <cell r="A1087" t="str">
            <v>BWBLNE5A</v>
          </cell>
          <cell r="B1087">
            <v>0.12482289010531282</v>
          </cell>
          <cell r="C1087">
            <v>0</v>
          </cell>
          <cell r="D1087">
            <v>0</v>
          </cell>
          <cell r="E1087" t="e">
            <v>#VALUE!</v>
          </cell>
          <cell r="F1087">
            <v>0</v>
          </cell>
        </row>
        <row r="1088">
          <cell r="A1088" t="str">
            <v>BVBLNE6A</v>
          </cell>
          <cell r="B1088">
            <v>0.12309959147074451</v>
          </cell>
          <cell r="C1088">
            <v>0</v>
          </cell>
          <cell r="D1088">
            <v>0</v>
          </cell>
          <cell r="E1088" t="e">
            <v>#VALUE!</v>
          </cell>
          <cell r="F1088">
            <v>-3.6856581178430008</v>
          </cell>
        </row>
        <row r="1089">
          <cell r="A1089" t="str">
            <v>BWBLNE6A</v>
          </cell>
          <cell r="B1089">
            <v>9.0386656865681689E-2</v>
          </cell>
          <cell r="C1089">
            <v>0</v>
          </cell>
          <cell r="D1089">
            <v>0</v>
          </cell>
          <cell r="E1089" t="e">
            <v>#VALUE!</v>
          </cell>
          <cell r="F1089">
            <v>0</v>
          </cell>
        </row>
        <row r="1090">
          <cell r="A1090" t="str">
            <v>BVBLNE7A</v>
          </cell>
          <cell r="B1090">
            <v>0</v>
          </cell>
          <cell r="C1090">
            <v>0</v>
          </cell>
          <cell r="D1090">
            <v>0</v>
          </cell>
          <cell r="E1090" t="e">
            <v>#VALUE!</v>
          </cell>
          <cell r="F1090">
            <v>0</v>
          </cell>
        </row>
        <row r="1091">
          <cell r="A1091" t="str">
            <v>BWBLNE7A</v>
          </cell>
          <cell r="B1091">
            <v>0</v>
          </cell>
          <cell r="C1091">
            <v>0</v>
          </cell>
          <cell r="D1091">
            <v>0</v>
          </cell>
          <cell r="E1091" t="e">
            <v>#VALUE!</v>
          </cell>
          <cell r="F1091">
            <v>0</v>
          </cell>
        </row>
        <row r="1092">
          <cell r="A1092" t="str">
            <v>BVBLNE8A</v>
          </cell>
          <cell r="B1092">
            <v>9.9452929481951707E-13</v>
          </cell>
          <cell r="C1092">
            <v>0</v>
          </cell>
          <cell r="D1092">
            <v>0</v>
          </cell>
          <cell r="E1092" t="e">
            <v>#VALUE!</v>
          </cell>
          <cell r="F1092">
            <v>0</v>
          </cell>
        </row>
        <row r="1093">
          <cell r="A1093" t="str">
            <v>BWBLNE8A</v>
          </cell>
          <cell r="B1093">
            <v>6.9617047393670923E-13</v>
          </cell>
          <cell r="C1093">
            <v>0</v>
          </cell>
          <cell r="D1093">
            <v>0</v>
          </cell>
          <cell r="E1093" t="e">
            <v>#VALUE!</v>
          </cell>
          <cell r="F1093">
            <v>0</v>
          </cell>
        </row>
        <row r="1094">
          <cell r="A1094" t="str">
            <v>BVBLNE9A</v>
          </cell>
          <cell r="B1094">
            <v>1.2892186527572576E-12</v>
          </cell>
          <cell r="C1094">
            <v>0</v>
          </cell>
          <cell r="D1094">
            <v>0</v>
          </cell>
          <cell r="E1094" t="e">
            <v>#VALUE!</v>
          </cell>
          <cell r="F1094">
            <v>-8.5577347272062951</v>
          </cell>
        </row>
        <row r="1095">
          <cell r="A1095" t="str">
            <v>BWBLNE9A</v>
          </cell>
          <cell r="B1095">
            <v>8.6972207701024038E-13</v>
          </cell>
          <cell r="C1095">
            <v>0</v>
          </cell>
          <cell r="D1095">
            <v>0</v>
          </cell>
          <cell r="E1095" t="e">
            <v>#VALUE!</v>
          </cell>
          <cell r="F1095">
            <v>0</v>
          </cell>
        </row>
        <row r="1096">
          <cell r="A1096" t="str">
            <v>BVBLJETA</v>
          </cell>
          <cell r="B1096">
            <v>2.4364921902957026</v>
          </cell>
          <cell r="C1096">
            <v>0</v>
          </cell>
          <cell r="D1096">
            <v>0</v>
          </cell>
          <cell r="E1096" t="e">
            <v>#VALUE!</v>
          </cell>
          <cell r="F1096">
            <v>0</v>
          </cell>
        </row>
        <row r="1097">
          <cell r="A1097" t="str">
            <v>BWBLJETA</v>
          </cell>
          <cell r="B1097">
            <v>1.9364229502743238</v>
          </cell>
          <cell r="C1097">
            <v>0</v>
          </cell>
          <cell r="D1097">
            <v>0</v>
          </cell>
          <cell r="E1097" t="e">
            <v>#VALUE!</v>
          </cell>
          <cell r="F1097">
            <v>0</v>
          </cell>
        </row>
        <row r="1098">
          <cell r="A1098" t="str">
            <v>BVBLKERA</v>
          </cell>
          <cell r="B1098">
            <v>3.4152614325640967E-8</v>
          </cell>
          <cell r="C1098">
            <v>0</v>
          </cell>
          <cell r="D1098">
            <v>0</v>
          </cell>
          <cell r="E1098" t="e">
            <v>#VALUE!</v>
          </cell>
          <cell r="F1098">
            <v>0</v>
          </cell>
        </row>
        <row r="1099">
          <cell r="A1099" t="str">
            <v>BWBLKERA</v>
          </cell>
          <cell r="B1099">
            <v>2.7704059121057906E-8</v>
          </cell>
          <cell r="C1099">
            <v>0</v>
          </cell>
          <cell r="D1099">
            <v>0</v>
          </cell>
          <cell r="E1099" t="e">
            <v>#VALUE!</v>
          </cell>
          <cell r="F1099">
            <v>0</v>
          </cell>
        </row>
        <row r="1100">
          <cell r="A1100" t="str">
            <v>BVBLDSLA</v>
          </cell>
          <cell r="B1100">
            <v>0.40547917550557278</v>
          </cell>
          <cell r="C1100">
            <v>0</v>
          </cell>
          <cell r="D1100">
            <v>0</v>
          </cell>
          <cell r="E1100" t="e">
            <v>#VALUE!</v>
          </cell>
          <cell r="F1100">
            <v>0</v>
          </cell>
        </row>
        <row r="1101">
          <cell r="A1101" t="str">
            <v>BWBLDSLA</v>
          </cell>
          <cell r="B1101">
            <v>0.34678755876136153</v>
          </cell>
          <cell r="C1101">
            <v>0</v>
          </cell>
          <cell r="D1101">
            <v>0</v>
          </cell>
          <cell r="E1101" t="e">
            <v>#VALUE!</v>
          </cell>
          <cell r="F1101">
            <v>0</v>
          </cell>
        </row>
        <row r="1102">
          <cell r="A1102" t="str">
            <v>BVBLDSAA</v>
          </cell>
          <cell r="B1102">
            <v>0.32054810785267451</v>
          </cell>
          <cell r="C1102">
            <v>0</v>
          </cell>
          <cell r="D1102">
            <v>0</v>
          </cell>
          <cell r="E1102" t="e">
            <v>#VALUE!</v>
          </cell>
          <cell r="F1102">
            <v>0</v>
          </cell>
        </row>
        <row r="1103">
          <cell r="A1103" t="str">
            <v>BWBLDSAA</v>
          </cell>
          <cell r="B1103">
            <v>0.27999848658091403</v>
          </cell>
          <cell r="C1103">
            <v>0</v>
          </cell>
          <cell r="D1103">
            <v>0</v>
          </cell>
          <cell r="E1103" t="e">
            <v>#VALUE!</v>
          </cell>
          <cell r="F1103">
            <v>0</v>
          </cell>
        </row>
        <row r="1104">
          <cell r="A1104" t="str">
            <v>BVBLGTGA</v>
          </cell>
          <cell r="B1104">
            <v>0.32852798700332642</v>
          </cell>
          <cell r="C1104">
            <v>0</v>
          </cell>
          <cell r="D1104">
            <v>0</v>
          </cell>
          <cell r="E1104" t="e">
            <v>#VALUE!</v>
          </cell>
          <cell r="F1104">
            <v>0</v>
          </cell>
        </row>
        <row r="1105">
          <cell r="A1105" t="str">
            <v>BWBLGTGA</v>
          </cell>
          <cell r="B1105">
            <v>0.35648572444915771</v>
          </cell>
          <cell r="C1105">
            <v>0</v>
          </cell>
          <cell r="D1105">
            <v>0</v>
          </cell>
          <cell r="E1105" t="e">
            <v>#VALUE!</v>
          </cell>
          <cell r="F1105">
            <v>0</v>
          </cell>
        </row>
        <row r="1106">
          <cell r="A1106" t="str">
            <v>BVBLGOIA</v>
          </cell>
          <cell r="B1106">
            <v>6.0778471920588242</v>
          </cell>
          <cell r="C1106">
            <v>0</v>
          </cell>
          <cell r="D1106">
            <v>0</v>
          </cell>
          <cell r="E1106" t="e">
            <v>#VALUE!</v>
          </cell>
          <cell r="F1106">
            <v>0</v>
          </cell>
        </row>
        <row r="1107">
          <cell r="A1107" t="str">
            <v>BWBLGOIA</v>
          </cell>
          <cell r="B1107">
            <v>5.2576150227899419</v>
          </cell>
          <cell r="C1107">
            <v>0</v>
          </cell>
          <cell r="D1107">
            <v>0</v>
          </cell>
          <cell r="E1107" t="e">
            <v>#VALUE!</v>
          </cell>
          <cell r="F1107">
            <v>0</v>
          </cell>
        </row>
        <row r="1108">
          <cell r="A1108" t="str">
            <v>BVBLGOAA</v>
          </cell>
          <cell r="B1108">
            <v>0.99550402719680575</v>
          </cell>
          <cell r="C1108">
            <v>0</v>
          </cell>
          <cell r="D1108">
            <v>0</v>
          </cell>
          <cell r="E1108" t="e">
            <v>#VALUE!</v>
          </cell>
          <cell r="F1108">
            <v>0</v>
          </cell>
        </row>
        <row r="1109">
          <cell r="A1109" t="str">
            <v>BWBLGOAA</v>
          </cell>
          <cell r="B1109">
            <v>0.82711109739460353</v>
          </cell>
          <cell r="C1109">
            <v>0</v>
          </cell>
          <cell r="D1109">
            <v>0</v>
          </cell>
          <cell r="E1109" t="e">
            <v>#VALUE!</v>
          </cell>
          <cell r="F1109">
            <v>0</v>
          </cell>
        </row>
        <row r="1110">
          <cell r="A1110" t="str">
            <v>BVBLGOEA</v>
          </cell>
          <cell r="B1110">
            <v>-1.847992760708047E-12</v>
          </cell>
          <cell r="C1110">
            <v>0</v>
          </cell>
          <cell r="D1110">
            <v>0</v>
          </cell>
          <cell r="E1110" t="e">
            <v>#VALUE!</v>
          </cell>
          <cell r="F1110">
            <v>0</v>
          </cell>
        </row>
        <row r="1111">
          <cell r="A1111" t="str">
            <v>BWBLGOEA</v>
          </cell>
          <cell r="B1111">
            <v>-7.4292933540507227E-13</v>
          </cell>
          <cell r="C1111">
            <v>0</v>
          </cell>
          <cell r="D1111">
            <v>0</v>
          </cell>
          <cell r="E1111" t="e">
            <v>#VALUE!</v>
          </cell>
          <cell r="F1111">
            <v>0</v>
          </cell>
        </row>
        <row r="1112">
          <cell r="A1112" t="str">
            <v>BVBLGOYA</v>
          </cell>
          <cell r="B1112">
            <v>1.4620040587697022E-12</v>
          </cell>
          <cell r="C1112">
            <v>0</v>
          </cell>
          <cell r="D1112">
            <v>0</v>
          </cell>
          <cell r="E1112" t="e">
            <v>#VALUE!</v>
          </cell>
          <cell r="F1112">
            <v>-97.970363334760279</v>
          </cell>
        </row>
        <row r="1113">
          <cell r="A1113" t="str">
            <v>BWBLGOYA</v>
          </cell>
          <cell r="B1113">
            <v>-1.4916734846945373E-13</v>
          </cell>
          <cell r="C1113">
            <v>0</v>
          </cell>
          <cell r="D1113">
            <v>0</v>
          </cell>
          <cell r="E1113" t="e">
            <v>#VALUE!</v>
          </cell>
          <cell r="F1113">
            <v>0</v>
          </cell>
        </row>
        <row r="1114">
          <cell r="A1114" t="str">
            <v>BVBLGOCA</v>
          </cell>
          <cell r="B1114">
            <v>2.5623445119879044E-10</v>
          </cell>
          <cell r="C1114">
            <v>0</v>
          </cell>
          <cell r="D1114">
            <v>0</v>
          </cell>
          <cell r="E1114" t="e">
            <v>#VALUE!</v>
          </cell>
          <cell r="F1114">
            <v>-98.450404337007711</v>
          </cell>
        </row>
        <row r="1115">
          <cell r="A1115" t="str">
            <v>BWBLGOCA</v>
          </cell>
          <cell r="B1115">
            <v>2.5016971403978036E-10</v>
          </cell>
          <cell r="C1115">
            <v>0</v>
          </cell>
          <cell r="D1115">
            <v>0</v>
          </cell>
          <cell r="E1115" t="e">
            <v>#VALUE!</v>
          </cell>
          <cell r="F1115">
            <v>0</v>
          </cell>
        </row>
        <row r="1116">
          <cell r="A1116" t="str">
            <v>BVBLGOUA</v>
          </cell>
          <cell r="B1116">
            <v>1.62742754825174</v>
          </cell>
          <cell r="C1116">
            <v>0</v>
          </cell>
          <cell r="D1116">
            <v>0</v>
          </cell>
          <cell r="E1116" t="e">
            <v>#VALUE!</v>
          </cell>
          <cell r="F1116">
            <v>0</v>
          </cell>
        </row>
        <row r="1117">
          <cell r="A1117" t="str">
            <v>BWBLGOUA</v>
          </cell>
          <cell r="B1117">
            <v>1.3890574775330007</v>
          </cell>
          <cell r="C1117">
            <v>0</v>
          </cell>
          <cell r="D1117">
            <v>0</v>
          </cell>
          <cell r="E1117" t="e">
            <v>#VALUE!</v>
          </cell>
          <cell r="F1117">
            <v>0</v>
          </cell>
        </row>
        <row r="1118">
          <cell r="A1118" t="str">
            <v>BVBLGOBA</v>
          </cell>
          <cell r="B1118">
            <v>-2.8664515571250807E-13</v>
          </cell>
          <cell r="C1118">
            <v>0</v>
          </cell>
          <cell r="D1118">
            <v>0</v>
          </cell>
          <cell r="E1118" t="e">
            <v>#VALUE!</v>
          </cell>
          <cell r="F1118">
            <v>0</v>
          </cell>
        </row>
        <row r="1119">
          <cell r="A1119" t="str">
            <v>BWBLGOBA</v>
          </cell>
          <cell r="B1119">
            <v>1.3552979550564338E-13</v>
          </cell>
          <cell r="C1119">
            <v>0</v>
          </cell>
          <cell r="D1119">
            <v>0</v>
          </cell>
          <cell r="E1119" t="e">
            <v>#VALUE!</v>
          </cell>
          <cell r="F1119">
            <v>0</v>
          </cell>
        </row>
        <row r="1120">
          <cell r="A1120" t="str">
            <v>BVBLIFOA</v>
          </cell>
          <cell r="B1120">
            <v>0.19196699559688568</v>
          </cell>
          <cell r="C1120">
            <v>0</v>
          </cell>
          <cell r="D1120">
            <v>0</v>
          </cell>
          <cell r="E1120" t="e">
            <v>#VALUE!</v>
          </cell>
          <cell r="F1120">
            <v>0</v>
          </cell>
        </row>
        <row r="1121">
          <cell r="A1121" t="str">
            <v>BWBLIFOA</v>
          </cell>
          <cell r="B1121">
            <v>0.18353081182257769</v>
          </cell>
          <cell r="C1121">
            <v>0</v>
          </cell>
          <cell r="D1121">
            <v>0</v>
          </cell>
          <cell r="E1121" t="e">
            <v>#VALUE!</v>
          </cell>
          <cell r="F1121">
            <v>0</v>
          </cell>
        </row>
        <row r="1122">
          <cell r="A1122" t="str">
            <v>BVBLFOCA</v>
          </cell>
          <cell r="B1122">
            <v>1.6205979321100941</v>
          </cell>
          <cell r="C1122">
            <v>0</v>
          </cell>
          <cell r="D1122">
            <v>0</v>
          </cell>
          <cell r="E1122" t="e">
            <v>#VALUE!</v>
          </cell>
          <cell r="F1122">
            <v>0</v>
          </cell>
        </row>
        <row r="1123">
          <cell r="A1123" t="str">
            <v>BWBLFOCA</v>
          </cell>
          <cell r="B1123">
            <v>1.5574684956302383</v>
          </cell>
          <cell r="C1123">
            <v>0</v>
          </cell>
          <cell r="D1123">
            <v>0</v>
          </cell>
          <cell r="E1123" t="e">
            <v>#VALUE!</v>
          </cell>
          <cell r="F1123">
            <v>0</v>
          </cell>
        </row>
        <row r="1124">
          <cell r="A1124" t="str">
            <v>BVBLFOEA</v>
          </cell>
          <cell r="B1124">
            <v>2.0844629411828026</v>
          </cell>
          <cell r="C1124">
            <v>0</v>
          </cell>
          <cell r="D1124">
            <v>0</v>
          </cell>
          <cell r="E1124" t="e">
            <v>#VALUE!</v>
          </cell>
          <cell r="F1124">
            <v>0</v>
          </cell>
        </row>
        <row r="1125">
          <cell r="A1125" t="str">
            <v>BWBLFOEA</v>
          </cell>
          <cell r="B1125">
            <v>1.9830313421275518</v>
          </cell>
          <cell r="C1125">
            <v>0</v>
          </cell>
          <cell r="D1125">
            <v>0</v>
          </cell>
          <cell r="E1125" t="e">
            <v>#VALUE!</v>
          </cell>
          <cell r="F1125">
            <v>0</v>
          </cell>
        </row>
        <row r="1126">
          <cell r="A1126" t="str">
            <v>BVBLCKEA</v>
          </cell>
          <cell r="B1126">
            <v>1.2969857611068307</v>
          </cell>
          <cell r="C1126">
            <v>0</v>
          </cell>
          <cell r="D1126">
            <v>0</v>
          </cell>
          <cell r="E1126" t="e">
            <v>#VALUE!</v>
          </cell>
          <cell r="F1126">
            <v>0</v>
          </cell>
        </row>
        <row r="1127">
          <cell r="A1127" t="str">
            <v>BWBLCKEA</v>
          </cell>
          <cell r="B1127">
            <v>1.2969857611068307</v>
          </cell>
          <cell r="C1127">
            <v>0</v>
          </cell>
          <cell r="D1127">
            <v>0</v>
          </cell>
          <cell r="E1127" t="e">
            <v>#VALUE!</v>
          </cell>
          <cell r="F1127">
            <v>0</v>
          </cell>
        </row>
        <row r="1128">
          <cell r="A1128" t="str">
            <v>BVBLB05A</v>
          </cell>
          <cell r="B1128">
            <v>3.7272802250434271E-2</v>
          </cell>
          <cell r="C1128">
            <v>0</v>
          </cell>
          <cell r="D1128">
            <v>0</v>
          </cell>
          <cell r="E1128" t="e">
            <v>#VALUE!</v>
          </cell>
          <cell r="F1128">
            <v>0</v>
          </cell>
        </row>
        <row r="1129">
          <cell r="A1129" t="str">
            <v>BWBLB05A</v>
          </cell>
          <cell r="B1129">
            <v>3.1868245411817341E-2</v>
          </cell>
          <cell r="C1129">
            <v>0</v>
          </cell>
          <cell r="D1129">
            <v>0</v>
          </cell>
          <cell r="E1129" t="e">
            <v>#VALUE!</v>
          </cell>
          <cell r="F1129">
            <v>0</v>
          </cell>
        </row>
        <row r="1130">
          <cell r="A1130" t="str">
            <v>BVBLB20A</v>
          </cell>
          <cell r="B1130">
            <v>0.23558219169100669</v>
          </cell>
          <cell r="C1130">
            <v>0</v>
          </cell>
          <cell r="D1130">
            <v>0</v>
          </cell>
          <cell r="E1130" t="e">
            <v>#VALUE!</v>
          </cell>
          <cell r="F1130">
            <v>0</v>
          </cell>
        </row>
        <row r="1131">
          <cell r="A1131" t="str">
            <v>BWBLB20A</v>
          </cell>
          <cell r="B1131">
            <v>0.2037785967327144</v>
          </cell>
          <cell r="C1131">
            <v>0</v>
          </cell>
          <cell r="D1131">
            <v>0</v>
          </cell>
          <cell r="E1131" t="e">
            <v>#VALUE!</v>
          </cell>
          <cell r="F1131">
            <v>0</v>
          </cell>
        </row>
        <row r="1132">
          <cell r="A1132" t="str">
            <v>BVBLB30A</v>
          </cell>
          <cell r="B1132">
            <v>8.4488908711769811E-2</v>
          </cell>
          <cell r="C1132">
            <v>0</v>
          </cell>
          <cell r="D1132">
            <v>0</v>
          </cell>
          <cell r="E1132" t="e">
            <v>#VALUE!</v>
          </cell>
          <cell r="F1132">
            <v>0</v>
          </cell>
        </row>
        <row r="1133">
          <cell r="A1133" t="str">
            <v>BWBLB30A</v>
          </cell>
          <cell r="B1133">
            <v>7.392779452955886E-2</v>
          </cell>
          <cell r="C1133">
            <v>0</v>
          </cell>
          <cell r="D1133">
            <v>0</v>
          </cell>
          <cell r="E1133" t="e">
            <v>#VALUE!</v>
          </cell>
          <cell r="F1133">
            <v>0</v>
          </cell>
        </row>
        <row r="1134">
          <cell r="A1134" t="str">
            <v>BVBLB40A</v>
          </cell>
          <cell r="B1134">
            <v>0.23100828341629406</v>
          </cell>
          <cell r="C1134">
            <v>0</v>
          </cell>
          <cell r="D1134">
            <v>0</v>
          </cell>
          <cell r="E1134" t="e">
            <v>#VALUE!</v>
          </cell>
          <cell r="F1134">
            <v>0</v>
          </cell>
        </row>
        <row r="1135">
          <cell r="A1135" t="str">
            <v>BWBLB40A</v>
          </cell>
          <cell r="B1135">
            <v>0.20328729156761954</v>
          </cell>
          <cell r="C1135">
            <v>0</v>
          </cell>
          <cell r="D1135">
            <v>0</v>
          </cell>
          <cell r="E1135" t="e">
            <v>#VALUE!</v>
          </cell>
          <cell r="F1135">
            <v>0</v>
          </cell>
        </row>
        <row r="1136">
          <cell r="A1136" t="str">
            <v>BVBLB50A</v>
          </cell>
          <cell r="B1136">
            <v>7.9245062345919548E-2</v>
          </cell>
          <cell r="C1136">
            <v>0</v>
          </cell>
          <cell r="D1136">
            <v>0</v>
          </cell>
          <cell r="E1136" t="e">
            <v>#VALUE!</v>
          </cell>
          <cell r="F1136">
            <v>0</v>
          </cell>
        </row>
        <row r="1137">
          <cell r="A1137" t="str">
            <v>BWBLB50A</v>
          </cell>
          <cell r="B1137">
            <v>7.0924330737492811E-2</v>
          </cell>
          <cell r="C1137">
            <v>0</v>
          </cell>
          <cell r="D1137">
            <v>0</v>
          </cell>
          <cell r="E1137" t="e">
            <v>#VALUE!</v>
          </cell>
          <cell r="F1137">
            <v>0</v>
          </cell>
        </row>
        <row r="1138">
          <cell r="A1138" t="str">
            <v>BVBLB60A</v>
          </cell>
          <cell r="B1138">
            <v>0</v>
          </cell>
          <cell r="C1138">
            <v>0</v>
          </cell>
          <cell r="D1138">
            <v>0</v>
          </cell>
          <cell r="E1138" t="e">
            <v>#VALUE!</v>
          </cell>
          <cell r="F1138">
            <v>0</v>
          </cell>
        </row>
        <row r="1139">
          <cell r="A1139" t="str">
            <v>BWBLB60A</v>
          </cell>
          <cell r="B1139">
            <v>0</v>
          </cell>
          <cell r="C1139">
            <v>0</v>
          </cell>
          <cell r="D1139">
            <v>0</v>
          </cell>
          <cell r="E1139" t="e">
            <v>#VALUE!</v>
          </cell>
          <cell r="F1139">
            <v>0</v>
          </cell>
        </row>
        <row r="1140">
          <cell r="A1140" t="str">
            <v>BVBLBTIA</v>
          </cell>
          <cell r="B1140">
            <v>0.54660195112228394</v>
          </cell>
          <cell r="C1140">
            <v>0</v>
          </cell>
          <cell r="D1140">
            <v>0</v>
          </cell>
          <cell r="E1140" t="e">
            <v>#VALUE!</v>
          </cell>
          <cell r="F1140">
            <v>0</v>
          </cell>
        </row>
        <row r="1141">
          <cell r="A1141" t="str">
            <v>BWBLBTIA</v>
          </cell>
          <cell r="B1141">
            <v>0.55753397941589355</v>
          </cell>
          <cell r="C1141">
            <v>0</v>
          </cell>
          <cell r="D1141">
            <v>0</v>
          </cell>
          <cell r="E1141" t="e">
            <v>#VALUE!</v>
          </cell>
          <cell r="F1141">
            <v>0</v>
          </cell>
        </row>
        <row r="1142">
          <cell r="A1142" t="str">
            <v>BVBLFD1A</v>
          </cell>
          <cell r="B1142">
            <v>1.2227785193093428E-3</v>
          </cell>
          <cell r="C1142">
            <v>0</v>
          </cell>
          <cell r="D1142">
            <v>0</v>
          </cell>
          <cell r="E1142" t="e">
            <v>#VALUE!</v>
          </cell>
          <cell r="F1142">
            <v>0</v>
          </cell>
        </row>
        <row r="1143">
          <cell r="A1143" t="str">
            <v>BWBLFD1A</v>
          </cell>
          <cell r="B1143">
            <v>8.8040052166795486E-4</v>
          </cell>
          <cell r="C1143">
            <v>0</v>
          </cell>
          <cell r="D1143">
            <v>0</v>
          </cell>
          <cell r="E1143" t="e">
            <v>#VALUE!</v>
          </cell>
          <cell r="F1143">
            <v>0</v>
          </cell>
        </row>
        <row r="1144">
          <cell r="A1144" t="str">
            <v>BVBLFD2A</v>
          </cell>
          <cell r="B1144">
            <v>1.5591899864375591E-2</v>
          </cell>
          <cell r="C1144">
            <v>0</v>
          </cell>
          <cell r="D1144">
            <v>0</v>
          </cell>
          <cell r="E1144" t="e">
            <v>#VALUE!</v>
          </cell>
          <cell r="F1144">
            <v>0</v>
          </cell>
        </row>
        <row r="1145">
          <cell r="A1145" t="str">
            <v>BWBLFD2A</v>
          </cell>
          <cell r="B1145">
            <v>1.2783798389136791E-2</v>
          </cell>
          <cell r="C1145">
            <v>0</v>
          </cell>
          <cell r="D1145">
            <v>0</v>
          </cell>
          <cell r="E1145" t="e">
            <v>#VALUE!</v>
          </cell>
          <cell r="F1145">
            <v>0</v>
          </cell>
        </row>
        <row r="1146">
          <cell r="A1146" t="str">
            <v>BVBLFD3A</v>
          </cell>
          <cell r="B1146">
            <v>6.7878077559377229E-3</v>
          </cell>
          <cell r="C1146">
            <v>0</v>
          </cell>
          <cell r="D1146">
            <v>0</v>
          </cell>
          <cell r="E1146" t="e">
            <v>#VALUE!</v>
          </cell>
          <cell r="F1146">
            <v>0</v>
          </cell>
        </row>
        <row r="1147">
          <cell r="A1147" t="str">
            <v>BWBLFD3A</v>
          </cell>
          <cell r="B1147">
            <v>5.6128382874167946E-3</v>
          </cell>
          <cell r="C1147">
            <v>0</v>
          </cell>
          <cell r="D1147">
            <v>0</v>
          </cell>
          <cell r="E1147" t="e">
            <v>#VALUE!</v>
          </cell>
          <cell r="F1147">
            <v>0</v>
          </cell>
        </row>
        <row r="1148">
          <cell r="A1148" t="str">
            <v>BVBLFD4A</v>
          </cell>
          <cell r="B1148">
            <v>1.2422504214161675E-2</v>
          </cell>
          <cell r="C1148">
            <v>0</v>
          </cell>
          <cell r="D1148">
            <v>0</v>
          </cell>
          <cell r="E1148" t="e">
            <v>#VALUE!</v>
          </cell>
          <cell r="F1148">
            <v>0</v>
          </cell>
        </row>
        <row r="1149">
          <cell r="A1149" t="str">
            <v>BWBLFD4A</v>
          </cell>
          <cell r="B1149">
            <v>1.0274653646406041E-2</v>
          </cell>
          <cell r="C1149">
            <v>0</v>
          </cell>
          <cell r="D1149">
            <v>0</v>
          </cell>
          <cell r="E1149" t="e">
            <v>#VALUE!</v>
          </cell>
          <cell r="F1149">
            <v>0</v>
          </cell>
        </row>
        <row r="1150">
          <cell r="A1150" t="str">
            <v>BVBLFD5A</v>
          </cell>
          <cell r="B1150">
            <v>0</v>
          </cell>
          <cell r="C1150">
            <v>0</v>
          </cell>
          <cell r="D1150">
            <v>0</v>
          </cell>
          <cell r="E1150" t="e">
            <v>#VALUE!</v>
          </cell>
          <cell r="F1150">
            <v>0</v>
          </cell>
        </row>
        <row r="1151">
          <cell r="A1151" t="str">
            <v>BWBLFD5A</v>
          </cell>
          <cell r="B1151">
            <v>0</v>
          </cell>
          <cell r="C1151">
            <v>0</v>
          </cell>
          <cell r="D1151">
            <v>0</v>
          </cell>
          <cell r="E1151" t="e">
            <v>#VALUE!</v>
          </cell>
          <cell r="F1151">
            <v>0</v>
          </cell>
        </row>
        <row r="1152">
          <cell r="A1152" t="str">
            <v>BVBLWAXA</v>
          </cell>
          <cell r="B1152">
            <v>0</v>
          </cell>
          <cell r="C1152">
            <v>0</v>
          </cell>
          <cell r="D1152">
            <v>0</v>
          </cell>
          <cell r="E1152" t="e">
            <v>#VALUE!</v>
          </cell>
          <cell r="F1152">
            <v>0</v>
          </cell>
        </row>
        <row r="1153">
          <cell r="A1153" t="str">
            <v>BWBLWAXA</v>
          </cell>
          <cell r="B1153">
            <v>8.5430696280000411E-18</v>
          </cell>
          <cell r="C1153">
            <v>0</v>
          </cell>
          <cell r="D1153">
            <v>0</v>
          </cell>
          <cell r="E1153" t="e">
            <v>#VALUE!</v>
          </cell>
          <cell r="F1153">
            <v>0</v>
          </cell>
        </row>
        <row r="1154">
          <cell r="A1154" t="str">
            <v>BVBLEXAA</v>
          </cell>
          <cell r="B1154">
            <v>4.3835598975419998E-2</v>
          </cell>
          <cell r="C1154">
            <v>0</v>
          </cell>
          <cell r="D1154">
            <v>0</v>
          </cell>
          <cell r="E1154" t="e">
            <v>#VALUE!</v>
          </cell>
          <cell r="F1154">
            <v>0</v>
          </cell>
        </row>
        <row r="1155">
          <cell r="A1155" t="str">
            <v>BWBLEXAA</v>
          </cell>
          <cell r="B1155">
            <v>4.2389024049043655E-2</v>
          </cell>
          <cell r="C1155">
            <v>0</v>
          </cell>
          <cell r="D1155">
            <v>0</v>
          </cell>
          <cell r="E1155" t="e">
            <v>#VALUE!</v>
          </cell>
          <cell r="F1155">
            <v>0</v>
          </cell>
        </row>
        <row r="1156">
          <cell r="A1156" t="str">
            <v>BVBLAKPA</v>
          </cell>
          <cell r="B1156">
            <v>3.1182900420390069E-4</v>
          </cell>
          <cell r="C1156">
            <v>0</v>
          </cell>
          <cell r="D1156">
            <v>0</v>
          </cell>
          <cell r="E1156" t="e">
            <v>#VALUE!</v>
          </cell>
          <cell r="F1156">
            <v>0</v>
          </cell>
        </row>
        <row r="1157">
          <cell r="A1157" t="str">
            <v>BWBLAKPA</v>
          </cell>
          <cell r="B1157">
            <v>2.739729534368962E-4</v>
          </cell>
          <cell r="C1157">
            <v>0</v>
          </cell>
          <cell r="D1157">
            <v>0</v>
          </cell>
          <cell r="E1157" t="e">
            <v>#VALUE!</v>
          </cell>
          <cell r="F1157">
            <v>0</v>
          </cell>
        </row>
        <row r="1158">
          <cell r="A1158" t="str">
            <v>BVBLFC2A</v>
          </cell>
          <cell r="B1158">
            <v>1.3061669480624767E-5</v>
          </cell>
          <cell r="C1158">
            <v>0</v>
          </cell>
          <cell r="D1158">
            <v>0</v>
          </cell>
          <cell r="E1158" t="e">
            <v>#VALUE!</v>
          </cell>
          <cell r="F1158">
            <v>0</v>
          </cell>
        </row>
        <row r="1159">
          <cell r="A1159" t="str">
            <v>BWBLFC2A</v>
          </cell>
          <cell r="B1159">
            <v>2.6313968789994983E-6</v>
          </cell>
          <cell r="C1159">
            <v>0</v>
          </cell>
          <cell r="D1159">
            <v>0</v>
          </cell>
          <cell r="E1159" t="e">
            <v>#VALUE!</v>
          </cell>
          <cell r="F1159">
            <v>-185.03379608572345</v>
          </cell>
        </row>
        <row r="1160">
          <cell r="A1160" t="str">
            <v>BVBLARSA</v>
          </cell>
          <cell r="B1160">
            <v>0</v>
          </cell>
          <cell r="C1160">
            <v>0</v>
          </cell>
          <cell r="D1160">
            <v>0</v>
          </cell>
          <cell r="E1160" t="e">
            <v>#VALUE!</v>
          </cell>
          <cell r="F1160">
            <v>0</v>
          </cell>
        </row>
        <row r="1161">
          <cell r="A1161" t="str">
            <v>BWBLARSA</v>
          </cell>
          <cell r="B1161">
            <v>0</v>
          </cell>
          <cell r="C1161">
            <v>0</v>
          </cell>
          <cell r="D1161">
            <v>0</v>
          </cell>
          <cell r="E1161" t="e">
            <v>#VALUE!</v>
          </cell>
          <cell r="F1161">
            <v>0</v>
          </cell>
        </row>
        <row r="1162">
          <cell r="A1162" t="str">
            <v>BVBLSLOA</v>
          </cell>
          <cell r="B1162">
            <v>0.11536924222560778</v>
          </cell>
          <cell r="C1162">
            <v>0</v>
          </cell>
          <cell r="D1162">
            <v>0</v>
          </cell>
          <cell r="E1162" t="e">
            <v>#VALUE!</v>
          </cell>
          <cell r="F1162">
            <v>0</v>
          </cell>
        </row>
        <row r="1163">
          <cell r="A1163" t="str">
            <v>BWBLSLOA</v>
          </cell>
          <cell r="B1163">
            <v>0.10189366793795808</v>
          </cell>
          <cell r="C1163">
            <v>0</v>
          </cell>
          <cell r="D1163">
            <v>0</v>
          </cell>
          <cell r="E1163" t="e">
            <v>#VALUE!</v>
          </cell>
          <cell r="F1163">
            <v>0</v>
          </cell>
        </row>
        <row r="1164">
          <cell r="A1164" t="str">
            <v>BVBLT14A</v>
          </cell>
          <cell r="B1164">
            <v>2.1072911915713792</v>
          </cell>
          <cell r="C1164">
            <v>0</v>
          </cell>
          <cell r="D1164">
            <v>0</v>
          </cell>
          <cell r="E1164" t="e">
            <v>#VALUE!</v>
          </cell>
          <cell r="F1164">
            <v>0</v>
          </cell>
        </row>
        <row r="1165">
          <cell r="A1165" t="str">
            <v>BWBLT14A</v>
          </cell>
          <cell r="B1165">
            <v>1.6614493510494492</v>
          </cell>
          <cell r="C1165">
            <v>0</v>
          </cell>
          <cell r="D1165">
            <v>0</v>
          </cell>
          <cell r="E1165" t="e">
            <v>#VALUE!</v>
          </cell>
          <cell r="F1165">
            <v>0</v>
          </cell>
        </row>
        <row r="1166">
          <cell r="A1166" t="str">
            <v>BVBLNCAA</v>
          </cell>
          <cell r="B1166">
            <v>1.2287616674214192</v>
          </cell>
          <cell r="C1166">
            <v>0</v>
          </cell>
          <cell r="D1166">
            <v>0</v>
          </cell>
          <cell r="E1166" t="e">
            <v>#VALUE!</v>
          </cell>
          <cell r="F1166">
            <v>0</v>
          </cell>
        </row>
        <row r="1167">
          <cell r="A1167" t="str">
            <v>BWBLNCAA</v>
          </cell>
          <cell r="B1167">
            <v>0.86989836072268556</v>
          </cell>
          <cell r="C1167">
            <v>0</v>
          </cell>
          <cell r="D1167">
            <v>0</v>
          </cell>
          <cell r="E1167" t="e">
            <v>#VALUE!</v>
          </cell>
          <cell r="F1167">
            <v>0</v>
          </cell>
        </row>
        <row r="1168">
          <cell r="A1168" t="str">
            <v>BN3RPRDA</v>
          </cell>
          <cell r="B1168">
            <v>4.994029547661951E-2</v>
          </cell>
          <cell r="C1168">
            <v>0</v>
          </cell>
          <cell r="D1168">
            <v>0</v>
          </cell>
          <cell r="E1168" t="e">
            <v>#VALUE!</v>
          </cell>
          <cell r="F1168">
            <v>0</v>
          </cell>
        </row>
        <row r="1169">
          <cell r="A1169" t="str">
            <v>BPREPRDA</v>
          </cell>
          <cell r="B1169">
            <v>0.31139125187103062</v>
          </cell>
          <cell r="C1169">
            <v>0</v>
          </cell>
          <cell r="D1169">
            <v>0</v>
          </cell>
          <cell r="E1169" t="e">
            <v>#VALUE!</v>
          </cell>
          <cell r="F1169">
            <v>0</v>
          </cell>
        </row>
        <row r="1170">
          <cell r="A1170" t="str">
            <v>BPR=PRDA</v>
          </cell>
          <cell r="B1170">
            <v>0</v>
          </cell>
          <cell r="C1170">
            <v>0</v>
          </cell>
          <cell r="D1170">
            <v>0</v>
          </cell>
          <cell r="E1170" t="e">
            <v>#VALUE!</v>
          </cell>
          <cell r="F1170">
            <v>-239.81201171875</v>
          </cell>
        </row>
        <row r="1171">
          <cell r="A1171" t="str">
            <v>BN3RD7PA</v>
          </cell>
          <cell r="B1171">
            <v>0</v>
          </cell>
          <cell r="C1171">
            <v>0</v>
          </cell>
          <cell r="D1171">
            <v>0</v>
          </cell>
          <cell r="E1171" t="e">
            <v>#VALUE!</v>
          </cell>
          <cell r="F1171">
            <v>-156.90498352050781</v>
          </cell>
        </row>
        <row r="1172">
          <cell r="A1172" t="str">
            <v>BR4MD7PA</v>
          </cell>
          <cell r="B1172">
            <v>0</v>
          </cell>
          <cell r="C1172">
            <v>0</v>
          </cell>
          <cell r="D1172">
            <v>0</v>
          </cell>
          <cell r="E1172" t="e">
            <v>#VALUE!</v>
          </cell>
          <cell r="F1172">
            <v>-170.13289343428937</v>
          </cell>
        </row>
        <row r="1173">
          <cell r="A1173" t="str">
            <v>BBTRNACA</v>
          </cell>
          <cell r="B1173">
            <v>2.0948759762391651E-2</v>
          </cell>
          <cell r="C1173">
            <v>0</v>
          </cell>
          <cell r="D1173">
            <v>0</v>
          </cell>
          <cell r="E1173" t="e">
            <v>#VALUE!</v>
          </cell>
          <cell r="F1173">
            <v>0</v>
          </cell>
        </row>
        <row r="1174">
          <cell r="A1174" t="str">
            <v>BTCHNACA</v>
          </cell>
          <cell r="B1174">
            <v>0</v>
          </cell>
          <cell r="C1174">
            <v>0</v>
          </cell>
          <cell r="D1174">
            <v>0</v>
          </cell>
          <cell r="E1174" t="e">
            <v>#VALUE!</v>
          </cell>
          <cell r="F1174">
            <v>-32.359650518224662</v>
          </cell>
        </row>
        <row r="1175">
          <cell r="A1175" t="str">
            <v>BNBBNACA</v>
          </cell>
          <cell r="B1175">
            <v>0</v>
          </cell>
          <cell r="C1175">
            <v>0</v>
          </cell>
          <cell r="D1175">
            <v>0</v>
          </cell>
          <cell r="E1175" t="e">
            <v>#VALUE!</v>
          </cell>
          <cell r="F1175">
            <v>-3.5342771242742668</v>
          </cell>
        </row>
        <row r="1176">
          <cell r="A1176" t="str">
            <v>BISONACA</v>
          </cell>
          <cell r="B1176">
            <v>0</v>
          </cell>
          <cell r="C1176">
            <v>0</v>
          </cell>
          <cell r="D1176">
            <v>0</v>
          </cell>
          <cell r="E1176" t="e">
            <v>#VALUE!</v>
          </cell>
          <cell r="F1176">
            <v>-29.050590530813558</v>
          </cell>
        </row>
        <row r="1177">
          <cell r="A1177" t="str">
            <v>BISPNACA</v>
          </cell>
          <cell r="B1177">
            <v>7.8882960383206191E-2</v>
          </cell>
          <cell r="C1177">
            <v>0</v>
          </cell>
          <cell r="D1177">
            <v>0</v>
          </cell>
          <cell r="E1177" t="e">
            <v>#VALUE!</v>
          </cell>
          <cell r="F1177">
            <v>-0.31473552037591801</v>
          </cell>
        </row>
        <row r="1178">
          <cell r="A1178" t="str">
            <v>BIZONACA</v>
          </cell>
          <cell r="B1178">
            <v>8.6322805068423052E-11</v>
          </cell>
          <cell r="C1178">
            <v>0</v>
          </cell>
          <cell r="D1178">
            <v>0</v>
          </cell>
          <cell r="E1178" t="e">
            <v>#VALUE!</v>
          </cell>
          <cell r="F1178">
            <v>-8.0703167144566361</v>
          </cell>
        </row>
        <row r="1179">
          <cell r="A1179" t="str">
            <v>BNCANACA</v>
          </cell>
          <cell r="B1179">
            <v>8.2901863202656783E-3</v>
          </cell>
          <cell r="C1179">
            <v>0</v>
          </cell>
          <cell r="D1179">
            <v>0</v>
          </cell>
          <cell r="E1179" t="e">
            <v>#VALUE!</v>
          </cell>
          <cell r="F1179">
            <v>-19.026507955054715</v>
          </cell>
        </row>
        <row r="1180">
          <cell r="A1180" t="str">
            <v>BT14NACA</v>
          </cell>
          <cell r="B1180">
            <v>0.10492740059143876</v>
          </cell>
          <cell r="C1180">
            <v>0</v>
          </cell>
          <cell r="D1180">
            <v>0</v>
          </cell>
          <cell r="E1180" t="e">
            <v>#VALUE!</v>
          </cell>
          <cell r="F1180">
            <v>0</v>
          </cell>
        </row>
        <row r="1181">
          <cell r="A1181" t="str">
            <v>BRFTNACA</v>
          </cell>
          <cell r="B1181">
            <v>3.4295891615727996E-4</v>
          </cell>
          <cell r="C1181">
            <v>0</v>
          </cell>
          <cell r="D1181">
            <v>0</v>
          </cell>
          <cell r="E1181" t="e">
            <v>#VALUE!</v>
          </cell>
          <cell r="F1181">
            <v>-25.86012005740649</v>
          </cell>
        </row>
        <row r="1182">
          <cell r="A1182" t="str">
            <v>BRQFNACA</v>
          </cell>
          <cell r="B1182">
            <v>0</v>
          </cell>
          <cell r="C1182">
            <v>0</v>
          </cell>
          <cell r="D1182">
            <v>0</v>
          </cell>
          <cell r="E1182" t="e">
            <v>#VALUE!</v>
          </cell>
          <cell r="F1182">
            <v>-38.313565805513562</v>
          </cell>
        </row>
        <row r="1183">
          <cell r="A1183" t="str">
            <v>BCAMNACA</v>
          </cell>
          <cell r="B1183">
            <v>0</v>
          </cell>
          <cell r="C1183">
            <v>0</v>
          </cell>
          <cell r="D1183">
            <v>0</v>
          </cell>
          <cell r="E1183" t="e">
            <v>#VALUE!</v>
          </cell>
          <cell r="F1183">
            <v>-44.036006791624303</v>
          </cell>
        </row>
        <row r="1184">
          <cell r="A1184" t="str">
            <v>BNBONACA</v>
          </cell>
          <cell r="B1184">
            <v>9.7097463446528948E-2</v>
          </cell>
          <cell r="C1184">
            <v>0</v>
          </cell>
          <cell r="D1184">
            <v>0</v>
          </cell>
          <cell r="E1184" t="e">
            <v>#VALUE!</v>
          </cell>
          <cell r="F1184">
            <v>0</v>
          </cell>
        </row>
        <row r="1185">
          <cell r="A1185" t="str">
            <v>BNTFNACA</v>
          </cell>
          <cell r="B1185">
            <v>0</v>
          </cell>
          <cell r="C1185">
            <v>0</v>
          </cell>
          <cell r="D1185">
            <v>0</v>
          </cell>
          <cell r="E1185" t="e">
            <v>#VALUE!</v>
          </cell>
          <cell r="F1185">
            <v>-1.3886300335191701</v>
          </cell>
        </row>
        <row r="1186">
          <cell r="A1186" t="str">
            <v>BBTRNASA</v>
          </cell>
          <cell r="B1186">
            <v>1.6007906440900613E-2</v>
          </cell>
          <cell r="C1186">
            <v>0</v>
          </cell>
          <cell r="D1186">
            <v>0</v>
          </cell>
          <cell r="E1186" t="e">
            <v>#VALUE!</v>
          </cell>
          <cell r="F1186">
            <v>0</v>
          </cell>
        </row>
        <row r="1187">
          <cell r="A1187" t="str">
            <v>BTCHNASA</v>
          </cell>
          <cell r="B1187">
            <v>0</v>
          </cell>
          <cell r="C1187">
            <v>0</v>
          </cell>
          <cell r="D1187">
            <v>0</v>
          </cell>
          <cell r="E1187" t="e">
            <v>#VALUE!</v>
          </cell>
          <cell r="F1187">
            <v>-75.182459373996679</v>
          </cell>
        </row>
        <row r="1188">
          <cell r="A1188" t="str">
            <v>BNBBNASA</v>
          </cell>
          <cell r="B1188">
            <v>0</v>
          </cell>
          <cell r="C1188">
            <v>0</v>
          </cell>
          <cell r="D1188">
            <v>0</v>
          </cell>
          <cell r="E1188" t="e">
            <v>#VALUE!</v>
          </cell>
          <cell r="F1188">
            <v>-15.788310286116927</v>
          </cell>
        </row>
        <row r="1189">
          <cell r="A1189" t="str">
            <v>BISONASA</v>
          </cell>
          <cell r="B1189">
            <v>0.22559929710544951</v>
          </cell>
          <cell r="C1189">
            <v>0</v>
          </cell>
          <cell r="D1189">
            <v>0</v>
          </cell>
          <cell r="E1189" t="e">
            <v>#VALUE!</v>
          </cell>
          <cell r="F1189">
            <v>0</v>
          </cell>
        </row>
        <row r="1190">
          <cell r="A1190" t="str">
            <v>BISPNASA</v>
          </cell>
          <cell r="B1190">
            <v>2.501226952427054E-2</v>
          </cell>
          <cell r="C1190">
            <v>0</v>
          </cell>
          <cell r="D1190">
            <v>0</v>
          </cell>
          <cell r="E1190" t="e">
            <v>#VALUE!</v>
          </cell>
          <cell r="F1190">
            <v>-3.6247295467871816E-2</v>
          </cell>
        </row>
        <row r="1191">
          <cell r="A1191" t="str">
            <v>BIZONASA</v>
          </cell>
          <cell r="B1191">
            <v>0</v>
          </cell>
          <cell r="C1191">
            <v>0</v>
          </cell>
          <cell r="D1191">
            <v>0</v>
          </cell>
          <cell r="E1191" t="e">
            <v>#VALUE!</v>
          </cell>
          <cell r="F1191">
            <v>-0.82061994831039486</v>
          </cell>
        </row>
        <row r="1192">
          <cell r="A1192" t="str">
            <v>BNCANASA</v>
          </cell>
          <cell r="B1192">
            <v>0.8807413125691349</v>
          </cell>
          <cell r="C1192">
            <v>0</v>
          </cell>
          <cell r="D1192">
            <v>0</v>
          </cell>
          <cell r="E1192" t="e">
            <v>#VALUE!</v>
          </cell>
          <cell r="F1192">
            <v>0</v>
          </cell>
        </row>
        <row r="1193">
          <cell r="A1193" t="str">
            <v>BT14NASA</v>
          </cell>
          <cell r="B1193">
            <v>0.53103072920890704</v>
          </cell>
          <cell r="C1193">
            <v>0</v>
          </cell>
          <cell r="D1193">
            <v>0</v>
          </cell>
          <cell r="E1193" t="e">
            <v>#VALUE!</v>
          </cell>
          <cell r="F1193">
            <v>0</v>
          </cell>
        </row>
        <row r="1194">
          <cell r="A1194" t="str">
            <v>BRFTNASA</v>
          </cell>
          <cell r="B1194">
            <v>0.32101086520985384</v>
          </cell>
          <cell r="C1194">
            <v>0</v>
          </cell>
          <cell r="D1194">
            <v>0</v>
          </cell>
          <cell r="E1194" t="e">
            <v>#VALUE!</v>
          </cell>
          <cell r="F1194">
            <v>0</v>
          </cell>
        </row>
        <row r="1195">
          <cell r="A1195" t="str">
            <v>BRQFNASA</v>
          </cell>
          <cell r="B1195">
            <v>0</v>
          </cell>
          <cell r="C1195">
            <v>0</v>
          </cell>
          <cell r="D1195">
            <v>0</v>
          </cell>
          <cell r="E1195" t="e">
            <v>#VALUE!</v>
          </cell>
          <cell r="F1195">
            <v>-21.704186849724756</v>
          </cell>
        </row>
        <row r="1196">
          <cell r="A1196" t="str">
            <v>BCAMNASA</v>
          </cell>
          <cell r="B1196">
            <v>0</v>
          </cell>
          <cell r="C1196">
            <v>0</v>
          </cell>
          <cell r="D1196">
            <v>0</v>
          </cell>
          <cell r="E1196" t="e">
            <v>#VALUE!</v>
          </cell>
          <cell r="F1196">
            <v>-9.0832819011112775</v>
          </cell>
        </row>
        <row r="1197">
          <cell r="A1197" t="str">
            <v>BMTBNASA</v>
          </cell>
          <cell r="B1197">
            <v>1.1212655769227302E-2</v>
          </cell>
          <cell r="C1197">
            <v>0</v>
          </cell>
          <cell r="D1197">
            <v>0</v>
          </cell>
          <cell r="E1197" t="e">
            <v>#VALUE!</v>
          </cell>
          <cell r="F1197">
            <v>-0.59834306860623032</v>
          </cell>
        </row>
        <row r="1198">
          <cell r="A1198" t="str">
            <v>BNBONASA</v>
          </cell>
          <cell r="B1198">
            <v>9.5326039072585432E-3</v>
          </cell>
          <cell r="C1198">
            <v>0</v>
          </cell>
          <cell r="D1198">
            <v>0</v>
          </cell>
          <cell r="E1198" t="e">
            <v>#VALUE!</v>
          </cell>
          <cell r="F1198">
            <v>-4.5221507320665335</v>
          </cell>
        </row>
        <row r="1199">
          <cell r="A1199" t="str">
            <v>BNTFNASA</v>
          </cell>
          <cell r="B1199">
            <v>0</v>
          </cell>
          <cell r="C1199">
            <v>0</v>
          </cell>
          <cell r="D1199">
            <v>0</v>
          </cell>
          <cell r="E1199" t="e">
            <v>#VALUE!</v>
          </cell>
          <cell r="F1199">
            <v>-8.6654785809451589</v>
          </cell>
        </row>
        <row r="1200">
          <cell r="A1200" t="str">
            <v>BBTRNECA</v>
          </cell>
          <cell r="B1200">
            <v>5.2209535853503498E-2</v>
          </cell>
          <cell r="C1200">
            <v>0</v>
          </cell>
          <cell r="D1200">
            <v>0</v>
          </cell>
          <cell r="E1200" t="e">
            <v>#VALUE!</v>
          </cell>
          <cell r="F1200">
            <v>0</v>
          </cell>
        </row>
        <row r="1201">
          <cell r="A1201" t="str">
            <v>BTCHNECA</v>
          </cell>
          <cell r="B1201">
            <v>0</v>
          </cell>
          <cell r="C1201">
            <v>0</v>
          </cell>
          <cell r="D1201">
            <v>0</v>
          </cell>
          <cell r="E1201" t="e">
            <v>#VALUE!</v>
          </cell>
          <cell r="F1201">
            <v>-75.885173954375801</v>
          </cell>
        </row>
        <row r="1202">
          <cell r="A1202" t="str">
            <v>BNBBNECA</v>
          </cell>
          <cell r="B1202">
            <v>0</v>
          </cell>
          <cell r="C1202">
            <v>0</v>
          </cell>
          <cell r="D1202">
            <v>0</v>
          </cell>
          <cell r="E1202" t="e">
            <v>#VALUE!</v>
          </cell>
          <cell r="F1202">
            <v>-16.174548360746201</v>
          </cell>
        </row>
        <row r="1203">
          <cell r="A1203" t="str">
            <v>BISONECA</v>
          </cell>
          <cell r="B1203">
            <v>3.6418705178450229E-2</v>
          </cell>
          <cell r="C1203">
            <v>0</v>
          </cell>
          <cell r="D1203">
            <v>0</v>
          </cell>
          <cell r="E1203" t="e">
            <v>#VALUE!</v>
          </cell>
          <cell r="F1203">
            <v>0</v>
          </cell>
        </row>
        <row r="1204">
          <cell r="A1204" t="str">
            <v>BISPNECA</v>
          </cell>
          <cell r="B1204">
            <v>2.0162544123930475E-3</v>
          </cell>
          <cell r="C1204">
            <v>0</v>
          </cell>
          <cell r="D1204">
            <v>0</v>
          </cell>
          <cell r="E1204" t="e">
            <v>#VALUE!</v>
          </cell>
          <cell r="F1204">
            <v>-0.40761368633951273</v>
          </cell>
        </row>
        <row r="1205">
          <cell r="A1205" t="str">
            <v>BIZONECA</v>
          </cell>
          <cell r="B1205">
            <v>0</v>
          </cell>
          <cell r="C1205">
            <v>0</v>
          </cell>
          <cell r="D1205">
            <v>0</v>
          </cell>
          <cell r="E1205" t="e">
            <v>#VALUE!</v>
          </cell>
          <cell r="F1205">
            <v>-1.1757130651033088</v>
          </cell>
        </row>
        <row r="1206">
          <cell r="A1206" t="str">
            <v>BNCANECA</v>
          </cell>
          <cell r="B1206">
            <v>6.6678805169585631E-2</v>
          </cell>
          <cell r="C1206">
            <v>0</v>
          </cell>
          <cell r="D1206">
            <v>0</v>
          </cell>
          <cell r="E1206" t="e">
            <v>#VALUE!</v>
          </cell>
          <cell r="F1206">
            <v>0</v>
          </cell>
        </row>
        <row r="1207">
          <cell r="A1207" t="str">
            <v>BT14NECA</v>
          </cell>
          <cell r="B1207">
            <v>0.23371333598274074</v>
          </cell>
          <cell r="C1207">
            <v>0</v>
          </cell>
          <cell r="D1207">
            <v>0</v>
          </cell>
          <cell r="E1207" t="e">
            <v>#VALUE!</v>
          </cell>
          <cell r="F1207">
            <v>0</v>
          </cell>
        </row>
        <row r="1208">
          <cell r="A1208" t="str">
            <v>BRFTNECA</v>
          </cell>
          <cell r="B1208">
            <v>0.427342737619191</v>
          </cell>
          <cell r="C1208">
            <v>0</v>
          </cell>
          <cell r="D1208">
            <v>0</v>
          </cell>
          <cell r="E1208" t="e">
            <v>#VALUE!</v>
          </cell>
          <cell r="F1208">
            <v>0</v>
          </cell>
        </row>
        <row r="1209">
          <cell r="A1209" t="str">
            <v>BRQFNECA</v>
          </cell>
          <cell r="B1209">
            <v>0</v>
          </cell>
          <cell r="C1209">
            <v>0</v>
          </cell>
          <cell r="D1209">
            <v>0</v>
          </cell>
          <cell r="E1209" t="e">
            <v>#VALUE!</v>
          </cell>
          <cell r="F1209">
            <v>-21.852269771001112</v>
          </cell>
        </row>
        <row r="1210">
          <cell r="A1210" t="str">
            <v>BCAMNECA</v>
          </cell>
          <cell r="B1210">
            <v>0</v>
          </cell>
          <cell r="C1210">
            <v>0</v>
          </cell>
          <cell r="D1210">
            <v>0</v>
          </cell>
          <cell r="E1210" t="e">
            <v>#VALUE!</v>
          </cell>
          <cell r="F1210">
            <v>-8.5466384208363984</v>
          </cell>
        </row>
        <row r="1211">
          <cell r="A1211" t="str">
            <v>BMTBNECA</v>
          </cell>
          <cell r="B1211">
            <v>8.649824874041831E-2</v>
          </cell>
          <cell r="C1211">
            <v>0</v>
          </cell>
          <cell r="D1211">
            <v>0</v>
          </cell>
          <cell r="E1211" t="e">
            <v>#VALUE!</v>
          </cell>
          <cell r="F1211">
            <v>0</v>
          </cell>
        </row>
        <row r="1212">
          <cell r="A1212" t="str">
            <v>BALKNECA</v>
          </cell>
          <cell r="B1212">
            <v>0</v>
          </cell>
          <cell r="C1212">
            <v>0</v>
          </cell>
          <cell r="D1212">
            <v>0</v>
          </cell>
          <cell r="E1212" t="e">
            <v>#VALUE!</v>
          </cell>
          <cell r="F1212">
            <v>-262.51965941337687</v>
          </cell>
        </row>
        <row r="1213">
          <cell r="A1213" t="str">
            <v>BNTFNECA</v>
          </cell>
          <cell r="B1213">
            <v>0</v>
          </cell>
          <cell r="C1213">
            <v>0</v>
          </cell>
          <cell r="D1213">
            <v>0</v>
          </cell>
          <cell r="E1213" t="e">
            <v>#VALUE!</v>
          </cell>
          <cell r="F1213">
            <v>-9.031436734656765</v>
          </cell>
        </row>
        <row r="1214">
          <cell r="A1214" t="str">
            <v>BBTRNE1A</v>
          </cell>
          <cell r="B1214">
            <v>1.5355365105891881E-2</v>
          </cell>
          <cell r="C1214">
            <v>0</v>
          </cell>
          <cell r="D1214">
            <v>0</v>
          </cell>
          <cell r="E1214" t="e">
            <v>#VALUE!</v>
          </cell>
          <cell r="F1214">
            <v>0</v>
          </cell>
        </row>
        <row r="1215">
          <cell r="A1215" t="str">
            <v>BNBBNE1A</v>
          </cell>
          <cell r="B1215">
            <v>0</v>
          </cell>
          <cell r="C1215">
            <v>0</v>
          </cell>
          <cell r="D1215">
            <v>0</v>
          </cell>
          <cell r="E1215" t="e">
            <v>#VALUE!</v>
          </cell>
          <cell r="F1215">
            <v>-13.127150137130528</v>
          </cell>
        </row>
        <row r="1216">
          <cell r="A1216" t="str">
            <v>BISONE1A</v>
          </cell>
          <cell r="B1216">
            <v>0</v>
          </cell>
          <cell r="C1216">
            <v>0</v>
          </cell>
          <cell r="D1216">
            <v>0</v>
          </cell>
          <cell r="E1216" t="e">
            <v>#VALUE!</v>
          </cell>
          <cell r="F1216">
            <v>-16.578908303665788</v>
          </cell>
        </row>
        <row r="1217">
          <cell r="A1217" t="str">
            <v>BISPNE1A</v>
          </cell>
          <cell r="B1217">
            <v>6.0088125983737917E-2</v>
          </cell>
          <cell r="C1217">
            <v>0</v>
          </cell>
          <cell r="D1217">
            <v>0</v>
          </cell>
          <cell r="E1217" t="e">
            <v>#VALUE!</v>
          </cell>
          <cell r="F1217">
            <v>0</v>
          </cell>
        </row>
        <row r="1218">
          <cell r="A1218" t="str">
            <v>BIZONE1A</v>
          </cell>
          <cell r="B1218">
            <v>0</v>
          </cell>
          <cell r="C1218">
            <v>0</v>
          </cell>
          <cell r="D1218">
            <v>0</v>
          </cell>
          <cell r="E1218" t="e">
            <v>#VALUE!</v>
          </cell>
          <cell r="F1218">
            <v>-6.4636526460516945</v>
          </cell>
        </row>
        <row r="1219">
          <cell r="A1219" t="str">
            <v>BNCANE1A</v>
          </cell>
          <cell r="B1219">
            <v>0</v>
          </cell>
          <cell r="C1219">
            <v>0</v>
          </cell>
          <cell r="D1219">
            <v>0</v>
          </cell>
          <cell r="E1219" t="e">
            <v>#VALUE!</v>
          </cell>
          <cell r="F1219">
            <v>-13.181693926249466</v>
          </cell>
        </row>
        <row r="1220">
          <cell r="A1220" t="str">
            <v>BT14NE1A</v>
          </cell>
          <cell r="B1220">
            <v>2.9867667128166107E-2</v>
          </cell>
          <cell r="C1220">
            <v>0</v>
          </cell>
          <cell r="D1220">
            <v>0</v>
          </cell>
          <cell r="E1220" t="e">
            <v>#VALUE!</v>
          </cell>
          <cell r="F1220">
            <v>0</v>
          </cell>
        </row>
        <row r="1221">
          <cell r="A1221" t="str">
            <v>BRFTNE1A</v>
          </cell>
          <cell r="B1221">
            <v>0.22285563292568678</v>
          </cell>
          <cell r="C1221">
            <v>0</v>
          </cell>
          <cell r="D1221">
            <v>0</v>
          </cell>
          <cell r="E1221" t="e">
            <v>#VALUE!</v>
          </cell>
          <cell r="F1221">
            <v>0</v>
          </cell>
        </row>
        <row r="1222">
          <cell r="A1222" t="str">
            <v>BRQFNE1A</v>
          </cell>
          <cell r="B1222">
            <v>0</v>
          </cell>
          <cell r="C1222">
            <v>0</v>
          </cell>
          <cell r="D1222">
            <v>0</v>
          </cell>
          <cell r="E1222" t="e">
            <v>#VALUE!</v>
          </cell>
          <cell r="F1222">
            <v>-16.734467853911937</v>
          </cell>
        </row>
        <row r="1223">
          <cell r="A1223" t="str">
            <v>BCAMNE1A</v>
          </cell>
          <cell r="B1223">
            <v>0</v>
          </cell>
          <cell r="C1223">
            <v>0</v>
          </cell>
          <cell r="D1223">
            <v>0</v>
          </cell>
          <cell r="E1223" t="e">
            <v>#VALUE!</v>
          </cell>
          <cell r="F1223">
            <v>-12.478723876117026</v>
          </cell>
        </row>
        <row r="1224">
          <cell r="A1224" t="str">
            <v>BMTBNE1A</v>
          </cell>
          <cell r="B1224">
            <v>0</v>
          </cell>
          <cell r="C1224">
            <v>0</v>
          </cell>
          <cell r="D1224">
            <v>0</v>
          </cell>
          <cell r="E1224" t="e">
            <v>#VALUE!</v>
          </cell>
          <cell r="F1224">
            <v>-40.947233382969685</v>
          </cell>
        </row>
        <row r="1225">
          <cell r="A1225" t="str">
            <v>BALKNE1A</v>
          </cell>
          <cell r="B1225">
            <v>0</v>
          </cell>
          <cell r="C1225">
            <v>0</v>
          </cell>
          <cell r="D1225">
            <v>0</v>
          </cell>
          <cell r="E1225" t="e">
            <v>#VALUE!</v>
          </cell>
          <cell r="F1225">
            <v>-270.9666382463011</v>
          </cell>
        </row>
        <row r="1226">
          <cell r="A1226" t="str">
            <v>BNBONE1A</v>
          </cell>
          <cell r="B1226">
            <v>6.0020558127801707E-4</v>
          </cell>
          <cell r="C1226">
            <v>0</v>
          </cell>
          <cell r="D1226">
            <v>0</v>
          </cell>
          <cell r="E1226" t="e">
            <v>#VALUE!</v>
          </cell>
          <cell r="F1226">
            <v>-7.8773644460390688</v>
          </cell>
        </row>
        <row r="1227">
          <cell r="A1227" t="str">
            <v>BNTFNE1A</v>
          </cell>
          <cell r="B1227">
            <v>0</v>
          </cell>
          <cell r="C1227">
            <v>0</v>
          </cell>
          <cell r="D1227">
            <v>0</v>
          </cell>
          <cell r="E1227" t="e">
            <v>#VALUE!</v>
          </cell>
          <cell r="F1227">
            <v>-59.622357156831924</v>
          </cell>
        </row>
        <row r="1228">
          <cell r="A1228" t="str">
            <v>BBTRNE2A</v>
          </cell>
          <cell r="B1228">
            <v>3.5193736837473412E-12</v>
          </cell>
          <cell r="C1228">
            <v>0</v>
          </cell>
          <cell r="D1228">
            <v>0</v>
          </cell>
          <cell r="E1228" t="e">
            <v>#VALUE!</v>
          </cell>
          <cell r="F1228">
            <v>0</v>
          </cell>
        </row>
        <row r="1229">
          <cell r="A1229" t="str">
            <v>BNBBNE2A</v>
          </cell>
          <cell r="B1229">
            <v>0</v>
          </cell>
          <cell r="C1229">
            <v>0</v>
          </cell>
          <cell r="D1229">
            <v>0</v>
          </cell>
          <cell r="E1229" t="e">
            <v>#VALUE!</v>
          </cell>
          <cell r="F1229">
            <v>-7.6769169454705226</v>
          </cell>
        </row>
        <row r="1230">
          <cell r="A1230" t="str">
            <v>BISONE2A</v>
          </cell>
          <cell r="B1230">
            <v>0</v>
          </cell>
          <cell r="C1230">
            <v>0</v>
          </cell>
          <cell r="D1230">
            <v>0</v>
          </cell>
          <cell r="E1230" t="e">
            <v>#VALUE!</v>
          </cell>
          <cell r="F1230">
            <v>-25.054797716010107</v>
          </cell>
        </row>
        <row r="1231">
          <cell r="A1231" t="str">
            <v>BISPNE2A</v>
          </cell>
          <cell r="B1231">
            <v>2.5748866490276505E-11</v>
          </cell>
          <cell r="C1231">
            <v>0</v>
          </cell>
          <cell r="D1231">
            <v>0</v>
          </cell>
          <cell r="E1231" t="e">
            <v>#VALUE!</v>
          </cell>
          <cell r="F1231">
            <v>-4.4557397293717891</v>
          </cell>
        </row>
        <row r="1232">
          <cell r="A1232" t="str">
            <v>BIZONE2A</v>
          </cell>
          <cell r="B1232">
            <v>0</v>
          </cell>
          <cell r="C1232">
            <v>0</v>
          </cell>
          <cell r="D1232">
            <v>0</v>
          </cell>
          <cell r="E1232" t="e">
            <v>#VALUE!</v>
          </cell>
          <cell r="F1232">
            <v>-10.989633858040587</v>
          </cell>
        </row>
        <row r="1233">
          <cell r="A1233" t="str">
            <v>BNCANE2A</v>
          </cell>
          <cell r="B1233">
            <v>3.3401934709379787E-12</v>
          </cell>
          <cell r="C1233">
            <v>0</v>
          </cell>
          <cell r="D1233">
            <v>0</v>
          </cell>
          <cell r="E1233" t="e">
            <v>#VALUE!</v>
          </cell>
          <cell r="F1233">
            <v>-16.269367103054098</v>
          </cell>
        </row>
        <row r="1234">
          <cell r="A1234" t="str">
            <v>BT14NE2A</v>
          </cell>
          <cell r="B1234">
            <v>6.7630849094518086E-11</v>
          </cell>
          <cell r="C1234">
            <v>0</v>
          </cell>
          <cell r="D1234">
            <v>0</v>
          </cell>
          <cell r="E1234" t="e">
            <v>#VALUE!</v>
          </cell>
          <cell r="F1234">
            <v>-8.6041534423828132</v>
          </cell>
        </row>
        <row r="1235">
          <cell r="A1235" t="str">
            <v>BRFTNE2A</v>
          </cell>
          <cell r="B1235">
            <v>6.7275174016087513E-12</v>
          </cell>
          <cell r="C1235">
            <v>0</v>
          </cell>
          <cell r="D1235">
            <v>0</v>
          </cell>
          <cell r="E1235" t="e">
            <v>#VALUE!</v>
          </cell>
          <cell r="F1235">
            <v>-18.473068676256155</v>
          </cell>
        </row>
        <row r="1236">
          <cell r="A1236" t="str">
            <v>BRQFNE2A</v>
          </cell>
          <cell r="B1236">
            <v>0</v>
          </cell>
          <cell r="C1236">
            <v>0</v>
          </cell>
          <cell r="D1236">
            <v>0</v>
          </cell>
          <cell r="E1236" t="e">
            <v>#VALUE!</v>
          </cell>
          <cell r="F1236">
            <v>-31.747208817364417</v>
          </cell>
        </row>
        <row r="1237">
          <cell r="A1237" t="str">
            <v>BCAMNE2A</v>
          </cell>
          <cell r="B1237">
            <v>0</v>
          </cell>
          <cell r="C1237">
            <v>0</v>
          </cell>
          <cell r="D1237">
            <v>0</v>
          </cell>
          <cell r="E1237" t="e">
            <v>#VALUE!</v>
          </cell>
          <cell r="F1237">
            <v>-30.599555147510685</v>
          </cell>
        </row>
        <row r="1238">
          <cell r="A1238" t="str">
            <v>BALKNE2A</v>
          </cell>
          <cell r="B1238">
            <v>0</v>
          </cell>
          <cell r="C1238">
            <v>0</v>
          </cell>
          <cell r="D1238">
            <v>0</v>
          </cell>
          <cell r="E1238" t="e">
            <v>#VALUE!</v>
          </cell>
          <cell r="F1238">
            <v>-290.82518196628519</v>
          </cell>
        </row>
        <row r="1239">
          <cell r="A1239" t="str">
            <v>BNBONE2A</v>
          </cell>
          <cell r="B1239">
            <v>0</v>
          </cell>
          <cell r="C1239">
            <v>0</v>
          </cell>
          <cell r="D1239">
            <v>0</v>
          </cell>
          <cell r="E1239" t="e">
            <v>#VALUE!</v>
          </cell>
          <cell r="F1239">
            <v>-2.2431855711218427</v>
          </cell>
        </row>
        <row r="1240">
          <cell r="A1240" t="str">
            <v>BNTFNE2A</v>
          </cell>
          <cell r="B1240">
            <v>0</v>
          </cell>
          <cell r="C1240">
            <v>0</v>
          </cell>
          <cell r="D1240">
            <v>0</v>
          </cell>
          <cell r="E1240" t="e">
            <v>#VALUE!</v>
          </cell>
          <cell r="F1240">
            <v>-10.116579933689065</v>
          </cell>
        </row>
        <row r="1241">
          <cell r="A1241" t="str">
            <v>BBTRNE3A</v>
          </cell>
          <cell r="B1241">
            <v>5.6644542053443925E-4</v>
          </cell>
          <cell r="C1241">
            <v>0</v>
          </cell>
          <cell r="D1241">
            <v>0</v>
          </cell>
          <cell r="E1241" t="e">
            <v>#VALUE!</v>
          </cell>
          <cell r="F1241">
            <v>-1.218987876095184</v>
          </cell>
        </row>
        <row r="1242">
          <cell r="A1242" t="str">
            <v>BNBBNE3A</v>
          </cell>
          <cell r="B1242">
            <v>0</v>
          </cell>
          <cell r="C1242">
            <v>0</v>
          </cell>
          <cell r="D1242">
            <v>0</v>
          </cell>
          <cell r="E1242" t="e">
            <v>#VALUE!</v>
          </cell>
          <cell r="F1242">
            <v>-15.683262942588492</v>
          </cell>
        </row>
        <row r="1243">
          <cell r="A1243" t="str">
            <v>BISONE3A</v>
          </cell>
          <cell r="B1243">
            <v>0.18275085870329646</v>
          </cell>
          <cell r="C1243">
            <v>0</v>
          </cell>
          <cell r="D1243">
            <v>0</v>
          </cell>
          <cell r="E1243" t="e">
            <v>#VALUE!</v>
          </cell>
          <cell r="F1243">
            <v>0</v>
          </cell>
        </row>
        <row r="1244">
          <cell r="A1244" t="str">
            <v>BISPNE3A</v>
          </cell>
          <cell r="B1244">
            <v>0.27189587583280589</v>
          </cell>
          <cell r="C1244">
            <v>0</v>
          </cell>
          <cell r="D1244">
            <v>0</v>
          </cell>
          <cell r="E1244" t="e">
            <v>#VALUE!</v>
          </cell>
          <cell r="F1244">
            <v>0</v>
          </cell>
        </row>
        <row r="1245">
          <cell r="A1245" t="str">
            <v>BIZONE3A</v>
          </cell>
          <cell r="B1245">
            <v>0</v>
          </cell>
          <cell r="C1245">
            <v>0</v>
          </cell>
          <cell r="D1245">
            <v>0</v>
          </cell>
          <cell r="E1245" t="e">
            <v>#VALUE!</v>
          </cell>
          <cell r="F1245">
            <v>-1.2830939090823474</v>
          </cell>
        </row>
        <row r="1246">
          <cell r="A1246" t="str">
            <v>BNCANE3A</v>
          </cell>
          <cell r="B1246">
            <v>0.23187641182990923</v>
          </cell>
          <cell r="C1246">
            <v>0</v>
          </cell>
          <cell r="D1246">
            <v>0</v>
          </cell>
          <cell r="E1246" t="e">
            <v>#VALUE!</v>
          </cell>
          <cell r="F1246">
            <v>-0.92536682755979771</v>
          </cell>
        </row>
        <row r="1247">
          <cell r="A1247" t="str">
            <v>BT14NE3A</v>
          </cell>
          <cell r="B1247">
            <v>0.83427531457927129</v>
          </cell>
          <cell r="C1247">
            <v>0</v>
          </cell>
          <cell r="D1247">
            <v>0</v>
          </cell>
          <cell r="E1247" t="e">
            <v>#VALUE!</v>
          </cell>
          <cell r="F1247">
            <v>0</v>
          </cell>
        </row>
        <row r="1248">
          <cell r="A1248" t="str">
            <v>BRFTNE3A</v>
          </cell>
          <cell r="B1248">
            <v>3.6394263620245948E-2</v>
          </cell>
          <cell r="C1248">
            <v>0</v>
          </cell>
          <cell r="D1248">
            <v>0</v>
          </cell>
          <cell r="E1248" t="e">
            <v>#VALUE!</v>
          </cell>
          <cell r="F1248">
            <v>-4.0107783552786692E-2</v>
          </cell>
        </row>
        <row r="1249">
          <cell r="A1249" t="str">
            <v>BRQFNE3A</v>
          </cell>
          <cell r="B1249">
            <v>0</v>
          </cell>
          <cell r="C1249">
            <v>0</v>
          </cell>
          <cell r="D1249">
            <v>0</v>
          </cell>
          <cell r="E1249" t="e">
            <v>#VALUE!</v>
          </cell>
          <cell r="F1249">
            <v>-22.082625240169158</v>
          </cell>
        </row>
        <row r="1250">
          <cell r="A1250" t="str">
            <v>BCAMNE3A</v>
          </cell>
          <cell r="B1250">
            <v>4.8961073160171511E-3</v>
          </cell>
          <cell r="C1250">
            <v>0</v>
          </cell>
          <cell r="D1250">
            <v>0</v>
          </cell>
          <cell r="E1250" t="e">
            <v>#VALUE!</v>
          </cell>
          <cell r="F1250">
            <v>-5.0382947425319724</v>
          </cell>
        </row>
        <row r="1251">
          <cell r="A1251" t="str">
            <v>BMTBNE3A</v>
          </cell>
          <cell r="B1251">
            <v>4.6154709507341254E-2</v>
          </cell>
          <cell r="C1251">
            <v>0</v>
          </cell>
          <cell r="D1251">
            <v>0</v>
          </cell>
          <cell r="E1251" t="e">
            <v>#VALUE!</v>
          </cell>
          <cell r="F1251">
            <v>0</v>
          </cell>
        </row>
        <row r="1252">
          <cell r="A1252" t="str">
            <v>BALKNE3A</v>
          </cell>
          <cell r="B1252">
            <v>0</v>
          </cell>
          <cell r="C1252">
            <v>0</v>
          </cell>
          <cell r="D1252">
            <v>0</v>
          </cell>
          <cell r="E1252" t="e">
            <v>#VALUE!</v>
          </cell>
          <cell r="F1252">
            <v>-259.90725582593109</v>
          </cell>
        </row>
        <row r="1253">
          <cell r="A1253" t="str">
            <v>BNBONE3A</v>
          </cell>
          <cell r="B1253">
            <v>6.4393615171517409E-3</v>
          </cell>
          <cell r="C1253">
            <v>0</v>
          </cell>
          <cell r="D1253">
            <v>0</v>
          </cell>
          <cell r="E1253" t="e">
            <v>#VALUE!</v>
          </cell>
          <cell r="F1253">
            <v>-4.1046107017830629</v>
          </cell>
        </row>
        <row r="1254">
          <cell r="A1254" t="str">
            <v>BNTFNE3A</v>
          </cell>
          <cell r="B1254">
            <v>0</v>
          </cell>
          <cell r="C1254">
            <v>0</v>
          </cell>
          <cell r="D1254">
            <v>0</v>
          </cell>
          <cell r="E1254" t="e">
            <v>#VALUE!</v>
          </cell>
          <cell r="F1254">
            <v>-9.3540482677825505</v>
          </cell>
        </row>
        <row r="1255">
          <cell r="A1255" t="str">
            <v>BBTRNE4A</v>
          </cell>
          <cell r="B1255">
            <v>1.5926045953859641E-10</v>
          </cell>
          <cell r="C1255">
            <v>0</v>
          </cell>
          <cell r="D1255">
            <v>0</v>
          </cell>
          <cell r="E1255" t="e">
            <v>#VALUE!</v>
          </cell>
          <cell r="F1255">
            <v>-109.42499832780393</v>
          </cell>
        </row>
        <row r="1256">
          <cell r="A1256" t="str">
            <v>BNBBNE4A</v>
          </cell>
          <cell r="B1256">
            <v>0</v>
          </cell>
          <cell r="C1256">
            <v>0</v>
          </cell>
          <cell r="D1256">
            <v>0</v>
          </cell>
          <cell r="E1256" t="e">
            <v>#VALUE!</v>
          </cell>
          <cell r="F1256">
            <v>-31.479873322787348</v>
          </cell>
        </row>
        <row r="1257">
          <cell r="A1257" t="str">
            <v>BISONE4A</v>
          </cell>
          <cell r="B1257">
            <v>0</v>
          </cell>
          <cell r="C1257">
            <v>0</v>
          </cell>
          <cell r="D1257">
            <v>0</v>
          </cell>
          <cell r="E1257" t="e">
            <v>#VALUE!</v>
          </cell>
          <cell r="F1257">
            <v>-9.5706205782824991</v>
          </cell>
        </row>
        <row r="1258">
          <cell r="A1258" t="str">
            <v>BISPNE4A</v>
          </cell>
          <cell r="B1258">
            <v>4.2013868639819689E-11</v>
          </cell>
          <cell r="C1258">
            <v>0</v>
          </cell>
          <cell r="D1258">
            <v>0</v>
          </cell>
          <cell r="E1258" t="e">
            <v>#VALUE!</v>
          </cell>
          <cell r="F1258">
            <v>-0.21459623885481324</v>
          </cell>
        </row>
        <row r="1259">
          <cell r="A1259" t="str">
            <v>BIZONE4A</v>
          </cell>
          <cell r="B1259">
            <v>-8.6322805068423052E-11</v>
          </cell>
          <cell r="C1259">
            <v>0</v>
          </cell>
          <cell r="D1259">
            <v>0</v>
          </cell>
          <cell r="E1259" t="e">
            <v>#VALUE!</v>
          </cell>
          <cell r="F1259">
            <v>-6.3198438278616287</v>
          </cell>
        </row>
        <row r="1260">
          <cell r="A1260" t="str">
            <v>BNCANE4A</v>
          </cell>
          <cell r="B1260">
            <v>-2.0629394083393331E-9</v>
          </cell>
          <cell r="C1260">
            <v>0</v>
          </cell>
          <cell r="D1260">
            <v>0</v>
          </cell>
          <cell r="E1260" t="e">
            <v>#VALUE!</v>
          </cell>
          <cell r="F1260">
            <v>-5.5891312769014538</v>
          </cell>
        </row>
        <row r="1261">
          <cell r="A1261" t="str">
            <v>BT14NE4A</v>
          </cell>
          <cell r="B1261">
            <v>7.0196225088344763E-11</v>
          </cell>
          <cell r="C1261">
            <v>0</v>
          </cell>
          <cell r="D1261">
            <v>0</v>
          </cell>
          <cell r="E1261" t="e">
            <v>#VALUE!</v>
          </cell>
          <cell r="F1261">
            <v>-1.3592116081551329</v>
          </cell>
        </row>
        <row r="1262">
          <cell r="A1262" t="str">
            <v>BRFTNE4A</v>
          </cell>
          <cell r="B1262">
            <v>-5.3009114905796808E-10</v>
          </cell>
          <cell r="C1262">
            <v>0</v>
          </cell>
          <cell r="D1262">
            <v>0</v>
          </cell>
          <cell r="E1262" t="e">
            <v>#VALUE!</v>
          </cell>
          <cell r="F1262">
            <v>-4.0740376903586188</v>
          </cell>
        </row>
        <row r="1263">
          <cell r="A1263" t="str">
            <v>BRQFNE4A</v>
          </cell>
          <cell r="B1263">
            <v>0</v>
          </cell>
          <cell r="C1263">
            <v>0</v>
          </cell>
          <cell r="D1263">
            <v>0</v>
          </cell>
          <cell r="E1263" t="e">
            <v>#VALUE!</v>
          </cell>
          <cell r="F1263">
            <v>-31.474044757999785</v>
          </cell>
        </row>
        <row r="1264">
          <cell r="A1264" t="str">
            <v>BCAMNE4A</v>
          </cell>
          <cell r="B1264">
            <v>0</v>
          </cell>
          <cell r="C1264">
            <v>0</v>
          </cell>
          <cell r="D1264">
            <v>0</v>
          </cell>
          <cell r="E1264" t="e">
            <v>#VALUE!</v>
          </cell>
          <cell r="F1264">
            <v>-49.306556419477069</v>
          </cell>
        </row>
        <row r="1265">
          <cell r="A1265" t="str">
            <v>BMTBNE4A</v>
          </cell>
          <cell r="B1265">
            <v>7.1594374264688286E-10</v>
          </cell>
          <cell r="C1265">
            <v>0</v>
          </cell>
          <cell r="D1265">
            <v>0</v>
          </cell>
          <cell r="E1265" t="e">
            <v>#VALUE!</v>
          </cell>
          <cell r="F1265">
            <v>-4.9349482497123827</v>
          </cell>
        </row>
        <row r="1266">
          <cell r="A1266" t="str">
            <v>BALKNE4A</v>
          </cell>
          <cell r="B1266">
            <v>0</v>
          </cell>
          <cell r="C1266">
            <v>0</v>
          </cell>
          <cell r="D1266">
            <v>0</v>
          </cell>
          <cell r="E1266" t="e">
            <v>#VALUE!</v>
          </cell>
          <cell r="F1266">
            <v>-219.6851671140488</v>
          </cell>
        </row>
        <row r="1267">
          <cell r="A1267" t="str">
            <v>BNBONE4A</v>
          </cell>
          <cell r="B1267">
            <v>0</v>
          </cell>
          <cell r="C1267">
            <v>0</v>
          </cell>
          <cell r="D1267">
            <v>0</v>
          </cell>
          <cell r="E1267" t="e">
            <v>#VALUE!</v>
          </cell>
          <cell r="F1267">
            <v>-15.416496598230649</v>
          </cell>
        </row>
        <row r="1268">
          <cell r="A1268" t="str">
            <v>BNTFNE4A</v>
          </cell>
          <cell r="B1268">
            <v>0</v>
          </cell>
          <cell r="C1268">
            <v>0</v>
          </cell>
          <cell r="D1268">
            <v>0</v>
          </cell>
          <cell r="E1268" t="e">
            <v>#VALUE!</v>
          </cell>
          <cell r="F1268">
            <v>-90.31525797386692</v>
          </cell>
        </row>
        <row r="1269">
          <cell r="A1269" t="str">
            <v>BBTRNE5A</v>
          </cell>
          <cell r="B1269">
            <v>3.2047845595452474E-3</v>
          </cell>
          <cell r="C1269">
            <v>0</v>
          </cell>
          <cell r="D1269">
            <v>0</v>
          </cell>
          <cell r="E1269" t="e">
            <v>#VALUE!</v>
          </cell>
          <cell r="F1269">
            <v>0</v>
          </cell>
        </row>
        <row r="1270">
          <cell r="A1270" t="str">
            <v>BNBBNE5A</v>
          </cell>
          <cell r="B1270">
            <v>0</v>
          </cell>
          <cell r="C1270">
            <v>0</v>
          </cell>
          <cell r="D1270">
            <v>0</v>
          </cell>
          <cell r="E1270" t="e">
            <v>#VALUE!</v>
          </cell>
          <cell r="F1270">
            <v>-20.161042618424926</v>
          </cell>
        </row>
        <row r="1271">
          <cell r="A1271" t="str">
            <v>BISONE5A</v>
          </cell>
          <cell r="B1271">
            <v>1.5394105644871111E-2</v>
          </cell>
          <cell r="C1271">
            <v>0</v>
          </cell>
          <cell r="D1271">
            <v>0</v>
          </cell>
          <cell r="E1271" t="e">
            <v>#VALUE!</v>
          </cell>
          <cell r="F1271">
            <v>0</v>
          </cell>
        </row>
        <row r="1272">
          <cell r="A1272" t="str">
            <v>BISPNE5A</v>
          </cell>
          <cell r="B1272">
            <v>0</v>
          </cell>
          <cell r="C1272">
            <v>0</v>
          </cell>
          <cell r="D1272">
            <v>0</v>
          </cell>
          <cell r="E1272" t="e">
            <v>#VALUE!</v>
          </cell>
          <cell r="F1272">
            <v>-2.6825830270166264</v>
          </cell>
        </row>
        <row r="1273">
          <cell r="A1273" t="str">
            <v>BIZONE5A</v>
          </cell>
          <cell r="B1273">
            <v>0</v>
          </cell>
          <cell r="C1273">
            <v>0</v>
          </cell>
          <cell r="D1273">
            <v>0</v>
          </cell>
          <cell r="E1273" t="e">
            <v>#VALUE!</v>
          </cell>
          <cell r="F1273">
            <v>-6.9663154210129825</v>
          </cell>
        </row>
        <row r="1274">
          <cell r="A1274" t="str">
            <v>BNCANE5A</v>
          </cell>
          <cell r="B1274">
            <v>5.9413913127085933E-3</v>
          </cell>
          <cell r="C1274">
            <v>0</v>
          </cell>
          <cell r="D1274">
            <v>0</v>
          </cell>
          <cell r="E1274" t="e">
            <v>#VALUE!</v>
          </cell>
          <cell r="F1274">
            <v>-1.6094496445449655</v>
          </cell>
        </row>
        <row r="1275">
          <cell r="A1275" t="str">
            <v>BT14NE5A</v>
          </cell>
          <cell r="B1275">
            <v>1.2739548495371048E-2</v>
          </cell>
          <cell r="C1275">
            <v>0</v>
          </cell>
          <cell r="D1275">
            <v>0</v>
          </cell>
          <cell r="E1275" t="e">
            <v>#VALUE!</v>
          </cell>
          <cell r="F1275">
            <v>-3.7341998844930568</v>
          </cell>
        </row>
        <row r="1276">
          <cell r="A1276" t="str">
            <v>BRFTNE5A</v>
          </cell>
          <cell r="B1276">
            <v>0.11666888921228173</v>
          </cell>
          <cell r="C1276">
            <v>0</v>
          </cell>
          <cell r="D1276">
            <v>0</v>
          </cell>
          <cell r="E1276" t="e">
            <v>#VALUE!</v>
          </cell>
          <cell r="F1276">
            <v>0</v>
          </cell>
        </row>
        <row r="1277">
          <cell r="A1277" t="str">
            <v>BRQFNE5A</v>
          </cell>
          <cell r="B1277">
            <v>0</v>
          </cell>
          <cell r="C1277">
            <v>0</v>
          </cell>
          <cell r="D1277">
            <v>0</v>
          </cell>
          <cell r="E1277" t="e">
            <v>#VALUE!</v>
          </cell>
          <cell r="F1277">
            <v>-21.338242084032867</v>
          </cell>
        </row>
        <row r="1278">
          <cell r="A1278" t="str">
            <v>BCAMNE5A</v>
          </cell>
          <cell r="B1278">
            <v>0</v>
          </cell>
          <cell r="C1278">
            <v>0</v>
          </cell>
          <cell r="D1278">
            <v>0</v>
          </cell>
          <cell r="E1278" t="e">
            <v>#VALUE!</v>
          </cell>
          <cell r="F1278">
            <v>-17.610138744197478</v>
          </cell>
        </row>
        <row r="1279">
          <cell r="A1279" t="str">
            <v>BMTBNE5A</v>
          </cell>
          <cell r="B1279">
            <v>1.0435280971841453E-2</v>
          </cell>
          <cell r="C1279">
            <v>0</v>
          </cell>
          <cell r="D1279">
            <v>0</v>
          </cell>
          <cell r="E1279" t="e">
            <v>#VALUE!</v>
          </cell>
          <cell r="F1279">
            <v>0</v>
          </cell>
        </row>
        <row r="1280">
          <cell r="A1280" t="str">
            <v>BALKNE5A</v>
          </cell>
          <cell r="B1280">
            <v>0</v>
          </cell>
          <cell r="C1280">
            <v>0</v>
          </cell>
          <cell r="D1280">
            <v>0</v>
          </cell>
          <cell r="E1280" t="e">
            <v>#VALUE!</v>
          </cell>
          <cell r="F1280">
            <v>-263.68763923122458</v>
          </cell>
        </row>
        <row r="1281">
          <cell r="A1281" t="str">
            <v>BNBONE5A</v>
          </cell>
          <cell r="B1281">
            <v>0</v>
          </cell>
          <cell r="C1281">
            <v>0</v>
          </cell>
          <cell r="D1281">
            <v>0</v>
          </cell>
          <cell r="E1281" t="e">
            <v>#VALUE!</v>
          </cell>
          <cell r="F1281">
            <v>-14.966826728925312</v>
          </cell>
        </row>
        <row r="1282">
          <cell r="A1282" t="str">
            <v>BNTFNE5A</v>
          </cell>
          <cell r="B1282">
            <v>0</v>
          </cell>
          <cell r="C1282">
            <v>0</v>
          </cell>
          <cell r="D1282">
            <v>0</v>
          </cell>
          <cell r="E1282" t="e">
            <v>#VALUE!</v>
          </cell>
          <cell r="F1282">
            <v>-77.275219747464945</v>
          </cell>
        </row>
        <row r="1283">
          <cell r="A1283" t="str">
            <v>BBTRNE6A</v>
          </cell>
          <cell r="B1283">
            <v>0</v>
          </cell>
          <cell r="C1283">
            <v>0</v>
          </cell>
          <cell r="D1283">
            <v>0</v>
          </cell>
          <cell r="E1283" t="e">
            <v>#VALUE!</v>
          </cell>
          <cell r="F1283">
            <v>-73.895991160771615</v>
          </cell>
        </row>
        <row r="1284">
          <cell r="A1284" t="str">
            <v>BNBBNE6A</v>
          </cell>
          <cell r="B1284">
            <v>0</v>
          </cell>
          <cell r="C1284">
            <v>0</v>
          </cell>
          <cell r="D1284">
            <v>0</v>
          </cell>
          <cell r="E1284" t="e">
            <v>#VALUE!</v>
          </cell>
          <cell r="F1284">
            <v>-104.07197489281224</v>
          </cell>
        </row>
        <row r="1285">
          <cell r="A1285" t="str">
            <v>BISONE6A</v>
          </cell>
          <cell r="B1285">
            <v>0</v>
          </cell>
          <cell r="C1285">
            <v>0</v>
          </cell>
          <cell r="D1285">
            <v>0</v>
          </cell>
          <cell r="E1285" t="e">
            <v>#VALUE!</v>
          </cell>
          <cell r="F1285">
            <v>-108.5075654748368</v>
          </cell>
        </row>
        <row r="1286">
          <cell r="A1286" t="str">
            <v>BISPNE6A</v>
          </cell>
          <cell r="B1286">
            <v>2.8989543653514287E-2</v>
          </cell>
          <cell r="C1286">
            <v>0</v>
          </cell>
          <cell r="D1286">
            <v>0</v>
          </cell>
          <cell r="E1286" t="e">
            <v>#VALUE!</v>
          </cell>
          <cell r="F1286">
            <v>-94.210968644651643</v>
          </cell>
        </row>
        <row r="1287">
          <cell r="A1287" t="str">
            <v>BIZONE6A</v>
          </cell>
          <cell r="B1287">
            <v>0</v>
          </cell>
          <cell r="C1287">
            <v>0</v>
          </cell>
          <cell r="D1287">
            <v>0</v>
          </cell>
          <cell r="E1287" t="e">
            <v>#VALUE!</v>
          </cell>
          <cell r="F1287">
            <v>-96.524966600496469</v>
          </cell>
        </row>
        <row r="1288">
          <cell r="A1288" t="str">
            <v>BNCANE6A</v>
          </cell>
          <cell r="B1288">
            <v>3.5125499024783097E-2</v>
          </cell>
          <cell r="C1288">
            <v>0</v>
          </cell>
          <cell r="D1288">
            <v>0</v>
          </cell>
          <cell r="E1288" t="e">
            <v>#VALUE!</v>
          </cell>
          <cell r="F1288">
            <v>-110.60179052483545</v>
          </cell>
        </row>
        <row r="1289">
          <cell r="A1289" t="str">
            <v>BT14NE6A</v>
          </cell>
          <cell r="B1289">
            <v>4.9906462349303779E-2</v>
          </cell>
          <cell r="C1289">
            <v>0</v>
          </cell>
          <cell r="D1289">
            <v>0</v>
          </cell>
          <cell r="E1289" t="e">
            <v>#VALUE!</v>
          </cell>
          <cell r="F1289">
            <v>-100.00265511290668</v>
          </cell>
        </row>
        <row r="1290">
          <cell r="A1290" t="str">
            <v>BRFTNE6A</v>
          </cell>
          <cell r="B1290">
            <v>0</v>
          </cell>
          <cell r="C1290">
            <v>0</v>
          </cell>
          <cell r="D1290">
            <v>0</v>
          </cell>
          <cell r="E1290" t="e">
            <v>#VALUE!</v>
          </cell>
          <cell r="F1290">
            <v>-111.1783216295177</v>
          </cell>
        </row>
        <row r="1291">
          <cell r="A1291" t="str">
            <v>BRQFNE6A</v>
          </cell>
          <cell r="B1291">
            <v>0</v>
          </cell>
          <cell r="C1291">
            <v>0</v>
          </cell>
          <cell r="D1291">
            <v>0</v>
          </cell>
          <cell r="E1291" t="e">
            <v>#VALUE!</v>
          </cell>
          <cell r="F1291">
            <v>-125.58497257493947</v>
          </cell>
        </row>
        <row r="1292">
          <cell r="A1292" t="str">
            <v>BCAMNE6A</v>
          </cell>
          <cell r="B1292">
            <v>0</v>
          </cell>
          <cell r="C1292">
            <v>0</v>
          </cell>
          <cell r="D1292">
            <v>0</v>
          </cell>
          <cell r="E1292" t="e">
            <v>#VALUE!</v>
          </cell>
          <cell r="F1292">
            <v>-130.61547010238857</v>
          </cell>
        </row>
        <row r="1293">
          <cell r="A1293" t="str">
            <v>BMTBNE6A</v>
          </cell>
          <cell r="B1293">
            <v>9.0780845856013367E-3</v>
          </cell>
          <cell r="C1293">
            <v>0</v>
          </cell>
          <cell r="D1293">
            <v>0</v>
          </cell>
          <cell r="E1293" t="e">
            <v>#VALUE!</v>
          </cell>
          <cell r="F1293">
            <v>-148.26221112813036</v>
          </cell>
        </row>
        <row r="1294">
          <cell r="A1294" t="str">
            <v>BALKNE6A</v>
          </cell>
          <cell r="B1294">
            <v>0</v>
          </cell>
          <cell r="C1294">
            <v>0</v>
          </cell>
          <cell r="D1294">
            <v>0</v>
          </cell>
          <cell r="E1294" t="e">
            <v>#VALUE!</v>
          </cell>
          <cell r="F1294">
            <v>-385.55683940730682</v>
          </cell>
        </row>
        <row r="1295">
          <cell r="A1295" t="str">
            <v>BNBONE6A</v>
          </cell>
          <cell r="B1295">
            <v>0</v>
          </cell>
          <cell r="C1295">
            <v>0</v>
          </cell>
          <cell r="D1295">
            <v>0</v>
          </cell>
          <cell r="E1295" t="e">
            <v>#VALUE!</v>
          </cell>
          <cell r="F1295">
            <v>-94.367807142701864</v>
          </cell>
        </row>
        <row r="1296">
          <cell r="A1296" t="str">
            <v>BNTFNE6A</v>
          </cell>
          <cell r="B1296">
            <v>0</v>
          </cell>
          <cell r="C1296">
            <v>0</v>
          </cell>
          <cell r="D1296">
            <v>0</v>
          </cell>
          <cell r="E1296" t="e">
            <v>#VALUE!</v>
          </cell>
          <cell r="F1296">
            <v>-99.540480408603202</v>
          </cell>
        </row>
        <row r="1297">
          <cell r="A1297" t="str">
            <v>BBTRNE7A</v>
          </cell>
          <cell r="B1297">
            <v>0</v>
          </cell>
          <cell r="C1297">
            <v>0</v>
          </cell>
          <cell r="D1297">
            <v>0</v>
          </cell>
          <cell r="E1297" t="e">
            <v>#VALUE!</v>
          </cell>
          <cell r="F1297">
            <v>-520.10829710241865</v>
          </cell>
        </row>
        <row r="1298">
          <cell r="A1298" t="str">
            <v>BNBBNE7A</v>
          </cell>
          <cell r="B1298">
            <v>0</v>
          </cell>
          <cell r="C1298">
            <v>0</v>
          </cell>
          <cell r="D1298">
            <v>0</v>
          </cell>
          <cell r="E1298" t="e">
            <v>#VALUE!</v>
          </cell>
          <cell r="F1298">
            <v>-83.660371611869493</v>
          </cell>
        </row>
        <row r="1299">
          <cell r="A1299" t="str">
            <v>BISONE7A</v>
          </cell>
          <cell r="B1299">
            <v>0</v>
          </cell>
          <cell r="C1299">
            <v>0</v>
          </cell>
          <cell r="D1299">
            <v>0</v>
          </cell>
          <cell r="E1299" t="e">
            <v>#VALUE!</v>
          </cell>
          <cell r="F1299">
            <v>-5.423563834412457</v>
          </cell>
        </row>
        <row r="1300">
          <cell r="A1300" t="str">
            <v>BISPNE7A</v>
          </cell>
          <cell r="B1300">
            <v>0</v>
          </cell>
          <cell r="C1300">
            <v>0</v>
          </cell>
          <cell r="D1300">
            <v>0</v>
          </cell>
          <cell r="E1300" t="e">
            <v>#VALUE!</v>
          </cell>
          <cell r="F1300">
            <v>-0.12718519282667604</v>
          </cell>
        </row>
        <row r="1301">
          <cell r="A1301" t="str">
            <v>BIZONE7A</v>
          </cell>
          <cell r="B1301">
            <v>0</v>
          </cell>
          <cell r="C1301">
            <v>0</v>
          </cell>
          <cell r="D1301">
            <v>0</v>
          </cell>
          <cell r="E1301" t="e">
            <v>#VALUE!</v>
          </cell>
          <cell r="F1301">
            <v>-20.920614702407629</v>
          </cell>
        </row>
        <row r="1302">
          <cell r="A1302" t="str">
            <v>BNCANE7A</v>
          </cell>
          <cell r="B1302">
            <v>0</v>
          </cell>
          <cell r="C1302">
            <v>0</v>
          </cell>
          <cell r="D1302">
            <v>0</v>
          </cell>
          <cell r="E1302" t="e">
            <v>#VALUE!</v>
          </cell>
          <cell r="F1302">
            <v>-37.692015080909208</v>
          </cell>
        </row>
        <row r="1303">
          <cell r="A1303" t="str">
            <v>BT14NE7A</v>
          </cell>
          <cell r="B1303">
            <v>0</v>
          </cell>
          <cell r="C1303">
            <v>0</v>
          </cell>
          <cell r="D1303">
            <v>0</v>
          </cell>
          <cell r="E1303" t="e">
            <v>#VALUE!</v>
          </cell>
          <cell r="F1303">
            <v>0</v>
          </cell>
        </row>
        <row r="1304">
          <cell r="A1304" t="str">
            <v>BRFTNE7A</v>
          </cell>
          <cell r="B1304">
            <v>0</v>
          </cell>
          <cell r="C1304">
            <v>0</v>
          </cell>
          <cell r="D1304">
            <v>0</v>
          </cell>
          <cell r="E1304" t="e">
            <v>#VALUE!</v>
          </cell>
          <cell r="F1304">
            <v>-1.8044783396263646</v>
          </cell>
        </row>
        <row r="1305">
          <cell r="A1305" t="str">
            <v>BRQFNE7A</v>
          </cell>
          <cell r="B1305">
            <v>0</v>
          </cell>
          <cell r="C1305">
            <v>0</v>
          </cell>
          <cell r="D1305">
            <v>0</v>
          </cell>
          <cell r="E1305" t="e">
            <v>#VALUE!</v>
          </cell>
          <cell r="F1305">
            <v>-66.991100039547433</v>
          </cell>
        </row>
        <row r="1306">
          <cell r="A1306" t="str">
            <v>BCAMNE7A</v>
          </cell>
          <cell r="B1306">
            <v>0</v>
          </cell>
          <cell r="C1306">
            <v>0</v>
          </cell>
          <cell r="D1306">
            <v>0</v>
          </cell>
          <cell r="E1306" t="e">
            <v>#VALUE!</v>
          </cell>
          <cell r="F1306">
            <v>-45.063648046206119</v>
          </cell>
        </row>
        <row r="1307">
          <cell r="A1307" t="str">
            <v>BMTBNE7A</v>
          </cell>
          <cell r="B1307">
            <v>0</v>
          </cell>
          <cell r="C1307">
            <v>0</v>
          </cell>
          <cell r="D1307">
            <v>0</v>
          </cell>
          <cell r="E1307" t="e">
            <v>#VALUE!</v>
          </cell>
          <cell r="F1307">
            <v>-10.444167881795805</v>
          </cell>
        </row>
        <row r="1308">
          <cell r="A1308" t="str">
            <v>BALKNE7A</v>
          </cell>
          <cell r="B1308">
            <v>0</v>
          </cell>
          <cell r="C1308">
            <v>0</v>
          </cell>
          <cell r="D1308">
            <v>0</v>
          </cell>
          <cell r="E1308" t="e">
            <v>#VALUE!</v>
          </cell>
          <cell r="F1308">
            <v>-0.45984005928039551</v>
          </cell>
        </row>
        <row r="1309">
          <cell r="A1309" t="str">
            <v>BNBONE7A</v>
          </cell>
          <cell r="B1309">
            <v>0</v>
          </cell>
          <cell r="C1309">
            <v>0</v>
          </cell>
          <cell r="D1309">
            <v>0</v>
          </cell>
          <cell r="E1309" t="e">
            <v>#VALUE!</v>
          </cell>
          <cell r="F1309">
            <v>-26.892017278279344</v>
          </cell>
        </row>
        <row r="1310">
          <cell r="A1310" t="str">
            <v>BNTFNE7A</v>
          </cell>
          <cell r="B1310">
            <v>0</v>
          </cell>
          <cell r="C1310">
            <v>0</v>
          </cell>
          <cell r="D1310">
            <v>0</v>
          </cell>
          <cell r="E1310" t="e">
            <v>#VALUE!</v>
          </cell>
          <cell r="F1310">
            <v>-196.68936316085188</v>
          </cell>
        </row>
        <row r="1311">
          <cell r="A1311" t="str">
            <v>BBTRNE8A</v>
          </cell>
          <cell r="B1311">
            <v>1.1905910493366044E-13</v>
          </cell>
          <cell r="C1311">
            <v>0</v>
          </cell>
          <cell r="D1311">
            <v>0</v>
          </cell>
          <cell r="E1311" t="e">
            <v>#VALUE!</v>
          </cell>
          <cell r="F1311">
            <v>-31.976023300379921</v>
          </cell>
        </row>
        <row r="1312">
          <cell r="A1312" t="str">
            <v>BNBBNE8A</v>
          </cell>
          <cell r="B1312">
            <v>0</v>
          </cell>
          <cell r="C1312">
            <v>0</v>
          </cell>
          <cell r="D1312">
            <v>0</v>
          </cell>
          <cell r="E1312" t="e">
            <v>#VALUE!</v>
          </cell>
          <cell r="F1312">
            <v>-6.533705574192413</v>
          </cell>
        </row>
        <row r="1313">
          <cell r="A1313" t="str">
            <v>BISONE8A</v>
          </cell>
          <cell r="B1313">
            <v>0</v>
          </cell>
          <cell r="C1313">
            <v>0</v>
          </cell>
          <cell r="D1313">
            <v>0</v>
          </cell>
          <cell r="E1313" t="e">
            <v>#VALUE!</v>
          </cell>
          <cell r="F1313">
            <v>-32.23466387186965</v>
          </cell>
        </row>
        <row r="1314">
          <cell r="A1314" t="str">
            <v>BISPNE8A</v>
          </cell>
          <cell r="B1314">
            <v>-9.3899669123732847E-13</v>
          </cell>
          <cell r="C1314">
            <v>0</v>
          </cell>
          <cell r="D1314">
            <v>0</v>
          </cell>
          <cell r="E1314" t="e">
            <v>#VALUE!</v>
          </cell>
          <cell r="F1314">
            <v>-6.1220022279922279</v>
          </cell>
        </row>
        <row r="1315">
          <cell r="A1315" t="str">
            <v>BIZONE8A</v>
          </cell>
          <cell r="B1315">
            <v>0</v>
          </cell>
          <cell r="C1315">
            <v>0</v>
          </cell>
          <cell r="D1315">
            <v>0</v>
          </cell>
          <cell r="E1315" t="e">
            <v>#VALUE!</v>
          </cell>
          <cell r="F1315">
            <v>-12.399128934781846</v>
          </cell>
        </row>
        <row r="1316">
          <cell r="A1316" t="str">
            <v>BNCANE8A</v>
          </cell>
          <cell r="B1316">
            <v>0</v>
          </cell>
          <cell r="C1316">
            <v>0</v>
          </cell>
          <cell r="D1316">
            <v>0</v>
          </cell>
          <cell r="E1316" t="e">
            <v>#VALUE!</v>
          </cell>
          <cell r="F1316">
            <v>-112.48955435034347</v>
          </cell>
        </row>
        <row r="1317">
          <cell r="A1317" t="str">
            <v>BT14NE8A</v>
          </cell>
          <cell r="B1317">
            <v>1.814466908153979E-12</v>
          </cell>
          <cell r="C1317">
            <v>0</v>
          </cell>
          <cell r="D1317">
            <v>0</v>
          </cell>
          <cell r="E1317" t="e">
            <v>#VALUE!</v>
          </cell>
          <cell r="F1317">
            <v>-91.76594647054803</v>
          </cell>
        </row>
        <row r="1318">
          <cell r="A1318" t="str">
            <v>BRFTNE8A</v>
          </cell>
          <cell r="B1318">
            <v>0</v>
          </cell>
          <cell r="C1318">
            <v>0</v>
          </cell>
          <cell r="D1318">
            <v>0</v>
          </cell>
          <cell r="E1318" t="e">
            <v>#VALUE!</v>
          </cell>
          <cell r="F1318">
            <v>-44.858511190545066</v>
          </cell>
        </row>
        <row r="1319">
          <cell r="A1319" t="str">
            <v>BRQFNE8A</v>
          </cell>
          <cell r="B1319">
            <v>0</v>
          </cell>
          <cell r="C1319">
            <v>0</v>
          </cell>
          <cell r="D1319">
            <v>0</v>
          </cell>
          <cell r="E1319" t="e">
            <v>#VALUE!</v>
          </cell>
          <cell r="F1319">
            <v>-52.760744486769582</v>
          </cell>
        </row>
        <row r="1320">
          <cell r="A1320" t="str">
            <v>BCAMNE8A</v>
          </cell>
          <cell r="B1320">
            <v>0</v>
          </cell>
          <cell r="C1320">
            <v>0</v>
          </cell>
          <cell r="D1320">
            <v>0</v>
          </cell>
          <cell r="E1320" t="e">
            <v>#VALUE!</v>
          </cell>
          <cell r="F1320">
            <v>-63.014743457428395</v>
          </cell>
        </row>
        <row r="1321">
          <cell r="A1321" t="str">
            <v>BMTBNE8A</v>
          </cell>
          <cell r="B1321">
            <v>0</v>
          </cell>
          <cell r="C1321">
            <v>0</v>
          </cell>
          <cell r="D1321">
            <v>0</v>
          </cell>
          <cell r="E1321" t="e">
            <v>#VALUE!</v>
          </cell>
          <cell r="F1321">
            <v>-111.92389632969686</v>
          </cell>
        </row>
        <row r="1322">
          <cell r="A1322" t="str">
            <v>BALKNE8A</v>
          </cell>
          <cell r="B1322">
            <v>0</v>
          </cell>
          <cell r="C1322">
            <v>0</v>
          </cell>
          <cell r="D1322">
            <v>0</v>
          </cell>
          <cell r="E1322" t="e">
            <v>#VALUE!</v>
          </cell>
          <cell r="F1322">
            <v>-323.4540888433587</v>
          </cell>
        </row>
        <row r="1323">
          <cell r="A1323" t="str">
            <v>BNBONE8A</v>
          </cell>
          <cell r="B1323">
            <v>0</v>
          </cell>
          <cell r="C1323">
            <v>0</v>
          </cell>
          <cell r="D1323">
            <v>0</v>
          </cell>
          <cell r="E1323" t="e">
            <v>#VALUE!</v>
          </cell>
          <cell r="F1323">
            <v>-8.9684021335758572</v>
          </cell>
        </row>
        <row r="1324">
          <cell r="A1324" t="str">
            <v>BNTFNE8A</v>
          </cell>
          <cell r="B1324">
            <v>0</v>
          </cell>
          <cell r="C1324">
            <v>0</v>
          </cell>
          <cell r="D1324">
            <v>0</v>
          </cell>
          <cell r="E1324" t="e">
            <v>#VALUE!</v>
          </cell>
          <cell r="F1324">
            <v>-38.36653857949662</v>
          </cell>
        </row>
        <row r="1325">
          <cell r="A1325" t="str">
            <v>BBTRNE9A</v>
          </cell>
          <cell r="B1325">
            <v>1.0564906050816192E-13</v>
          </cell>
          <cell r="C1325">
            <v>0</v>
          </cell>
          <cell r="D1325">
            <v>0</v>
          </cell>
          <cell r="E1325" t="e">
            <v>#VALUE!</v>
          </cell>
          <cell r="F1325">
            <v>0</v>
          </cell>
        </row>
        <row r="1326">
          <cell r="A1326" t="str">
            <v>BTCHNE9A</v>
          </cell>
          <cell r="B1326">
            <v>0</v>
          </cell>
          <cell r="C1326">
            <v>0</v>
          </cell>
          <cell r="D1326">
            <v>0</v>
          </cell>
          <cell r="E1326" t="e">
            <v>#VALUE!</v>
          </cell>
          <cell r="F1326">
            <v>-25.151039822420028</v>
          </cell>
        </row>
        <row r="1327">
          <cell r="A1327" t="str">
            <v>BNCANE9A</v>
          </cell>
          <cell r="B1327">
            <v>0</v>
          </cell>
          <cell r="C1327">
            <v>0</v>
          </cell>
          <cell r="D1327">
            <v>0</v>
          </cell>
          <cell r="E1327" t="e">
            <v>#VALUE!</v>
          </cell>
          <cell r="F1327">
            <v>-46.652857155995825</v>
          </cell>
        </row>
        <row r="1328">
          <cell r="A1328" t="str">
            <v>BT14NE9A</v>
          </cell>
          <cell r="B1328">
            <v>1.2444093059087417E-12</v>
          </cell>
          <cell r="C1328">
            <v>0</v>
          </cell>
          <cell r="D1328">
            <v>0</v>
          </cell>
          <cell r="E1328" t="e">
            <v>#VALUE!</v>
          </cell>
          <cell r="F1328">
            <v>-15.379947505585134</v>
          </cell>
        </row>
        <row r="1329">
          <cell r="A1329" t="str">
            <v>BCAMNE9A</v>
          </cell>
          <cell r="B1329">
            <v>0</v>
          </cell>
          <cell r="C1329">
            <v>0</v>
          </cell>
          <cell r="D1329">
            <v>0</v>
          </cell>
          <cell r="E1329" t="e">
            <v>#VALUE!</v>
          </cell>
          <cell r="F1329">
            <v>-43.632897770241513</v>
          </cell>
        </row>
        <row r="1330">
          <cell r="A1330" t="str">
            <v>BMTBNE9A</v>
          </cell>
          <cell r="B1330">
            <v>6.1949098818773059E-13</v>
          </cell>
          <cell r="C1330">
            <v>0</v>
          </cell>
          <cell r="D1330">
            <v>0</v>
          </cell>
          <cell r="E1330" t="e">
            <v>#VALUE!</v>
          </cell>
          <cell r="F1330">
            <v>-113.3499428526996</v>
          </cell>
        </row>
        <row r="1331">
          <cell r="A1331" t="str">
            <v>BNBONE9A</v>
          </cell>
          <cell r="B1331">
            <v>-6.7210614452152217E-13</v>
          </cell>
          <cell r="C1331">
            <v>0</v>
          </cell>
          <cell r="D1331">
            <v>0</v>
          </cell>
          <cell r="E1331" t="e">
            <v>#VALUE!</v>
          </cell>
          <cell r="F1331">
            <v>-2.5072252064535063</v>
          </cell>
        </row>
        <row r="1332">
          <cell r="A1332" t="str">
            <v>BNTFNE9A</v>
          </cell>
          <cell r="B1332">
            <v>0</v>
          </cell>
          <cell r="C1332">
            <v>0</v>
          </cell>
          <cell r="D1332">
            <v>0</v>
          </cell>
          <cell r="E1332" t="e">
            <v>#VALUE!</v>
          </cell>
          <cell r="F1332">
            <v>-9.2476804354419446</v>
          </cell>
        </row>
        <row r="1333">
          <cell r="A1333" t="str">
            <v>BLCQJETA</v>
          </cell>
          <cell r="B1333">
            <v>0</v>
          </cell>
          <cell r="C1333">
            <v>0</v>
          </cell>
          <cell r="D1333">
            <v>0</v>
          </cell>
          <cell r="E1333" t="e">
            <v>#VALUE!</v>
          </cell>
          <cell r="F1333">
            <v>-9.9712418543149344</v>
          </cell>
        </row>
        <row r="1334">
          <cell r="A1334" t="str">
            <v>BLK1JETA</v>
          </cell>
          <cell r="B1334">
            <v>5.7276508579515432E-2</v>
          </cell>
          <cell r="C1334">
            <v>0</v>
          </cell>
          <cell r="D1334">
            <v>0</v>
          </cell>
          <cell r="E1334" t="e">
            <v>#VALUE!</v>
          </cell>
          <cell r="F1334">
            <v>-1.6734155857399717</v>
          </cell>
        </row>
        <row r="1335">
          <cell r="A1335" t="str">
            <v>BLK4JETA</v>
          </cell>
          <cell r="B1335">
            <v>5.1584123871097828E-2</v>
          </cell>
          <cell r="C1335">
            <v>0</v>
          </cell>
          <cell r="D1335">
            <v>0</v>
          </cell>
          <cell r="E1335" t="e">
            <v>#VALUE!</v>
          </cell>
          <cell r="F1335">
            <v>-1.6896534547413866</v>
          </cell>
        </row>
        <row r="1336">
          <cell r="A1336" t="str">
            <v>BLK3JETA</v>
          </cell>
          <cell r="B1336">
            <v>0.84549734233176876</v>
          </cell>
          <cell r="C1336">
            <v>0</v>
          </cell>
          <cell r="D1336">
            <v>0</v>
          </cell>
          <cell r="E1336" t="e">
            <v>#VALUE!</v>
          </cell>
          <cell r="F1336">
            <v>0</v>
          </cell>
        </row>
        <row r="1337">
          <cell r="A1337" t="str">
            <v>BNNPJETA</v>
          </cell>
          <cell r="B1337">
            <v>0.53280734183037115</v>
          </cell>
          <cell r="C1337">
            <v>0</v>
          </cell>
          <cell r="D1337">
            <v>0</v>
          </cell>
          <cell r="E1337" t="e">
            <v>#VALUE!</v>
          </cell>
          <cell r="F1337">
            <v>0</v>
          </cell>
        </row>
        <row r="1338">
          <cell r="A1338" t="str">
            <v>BHTPJETA</v>
          </cell>
          <cell r="B1338">
            <v>0.94932680521925839</v>
          </cell>
          <cell r="C1338">
            <v>0</v>
          </cell>
          <cell r="D1338">
            <v>0</v>
          </cell>
          <cell r="E1338" t="e">
            <v>#VALUE!</v>
          </cell>
          <cell r="F1338">
            <v>0</v>
          </cell>
        </row>
        <row r="1339">
          <cell r="A1339" t="str">
            <v>BLK1KERA</v>
          </cell>
          <cell r="B1339">
            <v>0</v>
          </cell>
          <cell r="C1339">
            <v>0</v>
          </cell>
          <cell r="D1339">
            <v>0</v>
          </cell>
          <cell r="E1339" t="e">
            <v>#VALUE!</v>
          </cell>
          <cell r="F1339">
            <v>-1.2845345415225993</v>
          </cell>
        </row>
        <row r="1340">
          <cell r="A1340" t="str">
            <v>BLK4KERA</v>
          </cell>
          <cell r="B1340">
            <v>2.7246993395759664E-8</v>
          </cell>
          <cell r="C1340">
            <v>0</v>
          </cell>
          <cell r="D1340">
            <v>0</v>
          </cell>
          <cell r="E1340" t="e">
            <v>#VALUE!</v>
          </cell>
          <cell r="F1340">
            <v>-1.2907076535159594</v>
          </cell>
        </row>
        <row r="1341">
          <cell r="A1341" t="str">
            <v>BLK3KERA</v>
          </cell>
          <cell r="B1341">
            <v>6.9056209298813047E-9</v>
          </cell>
          <cell r="C1341">
            <v>0</v>
          </cell>
          <cell r="D1341">
            <v>0</v>
          </cell>
          <cell r="E1341" t="e">
            <v>#VALUE!</v>
          </cell>
          <cell r="F1341">
            <v>-0.56394412762498203</v>
          </cell>
        </row>
        <row r="1342">
          <cell r="A1342" t="str">
            <v>BG11DSLA</v>
          </cell>
          <cell r="B1342">
            <v>0.38447084296239564</v>
          </cell>
          <cell r="C1342">
            <v>0</v>
          </cell>
          <cell r="D1342">
            <v>0</v>
          </cell>
          <cell r="E1342" t="e">
            <v>#VALUE!</v>
          </cell>
          <cell r="F1342">
            <v>0</v>
          </cell>
        </row>
        <row r="1343">
          <cell r="A1343" t="str">
            <v>BCCDDSLA</v>
          </cell>
          <cell r="B1343">
            <v>1.4869768925215284E-3</v>
          </cell>
          <cell r="C1343">
            <v>0</v>
          </cell>
          <cell r="D1343">
            <v>0</v>
          </cell>
          <cell r="E1343" t="e">
            <v>#VALUE!</v>
          </cell>
          <cell r="F1343">
            <v>-1.7769397611487402E-2</v>
          </cell>
        </row>
        <row r="1344">
          <cell r="A1344" t="str">
            <v>BCFDDSLA</v>
          </cell>
          <cell r="B1344">
            <v>0</v>
          </cell>
          <cell r="C1344">
            <v>0</v>
          </cell>
          <cell r="D1344">
            <v>0</v>
          </cell>
          <cell r="E1344" t="e">
            <v>#VALUE!</v>
          </cell>
          <cell r="F1344">
            <v>30.34743693103529</v>
          </cell>
        </row>
        <row r="1345">
          <cell r="A1345" t="str">
            <v>BBCDDSLA</v>
          </cell>
          <cell r="B1345">
            <v>0</v>
          </cell>
          <cell r="C1345">
            <v>0</v>
          </cell>
          <cell r="D1345">
            <v>0</v>
          </cell>
          <cell r="E1345" t="e">
            <v>#VALUE!</v>
          </cell>
          <cell r="F1345">
            <v>28.847722521220167</v>
          </cell>
        </row>
        <row r="1346">
          <cell r="A1346" t="str">
            <v>BV05DSLA</v>
          </cell>
          <cell r="B1346">
            <v>9.0981198908531499E-3</v>
          </cell>
          <cell r="C1346">
            <v>0</v>
          </cell>
          <cell r="D1346">
            <v>0</v>
          </cell>
          <cell r="E1346" t="e">
            <v>#VALUE!</v>
          </cell>
          <cell r="F1346">
            <v>-0.6122046516672246</v>
          </cell>
        </row>
        <row r="1347">
          <cell r="A1347" t="str">
            <v>BAD1DSLA</v>
          </cell>
          <cell r="B1347">
            <v>0</v>
          </cell>
          <cell r="C1347">
            <v>0</v>
          </cell>
          <cell r="D1347">
            <v>0</v>
          </cell>
          <cell r="E1347" t="e">
            <v>#VALUE!</v>
          </cell>
          <cell r="F1347">
            <v>-1203.5404186510059</v>
          </cell>
        </row>
        <row r="1348">
          <cell r="A1348" t="str">
            <v>BAD2DSLA</v>
          </cell>
          <cell r="B1348">
            <v>0</v>
          </cell>
          <cell r="C1348">
            <v>0</v>
          </cell>
          <cell r="D1348">
            <v>0</v>
          </cell>
          <cell r="E1348" t="e">
            <v>#VALUE!</v>
          </cell>
          <cell r="F1348">
            <v>-687.43432550299656</v>
          </cell>
        </row>
        <row r="1349">
          <cell r="A1349" t="str">
            <v>BAD3DSLA</v>
          </cell>
          <cell r="B1349">
            <v>0</v>
          </cell>
          <cell r="C1349">
            <v>0</v>
          </cell>
          <cell r="D1349">
            <v>0</v>
          </cell>
          <cell r="E1349" t="e">
            <v>#VALUE!</v>
          </cell>
          <cell r="F1349">
            <v>-190.64771699252194</v>
          </cell>
        </row>
        <row r="1350">
          <cell r="A1350" t="str">
            <v>BLCDDSLA</v>
          </cell>
          <cell r="B1350">
            <v>1.0423227501650379E-2</v>
          </cell>
          <cell r="C1350">
            <v>0</v>
          </cell>
          <cell r="D1350">
            <v>0</v>
          </cell>
          <cell r="E1350" t="e">
            <v>#VALUE!</v>
          </cell>
          <cell r="F1350">
            <v>-1.1037633802792797E-2</v>
          </cell>
        </row>
        <row r="1351">
          <cell r="A1351" t="str">
            <v>BG11DSAA</v>
          </cell>
          <cell r="B1351">
            <v>0.15356911908682078</v>
          </cell>
          <cell r="C1351">
            <v>0</v>
          </cell>
          <cell r="D1351">
            <v>0</v>
          </cell>
          <cell r="E1351" t="e">
            <v>#VALUE!</v>
          </cell>
          <cell r="F1351">
            <v>0</v>
          </cell>
        </row>
        <row r="1352">
          <cell r="A1352" t="str">
            <v>BCCDDSAA</v>
          </cell>
          <cell r="B1352">
            <v>0</v>
          </cell>
          <cell r="C1352">
            <v>0</v>
          </cell>
          <cell r="D1352">
            <v>0</v>
          </cell>
          <cell r="E1352" t="e">
            <v>#VALUE!</v>
          </cell>
          <cell r="F1352">
            <v>-3.8710247117974987E-2</v>
          </cell>
        </row>
        <row r="1353">
          <cell r="A1353" t="str">
            <v>BCFDDSAA</v>
          </cell>
          <cell r="B1353">
            <v>0</v>
          </cell>
          <cell r="C1353">
            <v>0</v>
          </cell>
          <cell r="D1353">
            <v>0</v>
          </cell>
          <cell r="E1353" t="e">
            <v>#VALUE!</v>
          </cell>
          <cell r="F1353">
            <v>30.307237849823416</v>
          </cell>
        </row>
        <row r="1354">
          <cell r="A1354" t="str">
            <v>BBCDDSAA</v>
          </cell>
          <cell r="B1354">
            <v>0</v>
          </cell>
          <cell r="C1354">
            <v>0</v>
          </cell>
          <cell r="D1354">
            <v>0</v>
          </cell>
          <cell r="E1354" t="e">
            <v>#VALUE!</v>
          </cell>
          <cell r="F1354">
            <v>28.816325195521525</v>
          </cell>
        </row>
        <row r="1355">
          <cell r="A1355" t="str">
            <v>BV05DSAA</v>
          </cell>
          <cell r="B1355">
            <v>1.4364703430806936E-2</v>
          </cell>
          <cell r="C1355">
            <v>0</v>
          </cell>
          <cell r="D1355">
            <v>0</v>
          </cell>
          <cell r="E1355" t="e">
            <v>#VALUE!</v>
          </cell>
          <cell r="F1355">
            <v>-0.59127373891334012</v>
          </cell>
        </row>
        <row r="1356">
          <cell r="A1356" t="str">
            <v>BAD1DSAA</v>
          </cell>
          <cell r="B1356">
            <v>1.3512947721397249E-5</v>
          </cell>
          <cell r="C1356">
            <v>0</v>
          </cell>
          <cell r="D1356">
            <v>0</v>
          </cell>
          <cell r="E1356" t="e">
            <v>#VALUE!</v>
          </cell>
          <cell r="F1356">
            <v>0</v>
          </cell>
        </row>
        <row r="1357">
          <cell r="A1357" t="str">
            <v>BAD2DSAA</v>
          </cell>
          <cell r="B1357">
            <v>0</v>
          </cell>
          <cell r="C1357">
            <v>0</v>
          </cell>
          <cell r="D1357">
            <v>0</v>
          </cell>
          <cell r="E1357" t="e">
            <v>#VALUE!</v>
          </cell>
          <cell r="F1357">
            <v>-9.1394087376251605E-3</v>
          </cell>
        </row>
        <row r="1358">
          <cell r="A1358" t="str">
            <v>BAD3DSAA</v>
          </cell>
          <cell r="B1358">
            <v>0</v>
          </cell>
          <cell r="C1358">
            <v>0</v>
          </cell>
          <cell r="D1358">
            <v>0</v>
          </cell>
          <cell r="E1358" t="e">
            <v>#VALUE!</v>
          </cell>
          <cell r="F1358">
            <v>-1.7936701143849387E-2</v>
          </cell>
        </row>
        <row r="1359">
          <cell r="A1359" t="str">
            <v>BLCDDSAA</v>
          </cell>
          <cell r="B1359">
            <v>0.152600783966992</v>
          </cell>
          <cell r="C1359">
            <v>0</v>
          </cell>
          <cell r="D1359">
            <v>0</v>
          </cell>
          <cell r="E1359" t="e">
            <v>#VALUE!</v>
          </cell>
          <cell r="F1359">
            <v>-5.1900302506472967E-4</v>
          </cell>
        </row>
        <row r="1360">
          <cell r="A1360" t="str">
            <v>BCCSGTGA</v>
          </cell>
          <cell r="B1360">
            <v>0.32852798700332642</v>
          </cell>
          <cell r="C1360">
            <v>0</v>
          </cell>
          <cell r="D1360">
            <v>0</v>
          </cell>
          <cell r="E1360" t="e">
            <v>#VALUE!</v>
          </cell>
          <cell r="F1360">
            <v>0</v>
          </cell>
        </row>
        <row r="1361">
          <cell r="A1361" t="str">
            <v>BJETGOIA</v>
          </cell>
          <cell r="B1361">
            <v>0.13830777782283418</v>
          </cell>
          <cell r="C1361">
            <v>0</v>
          </cell>
          <cell r="D1361">
            <v>0</v>
          </cell>
          <cell r="E1361" t="e">
            <v>#VALUE!</v>
          </cell>
          <cell r="F1361">
            <v>-5.4461396842768996E-2</v>
          </cell>
        </row>
        <row r="1362">
          <cell r="A1362" t="str">
            <v>BG11GOIA</v>
          </cell>
          <cell r="B1362">
            <v>3.9069653524111394</v>
          </cell>
          <cell r="C1362">
            <v>0</v>
          </cell>
          <cell r="D1362">
            <v>0</v>
          </cell>
          <cell r="E1362" t="e">
            <v>#VALUE!</v>
          </cell>
          <cell r="F1362">
            <v>0</v>
          </cell>
        </row>
        <row r="1363">
          <cell r="A1363" t="str">
            <v>BLKLGOIA</v>
          </cell>
          <cell r="B1363">
            <v>2.7453575844634068E-2</v>
          </cell>
          <cell r="C1363">
            <v>0</v>
          </cell>
          <cell r="D1363">
            <v>0</v>
          </cell>
          <cell r="E1363" t="e">
            <v>#VALUE!</v>
          </cell>
          <cell r="F1363">
            <v>-1.8891815695044085</v>
          </cell>
        </row>
        <row r="1364">
          <cell r="A1364" t="str">
            <v>BCCDGOIA</v>
          </cell>
          <cell r="B1364">
            <v>0</v>
          </cell>
          <cell r="C1364">
            <v>0</v>
          </cell>
          <cell r="D1364">
            <v>0</v>
          </cell>
          <cell r="E1364" t="e">
            <v>#VALUE!</v>
          </cell>
          <cell r="F1364">
            <v>-30.362314417590834</v>
          </cell>
        </row>
        <row r="1365">
          <cell r="A1365" t="str">
            <v>BCFDGOIA</v>
          </cell>
          <cell r="B1365">
            <v>0</v>
          </cell>
          <cell r="C1365">
            <v>0</v>
          </cell>
          <cell r="D1365">
            <v>0</v>
          </cell>
          <cell r="E1365" t="e">
            <v>#VALUE!</v>
          </cell>
          <cell r="F1365">
            <v>0</v>
          </cell>
        </row>
        <row r="1366">
          <cell r="A1366" t="str">
            <v>BV05GOIA</v>
          </cell>
          <cell r="B1366">
            <v>8.7133906638785591E-2</v>
          </cell>
          <cell r="C1366">
            <v>0</v>
          </cell>
          <cell r="D1366">
            <v>0</v>
          </cell>
          <cell r="E1366" t="e">
            <v>#VALUE!</v>
          </cell>
          <cell r="F1366">
            <v>-0.6122046516672246</v>
          </cell>
        </row>
        <row r="1367">
          <cell r="A1367" t="str">
            <v>BAD1GOIA</v>
          </cell>
          <cell r="B1367">
            <v>6.5917080812066895E-6</v>
          </cell>
          <cell r="C1367">
            <v>0</v>
          </cell>
          <cell r="D1367">
            <v>0</v>
          </cell>
          <cell r="E1367" t="e">
            <v>#VALUE!</v>
          </cell>
          <cell r="F1367">
            <v>-906.25314205639984</v>
          </cell>
        </row>
        <row r="1368">
          <cell r="A1368" t="str">
            <v>BAD2GOIA</v>
          </cell>
          <cell r="B1368">
            <v>0</v>
          </cell>
          <cell r="C1368">
            <v>0</v>
          </cell>
          <cell r="D1368">
            <v>0</v>
          </cell>
          <cell r="E1368" t="e">
            <v>#VALUE!</v>
          </cell>
          <cell r="F1368">
            <v>-517.61880752354455</v>
          </cell>
        </row>
        <row r="1369">
          <cell r="A1369" t="str">
            <v>BAD3GOIA</v>
          </cell>
          <cell r="B1369">
            <v>0</v>
          </cell>
          <cell r="C1369">
            <v>0</v>
          </cell>
          <cell r="D1369">
            <v>0</v>
          </cell>
          <cell r="E1369" t="e">
            <v>#VALUE!</v>
          </cell>
          <cell r="F1369">
            <v>-143.5323006825904</v>
          </cell>
        </row>
        <row r="1370">
          <cell r="A1370" t="str">
            <v>BLCDGOIA</v>
          </cell>
          <cell r="B1370">
            <v>1.9179798034772482</v>
          </cell>
          <cell r="C1370">
            <v>0</v>
          </cell>
          <cell r="D1370">
            <v>0</v>
          </cell>
          <cell r="E1370" t="e">
            <v>#VALUE!</v>
          </cell>
          <cell r="F1370">
            <v>0</v>
          </cell>
        </row>
        <row r="1371">
          <cell r="A1371" t="str">
            <v>BJETGOAA</v>
          </cell>
          <cell r="B1371">
            <v>0.23564921527692717</v>
          </cell>
          <cell r="C1371">
            <v>0</v>
          </cell>
          <cell r="D1371">
            <v>0</v>
          </cell>
          <cell r="E1371" t="e">
            <v>#VALUE!</v>
          </cell>
          <cell r="F1371">
            <v>-1.4008657113100363E-2</v>
          </cell>
        </row>
        <row r="1372">
          <cell r="A1372" t="str">
            <v>BG11GOAA</v>
          </cell>
          <cell r="B1372">
            <v>8.3087512401685326E-2</v>
          </cell>
          <cell r="C1372">
            <v>0</v>
          </cell>
          <cell r="D1372">
            <v>0</v>
          </cell>
          <cell r="E1372" t="e">
            <v>#VALUE!</v>
          </cell>
          <cell r="F1372">
            <v>-2.6320842617790991E-3</v>
          </cell>
        </row>
        <row r="1373">
          <cell r="A1373" t="str">
            <v>BLK3GOAA</v>
          </cell>
          <cell r="B1373">
            <v>0.16099777882025668</v>
          </cell>
          <cell r="C1373">
            <v>0</v>
          </cell>
          <cell r="D1373">
            <v>0</v>
          </cell>
          <cell r="E1373" t="e">
            <v>#VALUE!</v>
          </cell>
          <cell r="F1373">
            <v>-3.1696841978046994E-2</v>
          </cell>
        </row>
        <row r="1374">
          <cell r="A1374" t="str">
            <v>BLKLGOAA</v>
          </cell>
          <cell r="B1374">
            <v>2.6002776704422415E-2</v>
          </cell>
          <cell r="C1374">
            <v>0</v>
          </cell>
          <cell r="D1374">
            <v>0</v>
          </cell>
          <cell r="E1374" t="e">
            <v>#VALUE!</v>
          </cell>
          <cell r="F1374">
            <v>-1.7650587109657589</v>
          </cell>
        </row>
        <row r="1375">
          <cell r="A1375" t="str">
            <v>BLG2GOAA</v>
          </cell>
          <cell r="B1375">
            <v>0.48976674373835732</v>
          </cell>
          <cell r="C1375">
            <v>0</v>
          </cell>
          <cell r="D1375">
            <v>0</v>
          </cell>
          <cell r="E1375" t="e">
            <v>#VALUE!</v>
          </cell>
          <cell r="F1375">
            <v>-0.22282907538218041</v>
          </cell>
        </row>
        <row r="1376">
          <cell r="A1376" t="str">
            <v>BAD1GOAA</v>
          </cell>
          <cell r="B1376">
            <v>0</v>
          </cell>
          <cell r="C1376">
            <v>0</v>
          </cell>
          <cell r="D1376">
            <v>0</v>
          </cell>
          <cell r="E1376" t="e">
            <v>#VALUE!</v>
          </cell>
          <cell r="F1376">
            <v>-957.30414052466824</v>
          </cell>
        </row>
        <row r="1377">
          <cell r="A1377" t="str">
            <v>BAD2GOAA</v>
          </cell>
          <cell r="B1377">
            <v>0</v>
          </cell>
          <cell r="C1377">
            <v>0</v>
          </cell>
          <cell r="D1377">
            <v>0</v>
          </cell>
          <cell r="E1377" t="e">
            <v>#VALUE!</v>
          </cell>
          <cell r="F1377">
            <v>-547.33761872592038</v>
          </cell>
        </row>
        <row r="1378">
          <cell r="A1378" t="str">
            <v>BAD3GOAA</v>
          </cell>
          <cell r="B1378">
            <v>0</v>
          </cell>
          <cell r="C1378">
            <v>0</v>
          </cell>
          <cell r="D1378">
            <v>0</v>
          </cell>
          <cell r="E1378" t="e">
            <v>#VALUE!</v>
          </cell>
          <cell r="F1378">
            <v>-152.71744917778119</v>
          </cell>
        </row>
        <row r="1379">
          <cell r="A1379" t="str">
            <v>BLCDGOAA</v>
          </cell>
          <cell r="B1379">
            <v>0</v>
          </cell>
          <cell r="C1379">
            <v>0</v>
          </cell>
          <cell r="D1379">
            <v>0</v>
          </cell>
          <cell r="E1379" t="e">
            <v>#VALUE!</v>
          </cell>
          <cell r="F1379">
            <v>-0.49723259347191157</v>
          </cell>
        </row>
        <row r="1380">
          <cell r="A1380" t="str">
            <v>BJETGOEA</v>
          </cell>
          <cell r="B1380">
            <v>-4.3600657028148206E-13</v>
          </cell>
          <cell r="C1380">
            <v>0</v>
          </cell>
          <cell r="D1380">
            <v>0</v>
          </cell>
          <cell r="E1380" t="e">
            <v>#VALUE!</v>
          </cell>
          <cell r="F1380">
            <v>-29.787578007946276</v>
          </cell>
        </row>
        <row r="1381">
          <cell r="A1381" t="str">
            <v>BG11GOEA</v>
          </cell>
          <cell r="B1381">
            <v>-5.2974648545285363E-13</v>
          </cell>
          <cell r="C1381">
            <v>0</v>
          </cell>
          <cell r="D1381">
            <v>0</v>
          </cell>
          <cell r="E1381" t="e">
            <v>#VALUE!</v>
          </cell>
          <cell r="F1381">
            <v>-63.448162496906434</v>
          </cell>
        </row>
        <row r="1382">
          <cell r="A1382" t="str">
            <v>BLKLGOEA</v>
          </cell>
          <cell r="B1382">
            <v>-7.8313094213424298E-13</v>
          </cell>
          <cell r="C1382">
            <v>0</v>
          </cell>
          <cell r="D1382">
            <v>0</v>
          </cell>
          <cell r="E1382" t="e">
            <v>#VALUE!</v>
          </cell>
          <cell r="F1382">
            <v>-44.242360917182815</v>
          </cell>
        </row>
        <row r="1383">
          <cell r="A1383" t="str">
            <v>BCCDGOEA</v>
          </cell>
          <cell r="B1383">
            <v>0</v>
          </cell>
          <cell r="C1383">
            <v>0</v>
          </cell>
          <cell r="D1383">
            <v>0</v>
          </cell>
          <cell r="E1383" t="e">
            <v>#VALUE!</v>
          </cell>
          <cell r="F1383">
            <v>-68.012722287112723</v>
          </cell>
        </row>
        <row r="1384">
          <cell r="A1384" t="str">
            <v>BCFDGOEA</v>
          </cell>
          <cell r="B1384">
            <v>0</v>
          </cell>
          <cell r="C1384">
            <v>0</v>
          </cell>
          <cell r="D1384">
            <v>0</v>
          </cell>
          <cell r="E1384" t="e">
            <v>#VALUE!</v>
          </cell>
          <cell r="F1384">
            <v>-35.846008018598162</v>
          </cell>
        </row>
        <row r="1385">
          <cell r="A1385" t="str">
            <v>BV05GOEA</v>
          </cell>
          <cell r="B1385">
            <v>-4.9259137573477468E-14</v>
          </cell>
          <cell r="C1385">
            <v>0</v>
          </cell>
          <cell r="D1385">
            <v>0</v>
          </cell>
          <cell r="E1385" t="e">
            <v>#VALUE!</v>
          </cell>
          <cell r="F1385">
            <v>-80.627540243488468</v>
          </cell>
        </row>
        <row r="1386">
          <cell r="A1386" t="str">
            <v>BAD1GOEA</v>
          </cell>
          <cell r="B1386">
            <v>-3.6733584686209247E-14</v>
          </cell>
          <cell r="C1386">
            <v>0</v>
          </cell>
          <cell r="D1386">
            <v>0</v>
          </cell>
          <cell r="E1386" t="e">
            <v>#VALUE!</v>
          </cell>
          <cell r="F1386">
            <v>-644.38980428617299</v>
          </cell>
        </row>
        <row r="1387">
          <cell r="A1387" t="str">
            <v>BAD2GOEA</v>
          </cell>
          <cell r="B1387">
            <v>0</v>
          </cell>
          <cell r="C1387">
            <v>0</v>
          </cell>
          <cell r="D1387">
            <v>0</v>
          </cell>
          <cell r="E1387" t="e">
            <v>#VALUE!</v>
          </cell>
          <cell r="F1387">
            <v>-397.40877775949974</v>
          </cell>
        </row>
        <row r="1388">
          <cell r="A1388" t="str">
            <v>BAD3GOEA</v>
          </cell>
          <cell r="B1388">
            <v>0</v>
          </cell>
          <cell r="C1388">
            <v>0</v>
          </cell>
          <cell r="D1388">
            <v>0</v>
          </cell>
          <cell r="E1388" t="e">
            <v>#VALUE!</v>
          </cell>
          <cell r="F1388">
            <v>-159.67304800373233</v>
          </cell>
        </row>
        <row r="1389">
          <cell r="A1389" t="str">
            <v>BLCDGOEA</v>
          </cell>
          <cell r="B1389">
            <v>0</v>
          </cell>
          <cell r="C1389">
            <v>0</v>
          </cell>
          <cell r="D1389">
            <v>0</v>
          </cell>
          <cell r="E1389" t="e">
            <v>#VALUE!</v>
          </cell>
          <cell r="F1389">
            <v>-59.012515436459893</v>
          </cell>
        </row>
        <row r="1390">
          <cell r="A1390" t="str">
            <v>BJETGOYA</v>
          </cell>
          <cell r="B1390">
            <v>5.2959011557766222E-13</v>
          </cell>
          <cell r="C1390">
            <v>0</v>
          </cell>
          <cell r="D1390">
            <v>0</v>
          </cell>
          <cell r="E1390" t="e">
            <v>#VALUE!</v>
          </cell>
          <cell r="F1390">
            <v>-188.27779758401113</v>
          </cell>
        </row>
        <row r="1391">
          <cell r="A1391" t="str">
            <v>BG11GOYA</v>
          </cell>
          <cell r="B1391">
            <v>3.0272971475035259E-12</v>
          </cell>
          <cell r="C1391">
            <v>0</v>
          </cell>
          <cell r="D1391">
            <v>0</v>
          </cell>
          <cell r="E1391" t="e">
            <v>#VALUE!</v>
          </cell>
          <cell r="F1391">
            <v>-3.4572911665660064E-4</v>
          </cell>
        </row>
        <row r="1392">
          <cell r="A1392" t="str">
            <v>BLKLGOYA</v>
          </cell>
          <cell r="B1392">
            <v>0</v>
          </cell>
          <cell r="C1392">
            <v>0</v>
          </cell>
          <cell r="D1392">
            <v>0</v>
          </cell>
          <cell r="E1392" t="e">
            <v>#VALUE!</v>
          </cell>
          <cell r="F1392">
            <v>-393.21268505176454</v>
          </cell>
        </row>
        <row r="1393">
          <cell r="A1393" t="str">
            <v>BCCDGOYA</v>
          </cell>
          <cell r="B1393">
            <v>0</v>
          </cell>
          <cell r="C1393">
            <v>0</v>
          </cell>
          <cell r="D1393">
            <v>0</v>
          </cell>
          <cell r="E1393" t="e">
            <v>#VALUE!</v>
          </cell>
          <cell r="F1393">
            <v>-354.45394073904379</v>
          </cell>
        </row>
        <row r="1394">
          <cell r="A1394" t="str">
            <v>BCFDGOYA</v>
          </cell>
          <cell r="B1394">
            <v>5.4306544211803923E-14</v>
          </cell>
          <cell r="C1394">
            <v>0</v>
          </cell>
          <cell r="D1394">
            <v>0</v>
          </cell>
          <cell r="E1394" t="e">
            <v>#VALUE!</v>
          </cell>
          <cell r="F1394">
            <v>-297.04444262360875</v>
          </cell>
        </row>
        <row r="1395">
          <cell r="A1395" t="str">
            <v>BV05GOYA</v>
          </cell>
          <cell r="B1395">
            <v>-2.1803149070481447E-12</v>
          </cell>
          <cell r="C1395">
            <v>0</v>
          </cell>
          <cell r="D1395">
            <v>0</v>
          </cell>
          <cell r="E1395" t="e">
            <v>#VALUE!</v>
          </cell>
          <cell r="F1395">
            <v>0</v>
          </cell>
        </row>
        <row r="1396">
          <cell r="A1396" t="str">
            <v>BAD1GOYA</v>
          </cell>
          <cell r="B1396">
            <v>3.1162569180728338E-14</v>
          </cell>
          <cell r="C1396">
            <v>0</v>
          </cell>
          <cell r="D1396">
            <v>0</v>
          </cell>
          <cell r="E1396" t="e">
            <v>#VALUE!</v>
          </cell>
          <cell r="F1396">
            <v>-604.37690630351028</v>
          </cell>
        </row>
        <row r="1397">
          <cell r="A1397" t="str">
            <v>BAD2GOYA</v>
          </cell>
          <cell r="B1397">
            <v>0</v>
          </cell>
          <cell r="C1397">
            <v>0</v>
          </cell>
          <cell r="D1397">
            <v>0</v>
          </cell>
          <cell r="E1397" t="e">
            <v>#VALUE!</v>
          </cell>
          <cell r="F1397">
            <v>-409.74801724055044</v>
          </cell>
        </row>
        <row r="1398">
          <cell r="A1398" t="str">
            <v>BAD3GOYA</v>
          </cell>
          <cell r="B1398">
            <v>0</v>
          </cell>
          <cell r="C1398">
            <v>0</v>
          </cell>
          <cell r="D1398">
            <v>0</v>
          </cell>
          <cell r="E1398" t="e">
            <v>#VALUE!</v>
          </cell>
          <cell r="F1398">
            <v>-222.40470889888397</v>
          </cell>
        </row>
        <row r="1399">
          <cell r="A1399" t="str">
            <v>BLCDGOYA</v>
          </cell>
          <cell r="B1399">
            <v>0</v>
          </cell>
          <cell r="C1399">
            <v>0</v>
          </cell>
          <cell r="D1399">
            <v>0</v>
          </cell>
          <cell r="E1399" t="e">
            <v>#VALUE!</v>
          </cell>
          <cell r="F1399">
            <v>-22.642981487185988</v>
          </cell>
        </row>
        <row r="1400">
          <cell r="A1400" t="str">
            <v>BJETGOCA</v>
          </cell>
          <cell r="B1400">
            <v>-1.45167012899616E-11</v>
          </cell>
          <cell r="C1400">
            <v>0</v>
          </cell>
          <cell r="D1400">
            <v>0</v>
          </cell>
          <cell r="E1400" t="e">
            <v>#VALUE!</v>
          </cell>
          <cell r="F1400">
            <v>0</v>
          </cell>
        </row>
        <row r="1401">
          <cell r="A1401" t="str">
            <v>BG11GOCA</v>
          </cell>
          <cell r="B1401">
            <v>1.9731997784189368E-10</v>
          </cell>
          <cell r="C1401">
            <v>0</v>
          </cell>
          <cell r="D1401">
            <v>0</v>
          </cell>
          <cell r="E1401" t="e">
            <v>#VALUE!</v>
          </cell>
          <cell r="F1401">
            <v>-1.043206810542982E-3</v>
          </cell>
        </row>
        <row r="1402">
          <cell r="A1402" t="str">
            <v>BLKLGOCA</v>
          </cell>
          <cell r="B1402">
            <v>7.3134588111561548E-11</v>
          </cell>
          <cell r="C1402">
            <v>0</v>
          </cell>
          <cell r="D1402">
            <v>0</v>
          </cell>
          <cell r="E1402" t="e">
            <v>#VALUE!</v>
          </cell>
          <cell r="F1402">
            <v>-160.95231747921198</v>
          </cell>
        </row>
        <row r="1403">
          <cell r="A1403" t="str">
            <v>BAD1GOCA</v>
          </cell>
          <cell r="B1403">
            <v>1.5462651270337271E-13</v>
          </cell>
          <cell r="C1403">
            <v>0</v>
          </cell>
          <cell r="D1403">
            <v>0</v>
          </cell>
          <cell r="E1403" t="e">
            <v>#VALUE!</v>
          </cell>
          <cell r="F1403">
            <v>0</v>
          </cell>
        </row>
        <row r="1404">
          <cell r="A1404" t="str">
            <v>BAD2GOCA</v>
          </cell>
          <cell r="B1404">
            <v>2.8236858919394157E-14</v>
          </cell>
          <cell r="C1404">
            <v>0</v>
          </cell>
          <cell r="D1404">
            <v>0</v>
          </cell>
          <cell r="E1404" t="e">
            <v>#VALUE!</v>
          </cell>
          <cell r="F1404">
            <v>-110.14649040098877</v>
          </cell>
        </row>
        <row r="1405">
          <cell r="A1405" t="str">
            <v>BAD3GOCA</v>
          </cell>
          <cell r="B1405">
            <v>2.8236858919394157E-14</v>
          </cell>
          <cell r="C1405">
            <v>0</v>
          </cell>
          <cell r="D1405">
            <v>0</v>
          </cell>
          <cell r="E1405" t="e">
            <v>#VALUE!</v>
          </cell>
          <cell r="F1405">
            <v>-216.16984466065281</v>
          </cell>
        </row>
        <row r="1406">
          <cell r="A1406" t="str">
            <v>BJETGOUA</v>
          </cell>
          <cell r="B1406">
            <v>0.13085326195139541</v>
          </cell>
          <cell r="C1406">
            <v>0</v>
          </cell>
          <cell r="D1406">
            <v>0</v>
          </cell>
          <cell r="E1406" t="e">
            <v>#VALUE!</v>
          </cell>
          <cell r="F1406">
            <v>0</v>
          </cell>
        </row>
        <row r="1407">
          <cell r="A1407" t="str">
            <v>BG11GOUA</v>
          </cell>
          <cell r="B1407">
            <v>1.0735388440628575</v>
          </cell>
          <cell r="C1407">
            <v>0</v>
          </cell>
          <cell r="D1407">
            <v>0</v>
          </cell>
          <cell r="E1407" t="e">
            <v>#VALUE!</v>
          </cell>
          <cell r="F1407">
            <v>0</v>
          </cell>
        </row>
        <row r="1408">
          <cell r="A1408" t="str">
            <v>BLKLGOUA</v>
          </cell>
          <cell r="B1408">
            <v>0.10821866025663401</v>
          </cell>
          <cell r="C1408">
            <v>0</v>
          </cell>
          <cell r="D1408">
            <v>0</v>
          </cell>
          <cell r="E1408" t="e">
            <v>#VALUE!</v>
          </cell>
          <cell r="F1408">
            <v>-1.8262278360864797</v>
          </cell>
        </row>
        <row r="1409">
          <cell r="A1409" t="str">
            <v>BCCDGOUA</v>
          </cell>
          <cell r="B1409">
            <v>0</v>
          </cell>
          <cell r="C1409">
            <v>0</v>
          </cell>
          <cell r="D1409">
            <v>0</v>
          </cell>
          <cell r="E1409" t="e">
            <v>#VALUE!</v>
          </cell>
          <cell r="F1409">
            <v>-1.4482640219892172E-2</v>
          </cell>
        </row>
        <row r="1410">
          <cell r="A1410" t="str">
            <v>BCFDGOUA</v>
          </cell>
          <cell r="B1410">
            <v>0</v>
          </cell>
          <cell r="C1410">
            <v>0</v>
          </cell>
          <cell r="D1410">
            <v>0</v>
          </cell>
          <cell r="E1410" t="e">
            <v>#VALUE!</v>
          </cell>
          <cell r="F1410">
            <v>30.342339272695046</v>
          </cell>
        </row>
        <row r="1411">
          <cell r="A1411" t="str">
            <v>BV05GOUA</v>
          </cell>
          <cell r="B1411">
            <v>4.3613745782473318E-2</v>
          </cell>
          <cell r="C1411">
            <v>0</v>
          </cell>
          <cell r="D1411">
            <v>0</v>
          </cell>
          <cell r="E1411" t="e">
            <v>#VALUE!</v>
          </cell>
          <cell r="F1411">
            <v>-0.60109429816677151</v>
          </cell>
        </row>
        <row r="1412">
          <cell r="A1412" t="str">
            <v>BAD1GOUA</v>
          </cell>
          <cell r="B1412">
            <v>1.9943338074507701E-5</v>
          </cell>
          <cell r="C1412">
            <v>0</v>
          </cell>
          <cell r="D1412">
            <v>0</v>
          </cell>
          <cell r="E1412" t="e">
            <v>#VALUE!</v>
          </cell>
          <cell r="F1412">
            <v>-599.28375093642978</v>
          </cell>
        </row>
        <row r="1413">
          <cell r="A1413" t="str">
            <v>BAD2GOUA</v>
          </cell>
          <cell r="B1413">
            <v>-2.8236858919394157E-14</v>
          </cell>
          <cell r="C1413">
            <v>0</v>
          </cell>
          <cell r="D1413">
            <v>0</v>
          </cell>
          <cell r="E1413" t="e">
            <v>#VALUE!</v>
          </cell>
          <cell r="F1413">
            <v>-342.28539871842895</v>
          </cell>
        </row>
        <row r="1414">
          <cell r="A1414" t="str">
            <v>BAD3GOUA</v>
          </cell>
          <cell r="B1414">
            <v>-2.8236858919394157E-14</v>
          </cell>
          <cell r="C1414">
            <v>0</v>
          </cell>
          <cell r="D1414">
            <v>0</v>
          </cell>
          <cell r="E1414" t="e">
            <v>#VALUE!</v>
          </cell>
          <cell r="F1414">
            <v>-94.907321794065709</v>
          </cell>
        </row>
        <row r="1415">
          <cell r="A1415" t="str">
            <v>BLCDGOUA</v>
          </cell>
          <cell r="B1415">
            <v>0.27118312430708374</v>
          </cell>
          <cell r="C1415">
            <v>0</v>
          </cell>
          <cell r="D1415">
            <v>0</v>
          </cell>
          <cell r="E1415" t="e">
            <v>#VALUE!</v>
          </cell>
          <cell r="F1415">
            <v>-3.5399385097500198E-15</v>
          </cell>
        </row>
        <row r="1416">
          <cell r="A1416" t="str">
            <v>BJETGOBA</v>
          </cell>
          <cell r="B1416">
            <v>0</v>
          </cell>
          <cell r="C1416">
            <v>0</v>
          </cell>
          <cell r="D1416">
            <v>0</v>
          </cell>
          <cell r="E1416" t="e">
            <v>#VALUE!</v>
          </cell>
          <cell r="F1416">
            <v>-52.448673697693707</v>
          </cell>
        </row>
        <row r="1417">
          <cell r="A1417" t="str">
            <v>BG11GOBA</v>
          </cell>
          <cell r="B1417">
            <v>0</v>
          </cell>
          <cell r="C1417">
            <v>0</v>
          </cell>
          <cell r="D1417">
            <v>0</v>
          </cell>
          <cell r="E1417" t="e">
            <v>#VALUE!</v>
          </cell>
          <cell r="F1417">
            <v>-325.04516430162403</v>
          </cell>
        </row>
        <row r="1418">
          <cell r="A1418" t="str">
            <v>BLKLGOBA</v>
          </cell>
          <cell r="B1418">
            <v>-3.3323489931594399E-13</v>
          </cell>
          <cell r="C1418">
            <v>0</v>
          </cell>
          <cell r="D1418">
            <v>0</v>
          </cell>
          <cell r="E1418" t="e">
            <v>#VALUE!</v>
          </cell>
          <cell r="F1418">
            <v>-49.353849980602526</v>
          </cell>
        </row>
        <row r="1419">
          <cell r="A1419" t="str">
            <v>BCCDGOBA</v>
          </cell>
          <cell r="B1419">
            <v>0</v>
          </cell>
          <cell r="C1419">
            <v>0</v>
          </cell>
          <cell r="D1419">
            <v>0</v>
          </cell>
          <cell r="E1419" t="e">
            <v>#VALUE!</v>
          </cell>
          <cell r="F1419">
            <v>-270.52741605157723</v>
          </cell>
        </row>
        <row r="1420">
          <cell r="A1420" t="str">
            <v>BCFDGOBA</v>
          </cell>
          <cell r="B1420">
            <v>4.6500263804057295E-14</v>
          </cell>
          <cell r="C1420">
            <v>0</v>
          </cell>
          <cell r="D1420">
            <v>0</v>
          </cell>
          <cell r="E1420" t="e">
            <v>#VALUE!</v>
          </cell>
          <cell r="F1420">
            <v>-203.43590489217681</v>
          </cell>
        </row>
        <row r="1421">
          <cell r="A1421" t="str">
            <v>BV05GOBA</v>
          </cell>
          <cell r="B1421">
            <v>0</v>
          </cell>
          <cell r="C1421">
            <v>0</v>
          </cell>
          <cell r="D1421">
            <v>0</v>
          </cell>
          <cell r="E1421" t="e">
            <v>#VALUE!</v>
          </cell>
          <cell r="F1421">
            <v>-418.14152171513808</v>
          </cell>
        </row>
        <row r="1422">
          <cell r="A1422" t="str">
            <v>BAD1GOBA</v>
          </cell>
          <cell r="B1422">
            <v>0</v>
          </cell>
          <cell r="C1422">
            <v>0</v>
          </cell>
          <cell r="D1422">
            <v>0</v>
          </cell>
          <cell r="E1422" t="e">
            <v>#VALUE!</v>
          </cell>
          <cell r="F1422">
            <v>0</v>
          </cell>
        </row>
        <row r="1423">
          <cell r="A1423" t="str">
            <v>BAD2GOBA</v>
          </cell>
          <cell r="B1423">
            <v>0</v>
          </cell>
          <cell r="C1423">
            <v>0</v>
          </cell>
          <cell r="D1423">
            <v>0</v>
          </cell>
          <cell r="E1423" t="e">
            <v>#VALUE!</v>
          </cell>
          <cell r="F1423">
            <v>-151.30061139668504</v>
          </cell>
        </row>
        <row r="1424">
          <cell r="A1424" t="str">
            <v>BAD3GOBA</v>
          </cell>
          <cell r="B1424">
            <v>0</v>
          </cell>
          <cell r="C1424">
            <v>0</v>
          </cell>
          <cell r="D1424">
            <v>0</v>
          </cell>
          <cell r="E1424" t="e">
            <v>#VALUE!</v>
          </cell>
          <cell r="F1424">
            <v>-296.9375621220837</v>
          </cell>
        </row>
        <row r="1425">
          <cell r="A1425" t="str">
            <v>BLCDGOBA</v>
          </cell>
          <cell r="B1425">
            <v>0</v>
          </cell>
          <cell r="C1425">
            <v>0</v>
          </cell>
          <cell r="D1425">
            <v>0</v>
          </cell>
          <cell r="E1425" t="e">
            <v>#VALUE!</v>
          </cell>
          <cell r="F1425">
            <v>-267.35418467064426</v>
          </cell>
        </row>
        <row r="1426">
          <cell r="A1426" t="str">
            <v>BJETIFOA</v>
          </cell>
          <cell r="B1426">
            <v>1.2149795991917178E-2</v>
          </cell>
          <cell r="C1426">
            <v>0</v>
          </cell>
          <cell r="D1426">
            <v>0</v>
          </cell>
          <cell r="E1426" t="e">
            <v>#VALUE!</v>
          </cell>
          <cell r="F1426">
            <v>-4.553313586144861E-14</v>
          </cell>
        </row>
        <row r="1427">
          <cell r="A1427" t="str">
            <v>BCCDIFOA</v>
          </cell>
          <cell r="B1427">
            <v>0</v>
          </cell>
          <cell r="C1427">
            <v>0</v>
          </cell>
          <cell r="D1427">
            <v>0</v>
          </cell>
          <cell r="E1427" t="e">
            <v>#VALUE!</v>
          </cell>
          <cell r="F1427">
            <v>-54.596969144638273</v>
          </cell>
        </row>
        <row r="1428">
          <cell r="A1428" t="str">
            <v>BCFDIFOA</v>
          </cell>
          <cell r="B1428">
            <v>4.4267576340943166E-2</v>
          </cell>
          <cell r="C1428">
            <v>0</v>
          </cell>
          <cell r="D1428">
            <v>0</v>
          </cell>
          <cell r="E1428" t="e">
            <v>#VALUE!</v>
          </cell>
          <cell r="F1428">
            <v>-1.6425217350618754E-14</v>
          </cell>
        </row>
        <row r="1429">
          <cell r="A1429" t="str">
            <v>BBCDIFOA</v>
          </cell>
          <cell r="B1429">
            <v>0</v>
          </cell>
          <cell r="C1429">
            <v>0</v>
          </cell>
          <cell r="D1429">
            <v>0</v>
          </cell>
          <cell r="E1429" t="e">
            <v>#VALUE!</v>
          </cell>
          <cell r="F1429">
            <v>-25.731476906554338</v>
          </cell>
        </row>
        <row r="1430">
          <cell r="A1430" t="str">
            <v>BFDOIFOA</v>
          </cell>
          <cell r="B1430">
            <v>0.13554962514197991</v>
          </cell>
          <cell r="C1430">
            <v>0</v>
          </cell>
          <cell r="D1430">
            <v>0</v>
          </cell>
          <cell r="E1430" t="e">
            <v>#VALUE!</v>
          </cell>
          <cell r="F1430">
            <v>0</v>
          </cell>
        </row>
        <row r="1431">
          <cell r="A1431" t="str">
            <v>BJETFOCA</v>
          </cell>
          <cell r="B1431">
            <v>6.5226361767886432E-2</v>
          </cell>
          <cell r="C1431">
            <v>0</v>
          </cell>
          <cell r="D1431">
            <v>0</v>
          </cell>
          <cell r="E1431" t="e">
            <v>#VALUE!</v>
          </cell>
          <cell r="F1431">
            <v>-6.7647561829215014E-14</v>
          </cell>
        </row>
        <row r="1432">
          <cell r="A1432" t="str">
            <v>BCCDFOCA</v>
          </cell>
          <cell r="B1432">
            <v>0</v>
          </cell>
          <cell r="C1432">
            <v>0</v>
          </cell>
          <cell r="D1432">
            <v>0</v>
          </cell>
          <cell r="E1432" t="e">
            <v>#VALUE!</v>
          </cell>
          <cell r="F1432">
            <v>-54.596969144638273</v>
          </cell>
        </row>
        <row r="1433">
          <cell r="A1433" t="str">
            <v>BCFDFOCA</v>
          </cell>
          <cell r="B1433">
            <v>0.27886219716643634</v>
          </cell>
          <cell r="C1433">
            <v>0</v>
          </cell>
          <cell r="D1433">
            <v>0</v>
          </cell>
          <cell r="E1433" t="e">
            <v>#VALUE!</v>
          </cell>
          <cell r="F1433">
            <v>0</v>
          </cell>
        </row>
        <row r="1434">
          <cell r="A1434" t="str">
            <v>BBCDFOCA</v>
          </cell>
          <cell r="B1434">
            <v>0</v>
          </cell>
          <cell r="C1434">
            <v>0</v>
          </cell>
          <cell r="D1434">
            <v>0</v>
          </cell>
          <cell r="E1434" t="e">
            <v>#VALUE!</v>
          </cell>
          <cell r="F1434">
            <v>-25.731476906554338</v>
          </cell>
        </row>
        <row r="1435">
          <cell r="A1435" t="str">
            <v>BFDOFOCA</v>
          </cell>
          <cell r="B1435">
            <v>1.2765094051622365</v>
          </cell>
          <cell r="C1435">
            <v>0</v>
          </cell>
          <cell r="D1435">
            <v>0</v>
          </cell>
          <cell r="E1435" t="e">
            <v>#VALUE!</v>
          </cell>
          <cell r="F1435">
            <v>0</v>
          </cell>
        </row>
        <row r="1436">
          <cell r="A1436" t="str">
            <v>BFUEFOCA</v>
          </cell>
          <cell r="B1436">
            <v>0</v>
          </cell>
          <cell r="C1436">
            <v>0</v>
          </cell>
          <cell r="D1436">
            <v>0</v>
          </cell>
          <cell r="E1436" t="e">
            <v>#VALUE!</v>
          </cell>
          <cell r="F1436">
            <v>-2.865531252161281E-14</v>
          </cell>
        </row>
        <row r="1437">
          <cell r="A1437" t="str">
            <v>BJETFOEA</v>
          </cell>
          <cell r="B1437">
            <v>0.19874605422150599</v>
          </cell>
          <cell r="C1437">
            <v>0</v>
          </cell>
          <cell r="D1437">
            <v>0</v>
          </cell>
          <cell r="E1437" t="e">
            <v>#VALUE!</v>
          </cell>
          <cell r="F1437">
            <v>-9.7431955958337024E-15</v>
          </cell>
        </row>
        <row r="1438">
          <cell r="A1438" t="str">
            <v>BPG1FOEA</v>
          </cell>
          <cell r="B1438">
            <v>0</v>
          </cell>
          <cell r="C1438">
            <v>0</v>
          </cell>
          <cell r="D1438">
            <v>0</v>
          </cell>
          <cell r="E1438" t="e">
            <v>#VALUE!</v>
          </cell>
          <cell r="F1438">
            <v>-105.59510021470997</v>
          </cell>
        </row>
        <row r="1439">
          <cell r="A1439" t="str">
            <v>BCCDFOEA</v>
          </cell>
          <cell r="B1439">
            <v>0</v>
          </cell>
          <cell r="C1439">
            <v>0</v>
          </cell>
          <cell r="D1439">
            <v>0</v>
          </cell>
          <cell r="E1439" t="e">
            <v>#VALUE!</v>
          </cell>
          <cell r="F1439">
            <v>-54.596969144638273</v>
          </cell>
        </row>
        <row r="1440">
          <cell r="A1440" t="str">
            <v>BCFDFOEA</v>
          </cell>
          <cell r="B1440">
            <v>0.22660047652786725</v>
          </cell>
          <cell r="C1440">
            <v>0</v>
          </cell>
          <cell r="D1440">
            <v>0</v>
          </cell>
          <cell r="E1440" t="e">
            <v>#VALUE!</v>
          </cell>
          <cell r="F1440">
            <v>0</v>
          </cell>
        </row>
        <row r="1441">
          <cell r="A1441" t="str">
            <v>BBCDFOEA</v>
          </cell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-25.731476906554338</v>
          </cell>
        </row>
        <row r="1442">
          <cell r="A1442" t="str">
            <v>BFDOFOEA</v>
          </cell>
          <cell r="B1442">
            <v>1.6511131172310816</v>
          </cell>
          <cell r="C1442">
            <v>0</v>
          </cell>
          <cell r="D1442">
            <v>0</v>
          </cell>
          <cell r="E1442" t="e">
            <v>#VALUE!</v>
          </cell>
          <cell r="F1442">
            <v>0</v>
          </cell>
        </row>
        <row r="1443">
          <cell r="A1443" t="str">
            <v>BCCSFOEA</v>
          </cell>
          <cell r="B1443">
            <v>0</v>
          </cell>
          <cell r="C1443">
            <v>0</v>
          </cell>
          <cell r="D1443">
            <v>0</v>
          </cell>
          <cell r="E1443" t="e">
            <v>#VALUE!</v>
          </cell>
          <cell r="F1443">
            <v>-406.51233587395654</v>
          </cell>
        </row>
        <row r="1444">
          <cell r="A1444" t="str">
            <v>BCSBFOEA</v>
          </cell>
          <cell r="B1444">
            <v>0</v>
          </cell>
          <cell r="C1444">
            <v>0</v>
          </cell>
          <cell r="D1444">
            <v>0</v>
          </cell>
          <cell r="E1444" t="e">
            <v>#VALUE!</v>
          </cell>
          <cell r="F1444">
            <v>68.769544031848653</v>
          </cell>
        </row>
        <row r="1445">
          <cell r="A1445" t="str">
            <v>BALPFOEA</v>
          </cell>
          <cell r="B1445">
            <v>0</v>
          </cell>
          <cell r="C1445">
            <v>0</v>
          </cell>
          <cell r="D1445">
            <v>0</v>
          </cell>
          <cell r="E1445" t="e">
            <v>#VALUE!</v>
          </cell>
          <cell r="F1445">
            <v>-13.481592039865991</v>
          </cell>
        </row>
        <row r="1446">
          <cell r="A1446" t="str">
            <v>BFUEFOEA</v>
          </cell>
          <cell r="B1446">
            <v>0</v>
          </cell>
          <cell r="C1446">
            <v>0</v>
          </cell>
          <cell r="D1446">
            <v>0</v>
          </cell>
          <cell r="E1446" t="e">
            <v>#VALUE!</v>
          </cell>
          <cell r="F1446">
            <v>6.852357342124802E-15</v>
          </cell>
        </row>
        <row r="1447">
          <cell r="A1447" t="str">
            <v>BTARFOEA</v>
          </cell>
          <cell r="B1447">
            <v>8.003265408110128E-3</v>
          </cell>
          <cell r="C1447">
            <v>0</v>
          </cell>
          <cell r="D1447">
            <v>0</v>
          </cell>
          <cell r="E1447" t="e">
            <v>#VALUE!</v>
          </cell>
          <cell r="F1447">
            <v>0</v>
          </cell>
        </row>
        <row r="1448">
          <cell r="A1448" t="str">
            <v>BCOKCKEA</v>
          </cell>
          <cell r="B1448">
            <v>1.2969857611068307</v>
          </cell>
          <cell r="C1448">
            <v>0</v>
          </cell>
          <cell r="D1448">
            <v>0</v>
          </cell>
          <cell r="E1448" t="e">
            <v>#VALUE!</v>
          </cell>
          <cell r="F1448">
            <v>0</v>
          </cell>
        </row>
        <row r="1449">
          <cell r="A1449" t="str">
            <v>BF05B05A</v>
          </cell>
          <cell r="B1449">
            <v>3.7272802250434271E-2</v>
          </cell>
          <cell r="C1449">
            <v>0</v>
          </cell>
          <cell r="D1449">
            <v>0</v>
          </cell>
          <cell r="E1449" t="e">
            <v>#VALUE!</v>
          </cell>
          <cell r="F1449">
            <v>0</v>
          </cell>
        </row>
        <row r="1450">
          <cell r="A1450" t="str">
            <v>BF20B20A</v>
          </cell>
          <cell r="B1450">
            <v>0.23558219169100669</v>
          </cell>
          <cell r="C1450">
            <v>0</v>
          </cell>
          <cell r="D1450">
            <v>0</v>
          </cell>
          <cell r="E1450" t="e">
            <v>#VALUE!</v>
          </cell>
          <cell r="F1450">
            <v>0</v>
          </cell>
        </row>
        <row r="1451">
          <cell r="A1451" t="str">
            <v>BF30B30A</v>
          </cell>
          <cell r="B1451">
            <v>8.4488908711769811E-2</v>
          </cell>
          <cell r="C1451">
            <v>0</v>
          </cell>
          <cell r="D1451">
            <v>0</v>
          </cell>
          <cell r="E1451" t="e">
            <v>#VALUE!</v>
          </cell>
          <cell r="F1451">
            <v>0</v>
          </cell>
        </row>
        <row r="1452">
          <cell r="A1452" t="str">
            <v>BF40B40A</v>
          </cell>
          <cell r="B1452">
            <v>0.23100828341629406</v>
          </cell>
          <cell r="C1452">
            <v>0</v>
          </cell>
          <cell r="D1452">
            <v>0</v>
          </cell>
          <cell r="E1452" t="e">
            <v>#VALUE!</v>
          </cell>
          <cell r="F1452">
            <v>0</v>
          </cell>
        </row>
        <row r="1453">
          <cell r="A1453" t="str">
            <v>BF50B50A</v>
          </cell>
          <cell r="B1453">
            <v>7.9245062345919548E-2</v>
          </cell>
          <cell r="C1453">
            <v>0</v>
          </cell>
          <cell r="D1453">
            <v>0</v>
          </cell>
          <cell r="E1453" t="e">
            <v>#VALUE!</v>
          </cell>
          <cell r="F1453">
            <v>0</v>
          </cell>
        </row>
        <row r="1454">
          <cell r="A1454" t="str">
            <v>BF60B60A</v>
          </cell>
          <cell r="B1454">
            <v>0</v>
          </cell>
          <cell r="C1454">
            <v>0</v>
          </cell>
          <cell r="D1454">
            <v>0</v>
          </cell>
          <cell r="E1454" t="e">
            <v>#VALUE!</v>
          </cell>
          <cell r="F1454">
            <v>0</v>
          </cell>
        </row>
        <row r="1455">
          <cell r="A1455" t="str">
            <v>BASBBTIA</v>
          </cell>
          <cell r="B1455">
            <v>5.762004479765892E-2</v>
          </cell>
          <cell r="C1455">
            <v>0</v>
          </cell>
          <cell r="D1455">
            <v>0</v>
          </cell>
          <cell r="E1455" t="e">
            <v>#VALUE!</v>
          </cell>
          <cell r="F1455">
            <v>0</v>
          </cell>
        </row>
        <row r="1456">
          <cell r="A1456" t="str">
            <v>BPLTBTIA</v>
          </cell>
          <cell r="B1456">
            <v>2.9402047395706177E-2</v>
          </cell>
          <cell r="C1456">
            <v>0</v>
          </cell>
          <cell r="D1456">
            <v>0</v>
          </cell>
          <cell r="E1456" t="e">
            <v>#VALUE!</v>
          </cell>
          <cell r="F1456">
            <v>0</v>
          </cell>
        </row>
        <row r="1457">
          <cell r="A1457" t="str">
            <v>BASFBTIA</v>
          </cell>
          <cell r="B1457">
            <v>0.35164079070091248</v>
          </cell>
          <cell r="C1457">
            <v>0</v>
          </cell>
          <cell r="D1457">
            <v>0</v>
          </cell>
          <cell r="E1457" t="e">
            <v>#VALUE!</v>
          </cell>
          <cell r="F1457">
            <v>0</v>
          </cell>
        </row>
        <row r="1458">
          <cell r="A1458" t="str">
            <v>BASABTIA</v>
          </cell>
          <cell r="B1458">
            <v>3.551928699016571E-2</v>
          </cell>
          <cell r="C1458">
            <v>0</v>
          </cell>
          <cell r="D1458">
            <v>0</v>
          </cell>
          <cell r="E1458" t="e">
            <v>#VALUE!</v>
          </cell>
          <cell r="F1458">
            <v>0</v>
          </cell>
        </row>
        <row r="1459">
          <cell r="A1459" t="str">
            <v>BALQBTIA</v>
          </cell>
          <cell r="B1459">
            <v>5.3278878331184387E-2</v>
          </cell>
          <cell r="C1459">
            <v>0</v>
          </cell>
          <cell r="D1459">
            <v>0</v>
          </cell>
          <cell r="E1459" t="e">
            <v>#VALUE!</v>
          </cell>
          <cell r="F1459">
            <v>0</v>
          </cell>
        </row>
        <row r="1460">
          <cell r="A1460" t="str">
            <v>BAEMBTIA</v>
          </cell>
          <cell r="B1460">
            <v>1.9140906631946564E-2</v>
          </cell>
          <cell r="C1460">
            <v>0</v>
          </cell>
          <cell r="D1460">
            <v>0</v>
          </cell>
          <cell r="E1460" t="e">
            <v>#VALUE!</v>
          </cell>
          <cell r="F1460">
            <v>0</v>
          </cell>
        </row>
        <row r="1461">
          <cell r="A1461" t="str">
            <v>BDP1FD1A</v>
          </cell>
          <cell r="B1461">
            <v>1.2227785193093428E-3</v>
          </cell>
          <cell r="C1461">
            <v>0</v>
          </cell>
          <cell r="D1461">
            <v>0</v>
          </cell>
          <cell r="E1461" t="e">
            <v>#VALUE!</v>
          </cell>
          <cell r="F1461">
            <v>0</v>
          </cell>
        </row>
        <row r="1462">
          <cell r="A1462" t="str">
            <v>BDP2FD2A</v>
          </cell>
          <cell r="B1462">
            <v>1.5591899864375591E-2</v>
          </cell>
          <cell r="C1462">
            <v>0</v>
          </cell>
          <cell r="D1462">
            <v>0</v>
          </cell>
          <cell r="E1462" t="e">
            <v>#VALUE!</v>
          </cell>
          <cell r="F1462">
            <v>0</v>
          </cell>
        </row>
        <row r="1463">
          <cell r="A1463" t="str">
            <v>BDP3FD3A</v>
          </cell>
          <cell r="B1463">
            <v>6.7878077559377229E-3</v>
          </cell>
          <cell r="C1463">
            <v>0</v>
          </cell>
          <cell r="D1463">
            <v>0</v>
          </cell>
          <cell r="E1463" t="e">
            <v>#VALUE!</v>
          </cell>
          <cell r="F1463">
            <v>0</v>
          </cell>
        </row>
        <row r="1464">
          <cell r="A1464" t="str">
            <v>BDP4FD4A</v>
          </cell>
          <cell r="B1464">
            <v>1.2422504214161675E-2</v>
          </cell>
          <cell r="C1464">
            <v>0</v>
          </cell>
          <cell r="D1464">
            <v>0</v>
          </cell>
          <cell r="E1464" t="e">
            <v>#VALUE!</v>
          </cell>
          <cell r="F1464">
            <v>0</v>
          </cell>
        </row>
        <row r="1465">
          <cell r="A1465" t="str">
            <v>BDP5FD5A</v>
          </cell>
          <cell r="B1465">
            <v>0</v>
          </cell>
          <cell r="C1465">
            <v>0</v>
          </cell>
          <cell r="D1465">
            <v>0</v>
          </cell>
          <cell r="E1465" t="e">
            <v>#VALUE!</v>
          </cell>
          <cell r="F1465">
            <v>-346.15044806493472</v>
          </cell>
        </row>
        <row r="1466">
          <cell r="A1466" t="str">
            <v>BPA4WAXA</v>
          </cell>
          <cell r="B1466">
            <v>0</v>
          </cell>
          <cell r="C1466">
            <v>0</v>
          </cell>
          <cell r="D1466">
            <v>0</v>
          </cell>
          <cell r="E1466" t="e">
            <v>#VALUE!</v>
          </cell>
          <cell r="F1466">
            <v>0</v>
          </cell>
        </row>
        <row r="1467">
          <cell r="A1467" t="str">
            <v>BEXVEXAA</v>
          </cell>
          <cell r="B1467">
            <v>4.3835598975419998E-2</v>
          </cell>
          <cell r="C1467">
            <v>0</v>
          </cell>
          <cell r="D1467">
            <v>0</v>
          </cell>
          <cell r="E1467" t="e">
            <v>#VALUE!</v>
          </cell>
          <cell r="F1467">
            <v>0</v>
          </cell>
        </row>
        <row r="1468">
          <cell r="A1468" t="str">
            <v>BALPAKPA</v>
          </cell>
          <cell r="B1468">
            <v>3.1182900420390069E-4</v>
          </cell>
          <cell r="C1468">
            <v>0</v>
          </cell>
          <cell r="D1468">
            <v>0</v>
          </cell>
          <cell r="E1468" t="e">
            <v>#VALUE!</v>
          </cell>
          <cell r="F1468">
            <v>0</v>
          </cell>
        </row>
        <row r="1469">
          <cell r="A1469" t="str">
            <v>BCFAFC2A</v>
          </cell>
          <cell r="B1469">
            <v>0</v>
          </cell>
          <cell r="C1469">
            <v>0</v>
          </cell>
          <cell r="D1469">
            <v>0</v>
          </cell>
          <cell r="E1469" t="e">
            <v>#VALUE!</v>
          </cell>
          <cell r="F1469">
            <v>-98.829180879462257</v>
          </cell>
        </row>
        <row r="1470">
          <cell r="A1470" t="str">
            <v>BCFBFC2A</v>
          </cell>
          <cell r="B1470">
            <v>1.3061669480624767E-5</v>
          </cell>
          <cell r="C1470">
            <v>0</v>
          </cell>
          <cell r="D1470">
            <v>0</v>
          </cell>
          <cell r="E1470" t="e">
            <v>#VALUE!</v>
          </cell>
          <cell r="F1470">
            <v>-85.911159567636986</v>
          </cell>
        </row>
        <row r="1471">
          <cell r="A1471" t="str">
            <v>BCFDARSA</v>
          </cell>
          <cell r="B1471">
            <v>0</v>
          </cell>
          <cell r="C1471">
            <v>0</v>
          </cell>
          <cell r="D1471">
            <v>0</v>
          </cell>
          <cell r="E1471" t="e">
            <v>#VALUE!</v>
          </cell>
          <cell r="F1471">
            <v>-336.1204290520655</v>
          </cell>
        </row>
        <row r="1472">
          <cell r="A1472" t="str">
            <v>BBCDARSA</v>
          </cell>
          <cell r="B1472">
            <v>0</v>
          </cell>
          <cell r="C1472">
            <v>0</v>
          </cell>
          <cell r="D1472">
            <v>0</v>
          </cell>
          <cell r="E1472" t="e">
            <v>#VALUE!</v>
          </cell>
          <cell r="F1472">
            <v>-337.61725363535425</v>
          </cell>
        </row>
        <row r="1473">
          <cell r="A1473" t="str">
            <v>BNPCARSA</v>
          </cell>
          <cell r="B1473">
            <v>0</v>
          </cell>
          <cell r="C1473">
            <v>0</v>
          </cell>
          <cell r="D1473">
            <v>0</v>
          </cell>
          <cell r="E1473" t="e">
            <v>#VALUE!</v>
          </cell>
          <cell r="F1473">
            <v>-376.00333285397045</v>
          </cell>
        </row>
        <row r="1474">
          <cell r="A1474" t="str">
            <v>BBNPARSA</v>
          </cell>
          <cell r="B1474">
            <v>0</v>
          </cell>
          <cell r="C1474">
            <v>0</v>
          </cell>
          <cell r="D1474">
            <v>0</v>
          </cell>
          <cell r="E1474" t="e">
            <v>#VALUE!</v>
          </cell>
          <cell r="F1474">
            <v>-375.77367035330161</v>
          </cell>
        </row>
        <row r="1475">
          <cell r="A1475" t="str">
            <v>BDKGSLOA</v>
          </cell>
          <cell r="B1475">
            <v>3.1894733409767284E-2</v>
          </cell>
          <cell r="C1475">
            <v>0</v>
          </cell>
          <cell r="D1475">
            <v>0</v>
          </cell>
          <cell r="E1475" t="e">
            <v>#VALUE!</v>
          </cell>
          <cell r="F1475">
            <v>0</v>
          </cell>
        </row>
        <row r="1476">
          <cell r="A1476" t="str">
            <v>BGBASLOA</v>
          </cell>
          <cell r="B1476">
            <v>5.1579777284027781E-2</v>
          </cell>
          <cell r="C1476">
            <v>0</v>
          </cell>
          <cell r="D1476">
            <v>0</v>
          </cell>
          <cell r="E1476" t="e">
            <v>#VALUE!</v>
          </cell>
          <cell r="F1476">
            <v>0</v>
          </cell>
        </row>
        <row r="1477">
          <cell r="A1477" t="str">
            <v>BDKDSLOA</v>
          </cell>
          <cell r="B1477">
            <v>3.1894733409767284E-2</v>
          </cell>
          <cell r="C1477">
            <v>0</v>
          </cell>
          <cell r="D1477">
            <v>0</v>
          </cell>
          <cell r="E1477" t="e">
            <v>#VALUE!</v>
          </cell>
          <cell r="F1477">
            <v>0</v>
          </cell>
        </row>
        <row r="1478">
          <cell r="A1478" t="str">
            <v>BLCRT14A</v>
          </cell>
          <cell r="B1478">
            <v>0.32723695978726425</v>
          </cell>
          <cell r="C1478">
            <v>0</v>
          </cell>
          <cell r="D1478">
            <v>0</v>
          </cell>
          <cell r="E1478" t="e">
            <v>#VALUE!</v>
          </cell>
          <cell r="F1478">
            <v>0</v>
          </cell>
        </row>
        <row r="1479">
          <cell r="A1479" t="str">
            <v>BLCMT14A</v>
          </cell>
          <cell r="B1479">
            <v>0.76861691703535107</v>
          </cell>
          <cell r="C1479">
            <v>0</v>
          </cell>
          <cell r="D1479">
            <v>0</v>
          </cell>
          <cell r="E1479" t="e">
            <v>#VALUE!</v>
          </cell>
          <cell r="F1479">
            <v>0</v>
          </cell>
        </row>
        <row r="1480">
          <cell r="A1480" t="str">
            <v>BLCQT14A</v>
          </cell>
          <cell r="B1480">
            <v>1.0114373483069956</v>
          </cell>
          <cell r="C1480">
            <v>0</v>
          </cell>
          <cell r="D1480">
            <v>0</v>
          </cell>
          <cell r="E1480" t="e">
            <v>#VALUE!</v>
          </cell>
          <cell r="F1480">
            <v>0</v>
          </cell>
        </row>
        <row r="1481">
          <cell r="A1481" t="str">
            <v>BLCWT14A</v>
          </cell>
          <cell r="B1481">
            <v>0</v>
          </cell>
          <cell r="C1481">
            <v>0</v>
          </cell>
          <cell r="D1481">
            <v>0</v>
          </cell>
          <cell r="E1481" t="e">
            <v>#VALUE!</v>
          </cell>
          <cell r="F1481">
            <v>-3.631735380381754</v>
          </cell>
        </row>
        <row r="1482">
          <cell r="A1482" t="str">
            <v>BCTMNCAA</v>
          </cell>
          <cell r="B1482">
            <v>2.9222165946274588E-2</v>
          </cell>
          <cell r="C1482">
            <v>0</v>
          </cell>
          <cell r="D1482">
            <v>0</v>
          </cell>
          <cell r="E1482" t="e">
            <v>#VALUE!</v>
          </cell>
          <cell r="F1482">
            <v>-7.8137805886464573</v>
          </cell>
        </row>
        <row r="1483">
          <cell r="A1483" t="str">
            <v>BLCPNCAA</v>
          </cell>
          <cell r="B1483">
            <v>0</v>
          </cell>
          <cell r="C1483">
            <v>0</v>
          </cell>
          <cell r="D1483">
            <v>0</v>
          </cell>
          <cell r="E1483" t="e">
            <v>#VALUE!</v>
          </cell>
          <cell r="F1483">
            <v>12.47815188839011</v>
          </cell>
        </row>
        <row r="1484">
          <cell r="A1484" t="str">
            <v>BI5DNCAA</v>
          </cell>
          <cell r="B1484">
            <v>0.58009748377212111</v>
          </cell>
          <cell r="C1484">
            <v>0</v>
          </cell>
          <cell r="D1484">
            <v>0</v>
          </cell>
          <cell r="E1484" t="e">
            <v>#VALUE!</v>
          </cell>
          <cell r="F1484">
            <v>0</v>
          </cell>
        </row>
        <row r="1485">
          <cell r="A1485" t="str">
            <v>BLCANCAA</v>
          </cell>
          <cell r="B1485">
            <v>0</v>
          </cell>
          <cell r="C1485">
            <v>0</v>
          </cell>
          <cell r="D1485">
            <v>0</v>
          </cell>
          <cell r="E1485" t="e">
            <v>#VALUE!</v>
          </cell>
          <cell r="F1485">
            <v>10.696154027442409</v>
          </cell>
        </row>
        <row r="1486">
          <cell r="A1486" t="str">
            <v>BLCBNCAA</v>
          </cell>
          <cell r="B1486">
            <v>0</v>
          </cell>
          <cell r="C1486">
            <v>0</v>
          </cell>
          <cell r="D1486">
            <v>0</v>
          </cell>
          <cell r="E1486" t="e">
            <v>#VALUE!</v>
          </cell>
          <cell r="F1486">
            <v>17.79388635191199</v>
          </cell>
        </row>
        <row r="1487">
          <cell r="A1487" t="str">
            <v>BLCWNCAA</v>
          </cell>
          <cell r="B1487">
            <v>0</v>
          </cell>
          <cell r="C1487">
            <v>0</v>
          </cell>
          <cell r="D1487">
            <v>0</v>
          </cell>
          <cell r="E1487" t="e">
            <v>#VALUE!</v>
          </cell>
          <cell r="F1487">
            <v>-9.2656999013195307</v>
          </cell>
        </row>
        <row r="1488">
          <cell r="A1488" t="str">
            <v>BT14NCAA</v>
          </cell>
          <cell r="B1488">
            <v>0.31083079364201793</v>
          </cell>
          <cell r="C1488">
            <v>0</v>
          </cell>
          <cell r="D1488">
            <v>0</v>
          </cell>
          <cell r="E1488" t="e">
            <v>#VALUE!</v>
          </cell>
          <cell r="F1488">
            <v>0</v>
          </cell>
        </row>
        <row r="1489">
          <cell r="A1489" t="str">
            <v>BTMENCAA</v>
          </cell>
          <cell r="B1489">
            <v>0.3086112197947829</v>
          </cell>
          <cell r="C1489">
            <v>0</v>
          </cell>
          <cell r="D1489">
            <v>0</v>
          </cell>
          <cell r="E1489" t="e">
            <v>#VALUE!</v>
          </cell>
          <cell r="F1489">
            <v>0</v>
          </cell>
        </row>
        <row r="1490">
          <cell r="A1490" t="str">
            <v>QVBLJETA</v>
          </cell>
          <cell r="B1490">
            <v>2.4364921902957026</v>
          </cell>
          <cell r="C1490">
            <v>0</v>
          </cell>
          <cell r="D1490">
            <v>0</v>
          </cell>
          <cell r="E1490" t="e">
            <v>#VALUE!</v>
          </cell>
          <cell r="F1490">
            <v>0</v>
          </cell>
        </row>
        <row r="1491">
          <cell r="A1491" t="str">
            <v>QVBLT14A</v>
          </cell>
          <cell r="B1491">
            <v>2.1072911915713792</v>
          </cell>
          <cell r="C1491">
            <v>0</v>
          </cell>
          <cell r="D1491">
            <v>0</v>
          </cell>
          <cell r="E1491" t="e">
            <v>#VALUE!</v>
          </cell>
          <cell r="F1491">
            <v>0</v>
          </cell>
        </row>
        <row r="1492">
          <cell r="A1492" t="str">
            <v>QVBLNCAA</v>
          </cell>
          <cell r="B1492">
            <v>1.2287616674214192</v>
          </cell>
          <cell r="C1492">
            <v>0</v>
          </cell>
          <cell r="D1492">
            <v>0</v>
          </cell>
          <cell r="E1492" t="e">
            <v>#VALUE!</v>
          </cell>
          <cell r="F1492">
            <v>0</v>
          </cell>
        </row>
        <row r="1493">
          <cell r="A1493" t="str">
            <v>QWBLJETA</v>
          </cell>
          <cell r="B1493">
            <v>1.9364229502743238</v>
          </cell>
          <cell r="C1493">
            <v>0</v>
          </cell>
          <cell r="D1493">
            <v>0</v>
          </cell>
          <cell r="E1493" t="e">
            <v>#VALUE!</v>
          </cell>
          <cell r="F1493">
            <v>0</v>
          </cell>
        </row>
        <row r="1494">
          <cell r="A1494" t="str">
            <v>QWBLT14A</v>
          </cell>
          <cell r="B1494">
            <v>1.6614493510494492</v>
          </cell>
          <cell r="C1494">
            <v>0</v>
          </cell>
          <cell r="D1494">
            <v>0</v>
          </cell>
          <cell r="E1494" t="e">
            <v>#VALUE!</v>
          </cell>
          <cell r="F1494">
            <v>0</v>
          </cell>
        </row>
        <row r="1495">
          <cell r="A1495" t="str">
            <v>QWBLNCAA</v>
          </cell>
          <cell r="B1495">
            <v>0.86989836072268556</v>
          </cell>
          <cell r="C1495">
            <v>0</v>
          </cell>
          <cell r="D1495">
            <v>0</v>
          </cell>
          <cell r="E1495" t="e">
            <v>#VALUE!</v>
          </cell>
          <cell r="F1495">
            <v>0</v>
          </cell>
        </row>
        <row r="1496">
          <cell r="A1496" t="str">
            <v>S4C1SCNA</v>
          </cell>
          <cell r="B1496">
            <v>1.5582606756523865</v>
          </cell>
          <cell r="C1496">
            <v>0</v>
          </cell>
          <cell r="D1496">
            <v>0</v>
          </cell>
          <cell r="E1496" t="e">
            <v>#VALUE!</v>
          </cell>
          <cell r="F1496">
            <v>0</v>
          </cell>
        </row>
        <row r="1497">
          <cell r="A1497" t="str">
            <v>S4C1CHUA</v>
          </cell>
          <cell r="B1497">
            <v>0.67818130777306751</v>
          </cell>
          <cell r="C1497">
            <v>0</v>
          </cell>
          <cell r="D1497">
            <v>0</v>
          </cell>
          <cell r="E1497" t="e">
            <v>#VALUE!</v>
          </cell>
          <cell r="F1497">
            <v>0</v>
          </cell>
        </row>
        <row r="1498">
          <cell r="A1498" t="str">
            <v>S4C1TDFA</v>
          </cell>
          <cell r="B1498">
            <v>0</v>
          </cell>
          <cell r="C1498">
            <v>0</v>
          </cell>
          <cell r="D1498">
            <v>0</v>
          </cell>
          <cell r="E1498" t="e">
            <v>#VALUE!</v>
          </cell>
          <cell r="F1498">
            <v>0</v>
          </cell>
        </row>
        <row r="1499">
          <cell r="A1499" t="str">
            <v>S4C1SCSA</v>
          </cell>
          <cell r="B1499">
            <v>0</v>
          </cell>
          <cell r="C1499">
            <v>0</v>
          </cell>
          <cell r="D1499">
            <v>0</v>
          </cell>
          <cell r="E1499" t="e">
            <v>#VALUE!</v>
          </cell>
          <cell r="F1499">
            <v>-3.4279019408030051</v>
          </cell>
        </row>
        <row r="1500">
          <cell r="A1500" t="str">
            <v>S4C1CAÑA</v>
          </cell>
          <cell r="B1500">
            <v>0</v>
          </cell>
          <cell r="C1500">
            <v>0</v>
          </cell>
          <cell r="D1500">
            <v>0</v>
          </cell>
          <cell r="E1500" t="e">
            <v>#VALUE!</v>
          </cell>
          <cell r="F1500">
            <v>-0.30060538853684515</v>
          </cell>
        </row>
        <row r="1501">
          <cell r="A1501" t="str">
            <v>S4C1ESCA</v>
          </cell>
          <cell r="B1501">
            <v>0</v>
          </cell>
          <cell r="C1501">
            <v>0</v>
          </cell>
          <cell r="D1501">
            <v>0</v>
          </cell>
          <cell r="E1501" t="e">
            <v>#VALUE!</v>
          </cell>
          <cell r="F1501">
            <v>-2.7145076265073804</v>
          </cell>
        </row>
        <row r="1502">
          <cell r="A1502" t="str">
            <v>S4C1SK+A</v>
          </cell>
          <cell r="B1502">
            <v>6.5970732332908941E-2</v>
          </cell>
          <cell r="C1502">
            <v>0</v>
          </cell>
          <cell r="D1502">
            <v>0</v>
          </cell>
          <cell r="E1502" t="e">
            <v>#VALUE!</v>
          </cell>
          <cell r="F1502">
            <v>-1.0137255681704169</v>
          </cell>
        </row>
        <row r="1503">
          <cell r="A1503" t="str">
            <v>S4C1SK-A</v>
          </cell>
          <cell r="B1503">
            <v>2.3814119868082542E-2</v>
          </cell>
          <cell r="C1503">
            <v>0</v>
          </cell>
          <cell r="D1503">
            <v>0</v>
          </cell>
          <cell r="E1503" t="e">
            <v>#VALUE!</v>
          </cell>
          <cell r="F1503">
            <v>-4.4508707830350689</v>
          </cell>
        </row>
        <row r="1504">
          <cell r="A1504" t="str">
            <v>S4C1GS+A</v>
          </cell>
          <cell r="B1504">
            <v>0</v>
          </cell>
          <cell r="C1504">
            <v>0</v>
          </cell>
          <cell r="D1504">
            <v>0</v>
          </cell>
          <cell r="E1504" t="e">
            <v>#VALUE!</v>
          </cell>
          <cell r="F1504">
            <v>-15.321742373949862</v>
          </cell>
        </row>
        <row r="1505">
          <cell r="A1505" t="str">
            <v>S4C1GS-A</v>
          </cell>
          <cell r="B1505">
            <v>3.2357477856008975E-2</v>
          </cell>
          <cell r="C1505">
            <v>0</v>
          </cell>
          <cell r="D1505">
            <v>0</v>
          </cell>
          <cell r="E1505" t="e">
            <v>#VALUE!</v>
          </cell>
          <cell r="F1505">
            <v>0</v>
          </cell>
        </row>
        <row r="1506">
          <cell r="A1506" t="str">
            <v>S4C1WN1A</v>
          </cell>
          <cell r="B1506">
            <v>0.29771490472636813</v>
          </cell>
          <cell r="C1506">
            <v>0</v>
          </cell>
          <cell r="D1506">
            <v>0</v>
          </cell>
          <cell r="E1506" t="e">
            <v>#VALUE!</v>
          </cell>
          <cell r="F1506">
            <v>0</v>
          </cell>
        </row>
        <row r="1507">
          <cell r="A1507" t="str">
            <v>S4C1PN1A</v>
          </cell>
          <cell r="B1507">
            <v>0.2427926922497684</v>
          </cell>
          <cell r="C1507">
            <v>0</v>
          </cell>
          <cell r="D1507">
            <v>0</v>
          </cell>
          <cell r="E1507" t="e">
            <v>#VALUE!</v>
          </cell>
          <cell r="F1507">
            <v>0</v>
          </cell>
        </row>
        <row r="1508">
          <cell r="A1508" t="str">
            <v>S4C1SK1A</v>
          </cell>
          <cell r="B1508">
            <v>8.978485313996877E-2</v>
          </cell>
          <cell r="C1508">
            <v>0</v>
          </cell>
          <cell r="D1508">
            <v>0</v>
          </cell>
          <cell r="E1508" t="e">
            <v>#VALUE!</v>
          </cell>
          <cell r="F1508">
            <v>0</v>
          </cell>
        </row>
        <row r="1509">
          <cell r="A1509" t="str">
            <v>S4C1LK1A</v>
          </cell>
          <cell r="B1509">
            <v>0.19309734510232324</v>
          </cell>
          <cell r="C1509">
            <v>0</v>
          </cell>
          <cell r="D1509">
            <v>0</v>
          </cell>
          <cell r="E1509" t="e">
            <v>#VALUE!</v>
          </cell>
          <cell r="F1509">
            <v>0</v>
          </cell>
        </row>
        <row r="1510">
          <cell r="A1510" t="str">
            <v>S4C1LG1A</v>
          </cell>
          <cell r="B1510">
            <v>0.66166496129885111</v>
          </cell>
          <cell r="C1510">
            <v>0</v>
          </cell>
          <cell r="D1510">
            <v>0</v>
          </cell>
          <cell r="E1510" t="e">
            <v>#VALUE!</v>
          </cell>
          <cell r="F1510">
            <v>0</v>
          </cell>
        </row>
        <row r="1511">
          <cell r="A1511" t="str">
            <v>S4C1GS1A</v>
          </cell>
          <cell r="B1511">
            <v>3.2357477856008975E-2</v>
          </cell>
          <cell r="C1511">
            <v>0</v>
          </cell>
          <cell r="D1511">
            <v>0</v>
          </cell>
          <cell r="E1511" t="e">
            <v>#VALUE!</v>
          </cell>
          <cell r="F1511">
            <v>0</v>
          </cell>
        </row>
        <row r="1512">
          <cell r="A1512" t="str">
            <v>S4C1PG1A</v>
          </cell>
          <cell r="B1512">
            <v>0.70326876379039194</v>
          </cell>
          <cell r="C1512">
            <v>0</v>
          </cell>
          <cell r="D1512">
            <v>0</v>
          </cell>
          <cell r="E1512" t="e">
            <v>#VALUE!</v>
          </cell>
          <cell r="F1512">
            <v>0</v>
          </cell>
        </row>
        <row r="1513">
          <cell r="A1513" t="str">
            <v>S4C1AR1A</v>
          </cell>
          <cell r="B1513">
            <v>1.4435390002106967</v>
          </cell>
          <cell r="C1513">
            <v>0</v>
          </cell>
          <cell r="D1513">
            <v>0</v>
          </cell>
          <cell r="E1513" t="e">
            <v>#VALUE!</v>
          </cell>
          <cell r="F1513">
            <v>0</v>
          </cell>
        </row>
        <row r="1514">
          <cell r="A1514" t="str">
            <v>S4C1LV1A</v>
          </cell>
          <cell r="B1514">
            <v>0.26146750417474196</v>
          </cell>
          <cell r="C1514">
            <v>0</v>
          </cell>
          <cell r="D1514">
            <v>0</v>
          </cell>
          <cell r="E1514" t="e">
            <v>#VALUE!</v>
          </cell>
          <cell r="F1514">
            <v>0</v>
          </cell>
        </row>
        <row r="1515">
          <cell r="A1515" t="str">
            <v>S4C1PV1A</v>
          </cell>
          <cell r="B1515">
            <v>0.34224295281384087</v>
          </cell>
          <cell r="C1515">
            <v>0</v>
          </cell>
          <cell r="D1515">
            <v>0</v>
          </cell>
          <cell r="E1515" t="e">
            <v>#VALUE!</v>
          </cell>
          <cell r="F1515">
            <v>0</v>
          </cell>
        </row>
        <row r="1516">
          <cell r="A1516" t="str">
            <v>S4C1VR1A</v>
          </cell>
          <cell r="B1516">
            <v>0.83982852436091804</v>
          </cell>
          <cell r="C1516">
            <v>0</v>
          </cell>
          <cell r="D1516">
            <v>0</v>
          </cell>
          <cell r="E1516" t="e">
            <v>#VALUE!</v>
          </cell>
          <cell r="F1516">
            <v>0</v>
          </cell>
        </row>
        <row r="1517">
          <cell r="A1517" t="str">
            <v>S4C1LM1A</v>
          </cell>
          <cell r="B1517">
            <v>0.19958919429615751</v>
          </cell>
          <cell r="C1517">
            <v>0</v>
          </cell>
          <cell r="D1517">
            <v>0</v>
          </cell>
          <cell r="E1517" t="e">
            <v>#VALUE!</v>
          </cell>
          <cell r="F1517">
            <v>0</v>
          </cell>
        </row>
        <row r="1518">
          <cell r="A1518" t="str">
            <v>S4C1PA1A</v>
          </cell>
          <cell r="B1518">
            <v>5.0130142894101469E-2</v>
          </cell>
          <cell r="C1518">
            <v>0</v>
          </cell>
          <cell r="D1518">
            <v>0</v>
          </cell>
          <cell r="E1518" t="e">
            <v>#VALUE!</v>
          </cell>
          <cell r="F1518">
            <v>0</v>
          </cell>
        </row>
        <row r="1519">
          <cell r="A1519" t="str">
            <v>S4C1PB1A</v>
          </cell>
          <cell r="B1519">
            <v>7.574304970976424E-2</v>
          </cell>
          <cell r="C1519">
            <v>0</v>
          </cell>
          <cell r="D1519">
            <v>0</v>
          </cell>
          <cell r="E1519" t="e">
            <v>#VALUE!</v>
          </cell>
          <cell r="F1519">
            <v>0</v>
          </cell>
        </row>
        <row r="1520">
          <cell r="A1520" t="str">
            <v>S4C1PP1A</v>
          </cell>
          <cell r="B1520">
            <v>0</v>
          </cell>
          <cell r="C1520">
            <v>0</v>
          </cell>
          <cell r="D1520">
            <v>0</v>
          </cell>
          <cell r="E1520" t="e">
            <v>#VALUE!</v>
          </cell>
          <cell r="F1520">
            <v>0</v>
          </cell>
        </row>
        <row r="1521">
          <cell r="A1521" t="str">
            <v>S4C1mNCA</v>
          </cell>
          <cell r="B1521">
            <v>2.2364419982857902</v>
          </cell>
          <cell r="C1521">
            <v>0</v>
          </cell>
          <cell r="D1521">
            <v>0</v>
          </cell>
          <cell r="E1521" t="e">
            <v>#VALUE!</v>
          </cell>
          <cell r="F1521">
            <v>0</v>
          </cell>
        </row>
        <row r="1522">
          <cell r="A1522" t="str">
            <v>S4C1x01A</v>
          </cell>
          <cell r="B1522">
            <v>0</v>
          </cell>
          <cell r="C1522">
            <v>0</v>
          </cell>
          <cell r="D1522">
            <v>0</v>
          </cell>
          <cell r="E1522" t="e">
            <v>#VALUE!</v>
          </cell>
          <cell r="F1522">
            <v>-10</v>
          </cell>
        </row>
        <row r="1523">
          <cell r="A1523" t="str">
            <v>S4C1x02A</v>
          </cell>
          <cell r="B1523">
            <v>0</v>
          </cell>
          <cell r="C1523">
            <v>0</v>
          </cell>
          <cell r="D1523">
            <v>0</v>
          </cell>
          <cell r="E1523" t="e">
            <v>#VALUE!</v>
          </cell>
          <cell r="F1523">
            <v>-9.9415280329038023</v>
          </cell>
        </row>
        <row r="1524">
          <cell r="A1524" t="str">
            <v>S4L2NRNA</v>
          </cell>
          <cell r="B1524">
            <v>0.2946023640567309</v>
          </cell>
          <cell r="C1524">
            <v>0</v>
          </cell>
          <cell r="D1524">
            <v>0</v>
          </cell>
          <cell r="E1524" t="e">
            <v>#VALUE!</v>
          </cell>
          <cell r="F1524">
            <v>-5.5827844727223047E-2</v>
          </cell>
        </row>
        <row r="1525">
          <cell r="A1525" t="str">
            <v>S4L2NEUA</v>
          </cell>
          <cell r="B1525">
            <v>0.9055492397857039</v>
          </cell>
          <cell r="C1525">
            <v>0</v>
          </cell>
          <cell r="D1525">
            <v>0</v>
          </cell>
          <cell r="E1525" t="e">
            <v>#VALUE!</v>
          </cell>
          <cell r="F1525">
            <v>2.3865487485773595E-10</v>
          </cell>
        </row>
        <row r="1526">
          <cell r="A1526" t="str">
            <v>S4L2SK&gt;A</v>
          </cell>
          <cell r="B1526">
            <v>5.094876636381019E-2</v>
          </cell>
          <cell r="C1526">
            <v>0</v>
          </cell>
          <cell r="D1526">
            <v>0</v>
          </cell>
          <cell r="E1526" t="e">
            <v>#VALUE!</v>
          </cell>
          <cell r="F1526">
            <v>-9.2333252299321836E-2</v>
          </cell>
        </row>
        <row r="1527">
          <cell r="A1527" t="str">
            <v>S4L2SK&lt;A</v>
          </cell>
          <cell r="B1527">
            <v>2.1420374716797919E-2</v>
          </cell>
          <cell r="C1527">
            <v>0</v>
          </cell>
          <cell r="D1527">
            <v>0</v>
          </cell>
          <cell r="E1527" t="e">
            <v>#VALUE!</v>
          </cell>
          <cell r="F1527">
            <v>-6.4469756583644919</v>
          </cell>
        </row>
        <row r="1528">
          <cell r="A1528" t="str">
            <v>S4L2GS&gt;A</v>
          </cell>
          <cell r="B1528">
            <v>0</v>
          </cell>
          <cell r="C1528">
            <v>0</v>
          </cell>
          <cell r="D1528">
            <v>0</v>
          </cell>
          <cell r="E1528" t="e">
            <v>#VALUE!</v>
          </cell>
          <cell r="F1528">
            <v>-9.8572055908098619</v>
          </cell>
        </row>
        <row r="1529">
          <cell r="A1529" t="str">
            <v>S4L2GS&lt;A</v>
          </cell>
          <cell r="B1529">
            <v>1.9202424983863962E-2</v>
          </cell>
          <cell r="C1529">
            <v>0</v>
          </cell>
          <cell r="D1529">
            <v>0</v>
          </cell>
          <cell r="E1529" t="e">
            <v>#VALUE!</v>
          </cell>
          <cell r="F1529">
            <v>0</v>
          </cell>
        </row>
        <row r="1530">
          <cell r="A1530" t="str">
            <v>S4L2SK2A</v>
          </cell>
          <cell r="B1530">
            <v>7.2369141080608101E-2</v>
          </cell>
          <cell r="C1530">
            <v>0</v>
          </cell>
          <cell r="D1530">
            <v>0</v>
          </cell>
          <cell r="E1530" t="e">
            <v>#VALUE!</v>
          </cell>
          <cell r="F1530">
            <v>0</v>
          </cell>
        </row>
        <row r="1531">
          <cell r="A1531" t="str">
            <v>S4L2GS2A</v>
          </cell>
          <cell r="B1531">
            <v>1.9202424983863962E-2</v>
          </cell>
          <cell r="C1531">
            <v>0</v>
          </cell>
          <cell r="D1531">
            <v>0</v>
          </cell>
          <cell r="E1531" t="e">
            <v>#VALUE!</v>
          </cell>
          <cell r="F1531">
            <v>0</v>
          </cell>
        </row>
        <row r="1532">
          <cell r="A1532" t="str">
            <v>S4L2AR2A</v>
          </cell>
          <cell r="B1532">
            <v>0.54594896019321604</v>
          </cell>
          <cell r="C1532">
            <v>0</v>
          </cell>
          <cell r="D1532">
            <v>0</v>
          </cell>
          <cell r="E1532" t="e">
            <v>#VALUE!</v>
          </cell>
          <cell r="F1532">
            <v>0</v>
          </cell>
        </row>
        <row r="1533">
          <cell r="A1533" t="str">
            <v>S4L2LV2A</v>
          </cell>
          <cell r="B1533">
            <v>0.14701856542123506</v>
          </cell>
          <cell r="C1533">
            <v>0</v>
          </cell>
          <cell r="D1533">
            <v>0</v>
          </cell>
          <cell r="E1533" t="e">
            <v>#VALUE!</v>
          </cell>
          <cell r="F1533">
            <v>0</v>
          </cell>
        </row>
        <row r="1534">
          <cell r="A1534" t="str">
            <v>S4L2PV2A</v>
          </cell>
          <cell r="B1534">
            <v>0.16982145007342508</v>
          </cell>
          <cell r="C1534">
            <v>0</v>
          </cell>
          <cell r="D1534">
            <v>0</v>
          </cell>
          <cell r="E1534" t="e">
            <v>#VALUE!</v>
          </cell>
          <cell r="F1534">
            <v>0</v>
          </cell>
        </row>
        <row r="1535">
          <cell r="A1535" t="str">
            <v>S4L2VR2A</v>
          </cell>
          <cell r="B1535">
            <v>0.22910893363495397</v>
          </cell>
          <cell r="C1535">
            <v>0</v>
          </cell>
          <cell r="D1535">
            <v>0</v>
          </cell>
          <cell r="E1535" t="e">
            <v>#VALUE!</v>
          </cell>
          <cell r="F1535">
            <v>0</v>
          </cell>
        </row>
        <row r="1536">
          <cell r="A1536" t="str">
            <v>S4S3SLDA</v>
          </cell>
          <cell r="B1536">
            <v>0</v>
          </cell>
          <cell r="C1536">
            <v>0</v>
          </cell>
          <cell r="D1536">
            <v>0</v>
          </cell>
          <cell r="E1536" t="e">
            <v>#VALUE!</v>
          </cell>
          <cell r="F1536">
            <v>0</v>
          </cell>
        </row>
        <row r="1537">
          <cell r="A1537" t="str">
            <v>S4S3SLPA</v>
          </cell>
          <cell r="B1537">
            <v>0</v>
          </cell>
          <cell r="C1537">
            <v>0</v>
          </cell>
          <cell r="D1537">
            <v>0</v>
          </cell>
          <cell r="E1537" t="e">
            <v>#VALUE!</v>
          </cell>
          <cell r="F1537">
            <v>0</v>
          </cell>
        </row>
        <row r="1538">
          <cell r="A1538" t="str">
            <v>S4S3SK]A</v>
          </cell>
          <cell r="B1538">
            <v>0</v>
          </cell>
          <cell r="C1538">
            <v>0</v>
          </cell>
          <cell r="D1538">
            <v>0</v>
          </cell>
          <cell r="E1538" t="e">
            <v>#VALUE!</v>
          </cell>
          <cell r="F1538">
            <v>0</v>
          </cell>
        </row>
        <row r="1539">
          <cell r="A1539" t="str">
            <v>S4S3SK[A</v>
          </cell>
          <cell r="B1539">
            <v>0</v>
          </cell>
          <cell r="C1539">
            <v>0</v>
          </cell>
          <cell r="D1539">
            <v>0</v>
          </cell>
          <cell r="E1539" t="e">
            <v>#VALUE!</v>
          </cell>
          <cell r="F1539">
            <v>0</v>
          </cell>
        </row>
        <row r="1540">
          <cell r="A1540" t="str">
            <v>S4S3SG]A</v>
          </cell>
          <cell r="B1540">
            <v>0</v>
          </cell>
          <cell r="C1540">
            <v>0</v>
          </cell>
          <cell r="D1540">
            <v>0</v>
          </cell>
          <cell r="E1540" t="e">
            <v>#VALUE!</v>
          </cell>
          <cell r="F1540">
            <v>0</v>
          </cell>
        </row>
        <row r="1541">
          <cell r="A1541" t="str">
            <v>S4S3SG[A</v>
          </cell>
          <cell r="B1541">
            <v>0</v>
          </cell>
          <cell r="C1541">
            <v>0</v>
          </cell>
          <cell r="D1541">
            <v>0</v>
          </cell>
          <cell r="E1541" t="e">
            <v>#VALUE!</v>
          </cell>
          <cell r="F1541">
            <v>-11.565347128045069</v>
          </cell>
        </row>
        <row r="1542">
          <cell r="A1542" t="str">
            <v>S4S3GS]A</v>
          </cell>
          <cell r="B1542">
            <v>0</v>
          </cell>
          <cell r="C1542">
            <v>0</v>
          </cell>
          <cell r="D1542">
            <v>0</v>
          </cell>
          <cell r="E1542" t="e">
            <v>#VALUE!</v>
          </cell>
          <cell r="F1542">
            <v>-12.357353685979973</v>
          </cell>
        </row>
        <row r="1543">
          <cell r="A1543" t="str">
            <v>S4S3GS[A</v>
          </cell>
          <cell r="B1543">
            <v>0</v>
          </cell>
          <cell r="C1543">
            <v>0</v>
          </cell>
          <cell r="D1543">
            <v>0</v>
          </cell>
          <cell r="E1543" t="e">
            <v>#VALUE!</v>
          </cell>
          <cell r="F1543">
            <v>0</v>
          </cell>
        </row>
        <row r="1544">
          <cell r="A1544" t="str">
            <v>S4S3WN2A</v>
          </cell>
          <cell r="B1544">
            <v>0</v>
          </cell>
          <cell r="C1544">
            <v>0</v>
          </cell>
          <cell r="D1544">
            <v>0</v>
          </cell>
          <cell r="E1544" t="e">
            <v>#VALUE!</v>
          </cell>
          <cell r="F1544">
            <v>0</v>
          </cell>
        </row>
        <row r="1545">
          <cell r="A1545" t="str">
            <v>S4S3PN2A</v>
          </cell>
          <cell r="B1545">
            <v>0</v>
          </cell>
          <cell r="C1545">
            <v>0</v>
          </cell>
          <cell r="D1545">
            <v>0</v>
          </cell>
          <cell r="E1545" t="e">
            <v>#VALUE!</v>
          </cell>
          <cell r="F1545">
            <v>-45.773314865321332</v>
          </cell>
        </row>
        <row r="1546">
          <cell r="A1546" t="str">
            <v>S4S3SK3A</v>
          </cell>
          <cell r="B1546">
            <v>0</v>
          </cell>
          <cell r="C1546">
            <v>0</v>
          </cell>
          <cell r="D1546">
            <v>0</v>
          </cell>
          <cell r="E1546" t="e">
            <v>#VALUE!</v>
          </cell>
          <cell r="F1546">
            <v>0</v>
          </cell>
        </row>
        <row r="1547">
          <cell r="A1547" t="str">
            <v>S4S3LK2A</v>
          </cell>
          <cell r="B1547">
            <v>0</v>
          </cell>
          <cell r="C1547">
            <v>0</v>
          </cell>
          <cell r="D1547">
            <v>0</v>
          </cell>
          <cell r="E1547" t="e">
            <v>#VALUE!</v>
          </cell>
          <cell r="F1547">
            <v>-2.1397856829917594</v>
          </cell>
        </row>
        <row r="1548">
          <cell r="A1548" t="str">
            <v>S4S3SG3A</v>
          </cell>
          <cell r="B1548">
            <v>0</v>
          </cell>
          <cell r="C1548">
            <v>0</v>
          </cell>
          <cell r="D1548">
            <v>0</v>
          </cell>
          <cell r="E1548" t="e">
            <v>#VALUE!</v>
          </cell>
          <cell r="F1548">
            <v>0</v>
          </cell>
        </row>
        <row r="1549">
          <cell r="A1549" t="str">
            <v>S4S3GS3A</v>
          </cell>
          <cell r="B1549">
            <v>0</v>
          </cell>
          <cell r="C1549">
            <v>0</v>
          </cell>
          <cell r="D1549">
            <v>0</v>
          </cell>
          <cell r="E1549" t="e">
            <v>#VALUE!</v>
          </cell>
          <cell r="F1549">
            <v>0</v>
          </cell>
        </row>
        <row r="1550">
          <cell r="A1550" t="str">
            <v>S4S3AR3A</v>
          </cell>
          <cell r="B1550">
            <v>0</v>
          </cell>
          <cell r="C1550">
            <v>0</v>
          </cell>
          <cell r="D1550">
            <v>0</v>
          </cell>
          <cell r="E1550" t="e">
            <v>#VALUE!</v>
          </cell>
          <cell r="F1550">
            <v>0</v>
          </cell>
        </row>
        <row r="1551">
          <cell r="A1551" t="str">
            <v>S4S3LV3A</v>
          </cell>
          <cell r="B1551">
            <v>0</v>
          </cell>
          <cell r="C1551">
            <v>0</v>
          </cell>
          <cell r="D1551">
            <v>0</v>
          </cell>
          <cell r="E1551" t="e">
            <v>#VALUE!</v>
          </cell>
          <cell r="F1551">
            <v>0</v>
          </cell>
        </row>
        <row r="1552">
          <cell r="A1552" t="str">
            <v>S4S3PV3A</v>
          </cell>
          <cell r="B1552">
            <v>0</v>
          </cell>
          <cell r="C1552">
            <v>0</v>
          </cell>
          <cell r="D1552">
            <v>0</v>
          </cell>
          <cell r="E1552" t="e">
            <v>#VALUE!</v>
          </cell>
          <cell r="F1552">
            <v>0</v>
          </cell>
        </row>
        <row r="1553">
          <cell r="A1553" t="str">
            <v>S4S3VR3A</v>
          </cell>
          <cell r="B1553">
            <v>0</v>
          </cell>
          <cell r="C1553">
            <v>0</v>
          </cell>
          <cell r="D1553">
            <v>0</v>
          </cell>
          <cell r="E1553" t="e">
            <v>#VALUE!</v>
          </cell>
          <cell r="F1553">
            <v>0</v>
          </cell>
        </row>
        <row r="1554">
          <cell r="A1554" t="str">
            <v>S4S3LM2A</v>
          </cell>
          <cell r="B1554">
            <v>0</v>
          </cell>
          <cell r="C1554">
            <v>0</v>
          </cell>
          <cell r="D1554">
            <v>0</v>
          </cell>
          <cell r="E1554" t="e">
            <v>#VALUE!</v>
          </cell>
          <cell r="F1554">
            <v>0</v>
          </cell>
        </row>
        <row r="1555">
          <cell r="A1555" t="str">
            <v>S4S3PA2A</v>
          </cell>
          <cell r="B1555">
            <v>0</v>
          </cell>
          <cell r="C1555">
            <v>0</v>
          </cell>
          <cell r="D1555">
            <v>0</v>
          </cell>
          <cell r="E1555" t="e">
            <v>#VALUE!</v>
          </cell>
          <cell r="F1555">
            <v>0</v>
          </cell>
        </row>
        <row r="1556">
          <cell r="A1556" t="str">
            <v>S4S3PB2A</v>
          </cell>
          <cell r="B1556">
            <v>0</v>
          </cell>
          <cell r="C1556">
            <v>0</v>
          </cell>
          <cell r="D1556">
            <v>0</v>
          </cell>
          <cell r="E1556" t="e">
            <v>#VALUE!</v>
          </cell>
          <cell r="F1556">
            <v>0</v>
          </cell>
        </row>
        <row r="1557">
          <cell r="A1557" t="str">
            <v>S4S3PP2A</v>
          </cell>
          <cell r="B1557">
            <v>0</v>
          </cell>
          <cell r="C1557">
            <v>0</v>
          </cell>
          <cell r="D1557">
            <v>0</v>
          </cell>
          <cell r="E1557" t="e">
            <v>#VALUE!</v>
          </cell>
          <cell r="F1557">
            <v>0</v>
          </cell>
        </row>
        <row r="1558">
          <cell r="A1558" t="str">
            <v>SCC4SCNA</v>
          </cell>
          <cell r="B1558">
            <v>8.5240607457618189</v>
          </cell>
          <cell r="C1558">
            <v>0</v>
          </cell>
          <cell r="D1558">
            <v>0</v>
          </cell>
          <cell r="E1558" t="e">
            <v>#VALUE!</v>
          </cell>
          <cell r="F1558">
            <v>0</v>
          </cell>
        </row>
        <row r="1559">
          <cell r="A1559" t="str">
            <v>SCC4CHUA</v>
          </cell>
          <cell r="B1559">
            <v>3.7264363654672281</v>
          </cell>
          <cell r="C1559">
            <v>0</v>
          </cell>
          <cell r="D1559">
            <v>0</v>
          </cell>
          <cell r="E1559" t="e">
            <v>#VALUE!</v>
          </cell>
          <cell r="F1559">
            <v>0</v>
          </cell>
        </row>
        <row r="1560">
          <cell r="A1560" t="str">
            <v>SCC4TDFA</v>
          </cell>
          <cell r="B1560">
            <v>0</v>
          </cell>
          <cell r="C1560">
            <v>0</v>
          </cell>
          <cell r="D1560">
            <v>0</v>
          </cell>
          <cell r="E1560" t="e">
            <v>#VALUE!</v>
          </cell>
          <cell r="F1560">
            <v>-9.2129422409893706</v>
          </cell>
        </row>
        <row r="1561">
          <cell r="A1561" t="str">
            <v>SCC4SCSA</v>
          </cell>
          <cell r="B1561">
            <v>0</v>
          </cell>
          <cell r="C1561">
            <v>0</v>
          </cell>
          <cell r="D1561">
            <v>0</v>
          </cell>
          <cell r="E1561" t="e">
            <v>#VALUE!</v>
          </cell>
          <cell r="F1561">
            <v>0</v>
          </cell>
        </row>
        <row r="1562">
          <cell r="A1562" t="str">
            <v>SCC4SB4A</v>
          </cell>
          <cell r="B1562">
            <v>0</v>
          </cell>
          <cell r="C1562">
            <v>0</v>
          </cell>
          <cell r="D1562">
            <v>0</v>
          </cell>
          <cell r="E1562" t="e">
            <v>#VALUE!</v>
          </cell>
          <cell r="F1562">
            <v>0</v>
          </cell>
        </row>
        <row r="1563">
          <cell r="A1563" t="str">
            <v>SCC4INEA</v>
          </cell>
          <cell r="B1563">
            <v>0</v>
          </cell>
          <cell r="C1563">
            <v>0</v>
          </cell>
          <cell r="D1563">
            <v>0</v>
          </cell>
          <cell r="E1563" t="e">
            <v>#VALUE!</v>
          </cell>
          <cell r="F1563">
            <v>0</v>
          </cell>
        </row>
        <row r="1564">
          <cell r="A1564" t="str">
            <v>SCC4ODXA</v>
          </cell>
          <cell r="B1564">
            <v>0</v>
          </cell>
          <cell r="C1564">
            <v>0</v>
          </cell>
          <cell r="D1564">
            <v>0</v>
          </cell>
          <cell r="E1564" t="e">
            <v>#VALUE!</v>
          </cell>
          <cell r="F1564">
            <v>0</v>
          </cell>
        </row>
        <row r="1565">
          <cell r="A1565" t="str">
            <v>SCC4FCXA</v>
          </cell>
          <cell r="B1565">
            <v>0</v>
          </cell>
          <cell r="C1565">
            <v>0</v>
          </cell>
          <cell r="D1565">
            <v>0</v>
          </cell>
          <cell r="E1565" t="e">
            <v>#VALUE!</v>
          </cell>
          <cell r="F1565">
            <v>0</v>
          </cell>
        </row>
        <row r="1566">
          <cell r="A1566" t="str">
            <v>SCC4ZFXA</v>
          </cell>
          <cell r="B1566">
            <v>0</v>
          </cell>
          <cell r="C1566">
            <v>0</v>
          </cell>
          <cell r="D1566">
            <v>0</v>
          </cell>
          <cell r="E1566" t="e">
            <v>#VALUE!</v>
          </cell>
          <cell r="F1566">
            <v>0</v>
          </cell>
        </row>
        <row r="1567">
          <cell r="A1567" t="str">
            <v>SCC4BNLA</v>
          </cell>
          <cell r="B1567">
            <v>0</v>
          </cell>
          <cell r="C1567">
            <v>0</v>
          </cell>
          <cell r="D1567">
            <v>0</v>
          </cell>
          <cell r="E1567" t="e">
            <v>#VALUE!</v>
          </cell>
          <cell r="F1567">
            <v>0</v>
          </cell>
        </row>
        <row r="1568">
          <cell r="A1568" t="str">
            <v>SCC4BSSA</v>
          </cell>
          <cell r="B1568">
            <v>0</v>
          </cell>
          <cell r="C1568">
            <v>0</v>
          </cell>
          <cell r="D1568">
            <v>0</v>
          </cell>
          <cell r="E1568" t="e">
            <v>#VALUE!</v>
          </cell>
          <cell r="F1568">
            <v>0</v>
          </cell>
        </row>
        <row r="1569">
          <cell r="A1569" t="str">
            <v>SCC4CABA</v>
          </cell>
          <cell r="B1569">
            <v>0</v>
          </cell>
          <cell r="C1569">
            <v>0</v>
          </cell>
          <cell r="D1569">
            <v>0</v>
          </cell>
          <cell r="E1569" t="e">
            <v>#VALUE!</v>
          </cell>
          <cell r="F1569">
            <v>0</v>
          </cell>
        </row>
        <row r="1570">
          <cell r="A1570" t="str">
            <v>SCC4KITA</v>
          </cell>
          <cell r="B1570">
            <v>0</v>
          </cell>
          <cell r="C1570">
            <v>0</v>
          </cell>
          <cell r="D1570">
            <v>0</v>
          </cell>
          <cell r="E1570" t="e">
            <v>#VALUE!</v>
          </cell>
          <cell r="F1570">
            <v>0</v>
          </cell>
        </row>
        <row r="1571">
          <cell r="A1571" t="str">
            <v>SCC4QUAA</v>
          </cell>
          <cell r="B1571">
            <v>0</v>
          </cell>
          <cell r="C1571">
            <v>0</v>
          </cell>
          <cell r="D1571">
            <v>0</v>
          </cell>
          <cell r="E1571" t="e">
            <v>#VALUE!</v>
          </cell>
          <cell r="F1571">
            <v>0</v>
          </cell>
        </row>
        <row r="1572">
          <cell r="A1572" t="str">
            <v>SCC4PNTA</v>
          </cell>
          <cell r="B1572">
            <v>0</v>
          </cell>
          <cell r="C1572">
            <v>0</v>
          </cell>
          <cell r="D1572">
            <v>0</v>
          </cell>
          <cell r="E1572" t="e">
            <v>#VALUE!</v>
          </cell>
          <cell r="F1572">
            <v>0</v>
          </cell>
        </row>
        <row r="1573">
          <cell r="A1573" t="str">
            <v>SCC4OSEA</v>
          </cell>
          <cell r="B1573">
            <v>0</v>
          </cell>
          <cell r="C1573">
            <v>0</v>
          </cell>
          <cell r="D1573">
            <v>0</v>
          </cell>
          <cell r="E1573" t="e">
            <v>#VALUE!</v>
          </cell>
          <cell r="F1573">
            <v>0</v>
          </cell>
        </row>
        <row r="1574">
          <cell r="A1574" t="str">
            <v>SCC4TRLA</v>
          </cell>
          <cell r="B1574">
            <v>0</v>
          </cell>
          <cell r="C1574">
            <v>0</v>
          </cell>
          <cell r="D1574">
            <v>0</v>
          </cell>
          <cell r="E1574" t="e">
            <v>#VALUE!</v>
          </cell>
          <cell r="F1574">
            <v>0</v>
          </cell>
        </row>
        <row r="1575">
          <cell r="A1575" t="str">
            <v>SCC4FNVA</v>
          </cell>
          <cell r="B1575">
            <v>0</v>
          </cell>
          <cell r="C1575">
            <v>0</v>
          </cell>
          <cell r="D1575">
            <v>0</v>
          </cell>
          <cell r="E1575" t="e">
            <v>#VALUE!</v>
          </cell>
          <cell r="F1575">
            <v>0</v>
          </cell>
        </row>
        <row r="1576">
          <cell r="A1576" t="str">
            <v>SCC4SHLA</v>
          </cell>
          <cell r="B1576">
            <v>0</v>
          </cell>
          <cell r="C1576">
            <v>0</v>
          </cell>
          <cell r="D1576">
            <v>0</v>
          </cell>
          <cell r="E1576" t="e">
            <v>#VALUE!</v>
          </cell>
          <cell r="F1576">
            <v>0</v>
          </cell>
        </row>
        <row r="1577">
          <cell r="A1577" t="str">
            <v>SCC4CAÑA</v>
          </cell>
          <cell r="B1577">
            <v>0</v>
          </cell>
          <cell r="C1577">
            <v>0</v>
          </cell>
          <cell r="D1577">
            <v>0</v>
          </cell>
          <cell r="E1577" t="e">
            <v>#VALUE!</v>
          </cell>
          <cell r="F1577">
            <v>-0.89275568348087675</v>
          </cell>
        </row>
        <row r="1578">
          <cell r="A1578" t="str">
            <v>SCC4ESCA</v>
          </cell>
          <cell r="B1578">
            <v>0.35893188812961319</v>
          </cell>
          <cell r="C1578">
            <v>0</v>
          </cell>
          <cell r="D1578">
            <v>0</v>
          </cell>
          <cell r="E1578" t="e">
            <v>#VALUE!</v>
          </cell>
          <cell r="F1578">
            <v>-1.5528007611836472</v>
          </cell>
        </row>
        <row r="1579">
          <cell r="A1579" t="str">
            <v>SCC4CR1A</v>
          </cell>
          <cell r="B1579">
            <v>0</v>
          </cell>
          <cell r="C1579">
            <v>0</v>
          </cell>
          <cell r="D1579">
            <v>0</v>
          </cell>
          <cell r="E1579" t="e">
            <v>#VALUE!</v>
          </cell>
          <cell r="F1579">
            <v>0</v>
          </cell>
        </row>
        <row r="1580">
          <cell r="A1580" t="str">
            <v>SCC4CR2A</v>
          </cell>
          <cell r="B1580">
            <v>0</v>
          </cell>
          <cell r="C1580">
            <v>0</v>
          </cell>
          <cell r="D1580">
            <v>0</v>
          </cell>
          <cell r="E1580" t="e">
            <v>#VALUE!</v>
          </cell>
          <cell r="F1580">
            <v>0</v>
          </cell>
        </row>
        <row r="1581">
          <cell r="A1581" t="str">
            <v>SCC4CR3A</v>
          </cell>
          <cell r="B1581">
            <v>0</v>
          </cell>
          <cell r="C1581">
            <v>0</v>
          </cell>
          <cell r="D1581">
            <v>0</v>
          </cell>
          <cell r="E1581" t="e">
            <v>#VALUE!</v>
          </cell>
          <cell r="F1581">
            <v>0</v>
          </cell>
        </row>
        <row r="1582">
          <cell r="A1582" t="str">
            <v>SCC4CR4A</v>
          </cell>
          <cell r="B1582">
            <v>0</v>
          </cell>
          <cell r="C1582">
            <v>0</v>
          </cell>
          <cell r="D1582">
            <v>0</v>
          </cell>
          <cell r="E1582" t="e">
            <v>#VALUE!</v>
          </cell>
          <cell r="F1582">
            <v>0</v>
          </cell>
        </row>
        <row r="1583">
          <cell r="A1583" t="str">
            <v>SCC4CR5A</v>
          </cell>
          <cell r="B1583">
            <v>0</v>
          </cell>
          <cell r="C1583">
            <v>0</v>
          </cell>
          <cell r="D1583">
            <v>0</v>
          </cell>
          <cell r="E1583" t="e">
            <v>#VALUE!</v>
          </cell>
          <cell r="F1583">
            <v>0</v>
          </cell>
        </row>
        <row r="1584">
          <cell r="A1584" t="str">
            <v>SCC4CR6A</v>
          </cell>
          <cell r="B1584">
            <v>0</v>
          </cell>
          <cell r="C1584">
            <v>0</v>
          </cell>
          <cell r="D1584">
            <v>0</v>
          </cell>
          <cell r="E1584" t="e">
            <v>#VALUE!</v>
          </cell>
          <cell r="F1584">
            <v>0</v>
          </cell>
        </row>
        <row r="1585">
          <cell r="A1585" t="str">
            <v>SCC4SG)A</v>
          </cell>
          <cell r="B1585">
            <v>1.8283068546897745E-3</v>
          </cell>
          <cell r="C1585">
            <v>0</v>
          </cell>
          <cell r="D1585">
            <v>0</v>
          </cell>
          <cell r="E1585" t="e">
            <v>#VALUE!</v>
          </cell>
          <cell r="F1585">
            <v>-2.1858259828123328</v>
          </cell>
        </row>
        <row r="1586">
          <cell r="A1586" t="str">
            <v>SCC4SG(A</v>
          </cell>
          <cell r="B1586">
            <v>0.24906399503146132</v>
          </cell>
          <cell r="C1586">
            <v>0</v>
          </cell>
          <cell r="D1586">
            <v>0</v>
          </cell>
          <cell r="E1586" t="e">
            <v>#VALUE!</v>
          </cell>
          <cell r="F1586">
            <v>0</v>
          </cell>
        </row>
        <row r="1587">
          <cell r="A1587" t="str">
            <v>SCC4GS)A</v>
          </cell>
          <cell r="B1587">
            <v>6.6635029773189601E-3</v>
          </cell>
          <cell r="C1587">
            <v>0</v>
          </cell>
          <cell r="D1587">
            <v>0</v>
          </cell>
          <cell r="E1587" t="e">
            <v>#VALUE!</v>
          </cell>
          <cell r="F1587">
            <v>-7.0346033932411505</v>
          </cell>
        </row>
        <row r="1588">
          <cell r="A1588" t="str">
            <v>SCC4GS(A</v>
          </cell>
          <cell r="B1588">
            <v>0.1710896857797283</v>
          </cell>
          <cell r="C1588">
            <v>0</v>
          </cell>
          <cell r="D1588">
            <v>0</v>
          </cell>
          <cell r="E1588" t="e">
            <v>#VALUE!</v>
          </cell>
          <cell r="F1588">
            <v>0</v>
          </cell>
        </row>
        <row r="1589">
          <cell r="A1589" t="str">
            <v>SCC4WN3A</v>
          </cell>
          <cell r="B1589">
            <v>0.58462476975297273</v>
          </cell>
          <cell r="C1589">
            <v>0</v>
          </cell>
          <cell r="D1589">
            <v>0</v>
          </cell>
          <cell r="E1589" t="e">
            <v>#VALUE!</v>
          </cell>
          <cell r="F1589">
            <v>0</v>
          </cell>
        </row>
        <row r="1590">
          <cell r="A1590" t="str">
            <v>SCC4PN3A</v>
          </cell>
          <cell r="B1590">
            <v>0.60527463367540546</v>
          </cell>
          <cell r="C1590">
            <v>0</v>
          </cell>
          <cell r="D1590">
            <v>0</v>
          </cell>
          <cell r="E1590" t="e">
            <v>#VALUE!</v>
          </cell>
          <cell r="F1590">
            <v>0</v>
          </cell>
        </row>
        <row r="1591">
          <cell r="A1591" t="str">
            <v>SCC4LK3A</v>
          </cell>
          <cell r="B1591">
            <v>0.82482649136896002</v>
          </cell>
          <cell r="C1591">
            <v>0</v>
          </cell>
          <cell r="D1591">
            <v>0</v>
          </cell>
          <cell r="E1591" t="e">
            <v>#VALUE!</v>
          </cell>
          <cell r="F1591">
            <v>0</v>
          </cell>
        </row>
        <row r="1592">
          <cell r="A1592" t="str">
            <v>SCC4SG4A</v>
          </cell>
          <cell r="B1592">
            <v>0.25089229933203083</v>
          </cell>
          <cell r="C1592">
            <v>0</v>
          </cell>
          <cell r="D1592">
            <v>0</v>
          </cell>
          <cell r="E1592" t="e">
            <v>#VALUE!</v>
          </cell>
          <cell r="F1592">
            <v>0</v>
          </cell>
        </row>
        <row r="1593">
          <cell r="A1593" t="str">
            <v>SCC4LG2A</v>
          </cell>
          <cell r="B1593">
            <v>2.2486488453329425</v>
          </cell>
          <cell r="C1593">
            <v>0</v>
          </cell>
          <cell r="D1593">
            <v>0</v>
          </cell>
          <cell r="E1593" t="e">
            <v>#VALUE!</v>
          </cell>
          <cell r="F1593">
            <v>0</v>
          </cell>
        </row>
        <row r="1594">
          <cell r="A1594" t="str">
            <v>SCC4GS4A</v>
          </cell>
          <cell r="B1594">
            <v>0.17775318687909269</v>
          </cell>
          <cell r="C1594">
            <v>0</v>
          </cell>
          <cell r="D1594">
            <v>0</v>
          </cell>
          <cell r="E1594" t="e">
            <v>#VALUE!</v>
          </cell>
          <cell r="F1594">
            <v>0</v>
          </cell>
        </row>
        <row r="1595">
          <cell r="A1595" t="str">
            <v>SCC4AR4A</v>
          </cell>
          <cell r="B1595">
            <v>7.6939399745366348</v>
          </cell>
          <cell r="C1595">
            <v>0</v>
          </cell>
          <cell r="D1595">
            <v>0</v>
          </cell>
          <cell r="E1595" t="e">
            <v>#VALUE!</v>
          </cell>
          <cell r="F1595">
            <v>0</v>
          </cell>
        </row>
        <row r="1596">
          <cell r="A1596" t="str">
            <v>SCC4LV4A</v>
          </cell>
          <cell r="B1596">
            <v>1.0984225740171458</v>
          </cell>
          <cell r="C1596">
            <v>0</v>
          </cell>
          <cell r="D1596">
            <v>0</v>
          </cell>
          <cell r="E1596" t="e">
            <v>#VALUE!</v>
          </cell>
          <cell r="F1596">
            <v>0</v>
          </cell>
        </row>
        <row r="1597">
          <cell r="A1597" t="str">
            <v>SCC4PV4A</v>
          </cell>
          <cell r="B1597">
            <v>1.857048724775445</v>
          </cell>
          <cell r="C1597">
            <v>0</v>
          </cell>
          <cell r="D1597">
            <v>0</v>
          </cell>
          <cell r="E1597" t="e">
            <v>#VALUE!</v>
          </cell>
          <cell r="F1597">
            <v>0</v>
          </cell>
        </row>
        <row r="1598">
          <cell r="A1598" t="str">
            <v>SCC4VR4A</v>
          </cell>
          <cell r="B1598">
            <v>4.7380248148147377</v>
          </cell>
          <cell r="C1598">
            <v>0</v>
          </cell>
          <cell r="D1598">
            <v>0</v>
          </cell>
          <cell r="E1598" t="e">
            <v>#VALUE!</v>
          </cell>
          <cell r="F1598">
            <v>0</v>
          </cell>
        </row>
        <row r="1599">
          <cell r="A1599" t="str">
            <v>SCC4LM3A</v>
          </cell>
          <cell r="B1599">
            <v>0.35467385110789784</v>
          </cell>
          <cell r="C1599">
            <v>0</v>
          </cell>
          <cell r="D1599">
            <v>0</v>
          </cell>
          <cell r="E1599" t="e">
            <v>#VALUE!</v>
          </cell>
          <cell r="F1599">
            <v>0</v>
          </cell>
        </row>
        <row r="1600">
          <cell r="A1600" t="str">
            <v>SCC4PA3A</v>
          </cell>
          <cell r="B1600">
            <v>0.29746767257990903</v>
          </cell>
          <cell r="C1600">
            <v>0</v>
          </cell>
          <cell r="D1600">
            <v>0</v>
          </cell>
          <cell r="E1600" t="e">
            <v>#VALUE!</v>
          </cell>
          <cell r="F1600">
            <v>0</v>
          </cell>
        </row>
        <row r="1601">
          <cell r="A1601" t="str">
            <v>SCC4PB3A</v>
          </cell>
          <cell r="B1601">
            <v>0.30231932801743078</v>
          </cell>
          <cell r="C1601">
            <v>0</v>
          </cell>
          <cell r="D1601">
            <v>0</v>
          </cell>
          <cell r="E1601" t="e">
            <v>#VALUE!</v>
          </cell>
          <cell r="F1601">
            <v>0</v>
          </cell>
        </row>
        <row r="1602">
          <cell r="A1602" t="str">
            <v>SCC4PP3A</v>
          </cell>
          <cell r="B1602">
            <v>5.48764077104526E-3</v>
          </cell>
          <cell r="C1602">
            <v>0</v>
          </cell>
          <cell r="D1602">
            <v>0</v>
          </cell>
          <cell r="E1602" t="e">
            <v>#VALUE!</v>
          </cell>
          <cell r="F1602">
            <v>0</v>
          </cell>
        </row>
        <row r="1603">
          <cell r="A1603" t="str">
            <v>SCC4mNCA</v>
          </cell>
          <cell r="B1603">
            <v>12.250496874770073</v>
          </cell>
          <cell r="C1603">
            <v>0</v>
          </cell>
          <cell r="D1603">
            <v>0</v>
          </cell>
          <cell r="E1603" t="e">
            <v>#VALUE!</v>
          </cell>
          <cell r="F1603">
            <v>0</v>
          </cell>
        </row>
        <row r="1604">
          <cell r="A1604" t="str">
            <v>SCC4x01A</v>
          </cell>
          <cell r="B1604">
            <v>0</v>
          </cell>
          <cell r="C1604">
            <v>0</v>
          </cell>
          <cell r="D1604">
            <v>0</v>
          </cell>
          <cell r="E1604" t="e">
            <v>#VALUE!</v>
          </cell>
          <cell r="F1604">
            <v>-10</v>
          </cell>
        </row>
        <row r="1605">
          <cell r="A1605" t="str">
            <v>SCC4x02A</v>
          </cell>
          <cell r="B1605">
            <v>0</v>
          </cell>
          <cell r="C1605">
            <v>0</v>
          </cell>
          <cell r="D1605">
            <v>0</v>
          </cell>
          <cell r="E1605" t="e">
            <v>#VALUE!</v>
          </cell>
          <cell r="F1605">
            <v>-9.9590664145064682</v>
          </cell>
        </row>
        <row r="1606">
          <cell r="A1606" t="str">
            <v>SCL5NRNA</v>
          </cell>
          <cell r="B1606">
            <v>0</v>
          </cell>
          <cell r="C1606">
            <v>0</v>
          </cell>
          <cell r="D1606">
            <v>0</v>
          </cell>
          <cell r="E1606" t="e">
            <v>#VALUE!</v>
          </cell>
          <cell r="F1606">
            <v>0</v>
          </cell>
        </row>
        <row r="1607">
          <cell r="A1607" t="str">
            <v>SCL5SK}A</v>
          </cell>
          <cell r="B1607">
            <v>0</v>
          </cell>
          <cell r="C1607">
            <v>0</v>
          </cell>
          <cell r="D1607">
            <v>0</v>
          </cell>
          <cell r="E1607" t="e">
            <v>#VALUE!</v>
          </cell>
          <cell r="F1607">
            <v>-3.6009878125092754</v>
          </cell>
        </row>
        <row r="1608">
          <cell r="A1608" t="str">
            <v>SCL5SK{A</v>
          </cell>
          <cell r="B1608">
            <v>0</v>
          </cell>
          <cell r="C1608">
            <v>0</v>
          </cell>
          <cell r="D1608">
            <v>0</v>
          </cell>
          <cell r="E1608" t="e">
            <v>#VALUE!</v>
          </cell>
          <cell r="F1608">
            <v>-3.2233546217826947</v>
          </cell>
        </row>
        <row r="1609">
          <cell r="A1609" t="str">
            <v>SCL5SG}A</v>
          </cell>
          <cell r="B1609">
            <v>0</v>
          </cell>
          <cell r="C1609">
            <v>0</v>
          </cell>
          <cell r="D1609">
            <v>0</v>
          </cell>
          <cell r="E1609" t="e">
            <v>#VALUE!</v>
          </cell>
          <cell r="F1609">
            <v>-3.0843983645308506</v>
          </cell>
        </row>
        <row r="1610">
          <cell r="A1610" t="str">
            <v>SCL5SG{A</v>
          </cell>
          <cell r="B1610">
            <v>0</v>
          </cell>
          <cell r="C1610">
            <v>0</v>
          </cell>
          <cell r="D1610">
            <v>0</v>
          </cell>
          <cell r="E1610" t="e">
            <v>#VALUE!</v>
          </cell>
          <cell r="F1610">
            <v>0</v>
          </cell>
        </row>
        <row r="1611">
          <cell r="A1611" t="str">
            <v>SCL5GS}A</v>
          </cell>
          <cell r="B1611">
            <v>0</v>
          </cell>
          <cell r="C1611">
            <v>0</v>
          </cell>
          <cell r="D1611">
            <v>0</v>
          </cell>
          <cell r="E1611" t="e">
            <v>#VALUE!</v>
          </cell>
          <cell r="F1611">
            <v>-1.5559028364207648</v>
          </cell>
        </row>
        <row r="1612">
          <cell r="A1612" t="str">
            <v>SCL5GS{A</v>
          </cell>
          <cell r="B1612">
            <v>0</v>
          </cell>
          <cell r="C1612">
            <v>0</v>
          </cell>
          <cell r="D1612">
            <v>0</v>
          </cell>
          <cell r="E1612" t="e">
            <v>#VALUE!</v>
          </cell>
          <cell r="F1612">
            <v>-2.0389281390464471</v>
          </cell>
        </row>
        <row r="1613">
          <cell r="A1613" t="str">
            <v>SCL5SK5A</v>
          </cell>
          <cell r="B1613">
            <v>0</v>
          </cell>
          <cell r="C1613">
            <v>0</v>
          </cell>
          <cell r="D1613">
            <v>0</v>
          </cell>
          <cell r="E1613" t="e">
            <v>#VALUE!</v>
          </cell>
          <cell r="F1613">
            <v>0</v>
          </cell>
        </row>
        <row r="1614">
          <cell r="A1614" t="str">
            <v>SCL5SG5A</v>
          </cell>
          <cell r="B1614">
            <v>0</v>
          </cell>
          <cell r="C1614">
            <v>0</v>
          </cell>
          <cell r="D1614">
            <v>0</v>
          </cell>
          <cell r="E1614" t="e">
            <v>#VALUE!</v>
          </cell>
          <cell r="F1614">
            <v>0</v>
          </cell>
        </row>
        <row r="1615">
          <cell r="A1615" t="str">
            <v>SCL5GS5A</v>
          </cell>
          <cell r="B1615">
            <v>0</v>
          </cell>
          <cell r="C1615">
            <v>0</v>
          </cell>
          <cell r="D1615">
            <v>0</v>
          </cell>
          <cell r="E1615" t="e">
            <v>#VALUE!</v>
          </cell>
          <cell r="F1615">
            <v>0</v>
          </cell>
        </row>
        <row r="1616">
          <cell r="A1616" t="str">
            <v>SCL5AR5A</v>
          </cell>
          <cell r="B1616">
            <v>0</v>
          </cell>
          <cell r="C1616">
            <v>0</v>
          </cell>
          <cell r="D1616">
            <v>0</v>
          </cell>
          <cell r="E1616" t="e">
            <v>#VALUE!</v>
          </cell>
          <cell r="F1616">
            <v>0</v>
          </cell>
        </row>
        <row r="1617">
          <cell r="A1617" t="str">
            <v>SCL5LV5A</v>
          </cell>
          <cell r="B1617">
            <v>0</v>
          </cell>
          <cell r="C1617">
            <v>0</v>
          </cell>
          <cell r="D1617">
            <v>0</v>
          </cell>
          <cell r="E1617" t="e">
            <v>#VALUE!</v>
          </cell>
          <cell r="F1617">
            <v>0</v>
          </cell>
        </row>
        <row r="1618">
          <cell r="A1618" t="str">
            <v>SCL5PV5A</v>
          </cell>
          <cell r="B1618">
            <v>0</v>
          </cell>
          <cell r="C1618">
            <v>0</v>
          </cell>
          <cell r="D1618">
            <v>0</v>
          </cell>
          <cell r="E1618" t="e">
            <v>#VALUE!</v>
          </cell>
          <cell r="F1618">
            <v>0</v>
          </cell>
        </row>
        <row r="1619">
          <cell r="A1619" t="str">
            <v>SCL5VR5A</v>
          </cell>
          <cell r="B1619">
            <v>0</v>
          </cell>
          <cell r="C1619">
            <v>0</v>
          </cell>
          <cell r="D1619">
            <v>0</v>
          </cell>
          <cell r="E1619" t="e">
            <v>#VALUE!</v>
          </cell>
          <cell r="F1619">
            <v>0</v>
          </cell>
        </row>
        <row r="1620">
          <cell r="A1620" t="str">
            <v>SDC6SCNA</v>
          </cell>
          <cell r="B1620">
            <v>3.067582173110305E-5</v>
          </cell>
          <cell r="C1620">
            <v>0</v>
          </cell>
          <cell r="D1620">
            <v>0</v>
          </cell>
          <cell r="E1620" t="e">
            <v>#VALUE!</v>
          </cell>
          <cell r="F1620">
            <v>-2.7277282192282479</v>
          </cell>
        </row>
        <row r="1621">
          <cell r="A1621" t="str">
            <v>SDC6CHUA</v>
          </cell>
          <cell r="B1621">
            <v>1.4152794477150278E-5</v>
          </cell>
          <cell r="C1621">
            <v>0</v>
          </cell>
          <cell r="D1621">
            <v>0</v>
          </cell>
          <cell r="E1621" t="e">
            <v>#VALUE!</v>
          </cell>
          <cell r="F1621">
            <v>-1.3480217450285612</v>
          </cell>
        </row>
        <row r="1622">
          <cell r="A1622" t="str">
            <v>SDC6TDFA</v>
          </cell>
          <cell r="B1622">
            <v>0</v>
          </cell>
          <cell r="C1622">
            <v>0</v>
          </cell>
          <cell r="D1622">
            <v>0</v>
          </cell>
          <cell r="E1622" t="e">
            <v>#VALUE!</v>
          </cell>
          <cell r="F1622">
            <v>-45.803835610167624</v>
          </cell>
        </row>
        <row r="1623">
          <cell r="A1623" t="str">
            <v>SDC6SCSA</v>
          </cell>
          <cell r="B1623">
            <v>0</v>
          </cell>
          <cell r="C1623">
            <v>0</v>
          </cell>
          <cell r="D1623">
            <v>0</v>
          </cell>
          <cell r="E1623" t="e">
            <v>#VALUE!</v>
          </cell>
          <cell r="F1623">
            <v>-36.590893784614458</v>
          </cell>
        </row>
        <row r="1624">
          <cell r="A1624" t="str">
            <v>SDC6CAÑA</v>
          </cell>
          <cell r="B1624">
            <v>0</v>
          </cell>
          <cell r="C1624">
            <v>0</v>
          </cell>
          <cell r="D1624">
            <v>0</v>
          </cell>
          <cell r="E1624" t="e">
            <v>#VALUE!</v>
          </cell>
          <cell r="F1624">
            <v>-3.5185597001689755</v>
          </cell>
        </row>
        <row r="1625">
          <cell r="A1625" t="str">
            <v>SDC6ESCA</v>
          </cell>
          <cell r="B1625">
            <v>4.6084120978078203E-5</v>
          </cell>
          <cell r="C1625">
            <v>0</v>
          </cell>
          <cell r="D1625">
            <v>0</v>
          </cell>
          <cell r="E1625" t="e">
            <v>#VALUE!</v>
          </cell>
          <cell r="F1625">
            <v>-2.4166971912122754</v>
          </cell>
        </row>
        <row r="1626">
          <cell r="A1626" t="str">
            <v>SDC6SK"A</v>
          </cell>
          <cell r="B1626">
            <v>0</v>
          </cell>
          <cell r="C1626">
            <v>0</v>
          </cell>
          <cell r="D1626">
            <v>0</v>
          </cell>
          <cell r="E1626" t="e">
            <v>#VALUE!</v>
          </cell>
          <cell r="F1626">
            <v>-0.4939649555781116</v>
          </cell>
        </row>
        <row r="1627">
          <cell r="A1627" t="str">
            <v>SDC6SK$A</v>
          </cell>
          <cell r="B1627">
            <v>2.3624038607372872E-6</v>
          </cell>
          <cell r="C1627">
            <v>0</v>
          </cell>
          <cell r="D1627">
            <v>0</v>
          </cell>
          <cell r="E1627" t="e">
            <v>#VALUE!</v>
          </cell>
          <cell r="F1627">
            <v>0</v>
          </cell>
        </row>
        <row r="1628">
          <cell r="A1628" t="str">
            <v>SDC6SG"A</v>
          </cell>
          <cell r="B1628">
            <v>1.6545522216864349E-6</v>
          </cell>
          <cell r="C1628">
            <v>0</v>
          </cell>
          <cell r="D1628">
            <v>0</v>
          </cell>
          <cell r="E1628" t="e">
            <v>#VALUE!</v>
          </cell>
          <cell r="F1628">
            <v>0</v>
          </cell>
        </row>
        <row r="1629">
          <cell r="A1629" t="str">
            <v>SDC6SG$A</v>
          </cell>
          <cell r="B1629">
            <v>0</v>
          </cell>
          <cell r="C1629">
            <v>0</v>
          </cell>
          <cell r="D1629">
            <v>0</v>
          </cell>
          <cell r="E1629" t="e">
            <v>#VALUE!</v>
          </cell>
          <cell r="F1629">
            <v>-5.7877176728967115</v>
          </cell>
        </row>
        <row r="1630">
          <cell r="A1630" t="str">
            <v>SDC6GS"A</v>
          </cell>
          <cell r="B1630">
            <v>0</v>
          </cell>
          <cell r="C1630">
            <v>0</v>
          </cell>
          <cell r="D1630">
            <v>0</v>
          </cell>
          <cell r="E1630" t="e">
            <v>#VALUE!</v>
          </cell>
          <cell r="F1630">
            <v>-8.1373558985043886</v>
          </cell>
        </row>
        <row r="1631">
          <cell r="A1631" t="str">
            <v>SDC6GS$A</v>
          </cell>
          <cell r="B1631">
            <v>1.2464796881967269E-6</v>
          </cell>
          <cell r="C1631">
            <v>0</v>
          </cell>
          <cell r="D1631">
            <v>0</v>
          </cell>
          <cell r="E1631" t="e">
            <v>#VALUE!</v>
          </cell>
          <cell r="F1631">
            <v>0</v>
          </cell>
        </row>
        <row r="1632">
          <cell r="A1632" t="str">
            <v>SDC6SK6A</v>
          </cell>
          <cell r="B1632">
            <v>2.3624038607372872E-6</v>
          </cell>
          <cell r="C1632">
            <v>0</v>
          </cell>
          <cell r="D1632">
            <v>0</v>
          </cell>
          <cell r="E1632" t="e">
            <v>#VALUE!</v>
          </cell>
          <cell r="F1632">
            <v>0</v>
          </cell>
        </row>
        <row r="1633">
          <cell r="A1633" t="str">
            <v>SDC6SG6A</v>
          </cell>
          <cell r="B1633">
            <v>1.6545522216864349E-6</v>
          </cell>
          <cell r="C1633">
            <v>0</v>
          </cell>
          <cell r="D1633">
            <v>0</v>
          </cell>
          <cell r="E1633" t="e">
            <v>#VALUE!</v>
          </cell>
          <cell r="F1633">
            <v>0</v>
          </cell>
        </row>
        <row r="1634">
          <cell r="A1634" t="str">
            <v>SDC6GS6A</v>
          </cell>
          <cell r="B1634">
            <v>1.2464796881967269E-6</v>
          </cell>
          <cell r="C1634">
            <v>0</v>
          </cell>
          <cell r="D1634">
            <v>0</v>
          </cell>
          <cell r="E1634" t="e">
            <v>#VALUE!</v>
          </cell>
          <cell r="F1634">
            <v>0</v>
          </cell>
        </row>
        <row r="1635">
          <cell r="A1635" t="str">
            <v>SDC6AR6A</v>
          </cell>
          <cell r="B1635">
            <v>5.7746965387494824E-5</v>
          </cell>
          <cell r="C1635">
            <v>0</v>
          </cell>
          <cell r="D1635">
            <v>0</v>
          </cell>
          <cell r="E1635" t="e">
            <v>#VALUE!</v>
          </cell>
          <cell r="F1635">
            <v>0</v>
          </cell>
        </row>
        <row r="1636">
          <cell r="A1636" t="str">
            <v>SDC6LV6A</v>
          </cell>
          <cell r="B1636">
            <v>7.534702203821786E-6</v>
          </cell>
          <cell r="C1636">
            <v>0</v>
          </cell>
          <cell r="D1636">
            <v>0</v>
          </cell>
          <cell r="E1636" t="e">
            <v>#VALUE!</v>
          </cell>
          <cell r="F1636">
            <v>0</v>
          </cell>
        </row>
        <row r="1637">
          <cell r="A1637" t="str">
            <v>SDC6PV6A</v>
          </cell>
          <cell r="B1637">
            <v>1.3372717088938385E-5</v>
          </cell>
          <cell r="C1637">
            <v>0</v>
          </cell>
          <cell r="D1637">
            <v>0</v>
          </cell>
          <cell r="E1637" t="e">
            <v>#VALUE!</v>
          </cell>
          <cell r="F1637">
            <v>0</v>
          </cell>
        </row>
        <row r="1638">
          <cell r="A1638" t="str">
            <v>SDC6VR6A</v>
          </cell>
          <cell r="B1638">
            <v>3.683791992817495E-5</v>
          </cell>
          <cell r="C1638">
            <v>0</v>
          </cell>
          <cell r="D1638">
            <v>0</v>
          </cell>
          <cell r="E1638" t="e">
            <v>#VALUE!</v>
          </cell>
          <cell r="F1638">
            <v>0</v>
          </cell>
        </row>
        <row r="1639">
          <cell r="A1639" t="str">
            <v>SDC6mNCA</v>
          </cell>
          <cell r="B1639">
            <v>4.4828614404214522E-5</v>
          </cell>
          <cell r="C1639">
            <v>0</v>
          </cell>
          <cell r="D1639">
            <v>0</v>
          </cell>
          <cell r="E1639" t="e">
            <v>#VALUE!</v>
          </cell>
          <cell r="F1639">
            <v>-1.1610370845010836</v>
          </cell>
        </row>
        <row r="1640">
          <cell r="A1640" t="str">
            <v>SDC6x01A</v>
          </cell>
          <cell r="B1640">
            <v>0</v>
          </cell>
          <cell r="C1640">
            <v>0</v>
          </cell>
          <cell r="D1640">
            <v>0</v>
          </cell>
          <cell r="E1640" t="e">
            <v>#VALUE!</v>
          </cell>
          <cell r="F1640">
            <v>-10</v>
          </cell>
        </row>
        <row r="1641">
          <cell r="A1641" t="str">
            <v>SDC6x02A</v>
          </cell>
          <cell r="B1641">
            <v>0</v>
          </cell>
          <cell r="C1641">
            <v>0</v>
          </cell>
          <cell r="D1641">
            <v>0</v>
          </cell>
          <cell r="E1641" t="e">
            <v>#VALUE!</v>
          </cell>
          <cell r="F1641">
            <v>-10</v>
          </cell>
        </row>
        <row r="1642">
          <cell r="A1642" t="str">
            <v>SDL7NRNA</v>
          </cell>
          <cell r="B1642">
            <v>7.6126216914555798</v>
          </cell>
          <cell r="C1642">
            <v>0</v>
          </cell>
          <cell r="D1642">
            <v>0</v>
          </cell>
          <cell r="E1642" t="e">
            <v>#VALUE!</v>
          </cell>
          <cell r="F1642">
            <v>0</v>
          </cell>
        </row>
        <row r="1643">
          <cell r="A1643" t="str">
            <v>SDL7NEUA</v>
          </cell>
          <cell r="B1643">
            <v>1.641360807745424</v>
          </cell>
          <cell r="C1643">
            <v>0</v>
          </cell>
          <cell r="D1643">
            <v>0</v>
          </cell>
          <cell r="E1643" t="e">
            <v>#VALUE!</v>
          </cell>
          <cell r="F1643">
            <v>0</v>
          </cell>
        </row>
        <row r="1644">
          <cell r="A1644" t="str">
            <v>SDL7SK!A</v>
          </cell>
          <cell r="B1644">
            <v>2.1005167449786238E-2</v>
          </cell>
          <cell r="C1644">
            <v>0</v>
          </cell>
          <cell r="D1644">
            <v>0</v>
          </cell>
          <cell r="E1644" t="e">
            <v>#VALUE!</v>
          </cell>
          <cell r="F1644">
            <v>0</v>
          </cell>
        </row>
        <row r="1645">
          <cell r="A1645" t="str">
            <v>SDL7SK%A</v>
          </cell>
          <cell r="B1645">
            <v>0.32786997752646879</v>
          </cell>
          <cell r="C1645">
            <v>0</v>
          </cell>
          <cell r="D1645">
            <v>0</v>
          </cell>
          <cell r="E1645" t="e">
            <v>#VALUE!</v>
          </cell>
          <cell r="F1645">
            <v>0</v>
          </cell>
        </row>
        <row r="1646">
          <cell r="A1646" t="str">
            <v>SDL7SG!A</v>
          </cell>
          <cell r="B1646">
            <v>0.23134956396605871</v>
          </cell>
          <cell r="C1646">
            <v>0</v>
          </cell>
          <cell r="D1646">
            <v>0</v>
          </cell>
          <cell r="E1646" t="e">
            <v>#VALUE!</v>
          </cell>
          <cell r="F1646">
            <v>0</v>
          </cell>
        </row>
        <row r="1647">
          <cell r="A1647" t="str">
            <v>SDL7SG%A</v>
          </cell>
          <cell r="B1647">
            <v>0</v>
          </cell>
          <cell r="C1647">
            <v>0</v>
          </cell>
          <cell r="D1647">
            <v>0</v>
          </cell>
          <cell r="E1647" t="e">
            <v>#VALUE!</v>
          </cell>
          <cell r="F1647">
            <v>-5.5824951145746935</v>
          </cell>
        </row>
        <row r="1648">
          <cell r="A1648" t="str">
            <v>SDL7GS!A</v>
          </cell>
          <cell r="B1648">
            <v>4.2690312862396239E-2</v>
          </cell>
          <cell r="C1648">
            <v>0</v>
          </cell>
          <cell r="D1648">
            <v>0</v>
          </cell>
          <cell r="E1648" t="e">
            <v>#VALUE!</v>
          </cell>
          <cell r="F1648">
            <v>-10.406227203264628</v>
          </cell>
        </row>
        <row r="1649">
          <cell r="A1649" t="str">
            <v>SDL7GS%A</v>
          </cell>
          <cell r="B1649">
            <v>0.11925438858874857</v>
          </cell>
          <cell r="C1649">
            <v>0</v>
          </cell>
          <cell r="D1649">
            <v>0</v>
          </cell>
          <cell r="E1649" t="e">
            <v>#VALUE!</v>
          </cell>
          <cell r="F1649">
            <v>-0.14383269009524829</v>
          </cell>
        </row>
        <row r="1650">
          <cell r="A1650" t="str">
            <v>SDL7BT2A</v>
          </cell>
          <cell r="B1650">
            <v>7.3106507242542418E-2</v>
          </cell>
          <cell r="C1650">
            <v>0</v>
          </cell>
          <cell r="D1650">
            <v>0</v>
          </cell>
          <cell r="E1650" t="e">
            <v>#VALUE!</v>
          </cell>
          <cell r="F1650">
            <v>0</v>
          </cell>
        </row>
        <row r="1651">
          <cell r="A1651" t="str">
            <v>SDL7WN4A</v>
          </cell>
          <cell r="B1651">
            <v>1.0605105896518654</v>
          </cell>
          <cell r="C1651">
            <v>0</v>
          </cell>
          <cell r="D1651">
            <v>0</v>
          </cell>
          <cell r="E1651" t="e">
            <v>#VALUE!</v>
          </cell>
          <cell r="F1651">
            <v>0</v>
          </cell>
        </row>
        <row r="1652">
          <cell r="A1652" t="str">
            <v>SDL7PN4A</v>
          </cell>
          <cell r="B1652">
            <v>0.90106241882663884</v>
          </cell>
          <cell r="C1652">
            <v>0</v>
          </cell>
          <cell r="D1652">
            <v>0</v>
          </cell>
          <cell r="E1652" t="e">
            <v>#VALUE!</v>
          </cell>
          <cell r="F1652">
            <v>66.222581108302293</v>
          </cell>
        </row>
        <row r="1653">
          <cell r="A1653" t="str">
            <v>SDL7SK7A</v>
          </cell>
          <cell r="B1653">
            <v>0.34887516073984642</v>
          </cell>
          <cell r="C1653">
            <v>0</v>
          </cell>
          <cell r="D1653">
            <v>0</v>
          </cell>
          <cell r="E1653" t="e">
            <v>#VALUE!</v>
          </cell>
          <cell r="F1653">
            <v>0</v>
          </cell>
        </row>
        <row r="1654">
          <cell r="A1654" t="str">
            <v>SDL7LK4A</v>
          </cell>
          <cell r="B1654">
            <v>1.0765242654983311</v>
          </cell>
          <cell r="C1654">
            <v>0</v>
          </cell>
          <cell r="D1654">
            <v>0</v>
          </cell>
          <cell r="E1654" t="e">
            <v>#VALUE!</v>
          </cell>
          <cell r="F1654">
            <v>0</v>
          </cell>
        </row>
        <row r="1655">
          <cell r="A1655" t="str">
            <v>SDL7SG7A</v>
          </cell>
          <cell r="B1655">
            <v>0.23134956396605871</v>
          </cell>
          <cell r="C1655">
            <v>0</v>
          </cell>
          <cell r="D1655">
            <v>0</v>
          </cell>
          <cell r="E1655" t="e">
            <v>#VALUE!</v>
          </cell>
          <cell r="F1655">
            <v>0</v>
          </cell>
        </row>
        <row r="1656">
          <cell r="A1656" t="str">
            <v>SDL7LG3A</v>
          </cell>
          <cell r="B1656">
            <v>1.8083651111550527</v>
          </cell>
          <cell r="C1656">
            <v>0</v>
          </cell>
          <cell r="D1656">
            <v>0</v>
          </cell>
          <cell r="E1656" t="e">
            <v>#VALUE!</v>
          </cell>
          <cell r="F1656">
            <v>0</v>
          </cell>
        </row>
        <row r="1657">
          <cell r="A1657" t="str">
            <v>SDL7GS7A</v>
          </cell>
          <cell r="B1657">
            <v>0.16194470145114481</v>
          </cell>
          <cell r="C1657">
            <v>0</v>
          </cell>
          <cell r="D1657">
            <v>0</v>
          </cell>
          <cell r="E1657" t="e">
            <v>#VALUE!</v>
          </cell>
          <cell r="F1657">
            <v>0</v>
          </cell>
        </row>
        <row r="1658">
          <cell r="A1658" t="str">
            <v>SDL7PG2A</v>
          </cell>
          <cell r="B1658">
            <v>0.55234075523402593</v>
          </cell>
          <cell r="C1658">
            <v>0</v>
          </cell>
          <cell r="D1658">
            <v>0</v>
          </cell>
          <cell r="E1658" t="e">
            <v>#VALUE!</v>
          </cell>
          <cell r="F1658">
            <v>0</v>
          </cell>
        </row>
        <row r="1659">
          <cell r="A1659" t="str">
            <v>SDL7AR7A</v>
          </cell>
          <cell r="B1659">
            <v>3.782102815419027</v>
          </cell>
          <cell r="C1659">
            <v>0</v>
          </cell>
          <cell r="D1659">
            <v>0</v>
          </cell>
          <cell r="E1659" t="e">
            <v>#VALUE!</v>
          </cell>
          <cell r="F1659">
            <v>0</v>
          </cell>
        </row>
        <row r="1660">
          <cell r="A1660" t="str">
            <v>SDL7LV7A</v>
          </cell>
          <cell r="B1660">
            <v>0.82823143576922487</v>
          </cell>
          <cell r="C1660">
            <v>0</v>
          </cell>
          <cell r="D1660">
            <v>0</v>
          </cell>
          <cell r="E1660" t="e">
            <v>#VALUE!</v>
          </cell>
          <cell r="F1660">
            <v>0</v>
          </cell>
        </row>
        <row r="1661">
          <cell r="A1661" t="str">
            <v>SDL7PV7A</v>
          </cell>
          <cell r="B1661">
            <v>1.1891368144179044</v>
          </cell>
          <cell r="C1661">
            <v>0</v>
          </cell>
          <cell r="D1661">
            <v>0</v>
          </cell>
          <cell r="E1661" t="e">
            <v>#VALUE!</v>
          </cell>
          <cell r="F1661">
            <v>0</v>
          </cell>
        </row>
        <row r="1662">
          <cell r="A1662" t="str">
            <v>SDL7VR7A</v>
          </cell>
          <cell r="B1662">
            <v>1.7647345356745263</v>
          </cell>
          <cell r="C1662">
            <v>0</v>
          </cell>
          <cell r="D1662">
            <v>0</v>
          </cell>
          <cell r="E1662" t="e">
            <v>#VALUE!</v>
          </cell>
          <cell r="F1662">
            <v>0</v>
          </cell>
        </row>
        <row r="1663">
          <cell r="A1663" t="str">
            <v>SDL7LM4A</v>
          </cell>
          <cell r="B1663">
            <v>0.68942441548386668</v>
          </cell>
          <cell r="C1663">
            <v>0</v>
          </cell>
          <cell r="D1663">
            <v>0</v>
          </cell>
          <cell r="E1663" t="e">
            <v>#VALUE!</v>
          </cell>
          <cell r="F1663">
            <v>0</v>
          </cell>
        </row>
        <row r="1664">
          <cell r="A1664" t="str">
            <v>SDL7PA4A</v>
          </cell>
          <cell r="B1664">
            <v>0.40717663185237207</v>
          </cell>
          <cell r="C1664">
            <v>0</v>
          </cell>
          <cell r="D1664">
            <v>0</v>
          </cell>
          <cell r="E1664" t="e">
            <v>#VALUE!</v>
          </cell>
          <cell r="F1664">
            <v>0</v>
          </cell>
        </row>
        <row r="1665">
          <cell r="A1665" t="str">
            <v>SDL7PB4A</v>
          </cell>
          <cell r="B1665">
            <v>0.47288060376088914</v>
          </cell>
          <cell r="C1665">
            <v>0</v>
          </cell>
          <cell r="D1665">
            <v>0</v>
          </cell>
          <cell r="E1665" t="e">
            <v>#VALUE!</v>
          </cell>
          <cell r="F1665">
            <v>0</v>
          </cell>
        </row>
        <row r="1666">
          <cell r="A1666" t="str">
            <v>SDL7PP4A</v>
          </cell>
          <cell r="B1666">
            <v>1.7627498091336331E-11</v>
          </cell>
          <cell r="C1666">
            <v>0</v>
          </cell>
          <cell r="D1666">
            <v>0</v>
          </cell>
          <cell r="E1666" t="e">
            <v>#VALUE!</v>
          </cell>
          <cell r="F1666">
            <v>0</v>
          </cell>
        </row>
        <row r="1667">
          <cell r="A1667" t="str">
            <v>SVCBVFVA</v>
          </cell>
          <cell r="B1667">
            <v>0</v>
          </cell>
          <cell r="C1667">
            <v>0</v>
          </cell>
          <cell r="D1667">
            <v>0</v>
          </cell>
          <cell r="E1667" t="e">
            <v>#VALUE!</v>
          </cell>
          <cell r="F1667">
            <v>0</v>
          </cell>
        </row>
        <row r="1668">
          <cell r="A1668" t="str">
            <v>SVCBPVVA</v>
          </cell>
          <cell r="B1668">
            <v>0</v>
          </cell>
          <cell r="C1668">
            <v>0</v>
          </cell>
          <cell r="D1668">
            <v>0</v>
          </cell>
          <cell r="E1668" t="e">
            <v>#VALUE!</v>
          </cell>
          <cell r="F1668">
            <v>0</v>
          </cell>
        </row>
        <row r="1669">
          <cell r="A1669" t="str">
            <v>SVCBAR1A</v>
          </cell>
          <cell r="B1669">
            <v>3.4352447280428878E-12</v>
          </cell>
          <cell r="C1669">
            <v>0</v>
          </cell>
          <cell r="D1669">
            <v>0</v>
          </cell>
          <cell r="E1669" t="e">
            <v>#VALUE!</v>
          </cell>
          <cell r="F1669">
            <v>-0.28439309139774271</v>
          </cell>
        </row>
        <row r="1670">
          <cell r="A1670" t="str">
            <v>SVCBLV1A</v>
          </cell>
          <cell r="B1670">
            <v>4.3934718876680064E-13</v>
          </cell>
          <cell r="C1670">
            <v>0</v>
          </cell>
          <cell r="D1670">
            <v>0</v>
          </cell>
          <cell r="E1670" t="e">
            <v>#VALUE!</v>
          </cell>
          <cell r="F1670">
            <v>-0.53990989319265703</v>
          </cell>
        </row>
        <row r="1671">
          <cell r="A1671" t="str">
            <v>SVCBPV1A</v>
          </cell>
          <cell r="B1671">
            <v>9.7318327055626839E-13</v>
          </cell>
          <cell r="C1671">
            <v>0</v>
          </cell>
          <cell r="D1671">
            <v>0</v>
          </cell>
          <cell r="E1671" t="e">
            <v>#VALUE!</v>
          </cell>
          <cell r="F1671">
            <v>0</v>
          </cell>
        </row>
        <row r="1672">
          <cell r="A1672" t="str">
            <v>SVCBPX1A</v>
          </cell>
          <cell r="B1672">
            <v>1.0140932043872254E-12</v>
          </cell>
          <cell r="C1672">
            <v>0</v>
          </cell>
          <cell r="D1672">
            <v>0</v>
          </cell>
          <cell r="E1672" t="e">
            <v>#VALUE!</v>
          </cell>
          <cell r="F1672">
            <v>0</v>
          </cell>
        </row>
        <row r="1673">
          <cell r="A1673" t="str">
            <v>SVCBVR1A</v>
          </cell>
          <cell r="B1673">
            <v>2.7273297418988634E-13</v>
          </cell>
          <cell r="C1673">
            <v>0</v>
          </cell>
          <cell r="D1673">
            <v>0</v>
          </cell>
          <cell r="E1673" t="e">
            <v>#VALUE!</v>
          </cell>
          <cell r="F1673">
            <v>-8.6327022069121059E-2</v>
          </cell>
        </row>
        <row r="1674">
          <cell r="A1674" t="str">
            <v>SVCBAR2A</v>
          </cell>
          <cell r="B1674">
            <v>0</v>
          </cell>
          <cell r="C1674">
            <v>0</v>
          </cell>
          <cell r="D1674">
            <v>0</v>
          </cell>
          <cell r="E1674" t="e">
            <v>#VALUE!</v>
          </cell>
          <cell r="F1674">
            <v>-55.912199067416253</v>
          </cell>
        </row>
        <row r="1675">
          <cell r="A1675" t="str">
            <v>SVCBLV2A</v>
          </cell>
          <cell r="B1675">
            <v>0</v>
          </cell>
          <cell r="C1675">
            <v>0</v>
          </cell>
          <cell r="D1675">
            <v>0</v>
          </cell>
          <cell r="E1675" t="e">
            <v>#VALUE!</v>
          </cell>
          <cell r="F1675">
            <v>0</v>
          </cell>
        </row>
        <row r="1676">
          <cell r="A1676" t="str">
            <v>SVCBPV2A</v>
          </cell>
          <cell r="B1676">
            <v>0</v>
          </cell>
          <cell r="C1676">
            <v>0</v>
          </cell>
          <cell r="D1676">
            <v>0</v>
          </cell>
          <cell r="E1676" t="e">
            <v>#VALUE!</v>
          </cell>
          <cell r="F1676">
            <v>0</v>
          </cell>
        </row>
        <row r="1677">
          <cell r="A1677" t="str">
            <v>SVCBPX2A</v>
          </cell>
          <cell r="B1677">
            <v>0</v>
          </cell>
          <cell r="C1677">
            <v>0</v>
          </cell>
          <cell r="D1677">
            <v>0</v>
          </cell>
          <cell r="E1677" t="e">
            <v>#VALUE!</v>
          </cell>
          <cell r="F1677">
            <v>0</v>
          </cell>
        </row>
        <row r="1678">
          <cell r="A1678" t="str">
            <v>SVCBVR2A</v>
          </cell>
          <cell r="B1678">
            <v>0</v>
          </cell>
          <cell r="C1678">
            <v>0</v>
          </cell>
          <cell r="D1678">
            <v>0</v>
          </cell>
          <cell r="E1678" t="e">
            <v>#VALUE!</v>
          </cell>
          <cell r="F1678">
            <v>0</v>
          </cell>
        </row>
        <row r="1679">
          <cell r="A1679" t="str">
            <v>SVCBAR3A</v>
          </cell>
          <cell r="B1679">
            <v>0</v>
          </cell>
          <cell r="C1679">
            <v>0</v>
          </cell>
          <cell r="D1679">
            <v>0</v>
          </cell>
          <cell r="E1679" t="e">
            <v>#VALUE!</v>
          </cell>
          <cell r="F1679">
            <v>-32.277043820733894</v>
          </cell>
        </row>
        <row r="1680">
          <cell r="A1680" t="str">
            <v>SVCBLV3A</v>
          </cell>
          <cell r="B1680">
            <v>0</v>
          </cell>
          <cell r="C1680">
            <v>0</v>
          </cell>
          <cell r="D1680">
            <v>0</v>
          </cell>
          <cell r="E1680" t="e">
            <v>#VALUE!</v>
          </cell>
          <cell r="F1680">
            <v>0</v>
          </cell>
        </row>
        <row r="1681">
          <cell r="A1681" t="str">
            <v>SVCBPV3A</v>
          </cell>
          <cell r="B1681">
            <v>0</v>
          </cell>
          <cell r="C1681">
            <v>0</v>
          </cell>
          <cell r="D1681">
            <v>0</v>
          </cell>
          <cell r="E1681" t="e">
            <v>#VALUE!</v>
          </cell>
          <cell r="F1681">
            <v>0</v>
          </cell>
        </row>
        <row r="1682">
          <cell r="A1682" t="str">
            <v>SVCBPX3A</v>
          </cell>
          <cell r="B1682">
            <v>0</v>
          </cell>
          <cell r="C1682">
            <v>0</v>
          </cell>
          <cell r="D1682">
            <v>0</v>
          </cell>
          <cell r="E1682" t="e">
            <v>#VALUE!</v>
          </cell>
          <cell r="F1682">
            <v>0</v>
          </cell>
        </row>
        <row r="1683">
          <cell r="A1683" t="str">
            <v>SVCBVR3A</v>
          </cell>
          <cell r="B1683">
            <v>0</v>
          </cell>
          <cell r="C1683">
            <v>0</v>
          </cell>
          <cell r="D1683">
            <v>0</v>
          </cell>
          <cell r="E1683" t="e">
            <v>#VALUE!</v>
          </cell>
          <cell r="F1683">
            <v>0</v>
          </cell>
        </row>
        <row r="1684">
          <cell r="A1684" t="str">
            <v>SVCBAR4A</v>
          </cell>
          <cell r="B1684">
            <v>5.5267435909950571</v>
          </cell>
          <cell r="C1684">
            <v>0</v>
          </cell>
          <cell r="D1684">
            <v>0</v>
          </cell>
          <cell r="E1684" t="e">
            <v>#VALUE!</v>
          </cell>
          <cell r="F1684">
            <v>0</v>
          </cell>
        </row>
        <row r="1685">
          <cell r="A1685" t="str">
            <v>SVCBLV4A</v>
          </cell>
          <cell r="B1685">
            <v>0.78918987626898773</v>
          </cell>
          <cell r="C1685">
            <v>0</v>
          </cell>
          <cell r="D1685">
            <v>0</v>
          </cell>
          <cell r="E1685" t="e">
            <v>#VALUE!</v>
          </cell>
          <cell r="F1685">
            <v>0</v>
          </cell>
        </row>
        <row r="1686">
          <cell r="A1686" t="str">
            <v>SVCBPV4A</v>
          </cell>
          <cell r="B1686">
            <v>0.82324231928342007</v>
          </cell>
          <cell r="C1686">
            <v>0</v>
          </cell>
          <cell r="D1686">
            <v>0</v>
          </cell>
          <cell r="E1686" t="e">
            <v>#VALUE!</v>
          </cell>
          <cell r="F1686">
            <v>0</v>
          </cell>
        </row>
        <row r="1687">
          <cell r="A1687" t="str">
            <v>SVCBPX4A</v>
          </cell>
          <cell r="B1687">
            <v>1.3337626607450721</v>
          </cell>
          <cell r="C1687">
            <v>0</v>
          </cell>
          <cell r="D1687">
            <v>0</v>
          </cell>
          <cell r="E1687" t="e">
            <v>#VALUE!</v>
          </cell>
          <cell r="F1687">
            <v>0</v>
          </cell>
        </row>
        <row r="1688">
          <cell r="A1688" t="str">
            <v>SVCBVR4A</v>
          </cell>
          <cell r="B1688">
            <v>3.4034691229258498</v>
          </cell>
          <cell r="C1688">
            <v>0</v>
          </cell>
          <cell r="D1688">
            <v>0</v>
          </cell>
          <cell r="E1688" t="e">
            <v>#VALUE!</v>
          </cell>
          <cell r="F1688">
            <v>0</v>
          </cell>
        </row>
        <row r="1689">
          <cell r="A1689" t="str">
            <v>SVCBAR5A</v>
          </cell>
          <cell r="B1689">
            <v>0</v>
          </cell>
          <cell r="C1689">
            <v>0</v>
          </cell>
          <cell r="D1689">
            <v>0</v>
          </cell>
          <cell r="E1689" t="e">
            <v>#VALUE!</v>
          </cell>
          <cell r="F1689">
            <v>-59.636184326589927</v>
          </cell>
        </row>
        <row r="1690">
          <cell r="A1690" t="str">
            <v>SVCBLV5A</v>
          </cell>
          <cell r="B1690">
            <v>0</v>
          </cell>
          <cell r="C1690">
            <v>0</v>
          </cell>
          <cell r="D1690">
            <v>0</v>
          </cell>
          <cell r="E1690" t="e">
            <v>#VALUE!</v>
          </cell>
          <cell r="F1690">
            <v>0</v>
          </cell>
        </row>
        <row r="1691">
          <cell r="A1691" t="str">
            <v>SVCBPV5A</v>
          </cell>
          <cell r="B1691">
            <v>0</v>
          </cell>
          <cell r="C1691">
            <v>0</v>
          </cell>
          <cell r="D1691">
            <v>0</v>
          </cell>
          <cell r="E1691" t="e">
            <v>#VALUE!</v>
          </cell>
          <cell r="F1691">
            <v>0</v>
          </cell>
        </row>
        <row r="1692">
          <cell r="A1692" t="str">
            <v>SVCBPX5A</v>
          </cell>
          <cell r="B1692">
            <v>0</v>
          </cell>
          <cell r="C1692">
            <v>0</v>
          </cell>
          <cell r="D1692">
            <v>0</v>
          </cell>
          <cell r="E1692" t="e">
            <v>#VALUE!</v>
          </cell>
          <cell r="F1692">
            <v>0</v>
          </cell>
        </row>
        <row r="1693">
          <cell r="A1693" t="str">
            <v>SVCBVR5A</v>
          </cell>
          <cell r="B1693">
            <v>0</v>
          </cell>
          <cell r="C1693">
            <v>0</v>
          </cell>
          <cell r="D1693">
            <v>0</v>
          </cell>
          <cell r="E1693" t="e">
            <v>#VALUE!</v>
          </cell>
          <cell r="F1693">
            <v>0</v>
          </cell>
        </row>
        <row r="1694">
          <cell r="A1694" t="str">
            <v>SVCBAR6A</v>
          </cell>
          <cell r="B1694">
            <v>0</v>
          </cell>
          <cell r="C1694">
            <v>0</v>
          </cell>
          <cell r="D1694">
            <v>0</v>
          </cell>
          <cell r="E1694" t="e">
            <v>#VALUE!</v>
          </cell>
          <cell r="F1694">
            <v>-65.871145859809772</v>
          </cell>
        </row>
        <row r="1695">
          <cell r="A1695" t="str">
            <v>SVCBLV6A</v>
          </cell>
          <cell r="B1695">
            <v>0</v>
          </cell>
          <cell r="C1695">
            <v>0</v>
          </cell>
          <cell r="D1695">
            <v>0</v>
          </cell>
          <cell r="E1695" t="e">
            <v>#VALUE!</v>
          </cell>
          <cell r="F1695">
            <v>0</v>
          </cell>
        </row>
        <row r="1696">
          <cell r="A1696" t="str">
            <v>SVCBPV6A</v>
          </cell>
          <cell r="B1696">
            <v>0</v>
          </cell>
          <cell r="C1696">
            <v>0</v>
          </cell>
          <cell r="D1696">
            <v>0</v>
          </cell>
          <cell r="E1696" t="e">
            <v>#VALUE!</v>
          </cell>
          <cell r="F1696">
            <v>0</v>
          </cell>
        </row>
        <row r="1697">
          <cell r="A1697" t="str">
            <v>SVCBPX6A</v>
          </cell>
          <cell r="B1697">
            <v>0</v>
          </cell>
          <cell r="C1697">
            <v>0</v>
          </cell>
          <cell r="D1697">
            <v>0</v>
          </cell>
          <cell r="E1697" t="e">
            <v>#VALUE!</v>
          </cell>
          <cell r="F1697">
            <v>0</v>
          </cell>
        </row>
        <row r="1698">
          <cell r="A1698" t="str">
            <v>SVCBVR6A</v>
          </cell>
          <cell r="B1698">
            <v>0</v>
          </cell>
          <cell r="C1698">
            <v>0</v>
          </cell>
          <cell r="D1698">
            <v>0</v>
          </cell>
          <cell r="E1698" t="e">
            <v>#VALUE!</v>
          </cell>
          <cell r="F1698">
            <v>0</v>
          </cell>
        </row>
        <row r="1699">
          <cell r="A1699" t="str">
            <v>SVCBAR7A</v>
          </cell>
          <cell r="B1699">
            <v>0</v>
          </cell>
          <cell r="C1699">
            <v>0</v>
          </cell>
          <cell r="D1699">
            <v>0</v>
          </cell>
          <cell r="E1699" t="e">
            <v>#VALUE!</v>
          </cell>
          <cell r="F1699">
            <v>-68.088865107706155</v>
          </cell>
        </row>
        <row r="1700">
          <cell r="A1700" t="str">
            <v>SVCBLV7A</v>
          </cell>
          <cell r="B1700">
            <v>0</v>
          </cell>
          <cell r="C1700">
            <v>0</v>
          </cell>
          <cell r="D1700">
            <v>0</v>
          </cell>
          <cell r="E1700" t="e">
            <v>#VALUE!</v>
          </cell>
          <cell r="F1700">
            <v>0</v>
          </cell>
        </row>
        <row r="1701">
          <cell r="A1701" t="str">
            <v>SVCBPV7A</v>
          </cell>
          <cell r="B1701">
            <v>0</v>
          </cell>
          <cell r="C1701">
            <v>0</v>
          </cell>
          <cell r="D1701">
            <v>0</v>
          </cell>
          <cell r="E1701" t="e">
            <v>#VALUE!</v>
          </cell>
          <cell r="F1701">
            <v>0</v>
          </cell>
        </row>
        <row r="1702">
          <cell r="A1702" t="str">
            <v>SVCBPX7A</v>
          </cell>
          <cell r="B1702">
            <v>0</v>
          </cell>
          <cell r="C1702">
            <v>0</v>
          </cell>
          <cell r="D1702">
            <v>0</v>
          </cell>
          <cell r="E1702" t="e">
            <v>#VALUE!</v>
          </cell>
          <cell r="F1702">
            <v>0</v>
          </cell>
        </row>
        <row r="1703">
          <cell r="A1703" t="str">
            <v>SVCBVR7A</v>
          </cell>
          <cell r="B1703">
            <v>0</v>
          </cell>
          <cell r="C1703">
            <v>0</v>
          </cell>
          <cell r="D1703">
            <v>0</v>
          </cell>
          <cell r="E1703" t="e">
            <v>#VALUE!</v>
          </cell>
          <cell r="F1703">
            <v>0</v>
          </cell>
        </row>
        <row r="1704">
          <cell r="A1704" t="str">
            <v>SVCBVP7A</v>
          </cell>
          <cell r="B1704">
            <v>0</v>
          </cell>
          <cell r="C1704">
            <v>0</v>
          </cell>
          <cell r="D1704">
            <v>0</v>
          </cell>
          <cell r="E1704" t="e">
            <v>#VALUE!</v>
          </cell>
          <cell r="F1704">
            <v>0</v>
          </cell>
        </row>
        <row r="1705">
          <cell r="A1705" t="str">
            <v>SVCBVP6A</v>
          </cell>
          <cell r="B1705">
            <v>0</v>
          </cell>
          <cell r="C1705">
            <v>0</v>
          </cell>
          <cell r="D1705">
            <v>0</v>
          </cell>
          <cell r="E1705" t="e">
            <v>#VALUE!</v>
          </cell>
          <cell r="F1705">
            <v>0</v>
          </cell>
        </row>
        <row r="1706">
          <cell r="A1706" t="str">
            <v>SVCBVP5A</v>
          </cell>
          <cell r="B1706">
            <v>0</v>
          </cell>
          <cell r="C1706">
            <v>0</v>
          </cell>
          <cell r="D1706">
            <v>0</v>
          </cell>
          <cell r="E1706" t="e">
            <v>#VALUE!</v>
          </cell>
          <cell r="F1706">
            <v>0</v>
          </cell>
        </row>
        <row r="1707">
          <cell r="A1707" t="str">
            <v>SVCBVP4A</v>
          </cell>
          <cell r="B1707">
            <v>0.51052037150892493</v>
          </cell>
          <cell r="C1707">
            <v>0</v>
          </cell>
          <cell r="D1707">
            <v>0</v>
          </cell>
          <cell r="E1707" t="e">
            <v>#VALUE!</v>
          </cell>
          <cell r="F1707">
            <v>0</v>
          </cell>
        </row>
        <row r="1708">
          <cell r="A1708" t="str">
            <v>SVCBVP3A</v>
          </cell>
          <cell r="B1708">
            <v>0</v>
          </cell>
          <cell r="C1708">
            <v>0</v>
          </cell>
          <cell r="D1708">
            <v>0</v>
          </cell>
          <cell r="E1708" t="e">
            <v>#VALUE!</v>
          </cell>
          <cell r="F1708">
            <v>0</v>
          </cell>
        </row>
        <row r="1709">
          <cell r="A1709" t="str">
            <v>SVCBVP2A</v>
          </cell>
          <cell r="B1709">
            <v>0</v>
          </cell>
          <cell r="C1709">
            <v>0</v>
          </cell>
          <cell r="D1709">
            <v>0</v>
          </cell>
          <cell r="E1709" t="e">
            <v>#VALUE!</v>
          </cell>
          <cell r="F1709">
            <v>0</v>
          </cell>
        </row>
        <row r="1710">
          <cell r="A1710" t="str">
            <v>SVCBVP1A</v>
          </cell>
          <cell r="B1710">
            <v>4.0909944078895282E-14</v>
          </cell>
          <cell r="C1710">
            <v>0</v>
          </cell>
          <cell r="D1710">
            <v>0</v>
          </cell>
          <cell r="E1710" t="e">
            <v>#VALUE!</v>
          </cell>
          <cell r="F1710">
            <v>0</v>
          </cell>
        </row>
        <row r="1711">
          <cell r="A1711" t="str">
            <v>SVCBVR9A</v>
          </cell>
          <cell r="B1711">
            <v>0.51052037150892493</v>
          </cell>
          <cell r="C1711">
            <v>0</v>
          </cell>
          <cell r="D1711">
            <v>0</v>
          </cell>
          <cell r="E1711" t="e">
            <v>#VALUE!</v>
          </cell>
          <cell r="F1711">
            <v>0</v>
          </cell>
        </row>
        <row r="1712">
          <cell r="A1712" t="str">
            <v>SVCBVR8A</v>
          </cell>
          <cell r="B1712">
            <v>0.51052037150892493</v>
          </cell>
          <cell r="C1712">
            <v>0</v>
          </cell>
          <cell r="D1712">
            <v>0</v>
          </cell>
          <cell r="E1712" t="e">
            <v>#VALUE!</v>
          </cell>
          <cell r="F1712">
            <v>0</v>
          </cell>
        </row>
        <row r="1713">
          <cell r="A1713" t="str">
            <v>SVCBLVBA</v>
          </cell>
          <cell r="B1713">
            <v>0.78918987626898773</v>
          </cell>
          <cell r="C1713">
            <v>0</v>
          </cell>
          <cell r="D1713">
            <v>0</v>
          </cell>
          <cell r="E1713" t="e">
            <v>#VALUE!</v>
          </cell>
          <cell r="F1713">
            <v>0</v>
          </cell>
        </row>
        <row r="1714">
          <cell r="A1714" t="str">
            <v>SVCBPVBA</v>
          </cell>
          <cell r="B1714">
            <v>0.82324231928342007</v>
          </cell>
          <cell r="C1714">
            <v>0</v>
          </cell>
          <cell r="D1714">
            <v>0</v>
          </cell>
          <cell r="E1714" t="e">
            <v>#VALUE!</v>
          </cell>
          <cell r="F1714">
            <v>0</v>
          </cell>
        </row>
        <row r="1715">
          <cell r="A1715" t="str">
            <v>SVCBVRBA</v>
          </cell>
          <cell r="B1715">
            <v>3.9139893904124219</v>
          </cell>
          <cell r="C1715">
            <v>0</v>
          </cell>
          <cell r="D1715">
            <v>0</v>
          </cell>
          <cell r="E1715" t="e">
            <v>#VALUE!</v>
          </cell>
          <cell r="F1715">
            <v>0</v>
          </cell>
        </row>
        <row r="1716">
          <cell r="A1716" t="str">
            <v>SVCBM3DA</v>
          </cell>
          <cell r="B1716">
            <v>5.6999998092651367</v>
          </cell>
          <cell r="C1716">
            <v>0</v>
          </cell>
          <cell r="D1716">
            <v>0</v>
          </cell>
          <cell r="E1716" t="e">
            <v>#VALUE!</v>
          </cell>
          <cell r="F1716">
            <v>0</v>
          </cell>
        </row>
        <row r="1717">
          <cell r="A1717" t="str">
            <v>SVCBM4DA</v>
          </cell>
          <cell r="B1717">
            <v>0</v>
          </cell>
          <cell r="C1717">
            <v>0</v>
          </cell>
          <cell r="D1717">
            <v>0</v>
          </cell>
          <cell r="E1717" t="e">
            <v>#VALUE!</v>
          </cell>
          <cell r="F1717">
            <v>0</v>
          </cell>
        </row>
        <row r="1718">
          <cell r="A1718" t="str">
            <v>SVCBM5DA</v>
          </cell>
          <cell r="B1718">
            <v>5.6999998092651367</v>
          </cell>
          <cell r="C1718">
            <v>0</v>
          </cell>
          <cell r="D1718">
            <v>0</v>
          </cell>
          <cell r="E1718" t="e">
            <v>#VALUE!</v>
          </cell>
          <cell r="F1718">
            <v>0</v>
          </cell>
        </row>
        <row r="1719">
          <cell r="A1719" t="str">
            <v>SVCBPG1A</v>
          </cell>
          <cell r="B1719">
            <v>0</v>
          </cell>
          <cell r="C1719">
            <v>0</v>
          </cell>
          <cell r="D1719">
            <v>0</v>
          </cell>
          <cell r="E1719" t="e">
            <v>#VALUE!</v>
          </cell>
          <cell r="F1719">
            <v>-45.21133344467372</v>
          </cell>
        </row>
        <row r="1720">
          <cell r="A1720" t="str">
            <v>SVALAR2A</v>
          </cell>
          <cell r="B1720">
            <v>0.16883856748064904</v>
          </cell>
          <cell r="C1720">
            <v>0</v>
          </cell>
          <cell r="D1720">
            <v>0</v>
          </cell>
          <cell r="E1720" t="e">
            <v>#VALUE!</v>
          </cell>
          <cell r="F1720">
            <v>-1.7681136980448684</v>
          </cell>
        </row>
        <row r="1721">
          <cell r="A1721" t="str">
            <v>SVALAR7A</v>
          </cell>
          <cell r="B1721">
            <v>3.782102815419027</v>
          </cell>
          <cell r="C1721">
            <v>0</v>
          </cell>
          <cell r="D1721">
            <v>0</v>
          </cell>
          <cell r="E1721" t="e">
            <v>#VALUE!</v>
          </cell>
          <cell r="F1721">
            <v>0</v>
          </cell>
        </row>
        <row r="1722">
          <cell r="A1722" t="str">
            <v>SVALBPTA</v>
          </cell>
          <cell r="B1722">
            <v>4.1709787212006031</v>
          </cell>
          <cell r="C1722">
            <v>0</v>
          </cell>
          <cell r="D1722">
            <v>0</v>
          </cell>
          <cell r="E1722" t="e">
            <v>#VALUE!</v>
          </cell>
          <cell r="F1722">
            <v>0</v>
          </cell>
        </row>
        <row r="1723">
          <cell r="A1723" t="str">
            <v>SVALPG2A</v>
          </cell>
          <cell r="B1723">
            <v>0</v>
          </cell>
          <cell r="C1723">
            <v>0</v>
          </cell>
          <cell r="D1723">
            <v>0</v>
          </cell>
          <cell r="E1723" t="e">
            <v>#VALUE!</v>
          </cell>
          <cell r="F1723">
            <v>-119.06100990608947</v>
          </cell>
        </row>
        <row r="1724">
          <cell r="A1724" t="str">
            <v>SREFRFTA</v>
          </cell>
          <cell r="B1724">
            <v>1.0738739121450136</v>
          </cell>
          <cell r="C1724">
            <v>0</v>
          </cell>
          <cell r="D1724">
            <v>0</v>
          </cell>
          <cell r="E1724" t="e">
            <v>#VALUE!</v>
          </cell>
          <cell r="F1724">
            <v>0</v>
          </cell>
        </row>
        <row r="1725">
          <cell r="A1725" t="str">
            <v>SREFN63A</v>
          </cell>
          <cell r="B1725">
            <v>-1.4617643433890931E-3</v>
          </cell>
          <cell r="C1725">
            <v>0</v>
          </cell>
          <cell r="D1725" t="e">
            <v>#VALUE!</v>
          </cell>
          <cell r="E1725" t="e">
            <v>#VALUE!</v>
          </cell>
          <cell r="F1725">
            <v>0</v>
          </cell>
        </row>
        <row r="1726">
          <cell r="A1726" t="str">
            <v>SREFN73A</v>
          </cell>
          <cell r="B1726">
            <v>-1.0287322042739555E-2</v>
          </cell>
          <cell r="C1726">
            <v>0</v>
          </cell>
          <cell r="D1726" t="e">
            <v>#VALUE!</v>
          </cell>
          <cell r="E1726" t="e">
            <v>#VALUE!</v>
          </cell>
          <cell r="F1726">
            <v>0</v>
          </cell>
        </row>
        <row r="1727">
          <cell r="A1727" t="str">
            <v>SREFN83A</v>
          </cell>
          <cell r="B1727">
            <v>-0.87928507732201933</v>
          </cell>
          <cell r="C1727">
            <v>0</v>
          </cell>
          <cell r="D1727" t="e">
            <v>#VALUE!</v>
          </cell>
          <cell r="E1727" t="e">
            <v>#VALUE!</v>
          </cell>
          <cell r="F1727">
            <v>0</v>
          </cell>
        </row>
        <row r="1728">
          <cell r="A1728" t="str">
            <v>SREFN93A</v>
          </cell>
          <cell r="B1728">
            <v>0.63358350110380612</v>
          </cell>
          <cell r="C1728">
            <v>0</v>
          </cell>
          <cell r="D1728" t="e">
            <v>#VALUE!</v>
          </cell>
          <cell r="E1728" t="e">
            <v>#VALUE!</v>
          </cell>
          <cell r="F1728">
            <v>0</v>
          </cell>
        </row>
        <row r="1729">
          <cell r="A1729" t="str">
            <v>SREFARTA</v>
          </cell>
          <cell r="B1729">
            <v>-1.1899199131416949</v>
          </cell>
          <cell r="C1729">
            <v>0</v>
          </cell>
          <cell r="D1729" t="e">
            <v>#VALUE!</v>
          </cell>
          <cell r="E1729" t="e">
            <v>#VALUE!</v>
          </cell>
          <cell r="F1729">
            <v>0</v>
          </cell>
        </row>
        <row r="1730">
          <cell r="A1730" t="str">
            <v>SREFRF3A</v>
          </cell>
          <cell r="B1730">
            <v>1.0738739121450136</v>
          </cell>
          <cell r="C1730">
            <v>0</v>
          </cell>
          <cell r="D1730" t="e">
            <v>#VALUE!</v>
          </cell>
          <cell r="E1730" t="e">
            <v>#VALUE!</v>
          </cell>
          <cell r="F1730">
            <v>0</v>
          </cell>
        </row>
        <row r="1731">
          <cell r="A1731" t="str">
            <v>SREFBP3A</v>
          </cell>
          <cell r="B1731">
            <v>1.4234996717270108</v>
          </cell>
          <cell r="C1731">
            <v>0</v>
          </cell>
          <cell r="D1731" t="e">
            <v>#VALUE!</v>
          </cell>
          <cell r="E1731" t="e">
            <v>#VALUE!</v>
          </cell>
          <cell r="F1731">
            <v>0</v>
          </cell>
        </row>
        <row r="1732">
          <cell r="A1732" t="str">
            <v>SHTPPESA</v>
          </cell>
          <cell r="B1732">
            <v>0.25805753289836725</v>
          </cell>
          <cell r="C1732">
            <v>0</v>
          </cell>
          <cell r="D1732" t="e">
            <v>#VALUE!</v>
          </cell>
          <cell r="E1732" t="e">
            <v>#VALUE!</v>
          </cell>
          <cell r="F1732">
            <v>-0.40383337817779957</v>
          </cell>
        </row>
        <row r="1733">
          <cell r="A1733" t="str">
            <v>SHTPLCRA</v>
          </cell>
          <cell r="B1733">
            <v>0.10452198386192321</v>
          </cell>
          <cell r="C1733">
            <v>0</v>
          </cell>
          <cell r="D1733" t="e">
            <v>#VALUE!</v>
          </cell>
          <cell r="E1733" t="e">
            <v>#VALUE!</v>
          </cell>
          <cell r="F1733">
            <v>-0.33736583957933397</v>
          </cell>
        </row>
        <row r="1734">
          <cell r="A1734" t="str">
            <v>SHTPLKLA</v>
          </cell>
          <cell r="B1734">
            <v>0.10914028842155248</v>
          </cell>
          <cell r="C1734">
            <v>0</v>
          </cell>
          <cell r="D1734">
            <v>0</v>
          </cell>
          <cell r="E1734" t="e">
            <v>#VALUE!</v>
          </cell>
          <cell r="F1734">
            <v>-1.0309704623810232</v>
          </cell>
        </row>
        <row r="1735">
          <cell r="A1735" t="str">
            <v>SHTPWN1A</v>
          </cell>
          <cell r="B1735">
            <v>0</v>
          </cell>
          <cell r="C1735">
            <v>0</v>
          </cell>
          <cell r="D1735">
            <v>0</v>
          </cell>
          <cell r="E1735" t="e">
            <v>#VALUE!</v>
          </cell>
          <cell r="F1735">
            <v>-28.309157081499492</v>
          </cell>
        </row>
        <row r="1736">
          <cell r="A1736" t="str">
            <v>SHTPWN3A</v>
          </cell>
          <cell r="B1736">
            <v>0</v>
          </cell>
          <cell r="C1736">
            <v>0</v>
          </cell>
          <cell r="D1736">
            <v>0</v>
          </cell>
          <cell r="E1736" t="e">
            <v>#VALUE!</v>
          </cell>
          <cell r="F1736">
            <v>-41.679754502805942</v>
          </cell>
        </row>
        <row r="1737">
          <cell r="A1737" t="str">
            <v>SHTPWN4A</v>
          </cell>
          <cell r="B1737">
            <v>0</v>
          </cell>
          <cell r="C1737">
            <v>0</v>
          </cell>
          <cell r="D1737">
            <v>0</v>
          </cell>
          <cell r="E1737">
            <v>0</v>
          </cell>
          <cell r="F1737">
            <v>-46.838588996782697</v>
          </cell>
        </row>
        <row r="1738">
          <cell r="A1738" t="str">
            <v>SHTPPN1A</v>
          </cell>
          <cell r="B1738">
            <v>-1.100690885468011E-13</v>
          </cell>
          <cell r="C1738">
            <v>0</v>
          </cell>
          <cell r="D1738">
            <v>0</v>
          </cell>
          <cell r="E1738" t="e">
            <v>#VALUE!</v>
          </cell>
          <cell r="F1738">
            <v>0</v>
          </cell>
        </row>
        <row r="1739">
          <cell r="A1739" t="str">
            <v>SHTPPN3A</v>
          </cell>
          <cell r="B1739">
            <v>0.20249901882385554</v>
          </cell>
          <cell r="C1739">
            <v>0</v>
          </cell>
          <cell r="D1739">
            <v>0</v>
          </cell>
          <cell r="E1739" t="e">
            <v>#VALUE!</v>
          </cell>
          <cell r="F1739">
            <v>0</v>
          </cell>
        </row>
        <row r="1740">
          <cell r="A1740" t="str">
            <v>SHTPPN4A</v>
          </cell>
          <cell r="B1740">
            <v>0</v>
          </cell>
          <cell r="C1740">
            <v>0</v>
          </cell>
          <cell r="D1740">
            <v>0</v>
          </cell>
          <cell r="E1740">
            <v>0</v>
          </cell>
          <cell r="F1740">
            <v>-22.072939470369523</v>
          </cell>
        </row>
        <row r="1741">
          <cell r="A1741" t="str">
            <v>SHTPDCNA</v>
          </cell>
          <cell r="B1741">
            <v>0.29127297715781486</v>
          </cell>
          <cell r="C1741">
            <v>0</v>
          </cell>
          <cell r="D1741">
            <v>0</v>
          </cell>
          <cell r="E1741" t="e">
            <v>#VALUE!</v>
          </cell>
          <cell r="F1741">
            <v>0</v>
          </cell>
        </row>
        <row r="1742">
          <cell r="A1742" t="str">
            <v>SHTPDKNA</v>
          </cell>
          <cell r="B1742">
            <v>0.43845874054791178</v>
          </cell>
          <cell r="C1742">
            <v>0</v>
          </cell>
          <cell r="D1742">
            <v>0</v>
          </cell>
          <cell r="E1742" t="e">
            <v>#VALUE!</v>
          </cell>
          <cell r="F1742">
            <v>0</v>
          </cell>
        </row>
        <row r="1743">
          <cell r="A1743" t="str">
            <v>SHTPTCHA</v>
          </cell>
          <cell r="B1743">
            <v>1.9210492339852739E-2</v>
          </cell>
          <cell r="C1743">
            <v>0</v>
          </cell>
          <cell r="D1743">
            <v>0</v>
          </cell>
          <cell r="E1743" t="e">
            <v>#VALUE!</v>
          </cell>
          <cell r="F1743">
            <v>0</v>
          </cell>
        </row>
        <row r="1744">
          <cell r="A1744" t="str">
            <v>SHTPBNPA</v>
          </cell>
          <cell r="B1744">
            <v>0</v>
          </cell>
          <cell r="C1744">
            <v>0</v>
          </cell>
          <cell r="D1744">
            <v>0</v>
          </cell>
          <cell r="E1744" t="e">
            <v>#VALUE!</v>
          </cell>
          <cell r="F1744">
            <v>-13.788239832446999</v>
          </cell>
        </row>
        <row r="1745">
          <cell r="A1745" t="str">
            <v>SHTPNPCA</v>
          </cell>
          <cell r="B1745">
            <v>0</v>
          </cell>
          <cell r="C1745">
            <v>0</v>
          </cell>
          <cell r="D1745">
            <v>0</v>
          </cell>
          <cell r="E1745" t="e">
            <v>#VALUE!</v>
          </cell>
          <cell r="F1745">
            <v>-13.821080810729772</v>
          </cell>
        </row>
        <row r="1746">
          <cell r="A1746" t="str">
            <v>SHTPFHTA</v>
          </cell>
          <cell r="B1746">
            <v>1.1651034903852906</v>
          </cell>
          <cell r="C1746">
            <v>0</v>
          </cell>
          <cell r="D1746">
            <v>0</v>
          </cell>
          <cell r="E1746" t="e">
            <v>#VALUE!</v>
          </cell>
          <cell r="F1746">
            <v>0</v>
          </cell>
        </row>
        <row r="1747">
          <cell r="A1747" t="str">
            <v>SHTPLM1A</v>
          </cell>
          <cell r="B1747">
            <v>0</v>
          </cell>
          <cell r="C1747">
            <v>0</v>
          </cell>
          <cell r="D1747">
            <v>0</v>
          </cell>
          <cell r="E1747" t="e">
            <v>#VALUE!</v>
          </cell>
          <cell r="F1747">
            <v>0</v>
          </cell>
        </row>
        <row r="1748">
          <cell r="A1748" t="str">
            <v>SHTPPA1A</v>
          </cell>
          <cell r="B1748">
            <v>-3.6844880029394212E-13</v>
          </cell>
          <cell r="C1748">
            <v>0</v>
          </cell>
          <cell r="D1748">
            <v>0</v>
          </cell>
          <cell r="E1748" t="e">
            <v>#VALUE!</v>
          </cell>
          <cell r="F1748">
            <v>0</v>
          </cell>
        </row>
        <row r="1749">
          <cell r="A1749" t="str">
            <v>SHTPPB1A</v>
          </cell>
          <cell r="B1749">
            <v>-6.0937246081045065E-13</v>
          </cell>
          <cell r="C1749">
            <v>0</v>
          </cell>
          <cell r="D1749">
            <v>0</v>
          </cell>
          <cell r="E1749" t="e">
            <v>#VALUE!</v>
          </cell>
          <cell r="F1749">
            <v>0</v>
          </cell>
        </row>
        <row r="1750">
          <cell r="A1750" t="str">
            <v>SHTPPP1A</v>
          </cell>
          <cell r="B1750">
            <v>8.5145287444728534E-13</v>
          </cell>
          <cell r="C1750">
            <v>0</v>
          </cell>
          <cell r="D1750">
            <v>0</v>
          </cell>
          <cell r="E1750" t="e">
            <v>#VALUE!</v>
          </cell>
          <cell r="F1750">
            <v>0</v>
          </cell>
        </row>
        <row r="1751">
          <cell r="A1751" t="str">
            <v>SHTPLM2A</v>
          </cell>
          <cell r="B1751">
            <v>0</v>
          </cell>
          <cell r="C1751">
            <v>0</v>
          </cell>
          <cell r="D1751">
            <v>0</v>
          </cell>
          <cell r="E1751" t="e">
            <v>#VALUE!</v>
          </cell>
          <cell r="F1751">
            <v>0</v>
          </cell>
        </row>
        <row r="1752">
          <cell r="A1752" t="str">
            <v>SHTPPA2A</v>
          </cell>
          <cell r="B1752">
            <v>0</v>
          </cell>
          <cell r="C1752">
            <v>0</v>
          </cell>
          <cell r="D1752">
            <v>0</v>
          </cell>
          <cell r="E1752" t="e">
            <v>#VALUE!</v>
          </cell>
          <cell r="F1752">
            <v>0</v>
          </cell>
        </row>
        <row r="1753">
          <cell r="A1753" t="str">
            <v>SHTPPB2A</v>
          </cell>
          <cell r="B1753">
            <v>0</v>
          </cell>
          <cell r="C1753">
            <v>0</v>
          </cell>
          <cell r="D1753">
            <v>0</v>
          </cell>
          <cell r="E1753" t="e">
            <v>#VALUE!</v>
          </cell>
          <cell r="F1753">
            <v>0</v>
          </cell>
        </row>
        <row r="1754">
          <cell r="A1754" t="str">
            <v>SHTPPP2A</v>
          </cell>
          <cell r="B1754">
            <v>0</v>
          </cell>
          <cell r="C1754">
            <v>0</v>
          </cell>
          <cell r="D1754">
            <v>0</v>
          </cell>
          <cell r="E1754" t="e">
            <v>#VALUE!</v>
          </cell>
          <cell r="F1754">
            <v>0</v>
          </cell>
        </row>
        <row r="1755">
          <cell r="A1755" t="str">
            <v>SHTPLM3A</v>
          </cell>
          <cell r="B1755">
            <v>0</v>
          </cell>
          <cell r="C1755">
            <v>0</v>
          </cell>
          <cell r="D1755">
            <v>0</v>
          </cell>
          <cell r="E1755" t="e">
            <v>#VALUE!</v>
          </cell>
          <cell r="F1755">
            <v>0</v>
          </cell>
        </row>
        <row r="1756">
          <cell r="A1756" t="str">
            <v>SHTPPA3A</v>
          </cell>
          <cell r="B1756">
            <v>9.9320340962850889E-2</v>
          </cell>
          <cell r="C1756">
            <v>0</v>
          </cell>
          <cell r="D1756">
            <v>0</v>
          </cell>
          <cell r="E1756" t="e">
            <v>#VALUE!</v>
          </cell>
          <cell r="F1756">
            <v>0</v>
          </cell>
        </row>
        <row r="1757">
          <cell r="A1757" t="str">
            <v>SHTPPB3A</v>
          </cell>
          <cell r="B1757">
            <v>0.10134305476325832</v>
          </cell>
          <cell r="C1757">
            <v>0</v>
          </cell>
          <cell r="D1757">
            <v>0</v>
          </cell>
          <cell r="E1757" t="e">
            <v>#VALUE!</v>
          </cell>
          <cell r="F1757">
            <v>0</v>
          </cell>
        </row>
        <row r="1758">
          <cell r="A1758" t="str">
            <v>SHTPPP3A</v>
          </cell>
          <cell r="B1758">
            <v>1.8356202041877E-3</v>
          </cell>
          <cell r="C1758">
            <v>0</v>
          </cell>
          <cell r="D1758">
            <v>0</v>
          </cell>
          <cell r="E1758" t="e">
            <v>#VALUE!</v>
          </cell>
          <cell r="F1758">
            <v>0</v>
          </cell>
        </row>
        <row r="1759">
          <cell r="A1759" t="str">
            <v>SHTPLM4A</v>
          </cell>
          <cell r="B1759">
            <v>0</v>
          </cell>
          <cell r="C1759">
            <v>0</v>
          </cell>
          <cell r="D1759">
            <v>0</v>
          </cell>
          <cell r="E1759" t="e">
            <v>#VALUE!</v>
          </cell>
          <cell r="F1759">
            <v>0</v>
          </cell>
        </row>
        <row r="1760">
          <cell r="A1760" t="str">
            <v>SHTPPA4A</v>
          </cell>
          <cell r="B1760">
            <v>0</v>
          </cell>
          <cell r="C1760">
            <v>0</v>
          </cell>
          <cell r="D1760">
            <v>0</v>
          </cell>
          <cell r="E1760" t="e">
            <v>#VALUE!</v>
          </cell>
          <cell r="F1760">
            <v>0</v>
          </cell>
        </row>
        <row r="1761">
          <cell r="A1761" t="str">
            <v>SHTPPB4A</v>
          </cell>
          <cell r="B1761">
            <v>0</v>
          </cell>
          <cell r="C1761">
            <v>0</v>
          </cell>
          <cell r="D1761">
            <v>0</v>
          </cell>
          <cell r="E1761" t="e">
            <v>#VALUE!</v>
          </cell>
          <cell r="F1761">
            <v>0</v>
          </cell>
        </row>
        <row r="1762">
          <cell r="A1762" t="str">
            <v>SHTPPP4A</v>
          </cell>
          <cell r="B1762">
            <v>0</v>
          </cell>
          <cell r="C1762">
            <v>0</v>
          </cell>
          <cell r="D1762">
            <v>0</v>
          </cell>
          <cell r="E1762" t="e">
            <v>#VALUE!</v>
          </cell>
          <cell r="F1762">
            <v>0</v>
          </cell>
        </row>
        <row r="1763">
          <cell r="A1763" t="str">
            <v>SHTPL1RA</v>
          </cell>
          <cell r="B1763">
            <v>7.3165390589465834E-2</v>
          </cell>
          <cell r="C1763">
            <v>0</v>
          </cell>
          <cell r="D1763">
            <v>0</v>
          </cell>
          <cell r="E1763" t="e">
            <v>#VALUE!</v>
          </cell>
          <cell r="F1763">
            <v>0</v>
          </cell>
        </row>
        <row r="1764">
          <cell r="A1764" t="str">
            <v>SHTPL2RA</v>
          </cell>
          <cell r="B1764">
            <v>3.1356594691129579E-2</v>
          </cell>
          <cell r="C1764">
            <v>0</v>
          </cell>
          <cell r="D1764">
            <v>0</v>
          </cell>
          <cell r="E1764" t="e">
            <v>#VALUE!</v>
          </cell>
          <cell r="F1764">
            <v>0</v>
          </cell>
        </row>
        <row r="1765">
          <cell r="A1765" t="str">
            <v>SHTPL3RA</v>
          </cell>
          <cell r="B1765">
            <v>0</v>
          </cell>
          <cell r="C1765">
            <v>0</v>
          </cell>
          <cell r="D1765">
            <v>0</v>
          </cell>
          <cell r="E1765" t="e">
            <v>#VALUE!</v>
          </cell>
          <cell r="F1765">
            <v>0</v>
          </cell>
        </row>
        <row r="1766">
          <cell r="A1766" t="str">
            <v>SHTPL4RA</v>
          </cell>
          <cell r="B1766">
            <v>0</v>
          </cell>
          <cell r="C1766">
            <v>0</v>
          </cell>
          <cell r="D1766">
            <v>0</v>
          </cell>
          <cell r="E1766" t="e">
            <v>#VALUE!</v>
          </cell>
          <cell r="F1766">
            <v>0</v>
          </cell>
        </row>
        <row r="1767">
          <cell r="A1767" t="str">
            <v>SHTPDCLA</v>
          </cell>
          <cell r="B1767">
            <v>0.13025436391160913</v>
          </cell>
          <cell r="C1767">
            <v>0</v>
          </cell>
          <cell r="D1767">
            <v>0</v>
          </cell>
          <cell r="E1767" t="e">
            <v>#VALUE!</v>
          </cell>
          <cell r="F1767">
            <v>0</v>
          </cell>
        </row>
        <row r="1768">
          <cell r="A1768" t="str">
            <v>SHTPDCAA</v>
          </cell>
          <cell r="B1768">
            <v>4.1058712932344983E-2</v>
          </cell>
          <cell r="C1768">
            <v>0</v>
          </cell>
          <cell r="D1768">
            <v>0</v>
          </cell>
          <cell r="E1768" t="e">
            <v>#VALUE!</v>
          </cell>
          <cell r="F1768">
            <v>0</v>
          </cell>
        </row>
        <row r="1769">
          <cell r="A1769" t="str">
            <v>SHTPDCBA</v>
          </cell>
          <cell r="B1769">
            <v>7.4296746249884776E-2</v>
          </cell>
          <cell r="C1769">
            <v>0</v>
          </cell>
          <cell r="D1769">
            <v>0</v>
          </cell>
          <cell r="E1769" t="e">
            <v>#VALUE!</v>
          </cell>
          <cell r="F1769">
            <v>0</v>
          </cell>
        </row>
        <row r="1770">
          <cell r="A1770" t="str">
            <v>SHTPDCPA</v>
          </cell>
          <cell r="B1770">
            <v>4.5663156840082715E-2</v>
          </cell>
          <cell r="C1770">
            <v>0</v>
          </cell>
          <cell r="D1770">
            <v>0</v>
          </cell>
          <cell r="E1770" t="e">
            <v>#VALUE!</v>
          </cell>
          <cell r="F1770">
            <v>0</v>
          </cell>
        </row>
        <row r="1771">
          <cell r="A1771" t="str">
            <v>SHTPDKLA</v>
          </cell>
          <cell r="B1771">
            <v>0.18160435230764624</v>
          </cell>
          <cell r="C1771">
            <v>0</v>
          </cell>
          <cell r="D1771">
            <v>0</v>
          </cell>
          <cell r="E1771" t="e">
            <v>#VALUE!</v>
          </cell>
          <cell r="F1771">
            <v>0</v>
          </cell>
        </row>
        <row r="1772">
          <cell r="A1772" t="str">
            <v>SHTPDKAA</v>
          </cell>
          <cell r="B1772">
            <v>5.28772477417776E-2</v>
          </cell>
          <cell r="C1772">
            <v>0</v>
          </cell>
          <cell r="D1772">
            <v>0</v>
          </cell>
          <cell r="E1772" t="e">
            <v>#VALUE!</v>
          </cell>
          <cell r="F1772">
            <v>0</v>
          </cell>
        </row>
        <row r="1773">
          <cell r="A1773" t="str">
            <v>SHTPDKBA</v>
          </cell>
          <cell r="B1773">
            <v>7.5908170875212913E-2</v>
          </cell>
          <cell r="C1773">
            <v>0</v>
          </cell>
          <cell r="D1773">
            <v>0</v>
          </cell>
          <cell r="E1773" t="e">
            <v>#VALUE!</v>
          </cell>
          <cell r="F1773">
            <v>0</v>
          </cell>
        </row>
        <row r="1774">
          <cell r="A1774" t="str">
            <v>SHTPDKPA</v>
          </cell>
          <cell r="B1774">
            <v>0.12806897614508458</v>
          </cell>
          <cell r="C1774">
            <v>0</v>
          </cell>
          <cell r="D1774">
            <v>0</v>
          </cell>
          <cell r="E1774" t="e">
            <v>#VALUE!</v>
          </cell>
          <cell r="F1774">
            <v>0</v>
          </cell>
        </row>
        <row r="1775">
          <cell r="A1775" t="str">
            <v>SHTPTCLA</v>
          </cell>
          <cell r="B1775">
            <v>0</v>
          </cell>
          <cell r="C1775">
            <v>0</v>
          </cell>
          <cell r="D1775">
            <v>0</v>
          </cell>
          <cell r="E1775" t="e">
            <v>#VALUE!</v>
          </cell>
          <cell r="F1775">
            <v>0</v>
          </cell>
        </row>
        <row r="1776">
          <cell r="A1776" t="str">
            <v>SHTPTCAA</v>
          </cell>
          <cell r="B1776">
            <v>0</v>
          </cell>
          <cell r="C1776">
            <v>0</v>
          </cell>
          <cell r="D1776">
            <v>0</v>
          </cell>
          <cell r="E1776" t="e">
            <v>#VALUE!</v>
          </cell>
          <cell r="F1776">
            <v>0</v>
          </cell>
        </row>
        <row r="1777">
          <cell r="A1777" t="str">
            <v>SHTPTCBA</v>
          </cell>
          <cell r="B1777">
            <v>0</v>
          </cell>
          <cell r="C1777">
            <v>0</v>
          </cell>
          <cell r="D1777">
            <v>0</v>
          </cell>
          <cell r="E1777" t="e">
            <v>#VALUE!</v>
          </cell>
          <cell r="F1777">
            <v>0</v>
          </cell>
        </row>
        <row r="1778">
          <cell r="A1778" t="str">
            <v>SHTPTCPA</v>
          </cell>
          <cell r="B1778">
            <v>1.9210492339852739E-2</v>
          </cell>
          <cell r="C1778">
            <v>0</v>
          </cell>
          <cell r="D1778">
            <v>0</v>
          </cell>
          <cell r="E1778" t="e">
            <v>#VALUE!</v>
          </cell>
          <cell r="F1778">
            <v>0</v>
          </cell>
        </row>
        <row r="1779">
          <cell r="A1779" t="str">
            <v>SHTPPBNA</v>
          </cell>
          <cell r="B1779">
            <v>0</v>
          </cell>
          <cell r="C1779">
            <v>0</v>
          </cell>
          <cell r="D1779">
            <v>0</v>
          </cell>
          <cell r="E1779" t="e">
            <v>#VALUE!</v>
          </cell>
          <cell r="F1779">
            <v>0</v>
          </cell>
        </row>
        <row r="1780">
          <cell r="A1780" t="str">
            <v>SHTPNPPA</v>
          </cell>
          <cell r="B1780">
            <v>0</v>
          </cell>
          <cell r="C1780">
            <v>0</v>
          </cell>
          <cell r="D1780">
            <v>0</v>
          </cell>
          <cell r="E1780" t="e">
            <v>#VALUE!</v>
          </cell>
          <cell r="F1780">
            <v>0</v>
          </cell>
        </row>
        <row r="1781">
          <cell r="A1781" t="str">
            <v>SHTPHTLA</v>
          </cell>
          <cell r="B1781">
            <v>0.38502411572900536</v>
          </cell>
          <cell r="C1781">
            <v>0</v>
          </cell>
          <cell r="D1781">
            <v>0</v>
          </cell>
          <cell r="E1781" t="e">
            <v>#VALUE!</v>
          </cell>
          <cell r="F1781">
            <v>0</v>
          </cell>
        </row>
        <row r="1782">
          <cell r="A1782" t="str">
            <v>SHTPRFAA</v>
          </cell>
          <cell r="B1782">
            <v>0.22461289983906157</v>
          </cell>
          <cell r="C1782">
            <v>0</v>
          </cell>
          <cell r="D1782">
            <v>0</v>
          </cell>
          <cell r="E1782" t="e">
            <v>#VALUE!</v>
          </cell>
          <cell r="F1782">
            <v>0</v>
          </cell>
        </row>
        <row r="1783">
          <cell r="A1783" t="str">
            <v>SHTPRFBA</v>
          </cell>
          <cell r="B1783">
            <v>0.25154796912245553</v>
          </cell>
          <cell r="C1783">
            <v>0</v>
          </cell>
          <cell r="D1783">
            <v>0</v>
          </cell>
          <cell r="E1783" t="e">
            <v>#VALUE!</v>
          </cell>
          <cell r="F1783">
            <v>0</v>
          </cell>
        </row>
        <row r="1784">
          <cell r="A1784" t="str">
            <v>SHTPPFRA</v>
          </cell>
          <cell r="B1784">
            <v>0.30391853165953125</v>
          </cell>
          <cell r="C1784">
            <v>0</v>
          </cell>
          <cell r="D1784">
            <v>0</v>
          </cell>
          <cell r="E1784" t="e">
            <v>#VALUE!</v>
          </cell>
          <cell r="F1784">
            <v>0</v>
          </cell>
        </row>
        <row r="1785">
          <cell r="A1785" t="str">
            <v>SHTPTOTA</v>
          </cell>
          <cell r="B1785">
            <v>1.4231610304688753</v>
          </cell>
          <cell r="C1785">
            <v>0</v>
          </cell>
          <cell r="D1785">
            <v>0</v>
          </cell>
          <cell r="E1785" t="e">
            <v>#VALUE!</v>
          </cell>
          <cell r="F1785">
            <v>0</v>
          </cell>
        </row>
        <row r="1786">
          <cell r="A1786" t="str">
            <v>SHTPTO1A</v>
          </cell>
          <cell r="B1786">
            <v>-1.2636836039676539E-13</v>
          </cell>
          <cell r="C1786">
            <v>0</v>
          </cell>
          <cell r="D1786">
            <v>0</v>
          </cell>
          <cell r="E1786" t="e">
            <v>#VALUE!</v>
          </cell>
          <cell r="F1786">
            <v>0</v>
          </cell>
        </row>
        <row r="1787">
          <cell r="A1787" t="str">
            <v>SHTPTO2A</v>
          </cell>
          <cell r="B1787">
            <v>0</v>
          </cell>
          <cell r="C1787">
            <v>0</v>
          </cell>
          <cell r="D1787">
            <v>0</v>
          </cell>
          <cell r="E1787" t="e">
            <v>#VALUE!</v>
          </cell>
          <cell r="F1787">
            <v>0</v>
          </cell>
        </row>
        <row r="1788">
          <cell r="A1788" t="str">
            <v>SHTPTO3A</v>
          </cell>
          <cell r="B1788">
            <v>0.20249901882385554</v>
          </cell>
          <cell r="C1788">
            <v>0</v>
          </cell>
          <cell r="D1788">
            <v>0</v>
          </cell>
          <cell r="E1788" t="e">
            <v>#VALUE!</v>
          </cell>
          <cell r="F1788">
            <v>0</v>
          </cell>
        </row>
        <row r="1789">
          <cell r="A1789" t="str">
            <v>SHTPTO4A</v>
          </cell>
          <cell r="B1789">
            <v>0</v>
          </cell>
          <cell r="C1789">
            <v>0</v>
          </cell>
          <cell r="D1789">
            <v>0</v>
          </cell>
          <cell r="E1789" t="e">
            <v>#VALUE!</v>
          </cell>
          <cell r="F1789">
            <v>0</v>
          </cell>
        </row>
        <row r="1790">
          <cell r="A1790" t="str">
            <v>SHTPTO5A</v>
          </cell>
          <cell r="B1790">
            <v>0</v>
          </cell>
          <cell r="C1790">
            <v>0</v>
          </cell>
          <cell r="D1790">
            <v>0</v>
          </cell>
          <cell r="E1790" t="e">
            <v>#VALUE!</v>
          </cell>
          <cell r="F1790">
            <v>0</v>
          </cell>
        </row>
        <row r="1791">
          <cell r="A1791" t="str">
            <v>SHTPTO6A</v>
          </cell>
          <cell r="B1791">
            <v>0</v>
          </cell>
          <cell r="C1791">
            <v>0</v>
          </cell>
          <cell r="D1791">
            <v>0</v>
          </cell>
          <cell r="E1791" t="e">
            <v>#VALUE!</v>
          </cell>
          <cell r="F1791">
            <v>0</v>
          </cell>
        </row>
        <row r="1792">
          <cell r="A1792" t="str">
            <v>SHTPTO7A</v>
          </cell>
          <cell r="B1792">
            <v>0</v>
          </cell>
          <cell r="C1792">
            <v>0</v>
          </cell>
          <cell r="D1792">
            <v>0</v>
          </cell>
          <cell r="E1792" t="e">
            <v>#VALUE!</v>
          </cell>
          <cell r="F1792">
            <v>0</v>
          </cell>
        </row>
        <row r="1793">
          <cell r="A1793" t="str">
            <v>SHTPBPTA</v>
          </cell>
          <cell r="B1793">
            <v>1.8652637951994595</v>
          </cell>
          <cell r="C1793">
            <v>0</v>
          </cell>
          <cell r="D1793">
            <v>0</v>
          </cell>
          <cell r="E1793" t="e">
            <v>#VALUE!</v>
          </cell>
          <cell r="F1793">
            <v>0</v>
          </cell>
        </row>
        <row r="1794">
          <cell r="A1794" t="str">
            <v>SHTPnT4A</v>
          </cell>
          <cell r="B1794">
            <v>-1.100690885468011E-13</v>
          </cell>
          <cell r="C1794">
            <v>0</v>
          </cell>
          <cell r="D1794">
            <v>0</v>
          </cell>
          <cell r="E1794" t="e">
            <v>#VALUE!</v>
          </cell>
          <cell r="F1794">
            <v>-4.8538581116558754</v>
          </cell>
        </row>
        <row r="1795">
          <cell r="A1795" t="str">
            <v>SHTPx01A</v>
          </cell>
          <cell r="B1795">
            <v>0</v>
          </cell>
          <cell r="C1795">
            <v>0</v>
          </cell>
          <cell r="D1795">
            <v>0</v>
          </cell>
          <cell r="E1795" t="e">
            <v>#VALUE!</v>
          </cell>
          <cell r="F1795">
            <v>-9.9713676583277042</v>
          </cell>
        </row>
        <row r="1796">
          <cell r="A1796" t="str">
            <v>SHTPx02A</v>
          </cell>
          <cell r="B1796">
            <v>0</v>
          </cell>
          <cell r="C1796">
            <v>0</v>
          </cell>
          <cell r="D1796">
            <v>0</v>
          </cell>
          <cell r="E1796" t="e">
            <v>#VALUE!</v>
          </cell>
          <cell r="F1796">
            <v>-10</v>
          </cell>
        </row>
        <row r="1797">
          <cell r="A1797" t="str">
            <v>SHTNFHTA</v>
          </cell>
          <cell r="B1797">
            <v>1.1651034903852906</v>
          </cell>
          <cell r="C1797">
            <v>0</v>
          </cell>
          <cell r="D1797">
            <v>0</v>
          </cell>
          <cell r="E1797" t="e">
            <v>#VALUE!</v>
          </cell>
          <cell r="F1797">
            <v>0</v>
          </cell>
        </row>
        <row r="1798">
          <cell r="A1798" t="str">
            <v>SHTNCA1A</v>
          </cell>
          <cell r="B1798">
            <v>1.1651034903852906</v>
          </cell>
          <cell r="C1798">
            <v>0</v>
          </cell>
          <cell r="D1798">
            <v>0</v>
          </cell>
          <cell r="E1798" t="e">
            <v>#VALUE!</v>
          </cell>
          <cell r="F1798">
            <v>0</v>
          </cell>
        </row>
        <row r="1799">
          <cell r="A1799" t="str">
            <v>SHTNCA2A</v>
          </cell>
          <cell r="B1799">
            <v>0</v>
          </cell>
          <cell r="C1799">
            <v>0</v>
          </cell>
          <cell r="D1799">
            <v>0</v>
          </cell>
          <cell r="E1799" t="e">
            <v>#VALUE!</v>
          </cell>
          <cell r="F1799">
            <v>-1.5541313654755893</v>
          </cell>
        </row>
        <row r="1800">
          <cell r="A1800" t="str">
            <v>SHTNLHTA</v>
          </cell>
          <cell r="B1800">
            <v>4.030169647646277E-2</v>
          </cell>
          <cell r="C1800">
            <v>0</v>
          </cell>
          <cell r="D1800">
            <v>0</v>
          </cell>
          <cell r="E1800" t="e">
            <v>#VALUE!</v>
          </cell>
          <cell r="F1800">
            <v>0</v>
          </cell>
        </row>
        <row r="1801">
          <cell r="A1801" t="str">
            <v>SHTNTHLA</v>
          </cell>
          <cell r="B1801">
            <v>9.0438586881715952E-2</v>
          </cell>
          <cell r="C1801">
            <v>0</v>
          </cell>
          <cell r="D1801">
            <v>0</v>
          </cell>
          <cell r="E1801" t="e">
            <v>#VALUE!</v>
          </cell>
          <cell r="F1801">
            <v>0</v>
          </cell>
        </row>
        <row r="1802">
          <cell r="A1802" t="str">
            <v>SHTNLLHA</v>
          </cell>
          <cell r="B1802">
            <v>3.3462278029485926E-2</v>
          </cell>
          <cell r="C1802">
            <v>0</v>
          </cell>
          <cell r="D1802">
            <v>0</v>
          </cell>
          <cell r="E1802" t="e">
            <v>#VALUE!</v>
          </cell>
          <cell r="F1802">
            <v>0</v>
          </cell>
        </row>
        <row r="1803">
          <cell r="A1803" t="str">
            <v>SHTNLMHA</v>
          </cell>
          <cell r="B1803">
            <v>0.29458551014939399</v>
          </cell>
          <cell r="C1803">
            <v>0</v>
          </cell>
          <cell r="D1803">
            <v>0</v>
          </cell>
          <cell r="E1803" t="e">
            <v>#VALUE!</v>
          </cell>
          <cell r="F1803">
            <v>0</v>
          </cell>
        </row>
        <row r="1804">
          <cell r="A1804" t="str">
            <v>SHTNPAHA</v>
          </cell>
          <cell r="B1804">
            <v>0.22461289983906157</v>
          </cell>
          <cell r="C1804">
            <v>0</v>
          </cell>
          <cell r="D1804">
            <v>0</v>
          </cell>
          <cell r="E1804" t="e">
            <v>#VALUE!</v>
          </cell>
          <cell r="F1804">
            <v>0</v>
          </cell>
        </row>
        <row r="1805">
          <cell r="A1805" t="str">
            <v>SHTNPBHA</v>
          </cell>
          <cell r="B1805">
            <v>0.25154796912245553</v>
          </cell>
          <cell r="C1805">
            <v>0</v>
          </cell>
          <cell r="D1805">
            <v>0</v>
          </cell>
          <cell r="E1805" t="e">
            <v>#VALUE!</v>
          </cell>
          <cell r="F1805">
            <v>0</v>
          </cell>
        </row>
        <row r="1806">
          <cell r="A1806" t="str">
            <v>SHTNPPHA</v>
          </cell>
          <cell r="B1806">
            <v>0.30391853165953125</v>
          </cell>
          <cell r="C1806">
            <v>0</v>
          </cell>
          <cell r="D1806">
            <v>0</v>
          </cell>
          <cell r="E1806" t="e">
            <v>#VALUE!</v>
          </cell>
          <cell r="F1806">
            <v>0</v>
          </cell>
        </row>
        <row r="1807">
          <cell r="A1807" t="str">
            <v>SHTNNHTA</v>
          </cell>
          <cell r="B1807">
            <v>1.1081271798643348</v>
          </cell>
          <cell r="C1807">
            <v>0</v>
          </cell>
          <cell r="D1807">
            <v>0</v>
          </cell>
          <cell r="E1807" t="e">
            <v>#VALUE!</v>
          </cell>
          <cell r="F1807">
            <v>0</v>
          </cell>
        </row>
        <row r="1808">
          <cell r="A1808" t="str">
            <v>SHTCBASA</v>
          </cell>
          <cell r="B1808">
            <v>0.87497118237900406</v>
          </cell>
          <cell r="C1808">
            <v>0</v>
          </cell>
          <cell r="D1808">
            <v>0</v>
          </cell>
          <cell r="E1808" t="e">
            <v>#VALUE!</v>
          </cell>
          <cell r="F1808">
            <v>0</v>
          </cell>
        </row>
        <row r="1809">
          <cell r="A1809" t="str">
            <v>SHTCLCWA</v>
          </cell>
          <cell r="B1809">
            <v>0.6632079129349695</v>
          </cell>
          <cell r="C1809">
            <v>0</v>
          </cell>
          <cell r="D1809">
            <v>0</v>
          </cell>
          <cell r="E1809" t="e">
            <v>#VALUE!</v>
          </cell>
          <cell r="F1809">
            <v>0</v>
          </cell>
        </row>
        <row r="1810">
          <cell r="A1810" t="str">
            <v>SHTCBNPA</v>
          </cell>
          <cell r="B1810">
            <v>8.2237445654934405E-2</v>
          </cell>
          <cell r="C1810">
            <v>0</v>
          </cell>
          <cell r="D1810">
            <v>0</v>
          </cell>
          <cell r="E1810" t="e">
            <v>#VALUE!</v>
          </cell>
          <cell r="F1810">
            <v>0</v>
          </cell>
        </row>
        <row r="1811">
          <cell r="A1811" t="str">
            <v>SHTCNPCA</v>
          </cell>
          <cell r="B1811">
            <v>0.12952581893091333</v>
          </cell>
          <cell r="C1811">
            <v>0</v>
          </cell>
          <cell r="D1811">
            <v>0</v>
          </cell>
          <cell r="E1811" t="e">
            <v>#VALUE!</v>
          </cell>
          <cell r="F1811">
            <v>0</v>
          </cell>
        </row>
        <row r="1812">
          <cell r="A1812" t="str">
            <v>SHTCBPTA</v>
          </cell>
          <cell r="B1812">
            <v>1.0341369833031746</v>
          </cell>
          <cell r="C1812">
            <v>0</v>
          </cell>
          <cell r="D1812">
            <v>0</v>
          </cell>
          <cell r="E1812" t="e">
            <v>#VALUE!</v>
          </cell>
          <cell r="F1812">
            <v>0</v>
          </cell>
        </row>
        <row r="1813">
          <cell r="A1813" t="str">
            <v>SHTGBASA</v>
          </cell>
          <cell r="B1813">
            <v>1.9210491758503325</v>
          </cell>
          <cell r="C1813">
            <v>0</v>
          </cell>
          <cell r="D1813">
            <v>0</v>
          </cell>
          <cell r="E1813" t="e">
            <v>#VALUE!</v>
          </cell>
          <cell r="F1813">
            <v>0</v>
          </cell>
        </row>
        <row r="1814">
          <cell r="A1814" t="str">
            <v>SHTGSULA</v>
          </cell>
          <cell r="B1814">
            <v>0.74926017653452204</v>
          </cell>
          <cell r="C1814">
            <v>0</v>
          </cell>
          <cell r="D1814" t="e">
            <v>#VALUE!</v>
          </cell>
          <cell r="E1814" t="e">
            <v>#VALUE!</v>
          </cell>
          <cell r="F1814">
            <v>0</v>
          </cell>
        </row>
        <row r="1815">
          <cell r="A1815" t="str">
            <v>SHTGCCDA</v>
          </cell>
          <cell r="B1815">
            <v>0</v>
          </cell>
          <cell r="C1815">
            <v>0</v>
          </cell>
          <cell r="D1815">
            <v>0</v>
          </cell>
          <cell r="E1815" t="e">
            <v>#VALUE!</v>
          </cell>
          <cell r="F1815">
            <v>-31.320470595686402</v>
          </cell>
        </row>
        <row r="1816">
          <cell r="A1816" t="str">
            <v>SHTGCFDA</v>
          </cell>
          <cell r="B1816">
            <v>0.3802564117189956</v>
          </cell>
          <cell r="C1816">
            <v>0</v>
          </cell>
          <cell r="D1816">
            <v>0</v>
          </cell>
          <cell r="E1816" t="e">
            <v>#VALUE!</v>
          </cell>
          <cell r="F1816">
            <v>0</v>
          </cell>
        </row>
        <row r="1817">
          <cell r="A1817" t="str">
            <v>SHTGBCDA</v>
          </cell>
          <cell r="B1817">
            <v>0.38816327060738653</v>
          </cell>
          <cell r="C1817">
            <v>0</v>
          </cell>
          <cell r="D1817">
            <v>0</v>
          </cell>
          <cell r="E1817" t="e">
            <v>#VALUE!</v>
          </cell>
          <cell r="F1817">
            <v>0</v>
          </cell>
        </row>
        <row r="1818">
          <cell r="A1818" t="str">
            <v>SHTGDCDA</v>
          </cell>
          <cell r="B1818">
            <v>0.60522134777617786</v>
          </cell>
          <cell r="C1818">
            <v>0</v>
          </cell>
          <cell r="D1818" t="e">
            <v>#VALUE!</v>
          </cell>
          <cell r="E1818" t="e">
            <v>#VALUE!</v>
          </cell>
          <cell r="F1818">
            <v>0</v>
          </cell>
        </row>
        <row r="1819">
          <cell r="A1819" t="str">
            <v>SHTGDKDA</v>
          </cell>
          <cell r="B1819">
            <v>0.54740817579504564</v>
          </cell>
          <cell r="C1819">
            <v>0</v>
          </cell>
          <cell r="D1819">
            <v>0</v>
          </cell>
          <cell r="E1819" t="e">
            <v>#VALUE!</v>
          </cell>
          <cell r="F1819">
            <v>0</v>
          </cell>
        </row>
        <row r="1820">
          <cell r="A1820" t="str">
            <v>SHTGPE1A</v>
          </cell>
          <cell r="B1820">
            <v>0</v>
          </cell>
          <cell r="C1820">
            <v>0</v>
          </cell>
          <cell r="D1820">
            <v>0</v>
          </cell>
          <cell r="E1820" t="e">
            <v>#VALUE!</v>
          </cell>
          <cell r="F1820">
            <v>-25.155595910059262</v>
          </cell>
        </row>
        <row r="1821">
          <cell r="A1821" t="str">
            <v>SHTGPE2A</v>
          </cell>
          <cell r="B1821">
            <v>0</v>
          </cell>
          <cell r="C1821">
            <v>0</v>
          </cell>
          <cell r="D1821">
            <v>0</v>
          </cell>
          <cell r="E1821" t="e">
            <v>#VALUE!</v>
          </cell>
          <cell r="F1821">
            <v>-14.192984081947641</v>
          </cell>
        </row>
        <row r="1822">
          <cell r="A1822" t="str">
            <v>SHTGDTFA</v>
          </cell>
          <cell r="B1822">
            <v>1.9210491758503325</v>
          </cell>
          <cell r="C1822">
            <v>0</v>
          </cell>
          <cell r="D1822">
            <v>0</v>
          </cell>
          <cell r="E1822" t="e">
            <v>#VALUE!</v>
          </cell>
          <cell r="F1822">
            <v>0</v>
          </cell>
        </row>
        <row r="1823">
          <cell r="A1823" t="str">
            <v>SHTGBPTA</v>
          </cell>
          <cell r="B1823">
            <v>2.1458319010799878</v>
          </cell>
          <cell r="C1823">
            <v>0</v>
          </cell>
          <cell r="D1823">
            <v>0</v>
          </cell>
          <cell r="E1823" t="e">
            <v>#VALUE!</v>
          </cell>
          <cell r="F1823">
            <v>0</v>
          </cell>
        </row>
        <row r="1824">
          <cell r="A1824" t="str">
            <v>SCFAAR1A</v>
          </cell>
          <cell r="B1824">
            <v>0</v>
          </cell>
          <cell r="C1824">
            <v>0</v>
          </cell>
          <cell r="D1824">
            <v>0</v>
          </cell>
          <cell r="E1824" t="e">
            <v>#VALUE!</v>
          </cell>
          <cell r="F1824">
            <v>-0.4981646999920884</v>
          </cell>
        </row>
        <row r="1825">
          <cell r="A1825" t="str">
            <v>SCFAAR2A</v>
          </cell>
          <cell r="B1825">
            <v>0.19580062280779015</v>
          </cell>
          <cell r="C1825">
            <v>0</v>
          </cell>
          <cell r="D1825">
            <v>0</v>
          </cell>
          <cell r="E1825" t="e">
            <v>#VALUE!</v>
          </cell>
          <cell r="F1825">
            <v>-0.45448453459021165</v>
          </cell>
        </row>
        <row r="1826">
          <cell r="A1826" t="str">
            <v>SCFAAR3A</v>
          </cell>
          <cell r="B1826">
            <v>0</v>
          </cell>
          <cell r="C1826">
            <v>0</v>
          </cell>
          <cell r="D1826">
            <v>0</v>
          </cell>
          <cell r="E1826" t="e">
            <v>#VALUE!</v>
          </cell>
          <cell r="F1826">
            <v>-16.893060752137067</v>
          </cell>
        </row>
        <row r="1827">
          <cell r="A1827" t="str">
            <v>SCFAAR4A</v>
          </cell>
          <cell r="B1827">
            <v>0.18802510308076256</v>
          </cell>
          <cell r="C1827">
            <v>0</v>
          </cell>
          <cell r="D1827">
            <v>0</v>
          </cell>
          <cell r="E1827" t="e">
            <v>#VALUE!</v>
          </cell>
          <cell r="F1827">
            <v>0</v>
          </cell>
        </row>
        <row r="1828">
          <cell r="A1828" t="str">
            <v>SCFAPX1A</v>
          </cell>
          <cell r="B1828">
            <v>0</v>
          </cell>
          <cell r="C1828">
            <v>0</v>
          </cell>
          <cell r="D1828">
            <v>0</v>
          </cell>
          <cell r="E1828" t="e">
            <v>#VALUE!</v>
          </cell>
          <cell r="F1828">
            <v>0</v>
          </cell>
        </row>
        <row r="1829">
          <cell r="A1829" t="str">
            <v>SCFAPX2A</v>
          </cell>
          <cell r="B1829">
            <v>0</v>
          </cell>
          <cell r="C1829">
            <v>0</v>
          </cell>
          <cell r="D1829">
            <v>0</v>
          </cell>
          <cell r="E1829" t="e">
            <v>#VALUE!</v>
          </cell>
          <cell r="F1829">
            <v>0</v>
          </cell>
        </row>
        <row r="1830">
          <cell r="A1830" t="str">
            <v>SCFAPX3A</v>
          </cell>
          <cell r="B1830">
            <v>0</v>
          </cell>
          <cell r="C1830">
            <v>0</v>
          </cell>
          <cell r="D1830">
            <v>0</v>
          </cell>
          <cell r="E1830" t="e">
            <v>#VALUE!</v>
          </cell>
          <cell r="F1830">
            <v>0</v>
          </cell>
        </row>
        <row r="1831">
          <cell r="A1831" t="str">
            <v>SCFAPX4A</v>
          </cell>
          <cell r="B1831">
            <v>0</v>
          </cell>
          <cell r="C1831">
            <v>0</v>
          </cell>
          <cell r="D1831">
            <v>0</v>
          </cell>
          <cell r="E1831" t="e">
            <v>#VALUE!</v>
          </cell>
          <cell r="F1831">
            <v>0</v>
          </cell>
        </row>
        <row r="1832">
          <cell r="A1832" t="str">
            <v>SCFAPX5A</v>
          </cell>
          <cell r="B1832">
            <v>0</v>
          </cell>
          <cell r="C1832">
            <v>0</v>
          </cell>
          <cell r="D1832">
            <v>0</v>
          </cell>
          <cell r="E1832" t="e">
            <v>#VALUE!</v>
          </cell>
          <cell r="F1832">
            <v>0</v>
          </cell>
        </row>
        <row r="1833">
          <cell r="A1833" t="str">
            <v>SCFAPY1A</v>
          </cell>
          <cell r="B1833">
            <v>4.1450019976864124E-3</v>
          </cell>
          <cell r="C1833">
            <v>0</v>
          </cell>
          <cell r="D1833">
            <v>0</v>
          </cell>
          <cell r="E1833" t="e">
            <v>#VALUE!</v>
          </cell>
          <cell r="F1833">
            <v>0</v>
          </cell>
        </row>
        <row r="1834">
          <cell r="A1834" t="str">
            <v>SCFAPY2A</v>
          </cell>
          <cell r="B1834">
            <v>3.7349915269711244E-2</v>
          </cell>
          <cell r="C1834">
            <v>0</v>
          </cell>
          <cell r="D1834">
            <v>0</v>
          </cell>
          <cell r="E1834" t="e">
            <v>#VALUE!</v>
          </cell>
          <cell r="F1834">
            <v>0</v>
          </cell>
        </row>
        <row r="1835">
          <cell r="A1835" t="str">
            <v>SCFAPY3A</v>
          </cell>
          <cell r="B1835">
            <v>1.4918269497686869E-2</v>
          </cell>
          <cell r="C1835">
            <v>0</v>
          </cell>
          <cell r="D1835">
            <v>0</v>
          </cell>
          <cell r="E1835" t="e">
            <v>#VALUE!</v>
          </cell>
          <cell r="F1835">
            <v>0</v>
          </cell>
        </row>
        <row r="1836">
          <cell r="A1836" t="str">
            <v>SCFAPY4A</v>
          </cell>
          <cell r="B1836">
            <v>5.7890156003302093E-2</v>
          </cell>
          <cell r="C1836">
            <v>0</v>
          </cell>
          <cell r="D1836">
            <v>0</v>
          </cell>
          <cell r="E1836" t="e">
            <v>#VALUE!</v>
          </cell>
          <cell r="F1836">
            <v>0</v>
          </cell>
        </row>
        <row r="1837">
          <cell r="A1837" t="str">
            <v>SCFAPY5A</v>
          </cell>
          <cell r="B1837">
            <v>1.9119188186954961E-2</v>
          </cell>
          <cell r="C1837">
            <v>0</v>
          </cell>
          <cell r="D1837">
            <v>0</v>
          </cell>
          <cell r="E1837" t="e">
            <v>#VALUE!</v>
          </cell>
          <cell r="F1837">
            <v>0</v>
          </cell>
        </row>
        <row r="1838">
          <cell r="A1838" t="str">
            <v>SCFADP1A</v>
          </cell>
          <cell r="B1838">
            <v>1.517703016735103E-4</v>
          </cell>
          <cell r="C1838">
            <v>0</v>
          </cell>
          <cell r="D1838">
            <v>0</v>
          </cell>
          <cell r="E1838" t="e">
            <v>#VALUE!</v>
          </cell>
          <cell r="F1838">
            <v>-550.13348656223241</v>
          </cell>
        </row>
        <row r="1839">
          <cell r="A1839" t="str">
            <v>SCFADP2A</v>
          </cell>
          <cell r="B1839">
            <v>8.2875113309144165E-3</v>
          </cell>
          <cell r="C1839">
            <v>0</v>
          </cell>
          <cell r="D1839">
            <v>0</v>
          </cell>
          <cell r="E1839" t="e">
            <v>#VALUE!</v>
          </cell>
          <cell r="F1839">
            <v>0</v>
          </cell>
        </row>
        <row r="1840">
          <cell r="A1840" t="str">
            <v>SCFADP3A</v>
          </cell>
          <cell r="B1840">
            <v>1.9250990682574984E-3</v>
          </cell>
          <cell r="C1840">
            <v>0</v>
          </cell>
          <cell r="D1840">
            <v>0</v>
          </cell>
          <cell r="E1840" t="e">
            <v>#VALUE!</v>
          </cell>
          <cell r="F1840">
            <v>-60.156983926851453</v>
          </cell>
        </row>
        <row r="1841">
          <cell r="A1841" t="str">
            <v>SCFADP4A</v>
          </cell>
          <cell r="B1841">
            <v>3.8590786318384008E-3</v>
          </cell>
          <cell r="C1841">
            <v>0</v>
          </cell>
          <cell r="D1841">
            <v>0</v>
          </cell>
          <cell r="E1841" t="e">
            <v>#VALUE!</v>
          </cell>
          <cell r="F1841">
            <v>-0.22973415622972462</v>
          </cell>
        </row>
        <row r="1842">
          <cell r="A1842" t="str">
            <v>SCFADP5A</v>
          </cell>
          <cell r="B1842">
            <v>7.3618701773963558E-3</v>
          </cell>
          <cell r="C1842">
            <v>0</v>
          </cell>
          <cell r="D1842">
            <v>0</v>
          </cell>
          <cell r="E1842" t="e">
            <v>#VALUE!</v>
          </cell>
          <cell r="F1842">
            <v>0</v>
          </cell>
        </row>
        <row r="1843">
          <cell r="A1843" t="str">
            <v>SCFAEXTA</v>
          </cell>
          <cell r="B1843">
            <v>0.22108003566526388</v>
          </cell>
          <cell r="C1843">
            <v>0</v>
          </cell>
          <cell r="D1843">
            <v>0</v>
          </cell>
          <cell r="E1843" t="e">
            <v>#VALUE!</v>
          </cell>
          <cell r="F1843">
            <v>0</v>
          </cell>
        </row>
        <row r="1844">
          <cell r="A1844" t="str">
            <v>SCFAEXVA</v>
          </cell>
          <cell r="B1844">
            <v>0.12973976727217845</v>
          </cell>
          <cell r="C1844">
            <v>0</v>
          </cell>
          <cell r="D1844">
            <v>0</v>
          </cell>
          <cell r="E1844" t="e">
            <v>#VALUE!</v>
          </cell>
          <cell r="F1844">
            <v>-34.841986251203984</v>
          </cell>
        </row>
        <row r="1845">
          <cell r="A1845" t="str">
            <v>SCFAV05A</v>
          </cell>
          <cell r="B1845">
            <v>0.17630215826099865</v>
          </cell>
          <cell r="C1845">
            <v>0</v>
          </cell>
          <cell r="D1845">
            <v>0</v>
          </cell>
          <cell r="E1845" t="e">
            <v>#VALUE!</v>
          </cell>
          <cell r="F1845">
            <v>-2.3754657693105203</v>
          </cell>
        </row>
        <row r="1846">
          <cell r="A1846" t="str">
            <v>SCFAV20A</v>
          </cell>
          <cell r="B1846">
            <v>7.0187796111384482E-3</v>
          </cell>
          <cell r="C1846">
            <v>0</v>
          </cell>
          <cell r="D1846">
            <v>0</v>
          </cell>
          <cell r="E1846" t="e">
            <v>#VALUE!</v>
          </cell>
          <cell r="F1846">
            <v>-36.165407071048264</v>
          </cell>
        </row>
        <row r="1847">
          <cell r="A1847" t="str">
            <v>SCFAV25A</v>
          </cell>
          <cell r="B1847">
            <v>4.2115848582901363E-2</v>
          </cell>
          <cell r="C1847">
            <v>0</v>
          </cell>
          <cell r="D1847">
            <v>0</v>
          </cell>
          <cell r="E1847" t="e">
            <v>#VALUE!</v>
          </cell>
          <cell r="F1847">
            <v>0</v>
          </cell>
        </row>
        <row r="1848">
          <cell r="A1848" t="str">
            <v>SCFAV30A</v>
          </cell>
          <cell r="B1848">
            <v>1.408239192750356E-2</v>
          </cell>
          <cell r="C1848">
            <v>0</v>
          </cell>
          <cell r="D1848">
            <v>0</v>
          </cell>
          <cell r="E1848" t="e">
            <v>#VALUE!</v>
          </cell>
          <cell r="F1848">
            <v>-34.092655296848243</v>
          </cell>
        </row>
        <row r="1849">
          <cell r="A1849" t="str">
            <v>SCFAV40A</v>
          </cell>
          <cell r="B1849">
            <v>0</v>
          </cell>
          <cell r="C1849">
            <v>0</v>
          </cell>
          <cell r="D1849">
            <v>0</v>
          </cell>
          <cell r="E1849" t="e">
            <v>#VALUE!</v>
          </cell>
          <cell r="F1849">
            <v>-4.360205591663922</v>
          </cell>
        </row>
        <row r="1850">
          <cell r="A1850" t="str">
            <v>SCFAV45A</v>
          </cell>
          <cell r="B1850">
            <v>0</v>
          </cell>
          <cell r="C1850">
            <v>0</v>
          </cell>
          <cell r="D1850">
            <v>0</v>
          </cell>
          <cell r="E1850" t="e">
            <v>#VALUE!</v>
          </cell>
          <cell r="F1850">
            <v>-1.0467567213594098</v>
          </cell>
        </row>
        <row r="1851">
          <cell r="A1851" t="str">
            <v>SCFABRSA</v>
          </cell>
          <cell r="B1851">
            <v>0</v>
          </cell>
          <cell r="C1851">
            <v>0</v>
          </cell>
          <cell r="D1851">
            <v>0</v>
          </cell>
          <cell r="E1851" t="e">
            <v>#VALUE!</v>
          </cell>
          <cell r="F1851">
            <v>-2.7556836069446722</v>
          </cell>
        </row>
        <row r="1852">
          <cell r="A1852" t="str">
            <v>SCFAFOBA</v>
          </cell>
          <cell r="B1852">
            <v>0</v>
          </cell>
          <cell r="C1852">
            <v>0</v>
          </cell>
          <cell r="D1852">
            <v>0</v>
          </cell>
          <cell r="E1852" t="e">
            <v>#VALUE!</v>
          </cell>
          <cell r="F1852">
            <v>-2.9990349083730621</v>
          </cell>
        </row>
        <row r="1853">
          <cell r="A1853" t="str">
            <v>SCFALVBA</v>
          </cell>
          <cell r="B1853">
            <v>0.78918987626898773</v>
          </cell>
          <cell r="C1853">
            <v>0</v>
          </cell>
          <cell r="D1853">
            <v>0</v>
          </cell>
          <cell r="E1853" t="e">
            <v>#VALUE!</v>
          </cell>
          <cell r="F1853">
            <v>0</v>
          </cell>
        </row>
        <row r="1854">
          <cell r="A1854" t="str">
            <v>SCFAPVBA</v>
          </cell>
          <cell r="B1854">
            <v>0</v>
          </cell>
          <cell r="C1854">
            <v>0</v>
          </cell>
          <cell r="D1854">
            <v>0</v>
          </cell>
          <cell r="E1854" t="e">
            <v>#VALUE!</v>
          </cell>
          <cell r="F1854">
            <v>12.44095682901879</v>
          </cell>
        </row>
        <row r="1855">
          <cell r="A1855" t="str">
            <v>SCFADKDA</v>
          </cell>
          <cell r="B1855">
            <v>0</v>
          </cell>
          <cell r="C1855">
            <v>0</v>
          </cell>
          <cell r="D1855">
            <v>0</v>
          </cell>
          <cell r="E1855" t="e">
            <v>#VALUE!</v>
          </cell>
          <cell r="F1855">
            <v>-16.446179903370059</v>
          </cell>
        </row>
        <row r="1856">
          <cell r="A1856" t="str">
            <v>SCFADCDA</v>
          </cell>
          <cell r="B1856">
            <v>1.7700628122340326E-3</v>
          </cell>
          <cell r="C1856">
            <v>0</v>
          </cell>
          <cell r="D1856">
            <v>0</v>
          </cell>
          <cell r="E1856" t="e">
            <v>#VALUE!</v>
          </cell>
          <cell r="F1856">
            <v>-10.162798641152579</v>
          </cell>
        </row>
        <row r="1857">
          <cell r="A1857" t="str">
            <v>SCFADKGA</v>
          </cell>
          <cell r="B1857">
            <v>0.75779190275767083</v>
          </cell>
          <cell r="C1857">
            <v>0</v>
          </cell>
          <cell r="D1857">
            <v>0</v>
          </cell>
          <cell r="E1857" t="e">
            <v>#VALUE!</v>
          </cell>
          <cell r="F1857">
            <v>0</v>
          </cell>
        </row>
        <row r="1858">
          <cell r="A1858" t="str">
            <v>SCFADCGA</v>
          </cell>
          <cell r="B1858">
            <v>0.46318191224581573</v>
          </cell>
          <cell r="C1858">
            <v>0</v>
          </cell>
          <cell r="D1858">
            <v>0</v>
          </cell>
          <cell r="E1858" t="e">
            <v>#VALUE!</v>
          </cell>
          <cell r="F1858">
            <v>0</v>
          </cell>
        </row>
        <row r="1859">
          <cell r="A1859" t="str">
            <v>SCFALG1A</v>
          </cell>
          <cell r="B1859">
            <v>0</v>
          </cell>
          <cell r="C1859">
            <v>0</v>
          </cell>
          <cell r="D1859">
            <v>0</v>
          </cell>
          <cell r="E1859" t="e">
            <v>#VALUE!</v>
          </cell>
          <cell r="F1859">
            <v>-8.8556993811097868</v>
          </cell>
        </row>
        <row r="1860">
          <cell r="A1860" t="str">
            <v>SCFALG2A</v>
          </cell>
          <cell r="B1860">
            <v>0</v>
          </cell>
          <cell r="C1860">
            <v>0</v>
          </cell>
          <cell r="D1860">
            <v>0</v>
          </cell>
          <cell r="E1860" t="e">
            <v>#VALUE!</v>
          </cell>
          <cell r="F1860">
            <v>-9.8804471355594998</v>
          </cell>
        </row>
        <row r="1861">
          <cell r="A1861" t="str">
            <v>SCFALG3A</v>
          </cell>
          <cell r="B1861">
            <v>0</v>
          </cell>
          <cell r="C1861">
            <v>0</v>
          </cell>
          <cell r="D1861">
            <v>0</v>
          </cell>
          <cell r="E1861" t="e">
            <v>#VALUE!</v>
          </cell>
          <cell r="F1861">
            <v>-8.2549867460172468</v>
          </cell>
        </row>
        <row r="1862">
          <cell r="A1862" t="str">
            <v>SCFAPG1A</v>
          </cell>
          <cell r="B1862">
            <v>0.70326876379039194</v>
          </cell>
          <cell r="C1862">
            <v>0</v>
          </cell>
          <cell r="D1862">
            <v>0</v>
          </cell>
          <cell r="E1862" t="e">
            <v>#VALUE!</v>
          </cell>
          <cell r="F1862">
            <v>0</v>
          </cell>
        </row>
        <row r="1863">
          <cell r="A1863" t="str">
            <v>SCFAPG2A</v>
          </cell>
          <cell r="B1863">
            <v>8.0652416895513668E-2</v>
          </cell>
          <cell r="C1863">
            <v>0</v>
          </cell>
          <cell r="D1863">
            <v>0</v>
          </cell>
          <cell r="E1863" t="e">
            <v>#VALUE!</v>
          </cell>
          <cell r="F1863">
            <v>-1.6051824197377245</v>
          </cell>
        </row>
        <row r="1864">
          <cell r="A1864" t="str">
            <v>SCFACFAA</v>
          </cell>
          <cell r="B1864">
            <v>3.9250274730055299</v>
          </cell>
          <cell r="C1864">
            <v>0</v>
          </cell>
          <cell r="D1864">
            <v>0</v>
          </cell>
          <cell r="E1864" t="e">
            <v>#VALUE!</v>
          </cell>
          <cell r="F1864">
            <v>0</v>
          </cell>
        </row>
        <row r="1865">
          <cell r="A1865" t="str">
            <v>SCFACWAA</v>
          </cell>
          <cell r="B1865">
            <v>3.9250274730055299</v>
          </cell>
          <cell r="C1865">
            <v>0</v>
          </cell>
          <cell r="D1865">
            <v>0</v>
          </cell>
          <cell r="E1865" t="e">
            <v>#VALUE!</v>
          </cell>
          <cell r="F1865">
            <v>0</v>
          </cell>
        </row>
        <row r="1866">
          <cell r="A1866" t="str">
            <v>SCFACZAA</v>
          </cell>
          <cell r="B1866">
            <v>3.9250274730055299</v>
          </cell>
          <cell r="C1866">
            <v>0</v>
          </cell>
          <cell r="D1866">
            <v>0</v>
          </cell>
          <cell r="E1866" t="e">
            <v>#VALUE!</v>
          </cell>
          <cell r="F1866">
            <v>0</v>
          </cell>
        </row>
        <row r="1867">
          <cell r="A1867" t="str">
            <v>SCFATOTA</v>
          </cell>
          <cell r="B1867">
            <v>3.9250274730055299</v>
          </cell>
          <cell r="C1867">
            <v>0</v>
          </cell>
          <cell r="D1867">
            <v>0</v>
          </cell>
          <cell r="E1867" t="e">
            <v>#VALUE!</v>
          </cell>
          <cell r="F1867">
            <v>0</v>
          </cell>
        </row>
        <row r="1868">
          <cell r="A1868" t="str">
            <v>SCFBPX1A</v>
          </cell>
          <cell r="B1868">
            <v>0</v>
          </cell>
          <cell r="C1868">
            <v>0</v>
          </cell>
          <cell r="D1868">
            <v>0</v>
          </cell>
          <cell r="E1868" t="e">
            <v>#VALUE!</v>
          </cell>
          <cell r="F1868">
            <v>-0.58549329524170868</v>
          </cell>
        </row>
        <row r="1869">
          <cell r="A1869" t="str">
            <v>SCFBPX2A</v>
          </cell>
          <cell r="B1869">
            <v>0</v>
          </cell>
          <cell r="C1869">
            <v>0</v>
          </cell>
          <cell r="D1869">
            <v>0</v>
          </cell>
          <cell r="E1869" t="e">
            <v>#VALUE!</v>
          </cell>
          <cell r="F1869">
            <v>-0.9923370617709748</v>
          </cell>
        </row>
        <row r="1870">
          <cell r="A1870" t="str">
            <v>SCFBPX3A</v>
          </cell>
          <cell r="B1870">
            <v>0</v>
          </cell>
          <cell r="C1870">
            <v>0</v>
          </cell>
          <cell r="D1870">
            <v>0</v>
          </cell>
          <cell r="E1870" t="e">
            <v>#VALUE!</v>
          </cell>
          <cell r="F1870">
            <v>-0.86214523152129285</v>
          </cell>
        </row>
        <row r="1871">
          <cell r="A1871" t="str">
            <v>SCFBPX4A</v>
          </cell>
          <cell r="B1871">
            <v>0</v>
          </cell>
          <cell r="C1871">
            <v>0</v>
          </cell>
          <cell r="D1871">
            <v>0</v>
          </cell>
          <cell r="E1871" t="e">
            <v>#VALUE!</v>
          </cell>
          <cell r="F1871">
            <v>-0.87953296197603825</v>
          </cell>
        </row>
        <row r="1872">
          <cell r="A1872" t="str">
            <v>SCFBPX5A</v>
          </cell>
          <cell r="B1872">
            <v>0</v>
          </cell>
          <cell r="C1872">
            <v>0</v>
          </cell>
          <cell r="D1872">
            <v>0</v>
          </cell>
          <cell r="E1872" t="e">
            <v>#VALUE!</v>
          </cell>
          <cell r="F1872">
            <v>-0.84908510952779692</v>
          </cell>
        </row>
        <row r="1873">
          <cell r="A1873" t="str">
            <v>SCFBPY1A</v>
          </cell>
          <cell r="B1873">
            <v>1.9954509012503167E-3</v>
          </cell>
          <cell r="C1873">
            <v>0</v>
          </cell>
          <cell r="D1873">
            <v>0</v>
          </cell>
          <cell r="E1873" t="e">
            <v>#VALUE!</v>
          </cell>
          <cell r="F1873">
            <v>-0.50009959870821807</v>
          </cell>
        </row>
        <row r="1874">
          <cell r="A1874" t="str">
            <v>SCFBPY2A</v>
          </cell>
          <cell r="B1874">
            <v>0</v>
          </cell>
          <cell r="C1874">
            <v>0</v>
          </cell>
          <cell r="D1874">
            <v>0</v>
          </cell>
          <cell r="E1874" t="e">
            <v>#VALUE!</v>
          </cell>
          <cell r="F1874">
            <v>-0.95858714074304663</v>
          </cell>
        </row>
        <row r="1875">
          <cell r="A1875" t="str">
            <v>SCFBPY3A</v>
          </cell>
          <cell r="B1875">
            <v>0</v>
          </cell>
          <cell r="C1875">
            <v>0</v>
          </cell>
          <cell r="D1875">
            <v>0</v>
          </cell>
          <cell r="E1875" t="e">
            <v>#VALUE!</v>
          </cell>
          <cell r="F1875">
            <v>-0.9339131353652641</v>
          </cell>
        </row>
        <row r="1876">
          <cell r="A1876" t="str">
            <v>SCFBPY4A</v>
          </cell>
          <cell r="B1876">
            <v>0</v>
          </cell>
          <cell r="C1876">
            <v>0</v>
          </cell>
          <cell r="D1876">
            <v>0</v>
          </cell>
          <cell r="E1876" t="e">
            <v>#VALUE!</v>
          </cell>
          <cell r="F1876">
            <v>-0.88529009182159213</v>
          </cell>
        </row>
        <row r="1877">
          <cell r="A1877" t="str">
            <v>SCFBPY5A</v>
          </cell>
          <cell r="B1877">
            <v>0</v>
          </cell>
          <cell r="C1877">
            <v>0</v>
          </cell>
          <cell r="D1877">
            <v>0</v>
          </cell>
          <cell r="E1877" t="e">
            <v>#VALUE!</v>
          </cell>
          <cell r="F1877">
            <v>-0.90589571848307571</v>
          </cell>
        </row>
        <row r="1878">
          <cell r="A1878" t="str">
            <v>SCFBDP1A</v>
          </cell>
          <cell r="B1878">
            <v>0</v>
          </cell>
          <cell r="C1878">
            <v>0</v>
          </cell>
          <cell r="D1878">
            <v>0</v>
          </cell>
          <cell r="E1878" t="e">
            <v>#VALUE!</v>
          </cell>
          <cell r="F1878">
            <v>-550.78710560178104</v>
          </cell>
        </row>
        <row r="1879">
          <cell r="A1879" t="str">
            <v>SCFBDP2A</v>
          </cell>
          <cell r="B1879">
            <v>0</v>
          </cell>
          <cell r="C1879">
            <v>0</v>
          </cell>
          <cell r="D1879">
            <v>0</v>
          </cell>
          <cell r="E1879" t="e">
            <v>#VALUE!</v>
          </cell>
          <cell r="F1879">
            <v>-0.90956081249942522</v>
          </cell>
        </row>
        <row r="1880">
          <cell r="A1880" t="str">
            <v>SCFBDP3A</v>
          </cell>
          <cell r="B1880">
            <v>0</v>
          </cell>
          <cell r="C1880">
            <v>0</v>
          </cell>
          <cell r="D1880">
            <v>0</v>
          </cell>
          <cell r="E1880" t="e">
            <v>#VALUE!</v>
          </cell>
          <cell r="F1880">
            <v>-61.038167654814785</v>
          </cell>
        </row>
        <row r="1881">
          <cell r="A1881" t="str">
            <v>SCFBDP4A</v>
          </cell>
          <cell r="B1881">
            <v>0</v>
          </cell>
          <cell r="C1881">
            <v>0</v>
          </cell>
          <cell r="D1881">
            <v>0</v>
          </cell>
          <cell r="E1881" t="e">
            <v>#VALUE!</v>
          </cell>
          <cell r="F1881">
            <v>-1.0657486458347267</v>
          </cell>
        </row>
        <row r="1882">
          <cell r="A1882" t="str">
            <v>SCFBDP5A</v>
          </cell>
          <cell r="B1882">
            <v>0</v>
          </cell>
          <cell r="C1882">
            <v>0</v>
          </cell>
          <cell r="D1882">
            <v>0</v>
          </cell>
          <cell r="E1882" t="e">
            <v>#VALUE!</v>
          </cell>
          <cell r="F1882">
            <v>-0.82733553452034514</v>
          </cell>
        </row>
        <row r="1883">
          <cell r="A1883" t="str">
            <v>SCFBEXTA</v>
          </cell>
          <cell r="B1883">
            <v>8.3999998867511749E-2</v>
          </cell>
          <cell r="C1883">
            <v>0</v>
          </cell>
          <cell r="D1883">
            <v>0</v>
          </cell>
          <cell r="E1883" t="e">
            <v>#VALUE!</v>
          </cell>
          <cell r="F1883">
            <v>4.2087901526934477</v>
          </cell>
        </row>
        <row r="1884">
          <cell r="A1884" t="str">
            <v>SCFBEXVA</v>
          </cell>
          <cell r="B1884">
            <v>0</v>
          </cell>
          <cell r="C1884">
            <v>0</v>
          </cell>
          <cell r="D1884">
            <v>0</v>
          </cell>
          <cell r="E1884" t="e">
            <v>#VALUE!</v>
          </cell>
          <cell r="F1884">
            <v>-28.803383592056903</v>
          </cell>
        </row>
        <row r="1885">
          <cell r="A1885" t="str">
            <v>SCFBGBLA</v>
          </cell>
          <cell r="B1885">
            <v>3.1785520758122611E-2</v>
          </cell>
          <cell r="C1885">
            <v>0</v>
          </cell>
          <cell r="D1885">
            <v>0</v>
          </cell>
          <cell r="E1885" t="e">
            <v>#VALUE!</v>
          </cell>
          <cell r="F1885">
            <v>0</v>
          </cell>
        </row>
        <row r="1886">
          <cell r="A1886" t="str">
            <v>SCFBV05A</v>
          </cell>
          <cell r="B1886">
            <v>4.3112383721625971E-2</v>
          </cell>
          <cell r="C1886">
            <v>0</v>
          </cell>
          <cell r="D1886">
            <v>0</v>
          </cell>
          <cell r="E1886" t="e">
            <v>#VALUE!</v>
          </cell>
          <cell r="F1886">
            <v>-3.0075494316342759</v>
          </cell>
        </row>
        <row r="1887">
          <cell r="A1887" t="str">
            <v>SCFBV20A</v>
          </cell>
          <cell r="B1887">
            <v>0</v>
          </cell>
          <cell r="C1887">
            <v>0</v>
          </cell>
          <cell r="D1887">
            <v>0</v>
          </cell>
          <cell r="E1887" t="e">
            <v>#VALUE!</v>
          </cell>
          <cell r="F1887">
            <v>-37.153336055474739</v>
          </cell>
        </row>
        <row r="1888">
          <cell r="A1888" t="str">
            <v>SCFBV25A</v>
          </cell>
          <cell r="B1888">
            <v>0</v>
          </cell>
          <cell r="C1888">
            <v>0</v>
          </cell>
          <cell r="D1888">
            <v>0</v>
          </cell>
          <cell r="E1888" t="e">
            <v>#VALUE!</v>
          </cell>
          <cell r="F1888">
            <v>-0.92684647465405401</v>
          </cell>
        </row>
        <row r="1889">
          <cell r="A1889" t="str">
            <v>SCFBV30A</v>
          </cell>
          <cell r="B1889">
            <v>0</v>
          </cell>
          <cell r="C1889">
            <v>0</v>
          </cell>
          <cell r="D1889">
            <v>0</v>
          </cell>
          <cell r="E1889" t="e">
            <v>#VALUE!</v>
          </cell>
          <cell r="F1889">
            <v>-34.892076284346516</v>
          </cell>
        </row>
        <row r="1890">
          <cell r="A1890" t="str">
            <v>SCFBV40A</v>
          </cell>
          <cell r="B1890">
            <v>0.19722012852969234</v>
          </cell>
          <cell r="C1890">
            <v>0</v>
          </cell>
          <cell r="D1890">
            <v>0</v>
          </cell>
          <cell r="E1890" t="e">
            <v>#VALUE!</v>
          </cell>
          <cell r="F1890">
            <v>-4.4170958793326598</v>
          </cell>
        </row>
        <row r="1891">
          <cell r="A1891" t="str">
            <v>SCFBV45A</v>
          </cell>
          <cell r="B1891">
            <v>2.3441843412918589E-2</v>
          </cell>
          <cell r="C1891">
            <v>0</v>
          </cell>
          <cell r="D1891">
            <v>0</v>
          </cell>
          <cell r="E1891" t="e">
            <v>#VALUE!</v>
          </cell>
          <cell r="F1891">
            <v>0</v>
          </cell>
        </row>
        <row r="1892">
          <cell r="A1892" t="str">
            <v>SCFBBRSA</v>
          </cell>
          <cell r="B1892">
            <v>0.29674711513192686</v>
          </cell>
          <cell r="C1892">
            <v>0</v>
          </cell>
          <cell r="D1892">
            <v>0</v>
          </cell>
          <cell r="E1892" t="e">
            <v>#VALUE!</v>
          </cell>
          <cell r="F1892">
            <v>0</v>
          </cell>
        </row>
        <row r="1893">
          <cell r="A1893" t="str">
            <v>SCFBFOBA</v>
          </cell>
          <cell r="B1893">
            <v>0</v>
          </cell>
          <cell r="C1893">
            <v>0</v>
          </cell>
          <cell r="D1893">
            <v>0</v>
          </cell>
          <cell r="E1893" t="e">
            <v>#VALUE!</v>
          </cell>
          <cell r="F1893">
            <v>0</v>
          </cell>
        </row>
        <row r="1894">
          <cell r="A1894" t="str">
            <v>SCFBLVBA</v>
          </cell>
          <cell r="B1894">
            <v>0</v>
          </cell>
          <cell r="C1894">
            <v>0</v>
          </cell>
          <cell r="D1894">
            <v>0</v>
          </cell>
          <cell r="E1894" t="e">
            <v>#VALUE!</v>
          </cell>
          <cell r="F1894">
            <v>-8.3338617507725541</v>
          </cell>
        </row>
        <row r="1895">
          <cell r="A1895" t="str">
            <v>SCFBPVBA</v>
          </cell>
          <cell r="B1895">
            <v>0.81638122862332485</v>
          </cell>
          <cell r="C1895">
            <v>0</v>
          </cell>
          <cell r="D1895">
            <v>0</v>
          </cell>
          <cell r="E1895" t="e">
            <v>#VALUE!</v>
          </cell>
          <cell r="F1895">
            <v>0</v>
          </cell>
        </row>
        <row r="1896">
          <cell r="A1896" t="str">
            <v>SCFBDVLA</v>
          </cell>
          <cell r="B1896">
            <v>2.0907419522002673E-5</v>
          </cell>
          <cell r="C1896">
            <v>0</v>
          </cell>
          <cell r="D1896">
            <v>0</v>
          </cell>
          <cell r="E1896" t="e">
            <v>#VALUE!</v>
          </cell>
          <cell r="F1896">
            <v>0</v>
          </cell>
        </row>
        <row r="1897">
          <cell r="A1897" t="str">
            <v>SCFBDKDA</v>
          </cell>
          <cell r="B1897">
            <v>0</v>
          </cell>
          <cell r="C1897">
            <v>0</v>
          </cell>
          <cell r="D1897">
            <v>0</v>
          </cell>
          <cell r="E1897">
            <v>0</v>
          </cell>
          <cell r="F1897">
            <v>-22.422355563020052</v>
          </cell>
        </row>
        <row r="1898">
          <cell r="A1898" t="str">
            <v>SCFBDCDA</v>
          </cell>
          <cell r="B1898">
            <v>0</v>
          </cell>
          <cell r="C1898">
            <v>0</v>
          </cell>
          <cell r="D1898">
            <v>0</v>
          </cell>
          <cell r="E1898" t="e">
            <v>#VALUE!</v>
          </cell>
          <cell r="F1898">
            <v>-16.984632379714757</v>
          </cell>
        </row>
        <row r="1899">
          <cell r="A1899" t="str">
            <v>SCFBDKGA</v>
          </cell>
          <cell r="B1899">
            <v>0</v>
          </cell>
          <cell r="C1899">
            <v>0</v>
          </cell>
          <cell r="D1899">
            <v>0</v>
          </cell>
          <cell r="E1899" t="e">
            <v>#VALUE!</v>
          </cell>
          <cell r="F1899">
            <v>-5.7116912397619792</v>
          </cell>
        </row>
        <row r="1900">
          <cell r="A1900" t="str">
            <v>SCFBDCGA</v>
          </cell>
          <cell r="B1900">
            <v>0</v>
          </cell>
          <cell r="C1900">
            <v>0</v>
          </cell>
          <cell r="D1900">
            <v>0</v>
          </cell>
          <cell r="E1900" t="e">
            <v>#VALUE!</v>
          </cell>
          <cell r="F1900">
            <v>-6.46808231040223</v>
          </cell>
        </row>
        <row r="1901">
          <cell r="A1901" t="str">
            <v>SCFBAR1A</v>
          </cell>
          <cell r="B1901">
            <v>0</v>
          </cell>
          <cell r="C1901">
            <v>0</v>
          </cell>
          <cell r="D1901">
            <v>0</v>
          </cell>
          <cell r="E1901" t="e">
            <v>#VALUE!</v>
          </cell>
          <cell r="F1901">
            <v>-1.2571322996322423</v>
          </cell>
        </row>
        <row r="1902">
          <cell r="A1902" t="str">
            <v>SCFBAR2A</v>
          </cell>
          <cell r="B1902">
            <v>0.18130976823094774</v>
          </cell>
          <cell r="C1902">
            <v>0</v>
          </cell>
          <cell r="D1902">
            <v>0</v>
          </cell>
          <cell r="E1902" t="e">
            <v>#VALUE!</v>
          </cell>
          <cell r="F1902">
            <v>0</v>
          </cell>
        </row>
        <row r="1903">
          <cell r="A1903" t="str">
            <v>SCFBAR3A</v>
          </cell>
          <cell r="B1903">
            <v>0</v>
          </cell>
          <cell r="C1903">
            <v>0</v>
          </cell>
          <cell r="D1903">
            <v>0</v>
          </cell>
          <cell r="E1903" t="e">
            <v>#VALUE!</v>
          </cell>
          <cell r="F1903">
            <v>-17.249449646309632</v>
          </cell>
        </row>
        <row r="1904">
          <cell r="A1904" t="str">
            <v>SCFBAR4A</v>
          </cell>
          <cell r="B1904">
            <v>0.2243032458710344</v>
          </cell>
          <cell r="C1904">
            <v>0</v>
          </cell>
          <cell r="D1904">
            <v>0</v>
          </cell>
          <cell r="E1904" t="e">
            <v>#VALUE!</v>
          </cell>
          <cell r="F1904">
            <v>0</v>
          </cell>
        </row>
        <row r="1905">
          <cell r="A1905" t="str">
            <v>SCFBAR5A</v>
          </cell>
          <cell r="B1905">
            <v>0</v>
          </cell>
          <cell r="C1905">
            <v>0</v>
          </cell>
          <cell r="D1905">
            <v>0</v>
          </cell>
          <cell r="E1905" t="e">
            <v>#VALUE!</v>
          </cell>
          <cell r="F1905">
            <v>0</v>
          </cell>
        </row>
        <row r="1906">
          <cell r="A1906" t="str">
            <v>SCFBLG1A</v>
          </cell>
          <cell r="B1906">
            <v>0</v>
          </cell>
          <cell r="C1906">
            <v>0</v>
          </cell>
          <cell r="D1906">
            <v>0</v>
          </cell>
          <cell r="E1906" t="e">
            <v>#VALUE!</v>
          </cell>
          <cell r="F1906">
            <v>-10.535567077218669</v>
          </cell>
        </row>
        <row r="1907">
          <cell r="A1907" t="str">
            <v>SCFBLG2A</v>
          </cell>
          <cell r="B1907">
            <v>0</v>
          </cell>
          <cell r="C1907">
            <v>0</v>
          </cell>
          <cell r="D1907">
            <v>0</v>
          </cell>
          <cell r="E1907" t="e">
            <v>#VALUE!</v>
          </cell>
          <cell r="F1907">
            <v>-12.397198752834372</v>
          </cell>
        </row>
        <row r="1908">
          <cell r="A1908" t="str">
            <v>SCFBLG3A</v>
          </cell>
          <cell r="B1908">
            <v>0</v>
          </cell>
          <cell r="C1908">
            <v>0</v>
          </cell>
          <cell r="D1908">
            <v>0</v>
          </cell>
          <cell r="E1908" t="e">
            <v>#VALUE!</v>
          </cell>
          <cell r="F1908">
            <v>-8.3881009650557008</v>
          </cell>
        </row>
        <row r="1909">
          <cell r="A1909" t="str">
            <v>SCFBPG1A</v>
          </cell>
          <cell r="B1909">
            <v>0</v>
          </cell>
          <cell r="C1909">
            <v>0</v>
          </cell>
          <cell r="D1909">
            <v>0</v>
          </cell>
          <cell r="E1909" t="e">
            <v>#VALUE!</v>
          </cell>
          <cell r="F1909">
            <v>-6.421364876995348</v>
          </cell>
        </row>
        <row r="1910">
          <cell r="A1910" t="str">
            <v>SCFBPG2A</v>
          </cell>
          <cell r="B1910">
            <v>0.4716883420944214</v>
          </cell>
          <cell r="C1910">
            <v>0</v>
          </cell>
          <cell r="D1910">
            <v>0</v>
          </cell>
          <cell r="E1910" t="e">
            <v>#VALUE!</v>
          </cell>
          <cell r="F1910">
            <v>0</v>
          </cell>
        </row>
        <row r="1911">
          <cell r="A1911" t="str">
            <v>SCFBCFBA</v>
          </cell>
          <cell r="B1911">
            <v>2.3720058793890968</v>
          </cell>
          <cell r="C1911">
            <v>0</v>
          </cell>
          <cell r="D1911">
            <v>0</v>
          </cell>
          <cell r="E1911" t="e">
            <v>#VALUE!</v>
          </cell>
          <cell r="F1911">
            <v>0</v>
          </cell>
        </row>
        <row r="1912">
          <cell r="A1912" t="str">
            <v>SCFBCXBA</v>
          </cell>
          <cell r="B1912">
            <v>2.3720058793890968</v>
          </cell>
          <cell r="C1912">
            <v>0</v>
          </cell>
          <cell r="D1912">
            <v>0</v>
          </cell>
          <cell r="E1912" t="e">
            <v>#VALUE!</v>
          </cell>
          <cell r="F1912">
            <v>0</v>
          </cell>
        </row>
        <row r="1913">
          <cell r="A1913" t="str">
            <v>SCFBCYBA</v>
          </cell>
          <cell r="B1913">
            <v>2.3720058793890968</v>
          </cell>
          <cell r="C1913">
            <v>0</v>
          </cell>
          <cell r="D1913">
            <v>0</v>
          </cell>
          <cell r="E1913" t="e">
            <v>#VALUE!</v>
          </cell>
          <cell r="F1913">
            <v>0</v>
          </cell>
        </row>
        <row r="1914">
          <cell r="A1914" t="str">
            <v>SCFBTOTA</v>
          </cell>
          <cell r="B1914">
            <v>2.3720058793890968</v>
          </cell>
          <cell r="C1914">
            <v>0</v>
          </cell>
          <cell r="D1914">
            <v>0</v>
          </cell>
          <cell r="E1914" t="e">
            <v>#VALUE!</v>
          </cell>
          <cell r="F1914">
            <v>0</v>
          </cell>
        </row>
        <row r="1915">
          <cell r="A1915" t="str">
            <v>SCCA975A</v>
          </cell>
          <cell r="B1915">
            <v>3.9250249085361011</v>
          </cell>
          <cell r="C1915">
            <v>0</v>
          </cell>
          <cell r="D1915">
            <v>0</v>
          </cell>
          <cell r="E1915" t="e">
            <v>#VALUE!</v>
          </cell>
          <cell r="F1915">
            <v>0</v>
          </cell>
        </row>
        <row r="1916">
          <cell r="A1916" t="str">
            <v>SCCA920A</v>
          </cell>
          <cell r="B1916">
            <v>0</v>
          </cell>
          <cell r="C1916">
            <v>0</v>
          </cell>
          <cell r="D1916">
            <v>0</v>
          </cell>
          <cell r="E1916" t="e">
            <v>#VALUE!</v>
          </cell>
          <cell r="F1916">
            <v>-6.3776224280056892</v>
          </cell>
        </row>
        <row r="1917">
          <cell r="A1917" t="str">
            <v>SCCADCNA</v>
          </cell>
          <cell r="B1917">
            <v>3.6566294056095489E-2</v>
          </cell>
          <cell r="C1917">
            <v>0</v>
          </cell>
          <cell r="D1917">
            <v>3.6566294056095489E-2</v>
          </cell>
          <cell r="E1917" t="e">
            <v>#VALUE!</v>
          </cell>
          <cell r="F1917">
            <v>-87.265883876852797</v>
          </cell>
        </row>
        <row r="1918">
          <cell r="A1918" t="str">
            <v>SCCAAF1A</v>
          </cell>
          <cell r="B1918">
            <v>-1.0644340802545418</v>
          </cell>
          <cell r="C1918">
            <v>0</v>
          </cell>
          <cell r="D1918" t="e">
            <v>#VALUE!</v>
          </cell>
          <cell r="E1918" t="e">
            <v>#VALUE!</v>
          </cell>
          <cell r="F1918">
            <v>0</v>
          </cell>
        </row>
        <row r="1919">
          <cell r="A1919" t="str">
            <v>SCCABN1A</v>
          </cell>
          <cell r="B1919">
            <v>-7.0796342954243698</v>
          </cell>
          <cell r="C1919">
            <v>0</v>
          </cell>
          <cell r="D1919" t="e">
            <v>#VALUE!</v>
          </cell>
          <cell r="E1919" t="e">
            <v>#VALUE!</v>
          </cell>
          <cell r="F1919">
            <v>0</v>
          </cell>
        </row>
        <row r="1920">
          <cell r="A1920" t="str">
            <v>SCCASU1A</v>
          </cell>
          <cell r="B1920">
            <v>0.27398575054456109</v>
          </cell>
          <cell r="C1920">
            <v>0</v>
          </cell>
          <cell r="D1920" t="e">
            <v>#VALUE!</v>
          </cell>
          <cell r="E1920" t="e">
            <v>#VALUE!</v>
          </cell>
          <cell r="F1920">
            <v>0</v>
          </cell>
        </row>
        <row r="1921">
          <cell r="A1921" t="str">
            <v>SCCACONA</v>
          </cell>
          <cell r="B1921">
            <v>0</v>
          </cell>
          <cell r="C1921">
            <v>0</v>
          </cell>
          <cell r="D1921" t="e">
            <v>#VALUE!</v>
          </cell>
          <cell r="E1921" t="e">
            <v>#VALUE!</v>
          </cell>
          <cell r="F1921">
            <v>0</v>
          </cell>
        </row>
        <row r="1922">
          <cell r="A1922" t="str">
            <v>SCCAAF2A</v>
          </cell>
          <cell r="B1922">
            <v>0</v>
          </cell>
          <cell r="C1922">
            <v>0</v>
          </cell>
          <cell r="D1922" t="e">
            <v>#VALUE!</v>
          </cell>
          <cell r="E1922" t="e">
            <v>#VALUE!</v>
          </cell>
          <cell r="F1922">
            <v>0</v>
          </cell>
        </row>
        <row r="1923">
          <cell r="A1923" t="str">
            <v>SCCABN2A</v>
          </cell>
          <cell r="B1923">
            <v>0</v>
          </cell>
          <cell r="C1923">
            <v>0</v>
          </cell>
          <cell r="D1923" t="e">
            <v>#VALUE!</v>
          </cell>
          <cell r="E1923" t="e">
            <v>#VALUE!</v>
          </cell>
          <cell r="F1923">
            <v>0</v>
          </cell>
        </row>
        <row r="1924">
          <cell r="A1924" t="str">
            <v>SCCASU2A</v>
          </cell>
          <cell r="B1924">
            <v>0</v>
          </cell>
          <cell r="C1924">
            <v>0</v>
          </cell>
          <cell r="D1924" t="e">
            <v>#VALUE!</v>
          </cell>
          <cell r="E1924" t="e">
            <v>#VALUE!</v>
          </cell>
          <cell r="F1924">
            <v>0</v>
          </cell>
        </row>
        <row r="1925">
          <cell r="A1925" t="str">
            <v>SCCACO2A</v>
          </cell>
          <cell r="B1925">
            <v>0</v>
          </cell>
          <cell r="C1925">
            <v>0</v>
          </cell>
          <cell r="D1925" t="e">
            <v>#VALUE!</v>
          </cell>
          <cell r="E1925" t="e">
            <v>#VALUE!</v>
          </cell>
          <cell r="F1925">
            <v>0</v>
          </cell>
        </row>
        <row r="1926">
          <cell r="A1926" t="str">
            <v>SCCACF1A</v>
          </cell>
          <cell r="B1926">
            <v>3.9250249085361011</v>
          </cell>
          <cell r="C1926">
            <v>0</v>
          </cell>
          <cell r="D1926" t="e">
            <v>#VALUE!</v>
          </cell>
          <cell r="E1926" t="e">
            <v>#VALUE!</v>
          </cell>
          <cell r="F1926">
            <v>0</v>
          </cell>
        </row>
        <row r="1927">
          <cell r="A1927" t="str">
            <v>SCCACF2A</v>
          </cell>
          <cell r="B1927">
            <v>0</v>
          </cell>
          <cell r="C1927">
            <v>0</v>
          </cell>
          <cell r="D1927" t="e">
            <v>#VALUE!</v>
          </cell>
          <cell r="E1927" t="e">
            <v>#VALUE!</v>
          </cell>
          <cell r="F1927">
            <v>0</v>
          </cell>
        </row>
        <row r="1928">
          <cell r="A1928" t="str">
            <v>SCCATOTA</v>
          </cell>
          <cell r="B1928">
            <v>3.9615912620335409</v>
          </cell>
          <cell r="C1928">
            <v>0</v>
          </cell>
          <cell r="D1928" t="e">
            <v>#VALUE!</v>
          </cell>
          <cell r="E1928" t="e">
            <v>#VALUE!</v>
          </cell>
          <cell r="F1928">
            <v>0</v>
          </cell>
        </row>
        <row r="1929">
          <cell r="A1929" t="str">
            <v>SCCABPTA</v>
          </cell>
          <cell r="B1929">
            <v>4.3215652700972882</v>
          </cell>
          <cell r="C1929">
            <v>0</v>
          </cell>
          <cell r="D1929" t="e">
            <v>#VALUE!</v>
          </cell>
          <cell r="E1929" t="e">
            <v>#VALUE!</v>
          </cell>
          <cell r="F1929">
            <v>0</v>
          </cell>
        </row>
        <row r="1930">
          <cell r="A1930" t="str">
            <v>SCCAC4AA</v>
          </cell>
          <cell r="B1930">
            <v>0.36785276254562482</v>
          </cell>
          <cell r="C1930">
            <v>0</v>
          </cell>
          <cell r="D1930">
            <v>0</v>
          </cell>
          <cell r="E1930" t="e">
            <v>#VALUE!</v>
          </cell>
          <cell r="F1930">
            <v>0</v>
          </cell>
        </row>
        <row r="1931">
          <cell r="A1931" t="str">
            <v>SCCALC1A</v>
          </cell>
          <cell r="B1931">
            <v>1.4053231144604617</v>
          </cell>
          <cell r="C1931">
            <v>0</v>
          </cell>
          <cell r="D1931">
            <v>0</v>
          </cell>
          <cell r="E1931" t="e">
            <v>#VALUE!</v>
          </cell>
          <cell r="F1931">
            <v>0</v>
          </cell>
        </row>
        <row r="1932">
          <cell r="A1932" t="str">
            <v>SCCALC2A</v>
          </cell>
          <cell r="B1932">
            <v>0</v>
          </cell>
          <cell r="C1932">
            <v>0</v>
          </cell>
          <cell r="D1932">
            <v>0</v>
          </cell>
          <cell r="E1932" t="e">
            <v>#VALUE!</v>
          </cell>
          <cell r="F1932">
            <v>0</v>
          </cell>
        </row>
        <row r="1933">
          <cell r="A1933" t="str">
            <v>SCCALC6A</v>
          </cell>
          <cell r="B1933">
            <v>2.779038325972753E-2</v>
          </cell>
          <cell r="C1933">
            <v>0</v>
          </cell>
          <cell r="D1933">
            <v>0</v>
          </cell>
          <cell r="E1933" t="e">
            <v>#VALUE!</v>
          </cell>
          <cell r="F1933">
            <v>0</v>
          </cell>
        </row>
        <row r="1934">
          <cell r="A1934" t="str">
            <v>SCCASWAA</v>
          </cell>
          <cell r="B1934">
            <v>0</v>
          </cell>
          <cell r="C1934">
            <v>0</v>
          </cell>
          <cell r="D1934">
            <v>0</v>
          </cell>
          <cell r="E1934" t="e">
            <v>#VALUE!</v>
          </cell>
          <cell r="F1934">
            <v>-11.50337042090011</v>
          </cell>
        </row>
        <row r="1935">
          <cell r="A1935" t="str">
            <v>SCCALCAA</v>
          </cell>
          <cell r="B1935">
            <v>1.4331135181531514</v>
          </cell>
          <cell r="C1935">
            <v>0</v>
          </cell>
          <cell r="D1935">
            <v>0</v>
          </cell>
          <cell r="E1935" t="e">
            <v>#VALUE!</v>
          </cell>
          <cell r="F1935">
            <v>0</v>
          </cell>
        </row>
        <row r="1936">
          <cell r="A1936" t="str">
            <v>SCCASW1A</v>
          </cell>
          <cell r="B1936">
            <v>0.11943850727522209</v>
          </cell>
          <cell r="C1936">
            <v>0</v>
          </cell>
          <cell r="D1936">
            <v>0</v>
          </cell>
          <cell r="E1936" t="e">
            <v>#VALUE!</v>
          </cell>
          <cell r="F1936">
            <v>0</v>
          </cell>
        </row>
        <row r="1937">
          <cell r="A1937" t="str">
            <v>SCCAPE1A</v>
          </cell>
          <cell r="B1937">
            <v>1.0087313985273447E-2</v>
          </cell>
          <cell r="C1937">
            <v>0</v>
          </cell>
          <cell r="D1937">
            <v>0</v>
          </cell>
          <cell r="E1937" t="e">
            <v>#VALUE!</v>
          </cell>
          <cell r="F1937">
            <v>0</v>
          </cell>
        </row>
        <row r="1938">
          <cell r="A1938" t="str">
            <v>SCCANPCA</v>
          </cell>
          <cell r="B1938">
            <v>0.12952581893091333</v>
          </cell>
          <cell r="C1938">
            <v>0</v>
          </cell>
          <cell r="D1938">
            <v>0</v>
          </cell>
          <cell r="E1938" t="e">
            <v>#VALUE!</v>
          </cell>
          <cell r="F1938">
            <v>0</v>
          </cell>
        </row>
        <row r="1939">
          <cell r="A1939" t="str">
            <v>SCCANPPA</v>
          </cell>
          <cell r="B1939">
            <v>0.12952581893091333</v>
          </cell>
          <cell r="C1939">
            <v>0</v>
          </cell>
          <cell r="D1939">
            <v>0</v>
          </cell>
          <cell r="E1939" t="e">
            <v>#VALUE!</v>
          </cell>
          <cell r="F1939">
            <v>0</v>
          </cell>
        </row>
        <row r="1940">
          <cell r="A1940" t="str">
            <v>SCCB975A</v>
          </cell>
          <cell r="B1940">
            <v>2.3720058793890968</v>
          </cell>
          <cell r="C1940">
            <v>0</v>
          </cell>
          <cell r="D1940">
            <v>0</v>
          </cell>
          <cell r="E1940" t="e">
            <v>#VALUE!</v>
          </cell>
          <cell r="F1940">
            <v>0</v>
          </cell>
        </row>
        <row r="1941">
          <cell r="A1941" t="str">
            <v>SCCB920A</v>
          </cell>
          <cell r="B1941">
            <v>0</v>
          </cell>
          <cell r="C1941">
            <v>0</v>
          </cell>
          <cell r="D1941">
            <v>0</v>
          </cell>
          <cell r="E1941" t="e">
            <v>#VALUE!</v>
          </cell>
          <cell r="F1941">
            <v>218.41351284915453</v>
          </cell>
        </row>
        <row r="1942">
          <cell r="A1942" t="str">
            <v>SCCBDKNA</v>
          </cell>
          <cell r="B1942">
            <v>3.0250145964426538E-2</v>
          </cell>
          <cell r="C1942">
            <v>0</v>
          </cell>
          <cell r="D1942">
            <v>3.0250145964426538E-2</v>
          </cell>
          <cell r="E1942" t="e">
            <v>#VALUE!</v>
          </cell>
          <cell r="F1942">
            <v>-85.253275079596534</v>
          </cell>
        </row>
        <row r="1943">
          <cell r="A1943" t="str">
            <v>SCCBAF1A</v>
          </cell>
          <cell r="B1943">
            <v>-0.3003801609555336</v>
          </cell>
          <cell r="C1943">
            <v>0</v>
          </cell>
          <cell r="D1943" t="e">
            <v>#VALUE!</v>
          </cell>
          <cell r="E1943" t="e">
            <v>#VALUE!</v>
          </cell>
          <cell r="F1943">
            <v>0</v>
          </cell>
        </row>
        <row r="1944">
          <cell r="A1944" t="str">
            <v>SCCBBN1A</v>
          </cell>
          <cell r="B1944">
            <v>0.33735550333784053</v>
          </cell>
          <cell r="C1944">
            <v>0</v>
          </cell>
          <cell r="D1944" t="e">
            <v>#VALUE!</v>
          </cell>
          <cell r="E1944" t="e">
            <v>#VALUE!</v>
          </cell>
          <cell r="F1944">
            <v>0</v>
          </cell>
        </row>
        <row r="1945">
          <cell r="A1945" t="str">
            <v>SCCBSU1A</v>
          </cell>
          <cell r="B1945">
            <v>0.23865482643859026</v>
          </cell>
          <cell r="C1945">
            <v>0</v>
          </cell>
          <cell r="D1945" t="e">
            <v>#VALUE!</v>
          </cell>
          <cell r="E1945" t="e">
            <v>#VALUE!</v>
          </cell>
          <cell r="F1945">
            <v>0</v>
          </cell>
        </row>
        <row r="1946">
          <cell r="A1946" t="str">
            <v>SCCBCONA</v>
          </cell>
          <cell r="B1946">
            <v>4.7440118148718798E-2</v>
          </cell>
          <cell r="C1946">
            <v>0</v>
          </cell>
          <cell r="D1946" t="e">
            <v>#VALUE!</v>
          </cell>
          <cell r="E1946" t="e">
            <v>#VALUE!</v>
          </cell>
          <cell r="F1946">
            <v>0</v>
          </cell>
        </row>
        <row r="1947">
          <cell r="A1947" t="str">
            <v>SCCBAF2A</v>
          </cell>
          <cell r="B1947">
            <v>0</v>
          </cell>
          <cell r="C1947">
            <v>0</v>
          </cell>
          <cell r="D1947" t="e">
            <v>#VALUE!</v>
          </cell>
          <cell r="E1947" t="e">
            <v>#VALUE!</v>
          </cell>
          <cell r="F1947">
            <v>0</v>
          </cell>
        </row>
        <row r="1948">
          <cell r="A1948" t="str">
            <v>SCCBBN2A</v>
          </cell>
          <cell r="B1948">
            <v>0</v>
          </cell>
          <cell r="C1948">
            <v>0</v>
          </cell>
          <cell r="D1948" t="e">
            <v>#VALUE!</v>
          </cell>
          <cell r="E1948" t="e">
            <v>#VALUE!</v>
          </cell>
          <cell r="F1948">
            <v>0</v>
          </cell>
        </row>
        <row r="1949">
          <cell r="A1949" t="str">
            <v>SCCBSU2A</v>
          </cell>
          <cell r="B1949">
            <v>0</v>
          </cell>
          <cell r="C1949">
            <v>0</v>
          </cell>
          <cell r="D1949" t="e">
            <v>#VALUE!</v>
          </cell>
          <cell r="E1949" t="e">
            <v>#VALUE!</v>
          </cell>
          <cell r="F1949">
            <v>0</v>
          </cell>
        </row>
        <row r="1950">
          <cell r="A1950" t="str">
            <v>SCCBCO2A</v>
          </cell>
          <cell r="B1950">
            <v>0</v>
          </cell>
          <cell r="C1950">
            <v>0</v>
          </cell>
          <cell r="D1950" t="e">
            <v>#VALUE!</v>
          </cell>
          <cell r="E1950" t="e">
            <v>#VALUE!</v>
          </cell>
          <cell r="F1950">
            <v>0</v>
          </cell>
        </row>
        <row r="1951">
          <cell r="A1951" t="str">
            <v>SCCBCF3A</v>
          </cell>
          <cell r="B1951">
            <v>2.3720058793890968</v>
          </cell>
          <cell r="C1951">
            <v>0</v>
          </cell>
          <cell r="D1951" t="e">
            <v>#VALUE!</v>
          </cell>
          <cell r="E1951" t="e">
            <v>#VALUE!</v>
          </cell>
          <cell r="F1951">
            <v>0</v>
          </cell>
        </row>
        <row r="1952">
          <cell r="A1952" t="str">
            <v>SCCBCF4A</v>
          </cell>
          <cell r="B1952">
            <v>0</v>
          </cell>
          <cell r="C1952">
            <v>0</v>
          </cell>
          <cell r="D1952" t="e">
            <v>#VALUE!</v>
          </cell>
          <cell r="E1952" t="e">
            <v>#VALUE!</v>
          </cell>
          <cell r="F1952">
            <v>-215.72466221639556</v>
          </cell>
        </row>
        <row r="1953">
          <cell r="A1953" t="str">
            <v>SCCBTOTA</v>
          </cell>
          <cell r="B1953">
            <v>2.4022560550741954</v>
          </cell>
          <cell r="C1953">
            <v>0</v>
          </cell>
          <cell r="D1953" t="e">
            <v>#VALUE!</v>
          </cell>
          <cell r="E1953" t="e">
            <v>#VALUE!</v>
          </cell>
          <cell r="F1953">
            <v>0</v>
          </cell>
        </row>
        <row r="1954">
          <cell r="A1954" t="str">
            <v>SCCBBPTA</v>
          </cell>
          <cell r="B1954">
            <v>2.6026835415461291</v>
          </cell>
          <cell r="C1954">
            <v>0</v>
          </cell>
          <cell r="D1954" t="e">
            <v>#VALUE!</v>
          </cell>
          <cell r="E1954" t="e">
            <v>#VALUE!</v>
          </cell>
          <cell r="F1954">
            <v>0</v>
          </cell>
        </row>
        <row r="1955">
          <cell r="A1955" t="str">
            <v>SCCBC4BA</v>
          </cell>
          <cell r="B1955">
            <v>0.29134966469790835</v>
          </cell>
          <cell r="C1955">
            <v>0</v>
          </cell>
          <cell r="D1955">
            <v>0</v>
          </cell>
          <cell r="E1955" t="e">
            <v>#VALUE!</v>
          </cell>
          <cell r="F1955">
            <v>0</v>
          </cell>
        </row>
        <row r="1956">
          <cell r="A1956" t="str">
            <v>SCCBLC3A</v>
          </cell>
          <cell r="B1956">
            <v>0.92984128880174188</v>
          </cell>
          <cell r="C1956">
            <v>0</v>
          </cell>
          <cell r="D1956">
            <v>0</v>
          </cell>
          <cell r="E1956" t="e">
            <v>#VALUE!</v>
          </cell>
          <cell r="F1956">
            <v>0</v>
          </cell>
        </row>
        <row r="1957">
          <cell r="A1957" t="str">
            <v>SCCBLC4A</v>
          </cell>
          <cell r="B1957">
            <v>0</v>
          </cell>
          <cell r="C1957">
            <v>0</v>
          </cell>
          <cell r="D1957">
            <v>0</v>
          </cell>
          <cell r="E1957" t="e">
            <v>#VALUE!</v>
          </cell>
          <cell r="F1957">
            <v>0</v>
          </cell>
        </row>
        <row r="1958">
          <cell r="A1958" t="str">
            <v>SCCBLC5A</v>
          </cell>
          <cell r="B1958">
            <v>2.2990110189947364E-2</v>
          </cell>
          <cell r="C1958">
            <v>0</v>
          </cell>
          <cell r="D1958">
            <v>0</v>
          </cell>
          <cell r="E1958" t="e">
            <v>#VALUE!</v>
          </cell>
          <cell r="F1958">
            <v>0</v>
          </cell>
        </row>
        <row r="1959">
          <cell r="A1959" t="str">
            <v>SCCBSWBA</v>
          </cell>
          <cell r="B1959">
            <v>0</v>
          </cell>
          <cell r="C1959">
            <v>0</v>
          </cell>
          <cell r="D1959">
            <v>0</v>
          </cell>
          <cell r="E1959" t="e">
            <v>#VALUE!</v>
          </cell>
          <cell r="F1959">
            <v>-9.2232803057317856</v>
          </cell>
        </row>
        <row r="1960">
          <cell r="A1960" t="str">
            <v>SCCBLCBA</v>
          </cell>
          <cell r="B1960">
            <v>0.95283141756710943</v>
          </cell>
          <cell r="C1960">
            <v>0</v>
          </cell>
          <cell r="D1960">
            <v>0</v>
          </cell>
          <cell r="E1960" t="e">
            <v>#VALUE!</v>
          </cell>
          <cell r="F1960">
            <v>0</v>
          </cell>
        </row>
        <row r="1961">
          <cell r="A1961" t="str">
            <v>SCCBSW2A</v>
          </cell>
          <cell r="B1961">
            <v>4.6984693295743368E-2</v>
          </cell>
          <cell r="C1961">
            <v>0</v>
          </cell>
          <cell r="D1961">
            <v>0</v>
          </cell>
          <cell r="E1961" t="e">
            <v>#VALUE!</v>
          </cell>
          <cell r="F1961">
            <v>0</v>
          </cell>
        </row>
        <row r="1962">
          <cell r="A1962" t="str">
            <v>SCCBPE2A</v>
          </cell>
          <cell r="B1962">
            <v>3.5252751879496121E-2</v>
          </cell>
          <cell r="C1962">
            <v>0</v>
          </cell>
          <cell r="D1962">
            <v>0</v>
          </cell>
          <cell r="E1962" t="e">
            <v>#VALUE!</v>
          </cell>
          <cell r="F1962">
            <v>0</v>
          </cell>
        </row>
        <row r="1963">
          <cell r="A1963" t="str">
            <v>SCCBBNPA</v>
          </cell>
          <cell r="B1963">
            <v>8.2237445654934405E-2</v>
          </cell>
          <cell r="C1963">
            <v>0</v>
          </cell>
          <cell r="D1963">
            <v>0</v>
          </cell>
          <cell r="E1963" t="e">
            <v>#VALUE!</v>
          </cell>
          <cell r="F1963">
            <v>0</v>
          </cell>
        </row>
        <row r="1964">
          <cell r="A1964" t="str">
            <v>SCCBPBNA</v>
          </cell>
          <cell r="B1964">
            <v>8.2237445654934405E-2</v>
          </cell>
          <cell r="C1964">
            <v>0</v>
          </cell>
          <cell r="D1964">
            <v>0</v>
          </cell>
          <cell r="E1964" t="e">
            <v>#VALUE!</v>
          </cell>
          <cell r="F1964">
            <v>0</v>
          </cell>
        </row>
        <row r="1965">
          <cell r="A1965" t="str">
            <v>SCPKAR1A</v>
          </cell>
          <cell r="B1965">
            <v>0</v>
          </cell>
          <cell r="C1965">
            <v>0</v>
          </cell>
          <cell r="D1965">
            <v>0</v>
          </cell>
          <cell r="E1965" t="e">
            <v>#VALUE!</v>
          </cell>
          <cell r="F1965">
            <v>-5.844408875295561</v>
          </cell>
        </row>
        <row r="1966">
          <cell r="A1966" t="str">
            <v>SCPKAR2A</v>
          </cell>
          <cell r="B1966">
            <v>0</v>
          </cell>
          <cell r="C1966">
            <v>0</v>
          </cell>
          <cell r="D1966">
            <v>0</v>
          </cell>
          <cell r="E1966" t="e">
            <v>#VALUE!</v>
          </cell>
          <cell r="F1966">
            <v>-78.754449118000181</v>
          </cell>
        </row>
        <row r="1967">
          <cell r="A1967" t="str">
            <v>SCPKAR3A</v>
          </cell>
          <cell r="B1967">
            <v>0</v>
          </cell>
          <cell r="C1967">
            <v>0</v>
          </cell>
          <cell r="D1967">
            <v>0</v>
          </cell>
          <cell r="E1967" t="e">
            <v>#VALUE!</v>
          </cell>
          <cell r="F1967">
            <v>-32.48296954533825</v>
          </cell>
        </row>
        <row r="1968">
          <cell r="A1968" t="str">
            <v>SCPKAR4A</v>
          </cell>
          <cell r="B1968">
            <v>0</v>
          </cell>
          <cell r="C1968">
            <v>0</v>
          </cell>
          <cell r="D1968">
            <v>0</v>
          </cell>
          <cell r="E1968" t="e">
            <v>#VALUE!</v>
          </cell>
          <cell r="F1968">
            <v>1.3346596567598108</v>
          </cell>
        </row>
        <row r="1969">
          <cell r="A1969" t="str">
            <v>SCPKAR5A</v>
          </cell>
          <cell r="B1969">
            <v>0</v>
          </cell>
          <cell r="C1969">
            <v>0</v>
          </cell>
          <cell r="D1969">
            <v>0</v>
          </cell>
          <cell r="E1969" t="e">
            <v>#VALUE!</v>
          </cell>
          <cell r="F1969">
            <v>-71.55619870538581</v>
          </cell>
        </row>
        <row r="1970">
          <cell r="A1970" t="str">
            <v>SCPKAR6A</v>
          </cell>
          <cell r="B1970">
            <v>0</v>
          </cell>
          <cell r="C1970">
            <v>0</v>
          </cell>
          <cell r="D1970">
            <v>0</v>
          </cell>
          <cell r="E1970" t="e">
            <v>#VALUE!</v>
          </cell>
          <cell r="F1970">
            <v>-57.384027778939029</v>
          </cell>
        </row>
        <row r="1971">
          <cell r="A1971" t="str">
            <v>SCPKAR7A</v>
          </cell>
          <cell r="B1971">
            <v>0</v>
          </cell>
          <cell r="C1971">
            <v>0</v>
          </cell>
          <cell r="D1971">
            <v>0</v>
          </cell>
          <cell r="E1971" t="e">
            <v>#VALUE!</v>
          </cell>
          <cell r="F1971">
            <v>-77.263946512300677</v>
          </cell>
        </row>
        <row r="1972">
          <cell r="A1972" t="str">
            <v>SCPKFCLA</v>
          </cell>
          <cell r="B1972">
            <v>0</v>
          </cell>
          <cell r="C1972">
            <v>0</v>
          </cell>
          <cell r="D1972">
            <v>0</v>
          </cell>
          <cell r="E1972" t="e">
            <v>#VALUE!</v>
          </cell>
          <cell r="F1972">
            <v>-16.428196932844919</v>
          </cell>
        </row>
        <row r="1973">
          <cell r="A1973" t="str">
            <v>SCPKVRBA</v>
          </cell>
          <cell r="B1973">
            <v>2.3972280156122494</v>
          </cell>
          <cell r="C1973">
            <v>0</v>
          </cell>
          <cell r="D1973">
            <v>0</v>
          </cell>
          <cell r="E1973" t="e">
            <v>#VALUE!</v>
          </cell>
          <cell r="F1973">
            <v>0</v>
          </cell>
        </row>
        <row r="1974">
          <cell r="A1974" t="str">
            <v>SCPKCCSA</v>
          </cell>
          <cell r="B1974">
            <v>0</v>
          </cell>
          <cell r="C1974">
            <v>0</v>
          </cell>
          <cell r="D1974">
            <v>0</v>
          </cell>
          <cell r="E1974" t="e">
            <v>#VALUE!</v>
          </cell>
          <cell r="F1974">
            <v>-379.46510578312285</v>
          </cell>
        </row>
        <row r="1975">
          <cell r="A1975" t="str">
            <v>SCPKCSBA</v>
          </cell>
          <cell r="B1975">
            <v>0</v>
          </cell>
          <cell r="C1975">
            <v>0</v>
          </cell>
          <cell r="D1975">
            <v>0</v>
          </cell>
          <cell r="E1975">
            <v>0</v>
          </cell>
          <cell r="F1975">
            <v>10.619397051040441</v>
          </cell>
        </row>
        <row r="1976">
          <cell r="A1976" t="str">
            <v>SCPKVFVA</v>
          </cell>
          <cell r="B1976">
            <v>0</v>
          </cell>
          <cell r="C1976">
            <v>0</v>
          </cell>
          <cell r="D1976">
            <v>0</v>
          </cell>
          <cell r="E1976" t="e">
            <v>#VALUE!</v>
          </cell>
          <cell r="F1976">
            <v>-15.006626016799718</v>
          </cell>
        </row>
        <row r="1977">
          <cell r="A1977" t="str">
            <v>SCPKFPDA</v>
          </cell>
          <cell r="B1977">
            <v>0.42485327541011653</v>
          </cell>
          <cell r="C1977">
            <v>0</v>
          </cell>
          <cell r="D1977">
            <v>0</v>
          </cell>
          <cell r="E1977" t="e">
            <v>#VALUE!</v>
          </cell>
          <cell r="F1977">
            <v>0</v>
          </cell>
        </row>
        <row r="1978">
          <cell r="A1978" t="str">
            <v>SCPKKCKA</v>
          </cell>
          <cell r="B1978">
            <v>2.8220813130679194</v>
          </cell>
          <cell r="C1978">
            <v>0</v>
          </cell>
          <cell r="D1978">
            <v>0</v>
          </cell>
          <cell r="E1978" t="e">
            <v>#VALUE!</v>
          </cell>
          <cell r="F1978">
            <v>0</v>
          </cell>
        </row>
        <row r="1979">
          <cell r="A1979" t="str">
            <v>SCPKKCCA</v>
          </cell>
          <cell r="B1979">
            <v>2.8220813130679194</v>
          </cell>
          <cell r="C1979">
            <v>0</v>
          </cell>
          <cell r="D1979">
            <v>0</v>
          </cell>
          <cell r="E1979" t="e">
            <v>#VALUE!</v>
          </cell>
          <cell r="F1979">
            <v>0</v>
          </cell>
        </row>
        <row r="1980">
          <cell r="A1980" t="str">
            <v>SCPKKCQA</v>
          </cell>
          <cell r="B1980">
            <v>2.8220813130679194</v>
          </cell>
          <cell r="C1980">
            <v>0</v>
          </cell>
          <cell r="D1980">
            <v>0</v>
          </cell>
          <cell r="E1980" t="e">
            <v>#VALUE!</v>
          </cell>
          <cell r="F1980">
            <v>0</v>
          </cell>
        </row>
        <row r="1981">
          <cell r="A1981" t="str">
            <v>SCPKTOTA</v>
          </cell>
          <cell r="B1981">
            <v>2.8220813130679194</v>
          </cell>
          <cell r="C1981">
            <v>0</v>
          </cell>
          <cell r="D1981">
            <v>0</v>
          </cell>
          <cell r="E1981" t="e">
            <v>#VALUE!</v>
          </cell>
          <cell r="F1981">
            <v>0</v>
          </cell>
        </row>
        <row r="1982">
          <cell r="A1982" t="str">
            <v>SCPKCRBA</v>
          </cell>
          <cell r="B1982">
            <v>0</v>
          </cell>
          <cell r="C1982">
            <v>0</v>
          </cell>
          <cell r="D1982">
            <v>0</v>
          </cell>
          <cell r="E1982" t="e">
            <v>#VALUE!</v>
          </cell>
          <cell r="F1982">
            <v>0</v>
          </cell>
        </row>
        <row r="1983">
          <cell r="A1983" t="str">
            <v>SCPKFVBA</v>
          </cell>
          <cell r="B1983">
            <v>2.8367516360870781</v>
          </cell>
          <cell r="C1983">
            <v>0</v>
          </cell>
          <cell r="D1983">
            <v>0</v>
          </cell>
          <cell r="E1983" t="e">
            <v>#VALUE!</v>
          </cell>
          <cell r="F1983">
            <v>0</v>
          </cell>
        </row>
        <row r="1984">
          <cell r="A1984" t="str">
            <v>SCPKARBA</v>
          </cell>
          <cell r="B1984">
            <v>0</v>
          </cell>
          <cell r="C1984">
            <v>0</v>
          </cell>
          <cell r="D1984">
            <v>0</v>
          </cell>
          <cell r="E1984" t="e">
            <v>#VALUE!</v>
          </cell>
          <cell r="F1984">
            <v>0</v>
          </cell>
        </row>
        <row r="1985">
          <cell r="A1985" t="str">
            <v>SCKPAR1A</v>
          </cell>
          <cell r="B1985">
            <v>0</v>
          </cell>
          <cell r="C1985">
            <v>0</v>
          </cell>
          <cell r="D1985">
            <v>0</v>
          </cell>
          <cell r="E1985" t="e">
            <v>#VALUE!</v>
          </cell>
          <cell r="F1985">
            <v>-8.0117418955450184</v>
          </cell>
        </row>
        <row r="1986">
          <cell r="A1986" t="str">
            <v>SCKPAR2A</v>
          </cell>
          <cell r="B1986">
            <v>0</v>
          </cell>
          <cell r="C1986">
            <v>0</v>
          </cell>
          <cell r="D1986">
            <v>0</v>
          </cell>
          <cell r="E1986" t="e">
            <v>#VALUE!</v>
          </cell>
          <cell r="F1986">
            <v>-84.300239834720145</v>
          </cell>
        </row>
        <row r="1987">
          <cell r="A1987" t="str">
            <v>SCKPAR3A</v>
          </cell>
          <cell r="B1987">
            <v>0</v>
          </cell>
          <cell r="C1987">
            <v>0</v>
          </cell>
          <cell r="D1987">
            <v>0</v>
          </cell>
          <cell r="E1987" t="e">
            <v>#VALUE!</v>
          </cell>
          <cell r="F1987">
            <v>-35.729556405054382</v>
          </cell>
        </row>
        <row r="1988">
          <cell r="A1988" t="str">
            <v>SCKPAR4A</v>
          </cell>
          <cell r="B1988">
            <v>0.58122931865796645</v>
          </cell>
          <cell r="C1988">
            <v>0</v>
          </cell>
          <cell r="D1988">
            <v>0.34920001029968262</v>
          </cell>
          <cell r="E1988" t="e">
            <v>#VALUE!</v>
          </cell>
          <cell r="F1988">
            <v>-0.88195867407811834</v>
          </cell>
        </row>
        <row r="1989">
          <cell r="A1989" t="str">
            <v>SCKPAR5A</v>
          </cell>
          <cell r="B1989">
            <v>0</v>
          </cell>
          <cell r="C1989">
            <v>0</v>
          </cell>
          <cell r="D1989">
            <v>0</v>
          </cell>
          <cell r="E1989" t="e">
            <v>#VALUE!</v>
          </cell>
          <cell r="F1989">
            <v>-77.300662544982075</v>
          </cell>
        </row>
        <row r="1990">
          <cell r="A1990" t="str">
            <v>SCKPAR6A</v>
          </cell>
          <cell r="B1990">
            <v>0</v>
          </cell>
          <cell r="C1990">
            <v>0</v>
          </cell>
          <cell r="D1990">
            <v>0</v>
          </cell>
          <cell r="E1990" t="e">
            <v>#VALUE!</v>
          </cell>
          <cell r="F1990">
            <v>-59.881903180684127</v>
          </cell>
        </row>
        <row r="1991">
          <cell r="A1991" t="str">
            <v>SCKPAR7A</v>
          </cell>
          <cell r="B1991">
            <v>0</v>
          </cell>
          <cell r="C1991">
            <v>0</v>
          </cell>
          <cell r="D1991">
            <v>0</v>
          </cell>
          <cell r="E1991" t="e">
            <v>#VALUE!</v>
          </cell>
          <cell r="F1991">
            <v>-83.350144373227465</v>
          </cell>
        </row>
        <row r="1992">
          <cell r="A1992" t="str">
            <v>SCKPFCLA</v>
          </cell>
          <cell r="B1992">
            <v>1.685165096280063E-5</v>
          </cell>
          <cell r="C1992">
            <v>0</v>
          </cell>
          <cell r="D1992">
            <v>0</v>
          </cell>
          <cell r="E1992" t="e">
            <v>#VALUE!</v>
          </cell>
          <cell r="F1992">
            <v>-15.389561316085189</v>
          </cell>
        </row>
        <row r="1993">
          <cell r="A1993" t="str">
            <v>SCKPVRBA</v>
          </cell>
          <cell r="B1993">
            <v>1.4378590110230118</v>
          </cell>
          <cell r="C1993">
            <v>0</v>
          </cell>
          <cell r="D1993">
            <v>0</v>
          </cell>
          <cell r="E1993" t="e">
            <v>#VALUE!</v>
          </cell>
          <cell r="F1993">
            <v>0</v>
          </cell>
        </row>
        <row r="1994">
          <cell r="A1994" t="str">
            <v>SCKPCCSA</v>
          </cell>
          <cell r="B1994">
            <v>0</v>
          </cell>
          <cell r="C1994">
            <v>0</v>
          </cell>
          <cell r="D1994">
            <v>0</v>
          </cell>
          <cell r="E1994" t="e">
            <v>#VALUE!</v>
          </cell>
          <cell r="F1994">
            <v>-400.00515203606591</v>
          </cell>
        </row>
        <row r="1995">
          <cell r="A1995" t="str">
            <v>SCKPCSBA</v>
          </cell>
          <cell r="B1995">
            <v>0.18920804445874201</v>
          </cell>
          <cell r="C1995">
            <v>0</v>
          </cell>
          <cell r="D1995">
            <v>0</v>
          </cell>
          <cell r="E1995">
            <v>7777</v>
          </cell>
          <cell r="F1995">
            <v>0</v>
          </cell>
        </row>
        <row r="1996">
          <cell r="A1996" t="str">
            <v>SCKPVFVA</v>
          </cell>
          <cell r="B1996">
            <v>0</v>
          </cell>
          <cell r="C1996">
            <v>0</v>
          </cell>
          <cell r="D1996">
            <v>0</v>
          </cell>
          <cell r="E1996" t="e">
            <v>#VALUE!</v>
          </cell>
          <cell r="F1996">
            <v>-17.764805474999832</v>
          </cell>
        </row>
        <row r="1997">
          <cell r="A1997" t="str">
            <v>SCKPFPDA</v>
          </cell>
          <cell r="B1997">
            <v>0</v>
          </cell>
          <cell r="C1997">
            <v>0</v>
          </cell>
          <cell r="D1997">
            <v>0</v>
          </cell>
          <cell r="E1997" t="e">
            <v>#VALUE!</v>
          </cell>
          <cell r="F1997">
            <v>-1.1425416090717055</v>
          </cell>
        </row>
        <row r="1998">
          <cell r="A1998" t="str">
            <v>SCKPCCKA</v>
          </cell>
          <cell r="B1998">
            <v>2.2083131809757179</v>
          </cell>
          <cell r="C1998">
            <v>0</v>
          </cell>
          <cell r="D1998">
            <v>0</v>
          </cell>
          <cell r="E1998" t="e">
            <v>#VALUE!</v>
          </cell>
          <cell r="F1998">
            <v>0</v>
          </cell>
        </row>
        <row r="1999">
          <cell r="A1999" t="str">
            <v>SCKPCCCA</v>
          </cell>
          <cell r="B1999">
            <v>2.2083131809757179</v>
          </cell>
          <cell r="C1999">
            <v>0</v>
          </cell>
          <cell r="D1999">
            <v>0</v>
          </cell>
          <cell r="E1999" t="e">
            <v>#VALUE!</v>
          </cell>
          <cell r="F1999">
            <v>0</v>
          </cell>
        </row>
        <row r="2000">
          <cell r="A2000" t="str">
            <v>SCKPCCQA</v>
          </cell>
          <cell r="B2000">
            <v>2.2083131809757179</v>
          </cell>
          <cell r="C2000">
            <v>0</v>
          </cell>
          <cell r="D2000">
            <v>0</v>
          </cell>
          <cell r="E2000" t="e">
            <v>#VALUE!</v>
          </cell>
          <cell r="F2000">
            <v>0</v>
          </cell>
        </row>
        <row r="2001">
          <cell r="A2001" t="str">
            <v>SCKPTOTA</v>
          </cell>
          <cell r="B2001">
            <v>2.2083131809757179</v>
          </cell>
          <cell r="C2001">
            <v>0</v>
          </cell>
          <cell r="D2001">
            <v>0</v>
          </cell>
          <cell r="E2001" t="e">
            <v>#VALUE!</v>
          </cell>
          <cell r="F2001">
            <v>0</v>
          </cell>
        </row>
        <row r="2002">
          <cell r="A2002" t="str">
            <v>SCKPCRAA</v>
          </cell>
          <cell r="B2002">
            <v>0.77368365264918704</v>
          </cell>
          <cell r="C2002">
            <v>0</v>
          </cell>
          <cell r="D2002">
            <v>0</v>
          </cell>
          <cell r="E2002" t="e">
            <v>#VALUE!</v>
          </cell>
          <cell r="F2002">
            <v>0</v>
          </cell>
        </row>
        <row r="2003">
          <cell r="A2003" t="str">
            <v>SCKPFVAA</v>
          </cell>
          <cell r="B2003">
            <v>1.4514693776222125</v>
          </cell>
          <cell r="C2003">
            <v>0</v>
          </cell>
          <cell r="D2003">
            <v>0</v>
          </cell>
          <cell r="E2003" t="e">
            <v>#VALUE!</v>
          </cell>
          <cell r="F2003">
            <v>0</v>
          </cell>
        </row>
        <row r="2004">
          <cell r="A2004" t="str">
            <v>SCKPARAA</v>
          </cell>
          <cell r="B2004">
            <v>0.58122931865796645</v>
          </cell>
          <cell r="C2004">
            <v>0</v>
          </cell>
          <cell r="D2004">
            <v>0</v>
          </cell>
          <cell r="E2004" t="e">
            <v>#VALUE!</v>
          </cell>
          <cell r="F2004">
            <v>0</v>
          </cell>
        </row>
        <row r="2005">
          <cell r="A2005" t="str">
            <v>SCKABASA</v>
          </cell>
          <cell r="B2005">
            <v>2.2083131809757179</v>
          </cell>
          <cell r="C2005">
            <v>0</v>
          </cell>
          <cell r="D2005">
            <v>0</v>
          </cell>
          <cell r="E2005" t="e">
            <v>#VALUE!</v>
          </cell>
          <cell r="F2005">
            <v>0</v>
          </cell>
        </row>
        <row r="2006">
          <cell r="A2006" t="str">
            <v>SCKAAPIA</v>
          </cell>
          <cell r="B2006">
            <v>-0.29155388245843861</v>
          </cell>
          <cell r="C2006">
            <v>0</v>
          </cell>
          <cell r="D2006" t="e">
            <v>#VALUE!</v>
          </cell>
          <cell r="E2006" t="e">
            <v>#VALUE!</v>
          </cell>
          <cell r="F2006">
            <v>0</v>
          </cell>
        </row>
        <row r="2007">
          <cell r="A2007" t="str">
            <v>SCKACONA</v>
          </cell>
          <cell r="B2007">
            <v>-5.0846964273958987E-3</v>
          </cell>
          <cell r="C2007">
            <v>0</v>
          </cell>
          <cell r="D2007" t="e">
            <v>#VALUE!</v>
          </cell>
          <cell r="E2007" t="e">
            <v>#VALUE!</v>
          </cell>
          <cell r="F2007">
            <v>0</v>
          </cell>
        </row>
        <row r="2008">
          <cell r="A2008" t="str">
            <v>SCKASULA</v>
          </cell>
          <cell r="B2008">
            <v>-1.7612291835758784</v>
          </cell>
          <cell r="C2008">
            <v>0</v>
          </cell>
          <cell r="D2008" t="e">
            <v>#VALUE!</v>
          </cell>
          <cell r="E2008" t="e">
            <v>#VALUE!</v>
          </cell>
          <cell r="F2008">
            <v>0</v>
          </cell>
        </row>
        <row r="2009">
          <cell r="A2009" t="str">
            <v>SCKACCKA</v>
          </cell>
          <cell r="B2009">
            <v>2.2083131809757179</v>
          </cell>
          <cell r="C2009">
            <v>0</v>
          </cell>
          <cell r="D2009">
            <v>0</v>
          </cell>
          <cell r="E2009" t="e">
            <v>#VALUE!</v>
          </cell>
          <cell r="F2009">
            <v>0</v>
          </cell>
        </row>
        <row r="2010">
          <cell r="A2010" t="str">
            <v>SCKABPTA</v>
          </cell>
          <cell r="B2010">
            <v>2.2251530523169532</v>
          </cell>
          <cell r="C2010">
            <v>0</v>
          </cell>
          <cell r="D2010" t="e">
            <v>#VALUE!</v>
          </cell>
          <cell r="E2010" t="e">
            <v>#VALUE!</v>
          </cell>
          <cell r="F2010">
            <v>0</v>
          </cell>
        </row>
        <row r="2011">
          <cell r="A2011" t="str">
            <v>SCKBBASA</v>
          </cell>
          <cell r="B2011">
            <v>2.8220813130679194</v>
          </cell>
          <cell r="C2011">
            <v>0</v>
          </cell>
          <cell r="D2011" t="e">
            <v>#VALUE!</v>
          </cell>
          <cell r="E2011" t="e">
            <v>#VALUE!</v>
          </cell>
          <cell r="F2011">
            <v>0</v>
          </cell>
        </row>
        <row r="2012">
          <cell r="A2012" t="str">
            <v>SCKBAPIA</v>
          </cell>
          <cell r="B2012">
            <v>0.73184132478008534</v>
          </cell>
          <cell r="C2012">
            <v>0</v>
          </cell>
          <cell r="D2012" t="e">
            <v>#VALUE!</v>
          </cell>
          <cell r="E2012" t="e">
            <v>#VALUE!</v>
          </cell>
          <cell r="F2012">
            <v>0</v>
          </cell>
        </row>
        <row r="2013">
          <cell r="A2013" t="str">
            <v>SCKBCONA</v>
          </cell>
          <cell r="B2013">
            <v>1.98076205220941</v>
          </cell>
          <cell r="C2013">
            <v>0</v>
          </cell>
          <cell r="D2013" t="e">
            <v>#VALUE!</v>
          </cell>
          <cell r="E2013" t="e">
            <v>#VALUE!</v>
          </cell>
          <cell r="F2013">
            <v>0</v>
          </cell>
        </row>
        <row r="2014">
          <cell r="A2014" t="str">
            <v>SCKBSULA</v>
          </cell>
          <cell r="B2014">
            <v>0.85252051222814274</v>
          </cell>
          <cell r="C2014">
            <v>0</v>
          </cell>
          <cell r="D2014" t="e">
            <v>#VALUE!</v>
          </cell>
          <cell r="E2014" t="e">
            <v>#VALUE!</v>
          </cell>
          <cell r="F2014">
            <v>0</v>
          </cell>
        </row>
        <row r="2015">
          <cell r="A2015" t="str">
            <v>SCKBKCKA</v>
          </cell>
          <cell r="B2015">
            <v>2.8220813130679194</v>
          </cell>
          <cell r="C2015">
            <v>0</v>
          </cell>
          <cell r="D2015">
            <v>0</v>
          </cell>
          <cell r="E2015" t="e">
            <v>#VALUE!</v>
          </cell>
          <cell r="F2015">
            <v>0</v>
          </cell>
        </row>
        <row r="2016">
          <cell r="A2016" t="str">
            <v>SCKBBPTA</v>
          </cell>
          <cell r="B2016">
            <v>2.8367516360870781</v>
          </cell>
          <cell r="C2016">
            <v>0</v>
          </cell>
          <cell r="D2016" t="e">
            <v>#VALUE!</v>
          </cell>
          <cell r="E2016" t="e">
            <v>#VALUE!</v>
          </cell>
          <cell r="F2016">
            <v>0</v>
          </cell>
        </row>
        <row r="2017">
          <cell r="A2017" t="str">
            <v>SDCXDCDA</v>
          </cell>
          <cell r="B2017">
            <v>1.0805067399593249E-2</v>
          </cell>
          <cell r="C2017">
            <v>0</v>
          </cell>
          <cell r="D2017" t="e">
            <v>#VALUE!</v>
          </cell>
          <cell r="E2017" t="e">
            <v>#VALUE!</v>
          </cell>
          <cell r="F2017">
            <v>0</v>
          </cell>
        </row>
        <row r="2018">
          <cell r="A2018" t="str">
            <v>SDCXDCXA</v>
          </cell>
          <cell r="B2018">
            <v>1.0805067399593249E-2</v>
          </cell>
          <cell r="C2018">
            <v>0</v>
          </cell>
          <cell r="D2018" t="e">
            <v>#VALUE!</v>
          </cell>
          <cell r="E2018" t="e">
            <v>#VALUE!</v>
          </cell>
          <cell r="F2018">
            <v>0</v>
          </cell>
        </row>
        <row r="2019">
          <cell r="A2019" t="str">
            <v>SPDABRSA</v>
          </cell>
          <cell r="B2019">
            <v>1.3321221015224718</v>
          </cell>
          <cell r="C2019">
            <v>0</v>
          </cell>
          <cell r="D2019">
            <v>0</v>
          </cell>
          <cell r="E2019" t="e">
            <v>#VALUE!</v>
          </cell>
          <cell r="F2019">
            <v>0</v>
          </cell>
        </row>
        <row r="2020">
          <cell r="A2020" t="str">
            <v>SPDACILA</v>
          </cell>
          <cell r="B2020">
            <v>0</v>
          </cell>
          <cell r="C2020">
            <v>0</v>
          </cell>
          <cell r="D2020">
            <v>0</v>
          </cell>
          <cell r="E2020" t="e">
            <v>#VALUE!</v>
          </cell>
          <cell r="F2020">
            <v>-41.382797157601132</v>
          </cell>
        </row>
        <row r="2021">
          <cell r="A2021" t="str">
            <v>SPDAVFVA</v>
          </cell>
          <cell r="B2021">
            <v>1.3321221015224718</v>
          </cell>
          <cell r="C2021">
            <v>0</v>
          </cell>
          <cell r="D2021">
            <v>0</v>
          </cell>
          <cell r="E2021" t="e">
            <v>#VALUE!</v>
          </cell>
          <cell r="F2021">
            <v>0</v>
          </cell>
        </row>
        <row r="2022">
          <cell r="A2022" t="str">
            <v>SPDABBSA</v>
          </cell>
          <cell r="B2022">
            <v>1.3606960649359716</v>
          </cell>
          <cell r="C2022">
            <v>0</v>
          </cell>
          <cell r="D2022">
            <v>0</v>
          </cell>
          <cell r="E2022" t="e">
            <v>#VALUE!</v>
          </cell>
          <cell r="F2022">
            <v>0</v>
          </cell>
        </row>
        <row r="2023">
          <cell r="A2023" t="str">
            <v>SPDABCIA</v>
          </cell>
          <cell r="B2023">
            <v>0</v>
          </cell>
          <cell r="C2023">
            <v>0</v>
          </cell>
          <cell r="D2023">
            <v>0</v>
          </cell>
          <cell r="E2023" t="e">
            <v>#VALUE!</v>
          </cell>
          <cell r="F2023">
            <v>-44.673298707726886</v>
          </cell>
        </row>
        <row r="2024">
          <cell r="A2024" t="str">
            <v>SPDABPTA</v>
          </cell>
          <cell r="B2024">
            <v>1.3626410334077599</v>
          </cell>
          <cell r="C2024">
            <v>0</v>
          </cell>
          <cell r="D2024">
            <v>0</v>
          </cell>
          <cell r="E2024" t="e">
            <v>#VALUE!</v>
          </cell>
          <cell r="F2024">
            <v>0</v>
          </cell>
        </row>
        <row r="2025">
          <cell r="A2025" t="str">
            <v>SFURV05A</v>
          </cell>
          <cell r="B2025">
            <v>6.479002029111941E-2</v>
          </cell>
          <cell r="C2025">
            <v>0</v>
          </cell>
          <cell r="D2025">
            <v>0</v>
          </cell>
          <cell r="E2025" t="e">
            <v>#VALUE!</v>
          </cell>
          <cell r="F2025">
            <v>-1.1154371026444108</v>
          </cell>
        </row>
        <row r="2026">
          <cell r="A2026" t="str">
            <v>SFURV20A</v>
          </cell>
          <cell r="B2026">
            <v>0.42447141874326416</v>
          </cell>
          <cell r="C2026">
            <v>0</v>
          </cell>
          <cell r="D2026">
            <v>0</v>
          </cell>
          <cell r="E2026" t="e">
            <v>#VALUE!</v>
          </cell>
          <cell r="F2026">
            <v>0</v>
          </cell>
        </row>
        <row r="2027">
          <cell r="A2027" t="str">
            <v>SFURV30A</v>
          </cell>
          <cell r="B2027">
            <v>0.15517554156584282</v>
          </cell>
          <cell r="C2027">
            <v>0</v>
          </cell>
          <cell r="D2027">
            <v>0</v>
          </cell>
          <cell r="E2027" t="e">
            <v>#VALUE!</v>
          </cell>
          <cell r="F2027">
            <v>0</v>
          </cell>
        </row>
        <row r="2028">
          <cell r="A2028" t="str">
            <v>SFURV40A</v>
          </cell>
          <cell r="B2028">
            <v>0.45138590954346197</v>
          </cell>
          <cell r="C2028">
            <v>0</v>
          </cell>
          <cell r="D2028">
            <v>0</v>
          </cell>
          <cell r="E2028" t="e">
            <v>#VALUE!</v>
          </cell>
          <cell r="F2028">
            <v>0</v>
          </cell>
        </row>
        <row r="2029">
          <cell r="A2029" t="str">
            <v>SFURBRSA</v>
          </cell>
          <cell r="B2029">
            <v>0.16331856079297524</v>
          </cell>
          <cell r="C2029">
            <v>0</v>
          </cell>
          <cell r="D2029">
            <v>0</v>
          </cell>
          <cell r="E2029" t="e">
            <v>#VALUE!</v>
          </cell>
          <cell r="F2029">
            <v>0</v>
          </cell>
        </row>
        <row r="2030">
          <cell r="A2030" t="str">
            <v>SFURBPTA</v>
          </cell>
          <cell r="B2030">
            <v>1.3939074049257252</v>
          </cell>
          <cell r="C2030">
            <v>0</v>
          </cell>
          <cell r="D2030">
            <v>0</v>
          </cell>
          <cell r="E2030" t="e">
            <v>#VALUE!</v>
          </cell>
          <cell r="F2030">
            <v>0</v>
          </cell>
        </row>
        <row r="2031">
          <cell r="A2031" t="str">
            <v>SFURB05A</v>
          </cell>
          <cell r="B2031">
            <v>7.3594336436219418E-2</v>
          </cell>
          <cell r="C2031">
            <v>0</v>
          </cell>
          <cell r="D2031">
            <v>0</v>
          </cell>
          <cell r="E2031" t="e">
            <v>#VALUE!</v>
          </cell>
          <cell r="F2031">
            <v>0</v>
          </cell>
        </row>
        <row r="2032">
          <cell r="A2032" t="str">
            <v>SFURB20A</v>
          </cell>
          <cell r="B2032">
            <v>0.47217776661049832</v>
          </cell>
          <cell r="C2032">
            <v>0</v>
          </cell>
          <cell r="D2032">
            <v>0</v>
          </cell>
          <cell r="E2032" t="e">
            <v>#VALUE!</v>
          </cell>
          <cell r="F2032">
            <v>0</v>
          </cell>
        </row>
        <row r="2033">
          <cell r="A2033" t="str">
            <v>SFURB30A</v>
          </cell>
          <cell r="B2033">
            <v>0.17177311520870417</v>
          </cell>
          <cell r="C2033">
            <v>0</v>
          </cell>
          <cell r="D2033">
            <v>0</v>
          </cell>
          <cell r="E2033" t="e">
            <v>#VALUE!</v>
          </cell>
          <cell r="F2033">
            <v>0</v>
          </cell>
        </row>
        <row r="2034">
          <cell r="A2034" t="str">
            <v>SFURB40A</v>
          </cell>
          <cell r="B2034">
            <v>0.49641616683300227</v>
          </cell>
          <cell r="C2034">
            <v>0</v>
          </cell>
          <cell r="D2034">
            <v>0</v>
          </cell>
          <cell r="E2034" t="e">
            <v>#VALUE!</v>
          </cell>
          <cell r="F2034">
            <v>0</v>
          </cell>
        </row>
        <row r="2035">
          <cell r="A2035" t="str">
            <v>SFURB50A</v>
          </cell>
          <cell r="B2035">
            <v>0.17994601883708614</v>
          </cell>
          <cell r="C2035">
            <v>0</v>
          </cell>
          <cell r="D2035">
            <v>0</v>
          </cell>
          <cell r="E2035" t="e">
            <v>#VALUE!</v>
          </cell>
          <cell r="F2035">
            <v>0</v>
          </cell>
        </row>
        <row r="2036">
          <cell r="A2036" t="str">
            <v>SHTAR05A</v>
          </cell>
          <cell r="B2036">
            <v>0</v>
          </cell>
          <cell r="C2036">
            <v>0</v>
          </cell>
          <cell r="D2036">
            <v>0</v>
          </cell>
          <cell r="E2036" t="e">
            <v>#VALUE!</v>
          </cell>
          <cell r="F2036">
            <v>-14.480881183073945</v>
          </cell>
        </row>
        <row r="2037">
          <cell r="A2037" t="str">
            <v>SHTAD05A</v>
          </cell>
          <cell r="B2037">
            <v>3.9279791549460527E-2</v>
          </cell>
          <cell r="C2037">
            <v>0</v>
          </cell>
          <cell r="D2037">
            <v>0</v>
          </cell>
          <cell r="E2037" t="e">
            <v>#VALUE!</v>
          </cell>
          <cell r="F2037">
            <v>0</v>
          </cell>
        </row>
        <row r="2038">
          <cell r="A2038" t="str">
            <v>SHTAR20A</v>
          </cell>
          <cell r="B2038">
            <v>0</v>
          </cell>
          <cell r="C2038">
            <v>0</v>
          </cell>
          <cell r="D2038">
            <v>0</v>
          </cell>
          <cell r="E2038" t="e">
            <v>#VALUE!</v>
          </cell>
          <cell r="F2038">
            <v>-21.831049540271497</v>
          </cell>
        </row>
        <row r="2039">
          <cell r="A2039" t="str">
            <v>SHTAD20A</v>
          </cell>
          <cell r="B2039">
            <v>0.26372961352949276</v>
          </cell>
          <cell r="C2039">
            <v>0</v>
          </cell>
          <cell r="D2039">
            <v>0</v>
          </cell>
          <cell r="E2039" t="e">
            <v>#VALUE!</v>
          </cell>
          <cell r="F2039">
            <v>0</v>
          </cell>
        </row>
        <row r="2040">
          <cell r="A2040" t="str">
            <v>SHTAR30A</v>
          </cell>
          <cell r="B2040">
            <v>0</v>
          </cell>
          <cell r="C2040">
            <v>0</v>
          </cell>
          <cell r="D2040">
            <v>0</v>
          </cell>
          <cell r="E2040" t="e">
            <v>#VALUE!</v>
          </cell>
          <cell r="F2040">
            <v>-36.543265125849473</v>
          </cell>
        </row>
        <row r="2041">
          <cell r="A2041" t="str">
            <v>SHTAD30A</v>
          </cell>
          <cell r="B2041">
            <v>9.6939864591376421E-2</v>
          </cell>
          <cell r="C2041">
            <v>0</v>
          </cell>
          <cell r="D2041">
            <v>0</v>
          </cell>
          <cell r="E2041" t="e">
            <v>#VALUE!</v>
          </cell>
          <cell r="F2041">
            <v>0</v>
          </cell>
        </row>
        <row r="2042">
          <cell r="A2042" t="str">
            <v>SHTAR40A</v>
          </cell>
          <cell r="B2042">
            <v>0</v>
          </cell>
          <cell r="C2042">
            <v>0</v>
          </cell>
          <cell r="D2042">
            <v>0</v>
          </cell>
          <cell r="E2042">
            <v>0</v>
          </cell>
          <cell r="F2042">
            <v>-21.346945744344634</v>
          </cell>
        </row>
        <row r="2043">
          <cell r="A2043" t="str">
            <v>SHTAD40A</v>
          </cell>
          <cell r="B2043">
            <v>0.27689365648651776</v>
          </cell>
          <cell r="C2043">
            <v>0</v>
          </cell>
          <cell r="D2043">
            <v>0</v>
          </cell>
          <cell r="E2043" t="e">
            <v>#VALUE!</v>
          </cell>
          <cell r="F2043">
            <v>0</v>
          </cell>
        </row>
        <row r="2044">
          <cell r="A2044" t="str">
            <v>SHTARBSA</v>
          </cell>
          <cell r="B2044">
            <v>0</v>
          </cell>
          <cell r="C2044">
            <v>0</v>
          </cell>
          <cell r="D2044">
            <v>0</v>
          </cell>
          <cell r="E2044">
            <v>0</v>
          </cell>
          <cell r="F2044">
            <v>13.076793626236588</v>
          </cell>
        </row>
        <row r="2045">
          <cell r="A2045" t="str">
            <v>SHTAD50A</v>
          </cell>
          <cell r="B2045">
            <v>9.7955692732987334E-2</v>
          </cell>
          <cell r="C2045">
            <v>0</v>
          </cell>
          <cell r="D2045">
            <v>0</v>
          </cell>
          <cell r="E2045" t="e">
            <v>#VALUE!</v>
          </cell>
          <cell r="F2045">
            <v>0</v>
          </cell>
        </row>
        <row r="2046">
          <cell r="A2046" t="str">
            <v>SHTACILA</v>
          </cell>
          <cell r="B2046">
            <v>0</v>
          </cell>
          <cell r="C2046">
            <v>0</v>
          </cell>
          <cell r="D2046">
            <v>0</v>
          </cell>
          <cell r="E2046" t="e">
            <v>#VALUE!</v>
          </cell>
          <cell r="F2046">
            <v>0</v>
          </cell>
        </row>
        <row r="2047">
          <cell r="A2047" t="str">
            <v>SHTABPTA</v>
          </cell>
          <cell r="B2047">
            <v>0.89141889206350666</v>
          </cell>
          <cell r="C2047">
            <v>0</v>
          </cell>
          <cell r="D2047">
            <v>0</v>
          </cell>
          <cell r="E2047" t="e">
            <v>#VALUE!</v>
          </cell>
          <cell r="F2047">
            <v>0</v>
          </cell>
        </row>
        <row r="2048">
          <cell r="A2048" t="str">
            <v>SHTAB05A</v>
          </cell>
          <cell r="B2048">
            <v>4.7785439842367827E-2</v>
          </cell>
          <cell r="C2048">
            <v>0</v>
          </cell>
          <cell r="D2048">
            <v>0</v>
          </cell>
          <cell r="E2048" t="e">
            <v>#VALUE!</v>
          </cell>
          <cell r="F2048">
            <v>0</v>
          </cell>
        </row>
        <row r="2049">
          <cell r="A2049" t="str">
            <v>SHTABP2A</v>
          </cell>
          <cell r="B2049">
            <v>0.30595008706393306</v>
          </cell>
          <cell r="C2049">
            <v>0</v>
          </cell>
          <cell r="D2049">
            <v>0</v>
          </cell>
          <cell r="E2049" t="e">
            <v>#VALUE!</v>
          </cell>
          <cell r="F2049">
            <v>0</v>
          </cell>
        </row>
        <row r="2050">
          <cell r="A2050" t="str">
            <v>SHTABP3A</v>
          </cell>
          <cell r="B2050">
            <v>0.11116966848095802</v>
          </cell>
          <cell r="C2050">
            <v>0</v>
          </cell>
          <cell r="D2050">
            <v>0</v>
          </cell>
          <cell r="E2050" t="e">
            <v>#VALUE!</v>
          </cell>
          <cell r="F2050">
            <v>0</v>
          </cell>
        </row>
        <row r="2051">
          <cell r="A2051" t="str">
            <v>SHTABP4A</v>
          </cell>
          <cell r="B2051">
            <v>0.31645068024119288</v>
          </cell>
          <cell r="C2051">
            <v>0</v>
          </cell>
          <cell r="D2051">
            <v>0</v>
          </cell>
          <cell r="E2051" t="e">
            <v>#VALUE!</v>
          </cell>
          <cell r="F2051">
            <v>0</v>
          </cell>
        </row>
        <row r="2052">
          <cell r="A2052" t="str">
            <v>SHTABP5A</v>
          </cell>
          <cell r="B2052">
            <v>0.11006301751692001</v>
          </cell>
          <cell r="C2052">
            <v>0</v>
          </cell>
          <cell r="D2052">
            <v>0</v>
          </cell>
          <cell r="E2052" t="e">
            <v>#VALUE!</v>
          </cell>
          <cell r="F2052">
            <v>0</v>
          </cell>
        </row>
        <row r="2053">
          <cell r="A2053" t="str">
            <v>SHTABP6A</v>
          </cell>
          <cell r="B2053">
            <v>0</v>
          </cell>
          <cell r="C2053">
            <v>0</v>
          </cell>
          <cell r="D2053">
            <v>0</v>
          </cell>
          <cell r="E2053" t="e">
            <v>#VALUE!</v>
          </cell>
          <cell r="F2053">
            <v>-435.79973345194776</v>
          </cell>
        </row>
        <row r="2054">
          <cell r="A2054" t="str">
            <v>SPFSTARA</v>
          </cell>
          <cell r="B2054">
            <v>0</v>
          </cell>
          <cell r="C2054">
            <v>0</v>
          </cell>
          <cell r="D2054">
            <v>0</v>
          </cell>
          <cell r="E2054" t="e">
            <v>#VALUE!</v>
          </cell>
          <cell r="F2054">
            <v>-295.50297809757598</v>
          </cell>
        </row>
        <row r="2055">
          <cell r="A2055" t="str">
            <v>SPFSGN1A</v>
          </cell>
          <cell r="B2055">
            <v>1.6438399907201529E-3</v>
          </cell>
          <cell r="C2055">
            <v>0</v>
          </cell>
          <cell r="D2055">
            <v>0</v>
          </cell>
          <cell r="E2055" t="e">
            <v>#VALUE!</v>
          </cell>
          <cell r="F2055">
            <v>0</v>
          </cell>
        </row>
        <row r="2056">
          <cell r="A2056" t="str">
            <v>SPFSGRSA</v>
          </cell>
          <cell r="B2056">
            <v>1.7243890822163388E-3</v>
          </cell>
          <cell r="C2056">
            <v>0</v>
          </cell>
          <cell r="D2056">
            <v>0</v>
          </cell>
          <cell r="E2056" t="e">
            <v>#VALUE!</v>
          </cell>
          <cell r="F2056">
            <v>0</v>
          </cell>
        </row>
        <row r="2057">
          <cell r="A2057" t="str">
            <v>SPFSHYFA</v>
          </cell>
          <cell r="B2057">
            <v>0.24134659416055027</v>
          </cell>
          <cell r="C2057">
            <v>0</v>
          </cell>
          <cell r="D2057">
            <v>0.12845000624656677</v>
          </cell>
          <cell r="E2057" t="e">
            <v>#VALUE!</v>
          </cell>
          <cell r="F2057">
            <v>0</v>
          </cell>
        </row>
        <row r="2058">
          <cell r="A2058" t="str">
            <v>SPFSH23A</v>
          </cell>
          <cell r="B2058">
            <v>0</v>
          </cell>
          <cell r="C2058">
            <v>0</v>
          </cell>
          <cell r="D2058">
            <v>0</v>
          </cell>
          <cell r="E2058" t="e">
            <v>#VALUE!</v>
          </cell>
          <cell r="F2058">
            <v>-574.713264695259</v>
          </cell>
        </row>
        <row r="2059">
          <cell r="A2059" t="str">
            <v>SPFSNC1A</v>
          </cell>
          <cell r="B2059">
            <v>0.24037694294158726</v>
          </cell>
          <cell r="C2059">
            <v>0</v>
          </cell>
          <cell r="D2059">
            <v>0</v>
          </cell>
          <cell r="E2059" t="e">
            <v>#VALUE!</v>
          </cell>
          <cell r="F2059">
            <v>0</v>
          </cell>
        </row>
        <row r="2060">
          <cell r="A2060" t="str">
            <v>SPFSNC2A</v>
          </cell>
          <cell r="B2060">
            <v>1.4368958873291537E-2</v>
          </cell>
          <cell r="C2060">
            <v>0</v>
          </cell>
          <cell r="D2060">
            <v>0</v>
          </cell>
          <cell r="E2060" t="e">
            <v>#VALUE!</v>
          </cell>
          <cell r="F2060">
            <v>-5.2062960520182569E-2</v>
          </cell>
        </row>
        <row r="2061">
          <cell r="A2061" t="str">
            <v>SPFSC2=A</v>
          </cell>
          <cell r="B2061">
            <v>0.109896397917238</v>
          </cell>
          <cell r="C2061">
            <v>0</v>
          </cell>
          <cell r="D2061">
            <v>0</v>
          </cell>
          <cell r="E2061" t="e">
            <v>#VALUE!</v>
          </cell>
          <cell r="F2061">
            <v>0</v>
          </cell>
        </row>
        <row r="2062">
          <cell r="A2062" t="str">
            <v>SPFSCRBA</v>
          </cell>
          <cell r="B2062">
            <v>0.42463033395270777</v>
          </cell>
          <cell r="C2062">
            <v>0</v>
          </cell>
          <cell r="D2062">
            <v>0</v>
          </cell>
          <cell r="E2062" t="e">
            <v>#VALUE!</v>
          </cell>
          <cell r="F2062">
            <v>0</v>
          </cell>
        </row>
        <row r="2063">
          <cell r="A2063" t="str">
            <v>SPFSFOIA</v>
          </cell>
          <cell r="B2063">
            <v>0.60000002384185791</v>
          </cell>
          <cell r="C2063">
            <v>0</v>
          </cell>
          <cell r="D2063">
            <v>0.60000002384185791</v>
          </cell>
          <cell r="E2063" t="e">
            <v>#VALUE!</v>
          </cell>
          <cell r="F2063">
            <v>-238.60454937660532</v>
          </cell>
        </row>
        <row r="2064">
          <cell r="A2064" t="str">
            <v>SPFSBPTA</v>
          </cell>
          <cell r="B2064">
            <v>0.63755253651370736</v>
          </cell>
          <cell r="C2064">
            <v>0</v>
          </cell>
          <cell r="D2064">
            <v>0</v>
          </cell>
          <cell r="E2064" t="e">
            <v>#VALUE!</v>
          </cell>
          <cell r="F2064">
            <v>0</v>
          </cell>
        </row>
        <row r="2065">
          <cell r="A2065" t="str">
            <v>SUTLKWHA</v>
          </cell>
          <cell r="B2065">
            <v>0</v>
          </cell>
          <cell r="C2065">
            <v>0</v>
          </cell>
          <cell r="D2065">
            <v>0</v>
          </cell>
          <cell r="E2065" t="e">
            <v>#VALUE!</v>
          </cell>
          <cell r="F2065">
            <v>0</v>
          </cell>
        </row>
        <row r="2066">
          <cell r="A2066" t="str">
            <v>SUTLWATA</v>
          </cell>
          <cell r="B2066">
            <v>3.4434757304518189</v>
          </cell>
          <cell r="C2066">
            <v>0</v>
          </cell>
          <cell r="D2066">
            <v>0</v>
          </cell>
          <cell r="E2066" t="e">
            <v>#VALUE!</v>
          </cell>
          <cell r="F2066">
            <v>0</v>
          </cell>
        </row>
        <row r="2067">
          <cell r="A2067" t="str">
            <v>SUTLH2OA</v>
          </cell>
          <cell r="B2067">
            <v>397.34956656678082</v>
          </cell>
          <cell r="C2067">
            <v>0</v>
          </cell>
          <cell r="D2067">
            <v>0</v>
          </cell>
          <cell r="E2067" t="e">
            <v>#VALUE!</v>
          </cell>
          <cell r="F2067">
            <v>0</v>
          </cell>
        </row>
        <row r="2068">
          <cell r="A2068" t="str">
            <v>SUTLSTMA</v>
          </cell>
          <cell r="B2068">
            <v>4.9192510944523224</v>
          </cell>
          <cell r="C2068">
            <v>0</v>
          </cell>
          <cell r="D2068">
            <v>0</v>
          </cell>
          <cell r="E2068" t="e">
            <v>#VALUE!</v>
          </cell>
          <cell r="F2068">
            <v>0</v>
          </cell>
        </row>
        <row r="2069">
          <cell r="A2069" t="str">
            <v>SFOICCDA</v>
          </cell>
          <cell r="B2069">
            <v>0</v>
          </cell>
          <cell r="C2069">
            <v>0</v>
          </cell>
          <cell r="D2069">
            <v>0</v>
          </cell>
          <cell r="E2069" t="e">
            <v>#VALUE!</v>
          </cell>
          <cell r="F2069">
            <v>-109.64502199773919</v>
          </cell>
        </row>
        <row r="2070">
          <cell r="A2070" t="str">
            <v>SFOICFDA</v>
          </cell>
          <cell r="B2070">
            <v>0</v>
          </cell>
          <cell r="C2070">
            <v>0</v>
          </cell>
          <cell r="D2070">
            <v>0</v>
          </cell>
          <cell r="E2070" t="e">
            <v>#VALUE!</v>
          </cell>
          <cell r="F2070">
            <v>-37.740657137518056</v>
          </cell>
        </row>
        <row r="2071">
          <cell r="A2071" t="str">
            <v>SFOIBCDA</v>
          </cell>
          <cell r="B2071">
            <v>0</v>
          </cell>
          <cell r="C2071">
            <v>0</v>
          </cell>
          <cell r="D2071">
            <v>0</v>
          </cell>
          <cell r="E2071" t="e">
            <v>#VALUE!</v>
          </cell>
          <cell r="F2071">
            <v>-92.540001375381266</v>
          </cell>
        </row>
        <row r="2072">
          <cell r="A2072" t="str">
            <v>SFOIDCGA</v>
          </cell>
          <cell r="B2072">
            <v>0</v>
          </cell>
          <cell r="C2072">
            <v>0</v>
          </cell>
          <cell r="D2072">
            <v>0</v>
          </cell>
          <cell r="E2072" t="e">
            <v>#VALUE!</v>
          </cell>
          <cell r="F2072">
            <v>-53.139393730686137</v>
          </cell>
        </row>
        <row r="2073">
          <cell r="A2073" t="str">
            <v>SFOIDCXA</v>
          </cell>
          <cell r="B2073">
            <v>1.0805067399593249E-2</v>
          </cell>
          <cell r="C2073">
            <v>0</v>
          </cell>
          <cell r="D2073">
            <v>0</v>
          </cell>
          <cell r="E2073" t="e">
            <v>#VALUE!</v>
          </cell>
          <cell r="F2073">
            <v>-6.2184635972323479</v>
          </cell>
        </row>
        <row r="2074">
          <cell r="A2074" t="str">
            <v>SFOIVRBA</v>
          </cell>
          <cell r="B2074">
            <v>0</v>
          </cell>
          <cell r="C2074">
            <v>0</v>
          </cell>
          <cell r="D2074">
            <v>0</v>
          </cell>
          <cell r="E2074" t="e">
            <v>#VALUE!</v>
          </cell>
          <cell r="F2074">
            <v>-9.1106021371606278</v>
          </cell>
        </row>
        <row r="2075">
          <cell r="A2075" t="str">
            <v>SFOICCSA</v>
          </cell>
          <cell r="B2075">
            <v>0</v>
          </cell>
          <cell r="C2075">
            <v>0</v>
          </cell>
          <cell r="D2075">
            <v>0</v>
          </cell>
          <cell r="E2075" t="e">
            <v>#VALUE!</v>
          </cell>
          <cell r="F2075">
            <v>-589.28798694349314</v>
          </cell>
        </row>
        <row r="2076">
          <cell r="A2076" t="str">
            <v>SFOICSBA</v>
          </cell>
          <cell r="B2076">
            <v>6.0462379215718946E-3</v>
          </cell>
          <cell r="C2076">
            <v>0</v>
          </cell>
          <cell r="D2076">
            <v>0</v>
          </cell>
          <cell r="E2076" t="e">
            <v>#VALUE!</v>
          </cell>
          <cell r="F2076">
            <v>-7.0558340412296658</v>
          </cell>
        </row>
        <row r="2077">
          <cell r="A2077" t="str">
            <v>SFOIAR1A</v>
          </cell>
          <cell r="B2077">
            <v>0.49218137288746766</v>
          </cell>
          <cell r="C2077">
            <v>0</v>
          </cell>
          <cell r="D2077">
            <v>0</v>
          </cell>
          <cell r="E2077" t="e">
            <v>#VALUE!</v>
          </cell>
          <cell r="F2077">
            <v>0</v>
          </cell>
        </row>
        <row r="2078">
          <cell r="A2078" t="str">
            <v>SFOIAR2A</v>
          </cell>
          <cell r="B2078">
            <v>0</v>
          </cell>
          <cell r="C2078">
            <v>0</v>
          </cell>
          <cell r="D2078">
            <v>0</v>
          </cell>
          <cell r="E2078" t="e">
            <v>#VALUE!</v>
          </cell>
          <cell r="F2078">
            <v>-190.94805093007545</v>
          </cell>
        </row>
        <row r="2079">
          <cell r="A2079" t="str">
            <v>SFOIAR3A</v>
          </cell>
          <cell r="B2079">
            <v>0</v>
          </cell>
          <cell r="C2079">
            <v>0</v>
          </cell>
          <cell r="D2079">
            <v>0</v>
          </cell>
          <cell r="E2079" t="e">
            <v>#VALUE!</v>
          </cell>
          <cell r="F2079">
            <v>-118.2592218059383</v>
          </cell>
        </row>
        <row r="2080">
          <cell r="A2080" t="str">
            <v>SFOIAR4A</v>
          </cell>
          <cell r="B2080">
            <v>0</v>
          </cell>
          <cell r="C2080">
            <v>0</v>
          </cell>
          <cell r="D2080">
            <v>0</v>
          </cell>
          <cell r="E2080" t="e">
            <v>#VALUE!</v>
          </cell>
          <cell r="F2080">
            <v>-1.638947787676772</v>
          </cell>
        </row>
        <row r="2081">
          <cell r="A2081" t="str">
            <v>SFOIAR5A</v>
          </cell>
          <cell r="B2081">
            <v>0</v>
          </cell>
          <cell r="C2081">
            <v>0</v>
          </cell>
          <cell r="D2081">
            <v>0</v>
          </cell>
          <cell r="E2081" t="e">
            <v>#VALUE!</v>
          </cell>
          <cell r="F2081">
            <v>-223.33874290152772</v>
          </cell>
        </row>
        <row r="2082">
          <cell r="A2082" t="str">
            <v>SFOIAR6A</v>
          </cell>
          <cell r="B2082">
            <v>0</v>
          </cell>
          <cell r="C2082">
            <v>0</v>
          </cell>
          <cell r="D2082">
            <v>0</v>
          </cell>
          <cell r="E2082" t="e">
            <v>#VALUE!</v>
          </cell>
          <cell r="F2082">
            <v>-42.634082188018382</v>
          </cell>
        </row>
        <row r="2083">
          <cell r="A2083" t="str">
            <v>SFOIAR7A</v>
          </cell>
          <cell r="B2083">
            <v>0</v>
          </cell>
          <cell r="C2083">
            <v>0</v>
          </cell>
          <cell r="D2083">
            <v>0</v>
          </cell>
          <cell r="E2083" t="e">
            <v>#VALUE!</v>
          </cell>
          <cell r="F2083">
            <v>-202.49377809289385</v>
          </cell>
        </row>
        <row r="2084">
          <cell r="A2084" t="str">
            <v>SFOIVFVA</v>
          </cell>
          <cell r="B2084">
            <v>0</v>
          </cell>
          <cell r="C2084">
            <v>0</v>
          </cell>
          <cell r="D2084">
            <v>0</v>
          </cell>
          <cell r="E2084" t="e">
            <v>#VALUE!</v>
          </cell>
          <cell r="F2084">
            <v>-166.94640900076251</v>
          </cell>
        </row>
        <row r="2085">
          <cell r="A2085" t="str">
            <v>SFOIFPDA</v>
          </cell>
          <cell r="B2085">
            <v>0</v>
          </cell>
          <cell r="C2085">
            <v>0</v>
          </cell>
          <cell r="D2085">
            <v>0</v>
          </cell>
          <cell r="E2085" t="e">
            <v>#VALUE!</v>
          </cell>
          <cell r="F2085">
            <v>-326.86931219231593</v>
          </cell>
        </row>
        <row r="2086">
          <cell r="A2086" t="str">
            <v>SFOIFDOA</v>
          </cell>
          <cell r="B2086">
            <v>0</v>
          </cell>
          <cell r="C2086">
            <v>0</v>
          </cell>
          <cell r="D2086">
            <v>0</v>
          </cell>
          <cell r="E2086" t="e">
            <v>#VALUE!</v>
          </cell>
          <cell r="F2086">
            <v>-49.991115705934291</v>
          </cell>
        </row>
        <row r="2087">
          <cell r="A2087" t="str">
            <v>SFOIALPA</v>
          </cell>
          <cell r="B2087">
            <v>2.2311830490011057E-2</v>
          </cell>
          <cell r="C2087">
            <v>0</v>
          </cell>
          <cell r="D2087">
            <v>0</v>
          </cell>
          <cell r="E2087" t="e">
            <v>#VALUE!</v>
          </cell>
          <cell r="F2087">
            <v>0</v>
          </cell>
        </row>
        <row r="2088">
          <cell r="A2088" t="str">
            <v>SFOIFUEA</v>
          </cell>
          <cell r="B2088">
            <v>0</v>
          </cell>
          <cell r="C2088">
            <v>0</v>
          </cell>
          <cell r="D2088">
            <v>0</v>
          </cell>
          <cell r="E2088" t="e">
            <v>#VALUE!</v>
          </cell>
          <cell r="F2088">
            <v>-10.286748044784755</v>
          </cell>
        </row>
        <row r="2089">
          <cell r="A2089" t="str">
            <v>SFOIHTDA</v>
          </cell>
          <cell r="B2089">
            <v>2.4355249045646354E-2</v>
          </cell>
          <cell r="C2089">
            <v>0</v>
          </cell>
          <cell r="D2089">
            <v>0</v>
          </cell>
          <cell r="E2089" t="e">
            <v>#VALUE!</v>
          </cell>
          <cell r="F2089">
            <v>-2.4742957742246863</v>
          </cell>
        </row>
        <row r="2090">
          <cell r="A2090" t="str">
            <v>SFOIJPIA</v>
          </cell>
          <cell r="B2090">
            <v>4.8683804365461818E-2</v>
          </cell>
          <cell r="C2090">
            <v>0</v>
          </cell>
          <cell r="D2090">
            <v>0</v>
          </cell>
          <cell r="E2090" t="e">
            <v>#VALUE!</v>
          </cell>
          <cell r="F2090">
            <v>0</v>
          </cell>
        </row>
        <row r="2091">
          <cell r="A2091" t="str">
            <v>SFOIFOIA</v>
          </cell>
          <cell r="B2091">
            <v>0.60438358783721924</v>
          </cell>
          <cell r="C2091">
            <v>0</v>
          </cell>
          <cell r="D2091">
            <v>0</v>
          </cell>
          <cell r="E2091" t="e">
            <v>#VALUE!</v>
          </cell>
          <cell r="F2091">
            <v>0</v>
          </cell>
        </row>
        <row r="2092">
          <cell r="A2092" t="str">
            <v>SFOITOTA</v>
          </cell>
          <cell r="B2092">
            <v>0.60438358783721924</v>
          </cell>
          <cell r="C2092">
            <v>0</v>
          </cell>
          <cell r="D2092">
            <v>0</v>
          </cell>
          <cell r="E2092" t="e">
            <v>#VALUE!</v>
          </cell>
          <cell r="F2092">
            <v>0</v>
          </cell>
        </row>
        <row r="2093">
          <cell r="A2093" t="str">
            <v>SPERC4AA</v>
          </cell>
          <cell r="B2093">
            <v>0</v>
          </cell>
          <cell r="C2093">
            <v>0</v>
          </cell>
          <cell r="D2093">
            <v>0</v>
          </cell>
          <cell r="E2093" t="e">
            <v>#VALUE!</v>
          </cell>
          <cell r="F2093">
            <v>-333.63701598284996</v>
          </cell>
        </row>
        <row r="2094">
          <cell r="A2094" t="str">
            <v>SPERBUIA</v>
          </cell>
          <cell r="B2094">
            <v>0</v>
          </cell>
          <cell r="C2094">
            <v>0</v>
          </cell>
          <cell r="D2094">
            <v>0</v>
          </cell>
          <cell r="E2094" t="e">
            <v>#VALUE!</v>
          </cell>
          <cell r="F2094">
            <v>0</v>
          </cell>
        </row>
        <row r="2095">
          <cell r="A2095" t="str">
            <v>SPERNC1A</v>
          </cell>
          <cell r="B2095">
            <v>2.7583513740603239E-2</v>
          </cell>
          <cell r="C2095">
            <v>0</v>
          </cell>
          <cell r="D2095">
            <v>0</v>
          </cell>
          <cell r="E2095" t="e">
            <v>#VALUE!</v>
          </cell>
          <cell r="F2095">
            <v>-6.9370976376206914E-2</v>
          </cell>
        </row>
        <row r="2096">
          <cell r="A2096" t="str">
            <v>SPERNC2A</v>
          </cell>
          <cell r="B2096">
            <v>0.26821837049641023</v>
          </cell>
          <cell r="C2096">
            <v>0</v>
          </cell>
          <cell r="D2096">
            <v>0</v>
          </cell>
          <cell r="E2096" t="e">
            <v>#VALUE!</v>
          </cell>
          <cell r="F2096">
            <v>0</v>
          </cell>
        </row>
        <row r="2097">
          <cell r="A2097" t="str">
            <v>SPERNC3A</v>
          </cell>
          <cell r="B2097">
            <v>0</v>
          </cell>
          <cell r="C2097">
            <v>0</v>
          </cell>
          <cell r="D2097">
            <v>0</v>
          </cell>
          <cell r="E2097" t="e">
            <v>#VALUE!</v>
          </cell>
          <cell r="F2097">
            <v>-309.05059814453125</v>
          </cell>
        </row>
        <row r="2098">
          <cell r="A2098" t="str">
            <v>SPERC3=A</v>
          </cell>
          <cell r="B2098">
            <v>0</v>
          </cell>
          <cell r="C2098">
            <v>0</v>
          </cell>
          <cell r="D2098">
            <v>0</v>
          </cell>
          <cell r="E2098" t="e">
            <v>#VALUE!</v>
          </cell>
          <cell r="F2098">
            <v>-759.9942626953125</v>
          </cell>
        </row>
        <row r="2099">
          <cell r="A2099" t="str">
            <v>SPERHYLA</v>
          </cell>
          <cell r="B2099">
            <v>0</v>
          </cell>
          <cell r="C2099">
            <v>0</v>
          </cell>
          <cell r="D2099">
            <v>0</v>
          </cell>
          <cell r="E2099" t="e">
            <v>#VALUE!</v>
          </cell>
          <cell r="F2099">
            <v>0</v>
          </cell>
        </row>
        <row r="2100">
          <cell r="A2100" t="str">
            <v>SPERH2PA</v>
          </cell>
          <cell r="B2100">
            <v>1.9329729761086302E-3</v>
          </cell>
          <cell r="C2100">
            <v>0</v>
          </cell>
          <cell r="D2100">
            <v>0</v>
          </cell>
          <cell r="E2100" t="e">
            <v>#VALUE!</v>
          </cell>
          <cell r="F2100">
            <v>0</v>
          </cell>
        </row>
        <row r="2101">
          <cell r="A2101" t="str">
            <v>SBITPBBA</v>
          </cell>
          <cell r="B2101">
            <v>6.8610822781920433E-3</v>
          </cell>
          <cell r="C2101">
            <v>0</v>
          </cell>
          <cell r="D2101">
            <v>0</v>
          </cell>
          <cell r="E2101" t="e">
            <v>#VALUE!</v>
          </cell>
          <cell r="F2101">
            <v>0</v>
          </cell>
        </row>
        <row r="2102">
          <cell r="A2102" t="str">
            <v>SBITLP2A</v>
          </cell>
          <cell r="B2102">
            <v>5.4344456642866135E-2</v>
          </cell>
          <cell r="C2102">
            <v>0</v>
          </cell>
          <cell r="D2102">
            <v>0</v>
          </cell>
          <cell r="E2102" t="e">
            <v>#VALUE!</v>
          </cell>
          <cell r="F2102">
            <v>0</v>
          </cell>
        </row>
        <row r="2103">
          <cell r="A2103" t="str">
            <v>SBITLP3A</v>
          </cell>
          <cell r="B2103">
            <v>0</v>
          </cell>
          <cell r="C2103">
            <v>0</v>
          </cell>
          <cell r="D2103">
            <v>0</v>
          </cell>
          <cell r="E2103" t="e">
            <v>#VALUE!</v>
          </cell>
          <cell r="F2103">
            <v>-3.3409316526700374</v>
          </cell>
        </row>
        <row r="2104">
          <cell r="A2104" t="str">
            <v>SBITASAA</v>
          </cell>
          <cell r="B2104">
            <v>4.7943908721208572E-2</v>
          </cell>
          <cell r="C2104">
            <v>0</v>
          </cell>
          <cell r="D2104">
            <v>0</v>
          </cell>
          <cell r="E2104" t="e">
            <v>#VALUE!</v>
          </cell>
          <cell r="F2104">
            <v>0</v>
          </cell>
        </row>
        <row r="2105">
          <cell r="A2105" t="str">
            <v>SBITAEMA</v>
          </cell>
          <cell r="B2105">
            <v>1.9523724913597107E-2</v>
          </cell>
          <cell r="C2105">
            <v>0</v>
          </cell>
          <cell r="D2105">
            <v>0</v>
          </cell>
          <cell r="E2105" t="e">
            <v>#VALUE!</v>
          </cell>
          <cell r="F2105">
            <v>0</v>
          </cell>
        </row>
        <row r="2106">
          <cell r="A2106" t="str">
            <v>SBITPLTA</v>
          </cell>
          <cell r="B2106">
            <v>2.9990088194608688E-2</v>
          </cell>
          <cell r="C2106">
            <v>0</v>
          </cell>
          <cell r="D2106">
            <v>0</v>
          </cell>
          <cell r="E2106" t="e">
            <v>#VALUE!</v>
          </cell>
          <cell r="F2106">
            <v>0</v>
          </cell>
        </row>
        <row r="2107">
          <cell r="A2107" t="str">
            <v>SBITVRBA</v>
          </cell>
          <cell r="B2107">
            <v>7.8902445733547211E-2</v>
          </cell>
          <cell r="C2107">
            <v>0</v>
          </cell>
          <cell r="D2107">
            <v>0</v>
          </cell>
          <cell r="E2107" t="e">
            <v>#VALUE!</v>
          </cell>
          <cell r="F2107">
            <v>0</v>
          </cell>
        </row>
        <row r="2108">
          <cell r="A2108" t="str">
            <v>SBITASPA</v>
          </cell>
          <cell r="B2108">
            <v>0.43235263228416443</v>
          </cell>
          <cell r="C2108">
            <v>0</v>
          </cell>
          <cell r="D2108">
            <v>0</v>
          </cell>
          <cell r="E2108" t="e">
            <v>#VALUE!</v>
          </cell>
          <cell r="F2108">
            <v>0</v>
          </cell>
        </row>
        <row r="2109">
          <cell r="A2109" t="str">
            <v>SBITBIBA</v>
          </cell>
          <cell r="B2109">
            <v>8.5763528943061829E-2</v>
          </cell>
          <cell r="C2109">
            <v>0</v>
          </cell>
          <cell r="D2109">
            <v>0</v>
          </cell>
          <cell r="E2109" t="e">
            <v>#VALUE!</v>
          </cell>
          <cell r="F2109">
            <v>0</v>
          </cell>
        </row>
        <row r="2110">
          <cell r="A2110" t="str">
            <v>SBITTBIA</v>
          </cell>
          <cell r="B2110">
            <v>0.55753397941589355</v>
          </cell>
          <cell r="C2110">
            <v>0</v>
          </cell>
          <cell r="D2110">
            <v>0</v>
          </cell>
          <cell r="E2110" t="e">
            <v>#VALUE!</v>
          </cell>
          <cell r="F2110">
            <v>0</v>
          </cell>
        </row>
        <row r="2111">
          <cell r="A2111" t="str">
            <v>SIR5HI1A</v>
          </cell>
          <cell r="B2111">
            <v>0.61603275782441436</v>
          </cell>
          <cell r="C2111">
            <v>0</v>
          </cell>
          <cell r="D2111">
            <v>0</v>
          </cell>
          <cell r="E2111" t="e">
            <v>#VALUE!</v>
          </cell>
          <cell r="F2111">
            <v>0</v>
          </cell>
        </row>
        <row r="2112">
          <cell r="A2112" t="str">
            <v>SIR5HI2A</v>
          </cell>
          <cell r="B2112">
            <v>0</v>
          </cell>
          <cell r="C2112">
            <v>0</v>
          </cell>
          <cell r="D2112">
            <v>0</v>
          </cell>
          <cell r="E2112" t="e">
            <v>#VALUE!</v>
          </cell>
          <cell r="F2112">
            <v>266.83090485873288</v>
          </cell>
        </row>
        <row r="2113">
          <cell r="A2113" t="str">
            <v>SIR5LI1A</v>
          </cell>
          <cell r="B2113">
            <v>0.61603275782441436</v>
          </cell>
          <cell r="C2113">
            <v>0</v>
          </cell>
          <cell r="D2113">
            <v>0</v>
          </cell>
          <cell r="E2113" t="e">
            <v>#VALUE!</v>
          </cell>
          <cell r="F2113">
            <v>0</v>
          </cell>
        </row>
        <row r="2114">
          <cell r="A2114" t="str">
            <v>SIR5LI2A</v>
          </cell>
          <cell r="B2114">
            <v>0</v>
          </cell>
          <cell r="C2114">
            <v>0</v>
          </cell>
          <cell r="D2114">
            <v>0</v>
          </cell>
          <cell r="E2114" t="e">
            <v>#VALUE!</v>
          </cell>
          <cell r="F2114">
            <v>-266.83090485873288</v>
          </cell>
        </row>
        <row r="2115">
          <cell r="A2115" t="str">
            <v>SIR5HH1A</v>
          </cell>
          <cell r="B2115">
            <v>2.8820447552285782E-2</v>
          </cell>
          <cell r="C2115">
            <v>0</v>
          </cell>
          <cell r="D2115">
            <v>0</v>
          </cell>
          <cell r="E2115" t="e">
            <v>#VALUE!</v>
          </cell>
          <cell r="F2115">
            <v>0</v>
          </cell>
        </row>
        <row r="2116">
          <cell r="A2116" t="str">
            <v>SIR5HH2A</v>
          </cell>
          <cell r="B2116">
            <v>1.1481248924176986E-2</v>
          </cell>
          <cell r="C2116">
            <v>0</v>
          </cell>
          <cell r="D2116">
            <v>0</v>
          </cell>
          <cell r="E2116" t="e">
            <v>#VALUE!</v>
          </cell>
          <cell r="F2116">
            <v>-1.4171920866667204E-14</v>
          </cell>
        </row>
        <row r="2117">
          <cell r="A2117" t="str">
            <v>SIR5LH1A</v>
          </cell>
          <cell r="B2117">
            <v>2.8820447552285782E-2</v>
          </cell>
          <cell r="C2117">
            <v>0</v>
          </cell>
          <cell r="D2117">
            <v>0</v>
          </cell>
          <cell r="E2117" t="e">
            <v>#VALUE!</v>
          </cell>
          <cell r="F2117">
            <v>0</v>
          </cell>
        </row>
        <row r="2118">
          <cell r="A2118" t="str">
            <v>SIR5LH2A</v>
          </cell>
          <cell r="B2118">
            <v>1.1481248924176986E-2</v>
          </cell>
          <cell r="C2118">
            <v>0</v>
          </cell>
          <cell r="D2118">
            <v>0</v>
          </cell>
          <cell r="E2118" t="e">
            <v>#VALUE!</v>
          </cell>
          <cell r="F2118">
            <v>-1.8581179213233306E-14</v>
          </cell>
        </row>
        <row r="2119">
          <cell r="A2119" t="str">
            <v>SIR5BPTA</v>
          </cell>
          <cell r="B2119">
            <v>0.99977683482104784</v>
          </cell>
          <cell r="C2119">
            <v>0</v>
          </cell>
          <cell r="D2119">
            <v>0</v>
          </cell>
          <cell r="E2119" t="e">
            <v>#VALUE!</v>
          </cell>
          <cell r="F2119">
            <v>0</v>
          </cell>
        </row>
        <row r="2120">
          <cell r="A2120" t="str">
            <v>SPRONC3A</v>
          </cell>
          <cell r="B2120">
            <v>0.15809333418330102</v>
          </cell>
          <cell r="C2120">
            <v>0</v>
          </cell>
          <cell r="D2120">
            <v>0</v>
          </cell>
          <cell r="E2120" t="e">
            <v>#VALUE!</v>
          </cell>
          <cell r="F2120">
            <v>0</v>
          </cell>
        </row>
        <row r="2121">
          <cell r="A2121" t="str">
            <v>SPROC3=A</v>
          </cell>
          <cell r="B2121">
            <v>0.27160562056384674</v>
          </cell>
          <cell r="C2121">
            <v>0</v>
          </cell>
          <cell r="D2121">
            <v>0</v>
          </cell>
          <cell r="E2121" t="e">
            <v>#VALUE!</v>
          </cell>
          <cell r="F2121">
            <v>0</v>
          </cell>
        </row>
        <row r="2122">
          <cell r="A2122" t="str">
            <v>SPROPIMA</v>
          </cell>
          <cell r="B2122">
            <v>0</v>
          </cell>
          <cell r="C2122">
            <v>0</v>
          </cell>
          <cell r="D2122">
            <v>0</v>
          </cell>
          <cell r="E2122" t="e">
            <v>#VALUE!</v>
          </cell>
          <cell r="F2122">
            <v>0</v>
          </cell>
        </row>
        <row r="2123">
          <cell r="A2123" t="str">
            <v>SPROBPTA</v>
          </cell>
          <cell r="B2123">
            <v>0.82317857660659377</v>
          </cell>
          <cell r="C2123">
            <v>0</v>
          </cell>
          <cell r="D2123">
            <v>0</v>
          </cell>
          <cell r="E2123" t="e">
            <v>#VALUE!</v>
          </cell>
          <cell r="F2123">
            <v>0</v>
          </cell>
        </row>
        <row r="2124">
          <cell r="A2124" t="str">
            <v>SM4AI4CA</v>
          </cell>
          <cell r="B2124">
            <v>0</v>
          </cell>
          <cell r="C2124">
            <v>0</v>
          </cell>
          <cell r="D2124">
            <v>0</v>
          </cell>
          <cell r="E2124" t="e">
            <v>#VALUE!</v>
          </cell>
          <cell r="F2124">
            <v>0</v>
          </cell>
        </row>
        <row r="2125">
          <cell r="A2125" t="str">
            <v>SM4AK4AA</v>
          </cell>
          <cell r="B2125">
            <v>5.9218566635087745E-3</v>
          </cell>
          <cell r="C2125">
            <v>0</v>
          </cell>
          <cell r="D2125">
            <v>0</v>
          </cell>
          <cell r="E2125" t="e">
            <v>#VALUE!</v>
          </cell>
          <cell r="F2125">
            <v>0</v>
          </cell>
        </row>
        <row r="2126">
          <cell r="A2126" t="str">
            <v>SM4AR4MA</v>
          </cell>
          <cell r="B2126">
            <v>2.5657640734355745E-2</v>
          </cell>
          <cell r="C2126">
            <v>0</v>
          </cell>
          <cell r="D2126">
            <v>0</v>
          </cell>
          <cell r="E2126" t="e">
            <v>#VALUE!</v>
          </cell>
          <cell r="F2126">
            <v>0</v>
          </cell>
        </row>
        <row r="2127">
          <cell r="A2127" t="str">
            <v>SM4AC4AA</v>
          </cell>
          <cell r="B2127">
            <v>0.36785276254562482</v>
          </cell>
          <cell r="C2127">
            <v>0</v>
          </cell>
          <cell r="D2127">
            <v>0</v>
          </cell>
          <cell r="E2127" t="e">
            <v>#VALUE!</v>
          </cell>
          <cell r="F2127">
            <v>0</v>
          </cell>
        </row>
        <row r="2128">
          <cell r="A2128" t="str">
            <v>SM4AC4=A</v>
          </cell>
          <cell r="B2128">
            <v>0</v>
          </cell>
          <cell r="C2128">
            <v>0</v>
          </cell>
          <cell r="D2128">
            <v>0</v>
          </cell>
          <cell r="E2128" t="e">
            <v>#VALUE!</v>
          </cell>
          <cell r="F2128">
            <v>0</v>
          </cell>
        </row>
        <row r="2129">
          <cell r="A2129" t="str">
            <v>SM4ABT2A</v>
          </cell>
          <cell r="B2129">
            <v>7.3106507242542418E-2</v>
          </cell>
          <cell r="C2129">
            <v>0</v>
          </cell>
          <cell r="D2129">
            <v>0</v>
          </cell>
          <cell r="E2129" t="e">
            <v>#VALUE!</v>
          </cell>
          <cell r="F2129">
            <v>0</v>
          </cell>
        </row>
        <row r="2130">
          <cell r="A2130" t="str">
            <v>SM4AM4AA</v>
          </cell>
          <cell r="B2130">
            <v>0.47253876614244017</v>
          </cell>
          <cell r="C2130">
            <v>0</v>
          </cell>
          <cell r="D2130">
            <v>0</v>
          </cell>
          <cell r="E2130" t="e">
            <v>#VALUE!</v>
          </cell>
          <cell r="F2130">
            <v>0</v>
          </cell>
        </row>
        <row r="2131">
          <cell r="A2131" t="str">
            <v>SM4ABPTA</v>
          </cell>
          <cell r="B2131">
            <v>0.81041116306226546</v>
          </cell>
          <cell r="C2131">
            <v>0</v>
          </cell>
          <cell r="D2131">
            <v>0</v>
          </cell>
          <cell r="E2131" t="e">
            <v>#VALUE!</v>
          </cell>
          <cell r="F2131">
            <v>0</v>
          </cell>
        </row>
        <row r="2132">
          <cell r="A2132" t="str">
            <v>SM4BI4MA</v>
          </cell>
          <cell r="B2132">
            <v>1.6832616298191555E-3</v>
          </cell>
          <cell r="C2132">
            <v>0</v>
          </cell>
          <cell r="D2132">
            <v>0</v>
          </cell>
          <cell r="E2132" t="e">
            <v>#VALUE!</v>
          </cell>
          <cell r="F2132">
            <v>0</v>
          </cell>
        </row>
        <row r="2133">
          <cell r="A2133" t="str">
            <v>SM4BH4NA</v>
          </cell>
          <cell r="B2133">
            <v>3.9566882291158074E-4</v>
          </cell>
          <cell r="C2133">
            <v>0</v>
          </cell>
          <cell r="D2133">
            <v>0</v>
          </cell>
          <cell r="E2133" t="e">
            <v>#VALUE!</v>
          </cell>
          <cell r="F2133">
            <v>0</v>
          </cell>
        </row>
        <row r="2134">
          <cell r="A2134" t="str">
            <v>SM4BK4BA</v>
          </cell>
          <cell r="B2134">
            <v>4.4701765783845562E-2</v>
          </cell>
          <cell r="C2134">
            <v>0</v>
          </cell>
          <cell r="D2134">
            <v>0</v>
          </cell>
          <cell r="E2134" t="e">
            <v>#VALUE!</v>
          </cell>
          <cell r="F2134">
            <v>0</v>
          </cell>
        </row>
        <row r="2135">
          <cell r="A2135" t="str">
            <v>SM4BC4BA</v>
          </cell>
          <cell r="B2135">
            <v>0.29134966469790835</v>
          </cell>
          <cell r="C2135">
            <v>0</v>
          </cell>
          <cell r="D2135">
            <v>0</v>
          </cell>
          <cell r="E2135" t="e">
            <v>#VALUE!</v>
          </cell>
          <cell r="F2135">
            <v>0</v>
          </cell>
        </row>
        <row r="2136">
          <cell r="A2136" t="str">
            <v>SM4BM4BA</v>
          </cell>
          <cell r="B2136">
            <v>0.33813036819026893</v>
          </cell>
          <cell r="C2136">
            <v>0</v>
          </cell>
          <cell r="D2136">
            <v>0</v>
          </cell>
          <cell r="E2136" t="e">
            <v>#VALUE!</v>
          </cell>
          <cell r="F2136">
            <v>0</v>
          </cell>
        </row>
        <row r="2137">
          <cell r="A2137" t="str">
            <v>SM4BBPTA</v>
          </cell>
          <cell r="B2137">
            <v>0.57603214538260683</v>
          </cell>
          <cell r="C2137">
            <v>0</v>
          </cell>
          <cell r="D2137">
            <v>0</v>
          </cell>
          <cell r="E2137" t="e">
            <v>#VALUE!</v>
          </cell>
          <cell r="F2137">
            <v>0</v>
          </cell>
        </row>
        <row r="2138">
          <cell r="A2138" t="str">
            <v>STRA12LA</v>
          </cell>
          <cell r="B2138">
            <v>0.39525219218371666</v>
          </cell>
          <cell r="C2138">
            <v>0</v>
          </cell>
          <cell r="D2138">
            <v>0</v>
          </cell>
          <cell r="E2138" t="e">
            <v>#VALUE!</v>
          </cell>
          <cell r="F2138">
            <v>0</v>
          </cell>
        </row>
        <row r="2139">
          <cell r="A2139" t="str">
            <v>STRANHTA</v>
          </cell>
          <cell r="B2139">
            <v>0</v>
          </cell>
          <cell r="C2139">
            <v>0</v>
          </cell>
          <cell r="D2139">
            <v>0</v>
          </cell>
          <cell r="E2139" t="e">
            <v>#VALUE!</v>
          </cell>
          <cell r="F2139">
            <v>-9.3441471883695417</v>
          </cell>
        </row>
        <row r="2140">
          <cell r="A2140" t="str">
            <v>STRAWN1A</v>
          </cell>
          <cell r="B2140">
            <v>0.29771490472636813</v>
          </cell>
          <cell r="C2140">
            <v>0</v>
          </cell>
          <cell r="D2140">
            <v>0</v>
          </cell>
          <cell r="E2140" t="e">
            <v>#VALUE!</v>
          </cell>
          <cell r="F2140">
            <v>0</v>
          </cell>
        </row>
        <row r="2141">
          <cell r="A2141" t="str">
            <v>STRAWN3A</v>
          </cell>
          <cell r="B2141">
            <v>0.58462476975297273</v>
          </cell>
          <cell r="C2141">
            <v>0</v>
          </cell>
          <cell r="D2141">
            <v>0</v>
          </cell>
          <cell r="E2141" t="e">
            <v>#VALUE!</v>
          </cell>
          <cell r="F2141">
            <v>0</v>
          </cell>
        </row>
        <row r="2142">
          <cell r="A2142" t="str">
            <v>STRAWN4A</v>
          </cell>
          <cell r="B2142">
            <v>1.0605105896518654</v>
          </cell>
          <cell r="C2142">
            <v>0</v>
          </cell>
          <cell r="D2142">
            <v>0</v>
          </cell>
          <cell r="E2142" t="e">
            <v>#VALUE!</v>
          </cell>
          <cell r="F2142">
            <v>0</v>
          </cell>
        </row>
        <row r="2143">
          <cell r="A2143" t="str">
            <v>STRAPN1A</v>
          </cell>
          <cell r="B2143">
            <v>0.2427926922497684</v>
          </cell>
          <cell r="C2143">
            <v>0</v>
          </cell>
          <cell r="D2143">
            <v>0</v>
          </cell>
          <cell r="E2143" t="e">
            <v>#VALUE!</v>
          </cell>
          <cell r="F2143">
            <v>0</v>
          </cell>
        </row>
        <row r="2144">
          <cell r="A2144" t="str">
            <v>STRAPN3A</v>
          </cell>
          <cell r="B2144">
            <v>0.37771095094615464</v>
          </cell>
          <cell r="C2144">
            <v>0</v>
          </cell>
          <cell r="D2144">
            <v>0</v>
          </cell>
          <cell r="E2144" t="e">
            <v>#VALUE!</v>
          </cell>
          <cell r="F2144">
            <v>0</v>
          </cell>
        </row>
        <row r="2145">
          <cell r="A2145" t="str">
            <v>STRAPN4A</v>
          </cell>
          <cell r="B2145">
            <v>7.6456704123379432E-2</v>
          </cell>
          <cell r="C2145">
            <v>0</v>
          </cell>
          <cell r="D2145">
            <v>0</v>
          </cell>
          <cell r="E2145" t="e">
            <v>#VALUE!</v>
          </cell>
          <cell r="F2145">
            <v>-36.817487538350768</v>
          </cell>
        </row>
        <row r="2146">
          <cell r="A2146" t="str">
            <v>STRANLPA</v>
          </cell>
          <cell r="B2146">
            <v>3.0350628219238698</v>
          </cell>
          <cell r="C2146">
            <v>0</v>
          </cell>
          <cell r="D2146">
            <v>0</v>
          </cell>
          <cell r="E2146" t="e">
            <v>#VALUE!</v>
          </cell>
          <cell r="F2146">
            <v>0</v>
          </cell>
        </row>
        <row r="2147">
          <cell r="A2147" t="str">
            <v>STRARFBA</v>
          </cell>
          <cell r="B2147">
            <v>0</v>
          </cell>
          <cell r="C2147">
            <v>0</v>
          </cell>
          <cell r="D2147">
            <v>0</v>
          </cell>
          <cell r="E2147" t="e">
            <v>#VALUE!</v>
          </cell>
          <cell r="F2147">
            <v>-32.70751509993044</v>
          </cell>
        </row>
        <row r="2148">
          <cell r="A2148" t="str">
            <v>STRAPFRA</v>
          </cell>
          <cell r="B2148">
            <v>0</v>
          </cell>
          <cell r="C2148">
            <v>0</v>
          </cell>
          <cell r="D2148">
            <v>0</v>
          </cell>
          <cell r="E2148" t="e">
            <v>#VALUE!</v>
          </cell>
          <cell r="F2148">
            <v>0</v>
          </cell>
        </row>
        <row r="2149">
          <cell r="A2149" t="str">
            <v>STRAPB1A</v>
          </cell>
          <cell r="B2149">
            <v>7.574304970976424E-2</v>
          </cell>
          <cell r="C2149">
            <v>0</v>
          </cell>
          <cell r="D2149">
            <v>0</v>
          </cell>
          <cell r="E2149" t="e">
            <v>#VALUE!</v>
          </cell>
          <cell r="F2149">
            <v>0</v>
          </cell>
        </row>
        <row r="2150">
          <cell r="A2150" t="str">
            <v>STRAPP1A</v>
          </cell>
          <cell r="B2150">
            <v>0.11691949869671912</v>
          </cell>
          <cell r="C2150">
            <v>0</v>
          </cell>
          <cell r="D2150">
            <v>0</v>
          </cell>
          <cell r="E2150" t="e">
            <v>#VALUE!</v>
          </cell>
          <cell r="F2150">
            <v>0</v>
          </cell>
        </row>
        <row r="2151">
          <cell r="A2151" t="str">
            <v>STRAPB2A</v>
          </cell>
          <cell r="B2151">
            <v>0.18853518856714849</v>
          </cell>
          <cell r="C2151">
            <v>0</v>
          </cell>
          <cell r="D2151">
            <v>0</v>
          </cell>
          <cell r="E2151" t="e">
            <v>#VALUE!</v>
          </cell>
          <cell r="F2151">
            <v>0</v>
          </cell>
        </row>
        <row r="2152">
          <cell r="A2152" t="str">
            <v>STRAPP2A</v>
          </cell>
          <cell r="B2152">
            <v>3.424654233154573E-3</v>
          </cell>
          <cell r="C2152">
            <v>0</v>
          </cell>
          <cell r="D2152">
            <v>0</v>
          </cell>
          <cell r="E2152" t="e">
            <v>#VALUE!</v>
          </cell>
          <cell r="F2152">
            <v>0</v>
          </cell>
        </row>
        <row r="2153">
          <cell r="A2153" t="str">
            <v>STRAPB3A</v>
          </cell>
          <cell r="B2153">
            <v>4.0146613406808411E-2</v>
          </cell>
          <cell r="C2153">
            <v>0</v>
          </cell>
          <cell r="D2153">
            <v>0</v>
          </cell>
          <cell r="E2153" t="e">
            <v>#VALUE!</v>
          </cell>
          <cell r="F2153">
            <v>0</v>
          </cell>
        </row>
        <row r="2154">
          <cell r="A2154" t="str">
            <v>STRAPP3A</v>
          </cell>
          <cell r="B2154">
            <v>1.7416248889002082E-3</v>
          </cell>
          <cell r="C2154">
            <v>0</v>
          </cell>
          <cell r="D2154">
            <v>0</v>
          </cell>
          <cell r="E2154" t="e">
            <v>#VALUE!</v>
          </cell>
          <cell r="F2154">
            <v>0</v>
          </cell>
        </row>
        <row r="2155">
          <cell r="A2155" t="str">
            <v>STRAPPTA</v>
          </cell>
          <cell r="B2155">
            <v>0.42651063710042875</v>
          </cell>
          <cell r="C2155">
            <v>0</v>
          </cell>
          <cell r="D2155">
            <v>0</v>
          </cell>
          <cell r="E2155" t="e">
            <v>#VALUE!</v>
          </cell>
          <cell r="F2155">
            <v>0</v>
          </cell>
        </row>
        <row r="2156">
          <cell r="A2156" t="str">
            <v>STRAnT4A</v>
          </cell>
          <cell r="B2156">
            <v>0.54050759322022734</v>
          </cell>
          <cell r="C2156">
            <v>0</v>
          </cell>
          <cell r="D2156">
            <v>0</v>
          </cell>
          <cell r="E2156" t="e">
            <v>#VALUE!</v>
          </cell>
          <cell r="F2156">
            <v>0</v>
          </cell>
        </row>
        <row r="2157">
          <cell r="A2157" t="str">
            <v>STRAx01A</v>
          </cell>
          <cell r="B2157">
            <v>0</v>
          </cell>
          <cell r="C2157">
            <v>0</v>
          </cell>
          <cell r="D2157">
            <v>0</v>
          </cell>
          <cell r="E2157" t="e">
            <v>#VALUE!</v>
          </cell>
          <cell r="F2157">
            <v>-10</v>
          </cell>
        </row>
        <row r="2158">
          <cell r="A2158" t="str">
            <v>STRAx02A</v>
          </cell>
          <cell r="B2158">
            <v>0</v>
          </cell>
          <cell r="C2158">
            <v>0</v>
          </cell>
          <cell r="D2158">
            <v>0</v>
          </cell>
          <cell r="E2158" t="e">
            <v>#VALUE!</v>
          </cell>
          <cell r="F2158">
            <v>-9.7826309151845443</v>
          </cell>
        </row>
        <row r="2159">
          <cell r="A2159" t="str">
            <v>SPNALCAA</v>
          </cell>
          <cell r="B2159">
            <v>1.4331135181531514</v>
          </cell>
          <cell r="C2159">
            <v>0</v>
          </cell>
          <cell r="D2159">
            <v>0</v>
          </cell>
          <cell r="E2159" t="e">
            <v>#VALUE!</v>
          </cell>
          <cell r="F2159">
            <v>0</v>
          </cell>
        </row>
        <row r="2160">
          <cell r="A2160" t="str">
            <v>SPNALCBA</v>
          </cell>
          <cell r="B2160">
            <v>0.95283141756710943</v>
          </cell>
          <cell r="C2160">
            <v>0</v>
          </cell>
          <cell r="D2160">
            <v>0</v>
          </cell>
          <cell r="E2160" t="e">
            <v>#VALUE!</v>
          </cell>
          <cell r="F2160">
            <v>0</v>
          </cell>
        </row>
        <row r="2161">
          <cell r="A2161" t="str">
            <v>SPNALCPA</v>
          </cell>
          <cell r="B2161">
            <v>1.8180900253661691</v>
          </cell>
          <cell r="C2161">
            <v>0</v>
          </cell>
          <cell r="D2161">
            <v>0</v>
          </cell>
          <cell r="E2161" t="e">
            <v>#VALUE!</v>
          </cell>
          <cell r="F2161">
            <v>0</v>
          </cell>
        </row>
        <row r="2162">
          <cell r="A2162" t="str">
            <v>SPNACTMA</v>
          </cell>
          <cell r="B2162">
            <v>0.56785488014351837</v>
          </cell>
          <cell r="C2162">
            <v>0</v>
          </cell>
          <cell r="D2162">
            <v>0</v>
          </cell>
          <cell r="E2162" t="e">
            <v>#VALUE!</v>
          </cell>
          <cell r="F2162">
            <v>0</v>
          </cell>
        </row>
        <row r="2163">
          <cell r="A2163" t="str">
            <v>SPNABPTA</v>
          </cell>
          <cell r="B2163">
            <v>3.209907678708638</v>
          </cell>
          <cell r="C2163">
            <v>0</v>
          </cell>
          <cell r="D2163">
            <v>0</v>
          </cell>
          <cell r="E2163" t="e">
            <v>#VALUE!</v>
          </cell>
          <cell r="F2163">
            <v>0</v>
          </cell>
        </row>
        <row r="2164">
          <cell r="A2164" t="str">
            <v>SPNALCTA</v>
          </cell>
          <cell r="B2164">
            <v>2.3859449360468616</v>
          </cell>
          <cell r="C2164">
            <v>0</v>
          </cell>
          <cell r="D2164">
            <v>0</v>
          </cell>
          <cell r="E2164" t="e">
            <v>#VALUE!</v>
          </cell>
          <cell r="F2164">
            <v>0</v>
          </cell>
        </row>
        <row r="2165">
          <cell r="A2165" t="str">
            <v>SPNALCXA</v>
          </cell>
          <cell r="B2165">
            <v>2.3859449360468616</v>
          </cell>
          <cell r="C2165">
            <v>0</v>
          </cell>
          <cell r="D2165">
            <v>0</v>
          </cell>
          <cell r="E2165" t="e">
            <v>#VALUE!</v>
          </cell>
          <cell r="F2165">
            <v>0</v>
          </cell>
        </row>
        <row r="2166">
          <cell r="A2166" t="str">
            <v>SPNALCIA</v>
          </cell>
          <cell r="B2166">
            <v>2.3859449360468616</v>
          </cell>
          <cell r="C2166">
            <v>0</v>
          </cell>
          <cell r="D2166">
            <v>0</v>
          </cell>
          <cell r="E2166" t="e">
            <v>#VALUE!</v>
          </cell>
          <cell r="F2166">
            <v>0</v>
          </cell>
        </row>
        <row r="2167">
          <cell r="A2167" t="str">
            <v>SPNALCJA</v>
          </cell>
          <cell r="B2167">
            <v>2.3859449360468616</v>
          </cell>
          <cell r="C2167">
            <v>0</v>
          </cell>
          <cell r="D2167">
            <v>0</v>
          </cell>
          <cell r="E2167" t="e">
            <v>#VALUE!</v>
          </cell>
          <cell r="F2167">
            <v>0</v>
          </cell>
        </row>
        <row r="2168">
          <cell r="A2168" t="str">
            <v>SPNALCKA</v>
          </cell>
          <cell r="B2168">
            <v>2.3859449360468616</v>
          </cell>
          <cell r="C2168">
            <v>0</v>
          </cell>
          <cell r="D2168">
            <v>0</v>
          </cell>
          <cell r="E2168" t="e">
            <v>#VALUE!</v>
          </cell>
          <cell r="F2168">
            <v>0</v>
          </cell>
        </row>
        <row r="2169">
          <cell r="A2169" t="str">
            <v>SPNARCJA</v>
          </cell>
          <cell r="B2169">
            <v>2.3859449360468616</v>
          </cell>
          <cell r="C2169">
            <v>0</v>
          </cell>
          <cell r="D2169">
            <v>0</v>
          </cell>
          <cell r="E2169" t="e">
            <v>#VALUE!</v>
          </cell>
          <cell r="F2169">
            <v>0</v>
          </cell>
        </row>
        <row r="2170">
          <cell r="A2170" t="str">
            <v>SPNARCKA</v>
          </cell>
          <cell r="B2170">
            <v>2.3859449360468616</v>
          </cell>
          <cell r="C2170">
            <v>0</v>
          </cell>
          <cell r="D2170">
            <v>0</v>
          </cell>
          <cell r="E2170" t="e">
            <v>#VALUE!</v>
          </cell>
          <cell r="F2170">
            <v>0</v>
          </cell>
        </row>
        <row r="2171">
          <cell r="A2171" t="str">
            <v>SPNBLCPA</v>
          </cell>
          <cell r="B2171">
            <v>1.818128825540412</v>
          </cell>
          <cell r="C2171">
            <v>0</v>
          </cell>
          <cell r="D2171">
            <v>0</v>
          </cell>
          <cell r="E2171" t="e">
            <v>#VALUE!</v>
          </cell>
          <cell r="F2171">
            <v>0</v>
          </cell>
        </row>
        <row r="2172">
          <cell r="A2172" t="str">
            <v>SPNBLCMA</v>
          </cell>
          <cell r="B2172">
            <v>0.53998425317137211</v>
          </cell>
          <cell r="C2172">
            <v>0</v>
          </cell>
          <cell r="D2172">
            <v>0</v>
          </cell>
          <cell r="E2172" t="e">
            <v>#VALUE!</v>
          </cell>
          <cell r="F2172">
            <v>0</v>
          </cell>
        </row>
        <row r="2173">
          <cell r="A2173" t="str">
            <v>SPNBLCRA</v>
          </cell>
          <cell r="B2173">
            <v>0.35635324455287359</v>
          </cell>
          <cell r="C2173">
            <v>0</v>
          </cell>
          <cell r="D2173">
            <v>0</v>
          </cell>
          <cell r="E2173" t="e">
            <v>#VALUE!</v>
          </cell>
          <cell r="F2173">
            <v>0</v>
          </cell>
        </row>
        <row r="2174">
          <cell r="A2174" t="str">
            <v>SPNBLCWA</v>
          </cell>
          <cell r="B2174">
            <v>0.92179130560731237</v>
          </cell>
          <cell r="C2174">
            <v>0</v>
          </cell>
          <cell r="D2174">
            <v>0</v>
          </cell>
          <cell r="E2174" t="e">
            <v>#VALUE!</v>
          </cell>
          <cell r="F2174">
            <v>0</v>
          </cell>
        </row>
        <row r="2175">
          <cell r="A2175" t="str">
            <v>SPNBBPTA</v>
          </cell>
          <cell r="B2175">
            <v>2.3441925793477933</v>
          </cell>
          <cell r="C2175">
            <v>0</v>
          </cell>
          <cell r="D2175">
            <v>0</v>
          </cell>
          <cell r="E2175" t="e">
            <v>#VALUE!</v>
          </cell>
          <cell r="F2175">
            <v>0</v>
          </cell>
        </row>
        <row r="2176">
          <cell r="A2176" t="str">
            <v>SPNBLCZA</v>
          </cell>
          <cell r="B2176">
            <v>1.818128825540412</v>
          </cell>
          <cell r="C2176">
            <v>0</v>
          </cell>
          <cell r="D2176">
            <v>0</v>
          </cell>
          <cell r="E2176" t="e">
            <v>#VALUE!</v>
          </cell>
          <cell r="F2176">
            <v>0</v>
          </cell>
        </row>
        <row r="2177">
          <cell r="A2177" t="str">
            <v>STRFBTAA</v>
          </cell>
          <cell r="B2177">
            <v>0.47253876614244017</v>
          </cell>
          <cell r="C2177">
            <v>0</v>
          </cell>
          <cell r="D2177">
            <v>0</v>
          </cell>
          <cell r="E2177" t="e">
            <v>#VALUE!</v>
          </cell>
          <cell r="F2177">
            <v>0</v>
          </cell>
        </row>
        <row r="2178">
          <cell r="A2178" t="str">
            <v>STRFBTBA</v>
          </cell>
          <cell r="B2178">
            <v>0.33813036819026893</v>
          </cell>
          <cell r="C2178">
            <v>0</v>
          </cell>
          <cell r="D2178">
            <v>0</v>
          </cell>
          <cell r="E2178" t="e">
            <v>#VALUE!</v>
          </cell>
          <cell r="F2178">
            <v>0</v>
          </cell>
        </row>
        <row r="2179">
          <cell r="A2179" t="str">
            <v>ST11LK1A</v>
          </cell>
          <cell r="B2179">
            <v>8.3811510384899299E-2</v>
          </cell>
          <cell r="C2179">
            <v>0</v>
          </cell>
          <cell r="D2179">
            <v>0</v>
          </cell>
          <cell r="E2179" t="e">
            <v>#VALUE!</v>
          </cell>
          <cell r="F2179">
            <v>0</v>
          </cell>
        </row>
        <row r="2180">
          <cell r="A2180" t="str">
            <v>ST11LK2A</v>
          </cell>
          <cell r="B2180">
            <v>0</v>
          </cell>
          <cell r="C2180">
            <v>0</v>
          </cell>
          <cell r="D2180">
            <v>0</v>
          </cell>
          <cell r="E2180" t="e">
            <v>#VALUE!</v>
          </cell>
          <cell r="F2180">
            <v>0</v>
          </cell>
        </row>
        <row r="2181">
          <cell r="A2181" t="str">
            <v>ST11LK3A</v>
          </cell>
          <cell r="B2181">
            <v>0</v>
          </cell>
          <cell r="C2181">
            <v>0</v>
          </cell>
          <cell r="D2181">
            <v>0</v>
          </cell>
          <cell r="E2181" t="e">
            <v>#VALUE!</v>
          </cell>
          <cell r="F2181">
            <v>-2.184553894931323</v>
          </cell>
        </row>
        <row r="2182">
          <cell r="A2182" t="str">
            <v>ST11LK4A</v>
          </cell>
          <cell r="B2182">
            <v>9.8695060651596278E-2</v>
          </cell>
          <cell r="C2182">
            <v>0</v>
          </cell>
          <cell r="D2182">
            <v>0</v>
          </cell>
          <cell r="E2182" t="e">
            <v>#VALUE!</v>
          </cell>
          <cell r="F2182">
            <v>-1.9481440742130149</v>
          </cell>
        </row>
        <row r="2183">
          <cell r="A2183" t="str">
            <v>ST11LG1A</v>
          </cell>
          <cell r="B2183">
            <v>0.66166496129885111</v>
          </cell>
          <cell r="C2183">
            <v>0</v>
          </cell>
          <cell r="D2183">
            <v>0</v>
          </cell>
          <cell r="E2183" t="e">
            <v>#VALUE!</v>
          </cell>
          <cell r="F2183">
            <v>0</v>
          </cell>
        </row>
        <row r="2184">
          <cell r="A2184" t="str">
            <v>ST11LG2A</v>
          </cell>
          <cell r="B2184">
            <v>1.8294920431424493</v>
          </cell>
          <cell r="C2184">
            <v>0</v>
          </cell>
          <cell r="D2184">
            <v>0</v>
          </cell>
          <cell r="E2184" t="e">
            <v>#VALUE!</v>
          </cell>
          <cell r="F2184">
            <v>0</v>
          </cell>
        </row>
        <row r="2185">
          <cell r="A2185" t="str">
            <v>ST11LG3A</v>
          </cell>
          <cell r="B2185">
            <v>1.8083651111550527</v>
          </cell>
          <cell r="C2185">
            <v>0</v>
          </cell>
          <cell r="D2185">
            <v>0</v>
          </cell>
          <cell r="E2185" t="e">
            <v>#VALUE!</v>
          </cell>
          <cell r="F2185">
            <v>0</v>
          </cell>
        </row>
        <row r="2186">
          <cell r="A2186" t="str">
            <v>ST11NPHA</v>
          </cell>
          <cell r="B2186">
            <v>0</v>
          </cell>
          <cell r="C2186">
            <v>0</v>
          </cell>
          <cell r="D2186">
            <v>0</v>
          </cell>
          <cell r="E2186" t="e">
            <v>#VALUE!</v>
          </cell>
          <cell r="F2186">
            <v>0</v>
          </cell>
        </row>
        <row r="2187">
          <cell r="A2187" t="str">
            <v>ST11HTPA</v>
          </cell>
          <cell r="B2187">
            <v>0</v>
          </cell>
          <cell r="C2187">
            <v>0</v>
          </cell>
          <cell r="D2187">
            <v>0</v>
          </cell>
          <cell r="E2187" t="e">
            <v>#VALUE!</v>
          </cell>
          <cell r="F2187">
            <v>-5.0299935497649733</v>
          </cell>
        </row>
        <row r="2188">
          <cell r="A2188" t="str">
            <v>ST11PS3A</v>
          </cell>
          <cell r="B2188">
            <v>0</v>
          </cell>
          <cell r="C2188">
            <v>0</v>
          </cell>
          <cell r="D2188">
            <v>0</v>
          </cell>
          <cell r="E2188" t="e">
            <v>#VALUE!</v>
          </cell>
          <cell r="F2188">
            <v>0</v>
          </cell>
        </row>
        <row r="2189">
          <cell r="A2189" t="str">
            <v>ST11LKLA</v>
          </cell>
          <cell r="B2189">
            <v>0</v>
          </cell>
          <cell r="C2189">
            <v>0</v>
          </cell>
          <cell r="D2189">
            <v>0</v>
          </cell>
          <cell r="E2189" t="e">
            <v>#VALUE!</v>
          </cell>
          <cell r="F2189">
            <v>-3.2203818745809061</v>
          </cell>
        </row>
        <row r="2190">
          <cell r="A2190" t="str">
            <v>ST11LKPA</v>
          </cell>
          <cell r="B2190">
            <v>0.17356030161250127</v>
          </cell>
          <cell r="C2190">
            <v>0</v>
          </cell>
          <cell r="D2190">
            <v>0</v>
          </cell>
          <cell r="E2190" t="e">
            <v>#VALUE!</v>
          </cell>
          <cell r="F2190">
            <v>0</v>
          </cell>
        </row>
        <row r="2191">
          <cell r="A2191" t="str">
            <v>ST11PESA</v>
          </cell>
          <cell r="B2191">
            <v>0.12267509854003175</v>
          </cell>
          <cell r="C2191">
            <v>0</v>
          </cell>
          <cell r="D2191">
            <v>0</v>
          </cell>
          <cell r="E2191" t="e">
            <v>#VALUE!</v>
          </cell>
          <cell r="F2191">
            <v>-3.8972080335225145</v>
          </cell>
        </row>
        <row r="2192">
          <cell r="A2192" t="str">
            <v>ST11V05A</v>
          </cell>
          <cell r="B2192">
            <v>0</v>
          </cell>
          <cell r="C2192">
            <v>0</v>
          </cell>
          <cell r="D2192">
            <v>0</v>
          </cell>
          <cell r="E2192" t="e">
            <v>#VALUE!</v>
          </cell>
          <cell r="F2192">
            <v>-1.0835897551007467</v>
          </cell>
        </row>
        <row r="2193">
          <cell r="A2193" t="str">
            <v>ST11CFDA</v>
          </cell>
          <cell r="B2193">
            <v>0</v>
          </cell>
          <cell r="C2193">
            <v>0</v>
          </cell>
          <cell r="D2193">
            <v>0</v>
          </cell>
          <cell r="E2193" t="e">
            <v>#VALUE!</v>
          </cell>
          <cell r="F2193">
            <v>26.056056720263339</v>
          </cell>
        </row>
        <row r="2194">
          <cell r="A2194" t="str">
            <v>ST11G11A</v>
          </cell>
          <cell r="B2194">
            <v>4.7782640613921705</v>
          </cell>
          <cell r="C2194">
            <v>0</v>
          </cell>
          <cell r="D2194">
            <v>0</v>
          </cell>
          <cell r="E2194" t="e">
            <v>#VALUE!</v>
          </cell>
          <cell r="F2194">
            <v>0</v>
          </cell>
        </row>
        <row r="2195">
          <cell r="A2195" t="str">
            <v>SP12PESA</v>
          </cell>
          <cell r="B2195">
            <v>0.25805753289836725</v>
          </cell>
          <cell r="C2195">
            <v>0</v>
          </cell>
          <cell r="D2195">
            <v>0</v>
          </cell>
          <cell r="E2195" t="e">
            <v>#VALUE!</v>
          </cell>
          <cell r="F2195">
            <v>0</v>
          </cell>
        </row>
        <row r="2196">
          <cell r="A2196" t="str">
            <v>SP12NHTA</v>
          </cell>
          <cell r="B2196">
            <v>1.1081271798643348</v>
          </cell>
          <cell r="C2196">
            <v>0</v>
          </cell>
          <cell r="D2196">
            <v>0</v>
          </cell>
          <cell r="E2196" t="e">
            <v>#VALUE!</v>
          </cell>
          <cell r="F2196">
            <v>0</v>
          </cell>
        </row>
        <row r="2197">
          <cell r="A2197" t="str">
            <v>SP12XLHA</v>
          </cell>
          <cell r="B2197">
            <v>3.3462278029485926E-2</v>
          </cell>
          <cell r="C2197">
            <v>0</v>
          </cell>
          <cell r="D2197">
            <v>0</v>
          </cell>
          <cell r="E2197" t="e">
            <v>#VALUE!</v>
          </cell>
          <cell r="F2197">
            <v>0</v>
          </cell>
        </row>
        <row r="2198">
          <cell r="A2198" t="str">
            <v>SP12HTLA</v>
          </cell>
          <cell r="B2198">
            <v>0.29458551014939399</v>
          </cell>
          <cell r="C2198">
            <v>0</v>
          </cell>
          <cell r="D2198">
            <v>0</v>
          </cell>
          <cell r="E2198" t="e">
            <v>#VALUE!</v>
          </cell>
          <cell r="F2198">
            <v>0</v>
          </cell>
        </row>
        <row r="2199">
          <cell r="A2199" t="str">
            <v>SP12RRRA</v>
          </cell>
          <cell r="B2199">
            <v>0.22461289983906157</v>
          </cell>
          <cell r="C2199">
            <v>0</v>
          </cell>
          <cell r="D2199">
            <v>0</v>
          </cell>
          <cell r="E2199" t="e">
            <v>#VALUE!</v>
          </cell>
          <cell r="F2199">
            <v>0</v>
          </cell>
        </row>
        <row r="2200">
          <cell r="A2200" t="str">
            <v>SP12RFAA</v>
          </cell>
          <cell r="B2200">
            <v>0.15628804989057044</v>
          </cell>
          <cell r="C2200">
            <v>0</v>
          </cell>
          <cell r="D2200">
            <v>0</v>
          </cell>
          <cell r="E2200" t="e">
            <v>#VALUE!</v>
          </cell>
          <cell r="F2200">
            <v>0</v>
          </cell>
        </row>
        <row r="2201">
          <cell r="A2201" t="str">
            <v>SP12RFRA</v>
          </cell>
          <cell r="B2201">
            <v>6.7204402652505324E-2</v>
          </cell>
          <cell r="C2201">
            <v>0</v>
          </cell>
          <cell r="D2201">
            <v>0</v>
          </cell>
          <cell r="E2201" t="e">
            <v>#VALUE!</v>
          </cell>
          <cell r="F2201">
            <v>-0.20251277570855128</v>
          </cell>
        </row>
        <row r="2202">
          <cell r="A2202" t="str">
            <v>SP12FRFA</v>
          </cell>
          <cell r="B2202">
            <v>1.1204440401841515E-3</v>
          </cell>
          <cell r="C2202">
            <v>0</v>
          </cell>
          <cell r="D2202">
            <v>0</v>
          </cell>
          <cell r="E2202" t="e">
            <v>#VALUE!</v>
          </cell>
          <cell r="F2202">
            <v>-4.1483317597271645</v>
          </cell>
        </row>
        <row r="2203">
          <cell r="A2203" t="str">
            <v>SP12RFBA</v>
          </cell>
          <cell r="B2203">
            <v>0.25154796912245553</v>
          </cell>
          <cell r="C2203">
            <v>0</v>
          </cell>
          <cell r="D2203">
            <v>0</v>
          </cell>
          <cell r="E2203" t="e">
            <v>#VALUE!</v>
          </cell>
          <cell r="F2203">
            <v>0</v>
          </cell>
        </row>
        <row r="2204">
          <cell r="A2204" t="str">
            <v>SP12P88A</v>
          </cell>
          <cell r="B2204">
            <v>6.7915476715728035E-2</v>
          </cell>
          <cell r="C2204">
            <v>0</v>
          </cell>
          <cell r="D2204">
            <v>0</v>
          </cell>
          <cell r="E2204" t="e">
            <v>#VALUE!</v>
          </cell>
          <cell r="F2204">
            <v>-13.597254128652077</v>
          </cell>
        </row>
        <row r="2205">
          <cell r="A2205" t="str">
            <v>SP12PFRA</v>
          </cell>
          <cell r="B2205">
            <v>0.30391853165953125</v>
          </cell>
          <cell r="C2205">
            <v>0</v>
          </cell>
          <cell r="D2205">
            <v>0</v>
          </cell>
          <cell r="E2205" t="e">
            <v>#VALUE!</v>
          </cell>
          <cell r="F2205">
            <v>0</v>
          </cell>
        </row>
        <row r="2206">
          <cell r="A2206" t="str">
            <v>SP12P99A</v>
          </cell>
          <cell r="B2206">
            <v>0.18475294243799498</v>
          </cell>
          <cell r="C2206">
            <v>0</v>
          </cell>
          <cell r="D2206">
            <v>0</v>
          </cell>
          <cell r="E2206" t="e">
            <v>#VALUE!</v>
          </cell>
          <cell r="F2206">
            <v>0</v>
          </cell>
        </row>
        <row r="2207">
          <cell r="A2207" t="str">
            <v>SP12NPEA</v>
          </cell>
          <cell r="B2207">
            <v>0.74672899948407523</v>
          </cell>
          <cell r="C2207">
            <v>0</v>
          </cell>
          <cell r="D2207">
            <v>0</v>
          </cell>
          <cell r="E2207" t="e">
            <v>#VALUE!</v>
          </cell>
          <cell r="F2207">
            <v>0</v>
          </cell>
        </row>
        <row r="2208">
          <cell r="A2208" t="str">
            <v>SP12RFHA</v>
          </cell>
          <cell r="B2208">
            <v>0.22420352101325988</v>
          </cell>
          <cell r="C2208">
            <v>0</v>
          </cell>
          <cell r="D2208">
            <v>0</v>
          </cell>
          <cell r="E2208" t="e">
            <v>#VALUE!</v>
          </cell>
          <cell r="F2208">
            <v>0</v>
          </cell>
        </row>
        <row r="2209">
          <cell r="A2209" t="str">
            <v>SP12HTPA</v>
          </cell>
          <cell r="B2209">
            <v>0.74672899948407523</v>
          </cell>
          <cell r="C2209">
            <v>0</v>
          </cell>
          <cell r="D2209">
            <v>0</v>
          </cell>
          <cell r="E2209" t="e">
            <v>#VALUE!</v>
          </cell>
          <cell r="F2209">
            <v>0</v>
          </cell>
        </row>
        <row r="2210">
          <cell r="A2210" t="str">
            <v>SP1212LA</v>
          </cell>
          <cell r="B2210">
            <v>0.39525219218371666</v>
          </cell>
          <cell r="C2210">
            <v>0</v>
          </cell>
          <cell r="D2210">
            <v>0</v>
          </cell>
          <cell r="E2210" t="e">
            <v>#VALUE!</v>
          </cell>
          <cell r="F2210">
            <v>0</v>
          </cell>
        </row>
        <row r="2211">
          <cell r="A2211" t="str">
            <v>SP12SPXA</v>
          </cell>
          <cell r="B2211">
            <v>0.25266841731659356</v>
          </cell>
          <cell r="C2211">
            <v>0</v>
          </cell>
          <cell r="D2211">
            <v>0</v>
          </cell>
          <cell r="E2211" t="e">
            <v>#VALUE!</v>
          </cell>
          <cell r="F2211">
            <v>0</v>
          </cell>
        </row>
        <row r="2212">
          <cell r="A2212" t="str">
            <v>SP12LCCA</v>
          </cell>
          <cell r="B2212">
            <v>6.7915476715728035E-2</v>
          </cell>
          <cell r="C2212">
            <v>0</v>
          </cell>
          <cell r="D2212">
            <v>0</v>
          </cell>
          <cell r="E2212" t="e">
            <v>#VALUE!</v>
          </cell>
          <cell r="F2212">
            <v>0</v>
          </cell>
        </row>
        <row r="2213">
          <cell r="A2213" t="str">
            <v>SP12BPTA</v>
          </cell>
          <cell r="B2213">
            <v>1.4358809556046577</v>
          </cell>
          <cell r="C2213">
            <v>0</v>
          </cell>
          <cell r="D2213">
            <v>0</v>
          </cell>
          <cell r="E2213" t="e">
            <v>#VALUE!</v>
          </cell>
          <cell r="F2213">
            <v>0</v>
          </cell>
        </row>
        <row r="2214">
          <cell r="A2214" t="str">
            <v>SP14PR3A</v>
          </cell>
          <cell r="B2214">
            <v>2.5064661404857896E-2</v>
          </cell>
          <cell r="C2214">
            <v>0</v>
          </cell>
          <cell r="D2214">
            <v>0</v>
          </cell>
          <cell r="E2214" t="e">
            <v>#VALUE!</v>
          </cell>
          <cell r="F2214">
            <v>-21.20082458600606</v>
          </cell>
        </row>
        <row r="2215">
          <cell r="A2215" t="str">
            <v>SP14PR4A</v>
          </cell>
          <cell r="B2215">
            <v>0.82460570727309135</v>
          </cell>
          <cell r="C2215">
            <v>0</v>
          </cell>
          <cell r="D2215">
            <v>0</v>
          </cell>
          <cell r="E2215" t="e">
            <v>#VALUE!</v>
          </cell>
          <cell r="F2215">
            <v>0</v>
          </cell>
        </row>
        <row r="2216">
          <cell r="A2216" t="str">
            <v>SP14RFHA</v>
          </cell>
          <cell r="B2216">
            <v>0.22420352101325988</v>
          </cell>
          <cell r="C2216">
            <v>0</v>
          </cell>
          <cell r="D2216">
            <v>0</v>
          </cell>
          <cell r="E2216" t="e">
            <v>#VALUE!</v>
          </cell>
          <cell r="F2216">
            <v>0</v>
          </cell>
        </row>
        <row r="2217">
          <cell r="A2217" t="str">
            <v>SP14RFFA</v>
          </cell>
          <cell r="B2217">
            <v>1.0738739121450136</v>
          </cell>
          <cell r="C2217">
            <v>0</v>
          </cell>
          <cell r="D2217">
            <v>0</v>
          </cell>
          <cell r="E2217" t="e">
            <v>#VALUE!</v>
          </cell>
          <cell r="F2217">
            <v>0</v>
          </cell>
        </row>
        <row r="2218">
          <cell r="A2218" t="str">
            <v>SHDRH2RA</v>
          </cell>
          <cell r="B2218">
            <v>2.4358800574116511E-2</v>
          </cell>
          <cell r="C2218">
            <v>0</v>
          </cell>
          <cell r="D2218">
            <v>0</v>
          </cell>
          <cell r="E2218" t="e">
            <v>#VALUE!</v>
          </cell>
          <cell r="F2218">
            <v>0</v>
          </cell>
        </row>
        <row r="2219">
          <cell r="A2219" t="str">
            <v>SHDRH22A</v>
          </cell>
          <cell r="B2219">
            <v>1.4615280395501281E-2</v>
          </cell>
          <cell r="C2219">
            <v>0</v>
          </cell>
          <cell r="D2219">
            <v>0</v>
          </cell>
          <cell r="E2219" t="e">
            <v>#VALUE!</v>
          </cell>
          <cell r="F2219">
            <v>0</v>
          </cell>
        </row>
        <row r="2220">
          <cell r="A2220" t="str">
            <v>SHDRHYFA</v>
          </cell>
          <cell r="B2220">
            <v>9.7435199515256161E-3</v>
          </cell>
          <cell r="C2220">
            <v>0</v>
          </cell>
          <cell r="D2220">
            <v>0</v>
          </cell>
          <cell r="E2220" t="e">
            <v>#VALUE!</v>
          </cell>
          <cell r="F2220">
            <v>0</v>
          </cell>
        </row>
        <row r="2221">
          <cell r="A2221" t="str">
            <v>SH2BH21A</v>
          </cell>
          <cell r="B2221">
            <v>3.9490841919148012E-3</v>
          </cell>
          <cell r="C2221">
            <v>0</v>
          </cell>
          <cell r="D2221">
            <v>0</v>
          </cell>
          <cell r="E2221" t="e">
            <v>#VALUE!</v>
          </cell>
          <cell r="F2221">
            <v>0</v>
          </cell>
        </row>
        <row r="2222">
          <cell r="A2222" t="str">
            <v>SH2BH22A</v>
          </cell>
          <cell r="B2222">
            <v>1.4353924520211676E-2</v>
          </cell>
          <cell r="C2222">
            <v>0</v>
          </cell>
          <cell r="D2222">
            <v>0</v>
          </cell>
          <cell r="E2222" t="e">
            <v>#VALUE!</v>
          </cell>
          <cell r="F2222">
            <v>0</v>
          </cell>
        </row>
        <row r="2223">
          <cell r="A2223" t="str">
            <v>SNBOI56A</v>
          </cell>
          <cell r="B2223">
            <v>4.8832095205171469E-2</v>
          </cell>
          <cell r="C2223">
            <v>0</v>
          </cell>
          <cell r="D2223">
            <v>0</v>
          </cell>
          <cell r="E2223" t="e">
            <v>#VALUE!</v>
          </cell>
          <cell r="F2223">
            <v>0</v>
          </cell>
        </row>
        <row r="2224">
          <cell r="A2224" t="str">
            <v>SNBOWN1A</v>
          </cell>
          <cell r="B2224">
            <v>0</v>
          </cell>
          <cell r="C2224">
            <v>0</v>
          </cell>
          <cell r="D2224">
            <v>0</v>
          </cell>
          <cell r="E2224">
            <v>0</v>
          </cell>
          <cell r="F2224">
            <v>-56.518087441953895</v>
          </cell>
        </row>
        <row r="2225">
          <cell r="A2225" t="str">
            <v>SNBOPN1A</v>
          </cell>
          <cell r="B2225">
            <v>0</v>
          </cell>
          <cell r="C2225">
            <v>0</v>
          </cell>
          <cell r="D2225">
            <v>0</v>
          </cell>
          <cell r="E2225" t="e">
            <v>#VALUE!</v>
          </cell>
          <cell r="F2225">
            <v>-107.16907636564072</v>
          </cell>
        </row>
        <row r="2226">
          <cell r="A2226" t="str">
            <v>SNBOWN2A</v>
          </cell>
          <cell r="B2226">
            <v>0</v>
          </cell>
          <cell r="C2226">
            <v>0</v>
          </cell>
          <cell r="D2226">
            <v>0</v>
          </cell>
          <cell r="E2226" t="e">
            <v>#VALUE!</v>
          </cell>
          <cell r="F2226">
            <v>0</v>
          </cell>
        </row>
        <row r="2227">
          <cell r="A2227" t="str">
            <v>SNBOPN2A</v>
          </cell>
          <cell r="B2227">
            <v>0</v>
          </cell>
          <cell r="C2227">
            <v>0</v>
          </cell>
          <cell r="D2227">
            <v>0</v>
          </cell>
          <cell r="E2227" t="e">
            <v>#VALUE!</v>
          </cell>
          <cell r="F2227">
            <v>0</v>
          </cell>
        </row>
        <row r="2228">
          <cell r="A2228" t="str">
            <v>SNBOWN3A</v>
          </cell>
          <cell r="B2228">
            <v>0</v>
          </cell>
          <cell r="C2228">
            <v>0</v>
          </cell>
          <cell r="D2228">
            <v>0</v>
          </cell>
          <cell r="E2228" t="e">
            <v>#VALUE!</v>
          </cell>
          <cell r="F2228">
            <v>-55.190616116458422</v>
          </cell>
        </row>
        <row r="2229">
          <cell r="A2229" t="str">
            <v>SNBOWN4A</v>
          </cell>
          <cell r="B2229">
            <v>0</v>
          </cell>
          <cell r="C2229">
            <v>0</v>
          </cell>
          <cell r="D2229">
            <v>0</v>
          </cell>
          <cell r="E2229" t="e">
            <v>#VALUE!</v>
          </cell>
          <cell r="F2229">
            <v>-47.018191900645213</v>
          </cell>
        </row>
        <row r="2230">
          <cell r="A2230" t="str">
            <v>SNBOLIVA</v>
          </cell>
          <cell r="B2230">
            <v>2.657702314884287E-2</v>
          </cell>
          <cell r="C2230">
            <v>0</v>
          </cell>
          <cell r="D2230">
            <v>0</v>
          </cell>
          <cell r="E2230" t="e">
            <v>#VALUE!</v>
          </cell>
          <cell r="F2230">
            <v>-3.5883859608271349</v>
          </cell>
        </row>
        <row r="2231">
          <cell r="A2231" t="str">
            <v>SNBOLHTA</v>
          </cell>
          <cell r="B2231">
            <v>0</v>
          </cell>
          <cell r="C2231">
            <v>0</v>
          </cell>
          <cell r="D2231">
            <v>0</v>
          </cell>
          <cell r="E2231" t="e">
            <v>#VALUE!</v>
          </cell>
          <cell r="F2231">
            <v>-23.562189969624558</v>
          </cell>
        </row>
        <row r="2232">
          <cell r="A2232" t="str">
            <v>SNBOMJOA</v>
          </cell>
          <cell r="B2232">
            <v>0</v>
          </cell>
          <cell r="C2232">
            <v>0</v>
          </cell>
          <cell r="D2232">
            <v>0</v>
          </cell>
          <cell r="E2232" t="e">
            <v>#VALUE!</v>
          </cell>
          <cell r="F2232">
            <v>0</v>
          </cell>
        </row>
        <row r="2233">
          <cell r="A2233" t="str">
            <v>SNBORESA</v>
          </cell>
          <cell r="B2233">
            <v>0</v>
          </cell>
          <cell r="C2233">
            <v>0</v>
          </cell>
          <cell r="D2233">
            <v>0</v>
          </cell>
          <cell r="E2233" t="e">
            <v>#VALUE!</v>
          </cell>
          <cell r="F2233">
            <v>-62.551888217664747</v>
          </cell>
        </row>
        <row r="2234">
          <cell r="A2234" t="str">
            <v>SNBONLCA</v>
          </cell>
          <cell r="B2234">
            <v>0</v>
          </cell>
          <cell r="C2234">
            <v>0</v>
          </cell>
          <cell r="D2234">
            <v>0</v>
          </cell>
          <cell r="E2234" t="e">
            <v>#VALUE!</v>
          </cell>
          <cell r="F2234">
            <v>0</v>
          </cell>
        </row>
        <row r="2235">
          <cell r="A2235" t="str">
            <v>SNBONBOA</v>
          </cell>
          <cell r="B2235">
            <v>7.5409117182844307E-2</v>
          </cell>
          <cell r="C2235">
            <v>0</v>
          </cell>
          <cell r="D2235">
            <v>0</v>
          </cell>
          <cell r="E2235" t="e">
            <v>#VALUE!</v>
          </cell>
          <cell r="F2235">
            <v>0</v>
          </cell>
        </row>
        <row r="2236">
          <cell r="A2236" t="str">
            <v>SNBOnT4A</v>
          </cell>
          <cell r="B2236">
            <v>0</v>
          </cell>
          <cell r="C2236">
            <v>0</v>
          </cell>
          <cell r="D2236">
            <v>0</v>
          </cell>
          <cell r="E2236" t="e">
            <v>#VALUE!</v>
          </cell>
          <cell r="F2236">
            <v>0</v>
          </cell>
        </row>
        <row r="2237">
          <cell r="A2237" t="str">
            <v>SNBOx01A</v>
          </cell>
          <cell r="B2237">
            <v>0</v>
          </cell>
          <cell r="C2237">
            <v>0</v>
          </cell>
          <cell r="D2237">
            <v>0</v>
          </cell>
          <cell r="E2237" t="e">
            <v>#VALUE!</v>
          </cell>
          <cell r="F2237">
            <v>-10</v>
          </cell>
        </row>
        <row r="2238">
          <cell r="A2238" t="str">
            <v>SNBOx02A</v>
          </cell>
          <cell r="B2238">
            <v>0</v>
          </cell>
          <cell r="C2238">
            <v>0</v>
          </cell>
          <cell r="D2238">
            <v>0</v>
          </cell>
          <cell r="E2238" t="e">
            <v>#VALUE!</v>
          </cell>
          <cell r="F2238">
            <v>-10</v>
          </cell>
        </row>
        <row r="2239">
          <cell r="A2239" t="str">
            <v>SNBOnTSA</v>
          </cell>
          <cell r="B2239">
            <v>0</v>
          </cell>
          <cell r="C2239">
            <v>0</v>
          </cell>
          <cell r="D2239">
            <v>0</v>
          </cell>
          <cell r="E2239" t="e">
            <v>#VALUE!</v>
          </cell>
          <cell r="F2239">
            <v>0</v>
          </cell>
        </row>
        <row r="2240">
          <cell r="A2240" t="str">
            <v>SNBOx03A</v>
          </cell>
          <cell r="B2240">
            <v>0</v>
          </cell>
          <cell r="C2240">
            <v>0</v>
          </cell>
          <cell r="D2240">
            <v>0</v>
          </cell>
          <cell r="E2240" t="e">
            <v>#VALUE!</v>
          </cell>
          <cell r="F2240">
            <v>-10</v>
          </cell>
        </row>
        <row r="2241">
          <cell r="A2241" t="str">
            <v>SNBOx04A</v>
          </cell>
          <cell r="B2241">
            <v>0</v>
          </cell>
          <cell r="C2241">
            <v>0</v>
          </cell>
          <cell r="D2241">
            <v>0</v>
          </cell>
          <cell r="E2241" t="e">
            <v>#VALUE!</v>
          </cell>
          <cell r="F2241">
            <v>-10</v>
          </cell>
        </row>
        <row r="2242">
          <cell r="A2242" t="str">
            <v>SCAMTLNA</v>
          </cell>
          <cell r="B2242">
            <v>0</v>
          </cell>
          <cell r="C2242">
            <v>0</v>
          </cell>
          <cell r="D2242">
            <v>0</v>
          </cell>
          <cell r="E2242" t="e">
            <v>#VALUE!</v>
          </cell>
          <cell r="F2242">
            <v>-211.50537673741169</v>
          </cell>
        </row>
        <row r="2243">
          <cell r="A2243" t="str">
            <v>SCAMMXYA</v>
          </cell>
          <cell r="B2243">
            <v>0</v>
          </cell>
          <cell r="C2243">
            <v>0</v>
          </cell>
          <cell r="D2243">
            <v>0</v>
          </cell>
          <cell r="E2243" t="e">
            <v>#VALUE!</v>
          </cell>
          <cell r="F2243">
            <v>-178.86425864859802</v>
          </cell>
        </row>
        <row r="2244">
          <cell r="A2244" t="str">
            <v>SCAMARPA</v>
          </cell>
          <cell r="B2244">
            <v>4.3085743354199686E-3</v>
          </cell>
          <cell r="C2244">
            <v>0</v>
          </cell>
          <cell r="D2244">
            <v>0</v>
          </cell>
          <cell r="E2244" t="e">
            <v>#VALUE!</v>
          </cell>
          <cell r="F2244">
            <v>-4.2211292737150847</v>
          </cell>
        </row>
        <row r="2245">
          <cell r="A2245" t="str">
            <v>SCAMCAMA</v>
          </cell>
          <cell r="B2245">
            <v>4.3085743354199686E-3</v>
          </cell>
          <cell r="C2245">
            <v>0</v>
          </cell>
          <cell r="D2245">
            <v>0</v>
          </cell>
          <cell r="E2245" t="e">
            <v>#VALUE!</v>
          </cell>
          <cell r="F2245">
            <v>0</v>
          </cell>
        </row>
        <row r="2246">
          <cell r="A2246" t="str">
            <v>SVLCAR6A</v>
          </cell>
          <cell r="B2246">
            <v>5.7746965387494824E-5</v>
          </cell>
          <cell r="C2246">
            <v>0</v>
          </cell>
          <cell r="D2246">
            <v>0</v>
          </cell>
          <cell r="E2246" t="e">
            <v>#VALUE!</v>
          </cell>
          <cell r="F2246">
            <v>0</v>
          </cell>
        </row>
        <row r="2247">
          <cell r="A2247" t="str">
            <v>SVLCLV6A</v>
          </cell>
          <cell r="B2247">
            <v>7.534702203821786E-6</v>
          </cell>
          <cell r="C2247">
            <v>0</v>
          </cell>
          <cell r="D2247">
            <v>0</v>
          </cell>
          <cell r="E2247" t="e">
            <v>#VALUE!</v>
          </cell>
          <cell r="F2247">
            <v>0</v>
          </cell>
        </row>
        <row r="2248">
          <cell r="A2248" t="str">
            <v>SVLCPV6A</v>
          </cell>
          <cell r="B2248">
            <v>1.3372717088938385E-5</v>
          </cell>
          <cell r="C2248">
            <v>0</v>
          </cell>
          <cell r="D2248">
            <v>0</v>
          </cell>
          <cell r="E2248" t="e">
            <v>#VALUE!</v>
          </cell>
          <cell r="F2248">
            <v>0</v>
          </cell>
        </row>
        <row r="2249">
          <cell r="A2249" t="str">
            <v>SVLCVP6A</v>
          </cell>
          <cell r="B2249">
            <v>0</v>
          </cell>
          <cell r="C2249">
            <v>0</v>
          </cell>
          <cell r="D2249">
            <v>0</v>
          </cell>
          <cell r="E2249" t="e">
            <v>#VALUE!</v>
          </cell>
          <cell r="F2249">
            <v>-146.08660123642176</v>
          </cell>
        </row>
        <row r="2250">
          <cell r="A2250" t="str">
            <v>SVLCVR6A</v>
          </cell>
          <cell r="B2250">
            <v>3.683791992817495E-5</v>
          </cell>
          <cell r="C2250">
            <v>0</v>
          </cell>
          <cell r="D2250">
            <v>0</v>
          </cell>
          <cell r="E2250" t="e">
            <v>#VALUE!</v>
          </cell>
          <cell r="F2250">
            <v>0</v>
          </cell>
        </row>
        <row r="2251">
          <cell r="A2251" t="str">
            <v>SVLCAR1A</v>
          </cell>
          <cell r="B2251">
            <v>0</v>
          </cell>
          <cell r="C2251">
            <v>0</v>
          </cell>
          <cell r="D2251">
            <v>0</v>
          </cell>
          <cell r="E2251" t="e">
            <v>#VALUE!</v>
          </cell>
          <cell r="F2251">
            <v>53.547046922657586</v>
          </cell>
        </row>
        <row r="2252">
          <cell r="A2252" t="str">
            <v>SVLCLV1A</v>
          </cell>
          <cell r="B2252">
            <v>0</v>
          </cell>
          <cell r="C2252">
            <v>0</v>
          </cell>
          <cell r="D2252">
            <v>0</v>
          </cell>
          <cell r="E2252" t="e">
            <v>#VALUE!</v>
          </cell>
          <cell r="F2252">
            <v>0</v>
          </cell>
        </row>
        <row r="2253">
          <cell r="A2253" t="str">
            <v>SVLCPV1A</v>
          </cell>
          <cell r="B2253">
            <v>0</v>
          </cell>
          <cell r="C2253">
            <v>0</v>
          </cell>
          <cell r="D2253">
            <v>0</v>
          </cell>
          <cell r="E2253" t="e">
            <v>#VALUE!</v>
          </cell>
          <cell r="F2253">
            <v>0</v>
          </cell>
        </row>
        <row r="2254">
          <cell r="A2254" t="str">
            <v>SVLCVR1A</v>
          </cell>
          <cell r="B2254">
            <v>0</v>
          </cell>
          <cell r="C2254">
            <v>0</v>
          </cell>
          <cell r="D2254">
            <v>0</v>
          </cell>
          <cell r="E2254" t="e">
            <v>#VALUE!</v>
          </cell>
          <cell r="F2254">
            <v>0</v>
          </cell>
        </row>
        <row r="2255">
          <cell r="A2255" t="str">
            <v>SVLCDVLA</v>
          </cell>
          <cell r="B2255">
            <v>2.0907419522002673E-5</v>
          </cell>
          <cell r="C2255">
            <v>0</v>
          </cell>
          <cell r="D2255">
            <v>0</v>
          </cell>
          <cell r="E2255" t="e">
            <v>#VALUE!</v>
          </cell>
          <cell r="F2255">
            <v>0</v>
          </cell>
        </row>
        <row r="2256">
          <cell r="A2256" t="str">
            <v>SVLCFCLA</v>
          </cell>
          <cell r="B2256">
            <v>3.683791992817495E-5</v>
          </cell>
          <cell r="C2256">
            <v>0</v>
          </cell>
          <cell r="D2256">
            <v>0</v>
          </cell>
          <cell r="E2256" t="e">
            <v>#VALUE!</v>
          </cell>
          <cell r="F2256">
            <v>0</v>
          </cell>
        </row>
        <row r="2257">
          <cell r="A2257" t="str">
            <v>SVLCBPTA</v>
          </cell>
          <cell r="B2257">
            <v>5.9478893931492627E-5</v>
          </cell>
          <cell r="C2257">
            <v>0</v>
          </cell>
          <cell r="D2257">
            <v>0</v>
          </cell>
          <cell r="E2257" t="e">
            <v>#VALUE!</v>
          </cell>
          <cell r="F2257">
            <v>0</v>
          </cell>
        </row>
        <row r="2258">
          <cell r="A2258" t="str">
            <v>SKERLK1A</v>
          </cell>
          <cell r="B2258">
            <v>4.4523203658731018E-2</v>
          </cell>
          <cell r="C2258">
            <v>0</v>
          </cell>
          <cell r="D2258">
            <v>0</v>
          </cell>
          <cell r="E2258" t="e">
            <v>#VALUE!</v>
          </cell>
          <cell r="F2258">
            <v>-1.3282106775739422</v>
          </cell>
        </row>
        <row r="2259">
          <cell r="A2259" t="str">
            <v>SKERLK3A</v>
          </cell>
          <cell r="B2259">
            <v>2.9316197009119269E-3</v>
          </cell>
          <cell r="C2259">
            <v>0</v>
          </cell>
          <cell r="D2259">
            <v>0</v>
          </cell>
          <cell r="E2259" t="e">
            <v>#VALUE!</v>
          </cell>
          <cell r="F2259">
            <v>-5.2493492296297255</v>
          </cell>
        </row>
        <row r="2260">
          <cell r="A2260" t="str">
            <v>SKERLK4A</v>
          </cell>
          <cell r="B2260">
            <v>0.91676906788185852</v>
          </cell>
          <cell r="C2260">
            <v>0</v>
          </cell>
          <cell r="D2260">
            <v>0</v>
          </cell>
          <cell r="E2260" t="e">
            <v>#VALUE!</v>
          </cell>
          <cell r="F2260">
            <v>0</v>
          </cell>
        </row>
        <row r="2261">
          <cell r="A2261" t="str">
            <v>SKERLKFA</v>
          </cell>
          <cell r="B2261">
            <v>0.96422390121303192</v>
          </cell>
          <cell r="C2261">
            <v>0</v>
          </cell>
          <cell r="D2261">
            <v>0</v>
          </cell>
          <cell r="E2261" t="e">
            <v>#VALUE!</v>
          </cell>
          <cell r="F2261">
            <v>0</v>
          </cell>
        </row>
        <row r="2262">
          <cell r="A2262" t="str">
            <v>SKERLFKA</v>
          </cell>
          <cell r="B2262">
            <v>0.96422390121303192</v>
          </cell>
          <cell r="C2262">
            <v>0</v>
          </cell>
          <cell r="D2262">
            <v>0</v>
          </cell>
          <cell r="E2262" t="e">
            <v>#VALUE!</v>
          </cell>
          <cell r="F2262">
            <v>0</v>
          </cell>
        </row>
        <row r="2263">
          <cell r="A2263" t="str">
            <v>SKERH51A</v>
          </cell>
          <cell r="B2263">
            <v>5.660982725963201E-4</v>
          </cell>
          <cell r="C2263">
            <v>0</v>
          </cell>
          <cell r="D2263">
            <v>0</v>
          </cell>
          <cell r="E2263" t="e">
            <v>#VALUE!</v>
          </cell>
          <cell r="F2263">
            <v>0</v>
          </cell>
        </row>
        <row r="2264">
          <cell r="A2264" t="str">
            <v>SKERH52A</v>
          </cell>
          <cell r="B2264">
            <v>2.0606899570214422E-4</v>
          </cell>
          <cell r="C2264">
            <v>0</v>
          </cell>
          <cell r="D2264">
            <v>0</v>
          </cell>
          <cell r="E2264" t="e">
            <v>#VALUE!</v>
          </cell>
          <cell r="F2264">
            <v>0</v>
          </cell>
        </row>
        <row r="2265">
          <cell r="A2265" t="str">
            <v>SADIADIA</v>
          </cell>
          <cell r="B2265">
            <v>4.0047994388701165E-2</v>
          </cell>
          <cell r="C2265">
            <v>0</v>
          </cell>
          <cell r="D2265">
            <v>0</v>
          </cell>
          <cell r="E2265" t="e">
            <v>#VALUE!</v>
          </cell>
          <cell r="F2265">
            <v>0</v>
          </cell>
        </row>
        <row r="2266">
          <cell r="A2266" t="str">
            <v>SADIAD1A</v>
          </cell>
          <cell r="B2266">
            <v>4.0047994388701165E-2</v>
          </cell>
          <cell r="C2266">
            <v>0</v>
          </cell>
          <cell r="D2266">
            <v>0</v>
          </cell>
          <cell r="E2266" t="e">
            <v>#VALUE!</v>
          </cell>
          <cell r="F2266">
            <v>0</v>
          </cell>
        </row>
        <row r="2267">
          <cell r="A2267" t="str">
            <v>SADIAD2A</v>
          </cell>
          <cell r="B2267">
            <v>0</v>
          </cell>
          <cell r="C2267">
            <v>0</v>
          </cell>
          <cell r="D2267">
            <v>0</v>
          </cell>
          <cell r="E2267" t="e">
            <v>#VALUE!</v>
          </cell>
          <cell r="F2267">
            <v>-0.51610607839610478</v>
          </cell>
        </row>
        <row r="2268">
          <cell r="A2268" t="str">
            <v>SADIAD3A</v>
          </cell>
          <cell r="B2268">
            <v>0</v>
          </cell>
          <cell r="C2268">
            <v>0</v>
          </cell>
          <cell r="D2268">
            <v>0</v>
          </cell>
          <cell r="E2268" t="e">
            <v>#VALUE!</v>
          </cell>
          <cell r="F2268">
            <v>-1.0128926626623493</v>
          </cell>
        </row>
        <row r="2269">
          <cell r="A2269" t="str">
            <v>SNVRPN3A</v>
          </cell>
          <cell r="B2269">
            <v>2.5064661404857896E-2</v>
          </cell>
          <cell r="C2269">
            <v>0</v>
          </cell>
          <cell r="D2269">
            <v>0</v>
          </cell>
          <cell r="E2269" t="e">
            <v>#VALUE!</v>
          </cell>
          <cell r="F2269">
            <v>0</v>
          </cell>
        </row>
        <row r="2270">
          <cell r="A2270" t="str">
            <v>SNVRPN4A</v>
          </cell>
          <cell r="B2270">
            <v>0.82460570727309135</v>
          </cell>
          <cell r="C2270">
            <v>0</v>
          </cell>
          <cell r="D2270">
            <v>0</v>
          </cell>
          <cell r="E2270" t="e">
            <v>#VALUE!</v>
          </cell>
          <cell r="F2270">
            <v>0</v>
          </cell>
        </row>
        <row r="2271">
          <cell r="A2271" t="str">
            <v>SNVRPR3A</v>
          </cell>
          <cell r="B2271">
            <v>2.5064661404857896E-2</v>
          </cell>
          <cell r="C2271">
            <v>0</v>
          </cell>
          <cell r="D2271">
            <v>0</v>
          </cell>
          <cell r="E2271" t="e">
            <v>#VALUE!</v>
          </cell>
          <cell r="F2271">
            <v>0</v>
          </cell>
        </row>
        <row r="2272">
          <cell r="A2272" t="str">
            <v>SNVRPR4A</v>
          </cell>
          <cell r="B2272">
            <v>0.82460570727309135</v>
          </cell>
          <cell r="C2272">
            <v>0</v>
          </cell>
          <cell r="D2272">
            <v>0</v>
          </cell>
          <cell r="E2272" t="e">
            <v>#VALUE!</v>
          </cell>
          <cell r="F2272">
            <v>0</v>
          </cell>
        </row>
        <row r="2273">
          <cell r="A2273" t="str">
            <v>SNHTHTLA</v>
          </cell>
          <cell r="B2273">
            <v>0</v>
          </cell>
          <cell r="C2273">
            <v>0</v>
          </cell>
          <cell r="D2273">
            <v>0</v>
          </cell>
          <cell r="E2273" t="e">
            <v>#VALUE!</v>
          </cell>
          <cell r="F2273">
            <v>-496.71139501284244</v>
          </cell>
        </row>
        <row r="2274">
          <cell r="A2274" t="str">
            <v>SNHTNHTA</v>
          </cell>
          <cell r="B2274">
            <v>0</v>
          </cell>
          <cell r="C2274">
            <v>0</v>
          </cell>
          <cell r="D2274">
            <v>0</v>
          </cell>
          <cell r="E2274" t="e">
            <v>#VALUE!</v>
          </cell>
          <cell r="F2274">
            <v>-486.23711029470786</v>
          </cell>
        </row>
        <row r="2275">
          <cell r="A2275" t="str">
            <v>SJPILK1A</v>
          </cell>
          <cell r="B2275">
            <v>1.8901363423425858E-2</v>
          </cell>
          <cell r="C2275">
            <v>0</v>
          </cell>
          <cell r="D2275">
            <v>0</v>
          </cell>
          <cell r="E2275" t="e">
            <v>#VALUE!</v>
          </cell>
          <cell r="F2275">
            <v>-8.4515682664636067</v>
          </cell>
        </row>
        <row r="2276">
          <cell r="A2276" t="str">
            <v>SJPILK3A</v>
          </cell>
          <cell r="B2276">
            <v>2.0265867775433682E-2</v>
          </cell>
          <cell r="C2276">
            <v>0</v>
          </cell>
          <cell r="D2276">
            <v>0</v>
          </cell>
          <cell r="E2276" t="e">
            <v>#VALUE!</v>
          </cell>
          <cell r="F2276">
            <v>-6.1421103497074077</v>
          </cell>
        </row>
        <row r="2277">
          <cell r="A2277" t="str">
            <v>SJPILK4A</v>
          </cell>
          <cell r="B2277">
            <v>0</v>
          </cell>
          <cell r="C2277">
            <v>0</v>
          </cell>
          <cell r="D2277">
            <v>0</v>
          </cell>
          <cell r="E2277" t="e">
            <v>#VALUE!</v>
          </cell>
          <cell r="F2277">
            <v>-8.9522072922693532</v>
          </cell>
        </row>
        <row r="2278">
          <cell r="A2278" t="str">
            <v>SJPIHTPA</v>
          </cell>
          <cell r="B2278">
            <v>9.5165731666022792E-3</v>
          </cell>
          <cell r="C2278">
            <v>0</v>
          </cell>
          <cell r="D2278">
            <v>0</v>
          </cell>
          <cell r="E2278" t="e">
            <v>#VALUE!</v>
          </cell>
          <cell r="F2278">
            <v>-11.703685973441765</v>
          </cell>
        </row>
        <row r="2279">
          <cell r="A2279" t="str">
            <v>SJPINNPA</v>
          </cell>
          <cell r="B2279">
            <v>0</v>
          </cell>
          <cell r="C2279">
            <v>0</v>
          </cell>
          <cell r="D2279">
            <v>0</v>
          </cell>
          <cell r="E2279" t="e">
            <v>#VALUE!</v>
          </cell>
          <cell r="F2279">
            <v>-3.7973613183792323</v>
          </cell>
        </row>
        <row r="2280">
          <cell r="A2280" t="str">
            <v>SJPIJPIA</v>
          </cell>
          <cell r="B2280">
            <v>4.8683804365461818E-2</v>
          </cell>
          <cell r="C2280">
            <v>0</v>
          </cell>
          <cell r="D2280">
            <v>0</v>
          </cell>
          <cell r="E2280" t="e">
            <v>#VALUE!</v>
          </cell>
          <cell r="F2280">
            <v>0</v>
          </cell>
        </row>
        <row r="2281">
          <cell r="A2281" t="str">
            <v>STMECTMA</v>
          </cell>
          <cell r="B2281">
            <v>0.54889555728598816</v>
          </cell>
          <cell r="C2281">
            <v>0</v>
          </cell>
          <cell r="D2281">
            <v>0</v>
          </cell>
          <cell r="E2281" t="e">
            <v>#VALUE!</v>
          </cell>
          <cell r="F2281">
            <v>0</v>
          </cell>
        </row>
        <row r="2282">
          <cell r="A2282" t="str">
            <v>STMEM1BA</v>
          </cell>
          <cell r="B2282">
            <v>4.1898402898278952E-2</v>
          </cell>
          <cell r="C2282">
            <v>0</v>
          </cell>
          <cell r="D2282">
            <v>0</v>
          </cell>
          <cell r="E2282" t="e">
            <v>#VALUE!</v>
          </cell>
          <cell r="F2282">
            <v>0</v>
          </cell>
        </row>
        <row r="2283">
          <cell r="A2283" t="str">
            <v>STMEM2BA</v>
          </cell>
          <cell r="B2283">
            <v>7.3516977894796082E-2</v>
          </cell>
          <cell r="C2283">
            <v>0</v>
          </cell>
          <cell r="D2283">
            <v>0</v>
          </cell>
          <cell r="E2283" t="e">
            <v>#VALUE!</v>
          </cell>
          <cell r="F2283">
            <v>0</v>
          </cell>
        </row>
        <row r="2284">
          <cell r="A2284" t="str">
            <v>STMEM3BA</v>
          </cell>
          <cell r="B2284">
            <v>1.4373923959657041E-4</v>
          </cell>
          <cell r="C2284">
            <v>0</v>
          </cell>
          <cell r="D2284">
            <v>0</v>
          </cell>
          <cell r="E2284" t="e">
            <v>#VALUE!</v>
          </cell>
          <cell r="F2284">
            <v>0</v>
          </cell>
        </row>
        <row r="2285">
          <cell r="A2285" t="str">
            <v>STMEIIIA</v>
          </cell>
          <cell r="B2285">
            <v>0.30324819006331977</v>
          </cell>
          <cell r="C2285">
            <v>0</v>
          </cell>
          <cell r="D2285">
            <v>0</v>
          </cell>
          <cell r="E2285" t="e">
            <v>#VALUE!</v>
          </cell>
          <cell r="F2285">
            <v>0</v>
          </cell>
        </row>
        <row r="2286">
          <cell r="A2286" t="str">
            <v>STMEC44A</v>
          </cell>
          <cell r="B2286">
            <v>3.2933732642702863E-2</v>
          </cell>
          <cell r="C2286">
            <v>0</v>
          </cell>
          <cell r="D2286">
            <v>0</v>
          </cell>
          <cell r="E2286" t="e">
            <v>#VALUE!</v>
          </cell>
          <cell r="F2286">
            <v>0</v>
          </cell>
        </row>
        <row r="2287">
          <cell r="A2287" t="str">
            <v>STMESPPA</v>
          </cell>
          <cell r="B2287">
            <v>9.7154512429890566E-2</v>
          </cell>
          <cell r="C2287">
            <v>0</v>
          </cell>
          <cell r="D2287">
            <v>0</v>
          </cell>
          <cell r="E2287" t="e">
            <v>#VALUE!</v>
          </cell>
          <cell r="F2287">
            <v>0</v>
          </cell>
        </row>
        <row r="2288">
          <cell r="A2288" t="str">
            <v>STMETMEA</v>
          </cell>
          <cell r="B2288">
            <v>0.16834652750459436</v>
          </cell>
          <cell r="C2288">
            <v>0</v>
          </cell>
          <cell r="D2288">
            <v>0</v>
          </cell>
          <cell r="E2288" t="e">
            <v>#VALUE!</v>
          </cell>
          <cell r="F2288">
            <v>0</v>
          </cell>
        </row>
        <row r="2289">
          <cell r="A2289" t="str">
            <v>SPBTBTAA</v>
          </cell>
          <cell r="B2289">
            <v>0.47253876614244017</v>
          </cell>
          <cell r="C2289">
            <v>0</v>
          </cell>
          <cell r="D2289">
            <v>0</v>
          </cell>
          <cell r="E2289" t="e">
            <v>#VALUE!</v>
          </cell>
          <cell r="F2289">
            <v>0</v>
          </cell>
        </row>
        <row r="2290">
          <cell r="A2290" t="str">
            <v>SPBTBTBA</v>
          </cell>
          <cell r="B2290">
            <v>9.3118299339732077E-2</v>
          </cell>
          <cell r="C2290">
            <v>0</v>
          </cell>
          <cell r="D2290">
            <v>0</v>
          </cell>
          <cell r="E2290" t="e">
            <v>#VALUE!</v>
          </cell>
          <cell r="F2290">
            <v>-26.81697671968643</v>
          </cell>
        </row>
        <row r="2291">
          <cell r="A2291" t="str">
            <v>SPBTBTTA</v>
          </cell>
          <cell r="B2291">
            <v>0.56565706909519353</v>
          </cell>
          <cell r="C2291">
            <v>0</v>
          </cell>
          <cell r="D2291">
            <v>0</v>
          </cell>
          <cell r="E2291" t="e">
            <v>#VALUE!</v>
          </cell>
          <cell r="F2291">
            <v>0</v>
          </cell>
        </row>
        <row r="2292">
          <cell r="A2292" t="str">
            <v>SMTBBTTA</v>
          </cell>
          <cell r="B2292">
            <v>0.56565706909519353</v>
          </cell>
          <cell r="C2292">
            <v>0</v>
          </cell>
          <cell r="D2292">
            <v>0</v>
          </cell>
          <cell r="E2292" t="e">
            <v>#VALUE!</v>
          </cell>
          <cell r="F2292">
            <v>0</v>
          </cell>
        </row>
        <row r="2293">
          <cell r="A2293" t="str">
            <v>SMTBIC=A</v>
          </cell>
          <cell r="B2293">
            <v>7.8745296352530178E-2</v>
          </cell>
          <cell r="C2293">
            <v>0</v>
          </cell>
          <cell r="D2293">
            <v>0</v>
          </cell>
          <cell r="E2293" t="e">
            <v>#VALUE!</v>
          </cell>
          <cell r="F2293">
            <v>0</v>
          </cell>
        </row>
        <row r="2294">
          <cell r="A2294" t="str">
            <v>SMTBI4=A</v>
          </cell>
          <cell r="B2294">
            <v>4.1534897093087027E-4</v>
          </cell>
          <cell r="C2294">
            <v>0</v>
          </cell>
          <cell r="D2294">
            <v>0</v>
          </cell>
          <cell r="E2294" t="e">
            <v>#VALUE!</v>
          </cell>
          <cell r="F2294">
            <v>0</v>
          </cell>
        </row>
        <row r="2295">
          <cell r="A2295" t="str">
            <v>SMTB4=1A</v>
          </cell>
          <cell r="B2295">
            <v>6.8311255272120647E-2</v>
          </cell>
          <cell r="C2295">
            <v>0</v>
          </cell>
          <cell r="D2295">
            <v>0</v>
          </cell>
          <cell r="E2295" t="e">
            <v>#VALUE!</v>
          </cell>
          <cell r="F2295">
            <v>0</v>
          </cell>
        </row>
        <row r="2296">
          <cell r="A2296" t="str">
            <v>SMTB4=2A</v>
          </cell>
          <cell r="B2296">
            <v>9.6616896497060178E-2</v>
          </cell>
          <cell r="C2296">
            <v>0</v>
          </cell>
          <cell r="D2296">
            <v>0</v>
          </cell>
          <cell r="E2296" t="e">
            <v>#VALUE!</v>
          </cell>
          <cell r="F2296">
            <v>0</v>
          </cell>
        </row>
        <row r="2297">
          <cell r="A2297" t="str">
            <v>SMTBIC4A</v>
          </cell>
          <cell r="B2297">
            <v>0.15341444399258861</v>
          </cell>
          <cell r="C2297">
            <v>0</v>
          </cell>
          <cell r="D2297">
            <v>0</v>
          </cell>
          <cell r="E2297" t="e">
            <v>#VALUE!</v>
          </cell>
          <cell r="F2297">
            <v>0</v>
          </cell>
        </row>
        <row r="2298">
          <cell r="A2298" t="str">
            <v>SMTBNC4A</v>
          </cell>
          <cell r="B2298">
            <v>0.16815382429998216</v>
          </cell>
          <cell r="C2298">
            <v>0</v>
          </cell>
          <cell r="D2298">
            <v>0</v>
          </cell>
          <cell r="E2298" t="e">
            <v>#VALUE!</v>
          </cell>
          <cell r="F2298">
            <v>0</v>
          </cell>
        </row>
        <row r="2299">
          <cell r="A2299" t="str">
            <v>SMTBB4IA</v>
          </cell>
          <cell r="B2299">
            <v>0.48691175718830054</v>
          </cell>
          <cell r="C2299">
            <v>0</v>
          </cell>
          <cell r="D2299">
            <v>0</v>
          </cell>
          <cell r="E2299" t="e">
            <v>#VALUE!</v>
          </cell>
          <cell r="F2299">
            <v>0</v>
          </cell>
        </row>
        <row r="2300">
          <cell r="A2300" t="str">
            <v>SFDOVRBA</v>
          </cell>
          <cell r="B2300">
            <v>0</v>
          </cell>
          <cell r="C2300">
            <v>0</v>
          </cell>
          <cell r="D2300">
            <v>0</v>
          </cell>
          <cell r="E2300" t="e">
            <v>#VALUE!</v>
          </cell>
          <cell r="F2300">
            <v>-1.7096418896766559</v>
          </cell>
        </row>
        <row r="2301">
          <cell r="A2301" t="str">
            <v>SFDOAR1A</v>
          </cell>
          <cell r="B2301">
            <v>0.9513576272415788</v>
          </cell>
          <cell r="C2301">
            <v>0</v>
          </cell>
          <cell r="D2301">
            <v>0</v>
          </cell>
          <cell r="E2301" t="e">
            <v>#VALUE!</v>
          </cell>
          <cell r="F2301">
            <v>0</v>
          </cell>
        </row>
        <row r="2302">
          <cell r="A2302" t="str">
            <v>SFDOAR2A</v>
          </cell>
          <cell r="B2302">
            <v>0</v>
          </cell>
          <cell r="C2302">
            <v>0</v>
          </cell>
          <cell r="D2302">
            <v>0</v>
          </cell>
          <cell r="E2302" t="e">
            <v>#VALUE!</v>
          </cell>
          <cell r="F2302">
            <v>-67.284461786975598</v>
          </cell>
        </row>
        <row r="2303">
          <cell r="A2303" t="str">
            <v>SFDOAR3A</v>
          </cell>
          <cell r="B2303">
            <v>0</v>
          </cell>
          <cell r="C2303">
            <v>0</v>
          </cell>
          <cell r="D2303">
            <v>0</v>
          </cell>
          <cell r="E2303" t="e">
            <v>#VALUE!</v>
          </cell>
          <cell r="F2303">
            <v>0</v>
          </cell>
        </row>
        <row r="2304">
          <cell r="A2304" t="str">
            <v>SFDOAR4A</v>
          </cell>
          <cell r="B2304">
            <v>1.1736387167891411</v>
          </cell>
          <cell r="C2304">
            <v>0</v>
          </cell>
          <cell r="D2304">
            <v>0</v>
          </cell>
          <cell r="E2304" t="e">
            <v>#VALUE!</v>
          </cell>
          <cell r="F2304">
            <v>0</v>
          </cell>
        </row>
        <row r="2305">
          <cell r="A2305" t="str">
            <v>SFDOAR5A</v>
          </cell>
          <cell r="B2305">
            <v>0</v>
          </cell>
          <cell r="C2305">
            <v>0</v>
          </cell>
          <cell r="D2305">
            <v>0</v>
          </cell>
          <cell r="E2305" t="e">
            <v>#VALUE!</v>
          </cell>
          <cell r="F2305">
            <v>-84.515478808259317</v>
          </cell>
        </row>
        <row r="2306">
          <cell r="A2306" t="str">
            <v>SFDOAR6A</v>
          </cell>
          <cell r="B2306">
            <v>0</v>
          </cell>
          <cell r="C2306">
            <v>0</v>
          </cell>
          <cell r="D2306">
            <v>0</v>
          </cell>
          <cell r="E2306" t="e">
            <v>#VALUE!</v>
          </cell>
          <cell r="F2306">
            <v>-47.896705826014689</v>
          </cell>
        </row>
        <row r="2307">
          <cell r="A2307" t="str">
            <v>SFDOAR7A</v>
          </cell>
          <cell r="B2307">
            <v>0</v>
          </cell>
          <cell r="C2307">
            <v>0</v>
          </cell>
          <cell r="D2307">
            <v>0</v>
          </cell>
          <cell r="E2307" t="e">
            <v>#VALUE!</v>
          </cell>
          <cell r="F2307">
            <v>-69.943714392675119</v>
          </cell>
        </row>
        <row r="2308">
          <cell r="A2308" t="str">
            <v>SFDOVFVA</v>
          </cell>
          <cell r="B2308">
            <v>0.83202198841800423</v>
          </cell>
          <cell r="C2308">
            <v>0</v>
          </cell>
          <cell r="D2308">
            <v>0</v>
          </cell>
          <cell r="E2308" t="e">
            <v>#VALUE!</v>
          </cell>
          <cell r="F2308">
            <v>0</v>
          </cell>
        </row>
        <row r="2309">
          <cell r="A2309" t="str">
            <v>SFDOFCLA</v>
          </cell>
          <cell r="B2309">
            <v>1.998626896537432E-5</v>
          </cell>
          <cell r="C2309">
            <v>0</v>
          </cell>
          <cell r="D2309">
            <v>0</v>
          </cell>
          <cell r="E2309" t="e">
            <v>#VALUE!</v>
          </cell>
          <cell r="F2309">
            <v>-2.4309116376589421</v>
          </cell>
        </row>
        <row r="2310">
          <cell r="A2310" t="str">
            <v>SFDOFPDA</v>
          </cell>
          <cell r="B2310">
            <v>1.479453636358862E-2</v>
          </cell>
          <cell r="C2310">
            <v>0</v>
          </cell>
          <cell r="D2310">
            <v>0</v>
          </cell>
          <cell r="E2310" t="e">
            <v>#VALUE!</v>
          </cell>
          <cell r="F2310">
            <v>-1.2312748925326622</v>
          </cell>
        </row>
        <row r="2311">
          <cell r="A2311" t="str">
            <v>SFDOALPA</v>
          </cell>
          <cell r="B2311">
            <v>0</v>
          </cell>
          <cell r="C2311">
            <v>0</v>
          </cell>
          <cell r="D2311">
            <v>0</v>
          </cell>
          <cell r="E2311" t="e">
            <v>#VALUE!</v>
          </cell>
          <cell r="F2311">
            <v>-28.205063226778215</v>
          </cell>
        </row>
        <row r="2312">
          <cell r="A2312" t="str">
            <v>SFDOFUEA</v>
          </cell>
          <cell r="B2312">
            <v>0</v>
          </cell>
          <cell r="C2312">
            <v>0</v>
          </cell>
          <cell r="D2312">
            <v>0</v>
          </cell>
          <cell r="E2312" t="e">
            <v>#VALUE!</v>
          </cell>
          <cell r="F2312">
            <v>-0.72209663717714079</v>
          </cell>
        </row>
        <row r="2313">
          <cell r="A2313" t="str">
            <v>SFDOEXVA</v>
          </cell>
          <cell r="B2313">
            <v>0</v>
          </cell>
          <cell r="C2313">
            <v>0</v>
          </cell>
          <cell r="D2313">
            <v>0</v>
          </cell>
          <cell r="E2313" t="e">
            <v>#VALUE!</v>
          </cell>
          <cell r="F2313">
            <v>-178.46644395802119</v>
          </cell>
        </row>
        <row r="2314">
          <cell r="A2314" t="str">
            <v>SFDOEXTA</v>
          </cell>
          <cell r="B2314">
            <v>0</v>
          </cell>
          <cell r="C2314">
            <v>0</v>
          </cell>
          <cell r="D2314">
            <v>0</v>
          </cell>
          <cell r="E2314" t="e">
            <v>#VALUE!</v>
          </cell>
          <cell r="F2314">
            <v>-160.77546859114136</v>
          </cell>
        </row>
        <row r="2315">
          <cell r="A2315" t="str">
            <v>SFDOFDOA</v>
          </cell>
          <cell r="B2315">
            <v>2.9718328841745039</v>
          </cell>
          <cell r="C2315">
            <v>0</v>
          </cell>
          <cell r="D2315">
            <v>0</v>
          </cell>
          <cell r="E2315" t="e">
            <v>#VALUE!</v>
          </cell>
          <cell r="F2315">
            <v>0</v>
          </cell>
        </row>
        <row r="2316">
          <cell r="A2316" t="str">
            <v>SRQFBASA</v>
          </cell>
          <cell r="B2316">
            <v>0</v>
          </cell>
          <cell r="C2316">
            <v>0</v>
          </cell>
          <cell r="D2316">
            <v>0</v>
          </cell>
          <cell r="E2316" t="e">
            <v>#VALUE!</v>
          </cell>
          <cell r="F2316">
            <v>0</v>
          </cell>
        </row>
        <row r="2317">
          <cell r="A2317" t="str">
            <v>SCHMBASA</v>
          </cell>
          <cell r="B2317">
            <v>0.12154266087159718</v>
          </cell>
          <cell r="C2317">
            <v>0</v>
          </cell>
          <cell r="D2317">
            <v>0</v>
          </cell>
          <cell r="E2317" t="e">
            <v>#VALUE!</v>
          </cell>
          <cell r="F2317">
            <v>0</v>
          </cell>
        </row>
        <row r="2318">
          <cell r="A2318" t="str">
            <v>SBLGHTDA</v>
          </cell>
          <cell r="B2318">
            <v>1.8452960775323111</v>
          </cell>
          <cell r="C2318">
            <v>0</v>
          </cell>
          <cell r="D2318">
            <v>0</v>
          </cell>
          <cell r="E2318" t="e">
            <v>#VALUE!</v>
          </cell>
          <cell r="F2318">
            <v>0</v>
          </cell>
        </row>
        <row r="2319">
          <cell r="A2319" t="str">
            <v>SBLGLCWA</v>
          </cell>
          <cell r="B2319">
            <v>0.25858339830620647</v>
          </cell>
          <cell r="C2319">
            <v>0</v>
          </cell>
          <cell r="D2319">
            <v>0</v>
          </cell>
          <cell r="E2319" t="e">
            <v>#VALUE!</v>
          </cell>
          <cell r="F2319">
            <v>0</v>
          </cell>
        </row>
        <row r="2320">
          <cell r="A2320" t="str">
            <v>SBLGLCDA</v>
          </cell>
          <cell r="B2320">
            <v>2.1038795000886266</v>
          </cell>
          <cell r="C2320">
            <v>0</v>
          </cell>
          <cell r="D2320">
            <v>0</v>
          </cell>
          <cell r="E2320" t="e">
            <v>#VALUE!</v>
          </cell>
          <cell r="F2320">
            <v>0</v>
          </cell>
        </row>
        <row r="2321">
          <cell r="A2321" t="str">
            <v>SvplSCNA</v>
          </cell>
          <cell r="B2321">
            <v>10.082351684570313</v>
          </cell>
          <cell r="C2321">
            <v>0</v>
          </cell>
          <cell r="D2321">
            <v>0</v>
          </cell>
          <cell r="E2321" t="e">
            <v>#VALUE!</v>
          </cell>
          <cell r="F2321">
            <v>0</v>
          </cell>
        </row>
        <row r="2322">
          <cell r="A2322" t="str">
            <v>SvplCHUA</v>
          </cell>
          <cell r="B2322">
            <v>4.4046317871302776</v>
          </cell>
          <cell r="C2322">
            <v>0</v>
          </cell>
          <cell r="D2322">
            <v>0</v>
          </cell>
          <cell r="E2322" t="e">
            <v>#VALUE!</v>
          </cell>
          <cell r="F2322">
            <v>0</v>
          </cell>
        </row>
        <row r="2323">
          <cell r="A2323" t="str">
            <v>SvplWN1A</v>
          </cell>
          <cell r="B2323">
            <v>0.29771490472636813</v>
          </cell>
          <cell r="C2323">
            <v>0</v>
          </cell>
          <cell r="D2323">
            <v>0</v>
          </cell>
          <cell r="E2323" t="e">
            <v>#VALUE!</v>
          </cell>
          <cell r="F2323">
            <v>0</v>
          </cell>
        </row>
        <row r="2324">
          <cell r="A2324" t="str">
            <v>SvplPN1A</v>
          </cell>
          <cell r="B2324">
            <v>0.2427926922497684</v>
          </cell>
          <cell r="C2324">
            <v>0</v>
          </cell>
          <cell r="D2324">
            <v>0</v>
          </cell>
          <cell r="E2324" t="e">
            <v>#VALUE!</v>
          </cell>
          <cell r="F2324">
            <v>0</v>
          </cell>
        </row>
        <row r="2325">
          <cell r="A2325" t="str">
            <v>SvplWN2A</v>
          </cell>
          <cell r="B2325">
            <v>0</v>
          </cell>
          <cell r="C2325">
            <v>0</v>
          </cell>
          <cell r="D2325">
            <v>0</v>
          </cell>
          <cell r="E2325" t="e">
            <v>#VALUE!</v>
          </cell>
          <cell r="F2325">
            <v>0</v>
          </cell>
        </row>
        <row r="2326">
          <cell r="A2326" t="str">
            <v>SvplPN2A</v>
          </cell>
          <cell r="B2326">
            <v>0</v>
          </cell>
          <cell r="C2326">
            <v>0</v>
          </cell>
          <cell r="D2326">
            <v>0</v>
          </cell>
          <cell r="E2326" t="e">
            <v>#VALUE!</v>
          </cell>
          <cell r="F2326">
            <v>0</v>
          </cell>
        </row>
        <row r="2327">
          <cell r="A2327" t="str">
            <v>SvplmNCA</v>
          </cell>
          <cell r="B2327">
            <v>14.486983651984227</v>
          </cell>
          <cell r="C2327">
            <v>0</v>
          </cell>
          <cell r="D2327">
            <v>0</v>
          </cell>
          <cell r="E2327" t="e">
            <v>#VALUE!</v>
          </cell>
          <cell r="F2327">
            <v>0</v>
          </cell>
        </row>
        <row r="2328">
          <cell r="A2328" t="str">
            <v>SvplnT4A</v>
          </cell>
          <cell r="B2328">
            <v>0.54050759322022734</v>
          </cell>
          <cell r="C2328">
            <v>0</v>
          </cell>
          <cell r="D2328">
            <v>0</v>
          </cell>
          <cell r="E2328" t="e">
            <v>#VALUE!</v>
          </cell>
          <cell r="F2328">
            <v>0</v>
          </cell>
        </row>
        <row r="2329">
          <cell r="A2329" t="str">
            <v>SvplnTSA</v>
          </cell>
          <cell r="B2329">
            <v>0</v>
          </cell>
          <cell r="C2329">
            <v>0</v>
          </cell>
          <cell r="D2329">
            <v>0</v>
          </cell>
          <cell r="E2329" t="e">
            <v>#VALUE!</v>
          </cell>
          <cell r="F2329">
            <v>0</v>
          </cell>
        </row>
        <row r="2330">
          <cell r="A2330" t="str">
            <v>BALKNASA</v>
          </cell>
          <cell r="B2330">
            <v>0.10100738200014585</v>
          </cell>
          <cell r="C2330">
            <v>0</v>
          </cell>
          <cell r="D2330">
            <v>0</v>
          </cell>
          <cell r="E2330" t="e">
            <v>#VALUE!</v>
          </cell>
          <cell r="F2330">
            <v>0</v>
          </cell>
        </row>
        <row r="2331">
          <cell r="A2331" t="str">
            <v>TOTLUB A</v>
          </cell>
          <cell r="B2331">
            <v>0.66759724380218821</v>
          </cell>
          <cell r="C2331">
            <v>0</v>
          </cell>
          <cell r="D2331">
            <v>0</v>
          </cell>
          <cell r="E2331" t="e">
            <v>#VALUE!</v>
          </cell>
          <cell r="F2331">
            <v>0</v>
          </cell>
        </row>
        <row r="2332">
          <cell r="A2332" t="str">
            <v>BDCNNACA</v>
          </cell>
          <cell r="B2332">
            <v>0</v>
          </cell>
          <cell r="C2332">
            <v>0</v>
          </cell>
          <cell r="D2332">
            <v>0</v>
          </cell>
          <cell r="E2332" t="e">
            <v>#VALUE!</v>
          </cell>
          <cell r="F2332">
            <v>0</v>
          </cell>
        </row>
        <row r="2333">
          <cell r="A2333" t="str">
            <v>BDKNNACA</v>
          </cell>
          <cell r="B2333">
            <v>0</v>
          </cell>
          <cell r="C2333">
            <v>0</v>
          </cell>
          <cell r="D2333">
            <v>0</v>
          </cell>
          <cell r="E2333" t="e">
            <v>#VALUE!</v>
          </cell>
          <cell r="F2333">
            <v>0</v>
          </cell>
        </row>
        <row r="2334">
          <cell r="A2334" t="str">
            <v>TDCNNORA</v>
          </cell>
          <cell r="B2334">
            <v>0</v>
          </cell>
          <cell r="C2334">
            <v>0</v>
          </cell>
          <cell r="D2334">
            <v>0</v>
          </cell>
          <cell r="E2334" t="e">
            <v>#VALUE!</v>
          </cell>
          <cell r="F2334">
            <v>0</v>
          </cell>
        </row>
        <row r="2335">
          <cell r="A2335" t="str">
            <v>TOTGCI A</v>
          </cell>
          <cell r="B2335">
            <v>0</v>
          </cell>
          <cell r="C2335">
            <v>0</v>
          </cell>
          <cell r="D2335">
            <v>0</v>
          </cell>
          <cell r="E2335" t="e">
            <v>#VALUE!</v>
          </cell>
          <cell r="F2335">
            <v>0</v>
          </cell>
        </row>
        <row r="2336">
          <cell r="A2336" t="str">
            <v>TOTGCE A</v>
          </cell>
          <cell r="B2336">
            <v>0</v>
          </cell>
          <cell r="C2336">
            <v>0</v>
          </cell>
          <cell r="D2336">
            <v>0</v>
          </cell>
          <cell r="E2336" t="e">
            <v>#VALUE!</v>
          </cell>
          <cell r="F2336">
            <v>0</v>
          </cell>
        </row>
        <row r="2337">
          <cell r="A2337" t="str">
            <v>TOTAPETA</v>
          </cell>
          <cell r="B2337">
            <v>0.49315100908279419</v>
          </cell>
          <cell r="C2337">
            <v>0</v>
          </cell>
          <cell r="D2337">
            <v>0</v>
          </cell>
          <cell r="E2337" t="e">
            <v>#VALUE!</v>
          </cell>
          <cell r="F2337">
            <v>0</v>
          </cell>
        </row>
        <row r="2338">
          <cell r="A2338" t="str">
            <v>EpencolA</v>
          </cell>
          <cell r="B2338">
            <v>0</v>
          </cell>
          <cell r="C2338">
            <v>-1</v>
          </cell>
          <cell r="D2338">
            <v>0</v>
          </cell>
          <cell r="E2338" t="e">
            <v>#VALUE!</v>
          </cell>
          <cell r="F2338">
            <v>0</v>
          </cell>
        </row>
        <row r="2339">
          <cell r="A2339" t="str">
            <v>RSPGBTTA</v>
          </cell>
          <cell r="B2339">
            <v>-2.3087967121483254E-4</v>
          </cell>
          <cell r="C2339">
            <v>0</v>
          </cell>
          <cell r="D2339" t="e">
            <v>#VALUE!</v>
          </cell>
          <cell r="E2339" t="e">
            <v>#VALUE!</v>
          </cell>
          <cell r="F2339">
            <v>0</v>
          </cell>
        </row>
        <row r="2340">
          <cell r="A2340" t="str">
            <v>RSPGB4IA</v>
          </cell>
          <cell r="B2340">
            <v>1.2264854659369033E-4</v>
          </cell>
          <cell r="C2340">
            <v>0</v>
          </cell>
          <cell r="D2340" t="e">
            <v>#VALUE!</v>
          </cell>
          <cell r="E2340" t="e">
            <v>#VALUE!</v>
          </cell>
          <cell r="F2340">
            <v>0</v>
          </cell>
        </row>
        <row r="2341">
          <cell r="A2341" t="str">
            <v>RSPGBT2A</v>
          </cell>
          <cell r="B2341">
            <v>8.4691318809547006E-10</v>
          </cell>
          <cell r="C2341">
            <v>0</v>
          </cell>
          <cell r="D2341" t="e">
            <v>#VALUE!</v>
          </cell>
          <cell r="E2341" t="e">
            <v>#VALUE!</v>
          </cell>
          <cell r="F2341">
            <v>0</v>
          </cell>
        </row>
        <row r="2342">
          <cell r="A2342" t="str">
            <v>RSPGWN1A</v>
          </cell>
          <cell r="B2342">
            <v>6.4230819088438758E-5</v>
          </cell>
          <cell r="C2342">
            <v>0</v>
          </cell>
          <cell r="D2342" t="e">
            <v>#VALUE!</v>
          </cell>
          <cell r="E2342" t="e">
            <v>#VALUE!</v>
          </cell>
          <cell r="F2342">
            <v>0</v>
          </cell>
        </row>
        <row r="2343">
          <cell r="A2343" t="str">
            <v>RSPGWN2A</v>
          </cell>
          <cell r="B2343">
            <v>0</v>
          </cell>
          <cell r="C2343">
            <v>0</v>
          </cell>
          <cell r="D2343" t="e">
            <v>#VALUE!</v>
          </cell>
          <cell r="E2343" t="e">
            <v>#VALUE!</v>
          </cell>
          <cell r="F2343">
            <v>0</v>
          </cell>
        </row>
        <row r="2344">
          <cell r="A2344" t="str">
            <v>RSPGWN3A</v>
          </cell>
          <cell r="B2344">
            <v>2.084234989350279E-4</v>
          </cell>
          <cell r="C2344">
            <v>0</v>
          </cell>
          <cell r="D2344" t="e">
            <v>#VALUE!</v>
          </cell>
          <cell r="E2344" t="e">
            <v>#VALUE!</v>
          </cell>
          <cell r="F2344">
            <v>0</v>
          </cell>
        </row>
        <row r="2345">
          <cell r="A2345" t="str">
            <v>RSPGWN4A</v>
          </cell>
          <cell r="B2345">
            <v>2.7293398175808685E-7</v>
          </cell>
          <cell r="C2345">
            <v>0</v>
          </cell>
          <cell r="D2345" t="e">
            <v>#VALUE!</v>
          </cell>
          <cell r="E2345" t="e">
            <v>#VALUE!</v>
          </cell>
          <cell r="F2345">
            <v>0</v>
          </cell>
        </row>
        <row r="2346">
          <cell r="A2346" t="str">
            <v>RSPGPN1A</v>
          </cell>
          <cell r="B2346">
            <v>2.3721934368349953E-5</v>
          </cell>
          <cell r="C2346">
            <v>0</v>
          </cell>
          <cell r="D2346" t="e">
            <v>#VALUE!</v>
          </cell>
          <cell r="E2346" t="e">
            <v>#VALUE!</v>
          </cell>
          <cell r="F2346">
            <v>0</v>
          </cell>
        </row>
        <row r="2347">
          <cell r="A2347" t="str">
            <v>RSPGPN2A</v>
          </cell>
          <cell r="B2347">
            <v>0</v>
          </cell>
          <cell r="C2347">
            <v>0</v>
          </cell>
          <cell r="D2347" t="e">
            <v>#VALUE!</v>
          </cell>
          <cell r="E2347" t="e">
            <v>#VALUE!</v>
          </cell>
          <cell r="F2347">
            <v>0</v>
          </cell>
        </row>
        <row r="2348">
          <cell r="A2348" t="str">
            <v>RSPGPN3A</v>
          </cell>
          <cell r="B2348">
            <v>2.7300986128042719E-4</v>
          </cell>
          <cell r="C2348">
            <v>0</v>
          </cell>
          <cell r="D2348" t="e">
            <v>#VALUE!</v>
          </cell>
          <cell r="E2348" t="e">
            <v>#VALUE!</v>
          </cell>
          <cell r="F2348">
            <v>0</v>
          </cell>
        </row>
        <row r="2349">
          <cell r="A2349" t="str">
            <v>RSPGPN4A</v>
          </cell>
          <cell r="B2349">
            <v>8.3043650191353812E-4</v>
          </cell>
          <cell r="C2349">
            <v>0</v>
          </cell>
          <cell r="D2349" t="e">
            <v>#VALUE!</v>
          </cell>
          <cell r="E2349" t="e">
            <v>#VALUE!</v>
          </cell>
          <cell r="F2349">
            <v>0</v>
          </cell>
        </row>
        <row r="2350">
          <cell r="A2350" t="str">
            <v>RSPGSK1A</v>
          </cell>
          <cell r="B2350">
            <v>-1.8991718876001358E-5</v>
          </cell>
          <cell r="C2350">
            <v>0</v>
          </cell>
          <cell r="D2350" t="e">
            <v>#VALUE!</v>
          </cell>
          <cell r="E2350" t="e">
            <v>#VALUE!</v>
          </cell>
          <cell r="F2350">
            <v>0</v>
          </cell>
        </row>
        <row r="2351">
          <cell r="A2351" t="str">
            <v>RSPGSK2A</v>
          </cell>
          <cell r="B2351">
            <v>2.4363076923311555E-8</v>
          </cell>
          <cell r="C2351">
            <v>0</v>
          </cell>
          <cell r="D2351" t="e">
            <v>#VALUE!</v>
          </cell>
          <cell r="E2351" t="e">
            <v>#VALUE!</v>
          </cell>
          <cell r="F2351">
            <v>0</v>
          </cell>
        </row>
        <row r="2352">
          <cell r="A2352" t="str">
            <v>RSPGSK3A</v>
          </cell>
          <cell r="B2352">
            <v>0</v>
          </cell>
          <cell r="C2352">
            <v>0</v>
          </cell>
          <cell r="D2352" t="e">
            <v>#VALUE!</v>
          </cell>
          <cell r="E2352" t="e">
            <v>#VALUE!</v>
          </cell>
          <cell r="F2352">
            <v>0</v>
          </cell>
        </row>
        <row r="2353">
          <cell r="A2353" t="str">
            <v>RSPGSK5A</v>
          </cell>
          <cell r="B2353">
            <v>0</v>
          </cell>
          <cell r="C2353">
            <v>0</v>
          </cell>
          <cell r="D2353" t="e">
            <v>#VALUE!</v>
          </cell>
          <cell r="E2353" t="e">
            <v>#VALUE!</v>
          </cell>
          <cell r="F2353">
            <v>0</v>
          </cell>
        </row>
        <row r="2354">
          <cell r="A2354" t="str">
            <v>RSPGSK6A</v>
          </cell>
          <cell r="B2354">
            <v>-5.0837391696616462E-9</v>
          </cell>
          <cell r="C2354">
            <v>0</v>
          </cell>
          <cell r="D2354" t="e">
            <v>#VALUE!</v>
          </cell>
          <cell r="E2354" t="e">
            <v>#VALUE!</v>
          </cell>
          <cell r="F2354">
            <v>0</v>
          </cell>
        </row>
        <row r="2355">
          <cell r="A2355" t="str">
            <v>RSPGSK7A</v>
          </cell>
          <cell r="B2355">
            <v>9.2539824312434446E-8</v>
          </cell>
          <cell r="C2355">
            <v>0</v>
          </cell>
          <cell r="D2355" t="e">
            <v>#VALUE!</v>
          </cell>
          <cell r="E2355" t="e">
            <v>#VALUE!</v>
          </cell>
          <cell r="F2355">
            <v>0</v>
          </cell>
        </row>
        <row r="2356">
          <cell r="A2356" t="str">
            <v>RSPGLK2A</v>
          </cell>
          <cell r="B2356">
            <v>0</v>
          </cell>
          <cell r="C2356">
            <v>0</v>
          </cell>
          <cell r="D2356" t="e">
            <v>#VALUE!</v>
          </cell>
          <cell r="E2356" t="e">
            <v>#VALUE!</v>
          </cell>
          <cell r="F2356">
            <v>0</v>
          </cell>
        </row>
        <row r="2357">
          <cell r="A2357" t="str">
            <v>RSPGLK1A</v>
          </cell>
          <cell r="B2357">
            <v>-3.2562550802049998E-5</v>
          </cell>
          <cell r="C2357">
            <v>0</v>
          </cell>
          <cell r="D2357" t="e">
            <v>#VALUE!</v>
          </cell>
          <cell r="E2357" t="e">
            <v>#VALUE!</v>
          </cell>
          <cell r="F2357">
            <v>0</v>
          </cell>
        </row>
        <row r="2358">
          <cell r="A2358" t="str">
            <v>RSPGJPIA</v>
          </cell>
          <cell r="B2358">
            <v>-5.5229209598477713E-7</v>
          </cell>
          <cell r="C2358">
            <v>0</v>
          </cell>
          <cell r="D2358" t="e">
            <v>#VALUE!</v>
          </cell>
          <cell r="E2358" t="e">
            <v>#VALUE!</v>
          </cell>
          <cell r="F2358">
            <v>0</v>
          </cell>
        </row>
        <row r="2359">
          <cell r="A2359" t="str">
            <v>RSPGJETA</v>
          </cell>
          <cell r="B2359">
            <v>5.5261936069331415E-4</v>
          </cell>
          <cell r="C2359">
            <v>0</v>
          </cell>
          <cell r="D2359" t="e">
            <v>#VALUE!</v>
          </cell>
          <cell r="E2359" t="e">
            <v>#VALUE!</v>
          </cell>
          <cell r="F2359">
            <v>0</v>
          </cell>
        </row>
        <row r="2360">
          <cell r="A2360" t="str">
            <v>RSPGLK3A</v>
          </cell>
          <cell r="B2360">
            <v>-1.2927947068108128E-5</v>
          </cell>
          <cell r="C2360">
            <v>0</v>
          </cell>
          <cell r="D2360" t="e">
            <v>#VALUE!</v>
          </cell>
          <cell r="E2360" t="e">
            <v>#VALUE!</v>
          </cell>
          <cell r="F2360">
            <v>0</v>
          </cell>
        </row>
        <row r="2361">
          <cell r="A2361" t="str">
            <v>RSPGLK4A</v>
          </cell>
          <cell r="B2361">
            <v>1.0649484140187318E-4</v>
          </cell>
          <cell r="C2361">
            <v>0</v>
          </cell>
          <cell r="D2361" t="e">
            <v>#VALUE!</v>
          </cell>
          <cell r="E2361" t="e">
            <v>#VALUE!</v>
          </cell>
          <cell r="F2361">
            <v>0</v>
          </cell>
        </row>
        <row r="2362">
          <cell r="A2362" t="str">
            <v>RSPGSG3A</v>
          </cell>
          <cell r="B2362">
            <v>0</v>
          </cell>
          <cell r="C2362">
            <v>0</v>
          </cell>
          <cell r="D2362" t="e">
            <v>#VALUE!</v>
          </cell>
          <cell r="E2362" t="e">
            <v>#VALUE!</v>
          </cell>
          <cell r="F2362">
            <v>0</v>
          </cell>
        </row>
        <row r="2363">
          <cell r="A2363" t="str">
            <v>RSPGSG4A</v>
          </cell>
          <cell r="B2363">
            <v>8.5619666625050687E-6</v>
          </cell>
          <cell r="C2363">
            <v>0</v>
          </cell>
          <cell r="D2363" t="e">
            <v>#VALUE!</v>
          </cell>
          <cell r="E2363" t="e">
            <v>#VALUE!</v>
          </cell>
          <cell r="F2363">
            <v>0</v>
          </cell>
        </row>
        <row r="2364">
          <cell r="A2364" t="str">
            <v>RSPGSG5A</v>
          </cell>
          <cell r="B2364">
            <v>0</v>
          </cell>
          <cell r="C2364">
            <v>0</v>
          </cell>
          <cell r="D2364" t="e">
            <v>#VALUE!</v>
          </cell>
          <cell r="E2364" t="e">
            <v>#VALUE!</v>
          </cell>
          <cell r="F2364">
            <v>0</v>
          </cell>
        </row>
        <row r="2365">
          <cell r="A2365" t="str">
            <v>RSPGSG6A</v>
          </cell>
          <cell r="B2365">
            <v>-5.815456901424948E-9</v>
          </cell>
          <cell r="C2365">
            <v>0</v>
          </cell>
          <cell r="D2365" t="e">
            <v>#VALUE!</v>
          </cell>
          <cell r="E2365" t="e">
            <v>#VALUE!</v>
          </cell>
          <cell r="F2365">
            <v>0</v>
          </cell>
        </row>
        <row r="2366">
          <cell r="A2366" t="str">
            <v>RSPGSG7A</v>
          </cell>
          <cell r="B2366">
            <v>0</v>
          </cell>
          <cell r="C2366">
            <v>0</v>
          </cell>
          <cell r="D2366" t="e">
            <v>#VALUE!</v>
          </cell>
          <cell r="E2366" t="e">
            <v>#VALUE!</v>
          </cell>
          <cell r="F2366">
            <v>0</v>
          </cell>
        </row>
        <row r="2367">
          <cell r="A2367" t="str">
            <v>RSPGLKFA</v>
          </cell>
          <cell r="B2367">
            <v>1.2253935242307768E-5</v>
          </cell>
          <cell r="C2367">
            <v>0</v>
          </cell>
          <cell r="D2367" t="e">
            <v>#VALUE!</v>
          </cell>
          <cell r="E2367" t="e">
            <v>#VALUE!</v>
          </cell>
          <cell r="F2367">
            <v>0</v>
          </cell>
        </row>
        <row r="2368">
          <cell r="A2368" t="str">
            <v>RSPGLFKA</v>
          </cell>
          <cell r="B2368">
            <v>1.2253935242307768E-5</v>
          </cell>
          <cell r="C2368">
            <v>0</v>
          </cell>
          <cell r="D2368" t="e">
            <v>#VALUE!</v>
          </cell>
          <cell r="E2368" t="e">
            <v>#VALUE!</v>
          </cell>
          <cell r="F2368">
            <v>0</v>
          </cell>
        </row>
        <row r="2369">
          <cell r="A2369" t="str">
            <v>RSPGLG1A</v>
          </cell>
          <cell r="B2369">
            <v>1.1857167940446469E-4</v>
          </cell>
          <cell r="C2369">
            <v>0</v>
          </cell>
          <cell r="D2369" t="e">
            <v>#VALUE!</v>
          </cell>
          <cell r="E2369" t="e">
            <v>#VALUE!</v>
          </cell>
          <cell r="F2369">
            <v>0</v>
          </cell>
        </row>
        <row r="2370">
          <cell r="A2370" t="str">
            <v>RSPGLG2A</v>
          </cell>
          <cell r="B2370">
            <v>-2.8519051804747281E-4</v>
          </cell>
          <cell r="C2370">
            <v>0</v>
          </cell>
          <cell r="D2370" t="e">
            <v>#VALUE!</v>
          </cell>
          <cell r="E2370" t="e">
            <v>#VALUE!</v>
          </cell>
          <cell r="F2370">
            <v>0</v>
          </cell>
        </row>
        <row r="2371">
          <cell r="A2371" t="str">
            <v>RSPGLG3A</v>
          </cell>
          <cell r="B2371">
            <v>-2.7979476734400711E-7</v>
          </cell>
          <cell r="C2371">
            <v>0</v>
          </cell>
          <cell r="D2371" t="e">
            <v>#VALUE!</v>
          </cell>
          <cell r="E2371" t="e">
            <v>#VALUE!</v>
          </cell>
          <cell r="F2371">
            <v>0</v>
          </cell>
        </row>
        <row r="2372">
          <cell r="A2372" t="str">
            <v>RSPGGS1A</v>
          </cell>
          <cell r="B2372">
            <v>9.9280851920695252E-7</v>
          </cell>
          <cell r="C2372">
            <v>0</v>
          </cell>
          <cell r="D2372" t="e">
            <v>#VALUE!</v>
          </cell>
          <cell r="E2372" t="e">
            <v>#VALUE!</v>
          </cell>
          <cell r="F2372">
            <v>0</v>
          </cell>
        </row>
        <row r="2373">
          <cell r="A2373" t="str">
            <v>RSPGGS2A</v>
          </cell>
          <cell r="B2373">
            <v>0</v>
          </cell>
          <cell r="C2373">
            <v>0</v>
          </cell>
          <cell r="D2373" t="e">
            <v>#VALUE!</v>
          </cell>
          <cell r="E2373" t="e">
            <v>#VALUE!</v>
          </cell>
          <cell r="F2373">
            <v>0</v>
          </cell>
        </row>
        <row r="2374">
          <cell r="A2374" t="str">
            <v>RSPGGS3A</v>
          </cell>
          <cell r="B2374">
            <v>0</v>
          </cell>
          <cell r="C2374">
            <v>0</v>
          </cell>
          <cell r="D2374" t="e">
            <v>#VALUE!</v>
          </cell>
          <cell r="E2374" t="e">
            <v>#VALUE!</v>
          </cell>
          <cell r="F2374">
            <v>0</v>
          </cell>
        </row>
        <row r="2375">
          <cell r="A2375" t="str">
            <v>RSPGGS4A</v>
          </cell>
          <cell r="B2375">
            <v>-2.3379111640579513E-5</v>
          </cell>
          <cell r="C2375">
            <v>0</v>
          </cell>
          <cell r="D2375" t="e">
            <v>#VALUE!</v>
          </cell>
          <cell r="E2375" t="e">
            <v>#VALUE!</v>
          </cell>
          <cell r="F2375">
            <v>0</v>
          </cell>
        </row>
        <row r="2376">
          <cell r="A2376" t="str">
            <v>RSPGGS5A</v>
          </cell>
          <cell r="B2376">
            <v>0</v>
          </cell>
          <cell r="C2376">
            <v>0</v>
          </cell>
          <cell r="D2376" t="e">
            <v>#VALUE!</v>
          </cell>
          <cell r="E2376" t="e">
            <v>#VALUE!</v>
          </cell>
          <cell r="F2376">
            <v>0</v>
          </cell>
        </row>
        <row r="2377">
          <cell r="A2377" t="str">
            <v>RSPGGS6A</v>
          </cell>
          <cell r="B2377">
            <v>-1.5989331320152558E-9</v>
          </cell>
          <cell r="C2377">
            <v>0</v>
          </cell>
          <cell r="D2377" t="e">
            <v>#VALUE!</v>
          </cell>
          <cell r="E2377" t="e">
            <v>#VALUE!</v>
          </cell>
          <cell r="F2377">
            <v>0</v>
          </cell>
        </row>
        <row r="2378">
          <cell r="A2378" t="str">
            <v>RSPGGS7A</v>
          </cell>
          <cell r="B2378">
            <v>-2.3134956078108611E-8</v>
          </cell>
          <cell r="C2378">
            <v>0</v>
          </cell>
          <cell r="D2378" t="e">
            <v>#VALUE!</v>
          </cell>
          <cell r="E2378" t="e">
            <v>#VALUE!</v>
          </cell>
          <cell r="F2378">
            <v>0</v>
          </cell>
        </row>
        <row r="2379">
          <cell r="A2379" t="str">
            <v>RSPGG11A</v>
          </cell>
          <cell r="B2379">
            <v>8.4632596145352117E-4</v>
          </cell>
          <cell r="C2379">
            <v>0</v>
          </cell>
          <cell r="D2379" t="e">
            <v>#VALUE!</v>
          </cell>
          <cell r="E2379" t="e">
            <v>#VALUE!</v>
          </cell>
          <cell r="F2379">
            <v>0</v>
          </cell>
        </row>
        <row r="2380">
          <cell r="A2380" t="str">
            <v>RSPGPG1A</v>
          </cell>
          <cell r="B2380">
            <v>-9.1527374547383742E-5</v>
          </cell>
          <cell r="C2380">
            <v>0</v>
          </cell>
          <cell r="D2380" t="e">
            <v>#VALUE!</v>
          </cell>
          <cell r="E2380" t="e">
            <v>#VALUE!</v>
          </cell>
          <cell r="F2380">
            <v>0</v>
          </cell>
        </row>
        <row r="2381">
          <cell r="A2381" t="str">
            <v>RSPGPG2A</v>
          </cell>
          <cell r="B2381">
            <v>-2.0166788308945063E-7</v>
          </cell>
          <cell r="C2381">
            <v>0</v>
          </cell>
          <cell r="D2381" t="e">
            <v>#VALUE!</v>
          </cell>
          <cell r="E2381" t="e">
            <v>#VALUE!</v>
          </cell>
          <cell r="F2381">
            <v>0</v>
          </cell>
        </row>
        <row r="2382">
          <cell r="A2382" t="str">
            <v>RSPGAR1A</v>
          </cell>
          <cell r="B2382">
            <v>2.6660427923173939E-4</v>
          </cell>
          <cell r="C2382">
            <v>0</v>
          </cell>
          <cell r="D2382" t="e">
            <v>#VALUE!</v>
          </cell>
          <cell r="E2382" t="e">
            <v>#VALUE!</v>
          </cell>
          <cell r="F2382">
            <v>0</v>
          </cell>
        </row>
        <row r="2383">
          <cell r="A2383" t="str">
            <v>RSPGAR2A</v>
          </cell>
          <cell r="B2383">
            <v>1.9202424990976707E-7</v>
          </cell>
          <cell r="C2383">
            <v>0</v>
          </cell>
          <cell r="D2383" t="e">
            <v>#VALUE!</v>
          </cell>
          <cell r="E2383" t="e">
            <v>#VALUE!</v>
          </cell>
          <cell r="F2383">
            <v>0</v>
          </cell>
        </row>
        <row r="2384">
          <cell r="A2384" t="str">
            <v>RSPGAR3A</v>
          </cell>
          <cell r="B2384">
            <v>0</v>
          </cell>
          <cell r="C2384">
            <v>0</v>
          </cell>
          <cell r="D2384" t="e">
            <v>#VALUE!</v>
          </cell>
          <cell r="E2384" t="e">
            <v>#VALUE!</v>
          </cell>
          <cell r="F2384">
            <v>0</v>
          </cell>
        </row>
        <row r="2385">
          <cell r="A2385" t="str">
            <v>RSPGAR4A</v>
          </cell>
          <cell r="B2385">
            <v>-5.8715563229195878E-3</v>
          </cell>
          <cell r="C2385">
            <v>0</v>
          </cell>
          <cell r="D2385" t="e">
            <v>#VALUE!</v>
          </cell>
          <cell r="E2385" t="e">
            <v>#VALUE!</v>
          </cell>
          <cell r="F2385">
            <v>0</v>
          </cell>
        </row>
        <row r="2386">
          <cell r="A2386" t="str">
            <v>RSPGAR5A</v>
          </cell>
          <cell r="B2386">
            <v>0</v>
          </cell>
          <cell r="C2386">
            <v>0</v>
          </cell>
          <cell r="D2386" t="e">
            <v>#VALUE!</v>
          </cell>
          <cell r="E2386" t="e">
            <v>#VALUE!</v>
          </cell>
          <cell r="F2386">
            <v>0</v>
          </cell>
        </row>
        <row r="2387">
          <cell r="A2387" t="str">
            <v>RSPGAR6A</v>
          </cell>
          <cell r="B2387">
            <v>6.7891914829757895E-9</v>
          </cell>
          <cell r="C2387">
            <v>0</v>
          </cell>
          <cell r="D2387" t="e">
            <v>#VALUE!</v>
          </cell>
          <cell r="E2387" t="e">
            <v>#VALUE!</v>
          </cell>
          <cell r="F2387">
            <v>0</v>
          </cell>
        </row>
        <row r="2388">
          <cell r="A2388" t="str">
            <v>RSPGAR7A</v>
          </cell>
          <cell r="B2388">
            <v>-2.3134955937752087E-6</v>
          </cell>
          <cell r="C2388">
            <v>0</v>
          </cell>
          <cell r="D2388" t="e">
            <v>#VALUE!</v>
          </cell>
          <cell r="E2388" t="e">
            <v>#VALUE!</v>
          </cell>
          <cell r="F2388">
            <v>0</v>
          </cell>
        </row>
        <row r="2389">
          <cell r="A2389" t="str">
            <v>RSPGLVBA</v>
          </cell>
          <cell r="B2389">
            <v>6.2362075575399343E-5</v>
          </cell>
          <cell r="C2389">
            <v>0</v>
          </cell>
          <cell r="D2389" t="e">
            <v>#VALUE!</v>
          </cell>
          <cell r="E2389" t="e">
            <v>#VALUE!</v>
          </cell>
          <cell r="F2389">
            <v>0</v>
          </cell>
        </row>
        <row r="2390">
          <cell r="A2390" t="str">
            <v>RSPGLV1A</v>
          </cell>
          <cell r="B2390">
            <v>-5.2100254497542655E-5</v>
          </cell>
          <cell r="C2390">
            <v>0</v>
          </cell>
          <cell r="D2390" t="e">
            <v>#VALUE!</v>
          </cell>
          <cell r="E2390" t="e">
            <v>#VALUE!</v>
          </cell>
          <cell r="F2390">
            <v>0</v>
          </cell>
        </row>
        <row r="2391">
          <cell r="A2391" t="str">
            <v>RSPGLV2A</v>
          </cell>
          <cell r="B2391">
            <v>1.2001515619360442E-8</v>
          </cell>
          <cell r="C2391">
            <v>0</v>
          </cell>
          <cell r="D2391" t="e">
            <v>#VALUE!</v>
          </cell>
          <cell r="E2391" t="e">
            <v>#VALUE!</v>
          </cell>
          <cell r="F2391">
            <v>0</v>
          </cell>
        </row>
        <row r="2392">
          <cell r="A2392" t="str">
            <v>RSPGLV3A</v>
          </cell>
          <cell r="B2392">
            <v>0</v>
          </cell>
          <cell r="C2392">
            <v>0</v>
          </cell>
          <cell r="D2392" t="e">
            <v>#VALUE!</v>
          </cell>
          <cell r="E2392" t="e">
            <v>#VALUE!</v>
          </cell>
          <cell r="F2392">
            <v>0</v>
          </cell>
        </row>
        <row r="2393">
          <cell r="A2393" t="str">
            <v>RSPGLV4A</v>
          </cell>
          <cell r="B2393">
            <v>1.5485083125372201E-5</v>
          </cell>
          <cell r="C2393">
            <v>0</v>
          </cell>
          <cell r="D2393" t="e">
            <v>#VALUE!</v>
          </cell>
          <cell r="E2393" t="e">
            <v>#VALUE!</v>
          </cell>
          <cell r="F2393">
            <v>0</v>
          </cell>
        </row>
        <row r="2394">
          <cell r="A2394" t="str">
            <v>RSPGLV5A</v>
          </cell>
          <cell r="B2394">
            <v>0</v>
          </cell>
          <cell r="C2394">
            <v>0</v>
          </cell>
          <cell r="D2394" t="e">
            <v>#VALUE!</v>
          </cell>
          <cell r="E2394" t="e">
            <v>#VALUE!</v>
          </cell>
          <cell r="F2394">
            <v>0</v>
          </cell>
        </row>
        <row r="2395">
          <cell r="A2395" t="str">
            <v>RSPGLV6A</v>
          </cell>
          <cell r="B2395">
            <v>-1.0648544942618896E-7</v>
          </cell>
          <cell r="C2395">
            <v>0</v>
          </cell>
          <cell r="D2395" t="e">
            <v>#VALUE!</v>
          </cell>
          <cell r="E2395" t="e">
            <v>#VALUE!</v>
          </cell>
          <cell r="F2395">
            <v>0</v>
          </cell>
        </row>
        <row r="2396">
          <cell r="A2396" t="str">
            <v>RSPGLV7A</v>
          </cell>
          <cell r="B2396">
            <v>7.6823323878957189E-4</v>
          </cell>
          <cell r="C2396">
            <v>0</v>
          </cell>
          <cell r="D2396" t="e">
            <v>#VALUE!</v>
          </cell>
          <cell r="E2396" t="e">
            <v>#VALUE!</v>
          </cell>
          <cell r="F2396">
            <v>0</v>
          </cell>
        </row>
        <row r="2397">
          <cell r="A2397" t="str">
            <v>RSPGPVBA</v>
          </cell>
          <cell r="B2397">
            <v>-6.3176708330228056E-5</v>
          </cell>
          <cell r="C2397">
            <v>0</v>
          </cell>
          <cell r="D2397" t="e">
            <v>#VALUE!</v>
          </cell>
          <cell r="E2397" t="e">
            <v>#VALUE!</v>
          </cell>
          <cell r="F2397">
            <v>0</v>
          </cell>
        </row>
        <row r="2398">
          <cell r="A2398" t="str">
            <v>RSPGDVLA</v>
          </cell>
          <cell r="B2398">
            <v>-2.5239857340402396E-10</v>
          </cell>
          <cell r="C2398">
            <v>0</v>
          </cell>
          <cell r="D2398" t="e">
            <v>#VALUE!</v>
          </cell>
          <cell r="E2398" t="e">
            <v>#VALUE!</v>
          </cell>
          <cell r="F2398">
            <v>0</v>
          </cell>
        </row>
        <row r="2399">
          <cell r="A2399" t="str">
            <v>RSPGPV1A</v>
          </cell>
          <cell r="B2399">
            <v>1.0207969359472273E-5</v>
          </cell>
          <cell r="C2399">
            <v>0</v>
          </cell>
          <cell r="D2399" t="e">
            <v>#VALUE!</v>
          </cell>
          <cell r="E2399" t="e">
            <v>#VALUE!</v>
          </cell>
          <cell r="F2399">
            <v>0</v>
          </cell>
        </row>
        <row r="2400">
          <cell r="A2400" t="str">
            <v>RSPGPV2A</v>
          </cell>
          <cell r="B2400">
            <v>1.3921758193503105E-7</v>
          </cell>
          <cell r="C2400">
            <v>0</v>
          </cell>
          <cell r="D2400" t="e">
            <v>#VALUE!</v>
          </cell>
          <cell r="E2400" t="e">
            <v>#VALUE!</v>
          </cell>
          <cell r="F2400">
            <v>0</v>
          </cell>
        </row>
        <row r="2401">
          <cell r="A2401" t="str">
            <v>RSPGPV3A</v>
          </cell>
          <cell r="B2401">
            <v>0</v>
          </cell>
          <cell r="C2401">
            <v>0</v>
          </cell>
          <cell r="D2401" t="e">
            <v>#VALUE!</v>
          </cell>
          <cell r="E2401" t="e">
            <v>#VALUE!</v>
          </cell>
          <cell r="F2401">
            <v>0</v>
          </cell>
        </row>
        <row r="2402">
          <cell r="A2402" t="str">
            <v>RSPGPV4A</v>
          </cell>
          <cell r="B2402">
            <v>2.6750210122434957E-4</v>
          </cell>
          <cell r="C2402">
            <v>0</v>
          </cell>
          <cell r="D2402" t="e">
            <v>#VALUE!</v>
          </cell>
          <cell r="E2402" t="e">
            <v>#VALUE!</v>
          </cell>
          <cell r="F2402">
            <v>0</v>
          </cell>
        </row>
        <row r="2403">
          <cell r="A2403" t="str">
            <v>RSPGPV5A</v>
          </cell>
          <cell r="B2403">
            <v>0</v>
          </cell>
          <cell r="C2403">
            <v>0</v>
          </cell>
          <cell r="D2403" t="e">
            <v>#VALUE!</v>
          </cell>
          <cell r="E2403" t="e">
            <v>#VALUE!</v>
          </cell>
          <cell r="F2403">
            <v>0</v>
          </cell>
        </row>
        <row r="2404">
          <cell r="A2404" t="str">
            <v>RSPGPV6A</v>
          </cell>
          <cell r="B2404">
            <v>-3.2530300924824047E-9</v>
          </cell>
          <cell r="C2404">
            <v>0</v>
          </cell>
          <cell r="D2404" t="e">
            <v>#VALUE!</v>
          </cell>
          <cell r="E2404" t="e">
            <v>#VALUE!</v>
          </cell>
          <cell r="F2404">
            <v>0</v>
          </cell>
        </row>
        <row r="2405">
          <cell r="A2405" t="str">
            <v>RSPGPV7A</v>
          </cell>
          <cell r="B2405">
            <v>-1.2955576291043231E-7</v>
          </cell>
          <cell r="C2405">
            <v>0</v>
          </cell>
          <cell r="D2405" t="e">
            <v>#VALUE!</v>
          </cell>
          <cell r="E2405" t="e">
            <v>#VALUE!</v>
          </cell>
          <cell r="F2405">
            <v>0</v>
          </cell>
        </row>
        <row r="2406">
          <cell r="A2406" t="str">
            <v>RSPGVRBA</v>
          </cell>
          <cell r="B2406">
            <v>3.1696782999174442E-4</v>
          </cell>
          <cell r="C2406">
            <v>0</v>
          </cell>
          <cell r="D2406" t="e">
            <v>#VALUE!</v>
          </cell>
          <cell r="E2406" t="e">
            <v>#VALUE!</v>
          </cell>
          <cell r="F2406">
            <v>0</v>
          </cell>
        </row>
        <row r="2407">
          <cell r="A2407" t="str">
            <v>RSPGFCLA</v>
          </cell>
          <cell r="B2407">
            <v>-4.74305711207798E-9</v>
          </cell>
          <cell r="C2407">
            <v>0</v>
          </cell>
          <cell r="D2407" t="e">
            <v>#VALUE!</v>
          </cell>
          <cell r="E2407" t="e">
            <v>#VALUE!</v>
          </cell>
          <cell r="F2407">
            <v>0</v>
          </cell>
        </row>
        <row r="2408">
          <cell r="A2408" t="str">
            <v>RSPGVR1A</v>
          </cell>
          <cell r="B2408">
            <v>-3.5461851116210338E-5</v>
          </cell>
          <cell r="C2408">
            <v>0</v>
          </cell>
          <cell r="D2408" t="e">
            <v>#VALUE!</v>
          </cell>
          <cell r="E2408" t="e">
            <v>#VALUE!</v>
          </cell>
          <cell r="F2408">
            <v>0</v>
          </cell>
        </row>
        <row r="2409">
          <cell r="A2409" t="str">
            <v>RSPGVR2A</v>
          </cell>
          <cell r="B2409">
            <v>-1.0693350576160163E-7</v>
          </cell>
          <cell r="C2409">
            <v>0</v>
          </cell>
          <cell r="D2409" t="e">
            <v>#VALUE!</v>
          </cell>
          <cell r="E2409" t="e">
            <v>#VALUE!</v>
          </cell>
          <cell r="F2409">
            <v>0</v>
          </cell>
        </row>
        <row r="2410">
          <cell r="A2410" t="str">
            <v>RSPGVR3A</v>
          </cell>
          <cell r="B2410">
            <v>0</v>
          </cell>
          <cell r="C2410">
            <v>0</v>
          </cell>
          <cell r="D2410" t="e">
            <v>#VALUE!</v>
          </cell>
          <cell r="E2410" t="e">
            <v>#VALUE!</v>
          </cell>
          <cell r="F2410">
            <v>0</v>
          </cell>
        </row>
        <row r="2411">
          <cell r="A2411" t="str">
            <v>RSPGVR4A</v>
          </cell>
          <cell r="B2411">
            <v>-7.8569250284974811E-4</v>
          </cell>
          <cell r="C2411">
            <v>0</v>
          </cell>
          <cell r="D2411" t="e">
            <v>#VALUE!</v>
          </cell>
          <cell r="E2411" t="e">
            <v>#VALUE!</v>
          </cell>
          <cell r="F2411">
            <v>0</v>
          </cell>
        </row>
        <row r="2412">
          <cell r="A2412" t="str">
            <v>RSPGVR5A</v>
          </cell>
          <cell r="B2412">
            <v>0</v>
          </cell>
          <cell r="C2412">
            <v>0</v>
          </cell>
          <cell r="D2412" t="e">
            <v>#VALUE!</v>
          </cell>
          <cell r="E2412" t="e">
            <v>#VALUE!</v>
          </cell>
          <cell r="F2412">
            <v>0</v>
          </cell>
        </row>
        <row r="2413">
          <cell r="A2413" t="str">
            <v>RSPGVR6A</v>
          </cell>
          <cell r="B2413">
            <v>1.0309160524637545E-8</v>
          </cell>
          <cell r="C2413">
            <v>0</v>
          </cell>
          <cell r="D2413" t="e">
            <v>#VALUE!</v>
          </cell>
          <cell r="E2413" t="e">
            <v>#VALUE!</v>
          </cell>
          <cell r="F2413">
            <v>0</v>
          </cell>
        </row>
        <row r="2414">
          <cell r="A2414" t="str">
            <v>RSPGVR7A</v>
          </cell>
          <cell r="B2414">
            <v>-7.818689741663099E-6</v>
          </cell>
          <cell r="C2414">
            <v>0</v>
          </cell>
          <cell r="D2414" t="e">
            <v>#VALUE!</v>
          </cell>
          <cell r="E2414" t="e">
            <v>#VALUE!</v>
          </cell>
          <cell r="F2414">
            <v>0</v>
          </cell>
        </row>
        <row r="2415">
          <cell r="A2415" t="str">
            <v>RSPGVR9A</v>
          </cell>
          <cell r="B2415">
            <v>-2.7749933898831679E-5</v>
          </cell>
          <cell r="C2415">
            <v>0</v>
          </cell>
          <cell r="D2415" t="e">
            <v>#VALUE!</v>
          </cell>
          <cell r="E2415" t="e">
            <v>#VALUE!</v>
          </cell>
          <cell r="F2415">
            <v>0</v>
          </cell>
        </row>
        <row r="2416">
          <cell r="A2416" t="str">
            <v>RSPGLM1A</v>
          </cell>
          <cell r="B2416">
            <v>6.6854184154940978E-5</v>
          </cell>
          <cell r="C2416">
            <v>0</v>
          </cell>
          <cell r="D2416" t="e">
            <v>#VALUE!</v>
          </cell>
          <cell r="E2416" t="e">
            <v>#VALUE!</v>
          </cell>
          <cell r="F2416">
            <v>0</v>
          </cell>
        </row>
        <row r="2417">
          <cell r="A2417" t="str">
            <v>RSPGLM2A</v>
          </cell>
          <cell r="B2417">
            <v>0</v>
          </cell>
          <cell r="C2417">
            <v>0</v>
          </cell>
          <cell r="D2417" t="e">
            <v>#VALUE!</v>
          </cell>
          <cell r="E2417" t="e">
            <v>#VALUE!</v>
          </cell>
          <cell r="F2417">
            <v>0</v>
          </cell>
        </row>
        <row r="2418">
          <cell r="A2418" t="str">
            <v>RSPGLM3A</v>
          </cell>
          <cell r="B2418">
            <v>5.8496377290519949E-6</v>
          </cell>
          <cell r="C2418">
            <v>0</v>
          </cell>
          <cell r="D2418" t="e">
            <v>#VALUE!</v>
          </cell>
          <cell r="E2418" t="e">
            <v>#VALUE!</v>
          </cell>
          <cell r="F2418">
            <v>0</v>
          </cell>
        </row>
        <row r="2419">
          <cell r="A2419" t="str">
            <v>RSPGLM4A</v>
          </cell>
          <cell r="B2419">
            <v>-6.7203497132115995E-7</v>
          </cell>
          <cell r="C2419">
            <v>0</v>
          </cell>
          <cell r="D2419" t="e">
            <v>#VALUE!</v>
          </cell>
          <cell r="E2419" t="e">
            <v>#VALUE!</v>
          </cell>
          <cell r="F2419">
            <v>0</v>
          </cell>
        </row>
        <row r="2420">
          <cell r="A2420" t="str">
            <v>RSPGPA1A</v>
          </cell>
          <cell r="B2420">
            <v>2.2906114823754627E-6</v>
          </cell>
          <cell r="C2420">
            <v>0</v>
          </cell>
          <cell r="D2420" t="e">
            <v>#VALUE!</v>
          </cell>
          <cell r="E2420" t="e">
            <v>#VALUE!</v>
          </cell>
          <cell r="F2420">
            <v>0</v>
          </cell>
        </row>
        <row r="2421">
          <cell r="A2421" t="str">
            <v>RSPGPA2A</v>
          </cell>
          <cell r="B2421">
            <v>0</v>
          </cell>
          <cell r="C2421">
            <v>0</v>
          </cell>
          <cell r="D2421" t="e">
            <v>#VALUE!</v>
          </cell>
          <cell r="E2421" t="e">
            <v>#VALUE!</v>
          </cell>
          <cell r="F2421">
            <v>0</v>
          </cell>
        </row>
        <row r="2422">
          <cell r="A2422" t="str">
            <v>RSPGPA3A</v>
          </cell>
          <cell r="B2422">
            <v>-2.4525252567948645E-5</v>
          </cell>
          <cell r="C2422">
            <v>0</v>
          </cell>
          <cell r="D2422" t="e">
            <v>#VALUE!</v>
          </cell>
          <cell r="E2422" t="e">
            <v>#VALUE!</v>
          </cell>
          <cell r="F2422">
            <v>0</v>
          </cell>
        </row>
        <row r="2423">
          <cell r="A2423" t="str">
            <v>RSPGPA4A</v>
          </cell>
          <cell r="B2423">
            <v>1.2426199033518671E-8</v>
          </cell>
          <cell r="C2423">
            <v>0</v>
          </cell>
          <cell r="D2423" t="e">
            <v>#VALUE!</v>
          </cell>
          <cell r="E2423" t="e">
            <v>#VALUE!</v>
          </cell>
          <cell r="F2423">
            <v>0</v>
          </cell>
        </row>
        <row r="2424">
          <cell r="A2424" t="str">
            <v>RSPGPB1A</v>
          </cell>
          <cell r="B2424">
            <v>1.6611136992626238E-5</v>
          </cell>
          <cell r="C2424">
            <v>0</v>
          </cell>
          <cell r="D2424" t="e">
            <v>#VALUE!</v>
          </cell>
          <cell r="E2424" t="e">
            <v>#VALUE!</v>
          </cell>
          <cell r="F2424">
            <v>0</v>
          </cell>
        </row>
        <row r="2425">
          <cell r="A2425" t="str">
            <v>RSPGPB2A</v>
          </cell>
          <cell r="B2425">
            <v>0</v>
          </cell>
          <cell r="C2425">
            <v>0</v>
          </cell>
          <cell r="D2425" t="e">
            <v>#VALUE!</v>
          </cell>
          <cell r="E2425" t="e">
            <v>#VALUE!</v>
          </cell>
          <cell r="F2425">
            <v>0</v>
          </cell>
        </row>
        <row r="2426">
          <cell r="A2426" t="str">
            <v>RSPGPB3A</v>
          </cell>
          <cell r="B2426">
            <v>1.1876968502255207E-4</v>
          </cell>
          <cell r="C2426">
            <v>0</v>
          </cell>
          <cell r="D2426" t="e">
            <v>#VALUE!</v>
          </cell>
          <cell r="E2426" t="e">
            <v>#VALUE!</v>
          </cell>
          <cell r="F2426">
            <v>0</v>
          </cell>
        </row>
        <row r="2427">
          <cell r="A2427" t="str">
            <v>RSPGPB4A</v>
          </cell>
          <cell r="B2427">
            <v>-1.0322012367271794E-7</v>
          </cell>
          <cell r="C2427">
            <v>0</v>
          </cell>
          <cell r="D2427" t="e">
            <v>#VALUE!</v>
          </cell>
          <cell r="E2427" t="e">
            <v>#VALUE!</v>
          </cell>
          <cell r="F2427">
            <v>0</v>
          </cell>
        </row>
        <row r="2428">
          <cell r="A2428" t="str">
            <v>RSPGPP1A</v>
          </cell>
          <cell r="B2428">
            <v>0</v>
          </cell>
          <cell r="C2428">
            <v>0</v>
          </cell>
          <cell r="D2428" t="e">
            <v>#VALUE!</v>
          </cell>
          <cell r="E2428" t="e">
            <v>#VALUE!</v>
          </cell>
          <cell r="F2428">
            <v>0</v>
          </cell>
        </row>
        <row r="2429">
          <cell r="A2429" t="str">
            <v>RSPGPP2A</v>
          </cell>
          <cell r="B2429">
            <v>0</v>
          </cell>
          <cell r="C2429">
            <v>0</v>
          </cell>
          <cell r="D2429" t="e">
            <v>#VALUE!</v>
          </cell>
          <cell r="E2429" t="e">
            <v>#VALUE!</v>
          </cell>
          <cell r="F2429">
            <v>0</v>
          </cell>
        </row>
        <row r="2430">
          <cell r="A2430" t="str">
            <v>RSPGPP3A</v>
          </cell>
          <cell r="B2430">
            <v>8.2661965703440211E-8</v>
          </cell>
          <cell r="C2430">
            <v>0</v>
          </cell>
          <cell r="D2430" t="e">
            <v>#VALUE!</v>
          </cell>
          <cell r="E2430" t="e">
            <v>#VALUE!</v>
          </cell>
          <cell r="F2430">
            <v>0</v>
          </cell>
        </row>
        <row r="2431">
          <cell r="A2431" t="str">
            <v>RSPGPP4A</v>
          </cell>
          <cell r="B2431">
            <v>-2.7320784998876791E-13</v>
          </cell>
          <cell r="C2431">
            <v>0</v>
          </cell>
          <cell r="D2431" t="e">
            <v>#VALUE!</v>
          </cell>
          <cell r="E2431" t="e">
            <v>#VALUE!</v>
          </cell>
          <cell r="F2431">
            <v>0</v>
          </cell>
        </row>
        <row r="2432">
          <cell r="A2432" t="str">
            <v>RSPGCFAA</v>
          </cell>
          <cell r="B2432">
            <v>2.4138673683883597E-4</v>
          </cell>
          <cell r="C2432">
            <v>0</v>
          </cell>
          <cell r="D2432" t="e">
            <v>#VALUE!</v>
          </cell>
          <cell r="E2432" t="e">
            <v>#VALUE!</v>
          </cell>
          <cell r="F2432">
            <v>0</v>
          </cell>
        </row>
        <row r="2433">
          <cell r="A2433" t="str">
            <v>RSPGCWAA</v>
          </cell>
          <cell r="B2433">
            <v>2.4138673683883597E-4</v>
          </cell>
          <cell r="C2433">
            <v>0</v>
          </cell>
          <cell r="D2433" t="e">
            <v>#VALUE!</v>
          </cell>
          <cell r="E2433" t="e">
            <v>#VALUE!</v>
          </cell>
          <cell r="F2433">
            <v>0</v>
          </cell>
        </row>
        <row r="2434">
          <cell r="A2434" t="str">
            <v>RSPGCZAA</v>
          </cell>
          <cell r="B2434">
            <v>2.4138673683883597E-4</v>
          </cell>
          <cell r="C2434">
            <v>0</v>
          </cell>
          <cell r="D2434" t="e">
            <v>#VALUE!</v>
          </cell>
          <cell r="E2434" t="e">
            <v>#VALUE!</v>
          </cell>
          <cell r="F2434">
            <v>0</v>
          </cell>
        </row>
        <row r="2435">
          <cell r="A2435" t="str">
            <v>RSPGCFBA</v>
          </cell>
          <cell r="B2435">
            <v>-1.1163194634718821E-3</v>
          </cell>
          <cell r="C2435">
            <v>0</v>
          </cell>
          <cell r="D2435" t="e">
            <v>#VALUE!</v>
          </cell>
          <cell r="E2435" t="e">
            <v>#VALUE!</v>
          </cell>
          <cell r="F2435">
            <v>0</v>
          </cell>
        </row>
        <row r="2436">
          <cell r="A2436" t="str">
            <v>RSPGCXBA</v>
          </cell>
          <cell r="B2436">
            <v>-1.1163194634718821E-3</v>
          </cell>
          <cell r="C2436">
            <v>0</v>
          </cell>
          <cell r="D2436" t="e">
            <v>#VALUE!</v>
          </cell>
          <cell r="E2436" t="e">
            <v>#VALUE!</v>
          </cell>
          <cell r="F2436">
            <v>0</v>
          </cell>
        </row>
        <row r="2437">
          <cell r="A2437" t="str">
            <v>RSPGCYBA</v>
          </cell>
          <cell r="B2437">
            <v>-1.1163194634718821E-3</v>
          </cell>
          <cell r="C2437">
            <v>0</v>
          </cell>
          <cell r="D2437" t="e">
            <v>#VALUE!</v>
          </cell>
          <cell r="E2437" t="e">
            <v>#VALUE!</v>
          </cell>
          <cell r="F2437">
            <v>0</v>
          </cell>
        </row>
        <row r="2438">
          <cell r="A2438" t="str">
            <v>RSPGLCAA</v>
          </cell>
          <cell r="B2438">
            <v>-1.2452610637211203E-6</v>
          </cell>
          <cell r="C2438">
            <v>0</v>
          </cell>
          <cell r="D2438" t="e">
            <v>#VALUE!</v>
          </cell>
          <cell r="E2438" t="e">
            <v>#VALUE!</v>
          </cell>
          <cell r="F2438">
            <v>0</v>
          </cell>
        </row>
        <row r="2439">
          <cell r="A2439" t="str">
            <v>RSPGLCBA</v>
          </cell>
          <cell r="B2439">
            <v>2.5815042721511069E-6</v>
          </cell>
          <cell r="C2439">
            <v>0</v>
          </cell>
          <cell r="D2439" t="e">
            <v>#VALUE!</v>
          </cell>
          <cell r="E2439" t="e">
            <v>#VALUE!</v>
          </cell>
          <cell r="F2439">
            <v>0</v>
          </cell>
        </row>
        <row r="2440">
          <cell r="A2440" t="str">
            <v>RSPGLCTA</v>
          </cell>
          <cell r="B2440">
            <v>-1.5189100363573269E-4</v>
          </cell>
          <cell r="C2440">
            <v>0</v>
          </cell>
          <cell r="D2440" t="e">
            <v>#VALUE!</v>
          </cell>
          <cell r="E2440" t="e">
            <v>#VALUE!</v>
          </cell>
          <cell r="F2440">
            <v>0</v>
          </cell>
        </row>
        <row r="2441">
          <cell r="A2441" t="str">
            <v>RSPGDTFA</v>
          </cell>
          <cell r="B2441">
            <v>8.3003133847952301E-4</v>
          </cell>
          <cell r="C2441">
            <v>0</v>
          </cell>
          <cell r="D2441" t="e">
            <v>#VALUE!</v>
          </cell>
          <cell r="E2441" t="e">
            <v>#VALUE!</v>
          </cell>
          <cell r="F2441">
            <v>0</v>
          </cell>
        </row>
        <row r="2442">
          <cell r="A2442" t="str">
            <v>RSPGNBOA</v>
          </cell>
          <cell r="B2442">
            <v>2.5627316073004206E-5</v>
          </cell>
          <cell r="C2442">
            <v>0</v>
          </cell>
          <cell r="D2442" t="e">
            <v>#VALUE!</v>
          </cell>
          <cell r="E2442" t="e">
            <v>#VALUE!</v>
          </cell>
          <cell r="F2442">
            <v>0</v>
          </cell>
        </row>
        <row r="2443">
          <cell r="A2443" t="str">
            <v>RSPGCAMA</v>
          </cell>
          <cell r="B2443">
            <v>0</v>
          </cell>
          <cell r="C2443">
            <v>0</v>
          </cell>
          <cell r="D2443" t="e">
            <v>#VALUE!</v>
          </cell>
          <cell r="E2443" t="e">
            <v>#VALUE!</v>
          </cell>
          <cell r="F2443">
            <v>0</v>
          </cell>
        </row>
        <row r="2444">
          <cell r="A2444" t="str">
            <v>RSPGRFAA</v>
          </cell>
          <cell r="B2444">
            <v>-1.8322295538806205E-5</v>
          </cell>
          <cell r="C2444">
            <v>0</v>
          </cell>
          <cell r="D2444" t="e">
            <v>#VALUE!</v>
          </cell>
          <cell r="E2444" t="e">
            <v>#VALUE!</v>
          </cell>
          <cell r="F2444">
            <v>0</v>
          </cell>
        </row>
        <row r="2445">
          <cell r="A2445" t="str">
            <v>RSPGRFBA</v>
          </cell>
          <cell r="B2445">
            <v>-5.1956416816571853E-5</v>
          </cell>
          <cell r="C2445">
            <v>0</v>
          </cell>
          <cell r="D2445" t="e">
            <v>#VALUE!</v>
          </cell>
          <cell r="E2445" t="e">
            <v>#VALUE!</v>
          </cell>
          <cell r="F2445">
            <v>0</v>
          </cell>
        </row>
        <row r="2446">
          <cell r="A2446" t="str">
            <v>RSPGHTLA</v>
          </cell>
          <cell r="B2446">
            <v>6.4018898874742213E-5</v>
          </cell>
          <cell r="C2446">
            <v>0</v>
          </cell>
          <cell r="D2446" t="e">
            <v>#VALUE!</v>
          </cell>
          <cell r="E2446" t="e">
            <v>#VALUE!</v>
          </cell>
          <cell r="F2446">
            <v>0</v>
          </cell>
        </row>
        <row r="2447">
          <cell r="A2447" t="str">
            <v>RSPG12LA</v>
          </cell>
          <cell r="B2447">
            <v>6.875720686715396E-5</v>
          </cell>
          <cell r="C2447">
            <v>0</v>
          </cell>
          <cell r="D2447" t="e">
            <v>#VALUE!</v>
          </cell>
          <cell r="E2447" t="e">
            <v>#VALUE!</v>
          </cell>
          <cell r="F2447">
            <v>0</v>
          </cell>
        </row>
        <row r="2448">
          <cell r="A2448" t="str">
            <v>RSPGPFRA</v>
          </cell>
          <cell r="B2448">
            <v>-3.2599109993635176E-5</v>
          </cell>
          <cell r="C2448">
            <v>0</v>
          </cell>
          <cell r="D2448" t="e">
            <v>#VALUE!</v>
          </cell>
          <cell r="E2448" t="e">
            <v>#VALUE!</v>
          </cell>
          <cell r="F2448">
            <v>0</v>
          </cell>
        </row>
        <row r="2449">
          <cell r="A2449" t="str">
            <v>RSPGRFHA</v>
          </cell>
          <cell r="B2449">
            <v>-7.5842479080863193E-5</v>
          </cell>
          <cell r="C2449">
            <v>0</v>
          </cell>
          <cell r="D2449" t="e">
            <v>#VALUE!</v>
          </cell>
          <cell r="E2449" t="e">
            <v>#VALUE!</v>
          </cell>
          <cell r="F2449">
            <v>0</v>
          </cell>
        </row>
        <row r="2450">
          <cell r="A2450" t="str">
            <v>RSPGHTPA</v>
          </cell>
          <cell r="B2450">
            <v>2.9514470348558836E-4</v>
          </cell>
          <cell r="C2450">
            <v>0</v>
          </cell>
          <cell r="D2450" t="e">
            <v>#VALUE!</v>
          </cell>
          <cell r="E2450" t="e">
            <v>#VALUE!</v>
          </cell>
          <cell r="F2450">
            <v>0</v>
          </cell>
        </row>
        <row r="2451">
          <cell r="A2451" t="str">
            <v>RSPGRFFA</v>
          </cell>
          <cell r="B2451">
            <v>-2.4567397031641534E-4</v>
          </cell>
          <cell r="C2451">
            <v>0</v>
          </cell>
          <cell r="D2451" t="e">
            <v>#VALUE!</v>
          </cell>
          <cell r="E2451" t="e">
            <v>#VALUE!</v>
          </cell>
          <cell r="F2451">
            <v>0</v>
          </cell>
        </row>
        <row r="2452">
          <cell r="A2452" t="str">
            <v>RSPGDCXA</v>
          </cell>
          <cell r="B2452">
            <v>0</v>
          </cell>
          <cell r="C2452">
            <v>0</v>
          </cell>
          <cell r="D2452" t="e">
            <v>#VALUE!</v>
          </cell>
          <cell r="E2452" t="e">
            <v>#VALUE!</v>
          </cell>
          <cell r="F2452">
            <v>0</v>
          </cell>
        </row>
        <row r="2453">
          <cell r="A2453" t="str">
            <v>RSPGCCKA</v>
          </cell>
          <cell r="B2453">
            <v>5.9007546705325785E-4</v>
          </cell>
          <cell r="C2453">
            <v>0</v>
          </cell>
          <cell r="D2453" t="e">
            <v>#VALUE!</v>
          </cell>
          <cell r="E2453" t="e">
            <v>#VALUE!</v>
          </cell>
          <cell r="F2453">
            <v>0</v>
          </cell>
        </row>
        <row r="2454">
          <cell r="A2454" t="str">
            <v>RSPGCCCA</v>
          </cell>
          <cell r="B2454">
            <v>5.9007546705325785E-4</v>
          </cell>
          <cell r="C2454">
            <v>0</v>
          </cell>
          <cell r="D2454" t="e">
            <v>#VALUE!</v>
          </cell>
          <cell r="E2454" t="e">
            <v>#VALUE!</v>
          </cell>
          <cell r="F2454">
            <v>0</v>
          </cell>
        </row>
        <row r="2455">
          <cell r="A2455" t="str">
            <v>RSPGCCQA</v>
          </cell>
          <cell r="B2455">
            <v>5.9007546705325785E-4</v>
          </cell>
          <cell r="C2455">
            <v>0</v>
          </cell>
          <cell r="D2455" t="e">
            <v>#VALUE!</v>
          </cell>
          <cell r="E2455" t="e">
            <v>#VALUE!</v>
          </cell>
          <cell r="F2455">
            <v>0</v>
          </cell>
        </row>
        <row r="2456">
          <cell r="A2456" t="str">
            <v>RSPGKCKA</v>
          </cell>
          <cell r="B2456">
            <v>-1.1334160150647521E-5</v>
          </cell>
          <cell r="C2456">
            <v>0</v>
          </cell>
          <cell r="D2456" t="e">
            <v>#VALUE!</v>
          </cell>
          <cell r="E2456" t="e">
            <v>#VALUE!</v>
          </cell>
          <cell r="F2456">
            <v>0</v>
          </cell>
        </row>
        <row r="2457">
          <cell r="A2457" t="str">
            <v>RSPGKCCA</v>
          </cell>
          <cell r="B2457">
            <v>-1.1334160150647521E-5</v>
          </cell>
          <cell r="C2457">
            <v>0</v>
          </cell>
          <cell r="D2457" t="e">
            <v>#VALUE!</v>
          </cell>
          <cell r="E2457" t="e">
            <v>#VALUE!</v>
          </cell>
          <cell r="F2457">
            <v>0</v>
          </cell>
        </row>
        <row r="2458">
          <cell r="A2458" t="str">
            <v>RSPGKCQA</v>
          </cell>
          <cell r="B2458">
            <v>-1.1334160150647521E-5</v>
          </cell>
          <cell r="C2458">
            <v>0</v>
          </cell>
          <cell r="D2458" t="e">
            <v>#VALUE!</v>
          </cell>
          <cell r="E2458" t="e">
            <v>#VALUE!</v>
          </cell>
          <cell r="F2458">
            <v>0</v>
          </cell>
        </row>
        <row r="2459">
          <cell r="A2459" t="str">
            <v>RSPGNLPA</v>
          </cell>
          <cell r="B2459">
            <v>-7.5854802390956004E-4</v>
          </cell>
          <cell r="C2459">
            <v>0</v>
          </cell>
          <cell r="D2459" t="e">
            <v>#VALUE!</v>
          </cell>
          <cell r="E2459" t="e">
            <v>#VALUE!</v>
          </cell>
          <cell r="F2459">
            <v>0</v>
          </cell>
        </row>
        <row r="2460">
          <cell r="A2460" t="str">
            <v>RSPGM4AA</v>
          </cell>
          <cell r="B2460">
            <v>-8.2909760525057808E-5</v>
          </cell>
          <cell r="C2460">
            <v>0</v>
          </cell>
          <cell r="D2460" t="e">
            <v>#VALUE!</v>
          </cell>
          <cell r="E2460" t="e">
            <v>#VALUE!</v>
          </cell>
          <cell r="F2460">
            <v>0</v>
          </cell>
        </row>
        <row r="2461">
          <cell r="A2461" t="str">
            <v>RSPGM4BA</v>
          </cell>
          <cell r="B2461">
            <v>0</v>
          </cell>
          <cell r="C2461">
            <v>0</v>
          </cell>
          <cell r="D2461" t="e">
            <v>#VALUE!</v>
          </cell>
          <cell r="E2461" t="e">
            <v>#VALUE!</v>
          </cell>
          <cell r="F2461">
            <v>0</v>
          </cell>
        </row>
        <row r="2462">
          <cell r="A2462" t="str">
            <v>RSPGT14A</v>
          </cell>
          <cell r="B2462">
            <v>-3.1397491047630878E-4</v>
          </cell>
          <cell r="C2462">
            <v>0</v>
          </cell>
          <cell r="D2462" t="e">
            <v>#VALUE!</v>
          </cell>
          <cell r="E2462" t="e">
            <v>#VALUE!</v>
          </cell>
          <cell r="F2462">
            <v>0</v>
          </cell>
        </row>
        <row r="2463">
          <cell r="A2463" t="str">
            <v>RSPGNCAA</v>
          </cell>
          <cell r="B2463">
            <v>1.8513447679191042E-4</v>
          </cell>
          <cell r="C2463">
            <v>0</v>
          </cell>
          <cell r="D2463" t="e">
            <v>#VALUE!</v>
          </cell>
          <cell r="E2463" t="e">
            <v>#VALUE!</v>
          </cell>
          <cell r="F2463">
            <v>0</v>
          </cell>
        </row>
        <row r="2464">
          <cell r="A2464" t="str">
            <v>RSPGFOIA</v>
          </cell>
          <cell r="B2464">
            <v>8.8269485821325516E-5</v>
          </cell>
          <cell r="C2464">
            <v>0</v>
          </cell>
          <cell r="D2464" t="e">
            <v>#VALUE!</v>
          </cell>
          <cell r="E2464" t="e">
            <v>#VALUE!</v>
          </cell>
          <cell r="F2464">
            <v>0</v>
          </cell>
        </row>
        <row r="2465">
          <cell r="A2465" t="str">
            <v>RSPGFDOA</v>
          </cell>
          <cell r="B2465">
            <v>-2.4251579403700244E-4</v>
          </cell>
          <cell r="C2465">
            <v>0</v>
          </cell>
          <cell r="D2465" t="e">
            <v>#VALUE!</v>
          </cell>
          <cell r="E2465" t="e">
            <v>#VALUE!</v>
          </cell>
          <cell r="F2465">
            <v>0</v>
          </cell>
        </row>
        <row r="2466">
          <cell r="A2466" t="str">
            <v>RSPGFHTA</v>
          </cell>
          <cell r="B2466">
            <v>-1.0380947455877042E-4</v>
          </cell>
          <cell r="C2466">
            <v>0</v>
          </cell>
          <cell r="D2466" t="e">
            <v>#VALUE!</v>
          </cell>
          <cell r="E2466" t="e">
            <v>#VALUE!</v>
          </cell>
          <cell r="F2466">
            <v>0</v>
          </cell>
        </row>
        <row r="2467">
          <cell r="A2467" t="str">
            <v>RSPGNPCA</v>
          </cell>
          <cell r="B2467">
            <v>-1.1775074613992324E-8</v>
          </cell>
          <cell r="C2467">
            <v>0</v>
          </cell>
          <cell r="D2467" t="e">
            <v>#VALUE!</v>
          </cell>
          <cell r="E2467" t="e">
            <v>#VALUE!</v>
          </cell>
          <cell r="F2467">
            <v>0</v>
          </cell>
        </row>
        <row r="2468">
          <cell r="A2468" t="str">
            <v>RSPGNPPA</v>
          </cell>
          <cell r="B2468">
            <v>-1.1775074613992324E-8</v>
          </cell>
          <cell r="C2468">
            <v>0</v>
          </cell>
          <cell r="D2468" t="e">
            <v>#VALUE!</v>
          </cell>
          <cell r="E2468" t="e">
            <v>#VALUE!</v>
          </cell>
          <cell r="F2468">
            <v>0</v>
          </cell>
        </row>
        <row r="2469">
          <cell r="A2469" t="str">
            <v>RSPGBNPA</v>
          </cell>
          <cell r="B2469">
            <v>1.7637734896347305E-8</v>
          </cell>
          <cell r="C2469">
            <v>0</v>
          </cell>
          <cell r="D2469" t="e">
            <v>#VALUE!</v>
          </cell>
          <cell r="E2469" t="e">
            <v>#VALUE!</v>
          </cell>
          <cell r="F2469">
            <v>0</v>
          </cell>
        </row>
        <row r="2470">
          <cell r="A2470" t="str">
            <v>RSPGPBNA</v>
          </cell>
          <cell r="B2470">
            <v>1.7637734896347305E-8</v>
          </cell>
          <cell r="C2470">
            <v>0</v>
          </cell>
          <cell r="D2470" t="e">
            <v>#VALUE!</v>
          </cell>
          <cell r="E2470" t="e">
            <v>#VALUE!</v>
          </cell>
          <cell r="F2470">
            <v>0</v>
          </cell>
        </row>
        <row r="2471">
          <cell r="A2471" t="str">
            <v>RSPGPPTA</v>
          </cell>
          <cell r="B2471">
            <v>1.5386368432414139E-5</v>
          </cell>
          <cell r="C2471">
            <v>0</v>
          </cell>
          <cell r="D2471" t="e">
            <v>#VALUE!</v>
          </cell>
          <cell r="E2471" t="e">
            <v>#VALUE!</v>
          </cell>
          <cell r="F2471">
            <v>0</v>
          </cell>
        </row>
        <row r="2472">
          <cell r="A2472" t="str">
            <v>RSPGSPXA</v>
          </cell>
          <cell r="B2472">
            <v>4.914809122504403E-5</v>
          </cell>
          <cell r="C2472">
            <v>0</v>
          </cell>
          <cell r="D2472" t="e">
            <v>#VALUE!</v>
          </cell>
          <cell r="E2472" t="e">
            <v>#VALUE!</v>
          </cell>
          <cell r="F2472">
            <v>0</v>
          </cell>
        </row>
        <row r="2473">
          <cell r="A2473" t="str">
            <v>RSPGLCXA</v>
          </cell>
          <cell r="B2473">
            <v>-1.5189100363573269E-4</v>
          </cell>
          <cell r="C2473">
            <v>0</v>
          </cell>
          <cell r="D2473" t="e">
            <v>#VALUE!</v>
          </cell>
          <cell r="E2473" t="e">
            <v>#VALUE!</v>
          </cell>
          <cell r="F2473">
            <v>0</v>
          </cell>
        </row>
        <row r="2474">
          <cell r="A2474" t="str">
            <v>RSPGLCIA</v>
          </cell>
          <cell r="B2474">
            <v>-1.5189100363573269E-4</v>
          </cell>
          <cell r="C2474">
            <v>0</v>
          </cell>
          <cell r="D2474" t="e">
            <v>#VALUE!</v>
          </cell>
          <cell r="E2474" t="e">
            <v>#VALUE!</v>
          </cell>
          <cell r="F2474">
            <v>0</v>
          </cell>
        </row>
        <row r="2475">
          <cell r="A2475" t="str">
            <v>RSPGLCJA</v>
          </cell>
          <cell r="B2475">
            <v>-1.5189100363573269E-4</v>
          </cell>
          <cell r="C2475">
            <v>0</v>
          </cell>
          <cell r="D2475" t="e">
            <v>#VALUE!</v>
          </cell>
          <cell r="E2475" t="e">
            <v>#VALUE!</v>
          </cell>
          <cell r="F2475">
            <v>0</v>
          </cell>
        </row>
        <row r="2476">
          <cell r="A2476" t="str">
            <v>RSPGLCKA</v>
          </cell>
          <cell r="B2476">
            <v>-1.5189100363573269E-4</v>
          </cell>
          <cell r="C2476">
            <v>0</v>
          </cell>
          <cell r="D2476" t="e">
            <v>#VALUE!</v>
          </cell>
          <cell r="E2476" t="e">
            <v>#VALUE!</v>
          </cell>
          <cell r="F2476">
            <v>0</v>
          </cell>
        </row>
        <row r="2477">
          <cell r="A2477" t="str">
            <v>RSPGRCJA</v>
          </cell>
          <cell r="B2477">
            <v>-1.5189100363573269E-4</v>
          </cell>
          <cell r="C2477">
            <v>0</v>
          </cell>
          <cell r="D2477" t="e">
            <v>#VALUE!</v>
          </cell>
          <cell r="E2477" t="e">
            <v>#VALUE!</v>
          </cell>
          <cell r="F2477">
            <v>0</v>
          </cell>
        </row>
        <row r="2478">
          <cell r="A2478" t="str">
            <v>RSPGRCKA</v>
          </cell>
          <cell r="B2478">
            <v>-1.5189100363573269E-4</v>
          </cell>
          <cell r="C2478">
            <v>0</v>
          </cell>
          <cell r="D2478" t="e">
            <v>#VALUE!</v>
          </cell>
          <cell r="E2478" t="e">
            <v>#VALUE!</v>
          </cell>
          <cell r="F2478">
            <v>0</v>
          </cell>
        </row>
        <row r="2479">
          <cell r="A2479" t="str">
            <v>RSPGLCZA</v>
          </cell>
          <cell r="B2479">
            <v>5.900106992419452E-5</v>
          </cell>
          <cell r="C2479">
            <v>0</v>
          </cell>
          <cell r="D2479" t="e">
            <v>#VALUE!</v>
          </cell>
          <cell r="E2479" t="e">
            <v>#VALUE!</v>
          </cell>
          <cell r="F2479">
            <v>0</v>
          </cell>
        </row>
        <row r="2480">
          <cell r="A2480" t="str">
            <v>RSPGLCDA</v>
          </cell>
          <cell r="B2480">
            <v>5.5169148772495655E-4</v>
          </cell>
          <cell r="C2480">
            <v>0</v>
          </cell>
          <cell r="D2480" t="e">
            <v>#VALUE!</v>
          </cell>
          <cell r="E2480" t="e">
            <v>#VALUE!</v>
          </cell>
          <cell r="F2480">
            <v>0</v>
          </cell>
        </row>
        <row r="2481">
          <cell r="A2481" t="str">
            <v>RSPVBTTA</v>
          </cell>
          <cell r="B2481">
            <v>-4.5148877479608033E-5</v>
          </cell>
          <cell r="C2481">
            <v>0</v>
          </cell>
          <cell r="D2481" t="e">
            <v>#VALUE!</v>
          </cell>
          <cell r="E2481" t="e">
            <v>#VALUE!</v>
          </cell>
          <cell r="F2481">
            <v>0</v>
          </cell>
        </row>
        <row r="2482">
          <cell r="A2482" t="str">
            <v>RSPVB4IA</v>
          </cell>
          <cell r="B2482">
            <v>-3.5933059507068759E-4</v>
          </cell>
          <cell r="C2482">
            <v>0</v>
          </cell>
          <cell r="D2482" t="e">
            <v>#VALUE!</v>
          </cell>
          <cell r="E2482" t="e">
            <v>#VALUE!</v>
          </cell>
          <cell r="F2482">
            <v>0</v>
          </cell>
        </row>
        <row r="2483">
          <cell r="A2483" t="str">
            <v>RSPVBT2A</v>
          </cell>
          <cell r="B2483">
            <v>2.657868325769252E-7</v>
          </cell>
          <cell r="C2483">
            <v>0</v>
          </cell>
          <cell r="D2483" t="e">
            <v>#VALUE!</v>
          </cell>
          <cell r="E2483" t="e">
            <v>#VALUE!</v>
          </cell>
          <cell r="F2483">
            <v>0</v>
          </cell>
        </row>
        <row r="2484">
          <cell r="A2484" t="str">
            <v>RSPVWN1A</v>
          </cell>
          <cell r="B2484">
            <v>-5.4428008825945577E-5</v>
          </cell>
          <cell r="C2484">
            <v>0</v>
          </cell>
          <cell r="D2484" t="e">
            <v>#VALUE!</v>
          </cell>
          <cell r="E2484" t="e">
            <v>#VALUE!</v>
          </cell>
          <cell r="F2484">
            <v>0</v>
          </cell>
        </row>
        <row r="2485">
          <cell r="A2485" t="str">
            <v>RSPVWN2A</v>
          </cell>
          <cell r="B2485">
            <v>0</v>
          </cell>
          <cell r="C2485">
            <v>0</v>
          </cell>
          <cell r="D2485" t="e">
            <v>#VALUE!</v>
          </cell>
          <cell r="E2485" t="e">
            <v>#VALUE!</v>
          </cell>
          <cell r="F2485">
            <v>0</v>
          </cell>
        </row>
        <row r="2486">
          <cell r="A2486" t="str">
            <v>RSPVWN3A</v>
          </cell>
          <cell r="B2486">
            <v>-1.3888694189667497E-5</v>
          </cell>
          <cell r="C2486">
            <v>0</v>
          </cell>
          <cell r="D2486" t="e">
            <v>#VALUE!</v>
          </cell>
          <cell r="E2486" t="e">
            <v>#VALUE!</v>
          </cell>
          <cell r="F2486">
            <v>0</v>
          </cell>
        </row>
        <row r="2487">
          <cell r="A2487" t="str">
            <v>RSPVWN4A</v>
          </cell>
          <cell r="B2487">
            <v>3.888926978903976E-6</v>
          </cell>
          <cell r="C2487">
            <v>0</v>
          </cell>
          <cell r="D2487" t="e">
            <v>#VALUE!</v>
          </cell>
          <cell r="E2487" t="e">
            <v>#VALUE!</v>
          </cell>
          <cell r="F2487">
            <v>0</v>
          </cell>
        </row>
        <row r="2488">
          <cell r="A2488" t="str">
            <v>RSPVPN1A</v>
          </cell>
          <cell r="B2488">
            <v>-4.8934841743798581E-5</v>
          </cell>
          <cell r="C2488">
            <v>0</v>
          </cell>
          <cell r="D2488" t="e">
            <v>#VALUE!</v>
          </cell>
          <cell r="E2488" t="e">
            <v>#VALUE!</v>
          </cell>
          <cell r="F2488">
            <v>0</v>
          </cell>
        </row>
        <row r="2489">
          <cell r="A2489" t="str">
            <v>RSPVPN2A</v>
          </cell>
          <cell r="B2489">
            <v>0</v>
          </cell>
          <cell r="C2489">
            <v>0</v>
          </cell>
          <cell r="D2489" t="e">
            <v>#VALUE!</v>
          </cell>
          <cell r="E2489" t="e">
            <v>#VALUE!</v>
          </cell>
          <cell r="F2489">
            <v>0</v>
          </cell>
        </row>
        <row r="2490">
          <cell r="A2490" t="str">
            <v>RSPVPN3A</v>
          </cell>
          <cell r="B2490">
            <v>-1.7218312371381854E-5</v>
          </cell>
          <cell r="C2490">
            <v>0</v>
          </cell>
          <cell r="D2490" t="e">
            <v>#VALUE!</v>
          </cell>
          <cell r="E2490" t="e">
            <v>#VALUE!</v>
          </cell>
          <cell r="F2490">
            <v>0</v>
          </cell>
        </row>
        <row r="2491">
          <cell r="A2491" t="str">
            <v>RSPVPN4A</v>
          </cell>
          <cell r="B2491">
            <v>-2.9718731946883202E-5</v>
          </cell>
          <cell r="C2491">
            <v>0</v>
          </cell>
          <cell r="D2491" t="e">
            <v>#VALUE!</v>
          </cell>
          <cell r="E2491" t="e">
            <v>#VALUE!</v>
          </cell>
          <cell r="F2491">
            <v>0</v>
          </cell>
        </row>
        <row r="2492">
          <cell r="A2492" t="str">
            <v>RSPVSK1A</v>
          </cell>
          <cell r="B2492">
            <v>-3.1754079872579905E-6</v>
          </cell>
          <cell r="C2492">
            <v>0</v>
          </cell>
          <cell r="D2492" t="e">
            <v>#VALUE!</v>
          </cell>
          <cell r="E2492" t="e">
            <v>#VALUE!</v>
          </cell>
          <cell r="F2492">
            <v>0</v>
          </cell>
        </row>
        <row r="2493">
          <cell r="A2493" t="str">
            <v>RSPVSK2A</v>
          </cell>
          <cell r="B2493">
            <v>4.8006062477441767E-8</v>
          </cell>
          <cell r="C2493">
            <v>0</v>
          </cell>
          <cell r="D2493" t="e">
            <v>#VALUE!</v>
          </cell>
          <cell r="E2493" t="e">
            <v>#VALUE!</v>
          </cell>
          <cell r="F2493">
            <v>0</v>
          </cell>
        </row>
        <row r="2494">
          <cell r="A2494" t="str">
            <v>RSPVSK3A</v>
          </cell>
          <cell r="B2494">
            <v>0</v>
          </cell>
          <cell r="C2494">
            <v>0</v>
          </cell>
          <cell r="D2494" t="e">
            <v>#VALUE!</v>
          </cell>
          <cell r="E2494" t="e">
            <v>#VALUE!</v>
          </cell>
          <cell r="F2494">
            <v>0</v>
          </cell>
        </row>
        <row r="2495">
          <cell r="A2495" t="str">
            <v>RSPVSK5A</v>
          </cell>
          <cell r="B2495">
            <v>0</v>
          </cell>
          <cell r="C2495">
            <v>0</v>
          </cell>
          <cell r="D2495" t="e">
            <v>#VALUE!</v>
          </cell>
          <cell r="E2495" t="e">
            <v>#VALUE!</v>
          </cell>
          <cell r="F2495">
            <v>0</v>
          </cell>
        </row>
        <row r="2496">
          <cell r="A2496" t="str">
            <v>RSPVSK6A</v>
          </cell>
          <cell r="B2496">
            <v>7.9690785818058104E-9</v>
          </cell>
          <cell r="C2496">
            <v>0</v>
          </cell>
          <cell r="D2496" t="e">
            <v>#VALUE!</v>
          </cell>
          <cell r="E2496" t="e">
            <v>#VALUE!</v>
          </cell>
          <cell r="F2496">
            <v>0</v>
          </cell>
        </row>
        <row r="2497">
          <cell r="A2497" t="str">
            <v>RSPVSK7A</v>
          </cell>
          <cell r="B2497">
            <v>1.8507964862486889E-7</v>
          </cell>
          <cell r="C2497">
            <v>0</v>
          </cell>
          <cell r="D2497" t="e">
            <v>#VALUE!</v>
          </cell>
          <cell r="E2497" t="e">
            <v>#VALUE!</v>
          </cell>
          <cell r="F2497">
            <v>0</v>
          </cell>
        </row>
        <row r="2498">
          <cell r="A2498" t="str">
            <v>RSPVLK2A</v>
          </cell>
          <cell r="B2498">
            <v>0</v>
          </cell>
          <cell r="C2498">
            <v>0</v>
          </cell>
          <cell r="D2498" t="e">
            <v>#VALUE!</v>
          </cell>
          <cell r="E2498" t="e">
            <v>#VALUE!</v>
          </cell>
          <cell r="F2498">
            <v>0</v>
          </cell>
        </row>
        <row r="2499">
          <cell r="A2499" t="str">
            <v>RSPVLK1A</v>
          </cell>
          <cell r="B2499">
            <v>4.4671778599353874E-6</v>
          </cell>
          <cell r="C2499">
            <v>0</v>
          </cell>
          <cell r="D2499" t="e">
            <v>#VALUE!</v>
          </cell>
          <cell r="E2499" t="e">
            <v>#VALUE!</v>
          </cell>
          <cell r="F2499">
            <v>0</v>
          </cell>
        </row>
        <row r="2500">
          <cell r="A2500" t="str">
            <v>RSPVJPIA</v>
          </cell>
          <cell r="B2500">
            <v>-6.5408092365182149E-6</v>
          </cell>
          <cell r="C2500">
            <v>0</v>
          </cell>
          <cell r="D2500" t="e">
            <v>#VALUE!</v>
          </cell>
          <cell r="E2500" t="e">
            <v>#VALUE!</v>
          </cell>
          <cell r="F2500">
            <v>0</v>
          </cell>
        </row>
        <row r="2501">
          <cell r="A2501" t="str">
            <v>RSPVJETA</v>
          </cell>
          <cell r="B2501">
            <v>-8.7008497112411496E-4</v>
          </cell>
          <cell r="C2501">
            <v>0</v>
          </cell>
          <cell r="D2501" t="e">
            <v>#VALUE!</v>
          </cell>
          <cell r="E2501" t="e">
            <v>#VALUE!</v>
          </cell>
          <cell r="F2501">
            <v>0</v>
          </cell>
        </row>
        <row r="2502">
          <cell r="A2502" t="str">
            <v>RSPVLK3A</v>
          </cell>
          <cell r="B2502">
            <v>-4.2988549060669044E-5</v>
          </cell>
          <cell r="C2502">
            <v>0</v>
          </cell>
          <cell r="D2502" t="e">
            <v>#VALUE!</v>
          </cell>
          <cell r="E2502" t="e">
            <v>#VALUE!</v>
          </cell>
          <cell r="F2502">
            <v>0</v>
          </cell>
        </row>
        <row r="2503">
          <cell r="A2503" t="str">
            <v>RSPVLK4A</v>
          </cell>
          <cell r="B2503">
            <v>-1.6794784804828041E-4</v>
          </cell>
          <cell r="C2503">
            <v>0</v>
          </cell>
          <cell r="D2503" t="e">
            <v>#VALUE!</v>
          </cell>
          <cell r="E2503" t="e">
            <v>#VALUE!</v>
          </cell>
          <cell r="F2503">
            <v>0</v>
          </cell>
        </row>
        <row r="2504">
          <cell r="A2504" t="str">
            <v>RSPVSG3A</v>
          </cell>
          <cell r="B2504">
            <v>0</v>
          </cell>
          <cell r="C2504">
            <v>0</v>
          </cell>
          <cell r="D2504" t="e">
            <v>#VALUE!</v>
          </cell>
          <cell r="E2504" t="e">
            <v>#VALUE!</v>
          </cell>
          <cell r="F2504">
            <v>0</v>
          </cell>
        </row>
        <row r="2505">
          <cell r="A2505" t="str">
            <v>RSPVSG4A</v>
          </cell>
          <cell r="B2505">
            <v>2.8336273092849896E-5</v>
          </cell>
          <cell r="C2505">
            <v>0</v>
          </cell>
          <cell r="D2505" t="e">
            <v>#VALUE!</v>
          </cell>
          <cell r="E2505" t="e">
            <v>#VALUE!</v>
          </cell>
          <cell r="F2505">
            <v>0</v>
          </cell>
        </row>
        <row r="2506">
          <cell r="A2506" t="str">
            <v>RSPVSG5A</v>
          </cell>
          <cell r="B2506">
            <v>0</v>
          </cell>
          <cell r="C2506">
            <v>0</v>
          </cell>
          <cell r="D2506" t="e">
            <v>#VALUE!</v>
          </cell>
          <cell r="E2506" t="e">
            <v>#VALUE!</v>
          </cell>
          <cell r="F2506">
            <v>0</v>
          </cell>
        </row>
        <row r="2507">
          <cell r="A2507" t="str">
            <v>RSPVSG6A</v>
          </cell>
          <cell r="B2507">
            <v>8.6121630861753887E-9</v>
          </cell>
          <cell r="C2507">
            <v>0</v>
          </cell>
          <cell r="D2507" t="e">
            <v>#VALUE!</v>
          </cell>
          <cell r="E2507" t="e">
            <v>#VALUE!</v>
          </cell>
          <cell r="F2507">
            <v>0</v>
          </cell>
        </row>
        <row r="2508">
          <cell r="A2508" t="str">
            <v>RSPVSG7A</v>
          </cell>
          <cell r="B2508">
            <v>0</v>
          </cell>
          <cell r="C2508">
            <v>0</v>
          </cell>
          <cell r="D2508" t="e">
            <v>#VALUE!</v>
          </cell>
          <cell r="E2508" t="e">
            <v>#VALUE!</v>
          </cell>
          <cell r="F2508">
            <v>0</v>
          </cell>
        </row>
        <row r="2509">
          <cell r="A2509" t="str">
            <v>RSPVLKFA</v>
          </cell>
          <cell r="B2509">
            <v>-3.6725818819632715E-4</v>
          </cell>
          <cell r="C2509">
            <v>0</v>
          </cell>
          <cell r="D2509" t="e">
            <v>#VALUE!</v>
          </cell>
          <cell r="E2509" t="e">
            <v>#VALUE!</v>
          </cell>
          <cell r="F2509">
            <v>0</v>
          </cell>
        </row>
        <row r="2510">
          <cell r="A2510" t="str">
            <v>RSPVLFKA</v>
          </cell>
          <cell r="B2510">
            <v>-3.6468495763734631E-4</v>
          </cell>
          <cell r="C2510">
            <v>0</v>
          </cell>
          <cell r="D2510" t="e">
            <v>#VALUE!</v>
          </cell>
          <cell r="E2510" t="e">
            <v>#VALUE!</v>
          </cell>
          <cell r="F2510">
            <v>0</v>
          </cell>
        </row>
        <row r="2511">
          <cell r="A2511" t="str">
            <v>RSPVLG1A</v>
          </cell>
          <cell r="B2511">
            <v>-5.4463269716257883E-5</v>
          </cell>
          <cell r="C2511">
            <v>0</v>
          </cell>
          <cell r="D2511" t="e">
            <v>#VALUE!</v>
          </cell>
          <cell r="E2511" t="e">
            <v>#VALUE!</v>
          </cell>
          <cell r="F2511">
            <v>0</v>
          </cell>
        </row>
        <row r="2512">
          <cell r="A2512" t="str">
            <v>RSPVLG2A</v>
          </cell>
          <cell r="B2512">
            <v>-2.6489550996738626E-4</v>
          </cell>
          <cell r="C2512">
            <v>0</v>
          </cell>
          <cell r="D2512" t="e">
            <v>#VALUE!</v>
          </cell>
          <cell r="E2512" t="e">
            <v>#VALUE!</v>
          </cell>
          <cell r="F2512">
            <v>0</v>
          </cell>
        </row>
        <row r="2513">
          <cell r="A2513" t="str">
            <v>RSPVLG3A</v>
          </cell>
          <cell r="B2513">
            <v>5.0293186794153544E-6</v>
          </cell>
          <cell r="C2513">
            <v>0</v>
          </cell>
          <cell r="D2513" t="e">
            <v>#VALUE!</v>
          </cell>
          <cell r="E2513" t="e">
            <v>#VALUE!</v>
          </cell>
          <cell r="F2513">
            <v>0</v>
          </cell>
        </row>
        <row r="2514">
          <cell r="A2514" t="str">
            <v>RSPVGS1A</v>
          </cell>
          <cell r="B2514">
            <v>-1.2482625587468547E-6</v>
          </cell>
          <cell r="C2514">
            <v>0</v>
          </cell>
          <cell r="D2514" t="e">
            <v>#VALUE!</v>
          </cell>
          <cell r="E2514" t="e">
            <v>#VALUE!</v>
          </cell>
          <cell r="F2514">
            <v>0</v>
          </cell>
        </row>
        <row r="2515">
          <cell r="A2515" t="str">
            <v>RSPVGS2A</v>
          </cell>
          <cell r="B2515">
            <v>0</v>
          </cell>
          <cell r="C2515">
            <v>0</v>
          </cell>
          <cell r="D2515" t="e">
            <v>#VALUE!</v>
          </cell>
          <cell r="E2515" t="e">
            <v>#VALUE!</v>
          </cell>
          <cell r="F2515">
            <v>0</v>
          </cell>
        </row>
        <row r="2516">
          <cell r="A2516" t="str">
            <v>RSPVGS3A</v>
          </cell>
          <cell r="B2516">
            <v>0</v>
          </cell>
          <cell r="C2516">
            <v>0</v>
          </cell>
          <cell r="D2516" t="e">
            <v>#VALUE!</v>
          </cell>
          <cell r="E2516" t="e">
            <v>#VALUE!</v>
          </cell>
          <cell r="F2516">
            <v>0</v>
          </cell>
        </row>
        <row r="2517">
          <cell r="A2517" t="str">
            <v>RSPVGS4A</v>
          </cell>
          <cell r="B2517">
            <v>3.4555148726810819E-5</v>
          </cell>
          <cell r="C2517">
            <v>0</v>
          </cell>
          <cell r="D2517" t="e">
            <v>#VALUE!</v>
          </cell>
          <cell r="E2517" t="e">
            <v>#VALUE!</v>
          </cell>
          <cell r="F2517">
            <v>0</v>
          </cell>
        </row>
        <row r="2518">
          <cell r="A2518" t="str">
            <v>RSPVGS5A</v>
          </cell>
          <cell r="B2518">
            <v>0</v>
          </cell>
          <cell r="C2518">
            <v>0</v>
          </cell>
          <cell r="D2518" t="e">
            <v>#VALUE!</v>
          </cell>
          <cell r="E2518" t="e">
            <v>#VALUE!</v>
          </cell>
          <cell r="F2518">
            <v>0</v>
          </cell>
        </row>
        <row r="2519">
          <cell r="A2519" t="str">
            <v>RSPVGS6A</v>
          </cell>
          <cell r="B2519">
            <v>2.1092792596258364E-9</v>
          </cell>
          <cell r="C2519">
            <v>0</v>
          </cell>
          <cell r="D2519" t="e">
            <v>#VALUE!</v>
          </cell>
          <cell r="E2519" t="e">
            <v>#VALUE!</v>
          </cell>
          <cell r="F2519">
            <v>0</v>
          </cell>
        </row>
        <row r="2520">
          <cell r="A2520" t="str">
            <v>RSPVGS7A</v>
          </cell>
          <cell r="B2520">
            <v>-4.6269912162057305E-7</v>
          </cell>
          <cell r="C2520">
            <v>0</v>
          </cell>
          <cell r="D2520" t="e">
            <v>#VALUE!</v>
          </cell>
          <cell r="E2520" t="e">
            <v>#VALUE!</v>
          </cell>
          <cell r="F2520">
            <v>0</v>
          </cell>
        </row>
        <row r="2521">
          <cell r="A2521" t="str">
            <v>RSPVG11A</v>
          </cell>
          <cell r="B2521">
            <v>-1.1737209899041624E-3</v>
          </cell>
          <cell r="C2521">
            <v>0</v>
          </cell>
          <cell r="D2521" t="e">
            <v>#VALUE!</v>
          </cell>
          <cell r="E2521" t="e">
            <v>#VALUE!</v>
          </cell>
          <cell r="F2521">
            <v>0</v>
          </cell>
        </row>
        <row r="2522">
          <cell r="A2522" t="str">
            <v>RSPVPG1A</v>
          </cell>
          <cell r="B2522">
            <v>6.9645175603473536E-5</v>
          </cell>
          <cell r="C2522">
            <v>0</v>
          </cell>
          <cell r="D2522" t="e">
            <v>#VALUE!</v>
          </cell>
          <cell r="E2522" t="e">
            <v>#VALUE!</v>
          </cell>
          <cell r="F2522">
            <v>0</v>
          </cell>
        </row>
        <row r="2523">
          <cell r="A2523" t="str">
            <v>RSPVPG2A</v>
          </cell>
          <cell r="B2523">
            <v>-9.9346334723558762E-7</v>
          </cell>
          <cell r="C2523">
            <v>0</v>
          </cell>
          <cell r="D2523" t="e">
            <v>#VALUE!</v>
          </cell>
          <cell r="E2523" t="e">
            <v>#VALUE!</v>
          </cell>
          <cell r="F2523">
            <v>0</v>
          </cell>
        </row>
        <row r="2524">
          <cell r="A2524" t="str">
            <v>RSPVAR1A</v>
          </cell>
          <cell r="B2524">
            <v>-2.8770435449973464E-4</v>
          </cell>
          <cell r="C2524">
            <v>0</v>
          </cell>
          <cell r="D2524" t="e">
            <v>#VALUE!</v>
          </cell>
          <cell r="E2524" t="e">
            <v>#VALUE!</v>
          </cell>
          <cell r="F2524">
            <v>0</v>
          </cell>
        </row>
        <row r="2525">
          <cell r="A2525" t="str">
            <v>RSPVAR2A</v>
          </cell>
          <cell r="B2525">
            <v>1.3225670596661424E-6</v>
          </cell>
          <cell r="C2525">
            <v>0</v>
          </cell>
          <cell r="D2525" t="e">
            <v>#VALUE!</v>
          </cell>
          <cell r="E2525" t="e">
            <v>#VALUE!</v>
          </cell>
          <cell r="F2525">
            <v>0</v>
          </cell>
        </row>
        <row r="2526">
          <cell r="A2526" t="str">
            <v>RSPVAR3A</v>
          </cell>
          <cell r="B2526">
            <v>0</v>
          </cell>
          <cell r="C2526">
            <v>0</v>
          </cell>
          <cell r="D2526" t="e">
            <v>#VALUE!</v>
          </cell>
          <cell r="E2526" t="e">
            <v>#VALUE!</v>
          </cell>
          <cell r="F2526">
            <v>0</v>
          </cell>
        </row>
        <row r="2527">
          <cell r="A2527" t="str">
            <v>RSPVAR4A</v>
          </cell>
          <cell r="B2527">
            <v>6.2544611295404498E-3</v>
          </cell>
          <cell r="C2527">
            <v>0</v>
          </cell>
          <cell r="D2527" t="e">
            <v>#VALUE!</v>
          </cell>
          <cell r="E2527" t="e">
            <v>#VALUE!</v>
          </cell>
          <cell r="F2527">
            <v>0</v>
          </cell>
        </row>
        <row r="2528">
          <cell r="A2528" t="str">
            <v>RSPVAR5A</v>
          </cell>
          <cell r="B2528">
            <v>0</v>
          </cell>
          <cell r="C2528">
            <v>0</v>
          </cell>
          <cell r="D2528" t="e">
            <v>#VALUE!</v>
          </cell>
          <cell r="E2528" t="e">
            <v>#VALUE!</v>
          </cell>
          <cell r="F2528">
            <v>0</v>
          </cell>
        </row>
        <row r="2529">
          <cell r="A2529" t="str">
            <v>RSPVAR6A</v>
          </cell>
          <cell r="B2529">
            <v>-7.2235384255589702E-9</v>
          </cell>
          <cell r="C2529">
            <v>0</v>
          </cell>
          <cell r="D2529" t="e">
            <v>#VALUE!</v>
          </cell>
          <cell r="E2529" t="e">
            <v>#VALUE!</v>
          </cell>
          <cell r="F2529">
            <v>0</v>
          </cell>
        </row>
        <row r="2530">
          <cell r="A2530" t="str">
            <v>RSPVAR7A</v>
          </cell>
          <cell r="B2530">
            <v>-6.2001685837956706E-7</v>
          </cell>
          <cell r="C2530">
            <v>0</v>
          </cell>
          <cell r="D2530" t="e">
            <v>#VALUE!</v>
          </cell>
          <cell r="E2530" t="e">
            <v>#VALUE!</v>
          </cell>
          <cell r="F2530">
            <v>0</v>
          </cell>
        </row>
        <row r="2531">
          <cell r="A2531" t="str">
            <v>RSPVLVBA</v>
          </cell>
          <cell r="B2531">
            <v>-8.0803513384586814E-5</v>
          </cell>
          <cell r="C2531">
            <v>0</v>
          </cell>
          <cell r="D2531" t="e">
            <v>#VALUE!</v>
          </cell>
          <cell r="E2531" t="e">
            <v>#VALUE!</v>
          </cell>
          <cell r="F2531">
            <v>0</v>
          </cell>
        </row>
        <row r="2532">
          <cell r="A2532" t="str">
            <v>RSPVLV1A</v>
          </cell>
          <cell r="B2532">
            <v>6.5442025633062365E-5</v>
          </cell>
          <cell r="C2532">
            <v>0</v>
          </cell>
          <cell r="D2532" t="e">
            <v>#VALUE!</v>
          </cell>
          <cell r="E2532" t="e">
            <v>#VALUE!</v>
          </cell>
          <cell r="F2532">
            <v>0</v>
          </cell>
        </row>
        <row r="2533">
          <cell r="A2533" t="str">
            <v>RSPVLV2A</v>
          </cell>
          <cell r="B2533">
            <v>1.1701477878637913E-6</v>
          </cell>
          <cell r="C2533">
            <v>0</v>
          </cell>
          <cell r="D2533" t="e">
            <v>#VALUE!</v>
          </cell>
          <cell r="E2533" t="e">
            <v>#VALUE!</v>
          </cell>
          <cell r="F2533">
            <v>0</v>
          </cell>
        </row>
        <row r="2534">
          <cell r="A2534" t="str">
            <v>RSPVLV3A</v>
          </cell>
          <cell r="B2534">
            <v>0</v>
          </cell>
          <cell r="C2534">
            <v>0</v>
          </cell>
          <cell r="D2534" t="e">
            <v>#VALUE!</v>
          </cell>
          <cell r="E2534" t="e">
            <v>#VALUE!</v>
          </cell>
          <cell r="F2534">
            <v>0</v>
          </cell>
        </row>
        <row r="2535">
          <cell r="A2535" t="str">
            <v>RSPVLV4A</v>
          </cell>
          <cell r="B2535">
            <v>-2.8281651033815761E-5</v>
          </cell>
          <cell r="C2535">
            <v>0</v>
          </cell>
          <cell r="D2535" t="e">
            <v>#VALUE!</v>
          </cell>
          <cell r="E2535" t="e">
            <v>#VALUE!</v>
          </cell>
          <cell r="F2535">
            <v>0</v>
          </cell>
        </row>
        <row r="2536">
          <cell r="A2536" t="str">
            <v>RSPVLV5A</v>
          </cell>
          <cell r="B2536">
            <v>0</v>
          </cell>
          <cell r="C2536">
            <v>0</v>
          </cell>
          <cell r="D2536" t="e">
            <v>#VALUE!</v>
          </cell>
          <cell r="E2536" t="e">
            <v>#VALUE!</v>
          </cell>
          <cell r="F2536">
            <v>0</v>
          </cell>
        </row>
        <row r="2537">
          <cell r="A2537" t="str">
            <v>RSPVLV6A</v>
          </cell>
          <cell r="B2537">
            <v>1.3409584549002805E-7</v>
          </cell>
          <cell r="C2537">
            <v>0</v>
          </cell>
          <cell r="D2537" t="e">
            <v>#VALUE!</v>
          </cell>
          <cell r="E2537" t="e">
            <v>#VALUE!</v>
          </cell>
          <cell r="F2537">
            <v>0</v>
          </cell>
        </row>
        <row r="2538">
          <cell r="A2538" t="str">
            <v>RSPVLV7A</v>
          </cell>
          <cell r="B2538">
            <v>4.6269912162057305E-7</v>
          </cell>
          <cell r="C2538">
            <v>0</v>
          </cell>
          <cell r="D2538" t="e">
            <v>#VALUE!</v>
          </cell>
          <cell r="E2538" t="e">
            <v>#VALUE!</v>
          </cell>
          <cell r="F2538">
            <v>0</v>
          </cell>
        </row>
        <row r="2539">
          <cell r="A2539" t="str">
            <v>RSPVPVBA</v>
          </cell>
          <cell r="B2539">
            <v>7.3106949176154518E-5</v>
          </cell>
          <cell r="C2539">
            <v>0</v>
          </cell>
          <cell r="D2539" t="e">
            <v>#VALUE!</v>
          </cell>
          <cell r="E2539" t="e">
            <v>#VALUE!</v>
          </cell>
          <cell r="F2539">
            <v>0</v>
          </cell>
        </row>
        <row r="2540">
          <cell r="A2540" t="str">
            <v>RSPVDVLA</v>
          </cell>
          <cell r="B2540">
            <v>2.8738985443704564E-10</v>
          </cell>
          <cell r="C2540">
            <v>0</v>
          </cell>
          <cell r="D2540" t="e">
            <v>#VALUE!</v>
          </cell>
          <cell r="E2540" t="e">
            <v>#VALUE!</v>
          </cell>
          <cell r="F2540">
            <v>0</v>
          </cell>
        </row>
        <row r="2541">
          <cell r="A2541" t="str">
            <v>RSPVPV1A</v>
          </cell>
          <cell r="B2541">
            <v>-1.0507257525516675E-5</v>
          </cell>
          <cell r="C2541">
            <v>0</v>
          </cell>
          <cell r="D2541" t="e">
            <v>#VALUE!</v>
          </cell>
          <cell r="E2541" t="e">
            <v>#VALUE!</v>
          </cell>
          <cell r="F2541">
            <v>0</v>
          </cell>
        </row>
        <row r="2542">
          <cell r="A2542" t="str">
            <v>RSPVPV2A</v>
          </cell>
          <cell r="B2542">
            <v>1.2001515973171791E-7</v>
          </cell>
          <cell r="C2542">
            <v>0</v>
          </cell>
          <cell r="D2542" t="e">
            <v>#VALUE!</v>
          </cell>
          <cell r="E2542" t="e">
            <v>#VALUE!</v>
          </cell>
          <cell r="F2542">
            <v>0</v>
          </cell>
        </row>
        <row r="2543">
          <cell r="A2543" t="str">
            <v>RSPVPV3A</v>
          </cell>
          <cell r="B2543">
            <v>0</v>
          </cell>
          <cell r="C2543">
            <v>0</v>
          </cell>
          <cell r="D2543" t="e">
            <v>#VALUE!</v>
          </cell>
          <cell r="E2543" t="e">
            <v>#VALUE!</v>
          </cell>
          <cell r="F2543">
            <v>0</v>
          </cell>
        </row>
        <row r="2544">
          <cell r="A2544" t="str">
            <v>RSPVPV4A</v>
          </cell>
          <cell r="B2544">
            <v>-3.0601837892365989E-4</v>
          </cell>
          <cell r="C2544">
            <v>0</v>
          </cell>
          <cell r="D2544" t="e">
            <v>#VALUE!</v>
          </cell>
          <cell r="E2544" t="e">
            <v>#VALUE!</v>
          </cell>
          <cell r="F2544">
            <v>0</v>
          </cell>
        </row>
        <row r="2545">
          <cell r="A2545" t="str">
            <v>RSPVPV5A</v>
          </cell>
          <cell r="B2545">
            <v>0</v>
          </cell>
          <cell r="C2545">
            <v>0</v>
          </cell>
          <cell r="D2545" t="e">
            <v>#VALUE!</v>
          </cell>
          <cell r="E2545" t="e">
            <v>#VALUE!</v>
          </cell>
          <cell r="F2545">
            <v>0</v>
          </cell>
        </row>
        <row r="2546">
          <cell r="A2546" t="str">
            <v>RSPVPV6A</v>
          </cell>
          <cell r="B2546">
            <v>3.7190568664265331E-9</v>
          </cell>
          <cell r="C2546">
            <v>0</v>
          </cell>
          <cell r="D2546" t="e">
            <v>#VALUE!</v>
          </cell>
          <cell r="E2546" t="e">
            <v>#VALUE!</v>
          </cell>
          <cell r="F2546">
            <v>0</v>
          </cell>
        </row>
        <row r="2547">
          <cell r="A2547" t="str">
            <v>RSPVPV7A</v>
          </cell>
          <cell r="B2547">
            <v>-2.7761948711311761E-6</v>
          </cell>
          <cell r="C2547">
            <v>0</v>
          </cell>
          <cell r="D2547" t="e">
            <v>#VALUE!</v>
          </cell>
          <cell r="E2547" t="e">
            <v>#VALUE!</v>
          </cell>
          <cell r="F2547">
            <v>0</v>
          </cell>
        </row>
        <row r="2548">
          <cell r="A2548" t="str">
            <v>RSPVVRBA</v>
          </cell>
          <cell r="B2548">
            <v>-3.3528954420583194E-4</v>
          </cell>
          <cell r="C2548">
            <v>0</v>
          </cell>
          <cell r="D2548" t="e">
            <v>#VALUE!</v>
          </cell>
          <cell r="E2548" t="e">
            <v>#VALUE!</v>
          </cell>
          <cell r="F2548">
            <v>0</v>
          </cell>
        </row>
        <row r="2549">
          <cell r="A2549" t="str">
            <v>RSPVFCLA</v>
          </cell>
          <cell r="B2549">
            <v>5.9983189290521366E-9</v>
          </cell>
          <cell r="C2549">
            <v>0</v>
          </cell>
          <cell r="D2549" t="e">
            <v>#VALUE!</v>
          </cell>
          <cell r="E2549" t="e">
            <v>#VALUE!</v>
          </cell>
          <cell r="F2549">
            <v>0</v>
          </cell>
        </row>
        <row r="2550">
          <cell r="A2550" t="str">
            <v>RSPVVR1A</v>
          </cell>
          <cell r="B2550">
            <v>3.3988269542408501E-5</v>
          </cell>
          <cell r="C2550">
            <v>0</v>
          </cell>
          <cell r="D2550" t="e">
            <v>#VALUE!</v>
          </cell>
          <cell r="E2550" t="e">
            <v>#VALUE!</v>
          </cell>
          <cell r="F2550">
            <v>0</v>
          </cell>
        </row>
        <row r="2551">
          <cell r="A2551" t="str">
            <v>RSPVVR2A</v>
          </cell>
          <cell r="B2551">
            <v>3.360424516016144E-7</v>
          </cell>
          <cell r="C2551">
            <v>0</v>
          </cell>
          <cell r="D2551" t="e">
            <v>#VALUE!</v>
          </cell>
          <cell r="E2551" t="e">
            <v>#VALUE!</v>
          </cell>
          <cell r="F2551">
            <v>0</v>
          </cell>
        </row>
        <row r="2552">
          <cell r="A2552" t="str">
            <v>RSPVVR3A</v>
          </cell>
          <cell r="B2552">
            <v>0</v>
          </cell>
          <cell r="C2552">
            <v>0</v>
          </cell>
          <cell r="D2552" t="e">
            <v>#VALUE!</v>
          </cell>
          <cell r="E2552" t="e">
            <v>#VALUE!</v>
          </cell>
          <cell r="F2552">
            <v>0</v>
          </cell>
        </row>
        <row r="2553">
          <cell r="A2553" t="str">
            <v>RSPVVR4A</v>
          </cell>
          <cell r="B2553">
            <v>7.8678841073518899E-4</v>
          </cell>
          <cell r="C2553">
            <v>0</v>
          </cell>
          <cell r="D2553" t="e">
            <v>#VALUE!</v>
          </cell>
          <cell r="E2553" t="e">
            <v>#VALUE!</v>
          </cell>
          <cell r="F2553">
            <v>0</v>
          </cell>
        </row>
        <row r="2554">
          <cell r="A2554" t="str">
            <v>RSPVVR5A</v>
          </cell>
          <cell r="B2554">
            <v>0</v>
          </cell>
          <cell r="C2554">
            <v>0</v>
          </cell>
          <cell r="D2554" t="e">
            <v>#VALUE!</v>
          </cell>
          <cell r="E2554" t="e">
            <v>#VALUE!</v>
          </cell>
          <cell r="F2554">
            <v>0</v>
          </cell>
        </row>
        <row r="2555">
          <cell r="A2555" t="str">
            <v>RSPVVR6A</v>
          </cell>
          <cell r="B2555">
            <v>-1.0361903182063213E-8</v>
          </cell>
          <cell r="C2555">
            <v>0</v>
          </cell>
          <cell r="D2555" t="e">
            <v>#VALUE!</v>
          </cell>
          <cell r="E2555" t="e">
            <v>#VALUE!</v>
          </cell>
          <cell r="F2555">
            <v>0</v>
          </cell>
        </row>
        <row r="2556">
          <cell r="A2556" t="str">
            <v>RSPVVR7A</v>
          </cell>
          <cell r="B2556">
            <v>-4.5344516041801052E-6</v>
          </cell>
          <cell r="C2556">
            <v>0</v>
          </cell>
          <cell r="D2556" t="e">
            <v>#VALUE!</v>
          </cell>
          <cell r="E2556" t="e">
            <v>#VALUE!</v>
          </cell>
          <cell r="F2556">
            <v>0</v>
          </cell>
        </row>
        <row r="2557">
          <cell r="A2557" t="str">
            <v>RSPVVR9A</v>
          </cell>
          <cell r="B2557">
            <v>3.3486504661882526E-5</v>
          </cell>
          <cell r="C2557">
            <v>0</v>
          </cell>
          <cell r="D2557" t="e">
            <v>#VALUE!</v>
          </cell>
          <cell r="E2557" t="e">
            <v>#VALUE!</v>
          </cell>
          <cell r="F2557">
            <v>0</v>
          </cell>
        </row>
        <row r="2558">
          <cell r="A2558" t="str">
            <v>RSPVLM1A</v>
          </cell>
          <cell r="B2558">
            <v>-3.5043193211967174E-5</v>
          </cell>
          <cell r="C2558">
            <v>0</v>
          </cell>
          <cell r="D2558" t="e">
            <v>#VALUE!</v>
          </cell>
          <cell r="E2558" t="e">
            <v>#VALUE!</v>
          </cell>
          <cell r="F2558">
            <v>0</v>
          </cell>
        </row>
        <row r="2559">
          <cell r="A2559" t="str">
            <v>RSPVLM2A</v>
          </cell>
          <cell r="B2559">
            <v>0</v>
          </cell>
          <cell r="C2559">
            <v>0</v>
          </cell>
          <cell r="D2559" t="e">
            <v>#VALUE!</v>
          </cell>
          <cell r="E2559" t="e">
            <v>#VALUE!</v>
          </cell>
          <cell r="F2559">
            <v>0</v>
          </cell>
        </row>
        <row r="2560">
          <cell r="A2560" t="str">
            <v>RSPVLM3A</v>
          </cell>
          <cell r="B2560">
            <v>5.3258387142455854E-5</v>
          </cell>
          <cell r="C2560">
            <v>0</v>
          </cell>
          <cell r="D2560" t="e">
            <v>#VALUE!</v>
          </cell>
          <cell r="E2560" t="e">
            <v>#VALUE!</v>
          </cell>
          <cell r="F2560">
            <v>0</v>
          </cell>
        </row>
        <row r="2561">
          <cell r="A2561" t="str">
            <v>RSPVLM4A</v>
          </cell>
          <cell r="B2561">
            <v>1.8177274696800813E-6</v>
          </cell>
          <cell r="C2561">
            <v>0</v>
          </cell>
          <cell r="D2561" t="e">
            <v>#VALUE!</v>
          </cell>
          <cell r="E2561" t="e">
            <v>#VALUE!</v>
          </cell>
          <cell r="F2561">
            <v>0</v>
          </cell>
        </row>
        <row r="2562">
          <cell r="A2562" t="str">
            <v>RSPVPA1A</v>
          </cell>
          <cell r="B2562">
            <v>-4.1910256734572365E-6</v>
          </cell>
          <cell r="C2562">
            <v>0</v>
          </cell>
          <cell r="D2562" t="e">
            <v>#VALUE!</v>
          </cell>
          <cell r="E2562" t="e">
            <v>#VALUE!</v>
          </cell>
          <cell r="F2562">
            <v>0</v>
          </cell>
        </row>
        <row r="2563">
          <cell r="A2563" t="str">
            <v>RSPVPA2A</v>
          </cell>
          <cell r="B2563">
            <v>0</v>
          </cell>
          <cell r="C2563">
            <v>0</v>
          </cell>
          <cell r="D2563" t="e">
            <v>#VALUE!</v>
          </cell>
          <cell r="E2563" t="e">
            <v>#VALUE!</v>
          </cell>
          <cell r="F2563">
            <v>0</v>
          </cell>
        </row>
        <row r="2564">
          <cell r="A2564" t="str">
            <v>RSPVPA3A</v>
          </cell>
          <cell r="B2564">
            <v>-2.3927386437083454E-4</v>
          </cell>
          <cell r="C2564">
            <v>0</v>
          </cell>
          <cell r="D2564" t="e">
            <v>#VALUE!</v>
          </cell>
          <cell r="E2564" t="e">
            <v>#VALUE!</v>
          </cell>
          <cell r="F2564">
            <v>0</v>
          </cell>
        </row>
        <row r="2565">
          <cell r="A2565" t="str">
            <v>RSPVPA4A</v>
          </cell>
          <cell r="B2565">
            <v>-2.280964863320001E-8</v>
          </cell>
          <cell r="C2565">
            <v>0</v>
          </cell>
          <cell r="D2565" t="e">
            <v>#VALUE!</v>
          </cell>
          <cell r="E2565" t="e">
            <v>#VALUE!</v>
          </cell>
          <cell r="F2565">
            <v>0</v>
          </cell>
        </row>
        <row r="2566">
          <cell r="A2566" t="str">
            <v>RSPVPB1A</v>
          </cell>
          <cell r="B2566">
            <v>-2.8668363057938084E-5</v>
          </cell>
          <cell r="C2566">
            <v>0</v>
          </cell>
          <cell r="D2566" t="e">
            <v>#VALUE!</v>
          </cell>
          <cell r="E2566" t="e">
            <v>#VALUE!</v>
          </cell>
          <cell r="F2566">
            <v>0</v>
          </cell>
        </row>
        <row r="2567">
          <cell r="A2567" t="str">
            <v>RSPVPB2A</v>
          </cell>
          <cell r="B2567">
            <v>0</v>
          </cell>
          <cell r="C2567">
            <v>0</v>
          </cell>
          <cell r="D2567" t="e">
            <v>#VALUE!</v>
          </cell>
          <cell r="E2567" t="e">
            <v>#VALUE!</v>
          </cell>
          <cell r="F2567">
            <v>0</v>
          </cell>
        </row>
        <row r="2568">
          <cell r="A2568" t="str">
            <v>RSPVPB3A</v>
          </cell>
          <cell r="B2568">
            <v>-6.0409843408955542E-6</v>
          </cell>
          <cell r="C2568">
            <v>0</v>
          </cell>
          <cell r="D2568" t="e">
            <v>#VALUE!</v>
          </cell>
          <cell r="E2568" t="e">
            <v>#VALUE!</v>
          </cell>
          <cell r="F2568">
            <v>0</v>
          </cell>
        </row>
        <row r="2569">
          <cell r="A2569" t="str">
            <v>RSPVPB4A</v>
          </cell>
          <cell r="B2569">
            <v>-4.4467103494653578E-7</v>
          </cell>
          <cell r="C2569">
            <v>0</v>
          </cell>
          <cell r="D2569" t="e">
            <v>#VALUE!</v>
          </cell>
          <cell r="E2569" t="e">
            <v>#VALUE!</v>
          </cell>
          <cell r="F2569">
            <v>0</v>
          </cell>
        </row>
        <row r="2570">
          <cell r="A2570" t="str">
            <v>RSPVPP1A</v>
          </cell>
          <cell r="B2570">
            <v>0</v>
          </cell>
          <cell r="C2570">
            <v>0</v>
          </cell>
          <cell r="D2570" t="e">
            <v>#VALUE!</v>
          </cell>
          <cell r="E2570" t="e">
            <v>#VALUE!</v>
          </cell>
          <cell r="F2570">
            <v>0</v>
          </cell>
        </row>
        <row r="2571">
          <cell r="A2571" t="str">
            <v>RSPVPP2A</v>
          </cell>
          <cell r="B2571">
            <v>0</v>
          </cell>
          <cell r="C2571">
            <v>0</v>
          </cell>
          <cell r="D2571" t="e">
            <v>#VALUE!</v>
          </cell>
          <cell r="E2571" t="e">
            <v>#VALUE!</v>
          </cell>
          <cell r="F2571">
            <v>0</v>
          </cell>
        </row>
        <row r="2572">
          <cell r="A2572" t="str">
            <v>RSPVPP3A</v>
          </cell>
          <cell r="B2572">
            <v>-9.0807777941996413E-7</v>
          </cell>
          <cell r="C2572">
            <v>0</v>
          </cell>
          <cell r="D2572" t="e">
            <v>#VALUE!</v>
          </cell>
          <cell r="E2572" t="e">
            <v>#VALUE!</v>
          </cell>
          <cell r="F2572">
            <v>0</v>
          </cell>
        </row>
        <row r="2573">
          <cell r="A2573" t="str">
            <v>RSPVPP4A</v>
          </cell>
          <cell r="B2573">
            <v>4.5913343522845798E-13</v>
          </cell>
          <cell r="C2573">
            <v>0</v>
          </cell>
          <cell r="D2573" t="e">
            <v>#VALUE!</v>
          </cell>
          <cell r="E2573" t="e">
            <v>#VALUE!</v>
          </cell>
          <cell r="F2573">
            <v>0</v>
          </cell>
        </row>
        <row r="2574">
          <cell r="A2574" t="str">
            <v>RSPVCFAA</v>
          </cell>
          <cell r="B2574">
            <v>-8.0726152524246029E-4</v>
          </cell>
          <cell r="C2574">
            <v>0</v>
          </cell>
          <cell r="D2574" t="e">
            <v>#VALUE!</v>
          </cell>
          <cell r="E2574" t="e">
            <v>#VALUE!</v>
          </cell>
          <cell r="F2574">
            <v>0</v>
          </cell>
        </row>
        <row r="2575">
          <cell r="A2575" t="str">
            <v>RSPVCWAA</v>
          </cell>
          <cell r="B2575">
            <v>-8.0726152524246029E-4</v>
          </cell>
          <cell r="C2575">
            <v>0</v>
          </cell>
          <cell r="D2575" t="e">
            <v>#VALUE!</v>
          </cell>
          <cell r="E2575" t="e">
            <v>#VALUE!</v>
          </cell>
          <cell r="F2575">
            <v>0</v>
          </cell>
        </row>
        <row r="2576">
          <cell r="A2576" t="str">
            <v>RSPVCZAA</v>
          </cell>
          <cell r="B2576">
            <v>-8.0726152524246029E-4</v>
          </cell>
          <cell r="C2576">
            <v>0</v>
          </cell>
          <cell r="D2576" t="e">
            <v>#VALUE!</v>
          </cell>
          <cell r="E2576" t="e">
            <v>#VALUE!</v>
          </cell>
          <cell r="F2576">
            <v>0</v>
          </cell>
        </row>
        <row r="2577">
          <cell r="A2577" t="str">
            <v>RSPVCFBA</v>
          </cell>
          <cell r="B2577">
            <v>4.1631555867665253E-5</v>
          </cell>
          <cell r="C2577">
            <v>0</v>
          </cell>
          <cell r="D2577" t="e">
            <v>#VALUE!</v>
          </cell>
          <cell r="E2577" t="e">
            <v>#VALUE!</v>
          </cell>
          <cell r="F2577">
            <v>0</v>
          </cell>
        </row>
        <row r="2578">
          <cell r="A2578" t="str">
            <v>RSPVCXBA</v>
          </cell>
          <cell r="B2578">
            <v>4.1631555867665253E-5</v>
          </cell>
          <cell r="C2578">
            <v>0</v>
          </cell>
          <cell r="D2578" t="e">
            <v>#VALUE!</v>
          </cell>
          <cell r="E2578" t="e">
            <v>#VALUE!</v>
          </cell>
          <cell r="F2578">
            <v>0</v>
          </cell>
        </row>
        <row r="2579">
          <cell r="A2579" t="str">
            <v>RSPVCYBA</v>
          </cell>
          <cell r="B2579">
            <v>4.1631555867665253E-5</v>
          </cell>
          <cell r="C2579">
            <v>0</v>
          </cell>
          <cell r="D2579" t="e">
            <v>#VALUE!</v>
          </cell>
          <cell r="E2579" t="e">
            <v>#VALUE!</v>
          </cell>
          <cell r="F2579">
            <v>0</v>
          </cell>
        </row>
        <row r="2580">
          <cell r="A2580" t="str">
            <v>RSPVLCAA</v>
          </cell>
          <cell r="B2580">
            <v>2.2771000284629821E-6</v>
          </cell>
          <cell r="C2580">
            <v>0</v>
          </cell>
          <cell r="D2580" t="e">
            <v>#VALUE!</v>
          </cell>
          <cell r="E2580" t="e">
            <v>#VALUE!</v>
          </cell>
          <cell r="F2580">
            <v>0</v>
          </cell>
        </row>
        <row r="2581">
          <cell r="A2581" t="str">
            <v>RSPVLCBA</v>
          </cell>
          <cell r="B2581">
            <v>-2.8989988357053546E-6</v>
          </cell>
          <cell r="C2581">
            <v>0</v>
          </cell>
          <cell r="D2581" t="e">
            <v>#VALUE!</v>
          </cell>
          <cell r="E2581" t="e">
            <v>#VALUE!</v>
          </cell>
          <cell r="F2581">
            <v>0</v>
          </cell>
        </row>
        <row r="2582">
          <cell r="A2582" t="str">
            <v>RSPVLCTA</v>
          </cell>
          <cell r="B2582">
            <v>2.6901651051035791E-4</v>
          </cell>
          <cell r="C2582">
            <v>0</v>
          </cell>
          <cell r="D2582" t="e">
            <v>#VALUE!</v>
          </cell>
          <cell r="E2582" t="e">
            <v>#VALUE!</v>
          </cell>
          <cell r="F2582">
            <v>0</v>
          </cell>
        </row>
        <row r="2583">
          <cell r="A2583" t="str">
            <v>RSPVDTFA</v>
          </cell>
          <cell r="B2583">
            <v>-1.1059520187251882E-3</v>
          </cell>
          <cell r="C2583">
            <v>0</v>
          </cell>
          <cell r="D2583" t="e">
            <v>#VALUE!</v>
          </cell>
          <cell r="E2583" t="e">
            <v>#VALUE!</v>
          </cell>
          <cell r="F2583">
            <v>0</v>
          </cell>
        </row>
        <row r="2584">
          <cell r="A2584" t="str">
            <v>RSPVRFAA</v>
          </cell>
          <cell r="B2584">
            <v>-2.503902008992218E-5</v>
          </cell>
          <cell r="C2584">
            <v>0</v>
          </cell>
          <cell r="D2584" t="e">
            <v>#VALUE!</v>
          </cell>
          <cell r="E2584" t="e">
            <v>#VALUE!</v>
          </cell>
          <cell r="F2584">
            <v>0</v>
          </cell>
        </row>
        <row r="2585">
          <cell r="A2585" t="str">
            <v>RSPVRFBA</v>
          </cell>
          <cell r="B2585">
            <v>6.3339175260944725E-5</v>
          </cell>
          <cell r="C2585">
            <v>0</v>
          </cell>
          <cell r="D2585" t="e">
            <v>#VALUE!</v>
          </cell>
          <cell r="E2585" t="e">
            <v>#VALUE!</v>
          </cell>
          <cell r="F2585">
            <v>0</v>
          </cell>
        </row>
        <row r="2586">
          <cell r="A2586" t="str">
            <v>RSPVHTLA</v>
          </cell>
          <cell r="B2586">
            <v>9.3291126381388981E-5</v>
          </cell>
          <cell r="C2586">
            <v>0</v>
          </cell>
          <cell r="D2586" t="e">
            <v>#VALUE!</v>
          </cell>
          <cell r="E2586" t="e">
            <v>#VALUE!</v>
          </cell>
          <cell r="F2586">
            <v>0</v>
          </cell>
        </row>
        <row r="2587">
          <cell r="A2587" t="str">
            <v>RSPV12LA</v>
          </cell>
          <cell r="B2587">
            <v>2.2774959626537429E-5</v>
          </cell>
          <cell r="C2587">
            <v>0</v>
          </cell>
          <cell r="D2587" t="e">
            <v>#VALUE!</v>
          </cell>
          <cell r="E2587" t="e">
            <v>#VALUE!</v>
          </cell>
          <cell r="F2587">
            <v>0</v>
          </cell>
        </row>
        <row r="2588">
          <cell r="A2588" t="str">
            <v>RSPVPFRA</v>
          </cell>
          <cell r="B2588">
            <v>-1.4998134080486449E-5</v>
          </cell>
          <cell r="C2588">
            <v>0</v>
          </cell>
          <cell r="D2588" t="e">
            <v>#VALUE!</v>
          </cell>
          <cell r="E2588" t="e">
            <v>#VALUE!</v>
          </cell>
          <cell r="F2588">
            <v>0</v>
          </cell>
        </row>
        <row r="2589">
          <cell r="A2589" t="str">
            <v>RSPVRFHA</v>
          </cell>
          <cell r="B2589">
            <v>-9.4531577454053806E-6</v>
          </cell>
          <cell r="C2589">
            <v>0</v>
          </cell>
          <cell r="D2589" t="e">
            <v>#VALUE!</v>
          </cell>
          <cell r="E2589" t="e">
            <v>#VALUE!</v>
          </cell>
          <cell r="F2589">
            <v>0</v>
          </cell>
        </row>
        <row r="2590">
          <cell r="A2590" t="str">
            <v>RSPVHTPA</v>
          </cell>
          <cell r="B2590">
            <v>-6.9711253326366283E-5</v>
          </cell>
          <cell r="C2590">
            <v>0</v>
          </cell>
          <cell r="D2590" t="e">
            <v>#VALUE!</v>
          </cell>
          <cell r="E2590" t="e">
            <v>#VALUE!</v>
          </cell>
          <cell r="F2590">
            <v>0</v>
          </cell>
        </row>
        <row r="2591">
          <cell r="A2591" t="str">
            <v>RSPVRFFA</v>
          </cell>
          <cell r="B2591">
            <v>9.0462849023935313E-6</v>
          </cell>
          <cell r="C2591">
            <v>0</v>
          </cell>
          <cell r="D2591" t="e">
            <v>#VALUE!</v>
          </cell>
          <cell r="E2591" t="e">
            <v>#VALUE!</v>
          </cell>
          <cell r="F2591">
            <v>0</v>
          </cell>
        </row>
        <row r="2592">
          <cell r="A2592" t="str">
            <v>RSPVDCXA</v>
          </cell>
          <cell r="B2592">
            <v>0</v>
          </cell>
          <cell r="C2592">
            <v>0</v>
          </cell>
          <cell r="D2592" t="e">
            <v>#VALUE!</v>
          </cell>
          <cell r="E2592" t="e">
            <v>#VALUE!</v>
          </cell>
          <cell r="F2592">
            <v>0</v>
          </cell>
        </row>
        <row r="2593">
          <cell r="A2593" t="str">
            <v>RSPVCCKA</v>
          </cell>
          <cell r="B2593">
            <v>-5.9997546328080195E-4</v>
          </cell>
          <cell r="C2593">
            <v>0</v>
          </cell>
          <cell r="D2593" t="e">
            <v>#VALUE!</v>
          </cell>
          <cell r="E2593" t="e">
            <v>#VALUE!</v>
          </cell>
          <cell r="F2593">
            <v>0</v>
          </cell>
        </row>
        <row r="2594">
          <cell r="A2594" t="str">
            <v>RSPVCCCA</v>
          </cell>
          <cell r="B2594">
            <v>-5.9997546328080195E-4</v>
          </cell>
          <cell r="C2594">
            <v>0</v>
          </cell>
          <cell r="D2594" t="e">
            <v>#VALUE!</v>
          </cell>
          <cell r="E2594" t="e">
            <v>#VALUE!</v>
          </cell>
          <cell r="F2594">
            <v>0</v>
          </cell>
        </row>
        <row r="2595">
          <cell r="A2595" t="str">
            <v>RSPVCCQA</v>
          </cell>
          <cell r="B2595">
            <v>-5.9997546328080195E-4</v>
          </cell>
          <cell r="C2595">
            <v>0</v>
          </cell>
          <cell r="D2595" t="e">
            <v>#VALUE!</v>
          </cell>
          <cell r="E2595" t="e">
            <v>#VALUE!</v>
          </cell>
          <cell r="F2595">
            <v>0</v>
          </cell>
        </row>
        <row r="2596">
          <cell r="A2596" t="str">
            <v>RSPVKCKA</v>
          </cell>
          <cell r="B2596">
            <v>1.2342559695180046E-5</v>
          </cell>
          <cell r="C2596">
            <v>0</v>
          </cell>
          <cell r="D2596" t="e">
            <v>#VALUE!</v>
          </cell>
          <cell r="E2596" t="e">
            <v>#VALUE!</v>
          </cell>
          <cell r="F2596">
            <v>0</v>
          </cell>
        </row>
        <row r="2597">
          <cell r="A2597" t="str">
            <v>RSPVKCCA</v>
          </cell>
          <cell r="B2597">
            <v>1.2342559695180046E-5</v>
          </cell>
          <cell r="C2597">
            <v>0</v>
          </cell>
          <cell r="D2597" t="e">
            <v>#VALUE!</v>
          </cell>
          <cell r="E2597" t="e">
            <v>#VALUE!</v>
          </cell>
          <cell r="F2597">
            <v>0</v>
          </cell>
        </row>
        <row r="2598">
          <cell r="A2598" t="str">
            <v>RSPVKCQA</v>
          </cell>
          <cell r="B2598">
            <v>1.2342559695180046E-5</v>
          </cell>
          <cell r="C2598">
            <v>0</v>
          </cell>
          <cell r="D2598" t="e">
            <v>#VALUE!</v>
          </cell>
          <cell r="E2598" t="e">
            <v>#VALUE!</v>
          </cell>
          <cell r="F2598">
            <v>0</v>
          </cell>
        </row>
        <row r="2599">
          <cell r="A2599" t="str">
            <v>RSPVNLPA</v>
          </cell>
          <cell r="B2599">
            <v>2.0561462207633542E-4</v>
          </cell>
          <cell r="C2599">
            <v>0</v>
          </cell>
          <cell r="D2599" t="e">
            <v>#VALUE!</v>
          </cell>
          <cell r="E2599" t="e">
            <v>#VALUE!</v>
          </cell>
          <cell r="F2599">
            <v>0</v>
          </cell>
        </row>
        <row r="2600">
          <cell r="A2600" t="str">
            <v>RSPVM4AA</v>
          </cell>
          <cell r="B2600">
            <v>1.8453627843920091E-5</v>
          </cell>
          <cell r="C2600">
            <v>0</v>
          </cell>
          <cell r="D2600" t="e">
            <v>#VALUE!</v>
          </cell>
          <cell r="E2600" t="e">
            <v>#VALUE!</v>
          </cell>
          <cell r="F2600">
            <v>0</v>
          </cell>
        </row>
        <row r="2601">
          <cell r="A2601" t="str">
            <v>RSPVM4BA</v>
          </cell>
          <cell r="B2601">
            <v>0</v>
          </cell>
          <cell r="C2601">
            <v>0</v>
          </cell>
          <cell r="D2601" t="e">
            <v>#VALUE!</v>
          </cell>
          <cell r="E2601" t="e">
            <v>#VALUE!</v>
          </cell>
          <cell r="F2601">
            <v>0</v>
          </cell>
        </row>
        <row r="2602">
          <cell r="A2602" t="str">
            <v>RSPVT14A</v>
          </cell>
          <cell r="B2602">
            <v>-2.1370615202563574E-4</v>
          </cell>
          <cell r="C2602">
            <v>0</v>
          </cell>
          <cell r="D2602" t="e">
            <v>#VALUE!</v>
          </cell>
          <cell r="E2602" t="e">
            <v>#VALUE!</v>
          </cell>
          <cell r="F2602">
            <v>0</v>
          </cell>
        </row>
        <row r="2603">
          <cell r="A2603" t="str">
            <v>RSPVNCAA</v>
          </cell>
          <cell r="B2603">
            <v>-2.1021537451491746E-4</v>
          </cell>
          <cell r="C2603">
            <v>0</v>
          </cell>
          <cell r="D2603" t="e">
            <v>#VALUE!</v>
          </cell>
          <cell r="E2603" t="e">
            <v>#VALUE!</v>
          </cell>
          <cell r="F2603">
            <v>0</v>
          </cell>
        </row>
        <row r="2604">
          <cell r="A2604" t="str">
            <v>RSPVFOIA</v>
          </cell>
          <cell r="B2604">
            <v>-1.574051937196812E-5</v>
          </cell>
          <cell r="C2604">
            <v>0</v>
          </cell>
          <cell r="D2604" t="e">
            <v>#VALUE!</v>
          </cell>
          <cell r="E2604" t="e">
            <v>#VALUE!</v>
          </cell>
          <cell r="F2604">
            <v>0</v>
          </cell>
        </row>
        <row r="2605">
          <cell r="A2605" t="str">
            <v>RSPVFDOA</v>
          </cell>
          <cell r="B2605">
            <v>2.5712386590360077E-4</v>
          </cell>
          <cell r="C2605">
            <v>0</v>
          </cell>
          <cell r="D2605" t="e">
            <v>#VALUE!</v>
          </cell>
          <cell r="E2605" t="e">
            <v>#VALUE!</v>
          </cell>
          <cell r="F2605">
            <v>0</v>
          </cell>
        </row>
        <row r="2606">
          <cell r="A2606" t="str">
            <v>RSPVFHTA</v>
          </cell>
          <cell r="B2606">
            <v>8.1705167125719152E-5</v>
          </cell>
          <cell r="C2606">
            <v>0</v>
          </cell>
          <cell r="D2606" t="e">
            <v>#VALUE!</v>
          </cell>
          <cell r="E2606" t="e">
            <v>#VALUE!</v>
          </cell>
          <cell r="F2606">
            <v>0</v>
          </cell>
        </row>
        <row r="2607">
          <cell r="A2607" t="str">
            <v>RSPVNPCA</v>
          </cell>
          <cell r="B2607">
            <v>1.0178929741950052E-7</v>
          </cell>
          <cell r="C2607">
            <v>0</v>
          </cell>
          <cell r="D2607" t="e">
            <v>#VALUE!</v>
          </cell>
          <cell r="E2607" t="e">
            <v>#VALUE!</v>
          </cell>
          <cell r="F2607">
            <v>0</v>
          </cell>
        </row>
        <row r="2608">
          <cell r="A2608" t="str">
            <v>RSPVNPPA</v>
          </cell>
          <cell r="B2608">
            <v>1.0178929741950052E-7</v>
          </cell>
          <cell r="C2608">
            <v>0</v>
          </cell>
          <cell r="D2608" t="e">
            <v>#VALUE!</v>
          </cell>
          <cell r="E2608" t="e">
            <v>#VALUE!</v>
          </cell>
          <cell r="F2608">
            <v>0</v>
          </cell>
        </row>
        <row r="2609">
          <cell r="A2609" t="str">
            <v>RSPVBNPA</v>
          </cell>
          <cell r="B2609">
            <v>-2.7847349183004601E-7</v>
          </cell>
          <cell r="C2609">
            <v>0</v>
          </cell>
          <cell r="D2609" t="e">
            <v>#VALUE!</v>
          </cell>
          <cell r="E2609" t="e">
            <v>#VALUE!</v>
          </cell>
          <cell r="F2609">
            <v>0</v>
          </cell>
        </row>
        <row r="2610">
          <cell r="A2610" t="str">
            <v>RSPVPBNA</v>
          </cell>
          <cell r="B2610">
            <v>1.0541695377319789E-7</v>
          </cell>
          <cell r="C2610">
            <v>0</v>
          </cell>
          <cell r="D2610" t="e">
            <v>#VALUE!</v>
          </cell>
          <cell r="E2610" t="e">
            <v>#VALUE!</v>
          </cell>
          <cell r="F2610">
            <v>0</v>
          </cell>
        </row>
        <row r="2611">
          <cell r="A2611" t="str">
            <v>RSPVPPTA</v>
          </cell>
          <cell r="B2611">
            <v>1.3045691451549069E-4</v>
          </cell>
          <cell r="C2611">
            <v>0</v>
          </cell>
          <cell r="D2611" t="e">
            <v>#VALUE!</v>
          </cell>
          <cell r="E2611" t="e">
            <v>#VALUE!</v>
          </cell>
          <cell r="F2611">
            <v>0</v>
          </cell>
        </row>
        <row r="2612">
          <cell r="A2612" t="str">
            <v>RSPVSPXA</v>
          </cell>
          <cell r="B2612">
            <v>1.1190645777850016E-4</v>
          </cell>
          <cell r="C2612">
            <v>0</v>
          </cell>
          <cell r="D2612" t="e">
            <v>#VALUE!</v>
          </cell>
          <cell r="E2612" t="e">
            <v>#VALUE!</v>
          </cell>
          <cell r="F2612">
            <v>0</v>
          </cell>
        </row>
        <row r="2613">
          <cell r="A2613" t="str">
            <v>RSPVLCXA</v>
          </cell>
          <cell r="B2613">
            <v>2.7974000523711651E-4</v>
          </cell>
          <cell r="C2613">
            <v>0</v>
          </cell>
          <cell r="D2613" t="e">
            <v>#VALUE!</v>
          </cell>
          <cell r="E2613" t="e">
            <v>#VALUE!</v>
          </cell>
          <cell r="F2613">
            <v>0</v>
          </cell>
        </row>
        <row r="2614">
          <cell r="A2614" t="str">
            <v>RSPVLCIA</v>
          </cell>
          <cell r="B2614">
            <v>2.7974000523711651E-4</v>
          </cell>
          <cell r="C2614">
            <v>0</v>
          </cell>
          <cell r="D2614" t="e">
            <v>#VALUE!</v>
          </cell>
          <cell r="E2614" t="e">
            <v>#VALUE!</v>
          </cell>
          <cell r="F2614">
            <v>0</v>
          </cell>
        </row>
        <row r="2615">
          <cell r="A2615" t="str">
            <v>RSPVLCJA</v>
          </cell>
          <cell r="B2615">
            <v>2.7974000523711651E-4</v>
          </cell>
          <cell r="C2615">
            <v>0</v>
          </cell>
          <cell r="D2615" t="e">
            <v>#VALUE!</v>
          </cell>
          <cell r="E2615" t="e">
            <v>#VALUE!</v>
          </cell>
          <cell r="F2615">
            <v>0</v>
          </cell>
        </row>
        <row r="2616">
          <cell r="A2616" t="str">
            <v>RSPVLCKA</v>
          </cell>
          <cell r="B2616">
            <v>2.7974000523711651E-4</v>
          </cell>
          <cell r="C2616">
            <v>0</v>
          </cell>
          <cell r="D2616" t="e">
            <v>#VALUE!</v>
          </cell>
          <cell r="E2616" t="e">
            <v>#VALUE!</v>
          </cell>
          <cell r="F2616">
            <v>0</v>
          </cell>
        </row>
        <row r="2617">
          <cell r="A2617" t="str">
            <v>RSPVRCJA</v>
          </cell>
          <cell r="B2617">
            <v>2.7974000523711651E-4</v>
          </cell>
          <cell r="C2617">
            <v>0</v>
          </cell>
          <cell r="D2617" t="e">
            <v>#VALUE!</v>
          </cell>
          <cell r="E2617" t="e">
            <v>#VALUE!</v>
          </cell>
          <cell r="F2617">
            <v>0</v>
          </cell>
        </row>
        <row r="2618">
          <cell r="A2618" t="str">
            <v>RSPVRCKA</v>
          </cell>
          <cell r="B2618">
            <v>2.7974000523711651E-4</v>
          </cell>
          <cell r="C2618">
            <v>0</v>
          </cell>
          <cell r="D2618" t="e">
            <v>#VALUE!</v>
          </cell>
          <cell r="E2618" t="e">
            <v>#VALUE!</v>
          </cell>
          <cell r="F2618">
            <v>0</v>
          </cell>
        </row>
        <row r="2619">
          <cell r="A2619" t="str">
            <v>RSPVLCZA</v>
          </cell>
          <cell r="B2619">
            <v>-6.9106164649894385E-5</v>
          </cell>
          <cell r="C2619">
            <v>0</v>
          </cell>
          <cell r="D2619" t="e">
            <v>#VALUE!</v>
          </cell>
          <cell r="E2619" t="e">
            <v>#VALUE!</v>
          </cell>
          <cell r="F2619">
            <v>0</v>
          </cell>
        </row>
        <row r="2620">
          <cell r="A2620" t="str">
            <v>RSPVLCDA</v>
          </cell>
          <cell r="B2620">
            <v>-2.630323812697236E-4</v>
          </cell>
          <cell r="C2620">
            <v>0</v>
          </cell>
          <cell r="D2620" t="e">
            <v>#VALUE!</v>
          </cell>
          <cell r="E2620" t="e">
            <v>#VALUE!</v>
          </cell>
          <cell r="F2620">
            <v>0</v>
          </cell>
        </row>
        <row r="2621">
          <cell r="A2621" t="str">
            <v>RSULPN1A</v>
          </cell>
          <cell r="B2621">
            <v>2.9826678104759781E-5</v>
          </cell>
          <cell r="C2621">
            <v>0</v>
          </cell>
          <cell r="D2621" t="e">
            <v>#VALUE!</v>
          </cell>
          <cell r="E2621" t="e">
            <v>#VALUE!</v>
          </cell>
          <cell r="F2621">
            <v>0</v>
          </cell>
        </row>
        <row r="2622">
          <cell r="A2622" t="str">
            <v>RSULPN2A</v>
          </cell>
          <cell r="B2622">
            <v>0</v>
          </cell>
          <cell r="C2622">
            <v>0</v>
          </cell>
          <cell r="D2622" t="e">
            <v>#VALUE!</v>
          </cell>
          <cell r="E2622" t="e">
            <v>#VALUE!</v>
          </cell>
          <cell r="F2622">
            <v>0</v>
          </cell>
        </row>
        <row r="2623">
          <cell r="A2623" t="str">
            <v>RSULPN3A</v>
          </cell>
          <cell r="B2623">
            <v>-4.0891446924309103E-5</v>
          </cell>
          <cell r="C2623">
            <v>0</v>
          </cell>
          <cell r="D2623" t="e">
            <v>#VALUE!</v>
          </cell>
          <cell r="E2623" t="e">
            <v>#VALUE!</v>
          </cell>
          <cell r="F2623">
            <v>0</v>
          </cell>
        </row>
        <row r="2624">
          <cell r="A2624" t="str">
            <v>RSULPN4A</v>
          </cell>
          <cell r="B2624">
            <v>2.2270374999968463E-4</v>
          </cell>
          <cell r="C2624">
            <v>0</v>
          </cell>
          <cell r="D2624" t="e">
            <v>#VALUE!</v>
          </cell>
          <cell r="E2624" t="e">
            <v>#VALUE!</v>
          </cell>
          <cell r="F2624">
            <v>0</v>
          </cell>
        </row>
        <row r="2625">
          <cell r="A2625" t="str">
            <v>RSULSK1A</v>
          </cell>
          <cell r="B2625">
            <v>-8.0109820660316926E-6</v>
          </cell>
          <cell r="C2625">
            <v>0</v>
          </cell>
          <cell r="D2625" t="e">
            <v>#VALUE!</v>
          </cell>
          <cell r="E2625" t="e">
            <v>#VALUE!</v>
          </cell>
          <cell r="F2625">
            <v>0</v>
          </cell>
        </row>
        <row r="2626">
          <cell r="A2626" t="str">
            <v>RSULSK2A</v>
          </cell>
          <cell r="B2626">
            <v>0</v>
          </cell>
          <cell r="C2626">
            <v>0</v>
          </cell>
          <cell r="D2626" t="e">
            <v>#VALUE!</v>
          </cell>
          <cell r="E2626" t="e">
            <v>#VALUE!</v>
          </cell>
          <cell r="F2626">
            <v>0</v>
          </cell>
        </row>
        <row r="2627">
          <cell r="A2627" t="str">
            <v>RSULSK3A</v>
          </cell>
          <cell r="B2627">
            <v>0</v>
          </cell>
          <cell r="C2627">
            <v>0</v>
          </cell>
          <cell r="D2627" t="e">
            <v>#VALUE!</v>
          </cell>
          <cell r="E2627" t="e">
            <v>#VALUE!</v>
          </cell>
          <cell r="F2627">
            <v>0</v>
          </cell>
        </row>
        <row r="2628">
          <cell r="A2628" t="str">
            <v>RSULSK5A</v>
          </cell>
          <cell r="B2628">
            <v>0</v>
          </cell>
          <cell r="C2628">
            <v>0</v>
          </cell>
          <cell r="D2628" t="e">
            <v>#VALUE!</v>
          </cell>
          <cell r="E2628" t="e">
            <v>#VALUE!</v>
          </cell>
          <cell r="F2628">
            <v>0</v>
          </cell>
        </row>
        <row r="2629">
          <cell r="A2629" t="str">
            <v>RSULSK6A</v>
          </cell>
          <cell r="B2629">
            <v>-1.0879698546183014E-9</v>
          </cell>
          <cell r="C2629">
            <v>0</v>
          </cell>
          <cell r="D2629" t="e">
            <v>#VALUE!</v>
          </cell>
          <cell r="E2629" t="e">
            <v>#VALUE!</v>
          </cell>
          <cell r="F2629">
            <v>0</v>
          </cell>
        </row>
        <row r="2630">
          <cell r="A2630" t="str">
            <v>RSULSK7A</v>
          </cell>
          <cell r="B2630">
            <v>0</v>
          </cell>
          <cell r="C2630">
            <v>0</v>
          </cell>
          <cell r="D2630" t="e">
            <v>#VALUE!</v>
          </cell>
          <cell r="E2630" t="e">
            <v>#VALUE!</v>
          </cell>
          <cell r="F2630">
            <v>0</v>
          </cell>
        </row>
        <row r="2631">
          <cell r="A2631" t="str">
            <v>RSULLK2A</v>
          </cell>
          <cell r="B2631">
            <v>0</v>
          </cell>
          <cell r="C2631">
            <v>0</v>
          </cell>
          <cell r="D2631" t="e">
            <v>#VALUE!</v>
          </cell>
          <cell r="E2631" t="e">
            <v>#VALUE!</v>
          </cell>
          <cell r="F2631">
            <v>0</v>
          </cell>
        </row>
        <row r="2632">
          <cell r="A2632" t="str">
            <v>RSULLK1A</v>
          </cell>
          <cell r="B2632">
            <v>-1.298222113827288E-5</v>
          </cell>
          <cell r="C2632">
            <v>0</v>
          </cell>
          <cell r="D2632" t="e">
            <v>#VALUE!</v>
          </cell>
          <cell r="E2632" t="e">
            <v>#VALUE!</v>
          </cell>
          <cell r="F2632">
            <v>0</v>
          </cell>
        </row>
        <row r="2633">
          <cell r="A2633" t="str">
            <v>RSULJPIA</v>
          </cell>
          <cell r="B2633">
            <v>5.816535575495561E-6</v>
          </cell>
          <cell r="C2633">
            <v>0</v>
          </cell>
          <cell r="D2633" t="e">
            <v>#VALUE!</v>
          </cell>
          <cell r="E2633" t="e">
            <v>#VALUE!</v>
          </cell>
          <cell r="F2633">
            <v>0</v>
          </cell>
        </row>
        <row r="2634">
          <cell r="A2634" t="str">
            <v>RSULJETA</v>
          </cell>
          <cell r="B2634">
            <v>3.6455365671291435E-4</v>
          </cell>
          <cell r="C2634">
            <v>0</v>
          </cell>
          <cell r="D2634" t="e">
            <v>#VALUE!</v>
          </cell>
          <cell r="E2634" t="e">
            <v>#VALUE!</v>
          </cell>
          <cell r="F2634">
            <v>0</v>
          </cell>
        </row>
        <row r="2635">
          <cell r="A2635" t="str">
            <v>RSULLK3A</v>
          </cell>
          <cell r="B2635">
            <v>-2.4395778325501165E-4</v>
          </cell>
          <cell r="C2635">
            <v>0</v>
          </cell>
          <cell r="D2635" t="e">
            <v>#VALUE!</v>
          </cell>
          <cell r="E2635" t="e">
            <v>#VALUE!</v>
          </cell>
          <cell r="F2635">
            <v>0</v>
          </cell>
        </row>
        <row r="2636">
          <cell r="A2636" t="str">
            <v>RSULLK4A</v>
          </cell>
          <cell r="B2636">
            <v>8.5438998626897244E-5</v>
          </cell>
          <cell r="C2636">
            <v>0</v>
          </cell>
          <cell r="D2636" t="e">
            <v>#VALUE!</v>
          </cell>
          <cell r="E2636" t="e">
            <v>#VALUE!</v>
          </cell>
          <cell r="F2636">
            <v>0</v>
          </cell>
        </row>
        <row r="2637">
          <cell r="A2637" t="str">
            <v>RSULSG3A</v>
          </cell>
          <cell r="B2637">
            <v>0</v>
          </cell>
          <cell r="C2637">
            <v>0</v>
          </cell>
          <cell r="D2637" t="e">
            <v>#VALUE!</v>
          </cell>
          <cell r="E2637" t="e">
            <v>#VALUE!</v>
          </cell>
          <cell r="F2637">
            <v>0</v>
          </cell>
        </row>
        <row r="2638">
          <cell r="A2638" t="str">
            <v>RSULSG4A</v>
          </cell>
          <cell r="B2638">
            <v>1.6218784419566401E-5</v>
          </cell>
          <cell r="C2638">
            <v>0</v>
          </cell>
          <cell r="D2638" t="e">
            <v>#VALUE!</v>
          </cell>
          <cell r="E2638" t="e">
            <v>#VALUE!</v>
          </cell>
          <cell r="F2638">
            <v>0</v>
          </cell>
        </row>
        <row r="2639">
          <cell r="A2639" t="str">
            <v>RSULSG5A</v>
          </cell>
          <cell r="B2639">
            <v>0</v>
          </cell>
          <cell r="C2639">
            <v>0</v>
          </cell>
          <cell r="D2639" t="e">
            <v>#VALUE!</v>
          </cell>
          <cell r="E2639" t="e">
            <v>#VALUE!</v>
          </cell>
          <cell r="F2639">
            <v>0</v>
          </cell>
        </row>
        <row r="2640">
          <cell r="A2640" t="str">
            <v>RSULSG6A</v>
          </cell>
          <cell r="B2640">
            <v>-1.0339978276336652E-8</v>
          </cell>
          <cell r="C2640">
            <v>0</v>
          </cell>
          <cell r="D2640" t="e">
            <v>#VALUE!</v>
          </cell>
          <cell r="E2640" t="e">
            <v>#VALUE!</v>
          </cell>
          <cell r="F2640">
            <v>0</v>
          </cell>
        </row>
        <row r="2641">
          <cell r="A2641" t="str">
            <v>RSULSG7A</v>
          </cell>
          <cell r="B2641">
            <v>0</v>
          </cell>
          <cell r="C2641">
            <v>0</v>
          </cell>
          <cell r="D2641" t="e">
            <v>#VALUE!</v>
          </cell>
          <cell r="E2641" t="e">
            <v>#VALUE!</v>
          </cell>
          <cell r="F2641">
            <v>0</v>
          </cell>
        </row>
        <row r="2642">
          <cell r="A2642" t="str">
            <v>RSULLKFA</v>
          </cell>
          <cell r="B2642">
            <v>3.0017232553066994E-4</v>
          </cell>
          <cell r="C2642">
            <v>0</v>
          </cell>
          <cell r="D2642" t="e">
            <v>#VALUE!</v>
          </cell>
          <cell r="E2642" t="e">
            <v>#VALUE!</v>
          </cell>
          <cell r="F2642">
            <v>0</v>
          </cell>
        </row>
        <row r="2643">
          <cell r="A2643" t="str">
            <v>RSULLFKA</v>
          </cell>
          <cell r="B2643">
            <v>3.0019805937676934E-4</v>
          </cell>
          <cell r="C2643">
            <v>0</v>
          </cell>
          <cell r="D2643" t="e">
            <v>#VALUE!</v>
          </cell>
          <cell r="E2643" t="e">
            <v>#VALUE!</v>
          </cell>
          <cell r="F2643">
            <v>0</v>
          </cell>
        </row>
        <row r="2644">
          <cell r="A2644" t="str">
            <v>RSULLG1A</v>
          </cell>
          <cell r="B2644">
            <v>-1.4655608368865279E-4</v>
          </cell>
          <cell r="C2644">
            <v>0</v>
          </cell>
          <cell r="D2644" t="e">
            <v>#VALUE!</v>
          </cell>
          <cell r="E2644" t="e">
            <v>#VALUE!</v>
          </cell>
          <cell r="F2644">
            <v>0</v>
          </cell>
        </row>
        <row r="2645">
          <cell r="A2645" t="str">
            <v>RSULLG2A</v>
          </cell>
          <cell r="B2645">
            <v>4.5246658943416489E-4</v>
          </cell>
          <cell r="C2645">
            <v>0</v>
          </cell>
          <cell r="D2645" t="e">
            <v>#VALUE!</v>
          </cell>
          <cell r="E2645" t="e">
            <v>#VALUE!</v>
          </cell>
          <cell r="F2645">
            <v>0</v>
          </cell>
        </row>
        <row r="2646">
          <cell r="A2646" t="str">
            <v>RSULLG3A</v>
          </cell>
          <cell r="B2646">
            <v>2.6587173001395086E-7</v>
          </cell>
          <cell r="C2646">
            <v>0</v>
          </cell>
          <cell r="D2646" t="e">
            <v>#VALUE!</v>
          </cell>
          <cell r="E2646" t="e">
            <v>#VALUE!</v>
          </cell>
          <cell r="F2646">
            <v>0</v>
          </cell>
        </row>
        <row r="2647">
          <cell r="A2647" t="str">
            <v>RSULGS1A</v>
          </cell>
          <cell r="B2647">
            <v>8.9252602838439082E-6</v>
          </cell>
          <cell r="C2647">
            <v>0</v>
          </cell>
          <cell r="D2647" t="e">
            <v>#VALUE!</v>
          </cell>
          <cell r="E2647" t="e">
            <v>#VALUE!</v>
          </cell>
          <cell r="F2647">
            <v>0</v>
          </cell>
        </row>
        <row r="2648">
          <cell r="A2648" t="str">
            <v>RSULGS2A</v>
          </cell>
          <cell r="B2648">
            <v>0</v>
          </cell>
          <cell r="C2648">
            <v>0</v>
          </cell>
          <cell r="D2648" t="e">
            <v>#VALUE!</v>
          </cell>
          <cell r="E2648" t="e">
            <v>#VALUE!</v>
          </cell>
          <cell r="F2648">
            <v>0</v>
          </cell>
        </row>
        <row r="2649">
          <cell r="A2649" t="str">
            <v>RSULGS3A</v>
          </cell>
          <cell r="B2649">
            <v>0</v>
          </cell>
          <cell r="C2649">
            <v>0</v>
          </cell>
          <cell r="D2649" t="e">
            <v>#VALUE!</v>
          </cell>
          <cell r="E2649" t="e">
            <v>#VALUE!</v>
          </cell>
          <cell r="F2649">
            <v>0</v>
          </cell>
        </row>
        <row r="2650">
          <cell r="A2650" t="str">
            <v>RSULGS4A</v>
          </cell>
          <cell r="B2650">
            <v>-1.1255189382522175E-4</v>
          </cell>
          <cell r="C2650">
            <v>0</v>
          </cell>
          <cell r="D2650" t="e">
            <v>#VALUE!</v>
          </cell>
          <cell r="E2650" t="e">
            <v>#VALUE!</v>
          </cell>
          <cell r="F2650">
            <v>0</v>
          </cell>
        </row>
        <row r="2651">
          <cell r="A2651" t="str">
            <v>RSULGS5A</v>
          </cell>
          <cell r="B2651">
            <v>0</v>
          </cell>
          <cell r="C2651">
            <v>0</v>
          </cell>
          <cell r="D2651" t="e">
            <v>#VALUE!</v>
          </cell>
          <cell r="E2651" t="e">
            <v>#VALUE!</v>
          </cell>
          <cell r="F2651">
            <v>0</v>
          </cell>
        </row>
        <row r="2652">
          <cell r="A2652" t="str">
            <v>RSULGS6A</v>
          </cell>
          <cell r="B2652">
            <v>-9.4205159107308933E-9</v>
          </cell>
          <cell r="C2652">
            <v>0</v>
          </cell>
          <cell r="D2652" t="e">
            <v>#VALUE!</v>
          </cell>
          <cell r="E2652" t="e">
            <v>#VALUE!</v>
          </cell>
          <cell r="F2652">
            <v>0</v>
          </cell>
        </row>
        <row r="2653">
          <cell r="A2653" t="str">
            <v>RSULGS7A</v>
          </cell>
          <cell r="B2653">
            <v>0</v>
          </cell>
          <cell r="C2653">
            <v>0</v>
          </cell>
          <cell r="D2653" t="e">
            <v>#VALUE!</v>
          </cell>
          <cell r="E2653" t="e">
            <v>#VALUE!</v>
          </cell>
          <cell r="F2653">
            <v>0</v>
          </cell>
        </row>
        <row r="2654">
          <cell r="A2654" t="str">
            <v>RSULG11A</v>
          </cell>
          <cell r="B2654">
            <v>-1.159891569941091E-4</v>
          </cell>
          <cell r="C2654">
            <v>0</v>
          </cell>
          <cell r="D2654" t="e">
            <v>#VALUE!</v>
          </cell>
          <cell r="E2654" t="e">
            <v>#VALUE!</v>
          </cell>
          <cell r="F2654">
            <v>0</v>
          </cell>
        </row>
        <row r="2655">
          <cell r="A2655" t="str">
            <v>RSULPG1A</v>
          </cell>
          <cell r="B2655">
            <v>-3.3398497423261951E-5</v>
          </cell>
          <cell r="C2655">
            <v>0</v>
          </cell>
          <cell r="D2655" t="e">
            <v>#VALUE!</v>
          </cell>
          <cell r="E2655" t="e">
            <v>#VALUE!</v>
          </cell>
          <cell r="F2655">
            <v>0</v>
          </cell>
        </row>
        <row r="2656">
          <cell r="A2656" t="str">
            <v>RSULPG2A</v>
          </cell>
          <cell r="B2656">
            <v>-8.8994689564723967E-8</v>
          </cell>
          <cell r="C2656">
            <v>0</v>
          </cell>
          <cell r="D2656" t="e">
            <v>#VALUE!</v>
          </cell>
          <cell r="E2656" t="e">
            <v>#VALUE!</v>
          </cell>
          <cell r="F2656">
            <v>0</v>
          </cell>
        </row>
        <row r="2657">
          <cell r="A2657" t="str">
            <v>RSULAR1A</v>
          </cell>
          <cell r="B2657">
            <v>-1.7175607085036598E-4</v>
          </cell>
          <cell r="C2657">
            <v>0</v>
          </cell>
          <cell r="D2657" t="e">
            <v>#VALUE!</v>
          </cell>
          <cell r="E2657" t="e">
            <v>#VALUE!</v>
          </cell>
          <cell r="F2657">
            <v>0</v>
          </cell>
        </row>
        <row r="2658">
          <cell r="A2658" t="str">
            <v>RSULAR2A</v>
          </cell>
          <cell r="B2658">
            <v>2.7387458779741468E-7</v>
          </cell>
          <cell r="C2658">
            <v>0</v>
          </cell>
          <cell r="D2658" t="e">
            <v>#VALUE!</v>
          </cell>
          <cell r="E2658" t="e">
            <v>#VALUE!</v>
          </cell>
          <cell r="F2658">
            <v>0</v>
          </cell>
        </row>
        <row r="2659">
          <cell r="A2659" t="str">
            <v>RSULAR3A</v>
          </cell>
          <cell r="B2659">
            <v>0</v>
          </cell>
          <cell r="C2659">
            <v>0</v>
          </cell>
          <cell r="D2659" t="e">
            <v>#VALUE!</v>
          </cell>
          <cell r="E2659" t="e">
            <v>#VALUE!</v>
          </cell>
          <cell r="F2659">
            <v>0</v>
          </cell>
        </row>
        <row r="2660">
          <cell r="A2660" t="str">
            <v>RSULAR4A</v>
          </cell>
          <cell r="B2660">
            <v>-1.8634623509818969E-3</v>
          </cell>
          <cell r="C2660">
            <v>0</v>
          </cell>
          <cell r="D2660" t="e">
            <v>#VALUE!</v>
          </cell>
          <cell r="E2660" t="e">
            <v>#VALUE!</v>
          </cell>
          <cell r="F2660">
            <v>0</v>
          </cell>
        </row>
        <row r="2661">
          <cell r="A2661" t="str">
            <v>RSULAR5A</v>
          </cell>
          <cell r="B2661">
            <v>0</v>
          </cell>
          <cell r="C2661">
            <v>0</v>
          </cell>
          <cell r="D2661" t="e">
            <v>#VALUE!</v>
          </cell>
          <cell r="E2661" t="e">
            <v>#VALUE!</v>
          </cell>
          <cell r="F2661">
            <v>0</v>
          </cell>
        </row>
        <row r="2662">
          <cell r="A2662" t="str">
            <v>RSULAR6A</v>
          </cell>
          <cell r="B2662">
            <v>-1.5747645229529368E-8</v>
          </cell>
          <cell r="C2662">
            <v>0</v>
          </cell>
          <cell r="D2662" t="e">
            <v>#VALUE!</v>
          </cell>
          <cell r="E2662" t="e">
            <v>#VALUE!</v>
          </cell>
          <cell r="F2662">
            <v>0</v>
          </cell>
        </row>
        <row r="2663">
          <cell r="A2663" t="str">
            <v>RSULAR7A</v>
          </cell>
          <cell r="B2663">
            <v>5.5125975101362521E-6</v>
          </cell>
          <cell r="C2663">
            <v>0</v>
          </cell>
          <cell r="D2663" t="e">
            <v>#VALUE!</v>
          </cell>
          <cell r="E2663" t="e">
            <v>#VALUE!</v>
          </cell>
          <cell r="F2663">
            <v>0</v>
          </cell>
        </row>
        <row r="2664">
          <cell r="A2664" t="str">
            <v>RSULLVBA</v>
          </cell>
          <cell r="B2664">
            <v>-7.8685979426079773E-6</v>
          </cell>
          <cell r="C2664">
            <v>0</v>
          </cell>
          <cell r="D2664" t="e">
            <v>#VALUE!</v>
          </cell>
          <cell r="E2664" t="e">
            <v>#VALUE!</v>
          </cell>
          <cell r="F2664">
            <v>0</v>
          </cell>
        </row>
        <row r="2665">
          <cell r="A2665" t="str">
            <v>RSULLV1A</v>
          </cell>
          <cell r="B2665">
            <v>5.285672921996742E-5</v>
          </cell>
          <cell r="C2665">
            <v>0</v>
          </cell>
          <cell r="D2665" t="e">
            <v>#VALUE!</v>
          </cell>
          <cell r="E2665" t="e">
            <v>#VALUE!</v>
          </cell>
          <cell r="F2665">
            <v>0</v>
          </cell>
        </row>
        <row r="2666">
          <cell r="A2666" t="str">
            <v>RSULLV2A</v>
          </cell>
          <cell r="B2666">
            <v>0</v>
          </cell>
          <cell r="C2666">
            <v>0</v>
          </cell>
          <cell r="D2666" t="e">
            <v>#VALUE!</v>
          </cell>
          <cell r="E2666" t="e">
            <v>#VALUE!</v>
          </cell>
          <cell r="F2666">
            <v>0</v>
          </cell>
        </row>
        <row r="2667">
          <cell r="A2667" t="str">
            <v>RSULLV3A</v>
          </cell>
          <cell r="B2667">
            <v>0</v>
          </cell>
          <cell r="C2667">
            <v>0</v>
          </cell>
          <cell r="D2667" t="e">
            <v>#VALUE!</v>
          </cell>
          <cell r="E2667" t="e">
            <v>#VALUE!</v>
          </cell>
          <cell r="F2667">
            <v>0</v>
          </cell>
        </row>
        <row r="2668">
          <cell r="A2668" t="str">
            <v>RSULLV4A</v>
          </cell>
          <cell r="B2668">
            <v>1.7632448942917208E-4</v>
          </cell>
          <cell r="C2668">
            <v>0</v>
          </cell>
          <cell r="D2668" t="e">
            <v>#VALUE!</v>
          </cell>
          <cell r="E2668" t="e">
            <v>#VALUE!</v>
          </cell>
          <cell r="F2668">
            <v>0</v>
          </cell>
        </row>
        <row r="2669">
          <cell r="A2669" t="str">
            <v>RSULLV5A</v>
          </cell>
          <cell r="B2669">
            <v>0</v>
          </cell>
          <cell r="C2669">
            <v>0</v>
          </cell>
          <cell r="D2669" t="e">
            <v>#VALUE!</v>
          </cell>
          <cell r="E2669" t="e">
            <v>#VALUE!</v>
          </cell>
          <cell r="F2669">
            <v>0</v>
          </cell>
        </row>
        <row r="2670">
          <cell r="A2670" t="str">
            <v>RSULLV6A</v>
          </cell>
          <cell r="B2670">
            <v>-3.1941920314836836E-7</v>
          </cell>
          <cell r="C2670">
            <v>0</v>
          </cell>
          <cell r="D2670" t="e">
            <v>#VALUE!</v>
          </cell>
          <cell r="E2670" t="e">
            <v>#VALUE!</v>
          </cell>
          <cell r="F2670">
            <v>0</v>
          </cell>
        </row>
        <row r="2671">
          <cell r="A2671" t="str">
            <v>RSULLV7A</v>
          </cell>
          <cell r="B2671">
            <v>0</v>
          </cell>
          <cell r="C2671">
            <v>0</v>
          </cell>
          <cell r="D2671" t="e">
            <v>#VALUE!</v>
          </cell>
          <cell r="E2671" t="e">
            <v>#VALUE!</v>
          </cell>
          <cell r="F2671">
            <v>0</v>
          </cell>
        </row>
        <row r="2672">
          <cell r="A2672" t="str">
            <v>RSULPVBA</v>
          </cell>
          <cell r="B2672">
            <v>2.627577953929064E-4</v>
          </cell>
          <cell r="C2672">
            <v>0</v>
          </cell>
          <cell r="D2672" t="e">
            <v>#VALUE!</v>
          </cell>
          <cell r="E2672" t="e">
            <v>#VALUE!</v>
          </cell>
          <cell r="F2672">
            <v>0</v>
          </cell>
        </row>
        <row r="2673">
          <cell r="A2673" t="str">
            <v>RSULDVLA</v>
          </cell>
          <cell r="B2673">
            <v>-5.7480846710858842E-10</v>
          </cell>
          <cell r="C2673">
            <v>0</v>
          </cell>
          <cell r="D2673" t="e">
            <v>#VALUE!</v>
          </cell>
          <cell r="E2673" t="e">
            <v>#VALUE!</v>
          </cell>
          <cell r="F2673">
            <v>0</v>
          </cell>
        </row>
        <row r="2674">
          <cell r="A2674" t="str">
            <v>RSULPV1A</v>
          </cell>
          <cell r="B2674">
            <v>-8.1872870687407587E-6</v>
          </cell>
          <cell r="C2674">
            <v>0</v>
          </cell>
          <cell r="D2674" t="e">
            <v>#VALUE!</v>
          </cell>
          <cell r="E2674" t="e">
            <v>#VALUE!</v>
          </cell>
          <cell r="F2674">
            <v>0</v>
          </cell>
        </row>
        <row r="2675">
          <cell r="A2675" t="str">
            <v>RSULPV2A</v>
          </cell>
          <cell r="B2675">
            <v>0</v>
          </cell>
          <cell r="C2675">
            <v>0</v>
          </cell>
          <cell r="D2675" t="e">
            <v>#VALUE!</v>
          </cell>
          <cell r="E2675" t="e">
            <v>#VALUE!</v>
          </cell>
          <cell r="F2675">
            <v>0</v>
          </cell>
        </row>
        <row r="2676">
          <cell r="A2676" t="str">
            <v>RSULPV3A</v>
          </cell>
          <cell r="B2676">
            <v>0</v>
          </cell>
          <cell r="C2676">
            <v>0</v>
          </cell>
          <cell r="D2676" t="e">
            <v>#VALUE!</v>
          </cell>
          <cell r="E2676" t="e">
            <v>#VALUE!</v>
          </cell>
          <cell r="F2676">
            <v>0</v>
          </cell>
        </row>
        <row r="2677">
          <cell r="A2677" t="str">
            <v>RSULPV4A</v>
          </cell>
          <cell r="B2677">
            <v>2.291856495179523E-4</v>
          </cell>
          <cell r="C2677">
            <v>0</v>
          </cell>
          <cell r="D2677" t="e">
            <v>#VALUE!</v>
          </cell>
          <cell r="E2677" t="e">
            <v>#VALUE!</v>
          </cell>
          <cell r="F2677">
            <v>0</v>
          </cell>
        </row>
        <row r="2678">
          <cell r="A2678" t="str">
            <v>RSULPV5A</v>
          </cell>
          <cell r="B2678">
            <v>0</v>
          </cell>
          <cell r="C2678">
            <v>0</v>
          </cell>
          <cell r="D2678" t="e">
            <v>#VALUE!</v>
          </cell>
          <cell r="E2678" t="e">
            <v>#VALUE!</v>
          </cell>
          <cell r="F2678">
            <v>0</v>
          </cell>
        </row>
        <row r="2679">
          <cell r="A2679" t="str">
            <v>RSULPV6A</v>
          </cell>
          <cell r="B2679">
            <v>-1.2474343804489206E-9</v>
          </cell>
          <cell r="C2679">
            <v>0</v>
          </cell>
          <cell r="D2679" t="e">
            <v>#VALUE!</v>
          </cell>
          <cell r="E2679" t="e">
            <v>#VALUE!</v>
          </cell>
          <cell r="F2679">
            <v>0</v>
          </cell>
        </row>
        <row r="2680">
          <cell r="A2680" t="str">
            <v>RSULPV7A</v>
          </cell>
          <cell r="B2680">
            <v>4.6269912162057305E-7</v>
          </cell>
          <cell r="C2680">
            <v>0</v>
          </cell>
          <cell r="D2680" t="e">
            <v>#VALUE!</v>
          </cell>
          <cell r="E2680" t="e">
            <v>#VALUE!</v>
          </cell>
          <cell r="F2680">
            <v>0</v>
          </cell>
        </row>
        <row r="2681">
          <cell r="A2681" t="str">
            <v>RSULVRBA</v>
          </cell>
          <cell r="B2681">
            <v>-1.5517145808712797E-4</v>
          </cell>
          <cell r="C2681">
            <v>0</v>
          </cell>
          <cell r="D2681" t="e">
            <v>#VALUE!</v>
          </cell>
          <cell r="E2681" t="e">
            <v>#VALUE!</v>
          </cell>
          <cell r="F2681">
            <v>0</v>
          </cell>
        </row>
        <row r="2682">
          <cell r="A2682" t="str">
            <v>RSULFCLA</v>
          </cell>
          <cell r="B2682">
            <v>5.8310301565283841E-10</v>
          </cell>
          <cell r="C2682">
            <v>0</v>
          </cell>
          <cell r="D2682" t="e">
            <v>#VALUE!</v>
          </cell>
          <cell r="E2682" t="e">
            <v>#VALUE!</v>
          </cell>
          <cell r="F2682">
            <v>0</v>
          </cell>
        </row>
        <row r="2683">
          <cell r="A2683" t="str">
            <v>RSULVR1A</v>
          </cell>
          <cell r="B2683">
            <v>1.7036334667291033E-4</v>
          </cell>
          <cell r="C2683">
            <v>0</v>
          </cell>
          <cell r="D2683" t="e">
            <v>#VALUE!</v>
          </cell>
          <cell r="E2683" t="e">
            <v>#VALUE!</v>
          </cell>
          <cell r="F2683">
            <v>0</v>
          </cell>
        </row>
        <row r="2684">
          <cell r="A2684" t="str">
            <v>RSULVR2A</v>
          </cell>
          <cell r="B2684">
            <v>5.5206973640501737E-7</v>
          </cell>
          <cell r="C2684">
            <v>0</v>
          </cell>
          <cell r="D2684" t="e">
            <v>#VALUE!</v>
          </cell>
          <cell r="E2684" t="e">
            <v>#VALUE!</v>
          </cell>
          <cell r="F2684">
            <v>0</v>
          </cell>
        </row>
        <row r="2685">
          <cell r="A2685" t="str">
            <v>RSULVR3A</v>
          </cell>
          <cell r="B2685">
            <v>0</v>
          </cell>
          <cell r="C2685">
            <v>0</v>
          </cell>
          <cell r="D2685" t="e">
            <v>#VALUE!</v>
          </cell>
          <cell r="E2685" t="e">
            <v>#VALUE!</v>
          </cell>
          <cell r="F2685">
            <v>0</v>
          </cell>
        </row>
        <row r="2686">
          <cell r="A2686" t="str">
            <v>RSULVR4A</v>
          </cell>
          <cell r="B2686">
            <v>-1.0605562491859119E-4</v>
          </cell>
          <cell r="C2686">
            <v>0</v>
          </cell>
          <cell r="D2686" t="e">
            <v>#VALUE!</v>
          </cell>
          <cell r="E2686" t="e">
            <v>#VALUE!</v>
          </cell>
          <cell r="F2686">
            <v>0</v>
          </cell>
        </row>
        <row r="2687">
          <cell r="A2687" t="str">
            <v>RSULVR5A</v>
          </cell>
          <cell r="B2687">
            <v>0</v>
          </cell>
          <cell r="C2687">
            <v>0</v>
          </cell>
          <cell r="D2687" t="e">
            <v>#VALUE!</v>
          </cell>
          <cell r="E2687" t="e">
            <v>#VALUE!</v>
          </cell>
          <cell r="F2687">
            <v>0</v>
          </cell>
        </row>
        <row r="2688">
          <cell r="A2688" t="str">
            <v>RSULVR6A</v>
          </cell>
          <cell r="B2688">
            <v>-1.633051310845346E-9</v>
          </cell>
          <cell r="C2688">
            <v>0</v>
          </cell>
          <cell r="D2688" t="e">
            <v>#VALUE!</v>
          </cell>
          <cell r="E2688" t="e">
            <v>#VALUE!</v>
          </cell>
          <cell r="F2688">
            <v>0</v>
          </cell>
        </row>
        <row r="2689">
          <cell r="A2689" t="str">
            <v>RSULVR7A</v>
          </cell>
          <cell r="B2689">
            <v>2.1284160869084826E-6</v>
          </cell>
          <cell r="C2689">
            <v>0</v>
          </cell>
          <cell r="D2689" t="e">
            <v>#VALUE!</v>
          </cell>
          <cell r="E2689" t="e">
            <v>#VALUE!</v>
          </cell>
          <cell r="F2689">
            <v>0</v>
          </cell>
        </row>
        <row r="2690">
          <cell r="A2690" t="str">
            <v>RSULVR9A</v>
          </cell>
          <cell r="B2690">
            <v>1.6275105989242461E-4</v>
          </cell>
          <cell r="C2690">
            <v>0</v>
          </cell>
          <cell r="D2690" t="e">
            <v>#VALUE!</v>
          </cell>
          <cell r="E2690" t="e">
            <v>#VALUE!</v>
          </cell>
          <cell r="F2690">
            <v>0</v>
          </cell>
        </row>
        <row r="2691">
          <cell r="A2691" t="str">
            <v>RSULLM1A</v>
          </cell>
          <cell r="B2691">
            <v>-5.0723831639653039E-5</v>
          </cell>
          <cell r="C2691">
            <v>0</v>
          </cell>
          <cell r="D2691" t="e">
            <v>#VALUE!</v>
          </cell>
          <cell r="E2691" t="e">
            <v>#VALUE!</v>
          </cell>
          <cell r="F2691">
            <v>0</v>
          </cell>
        </row>
        <row r="2692">
          <cell r="A2692" t="str">
            <v>RSULLM2A</v>
          </cell>
          <cell r="B2692">
            <v>0</v>
          </cell>
          <cell r="C2692">
            <v>0</v>
          </cell>
          <cell r="D2692" t="e">
            <v>#VALUE!</v>
          </cell>
          <cell r="E2692" t="e">
            <v>#VALUE!</v>
          </cell>
          <cell r="F2692">
            <v>0</v>
          </cell>
        </row>
        <row r="2693">
          <cell r="A2693" t="str">
            <v>RSULLM3A</v>
          </cell>
          <cell r="B2693">
            <v>-9.5720175607448882E-5</v>
          </cell>
          <cell r="C2693">
            <v>0</v>
          </cell>
          <cell r="D2693" t="e">
            <v>#VALUE!</v>
          </cell>
          <cell r="E2693" t="e">
            <v>#VALUE!</v>
          </cell>
          <cell r="F2693">
            <v>0</v>
          </cell>
        </row>
        <row r="2694">
          <cell r="A2694" t="str">
            <v>RSULLM4A</v>
          </cell>
          <cell r="B2694">
            <v>7.6569695904905701E-9</v>
          </cell>
          <cell r="C2694">
            <v>0</v>
          </cell>
          <cell r="D2694" t="e">
            <v>#VALUE!</v>
          </cell>
          <cell r="E2694" t="e">
            <v>#VALUE!</v>
          </cell>
          <cell r="F2694">
            <v>0</v>
          </cell>
        </row>
        <row r="2695">
          <cell r="A2695" t="str">
            <v>RSULPA1A</v>
          </cell>
          <cell r="B2695">
            <v>-6.7480163859926668E-6</v>
          </cell>
          <cell r="C2695">
            <v>0</v>
          </cell>
          <cell r="D2695" t="e">
            <v>#VALUE!</v>
          </cell>
          <cell r="E2695" t="e">
            <v>#VALUE!</v>
          </cell>
          <cell r="F2695">
            <v>0</v>
          </cell>
        </row>
        <row r="2696">
          <cell r="A2696" t="str">
            <v>RSULPA2A</v>
          </cell>
          <cell r="B2696">
            <v>0</v>
          </cell>
          <cell r="C2696">
            <v>0</v>
          </cell>
          <cell r="D2696" t="e">
            <v>#VALUE!</v>
          </cell>
          <cell r="E2696" t="e">
            <v>#VALUE!</v>
          </cell>
          <cell r="F2696">
            <v>0</v>
          </cell>
        </row>
        <row r="2697">
          <cell r="A2697" t="str">
            <v>RSULPA3A</v>
          </cell>
          <cell r="B2697">
            <v>-3.6199974160871074E-5</v>
          </cell>
          <cell r="C2697">
            <v>0</v>
          </cell>
          <cell r="D2697" t="e">
            <v>#VALUE!</v>
          </cell>
          <cell r="E2697" t="e">
            <v>#VALUE!</v>
          </cell>
          <cell r="F2697">
            <v>0</v>
          </cell>
        </row>
        <row r="2698">
          <cell r="A2698" t="str">
            <v>RSULPA4A</v>
          </cell>
          <cell r="B2698">
            <v>-1.0491078982712903E-8</v>
          </cell>
          <cell r="C2698">
            <v>0</v>
          </cell>
          <cell r="D2698" t="e">
            <v>#VALUE!</v>
          </cell>
          <cell r="E2698" t="e">
            <v>#VALUE!</v>
          </cell>
          <cell r="F2698">
            <v>0</v>
          </cell>
        </row>
        <row r="2699">
          <cell r="A2699" t="str">
            <v>RSULPB1A</v>
          </cell>
          <cell r="B2699">
            <v>-1.8049861613042296E-5</v>
          </cell>
          <cell r="C2699">
            <v>0</v>
          </cell>
          <cell r="D2699" t="e">
            <v>#VALUE!</v>
          </cell>
          <cell r="E2699" t="e">
            <v>#VALUE!</v>
          </cell>
          <cell r="F2699">
            <v>0</v>
          </cell>
        </row>
        <row r="2700">
          <cell r="A2700" t="str">
            <v>RSULPB2A</v>
          </cell>
          <cell r="B2700">
            <v>0</v>
          </cell>
          <cell r="C2700">
            <v>0</v>
          </cell>
          <cell r="D2700" t="e">
            <v>#VALUE!</v>
          </cell>
          <cell r="E2700" t="e">
            <v>#VALUE!</v>
          </cell>
          <cell r="F2700">
            <v>0</v>
          </cell>
        </row>
        <row r="2701">
          <cell r="A2701" t="str">
            <v>RSULPB3A</v>
          </cell>
          <cell r="B2701">
            <v>1.4638405458480183E-5</v>
          </cell>
          <cell r="C2701">
            <v>0</v>
          </cell>
          <cell r="D2701" t="e">
            <v>#VALUE!</v>
          </cell>
          <cell r="E2701" t="e">
            <v>#VALUE!</v>
          </cell>
          <cell r="F2701">
            <v>0</v>
          </cell>
        </row>
        <row r="2702">
          <cell r="A2702" t="str">
            <v>RSULPB4A</v>
          </cell>
          <cell r="B2702">
            <v>1.4647656648029762E-8</v>
          </cell>
          <cell r="C2702">
            <v>0</v>
          </cell>
          <cell r="D2702" t="e">
            <v>#VALUE!</v>
          </cell>
          <cell r="E2702" t="e">
            <v>#VALUE!</v>
          </cell>
          <cell r="F2702">
            <v>0</v>
          </cell>
        </row>
        <row r="2703">
          <cell r="A2703" t="str">
            <v>RSULPP1A</v>
          </cell>
          <cell r="B2703">
            <v>0</v>
          </cell>
          <cell r="C2703">
            <v>0</v>
          </cell>
          <cell r="D2703" t="e">
            <v>#VALUE!</v>
          </cell>
          <cell r="E2703" t="e">
            <v>#VALUE!</v>
          </cell>
          <cell r="F2703">
            <v>0</v>
          </cell>
        </row>
        <row r="2704">
          <cell r="A2704" t="str">
            <v>RSULPP2A</v>
          </cell>
          <cell r="B2704">
            <v>0</v>
          </cell>
          <cell r="C2704">
            <v>0</v>
          </cell>
          <cell r="D2704" t="e">
            <v>#VALUE!</v>
          </cell>
          <cell r="E2704" t="e">
            <v>#VALUE!</v>
          </cell>
          <cell r="F2704">
            <v>0</v>
          </cell>
        </row>
        <row r="2705">
          <cell r="A2705" t="str">
            <v>RSULPP3A</v>
          </cell>
          <cell r="B2705">
            <v>-1.5932935969443586E-6</v>
          </cell>
          <cell r="C2705">
            <v>0</v>
          </cell>
          <cell r="D2705" t="e">
            <v>#VALUE!</v>
          </cell>
          <cell r="E2705" t="e">
            <v>#VALUE!</v>
          </cell>
          <cell r="F2705">
            <v>0</v>
          </cell>
        </row>
        <row r="2706">
          <cell r="A2706" t="str">
            <v>RSULPP4A</v>
          </cell>
          <cell r="B2706">
            <v>-5.782956533731056E-12</v>
          </cell>
          <cell r="C2706">
            <v>0</v>
          </cell>
          <cell r="D2706" t="e">
            <v>#VALUE!</v>
          </cell>
          <cell r="E2706" t="e">
            <v>#VALUE!</v>
          </cell>
          <cell r="F2706">
            <v>0</v>
          </cell>
        </row>
        <row r="2707">
          <cell r="A2707" t="str">
            <v>RSULCFAA</v>
          </cell>
          <cell r="B2707">
            <v>-4.5510182912600491E-4</v>
          </cell>
          <cell r="C2707">
            <v>0</v>
          </cell>
          <cell r="D2707" t="e">
            <v>#VALUE!</v>
          </cell>
          <cell r="E2707" t="e">
            <v>#VALUE!</v>
          </cell>
          <cell r="F2707">
            <v>0</v>
          </cell>
        </row>
        <row r="2708">
          <cell r="A2708" t="str">
            <v>RSULCWAA</v>
          </cell>
          <cell r="B2708">
            <v>-4.5510182912600491E-4</v>
          </cell>
          <cell r="C2708">
            <v>0</v>
          </cell>
          <cell r="D2708" t="e">
            <v>#VALUE!</v>
          </cell>
          <cell r="E2708" t="e">
            <v>#VALUE!</v>
          </cell>
          <cell r="F2708">
            <v>0</v>
          </cell>
        </row>
        <row r="2709">
          <cell r="A2709" t="str">
            <v>RSULCZAA</v>
          </cell>
          <cell r="B2709">
            <v>-4.5510182912600491E-4</v>
          </cell>
          <cell r="C2709">
            <v>0</v>
          </cell>
          <cell r="D2709" t="e">
            <v>#VALUE!</v>
          </cell>
          <cell r="E2709" t="e">
            <v>#VALUE!</v>
          </cell>
          <cell r="F2709">
            <v>0</v>
          </cell>
        </row>
        <row r="2710">
          <cell r="A2710" t="str">
            <v>RSULCFBA</v>
          </cell>
          <cell r="B2710">
            <v>-5.7118607498386439E-4</v>
          </cell>
          <cell r="C2710">
            <v>0</v>
          </cell>
          <cell r="D2710" t="e">
            <v>#VALUE!</v>
          </cell>
          <cell r="E2710" t="e">
            <v>#VALUE!</v>
          </cell>
          <cell r="F2710">
            <v>0</v>
          </cell>
        </row>
        <row r="2711">
          <cell r="A2711" t="str">
            <v>RSULCXBA</v>
          </cell>
          <cell r="B2711">
            <v>-5.7118607498386439E-4</v>
          </cell>
          <cell r="C2711">
            <v>0</v>
          </cell>
          <cell r="D2711" t="e">
            <v>#VALUE!</v>
          </cell>
          <cell r="E2711" t="e">
            <v>#VALUE!</v>
          </cell>
          <cell r="F2711">
            <v>0</v>
          </cell>
        </row>
        <row r="2712">
          <cell r="A2712" t="str">
            <v>RSULCYBA</v>
          </cell>
          <cell r="B2712">
            <v>-5.7118607498386439E-4</v>
          </cell>
          <cell r="C2712">
            <v>0</v>
          </cell>
          <cell r="D2712" t="e">
            <v>#VALUE!</v>
          </cell>
          <cell r="E2712" t="e">
            <v>#VALUE!</v>
          </cell>
          <cell r="F2712">
            <v>0</v>
          </cell>
        </row>
        <row r="2713">
          <cell r="A2713" t="str">
            <v>RSULLCAA</v>
          </cell>
          <cell r="B2713">
            <v>4.8677452649739379E-4</v>
          </cell>
          <cell r="C2713">
            <v>0</v>
          </cell>
          <cell r="D2713" t="e">
            <v>#VALUE!</v>
          </cell>
          <cell r="E2713" t="e">
            <v>#VALUE!</v>
          </cell>
          <cell r="F2713">
            <v>0</v>
          </cell>
        </row>
        <row r="2714">
          <cell r="A2714" t="str">
            <v>RSULLCBA</v>
          </cell>
          <cell r="B2714">
            <v>1.2312141467963844E-4</v>
          </cell>
          <cell r="C2714">
            <v>0</v>
          </cell>
          <cell r="D2714" t="e">
            <v>#VALUE!</v>
          </cell>
          <cell r="E2714" t="e">
            <v>#VALUE!</v>
          </cell>
          <cell r="F2714">
            <v>0</v>
          </cell>
        </row>
        <row r="2715">
          <cell r="A2715" t="str">
            <v>RSULLCTA</v>
          </cell>
          <cell r="B2715">
            <v>6.1266220221375684E-4</v>
          </cell>
          <cell r="C2715">
            <v>0</v>
          </cell>
          <cell r="D2715" t="e">
            <v>#VALUE!</v>
          </cell>
          <cell r="E2715" t="e">
            <v>#VALUE!</v>
          </cell>
          <cell r="F2715">
            <v>0</v>
          </cell>
        </row>
        <row r="2716">
          <cell r="A2716" t="str">
            <v>RSULDTFA</v>
          </cell>
          <cell r="B2716">
            <v>2.0362028858347017E-6</v>
          </cell>
          <cell r="C2716">
            <v>0</v>
          </cell>
          <cell r="D2716" t="e">
            <v>#VALUE!</v>
          </cell>
          <cell r="E2716" t="e">
            <v>#VALUE!</v>
          </cell>
          <cell r="F2716">
            <v>0</v>
          </cell>
        </row>
        <row r="2717">
          <cell r="A2717" t="str">
            <v>RSULNBOA</v>
          </cell>
          <cell r="B2717">
            <v>-2.8054412623906463E-6</v>
          </cell>
          <cell r="C2717">
            <v>0</v>
          </cell>
          <cell r="D2717" t="e">
            <v>#VALUE!</v>
          </cell>
          <cell r="E2717" t="e">
            <v>#VALUE!</v>
          </cell>
          <cell r="F2717">
            <v>0</v>
          </cell>
        </row>
        <row r="2718">
          <cell r="A2718" t="str">
            <v>RSULCAMA</v>
          </cell>
          <cell r="B2718">
            <v>0</v>
          </cell>
          <cell r="C2718">
            <v>0</v>
          </cell>
          <cell r="D2718" t="e">
            <v>#VALUE!</v>
          </cell>
          <cell r="E2718" t="e">
            <v>#VALUE!</v>
          </cell>
          <cell r="F2718">
            <v>0</v>
          </cell>
        </row>
        <row r="2719">
          <cell r="A2719" t="str">
            <v>RSULDCXA</v>
          </cell>
          <cell r="B2719">
            <v>5.8327458856722359E-9</v>
          </cell>
          <cell r="C2719">
            <v>0</v>
          </cell>
          <cell r="D2719" t="e">
            <v>#VALUE!</v>
          </cell>
          <cell r="E2719" t="e">
            <v>#VALUE!</v>
          </cell>
          <cell r="F2719">
            <v>0</v>
          </cell>
        </row>
        <row r="2720">
          <cell r="A2720" t="str">
            <v>RSULCCKA</v>
          </cell>
          <cell r="B2720">
            <v>2.9016983018651719E-4</v>
          </cell>
          <cell r="C2720">
            <v>0</v>
          </cell>
          <cell r="D2720" t="e">
            <v>#VALUE!</v>
          </cell>
          <cell r="E2720" t="e">
            <v>#VALUE!</v>
          </cell>
          <cell r="F2720">
            <v>0</v>
          </cell>
        </row>
        <row r="2721">
          <cell r="A2721" t="str">
            <v>RSULCCCA</v>
          </cell>
          <cell r="B2721">
            <v>2.9016983018651719E-4</v>
          </cell>
          <cell r="C2721">
            <v>0</v>
          </cell>
          <cell r="D2721" t="e">
            <v>#VALUE!</v>
          </cell>
          <cell r="E2721" t="e">
            <v>#VALUE!</v>
          </cell>
          <cell r="F2721">
            <v>0</v>
          </cell>
        </row>
        <row r="2722">
          <cell r="A2722" t="str">
            <v>RSULCCQA</v>
          </cell>
          <cell r="B2722">
            <v>2.9016983018651719E-4</v>
          </cell>
          <cell r="C2722">
            <v>0</v>
          </cell>
          <cell r="D2722" t="e">
            <v>#VALUE!</v>
          </cell>
          <cell r="E2722" t="e">
            <v>#VALUE!</v>
          </cell>
          <cell r="F2722">
            <v>0</v>
          </cell>
        </row>
        <row r="2723">
          <cell r="A2723" t="str">
            <v>RSULKCKA</v>
          </cell>
          <cell r="B2723">
            <v>-3.5602740715385402E-7</v>
          </cell>
          <cell r="C2723">
            <v>0</v>
          </cell>
          <cell r="D2723" t="e">
            <v>#VALUE!</v>
          </cell>
          <cell r="E2723" t="e">
            <v>#VALUE!</v>
          </cell>
          <cell r="F2723">
            <v>0</v>
          </cell>
        </row>
        <row r="2724">
          <cell r="A2724" t="str">
            <v>RSULKCCA</v>
          </cell>
          <cell r="B2724">
            <v>-3.5602740715385402E-7</v>
          </cell>
          <cell r="C2724">
            <v>0</v>
          </cell>
          <cell r="D2724" t="e">
            <v>#VALUE!</v>
          </cell>
          <cell r="E2724" t="e">
            <v>#VALUE!</v>
          </cell>
          <cell r="F2724">
            <v>0</v>
          </cell>
        </row>
        <row r="2725">
          <cell r="A2725" t="str">
            <v>RSULKCQA</v>
          </cell>
          <cell r="B2725">
            <v>-3.5602740715385402E-7</v>
          </cell>
          <cell r="C2725">
            <v>0</v>
          </cell>
          <cell r="D2725" t="e">
            <v>#VALUE!</v>
          </cell>
          <cell r="E2725" t="e">
            <v>#VALUE!</v>
          </cell>
          <cell r="F2725">
            <v>0</v>
          </cell>
        </row>
        <row r="2726">
          <cell r="A2726" t="str">
            <v>RSULT14A</v>
          </cell>
          <cell r="B2726">
            <v>2.934729756168664E-4</v>
          </cell>
          <cell r="C2726">
            <v>0</v>
          </cell>
          <cell r="D2726" t="e">
            <v>#VALUE!</v>
          </cell>
          <cell r="E2726" t="e">
            <v>#VALUE!</v>
          </cell>
          <cell r="F2726">
            <v>0</v>
          </cell>
        </row>
        <row r="2727">
          <cell r="A2727" t="str">
            <v>RSULNCAA</v>
          </cell>
          <cell r="B2727">
            <v>1.4377922792322949E-4</v>
          </cell>
          <cell r="C2727">
            <v>0</v>
          </cell>
          <cell r="D2727" t="e">
            <v>#VALUE!</v>
          </cell>
          <cell r="E2727" t="e">
            <v>#VALUE!</v>
          </cell>
          <cell r="F2727">
            <v>0</v>
          </cell>
        </row>
        <row r="2728">
          <cell r="A2728" t="str">
            <v>RSULFOIA</v>
          </cell>
          <cell r="B2728">
            <v>-5.7889386155875411E-17</v>
          </cell>
          <cell r="C2728">
            <v>0</v>
          </cell>
          <cell r="D2728" t="e">
            <v>#VALUE!</v>
          </cell>
          <cell r="E2728" t="e">
            <v>#VALUE!</v>
          </cell>
          <cell r="F2728">
            <v>0</v>
          </cell>
        </row>
        <row r="2729">
          <cell r="A2729" t="str">
            <v>RSULFDOA</v>
          </cell>
          <cell r="B2729">
            <v>-7.293339585237546E-4</v>
          </cell>
          <cell r="C2729">
            <v>0</v>
          </cell>
          <cell r="D2729" t="e">
            <v>#VALUE!</v>
          </cell>
          <cell r="E2729" t="e">
            <v>#VALUE!</v>
          </cell>
          <cell r="F2729">
            <v>0</v>
          </cell>
        </row>
        <row r="2730">
          <cell r="A2730" t="str">
            <v>RSULNPCA</v>
          </cell>
          <cell r="B2730">
            <v>6.5507319785155396E-5</v>
          </cell>
          <cell r="C2730">
            <v>0</v>
          </cell>
          <cell r="D2730" t="e">
            <v>#VALUE!</v>
          </cell>
          <cell r="E2730" t="e">
            <v>#VALUE!</v>
          </cell>
          <cell r="F2730">
            <v>0</v>
          </cell>
        </row>
        <row r="2731">
          <cell r="A2731" t="str">
            <v>RSULBNPA</v>
          </cell>
          <cell r="B2731">
            <v>2.9815868142639823E-5</v>
          </cell>
          <cell r="C2731">
            <v>0</v>
          </cell>
          <cell r="D2731" t="e">
            <v>#VALUE!</v>
          </cell>
          <cell r="E2731" t="e">
            <v>#VALUE!</v>
          </cell>
          <cell r="F2731">
            <v>0</v>
          </cell>
        </row>
        <row r="2732">
          <cell r="A2732" t="str">
            <v>RSULLCXA</v>
          </cell>
          <cell r="B2732">
            <v>6.1266220221375684E-4</v>
          </cell>
          <cell r="C2732">
            <v>0</v>
          </cell>
          <cell r="D2732" t="e">
            <v>#VALUE!</v>
          </cell>
          <cell r="E2732" t="e">
            <v>#VALUE!</v>
          </cell>
          <cell r="F2732">
            <v>0</v>
          </cell>
        </row>
        <row r="2733">
          <cell r="A2733" t="str">
            <v>RSULLCIA</v>
          </cell>
          <cell r="B2733">
            <v>6.1266220221375684E-4</v>
          </cell>
          <cell r="C2733">
            <v>0</v>
          </cell>
          <cell r="D2733" t="e">
            <v>#VALUE!</v>
          </cell>
          <cell r="E2733" t="e">
            <v>#VALUE!</v>
          </cell>
          <cell r="F2733">
            <v>0</v>
          </cell>
        </row>
        <row r="2734">
          <cell r="A2734" t="str">
            <v>RSULLCJA</v>
          </cell>
          <cell r="B2734">
            <v>6.1266220221375684E-4</v>
          </cell>
          <cell r="C2734">
            <v>0</v>
          </cell>
          <cell r="D2734" t="e">
            <v>#VALUE!</v>
          </cell>
          <cell r="E2734" t="e">
            <v>#VALUE!</v>
          </cell>
          <cell r="F2734">
            <v>0</v>
          </cell>
        </row>
        <row r="2735">
          <cell r="A2735" t="str">
            <v>RSULLCKA</v>
          </cell>
          <cell r="B2735">
            <v>6.1266220221375684E-4</v>
          </cell>
          <cell r="C2735">
            <v>0</v>
          </cell>
          <cell r="D2735" t="e">
            <v>#VALUE!</v>
          </cell>
          <cell r="E2735" t="e">
            <v>#VALUE!</v>
          </cell>
          <cell r="F2735">
            <v>0</v>
          </cell>
        </row>
        <row r="2736">
          <cell r="A2736" t="str">
            <v>RSULRCJA</v>
          </cell>
          <cell r="B2736">
            <v>6.1266220221375684E-4</v>
          </cell>
          <cell r="C2736">
            <v>0</v>
          </cell>
          <cell r="D2736" t="e">
            <v>#VALUE!</v>
          </cell>
          <cell r="E2736" t="e">
            <v>#VALUE!</v>
          </cell>
          <cell r="F2736">
            <v>0</v>
          </cell>
        </row>
        <row r="2737">
          <cell r="A2737" t="str">
            <v>RSULRCKA</v>
          </cell>
          <cell r="B2737">
            <v>6.1266220221375684E-4</v>
          </cell>
          <cell r="C2737">
            <v>0</v>
          </cell>
          <cell r="D2737" t="e">
            <v>#VALUE!</v>
          </cell>
          <cell r="E2737" t="e">
            <v>#VALUE!</v>
          </cell>
          <cell r="F2737">
            <v>0</v>
          </cell>
        </row>
        <row r="2738">
          <cell r="A2738" t="str">
            <v>RSULLCZA</v>
          </cell>
          <cell r="B2738">
            <v>5.7862359693127187E-5</v>
          </cell>
          <cell r="C2738">
            <v>0</v>
          </cell>
          <cell r="D2738" t="e">
            <v>#VALUE!</v>
          </cell>
          <cell r="E2738" t="e">
            <v>#VALUE!</v>
          </cell>
          <cell r="F2738">
            <v>0</v>
          </cell>
        </row>
        <row r="2739">
          <cell r="A2739" t="str">
            <v>RSULLCDA</v>
          </cell>
          <cell r="B2739">
            <v>6.8691937683404186E-4</v>
          </cell>
          <cell r="C2739">
            <v>0</v>
          </cell>
          <cell r="D2739" t="e">
            <v>#VALUE!</v>
          </cell>
          <cell r="E2739" t="e">
            <v>#VALUE!</v>
          </cell>
          <cell r="F2739">
            <v>0</v>
          </cell>
        </row>
        <row r="2740">
          <cell r="A2740" t="str">
            <v>RXNLBT2A</v>
          </cell>
          <cell r="B2740">
            <v>0</v>
          </cell>
          <cell r="C2740">
            <v>0</v>
          </cell>
          <cell r="D2740" t="e">
            <v>#VALUE!</v>
          </cell>
          <cell r="E2740" t="e">
            <v>#VALUE!</v>
          </cell>
          <cell r="F2740">
            <v>0</v>
          </cell>
        </row>
        <row r="2741">
          <cell r="A2741" t="str">
            <v>RXNLWN1A</v>
          </cell>
          <cell r="B2741">
            <v>-4.9429708409237947E-3</v>
          </cell>
          <cell r="C2741">
            <v>0</v>
          </cell>
          <cell r="D2741" t="e">
            <v>#VALUE!</v>
          </cell>
          <cell r="E2741" t="e">
            <v>#VALUE!</v>
          </cell>
          <cell r="F2741">
            <v>0</v>
          </cell>
        </row>
        <row r="2742">
          <cell r="A2742" t="str">
            <v>RXNLWN2A</v>
          </cell>
          <cell r="B2742">
            <v>0</v>
          </cell>
          <cell r="C2742">
            <v>0</v>
          </cell>
          <cell r="D2742" t="e">
            <v>#VALUE!</v>
          </cell>
          <cell r="E2742" t="e">
            <v>#VALUE!</v>
          </cell>
          <cell r="F2742">
            <v>0</v>
          </cell>
        </row>
        <row r="2743">
          <cell r="A2743" t="str">
            <v>RXNLWN3A</v>
          </cell>
          <cell r="B2743">
            <v>2.244508845017177E-3</v>
          </cell>
          <cell r="C2743">
            <v>0</v>
          </cell>
          <cell r="D2743" t="e">
            <v>#VALUE!</v>
          </cell>
          <cell r="E2743" t="e">
            <v>#VALUE!</v>
          </cell>
          <cell r="F2743">
            <v>0</v>
          </cell>
        </row>
        <row r="2744">
          <cell r="A2744" t="str">
            <v>RXNLWN4A</v>
          </cell>
          <cell r="B2744">
            <v>-2.5745952859312004E-5</v>
          </cell>
          <cell r="C2744">
            <v>0</v>
          </cell>
          <cell r="D2744" t="e">
            <v>#VALUE!</v>
          </cell>
          <cell r="E2744" t="e">
            <v>#VALUE!</v>
          </cell>
          <cell r="F2744">
            <v>0</v>
          </cell>
        </row>
        <row r="2745">
          <cell r="A2745" t="str">
            <v>RXNL12LA</v>
          </cell>
          <cell r="B2745">
            <v>-4.6820432284788049E-4</v>
          </cell>
          <cell r="C2745">
            <v>0</v>
          </cell>
          <cell r="D2745" t="e">
            <v>#VALUE!</v>
          </cell>
          <cell r="E2745" t="e">
            <v>#VALUE!</v>
          </cell>
          <cell r="F2745">
            <v>0</v>
          </cell>
        </row>
        <row r="2746">
          <cell r="A2746" t="str">
            <v>RXNLNLPA</v>
          </cell>
          <cell r="B2746">
            <v>3.1200520010435419E-2</v>
          </cell>
          <cell r="C2746">
            <v>0</v>
          </cell>
          <cell r="D2746" t="e">
            <v>#VALUE!</v>
          </cell>
          <cell r="E2746" t="e">
            <v>#VALUE!</v>
          </cell>
          <cell r="F2746">
            <v>0</v>
          </cell>
        </row>
        <row r="2747">
          <cell r="A2747" t="str">
            <v>RXNLFHTA</v>
          </cell>
          <cell r="B2747">
            <v>-2.9834911299985835E-3</v>
          </cell>
          <cell r="C2747">
            <v>0</v>
          </cell>
          <cell r="D2747" t="e">
            <v>#VALUE!</v>
          </cell>
          <cell r="E2747" t="e">
            <v>#VALUE!</v>
          </cell>
          <cell r="F2747">
            <v>0</v>
          </cell>
        </row>
        <row r="2748">
          <cell r="A2748" t="str">
            <v>RXNLNHTA</v>
          </cell>
          <cell r="B2748">
            <v>-1.167196114179766E-3</v>
          </cell>
          <cell r="C2748">
            <v>0</v>
          </cell>
          <cell r="D2748" t="e">
            <v>#VALUE!</v>
          </cell>
          <cell r="E2748" t="e">
            <v>#VALUE!</v>
          </cell>
          <cell r="F2748">
            <v>0</v>
          </cell>
        </row>
        <row r="2749">
          <cell r="A2749" t="str">
            <v>RXNPPN1A</v>
          </cell>
          <cell r="B2749">
            <v>5.0956966588472982E-3</v>
          </cell>
          <cell r="C2749">
            <v>0</v>
          </cell>
          <cell r="D2749" t="e">
            <v>#VALUE!</v>
          </cell>
          <cell r="E2749" t="e">
            <v>#VALUE!</v>
          </cell>
          <cell r="F2749">
            <v>0</v>
          </cell>
        </row>
        <row r="2750">
          <cell r="A2750" t="str">
            <v>RXNPPN2A</v>
          </cell>
          <cell r="B2750">
            <v>0</v>
          </cell>
          <cell r="C2750">
            <v>0</v>
          </cell>
          <cell r="D2750" t="e">
            <v>#VALUE!</v>
          </cell>
          <cell r="E2750" t="e">
            <v>#VALUE!</v>
          </cell>
          <cell r="F2750">
            <v>0</v>
          </cell>
        </row>
        <row r="2751">
          <cell r="A2751" t="str">
            <v>RXNPPN3A</v>
          </cell>
          <cell r="B2751">
            <v>3.7519319271605003E-3</v>
          </cell>
          <cell r="C2751">
            <v>0</v>
          </cell>
          <cell r="D2751" t="e">
            <v>#VALUE!</v>
          </cell>
          <cell r="E2751" t="e">
            <v>#VALUE!</v>
          </cell>
          <cell r="F2751">
            <v>0</v>
          </cell>
        </row>
        <row r="2752">
          <cell r="A2752" t="str">
            <v>RXNPPN4A</v>
          </cell>
          <cell r="B2752">
            <v>2.7501348943101905E-5</v>
          </cell>
          <cell r="C2752">
            <v>0</v>
          </cell>
          <cell r="D2752" t="e">
            <v>#VALUE!</v>
          </cell>
          <cell r="E2752" t="e">
            <v>#VALUE!</v>
          </cell>
          <cell r="F2752">
            <v>0</v>
          </cell>
        </row>
        <row r="2753">
          <cell r="A2753" t="str">
            <v>RXNPSK1A</v>
          </cell>
          <cell r="B2753">
            <v>0</v>
          </cell>
          <cell r="C2753">
            <v>0</v>
          </cell>
          <cell r="D2753" t="e">
            <v>#VALUE!</v>
          </cell>
          <cell r="E2753" t="e">
            <v>#VALUE!</v>
          </cell>
          <cell r="F2753">
            <v>0</v>
          </cell>
        </row>
        <row r="2754">
          <cell r="A2754" t="str">
            <v>RXNPSK2A</v>
          </cell>
          <cell r="B2754">
            <v>0</v>
          </cell>
          <cell r="C2754">
            <v>0</v>
          </cell>
          <cell r="D2754" t="e">
            <v>#VALUE!</v>
          </cell>
          <cell r="E2754" t="e">
            <v>#VALUE!</v>
          </cell>
          <cell r="F2754">
            <v>0</v>
          </cell>
        </row>
        <row r="2755">
          <cell r="A2755" t="str">
            <v>RXNPSK3A</v>
          </cell>
          <cell r="B2755">
            <v>0</v>
          </cell>
          <cell r="C2755">
            <v>0</v>
          </cell>
          <cell r="D2755" t="e">
            <v>#VALUE!</v>
          </cell>
          <cell r="E2755" t="e">
            <v>#VALUE!</v>
          </cell>
          <cell r="F2755">
            <v>0</v>
          </cell>
        </row>
        <row r="2756">
          <cell r="A2756" t="str">
            <v>RXNPSK5A</v>
          </cell>
          <cell r="B2756">
            <v>0</v>
          </cell>
          <cell r="C2756">
            <v>0</v>
          </cell>
          <cell r="D2756" t="e">
            <v>#VALUE!</v>
          </cell>
          <cell r="E2756" t="e">
            <v>#VALUE!</v>
          </cell>
          <cell r="F2756">
            <v>0</v>
          </cell>
        </row>
        <row r="2757">
          <cell r="A2757" t="str">
            <v>RXNPSK6A</v>
          </cell>
          <cell r="B2757">
            <v>0</v>
          </cell>
          <cell r="C2757">
            <v>0</v>
          </cell>
          <cell r="D2757" t="e">
            <v>#VALUE!</v>
          </cell>
          <cell r="E2757" t="e">
            <v>#VALUE!</v>
          </cell>
          <cell r="F2757">
            <v>0</v>
          </cell>
        </row>
        <row r="2758">
          <cell r="A2758" t="str">
            <v>RXNPSK7A</v>
          </cell>
          <cell r="B2758">
            <v>0</v>
          </cell>
          <cell r="C2758">
            <v>0</v>
          </cell>
          <cell r="D2758" t="e">
            <v>#VALUE!</v>
          </cell>
          <cell r="E2758" t="e">
            <v>#VALUE!</v>
          </cell>
          <cell r="F2758">
            <v>0</v>
          </cell>
        </row>
        <row r="2759">
          <cell r="A2759" t="str">
            <v>RXNPNLPA</v>
          </cell>
          <cell r="B2759">
            <v>-4.5238150386554378E-3</v>
          </cell>
          <cell r="C2759">
            <v>0</v>
          </cell>
          <cell r="D2759" t="e">
            <v>#VALUE!</v>
          </cell>
          <cell r="E2759" t="e">
            <v>#VALUE!</v>
          </cell>
          <cell r="F2759">
            <v>0</v>
          </cell>
        </row>
        <row r="2760">
          <cell r="A2760" t="str">
            <v>RXNPFHTA</v>
          </cell>
          <cell r="B2760">
            <v>1.072799438662103E-2</v>
          </cell>
          <cell r="C2760">
            <v>0</v>
          </cell>
          <cell r="D2760" t="e">
            <v>#VALUE!</v>
          </cell>
          <cell r="E2760" t="e">
            <v>#VALUE!</v>
          </cell>
          <cell r="F2760">
            <v>0</v>
          </cell>
        </row>
        <row r="2761">
          <cell r="A2761" t="str">
            <v>RXNPNHTA</v>
          </cell>
          <cell r="B2761">
            <v>5.3424400681799612E-3</v>
          </cell>
          <cell r="C2761">
            <v>0</v>
          </cell>
          <cell r="D2761" t="e">
            <v>#VALUE!</v>
          </cell>
          <cell r="E2761" t="e">
            <v>#VALUE!</v>
          </cell>
          <cell r="F2761">
            <v>0</v>
          </cell>
        </row>
        <row r="2762">
          <cell r="A2762" t="str">
            <v>RXNPNPCA</v>
          </cell>
          <cell r="B2762">
            <v>0</v>
          </cell>
          <cell r="C2762">
            <v>0</v>
          </cell>
          <cell r="D2762" t="e">
            <v>#VALUE!</v>
          </cell>
          <cell r="E2762" t="e">
            <v>#VALUE!</v>
          </cell>
          <cell r="F2762">
            <v>0</v>
          </cell>
        </row>
        <row r="2763">
          <cell r="A2763" t="str">
            <v>RXNPBNPA</v>
          </cell>
          <cell r="B2763">
            <v>0</v>
          </cell>
          <cell r="C2763">
            <v>0</v>
          </cell>
          <cell r="D2763" t="e">
            <v>#VALUE!</v>
          </cell>
          <cell r="E2763" t="e">
            <v>#VALUE!</v>
          </cell>
          <cell r="F2763">
            <v>0</v>
          </cell>
        </row>
        <row r="2764">
          <cell r="A2764" t="str">
            <v>RRVINBOA</v>
          </cell>
          <cell r="B2764">
            <v>1.6184584262552798E-4</v>
          </cell>
          <cell r="C2764">
            <v>0</v>
          </cell>
          <cell r="D2764" t="e">
            <v>#VALUE!</v>
          </cell>
          <cell r="E2764" t="e">
            <v>#VALUE!</v>
          </cell>
          <cell r="F2764">
            <v>0</v>
          </cell>
        </row>
        <row r="2765">
          <cell r="A2765" t="str">
            <v>RRVICAMA</v>
          </cell>
          <cell r="B2765">
            <v>0</v>
          </cell>
          <cell r="C2765">
            <v>0</v>
          </cell>
          <cell r="D2765" t="e">
            <v>#VALUE!</v>
          </cell>
          <cell r="E2765" t="e">
            <v>#VALUE!</v>
          </cell>
          <cell r="F2765">
            <v>0</v>
          </cell>
        </row>
        <row r="2766">
          <cell r="A2766" t="str">
            <v>RRVIT14A</v>
          </cell>
          <cell r="B2766">
            <v>-5.184261166692049E-4</v>
          </cell>
          <cell r="C2766">
            <v>0</v>
          </cell>
          <cell r="D2766" t="e">
            <v>#VALUE!</v>
          </cell>
          <cell r="E2766" t="e">
            <v>#VALUE!</v>
          </cell>
          <cell r="F2766">
            <v>0</v>
          </cell>
        </row>
        <row r="2767">
          <cell r="A2767" t="str">
            <v>RRVINCAA</v>
          </cell>
          <cell r="B2767">
            <v>0</v>
          </cell>
          <cell r="C2767">
            <v>0</v>
          </cell>
          <cell r="D2767" t="e">
            <v>#VALUE!</v>
          </cell>
          <cell r="E2767" t="e">
            <v>#VALUE!</v>
          </cell>
          <cell r="F2767">
            <v>0</v>
          </cell>
        </row>
        <row r="2768">
          <cell r="A2768" t="str">
            <v>RRONLCAA</v>
          </cell>
          <cell r="B2768">
            <v>9.1274775195968882E-2</v>
          </cell>
          <cell r="C2768">
            <v>0</v>
          </cell>
          <cell r="D2768" t="e">
            <v>#VALUE!</v>
          </cell>
          <cell r="E2768" t="e">
            <v>#VALUE!</v>
          </cell>
          <cell r="F2768">
            <v>0</v>
          </cell>
        </row>
        <row r="2769">
          <cell r="A2769" t="str">
            <v>RRONLCBA</v>
          </cell>
          <cell r="B2769">
            <v>1.4087007409089232E-2</v>
          </cell>
          <cell r="C2769">
            <v>0</v>
          </cell>
          <cell r="D2769" t="e">
            <v>#VALUE!</v>
          </cell>
          <cell r="E2769" t="e">
            <v>#VALUE!</v>
          </cell>
          <cell r="F2769">
            <v>0</v>
          </cell>
        </row>
        <row r="2770">
          <cell r="A2770" t="str">
            <v>RRONLCTA</v>
          </cell>
          <cell r="B2770">
            <v>-6.0833507651233507E-2</v>
          </cell>
          <cell r="C2770">
            <v>0</v>
          </cell>
          <cell r="D2770" t="e">
            <v>#VALUE!</v>
          </cell>
          <cell r="E2770" t="e">
            <v>#VALUE!</v>
          </cell>
          <cell r="F2770">
            <v>0</v>
          </cell>
        </row>
        <row r="2771">
          <cell r="A2771" t="str">
            <v>RRONNBOA</v>
          </cell>
          <cell r="B2771">
            <v>2.7601859797021908E-4</v>
          </cell>
          <cell r="C2771">
            <v>0</v>
          </cell>
          <cell r="D2771" t="e">
            <v>#VALUE!</v>
          </cell>
          <cell r="E2771" t="e">
            <v>#VALUE!</v>
          </cell>
          <cell r="F2771">
            <v>0</v>
          </cell>
        </row>
        <row r="2772">
          <cell r="A2772" t="str">
            <v>RRONCAMA</v>
          </cell>
          <cell r="B2772">
            <v>2.2594868817714711E-7</v>
          </cell>
          <cell r="C2772">
            <v>0</v>
          </cell>
          <cell r="D2772" t="e">
            <v>#VALUE!</v>
          </cell>
          <cell r="E2772" t="e">
            <v>#VALUE!</v>
          </cell>
          <cell r="F2772">
            <v>0</v>
          </cell>
        </row>
        <row r="2773">
          <cell r="A2773" t="str">
            <v>RRONT14A</v>
          </cell>
          <cell r="B2773">
            <v>-2.2902938392338635E-2</v>
          </cell>
          <cell r="C2773">
            <v>0</v>
          </cell>
          <cell r="D2773" t="e">
            <v>#VALUE!</v>
          </cell>
          <cell r="E2773" t="e">
            <v>#VALUE!</v>
          </cell>
          <cell r="F2773">
            <v>0</v>
          </cell>
        </row>
        <row r="2774">
          <cell r="A2774" t="str">
            <v>RRONNCAA</v>
          </cell>
          <cell r="B2774">
            <v>-3.5921912334144932E-3</v>
          </cell>
          <cell r="C2774">
            <v>0</v>
          </cell>
          <cell r="D2774" t="e">
            <v>#VALUE!</v>
          </cell>
          <cell r="E2774" t="e">
            <v>#VALUE!</v>
          </cell>
          <cell r="F2774">
            <v>0</v>
          </cell>
        </row>
        <row r="2775">
          <cell r="A2775" t="str">
            <v>RRONLCXA</v>
          </cell>
          <cell r="B2775">
            <v>-6.0885331685310358E-2</v>
          </cell>
          <cell r="C2775">
            <v>0</v>
          </cell>
          <cell r="D2775" t="e">
            <v>#VALUE!</v>
          </cell>
          <cell r="E2775" t="e">
            <v>#VALUE!</v>
          </cell>
          <cell r="F2775">
            <v>0</v>
          </cell>
        </row>
        <row r="2776">
          <cell r="A2776" t="str">
            <v>RRONLCIA</v>
          </cell>
          <cell r="B2776">
            <v>-6.0885331685310358E-2</v>
          </cell>
          <cell r="C2776">
            <v>0</v>
          </cell>
          <cell r="D2776" t="e">
            <v>#VALUE!</v>
          </cell>
          <cell r="E2776" t="e">
            <v>#VALUE!</v>
          </cell>
          <cell r="F2776">
            <v>0</v>
          </cell>
        </row>
        <row r="2777">
          <cell r="A2777" t="str">
            <v>RRONLCJA</v>
          </cell>
          <cell r="B2777">
            <v>-6.0885331685310358E-2</v>
          </cell>
          <cell r="C2777">
            <v>0</v>
          </cell>
          <cell r="D2777" t="e">
            <v>#VALUE!</v>
          </cell>
          <cell r="E2777" t="e">
            <v>#VALUE!</v>
          </cell>
          <cell r="F2777">
            <v>0</v>
          </cell>
        </row>
        <row r="2778">
          <cell r="A2778" t="str">
            <v>RRONLCKA</v>
          </cell>
          <cell r="B2778">
            <v>-6.0885331685310358E-2</v>
          </cell>
          <cell r="C2778">
            <v>0</v>
          </cell>
          <cell r="D2778" t="e">
            <v>#VALUE!</v>
          </cell>
          <cell r="E2778" t="e">
            <v>#VALUE!</v>
          </cell>
          <cell r="F2778">
            <v>0</v>
          </cell>
        </row>
        <row r="2779">
          <cell r="A2779" t="str">
            <v>RRONRCJA</v>
          </cell>
          <cell r="B2779">
            <v>-6.0885331685310358E-2</v>
          </cell>
          <cell r="C2779">
            <v>0</v>
          </cell>
          <cell r="D2779" t="e">
            <v>#VALUE!</v>
          </cell>
          <cell r="E2779" t="e">
            <v>#VALUE!</v>
          </cell>
          <cell r="F2779">
            <v>0</v>
          </cell>
        </row>
        <row r="2780">
          <cell r="A2780" t="str">
            <v>RRONRCKA</v>
          </cell>
          <cell r="B2780">
            <v>-6.0885331685310358E-2</v>
          </cell>
          <cell r="C2780">
            <v>0</v>
          </cell>
          <cell r="D2780" t="e">
            <v>#VALUE!</v>
          </cell>
          <cell r="E2780" t="e">
            <v>#VALUE!</v>
          </cell>
          <cell r="F2780">
            <v>0</v>
          </cell>
        </row>
        <row r="2781">
          <cell r="A2781" t="str">
            <v>RRONLCZA</v>
          </cell>
          <cell r="B2781">
            <v>-4.1972666922701546E-2</v>
          </cell>
          <cell r="C2781">
            <v>0</v>
          </cell>
          <cell r="D2781" t="e">
            <v>#VALUE!</v>
          </cell>
          <cell r="E2781" t="e">
            <v>#VALUE!</v>
          </cell>
          <cell r="F2781">
            <v>0</v>
          </cell>
        </row>
        <row r="2782">
          <cell r="A2782" t="str">
            <v>RMONLCAA</v>
          </cell>
          <cell r="B2782">
            <v>-2.5413568623440519E-2</v>
          </cell>
          <cell r="C2782">
            <v>0</v>
          </cell>
          <cell r="D2782" t="e">
            <v>#VALUE!</v>
          </cell>
          <cell r="E2782" t="e">
            <v>#VALUE!</v>
          </cell>
          <cell r="F2782">
            <v>0</v>
          </cell>
        </row>
        <row r="2783">
          <cell r="A2783" t="str">
            <v>RMONLCBA</v>
          </cell>
          <cell r="B2783">
            <v>-1.4847382055978253E-2</v>
          </cell>
          <cell r="C2783">
            <v>0</v>
          </cell>
          <cell r="D2783" t="e">
            <v>#VALUE!</v>
          </cell>
          <cell r="E2783" t="e">
            <v>#VALUE!</v>
          </cell>
          <cell r="F2783">
            <v>0</v>
          </cell>
        </row>
        <row r="2784">
          <cell r="A2784" t="str">
            <v>RMONLCTA</v>
          </cell>
          <cell r="B2784">
            <v>-4.7253064950290198E-2</v>
          </cell>
          <cell r="C2784">
            <v>0</v>
          </cell>
          <cell r="D2784" t="e">
            <v>#VALUE!</v>
          </cell>
          <cell r="E2784" t="e">
            <v>#VALUE!</v>
          </cell>
          <cell r="F2784">
            <v>0</v>
          </cell>
        </row>
        <row r="2785">
          <cell r="A2785" t="str">
            <v>RMONNBOA</v>
          </cell>
          <cell r="B2785">
            <v>2.560606186456774E-4</v>
          </cell>
          <cell r="C2785">
            <v>0</v>
          </cell>
          <cell r="D2785" t="e">
            <v>#VALUE!</v>
          </cell>
          <cell r="E2785" t="e">
            <v>#VALUE!</v>
          </cell>
          <cell r="F2785">
            <v>0</v>
          </cell>
        </row>
        <row r="2786">
          <cell r="A2786" t="str">
            <v>RMONCAMA</v>
          </cell>
          <cell r="B2786">
            <v>0</v>
          </cell>
          <cell r="C2786">
            <v>0</v>
          </cell>
          <cell r="D2786" t="e">
            <v>#VALUE!</v>
          </cell>
          <cell r="E2786" t="e">
            <v>#VALUE!</v>
          </cell>
          <cell r="F2786">
            <v>0</v>
          </cell>
        </row>
        <row r="2787">
          <cell r="A2787" t="str">
            <v>RMONT14A</v>
          </cell>
          <cell r="B2787">
            <v>1.6170347221706013E-2</v>
          </cell>
          <cell r="C2787">
            <v>0</v>
          </cell>
          <cell r="D2787" t="e">
            <v>#VALUE!</v>
          </cell>
          <cell r="E2787" t="e">
            <v>#VALUE!</v>
          </cell>
          <cell r="F2787">
            <v>0</v>
          </cell>
        </row>
        <row r="2788">
          <cell r="A2788" t="str">
            <v>RMONNCAA</v>
          </cell>
          <cell r="B2788">
            <v>1.4309914604033509E-2</v>
          </cell>
          <cell r="C2788">
            <v>0</v>
          </cell>
          <cell r="D2788" t="e">
            <v>#VALUE!</v>
          </cell>
          <cell r="E2788" t="e">
            <v>#VALUE!</v>
          </cell>
          <cell r="F2788">
            <v>0</v>
          </cell>
        </row>
        <row r="2789">
          <cell r="A2789" t="str">
            <v>RMONLCXA</v>
          </cell>
          <cell r="B2789">
            <v>-4.7270644322828681E-2</v>
          </cell>
          <cell r="C2789">
            <v>0</v>
          </cell>
          <cell r="D2789" t="e">
            <v>#VALUE!</v>
          </cell>
          <cell r="E2789" t="e">
            <v>#VALUE!</v>
          </cell>
          <cell r="F2789">
            <v>0</v>
          </cell>
        </row>
        <row r="2790">
          <cell r="A2790" t="str">
            <v>RMONLCIA</v>
          </cell>
          <cell r="B2790">
            <v>-4.7270644322828681E-2</v>
          </cell>
          <cell r="C2790">
            <v>0</v>
          </cell>
          <cell r="D2790" t="e">
            <v>#VALUE!</v>
          </cell>
          <cell r="E2790" t="e">
            <v>#VALUE!</v>
          </cell>
          <cell r="F2790">
            <v>0</v>
          </cell>
        </row>
        <row r="2791">
          <cell r="A2791" t="str">
            <v>RMONLCJA</v>
          </cell>
          <cell r="B2791">
            <v>-4.7270644322828681E-2</v>
          </cell>
          <cell r="C2791">
            <v>0</v>
          </cell>
          <cell r="D2791" t="e">
            <v>#VALUE!</v>
          </cell>
          <cell r="E2791" t="e">
            <v>#VALUE!</v>
          </cell>
          <cell r="F2791">
            <v>0</v>
          </cell>
        </row>
        <row r="2792">
          <cell r="A2792" t="str">
            <v>RMONLCKA</v>
          </cell>
          <cell r="B2792">
            <v>-4.7270644322828681E-2</v>
          </cell>
          <cell r="C2792">
            <v>0</v>
          </cell>
          <cell r="D2792" t="e">
            <v>#VALUE!</v>
          </cell>
          <cell r="E2792" t="e">
            <v>#VALUE!</v>
          </cell>
          <cell r="F2792">
            <v>0</v>
          </cell>
        </row>
        <row r="2793">
          <cell r="A2793" t="str">
            <v>RMONRCJA</v>
          </cell>
          <cell r="B2793">
            <v>-4.7270644322828681E-2</v>
          </cell>
          <cell r="C2793">
            <v>0</v>
          </cell>
          <cell r="D2793" t="e">
            <v>#VALUE!</v>
          </cell>
          <cell r="E2793" t="e">
            <v>#VALUE!</v>
          </cell>
          <cell r="F2793">
            <v>0</v>
          </cell>
        </row>
        <row r="2794">
          <cell r="A2794" t="str">
            <v>RMONRCKA</v>
          </cell>
          <cell r="B2794">
            <v>-4.7270644322828681E-2</v>
          </cell>
          <cell r="C2794">
            <v>0</v>
          </cell>
          <cell r="D2794" t="e">
            <v>#VALUE!</v>
          </cell>
          <cell r="E2794" t="e">
            <v>#VALUE!</v>
          </cell>
          <cell r="F2794">
            <v>0</v>
          </cell>
        </row>
        <row r="2795">
          <cell r="A2795" t="str">
            <v>RMONLCZA</v>
          </cell>
          <cell r="B2795">
            <v>-3.4049471460078674E-2</v>
          </cell>
          <cell r="C2795">
            <v>0</v>
          </cell>
          <cell r="D2795" t="e">
            <v>#VALUE!</v>
          </cell>
          <cell r="E2795" t="e">
            <v>#VALUE!</v>
          </cell>
          <cell r="F2795">
            <v>0</v>
          </cell>
        </row>
        <row r="2796">
          <cell r="A2796" t="str">
            <v>RDONLCAA</v>
          </cell>
          <cell r="B2796">
            <v>5.3832152460331788E-2</v>
          </cell>
          <cell r="C2796">
            <v>0</v>
          </cell>
          <cell r="D2796" t="e">
            <v>#VALUE!</v>
          </cell>
          <cell r="E2796" t="e">
            <v>#VALUE!</v>
          </cell>
          <cell r="F2796">
            <v>0</v>
          </cell>
        </row>
        <row r="2797">
          <cell r="A2797" t="str">
            <v>RDONLCBA</v>
          </cell>
          <cell r="B2797">
            <v>-1.7292743793701472E-2</v>
          </cell>
          <cell r="C2797">
            <v>0</v>
          </cell>
          <cell r="D2797" t="e">
            <v>#VALUE!</v>
          </cell>
          <cell r="E2797" t="e">
            <v>#VALUE!</v>
          </cell>
          <cell r="F2797">
            <v>0</v>
          </cell>
        </row>
        <row r="2798">
          <cell r="A2798" t="str">
            <v>RDONLCTA</v>
          </cell>
          <cell r="B2798">
            <v>-4.3428660219946673E-2</v>
          </cell>
          <cell r="C2798">
            <v>0</v>
          </cell>
          <cell r="D2798" t="e">
            <v>#VALUE!</v>
          </cell>
          <cell r="E2798" t="e">
            <v>#VALUE!</v>
          </cell>
          <cell r="F2798">
            <v>0</v>
          </cell>
        </row>
        <row r="2799">
          <cell r="A2799" t="str">
            <v>RDONNBOA</v>
          </cell>
          <cell r="B2799">
            <v>2.6692131499134718E-4</v>
          </cell>
          <cell r="C2799">
            <v>0</v>
          </cell>
          <cell r="D2799" t="e">
            <v>#VALUE!</v>
          </cell>
          <cell r="E2799" t="e">
            <v>#VALUE!</v>
          </cell>
          <cell r="F2799">
            <v>0</v>
          </cell>
        </row>
        <row r="2800">
          <cell r="A2800" t="str">
            <v>RDONCAMA</v>
          </cell>
          <cell r="B2800">
            <v>0</v>
          </cell>
          <cell r="C2800">
            <v>0</v>
          </cell>
          <cell r="D2800" t="e">
            <v>#VALUE!</v>
          </cell>
          <cell r="E2800" t="e">
            <v>#VALUE!</v>
          </cell>
          <cell r="F2800">
            <v>0</v>
          </cell>
        </row>
        <row r="2801">
          <cell r="A2801" t="str">
            <v>RDONT14A</v>
          </cell>
          <cell r="B2801">
            <v>2.2257047631356813E-2</v>
          </cell>
          <cell r="C2801">
            <v>0</v>
          </cell>
          <cell r="D2801" t="e">
            <v>#VALUE!</v>
          </cell>
          <cell r="E2801" t="e">
            <v>#VALUE!</v>
          </cell>
          <cell r="F2801">
            <v>0</v>
          </cell>
        </row>
        <row r="2802">
          <cell r="A2802" t="str">
            <v>RDONNCAA</v>
          </cell>
          <cell r="B2802">
            <v>1.141914701829218E-2</v>
          </cell>
          <cell r="C2802">
            <v>0</v>
          </cell>
          <cell r="D2802" t="e">
            <v>#VALUE!</v>
          </cell>
          <cell r="E2802" t="e">
            <v>#VALUE!</v>
          </cell>
          <cell r="F2802">
            <v>0</v>
          </cell>
        </row>
        <row r="2803">
          <cell r="A2803" t="str">
            <v>RDONLCXA</v>
          </cell>
          <cell r="B2803">
            <v>-4.3359259359318482E-2</v>
          </cell>
          <cell r="C2803">
            <v>0</v>
          </cell>
          <cell r="D2803" t="e">
            <v>#VALUE!</v>
          </cell>
          <cell r="E2803" t="e">
            <v>#VALUE!</v>
          </cell>
          <cell r="F2803">
            <v>0</v>
          </cell>
        </row>
        <row r="2804">
          <cell r="A2804" t="str">
            <v>RDONLCIA</v>
          </cell>
          <cell r="B2804">
            <v>-4.3359259359318482E-2</v>
          </cell>
          <cell r="C2804">
            <v>0</v>
          </cell>
          <cell r="D2804" t="e">
            <v>#VALUE!</v>
          </cell>
          <cell r="E2804" t="e">
            <v>#VALUE!</v>
          </cell>
          <cell r="F2804">
            <v>0</v>
          </cell>
        </row>
        <row r="2805">
          <cell r="A2805" t="str">
            <v>RDONLCJA</v>
          </cell>
          <cell r="B2805">
            <v>-4.3359259359318482E-2</v>
          </cell>
          <cell r="C2805">
            <v>0</v>
          </cell>
          <cell r="D2805" t="e">
            <v>#VALUE!</v>
          </cell>
          <cell r="E2805" t="e">
            <v>#VALUE!</v>
          </cell>
          <cell r="F2805">
            <v>0</v>
          </cell>
        </row>
        <row r="2806">
          <cell r="A2806" t="str">
            <v>RDONLCKA</v>
          </cell>
          <cell r="B2806">
            <v>-4.3359259359318482E-2</v>
          </cell>
          <cell r="C2806">
            <v>0</v>
          </cell>
          <cell r="D2806" t="e">
            <v>#VALUE!</v>
          </cell>
          <cell r="E2806" t="e">
            <v>#VALUE!</v>
          </cell>
          <cell r="F2806">
            <v>0</v>
          </cell>
        </row>
        <row r="2807">
          <cell r="A2807" t="str">
            <v>RDONRCJA</v>
          </cell>
          <cell r="B2807">
            <v>-4.3359259359318482E-2</v>
          </cell>
          <cell r="C2807">
            <v>0</v>
          </cell>
          <cell r="D2807" t="e">
            <v>#VALUE!</v>
          </cell>
          <cell r="E2807" t="e">
            <v>#VALUE!</v>
          </cell>
          <cell r="F2807">
            <v>0</v>
          </cell>
        </row>
        <row r="2808">
          <cell r="A2808" t="str">
            <v>RDONRCKA</v>
          </cell>
          <cell r="B2808">
            <v>-4.3359259359318482E-2</v>
          </cell>
          <cell r="C2808">
            <v>0</v>
          </cell>
          <cell r="D2808" t="e">
            <v>#VALUE!</v>
          </cell>
          <cell r="E2808" t="e">
            <v>#VALUE!</v>
          </cell>
          <cell r="F2808">
            <v>0</v>
          </cell>
        </row>
        <row r="2809">
          <cell r="A2809" t="str">
            <v>RDONLCZA</v>
          </cell>
          <cell r="B2809">
            <v>-2.9586710605677854E-2</v>
          </cell>
          <cell r="C2809">
            <v>0</v>
          </cell>
          <cell r="D2809" t="e">
            <v>#VALUE!</v>
          </cell>
          <cell r="E2809" t="e">
            <v>#VALUE!</v>
          </cell>
          <cell r="F2809">
            <v>0</v>
          </cell>
        </row>
        <row r="2810">
          <cell r="A2810" t="str">
            <v>RNAPBT2A</v>
          </cell>
          <cell r="B2810">
            <v>-7.2210537323932325E-5</v>
          </cell>
          <cell r="C2810">
            <v>0</v>
          </cell>
          <cell r="D2810" t="e">
            <v>#VALUE!</v>
          </cell>
          <cell r="E2810" t="e">
            <v>#VALUE!</v>
          </cell>
          <cell r="F2810">
            <v>0</v>
          </cell>
        </row>
        <row r="2811">
          <cell r="A2811" t="str">
            <v>RNAPWN1A</v>
          </cell>
          <cell r="B2811">
            <v>-1.4662046516704858E-3</v>
          </cell>
          <cell r="C2811">
            <v>0</v>
          </cell>
          <cell r="D2811" t="e">
            <v>#VALUE!</v>
          </cell>
          <cell r="E2811" t="e">
            <v>#VALUE!</v>
          </cell>
          <cell r="F2811">
            <v>0</v>
          </cell>
        </row>
        <row r="2812">
          <cell r="A2812" t="str">
            <v>RNAPWN2A</v>
          </cell>
          <cell r="B2812">
            <v>0</v>
          </cell>
          <cell r="C2812">
            <v>0</v>
          </cell>
          <cell r="D2812" t="e">
            <v>#VALUE!</v>
          </cell>
          <cell r="E2812" t="e">
            <v>#VALUE!</v>
          </cell>
          <cell r="F2812">
            <v>0</v>
          </cell>
        </row>
        <row r="2813">
          <cell r="A2813" t="str">
            <v>RNAPWN3A</v>
          </cell>
          <cell r="B2813">
            <v>4.5013289994517123E-4</v>
          </cell>
          <cell r="C2813">
            <v>0</v>
          </cell>
          <cell r="D2813" t="e">
            <v>#VALUE!</v>
          </cell>
          <cell r="E2813" t="e">
            <v>#VALUE!</v>
          </cell>
          <cell r="F2813">
            <v>0</v>
          </cell>
        </row>
        <row r="2814">
          <cell r="A2814" t="str">
            <v>RNAPWN4A</v>
          </cell>
          <cell r="B2814">
            <v>-3.0891797359799965E-5</v>
          </cell>
          <cell r="C2814">
            <v>0</v>
          </cell>
          <cell r="D2814" t="e">
            <v>#VALUE!</v>
          </cell>
          <cell r="E2814" t="e">
            <v>#VALUE!</v>
          </cell>
          <cell r="F2814">
            <v>0</v>
          </cell>
        </row>
        <row r="2815">
          <cell r="A2815" t="str">
            <v>RNAPPN1A</v>
          </cell>
          <cell r="B2815">
            <v>-3.4910479796664034E-4</v>
          </cell>
          <cell r="C2815">
            <v>0</v>
          </cell>
          <cell r="D2815" t="e">
            <v>#VALUE!</v>
          </cell>
          <cell r="E2815" t="e">
            <v>#VALUE!</v>
          </cell>
          <cell r="F2815">
            <v>0</v>
          </cell>
        </row>
        <row r="2816">
          <cell r="A2816" t="str">
            <v>RNAPPN2A</v>
          </cell>
          <cell r="B2816">
            <v>0</v>
          </cell>
          <cell r="C2816">
            <v>0</v>
          </cell>
          <cell r="D2816" t="e">
            <v>#VALUE!</v>
          </cell>
          <cell r="E2816" t="e">
            <v>#VALUE!</v>
          </cell>
          <cell r="F2816">
            <v>0</v>
          </cell>
        </row>
        <row r="2817">
          <cell r="A2817" t="str">
            <v>RNAPPN3A</v>
          </cell>
          <cell r="B2817">
            <v>-2.9831134838575165E-3</v>
          </cell>
          <cell r="C2817">
            <v>0</v>
          </cell>
          <cell r="D2817" t="e">
            <v>#VALUE!</v>
          </cell>
          <cell r="E2817" t="e">
            <v>#VALUE!</v>
          </cell>
          <cell r="F2817">
            <v>0</v>
          </cell>
        </row>
        <row r="2818">
          <cell r="A2818" t="str">
            <v>RNAPPN4A</v>
          </cell>
          <cell r="B2818">
            <v>-3.0433655375119301E-3</v>
          </cell>
          <cell r="C2818">
            <v>0</v>
          </cell>
          <cell r="D2818" t="e">
            <v>#VALUE!</v>
          </cell>
          <cell r="E2818" t="e">
            <v>#VALUE!</v>
          </cell>
          <cell r="F2818">
            <v>0</v>
          </cell>
        </row>
        <row r="2819">
          <cell r="A2819" t="str">
            <v>RNAPSK1A</v>
          </cell>
          <cell r="B2819">
            <v>-1.0026081075023921E-4</v>
          </cell>
          <cell r="C2819">
            <v>0</v>
          </cell>
          <cell r="D2819" t="e">
            <v>#VALUE!</v>
          </cell>
          <cell r="E2819" t="e">
            <v>#VALUE!</v>
          </cell>
          <cell r="F2819">
            <v>0</v>
          </cell>
        </row>
        <row r="2820">
          <cell r="A2820" t="str">
            <v>RNAPSK2A</v>
          </cell>
          <cell r="B2820">
            <v>-1.9922516532634999E-6</v>
          </cell>
          <cell r="C2820">
            <v>0</v>
          </cell>
          <cell r="D2820" t="e">
            <v>#VALUE!</v>
          </cell>
          <cell r="E2820" t="e">
            <v>#VALUE!</v>
          </cell>
          <cell r="F2820">
            <v>0</v>
          </cell>
        </row>
        <row r="2821">
          <cell r="A2821" t="str">
            <v>RNAPSK3A</v>
          </cell>
          <cell r="B2821">
            <v>0</v>
          </cell>
          <cell r="C2821">
            <v>0</v>
          </cell>
          <cell r="D2821" t="e">
            <v>#VALUE!</v>
          </cell>
          <cell r="E2821" t="e">
            <v>#VALUE!</v>
          </cell>
          <cell r="F2821">
            <v>0</v>
          </cell>
        </row>
        <row r="2822">
          <cell r="A2822" t="str">
            <v>RNAPSK5A</v>
          </cell>
          <cell r="B2822">
            <v>0</v>
          </cell>
          <cell r="C2822">
            <v>0</v>
          </cell>
          <cell r="D2822" t="e">
            <v>#VALUE!</v>
          </cell>
          <cell r="E2822" t="e">
            <v>#VALUE!</v>
          </cell>
          <cell r="F2822">
            <v>0</v>
          </cell>
        </row>
        <row r="2823">
          <cell r="A2823" t="str">
            <v>RNAPSK6A</v>
          </cell>
          <cell r="B2823">
            <v>-4.4062792039300165E-6</v>
          </cell>
          <cell r="C2823">
            <v>0</v>
          </cell>
          <cell r="D2823" t="e">
            <v>#VALUE!</v>
          </cell>
          <cell r="E2823" t="e">
            <v>#VALUE!</v>
          </cell>
          <cell r="F2823">
            <v>0</v>
          </cell>
        </row>
        <row r="2824">
          <cell r="A2824" t="str">
            <v>RNAPSK7A</v>
          </cell>
          <cell r="B2824">
            <v>-7.4031859449947557E-7</v>
          </cell>
          <cell r="C2824">
            <v>0</v>
          </cell>
          <cell r="D2824" t="e">
            <v>#VALUE!</v>
          </cell>
          <cell r="E2824" t="e">
            <v>#VALUE!</v>
          </cell>
          <cell r="F2824">
            <v>0</v>
          </cell>
        </row>
        <row r="2825">
          <cell r="A2825" t="str">
            <v>RNAPLK2A</v>
          </cell>
          <cell r="B2825">
            <v>0</v>
          </cell>
          <cell r="C2825">
            <v>0</v>
          </cell>
          <cell r="D2825" t="e">
            <v>#VALUE!</v>
          </cell>
          <cell r="E2825" t="e">
            <v>#VALUE!</v>
          </cell>
          <cell r="F2825">
            <v>0</v>
          </cell>
        </row>
        <row r="2826">
          <cell r="A2826" t="str">
            <v>RNAPLK3A</v>
          </cell>
          <cell r="B2826">
            <v>2.6509833385392847E-3</v>
          </cell>
          <cell r="C2826">
            <v>0</v>
          </cell>
          <cell r="D2826" t="e">
            <v>#VALUE!</v>
          </cell>
          <cell r="E2826" t="e">
            <v>#VALUE!</v>
          </cell>
          <cell r="F2826">
            <v>0</v>
          </cell>
        </row>
        <row r="2827">
          <cell r="A2827" t="str">
            <v>RNAPLK4A</v>
          </cell>
          <cell r="B2827">
            <v>-4.0392037413293521E-5</v>
          </cell>
          <cell r="C2827">
            <v>0</v>
          </cell>
          <cell r="D2827" t="e">
            <v>#VALUE!</v>
          </cell>
          <cell r="E2827" t="e">
            <v>#VALUE!</v>
          </cell>
          <cell r="F2827">
            <v>0</v>
          </cell>
        </row>
        <row r="2828">
          <cell r="A2828" t="str">
            <v>RNAPSG3A</v>
          </cell>
          <cell r="B2828">
            <v>0</v>
          </cell>
          <cell r="C2828">
            <v>0</v>
          </cell>
          <cell r="D2828" t="e">
            <v>#VALUE!</v>
          </cell>
          <cell r="E2828" t="e">
            <v>#VALUE!</v>
          </cell>
          <cell r="F2828">
            <v>0</v>
          </cell>
        </row>
        <row r="2829">
          <cell r="A2829" t="str">
            <v>RNAPSG4A</v>
          </cell>
          <cell r="B2829">
            <v>-9.5397588576242806E-5</v>
          </cell>
          <cell r="C2829">
            <v>0</v>
          </cell>
          <cell r="D2829" t="e">
            <v>#VALUE!</v>
          </cell>
          <cell r="E2829" t="e">
            <v>#VALUE!</v>
          </cell>
          <cell r="F2829">
            <v>0</v>
          </cell>
        </row>
        <row r="2830">
          <cell r="A2830" t="str">
            <v>RNAPSG5A</v>
          </cell>
          <cell r="B2830">
            <v>0</v>
          </cell>
          <cell r="C2830">
            <v>0</v>
          </cell>
          <cell r="D2830" t="e">
            <v>#VALUE!</v>
          </cell>
          <cell r="E2830" t="e">
            <v>#VALUE!</v>
          </cell>
          <cell r="F2830">
            <v>0</v>
          </cell>
        </row>
        <row r="2831">
          <cell r="A2831" t="str">
            <v>RNAPSG6A</v>
          </cell>
          <cell r="B2831">
            <v>5.0338649044714322E-6</v>
          </cell>
          <cell r="C2831">
            <v>0</v>
          </cell>
          <cell r="D2831" t="e">
            <v>#VALUE!</v>
          </cell>
          <cell r="E2831" t="e">
            <v>#VALUE!</v>
          </cell>
          <cell r="F2831">
            <v>0</v>
          </cell>
        </row>
        <row r="2832">
          <cell r="A2832" t="str">
            <v>RNAPSG7A</v>
          </cell>
          <cell r="B2832">
            <v>-1.850796475020167E-5</v>
          </cell>
          <cell r="C2832">
            <v>0</v>
          </cell>
          <cell r="D2832" t="e">
            <v>#VALUE!</v>
          </cell>
          <cell r="E2832" t="e">
            <v>#VALUE!</v>
          </cell>
          <cell r="F2832">
            <v>0</v>
          </cell>
        </row>
        <row r="2833">
          <cell r="A2833" t="str">
            <v>RNAPPA1A</v>
          </cell>
          <cell r="B2833">
            <v>-3.7198612912580346E-4</v>
          </cell>
          <cell r="C2833">
            <v>0</v>
          </cell>
          <cell r="D2833" t="e">
            <v>#VALUE!</v>
          </cell>
          <cell r="E2833" t="e">
            <v>#VALUE!</v>
          </cell>
          <cell r="F2833">
            <v>0</v>
          </cell>
        </row>
        <row r="2834">
          <cell r="A2834" t="str">
            <v>RNAPPA2A</v>
          </cell>
          <cell r="B2834">
            <v>0</v>
          </cell>
          <cell r="C2834">
            <v>0</v>
          </cell>
          <cell r="D2834" t="e">
            <v>#VALUE!</v>
          </cell>
          <cell r="E2834" t="e">
            <v>#VALUE!</v>
          </cell>
          <cell r="F2834">
            <v>0</v>
          </cell>
        </row>
        <row r="2835">
          <cell r="A2835" t="str">
            <v>RNAPPA3A</v>
          </cell>
          <cell r="B2835">
            <v>-2.081346668124403E-3</v>
          </cell>
          <cell r="C2835">
            <v>0</v>
          </cell>
          <cell r="D2835" t="e">
            <v>#VALUE!</v>
          </cell>
          <cell r="E2835" t="e">
            <v>#VALUE!</v>
          </cell>
          <cell r="F2835">
            <v>0</v>
          </cell>
        </row>
        <row r="2836">
          <cell r="A2836" t="str">
            <v>RNAPPA4A</v>
          </cell>
          <cell r="B2836">
            <v>-9.3329069000303637E-6</v>
          </cell>
          <cell r="C2836">
            <v>0</v>
          </cell>
          <cell r="D2836" t="e">
            <v>#VALUE!</v>
          </cell>
          <cell r="E2836" t="e">
            <v>#VALUE!</v>
          </cell>
          <cell r="F2836">
            <v>0</v>
          </cell>
        </row>
        <row r="2837">
          <cell r="A2837" t="str">
            <v>RNAPPB1A</v>
          </cell>
          <cell r="B2837">
            <v>4.4364654861728676E-4</v>
          </cell>
          <cell r="C2837">
            <v>0</v>
          </cell>
          <cell r="D2837" t="e">
            <v>#VALUE!</v>
          </cell>
          <cell r="E2837" t="e">
            <v>#VALUE!</v>
          </cell>
          <cell r="F2837">
            <v>0</v>
          </cell>
        </row>
        <row r="2838">
          <cell r="A2838" t="str">
            <v>RNAPPB2A</v>
          </cell>
          <cell r="B2838">
            <v>0</v>
          </cell>
          <cell r="C2838">
            <v>0</v>
          </cell>
          <cell r="D2838" t="e">
            <v>#VALUE!</v>
          </cell>
          <cell r="E2838" t="e">
            <v>#VALUE!</v>
          </cell>
          <cell r="F2838">
            <v>0</v>
          </cell>
        </row>
        <row r="2839">
          <cell r="A2839" t="str">
            <v>RNAPPB3A</v>
          </cell>
          <cell r="B2839">
            <v>2.6471863430605766E-3</v>
          </cell>
          <cell r="C2839">
            <v>0</v>
          </cell>
          <cell r="D2839" t="e">
            <v>#VALUE!</v>
          </cell>
          <cell r="E2839" t="e">
            <v>#VALUE!</v>
          </cell>
          <cell r="F2839">
            <v>0</v>
          </cell>
        </row>
        <row r="2840">
          <cell r="A2840" t="str">
            <v>RNAPPB4A</v>
          </cell>
          <cell r="B2840">
            <v>-1.0055987621393024E-5</v>
          </cell>
          <cell r="C2840">
            <v>0</v>
          </cell>
          <cell r="D2840" t="e">
            <v>#VALUE!</v>
          </cell>
          <cell r="E2840" t="e">
            <v>#VALUE!</v>
          </cell>
          <cell r="F2840">
            <v>0</v>
          </cell>
        </row>
        <row r="2841">
          <cell r="A2841" t="str">
            <v>RNAPPP1A</v>
          </cell>
          <cell r="B2841">
            <v>0</v>
          </cell>
          <cell r="C2841">
            <v>0</v>
          </cell>
          <cell r="D2841" t="e">
            <v>#VALUE!</v>
          </cell>
          <cell r="E2841" t="e">
            <v>#VALUE!</v>
          </cell>
          <cell r="F2841">
            <v>0</v>
          </cell>
        </row>
        <row r="2842">
          <cell r="A2842" t="str">
            <v>RNAPPP2A</v>
          </cell>
          <cell r="B2842">
            <v>0</v>
          </cell>
          <cell r="C2842">
            <v>0</v>
          </cell>
          <cell r="D2842" t="e">
            <v>#VALUE!</v>
          </cell>
          <cell r="E2842" t="e">
            <v>#VALUE!</v>
          </cell>
          <cell r="F2842">
            <v>0</v>
          </cell>
        </row>
        <row r="2843">
          <cell r="A2843" t="str">
            <v>RNAPPP3A</v>
          </cell>
          <cell r="B2843">
            <v>-8.1894419191198662E-6</v>
          </cell>
          <cell r="C2843">
            <v>0</v>
          </cell>
          <cell r="D2843" t="e">
            <v>#VALUE!</v>
          </cell>
          <cell r="E2843" t="e">
            <v>#VALUE!</v>
          </cell>
          <cell r="F2843">
            <v>0</v>
          </cell>
        </row>
        <row r="2844">
          <cell r="A2844" t="str">
            <v>RNAPPP4A</v>
          </cell>
          <cell r="B2844">
            <v>-2.0542032306524381E-10</v>
          </cell>
          <cell r="C2844">
            <v>0</v>
          </cell>
          <cell r="D2844" t="e">
            <v>#VALUE!</v>
          </cell>
          <cell r="E2844" t="e">
            <v>#VALUE!</v>
          </cell>
          <cell r="F2844">
            <v>0</v>
          </cell>
        </row>
        <row r="2845">
          <cell r="A2845" t="str">
            <v>RAROPN1A</v>
          </cell>
          <cell r="B2845">
            <v>-4.7718699853086872E-4</v>
          </cell>
          <cell r="C2845">
            <v>0</v>
          </cell>
          <cell r="D2845" t="e">
            <v>#VALUE!</v>
          </cell>
          <cell r="E2845" t="e">
            <v>#VALUE!</v>
          </cell>
          <cell r="F2845">
            <v>0</v>
          </cell>
        </row>
        <row r="2846">
          <cell r="A2846" t="str">
            <v>RAROPN2A</v>
          </cell>
          <cell r="B2846">
            <v>0</v>
          </cell>
          <cell r="C2846">
            <v>0</v>
          </cell>
          <cell r="D2846" t="e">
            <v>#VALUE!</v>
          </cell>
          <cell r="E2846" t="e">
            <v>#VALUE!</v>
          </cell>
          <cell r="F2846">
            <v>0</v>
          </cell>
        </row>
        <row r="2847">
          <cell r="A2847" t="str">
            <v>RAROPN3A</v>
          </cell>
          <cell r="B2847">
            <v>-9.0320442323987566E-4</v>
          </cell>
          <cell r="C2847">
            <v>0</v>
          </cell>
          <cell r="D2847" t="e">
            <v>#VALUE!</v>
          </cell>
          <cell r="E2847" t="e">
            <v>#VALUE!</v>
          </cell>
          <cell r="F2847">
            <v>0</v>
          </cell>
        </row>
        <row r="2848">
          <cell r="A2848" t="str">
            <v>RAROPN4A</v>
          </cell>
          <cell r="B2848">
            <v>1.4163418345909632E-3</v>
          </cell>
          <cell r="C2848">
            <v>0</v>
          </cell>
          <cell r="D2848" t="e">
            <v>#VALUE!</v>
          </cell>
          <cell r="E2848" t="e">
            <v>#VALUE!</v>
          </cell>
          <cell r="F2848">
            <v>0</v>
          </cell>
        </row>
        <row r="2849">
          <cell r="A2849" t="str">
            <v>RAROSK1A</v>
          </cell>
          <cell r="B2849">
            <v>-2.4145921346619255E-4</v>
          </cell>
          <cell r="C2849">
            <v>0</v>
          </cell>
          <cell r="D2849" t="e">
            <v>#VALUE!</v>
          </cell>
          <cell r="E2849" t="e">
            <v>#VALUE!</v>
          </cell>
          <cell r="F2849">
            <v>0</v>
          </cell>
        </row>
        <row r="2850">
          <cell r="A2850" t="str">
            <v>RAROSK2A</v>
          </cell>
          <cell r="B2850">
            <v>-1.5601970841239002E-7</v>
          </cell>
          <cell r="C2850">
            <v>0</v>
          </cell>
          <cell r="D2850" t="e">
            <v>#VALUE!</v>
          </cell>
          <cell r="E2850" t="e">
            <v>#VALUE!</v>
          </cell>
          <cell r="F2850">
            <v>0</v>
          </cell>
        </row>
        <row r="2851">
          <cell r="A2851" t="str">
            <v>RAROSK3A</v>
          </cell>
          <cell r="B2851">
            <v>0</v>
          </cell>
          <cell r="C2851">
            <v>0</v>
          </cell>
          <cell r="D2851" t="e">
            <v>#VALUE!</v>
          </cell>
          <cell r="E2851" t="e">
            <v>#VALUE!</v>
          </cell>
          <cell r="F2851">
            <v>0</v>
          </cell>
        </row>
        <row r="2852">
          <cell r="A2852" t="str">
            <v>RAROSK5A</v>
          </cell>
          <cell r="B2852">
            <v>0</v>
          </cell>
          <cell r="C2852">
            <v>0</v>
          </cell>
          <cell r="D2852" t="e">
            <v>#VALUE!</v>
          </cell>
          <cell r="E2852" t="e">
            <v>#VALUE!</v>
          </cell>
          <cell r="F2852">
            <v>0</v>
          </cell>
        </row>
        <row r="2853">
          <cell r="A2853" t="str">
            <v>RAROSK6A</v>
          </cell>
          <cell r="B2853">
            <v>1.1229982901069939E-5</v>
          </cell>
          <cell r="C2853">
            <v>0</v>
          </cell>
          <cell r="D2853" t="e">
            <v>#VALUE!</v>
          </cell>
          <cell r="E2853" t="e">
            <v>#VALUE!</v>
          </cell>
          <cell r="F2853">
            <v>0</v>
          </cell>
        </row>
        <row r="2854">
          <cell r="A2854" t="str">
            <v>RAROSK7A</v>
          </cell>
          <cell r="B2854">
            <v>5.5523896008546147E-7</v>
          </cell>
          <cell r="C2854">
            <v>0</v>
          </cell>
          <cell r="D2854" t="e">
            <v>#VALUE!</v>
          </cell>
          <cell r="E2854" t="e">
            <v>#VALUE!</v>
          </cell>
          <cell r="F2854">
            <v>0</v>
          </cell>
        </row>
        <row r="2855">
          <cell r="A2855" t="str">
            <v>RAROLK2A</v>
          </cell>
          <cell r="B2855">
            <v>0</v>
          </cell>
          <cell r="C2855">
            <v>0</v>
          </cell>
          <cell r="D2855" t="e">
            <v>#VALUE!</v>
          </cell>
          <cell r="E2855" t="e">
            <v>#VALUE!</v>
          </cell>
          <cell r="F2855">
            <v>0</v>
          </cell>
        </row>
        <row r="2856">
          <cell r="A2856" t="str">
            <v>RAROLK3A</v>
          </cell>
          <cell r="B2856">
            <v>-4.6727819390569446E-4</v>
          </cell>
          <cell r="C2856">
            <v>0</v>
          </cell>
          <cell r="D2856" t="e">
            <v>#VALUE!</v>
          </cell>
          <cell r="E2856" t="e">
            <v>#VALUE!</v>
          </cell>
          <cell r="F2856">
            <v>0</v>
          </cell>
        </row>
        <row r="2857">
          <cell r="A2857" t="str">
            <v>RAROLK4A</v>
          </cell>
          <cell r="B2857">
            <v>1.1554153662809642E-5</v>
          </cell>
          <cell r="C2857">
            <v>0</v>
          </cell>
          <cell r="D2857" t="e">
            <v>#VALUE!</v>
          </cell>
          <cell r="E2857" t="e">
            <v>#VALUE!</v>
          </cell>
          <cell r="F2857">
            <v>0</v>
          </cell>
        </row>
        <row r="2858">
          <cell r="A2858" t="str">
            <v>RAROSG3A</v>
          </cell>
          <cell r="B2858">
            <v>0</v>
          </cell>
          <cell r="C2858">
            <v>0</v>
          </cell>
          <cell r="D2858" t="e">
            <v>#VALUE!</v>
          </cell>
          <cell r="E2858" t="e">
            <v>#VALUE!</v>
          </cell>
          <cell r="F2858">
            <v>0</v>
          </cell>
        </row>
        <row r="2859">
          <cell r="A2859" t="str">
            <v>RAROSG4A</v>
          </cell>
          <cell r="B2859">
            <v>-7.066543462402379E-4</v>
          </cell>
          <cell r="C2859">
            <v>0</v>
          </cell>
          <cell r="D2859" t="e">
            <v>#VALUE!</v>
          </cell>
          <cell r="E2859" t="e">
            <v>#VALUE!</v>
          </cell>
          <cell r="F2859">
            <v>0</v>
          </cell>
        </row>
        <row r="2860">
          <cell r="A2860" t="str">
            <v>RAROSG5A</v>
          </cell>
          <cell r="B2860">
            <v>0</v>
          </cell>
          <cell r="C2860">
            <v>0</v>
          </cell>
          <cell r="D2860" t="e">
            <v>#VALUE!</v>
          </cell>
          <cell r="E2860" t="e">
            <v>#VALUE!</v>
          </cell>
          <cell r="F2860">
            <v>0</v>
          </cell>
        </row>
        <row r="2861">
          <cell r="A2861" t="str">
            <v>RAROSG6A</v>
          </cell>
          <cell r="B2861">
            <v>-7.4764329314946311E-6</v>
          </cell>
          <cell r="C2861">
            <v>0</v>
          </cell>
          <cell r="D2861" t="e">
            <v>#VALUE!</v>
          </cell>
          <cell r="E2861" t="e">
            <v>#VALUE!</v>
          </cell>
          <cell r="F2861">
            <v>0</v>
          </cell>
        </row>
        <row r="2862">
          <cell r="A2862" t="str">
            <v>RAROSG7A</v>
          </cell>
          <cell r="B2862">
            <v>0</v>
          </cell>
          <cell r="C2862">
            <v>0</v>
          </cell>
          <cell r="D2862" t="e">
            <v>#VALUE!</v>
          </cell>
          <cell r="E2862" t="e">
            <v>#VALUE!</v>
          </cell>
          <cell r="F2862">
            <v>0</v>
          </cell>
        </row>
        <row r="2863">
          <cell r="A2863" t="str">
            <v>RAROPA1A</v>
          </cell>
          <cell r="B2863">
            <v>6.8827039460102988E-5</v>
          </cell>
          <cell r="C2863">
            <v>0</v>
          </cell>
          <cell r="D2863" t="e">
            <v>#VALUE!</v>
          </cell>
          <cell r="E2863" t="e">
            <v>#VALUE!</v>
          </cell>
          <cell r="F2863">
            <v>0</v>
          </cell>
        </row>
        <row r="2864">
          <cell r="A2864" t="str">
            <v>RAROPA2A</v>
          </cell>
          <cell r="B2864">
            <v>0</v>
          </cell>
          <cell r="C2864">
            <v>0</v>
          </cell>
          <cell r="D2864" t="e">
            <v>#VALUE!</v>
          </cell>
          <cell r="E2864" t="e">
            <v>#VALUE!</v>
          </cell>
          <cell r="F2864">
            <v>0</v>
          </cell>
        </row>
        <row r="2865">
          <cell r="A2865" t="str">
            <v>RAROPA3A</v>
          </cell>
          <cell r="B2865">
            <v>-3.6425092279486845E-4</v>
          </cell>
          <cell r="C2865">
            <v>0</v>
          </cell>
          <cell r="D2865" t="e">
            <v>#VALUE!</v>
          </cell>
          <cell r="E2865" t="e">
            <v>#VALUE!</v>
          </cell>
          <cell r="F2865">
            <v>0</v>
          </cell>
        </row>
        <row r="2866">
          <cell r="A2866" t="str">
            <v>RAROPA4A</v>
          </cell>
          <cell r="B2866">
            <v>-2.5504324446657151E-6</v>
          </cell>
          <cell r="C2866">
            <v>0</v>
          </cell>
          <cell r="D2866" t="e">
            <v>#VALUE!</v>
          </cell>
          <cell r="E2866" t="e">
            <v>#VALUE!</v>
          </cell>
          <cell r="F2866">
            <v>0</v>
          </cell>
        </row>
        <row r="2867">
          <cell r="A2867" t="str">
            <v>RAROPB1A</v>
          </cell>
          <cell r="B2867">
            <v>-7.910815000610605E-5</v>
          </cell>
          <cell r="C2867">
            <v>0</v>
          </cell>
          <cell r="D2867" t="e">
            <v>#VALUE!</v>
          </cell>
          <cell r="E2867" t="e">
            <v>#VALUE!</v>
          </cell>
          <cell r="F2867">
            <v>0</v>
          </cell>
        </row>
        <row r="2868">
          <cell r="A2868" t="str">
            <v>RAROPB2A</v>
          </cell>
          <cell r="B2868">
            <v>0</v>
          </cell>
          <cell r="C2868">
            <v>0</v>
          </cell>
          <cell r="D2868" t="e">
            <v>#VALUE!</v>
          </cell>
          <cell r="E2868" t="e">
            <v>#VALUE!</v>
          </cell>
          <cell r="F2868">
            <v>0</v>
          </cell>
        </row>
        <row r="2869">
          <cell r="A2869" t="str">
            <v>RAROPB3A</v>
          </cell>
          <cell r="B2869">
            <v>-5.715988697213031E-4</v>
          </cell>
          <cell r="C2869">
            <v>0</v>
          </cell>
          <cell r="D2869" t="e">
            <v>#VALUE!</v>
          </cell>
          <cell r="E2869" t="e">
            <v>#VALUE!</v>
          </cell>
          <cell r="F2869">
            <v>0</v>
          </cell>
        </row>
        <row r="2870">
          <cell r="A2870" t="str">
            <v>RAROPB4A</v>
          </cell>
          <cell r="B2870">
            <v>-8.4626036680188688E-6</v>
          </cell>
          <cell r="C2870">
            <v>0</v>
          </cell>
          <cell r="D2870" t="e">
            <v>#VALUE!</v>
          </cell>
          <cell r="E2870" t="e">
            <v>#VALUE!</v>
          </cell>
          <cell r="F2870">
            <v>0</v>
          </cell>
        </row>
        <row r="2871">
          <cell r="A2871" t="str">
            <v>RAROPP1A</v>
          </cell>
          <cell r="B2871">
            <v>0</v>
          </cell>
          <cell r="C2871">
            <v>0</v>
          </cell>
          <cell r="D2871" t="e">
            <v>#VALUE!</v>
          </cell>
          <cell r="E2871" t="e">
            <v>#VALUE!</v>
          </cell>
          <cell r="F2871">
            <v>0</v>
          </cell>
        </row>
        <row r="2872">
          <cell r="A2872" t="str">
            <v>RAROPP2A</v>
          </cell>
          <cell r="B2872">
            <v>0</v>
          </cell>
          <cell r="C2872">
            <v>0</v>
          </cell>
          <cell r="D2872" t="e">
            <v>#VALUE!</v>
          </cell>
          <cell r="E2872" t="e">
            <v>#VALUE!</v>
          </cell>
          <cell r="F2872">
            <v>0</v>
          </cell>
        </row>
        <row r="2873">
          <cell r="A2873" t="str">
            <v>RAROPP3A</v>
          </cell>
          <cell r="B2873">
            <v>-6.0557899958015921E-6</v>
          </cell>
          <cell r="C2873">
            <v>0</v>
          </cell>
          <cell r="D2873" t="e">
            <v>#VALUE!</v>
          </cell>
          <cell r="E2873" t="e">
            <v>#VALUE!</v>
          </cell>
          <cell r="F2873">
            <v>0</v>
          </cell>
        </row>
        <row r="2874">
          <cell r="A2874" t="str">
            <v>RAROPP4A</v>
          </cell>
          <cell r="B2874">
            <v>1.5599935346543831E-10</v>
          </cell>
          <cell r="C2874">
            <v>0</v>
          </cell>
          <cell r="D2874" t="e">
            <v>#VALUE!</v>
          </cell>
          <cell r="E2874" t="e">
            <v>#VALUE!</v>
          </cell>
          <cell r="F2874">
            <v>0</v>
          </cell>
        </row>
        <row r="2875">
          <cell r="A2875" t="str">
            <v>RAROLCAA</v>
          </cell>
          <cell r="B2875">
            <v>1.7478844571909675E-3</v>
          </cell>
          <cell r="C2875">
            <v>0</v>
          </cell>
          <cell r="D2875" t="e">
            <v>#VALUE!</v>
          </cell>
          <cell r="E2875" t="e">
            <v>#VALUE!</v>
          </cell>
          <cell r="F2875">
            <v>0</v>
          </cell>
        </row>
        <row r="2876">
          <cell r="A2876" t="str">
            <v>RAROLCBA</v>
          </cell>
          <cell r="B2876">
            <v>3.8746882127980663E-3</v>
          </cell>
          <cell r="C2876">
            <v>0</v>
          </cell>
          <cell r="D2876" t="e">
            <v>#VALUE!</v>
          </cell>
          <cell r="E2876" t="e">
            <v>#VALUE!</v>
          </cell>
          <cell r="F2876">
            <v>0</v>
          </cell>
        </row>
        <row r="2877">
          <cell r="A2877" t="str">
            <v>RAROLCTA</v>
          </cell>
          <cell r="B2877">
            <v>-1.9286521353235799E-3</v>
          </cell>
          <cell r="C2877">
            <v>0</v>
          </cell>
          <cell r="D2877" t="e">
            <v>#VALUE!</v>
          </cell>
          <cell r="E2877" t="e">
            <v>#VALUE!</v>
          </cell>
          <cell r="F2877">
            <v>0</v>
          </cell>
        </row>
        <row r="2878">
          <cell r="A2878" t="str">
            <v>RARONBOA</v>
          </cell>
          <cell r="B2878">
            <v>5.8306224799628279E-6</v>
          </cell>
          <cell r="C2878">
            <v>0</v>
          </cell>
          <cell r="D2878" t="e">
            <v>#VALUE!</v>
          </cell>
          <cell r="E2878" t="e">
            <v>#VALUE!</v>
          </cell>
          <cell r="F2878">
            <v>0</v>
          </cell>
        </row>
        <row r="2879">
          <cell r="A2879" t="str">
            <v>RAROCAMA</v>
          </cell>
          <cell r="B2879">
            <v>0</v>
          </cell>
          <cell r="C2879">
            <v>0</v>
          </cell>
          <cell r="D2879" t="e">
            <v>#VALUE!</v>
          </cell>
          <cell r="E2879" t="e">
            <v>#VALUE!</v>
          </cell>
          <cell r="F2879">
            <v>0</v>
          </cell>
        </row>
        <row r="2880">
          <cell r="A2880" t="str">
            <v>RAROT14A</v>
          </cell>
          <cell r="B2880">
            <v>6.8619007212811544E-3</v>
          </cell>
          <cell r="C2880">
            <v>0</v>
          </cell>
          <cell r="D2880" t="e">
            <v>#VALUE!</v>
          </cell>
          <cell r="E2880" t="e">
            <v>#VALUE!</v>
          </cell>
          <cell r="F2880">
            <v>0</v>
          </cell>
        </row>
        <row r="2881">
          <cell r="A2881" t="str">
            <v>RARONCAA</v>
          </cell>
          <cell r="B2881">
            <v>5.9219994614130426E-4</v>
          </cell>
          <cell r="C2881">
            <v>0</v>
          </cell>
          <cell r="D2881" t="e">
            <v>#VALUE!</v>
          </cell>
          <cell r="E2881" t="e">
            <v>#VALUE!</v>
          </cell>
          <cell r="F2881">
            <v>0</v>
          </cell>
        </row>
        <row r="2882">
          <cell r="A2882" t="str">
            <v>RAROLCXA</v>
          </cell>
          <cell r="B2882">
            <v>-1.8592513472556252E-3</v>
          </cell>
          <cell r="C2882">
            <v>0</v>
          </cell>
          <cell r="D2882" t="e">
            <v>#VALUE!</v>
          </cell>
          <cell r="E2882" t="e">
            <v>#VALUE!</v>
          </cell>
          <cell r="F2882">
            <v>0</v>
          </cell>
        </row>
        <row r="2883">
          <cell r="A2883" t="str">
            <v>RAROLCIA</v>
          </cell>
          <cell r="B2883">
            <v>-1.8592513472556252E-3</v>
          </cell>
          <cell r="C2883">
            <v>0</v>
          </cell>
          <cell r="D2883" t="e">
            <v>#VALUE!</v>
          </cell>
          <cell r="E2883" t="e">
            <v>#VALUE!</v>
          </cell>
          <cell r="F2883">
            <v>0</v>
          </cell>
        </row>
        <row r="2884">
          <cell r="A2884" t="str">
            <v>RAROLCJA</v>
          </cell>
          <cell r="B2884">
            <v>-1.8592513472556252E-3</v>
          </cell>
          <cell r="C2884">
            <v>0</v>
          </cell>
          <cell r="D2884" t="e">
            <v>#VALUE!</v>
          </cell>
          <cell r="E2884" t="e">
            <v>#VALUE!</v>
          </cell>
          <cell r="F2884">
            <v>0</v>
          </cell>
        </row>
        <row r="2885">
          <cell r="A2885" t="str">
            <v>RAROLCKA</v>
          </cell>
          <cell r="B2885">
            <v>-1.8592513472556252E-3</v>
          </cell>
          <cell r="C2885">
            <v>0</v>
          </cell>
          <cell r="D2885" t="e">
            <v>#VALUE!</v>
          </cell>
          <cell r="E2885" t="e">
            <v>#VALUE!</v>
          </cell>
          <cell r="F2885">
            <v>0</v>
          </cell>
        </row>
        <row r="2886">
          <cell r="A2886" t="str">
            <v>RARORCJA</v>
          </cell>
          <cell r="B2886">
            <v>-1.8592513472556252E-3</v>
          </cell>
          <cell r="C2886">
            <v>0</v>
          </cell>
          <cell r="D2886" t="e">
            <v>#VALUE!</v>
          </cell>
          <cell r="E2886" t="e">
            <v>#VALUE!</v>
          </cell>
          <cell r="F2886">
            <v>0</v>
          </cell>
        </row>
        <row r="2887">
          <cell r="A2887" t="str">
            <v>RARORCKA</v>
          </cell>
          <cell r="B2887">
            <v>-1.8592513472556252E-3</v>
          </cell>
          <cell r="C2887">
            <v>0</v>
          </cell>
          <cell r="D2887" t="e">
            <v>#VALUE!</v>
          </cell>
          <cell r="E2887" t="e">
            <v>#VALUE!</v>
          </cell>
          <cell r="F2887">
            <v>0</v>
          </cell>
        </row>
        <row r="2888">
          <cell r="A2888" t="str">
            <v>RAROLCZA</v>
          </cell>
          <cell r="B2888">
            <v>-1.6575022249750487E-3</v>
          </cell>
          <cell r="C2888">
            <v>0</v>
          </cell>
          <cell r="D2888" t="e">
            <v>#VALUE!</v>
          </cell>
          <cell r="E2888" t="e">
            <v>#VALUE!</v>
          </cell>
          <cell r="F2888">
            <v>0</v>
          </cell>
        </row>
        <row r="2889">
          <cell r="A2889" t="str">
            <v>RBENNBOA</v>
          </cell>
          <cell r="B2889">
            <v>1.725251501974103E-5</v>
          </cell>
          <cell r="C2889">
            <v>0</v>
          </cell>
          <cell r="D2889" t="e">
            <v>#VALUE!</v>
          </cell>
          <cell r="E2889" t="e">
            <v>#VALUE!</v>
          </cell>
          <cell r="F2889">
            <v>0</v>
          </cell>
        </row>
        <row r="2890">
          <cell r="A2890" t="str">
            <v>RBENCAMA</v>
          </cell>
          <cell r="B2890">
            <v>-2.2594867117084206E-6</v>
          </cell>
          <cell r="C2890">
            <v>0</v>
          </cell>
          <cell r="D2890" t="e">
            <v>#VALUE!</v>
          </cell>
          <cell r="E2890" t="e">
            <v>#VALUE!</v>
          </cell>
          <cell r="F2890">
            <v>0</v>
          </cell>
        </row>
        <row r="2891">
          <cell r="A2891" t="str">
            <v>RBENT14A</v>
          </cell>
          <cell r="B2891">
            <v>3.7520801858204636E-4</v>
          </cell>
          <cell r="C2891">
            <v>0</v>
          </cell>
          <cell r="D2891" t="e">
            <v>#VALUE!</v>
          </cell>
          <cell r="E2891" t="e">
            <v>#VALUE!</v>
          </cell>
          <cell r="F2891">
            <v>0</v>
          </cell>
        </row>
        <row r="2892">
          <cell r="A2892" t="str">
            <v>RBENNCAA</v>
          </cell>
          <cell r="B2892">
            <v>-4.6321956708123075E-5</v>
          </cell>
          <cell r="C2892">
            <v>0</v>
          </cell>
          <cell r="D2892" t="e">
            <v>#VALUE!</v>
          </cell>
          <cell r="E2892" t="e">
            <v>#VALUE!</v>
          </cell>
          <cell r="F2892">
            <v>0</v>
          </cell>
        </row>
        <row r="2893">
          <cell r="A2893" t="str">
            <v>RCBIPN1A</v>
          </cell>
          <cell r="B2893">
            <v>9.5750791194510376E-4</v>
          </cell>
          <cell r="C2893">
            <v>0</v>
          </cell>
          <cell r="D2893" t="e">
            <v>#VALUE!</v>
          </cell>
          <cell r="E2893" t="e">
            <v>#VALUE!</v>
          </cell>
          <cell r="F2893">
            <v>0</v>
          </cell>
        </row>
        <row r="2894">
          <cell r="A2894" t="str">
            <v>RCBIPN2A</v>
          </cell>
          <cell r="B2894">
            <v>0</v>
          </cell>
          <cell r="C2894">
            <v>0</v>
          </cell>
          <cell r="D2894" t="e">
            <v>#VALUE!</v>
          </cell>
          <cell r="E2894" t="e">
            <v>#VALUE!</v>
          </cell>
          <cell r="F2894">
            <v>0</v>
          </cell>
        </row>
        <row r="2895">
          <cell r="A2895" t="str">
            <v>RCBIPN3A</v>
          </cell>
          <cell r="B2895">
            <v>-1.8455960784194854E-15</v>
          </cell>
          <cell r="C2895">
            <v>0</v>
          </cell>
          <cell r="D2895" t="e">
            <v>#VALUE!</v>
          </cell>
          <cell r="E2895" t="e">
            <v>#VALUE!</v>
          </cell>
          <cell r="F2895">
            <v>0</v>
          </cell>
        </row>
        <row r="2896">
          <cell r="A2896" t="str">
            <v>RCBISK1A</v>
          </cell>
          <cell r="B2896">
            <v>-4.3468717936208769E-4</v>
          </cell>
          <cell r="C2896">
            <v>0</v>
          </cell>
          <cell r="D2896" t="e">
            <v>#VALUE!</v>
          </cell>
          <cell r="E2896" t="e">
            <v>#VALUE!</v>
          </cell>
          <cell r="F2896">
            <v>0</v>
          </cell>
        </row>
        <row r="2897">
          <cell r="A2897" t="str">
            <v>RCBISK2A</v>
          </cell>
          <cell r="B2897">
            <v>-1.0441318823249688E-6</v>
          </cell>
          <cell r="C2897">
            <v>0</v>
          </cell>
          <cell r="D2897" t="e">
            <v>#VALUE!</v>
          </cell>
          <cell r="E2897" t="e">
            <v>#VALUE!</v>
          </cell>
          <cell r="F2897">
            <v>0</v>
          </cell>
        </row>
        <row r="2898">
          <cell r="A2898" t="str">
            <v>RCBISK3A</v>
          </cell>
          <cell r="B2898">
            <v>0</v>
          </cell>
          <cell r="C2898">
            <v>0</v>
          </cell>
          <cell r="D2898" t="e">
            <v>#VALUE!</v>
          </cell>
          <cell r="E2898" t="e">
            <v>#VALUE!</v>
          </cell>
          <cell r="F2898">
            <v>0</v>
          </cell>
        </row>
        <row r="2899">
          <cell r="A2899" t="str">
            <v>RCBISK5A</v>
          </cell>
          <cell r="B2899">
            <v>0</v>
          </cell>
          <cell r="C2899">
            <v>0</v>
          </cell>
          <cell r="D2899" t="e">
            <v>#VALUE!</v>
          </cell>
          <cell r="E2899" t="e">
            <v>#VALUE!</v>
          </cell>
          <cell r="F2899">
            <v>0</v>
          </cell>
        </row>
        <row r="2900">
          <cell r="A2900" t="str">
            <v>RCBISK6A</v>
          </cell>
          <cell r="B2900">
            <v>5.7706753716346396E-6</v>
          </cell>
          <cell r="C2900">
            <v>0</v>
          </cell>
          <cell r="D2900" t="e">
            <v>#VALUE!</v>
          </cell>
          <cell r="E2900" t="e">
            <v>#VALUE!</v>
          </cell>
          <cell r="F2900">
            <v>0</v>
          </cell>
        </row>
        <row r="2901">
          <cell r="A2901" t="str">
            <v>RCBISK7A</v>
          </cell>
          <cell r="B2901">
            <v>-6.2001681863589446E-6</v>
          </cell>
          <cell r="C2901">
            <v>0</v>
          </cell>
          <cell r="D2901" t="e">
            <v>#VALUE!</v>
          </cell>
          <cell r="E2901" t="e">
            <v>#VALUE!</v>
          </cell>
          <cell r="F2901">
            <v>0</v>
          </cell>
        </row>
        <row r="2902">
          <cell r="A2902" t="str">
            <v>RCBILK2A</v>
          </cell>
          <cell r="B2902">
            <v>0</v>
          </cell>
          <cell r="C2902">
            <v>0</v>
          </cell>
          <cell r="D2902" t="e">
            <v>#VALUE!</v>
          </cell>
          <cell r="E2902" t="e">
            <v>#VALUE!</v>
          </cell>
          <cell r="F2902">
            <v>0</v>
          </cell>
        </row>
        <row r="2903">
          <cell r="A2903" t="str">
            <v>RCBILK1A</v>
          </cell>
          <cell r="B2903">
            <v>7.8212043415190494E-4</v>
          </cell>
          <cell r="C2903">
            <v>0</v>
          </cell>
          <cell r="D2903" t="e">
            <v>#VALUE!</v>
          </cell>
          <cell r="E2903" t="e">
            <v>#VALUE!</v>
          </cell>
          <cell r="F2903">
            <v>0</v>
          </cell>
        </row>
        <row r="2904">
          <cell r="A2904" t="str">
            <v>RCBIJPIA</v>
          </cell>
          <cell r="B2904">
            <v>-9.815244367724935E-5</v>
          </cell>
          <cell r="C2904">
            <v>0</v>
          </cell>
          <cell r="D2904" t="e">
            <v>#VALUE!</v>
          </cell>
          <cell r="E2904" t="e">
            <v>#VALUE!</v>
          </cell>
          <cell r="F2904">
            <v>0</v>
          </cell>
        </row>
        <row r="2905">
          <cell r="A2905" t="str">
            <v>RCBIJETA</v>
          </cell>
          <cell r="B2905">
            <v>-1.3533281269547058E-2</v>
          </cell>
          <cell r="C2905">
            <v>0</v>
          </cell>
          <cell r="D2905" t="e">
            <v>#VALUE!</v>
          </cell>
          <cell r="E2905" t="e">
            <v>#VALUE!</v>
          </cell>
          <cell r="F2905">
            <v>0</v>
          </cell>
        </row>
        <row r="2906">
          <cell r="A2906" t="str">
            <v>RCBILK3A</v>
          </cell>
          <cell r="B2906">
            <v>5.1952052976272694E-5</v>
          </cell>
          <cell r="C2906">
            <v>0</v>
          </cell>
          <cell r="D2906" t="e">
            <v>#VALUE!</v>
          </cell>
          <cell r="E2906" t="e">
            <v>#VALUE!</v>
          </cell>
          <cell r="F2906">
            <v>0</v>
          </cell>
        </row>
        <row r="2907">
          <cell r="A2907" t="str">
            <v>RCBILK4A</v>
          </cell>
          <cell r="B2907">
            <v>-9.462357710405852E-6</v>
          </cell>
          <cell r="C2907">
            <v>0</v>
          </cell>
          <cell r="D2907" t="e">
            <v>#VALUE!</v>
          </cell>
          <cell r="E2907" t="e">
            <v>#VALUE!</v>
          </cell>
          <cell r="F2907">
            <v>0</v>
          </cell>
        </row>
        <row r="2908">
          <cell r="A2908" t="str">
            <v>RCBISG3A</v>
          </cell>
          <cell r="B2908">
            <v>0</v>
          </cell>
          <cell r="C2908">
            <v>0</v>
          </cell>
          <cell r="D2908" t="e">
            <v>#VALUE!</v>
          </cell>
          <cell r="E2908" t="e">
            <v>#VALUE!</v>
          </cell>
          <cell r="F2908">
            <v>0</v>
          </cell>
        </row>
        <row r="2909">
          <cell r="A2909" t="str">
            <v>RCBISG4A</v>
          </cell>
          <cell r="B2909">
            <v>-1.3226276936570871E-3</v>
          </cell>
          <cell r="C2909">
            <v>0</v>
          </cell>
          <cell r="D2909" t="e">
            <v>#VALUE!</v>
          </cell>
          <cell r="E2909" t="e">
            <v>#VALUE!</v>
          </cell>
          <cell r="F2909">
            <v>0</v>
          </cell>
        </row>
        <row r="2910">
          <cell r="A2910" t="str">
            <v>RCBISG5A</v>
          </cell>
          <cell r="B2910">
            <v>0</v>
          </cell>
          <cell r="C2910">
            <v>0</v>
          </cell>
          <cell r="D2910" t="e">
            <v>#VALUE!</v>
          </cell>
          <cell r="E2910" t="e">
            <v>#VALUE!</v>
          </cell>
          <cell r="F2910">
            <v>0</v>
          </cell>
        </row>
        <row r="2911">
          <cell r="A2911" t="str">
            <v>RCBISG6A</v>
          </cell>
          <cell r="B2911">
            <v>1.7898941285687353E-6</v>
          </cell>
          <cell r="C2911">
            <v>0</v>
          </cell>
          <cell r="D2911" t="e">
            <v>#VALUE!</v>
          </cell>
          <cell r="E2911" t="e">
            <v>#VALUE!</v>
          </cell>
          <cell r="F2911">
            <v>0</v>
          </cell>
        </row>
        <row r="2912">
          <cell r="A2912" t="str">
            <v>RCBISG7A</v>
          </cell>
          <cell r="B2912">
            <v>0</v>
          </cell>
          <cell r="C2912">
            <v>0</v>
          </cell>
          <cell r="D2912" t="e">
            <v>#VALUE!</v>
          </cell>
          <cell r="E2912" t="e">
            <v>#VALUE!</v>
          </cell>
          <cell r="F2912">
            <v>0</v>
          </cell>
        </row>
        <row r="2913">
          <cell r="A2913" t="str">
            <v>RCBILKFA</v>
          </cell>
          <cell r="B2913">
            <v>7.7717231734536589E-3</v>
          </cell>
          <cell r="C2913">
            <v>0</v>
          </cell>
          <cell r="D2913" t="e">
            <v>#VALUE!</v>
          </cell>
          <cell r="E2913" t="e">
            <v>#VALUE!</v>
          </cell>
          <cell r="F2913">
            <v>0</v>
          </cell>
        </row>
        <row r="2914">
          <cell r="A2914" t="str">
            <v>RCBILFKA</v>
          </cell>
          <cell r="B2914">
            <v>7.7729064198561676E-3</v>
          </cell>
          <cell r="C2914">
            <v>0</v>
          </cell>
          <cell r="D2914" t="e">
            <v>#VALUE!</v>
          </cell>
          <cell r="E2914" t="e">
            <v>#VALUE!</v>
          </cell>
          <cell r="F2914">
            <v>0</v>
          </cell>
        </row>
        <row r="2915">
          <cell r="A2915" t="str">
            <v>RCBILG1A</v>
          </cell>
          <cell r="B2915">
            <v>2.7612262724401198E-3</v>
          </cell>
          <cell r="C2915">
            <v>0</v>
          </cell>
          <cell r="D2915" t="e">
            <v>#VALUE!</v>
          </cell>
          <cell r="E2915" t="e">
            <v>#VALUE!</v>
          </cell>
          <cell r="F2915">
            <v>0</v>
          </cell>
        </row>
        <row r="2916">
          <cell r="A2916" t="str">
            <v>RCBILG2A</v>
          </cell>
          <cell r="B2916">
            <v>1.3377794157394705E-2</v>
          </cell>
          <cell r="C2916">
            <v>0</v>
          </cell>
          <cell r="D2916" t="e">
            <v>#VALUE!</v>
          </cell>
          <cell r="E2916" t="e">
            <v>#VALUE!</v>
          </cell>
          <cell r="F2916">
            <v>0</v>
          </cell>
        </row>
        <row r="2917">
          <cell r="A2917" t="str">
            <v>RCBILG3A</v>
          </cell>
          <cell r="B2917">
            <v>1.240278937461569E-5</v>
          </cell>
          <cell r="C2917">
            <v>0</v>
          </cell>
          <cell r="D2917" t="e">
            <v>#VALUE!</v>
          </cell>
          <cell r="E2917" t="e">
            <v>#VALUE!</v>
          </cell>
          <cell r="F2917">
            <v>0</v>
          </cell>
        </row>
        <row r="2918">
          <cell r="A2918" t="str">
            <v>RCBIGS1A</v>
          </cell>
          <cell r="B2918">
            <v>-9.7321354496982589E-5</v>
          </cell>
          <cell r="C2918">
            <v>0</v>
          </cell>
          <cell r="D2918" t="e">
            <v>#VALUE!</v>
          </cell>
          <cell r="E2918" t="e">
            <v>#VALUE!</v>
          </cell>
          <cell r="F2918">
            <v>0</v>
          </cell>
        </row>
        <row r="2919">
          <cell r="A2919" t="str">
            <v>RCBIGS2A</v>
          </cell>
          <cell r="B2919">
            <v>-4.8006063892687164E-7</v>
          </cell>
          <cell r="C2919">
            <v>0</v>
          </cell>
          <cell r="D2919" t="e">
            <v>#VALUE!</v>
          </cell>
          <cell r="E2919" t="e">
            <v>#VALUE!</v>
          </cell>
          <cell r="F2919">
            <v>0</v>
          </cell>
        </row>
        <row r="2920">
          <cell r="A2920" t="str">
            <v>RCBIGS3A</v>
          </cell>
          <cell r="B2920">
            <v>0</v>
          </cell>
          <cell r="C2920">
            <v>0</v>
          </cell>
          <cell r="D2920" t="e">
            <v>#VALUE!</v>
          </cell>
          <cell r="E2920" t="e">
            <v>#VALUE!</v>
          </cell>
          <cell r="F2920">
            <v>0</v>
          </cell>
        </row>
        <row r="2921">
          <cell r="A2921" t="str">
            <v>RCBIGS4A</v>
          </cell>
          <cell r="B2921">
            <v>-1.2884006631394771E-4</v>
          </cell>
          <cell r="C2921">
            <v>0</v>
          </cell>
          <cell r="D2921" t="e">
            <v>#VALUE!</v>
          </cell>
          <cell r="E2921" t="e">
            <v>#VALUE!</v>
          </cell>
          <cell r="F2921">
            <v>0</v>
          </cell>
        </row>
        <row r="2922">
          <cell r="A2922" t="str">
            <v>RCBIGS5A</v>
          </cell>
          <cell r="B2922">
            <v>0</v>
          </cell>
          <cell r="C2922">
            <v>0</v>
          </cell>
          <cell r="D2922" t="e">
            <v>#VALUE!</v>
          </cell>
          <cell r="E2922" t="e">
            <v>#VALUE!</v>
          </cell>
          <cell r="F2922">
            <v>0</v>
          </cell>
        </row>
        <row r="2923">
          <cell r="A2923" t="str">
            <v>RCBIGS6A</v>
          </cell>
          <cell r="B2923">
            <v>5.283853305135293E-6</v>
          </cell>
          <cell r="C2923">
            <v>0</v>
          </cell>
          <cell r="D2923" t="e">
            <v>#VALUE!</v>
          </cell>
          <cell r="E2923" t="e">
            <v>#VALUE!</v>
          </cell>
          <cell r="F2923">
            <v>0</v>
          </cell>
        </row>
        <row r="2924">
          <cell r="A2924" t="str">
            <v>RCBIGS7A</v>
          </cell>
          <cell r="B2924">
            <v>-2.3134955937752087E-6</v>
          </cell>
          <cell r="C2924">
            <v>0</v>
          </cell>
          <cell r="D2924" t="e">
            <v>#VALUE!</v>
          </cell>
          <cell r="E2924" t="e">
            <v>#VALUE!</v>
          </cell>
          <cell r="F2924">
            <v>0</v>
          </cell>
        </row>
        <row r="2925">
          <cell r="A2925" t="str">
            <v>RCBIG11A</v>
          </cell>
          <cell r="B2925">
            <v>-1.2489414925380827E-2</v>
          </cell>
          <cell r="C2925">
            <v>0</v>
          </cell>
          <cell r="D2925" t="e">
            <v>#VALUE!</v>
          </cell>
          <cell r="E2925" t="e">
            <v>#VALUE!</v>
          </cell>
          <cell r="F2925">
            <v>0</v>
          </cell>
        </row>
        <row r="2926">
          <cell r="A2926" t="str">
            <v>RCBIPG1A</v>
          </cell>
          <cell r="B2926">
            <v>-1.0586061898287232E-2</v>
          </cell>
          <cell r="C2926">
            <v>0</v>
          </cell>
          <cell r="D2926" t="e">
            <v>#VALUE!</v>
          </cell>
          <cell r="E2926" t="e">
            <v>#VALUE!</v>
          </cell>
          <cell r="F2926">
            <v>0</v>
          </cell>
        </row>
        <row r="2927">
          <cell r="A2927" t="str">
            <v>RCBIPG2A</v>
          </cell>
          <cell r="B2927">
            <v>-3.4320337059174039E-5</v>
          </cell>
          <cell r="C2927">
            <v>0</v>
          </cell>
          <cell r="D2927" t="e">
            <v>#VALUE!</v>
          </cell>
          <cell r="E2927" t="e">
            <v>#VALUE!</v>
          </cell>
          <cell r="F2927">
            <v>0</v>
          </cell>
        </row>
        <row r="2928">
          <cell r="A2928" t="str">
            <v>RCBIPB1A</v>
          </cell>
          <cell r="B2928">
            <v>-5.7328676180762543E-5</v>
          </cell>
          <cell r="C2928">
            <v>0</v>
          </cell>
          <cell r="D2928" t="e">
            <v>#VALUE!</v>
          </cell>
          <cell r="E2928" t="e">
            <v>#VALUE!</v>
          </cell>
          <cell r="F2928">
            <v>0</v>
          </cell>
        </row>
        <row r="2929">
          <cell r="A2929" t="str">
            <v>RCBIPB2A</v>
          </cell>
          <cell r="B2929">
            <v>0</v>
          </cell>
          <cell r="C2929">
            <v>0</v>
          </cell>
          <cell r="D2929" t="e">
            <v>#VALUE!</v>
          </cell>
          <cell r="E2929" t="e">
            <v>#VALUE!</v>
          </cell>
          <cell r="F2929">
            <v>0</v>
          </cell>
        </row>
        <row r="2930">
          <cell r="A2930" t="str">
            <v>RCBIPB3A</v>
          </cell>
          <cell r="B2930">
            <v>-7.240605009129679E-4</v>
          </cell>
          <cell r="C2930">
            <v>0</v>
          </cell>
          <cell r="D2930" t="e">
            <v>#VALUE!</v>
          </cell>
          <cell r="E2930" t="e">
            <v>#VALUE!</v>
          </cell>
          <cell r="F2930">
            <v>0</v>
          </cell>
        </row>
        <row r="2931">
          <cell r="A2931" t="str">
            <v>RCBIPB4A</v>
          </cell>
          <cell r="B2931">
            <v>2.8321156114792733E-5</v>
          </cell>
          <cell r="C2931">
            <v>0</v>
          </cell>
          <cell r="D2931" t="e">
            <v>#VALUE!</v>
          </cell>
          <cell r="E2931" t="e">
            <v>#VALUE!</v>
          </cell>
          <cell r="F2931">
            <v>0</v>
          </cell>
        </row>
        <row r="2932">
          <cell r="A2932" t="str">
            <v>RCBIPP1A</v>
          </cell>
          <cell r="B2932">
            <v>0</v>
          </cell>
          <cell r="C2932">
            <v>0</v>
          </cell>
          <cell r="D2932" t="e">
            <v>#VALUE!</v>
          </cell>
          <cell r="E2932" t="e">
            <v>#VALUE!</v>
          </cell>
          <cell r="F2932">
            <v>0</v>
          </cell>
        </row>
        <row r="2933">
          <cell r="A2933" t="str">
            <v>RCBIPP2A</v>
          </cell>
          <cell r="B2933">
            <v>0</v>
          </cell>
          <cell r="C2933">
            <v>0</v>
          </cell>
          <cell r="D2933" t="e">
            <v>#VALUE!</v>
          </cell>
          <cell r="E2933" t="e">
            <v>#VALUE!</v>
          </cell>
          <cell r="F2933">
            <v>0</v>
          </cell>
        </row>
        <row r="2934">
          <cell r="A2934" t="str">
            <v>RCBIPP3A</v>
          </cell>
          <cell r="B2934">
            <v>-2.8417076280002469E-5</v>
          </cell>
          <cell r="C2934">
            <v>0</v>
          </cell>
          <cell r="D2934" t="e">
            <v>#VALUE!</v>
          </cell>
          <cell r="E2934" t="e">
            <v>#VALUE!</v>
          </cell>
          <cell r="F2934">
            <v>0</v>
          </cell>
        </row>
        <row r="2935">
          <cell r="A2935" t="str">
            <v>RCBIPP4A</v>
          </cell>
          <cell r="B2935">
            <v>4.3282643466269501E-10</v>
          </cell>
          <cell r="C2935">
            <v>0</v>
          </cell>
          <cell r="D2935" t="e">
            <v>#VALUE!</v>
          </cell>
          <cell r="E2935" t="e">
            <v>#VALUE!</v>
          </cell>
          <cell r="F2935">
            <v>0</v>
          </cell>
        </row>
        <row r="2936">
          <cell r="A2936" t="str">
            <v>RCBIDTFA</v>
          </cell>
          <cell r="B2936">
            <v>-8.0772292136839811E-4</v>
          </cell>
          <cell r="C2936">
            <v>0</v>
          </cell>
          <cell r="D2936" t="e">
            <v>#VALUE!</v>
          </cell>
          <cell r="E2936" t="e">
            <v>#VALUE!</v>
          </cell>
          <cell r="F2936">
            <v>0</v>
          </cell>
        </row>
        <row r="2937">
          <cell r="A2937" t="str">
            <v>RCBINPCA</v>
          </cell>
          <cell r="B2937">
            <v>0</v>
          </cell>
          <cell r="C2937">
            <v>0</v>
          </cell>
          <cell r="D2937" t="e">
            <v>#VALUE!</v>
          </cell>
          <cell r="E2937" t="e">
            <v>#VALUE!</v>
          </cell>
          <cell r="F2937">
            <v>0</v>
          </cell>
        </row>
        <row r="2938">
          <cell r="A2938" t="str">
            <v>RCBIBNPA</v>
          </cell>
          <cell r="B2938">
            <v>0</v>
          </cell>
          <cell r="C2938">
            <v>0</v>
          </cell>
          <cell r="D2938" t="e">
            <v>#VALUE!</v>
          </cell>
          <cell r="E2938" t="e">
            <v>#VALUE!</v>
          </cell>
          <cell r="F2938">
            <v>0</v>
          </cell>
        </row>
        <row r="2939">
          <cell r="A2939" t="str">
            <v>RCBILCDA</v>
          </cell>
          <cell r="B2939">
            <v>1.1681393156312916E-2</v>
          </cell>
          <cell r="C2939">
            <v>0</v>
          </cell>
          <cell r="D2939" t="e">
            <v>#VALUE!</v>
          </cell>
          <cell r="E2939" t="e">
            <v>#VALUE!</v>
          </cell>
          <cell r="F2939">
            <v>0</v>
          </cell>
        </row>
        <row r="2940">
          <cell r="A2940" t="str">
            <v>RCLIPN3A</v>
          </cell>
          <cell r="B2940">
            <v>1.9264806593028344E-4</v>
          </cell>
          <cell r="C2940">
            <v>0</v>
          </cell>
          <cell r="D2940" t="e">
            <v>#VALUE!</v>
          </cell>
          <cell r="E2940" t="e">
            <v>#VALUE!</v>
          </cell>
          <cell r="F2940">
            <v>0</v>
          </cell>
        </row>
        <row r="2941">
          <cell r="A2941" t="str">
            <v>RCLISK2A</v>
          </cell>
          <cell r="B2941">
            <v>-9.6012124954883534E-8</v>
          </cell>
          <cell r="C2941">
            <v>0</v>
          </cell>
          <cell r="D2941" t="e">
            <v>#VALUE!</v>
          </cell>
          <cell r="E2941" t="e">
            <v>#VALUE!</v>
          </cell>
          <cell r="F2941">
            <v>0</v>
          </cell>
        </row>
        <row r="2942">
          <cell r="A2942" t="str">
            <v>RCLISK3A</v>
          </cell>
          <cell r="B2942">
            <v>0</v>
          </cell>
          <cell r="C2942">
            <v>0</v>
          </cell>
          <cell r="D2942" t="e">
            <v>#VALUE!</v>
          </cell>
          <cell r="E2942" t="e">
            <v>#VALUE!</v>
          </cell>
          <cell r="F2942">
            <v>0</v>
          </cell>
        </row>
        <row r="2943">
          <cell r="A2943" t="str">
            <v>RCLISK5A</v>
          </cell>
          <cell r="B2943">
            <v>0</v>
          </cell>
          <cell r="C2943">
            <v>0</v>
          </cell>
          <cell r="D2943" t="e">
            <v>#VALUE!</v>
          </cell>
          <cell r="E2943" t="e">
            <v>#VALUE!</v>
          </cell>
          <cell r="F2943">
            <v>0</v>
          </cell>
        </row>
        <row r="2944">
          <cell r="A2944" t="str">
            <v>RCLISK6A</v>
          </cell>
          <cell r="B2944">
            <v>4.9406305787403707E-11</v>
          </cell>
          <cell r="C2944">
            <v>0</v>
          </cell>
          <cell r="D2944" t="e">
            <v>#VALUE!</v>
          </cell>
          <cell r="E2944" t="e">
            <v>#VALUE!</v>
          </cell>
          <cell r="F2944">
            <v>0</v>
          </cell>
        </row>
        <row r="2945">
          <cell r="A2945" t="str">
            <v>RCLISK7A</v>
          </cell>
          <cell r="B2945">
            <v>2.5911151942013994E-6</v>
          </cell>
          <cell r="C2945">
            <v>0</v>
          </cell>
          <cell r="D2945" t="e">
            <v>#VALUE!</v>
          </cell>
          <cell r="E2945" t="e">
            <v>#VALUE!</v>
          </cell>
          <cell r="F2945">
            <v>0</v>
          </cell>
        </row>
        <row r="2946">
          <cell r="A2946" t="str">
            <v>RCLILK2A</v>
          </cell>
          <cell r="B2946">
            <v>0</v>
          </cell>
          <cell r="C2946">
            <v>0</v>
          </cell>
          <cell r="D2946" t="e">
            <v>#VALUE!</v>
          </cell>
          <cell r="E2946" t="e">
            <v>#VALUE!</v>
          </cell>
          <cell r="F2946">
            <v>0</v>
          </cell>
        </row>
        <row r="2947">
          <cell r="A2947" t="str">
            <v>RCLIJPIA</v>
          </cell>
          <cell r="B2947">
            <v>5.9440552525314794E-5</v>
          </cell>
          <cell r="C2947">
            <v>0</v>
          </cell>
          <cell r="D2947" t="e">
            <v>#VALUE!</v>
          </cell>
          <cell r="E2947" t="e">
            <v>#VALUE!</v>
          </cell>
          <cell r="F2947">
            <v>0</v>
          </cell>
        </row>
        <row r="2948">
          <cell r="A2948" t="str">
            <v>RCLIJETA</v>
          </cell>
          <cell r="B2948">
            <v>4.0213663774073659E-5</v>
          </cell>
          <cell r="C2948">
            <v>0</v>
          </cell>
          <cell r="D2948" t="e">
            <v>#VALUE!</v>
          </cell>
          <cell r="E2948" t="e">
            <v>#VALUE!</v>
          </cell>
          <cell r="F2948">
            <v>0</v>
          </cell>
        </row>
        <row r="2949">
          <cell r="A2949" t="str">
            <v>RCLILK3A</v>
          </cell>
          <cell r="B2949">
            <v>-4.3399193725223359E-5</v>
          </cell>
          <cell r="C2949">
            <v>0</v>
          </cell>
          <cell r="D2949" t="e">
            <v>#VALUE!</v>
          </cell>
          <cell r="E2949" t="e">
            <v>#VALUE!</v>
          </cell>
          <cell r="F2949">
            <v>0</v>
          </cell>
        </row>
        <row r="2950">
          <cell r="A2950" t="str">
            <v>RCLILK4A</v>
          </cell>
          <cell r="B2950">
            <v>9.4681895822996268E-6</v>
          </cell>
          <cell r="C2950">
            <v>0</v>
          </cell>
          <cell r="D2950" t="e">
            <v>#VALUE!</v>
          </cell>
          <cell r="E2950" t="e">
            <v>#VALUE!</v>
          </cell>
          <cell r="F2950">
            <v>0</v>
          </cell>
        </row>
        <row r="2951">
          <cell r="A2951" t="str">
            <v>RCLISG3A</v>
          </cell>
          <cell r="B2951">
            <v>0</v>
          </cell>
          <cell r="C2951">
            <v>0</v>
          </cell>
          <cell r="D2951" t="e">
            <v>#VALUE!</v>
          </cell>
          <cell r="E2951" t="e">
            <v>#VALUE!</v>
          </cell>
          <cell r="F2951">
            <v>0</v>
          </cell>
        </row>
        <row r="2952">
          <cell r="A2952" t="str">
            <v>RCLISG4A</v>
          </cell>
          <cell r="B2952">
            <v>-3.857469483305005E-6</v>
          </cell>
          <cell r="C2952">
            <v>0</v>
          </cell>
          <cell r="D2952" t="e">
            <v>#VALUE!</v>
          </cell>
          <cell r="E2952" t="e">
            <v>#VALUE!</v>
          </cell>
          <cell r="F2952">
            <v>0</v>
          </cell>
        </row>
        <row r="2953">
          <cell r="A2953" t="str">
            <v>RCLISG5A</v>
          </cell>
          <cell r="B2953">
            <v>0</v>
          </cell>
          <cell r="C2953">
            <v>0</v>
          </cell>
          <cell r="D2953" t="e">
            <v>#VALUE!</v>
          </cell>
          <cell r="E2953" t="e">
            <v>#VALUE!</v>
          </cell>
          <cell r="F2953">
            <v>0</v>
          </cell>
        </row>
        <row r="2954">
          <cell r="A2954" t="str">
            <v>RCLISG6A</v>
          </cell>
          <cell r="B2954">
            <v>1.1618479238056541E-11</v>
          </cell>
          <cell r="C2954">
            <v>0</v>
          </cell>
          <cell r="D2954" t="e">
            <v>#VALUE!</v>
          </cell>
          <cell r="E2954" t="e">
            <v>#VALUE!</v>
          </cell>
          <cell r="F2954">
            <v>0</v>
          </cell>
        </row>
        <row r="2955">
          <cell r="A2955" t="str">
            <v>RCLISG7A</v>
          </cell>
          <cell r="B2955">
            <v>0</v>
          </cell>
          <cell r="C2955">
            <v>0</v>
          </cell>
          <cell r="D2955" t="e">
            <v>#VALUE!</v>
          </cell>
          <cell r="E2955" t="e">
            <v>#VALUE!</v>
          </cell>
          <cell r="F2955">
            <v>0</v>
          </cell>
        </row>
        <row r="2956">
          <cell r="A2956" t="str">
            <v>RCLILKFA</v>
          </cell>
          <cell r="B2956">
            <v>-7.0180613882456948E-5</v>
          </cell>
          <cell r="C2956">
            <v>0</v>
          </cell>
          <cell r="D2956" t="e">
            <v>#VALUE!</v>
          </cell>
          <cell r="E2956" t="e">
            <v>#VALUE!</v>
          </cell>
          <cell r="F2956">
            <v>0</v>
          </cell>
        </row>
        <row r="2957">
          <cell r="A2957" t="str">
            <v>RCLILFKA</v>
          </cell>
          <cell r="B2957">
            <v>2.1294920922142187E-3</v>
          </cell>
          <cell r="C2957">
            <v>0</v>
          </cell>
          <cell r="D2957" t="e">
            <v>#VALUE!</v>
          </cell>
          <cell r="E2957" t="e">
            <v>#VALUE!</v>
          </cell>
          <cell r="F2957">
            <v>0</v>
          </cell>
        </row>
        <row r="2958">
          <cell r="A2958" t="str">
            <v>RCLILG1A</v>
          </cell>
          <cell r="B2958">
            <v>-3.241926623023536E-3</v>
          </cell>
          <cell r="C2958">
            <v>0</v>
          </cell>
          <cell r="D2958" t="e">
            <v>#VALUE!</v>
          </cell>
          <cell r="E2958" t="e">
            <v>#VALUE!</v>
          </cell>
          <cell r="F2958">
            <v>0</v>
          </cell>
        </row>
        <row r="2959">
          <cell r="A2959" t="str">
            <v>RCLILG2A</v>
          </cell>
          <cell r="B2959">
            <v>-9.6579292289153615E-3</v>
          </cell>
          <cell r="C2959">
            <v>0</v>
          </cell>
          <cell r="D2959" t="e">
            <v>#VALUE!</v>
          </cell>
          <cell r="E2959" t="e">
            <v>#VALUE!</v>
          </cell>
          <cell r="F2959">
            <v>0</v>
          </cell>
        </row>
        <row r="2960">
          <cell r="A2960" t="str">
            <v>RCLILG3A</v>
          </cell>
          <cell r="B2960">
            <v>-3.3332886461771337E-5</v>
          </cell>
          <cell r="C2960">
            <v>0</v>
          </cell>
          <cell r="D2960" t="e">
            <v>#VALUE!</v>
          </cell>
          <cell r="E2960" t="e">
            <v>#VALUE!</v>
          </cell>
          <cell r="F2960">
            <v>0</v>
          </cell>
        </row>
        <row r="2961">
          <cell r="A2961" t="str">
            <v>RCLIGS1A</v>
          </cell>
          <cell r="B2961">
            <v>2.9544767765251542E-3</v>
          </cell>
          <cell r="C2961">
            <v>0</v>
          </cell>
          <cell r="D2961" t="e">
            <v>#VALUE!</v>
          </cell>
          <cell r="E2961" t="e">
            <v>#VALUE!</v>
          </cell>
          <cell r="F2961">
            <v>0</v>
          </cell>
        </row>
        <row r="2962">
          <cell r="A2962" t="str">
            <v>RCLIGS2A</v>
          </cell>
          <cell r="B2962">
            <v>4.8006063342941226E-6</v>
          </cell>
          <cell r="C2962">
            <v>0</v>
          </cell>
          <cell r="D2962" t="e">
            <v>#VALUE!</v>
          </cell>
          <cell r="E2962" t="e">
            <v>#VALUE!</v>
          </cell>
          <cell r="F2962">
            <v>0</v>
          </cell>
        </row>
        <row r="2963">
          <cell r="A2963" t="str">
            <v>RCLIGS3A</v>
          </cell>
          <cell r="B2963">
            <v>0</v>
          </cell>
          <cell r="C2963">
            <v>0</v>
          </cell>
          <cell r="D2963" t="e">
            <v>#VALUE!</v>
          </cell>
          <cell r="E2963" t="e">
            <v>#VALUE!</v>
          </cell>
          <cell r="F2963">
            <v>0</v>
          </cell>
        </row>
        <row r="2964">
          <cell r="A2964" t="str">
            <v>RCLIGS4A</v>
          </cell>
          <cell r="B2964">
            <v>-1.3582093013476019E-2</v>
          </cell>
          <cell r="C2964">
            <v>0</v>
          </cell>
          <cell r="D2964" t="e">
            <v>#VALUE!</v>
          </cell>
          <cell r="E2964" t="e">
            <v>#VALUE!</v>
          </cell>
          <cell r="F2964">
            <v>0</v>
          </cell>
        </row>
        <row r="2965">
          <cell r="A2965" t="str">
            <v>RCLIGS5A</v>
          </cell>
          <cell r="B2965">
            <v>0</v>
          </cell>
          <cell r="C2965">
            <v>0</v>
          </cell>
          <cell r="D2965" t="e">
            <v>#VALUE!</v>
          </cell>
          <cell r="E2965" t="e">
            <v>#VALUE!</v>
          </cell>
          <cell r="F2965">
            <v>0</v>
          </cell>
        </row>
        <row r="2966">
          <cell r="A2966" t="str">
            <v>RCLIGS6A</v>
          </cell>
          <cell r="B2966">
            <v>3.0935277814708956E-5</v>
          </cell>
          <cell r="C2966">
            <v>0</v>
          </cell>
          <cell r="D2966" t="e">
            <v>#VALUE!</v>
          </cell>
          <cell r="E2966" t="e">
            <v>#VALUE!</v>
          </cell>
          <cell r="F2966">
            <v>0</v>
          </cell>
        </row>
        <row r="2967">
          <cell r="A2967" t="str">
            <v>RCLIGS7A</v>
          </cell>
          <cell r="B2967">
            <v>-6.9404870538002715E-5</v>
          </cell>
          <cell r="C2967">
            <v>0</v>
          </cell>
          <cell r="D2967" t="e">
            <v>#VALUE!</v>
          </cell>
          <cell r="E2967" t="e">
            <v>#VALUE!</v>
          </cell>
          <cell r="F2967">
            <v>0</v>
          </cell>
        </row>
        <row r="2968">
          <cell r="A2968" t="str">
            <v>RCLIG11A</v>
          </cell>
          <cell r="B2968">
            <v>-4.9269165062307288E-2</v>
          </cell>
          <cell r="C2968">
            <v>0</v>
          </cell>
          <cell r="D2968" t="e">
            <v>#VALUE!</v>
          </cell>
          <cell r="E2968" t="e">
            <v>#VALUE!</v>
          </cell>
          <cell r="F2968">
            <v>0</v>
          </cell>
        </row>
        <row r="2969">
          <cell r="A2969" t="str">
            <v>RCLIPG1A</v>
          </cell>
          <cell r="B2969">
            <v>0.1181737675089134</v>
          </cell>
          <cell r="C2969">
            <v>0</v>
          </cell>
          <cell r="D2969" t="e">
            <v>#VALUE!</v>
          </cell>
          <cell r="E2969" t="e">
            <v>#VALUE!</v>
          </cell>
          <cell r="F2969">
            <v>0</v>
          </cell>
        </row>
        <row r="2970">
          <cell r="A2970" t="str">
            <v>RCLIPG2A</v>
          </cell>
          <cell r="B2970">
            <v>1.1280838536474956E-4</v>
          </cell>
          <cell r="C2970">
            <v>0</v>
          </cell>
          <cell r="D2970" t="e">
            <v>#VALUE!</v>
          </cell>
          <cell r="E2970" t="e">
            <v>#VALUE!</v>
          </cell>
          <cell r="F2970">
            <v>0</v>
          </cell>
        </row>
        <row r="2971">
          <cell r="A2971" t="str">
            <v>RCLIAR1A</v>
          </cell>
          <cell r="B2971">
            <v>5.3934105548510101E-2</v>
          </cell>
          <cell r="C2971">
            <v>0</v>
          </cell>
          <cell r="D2971" t="e">
            <v>#VALUE!</v>
          </cell>
          <cell r="E2971" t="e">
            <v>#VALUE!</v>
          </cell>
          <cell r="F2971">
            <v>0</v>
          </cell>
        </row>
        <row r="2972">
          <cell r="A2972" t="str">
            <v>RCLIAR2A</v>
          </cell>
          <cell r="B2972">
            <v>-1.1341432508157744E-4</v>
          </cell>
          <cell r="C2972">
            <v>0</v>
          </cell>
          <cell r="D2972" t="e">
            <v>#VALUE!</v>
          </cell>
          <cell r="E2972" t="e">
            <v>#VALUE!</v>
          </cell>
          <cell r="F2972">
            <v>0</v>
          </cell>
        </row>
        <row r="2973">
          <cell r="A2973" t="str">
            <v>RCLIAR3A</v>
          </cell>
          <cell r="B2973">
            <v>0</v>
          </cell>
          <cell r="C2973">
            <v>0</v>
          </cell>
          <cell r="D2973" t="e">
            <v>#VALUE!</v>
          </cell>
          <cell r="E2973" t="e">
            <v>#VALUE!</v>
          </cell>
          <cell r="F2973">
            <v>0</v>
          </cell>
        </row>
        <row r="2974">
          <cell r="A2974" t="str">
            <v>RCLIAR4A</v>
          </cell>
          <cell r="B2974">
            <v>0.75119353075550022</v>
          </cell>
          <cell r="C2974">
            <v>0</v>
          </cell>
          <cell r="D2974" t="e">
            <v>#VALUE!</v>
          </cell>
          <cell r="E2974" t="e">
            <v>#VALUE!</v>
          </cell>
          <cell r="F2974">
            <v>0</v>
          </cell>
        </row>
        <row r="2975">
          <cell r="A2975" t="str">
            <v>RCLIAR5A</v>
          </cell>
          <cell r="B2975">
            <v>0</v>
          </cell>
          <cell r="C2975">
            <v>0</v>
          </cell>
          <cell r="D2975" t="e">
            <v>#VALUE!</v>
          </cell>
          <cell r="E2975" t="e">
            <v>#VALUE!</v>
          </cell>
          <cell r="F2975">
            <v>0</v>
          </cell>
        </row>
        <row r="2976">
          <cell r="A2976" t="str">
            <v>RCLIAR6A</v>
          </cell>
          <cell r="B2976">
            <v>4.2152355473169184E-6</v>
          </cell>
          <cell r="C2976">
            <v>0</v>
          </cell>
          <cell r="D2976" t="e">
            <v>#VALUE!</v>
          </cell>
          <cell r="E2976" t="e">
            <v>#VALUE!</v>
          </cell>
          <cell r="F2976">
            <v>0</v>
          </cell>
        </row>
        <row r="2977">
          <cell r="A2977" t="str">
            <v>RCLIAR7A</v>
          </cell>
          <cell r="B2977">
            <v>-1.3603354562616155E-4</v>
          </cell>
          <cell r="C2977">
            <v>0</v>
          </cell>
          <cell r="D2977" t="e">
            <v>#VALUE!</v>
          </cell>
          <cell r="E2977" t="e">
            <v>#VALUE!</v>
          </cell>
          <cell r="F2977">
            <v>0</v>
          </cell>
        </row>
        <row r="2978">
          <cell r="A2978" t="str">
            <v>RCLILV1A</v>
          </cell>
          <cell r="B2978">
            <v>2.8654016461861255E-2</v>
          </cell>
          <cell r="C2978">
            <v>0</v>
          </cell>
          <cell r="D2978" t="e">
            <v>#VALUE!</v>
          </cell>
          <cell r="E2978" t="e">
            <v>#VALUE!</v>
          </cell>
          <cell r="F2978">
            <v>0</v>
          </cell>
        </row>
        <row r="2979">
          <cell r="A2979" t="str">
            <v>RCLILV2A</v>
          </cell>
          <cell r="B2979">
            <v>-6.9008715233880361E-4</v>
          </cell>
          <cell r="C2979">
            <v>0</v>
          </cell>
          <cell r="D2979" t="e">
            <v>#VALUE!</v>
          </cell>
          <cell r="E2979" t="e">
            <v>#VALUE!</v>
          </cell>
          <cell r="F2979">
            <v>0</v>
          </cell>
        </row>
        <row r="2980">
          <cell r="A2980" t="str">
            <v>RCLILV3A</v>
          </cell>
          <cell r="B2980">
            <v>0</v>
          </cell>
          <cell r="C2980">
            <v>0</v>
          </cell>
          <cell r="D2980" t="e">
            <v>#VALUE!</v>
          </cell>
          <cell r="E2980" t="e">
            <v>#VALUE!</v>
          </cell>
          <cell r="F2980">
            <v>0</v>
          </cell>
        </row>
        <row r="2981">
          <cell r="A2981" t="str">
            <v>RCLILV4A</v>
          </cell>
          <cell r="B2981">
            <v>0.44166430036907328</v>
          </cell>
          <cell r="C2981">
            <v>0</v>
          </cell>
          <cell r="D2981" t="e">
            <v>#VALUE!</v>
          </cell>
          <cell r="E2981" t="e">
            <v>#VALUE!</v>
          </cell>
          <cell r="F2981">
            <v>0</v>
          </cell>
        </row>
        <row r="2982">
          <cell r="A2982" t="str">
            <v>RCLILV5A</v>
          </cell>
          <cell r="B2982">
            <v>0</v>
          </cell>
          <cell r="C2982">
            <v>0</v>
          </cell>
          <cell r="D2982" t="e">
            <v>#VALUE!</v>
          </cell>
          <cell r="E2982" t="e">
            <v>#VALUE!</v>
          </cell>
          <cell r="F2982">
            <v>0</v>
          </cell>
        </row>
        <row r="2983">
          <cell r="A2983" t="str">
            <v>RCLILV6A</v>
          </cell>
          <cell r="B2983">
            <v>-2.7892051586779218E-3</v>
          </cell>
          <cell r="C2983">
            <v>0</v>
          </cell>
          <cell r="D2983" t="e">
            <v>#VALUE!</v>
          </cell>
          <cell r="E2983" t="e">
            <v>#VALUE!</v>
          </cell>
          <cell r="F2983">
            <v>0</v>
          </cell>
        </row>
        <row r="2984">
          <cell r="A2984" t="str">
            <v>RCLILV7A</v>
          </cell>
          <cell r="B2984">
            <v>2.8224647619238454E-3</v>
          </cell>
          <cell r="C2984">
            <v>0</v>
          </cell>
          <cell r="D2984" t="e">
            <v>#VALUE!</v>
          </cell>
          <cell r="E2984" t="e">
            <v>#VALUE!</v>
          </cell>
          <cell r="F2984">
            <v>0</v>
          </cell>
        </row>
        <row r="2985">
          <cell r="A2985" t="str">
            <v>RCLIDTFA</v>
          </cell>
          <cell r="B2985">
            <v>2.4042369838172494E-2</v>
          </cell>
          <cell r="C2985">
            <v>0</v>
          </cell>
          <cell r="D2985" t="e">
            <v>#VALUE!</v>
          </cell>
          <cell r="E2985" t="e">
            <v>#VALUE!</v>
          </cell>
          <cell r="F2985">
            <v>0</v>
          </cell>
        </row>
        <row r="2986">
          <cell r="A2986" t="str">
            <v>RCLILCDA</v>
          </cell>
          <cell r="B2986">
            <v>-6.353177227181931E-3</v>
          </cell>
          <cell r="C2986">
            <v>0</v>
          </cell>
          <cell r="D2986" t="e">
            <v>#VALUE!</v>
          </cell>
          <cell r="E2986" t="e">
            <v>#VALUE!</v>
          </cell>
          <cell r="F2986">
            <v>0</v>
          </cell>
        </row>
        <row r="2987">
          <cell r="A2987" t="str">
            <v>RCFIPN3A</v>
          </cell>
          <cell r="B2987">
            <v>5.4627068624640374E-4</v>
          </cell>
          <cell r="C2987">
            <v>0</v>
          </cell>
          <cell r="D2987" t="e">
            <v>#VALUE!</v>
          </cell>
          <cell r="E2987" t="e">
            <v>#VALUE!</v>
          </cell>
          <cell r="F2987">
            <v>0</v>
          </cell>
        </row>
        <row r="2988">
          <cell r="A2988" t="str">
            <v>RCFISK1A</v>
          </cell>
          <cell r="B2988">
            <v>-1.8144437318955019E-7</v>
          </cell>
          <cell r="C2988">
            <v>0</v>
          </cell>
          <cell r="D2988" t="e">
            <v>#VALUE!</v>
          </cell>
          <cell r="E2988" t="e">
            <v>#VALUE!</v>
          </cell>
          <cell r="F2988">
            <v>0</v>
          </cell>
        </row>
        <row r="2989">
          <cell r="A2989" t="str">
            <v>RCFISK2A</v>
          </cell>
          <cell r="B2989">
            <v>1.7522213410028263E-7</v>
          </cell>
          <cell r="C2989">
            <v>0</v>
          </cell>
          <cell r="D2989" t="e">
            <v>#VALUE!</v>
          </cell>
          <cell r="E2989" t="e">
            <v>#VALUE!</v>
          </cell>
          <cell r="F2989">
            <v>0</v>
          </cell>
        </row>
        <row r="2990">
          <cell r="A2990" t="str">
            <v>RCFISK3A</v>
          </cell>
          <cell r="B2990">
            <v>0</v>
          </cell>
          <cell r="C2990">
            <v>0</v>
          </cell>
          <cell r="D2990" t="e">
            <v>#VALUE!</v>
          </cell>
          <cell r="E2990" t="e">
            <v>#VALUE!</v>
          </cell>
          <cell r="F2990">
            <v>0</v>
          </cell>
        </row>
        <row r="2991">
          <cell r="A2991" t="str">
            <v>RCFISK5A</v>
          </cell>
          <cell r="B2991">
            <v>0</v>
          </cell>
          <cell r="C2991">
            <v>0</v>
          </cell>
          <cell r="D2991" t="e">
            <v>#VALUE!</v>
          </cell>
          <cell r="E2991" t="e">
            <v>#VALUE!</v>
          </cell>
          <cell r="F2991">
            <v>0</v>
          </cell>
        </row>
        <row r="2992">
          <cell r="A2992" t="str">
            <v>RCFISK6A</v>
          </cell>
          <cell r="B2992">
            <v>-2.04991667413022E-7</v>
          </cell>
          <cell r="C2992">
            <v>0</v>
          </cell>
          <cell r="D2992" t="e">
            <v>#VALUE!</v>
          </cell>
          <cell r="E2992" t="e">
            <v>#VALUE!</v>
          </cell>
          <cell r="F2992">
            <v>0</v>
          </cell>
        </row>
        <row r="2993">
          <cell r="A2993" t="str">
            <v>RCFISK7A</v>
          </cell>
          <cell r="B2993">
            <v>-1.0549540255017011E-6</v>
          </cell>
          <cell r="C2993">
            <v>0</v>
          </cell>
          <cell r="D2993" t="e">
            <v>#VALUE!</v>
          </cell>
          <cell r="E2993" t="e">
            <v>#VALUE!</v>
          </cell>
          <cell r="F2993">
            <v>0</v>
          </cell>
        </row>
        <row r="2994">
          <cell r="A2994" t="str">
            <v>RCFILK2A</v>
          </cell>
          <cell r="B2994">
            <v>0</v>
          </cell>
          <cell r="C2994">
            <v>0</v>
          </cell>
          <cell r="D2994" t="e">
            <v>#VALUE!</v>
          </cell>
          <cell r="E2994" t="e">
            <v>#VALUE!</v>
          </cell>
          <cell r="F2994">
            <v>0</v>
          </cell>
        </row>
        <row r="2995">
          <cell r="A2995" t="str">
            <v>RCFILK1A</v>
          </cell>
          <cell r="B2995">
            <v>1.4846421721165527E-4</v>
          </cell>
          <cell r="C2995">
            <v>0</v>
          </cell>
          <cell r="D2995" t="e">
            <v>#VALUE!</v>
          </cell>
          <cell r="E2995" t="e">
            <v>#VALUE!</v>
          </cell>
          <cell r="F2995">
            <v>0</v>
          </cell>
        </row>
        <row r="2996">
          <cell r="A2996" t="str">
            <v>RCFIJPIA</v>
          </cell>
          <cell r="B2996">
            <v>-1.0497032677471505E-4</v>
          </cell>
          <cell r="C2996">
            <v>0</v>
          </cell>
          <cell r="D2996" t="e">
            <v>#VALUE!</v>
          </cell>
          <cell r="E2996" t="e">
            <v>#VALUE!</v>
          </cell>
          <cell r="F2996">
            <v>0</v>
          </cell>
        </row>
        <row r="2997">
          <cell r="A2997" t="str">
            <v>RCFIJETA</v>
          </cell>
          <cell r="B2997">
            <v>4.9689193752334949E-3</v>
          </cell>
          <cell r="C2997">
            <v>0</v>
          </cell>
          <cell r="D2997" t="e">
            <v>#VALUE!</v>
          </cell>
          <cell r="E2997" t="e">
            <v>#VALUE!</v>
          </cell>
          <cell r="F2997">
            <v>0</v>
          </cell>
        </row>
        <row r="2998">
          <cell r="A2998" t="str">
            <v>RCFILK3A</v>
          </cell>
          <cell r="B2998">
            <v>-5.6312822238745468E-4</v>
          </cell>
          <cell r="C2998">
            <v>0</v>
          </cell>
          <cell r="D2998" t="e">
            <v>#VALUE!</v>
          </cell>
          <cell r="E2998" t="e">
            <v>#VALUE!</v>
          </cell>
          <cell r="F2998">
            <v>0</v>
          </cell>
        </row>
        <row r="2999">
          <cell r="A2999" t="str">
            <v>RCFILK4A</v>
          </cell>
          <cell r="B2999">
            <v>3.9817704051721627E-6</v>
          </cell>
          <cell r="C2999">
            <v>0</v>
          </cell>
          <cell r="D2999" t="e">
            <v>#VALUE!</v>
          </cell>
          <cell r="E2999" t="e">
            <v>#VALUE!</v>
          </cell>
          <cell r="F2999">
            <v>0</v>
          </cell>
        </row>
        <row r="3000">
          <cell r="A3000" t="str">
            <v>RCFISG3A</v>
          </cell>
          <cell r="B3000">
            <v>0</v>
          </cell>
          <cell r="C3000">
            <v>0</v>
          </cell>
          <cell r="D3000" t="e">
            <v>#VALUE!</v>
          </cell>
          <cell r="E3000" t="e">
            <v>#VALUE!</v>
          </cell>
          <cell r="F3000">
            <v>0</v>
          </cell>
        </row>
        <row r="3001">
          <cell r="A3001" t="str">
            <v>RCFISG4A</v>
          </cell>
          <cell r="B3001">
            <v>7.4838688820345358E-4</v>
          </cell>
          <cell r="C3001">
            <v>0</v>
          </cell>
          <cell r="D3001" t="e">
            <v>#VALUE!</v>
          </cell>
          <cell r="E3001" t="e">
            <v>#VALUE!</v>
          </cell>
          <cell r="F3001">
            <v>0</v>
          </cell>
        </row>
        <row r="3002">
          <cell r="A3002" t="str">
            <v>RCFISG5A</v>
          </cell>
          <cell r="B3002">
            <v>0</v>
          </cell>
          <cell r="C3002">
            <v>0</v>
          </cell>
          <cell r="D3002" t="e">
            <v>#VALUE!</v>
          </cell>
          <cell r="E3002" t="e">
            <v>#VALUE!</v>
          </cell>
          <cell r="F3002">
            <v>0</v>
          </cell>
        </row>
        <row r="3003">
          <cell r="A3003" t="str">
            <v>RCFISG6A</v>
          </cell>
          <cell r="B3003">
            <v>-5.5060732530077927E-6</v>
          </cell>
          <cell r="C3003">
            <v>0</v>
          </cell>
          <cell r="D3003" t="e">
            <v>#VALUE!</v>
          </cell>
          <cell r="E3003" t="e">
            <v>#VALUE!</v>
          </cell>
          <cell r="F3003">
            <v>0</v>
          </cell>
        </row>
        <row r="3004">
          <cell r="A3004" t="str">
            <v>RCFISG7A</v>
          </cell>
          <cell r="B3004">
            <v>4.6269911875504175E-6</v>
          </cell>
          <cell r="C3004">
            <v>0</v>
          </cell>
          <cell r="D3004" t="e">
            <v>#VALUE!</v>
          </cell>
          <cell r="E3004" t="e">
            <v>#VALUE!</v>
          </cell>
          <cell r="F3004">
            <v>0</v>
          </cell>
        </row>
        <row r="3005">
          <cell r="A3005" t="str">
            <v>RCFILKFA</v>
          </cell>
          <cell r="B3005">
            <v>7.9798830909392761E-5</v>
          </cell>
          <cell r="C3005">
            <v>0</v>
          </cell>
          <cell r="D3005" t="e">
            <v>#VALUE!</v>
          </cell>
          <cell r="E3005" t="e">
            <v>#VALUE!</v>
          </cell>
          <cell r="F3005">
            <v>0</v>
          </cell>
        </row>
        <row r="3006">
          <cell r="A3006" t="str">
            <v>RCFILFKA</v>
          </cell>
          <cell r="B3006">
            <v>8.0567829461072773E-5</v>
          </cell>
          <cell r="C3006">
            <v>0</v>
          </cell>
          <cell r="D3006" t="e">
            <v>#VALUE!</v>
          </cell>
          <cell r="E3006" t="e">
            <v>#VALUE!</v>
          </cell>
          <cell r="F3006">
            <v>0</v>
          </cell>
        </row>
        <row r="3007">
          <cell r="A3007" t="str">
            <v>RCFILG1A</v>
          </cell>
          <cell r="B3007">
            <v>8.8187522892776409E-3</v>
          </cell>
          <cell r="C3007">
            <v>0</v>
          </cell>
          <cell r="D3007" t="e">
            <v>#VALUE!</v>
          </cell>
          <cell r="E3007" t="e">
            <v>#VALUE!</v>
          </cell>
          <cell r="F3007">
            <v>0</v>
          </cell>
        </row>
        <row r="3008">
          <cell r="A3008" t="str">
            <v>RCFILG2A</v>
          </cell>
          <cell r="B3008">
            <v>-1.1249728052085904E-2</v>
          </cell>
          <cell r="C3008">
            <v>0</v>
          </cell>
          <cell r="D3008" t="e">
            <v>#VALUE!</v>
          </cell>
          <cell r="E3008" t="e">
            <v>#VALUE!</v>
          </cell>
          <cell r="F3008">
            <v>0</v>
          </cell>
        </row>
        <row r="3009">
          <cell r="A3009" t="str">
            <v>RCFILG3A</v>
          </cell>
          <cell r="B3009">
            <v>9.1770715910458157E-6</v>
          </cell>
          <cell r="C3009">
            <v>0</v>
          </cell>
          <cell r="D3009" t="e">
            <v>#VALUE!</v>
          </cell>
          <cell r="E3009" t="e">
            <v>#VALUE!</v>
          </cell>
          <cell r="F3009">
            <v>0</v>
          </cell>
        </row>
        <row r="3010">
          <cell r="A3010" t="str">
            <v>RCFIGS1A</v>
          </cell>
          <cell r="B3010">
            <v>2.6939650753102138E-3</v>
          </cell>
          <cell r="C3010">
            <v>0</v>
          </cell>
          <cell r="D3010" t="e">
            <v>#VALUE!</v>
          </cell>
          <cell r="E3010" t="e">
            <v>#VALUE!</v>
          </cell>
          <cell r="F3010">
            <v>0</v>
          </cell>
        </row>
        <row r="3011">
          <cell r="A3011" t="str">
            <v>RCFIGS2A</v>
          </cell>
          <cell r="B3011">
            <v>1.6802121937049277E-5</v>
          </cell>
          <cell r="C3011">
            <v>0</v>
          </cell>
          <cell r="D3011" t="e">
            <v>#VALUE!</v>
          </cell>
          <cell r="E3011" t="e">
            <v>#VALUE!</v>
          </cell>
          <cell r="F3011">
            <v>0</v>
          </cell>
        </row>
        <row r="3012">
          <cell r="A3012" t="str">
            <v>RCFIGS3A</v>
          </cell>
          <cell r="B3012">
            <v>0</v>
          </cell>
          <cell r="C3012">
            <v>0</v>
          </cell>
          <cell r="D3012" t="e">
            <v>#VALUE!</v>
          </cell>
          <cell r="E3012" t="e">
            <v>#VALUE!</v>
          </cell>
          <cell r="F3012">
            <v>0</v>
          </cell>
        </row>
        <row r="3013">
          <cell r="A3013" t="str">
            <v>RCFIGS4A</v>
          </cell>
          <cell r="B3013">
            <v>1.242246230735686E-3</v>
          </cell>
          <cell r="C3013">
            <v>0</v>
          </cell>
          <cell r="D3013" t="e">
            <v>#VALUE!</v>
          </cell>
          <cell r="E3013" t="e">
            <v>#VALUE!</v>
          </cell>
          <cell r="F3013">
            <v>0</v>
          </cell>
        </row>
        <row r="3014">
          <cell r="A3014" t="str">
            <v>RCFIGS5A</v>
          </cell>
          <cell r="B3014">
            <v>0</v>
          </cell>
          <cell r="C3014">
            <v>0</v>
          </cell>
          <cell r="D3014" t="e">
            <v>#VALUE!</v>
          </cell>
          <cell r="E3014" t="e">
            <v>#VALUE!</v>
          </cell>
          <cell r="F3014">
            <v>0</v>
          </cell>
        </row>
        <row r="3015">
          <cell r="A3015" t="str">
            <v>RCFIGS6A</v>
          </cell>
          <cell r="B3015">
            <v>-2.5500912652952974E-5</v>
          </cell>
          <cell r="C3015">
            <v>0</v>
          </cell>
          <cell r="D3015" t="e">
            <v>#VALUE!</v>
          </cell>
          <cell r="E3015" t="e">
            <v>#VALUE!</v>
          </cell>
          <cell r="F3015">
            <v>0</v>
          </cell>
        </row>
        <row r="3016">
          <cell r="A3016" t="str">
            <v>RCFIGS7A</v>
          </cell>
          <cell r="B3016">
            <v>0</v>
          </cell>
          <cell r="C3016">
            <v>0</v>
          </cell>
          <cell r="D3016" t="e">
            <v>#VALUE!</v>
          </cell>
          <cell r="E3016" t="e">
            <v>#VALUE!</v>
          </cell>
          <cell r="F3016">
            <v>0</v>
          </cell>
        </row>
        <row r="3017">
          <cell r="A3017" t="str">
            <v>RCFIG11A</v>
          </cell>
          <cell r="B3017">
            <v>-3.3436847682276817E-2</v>
          </cell>
          <cell r="C3017">
            <v>0</v>
          </cell>
          <cell r="D3017" t="e">
            <v>#VALUE!</v>
          </cell>
          <cell r="E3017" t="e">
            <v>#VALUE!</v>
          </cell>
          <cell r="F3017">
            <v>0</v>
          </cell>
        </row>
        <row r="3018">
          <cell r="A3018" t="str">
            <v>RCFIPG1A</v>
          </cell>
          <cell r="B3018">
            <v>9.3370070552121695E-2</v>
          </cell>
          <cell r="C3018">
            <v>0</v>
          </cell>
          <cell r="D3018" t="e">
            <v>#VALUE!</v>
          </cell>
          <cell r="E3018" t="e">
            <v>#VALUE!</v>
          </cell>
          <cell r="F3018">
            <v>0</v>
          </cell>
        </row>
        <row r="3019">
          <cell r="A3019" t="str">
            <v>RCFIPG2A</v>
          </cell>
          <cell r="B3019">
            <v>-2.1298207503692439E-4</v>
          </cell>
          <cell r="C3019">
            <v>0</v>
          </cell>
          <cell r="D3019" t="e">
            <v>#VALUE!</v>
          </cell>
          <cell r="E3019" t="e">
            <v>#VALUE!</v>
          </cell>
          <cell r="F3019">
            <v>0</v>
          </cell>
        </row>
        <row r="3020">
          <cell r="A3020" t="str">
            <v>RCFIAR1A</v>
          </cell>
          <cell r="B3020">
            <v>7.0172617723131242E-2</v>
          </cell>
          <cell r="C3020">
            <v>0</v>
          </cell>
          <cell r="D3020" t="e">
            <v>#VALUE!</v>
          </cell>
          <cell r="E3020" t="e">
            <v>#VALUE!</v>
          </cell>
          <cell r="F3020">
            <v>0</v>
          </cell>
        </row>
        <row r="3021">
          <cell r="A3021" t="str">
            <v>RCFIAR2A</v>
          </cell>
          <cell r="B3021">
            <v>-1.068134900192054E-4</v>
          </cell>
          <cell r="C3021">
            <v>0</v>
          </cell>
          <cell r="D3021" t="e">
            <v>#VALUE!</v>
          </cell>
          <cell r="E3021" t="e">
            <v>#VALUE!</v>
          </cell>
          <cell r="F3021">
            <v>0</v>
          </cell>
        </row>
        <row r="3022">
          <cell r="A3022" t="str">
            <v>RCFIAR3A</v>
          </cell>
          <cell r="B3022">
            <v>0</v>
          </cell>
          <cell r="C3022">
            <v>0</v>
          </cell>
          <cell r="D3022" t="e">
            <v>#VALUE!</v>
          </cell>
          <cell r="E3022" t="e">
            <v>#VALUE!</v>
          </cell>
          <cell r="F3022">
            <v>0</v>
          </cell>
        </row>
        <row r="3023">
          <cell r="A3023" t="str">
            <v>RCFIAR4A</v>
          </cell>
          <cell r="B3023">
            <v>0.23876678273081781</v>
          </cell>
          <cell r="C3023">
            <v>0</v>
          </cell>
          <cell r="D3023" t="e">
            <v>#VALUE!</v>
          </cell>
          <cell r="E3023" t="e">
            <v>#VALUE!</v>
          </cell>
          <cell r="F3023">
            <v>0</v>
          </cell>
        </row>
        <row r="3024">
          <cell r="A3024" t="str">
            <v>RCFIAR5A</v>
          </cell>
          <cell r="B3024">
            <v>0</v>
          </cell>
          <cell r="C3024">
            <v>0</v>
          </cell>
          <cell r="D3024" t="e">
            <v>#VALUE!</v>
          </cell>
          <cell r="E3024" t="e">
            <v>#VALUE!</v>
          </cell>
          <cell r="F3024">
            <v>0</v>
          </cell>
        </row>
        <row r="3025">
          <cell r="A3025" t="str">
            <v>RCFIAR6A</v>
          </cell>
          <cell r="B3025">
            <v>1.4351693515671798E-6</v>
          </cell>
          <cell r="C3025">
            <v>0</v>
          </cell>
          <cell r="D3025" t="e">
            <v>#VALUE!</v>
          </cell>
          <cell r="E3025" t="e">
            <v>#VALUE!</v>
          </cell>
          <cell r="F3025">
            <v>0</v>
          </cell>
        </row>
        <row r="3026">
          <cell r="A3026" t="str">
            <v>RCFIAR7A</v>
          </cell>
          <cell r="B3026">
            <v>-9.3557761586590172E-4</v>
          </cell>
          <cell r="C3026">
            <v>0</v>
          </cell>
          <cell r="D3026" t="e">
            <v>#VALUE!</v>
          </cell>
          <cell r="E3026" t="e">
            <v>#VALUE!</v>
          </cell>
          <cell r="F3026">
            <v>0</v>
          </cell>
        </row>
        <row r="3027">
          <cell r="A3027" t="str">
            <v>RCFILV1A</v>
          </cell>
          <cell r="B3027">
            <v>6.1245922586276218E-3</v>
          </cell>
          <cell r="C3027">
            <v>0</v>
          </cell>
          <cell r="D3027" t="e">
            <v>#VALUE!</v>
          </cell>
          <cell r="E3027" t="e">
            <v>#VALUE!</v>
          </cell>
          <cell r="F3027">
            <v>0</v>
          </cell>
        </row>
        <row r="3028">
          <cell r="A3028" t="str">
            <v>RCFILV2A</v>
          </cell>
          <cell r="B3028">
            <v>-4.2005305424450632E-5</v>
          </cell>
          <cell r="C3028">
            <v>0</v>
          </cell>
          <cell r="D3028" t="e">
            <v>#VALUE!</v>
          </cell>
          <cell r="E3028" t="e">
            <v>#VALUE!</v>
          </cell>
          <cell r="F3028">
            <v>0</v>
          </cell>
        </row>
        <row r="3029">
          <cell r="A3029" t="str">
            <v>RCFILV3A</v>
          </cell>
          <cell r="B3029">
            <v>0</v>
          </cell>
          <cell r="C3029">
            <v>0</v>
          </cell>
          <cell r="D3029" t="e">
            <v>#VALUE!</v>
          </cell>
          <cell r="E3029" t="e">
            <v>#VALUE!</v>
          </cell>
          <cell r="F3029">
            <v>0</v>
          </cell>
        </row>
        <row r="3030">
          <cell r="A3030" t="str">
            <v>RCFILV4A</v>
          </cell>
          <cell r="B3030">
            <v>9.4314390226994477E-2</v>
          </cell>
          <cell r="C3030">
            <v>0</v>
          </cell>
          <cell r="D3030" t="e">
            <v>#VALUE!</v>
          </cell>
          <cell r="E3030" t="e">
            <v>#VALUE!</v>
          </cell>
          <cell r="F3030">
            <v>0</v>
          </cell>
        </row>
        <row r="3031">
          <cell r="A3031" t="str">
            <v>RCFILV5A</v>
          </cell>
          <cell r="B3031">
            <v>0</v>
          </cell>
          <cell r="C3031">
            <v>0</v>
          </cell>
          <cell r="D3031" t="e">
            <v>#VALUE!</v>
          </cell>
          <cell r="E3031" t="e">
            <v>#VALUE!</v>
          </cell>
          <cell r="F3031">
            <v>0</v>
          </cell>
        </row>
        <row r="3032">
          <cell r="A3032" t="str">
            <v>RCFILV6A</v>
          </cell>
          <cell r="B3032">
            <v>-6.1337285462211922E-4</v>
          </cell>
          <cell r="C3032">
            <v>0</v>
          </cell>
          <cell r="D3032" t="e">
            <v>#VALUE!</v>
          </cell>
          <cell r="E3032" t="e">
            <v>#VALUE!</v>
          </cell>
          <cell r="F3032">
            <v>0</v>
          </cell>
        </row>
        <row r="3033">
          <cell r="A3033" t="str">
            <v>RCFILV7A</v>
          </cell>
          <cell r="B3033">
            <v>-4.9046108767084062E-4</v>
          </cell>
          <cell r="C3033">
            <v>0</v>
          </cell>
          <cell r="D3033" t="e">
            <v>#VALUE!</v>
          </cell>
          <cell r="E3033" t="e">
            <v>#VALUE!</v>
          </cell>
          <cell r="F3033">
            <v>0</v>
          </cell>
        </row>
        <row r="3034">
          <cell r="A3034" t="str">
            <v>RCFIDTFA</v>
          </cell>
          <cell r="B3034">
            <v>-1.1526295344731197E-4</v>
          </cell>
          <cell r="C3034">
            <v>0</v>
          </cell>
          <cell r="D3034" t="e">
            <v>#VALUE!</v>
          </cell>
          <cell r="E3034" t="e">
            <v>#VALUE!</v>
          </cell>
          <cell r="F3034">
            <v>0</v>
          </cell>
        </row>
        <row r="3035">
          <cell r="A3035" t="str">
            <v>RCFILCDA</v>
          </cell>
          <cell r="B3035">
            <v>4.4211041386405083E-3</v>
          </cell>
          <cell r="C3035">
            <v>0</v>
          </cell>
          <cell r="D3035" t="e">
            <v>#VALUE!</v>
          </cell>
          <cell r="E3035" t="e">
            <v>#VALUE!</v>
          </cell>
          <cell r="F3035">
            <v>0</v>
          </cell>
        </row>
        <row r="3036">
          <cell r="A3036" t="str">
            <v>RPPISK1A</v>
          </cell>
          <cell r="B3036">
            <v>-1.0429814022849663E-7</v>
          </cell>
          <cell r="C3036">
            <v>0</v>
          </cell>
          <cell r="D3036" t="e">
            <v>#VALUE!</v>
          </cell>
          <cell r="E3036" t="e">
            <v>#VALUE!</v>
          </cell>
          <cell r="F3036">
            <v>0</v>
          </cell>
        </row>
        <row r="3037">
          <cell r="A3037" t="str">
            <v>RPPISK2A</v>
          </cell>
          <cell r="B3037">
            <v>-1.5962015899968058E-7</v>
          </cell>
          <cell r="C3037">
            <v>0</v>
          </cell>
          <cell r="D3037" t="e">
            <v>#VALUE!</v>
          </cell>
          <cell r="E3037" t="e">
            <v>#VALUE!</v>
          </cell>
          <cell r="F3037">
            <v>0</v>
          </cell>
        </row>
        <row r="3038">
          <cell r="A3038" t="str">
            <v>RPPISK3A</v>
          </cell>
          <cell r="B3038">
            <v>0</v>
          </cell>
          <cell r="C3038">
            <v>0</v>
          </cell>
          <cell r="D3038" t="e">
            <v>#VALUE!</v>
          </cell>
          <cell r="E3038" t="e">
            <v>#VALUE!</v>
          </cell>
          <cell r="F3038">
            <v>0</v>
          </cell>
        </row>
        <row r="3039">
          <cell r="A3039" t="str">
            <v>RPPISK5A</v>
          </cell>
          <cell r="B3039">
            <v>0</v>
          </cell>
          <cell r="C3039">
            <v>0</v>
          </cell>
          <cell r="D3039" t="e">
            <v>#VALUE!</v>
          </cell>
          <cell r="E3039" t="e">
            <v>#VALUE!</v>
          </cell>
          <cell r="F3039">
            <v>0</v>
          </cell>
        </row>
        <row r="3040">
          <cell r="A3040" t="str">
            <v>RPPISK6A</v>
          </cell>
          <cell r="B3040">
            <v>-1.6004763618757477E-7</v>
          </cell>
          <cell r="C3040">
            <v>0</v>
          </cell>
          <cell r="D3040" t="e">
            <v>#VALUE!</v>
          </cell>
          <cell r="E3040" t="e">
            <v>#VALUE!</v>
          </cell>
          <cell r="F3040">
            <v>0</v>
          </cell>
        </row>
        <row r="3041">
          <cell r="A3041" t="str">
            <v>RPPISK7A</v>
          </cell>
          <cell r="B3041">
            <v>-6.1076284042702693E-7</v>
          </cell>
          <cell r="C3041">
            <v>0</v>
          </cell>
          <cell r="D3041" t="e">
            <v>#VALUE!</v>
          </cell>
          <cell r="E3041" t="e">
            <v>#VALUE!</v>
          </cell>
          <cell r="F3041">
            <v>0</v>
          </cell>
        </row>
        <row r="3042">
          <cell r="A3042" t="str">
            <v>RPPILK2A</v>
          </cell>
          <cell r="B3042">
            <v>0</v>
          </cell>
          <cell r="C3042">
            <v>0</v>
          </cell>
          <cell r="D3042" t="e">
            <v>#VALUE!</v>
          </cell>
          <cell r="E3042" t="e">
            <v>#VALUE!</v>
          </cell>
          <cell r="F3042">
            <v>0</v>
          </cell>
        </row>
        <row r="3043">
          <cell r="A3043" t="str">
            <v>RPPILK1A</v>
          </cell>
          <cell r="B3043">
            <v>1.2572292262120756E-4</v>
          </cell>
          <cell r="C3043">
            <v>0</v>
          </cell>
          <cell r="D3043" t="e">
            <v>#VALUE!</v>
          </cell>
          <cell r="E3043" t="e">
            <v>#VALUE!</v>
          </cell>
          <cell r="F3043">
            <v>0</v>
          </cell>
        </row>
        <row r="3044">
          <cell r="A3044" t="str">
            <v>RPPIJPIA</v>
          </cell>
          <cell r="B3044">
            <v>-9.0438120979305408E-5</v>
          </cell>
          <cell r="C3044">
            <v>0</v>
          </cell>
          <cell r="D3044" t="e">
            <v>#VALUE!</v>
          </cell>
          <cell r="E3044" t="e">
            <v>#VALUE!</v>
          </cell>
          <cell r="F3044">
            <v>0</v>
          </cell>
        </row>
        <row r="3045">
          <cell r="A3045" t="str">
            <v>RPPIJETA</v>
          </cell>
          <cell r="B3045">
            <v>-8.2295832782046873E-4</v>
          </cell>
          <cell r="C3045">
            <v>0</v>
          </cell>
          <cell r="D3045" t="e">
            <v>#VALUE!</v>
          </cell>
          <cell r="E3045" t="e">
            <v>#VALUE!</v>
          </cell>
          <cell r="F3045">
            <v>0</v>
          </cell>
        </row>
        <row r="3046">
          <cell r="A3046" t="str">
            <v>RPPILK3A</v>
          </cell>
          <cell r="B3046">
            <v>-4.9063945221012998E-4</v>
          </cell>
          <cell r="C3046">
            <v>0</v>
          </cell>
          <cell r="D3046" t="e">
            <v>#VALUE!</v>
          </cell>
          <cell r="E3046" t="e">
            <v>#VALUE!</v>
          </cell>
          <cell r="F3046">
            <v>0</v>
          </cell>
        </row>
        <row r="3047">
          <cell r="A3047" t="str">
            <v>RPPILK4A</v>
          </cell>
          <cell r="B3047">
            <v>1.1819850978136943E-6</v>
          </cell>
          <cell r="C3047">
            <v>0</v>
          </cell>
          <cell r="D3047" t="e">
            <v>#VALUE!</v>
          </cell>
          <cell r="E3047" t="e">
            <v>#VALUE!</v>
          </cell>
          <cell r="F3047">
            <v>0</v>
          </cell>
        </row>
        <row r="3048">
          <cell r="A3048" t="str">
            <v>RPPISG3A</v>
          </cell>
          <cell r="B3048">
            <v>0</v>
          </cell>
          <cell r="C3048">
            <v>0</v>
          </cell>
          <cell r="D3048" t="e">
            <v>#VALUE!</v>
          </cell>
          <cell r="E3048" t="e">
            <v>#VALUE!</v>
          </cell>
          <cell r="F3048">
            <v>0</v>
          </cell>
        </row>
        <row r="3049">
          <cell r="A3049" t="str">
            <v>RPPISG4A</v>
          </cell>
          <cell r="B3049">
            <v>6.5348288829738198E-4</v>
          </cell>
          <cell r="C3049">
            <v>0</v>
          </cell>
          <cell r="D3049" t="e">
            <v>#VALUE!</v>
          </cell>
          <cell r="E3049" t="e">
            <v>#VALUE!</v>
          </cell>
          <cell r="F3049">
            <v>0</v>
          </cell>
        </row>
        <row r="3050">
          <cell r="A3050" t="str">
            <v>RPPISG5A</v>
          </cell>
          <cell r="B3050">
            <v>0</v>
          </cell>
          <cell r="C3050">
            <v>0</v>
          </cell>
          <cell r="D3050" t="e">
            <v>#VALUE!</v>
          </cell>
          <cell r="E3050" t="e">
            <v>#VALUE!</v>
          </cell>
          <cell r="F3050">
            <v>0</v>
          </cell>
        </row>
        <row r="3051">
          <cell r="A3051" t="str">
            <v>RPPISG6A</v>
          </cell>
          <cell r="B3051">
            <v>-4.7645838633312226E-6</v>
          </cell>
          <cell r="C3051">
            <v>0</v>
          </cell>
          <cell r="D3051" t="e">
            <v>#VALUE!</v>
          </cell>
          <cell r="E3051" t="e">
            <v>#VALUE!</v>
          </cell>
          <cell r="F3051">
            <v>0</v>
          </cell>
        </row>
        <row r="3052">
          <cell r="A3052" t="str">
            <v>RPPISG7A</v>
          </cell>
          <cell r="B3052">
            <v>-4.6269911875504175E-6</v>
          </cell>
          <cell r="C3052">
            <v>0</v>
          </cell>
          <cell r="D3052" t="e">
            <v>#VALUE!</v>
          </cell>
          <cell r="E3052" t="e">
            <v>#VALUE!</v>
          </cell>
          <cell r="F3052">
            <v>0</v>
          </cell>
        </row>
        <row r="3053">
          <cell r="A3053" t="str">
            <v>RPPILKFA</v>
          </cell>
          <cell r="B3053">
            <v>8.0303080414199788E-5</v>
          </cell>
          <cell r="C3053">
            <v>0</v>
          </cell>
          <cell r="D3053" t="e">
            <v>#VALUE!</v>
          </cell>
          <cell r="E3053" t="e">
            <v>#VALUE!</v>
          </cell>
          <cell r="F3053">
            <v>0</v>
          </cell>
        </row>
        <row r="3054">
          <cell r="A3054" t="str">
            <v>RPPILFKA</v>
          </cell>
          <cell r="B3054">
            <v>8.0303080414199788E-5</v>
          </cell>
          <cell r="C3054">
            <v>0</v>
          </cell>
          <cell r="D3054" t="e">
            <v>#VALUE!</v>
          </cell>
          <cell r="E3054" t="e">
            <v>#VALUE!</v>
          </cell>
          <cell r="F3054">
            <v>0</v>
          </cell>
        </row>
        <row r="3055">
          <cell r="A3055" t="str">
            <v>RPPILG1A</v>
          </cell>
          <cell r="B3055">
            <v>7.7743205969056034E-3</v>
          </cell>
          <cell r="C3055">
            <v>0</v>
          </cell>
          <cell r="D3055" t="e">
            <v>#VALUE!</v>
          </cell>
          <cell r="E3055" t="e">
            <v>#VALUE!</v>
          </cell>
          <cell r="F3055">
            <v>0</v>
          </cell>
        </row>
        <row r="3056">
          <cell r="A3056" t="str">
            <v>RPPILG2A</v>
          </cell>
          <cell r="B3056">
            <v>-9.9042457571470056E-3</v>
          </cell>
          <cell r="C3056">
            <v>0</v>
          </cell>
          <cell r="D3056" t="e">
            <v>#VALUE!</v>
          </cell>
          <cell r="E3056" t="e">
            <v>#VALUE!</v>
          </cell>
          <cell r="F3056">
            <v>0</v>
          </cell>
        </row>
        <row r="3057">
          <cell r="A3057" t="str">
            <v>RPPILG3A</v>
          </cell>
          <cell r="B3057">
            <v>-5.486672869739952E-5</v>
          </cell>
          <cell r="C3057">
            <v>0</v>
          </cell>
          <cell r="D3057" t="e">
            <v>#VALUE!</v>
          </cell>
          <cell r="E3057" t="e">
            <v>#VALUE!</v>
          </cell>
          <cell r="F3057">
            <v>0</v>
          </cell>
        </row>
        <row r="3058">
          <cell r="A3058" t="str">
            <v>RPPIGS1A</v>
          </cell>
          <cell r="B3058">
            <v>2.4111671225336851E-3</v>
          </cell>
          <cell r="C3058">
            <v>0</v>
          </cell>
          <cell r="D3058" t="e">
            <v>#VALUE!</v>
          </cell>
          <cell r="E3058" t="e">
            <v>#VALUE!</v>
          </cell>
          <cell r="F3058">
            <v>0</v>
          </cell>
        </row>
        <row r="3059">
          <cell r="A3059" t="str">
            <v>RPPIGS2A</v>
          </cell>
          <cell r="B3059">
            <v>-2.4003031671470613E-6</v>
          </cell>
          <cell r="C3059">
            <v>0</v>
          </cell>
          <cell r="D3059" t="e">
            <v>#VALUE!</v>
          </cell>
          <cell r="E3059" t="e">
            <v>#VALUE!</v>
          </cell>
          <cell r="F3059">
            <v>0</v>
          </cell>
        </row>
        <row r="3060">
          <cell r="A3060" t="str">
            <v>RPPIGS3A</v>
          </cell>
          <cell r="B3060">
            <v>0</v>
          </cell>
          <cell r="C3060">
            <v>0</v>
          </cell>
          <cell r="D3060" t="e">
            <v>#VALUE!</v>
          </cell>
          <cell r="E3060" t="e">
            <v>#VALUE!</v>
          </cell>
          <cell r="F3060">
            <v>0</v>
          </cell>
        </row>
        <row r="3061">
          <cell r="A3061" t="str">
            <v>RPPIGS4A</v>
          </cell>
          <cell r="B3061">
            <v>1.0462211454143645E-3</v>
          </cell>
          <cell r="C3061">
            <v>0</v>
          </cell>
          <cell r="D3061" t="e">
            <v>#VALUE!</v>
          </cell>
          <cell r="E3061" t="e">
            <v>#VALUE!</v>
          </cell>
          <cell r="F3061">
            <v>0</v>
          </cell>
        </row>
        <row r="3062">
          <cell r="A3062" t="str">
            <v>RPPIGS5A</v>
          </cell>
          <cell r="B3062">
            <v>0</v>
          </cell>
          <cell r="C3062">
            <v>0</v>
          </cell>
          <cell r="D3062" t="e">
            <v>#VALUE!</v>
          </cell>
          <cell r="E3062" t="e">
            <v>#VALUE!</v>
          </cell>
          <cell r="F3062">
            <v>0</v>
          </cell>
        </row>
        <row r="3063">
          <cell r="A3063" t="str">
            <v>RPPIGS6A</v>
          </cell>
          <cell r="B3063">
            <v>-2.2680991623181473E-5</v>
          </cell>
          <cell r="C3063">
            <v>0</v>
          </cell>
          <cell r="D3063" t="e">
            <v>#VALUE!</v>
          </cell>
          <cell r="E3063" t="e">
            <v>#VALUE!</v>
          </cell>
          <cell r="F3063">
            <v>0</v>
          </cell>
        </row>
        <row r="3064">
          <cell r="A3064" t="str">
            <v>RPPIGS7A</v>
          </cell>
          <cell r="B3064">
            <v>-6.9404870538002715E-5</v>
          </cell>
          <cell r="C3064">
            <v>0</v>
          </cell>
          <cell r="D3064" t="e">
            <v>#VALUE!</v>
          </cell>
          <cell r="E3064" t="e">
            <v>#VALUE!</v>
          </cell>
          <cell r="F3064">
            <v>0</v>
          </cell>
        </row>
        <row r="3065">
          <cell r="A3065" t="str">
            <v>RPPIG11A</v>
          </cell>
          <cell r="B3065">
            <v>-2.8903407363654817E-2</v>
          </cell>
          <cell r="C3065">
            <v>0</v>
          </cell>
          <cell r="D3065" t="e">
            <v>#VALUE!</v>
          </cell>
          <cell r="E3065" t="e">
            <v>#VALUE!</v>
          </cell>
          <cell r="F3065">
            <v>0</v>
          </cell>
        </row>
        <row r="3066">
          <cell r="A3066" t="str">
            <v>RPPIPG1A</v>
          </cell>
          <cell r="B3066">
            <v>8.3105780121755513E-2</v>
          </cell>
          <cell r="C3066">
            <v>0</v>
          </cell>
          <cell r="D3066" t="e">
            <v>#VALUE!</v>
          </cell>
          <cell r="E3066" t="e">
            <v>#VALUE!</v>
          </cell>
          <cell r="F3066">
            <v>0</v>
          </cell>
        </row>
        <row r="3067">
          <cell r="A3067" t="str">
            <v>RPPIPG2A</v>
          </cell>
          <cell r="B3067">
            <v>-1.1530353321712974E-4</v>
          </cell>
          <cell r="C3067">
            <v>0</v>
          </cell>
          <cell r="D3067" t="e">
            <v>#VALUE!</v>
          </cell>
          <cell r="E3067" t="e">
            <v>#VALUE!</v>
          </cell>
          <cell r="F3067">
            <v>0</v>
          </cell>
        </row>
        <row r="3068">
          <cell r="A3068" t="str">
            <v>RPPIAR1A</v>
          </cell>
          <cell r="B3068">
            <v>1.3261565201826494E-4</v>
          </cell>
          <cell r="C3068">
            <v>0</v>
          </cell>
          <cell r="D3068" t="e">
            <v>#VALUE!</v>
          </cell>
          <cell r="E3068" t="e">
            <v>#VALUE!</v>
          </cell>
          <cell r="F3068">
            <v>0</v>
          </cell>
        </row>
        <row r="3069">
          <cell r="A3069" t="str">
            <v>RPPIAR2A</v>
          </cell>
          <cell r="B3069">
            <v>-4.021707954912204E-4</v>
          </cell>
          <cell r="C3069">
            <v>0</v>
          </cell>
          <cell r="D3069" t="e">
            <v>#VALUE!</v>
          </cell>
          <cell r="E3069" t="e">
            <v>#VALUE!</v>
          </cell>
          <cell r="F3069">
            <v>0</v>
          </cell>
        </row>
        <row r="3070">
          <cell r="A3070" t="str">
            <v>RPPIAR3A</v>
          </cell>
          <cell r="B3070">
            <v>0</v>
          </cell>
          <cell r="C3070">
            <v>0</v>
          </cell>
          <cell r="D3070" t="e">
            <v>#VALUE!</v>
          </cell>
          <cell r="E3070" t="e">
            <v>#VALUE!</v>
          </cell>
          <cell r="F3070">
            <v>0</v>
          </cell>
        </row>
        <row r="3071">
          <cell r="A3071" t="str">
            <v>RPPIAR4A</v>
          </cell>
          <cell r="B3071">
            <v>-0.27608406674372005</v>
          </cell>
          <cell r="C3071">
            <v>0</v>
          </cell>
          <cell r="D3071" t="e">
            <v>#VALUE!</v>
          </cell>
          <cell r="E3071" t="e">
            <v>#VALUE!</v>
          </cell>
          <cell r="F3071">
            <v>0</v>
          </cell>
        </row>
        <row r="3072">
          <cell r="A3072" t="str">
            <v>RPPIAR5A</v>
          </cell>
          <cell r="B3072">
            <v>0</v>
          </cell>
          <cell r="C3072">
            <v>0</v>
          </cell>
          <cell r="D3072" t="e">
            <v>#VALUE!</v>
          </cell>
          <cell r="E3072" t="e">
            <v>#VALUE!</v>
          </cell>
          <cell r="F3072">
            <v>0</v>
          </cell>
        </row>
        <row r="3073">
          <cell r="A3073" t="str">
            <v>RPPIAR6A</v>
          </cell>
          <cell r="B3073">
            <v>3.5331233878646219E-7</v>
          </cell>
          <cell r="C3073">
            <v>0</v>
          </cell>
          <cell r="D3073" t="e">
            <v>#VALUE!</v>
          </cell>
          <cell r="E3073" t="e">
            <v>#VALUE!</v>
          </cell>
          <cell r="F3073">
            <v>0</v>
          </cell>
        </row>
        <row r="3074">
          <cell r="A3074" t="str">
            <v>RPPIAR7A</v>
          </cell>
          <cell r="B3074">
            <v>-9.1614431326041528E-5</v>
          </cell>
          <cell r="C3074">
            <v>0</v>
          </cell>
          <cell r="D3074" t="e">
            <v>#VALUE!</v>
          </cell>
          <cell r="E3074" t="e">
            <v>#VALUE!</v>
          </cell>
          <cell r="F3074">
            <v>0</v>
          </cell>
        </row>
        <row r="3075">
          <cell r="A3075" t="str">
            <v>RPPILVBA</v>
          </cell>
          <cell r="B3075">
            <v>1.7031682502121142E-3</v>
          </cell>
          <cell r="C3075">
            <v>0</v>
          </cell>
          <cell r="D3075" t="e">
            <v>#VALUE!</v>
          </cell>
          <cell r="E3075" t="e">
            <v>#VALUE!</v>
          </cell>
          <cell r="F3075">
            <v>0</v>
          </cell>
        </row>
        <row r="3076">
          <cell r="A3076" t="str">
            <v>RPPILV1A</v>
          </cell>
          <cell r="B3076">
            <v>1.0857923005186084E-2</v>
          </cell>
          <cell r="C3076">
            <v>0</v>
          </cell>
          <cell r="D3076" t="e">
            <v>#VALUE!</v>
          </cell>
          <cell r="E3076" t="e">
            <v>#VALUE!</v>
          </cell>
          <cell r="F3076">
            <v>0</v>
          </cell>
        </row>
        <row r="3077">
          <cell r="A3077" t="str">
            <v>RPPILV2A</v>
          </cell>
          <cell r="B3077">
            <v>2.1002652712225316E-5</v>
          </cell>
          <cell r="C3077">
            <v>0</v>
          </cell>
          <cell r="D3077" t="e">
            <v>#VALUE!</v>
          </cell>
          <cell r="E3077" t="e">
            <v>#VALUE!</v>
          </cell>
          <cell r="F3077">
            <v>0</v>
          </cell>
        </row>
        <row r="3078">
          <cell r="A3078" t="str">
            <v>RPPILV3A</v>
          </cell>
          <cell r="B3078">
            <v>0</v>
          </cell>
          <cell r="C3078">
            <v>0</v>
          </cell>
          <cell r="D3078" t="e">
            <v>#VALUE!</v>
          </cell>
          <cell r="E3078" t="e">
            <v>#VALUE!</v>
          </cell>
          <cell r="F3078">
            <v>0</v>
          </cell>
        </row>
        <row r="3079">
          <cell r="A3079" t="str">
            <v>RPPILV4A</v>
          </cell>
          <cell r="B3079">
            <v>2.9246864856973493E-2</v>
          </cell>
          <cell r="C3079">
            <v>0</v>
          </cell>
          <cell r="D3079" t="e">
            <v>#VALUE!</v>
          </cell>
          <cell r="E3079" t="e">
            <v>#VALUE!</v>
          </cell>
          <cell r="F3079">
            <v>0</v>
          </cell>
        </row>
        <row r="3080">
          <cell r="A3080" t="str">
            <v>RPPILV5A</v>
          </cell>
          <cell r="B3080">
            <v>0</v>
          </cell>
          <cell r="C3080">
            <v>0</v>
          </cell>
          <cell r="D3080" t="e">
            <v>#VALUE!</v>
          </cell>
          <cell r="E3080" t="e">
            <v>#VALUE!</v>
          </cell>
          <cell r="F3080">
            <v>0</v>
          </cell>
        </row>
        <row r="3081">
          <cell r="A3081" t="str">
            <v>RPPILV6A</v>
          </cell>
          <cell r="B3081">
            <v>-6.7554488188064054E-5</v>
          </cell>
          <cell r="C3081">
            <v>0</v>
          </cell>
          <cell r="D3081" t="e">
            <v>#VALUE!</v>
          </cell>
          <cell r="E3081" t="e">
            <v>#VALUE!</v>
          </cell>
          <cell r="F3081">
            <v>0</v>
          </cell>
        </row>
        <row r="3082">
          <cell r="A3082" t="str">
            <v>RPPILV7A</v>
          </cell>
          <cell r="B3082">
            <v>2.0358761587524658E-4</v>
          </cell>
          <cell r="C3082">
            <v>0</v>
          </cell>
          <cell r="D3082" t="e">
            <v>#VALUE!</v>
          </cell>
          <cell r="E3082" t="e">
            <v>#VALUE!</v>
          </cell>
          <cell r="F3082">
            <v>0</v>
          </cell>
        </row>
        <row r="3083">
          <cell r="A3083" t="str">
            <v>RPPIPVBA</v>
          </cell>
          <cell r="B3083">
            <v>-6.4054192847585022E-3</v>
          </cell>
          <cell r="C3083">
            <v>0</v>
          </cell>
          <cell r="D3083" t="e">
            <v>#VALUE!</v>
          </cell>
          <cell r="E3083" t="e">
            <v>#VALUE!</v>
          </cell>
          <cell r="F3083">
            <v>0</v>
          </cell>
        </row>
        <row r="3084">
          <cell r="A3084" t="str">
            <v>RPPIDVLA</v>
          </cell>
          <cell r="B3084">
            <v>-1.1174311251647384E-8</v>
          </cell>
          <cell r="C3084">
            <v>0</v>
          </cell>
          <cell r="D3084" t="e">
            <v>#VALUE!</v>
          </cell>
          <cell r="E3084" t="e">
            <v>#VALUE!</v>
          </cell>
          <cell r="F3084">
            <v>0</v>
          </cell>
        </row>
        <row r="3085">
          <cell r="A3085" t="str">
            <v>RPPIPV1A</v>
          </cell>
          <cell r="B3085">
            <v>7.6353627116314124E-3</v>
          </cell>
          <cell r="C3085">
            <v>0</v>
          </cell>
          <cell r="D3085" t="e">
            <v>#VALUE!</v>
          </cell>
          <cell r="E3085" t="e">
            <v>#VALUE!</v>
          </cell>
          <cell r="F3085">
            <v>0</v>
          </cell>
        </row>
        <row r="3086">
          <cell r="A3086" t="str">
            <v>RPPIPV2A</v>
          </cell>
          <cell r="B3086">
            <v>3.7804774422523856E-5</v>
          </cell>
          <cell r="C3086">
            <v>0</v>
          </cell>
          <cell r="D3086" t="e">
            <v>#VALUE!</v>
          </cell>
          <cell r="E3086" t="e">
            <v>#VALUE!</v>
          </cell>
          <cell r="F3086">
            <v>0</v>
          </cell>
        </row>
        <row r="3087">
          <cell r="A3087" t="str">
            <v>RPPIPV3A</v>
          </cell>
          <cell r="B3087">
            <v>0</v>
          </cell>
          <cell r="C3087">
            <v>0</v>
          </cell>
          <cell r="D3087" t="e">
            <v>#VALUE!</v>
          </cell>
          <cell r="E3087" t="e">
            <v>#VALUE!</v>
          </cell>
          <cell r="F3087">
            <v>0</v>
          </cell>
        </row>
        <row r="3088">
          <cell r="A3088" t="str">
            <v>RPPIPV4A</v>
          </cell>
          <cell r="B3088">
            <v>0.15132713958314836</v>
          </cell>
          <cell r="C3088">
            <v>0</v>
          </cell>
          <cell r="D3088" t="e">
            <v>#VALUE!</v>
          </cell>
          <cell r="E3088" t="e">
            <v>#VALUE!</v>
          </cell>
          <cell r="F3088">
            <v>0</v>
          </cell>
        </row>
        <row r="3089">
          <cell r="A3089" t="str">
            <v>RPPIPV5A</v>
          </cell>
          <cell r="B3089">
            <v>0</v>
          </cell>
          <cell r="C3089">
            <v>0</v>
          </cell>
          <cell r="D3089" t="e">
            <v>#VALUE!</v>
          </cell>
          <cell r="E3089" t="e">
            <v>#VALUE!</v>
          </cell>
          <cell r="F3089">
            <v>0</v>
          </cell>
        </row>
        <row r="3090">
          <cell r="A3090" t="str">
            <v>RPPIPV6A</v>
          </cell>
          <cell r="B3090">
            <v>-1.0929529916233125E-6</v>
          </cell>
          <cell r="C3090">
            <v>0</v>
          </cell>
          <cell r="D3090" t="e">
            <v>#VALUE!</v>
          </cell>
          <cell r="E3090" t="e">
            <v>#VALUE!</v>
          </cell>
          <cell r="F3090">
            <v>0</v>
          </cell>
        </row>
        <row r="3091">
          <cell r="A3091" t="str">
            <v>RPPIPV7A</v>
          </cell>
          <cell r="B3091">
            <v>-5.2747699537327233E-4</v>
          </cell>
          <cell r="C3091">
            <v>0</v>
          </cell>
          <cell r="D3091" t="e">
            <v>#VALUE!</v>
          </cell>
          <cell r="E3091" t="e">
            <v>#VALUE!</v>
          </cell>
          <cell r="F3091">
            <v>0</v>
          </cell>
        </row>
        <row r="3092">
          <cell r="A3092" t="str">
            <v>RPPIVRBA</v>
          </cell>
          <cell r="B3092">
            <v>-9.8872048070985971E-2</v>
          </cell>
          <cell r="C3092">
            <v>0</v>
          </cell>
          <cell r="D3092" t="e">
            <v>#VALUE!</v>
          </cell>
          <cell r="E3092" t="e">
            <v>#VALUE!</v>
          </cell>
          <cell r="F3092">
            <v>0</v>
          </cell>
        </row>
        <row r="3093">
          <cell r="A3093" t="str">
            <v>RPPIFCLA</v>
          </cell>
          <cell r="B3093">
            <v>1.9685025220563721E-6</v>
          </cell>
          <cell r="C3093">
            <v>0</v>
          </cell>
          <cell r="D3093" t="e">
            <v>#VALUE!</v>
          </cell>
          <cell r="E3093" t="e">
            <v>#VALUE!</v>
          </cell>
          <cell r="F3093">
            <v>0</v>
          </cell>
        </row>
        <row r="3094">
          <cell r="A3094" t="str">
            <v>RPPIVR1A</v>
          </cell>
          <cell r="B3094">
            <v>-8.699029388244276E-5</v>
          </cell>
          <cell r="C3094">
            <v>0</v>
          </cell>
          <cell r="D3094" t="e">
            <v>#VALUE!</v>
          </cell>
          <cell r="E3094" t="e">
            <v>#VALUE!</v>
          </cell>
          <cell r="F3094">
            <v>0</v>
          </cell>
        </row>
        <row r="3095">
          <cell r="A3095" t="str">
            <v>RPPIVR2A</v>
          </cell>
          <cell r="B3095">
            <v>1.4641849863923423E-4</v>
          </cell>
          <cell r="C3095">
            <v>0</v>
          </cell>
          <cell r="D3095" t="e">
            <v>#VALUE!</v>
          </cell>
          <cell r="E3095" t="e">
            <v>#VALUE!</v>
          </cell>
          <cell r="F3095">
            <v>0</v>
          </cell>
        </row>
        <row r="3096">
          <cell r="A3096" t="str">
            <v>RPPIVR3A</v>
          </cell>
          <cell r="B3096">
            <v>0</v>
          </cell>
          <cell r="C3096">
            <v>0</v>
          </cell>
          <cell r="D3096" t="e">
            <v>#VALUE!</v>
          </cell>
          <cell r="E3096" t="e">
            <v>#VALUE!</v>
          </cell>
          <cell r="F3096">
            <v>0</v>
          </cell>
        </row>
        <row r="3097">
          <cell r="A3097" t="str">
            <v>RPPIVR4A</v>
          </cell>
          <cell r="B3097">
            <v>-0.5489861927620352</v>
          </cell>
          <cell r="C3097">
            <v>0</v>
          </cell>
          <cell r="D3097" t="e">
            <v>#VALUE!</v>
          </cell>
          <cell r="E3097" t="e">
            <v>#VALUE!</v>
          </cell>
          <cell r="F3097">
            <v>0</v>
          </cell>
        </row>
        <row r="3098">
          <cell r="A3098" t="str">
            <v>RPPIVR5A</v>
          </cell>
          <cell r="B3098">
            <v>0</v>
          </cell>
          <cell r="C3098">
            <v>0</v>
          </cell>
          <cell r="D3098" t="e">
            <v>#VALUE!</v>
          </cell>
          <cell r="E3098" t="e">
            <v>#VALUE!</v>
          </cell>
          <cell r="F3098">
            <v>0</v>
          </cell>
        </row>
        <row r="3099">
          <cell r="A3099" t="str">
            <v>RPPIVR6A</v>
          </cell>
          <cell r="B3099">
            <v>3.7959422889726169E-7</v>
          </cell>
          <cell r="C3099">
            <v>0</v>
          </cell>
          <cell r="D3099" t="e">
            <v>#VALUE!</v>
          </cell>
          <cell r="E3099" t="e">
            <v>#VALUE!</v>
          </cell>
          <cell r="F3099">
            <v>0</v>
          </cell>
        </row>
        <row r="3100">
          <cell r="A3100" t="str">
            <v>RPPIVR7A</v>
          </cell>
          <cell r="B3100">
            <v>9.8092217534168124E-4</v>
          </cell>
          <cell r="C3100">
            <v>0</v>
          </cell>
          <cell r="D3100" t="e">
            <v>#VALUE!</v>
          </cell>
          <cell r="E3100" t="e">
            <v>#VALUE!</v>
          </cell>
          <cell r="F3100">
            <v>0</v>
          </cell>
        </row>
        <row r="3101">
          <cell r="A3101" t="str">
            <v>RPPIVR9A</v>
          </cell>
          <cell r="B3101">
            <v>-1.0985566680766131E-2</v>
          </cell>
          <cell r="C3101">
            <v>0</v>
          </cell>
          <cell r="D3101" t="e">
            <v>#VALUE!</v>
          </cell>
          <cell r="E3101" t="e">
            <v>#VALUE!</v>
          </cell>
          <cell r="F3101">
            <v>0</v>
          </cell>
        </row>
        <row r="3102">
          <cell r="A3102" t="str">
            <v>RPPIPB1A</v>
          </cell>
          <cell r="B3102">
            <v>1.2545691374912603E-5</v>
          </cell>
          <cell r="C3102">
            <v>0</v>
          </cell>
          <cell r="D3102" t="e">
            <v>#VALUE!</v>
          </cell>
          <cell r="E3102" t="e">
            <v>#VALUE!</v>
          </cell>
          <cell r="F3102">
            <v>0</v>
          </cell>
        </row>
        <row r="3103">
          <cell r="A3103" t="str">
            <v>RPPIPB2A</v>
          </cell>
          <cell r="B3103">
            <v>0</v>
          </cell>
          <cell r="C3103">
            <v>0</v>
          </cell>
          <cell r="D3103" t="e">
            <v>#VALUE!</v>
          </cell>
          <cell r="E3103" t="e">
            <v>#VALUE!</v>
          </cell>
          <cell r="F3103">
            <v>0</v>
          </cell>
        </row>
        <row r="3104">
          <cell r="A3104" t="str">
            <v>RPPIPB3A</v>
          </cell>
          <cell r="B3104">
            <v>8.6468214979267691E-5</v>
          </cell>
          <cell r="C3104">
            <v>0</v>
          </cell>
          <cell r="D3104" t="e">
            <v>#VALUE!</v>
          </cell>
          <cell r="E3104" t="e">
            <v>#VALUE!</v>
          </cell>
          <cell r="F3104">
            <v>0</v>
          </cell>
        </row>
        <row r="3105">
          <cell r="A3105" t="str">
            <v>RPPIPB4A</v>
          </cell>
          <cell r="B3105">
            <v>3.5378443732815243E-6</v>
          </cell>
          <cell r="C3105">
            <v>0</v>
          </cell>
          <cell r="D3105" t="e">
            <v>#VALUE!</v>
          </cell>
          <cell r="E3105" t="e">
            <v>#VALUE!</v>
          </cell>
          <cell r="F3105">
            <v>0</v>
          </cell>
        </row>
        <row r="3106">
          <cell r="A3106" t="str">
            <v>RPPIPP1A</v>
          </cell>
          <cell r="B3106">
            <v>0</v>
          </cell>
          <cell r="C3106">
            <v>0</v>
          </cell>
          <cell r="D3106" t="e">
            <v>#VALUE!</v>
          </cell>
          <cell r="E3106" t="e">
            <v>#VALUE!</v>
          </cell>
          <cell r="F3106">
            <v>0</v>
          </cell>
        </row>
        <row r="3107">
          <cell r="A3107" t="str">
            <v>RPPIPP2A</v>
          </cell>
          <cell r="B3107">
            <v>0</v>
          </cell>
          <cell r="C3107">
            <v>0</v>
          </cell>
          <cell r="D3107" t="e">
            <v>#VALUE!</v>
          </cell>
          <cell r="E3107" t="e">
            <v>#VALUE!</v>
          </cell>
          <cell r="F3107">
            <v>0</v>
          </cell>
        </row>
        <row r="3108">
          <cell r="A3108" t="str">
            <v>RPPIPP3A</v>
          </cell>
          <cell r="B3108">
            <v>4.0917366115461669E-6</v>
          </cell>
          <cell r="C3108">
            <v>0</v>
          </cell>
          <cell r="D3108" t="e">
            <v>#VALUE!</v>
          </cell>
          <cell r="E3108" t="e">
            <v>#VALUE!</v>
          </cell>
          <cell r="F3108">
            <v>0</v>
          </cell>
        </row>
        <row r="3109">
          <cell r="A3109" t="str">
            <v>RPPIPP4A</v>
          </cell>
          <cell r="B3109">
            <v>-5.1034003446328486E-10</v>
          </cell>
          <cell r="C3109">
            <v>0</v>
          </cell>
          <cell r="D3109" t="e">
            <v>#VALUE!</v>
          </cell>
          <cell r="E3109" t="e">
            <v>#VALUE!</v>
          </cell>
          <cell r="F3109">
            <v>0</v>
          </cell>
        </row>
        <row r="3110">
          <cell r="A3110" t="str">
            <v>RPPIDTFA</v>
          </cell>
          <cell r="B3110">
            <v>-1.5368393553765364E-4</v>
          </cell>
          <cell r="C3110">
            <v>0</v>
          </cell>
          <cell r="D3110" t="e">
            <v>#VALUE!</v>
          </cell>
          <cell r="E3110" t="e">
            <v>#VALUE!</v>
          </cell>
          <cell r="F3110">
            <v>0</v>
          </cell>
        </row>
        <row r="3111">
          <cell r="A3111" t="str">
            <v>RPPINPCA</v>
          </cell>
          <cell r="B3111">
            <v>0</v>
          </cell>
          <cell r="C3111">
            <v>0</v>
          </cell>
          <cell r="D3111" t="e">
            <v>#VALUE!</v>
          </cell>
          <cell r="E3111" t="e">
            <v>#VALUE!</v>
          </cell>
          <cell r="F3111">
            <v>0</v>
          </cell>
        </row>
        <row r="3112">
          <cell r="A3112" t="str">
            <v>RPPIBNPA</v>
          </cell>
          <cell r="B3112">
            <v>0</v>
          </cell>
          <cell r="C3112">
            <v>0</v>
          </cell>
          <cell r="D3112" t="e">
            <v>#VALUE!</v>
          </cell>
          <cell r="E3112" t="e">
            <v>#VALUE!</v>
          </cell>
          <cell r="F3112">
            <v>0</v>
          </cell>
        </row>
        <row r="3113">
          <cell r="A3113" t="str">
            <v>RPPILCDA</v>
          </cell>
          <cell r="B3113">
            <v>4.9179414484956082E-3</v>
          </cell>
          <cell r="C3113">
            <v>0</v>
          </cell>
          <cell r="D3113" t="e">
            <v>#VALUE!</v>
          </cell>
          <cell r="E3113" t="e">
            <v>#VALUE!</v>
          </cell>
          <cell r="F3113">
            <v>0</v>
          </cell>
        </row>
        <row r="3114">
          <cell r="A3114" t="str">
            <v>RVBISK1A</v>
          </cell>
          <cell r="B3114">
            <v>9.5926352835662115E-6</v>
          </cell>
          <cell r="C3114">
            <v>0</v>
          </cell>
          <cell r="D3114" t="e">
            <v>#VALUE!</v>
          </cell>
          <cell r="E3114" t="e">
            <v>#VALUE!</v>
          </cell>
          <cell r="F3114">
            <v>0</v>
          </cell>
        </row>
        <row r="3115">
          <cell r="A3115" t="str">
            <v>RVBISK2A</v>
          </cell>
          <cell r="B3115">
            <v>4.800606313688383E-9</v>
          </cell>
          <cell r="C3115">
            <v>0</v>
          </cell>
          <cell r="D3115" t="e">
            <v>#VALUE!</v>
          </cell>
          <cell r="E3115" t="e">
            <v>#VALUE!</v>
          </cell>
          <cell r="F3115">
            <v>0</v>
          </cell>
        </row>
        <row r="3116">
          <cell r="A3116" t="str">
            <v>RVBISK3A</v>
          </cell>
          <cell r="B3116">
            <v>0</v>
          </cell>
          <cell r="C3116">
            <v>0</v>
          </cell>
          <cell r="D3116" t="e">
            <v>#VALUE!</v>
          </cell>
          <cell r="E3116" t="e">
            <v>#VALUE!</v>
          </cell>
          <cell r="F3116">
            <v>0</v>
          </cell>
        </row>
        <row r="3117">
          <cell r="A3117" t="str">
            <v>RVBISK5A</v>
          </cell>
          <cell r="B3117">
            <v>0</v>
          </cell>
          <cell r="C3117">
            <v>0</v>
          </cell>
          <cell r="D3117" t="e">
            <v>#VALUE!</v>
          </cell>
          <cell r="E3117" t="e">
            <v>#VALUE!</v>
          </cell>
          <cell r="F3117">
            <v>0</v>
          </cell>
        </row>
        <row r="3118">
          <cell r="A3118" t="str">
            <v>RVBISK6A</v>
          </cell>
          <cell r="B3118">
            <v>1.0731011081498477E-7</v>
          </cell>
          <cell r="C3118">
            <v>0</v>
          </cell>
          <cell r="D3118" t="e">
            <v>#VALUE!</v>
          </cell>
          <cell r="E3118" t="e">
            <v>#VALUE!</v>
          </cell>
          <cell r="F3118">
            <v>0</v>
          </cell>
        </row>
        <row r="3119">
          <cell r="A3119" t="str">
            <v>RVBISK7A</v>
          </cell>
          <cell r="B3119">
            <v>-1.8507965473748313E-9</v>
          </cell>
          <cell r="C3119">
            <v>0</v>
          </cell>
          <cell r="D3119" t="e">
            <v>#VALUE!</v>
          </cell>
          <cell r="E3119" t="e">
            <v>#VALUE!</v>
          </cell>
          <cell r="F3119">
            <v>0</v>
          </cell>
        </row>
        <row r="3120">
          <cell r="A3120" t="str">
            <v>RVBILK2A</v>
          </cell>
          <cell r="B3120">
            <v>0</v>
          </cell>
          <cell r="C3120">
            <v>0</v>
          </cell>
          <cell r="D3120" t="e">
            <v>#VALUE!</v>
          </cell>
          <cell r="E3120" t="e">
            <v>#VALUE!</v>
          </cell>
          <cell r="F3120">
            <v>0</v>
          </cell>
        </row>
        <row r="3121">
          <cell r="A3121" t="str">
            <v>RVBILK1A</v>
          </cell>
          <cell r="B3121">
            <v>2.5948612565178784E-5</v>
          </cell>
          <cell r="C3121">
            <v>0</v>
          </cell>
          <cell r="D3121" t="e">
            <v>#VALUE!</v>
          </cell>
          <cell r="E3121" t="e">
            <v>#VALUE!</v>
          </cell>
          <cell r="F3121">
            <v>0</v>
          </cell>
        </row>
        <row r="3122">
          <cell r="A3122" t="str">
            <v>RVBIJPIA</v>
          </cell>
          <cell r="B3122">
            <v>-8.0274102638462834E-6</v>
          </cell>
          <cell r="C3122">
            <v>0</v>
          </cell>
          <cell r="D3122" t="e">
            <v>#VALUE!</v>
          </cell>
          <cell r="E3122" t="e">
            <v>#VALUE!</v>
          </cell>
          <cell r="F3122">
            <v>0</v>
          </cell>
        </row>
        <row r="3123">
          <cell r="A3123" t="str">
            <v>RVBIJETA</v>
          </cell>
          <cell r="B3123">
            <v>-2.6746406788022371E-4</v>
          </cell>
          <cell r="C3123">
            <v>0</v>
          </cell>
          <cell r="D3123" t="e">
            <v>#VALUE!</v>
          </cell>
          <cell r="E3123" t="e">
            <v>#VALUE!</v>
          </cell>
          <cell r="F3123">
            <v>0</v>
          </cell>
        </row>
        <row r="3124">
          <cell r="A3124" t="str">
            <v>RVBILK3A</v>
          </cell>
          <cell r="B3124">
            <v>-8.92059796034081E-5</v>
          </cell>
          <cell r="C3124">
            <v>0</v>
          </cell>
          <cell r="D3124" t="e">
            <v>#VALUE!</v>
          </cell>
          <cell r="E3124" t="e">
            <v>#VALUE!</v>
          </cell>
          <cell r="F3124">
            <v>0</v>
          </cell>
        </row>
        <row r="3125">
          <cell r="A3125" t="str">
            <v>RVBILK4A</v>
          </cell>
          <cell r="B3125">
            <v>3.1257978640521646E-7</v>
          </cell>
          <cell r="C3125">
            <v>0</v>
          </cell>
          <cell r="D3125" t="e">
            <v>#VALUE!</v>
          </cell>
          <cell r="E3125" t="e">
            <v>#VALUE!</v>
          </cell>
          <cell r="F3125">
            <v>0</v>
          </cell>
        </row>
        <row r="3126">
          <cell r="A3126" t="str">
            <v>RVBISG3A</v>
          </cell>
          <cell r="B3126">
            <v>0</v>
          </cell>
          <cell r="C3126">
            <v>0</v>
          </cell>
          <cell r="D3126" t="e">
            <v>#VALUE!</v>
          </cell>
          <cell r="E3126" t="e">
            <v>#VALUE!</v>
          </cell>
          <cell r="F3126">
            <v>0</v>
          </cell>
        </row>
        <row r="3127">
          <cell r="A3127" t="str">
            <v>RVBISG4A</v>
          </cell>
          <cell r="B3127">
            <v>2.0947147479016901E-5</v>
          </cell>
          <cell r="C3127">
            <v>0</v>
          </cell>
          <cell r="D3127" t="e">
            <v>#VALUE!</v>
          </cell>
          <cell r="E3127" t="e">
            <v>#VALUE!</v>
          </cell>
          <cell r="F3127">
            <v>0</v>
          </cell>
        </row>
        <row r="3128">
          <cell r="A3128" t="str">
            <v>RVBISG5A</v>
          </cell>
          <cell r="B3128">
            <v>0</v>
          </cell>
          <cell r="C3128">
            <v>0</v>
          </cell>
          <cell r="D3128" t="e">
            <v>#VALUE!</v>
          </cell>
          <cell r="E3128" t="e">
            <v>#VALUE!</v>
          </cell>
          <cell r="F3128">
            <v>0</v>
          </cell>
        </row>
        <row r="3129">
          <cell r="A3129" t="str">
            <v>RVBISG6A</v>
          </cell>
          <cell r="B3129">
            <v>3.1704474803182293E-8</v>
          </cell>
          <cell r="C3129">
            <v>0</v>
          </cell>
          <cell r="D3129" t="e">
            <v>#VALUE!</v>
          </cell>
          <cell r="E3129" t="e">
            <v>#VALUE!</v>
          </cell>
          <cell r="F3129">
            <v>0</v>
          </cell>
        </row>
        <row r="3130">
          <cell r="A3130" t="str">
            <v>RVBISG7A</v>
          </cell>
          <cell r="B3130">
            <v>4.1642920943515544E-8</v>
          </cell>
          <cell r="C3130">
            <v>0</v>
          </cell>
          <cell r="D3130" t="e">
            <v>#VALUE!</v>
          </cell>
          <cell r="E3130" t="e">
            <v>#VALUE!</v>
          </cell>
          <cell r="F3130">
            <v>0</v>
          </cell>
        </row>
        <row r="3131">
          <cell r="A3131" t="str">
            <v>RVBILG1A</v>
          </cell>
          <cell r="B3131">
            <v>1.3020892166759826E-4</v>
          </cell>
          <cell r="C3131">
            <v>0</v>
          </cell>
          <cell r="D3131" t="e">
            <v>#VALUE!</v>
          </cell>
          <cell r="E3131" t="e">
            <v>#VALUE!</v>
          </cell>
          <cell r="F3131">
            <v>0</v>
          </cell>
        </row>
        <row r="3132">
          <cell r="A3132" t="str">
            <v>RVBILG2A</v>
          </cell>
          <cell r="B3132">
            <v>2.916052147418369E-4</v>
          </cell>
          <cell r="C3132">
            <v>0</v>
          </cell>
          <cell r="D3132" t="e">
            <v>#VALUE!</v>
          </cell>
          <cell r="E3132" t="e">
            <v>#VALUE!</v>
          </cell>
          <cell r="F3132">
            <v>0</v>
          </cell>
        </row>
        <row r="3133">
          <cell r="A3133" t="str">
            <v>RVBILG3A</v>
          </cell>
          <cell r="B3133">
            <v>2.8675043775564682E-7</v>
          </cell>
          <cell r="C3133">
            <v>0</v>
          </cell>
          <cell r="D3133" t="e">
            <v>#VALUE!</v>
          </cell>
          <cell r="E3133" t="e">
            <v>#VALUE!</v>
          </cell>
          <cell r="F3133">
            <v>0</v>
          </cell>
        </row>
        <row r="3134">
          <cell r="A3134" t="str">
            <v>RVBIGS1A</v>
          </cell>
          <cell r="B3134">
            <v>3.401438475402242E-6</v>
          </cell>
          <cell r="C3134">
            <v>0</v>
          </cell>
          <cell r="D3134" t="e">
            <v>#VALUE!</v>
          </cell>
          <cell r="E3134" t="e">
            <v>#VALUE!</v>
          </cell>
          <cell r="F3134">
            <v>0</v>
          </cell>
        </row>
        <row r="3135">
          <cell r="A3135" t="str">
            <v>RVBIGS2A</v>
          </cell>
          <cell r="B3135">
            <v>-2.4003031238720884E-8</v>
          </cell>
          <cell r="C3135">
            <v>0</v>
          </cell>
          <cell r="D3135" t="e">
            <v>#VALUE!</v>
          </cell>
          <cell r="E3135" t="e">
            <v>#VALUE!</v>
          </cell>
          <cell r="F3135">
            <v>0</v>
          </cell>
        </row>
        <row r="3136">
          <cell r="A3136" t="str">
            <v>RVBIGS3A</v>
          </cell>
          <cell r="B3136">
            <v>0</v>
          </cell>
          <cell r="C3136">
            <v>0</v>
          </cell>
          <cell r="D3136" t="e">
            <v>#VALUE!</v>
          </cell>
          <cell r="E3136" t="e">
            <v>#VALUE!</v>
          </cell>
          <cell r="F3136">
            <v>0</v>
          </cell>
        </row>
        <row r="3137">
          <cell r="A3137" t="str">
            <v>RVBIGS4A</v>
          </cell>
          <cell r="B3137">
            <v>-5.9042404768972546E-5</v>
          </cell>
          <cell r="C3137">
            <v>0</v>
          </cell>
          <cell r="D3137" t="e">
            <v>#VALUE!</v>
          </cell>
          <cell r="E3137" t="e">
            <v>#VALUE!</v>
          </cell>
          <cell r="F3137">
            <v>0</v>
          </cell>
        </row>
        <row r="3138">
          <cell r="A3138" t="str">
            <v>RVBIGS5A</v>
          </cell>
          <cell r="B3138">
            <v>0</v>
          </cell>
          <cell r="C3138">
            <v>0</v>
          </cell>
          <cell r="D3138" t="e">
            <v>#VALUE!</v>
          </cell>
          <cell r="E3138" t="e">
            <v>#VALUE!</v>
          </cell>
          <cell r="F3138">
            <v>0</v>
          </cell>
        </row>
        <row r="3139">
          <cell r="A3139" t="str">
            <v>RVBIGS6A</v>
          </cell>
          <cell r="B3139">
            <v>1.3043754940448309E-7</v>
          </cell>
          <cell r="C3139">
            <v>0</v>
          </cell>
          <cell r="D3139" t="e">
            <v>#VALUE!</v>
          </cell>
          <cell r="E3139" t="e">
            <v>#VALUE!</v>
          </cell>
          <cell r="F3139">
            <v>0</v>
          </cell>
        </row>
        <row r="3140">
          <cell r="A3140" t="str">
            <v>RVBIGS7A</v>
          </cell>
          <cell r="B3140">
            <v>1.1567478040514326E-7</v>
          </cell>
          <cell r="C3140">
            <v>0</v>
          </cell>
          <cell r="D3140" t="e">
            <v>#VALUE!</v>
          </cell>
          <cell r="E3140" t="e">
            <v>#VALUE!</v>
          </cell>
          <cell r="F3140">
            <v>0</v>
          </cell>
        </row>
        <row r="3141">
          <cell r="A3141" t="str">
            <v>RVBIPG1A</v>
          </cell>
          <cell r="B3141">
            <v>2.0193597006815651E-4</v>
          </cell>
          <cell r="C3141">
            <v>0</v>
          </cell>
          <cell r="D3141" t="e">
            <v>#VALUE!</v>
          </cell>
          <cell r="E3141" t="e">
            <v>#VALUE!</v>
          </cell>
          <cell r="F3141">
            <v>0</v>
          </cell>
        </row>
        <row r="3142">
          <cell r="A3142" t="str">
            <v>RVBIPG2A</v>
          </cell>
          <cell r="B3142">
            <v>1.3144633556618068E-6</v>
          </cell>
          <cell r="C3142">
            <v>0</v>
          </cell>
          <cell r="D3142" t="e">
            <v>#VALUE!</v>
          </cell>
          <cell r="E3142" t="e">
            <v>#VALUE!</v>
          </cell>
          <cell r="F3142">
            <v>0</v>
          </cell>
        </row>
        <row r="3143">
          <cell r="A3143" t="str">
            <v>RVBIAR1A</v>
          </cell>
          <cell r="B3143">
            <v>8.8176853189171904E-5</v>
          </cell>
          <cell r="C3143">
            <v>0</v>
          </cell>
          <cell r="D3143" t="e">
            <v>#VALUE!</v>
          </cell>
          <cell r="E3143" t="e">
            <v>#VALUE!</v>
          </cell>
          <cell r="F3143">
            <v>0</v>
          </cell>
        </row>
        <row r="3144">
          <cell r="A3144" t="str">
            <v>RVBIAR2A</v>
          </cell>
          <cell r="B3144">
            <v>2.624731536193955E-6</v>
          </cell>
          <cell r="C3144">
            <v>0</v>
          </cell>
          <cell r="D3144" t="e">
            <v>#VALUE!</v>
          </cell>
          <cell r="E3144" t="e">
            <v>#VALUE!</v>
          </cell>
          <cell r="F3144">
            <v>0</v>
          </cell>
        </row>
        <row r="3145">
          <cell r="A3145" t="str">
            <v>RVBIAR3A</v>
          </cell>
          <cell r="B3145">
            <v>0</v>
          </cell>
          <cell r="C3145">
            <v>0</v>
          </cell>
          <cell r="D3145" t="e">
            <v>#VALUE!</v>
          </cell>
          <cell r="E3145" t="e">
            <v>#VALUE!</v>
          </cell>
          <cell r="F3145">
            <v>0</v>
          </cell>
        </row>
        <row r="3146">
          <cell r="A3146" t="str">
            <v>RVBIAR4A</v>
          </cell>
          <cell r="B3146">
            <v>6.4024328152100518E-3</v>
          </cell>
          <cell r="C3146">
            <v>0</v>
          </cell>
          <cell r="D3146" t="e">
            <v>#VALUE!</v>
          </cell>
          <cell r="E3146" t="e">
            <v>#VALUE!</v>
          </cell>
          <cell r="F3146">
            <v>0</v>
          </cell>
        </row>
        <row r="3147">
          <cell r="A3147" t="str">
            <v>RVBIAR5A</v>
          </cell>
          <cell r="B3147">
            <v>0</v>
          </cell>
          <cell r="C3147">
            <v>0</v>
          </cell>
          <cell r="D3147" t="e">
            <v>#VALUE!</v>
          </cell>
          <cell r="E3147" t="e">
            <v>#VALUE!</v>
          </cell>
          <cell r="F3147">
            <v>0</v>
          </cell>
        </row>
        <row r="3148">
          <cell r="A3148" t="str">
            <v>RVBIAR6A</v>
          </cell>
          <cell r="B3148">
            <v>-2.7874066954895995E-8</v>
          </cell>
          <cell r="C3148">
            <v>0</v>
          </cell>
          <cell r="D3148" t="e">
            <v>#VALUE!</v>
          </cell>
          <cell r="E3148" t="e">
            <v>#VALUE!</v>
          </cell>
          <cell r="F3148">
            <v>0</v>
          </cell>
        </row>
        <row r="3149">
          <cell r="A3149" t="str">
            <v>RVBIAR7A</v>
          </cell>
          <cell r="B3149">
            <v>4.2660858936919608E-6</v>
          </cell>
          <cell r="C3149">
            <v>0</v>
          </cell>
          <cell r="D3149" t="e">
            <v>#VALUE!</v>
          </cell>
          <cell r="E3149" t="e">
            <v>#VALUE!</v>
          </cell>
          <cell r="F3149">
            <v>0</v>
          </cell>
        </row>
        <row r="3150">
          <cell r="A3150" t="str">
            <v>RVBILVBA</v>
          </cell>
          <cell r="B3150">
            <v>5.92355057238346E-5</v>
          </cell>
          <cell r="C3150">
            <v>0</v>
          </cell>
          <cell r="D3150" t="e">
            <v>#VALUE!</v>
          </cell>
          <cell r="E3150" t="e">
            <v>#VALUE!</v>
          </cell>
          <cell r="F3150">
            <v>0</v>
          </cell>
        </row>
        <row r="3151">
          <cell r="A3151" t="str">
            <v>RVBILV1A</v>
          </cell>
          <cell r="B3151">
            <v>1.6074611830642785E-5</v>
          </cell>
          <cell r="C3151">
            <v>0</v>
          </cell>
          <cell r="D3151" t="e">
            <v>#VALUE!</v>
          </cell>
          <cell r="E3151" t="e">
            <v>#VALUE!</v>
          </cell>
          <cell r="F3151">
            <v>0</v>
          </cell>
        </row>
        <row r="3152">
          <cell r="A3152" t="str">
            <v>RVBILV2A</v>
          </cell>
          <cell r="B3152">
            <v>-1.5601970841239002E-7</v>
          </cell>
          <cell r="C3152">
            <v>0</v>
          </cell>
          <cell r="D3152" t="e">
            <v>#VALUE!</v>
          </cell>
          <cell r="E3152" t="e">
            <v>#VALUE!</v>
          </cell>
          <cell r="F3152">
            <v>0</v>
          </cell>
        </row>
        <row r="3153">
          <cell r="A3153" t="str">
            <v>RVBILV3A</v>
          </cell>
          <cell r="B3153">
            <v>0</v>
          </cell>
          <cell r="C3153">
            <v>0</v>
          </cell>
          <cell r="D3153" t="e">
            <v>#VALUE!</v>
          </cell>
          <cell r="E3153" t="e">
            <v>#VALUE!</v>
          </cell>
          <cell r="F3153">
            <v>0</v>
          </cell>
        </row>
        <row r="3154">
          <cell r="A3154" t="str">
            <v>RVBILV4A</v>
          </cell>
          <cell r="B3154">
            <v>3.685527535708388E-5</v>
          </cell>
          <cell r="C3154">
            <v>0</v>
          </cell>
          <cell r="D3154" t="e">
            <v>#VALUE!</v>
          </cell>
          <cell r="E3154" t="e">
            <v>#VALUE!</v>
          </cell>
          <cell r="F3154">
            <v>0</v>
          </cell>
        </row>
        <row r="3155">
          <cell r="A3155" t="str">
            <v>RVBILV5A</v>
          </cell>
          <cell r="B3155">
            <v>0</v>
          </cell>
          <cell r="C3155">
            <v>0</v>
          </cell>
          <cell r="D3155" t="e">
            <v>#VALUE!</v>
          </cell>
          <cell r="E3155" t="e">
            <v>#VALUE!</v>
          </cell>
          <cell r="F3155">
            <v>0</v>
          </cell>
        </row>
        <row r="3156">
          <cell r="A3156" t="str">
            <v>RVBILV6A</v>
          </cell>
          <cell r="B3156">
            <v>7.3996653459009191E-7</v>
          </cell>
          <cell r="C3156">
            <v>0</v>
          </cell>
          <cell r="D3156" t="e">
            <v>#VALUE!</v>
          </cell>
          <cell r="E3156" t="e">
            <v>#VALUE!</v>
          </cell>
          <cell r="F3156">
            <v>0</v>
          </cell>
        </row>
        <row r="3157">
          <cell r="A3157" t="str">
            <v>RVBILV7A</v>
          </cell>
          <cell r="B3157">
            <v>2.9011236090635267E-6</v>
          </cell>
          <cell r="C3157">
            <v>0</v>
          </cell>
          <cell r="D3157" t="e">
            <v>#VALUE!</v>
          </cell>
          <cell r="E3157" t="e">
            <v>#VALUE!</v>
          </cell>
          <cell r="F3157">
            <v>0</v>
          </cell>
        </row>
        <row r="3158">
          <cell r="A3158" t="str">
            <v>RVBIPVBA</v>
          </cell>
          <cell r="B3158">
            <v>1.4743480804672924E-4</v>
          </cell>
          <cell r="C3158">
            <v>0</v>
          </cell>
          <cell r="D3158" t="e">
            <v>#VALUE!</v>
          </cell>
          <cell r="E3158" t="e">
            <v>#VALUE!</v>
          </cell>
          <cell r="F3158">
            <v>0</v>
          </cell>
        </row>
        <row r="3159">
          <cell r="A3159" t="str">
            <v>RVBIDVLA</v>
          </cell>
          <cell r="B3159">
            <v>-4.9271567240980106E-10</v>
          </cell>
          <cell r="C3159">
            <v>0</v>
          </cell>
          <cell r="D3159" t="e">
            <v>#VALUE!</v>
          </cell>
          <cell r="E3159" t="e">
            <v>#VALUE!</v>
          </cell>
          <cell r="F3159">
            <v>0</v>
          </cell>
        </row>
        <row r="3160">
          <cell r="A3160" t="str">
            <v>RVBIPV1A</v>
          </cell>
          <cell r="B3160">
            <v>-2.442210796831105E-5</v>
          </cell>
          <cell r="C3160">
            <v>0</v>
          </cell>
          <cell r="D3160" t="e">
            <v>#VALUE!</v>
          </cell>
          <cell r="E3160" t="e">
            <v>#VALUE!</v>
          </cell>
          <cell r="F3160">
            <v>0</v>
          </cell>
        </row>
        <row r="3161">
          <cell r="A3161" t="str">
            <v>RVBIPV2A</v>
          </cell>
          <cell r="B3161">
            <v>1.2601591490241322E-7</v>
          </cell>
          <cell r="C3161">
            <v>0</v>
          </cell>
          <cell r="D3161" t="e">
            <v>#VALUE!</v>
          </cell>
          <cell r="E3161" t="e">
            <v>#VALUE!</v>
          </cell>
          <cell r="F3161">
            <v>0</v>
          </cell>
        </row>
        <row r="3162">
          <cell r="A3162" t="str">
            <v>RVBIPV3A</v>
          </cell>
          <cell r="B3162">
            <v>0</v>
          </cell>
          <cell r="C3162">
            <v>0</v>
          </cell>
          <cell r="D3162" t="e">
            <v>#VALUE!</v>
          </cell>
          <cell r="E3162" t="e">
            <v>#VALUE!</v>
          </cell>
          <cell r="F3162">
            <v>0</v>
          </cell>
        </row>
        <row r="3163">
          <cell r="A3163" t="str">
            <v>RVBIPV4A</v>
          </cell>
          <cell r="B3163">
            <v>-5.4873088601983008E-4</v>
          </cell>
          <cell r="C3163">
            <v>0</v>
          </cell>
          <cell r="D3163" t="e">
            <v>#VALUE!</v>
          </cell>
          <cell r="E3163" t="e">
            <v>#VALUE!</v>
          </cell>
          <cell r="F3163">
            <v>0</v>
          </cell>
        </row>
        <row r="3164">
          <cell r="A3164" t="str">
            <v>RVBIPV5A</v>
          </cell>
          <cell r="B3164">
            <v>0</v>
          </cell>
          <cell r="C3164">
            <v>0</v>
          </cell>
          <cell r="D3164" t="e">
            <v>#VALUE!</v>
          </cell>
          <cell r="E3164" t="e">
            <v>#VALUE!</v>
          </cell>
          <cell r="F3164">
            <v>0</v>
          </cell>
        </row>
        <row r="3165">
          <cell r="A3165" t="str">
            <v>RVBIPV6A</v>
          </cell>
          <cell r="B3165">
            <v>3.8670069253277547E-9</v>
          </cell>
          <cell r="C3165">
            <v>0</v>
          </cell>
          <cell r="D3165" t="e">
            <v>#VALUE!</v>
          </cell>
          <cell r="E3165" t="e">
            <v>#VALUE!</v>
          </cell>
          <cell r="F3165">
            <v>0</v>
          </cell>
        </row>
        <row r="3166">
          <cell r="A3166" t="str">
            <v>RVBIPV7A</v>
          </cell>
          <cell r="B3166">
            <v>4.8120710345432452E-6</v>
          </cell>
          <cell r="C3166">
            <v>0</v>
          </cell>
          <cell r="D3166" t="e">
            <v>#VALUE!</v>
          </cell>
          <cell r="E3166" t="e">
            <v>#VALUE!</v>
          </cell>
          <cell r="F3166">
            <v>0</v>
          </cell>
        </row>
        <row r="3167">
          <cell r="A3167" t="str">
            <v>RVBIVRBA</v>
          </cell>
          <cell r="B3167">
            <v>-1.254325279047432E-3</v>
          </cell>
          <cell r="C3167">
            <v>0</v>
          </cell>
          <cell r="D3167" t="e">
            <v>#VALUE!</v>
          </cell>
          <cell r="E3167" t="e">
            <v>#VALUE!</v>
          </cell>
          <cell r="F3167">
            <v>0</v>
          </cell>
        </row>
        <row r="3168">
          <cell r="A3168" t="str">
            <v>RVBIFCLA</v>
          </cell>
          <cell r="B3168">
            <v>5.4450694056369105E-10</v>
          </cell>
          <cell r="C3168">
            <v>0</v>
          </cell>
          <cell r="D3168" t="e">
            <v>#VALUE!</v>
          </cell>
          <cell r="E3168" t="e">
            <v>#VALUE!</v>
          </cell>
          <cell r="F3168">
            <v>0</v>
          </cell>
        </row>
        <row r="3169">
          <cell r="A3169" t="str">
            <v>RVBIVR1A</v>
          </cell>
          <cell r="B3169">
            <v>6.6691356845046963E-5</v>
          </cell>
          <cell r="C3169">
            <v>0</v>
          </cell>
          <cell r="D3169" t="e">
            <v>#VALUE!</v>
          </cell>
          <cell r="E3169" t="e">
            <v>#VALUE!</v>
          </cell>
          <cell r="F3169">
            <v>0</v>
          </cell>
        </row>
        <row r="3170">
          <cell r="A3170" t="str">
            <v>RVBIVR2A</v>
          </cell>
          <cell r="B3170">
            <v>-5.7127215843312823E-7</v>
          </cell>
          <cell r="C3170">
            <v>0</v>
          </cell>
          <cell r="D3170" t="e">
            <v>#VALUE!</v>
          </cell>
          <cell r="E3170" t="e">
            <v>#VALUE!</v>
          </cell>
          <cell r="F3170">
            <v>0</v>
          </cell>
        </row>
        <row r="3171">
          <cell r="A3171" t="str">
            <v>RVBIVR3A</v>
          </cell>
          <cell r="B3171">
            <v>0</v>
          </cell>
          <cell r="C3171">
            <v>0</v>
          </cell>
          <cell r="D3171" t="e">
            <v>#VALUE!</v>
          </cell>
          <cell r="E3171" t="e">
            <v>#VALUE!</v>
          </cell>
          <cell r="F3171">
            <v>0</v>
          </cell>
        </row>
        <row r="3172">
          <cell r="A3172" t="str">
            <v>RVBIVR4A</v>
          </cell>
          <cell r="B3172">
            <v>4.5816433873730838E-4</v>
          </cell>
          <cell r="C3172">
            <v>0</v>
          </cell>
          <cell r="D3172" t="e">
            <v>#VALUE!</v>
          </cell>
          <cell r="E3172" t="e">
            <v>#VALUE!</v>
          </cell>
          <cell r="F3172">
            <v>0</v>
          </cell>
        </row>
        <row r="3173">
          <cell r="A3173" t="str">
            <v>RVBIVR5A</v>
          </cell>
          <cell r="B3173">
            <v>0</v>
          </cell>
          <cell r="C3173">
            <v>0</v>
          </cell>
          <cell r="D3173" t="e">
            <v>#VALUE!</v>
          </cell>
          <cell r="E3173" t="e">
            <v>#VALUE!</v>
          </cell>
          <cell r="F3173">
            <v>0</v>
          </cell>
        </row>
        <row r="3174">
          <cell r="A3174" t="str">
            <v>RVBIVR6A</v>
          </cell>
          <cell r="B3174">
            <v>-3.494065197949403E-8</v>
          </cell>
          <cell r="C3174">
            <v>0</v>
          </cell>
          <cell r="D3174" t="e">
            <v>#VALUE!</v>
          </cell>
          <cell r="E3174" t="e">
            <v>#VALUE!</v>
          </cell>
          <cell r="F3174">
            <v>0</v>
          </cell>
        </row>
        <row r="3175">
          <cell r="A3175" t="str">
            <v>RVBIVR7A</v>
          </cell>
          <cell r="B3175">
            <v>9.5038399655867859E-6</v>
          </cell>
          <cell r="C3175">
            <v>0</v>
          </cell>
          <cell r="D3175" t="e">
            <v>#VALUE!</v>
          </cell>
          <cell r="E3175" t="e">
            <v>#VALUE!</v>
          </cell>
          <cell r="F3175">
            <v>0</v>
          </cell>
        </row>
        <row r="3176">
          <cell r="A3176" t="str">
            <v>RVBIVR9A</v>
          </cell>
          <cell r="B3176">
            <v>1.0272297111267307E-4</v>
          </cell>
          <cell r="C3176">
            <v>0</v>
          </cell>
          <cell r="D3176" t="e">
            <v>#VALUE!</v>
          </cell>
          <cell r="E3176" t="e">
            <v>#VALUE!</v>
          </cell>
          <cell r="F3176">
            <v>0</v>
          </cell>
        </row>
        <row r="3177">
          <cell r="A3177" t="str">
            <v>RVBIPB1A</v>
          </cell>
          <cell r="B3177">
            <v>1.1500383594740351E-6</v>
          </cell>
          <cell r="C3177">
            <v>0</v>
          </cell>
          <cell r="D3177" t="e">
            <v>#VALUE!</v>
          </cell>
          <cell r="E3177" t="e">
            <v>#VALUE!</v>
          </cell>
          <cell r="F3177">
            <v>0</v>
          </cell>
        </row>
        <row r="3178">
          <cell r="A3178" t="str">
            <v>RVBIPB2A</v>
          </cell>
          <cell r="B3178">
            <v>0</v>
          </cell>
          <cell r="C3178">
            <v>0</v>
          </cell>
          <cell r="D3178" t="e">
            <v>#VALUE!</v>
          </cell>
          <cell r="E3178" t="e">
            <v>#VALUE!</v>
          </cell>
          <cell r="F3178">
            <v>0</v>
          </cell>
        </row>
        <row r="3179">
          <cell r="A3179" t="str">
            <v>RVBIPB3A</v>
          </cell>
          <cell r="B3179">
            <v>2.6115080430054774E-5</v>
          </cell>
          <cell r="C3179">
            <v>0</v>
          </cell>
          <cell r="D3179" t="e">
            <v>#VALUE!</v>
          </cell>
          <cell r="E3179" t="e">
            <v>#VALUE!</v>
          </cell>
          <cell r="F3179">
            <v>0</v>
          </cell>
        </row>
        <row r="3180">
          <cell r="A3180" t="str">
            <v>RVBIPB4A</v>
          </cell>
          <cell r="B3180">
            <v>9.8047474967006247E-8</v>
          </cell>
          <cell r="C3180">
            <v>0</v>
          </cell>
          <cell r="D3180" t="e">
            <v>#VALUE!</v>
          </cell>
          <cell r="E3180" t="e">
            <v>#VALUE!</v>
          </cell>
          <cell r="F3180">
            <v>0</v>
          </cell>
        </row>
        <row r="3181">
          <cell r="A3181" t="str">
            <v>RVBIPP1A</v>
          </cell>
          <cell r="B3181">
            <v>0</v>
          </cell>
          <cell r="C3181">
            <v>0</v>
          </cell>
          <cell r="D3181" t="e">
            <v>#VALUE!</v>
          </cell>
          <cell r="E3181" t="e">
            <v>#VALUE!</v>
          </cell>
          <cell r="F3181">
            <v>0</v>
          </cell>
        </row>
        <row r="3182">
          <cell r="A3182" t="str">
            <v>RVBIPP2A</v>
          </cell>
          <cell r="B3182">
            <v>0</v>
          </cell>
          <cell r="C3182">
            <v>0</v>
          </cell>
          <cell r="D3182" t="e">
            <v>#VALUE!</v>
          </cell>
          <cell r="E3182" t="e">
            <v>#VALUE!</v>
          </cell>
          <cell r="F3182">
            <v>0</v>
          </cell>
        </row>
        <row r="3183">
          <cell r="A3183" t="str">
            <v>RVBIPP3A</v>
          </cell>
          <cell r="B3183">
            <v>-2.6417017504907762E-6</v>
          </cell>
          <cell r="C3183">
            <v>0</v>
          </cell>
          <cell r="D3183" t="e">
            <v>#VALUE!</v>
          </cell>
          <cell r="E3183" t="e">
            <v>#VALUE!</v>
          </cell>
          <cell r="F3183">
            <v>0</v>
          </cell>
        </row>
        <row r="3184">
          <cell r="A3184" t="str">
            <v>RVBIPP4A</v>
          </cell>
          <cell r="B3184">
            <v>-5.5339967159773638E-11</v>
          </cell>
          <cell r="C3184">
            <v>0</v>
          </cell>
          <cell r="D3184" t="e">
            <v>#VALUE!</v>
          </cell>
          <cell r="E3184" t="e">
            <v>#VALUE!</v>
          </cell>
          <cell r="F3184">
            <v>0</v>
          </cell>
        </row>
        <row r="3185">
          <cell r="A3185" t="str">
            <v>RVBIDTFA</v>
          </cell>
          <cell r="B3185">
            <v>5.1570227570751643E-4</v>
          </cell>
          <cell r="C3185">
            <v>0</v>
          </cell>
          <cell r="D3185" t="e">
            <v>#VALUE!</v>
          </cell>
          <cell r="E3185" t="e">
            <v>#VALUE!</v>
          </cell>
          <cell r="F3185">
            <v>0</v>
          </cell>
        </row>
        <row r="3186">
          <cell r="A3186" t="str">
            <v>RVBIFOIA</v>
          </cell>
          <cell r="B3186">
            <v>-4.8194801794699682E-16</v>
          </cell>
          <cell r="C3186">
            <v>0</v>
          </cell>
          <cell r="D3186" t="e">
            <v>#VALUE!</v>
          </cell>
          <cell r="E3186" t="e">
            <v>#VALUE!</v>
          </cell>
          <cell r="F3186">
            <v>0</v>
          </cell>
        </row>
        <row r="3187">
          <cell r="A3187" t="str">
            <v>RVBIFDOA</v>
          </cell>
          <cell r="B3187">
            <v>-4.7990726944926668E-4</v>
          </cell>
          <cell r="C3187">
            <v>0</v>
          </cell>
          <cell r="D3187" t="e">
            <v>#VALUE!</v>
          </cell>
          <cell r="E3187" t="e">
            <v>#VALUE!</v>
          </cell>
          <cell r="F3187">
            <v>0</v>
          </cell>
        </row>
        <row r="3188">
          <cell r="A3188" t="str">
            <v>RVS4SK1A</v>
          </cell>
          <cell r="B3188">
            <v>9.5419327467876958E-6</v>
          </cell>
          <cell r="C3188">
            <v>0</v>
          </cell>
          <cell r="D3188" t="e">
            <v>#VALUE!</v>
          </cell>
          <cell r="E3188" t="e">
            <v>#VALUE!</v>
          </cell>
          <cell r="F3188">
            <v>0</v>
          </cell>
        </row>
        <row r="3189">
          <cell r="A3189" t="str">
            <v>RVS4SK2A</v>
          </cell>
          <cell r="B3189">
            <v>3.3604244087533913E-8</v>
          </cell>
          <cell r="C3189">
            <v>0</v>
          </cell>
          <cell r="D3189" t="e">
            <v>#VALUE!</v>
          </cell>
          <cell r="E3189" t="e">
            <v>#VALUE!</v>
          </cell>
          <cell r="F3189">
            <v>0</v>
          </cell>
        </row>
        <row r="3190">
          <cell r="A3190" t="str">
            <v>RVS4SK3A</v>
          </cell>
          <cell r="B3190">
            <v>0</v>
          </cell>
          <cell r="C3190">
            <v>0</v>
          </cell>
          <cell r="D3190" t="e">
            <v>#VALUE!</v>
          </cell>
          <cell r="E3190" t="e">
            <v>#VALUE!</v>
          </cell>
          <cell r="F3190">
            <v>0</v>
          </cell>
        </row>
        <row r="3191">
          <cell r="A3191" t="str">
            <v>RVS4SK5A</v>
          </cell>
          <cell r="B3191">
            <v>0</v>
          </cell>
          <cell r="C3191">
            <v>0</v>
          </cell>
          <cell r="D3191" t="e">
            <v>#VALUE!</v>
          </cell>
          <cell r="E3191" t="e">
            <v>#VALUE!</v>
          </cell>
          <cell r="F3191">
            <v>0</v>
          </cell>
        </row>
        <row r="3192">
          <cell r="A3192" t="str">
            <v>RVS4SK6A</v>
          </cell>
          <cell r="B3192">
            <v>-2.6714596187552882E-8</v>
          </cell>
          <cell r="C3192">
            <v>0</v>
          </cell>
          <cell r="D3192" t="e">
            <v>#VALUE!</v>
          </cell>
          <cell r="E3192" t="e">
            <v>#VALUE!</v>
          </cell>
          <cell r="F3192">
            <v>0</v>
          </cell>
        </row>
        <row r="3193">
          <cell r="A3193" t="str">
            <v>RVS4SK7A</v>
          </cell>
          <cell r="B3193">
            <v>6.1076284759085498E-8</v>
          </cell>
          <cell r="C3193">
            <v>0</v>
          </cell>
          <cell r="D3193" t="e">
            <v>#VALUE!</v>
          </cell>
          <cell r="E3193" t="e">
            <v>#VALUE!</v>
          </cell>
          <cell r="F3193">
            <v>0</v>
          </cell>
        </row>
        <row r="3194">
          <cell r="A3194" t="str">
            <v>RVS4LK2A</v>
          </cell>
          <cell r="B3194">
            <v>0</v>
          </cell>
          <cell r="C3194">
            <v>0</v>
          </cell>
          <cell r="D3194" t="e">
            <v>#VALUE!</v>
          </cell>
          <cell r="E3194" t="e">
            <v>#VALUE!</v>
          </cell>
          <cell r="F3194">
            <v>0</v>
          </cell>
        </row>
        <row r="3195">
          <cell r="A3195" t="str">
            <v>RVS4LK1A</v>
          </cell>
          <cell r="B3195">
            <v>2.729005343797891E-5</v>
          </cell>
          <cell r="C3195">
            <v>0</v>
          </cell>
          <cell r="D3195" t="e">
            <v>#VALUE!</v>
          </cell>
          <cell r="E3195" t="e">
            <v>#VALUE!</v>
          </cell>
          <cell r="F3195">
            <v>0</v>
          </cell>
        </row>
        <row r="3196">
          <cell r="A3196" t="str">
            <v>RVS4JPIA</v>
          </cell>
          <cell r="B3196">
            <v>-8.8186243523872287E-6</v>
          </cell>
          <cell r="C3196">
            <v>0</v>
          </cell>
          <cell r="D3196" t="e">
            <v>#VALUE!</v>
          </cell>
          <cell r="E3196" t="e">
            <v>#VALUE!</v>
          </cell>
          <cell r="F3196">
            <v>0</v>
          </cell>
        </row>
        <row r="3197">
          <cell r="A3197" t="str">
            <v>RVS4JETA</v>
          </cell>
          <cell r="B3197">
            <v>5.8365147576782187E-4</v>
          </cell>
          <cell r="C3197">
            <v>0</v>
          </cell>
          <cell r="D3197" t="e">
            <v>#VALUE!</v>
          </cell>
          <cell r="E3197" t="e">
            <v>#VALUE!</v>
          </cell>
          <cell r="F3197">
            <v>0</v>
          </cell>
        </row>
        <row r="3198">
          <cell r="A3198" t="str">
            <v>RVS4LK3A</v>
          </cell>
          <cell r="B3198">
            <v>-9.0182709460998316E-5</v>
          </cell>
          <cell r="C3198">
            <v>0</v>
          </cell>
          <cell r="D3198" t="e">
            <v>#VALUE!</v>
          </cell>
          <cell r="E3198" t="e">
            <v>#VALUE!</v>
          </cell>
          <cell r="F3198">
            <v>0</v>
          </cell>
        </row>
        <row r="3199">
          <cell r="A3199" t="str">
            <v>RVS4LK4A</v>
          </cell>
          <cell r="B3199">
            <v>-4.0266032581164163E-7</v>
          </cell>
          <cell r="C3199">
            <v>0</v>
          </cell>
          <cell r="D3199" t="e">
            <v>#VALUE!</v>
          </cell>
          <cell r="E3199" t="e">
            <v>#VALUE!</v>
          </cell>
          <cell r="F3199">
            <v>0</v>
          </cell>
        </row>
        <row r="3200">
          <cell r="A3200" t="str">
            <v>RVS4SG3A</v>
          </cell>
          <cell r="B3200">
            <v>0</v>
          </cell>
          <cell r="C3200">
            <v>0</v>
          </cell>
          <cell r="D3200" t="e">
            <v>#VALUE!</v>
          </cell>
          <cell r="E3200" t="e">
            <v>#VALUE!</v>
          </cell>
          <cell r="F3200">
            <v>0</v>
          </cell>
        </row>
        <row r="3201">
          <cell r="A3201" t="str">
            <v>RVS4SG4A</v>
          </cell>
          <cell r="B3201">
            <v>2.1304353976282149E-5</v>
          </cell>
          <cell r="C3201">
            <v>0</v>
          </cell>
          <cell r="D3201" t="e">
            <v>#VALUE!</v>
          </cell>
          <cell r="E3201" t="e">
            <v>#VALUE!</v>
          </cell>
          <cell r="F3201">
            <v>0</v>
          </cell>
        </row>
        <row r="3202">
          <cell r="A3202" t="str">
            <v>RVS4SG5A</v>
          </cell>
          <cell r="B3202">
            <v>0</v>
          </cell>
          <cell r="C3202">
            <v>0</v>
          </cell>
          <cell r="D3202" t="e">
            <v>#VALUE!</v>
          </cell>
          <cell r="E3202" t="e">
            <v>#VALUE!</v>
          </cell>
          <cell r="F3202">
            <v>0</v>
          </cell>
        </row>
        <row r="3203">
          <cell r="A3203" t="str">
            <v>RVS4SG6A</v>
          </cell>
          <cell r="B3203">
            <v>-9.7939641137469302E-8</v>
          </cell>
          <cell r="C3203">
            <v>0</v>
          </cell>
          <cell r="D3203" t="e">
            <v>#VALUE!</v>
          </cell>
          <cell r="E3203" t="e">
            <v>#VALUE!</v>
          </cell>
          <cell r="F3203">
            <v>0</v>
          </cell>
        </row>
        <row r="3204">
          <cell r="A3204" t="str">
            <v>RVS4SG7A</v>
          </cell>
          <cell r="B3204">
            <v>0</v>
          </cell>
          <cell r="C3204">
            <v>0</v>
          </cell>
          <cell r="D3204" t="e">
            <v>#VALUE!</v>
          </cell>
          <cell r="E3204" t="e">
            <v>#VALUE!</v>
          </cell>
          <cell r="F3204">
            <v>0</v>
          </cell>
        </row>
        <row r="3205">
          <cell r="A3205" t="str">
            <v>RVS4LKFA</v>
          </cell>
          <cell r="B3205">
            <v>9.2203506586298461E-5</v>
          </cell>
          <cell r="C3205">
            <v>0</v>
          </cell>
          <cell r="D3205" t="e">
            <v>#VALUE!</v>
          </cell>
          <cell r="E3205" t="e">
            <v>#VALUE!</v>
          </cell>
          <cell r="F3205">
            <v>0</v>
          </cell>
        </row>
        <row r="3206">
          <cell r="A3206" t="str">
            <v>RVS4LFKA</v>
          </cell>
          <cell r="B3206">
            <v>9.2203488725317578E-5</v>
          </cell>
          <cell r="C3206">
            <v>0</v>
          </cell>
          <cell r="D3206" t="e">
            <v>#VALUE!</v>
          </cell>
          <cell r="E3206" t="e">
            <v>#VALUE!</v>
          </cell>
          <cell r="F3206">
            <v>0</v>
          </cell>
        </row>
        <row r="3207">
          <cell r="A3207" t="str">
            <v>RVS4LG1A</v>
          </cell>
          <cell r="B3207">
            <v>1.2474741302518339E-4</v>
          </cell>
          <cell r="C3207">
            <v>0</v>
          </cell>
          <cell r="D3207" t="e">
            <v>#VALUE!</v>
          </cell>
          <cell r="E3207" t="e">
            <v>#VALUE!</v>
          </cell>
          <cell r="F3207">
            <v>0</v>
          </cell>
        </row>
        <row r="3208">
          <cell r="A3208" t="str">
            <v>RVS4LG2A</v>
          </cell>
          <cell r="B3208">
            <v>2.9343298084899137E-4</v>
          </cell>
          <cell r="C3208">
            <v>0</v>
          </cell>
          <cell r="D3208" t="e">
            <v>#VALUE!</v>
          </cell>
          <cell r="E3208" t="e">
            <v>#VALUE!</v>
          </cell>
          <cell r="F3208">
            <v>0</v>
          </cell>
        </row>
        <row r="3209">
          <cell r="A3209" t="str">
            <v>RVS4LG3A</v>
          </cell>
          <cell r="B3209">
            <v>1.1101971758591065E-7</v>
          </cell>
          <cell r="C3209">
            <v>0</v>
          </cell>
          <cell r="D3209" t="e">
            <v>#VALUE!</v>
          </cell>
          <cell r="E3209" t="e">
            <v>#VALUE!</v>
          </cell>
          <cell r="F3209">
            <v>0</v>
          </cell>
        </row>
        <row r="3210">
          <cell r="A3210" t="str">
            <v>RVS4GS1A</v>
          </cell>
          <cell r="B3210">
            <v>3.4845887549139449E-6</v>
          </cell>
          <cell r="C3210">
            <v>0</v>
          </cell>
          <cell r="D3210" t="e">
            <v>#VALUE!</v>
          </cell>
          <cell r="E3210" t="e">
            <v>#VALUE!</v>
          </cell>
          <cell r="F3210">
            <v>0</v>
          </cell>
        </row>
        <row r="3211">
          <cell r="A3211" t="str">
            <v>RVS4GS2A</v>
          </cell>
          <cell r="B3211">
            <v>4.8006062477441767E-8</v>
          </cell>
          <cell r="C3211">
            <v>0</v>
          </cell>
          <cell r="D3211" t="e">
            <v>#VALUE!</v>
          </cell>
          <cell r="E3211" t="e">
            <v>#VALUE!</v>
          </cell>
          <cell r="F3211">
            <v>0</v>
          </cell>
        </row>
        <row r="3212">
          <cell r="A3212" t="str">
            <v>RVS4GS3A</v>
          </cell>
          <cell r="B3212">
            <v>0</v>
          </cell>
          <cell r="C3212">
            <v>0</v>
          </cell>
          <cell r="D3212" t="e">
            <v>#VALUE!</v>
          </cell>
          <cell r="E3212" t="e">
            <v>#VALUE!</v>
          </cell>
          <cell r="F3212">
            <v>0</v>
          </cell>
        </row>
        <row r="3213">
          <cell r="A3213" t="str">
            <v>RVS4GS4A</v>
          </cell>
          <cell r="B3213">
            <v>-5.5073282578944117E-5</v>
          </cell>
          <cell r="C3213">
            <v>0</v>
          </cell>
          <cell r="D3213" t="e">
            <v>#VALUE!</v>
          </cell>
          <cell r="E3213" t="e">
            <v>#VALUE!</v>
          </cell>
          <cell r="F3213">
            <v>0</v>
          </cell>
        </row>
        <row r="3214">
          <cell r="A3214" t="str">
            <v>RVS4GS5A</v>
          </cell>
          <cell r="B3214">
            <v>0</v>
          </cell>
          <cell r="C3214">
            <v>0</v>
          </cell>
          <cell r="D3214" t="e">
            <v>#VALUE!</v>
          </cell>
          <cell r="E3214" t="e">
            <v>#VALUE!</v>
          </cell>
          <cell r="F3214">
            <v>0</v>
          </cell>
        </row>
        <row r="3215">
          <cell r="A3215" t="str">
            <v>RVS4GS6A</v>
          </cell>
          <cell r="B3215">
            <v>3.6650173136852212E-9</v>
          </cell>
          <cell r="C3215">
            <v>0</v>
          </cell>
          <cell r="D3215" t="e">
            <v>#VALUE!</v>
          </cell>
          <cell r="E3215" t="e">
            <v>#VALUE!</v>
          </cell>
          <cell r="F3215">
            <v>0</v>
          </cell>
        </row>
        <row r="3216">
          <cell r="A3216" t="str">
            <v>RVS4GS7A</v>
          </cell>
          <cell r="B3216">
            <v>-2.3134956081028652E-7</v>
          </cell>
          <cell r="C3216">
            <v>0</v>
          </cell>
          <cell r="D3216" t="e">
            <v>#VALUE!</v>
          </cell>
          <cell r="E3216" t="e">
            <v>#VALUE!</v>
          </cell>
          <cell r="F3216">
            <v>0</v>
          </cell>
        </row>
        <row r="3217">
          <cell r="A3217" t="str">
            <v>RVS4G11A</v>
          </cell>
          <cell r="B3217">
            <v>-8.8198211008989034E-5</v>
          </cell>
          <cell r="C3217">
            <v>0</v>
          </cell>
          <cell r="D3217" t="e">
            <v>#VALUE!</v>
          </cell>
          <cell r="E3217" t="e">
            <v>#VALUE!</v>
          </cell>
          <cell r="F3217">
            <v>0</v>
          </cell>
        </row>
        <row r="3218">
          <cell r="A3218" t="str">
            <v>RVS4DTFA</v>
          </cell>
          <cell r="B3218">
            <v>-7.1587520879266744E-4</v>
          </cell>
          <cell r="C3218">
            <v>0</v>
          </cell>
          <cell r="D3218" t="e">
            <v>#VALUE!</v>
          </cell>
          <cell r="E3218" t="e">
            <v>#VALUE!</v>
          </cell>
          <cell r="F3218">
            <v>0</v>
          </cell>
        </row>
        <row r="3219">
          <cell r="A3219" t="str">
            <v>RVS4NPCA</v>
          </cell>
          <cell r="B3219">
            <v>0</v>
          </cell>
          <cell r="C3219">
            <v>0</v>
          </cell>
          <cell r="D3219" t="e">
            <v>#VALUE!</v>
          </cell>
          <cell r="E3219" t="e">
            <v>#VALUE!</v>
          </cell>
          <cell r="F3219">
            <v>0</v>
          </cell>
        </row>
        <row r="3220">
          <cell r="A3220" t="str">
            <v>RVS4BNPA</v>
          </cell>
          <cell r="B3220">
            <v>0</v>
          </cell>
          <cell r="C3220">
            <v>0</v>
          </cell>
          <cell r="D3220" t="e">
            <v>#VALUE!</v>
          </cell>
          <cell r="E3220" t="e">
            <v>#VALUE!</v>
          </cell>
          <cell r="F3220">
            <v>0</v>
          </cell>
        </row>
        <row r="3221">
          <cell r="A3221" t="str">
            <v>RVS4LCDA</v>
          </cell>
          <cell r="B3221">
            <v>2.0706300193735729E-4</v>
          </cell>
          <cell r="C3221">
            <v>0</v>
          </cell>
          <cell r="D3221" t="e">
            <v>#VALUE!</v>
          </cell>
          <cell r="E3221" t="e">
            <v>#VALUE!</v>
          </cell>
          <cell r="F3221">
            <v>0</v>
          </cell>
        </row>
        <row r="3222">
          <cell r="A3222" t="str">
            <v>RAFCSG3A</v>
          </cell>
          <cell r="B3222">
            <v>0</v>
          </cell>
          <cell r="C3222">
            <v>0</v>
          </cell>
          <cell r="D3222" t="e">
            <v>#VALUE!</v>
          </cell>
          <cell r="E3222" t="e">
            <v>#VALUE!</v>
          </cell>
          <cell r="F3222">
            <v>0</v>
          </cell>
        </row>
        <row r="3223">
          <cell r="A3223" t="str">
            <v>RAFCSG4A</v>
          </cell>
          <cell r="B3223">
            <v>-2.9943282303339738E-4</v>
          </cell>
          <cell r="C3223">
            <v>0</v>
          </cell>
          <cell r="D3223" t="e">
            <v>#VALUE!</v>
          </cell>
          <cell r="E3223" t="e">
            <v>#VALUE!</v>
          </cell>
          <cell r="F3223">
            <v>0</v>
          </cell>
        </row>
        <row r="3224">
          <cell r="A3224" t="str">
            <v>RAFCSG5A</v>
          </cell>
          <cell r="B3224">
            <v>0</v>
          </cell>
          <cell r="C3224">
            <v>0</v>
          </cell>
          <cell r="D3224" t="e">
            <v>#VALUE!</v>
          </cell>
          <cell r="E3224" t="e">
            <v>#VALUE!</v>
          </cell>
          <cell r="F3224">
            <v>0</v>
          </cell>
        </row>
        <row r="3225">
          <cell r="A3225" t="str">
            <v>RAFCSG6A</v>
          </cell>
          <cell r="B3225">
            <v>-1.4319994708585748E-6</v>
          </cell>
          <cell r="C3225">
            <v>0</v>
          </cell>
          <cell r="D3225" t="e">
            <v>#VALUE!</v>
          </cell>
          <cell r="E3225" t="e">
            <v>#VALUE!</v>
          </cell>
          <cell r="F3225">
            <v>0</v>
          </cell>
        </row>
        <row r="3226">
          <cell r="A3226" t="str">
            <v>RAFCSG7A</v>
          </cell>
          <cell r="B3226">
            <v>0</v>
          </cell>
          <cell r="C3226">
            <v>0</v>
          </cell>
          <cell r="D3226" t="e">
            <v>#VALUE!</v>
          </cell>
          <cell r="E3226" t="e">
            <v>#VALUE!</v>
          </cell>
          <cell r="F3226">
            <v>0</v>
          </cell>
        </row>
        <row r="3227">
          <cell r="A3227" t="str">
            <v>RAFCLG1A</v>
          </cell>
          <cell r="B3227">
            <v>5.3059259176011875E-4</v>
          </cell>
          <cell r="C3227">
            <v>0</v>
          </cell>
          <cell r="D3227" t="e">
            <v>#VALUE!</v>
          </cell>
          <cell r="E3227" t="e">
            <v>#VALUE!</v>
          </cell>
          <cell r="F3227">
            <v>0</v>
          </cell>
        </row>
        <row r="3228">
          <cell r="A3228" t="str">
            <v>RAFCLG2A</v>
          </cell>
          <cell r="B3228">
            <v>-1.9400349366063992E-3</v>
          </cell>
          <cell r="C3228">
            <v>0</v>
          </cell>
          <cell r="D3228" t="e">
            <v>#VALUE!</v>
          </cell>
          <cell r="E3228" t="e">
            <v>#VALUE!</v>
          </cell>
          <cell r="F3228">
            <v>0</v>
          </cell>
        </row>
        <row r="3229">
          <cell r="A3229" t="str">
            <v>RAFCLG3A</v>
          </cell>
          <cell r="B3229">
            <v>8.8228456437195436E-5</v>
          </cell>
          <cell r="C3229">
            <v>0</v>
          </cell>
          <cell r="D3229" t="e">
            <v>#VALUE!</v>
          </cell>
          <cell r="E3229" t="e">
            <v>#VALUE!</v>
          </cell>
          <cell r="F3229">
            <v>0</v>
          </cell>
        </row>
        <row r="3230">
          <cell r="A3230" t="str">
            <v>RAFCGS1A</v>
          </cell>
          <cell r="B3230">
            <v>-1.1983066879266728E-4</v>
          </cell>
          <cell r="C3230">
            <v>0</v>
          </cell>
          <cell r="D3230" t="e">
            <v>#VALUE!</v>
          </cell>
          <cell r="E3230" t="e">
            <v>#VALUE!</v>
          </cell>
          <cell r="F3230">
            <v>0</v>
          </cell>
        </row>
        <row r="3231">
          <cell r="A3231" t="str">
            <v>RAFCGS2A</v>
          </cell>
          <cell r="B3231">
            <v>-1.9202424990976707E-7</v>
          </cell>
          <cell r="C3231">
            <v>0</v>
          </cell>
          <cell r="D3231" t="e">
            <v>#VALUE!</v>
          </cell>
          <cell r="E3231" t="e">
            <v>#VALUE!</v>
          </cell>
          <cell r="F3231">
            <v>0</v>
          </cell>
        </row>
        <row r="3232">
          <cell r="A3232" t="str">
            <v>RAFCGS3A</v>
          </cell>
          <cell r="B3232">
            <v>0</v>
          </cell>
          <cell r="C3232">
            <v>0</v>
          </cell>
          <cell r="D3232" t="e">
            <v>#VALUE!</v>
          </cell>
          <cell r="E3232" t="e">
            <v>#VALUE!</v>
          </cell>
          <cell r="F3232">
            <v>0</v>
          </cell>
        </row>
        <row r="3233">
          <cell r="A3233" t="str">
            <v>RAFCGS4A</v>
          </cell>
          <cell r="B3233">
            <v>1.6694133240117194E-3</v>
          </cell>
          <cell r="C3233">
            <v>0</v>
          </cell>
          <cell r="D3233" t="e">
            <v>#VALUE!</v>
          </cell>
          <cell r="E3233" t="e">
            <v>#VALUE!</v>
          </cell>
          <cell r="F3233">
            <v>0</v>
          </cell>
        </row>
        <row r="3234">
          <cell r="A3234" t="str">
            <v>RAFCGS5A</v>
          </cell>
          <cell r="B3234">
            <v>0</v>
          </cell>
          <cell r="C3234">
            <v>0</v>
          </cell>
          <cell r="D3234" t="e">
            <v>#VALUE!</v>
          </cell>
          <cell r="E3234" t="e">
            <v>#VALUE!</v>
          </cell>
          <cell r="F3234">
            <v>0</v>
          </cell>
        </row>
        <row r="3235">
          <cell r="A3235" t="str">
            <v>RAFCGS6A</v>
          </cell>
          <cell r="B3235">
            <v>-1.4430626056808201E-6</v>
          </cell>
          <cell r="C3235">
            <v>0</v>
          </cell>
          <cell r="D3235" t="e">
            <v>#VALUE!</v>
          </cell>
          <cell r="E3235" t="e">
            <v>#VALUE!</v>
          </cell>
          <cell r="F3235">
            <v>0</v>
          </cell>
        </row>
        <row r="3236">
          <cell r="A3236" t="str">
            <v>RAFCGS7A</v>
          </cell>
          <cell r="B3236">
            <v>0</v>
          </cell>
          <cell r="C3236">
            <v>0</v>
          </cell>
          <cell r="D3236" t="e">
            <v>#VALUE!</v>
          </cell>
          <cell r="E3236" t="e">
            <v>#VALUE!</v>
          </cell>
          <cell r="F3236">
            <v>0</v>
          </cell>
        </row>
        <row r="3237">
          <cell r="A3237" t="str">
            <v>RAFCPG1A</v>
          </cell>
          <cell r="B3237">
            <v>-1.341757258656076E-3</v>
          </cell>
          <cell r="C3237">
            <v>0</v>
          </cell>
          <cell r="D3237" t="e">
            <v>#VALUE!</v>
          </cell>
          <cell r="E3237" t="e">
            <v>#VALUE!</v>
          </cell>
          <cell r="F3237">
            <v>0</v>
          </cell>
        </row>
        <row r="3238">
          <cell r="A3238" t="str">
            <v>RAFCPG2A</v>
          </cell>
          <cell r="B3238">
            <v>7.2790907810710066E-6</v>
          </cell>
          <cell r="C3238">
            <v>0</v>
          </cell>
          <cell r="D3238" t="e">
            <v>#VALUE!</v>
          </cell>
          <cell r="E3238" t="e">
            <v>#VALUE!</v>
          </cell>
          <cell r="F3238">
            <v>0</v>
          </cell>
        </row>
        <row r="3239">
          <cell r="A3239" t="str">
            <v>RAFCAR1A</v>
          </cell>
          <cell r="B3239">
            <v>1.0685440274880408E-3</v>
          </cell>
          <cell r="C3239">
            <v>0</v>
          </cell>
          <cell r="D3239" t="e">
            <v>#VALUE!</v>
          </cell>
          <cell r="E3239" t="e">
            <v>#VALUE!</v>
          </cell>
          <cell r="F3239">
            <v>0</v>
          </cell>
        </row>
        <row r="3240">
          <cell r="A3240" t="str">
            <v>RAFCAR2A</v>
          </cell>
          <cell r="B3240">
            <v>3.2644123340815732E-6</v>
          </cell>
          <cell r="C3240">
            <v>0</v>
          </cell>
          <cell r="D3240" t="e">
            <v>#VALUE!</v>
          </cell>
          <cell r="E3240" t="e">
            <v>#VALUE!</v>
          </cell>
          <cell r="F3240">
            <v>0</v>
          </cell>
        </row>
        <row r="3241">
          <cell r="A3241" t="str">
            <v>RAFCAR3A</v>
          </cell>
          <cell r="B3241">
            <v>0</v>
          </cell>
          <cell r="C3241">
            <v>0</v>
          </cell>
          <cell r="D3241" t="e">
            <v>#VALUE!</v>
          </cell>
          <cell r="E3241" t="e">
            <v>#VALUE!</v>
          </cell>
          <cell r="F3241">
            <v>0</v>
          </cell>
        </row>
        <row r="3242">
          <cell r="A3242" t="str">
            <v>RAFCAR4A</v>
          </cell>
          <cell r="B3242">
            <v>2.695040496525495E-2</v>
          </cell>
          <cell r="C3242">
            <v>0</v>
          </cell>
          <cell r="D3242" t="e">
            <v>#VALUE!</v>
          </cell>
          <cell r="E3242" t="e">
            <v>#VALUE!</v>
          </cell>
          <cell r="F3242">
            <v>0</v>
          </cell>
        </row>
        <row r="3243">
          <cell r="A3243" t="str">
            <v>RAFCAR5A</v>
          </cell>
          <cell r="B3243">
            <v>0</v>
          </cell>
          <cell r="C3243">
            <v>0</v>
          </cell>
          <cell r="D3243" t="e">
            <v>#VALUE!</v>
          </cell>
          <cell r="E3243" t="e">
            <v>#VALUE!</v>
          </cell>
          <cell r="F3243">
            <v>0</v>
          </cell>
        </row>
        <row r="3244">
          <cell r="A3244" t="str">
            <v>RAFCAR6A</v>
          </cell>
          <cell r="B3244">
            <v>-2.0628129426338452E-7</v>
          </cell>
          <cell r="C3244">
            <v>0</v>
          </cell>
          <cell r="D3244" t="e">
            <v>#VALUE!</v>
          </cell>
          <cell r="E3244" t="e">
            <v>#VALUE!</v>
          </cell>
          <cell r="F3244">
            <v>0</v>
          </cell>
        </row>
        <row r="3245">
          <cell r="A3245" t="str">
            <v>RAFCAR7A</v>
          </cell>
          <cell r="B3245">
            <v>3.5627832692451392E-5</v>
          </cell>
          <cell r="C3245">
            <v>0</v>
          </cell>
          <cell r="D3245" t="e">
            <v>#VALUE!</v>
          </cell>
          <cell r="E3245" t="e">
            <v>#VALUE!</v>
          </cell>
          <cell r="F3245">
            <v>0</v>
          </cell>
        </row>
        <row r="3246">
          <cell r="A3246" t="str">
            <v>RAFCLVBA</v>
          </cell>
          <cell r="B3246">
            <v>-7.6345763008161253E-5</v>
          </cell>
          <cell r="C3246">
            <v>0</v>
          </cell>
          <cell r="D3246" t="e">
            <v>#VALUE!</v>
          </cell>
          <cell r="E3246" t="e">
            <v>#VALUE!</v>
          </cell>
          <cell r="F3246">
            <v>0</v>
          </cell>
        </row>
        <row r="3247">
          <cell r="A3247" t="str">
            <v>RAFCLV1A</v>
          </cell>
          <cell r="B3247">
            <v>-5.5764367401349012E-4</v>
          </cell>
          <cell r="C3247">
            <v>0</v>
          </cell>
          <cell r="D3247" t="e">
            <v>#VALUE!</v>
          </cell>
          <cell r="E3247" t="e">
            <v>#VALUE!</v>
          </cell>
          <cell r="F3247">
            <v>0</v>
          </cell>
        </row>
        <row r="3248">
          <cell r="A3248" t="str">
            <v>RAFCLV2A</v>
          </cell>
          <cell r="B3248">
            <v>-2.4003031671470613E-6</v>
          </cell>
          <cell r="C3248">
            <v>0</v>
          </cell>
          <cell r="D3248" t="e">
            <v>#VALUE!</v>
          </cell>
          <cell r="E3248" t="e">
            <v>#VALUE!</v>
          </cell>
          <cell r="F3248">
            <v>0</v>
          </cell>
        </row>
        <row r="3249">
          <cell r="A3249" t="str">
            <v>RAFCLV3A</v>
          </cell>
          <cell r="B3249">
            <v>0</v>
          </cell>
          <cell r="C3249">
            <v>0</v>
          </cell>
          <cell r="D3249" t="e">
            <v>#VALUE!</v>
          </cell>
          <cell r="E3249" t="e">
            <v>#VALUE!</v>
          </cell>
          <cell r="F3249">
            <v>0</v>
          </cell>
        </row>
        <row r="3250">
          <cell r="A3250" t="str">
            <v>RAFCLV4A</v>
          </cell>
          <cell r="B3250">
            <v>-2.7484231416378424E-3</v>
          </cell>
          <cell r="C3250">
            <v>0</v>
          </cell>
          <cell r="D3250" t="e">
            <v>#VALUE!</v>
          </cell>
          <cell r="E3250" t="e">
            <v>#VALUE!</v>
          </cell>
          <cell r="F3250">
            <v>0</v>
          </cell>
        </row>
        <row r="3251">
          <cell r="A3251" t="str">
            <v>RAFCLV5A</v>
          </cell>
          <cell r="B3251">
            <v>0</v>
          </cell>
          <cell r="C3251">
            <v>0</v>
          </cell>
          <cell r="D3251" t="e">
            <v>#VALUE!</v>
          </cell>
          <cell r="E3251" t="e">
            <v>#VALUE!</v>
          </cell>
          <cell r="F3251">
            <v>0</v>
          </cell>
        </row>
        <row r="3252">
          <cell r="A3252" t="str">
            <v>RAFCLV6A</v>
          </cell>
          <cell r="B3252">
            <v>-7.531056000940001E-6</v>
          </cell>
          <cell r="C3252">
            <v>0</v>
          </cell>
          <cell r="D3252" t="e">
            <v>#VALUE!</v>
          </cell>
          <cell r="E3252" t="e">
            <v>#VALUE!</v>
          </cell>
          <cell r="F3252">
            <v>0</v>
          </cell>
        </row>
        <row r="3253">
          <cell r="A3253" t="str">
            <v>RAFCLV7A</v>
          </cell>
          <cell r="B3253">
            <v>5.3210401379707432E-5</v>
          </cell>
          <cell r="C3253">
            <v>0</v>
          </cell>
          <cell r="D3253" t="e">
            <v>#VALUE!</v>
          </cell>
          <cell r="E3253" t="e">
            <v>#VALUE!</v>
          </cell>
          <cell r="F3253">
            <v>0</v>
          </cell>
        </row>
        <row r="3254">
          <cell r="A3254" t="str">
            <v>RAFCPVBA</v>
          </cell>
          <cell r="B3254">
            <v>3.7222292113966268E-3</v>
          </cell>
          <cell r="C3254">
            <v>0</v>
          </cell>
          <cell r="D3254" t="e">
            <v>#VALUE!</v>
          </cell>
          <cell r="E3254" t="e">
            <v>#VALUE!</v>
          </cell>
          <cell r="F3254">
            <v>0</v>
          </cell>
        </row>
        <row r="3255">
          <cell r="A3255" t="str">
            <v>RAFCDVLA</v>
          </cell>
          <cell r="B3255">
            <v>3.3647535325784123E-8</v>
          </cell>
          <cell r="C3255">
            <v>0</v>
          </cell>
          <cell r="D3255" t="e">
            <v>#VALUE!</v>
          </cell>
          <cell r="E3255" t="e">
            <v>#VALUE!</v>
          </cell>
          <cell r="F3255">
            <v>0</v>
          </cell>
        </row>
        <row r="3256">
          <cell r="A3256" t="str">
            <v>RAFCPV1A</v>
          </cell>
          <cell r="B3256">
            <v>-6.4381690061627651E-4</v>
          </cell>
          <cell r="C3256">
            <v>0</v>
          </cell>
          <cell r="D3256" t="e">
            <v>#VALUE!</v>
          </cell>
          <cell r="E3256" t="e">
            <v>#VALUE!</v>
          </cell>
          <cell r="F3256">
            <v>0</v>
          </cell>
        </row>
        <row r="3257">
          <cell r="A3257" t="str">
            <v>RAFCPV2A</v>
          </cell>
          <cell r="B3257">
            <v>2.9403714245135022E-6</v>
          </cell>
          <cell r="C3257">
            <v>0</v>
          </cell>
          <cell r="D3257" t="e">
            <v>#VALUE!</v>
          </cell>
          <cell r="E3257" t="e">
            <v>#VALUE!</v>
          </cell>
          <cell r="F3257">
            <v>0</v>
          </cell>
        </row>
        <row r="3258">
          <cell r="A3258" t="str">
            <v>RAFCPV3A</v>
          </cell>
          <cell r="B3258">
            <v>0</v>
          </cell>
          <cell r="C3258">
            <v>0</v>
          </cell>
          <cell r="D3258" t="e">
            <v>#VALUE!</v>
          </cell>
          <cell r="E3258" t="e">
            <v>#VALUE!</v>
          </cell>
          <cell r="F3258">
            <v>0</v>
          </cell>
        </row>
        <row r="3259">
          <cell r="A3259" t="str">
            <v>RAFCPV4A</v>
          </cell>
          <cell r="B3259">
            <v>-4.2095412312024467E-3</v>
          </cell>
          <cell r="C3259">
            <v>0</v>
          </cell>
          <cell r="D3259" t="e">
            <v>#VALUE!</v>
          </cell>
          <cell r="E3259" t="e">
            <v>#VALUE!</v>
          </cell>
          <cell r="F3259">
            <v>0</v>
          </cell>
        </row>
        <row r="3260">
          <cell r="A3260" t="str">
            <v>RAFCPV5A</v>
          </cell>
          <cell r="B3260">
            <v>0</v>
          </cell>
          <cell r="C3260">
            <v>0</v>
          </cell>
          <cell r="D3260" t="e">
            <v>#VALUE!</v>
          </cell>
          <cell r="E3260" t="e">
            <v>#VALUE!</v>
          </cell>
          <cell r="F3260">
            <v>0</v>
          </cell>
        </row>
        <row r="3261">
          <cell r="A3261" t="str">
            <v>RAFCPV6A</v>
          </cell>
          <cell r="B3261">
            <v>6.8390086186226705E-8</v>
          </cell>
          <cell r="C3261">
            <v>0</v>
          </cell>
          <cell r="D3261" t="e">
            <v>#VALUE!</v>
          </cell>
          <cell r="E3261" t="e">
            <v>#VALUE!</v>
          </cell>
          <cell r="F3261">
            <v>0</v>
          </cell>
        </row>
        <row r="3262">
          <cell r="A3262" t="str">
            <v>RAFCPV7A</v>
          </cell>
          <cell r="B3262">
            <v>1.0503270503449292E-4</v>
          </cell>
          <cell r="C3262">
            <v>0</v>
          </cell>
          <cell r="D3262" t="e">
            <v>#VALUE!</v>
          </cell>
          <cell r="E3262" t="e">
            <v>#VALUE!</v>
          </cell>
          <cell r="F3262">
            <v>0</v>
          </cell>
        </row>
        <row r="3263">
          <cell r="A3263" t="str">
            <v>RAFCVRBA</v>
          </cell>
          <cell r="B3263">
            <v>-7.130132917927144E-3</v>
          </cell>
          <cell r="C3263">
            <v>0</v>
          </cell>
          <cell r="D3263" t="e">
            <v>#VALUE!</v>
          </cell>
          <cell r="E3263" t="e">
            <v>#VALUE!</v>
          </cell>
          <cell r="F3263">
            <v>0</v>
          </cell>
        </row>
        <row r="3264">
          <cell r="A3264" t="str">
            <v>RAFCFCLA</v>
          </cell>
          <cell r="B3264">
            <v>-3.4942418068272295E-8</v>
          </cell>
          <cell r="C3264">
            <v>0</v>
          </cell>
          <cell r="D3264" t="e">
            <v>#VALUE!</v>
          </cell>
          <cell r="E3264" t="e">
            <v>#VALUE!</v>
          </cell>
          <cell r="F3264">
            <v>0</v>
          </cell>
        </row>
        <row r="3265">
          <cell r="A3265" t="str">
            <v>RAFCVR1A</v>
          </cell>
          <cell r="B3265">
            <v>2.1350149394468282E-3</v>
          </cell>
          <cell r="C3265">
            <v>0</v>
          </cell>
          <cell r="D3265" t="e">
            <v>#VALUE!</v>
          </cell>
          <cell r="E3265" t="e">
            <v>#VALUE!</v>
          </cell>
          <cell r="F3265">
            <v>0</v>
          </cell>
        </row>
        <row r="3266">
          <cell r="A3266" t="str">
            <v>RAFCVR2A</v>
          </cell>
          <cell r="B3266">
            <v>3.276413784464837E-6</v>
          </cell>
          <cell r="C3266">
            <v>0</v>
          </cell>
          <cell r="D3266" t="e">
            <v>#VALUE!</v>
          </cell>
          <cell r="E3266" t="e">
            <v>#VALUE!</v>
          </cell>
          <cell r="F3266">
            <v>0</v>
          </cell>
        </row>
        <row r="3267">
          <cell r="A3267" t="str">
            <v>RAFCVR3A</v>
          </cell>
          <cell r="B3267">
            <v>0</v>
          </cell>
          <cell r="C3267">
            <v>0</v>
          </cell>
          <cell r="D3267" t="e">
            <v>#VALUE!</v>
          </cell>
          <cell r="E3267" t="e">
            <v>#VALUE!</v>
          </cell>
          <cell r="F3267">
            <v>0</v>
          </cell>
        </row>
        <row r="3268">
          <cell r="A3268" t="str">
            <v>RAFCVR4A</v>
          </cell>
          <cell r="B3268">
            <v>1.4868860154680601E-2</v>
          </cell>
          <cell r="C3268">
            <v>0</v>
          </cell>
          <cell r="D3268" t="e">
            <v>#VALUE!</v>
          </cell>
          <cell r="E3268" t="e">
            <v>#VALUE!</v>
          </cell>
          <cell r="F3268">
            <v>0</v>
          </cell>
        </row>
        <row r="3269">
          <cell r="A3269" t="str">
            <v>RAFCVR5A</v>
          </cell>
          <cell r="B3269">
            <v>0</v>
          </cell>
          <cell r="C3269">
            <v>0</v>
          </cell>
          <cell r="D3269" t="e">
            <v>#VALUE!</v>
          </cell>
          <cell r="E3269" t="e">
            <v>#VALUE!</v>
          </cell>
          <cell r="F3269">
            <v>0</v>
          </cell>
        </row>
        <row r="3270">
          <cell r="A3270" t="str">
            <v>RAFCVR6A</v>
          </cell>
          <cell r="B3270">
            <v>-1.224652301479586E-7</v>
          </cell>
          <cell r="C3270">
            <v>0</v>
          </cell>
          <cell r="D3270" t="e">
            <v>#VALUE!</v>
          </cell>
          <cell r="E3270" t="e">
            <v>#VALUE!</v>
          </cell>
          <cell r="F3270">
            <v>0</v>
          </cell>
        </row>
        <row r="3271">
          <cell r="A3271" t="str">
            <v>RAFCVR7A</v>
          </cell>
          <cell r="B3271">
            <v>-1.7212407862008487E-5</v>
          </cell>
          <cell r="C3271">
            <v>0</v>
          </cell>
          <cell r="D3271" t="e">
            <v>#VALUE!</v>
          </cell>
          <cell r="E3271" t="e">
            <v>#VALUE!</v>
          </cell>
          <cell r="F3271">
            <v>0</v>
          </cell>
        </row>
        <row r="3272">
          <cell r="A3272" t="str">
            <v>RAFCVR9A</v>
          </cell>
          <cell r="B3272">
            <v>2.4976954431422949E-3</v>
          </cell>
          <cell r="C3272">
            <v>0</v>
          </cell>
          <cell r="D3272" t="e">
            <v>#VALUE!</v>
          </cell>
          <cell r="E3272" t="e">
            <v>#VALUE!</v>
          </cell>
          <cell r="F3272">
            <v>0</v>
          </cell>
        </row>
        <row r="3273">
          <cell r="A3273" t="str">
            <v>RAFCCFAA</v>
          </cell>
          <cell r="B3273">
            <v>1.3718501461170651E-2</v>
          </cell>
          <cell r="C3273">
            <v>0</v>
          </cell>
          <cell r="D3273" t="e">
            <v>#VALUE!</v>
          </cell>
          <cell r="E3273" t="e">
            <v>#VALUE!</v>
          </cell>
          <cell r="F3273">
            <v>0</v>
          </cell>
        </row>
        <row r="3274">
          <cell r="A3274" t="str">
            <v>RAFCCWAA</v>
          </cell>
          <cell r="B3274">
            <v>1.3718501461170651E-2</v>
          </cell>
          <cell r="C3274">
            <v>0</v>
          </cell>
          <cell r="D3274" t="e">
            <v>#VALUE!</v>
          </cell>
          <cell r="E3274" t="e">
            <v>#VALUE!</v>
          </cell>
          <cell r="F3274">
            <v>0</v>
          </cell>
        </row>
        <row r="3275">
          <cell r="A3275" t="str">
            <v>RAFCCZAA</v>
          </cell>
          <cell r="B3275">
            <v>1.3718501461170651E-2</v>
          </cell>
          <cell r="C3275">
            <v>0</v>
          </cell>
          <cell r="D3275" t="e">
            <v>#VALUE!</v>
          </cell>
          <cell r="E3275" t="e">
            <v>#VALUE!</v>
          </cell>
          <cell r="F3275">
            <v>0</v>
          </cell>
        </row>
        <row r="3276">
          <cell r="A3276" t="str">
            <v>RAFCCFBA</v>
          </cell>
          <cell r="B3276">
            <v>-1.4844939211098005E-2</v>
          </cell>
          <cell r="C3276">
            <v>0</v>
          </cell>
          <cell r="D3276" t="e">
            <v>#VALUE!</v>
          </cell>
          <cell r="E3276" t="e">
            <v>#VALUE!</v>
          </cell>
          <cell r="F3276">
            <v>0</v>
          </cell>
        </row>
        <row r="3277">
          <cell r="A3277" t="str">
            <v>RAFCCXBA</v>
          </cell>
          <cell r="B3277">
            <v>-1.4844939211098005E-2</v>
          </cell>
          <cell r="C3277">
            <v>0</v>
          </cell>
          <cell r="D3277" t="e">
            <v>#VALUE!</v>
          </cell>
          <cell r="E3277" t="e">
            <v>#VALUE!</v>
          </cell>
          <cell r="F3277">
            <v>0</v>
          </cell>
        </row>
        <row r="3278">
          <cell r="A3278" t="str">
            <v>RAFCCYBA</v>
          </cell>
          <cell r="B3278">
            <v>-1.4844939211098005E-2</v>
          </cell>
          <cell r="C3278">
            <v>0</v>
          </cell>
          <cell r="D3278" t="e">
            <v>#VALUE!</v>
          </cell>
          <cell r="E3278" t="e">
            <v>#VALUE!</v>
          </cell>
          <cell r="F3278">
            <v>0</v>
          </cell>
        </row>
        <row r="3279">
          <cell r="A3279" t="str">
            <v>RAPISG3A</v>
          </cell>
          <cell r="B3279">
            <v>0</v>
          </cell>
          <cell r="C3279">
            <v>0</v>
          </cell>
          <cell r="D3279" t="e">
            <v>#VALUE!</v>
          </cell>
          <cell r="E3279" t="e">
            <v>#VALUE!</v>
          </cell>
          <cell r="F3279">
            <v>0</v>
          </cell>
        </row>
        <row r="3280">
          <cell r="A3280" t="str">
            <v>RAPISG4A</v>
          </cell>
          <cell r="B3280">
            <v>-7.6506790905961233E-4</v>
          </cell>
          <cell r="C3280">
            <v>0</v>
          </cell>
          <cell r="D3280" t="e">
            <v>#VALUE!</v>
          </cell>
          <cell r="E3280" t="e">
            <v>#VALUE!</v>
          </cell>
          <cell r="F3280">
            <v>0</v>
          </cell>
        </row>
        <row r="3281">
          <cell r="A3281" t="str">
            <v>RAPISG5A</v>
          </cell>
          <cell r="B3281">
            <v>0</v>
          </cell>
          <cell r="C3281">
            <v>0</v>
          </cell>
          <cell r="D3281" t="e">
            <v>#VALUE!</v>
          </cell>
          <cell r="E3281" t="e">
            <v>#VALUE!</v>
          </cell>
          <cell r="F3281">
            <v>0</v>
          </cell>
        </row>
        <row r="3282">
          <cell r="A3282" t="str">
            <v>RAPISG6A</v>
          </cell>
          <cell r="B3282">
            <v>1.2158018357508372E-6</v>
          </cell>
          <cell r="C3282">
            <v>0</v>
          </cell>
          <cell r="D3282" t="e">
            <v>#VALUE!</v>
          </cell>
          <cell r="E3282" t="e">
            <v>#VALUE!</v>
          </cell>
          <cell r="F3282">
            <v>0</v>
          </cell>
        </row>
        <row r="3283">
          <cell r="A3283" t="str">
            <v>RAPISG7A</v>
          </cell>
          <cell r="B3283">
            <v>-4.6269911875504175E-6</v>
          </cell>
          <cell r="C3283">
            <v>0</v>
          </cell>
          <cell r="D3283" t="e">
            <v>#VALUE!</v>
          </cell>
          <cell r="E3283" t="e">
            <v>#VALUE!</v>
          </cell>
          <cell r="F3283">
            <v>0</v>
          </cell>
        </row>
        <row r="3284">
          <cell r="A3284" t="str">
            <v>RAPILG1A</v>
          </cell>
          <cell r="B3284">
            <v>-7.8235366276053911E-4</v>
          </cell>
          <cell r="C3284">
            <v>0</v>
          </cell>
          <cell r="D3284" t="e">
            <v>#VALUE!</v>
          </cell>
          <cell r="E3284" t="e">
            <v>#VALUE!</v>
          </cell>
          <cell r="F3284">
            <v>0</v>
          </cell>
        </row>
        <row r="3285">
          <cell r="A3285" t="str">
            <v>RAPILG2A</v>
          </cell>
          <cell r="B3285">
            <v>-3.2217833395307401E-3</v>
          </cell>
          <cell r="C3285">
            <v>0</v>
          </cell>
          <cell r="D3285" t="e">
            <v>#VALUE!</v>
          </cell>
          <cell r="E3285" t="e">
            <v>#VALUE!</v>
          </cell>
          <cell r="F3285">
            <v>0</v>
          </cell>
        </row>
        <row r="3286">
          <cell r="A3286" t="str">
            <v>RAPILG3A</v>
          </cell>
          <cell r="B3286">
            <v>-8.2770064780137765E-5</v>
          </cell>
          <cell r="C3286">
            <v>0</v>
          </cell>
          <cell r="D3286" t="e">
            <v>#VALUE!</v>
          </cell>
          <cell r="E3286" t="e">
            <v>#VALUE!</v>
          </cell>
          <cell r="F3286">
            <v>0</v>
          </cell>
        </row>
        <row r="3287">
          <cell r="A3287" t="str">
            <v>RAPIGS1A</v>
          </cell>
          <cell r="B3287">
            <v>-1.0466272178225554E-4</v>
          </cell>
          <cell r="C3287">
            <v>0</v>
          </cell>
          <cell r="D3287" t="e">
            <v>#VALUE!</v>
          </cell>
          <cell r="E3287" t="e">
            <v>#VALUE!</v>
          </cell>
          <cell r="F3287">
            <v>0</v>
          </cell>
        </row>
        <row r="3288">
          <cell r="A3288" t="str">
            <v>RAPIGS2A</v>
          </cell>
          <cell r="B3288">
            <v>-9.6012127785374327E-7</v>
          </cell>
          <cell r="C3288">
            <v>0</v>
          </cell>
          <cell r="D3288" t="e">
            <v>#VALUE!</v>
          </cell>
          <cell r="E3288" t="e">
            <v>#VALUE!</v>
          </cell>
          <cell r="F3288">
            <v>0</v>
          </cell>
        </row>
        <row r="3289">
          <cell r="A3289" t="str">
            <v>RAPIGS3A</v>
          </cell>
          <cell r="B3289">
            <v>0</v>
          </cell>
          <cell r="C3289">
            <v>0</v>
          </cell>
          <cell r="D3289" t="e">
            <v>#VALUE!</v>
          </cell>
          <cell r="E3289" t="e">
            <v>#VALUE!</v>
          </cell>
          <cell r="F3289">
            <v>0</v>
          </cell>
        </row>
        <row r="3290">
          <cell r="A3290" t="str">
            <v>RAPIGS4A</v>
          </cell>
          <cell r="B3290">
            <v>4.1347012395830185E-3</v>
          </cell>
          <cell r="C3290">
            <v>0</v>
          </cell>
          <cell r="D3290" t="e">
            <v>#VALUE!</v>
          </cell>
          <cell r="E3290" t="e">
            <v>#VALUE!</v>
          </cell>
          <cell r="F3290">
            <v>0</v>
          </cell>
        </row>
        <row r="3291">
          <cell r="A3291" t="str">
            <v>RAPIGS5A</v>
          </cell>
          <cell r="B3291">
            <v>0</v>
          </cell>
          <cell r="C3291">
            <v>0</v>
          </cell>
          <cell r="D3291" t="e">
            <v>#VALUE!</v>
          </cell>
          <cell r="E3291" t="e">
            <v>#VALUE!</v>
          </cell>
          <cell r="F3291">
            <v>0</v>
          </cell>
        </row>
        <row r="3292">
          <cell r="A3292" t="str">
            <v>RAPIGS6A</v>
          </cell>
          <cell r="B3292">
            <v>2.9114986842016572E-7</v>
          </cell>
          <cell r="C3292">
            <v>0</v>
          </cell>
          <cell r="D3292" t="e">
            <v>#VALUE!</v>
          </cell>
          <cell r="E3292" t="e">
            <v>#VALUE!</v>
          </cell>
          <cell r="F3292">
            <v>0</v>
          </cell>
        </row>
        <row r="3293">
          <cell r="A3293" t="str">
            <v>RAPIGS7A</v>
          </cell>
          <cell r="B3293">
            <v>2.3134955937752087E-6</v>
          </cell>
          <cell r="C3293">
            <v>0</v>
          </cell>
          <cell r="D3293" t="e">
            <v>#VALUE!</v>
          </cell>
          <cell r="E3293" t="e">
            <v>#VALUE!</v>
          </cell>
          <cell r="F3293">
            <v>0</v>
          </cell>
        </row>
        <row r="3294">
          <cell r="A3294" t="str">
            <v>RAPIPG1A</v>
          </cell>
          <cell r="B3294">
            <v>-5.7427409395243816E-3</v>
          </cell>
          <cell r="C3294">
            <v>0</v>
          </cell>
          <cell r="D3294" t="e">
            <v>#VALUE!</v>
          </cell>
          <cell r="E3294" t="e">
            <v>#VALUE!</v>
          </cell>
          <cell r="F3294">
            <v>0</v>
          </cell>
        </row>
        <row r="3295">
          <cell r="A3295" t="str">
            <v>RAPIPG2A</v>
          </cell>
          <cell r="B3295">
            <v>-1.1639070394827684E-5</v>
          </cell>
          <cell r="C3295">
            <v>0</v>
          </cell>
          <cell r="D3295" t="e">
            <v>#VALUE!</v>
          </cell>
          <cell r="E3295" t="e">
            <v>#VALUE!</v>
          </cell>
          <cell r="F3295">
            <v>0</v>
          </cell>
        </row>
        <row r="3296">
          <cell r="A3296" t="str">
            <v>RAPIAR1A</v>
          </cell>
          <cell r="B3296">
            <v>2.8329814664673856E-3</v>
          </cell>
          <cell r="C3296">
            <v>0</v>
          </cell>
          <cell r="D3296" t="e">
            <v>#VALUE!</v>
          </cell>
          <cell r="E3296" t="e">
            <v>#VALUE!</v>
          </cell>
          <cell r="F3296">
            <v>0</v>
          </cell>
        </row>
        <row r="3297">
          <cell r="A3297" t="str">
            <v>RAPIAR2A</v>
          </cell>
          <cell r="B3297">
            <v>1.4533835799315281E-5</v>
          </cell>
          <cell r="C3297">
            <v>0</v>
          </cell>
          <cell r="D3297" t="e">
            <v>#VALUE!</v>
          </cell>
          <cell r="E3297" t="e">
            <v>#VALUE!</v>
          </cell>
          <cell r="F3297">
            <v>0</v>
          </cell>
        </row>
        <row r="3298">
          <cell r="A3298" t="str">
            <v>RAPIAR3A</v>
          </cell>
          <cell r="B3298">
            <v>0</v>
          </cell>
          <cell r="C3298">
            <v>0</v>
          </cell>
          <cell r="D3298" t="e">
            <v>#VALUE!</v>
          </cell>
          <cell r="E3298" t="e">
            <v>#VALUE!</v>
          </cell>
          <cell r="F3298">
            <v>0</v>
          </cell>
        </row>
        <row r="3299">
          <cell r="A3299" t="str">
            <v>RAPIAR4A</v>
          </cell>
          <cell r="B3299">
            <v>9.58407047389662E-3</v>
          </cell>
          <cell r="C3299">
            <v>0</v>
          </cell>
          <cell r="D3299" t="e">
            <v>#VALUE!</v>
          </cell>
          <cell r="E3299" t="e">
            <v>#VALUE!</v>
          </cell>
          <cell r="F3299">
            <v>0</v>
          </cell>
        </row>
        <row r="3300">
          <cell r="A3300" t="str">
            <v>RAPIAR5A</v>
          </cell>
          <cell r="B3300">
            <v>0</v>
          </cell>
          <cell r="C3300">
            <v>0</v>
          </cell>
          <cell r="D3300" t="e">
            <v>#VALUE!</v>
          </cell>
          <cell r="E3300" t="e">
            <v>#VALUE!</v>
          </cell>
          <cell r="F3300">
            <v>0</v>
          </cell>
        </row>
        <row r="3301">
          <cell r="A3301" t="str">
            <v>RAPIAR6A</v>
          </cell>
          <cell r="B3301">
            <v>-2.0254270246134062E-7</v>
          </cell>
          <cell r="C3301">
            <v>0</v>
          </cell>
          <cell r="D3301" t="e">
            <v>#VALUE!</v>
          </cell>
          <cell r="E3301" t="e">
            <v>#VALUE!</v>
          </cell>
          <cell r="F3301">
            <v>0</v>
          </cell>
        </row>
        <row r="3302">
          <cell r="A3302" t="str">
            <v>RAPIAR7A</v>
          </cell>
          <cell r="B3302">
            <v>2.7197456108533766E-4</v>
          </cell>
          <cell r="C3302">
            <v>0</v>
          </cell>
          <cell r="D3302" t="e">
            <v>#VALUE!</v>
          </cell>
          <cell r="E3302" t="e">
            <v>#VALUE!</v>
          </cell>
          <cell r="F3302">
            <v>0</v>
          </cell>
        </row>
        <row r="3303">
          <cell r="A3303" t="str">
            <v>RAPILVBA</v>
          </cell>
          <cell r="B3303">
            <v>-4.9642942188792439E-3</v>
          </cell>
          <cell r="C3303">
            <v>0</v>
          </cell>
          <cell r="D3303" t="e">
            <v>#VALUE!</v>
          </cell>
          <cell r="E3303" t="e">
            <v>#VALUE!</v>
          </cell>
          <cell r="F3303">
            <v>0</v>
          </cell>
        </row>
        <row r="3304">
          <cell r="A3304" t="str">
            <v>RAPILV1A</v>
          </cell>
          <cell r="B3304">
            <v>-6.3033012953283478E-4</v>
          </cell>
          <cell r="C3304">
            <v>0</v>
          </cell>
          <cell r="D3304" t="e">
            <v>#VALUE!</v>
          </cell>
          <cell r="E3304" t="e">
            <v>#VALUE!</v>
          </cell>
          <cell r="F3304">
            <v>0</v>
          </cell>
        </row>
        <row r="3305">
          <cell r="A3305" t="str">
            <v>RAPILV2A</v>
          </cell>
          <cell r="B3305">
            <v>1.8002273747373544E-6</v>
          </cell>
          <cell r="C3305">
            <v>0</v>
          </cell>
          <cell r="D3305" t="e">
            <v>#VALUE!</v>
          </cell>
          <cell r="E3305" t="e">
            <v>#VALUE!</v>
          </cell>
          <cell r="F3305">
            <v>0</v>
          </cell>
        </row>
        <row r="3306">
          <cell r="A3306" t="str">
            <v>RAPILV3A</v>
          </cell>
          <cell r="B3306">
            <v>0</v>
          </cell>
          <cell r="C3306">
            <v>0</v>
          </cell>
          <cell r="D3306" t="e">
            <v>#VALUE!</v>
          </cell>
          <cell r="E3306" t="e">
            <v>#VALUE!</v>
          </cell>
          <cell r="F3306">
            <v>0</v>
          </cell>
        </row>
        <row r="3307">
          <cell r="A3307" t="str">
            <v>RAPILV4A</v>
          </cell>
          <cell r="B3307">
            <v>-3.1173499006050803E-3</v>
          </cell>
          <cell r="C3307">
            <v>0</v>
          </cell>
          <cell r="D3307" t="e">
            <v>#VALUE!</v>
          </cell>
          <cell r="E3307" t="e">
            <v>#VALUE!</v>
          </cell>
          <cell r="F3307">
            <v>0</v>
          </cell>
        </row>
        <row r="3308">
          <cell r="A3308" t="str">
            <v>RAPILV5A</v>
          </cell>
          <cell r="B3308">
            <v>0</v>
          </cell>
          <cell r="C3308">
            <v>0</v>
          </cell>
          <cell r="D3308" t="e">
            <v>#VALUE!</v>
          </cell>
          <cell r="E3308" t="e">
            <v>#VALUE!</v>
          </cell>
          <cell r="F3308">
            <v>0</v>
          </cell>
        </row>
        <row r="3309">
          <cell r="A3309" t="str">
            <v>RAPILV6A</v>
          </cell>
          <cell r="B3309">
            <v>1.8985724963298806E-5</v>
          </cell>
          <cell r="C3309">
            <v>0</v>
          </cell>
          <cell r="D3309" t="e">
            <v>#VALUE!</v>
          </cell>
          <cell r="E3309" t="e">
            <v>#VALUE!</v>
          </cell>
          <cell r="F3309">
            <v>0</v>
          </cell>
        </row>
        <row r="3310">
          <cell r="A3310" t="str">
            <v>RAPILV7A</v>
          </cell>
          <cell r="B3310">
            <v>2.0358761859625541E-5</v>
          </cell>
          <cell r="C3310">
            <v>0</v>
          </cell>
          <cell r="D3310" t="e">
            <v>#VALUE!</v>
          </cell>
          <cell r="E3310" t="e">
            <v>#VALUE!</v>
          </cell>
          <cell r="F3310">
            <v>0</v>
          </cell>
        </row>
        <row r="3311">
          <cell r="A3311" t="str">
            <v>RAPIPVBA</v>
          </cell>
          <cell r="B3311">
            <v>4.5221049898728242E-3</v>
          </cell>
          <cell r="C3311">
            <v>0</v>
          </cell>
          <cell r="D3311" t="e">
            <v>#VALUE!</v>
          </cell>
          <cell r="E3311" t="e">
            <v>#VALUE!</v>
          </cell>
          <cell r="F3311">
            <v>0</v>
          </cell>
        </row>
        <row r="3312">
          <cell r="A3312" t="str">
            <v>RAPIDVLA</v>
          </cell>
          <cell r="B3312">
            <v>4.1154684455138555E-8</v>
          </cell>
          <cell r="C3312">
            <v>0</v>
          </cell>
          <cell r="D3312" t="e">
            <v>#VALUE!</v>
          </cell>
          <cell r="E3312" t="e">
            <v>#VALUE!</v>
          </cell>
          <cell r="F3312">
            <v>0</v>
          </cell>
        </row>
        <row r="3313">
          <cell r="A3313" t="str">
            <v>RAPIPV1A</v>
          </cell>
          <cell r="B3313">
            <v>-1.0163229247840194E-3</v>
          </cell>
          <cell r="C3313">
            <v>0</v>
          </cell>
          <cell r="D3313" t="e">
            <v>#VALUE!</v>
          </cell>
          <cell r="E3313" t="e">
            <v>#VALUE!</v>
          </cell>
          <cell r="F3313">
            <v>0</v>
          </cell>
        </row>
        <row r="3314">
          <cell r="A3314" t="str">
            <v>RAPIPV2A</v>
          </cell>
          <cell r="B3314">
            <v>8.4010611105553185E-7</v>
          </cell>
          <cell r="C3314">
            <v>0</v>
          </cell>
          <cell r="D3314" t="e">
            <v>#VALUE!</v>
          </cell>
          <cell r="E3314" t="e">
            <v>#VALUE!</v>
          </cell>
          <cell r="F3314">
            <v>0</v>
          </cell>
        </row>
        <row r="3315">
          <cell r="A3315" t="str">
            <v>RAPIPV3A</v>
          </cell>
          <cell r="B3315">
            <v>0</v>
          </cell>
          <cell r="C3315">
            <v>0</v>
          </cell>
          <cell r="D3315" t="e">
            <v>#VALUE!</v>
          </cell>
          <cell r="E3315" t="e">
            <v>#VALUE!</v>
          </cell>
          <cell r="F3315">
            <v>0</v>
          </cell>
        </row>
        <row r="3316">
          <cell r="A3316" t="str">
            <v>RAPIPV4A</v>
          </cell>
          <cell r="B3316">
            <v>-2.926425636612032E-3</v>
          </cell>
          <cell r="C3316">
            <v>0</v>
          </cell>
          <cell r="D3316" t="e">
            <v>#VALUE!</v>
          </cell>
          <cell r="E3316" t="e">
            <v>#VALUE!</v>
          </cell>
          <cell r="F3316">
            <v>0</v>
          </cell>
        </row>
        <row r="3317">
          <cell r="A3317" t="str">
            <v>RAPIPV5A</v>
          </cell>
          <cell r="B3317">
            <v>0</v>
          </cell>
          <cell r="C3317">
            <v>0</v>
          </cell>
          <cell r="D3317" t="e">
            <v>#VALUE!</v>
          </cell>
          <cell r="E3317" t="e">
            <v>#VALUE!</v>
          </cell>
          <cell r="F3317">
            <v>0</v>
          </cell>
        </row>
        <row r="3318">
          <cell r="A3318" t="str">
            <v>RAPIPV6A</v>
          </cell>
          <cell r="B3318">
            <v>9.4406020769771444E-8</v>
          </cell>
          <cell r="C3318">
            <v>0</v>
          </cell>
          <cell r="D3318" t="e">
            <v>#VALUE!</v>
          </cell>
          <cell r="E3318" t="e">
            <v>#VALUE!</v>
          </cell>
          <cell r="F3318">
            <v>0</v>
          </cell>
        </row>
        <row r="3319">
          <cell r="A3319" t="str">
            <v>RAPIPV7A</v>
          </cell>
          <cell r="B3319">
            <v>6.431517859423304E-5</v>
          </cell>
          <cell r="C3319">
            <v>0</v>
          </cell>
          <cell r="D3319" t="e">
            <v>#VALUE!</v>
          </cell>
          <cell r="E3319" t="e">
            <v>#VALUE!</v>
          </cell>
          <cell r="F3319">
            <v>0</v>
          </cell>
        </row>
        <row r="3320">
          <cell r="A3320" t="str">
            <v>RAPIVRBA</v>
          </cell>
          <cell r="B3320">
            <v>-8.0019267457728718E-3</v>
          </cell>
          <cell r="C3320">
            <v>0</v>
          </cell>
          <cell r="D3320" t="e">
            <v>#VALUE!</v>
          </cell>
          <cell r="E3320" t="e">
            <v>#VALUE!</v>
          </cell>
          <cell r="F3320">
            <v>0</v>
          </cell>
        </row>
        <row r="3321">
          <cell r="A3321" t="str">
            <v>RAPIFCLA</v>
          </cell>
          <cell r="B3321">
            <v>-4.3135354188045036E-8</v>
          </cell>
          <cell r="C3321">
            <v>0</v>
          </cell>
          <cell r="D3321" t="e">
            <v>#VALUE!</v>
          </cell>
          <cell r="E3321" t="e">
            <v>#VALUE!</v>
          </cell>
          <cell r="F3321">
            <v>0</v>
          </cell>
        </row>
        <row r="3322">
          <cell r="A3322" t="str">
            <v>RAPIVR1A</v>
          </cell>
          <cell r="B3322">
            <v>1.3143177730093505E-3</v>
          </cell>
          <cell r="C3322">
            <v>0</v>
          </cell>
          <cell r="D3322" t="e">
            <v>#VALUE!</v>
          </cell>
          <cell r="E3322" t="e">
            <v>#VALUE!</v>
          </cell>
          <cell r="F3322">
            <v>0</v>
          </cell>
        </row>
        <row r="3323">
          <cell r="A3323" t="str">
            <v>RAPIVR2A</v>
          </cell>
          <cell r="B3323">
            <v>1.2361561602281728E-6</v>
          </cell>
          <cell r="C3323">
            <v>0</v>
          </cell>
          <cell r="D3323" t="e">
            <v>#VALUE!</v>
          </cell>
          <cell r="E3323" t="e">
            <v>#VALUE!</v>
          </cell>
          <cell r="F3323">
            <v>0</v>
          </cell>
        </row>
        <row r="3324">
          <cell r="A3324" t="str">
            <v>RAPIVR3A</v>
          </cell>
          <cell r="B3324">
            <v>0</v>
          </cell>
          <cell r="C3324">
            <v>0</v>
          </cell>
          <cell r="D3324" t="e">
            <v>#VALUE!</v>
          </cell>
          <cell r="E3324" t="e">
            <v>#VALUE!</v>
          </cell>
          <cell r="F3324">
            <v>0</v>
          </cell>
        </row>
        <row r="3325">
          <cell r="A3325" t="str">
            <v>RAPIVR4A</v>
          </cell>
          <cell r="B3325">
            <v>1.4657724832427011E-2</v>
          </cell>
          <cell r="C3325">
            <v>0</v>
          </cell>
          <cell r="D3325" t="e">
            <v>#VALUE!</v>
          </cell>
          <cell r="E3325" t="e">
            <v>#VALUE!</v>
          </cell>
          <cell r="F3325">
            <v>0</v>
          </cell>
        </row>
        <row r="3326">
          <cell r="A3326" t="str">
            <v>RAPIVR5A</v>
          </cell>
          <cell r="B3326">
            <v>0</v>
          </cell>
          <cell r="C3326">
            <v>0</v>
          </cell>
          <cell r="D3326" t="e">
            <v>#VALUE!</v>
          </cell>
          <cell r="E3326" t="e">
            <v>#VALUE!</v>
          </cell>
          <cell r="F3326">
            <v>0</v>
          </cell>
        </row>
        <row r="3327">
          <cell r="A3327" t="str">
            <v>RAPIVR6A</v>
          </cell>
          <cell r="B3327">
            <v>-1.4954714231917193E-8</v>
          </cell>
          <cell r="C3327">
            <v>0</v>
          </cell>
          <cell r="D3327" t="e">
            <v>#VALUE!</v>
          </cell>
          <cell r="E3327" t="e">
            <v>#VALUE!</v>
          </cell>
          <cell r="F3327">
            <v>0</v>
          </cell>
        </row>
        <row r="3328">
          <cell r="A3328" t="str">
            <v>RAPIVR7A</v>
          </cell>
          <cell r="B3328">
            <v>1.5083991207600227E-5</v>
          </cell>
          <cell r="C3328">
            <v>0</v>
          </cell>
          <cell r="D3328" t="e">
            <v>#VALUE!</v>
          </cell>
          <cell r="E3328" t="e">
            <v>#VALUE!</v>
          </cell>
          <cell r="F3328">
            <v>0</v>
          </cell>
        </row>
        <row r="3329">
          <cell r="A3329" t="str">
            <v>RAPIVR9A</v>
          </cell>
          <cell r="B3329">
            <v>3.1227838200172538E-3</v>
          </cell>
          <cell r="C3329">
            <v>0</v>
          </cell>
          <cell r="D3329" t="e">
            <v>#VALUE!</v>
          </cell>
          <cell r="E3329" t="e">
            <v>#VALUE!</v>
          </cell>
          <cell r="F3329">
            <v>0</v>
          </cell>
        </row>
        <row r="3330">
          <cell r="A3330" t="str">
            <v>RAPICFAA</v>
          </cell>
          <cell r="B3330">
            <v>1.2696926201349252E-2</v>
          </cell>
          <cell r="C3330">
            <v>0</v>
          </cell>
          <cell r="D3330" t="e">
            <v>#VALUE!</v>
          </cell>
          <cell r="E3330" t="e">
            <v>#VALUE!</v>
          </cell>
          <cell r="F3330">
            <v>0</v>
          </cell>
        </row>
        <row r="3331">
          <cell r="A3331" t="str">
            <v>RAPICWAA</v>
          </cell>
          <cell r="B3331">
            <v>1.2696926201349252E-2</v>
          </cell>
          <cell r="C3331">
            <v>0</v>
          </cell>
          <cell r="D3331" t="e">
            <v>#VALUE!</v>
          </cell>
          <cell r="E3331" t="e">
            <v>#VALUE!</v>
          </cell>
          <cell r="F3331">
            <v>0</v>
          </cell>
        </row>
        <row r="3332">
          <cell r="A3332" t="str">
            <v>RAPICZAA</v>
          </cell>
          <cell r="B3332">
            <v>1.2696926201349252E-2</v>
          </cell>
          <cell r="C3332">
            <v>0</v>
          </cell>
          <cell r="D3332" t="e">
            <v>#VALUE!</v>
          </cell>
          <cell r="E3332" t="e">
            <v>#VALUE!</v>
          </cell>
          <cell r="F3332">
            <v>0</v>
          </cell>
        </row>
        <row r="3333">
          <cell r="A3333" t="str">
            <v>RAPICFBA</v>
          </cell>
          <cell r="B3333">
            <v>1.7353157861611155E-2</v>
          </cell>
          <cell r="C3333">
            <v>0</v>
          </cell>
          <cell r="D3333" t="e">
            <v>#VALUE!</v>
          </cell>
          <cell r="E3333" t="e">
            <v>#VALUE!</v>
          </cell>
          <cell r="F3333">
            <v>0</v>
          </cell>
        </row>
        <row r="3334">
          <cell r="A3334" t="str">
            <v>RAPICXBA</v>
          </cell>
          <cell r="B3334">
            <v>1.7353157861611155E-2</v>
          </cell>
          <cell r="C3334">
            <v>0</v>
          </cell>
          <cell r="D3334" t="e">
            <v>#VALUE!</v>
          </cell>
          <cell r="E3334" t="e">
            <v>#VALUE!</v>
          </cell>
          <cell r="F3334">
            <v>0</v>
          </cell>
        </row>
        <row r="3335">
          <cell r="A3335" t="str">
            <v>RAPICYBA</v>
          </cell>
          <cell r="B3335">
            <v>1.7353157861611155E-2</v>
          </cell>
          <cell r="C3335">
            <v>0</v>
          </cell>
          <cell r="D3335" t="e">
            <v>#VALUE!</v>
          </cell>
          <cell r="E3335" t="e">
            <v>#VALUE!</v>
          </cell>
          <cell r="F3335">
            <v>0</v>
          </cell>
        </row>
        <row r="3336">
          <cell r="A3336" t="str">
            <v>RAPIDCXA</v>
          </cell>
          <cell r="B3336">
            <v>-3.8716743957805083E-7</v>
          </cell>
          <cell r="C3336">
            <v>0</v>
          </cell>
          <cell r="D3336" t="e">
            <v>#VALUE!</v>
          </cell>
          <cell r="E3336" t="e">
            <v>#VALUE!</v>
          </cell>
          <cell r="F3336">
            <v>0</v>
          </cell>
        </row>
        <row r="3337">
          <cell r="A3337" t="str">
            <v>RAPICCKA</v>
          </cell>
          <cell r="B3337">
            <v>-7.8983994430068191E-3</v>
          </cell>
          <cell r="C3337">
            <v>0</v>
          </cell>
          <cell r="D3337" t="e">
            <v>#VALUE!</v>
          </cell>
          <cell r="E3337" t="e">
            <v>#VALUE!</v>
          </cell>
          <cell r="F3337">
            <v>0</v>
          </cell>
        </row>
        <row r="3338">
          <cell r="A3338" t="str">
            <v>RAPICCCA</v>
          </cell>
          <cell r="B3338">
            <v>-7.8983994430068191E-3</v>
          </cell>
          <cell r="C3338">
            <v>0</v>
          </cell>
          <cell r="D3338" t="e">
            <v>#VALUE!</v>
          </cell>
          <cell r="E3338" t="e">
            <v>#VALUE!</v>
          </cell>
          <cell r="F3338">
            <v>0</v>
          </cell>
        </row>
        <row r="3339">
          <cell r="A3339" t="str">
            <v>RAPICCQA</v>
          </cell>
          <cell r="B3339">
            <v>-7.8983994430068191E-3</v>
          </cell>
          <cell r="C3339">
            <v>0</v>
          </cell>
          <cell r="D3339" t="e">
            <v>#VALUE!</v>
          </cell>
          <cell r="E3339" t="e">
            <v>#VALUE!</v>
          </cell>
          <cell r="F3339">
            <v>0</v>
          </cell>
        </row>
        <row r="3340">
          <cell r="A3340" t="str">
            <v>RAPIKCKA</v>
          </cell>
          <cell r="B3340">
            <v>5.0028563849468502E-4</v>
          </cell>
          <cell r="C3340">
            <v>0</v>
          </cell>
          <cell r="D3340" t="e">
            <v>#VALUE!</v>
          </cell>
          <cell r="E3340" t="e">
            <v>#VALUE!</v>
          </cell>
          <cell r="F3340">
            <v>0</v>
          </cell>
        </row>
        <row r="3341">
          <cell r="A3341" t="str">
            <v>RAPIKCCA</v>
          </cell>
          <cell r="B3341">
            <v>5.0028563849468502E-4</v>
          </cell>
          <cell r="C3341">
            <v>0</v>
          </cell>
          <cell r="D3341" t="e">
            <v>#VALUE!</v>
          </cell>
          <cell r="E3341" t="e">
            <v>#VALUE!</v>
          </cell>
          <cell r="F3341">
            <v>0</v>
          </cell>
        </row>
        <row r="3342">
          <cell r="A3342" t="str">
            <v>RAPIKCQA</v>
          </cell>
          <cell r="B3342">
            <v>5.0028563849468502E-4</v>
          </cell>
          <cell r="C3342">
            <v>0</v>
          </cell>
          <cell r="D3342" t="e">
            <v>#VALUE!</v>
          </cell>
          <cell r="E3342" t="e">
            <v>#VALUE!</v>
          </cell>
          <cell r="F3342">
            <v>0</v>
          </cell>
        </row>
        <row r="3343">
          <cell r="A3343" t="str">
            <v>RCONGS1A</v>
          </cell>
          <cell r="B3343">
            <v>6.4714956364811504E-9</v>
          </cell>
          <cell r="C3343">
            <v>0</v>
          </cell>
          <cell r="D3343" t="e">
            <v>#VALUE!</v>
          </cell>
          <cell r="E3343" t="e">
            <v>#VALUE!</v>
          </cell>
          <cell r="F3343">
            <v>0</v>
          </cell>
        </row>
        <row r="3344">
          <cell r="A3344" t="str">
            <v>RCONGS2A</v>
          </cell>
          <cell r="B3344">
            <v>0</v>
          </cell>
          <cell r="C3344">
            <v>0</v>
          </cell>
          <cell r="D3344" t="e">
            <v>#VALUE!</v>
          </cell>
          <cell r="E3344" t="e">
            <v>#VALUE!</v>
          </cell>
          <cell r="F3344">
            <v>0</v>
          </cell>
        </row>
        <row r="3345">
          <cell r="A3345" t="str">
            <v>RCONGS3A</v>
          </cell>
          <cell r="B3345">
            <v>0</v>
          </cell>
          <cell r="C3345">
            <v>0</v>
          </cell>
          <cell r="D3345" t="e">
            <v>#VALUE!</v>
          </cell>
          <cell r="E3345" t="e">
            <v>#VALUE!</v>
          </cell>
          <cell r="F3345">
            <v>0</v>
          </cell>
        </row>
        <row r="3346">
          <cell r="A3346" t="str">
            <v>RCONGS4A</v>
          </cell>
          <cell r="B3346">
            <v>1.6342529463693371E-5</v>
          </cell>
          <cell r="C3346">
            <v>0</v>
          </cell>
          <cell r="D3346" t="e">
            <v>#VALUE!</v>
          </cell>
          <cell r="E3346" t="e">
            <v>#VALUE!</v>
          </cell>
          <cell r="F3346">
            <v>0</v>
          </cell>
        </row>
        <row r="3347">
          <cell r="A3347" t="str">
            <v>RCONGS5A</v>
          </cell>
          <cell r="B3347">
            <v>0</v>
          </cell>
          <cell r="C3347">
            <v>0</v>
          </cell>
          <cell r="D3347" t="e">
            <v>#VALUE!</v>
          </cell>
          <cell r="E3347" t="e">
            <v>#VALUE!</v>
          </cell>
          <cell r="F3347">
            <v>0</v>
          </cell>
        </row>
        <row r="3348">
          <cell r="A3348" t="str">
            <v>RCONGS6A</v>
          </cell>
          <cell r="B3348">
            <v>1.4856882998125836E-8</v>
          </cell>
          <cell r="C3348">
            <v>0</v>
          </cell>
          <cell r="D3348" t="e">
            <v>#VALUE!</v>
          </cell>
          <cell r="E3348" t="e">
            <v>#VALUE!</v>
          </cell>
          <cell r="F3348">
            <v>0</v>
          </cell>
        </row>
        <row r="3349">
          <cell r="A3349" t="str">
            <v>RCONGS7A</v>
          </cell>
          <cell r="B3349">
            <v>-5.327980444696413E-5</v>
          </cell>
          <cell r="C3349">
            <v>0</v>
          </cell>
          <cell r="D3349" t="e">
            <v>#VALUE!</v>
          </cell>
          <cell r="E3349" t="e">
            <v>#VALUE!</v>
          </cell>
          <cell r="F3349">
            <v>0</v>
          </cell>
        </row>
        <row r="3350">
          <cell r="A3350" t="str">
            <v>RCONPG1A</v>
          </cell>
          <cell r="B3350">
            <v>2.1708517054583054E-5</v>
          </cell>
          <cell r="C3350">
            <v>0</v>
          </cell>
          <cell r="D3350" t="e">
            <v>#VALUE!</v>
          </cell>
          <cell r="E3350" t="e">
            <v>#VALUE!</v>
          </cell>
          <cell r="F3350">
            <v>0</v>
          </cell>
        </row>
        <row r="3351">
          <cell r="A3351" t="str">
            <v>RCONPG2A</v>
          </cell>
          <cell r="B3351">
            <v>-2.6592376186633611E-5</v>
          </cell>
          <cell r="C3351">
            <v>0</v>
          </cell>
          <cell r="D3351" t="e">
            <v>#VALUE!</v>
          </cell>
          <cell r="E3351" t="e">
            <v>#VALUE!</v>
          </cell>
          <cell r="F3351">
            <v>0</v>
          </cell>
        </row>
        <row r="3352">
          <cell r="A3352" t="str">
            <v>RCONAR1A</v>
          </cell>
          <cell r="B3352">
            <v>-5.5303961628241059E-4</v>
          </cell>
          <cell r="C3352">
            <v>0</v>
          </cell>
          <cell r="D3352" t="e">
            <v>#VALUE!</v>
          </cell>
          <cell r="E3352" t="e">
            <v>#VALUE!</v>
          </cell>
          <cell r="F3352">
            <v>0</v>
          </cell>
        </row>
        <row r="3353">
          <cell r="A3353" t="str">
            <v>RCONAR2A</v>
          </cell>
          <cell r="B3353">
            <v>0</v>
          </cell>
          <cell r="C3353">
            <v>0</v>
          </cell>
          <cell r="D3353" t="e">
            <v>#VALUE!</v>
          </cell>
          <cell r="E3353" t="e">
            <v>#VALUE!</v>
          </cell>
          <cell r="F3353">
            <v>0</v>
          </cell>
        </row>
        <row r="3354">
          <cell r="A3354" t="str">
            <v>RCONAR3A</v>
          </cell>
          <cell r="B3354">
            <v>0</v>
          </cell>
          <cell r="C3354">
            <v>0</v>
          </cell>
          <cell r="D3354" t="e">
            <v>#VALUE!</v>
          </cell>
          <cell r="E3354" t="e">
            <v>#VALUE!</v>
          </cell>
          <cell r="F3354">
            <v>0</v>
          </cell>
        </row>
        <row r="3355">
          <cell r="A3355" t="str">
            <v>RCONAR4A</v>
          </cell>
          <cell r="B3355">
            <v>8.3688988924434746E-3</v>
          </cell>
          <cell r="C3355">
            <v>0</v>
          </cell>
          <cell r="D3355" t="e">
            <v>#VALUE!</v>
          </cell>
          <cell r="E3355" t="e">
            <v>#VALUE!</v>
          </cell>
          <cell r="F3355">
            <v>0</v>
          </cell>
        </row>
        <row r="3356">
          <cell r="A3356" t="str">
            <v>RCONAR5A</v>
          </cell>
          <cell r="B3356">
            <v>0</v>
          </cell>
          <cell r="C3356">
            <v>0</v>
          </cell>
          <cell r="D3356" t="e">
            <v>#VALUE!</v>
          </cell>
          <cell r="E3356" t="e">
            <v>#VALUE!</v>
          </cell>
          <cell r="F3356">
            <v>0</v>
          </cell>
        </row>
        <row r="3357">
          <cell r="A3357" t="str">
            <v>RCONAR6A</v>
          </cell>
          <cell r="B3357">
            <v>-1.8364230620809143E-8</v>
          </cell>
          <cell r="C3357">
            <v>0</v>
          </cell>
          <cell r="D3357" t="e">
            <v>#VALUE!</v>
          </cell>
          <cell r="E3357" t="e">
            <v>#VALUE!</v>
          </cell>
          <cell r="F3357">
            <v>0</v>
          </cell>
        </row>
        <row r="3358">
          <cell r="A3358" t="str">
            <v>RCONAR7A</v>
          </cell>
          <cell r="B3358">
            <v>0</v>
          </cell>
          <cell r="C3358">
            <v>0</v>
          </cell>
          <cell r="D3358" t="e">
            <v>#VALUE!</v>
          </cell>
          <cell r="E3358" t="e">
            <v>#VALUE!</v>
          </cell>
          <cell r="F3358">
            <v>0</v>
          </cell>
        </row>
        <row r="3359">
          <cell r="A3359" t="str">
            <v>RCONLV1A</v>
          </cell>
          <cell r="B3359">
            <v>0</v>
          </cell>
          <cell r="C3359">
            <v>0</v>
          </cell>
          <cell r="D3359" t="e">
            <v>#VALUE!</v>
          </cell>
          <cell r="E3359" t="e">
            <v>#VALUE!</v>
          </cell>
          <cell r="F3359">
            <v>0</v>
          </cell>
        </row>
        <row r="3360">
          <cell r="A3360" t="str">
            <v>RCONLV2A</v>
          </cell>
          <cell r="B3360">
            <v>-4.4105571361473116E-7</v>
          </cell>
          <cell r="C3360">
            <v>0</v>
          </cell>
          <cell r="D3360" t="e">
            <v>#VALUE!</v>
          </cell>
          <cell r="E3360" t="e">
            <v>#VALUE!</v>
          </cell>
          <cell r="F3360">
            <v>0</v>
          </cell>
        </row>
        <row r="3361">
          <cell r="A3361" t="str">
            <v>RCONLV3A</v>
          </cell>
          <cell r="B3361">
            <v>0</v>
          </cell>
          <cell r="C3361">
            <v>0</v>
          </cell>
          <cell r="D3361" t="e">
            <v>#VALUE!</v>
          </cell>
          <cell r="E3361" t="e">
            <v>#VALUE!</v>
          </cell>
          <cell r="F3361">
            <v>0</v>
          </cell>
        </row>
        <row r="3362">
          <cell r="A3362" t="str">
            <v>RCONLV4A</v>
          </cell>
          <cell r="B3362">
            <v>-7.0513456091858854E-5</v>
          </cell>
          <cell r="C3362">
            <v>0</v>
          </cell>
          <cell r="D3362" t="e">
            <v>#VALUE!</v>
          </cell>
          <cell r="E3362" t="e">
            <v>#VALUE!</v>
          </cell>
          <cell r="F3362">
            <v>0</v>
          </cell>
        </row>
        <row r="3363">
          <cell r="A3363" t="str">
            <v>RCONLV5A</v>
          </cell>
          <cell r="B3363">
            <v>0</v>
          </cell>
          <cell r="C3363">
            <v>0</v>
          </cell>
          <cell r="D3363" t="e">
            <v>#VALUE!</v>
          </cell>
          <cell r="E3363" t="e">
            <v>#VALUE!</v>
          </cell>
          <cell r="F3363">
            <v>0</v>
          </cell>
        </row>
        <row r="3364">
          <cell r="A3364" t="str">
            <v>RCONLV6A</v>
          </cell>
          <cell r="B3364">
            <v>1.524162914551796E-7</v>
          </cell>
          <cell r="C3364">
            <v>0</v>
          </cell>
          <cell r="D3364" t="e">
            <v>#VALUE!</v>
          </cell>
          <cell r="E3364" t="e">
            <v>#VALUE!</v>
          </cell>
          <cell r="F3364">
            <v>0</v>
          </cell>
        </row>
        <row r="3365">
          <cell r="A3365" t="str">
            <v>RCONLV7A</v>
          </cell>
          <cell r="B3365">
            <v>4.9470263718282936E-4</v>
          </cell>
          <cell r="C3365">
            <v>0</v>
          </cell>
          <cell r="D3365" t="e">
            <v>#VALUE!</v>
          </cell>
          <cell r="E3365" t="e">
            <v>#VALUE!</v>
          </cell>
          <cell r="F3365">
            <v>0</v>
          </cell>
        </row>
        <row r="3366">
          <cell r="A3366" t="str">
            <v>RCONPVBA</v>
          </cell>
          <cell r="B3366">
            <v>-2.1640301423608996E-5</v>
          </cell>
          <cell r="C3366">
            <v>0</v>
          </cell>
          <cell r="D3366" t="e">
            <v>#VALUE!</v>
          </cell>
          <cell r="E3366" t="e">
            <v>#VALUE!</v>
          </cell>
          <cell r="F3366">
            <v>0</v>
          </cell>
        </row>
        <row r="3367">
          <cell r="A3367" t="str">
            <v>RCONDVLA</v>
          </cell>
          <cell r="B3367">
            <v>4.0181233220847699E-9</v>
          </cell>
          <cell r="C3367">
            <v>0</v>
          </cell>
          <cell r="D3367" t="e">
            <v>#VALUE!</v>
          </cell>
          <cell r="E3367" t="e">
            <v>#VALUE!</v>
          </cell>
          <cell r="F3367">
            <v>0</v>
          </cell>
        </row>
        <row r="3368">
          <cell r="A3368" t="str">
            <v>RCONPV1A</v>
          </cell>
          <cell r="B3368">
            <v>3.4056553028851142E-5</v>
          </cell>
          <cell r="C3368">
            <v>0</v>
          </cell>
          <cell r="D3368" t="e">
            <v>#VALUE!</v>
          </cell>
          <cell r="E3368" t="e">
            <v>#VALUE!</v>
          </cell>
          <cell r="F3368">
            <v>0</v>
          </cell>
        </row>
        <row r="3369">
          <cell r="A3369" t="str">
            <v>RCONPV2A</v>
          </cell>
          <cell r="B3369">
            <v>-6.0007579865858955E-8</v>
          </cell>
          <cell r="C3369">
            <v>0</v>
          </cell>
          <cell r="D3369" t="e">
            <v>#VALUE!</v>
          </cell>
          <cell r="E3369" t="e">
            <v>#VALUE!</v>
          </cell>
          <cell r="F3369">
            <v>0</v>
          </cell>
        </row>
        <row r="3370">
          <cell r="A3370" t="str">
            <v>RCONPV3A</v>
          </cell>
          <cell r="B3370">
            <v>0</v>
          </cell>
          <cell r="C3370">
            <v>0</v>
          </cell>
          <cell r="D3370" t="e">
            <v>#VALUE!</v>
          </cell>
          <cell r="E3370" t="e">
            <v>#VALUE!</v>
          </cell>
          <cell r="F3370">
            <v>0</v>
          </cell>
        </row>
        <row r="3371">
          <cell r="A3371" t="str">
            <v>RCONPV4A</v>
          </cell>
          <cell r="B3371">
            <v>-1.4303661415920345E-5</v>
          </cell>
          <cell r="C3371">
            <v>0</v>
          </cell>
          <cell r="D3371" t="e">
            <v>#VALUE!</v>
          </cell>
          <cell r="E3371" t="e">
            <v>#VALUE!</v>
          </cell>
          <cell r="F3371">
            <v>0</v>
          </cell>
        </row>
        <row r="3372">
          <cell r="A3372" t="str">
            <v>RCONPV5A</v>
          </cell>
          <cell r="B3372">
            <v>0</v>
          </cell>
          <cell r="C3372">
            <v>0</v>
          </cell>
          <cell r="D3372" t="e">
            <v>#VALUE!</v>
          </cell>
          <cell r="E3372" t="e">
            <v>#VALUE!</v>
          </cell>
          <cell r="F3372">
            <v>0</v>
          </cell>
        </row>
        <row r="3373">
          <cell r="A3373" t="str">
            <v>RCONPV6A</v>
          </cell>
          <cell r="B3373">
            <v>1.8387561689975293E-10</v>
          </cell>
          <cell r="C3373">
            <v>0</v>
          </cell>
          <cell r="D3373" t="e">
            <v>#VALUE!</v>
          </cell>
          <cell r="E3373" t="e">
            <v>#VALUE!</v>
          </cell>
          <cell r="F3373">
            <v>0</v>
          </cell>
        </row>
        <row r="3374">
          <cell r="A3374" t="str">
            <v>RCONPV7A</v>
          </cell>
          <cell r="B3374">
            <v>-4.6269912162057305E-7</v>
          </cell>
          <cell r="C3374">
            <v>0</v>
          </cell>
          <cell r="D3374" t="e">
            <v>#VALUE!</v>
          </cell>
          <cell r="E3374" t="e">
            <v>#VALUE!</v>
          </cell>
          <cell r="F3374">
            <v>0</v>
          </cell>
        </row>
        <row r="3375">
          <cell r="A3375" t="str">
            <v>RCONVRBA</v>
          </cell>
          <cell r="B3375">
            <v>-4.9710561457562124E-3</v>
          </cell>
          <cell r="C3375">
            <v>0</v>
          </cell>
          <cell r="D3375" t="e">
            <v>#VALUE!</v>
          </cell>
          <cell r="E3375" t="e">
            <v>#VALUE!</v>
          </cell>
          <cell r="F3375">
            <v>0</v>
          </cell>
        </row>
        <row r="3376">
          <cell r="A3376" t="str">
            <v>RCONFCLA</v>
          </cell>
          <cell r="B3376">
            <v>1.6238746721848207E-7</v>
          </cell>
          <cell r="C3376">
            <v>0</v>
          </cell>
          <cell r="D3376" t="e">
            <v>#VALUE!</v>
          </cell>
          <cell r="E3376" t="e">
            <v>#VALUE!</v>
          </cell>
          <cell r="F3376">
            <v>0</v>
          </cell>
        </row>
        <row r="3377">
          <cell r="A3377" t="str">
            <v>RCONVR1A</v>
          </cell>
          <cell r="B3377">
            <v>-6.1060425869571139E-4</v>
          </cell>
          <cell r="C3377">
            <v>0</v>
          </cell>
          <cell r="D3377" t="e">
            <v>#VALUE!</v>
          </cell>
          <cell r="E3377" t="e">
            <v>#VALUE!</v>
          </cell>
          <cell r="F3377">
            <v>0</v>
          </cell>
        </row>
        <row r="3378">
          <cell r="A3378" t="str">
            <v>RCONVR2A</v>
          </cell>
          <cell r="B3378">
            <v>-2.2442834655870285E-6</v>
          </cell>
          <cell r="C3378">
            <v>0</v>
          </cell>
          <cell r="D3378" t="e">
            <v>#VALUE!</v>
          </cell>
          <cell r="E3378" t="e">
            <v>#VALUE!</v>
          </cell>
          <cell r="F3378">
            <v>0</v>
          </cell>
        </row>
        <row r="3379">
          <cell r="A3379" t="str">
            <v>RCONVR3A</v>
          </cell>
          <cell r="B3379">
            <v>0</v>
          </cell>
          <cell r="C3379">
            <v>0</v>
          </cell>
          <cell r="D3379" t="e">
            <v>#VALUE!</v>
          </cell>
          <cell r="E3379" t="e">
            <v>#VALUE!</v>
          </cell>
          <cell r="F3379">
            <v>0</v>
          </cell>
        </row>
        <row r="3380">
          <cell r="A3380" t="str">
            <v>RCONVR4A</v>
          </cell>
          <cell r="B3380">
            <v>1.1063962992861203E-2</v>
          </cell>
          <cell r="C3380">
            <v>0</v>
          </cell>
          <cell r="D3380" t="e">
            <v>#VALUE!</v>
          </cell>
          <cell r="E3380" t="e">
            <v>#VALUE!</v>
          </cell>
          <cell r="F3380">
            <v>0</v>
          </cell>
        </row>
        <row r="3381">
          <cell r="A3381" t="str">
            <v>RCONVR5A</v>
          </cell>
          <cell r="B3381">
            <v>0</v>
          </cell>
          <cell r="C3381">
            <v>0</v>
          </cell>
          <cell r="D3381" t="e">
            <v>#VALUE!</v>
          </cell>
          <cell r="E3381" t="e">
            <v>#VALUE!</v>
          </cell>
          <cell r="F3381">
            <v>0</v>
          </cell>
        </row>
        <row r="3382">
          <cell r="A3382" t="str">
            <v>RCONVR6A</v>
          </cell>
          <cell r="B3382">
            <v>-4.0441912652219284E-8</v>
          </cell>
          <cell r="C3382">
            <v>0</v>
          </cell>
          <cell r="D3382" t="e">
            <v>#VALUE!</v>
          </cell>
          <cell r="E3382" t="e">
            <v>#VALUE!</v>
          </cell>
          <cell r="F3382">
            <v>0</v>
          </cell>
        </row>
        <row r="3383">
          <cell r="A3383" t="str">
            <v>RCONVR7A</v>
          </cell>
          <cell r="B3383">
            <v>-1.3149909368933064E-4</v>
          </cell>
          <cell r="C3383">
            <v>0</v>
          </cell>
          <cell r="D3383" t="e">
            <v>#VALUE!</v>
          </cell>
          <cell r="E3383" t="e">
            <v>#VALUE!</v>
          </cell>
          <cell r="F3383">
            <v>0</v>
          </cell>
        </row>
        <row r="3384">
          <cell r="A3384" t="str">
            <v>RCONVR9A</v>
          </cell>
          <cell r="B3384">
            <v>-9.3966534506438463E-6</v>
          </cell>
          <cell r="C3384">
            <v>0</v>
          </cell>
          <cell r="D3384" t="e">
            <v>#VALUE!</v>
          </cell>
          <cell r="E3384" t="e">
            <v>#VALUE!</v>
          </cell>
          <cell r="F3384">
            <v>0</v>
          </cell>
        </row>
        <row r="3385">
          <cell r="A3385" t="str">
            <v>RCONCFAA</v>
          </cell>
          <cell r="B3385">
            <v>0</v>
          </cell>
          <cell r="C3385">
            <v>0</v>
          </cell>
          <cell r="D3385" t="e">
            <v>#VALUE!</v>
          </cell>
          <cell r="E3385" t="e">
            <v>#VALUE!</v>
          </cell>
          <cell r="F3385">
            <v>0</v>
          </cell>
        </row>
        <row r="3386">
          <cell r="A3386" t="str">
            <v>RCONCWAA</v>
          </cell>
          <cell r="B3386">
            <v>0</v>
          </cell>
          <cell r="C3386">
            <v>0</v>
          </cell>
          <cell r="D3386" t="e">
            <v>#VALUE!</v>
          </cell>
          <cell r="E3386" t="e">
            <v>#VALUE!</v>
          </cell>
          <cell r="F3386">
            <v>0</v>
          </cell>
        </row>
        <row r="3387">
          <cell r="A3387" t="str">
            <v>RCONCZAA</v>
          </cell>
          <cell r="B3387">
            <v>-5.1922577699039066E-15</v>
          </cell>
          <cell r="C3387">
            <v>0</v>
          </cell>
          <cell r="D3387" t="e">
            <v>#VALUE!</v>
          </cell>
          <cell r="E3387" t="e">
            <v>#VALUE!</v>
          </cell>
          <cell r="F3387">
            <v>0</v>
          </cell>
        </row>
        <row r="3388">
          <cell r="A3388" t="str">
            <v>RCONCFBA</v>
          </cell>
          <cell r="B3388">
            <v>0</v>
          </cell>
          <cell r="C3388">
            <v>0</v>
          </cell>
          <cell r="D3388" t="e">
            <v>#VALUE!</v>
          </cell>
          <cell r="E3388" t="e">
            <v>#VALUE!</v>
          </cell>
          <cell r="F3388">
            <v>0</v>
          </cell>
        </row>
        <row r="3389">
          <cell r="A3389" t="str">
            <v>RCONCXBA</v>
          </cell>
          <cell r="B3389">
            <v>0</v>
          </cell>
          <cell r="C3389">
            <v>0</v>
          </cell>
          <cell r="D3389" t="e">
            <v>#VALUE!</v>
          </cell>
          <cell r="E3389" t="e">
            <v>#VALUE!</v>
          </cell>
          <cell r="F3389">
            <v>0</v>
          </cell>
        </row>
        <row r="3390">
          <cell r="A3390" t="str">
            <v>RCONCYBA</v>
          </cell>
          <cell r="B3390">
            <v>-6.9210068886994294E-17</v>
          </cell>
          <cell r="C3390">
            <v>0</v>
          </cell>
          <cell r="D3390" t="e">
            <v>#VALUE!</v>
          </cell>
          <cell r="E3390" t="e">
            <v>#VALUE!</v>
          </cell>
          <cell r="F3390">
            <v>0</v>
          </cell>
        </row>
        <row r="3391">
          <cell r="A3391" t="str">
            <v>RCONCCKA</v>
          </cell>
          <cell r="B3391">
            <v>-3.4810798625423486E-4</v>
          </cell>
          <cell r="C3391">
            <v>0</v>
          </cell>
          <cell r="D3391" t="e">
            <v>#VALUE!</v>
          </cell>
          <cell r="E3391" t="e">
            <v>#VALUE!</v>
          </cell>
          <cell r="F3391">
            <v>0</v>
          </cell>
        </row>
        <row r="3392">
          <cell r="A3392" t="str">
            <v>RCONCCCA</v>
          </cell>
          <cell r="B3392">
            <v>-3.4810798625423486E-4</v>
          </cell>
          <cell r="C3392">
            <v>0</v>
          </cell>
          <cell r="D3392" t="e">
            <v>#VALUE!</v>
          </cell>
          <cell r="E3392" t="e">
            <v>#VALUE!</v>
          </cell>
          <cell r="F3392">
            <v>0</v>
          </cell>
        </row>
        <row r="3393">
          <cell r="A3393" t="str">
            <v>RCONCCQA</v>
          </cell>
          <cell r="B3393">
            <v>-3.4810798625423486E-4</v>
          </cell>
          <cell r="C3393">
            <v>0</v>
          </cell>
          <cell r="D3393" t="e">
            <v>#VALUE!</v>
          </cell>
          <cell r="E3393" t="e">
            <v>#VALUE!</v>
          </cell>
          <cell r="F3393">
            <v>0</v>
          </cell>
        </row>
        <row r="3394">
          <cell r="A3394" t="str">
            <v>RCONKCKA</v>
          </cell>
          <cell r="B3394">
            <v>7.5458645954575032E-4</v>
          </cell>
          <cell r="C3394">
            <v>0</v>
          </cell>
          <cell r="D3394" t="e">
            <v>#VALUE!</v>
          </cell>
          <cell r="E3394" t="e">
            <v>#VALUE!</v>
          </cell>
          <cell r="F3394">
            <v>0</v>
          </cell>
        </row>
        <row r="3395">
          <cell r="A3395" t="str">
            <v>RCONKCCA</v>
          </cell>
          <cell r="B3395">
            <v>7.5458645954575032E-4</v>
          </cell>
          <cell r="C3395">
            <v>0</v>
          </cell>
          <cell r="D3395" t="e">
            <v>#VALUE!</v>
          </cell>
          <cell r="E3395" t="e">
            <v>#VALUE!</v>
          </cell>
          <cell r="F3395">
            <v>0</v>
          </cell>
        </row>
        <row r="3396">
          <cell r="A3396" t="str">
            <v>RCONKCQA</v>
          </cell>
          <cell r="B3396">
            <v>7.5458645954575032E-4</v>
          </cell>
          <cell r="C3396">
            <v>0</v>
          </cell>
          <cell r="D3396" t="e">
            <v>#VALUE!</v>
          </cell>
          <cell r="E3396" t="e">
            <v>#VALUE!</v>
          </cell>
          <cell r="F3396">
            <v>0</v>
          </cell>
        </row>
        <row r="3397">
          <cell r="A3397" t="str">
            <v>RKFCSK1A</v>
          </cell>
          <cell r="B3397">
            <v>-2.7813391460306912E-5</v>
          </cell>
          <cell r="C3397">
            <v>0</v>
          </cell>
          <cell r="D3397" t="e">
            <v>#VALUE!</v>
          </cell>
          <cell r="E3397" t="e">
            <v>#VALUE!</v>
          </cell>
          <cell r="F3397">
            <v>0</v>
          </cell>
        </row>
        <row r="3398">
          <cell r="A3398" t="str">
            <v>RKFCSK6A</v>
          </cell>
          <cell r="B3398">
            <v>9.7401385450872137E-8</v>
          </cell>
          <cell r="C3398">
            <v>0</v>
          </cell>
          <cell r="D3398" t="e">
            <v>#VALUE!</v>
          </cell>
          <cell r="E3398" t="e">
            <v>#VALUE!</v>
          </cell>
          <cell r="F3398">
            <v>0</v>
          </cell>
        </row>
        <row r="3399">
          <cell r="A3399" t="str">
            <v>RKFCSG3A</v>
          </cell>
          <cell r="B3399">
            <v>0</v>
          </cell>
          <cell r="C3399">
            <v>0</v>
          </cell>
          <cell r="D3399" t="e">
            <v>#VALUE!</v>
          </cell>
          <cell r="E3399" t="e">
            <v>#VALUE!</v>
          </cell>
          <cell r="F3399">
            <v>0</v>
          </cell>
        </row>
        <row r="3400">
          <cell r="A3400" t="str">
            <v>RKFCSG4A</v>
          </cell>
          <cell r="B3400">
            <v>2.5072362447757122E-4</v>
          </cell>
          <cell r="C3400">
            <v>0</v>
          </cell>
          <cell r="D3400" t="e">
            <v>#VALUE!</v>
          </cell>
          <cell r="E3400" t="e">
            <v>#VALUE!</v>
          </cell>
          <cell r="F3400">
            <v>0</v>
          </cell>
        </row>
        <row r="3401">
          <cell r="A3401" t="str">
            <v>RKFCSG5A</v>
          </cell>
          <cell r="B3401">
            <v>0</v>
          </cell>
          <cell r="C3401">
            <v>0</v>
          </cell>
          <cell r="D3401" t="e">
            <v>#VALUE!</v>
          </cell>
          <cell r="E3401" t="e">
            <v>#VALUE!</v>
          </cell>
          <cell r="F3401">
            <v>0</v>
          </cell>
        </row>
        <row r="3402">
          <cell r="A3402" t="str">
            <v>RKFCSG6A</v>
          </cell>
          <cell r="B3402">
            <v>6.0631635680493507E-8</v>
          </cell>
          <cell r="C3402">
            <v>0</v>
          </cell>
          <cell r="D3402" t="e">
            <v>#VALUE!</v>
          </cell>
          <cell r="E3402" t="e">
            <v>#VALUE!</v>
          </cell>
          <cell r="F3402">
            <v>0</v>
          </cell>
        </row>
        <row r="3403">
          <cell r="A3403" t="str">
            <v>RKFCSG7A</v>
          </cell>
          <cell r="B3403">
            <v>4.6269911875504175E-6</v>
          </cell>
          <cell r="C3403">
            <v>0</v>
          </cell>
          <cell r="D3403" t="e">
            <v>#VALUE!</v>
          </cell>
          <cell r="E3403" t="e">
            <v>#VALUE!</v>
          </cell>
          <cell r="F3403">
            <v>0</v>
          </cell>
        </row>
        <row r="3404">
          <cell r="A3404" t="str">
            <v>RKFCGS1A</v>
          </cell>
          <cell r="B3404">
            <v>-1.0218717668303975E-5</v>
          </cell>
          <cell r="C3404">
            <v>0</v>
          </cell>
          <cell r="D3404" t="e">
            <v>#VALUE!</v>
          </cell>
          <cell r="E3404" t="e">
            <v>#VALUE!</v>
          </cell>
          <cell r="F3404">
            <v>0</v>
          </cell>
        </row>
        <row r="3405">
          <cell r="A3405" t="str">
            <v>RKFCGS2A</v>
          </cell>
          <cell r="B3405">
            <v>1.2241545968931424E-4</v>
          </cell>
          <cell r="C3405">
            <v>0</v>
          </cell>
          <cell r="D3405" t="e">
            <v>#VALUE!</v>
          </cell>
          <cell r="E3405" t="e">
            <v>#VALUE!</v>
          </cell>
          <cell r="F3405">
            <v>0</v>
          </cell>
        </row>
        <row r="3406">
          <cell r="A3406" t="str">
            <v>RKFCGS3A</v>
          </cell>
          <cell r="B3406">
            <v>0</v>
          </cell>
          <cell r="C3406">
            <v>0</v>
          </cell>
          <cell r="D3406" t="e">
            <v>#VALUE!</v>
          </cell>
          <cell r="E3406" t="e">
            <v>#VALUE!</v>
          </cell>
          <cell r="F3406">
            <v>0</v>
          </cell>
        </row>
        <row r="3407">
          <cell r="A3407" t="str">
            <v>RKFCGS4A</v>
          </cell>
          <cell r="B3407">
            <v>-3.1305051190230026E-5</v>
          </cell>
          <cell r="C3407">
            <v>0</v>
          </cell>
          <cell r="D3407" t="e">
            <v>#VALUE!</v>
          </cell>
          <cell r="E3407" t="e">
            <v>#VALUE!</v>
          </cell>
          <cell r="F3407">
            <v>0</v>
          </cell>
        </row>
        <row r="3408">
          <cell r="A3408" t="str">
            <v>RKFCGS5A</v>
          </cell>
          <cell r="B3408">
            <v>0</v>
          </cell>
          <cell r="C3408">
            <v>0</v>
          </cell>
          <cell r="D3408" t="e">
            <v>#VALUE!</v>
          </cell>
          <cell r="E3408" t="e">
            <v>#VALUE!</v>
          </cell>
          <cell r="F3408">
            <v>0</v>
          </cell>
        </row>
        <row r="3409">
          <cell r="A3409" t="str">
            <v>RKFCGS6A</v>
          </cell>
          <cell r="B3409">
            <v>1.5258564515032622E-7</v>
          </cell>
          <cell r="C3409">
            <v>0</v>
          </cell>
          <cell r="D3409" t="e">
            <v>#VALUE!</v>
          </cell>
          <cell r="E3409" t="e">
            <v>#VALUE!</v>
          </cell>
          <cell r="F3409">
            <v>0</v>
          </cell>
        </row>
        <row r="3410">
          <cell r="A3410" t="str">
            <v>RKFCGS7A</v>
          </cell>
          <cell r="B3410">
            <v>0</v>
          </cell>
          <cell r="C3410">
            <v>0</v>
          </cell>
          <cell r="D3410" t="e">
            <v>#VALUE!</v>
          </cell>
          <cell r="E3410" t="e">
            <v>#VALUE!</v>
          </cell>
          <cell r="F3410">
            <v>0</v>
          </cell>
        </row>
        <row r="3411">
          <cell r="A3411" t="str">
            <v>RKFCPG1A</v>
          </cell>
          <cell r="B3411">
            <v>-1.6067120233831341E-3</v>
          </cell>
          <cell r="C3411">
            <v>0</v>
          </cell>
          <cell r="D3411" t="e">
            <v>#VALUE!</v>
          </cell>
          <cell r="E3411" t="e">
            <v>#VALUE!</v>
          </cell>
          <cell r="F3411">
            <v>0</v>
          </cell>
        </row>
        <row r="3412">
          <cell r="A3412" t="str">
            <v>RKFCPG2A</v>
          </cell>
          <cell r="B3412">
            <v>1.2746098453957629E-6</v>
          </cell>
          <cell r="C3412">
            <v>0</v>
          </cell>
          <cell r="D3412" t="e">
            <v>#VALUE!</v>
          </cell>
          <cell r="E3412" t="e">
            <v>#VALUE!</v>
          </cell>
          <cell r="F3412">
            <v>0</v>
          </cell>
        </row>
        <row r="3413">
          <cell r="A3413" t="str">
            <v>RKFCAR1A</v>
          </cell>
          <cell r="B3413">
            <v>-3.3110512745860095E-3</v>
          </cell>
          <cell r="C3413">
            <v>0</v>
          </cell>
          <cell r="D3413" t="e">
            <v>#VALUE!</v>
          </cell>
          <cell r="E3413" t="e">
            <v>#VALUE!</v>
          </cell>
          <cell r="F3413">
            <v>0</v>
          </cell>
        </row>
        <row r="3414">
          <cell r="A3414" t="str">
            <v>RKFCAR2A</v>
          </cell>
          <cell r="B3414">
            <v>5.0406367408370036E-5</v>
          </cell>
          <cell r="C3414">
            <v>0</v>
          </cell>
          <cell r="D3414" t="e">
            <v>#VALUE!</v>
          </cell>
          <cell r="E3414" t="e">
            <v>#VALUE!</v>
          </cell>
          <cell r="F3414">
            <v>0</v>
          </cell>
        </row>
        <row r="3415">
          <cell r="A3415" t="str">
            <v>RKFCAR3A</v>
          </cell>
          <cell r="B3415">
            <v>0</v>
          </cell>
          <cell r="C3415">
            <v>0</v>
          </cell>
          <cell r="D3415" t="e">
            <v>#VALUE!</v>
          </cell>
          <cell r="E3415" t="e">
            <v>#VALUE!</v>
          </cell>
          <cell r="F3415">
            <v>0</v>
          </cell>
        </row>
        <row r="3416">
          <cell r="A3416" t="str">
            <v>RKFCAR4A</v>
          </cell>
          <cell r="B3416">
            <v>6.9376151039175785E-2</v>
          </cell>
          <cell r="C3416">
            <v>0</v>
          </cell>
          <cell r="D3416" t="e">
            <v>#VALUE!</v>
          </cell>
          <cell r="E3416" t="e">
            <v>#VALUE!</v>
          </cell>
          <cell r="F3416">
            <v>0</v>
          </cell>
        </row>
        <row r="3417">
          <cell r="A3417" t="str">
            <v>RKFCAR5A</v>
          </cell>
          <cell r="B3417">
            <v>0</v>
          </cell>
          <cell r="C3417">
            <v>0</v>
          </cell>
          <cell r="D3417" t="e">
            <v>#VALUE!</v>
          </cell>
          <cell r="E3417" t="e">
            <v>#VALUE!</v>
          </cell>
          <cell r="F3417">
            <v>0</v>
          </cell>
        </row>
        <row r="3418">
          <cell r="A3418" t="str">
            <v>RKFCAR6A</v>
          </cell>
          <cell r="B3418">
            <v>-1.3077121965025446E-7</v>
          </cell>
          <cell r="C3418">
            <v>0</v>
          </cell>
          <cell r="D3418" t="e">
            <v>#VALUE!</v>
          </cell>
          <cell r="E3418" t="e">
            <v>#VALUE!</v>
          </cell>
          <cell r="F3418">
            <v>0</v>
          </cell>
        </row>
        <row r="3419">
          <cell r="A3419" t="str">
            <v>RKFCAR7A</v>
          </cell>
          <cell r="B3419">
            <v>-2.9242585450235422E-5</v>
          </cell>
          <cell r="C3419">
            <v>0</v>
          </cell>
          <cell r="D3419" t="e">
            <v>#VALUE!</v>
          </cell>
          <cell r="E3419" t="e">
            <v>#VALUE!</v>
          </cell>
          <cell r="F3419">
            <v>0</v>
          </cell>
        </row>
        <row r="3420">
          <cell r="A3420" t="str">
            <v>RKFCLVBA</v>
          </cell>
          <cell r="B3420">
            <v>1.1563449944943598E-3</v>
          </cell>
          <cell r="C3420">
            <v>0</v>
          </cell>
          <cell r="D3420" t="e">
            <v>#VALUE!</v>
          </cell>
          <cell r="E3420" t="e">
            <v>#VALUE!</v>
          </cell>
          <cell r="F3420">
            <v>0</v>
          </cell>
        </row>
        <row r="3421">
          <cell r="A3421" t="str">
            <v>RKFCLV1A</v>
          </cell>
          <cell r="B3421">
            <v>6.2810428100095882E-4</v>
          </cell>
          <cell r="C3421">
            <v>0</v>
          </cell>
          <cell r="D3421" t="e">
            <v>#VALUE!</v>
          </cell>
          <cell r="E3421" t="e">
            <v>#VALUE!</v>
          </cell>
          <cell r="F3421">
            <v>0</v>
          </cell>
        </row>
        <row r="3422">
          <cell r="A3422" t="str">
            <v>RKFCLV2A</v>
          </cell>
          <cell r="B3422">
            <v>1.5974017526724771E-3</v>
          </cell>
          <cell r="C3422">
            <v>0</v>
          </cell>
          <cell r="D3422" t="e">
            <v>#VALUE!</v>
          </cell>
          <cell r="E3422" t="e">
            <v>#VALUE!</v>
          </cell>
          <cell r="F3422">
            <v>0</v>
          </cell>
        </row>
        <row r="3423">
          <cell r="A3423" t="str">
            <v>RKFCLV3A</v>
          </cell>
          <cell r="B3423">
            <v>0</v>
          </cell>
          <cell r="C3423">
            <v>0</v>
          </cell>
          <cell r="D3423" t="e">
            <v>#VALUE!</v>
          </cell>
          <cell r="E3423" t="e">
            <v>#VALUE!</v>
          </cell>
          <cell r="F3423">
            <v>0</v>
          </cell>
        </row>
        <row r="3424">
          <cell r="A3424" t="str">
            <v>RKFCLV4A</v>
          </cell>
          <cell r="B3424">
            <v>-1.8302579665531034E-4</v>
          </cell>
          <cell r="C3424">
            <v>0</v>
          </cell>
          <cell r="D3424" t="e">
            <v>#VALUE!</v>
          </cell>
          <cell r="E3424" t="e">
            <v>#VALUE!</v>
          </cell>
          <cell r="F3424">
            <v>0</v>
          </cell>
        </row>
        <row r="3425">
          <cell r="A3425" t="str">
            <v>RKFCLV5A</v>
          </cell>
          <cell r="B3425">
            <v>0</v>
          </cell>
          <cell r="C3425">
            <v>0</v>
          </cell>
          <cell r="D3425" t="e">
            <v>#VALUE!</v>
          </cell>
          <cell r="E3425" t="e">
            <v>#VALUE!</v>
          </cell>
          <cell r="F3425">
            <v>0</v>
          </cell>
        </row>
        <row r="3426">
          <cell r="A3426" t="str">
            <v>RKFCLV6A</v>
          </cell>
          <cell r="B3426">
            <v>2.7786022114114158E-6</v>
          </cell>
          <cell r="C3426">
            <v>0</v>
          </cell>
          <cell r="D3426" t="e">
            <v>#VALUE!</v>
          </cell>
          <cell r="E3426" t="e">
            <v>#VALUE!</v>
          </cell>
          <cell r="F3426">
            <v>0</v>
          </cell>
        </row>
        <row r="3427">
          <cell r="A3427" t="str">
            <v>RKFCLV7A</v>
          </cell>
          <cell r="B3427">
            <v>5.0896903968811645E-5</v>
          </cell>
          <cell r="C3427">
            <v>0</v>
          </cell>
          <cell r="D3427" t="e">
            <v>#VALUE!</v>
          </cell>
          <cell r="E3427" t="e">
            <v>#VALUE!</v>
          </cell>
          <cell r="F3427">
            <v>0</v>
          </cell>
        </row>
        <row r="3428">
          <cell r="A3428" t="str">
            <v>RKFCNPCA</v>
          </cell>
          <cell r="B3428">
            <v>0</v>
          </cell>
          <cell r="C3428">
            <v>0</v>
          </cell>
          <cell r="D3428" t="e">
            <v>#VALUE!</v>
          </cell>
          <cell r="E3428" t="e">
            <v>#VALUE!</v>
          </cell>
          <cell r="F3428">
            <v>0</v>
          </cell>
        </row>
        <row r="3429">
          <cell r="A3429" t="str">
            <v>RKFCBNPA</v>
          </cell>
          <cell r="B3429">
            <v>0</v>
          </cell>
          <cell r="C3429">
            <v>0</v>
          </cell>
          <cell r="D3429" t="e">
            <v>#VALUE!</v>
          </cell>
          <cell r="E3429" t="e">
            <v>#VALUE!</v>
          </cell>
          <cell r="F3429">
            <v>0</v>
          </cell>
        </row>
        <row r="3430">
          <cell r="A3430" t="str">
            <v>RBNTSG3A</v>
          </cell>
          <cell r="B3430">
            <v>0</v>
          </cell>
          <cell r="C3430">
            <v>0</v>
          </cell>
          <cell r="D3430" t="e">
            <v>#VALUE!</v>
          </cell>
          <cell r="E3430" t="e">
            <v>#VALUE!</v>
          </cell>
          <cell r="F3430">
            <v>0</v>
          </cell>
        </row>
        <row r="3431">
          <cell r="A3431" t="str">
            <v>RBNTSG4A</v>
          </cell>
          <cell r="B3431">
            <v>-2.9130369249000916E-4</v>
          </cell>
          <cell r="C3431">
            <v>0</v>
          </cell>
          <cell r="D3431" t="e">
            <v>#VALUE!</v>
          </cell>
          <cell r="E3431" t="e">
            <v>#VALUE!</v>
          </cell>
          <cell r="F3431">
            <v>0</v>
          </cell>
        </row>
        <row r="3432">
          <cell r="A3432" t="str">
            <v>RBNTSG5A</v>
          </cell>
          <cell r="B3432">
            <v>0</v>
          </cell>
          <cell r="C3432">
            <v>0</v>
          </cell>
          <cell r="D3432" t="e">
            <v>#VALUE!</v>
          </cell>
          <cell r="E3432" t="e">
            <v>#VALUE!</v>
          </cell>
          <cell r="F3432">
            <v>0</v>
          </cell>
        </row>
        <row r="3433">
          <cell r="A3433" t="str">
            <v>RBNTSG6A</v>
          </cell>
          <cell r="B3433">
            <v>4.632566352773659E-6</v>
          </cell>
          <cell r="C3433">
            <v>0</v>
          </cell>
          <cell r="D3433" t="e">
            <v>#VALUE!</v>
          </cell>
          <cell r="E3433" t="e">
            <v>#VALUE!</v>
          </cell>
          <cell r="F3433">
            <v>0</v>
          </cell>
        </row>
        <row r="3434">
          <cell r="A3434" t="str">
            <v>RBNTSG7A</v>
          </cell>
          <cell r="B3434">
            <v>0</v>
          </cell>
          <cell r="C3434">
            <v>0</v>
          </cell>
          <cell r="D3434" t="e">
            <v>#VALUE!</v>
          </cell>
          <cell r="E3434" t="e">
            <v>#VALUE!</v>
          </cell>
          <cell r="F3434">
            <v>0</v>
          </cell>
        </row>
        <row r="3435">
          <cell r="A3435" t="str">
            <v>RBNTLG1A</v>
          </cell>
          <cell r="B3435">
            <v>-7.7821030466472861E-3</v>
          </cell>
          <cell r="C3435">
            <v>0</v>
          </cell>
          <cell r="D3435" t="e">
            <v>#VALUE!</v>
          </cell>
          <cell r="E3435" t="e">
            <v>#VALUE!</v>
          </cell>
          <cell r="F3435">
            <v>0</v>
          </cell>
        </row>
        <row r="3436">
          <cell r="A3436" t="str">
            <v>RBNTLG2A</v>
          </cell>
          <cell r="B3436">
            <v>-8.402955051023538E-3</v>
          </cell>
          <cell r="C3436">
            <v>0</v>
          </cell>
          <cell r="D3436" t="e">
            <v>#VALUE!</v>
          </cell>
          <cell r="E3436" t="e">
            <v>#VALUE!</v>
          </cell>
          <cell r="F3436">
            <v>0</v>
          </cell>
        </row>
        <row r="3437">
          <cell r="A3437" t="str">
            <v>RBNTLG3A</v>
          </cell>
          <cell r="B3437">
            <v>3.25186418892484E-6</v>
          </cell>
          <cell r="C3437">
            <v>0</v>
          </cell>
          <cell r="D3437" t="e">
            <v>#VALUE!</v>
          </cell>
          <cell r="E3437" t="e">
            <v>#VALUE!</v>
          </cell>
          <cell r="F3437">
            <v>0</v>
          </cell>
        </row>
        <row r="3438">
          <cell r="A3438" t="str">
            <v>RBNTGS1A</v>
          </cell>
          <cell r="B3438">
            <v>-3.3894750761659176E-3</v>
          </cell>
          <cell r="C3438">
            <v>0</v>
          </cell>
          <cell r="D3438" t="e">
            <v>#VALUE!</v>
          </cell>
          <cell r="E3438" t="e">
            <v>#VALUE!</v>
          </cell>
          <cell r="F3438">
            <v>0</v>
          </cell>
        </row>
        <row r="3439">
          <cell r="A3439" t="str">
            <v>RBNTGS2A</v>
          </cell>
          <cell r="B3439">
            <v>7.2009094989494175E-6</v>
          </cell>
          <cell r="C3439">
            <v>0</v>
          </cell>
          <cell r="D3439" t="e">
            <v>#VALUE!</v>
          </cell>
          <cell r="E3439" t="e">
            <v>#VALUE!</v>
          </cell>
          <cell r="F3439">
            <v>0</v>
          </cell>
        </row>
        <row r="3440">
          <cell r="A3440" t="str">
            <v>RBNTGS3A</v>
          </cell>
          <cell r="B3440">
            <v>0</v>
          </cell>
          <cell r="C3440">
            <v>0</v>
          </cell>
          <cell r="D3440" t="e">
            <v>#VALUE!</v>
          </cell>
          <cell r="E3440" t="e">
            <v>#VALUE!</v>
          </cell>
          <cell r="F3440">
            <v>0</v>
          </cell>
        </row>
        <row r="3441">
          <cell r="A3441" t="str">
            <v>RBNTGS4A</v>
          </cell>
          <cell r="B3441">
            <v>-5.9819605214240616E-3</v>
          </cell>
          <cell r="C3441">
            <v>0</v>
          </cell>
          <cell r="D3441" t="e">
            <v>#VALUE!</v>
          </cell>
          <cell r="E3441" t="e">
            <v>#VALUE!</v>
          </cell>
          <cell r="F3441">
            <v>0</v>
          </cell>
        </row>
        <row r="3442">
          <cell r="A3442" t="str">
            <v>RBNTGS5A</v>
          </cell>
          <cell r="B3442">
            <v>0</v>
          </cell>
          <cell r="C3442">
            <v>0</v>
          </cell>
          <cell r="D3442" t="e">
            <v>#VALUE!</v>
          </cell>
          <cell r="E3442" t="e">
            <v>#VALUE!</v>
          </cell>
          <cell r="F3442">
            <v>0</v>
          </cell>
        </row>
        <row r="3443">
          <cell r="A3443" t="str">
            <v>RBNTGS6A</v>
          </cell>
          <cell r="B3443">
            <v>7.3462576874091658E-6</v>
          </cell>
          <cell r="C3443">
            <v>0</v>
          </cell>
          <cell r="D3443" t="e">
            <v>#VALUE!</v>
          </cell>
          <cell r="E3443" t="e">
            <v>#VALUE!</v>
          </cell>
          <cell r="F3443">
            <v>0</v>
          </cell>
        </row>
        <row r="3444">
          <cell r="A3444" t="str">
            <v>RBNTGS7A</v>
          </cell>
          <cell r="B3444">
            <v>-4.6269911875504175E-6</v>
          </cell>
          <cell r="C3444">
            <v>0</v>
          </cell>
          <cell r="D3444" t="e">
            <v>#VALUE!</v>
          </cell>
          <cell r="E3444" t="e">
            <v>#VALUE!</v>
          </cell>
          <cell r="F3444">
            <v>0</v>
          </cell>
        </row>
        <row r="3445">
          <cell r="A3445" t="str">
            <v>RBNTPG1A</v>
          </cell>
          <cell r="B3445">
            <v>6.9954585500878019E-2</v>
          </cell>
          <cell r="C3445">
            <v>0</v>
          </cell>
          <cell r="D3445" t="e">
            <v>#VALUE!</v>
          </cell>
          <cell r="E3445" t="e">
            <v>#VALUE!</v>
          </cell>
          <cell r="F3445">
            <v>0</v>
          </cell>
        </row>
        <row r="3446">
          <cell r="A3446" t="str">
            <v>RBNTPG2A</v>
          </cell>
          <cell r="B3446">
            <v>-4.2870600477789136E-5</v>
          </cell>
          <cell r="C3446">
            <v>0</v>
          </cell>
          <cell r="D3446" t="e">
            <v>#VALUE!</v>
          </cell>
          <cell r="E3446" t="e">
            <v>#VALUE!</v>
          </cell>
          <cell r="F3446">
            <v>0</v>
          </cell>
        </row>
        <row r="3447">
          <cell r="A3447" t="str">
            <v>RBNTAR1A</v>
          </cell>
          <cell r="B3447">
            <v>-0.10998066563529205</v>
          </cell>
          <cell r="C3447">
            <v>0</v>
          </cell>
          <cell r="D3447" t="e">
            <v>#VALUE!</v>
          </cell>
          <cell r="E3447" t="e">
            <v>#VALUE!</v>
          </cell>
          <cell r="F3447">
            <v>0</v>
          </cell>
        </row>
        <row r="3448">
          <cell r="A3448" t="str">
            <v>RBNTAR2A</v>
          </cell>
          <cell r="B3448">
            <v>6.360803572907534E-6</v>
          </cell>
          <cell r="C3448">
            <v>0</v>
          </cell>
          <cell r="D3448" t="e">
            <v>#VALUE!</v>
          </cell>
          <cell r="E3448" t="e">
            <v>#VALUE!</v>
          </cell>
          <cell r="F3448">
            <v>0</v>
          </cell>
        </row>
        <row r="3449">
          <cell r="A3449" t="str">
            <v>RBNTAR3A</v>
          </cell>
          <cell r="B3449">
            <v>0</v>
          </cell>
          <cell r="C3449">
            <v>0</v>
          </cell>
          <cell r="D3449" t="e">
            <v>#VALUE!</v>
          </cell>
          <cell r="E3449" t="e">
            <v>#VALUE!</v>
          </cell>
          <cell r="F3449">
            <v>0</v>
          </cell>
        </row>
        <row r="3450">
          <cell r="A3450" t="str">
            <v>RBNTAR4A</v>
          </cell>
          <cell r="B3450">
            <v>-1.237376601565374</v>
          </cell>
          <cell r="C3450">
            <v>0</v>
          </cell>
          <cell r="D3450" t="e">
            <v>#VALUE!</v>
          </cell>
          <cell r="E3450" t="e">
            <v>#VALUE!</v>
          </cell>
          <cell r="F3450">
            <v>0</v>
          </cell>
        </row>
        <row r="3451">
          <cell r="A3451" t="str">
            <v>RBNTAR5A</v>
          </cell>
          <cell r="B3451">
            <v>0</v>
          </cell>
          <cell r="C3451">
            <v>0</v>
          </cell>
          <cell r="D3451" t="e">
            <v>#VALUE!</v>
          </cell>
          <cell r="E3451" t="e">
            <v>#VALUE!</v>
          </cell>
          <cell r="F3451">
            <v>0</v>
          </cell>
        </row>
        <row r="3452">
          <cell r="A3452" t="str">
            <v>RBNTAR6A</v>
          </cell>
          <cell r="B3452">
            <v>2.1051754352526651E-7</v>
          </cell>
          <cell r="C3452">
            <v>0</v>
          </cell>
          <cell r="D3452" t="e">
            <v>#VALUE!</v>
          </cell>
          <cell r="E3452" t="e">
            <v>#VALUE!</v>
          </cell>
          <cell r="F3452">
            <v>0</v>
          </cell>
        </row>
        <row r="3453">
          <cell r="A3453" t="str">
            <v>RBNTAR7A</v>
          </cell>
          <cell r="B3453">
            <v>1.6851502247409869E-3</v>
          </cell>
          <cell r="C3453">
            <v>0</v>
          </cell>
          <cell r="D3453" t="e">
            <v>#VALUE!</v>
          </cell>
          <cell r="E3453" t="e">
            <v>#VALUE!</v>
          </cell>
          <cell r="F3453">
            <v>0</v>
          </cell>
        </row>
        <row r="3454">
          <cell r="A3454" t="str">
            <v>RBNTLVBA</v>
          </cell>
          <cell r="B3454">
            <v>1.670764879058817E-2</v>
          </cell>
          <cell r="C3454">
            <v>0</v>
          </cell>
          <cell r="D3454" t="e">
            <v>#VALUE!</v>
          </cell>
          <cell r="E3454" t="e">
            <v>#VALUE!</v>
          </cell>
          <cell r="F3454">
            <v>0</v>
          </cell>
        </row>
        <row r="3455">
          <cell r="A3455" t="str">
            <v>RBNTLV1A</v>
          </cell>
          <cell r="B3455">
            <v>-1.2910083667072149E-3</v>
          </cell>
          <cell r="C3455">
            <v>0</v>
          </cell>
          <cell r="D3455" t="e">
            <v>#VALUE!</v>
          </cell>
          <cell r="E3455" t="e">
            <v>#VALUE!</v>
          </cell>
          <cell r="F3455">
            <v>0</v>
          </cell>
        </row>
        <row r="3456">
          <cell r="A3456" t="str">
            <v>RBNTLV2A</v>
          </cell>
          <cell r="B3456">
            <v>-6.6008337078478881E-5</v>
          </cell>
          <cell r="C3456">
            <v>0</v>
          </cell>
          <cell r="D3456" t="e">
            <v>#VALUE!</v>
          </cell>
          <cell r="E3456" t="e">
            <v>#VALUE!</v>
          </cell>
          <cell r="F3456">
            <v>0</v>
          </cell>
        </row>
        <row r="3457">
          <cell r="A3457" t="str">
            <v>RBNTLV3A</v>
          </cell>
          <cell r="B3457">
            <v>0</v>
          </cell>
          <cell r="C3457">
            <v>0</v>
          </cell>
          <cell r="D3457" t="e">
            <v>#VALUE!</v>
          </cell>
          <cell r="E3457" t="e">
            <v>#VALUE!</v>
          </cell>
          <cell r="F3457">
            <v>0</v>
          </cell>
        </row>
        <row r="3458">
          <cell r="A3458" t="str">
            <v>RBNTLV4A</v>
          </cell>
          <cell r="B3458">
            <v>2.932836385571385E-2</v>
          </cell>
          <cell r="C3458">
            <v>0</v>
          </cell>
          <cell r="D3458" t="e">
            <v>#VALUE!</v>
          </cell>
          <cell r="E3458" t="e">
            <v>#VALUE!</v>
          </cell>
          <cell r="F3458">
            <v>0</v>
          </cell>
        </row>
        <row r="3459">
          <cell r="A3459" t="str">
            <v>RBNTLV5A</v>
          </cell>
          <cell r="B3459">
            <v>0</v>
          </cell>
          <cell r="C3459">
            <v>0</v>
          </cell>
          <cell r="D3459" t="e">
            <v>#VALUE!</v>
          </cell>
          <cell r="E3459" t="e">
            <v>#VALUE!</v>
          </cell>
          <cell r="F3459">
            <v>0</v>
          </cell>
        </row>
        <row r="3460">
          <cell r="A3460" t="str">
            <v>RBNTLV6A</v>
          </cell>
          <cell r="B3460">
            <v>-2.9167189376033231E-4</v>
          </cell>
          <cell r="C3460">
            <v>0</v>
          </cell>
          <cell r="D3460" t="e">
            <v>#VALUE!</v>
          </cell>
          <cell r="E3460" t="e">
            <v>#VALUE!</v>
          </cell>
          <cell r="F3460">
            <v>0</v>
          </cell>
        </row>
        <row r="3461">
          <cell r="A3461" t="str">
            <v>RBNTLV7A</v>
          </cell>
          <cell r="B3461">
            <v>9.7629516596797441E-5</v>
          </cell>
          <cell r="C3461">
            <v>0</v>
          </cell>
          <cell r="D3461" t="e">
            <v>#VALUE!</v>
          </cell>
          <cell r="E3461" t="e">
            <v>#VALUE!</v>
          </cell>
          <cell r="F3461">
            <v>0</v>
          </cell>
        </row>
        <row r="3462">
          <cell r="A3462" t="str">
            <v>RBNTPVBA</v>
          </cell>
          <cell r="B3462">
            <v>5.4483015136155361E-2</v>
          </cell>
          <cell r="C3462">
            <v>0</v>
          </cell>
          <cell r="D3462" t="e">
            <v>#VALUE!</v>
          </cell>
          <cell r="E3462" t="e">
            <v>#VALUE!</v>
          </cell>
          <cell r="F3462">
            <v>0</v>
          </cell>
        </row>
        <row r="3463">
          <cell r="A3463" t="str">
            <v>RBNTDVLA</v>
          </cell>
          <cell r="B3463">
            <v>-1.0960461729812417E-6</v>
          </cell>
          <cell r="C3463">
            <v>0</v>
          </cell>
          <cell r="D3463" t="e">
            <v>#VALUE!</v>
          </cell>
          <cell r="E3463" t="e">
            <v>#VALUE!</v>
          </cell>
          <cell r="F3463">
            <v>0</v>
          </cell>
        </row>
        <row r="3464">
          <cell r="A3464" t="str">
            <v>RBNTPV1A</v>
          </cell>
          <cell r="B3464">
            <v>-1.5798211654597154E-2</v>
          </cell>
          <cell r="C3464">
            <v>0</v>
          </cell>
          <cell r="D3464" t="e">
            <v>#VALUE!</v>
          </cell>
          <cell r="E3464" t="e">
            <v>#VALUE!</v>
          </cell>
          <cell r="F3464">
            <v>0</v>
          </cell>
        </row>
        <row r="3465">
          <cell r="A3465" t="str">
            <v>RBNTPV2A</v>
          </cell>
          <cell r="B3465">
            <v>-1.2181538706549685E-4</v>
          </cell>
          <cell r="C3465">
            <v>0</v>
          </cell>
          <cell r="D3465" t="e">
            <v>#VALUE!</v>
          </cell>
          <cell r="E3465" t="e">
            <v>#VALUE!</v>
          </cell>
          <cell r="F3465">
            <v>0</v>
          </cell>
        </row>
        <row r="3466">
          <cell r="A3466" t="str">
            <v>RBNTPV3A</v>
          </cell>
          <cell r="B3466">
            <v>0</v>
          </cell>
          <cell r="C3466">
            <v>0</v>
          </cell>
          <cell r="D3466" t="e">
            <v>#VALUE!</v>
          </cell>
          <cell r="E3466" t="e">
            <v>#VALUE!</v>
          </cell>
          <cell r="F3466">
            <v>0</v>
          </cell>
        </row>
        <row r="3467">
          <cell r="A3467" t="str">
            <v>RBNTPV4A</v>
          </cell>
          <cell r="B3467">
            <v>-0.17156650513818819</v>
          </cell>
          <cell r="C3467">
            <v>0</v>
          </cell>
          <cell r="D3467" t="e">
            <v>#VALUE!</v>
          </cell>
          <cell r="E3467" t="e">
            <v>#VALUE!</v>
          </cell>
          <cell r="F3467">
            <v>0</v>
          </cell>
        </row>
        <row r="3468">
          <cell r="A3468" t="str">
            <v>RBNTPV5A</v>
          </cell>
          <cell r="B3468">
            <v>0</v>
          </cell>
          <cell r="C3468">
            <v>0</v>
          </cell>
          <cell r="D3468" t="e">
            <v>#VALUE!</v>
          </cell>
          <cell r="E3468" t="e">
            <v>#VALUE!</v>
          </cell>
          <cell r="F3468">
            <v>0</v>
          </cell>
        </row>
        <row r="3469">
          <cell r="A3469" t="str">
            <v>RBNTPV6A</v>
          </cell>
          <cell r="B3469">
            <v>-4.6774853613889428E-8</v>
          </cell>
          <cell r="C3469">
            <v>0</v>
          </cell>
          <cell r="D3469" t="e">
            <v>#VALUE!</v>
          </cell>
          <cell r="E3469" t="e">
            <v>#VALUE!</v>
          </cell>
          <cell r="F3469">
            <v>0</v>
          </cell>
        </row>
        <row r="3470">
          <cell r="A3470" t="str">
            <v>RBNTPV7A</v>
          </cell>
          <cell r="B3470">
            <v>-3.3777036029552046E-4</v>
          </cell>
          <cell r="C3470">
            <v>0</v>
          </cell>
          <cell r="D3470" t="e">
            <v>#VALUE!</v>
          </cell>
          <cell r="E3470" t="e">
            <v>#VALUE!</v>
          </cell>
          <cell r="F3470">
            <v>0</v>
          </cell>
        </row>
        <row r="3471">
          <cell r="A3471" t="str">
            <v>RBNTVRBA</v>
          </cell>
          <cell r="B3471">
            <v>-5.3030180104383054E-2</v>
          </cell>
          <cell r="C3471">
            <v>0</v>
          </cell>
          <cell r="D3471" t="e">
            <v>#VALUE!</v>
          </cell>
          <cell r="E3471" t="e">
            <v>#VALUE!</v>
          </cell>
          <cell r="F3471">
            <v>0</v>
          </cell>
        </row>
        <row r="3472">
          <cell r="A3472" t="str">
            <v>RBNTFCLA</v>
          </cell>
          <cell r="B3472">
            <v>1.2829449121159943E-6</v>
          </cell>
          <cell r="C3472">
            <v>0</v>
          </cell>
          <cell r="D3472" t="e">
            <v>#VALUE!</v>
          </cell>
          <cell r="E3472" t="e">
            <v>#VALUE!</v>
          </cell>
          <cell r="F3472">
            <v>0</v>
          </cell>
        </row>
        <row r="3473">
          <cell r="A3473" t="str">
            <v>RBNTVR1A</v>
          </cell>
          <cell r="B3473">
            <v>-3.3190379007751354E-4</v>
          </cell>
          <cell r="C3473">
            <v>0</v>
          </cell>
          <cell r="D3473" t="e">
            <v>#VALUE!</v>
          </cell>
          <cell r="E3473" t="e">
            <v>#VALUE!</v>
          </cell>
          <cell r="F3473">
            <v>0</v>
          </cell>
        </row>
        <row r="3474">
          <cell r="A3474" t="str">
            <v>RBNTVR2A</v>
          </cell>
          <cell r="B3474">
            <v>-1.7246178372074173E-4</v>
          </cell>
          <cell r="C3474">
            <v>0</v>
          </cell>
          <cell r="D3474" t="e">
            <v>#VALUE!</v>
          </cell>
          <cell r="E3474" t="e">
            <v>#VALUE!</v>
          </cell>
          <cell r="F3474">
            <v>0</v>
          </cell>
        </row>
        <row r="3475">
          <cell r="A3475" t="str">
            <v>RBNTVR3A</v>
          </cell>
          <cell r="B3475">
            <v>0</v>
          </cell>
          <cell r="C3475">
            <v>0</v>
          </cell>
          <cell r="D3475" t="e">
            <v>#VALUE!</v>
          </cell>
          <cell r="E3475" t="e">
            <v>#VALUE!</v>
          </cell>
          <cell r="F3475">
            <v>0</v>
          </cell>
        </row>
        <row r="3476">
          <cell r="A3476" t="str">
            <v>RBNTVR4A</v>
          </cell>
          <cell r="B3476">
            <v>-0.59871694306804712</v>
          </cell>
          <cell r="C3476">
            <v>0</v>
          </cell>
          <cell r="D3476" t="e">
            <v>#VALUE!</v>
          </cell>
          <cell r="E3476" t="e">
            <v>#VALUE!</v>
          </cell>
          <cell r="F3476">
            <v>0</v>
          </cell>
        </row>
        <row r="3477">
          <cell r="A3477" t="str">
            <v>RBNTVR5A</v>
          </cell>
          <cell r="B3477">
            <v>0</v>
          </cell>
          <cell r="C3477">
            <v>0</v>
          </cell>
          <cell r="D3477" t="e">
            <v>#VALUE!</v>
          </cell>
          <cell r="E3477" t="e">
            <v>#VALUE!</v>
          </cell>
          <cell r="F3477">
            <v>0</v>
          </cell>
        </row>
        <row r="3478">
          <cell r="A3478" t="str">
            <v>RBNTVR6A</v>
          </cell>
          <cell r="B3478">
            <v>1.9055867415525189E-7</v>
          </cell>
          <cell r="C3478">
            <v>0</v>
          </cell>
          <cell r="D3478" t="e">
            <v>#VALUE!</v>
          </cell>
          <cell r="E3478" t="e">
            <v>#VALUE!</v>
          </cell>
          <cell r="F3478">
            <v>0</v>
          </cell>
        </row>
        <row r="3479">
          <cell r="A3479" t="str">
            <v>RBNTVR7A</v>
          </cell>
          <cell r="B3479">
            <v>3.5812913173847923E-4</v>
          </cell>
          <cell r="C3479">
            <v>0</v>
          </cell>
          <cell r="D3479" t="e">
            <v>#VALUE!</v>
          </cell>
          <cell r="E3479" t="e">
            <v>#VALUE!</v>
          </cell>
          <cell r="F3479">
            <v>0</v>
          </cell>
        </row>
        <row r="3480">
          <cell r="A3480" t="str">
            <v>RBNTVR9A</v>
          </cell>
          <cell r="B3480">
            <v>-2.5145815911843147E-3</v>
          </cell>
          <cell r="C3480">
            <v>0</v>
          </cell>
          <cell r="D3480" t="e">
            <v>#VALUE!</v>
          </cell>
          <cell r="E3480" t="e">
            <v>#VALUE!</v>
          </cell>
          <cell r="F3480">
            <v>0</v>
          </cell>
        </row>
        <row r="3481">
          <cell r="A3481" t="str">
            <v>RBNTCFAA</v>
          </cell>
          <cell r="B3481">
            <v>0.50901327123993068</v>
          </cell>
          <cell r="C3481">
            <v>0</v>
          </cell>
          <cell r="D3481" t="e">
            <v>#VALUE!</v>
          </cell>
          <cell r="E3481" t="e">
            <v>#VALUE!</v>
          </cell>
          <cell r="F3481">
            <v>0</v>
          </cell>
        </row>
        <row r="3482">
          <cell r="A3482" t="str">
            <v>RBNTCWAA</v>
          </cell>
          <cell r="B3482">
            <v>0.50901327123993068</v>
          </cell>
          <cell r="C3482">
            <v>0</v>
          </cell>
          <cell r="D3482" t="e">
            <v>#VALUE!</v>
          </cell>
          <cell r="E3482" t="e">
            <v>#VALUE!</v>
          </cell>
          <cell r="F3482">
            <v>0</v>
          </cell>
        </row>
        <row r="3483">
          <cell r="A3483" t="str">
            <v>RBNTCZAA</v>
          </cell>
          <cell r="B3483">
            <v>0.50901327123993068</v>
          </cell>
          <cell r="C3483">
            <v>0</v>
          </cell>
          <cell r="D3483" t="e">
            <v>#VALUE!</v>
          </cell>
          <cell r="E3483" t="e">
            <v>#VALUE!</v>
          </cell>
          <cell r="F3483">
            <v>0</v>
          </cell>
        </row>
        <row r="3484">
          <cell r="A3484" t="str">
            <v>RBNTCFBA</v>
          </cell>
          <cell r="B3484">
            <v>0.13307328009116781</v>
          </cell>
          <cell r="C3484">
            <v>0</v>
          </cell>
          <cell r="D3484" t="e">
            <v>#VALUE!</v>
          </cell>
          <cell r="E3484" t="e">
            <v>#VALUE!</v>
          </cell>
          <cell r="F3484">
            <v>0</v>
          </cell>
        </row>
        <row r="3485">
          <cell r="A3485" t="str">
            <v>RBNTCXBA</v>
          </cell>
          <cell r="B3485">
            <v>0.13307328009116781</v>
          </cell>
          <cell r="C3485">
            <v>0</v>
          </cell>
          <cell r="D3485" t="e">
            <v>#VALUE!</v>
          </cell>
          <cell r="E3485" t="e">
            <v>#VALUE!</v>
          </cell>
          <cell r="F3485">
            <v>0</v>
          </cell>
        </row>
        <row r="3486">
          <cell r="A3486" t="str">
            <v>RBNTCYBA</v>
          </cell>
          <cell r="B3486">
            <v>0.13307328009116781</v>
          </cell>
          <cell r="C3486">
            <v>0</v>
          </cell>
          <cell r="D3486" t="e">
            <v>#VALUE!</v>
          </cell>
          <cell r="E3486" t="e">
            <v>#VALUE!</v>
          </cell>
          <cell r="F3486">
            <v>0</v>
          </cell>
        </row>
        <row r="3487">
          <cell r="A3487" t="str">
            <v>R400SK1A</v>
          </cell>
          <cell r="B3487">
            <v>2.1232211920879272E-4</v>
          </cell>
          <cell r="C3487">
            <v>0</v>
          </cell>
          <cell r="D3487" t="e">
            <v>#VALUE!</v>
          </cell>
          <cell r="E3487" t="e">
            <v>#VALUE!</v>
          </cell>
          <cell r="F3487">
            <v>0</v>
          </cell>
        </row>
        <row r="3488">
          <cell r="A3488" t="str">
            <v>R400SK2A</v>
          </cell>
          <cell r="B3488">
            <v>0</v>
          </cell>
          <cell r="C3488">
            <v>0</v>
          </cell>
          <cell r="D3488" t="e">
            <v>#VALUE!</v>
          </cell>
          <cell r="E3488" t="e">
            <v>#VALUE!</v>
          </cell>
          <cell r="F3488">
            <v>0</v>
          </cell>
        </row>
        <row r="3489">
          <cell r="A3489" t="str">
            <v>R400SK3A</v>
          </cell>
          <cell r="B3489">
            <v>0</v>
          </cell>
          <cell r="C3489">
            <v>0</v>
          </cell>
          <cell r="D3489" t="e">
            <v>#VALUE!</v>
          </cell>
          <cell r="E3489" t="e">
            <v>#VALUE!</v>
          </cell>
          <cell r="F3489">
            <v>0</v>
          </cell>
        </row>
        <row r="3490">
          <cell r="A3490" t="str">
            <v>R400SK5A</v>
          </cell>
          <cell r="B3490">
            <v>0</v>
          </cell>
          <cell r="C3490">
            <v>0</v>
          </cell>
          <cell r="D3490" t="e">
            <v>#VALUE!</v>
          </cell>
          <cell r="E3490" t="e">
            <v>#VALUE!</v>
          </cell>
          <cell r="F3490">
            <v>0</v>
          </cell>
        </row>
        <row r="3491">
          <cell r="A3491" t="str">
            <v>R400SK6A</v>
          </cell>
          <cell r="B3491">
            <v>-6.3851047954115418E-6</v>
          </cell>
          <cell r="C3491">
            <v>0</v>
          </cell>
          <cell r="D3491" t="e">
            <v>#VALUE!</v>
          </cell>
          <cell r="E3491" t="e">
            <v>#VALUE!</v>
          </cell>
          <cell r="F3491">
            <v>0</v>
          </cell>
        </row>
        <row r="3492">
          <cell r="A3492" t="str">
            <v>R400SK7A</v>
          </cell>
          <cell r="B3492">
            <v>-1.388097435565588E-6</v>
          </cell>
          <cell r="C3492">
            <v>0</v>
          </cell>
          <cell r="D3492" t="e">
            <v>#VALUE!</v>
          </cell>
          <cell r="E3492" t="e">
            <v>#VALUE!</v>
          </cell>
          <cell r="F3492">
            <v>0</v>
          </cell>
        </row>
        <row r="3493">
          <cell r="A3493" t="str">
            <v>R400LK2A</v>
          </cell>
          <cell r="B3493">
            <v>0</v>
          </cell>
          <cell r="C3493">
            <v>0</v>
          </cell>
          <cell r="D3493" t="e">
            <v>#VALUE!</v>
          </cell>
          <cell r="E3493" t="e">
            <v>#VALUE!</v>
          </cell>
          <cell r="F3493">
            <v>0</v>
          </cell>
        </row>
        <row r="3494">
          <cell r="A3494" t="str">
            <v>R400LK1A</v>
          </cell>
          <cell r="B3494">
            <v>-9.4772424872395302E-5</v>
          </cell>
          <cell r="C3494">
            <v>0</v>
          </cell>
          <cell r="D3494" t="e">
            <v>#VALUE!</v>
          </cell>
          <cell r="E3494" t="e">
            <v>#VALUE!</v>
          </cell>
          <cell r="F3494">
            <v>0</v>
          </cell>
        </row>
        <row r="3495">
          <cell r="A3495" t="str">
            <v>R400JPIA</v>
          </cell>
          <cell r="B3495">
            <v>-1.6379100549647151E-6</v>
          </cell>
          <cell r="C3495">
            <v>0</v>
          </cell>
          <cell r="D3495" t="e">
            <v>#VALUE!</v>
          </cell>
          <cell r="E3495" t="e">
            <v>#VALUE!</v>
          </cell>
          <cell r="F3495">
            <v>0</v>
          </cell>
        </row>
        <row r="3496">
          <cell r="A3496" t="str">
            <v>R400JETA</v>
          </cell>
          <cell r="B3496">
            <v>5.9648399611246093E-2</v>
          </cell>
          <cell r="C3496">
            <v>0</v>
          </cell>
          <cell r="D3496" t="e">
            <v>#VALUE!</v>
          </cell>
          <cell r="E3496" t="e">
            <v>#VALUE!</v>
          </cell>
          <cell r="F3496">
            <v>0</v>
          </cell>
        </row>
        <row r="3497">
          <cell r="A3497" t="str">
            <v>R400LK3A</v>
          </cell>
          <cell r="B3497">
            <v>-3.8910427771441714E-4</v>
          </cell>
          <cell r="C3497">
            <v>0</v>
          </cell>
          <cell r="D3497" t="e">
            <v>#VALUE!</v>
          </cell>
          <cell r="E3497" t="e">
            <v>#VALUE!</v>
          </cell>
          <cell r="F3497">
            <v>0</v>
          </cell>
        </row>
        <row r="3498">
          <cell r="A3498" t="str">
            <v>R400LK4A</v>
          </cell>
          <cell r="B3498">
            <v>-1.8573645502328872E-5</v>
          </cell>
          <cell r="C3498">
            <v>0</v>
          </cell>
          <cell r="D3498" t="e">
            <v>#VALUE!</v>
          </cell>
          <cell r="E3498" t="e">
            <v>#VALUE!</v>
          </cell>
          <cell r="F3498">
            <v>0</v>
          </cell>
        </row>
        <row r="3499">
          <cell r="A3499" t="str">
            <v>R400SG3A</v>
          </cell>
          <cell r="B3499">
            <v>0</v>
          </cell>
          <cell r="C3499">
            <v>0</v>
          </cell>
          <cell r="D3499" t="e">
            <v>#VALUE!</v>
          </cell>
          <cell r="E3499" t="e">
            <v>#VALUE!</v>
          </cell>
          <cell r="F3499">
            <v>0</v>
          </cell>
        </row>
        <row r="3500">
          <cell r="A3500" t="str">
            <v>R400SG4A</v>
          </cell>
          <cell r="B3500">
            <v>-5.8935318072007539E-5</v>
          </cell>
          <cell r="C3500">
            <v>0</v>
          </cell>
          <cell r="D3500" t="e">
            <v>#VALUE!</v>
          </cell>
          <cell r="E3500" t="e">
            <v>#VALUE!</v>
          </cell>
          <cell r="F3500">
            <v>0</v>
          </cell>
        </row>
        <row r="3501">
          <cell r="A3501" t="str">
            <v>R400SG5A</v>
          </cell>
          <cell r="B3501">
            <v>0</v>
          </cell>
          <cell r="C3501">
            <v>0</v>
          </cell>
          <cell r="D3501" t="e">
            <v>#VALUE!</v>
          </cell>
          <cell r="E3501" t="e">
            <v>#VALUE!</v>
          </cell>
          <cell r="F3501">
            <v>0</v>
          </cell>
        </row>
        <row r="3502">
          <cell r="A3502" t="str">
            <v>R400SG6A</v>
          </cell>
          <cell r="B3502">
            <v>-1.1041660954641921E-6</v>
          </cell>
          <cell r="C3502">
            <v>0</v>
          </cell>
          <cell r="D3502" t="e">
            <v>#VALUE!</v>
          </cell>
          <cell r="E3502" t="e">
            <v>#VALUE!</v>
          </cell>
          <cell r="F3502">
            <v>0</v>
          </cell>
        </row>
        <row r="3503">
          <cell r="A3503" t="str">
            <v>R400SG7A</v>
          </cell>
          <cell r="B3503">
            <v>0</v>
          </cell>
          <cell r="C3503">
            <v>0</v>
          </cell>
          <cell r="D3503" t="e">
            <v>#VALUE!</v>
          </cell>
          <cell r="E3503" t="e">
            <v>#VALUE!</v>
          </cell>
          <cell r="F3503">
            <v>0</v>
          </cell>
        </row>
        <row r="3504">
          <cell r="A3504" t="str">
            <v>R400LKFA</v>
          </cell>
          <cell r="B3504">
            <v>2.802820731778087E-3</v>
          </cell>
          <cell r="C3504">
            <v>0</v>
          </cell>
          <cell r="D3504" t="e">
            <v>#VALUE!</v>
          </cell>
          <cell r="E3504" t="e">
            <v>#VALUE!</v>
          </cell>
          <cell r="F3504">
            <v>0</v>
          </cell>
        </row>
        <row r="3505">
          <cell r="A3505" t="str">
            <v>R400LFKA</v>
          </cell>
          <cell r="B3505">
            <v>2.802820731778087E-3</v>
          </cell>
          <cell r="C3505">
            <v>0</v>
          </cell>
          <cell r="D3505" t="e">
            <v>#VALUE!</v>
          </cell>
          <cell r="E3505" t="e">
            <v>#VALUE!</v>
          </cell>
          <cell r="F3505">
            <v>0</v>
          </cell>
        </row>
        <row r="3506">
          <cell r="A3506" t="str">
            <v>R400PB1A</v>
          </cell>
          <cell r="B3506">
            <v>1.7870028136089848E-16</v>
          </cell>
          <cell r="C3506">
            <v>0</v>
          </cell>
          <cell r="D3506" t="e">
            <v>#VALUE!</v>
          </cell>
          <cell r="E3506" t="e">
            <v>#VALUE!</v>
          </cell>
          <cell r="F3506">
            <v>0</v>
          </cell>
        </row>
        <row r="3507">
          <cell r="A3507" t="str">
            <v>R400PB2A</v>
          </cell>
          <cell r="B3507">
            <v>0</v>
          </cell>
          <cell r="C3507">
            <v>0</v>
          </cell>
          <cell r="D3507" t="e">
            <v>#VALUE!</v>
          </cell>
          <cell r="E3507" t="e">
            <v>#VALUE!</v>
          </cell>
          <cell r="F3507">
            <v>0</v>
          </cell>
        </row>
        <row r="3508">
          <cell r="A3508" t="str">
            <v>R400PB3A</v>
          </cell>
          <cell r="B3508">
            <v>0</v>
          </cell>
          <cell r="C3508">
            <v>0</v>
          </cell>
          <cell r="D3508" t="e">
            <v>#VALUE!</v>
          </cell>
          <cell r="E3508" t="e">
            <v>#VALUE!</v>
          </cell>
          <cell r="F3508">
            <v>0</v>
          </cell>
        </row>
        <row r="3509">
          <cell r="A3509" t="str">
            <v>R400PB4A</v>
          </cell>
          <cell r="B3509">
            <v>-2.7793691876704793E-5</v>
          </cell>
          <cell r="C3509">
            <v>0</v>
          </cell>
          <cell r="D3509" t="e">
            <v>#VALUE!</v>
          </cell>
          <cell r="E3509" t="e">
            <v>#VALUE!</v>
          </cell>
          <cell r="F3509">
            <v>0</v>
          </cell>
        </row>
        <row r="3510">
          <cell r="A3510" t="str">
            <v>R400PP1A</v>
          </cell>
          <cell r="B3510">
            <v>0</v>
          </cell>
          <cell r="C3510">
            <v>0</v>
          </cell>
          <cell r="D3510" t="e">
            <v>#VALUE!</v>
          </cell>
          <cell r="E3510" t="e">
            <v>#VALUE!</v>
          </cell>
          <cell r="F3510">
            <v>0</v>
          </cell>
        </row>
        <row r="3511">
          <cell r="A3511" t="str">
            <v>R400PP2A</v>
          </cell>
          <cell r="B3511">
            <v>0</v>
          </cell>
          <cell r="C3511">
            <v>0</v>
          </cell>
          <cell r="D3511" t="e">
            <v>#VALUE!</v>
          </cell>
          <cell r="E3511" t="e">
            <v>#VALUE!</v>
          </cell>
          <cell r="F3511">
            <v>0</v>
          </cell>
        </row>
        <row r="3512">
          <cell r="A3512" t="str">
            <v>R400PP3A</v>
          </cell>
          <cell r="B3512">
            <v>-2.6089161712586979E-4</v>
          </cell>
          <cell r="C3512">
            <v>0</v>
          </cell>
          <cell r="D3512" t="e">
            <v>#VALUE!</v>
          </cell>
          <cell r="E3512" t="e">
            <v>#VALUE!</v>
          </cell>
          <cell r="F3512">
            <v>0</v>
          </cell>
        </row>
        <row r="3513">
          <cell r="A3513" t="str">
            <v>R400PP4A</v>
          </cell>
          <cell r="B3513">
            <v>0</v>
          </cell>
          <cell r="C3513">
            <v>0</v>
          </cell>
          <cell r="D3513" t="e">
            <v>#VALUE!</v>
          </cell>
          <cell r="E3513" t="e">
            <v>#VALUE!</v>
          </cell>
          <cell r="F3513">
            <v>0</v>
          </cell>
        </row>
        <row r="3514">
          <cell r="A3514" t="str">
            <v>RT10NBOA</v>
          </cell>
          <cell r="B3514">
            <v>2.5411040078823083E-4</v>
          </cell>
          <cell r="C3514">
            <v>0</v>
          </cell>
          <cell r="D3514" t="e">
            <v>#VALUE!</v>
          </cell>
          <cell r="E3514" t="e">
            <v>#VALUE!</v>
          </cell>
          <cell r="F3514">
            <v>0</v>
          </cell>
        </row>
        <row r="3515">
          <cell r="A3515" t="str">
            <v>RT10CAMA</v>
          </cell>
          <cell r="B3515">
            <v>0</v>
          </cell>
          <cell r="C3515">
            <v>0</v>
          </cell>
          <cell r="D3515" t="e">
            <v>#VALUE!</v>
          </cell>
          <cell r="E3515" t="e">
            <v>#VALUE!</v>
          </cell>
          <cell r="F3515">
            <v>0</v>
          </cell>
        </row>
        <row r="3516">
          <cell r="A3516" t="str">
            <v>RT10T14A</v>
          </cell>
          <cell r="B3516">
            <v>-9.2947642040783415E-2</v>
          </cell>
          <cell r="C3516">
            <v>0</v>
          </cell>
          <cell r="D3516" t="e">
            <v>#VALUE!</v>
          </cell>
          <cell r="E3516" t="e">
            <v>#VALUE!</v>
          </cell>
          <cell r="F3516">
            <v>0</v>
          </cell>
        </row>
        <row r="3517">
          <cell r="A3517" t="str">
            <v>RT10NCAA</v>
          </cell>
          <cell r="B3517">
            <v>1.4016428653929025E-2</v>
          </cell>
          <cell r="C3517">
            <v>0</v>
          </cell>
          <cell r="D3517" t="e">
            <v>#VALUE!</v>
          </cell>
          <cell r="E3517" t="e">
            <v>#VALUE!</v>
          </cell>
          <cell r="F3517">
            <v>0</v>
          </cell>
        </row>
        <row r="3518">
          <cell r="A3518" t="str">
            <v>RT50LCAA</v>
          </cell>
          <cell r="B3518">
            <v>3.7883322456315773E-3</v>
          </cell>
          <cell r="C3518">
            <v>0</v>
          </cell>
          <cell r="D3518" t="e">
            <v>#VALUE!</v>
          </cell>
          <cell r="E3518" t="e">
            <v>#VALUE!</v>
          </cell>
          <cell r="F3518">
            <v>0</v>
          </cell>
        </row>
        <row r="3519">
          <cell r="A3519" t="str">
            <v>RT50LCBA</v>
          </cell>
          <cell r="B3519">
            <v>3.4931899494912528E-3</v>
          </cell>
          <cell r="C3519">
            <v>0</v>
          </cell>
          <cell r="D3519" t="e">
            <v>#VALUE!</v>
          </cell>
          <cell r="E3519" t="e">
            <v>#VALUE!</v>
          </cell>
          <cell r="F3519">
            <v>0</v>
          </cell>
        </row>
        <row r="3520">
          <cell r="A3520" t="str">
            <v>RT50LCTA</v>
          </cell>
          <cell r="B3520">
            <v>-3.3017500926268428E-2</v>
          </cell>
          <cell r="C3520">
            <v>0</v>
          </cell>
          <cell r="D3520" t="e">
            <v>#VALUE!</v>
          </cell>
          <cell r="E3520" t="e">
            <v>#VALUE!</v>
          </cell>
          <cell r="F3520">
            <v>0</v>
          </cell>
        </row>
        <row r="3521">
          <cell r="A3521" t="str">
            <v>RT50NBOA</v>
          </cell>
          <cell r="B3521">
            <v>3.1300758614447223E-4</v>
          </cell>
          <cell r="C3521">
            <v>0</v>
          </cell>
          <cell r="D3521" t="e">
            <v>#VALUE!</v>
          </cell>
          <cell r="E3521" t="e">
            <v>#VALUE!</v>
          </cell>
          <cell r="F3521">
            <v>0</v>
          </cell>
        </row>
        <row r="3522">
          <cell r="A3522" t="str">
            <v>RT50CAMA</v>
          </cell>
          <cell r="B3522">
            <v>0</v>
          </cell>
          <cell r="C3522">
            <v>0</v>
          </cell>
          <cell r="D3522" t="e">
            <v>#VALUE!</v>
          </cell>
          <cell r="E3522" t="e">
            <v>#VALUE!</v>
          </cell>
          <cell r="F3522">
            <v>0</v>
          </cell>
        </row>
        <row r="3523">
          <cell r="A3523" t="str">
            <v>RT50T14A</v>
          </cell>
          <cell r="B3523">
            <v>-0.11146274571345277</v>
          </cell>
          <cell r="C3523">
            <v>0</v>
          </cell>
          <cell r="D3523" t="e">
            <v>#VALUE!</v>
          </cell>
          <cell r="E3523" t="e">
            <v>#VALUE!</v>
          </cell>
          <cell r="F3523">
            <v>0</v>
          </cell>
        </row>
        <row r="3524">
          <cell r="A3524" t="str">
            <v>RT50NCAA</v>
          </cell>
          <cell r="B3524">
            <v>2.2065794175771411E-2</v>
          </cell>
          <cell r="C3524">
            <v>0</v>
          </cell>
          <cell r="D3524" t="e">
            <v>#VALUE!</v>
          </cell>
          <cell r="E3524" t="e">
            <v>#VALUE!</v>
          </cell>
          <cell r="F3524">
            <v>0</v>
          </cell>
        </row>
        <row r="3525">
          <cell r="A3525" t="str">
            <v>RT50LCXA</v>
          </cell>
          <cell r="B3525">
            <v>-3.3017500926268428E-2</v>
          </cell>
          <cell r="C3525">
            <v>0</v>
          </cell>
          <cell r="D3525" t="e">
            <v>#VALUE!</v>
          </cell>
          <cell r="E3525" t="e">
            <v>#VALUE!</v>
          </cell>
          <cell r="F3525">
            <v>0</v>
          </cell>
        </row>
        <row r="3526">
          <cell r="A3526" t="str">
            <v>RT50LCIA</v>
          </cell>
          <cell r="B3526">
            <v>-3.3017500926268428E-2</v>
          </cell>
          <cell r="C3526">
            <v>0</v>
          </cell>
          <cell r="D3526" t="e">
            <v>#VALUE!</v>
          </cell>
          <cell r="E3526" t="e">
            <v>#VALUE!</v>
          </cell>
          <cell r="F3526">
            <v>0</v>
          </cell>
        </row>
        <row r="3527">
          <cell r="A3527" t="str">
            <v>RT50LCJA</v>
          </cell>
          <cell r="B3527">
            <v>-3.3017500926268428E-2</v>
          </cell>
          <cell r="C3527">
            <v>0</v>
          </cell>
          <cell r="D3527" t="e">
            <v>#VALUE!</v>
          </cell>
          <cell r="E3527" t="e">
            <v>#VALUE!</v>
          </cell>
          <cell r="F3527">
            <v>0</v>
          </cell>
        </row>
        <row r="3528">
          <cell r="A3528" t="str">
            <v>RT50LCKA</v>
          </cell>
          <cell r="B3528">
            <v>-3.3017500926268428E-2</v>
          </cell>
          <cell r="C3528">
            <v>0</v>
          </cell>
          <cell r="D3528" t="e">
            <v>#VALUE!</v>
          </cell>
          <cell r="E3528" t="e">
            <v>#VALUE!</v>
          </cell>
          <cell r="F3528">
            <v>0</v>
          </cell>
        </row>
        <row r="3529">
          <cell r="A3529" t="str">
            <v>RT50RCJA</v>
          </cell>
          <cell r="B3529">
            <v>-3.3017500926268428E-2</v>
          </cell>
          <cell r="C3529">
            <v>0</v>
          </cell>
          <cell r="D3529" t="e">
            <v>#VALUE!</v>
          </cell>
          <cell r="E3529" t="e">
            <v>#VALUE!</v>
          </cell>
          <cell r="F3529">
            <v>0</v>
          </cell>
        </row>
        <row r="3530">
          <cell r="A3530" t="str">
            <v>RT50RCKA</v>
          </cell>
          <cell r="B3530">
            <v>-3.3017500926268428E-2</v>
          </cell>
          <cell r="C3530">
            <v>0</v>
          </cell>
          <cell r="D3530" t="e">
            <v>#VALUE!</v>
          </cell>
          <cell r="E3530" t="e">
            <v>#VALUE!</v>
          </cell>
          <cell r="F3530">
            <v>0</v>
          </cell>
        </row>
        <row r="3531">
          <cell r="A3531" t="str">
            <v>RT50LCZA</v>
          </cell>
          <cell r="B3531">
            <v>0</v>
          </cell>
          <cell r="C3531">
            <v>0</v>
          </cell>
          <cell r="D3531" t="e">
            <v>#VALUE!</v>
          </cell>
          <cell r="E3531" t="e">
            <v>#VALUE!</v>
          </cell>
          <cell r="F3531">
            <v>0</v>
          </cell>
        </row>
        <row r="3532">
          <cell r="A3532" t="str">
            <v>RLV1AR1A</v>
          </cell>
          <cell r="B3532">
            <v>-5.3058081366170013E-5</v>
          </cell>
          <cell r="C3532">
            <v>0</v>
          </cell>
          <cell r="D3532" t="e">
            <v>#VALUE!</v>
          </cell>
          <cell r="E3532" t="e">
            <v>#VALUE!</v>
          </cell>
          <cell r="F3532">
            <v>0</v>
          </cell>
        </row>
        <row r="3533">
          <cell r="A3533" t="str">
            <v>RPV1AR1A</v>
          </cell>
          <cell r="B3533">
            <v>5.7831755599767199E-5</v>
          </cell>
          <cell r="C3533">
            <v>0</v>
          </cell>
          <cell r="D3533" t="e">
            <v>#VALUE!</v>
          </cell>
          <cell r="E3533" t="e">
            <v>#VALUE!</v>
          </cell>
          <cell r="F3533">
            <v>0</v>
          </cell>
        </row>
        <row r="3534">
          <cell r="A3534" t="str">
            <v>RVR1AR1A</v>
          </cell>
          <cell r="B3534">
            <v>-2.0145472475608224E-4</v>
          </cell>
          <cell r="C3534">
            <v>0</v>
          </cell>
          <cell r="D3534" t="e">
            <v>#VALUE!</v>
          </cell>
          <cell r="E3534" t="e">
            <v>#VALUE!</v>
          </cell>
          <cell r="F3534">
            <v>0</v>
          </cell>
        </row>
        <row r="3535">
          <cell r="A3535" t="str">
            <v>RLV2AR2A</v>
          </cell>
          <cell r="B3535">
            <v>-2.5203183068083803E-8</v>
          </cell>
          <cell r="C3535">
            <v>0</v>
          </cell>
          <cell r="D3535" t="e">
            <v>#VALUE!</v>
          </cell>
          <cell r="E3535" t="e">
            <v>#VALUE!</v>
          </cell>
          <cell r="F3535">
            <v>0</v>
          </cell>
        </row>
        <row r="3536">
          <cell r="A3536" t="str">
            <v>RPV2AR2A</v>
          </cell>
          <cell r="B3536">
            <v>1.1212440416510281E-4</v>
          </cell>
          <cell r="C3536">
            <v>0</v>
          </cell>
          <cell r="D3536" t="e">
            <v>#VALUE!</v>
          </cell>
          <cell r="E3536" t="e">
            <v>#VALUE!</v>
          </cell>
          <cell r="F3536">
            <v>0</v>
          </cell>
        </row>
        <row r="3537">
          <cell r="A3537" t="str">
            <v>RVR2AR2A</v>
          </cell>
          <cell r="B3537">
            <v>-1.7966269171809047E-7</v>
          </cell>
          <cell r="C3537">
            <v>0</v>
          </cell>
          <cell r="D3537" t="e">
            <v>#VALUE!</v>
          </cell>
          <cell r="E3537" t="e">
            <v>#VALUE!</v>
          </cell>
          <cell r="F3537">
            <v>0</v>
          </cell>
        </row>
        <row r="3538">
          <cell r="A3538" t="str">
            <v>RLV3AR3A</v>
          </cell>
          <cell r="B3538">
            <v>0</v>
          </cell>
          <cell r="C3538">
            <v>0</v>
          </cell>
          <cell r="D3538" t="e">
            <v>#VALUE!</v>
          </cell>
          <cell r="E3538" t="e">
            <v>#VALUE!</v>
          </cell>
          <cell r="F3538">
            <v>0</v>
          </cell>
        </row>
        <row r="3539">
          <cell r="A3539" t="str">
            <v>RPV3AR3A</v>
          </cell>
          <cell r="B3539">
            <v>0</v>
          </cell>
          <cell r="C3539">
            <v>0</v>
          </cell>
          <cell r="D3539" t="e">
            <v>#VALUE!</v>
          </cell>
          <cell r="E3539" t="e">
            <v>#VALUE!</v>
          </cell>
          <cell r="F3539">
            <v>0</v>
          </cell>
        </row>
        <row r="3540">
          <cell r="A3540" t="str">
            <v>RVR3AR3A</v>
          </cell>
          <cell r="B3540">
            <v>0</v>
          </cell>
          <cell r="C3540">
            <v>0</v>
          </cell>
          <cell r="D3540" t="e">
            <v>#VALUE!</v>
          </cell>
          <cell r="E3540" t="e">
            <v>#VALUE!</v>
          </cell>
          <cell r="F3540">
            <v>0</v>
          </cell>
        </row>
        <row r="3541">
          <cell r="A3541" t="str">
            <v>RLV4AR4A</v>
          </cell>
          <cell r="B3541">
            <v>-1.105457865346019E-3</v>
          </cell>
          <cell r="C3541">
            <v>0</v>
          </cell>
          <cell r="D3541" t="e">
            <v>#VALUE!</v>
          </cell>
          <cell r="E3541" t="e">
            <v>#VALUE!</v>
          </cell>
          <cell r="F3541">
            <v>0</v>
          </cell>
        </row>
        <row r="3542">
          <cell r="A3542" t="str">
            <v>RPV4AR4A</v>
          </cell>
          <cell r="B3542">
            <v>1.3298859813789621E-3</v>
          </cell>
          <cell r="C3542">
            <v>0</v>
          </cell>
          <cell r="D3542" t="e">
            <v>#VALUE!</v>
          </cell>
          <cell r="E3542" t="e">
            <v>#VALUE!</v>
          </cell>
          <cell r="F3542">
            <v>0</v>
          </cell>
        </row>
        <row r="3543">
          <cell r="A3543" t="str">
            <v>RVR4AR4A</v>
          </cell>
          <cell r="B3543">
            <v>-2.6424053437650611E-3</v>
          </cell>
          <cell r="C3543">
            <v>0</v>
          </cell>
          <cell r="D3543" t="e">
            <v>#VALUE!</v>
          </cell>
          <cell r="E3543" t="e">
            <v>#VALUE!</v>
          </cell>
          <cell r="F3543">
            <v>0</v>
          </cell>
        </row>
        <row r="3544">
          <cell r="A3544" t="str">
            <v>RLV5AR5A</v>
          </cell>
          <cell r="B3544">
            <v>0</v>
          </cell>
          <cell r="C3544">
            <v>0</v>
          </cell>
          <cell r="D3544" t="e">
            <v>#VALUE!</v>
          </cell>
          <cell r="E3544" t="e">
            <v>#VALUE!</v>
          </cell>
          <cell r="F3544">
            <v>0</v>
          </cell>
        </row>
        <row r="3545">
          <cell r="A3545" t="str">
            <v>RPV5AR5A</v>
          </cell>
          <cell r="B3545">
            <v>0</v>
          </cell>
          <cell r="C3545">
            <v>0</v>
          </cell>
          <cell r="D3545" t="e">
            <v>#VALUE!</v>
          </cell>
          <cell r="E3545" t="e">
            <v>#VALUE!</v>
          </cell>
          <cell r="F3545">
            <v>0</v>
          </cell>
        </row>
        <row r="3546">
          <cell r="A3546" t="str">
            <v>RVR5AR5A</v>
          </cell>
          <cell r="B3546">
            <v>0</v>
          </cell>
          <cell r="C3546">
            <v>0</v>
          </cell>
          <cell r="D3546" t="e">
            <v>#VALUE!</v>
          </cell>
          <cell r="E3546" t="e">
            <v>#VALUE!</v>
          </cell>
          <cell r="F3546">
            <v>0</v>
          </cell>
        </row>
        <row r="3547">
          <cell r="A3547" t="str">
            <v>RLV6AR6A</v>
          </cell>
          <cell r="B3547">
            <v>3.5258243083138052E-10</v>
          </cell>
          <cell r="C3547">
            <v>0</v>
          </cell>
          <cell r="D3547" t="e">
            <v>#VALUE!</v>
          </cell>
          <cell r="E3547" t="e">
            <v>#VALUE!</v>
          </cell>
          <cell r="F3547">
            <v>0</v>
          </cell>
        </row>
        <row r="3548">
          <cell r="A3548" t="str">
            <v>RPV6AR6A</v>
          </cell>
          <cell r="B3548">
            <v>-2.0378235919416162E-8</v>
          </cell>
          <cell r="C3548">
            <v>0</v>
          </cell>
          <cell r="D3548" t="e">
            <v>#VALUE!</v>
          </cell>
          <cell r="E3548" t="e">
            <v>#VALUE!</v>
          </cell>
          <cell r="F3548">
            <v>0</v>
          </cell>
        </row>
        <row r="3549">
          <cell r="A3549" t="str">
            <v>RVR6AR6A</v>
          </cell>
          <cell r="B3549">
            <v>4.6216958011799258E-9</v>
          </cell>
          <cell r="C3549">
            <v>0</v>
          </cell>
          <cell r="D3549" t="e">
            <v>#VALUE!</v>
          </cell>
          <cell r="E3549" t="e">
            <v>#VALUE!</v>
          </cell>
          <cell r="F3549">
            <v>0</v>
          </cell>
        </row>
        <row r="3550">
          <cell r="A3550" t="str">
            <v>RLV7AR7A</v>
          </cell>
          <cell r="B3550">
            <v>1.2122717765883513E-7</v>
          </cell>
          <cell r="C3550">
            <v>0</v>
          </cell>
          <cell r="D3550" t="e">
            <v>#VALUE!</v>
          </cell>
          <cell r="E3550" t="e">
            <v>#VALUE!</v>
          </cell>
          <cell r="F3550">
            <v>0</v>
          </cell>
        </row>
        <row r="3551">
          <cell r="A3551" t="str">
            <v>RPV7AR7A</v>
          </cell>
          <cell r="B3551">
            <v>-1.7064343914893945E-6</v>
          </cell>
          <cell r="C3551">
            <v>0</v>
          </cell>
          <cell r="D3551" t="e">
            <v>#VALUE!</v>
          </cell>
          <cell r="E3551" t="e">
            <v>#VALUE!</v>
          </cell>
          <cell r="F3551">
            <v>0</v>
          </cell>
        </row>
        <row r="3552">
          <cell r="A3552" t="str">
            <v>RVR7AR7A</v>
          </cell>
          <cell r="B3552">
            <v>1.5852072209943875E-6</v>
          </cell>
          <cell r="C3552">
            <v>0</v>
          </cell>
          <cell r="D3552" t="e">
            <v>#VALUE!</v>
          </cell>
          <cell r="E3552" t="e">
            <v>#VALUE!</v>
          </cell>
          <cell r="F3552">
            <v>0</v>
          </cell>
        </row>
        <row r="3553">
          <cell r="A3553" t="str">
            <v>RIIFSK1A</v>
          </cell>
          <cell r="B3553">
            <v>2.1281648799737162E-2</v>
          </cell>
          <cell r="C3553">
            <v>0</v>
          </cell>
          <cell r="D3553" t="e">
            <v>#VALUE!</v>
          </cell>
          <cell r="E3553" t="e">
            <v>#VALUE!</v>
          </cell>
          <cell r="F3553">
            <v>0</v>
          </cell>
        </row>
        <row r="3554">
          <cell r="A3554" t="str">
            <v>RIIFSK2A</v>
          </cell>
          <cell r="B3554">
            <v>2.3402955788921257E-4</v>
          </cell>
          <cell r="C3554">
            <v>0</v>
          </cell>
          <cell r="D3554" t="e">
            <v>#VALUE!</v>
          </cell>
          <cell r="E3554" t="e">
            <v>#VALUE!</v>
          </cell>
          <cell r="F3554">
            <v>0</v>
          </cell>
        </row>
        <row r="3555">
          <cell r="A3555" t="str">
            <v>RIIFSK3A</v>
          </cell>
          <cell r="B3555">
            <v>0</v>
          </cell>
          <cell r="C3555">
            <v>0</v>
          </cell>
          <cell r="D3555" t="e">
            <v>#VALUE!</v>
          </cell>
          <cell r="E3555" t="e">
            <v>#VALUE!</v>
          </cell>
          <cell r="F3555">
            <v>0</v>
          </cell>
        </row>
        <row r="3556">
          <cell r="A3556" t="str">
            <v>RIIFSK5A</v>
          </cell>
          <cell r="B3556">
            <v>0</v>
          </cell>
          <cell r="C3556">
            <v>0</v>
          </cell>
          <cell r="D3556" t="e">
            <v>#VALUE!</v>
          </cell>
          <cell r="E3556" t="e">
            <v>#VALUE!</v>
          </cell>
          <cell r="F3556">
            <v>0</v>
          </cell>
        </row>
        <row r="3557">
          <cell r="A3557" t="str">
            <v>RIIFSK6A</v>
          </cell>
          <cell r="B3557">
            <v>-1.8042119089928647E-3</v>
          </cell>
          <cell r="C3557">
            <v>0</v>
          </cell>
          <cell r="D3557" t="e">
            <v>#VALUE!</v>
          </cell>
          <cell r="E3557" t="e">
            <v>#VALUE!</v>
          </cell>
          <cell r="F3557">
            <v>0</v>
          </cell>
        </row>
        <row r="3558">
          <cell r="A3558" t="str">
            <v>RIIFSK7A</v>
          </cell>
          <cell r="B3558">
            <v>-1.3880974107600543E-4</v>
          </cell>
          <cell r="C3558">
            <v>0</v>
          </cell>
          <cell r="D3558" t="e">
            <v>#VALUE!</v>
          </cell>
          <cell r="E3558" t="e">
            <v>#VALUE!</v>
          </cell>
          <cell r="F3558">
            <v>0</v>
          </cell>
        </row>
        <row r="3559">
          <cell r="A3559" t="str">
            <v>RIIFLK2A</v>
          </cell>
          <cell r="B3559">
            <v>0</v>
          </cell>
          <cell r="C3559">
            <v>0</v>
          </cell>
          <cell r="D3559" t="e">
            <v>#VALUE!</v>
          </cell>
          <cell r="E3559" t="e">
            <v>#VALUE!</v>
          </cell>
          <cell r="F3559">
            <v>0</v>
          </cell>
        </row>
        <row r="3560">
          <cell r="A3560" t="str">
            <v>RIIFLK1A</v>
          </cell>
          <cell r="B3560">
            <v>-1.3648263363754505E-3</v>
          </cell>
          <cell r="C3560">
            <v>0</v>
          </cell>
          <cell r="D3560" t="e">
            <v>#VALUE!</v>
          </cell>
          <cell r="E3560" t="e">
            <v>#VALUE!</v>
          </cell>
          <cell r="F3560">
            <v>0</v>
          </cell>
        </row>
        <row r="3561">
          <cell r="A3561" t="str">
            <v>RIIFJPIA</v>
          </cell>
          <cell r="B3561">
            <v>6.9589317737989227E-5</v>
          </cell>
          <cell r="C3561">
            <v>0</v>
          </cell>
          <cell r="D3561" t="e">
            <v>#VALUE!</v>
          </cell>
          <cell r="E3561" t="e">
            <v>#VALUE!</v>
          </cell>
          <cell r="F3561">
            <v>0</v>
          </cell>
        </row>
        <row r="3562">
          <cell r="A3562" t="str">
            <v>RIIFJETA</v>
          </cell>
          <cell r="B3562">
            <v>0.16436213689492632</v>
          </cell>
          <cell r="C3562">
            <v>0</v>
          </cell>
          <cell r="D3562" t="e">
            <v>#VALUE!</v>
          </cell>
          <cell r="E3562" t="e">
            <v>#VALUE!</v>
          </cell>
          <cell r="F3562">
            <v>0</v>
          </cell>
        </row>
        <row r="3563">
          <cell r="A3563" t="str">
            <v>RIIFLK3A</v>
          </cell>
          <cell r="B3563">
            <v>0.13116365829291307</v>
          </cell>
          <cell r="C3563">
            <v>0</v>
          </cell>
          <cell r="D3563" t="e">
            <v>#VALUE!</v>
          </cell>
          <cell r="E3563" t="e">
            <v>#VALUE!</v>
          </cell>
          <cell r="F3563">
            <v>0</v>
          </cell>
        </row>
        <row r="3564">
          <cell r="A3564" t="str">
            <v>RIIFLK4A</v>
          </cell>
          <cell r="B3564">
            <v>-1.6295100423532908E-3</v>
          </cell>
          <cell r="C3564">
            <v>0</v>
          </cell>
          <cell r="D3564" t="e">
            <v>#VALUE!</v>
          </cell>
          <cell r="E3564" t="e">
            <v>#VALUE!</v>
          </cell>
          <cell r="F3564">
            <v>0</v>
          </cell>
        </row>
        <row r="3565">
          <cell r="A3565" t="str">
            <v>RIIFSG3A</v>
          </cell>
          <cell r="B3565">
            <v>0</v>
          </cell>
          <cell r="C3565">
            <v>0</v>
          </cell>
          <cell r="D3565" t="e">
            <v>#VALUE!</v>
          </cell>
          <cell r="E3565" t="e">
            <v>#VALUE!</v>
          </cell>
          <cell r="F3565">
            <v>0</v>
          </cell>
        </row>
        <row r="3566">
          <cell r="A3566" t="str">
            <v>RIIFSG4A</v>
          </cell>
          <cell r="B3566">
            <v>-1.600493441578256E-2</v>
          </cell>
          <cell r="C3566">
            <v>0</v>
          </cell>
          <cell r="D3566" t="e">
            <v>#VALUE!</v>
          </cell>
          <cell r="E3566" t="e">
            <v>#VALUE!</v>
          </cell>
          <cell r="F3566">
            <v>0</v>
          </cell>
        </row>
        <row r="3567">
          <cell r="A3567" t="str">
            <v>RIIFSG5A</v>
          </cell>
          <cell r="B3567">
            <v>0</v>
          </cell>
          <cell r="C3567">
            <v>0</v>
          </cell>
          <cell r="D3567" t="e">
            <v>#VALUE!</v>
          </cell>
          <cell r="E3567" t="e">
            <v>#VALUE!</v>
          </cell>
          <cell r="F3567">
            <v>0</v>
          </cell>
        </row>
        <row r="3568">
          <cell r="A3568" t="str">
            <v>RIIFSG6A</v>
          </cell>
          <cell r="B3568">
            <v>-2.4458478605370208E-5</v>
          </cell>
          <cell r="C3568">
            <v>0</v>
          </cell>
          <cell r="D3568" t="e">
            <v>#VALUE!</v>
          </cell>
          <cell r="E3568" t="e">
            <v>#VALUE!</v>
          </cell>
          <cell r="F3568">
            <v>0</v>
          </cell>
        </row>
        <row r="3569">
          <cell r="A3569" t="str">
            <v>RIIFSG7A</v>
          </cell>
          <cell r="B3569">
            <v>-4.6269912784998878E-5</v>
          </cell>
          <cell r="C3569">
            <v>0</v>
          </cell>
          <cell r="D3569" t="e">
            <v>#VALUE!</v>
          </cell>
          <cell r="E3569" t="e">
            <v>#VALUE!</v>
          </cell>
          <cell r="F3569">
            <v>0</v>
          </cell>
        </row>
        <row r="3570">
          <cell r="A3570" t="str">
            <v>RIIFLKFA</v>
          </cell>
          <cell r="B3570">
            <v>3.3851764105859994E-2</v>
          </cell>
          <cell r="C3570">
            <v>0</v>
          </cell>
          <cell r="D3570" t="e">
            <v>#VALUE!</v>
          </cell>
          <cell r="E3570" t="e">
            <v>#VALUE!</v>
          </cell>
          <cell r="F3570">
            <v>0</v>
          </cell>
        </row>
        <row r="3571">
          <cell r="A3571" t="str">
            <v>RIIFLFKA</v>
          </cell>
          <cell r="B3571">
            <v>3.385176537111912E-2</v>
          </cell>
          <cell r="C3571">
            <v>0</v>
          </cell>
          <cell r="D3571" t="e">
            <v>#VALUE!</v>
          </cell>
          <cell r="E3571" t="e">
            <v>#VALUE!</v>
          </cell>
          <cell r="F3571">
            <v>0</v>
          </cell>
        </row>
        <row r="3572">
          <cell r="A3572" t="str">
            <v>RIIFLG1A</v>
          </cell>
          <cell r="B3572">
            <v>-3.1807814278218847E-2</v>
          </cell>
          <cell r="C3572">
            <v>0</v>
          </cell>
          <cell r="D3572" t="e">
            <v>#VALUE!</v>
          </cell>
          <cell r="E3572" t="e">
            <v>#VALUE!</v>
          </cell>
          <cell r="F3572">
            <v>0</v>
          </cell>
        </row>
        <row r="3573">
          <cell r="A3573" t="str">
            <v>RIIFLG2A</v>
          </cell>
          <cell r="B3573">
            <v>-2.7650906490034436E-2</v>
          </cell>
          <cell r="C3573">
            <v>0</v>
          </cell>
          <cell r="D3573" t="e">
            <v>#VALUE!</v>
          </cell>
          <cell r="E3573" t="e">
            <v>#VALUE!</v>
          </cell>
          <cell r="F3573">
            <v>0</v>
          </cell>
        </row>
        <row r="3574">
          <cell r="A3574" t="str">
            <v>RIIFLG3A</v>
          </cell>
          <cell r="B3574">
            <v>-1.6426729637976378E-4</v>
          </cell>
          <cell r="C3574">
            <v>0</v>
          </cell>
          <cell r="D3574" t="e">
            <v>#VALUE!</v>
          </cell>
          <cell r="E3574" t="e">
            <v>#VALUE!</v>
          </cell>
          <cell r="F3574">
            <v>0</v>
          </cell>
        </row>
        <row r="3575">
          <cell r="A3575" t="str">
            <v>RIIFGS1A</v>
          </cell>
          <cell r="B3575">
            <v>-1.2631541468031734E-3</v>
          </cell>
          <cell r="C3575">
            <v>0</v>
          </cell>
          <cell r="D3575" t="e">
            <v>#VALUE!</v>
          </cell>
          <cell r="E3575" t="e">
            <v>#VALUE!</v>
          </cell>
          <cell r="F3575">
            <v>0</v>
          </cell>
        </row>
        <row r="3576">
          <cell r="A3576" t="str">
            <v>RIIFGS2A</v>
          </cell>
          <cell r="B3576">
            <v>-2.4003031671470613E-6</v>
          </cell>
          <cell r="C3576">
            <v>0</v>
          </cell>
          <cell r="D3576" t="e">
            <v>#VALUE!</v>
          </cell>
          <cell r="E3576" t="e">
            <v>#VALUE!</v>
          </cell>
          <cell r="F3576">
            <v>0</v>
          </cell>
        </row>
        <row r="3577">
          <cell r="A3577" t="str">
            <v>RIIFGS3A</v>
          </cell>
          <cell r="B3577">
            <v>0</v>
          </cell>
          <cell r="C3577">
            <v>0</v>
          </cell>
          <cell r="D3577" t="e">
            <v>#VALUE!</v>
          </cell>
          <cell r="E3577" t="e">
            <v>#VALUE!</v>
          </cell>
          <cell r="F3577">
            <v>0</v>
          </cell>
        </row>
        <row r="3578">
          <cell r="A3578" t="str">
            <v>RIIFGS4A</v>
          </cell>
          <cell r="B3578">
            <v>-2.332429714382894E-3</v>
          </cell>
          <cell r="C3578">
            <v>0</v>
          </cell>
          <cell r="D3578" t="e">
            <v>#VALUE!</v>
          </cell>
          <cell r="E3578" t="e">
            <v>#VALUE!</v>
          </cell>
          <cell r="F3578">
            <v>0</v>
          </cell>
        </row>
        <row r="3579">
          <cell r="A3579" t="str">
            <v>RIIFGS5A</v>
          </cell>
          <cell r="B3579">
            <v>0</v>
          </cell>
          <cell r="C3579">
            <v>0</v>
          </cell>
          <cell r="D3579" t="e">
            <v>#VALUE!</v>
          </cell>
          <cell r="E3579" t="e">
            <v>#VALUE!</v>
          </cell>
          <cell r="F3579">
            <v>0</v>
          </cell>
        </row>
        <row r="3580">
          <cell r="A3580" t="str">
            <v>RIIFGS6A</v>
          </cell>
          <cell r="B3580">
            <v>-3.3069036885847224E-6</v>
          </cell>
          <cell r="C3580">
            <v>0</v>
          </cell>
          <cell r="D3580" t="e">
            <v>#VALUE!</v>
          </cell>
          <cell r="E3580" t="e">
            <v>#VALUE!</v>
          </cell>
          <cell r="F3580">
            <v>0</v>
          </cell>
        </row>
        <row r="3581">
          <cell r="A3581" t="str">
            <v>RIIFGS7A</v>
          </cell>
          <cell r="B3581">
            <v>2.3134956392499439E-5</v>
          </cell>
          <cell r="C3581">
            <v>0</v>
          </cell>
          <cell r="D3581" t="e">
            <v>#VALUE!</v>
          </cell>
          <cell r="E3581" t="e">
            <v>#VALUE!</v>
          </cell>
          <cell r="F3581">
            <v>0</v>
          </cell>
        </row>
        <row r="3582">
          <cell r="A3582" t="str">
            <v>RIIFG11A</v>
          </cell>
          <cell r="B3582">
            <v>-1.1282008365817267E-2</v>
          </cell>
          <cell r="C3582">
            <v>0</v>
          </cell>
          <cell r="D3582" t="e">
            <v>#VALUE!</v>
          </cell>
          <cell r="E3582" t="e">
            <v>#VALUE!</v>
          </cell>
          <cell r="F3582">
            <v>0</v>
          </cell>
        </row>
        <row r="3583">
          <cell r="A3583" t="str">
            <v>RIIFDTFA</v>
          </cell>
          <cell r="B3583">
            <v>-3.2460942770009986E-2</v>
          </cell>
          <cell r="C3583">
            <v>0</v>
          </cell>
          <cell r="D3583" t="e">
            <v>#VALUE!</v>
          </cell>
          <cell r="E3583" t="e">
            <v>#VALUE!</v>
          </cell>
          <cell r="F3583">
            <v>0</v>
          </cell>
        </row>
        <row r="3584">
          <cell r="A3584" t="str">
            <v>RIIFNPCA</v>
          </cell>
          <cell r="B3584">
            <v>0</v>
          </cell>
          <cell r="C3584">
            <v>0</v>
          </cell>
          <cell r="D3584" t="e">
            <v>#VALUE!</v>
          </cell>
          <cell r="E3584" t="e">
            <v>#VALUE!</v>
          </cell>
          <cell r="F3584">
            <v>0</v>
          </cell>
        </row>
        <row r="3585">
          <cell r="A3585" t="str">
            <v>RIIFBNPA</v>
          </cell>
          <cell r="B3585">
            <v>0</v>
          </cell>
          <cell r="C3585">
            <v>0</v>
          </cell>
          <cell r="D3585" t="e">
            <v>#VALUE!</v>
          </cell>
          <cell r="E3585" t="e">
            <v>#VALUE!</v>
          </cell>
          <cell r="F3585">
            <v>0</v>
          </cell>
        </row>
        <row r="3586">
          <cell r="A3586" t="str">
            <v>RIIFLCDA</v>
          </cell>
          <cell r="B3586">
            <v>-7.7390249134743044E-2</v>
          </cell>
          <cell r="C3586">
            <v>0</v>
          </cell>
          <cell r="D3586" t="e">
            <v>#VALUE!</v>
          </cell>
          <cell r="E3586" t="e">
            <v>#VALUE!</v>
          </cell>
          <cell r="F3586">
            <v>0</v>
          </cell>
        </row>
        <row r="3587">
          <cell r="A3587" t="str">
            <v>RFPISK1A</v>
          </cell>
          <cell r="B3587">
            <v>5.1416771024750453E-4</v>
          </cell>
          <cell r="C3587">
            <v>0</v>
          </cell>
          <cell r="D3587" t="e">
            <v>#VALUE!</v>
          </cell>
          <cell r="E3587" t="e">
            <v>#VALUE!</v>
          </cell>
          <cell r="F3587">
            <v>0</v>
          </cell>
        </row>
        <row r="3588">
          <cell r="A3588" t="str">
            <v>RFPISK2A</v>
          </cell>
          <cell r="B3588">
            <v>-3.4624373082096262E-6</v>
          </cell>
          <cell r="C3588">
            <v>0</v>
          </cell>
          <cell r="D3588" t="e">
            <v>#VALUE!</v>
          </cell>
          <cell r="E3588" t="e">
            <v>#VALUE!</v>
          </cell>
          <cell r="F3588">
            <v>0</v>
          </cell>
        </row>
        <row r="3589">
          <cell r="A3589" t="str">
            <v>RFPISK3A</v>
          </cell>
          <cell r="B3589">
            <v>0</v>
          </cell>
          <cell r="C3589">
            <v>0</v>
          </cell>
          <cell r="D3589" t="e">
            <v>#VALUE!</v>
          </cell>
          <cell r="E3589" t="e">
            <v>#VALUE!</v>
          </cell>
          <cell r="F3589">
            <v>0</v>
          </cell>
        </row>
        <row r="3590">
          <cell r="A3590" t="str">
            <v>RFPISK5A</v>
          </cell>
          <cell r="B3590">
            <v>0</v>
          </cell>
          <cell r="C3590">
            <v>0</v>
          </cell>
          <cell r="D3590" t="e">
            <v>#VALUE!</v>
          </cell>
          <cell r="E3590" t="e">
            <v>#VALUE!</v>
          </cell>
          <cell r="F3590">
            <v>0</v>
          </cell>
        </row>
        <row r="3591">
          <cell r="A3591" t="str">
            <v>RFPISK6A</v>
          </cell>
          <cell r="B3591">
            <v>-1.5324841888909699E-5</v>
          </cell>
          <cell r="C3591">
            <v>0</v>
          </cell>
          <cell r="D3591" t="e">
            <v>#VALUE!</v>
          </cell>
          <cell r="E3591" t="e">
            <v>#VALUE!</v>
          </cell>
          <cell r="F3591">
            <v>0</v>
          </cell>
        </row>
        <row r="3592">
          <cell r="A3592" t="str">
            <v>RFPISK7A</v>
          </cell>
          <cell r="B3592">
            <v>6.2927081948868833E-7</v>
          </cell>
          <cell r="C3592">
            <v>0</v>
          </cell>
          <cell r="D3592" t="e">
            <v>#VALUE!</v>
          </cell>
          <cell r="E3592" t="e">
            <v>#VALUE!</v>
          </cell>
          <cell r="F3592">
            <v>0</v>
          </cell>
        </row>
        <row r="3593">
          <cell r="A3593" t="str">
            <v>RFPILK2A</v>
          </cell>
          <cell r="B3593">
            <v>0</v>
          </cell>
          <cell r="C3593">
            <v>0</v>
          </cell>
          <cell r="D3593" t="e">
            <v>#VALUE!</v>
          </cell>
          <cell r="E3593" t="e">
            <v>#VALUE!</v>
          </cell>
          <cell r="F3593">
            <v>0</v>
          </cell>
        </row>
        <row r="3594">
          <cell r="A3594" t="str">
            <v>RFPILK1A</v>
          </cell>
          <cell r="B3594">
            <v>4.7159960655111192E-4</v>
          </cell>
          <cell r="C3594">
            <v>0</v>
          </cell>
          <cell r="D3594" t="e">
            <v>#VALUE!</v>
          </cell>
          <cell r="E3594" t="e">
            <v>#VALUE!</v>
          </cell>
          <cell r="F3594">
            <v>0</v>
          </cell>
        </row>
        <row r="3595">
          <cell r="A3595" t="str">
            <v>RFPIJPIA</v>
          </cell>
          <cell r="B3595">
            <v>-3.3867179836431194E-5</v>
          </cell>
          <cell r="C3595">
            <v>0</v>
          </cell>
          <cell r="D3595" t="e">
            <v>#VALUE!</v>
          </cell>
          <cell r="E3595" t="e">
            <v>#VALUE!</v>
          </cell>
          <cell r="F3595">
            <v>0</v>
          </cell>
        </row>
        <row r="3596">
          <cell r="A3596" t="str">
            <v>RFPIJETA</v>
          </cell>
          <cell r="B3596">
            <v>7.8628350895261771E-4</v>
          </cell>
          <cell r="C3596">
            <v>0</v>
          </cell>
          <cell r="D3596" t="e">
            <v>#VALUE!</v>
          </cell>
          <cell r="E3596" t="e">
            <v>#VALUE!</v>
          </cell>
          <cell r="F3596">
            <v>0</v>
          </cell>
        </row>
        <row r="3597">
          <cell r="A3597" t="str">
            <v>RFPILK3A</v>
          </cell>
          <cell r="B3597">
            <v>-3.2182016631601097E-3</v>
          </cell>
          <cell r="C3597">
            <v>0</v>
          </cell>
          <cell r="D3597" t="e">
            <v>#VALUE!</v>
          </cell>
          <cell r="E3597" t="e">
            <v>#VALUE!</v>
          </cell>
          <cell r="F3597">
            <v>0</v>
          </cell>
        </row>
        <row r="3598">
          <cell r="A3598" t="str">
            <v>RFPILK4A</v>
          </cell>
          <cell r="B3598">
            <v>-4.4644526487028177E-5</v>
          </cell>
          <cell r="C3598">
            <v>0</v>
          </cell>
          <cell r="D3598" t="e">
            <v>#VALUE!</v>
          </cell>
          <cell r="E3598" t="e">
            <v>#VALUE!</v>
          </cell>
          <cell r="F3598">
            <v>0</v>
          </cell>
        </row>
        <row r="3599">
          <cell r="A3599" t="str">
            <v>RFPISG3A</v>
          </cell>
          <cell r="B3599">
            <v>0</v>
          </cell>
          <cell r="C3599">
            <v>0</v>
          </cell>
          <cell r="D3599" t="e">
            <v>#VALUE!</v>
          </cell>
          <cell r="E3599" t="e">
            <v>#VALUE!</v>
          </cell>
          <cell r="F3599">
            <v>0</v>
          </cell>
        </row>
        <row r="3600">
          <cell r="A3600" t="str">
            <v>RFPISG4A</v>
          </cell>
          <cell r="B3600">
            <v>6.8089448179481935E-4</v>
          </cell>
          <cell r="C3600">
            <v>0</v>
          </cell>
          <cell r="D3600" t="e">
            <v>#VALUE!</v>
          </cell>
          <cell r="E3600" t="e">
            <v>#VALUE!</v>
          </cell>
          <cell r="F3600">
            <v>0</v>
          </cell>
        </row>
        <row r="3601">
          <cell r="A3601" t="str">
            <v>RFPISG5A</v>
          </cell>
          <cell r="B3601">
            <v>0</v>
          </cell>
          <cell r="C3601">
            <v>0</v>
          </cell>
          <cell r="D3601" t="e">
            <v>#VALUE!</v>
          </cell>
          <cell r="E3601" t="e">
            <v>#VALUE!</v>
          </cell>
          <cell r="F3601">
            <v>0</v>
          </cell>
        </row>
        <row r="3602">
          <cell r="A3602" t="str">
            <v>RFPISG6A</v>
          </cell>
          <cell r="B3602">
            <v>-1.2878274601960534E-5</v>
          </cell>
          <cell r="C3602">
            <v>0</v>
          </cell>
          <cell r="D3602" t="e">
            <v>#VALUE!</v>
          </cell>
          <cell r="E3602" t="e">
            <v>#VALUE!</v>
          </cell>
          <cell r="F3602">
            <v>0</v>
          </cell>
        </row>
        <row r="3603">
          <cell r="A3603" t="str">
            <v>RFPISG7A</v>
          </cell>
          <cell r="B3603">
            <v>0</v>
          </cell>
          <cell r="C3603">
            <v>0</v>
          </cell>
          <cell r="D3603" t="e">
            <v>#VALUE!</v>
          </cell>
          <cell r="E3603" t="e">
            <v>#VALUE!</v>
          </cell>
          <cell r="F3603">
            <v>0</v>
          </cell>
        </row>
        <row r="3604">
          <cell r="A3604" t="str">
            <v>RFPILKFA</v>
          </cell>
          <cell r="B3604">
            <v>2.778043564865908E-3</v>
          </cell>
          <cell r="C3604">
            <v>0</v>
          </cell>
          <cell r="D3604" t="e">
            <v>#VALUE!</v>
          </cell>
          <cell r="E3604" t="e">
            <v>#VALUE!</v>
          </cell>
          <cell r="F3604">
            <v>0</v>
          </cell>
        </row>
        <row r="3605">
          <cell r="A3605" t="str">
            <v>RFPILFKA</v>
          </cell>
          <cell r="B3605">
            <v>2.8037757677550758E-3</v>
          </cell>
          <cell r="C3605">
            <v>0</v>
          </cell>
          <cell r="D3605" t="e">
            <v>#VALUE!</v>
          </cell>
          <cell r="E3605" t="e">
            <v>#VALUE!</v>
          </cell>
          <cell r="F3605">
            <v>0</v>
          </cell>
        </row>
        <row r="3606">
          <cell r="A3606" t="str">
            <v>RFPIGS1A</v>
          </cell>
          <cell r="B3606">
            <v>-4.2233151680894069E-5</v>
          </cell>
          <cell r="C3606">
            <v>0</v>
          </cell>
          <cell r="D3606" t="e">
            <v>#VALUE!</v>
          </cell>
          <cell r="E3606" t="e">
            <v>#VALUE!</v>
          </cell>
          <cell r="F3606">
            <v>0</v>
          </cell>
        </row>
        <row r="3607">
          <cell r="A3607" t="str">
            <v>RFPIGS4A</v>
          </cell>
          <cell r="B3607">
            <v>-1.4635326078620879E-2</v>
          </cell>
          <cell r="C3607">
            <v>0</v>
          </cell>
          <cell r="D3607" t="e">
            <v>#VALUE!</v>
          </cell>
          <cell r="E3607" t="e">
            <v>#VALUE!</v>
          </cell>
          <cell r="F3607">
            <v>0</v>
          </cell>
        </row>
        <row r="3608">
          <cell r="A3608" t="str">
            <v>RFPIGS6A</v>
          </cell>
          <cell r="B3608">
            <v>-1.5606526233581188E-5</v>
          </cell>
          <cell r="C3608">
            <v>0</v>
          </cell>
          <cell r="D3608" t="e">
            <v>#VALUE!</v>
          </cell>
          <cell r="E3608" t="e">
            <v>#VALUE!</v>
          </cell>
          <cell r="F3608">
            <v>0</v>
          </cell>
        </row>
        <row r="3609">
          <cell r="A3609" t="str">
            <v>RFPIPB1A</v>
          </cell>
          <cell r="B3609">
            <v>-1.5127219801467606E-5</v>
          </cell>
          <cell r="C3609">
            <v>0</v>
          </cell>
          <cell r="D3609" t="e">
            <v>#VALUE!</v>
          </cell>
          <cell r="E3609" t="e">
            <v>#VALUE!</v>
          </cell>
          <cell r="F3609">
            <v>0</v>
          </cell>
        </row>
        <row r="3610">
          <cell r="A3610" t="str">
            <v>RFPIPB2A</v>
          </cell>
          <cell r="B3610">
            <v>0</v>
          </cell>
          <cell r="C3610">
            <v>0</v>
          </cell>
          <cell r="D3610" t="e">
            <v>#VALUE!</v>
          </cell>
          <cell r="E3610" t="e">
            <v>#VALUE!</v>
          </cell>
          <cell r="F3610">
            <v>0</v>
          </cell>
        </row>
        <row r="3611">
          <cell r="A3611" t="str">
            <v>RFPIPB3A</v>
          </cell>
          <cell r="B3611">
            <v>8.33148454365397E-4</v>
          </cell>
          <cell r="C3611">
            <v>0</v>
          </cell>
          <cell r="D3611" t="e">
            <v>#VALUE!</v>
          </cell>
          <cell r="E3611" t="e">
            <v>#VALUE!</v>
          </cell>
          <cell r="F3611">
            <v>0</v>
          </cell>
        </row>
        <row r="3612">
          <cell r="A3612" t="str">
            <v>RFPIPB4A</v>
          </cell>
          <cell r="B3612">
            <v>-1.3072404867484256E-5</v>
          </cell>
          <cell r="C3612">
            <v>0</v>
          </cell>
          <cell r="D3612" t="e">
            <v>#VALUE!</v>
          </cell>
          <cell r="E3612" t="e">
            <v>#VALUE!</v>
          </cell>
          <cell r="F3612">
            <v>0</v>
          </cell>
        </row>
        <row r="3613">
          <cell r="A3613" t="str">
            <v>RFPIPP1A</v>
          </cell>
          <cell r="B3613">
            <v>0</v>
          </cell>
          <cell r="C3613">
            <v>0</v>
          </cell>
          <cell r="D3613" t="e">
            <v>#VALUE!</v>
          </cell>
          <cell r="E3613" t="e">
            <v>#VALUE!</v>
          </cell>
          <cell r="F3613">
            <v>0</v>
          </cell>
        </row>
        <row r="3614">
          <cell r="A3614" t="str">
            <v>RFPIPP2A</v>
          </cell>
          <cell r="B3614">
            <v>0</v>
          </cell>
          <cell r="C3614">
            <v>0</v>
          </cell>
          <cell r="D3614" t="e">
            <v>#VALUE!</v>
          </cell>
          <cell r="E3614" t="e">
            <v>#VALUE!</v>
          </cell>
          <cell r="F3614">
            <v>0</v>
          </cell>
        </row>
        <row r="3615">
          <cell r="A3615" t="str">
            <v>RFPIPP3A</v>
          </cell>
          <cell r="B3615">
            <v>1.3673694874254678E-5</v>
          </cell>
          <cell r="C3615">
            <v>0</v>
          </cell>
          <cell r="D3615" t="e">
            <v>#VALUE!</v>
          </cell>
          <cell r="E3615" t="e">
            <v>#VALUE!</v>
          </cell>
          <cell r="F3615">
            <v>0</v>
          </cell>
        </row>
        <row r="3616">
          <cell r="A3616" t="str">
            <v>RFPIPP4A</v>
          </cell>
          <cell r="B3616">
            <v>-4.3299903814671194E-10</v>
          </cell>
          <cell r="C3616">
            <v>0</v>
          </cell>
          <cell r="D3616" t="e">
            <v>#VALUE!</v>
          </cell>
          <cell r="E3616" t="e">
            <v>#VALUE!</v>
          </cell>
          <cell r="F3616">
            <v>0</v>
          </cell>
        </row>
        <row r="3617">
          <cell r="A3617" t="str">
            <v>R446SK1A</v>
          </cell>
          <cell r="B3617">
            <v>0</v>
          </cell>
          <cell r="C3617">
            <v>0</v>
          </cell>
          <cell r="D3617" t="e">
            <v>#VALUE!</v>
          </cell>
          <cell r="E3617" t="e">
            <v>#VALUE!</v>
          </cell>
          <cell r="F3617">
            <v>0</v>
          </cell>
        </row>
        <row r="3618">
          <cell r="A3618" t="str">
            <v>R446SK2A</v>
          </cell>
          <cell r="B3618">
            <v>0</v>
          </cell>
          <cell r="C3618">
            <v>0</v>
          </cell>
          <cell r="D3618" t="e">
            <v>#VALUE!</v>
          </cell>
          <cell r="E3618" t="e">
            <v>#VALUE!</v>
          </cell>
          <cell r="F3618">
            <v>0</v>
          </cell>
        </row>
        <row r="3619">
          <cell r="A3619" t="str">
            <v>R446SK3A</v>
          </cell>
          <cell r="B3619">
            <v>0</v>
          </cell>
          <cell r="C3619">
            <v>0</v>
          </cell>
          <cell r="D3619" t="e">
            <v>#VALUE!</v>
          </cell>
          <cell r="E3619" t="e">
            <v>#VALUE!</v>
          </cell>
          <cell r="F3619">
            <v>0</v>
          </cell>
        </row>
        <row r="3620">
          <cell r="A3620" t="str">
            <v>R446SK5A</v>
          </cell>
          <cell r="B3620">
            <v>0</v>
          </cell>
          <cell r="C3620">
            <v>0</v>
          </cell>
          <cell r="D3620" t="e">
            <v>#VALUE!</v>
          </cell>
          <cell r="E3620" t="e">
            <v>#VALUE!</v>
          </cell>
          <cell r="F3620">
            <v>0</v>
          </cell>
        </row>
        <row r="3621">
          <cell r="A3621" t="str">
            <v>R446SK6A</v>
          </cell>
          <cell r="B3621">
            <v>-2.2106553481298511E-6</v>
          </cell>
          <cell r="C3621">
            <v>0</v>
          </cell>
          <cell r="D3621" t="e">
            <v>#VALUE!</v>
          </cell>
          <cell r="E3621" t="e">
            <v>#VALUE!</v>
          </cell>
          <cell r="F3621">
            <v>0</v>
          </cell>
        </row>
        <row r="3622">
          <cell r="A3622" t="str">
            <v>R446SK7A</v>
          </cell>
          <cell r="B3622">
            <v>0</v>
          </cell>
          <cell r="C3622">
            <v>0</v>
          </cell>
          <cell r="D3622" t="e">
            <v>#VALUE!</v>
          </cell>
          <cell r="E3622" t="e">
            <v>#VALUE!</v>
          </cell>
          <cell r="F3622">
            <v>0</v>
          </cell>
        </row>
        <row r="3623">
          <cell r="A3623" t="str">
            <v>R446LK2A</v>
          </cell>
          <cell r="B3623">
            <v>0</v>
          </cell>
          <cell r="C3623">
            <v>0</v>
          </cell>
          <cell r="D3623" t="e">
            <v>#VALUE!</v>
          </cell>
          <cell r="E3623" t="e">
            <v>#VALUE!</v>
          </cell>
          <cell r="F3623">
            <v>0</v>
          </cell>
        </row>
        <row r="3624">
          <cell r="A3624" t="str">
            <v>R446LK1A</v>
          </cell>
          <cell r="B3624">
            <v>-8.1587423797603532E-4</v>
          </cell>
          <cell r="C3624">
            <v>0</v>
          </cell>
          <cell r="D3624" t="e">
            <v>#VALUE!</v>
          </cell>
          <cell r="E3624" t="e">
            <v>#VALUE!</v>
          </cell>
          <cell r="F3624">
            <v>0</v>
          </cell>
        </row>
        <row r="3625">
          <cell r="A3625" t="str">
            <v>R446JPIA</v>
          </cell>
          <cell r="B3625">
            <v>5.4570995494468161E-4</v>
          </cell>
          <cell r="C3625">
            <v>0</v>
          </cell>
          <cell r="D3625" t="e">
            <v>#VALUE!</v>
          </cell>
          <cell r="E3625" t="e">
            <v>#VALUE!</v>
          </cell>
          <cell r="F3625">
            <v>0</v>
          </cell>
        </row>
        <row r="3626">
          <cell r="A3626" t="str">
            <v>R446JETA</v>
          </cell>
          <cell r="B3626">
            <v>1.1706044967286288E-2</v>
          </cell>
          <cell r="C3626">
            <v>0</v>
          </cell>
          <cell r="D3626" t="e">
            <v>#VALUE!</v>
          </cell>
          <cell r="E3626" t="e">
            <v>#VALUE!</v>
          </cell>
          <cell r="F3626">
            <v>0</v>
          </cell>
        </row>
        <row r="3627">
          <cell r="A3627" t="str">
            <v>R446LK3A</v>
          </cell>
          <cell r="B3627">
            <v>1.7497584348136228E-2</v>
          </cell>
          <cell r="C3627">
            <v>0</v>
          </cell>
          <cell r="D3627" t="e">
            <v>#VALUE!</v>
          </cell>
          <cell r="E3627" t="e">
            <v>#VALUE!</v>
          </cell>
          <cell r="F3627">
            <v>0</v>
          </cell>
        </row>
        <row r="3628">
          <cell r="A3628" t="str">
            <v>R446LK4A</v>
          </cell>
          <cell r="B3628">
            <v>-2.1819874482015659E-5</v>
          </cell>
          <cell r="C3628">
            <v>0</v>
          </cell>
          <cell r="D3628" t="e">
            <v>#VALUE!</v>
          </cell>
          <cell r="E3628" t="e">
            <v>#VALUE!</v>
          </cell>
          <cell r="F3628">
            <v>0</v>
          </cell>
        </row>
        <row r="3629">
          <cell r="A3629" t="str">
            <v>R446SG3A</v>
          </cell>
          <cell r="B3629">
            <v>0</v>
          </cell>
          <cell r="C3629">
            <v>0</v>
          </cell>
          <cell r="D3629" t="e">
            <v>#VALUE!</v>
          </cell>
          <cell r="E3629" t="e">
            <v>#VALUE!</v>
          </cell>
          <cell r="F3629">
            <v>0</v>
          </cell>
        </row>
        <row r="3630">
          <cell r="A3630" t="str">
            <v>R446SG4A</v>
          </cell>
          <cell r="B3630">
            <v>-2.0383168546138459E-3</v>
          </cell>
          <cell r="C3630">
            <v>0</v>
          </cell>
          <cell r="D3630" t="e">
            <v>#VALUE!</v>
          </cell>
          <cell r="E3630" t="e">
            <v>#VALUE!</v>
          </cell>
          <cell r="F3630">
            <v>0</v>
          </cell>
        </row>
        <row r="3631">
          <cell r="A3631" t="str">
            <v>R446SG5A</v>
          </cell>
          <cell r="B3631">
            <v>0</v>
          </cell>
          <cell r="C3631">
            <v>0</v>
          </cell>
          <cell r="D3631" t="e">
            <v>#VALUE!</v>
          </cell>
          <cell r="E3631" t="e">
            <v>#VALUE!</v>
          </cell>
          <cell r="F3631">
            <v>0</v>
          </cell>
        </row>
        <row r="3632">
          <cell r="A3632" t="str">
            <v>R446SG6A</v>
          </cell>
          <cell r="B3632">
            <v>5.4637542250755561E-5</v>
          </cell>
          <cell r="C3632">
            <v>0</v>
          </cell>
          <cell r="D3632" t="e">
            <v>#VALUE!</v>
          </cell>
          <cell r="E3632" t="e">
            <v>#VALUE!</v>
          </cell>
          <cell r="F3632">
            <v>0</v>
          </cell>
        </row>
        <row r="3633">
          <cell r="A3633" t="str">
            <v>R446SG7A</v>
          </cell>
          <cell r="B3633">
            <v>0</v>
          </cell>
          <cell r="C3633">
            <v>0</v>
          </cell>
          <cell r="D3633" t="e">
            <v>#VALUE!</v>
          </cell>
          <cell r="E3633" t="e">
            <v>#VALUE!</v>
          </cell>
          <cell r="F3633">
            <v>0</v>
          </cell>
        </row>
        <row r="3634">
          <cell r="A3634" t="str">
            <v>R446LKFA</v>
          </cell>
          <cell r="B3634">
            <v>2.0448117389157095E-3</v>
          </cell>
          <cell r="C3634">
            <v>0</v>
          </cell>
          <cell r="D3634" t="e">
            <v>#VALUE!</v>
          </cell>
          <cell r="E3634" t="e">
            <v>#VALUE!</v>
          </cell>
          <cell r="F3634">
            <v>0</v>
          </cell>
        </row>
        <row r="3635">
          <cell r="A3635" t="str">
            <v>R446LFKA</v>
          </cell>
          <cell r="B3635">
            <v>2.0448117389157095E-3</v>
          </cell>
          <cell r="C3635">
            <v>0</v>
          </cell>
          <cell r="D3635" t="e">
            <v>#VALUE!</v>
          </cell>
          <cell r="E3635" t="e">
            <v>#VALUE!</v>
          </cell>
          <cell r="F3635">
            <v>0</v>
          </cell>
        </row>
        <row r="3636">
          <cell r="A3636" t="str">
            <v>R446LG1A</v>
          </cell>
          <cell r="B3636">
            <v>2.5519966988063621E-5</v>
          </cell>
          <cell r="C3636">
            <v>0</v>
          </cell>
          <cell r="D3636" t="e">
            <v>#VALUE!</v>
          </cell>
          <cell r="E3636" t="e">
            <v>#VALUE!</v>
          </cell>
          <cell r="F3636">
            <v>0</v>
          </cell>
        </row>
        <row r="3637">
          <cell r="A3637" t="str">
            <v>R446LG2A</v>
          </cell>
          <cell r="B3637">
            <v>-1.0066290303194826E-3</v>
          </cell>
          <cell r="C3637">
            <v>0</v>
          </cell>
          <cell r="D3637" t="e">
            <v>#VALUE!</v>
          </cell>
          <cell r="E3637" t="e">
            <v>#VALUE!</v>
          </cell>
          <cell r="F3637">
            <v>0</v>
          </cell>
        </row>
        <row r="3638">
          <cell r="A3638" t="str">
            <v>R446LG3A</v>
          </cell>
          <cell r="B3638">
            <v>-4.1120523653499075E-6</v>
          </cell>
          <cell r="C3638">
            <v>0</v>
          </cell>
          <cell r="D3638" t="e">
            <v>#VALUE!</v>
          </cell>
          <cell r="E3638" t="e">
            <v>#VALUE!</v>
          </cell>
          <cell r="F3638">
            <v>0</v>
          </cell>
        </row>
        <row r="3639">
          <cell r="A3639" t="str">
            <v>R446GS1A</v>
          </cell>
          <cell r="B3639">
            <v>-2.8162316767195191E-8</v>
          </cell>
          <cell r="C3639">
            <v>0</v>
          </cell>
          <cell r="D3639" t="e">
            <v>#VALUE!</v>
          </cell>
          <cell r="E3639" t="e">
            <v>#VALUE!</v>
          </cell>
          <cell r="F3639">
            <v>0</v>
          </cell>
        </row>
        <row r="3640">
          <cell r="A3640" t="str">
            <v>R446GS2A</v>
          </cell>
          <cell r="B3640">
            <v>0</v>
          </cell>
          <cell r="C3640">
            <v>0</v>
          </cell>
          <cell r="D3640" t="e">
            <v>#VALUE!</v>
          </cell>
          <cell r="E3640" t="e">
            <v>#VALUE!</v>
          </cell>
          <cell r="F3640">
            <v>0</v>
          </cell>
        </row>
        <row r="3641">
          <cell r="A3641" t="str">
            <v>R446GS3A</v>
          </cell>
          <cell r="B3641">
            <v>0</v>
          </cell>
          <cell r="C3641">
            <v>0</v>
          </cell>
          <cell r="D3641" t="e">
            <v>#VALUE!</v>
          </cell>
          <cell r="E3641" t="e">
            <v>#VALUE!</v>
          </cell>
          <cell r="F3641">
            <v>0</v>
          </cell>
        </row>
        <row r="3642">
          <cell r="A3642" t="str">
            <v>R446GS4A</v>
          </cell>
          <cell r="B3642">
            <v>-1.7775318769527575E-4</v>
          </cell>
          <cell r="C3642">
            <v>0</v>
          </cell>
          <cell r="D3642" t="e">
            <v>#VALUE!</v>
          </cell>
          <cell r="E3642" t="e">
            <v>#VALUE!</v>
          </cell>
          <cell r="F3642">
            <v>0</v>
          </cell>
        </row>
        <row r="3643">
          <cell r="A3643" t="str">
            <v>R446GS5A</v>
          </cell>
          <cell r="B3643">
            <v>0</v>
          </cell>
          <cell r="C3643">
            <v>0</v>
          </cell>
          <cell r="D3643" t="e">
            <v>#VALUE!</v>
          </cell>
          <cell r="E3643" t="e">
            <v>#VALUE!</v>
          </cell>
          <cell r="F3643">
            <v>0</v>
          </cell>
        </row>
        <row r="3644">
          <cell r="A3644" t="str">
            <v>R446GS6A</v>
          </cell>
          <cell r="B3644">
            <v>1.0069491723971959E-6</v>
          </cell>
          <cell r="C3644">
            <v>0</v>
          </cell>
          <cell r="D3644" t="e">
            <v>#VALUE!</v>
          </cell>
          <cell r="E3644" t="e">
            <v>#VALUE!</v>
          </cell>
          <cell r="F3644">
            <v>0</v>
          </cell>
        </row>
        <row r="3645">
          <cell r="A3645" t="str">
            <v>R446GS7A</v>
          </cell>
          <cell r="B3645">
            <v>4.6269912162057305E-7</v>
          </cell>
          <cell r="C3645">
            <v>0</v>
          </cell>
          <cell r="D3645" t="e">
            <v>#VALUE!</v>
          </cell>
          <cell r="E3645" t="e">
            <v>#VALUE!</v>
          </cell>
          <cell r="F3645">
            <v>0</v>
          </cell>
        </row>
        <row r="3646">
          <cell r="A3646" t="str">
            <v>R446G11A</v>
          </cell>
          <cell r="B3646">
            <v>-6.8990922762616853E-3</v>
          </cell>
          <cell r="C3646">
            <v>0</v>
          </cell>
          <cell r="D3646" t="e">
            <v>#VALUE!</v>
          </cell>
          <cell r="E3646" t="e">
            <v>#VALUE!</v>
          </cell>
          <cell r="F3646">
            <v>0</v>
          </cell>
        </row>
        <row r="3647">
          <cell r="A3647" t="str">
            <v>R446PB1A</v>
          </cell>
          <cell r="B3647">
            <v>1.7870028136089848E-16</v>
          </cell>
          <cell r="C3647">
            <v>0</v>
          </cell>
          <cell r="D3647" t="e">
            <v>#VALUE!</v>
          </cell>
          <cell r="E3647" t="e">
            <v>#VALUE!</v>
          </cell>
          <cell r="F3647">
            <v>0</v>
          </cell>
        </row>
        <row r="3648">
          <cell r="A3648" t="str">
            <v>R446PB2A</v>
          </cell>
          <cell r="B3648">
            <v>0</v>
          </cell>
          <cell r="C3648">
            <v>0</v>
          </cell>
          <cell r="D3648" t="e">
            <v>#VALUE!</v>
          </cell>
          <cell r="E3648" t="e">
            <v>#VALUE!</v>
          </cell>
          <cell r="F3648">
            <v>0</v>
          </cell>
        </row>
        <row r="3649">
          <cell r="A3649" t="str">
            <v>R446PB3A</v>
          </cell>
          <cell r="B3649">
            <v>0</v>
          </cell>
          <cell r="C3649">
            <v>0</v>
          </cell>
          <cell r="D3649" t="e">
            <v>#VALUE!</v>
          </cell>
          <cell r="E3649" t="e">
            <v>#VALUE!</v>
          </cell>
          <cell r="F3649">
            <v>0</v>
          </cell>
        </row>
        <row r="3650">
          <cell r="A3650" t="str">
            <v>R446PB4A</v>
          </cell>
          <cell r="B3650">
            <v>8.708999222441864E-15</v>
          </cell>
          <cell r="C3650">
            <v>0</v>
          </cell>
          <cell r="D3650" t="e">
            <v>#VALUE!</v>
          </cell>
          <cell r="E3650" t="e">
            <v>#VALUE!</v>
          </cell>
          <cell r="F3650">
            <v>0</v>
          </cell>
        </row>
        <row r="3651">
          <cell r="A3651" t="str">
            <v>R446PP1A</v>
          </cell>
          <cell r="B3651">
            <v>0</v>
          </cell>
          <cell r="C3651">
            <v>0</v>
          </cell>
          <cell r="D3651" t="e">
            <v>#VALUE!</v>
          </cell>
          <cell r="E3651" t="e">
            <v>#VALUE!</v>
          </cell>
          <cell r="F3651">
            <v>0</v>
          </cell>
        </row>
        <row r="3652">
          <cell r="A3652" t="str">
            <v>R446PP2A</v>
          </cell>
          <cell r="B3652">
            <v>0</v>
          </cell>
          <cell r="C3652">
            <v>0</v>
          </cell>
          <cell r="D3652" t="e">
            <v>#VALUE!</v>
          </cell>
          <cell r="E3652" t="e">
            <v>#VALUE!</v>
          </cell>
          <cell r="F3652">
            <v>0</v>
          </cell>
        </row>
        <row r="3653">
          <cell r="A3653" t="str">
            <v>R446PP3A</v>
          </cell>
          <cell r="B3653">
            <v>0</v>
          </cell>
          <cell r="C3653">
            <v>0</v>
          </cell>
          <cell r="D3653" t="e">
            <v>#VALUE!</v>
          </cell>
          <cell r="E3653" t="e">
            <v>#VALUE!</v>
          </cell>
          <cell r="F3653">
            <v>0</v>
          </cell>
        </row>
        <row r="3654">
          <cell r="A3654" t="str">
            <v>R446PP4A</v>
          </cell>
          <cell r="B3654">
            <v>1.7609871576172586E-9</v>
          </cell>
          <cell r="C3654">
            <v>0</v>
          </cell>
          <cell r="D3654" t="e">
            <v>#VALUE!</v>
          </cell>
          <cell r="E3654" t="e">
            <v>#VALUE!</v>
          </cell>
          <cell r="F3654">
            <v>0</v>
          </cell>
        </row>
        <row r="3655">
          <cell r="A3655" t="str">
            <v>R446NPCA</v>
          </cell>
          <cell r="B3655">
            <v>0</v>
          </cell>
          <cell r="C3655">
            <v>0</v>
          </cell>
          <cell r="D3655" t="e">
            <v>#VALUE!</v>
          </cell>
          <cell r="E3655" t="e">
            <v>#VALUE!</v>
          </cell>
          <cell r="F3655">
            <v>0</v>
          </cell>
        </row>
        <row r="3656">
          <cell r="A3656" t="str">
            <v>R446BNPA</v>
          </cell>
          <cell r="B3656">
            <v>0</v>
          </cell>
          <cell r="C3656">
            <v>0</v>
          </cell>
          <cell r="D3656" t="e">
            <v>#VALUE!</v>
          </cell>
          <cell r="E3656" t="e">
            <v>#VALUE!</v>
          </cell>
          <cell r="F3656">
            <v>0</v>
          </cell>
        </row>
        <row r="3657">
          <cell r="A3657" t="str">
            <v>R446LCDA</v>
          </cell>
          <cell r="B3657">
            <v>1.5272555796250905E-3</v>
          </cell>
          <cell r="C3657">
            <v>0</v>
          </cell>
          <cell r="D3657" t="e">
            <v>#VALUE!</v>
          </cell>
          <cell r="E3657" t="e">
            <v>#VALUE!</v>
          </cell>
          <cell r="F3657">
            <v>0</v>
          </cell>
        </row>
        <row r="3658">
          <cell r="A3658" t="str">
            <v>R680SK1A</v>
          </cell>
          <cell r="B3658">
            <v>0</v>
          </cell>
          <cell r="C3658">
            <v>0</v>
          </cell>
          <cell r="D3658" t="e">
            <v>#VALUE!</v>
          </cell>
          <cell r="E3658" t="e">
            <v>#VALUE!</v>
          </cell>
          <cell r="F3658">
            <v>0</v>
          </cell>
        </row>
        <row r="3659">
          <cell r="A3659" t="str">
            <v>R680SK2A</v>
          </cell>
          <cell r="B3659">
            <v>0</v>
          </cell>
          <cell r="C3659">
            <v>0</v>
          </cell>
          <cell r="D3659" t="e">
            <v>#VALUE!</v>
          </cell>
          <cell r="E3659" t="e">
            <v>#VALUE!</v>
          </cell>
          <cell r="F3659">
            <v>0</v>
          </cell>
        </row>
        <row r="3660">
          <cell r="A3660" t="str">
            <v>R680SK3A</v>
          </cell>
          <cell r="B3660">
            <v>0</v>
          </cell>
          <cell r="C3660">
            <v>0</v>
          </cell>
          <cell r="D3660" t="e">
            <v>#VALUE!</v>
          </cell>
          <cell r="E3660" t="e">
            <v>#VALUE!</v>
          </cell>
          <cell r="F3660">
            <v>0</v>
          </cell>
        </row>
        <row r="3661">
          <cell r="A3661" t="str">
            <v>R680SK5A</v>
          </cell>
          <cell r="B3661">
            <v>0</v>
          </cell>
          <cell r="C3661">
            <v>0</v>
          </cell>
          <cell r="D3661" t="e">
            <v>#VALUE!</v>
          </cell>
          <cell r="E3661" t="e">
            <v>#VALUE!</v>
          </cell>
          <cell r="F3661">
            <v>0</v>
          </cell>
        </row>
        <row r="3662">
          <cell r="A3662" t="str">
            <v>R680SK6A</v>
          </cell>
          <cell r="B3662">
            <v>0</v>
          </cell>
          <cell r="C3662">
            <v>0</v>
          </cell>
          <cell r="D3662" t="e">
            <v>#VALUE!</v>
          </cell>
          <cell r="E3662" t="e">
            <v>#VALUE!</v>
          </cell>
          <cell r="F3662">
            <v>0</v>
          </cell>
        </row>
        <row r="3663">
          <cell r="A3663" t="str">
            <v>R680SK7A</v>
          </cell>
          <cell r="B3663">
            <v>0</v>
          </cell>
          <cell r="C3663">
            <v>0</v>
          </cell>
          <cell r="D3663" t="e">
            <v>#VALUE!</v>
          </cell>
          <cell r="E3663" t="e">
            <v>#VALUE!</v>
          </cell>
          <cell r="F3663">
            <v>0</v>
          </cell>
        </row>
        <row r="3664">
          <cell r="A3664" t="str">
            <v>R680LK2A</v>
          </cell>
          <cell r="B3664">
            <v>0</v>
          </cell>
          <cell r="C3664">
            <v>0</v>
          </cell>
          <cell r="D3664" t="e">
            <v>#VALUE!</v>
          </cell>
          <cell r="E3664" t="e">
            <v>#VALUE!</v>
          </cell>
          <cell r="F3664">
            <v>0</v>
          </cell>
        </row>
        <row r="3665">
          <cell r="A3665" t="str">
            <v>R680LK1A</v>
          </cell>
          <cell r="B3665">
            <v>0</v>
          </cell>
          <cell r="C3665">
            <v>0</v>
          </cell>
          <cell r="D3665" t="e">
            <v>#VALUE!</v>
          </cell>
          <cell r="E3665" t="e">
            <v>#VALUE!</v>
          </cell>
          <cell r="F3665">
            <v>0</v>
          </cell>
        </row>
        <row r="3666">
          <cell r="A3666" t="str">
            <v>R680JPIA</v>
          </cell>
          <cell r="B3666">
            <v>0</v>
          </cell>
          <cell r="C3666">
            <v>0</v>
          </cell>
          <cell r="D3666" t="e">
            <v>#VALUE!</v>
          </cell>
          <cell r="E3666" t="e">
            <v>#VALUE!</v>
          </cell>
          <cell r="F3666">
            <v>0</v>
          </cell>
        </row>
        <row r="3667">
          <cell r="A3667" t="str">
            <v>R680JETA</v>
          </cell>
          <cell r="B3667">
            <v>0</v>
          </cell>
          <cell r="C3667">
            <v>0</v>
          </cell>
          <cell r="D3667" t="e">
            <v>#VALUE!</v>
          </cell>
          <cell r="E3667" t="e">
            <v>#VALUE!</v>
          </cell>
          <cell r="F3667">
            <v>0</v>
          </cell>
        </row>
        <row r="3668">
          <cell r="A3668" t="str">
            <v>R680LK3A</v>
          </cell>
          <cell r="B3668">
            <v>0</v>
          </cell>
          <cell r="C3668">
            <v>0</v>
          </cell>
          <cell r="D3668" t="e">
            <v>#VALUE!</v>
          </cell>
          <cell r="E3668" t="e">
            <v>#VALUE!</v>
          </cell>
          <cell r="F3668">
            <v>0</v>
          </cell>
        </row>
        <row r="3669">
          <cell r="A3669" t="str">
            <v>R680LK4A</v>
          </cell>
          <cell r="B3669">
            <v>0</v>
          </cell>
          <cell r="C3669">
            <v>0</v>
          </cell>
          <cell r="D3669" t="e">
            <v>#VALUE!</v>
          </cell>
          <cell r="E3669" t="e">
            <v>#VALUE!</v>
          </cell>
          <cell r="F3669">
            <v>0</v>
          </cell>
        </row>
        <row r="3670">
          <cell r="A3670" t="str">
            <v>R680SG3A</v>
          </cell>
          <cell r="B3670">
            <v>0</v>
          </cell>
          <cell r="C3670">
            <v>0</v>
          </cell>
          <cell r="D3670" t="e">
            <v>#VALUE!</v>
          </cell>
          <cell r="E3670" t="e">
            <v>#VALUE!</v>
          </cell>
          <cell r="F3670">
            <v>0</v>
          </cell>
        </row>
        <row r="3671">
          <cell r="A3671" t="str">
            <v>R680SG4A</v>
          </cell>
          <cell r="B3671">
            <v>0</v>
          </cell>
          <cell r="C3671">
            <v>0</v>
          </cell>
          <cell r="D3671" t="e">
            <v>#VALUE!</v>
          </cell>
          <cell r="E3671" t="e">
            <v>#VALUE!</v>
          </cell>
          <cell r="F3671">
            <v>0</v>
          </cell>
        </row>
        <row r="3672">
          <cell r="A3672" t="str">
            <v>R680SG5A</v>
          </cell>
          <cell r="B3672">
            <v>0</v>
          </cell>
          <cell r="C3672">
            <v>0</v>
          </cell>
          <cell r="D3672" t="e">
            <v>#VALUE!</v>
          </cell>
          <cell r="E3672" t="e">
            <v>#VALUE!</v>
          </cell>
          <cell r="F3672">
            <v>0</v>
          </cell>
        </row>
        <row r="3673">
          <cell r="A3673" t="str">
            <v>R680SG6A</v>
          </cell>
          <cell r="B3673">
            <v>0</v>
          </cell>
          <cell r="C3673">
            <v>0</v>
          </cell>
          <cell r="D3673" t="e">
            <v>#VALUE!</v>
          </cell>
          <cell r="E3673" t="e">
            <v>#VALUE!</v>
          </cell>
          <cell r="F3673">
            <v>0</v>
          </cell>
        </row>
        <row r="3674">
          <cell r="A3674" t="str">
            <v>R680SG7A</v>
          </cell>
          <cell r="B3674">
            <v>0</v>
          </cell>
          <cell r="C3674">
            <v>0</v>
          </cell>
          <cell r="D3674" t="e">
            <v>#VALUE!</v>
          </cell>
          <cell r="E3674" t="e">
            <v>#VALUE!</v>
          </cell>
          <cell r="F3674">
            <v>0</v>
          </cell>
        </row>
        <row r="3675">
          <cell r="A3675" t="str">
            <v>R680LKFA</v>
          </cell>
          <cell r="B3675">
            <v>0</v>
          </cell>
          <cell r="C3675">
            <v>0</v>
          </cell>
          <cell r="D3675" t="e">
            <v>#VALUE!</v>
          </cell>
          <cell r="E3675" t="e">
            <v>#VALUE!</v>
          </cell>
          <cell r="F3675">
            <v>0</v>
          </cell>
        </row>
        <row r="3676">
          <cell r="A3676" t="str">
            <v>R680LFKA</v>
          </cell>
          <cell r="B3676">
            <v>0</v>
          </cell>
          <cell r="C3676">
            <v>0</v>
          </cell>
          <cell r="D3676" t="e">
            <v>#VALUE!</v>
          </cell>
          <cell r="E3676" t="e">
            <v>#VALUE!</v>
          </cell>
          <cell r="F3676">
            <v>0</v>
          </cell>
        </row>
        <row r="3677">
          <cell r="A3677" t="str">
            <v>R680LG1A</v>
          </cell>
          <cell r="B3677">
            <v>-7.286438620362227E-3</v>
          </cell>
          <cell r="C3677">
            <v>0</v>
          </cell>
          <cell r="D3677" t="e">
            <v>#VALUE!</v>
          </cell>
          <cell r="E3677" t="e">
            <v>#VALUE!</v>
          </cell>
          <cell r="F3677">
            <v>0</v>
          </cell>
        </row>
        <row r="3678">
          <cell r="A3678" t="str">
            <v>R680LG2A</v>
          </cell>
          <cell r="B3678">
            <v>1.3162300134179732E-3</v>
          </cell>
          <cell r="C3678">
            <v>0</v>
          </cell>
          <cell r="D3678" t="e">
            <v>#VALUE!</v>
          </cell>
          <cell r="E3678" t="e">
            <v>#VALUE!</v>
          </cell>
          <cell r="F3678">
            <v>0</v>
          </cell>
        </row>
        <row r="3679">
          <cell r="A3679" t="str">
            <v>R680LG3A</v>
          </cell>
          <cell r="B3679">
            <v>-8.6616619047748678E-4</v>
          </cell>
          <cell r="C3679">
            <v>0</v>
          </cell>
          <cell r="D3679" t="e">
            <v>#VALUE!</v>
          </cell>
          <cell r="E3679" t="e">
            <v>#VALUE!</v>
          </cell>
          <cell r="F3679">
            <v>0</v>
          </cell>
        </row>
        <row r="3680">
          <cell r="A3680" t="str">
            <v>R680GS1A</v>
          </cell>
          <cell r="B3680">
            <v>-3.2357477982869778E-5</v>
          </cell>
          <cell r="C3680">
            <v>0</v>
          </cell>
          <cell r="D3680" t="e">
            <v>#VALUE!</v>
          </cell>
          <cell r="E3680" t="e">
            <v>#VALUE!</v>
          </cell>
          <cell r="F3680">
            <v>0</v>
          </cell>
        </row>
        <row r="3681">
          <cell r="A3681" t="str">
            <v>R680GS2A</v>
          </cell>
          <cell r="B3681">
            <v>-3.8339702452086471E-7</v>
          </cell>
          <cell r="C3681">
            <v>0</v>
          </cell>
          <cell r="D3681" t="e">
            <v>#VALUE!</v>
          </cell>
          <cell r="E3681" t="e">
            <v>#VALUE!</v>
          </cell>
          <cell r="F3681">
            <v>0</v>
          </cell>
        </row>
        <row r="3682">
          <cell r="A3682" t="str">
            <v>R680GS3A</v>
          </cell>
          <cell r="B3682">
            <v>0</v>
          </cell>
          <cell r="C3682">
            <v>0</v>
          </cell>
          <cell r="D3682" t="e">
            <v>#VALUE!</v>
          </cell>
          <cell r="E3682" t="e">
            <v>#VALUE!</v>
          </cell>
          <cell r="F3682">
            <v>0</v>
          </cell>
        </row>
        <row r="3683">
          <cell r="A3683" t="str">
            <v>R680GS4A</v>
          </cell>
          <cell r="B3683">
            <v>1.7775318769527575E-4</v>
          </cell>
          <cell r="C3683">
            <v>0</v>
          </cell>
          <cell r="D3683" t="e">
            <v>#VALUE!</v>
          </cell>
          <cell r="E3683" t="e">
            <v>#VALUE!</v>
          </cell>
          <cell r="F3683">
            <v>0</v>
          </cell>
        </row>
        <row r="3684">
          <cell r="A3684" t="str">
            <v>R680GS5A</v>
          </cell>
          <cell r="B3684">
            <v>0</v>
          </cell>
          <cell r="C3684">
            <v>0</v>
          </cell>
          <cell r="D3684" t="e">
            <v>#VALUE!</v>
          </cell>
          <cell r="E3684" t="e">
            <v>#VALUE!</v>
          </cell>
          <cell r="F3684">
            <v>0</v>
          </cell>
        </row>
        <row r="3685">
          <cell r="A3685" t="str">
            <v>R680GS6A</v>
          </cell>
          <cell r="B3685">
            <v>-1.2464797045367764E-9</v>
          </cell>
          <cell r="C3685">
            <v>0</v>
          </cell>
          <cell r="D3685" t="e">
            <v>#VALUE!</v>
          </cell>
          <cell r="E3685" t="e">
            <v>#VALUE!</v>
          </cell>
          <cell r="F3685">
            <v>0</v>
          </cell>
        </row>
        <row r="3686">
          <cell r="A3686" t="str">
            <v>R680GS7A</v>
          </cell>
          <cell r="B3686">
            <v>8.3355243883529071E-5</v>
          </cell>
          <cell r="C3686">
            <v>0</v>
          </cell>
          <cell r="D3686" t="e">
            <v>#VALUE!</v>
          </cell>
          <cell r="E3686" t="e">
            <v>#VALUE!</v>
          </cell>
          <cell r="F3686">
            <v>0</v>
          </cell>
        </row>
        <row r="3687">
          <cell r="A3687" t="str">
            <v>R680G11A</v>
          </cell>
          <cell r="B3687">
            <v>1.4232870651734356E-2</v>
          </cell>
          <cell r="C3687">
            <v>0</v>
          </cell>
          <cell r="D3687" t="e">
            <v>#VALUE!</v>
          </cell>
          <cell r="E3687" t="e">
            <v>#VALUE!</v>
          </cell>
          <cell r="F3687">
            <v>0</v>
          </cell>
        </row>
        <row r="3688">
          <cell r="A3688" t="str">
            <v>R680PG1A</v>
          </cell>
          <cell r="B3688">
            <v>-7.9353743846262632E-5</v>
          </cell>
          <cell r="C3688">
            <v>0</v>
          </cell>
          <cell r="D3688" t="e">
            <v>#VALUE!</v>
          </cell>
          <cell r="E3688" t="e">
            <v>#VALUE!</v>
          </cell>
          <cell r="F3688">
            <v>0</v>
          </cell>
        </row>
        <row r="3689">
          <cell r="A3689" t="str">
            <v>R680PG2A</v>
          </cell>
          <cell r="B3689">
            <v>1.5192844781612098E-4</v>
          </cell>
          <cell r="C3689">
            <v>0</v>
          </cell>
          <cell r="D3689" t="e">
            <v>#VALUE!</v>
          </cell>
          <cell r="E3689" t="e">
            <v>#VALUE!</v>
          </cell>
          <cell r="F3689">
            <v>0</v>
          </cell>
        </row>
        <row r="3690">
          <cell r="A3690" t="str">
            <v>R680PB1A</v>
          </cell>
          <cell r="B3690">
            <v>1.7870028136089848E-16</v>
          </cell>
          <cell r="C3690">
            <v>0</v>
          </cell>
          <cell r="D3690" t="e">
            <v>#VALUE!</v>
          </cell>
          <cell r="E3690" t="e">
            <v>#VALUE!</v>
          </cell>
          <cell r="F3690">
            <v>0</v>
          </cell>
        </row>
        <row r="3691">
          <cell r="A3691" t="str">
            <v>R680PB2A</v>
          </cell>
          <cell r="B3691">
            <v>0</v>
          </cell>
          <cell r="C3691">
            <v>0</v>
          </cell>
          <cell r="D3691" t="e">
            <v>#VALUE!</v>
          </cell>
          <cell r="E3691" t="e">
            <v>#VALUE!</v>
          </cell>
          <cell r="F3691">
            <v>0</v>
          </cell>
        </row>
        <row r="3692">
          <cell r="A3692" t="str">
            <v>R680PB3A</v>
          </cell>
          <cell r="B3692">
            <v>0</v>
          </cell>
          <cell r="C3692">
            <v>0</v>
          </cell>
          <cell r="D3692" t="e">
            <v>#VALUE!</v>
          </cell>
          <cell r="E3692" t="e">
            <v>#VALUE!</v>
          </cell>
          <cell r="F3692">
            <v>0</v>
          </cell>
        </row>
        <row r="3693">
          <cell r="A3693" t="str">
            <v>R680PB4A</v>
          </cell>
          <cell r="B3693">
            <v>8.708999222441864E-15</v>
          </cell>
          <cell r="C3693">
            <v>0</v>
          </cell>
          <cell r="D3693" t="e">
            <v>#VALUE!</v>
          </cell>
          <cell r="E3693" t="e">
            <v>#VALUE!</v>
          </cell>
          <cell r="F3693">
            <v>0</v>
          </cell>
        </row>
        <row r="3694">
          <cell r="A3694" t="str">
            <v>R680PP1A</v>
          </cell>
          <cell r="B3694">
            <v>0</v>
          </cell>
          <cell r="C3694">
            <v>0</v>
          </cell>
          <cell r="D3694" t="e">
            <v>#VALUE!</v>
          </cell>
          <cell r="E3694" t="e">
            <v>#VALUE!</v>
          </cell>
          <cell r="F3694">
            <v>0</v>
          </cell>
        </row>
        <row r="3695">
          <cell r="A3695" t="str">
            <v>R680PP2A</v>
          </cell>
          <cell r="B3695">
            <v>0</v>
          </cell>
          <cell r="C3695">
            <v>0</v>
          </cell>
          <cell r="D3695" t="e">
            <v>#VALUE!</v>
          </cell>
          <cell r="E3695" t="e">
            <v>#VALUE!</v>
          </cell>
          <cell r="F3695">
            <v>0</v>
          </cell>
        </row>
        <row r="3696">
          <cell r="A3696" t="str">
            <v>R680PP3A</v>
          </cell>
          <cell r="B3696">
            <v>0</v>
          </cell>
          <cell r="C3696">
            <v>0</v>
          </cell>
          <cell r="D3696" t="e">
            <v>#VALUE!</v>
          </cell>
          <cell r="E3696" t="e">
            <v>#VALUE!</v>
          </cell>
          <cell r="F3696">
            <v>0</v>
          </cell>
        </row>
        <row r="3697">
          <cell r="A3697" t="str">
            <v>R680PP4A</v>
          </cell>
          <cell r="B3697">
            <v>0</v>
          </cell>
          <cell r="C3697">
            <v>0</v>
          </cell>
          <cell r="D3697" t="e">
            <v>#VALUE!</v>
          </cell>
          <cell r="E3697" t="e">
            <v>#VALUE!</v>
          </cell>
          <cell r="F3697">
            <v>0</v>
          </cell>
        </row>
        <row r="3698">
          <cell r="A3698" t="str">
            <v>R680DTFA</v>
          </cell>
          <cell r="B3698">
            <v>9.731203052279068E-2</v>
          </cell>
          <cell r="C3698">
            <v>0</v>
          </cell>
          <cell r="D3698" t="e">
            <v>#VALUE!</v>
          </cell>
          <cell r="E3698" t="e">
            <v>#VALUE!</v>
          </cell>
          <cell r="F3698">
            <v>0</v>
          </cell>
        </row>
        <row r="3699">
          <cell r="A3699" t="str">
            <v>R680NPCA</v>
          </cell>
          <cell r="B3699">
            <v>0</v>
          </cell>
          <cell r="C3699">
            <v>0</v>
          </cell>
          <cell r="D3699" t="e">
            <v>#VALUE!</v>
          </cell>
          <cell r="E3699" t="e">
            <v>#VALUE!</v>
          </cell>
          <cell r="F3699">
            <v>0</v>
          </cell>
        </row>
        <row r="3700">
          <cell r="A3700" t="str">
            <v>R680BNPA</v>
          </cell>
          <cell r="B3700">
            <v>0</v>
          </cell>
          <cell r="C3700">
            <v>0</v>
          </cell>
          <cell r="D3700" t="e">
            <v>#VALUE!</v>
          </cell>
          <cell r="E3700" t="e">
            <v>#VALUE!</v>
          </cell>
          <cell r="F3700">
            <v>0</v>
          </cell>
        </row>
        <row r="3701">
          <cell r="A3701" t="str">
            <v>R680LCDA</v>
          </cell>
          <cell r="B3701">
            <v>2.9486268958434054E-2</v>
          </cell>
          <cell r="C3701">
            <v>0</v>
          </cell>
          <cell r="D3701" t="e">
            <v>#VALUE!</v>
          </cell>
          <cell r="E3701" t="e">
            <v>#VALUE!</v>
          </cell>
          <cell r="F3701">
            <v>0</v>
          </cell>
        </row>
        <row r="3702">
          <cell r="A3702" t="str">
            <v>RNC4BTTA</v>
          </cell>
          <cell r="B3702">
            <v>4.7020686216244145E-3</v>
          </cell>
          <cell r="C3702">
            <v>0</v>
          </cell>
          <cell r="D3702" t="e">
            <v>#VALUE!</v>
          </cell>
          <cell r="E3702" t="e">
            <v>#VALUE!</v>
          </cell>
          <cell r="F3702">
            <v>0</v>
          </cell>
        </row>
        <row r="3703">
          <cell r="A3703" t="str">
            <v>RNC4B4IA</v>
          </cell>
          <cell r="B3703">
            <v>4.2223526095967077E-3</v>
          </cell>
          <cell r="C3703">
            <v>0</v>
          </cell>
          <cell r="D3703" t="e">
            <v>#VALUE!</v>
          </cell>
          <cell r="E3703" t="e">
            <v>#VALUE!</v>
          </cell>
          <cell r="F3703">
            <v>0</v>
          </cell>
        </row>
        <row r="3704">
          <cell r="A3704" t="str">
            <v>RNC4C4AA</v>
          </cell>
          <cell r="B3704">
            <v>2.7284459874340116E-3</v>
          </cell>
          <cell r="C3704">
            <v>0</v>
          </cell>
          <cell r="D3704" t="e">
            <v>#VALUE!</v>
          </cell>
          <cell r="E3704" t="e">
            <v>#VALUE!</v>
          </cell>
          <cell r="F3704">
            <v>0</v>
          </cell>
        </row>
        <row r="3705">
          <cell r="A3705" t="str">
            <v>RNC4C4BA</v>
          </cell>
          <cell r="B3705">
            <v>-2.9940481326775628E-4</v>
          </cell>
          <cell r="C3705">
            <v>0</v>
          </cell>
          <cell r="D3705" t="e">
            <v>#VALUE!</v>
          </cell>
          <cell r="E3705" t="e">
            <v>#VALUE!</v>
          </cell>
          <cell r="F3705">
            <v>0</v>
          </cell>
        </row>
        <row r="3706">
          <cell r="A3706" t="str">
            <v>RNC4M4AA</v>
          </cell>
          <cell r="B3706">
            <v>3.0587866533171282E-3</v>
          </cell>
          <cell r="C3706">
            <v>0</v>
          </cell>
          <cell r="D3706" t="e">
            <v>#VALUE!</v>
          </cell>
          <cell r="E3706" t="e">
            <v>#VALUE!</v>
          </cell>
          <cell r="F3706">
            <v>0</v>
          </cell>
        </row>
        <row r="3707">
          <cell r="A3707" t="str">
            <v>RNC4M4BA</v>
          </cell>
          <cell r="B3707">
            <v>-1.1311719666493496E-3</v>
          </cell>
          <cell r="C3707">
            <v>0</v>
          </cell>
          <cell r="D3707" t="e">
            <v>#VALUE!</v>
          </cell>
          <cell r="E3707" t="e">
            <v>#VALUE!</v>
          </cell>
          <cell r="F3707">
            <v>0</v>
          </cell>
        </row>
        <row r="3708">
          <cell r="A3708" t="str">
            <v>RIC4BTTA</v>
          </cell>
          <cell r="B3708">
            <v>-5.5017253686992888E-3</v>
          </cell>
          <cell r="C3708">
            <v>0</v>
          </cell>
          <cell r="D3708" t="e">
            <v>#VALUE!</v>
          </cell>
          <cell r="E3708" t="e">
            <v>#VALUE!</v>
          </cell>
          <cell r="F3708">
            <v>0</v>
          </cell>
        </row>
        <row r="3709">
          <cell r="A3709" t="str">
            <v>RIC4B4IA</v>
          </cell>
          <cell r="B3709">
            <v>-5.4741426182859767E-3</v>
          </cell>
          <cell r="C3709">
            <v>0</v>
          </cell>
          <cell r="D3709" t="e">
            <v>#VALUE!</v>
          </cell>
          <cell r="E3709" t="e">
            <v>#VALUE!</v>
          </cell>
          <cell r="F3709">
            <v>0</v>
          </cell>
        </row>
        <row r="3710">
          <cell r="A3710" t="str">
            <v>RIC4C4AA</v>
          </cell>
          <cell r="B3710">
            <v>-4.6459384623768243E-4</v>
          </cell>
          <cell r="C3710">
            <v>0</v>
          </cell>
          <cell r="D3710" t="e">
            <v>#VALUE!</v>
          </cell>
          <cell r="E3710" t="e">
            <v>#VALUE!</v>
          </cell>
          <cell r="F3710">
            <v>0</v>
          </cell>
        </row>
        <row r="3711">
          <cell r="A3711" t="str">
            <v>RIC4C4BA</v>
          </cell>
          <cell r="B3711">
            <v>1.4375070224784008E-3</v>
          </cell>
          <cell r="C3711">
            <v>0</v>
          </cell>
          <cell r="D3711" t="e">
            <v>#VALUE!</v>
          </cell>
          <cell r="E3711" t="e">
            <v>#VALUE!</v>
          </cell>
          <cell r="F3711">
            <v>0</v>
          </cell>
        </row>
        <row r="3712">
          <cell r="A3712" t="str">
            <v>RIC4M4AA</v>
          </cell>
          <cell r="B3712">
            <v>-3.0048394754324873E-3</v>
          </cell>
          <cell r="C3712">
            <v>0</v>
          </cell>
          <cell r="D3712" t="e">
            <v>#VALUE!</v>
          </cell>
          <cell r="E3712" t="e">
            <v>#VALUE!</v>
          </cell>
          <cell r="F3712">
            <v>0</v>
          </cell>
        </row>
        <row r="3713">
          <cell r="A3713" t="str">
            <v>RIC4M4BA</v>
          </cell>
          <cell r="B3713">
            <v>-7.6048006383344939E-4</v>
          </cell>
          <cell r="C3713">
            <v>0</v>
          </cell>
          <cell r="D3713" t="e">
            <v>#VALUE!</v>
          </cell>
          <cell r="E3713" t="e">
            <v>#VALUE!</v>
          </cell>
          <cell r="F3713">
            <v>0</v>
          </cell>
        </row>
        <row r="3714">
          <cell r="A3714" t="str">
            <v>RI4=BTTA</v>
          </cell>
          <cell r="B3714">
            <v>1.9817795128041675E-3</v>
          </cell>
          <cell r="C3714">
            <v>0</v>
          </cell>
          <cell r="D3714" t="e">
            <v>#VALUE!</v>
          </cell>
          <cell r="E3714" t="e">
            <v>#VALUE!</v>
          </cell>
          <cell r="F3714">
            <v>0</v>
          </cell>
        </row>
        <row r="3715">
          <cell r="A3715" t="str">
            <v>RI4=B4IA</v>
          </cell>
          <cell r="B3715">
            <v>-3.9618184167106389E-5</v>
          </cell>
          <cell r="C3715">
            <v>0</v>
          </cell>
          <cell r="D3715" t="e">
            <v>#VALUE!</v>
          </cell>
          <cell r="E3715" t="e">
            <v>#VALUE!</v>
          </cell>
          <cell r="F3715">
            <v>0</v>
          </cell>
        </row>
        <row r="3716">
          <cell r="A3716" t="str">
            <v>RI4=C4AA</v>
          </cell>
          <cell r="B3716">
            <v>2.5406244820484584E-3</v>
          </cell>
          <cell r="C3716">
            <v>0</v>
          </cell>
          <cell r="D3716" t="e">
            <v>#VALUE!</v>
          </cell>
          <cell r="E3716" t="e">
            <v>#VALUE!</v>
          </cell>
          <cell r="F3716">
            <v>0</v>
          </cell>
        </row>
        <row r="3717">
          <cell r="A3717" t="str">
            <v>RI4=C4BA</v>
          </cell>
          <cell r="B3717">
            <v>2.1753356766517033E-4</v>
          </cell>
          <cell r="C3717">
            <v>0</v>
          </cell>
          <cell r="D3717" t="e">
            <v>#VALUE!</v>
          </cell>
          <cell r="E3717" t="e">
            <v>#VALUE!</v>
          </cell>
          <cell r="F3717">
            <v>0</v>
          </cell>
        </row>
        <row r="3718">
          <cell r="A3718" t="str">
            <v>RI4=M4AA</v>
          </cell>
          <cell r="B3718">
            <v>3.1607129502633254E-4</v>
          </cell>
          <cell r="C3718">
            <v>0</v>
          </cell>
          <cell r="D3718" t="e">
            <v>#VALUE!</v>
          </cell>
          <cell r="E3718" t="e">
            <v>#VALUE!</v>
          </cell>
          <cell r="F3718">
            <v>0</v>
          </cell>
        </row>
        <row r="3719">
          <cell r="A3719" t="str">
            <v>RI4=M4BA</v>
          </cell>
          <cell r="B3719">
            <v>3.2559762868714483E-4</v>
          </cell>
          <cell r="C3719">
            <v>0</v>
          </cell>
          <cell r="D3719" t="e">
            <v>#VALUE!</v>
          </cell>
          <cell r="E3719" t="e">
            <v>#VALUE!</v>
          </cell>
          <cell r="F3719">
            <v>0</v>
          </cell>
        </row>
        <row r="3720">
          <cell r="A3720" t="str">
            <v>R4=1BTTA</v>
          </cell>
          <cell r="B3720">
            <v>3.3831807874041063E-3</v>
          </cell>
          <cell r="C3720">
            <v>0</v>
          </cell>
          <cell r="D3720" t="e">
            <v>#VALUE!</v>
          </cell>
          <cell r="E3720" t="e">
            <v>#VALUE!</v>
          </cell>
          <cell r="F3720">
            <v>0</v>
          </cell>
        </row>
        <row r="3721">
          <cell r="A3721" t="str">
            <v>R4=1B4IA</v>
          </cell>
          <cell r="B3721">
            <v>3.5699699804416464E-3</v>
          </cell>
          <cell r="C3721">
            <v>0</v>
          </cell>
          <cell r="D3721" t="e">
            <v>#VALUE!</v>
          </cell>
          <cell r="E3721" t="e">
            <v>#VALUE!</v>
          </cell>
          <cell r="F3721">
            <v>0</v>
          </cell>
        </row>
        <row r="3722">
          <cell r="A3722" t="str">
            <v>R4=1C4AA</v>
          </cell>
          <cell r="B3722">
            <v>1.5173275833821869E-3</v>
          </cell>
          <cell r="C3722">
            <v>0</v>
          </cell>
          <cell r="D3722" t="e">
            <v>#VALUE!</v>
          </cell>
          <cell r="E3722" t="e">
            <v>#VALUE!</v>
          </cell>
          <cell r="F3722">
            <v>0</v>
          </cell>
        </row>
        <row r="3723">
          <cell r="A3723" t="str">
            <v>R4=1C4BA</v>
          </cell>
          <cell r="B3723">
            <v>2.5499418933739508E-4</v>
          </cell>
          <cell r="C3723">
            <v>0</v>
          </cell>
          <cell r="D3723" t="e">
            <v>#VALUE!</v>
          </cell>
          <cell r="E3723" t="e">
            <v>#VALUE!</v>
          </cell>
          <cell r="F3723">
            <v>0</v>
          </cell>
        </row>
        <row r="3724">
          <cell r="A3724" t="str">
            <v>R4=1M4AA</v>
          </cell>
          <cell r="B3724">
            <v>1.5547466360683209E-4</v>
          </cell>
          <cell r="C3724">
            <v>0</v>
          </cell>
          <cell r="D3724" t="e">
            <v>#VALUE!</v>
          </cell>
          <cell r="E3724" t="e">
            <v>#VALUE!</v>
          </cell>
          <cell r="F3724">
            <v>0</v>
          </cell>
        </row>
        <row r="3725">
          <cell r="A3725" t="str">
            <v>R4=1M4BA</v>
          </cell>
          <cell r="B3725">
            <v>-3.9921823457642525E-4</v>
          </cell>
          <cell r="C3725">
            <v>0</v>
          </cell>
          <cell r="D3725" t="e">
            <v>#VALUE!</v>
          </cell>
          <cell r="E3725" t="e">
            <v>#VALUE!</v>
          </cell>
          <cell r="F3725">
            <v>0</v>
          </cell>
        </row>
        <row r="3726">
          <cell r="A3726" t="str">
            <v>R4=2BTTA</v>
          </cell>
          <cell r="B3726">
            <v>5.140787516784382E-4</v>
          </cell>
          <cell r="C3726">
            <v>0</v>
          </cell>
          <cell r="D3726" t="e">
            <v>#VALUE!</v>
          </cell>
          <cell r="E3726" t="e">
            <v>#VALUE!</v>
          </cell>
          <cell r="F3726">
            <v>0</v>
          </cell>
        </row>
        <row r="3727">
          <cell r="A3727" t="str">
            <v>R4=2B4IA</v>
          </cell>
          <cell r="B3727">
            <v>4.2547730359006417E-4</v>
          </cell>
          <cell r="C3727">
            <v>0</v>
          </cell>
          <cell r="D3727" t="e">
            <v>#VALUE!</v>
          </cell>
          <cell r="E3727" t="e">
            <v>#VALUE!</v>
          </cell>
          <cell r="F3727">
            <v>0</v>
          </cell>
        </row>
        <row r="3728">
          <cell r="A3728" t="str">
            <v>R4=2C4AA</v>
          </cell>
          <cell r="B3728">
            <v>-1.5850362879039133E-3</v>
          </cell>
          <cell r="C3728">
            <v>0</v>
          </cell>
          <cell r="D3728" t="e">
            <v>#VALUE!</v>
          </cell>
          <cell r="E3728" t="e">
            <v>#VALUE!</v>
          </cell>
          <cell r="F3728">
            <v>0</v>
          </cell>
        </row>
        <row r="3729">
          <cell r="A3729" t="str">
            <v>R4=2C4BA</v>
          </cell>
          <cell r="B3729">
            <v>1.7086638341823668E-4</v>
          </cell>
          <cell r="C3729">
            <v>0</v>
          </cell>
          <cell r="D3729" t="e">
            <v>#VALUE!</v>
          </cell>
          <cell r="E3729" t="e">
            <v>#VALUE!</v>
          </cell>
          <cell r="F3729">
            <v>0</v>
          </cell>
        </row>
        <row r="3730">
          <cell r="A3730" t="str">
            <v>R4=2M4AA</v>
          </cell>
          <cell r="B3730">
            <v>-1.1422235112037663E-3</v>
          </cell>
          <cell r="C3730">
            <v>0</v>
          </cell>
          <cell r="D3730" t="e">
            <v>#VALUE!</v>
          </cell>
          <cell r="E3730" t="e">
            <v>#VALUE!</v>
          </cell>
          <cell r="F3730">
            <v>0</v>
          </cell>
        </row>
        <row r="3731">
          <cell r="A3731" t="str">
            <v>R4=2M4BA</v>
          </cell>
          <cell r="B3731">
            <v>5.5452819310817614E-4</v>
          </cell>
          <cell r="C3731">
            <v>0</v>
          </cell>
          <cell r="D3731" t="e">
            <v>#VALUE!</v>
          </cell>
          <cell r="E3731" t="e">
            <v>#VALUE!</v>
          </cell>
          <cell r="F3731">
            <v>0</v>
          </cell>
        </row>
        <row r="3732">
          <cell r="A3732" t="str">
            <v>ROLFCFAA</v>
          </cell>
          <cell r="B3732">
            <v>-2.4494243013889415E-3</v>
          </cell>
          <cell r="C3732">
            <v>0</v>
          </cell>
          <cell r="D3732" t="e">
            <v>#VALUE!</v>
          </cell>
          <cell r="E3732" t="e">
            <v>#VALUE!</v>
          </cell>
          <cell r="F3732">
            <v>0</v>
          </cell>
        </row>
        <row r="3733">
          <cell r="A3733" t="str">
            <v>ROLFCWAA</v>
          </cell>
          <cell r="B3733">
            <v>-2.4494243013889415E-3</v>
          </cell>
          <cell r="C3733">
            <v>0</v>
          </cell>
          <cell r="D3733" t="e">
            <v>#VALUE!</v>
          </cell>
          <cell r="E3733" t="e">
            <v>#VALUE!</v>
          </cell>
          <cell r="F3733">
            <v>0</v>
          </cell>
        </row>
        <row r="3734">
          <cell r="A3734" t="str">
            <v>ROLFCZAA</v>
          </cell>
          <cell r="B3734">
            <v>-2.4494243013863238E-3</v>
          </cell>
          <cell r="C3734">
            <v>0</v>
          </cell>
          <cell r="D3734" t="e">
            <v>#VALUE!</v>
          </cell>
          <cell r="E3734" t="e">
            <v>#VALUE!</v>
          </cell>
          <cell r="F3734">
            <v>0</v>
          </cell>
        </row>
        <row r="3735">
          <cell r="A3735" t="str">
            <v>ROLFCFBA</v>
          </cell>
          <cell r="B3735">
            <v>0</v>
          </cell>
          <cell r="C3735">
            <v>0</v>
          </cell>
          <cell r="D3735" t="e">
            <v>#VALUE!</v>
          </cell>
          <cell r="E3735" t="e">
            <v>#VALUE!</v>
          </cell>
          <cell r="F3735">
            <v>0</v>
          </cell>
        </row>
        <row r="3736">
          <cell r="A3736" t="str">
            <v>ROLFCXBA</v>
          </cell>
          <cell r="B3736">
            <v>0</v>
          </cell>
          <cell r="C3736">
            <v>0</v>
          </cell>
          <cell r="D3736" t="e">
            <v>#VALUE!</v>
          </cell>
          <cell r="E3736" t="e">
            <v>#VALUE!</v>
          </cell>
          <cell r="F3736">
            <v>0</v>
          </cell>
        </row>
        <row r="3737">
          <cell r="A3737" t="str">
            <v>ROLFCYBA</v>
          </cell>
          <cell r="B3737">
            <v>-1.3457728082606967E-14</v>
          </cell>
          <cell r="C3737">
            <v>0</v>
          </cell>
          <cell r="D3737" t="e">
            <v>#VALUE!</v>
          </cell>
          <cell r="E3737" t="e">
            <v>#VALUE!</v>
          </cell>
          <cell r="F3737">
            <v>0</v>
          </cell>
        </row>
        <row r="3738">
          <cell r="A3738" t="str">
            <v>ROLFLCAA</v>
          </cell>
          <cell r="B3738">
            <v>-1.4251848118226619E-4</v>
          </cell>
          <cell r="C3738">
            <v>0</v>
          </cell>
          <cell r="D3738" t="e">
            <v>#VALUE!</v>
          </cell>
          <cell r="E3738" t="e">
            <v>#VALUE!</v>
          </cell>
          <cell r="F3738">
            <v>0</v>
          </cell>
        </row>
        <row r="3739">
          <cell r="A3739" t="str">
            <v>ROLFLCBA</v>
          </cell>
          <cell r="B3739">
            <v>-8.0089168399827531E-4</v>
          </cell>
          <cell r="C3739">
            <v>0</v>
          </cell>
          <cell r="D3739" t="e">
            <v>#VALUE!</v>
          </cell>
          <cell r="E3739" t="e">
            <v>#VALUE!</v>
          </cell>
          <cell r="F3739">
            <v>0</v>
          </cell>
        </row>
        <row r="3740">
          <cell r="A3740" t="str">
            <v>ROLFLCTA</v>
          </cell>
          <cell r="B3740">
            <v>1.8231860451298218E-4</v>
          </cell>
          <cell r="C3740">
            <v>0</v>
          </cell>
          <cell r="D3740" t="e">
            <v>#VALUE!</v>
          </cell>
          <cell r="E3740" t="e">
            <v>#VALUE!</v>
          </cell>
          <cell r="F3740">
            <v>0</v>
          </cell>
        </row>
        <row r="3741">
          <cell r="A3741" t="str">
            <v>ROLFNBOA</v>
          </cell>
          <cell r="B3741">
            <v>-7.5409116580474748E-5</v>
          </cell>
          <cell r="C3741">
            <v>0</v>
          </cell>
          <cell r="D3741" t="e">
            <v>#VALUE!</v>
          </cell>
          <cell r="E3741" t="e">
            <v>#VALUE!</v>
          </cell>
          <cell r="F3741">
            <v>0</v>
          </cell>
        </row>
        <row r="3742">
          <cell r="A3742" t="str">
            <v>ROLFCAMA</v>
          </cell>
          <cell r="B3742">
            <v>-4.3085744673839121E-6</v>
          </cell>
          <cell r="C3742">
            <v>0</v>
          </cell>
          <cell r="D3742" t="e">
            <v>#VALUE!</v>
          </cell>
          <cell r="E3742" t="e">
            <v>#VALUE!</v>
          </cell>
          <cell r="F3742">
            <v>0</v>
          </cell>
        </row>
        <row r="3743">
          <cell r="A3743" t="str">
            <v>ROLFT14A</v>
          </cell>
          <cell r="B3743">
            <v>-1.7554517200675933E-3</v>
          </cell>
          <cell r="C3743">
            <v>0</v>
          </cell>
          <cell r="D3743" t="e">
            <v>#VALUE!</v>
          </cell>
          <cell r="E3743" t="e">
            <v>#VALUE!</v>
          </cell>
          <cell r="F3743">
            <v>0</v>
          </cell>
        </row>
        <row r="3744">
          <cell r="A3744" t="str">
            <v>ROLFNCAA</v>
          </cell>
          <cell r="B3744">
            <v>1.1482274274609676E-3</v>
          </cell>
          <cell r="C3744">
            <v>0</v>
          </cell>
          <cell r="D3744" t="e">
            <v>#VALUE!</v>
          </cell>
          <cell r="E3744" t="e">
            <v>#VALUE!</v>
          </cell>
          <cell r="F3744">
            <v>0</v>
          </cell>
        </row>
        <row r="3745">
          <cell r="A3745" t="str">
            <v>ROLFLCXA</v>
          </cell>
          <cell r="B3745">
            <v>1.8231860451298218E-4</v>
          </cell>
          <cell r="C3745">
            <v>0</v>
          </cell>
          <cell r="D3745" t="e">
            <v>#VALUE!</v>
          </cell>
          <cell r="E3745" t="e">
            <v>#VALUE!</v>
          </cell>
          <cell r="F3745">
            <v>0</v>
          </cell>
        </row>
        <row r="3746">
          <cell r="A3746" t="str">
            <v>ROLFLCIA</v>
          </cell>
          <cell r="B3746">
            <v>1.8231860451298218E-4</v>
          </cell>
          <cell r="C3746">
            <v>0</v>
          </cell>
          <cell r="D3746" t="e">
            <v>#VALUE!</v>
          </cell>
          <cell r="E3746" t="e">
            <v>#VALUE!</v>
          </cell>
          <cell r="F3746">
            <v>0</v>
          </cell>
        </row>
        <row r="3747">
          <cell r="A3747" t="str">
            <v>ROLFLCJA</v>
          </cell>
          <cell r="B3747">
            <v>1.8231860451298218E-4</v>
          </cell>
          <cell r="C3747">
            <v>0</v>
          </cell>
          <cell r="D3747" t="e">
            <v>#VALUE!</v>
          </cell>
          <cell r="E3747" t="e">
            <v>#VALUE!</v>
          </cell>
          <cell r="F3747">
            <v>0</v>
          </cell>
        </row>
        <row r="3748">
          <cell r="A3748" t="str">
            <v>ROLFLCKA</v>
          </cell>
          <cell r="B3748">
            <v>1.8231860451298218E-4</v>
          </cell>
          <cell r="C3748">
            <v>0</v>
          </cell>
          <cell r="D3748" t="e">
            <v>#VALUE!</v>
          </cell>
          <cell r="E3748" t="e">
            <v>#VALUE!</v>
          </cell>
          <cell r="F3748">
            <v>0</v>
          </cell>
        </row>
        <row r="3749">
          <cell r="A3749" t="str">
            <v>ROLFRCJA</v>
          </cell>
          <cell r="B3749">
            <v>1.8231860451298218E-4</v>
          </cell>
          <cell r="C3749">
            <v>0</v>
          </cell>
          <cell r="D3749" t="e">
            <v>#VALUE!</v>
          </cell>
          <cell r="E3749" t="e">
            <v>#VALUE!</v>
          </cell>
          <cell r="F3749">
            <v>0</v>
          </cell>
        </row>
        <row r="3750">
          <cell r="A3750" t="str">
            <v>ROLFRCKA</v>
          </cell>
          <cell r="B3750">
            <v>1.8231860451298218E-4</v>
          </cell>
          <cell r="C3750">
            <v>0</v>
          </cell>
          <cell r="D3750" t="e">
            <v>#VALUE!</v>
          </cell>
          <cell r="E3750" t="e">
            <v>#VALUE!</v>
          </cell>
          <cell r="F3750">
            <v>0</v>
          </cell>
        </row>
        <row r="3751">
          <cell r="A3751" t="str">
            <v>ROLFLCZA</v>
          </cell>
          <cell r="B3751">
            <v>-6.9732928187315264E-4</v>
          </cell>
          <cell r="C3751">
            <v>0</v>
          </cell>
          <cell r="D3751" t="e">
            <v>#VALUE!</v>
          </cell>
          <cell r="E3751" t="e">
            <v>#VALUE!</v>
          </cell>
          <cell r="F3751">
            <v>0</v>
          </cell>
        </row>
        <row r="3752">
          <cell r="A3752" t="str">
            <v>R200T14A</v>
          </cell>
          <cell r="B3752">
            <v>1.5598946646468281E-2</v>
          </cell>
          <cell r="C3752">
            <v>0</v>
          </cell>
          <cell r="D3752" t="e">
            <v>#VALUE!</v>
          </cell>
          <cell r="E3752" t="e">
            <v>#VALUE!</v>
          </cell>
          <cell r="F3752">
            <v>0</v>
          </cell>
        </row>
        <row r="3753">
          <cell r="A3753" t="str">
            <v>R200NCAA</v>
          </cell>
          <cell r="B3753">
            <v>-4.0691119709294545E-2</v>
          </cell>
          <cell r="C3753">
            <v>0</v>
          </cell>
          <cell r="D3753" t="e">
            <v>#VALUE!</v>
          </cell>
          <cell r="E3753" t="e">
            <v>#VALUE!</v>
          </cell>
          <cell r="F3753">
            <v>0</v>
          </cell>
        </row>
        <row r="3754">
          <cell r="A3754" t="str">
            <v>R300T14A</v>
          </cell>
          <cell r="B3754">
            <v>-1.2247806654809273E-2</v>
          </cell>
          <cell r="C3754">
            <v>0</v>
          </cell>
          <cell r="D3754" t="e">
            <v>#VALUE!</v>
          </cell>
          <cell r="E3754" t="e">
            <v>#VALUE!</v>
          </cell>
          <cell r="F3754">
            <v>0</v>
          </cell>
        </row>
        <row r="3755">
          <cell r="A3755" t="str">
            <v>R300NCAA</v>
          </cell>
          <cell r="B3755">
            <v>5.2531779080323164E-3</v>
          </cell>
          <cell r="C3755">
            <v>0</v>
          </cell>
          <cell r="D3755" t="e">
            <v>#VALUE!</v>
          </cell>
          <cell r="E3755" t="e">
            <v>#VALUE!</v>
          </cell>
          <cell r="F3755">
            <v>0</v>
          </cell>
        </row>
        <row r="3756">
          <cell r="A3756" t="str">
            <v>ROARLCAA</v>
          </cell>
          <cell r="B3756">
            <v>-7.7489598236391195E-4</v>
          </cell>
          <cell r="C3756">
            <v>0</v>
          </cell>
          <cell r="D3756" t="e">
            <v>#VALUE!</v>
          </cell>
          <cell r="E3756" t="e">
            <v>#VALUE!</v>
          </cell>
          <cell r="F3756">
            <v>0</v>
          </cell>
        </row>
        <row r="3757">
          <cell r="A3757" t="str">
            <v>ROARLCBA</v>
          </cell>
          <cell r="B3757">
            <v>8.9149728927710292E-3</v>
          </cell>
          <cell r="C3757">
            <v>0</v>
          </cell>
          <cell r="D3757" t="e">
            <v>#VALUE!</v>
          </cell>
          <cell r="E3757" t="e">
            <v>#VALUE!</v>
          </cell>
          <cell r="F3757">
            <v>0</v>
          </cell>
        </row>
        <row r="3758">
          <cell r="A3758" t="str">
            <v>ROXYNBOA</v>
          </cell>
          <cell r="B3758">
            <v>-7.5409116580474748E-5</v>
          </cell>
          <cell r="C3758">
            <v>0</v>
          </cell>
          <cell r="D3758" t="e">
            <v>#VALUE!</v>
          </cell>
          <cell r="E3758" t="e">
            <v>#VALUE!</v>
          </cell>
          <cell r="F3758">
            <v>0</v>
          </cell>
        </row>
        <row r="3759">
          <cell r="A3759" t="str">
            <v>ROXYCAMA</v>
          </cell>
          <cell r="B3759">
            <v>-4.3085744673839121E-6</v>
          </cell>
          <cell r="C3759">
            <v>0</v>
          </cell>
          <cell r="D3759" t="e">
            <v>#VALUE!</v>
          </cell>
          <cell r="E3759" t="e">
            <v>#VALUE!</v>
          </cell>
          <cell r="F3759">
            <v>0</v>
          </cell>
        </row>
        <row r="3760">
          <cell r="A3760" t="str">
            <v>ROXYT14A</v>
          </cell>
          <cell r="B3760">
            <v>-1.6614493827833093E-3</v>
          </cell>
          <cell r="C3760">
            <v>0</v>
          </cell>
          <cell r="D3760" t="e">
            <v>#VALUE!</v>
          </cell>
          <cell r="E3760" t="e">
            <v>#VALUE!</v>
          </cell>
          <cell r="F3760">
            <v>0</v>
          </cell>
        </row>
        <row r="3761">
          <cell r="A3761" t="str">
            <v>ROXYNCAA</v>
          </cell>
          <cell r="B3761">
            <v>-1.3558099949166294E-4</v>
          </cell>
          <cell r="C3761">
            <v>0</v>
          </cell>
          <cell r="D3761" t="e">
            <v>#VALUE!</v>
          </cell>
          <cell r="E3761" t="e">
            <v>#VALUE!</v>
          </cell>
          <cell r="F3761">
            <v>0</v>
          </cell>
        </row>
        <row r="3762">
          <cell r="A3762" t="str">
            <v>ROXIT14A</v>
          </cell>
          <cell r="B3762">
            <v>-2.1072912291457799E-3</v>
          </cell>
          <cell r="C3762">
            <v>0</v>
          </cell>
          <cell r="D3762" t="e">
            <v>#VALUE!</v>
          </cell>
          <cell r="E3762" t="e">
            <v>#VALUE!</v>
          </cell>
          <cell r="F3762">
            <v>0</v>
          </cell>
        </row>
        <row r="3763">
          <cell r="A3763" t="str">
            <v>ROXINCAA</v>
          </cell>
          <cell r="B3763">
            <v>1.6514556960853404E-3</v>
          </cell>
          <cell r="C3763">
            <v>0</v>
          </cell>
          <cell r="D3763" t="e">
            <v>#VALUE!</v>
          </cell>
          <cell r="E3763" t="e">
            <v>#VALUE!</v>
          </cell>
          <cell r="F3763">
            <v>0</v>
          </cell>
        </row>
        <row r="3764">
          <cell r="A3764" t="str">
            <v>RLM0BT2A</v>
          </cell>
          <cell r="B3764">
            <v>-7.3106505043728099E-5</v>
          </cell>
          <cell r="C3764">
            <v>0</v>
          </cell>
          <cell r="D3764" t="e">
            <v>#VALUE!</v>
          </cell>
          <cell r="E3764" t="e">
            <v>#VALUE!</v>
          </cell>
          <cell r="F3764">
            <v>0</v>
          </cell>
        </row>
        <row r="3765">
          <cell r="A3765" t="str">
            <v>RLM0WN1A</v>
          </cell>
          <cell r="B3765">
            <v>4.9354922389994336E-3</v>
          </cell>
          <cell r="C3765">
            <v>0</v>
          </cell>
          <cell r="D3765" t="e">
            <v>#VALUE!</v>
          </cell>
          <cell r="E3765" t="e">
            <v>#VALUE!</v>
          </cell>
          <cell r="F3765">
            <v>0</v>
          </cell>
        </row>
        <row r="3766">
          <cell r="A3766" t="str">
            <v>RLM0WN2A</v>
          </cell>
          <cell r="B3766">
            <v>0</v>
          </cell>
          <cell r="C3766">
            <v>0</v>
          </cell>
          <cell r="D3766" t="e">
            <v>#VALUE!</v>
          </cell>
          <cell r="E3766" t="e">
            <v>#VALUE!</v>
          </cell>
          <cell r="F3766">
            <v>0</v>
          </cell>
        </row>
        <row r="3767">
          <cell r="A3767" t="str">
            <v>RLM0WN3A</v>
          </cell>
          <cell r="B3767">
            <v>-5.2612048875196032E-3</v>
          </cell>
          <cell r="C3767">
            <v>0</v>
          </cell>
          <cell r="D3767" t="e">
            <v>#VALUE!</v>
          </cell>
          <cell r="E3767" t="e">
            <v>#VALUE!</v>
          </cell>
          <cell r="F3767">
            <v>0</v>
          </cell>
        </row>
        <row r="3768">
          <cell r="A3768" t="str">
            <v>RLM0WN4A</v>
          </cell>
          <cell r="B3768">
            <v>2.5745952859312004E-5</v>
          </cell>
          <cell r="C3768">
            <v>0</v>
          </cell>
          <cell r="D3768" t="e">
            <v>#VALUE!</v>
          </cell>
          <cell r="E3768" t="e">
            <v>#VALUE!</v>
          </cell>
          <cell r="F3768">
            <v>0</v>
          </cell>
        </row>
        <row r="3769">
          <cell r="A3769" t="str">
            <v>RLM0FHTA</v>
          </cell>
          <cell r="B3769">
            <v>-4.0801442493780277E-3</v>
          </cell>
          <cell r="C3769">
            <v>0</v>
          </cell>
          <cell r="D3769" t="e">
            <v>#VALUE!</v>
          </cell>
          <cell r="E3769" t="e">
            <v>#VALUE!</v>
          </cell>
          <cell r="F3769">
            <v>0</v>
          </cell>
        </row>
        <row r="3770">
          <cell r="A3770" t="str">
            <v>RLM0NHTA</v>
          </cell>
          <cell r="B3770">
            <v>-3.9627481650637642E-3</v>
          </cell>
          <cell r="C3770">
            <v>0</v>
          </cell>
          <cell r="D3770" t="e">
            <v>#VALUE!</v>
          </cell>
          <cell r="E3770" t="e">
            <v>#VALUE!</v>
          </cell>
          <cell r="F3770">
            <v>0</v>
          </cell>
        </row>
        <row r="3771">
          <cell r="A3771" t="str">
            <v>RPA0PN1A</v>
          </cell>
          <cell r="B3771">
            <v>-1.0872953568389066E-3</v>
          </cell>
          <cell r="C3771">
            <v>0</v>
          </cell>
          <cell r="D3771" t="e">
            <v>#VALUE!</v>
          </cell>
          <cell r="E3771" t="e">
            <v>#VALUE!</v>
          </cell>
          <cell r="F3771">
            <v>0</v>
          </cell>
        </row>
        <row r="3772">
          <cell r="A3772" t="str">
            <v>RPA0PN2A</v>
          </cell>
          <cell r="B3772">
            <v>0</v>
          </cell>
          <cell r="C3772">
            <v>0</v>
          </cell>
          <cell r="D3772" t="e">
            <v>#VALUE!</v>
          </cell>
          <cell r="E3772" t="e">
            <v>#VALUE!</v>
          </cell>
          <cell r="F3772">
            <v>0</v>
          </cell>
        </row>
        <row r="3773">
          <cell r="A3773" t="str">
            <v>RPA0PN3A</v>
          </cell>
          <cell r="B3773">
            <v>-3.7365891404564761E-3</v>
          </cell>
          <cell r="C3773">
            <v>0</v>
          </cell>
          <cell r="D3773" t="e">
            <v>#VALUE!</v>
          </cell>
          <cell r="E3773" t="e">
            <v>#VALUE!</v>
          </cell>
          <cell r="F3773">
            <v>0</v>
          </cell>
        </row>
        <row r="3774">
          <cell r="A3774" t="str">
            <v>RPA0PN4A</v>
          </cell>
          <cell r="B3774">
            <v>-4.2773963959667548E-6</v>
          </cell>
          <cell r="C3774">
            <v>0</v>
          </cell>
          <cell r="D3774" t="e">
            <v>#VALUE!</v>
          </cell>
          <cell r="E3774" t="e">
            <v>#VALUE!</v>
          </cell>
          <cell r="F3774">
            <v>0</v>
          </cell>
        </row>
        <row r="3775">
          <cell r="A3775" t="str">
            <v>RPA0SK1A</v>
          </cell>
          <cell r="B3775">
            <v>-8.9784853909107262E-5</v>
          </cell>
          <cell r="C3775">
            <v>0</v>
          </cell>
          <cell r="D3775" t="e">
            <v>#VALUE!</v>
          </cell>
          <cell r="E3775" t="e">
            <v>#VALUE!</v>
          </cell>
          <cell r="F3775">
            <v>0</v>
          </cell>
        </row>
        <row r="3776">
          <cell r="A3776" t="str">
            <v>RPA0SK2A</v>
          </cell>
          <cell r="B3776">
            <v>-7.2369141119838469E-5</v>
          </cell>
          <cell r="C3776">
            <v>0</v>
          </cell>
          <cell r="D3776" t="e">
            <v>#VALUE!</v>
          </cell>
          <cell r="E3776" t="e">
            <v>#VALUE!</v>
          </cell>
          <cell r="F3776">
            <v>0</v>
          </cell>
        </row>
        <row r="3777">
          <cell r="A3777" t="str">
            <v>RPA0SK3A</v>
          </cell>
          <cell r="B3777">
            <v>0</v>
          </cell>
          <cell r="C3777">
            <v>0</v>
          </cell>
          <cell r="D3777" t="e">
            <v>#VALUE!</v>
          </cell>
          <cell r="E3777" t="e">
            <v>#VALUE!</v>
          </cell>
          <cell r="F3777">
            <v>0</v>
          </cell>
        </row>
        <row r="3778">
          <cell r="A3778" t="str">
            <v>RPA0SK5A</v>
          </cell>
          <cell r="B3778">
            <v>0</v>
          </cell>
          <cell r="C3778">
            <v>0</v>
          </cell>
          <cell r="D3778" t="e">
            <v>#VALUE!</v>
          </cell>
          <cell r="E3778" t="e">
            <v>#VALUE!</v>
          </cell>
          <cell r="F3778">
            <v>0</v>
          </cell>
        </row>
        <row r="3779">
          <cell r="A3779" t="str">
            <v>RPA0SK6A</v>
          </cell>
          <cell r="B3779">
            <v>-2.362403870699486E-9</v>
          </cell>
          <cell r="C3779">
            <v>0</v>
          </cell>
          <cell r="D3779" t="e">
            <v>#VALUE!</v>
          </cell>
          <cell r="E3779" t="e">
            <v>#VALUE!</v>
          </cell>
          <cell r="F3779">
            <v>0</v>
          </cell>
        </row>
        <row r="3780">
          <cell r="A3780" t="str">
            <v>RPA0SK7A</v>
          </cell>
          <cell r="B3780">
            <v>-3.4887514209489608E-4</v>
          </cell>
          <cell r="C3780">
            <v>0</v>
          </cell>
          <cell r="D3780" t="e">
            <v>#VALUE!</v>
          </cell>
          <cell r="E3780" t="e">
            <v>#VALUE!</v>
          </cell>
          <cell r="F3780">
            <v>0</v>
          </cell>
        </row>
        <row r="3781">
          <cell r="A3781" t="str">
            <v>RPA0FHTA</v>
          </cell>
          <cell r="B3781">
            <v>3.2850531889841339E-3</v>
          </cell>
          <cell r="C3781">
            <v>0</v>
          </cell>
          <cell r="D3781" t="e">
            <v>#VALUE!</v>
          </cell>
          <cell r="E3781" t="e">
            <v>#VALUE!</v>
          </cell>
          <cell r="F3781">
            <v>0</v>
          </cell>
        </row>
        <row r="3782">
          <cell r="A3782" t="str">
            <v>RPA0NHTA</v>
          </cell>
          <cell r="B3782">
            <v>3.1072514801053332E-3</v>
          </cell>
          <cell r="C3782">
            <v>0</v>
          </cell>
          <cell r="D3782" t="e">
            <v>#VALUE!</v>
          </cell>
          <cell r="E3782" t="e">
            <v>#VALUE!</v>
          </cell>
          <cell r="F3782">
            <v>0</v>
          </cell>
        </row>
        <row r="3783">
          <cell r="A3783" t="str">
            <v>RPA0NPCA</v>
          </cell>
          <cell r="B3783">
            <v>-1.2952582368448582E-4</v>
          </cell>
          <cell r="C3783">
            <v>0</v>
          </cell>
          <cell r="D3783" t="e">
            <v>#VALUE!</v>
          </cell>
          <cell r="E3783" t="e">
            <v>#VALUE!</v>
          </cell>
          <cell r="F3783">
            <v>0</v>
          </cell>
        </row>
        <row r="3784">
          <cell r="A3784" t="str">
            <v>RPA0BNPA</v>
          </cell>
          <cell r="B3784">
            <v>-8.2237446462984318E-5</v>
          </cell>
          <cell r="C3784">
            <v>0</v>
          </cell>
          <cell r="D3784" t="e">
            <v>#VALUE!</v>
          </cell>
          <cell r="E3784" t="e">
            <v>#VALUE!</v>
          </cell>
          <cell r="F3784">
            <v>0</v>
          </cell>
        </row>
        <row r="3785">
          <cell r="A3785" t="str">
            <v>RPB0PN1A</v>
          </cell>
          <cell r="B3785">
            <v>-2.3190759673949062E-3</v>
          </cell>
          <cell r="C3785">
            <v>0</v>
          </cell>
          <cell r="D3785" t="e">
            <v>#VALUE!</v>
          </cell>
          <cell r="E3785" t="e">
            <v>#VALUE!</v>
          </cell>
          <cell r="F3785">
            <v>0</v>
          </cell>
        </row>
        <row r="3786">
          <cell r="A3786" t="str">
            <v>RPB0PN2A</v>
          </cell>
          <cell r="B3786">
            <v>0</v>
          </cell>
          <cell r="C3786">
            <v>0</v>
          </cell>
          <cell r="D3786" t="e">
            <v>#VALUE!</v>
          </cell>
          <cell r="E3786" t="e">
            <v>#VALUE!</v>
          </cell>
          <cell r="F3786">
            <v>0</v>
          </cell>
        </row>
        <row r="3787">
          <cell r="A3787" t="str">
            <v>RPB0PN3A</v>
          </cell>
          <cell r="B3787">
            <v>3.7394643817033157E-3</v>
          </cell>
          <cell r="C3787">
            <v>0</v>
          </cell>
          <cell r="D3787" t="e">
            <v>#VALUE!</v>
          </cell>
          <cell r="E3787" t="e">
            <v>#VALUE!</v>
          </cell>
          <cell r="F3787">
            <v>0</v>
          </cell>
        </row>
        <row r="3788">
          <cell r="A3788" t="str">
            <v>RPB0PN4A</v>
          </cell>
          <cell r="B3788">
            <v>-7.0264885478735938E-5</v>
          </cell>
          <cell r="C3788">
            <v>0</v>
          </cell>
          <cell r="D3788" t="e">
            <v>#VALUE!</v>
          </cell>
          <cell r="E3788" t="e">
            <v>#VALUE!</v>
          </cell>
          <cell r="F3788">
            <v>0</v>
          </cell>
        </row>
        <row r="3789">
          <cell r="A3789" t="str">
            <v>RPB0SK1A</v>
          </cell>
          <cell r="B3789">
            <v>-8.9784853909107262E-5</v>
          </cell>
          <cell r="C3789">
            <v>0</v>
          </cell>
          <cell r="D3789" t="e">
            <v>#VALUE!</v>
          </cell>
          <cell r="E3789" t="e">
            <v>#VALUE!</v>
          </cell>
          <cell r="F3789">
            <v>0</v>
          </cell>
        </row>
        <row r="3790">
          <cell r="A3790" t="str">
            <v>RPB0SK2A</v>
          </cell>
          <cell r="B3790">
            <v>-7.2369141119838469E-5</v>
          </cell>
          <cell r="C3790">
            <v>0</v>
          </cell>
          <cell r="D3790" t="e">
            <v>#VALUE!</v>
          </cell>
          <cell r="E3790" t="e">
            <v>#VALUE!</v>
          </cell>
          <cell r="F3790">
            <v>0</v>
          </cell>
        </row>
        <row r="3791">
          <cell r="A3791" t="str">
            <v>RPB0SK3A</v>
          </cell>
          <cell r="B3791">
            <v>0</v>
          </cell>
          <cell r="C3791">
            <v>0</v>
          </cell>
          <cell r="D3791" t="e">
            <v>#VALUE!</v>
          </cell>
          <cell r="E3791" t="e">
            <v>#VALUE!</v>
          </cell>
          <cell r="F3791">
            <v>0</v>
          </cell>
        </row>
        <row r="3792">
          <cell r="A3792" t="str">
            <v>RPB0SK5A</v>
          </cell>
          <cell r="B3792">
            <v>0</v>
          </cell>
          <cell r="C3792">
            <v>0</v>
          </cell>
          <cell r="D3792" t="e">
            <v>#VALUE!</v>
          </cell>
          <cell r="E3792" t="e">
            <v>#VALUE!</v>
          </cell>
          <cell r="F3792">
            <v>0</v>
          </cell>
        </row>
        <row r="3793">
          <cell r="A3793" t="str">
            <v>RPB0SK6A</v>
          </cell>
          <cell r="B3793">
            <v>-2.362403870699486E-9</v>
          </cell>
          <cell r="C3793">
            <v>0</v>
          </cell>
          <cell r="D3793" t="e">
            <v>#VALUE!</v>
          </cell>
          <cell r="E3793" t="e">
            <v>#VALUE!</v>
          </cell>
          <cell r="F3793">
            <v>0</v>
          </cell>
        </row>
        <row r="3794">
          <cell r="A3794" t="str">
            <v>RPB0SK7A</v>
          </cell>
          <cell r="B3794">
            <v>-3.4887514209489608E-4</v>
          </cell>
          <cell r="C3794">
            <v>0</v>
          </cell>
          <cell r="D3794" t="e">
            <v>#VALUE!</v>
          </cell>
          <cell r="E3794" t="e">
            <v>#VALUE!</v>
          </cell>
          <cell r="F3794">
            <v>0</v>
          </cell>
        </row>
        <row r="3795">
          <cell r="A3795" t="str">
            <v>RPB0FHTA</v>
          </cell>
          <cell r="B3795">
            <v>3.1923437443217391E-4</v>
          </cell>
          <cell r="C3795">
            <v>0</v>
          </cell>
          <cell r="D3795" t="e">
            <v>#VALUE!</v>
          </cell>
          <cell r="E3795" t="e">
            <v>#VALUE!</v>
          </cell>
          <cell r="F3795">
            <v>0</v>
          </cell>
        </row>
        <row r="3796">
          <cell r="A3796" t="str">
            <v>RPB0NHTA</v>
          </cell>
          <cell r="B3796">
            <v>8.5213818492276965E-5</v>
          </cell>
          <cell r="C3796">
            <v>0</v>
          </cell>
          <cell r="D3796" t="e">
            <v>#VALUE!</v>
          </cell>
          <cell r="E3796" t="e">
            <v>#VALUE!</v>
          </cell>
          <cell r="F3796">
            <v>0</v>
          </cell>
        </row>
        <row r="3797">
          <cell r="A3797" t="str">
            <v>RPB0NPCA</v>
          </cell>
          <cell r="B3797">
            <v>-1.2952582368448582E-4</v>
          </cell>
          <cell r="C3797">
            <v>0</v>
          </cell>
          <cell r="D3797" t="e">
            <v>#VALUE!</v>
          </cell>
          <cell r="E3797" t="e">
            <v>#VALUE!</v>
          </cell>
          <cell r="F3797">
            <v>0</v>
          </cell>
        </row>
        <row r="3798">
          <cell r="A3798" t="str">
            <v>RPB0BNPA</v>
          </cell>
          <cell r="B3798">
            <v>-8.2237446462984318E-5</v>
          </cell>
          <cell r="C3798">
            <v>0</v>
          </cell>
          <cell r="D3798" t="e">
            <v>#VALUE!</v>
          </cell>
          <cell r="E3798" t="e">
            <v>#VALUE!</v>
          </cell>
          <cell r="F3798">
            <v>0</v>
          </cell>
        </row>
        <row r="3799">
          <cell r="A3799" t="str">
            <v>RPP0PN1A</v>
          </cell>
          <cell r="B3799">
            <v>2.380998125810125E-3</v>
          </cell>
          <cell r="C3799">
            <v>0</v>
          </cell>
          <cell r="D3799" t="e">
            <v>#VALUE!</v>
          </cell>
          <cell r="E3799" t="e">
            <v>#VALUE!</v>
          </cell>
          <cell r="F3799">
            <v>0</v>
          </cell>
        </row>
        <row r="3800">
          <cell r="A3800" t="str">
            <v>RPP0PN2A</v>
          </cell>
          <cell r="B3800">
            <v>0</v>
          </cell>
          <cell r="C3800">
            <v>0</v>
          </cell>
          <cell r="D3800" t="e">
            <v>#VALUE!</v>
          </cell>
          <cell r="E3800" t="e">
            <v>#VALUE!</v>
          </cell>
          <cell r="F3800">
            <v>0</v>
          </cell>
        </row>
        <row r="3801">
          <cell r="A3801" t="str">
            <v>RPP0PN3A</v>
          </cell>
          <cell r="B3801">
            <v>-3.5230608397472531E-5</v>
          </cell>
          <cell r="C3801">
            <v>0</v>
          </cell>
          <cell r="D3801" t="e">
            <v>#VALUE!</v>
          </cell>
          <cell r="E3801" t="e">
            <v>#VALUE!</v>
          </cell>
          <cell r="F3801">
            <v>0</v>
          </cell>
        </row>
        <row r="3802">
          <cell r="A3802" t="str">
            <v>RPP0PN4A</v>
          </cell>
          <cell r="B3802">
            <v>6.0097117534185175E-5</v>
          </cell>
          <cell r="C3802">
            <v>0</v>
          </cell>
          <cell r="D3802" t="e">
            <v>#VALUE!</v>
          </cell>
          <cell r="E3802" t="e">
            <v>#VALUE!</v>
          </cell>
          <cell r="F3802">
            <v>0</v>
          </cell>
        </row>
        <row r="3803">
          <cell r="A3803" t="str">
            <v>RPP0SK1A</v>
          </cell>
          <cell r="B3803">
            <v>0</v>
          </cell>
          <cell r="C3803">
            <v>0</v>
          </cell>
          <cell r="D3803" t="e">
            <v>#VALUE!</v>
          </cell>
          <cell r="E3803" t="e">
            <v>#VALUE!</v>
          </cell>
          <cell r="F3803">
            <v>0</v>
          </cell>
        </row>
        <row r="3804">
          <cell r="A3804" t="str">
            <v>RPP0SK2A</v>
          </cell>
          <cell r="B3804">
            <v>0</v>
          </cell>
          <cell r="C3804">
            <v>0</v>
          </cell>
          <cell r="D3804" t="e">
            <v>#VALUE!</v>
          </cell>
          <cell r="E3804" t="e">
            <v>#VALUE!</v>
          </cell>
          <cell r="F3804">
            <v>0</v>
          </cell>
        </row>
        <row r="3805">
          <cell r="A3805" t="str">
            <v>RPP0SK3A</v>
          </cell>
          <cell r="B3805">
            <v>0</v>
          </cell>
          <cell r="C3805">
            <v>0</v>
          </cell>
          <cell r="D3805" t="e">
            <v>#VALUE!</v>
          </cell>
          <cell r="E3805" t="e">
            <v>#VALUE!</v>
          </cell>
          <cell r="F3805">
            <v>0</v>
          </cell>
        </row>
        <row r="3806">
          <cell r="A3806" t="str">
            <v>RPP0SK5A</v>
          </cell>
          <cell r="B3806">
            <v>0</v>
          </cell>
          <cell r="C3806">
            <v>0</v>
          </cell>
          <cell r="D3806" t="e">
            <v>#VALUE!</v>
          </cell>
          <cell r="E3806" t="e">
            <v>#VALUE!</v>
          </cell>
          <cell r="F3806">
            <v>0</v>
          </cell>
        </row>
        <row r="3807">
          <cell r="A3807" t="str">
            <v>RPP0SK6A</v>
          </cell>
          <cell r="B3807">
            <v>0</v>
          </cell>
          <cell r="C3807">
            <v>0</v>
          </cell>
          <cell r="D3807" t="e">
            <v>#VALUE!</v>
          </cell>
          <cell r="E3807" t="e">
            <v>#VALUE!</v>
          </cell>
          <cell r="F3807">
            <v>0</v>
          </cell>
        </row>
        <row r="3808">
          <cell r="A3808" t="str">
            <v>RPP0SK7A</v>
          </cell>
          <cell r="B3808">
            <v>0</v>
          </cell>
          <cell r="C3808">
            <v>0</v>
          </cell>
          <cell r="D3808" t="e">
            <v>#VALUE!</v>
          </cell>
          <cell r="E3808" t="e">
            <v>#VALUE!</v>
          </cell>
          <cell r="F3808">
            <v>0</v>
          </cell>
        </row>
        <row r="3809">
          <cell r="A3809" t="str">
            <v>RPP0FHTA</v>
          </cell>
          <cell r="B3809">
            <v>-2.8243155427171837E-3</v>
          </cell>
          <cell r="C3809">
            <v>0</v>
          </cell>
          <cell r="D3809" t="e">
            <v>#VALUE!</v>
          </cell>
          <cell r="E3809" t="e">
            <v>#VALUE!</v>
          </cell>
          <cell r="F3809">
            <v>0</v>
          </cell>
        </row>
        <row r="3810">
          <cell r="A3810" t="str">
            <v>RPP0NHTA</v>
          </cell>
          <cell r="B3810">
            <v>-3.0493078319087132E-3</v>
          </cell>
          <cell r="C3810">
            <v>0</v>
          </cell>
          <cell r="D3810" t="e">
            <v>#VALUE!</v>
          </cell>
          <cell r="E3810" t="e">
            <v>#VALUE!</v>
          </cell>
          <cell r="F3810">
            <v>0</v>
          </cell>
        </row>
        <row r="3811">
          <cell r="A3811" t="str">
            <v>RPP0NPCA</v>
          </cell>
          <cell r="B3811">
            <v>0</v>
          </cell>
          <cell r="C3811">
            <v>0</v>
          </cell>
          <cell r="D3811" t="e">
            <v>#VALUE!</v>
          </cell>
          <cell r="E3811" t="e">
            <v>#VALUE!</v>
          </cell>
          <cell r="F3811">
            <v>0</v>
          </cell>
        </row>
        <row r="3812">
          <cell r="A3812" t="str">
            <v>RPP0BNPA</v>
          </cell>
          <cell r="B3812">
            <v>0</v>
          </cell>
          <cell r="C3812">
            <v>0</v>
          </cell>
          <cell r="D3812" t="e">
            <v>#VALUE!</v>
          </cell>
          <cell r="E3812" t="e">
            <v>#VALUE!</v>
          </cell>
          <cell r="F3812">
            <v>0</v>
          </cell>
        </row>
        <row r="3813">
          <cell r="A3813" t="str">
            <v>RCTMLCAA</v>
          </cell>
          <cell r="B3813">
            <v>0</v>
          </cell>
          <cell r="C3813">
            <v>0</v>
          </cell>
          <cell r="D3813" t="e">
            <v>#VALUE!</v>
          </cell>
          <cell r="E3813" t="e">
            <v>#VALUE!</v>
          </cell>
          <cell r="F3813">
            <v>0</v>
          </cell>
        </row>
        <row r="3814">
          <cell r="A3814" t="str">
            <v>RCTMLCBA</v>
          </cell>
          <cell r="B3814">
            <v>0</v>
          </cell>
          <cell r="C3814">
            <v>0</v>
          </cell>
          <cell r="D3814" t="e">
            <v>#VALUE!</v>
          </cell>
          <cell r="E3814" t="e">
            <v>#VALUE!</v>
          </cell>
          <cell r="F3814">
            <v>0</v>
          </cell>
        </row>
        <row r="3815">
          <cell r="A3815" t="str">
            <v>RFVTWN1A</v>
          </cell>
          <cell r="B3815">
            <v>0</v>
          </cell>
          <cell r="C3815">
            <v>0</v>
          </cell>
          <cell r="D3815" t="e">
            <v>#VALUE!</v>
          </cell>
          <cell r="E3815" t="e">
            <v>#VALUE!</v>
          </cell>
          <cell r="F3815">
            <v>0</v>
          </cell>
        </row>
        <row r="3816">
          <cell r="A3816" t="str">
            <v>RFVTWN2A</v>
          </cell>
          <cell r="B3816">
            <v>0</v>
          </cell>
          <cell r="C3816">
            <v>0</v>
          </cell>
          <cell r="D3816" t="e">
            <v>#VALUE!</v>
          </cell>
          <cell r="E3816" t="e">
            <v>#VALUE!</v>
          </cell>
          <cell r="F3816">
            <v>0</v>
          </cell>
        </row>
        <row r="3817">
          <cell r="A3817" t="str">
            <v>RFVTWN3A</v>
          </cell>
          <cell r="B3817">
            <v>-3.2661848872397071E-15</v>
          </cell>
          <cell r="C3817">
            <v>0</v>
          </cell>
          <cell r="D3817" t="e">
            <v>#VALUE!</v>
          </cell>
          <cell r="E3817" t="e">
            <v>#VALUE!</v>
          </cell>
          <cell r="F3817">
            <v>0</v>
          </cell>
        </row>
        <row r="3818">
          <cell r="A3818" t="str">
            <v>RFVTWN4A</v>
          </cell>
          <cell r="B3818">
            <v>2.0494622475450912E-5</v>
          </cell>
          <cell r="C3818">
            <v>0</v>
          </cell>
          <cell r="D3818" t="e">
            <v>#VALUE!</v>
          </cell>
          <cell r="E3818" t="e">
            <v>#VALUE!</v>
          </cell>
          <cell r="F3818">
            <v>0</v>
          </cell>
        </row>
        <row r="3819">
          <cell r="A3819" t="str">
            <v>RFVTPN1A</v>
          </cell>
          <cell r="B3819">
            <v>-7.4381920317676126E-3</v>
          </cell>
          <cell r="C3819">
            <v>0</v>
          </cell>
          <cell r="D3819" t="e">
            <v>#VALUE!</v>
          </cell>
          <cell r="E3819" t="e">
            <v>#VALUE!</v>
          </cell>
          <cell r="F3819">
            <v>0</v>
          </cell>
        </row>
        <row r="3820">
          <cell r="A3820" t="str">
            <v>RFVTPN2A</v>
          </cell>
          <cell r="B3820">
            <v>0</v>
          </cell>
          <cell r="C3820">
            <v>0</v>
          </cell>
          <cell r="D3820" t="e">
            <v>#VALUE!</v>
          </cell>
          <cell r="E3820" t="e">
            <v>#VALUE!</v>
          </cell>
          <cell r="F3820">
            <v>0</v>
          </cell>
        </row>
        <row r="3821">
          <cell r="A3821" t="str">
            <v>RFVTPN3A</v>
          </cell>
          <cell r="B3821">
            <v>-6.8590490973417204E-15</v>
          </cell>
          <cell r="C3821">
            <v>0</v>
          </cell>
          <cell r="D3821" t="e">
            <v>#VALUE!</v>
          </cell>
          <cell r="E3821" t="e">
            <v>#VALUE!</v>
          </cell>
          <cell r="F3821">
            <v>0</v>
          </cell>
        </row>
        <row r="3822">
          <cell r="A3822" t="str">
            <v>RFVTPN4A</v>
          </cell>
          <cell r="B3822">
            <v>1.1984207924799865E-2</v>
          </cell>
          <cell r="C3822">
            <v>0</v>
          </cell>
          <cell r="D3822" t="e">
            <v>#VALUE!</v>
          </cell>
          <cell r="E3822" t="e">
            <v>#VALUE!</v>
          </cell>
          <cell r="F3822">
            <v>0</v>
          </cell>
        </row>
        <row r="3823">
          <cell r="A3823" t="str">
            <v>RFVTSK1A</v>
          </cell>
          <cell r="B3823">
            <v>0</v>
          </cell>
          <cell r="C3823">
            <v>0</v>
          </cell>
          <cell r="D3823" t="e">
            <v>#VALUE!</v>
          </cell>
          <cell r="E3823" t="e">
            <v>#VALUE!</v>
          </cell>
          <cell r="F3823">
            <v>0</v>
          </cell>
        </row>
        <row r="3824">
          <cell r="A3824" t="str">
            <v>RFVTSK2A</v>
          </cell>
          <cell r="B3824">
            <v>0</v>
          </cell>
          <cell r="C3824">
            <v>0</v>
          </cell>
          <cell r="D3824" t="e">
            <v>#VALUE!</v>
          </cell>
          <cell r="E3824" t="e">
            <v>#VALUE!</v>
          </cell>
          <cell r="F3824">
            <v>0</v>
          </cell>
        </row>
        <row r="3825">
          <cell r="A3825" t="str">
            <v>RFVTSK3A</v>
          </cell>
          <cell r="B3825">
            <v>0</v>
          </cell>
          <cell r="C3825">
            <v>0</v>
          </cell>
          <cell r="D3825" t="e">
            <v>#VALUE!</v>
          </cell>
          <cell r="E3825" t="e">
            <v>#VALUE!</v>
          </cell>
          <cell r="F3825">
            <v>0</v>
          </cell>
        </row>
        <row r="3826">
          <cell r="A3826" t="str">
            <v>RFVTSK5A</v>
          </cell>
          <cell r="B3826">
            <v>0</v>
          </cell>
          <cell r="C3826">
            <v>0</v>
          </cell>
          <cell r="D3826" t="e">
            <v>#VALUE!</v>
          </cell>
          <cell r="E3826" t="e">
            <v>#VALUE!</v>
          </cell>
          <cell r="F3826">
            <v>0</v>
          </cell>
        </row>
        <row r="3827">
          <cell r="A3827" t="str">
            <v>RFVTSK6A</v>
          </cell>
          <cell r="B3827">
            <v>4.6084120020811673E-10</v>
          </cell>
          <cell r="C3827">
            <v>0</v>
          </cell>
          <cell r="D3827" t="e">
            <v>#VALUE!</v>
          </cell>
          <cell r="E3827" t="e">
            <v>#VALUE!</v>
          </cell>
          <cell r="F3827">
            <v>0</v>
          </cell>
        </row>
        <row r="3828">
          <cell r="A3828" t="str">
            <v>RFVTSK7A</v>
          </cell>
          <cell r="B3828">
            <v>0</v>
          </cell>
          <cell r="C3828">
            <v>0</v>
          </cell>
          <cell r="D3828" t="e">
            <v>#VALUE!</v>
          </cell>
          <cell r="E3828" t="e">
            <v>#VALUE!</v>
          </cell>
          <cell r="F3828">
            <v>0</v>
          </cell>
        </row>
        <row r="3829">
          <cell r="A3829" t="str">
            <v>RFVTLK2A</v>
          </cell>
          <cell r="B3829">
            <v>0</v>
          </cell>
          <cell r="C3829">
            <v>0</v>
          </cell>
          <cell r="D3829" t="e">
            <v>#VALUE!</v>
          </cell>
          <cell r="E3829" t="e">
            <v>#VALUE!</v>
          </cell>
          <cell r="F3829">
            <v>0</v>
          </cell>
        </row>
        <row r="3830">
          <cell r="A3830" t="str">
            <v>RFVTLK3A</v>
          </cell>
          <cell r="B3830">
            <v>-2.9302929566400304E-3</v>
          </cell>
          <cell r="C3830">
            <v>0</v>
          </cell>
          <cell r="D3830" t="e">
            <v>#VALUE!</v>
          </cell>
          <cell r="E3830" t="e">
            <v>#VALUE!</v>
          </cell>
          <cell r="F3830">
            <v>0</v>
          </cell>
        </row>
        <row r="3831">
          <cell r="A3831" t="str">
            <v>RFVTLK4A</v>
          </cell>
          <cell r="B3831">
            <v>-3.7049926707380745E-4</v>
          </cell>
          <cell r="C3831">
            <v>0</v>
          </cell>
          <cell r="D3831" t="e">
            <v>#VALUE!</v>
          </cell>
          <cell r="E3831" t="e">
            <v>#VALUE!</v>
          </cell>
          <cell r="F3831">
            <v>0</v>
          </cell>
        </row>
        <row r="3832">
          <cell r="A3832" t="str">
            <v>RFVTSG3A</v>
          </cell>
          <cell r="B3832">
            <v>0</v>
          </cell>
          <cell r="C3832">
            <v>0</v>
          </cell>
          <cell r="D3832" t="e">
            <v>#VALUE!</v>
          </cell>
          <cell r="E3832" t="e">
            <v>#VALUE!</v>
          </cell>
          <cell r="F3832">
            <v>0</v>
          </cell>
        </row>
        <row r="3833">
          <cell r="A3833" t="str">
            <v>RFVTSG4A</v>
          </cell>
          <cell r="B3833">
            <v>0</v>
          </cell>
          <cell r="C3833">
            <v>0</v>
          </cell>
          <cell r="D3833" t="e">
            <v>#VALUE!</v>
          </cell>
          <cell r="E3833" t="e">
            <v>#VALUE!</v>
          </cell>
          <cell r="F3833">
            <v>0</v>
          </cell>
        </row>
        <row r="3834">
          <cell r="A3834" t="str">
            <v>RFVTSG5A</v>
          </cell>
          <cell r="B3834">
            <v>0</v>
          </cell>
          <cell r="C3834">
            <v>0</v>
          </cell>
          <cell r="D3834" t="e">
            <v>#VALUE!</v>
          </cell>
          <cell r="E3834" t="e">
            <v>#VALUE!</v>
          </cell>
          <cell r="F3834">
            <v>0</v>
          </cell>
        </row>
        <row r="3835">
          <cell r="A3835" t="str">
            <v>RFVTSG6A</v>
          </cell>
          <cell r="B3835">
            <v>0</v>
          </cell>
          <cell r="C3835">
            <v>0</v>
          </cell>
          <cell r="D3835" t="e">
            <v>#VALUE!</v>
          </cell>
          <cell r="E3835" t="e">
            <v>#VALUE!</v>
          </cell>
          <cell r="F3835">
            <v>0</v>
          </cell>
        </row>
        <row r="3836">
          <cell r="A3836" t="str">
            <v>RFVTSG7A</v>
          </cell>
          <cell r="B3836">
            <v>0</v>
          </cell>
          <cell r="C3836">
            <v>0</v>
          </cell>
          <cell r="D3836" t="e">
            <v>#VALUE!</v>
          </cell>
          <cell r="E3836" t="e">
            <v>#VALUE!</v>
          </cell>
          <cell r="F3836">
            <v>0</v>
          </cell>
        </row>
        <row r="3837">
          <cell r="A3837" t="str">
            <v>RFVTLG1A</v>
          </cell>
          <cell r="B3837">
            <v>-3.6300870984961239E-14</v>
          </cell>
          <cell r="C3837">
            <v>0</v>
          </cell>
          <cell r="D3837" t="e">
            <v>#VALUE!</v>
          </cell>
          <cell r="E3837" t="e">
            <v>#VALUE!</v>
          </cell>
          <cell r="F3837">
            <v>0</v>
          </cell>
        </row>
        <row r="3838">
          <cell r="A3838" t="str">
            <v>RFVTLG2A</v>
          </cell>
          <cell r="B3838">
            <v>0.12957299266756855</v>
          </cell>
          <cell r="C3838">
            <v>0</v>
          </cell>
          <cell r="D3838" t="e">
            <v>#VALUE!</v>
          </cell>
          <cell r="E3838" t="e">
            <v>#VALUE!</v>
          </cell>
          <cell r="F3838">
            <v>0</v>
          </cell>
        </row>
        <row r="3839">
          <cell r="A3839" t="str">
            <v>RFVTLG3A</v>
          </cell>
          <cell r="B3839">
            <v>7.9387903785703561E-5</v>
          </cell>
          <cell r="C3839">
            <v>0</v>
          </cell>
          <cell r="D3839" t="e">
            <v>#VALUE!</v>
          </cell>
          <cell r="E3839" t="e">
            <v>#VALUE!</v>
          </cell>
          <cell r="F3839">
            <v>0</v>
          </cell>
        </row>
        <row r="3840">
          <cell r="A3840" t="str">
            <v>RFVTGS1A</v>
          </cell>
          <cell r="B3840">
            <v>3.2357477982869778E-5</v>
          </cell>
          <cell r="C3840">
            <v>0</v>
          </cell>
          <cell r="D3840" t="e">
            <v>#VALUE!</v>
          </cell>
          <cell r="E3840" t="e">
            <v>#VALUE!</v>
          </cell>
          <cell r="F3840">
            <v>0</v>
          </cell>
        </row>
        <row r="3841">
          <cell r="A3841" t="str">
            <v>RFVTGS2A</v>
          </cell>
          <cell r="B3841">
            <v>0</v>
          </cell>
          <cell r="C3841">
            <v>0</v>
          </cell>
          <cell r="D3841" t="e">
            <v>#VALUE!</v>
          </cell>
          <cell r="E3841" t="e">
            <v>#VALUE!</v>
          </cell>
          <cell r="F3841">
            <v>0</v>
          </cell>
        </row>
        <row r="3842">
          <cell r="A3842" t="str">
            <v>RFVTGS3A</v>
          </cell>
          <cell r="B3842">
            <v>0</v>
          </cell>
          <cell r="C3842">
            <v>0</v>
          </cell>
          <cell r="D3842" t="e">
            <v>#VALUE!</v>
          </cell>
          <cell r="E3842" t="e">
            <v>#VALUE!</v>
          </cell>
          <cell r="F3842">
            <v>0</v>
          </cell>
        </row>
        <row r="3843">
          <cell r="A3843" t="str">
            <v>RFVTGS4A</v>
          </cell>
          <cell r="B3843">
            <v>7.998893578370957E-3</v>
          </cell>
          <cell r="C3843">
            <v>0</v>
          </cell>
          <cell r="D3843" t="e">
            <v>#VALUE!</v>
          </cell>
          <cell r="E3843" t="e">
            <v>#VALUE!</v>
          </cell>
          <cell r="F3843">
            <v>0</v>
          </cell>
        </row>
        <row r="3844">
          <cell r="A3844" t="str">
            <v>RFVTGS5A</v>
          </cell>
          <cell r="B3844">
            <v>0</v>
          </cell>
          <cell r="C3844">
            <v>0</v>
          </cell>
          <cell r="D3844" t="e">
            <v>#VALUE!</v>
          </cell>
          <cell r="E3844" t="e">
            <v>#VALUE!</v>
          </cell>
          <cell r="F3844">
            <v>0</v>
          </cell>
        </row>
        <row r="3845">
          <cell r="A3845" t="str">
            <v>RFVTGS6A</v>
          </cell>
          <cell r="B3845">
            <v>0</v>
          </cell>
          <cell r="C3845">
            <v>0</v>
          </cell>
          <cell r="D3845" t="e">
            <v>#VALUE!</v>
          </cell>
          <cell r="E3845" t="e">
            <v>#VALUE!</v>
          </cell>
          <cell r="F3845">
            <v>0</v>
          </cell>
        </row>
        <row r="3846">
          <cell r="A3846" t="str">
            <v>RFVTGS7A</v>
          </cell>
          <cell r="B3846">
            <v>0</v>
          </cell>
          <cell r="C3846">
            <v>0</v>
          </cell>
          <cell r="D3846" t="e">
            <v>#VALUE!</v>
          </cell>
          <cell r="E3846" t="e">
            <v>#VALUE!</v>
          </cell>
          <cell r="F3846">
            <v>0</v>
          </cell>
        </row>
        <row r="3847">
          <cell r="A3847" t="str">
            <v>RscnmNCA</v>
          </cell>
          <cell r="B3847">
            <v>3.9583237978094737E-2</v>
          </cell>
          <cell r="C3847">
            <v>0</v>
          </cell>
          <cell r="D3847" t="e">
            <v>#VALUE!</v>
          </cell>
          <cell r="E3847" t="e">
            <v>#VALUE!</v>
          </cell>
          <cell r="F3847">
            <v>0</v>
          </cell>
        </row>
        <row r="3848">
          <cell r="A3848" t="str">
            <v>RchumNCA</v>
          </cell>
          <cell r="B3848">
            <v>-3.9583237979908745E-2</v>
          </cell>
          <cell r="C3848">
            <v>0</v>
          </cell>
          <cell r="D3848" t="e">
            <v>#VALUE!</v>
          </cell>
          <cell r="E3848" t="e">
            <v>#VALUE!</v>
          </cell>
          <cell r="F3848">
            <v>0</v>
          </cell>
        </row>
        <row r="3849">
          <cell r="A3849" t="str">
            <v>Rwn1nT4A</v>
          </cell>
          <cell r="B3849">
            <v>-3.6649694805207331E-3</v>
          </cell>
          <cell r="C3849">
            <v>0</v>
          </cell>
          <cell r="D3849" t="e">
            <v>#VALUE!</v>
          </cell>
          <cell r="E3849" t="e">
            <v>#VALUE!</v>
          </cell>
          <cell r="F3849">
            <v>0</v>
          </cell>
        </row>
        <row r="3850">
          <cell r="A3850" t="str">
            <v>Rpn1nT4A</v>
          </cell>
          <cell r="B3850">
            <v>3.6649694805207331E-3</v>
          </cell>
          <cell r="C3850">
            <v>0</v>
          </cell>
          <cell r="D3850" t="e">
            <v>#VALUE!</v>
          </cell>
          <cell r="E3850" t="e">
            <v>#VALUE!</v>
          </cell>
          <cell r="F3850">
            <v>0</v>
          </cell>
        </row>
        <row r="3851">
          <cell r="A3851" t="str">
            <v>Rwn2nTSA</v>
          </cell>
          <cell r="B3851">
            <v>0</v>
          </cell>
          <cell r="C3851">
            <v>0</v>
          </cell>
          <cell r="D3851" t="e">
            <v>#VALUE!</v>
          </cell>
          <cell r="E3851" t="e">
            <v>#VALUE!</v>
          </cell>
          <cell r="F3851">
            <v>0</v>
          </cell>
        </row>
        <row r="3852">
          <cell r="A3852" t="str">
            <v>Rpn2nTSA</v>
          </cell>
          <cell r="B3852">
            <v>0</v>
          </cell>
          <cell r="C3852">
            <v>0</v>
          </cell>
          <cell r="D3852" t="e">
            <v>#VALUE!</v>
          </cell>
          <cell r="E3852" t="e">
            <v>#VALUE!</v>
          </cell>
          <cell r="F3852">
            <v>0</v>
          </cell>
        </row>
        <row r="3853">
          <cell r="A3853" t="str">
            <v>RCCLSPXA</v>
          </cell>
          <cell r="B3853">
            <v>6.1817185608822611E-6</v>
          </cell>
          <cell r="C3853">
            <v>0</v>
          </cell>
          <cell r="D3853" t="e">
            <v>#VALUE!</v>
          </cell>
          <cell r="E3853" t="e">
            <v>#VALUE!</v>
          </cell>
          <cell r="F3853">
            <v>0</v>
          </cell>
        </row>
        <row r="3854">
          <cell r="A3854" t="str">
            <v>RNC6PN1A</v>
          </cell>
          <cell r="B3854">
            <v>0</v>
          </cell>
          <cell r="C3854">
            <v>0</v>
          </cell>
          <cell r="D3854" t="e">
            <v>#VALUE!</v>
          </cell>
          <cell r="E3854" t="e">
            <v>#VALUE!</v>
          </cell>
          <cell r="F3854">
            <v>0</v>
          </cell>
        </row>
        <row r="3855">
          <cell r="A3855" t="str">
            <v>RNC6PN2A</v>
          </cell>
          <cell r="B3855">
            <v>0</v>
          </cell>
          <cell r="C3855">
            <v>0</v>
          </cell>
          <cell r="D3855" t="e">
            <v>#VALUE!</v>
          </cell>
          <cell r="E3855" t="e">
            <v>#VALUE!</v>
          </cell>
          <cell r="F3855">
            <v>0</v>
          </cell>
        </row>
        <row r="3856">
          <cell r="A3856" t="str">
            <v>RNC6PN3A</v>
          </cell>
          <cell r="B3856">
            <v>0</v>
          </cell>
          <cell r="C3856">
            <v>0</v>
          </cell>
          <cell r="D3856" t="e">
            <v>#VALUE!</v>
          </cell>
          <cell r="E3856" t="e">
            <v>#VALUE!</v>
          </cell>
          <cell r="F3856">
            <v>0</v>
          </cell>
        </row>
        <row r="3857">
          <cell r="A3857" t="str">
            <v>RNC6PN4A</v>
          </cell>
          <cell r="B3857">
            <v>0</v>
          </cell>
          <cell r="C3857">
            <v>0</v>
          </cell>
          <cell r="D3857" t="e">
            <v>#VALUE!</v>
          </cell>
          <cell r="E3857" t="e">
            <v>#VALUE!</v>
          </cell>
          <cell r="F3857">
            <v>0</v>
          </cell>
        </row>
        <row r="3858">
          <cell r="A3858" t="str">
            <v>RNC6SK1A</v>
          </cell>
          <cell r="B3858">
            <v>0</v>
          </cell>
          <cell r="C3858">
            <v>0</v>
          </cell>
          <cell r="D3858" t="e">
            <v>#VALUE!</v>
          </cell>
          <cell r="E3858" t="e">
            <v>#VALUE!</v>
          </cell>
          <cell r="F3858">
            <v>0</v>
          </cell>
        </row>
        <row r="3859">
          <cell r="A3859" t="str">
            <v>RNC6SK2A</v>
          </cell>
          <cell r="B3859">
            <v>0</v>
          </cell>
          <cell r="C3859">
            <v>0</v>
          </cell>
          <cell r="D3859" t="e">
            <v>#VALUE!</v>
          </cell>
          <cell r="E3859" t="e">
            <v>#VALUE!</v>
          </cell>
          <cell r="F3859">
            <v>0</v>
          </cell>
        </row>
        <row r="3860">
          <cell r="A3860" t="str">
            <v>RNC6SK3A</v>
          </cell>
          <cell r="B3860">
            <v>0</v>
          </cell>
          <cell r="C3860">
            <v>0</v>
          </cell>
          <cell r="D3860" t="e">
            <v>#VALUE!</v>
          </cell>
          <cell r="E3860" t="e">
            <v>#VALUE!</v>
          </cell>
          <cell r="F3860">
            <v>0</v>
          </cell>
        </row>
        <row r="3861">
          <cell r="A3861" t="str">
            <v>RNC6SK5A</v>
          </cell>
          <cell r="B3861">
            <v>0</v>
          </cell>
          <cell r="C3861">
            <v>0</v>
          </cell>
          <cell r="D3861" t="e">
            <v>#VALUE!</v>
          </cell>
          <cell r="E3861" t="e">
            <v>#VALUE!</v>
          </cell>
          <cell r="F3861">
            <v>0</v>
          </cell>
        </row>
        <row r="3862">
          <cell r="A3862" t="str">
            <v>RNC6SK6A</v>
          </cell>
          <cell r="B3862">
            <v>2.7650472379773113E-12</v>
          </cell>
          <cell r="C3862">
            <v>0</v>
          </cell>
          <cell r="D3862" t="e">
            <v>#VALUE!</v>
          </cell>
          <cell r="E3862" t="e">
            <v>#VALUE!</v>
          </cell>
          <cell r="F3862">
            <v>0</v>
          </cell>
        </row>
        <row r="3863">
          <cell r="A3863" t="str">
            <v>RNC6SK7A</v>
          </cell>
          <cell r="B3863">
            <v>0</v>
          </cell>
          <cell r="C3863">
            <v>0</v>
          </cell>
          <cell r="D3863" t="e">
            <v>#VALUE!</v>
          </cell>
          <cell r="E3863" t="e">
            <v>#VALUE!</v>
          </cell>
          <cell r="F3863">
            <v>0</v>
          </cell>
        </row>
        <row r="3864">
          <cell r="A3864" t="str">
            <v>RNC6RFFA</v>
          </cell>
          <cell r="B3864">
            <v>2.4417771835020451E-4</v>
          </cell>
          <cell r="C3864">
            <v>0</v>
          </cell>
          <cell r="D3864" t="e">
            <v>#VALUE!</v>
          </cell>
          <cell r="E3864" t="e">
            <v>#VALUE!</v>
          </cell>
          <cell r="F3864">
            <v>0</v>
          </cell>
        </row>
        <row r="3865">
          <cell r="A3865" t="str">
            <v>RNC6NLPA</v>
          </cell>
          <cell r="B3865">
            <v>3.3997841562479949E-3</v>
          </cell>
          <cell r="C3865">
            <v>0</v>
          </cell>
          <cell r="D3865" t="e">
            <v>#VALUE!</v>
          </cell>
          <cell r="E3865" t="e">
            <v>#VALUE!</v>
          </cell>
          <cell r="F3865">
            <v>0</v>
          </cell>
        </row>
        <row r="3866">
          <cell r="A3866" t="str">
            <v>RNC6FHTA</v>
          </cell>
          <cell r="B3866">
            <v>5.1754310887389853E-5</v>
          </cell>
          <cell r="C3866">
            <v>0</v>
          </cell>
          <cell r="D3866" t="e">
            <v>#VALUE!</v>
          </cell>
          <cell r="E3866" t="e">
            <v>#VALUE!</v>
          </cell>
          <cell r="F3866">
            <v>0</v>
          </cell>
        </row>
        <row r="3867">
          <cell r="A3867" t="str">
            <v>RNC6NHTA</v>
          </cell>
          <cell r="B3867">
            <v>7.7505778070389338E-5</v>
          </cell>
          <cell r="C3867">
            <v>0</v>
          </cell>
          <cell r="D3867" t="e">
            <v>#VALUE!</v>
          </cell>
          <cell r="E3867" t="e">
            <v>#VALUE!</v>
          </cell>
          <cell r="F3867">
            <v>0</v>
          </cell>
        </row>
        <row r="3868">
          <cell r="A3868" t="str">
            <v>RNC7PN1A</v>
          </cell>
          <cell r="B3868">
            <v>0</v>
          </cell>
          <cell r="C3868">
            <v>0</v>
          </cell>
          <cell r="D3868" t="e">
            <v>#VALUE!</v>
          </cell>
          <cell r="E3868" t="e">
            <v>#VALUE!</v>
          </cell>
          <cell r="F3868">
            <v>0</v>
          </cell>
        </row>
        <row r="3869">
          <cell r="A3869" t="str">
            <v>RNC7PN2A</v>
          </cell>
          <cell r="B3869">
            <v>0</v>
          </cell>
          <cell r="C3869">
            <v>0</v>
          </cell>
          <cell r="D3869" t="e">
            <v>#VALUE!</v>
          </cell>
          <cell r="E3869" t="e">
            <v>#VALUE!</v>
          </cell>
          <cell r="F3869">
            <v>0</v>
          </cell>
        </row>
        <row r="3870">
          <cell r="A3870" t="str">
            <v>RNC7PN3A</v>
          </cell>
          <cell r="B3870">
            <v>0</v>
          </cell>
          <cell r="C3870">
            <v>0</v>
          </cell>
          <cell r="D3870" t="e">
            <v>#VALUE!</v>
          </cell>
          <cell r="E3870" t="e">
            <v>#VALUE!</v>
          </cell>
          <cell r="F3870">
            <v>0</v>
          </cell>
        </row>
        <row r="3871">
          <cell r="A3871" t="str">
            <v>RNC7PN4A</v>
          </cell>
          <cell r="B3871">
            <v>2.3779899852902266E-11</v>
          </cell>
          <cell r="C3871">
            <v>0</v>
          </cell>
          <cell r="D3871" t="e">
            <v>#VALUE!</v>
          </cell>
          <cell r="E3871" t="e">
            <v>#VALUE!</v>
          </cell>
          <cell r="F3871">
            <v>0</v>
          </cell>
        </row>
        <row r="3872">
          <cell r="A3872" t="str">
            <v>RNC7SK1A</v>
          </cell>
          <cell r="B3872">
            <v>0</v>
          </cell>
          <cell r="C3872">
            <v>0</v>
          </cell>
          <cell r="D3872" t="e">
            <v>#VALUE!</v>
          </cell>
          <cell r="E3872" t="e">
            <v>#VALUE!</v>
          </cell>
          <cell r="F3872">
            <v>0</v>
          </cell>
        </row>
        <row r="3873">
          <cell r="A3873" t="str">
            <v>RNC7SK2A</v>
          </cell>
          <cell r="B3873">
            <v>0</v>
          </cell>
          <cell r="C3873">
            <v>0</v>
          </cell>
          <cell r="D3873" t="e">
            <v>#VALUE!</v>
          </cell>
          <cell r="E3873" t="e">
            <v>#VALUE!</v>
          </cell>
          <cell r="F3873">
            <v>0</v>
          </cell>
        </row>
        <row r="3874">
          <cell r="A3874" t="str">
            <v>RNC7SK3A</v>
          </cell>
          <cell r="B3874">
            <v>0</v>
          </cell>
          <cell r="C3874">
            <v>0</v>
          </cell>
          <cell r="D3874" t="e">
            <v>#VALUE!</v>
          </cell>
          <cell r="E3874" t="e">
            <v>#VALUE!</v>
          </cell>
          <cell r="F3874">
            <v>0</v>
          </cell>
        </row>
        <row r="3875">
          <cell r="A3875" t="str">
            <v>RNC7SK5A</v>
          </cell>
          <cell r="B3875">
            <v>0</v>
          </cell>
          <cell r="C3875">
            <v>0</v>
          </cell>
          <cell r="D3875" t="e">
            <v>#VALUE!</v>
          </cell>
          <cell r="E3875" t="e">
            <v>#VALUE!</v>
          </cell>
          <cell r="F3875">
            <v>0</v>
          </cell>
        </row>
        <row r="3876">
          <cell r="A3876" t="str">
            <v>RNC7SK6A</v>
          </cell>
          <cell r="B3876">
            <v>2.0277012641254913E-11</v>
          </cell>
          <cell r="C3876">
            <v>0</v>
          </cell>
          <cell r="D3876" t="e">
            <v>#VALUE!</v>
          </cell>
          <cell r="E3876" t="e">
            <v>#VALUE!</v>
          </cell>
          <cell r="F3876">
            <v>0</v>
          </cell>
        </row>
        <row r="3877">
          <cell r="A3877" t="str">
            <v>RNC7SK7A</v>
          </cell>
          <cell r="B3877">
            <v>0</v>
          </cell>
          <cell r="C3877">
            <v>0</v>
          </cell>
          <cell r="D3877" t="e">
            <v>#VALUE!</v>
          </cell>
          <cell r="E3877" t="e">
            <v>#VALUE!</v>
          </cell>
          <cell r="F3877">
            <v>0</v>
          </cell>
        </row>
        <row r="3878">
          <cell r="A3878" t="str">
            <v>RNC7RFFA</v>
          </cell>
          <cell r="B3878">
            <v>8.1456779682337411E-5</v>
          </cell>
          <cell r="C3878">
            <v>0</v>
          </cell>
          <cell r="D3878" t="e">
            <v>#VALUE!</v>
          </cell>
          <cell r="E3878" t="e">
            <v>#VALUE!</v>
          </cell>
          <cell r="F3878">
            <v>0</v>
          </cell>
        </row>
        <row r="3879">
          <cell r="A3879" t="str">
            <v>RNC7NLPA</v>
          </cell>
          <cell r="B3879">
            <v>7.4643382799416168E-3</v>
          </cell>
          <cell r="C3879">
            <v>0</v>
          </cell>
          <cell r="D3879" t="e">
            <v>#VALUE!</v>
          </cell>
          <cell r="E3879" t="e">
            <v>#VALUE!</v>
          </cell>
          <cell r="F3879">
            <v>0</v>
          </cell>
        </row>
        <row r="3880">
          <cell r="A3880" t="str">
            <v>RNC7FHTA</v>
          </cell>
          <cell r="B3880">
            <v>-4.754772424697477E-4</v>
          </cell>
          <cell r="C3880">
            <v>0</v>
          </cell>
          <cell r="D3880" t="e">
            <v>#VALUE!</v>
          </cell>
          <cell r="E3880" t="e">
            <v>#VALUE!</v>
          </cell>
          <cell r="F3880">
            <v>0</v>
          </cell>
        </row>
        <row r="3881">
          <cell r="A3881" t="str">
            <v>RNC7NHTA</v>
          </cell>
          <cell r="B3881">
            <v>-4.0469312451970013E-4</v>
          </cell>
          <cell r="C3881">
            <v>0</v>
          </cell>
          <cell r="D3881" t="e">
            <v>#VALUE!</v>
          </cell>
          <cell r="E3881" t="e">
            <v>#VALUE!</v>
          </cell>
          <cell r="F3881">
            <v>0</v>
          </cell>
        </row>
        <row r="3882">
          <cell r="A3882" t="str">
            <v>RNC8PN1A</v>
          </cell>
          <cell r="B3882">
            <v>0</v>
          </cell>
          <cell r="C3882">
            <v>0</v>
          </cell>
          <cell r="D3882" t="e">
            <v>#VALUE!</v>
          </cell>
          <cell r="E3882" t="e">
            <v>#VALUE!</v>
          </cell>
          <cell r="F3882">
            <v>0</v>
          </cell>
        </row>
        <row r="3883">
          <cell r="A3883" t="str">
            <v>RNC8PN2A</v>
          </cell>
          <cell r="B3883">
            <v>0</v>
          </cell>
          <cell r="C3883">
            <v>0</v>
          </cell>
          <cell r="D3883" t="e">
            <v>#VALUE!</v>
          </cell>
          <cell r="E3883" t="e">
            <v>#VALUE!</v>
          </cell>
          <cell r="F3883">
            <v>0</v>
          </cell>
        </row>
        <row r="3884">
          <cell r="A3884" t="str">
            <v>RNC8PN3A</v>
          </cell>
          <cell r="B3884">
            <v>0</v>
          </cell>
          <cell r="C3884">
            <v>0</v>
          </cell>
          <cell r="D3884" t="e">
            <v>#VALUE!</v>
          </cell>
          <cell r="E3884" t="e">
            <v>#VALUE!</v>
          </cell>
          <cell r="F3884">
            <v>0</v>
          </cell>
        </row>
        <row r="3885">
          <cell r="A3885" t="str">
            <v>RNC8PN4A</v>
          </cell>
          <cell r="B3885">
            <v>1.8507969335051673E-5</v>
          </cell>
          <cell r="C3885">
            <v>0</v>
          </cell>
          <cell r="D3885" t="e">
            <v>#VALUE!</v>
          </cell>
          <cell r="E3885" t="e">
            <v>#VALUE!</v>
          </cell>
          <cell r="F3885">
            <v>0</v>
          </cell>
        </row>
        <row r="3886">
          <cell r="A3886" t="str">
            <v>RNC8SK1A</v>
          </cell>
          <cell r="B3886">
            <v>0</v>
          </cell>
          <cell r="C3886">
            <v>0</v>
          </cell>
          <cell r="D3886" t="e">
            <v>#VALUE!</v>
          </cell>
          <cell r="E3886" t="e">
            <v>#VALUE!</v>
          </cell>
          <cell r="F3886">
            <v>0</v>
          </cell>
        </row>
        <row r="3887">
          <cell r="A3887" t="str">
            <v>RNC8SK2A</v>
          </cell>
          <cell r="B3887">
            <v>0</v>
          </cell>
          <cell r="C3887">
            <v>0</v>
          </cell>
          <cell r="D3887" t="e">
            <v>#VALUE!</v>
          </cell>
          <cell r="E3887" t="e">
            <v>#VALUE!</v>
          </cell>
          <cell r="F3887">
            <v>0</v>
          </cell>
        </row>
        <row r="3888">
          <cell r="A3888" t="str">
            <v>RNC8SK3A</v>
          </cell>
          <cell r="B3888">
            <v>0</v>
          </cell>
          <cell r="C3888">
            <v>0</v>
          </cell>
          <cell r="D3888" t="e">
            <v>#VALUE!</v>
          </cell>
          <cell r="E3888" t="e">
            <v>#VALUE!</v>
          </cell>
          <cell r="F3888">
            <v>0</v>
          </cell>
        </row>
        <row r="3889">
          <cell r="A3889" t="str">
            <v>RNC8SK5A</v>
          </cell>
          <cell r="B3889">
            <v>0</v>
          </cell>
          <cell r="C3889">
            <v>0</v>
          </cell>
          <cell r="D3889" t="e">
            <v>#VALUE!</v>
          </cell>
          <cell r="E3889" t="e">
            <v>#VALUE!</v>
          </cell>
          <cell r="F3889">
            <v>0</v>
          </cell>
        </row>
        <row r="3890">
          <cell r="A3890" t="str">
            <v>RNC8SK6A</v>
          </cell>
          <cell r="B3890">
            <v>2.9493837205091321E-11</v>
          </cell>
          <cell r="C3890">
            <v>0</v>
          </cell>
          <cell r="D3890" t="e">
            <v>#VALUE!</v>
          </cell>
          <cell r="E3890" t="e">
            <v>#VALUE!</v>
          </cell>
          <cell r="F3890">
            <v>0</v>
          </cell>
        </row>
        <row r="3891">
          <cell r="A3891" t="str">
            <v>RNC8SK7A</v>
          </cell>
          <cell r="B3891">
            <v>0</v>
          </cell>
          <cell r="C3891">
            <v>0</v>
          </cell>
          <cell r="D3891" t="e">
            <v>#VALUE!</v>
          </cell>
          <cell r="E3891" t="e">
            <v>#VALUE!</v>
          </cell>
          <cell r="F3891">
            <v>0</v>
          </cell>
        </row>
        <row r="3892">
          <cell r="A3892" t="str">
            <v>RNC8PA1A</v>
          </cell>
          <cell r="B3892">
            <v>0</v>
          </cell>
          <cell r="C3892">
            <v>0</v>
          </cell>
          <cell r="D3892" t="e">
            <v>#VALUE!</v>
          </cell>
          <cell r="E3892" t="e">
            <v>#VALUE!</v>
          </cell>
          <cell r="F3892">
            <v>0</v>
          </cell>
        </row>
        <row r="3893">
          <cell r="A3893" t="str">
            <v>RNC8PA2A</v>
          </cell>
          <cell r="B3893">
            <v>0</v>
          </cell>
          <cell r="C3893">
            <v>0</v>
          </cell>
          <cell r="D3893" t="e">
            <v>#VALUE!</v>
          </cell>
          <cell r="E3893" t="e">
            <v>#VALUE!</v>
          </cell>
          <cell r="F3893">
            <v>0</v>
          </cell>
        </row>
        <row r="3894">
          <cell r="A3894" t="str">
            <v>RNC8PA3A</v>
          </cell>
          <cell r="B3894">
            <v>4.527731365619916E-4</v>
          </cell>
          <cell r="C3894">
            <v>0</v>
          </cell>
          <cell r="D3894" t="e">
            <v>#VALUE!</v>
          </cell>
          <cell r="E3894" t="e">
            <v>#VALUE!</v>
          </cell>
          <cell r="F3894">
            <v>0</v>
          </cell>
        </row>
        <row r="3895">
          <cell r="A3895" t="str">
            <v>RNC8PA4A</v>
          </cell>
          <cell r="B3895">
            <v>1.0409564315710194E-4</v>
          </cell>
          <cell r="C3895">
            <v>0</v>
          </cell>
          <cell r="D3895" t="e">
            <v>#VALUE!</v>
          </cell>
          <cell r="E3895" t="e">
            <v>#VALUE!</v>
          </cell>
          <cell r="F3895">
            <v>0</v>
          </cell>
        </row>
        <row r="3896">
          <cell r="A3896" t="str">
            <v>RNC8PB1A</v>
          </cell>
          <cell r="B3896">
            <v>0</v>
          </cell>
          <cell r="C3896">
            <v>0</v>
          </cell>
          <cell r="D3896" t="e">
            <v>#VALUE!</v>
          </cell>
          <cell r="E3896" t="e">
            <v>#VALUE!</v>
          </cell>
          <cell r="F3896">
            <v>0</v>
          </cell>
        </row>
        <row r="3897">
          <cell r="A3897" t="str">
            <v>RNC8PB2A</v>
          </cell>
          <cell r="B3897">
            <v>0</v>
          </cell>
          <cell r="C3897">
            <v>0</v>
          </cell>
          <cell r="D3897" t="e">
            <v>#VALUE!</v>
          </cell>
          <cell r="E3897" t="e">
            <v>#VALUE!</v>
          </cell>
          <cell r="F3897">
            <v>0</v>
          </cell>
        </row>
        <row r="3898">
          <cell r="A3898" t="str">
            <v>RNC8PB3A</v>
          </cell>
          <cell r="B3898">
            <v>-5.4617116628123021E-5</v>
          </cell>
          <cell r="C3898">
            <v>0</v>
          </cell>
          <cell r="D3898" t="e">
            <v>#VALUE!</v>
          </cell>
          <cell r="E3898" t="e">
            <v>#VALUE!</v>
          </cell>
          <cell r="F3898">
            <v>0</v>
          </cell>
        </row>
        <row r="3899">
          <cell r="A3899" t="str">
            <v>RNC8PB4A</v>
          </cell>
          <cell r="B3899">
            <v>-1.6756839919558495E-4</v>
          </cell>
          <cell r="C3899">
            <v>0</v>
          </cell>
          <cell r="D3899" t="e">
            <v>#VALUE!</v>
          </cell>
          <cell r="E3899" t="e">
            <v>#VALUE!</v>
          </cell>
          <cell r="F3899">
            <v>0</v>
          </cell>
        </row>
        <row r="3900">
          <cell r="A3900" t="str">
            <v>RNC8RFAA</v>
          </cell>
          <cell r="B3900">
            <v>-4.8698079456275308E-4</v>
          </cell>
          <cell r="C3900">
            <v>0</v>
          </cell>
          <cell r="D3900" t="e">
            <v>#VALUE!</v>
          </cell>
          <cell r="E3900" t="e">
            <v>#VALUE!</v>
          </cell>
          <cell r="F3900">
            <v>0</v>
          </cell>
        </row>
        <row r="3901">
          <cell r="A3901" t="str">
            <v>RNC8RFBA</v>
          </cell>
          <cell r="B3901">
            <v>-2.9522099531240115E-5</v>
          </cell>
          <cell r="C3901">
            <v>0</v>
          </cell>
          <cell r="D3901" t="e">
            <v>#VALUE!</v>
          </cell>
          <cell r="E3901" t="e">
            <v>#VALUE!</v>
          </cell>
          <cell r="F3901">
            <v>0</v>
          </cell>
        </row>
        <row r="3902">
          <cell r="A3902" t="str">
            <v>RNC8RFHA</v>
          </cell>
          <cell r="B3902">
            <v>1.448465223989369E-4</v>
          </cell>
          <cell r="C3902">
            <v>0</v>
          </cell>
          <cell r="D3902" t="e">
            <v>#VALUE!</v>
          </cell>
          <cell r="E3902" t="e">
            <v>#VALUE!</v>
          </cell>
          <cell r="F3902">
            <v>0</v>
          </cell>
        </row>
        <row r="3903">
          <cell r="A3903" t="str">
            <v>RNC8RFFA</v>
          </cell>
          <cell r="B3903">
            <v>-1.1578226127057112E-3</v>
          </cell>
          <cell r="C3903">
            <v>0</v>
          </cell>
          <cell r="D3903" t="e">
            <v>#VALUE!</v>
          </cell>
          <cell r="E3903" t="e">
            <v>#VALUE!</v>
          </cell>
          <cell r="F3903">
            <v>0</v>
          </cell>
        </row>
        <row r="3904">
          <cell r="A3904" t="str">
            <v>RNC8NLPA</v>
          </cell>
          <cell r="B3904">
            <v>7.6049256956998946E-4</v>
          </cell>
          <cell r="C3904">
            <v>0</v>
          </cell>
          <cell r="D3904" t="e">
            <v>#VALUE!</v>
          </cell>
          <cell r="E3904" t="e">
            <v>#VALUE!</v>
          </cell>
          <cell r="F3904">
            <v>0</v>
          </cell>
        </row>
        <row r="3905">
          <cell r="A3905" t="str">
            <v>RNC8FHTA</v>
          </cell>
          <cell r="B3905">
            <v>5.1437368152893554E-4</v>
          </cell>
          <cell r="C3905">
            <v>0</v>
          </cell>
          <cell r="D3905" t="e">
            <v>#VALUE!</v>
          </cell>
          <cell r="E3905" t="e">
            <v>#VALUE!</v>
          </cell>
          <cell r="F3905">
            <v>0</v>
          </cell>
        </row>
        <row r="3906">
          <cell r="A3906" t="str">
            <v>RNC8NHTA</v>
          </cell>
          <cell r="B3906">
            <v>4.6803208927373555E-4</v>
          </cell>
          <cell r="C3906">
            <v>0</v>
          </cell>
          <cell r="D3906" t="e">
            <v>#VALUE!</v>
          </cell>
          <cell r="E3906" t="e">
            <v>#VALUE!</v>
          </cell>
          <cell r="F3906">
            <v>0</v>
          </cell>
        </row>
        <row r="3907">
          <cell r="A3907" t="str">
            <v>RNC8SPXA</v>
          </cell>
          <cell r="B3907">
            <v>-3.0416141164893554E-5</v>
          </cell>
          <cell r="C3907">
            <v>0</v>
          </cell>
          <cell r="D3907" t="e">
            <v>#VALUE!</v>
          </cell>
          <cell r="E3907" t="e">
            <v>#VALUE!</v>
          </cell>
          <cell r="F3907">
            <v>0</v>
          </cell>
        </row>
        <row r="3908">
          <cell r="A3908" t="str">
            <v>RNC9PA1A</v>
          </cell>
          <cell r="B3908">
            <v>0</v>
          </cell>
          <cell r="C3908">
            <v>0</v>
          </cell>
          <cell r="D3908" t="e">
            <v>#VALUE!</v>
          </cell>
          <cell r="E3908" t="e">
            <v>#VALUE!</v>
          </cell>
          <cell r="F3908">
            <v>0</v>
          </cell>
        </row>
        <row r="3909">
          <cell r="A3909" t="str">
            <v>RNC9PA2A</v>
          </cell>
          <cell r="B3909">
            <v>0</v>
          </cell>
          <cell r="C3909">
            <v>0</v>
          </cell>
          <cell r="D3909" t="e">
            <v>#VALUE!</v>
          </cell>
          <cell r="E3909" t="e">
            <v>#VALUE!</v>
          </cell>
          <cell r="F3909">
            <v>0</v>
          </cell>
        </row>
        <row r="3910">
          <cell r="A3910" t="str">
            <v>RNC9PA3A</v>
          </cell>
          <cell r="B3910">
            <v>1.278538993026141E-4</v>
          </cell>
          <cell r="C3910">
            <v>0</v>
          </cell>
          <cell r="D3910" t="e">
            <v>#VALUE!</v>
          </cell>
          <cell r="E3910" t="e">
            <v>#VALUE!</v>
          </cell>
          <cell r="F3910">
            <v>0</v>
          </cell>
        </row>
        <row r="3911">
          <cell r="A3911" t="str">
            <v>RNC9PA4A</v>
          </cell>
          <cell r="B3911">
            <v>1.4125384321992548E-4</v>
          </cell>
          <cell r="C3911">
            <v>0</v>
          </cell>
          <cell r="D3911" t="e">
            <v>#VALUE!</v>
          </cell>
          <cell r="E3911" t="e">
            <v>#VALUE!</v>
          </cell>
          <cell r="F3911">
            <v>0</v>
          </cell>
        </row>
        <row r="3912">
          <cell r="A3912" t="str">
            <v>RNC9PB1A</v>
          </cell>
          <cell r="B3912">
            <v>0</v>
          </cell>
          <cell r="C3912">
            <v>0</v>
          </cell>
          <cell r="D3912" t="e">
            <v>#VALUE!</v>
          </cell>
          <cell r="E3912" t="e">
            <v>#VALUE!</v>
          </cell>
          <cell r="F3912">
            <v>0</v>
          </cell>
        </row>
        <row r="3913">
          <cell r="A3913" t="str">
            <v>RNC9PB2A</v>
          </cell>
          <cell r="B3913">
            <v>0</v>
          </cell>
          <cell r="C3913">
            <v>0</v>
          </cell>
          <cell r="D3913" t="e">
            <v>#VALUE!</v>
          </cell>
          <cell r="E3913" t="e">
            <v>#VALUE!</v>
          </cell>
          <cell r="F3913">
            <v>0</v>
          </cell>
        </row>
        <row r="3914">
          <cell r="A3914" t="str">
            <v>RNC9PB3A</v>
          </cell>
          <cell r="B3914">
            <v>-1.4588156142527212E-3</v>
          </cell>
          <cell r="C3914">
            <v>0</v>
          </cell>
          <cell r="D3914" t="e">
            <v>#VALUE!</v>
          </cell>
          <cell r="E3914" t="e">
            <v>#VALUE!</v>
          </cell>
          <cell r="F3914">
            <v>0</v>
          </cell>
        </row>
        <row r="3915">
          <cell r="A3915" t="str">
            <v>RNC9PB4A</v>
          </cell>
          <cell r="B3915">
            <v>1.2736806576270575E-3</v>
          </cell>
          <cell r="C3915">
            <v>0</v>
          </cell>
          <cell r="D3915" t="e">
            <v>#VALUE!</v>
          </cell>
          <cell r="E3915" t="e">
            <v>#VALUE!</v>
          </cell>
          <cell r="F3915">
            <v>0</v>
          </cell>
        </row>
        <row r="3916">
          <cell r="A3916" t="str">
            <v>RNC9RFAA</v>
          </cell>
          <cell r="B3916">
            <v>2.3487506346271726E-5</v>
          </cell>
          <cell r="C3916">
            <v>0</v>
          </cell>
          <cell r="D3916" t="e">
            <v>#VALUE!</v>
          </cell>
          <cell r="E3916" t="e">
            <v>#VALUE!</v>
          </cell>
          <cell r="F3916">
            <v>0</v>
          </cell>
        </row>
        <row r="3917">
          <cell r="A3917" t="str">
            <v>RNC9RFBA</v>
          </cell>
          <cell r="B3917">
            <v>-6.406228238380171E-4</v>
          </cell>
          <cell r="C3917">
            <v>0</v>
          </cell>
          <cell r="D3917" t="e">
            <v>#VALUE!</v>
          </cell>
          <cell r="E3917" t="e">
            <v>#VALUE!</v>
          </cell>
          <cell r="F3917">
            <v>0</v>
          </cell>
        </row>
        <row r="3918">
          <cell r="A3918" t="str">
            <v>RNC9RFHA</v>
          </cell>
          <cell r="B3918">
            <v>1.3053217161750083E-6</v>
          </cell>
          <cell r="C3918">
            <v>0</v>
          </cell>
          <cell r="D3918" t="e">
            <v>#VALUE!</v>
          </cell>
          <cell r="E3918" t="e">
            <v>#VALUE!</v>
          </cell>
          <cell r="F3918">
            <v>0</v>
          </cell>
        </row>
        <row r="3919">
          <cell r="A3919" t="str">
            <v>RNC9RFFA</v>
          </cell>
          <cell r="B3919">
            <v>-2.2326406185690247E-3</v>
          </cell>
          <cell r="C3919">
            <v>0</v>
          </cell>
          <cell r="D3919" t="e">
            <v>#VALUE!</v>
          </cell>
          <cell r="E3919" t="e">
            <v>#VALUE!</v>
          </cell>
          <cell r="F3919">
            <v>0</v>
          </cell>
        </row>
        <row r="3920">
          <cell r="A3920" t="str">
            <v>RNC9SPXA</v>
          </cell>
          <cell r="B3920">
            <v>1.7177773243160218E-4</v>
          </cell>
          <cell r="C3920">
            <v>0</v>
          </cell>
          <cell r="D3920" t="e">
            <v>#VALUE!</v>
          </cell>
          <cell r="E3920" t="e">
            <v>#VALUE!</v>
          </cell>
          <cell r="F3920">
            <v>0</v>
          </cell>
        </row>
        <row r="3921">
          <cell r="A3921" t="str">
            <v>RAC6PN1A</v>
          </cell>
          <cell r="B3921">
            <v>0</v>
          </cell>
          <cell r="C3921">
            <v>0</v>
          </cell>
          <cell r="D3921" t="e">
            <v>#VALUE!</v>
          </cell>
          <cell r="E3921" t="e">
            <v>#VALUE!</v>
          </cell>
          <cell r="F3921">
            <v>0</v>
          </cell>
        </row>
        <row r="3922">
          <cell r="A3922" t="str">
            <v>RAC6PN2A</v>
          </cell>
          <cell r="B3922">
            <v>0</v>
          </cell>
          <cell r="C3922">
            <v>0</v>
          </cell>
          <cell r="D3922" t="e">
            <v>#VALUE!</v>
          </cell>
          <cell r="E3922" t="e">
            <v>#VALUE!</v>
          </cell>
          <cell r="F3922">
            <v>0</v>
          </cell>
        </row>
        <row r="3923">
          <cell r="A3923" t="str">
            <v>RAC6PN3A</v>
          </cell>
          <cell r="B3923">
            <v>0</v>
          </cell>
          <cell r="C3923">
            <v>0</v>
          </cell>
          <cell r="D3923" t="e">
            <v>#VALUE!</v>
          </cell>
          <cell r="E3923" t="e">
            <v>#VALUE!</v>
          </cell>
          <cell r="F3923">
            <v>0</v>
          </cell>
        </row>
        <row r="3924">
          <cell r="A3924" t="str">
            <v>RAC6PN4A</v>
          </cell>
          <cell r="B3924">
            <v>4.147491770209797E-13</v>
          </cell>
          <cell r="C3924">
            <v>0</v>
          </cell>
          <cell r="D3924" t="e">
            <v>#VALUE!</v>
          </cell>
          <cell r="E3924" t="e">
            <v>#VALUE!</v>
          </cell>
          <cell r="F3924">
            <v>0</v>
          </cell>
        </row>
        <row r="3925">
          <cell r="A3925" t="str">
            <v>RAC6SK1A</v>
          </cell>
          <cell r="B3925">
            <v>0</v>
          </cell>
          <cell r="C3925">
            <v>0</v>
          </cell>
          <cell r="D3925" t="e">
            <v>#VALUE!</v>
          </cell>
          <cell r="E3925" t="e">
            <v>#VALUE!</v>
          </cell>
          <cell r="F3925">
            <v>0</v>
          </cell>
        </row>
        <row r="3926">
          <cell r="A3926" t="str">
            <v>RAC6SK2A</v>
          </cell>
          <cell r="B3926">
            <v>0</v>
          </cell>
          <cell r="C3926">
            <v>0</v>
          </cell>
          <cell r="D3926" t="e">
            <v>#VALUE!</v>
          </cell>
          <cell r="E3926" t="e">
            <v>#VALUE!</v>
          </cell>
          <cell r="F3926">
            <v>0</v>
          </cell>
        </row>
        <row r="3927">
          <cell r="A3927" t="str">
            <v>RAC6SK3A</v>
          </cell>
          <cell r="B3927">
            <v>0</v>
          </cell>
          <cell r="C3927">
            <v>0</v>
          </cell>
          <cell r="D3927" t="e">
            <v>#VALUE!</v>
          </cell>
          <cell r="E3927" t="e">
            <v>#VALUE!</v>
          </cell>
          <cell r="F3927">
            <v>0</v>
          </cell>
        </row>
        <row r="3928">
          <cell r="A3928" t="str">
            <v>RAC6SK5A</v>
          </cell>
          <cell r="B3928">
            <v>0</v>
          </cell>
          <cell r="C3928">
            <v>0</v>
          </cell>
          <cell r="D3928" t="e">
            <v>#VALUE!</v>
          </cell>
          <cell r="E3928" t="e">
            <v>#VALUE!</v>
          </cell>
          <cell r="F3928">
            <v>0</v>
          </cell>
        </row>
        <row r="3929">
          <cell r="A3929" t="str">
            <v>RAC6SK6A</v>
          </cell>
          <cell r="B3929">
            <v>4.6084120632955189E-13</v>
          </cell>
          <cell r="C3929">
            <v>0</v>
          </cell>
          <cell r="D3929" t="e">
            <v>#VALUE!</v>
          </cell>
          <cell r="E3929" t="e">
            <v>#VALUE!</v>
          </cell>
          <cell r="F3929">
            <v>0</v>
          </cell>
        </row>
        <row r="3930">
          <cell r="A3930" t="str">
            <v>RAC6SK7A</v>
          </cell>
          <cell r="B3930">
            <v>0</v>
          </cell>
          <cell r="C3930">
            <v>0</v>
          </cell>
          <cell r="D3930" t="e">
            <v>#VALUE!</v>
          </cell>
          <cell r="E3930" t="e">
            <v>#VALUE!</v>
          </cell>
          <cell r="F3930">
            <v>0</v>
          </cell>
        </row>
        <row r="3931">
          <cell r="A3931" t="str">
            <v>RAC6NLPA</v>
          </cell>
          <cell r="B3931">
            <v>2.7401854505575872E-4</v>
          </cell>
          <cell r="C3931">
            <v>0</v>
          </cell>
          <cell r="D3931" t="e">
            <v>#VALUE!</v>
          </cell>
          <cell r="E3931" t="e">
            <v>#VALUE!</v>
          </cell>
          <cell r="F3931">
            <v>0</v>
          </cell>
        </row>
        <row r="3932">
          <cell r="A3932" t="str">
            <v>RAC6FHTA</v>
          </cell>
          <cell r="B3932">
            <v>1.3286933080713448E-4</v>
          </cell>
          <cell r="C3932">
            <v>0</v>
          </cell>
          <cell r="D3932" t="e">
            <v>#VALUE!</v>
          </cell>
          <cell r="E3932" t="e">
            <v>#VALUE!</v>
          </cell>
          <cell r="F3932">
            <v>0</v>
          </cell>
        </row>
        <row r="3933">
          <cell r="A3933" t="str">
            <v>RAC6NHTA</v>
          </cell>
          <cell r="B3933">
            <v>1.3300112728906592E-4</v>
          </cell>
          <cell r="C3933">
            <v>0</v>
          </cell>
          <cell r="D3933" t="e">
            <v>#VALUE!</v>
          </cell>
          <cell r="E3933" t="e">
            <v>#VALUE!</v>
          </cell>
          <cell r="F3933">
            <v>0</v>
          </cell>
        </row>
        <row r="3934">
          <cell r="A3934" t="str">
            <v>RAC7PN1A</v>
          </cell>
          <cell r="B3934">
            <v>0</v>
          </cell>
          <cell r="C3934">
            <v>0</v>
          </cell>
          <cell r="D3934" t="e">
            <v>#VALUE!</v>
          </cell>
          <cell r="E3934" t="e">
            <v>#VALUE!</v>
          </cell>
          <cell r="F3934">
            <v>0</v>
          </cell>
        </row>
        <row r="3935">
          <cell r="A3935" t="str">
            <v>RAC7PN2A</v>
          </cell>
          <cell r="B3935">
            <v>0</v>
          </cell>
          <cell r="C3935">
            <v>0</v>
          </cell>
          <cell r="D3935" t="e">
            <v>#VALUE!</v>
          </cell>
          <cell r="E3935" t="e">
            <v>#VALUE!</v>
          </cell>
          <cell r="F3935">
            <v>0</v>
          </cell>
        </row>
        <row r="3936">
          <cell r="A3936" t="str">
            <v>RAC7PN3A</v>
          </cell>
          <cell r="B3936">
            <v>0</v>
          </cell>
          <cell r="C3936">
            <v>0</v>
          </cell>
          <cell r="D3936" t="e">
            <v>#VALUE!</v>
          </cell>
          <cell r="E3936" t="e">
            <v>#VALUE!</v>
          </cell>
          <cell r="F3936">
            <v>0</v>
          </cell>
        </row>
        <row r="3937">
          <cell r="A3937" t="str">
            <v>RAC7PN4A</v>
          </cell>
          <cell r="B3937">
            <v>1.8433842827371407E-12</v>
          </cell>
          <cell r="C3937">
            <v>0</v>
          </cell>
          <cell r="D3937" t="e">
            <v>#VALUE!</v>
          </cell>
          <cell r="E3937" t="e">
            <v>#VALUE!</v>
          </cell>
          <cell r="F3937">
            <v>0</v>
          </cell>
        </row>
        <row r="3938">
          <cell r="A3938" t="str">
            <v>RAC7SK1A</v>
          </cell>
          <cell r="B3938">
            <v>0</v>
          </cell>
          <cell r="C3938">
            <v>0</v>
          </cell>
          <cell r="D3938" t="e">
            <v>#VALUE!</v>
          </cell>
          <cell r="E3938" t="e">
            <v>#VALUE!</v>
          </cell>
          <cell r="F3938">
            <v>0</v>
          </cell>
        </row>
        <row r="3939">
          <cell r="A3939" t="str">
            <v>RAC7SK2A</v>
          </cell>
          <cell r="B3939">
            <v>0</v>
          </cell>
          <cell r="C3939">
            <v>0</v>
          </cell>
          <cell r="D3939" t="e">
            <v>#VALUE!</v>
          </cell>
          <cell r="E3939" t="e">
            <v>#VALUE!</v>
          </cell>
          <cell r="F3939">
            <v>0</v>
          </cell>
        </row>
        <row r="3940">
          <cell r="A3940" t="str">
            <v>RAC7SK3A</v>
          </cell>
          <cell r="B3940">
            <v>0</v>
          </cell>
          <cell r="C3940">
            <v>0</v>
          </cell>
          <cell r="D3940" t="e">
            <v>#VALUE!</v>
          </cell>
          <cell r="E3940" t="e">
            <v>#VALUE!</v>
          </cell>
          <cell r="F3940">
            <v>0</v>
          </cell>
        </row>
        <row r="3941">
          <cell r="A3941" t="str">
            <v>RAC7SK5A</v>
          </cell>
          <cell r="B3941">
            <v>0</v>
          </cell>
          <cell r="C3941">
            <v>0</v>
          </cell>
          <cell r="D3941" t="e">
            <v>#VALUE!</v>
          </cell>
          <cell r="E3941" t="e">
            <v>#VALUE!</v>
          </cell>
          <cell r="F3941">
            <v>0</v>
          </cell>
        </row>
        <row r="3942">
          <cell r="A3942" t="str">
            <v>RAC7SK6A</v>
          </cell>
          <cell r="B3942">
            <v>4.6084122819182037E-12</v>
          </cell>
          <cell r="C3942">
            <v>0</v>
          </cell>
          <cell r="D3942" t="e">
            <v>#VALUE!</v>
          </cell>
          <cell r="E3942" t="e">
            <v>#VALUE!</v>
          </cell>
          <cell r="F3942">
            <v>0</v>
          </cell>
        </row>
        <row r="3943">
          <cell r="A3943" t="str">
            <v>RAC7SK7A</v>
          </cell>
          <cell r="B3943">
            <v>0</v>
          </cell>
          <cell r="C3943">
            <v>0</v>
          </cell>
          <cell r="D3943" t="e">
            <v>#VALUE!</v>
          </cell>
          <cell r="E3943" t="e">
            <v>#VALUE!</v>
          </cell>
          <cell r="F3943">
            <v>0</v>
          </cell>
        </row>
        <row r="3944">
          <cell r="A3944" t="str">
            <v>RAC7NLPA</v>
          </cell>
          <cell r="B3944">
            <v>1.0821983491676864E-3</v>
          </cell>
          <cell r="C3944">
            <v>0</v>
          </cell>
          <cell r="D3944" t="e">
            <v>#VALUE!</v>
          </cell>
          <cell r="E3944" t="e">
            <v>#VALUE!</v>
          </cell>
          <cell r="F3944">
            <v>0</v>
          </cell>
        </row>
        <row r="3945">
          <cell r="A3945" t="str">
            <v>RAC7FHTA</v>
          </cell>
          <cell r="B3945">
            <v>-2.640788758109098E-4</v>
          </cell>
          <cell r="C3945">
            <v>0</v>
          </cell>
          <cell r="D3945" t="e">
            <v>#VALUE!</v>
          </cell>
          <cell r="E3945" t="e">
            <v>#VALUE!</v>
          </cell>
          <cell r="F3945">
            <v>0</v>
          </cell>
        </row>
        <row r="3946">
          <cell r="A3946" t="str">
            <v>RAC7NHTA</v>
          </cell>
          <cell r="B3946">
            <v>1.5971743130349964E-5</v>
          </cell>
          <cell r="C3946">
            <v>0</v>
          </cell>
          <cell r="D3946" t="e">
            <v>#VALUE!</v>
          </cell>
          <cell r="E3946" t="e">
            <v>#VALUE!</v>
          </cell>
          <cell r="F3946">
            <v>0</v>
          </cell>
        </row>
        <row r="3947">
          <cell r="A3947" t="str">
            <v>RAC8PN1A</v>
          </cell>
          <cell r="B3947">
            <v>0</v>
          </cell>
          <cell r="C3947">
            <v>0</v>
          </cell>
          <cell r="D3947" t="e">
            <v>#VALUE!</v>
          </cell>
          <cell r="E3947" t="e">
            <v>#VALUE!</v>
          </cell>
          <cell r="F3947">
            <v>0</v>
          </cell>
        </row>
        <row r="3948">
          <cell r="A3948" t="str">
            <v>RAC8PN2A</v>
          </cell>
          <cell r="B3948">
            <v>0</v>
          </cell>
          <cell r="C3948">
            <v>0</v>
          </cell>
          <cell r="D3948" t="e">
            <v>#VALUE!</v>
          </cell>
          <cell r="E3948" t="e">
            <v>#VALUE!</v>
          </cell>
          <cell r="F3948">
            <v>0</v>
          </cell>
        </row>
        <row r="3949">
          <cell r="A3949" t="str">
            <v>RAC8PN3A</v>
          </cell>
          <cell r="B3949">
            <v>0</v>
          </cell>
          <cell r="C3949">
            <v>0</v>
          </cell>
          <cell r="D3949" t="e">
            <v>#VALUE!</v>
          </cell>
          <cell r="E3949" t="e">
            <v>#VALUE!</v>
          </cell>
          <cell r="F3949">
            <v>0</v>
          </cell>
        </row>
        <row r="3950">
          <cell r="A3950" t="str">
            <v>RAC8PN4A</v>
          </cell>
          <cell r="B3950">
            <v>1.871080497541222E-11</v>
          </cell>
          <cell r="C3950">
            <v>0</v>
          </cell>
          <cell r="D3950" t="e">
            <v>#VALUE!</v>
          </cell>
          <cell r="E3950" t="e">
            <v>#VALUE!</v>
          </cell>
          <cell r="F3950">
            <v>0</v>
          </cell>
        </row>
        <row r="3951">
          <cell r="A3951" t="str">
            <v>RAC8SK1A</v>
          </cell>
          <cell r="B3951">
            <v>0</v>
          </cell>
          <cell r="C3951">
            <v>0</v>
          </cell>
          <cell r="D3951" t="e">
            <v>#VALUE!</v>
          </cell>
          <cell r="E3951" t="e">
            <v>#VALUE!</v>
          </cell>
          <cell r="F3951">
            <v>0</v>
          </cell>
        </row>
        <row r="3952">
          <cell r="A3952" t="str">
            <v>RAC8SK2A</v>
          </cell>
          <cell r="B3952">
            <v>0</v>
          </cell>
          <cell r="C3952">
            <v>0</v>
          </cell>
          <cell r="D3952" t="e">
            <v>#VALUE!</v>
          </cell>
          <cell r="E3952" t="e">
            <v>#VALUE!</v>
          </cell>
          <cell r="F3952">
            <v>0</v>
          </cell>
        </row>
        <row r="3953">
          <cell r="A3953" t="str">
            <v>RAC8SK3A</v>
          </cell>
          <cell r="B3953">
            <v>0</v>
          </cell>
          <cell r="C3953">
            <v>0</v>
          </cell>
          <cell r="D3953" t="e">
            <v>#VALUE!</v>
          </cell>
          <cell r="E3953" t="e">
            <v>#VALUE!</v>
          </cell>
          <cell r="F3953">
            <v>0</v>
          </cell>
        </row>
        <row r="3954">
          <cell r="A3954" t="str">
            <v>RAC8SK5A</v>
          </cell>
          <cell r="B3954">
            <v>0</v>
          </cell>
          <cell r="C3954">
            <v>0</v>
          </cell>
          <cell r="D3954" t="e">
            <v>#VALUE!</v>
          </cell>
          <cell r="E3954" t="e">
            <v>#VALUE!</v>
          </cell>
          <cell r="F3954">
            <v>0</v>
          </cell>
        </row>
        <row r="3955">
          <cell r="A3955" t="str">
            <v>RAC8SK6A</v>
          </cell>
          <cell r="B3955">
            <v>1.8433648253182075E-12</v>
          </cell>
          <cell r="C3955">
            <v>0</v>
          </cell>
          <cell r="D3955" t="e">
            <v>#VALUE!</v>
          </cell>
          <cell r="E3955" t="e">
            <v>#VALUE!</v>
          </cell>
          <cell r="F3955">
            <v>0</v>
          </cell>
        </row>
        <row r="3956">
          <cell r="A3956" t="str">
            <v>RAC8SK7A</v>
          </cell>
          <cell r="B3956">
            <v>0</v>
          </cell>
          <cell r="C3956">
            <v>0</v>
          </cell>
          <cell r="D3956" t="e">
            <v>#VALUE!</v>
          </cell>
          <cell r="E3956" t="e">
            <v>#VALUE!</v>
          </cell>
          <cell r="F3956">
            <v>0</v>
          </cell>
        </row>
        <row r="3957">
          <cell r="A3957" t="str">
            <v>RAC8NLPA</v>
          </cell>
          <cell r="B3957">
            <v>-8.1859645885623263E-4</v>
          </cell>
          <cell r="C3957">
            <v>0</v>
          </cell>
          <cell r="D3957" t="e">
            <v>#VALUE!</v>
          </cell>
          <cell r="E3957" t="e">
            <v>#VALUE!</v>
          </cell>
          <cell r="F3957">
            <v>0</v>
          </cell>
        </row>
        <row r="3958">
          <cell r="A3958" t="str">
            <v>RAC8FHTA</v>
          </cell>
          <cell r="B3958">
            <v>1.3318430345142501E-3</v>
          </cell>
          <cell r="C3958">
            <v>0</v>
          </cell>
          <cell r="D3958" t="e">
            <v>#VALUE!</v>
          </cell>
          <cell r="E3958" t="e">
            <v>#VALUE!</v>
          </cell>
          <cell r="F3958">
            <v>0</v>
          </cell>
        </row>
        <row r="3959">
          <cell r="A3959" t="str">
            <v>RAC8NHTA</v>
          </cell>
          <cell r="B3959">
            <v>-1.9081570418975763E-3</v>
          </cell>
          <cell r="C3959">
            <v>0</v>
          </cell>
          <cell r="D3959" t="e">
            <v>#VALUE!</v>
          </cell>
          <cell r="E3959" t="e">
            <v>#VALUE!</v>
          </cell>
          <cell r="F3959">
            <v>0</v>
          </cell>
        </row>
        <row r="3960">
          <cell r="A3960" t="str">
            <v>RPC7PN1A</v>
          </cell>
          <cell r="B3960">
            <v>-7.9838198273560704E-6</v>
          </cell>
          <cell r="C3960">
            <v>0</v>
          </cell>
          <cell r="D3960" t="e">
            <v>#VALUE!</v>
          </cell>
          <cell r="E3960" t="e">
            <v>#VALUE!</v>
          </cell>
          <cell r="F3960">
            <v>0</v>
          </cell>
        </row>
        <row r="3961">
          <cell r="A3961" t="str">
            <v>RPC7PN2A</v>
          </cell>
          <cell r="B3961">
            <v>0</v>
          </cell>
          <cell r="C3961">
            <v>0</v>
          </cell>
          <cell r="D3961" t="e">
            <v>#VALUE!</v>
          </cell>
          <cell r="E3961" t="e">
            <v>#VALUE!</v>
          </cell>
          <cell r="F3961">
            <v>0</v>
          </cell>
        </row>
        <row r="3962">
          <cell r="A3962" t="str">
            <v>RPC7PN3A</v>
          </cell>
          <cell r="B3962">
            <v>0</v>
          </cell>
          <cell r="C3962">
            <v>0</v>
          </cell>
          <cell r="D3962" t="e">
            <v>#VALUE!</v>
          </cell>
          <cell r="E3962" t="e">
            <v>#VALUE!</v>
          </cell>
          <cell r="F3962">
            <v>0</v>
          </cell>
        </row>
        <row r="3963">
          <cell r="A3963" t="str">
            <v>RPC7PN4A</v>
          </cell>
          <cell r="B3963">
            <v>-7.327420861849832E-12</v>
          </cell>
          <cell r="C3963">
            <v>0</v>
          </cell>
          <cell r="D3963" t="e">
            <v>#VALUE!</v>
          </cell>
          <cell r="E3963" t="e">
            <v>#VALUE!</v>
          </cell>
          <cell r="F3963">
            <v>0</v>
          </cell>
        </row>
        <row r="3964">
          <cell r="A3964" t="str">
            <v>RPC7SK1A</v>
          </cell>
          <cell r="B3964">
            <v>2.7454425130039056E-6</v>
          </cell>
          <cell r="C3964">
            <v>0</v>
          </cell>
          <cell r="D3964" t="e">
            <v>#VALUE!</v>
          </cell>
          <cell r="E3964" t="e">
            <v>#VALUE!</v>
          </cell>
          <cell r="F3964">
            <v>0</v>
          </cell>
        </row>
        <row r="3965">
          <cell r="A3965" t="str">
            <v>RPC7SK2A</v>
          </cell>
          <cell r="B3965">
            <v>2.4363077431787618E-6</v>
          </cell>
          <cell r="C3965">
            <v>0</v>
          </cell>
          <cell r="D3965" t="e">
            <v>#VALUE!</v>
          </cell>
          <cell r="E3965" t="e">
            <v>#VALUE!</v>
          </cell>
          <cell r="F3965">
            <v>0</v>
          </cell>
        </row>
        <row r="3966">
          <cell r="A3966" t="str">
            <v>RPC7SK3A</v>
          </cell>
          <cell r="B3966">
            <v>0</v>
          </cell>
          <cell r="C3966">
            <v>0</v>
          </cell>
          <cell r="D3966" t="e">
            <v>#VALUE!</v>
          </cell>
          <cell r="E3966" t="e">
            <v>#VALUE!</v>
          </cell>
          <cell r="F3966">
            <v>0</v>
          </cell>
        </row>
        <row r="3967">
          <cell r="A3967" t="str">
            <v>RPC7SK5A</v>
          </cell>
          <cell r="B3967">
            <v>0</v>
          </cell>
          <cell r="C3967">
            <v>0</v>
          </cell>
          <cell r="D3967" t="e">
            <v>#VALUE!</v>
          </cell>
          <cell r="E3967" t="e">
            <v>#VALUE!</v>
          </cell>
          <cell r="F3967">
            <v>0</v>
          </cell>
        </row>
        <row r="3968">
          <cell r="A3968" t="str">
            <v>RPC7SK6A</v>
          </cell>
          <cell r="B3968">
            <v>2.0277012641254913E-11</v>
          </cell>
          <cell r="C3968">
            <v>0</v>
          </cell>
          <cell r="D3968" t="e">
            <v>#VALUE!</v>
          </cell>
          <cell r="E3968" t="e">
            <v>#VALUE!</v>
          </cell>
          <cell r="F3968">
            <v>0</v>
          </cell>
        </row>
        <row r="3969">
          <cell r="A3969" t="str">
            <v>RPC7SK7A</v>
          </cell>
          <cell r="B3969">
            <v>0</v>
          </cell>
          <cell r="C3969">
            <v>0</v>
          </cell>
          <cell r="D3969" t="e">
            <v>#VALUE!</v>
          </cell>
          <cell r="E3969" t="e">
            <v>#VALUE!</v>
          </cell>
          <cell r="F3969">
            <v>0</v>
          </cell>
        </row>
        <row r="3970">
          <cell r="A3970" t="str">
            <v>RPC7NLPA</v>
          </cell>
          <cell r="B3970">
            <v>5.0402882997718423E-3</v>
          </cell>
          <cell r="C3970">
            <v>0</v>
          </cell>
          <cell r="D3970" t="e">
            <v>#VALUE!</v>
          </cell>
          <cell r="E3970" t="e">
            <v>#VALUE!</v>
          </cell>
          <cell r="F3970">
            <v>0</v>
          </cell>
        </row>
        <row r="3971">
          <cell r="A3971" t="str">
            <v>RPC7FHTA</v>
          </cell>
          <cell r="B3971">
            <v>-2.9810868304905366E-3</v>
          </cell>
          <cell r="C3971">
            <v>0</v>
          </cell>
          <cell r="D3971" t="e">
            <v>#VALUE!</v>
          </cell>
          <cell r="E3971" t="e">
            <v>#VALUE!</v>
          </cell>
          <cell r="F3971">
            <v>0</v>
          </cell>
        </row>
        <row r="3972">
          <cell r="A3972" t="str">
            <v>RPC7NHTA</v>
          </cell>
          <cell r="B3972">
            <v>-5.6684107746935311E-3</v>
          </cell>
          <cell r="C3972">
            <v>0</v>
          </cell>
          <cell r="D3972" t="e">
            <v>#VALUE!</v>
          </cell>
          <cell r="E3972" t="e">
            <v>#VALUE!</v>
          </cell>
          <cell r="F3972">
            <v>0</v>
          </cell>
        </row>
        <row r="3973">
          <cell r="A3973" t="str">
            <v>RPC8PN1A</v>
          </cell>
          <cell r="B3973">
            <v>0</v>
          </cell>
          <cell r="C3973">
            <v>0</v>
          </cell>
          <cell r="D3973" t="e">
            <v>#VALUE!</v>
          </cell>
          <cell r="E3973" t="e">
            <v>#VALUE!</v>
          </cell>
          <cell r="F3973">
            <v>0</v>
          </cell>
        </row>
        <row r="3974">
          <cell r="A3974" t="str">
            <v>RPC8PN2A</v>
          </cell>
          <cell r="B3974">
            <v>0</v>
          </cell>
          <cell r="C3974">
            <v>0</v>
          </cell>
          <cell r="D3974" t="e">
            <v>#VALUE!</v>
          </cell>
          <cell r="E3974" t="e">
            <v>#VALUE!</v>
          </cell>
          <cell r="F3974">
            <v>0</v>
          </cell>
        </row>
        <row r="3975">
          <cell r="A3975" t="str">
            <v>RPC8PN3A</v>
          </cell>
          <cell r="B3975">
            <v>0</v>
          </cell>
          <cell r="C3975">
            <v>0</v>
          </cell>
          <cell r="D3975" t="e">
            <v>#VALUE!</v>
          </cell>
          <cell r="E3975" t="e">
            <v>#VALUE!</v>
          </cell>
          <cell r="F3975">
            <v>0</v>
          </cell>
        </row>
        <row r="3976">
          <cell r="A3976" t="str">
            <v>RPC8PN4A</v>
          </cell>
          <cell r="B3976">
            <v>-7.5825640111635375E-6</v>
          </cell>
          <cell r="C3976">
            <v>0</v>
          </cell>
          <cell r="D3976" t="e">
            <v>#VALUE!</v>
          </cell>
          <cell r="E3976" t="e">
            <v>#VALUE!</v>
          </cell>
          <cell r="F3976">
            <v>0</v>
          </cell>
        </row>
        <row r="3977">
          <cell r="A3977" t="str">
            <v>RPC8SK1A</v>
          </cell>
          <cell r="B3977">
            <v>0</v>
          </cell>
          <cell r="C3977">
            <v>0</v>
          </cell>
          <cell r="D3977" t="e">
            <v>#VALUE!</v>
          </cell>
          <cell r="E3977" t="e">
            <v>#VALUE!</v>
          </cell>
          <cell r="F3977">
            <v>0</v>
          </cell>
        </row>
        <row r="3978">
          <cell r="A3978" t="str">
            <v>RPC8SK2A</v>
          </cell>
          <cell r="B3978">
            <v>0</v>
          </cell>
          <cell r="C3978">
            <v>0</v>
          </cell>
          <cell r="D3978" t="e">
            <v>#VALUE!</v>
          </cell>
          <cell r="E3978" t="e">
            <v>#VALUE!</v>
          </cell>
          <cell r="F3978">
            <v>0</v>
          </cell>
        </row>
        <row r="3979">
          <cell r="A3979" t="str">
            <v>RPC8SK3A</v>
          </cell>
          <cell r="B3979">
            <v>0</v>
          </cell>
          <cell r="C3979">
            <v>0</v>
          </cell>
          <cell r="D3979" t="e">
            <v>#VALUE!</v>
          </cell>
          <cell r="E3979" t="e">
            <v>#VALUE!</v>
          </cell>
          <cell r="F3979">
            <v>0</v>
          </cell>
        </row>
        <row r="3980">
          <cell r="A3980" t="str">
            <v>RPC8SK5A</v>
          </cell>
          <cell r="B3980">
            <v>0</v>
          </cell>
          <cell r="C3980">
            <v>0</v>
          </cell>
          <cell r="D3980" t="e">
            <v>#VALUE!</v>
          </cell>
          <cell r="E3980" t="e">
            <v>#VALUE!</v>
          </cell>
          <cell r="F3980">
            <v>0</v>
          </cell>
        </row>
        <row r="3981">
          <cell r="A3981" t="str">
            <v>RPC8SK6A</v>
          </cell>
          <cell r="B3981">
            <v>2.8940827451424098E-10</v>
          </cell>
          <cell r="C3981">
            <v>0</v>
          </cell>
          <cell r="D3981" t="e">
            <v>#VALUE!</v>
          </cell>
          <cell r="E3981" t="e">
            <v>#VALUE!</v>
          </cell>
          <cell r="F3981">
            <v>0</v>
          </cell>
        </row>
        <row r="3982">
          <cell r="A3982" t="str">
            <v>RPC8SK7A</v>
          </cell>
          <cell r="B3982">
            <v>-7.1255667410708793E-6</v>
          </cell>
          <cell r="C3982">
            <v>0</v>
          </cell>
          <cell r="D3982" t="e">
            <v>#VALUE!</v>
          </cell>
          <cell r="E3982" t="e">
            <v>#VALUE!</v>
          </cell>
          <cell r="F3982">
            <v>0</v>
          </cell>
        </row>
        <row r="3983">
          <cell r="A3983" t="str">
            <v>RPC8NLPA</v>
          </cell>
          <cell r="B3983">
            <v>-1.8550368195737726E-3</v>
          </cell>
          <cell r="C3983">
            <v>0</v>
          </cell>
          <cell r="D3983" t="e">
            <v>#VALUE!</v>
          </cell>
          <cell r="E3983" t="e">
            <v>#VALUE!</v>
          </cell>
          <cell r="F3983">
            <v>0</v>
          </cell>
        </row>
        <row r="3984">
          <cell r="A3984" t="str">
            <v>RPC8FHTA</v>
          </cell>
          <cell r="B3984">
            <v>-2.3614613268214832E-4</v>
          </cell>
          <cell r="C3984">
            <v>0</v>
          </cell>
          <cell r="D3984" t="e">
            <v>#VALUE!</v>
          </cell>
          <cell r="E3984" t="e">
            <v>#VALUE!</v>
          </cell>
          <cell r="F3984">
            <v>0</v>
          </cell>
        </row>
        <row r="3985">
          <cell r="A3985" t="str">
            <v>RPC8NHTA</v>
          </cell>
          <cell r="B3985">
            <v>-4.923101730863181E-4</v>
          </cell>
          <cell r="C3985">
            <v>0</v>
          </cell>
          <cell r="D3985" t="e">
            <v>#VALUE!</v>
          </cell>
          <cell r="E3985" t="e">
            <v>#VALUE!</v>
          </cell>
          <cell r="F3985">
            <v>0</v>
          </cell>
        </row>
        <row r="3986">
          <cell r="A3986" t="str">
            <v>RARTPA1A</v>
          </cell>
          <cell r="B3986">
            <v>0</v>
          </cell>
          <cell r="C3986">
            <v>0</v>
          </cell>
          <cell r="D3986" t="e">
            <v>#VALUE!</v>
          </cell>
          <cell r="E3986" t="e">
            <v>#VALUE!</v>
          </cell>
          <cell r="F3986">
            <v>0</v>
          </cell>
        </row>
        <row r="3987">
          <cell r="A3987" t="str">
            <v>RARTPA2A</v>
          </cell>
          <cell r="B3987">
            <v>0</v>
          </cell>
          <cell r="C3987">
            <v>0</v>
          </cell>
          <cell r="D3987" t="e">
            <v>#VALUE!</v>
          </cell>
          <cell r="E3987" t="e">
            <v>#VALUE!</v>
          </cell>
          <cell r="F3987">
            <v>0</v>
          </cell>
        </row>
        <row r="3988">
          <cell r="A3988" t="str">
            <v>RARTPA3A</v>
          </cell>
          <cell r="B3988">
            <v>3.7525557328417438E-4</v>
          </cell>
          <cell r="C3988">
            <v>0</v>
          </cell>
          <cell r="D3988" t="e">
            <v>#VALUE!</v>
          </cell>
          <cell r="E3988" t="e">
            <v>#VALUE!</v>
          </cell>
          <cell r="F3988">
            <v>0</v>
          </cell>
        </row>
        <row r="3989">
          <cell r="A3989" t="str">
            <v>RARTPA4A</v>
          </cell>
          <cell r="B3989">
            <v>5.7045908479641148E-4</v>
          </cell>
          <cell r="C3989">
            <v>0</v>
          </cell>
          <cell r="D3989" t="e">
            <v>#VALUE!</v>
          </cell>
          <cell r="E3989" t="e">
            <v>#VALUE!</v>
          </cell>
          <cell r="F3989">
            <v>0</v>
          </cell>
        </row>
        <row r="3990">
          <cell r="A3990" t="str">
            <v>RARTPB1A</v>
          </cell>
          <cell r="B3990">
            <v>0</v>
          </cell>
          <cell r="C3990">
            <v>0</v>
          </cell>
          <cell r="D3990" t="e">
            <v>#VALUE!</v>
          </cell>
          <cell r="E3990" t="e">
            <v>#VALUE!</v>
          </cell>
          <cell r="F3990">
            <v>0</v>
          </cell>
        </row>
        <row r="3991">
          <cell r="A3991" t="str">
            <v>RARTPB2A</v>
          </cell>
          <cell r="B3991">
            <v>0</v>
          </cell>
          <cell r="C3991">
            <v>0</v>
          </cell>
          <cell r="D3991" t="e">
            <v>#VALUE!</v>
          </cell>
          <cell r="E3991" t="e">
            <v>#VALUE!</v>
          </cell>
          <cell r="F3991">
            <v>0</v>
          </cell>
        </row>
        <row r="3992">
          <cell r="A3992" t="str">
            <v>RARTPB3A</v>
          </cell>
          <cell r="B3992">
            <v>3.869583360589275E-4</v>
          </cell>
          <cell r="C3992">
            <v>0</v>
          </cell>
          <cell r="D3992" t="e">
            <v>#VALUE!</v>
          </cell>
          <cell r="E3992" t="e">
            <v>#VALUE!</v>
          </cell>
          <cell r="F3992">
            <v>0</v>
          </cell>
        </row>
        <row r="3993">
          <cell r="A3993" t="str">
            <v>RARTPB4A</v>
          </cell>
          <cell r="B3993">
            <v>1.5872501559822749E-4</v>
          </cell>
          <cell r="C3993">
            <v>0</v>
          </cell>
          <cell r="D3993" t="e">
            <v>#VALUE!</v>
          </cell>
          <cell r="E3993" t="e">
            <v>#VALUE!</v>
          </cell>
          <cell r="F3993">
            <v>0</v>
          </cell>
        </row>
        <row r="3994">
          <cell r="A3994" t="str">
            <v>RARTRFAA</v>
          </cell>
          <cell r="B3994">
            <v>-5.9468789076076159E-4</v>
          </cell>
          <cell r="C3994">
            <v>0</v>
          </cell>
          <cell r="D3994" t="e">
            <v>#VALUE!</v>
          </cell>
          <cell r="E3994" t="e">
            <v>#VALUE!</v>
          </cell>
          <cell r="F3994">
            <v>0</v>
          </cell>
        </row>
        <row r="3995">
          <cell r="A3995" t="str">
            <v>RARTRFBA</v>
          </cell>
          <cell r="B3995">
            <v>6.993646459966541E-5</v>
          </cell>
          <cell r="C3995">
            <v>0</v>
          </cell>
          <cell r="D3995" t="e">
            <v>#VALUE!</v>
          </cell>
          <cell r="E3995" t="e">
            <v>#VALUE!</v>
          </cell>
          <cell r="F3995">
            <v>0</v>
          </cell>
        </row>
        <row r="3996">
          <cell r="A3996" t="str">
            <v>RARTRFHA</v>
          </cell>
          <cell r="B3996">
            <v>9.6442671674345571E-4</v>
          </cell>
          <cell r="C3996">
            <v>0</v>
          </cell>
          <cell r="D3996" t="e">
            <v>#VALUE!</v>
          </cell>
          <cell r="E3996" t="e">
            <v>#VALUE!</v>
          </cell>
          <cell r="F3996">
            <v>0</v>
          </cell>
        </row>
        <row r="3997">
          <cell r="A3997" t="str">
            <v>RARTRFFA</v>
          </cell>
          <cell r="B3997">
            <v>-1.8105755682009746E-3</v>
          </cell>
          <cell r="C3997">
            <v>0</v>
          </cell>
          <cell r="D3997" t="e">
            <v>#VALUE!</v>
          </cell>
          <cell r="E3997" t="e">
            <v>#VALUE!</v>
          </cell>
          <cell r="F3997">
            <v>0</v>
          </cell>
        </row>
        <row r="3998">
          <cell r="A3998" t="str">
            <v>RARTSPXA</v>
          </cell>
          <cell r="B3998">
            <v>1.5712396414354062E-4</v>
          </cell>
          <cell r="C3998">
            <v>0</v>
          </cell>
          <cell r="D3998" t="e">
            <v>#VALUE!</v>
          </cell>
          <cell r="E3998" t="e">
            <v>#VALUE!</v>
          </cell>
          <cell r="F3998">
            <v>0</v>
          </cell>
        </row>
        <row r="3999">
          <cell r="A3999" t="str">
            <v>RNP9PN1A</v>
          </cell>
          <cell r="B3999">
            <v>-4.8558538453593653E-6</v>
          </cell>
          <cell r="C3999">
            <v>0</v>
          </cell>
          <cell r="D3999" t="e">
            <v>#VALUE!</v>
          </cell>
          <cell r="E3999" t="e">
            <v>#VALUE!</v>
          </cell>
          <cell r="F3999">
            <v>0</v>
          </cell>
        </row>
        <row r="4000">
          <cell r="A4000" t="str">
            <v>RNP9PN2A</v>
          </cell>
          <cell r="B4000">
            <v>0</v>
          </cell>
          <cell r="C4000">
            <v>0</v>
          </cell>
          <cell r="D4000" t="e">
            <v>#VALUE!</v>
          </cell>
          <cell r="E4000" t="e">
            <v>#VALUE!</v>
          </cell>
          <cell r="F4000">
            <v>0</v>
          </cell>
        </row>
        <row r="4001">
          <cell r="A4001" t="str">
            <v>RNP9PN3A</v>
          </cell>
          <cell r="B4001">
            <v>0</v>
          </cell>
          <cell r="C4001">
            <v>0</v>
          </cell>
          <cell r="D4001" t="e">
            <v>#VALUE!</v>
          </cell>
          <cell r="E4001" t="e">
            <v>#VALUE!</v>
          </cell>
          <cell r="F4001">
            <v>0</v>
          </cell>
        </row>
        <row r="4002">
          <cell r="A4002" t="str">
            <v>RNP9PN4A</v>
          </cell>
          <cell r="B4002">
            <v>-9.2539940664683441E-6</v>
          </cell>
          <cell r="C4002">
            <v>0</v>
          </cell>
          <cell r="D4002" t="e">
            <v>#VALUE!</v>
          </cell>
          <cell r="E4002" t="e">
            <v>#VALUE!</v>
          </cell>
          <cell r="F4002">
            <v>0</v>
          </cell>
        </row>
        <row r="4003">
          <cell r="A4003" t="str">
            <v>RNP9SK1A</v>
          </cell>
          <cell r="B4003">
            <v>0</v>
          </cell>
          <cell r="C4003">
            <v>0</v>
          </cell>
          <cell r="D4003" t="e">
            <v>#VALUE!</v>
          </cell>
          <cell r="E4003" t="e">
            <v>#VALUE!</v>
          </cell>
          <cell r="F4003">
            <v>0</v>
          </cell>
        </row>
        <row r="4004">
          <cell r="A4004" t="str">
            <v>RNP9SK2A</v>
          </cell>
          <cell r="B4004">
            <v>-2.1710742059863836E-6</v>
          </cell>
          <cell r="C4004">
            <v>0</v>
          </cell>
          <cell r="D4004" t="e">
            <v>#VALUE!</v>
          </cell>
          <cell r="E4004" t="e">
            <v>#VALUE!</v>
          </cell>
          <cell r="F4004">
            <v>0</v>
          </cell>
        </row>
        <row r="4005">
          <cell r="A4005" t="str">
            <v>RNP9SK3A</v>
          </cell>
          <cell r="B4005">
            <v>0</v>
          </cell>
          <cell r="C4005">
            <v>0</v>
          </cell>
          <cell r="D4005" t="e">
            <v>#VALUE!</v>
          </cell>
          <cell r="E4005" t="e">
            <v>#VALUE!</v>
          </cell>
          <cell r="F4005">
            <v>0</v>
          </cell>
        </row>
        <row r="4006">
          <cell r="A4006" t="str">
            <v>RNP9SK5A</v>
          </cell>
          <cell r="B4006">
            <v>0</v>
          </cell>
          <cell r="C4006">
            <v>0</v>
          </cell>
          <cell r="D4006" t="e">
            <v>#VALUE!</v>
          </cell>
          <cell r="E4006" t="e">
            <v>#VALUE!</v>
          </cell>
          <cell r="F4006">
            <v>0</v>
          </cell>
        </row>
        <row r="4007">
          <cell r="A4007" t="str">
            <v>RNP9SK6A</v>
          </cell>
          <cell r="B4007">
            <v>2.2120377903818491E-11</v>
          </cell>
          <cell r="C4007">
            <v>0</v>
          </cell>
          <cell r="D4007" t="e">
            <v>#VALUE!</v>
          </cell>
          <cell r="E4007" t="e">
            <v>#VALUE!</v>
          </cell>
          <cell r="F4007">
            <v>0</v>
          </cell>
        </row>
        <row r="4008">
          <cell r="A4008" t="str">
            <v>RNP9SK7A</v>
          </cell>
          <cell r="B4008">
            <v>0</v>
          </cell>
          <cell r="C4008">
            <v>0</v>
          </cell>
          <cell r="D4008" t="e">
            <v>#VALUE!</v>
          </cell>
          <cell r="E4008" t="e">
            <v>#VALUE!</v>
          </cell>
          <cell r="F4008">
            <v>0</v>
          </cell>
        </row>
        <row r="4009">
          <cell r="A4009" t="str">
            <v>RNP9NLPA</v>
          </cell>
          <cell r="B4009">
            <v>2.106874089804478E-4</v>
          </cell>
          <cell r="C4009">
            <v>0</v>
          </cell>
          <cell r="D4009" t="e">
            <v>#VALUE!</v>
          </cell>
          <cell r="E4009" t="e">
            <v>#VALUE!</v>
          </cell>
          <cell r="F4009">
            <v>0</v>
          </cell>
        </row>
        <row r="4010">
          <cell r="A4010" t="str">
            <v>RNP9FHTA</v>
          </cell>
          <cell r="B4010">
            <v>3.8526436173675417E-4</v>
          </cell>
          <cell r="C4010">
            <v>0</v>
          </cell>
          <cell r="D4010" t="e">
            <v>#VALUE!</v>
          </cell>
          <cell r="E4010" t="e">
            <v>#VALUE!</v>
          </cell>
          <cell r="F4010">
            <v>0</v>
          </cell>
        </row>
        <row r="4011">
          <cell r="A4011" t="str">
            <v>RNP9NHTA</v>
          </cell>
          <cell r="B4011">
            <v>3.3087600586596849E-4</v>
          </cell>
          <cell r="C4011">
            <v>0</v>
          </cell>
          <cell r="D4011" t="e">
            <v>#VALUE!</v>
          </cell>
          <cell r="E4011" t="e">
            <v>#VALUE!</v>
          </cell>
          <cell r="F4011">
            <v>0</v>
          </cell>
        </row>
        <row r="4012">
          <cell r="A4012" t="str">
            <v>RVLINBOA</v>
          </cell>
          <cell r="B4012">
            <v>2.3228997796812185E-4</v>
          </cell>
          <cell r="C4012">
            <v>0</v>
          </cell>
          <cell r="D4012" t="e">
            <v>#VALUE!</v>
          </cell>
          <cell r="E4012" t="e">
            <v>#VALUE!</v>
          </cell>
          <cell r="F4012">
            <v>0</v>
          </cell>
        </row>
        <row r="4013">
          <cell r="A4013" t="str">
            <v>RVLICAMA</v>
          </cell>
          <cell r="B4013">
            <v>0</v>
          </cell>
          <cell r="C4013">
            <v>0</v>
          </cell>
          <cell r="D4013" t="e">
            <v>#VALUE!</v>
          </cell>
          <cell r="E4013" t="e">
            <v>#VALUE!</v>
          </cell>
          <cell r="F4013">
            <v>0</v>
          </cell>
        </row>
        <row r="4014">
          <cell r="A4014" t="str">
            <v>RVLIT14A</v>
          </cell>
          <cell r="B4014">
            <v>-1.2094539636108157E-2</v>
          </cell>
          <cell r="C4014">
            <v>0</v>
          </cell>
          <cell r="D4014" t="e">
            <v>#VALUE!</v>
          </cell>
          <cell r="E4014" t="e">
            <v>#VALUE!</v>
          </cell>
          <cell r="F4014">
            <v>0</v>
          </cell>
        </row>
        <row r="4015">
          <cell r="A4015" t="str">
            <v>RVLINCAA</v>
          </cell>
          <cell r="B4015">
            <v>9.5576819383271349E-3</v>
          </cell>
          <cell r="C4015">
            <v>0</v>
          </cell>
          <cell r="D4015" t="e">
            <v>#VALUE!</v>
          </cell>
          <cell r="E4015" t="e">
            <v>#VALUE!</v>
          </cell>
          <cell r="F4015">
            <v>0</v>
          </cell>
        </row>
        <row r="4016">
          <cell r="A4016" t="str">
            <v>PURCCCCB</v>
          </cell>
          <cell r="B4016">
            <v>8.7600070117271116</v>
          </cell>
          <cell r="C4016">
            <v>-1</v>
          </cell>
          <cell r="D4016" t="e">
            <v>#VALUE!</v>
          </cell>
          <cell r="E4016" t="e">
            <v>#VALUE!</v>
          </cell>
          <cell r="F4016">
            <v>0</v>
          </cell>
        </row>
        <row r="4017">
          <cell r="A4017" t="str">
            <v>PURCRIVB</v>
          </cell>
          <cell r="B4017">
            <v>21.626875111828113</v>
          </cell>
          <cell r="C4017">
            <v>-3.5996001213788986E-2</v>
          </cell>
          <cell r="D4017" t="e">
            <v>#VALUE!</v>
          </cell>
          <cell r="E4017" t="e">
            <v>#VALUE!</v>
          </cell>
          <cell r="F4017">
            <v>0</v>
          </cell>
        </row>
        <row r="4018">
          <cell r="A4018" t="str">
            <v>PURCTEEB</v>
          </cell>
          <cell r="B4018">
            <v>321.72943131956333</v>
          </cell>
          <cell r="C4018">
            <v>-1.4206299558281898E-2</v>
          </cell>
          <cell r="D4018" t="e">
            <v>#VALUE!</v>
          </cell>
          <cell r="E4018" t="e">
            <v>#VALUE!</v>
          </cell>
          <cell r="F4018">
            <v>0</v>
          </cell>
        </row>
        <row r="4019">
          <cell r="A4019" t="str">
            <v>PURCHFAB</v>
          </cell>
          <cell r="B4019">
            <v>7.9225340383510062E-2</v>
          </cell>
          <cell r="C4019">
            <v>-1</v>
          </cell>
          <cell r="D4019" t="e">
            <v>#VALUE!</v>
          </cell>
          <cell r="E4019" t="e">
            <v>#VALUE!</v>
          </cell>
          <cell r="F4019">
            <v>0</v>
          </cell>
        </row>
        <row r="4020">
          <cell r="A4020" t="str">
            <v>PURCAOXB</v>
          </cell>
          <cell r="B4020">
            <v>1.6900735939151211E-3</v>
          </cell>
          <cell r="C4020">
            <v>-8.4499998092651367</v>
          </cell>
          <cell r="D4020" t="e">
            <v>#VALUE!</v>
          </cell>
          <cell r="E4020" t="e">
            <v>#VALUE!</v>
          </cell>
          <cell r="F4020">
            <v>0</v>
          </cell>
        </row>
        <row r="4021">
          <cell r="A4021" t="str">
            <v>PURCSTMB</v>
          </cell>
          <cell r="B4021">
            <v>3.3420000076293945</v>
          </cell>
          <cell r="C4021">
            <v>-7.0999999046325684</v>
          </cell>
          <cell r="D4021" t="e">
            <v>#VALUE!</v>
          </cell>
          <cell r="E4021" t="e">
            <v>#VALUE!</v>
          </cell>
          <cell r="F4021">
            <v>-3.6882557437844472</v>
          </cell>
        </row>
        <row r="4022">
          <cell r="A4022" t="str">
            <v>PURCWATB</v>
          </cell>
          <cell r="B4022">
            <v>0</v>
          </cell>
          <cell r="C4022">
            <v>-0.25446599721908569</v>
          </cell>
          <cell r="D4022" t="e">
            <v>#VALUE!</v>
          </cell>
          <cell r="E4022" t="e">
            <v>#VALUE!</v>
          </cell>
          <cell r="F4022">
            <v>-0.21842429041862488</v>
          </cell>
        </row>
        <row r="4023">
          <cell r="A4023" t="str">
            <v>PURCH2OB</v>
          </cell>
          <cell r="B4023">
            <v>0</v>
          </cell>
          <cell r="C4023">
            <v>-8.4260199218988419E-3</v>
          </cell>
          <cell r="D4023" t="e">
            <v>#VALUE!</v>
          </cell>
          <cell r="E4023" t="e">
            <v>#VALUE!</v>
          </cell>
          <cell r="F4023">
            <v>-6.8476488813757896E-3</v>
          </cell>
        </row>
        <row r="4024">
          <cell r="A4024" t="str">
            <v>PURCFULB</v>
          </cell>
          <cell r="B4024">
            <v>0</v>
          </cell>
          <cell r="C4024">
            <v>0</v>
          </cell>
          <cell r="D4024" t="e">
            <v>#VALUE!</v>
          </cell>
          <cell r="E4024" t="e">
            <v>#VALUE!</v>
          </cell>
          <cell r="F4024">
            <v>46.123294328663448</v>
          </cell>
        </row>
        <row r="4025">
          <cell r="A4025" t="str">
            <v>FBLNPTCB</v>
          </cell>
          <cell r="B4025">
            <v>0.43465147426683609</v>
          </cell>
          <cell r="C4025">
            <v>0</v>
          </cell>
          <cell r="D4025" t="e">
            <v>#VALUE!</v>
          </cell>
          <cell r="E4025" t="e">
            <v>#VALUE!</v>
          </cell>
          <cell r="F4025">
            <v>0</v>
          </cell>
        </row>
        <row r="4026">
          <cell r="A4026" t="str">
            <v>FBLNNFCB</v>
          </cell>
          <cell r="B4026">
            <v>3.2876699697226286E-3</v>
          </cell>
          <cell r="C4026">
            <v>0</v>
          </cell>
          <cell r="D4026">
            <v>0</v>
          </cell>
          <cell r="E4026" t="e">
            <v>#VALUE!</v>
          </cell>
          <cell r="F4026">
            <v>0</v>
          </cell>
        </row>
        <row r="4027">
          <cell r="A4027" t="str">
            <v>FBLNPASB</v>
          </cell>
          <cell r="B4027">
            <v>0</v>
          </cell>
          <cell r="C4027">
            <v>0</v>
          </cell>
          <cell r="D4027">
            <v>0</v>
          </cell>
          <cell r="E4027" t="e">
            <v>#VALUE!</v>
          </cell>
          <cell r="F4027">
            <v>0</v>
          </cell>
        </row>
        <row r="4028">
          <cell r="A4028" t="str">
            <v>BVBLFCCB</v>
          </cell>
          <cell r="B4028">
            <v>4.7541428670703562E-11</v>
          </cell>
          <cell r="C4028">
            <v>0</v>
          </cell>
          <cell r="D4028">
            <v>0</v>
          </cell>
          <cell r="E4028" t="e">
            <v>#VALUE!</v>
          </cell>
          <cell r="F4028">
            <v>0</v>
          </cell>
        </row>
        <row r="4029">
          <cell r="A4029" t="str">
            <v>BWBLFCCB</v>
          </cell>
          <cell r="B4029">
            <v>-8.1451782212521807E-14</v>
          </cell>
          <cell r="C4029">
            <v>0</v>
          </cell>
          <cell r="D4029">
            <v>0</v>
          </cell>
          <cell r="E4029" t="e">
            <v>#VALUE!</v>
          </cell>
          <cell r="F4029">
            <v>-103.55185396377354</v>
          </cell>
        </row>
        <row r="4030">
          <cell r="A4030" t="str">
            <v>BVBLPRDB</v>
          </cell>
          <cell r="B4030">
            <v>0.18913420732707192</v>
          </cell>
          <cell r="C4030">
            <v>0</v>
          </cell>
          <cell r="D4030">
            <v>0</v>
          </cell>
          <cell r="E4030" t="e">
            <v>#VALUE!</v>
          </cell>
          <cell r="F4030">
            <v>0</v>
          </cell>
        </row>
        <row r="4031">
          <cell r="A4031" t="str">
            <v>BWBLPRDB</v>
          </cell>
          <cell r="B4031">
            <v>9.6023438523893487E-2</v>
          </cell>
          <cell r="C4031">
            <v>0</v>
          </cell>
          <cell r="D4031">
            <v>0</v>
          </cell>
          <cell r="E4031" t="e">
            <v>#VALUE!</v>
          </cell>
          <cell r="F4031">
            <v>0</v>
          </cell>
        </row>
        <row r="4032">
          <cell r="A4032" t="str">
            <v>BVBLBTDB</v>
          </cell>
          <cell r="B4032">
            <v>0.26447386219076913</v>
          </cell>
          <cell r="C4032">
            <v>0</v>
          </cell>
          <cell r="D4032">
            <v>0</v>
          </cell>
          <cell r="E4032" t="e">
            <v>#VALUE!</v>
          </cell>
          <cell r="F4032">
            <v>0</v>
          </cell>
        </row>
        <row r="4033">
          <cell r="A4033" t="str">
            <v>BWBLBTDB</v>
          </cell>
          <cell r="B4033">
            <v>0.15525260979998601</v>
          </cell>
          <cell r="C4033">
            <v>0</v>
          </cell>
          <cell r="D4033">
            <v>0</v>
          </cell>
          <cell r="E4033" t="e">
            <v>#VALUE!</v>
          </cell>
          <cell r="F4033">
            <v>0</v>
          </cell>
        </row>
        <row r="4034">
          <cell r="A4034" t="str">
            <v>BVBLNACB</v>
          </cell>
          <cell r="B4034">
            <v>0.22816100251184751</v>
          </cell>
          <cell r="C4034">
            <v>0</v>
          </cell>
          <cell r="D4034">
            <v>0</v>
          </cell>
          <cell r="E4034" t="e">
            <v>#VALUE!</v>
          </cell>
          <cell r="F4034">
            <v>0</v>
          </cell>
        </row>
        <row r="4035">
          <cell r="A4035" t="str">
            <v>BWBLNACB</v>
          </cell>
          <cell r="B4035">
            <v>0.15924736020499713</v>
          </cell>
          <cell r="C4035">
            <v>0</v>
          </cell>
          <cell r="D4035">
            <v>0</v>
          </cell>
          <cell r="E4035" t="e">
            <v>#VALUE!</v>
          </cell>
          <cell r="F4035">
            <v>0</v>
          </cell>
        </row>
        <row r="4036">
          <cell r="A4036" t="str">
            <v>BVBLNASB</v>
          </cell>
          <cell r="B4036">
            <v>1.429747179436357</v>
          </cell>
          <cell r="C4036">
            <v>0</v>
          </cell>
          <cell r="D4036">
            <v>0</v>
          </cell>
          <cell r="E4036" t="e">
            <v>#VALUE!</v>
          </cell>
          <cell r="F4036">
            <v>0</v>
          </cell>
        </row>
        <row r="4037">
          <cell r="A4037" t="str">
            <v>BWBLNASB</v>
          </cell>
          <cell r="B4037">
            <v>1.0720913653504358</v>
          </cell>
          <cell r="C4037">
            <v>0</v>
          </cell>
          <cell r="D4037">
            <v>0</v>
          </cell>
          <cell r="E4037" t="e">
            <v>#VALUE!</v>
          </cell>
          <cell r="F4037">
            <v>0</v>
          </cell>
        </row>
        <row r="4038">
          <cell r="A4038" t="str">
            <v>BVBLN83B</v>
          </cell>
          <cell r="B4038">
            <v>2.2387930550522909E-12</v>
          </cell>
          <cell r="C4038">
            <v>0</v>
          </cell>
          <cell r="D4038">
            <v>0</v>
          </cell>
          <cell r="E4038" t="e">
            <v>#VALUE!</v>
          </cell>
          <cell r="F4038">
            <v>-147.16335633160315</v>
          </cell>
        </row>
        <row r="4039">
          <cell r="A4039" t="str">
            <v>BWBLN83B</v>
          </cell>
          <cell r="B4039">
            <v>0</v>
          </cell>
          <cell r="C4039">
            <v>0</v>
          </cell>
          <cell r="D4039">
            <v>0</v>
          </cell>
          <cell r="E4039" t="e">
            <v>#VALUE!</v>
          </cell>
          <cell r="F4039">
            <v>-117.83297436857876</v>
          </cell>
        </row>
        <row r="4040">
          <cell r="A4040" t="str">
            <v>BVBLNECB</v>
          </cell>
          <cell r="B4040">
            <v>1.2666772179407617</v>
          </cell>
          <cell r="C4040">
            <v>0</v>
          </cell>
          <cell r="D4040">
            <v>0</v>
          </cell>
          <cell r="E4040" t="e">
            <v>#VALUE!</v>
          </cell>
          <cell r="F4040">
            <v>0</v>
          </cell>
        </row>
        <row r="4041">
          <cell r="A4041" t="str">
            <v>BWBLNECB</v>
          </cell>
          <cell r="B4041">
            <v>0.94700807218682281</v>
          </cell>
          <cell r="C4041">
            <v>0</v>
          </cell>
          <cell r="D4041">
            <v>0</v>
          </cell>
          <cell r="E4041" t="e">
            <v>#VALUE!</v>
          </cell>
          <cell r="F4041">
            <v>0</v>
          </cell>
        </row>
        <row r="4042">
          <cell r="A4042" t="str">
            <v>BVBLNE2B</v>
          </cell>
          <cell r="B4042">
            <v>0</v>
          </cell>
          <cell r="C4042">
            <v>0</v>
          </cell>
          <cell r="D4042">
            <v>0</v>
          </cell>
          <cell r="E4042" t="e">
            <v>#VALUE!</v>
          </cell>
          <cell r="F4042">
            <v>-83.55052540400257</v>
          </cell>
        </row>
        <row r="4043">
          <cell r="A4043" t="str">
            <v>BWBLNE2B</v>
          </cell>
          <cell r="B4043">
            <v>0</v>
          </cell>
          <cell r="C4043">
            <v>0</v>
          </cell>
          <cell r="D4043">
            <v>0</v>
          </cell>
          <cell r="E4043" t="e">
            <v>#VALUE!</v>
          </cell>
          <cell r="F4043">
            <v>-122.7697185359589</v>
          </cell>
        </row>
        <row r="4044">
          <cell r="A4044" t="str">
            <v>BVBLNE7B</v>
          </cell>
          <cell r="B4044">
            <v>0.90413319672623726</v>
          </cell>
          <cell r="C4044">
            <v>0</v>
          </cell>
          <cell r="D4044">
            <v>0</v>
          </cell>
          <cell r="E4044" t="e">
            <v>#VALUE!</v>
          </cell>
          <cell r="F4044">
            <v>0</v>
          </cell>
        </row>
        <row r="4045">
          <cell r="A4045" t="str">
            <v>BWBLNE7B</v>
          </cell>
          <cell r="B4045">
            <v>0.63870119754582233</v>
          </cell>
          <cell r="C4045">
            <v>0</v>
          </cell>
          <cell r="D4045">
            <v>0</v>
          </cell>
          <cell r="E4045" t="e">
            <v>#VALUE!</v>
          </cell>
          <cell r="F4045">
            <v>0</v>
          </cell>
        </row>
        <row r="4046">
          <cell r="A4046" t="str">
            <v>BVBLNE8B</v>
          </cell>
          <cell r="B4046">
            <v>0</v>
          </cell>
          <cell r="C4046">
            <v>0</v>
          </cell>
          <cell r="D4046">
            <v>0</v>
          </cell>
          <cell r="E4046" t="e">
            <v>#VALUE!</v>
          </cell>
          <cell r="F4046">
            <v>-234.53915526507652</v>
          </cell>
        </row>
        <row r="4047">
          <cell r="A4047" t="str">
            <v>BWBLNE8B</v>
          </cell>
          <cell r="B4047">
            <v>0</v>
          </cell>
          <cell r="C4047">
            <v>0</v>
          </cell>
          <cell r="D4047">
            <v>0</v>
          </cell>
          <cell r="E4047" t="e">
            <v>#VALUE!</v>
          </cell>
          <cell r="F4047">
            <v>0</v>
          </cell>
        </row>
        <row r="4048">
          <cell r="A4048" t="str">
            <v>BVBLNE9B</v>
          </cell>
          <cell r="B4048">
            <v>4.8232140219977597E-6</v>
          </cell>
          <cell r="C4048">
            <v>0</v>
          </cell>
          <cell r="D4048">
            <v>0</v>
          </cell>
          <cell r="E4048" t="e">
            <v>#VALUE!</v>
          </cell>
          <cell r="F4048">
            <v>0</v>
          </cell>
        </row>
        <row r="4049">
          <cell r="A4049" t="str">
            <v>BWBLNE9B</v>
          </cell>
          <cell r="B4049">
            <v>6.3209857852261973E-7</v>
          </cell>
          <cell r="C4049">
            <v>0</v>
          </cell>
          <cell r="D4049">
            <v>0</v>
          </cell>
          <cell r="E4049" t="e">
            <v>#VALUE!</v>
          </cell>
          <cell r="F4049">
            <v>-238.2506862692637</v>
          </cell>
        </row>
        <row r="4050">
          <cell r="A4050" t="str">
            <v>BVBLJETB</v>
          </cell>
          <cell r="B4050">
            <v>0.34705034249449429</v>
          </cell>
          <cell r="C4050">
            <v>0</v>
          </cell>
          <cell r="D4050">
            <v>0</v>
          </cell>
          <cell r="E4050" t="e">
            <v>#VALUE!</v>
          </cell>
          <cell r="F4050">
            <v>0</v>
          </cell>
        </row>
        <row r="4051">
          <cell r="A4051" t="str">
            <v>BWBLJETB</v>
          </cell>
          <cell r="B4051">
            <v>0.27926732522167569</v>
          </cell>
          <cell r="C4051">
            <v>0</v>
          </cell>
          <cell r="D4051">
            <v>0</v>
          </cell>
          <cell r="E4051" t="e">
            <v>#VALUE!</v>
          </cell>
          <cell r="F4051">
            <v>0</v>
          </cell>
        </row>
        <row r="4052">
          <cell r="A4052" t="str">
            <v>BVBLKERB</v>
          </cell>
          <cell r="B4052">
            <v>-7.5849476409561707E-14</v>
          </cell>
          <cell r="C4052">
            <v>0</v>
          </cell>
          <cell r="D4052">
            <v>0</v>
          </cell>
          <cell r="E4052" t="e">
            <v>#VALUE!</v>
          </cell>
          <cell r="F4052">
            <v>0</v>
          </cell>
        </row>
        <row r="4053">
          <cell r="A4053" t="str">
            <v>BWBLKERB</v>
          </cell>
          <cell r="B4053">
            <v>1.0527333321570399E-12</v>
          </cell>
          <cell r="C4053">
            <v>0</v>
          </cell>
          <cell r="D4053">
            <v>0</v>
          </cell>
          <cell r="E4053" t="e">
            <v>#VALUE!</v>
          </cell>
          <cell r="F4053">
            <v>0</v>
          </cell>
        </row>
        <row r="4054">
          <cell r="A4054" t="str">
            <v>BVBLDSLB</v>
          </cell>
          <cell r="B4054">
            <v>-1.5984898336492042E-11</v>
          </cell>
          <cell r="C4054">
            <v>0</v>
          </cell>
          <cell r="D4054">
            <v>0</v>
          </cell>
          <cell r="E4054" t="e">
            <v>#VALUE!</v>
          </cell>
          <cell r="F4054">
            <v>0</v>
          </cell>
        </row>
        <row r="4055">
          <cell r="A4055" t="str">
            <v>BWBLDSLB</v>
          </cell>
          <cell r="B4055">
            <v>-1.5996555991926632E-11</v>
          </cell>
          <cell r="C4055">
            <v>0</v>
          </cell>
          <cell r="D4055">
            <v>0</v>
          </cell>
          <cell r="E4055" t="e">
            <v>#VALUE!</v>
          </cell>
          <cell r="F4055">
            <v>0</v>
          </cell>
        </row>
        <row r="4056">
          <cell r="A4056" t="str">
            <v>BVBLGOIB</v>
          </cell>
          <cell r="B4056">
            <v>4.2603574393546744</v>
          </cell>
          <cell r="C4056">
            <v>0</v>
          </cell>
          <cell r="D4056">
            <v>0</v>
          </cell>
          <cell r="E4056" t="e">
            <v>#VALUE!</v>
          </cell>
          <cell r="F4056">
            <v>0</v>
          </cell>
        </row>
        <row r="4057">
          <cell r="A4057" t="str">
            <v>BWBLGOIB</v>
          </cell>
          <cell r="B4057">
            <v>3.5643948339436151</v>
          </cell>
          <cell r="C4057">
            <v>0</v>
          </cell>
          <cell r="D4057">
            <v>0</v>
          </cell>
          <cell r="E4057" t="e">
            <v>#VALUE!</v>
          </cell>
          <cell r="F4057">
            <v>0</v>
          </cell>
        </row>
        <row r="4058">
          <cell r="A4058" t="str">
            <v>BVBLGOEB</v>
          </cell>
          <cell r="B4058">
            <v>1.0875219881241251E-9</v>
          </cell>
          <cell r="C4058">
            <v>0</v>
          </cell>
          <cell r="D4058">
            <v>0</v>
          </cell>
          <cell r="E4058" t="e">
            <v>#VALUE!</v>
          </cell>
          <cell r="F4058">
            <v>-190.92346392069777</v>
          </cell>
        </row>
        <row r="4059">
          <cell r="A4059" t="str">
            <v>BWBLGOEB</v>
          </cell>
          <cell r="B4059">
            <v>8.8945861189096534E-10</v>
          </cell>
          <cell r="C4059">
            <v>0</v>
          </cell>
          <cell r="D4059">
            <v>0</v>
          </cell>
          <cell r="E4059" t="e">
            <v>#VALUE!</v>
          </cell>
          <cell r="F4059">
            <v>0</v>
          </cell>
        </row>
        <row r="4060">
          <cell r="A4060" t="str">
            <v>BVBLGOMB</v>
          </cell>
          <cell r="B4060">
            <v>0.21369902001668328</v>
          </cell>
          <cell r="C4060">
            <v>0</v>
          </cell>
          <cell r="D4060">
            <v>0</v>
          </cell>
          <cell r="E4060" t="e">
            <v>#VALUE!</v>
          </cell>
          <cell r="F4060">
            <v>0</v>
          </cell>
        </row>
        <row r="4061">
          <cell r="A4061" t="str">
            <v>BWBLGOMB</v>
          </cell>
          <cell r="B4061">
            <v>0.17984789593579018</v>
          </cell>
          <cell r="C4061">
            <v>0</v>
          </cell>
          <cell r="D4061">
            <v>0</v>
          </cell>
          <cell r="E4061" t="e">
            <v>#VALUE!</v>
          </cell>
          <cell r="F4061">
            <v>0</v>
          </cell>
        </row>
        <row r="4062">
          <cell r="A4062" t="str">
            <v>BVBLGONB</v>
          </cell>
          <cell r="B4062">
            <v>4.9910658366059604</v>
          </cell>
          <cell r="C4062">
            <v>0</v>
          </cell>
          <cell r="D4062">
            <v>0</v>
          </cell>
          <cell r="E4062" t="e">
            <v>#VALUE!</v>
          </cell>
          <cell r="F4062">
            <v>0</v>
          </cell>
        </row>
        <row r="4063">
          <cell r="A4063" t="str">
            <v>BWBLGONB</v>
          </cell>
          <cell r="B4063">
            <v>4.1634011882625215</v>
          </cell>
          <cell r="C4063">
            <v>0</v>
          </cell>
          <cell r="D4063">
            <v>0</v>
          </cell>
          <cell r="E4063" t="e">
            <v>#VALUE!</v>
          </cell>
          <cell r="F4063">
            <v>0</v>
          </cell>
        </row>
        <row r="4064">
          <cell r="A4064" t="str">
            <v>BVBLGOPB</v>
          </cell>
          <cell r="B4064">
            <v>5.2320773512779621E-11</v>
          </cell>
          <cell r="C4064">
            <v>0</v>
          </cell>
          <cell r="D4064">
            <v>0</v>
          </cell>
          <cell r="E4064" t="e">
            <v>#VALUE!</v>
          </cell>
          <cell r="F4064">
            <v>0</v>
          </cell>
        </row>
        <row r="4065">
          <cell r="A4065" t="str">
            <v>BWBLGOPB</v>
          </cell>
          <cell r="B4065">
            <v>2.2302480923696525E-12</v>
          </cell>
          <cell r="C4065">
            <v>0</v>
          </cell>
          <cell r="D4065">
            <v>0</v>
          </cell>
          <cell r="E4065" t="e">
            <v>#VALUE!</v>
          </cell>
          <cell r="F4065">
            <v>-92.038626056827908</v>
          </cell>
        </row>
        <row r="4066">
          <cell r="A4066" t="str">
            <v>BVBLFOCB</v>
          </cell>
          <cell r="B4066">
            <v>7.4204121007562509E-6</v>
          </cell>
          <cell r="C4066">
            <v>0</v>
          </cell>
          <cell r="D4066">
            <v>0</v>
          </cell>
          <cell r="E4066" t="e">
            <v>#VALUE!</v>
          </cell>
          <cell r="F4066">
            <v>0</v>
          </cell>
        </row>
        <row r="4067">
          <cell r="A4067" t="str">
            <v>BWBLFOCB</v>
          </cell>
          <cell r="B4067">
            <v>8.5442628516506224E-7</v>
          </cell>
          <cell r="C4067">
            <v>0</v>
          </cell>
          <cell r="D4067">
            <v>0</v>
          </cell>
          <cell r="E4067" t="e">
            <v>#VALUE!</v>
          </cell>
          <cell r="F4067">
            <v>-233.9470075215379</v>
          </cell>
        </row>
        <row r="4068">
          <cell r="A4068" t="str">
            <v>BVBLCKEB</v>
          </cell>
          <cell r="B4068">
            <v>1.1712325060204283</v>
          </cell>
          <cell r="C4068">
            <v>0</v>
          </cell>
          <cell r="D4068">
            <v>0</v>
          </cell>
          <cell r="E4068" t="e">
            <v>#VALUE!</v>
          </cell>
          <cell r="F4068">
            <v>0</v>
          </cell>
        </row>
        <row r="4069">
          <cell r="A4069" t="str">
            <v>BWBLCKEB</v>
          </cell>
          <cell r="B4069">
            <v>1.0541092281472193</v>
          </cell>
          <cell r="C4069">
            <v>0</v>
          </cell>
          <cell r="D4069">
            <v>0</v>
          </cell>
          <cell r="E4069" t="e">
            <v>#VALUE!</v>
          </cell>
          <cell r="F4069">
            <v>0</v>
          </cell>
        </row>
        <row r="4070">
          <cell r="A4070" t="str">
            <v>BVBLCEEB</v>
          </cell>
          <cell r="B4070">
            <v>0</v>
          </cell>
          <cell r="C4070">
            <v>0</v>
          </cell>
          <cell r="D4070">
            <v>0</v>
          </cell>
          <cell r="E4070" t="e">
            <v>#VALUE!</v>
          </cell>
          <cell r="F4070">
            <v>0</v>
          </cell>
        </row>
        <row r="4071">
          <cell r="A4071" t="str">
            <v>BWBLCEEB</v>
          </cell>
          <cell r="B4071">
            <v>0</v>
          </cell>
          <cell r="C4071">
            <v>0</v>
          </cell>
          <cell r="D4071">
            <v>0</v>
          </cell>
          <cell r="E4071" t="e">
            <v>#VALUE!</v>
          </cell>
          <cell r="F4071">
            <v>0</v>
          </cell>
        </row>
        <row r="4072">
          <cell r="A4072" t="str">
            <v>BVBLHTJB</v>
          </cell>
          <cell r="B4072">
            <v>4.2765036631783008E-11</v>
          </cell>
          <cell r="C4072">
            <v>0</v>
          </cell>
          <cell r="D4072">
            <v>0</v>
          </cell>
          <cell r="E4072" t="e">
            <v>#VALUE!</v>
          </cell>
          <cell r="F4072">
            <v>0</v>
          </cell>
        </row>
        <row r="4073">
          <cell r="A4073" t="str">
            <v>BWBLHTJB</v>
          </cell>
          <cell r="B4073">
            <v>2.8115754195417475E-11</v>
          </cell>
          <cell r="C4073">
            <v>0</v>
          </cell>
          <cell r="D4073">
            <v>0</v>
          </cell>
          <cell r="E4073" t="e">
            <v>#VALUE!</v>
          </cell>
          <cell r="F4073">
            <v>-180.58447733839898</v>
          </cell>
        </row>
        <row r="4074">
          <cell r="A4074" t="str">
            <v>BVBLCRPB</v>
          </cell>
          <cell r="B4074">
            <v>9.9439405839129673E-12</v>
          </cell>
          <cell r="C4074">
            <v>0</v>
          </cell>
          <cell r="D4074">
            <v>0</v>
          </cell>
          <cell r="E4074" t="e">
            <v>#VALUE!</v>
          </cell>
          <cell r="F4074">
            <v>0</v>
          </cell>
        </row>
        <row r="4075">
          <cell r="A4075" t="str">
            <v>BWBLCRPB</v>
          </cell>
          <cell r="B4075">
            <v>1.989633254633563E-11</v>
          </cell>
          <cell r="C4075">
            <v>0</v>
          </cell>
          <cell r="D4075">
            <v>0</v>
          </cell>
          <cell r="E4075" t="e">
            <v>#VALUE!</v>
          </cell>
          <cell r="F4075">
            <v>-84.689151460830473</v>
          </cell>
        </row>
        <row r="4076">
          <cell r="A4076" t="str">
            <v>BVBLLVVB</v>
          </cell>
          <cell r="B4076">
            <v>-1.681489531897467E-12</v>
          </cell>
          <cell r="C4076">
            <v>0</v>
          </cell>
          <cell r="D4076">
            <v>0</v>
          </cell>
          <cell r="E4076" t="e">
            <v>#VALUE!</v>
          </cell>
          <cell r="F4076">
            <v>0</v>
          </cell>
        </row>
        <row r="4077">
          <cell r="A4077" t="str">
            <v>BWBLLVVB</v>
          </cell>
          <cell r="B4077">
            <v>-3.8903939679014155E-11</v>
          </cell>
          <cell r="C4077">
            <v>0</v>
          </cell>
          <cell r="D4077">
            <v>0</v>
          </cell>
          <cell r="E4077" t="e">
            <v>#VALUE!</v>
          </cell>
          <cell r="F4077">
            <v>0</v>
          </cell>
        </row>
        <row r="4078">
          <cell r="A4078" t="str">
            <v>BVBLNPTB</v>
          </cell>
          <cell r="B4078">
            <v>0</v>
          </cell>
          <cell r="C4078">
            <v>0</v>
          </cell>
          <cell r="D4078">
            <v>0</v>
          </cell>
          <cell r="E4078" t="e">
            <v>#VALUE!</v>
          </cell>
          <cell r="F4078">
            <v>-75.415715883855952</v>
          </cell>
        </row>
        <row r="4079">
          <cell r="A4079" t="str">
            <v>BWBLNPTB</v>
          </cell>
          <cell r="B4079">
            <v>0</v>
          </cell>
          <cell r="C4079">
            <v>0</v>
          </cell>
          <cell r="D4079">
            <v>0</v>
          </cell>
          <cell r="E4079" t="e">
            <v>#VALUE!</v>
          </cell>
          <cell r="F4079">
            <v>0</v>
          </cell>
        </row>
        <row r="4080">
          <cell r="A4080" t="str">
            <v>BLG3FCCB</v>
          </cell>
          <cell r="B4080">
            <v>-7.12454066487422E-14</v>
          </cell>
          <cell r="C4080">
            <v>0</v>
          </cell>
          <cell r="D4080">
            <v>0</v>
          </cell>
          <cell r="E4080" t="e">
            <v>#VALUE!</v>
          </cell>
          <cell r="F4080">
            <v>-103.87680754465599</v>
          </cell>
        </row>
        <row r="4081">
          <cell r="A4081" t="str">
            <v>BFC2FCCB</v>
          </cell>
          <cell r="B4081">
            <v>4.7612674077352305E-11</v>
          </cell>
          <cell r="C4081">
            <v>0</v>
          </cell>
          <cell r="D4081">
            <v>0</v>
          </cell>
          <cell r="E4081" t="e">
            <v>#VALUE!</v>
          </cell>
          <cell r="F4081">
            <v>-147.02975578830666</v>
          </cell>
        </row>
        <row r="4082">
          <cell r="A4082" t="str">
            <v>BPPOPRDB</v>
          </cell>
          <cell r="B4082">
            <v>6.8772861208409475E-2</v>
          </cell>
          <cell r="C4082">
            <v>0</v>
          </cell>
          <cell r="D4082">
            <v>0</v>
          </cell>
          <cell r="E4082" t="e">
            <v>#VALUE!</v>
          </cell>
          <cell r="F4082">
            <v>0</v>
          </cell>
        </row>
        <row r="4083">
          <cell r="A4083" t="str">
            <v>BPPIPRDB</v>
          </cell>
          <cell r="B4083">
            <v>0</v>
          </cell>
          <cell r="C4083">
            <v>0</v>
          </cell>
          <cell r="D4083">
            <v>0</v>
          </cell>
          <cell r="E4083" t="e">
            <v>#VALUE!</v>
          </cell>
          <cell r="F4083">
            <v>-310.57178687526755</v>
          </cell>
        </row>
        <row r="4084">
          <cell r="A4084" t="str">
            <v>BPROPRDB</v>
          </cell>
          <cell r="B4084">
            <v>6.1183252655071754E-2</v>
          </cell>
          <cell r="C4084">
            <v>0</v>
          </cell>
          <cell r="D4084">
            <v>0</v>
          </cell>
          <cell r="E4084" t="e">
            <v>#VALUE!</v>
          </cell>
          <cell r="F4084">
            <v>0</v>
          </cell>
        </row>
        <row r="4085">
          <cell r="A4085" t="str">
            <v>BPGSPRDB</v>
          </cell>
          <cell r="B4085">
            <v>5.9178099036216736E-2</v>
          </cell>
          <cell r="C4085">
            <v>0</v>
          </cell>
          <cell r="D4085">
            <v>0</v>
          </cell>
          <cell r="E4085" t="e">
            <v>#VALUE!</v>
          </cell>
          <cell r="F4085">
            <v>0</v>
          </cell>
        </row>
        <row r="4086">
          <cell r="A4086" t="str">
            <v>BBUTBTDB</v>
          </cell>
          <cell r="B4086">
            <v>0.22502176390118794</v>
          </cell>
          <cell r="C4086">
            <v>0</v>
          </cell>
          <cell r="D4086">
            <v>0</v>
          </cell>
          <cell r="E4086" t="e">
            <v>#VALUE!</v>
          </cell>
          <cell r="F4086">
            <v>0</v>
          </cell>
        </row>
        <row r="4087">
          <cell r="A4087" t="str">
            <v>BBGSBTDB</v>
          </cell>
          <cell r="B4087">
            <v>3.9452098309993744E-2</v>
          </cell>
          <cell r="C4087">
            <v>0</v>
          </cell>
          <cell r="D4087">
            <v>0</v>
          </cell>
          <cell r="E4087" t="e">
            <v>#VALUE!</v>
          </cell>
          <cell r="F4087">
            <v>0</v>
          </cell>
        </row>
        <row r="4088">
          <cell r="A4088" t="str">
            <v>BBUTNACB</v>
          </cell>
          <cell r="B4088">
            <v>1.0180731712240879E-2</v>
          </cell>
          <cell r="C4088">
            <v>0</v>
          </cell>
          <cell r="D4088">
            <v>0</v>
          </cell>
          <cell r="E4088" t="e">
            <v>#VALUE!</v>
          </cell>
          <cell r="F4088">
            <v>0</v>
          </cell>
        </row>
        <row r="4089">
          <cell r="A4089" t="str">
            <v>BNLCNACB</v>
          </cell>
          <cell r="B4089">
            <v>1.74020832021759E-2</v>
          </cell>
          <cell r="C4089">
            <v>0</v>
          </cell>
          <cell r="D4089">
            <v>1.6666699200868607E-2</v>
          </cell>
          <cell r="E4089" t="e">
            <v>#VALUE!</v>
          </cell>
          <cell r="F4089">
            <v>-6.6003850257560002</v>
          </cell>
        </row>
        <row r="4090">
          <cell r="A4090" t="str">
            <v>BISONACB</v>
          </cell>
          <cell r="B4090">
            <v>9.6443007253620719E-2</v>
          </cell>
          <cell r="C4090">
            <v>0</v>
          </cell>
          <cell r="D4090">
            <v>0</v>
          </cell>
          <cell r="E4090" t="e">
            <v>#VALUE!</v>
          </cell>
          <cell r="F4090">
            <v>0</v>
          </cell>
        </row>
        <row r="4091">
          <cell r="A4091" t="str">
            <v>BLLTNACB</v>
          </cell>
          <cell r="B4091">
            <v>0</v>
          </cell>
          <cell r="C4091">
            <v>0</v>
          </cell>
          <cell r="D4091">
            <v>0</v>
          </cell>
          <cell r="E4091" t="e">
            <v>#VALUE!</v>
          </cell>
          <cell r="F4091">
            <v>-30.794593967803536</v>
          </cell>
        </row>
        <row r="4092">
          <cell r="A4092" t="str">
            <v>BLPCNACB</v>
          </cell>
          <cell r="B4092">
            <v>2.1183443804309792E-2</v>
          </cell>
          <cell r="C4092">
            <v>0</v>
          </cell>
          <cell r="D4092">
            <v>0</v>
          </cell>
          <cell r="E4092" t="e">
            <v>#VALUE!</v>
          </cell>
          <cell r="F4092">
            <v>-4.3496956844852397</v>
          </cell>
        </row>
        <row r="4093">
          <cell r="A4093" t="str">
            <v>BLPMNACB</v>
          </cell>
          <cell r="B4093">
            <v>8.2951730285605332E-2</v>
          </cell>
          <cell r="C4093">
            <v>0</v>
          </cell>
          <cell r="D4093">
            <v>0</v>
          </cell>
          <cell r="E4093" t="e">
            <v>#VALUE!</v>
          </cell>
          <cell r="F4093">
            <v>0</v>
          </cell>
        </row>
        <row r="4094">
          <cell r="A4094" t="str">
            <v>BLPPNACB</v>
          </cell>
          <cell r="B4094">
            <v>0</v>
          </cell>
          <cell r="C4094">
            <v>0</v>
          </cell>
          <cell r="D4094">
            <v>0</v>
          </cell>
          <cell r="E4094" t="e">
            <v>#VALUE!</v>
          </cell>
          <cell r="F4094">
            <v>-3.391175575778909</v>
          </cell>
        </row>
        <row r="4095">
          <cell r="A4095" t="str">
            <v>BCL1NACB</v>
          </cell>
          <cell r="B4095">
            <v>0</v>
          </cell>
          <cell r="C4095">
            <v>0</v>
          </cell>
          <cell r="D4095">
            <v>0</v>
          </cell>
          <cell r="E4095" t="e">
            <v>#VALUE!</v>
          </cell>
          <cell r="F4095">
            <v>37.355493179739341</v>
          </cell>
        </row>
        <row r="4096">
          <cell r="A4096" t="str">
            <v>BCL2NACB</v>
          </cell>
          <cell r="B4096">
            <v>0</v>
          </cell>
          <cell r="C4096">
            <v>0</v>
          </cell>
          <cell r="D4096">
            <v>0</v>
          </cell>
          <cell r="E4096" t="e">
            <v>#VALUE!</v>
          </cell>
          <cell r="F4096">
            <v>82.415799995317855</v>
          </cell>
        </row>
        <row r="4097">
          <cell r="A4097" t="str">
            <v>BRFTNACB</v>
          </cell>
          <cell r="B4097">
            <v>0</v>
          </cell>
          <cell r="C4097">
            <v>0</v>
          </cell>
          <cell r="D4097">
            <v>0</v>
          </cell>
          <cell r="E4097" t="e">
            <v>#VALUE!</v>
          </cell>
          <cell r="F4097">
            <v>-24.803683983789732</v>
          </cell>
        </row>
        <row r="4098">
          <cell r="A4098" t="str">
            <v>BRFHNACB</v>
          </cell>
          <cell r="B4098">
            <v>0</v>
          </cell>
          <cell r="C4098">
            <v>0</v>
          </cell>
          <cell r="D4098">
            <v>0</v>
          </cell>
          <cell r="E4098" t="e">
            <v>#VALUE!</v>
          </cell>
          <cell r="F4098">
            <v>-21.877356887190309</v>
          </cell>
        </row>
        <row r="4099">
          <cell r="A4099" t="str">
            <v>BRQQNACB</v>
          </cell>
          <cell r="B4099">
            <v>0</v>
          </cell>
          <cell r="C4099">
            <v>0</v>
          </cell>
          <cell r="D4099">
            <v>0</v>
          </cell>
          <cell r="E4099" t="e">
            <v>#VALUE!</v>
          </cell>
          <cell r="F4099">
            <v>-27.881374306874733</v>
          </cell>
        </row>
        <row r="4100">
          <cell r="A4100" t="str">
            <v>BBUTNASB</v>
          </cell>
          <cell r="B4100">
            <v>7.5960726740017331E-2</v>
          </cell>
          <cell r="C4100">
            <v>0</v>
          </cell>
          <cell r="D4100">
            <v>0</v>
          </cell>
          <cell r="E4100" t="e">
            <v>#VALUE!</v>
          </cell>
          <cell r="F4100">
            <v>0</v>
          </cell>
        </row>
        <row r="4101">
          <cell r="A4101" t="str">
            <v>BNLCNASB</v>
          </cell>
          <cell r="B4101">
            <v>0</v>
          </cell>
          <cell r="C4101">
            <v>0</v>
          </cell>
          <cell r="D4101">
            <v>0</v>
          </cell>
          <cell r="E4101" t="e">
            <v>#VALUE!</v>
          </cell>
          <cell r="F4101">
            <v>-103.85787054610579</v>
          </cell>
        </row>
        <row r="4102">
          <cell r="A4102" t="str">
            <v>BISONASB</v>
          </cell>
          <cell r="B4102">
            <v>2.0596227978598582E-2</v>
          </cell>
          <cell r="C4102">
            <v>0</v>
          </cell>
          <cell r="D4102">
            <v>0</v>
          </cell>
          <cell r="E4102" t="e">
            <v>#VALUE!</v>
          </cell>
          <cell r="F4102">
            <v>-0.51540240849534125</v>
          </cell>
        </row>
        <row r="4103">
          <cell r="A4103" t="str">
            <v>BLLTNASB</v>
          </cell>
          <cell r="B4103">
            <v>0.27138251825554732</v>
          </cell>
          <cell r="C4103">
            <v>0</v>
          </cell>
          <cell r="D4103">
            <v>0</v>
          </cell>
          <cell r="E4103" t="e">
            <v>#VALUE!</v>
          </cell>
          <cell r="F4103">
            <v>0</v>
          </cell>
        </row>
        <row r="4104">
          <cell r="A4104" t="str">
            <v>BLPCNASB</v>
          </cell>
          <cell r="B4104">
            <v>2.5437541489731777E-2</v>
          </cell>
          <cell r="C4104">
            <v>0</v>
          </cell>
          <cell r="D4104">
            <v>0</v>
          </cell>
          <cell r="E4104" t="e">
            <v>#VALUE!</v>
          </cell>
          <cell r="F4104">
            <v>-0.23273741043593785</v>
          </cell>
        </row>
        <row r="4105">
          <cell r="A4105" t="str">
            <v>BLPMNASB</v>
          </cell>
          <cell r="B4105">
            <v>0.22091433254823292</v>
          </cell>
          <cell r="C4105">
            <v>0</v>
          </cell>
          <cell r="D4105">
            <v>0</v>
          </cell>
          <cell r="E4105" t="e">
            <v>#VALUE!</v>
          </cell>
          <cell r="F4105">
            <v>0</v>
          </cell>
        </row>
        <row r="4106">
          <cell r="A4106" t="str">
            <v>BLPPNASB</v>
          </cell>
          <cell r="B4106">
            <v>0.16285722002591171</v>
          </cell>
          <cell r="C4106">
            <v>0</v>
          </cell>
          <cell r="D4106">
            <v>0</v>
          </cell>
          <cell r="E4106" t="e">
            <v>#VALUE!</v>
          </cell>
          <cell r="F4106">
            <v>-0.20168790294699473</v>
          </cell>
        </row>
        <row r="4107">
          <cell r="A4107" t="str">
            <v>BCL1NASB</v>
          </cell>
          <cell r="B4107">
            <v>0</v>
          </cell>
          <cell r="C4107">
            <v>0</v>
          </cell>
          <cell r="D4107">
            <v>0</v>
          </cell>
          <cell r="E4107" t="e">
            <v>#VALUE!</v>
          </cell>
          <cell r="F4107">
            <v>-1.2980241932281076</v>
          </cell>
        </row>
        <row r="4108">
          <cell r="A4108" t="str">
            <v>BCL2NASB</v>
          </cell>
          <cell r="B4108">
            <v>0</v>
          </cell>
          <cell r="C4108">
            <v>0</v>
          </cell>
          <cell r="D4108">
            <v>0</v>
          </cell>
          <cell r="E4108" t="e">
            <v>#VALUE!</v>
          </cell>
          <cell r="F4108">
            <v>-14.777663724716396</v>
          </cell>
        </row>
        <row r="4109">
          <cell r="A4109" t="str">
            <v>BRFTNASB</v>
          </cell>
          <cell r="B4109">
            <v>0.56863941656400074</v>
          </cell>
          <cell r="C4109">
            <v>0</v>
          </cell>
          <cell r="D4109">
            <v>0</v>
          </cell>
          <cell r="E4109" t="e">
            <v>#VALUE!</v>
          </cell>
          <cell r="F4109">
            <v>0</v>
          </cell>
        </row>
        <row r="4110">
          <cell r="A4110" t="str">
            <v>BRFHNASB</v>
          </cell>
          <cell r="B4110">
            <v>6.1123914690050359E-2</v>
          </cell>
          <cell r="C4110">
            <v>0</v>
          </cell>
          <cell r="D4110">
            <v>0</v>
          </cell>
          <cell r="E4110" t="e">
            <v>#VALUE!</v>
          </cell>
          <cell r="F4110">
            <v>0</v>
          </cell>
        </row>
        <row r="4111">
          <cell r="A4111" t="str">
            <v>BRQQNASB</v>
          </cell>
          <cell r="B4111">
            <v>0</v>
          </cell>
          <cell r="C4111">
            <v>0</v>
          </cell>
          <cell r="D4111">
            <v>0</v>
          </cell>
          <cell r="E4111" t="e">
            <v>#VALUE!</v>
          </cell>
          <cell r="F4111">
            <v>-27.848459144487773</v>
          </cell>
        </row>
        <row r="4112">
          <cell r="A4112" t="str">
            <v>BMTBNASB</v>
          </cell>
          <cell r="B4112">
            <v>0</v>
          </cell>
          <cell r="C4112">
            <v>0</v>
          </cell>
          <cell r="D4112">
            <v>0</v>
          </cell>
          <cell r="E4112" t="e">
            <v>#VALUE!</v>
          </cell>
          <cell r="F4112">
            <v>-67.908360436844504</v>
          </cell>
        </row>
        <row r="4113">
          <cell r="A4113" t="str">
            <v>BMTENASB</v>
          </cell>
          <cell r="B4113">
            <v>2.2835315830291133E-2</v>
          </cell>
          <cell r="C4113">
            <v>0</v>
          </cell>
          <cell r="D4113">
            <v>0</v>
          </cell>
          <cell r="E4113" t="e">
            <v>#VALUE!</v>
          </cell>
          <cell r="F4113">
            <v>-0.47284186637564879</v>
          </cell>
        </row>
        <row r="4114">
          <cell r="A4114" t="str">
            <v>BALKNASB</v>
          </cell>
          <cell r="B4114">
            <v>0</v>
          </cell>
          <cell r="C4114">
            <v>0</v>
          </cell>
          <cell r="D4114">
            <v>0</v>
          </cell>
          <cell r="E4114" t="e">
            <v>#VALUE!</v>
          </cell>
          <cell r="F4114">
            <v>-7.8414273013807323</v>
          </cell>
        </row>
        <row r="4115">
          <cell r="A4115" t="str">
            <v>BTOLNASB</v>
          </cell>
          <cell r="B4115">
            <v>0</v>
          </cell>
          <cell r="C4115">
            <v>0</v>
          </cell>
          <cell r="D4115">
            <v>0</v>
          </cell>
          <cell r="E4115" t="e">
            <v>#VALUE!</v>
          </cell>
          <cell r="F4115">
            <v>-10.790971763166663</v>
          </cell>
        </row>
        <row r="4116">
          <cell r="A4116" t="str">
            <v>BBUTN83B</v>
          </cell>
          <cell r="B4116">
            <v>2.1035741641734625E-13</v>
          </cell>
          <cell r="C4116">
            <v>0</v>
          </cell>
          <cell r="D4116">
            <v>0</v>
          </cell>
          <cell r="E4116" t="e">
            <v>#VALUE!</v>
          </cell>
          <cell r="F4116">
            <v>-71.994735257919515</v>
          </cell>
        </row>
        <row r="4117">
          <cell r="A4117" t="str">
            <v>BNLCN83B</v>
          </cell>
          <cell r="B4117">
            <v>0</v>
          </cell>
          <cell r="C4117">
            <v>0</v>
          </cell>
          <cell r="D4117">
            <v>0</v>
          </cell>
          <cell r="E4117" t="e">
            <v>#VALUE!</v>
          </cell>
          <cell r="F4117">
            <v>-38.378240376302642</v>
          </cell>
        </row>
        <row r="4118">
          <cell r="A4118" t="str">
            <v>BISON83B</v>
          </cell>
          <cell r="B4118">
            <v>0</v>
          </cell>
          <cell r="C4118">
            <v>0</v>
          </cell>
          <cell r="D4118">
            <v>0</v>
          </cell>
          <cell r="E4118" t="e">
            <v>#VALUE!</v>
          </cell>
          <cell r="F4118">
            <v>-30.457753544637601</v>
          </cell>
        </row>
        <row r="4119">
          <cell r="A4119" t="str">
            <v>BLLTN83B</v>
          </cell>
          <cell r="B4119">
            <v>0</v>
          </cell>
          <cell r="C4119">
            <v>0</v>
          </cell>
          <cell r="D4119">
            <v>0</v>
          </cell>
          <cell r="E4119" t="e">
            <v>#VALUE!</v>
          </cell>
          <cell r="F4119">
            <v>-204.14665956366551</v>
          </cell>
        </row>
        <row r="4120">
          <cell r="A4120" t="str">
            <v>BLPCN83B</v>
          </cell>
          <cell r="B4120">
            <v>0</v>
          </cell>
          <cell r="C4120">
            <v>0</v>
          </cell>
          <cell r="D4120">
            <v>0</v>
          </cell>
          <cell r="E4120" t="e">
            <v>#VALUE!</v>
          </cell>
          <cell r="F4120">
            <v>-133.57177954895855</v>
          </cell>
        </row>
        <row r="4121">
          <cell r="A4121" t="str">
            <v>BLPMN83B</v>
          </cell>
          <cell r="B4121">
            <v>0</v>
          </cell>
          <cell r="C4121">
            <v>0</v>
          </cell>
          <cell r="D4121">
            <v>0</v>
          </cell>
          <cell r="E4121" t="e">
            <v>#VALUE!</v>
          </cell>
          <cell r="F4121">
            <v>-137.7483868612002</v>
          </cell>
        </row>
        <row r="4122">
          <cell r="A4122" t="str">
            <v>BLPPN83B</v>
          </cell>
          <cell r="B4122">
            <v>2.0284356386349444E-12</v>
          </cell>
          <cell r="C4122">
            <v>0</v>
          </cell>
          <cell r="D4122">
            <v>0</v>
          </cell>
          <cell r="E4122" t="e">
            <v>#VALUE!</v>
          </cell>
          <cell r="F4122">
            <v>-90.385438438311013</v>
          </cell>
        </row>
        <row r="4123">
          <cell r="A4123" t="str">
            <v>BCL1N83B</v>
          </cell>
          <cell r="B4123">
            <v>0</v>
          </cell>
          <cell r="C4123">
            <v>0</v>
          </cell>
          <cell r="D4123">
            <v>0</v>
          </cell>
          <cell r="E4123" t="e">
            <v>#VALUE!</v>
          </cell>
          <cell r="F4123">
            <v>-89.099316359219486</v>
          </cell>
        </row>
        <row r="4124">
          <cell r="A4124" t="str">
            <v>BCL2N83B</v>
          </cell>
          <cell r="B4124">
            <v>0</v>
          </cell>
          <cell r="C4124">
            <v>0</v>
          </cell>
          <cell r="D4124">
            <v>0</v>
          </cell>
          <cell r="E4124" t="e">
            <v>#VALUE!</v>
          </cell>
          <cell r="F4124">
            <v>20.325496788547465</v>
          </cell>
        </row>
        <row r="4125">
          <cell r="A4125" t="str">
            <v>BRFTN83B</v>
          </cell>
          <cell r="B4125">
            <v>0</v>
          </cell>
          <cell r="C4125">
            <v>0</v>
          </cell>
          <cell r="D4125">
            <v>0</v>
          </cell>
          <cell r="E4125" t="e">
            <v>#VALUE!</v>
          </cell>
          <cell r="F4125">
            <v>-79.512404266775476</v>
          </cell>
        </row>
        <row r="4126">
          <cell r="A4126" t="str">
            <v>BRFHN83B</v>
          </cell>
          <cell r="B4126">
            <v>0</v>
          </cell>
          <cell r="C4126">
            <v>0</v>
          </cell>
          <cell r="D4126">
            <v>0</v>
          </cell>
          <cell r="E4126" t="e">
            <v>#VALUE!</v>
          </cell>
          <cell r="F4126">
            <v>-76.344474928346401</v>
          </cell>
        </row>
        <row r="4127">
          <cell r="A4127" t="str">
            <v>BRQQN83B</v>
          </cell>
          <cell r="B4127">
            <v>0</v>
          </cell>
          <cell r="C4127">
            <v>0</v>
          </cell>
          <cell r="D4127">
            <v>0</v>
          </cell>
          <cell r="E4127" t="e">
            <v>#VALUE!</v>
          </cell>
          <cell r="F4127">
            <v>-79.512404266775476</v>
          </cell>
        </row>
        <row r="4128">
          <cell r="A4128" t="str">
            <v>BMTBN83B</v>
          </cell>
          <cell r="B4128">
            <v>0</v>
          </cell>
          <cell r="C4128">
            <v>0</v>
          </cell>
          <cell r="D4128">
            <v>0</v>
          </cell>
          <cell r="E4128" t="e">
            <v>#VALUE!</v>
          </cell>
          <cell r="F4128">
            <v>-216.55108989558809</v>
          </cell>
        </row>
        <row r="4129">
          <cell r="A4129" t="str">
            <v>BMTEN83B</v>
          </cell>
          <cell r="B4129">
            <v>0</v>
          </cell>
          <cell r="C4129">
            <v>0</v>
          </cell>
          <cell r="D4129">
            <v>0</v>
          </cell>
          <cell r="E4129" t="e">
            <v>#VALUE!</v>
          </cell>
          <cell r="F4129">
            <v>-146.74159006615207</v>
          </cell>
        </row>
        <row r="4130">
          <cell r="A4130" t="str">
            <v>BALKN83B</v>
          </cell>
          <cell r="B4130">
            <v>0</v>
          </cell>
          <cell r="C4130">
            <v>0</v>
          </cell>
          <cell r="D4130">
            <v>0</v>
          </cell>
          <cell r="E4130" t="e">
            <v>#VALUE!</v>
          </cell>
          <cell r="F4130">
            <v>-93.629952940222338</v>
          </cell>
        </row>
        <row r="4131">
          <cell r="A4131" t="str">
            <v>BTOLN83B</v>
          </cell>
          <cell r="B4131">
            <v>0</v>
          </cell>
          <cell r="C4131">
            <v>0</v>
          </cell>
          <cell r="D4131">
            <v>0</v>
          </cell>
          <cell r="E4131" t="e">
            <v>#VALUE!</v>
          </cell>
          <cell r="F4131">
            <v>-119.25921302690898</v>
          </cell>
        </row>
        <row r="4132">
          <cell r="A4132" t="str">
            <v>BBUTNECB</v>
          </cell>
          <cell r="B4132">
            <v>4.7807437661167691E-2</v>
          </cell>
          <cell r="C4132">
            <v>0</v>
          </cell>
          <cell r="D4132">
            <v>0</v>
          </cell>
          <cell r="E4132" t="e">
            <v>#VALUE!</v>
          </cell>
          <cell r="F4132">
            <v>0</v>
          </cell>
        </row>
        <row r="4133">
          <cell r="A4133" t="str">
            <v>BNLCNECB</v>
          </cell>
          <cell r="B4133">
            <v>0</v>
          </cell>
          <cell r="C4133">
            <v>0</v>
          </cell>
          <cell r="D4133">
            <v>0</v>
          </cell>
          <cell r="E4133" t="e">
            <v>#VALUE!</v>
          </cell>
          <cell r="F4133">
            <v>-123.69979082917514</v>
          </cell>
        </row>
        <row r="4134">
          <cell r="A4134" t="str">
            <v>BISONECB</v>
          </cell>
          <cell r="B4134">
            <v>3.4088549640488949E-2</v>
          </cell>
          <cell r="C4134">
            <v>0</v>
          </cell>
          <cell r="D4134">
            <v>0</v>
          </cell>
          <cell r="E4134" t="e">
            <v>#VALUE!</v>
          </cell>
          <cell r="F4134">
            <v>-2.9284724875672223</v>
          </cell>
        </row>
        <row r="4135">
          <cell r="A4135" t="str">
            <v>BLLTNECB</v>
          </cell>
          <cell r="B4135">
            <v>0.2750389916439579</v>
          </cell>
          <cell r="C4135">
            <v>0</v>
          </cell>
          <cell r="D4135">
            <v>0</v>
          </cell>
          <cell r="E4135" t="e">
            <v>#VALUE!</v>
          </cell>
          <cell r="F4135">
            <v>0</v>
          </cell>
        </row>
        <row r="4136">
          <cell r="A4136" t="str">
            <v>BLPCNECB</v>
          </cell>
          <cell r="B4136">
            <v>0</v>
          </cell>
          <cell r="C4136">
            <v>0</v>
          </cell>
          <cell r="D4136">
            <v>0</v>
          </cell>
          <cell r="E4136" t="e">
            <v>#VALUE!</v>
          </cell>
          <cell r="F4136">
            <v>-5.0946029081736528</v>
          </cell>
        </row>
        <row r="4137">
          <cell r="A4137" t="str">
            <v>BLPMNECB</v>
          </cell>
          <cell r="B4137">
            <v>0</v>
          </cell>
          <cell r="C4137">
            <v>0</v>
          </cell>
          <cell r="D4137">
            <v>0</v>
          </cell>
          <cell r="E4137" t="e">
            <v>#VALUE!</v>
          </cell>
          <cell r="F4137">
            <v>-5.582429845365759</v>
          </cell>
        </row>
        <row r="4138">
          <cell r="A4138" t="str">
            <v>BLPPNECB</v>
          </cell>
          <cell r="B4138">
            <v>0.1595074475628056</v>
          </cell>
          <cell r="C4138">
            <v>0</v>
          </cell>
          <cell r="D4138">
            <v>0</v>
          </cell>
          <cell r="E4138" t="e">
            <v>#VALUE!</v>
          </cell>
          <cell r="F4138">
            <v>0</v>
          </cell>
        </row>
        <row r="4139">
          <cell r="A4139" t="str">
            <v>BCL1NECB</v>
          </cell>
          <cell r="B4139">
            <v>0</v>
          </cell>
          <cell r="C4139">
            <v>0</v>
          </cell>
          <cell r="D4139">
            <v>0</v>
          </cell>
          <cell r="E4139" t="e">
            <v>#VALUE!</v>
          </cell>
          <cell r="F4139">
            <v>-14.415529170101635</v>
          </cell>
        </row>
        <row r="4140">
          <cell r="A4140" t="str">
            <v>BCL2NECB</v>
          </cell>
          <cell r="B4140">
            <v>0</v>
          </cell>
          <cell r="C4140">
            <v>0</v>
          </cell>
          <cell r="D4140">
            <v>0</v>
          </cell>
          <cell r="E4140" t="e">
            <v>#VALUE!</v>
          </cell>
          <cell r="F4140">
            <v>49.144762237757853</v>
          </cell>
        </row>
        <row r="4141">
          <cell r="A4141" t="str">
            <v>BRFTNECB</v>
          </cell>
          <cell r="B4141">
            <v>0.57193034528052966</v>
          </cell>
          <cell r="C4141">
            <v>0</v>
          </cell>
          <cell r="D4141">
            <v>0</v>
          </cell>
          <cell r="E4141" t="e">
            <v>#VALUE!</v>
          </cell>
          <cell r="F4141">
            <v>0</v>
          </cell>
        </row>
        <row r="4142">
          <cell r="A4142" t="str">
            <v>BRFHNECB</v>
          </cell>
          <cell r="B4142">
            <v>0</v>
          </cell>
          <cell r="C4142">
            <v>0</v>
          </cell>
          <cell r="D4142">
            <v>0</v>
          </cell>
          <cell r="E4142" t="e">
            <v>#VALUE!</v>
          </cell>
          <cell r="F4142">
            <v>-0.98166870499310432</v>
          </cell>
        </row>
        <row r="4143">
          <cell r="A4143" t="str">
            <v>BRQQNECB</v>
          </cell>
          <cell r="B4143">
            <v>0</v>
          </cell>
          <cell r="C4143">
            <v>0</v>
          </cell>
          <cell r="D4143">
            <v>0</v>
          </cell>
          <cell r="E4143" t="e">
            <v>#VALUE!</v>
          </cell>
          <cell r="F4143">
            <v>-32.164387705554702</v>
          </cell>
        </row>
        <row r="4144">
          <cell r="A4144" t="str">
            <v>BMTBNECB</v>
          </cell>
          <cell r="B4144">
            <v>0</v>
          </cell>
          <cell r="C4144">
            <v>0</v>
          </cell>
          <cell r="D4144">
            <v>0</v>
          </cell>
          <cell r="E4144" t="e">
            <v>#VALUE!</v>
          </cell>
          <cell r="F4144">
            <v>-67.970353991364775</v>
          </cell>
        </row>
        <row r="4145">
          <cell r="A4145" t="str">
            <v>BMTENECB</v>
          </cell>
          <cell r="B4145">
            <v>0.10245808522178702</v>
          </cell>
          <cell r="C4145">
            <v>0</v>
          </cell>
          <cell r="D4145">
            <v>0</v>
          </cell>
          <cell r="E4145" t="e">
            <v>#VALUE!</v>
          </cell>
          <cell r="F4145">
            <v>0</v>
          </cell>
        </row>
        <row r="4146">
          <cell r="A4146" t="str">
            <v>BALKNECB</v>
          </cell>
          <cell r="B4146">
            <v>7.5846385282196407E-2</v>
          </cell>
          <cell r="C4146">
            <v>0</v>
          </cell>
          <cell r="D4146">
            <v>0</v>
          </cell>
          <cell r="E4146" t="e">
            <v>#VALUE!</v>
          </cell>
          <cell r="F4146">
            <v>0</v>
          </cell>
        </row>
        <row r="4147">
          <cell r="A4147" t="str">
            <v>BTOLNECB</v>
          </cell>
          <cell r="B4147">
            <v>0</v>
          </cell>
          <cell r="C4147">
            <v>0</v>
          </cell>
          <cell r="D4147">
            <v>0</v>
          </cell>
          <cell r="E4147" t="e">
            <v>#VALUE!</v>
          </cell>
          <cell r="F4147">
            <v>0</v>
          </cell>
        </row>
        <row r="4148">
          <cell r="A4148" t="str">
            <v>BBUTNE2B</v>
          </cell>
          <cell r="B4148">
            <v>0</v>
          </cell>
          <cell r="C4148">
            <v>0</v>
          </cell>
          <cell r="D4148">
            <v>0</v>
          </cell>
          <cell r="E4148" t="e">
            <v>#VALUE!</v>
          </cell>
          <cell r="F4148">
            <v>-205.12152333716824</v>
          </cell>
        </row>
        <row r="4149">
          <cell r="A4149" t="str">
            <v>BNLCNE2B</v>
          </cell>
          <cell r="B4149">
            <v>0</v>
          </cell>
          <cell r="C4149">
            <v>0</v>
          </cell>
          <cell r="D4149">
            <v>0</v>
          </cell>
          <cell r="E4149" t="e">
            <v>#VALUE!</v>
          </cell>
          <cell r="F4149">
            <v>-97.796257086975928</v>
          </cell>
        </row>
        <row r="4150">
          <cell r="A4150" t="str">
            <v>BISONE2B</v>
          </cell>
          <cell r="B4150">
            <v>0</v>
          </cell>
          <cell r="C4150">
            <v>0</v>
          </cell>
          <cell r="D4150">
            <v>0</v>
          </cell>
          <cell r="E4150" t="e">
            <v>#VALUE!</v>
          </cell>
          <cell r="F4150">
            <v>-90.29072127146263</v>
          </cell>
        </row>
        <row r="4151">
          <cell r="A4151" t="str">
            <v>BLLTNE2B</v>
          </cell>
          <cell r="B4151">
            <v>0</v>
          </cell>
          <cell r="C4151">
            <v>0</v>
          </cell>
          <cell r="D4151">
            <v>0</v>
          </cell>
          <cell r="E4151" t="e">
            <v>#VALUE!</v>
          </cell>
          <cell r="F4151">
            <v>-370.12605754381991</v>
          </cell>
        </row>
        <row r="4152">
          <cell r="A4152" t="str">
            <v>BLPCNE2B</v>
          </cell>
          <cell r="B4152">
            <v>0</v>
          </cell>
          <cell r="C4152">
            <v>0</v>
          </cell>
          <cell r="D4152">
            <v>0</v>
          </cell>
          <cell r="E4152" t="e">
            <v>#VALUE!</v>
          </cell>
          <cell r="F4152">
            <v>-258.7847170738325</v>
          </cell>
        </row>
        <row r="4153">
          <cell r="A4153" t="str">
            <v>BLPMNE2B</v>
          </cell>
          <cell r="B4153">
            <v>0</v>
          </cell>
          <cell r="C4153">
            <v>0</v>
          </cell>
          <cell r="D4153">
            <v>0</v>
          </cell>
          <cell r="E4153" t="e">
            <v>#VALUE!</v>
          </cell>
          <cell r="F4153">
            <v>-263.6611681820595</v>
          </cell>
        </row>
        <row r="4154">
          <cell r="A4154" t="str">
            <v>BLPPNE2B</v>
          </cell>
          <cell r="B4154">
            <v>0</v>
          </cell>
          <cell r="C4154">
            <v>0</v>
          </cell>
          <cell r="D4154">
            <v>0</v>
          </cell>
          <cell r="E4154" t="e">
            <v>#VALUE!</v>
          </cell>
          <cell r="F4154">
            <v>-181.08268368080871</v>
          </cell>
        </row>
        <row r="4155">
          <cell r="A4155" t="str">
            <v>BRFTNE2B</v>
          </cell>
          <cell r="B4155">
            <v>0</v>
          </cell>
          <cell r="C4155">
            <v>0</v>
          </cell>
          <cell r="D4155">
            <v>0</v>
          </cell>
          <cell r="E4155" t="e">
            <v>#VALUE!</v>
          </cell>
          <cell r="F4155">
            <v>-139.82149356162711</v>
          </cell>
        </row>
        <row r="4156">
          <cell r="A4156" t="str">
            <v>BRFHNE2B</v>
          </cell>
          <cell r="B4156">
            <v>0</v>
          </cell>
          <cell r="C4156">
            <v>0</v>
          </cell>
          <cell r="D4156">
            <v>0</v>
          </cell>
          <cell r="E4156" t="e">
            <v>#VALUE!</v>
          </cell>
          <cell r="F4156">
            <v>-136.65356389986326</v>
          </cell>
        </row>
        <row r="4157">
          <cell r="A4157" t="str">
            <v>BRQQNE2B</v>
          </cell>
          <cell r="B4157">
            <v>0</v>
          </cell>
          <cell r="C4157">
            <v>0</v>
          </cell>
          <cell r="D4157">
            <v>0</v>
          </cell>
          <cell r="E4157" t="e">
            <v>#VALUE!</v>
          </cell>
          <cell r="F4157">
            <v>-139.82149356162711</v>
          </cell>
        </row>
        <row r="4158">
          <cell r="A4158" t="str">
            <v>BMTBNE2B</v>
          </cell>
          <cell r="B4158">
            <v>0</v>
          </cell>
          <cell r="C4158">
            <v>0</v>
          </cell>
          <cell r="D4158">
            <v>0</v>
          </cell>
          <cell r="E4158" t="e">
            <v>#VALUE!</v>
          </cell>
          <cell r="F4158">
            <v>-233.07597250742455</v>
          </cell>
        </row>
        <row r="4159">
          <cell r="A4159" t="str">
            <v>BMTENE2B</v>
          </cell>
          <cell r="B4159">
            <v>0</v>
          </cell>
          <cell r="C4159">
            <v>0</v>
          </cell>
          <cell r="D4159">
            <v>0</v>
          </cell>
          <cell r="E4159" t="e">
            <v>#VALUE!</v>
          </cell>
          <cell r="F4159">
            <v>-163.28816114451789</v>
          </cell>
        </row>
        <row r="4160">
          <cell r="A4160" t="str">
            <v>BALKNE2B</v>
          </cell>
          <cell r="B4160">
            <v>0</v>
          </cell>
          <cell r="C4160">
            <v>0</v>
          </cell>
          <cell r="D4160">
            <v>0</v>
          </cell>
          <cell r="E4160" t="e">
            <v>#VALUE!</v>
          </cell>
          <cell r="F4160">
            <v>-153.0468706731927</v>
          </cell>
        </row>
        <row r="4161">
          <cell r="A4161" t="str">
            <v>BTOLNE2B</v>
          </cell>
          <cell r="B4161">
            <v>0</v>
          </cell>
          <cell r="C4161">
            <v>0</v>
          </cell>
          <cell r="D4161">
            <v>0</v>
          </cell>
          <cell r="E4161" t="e">
            <v>#VALUE!</v>
          </cell>
          <cell r="F4161">
            <v>-177.13468261091677</v>
          </cell>
        </row>
        <row r="4162">
          <cell r="A4162" t="str">
            <v>BBUTNE7B</v>
          </cell>
          <cell r="B4162">
            <v>6.7160042946877545E-3</v>
          </cell>
          <cell r="C4162">
            <v>0</v>
          </cell>
          <cell r="D4162">
            <v>0</v>
          </cell>
          <cell r="E4162" t="e">
            <v>#VALUE!</v>
          </cell>
          <cell r="F4162">
            <v>-13.45981198663581</v>
          </cell>
        </row>
        <row r="4163">
          <cell r="A4163" t="str">
            <v>BNLCNE7B</v>
          </cell>
          <cell r="B4163">
            <v>1.6666699200868607E-2</v>
          </cell>
          <cell r="C4163">
            <v>0</v>
          </cell>
          <cell r="D4163">
            <v>1.6666699200868607E-2</v>
          </cell>
          <cell r="E4163" t="e">
            <v>#VALUE!</v>
          </cell>
          <cell r="F4163">
            <v>-93.601702002956443</v>
          </cell>
        </row>
        <row r="4164">
          <cell r="A4164" t="str">
            <v>BISONE7B</v>
          </cell>
          <cell r="B4164">
            <v>0.23535210155460934</v>
          </cell>
          <cell r="C4164">
            <v>0</v>
          </cell>
          <cell r="D4164">
            <v>0</v>
          </cell>
          <cell r="E4164" t="e">
            <v>#VALUE!</v>
          </cell>
          <cell r="F4164">
            <v>0</v>
          </cell>
        </row>
        <row r="4165">
          <cell r="A4165" t="str">
            <v>BLLTNE7B</v>
          </cell>
          <cell r="B4165">
            <v>2.7526500463893967E-2</v>
          </cell>
          <cell r="C4165">
            <v>0</v>
          </cell>
          <cell r="D4165">
            <v>0</v>
          </cell>
          <cell r="E4165" t="e">
            <v>#VALUE!</v>
          </cell>
          <cell r="F4165">
            <v>-9.2079807960823796</v>
          </cell>
        </row>
        <row r="4166">
          <cell r="A4166" t="str">
            <v>BLPCNE7B</v>
          </cell>
          <cell r="B4166">
            <v>3.0077541119431797E-2</v>
          </cell>
          <cell r="C4166">
            <v>0</v>
          </cell>
          <cell r="D4166">
            <v>0</v>
          </cell>
          <cell r="E4166" t="e">
            <v>#VALUE!</v>
          </cell>
          <cell r="F4166">
            <v>-3.9742887366307924</v>
          </cell>
        </row>
        <row r="4167">
          <cell r="A4167" t="str">
            <v>BLPMNE7B</v>
          </cell>
          <cell r="B4167">
            <v>0.17816758376278288</v>
          </cell>
          <cell r="C4167">
            <v>0</v>
          </cell>
          <cell r="D4167">
            <v>0</v>
          </cell>
          <cell r="E4167" t="e">
            <v>#VALUE!</v>
          </cell>
          <cell r="F4167">
            <v>0</v>
          </cell>
        </row>
        <row r="4168">
          <cell r="A4168" t="str">
            <v>BLPPNE7B</v>
          </cell>
          <cell r="B4168">
            <v>8.3841961316049915E-2</v>
          </cell>
          <cell r="C4168">
            <v>0</v>
          </cell>
          <cell r="D4168">
            <v>0</v>
          </cell>
          <cell r="E4168" t="e">
            <v>#VALUE!</v>
          </cell>
          <cell r="F4168">
            <v>0</v>
          </cell>
        </row>
        <row r="4169">
          <cell r="A4169" t="str">
            <v>BCL2NE7B</v>
          </cell>
          <cell r="B4169">
            <v>0</v>
          </cell>
          <cell r="C4169">
            <v>0</v>
          </cell>
          <cell r="D4169">
            <v>0</v>
          </cell>
          <cell r="E4169" t="e">
            <v>#VALUE!</v>
          </cell>
          <cell r="F4169">
            <v>-19.214960477123523</v>
          </cell>
        </row>
        <row r="4170">
          <cell r="A4170" t="str">
            <v>BRFTNE7B</v>
          </cell>
          <cell r="B4170">
            <v>4.8874400795934948E-2</v>
          </cell>
          <cell r="C4170">
            <v>0</v>
          </cell>
          <cell r="D4170">
            <v>0</v>
          </cell>
          <cell r="E4170" t="e">
            <v>#VALUE!</v>
          </cell>
          <cell r="F4170">
            <v>-2.3060926254481484</v>
          </cell>
        </row>
        <row r="4171">
          <cell r="A4171" t="str">
            <v>BRFHNE7B</v>
          </cell>
          <cell r="B4171">
            <v>0</v>
          </cell>
          <cell r="C4171">
            <v>0</v>
          </cell>
          <cell r="D4171">
            <v>0</v>
          </cell>
          <cell r="E4171" t="e">
            <v>#VALUE!</v>
          </cell>
          <cell r="F4171">
            <v>-2.9925970980769967</v>
          </cell>
        </row>
        <row r="4172">
          <cell r="A4172" t="str">
            <v>BRQQNE7B</v>
          </cell>
          <cell r="B4172">
            <v>0</v>
          </cell>
          <cell r="C4172">
            <v>0</v>
          </cell>
          <cell r="D4172">
            <v>0</v>
          </cell>
          <cell r="E4172" t="e">
            <v>#VALUE!</v>
          </cell>
          <cell r="F4172">
            <v>-28.215272663064198</v>
          </cell>
        </row>
        <row r="4173">
          <cell r="A4173" t="str">
            <v>BMTBNE7B</v>
          </cell>
          <cell r="B4173">
            <v>0</v>
          </cell>
          <cell r="C4173">
            <v>0</v>
          </cell>
          <cell r="D4173">
            <v>0</v>
          </cell>
          <cell r="E4173" t="e">
            <v>#VALUE!</v>
          </cell>
          <cell r="F4173">
            <v>-95.246938041791523</v>
          </cell>
        </row>
        <row r="4174">
          <cell r="A4174" t="str">
            <v>BMTENE7B</v>
          </cell>
          <cell r="B4174">
            <v>0</v>
          </cell>
          <cell r="C4174">
            <v>0</v>
          </cell>
          <cell r="D4174">
            <v>0</v>
          </cell>
          <cell r="E4174" t="e">
            <v>#VALUE!</v>
          </cell>
          <cell r="F4174">
            <v>-27.183573751580226</v>
          </cell>
        </row>
        <row r="4175">
          <cell r="A4175" t="str">
            <v>BALKNE7B</v>
          </cell>
          <cell r="B4175">
            <v>0.27691042055822401</v>
          </cell>
          <cell r="C4175">
            <v>0</v>
          </cell>
          <cell r="D4175">
            <v>0</v>
          </cell>
          <cell r="E4175" t="e">
            <v>#VALUE!</v>
          </cell>
          <cell r="F4175">
            <v>0</v>
          </cell>
        </row>
        <row r="4176">
          <cell r="A4176" t="str">
            <v>BTOLNE7B</v>
          </cell>
          <cell r="B4176">
            <v>0</v>
          </cell>
          <cell r="C4176">
            <v>0</v>
          </cell>
          <cell r="D4176">
            <v>0</v>
          </cell>
          <cell r="E4176" t="e">
            <v>#VALUE!</v>
          </cell>
          <cell r="F4176">
            <v>-9.1800763097527902</v>
          </cell>
        </row>
        <row r="4177">
          <cell r="A4177" t="str">
            <v>BBUTNE8B</v>
          </cell>
          <cell r="B4177">
            <v>0</v>
          </cell>
          <cell r="C4177">
            <v>0</v>
          </cell>
          <cell r="D4177">
            <v>0</v>
          </cell>
          <cell r="E4177" t="e">
            <v>#VALUE!</v>
          </cell>
          <cell r="F4177">
            <v>-44.710718609535533</v>
          </cell>
        </row>
        <row r="4178">
          <cell r="A4178" t="str">
            <v>BNLCNE8B</v>
          </cell>
          <cell r="B4178">
            <v>0</v>
          </cell>
          <cell r="C4178">
            <v>0</v>
          </cell>
          <cell r="D4178">
            <v>0</v>
          </cell>
          <cell r="E4178" t="e">
            <v>#VALUE!</v>
          </cell>
          <cell r="F4178">
            <v>-107.13471923201051</v>
          </cell>
        </row>
        <row r="4179">
          <cell r="A4179" t="str">
            <v>BISONE8B</v>
          </cell>
          <cell r="B4179">
            <v>0</v>
          </cell>
          <cell r="C4179">
            <v>0</v>
          </cell>
          <cell r="D4179">
            <v>0</v>
          </cell>
          <cell r="E4179" t="e">
            <v>#VALUE!</v>
          </cell>
          <cell r="F4179">
            <v>-86.505473766588182</v>
          </cell>
        </row>
        <row r="4180">
          <cell r="A4180" t="str">
            <v>BLLTNE8B</v>
          </cell>
          <cell r="B4180">
            <v>0</v>
          </cell>
          <cell r="C4180">
            <v>0</v>
          </cell>
          <cell r="D4180">
            <v>0</v>
          </cell>
          <cell r="E4180" t="e">
            <v>#VALUE!</v>
          </cell>
          <cell r="F4180">
            <v>-156.65141420756302</v>
          </cell>
        </row>
        <row r="4181">
          <cell r="A4181" t="str">
            <v>BLPCNE8B</v>
          </cell>
          <cell r="B4181">
            <v>0</v>
          </cell>
          <cell r="C4181">
            <v>0</v>
          </cell>
          <cell r="D4181">
            <v>0</v>
          </cell>
          <cell r="E4181" t="e">
            <v>#VALUE!</v>
          </cell>
          <cell r="F4181">
            <v>-158.74864664992242</v>
          </cell>
        </row>
        <row r="4182">
          <cell r="A4182" t="str">
            <v>BLPMNE8B</v>
          </cell>
          <cell r="B4182">
            <v>0</v>
          </cell>
          <cell r="C4182">
            <v>0</v>
          </cell>
          <cell r="D4182">
            <v>0</v>
          </cell>
          <cell r="E4182" t="e">
            <v>#VALUE!</v>
          </cell>
          <cell r="F4182">
            <v>-152.28484419731245</v>
          </cell>
        </row>
        <row r="4183">
          <cell r="A4183" t="str">
            <v>BLPPNE8B</v>
          </cell>
          <cell r="B4183">
            <v>0</v>
          </cell>
          <cell r="C4183">
            <v>0</v>
          </cell>
          <cell r="D4183">
            <v>0</v>
          </cell>
          <cell r="E4183" t="e">
            <v>#VALUE!</v>
          </cell>
          <cell r="F4183">
            <v>-157.73257245625535</v>
          </cell>
        </row>
        <row r="4184">
          <cell r="A4184" t="str">
            <v>BCL2NE8B</v>
          </cell>
          <cell r="B4184">
            <v>0</v>
          </cell>
          <cell r="C4184">
            <v>0</v>
          </cell>
          <cell r="D4184">
            <v>0</v>
          </cell>
          <cell r="E4184" t="e">
            <v>#VALUE!</v>
          </cell>
          <cell r="F4184">
            <v>0</v>
          </cell>
        </row>
        <row r="4185">
          <cell r="A4185" t="str">
            <v>BRFTNE8B</v>
          </cell>
          <cell r="B4185">
            <v>0</v>
          </cell>
          <cell r="C4185">
            <v>0</v>
          </cell>
          <cell r="D4185">
            <v>0</v>
          </cell>
          <cell r="E4185" t="e">
            <v>#VALUE!</v>
          </cell>
          <cell r="F4185">
            <v>-169.00108416831657</v>
          </cell>
        </row>
        <row r="4186">
          <cell r="A4186" t="str">
            <v>BRFHNE8B</v>
          </cell>
          <cell r="B4186">
            <v>0</v>
          </cell>
          <cell r="C4186">
            <v>0</v>
          </cell>
          <cell r="D4186">
            <v>0</v>
          </cell>
          <cell r="E4186" t="e">
            <v>#VALUE!</v>
          </cell>
          <cell r="F4186">
            <v>-165.83315484033872</v>
          </cell>
        </row>
        <row r="4187">
          <cell r="A4187" t="str">
            <v>BRQQNE8B</v>
          </cell>
          <cell r="B4187">
            <v>0</v>
          </cell>
          <cell r="C4187">
            <v>0</v>
          </cell>
          <cell r="D4187">
            <v>0</v>
          </cell>
          <cell r="E4187" t="e">
            <v>#VALUE!</v>
          </cell>
          <cell r="F4187">
            <v>-169.00108416831657</v>
          </cell>
        </row>
        <row r="4188">
          <cell r="A4188" t="str">
            <v>BMTBNE8B</v>
          </cell>
          <cell r="B4188">
            <v>0</v>
          </cell>
          <cell r="C4188">
            <v>0</v>
          </cell>
          <cell r="D4188">
            <v>0</v>
          </cell>
          <cell r="E4188" t="e">
            <v>#VALUE!</v>
          </cell>
          <cell r="F4188">
            <v>-220.47242918667729</v>
          </cell>
        </row>
        <row r="4189">
          <cell r="A4189" t="str">
            <v>BMTENE8B</v>
          </cell>
          <cell r="B4189">
            <v>0</v>
          </cell>
          <cell r="C4189">
            <v>0</v>
          </cell>
          <cell r="D4189">
            <v>0</v>
          </cell>
          <cell r="E4189" t="e">
            <v>#VALUE!</v>
          </cell>
          <cell r="F4189">
            <v>-150.64132820024884</v>
          </cell>
        </row>
        <row r="4190">
          <cell r="A4190" t="str">
            <v>BALKNE8B</v>
          </cell>
          <cell r="B4190">
            <v>0</v>
          </cell>
          <cell r="C4190">
            <v>0</v>
          </cell>
          <cell r="D4190">
            <v>0</v>
          </cell>
          <cell r="E4190" t="e">
            <v>#VALUE!</v>
          </cell>
          <cell r="F4190">
            <v>-151.79167628876149</v>
          </cell>
        </row>
        <row r="4191">
          <cell r="A4191" t="str">
            <v>BTOLNE8B</v>
          </cell>
          <cell r="B4191">
            <v>0</v>
          </cell>
          <cell r="C4191">
            <v>0</v>
          </cell>
          <cell r="D4191">
            <v>0</v>
          </cell>
          <cell r="E4191" t="e">
            <v>#VALUE!</v>
          </cell>
          <cell r="F4191">
            <v>-211.4109617468429</v>
          </cell>
        </row>
        <row r="4192">
          <cell r="A4192" t="str">
            <v>BLLTNE9B</v>
          </cell>
          <cell r="B4192">
            <v>3.9627869652027176E-7</v>
          </cell>
          <cell r="C4192">
            <v>0</v>
          </cell>
          <cell r="D4192">
            <v>0</v>
          </cell>
          <cell r="E4192" t="e">
            <v>#VALUE!</v>
          </cell>
          <cell r="F4192">
            <v>-105.18863462683272</v>
          </cell>
        </row>
        <row r="4193">
          <cell r="A4193" t="str">
            <v>BLPCNE9B</v>
          </cell>
          <cell r="B4193">
            <v>2.5130477720952899E-6</v>
          </cell>
          <cell r="C4193">
            <v>0</v>
          </cell>
          <cell r="D4193">
            <v>0</v>
          </cell>
          <cell r="E4193" t="e">
            <v>#VALUE!</v>
          </cell>
          <cell r="F4193">
            <v>-258.12355102586417</v>
          </cell>
        </row>
        <row r="4194">
          <cell r="A4194" t="str">
            <v>BLPMNE9B</v>
          </cell>
          <cell r="B4194">
            <v>4.3284379687177797E-7</v>
          </cell>
          <cell r="C4194">
            <v>0</v>
          </cell>
          <cell r="D4194">
            <v>0</v>
          </cell>
          <cell r="E4194" t="e">
            <v>#VALUE!</v>
          </cell>
          <cell r="F4194">
            <v>-264.33661332457035</v>
          </cell>
        </row>
        <row r="4195">
          <cell r="A4195" t="str">
            <v>BLPPNE9B</v>
          </cell>
          <cell r="B4195">
            <v>1.4810436144797403E-6</v>
          </cell>
          <cell r="C4195">
            <v>0</v>
          </cell>
          <cell r="D4195">
            <v>0</v>
          </cell>
          <cell r="E4195" t="e">
            <v>#VALUE!</v>
          </cell>
          <cell r="F4195">
            <v>-100.43603582512843</v>
          </cell>
        </row>
        <row r="4196">
          <cell r="A4196" t="str">
            <v>BLPPJETB</v>
          </cell>
          <cell r="B4196">
            <v>2.7510340409736111E-2</v>
          </cell>
          <cell r="C4196">
            <v>0</v>
          </cell>
          <cell r="D4196">
            <v>0</v>
          </cell>
          <cell r="E4196" t="e">
            <v>#VALUE!</v>
          </cell>
          <cell r="F4196">
            <v>-14.777048340888873</v>
          </cell>
        </row>
        <row r="4197">
          <cell r="A4197" t="str">
            <v>BKJPJETB</v>
          </cell>
          <cell r="B4197">
            <v>0.23503632765926727</v>
          </cell>
          <cell r="C4197">
            <v>0</v>
          </cell>
          <cell r="D4197">
            <v>0</v>
          </cell>
          <cell r="E4197" t="e">
            <v>#VALUE!</v>
          </cell>
          <cell r="F4197">
            <v>-0.63210376060172302</v>
          </cell>
        </row>
        <row r="4198">
          <cell r="A4198" t="str">
            <v>BKIXJETB</v>
          </cell>
          <cell r="B4198">
            <v>8.4503680038942056E-2</v>
          </cell>
          <cell r="C4198">
            <v>0</v>
          </cell>
          <cell r="D4198">
            <v>0</v>
          </cell>
          <cell r="E4198" t="e">
            <v>#VALUE!</v>
          </cell>
          <cell r="F4198">
            <v>-5.5581955550468132E-2</v>
          </cell>
        </row>
        <row r="4199">
          <cell r="A4199" t="str">
            <v>BKJPKERB</v>
          </cell>
          <cell r="B4199">
            <v>-7.5849476409561707E-14</v>
          </cell>
          <cell r="C4199">
            <v>0</v>
          </cell>
          <cell r="D4199">
            <v>0</v>
          </cell>
          <cell r="E4199" t="e">
            <v>#VALUE!</v>
          </cell>
          <cell r="F4199">
            <v>-30.103265213639769</v>
          </cell>
        </row>
        <row r="4200">
          <cell r="A4200" t="str">
            <v>BKLXKERB</v>
          </cell>
          <cell r="B4200">
            <v>0</v>
          </cell>
          <cell r="C4200">
            <v>0</v>
          </cell>
          <cell r="D4200">
            <v>0</v>
          </cell>
          <cell r="E4200" t="e">
            <v>#VALUE!</v>
          </cell>
          <cell r="F4200">
            <v>-49.070810485376072</v>
          </cell>
        </row>
        <row r="4201">
          <cell r="A4201" t="str">
            <v>BGLXDSLB</v>
          </cell>
          <cell r="B4201">
            <v>0</v>
          </cell>
          <cell r="C4201">
            <v>0</v>
          </cell>
          <cell r="D4201">
            <v>0</v>
          </cell>
          <cell r="E4201" t="e">
            <v>#VALUE!</v>
          </cell>
          <cell r="F4201">
            <v>-5.8737295341249E-3</v>
          </cell>
        </row>
        <row r="4202">
          <cell r="A4202" t="str">
            <v>BGLVDSLB</v>
          </cell>
          <cell r="B4202">
            <v>-1.5984898336492042E-11</v>
          </cell>
          <cell r="C4202">
            <v>0</v>
          </cell>
          <cell r="D4202">
            <v>0</v>
          </cell>
          <cell r="E4202" t="e">
            <v>#VALUE!</v>
          </cell>
          <cell r="F4202">
            <v>0</v>
          </cell>
        </row>
        <row r="4203">
          <cell r="A4203" t="str">
            <v>BGLWDSLB</v>
          </cell>
          <cell r="B4203">
            <v>0</v>
          </cell>
          <cell r="C4203">
            <v>0</v>
          </cell>
          <cell r="D4203">
            <v>0</v>
          </cell>
          <cell r="E4203" t="e">
            <v>#VALUE!</v>
          </cell>
          <cell r="F4203">
            <v>-3.295974403211515</v>
          </cell>
        </row>
        <row r="4204">
          <cell r="A4204" t="str">
            <v>BKLXGOIB</v>
          </cell>
          <cell r="B4204">
            <v>9.5891184288344977E-2</v>
          </cell>
          <cell r="C4204">
            <v>0</v>
          </cell>
          <cell r="D4204">
            <v>0</v>
          </cell>
          <cell r="E4204" t="e">
            <v>#VALUE!</v>
          </cell>
          <cell r="F4204">
            <v>-1.8035278418292739E-2</v>
          </cell>
        </row>
        <row r="4205">
          <cell r="A4205" t="str">
            <v>BAD1GOIB</v>
          </cell>
          <cell r="B4205">
            <v>1.5200938932176627E-4</v>
          </cell>
          <cell r="C4205">
            <v>0</v>
          </cell>
          <cell r="D4205">
            <v>0</v>
          </cell>
          <cell r="E4205" t="e">
            <v>#VALUE!</v>
          </cell>
          <cell r="F4205">
            <v>-549.17552908283392</v>
          </cell>
        </row>
        <row r="4206">
          <cell r="A4206" t="str">
            <v>BAD2GOIB</v>
          </cell>
          <cell r="B4206">
            <v>0</v>
          </cell>
          <cell r="C4206">
            <v>0</v>
          </cell>
          <cell r="D4206">
            <v>0</v>
          </cell>
          <cell r="E4206" t="e">
            <v>#VALUE!</v>
          </cell>
          <cell r="F4206">
            <v>-258.87390671821493</v>
          </cell>
        </row>
        <row r="4207">
          <cell r="A4207" t="str">
            <v>BAD3GOIB</v>
          </cell>
          <cell r="B4207">
            <v>0</v>
          </cell>
          <cell r="C4207">
            <v>0</v>
          </cell>
          <cell r="D4207">
            <v>0</v>
          </cell>
          <cell r="E4207" t="e">
            <v>#VALUE!</v>
          </cell>
          <cell r="F4207">
            <v>-56.793283081054646</v>
          </cell>
        </row>
        <row r="4208">
          <cell r="A4208" t="str">
            <v>BPGOGOIB</v>
          </cell>
          <cell r="B4208">
            <v>3.5887500619235104</v>
          </cell>
          <cell r="C4208">
            <v>0</v>
          </cell>
          <cell r="D4208">
            <v>0</v>
          </cell>
          <cell r="E4208" t="e">
            <v>#VALUE!</v>
          </cell>
          <cell r="F4208">
            <v>0</v>
          </cell>
        </row>
        <row r="4209">
          <cell r="A4209" t="str">
            <v>BKKKGOIB</v>
          </cell>
          <cell r="B4209">
            <v>0.57556425839254299</v>
          </cell>
          <cell r="C4209">
            <v>0</v>
          </cell>
          <cell r="D4209">
            <v>0</v>
          </cell>
          <cell r="E4209" t="e">
            <v>#VALUE!</v>
          </cell>
          <cell r="F4209">
            <v>0</v>
          </cell>
        </row>
        <row r="4210">
          <cell r="A4210" t="str">
            <v>BKLXGOEB</v>
          </cell>
          <cell r="B4210">
            <v>3.2907511844857803E-10</v>
          </cell>
          <cell r="C4210">
            <v>0</v>
          </cell>
          <cell r="D4210">
            <v>0</v>
          </cell>
          <cell r="E4210" t="e">
            <v>#VALUE!</v>
          </cell>
          <cell r="F4210">
            <v>-25.518559457749561</v>
          </cell>
        </row>
        <row r="4211">
          <cell r="A4211" t="str">
            <v>BAD1GOEB</v>
          </cell>
          <cell r="B4211">
            <v>0</v>
          </cell>
          <cell r="C4211">
            <v>0</v>
          </cell>
          <cell r="D4211">
            <v>0</v>
          </cell>
          <cell r="E4211" t="e">
            <v>#VALUE!</v>
          </cell>
          <cell r="F4211">
            <v>-527.21747244220887</v>
          </cell>
        </row>
        <row r="4212">
          <cell r="A4212" t="str">
            <v>BAD2GOEB</v>
          </cell>
          <cell r="B4212">
            <v>0</v>
          </cell>
          <cell r="C4212">
            <v>0</v>
          </cell>
          <cell r="D4212">
            <v>0</v>
          </cell>
          <cell r="E4212" t="e">
            <v>#VALUE!</v>
          </cell>
          <cell r="F4212">
            <v>-216.37953598173209</v>
          </cell>
        </row>
        <row r="4213">
          <cell r="A4213" t="str">
            <v>BAD3GOEB</v>
          </cell>
          <cell r="B4213">
            <v>2.0589047727000515E-10</v>
          </cell>
          <cell r="C4213">
            <v>0</v>
          </cell>
          <cell r="D4213">
            <v>0</v>
          </cell>
          <cell r="E4213" t="e">
            <v>#VALUE!</v>
          </cell>
          <cell r="F4213">
            <v>-3.4593097253205027E-3</v>
          </cell>
        </row>
        <row r="4214">
          <cell r="A4214" t="str">
            <v>BPGOGOEB</v>
          </cell>
          <cell r="B4214">
            <v>5.5168717326585918E-10</v>
          </cell>
          <cell r="C4214">
            <v>0</v>
          </cell>
          <cell r="D4214">
            <v>0</v>
          </cell>
          <cell r="E4214" t="e">
            <v>#VALUE!</v>
          </cell>
          <cell r="F4214">
            <v>-0.11130630235149459</v>
          </cell>
        </row>
        <row r="4215">
          <cell r="A4215" t="str">
            <v>BKKKGOEB</v>
          </cell>
          <cell r="B4215">
            <v>8.6787596943502129E-13</v>
          </cell>
          <cell r="C4215">
            <v>0</v>
          </cell>
          <cell r="D4215">
            <v>0</v>
          </cell>
          <cell r="E4215" t="e">
            <v>#VALUE!</v>
          </cell>
          <cell r="F4215">
            <v>-0.52132277031467389</v>
          </cell>
        </row>
        <row r="4216">
          <cell r="A4216" t="str">
            <v>BLPPGOMB</v>
          </cell>
          <cell r="B4216">
            <v>0</v>
          </cell>
          <cell r="C4216">
            <v>0</v>
          </cell>
          <cell r="D4216">
            <v>0</v>
          </cell>
          <cell r="E4216" t="e">
            <v>#VALUE!</v>
          </cell>
          <cell r="F4216">
            <v>-15.120634713891434</v>
          </cell>
        </row>
        <row r="4217">
          <cell r="A4217" t="str">
            <v>BKJPGOMB</v>
          </cell>
          <cell r="B4217">
            <v>5.432627033697416E-2</v>
          </cell>
          <cell r="C4217">
            <v>0</v>
          </cell>
          <cell r="D4217">
            <v>0</v>
          </cell>
          <cell r="E4217" t="e">
            <v>#VALUE!</v>
          </cell>
          <cell r="F4217">
            <v>-0.72677162975481113</v>
          </cell>
        </row>
        <row r="4218">
          <cell r="A4218" t="str">
            <v>BKLXGOMB</v>
          </cell>
          <cell r="B4218">
            <v>2.3155787576959557E-2</v>
          </cell>
          <cell r="C4218">
            <v>0</v>
          </cell>
          <cell r="D4218">
            <v>0</v>
          </cell>
          <cell r="E4218" t="e">
            <v>#VALUE!</v>
          </cell>
          <cell r="F4218">
            <v>-1.0597850025108416E-2</v>
          </cell>
        </row>
        <row r="4219">
          <cell r="A4219" t="str">
            <v>BAD1GOMB</v>
          </cell>
          <cell r="B4219">
            <v>6.9456166422914726E-6</v>
          </cell>
          <cell r="C4219">
            <v>0</v>
          </cell>
          <cell r="D4219">
            <v>0</v>
          </cell>
          <cell r="E4219" t="e">
            <v>#VALUE!</v>
          </cell>
          <cell r="F4219">
            <v>0</v>
          </cell>
        </row>
        <row r="4220">
          <cell r="A4220" t="str">
            <v>BAD2GOMB</v>
          </cell>
          <cell r="B4220">
            <v>0</v>
          </cell>
          <cell r="C4220">
            <v>0</v>
          </cell>
          <cell r="D4220">
            <v>0</v>
          </cell>
          <cell r="E4220" t="e">
            <v>#VALUE!</v>
          </cell>
          <cell r="F4220">
            <v>-0.35733419934364213</v>
          </cell>
        </row>
        <row r="4221">
          <cell r="A4221" t="str">
            <v>BAD3GOMB</v>
          </cell>
          <cell r="B4221">
            <v>-2.0589047727000515E-10</v>
          </cell>
          <cell r="C4221">
            <v>0</v>
          </cell>
          <cell r="D4221">
            <v>0</v>
          </cell>
          <cell r="E4221" t="e">
            <v>#VALUE!</v>
          </cell>
          <cell r="F4221">
            <v>-0.60607658281718213</v>
          </cell>
        </row>
        <row r="4222">
          <cell r="A4222" t="str">
            <v>BLG2GOMB</v>
          </cell>
          <cell r="B4222">
            <v>3.1625800712467872E-2</v>
          </cell>
          <cell r="C4222">
            <v>0</v>
          </cell>
          <cell r="D4222">
            <v>0</v>
          </cell>
          <cell r="E4222" t="e">
            <v>#VALUE!</v>
          </cell>
          <cell r="F4222">
            <v>-0.16177533309753628</v>
          </cell>
        </row>
        <row r="4223">
          <cell r="A4223" t="str">
            <v>BHTDGOMB</v>
          </cell>
          <cell r="B4223">
            <v>0.10458421900051913</v>
          </cell>
          <cell r="C4223">
            <v>0</v>
          </cell>
          <cell r="D4223">
            <v>0</v>
          </cell>
          <cell r="E4223" t="e">
            <v>#VALUE!</v>
          </cell>
          <cell r="F4223">
            <v>0</v>
          </cell>
        </row>
        <row r="4224">
          <cell r="A4224" t="str">
            <v>BLPPGONB</v>
          </cell>
          <cell r="B4224">
            <v>0</v>
          </cell>
          <cell r="C4224">
            <v>0</v>
          </cell>
          <cell r="D4224">
            <v>0</v>
          </cell>
          <cell r="E4224" t="e">
            <v>#VALUE!</v>
          </cell>
          <cell r="F4224">
            <v>-15.022543777341712</v>
          </cell>
        </row>
        <row r="4225">
          <cell r="A4225" t="str">
            <v>BKLXGONB</v>
          </cell>
          <cell r="B4225">
            <v>5.5247292534945765E-2</v>
          </cell>
          <cell r="C4225">
            <v>0</v>
          </cell>
          <cell r="D4225">
            <v>0</v>
          </cell>
          <cell r="E4225" t="e">
            <v>#VALUE!</v>
          </cell>
          <cell r="F4225">
            <v>-4.938101009143453E-2</v>
          </cell>
        </row>
        <row r="4226">
          <cell r="A4226" t="str">
            <v>BAD1GONB</v>
          </cell>
          <cell r="B4226">
            <v>1.8679899401159012E-4</v>
          </cell>
          <cell r="C4226">
            <v>0</v>
          </cell>
          <cell r="D4226">
            <v>0</v>
          </cell>
          <cell r="E4226" t="e">
            <v>#VALUE!</v>
          </cell>
          <cell r="F4226">
            <v>-549.17552908283392</v>
          </cell>
        </row>
        <row r="4227">
          <cell r="A4227" t="str">
            <v>BAD2GONB</v>
          </cell>
          <cell r="B4227">
            <v>0</v>
          </cell>
          <cell r="C4227">
            <v>0</v>
          </cell>
          <cell r="D4227">
            <v>0</v>
          </cell>
          <cell r="E4227" t="e">
            <v>#VALUE!</v>
          </cell>
          <cell r="F4227">
            <v>-259.1596904780767</v>
          </cell>
        </row>
        <row r="4228">
          <cell r="A4228" t="str">
            <v>BAD3GONB</v>
          </cell>
          <cell r="B4228">
            <v>0</v>
          </cell>
          <cell r="C4228">
            <v>0</v>
          </cell>
          <cell r="D4228">
            <v>0</v>
          </cell>
          <cell r="E4228" t="e">
            <v>#VALUE!</v>
          </cell>
          <cell r="F4228">
            <v>-57.278002576305404</v>
          </cell>
        </row>
        <row r="4229">
          <cell r="A4229" t="str">
            <v>BPGOGONB</v>
          </cell>
          <cell r="B4229">
            <v>3.8931728519805491</v>
          </cell>
          <cell r="C4229">
            <v>0</v>
          </cell>
          <cell r="D4229">
            <v>0</v>
          </cell>
          <cell r="E4229" t="e">
            <v>#VALUE!</v>
          </cell>
          <cell r="F4229">
            <v>0</v>
          </cell>
        </row>
        <row r="4230">
          <cell r="A4230" t="str">
            <v>BKKKGONB</v>
          </cell>
          <cell r="B4230">
            <v>1.0424590016064579</v>
          </cell>
          <cell r="C4230">
            <v>0</v>
          </cell>
          <cell r="D4230">
            <v>0</v>
          </cell>
          <cell r="E4230" t="e">
            <v>#VALUE!</v>
          </cell>
          <cell r="F4230">
            <v>0</v>
          </cell>
        </row>
        <row r="4231">
          <cell r="A4231" t="str">
            <v>BLPPGOPB</v>
          </cell>
          <cell r="B4231">
            <v>0</v>
          </cell>
          <cell r="C4231">
            <v>0</v>
          </cell>
          <cell r="D4231">
            <v>0</v>
          </cell>
          <cell r="E4231" t="e">
            <v>#VALUE!</v>
          </cell>
          <cell r="F4231">
            <v>-229.31289719882076</v>
          </cell>
        </row>
        <row r="4232">
          <cell r="A4232" t="str">
            <v>BPG3GOPB</v>
          </cell>
          <cell r="B4232">
            <v>6.0631369209934039E-10</v>
          </cell>
          <cell r="C4232">
            <v>0</v>
          </cell>
          <cell r="D4232">
            <v>0</v>
          </cell>
          <cell r="E4232" t="e">
            <v>#VALUE!</v>
          </cell>
          <cell r="F4232">
            <v>-206.54571282373715</v>
          </cell>
        </row>
        <row r="4233">
          <cell r="A4233" t="str">
            <v>BPRAGOPB</v>
          </cell>
          <cell r="B4233">
            <v>-5.5399289782691108E-10</v>
          </cell>
          <cell r="C4233">
            <v>0</v>
          </cell>
          <cell r="D4233">
            <v>0</v>
          </cell>
          <cell r="E4233" t="e">
            <v>#VALUE!</v>
          </cell>
          <cell r="F4233">
            <v>-169.98317503210617</v>
          </cell>
        </row>
        <row r="4234">
          <cell r="A4234" t="str">
            <v>BPG2FOCB</v>
          </cell>
          <cell r="B4234">
            <v>0</v>
          </cell>
          <cell r="C4234">
            <v>0</v>
          </cell>
          <cell r="D4234">
            <v>0</v>
          </cell>
          <cell r="E4234" t="e">
            <v>#VALUE!</v>
          </cell>
          <cell r="F4234">
            <v>-99.521848391180171</v>
          </cell>
        </row>
        <row r="4235">
          <cell r="A4235" t="str">
            <v>BPG3FOCB</v>
          </cell>
          <cell r="B4235">
            <v>0</v>
          </cell>
          <cell r="C4235">
            <v>0</v>
          </cell>
          <cell r="D4235">
            <v>0</v>
          </cell>
          <cell r="E4235" t="e">
            <v>#VALUE!</v>
          </cell>
          <cell r="F4235">
            <v>-98.308132628871974</v>
          </cell>
        </row>
        <row r="4236">
          <cell r="A4236" t="str">
            <v>BBCDFOCB</v>
          </cell>
          <cell r="B4236">
            <v>1.8747317460721418E-6</v>
          </cell>
          <cell r="C4236">
            <v>0</v>
          </cell>
          <cell r="D4236">
            <v>0</v>
          </cell>
          <cell r="E4236" t="e">
            <v>#VALUE!</v>
          </cell>
          <cell r="F4236">
            <v>-82.866659754922949</v>
          </cell>
        </row>
        <row r="4237">
          <cell r="A4237" t="str">
            <v>BCG1FOCB</v>
          </cell>
          <cell r="B4237">
            <v>0</v>
          </cell>
          <cell r="C4237">
            <v>0</v>
          </cell>
          <cell r="D4237">
            <v>0</v>
          </cell>
          <cell r="E4237" t="e">
            <v>#VALUE!</v>
          </cell>
          <cell r="F4237">
            <v>-117.5736159755759</v>
          </cell>
        </row>
        <row r="4238">
          <cell r="A4238" t="str">
            <v>BCG2FOCB</v>
          </cell>
          <cell r="B4238">
            <v>0</v>
          </cell>
          <cell r="C4238">
            <v>0</v>
          </cell>
          <cell r="D4238">
            <v>0</v>
          </cell>
          <cell r="E4238" t="e">
            <v>#VALUE!</v>
          </cell>
          <cell r="F4238">
            <v>-133.51279104572453</v>
          </cell>
        </row>
        <row r="4239">
          <cell r="A4239" t="str">
            <v>BDCXFOCB</v>
          </cell>
          <cell r="B4239">
            <v>0</v>
          </cell>
          <cell r="C4239">
            <v>0</v>
          </cell>
          <cell r="D4239">
            <v>0</v>
          </cell>
          <cell r="E4239" t="e">
            <v>#VALUE!</v>
          </cell>
          <cell r="F4239">
            <v>-110.55064192471438</v>
          </cell>
        </row>
        <row r="4240">
          <cell r="A4240" t="str">
            <v>BLVAFOCB</v>
          </cell>
          <cell r="B4240">
            <v>0</v>
          </cell>
          <cell r="C4240">
            <v>0</v>
          </cell>
          <cell r="D4240">
            <v>0</v>
          </cell>
          <cell r="E4240" t="e">
            <v>#VALUE!</v>
          </cell>
          <cell r="F4240">
            <v>-111.43035214045277</v>
          </cell>
        </row>
        <row r="4241">
          <cell r="A4241" t="str">
            <v>BPVAFOCB</v>
          </cell>
          <cell r="B4241">
            <v>0</v>
          </cell>
          <cell r="C4241">
            <v>0</v>
          </cell>
          <cell r="D4241">
            <v>0</v>
          </cell>
          <cell r="E4241" t="e">
            <v>#VALUE!</v>
          </cell>
          <cell r="F4241">
            <v>-153.23371358375027</v>
          </cell>
        </row>
        <row r="4242">
          <cell r="A4242" t="str">
            <v>BCCSFOCB</v>
          </cell>
          <cell r="B4242">
            <v>1.5047210375971738E-7</v>
          </cell>
          <cell r="C4242">
            <v>0</v>
          </cell>
          <cell r="D4242">
            <v>0</v>
          </cell>
          <cell r="E4242" t="e">
            <v>#VALUE!</v>
          </cell>
          <cell r="F4242">
            <v>-68.499682617187503</v>
          </cell>
        </row>
        <row r="4243">
          <cell r="A4243" t="str">
            <v>BPRAFOCB</v>
          </cell>
          <cell r="B4243">
            <v>-8.6340413357678959E-10</v>
          </cell>
          <cell r="C4243">
            <v>0</v>
          </cell>
          <cell r="D4243">
            <v>0</v>
          </cell>
          <cell r="E4243" t="e">
            <v>#VALUE!</v>
          </cell>
          <cell r="F4243">
            <v>-75.569468835281995</v>
          </cell>
        </row>
        <row r="4244">
          <cell r="A4244" t="str">
            <v>BAR2FOCB</v>
          </cell>
          <cell r="B4244">
            <v>0</v>
          </cell>
          <cell r="C4244">
            <v>0</v>
          </cell>
          <cell r="D4244">
            <v>0</v>
          </cell>
          <cell r="E4244" t="e">
            <v>#VALUE!</v>
          </cell>
          <cell r="F4244">
            <v>-127.91198284201425</v>
          </cell>
        </row>
        <row r="4245">
          <cell r="A4245" t="str">
            <v>BAR3FOCB</v>
          </cell>
          <cell r="B4245">
            <v>5.3960718441760954E-6</v>
          </cell>
          <cell r="C4245">
            <v>0</v>
          </cell>
          <cell r="D4245">
            <v>0</v>
          </cell>
          <cell r="E4245" t="e">
            <v>#VALUE!</v>
          </cell>
          <cell r="F4245">
            <v>-77.866731993792811</v>
          </cell>
        </row>
        <row r="4246">
          <cell r="A4246" t="str">
            <v>BCOKCKEB</v>
          </cell>
          <cell r="B4246">
            <v>1.1712325060204283</v>
          </cell>
          <cell r="C4246">
            <v>0</v>
          </cell>
          <cell r="D4246">
            <v>0</v>
          </cell>
          <cell r="E4246" t="e">
            <v>#VALUE!</v>
          </cell>
          <cell r="F4246">
            <v>0</v>
          </cell>
        </row>
        <row r="4247">
          <cell r="A4247" t="str">
            <v>BCOKCEEB</v>
          </cell>
          <cell r="B4247">
            <v>0</v>
          </cell>
          <cell r="C4247">
            <v>0</v>
          </cell>
          <cell r="D4247">
            <v>0</v>
          </cell>
          <cell r="E4247" t="e">
            <v>#VALUE!</v>
          </cell>
          <cell r="F4247">
            <v>-17.406000137329102</v>
          </cell>
        </row>
        <row r="4248">
          <cell r="A4248" t="str">
            <v>BBCDHTJB</v>
          </cell>
          <cell r="B4248">
            <v>4.2765036631783008E-11</v>
          </cell>
          <cell r="C4248">
            <v>0</v>
          </cell>
          <cell r="D4248">
            <v>0</v>
          </cell>
          <cell r="E4248" t="e">
            <v>#VALUE!</v>
          </cell>
          <cell r="F4248">
            <v>0</v>
          </cell>
        </row>
        <row r="4249">
          <cell r="A4249" t="str">
            <v>BAR2CRPB</v>
          </cell>
          <cell r="B4249">
            <v>0</v>
          </cell>
          <cell r="C4249">
            <v>0</v>
          </cell>
          <cell r="D4249">
            <v>0</v>
          </cell>
          <cell r="E4249" t="e">
            <v>#VALUE!</v>
          </cell>
          <cell r="F4249">
            <v>-6.3304879711098865</v>
          </cell>
        </row>
        <row r="4250">
          <cell r="A4250" t="str">
            <v>BAR3CRPB</v>
          </cell>
          <cell r="B4250">
            <v>9.9439405839129673E-12</v>
          </cell>
          <cell r="C4250">
            <v>0</v>
          </cell>
          <cell r="D4250">
            <v>0</v>
          </cell>
          <cell r="E4250" t="e">
            <v>#VALUE!</v>
          </cell>
          <cell r="F4250">
            <v>0</v>
          </cell>
        </row>
        <row r="4251">
          <cell r="A4251" t="str">
            <v>BLVALVVB</v>
          </cell>
          <cell r="B4251">
            <v>-1.681489531897467E-12</v>
          </cell>
          <cell r="C4251">
            <v>0</v>
          </cell>
          <cell r="D4251">
            <v>0</v>
          </cell>
          <cell r="E4251" t="e">
            <v>#VALUE!</v>
          </cell>
          <cell r="F4251">
            <v>-87.736131892792173</v>
          </cell>
        </row>
        <row r="4252">
          <cell r="A4252" t="str">
            <v>BTN1NPTB</v>
          </cell>
          <cell r="B4252">
            <v>0</v>
          </cell>
          <cell r="C4252">
            <v>0</v>
          </cell>
          <cell r="D4252">
            <v>0</v>
          </cell>
          <cell r="E4252" t="e">
            <v>#VALUE!</v>
          </cell>
          <cell r="F4252">
            <v>-217.61867997678991</v>
          </cell>
        </row>
        <row r="4253">
          <cell r="A4253" t="str">
            <v>BPT2NPTB</v>
          </cell>
          <cell r="B4253">
            <v>0</v>
          </cell>
          <cell r="C4253">
            <v>0</v>
          </cell>
          <cell r="D4253">
            <v>0</v>
          </cell>
          <cell r="E4253" t="e">
            <v>#VALUE!</v>
          </cell>
          <cell r="F4253">
            <v>-182.29807880349355</v>
          </cell>
        </row>
        <row r="4254">
          <cell r="A4254" t="str">
            <v>BPT3NPTB</v>
          </cell>
          <cell r="B4254">
            <v>0</v>
          </cell>
          <cell r="C4254">
            <v>0</v>
          </cell>
          <cell r="D4254">
            <v>0</v>
          </cell>
          <cell r="E4254" t="e">
            <v>#VALUE!</v>
          </cell>
          <cell r="F4254">
            <v>-180.74875893788794</v>
          </cell>
        </row>
        <row r="4255">
          <cell r="A4255" t="str">
            <v>BCORNPTB</v>
          </cell>
          <cell r="B4255">
            <v>0</v>
          </cell>
          <cell r="C4255">
            <v>0</v>
          </cell>
          <cell r="D4255">
            <v>0</v>
          </cell>
          <cell r="E4255" t="e">
            <v>#VALUE!</v>
          </cell>
          <cell r="F4255">
            <v>-159.60444341685675</v>
          </cell>
        </row>
        <row r="4256">
          <cell r="A4256" t="str">
            <v>BLIVNPTB</v>
          </cell>
          <cell r="B4256">
            <v>0</v>
          </cell>
          <cell r="C4256">
            <v>0</v>
          </cell>
          <cell r="D4256">
            <v>0</v>
          </cell>
          <cell r="E4256" t="e">
            <v>#VALUE!</v>
          </cell>
          <cell r="F4256">
            <v>-139.22014996254282</v>
          </cell>
        </row>
        <row r="4257">
          <cell r="A4257" t="str">
            <v>S105LN2B</v>
          </cell>
          <cell r="B4257">
            <v>0.25086172672167217</v>
          </cell>
          <cell r="C4257">
            <v>0</v>
          </cell>
          <cell r="D4257">
            <v>0</v>
          </cell>
          <cell r="E4257" t="e">
            <v>#VALUE!</v>
          </cell>
          <cell r="F4257">
            <v>0</v>
          </cell>
        </row>
        <row r="4258">
          <cell r="A4258" t="str">
            <v>S105PN2B</v>
          </cell>
          <cell r="B4258">
            <v>0.52645554232270753</v>
          </cell>
          <cell r="C4258">
            <v>0</v>
          </cell>
          <cell r="D4258">
            <v>0</v>
          </cell>
          <cell r="E4258" t="e">
            <v>#VALUE!</v>
          </cell>
          <cell r="F4258">
            <v>0</v>
          </cell>
        </row>
        <row r="4259">
          <cell r="A4259" t="str">
            <v>S105L11B</v>
          </cell>
          <cell r="B4259">
            <v>0.25086172672167217</v>
          </cell>
          <cell r="C4259">
            <v>0</v>
          </cell>
          <cell r="D4259">
            <v>0</v>
          </cell>
          <cell r="E4259" t="e">
            <v>#VALUE!</v>
          </cell>
          <cell r="F4259">
            <v>0</v>
          </cell>
        </row>
        <row r="4260">
          <cell r="A4260" t="str">
            <v>S105L12B</v>
          </cell>
          <cell r="B4260">
            <v>0</v>
          </cell>
          <cell r="C4260">
            <v>0</v>
          </cell>
          <cell r="D4260">
            <v>0</v>
          </cell>
          <cell r="E4260" t="e">
            <v>#VALUE!</v>
          </cell>
          <cell r="F4260">
            <v>0</v>
          </cell>
        </row>
        <row r="4261">
          <cell r="A4261" t="str">
            <v>S105L21B</v>
          </cell>
          <cell r="B4261">
            <v>0.25086172672167217</v>
          </cell>
          <cell r="C4261">
            <v>0</v>
          </cell>
          <cell r="D4261">
            <v>0</v>
          </cell>
          <cell r="E4261" t="e">
            <v>#VALUE!</v>
          </cell>
          <cell r="F4261">
            <v>0</v>
          </cell>
        </row>
        <row r="4262">
          <cell r="A4262" t="str">
            <v>S105L22B</v>
          </cell>
          <cell r="B4262">
            <v>0</v>
          </cell>
          <cell r="C4262">
            <v>0</v>
          </cell>
          <cell r="D4262">
            <v>0</v>
          </cell>
          <cell r="E4262" t="e">
            <v>#VALUE!</v>
          </cell>
          <cell r="F4262">
            <v>0</v>
          </cell>
        </row>
        <row r="4263">
          <cell r="A4263" t="str">
            <v>S105P11B</v>
          </cell>
          <cell r="B4263">
            <v>0.23288201248809082</v>
          </cell>
          <cell r="C4263">
            <v>0</v>
          </cell>
          <cell r="D4263">
            <v>0</v>
          </cell>
          <cell r="E4263" t="e">
            <v>#VALUE!</v>
          </cell>
          <cell r="F4263">
            <v>0</v>
          </cell>
        </row>
        <row r="4264">
          <cell r="A4264" t="str">
            <v>S105P12B</v>
          </cell>
          <cell r="B4264">
            <v>0.29357401018273338</v>
          </cell>
          <cell r="C4264">
            <v>0</v>
          </cell>
          <cell r="D4264">
            <v>0</v>
          </cell>
          <cell r="E4264" t="e">
            <v>#VALUE!</v>
          </cell>
          <cell r="F4264">
            <v>0</v>
          </cell>
        </row>
        <row r="4265">
          <cell r="A4265" t="str">
            <v>S105P21B</v>
          </cell>
          <cell r="B4265">
            <v>0.23288201248809082</v>
          </cell>
          <cell r="C4265">
            <v>0</v>
          </cell>
          <cell r="D4265">
            <v>0</v>
          </cell>
          <cell r="E4265" t="e">
            <v>#VALUE!</v>
          </cell>
          <cell r="F4265">
            <v>0</v>
          </cell>
        </row>
        <row r="4266">
          <cell r="A4266" t="str">
            <v>S105P22B</v>
          </cell>
          <cell r="B4266">
            <v>0.29357401018273338</v>
          </cell>
          <cell r="C4266">
            <v>0</v>
          </cell>
          <cell r="D4266">
            <v>0</v>
          </cell>
          <cell r="E4266" t="e">
            <v>#VALUE!</v>
          </cell>
          <cell r="F4266">
            <v>0</v>
          </cell>
        </row>
        <row r="4267">
          <cell r="A4267" t="str">
            <v>S105LT2B</v>
          </cell>
          <cell r="B4267">
            <v>0.48374374304732232</v>
          </cell>
          <cell r="C4267">
            <v>0</v>
          </cell>
          <cell r="D4267">
            <v>0</v>
          </cell>
          <cell r="E4267" t="e">
            <v>#VALUE!</v>
          </cell>
          <cell r="F4267">
            <v>0</v>
          </cell>
        </row>
        <row r="4268">
          <cell r="A4268" t="str">
            <v>S105PT2B</v>
          </cell>
          <cell r="B4268">
            <v>0.29357401018273338</v>
          </cell>
          <cell r="C4268">
            <v>0</v>
          </cell>
          <cell r="D4268">
            <v>0</v>
          </cell>
          <cell r="E4268" t="e">
            <v>#VALUE!</v>
          </cell>
          <cell r="F4268">
            <v>0</v>
          </cell>
        </row>
        <row r="4269">
          <cell r="A4269" t="str">
            <v>S306C4MB</v>
          </cell>
          <cell r="B4269">
            <v>0.2071652793312726</v>
          </cell>
          <cell r="C4269">
            <v>0</v>
          </cell>
          <cell r="D4269">
            <v>0</v>
          </cell>
          <cell r="E4269" t="e">
            <v>#VALUE!</v>
          </cell>
          <cell r="F4269">
            <v>0</v>
          </cell>
        </row>
        <row r="4270">
          <cell r="A4270" t="str">
            <v>S306CC4B</v>
          </cell>
          <cell r="B4270">
            <v>1.1515622665110517E-2</v>
          </cell>
          <cell r="C4270">
            <v>0</v>
          </cell>
          <cell r="D4270">
            <v>0</v>
          </cell>
          <cell r="E4270" t="e">
            <v>#VALUE!</v>
          </cell>
          <cell r="F4270">
            <v>0</v>
          </cell>
        </row>
        <row r="4271">
          <cell r="A4271" t="str">
            <v>S306CI4B</v>
          </cell>
          <cell r="B4271">
            <v>5.3479172432259338E-2</v>
          </cell>
          <cell r="C4271">
            <v>0</v>
          </cell>
          <cell r="D4271">
            <v>0</v>
          </cell>
          <cell r="E4271" t="e">
            <v>#VALUE!</v>
          </cell>
          <cell r="F4271">
            <v>0</v>
          </cell>
        </row>
        <row r="4272">
          <cell r="A4272" t="str">
            <v>S306CI=B</v>
          </cell>
          <cell r="B4272">
            <v>2.5574780611499941E-3</v>
          </cell>
          <cell r="C4272">
            <v>0</v>
          </cell>
          <cell r="D4272">
            <v>0</v>
          </cell>
          <cell r="E4272" t="e">
            <v>#VALUE!</v>
          </cell>
          <cell r="F4272">
            <v>0</v>
          </cell>
        </row>
        <row r="4273">
          <cell r="A4273" t="str">
            <v>S306C=1B</v>
          </cell>
          <cell r="B4273">
            <v>2.1934761265165185E-2</v>
          </cell>
          <cell r="C4273">
            <v>0</v>
          </cell>
          <cell r="D4273">
            <v>0</v>
          </cell>
          <cell r="E4273" t="e">
            <v>#VALUE!</v>
          </cell>
          <cell r="F4273">
            <v>0</v>
          </cell>
        </row>
        <row r="4274">
          <cell r="A4274" t="str">
            <v>S306C=2B</v>
          </cell>
          <cell r="B4274">
            <v>1.5347853014628364E-2</v>
          </cell>
          <cell r="C4274">
            <v>0</v>
          </cell>
          <cell r="D4274">
            <v>0</v>
          </cell>
          <cell r="E4274" t="e">
            <v>#VALUE!</v>
          </cell>
          <cell r="F4274">
            <v>0</v>
          </cell>
        </row>
        <row r="4275">
          <cell r="A4275" t="str">
            <v>S306BC4B</v>
          </cell>
          <cell r="B4275">
            <v>1.7273434226031174E-2</v>
          </cell>
          <cell r="C4275">
            <v>0</v>
          </cell>
          <cell r="D4275">
            <v>0</v>
          </cell>
          <cell r="E4275" t="e">
            <v>#VALUE!</v>
          </cell>
          <cell r="F4275">
            <v>0</v>
          </cell>
        </row>
        <row r="4276">
          <cell r="A4276" t="str">
            <v>S306BI4B</v>
          </cell>
          <cell r="B4276">
            <v>1.0914117024497015E-3</v>
          </cell>
          <cell r="C4276">
            <v>0</v>
          </cell>
          <cell r="D4276">
            <v>0</v>
          </cell>
          <cell r="E4276" t="e">
            <v>#VALUE!</v>
          </cell>
          <cell r="F4276">
            <v>0</v>
          </cell>
        </row>
        <row r="4277">
          <cell r="A4277" t="str">
            <v>S306BI=B</v>
          </cell>
          <cell r="B4277">
            <v>6.3936951528749853E-4</v>
          </cell>
          <cell r="C4277">
            <v>0</v>
          </cell>
          <cell r="D4277">
            <v>0</v>
          </cell>
          <cell r="E4277" t="e">
            <v>#VALUE!</v>
          </cell>
          <cell r="F4277">
            <v>0</v>
          </cell>
        </row>
        <row r="4278">
          <cell r="A4278" t="str">
            <v>S306B=1B</v>
          </cell>
          <cell r="B4278">
            <v>2.1934761265165185E-2</v>
          </cell>
          <cell r="C4278">
            <v>0</v>
          </cell>
          <cell r="D4278">
            <v>0</v>
          </cell>
          <cell r="E4278" t="e">
            <v>#VALUE!</v>
          </cell>
          <cell r="F4278">
            <v>0</v>
          </cell>
        </row>
        <row r="4279">
          <cell r="A4279" t="str">
            <v>S306B=2B</v>
          </cell>
          <cell r="B4279">
            <v>6.1391412058513457E-2</v>
          </cell>
          <cell r="C4279">
            <v>0</v>
          </cell>
          <cell r="D4279">
            <v>0</v>
          </cell>
          <cell r="E4279" t="e">
            <v>#VALUE!</v>
          </cell>
          <cell r="F4279">
            <v>0</v>
          </cell>
        </row>
        <row r="4280">
          <cell r="A4280" t="str">
            <v>S306WXAB</v>
          </cell>
          <cell r="B4280">
            <v>2.8789056888590122E-2</v>
          </cell>
          <cell r="C4280">
            <v>0</v>
          </cell>
          <cell r="D4280">
            <v>0</v>
          </cell>
          <cell r="E4280" t="e">
            <v>#VALUE!</v>
          </cell>
          <cell r="F4280">
            <v>0</v>
          </cell>
        </row>
        <row r="4281">
          <cell r="A4281" t="str">
            <v>S306WXBB</v>
          </cell>
          <cell r="B4281">
            <v>5.457058593834916E-2</v>
          </cell>
          <cell r="C4281">
            <v>0</v>
          </cell>
          <cell r="D4281">
            <v>0</v>
          </cell>
          <cell r="E4281" t="e">
            <v>#VALUE!</v>
          </cell>
          <cell r="F4281">
            <v>0</v>
          </cell>
        </row>
        <row r="4282">
          <cell r="A4282" t="str">
            <v>S306WXCB</v>
          </cell>
          <cell r="B4282">
            <v>3.1968475325824053E-3</v>
          </cell>
          <cell r="C4282">
            <v>0</v>
          </cell>
          <cell r="D4282">
            <v>0</v>
          </cell>
          <cell r="E4282" t="e">
            <v>#VALUE!</v>
          </cell>
          <cell r="F4282">
            <v>0</v>
          </cell>
        </row>
        <row r="4283">
          <cell r="A4283" t="str">
            <v>S306WXDB</v>
          </cell>
          <cell r="B4283">
            <v>4.3869522530330371E-2</v>
          </cell>
          <cell r="C4283">
            <v>0</v>
          </cell>
          <cell r="D4283">
            <v>0</v>
          </cell>
          <cell r="E4283" t="e">
            <v>#VALUE!</v>
          </cell>
          <cell r="F4283">
            <v>0</v>
          </cell>
        </row>
        <row r="4284">
          <cell r="A4284" t="str">
            <v>S306WXEB</v>
          </cell>
          <cell r="B4284">
            <v>7.6739263412070602E-2</v>
          </cell>
          <cell r="C4284">
            <v>0</v>
          </cell>
          <cell r="D4284">
            <v>0</v>
          </cell>
          <cell r="E4284" t="e">
            <v>#VALUE!</v>
          </cell>
          <cell r="F4284">
            <v>0</v>
          </cell>
        </row>
        <row r="4285">
          <cell r="A4285" t="str">
            <v>S306CA9B</v>
          </cell>
          <cell r="B4285">
            <v>0.34920001029968262</v>
          </cell>
          <cell r="C4285">
            <v>0</v>
          </cell>
          <cell r="D4285">
            <v>0</v>
          </cell>
          <cell r="E4285" t="e">
            <v>#VALUE!</v>
          </cell>
          <cell r="F4285">
            <v>0</v>
          </cell>
        </row>
        <row r="4286">
          <cell r="A4286" t="str">
            <v>S306C4CB</v>
          </cell>
          <cell r="B4286">
            <v>0.10483488820187033</v>
          </cell>
          <cell r="C4286">
            <v>0</v>
          </cell>
          <cell r="D4286">
            <v>0</v>
          </cell>
          <cell r="E4286" t="e">
            <v>#VALUE!</v>
          </cell>
          <cell r="F4286">
            <v>0</v>
          </cell>
        </row>
        <row r="4287">
          <cell r="A4287" t="str">
            <v>S306C4BB</v>
          </cell>
          <cell r="B4287">
            <v>0.10233038743473079</v>
          </cell>
          <cell r="C4287">
            <v>0</v>
          </cell>
          <cell r="D4287">
            <v>0</v>
          </cell>
          <cell r="E4287" t="e">
            <v>#VALUE!</v>
          </cell>
          <cell r="F4287">
            <v>0</v>
          </cell>
        </row>
        <row r="4288">
          <cell r="A4288" t="str">
            <v>SNFCLC3B</v>
          </cell>
          <cell r="B4288">
            <v>0.80819839435080965</v>
          </cell>
          <cell r="C4288">
            <v>0</v>
          </cell>
          <cell r="D4288">
            <v>0</v>
          </cell>
          <cell r="E4288" t="e">
            <v>#VALUE!</v>
          </cell>
          <cell r="F4288">
            <v>0</v>
          </cell>
        </row>
        <row r="4289">
          <cell r="A4289" t="str">
            <v>SNFCLC4B</v>
          </cell>
          <cell r="B4289">
            <v>0.35336026435029017</v>
          </cell>
          <cell r="C4289">
            <v>0</v>
          </cell>
          <cell r="D4289">
            <v>0</v>
          </cell>
          <cell r="E4289" t="e">
            <v>#VALUE!</v>
          </cell>
          <cell r="F4289">
            <v>0</v>
          </cell>
        </row>
        <row r="4290">
          <cell r="A4290" t="str">
            <v>SNFCLC6B</v>
          </cell>
          <cell r="B4290">
            <v>0</v>
          </cell>
          <cell r="C4290">
            <v>0</v>
          </cell>
          <cell r="D4290">
            <v>0</v>
          </cell>
          <cell r="E4290" t="e">
            <v>#VALUE!</v>
          </cell>
          <cell r="F4290">
            <v>0</v>
          </cell>
        </row>
        <row r="4291">
          <cell r="A4291" t="str">
            <v>SNFCLC9B</v>
          </cell>
          <cell r="B4291">
            <v>0</v>
          </cell>
          <cell r="C4291">
            <v>0</v>
          </cell>
          <cell r="D4291">
            <v>0</v>
          </cell>
          <cell r="E4291" t="e">
            <v>#VALUE!</v>
          </cell>
          <cell r="F4291">
            <v>0</v>
          </cell>
        </row>
        <row r="4292">
          <cell r="A4292" t="str">
            <v>SNFCLCTB</v>
          </cell>
          <cell r="B4292">
            <v>1.1615586734797856</v>
          </cell>
          <cell r="C4292">
            <v>0</v>
          </cell>
          <cell r="D4292">
            <v>0</v>
          </cell>
          <cell r="E4292" t="e">
            <v>#VALUE!</v>
          </cell>
          <cell r="F4292">
            <v>0</v>
          </cell>
        </row>
        <row r="4293">
          <cell r="A4293" t="str">
            <v>SNFCLLLB</v>
          </cell>
          <cell r="B4293">
            <v>1.1615586734797856</v>
          </cell>
          <cell r="C4293">
            <v>0</v>
          </cell>
          <cell r="D4293">
            <v>0</v>
          </cell>
          <cell r="E4293" t="e">
            <v>#VALUE!</v>
          </cell>
          <cell r="F4293">
            <v>0</v>
          </cell>
        </row>
        <row r="4294">
          <cell r="A4294" t="str">
            <v>SHDSHYLB</v>
          </cell>
          <cell r="B4294">
            <v>0</v>
          </cell>
          <cell r="C4294">
            <v>0</v>
          </cell>
          <cell r="D4294">
            <v>0</v>
          </cell>
          <cell r="E4294" t="e">
            <v>#VALUE!</v>
          </cell>
          <cell r="F4294">
            <v>0</v>
          </cell>
        </row>
        <row r="4295">
          <cell r="A4295" t="str">
            <v>SHDSHYPB</v>
          </cell>
          <cell r="B4295">
            <v>1.9629033466112125E-2</v>
          </cell>
          <cell r="C4295">
            <v>0</v>
          </cell>
          <cell r="D4295">
            <v>0</v>
          </cell>
          <cell r="E4295" t="e">
            <v>#VALUE!</v>
          </cell>
          <cell r="F4295">
            <v>0</v>
          </cell>
        </row>
        <row r="4296">
          <cell r="A4296" t="str">
            <v>SHDSHDSB</v>
          </cell>
          <cell r="B4296">
            <v>1.9629033466112125E-2</v>
          </cell>
          <cell r="C4296">
            <v>0</v>
          </cell>
          <cell r="D4296">
            <v>0</v>
          </cell>
          <cell r="E4296" t="e">
            <v>#VALUE!</v>
          </cell>
          <cell r="F4296">
            <v>0</v>
          </cell>
        </row>
        <row r="4297">
          <cell r="A4297" t="str">
            <v>SHDSHH1B</v>
          </cell>
          <cell r="B4297">
            <v>0</v>
          </cell>
          <cell r="C4297">
            <v>0</v>
          </cell>
          <cell r="D4297">
            <v>0</v>
          </cell>
          <cell r="E4297" t="e">
            <v>#VALUE!</v>
          </cell>
          <cell r="F4297">
            <v>-233.97033139581549</v>
          </cell>
        </row>
        <row r="4298">
          <cell r="A4298" t="str">
            <v>SHDSHH2B</v>
          </cell>
          <cell r="B4298">
            <v>0.23879700380645386</v>
          </cell>
          <cell r="C4298">
            <v>0</v>
          </cell>
          <cell r="D4298">
            <v>0</v>
          </cell>
          <cell r="E4298" t="e">
            <v>#VALUE!</v>
          </cell>
          <cell r="F4298">
            <v>0</v>
          </cell>
        </row>
        <row r="4299">
          <cell r="A4299" t="str">
            <v>SHDST20B</v>
          </cell>
          <cell r="B4299">
            <v>0.23879700380645386</v>
          </cell>
          <cell r="C4299">
            <v>0</v>
          </cell>
          <cell r="D4299">
            <v>0</v>
          </cell>
          <cell r="E4299" t="e">
            <v>#VALUE!</v>
          </cell>
          <cell r="F4299">
            <v>0</v>
          </cell>
        </row>
        <row r="4300">
          <cell r="A4300" t="str">
            <v>SHDST30B</v>
          </cell>
          <cell r="B4300">
            <v>0</v>
          </cell>
          <cell r="C4300">
            <v>0</v>
          </cell>
          <cell r="D4300">
            <v>0</v>
          </cell>
          <cell r="E4300" t="e">
            <v>#VALUE!</v>
          </cell>
          <cell r="F4300">
            <v>0</v>
          </cell>
        </row>
        <row r="4301">
          <cell r="A4301" t="str">
            <v>SHDST40B</v>
          </cell>
          <cell r="B4301">
            <v>0.23879700380645386</v>
          </cell>
          <cell r="C4301">
            <v>0</v>
          </cell>
          <cell r="D4301">
            <v>0</v>
          </cell>
          <cell r="E4301" t="e">
            <v>#VALUE!</v>
          </cell>
          <cell r="F4301">
            <v>0</v>
          </cell>
        </row>
        <row r="4302">
          <cell r="A4302" t="str">
            <v>SHDST60B</v>
          </cell>
          <cell r="B4302">
            <v>0</v>
          </cell>
          <cell r="C4302">
            <v>0</v>
          </cell>
          <cell r="D4302">
            <v>0</v>
          </cell>
          <cell r="E4302" t="e">
            <v>#VALUE!</v>
          </cell>
          <cell r="F4302">
            <v>0</v>
          </cell>
        </row>
        <row r="4303">
          <cell r="A4303" t="str">
            <v>SHDST70B</v>
          </cell>
          <cell r="B4303">
            <v>0.23879700380645386</v>
          </cell>
          <cell r="C4303">
            <v>0</v>
          </cell>
          <cell r="D4303">
            <v>0</v>
          </cell>
          <cell r="E4303" t="e">
            <v>#VALUE!</v>
          </cell>
          <cell r="F4303">
            <v>0</v>
          </cell>
        </row>
        <row r="4304">
          <cell r="A4304" t="str">
            <v>SHMXHYPB</v>
          </cell>
          <cell r="B4304">
            <v>2.5867676796161965E-2</v>
          </cell>
          <cell r="C4304">
            <v>0</v>
          </cell>
          <cell r="D4304">
            <v>0</v>
          </cell>
          <cell r="E4304" t="e">
            <v>#VALUE!</v>
          </cell>
          <cell r="F4304">
            <v>0</v>
          </cell>
        </row>
        <row r="4305">
          <cell r="A4305" t="str">
            <v>SHMXHYLB</v>
          </cell>
          <cell r="B4305">
            <v>6.733684976623483E-2</v>
          </cell>
          <cell r="C4305">
            <v>0</v>
          </cell>
          <cell r="D4305">
            <v>0</v>
          </cell>
          <cell r="E4305" t="e">
            <v>#VALUE!</v>
          </cell>
          <cell r="F4305">
            <v>0</v>
          </cell>
        </row>
        <row r="4306">
          <cell r="A4306" t="str">
            <v>SHMXHMXB</v>
          </cell>
          <cell r="B4306">
            <v>9.3204526072495603E-2</v>
          </cell>
          <cell r="C4306">
            <v>0</v>
          </cell>
          <cell r="D4306">
            <v>0</v>
          </cell>
          <cell r="E4306" t="e">
            <v>#VALUE!</v>
          </cell>
          <cell r="F4306">
            <v>0</v>
          </cell>
        </row>
        <row r="4307">
          <cell r="A4307" t="str">
            <v>SHMXHH3B</v>
          </cell>
          <cell r="B4307">
            <v>0.31469321912282133</v>
          </cell>
          <cell r="C4307">
            <v>0</v>
          </cell>
          <cell r="D4307">
            <v>0</v>
          </cell>
          <cell r="E4307" t="e">
            <v>#VALUE!</v>
          </cell>
          <cell r="F4307">
            <v>0</v>
          </cell>
        </row>
        <row r="4308">
          <cell r="A4308" t="str">
            <v>SHMXHH4B</v>
          </cell>
          <cell r="B4308">
            <v>0.2404888393944257</v>
          </cell>
          <cell r="C4308">
            <v>0</v>
          </cell>
          <cell r="D4308">
            <v>0</v>
          </cell>
          <cell r="E4308" t="e">
            <v>#VALUE!</v>
          </cell>
          <cell r="F4308">
            <v>0</v>
          </cell>
        </row>
        <row r="4309">
          <cell r="A4309" t="str">
            <v>SHMXHXXB</v>
          </cell>
          <cell r="B4309">
            <v>0.55518206227315614</v>
          </cell>
          <cell r="C4309">
            <v>0</v>
          </cell>
          <cell r="D4309">
            <v>0</v>
          </cell>
          <cell r="E4309" t="e">
            <v>#VALUE!</v>
          </cell>
          <cell r="F4309">
            <v>0</v>
          </cell>
        </row>
        <row r="4310">
          <cell r="A4310" t="str">
            <v>SHMXHX1B</v>
          </cell>
          <cell r="B4310">
            <v>0.31469321912282133</v>
          </cell>
          <cell r="C4310">
            <v>0</v>
          </cell>
          <cell r="D4310">
            <v>0</v>
          </cell>
          <cell r="E4310" t="e">
            <v>#VALUE!</v>
          </cell>
          <cell r="F4310">
            <v>0</v>
          </cell>
        </row>
        <row r="4311">
          <cell r="A4311" t="str">
            <v>SHMXHX2B</v>
          </cell>
          <cell r="B4311">
            <v>0.2404888393944257</v>
          </cell>
          <cell r="C4311">
            <v>0</v>
          </cell>
          <cell r="D4311">
            <v>0</v>
          </cell>
          <cell r="E4311" t="e">
            <v>#VALUE!</v>
          </cell>
          <cell r="F4311">
            <v>0</v>
          </cell>
        </row>
        <row r="4312">
          <cell r="A4312" t="str">
            <v>SHMXHX3B</v>
          </cell>
          <cell r="B4312">
            <v>0.31469321912282133</v>
          </cell>
          <cell r="C4312">
            <v>0</v>
          </cell>
          <cell r="D4312">
            <v>0</v>
          </cell>
          <cell r="E4312" t="e">
            <v>#VALUE!</v>
          </cell>
          <cell r="F4312">
            <v>0</v>
          </cell>
        </row>
        <row r="4313">
          <cell r="A4313" t="str">
            <v>SHMXHX4B</v>
          </cell>
          <cell r="B4313">
            <v>0.2404888393944257</v>
          </cell>
          <cell r="C4313">
            <v>0</v>
          </cell>
          <cell r="D4313">
            <v>0</v>
          </cell>
          <cell r="E4313" t="e">
            <v>#VALUE!</v>
          </cell>
          <cell r="F4313">
            <v>0</v>
          </cell>
        </row>
        <row r="4314">
          <cell r="A4314" t="str">
            <v>STP2TUPB</v>
          </cell>
          <cell r="B4314">
            <v>0.62038106085502942</v>
          </cell>
          <cell r="C4314">
            <v>0</v>
          </cell>
          <cell r="D4314">
            <v>0</v>
          </cell>
          <cell r="E4314" t="e">
            <v>#VALUE!</v>
          </cell>
          <cell r="F4314">
            <v>0</v>
          </cell>
        </row>
        <row r="4315">
          <cell r="A4315" t="str">
            <v>STP2DVDB</v>
          </cell>
          <cell r="B4315">
            <v>0.87238616992349494</v>
          </cell>
          <cell r="C4315">
            <v>0</v>
          </cell>
          <cell r="D4315">
            <v>0</v>
          </cell>
          <cell r="E4315" t="e">
            <v>#VALUE!</v>
          </cell>
          <cell r="F4315">
            <v>0</v>
          </cell>
        </row>
        <row r="4316">
          <cell r="A4316" t="str">
            <v>STP2MLGB</v>
          </cell>
          <cell r="B4316">
            <v>0.23901430548053898</v>
          </cell>
          <cell r="C4316">
            <v>0</v>
          </cell>
          <cell r="D4316">
            <v>0</v>
          </cell>
          <cell r="E4316" t="e">
            <v>#VALUE!</v>
          </cell>
          <cell r="F4316">
            <v>0</v>
          </cell>
        </row>
        <row r="4317">
          <cell r="A4317" t="str">
            <v>STP2NQNB</v>
          </cell>
          <cell r="B4317">
            <v>3.7306697675626572</v>
          </cell>
          <cell r="C4317">
            <v>0</v>
          </cell>
          <cell r="D4317">
            <v>0</v>
          </cell>
          <cell r="E4317" t="e">
            <v>#VALUE!</v>
          </cell>
          <cell r="F4317">
            <v>0</v>
          </cell>
        </row>
        <row r="4318">
          <cell r="A4318" t="str">
            <v>STP2COFB</v>
          </cell>
          <cell r="B4318">
            <v>0</v>
          </cell>
          <cell r="C4318">
            <v>0</v>
          </cell>
          <cell r="D4318">
            <v>0</v>
          </cell>
          <cell r="E4318" t="e">
            <v>#VALUE!</v>
          </cell>
          <cell r="F4318">
            <v>-0.65913058102947397</v>
          </cell>
        </row>
        <row r="4319">
          <cell r="A4319" t="str">
            <v>STP2IRPB</v>
          </cell>
          <cell r="B4319">
            <v>0</v>
          </cell>
          <cell r="C4319">
            <v>0</v>
          </cell>
          <cell r="D4319">
            <v>0</v>
          </cell>
          <cell r="E4319" t="e">
            <v>#VALUE!</v>
          </cell>
          <cell r="F4319">
            <v>345.4518170082406</v>
          </cell>
        </row>
        <row r="4320">
          <cell r="A4320" t="str">
            <v>STP2ADCB</v>
          </cell>
          <cell r="B4320">
            <v>0.10726006767929416</v>
          </cell>
          <cell r="C4320">
            <v>0</v>
          </cell>
          <cell r="D4320">
            <v>0</v>
          </cell>
          <cell r="E4320" t="e">
            <v>#VALUE!</v>
          </cell>
          <cell r="F4320">
            <v>0</v>
          </cell>
        </row>
        <row r="4321">
          <cell r="A4321" t="str">
            <v>STP2CHUB</v>
          </cell>
          <cell r="B4321">
            <v>0</v>
          </cell>
          <cell r="C4321">
            <v>0</v>
          </cell>
          <cell r="D4321">
            <v>0</v>
          </cell>
          <cell r="E4321" t="e">
            <v>#VALUE!</v>
          </cell>
          <cell r="F4321">
            <v>-0.54816270691074742</v>
          </cell>
        </row>
        <row r="4322">
          <cell r="A4322" t="str">
            <v>STP2MN&gt;B</v>
          </cell>
          <cell r="B4322">
            <v>0</v>
          </cell>
          <cell r="C4322">
            <v>0</v>
          </cell>
          <cell r="D4322">
            <v>0</v>
          </cell>
          <cell r="E4322" t="e">
            <v>#VALUE!</v>
          </cell>
          <cell r="F4322">
            <v>-1.8343171820248643</v>
          </cell>
        </row>
        <row r="4323">
          <cell r="A4323" t="str">
            <v>STP2MN&lt;B</v>
          </cell>
          <cell r="B4323">
            <v>0.12550936990404782</v>
          </cell>
          <cell r="C4323">
            <v>0</v>
          </cell>
          <cell r="D4323">
            <v>0</v>
          </cell>
          <cell r="E4323" t="e">
            <v>#VALUE!</v>
          </cell>
          <cell r="F4323">
            <v>0</v>
          </cell>
        </row>
        <row r="4324">
          <cell r="A4324" t="str">
            <v>STP2SK&gt;B</v>
          </cell>
          <cell r="B4324">
            <v>3.0345260045708044E-2</v>
          </cell>
          <cell r="C4324">
            <v>0</v>
          </cell>
          <cell r="D4324">
            <v>0</v>
          </cell>
          <cell r="E4324" t="e">
            <v>#VALUE!</v>
          </cell>
          <cell r="F4324">
            <v>-28.266801598953876</v>
          </cell>
        </row>
        <row r="4325">
          <cell r="A4325" t="str">
            <v>STP2SK&lt;B</v>
          </cell>
          <cell r="B4325">
            <v>0.26231073941269967</v>
          </cell>
          <cell r="C4325">
            <v>0</v>
          </cell>
          <cell r="D4325">
            <v>0</v>
          </cell>
          <cell r="E4325" t="e">
            <v>#VALUE!</v>
          </cell>
          <cell r="F4325">
            <v>0</v>
          </cell>
        </row>
        <row r="4326">
          <cell r="A4326" t="str">
            <v>STP2SG&gt;B</v>
          </cell>
          <cell r="B4326">
            <v>0.12890363943903413</v>
          </cell>
          <cell r="C4326">
            <v>0</v>
          </cell>
          <cell r="D4326">
            <v>0</v>
          </cell>
          <cell r="E4326" t="e">
            <v>#VALUE!</v>
          </cell>
          <cell r="F4326">
            <v>0</v>
          </cell>
        </row>
        <row r="4327">
          <cell r="A4327" t="str">
            <v>STP2SG&lt;B</v>
          </cell>
          <cell r="B4327">
            <v>8.7146056637372061E-3</v>
          </cell>
          <cell r="C4327">
            <v>0</v>
          </cell>
          <cell r="D4327">
            <v>0</v>
          </cell>
          <cell r="E4327" t="e">
            <v>#VALUE!</v>
          </cell>
          <cell r="F4327">
            <v>-0.36454739007231307</v>
          </cell>
        </row>
        <row r="4328">
          <cell r="A4328" t="str">
            <v>STP2SW&gt;B</v>
          </cell>
          <cell r="B4328">
            <v>6.9215952390677307E-2</v>
          </cell>
          <cell r="C4328">
            <v>0</v>
          </cell>
          <cell r="D4328">
            <v>0</v>
          </cell>
          <cell r="E4328" t="e">
            <v>#VALUE!</v>
          </cell>
          <cell r="F4328">
            <v>-0.99669474902218336</v>
          </cell>
        </row>
        <row r="4329">
          <cell r="A4329" t="str">
            <v>STP2SW&lt;B</v>
          </cell>
          <cell r="B4329">
            <v>0.22377620861954886</v>
          </cell>
          <cell r="C4329">
            <v>0</v>
          </cell>
          <cell r="D4329">
            <v>0</v>
          </cell>
          <cell r="E4329" t="e">
            <v>#VALUE!</v>
          </cell>
          <cell r="F4329">
            <v>0</v>
          </cell>
        </row>
        <row r="4330">
          <cell r="A4330" t="str">
            <v>STP2AR2B</v>
          </cell>
          <cell r="B4330">
            <v>2.6231231709049174</v>
          </cell>
          <cell r="C4330">
            <v>0</v>
          </cell>
          <cell r="D4330">
            <v>0</v>
          </cell>
          <cell r="E4330" t="e">
            <v>#VALUE!</v>
          </cell>
          <cell r="F4330">
            <v>0</v>
          </cell>
        </row>
        <row r="4331">
          <cell r="A4331" t="str">
            <v>STP2COKB</v>
          </cell>
          <cell r="B4331">
            <v>0</v>
          </cell>
          <cell r="C4331">
            <v>0</v>
          </cell>
          <cell r="D4331">
            <v>0</v>
          </cell>
          <cell r="E4331" t="e">
            <v>#VALUE!</v>
          </cell>
          <cell r="F4331">
            <v>0</v>
          </cell>
        </row>
        <row r="4332">
          <cell r="A4332" t="str">
            <v>STP2LG2B</v>
          </cell>
          <cell r="B4332">
            <v>1.1139392150591498</v>
          </cell>
          <cell r="C4332">
            <v>0</v>
          </cell>
          <cell r="D4332">
            <v>0</v>
          </cell>
          <cell r="E4332" t="e">
            <v>#VALUE!</v>
          </cell>
          <cell r="F4332">
            <v>0</v>
          </cell>
        </row>
        <row r="4333">
          <cell r="A4333" t="str">
            <v>STP2LK2B</v>
          </cell>
          <cell r="B4333">
            <v>0.70905411863980228</v>
          </cell>
          <cell r="C4333">
            <v>0</v>
          </cell>
          <cell r="D4333">
            <v>0</v>
          </cell>
          <cell r="E4333" t="e">
            <v>#VALUE!</v>
          </cell>
          <cell r="F4333">
            <v>0</v>
          </cell>
        </row>
        <row r="4334">
          <cell r="A4334" t="str">
            <v>STP2LN2B</v>
          </cell>
          <cell r="B4334">
            <v>0.25086172672167217</v>
          </cell>
          <cell r="C4334">
            <v>0</v>
          </cell>
          <cell r="D4334">
            <v>0</v>
          </cell>
          <cell r="E4334" t="e">
            <v>#VALUE!</v>
          </cell>
          <cell r="F4334">
            <v>0</v>
          </cell>
        </row>
        <row r="4335">
          <cell r="A4335" t="str">
            <v>STP2LV2B</v>
          </cell>
          <cell r="B4335">
            <v>0.50585809276528559</v>
          </cell>
          <cell r="C4335">
            <v>0</v>
          </cell>
          <cell r="D4335">
            <v>0</v>
          </cell>
          <cell r="E4335" t="e">
            <v>#VALUE!</v>
          </cell>
          <cell r="F4335">
            <v>0</v>
          </cell>
        </row>
        <row r="4336">
          <cell r="A4336" t="str">
            <v>STP2MN2B</v>
          </cell>
          <cell r="B4336">
            <v>0.12550936990404782</v>
          </cell>
          <cell r="C4336">
            <v>0</v>
          </cell>
          <cell r="D4336">
            <v>0</v>
          </cell>
          <cell r="E4336" t="e">
            <v>#VALUE!</v>
          </cell>
          <cell r="F4336">
            <v>0</v>
          </cell>
        </row>
        <row r="4337">
          <cell r="A4337" t="str">
            <v>STP2PG2B</v>
          </cell>
          <cell r="B4337">
            <v>0.31983801542896112</v>
          </cell>
          <cell r="C4337">
            <v>0</v>
          </cell>
          <cell r="D4337">
            <v>0</v>
          </cell>
          <cell r="E4337" t="e">
            <v>#VALUE!</v>
          </cell>
          <cell r="F4337">
            <v>0</v>
          </cell>
        </row>
        <row r="4338">
          <cell r="A4338" t="str">
            <v>STP2PN2B</v>
          </cell>
          <cell r="B4338">
            <v>0.52645554232270753</v>
          </cell>
          <cell r="C4338">
            <v>0</v>
          </cell>
          <cell r="D4338">
            <v>0</v>
          </cell>
          <cell r="E4338" t="e">
            <v>#VALUE!</v>
          </cell>
          <cell r="F4338">
            <v>0</v>
          </cell>
        </row>
        <row r="4339">
          <cell r="A4339" t="str">
            <v>STP2PR2B</v>
          </cell>
          <cell r="B4339">
            <v>0</v>
          </cell>
          <cell r="C4339">
            <v>0</v>
          </cell>
          <cell r="D4339">
            <v>0</v>
          </cell>
          <cell r="E4339" t="e">
            <v>#VALUE!</v>
          </cell>
          <cell r="F4339">
            <v>0</v>
          </cell>
        </row>
        <row r="4340">
          <cell r="A4340" t="str">
            <v>STP2PV2B</v>
          </cell>
          <cell r="B4340">
            <v>0.70567737964734634</v>
          </cell>
          <cell r="C4340">
            <v>0</v>
          </cell>
          <cell r="D4340">
            <v>0</v>
          </cell>
          <cell r="E4340" t="e">
            <v>#VALUE!</v>
          </cell>
          <cell r="F4340">
            <v>0</v>
          </cell>
        </row>
        <row r="4341">
          <cell r="A4341" t="str">
            <v>STP2PX2B</v>
          </cell>
          <cell r="B4341">
            <v>0</v>
          </cell>
          <cell r="C4341">
            <v>0</v>
          </cell>
          <cell r="D4341">
            <v>0</v>
          </cell>
          <cell r="E4341" t="e">
            <v>#VALUE!</v>
          </cell>
          <cell r="F4341">
            <v>0</v>
          </cell>
        </row>
        <row r="4342">
          <cell r="A4342" t="str">
            <v>STP2SK2B</v>
          </cell>
          <cell r="B4342">
            <v>0.29265599479414012</v>
          </cell>
          <cell r="C4342">
            <v>0</v>
          </cell>
          <cell r="D4342">
            <v>0</v>
          </cell>
          <cell r="E4342" t="e">
            <v>#VALUE!</v>
          </cell>
          <cell r="F4342">
            <v>0</v>
          </cell>
        </row>
        <row r="4343">
          <cell r="A4343" t="str">
            <v>STP2SG2B</v>
          </cell>
          <cell r="B4343">
            <v>0.13761824696031336</v>
          </cell>
          <cell r="C4343">
            <v>0</v>
          </cell>
          <cell r="D4343">
            <v>0</v>
          </cell>
          <cell r="E4343" t="e">
            <v>#VALUE!</v>
          </cell>
          <cell r="F4343">
            <v>0</v>
          </cell>
        </row>
        <row r="4344">
          <cell r="A4344" t="str">
            <v>STP2SV2B</v>
          </cell>
          <cell r="B4344">
            <v>0.15656069958046692</v>
          </cell>
          <cell r="C4344">
            <v>0</v>
          </cell>
          <cell r="D4344">
            <v>0</v>
          </cell>
          <cell r="E4344" t="e">
            <v>#VALUE!</v>
          </cell>
          <cell r="F4344">
            <v>0</v>
          </cell>
        </row>
        <row r="4345">
          <cell r="A4345" t="str">
            <v>STP2SW2B</v>
          </cell>
          <cell r="B4345">
            <v>0.29299215731555467</v>
          </cell>
          <cell r="C4345">
            <v>0</v>
          </cell>
          <cell r="D4345">
            <v>0</v>
          </cell>
          <cell r="E4345" t="e">
            <v>#VALUE!</v>
          </cell>
          <cell r="F4345">
            <v>0</v>
          </cell>
        </row>
        <row r="4346">
          <cell r="A4346" t="str">
            <v>STP2SX2B</v>
          </cell>
          <cell r="B4346">
            <v>0.15965025588257672</v>
          </cell>
          <cell r="C4346">
            <v>0</v>
          </cell>
          <cell r="D4346">
            <v>0</v>
          </cell>
          <cell r="E4346" t="e">
            <v>#VALUE!</v>
          </cell>
          <cell r="F4346">
            <v>0</v>
          </cell>
        </row>
        <row r="4347">
          <cell r="A4347" t="str">
            <v>STP2VR2B</v>
          </cell>
          <cell r="B4347">
            <v>1.1607800846230494</v>
          </cell>
          <cell r="C4347">
            <v>0</v>
          </cell>
          <cell r="D4347">
            <v>0</v>
          </cell>
          <cell r="E4347" t="e">
            <v>#VALUE!</v>
          </cell>
          <cell r="F4347">
            <v>0</v>
          </cell>
        </row>
        <row r="4348">
          <cell r="A4348" t="str">
            <v>STP2mCSB</v>
          </cell>
          <cell r="B4348">
            <v>5.5697113481286458</v>
          </cell>
          <cell r="C4348">
            <v>0</v>
          </cell>
          <cell r="D4348">
            <v>0</v>
          </cell>
          <cell r="E4348" t="e">
            <v>#VALUE!</v>
          </cell>
          <cell r="F4348">
            <v>0</v>
          </cell>
        </row>
        <row r="4349">
          <cell r="A4349" t="str">
            <v>STP2x01B</v>
          </cell>
          <cell r="B4349">
            <v>0</v>
          </cell>
          <cell r="C4349">
            <v>0</v>
          </cell>
          <cell r="D4349">
            <v>0</v>
          </cell>
          <cell r="E4349" t="e">
            <v>#VALUE!</v>
          </cell>
          <cell r="F4349">
            <v>-10</v>
          </cell>
        </row>
        <row r="4350">
          <cell r="A4350" t="str">
            <v>STP2x02B</v>
          </cell>
          <cell r="B4350">
            <v>0</v>
          </cell>
          <cell r="C4350">
            <v>0</v>
          </cell>
          <cell r="D4350">
            <v>0</v>
          </cell>
          <cell r="E4350" t="e">
            <v>#VALUE!</v>
          </cell>
          <cell r="F4350">
            <v>-9.9970315880971405</v>
          </cell>
        </row>
        <row r="4351">
          <cell r="A4351" t="str">
            <v>STP2x03B</v>
          </cell>
          <cell r="B4351">
            <v>0</v>
          </cell>
          <cell r="C4351">
            <v>0</v>
          </cell>
          <cell r="D4351">
            <v>0</v>
          </cell>
          <cell r="E4351" t="e">
            <v>#VALUE!</v>
          </cell>
          <cell r="F4351">
            <v>-9.9949637948650203</v>
          </cell>
        </row>
        <row r="4352">
          <cell r="A4352" t="str">
            <v>STP2x04B</v>
          </cell>
          <cell r="B4352">
            <v>0</v>
          </cell>
          <cell r="C4352">
            <v>0</v>
          </cell>
          <cell r="D4352">
            <v>0</v>
          </cell>
          <cell r="E4352" t="e">
            <v>#VALUE!</v>
          </cell>
          <cell r="F4352">
            <v>-9.9884331454969431</v>
          </cell>
        </row>
        <row r="4353">
          <cell r="A4353" t="str">
            <v>STP2x05B</v>
          </cell>
          <cell r="B4353">
            <v>0</v>
          </cell>
          <cell r="C4353">
            <v>0</v>
          </cell>
          <cell r="D4353">
            <v>0</v>
          </cell>
          <cell r="E4353" t="e">
            <v>#VALUE!</v>
          </cell>
          <cell r="F4353">
            <v>-9.9953543623832815</v>
          </cell>
        </row>
        <row r="4354">
          <cell r="A4354" t="str">
            <v>STP3MNNB</v>
          </cell>
          <cell r="B4354">
            <v>3.7351999282836914</v>
          </cell>
          <cell r="C4354">
            <v>0</v>
          </cell>
          <cell r="D4354">
            <v>0</v>
          </cell>
          <cell r="E4354" t="e">
            <v>#VALUE!</v>
          </cell>
          <cell r="F4354">
            <v>0</v>
          </cell>
        </row>
        <row r="4355">
          <cell r="A4355" t="str">
            <v>STP3TUPB</v>
          </cell>
          <cell r="B4355">
            <v>0.57857893068496491</v>
          </cell>
          <cell r="C4355">
            <v>0</v>
          </cell>
          <cell r="D4355">
            <v>0</v>
          </cell>
          <cell r="E4355" t="e">
            <v>#VALUE!</v>
          </cell>
          <cell r="F4355">
            <v>0</v>
          </cell>
        </row>
        <row r="4356">
          <cell r="A4356" t="str">
            <v>STP3DVDB</v>
          </cell>
          <cell r="B4356">
            <v>0.81360356758718622</v>
          </cell>
          <cell r="C4356">
            <v>0</v>
          </cell>
          <cell r="D4356">
            <v>0</v>
          </cell>
          <cell r="E4356" t="e">
            <v>#VALUE!</v>
          </cell>
          <cell r="F4356">
            <v>0</v>
          </cell>
        </row>
        <row r="4357">
          <cell r="A4357" t="str">
            <v>STP3MLGB</v>
          </cell>
          <cell r="B4357">
            <v>0.22290919312875565</v>
          </cell>
          <cell r="C4357">
            <v>0</v>
          </cell>
          <cell r="D4357">
            <v>0</v>
          </cell>
          <cell r="E4357" t="e">
            <v>#VALUE!</v>
          </cell>
          <cell r="F4357">
            <v>0</v>
          </cell>
        </row>
        <row r="4358">
          <cell r="A4358" t="str">
            <v>STP3NQNB</v>
          </cell>
          <cell r="B4358">
            <v>3.4375614251175972</v>
          </cell>
          <cell r="C4358">
            <v>0</v>
          </cell>
          <cell r="D4358">
            <v>0</v>
          </cell>
          <cell r="E4358" t="e">
            <v>#VALUE!</v>
          </cell>
          <cell r="F4358">
            <v>0</v>
          </cell>
        </row>
        <row r="4359">
          <cell r="A4359" t="str">
            <v>STP3COFB</v>
          </cell>
          <cell r="B4359">
            <v>0</v>
          </cell>
          <cell r="C4359">
            <v>0</v>
          </cell>
          <cell r="D4359">
            <v>0</v>
          </cell>
          <cell r="E4359" t="e">
            <v>#VALUE!</v>
          </cell>
          <cell r="F4359">
            <v>0</v>
          </cell>
        </row>
        <row r="4360">
          <cell r="A4360" t="str">
            <v>STP3IRPB</v>
          </cell>
          <cell r="B4360">
            <v>0</v>
          </cell>
          <cell r="C4360">
            <v>0</v>
          </cell>
          <cell r="D4360">
            <v>0</v>
          </cell>
          <cell r="E4360" t="e">
            <v>#VALUE!</v>
          </cell>
          <cell r="F4360">
            <v>345.22133120184077</v>
          </cell>
        </row>
        <row r="4361">
          <cell r="A4361" t="str">
            <v>STP3ADCB</v>
          </cell>
          <cell r="B4361">
            <v>0.10003273495256085</v>
          </cell>
          <cell r="C4361">
            <v>0</v>
          </cell>
          <cell r="D4361">
            <v>0</v>
          </cell>
          <cell r="E4361" t="e">
            <v>#VALUE!</v>
          </cell>
          <cell r="F4361">
            <v>0</v>
          </cell>
        </row>
        <row r="4362">
          <cell r="A4362" t="str">
            <v>STP3CHUB</v>
          </cell>
          <cell r="B4362">
            <v>0</v>
          </cell>
          <cell r="C4362">
            <v>0</v>
          </cell>
          <cell r="D4362">
            <v>0</v>
          </cell>
          <cell r="E4362" t="e">
            <v>#VALUE!</v>
          </cell>
          <cell r="F4362">
            <v>0</v>
          </cell>
        </row>
        <row r="4363">
          <cell r="A4363" t="str">
            <v>STP3MN]B</v>
          </cell>
          <cell r="B4363">
            <v>0</v>
          </cell>
          <cell r="C4363">
            <v>0</v>
          </cell>
          <cell r="D4363">
            <v>0</v>
          </cell>
          <cell r="E4363" t="e">
            <v>#VALUE!</v>
          </cell>
          <cell r="F4363">
            <v>-7.0530891653609604</v>
          </cell>
        </row>
        <row r="4364">
          <cell r="A4364" t="str">
            <v>STP3MN[B</v>
          </cell>
          <cell r="B4364">
            <v>0.15958692386542281</v>
          </cell>
          <cell r="C4364">
            <v>0</v>
          </cell>
          <cell r="D4364">
            <v>0</v>
          </cell>
          <cell r="E4364" t="e">
            <v>#VALUE!</v>
          </cell>
          <cell r="F4364">
            <v>0</v>
          </cell>
        </row>
        <row r="4365">
          <cell r="A4365" t="str">
            <v>STP3SK]B</v>
          </cell>
          <cell r="B4365">
            <v>0</v>
          </cell>
          <cell r="C4365">
            <v>0</v>
          </cell>
          <cell r="D4365">
            <v>0</v>
          </cell>
          <cell r="E4365" t="e">
            <v>#VALUE!</v>
          </cell>
          <cell r="F4365">
            <v>-29.914635792497087</v>
          </cell>
        </row>
        <row r="4366">
          <cell r="A4366" t="str">
            <v>STP3SK[B</v>
          </cell>
          <cell r="B4366">
            <v>0.23493457289591227</v>
          </cell>
          <cell r="C4366">
            <v>0</v>
          </cell>
          <cell r="D4366">
            <v>0</v>
          </cell>
          <cell r="E4366" t="e">
            <v>#VALUE!</v>
          </cell>
          <cell r="F4366">
            <v>0</v>
          </cell>
        </row>
        <row r="4367">
          <cell r="A4367" t="str">
            <v>STP3SG]B</v>
          </cell>
          <cell r="B4367">
            <v>0.18380350270499921</v>
          </cell>
          <cell r="C4367">
            <v>0</v>
          </cell>
          <cell r="D4367">
            <v>0</v>
          </cell>
          <cell r="E4367" t="e">
            <v>#VALUE!</v>
          </cell>
          <cell r="F4367">
            <v>0</v>
          </cell>
        </row>
        <row r="4368">
          <cell r="A4368" t="str">
            <v>STP3SG[B</v>
          </cell>
          <cell r="B4368">
            <v>0</v>
          </cell>
          <cell r="C4368">
            <v>0</v>
          </cell>
          <cell r="D4368">
            <v>0</v>
          </cell>
          <cell r="E4368" t="e">
            <v>#VALUE!</v>
          </cell>
          <cell r="F4368">
            <v>-0.71292414126330861</v>
          </cell>
        </row>
        <row r="4369">
          <cell r="A4369" t="str">
            <v>STP3SW]B</v>
          </cell>
          <cell r="B4369">
            <v>0.45296726561572453</v>
          </cell>
          <cell r="C4369">
            <v>0</v>
          </cell>
          <cell r="D4369">
            <v>0</v>
          </cell>
          <cell r="E4369" t="e">
            <v>#VALUE!</v>
          </cell>
          <cell r="F4369">
            <v>0</v>
          </cell>
        </row>
        <row r="4370">
          <cell r="A4370" t="str">
            <v>STP3SW[B</v>
          </cell>
          <cell r="B4370">
            <v>1.7268436840952261E-2</v>
          </cell>
          <cell r="C4370">
            <v>0</v>
          </cell>
          <cell r="D4370">
            <v>0</v>
          </cell>
          <cell r="E4370" t="e">
            <v>#VALUE!</v>
          </cell>
          <cell r="F4370">
            <v>-5.466756023772775</v>
          </cell>
        </row>
        <row r="4371">
          <cell r="A4371" t="str">
            <v>STP3AR3B</v>
          </cell>
          <cell r="B4371">
            <v>4.9018961005014914</v>
          </cell>
          <cell r="C4371">
            <v>0</v>
          </cell>
          <cell r="D4371">
            <v>0</v>
          </cell>
          <cell r="E4371" t="e">
            <v>#VALUE!</v>
          </cell>
          <cell r="F4371">
            <v>0</v>
          </cell>
        </row>
        <row r="4372">
          <cell r="A4372" t="str">
            <v>STP3LG3B</v>
          </cell>
          <cell r="B4372">
            <v>1.944925294183705</v>
          </cell>
          <cell r="C4372">
            <v>0</v>
          </cell>
          <cell r="D4372">
            <v>0</v>
          </cell>
          <cell r="E4372" t="e">
            <v>#VALUE!</v>
          </cell>
          <cell r="F4372">
            <v>0</v>
          </cell>
        </row>
        <row r="4373">
          <cell r="A4373" t="str">
            <v>STP3LK3B</v>
          </cell>
          <cell r="B4373">
            <v>0.82417084223603554</v>
          </cell>
          <cell r="C4373">
            <v>0</v>
          </cell>
          <cell r="D4373">
            <v>0</v>
          </cell>
          <cell r="E4373" t="e">
            <v>#VALUE!</v>
          </cell>
          <cell r="F4373">
            <v>0</v>
          </cell>
        </row>
        <row r="4374">
          <cell r="A4374" t="str">
            <v>STP3LN3B</v>
          </cell>
          <cell r="B4374">
            <v>0.29419595509359281</v>
          </cell>
          <cell r="C4374">
            <v>0</v>
          </cell>
          <cell r="D4374">
            <v>0</v>
          </cell>
          <cell r="E4374" t="e">
            <v>#VALUE!</v>
          </cell>
          <cell r="F4374">
            <v>0</v>
          </cell>
        </row>
        <row r="4375">
          <cell r="A4375" t="str">
            <v>STP3LV3B</v>
          </cell>
          <cell r="B4375">
            <v>0.93259633828515875</v>
          </cell>
          <cell r="C4375">
            <v>0</v>
          </cell>
          <cell r="D4375">
            <v>0</v>
          </cell>
          <cell r="E4375" t="e">
            <v>#VALUE!</v>
          </cell>
          <cell r="F4375">
            <v>0</v>
          </cell>
        </row>
        <row r="4376">
          <cell r="A4376" t="str">
            <v>STP3MN3B</v>
          </cell>
          <cell r="B4376">
            <v>0.15958692386542281</v>
          </cell>
          <cell r="C4376">
            <v>0</v>
          </cell>
          <cell r="D4376">
            <v>0</v>
          </cell>
          <cell r="E4376" t="e">
            <v>#VALUE!</v>
          </cell>
          <cell r="F4376">
            <v>0</v>
          </cell>
        </row>
        <row r="4377">
          <cell r="A4377" t="str">
            <v>STP3PG3B</v>
          </cell>
          <cell r="B4377">
            <v>0.18318513697140837</v>
          </cell>
          <cell r="C4377">
            <v>0</v>
          </cell>
          <cell r="D4377">
            <v>0</v>
          </cell>
          <cell r="E4377" t="e">
            <v>#VALUE!</v>
          </cell>
          <cell r="F4377">
            <v>0</v>
          </cell>
        </row>
        <row r="4378">
          <cell r="A4378" t="str">
            <v>STP3PN3B</v>
          </cell>
          <cell r="B4378">
            <v>0.71497181653976438</v>
          </cell>
          <cell r="C4378">
            <v>0</v>
          </cell>
          <cell r="D4378">
            <v>0</v>
          </cell>
          <cell r="E4378" t="e">
            <v>#VALUE!</v>
          </cell>
          <cell r="F4378">
            <v>0</v>
          </cell>
        </row>
        <row r="4379">
          <cell r="A4379" t="str">
            <v>STP3PR3B</v>
          </cell>
          <cell r="B4379">
            <v>0</v>
          </cell>
          <cell r="C4379">
            <v>0</v>
          </cell>
          <cell r="D4379">
            <v>0</v>
          </cell>
          <cell r="E4379" t="e">
            <v>#VALUE!</v>
          </cell>
          <cell r="F4379">
            <v>0</v>
          </cell>
        </row>
        <row r="4380">
          <cell r="A4380" t="str">
            <v>STP3PV3B</v>
          </cell>
          <cell r="B4380">
            <v>1.1902494041887048</v>
          </cell>
          <cell r="C4380">
            <v>0</v>
          </cell>
          <cell r="D4380">
            <v>0</v>
          </cell>
          <cell r="E4380" t="e">
            <v>#VALUE!</v>
          </cell>
          <cell r="F4380">
            <v>0</v>
          </cell>
        </row>
        <row r="4381">
          <cell r="A4381" t="str">
            <v>STP3PX3B</v>
          </cell>
          <cell r="B4381">
            <v>0</v>
          </cell>
          <cell r="C4381">
            <v>0</v>
          </cell>
          <cell r="D4381">
            <v>0</v>
          </cell>
          <cell r="E4381" t="e">
            <v>#VALUE!</v>
          </cell>
          <cell r="F4381">
            <v>0</v>
          </cell>
        </row>
        <row r="4382">
          <cell r="A4382" t="str">
            <v>STP3SK3B</v>
          </cell>
          <cell r="B4382">
            <v>0.23493457289591227</v>
          </cell>
          <cell r="C4382">
            <v>0</v>
          </cell>
          <cell r="D4382">
            <v>0</v>
          </cell>
          <cell r="E4382" t="e">
            <v>#VALUE!</v>
          </cell>
          <cell r="F4382">
            <v>0</v>
          </cell>
        </row>
        <row r="4383">
          <cell r="A4383" t="str">
            <v>STP3SG3B</v>
          </cell>
          <cell r="B4383">
            <v>0.18380350270499921</v>
          </cell>
          <cell r="C4383">
            <v>0</v>
          </cell>
          <cell r="D4383">
            <v>0</v>
          </cell>
          <cell r="E4383" t="e">
            <v>#VALUE!</v>
          </cell>
          <cell r="F4383">
            <v>0</v>
          </cell>
        </row>
        <row r="4384">
          <cell r="A4384" t="str">
            <v>STP3SV3B</v>
          </cell>
          <cell r="B4384">
            <v>0.28430892865951746</v>
          </cell>
          <cell r="C4384">
            <v>0</v>
          </cell>
          <cell r="D4384">
            <v>0</v>
          </cell>
          <cell r="E4384" t="e">
            <v>#VALUE!</v>
          </cell>
          <cell r="F4384">
            <v>0</v>
          </cell>
        </row>
        <row r="4385">
          <cell r="A4385" t="str">
            <v>STP3SW3B</v>
          </cell>
          <cell r="B4385">
            <v>0.47023570431421879</v>
          </cell>
          <cell r="C4385">
            <v>0</v>
          </cell>
          <cell r="D4385">
            <v>0</v>
          </cell>
          <cell r="E4385" t="e">
            <v>#VALUE!</v>
          </cell>
          <cell r="F4385">
            <v>0</v>
          </cell>
        </row>
        <row r="4386">
          <cell r="A4386" t="str">
            <v>STP3SX3B</v>
          </cell>
          <cell r="B4386">
            <v>0.30579196075870568</v>
          </cell>
          <cell r="C4386">
            <v>0</v>
          </cell>
          <cell r="D4386">
            <v>0</v>
          </cell>
          <cell r="E4386" t="e">
            <v>#VALUE!</v>
          </cell>
          <cell r="F4386">
            <v>0</v>
          </cell>
        </row>
        <row r="4387">
          <cell r="A4387" t="str">
            <v>STP3VR3B</v>
          </cell>
          <cell r="B4387">
            <v>2.3273203673428053</v>
          </cell>
          <cell r="C4387">
            <v>0</v>
          </cell>
          <cell r="D4387">
            <v>0</v>
          </cell>
          <cell r="E4387" t="e">
            <v>#VALUE!</v>
          </cell>
          <cell r="F4387">
            <v>0</v>
          </cell>
        </row>
        <row r="4388">
          <cell r="A4388" t="str">
            <v>STP3mCSB</v>
          </cell>
          <cell r="B4388">
            <v>5.1526857454482826</v>
          </cell>
          <cell r="C4388">
            <v>0</v>
          </cell>
          <cell r="D4388">
            <v>0</v>
          </cell>
          <cell r="E4388" t="e">
            <v>#VALUE!</v>
          </cell>
          <cell r="F4388">
            <v>0</v>
          </cell>
        </row>
        <row r="4389">
          <cell r="A4389" t="str">
            <v>STP3x01B</v>
          </cell>
          <cell r="B4389">
            <v>0</v>
          </cell>
          <cell r="C4389">
            <v>0</v>
          </cell>
          <cell r="D4389">
            <v>0</v>
          </cell>
          <cell r="E4389" t="e">
            <v>#VALUE!</v>
          </cell>
          <cell r="F4389">
            <v>-10</v>
          </cell>
        </row>
        <row r="4390">
          <cell r="A4390" t="str">
            <v>STP3x02B</v>
          </cell>
          <cell r="B4390">
            <v>0</v>
          </cell>
          <cell r="C4390">
            <v>0</v>
          </cell>
          <cell r="D4390">
            <v>0</v>
          </cell>
          <cell r="E4390" t="e">
            <v>#VALUE!</v>
          </cell>
          <cell r="F4390">
            <v>-10</v>
          </cell>
        </row>
        <row r="4391">
          <cell r="A4391" t="str">
            <v>STP3x03B</v>
          </cell>
          <cell r="B4391">
            <v>0</v>
          </cell>
          <cell r="C4391">
            <v>0</v>
          </cell>
          <cell r="D4391">
            <v>0</v>
          </cell>
          <cell r="E4391" t="e">
            <v>#VALUE!</v>
          </cell>
          <cell r="F4391">
            <v>-10</v>
          </cell>
        </row>
        <row r="4392">
          <cell r="A4392" t="str">
            <v>STP3x04B</v>
          </cell>
          <cell r="B4392">
            <v>0</v>
          </cell>
          <cell r="C4392">
            <v>0</v>
          </cell>
          <cell r="D4392">
            <v>0</v>
          </cell>
          <cell r="E4392" t="e">
            <v>#VALUE!</v>
          </cell>
          <cell r="F4392">
            <v>-10</v>
          </cell>
        </row>
        <row r="4393">
          <cell r="A4393" t="str">
            <v>STP3x05B</v>
          </cell>
          <cell r="B4393">
            <v>0</v>
          </cell>
          <cell r="C4393">
            <v>0</v>
          </cell>
          <cell r="D4393">
            <v>0</v>
          </cell>
          <cell r="E4393" t="e">
            <v>#VALUE!</v>
          </cell>
          <cell r="F4393">
            <v>-10</v>
          </cell>
        </row>
        <row r="4394">
          <cell r="A4394" t="str">
            <v>SPLTLN3B</v>
          </cell>
          <cell r="B4394">
            <v>0.29419595509359281</v>
          </cell>
          <cell r="C4394">
            <v>0</v>
          </cell>
          <cell r="D4394">
            <v>0</v>
          </cell>
          <cell r="E4394" t="e">
            <v>#VALUE!</v>
          </cell>
          <cell r="F4394">
            <v>0</v>
          </cell>
        </row>
        <row r="4395">
          <cell r="A4395" t="str">
            <v>SPLTLT3B</v>
          </cell>
          <cell r="B4395">
            <v>0.29419595509359281</v>
          </cell>
          <cell r="C4395">
            <v>0</v>
          </cell>
          <cell r="D4395">
            <v>0</v>
          </cell>
          <cell r="E4395" t="e">
            <v>#VALUE!</v>
          </cell>
          <cell r="F4395">
            <v>0</v>
          </cell>
        </row>
        <row r="4396">
          <cell r="A4396" t="str">
            <v>SPLTPN3B</v>
          </cell>
          <cell r="B4396">
            <v>0.62267982077925177</v>
          </cell>
          <cell r="C4396">
            <v>0</v>
          </cell>
          <cell r="D4396">
            <v>0</v>
          </cell>
          <cell r="E4396" t="e">
            <v>#VALUE!</v>
          </cell>
          <cell r="F4396">
            <v>0</v>
          </cell>
        </row>
        <row r="4397">
          <cell r="A4397" t="str">
            <v>SPLTPT3B</v>
          </cell>
          <cell r="B4397">
            <v>0.62267982077925177</v>
          </cell>
          <cell r="C4397">
            <v>0</v>
          </cell>
          <cell r="D4397">
            <v>0</v>
          </cell>
          <cell r="E4397" t="e">
            <v>#VALUE!</v>
          </cell>
          <cell r="F4397">
            <v>0</v>
          </cell>
        </row>
        <row r="4398">
          <cell r="A4398" t="str">
            <v>SVACPG2B</v>
          </cell>
          <cell r="B4398">
            <v>0.29889555181542488</v>
          </cell>
          <cell r="C4398">
            <v>0</v>
          </cell>
          <cell r="D4398">
            <v>0</v>
          </cell>
          <cell r="E4398" t="e">
            <v>#VALUE!</v>
          </cell>
          <cell r="F4398">
            <v>0</v>
          </cell>
        </row>
        <row r="4399">
          <cell r="A4399" t="str">
            <v>SVACPG3B</v>
          </cell>
          <cell r="B4399">
            <v>0</v>
          </cell>
          <cell r="C4399">
            <v>0</v>
          </cell>
          <cell r="D4399">
            <v>0</v>
          </cell>
          <cell r="E4399" t="e">
            <v>#VALUE!</v>
          </cell>
          <cell r="F4399">
            <v>-0.50861571308684672</v>
          </cell>
        </row>
        <row r="4400">
          <cell r="A4400" t="str">
            <v>SVACAR2B</v>
          </cell>
          <cell r="B4400">
            <v>2.6231231709049174</v>
          </cell>
          <cell r="C4400">
            <v>0</v>
          </cell>
          <cell r="D4400">
            <v>0</v>
          </cell>
          <cell r="E4400" t="e">
            <v>#VALUE!</v>
          </cell>
          <cell r="F4400">
            <v>0</v>
          </cell>
        </row>
        <row r="4401">
          <cell r="A4401" t="str">
            <v>SVACLV2B</v>
          </cell>
          <cell r="B4401">
            <v>0.52558666826927503</v>
          </cell>
          <cell r="C4401">
            <v>0</v>
          </cell>
          <cell r="D4401">
            <v>0</v>
          </cell>
          <cell r="E4401" t="e">
            <v>#VALUE!</v>
          </cell>
          <cell r="F4401">
            <v>0</v>
          </cell>
        </row>
        <row r="4402">
          <cell r="A4402" t="str">
            <v>SVACSV2B</v>
          </cell>
          <cell r="B4402">
            <v>0.16268089311580136</v>
          </cell>
          <cell r="C4402">
            <v>0</v>
          </cell>
          <cell r="D4402">
            <v>0</v>
          </cell>
          <cell r="E4402" t="e">
            <v>#VALUE!</v>
          </cell>
          <cell r="F4402">
            <v>0</v>
          </cell>
        </row>
        <row r="4403">
          <cell r="A4403" t="str">
            <v>SVACSX2B</v>
          </cell>
          <cell r="B4403">
            <v>0</v>
          </cell>
          <cell r="C4403">
            <v>0</v>
          </cell>
          <cell r="D4403">
            <v>0</v>
          </cell>
          <cell r="E4403" t="e">
            <v>#VALUE!</v>
          </cell>
          <cell r="F4403">
            <v>-5.0793829307164229</v>
          </cell>
        </row>
        <row r="4404">
          <cell r="A4404" t="str">
            <v>SVACPV2B</v>
          </cell>
          <cell r="B4404">
            <v>0.73255841715695103</v>
          </cell>
          <cell r="C4404">
            <v>0</v>
          </cell>
          <cell r="D4404">
            <v>0</v>
          </cell>
          <cell r="E4404" t="e">
            <v>#VALUE!</v>
          </cell>
          <cell r="F4404">
            <v>0</v>
          </cell>
        </row>
        <row r="4405">
          <cell r="A4405" t="str">
            <v>SVACPR2B</v>
          </cell>
          <cell r="B4405">
            <v>0</v>
          </cell>
          <cell r="C4405">
            <v>0</v>
          </cell>
          <cell r="D4405">
            <v>0</v>
          </cell>
          <cell r="E4405" t="e">
            <v>#VALUE!</v>
          </cell>
          <cell r="F4405">
            <v>0</v>
          </cell>
        </row>
        <row r="4406">
          <cell r="A4406" t="str">
            <v>SVACPX2B</v>
          </cell>
          <cell r="B4406">
            <v>0</v>
          </cell>
          <cell r="C4406">
            <v>0</v>
          </cell>
          <cell r="D4406">
            <v>0</v>
          </cell>
          <cell r="E4406" t="e">
            <v>#VALUE!</v>
          </cell>
          <cell r="F4406">
            <v>-72.539937476589259</v>
          </cell>
        </row>
        <row r="4407">
          <cell r="A4407" t="str">
            <v>SVACVR2B</v>
          </cell>
          <cell r="B4407">
            <v>1.2022958807749291</v>
          </cell>
          <cell r="C4407">
            <v>0</v>
          </cell>
          <cell r="D4407">
            <v>0</v>
          </cell>
          <cell r="E4407" t="e">
            <v>#VALUE!</v>
          </cell>
          <cell r="F4407">
            <v>0</v>
          </cell>
        </row>
        <row r="4408">
          <cell r="A4408" t="str">
            <v>SVACAR3B</v>
          </cell>
          <cell r="B4408">
            <v>4.9018911858127545</v>
          </cell>
          <cell r="C4408">
            <v>0</v>
          </cell>
          <cell r="D4408">
            <v>0</v>
          </cell>
          <cell r="E4408" t="e">
            <v>#VALUE!</v>
          </cell>
          <cell r="F4408">
            <v>0</v>
          </cell>
        </row>
        <row r="4409">
          <cell r="A4409" t="str">
            <v>SVACLV3B</v>
          </cell>
          <cell r="B4409">
            <v>0.96711330724089117</v>
          </cell>
          <cell r="C4409">
            <v>0</v>
          </cell>
          <cell r="D4409">
            <v>0</v>
          </cell>
          <cell r="E4409" t="e">
            <v>#VALUE!</v>
          </cell>
          <cell r="F4409">
            <v>0</v>
          </cell>
        </row>
        <row r="4410">
          <cell r="A4410" t="str">
            <v>SVACSV3B</v>
          </cell>
          <cell r="B4410">
            <v>0.29512436251117757</v>
          </cell>
          <cell r="C4410">
            <v>0</v>
          </cell>
          <cell r="D4410">
            <v>0</v>
          </cell>
          <cell r="E4410" t="e">
            <v>#VALUE!</v>
          </cell>
          <cell r="F4410">
            <v>0</v>
          </cell>
        </row>
        <row r="4411">
          <cell r="A4411" t="str">
            <v>SVACSX3B</v>
          </cell>
          <cell r="B4411">
            <v>0</v>
          </cell>
          <cell r="C4411">
            <v>0</v>
          </cell>
          <cell r="D4411">
            <v>0</v>
          </cell>
          <cell r="E4411" t="e">
            <v>#VALUE!</v>
          </cell>
          <cell r="F4411">
            <v>-3.6211325953268023</v>
          </cell>
        </row>
        <row r="4412">
          <cell r="A4412" t="str">
            <v>SVACPV3B</v>
          </cell>
          <cell r="B4412">
            <v>1.2332134021471624</v>
          </cell>
          <cell r="C4412">
            <v>0</v>
          </cell>
          <cell r="D4412">
            <v>0</v>
          </cell>
          <cell r="E4412" t="e">
            <v>#VALUE!</v>
          </cell>
          <cell r="F4412">
            <v>0</v>
          </cell>
        </row>
        <row r="4413">
          <cell r="A4413" t="str">
            <v>SVACPR3B</v>
          </cell>
          <cell r="B4413">
            <v>-1.3434089140965681E-9</v>
          </cell>
          <cell r="C4413">
            <v>0</v>
          </cell>
          <cell r="D4413">
            <v>0</v>
          </cell>
          <cell r="E4413" t="e">
            <v>#VALUE!</v>
          </cell>
          <cell r="F4413">
            <v>0</v>
          </cell>
        </row>
        <row r="4414">
          <cell r="A4414" t="str">
            <v>SVACPX3B</v>
          </cell>
          <cell r="B4414">
            <v>0</v>
          </cell>
          <cell r="C4414">
            <v>0</v>
          </cell>
          <cell r="D4414">
            <v>0</v>
          </cell>
          <cell r="E4414" t="e">
            <v>#VALUE!</v>
          </cell>
          <cell r="F4414">
            <v>-68.195859319869783</v>
          </cell>
        </row>
        <row r="4415">
          <cell r="A4415" t="str">
            <v>SVACVR3B</v>
          </cell>
          <cell r="B4415">
            <v>2.4064256596238645</v>
          </cell>
          <cell r="C4415">
            <v>0</v>
          </cell>
          <cell r="D4415">
            <v>0</v>
          </cell>
          <cell r="E4415" t="e">
            <v>#VALUE!</v>
          </cell>
          <cell r="F4415">
            <v>0</v>
          </cell>
        </row>
        <row r="4416">
          <cell r="A4416" t="str">
            <v>SVACLVAB</v>
          </cell>
          <cell r="B4416">
            <v>2.2494008057738002</v>
          </cell>
          <cell r="C4416">
            <v>0</v>
          </cell>
          <cell r="D4416">
            <v>0</v>
          </cell>
          <cell r="E4416" t="e">
            <v>#VALUE!</v>
          </cell>
          <cell r="F4416">
            <v>0</v>
          </cell>
        </row>
        <row r="4417">
          <cell r="A4417" t="str">
            <v>SVACPVAB</v>
          </cell>
          <cell r="B4417">
            <v>1.9657718638851218</v>
          </cell>
          <cell r="C4417">
            <v>0</v>
          </cell>
          <cell r="D4417">
            <v>0</v>
          </cell>
          <cell r="E4417" t="e">
            <v>#VALUE!</v>
          </cell>
          <cell r="F4417">
            <v>0</v>
          </cell>
        </row>
        <row r="4418">
          <cell r="A4418" t="str">
            <v>SVACPRAB</v>
          </cell>
          <cell r="B4418">
            <v>-1.3434089140965681E-9</v>
          </cell>
          <cell r="C4418">
            <v>0</v>
          </cell>
          <cell r="D4418">
            <v>0</v>
          </cell>
          <cell r="E4418" t="e">
            <v>#VALUE!</v>
          </cell>
          <cell r="F4418">
            <v>0</v>
          </cell>
        </row>
        <row r="4419">
          <cell r="A4419" t="str">
            <v>SVACVRAB</v>
          </cell>
          <cell r="B4419">
            <v>3.6087215403987938</v>
          </cell>
          <cell r="C4419">
            <v>0</v>
          </cell>
          <cell r="D4419">
            <v>0</v>
          </cell>
          <cell r="E4419" t="e">
            <v>#VALUE!</v>
          </cell>
          <cell r="F4419">
            <v>0</v>
          </cell>
        </row>
        <row r="4420">
          <cell r="A4420" t="str">
            <v>SVACM3DB</v>
          </cell>
          <cell r="B4420">
            <v>8.390026502739893</v>
          </cell>
          <cell r="C4420">
            <v>0</v>
          </cell>
          <cell r="D4420">
            <v>0</v>
          </cell>
          <cell r="E4420" t="e">
            <v>#VALUE!</v>
          </cell>
          <cell r="F4420">
            <v>0</v>
          </cell>
        </row>
        <row r="4421">
          <cell r="A4421" t="str">
            <v>SNPRGSBB</v>
          </cell>
          <cell r="B4421">
            <v>3.7916644942015409E-3</v>
          </cell>
          <cell r="C4421">
            <v>0</v>
          </cell>
          <cell r="D4421">
            <v>0</v>
          </cell>
          <cell r="E4421" t="e">
            <v>#VALUE!</v>
          </cell>
          <cell r="F4421">
            <v>0</v>
          </cell>
        </row>
        <row r="4422">
          <cell r="A4422" t="str">
            <v>SNPRLT2B</v>
          </cell>
          <cell r="B4422">
            <v>0.48374374304732232</v>
          </cell>
          <cell r="C4422">
            <v>0</v>
          </cell>
          <cell r="D4422">
            <v>0</v>
          </cell>
          <cell r="E4422" t="e">
            <v>#VALUE!</v>
          </cell>
          <cell r="F4422">
            <v>0</v>
          </cell>
        </row>
        <row r="4423">
          <cell r="A4423" t="str">
            <v>SNPRLT3B</v>
          </cell>
          <cell r="B4423">
            <v>0.29419595509359281</v>
          </cell>
          <cell r="C4423">
            <v>0</v>
          </cell>
          <cell r="D4423">
            <v>0</v>
          </cell>
          <cell r="E4423" t="e">
            <v>#VALUE!</v>
          </cell>
          <cell r="F4423">
            <v>0</v>
          </cell>
        </row>
        <row r="4424">
          <cell r="A4424" t="str">
            <v>SNPRLGCB</v>
          </cell>
          <cell r="B4424">
            <v>0.15483604604250764</v>
          </cell>
          <cell r="C4424">
            <v>0</v>
          </cell>
          <cell r="D4424">
            <v>0</v>
          </cell>
          <cell r="E4424" t="e">
            <v>#VALUE!</v>
          </cell>
          <cell r="F4424">
            <v>-0.15925436281178096</v>
          </cell>
        </row>
        <row r="4425">
          <cell r="A4425" t="str">
            <v>SNPRNPRB</v>
          </cell>
          <cell r="B4425">
            <v>0.93656740057958321</v>
          </cell>
          <cell r="C4425">
            <v>0</v>
          </cell>
          <cell r="D4425">
            <v>0</v>
          </cell>
          <cell r="E4425" t="e">
            <v>#VALUE!</v>
          </cell>
          <cell r="F4425">
            <v>0</v>
          </cell>
        </row>
        <row r="4426">
          <cell r="A4426" t="str">
            <v>SNPRCA4B</v>
          </cell>
          <cell r="B4426">
            <v>1.3258808113124272</v>
          </cell>
          <cell r="C4426">
            <v>0</v>
          </cell>
          <cell r="D4426">
            <v>0</v>
          </cell>
          <cell r="E4426" t="e">
            <v>#VALUE!</v>
          </cell>
          <cell r="F4426">
            <v>0</v>
          </cell>
        </row>
        <row r="4427">
          <cell r="A4427" t="str">
            <v>SNPZNPRB</v>
          </cell>
          <cell r="B4427">
            <v>0.44154268707314581</v>
          </cell>
          <cell r="C4427">
            <v>0</v>
          </cell>
          <cell r="D4427">
            <v>0</v>
          </cell>
          <cell r="E4427" t="e">
            <v>#VALUE!</v>
          </cell>
          <cell r="F4427">
            <v>0</v>
          </cell>
        </row>
        <row r="4428">
          <cell r="A4428" t="str">
            <v>SNPZNPZB</v>
          </cell>
          <cell r="B4428">
            <v>0.44154268707314581</v>
          </cell>
          <cell r="C4428">
            <v>0</v>
          </cell>
          <cell r="D4428">
            <v>0</v>
          </cell>
          <cell r="E4428" t="e">
            <v>#VALUE!</v>
          </cell>
          <cell r="F4428">
            <v>0</v>
          </cell>
        </row>
        <row r="4429">
          <cell r="A4429" t="str">
            <v>SNPANPRB</v>
          </cell>
          <cell r="B4429">
            <v>0.4950247284484236</v>
          </cell>
          <cell r="C4429">
            <v>0</v>
          </cell>
          <cell r="D4429">
            <v>0</v>
          </cell>
          <cell r="E4429" t="e">
            <v>#VALUE!</v>
          </cell>
          <cell r="F4429">
            <v>0</v>
          </cell>
        </row>
        <row r="4430">
          <cell r="A4430" t="str">
            <v>SNPALLLB</v>
          </cell>
          <cell r="B4430">
            <v>7.8313600060160027E-2</v>
          </cell>
          <cell r="C4430">
            <v>0</v>
          </cell>
          <cell r="D4430">
            <v>0</v>
          </cell>
          <cell r="E4430" t="e">
            <v>#VALUE!</v>
          </cell>
          <cell r="F4430">
            <v>0</v>
          </cell>
        </row>
        <row r="4431">
          <cell r="A4431" t="str">
            <v>SNPAMMMB</v>
          </cell>
          <cell r="B4431">
            <v>0.4167111301258819</v>
          </cell>
          <cell r="C4431">
            <v>0</v>
          </cell>
          <cell r="D4431">
            <v>0</v>
          </cell>
          <cell r="E4431" t="e">
            <v>#VALUE!</v>
          </cell>
          <cell r="F4431">
            <v>0</v>
          </cell>
        </row>
        <row r="4432">
          <cell r="A4432" t="str">
            <v>SNPACA5B</v>
          </cell>
          <cell r="B4432">
            <v>0.70034680431836271</v>
          </cell>
          <cell r="C4432">
            <v>0</v>
          </cell>
          <cell r="D4432">
            <v>0</v>
          </cell>
          <cell r="E4432" t="e">
            <v>#VALUE!</v>
          </cell>
          <cell r="F4432">
            <v>0</v>
          </cell>
        </row>
        <row r="4433">
          <cell r="A4433" t="str">
            <v>SIS5BASB</v>
          </cell>
          <cell r="B4433">
            <v>0.2934658170562901</v>
          </cell>
          <cell r="C4433">
            <v>0</v>
          </cell>
          <cell r="D4433">
            <v>0</v>
          </cell>
          <cell r="E4433" t="e">
            <v>#VALUE!</v>
          </cell>
          <cell r="F4433">
            <v>0</v>
          </cell>
        </row>
        <row r="4434">
          <cell r="A4434" t="str">
            <v>SIS5H2%B</v>
          </cell>
          <cell r="B4434">
            <v>5.8693163035667108E-2</v>
          </cell>
          <cell r="C4434">
            <v>0</v>
          </cell>
          <cell r="D4434" t="e">
            <v>#VALUE!</v>
          </cell>
          <cell r="E4434" t="e">
            <v>#VALUE!</v>
          </cell>
          <cell r="F4434">
            <v>0</v>
          </cell>
        </row>
        <row r="4435">
          <cell r="A4435" t="str">
            <v>SIS5LIVB</v>
          </cell>
          <cell r="B4435">
            <v>0.2934658170562901</v>
          </cell>
          <cell r="C4435">
            <v>0</v>
          </cell>
          <cell r="D4435">
            <v>0</v>
          </cell>
          <cell r="E4435" t="e">
            <v>#VALUE!</v>
          </cell>
          <cell r="F4435">
            <v>0</v>
          </cell>
        </row>
        <row r="4436">
          <cell r="A4436" t="str">
            <v>SIS5HYLB</v>
          </cell>
          <cell r="B4436">
            <v>0.2934658170562901</v>
          </cell>
          <cell r="C4436">
            <v>0</v>
          </cell>
          <cell r="D4436">
            <v>0</v>
          </cell>
          <cell r="E4436" t="e">
            <v>#VALUE!</v>
          </cell>
          <cell r="F4436">
            <v>0</v>
          </cell>
        </row>
        <row r="4437">
          <cell r="A4437" t="str">
            <v>SIS5IIIB</v>
          </cell>
          <cell r="B4437">
            <v>0.42531414113632621</v>
          </cell>
          <cell r="C4437">
            <v>0</v>
          </cell>
          <cell r="D4437">
            <v>0</v>
          </cell>
          <cell r="E4437" t="e">
            <v>#VALUE!</v>
          </cell>
          <cell r="F4437">
            <v>0</v>
          </cell>
        </row>
        <row r="4438">
          <cell r="A4438" t="str">
            <v>SU1FCL1B</v>
          </cell>
          <cell r="B4438">
            <v>6.4298793632690227E-2</v>
          </cell>
          <cell r="C4438">
            <v>0</v>
          </cell>
          <cell r="D4438">
            <v>0</v>
          </cell>
          <cell r="E4438" t="e">
            <v>#VALUE!</v>
          </cell>
          <cell r="F4438">
            <v>0</v>
          </cell>
        </row>
        <row r="4439">
          <cell r="A4439" t="str">
            <v>SU1FCP1B</v>
          </cell>
          <cell r="B4439">
            <v>5.8087276810244337E-2</v>
          </cell>
          <cell r="C4439">
            <v>0</v>
          </cell>
          <cell r="D4439">
            <v>0</v>
          </cell>
          <cell r="E4439" t="e">
            <v>#VALUE!</v>
          </cell>
          <cell r="F4439">
            <v>0</v>
          </cell>
        </row>
        <row r="4440">
          <cell r="A4440" t="str">
            <v>SU1FCP2B</v>
          </cell>
          <cell r="B4440">
            <v>5.0759323257697775E-2</v>
          </cell>
          <cell r="C4440">
            <v>0</v>
          </cell>
          <cell r="D4440" t="e">
            <v>#VALUE!</v>
          </cell>
          <cell r="E4440" t="e">
            <v>#VALUE!</v>
          </cell>
          <cell r="F4440">
            <v>0</v>
          </cell>
        </row>
        <row r="4441">
          <cell r="A4441" t="str">
            <v>SU1FNKFB</v>
          </cell>
          <cell r="B4441">
            <v>6.3496278997587214E-4</v>
          </cell>
          <cell r="C4441">
            <v>0</v>
          </cell>
          <cell r="D4441">
            <v>0</v>
          </cell>
          <cell r="E4441" t="e">
            <v>#VALUE!</v>
          </cell>
          <cell r="F4441">
            <v>0</v>
          </cell>
        </row>
        <row r="4442">
          <cell r="A4442" t="str">
            <v>SU1FPGCB</v>
          </cell>
          <cell r="B4442">
            <v>0.17465000487353705</v>
          </cell>
          <cell r="C4442">
            <v>0</v>
          </cell>
          <cell r="D4442">
            <v>0</v>
          </cell>
          <cell r="E4442" t="e">
            <v>#VALUE!</v>
          </cell>
          <cell r="F4442">
            <v>-9.3452071490353103E-2</v>
          </cell>
        </row>
        <row r="4443">
          <cell r="A4443" t="str">
            <v>SU1FPT2B</v>
          </cell>
          <cell r="B4443">
            <v>0</v>
          </cell>
          <cell r="C4443">
            <v>0</v>
          </cell>
          <cell r="D4443">
            <v>0</v>
          </cell>
          <cell r="E4443" t="e">
            <v>#VALUE!</v>
          </cell>
          <cell r="F4443">
            <v>-4.4546102211899953E-2</v>
          </cell>
        </row>
        <row r="4444">
          <cell r="A4444" t="str">
            <v>SU1FPT3B</v>
          </cell>
          <cell r="B4444">
            <v>0.18884954513752297</v>
          </cell>
          <cell r="C4444">
            <v>0</v>
          </cell>
          <cell r="D4444">
            <v>0</v>
          </cell>
          <cell r="E4444" t="e">
            <v>#VALUE!</v>
          </cell>
          <cell r="F4444">
            <v>0</v>
          </cell>
        </row>
        <row r="4445">
          <cell r="A4445" t="str">
            <v>SU1FU1FB</v>
          </cell>
          <cell r="B4445">
            <v>0.53727990535840597</v>
          </cell>
          <cell r="C4445">
            <v>0</v>
          </cell>
          <cell r="D4445">
            <v>0</v>
          </cell>
          <cell r="E4445" t="e">
            <v>#VALUE!</v>
          </cell>
          <cell r="F4445">
            <v>0</v>
          </cell>
        </row>
        <row r="4446">
          <cell r="A4446" t="str">
            <v>SU1F001B</v>
          </cell>
          <cell r="B4446">
            <v>9.0804684876579125E-2</v>
          </cell>
          <cell r="C4446">
            <v>0</v>
          </cell>
          <cell r="D4446">
            <v>0</v>
          </cell>
          <cell r="E4446" t="e">
            <v>#VALUE!</v>
          </cell>
          <cell r="F4446">
            <v>0</v>
          </cell>
        </row>
        <row r="4447">
          <cell r="A4447" t="str">
            <v>SU1F002B</v>
          </cell>
          <cell r="B4447">
            <v>7.7746516976454488E-2</v>
          </cell>
          <cell r="C4447">
            <v>0</v>
          </cell>
          <cell r="D4447">
            <v>0</v>
          </cell>
          <cell r="E4447" t="e">
            <v>#VALUE!</v>
          </cell>
          <cell r="F4447">
            <v>0</v>
          </cell>
        </row>
        <row r="4448">
          <cell r="A4448" t="str">
            <v>SU1F003B</v>
          </cell>
          <cell r="B4448">
            <v>6.7961257961514879E-2</v>
          </cell>
          <cell r="C4448">
            <v>0</v>
          </cell>
          <cell r="D4448">
            <v>0</v>
          </cell>
          <cell r="E4448" t="e">
            <v>#VALUE!</v>
          </cell>
          <cell r="F4448">
            <v>0</v>
          </cell>
        </row>
        <row r="4449">
          <cell r="A4449" t="str">
            <v>SU1F007B</v>
          </cell>
          <cell r="B4449">
            <v>8.9671350680674386E-4</v>
          </cell>
          <cell r="C4449">
            <v>0</v>
          </cell>
          <cell r="D4449">
            <v>0</v>
          </cell>
          <cell r="E4449" t="e">
            <v>#VALUE!</v>
          </cell>
          <cell r="F4449">
            <v>0</v>
          </cell>
        </row>
        <row r="4450">
          <cell r="A4450" t="str">
            <v>SU1F004B</v>
          </cell>
          <cell r="B4450">
            <v>0.23201763956514124</v>
          </cell>
          <cell r="C4450">
            <v>0</v>
          </cell>
          <cell r="D4450">
            <v>0</v>
          </cell>
          <cell r="E4450" t="e">
            <v>#VALUE!</v>
          </cell>
          <cell r="F4450">
            <v>0</v>
          </cell>
        </row>
        <row r="4451">
          <cell r="A4451" t="str">
            <v>SU1F005B</v>
          </cell>
          <cell r="B4451">
            <v>0</v>
          </cell>
          <cell r="C4451">
            <v>0</v>
          </cell>
          <cell r="D4451">
            <v>0</v>
          </cell>
          <cell r="E4451" t="e">
            <v>#VALUE!</v>
          </cell>
          <cell r="F4451">
            <v>-1.062412701853334E-2</v>
          </cell>
        </row>
        <row r="4452">
          <cell r="A4452" t="str">
            <v>SU1F006B</v>
          </cell>
          <cell r="B4452">
            <v>0.2474947547259396</v>
          </cell>
          <cell r="C4452">
            <v>0</v>
          </cell>
          <cell r="D4452">
            <v>0</v>
          </cell>
          <cell r="E4452" t="e">
            <v>#VALUE!</v>
          </cell>
          <cell r="F4452">
            <v>0</v>
          </cell>
        </row>
        <row r="4453">
          <cell r="A4453" t="str">
            <v>SU1FTTOB</v>
          </cell>
          <cell r="B4453">
            <v>0.23740917505466774</v>
          </cell>
          <cell r="C4453">
            <v>0</v>
          </cell>
          <cell r="D4453">
            <v>0</v>
          </cell>
          <cell r="E4453" t="e">
            <v>#VALUE!</v>
          </cell>
          <cell r="F4453">
            <v>0</v>
          </cell>
        </row>
        <row r="4454">
          <cell r="A4454" t="str">
            <v>SU1FKJHB</v>
          </cell>
          <cell r="B4454">
            <v>0.71692157673509149</v>
          </cell>
          <cell r="C4454">
            <v>0</v>
          </cell>
          <cell r="D4454">
            <v>0</v>
          </cell>
          <cell r="E4454" t="e">
            <v>#VALUE!</v>
          </cell>
          <cell r="F4454">
            <v>0</v>
          </cell>
        </row>
        <row r="4455">
          <cell r="A4455" t="str">
            <v>SU2FCORB</v>
          </cell>
          <cell r="B4455">
            <v>3.0490450050732861E-2</v>
          </cell>
          <cell r="C4455">
            <v>0</v>
          </cell>
          <cell r="D4455">
            <v>0</v>
          </cell>
          <cell r="E4455" t="e">
            <v>#VALUE!</v>
          </cell>
          <cell r="F4455">
            <v>-1.5307283161437675</v>
          </cell>
        </row>
        <row r="4456">
          <cell r="A4456" t="str">
            <v>SU2FPT3B</v>
          </cell>
          <cell r="B4456">
            <v>0.43383027747885822</v>
          </cell>
          <cell r="C4456">
            <v>0</v>
          </cell>
          <cell r="D4456">
            <v>0</v>
          </cell>
          <cell r="E4456" t="e">
            <v>#VALUE!</v>
          </cell>
          <cell r="F4456">
            <v>0</v>
          </cell>
        </row>
        <row r="4457">
          <cell r="A4457" t="str">
            <v>SU2FPT2B</v>
          </cell>
          <cell r="B4457">
            <v>0.29357401018273338</v>
          </cell>
          <cell r="C4457">
            <v>0</v>
          </cell>
          <cell r="D4457">
            <v>0</v>
          </cell>
          <cell r="E4457" t="e">
            <v>#VALUE!</v>
          </cell>
          <cell r="F4457">
            <v>0</v>
          </cell>
        </row>
        <row r="4458">
          <cell r="A4458" t="str">
            <v>SU2FPGCB</v>
          </cell>
          <cell r="B4458">
            <v>0</v>
          </cell>
          <cell r="C4458">
            <v>0</v>
          </cell>
          <cell r="D4458">
            <v>0</v>
          </cell>
          <cell r="E4458" t="e">
            <v>#VALUE!</v>
          </cell>
          <cell r="F4458">
            <v>-0.36902883138558634</v>
          </cell>
        </row>
        <row r="4459">
          <cell r="A4459" t="str">
            <v>SU2FU2FB</v>
          </cell>
          <cell r="B4459">
            <v>0.75789474330536311</v>
          </cell>
          <cell r="C4459">
            <v>0</v>
          </cell>
          <cell r="D4459">
            <v>0</v>
          </cell>
          <cell r="E4459" t="e">
            <v>#VALUE!</v>
          </cell>
          <cell r="F4459">
            <v>0</v>
          </cell>
        </row>
        <row r="4460">
          <cell r="A4460" t="str">
            <v>SUN1BASB</v>
          </cell>
          <cell r="B4460">
            <v>0.53727990535840597</v>
          </cell>
          <cell r="C4460">
            <v>0</v>
          </cell>
          <cell r="D4460">
            <v>0</v>
          </cell>
          <cell r="E4460" t="e">
            <v>#VALUE!</v>
          </cell>
          <cell r="F4460">
            <v>0</v>
          </cell>
        </row>
        <row r="4461">
          <cell r="A4461" t="str">
            <v>SUN1H2%B</v>
          </cell>
          <cell r="B4461">
            <v>2.3343039486506214</v>
          </cell>
          <cell r="C4461">
            <v>0</v>
          </cell>
          <cell r="D4461" t="e">
            <v>#VALUE!</v>
          </cell>
          <cell r="E4461" t="e">
            <v>#VALUE!</v>
          </cell>
          <cell r="F4461">
            <v>0</v>
          </cell>
        </row>
        <row r="4462">
          <cell r="A4462" t="str">
            <v>SUN1U1FB</v>
          </cell>
          <cell r="B4462">
            <v>0.53727990535840597</v>
          </cell>
          <cell r="C4462">
            <v>0</v>
          </cell>
          <cell r="D4462">
            <v>0</v>
          </cell>
          <cell r="E4462" t="e">
            <v>#VALUE!</v>
          </cell>
          <cell r="F4462">
            <v>0</v>
          </cell>
        </row>
        <row r="4463">
          <cell r="A4463" t="str">
            <v>SUN1HMXB</v>
          </cell>
          <cell r="B4463">
            <v>0.53727990535840597</v>
          </cell>
          <cell r="C4463">
            <v>0</v>
          </cell>
          <cell r="D4463">
            <v>0</v>
          </cell>
          <cell r="E4463" t="e">
            <v>#VALUE!</v>
          </cell>
          <cell r="F4463">
            <v>0</v>
          </cell>
        </row>
        <row r="4464">
          <cell r="A4464" t="str">
            <v>SUN1M3DB</v>
          </cell>
          <cell r="B4464">
            <v>0.71675355499737881</v>
          </cell>
          <cell r="C4464">
            <v>0</v>
          </cell>
          <cell r="D4464">
            <v>0</v>
          </cell>
          <cell r="E4464" t="e">
            <v>#VALUE!</v>
          </cell>
          <cell r="F4464">
            <v>0</v>
          </cell>
        </row>
        <row r="4465">
          <cell r="A4465" t="str">
            <v>SUN2BASB</v>
          </cell>
          <cell r="B4465">
            <v>0.75789474330536311</v>
          </cell>
          <cell r="C4465">
            <v>0</v>
          </cell>
          <cell r="D4465">
            <v>0</v>
          </cell>
          <cell r="E4465" t="e">
            <v>#VALUE!</v>
          </cell>
          <cell r="F4465">
            <v>0</v>
          </cell>
        </row>
        <row r="4466">
          <cell r="A4466" t="str">
            <v>SUN2H2%B</v>
          </cell>
          <cell r="B4466">
            <v>0.15157894716687398</v>
          </cell>
          <cell r="C4466">
            <v>0</v>
          </cell>
          <cell r="D4466" t="e">
            <v>#VALUE!</v>
          </cell>
          <cell r="E4466" t="e">
            <v>#VALUE!</v>
          </cell>
          <cell r="F4466">
            <v>0</v>
          </cell>
        </row>
        <row r="4467">
          <cell r="A4467" t="str">
            <v>SUN2U2FB</v>
          </cell>
          <cell r="B4467">
            <v>0.75789474330536311</v>
          </cell>
          <cell r="C4467">
            <v>0</v>
          </cell>
          <cell r="D4467" t="e">
            <v>#VALUE!</v>
          </cell>
          <cell r="E4467" t="e">
            <v>#VALUE!</v>
          </cell>
          <cell r="F4467">
            <v>0</v>
          </cell>
        </row>
        <row r="4468">
          <cell r="A4468" t="str">
            <v>SUN2HYLB</v>
          </cell>
          <cell r="B4468">
            <v>0.75789474330536311</v>
          </cell>
          <cell r="C4468">
            <v>0</v>
          </cell>
          <cell r="D4468">
            <v>0</v>
          </cell>
          <cell r="E4468" t="e">
            <v>#VALUE!</v>
          </cell>
          <cell r="F4468">
            <v>0</v>
          </cell>
        </row>
        <row r="4469">
          <cell r="A4469" t="str">
            <v>SUN2M3DB</v>
          </cell>
          <cell r="B4469">
            <v>0.99439627503695549</v>
          </cell>
          <cell r="C4469">
            <v>0</v>
          </cell>
          <cell r="D4469">
            <v>0</v>
          </cell>
          <cell r="E4469" t="e">
            <v>#VALUE!</v>
          </cell>
          <cell r="F4469">
            <v>0</v>
          </cell>
        </row>
        <row r="4470">
          <cell r="A4470" t="str">
            <v>SRFPTN1B</v>
          </cell>
          <cell r="B4470">
            <v>0.46576794892141266</v>
          </cell>
          <cell r="C4470">
            <v>0</v>
          </cell>
          <cell r="D4470">
            <v>0</v>
          </cell>
          <cell r="E4470" t="e">
            <v>#VALUE!</v>
          </cell>
          <cell r="F4470">
            <v>0</v>
          </cell>
        </row>
        <row r="4471">
          <cell r="A4471" t="str">
            <v>SRFPTN2B</v>
          </cell>
          <cell r="B4471">
            <v>0.6830799174635378</v>
          </cell>
          <cell r="C4471">
            <v>0</v>
          </cell>
          <cell r="D4471">
            <v>0</v>
          </cell>
          <cell r="E4471" t="e">
            <v>#VALUE!</v>
          </cell>
          <cell r="F4471">
            <v>0</v>
          </cell>
        </row>
        <row r="4472">
          <cell r="A4472" t="str">
            <v>SRFPRFFB</v>
          </cell>
          <cell r="B4472">
            <v>1.1488478591997329</v>
          </cell>
          <cell r="C4472">
            <v>0</v>
          </cell>
          <cell r="D4472" t="e">
            <v>#VALUE!</v>
          </cell>
          <cell r="E4472" t="e">
            <v>#VALUE!</v>
          </cell>
          <cell r="F4472">
            <v>0</v>
          </cell>
        </row>
        <row r="4473">
          <cell r="A4473" t="str">
            <v>SREFRFTB</v>
          </cell>
          <cell r="B4473">
            <v>1.1488478591997329</v>
          </cell>
          <cell r="C4473">
            <v>0</v>
          </cell>
          <cell r="D4473">
            <v>0</v>
          </cell>
          <cell r="E4473" t="e">
            <v>#VALUE!</v>
          </cell>
          <cell r="F4473">
            <v>0</v>
          </cell>
        </row>
        <row r="4474">
          <cell r="A4474" t="str">
            <v>SREFNA1B</v>
          </cell>
          <cell r="B4474">
            <v>-9.7230677862894053E-3</v>
          </cell>
          <cell r="C4474">
            <v>0</v>
          </cell>
          <cell r="D4474" t="e">
            <v>#VALUE!</v>
          </cell>
          <cell r="E4474" t="e">
            <v>#VALUE!</v>
          </cell>
          <cell r="F4474">
            <v>0</v>
          </cell>
        </row>
        <row r="4475">
          <cell r="A4475" t="str">
            <v>SREFRFFB</v>
          </cell>
          <cell r="B4475">
            <v>1.1488478591997329</v>
          </cell>
          <cell r="C4475">
            <v>0</v>
          </cell>
          <cell r="D4475">
            <v>0</v>
          </cell>
          <cell r="E4475" t="e">
            <v>#VALUE!</v>
          </cell>
          <cell r="F4475">
            <v>0</v>
          </cell>
        </row>
        <row r="4476">
          <cell r="A4476" t="str">
            <v>SREFBPTB</v>
          </cell>
          <cell r="B4476">
            <v>1.4897172496743398</v>
          </cell>
          <cell r="C4476">
            <v>0</v>
          </cell>
          <cell r="D4476">
            <v>0</v>
          </cell>
          <cell r="E4476" t="e">
            <v>#VALUE!</v>
          </cell>
          <cell r="F4476">
            <v>0</v>
          </cell>
        </row>
        <row r="4477">
          <cell r="A4477" t="str">
            <v>SHTPLG2B</v>
          </cell>
          <cell r="B4477">
            <v>0</v>
          </cell>
          <cell r="C4477">
            <v>0</v>
          </cell>
          <cell r="D4477">
            <v>0</v>
          </cell>
          <cell r="E4477" t="e">
            <v>#VALUE!</v>
          </cell>
          <cell r="F4477">
            <v>-11.928572179193367</v>
          </cell>
        </row>
        <row r="4478">
          <cell r="A4478" t="str">
            <v>SHTPBCDB</v>
          </cell>
          <cell r="B4478">
            <v>0.47219119496541478</v>
          </cell>
          <cell r="C4478">
            <v>0</v>
          </cell>
          <cell r="D4478">
            <v>0</v>
          </cell>
          <cell r="E4478" t="e">
            <v>#VALUE!</v>
          </cell>
          <cell r="F4478">
            <v>0</v>
          </cell>
        </row>
        <row r="4479">
          <cell r="A4479" t="str">
            <v>SHTPDCXB</v>
          </cell>
          <cell r="B4479">
            <v>1.4499192427282463</v>
          </cell>
          <cell r="C4479">
            <v>0</v>
          </cell>
          <cell r="D4479">
            <v>0</v>
          </cell>
          <cell r="E4479" t="e">
            <v>#VALUE!</v>
          </cell>
          <cell r="F4479">
            <v>0</v>
          </cell>
        </row>
        <row r="4480">
          <cell r="A4480" t="str">
            <v>SHTPHTFB</v>
          </cell>
          <cell r="B4480">
            <v>1.9221103929493526</v>
          </cell>
          <cell r="C4480">
            <v>0</v>
          </cell>
          <cell r="D4480" t="e">
            <v>#VALUE!</v>
          </cell>
          <cell r="E4480" t="e">
            <v>#VALUE!</v>
          </cell>
          <cell r="F4480">
            <v>0</v>
          </cell>
        </row>
        <row r="4481">
          <cell r="A4481" t="str">
            <v>SHTPHTZB</v>
          </cell>
          <cell r="B4481">
            <v>1.9221103929493526</v>
          </cell>
          <cell r="C4481">
            <v>0</v>
          </cell>
          <cell r="D4481">
            <v>0</v>
          </cell>
          <cell r="E4481" t="e">
            <v>#VALUE!</v>
          </cell>
          <cell r="F4481">
            <v>0</v>
          </cell>
        </row>
        <row r="4482">
          <cell r="A4482" t="str">
            <v>SHTPPOIB</v>
          </cell>
          <cell r="B4482">
            <v>1.9221103929493526</v>
          </cell>
          <cell r="C4482">
            <v>0</v>
          </cell>
          <cell r="D4482">
            <v>0</v>
          </cell>
          <cell r="E4482" t="e">
            <v>#VALUE!</v>
          </cell>
          <cell r="F4482">
            <v>0</v>
          </cell>
        </row>
        <row r="4483">
          <cell r="A4483" t="str">
            <v>SHTGBASB</v>
          </cell>
          <cell r="B4483">
            <v>1.9221103929493526</v>
          </cell>
          <cell r="C4483">
            <v>0</v>
          </cell>
          <cell r="D4483">
            <v>0</v>
          </cell>
          <cell r="E4483" t="e">
            <v>#VALUE!</v>
          </cell>
          <cell r="F4483">
            <v>0</v>
          </cell>
        </row>
        <row r="4484">
          <cell r="A4484" t="str">
            <v>SHTGCL2B</v>
          </cell>
          <cell r="B4484">
            <v>8.785327581101901E-2</v>
          </cell>
          <cell r="C4484">
            <v>0</v>
          </cell>
          <cell r="D4484">
            <v>0</v>
          </cell>
          <cell r="E4484" t="e">
            <v>#VALUE!</v>
          </cell>
          <cell r="F4484">
            <v>0</v>
          </cell>
        </row>
        <row r="4485">
          <cell r="A4485" t="str">
            <v>SHTGSULB</v>
          </cell>
          <cell r="B4485">
            <v>0.46778395224923958</v>
          </cell>
          <cell r="C4485">
            <v>0</v>
          </cell>
          <cell r="D4485" t="e">
            <v>#VALUE!</v>
          </cell>
          <cell r="E4485" t="e">
            <v>#VALUE!</v>
          </cell>
          <cell r="F4485">
            <v>0</v>
          </cell>
        </row>
        <row r="4486">
          <cell r="A4486" t="str">
            <v>SHTGH2%B</v>
          </cell>
          <cell r="B4486">
            <v>1.9028893212749534</v>
          </cell>
          <cell r="C4486">
            <v>0</v>
          </cell>
          <cell r="D4486" t="e">
            <v>#VALUE!</v>
          </cell>
          <cell r="E4486" t="e">
            <v>#VALUE!</v>
          </cell>
          <cell r="F4486">
            <v>0</v>
          </cell>
        </row>
        <row r="4487">
          <cell r="A4487" t="str">
            <v>SHTGHDSB</v>
          </cell>
          <cell r="B4487">
            <v>1.9221103929493526</v>
          </cell>
          <cell r="C4487">
            <v>0</v>
          </cell>
          <cell r="D4487">
            <v>0</v>
          </cell>
          <cell r="E4487" t="e">
            <v>#VALUE!</v>
          </cell>
          <cell r="F4487">
            <v>0</v>
          </cell>
        </row>
        <row r="4488">
          <cell r="A4488" t="str">
            <v>SHTG%H2B</v>
          </cell>
          <cell r="B4488">
            <v>8.6974740007968801E-2</v>
          </cell>
          <cell r="C4488">
            <v>0</v>
          </cell>
          <cell r="D4488" t="e">
            <v>#VALUE!</v>
          </cell>
          <cell r="E4488" t="e">
            <v>#VALUE!</v>
          </cell>
          <cell r="F4488">
            <v>0</v>
          </cell>
        </row>
        <row r="4489">
          <cell r="A4489" t="str">
            <v>SHTGHDYB</v>
          </cell>
          <cell r="B4489">
            <v>8.785327581101901E-2</v>
          </cell>
          <cell r="C4489">
            <v>0</v>
          </cell>
          <cell r="D4489">
            <v>0</v>
          </cell>
          <cell r="E4489" t="e">
            <v>#VALUE!</v>
          </cell>
          <cell r="F4489">
            <v>0</v>
          </cell>
        </row>
        <row r="4490">
          <cell r="A4490" t="str">
            <v>SHTGHT1B</v>
          </cell>
          <cell r="B4490">
            <v>1.9221103929493526</v>
          </cell>
          <cell r="C4490">
            <v>0</v>
          </cell>
          <cell r="D4490">
            <v>0</v>
          </cell>
          <cell r="E4490" t="e">
            <v>#VALUE!</v>
          </cell>
          <cell r="F4490">
            <v>0</v>
          </cell>
        </row>
        <row r="4491">
          <cell r="A4491" t="str">
            <v>SHTGBPTB</v>
          </cell>
          <cell r="B4491">
            <v>2.3484141676393273</v>
          </cell>
          <cell r="C4491">
            <v>0</v>
          </cell>
          <cell r="D4491" t="e">
            <v>#VALUE!</v>
          </cell>
          <cell r="E4491" t="e">
            <v>#VALUE!</v>
          </cell>
          <cell r="F4491">
            <v>0</v>
          </cell>
        </row>
        <row r="4492">
          <cell r="A4492" t="str">
            <v>SLXPPG2B</v>
          </cell>
          <cell r="B4492">
            <v>0</v>
          </cell>
          <cell r="C4492">
            <v>0</v>
          </cell>
          <cell r="D4492" t="e">
            <v>#VALUE!</v>
          </cell>
          <cell r="E4492" t="e">
            <v>#VALUE!</v>
          </cell>
          <cell r="F4492">
            <v>0.54380070714101403</v>
          </cell>
        </row>
        <row r="4493">
          <cell r="A4493" t="str">
            <v>SLXPPG3B</v>
          </cell>
          <cell r="B4493">
            <v>0.18318513697140837</v>
          </cell>
          <cell r="C4493">
            <v>0</v>
          </cell>
          <cell r="D4493">
            <v>0</v>
          </cell>
          <cell r="E4493" t="e">
            <v>#VALUE!</v>
          </cell>
          <cell r="F4493">
            <v>0</v>
          </cell>
        </row>
        <row r="4494">
          <cell r="A4494" t="str">
            <v>SLXPLVAB</v>
          </cell>
          <cell r="B4494">
            <v>2.0089611451919764</v>
          </cell>
          <cell r="C4494">
            <v>0</v>
          </cell>
          <cell r="D4494" t="e">
            <v>#VALUE!</v>
          </cell>
          <cell r="E4494" t="e">
            <v>#VALUE!</v>
          </cell>
          <cell r="F4494">
            <v>0</v>
          </cell>
        </row>
        <row r="4495">
          <cell r="A4495" t="str">
            <v>SLXPLXFB</v>
          </cell>
          <cell r="B4495">
            <v>2.1921463084547486</v>
          </cell>
          <cell r="C4495">
            <v>0</v>
          </cell>
          <cell r="D4495">
            <v>0</v>
          </cell>
          <cell r="E4495" t="e">
            <v>#VALUE!</v>
          </cell>
          <cell r="F4495">
            <v>0</v>
          </cell>
        </row>
        <row r="4496">
          <cell r="A4496" t="str">
            <v>SIMXBASB</v>
          </cell>
          <cell r="B4496">
            <v>2.1921463084547486</v>
          </cell>
          <cell r="C4496">
            <v>0</v>
          </cell>
          <cell r="D4496">
            <v>0</v>
          </cell>
          <cell r="E4496" t="e">
            <v>#VALUE!</v>
          </cell>
          <cell r="F4496">
            <v>0</v>
          </cell>
        </row>
        <row r="4497">
          <cell r="A4497" t="str">
            <v>SIMXLG2B</v>
          </cell>
          <cell r="B4497">
            <v>-3.2052618455141049E-12</v>
          </cell>
          <cell r="C4497">
            <v>0</v>
          </cell>
          <cell r="D4497">
            <v>0</v>
          </cell>
          <cell r="E4497" t="e">
            <v>#VALUE!</v>
          </cell>
          <cell r="F4497">
            <v>-2.8892298032159673</v>
          </cell>
        </row>
        <row r="4498">
          <cell r="A4498" t="str">
            <v>SIMXLK3B</v>
          </cell>
          <cell r="B4498">
            <v>0</v>
          </cell>
          <cell r="C4498">
            <v>0</v>
          </cell>
          <cell r="D4498">
            <v>0</v>
          </cell>
          <cell r="E4498">
            <v>0</v>
          </cell>
          <cell r="F4498">
            <v>-2.0899269228112209</v>
          </cell>
        </row>
        <row r="4499">
          <cell r="A4499" t="str">
            <v>SIMXGLVB</v>
          </cell>
          <cell r="B4499">
            <v>1.5045357988305288</v>
          </cell>
          <cell r="C4499">
            <v>0</v>
          </cell>
          <cell r="D4499">
            <v>0</v>
          </cell>
          <cell r="E4499" t="e">
            <v>#VALUE!</v>
          </cell>
          <cell r="F4499">
            <v>0</v>
          </cell>
        </row>
        <row r="4500">
          <cell r="A4500" t="str">
            <v>SIMXGLWB</v>
          </cell>
          <cell r="B4500">
            <v>0</v>
          </cell>
          <cell r="C4500">
            <v>0</v>
          </cell>
          <cell r="D4500">
            <v>0</v>
          </cell>
          <cell r="E4500" t="e">
            <v>#VALUE!</v>
          </cell>
          <cell r="F4500">
            <v>-3.9559276038653231</v>
          </cell>
        </row>
        <row r="4501">
          <cell r="A4501" t="str">
            <v>SIMXGLXB</v>
          </cell>
          <cell r="B4501">
            <v>1.5045357988305288</v>
          </cell>
          <cell r="C4501">
            <v>0</v>
          </cell>
          <cell r="D4501">
            <v>0</v>
          </cell>
          <cell r="E4501" t="e">
            <v>#VALUE!</v>
          </cell>
          <cell r="F4501">
            <v>0</v>
          </cell>
        </row>
        <row r="4502">
          <cell r="A4502" t="str">
            <v>SIMXAPIB</v>
          </cell>
          <cell r="B4502">
            <v>-0.14409040988308108</v>
          </cell>
          <cell r="C4502">
            <v>0</v>
          </cell>
          <cell r="D4502" t="e">
            <v>#VALUE!</v>
          </cell>
          <cell r="E4502" t="e">
            <v>#VALUE!</v>
          </cell>
          <cell r="F4502">
            <v>0</v>
          </cell>
        </row>
        <row r="4503">
          <cell r="A4503" t="str">
            <v>SIMXKFCB</v>
          </cell>
          <cell r="B4503">
            <v>0.13051035957385415</v>
          </cell>
          <cell r="C4503">
            <v>0</v>
          </cell>
          <cell r="D4503" t="e">
            <v>#VALUE!</v>
          </cell>
          <cell r="E4503" t="e">
            <v>#VALUE!</v>
          </cell>
          <cell r="F4503">
            <v>0</v>
          </cell>
        </row>
        <row r="4504">
          <cell r="A4504" t="str">
            <v>SIMXSULB</v>
          </cell>
          <cell r="B4504">
            <v>0.98946983161037916</v>
          </cell>
          <cell r="C4504">
            <v>0</v>
          </cell>
          <cell r="D4504" t="e">
            <v>#VALUE!</v>
          </cell>
          <cell r="E4504" t="e">
            <v>#VALUE!</v>
          </cell>
          <cell r="F4504">
            <v>0</v>
          </cell>
        </row>
        <row r="4505">
          <cell r="A4505" t="str">
            <v>SIMXH2%B</v>
          </cell>
          <cell r="B4505">
            <v>9.499559556621394</v>
          </cell>
          <cell r="C4505">
            <v>0</v>
          </cell>
          <cell r="D4505" t="e">
            <v>#VALUE!</v>
          </cell>
          <cell r="E4505" t="e">
            <v>#VALUE!</v>
          </cell>
          <cell r="F4505">
            <v>0</v>
          </cell>
        </row>
        <row r="4506">
          <cell r="A4506" t="str">
            <v>SIMXHMXB</v>
          </cell>
          <cell r="B4506">
            <v>2.1921463084547486</v>
          </cell>
          <cell r="C4506">
            <v>0</v>
          </cell>
          <cell r="D4506">
            <v>0</v>
          </cell>
          <cell r="E4506" t="e">
            <v>#VALUE!</v>
          </cell>
          <cell r="F4506">
            <v>0</v>
          </cell>
        </row>
        <row r="4507">
          <cell r="A4507" t="str">
            <v>SIMX%H2B</v>
          </cell>
          <cell r="B4507">
            <v>-1.3807028085532001E-11</v>
          </cell>
          <cell r="C4507">
            <v>0</v>
          </cell>
          <cell r="D4507" t="e">
            <v>#VALUE!</v>
          </cell>
          <cell r="E4507" t="e">
            <v>#VALUE!</v>
          </cell>
          <cell r="F4507">
            <v>0</v>
          </cell>
        </row>
        <row r="4508">
          <cell r="A4508" t="str">
            <v>SIMXHMYB</v>
          </cell>
          <cell r="B4508">
            <v>-3.2052618455141049E-12</v>
          </cell>
          <cell r="C4508">
            <v>0</v>
          </cell>
          <cell r="D4508" t="e">
            <v>#VALUE!</v>
          </cell>
          <cell r="E4508" t="e">
            <v>#VALUE!</v>
          </cell>
          <cell r="F4508">
            <v>0</v>
          </cell>
        </row>
        <row r="4509">
          <cell r="A4509" t="str">
            <v>SIMXLXFB</v>
          </cell>
          <cell r="B4509">
            <v>2.1921463084547486</v>
          </cell>
          <cell r="C4509">
            <v>0</v>
          </cell>
          <cell r="D4509" t="e">
            <v>#VALUE!</v>
          </cell>
          <cell r="E4509" t="e">
            <v>#VALUE!</v>
          </cell>
          <cell r="F4509">
            <v>0</v>
          </cell>
        </row>
        <row r="4510">
          <cell r="A4510" t="str">
            <v>SIMXM3DB</v>
          </cell>
          <cell r="B4510">
            <v>2.4930684893098598</v>
          </cell>
          <cell r="C4510">
            <v>0</v>
          </cell>
          <cell r="D4510" t="e">
            <v>#VALUE!</v>
          </cell>
          <cell r="E4510" t="e">
            <v>#VALUE!</v>
          </cell>
          <cell r="F4510">
            <v>0</v>
          </cell>
        </row>
        <row r="4511">
          <cell r="A4511" t="str">
            <v>SIMXMXDB</v>
          </cell>
          <cell r="B4511">
            <v>2.4930684893098598</v>
          </cell>
          <cell r="C4511">
            <v>0</v>
          </cell>
          <cell r="D4511" t="e">
            <v>#VALUE!</v>
          </cell>
          <cell r="E4511" t="e">
            <v>#VALUE!</v>
          </cell>
          <cell r="F4511">
            <v>0</v>
          </cell>
        </row>
        <row r="4512">
          <cell r="A4512" t="str">
            <v>SMERLK2B</v>
          </cell>
          <cell r="B4512">
            <v>0.23294348831046119</v>
          </cell>
          <cell r="C4512">
            <v>0</v>
          </cell>
          <cell r="D4512">
            <v>0</v>
          </cell>
          <cell r="E4512" t="e">
            <v>#VALUE!</v>
          </cell>
          <cell r="F4512">
            <v>0</v>
          </cell>
        </row>
        <row r="4513">
          <cell r="A4513" t="str">
            <v>SMERLK3B</v>
          </cell>
          <cell r="B4513">
            <v>0</v>
          </cell>
          <cell r="C4513">
            <v>0</v>
          </cell>
          <cell r="D4513" t="e">
            <v>#VALUE!</v>
          </cell>
          <cell r="E4513" t="e">
            <v>#VALUE!</v>
          </cell>
          <cell r="F4513">
            <v>-0.22818583059188438</v>
          </cell>
        </row>
        <row r="4514">
          <cell r="A4514" t="str">
            <v>SMERKJPB</v>
          </cell>
          <cell r="B4514">
            <v>0.23294348831046119</v>
          </cell>
          <cell r="C4514">
            <v>0</v>
          </cell>
          <cell r="D4514">
            <v>0</v>
          </cell>
          <cell r="E4514" t="e">
            <v>#VALUE!</v>
          </cell>
          <cell r="F4514">
            <v>0</v>
          </cell>
        </row>
        <row r="4515">
          <cell r="A4515" t="str">
            <v>SMERMMMB</v>
          </cell>
          <cell r="B4515">
            <v>0.28945923235318433</v>
          </cell>
          <cell r="C4515">
            <v>0</v>
          </cell>
          <cell r="D4515">
            <v>0</v>
          </cell>
          <cell r="E4515" t="e">
            <v>#VALUE!</v>
          </cell>
          <cell r="F4515">
            <v>0</v>
          </cell>
        </row>
        <row r="4516">
          <cell r="A4516" t="str">
            <v>SHFA4LPB</v>
          </cell>
          <cell r="B4516">
            <v>0</v>
          </cell>
          <cell r="C4516">
            <v>0</v>
          </cell>
          <cell r="D4516">
            <v>0</v>
          </cell>
          <cell r="E4516" t="e">
            <v>#VALUE!</v>
          </cell>
          <cell r="F4516">
            <v>0</v>
          </cell>
        </row>
        <row r="4517">
          <cell r="A4517" t="str">
            <v>SHFAI4GB</v>
          </cell>
          <cell r="B4517">
            <v>4.6938132821288829E-2</v>
          </cell>
          <cell r="C4517">
            <v>0</v>
          </cell>
          <cell r="D4517">
            <v>0</v>
          </cell>
          <cell r="E4517" t="e">
            <v>#VALUE!</v>
          </cell>
          <cell r="F4517">
            <v>0</v>
          </cell>
        </row>
        <row r="4518">
          <cell r="A4518" t="str">
            <v>SHFAC4MB</v>
          </cell>
          <cell r="B4518">
            <v>0.14090374418317456</v>
          </cell>
          <cell r="C4518">
            <v>0</v>
          </cell>
          <cell r="D4518">
            <v>0</v>
          </cell>
          <cell r="E4518" t="e">
            <v>#VALUE!</v>
          </cell>
          <cell r="F4518">
            <v>0</v>
          </cell>
        </row>
        <row r="4519">
          <cell r="A4519" t="str">
            <v>SHFAC4CB</v>
          </cell>
          <cell r="B4519">
            <v>0.10483488820187033</v>
          </cell>
          <cell r="C4519">
            <v>0</v>
          </cell>
          <cell r="D4519">
            <v>0</v>
          </cell>
          <cell r="E4519" t="e">
            <v>#VALUE!</v>
          </cell>
          <cell r="F4519">
            <v>0</v>
          </cell>
        </row>
        <row r="4520">
          <cell r="A4520" t="str">
            <v>SHFAVVVB</v>
          </cell>
          <cell r="B4520">
            <v>1.9565660914737885E-2</v>
          </cell>
          <cell r="C4520">
            <v>0</v>
          </cell>
          <cell r="D4520">
            <v>0</v>
          </cell>
          <cell r="E4520" t="e">
            <v>#VALUE!</v>
          </cell>
          <cell r="F4520">
            <v>0</v>
          </cell>
        </row>
        <row r="4521">
          <cell r="A4521" t="str">
            <v>SHFAWWWB</v>
          </cell>
          <cell r="B4521">
            <v>3.7257007019568793E-2</v>
          </cell>
          <cell r="C4521">
            <v>0</v>
          </cell>
          <cell r="D4521">
            <v>0</v>
          </cell>
          <cell r="E4521" t="e">
            <v>#VALUE!</v>
          </cell>
          <cell r="F4521">
            <v>0</v>
          </cell>
        </row>
        <row r="4522">
          <cell r="A4522" t="str">
            <v>SHFAXXXB</v>
          </cell>
          <cell r="B4522">
            <v>2.1719621711295762E-3</v>
          </cell>
          <cell r="C4522">
            <v>0</v>
          </cell>
          <cell r="D4522">
            <v>0</v>
          </cell>
          <cell r="E4522" t="e">
            <v>#VALUE!</v>
          </cell>
          <cell r="F4522">
            <v>0</v>
          </cell>
        </row>
        <row r="4523">
          <cell r="A4523" t="str">
            <v>SHFAYYYB</v>
          </cell>
          <cell r="B4523">
            <v>2.979506773695554E-2</v>
          </cell>
          <cell r="C4523">
            <v>0</v>
          </cell>
          <cell r="D4523">
            <v>0</v>
          </cell>
          <cell r="E4523" t="e">
            <v>#VALUE!</v>
          </cell>
          <cell r="F4523">
            <v>0</v>
          </cell>
        </row>
        <row r="4524">
          <cell r="A4524" t="str">
            <v>SHFAZZZB</v>
          </cell>
          <cell r="B4524">
            <v>5.2114045007588115E-2</v>
          </cell>
          <cell r="C4524">
            <v>0</v>
          </cell>
          <cell r="D4524">
            <v>0</v>
          </cell>
          <cell r="E4524" t="e">
            <v>#VALUE!</v>
          </cell>
          <cell r="F4524">
            <v>0</v>
          </cell>
        </row>
        <row r="4525">
          <cell r="A4525" t="str">
            <v>SHFAWXFB</v>
          </cell>
          <cell r="B4525">
            <v>1.1515622665110517E-2</v>
          </cell>
          <cell r="C4525">
            <v>0</v>
          </cell>
          <cell r="D4525">
            <v>0</v>
          </cell>
          <cell r="E4525" t="e">
            <v>#VALUE!</v>
          </cell>
          <cell r="F4525">
            <v>0</v>
          </cell>
        </row>
        <row r="4526">
          <cell r="A4526" t="str">
            <v>SHFAWXGB</v>
          </cell>
          <cell r="B4526">
            <v>5.3479172432259338E-2</v>
          </cell>
          <cell r="C4526">
            <v>0</v>
          </cell>
          <cell r="D4526">
            <v>0</v>
          </cell>
          <cell r="E4526" t="e">
            <v>#VALUE!</v>
          </cell>
          <cell r="F4526">
            <v>0</v>
          </cell>
        </row>
        <row r="4527">
          <cell r="A4527" t="str">
            <v>SHFAWXHB</v>
          </cell>
          <cell r="B4527">
            <v>2.4492239385639152E-2</v>
          </cell>
          <cell r="C4527">
            <v>0</v>
          </cell>
          <cell r="D4527">
            <v>0</v>
          </cell>
          <cell r="E4527" t="e">
            <v>#VALUE!</v>
          </cell>
          <cell r="F4527">
            <v>0</v>
          </cell>
        </row>
        <row r="4528">
          <cell r="A4528" t="str">
            <v>SHFAWXIB</v>
          </cell>
          <cell r="B4528">
            <v>1.5347853014628364E-2</v>
          </cell>
          <cell r="C4528">
            <v>0</v>
          </cell>
          <cell r="D4528">
            <v>0</v>
          </cell>
          <cell r="E4528" t="e">
            <v>#VALUE!</v>
          </cell>
          <cell r="F4528">
            <v>0</v>
          </cell>
        </row>
        <row r="4529">
          <cell r="A4529" t="str">
            <v>SHFAWXJB</v>
          </cell>
          <cell r="B4529">
            <v>0</v>
          </cell>
          <cell r="C4529">
            <v>0</v>
          </cell>
          <cell r="D4529">
            <v>0</v>
          </cell>
          <cell r="E4529" t="e">
            <v>#VALUE!</v>
          </cell>
          <cell r="F4529">
            <v>0</v>
          </cell>
        </row>
        <row r="4530">
          <cell r="A4530" t="str">
            <v>SHFAAILB</v>
          </cell>
          <cell r="B4530">
            <v>1.3610426987176888E-3</v>
          </cell>
          <cell r="C4530">
            <v>0</v>
          </cell>
          <cell r="D4530">
            <v>0</v>
          </cell>
          <cell r="E4530" t="e">
            <v>#VALUE!</v>
          </cell>
          <cell r="F4530">
            <v>0</v>
          </cell>
        </row>
        <row r="4531">
          <cell r="A4531" t="str">
            <v>SHFA1=AB</v>
          </cell>
          <cell r="B4531">
            <v>0.12834919833973663</v>
          </cell>
          <cell r="C4531">
            <v>0</v>
          </cell>
          <cell r="D4531">
            <v>0</v>
          </cell>
          <cell r="E4531" t="e">
            <v>#VALUE!</v>
          </cell>
          <cell r="F4531">
            <v>0</v>
          </cell>
        </row>
        <row r="4532">
          <cell r="A4532" t="str">
            <v>SHFATTTB</v>
          </cell>
          <cell r="B4532">
            <v>0.13631327050189448</v>
          </cell>
          <cell r="C4532">
            <v>0</v>
          </cell>
          <cell r="D4532">
            <v>0</v>
          </cell>
          <cell r="E4532" t="e">
            <v>#VALUE!</v>
          </cell>
          <cell r="F4532">
            <v>0</v>
          </cell>
        </row>
        <row r="4533">
          <cell r="A4533" t="str">
            <v>SHFAUUUB</v>
          </cell>
          <cell r="B4533">
            <v>0.1239211670339924</v>
          </cell>
          <cell r="C4533">
            <v>0</v>
          </cell>
          <cell r="D4533">
            <v>0</v>
          </cell>
          <cell r="E4533" t="e">
            <v>#VALUE!</v>
          </cell>
          <cell r="F4533">
            <v>0</v>
          </cell>
        </row>
        <row r="4534">
          <cell r="A4534" t="str">
            <v>SC2PIOCB</v>
          </cell>
          <cell r="B4534">
            <v>0</v>
          </cell>
          <cell r="C4534">
            <v>0</v>
          </cell>
          <cell r="D4534">
            <v>0</v>
          </cell>
          <cell r="E4534" t="e">
            <v>#VALUE!</v>
          </cell>
          <cell r="F4534">
            <v>0</v>
          </cell>
        </row>
        <row r="4535">
          <cell r="A4535" t="str">
            <v>SC2PLVAB</v>
          </cell>
          <cell r="B4535">
            <v>0.24043962583966452</v>
          </cell>
          <cell r="C4535">
            <v>0</v>
          </cell>
          <cell r="D4535">
            <v>0</v>
          </cell>
          <cell r="E4535" t="e">
            <v>#VALUE!</v>
          </cell>
          <cell r="F4535">
            <v>-3.1771830206048</v>
          </cell>
        </row>
        <row r="4536">
          <cell r="A4536" t="str">
            <v>SC2PPRAB</v>
          </cell>
          <cell r="B4536">
            <v>0</v>
          </cell>
          <cell r="C4536">
            <v>0</v>
          </cell>
          <cell r="D4536">
            <v>0</v>
          </cell>
          <cell r="E4536" t="e">
            <v>#VALUE!</v>
          </cell>
          <cell r="F4536">
            <v>48.009862533987388</v>
          </cell>
        </row>
        <row r="4537">
          <cell r="A4537" t="str">
            <v>SC2PPVAB</v>
          </cell>
          <cell r="B4537">
            <v>1.9657718638851218</v>
          </cell>
          <cell r="C4537">
            <v>0</v>
          </cell>
          <cell r="D4537">
            <v>0</v>
          </cell>
          <cell r="E4537" t="e">
            <v>#VALUE!</v>
          </cell>
          <cell r="F4537">
            <v>0</v>
          </cell>
        </row>
        <row r="4538">
          <cell r="A4538" t="str">
            <v>SC2PCG1B</v>
          </cell>
          <cell r="B4538">
            <v>0.37479179428048331</v>
          </cell>
          <cell r="C4538">
            <v>0</v>
          </cell>
          <cell r="D4538">
            <v>0</v>
          </cell>
          <cell r="E4538" t="e">
            <v>#VALUE!</v>
          </cell>
          <cell r="F4538">
            <v>0</v>
          </cell>
        </row>
        <row r="4539">
          <cell r="A4539" t="str">
            <v>SC2PCG2B</v>
          </cell>
          <cell r="B4539">
            <v>0.37679742835972407</v>
          </cell>
          <cell r="C4539">
            <v>0</v>
          </cell>
          <cell r="D4539">
            <v>0</v>
          </cell>
          <cell r="E4539" t="e">
            <v>#VALUE!</v>
          </cell>
          <cell r="F4539">
            <v>0</v>
          </cell>
        </row>
        <row r="4540">
          <cell r="A4540" t="str">
            <v>SC2PPG2B</v>
          </cell>
          <cell r="B4540">
            <v>2.0942466399849279E-2</v>
          </cell>
          <cell r="C4540">
            <v>0</v>
          </cell>
          <cell r="D4540">
            <v>0</v>
          </cell>
          <cell r="E4540" t="e">
            <v>#VALUE!</v>
          </cell>
          <cell r="F4540">
            <v>-2.3097576654120666</v>
          </cell>
        </row>
        <row r="4541">
          <cell r="A4541" t="str">
            <v>SC2PPG3B</v>
          </cell>
          <cell r="B4541">
            <v>0</v>
          </cell>
          <cell r="C4541">
            <v>0</v>
          </cell>
          <cell r="D4541">
            <v>0</v>
          </cell>
          <cell r="E4541" t="e">
            <v>#VALUE!</v>
          </cell>
          <cell r="F4541">
            <v>-2.4954390285766288</v>
          </cell>
        </row>
        <row r="4542">
          <cell r="A4542" t="str">
            <v>SC2PFC2B</v>
          </cell>
          <cell r="B4542">
            <v>2.9787431514426452</v>
          </cell>
          <cell r="C4542">
            <v>0</v>
          </cell>
          <cell r="D4542">
            <v>0</v>
          </cell>
          <cell r="E4542" t="e">
            <v>#VALUE!</v>
          </cell>
          <cell r="F4542">
            <v>0</v>
          </cell>
        </row>
        <row r="4543">
          <cell r="A4543" t="str">
            <v>SC2PDCDB</v>
          </cell>
          <cell r="B4543">
            <v>0</v>
          </cell>
          <cell r="C4543">
            <v>0</v>
          </cell>
          <cell r="D4543">
            <v>0</v>
          </cell>
          <cell r="E4543" t="e">
            <v>#VALUE!</v>
          </cell>
          <cell r="F4543">
            <v>1.4855238222096063</v>
          </cell>
        </row>
        <row r="4544">
          <cell r="A4544" t="str">
            <v>SC2PCX2B</v>
          </cell>
          <cell r="B4544">
            <v>2.9787431514426452</v>
          </cell>
          <cell r="C4544">
            <v>0</v>
          </cell>
          <cell r="D4544">
            <v>0</v>
          </cell>
          <cell r="E4544" t="e">
            <v>#VALUE!</v>
          </cell>
          <cell r="F4544">
            <v>0</v>
          </cell>
        </row>
        <row r="4545">
          <cell r="A4545" t="str">
            <v>SC2PCY2B</v>
          </cell>
          <cell r="B4545">
            <v>2.9787431514426452</v>
          </cell>
          <cell r="C4545">
            <v>0</v>
          </cell>
          <cell r="D4545">
            <v>0</v>
          </cell>
          <cell r="E4545" t="e">
            <v>#VALUE!</v>
          </cell>
          <cell r="F4545">
            <v>0</v>
          </cell>
        </row>
        <row r="4546">
          <cell r="A4546" t="str">
            <v>SC2PCZ2B</v>
          </cell>
          <cell r="B4546">
            <v>2.9787431514426452</v>
          </cell>
          <cell r="C4546">
            <v>0</v>
          </cell>
          <cell r="D4546">
            <v>0</v>
          </cell>
          <cell r="E4546" t="e">
            <v>#VALUE!</v>
          </cell>
          <cell r="F4546">
            <v>0</v>
          </cell>
        </row>
        <row r="4547">
          <cell r="A4547" t="str">
            <v>SC2PCW2B</v>
          </cell>
          <cell r="B4547">
            <v>2.9787431514426452</v>
          </cell>
          <cell r="C4547">
            <v>0</v>
          </cell>
          <cell r="D4547">
            <v>0</v>
          </cell>
          <cell r="E4547" t="e">
            <v>#VALUE!</v>
          </cell>
          <cell r="F4547">
            <v>0</v>
          </cell>
        </row>
        <row r="4548">
          <cell r="A4548" t="str">
            <v>SCC2HIGB</v>
          </cell>
          <cell r="B4548">
            <v>2.161536227840267</v>
          </cell>
          <cell r="C4548">
            <v>0</v>
          </cell>
          <cell r="D4548">
            <v>0</v>
          </cell>
          <cell r="E4548" t="e">
            <v>#VALUE!</v>
          </cell>
          <cell r="F4548">
            <v>0</v>
          </cell>
        </row>
        <row r="4549">
          <cell r="A4549" t="str">
            <v>SCC2LOWB</v>
          </cell>
          <cell r="B4549">
            <v>0.81720691670293677</v>
          </cell>
          <cell r="C4549">
            <v>0</v>
          </cell>
          <cell r="D4549">
            <v>0</v>
          </cell>
          <cell r="E4549">
            <v>999</v>
          </cell>
          <cell r="F4549">
            <v>0</v>
          </cell>
        </row>
        <row r="4550">
          <cell r="A4550" t="str">
            <v>SCC2NKFB</v>
          </cell>
          <cell r="B4550">
            <v>0</v>
          </cell>
          <cell r="C4550">
            <v>0</v>
          </cell>
          <cell r="D4550">
            <v>0</v>
          </cell>
          <cell r="E4550" t="e">
            <v>#VALUE!</v>
          </cell>
          <cell r="F4550">
            <v>-433.63872212449166</v>
          </cell>
        </row>
        <row r="4551">
          <cell r="A4551" t="str">
            <v>SCC2CL2B</v>
          </cell>
          <cell r="B4551">
            <v>0</v>
          </cell>
          <cell r="C4551">
            <v>0</v>
          </cell>
          <cell r="D4551">
            <v>0</v>
          </cell>
          <cell r="E4551" t="e">
            <v>#VALUE!</v>
          </cell>
          <cell r="F4551">
            <v>174.62708163326732</v>
          </cell>
        </row>
        <row r="4552">
          <cell r="A4552" t="str">
            <v>SCC2IRPB</v>
          </cell>
          <cell r="B4552">
            <v>0</v>
          </cell>
          <cell r="C4552">
            <v>0</v>
          </cell>
          <cell r="D4552">
            <v>0</v>
          </cell>
          <cell r="E4552" t="e">
            <v>#VALUE!</v>
          </cell>
          <cell r="F4552">
            <v>419.96415346746574</v>
          </cell>
        </row>
        <row r="4553">
          <cell r="A4553" t="str">
            <v>SCC2AF1B</v>
          </cell>
          <cell r="B4553">
            <v>-14.617186690030033</v>
          </cell>
          <cell r="C4553">
            <v>0</v>
          </cell>
          <cell r="D4553" t="e">
            <v>#VALUE!</v>
          </cell>
          <cell r="E4553" t="e">
            <v>#VALUE!</v>
          </cell>
          <cell r="F4553">
            <v>0</v>
          </cell>
        </row>
        <row r="4554">
          <cell r="A4554" t="str">
            <v>SCC2BN1B</v>
          </cell>
          <cell r="B4554">
            <v>-70.627478340880515</v>
          </cell>
          <cell r="C4554">
            <v>0</v>
          </cell>
          <cell r="D4554" t="e">
            <v>#VALUE!</v>
          </cell>
          <cell r="E4554" t="e">
            <v>#VALUE!</v>
          </cell>
          <cell r="F4554">
            <v>0</v>
          </cell>
        </row>
        <row r="4555">
          <cell r="A4555" t="str">
            <v>SCC2SU1B</v>
          </cell>
          <cell r="B4555">
            <v>-0.57095975075682548</v>
          </cell>
          <cell r="C4555">
            <v>0</v>
          </cell>
          <cell r="D4555" t="e">
            <v>#VALUE!</v>
          </cell>
          <cell r="E4555" t="e">
            <v>#VALUE!</v>
          </cell>
          <cell r="F4555">
            <v>0</v>
          </cell>
        </row>
        <row r="4556">
          <cell r="A4556" t="str">
            <v>SCC2AF2B</v>
          </cell>
          <cell r="B4556">
            <v>0.78166334155487682</v>
          </cell>
          <cell r="C4556">
            <v>0</v>
          </cell>
          <cell r="D4556" t="e">
            <v>#VALUE!</v>
          </cell>
          <cell r="E4556" t="e">
            <v>#VALUE!</v>
          </cell>
          <cell r="F4556">
            <v>0</v>
          </cell>
        </row>
        <row r="4557">
          <cell r="A4557" t="str">
            <v>SCC2BN2B</v>
          </cell>
          <cell r="B4557">
            <v>-15.552570593846987</v>
          </cell>
          <cell r="C4557">
            <v>0</v>
          </cell>
          <cell r="D4557" t="e">
            <v>#VALUE!</v>
          </cell>
          <cell r="E4557" t="e">
            <v>#VALUE!</v>
          </cell>
          <cell r="F4557">
            <v>0</v>
          </cell>
        </row>
        <row r="4558">
          <cell r="A4558" t="str">
            <v>SCC2SU2B</v>
          </cell>
          <cell r="B4558">
            <v>-2.867927861444601E-2</v>
          </cell>
          <cell r="C4558">
            <v>0</v>
          </cell>
          <cell r="D4558" t="e">
            <v>#VALUE!</v>
          </cell>
          <cell r="E4558" t="e">
            <v>#VALUE!</v>
          </cell>
          <cell r="F4558">
            <v>0</v>
          </cell>
        </row>
        <row r="4559">
          <cell r="A4559" t="str">
            <v>SCC2CF3B</v>
          </cell>
          <cell r="B4559">
            <v>2.161536227840267</v>
          </cell>
          <cell r="C4559">
            <v>0</v>
          </cell>
          <cell r="D4559" t="e">
            <v>#VALUE!</v>
          </cell>
          <cell r="E4559" t="e">
            <v>#VALUE!</v>
          </cell>
          <cell r="F4559">
            <v>0</v>
          </cell>
        </row>
        <row r="4560">
          <cell r="A4560" t="str">
            <v>SCC2CF4B</v>
          </cell>
          <cell r="B4560">
            <v>0.81720691670293677</v>
          </cell>
          <cell r="C4560">
            <v>0</v>
          </cell>
          <cell r="D4560" t="e">
            <v>#VALUE!</v>
          </cell>
          <cell r="E4560" t="e">
            <v>#VALUE!</v>
          </cell>
          <cell r="F4560">
            <v>0</v>
          </cell>
        </row>
        <row r="4561">
          <cell r="A4561" t="str">
            <v>SCC2TOTB</v>
          </cell>
          <cell r="B4561">
            <v>2.9787431514426452</v>
          </cell>
          <cell r="C4561">
            <v>0</v>
          </cell>
          <cell r="D4561" t="e">
            <v>#VALUE!</v>
          </cell>
          <cell r="E4561" t="e">
            <v>#VALUE!</v>
          </cell>
          <cell r="F4561">
            <v>0</v>
          </cell>
        </row>
        <row r="4562">
          <cell r="A4562" t="str">
            <v>SCC2BPTB</v>
          </cell>
          <cell r="B4562">
            <v>3.2706791734042233</v>
          </cell>
          <cell r="C4562">
            <v>0</v>
          </cell>
          <cell r="D4562" t="e">
            <v>#VALUE!</v>
          </cell>
          <cell r="E4562" t="e">
            <v>#VALUE!</v>
          </cell>
          <cell r="F4562">
            <v>0</v>
          </cell>
        </row>
        <row r="4563">
          <cell r="A4563" t="str">
            <v>SCC2CMIB</v>
          </cell>
          <cell r="B4563">
            <v>3.2706791734042233</v>
          </cell>
          <cell r="C4563">
            <v>0</v>
          </cell>
          <cell r="D4563" t="e">
            <v>#VALUE!</v>
          </cell>
          <cell r="E4563" t="e">
            <v>#VALUE!</v>
          </cell>
          <cell r="F4563">
            <v>0</v>
          </cell>
        </row>
        <row r="4564">
          <cell r="A4564" t="str">
            <v>SFCG3C1B</v>
          </cell>
          <cell r="B4564">
            <v>0</v>
          </cell>
          <cell r="C4564">
            <v>0</v>
          </cell>
          <cell r="D4564" t="e">
            <v>#VALUE!</v>
          </cell>
          <cell r="E4564" t="e">
            <v>#VALUE!</v>
          </cell>
          <cell r="F4564">
            <v>0</v>
          </cell>
        </row>
        <row r="4565">
          <cell r="A4565" t="str">
            <v>SFCG3C2B</v>
          </cell>
          <cell r="B4565">
            <v>0.23128437963250564</v>
          </cell>
          <cell r="C4565">
            <v>0</v>
          </cell>
          <cell r="D4565">
            <v>0</v>
          </cell>
          <cell r="E4565" t="e">
            <v>#VALUE!</v>
          </cell>
          <cell r="F4565">
            <v>0</v>
          </cell>
        </row>
        <row r="4566">
          <cell r="A4566" t="str">
            <v>SFCG3D2B</v>
          </cell>
          <cell r="B4566">
            <v>6.2352887745181176E-2</v>
          </cell>
          <cell r="C4566">
            <v>0</v>
          </cell>
          <cell r="D4566">
            <v>0</v>
          </cell>
          <cell r="E4566" t="e">
            <v>#VALUE!</v>
          </cell>
          <cell r="F4566">
            <v>0</v>
          </cell>
        </row>
        <row r="4567">
          <cell r="A4567" t="str">
            <v>SFCG3E2B</v>
          </cell>
          <cell r="B4567">
            <v>0</v>
          </cell>
          <cell r="C4567">
            <v>0</v>
          </cell>
          <cell r="D4567">
            <v>0</v>
          </cell>
          <cell r="E4567" t="e">
            <v>#VALUE!</v>
          </cell>
          <cell r="F4567">
            <v>0</v>
          </cell>
        </row>
        <row r="4568">
          <cell r="A4568" t="str">
            <v>SFCG3K1B</v>
          </cell>
          <cell r="B4568">
            <v>0</v>
          </cell>
          <cell r="C4568">
            <v>0</v>
          </cell>
          <cell r="D4568">
            <v>0</v>
          </cell>
          <cell r="E4568" t="e">
            <v>#VALUE!</v>
          </cell>
          <cell r="F4568">
            <v>0</v>
          </cell>
        </row>
        <row r="4569">
          <cell r="A4569" t="str">
            <v>SFCG31KB</v>
          </cell>
          <cell r="B4569">
            <v>1.2066797534488652E-2</v>
          </cell>
          <cell r="C4569">
            <v>0</v>
          </cell>
          <cell r="D4569">
            <v>0</v>
          </cell>
          <cell r="E4569" t="e">
            <v>#VALUE!</v>
          </cell>
          <cell r="F4569">
            <v>0</v>
          </cell>
        </row>
        <row r="4570">
          <cell r="A4570" t="str">
            <v>SFCG3K2B</v>
          </cell>
          <cell r="B4570">
            <v>0</v>
          </cell>
          <cell r="C4570">
            <v>0</v>
          </cell>
          <cell r="D4570">
            <v>0</v>
          </cell>
          <cell r="E4570" t="e">
            <v>#VALUE!</v>
          </cell>
          <cell r="F4570">
            <v>0</v>
          </cell>
        </row>
        <row r="4571">
          <cell r="A4571" t="str">
            <v>SFCG32KB</v>
          </cell>
          <cell r="B4571">
            <v>5.0263225062660974E-3</v>
          </cell>
          <cell r="C4571">
            <v>0</v>
          </cell>
          <cell r="D4571">
            <v>0</v>
          </cell>
          <cell r="E4571" t="e">
            <v>#VALUE!</v>
          </cell>
          <cell r="F4571">
            <v>0</v>
          </cell>
        </row>
        <row r="4572">
          <cell r="A4572" t="str">
            <v>SFCG4C1B</v>
          </cell>
          <cell r="B4572">
            <v>0</v>
          </cell>
          <cell r="C4572">
            <v>0</v>
          </cell>
          <cell r="D4572">
            <v>0</v>
          </cell>
          <cell r="E4572" t="e">
            <v>#VALUE!</v>
          </cell>
          <cell r="F4572">
            <v>0</v>
          </cell>
        </row>
        <row r="4573">
          <cell r="A4573" t="str">
            <v>SFCG4C2B</v>
          </cell>
          <cell r="B4573">
            <v>0.30542507604376912</v>
          </cell>
          <cell r="C4573">
            <v>0</v>
          </cell>
          <cell r="D4573">
            <v>0</v>
          </cell>
          <cell r="E4573" t="e">
            <v>#VALUE!</v>
          </cell>
          <cell r="F4573">
            <v>0</v>
          </cell>
        </row>
        <row r="4574">
          <cell r="A4574" t="str">
            <v>SFCG4D2B</v>
          </cell>
          <cell r="B4574">
            <v>8.3763706464677637E-2</v>
          </cell>
          <cell r="C4574">
            <v>0</v>
          </cell>
          <cell r="D4574">
            <v>0</v>
          </cell>
          <cell r="E4574" t="e">
            <v>#VALUE!</v>
          </cell>
          <cell r="F4574">
            <v>0</v>
          </cell>
        </row>
        <row r="4575">
          <cell r="A4575" t="str">
            <v>SFCG4E2B</v>
          </cell>
          <cell r="B4575">
            <v>0</v>
          </cell>
          <cell r="C4575">
            <v>0</v>
          </cell>
          <cell r="D4575">
            <v>0</v>
          </cell>
          <cell r="E4575" t="e">
            <v>#VALUE!</v>
          </cell>
          <cell r="F4575">
            <v>0</v>
          </cell>
        </row>
        <row r="4576">
          <cell r="A4576" t="str">
            <v>SFCG4K1B</v>
          </cell>
          <cell r="B4576">
            <v>0</v>
          </cell>
          <cell r="C4576">
            <v>0</v>
          </cell>
          <cell r="D4576">
            <v>0</v>
          </cell>
          <cell r="E4576" t="e">
            <v>#VALUE!</v>
          </cell>
          <cell r="F4576">
            <v>0</v>
          </cell>
        </row>
        <row r="4577">
          <cell r="A4577" t="str">
            <v>SFCG41KB</v>
          </cell>
          <cell r="B4577">
            <v>2.8764944309241151E-2</v>
          </cell>
          <cell r="C4577">
            <v>0</v>
          </cell>
          <cell r="D4577">
            <v>0</v>
          </cell>
          <cell r="E4577" t="e">
            <v>#VALUE!</v>
          </cell>
          <cell r="F4577">
            <v>0</v>
          </cell>
        </row>
        <row r="4578">
          <cell r="A4578" t="str">
            <v>SFCG4K2B</v>
          </cell>
          <cell r="B4578">
            <v>3.3118405813147337E-14</v>
          </cell>
          <cell r="C4578">
            <v>0</v>
          </cell>
          <cell r="D4578">
            <v>0</v>
          </cell>
          <cell r="E4578" t="e">
            <v>#VALUE!</v>
          </cell>
          <cell r="F4578">
            <v>0</v>
          </cell>
        </row>
        <row r="4579">
          <cell r="A4579" t="str">
            <v>SFCG42KB</v>
          </cell>
          <cell r="B4579">
            <v>1.7302503554175976E-2</v>
          </cell>
          <cell r="C4579">
            <v>0</v>
          </cell>
          <cell r="D4579">
            <v>0</v>
          </cell>
          <cell r="E4579" t="e">
            <v>#VALUE!</v>
          </cell>
          <cell r="F4579">
            <v>0</v>
          </cell>
        </row>
        <row r="4580">
          <cell r="A4580" t="str">
            <v>SFCGNK1B</v>
          </cell>
          <cell r="B4580">
            <v>6.3496278997587214E-4</v>
          </cell>
          <cell r="C4580">
            <v>0</v>
          </cell>
          <cell r="D4580">
            <v>0</v>
          </cell>
          <cell r="E4580" t="e">
            <v>#VALUE!</v>
          </cell>
          <cell r="F4580">
            <v>0</v>
          </cell>
        </row>
        <row r="4581">
          <cell r="A4581" t="str">
            <v>SFCGNK2B</v>
          </cell>
          <cell r="B4581">
            <v>0</v>
          </cell>
          <cell r="C4581">
            <v>0</v>
          </cell>
          <cell r="D4581">
            <v>0</v>
          </cell>
          <cell r="E4581" t="e">
            <v>#VALUE!</v>
          </cell>
          <cell r="F4581">
            <v>0</v>
          </cell>
        </row>
        <row r="4582">
          <cell r="A4582" t="str">
            <v>SFCGC3FB</v>
          </cell>
          <cell r="B4582">
            <v>0.31073038561703409</v>
          </cell>
          <cell r="C4582">
            <v>0</v>
          </cell>
          <cell r="D4582">
            <v>0</v>
          </cell>
          <cell r="E4582" t="e">
            <v>#VALUE!</v>
          </cell>
          <cell r="F4582">
            <v>0</v>
          </cell>
        </row>
        <row r="4583">
          <cell r="A4583" t="str">
            <v>SFCGC4FB</v>
          </cell>
          <cell r="B4583">
            <v>0.43525622250282603</v>
          </cell>
          <cell r="C4583">
            <v>0</v>
          </cell>
          <cell r="D4583">
            <v>0</v>
          </cell>
          <cell r="E4583" t="e">
            <v>#VALUE!</v>
          </cell>
          <cell r="F4583">
            <v>0</v>
          </cell>
        </row>
        <row r="4584">
          <cell r="A4584" t="str">
            <v>SCKPAR2B</v>
          </cell>
          <cell r="B4584">
            <v>0</v>
          </cell>
          <cell r="C4584">
            <v>0</v>
          </cell>
          <cell r="D4584">
            <v>0</v>
          </cell>
          <cell r="E4584" t="e">
            <v>#VALUE!</v>
          </cell>
          <cell r="F4584">
            <v>-60.432458339325372</v>
          </cell>
        </row>
        <row r="4585">
          <cell r="A4585" t="str">
            <v>SCKPVRAB</v>
          </cell>
          <cell r="B4585">
            <v>3.4786972215730851</v>
          </cell>
          <cell r="C4585">
            <v>0</v>
          </cell>
          <cell r="D4585">
            <v>0</v>
          </cell>
          <cell r="E4585" t="e">
            <v>#VALUE!</v>
          </cell>
          <cell r="F4585">
            <v>0</v>
          </cell>
        </row>
        <row r="4586">
          <cell r="A4586" t="str">
            <v>SCKPCCSB</v>
          </cell>
          <cell r="B4586">
            <v>0.28562881824088421</v>
          </cell>
          <cell r="C4586">
            <v>0</v>
          </cell>
          <cell r="D4586">
            <v>0</v>
          </cell>
          <cell r="E4586" t="e">
            <v>#VALUE!</v>
          </cell>
          <cell r="F4586">
            <v>0</v>
          </cell>
        </row>
        <row r="4587">
          <cell r="A4587" t="str">
            <v>SCKPPRAB</v>
          </cell>
          <cell r="B4587">
            <v>0</v>
          </cell>
          <cell r="C4587">
            <v>0</v>
          </cell>
          <cell r="D4587">
            <v>0</v>
          </cell>
          <cell r="E4587" t="e">
            <v>#VALUE!</v>
          </cell>
          <cell r="F4587">
            <v>-67.410839801945102</v>
          </cell>
        </row>
        <row r="4588">
          <cell r="A4588" t="str">
            <v>SCKPPVAB</v>
          </cell>
          <cell r="B4588">
            <v>0</v>
          </cell>
          <cell r="C4588">
            <v>0</v>
          </cell>
          <cell r="D4588">
            <v>0</v>
          </cell>
          <cell r="E4588" t="e">
            <v>#VALUE!</v>
          </cell>
          <cell r="F4588">
            <v>-112.60716103331683</v>
          </cell>
        </row>
        <row r="4589">
          <cell r="A4589" t="str">
            <v>SCKPCCKB</v>
          </cell>
          <cell r="B4589">
            <v>3.7643259584087216</v>
          </cell>
          <cell r="C4589">
            <v>0</v>
          </cell>
          <cell r="D4589">
            <v>0</v>
          </cell>
          <cell r="E4589" t="e">
            <v>#VALUE!</v>
          </cell>
          <cell r="F4589">
            <v>0</v>
          </cell>
        </row>
        <row r="4590">
          <cell r="A4590" t="str">
            <v>SCKPCCCB</v>
          </cell>
          <cell r="B4590">
            <v>3.7643259584087216</v>
          </cell>
          <cell r="C4590">
            <v>0</v>
          </cell>
          <cell r="D4590">
            <v>0</v>
          </cell>
          <cell r="E4590" t="e">
            <v>#VALUE!</v>
          </cell>
          <cell r="F4590">
            <v>0</v>
          </cell>
        </row>
        <row r="4591">
          <cell r="A4591" t="str">
            <v>SCKPCCQB</v>
          </cell>
          <cell r="B4591">
            <v>3.7643259584087216</v>
          </cell>
          <cell r="C4591">
            <v>0</v>
          </cell>
          <cell r="D4591">
            <v>0</v>
          </cell>
          <cell r="E4591" t="e">
            <v>#VALUE!</v>
          </cell>
          <cell r="F4591">
            <v>0</v>
          </cell>
        </row>
        <row r="4592">
          <cell r="A4592" t="str">
            <v>SCK1BASB</v>
          </cell>
          <cell r="B4592">
            <v>0</v>
          </cell>
          <cell r="C4592">
            <v>0</v>
          </cell>
          <cell r="D4592">
            <v>0</v>
          </cell>
          <cell r="E4592" t="e">
            <v>#VALUE!</v>
          </cell>
          <cell r="F4592">
            <v>-6.4730304927042086</v>
          </cell>
        </row>
        <row r="4593">
          <cell r="A4593" t="str">
            <v>SCK1BATB</v>
          </cell>
          <cell r="B4593">
            <v>1.844438709624826</v>
          </cell>
          <cell r="C4593">
            <v>0</v>
          </cell>
          <cell r="D4593">
            <v>0</v>
          </cell>
          <cell r="E4593" t="e">
            <v>#VALUE!</v>
          </cell>
          <cell r="F4593">
            <v>0</v>
          </cell>
        </row>
        <row r="4594">
          <cell r="A4594" t="str">
            <v>SCK1APIB</v>
          </cell>
          <cell r="B4594">
            <v>1.3258371611164042</v>
          </cell>
          <cell r="C4594">
            <v>0</v>
          </cell>
          <cell r="D4594">
            <v>0</v>
          </cell>
          <cell r="E4594" t="e">
            <v>#VALUE!</v>
          </cell>
          <cell r="F4594">
            <v>0</v>
          </cell>
        </row>
        <row r="4595">
          <cell r="A4595" t="str">
            <v>SCK1CONB</v>
          </cell>
          <cell r="B4595">
            <v>0.3563143982462687</v>
          </cell>
          <cell r="C4595">
            <v>0</v>
          </cell>
          <cell r="D4595">
            <v>0</v>
          </cell>
          <cell r="E4595" t="e">
            <v>#VALUE!</v>
          </cell>
          <cell r="F4595">
            <v>0</v>
          </cell>
        </row>
        <row r="4596">
          <cell r="A4596" t="str">
            <v>SCK1SULB</v>
          </cell>
          <cell r="B4596">
            <v>0.87012783272625649</v>
          </cell>
          <cell r="C4596">
            <v>0</v>
          </cell>
          <cell r="D4596">
            <v>0</v>
          </cell>
          <cell r="E4596" t="e">
            <v>#VALUE!</v>
          </cell>
          <cell r="F4596">
            <v>0</v>
          </cell>
        </row>
        <row r="4597">
          <cell r="A4597" t="str">
            <v>SCK1CCKB</v>
          </cell>
          <cell r="B4597">
            <v>1.844438709624826</v>
          </cell>
          <cell r="C4597">
            <v>0</v>
          </cell>
          <cell r="D4597">
            <v>0</v>
          </cell>
          <cell r="E4597" t="e">
            <v>#VALUE!</v>
          </cell>
          <cell r="F4597">
            <v>0</v>
          </cell>
        </row>
        <row r="4598">
          <cell r="A4598" t="str">
            <v>SCK1IRPB</v>
          </cell>
          <cell r="B4598">
            <v>0</v>
          </cell>
          <cell r="C4598">
            <v>0</v>
          </cell>
          <cell r="D4598">
            <v>0</v>
          </cell>
          <cell r="E4598" t="e">
            <v>#VALUE!</v>
          </cell>
          <cell r="F4598">
            <v>426.65973142859053</v>
          </cell>
        </row>
        <row r="4599">
          <cell r="A4599" t="str">
            <v>SCK1BPTB</v>
          </cell>
          <cell r="B4599">
            <v>1.8638497123979543</v>
          </cell>
          <cell r="C4599">
            <v>0</v>
          </cell>
          <cell r="D4599">
            <v>0</v>
          </cell>
          <cell r="E4599" t="e">
            <v>#VALUE!</v>
          </cell>
          <cell r="F4599">
            <v>0</v>
          </cell>
        </row>
        <row r="4600">
          <cell r="A4600" t="str">
            <v>SCK2HIGB</v>
          </cell>
          <cell r="B4600">
            <v>1.9441503201843004E-12</v>
          </cell>
          <cell r="C4600">
            <v>0</v>
          </cell>
          <cell r="D4600">
            <v>0</v>
          </cell>
          <cell r="E4600" t="e">
            <v>#VALUE!</v>
          </cell>
          <cell r="F4600">
            <v>-3.9580176575543131</v>
          </cell>
        </row>
        <row r="4601">
          <cell r="A4601" t="str">
            <v>SCK2LOWB</v>
          </cell>
          <cell r="B4601">
            <v>1.9198873082252399</v>
          </cell>
          <cell r="C4601">
            <v>0</v>
          </cell>
          <cell r="D4601">
            <v>0</v>
          </cell>
          <cell r="E4601" t="e">
            <v>#VALUE!</v>
          </cell>
          <cell r="F4601">
            <v>0</v>
          </cell>
        </row>
        <row r="4602">
          <cell r="A4602" t="str">
            <v>SCK2KK2B</v>
          </cell>
          <cell r="B4602">
            <v>1.9441503201843004E-12</v>
          </cell>
          <cell r="C4602">
            <v>0</v>
          </cell>
          <cell r="D4602">
            <v>0</v>
          </cell>
          <cell r="E4602" t="e">
            <v>#VALUE!</v>
          </cell>
          <cell r="F4602">
            <v>0</v>
          </cell>
        </row>
        <row r="4603">
          <cell r="A4603" t="str">
            <v>SCK2KK4B</v>
          </cell>
          <cell r="B4603">
            <v>1.9198873082252399</v>
          </cell>
          <cell r="C4603">
            <v>0</v>
          </cell>
          <cell r="D4603">
            <v>0</v>
          </cell>
          <cell r="E4603" t="e">
            <v>#VALUE!</v>
          </cell>
          <cell r="F4603">
            <v>0</v>
          </cell>
        </row>
        <row r="4604">
          <cell r="A4604" t="str">
            <v>SCK2IRPB</v>
          </cell>
          <cell r="B4604">
            <v>0</v>
          </cell>
          <cell r="C4604">
            <v>0</v>
          </cell>
          <cell r="D4604">
            <v>0</v>
          </cell>
          <cell r="E4604">
            <v>0</v>
          </cell>
          <cell r="F4604">
            <v>331.61873812740794</v>
          </cell>
        </row>
        <row r="4605">
          <cell r="A4605" t="str">
            <v>SCK2NLAB</v>
          </cell>
          <cell r="B4605">
            <v>8.785327581101901E-2</v>
          </cell>
          <cell r="C4605">
            <v>0</v>
          </cell>
          <cell r="D4605">
            <v>0</v>
          </cell>
          <cell r="E4605" t="e">
            <v>#VALUE!</v>
          </cell>
          <cell r="F4605">
            <v>0</v>
          </cell>
        </row>
        <row r="4606">
          <cell r="A4606" t="str">
            <v>SCK22CLB</v>
          </cell>
          <cell r="B4606">
            <v>0</v>
          </cell>
          <cell r="C4606">
            <v>0</v>
          </cell>
          <cell r="D4606">
            <v>0</v>
          </cell>
          <cell r="E4606" t="e">
            <v>#VALUE!</v>
          </cell>
          <cell r="F4606">
            <v>192.40428788694618</v>
          </cell>
        </row>
        <row r="4607">
          <cell r="A4607" t="str">
            <v>SCK22CPB</v>
          </cell>
          <cell r="B4607">
            <v>5.0759323257697775E-2</v>
          </cell>
          <cell r="C4607">
            <v>0</v>
          </cell>
          <cell r="D4607">
            <v>0</v>
          </cell>
          <cell r="E4607" t="e">
            <v>#VALUE!</v>
          </cell>
          <cell r="F4607">
            <v>0</v>
          </cell>
        </row>
        <row r="4608">
          <cell r="A4608" t="str">
            <v>SCK2CP2B</v>
          </cell>
          <cell r="B4608">
            <v>5.0759323257697775E-2</v>
          </cell>
          <cell r="C4608">
            <v>0</v>
          </cell>
          <cell r="D4608">
            <v>0</v>
          </cell>
          <cell r="E4608" t="e">
            <v>#VALUE!</v>
          </cell>
          <cell r="F4608">
            <v>0</v>
          </cell>
        </row>
        <row r="4609">
          <cell r="A4609" t="str">
            <v>SCK2BPTB</v>
          </cell>
          <cell r="B4609">
            <v>0</v>
          </cell>
          <cell r="C4609">
            <v>0</v>
          </cell>
          <cell r="D4609">
            <v>0</v>
          </cell>
          <cell r="E4609" t="e">
            <v>#VALUE!</v>
          </cell>
          <cell r="F4609">
            <v>-10.779219230233807</v>
          </cell>
        </row>
        <row r="4610">
          <cell r="A4610" t="str">
            <v>SCK2BPEB</v>
          </cell>
          <cell r="B4610">
            <v>1.940000057220459</v>
          </cell>
          <cell r="C4610">
            <v>0</v>
          </cell>
          <cell r="D4610">
            <v>0</v>
          </cell>
          <cell r="E4610" t="e">
            <v>#VALUE!</v>
          </cell>
          <cell r="F4610">
            <v>0</v>
          </cell>
        </row>
        <row r="4611">
          <cell r="A4611" t="str">
            <v>SCGSNC3B</v>
          </cell>
          <cell r="B4611">
            <v>6.074058674786189E-2</v>
          </cell>
          <cell r="C4611">
            <v>0</v>
          </cell>
          <cell r="D4611">
            <v>0</v>
          </cell>
          <cell r="E4611" t="e">
            <v>#VALUE!</v>
          </cell>
          <cell r="F4611">
            <v>0</v>
          </cell>
        </row>
        <row r="4612">
          <cell r="A4612" t="str">
            <v>SCGSNC4B</v>
          </cell>
          <cell r="B4612">
            <v>7.3972710946651352E-2</v>
          </cell>
          <cell r="C4612">
            <v>0</v>
          </cell>
          <cell r="D4612">
            <v>0</v>
          </cell>
          <cell r="E4612" t="e">
            <v>#VALUE!</v>
          </cell>
          <cell r="F4612">
            <v>0</v>
          </cell>
        </row>
        <row r="4613">
          <cell r="A4613" t="str">
            <v>SCGSIC4B</v>
          </cell>
          <cell r="B4613">
            <v>4.6938132821288829E-2</v>
          </cell>
          <cell r="C4613">
            <v>0</v>
          </cell>
          <cell r="D4613">
            <v>0</v>
          </cell>
          <cell r="E4613" t="e">
            <v>#VALUE!</v>
          </cell>
          <cell r="F4613">
            <v>0</v>
          </cell>
        </row>
        <row r="4614">
          <cell r="A4614" t="str">
            <v>SCGSNU1B</v>
          </cell>
          <cell r="B4614">
            <v>6.544069270156834E-2</v>
          </cell>
          <cell r="C4614">
            <v>0</v>
          </cell>
          <cell r="D4614">
            <v>0</v>
          </cell>
          <cell r="E4614" t="e">
            <v>#VALUE!</v>
          </cell>
          <cell r="F4614">
            <v>0</v>
          </cell>
        </row>
        <row r="4615">
          <cell r="A4615" t="str">
            <v>SCGSNU2B</v>
          </cell>
          <cell r="B4615">
            <v>7.4711823830865831E-2</v>
          </cell>
          <cell r="C4615">
            <v>0</v>
          </cell>
          <cell r="D4615">
            <v>0</v>
          </cell>
          <cell r="E4615" t="e">
            <v>#VALUE!</v>
          </cell>
          <cell r="F4615">
            <v>0</v>
          </cell>
        </row>
        <row r="4616">
          <cell r="A4616" t="str">
            <v>SCGSNLXB</v>
          </cell>
          <cell r="B4616">
            <v>0.22327010496838451</v>
          </cell>
          <cell r="C4616">
            <v>0</v>
          </cell>
          <cell r="D4616">
            <v>0</v>
          </cell>
          <cell r="E4616" t="e">
            <v>#VALUE!</v>
          </cell>
          <cell r="F4616">
            <v>0</v>
          </cell>
        </row>
        <row r="4617">
          <cell r="A4617" t="str">
            <v>SCGSNPXB</v>
          </cell>
          <cell r="B4617">
            <v>0.26721824701518226</v>
          </cell>
          <cell r="C4617">
            <v>0</v>
          </cell>
          <cell r="D4617">
            <v>0</v>
          </cell>
          <cell r="E4617" t="e">
            <v>#VALUE!</v>
          </cell>
          <cell r="F4617">
            <v>0</v>
          </cell>
        </row>
        <row r="4618">
          <cell r="A4618" t="str">
            <v>SCGSTCLB</v>
          </cell>
          <cell r="B4618">
            <v>0.10639522536976696</v>
          </cell>
          <cell r="C4618">
            <v>0</v>
          </cell>
          <cell r="D4618">
            <v>0</v>
          </cell>
          <cell r="E4618" t="e">
            <v>#VALUE!</v>
          </cell>
          <cell r="F4618">
            <v>0</v>
          </cell>
        </row>
        <row r="4619">
          <cell r="A4619" t="str">
            <v>SCGSTCNB</v>
          </cell>
          <cell r="B4619">
            <v>6.2468588413441016E-2</v>
          </cell>
          <cell r="C4619">
            <v>0</v>
          </cell>
          <cell r="D4619">
            <v>0</v>
          </cell>
          <cell r="E4619" t="e">
            <v>#VALUE!</v>
          </cell>
          <cell r="F4619">
            <v>0</v>
          </cell>
        </row>
        <row r="4620">
          <cell r="A4620" t="str">
            <v>SCGSLGCB</v>
          </cell>
          <cell r="B4620">
            <v>0.46981784219611183</v>
          </cell>
          <cell r="C4620">
            <v>0</v>
          </cell>
          <cell r="D4620">
            <v>0</v>
          </cell>
          <cell r="E4620" t="e">
            <v>#VALUE!</v>
          </cell>
          <cell r="F4620">
            <v>0</v>
          </cell>
        </row>
        <row r="4621">
          <cell r="A4621" t="str">
            <v>SCGSPGCB</v>
          </cell>
          <cell r="B4621">
            <v>0.32968683822514261</v>
          </cell>
          <cell r="C4621">
            <v>0</v>
          </cell>
          <cell r="D4621">
            <v>0</v>
          </cell>
          <cell r="E4621" t="e">
            <v>#VALUE!</v>
          </cell>
          <cell r="F4621">
            <v>0</v>
          </cell>
        </row>
        <row r="4622">
          <cell r="A4622" t="str">
            <v>SDCXDCDB</v>
          </cell>
          <cell r="B4622">
            <v>1.4499192427282463</v>
          </cell>
          <cell r="C4622">
            <v>0</v>
          </cell>
          <cell r="D4622">
            <v>0</v>
          </cell>
          <cell r="E4622" t="e">
            <v>#VALUE!</v>
          </cell>
          <cell r="F4622">
            <v>0</v>
          </cell>
        </row>
        <row r="4623">
          <cell r="A4623" t="str">
            <v>SDCXDCXB</v>
          </cell>
          <cell r="B4623">
            <v>1.4499192427282463</v>
          </cell>
          <cell r="C4623">
            <v>0</v>
          </cell>
          <cell r="D4623">
            <v>0</v>
          </cell>
          <cell r="E4623" t="e">
            <v>#VALUE!</v>
          </cell>
          <cell r="F4623">
            <v>0</v>
          </cell>
        </row>
        <row r="4624">
          <cell r="A4624" t="str">
            <v>SPFSCI4B</v>
          </cell>
          <cell r="B4624">
            <v>0</v>
          </cell>
          <cell r="C4624">
            <v>0</v>
          </cell>
          <cell r="D4624">
            <v>0</v>
          </cell>
          <cell r="E4624" t="e">
            <v>#VALUE!</v>
          </cell>
          <cell r="F4624">
            <v>-801.76342907213188</v>
          </cell>
        </row>
        <row r="4625">
          <cell r="A4625" t="str">
            <v>SPFSC=4B</v>
          </cell>
          <cell r="B4625">
            <v>0</v>
          </cell>
          <cell r="C4625">
            <v>0</v>
          </cell>
          <cell r="D4625">
            <v>0</v>
          </cell>
          <cell r="E4625" t="e">
            <v>#VALUE!</v>
          </cell>
          <cell r="F4625">
            <v>0</v>
          </cell>
        </row>
        <row r="4626">
          <cell r="A4626" t="str">
            <v>SPFS3NCB</v>
          </cell>
          <cell r="B4626">
            <v>0</v>
          </cell>
          <cell r="C4626">
            <v>0</v>
          </cell>
          <cell r="D4626">
            <v>0</v>
          </cell>
          <cell r="E4626" t="e">
            <v>#VALUE!</v>
          </cell>
          <cell r="F4626">
            <v>0</v>
          </cell>
        </row>
        <row r="4627">
          <cell r="A4627" t="str">
            <v>SPFSGLCB</v>
          </cell>
          <cell r="B4627">
            <v>2.5350332775548712E-2</v>
          </cell>
          <cell r="C4627">
            <v>0</v>
          </cell>
          <cell r="D4627">
            <v>0</v>
          </cell>
          <cell r="E4627" t="e">
            <v>#VALUE!</v>
          </cell>
          <cell r="F4627">
            <v>-18.652056717546017</v>
          </cell>
        </row>
        <row r="4628">
          <cell r="A4628" t="str">
            <v>SPFSHYFB</v>
          </cell>
          <cell r="B4628">
            <v>5.0469656380480281E-2</v>
          </cell>
          <cell r="C4628">
            <v>0</v>
          </cell>
          <cell r="D4628">
            <v>0</v>
          </cell>
          <cell r="E4628" t="e">
            <v>#VALUE!</v>
          </cell>
          <cell r="F4628">
            <v>0</v>
          </cell>
        </row>
        <row r="4629">
          <cell r="A4629" t="str">
            <v>SPFSHYLB</v>
          </cell>
          <cell r="B4629">
            <v>0</v>
          </cell>
          <cell r="C4629">
            <v>0</v>
          </cell>
          <cell r="D4629">
            <v>0</v>
          </cell>
          <cell r="E4629" t="e">
            <v>#VALUE!</v>
          </cell>
          <cell r="F4629">
            <v>-568.24342408898758</v>
          </cell>
        </row>
        <row r="4630">
          <cell r="A4630" t="str">
            <v>SPFSNC1B</v>
          </cell>
          <cell r="B4630">
            <v>0.26117032880652441</v>
          </cell>
          <cell r="C4630">
            <v>0</v>
          </cell>
          <cell r="D4630">
            <v>0</v>
          </cell>
          <cell r="E4630" t="e">
            <v>#VALUE!</v>
          </cell>
          <cell r="F4630">
            <v>0</v>
          </cell>
        </row>
        <row r="4631">
          <cell r="A4631" t="str">
            <v>SPFSNC2B</v>
          </cell>
          <cell r="B4631">
            <v>0.17561479333328875</v>
          </cell>
          <cell r="C4631">
            <v>0</v>
          </cell>
          <cell r="D4631">
            <v>0</v>
          </cell>
          <cell r="E4631" t="e">
            <v>#VALUE!</v>
          </cell>
          <cell r="F4631">
            <v>0</v>
          </cell>
        </row>
        <row r="4632">
          <cell r="A4632" t="str">
            <v>SPFSC2=B</v>
          </cell>
          <cell r="B4632">
            <v>3.9936335619590056E-2</v>
          </cell>
          <cell r="C4632">
            <v>0</v>
          </cell>
          <cell r="D4632">
            <v>0</v>
          </cell>
          <cell r="E4632" t="e">
            <v>#VALUE!</v>
          </cell>
          <cell r="F4632">
            <v>0</v>
          </cell>
        </row>
        <row r="4633">
          <cell r="A4633" t="str">
            <v>SPFSPROB</v>
          </cell>
          <cell r="B4633">
            <v>2.9677848053509242E-2</v>
          </cell>
          <cell r="C4633">
            <v>0</v>
          </cell>
          <cell r="D4633">
            <v>1.5041095554216267E-2</v>
          </cell>
          <cell r="E4633" t="e">
            <v>#VALUE!</v>
          </cell>
          <cell r="F4633">
            <v>-126.07748509237211</v>
          </cell>
        </row>
        <row r="4634">
          <cell r="A4634" t="str">
            <v>SPFSPPOB</v>
          </cell>
          <cell r="B4634">
            <v>4.8926341268297743E-2</v>
          </cell>
          <cell r="C4634">
            <v>0</v>
          </cell>
          <cell r="D4634">
            <v>3.5095890560378769E-2</v>
          </cell>
          <cell r="E4634" t="e">
            <v>#VALUE!</v>
          </cell>
          <cell r="F4634">
            <v>-126.07748509237211</v>
          </cell>
        </row>
        <row r="4635">
          <cell r="A4635" t="str">
            <v>SPFSPPIB</v>
          </cell>
          <cell r="B4635">
            <v>0</v>
          </cell>
          <cell r="C4635">
            <v>0</v>
          </cell>
          <cell r="D4635">
            <v>0</v>
          </cell>
          <cell r="E4635" t="e">
            <v>#VALUE!</v>
          </cell>
          <cell r="F4635">
            <v>-715.89218097843536</v>
          </cell>
        </row>
        <row r="4636">
          <cell r="A4636" t="str">
            <v>SPFSCRBB</v>
          </cell>
          <cell r="B4636">
            <v>0.16513558226088956</v>
          </cell>
          <cell r="C4636">
            <v>0</v>
          </cell>
          <cell r="D4636">
            <v>0</v>
          </cell>
          <cell r="E4636" t="e">
            <v>#VALUE!</v>
          </cell>
          <cell r="F4636">
            <v>0</v>
          </cell>
        </row>
        <row r="4637">
          <cell r="A4637" t="str">
            <v>SPFSIRPB</v>
          </cell>
          <cell r="B4637">
            <v>0</v>
          </cell>
          <cell r="C4637">
            <v>0</v>
          </cell>
          <cell r="D4637">
            <v>0</v>
          </cell>
          <cell r="E4637" t="e">
            <v>#VALUE!</v>
          </cell>
          <cell r="F4637">
            <v>56.404635891849047</v>
          </cell>
        </row>
        <row r="4638">
          <cell r="A4638" t="str">
            <v>SPFSFOIB</v>
          </cell>
          <cell r="B4638">
            <v>0.18999999761581421</v>
          </cell>
          <cell r="C4638">
            <v>0</v>
          </cell>
          <cell r="D4638">
            <v>0.18999999761581421</v>
          </cell>
          <cell r="E4638" t="e">
            <v>#VALUE!</v>
          </cell>
          <cell r="F4638">
            <v>-265.44443689633721</v>
          </cell>
        </row>
        <row r="4639">
          <cell r="A4639" t="str">
            <v>SSGPNC1B</v>
          </cell>
          <cell r="B4639">
            <v>8.973828902187413E-3</v>
          </cell>
          <cell r="C4639">
            <v>0</v>
          </cell>
          <cell r="D4639">
            <v>0</v>
          </cell>
          <cell r="E4639" t="e">
            <v>#VALUE!</v>
          </cell>
          <cell r="F4639">
            <v>0</v>
          </cell>
        </row>
        <row r="4640">
          <cell r="A4640" t="str">
            <v>SSGPNC2B</v>
          </cell>
          <cell r="B4640">
            <v>1.2245397346272861E-2</v>
          </cell>
          <cell r="C4640">
            <v>0</v>
          </cell>
          <cell r="D4640">
            <v>0</v>
          </cell>
          <cell r="E4640" t="e">
            <v>#VALUE!</v>
          </cell>
          <cell r="F4640">
            <v>0</v>
          </cell>
        </row>
        <row r="4641">
          <cell r="A4641" t="str">
            <v>SSGPNC3B</v>
          </cell>
          <cell r="B4641">
            <v>5.7384052443994235E-2</v>
          </cell>
          <cell r="C4641">
            <v>0</v>
          </cell>
          <cell r="D4641">
            <v>0</v>
          </cell>
          <cell r="E4641" t="e">
            <v>#VALUE!</v>
          </cell>
          <cell r="F4641">
            <v>0</v>
          </cell>
        </row>
        <row r="4642">
          <cell r="A4642" t="str">
            <v>SSGPC4IB</v>
          </cell>
          <cell r="B4642">
            <v>4.4660378681266148E-3</v>
          </cell>
          <cell r="C4642">
            <v>0</v>
          </cell>
          <cell r="D4642">
            <v>0</v>
          </cell>
          <cell r="E4642" t="e">
            <v>#VALUE!</v>
          </cell>
          <cell r="F4642">
            <v>0</v>
          </cell>
        </row>
        <row r="4643">
          <cell r="A4643" t="str">
            <v>SSGPIC4B</v>
          </cell>
          <cell r="B4643">
            <v>3.1979773244629167E-2</v>
          </cell>
          <cell r="C4643">
            <v>0</v>
          </cell>
          <cell r="D4643">
            <v>0</v>
          </cell>
          <cell r="E4643" t="e">
            <v>#VALUE!</v>
          </cell>
          <cell r="F4643">
            <v>0</v>
          </cell>
        </row>
        <row r="4644">
          <cell r="A4644" t="str">
            <v>SSGPNC4B</v>
          </cell>
          <cell r="B4644">
            <v>9.6793116322935441E-2</v>
          </cell>
          <cell r="C4644">
            <v>0</v>
          </cell>
          <cell r="D4644">
            <v>0</v>
          </cell>
          <cell r="E4644" t="e">
            <v>#VALUE!</v>
          </cell>
          <cell r="F4644">
            <v>0</v>
          </cell>
        </row>
        <row r="4645">
          <cell r="A4645" t="str">
            <v>SUGPHYFB</v>
          </cell>
          <cell r="B4645">
            <v>2.186121582372548E-2</v>
          </cell>
          <cell r="C4645">
            <v>0</v>
          </cell>
          <cell r="D4645">
            <v>0</v>
          </cell>
          <cell r="E4645" t="e">
            <v>#VALUE!</v>
          </cell>
          <cell r="F4645">
            <v>0</v>
          </cell>
        </row>
        <row r="4646">
          <cell r="A4646" t="str">
            <v>SUGPNC1B</v>
          </cell>
          <cell r="B4646">
            <v>0.12001461307071659</v>
          </cell>
          <cell r="C4646">
            <v>0</v>
          </cell>
          <cell r="D4646">
            <v>0</v>
          </cell>
          <cell r="E4646" t="e">
            <v>#VALUE!</v>
          </cell>
          <cell r="F4646">
            <v>0</v>
          </cell>
        </row>
        <row r="4647">
          <cell r="A4647" t="str">
            <v>SUGPNC2B</v>
          </cell>
          <cell r="B4647">
            <v>0.13229704919743213</v>
          </cell>
          <cell r="C4647">
            <v>0</v>
          </cell>
          <cell r="D4647">
            <v>0</v>
          </cell>
          <cell r="E4647" t="e">
            <v>#VALUE!</v>
          </cell>
          <cell r="F4647">
            <v>0</v>
          </cell>
        </row>
        <row r="4648">
          <cell r="A4648" t="str">
            <v>SUGPC2=B</v>
          </cell>
          <cell r="B4648">
            <v>3.9936335619590056E-2</v>
          </cell>
          <cell r="C4648">
            <v>0</v>
          </cell>
          <cell r="D4648">
            <v>0</v>
          </cell>
          <cell r="E4648" t="e">
            <v>#VALUE!</v>
          </cell>
          <cell r="F4648">
            <v>0</v>
          </cell>
        </row>
        <row r="4649">
          <cell r="A4649" t="str">
            <v>SUGPNC3B</v>
          </cell>
          <cell r="B4649">
            <v>8.3962993078852355E-2</v>
          </cell>
          <cell r="C4649">
            <v>0</v>
          </cell>
          <cell r="D4649">
            <v>0</v>
          </cell>
          <cell r="E4649" t="e">
            <v>#VALUE!</v>
          </cell>
          <cell r="F4649">
            <v>0</v>
          </cell>
        </row>
        <row r="4650">
          <cell r="A4650" t="str">
            <v>SUGPC3=B</v>
          </cell>
          <cell r="B4650">
            <v>0.22676739243611899</v>
          </cell>
          <cell r="C4650">
            <v>0</v>
          </cell>
          <cell r="D4650">
            <v>0</v>
          </cell>
          <cell r="E4650" t="e">
            <v>#VALUE!</v>
          </cell>
          <cell r="F4650">
            <v>0</v>
          </cell>
        </row>
        <row r="4651">
          <cell r="A4651" t="str">
            <v>SUGPCI4B</v>
          </cell>
          <cell r="B4651">
            <v>9.6687970586019023E-2</v>
          </cell>
          <cell r="C4651">
            <v>0</v>
          </cell>
          <cell r="D4651">
            <v>0</v>
          </cell>
          <cell r="E4651" t="e">
            <v>#VALUE!</v>
          </cell>
          <cell r="F4651">
            <v>0</v>
          </cell>
        </row>
        <row r="4652">
          <cell r="A4652" t="str">
            <v>SUGPI4=B</v>
          </cell>
          <cell r="B4652">
            <v>8.2752031026637723E-2</v>
          </cell>
          <cell r="C4652">
            <v>0</v>
          </cell>
          <cell r="D4652">
            <v>0</v>
          </cell>
          <cell r="E4652" t="e">
            <v>#VALUE!</v>
          </cell>
          <cell r="F4652">
            <v>0</v>
          </cell>
        </row>
        <row r="4653">
          <cell r="A4653" t="str">
            <v>SUGP4=1B</v>
          </cell>
          <cell r="B4653">
            <v>7.3092673004490058E-2</v>
          </cell>
          <cell r="C4653">
            <v>0</v>
          </cell>
          <cell r="D4653">
            <v>0</v>
          </cell>
          <cell r="E4653" t="e">
            <v>#VALUE!</v>
          </cell>
          <cell r="F4653">
            <v>0</v>
          </cell>
        </row>
        <row r="4654">
          <cell r="A4654" t="str">
            <v>SUGP4=2B</v>
          </cell>
          <cell r="B4654">
            <v>0.12873702073750432</v>
          </cell>
          <cell r="C4654">
            <v>0</v>
          </cell>
          <cell r="D4654">
            <v>0</v>
          </cell>
          <cell r="E4654" t="e">
            <v>#VALUE!</v>
          </cell>
          <cell r="F4654">
            <v>0</v>
          </cell>
        </row>
        <row r="4655">
          <cell r="A4655" t="str">
            <v>SUGPC=4B</v>
          </cell>
          <cell r="B4655">
            <v>0</v>
          </cell>
          <cell r="C4655">
            <v>0</v>
          </cell>
          <cell r="D4655">
            <v>0</v>
          </cell>
          <cell r="E4655" t="e">
            <v>#VALUE!</v>
          </cell>
          <cell r="F4655">
            <v>0</v>
          </cell>
        </row>
        <row r="4656">
          <cell r="A4656" t="str">
            <v>SUGPNC4B</v>
          </cell>
          <cell r="B4656">
            <v>5.3986476872065293E-2</v>
          </cell>
          <cell r="C4656">
            <v>0</v>
          </cell>
          <cell r="D4656">
            <v>0</v>
          </cell>
          <cell r="E4656" t="e">
            <v>#VALUE!</v>
          </cell>
          <cell r="F4656">
            <v>0</v>
          </cell>
        </row>
        <row r="4657">
          <cell r="A4657" t="str">
            <v>SFOILG3B</v>
          </cell>
          <cell r="B4657">
            <v>0</v>
          </cell>
          <cell r="C4657">
            <v>0</v>
          </cell>
          <cell r="D4657">
            <v>0</v>
          </cell>
          <cell r="E4657" t="e">
            <v>#VALUE!</v>
          </cell>
          <cell r="F4657">
            <v>-67.620336119769377</v>
          </cell>
        </row>
        <row r="4658">
          <cell r="A4658" t="str">
            <v>SFOIPG2B</v>
          </cell>
          <cell r="B4658">
            <v>0</v>
          </cell>
          <cell r="C4658">
            <v>0</v>
          </cell>
          <cell r="D4658">
            <v>0</v>
          </cell>
          <cell r="E4658" t="e">
            <v>#VALUE!</v>
          </cell>
          <cell r="F4658">
            <v>-72.488331248662249</v>
          </cell>
        </row>
        <row r="4659">
          <cell r="A4659" t="str">
            <v>SFOIPG3B</v>
          </cell>
          <cell r="B4659">
            <v>0</v>
          </cell>
          <cell r="C4659">
            <v>0</v>
          </cell>
          <cell r="D4659">
            <v>0</v>
          </cell>
          <cell r="E4659" t="e">
            <v>#VALUE!</v>
          </cell>
          <cell r="F4659">
            <v>-74.882570198790674</v>
          </cell>
        </row>
        <row r="4660">
          <cell r="A4660" t="str">
            <v>SFOIBCDB</v>
          </cell>
          <cell r="B4660">
            <v>5.9975677106070192E-2</v>
          </cell>
          <cell r="C4660">
            <v>0</v>
          </cell>
          <cell r="D4660">
            <v>0</v>
          </cell>
          <cell r="E4660" t="e">
            <v>#VALUE!</v>
          </cell>
          <cell r="F4660">
            <v>0</v>
          </cell>
        </row>
        <row r="4661">
          <cell r="A4661" t="str">
            <v>SFOICG1B</v>
          </cell>
          <cell r="B4661">
            <v>0</v>
          </cell>
          <cell r="C4661">
            <v>0</v>
          </cell>
          <cell r="D4661">
            <v>0</v>
          </cell>
          <cell r="E4661" t="e">
            <v>#VALUE!</v>
          </cell>
          <cell r="F4661">
            <v>-65.017255422513784</v>
          </cell>
        </row>
        <row r="4662">
          <cell r="A4662" t="str">
            <v>SFOICG2B</v>
          </cell>
          <cell r="B4662">
            <v>0</v>
          </cell>
          <cell r="C4662">
            <v>0</v>
          </cell>
          <cell r="D4662">
            <v>0</v>
          </cell>
          <cell r="E4662" t="e">
            <v>#VALUE!</v>
          </cell>
          <cell r="F4662">
            <v>-67.55184037718054</v>
          </cell>
        </row>
        <row r="4663">
          <cell r="A4663" t="str">
            <v>SFOIDCXB</v>
          </cell>
          <cell r="B4663">
            <v>0</v>
          </cell>
          <cell r="C4663">
            <v>0</v>
          </cell>
          <cell r="D4663">
            <v>0</v>
          </cell>
          <cell r="E4663" t="e">
            <v>#VALUE!</v>
          </cell>
          <cell r="F4663">
            <v>-38.437623115435038</v>
          </cell>
        </row>
        <row r="4664">
          <cell r="A4664" t="str">
            <v>SFOIPVAB</v>
          </cell>
          <cell r="B4664">
            <v>0</v>
          </cell>
          <cell r="C4664">
            <v>0</v>
          </cell>
          <cell r="D4664">
            <v>0</v>
          </cell>
          <cell r="E4664" t="e">
            <v>#VALUE!</v>
          </cell>
          <cell r="F4664">
            <v>-91.546512760528145</v>
          </cell>
        </row>
        <row r="4665">
          <cell r="A4665" t="str">
            <v>SFOIVRAB</v>
          </cell>
          <cell r="B4665">
            <v>0.13002432237749231</v>
          </cell>
          <cell r="C4665">
            <v>0</v>
          </cell>
          <cell r="D4665">
            <v>0</v>
          </cell>
          <cell r="E4665" t="e">
            <v>#VALUE!</v>
          </cell>
          <cell r="F4665">
            <v>0</v>
          </cell>
        </row>
        <row r="4666">
          <cell r="A4666" t="str">
            <v>SFOICCSB</v>
          </cell>
          <cell r="B4666">
            <v>0</v>
          </cell>
          <cell r="C4666">
            <v>0</v>
          </cell>
          <cell r="D4666">
            <v>0</v>
          </cell>
          <cell r="E4666" t="e">
            <v>#VALUE!</v>
          </cell>
          <cell r="F4666">
            <v>62.409507093037647</v>
          </cell>
        </row>
        <row r="4667">
          <cell r="A4667" t="str">
            <v>SFOITOTB</v>
          </cell>
          <cell r="B4667">
            <v>0.18999999761581421</v>
          </cell>
          <cell r="C4667">
            <v>0</v>
          </cell>
          <cell r="D4667">
            <v>0</v>
          </cell>
          <cell r="E4667" t="e">
            <v>#VALUE!</v>
          </cell>
          <cell r="F4667">
            <v>0</v>
          </cell>
        </row>
        <row r="4668">
          <cell r="A4668" t="str">
            <v>SFOIFOIB</v>
          </cell>
          <cell r="B4668">
            <v>0.18999999761581421</v>
          </cell>
          <cell r="C4668">
            <v>0</v>
          </cell>
          <cell r="D4668">
            <v>0</v>
          </cell>
          <cell r="E4668" t="e">
            <v>#VALUE!</v>
          </cell>
          <cell r="F4668">
            <v>0</v>
          </cell>
        </row>
        <row r="4669">
          <cell r="A4669" t="str">
            <v>SPERHYFB</v>
          </cell>
          <cell r="B4669">
            <v>0</v>
          </cell>
          <cell r="C4669">
            <v>0</v>
          </cell>
          <cell r="D4669">
            <v>0</v>
          </cell>
          <cell r="E4669" t="e">
            <v>#VALUE!</v>
          </cell>
          <cell r="F4669">
            <v>-56.406479049055541</v>
          </cell>
        </row>
        <row r="4670">
          <cell r="A4670" t="str">
            <v>SPERHYLB</v>
          </cell>
          <cell r="B4670">
            <v>0</v>
          </cell>
          <cell r="C4670">
            <v>0</v>
          </cell>
          <cell r="D4670">
            <v>0</v>
          </cell>
          <cell r="E4670" t="e">
            <v>#VALUE!</v>
          </cell>
          <cell r="F4670">
            <v>-686.6105375107021</v>
          </cell>
        </row>
        <row r="4671">
          <cell r="A4671" t="str">
            <v>SPERHYHB</v>
          </cell>
          <cell r="B4671">
            <v>0</v>
          </cell>
          <cell r="C4671">
            <v>0</v>
          </cell>
          <cell r="D4671">
            <v>0</v>
          </cell>
          <cell r="E4671" t="e">
            <v>#VALUE!</v>
          </cell>
          <cell r="F4671">
            <v>0</v>
          </cell>
        </row>
        <row r="4672">
          <cell r="A4672" t="str">
            <v>SPERH2SB</v>
          </cell>
          <cell r="B4672">
            <v>2.050040197903163E-3</v>
          </cell>
          <cell r="C4672">
            <v>0</v>
          </cell>
          <cell r="D4672">
            <v>0</v>
          </cell>
          <cell r="E4672" t="e">
            <v>#VALUE!</v>
          </cell>
          <cell r="F4672">
            <v>0</v>
          </cell>
        </row>
        <row r="4673">
          <cell r="A4673" t="str">
            <v>SPERCO2B</v>
          </cell>
          <cell r="B4673">
            <v>0</v>
          </cell>
          <cell r="C4673">
            <v>0</v>
          </cell>
          <cell r="D4673">
            <v>0</v>
          </cell>
          <cell r="E4673" t="e">
            <v>#VALUE!</v>
          </cell>
          <cell r="F4673">
            <v>-13.907999992370605</v>
          </cell>
        </row>
        <row r="4674">
          <cell r="A4674" t="str">
            <v>SPERNC1B</v>
          </cell>
          <cell r="B4674">
            <v>0</v>
          </cell>
          <cell r="C4674">
            <v>0</v>
          </cell>
          <cell r="D4674">
            <v>0</v>
          </cell>
          <cell r="E4674" t="e">
            <v>#VALUE!</v>
          </cell>
          <cell r="F4674">
            <v>-66.030567200543132</v>
          </cell>
        </row>
        <row r="4675">
          <cell r="A4675" t="str">
            <v>SPERC2=B</v>
          </cell>
          <cell r="B4675">
            <v>0</v>
          </cell>
          <cell r="C4675">
            <v>0</v>
          </cell>
          <cell r="D4675">
            <v>0</v>
          </cell>
          <cell r="E4675" t="e">
            <v>#VALUE!</v>
          </cell>
          <cell r="F4675">
            <v>-62.833762244655659</v>
          </cell>
        </row>
        <row r="4676">
          <cell r="A4676" t="str">
            <v>SPERNC2B</v>
          </cell>
          <cell r="B4676">
            <v>0</v>
          </cell>
          <cell r="C4676">
            <v>0</v>
          </cell>
          <cell r="D4676">
            <v>0</v>
          </cell>
          <cell r="E4676" t="e">
            <v>#VALUE!</v>
          </cell>
          <cell r="F4676">
            <v>-63.19906116642364</v>
          </cell>
        </row>
        <row r="4677">
          <cell r="A4677" t="str">
            <v>SPERNC3B</v>
          </cell>
          <cell r="B4677">
            <v>0</v>
          </cell>
          <cell r="C4677">
            <v>0</v>
          </cell>
          <cell r="D4677">
            <v>0</v>
          </cell>
          <cell r="E4677" t="e">
            <v>#VALUE!</v>
          </cell>
          <cell r="F4677">
            <v>-182.55979392691833</v>
          </cell>
        </row>
        <row r="4678">
          <cell r="A4678" t="str">
            <v>SPERC3=B</v>
          </cell>
          <cell r="B4678">
            <v>0</v>
          </cell>
          <cell r="C4678">
            <v>0</v>
          </cell>
          <cell r="D4678">
            <v>0</v>
          </cell>
          <cell r="E4678" t="e">
            <v>#VALUE!</v>
          </cell>
          <cell r="F4678">
            <v>0</v>
          </cell>
        </row>
        <row r="4679">
          <cell r="A4679" t="str">
            <v>SPERIC4B</v>
          </cell>
          <cell r="B4679">
            <v>0</v>
          </cell>
          <cell r="C4679">
            <v>0</v>
          </cell>
          <cell r="D4679">
            <v>0</v>
          </cell>
          <cell r="E4679" t="e">
            <v>#VALUE!</v>
          </cell>
          <cell r="F4679">
            <v>-869.70643394156673</v>
          </cell>
        </row>
        <row r="4680">
          <cell r="A4680" t="str">
            <v>SPERI4=B</v>
          </cell>
          <cell r="B4680">
            <v>0</v>
          </cell>
          <cell r="C4680">
            <v>0</v>
          </cell>
          <cell r="D4680">
            <v>0</v>
          </cell>
          <cell r="E4680" t="e">
            <v>#VALUE!</v>
          </cell>
          <cell r="F4680">
            <v>0</v>
          </cell>
        </row>
        <row r="4681">
          <cell r="A4681" t="str">
            <v>SPER4=1B</v>
          </cell>
          <cell r="B4681">
            <v>0</v>
          </cell>
          <cell r="C4681">
            <v>0</v>
          </cell>
          <cell r="D4681">
            <v>0</v>
          </cell>
          <cell r="E4681" t="e">
            <v>#VALUE!</v>
          </cell>
          <cell r="F4681">
            <v>0</v>
          </cell>
        </row>
        <row r="4682">
          <cell r="A4682" t="str">
            <v>SPER4=2B</v>
          </cell>
          <cell r="B4682">
            <v>0</v>
          </cell>
          <cell r="C4682">
            <v>0</v>
          </cell>
          <cell r="D4682">
            <v>0</v>
          </cell>
          <cell r="E4682" t="e">
            <v>#VALUE!</v>
          </cell>
          <cell r="F4682">
            <v>0</v>
          </cell>
        </row>
        <row r="4683">
          <cell r="A4683" t="str">
            <v>SPERNC4B</v>
          </cell>
          <cell r="B4683">
            <v>0</v>
          </cell>
          <cell r="C4683">
            <v>0</v>
          </cell>
          <cell r="D4683">
            <v>0</v>
          </cell>
          <cell r="E4683" t="e">
            <v>#VALUE!</v>
          </cell>
          <cell r="F4683">
            <v>-429.03973973940498</v>
          </cell>
        </row>
        <row r="4684">
          <cell r="A4684" t="str">
            <v>SPERRECB</v>
          </cell>
          <cell r="B4684">
            <v>0</v>
          </cell>
          <cell r="C4684">
            <v>0</v>
          </cell>
          <cell r="D4684">
            <v>0</v>
          </cell>
          <cell r="E4684" t="e">
            <v>#VALUE!</v>
          </cell>
          <cell r="F4684">
            <v>0</v>
          </cell>
        </row>
        <row r="4685">
          <cell r="A4685" t="str">
            <v>SPERC3FB</v>
          </cell>
          <cell r="B4685">
            <v>0</v>
          </cell>
          <cell r="C4685">
            <v>0</v>
          </cell>
          <cell r="D4685">
            <v>0</v>
          </cell>
          <cell r="E4685" t="e">
            <v>#VALUE!</v>
          </cell>
          <cell r="F4685">
            <v>-618.51521481030613</v>
          </cell>
        </row>
        <row r="4686">
          <cell r="A4686" t="str">
            <v>SPERC4FB</v>
          </cell>
          <cell r="B4686">
            <v>0</v>
          </cell>
          <cell r="C4686">
            <v>0</v>
          </cell>
          <cell r="D4686">
            <v>0</v>
          </cell>
          <cell r="E4686" t="e">
            <v>#VALUE!</v>
          </cell>
          <cell r="F4686">
            <v>-503.91088097977314</v>
          </cell>
        </row>
        <row r="4687">
          <cell r="A4687" t="str">
            <v>SHYDBASB</v>
          </cell>
          <cell r="B4687">
            <v>0.11175954035700184</v>
          </cell>
          <cell r="C4687">
            <v>0</v>
          </cell>
          <cell r="D4687">
            <v>0</v>
          </cell>
          <cell r="E4687" t="e">
            <v>#VALUE!</v>
          </cell>
          <cell r="F4687">
            <v>0</v>
          </cell>
        </row>
        <row r="4688">
          <cell r="A4688" t="str">
            <v>SHUTSTMB</v>
          </cell>
          <cell r="B4688">
            <v>0.50059331443211807</v>
          </cell>
          <cell r="C4688">
            <v>0</v>
          </cell>
          <cell r="D4688">
            <v>0</v>
          </cell>
          <cell r="E4688" t="e">
            <v>#VALUE!</v>
          </cell>
          <cell r="F4688">
            <v>0</v>
          </cell>
        </row>
        <row r="4689">
          <cell r="A4689" t="str">
            <v>SHUTAGUB</v>
          </cell>
          <cell r="B4689">
            <v>0.27314030389263205</v>
          </cell>
          <cell r="C4689">
            <v>0</v>
          </cell>
          <cell r="D4689">
            <v>0</v>
          </cell>
          <cell r="E4689" t="e">
            <v>#VALUE!</v>
          </cell>
          <cell r="F4689">
            <v>0</v>
          </cell>
        </row>
        <row r="4690">
          <cell r="A4690" t="str">
            <v>SNPLLCTB</v>
          </cell>
          <cell r="B4690">
            <v>1.1591460619887262</v>
          </cell>
          <cell r="C4690">
            <v>0</v>
          </cell>
          <cell r="D4690">
            <v>0</v>
          </cell>
          <cell r="E4690" t="e">
            <v>#VALUE!</v>
          </cell>
          <cell r="F4690">
            <v>0</v>
          </cell>
        </row>
        <row r="4691">
          <cell r="A4691" t="str">
            <v>SNPLCA5B</v>
          </cell>
          <cell r="B4691">
            <v>1.5796405318665179</v>
          </cell>
          <cell r="C4691">
            <v>0</v>
          </cell>
          <cell r="D4691">
            <v>0</v>
          </cell>
          <cell r="E4691" t="e">
            <v>#VALUE!</v>
          </cell>
          <cell r="F4691">
            <v>0</v>
          </cell>
        </row>
        <row r="4692">
          <cell r="A4692" t="str">
            <v>SNPTLPCB</v>
          </cell>
          <cell r="B4692">
            <v>0.70791526542950978</v>
          </cell>
          <cell r="C4692">
            <v>0</v>
          </cell>
          <cell r="D4692">
            <v>0</v>
          </cell>
          <cell r="E4692" t="e">
            <v>#VALUE!</v>
          </cell>
          <cell r="F4692">
            <v>0</v>
          </cell>
        </row>
        <row r="4693">
          <cell r="A4693" t="str">
            <v>SNPTBPTB</v>
          </cell>
          <cell r="B4693">
            <v>0.91393200534663788</v>
          </cell>
          <cell r="C4693">
            <v>0</v>
          </cell>
          <cell r="D4693">
            <v>0</v>
          </cell>
          <cell r="E4693" t="e">
            <v>#VALUE!</v>
          </cell>
          <cell r="F4693">
            <v>0</v>
          </cell>
        </row>
        <row r="4694">
          <cell r="A4694" t="str">
            <v>SMTBC4FB</v>
          </cell>
          <cell r="B4694">
            <v>0.43440325407132713</v>
          </cell>
          <cell r="C4694">
            <v>0</v>
          </cell>
          <cell r="D4694">
            <v>0</v>
          </cell>
          <cell r="E4694" t="e">
            <v>#VALUE!</v>
          </cell>
          <cell r="F4694">
            <v>17.087029778467464</v>
          </cell>
        </row>
        <row r="4695">
          <cell r="A4695" t="str">
            <v>SMTBMC4B</v>
          </cell>
          <cell r="B4695">
            <v>4.8354717803328007E-2</v>
          </cell>
          <cell r="C4695">
            <v>0</v>
          </cell>
          <cell r="D4695">
            <v>0</v>
          </cell>
          <cell r="E4695" t="e">
            <v>#VALUE!</v>
          </cell>
          <cell r="F4695">
            <v>0</v>
          </cell>
        </row>
        <row r="4696">
          <cell r="A4696" t="str">
            <v>SMTBMI4B</v>
          </cell>
          <cell r="B4696">
            <v>9.1827592498635591E-2</v>
          </cell>
          <cell r="C4696">
            <v>0</v>
          </cell>
          <cell r="D4696">
            <v>0</v>
          </cell>
          <cell r="E4696" t="e">
            <v>#VALUE!</v>
          </cell>
          <cell r="F4696">
            <v>0</v>
          </cell>
        </row>
        <row r="4697">
          <cell r="A4697" t="str">
            <v>SMTBMI=B</v>
          </cell>
          <cell r="B4697">
            <v>0</v>
          </cell>
          <cell r="C4697">
            <v>0</v>
          </cell>
          <cell r="D4697">
            <v>0</v>
          </cell>
          <cell r="E4697" t="e">
            <v>#VALUE!</v>
          </cell>
          <cell r="F4697">
            <v>-543.81576972856908</v>
          </cell>
        </row>
        <row r="4698">
          <cell r="A4698" t="str">
            <v>SMTBM=1B</v>
          </cell>
          <cell r="B4698">
            <v>7.3664591185850642E-2</v>
          </cell>
          <cell r="C4698">
            <v>0</v>
          </cell>
          <cell r="D4698">
            <v>0</v>
          </cell>
          <cell r="E4698" t="e">
            <v>#VALUE!</v>
          </cell>
          <cell r="F4698">
            <v>0</v>
          </cell>
        </row>
        <row r="4699">
          <cell r="A4699" t="str">
            <v>SMTBM=2B</v>
          </cell>
          <cell r="B4699">
            <v>0.12885331029761327</v>
          </cell>
          <cell r="C4699">
            <v>0</v>
          </cell>
          <cell r="D4699">
            <v>0</v>
          </cell>
          <cell r="E4699" t="e">
            <v>#VALUE!</v>
          </cell>
          <cell r="F4699">
            <v>0</v>
          </cell>
        </row>
        <row r="4700">
          <cell r="A4700" t="str">
            <v>SMTBFFFB</v>
          </cell>
          <cell r="B4700">
            <v>6.1040447570689736E-2</v>
          </cell>
          <cell r="C4700">
            <v>0</v>
          </cell>
          <cell r="D4700">
            <v>0</v>
          </cell>
          <cell r="E4700" t="e">
            <v>#VALUE!</v>
          </cell>
          <cell r="F4700">
            <v>0</v>
          </cell>
        </row>
        <row r="4701">
          <cell r="A4701" t="str">
            <v>SMTBGGGB</v>
          </cell>
          <cell r="B4701">
            <v>9.1827592498635591E-2</v>
          </cell>
          <cell r="C4701">
            <v>0</v>
          </cell>
          <cell r="D4701">
            <v>0</v>
          </cell>
          <cell r="E4701" t="e">
            <v>#VALUE!</v>
          </cell>
          <cell r="F4701">
            <v>0</v>
          </cell>
        </row>
        <row r="4702">
          <cell r="A4702" t="str">
            <v>SMTBHHHB</v>
          </cell>
          <cell r="B4702">
            <v>8.2066091976753658E-2</v>
          </cell>
          <cell r="C4702">
            <v>0</v>
          </cell>
          <cell r="D4702">
            <v>0</v>
          </cell>
          <cell r="E4702" t="e">
            <v>#VALUE!</v>
          </cell>
          <cell r="F4702">
            <v>0</v>
          </cell>
        </row>
        <row r="4703">
          <cell r="A4703" t="str">
            <v>SMTBJJJB</v>
          </cell>
          <cell r="B4703">
            <v>7.3664591185850642E-2</v>
          </cell>
          <cell r="C4703">
            <v>0</v>
          </cell>
          <cell r="D4703">
            <v>0</v>
          </cell>
          <cell r="E4703" t="e">
            <v>#VALUE!</v>
          </cell>
          <cell r="F4703">
            <v>0</v>
          </cell>
        </row>
        <row r="4704">
          <cell r="A4704" t="str">
            <v>SMTBKKKB</v>
          </cell>
          <cell r="B4704">
            <v>0.12885331029761327</v>
          </cell>
          <cell r="C4704">
            <v>0</v>
          </cell>
          <cell r="D4704">
            <v>0</v>
          </cell>
          <cell r="E4704" t="e">
            <v>#VALUE!</v>
          </cell>
          <cell r="F4704">
            <v>0</v>
          </cell>
        </row>
        <row r="4705">
          <cell r="A4705" t="str">
            <v>SMTBM==B</v>
          </cell>
          <cell r="B4705">
            <v>7.669728210527603E-2</v>
          </cell>
          <cell r="C4705">
            <v>0</v>
          </cell>
          <cell r="D4705">
            <v>0</v>
          </cell>
          <cell r="E4705" t="e">
            <v>#VALUE!</v>
          </cell>
          <cell r="F4705">
            <v>0</v>
          </cell>
        </row>
        <row r="4706">
          <cell r="A4706" t="str">
            <v>SMTBM=IB</v>
          </cell>
          <cell r="B4706">
            <v>5.3688097617601693E-3</v>
          </cell>
          <cell r="C4706">
            <v>0</v>
          </cell>
          <cell r="D4706">
            <v>0</v>
          </cell>
          <cell r="E4706" t="e">
            <v>#VALUE!</v>
          </cell>
          <cell r="F4706">
            <v>0</v>
          </cell>
        </row>
        <row r="4707">
          <cell r="A4707" t="str">
            <v>SMTBC4MB</v>
          </cell>
          <cell r="B4707">
            <v>0.34806902163649256</v>
          </cell>
          <cell r="C4707">
            <v>0</v>
          </cell>
          <cell r="D4707">
            <v>0</v>
          </cell>
          <cell r="E4707" t="e">
            <v>#VALUE!</v>
          </cell>
          <cell r="F4707">
            <v>0</v>
          </cell>
        </row>
        <row r="4708">
          <cell r="A4708" t="str">
            <v>SBUTC4CB</v>
          </cell>
          <cell r="B4708">
            <v>0</v>
          </cell>
          <cell r="C4708">
            <v>0</v>
          </cell>
          <cell r="D4708">
            <v>0</v>
          </cell>
          <cell r="E4708" t="e">
            <v>#VALUE!</v>
          </cell>
          <cell r="F4708">
            <v>-154.11846706442637</v>
          </cell>
        </row>
        <row r="4709">
          <cell r="A4709" t="str">
            <v>SBUTC4BB</v>
          </cell>
          <cell r="B4709">
            <v>0.10233038743473079</v>
          </cell>
          <cell r="C4709">
            <v>0</v>
          </cell>
          <cell r="D4709">
            <v>0</v>
          </cell>
          <cell r="E4709" t="e">
            <v>#VALUE!</v>
          </cell>
          <cell r="F4709">
            <v>0</v>
          </cell>
        </row>
        <row r="4710">
          <cell r="A4710" t="str">
            <v>SBUTC4FB</v>
          </cell>
          <cell r="B4710">
            <v>8.5296750272790048E-4</v>
          </cell>
          <cell r="C4710">
            <v>0</v>
          </cell>
          <cell r="D4710">
            <v>0</v>
          </cell>
          <cell r="E4710" t="e">
            <v>#VALUE!</v>
          </cell>
          <cell r="F4710">
            <v>-76.872500652156461</v>
          </cell>
        </row>
        <row r="4711">
          <cell r="A4711" t="str">
            <v>SBUTC4MB</v>
          </cell>
          <cell r="B4711">
            <v>0</v>
          </cell>
          <cell r="C4711">
            <v>0</v>
          </cell>
          <cell r="D4711">
            <v>0</v>
          </cell>
          <cell r="E4711" t="e">
            <v>#VALUE!</v>
          </cell>
          <cell r="F4711">
            <v>-22.848981737110712</v>
          </cell>
        </row>
        <row r="4712">
          <cell r="A4712" t="str">
            <v>SBUTAC4B</v>
          </cell>
          <cell r="B4712">
            <v>3.9045352009061264E-2</v>
          </cell>
          <cell r="C4712">
            <v>0</v>
          </cell>
          <cell r="D4712">
            <v>0</v>
          </cell>
          <cell r="E4712" t="e">
            <v>#VALUE!</v>
          </cell>
          <cell r="F4712">
            <v>0</v>
          </cell>
        </row>
        <row r="4713">
          <cell r="A4713" t="str">
            <v>SBUTAI4B</v>
          </cell>
          <cell r="B4713">
            <v>0</v>
          </cell>
          <cell r="C4713">
            <v>0</v>
          </cell>
          <cell r="D4713">
            <v>0</v>
          </cell>
          <cell r="E4713" t="e">
            <v>#VALUE!</v>
          </cell>
          <cell r="F4713">
            <v>-289.30841022648224</v>
          </cell>
        </row>
        <row r="4714">
          <cell r="A4714" t="str">
            <v>SBUTAOFB</v>
          </cell>
          <cell r="B4714">
            <v>1.2392115344831437E-8</v>
          </cell>
          <cell r="C4714">
            <v>0</v>
          </cell>
          <cell r="D4714">
            <v>0</v>
          </cell>
          <cell r="E4714" t="e">
            <v>#VALUE!</v>
          </cell>
          <cell r="F4714">
            <v>0</v>
          </cell>
        </row>
        <row r="4715">
          <cell r="A4715" t="str">
            <v>SBUTC4GB</v>
          </cell>
          <cell r="B4715">
            <v>7.3972710946651352E-2</v>
          </cell>
          <cell r="C4715">
            <v>0</v>
          </cell>
          <cell r="D4715">
            <v>0</v>
          </cell>
          <cell r="E4715" t="e">
            <v>#VALUE!</v>
          </cell>
          <cell r="F4715">
            <v>0</v>
          </cell>
        </row>
        <row r="4716">
          <cell r="A4716" t="str">
            <v>SBUTI4GB</v>
          </cell>
          <cell r="B4716">
            <v>0</v>
          </cell>
          <cell r="C4716">
            <v>0</v>
          </cell>
          <cell r="D4716">
            <v>0</v>
          </cell>
          <cell r="E4716" t="e">
            <v>#VALUE!</v>
          </cell>
          <cell r="F4716">
            <v>-425.19432255993149</v>
          </cell>
        </row>
        <row r="4717">
          <cell r="A4717" t="str">
            <v>SBUTFIBB</v>
          </cell>
          <cell r="B4717">
            <v>0</v>
          </cell>
          <cell r="C4717">
            <v>0</v>
          </cell>
          <cell r="D4717">
            <v>0</v>
          </cell>
          <cell r="E4717" t="e">
            <v>#VALUE!</v>
          </cell>
          <cell r="F4717">
            <v>0</v>
          </cell>
        </row>
        <row r="4718">
          <cell r="A4718" t="str">
            <v>SBUTBUTB</v>
          </cell>
          <cell r="B4718">
            <v>0.21620142815047746</v>
          </cell>
          <cell r="C4718">
            <v>0</v>
          </cell>
          <cell r="D4718">
            <v>0</v>
          </cell>
          <cell r="E4718" t="e">
            <v>#VALUE!</v>
          </cell>
          <cell r="F4718">
            <v>0</v>
          </cell>
        </row>
        <row r="4719">
          <cell r="A4719" t="str">
            <v>SPROC3GB</v>
          </cell>
          <cell r="B4719">
            <v>6.074058674786189E-2</v>
          </cell>
          <cell r="C4719">
            <v>0</v>
          </cell>
          <cell r="D4719">
            <v>0</v>
          </cell>
          <cell r="E4719" t="e">
            <v>#VALUE!</v>
          </cell>
          <cell r="F4719">
            <v>0</v>
          </cell>
        </row>
        <row r="4720">
          <cell r="A4720" t="str">
            <v>SPROC3FB</v>
          </cell>
          <cell r="B4720">
            <v>0.31073038561703409</v>
          </cell>
          <cell r="C4720">
            <v>0</v>
          </cell>
          <cell r="D4720">
            <v>0</v>
          </cell>
          <cell r="E4720" t="e">
            <v>#VALUE!</v>
          </cell>
          <cell r="F4720">
            <v>0</v>
          </cell>
        </row>
        <row r="4721">
          <cell r="A4721" t="str">
            <v>SPROFIPB</v>
          </cell>
          <cell r="B4721">
            <v>0</v>
          </cell>
          <cell r="C4721">
            <v>0</v>
          </cell>
          <cell r="D4721">
            <v>0</v>
          </cell>
          <cell r="E4721" t="e">
            <v>#VALUE!</v>
          </cell>
          <cell r="F4721">
            <v>0</v>
          </cell>
        </row>
        <row r="4722">
          <cell r="A4722" t="str">
            <v>SPROPROB</v>
          </cell>
          <cell r="B4722">
            <v>6.074058674786189E-2</v>
          </cell>
          <cell r="C4722">
            <v>0</v>
          </cell>
          <cell r="D4722">
            <v>0</v>
          </cell>
          <cell r="E4722" t="e">
            <v>#VALUE!</v>
          </cell>
          <cell r="F4722">
            <v>0</v>
          </cell>
        </row>
        <row r="4723">
          <cell r="A4723" t="str">
            <v>SPROAAAB</v>
          </cell>
          <cell r="B4723">
            <v>8.3842320597335082E-2</v>
          </cell>
          <cell r="C4723">
            <v>0</v>
          </cell>
          <cell r="D4723">
            <v>0</v>
          </cell>
          <cell r="E4723" t="e">
            <v>#VALUE!</v>
          </cell>
          <cell r="F4723">
            <v>0</v>
          </cell>
        </row>
        <row r="4724">
          <cell r="A4724" t="str">
            <v>SPROEEEB</v>
          </cell>
          <cell r="B4724">
            <v>0.22688806126378988</v>
          </cell>
          <cell r="C4724">
            <v>0</v>
          </cell>
          <cell r="D4724">
            <v>0</v>
          </cell>
          <cell r="E4724" t="e">
            <v>#VALUE!</v>
          </cell>
          <cell r="F4724">
            <v>0</v>
          </cell>
        </row>
        <row r="4725">
          <cell r="A4725" t="str">
            <v>SFILFILB</v>
          </cell>
          <cell r="B4725">
            <v>0</v>
          </cell>
          <cell r="C4725">
            <v>0</v>
          </cell>
          <cell r="D4725">
            <v>0</v>
          </cell>
          <cell r="E4725" t="e">
            <v>#VALUE!</v>
          </cell>
          <cell r="F4725">
            <v>0</v>
          </cell>
        </row>
        <row r="4726">
          <cell r="A4726" t="str">
            <v>SKXXKLXB</v>
          </cell>
          <cell r="B4726">
            <v>6.7602941414264789E-2</v>
          </cell>
          <cell r="C4726">
            <v>0</v>
          </cell>
          <cell r="D4726">
            <v>0</v>
          </cell>
          <cell r="E4726" t="e">
            <v>#VALUE!</v>
          </cell>
          <cell r="F4726">
            <v>0</v>
          </cell>
        </row>
        <row r="4727">
          <cell r="A4727" t="str">
            <v>SUTLWATB</v>
          </cell>
          <cell r="B4727">
            <v>21.599444386730454</v>
          </cell>
          <cell r="C4727">
            <v>0</v>
          </cell>
          <cell r="D4727">
            <v>0</v>
          </cell>
          <cell r="E4727" t="e">
            <v>#VALUE!</v>
          </cell>
          <cell r="F4727">
            <v>0</v>
          </cell>
        </row>
        <row r="4728">
          <cell r="A4728" t="str">
            <v>SUTLH2OB</v>
          </cell>
          <cell r="B4728">
            <v>432.83150910677978</v>
          </cell>
          <cell r="C4728">
            <v>0</v>
          </cell>
          <cell r="D4728">
            <v>0</v>
          </cell>
          <cell r="E4728" t="e">
            <v>#VALUE!</v>
          </cell>
          <cell r="F4728">
            <v>0</v>
          </cell>
        </row>
        <row r="4729">
          <cell r="A4729" t="str">
            <v>SUTLSTMB</v>
          </cell>
          <cell r="B4729">
            <v>2.5185690389920588</v>
          </cell>
          <cell r="C4729">
            <v>0</v>
          </cell>
          <cell r="D4729">
            <v>0</v>
          </cell>
          <cell r="E4729" t="e">
            <v>#VALUE!</v>
          </cell>
          <cell r="F4729">
            <v>0</v>
          </cell>
        </row>
        <row r="4730">
          <cell r="A4730" t="str">
            <v>SUTRTCRB</v>
          </cell>
          <cell r="B4730">
            <v>0</v>
          </cell>
          <cell r="C4730">
            <v>0</v>
          </cell>
          <cell r="D4730">
            <v>0</v>
          </cell>
          <cell r="E4730" t="e">
            <v>#VALUE!</v>
          </cell>
          <cell r="F4730">
            <v>-1.6476603318567145</v>
          </cell>
        </row>
        <row r="4731">
          <cell r="A4731" t="str">
            <v>STRANU1B</v>
          </cell>
          <cell r="B4731">
            <v>0</v>
          </cell>
          <cell r="C4731">
            <v>0</v>
          </cell>
          <cell r="D4731">
            <v>0</v>
          </cell>
          <cell r="E4731" t="e">
            <v>#VALUE!</v>
          </cell>
          <cell r="F4731">
            <v>-5.6399452000448145</v>
          </cell>
        </row>
        <row r="4732">
          <cell r="A4732" t="str">
            <v>STRANU2B</v>
          </cell>
          <cell r="B4732">
            <v>0</v>
          </cell>
          <cell r="C4732">
            <v>0</v>
          </cell>
          <cell r="D4732">
            <v>0</v>
          </cell>
          <cell r="E4732" t="e">
            <v>#VALUE!</v>
          </cell>
          <cell r="F4732">
            <v>0.59045984777685712</v>
          </cell>
        </row>
        <row r="4733">
          <cell r="A4733" t="str">
            <v>STRALGCB</v>
          </cell>
          <cell r="B4733">
            <v>0.3149817999095133</v>
          </cell>
          <cell r="C4733">
            <v>0</v>
          </cell>
          <cell r="D4733">
            <v>0</v>
          </cell>
          <cell r="E4733" t="e">
            <v>#VALUE!</v>
          </cell>
          <cell r="F4733">
            <v>0</v>
          </cell>
        </row>
        <row r="4734">
          <cell r="A4734" t="str">
            <v>STRANPZB</v>
          </cell>
          <cell r="B4734">
            <v>0.44154268707314581</v>
          </cell>
          <cell r="C4734">
            <v>0</v>
          </cell>
          <cell r="D4734">
            <v>0</v>
          </cell>
          <cell r="E4734" t="e">
            <v>#VALUE!</v>
          </cell>
          <cell r="F4734">
            <v>0</v>
          </cell>
        </row>
        <row r="4735">
          <cell r="A4735" t="str">
            <v>STRACORB</v>
          </cell>
          <cell r="B4735">
            <v>0.16927946160917412</v>
          </cell>
          <cell r="C4735">
            <v>0</v>
          </cell>
          <cell r="D4735">
            <v>0</v>
          </cell>
          <cell r="E4735" t="e">
            <v>#VALUE!</v>
          </cell>
          <cell r="F4735">
            <v>0</v>
          </cell>
        </row>
        <row r="4736">
          <cell r="A4736" t="str">
            <v>STRALT2B</v>
          </cell>
          <cell r="B4736">
            <v>0</v>
          </cell>
          <cell r="C4736">
            <v>0</v>
          </cell>
          <cell r="D4736">
            <v>0</v>
          </cell>
          <cell r="E4736" t="e">
            <v>#VALUE!</v>
          </cell>
          <cell r="F4736">
            <v>2.403213917065973</v>
          </cell>
        </row>
        <row r="4737">
          <cell r="A4737" t="str">
            <v>STRAPT3B</v>
          </cell>
          <cell r="B4737">
            <v>0</v>
          </cell>
          <cell r="C4737">
            <v>0</v>
          </cell>
          <cell r="D4737">
            <v>0</v>
          </cell>
          <cell r="E4737" t="e">
            <v>#VALUE!</v>
          </cell>
          <cell r="F4737">
            <v>-4.4440476411009486</v>
          </cell>
        </row>
        <row r="4738">
          <cell r="A4738" t="str">
            <v>STRALIVB</v>
          </cell>
          <cell r="B4738">
            <v>1.7889992576347639E-3</v>
          </cell>
          <cell r="C4738">
            <v>0</v>
          </cell>
          <cell r="D4738">
            <v>0</v>
          </cell>
          <cell r="E4738" t="e">
            <v>#VALUE!</v>
          </cell>
          <cell r="F4738">
            <v>-3.4422465324401856</v>
          </cell>
        </row>
        <row r="4739">
          <cell r="A4739" t="str">
            <v>STRAPGCB</v>
          </cell>
          <cell r="B4739">
            <v>0.155036833331193</v>
          </cell>
          <cell r="C4739">
            <v>0</v>
          </cell>
          <cell r="D4739">
            <v>0</v>
          </cell>
          <cell r="E4739" t="e">
            <v>#VALUE!</v>
          </cell>
          <cell r="F4739">
            <v>0</v>
          </cell>
        </row>
        <row r="4740">
          <cell r="A4740" t="str">
            <v>STRANLCB</v>
          </cell>
          <cell r="B4740">
            <v>1.0826297684891584</v>
          </cell>
          <cell r="C4740">
            <v>0</v>
          </cell>
          <cell r="D4740">
            <v>0</v>
          </cell>
          <cell r="E4740" t="e">
            <v>#VALUE!</v>
          </cell>
          <cell r="F4740">
            <v>0</v>
          </cell>
        </row>
        <row r="4741">
          <cell r="A4741" t="str">
            <v>STRATTTB</v>
          </cell>
          <cell r="B4741">
            <v>1.5499999523162842</v>
          </cell>
          <cell r="C4741">
            <v>0</v>
          </cell>
          <cell r="D4741">
            <v>0</v>
          </cell>
          <cell r="E4741" t="e">
            <v>#VALUE!</v>
          </cell>
          <cell r="F4741">
            <v>0</v>
          </cell>
        </row>
        <row r="4742">
          <cell r="A4742" t="str">
            <v>SIC4I4GB</v>
          </cell>
          <cell r="B4742">
            <v>0</v>
          </cell>
          <cell r="C4742">
            <v>0</v>
          </cell>
          <cell r="D4742">
            <v>0</v>
          </cell>
          <cell r="E4742" t="e">
            <v>#VALUE!</v>
          </cell>
          <cell r="F4742">
            <v>-875.15573596693071</v>
          </cell>
        </row>
        <row r="4743">
          <cell r="A4743" t="str">
            <v>SIC44LPB</v>
          </cell>
          <cell r="B4743">
            <v>0</v>
          </cell>
          <cell r="C4743">
            <v>0</v>
          </cell>
          <cell r="D4743">
            <v>0</v>
          </cell>
          <cell r="E4743" t="e">
            <v>#VALUE!</v>
          </cell>
          <cell r="F4743">
            <v>-875.15573596693071</v>
          </cell>
        </row>
        <row r="4744">
          <cell r="A4744" t="str">
            <v>SADIADIB</v>
          </cell>
          <cell r="B4744">
            <v>0.34575400142483925</v>
          </cell>
          <cell r="C4744">
            <v>0</v>
          </cell>
          <cell r="D4744">
            <v>0</v>
          </cell>
          <cell r="E4744" t="e">
            <v>#VALUE!</v>
          </cell>
          <cell r="F4744">
            <v>0</v>
          </cell>
        </row>
        <row r="4745">
          <cell r="A4745" t="str">
            <v>SADIAD1B</v>
          </cell>
          <cell r="B4745">
            <v>0.34575400142483925</v>
          </cell>
          <cell r="C4745">
            <v>0</v>
          </cell>
          <cell r="D4745">
            <v>0</v>
          </cell>
          <cell r="E4745" t="e">
            <v>#VALUE!</v>
          </cell>
          <cell r="F4745">
            <v>-3.0890946110633956E-2</v>
          </cell>
        </row>
        <row r="4746">
          <cell r="A4746" t="str">
            <v>SADIAD2B</v>
          </cell>
          <cell r="B4746">
            <v>0</v>
          </cell>
          <cell r="C4746">
            <v>0</v>
          </cell>
          <cell r="D4746">
            <v>0</v>
          </cell>
          <cell r="E4746" t="e">
            <v>#VALUE!</v>
          </cell>
          <cell r="F4746">
            <v>-0.62900144890563126</v>
          </cell>
        </row>
        <row r="4747">
          <cell r="A4747" t="str">
            <v>SADIAD3B</v>
          </cell>
          <cell r="B4747">
            <v>0</v>
          </cell>
          <cell r="C4747">
            <v>0</v>
          </cell>
          <cell r="D4747">
            <v>0</v>
          </cell>
          <cell r="E4747" t="e">
            <v>#VALUE!</v>
          </cell>
          <cell r="F4747">
            <v>-1.0453496057693272</v>
          </cell>
        </row>
        <row r="4748">
          <cell r="A4748" t="str">
            <v>SPGOPT2B</v>
          </cell>
          <cell r="B4748">
            <v>0</v>
          </cell>
          <cell r="C4748">
            <v>0</v>
          </cell>
          <cell r="D4748">
            <v>0</v>
          </cell>
          <cell r="E4748" t="e">
            <v>#VALUE!</v>
          </cell>
          <cell r="F4748">
            <v>39.013088498050216</v>
          </cell>
        </row>
        <row r="4749">
          <cell r="A4749" t="str">
            <v>SPGOPN3B</v>
          </cell>
          <cell r="B4749">
            <v>9.2292003333568573E-2</v>
          </cell>
          <cell r="C4749">
            <v>0</v>
          </cell>
          <cell r="D4749">
            <v>0</v>
          </cell>
          <cell r="E4749" t="e">
            <v>#VALUE!</v>
          </cell>
          <cell r="F4749">
            <v>40.542112162341809</v>
          </cell>
        </row>
        <row r="4750">
          <cell r="A4750" t="str">
            <v>SPGOLG2B</v>
          </cell>
          <cell r="B4750">
            <v>1.0871696570148206</v>
          </cell>
          <cell r="C4750">
            <v>0</v>
          </cell>
          <cell r="D4750">
            <v>0</v>
          </cell>
          <cell r="E4750" t="e">
            <v>#VALUE!</v>
          </cell>
          <cell r="F4750">
            <v>0</v>
          </cell>
        </row>
        <row r="4751">
          <cell r="A4751" t="str">
            <v>SPGOLG3B</v>
          </cell>
          <cell r="B4751">
            <v>1.944925294183705</v>
          </cell>
          <cell r="C4751">
            <v>0</v>
          </cell>
          <cell r="D4751">
            <v>0</v>
          </cell>
          <cell r="E4751" t="e">
            <v>#VALUE!</v>
          </cell>
          <cell r="F4751">
            <v>0</v>
          </cell>
        </row>
        <row r="4752">
          <cell r="A4752" t="str">
            <v>SPGOGLXB</v>
          </cell>
          <cell r="B4752">
            <v>1.5045357988305288</v>
          </cell>
          <cell r="C4752">
            <v>0</v>
          </cell>
          <cell r="D4752">
            <v>0</v>
          </cell>
          <cell r="E4752" t="e">
            <v>#VALUE!</v>
          </cell>
          <cell r="F4752">
            <v>0</v>
          </cell>
        </row>
        <row r="4753">
          <cell r="A4753" t="str">
            <v>SPGOHTDB</v>
          </cell>
          <cell r="B4753">
            <v>1.6773422162826748</v>
          </cell>
          <cell r="C4753">
            <v>0</v>
          </cell>
          <cell r="D4753">
            <v>0</v>
          </cell>
          <cell r="E4753" t="e">
            <v>#VALUE!</v>
          </cell>
          <cell r="F4753">
            <v>0</v>
          </cell>
        </row>
        <row r="4754">
          <cell r="A4754" t="str">
            <v>SPGOPGOB</v>
          </cell>
          <cell r="B4754">
            <v>6.3062650667477964</v>
          </cell>
          <cell r="C4754">
            <v>0</v>
          </cell>
          <cell r="D4754">
            <v>0</v>
          </cell>
          <cell r="E4754" t="e">
            <v>#VALUE!</v>
          </cell>
          <cell r="F4754">
            <v>0</v>
          </cell>
        </row>
        <row r="4755">
          <cell r="A4755" t="str">
            <v>SKKKLK2B</v>
          </cell>
          <cell r="B4755">
            <v>0.47611063416690041</v>
          </cell>
          <cell r="C4755">
            <v>0</v>
          </cell>
          <cell r="D4755">
            <v>0</v>
          </cell>
          <cell r="E4755" t="e">
            <v>#VALUE!</v>
          </cell>
          <cell r="F4755">
            <v>0</v>
          </cell>
        </row>
        <row r="4756">
          <cell r="A4756" t="str">
            <v>SKKKLK3B</v>
          </cell>
          <cell r="B4756">
            <v>0.82417084223603554</v>
          </cell>
          <cell r="C4756">
            <v>0</v>
          </cell>
          <cell r="D4756">
            <v>0</v>
          </cell>
          <cell r="E4756" t="e">
            <v>#VALUE!</v>
          </cell>
          <cell r="F4756">
            <v>0</v>
          </cell>
        </row>
        <row r="4757">
          <cell r="A4757" t="str">
            <v>SKKKKKKB</v>
          </cell>
          <cell r="B4757">
            <v>1.3002814802404952</v>
          </cell>
          <cell r="C4757">
            <v>0</v>
          </cell>
          <cell r="D4757">
            <v>0</v>
          </cell>
          <cell r="E4757" t="e">
            <v>#VALUE!</v>
          </cell>
          <cell r="F4757">
            <v>0</v>
          </cell>
        </row>
        <row r="4758">
          <cell r="A4758" t="str">
            <v>SMTVISOB</v>
          </cell>
          <cell r="B4758">
            <v>0</v>
          </cell>
          <cell r="C4758">
            <v>0</v>
          </cell>
          <cell r="D4758">
            <v>0</v>
          </cell>
          <cell r="E4758" t="e">
            <v>#VALUE!</v>
          </cell>
          <cell r="F4758">
            <v>-24.681451105091671</v>
          </cell>
        </row>
        <row r="4759">
          <cell r="A4759" t="str">
            <v>SMTVMTEB</v>
          </cell>
          <cell r="B4759">
            <v>3.926284842907566E-2</v>
          </cell>
          <cell r="C4759">
            <v>0</v>
          </cell>
          <cell r="D4759">
            <v>0</v>
          </cell>
          <cell r="E4759" t="e">
            <v>#VALUE!</v>
          </cell>
          <cell r="F4759">
            <v>0</v>
          </cell>
        </row>
        <row r="4760">
          <cell r="A4760" t="str">
            <v>SMTVMTVB</v>
          </cell>
          <cell r="B4760">
            <v>3.926284842907566E-2</v>
          </cell>
          <cell r="C4760">
            <v>0</v>
          </cell>
          <cell r="D4760">
            <v>0</v>
          </cell>
          <cell r="E4760" t="e">
            <v>#VALUE!</v>
          </cell>
          <cell r="F4760">
            <v>0</v>
          </cell>
        </row>
        <row r="4761">
          <cell r="A4761" t="str">
            <v>SMTVCAGB</v>
          </cell>
          <cell r="B4761">
            <v>3.926284842907566E-2</v>
          </cell>
          <cell r="C4761">
            <v>0</v>
          </cell>
          <cell r="D4761">
            <v>0</v>
          </cell>
          <cell r="E4761" t="e">
            <v>#VALUE!</v>
          </cell>
          <cell r="F4761">
            <v>0</v>
          </cell>
        </row>
        <row r="4762">
          <cell r="A4762" t="str">
            <v>SALKALKB</v>
          </cell>
          <cell r="B4762">
            <v>1.2414699075871135E-2</v>
          </cell>
          <cell r="C4762">
            <v>0</v>
          </cell>
          <cell r="D4762">
            <v>0</v>
          </cell>
          <cell r="E4762" t="e">
            <v>#VALUE!</v>
          </cell>
          <cell r="F4762">
            <v>0</v>
          </cell>
        </row>
        <row r="4763">
          <cell r="A4763" t="str">
            <v>SALKALHB</v>
          </cell>
          <cell r="B4763">
            <v>1.2414699075871135E-2</v>
          </cell>
          <cell r="C4763">
            <v>0</v>
          </cell>
          <cell r="D4763">
            <v>0</v>
          </cell>
          <cell r="E4763" t="e">
            <v>#VALUE!</v>
          </cell>
          <cell r="F4763">
            <v>0</v>
          </cell>
        </row>
        <row r="4764">
          <cell r="A4764" t="str">
            <v>SRFFBASB</v>
          </cell>
          <cell r="B4764">
            <v>0</v>
          </cell>
          <cell r="C4764">
            <v>0</v>
          </cell>
          <cell r="D4764">
            <v>0</v>
          </cell>
          <cell r="E4764" t="e">
            <v>#VALUE!</v>
          </cell>
          <cell r="F4764">
            <v>0</v>
          </cell>
        </row>
        <row r="4765">
          <cell r="A4765" t="str">
            <v>SvplMLGB</v>
          </cell>
          <cell r="B4765">
            <v>0.4619235098361969</v>
          </cell>
          <cell r="C4765">
            <v>0</v>
          </cell>
          <cell r="D4765">
            <v>0</v>
          </cell>
          <cell r="E4765" t="e">
            <v>#VALUE!</v>
          </cell>
          <cell r="F4765">
            <v>0</v>
          </cell>
        </row>
        <row r="4766">
          <cell r="A4766" t="str">
            <v>SvplDVDB</v>
          </cell>
          <cell r="B4766">
            <v>1.6859897375106812</v>
          </cell>
          <cell r="C4766">
            <v>0</v>
          </cell>
          <cell r="D4766">
            <v>0</v>
          </cell>
          <cell r="E4766" t="e">
            <v>#VALUE!</v>
          </cell>
          <cell r="F4766">
            <v>0</v>
          </cell>
        </row>
        <row r="4767">
          <cell r="A4767" t="str">
            <v>SvplNQNB</v>
          </cell>
          <cell r="B4767">
            <v>7.1682312534280017</v>
          </cell>
          <cell r="C4767">
            <v>0</v>
          </cell>
          <cell r="D4767">
            <v>0</v>
          </cell>
          <cell r="E4767" t="e">
            <v>#VALUE!</v>
          </cell>
          <cell r="F4767">
            <v>0</v>
          </cell>
        </row>
        <row r="4768">
          <cell r="A4768" t="str">
            <v>SvplTUPB</v>
          </cell>
          <cell r="B4768">
            <v>1.1989599466323853</v>
          </cell>
          <cell r="C4768">
            <v>0</v>
          </cell>
          <cell r="D4768">
            <v>0</v>
          </cell>
          <cell r="E4768" t="e">
            <v>#VALUE!</v>
          </cell>
          <cell r="F4768">
            <v>0</v>
          </cell>
        </row>
        <row r="4769">
          <cell r="A4769" t="str">
            <v>SvplADCB</v>
          </cell>
          <cell r="B4769">
            <v>0.20729279518127441</v>
          </cell>
          <cell r="C4769">
            <v>0</v>
          </cell>
          <cell r="D4769">
            <v>0</v>
          </cell>
          <cell r="E4769" t="e">
            <v>#VALUE!</v>
          </cell>
          <cell r="F4769">
            <v>0</v>
          </cell>
        </row>
        <row r="4770">
          <cell r="A4770" t="str">
            <v>SvplmCSB</v>
          </cell>
          <cell r="B4770">
            <v>10.722397093576928</v>
          </cell>
          <cell r="C4770">
            <v>0</v>
          </cell>
          <cell r="D4770">
            <v>0</v>
          </cell>
          <cell r="E4770" t="e">
            <v>#VALUE!</v>
          </cell>
          <cell r="F4770">
            <v>0</v>
          </cell>
        </row>
        <row r="4771">
          <cell r="A4771" t="str">
            <v>TOTDOK1B</v>
          </cell>
          <cell r="B4771">
            <v>0.72562064177369423</v>
          </cell>
          <cell r="C4771">
            <v>0</v>
          </cell>
          <cell r="D4771">
            <v>0</v>
          </cell>
          <cell r="E4771" t="e">
            <v>#VALUE!</v>
          </cell>
          <cell r="F4771">
            <v>0</v>
          </cell>
        </row>
        <row r="4772">
          <cell r="A4772" t="str">
            <v>EpencolB</v>
          </cell>
          <cell r="B4772">
            <v>0</v>
          </cell>
          <cell r="C4772">
            <v>-1</v>
          </cell>
          <cell r="D4772">
            <v>0</v>
          </cell>
          <cell r="E4772" t="e">
            <v>#VALUE!</v>
          </cell>
          <cell r="F4772">
            <v>0</v>
          </cell>
        </row>
        <row r="4773">
          <cell r="A4773" t="str">
            <v>RSPGAR2B</v>
          </cell>
          <cell r="B4773">
            <v>-3.3572829135652045E-6</v>
          </cell>
          <cell r="C4773">
            <v>0</v>
          </cell>
          <cell r="D4773" t="e">
            <v>#VALUE!</v>
          </cell>
          <cell r="E4773" t="e">
            <v>#VALUE!</v>
          </cell>
          <cell r="F4773">
            <v>0</v>
          </cell>
        </row>
        <row r="4774">
          <cell r="A4774" t="str">
            <v>RSPGAR3B</v>
          </cell>
          <cell r="B4774">
            <v>3.2848630489602888E-3</v>
          </cell>
          <cell r="C4774">
            <v>0</v>
          </cell>
          <cell r="D4774" t="e">
            <v>#VALUE!</v>
          </cell>
          <cell r="E4774" t="e">
            <v>#VALUE!</v>
          </cell>
          <cell r="F4774">
            <v>0</v>
          </cell>
        </row>
        <row r="4775">
          <cell r="A4775" t="str">
            <v>RSPGBUTB</v>
          </cell>
          <cell r="B4775">
            <v>1.7393776713966149E-5</v>
          </cell>
          <cell r="C4775">
            <v>0</v>
          </cell>
          <cell r="D4775" t="e">
            <v>#VALUE!</v>
          </cell>
          <cell r="E4775" t="e">
            <v>#VALUE!</v>
          </cell>
          <cell r="F4775">
            <v>0</v>
          </cell>
        </row>
        <row r="4776">
          <cell r="A4776" t="str">
            <v>RSPGC3FB</v>
          </cell>
          <cell r="B4776">
            <v>6.4059749952507882E-5</v>
          </cell>
          <cell r="C4776">
            <v>0</v>
          </cell>
          <cell r="D4776" t="e">
            <v>#VALUE!</v>
          </cell>
          <cell r="E4776" t="e">
            <v>#VALUE!</v>
          </cell>
          <cell r="F4776">
            <v>0</v>
          </cell>
        </row>
        <row r="4777">
          <cell r="A4777" t="str">
            <v>RSPGC4FB</v>
          </cell>
          <cell r="B4777">
            <v>1.0535429342556585E-4</v>
          </cell>
          <cell r="C4777">
            <v>0</v>
          </cell>
          <cell r="D4777" t="e">
            <v>#VALUE!</v>
          </cell>
          <cell r="E4777" t="e">
            <v>#VALUE!</v>
          </cell>
          <cell r="F4777">
            <v>0</v>
          </cell>
        </row>
        <row r="4778">
          <cell r="A4778" t="str">
            <v>RSPGC4MB</v>
          </cell>
          <cell r="B4778">
            <v>1.2290861589350891E-5</v>
          </cell>
          <cell r="C4778">
            <v>0</v>
          </cell>
          <cell r="D4778" t="e">
            <v>#VALUE!</v>
          </cell>
          <cell r="E4778" t="e">
            <v>#VALUE!</v>
          </cell>
          <cell r="F4778">
            <v>0</v>
          </cell>
        </row>
        <row r="4779">
          <cell r="A4779" t="str">
            <v>RSPGC4CB</v>
          </cell>
          <cell r="B4779">
            <v>3.7042306662006514E-5</v>
          </cell>
          <cell r="C4779">
            <v>0</v>
          </cell>
          <cell r="D4779" t="e">
            <v>#VALUE!</v>
          </cell>
          <cell r="E4779" t="e">
            <v>#VALUE!</v>
          </cell>
          <cell r="F4779">
            <v>0</v>
          </cell>
        </row>
        <row r="4780">
          <cell r="A4780" t="str">
            <v>RSPGC4BB</v>
          </cell>
          <cell r="B4780">
            <v>-7.4193926158299395E-6</v>
          </cell>
          <cell r="C4780">
            <v>0</v>
          </cell>
          <cell r="D4780" t="e">
            <v>#VALUE!</v>
          </cell>
          <cell r="E4780" t="e">
            <v>#VALUE!</v>
          </cell>
          <cell r="F4780">
            <v>0</v>
          </cell>
        </row>
        <row r="4781">
          <cell r="A4781" t="str">
            <v>RSPGCCCB</v>
          </cell>
          <cell r="B4781">
            <v>-6.0435168513683728E-4</v>
          </cell>
          <cell r="C4781">
            <v>0</v>
          </cell>
          <cell r="D4781" t="e">
            <v>#VALUE!</v>
          </cell>
          <cell r="E4781" t="e">
            <v>#VALUE!</v>
          </cell>
          <cell r="F4781">
            <v>0</v>
          </cell>
        </row>
        <row r="4782">
          <cell r="A4782" t="str">
            <v>RSPGHXXB</v>
          </cell>
          <cell r="B4782">
            <v>-1.288619648831839E-4</v>
          </cell>
          <cell r="C4782">
            <v>0</v>
          </cell>
          <cell r="D4782" t="e">
            <v>#VALUE!</v>
          </cell>
          <cell r="E4782" t="e">
            <v>#VALUE!</v>
          </cell>
          <cell r="F4782">
            <v>0</v>
          </cell>
        </row>
        <row r="4783">
          <cell r="A4783" t="str">
            <v>RSPGT20B</v>
          </cell>
          <cell r="B4783">
            <v>0</v>
          </cell>
          <cell r="C4783">
            <v>0</v>
          </cell>
          <cell r="D4783" t="e">
            <v>#VALUE!</v>
          </cell>
          <cell r="E4783" t="e">
            <v>#VALUE!</v>
          </cell>
          <cell r="F4783">
            <v>0</v>
          </cell>
        </row>
        <row r="4784">
          <cell r="A4784" t="str">
            <v>RSPGFOIB</v>
          </cell>
          <cell r="B4784">
            <v>9.3235510401627085E-6</v>
          </cell>
          <cell r="C4784">
            <v>0</v>
          </cell>
          <cell r="D4784" t="e">
            <v>#VALUE!</v>
          </cell>
          <cell r="E4784" t="e">
            <v>#VALUE!</v>
          </cell>
          <cell r="F4784">
            <v>0</v>
          </cell>
        </row>
        <row r="4785">
          <cell r="A4785" t="str">
            <v>RSPGCCKB</v>
          </cell>
          <cell r="B4785">
            <v>-6.0435168513683728E-4</v>
          </cell>
          <cell r="C4785">
            <v>0</v>
          </cell>
          <cell r="D4785" t="e">
            <v>#VALUE!</v>
          </cell>
          <cell r="E4785" t="e">
            <v>#VALUE!</v>
          </cell>
          <cell r="F4785">
            <v>0</v>
          </cell>
        </row>
        <row r="4786">
          <cell r="A4786" t="str">
            <v>RSPGCCQB</v>
          </cell>
          <cell r="B4786">
            <v>-6.0435168513683728E-4</v>
          </cell>
          <cell r="C4786">
            <v>0</v>
          </cell>
          <cell r="D4786" t="e">
            <v>#VALUE!</v>
          </cell>
          <cell r="E4786" t="e">
            <v>#VALUE!</v>
          </cell>
          <cell r="F4786">
            <v>0</v>
          </cell>
        </row>
        <row r="4787">
          <cell r="A4787" t="str">
            <v>RSPGCP2B</v>
          </cell>
          <cell r="B4787">
            <v>-1.765700209744702E-5</v>
          </cell>
          <cell r="C4787">
            <v>0</v>
          </cell>
          <cell r="D4787" t="e">
            <v>#VALUE!</v>
          </cell>
          <cell r="E4787" t="e">
            <v>#VALUE!</v>
          </cell>
          <cell r="F4787">
            <v>0</v>
          </cell>
        </row>
        <row r="4788">
          <cell r="A4788" t="str">
            <v>RSPGCW2B</v>
          </cell>
          <cell r="B4788">
            <v>-3.3583410518014267E-4</v>
          </cell>
          <cell r="C4788">
            <v>0</v>
          </cell>
          <cell r="D4788" t="e">
            <v>#VALUE!</v>
          </cell>
          <cell r="E4788" t="e">
            <v>#VALUE!</v>
          </cell>
          <cell r="F4788">
            <v>0</v>
          </cell>
        </row>
        <row r="4789">
          <cell r="A4789" t="str">
            <v>RSPGCX2B</v>
          </cell>
          <cell r="B4789">
            <v>-3.3583410518014267E-4</v>
          </cell>
          <cell r="C4789">
            <v>0</v>
          </cell>
          <cell r="D4789" t="e">
            <v>#VALUE!</v>
          </cell>
          <cell r="E4789" t="e">
            <v>#VALUE!</v>
          </cell>
          <cell r="F4789">
            <v>0</v>
          </cell>
        </row>
        <row r="4790">
          <cell r="A4790" t="str">
            <v>RSPGCY2B</v>
          </cell>
          <cell r="B4790">
            <v>-3.3583410518014267E-4</v>
          </cell>
          <cell r="C4790">
            <v>0</v>
          </cell>
          <cell r="D4790" t="e">
            <v>#VALUE!</v>
          </cell>
          <cell r="E4790" t="e">
            <v>#VALUE!</v>
          </cell>
          <cell r="F4790">
            <v>0</v>
          </cell>
        </row>
        <row r="4791">
          <cell r="A4791" t="str">
            <v>RSPGCZ2B</v>
          </cell>
          <cell r="B4791">
            <v>-3.3583410518014267E-4</v>
          </cell>
          <cell r="C4791">
            <v>0</v>
          </cell>
          <cell r="D4791" t="e">
            <v>#VALUE!</v>
          </cell>
          <cell r="E4791" t="e">
            <v>#VALUE!</v>
          </cell>
          <cell r="F4791">
            <v>0</v>
          </cell>
        </row>
        <row r="4792">
          <cell r="A4792" t="str">
            <v>RSPGDCXB</v>
          </cell>
          <cell r="B4792">
            <v>-2.9013586046783355E-4</v>
          </cell>
          <cell r="C4792">
            <v>0</v>
          </cell>
          <cell r="D4792" t="e">
            <v>#VALUE!</v>
          </cell>
          <cell r="E4792" t="e">
            <v>#VALUE!</v>
          </cell>
          <cell r="F4792">
            <v>0</v>
          </cell>
        </row>
        <row r="4793">
          <cell r="A4793" t="str">
            <v>RSPGFC2B</v>
          </cell>
          <cell r="B4793">
            <v>-3.3583410518014267E-4</v>
          </cell>
          <cell r="C4793">
            <v>0</v>
          </cell>
          <cell r="D4793" t="e">
            <v>#VALUE!</v>
          </cell>
          <cell r="E4793" t="e">
            <v>#VALUE!</v>
          </cell>
          <cell r="F4793">
            <v>0</v>
          </cell>
        </row>
        <row r="4794">
          <cell r="A4794" t="str">
            <v>RSPGGLXB</v>
          </cell>
          <cell r="B4794">
            <v>-5.3500027516585689E-4</v>
          </cell>
          <cell r="C4794">
            <v>0</v>
          </cell>
          <cell r="D4794" t="e">
            <v>#VALUE!</v>
          </cell>
          <cell r="E4794" t="e">
            <v>#VALUE!</v>
          </cell>
          <cell r="F4794">
            <v>0</v>
          </cell>
        </row>
        <row r="4795">
          <cell r="A4795" t="str">
            <v>RSPGKJPB</v>
          </cell>
          <cell r="B4795">
            <v>6.5443310898581947E-5</v>
          </cell>
          <cell r="C4795">
            <v>0</v>
          </cell>
          <cell r="D4795" t="e">
            <v>#VALUE!</v>
          </cell>
          <cell r="E4795" t="e">
            <v>#VALUE!</v>
          </cell>
          <cell r="F4795">
            <v>0</v>
          </cell>
        </row>
        <row r="4796">
          <cell r="A4796" t="str">
            <v>RSPGHTFB</v>
          </cell>
          <cell r="B4796">
            <v>-1.5780556490899969E-4</v>
          </cell>
          <cell r="C4796">
            <v>0</v>
          </cell>
          <cell r="D4796" t="e">
            <v>#VALUE!</v>
          </cell>
          <cell r="E4796" t="e">
            <v>#VALUE!</v>
          </cell>
          <cell r="F4796">
            <v>0</v>
          </cell>
        </row>
        <row r="4797">
          <cell r="A4797" t="str">
            <v>RSPGHTZB</v>
          </cell>
          <cell r="B4797">
            <v>-1.5780556490899969E-4</v>
          </cell>
          <cell r="C4797">
            <v>0</v>
          </cell>
          <cell r="D4797" t="e">
            <v>#VALUE!</v>
          </cell>
          <cell r="E4797" t="e">
            <v>#VALUE!</v>
          </cell>
          <cell r="F4797">
            <v>0</v>
          </cell>
        </row>
        <row r="4798">
          <cell r="A4798" t="str">
            <v>RSPGKKKB</v>
          </cell>
          <cell r="B4798">
            <v>6.9240472004996065E-6</v>
          </cell>
          <cell r="C4798">
            <v>0</v>
          </cell>
          <cell r="D4798" t="e">
            <v>#VALUE!</v>
          </cell>
          <cell r="E4798" t="e">
            <v>#VALUE!</v>
          </cell>
          <cell r="F4798">
            <v>0</v>
          </cell>
        </row>
        <row r="4799">
          <cell r="A4799" t="str">
            <v>RSPGLCTB</v>
          </cell>
          <cell r="B4799">
            <v>-2.2838420297612423E-4</v>
          </cell>
          <cell r="C4799">
            <v>0</v>
          </cell>
          <cell r="D4799" t="e">
            <v>#VALUE!</v>
          </cell>
          <cell r="E4799" t="e">
            <v>#VALUE!</v>
          </cell>
          <cell r="F4799">
            <v>0</v>
          </cell>
        </row>
        <row r="4800">
          <cell r="A4800" t="str">
            <v>RSPGLG2B</v>
          </cell>
          <cell r="B4800">
            <v>-4.7666936505215933E-5</v>
          </cell>
          <cell r="C4800">
            <v>0</v>
          </cell>
          <cell r="D4800" t="e">
            <v>#VALUE!</v>
          </cell>
          <cell r="E4800" t="e">
            <v>#VALUE!</v>
          </cell>
          <cell r="F4800">
            <v>0</v>
          </cell>
        </row>
        <row r="4801">
          <cell r="A4801" t="str">
            <v>RSPGLG3B</v>
          </cell>
          <cell r="B4801">
            <v>3.0361377025967581E-5</v>
          </cell>
          <cell r="C4801">
            <v>0</v>
          </cell>
          <cell r="D4801" t="e">
            <v>#VALUE!</v>
          </cell>
          <cell r="E4801" t="e">
            <v>#VALUE!</v>
          </cell>
          <cell r="F4801">
            <v>0</v>
          </cell>
        </row>
        <row r="4802">
          <cell r="A4802" t="str">
            <v>RSPGLGCB</v>
          </cell>
          <cell r="B4802">
            <v>-1.6201180936162654E-4</v>
          </cell>
          <cell r="C4802">
            <v>0</v>
          </cell>
          <cell r="D4802" t="e">
            <v>#VALUE!</v>
          </cell>
          <cell r="E4802" t="e">
            <v>#VALUE!</v>
          </cell>
          <cell r="F4802">
            <v>0</v>
          </cell>
        </row>
        <row r="4803">
          <cell r="A4803" t="str">
            <v>RSPGLK2B</v>
          </cell>
          <cell r="B4803">
            <v>4.545437339562677E-6</v>
          </cell>
          <cell r="C4803">
            <v>0</v>
          </cell>
          <cell r="D4803" t="e">
            <v>#VALUE!</v>
          </cell>
          <cell r="E4803" t="e">
            <v>#VALUE!</v>
          </cell>
          <cell r="F4803">
            <v>0</v>
          </cell>
        </row>
        <row r="4804">
          <cell r="A4804" t="str">
            <v>RSPGLK3B</v>
          </cell>
          <cell r="B4804">
            <v>-2.3360298436186086E-5</v>
          </cell>
          <cell r="C4804">
            <v>0</v>
          </cell>
          <cell r="D4804" t="e">
            <v>#VALUE!</v>
          </cell>
          <cell r="E4804" t="e">
            <v>#VALUE!</v>
          </cell>
          <cell r="F4804">
            <v>0</v>
          </cell>
        </row>
        <row r="4805">
          <cell r="A4805" t="str">
            <v>RSPGLLLB</v>
          </cell>
          <cell r="B4805">
            <v>-2.289034775856959E-4</v>
          </cell>
          <cell r="C4805">
            <v>0</v>
          </cell>
          <cell r="D4805" t="e">
            <v>#VALUE!</v>
          </cell>
          <cell r="E4805" t="e">
            <v>#VALUE!</v>
          </cell>
          <cell r="F4805">
            <v>0</v>
          </cell>
        </row>
        <row r="4806">
          <cell r="A4806" t="str">
            <v>RSPGLN2B</v>
          </cell>
          <cell r="B4806">
            <v>2.2999193611648891E-5</v>
          </cell>
          <cell r="C4806">
            <v>0</v>
          </cell>
          <cell r="D4806" t="e">
            <v>#VALUE!</v>
          </cell>
          <cell r="E4806" t="e">
            <v>#VALUE!</v>
          </cell>
          <cell r="F4806">
            <v>0</v>
          </cell>
        </row>
        <row r="4807">
          <cell r="A4807" t="str">
            <v>RSPGLT2B</v>
          </cell>
          <cell r="B4807">
            <v>-1.0715426177870391E-4</v>
          </cell>
          <cell r="C4807">
            <v>0</v>
          </cell>
          <cell r="D4807" t="e">
            <v>#VALUE!</v>
          </cell>
          <cell r="E4807" t="e">
            <v>#VALUE!</v>
          </cell>
          <cell r="F4807">
            <v>0</v>
          </cell>
        </row>
        <row r="4808">
          <cell r="A4808" t="str">
            <v>RSPGLN3B</v>
          </cell>
          <cell r="B4808">
            <v>-6.2545669370343625E-6</v>
          </cell>
          <cell r="C4808">
            <v>0</v>
          </cell>
          <cell r="D4808" t="e">
            <v>#VALUE!</v>
          </cell>
          <cell r="E4808" t="e">
            <v>#VALUE!</v>
          </cell>
          <cell r="F4808">
            <v>0</v>
          </cell>
        </row>
        <row r="4809">
          <cell r="A4809" t="str">
            <v>RSPGLT3B</v>
          </cell>
          <cell r="B4809">
            <v>-6.2545669370343625E-6</v>
          </cell>
          <cell r="C4809">
            <v>0</v>
          </cell>
          <cell r="D4809" t="e">
            <v>#VALUE!</v>
          </cell>
          <cell r="E4809" t="e">
            <v>#VALUE!</v>
          </cell>
          <cell r="F4809">
            <v>0</v>
          </cell>
        </row>
        <row r="4810">
          <cell r="A4810" t="str">
            <v>RSPGLVAB</v>
          </cell>
          <cell r="B4810">
            <v>-4.8132377049936719E-4</v>
          </cell>
          <cell r="C4810">
            <v>0</v>
          </cell>
          <cell r="D4810" t="e">
            <v>#VALUE!</v>
          </cell>
          <cell r="E4810" t="e">
            <v>#VALUE!</v>
          </cell>
          <cell r="F4810">
            <v>0</v>
          </cell>
        </row>
        <row r="4811">
          <cell r="A4811" t="str">
            <v>RSPGLV2B</v>
          </cell>
          <cell r="B4811">
            <v>-2.2958279968506385E-7</v>
          </cell>
          <cell r="C4811">
            <v>0</v>
          </cell>
          <cell r="D4811" t="e">
            <v>#VALUE!</v>
          </cell>
          <cell r="E4811" t="e">
            <v>#VALUE!</v>
          </cell>
          <cell r="F4811">
            <v>0</v>
          </cell>
        </row>
        <row r="4812">
          <cell r="A4812" t="str">
            <v>RSPGLV3B</v>
          </cell>
          <cell r="B4812">
            <v>3.7081976233510007E-7</v>
          </cell>
          <cell r="C4812">
            <v>0</v>
          </cell>
          <cell r="D4812" t="e">
            <v>#VALUE!</v>
          </cell>
          <cell r="E4812" t="e">
            <v>#VALUE!</v>
          </cell>
          <cell r="F4812">
            <v>0</v>
          </cell>
        </row>
        <row r="4813">
          <cell r="A4813" t="str">
            <v>RSPGLXFB</v>
          </cell>
          <cell r="B4813">
            <v>5.7495213000100637E-4</v>
          </cell>
          <cell r="C4813">
            <v>0</v>
          </cell>
          <cell r="D4813" t="e">
            <v>#VALUE!</v>
          </cell>
          <cell r="E4813" t="e">
            <v>#VALUE!</v>
          </cell>
          <cell r="F4813">
            <v>0</v>
          </cell>
        </row>
        <row r="4814">
          <cell r="A4814" t="str">
            <v>RSPGMN3B</v>
          </cell>
          <cell r="B4814">
            <v>-3.4337170216356953E-5</v>
          </cell>
          <cell r="C4814">
            <v>0</v>
          </cell>
          <cell r="D4814" t="e">
            <v>#VALUE!</v>
          </cell>
          <cell r="E4814" t="e">
            <v>#VALUE!</v>
          </cell>
          <cell r="F4814">
            <v>0</v>
          </cell>
        </row>
        <row r="4815">
          <cell r="A4815" t="str">
            <v>RSPGMN2B</v>
          </cell>
          <cell r="B4815">
            <v>-7.0518055247092674E-6</v>
          </cell>
          <cell r="C4815">
            <v>0</v>
          </cell>
          <cell r="D4815" t="e">
            <v>#VALUE!</v>
          </cell>
          <cell r="E4815" t="e">
            <v>#VALUE!</v>
          </cell>
          <cell r="F4815">
            <v>0</v>
          </cell>
        </row>
        <row r="4816">
          <cell r="A4816" t="str">
            <v>RSPGNLCB</v>
          </cell>
          <cell r="B4816">
            <v>-1.8249043338845983E-4</v>
          </cell>
          <cell r="C4816">
            <v>0</v>
          </cell>
          <cell r="D4816" t="e">
            <v>#VALUE!</v>
          </cell>
          <cell r="E4816" t="e">
            <v>#VALUE!</v>
          </cell>
          <cell r="F4816">
            <v>0</v>
          </cell>
        </row>
        <row r="4817">
          <cell r="A4817" t="str">
            <v>RSPGNPRB</v>
          </cell>
          <cell r="B4817">
            <v>-1.66463115083513E-4</v>
          </cell>
          <cell r="C4817">
            <v>0</v>
          </cell>
          <cell r="D4817" t="e">
            <v>#VALUE!</v>
          </cell>
          <cell r="E4817" t="e">
            <v>#VALUE!</v>
          </cell>
          <cell r="F4817">
            <v>0</v>
          </cell>
        </row>
        <row r="4818">
          <cell r="A4818" t="str">
            <v>RSPGNPZB</v>
          </cell>
          <cell r="B4818">
            <v>-6.1295078094563871E-5</v>
          </cell>
          <cell r="C4818">
            <v>0</v>
          </cell>
          <cell r="D4818" t="e">
            <v>#VALUE!</v>
          </cell>
          <cell r="E4818" t="e">
            <v>#VALUE!</v>
          </cell>
          <cell r="F4818">
            <v>0</v>
          </cell>
        </row>
        <row r="4819">
          <cell r="A4819" t="str">
            <v>RSPGPG2B</v>
          </cell>
          <cell r="B4819">
            <v>-3.3937593322400363E-5</v>
          </cell>
          <cell r="C4819">
            <v>0</v>
          </cell>
          <cell r="D4819" t="e">
            <v>#VALUE!</v>
          </cell>
          <cell r="E4819" t="e">
            <v>#VALUE!</v>
          </cell>
          <cell r="F4819">
            <v>0</v>
          </cell>
        </row>
        <row r="4820">
          <cell r="A4820" t="str">
            <v>RSPGPG3B</v>
          </cell>
          <cell r="B4820">
            <v>-2.8546411582088267E-5</v>
          </cell>
          <cell r="C4820">
            <v>0</v>
          </cell>
          <cell r="D4820" t="e">
            <v>#VALUE!</v>
          </cell>
          <cell r="E4820" t="e">
            <v>#VALUE!</v>
          </cell>
          <cell r="F4820">
            <v>0</v>
          </cell>
        </row>
        <row r="4821">
          <cell r="A4821" t="str">
            <v>RSPGPGCB</v>
          </cell>
          <cell r="B4821">
            <v>1.0479991942203973E-4</v>
          </cell>
          <cell r="C4821">
            <v>0</v>
          </cell>
          <cell r="D4821" t="e">
            <v>#VALUE!</v>
          </cell>
          <cell r="E4821" t="e">
            <v>#VALUE!</v>
          </cell>
          <cell r="F4821">
            <v>0</v>
          </cell>
        </row>
        <row r="4822">
          <cell r="A4822" t="str">
            <v>RSPGPGOB</v>
          </cell>
          <cell r="B4822">
            <v>-5.258457533646796E-4</v>
          </cell>
          <cell r="C4822">
            <v>0</v>
          </cell>
          <cell r="D4822" t="e">
            <v>#VALUE!</v>
          </cell>
          <cell r="E4822" t="e">
            <v>#VALUE!</v>
          </cell>
          <cell r="F4822">
            <v>0</v>
          </cell>
        </row>
        <row r="4823">
          <cell r="A4823" t="str">
            <v>RSPGPN2B</v>
          </cell>
          <cell r="B4823">
            <v>-1.1522494470221455E-4</v>
          </cell>
          <cell r="C4823">
            <v>0</v>
          </cell>
          <cell r="D4823" t="e">
            <v>#VALUE!</v>
          </cell>
          <cell r="E4823" t="e">
            <v>#VALUE!</v>
          </cell>
          <cell r="F4823">
            <v>0</v>
          </cell>
        </row>
        <row r="4824">
          <cell r="A4824" t="str">
            <v>RSPGPT2B</v>
          </cell>
          <cell r="B4824">
            <v>-3.4876210681637557E-5</v>
          </cell>
          <cell r="C4824">
            <v>0</v>
          </cell>
          <cell r="D4824" t="e">
            <v>#VALUE!</v>
          </cell>
          <cell r="E4824" t="e">
            <v>#VALUE!</v>
          </cell>
          <cell r="F4824">
            <v>0</v>
          </cell>
        </row>
        <row r="4825">
          <cell r="A4825" t="str">
            <v>RSPGPN3B</v>
          </cell>
          <cell r="B4825">
            <v>2.4906914199762043E-5</v>
          </cell>
          <cell r="C4825">
            <v>0</v>
          </cell>
          <cell r="D4825" t="e">
            <v>#VALUE!</v>
          </cell>
          <cell r="E4825" t="e">
            <v>#VALUE!</v>
          </cell>
          <cell r="F4825">
            <v>0</v>
          </cell>
        </row>
        <row r="4826">
          <cell r="A4826" t="str">
            <v>RSPGPROB</v>
          </cell>
          <cell r="B4826">
            <v>0</v>
          </cell>
          <cell r="C4826">
            <v>0</v>
          </cell>
          <cell r="D4826" t="e">
            <v>#VALUE!</v>
          </cell>
          <cell r="E4826" t="e">
            <v>#VALUE!</v>
          </cell>
          <cell r="F4826">
            <v>0</v>
          </cell>
        </row>
        <row r="4827">
          <cell r="A4827" t="str">
            <v>RSPGPT3B</v>
          </cell>
          <cell r="B4827">
            <v>6.9233453681067343E-5</v>
          </cell>
          <cell r="C4827">
            <v>0</v>
          </cell>
          <cell r="D4827" t="e">
            <v>#VALUE!</v>
          </cell>
          <cell r="E4827" t="e">
            <v>#VALUE!</v>
          </cell>
          <cell r="F4827">
            <v>0</v>
          </cell>
        </row>
        <row r="4828">
          <cell r="A4828" t="str">
            <v>RSPGPRAB</v>
          </cell>
          <cell r="B4828">
            <v>0</v>
          </cell>
          <cell r="C4828">
            <v>0</v>
          </cell>
          <cell r="D4828" t="e">
            <v>#VALUE!</v>
          </cell>
          <cell r="E4828" t="e">
            <v>#VALUE!</v>
          </cell>
          <cell r="F4828">
            <v>0</v>
          </cell>
        </row>
        <row r="4829">
          <cell r="A4829" t="str">
            <v>RSPGPR2B</v>
          </cell>
          <cell r="B4829">
            <v>0</v>
          </cell>
          <cell r="C4829">
            <v>0</v>
          </cell>
          <cell r="D4829" t="e">
            <v>#VALUE!</v>
          </cell>
          <cell r="E4829" t="e">
            <v>#VALUE!</v>
          </cell>
          <cell r="F4829">
            <v>0</v>
          </cell>
        </row>
        <row r="4830">
          <cell r="A4830" t="str">
            <v>RSPGPR3B</v>
          </cell>
          <cell r="B4830">
            <v>0</v>
          </cell>
          <cell r="C4830">
            <v>0</v>
          </cell>
          <cell r="D4830" t="e">
            <v>#VALUE!</v>
          </cell>
          <cell r="E4830" t="e">
            <v>#VALUE!</v>
          </cell>
          <cell r="F4830">
            <v>0</v>
          </cell>
        </row>
        <row r="4831">
          <cell r="A4831" t="str">
            <v>RSPGPVAB</v>
          </cell>
          <cell r="B4831">
            <v>-1.7637341597822356E-5</v>
          </cell>
          <cell r="C4831">
            <v>0</v>
          </cell>
          <cell r="D4831" t="e">
            <v>#VALUE!</v>
          </cell>
          <cell r="E4831" t="e">
            <v>#VALUE!</v>
          </cell>
          <cell r="F4831">
            <v>0</v>
          </cell>
        </row>
        <row r="4832">
          <cell r="A4832" t="str">
            <v>RSPGPV2B</v>
          </cell>
          <cell r="B4832">
            <v>-5.2965926971715467E-7</v>
          </cell>
          <cell r="C4832">
            <v>0</v>
          </cell>
          <cell r="D4832" t="e">
            <v>#VALUE!</v>
          </cell>
          <cell r="E4832" t="e">
            <v>#VALUE!</v>
          </cell>
          <cell r="F4832">
            <v>0</v>
          </cell>
        </row>
        <row r="4833">
          <cell r="A4833" t="str">
            <v>RSPGPV3B</v>
          </cell>
          <cell r="B4833">
            <v>4.9737663511930253E-4</v>
          </cell>
          <cell r="C4833">
            <v>0</v>
          </cell>
          <cell r="D4833" t="e">
            <v>#VALUE!</v>
          </cell>
          <cell r="E4833" t="e">
            <v>#VALUE!</v>
          </cell>
          <cell r="F4833">
            <v>0</v>
          </cell>
        </row>
        <row r="4834">
          <cell r="A4834" t="str">
            <v>RSPGPX2B</v>
          </cell>
          <cell r="B4834">
            <v>0</v>
          </cell>
          <cell r="C4834">
            <v>0</v>
          </cell>
          <cell r="D4834" t="e">
            <v>#VALUE!</v>
          </cell>
          <cell r="E4834" t="e">
            <v>#VALUE!</v>
          </cell>
          <cell r="F4834">
            <v>0</v>
          </cell>
        </row>
        <row r="4835">
          <cell r="A4835" t="str">
            <v>RSPGPX3B</v>
          </cell>
          <cell r="B4835">
            <v>0</v>
          </cell>
          <cell r="C4835">
            <v>0</v>
          </cell>
          <cell r="D4835" t="e">
            <v>#VALUE!</v>
          </cell>
          <cell r="E4835" t="e">
            <v>#VALUE!</v>
          </cell>
          <cell r="F4835">
            <v>0</v>
          </cell>
        </row>
        <row r="4836">
          <cell r="A4836" t="str">
            <v>RSPGRFFB</v>
          </cell>
          <cell r="B4836">
            <v>-1.3055532685004985E-4</v>
          </cell>
          <cell r="C4836">
            <v>0</v>
          </cell>
          <cell r="D4836" t="e">
            <v>#VALUE!</v>
          </cell>
          <cell r="E4836" t="e">
            <v>#VALUE!</v>
          </cell>
          <cell r="F4836">
            <v>0</v>
          </cell>
        </row>
        <row r="4837">
          <cell r="A4837" t="str">
            <v>RSPGSK2B</v>
          </cell>
          <cell r="B4837">
            <v>-6.9071643878960962E-5</v>
          </cell>
          <cell r="C4837">
            <v>0</v>
          </cell>
          <cell r="D4837" t="e">
            <v>#VALUE!</v>
          </cell>
          <cell r="E4837" t="e">
            <v>#VALUE!</v>
          </cell>
          <cell r="F4837">
            <v>0</v>
          </cell>
        </row>
        <row r="4838">
          <cell r="A4838" t="str">
            <v>RSPGSK3B</v>
          </cell>
          <cell r="B4838">
            <v>-9.3064685587120188E-8</v>
          </cell>
          <cell r="C4838">
            <v>0</v>
          </cell>
          <cell r="D4838" t="e">
            <v>#VALUE!</v>
          </cell>
          <cell r="E4838" t="e">
            <v>#VALUE!</v>
          </cell>
          <cell r="F4838">
            <v>0</v>
          </cell>
        </row>
        <row r="4839">
          <cell r="A4839" t="str">
            <v>RSPGSG2B</v>
          </cell>
          <cell r="B4839">
            <v>-8.1631789053311857E-5</v>
          </cell>
          <cell r="C4839">
            <v>0</v>
          </cell>
          <cell r="D4839" t="e">
            <v>#VALUE!</v>
          </cell>
          <cell r="E4839" t="e">
            <v>#VALUE!</v>
          </cell>
          <cell r="F4839">
            <v>0</v>
          </cell>
        </row>
        <row r="4840">
          <cell r="A4840" t="str">
            <v>RSPGSG3B</v>
          </cell>
          <cell r="B4840">
            <v>4.9449816390123276E-5</v>
          </cell>
          <cell r="C4840">
            <v>0</v>
          </cell>
          <cell r="D4840" t="e">
            <v>#VALUE!</v>
          </cell>
          <cell r="E4840" t="e">
            <v>#VALUE!</v>
          </cell>
          <cell r="F4840">
            <v>0</v>
          </cell>
        </row>
        <row r="4841">
          <cell r="A4841" t="str">
            <v>RSPGSV2B</v>
          </cell>
          <cell r="B4841">
            <v>-2.5491277697096686E-8</v>
          </cell>
          <cell r="C4841">
            <v>0</v>
          </cell>
          <cell r="D4841" t="e">
            <v>#VALUE!</v>
          </cell>
          <cell r="E4841" t="e">
            <v>#VALUE!</v>
          </cell>
          <cell r="F4841">
            <v>0</v>
          </cell>
        </row>
        <row r="4842">
          <cell r="A4842" t="str">
            <v>RSPGSV3B</v>
          </cell>
          <cell r="B4842">
            <v>5.8790191015776904E-5</v>
          </cell>
          <cell r="C4842">
            <v>0</v>
          </cell>
          <cell r="D4842" t="e">
            <v>#VALUE!</v>
          </cell>
          <cell r="E4842" t="e">
            <v>#VALUE!</v>
          </cell>
          <cell r="F4842">
            <v>0</v>
          </cell>
        </row>
        <row r="4843">
          <cell r="A4843" t="str">
            <v>RSPGSW2B</v>
          </cell>
          <cell r="B4843">
            <v>-1.5901665199336306E-7</v>
          </cell>
          <cell r="C4843">
            <v>0</v>
          </cell>
          <cell r="D4843" t="e">
            <v>#VALUE!</v>
          </cell>
          <cell r="E4843" t="e">
            <v>#VALUE!</v>
          </cell>
          <cell r="F4843">
            <v>0</v>
          </cell>
        </row>
        <row r="4844">
          <cell r="A4844" t="str">
            <v>RSPGSW3B</v>
          </cell>
          <cell r="B4844">
            <v>8.3875976540187746E-6</v>
          </cell>
          <cell r="C4844">
            <v>0</v>
          </cell>
          <cell r="D4844" t="e">
            <v>#VALUE!</v>
          </cell>
          <cell r="E4844" t="e">
            <v>#VALUE!</v>
          </cell>
          <cell r="F4844">
            <v>0</v>
          </cell>
        </row>
        <row r="4845">
          <cell r="A4845" t="str">
            <v>RSPGSX2B</v>
          </cell>
          <cell r="B4845">
            <v>-7.7320353444077858E-8</v>
          </cell>
          <cell r="C4845">
            <v>0</v>
          </cell>
          <cell r="D4845" t="e">
            <v>#VALUE!</v>
          </cell>
          <cell r="E4845" t="e">
            <v>#VALUE!</v>
          </cell>
          <cell r="F4845">
            <v>0</v>
          </cell>
        </row>
        <row r="4846">
          <cell r="A4846" t="str">
            <v>RSPGSX3B</v>
          </cell>
          <cell r="B4846">
            <v>6.7872359222211212E-5</v>
          </cell>
          <cell r="C4846">
            <v>0</v>
          </cell>
          <cell r="D4846" t="e">
            <v>#VALUE!</v>
          </cell>
          <cell r="E4846" t="e">
            <v>#VALUE!</v>
          </cell>
          <cell r="F4846">
            <v>0</v>
          </cell>
        </row>
        <row r="4847">
          <cell r="A4847" t="str">
            <v>RSPGU1FB</v>
          </cell>
          <cell r="B4847">
            <v>-6.4056900916748672E-5</v>
          </cell>
          <cell r="C4847">
            <v>0</v>
          </cell>
          <cell r="D4847" t="e">
            <v>#VALUE!</v>
          </cell>
          <cell r="E4847" t="e">
            <v>#VALUE!</v>
          </cell>
          <cell r="F4847">
            <v>0</v>
          </cell>
        </row>
        <row r="4848">
          <cell r="A4848" t="str">
            <v>RSPGU2FB</v>
          </cell>
          <cell r="B4848">
            <v>-3.0968726742398697E-6</v>
          </cell>
          <cell r="C4848">
            <v>0</v>
          </cell>
          <cell r="D4848" t="e">
            <v>#VALUE!</v>
          </cell>
          <cell r="E4848" t="e">
            <v>#VALUE!</v>
          </cell>
          <cell r="F4848">
            <v>0</v>
          </cell>
        </row>
        <row r="4849">
          <cell r="A4849" t="str">
            <v>RSPGVRAB</v>
          </cell>
          <cell r="B4849">
            <v>-1.4242285110786687E-4</v>
          </cell>
          <cell r="C4849">
            <v>0</v>
          </cell>
          <cell r="D4849" t="e">
            <v>#VALUE!</v>
          </cell>
          <cell r="E4849" t="e">
            <v>#VALUE!</v>
          </cell>
          <cell r="F4849">
            <v>0</v>
          </cell>
        </row>
        <row r="4850">
          <cell r="A4850" t="str">
            <v>RSPGVR2B</v>
          </cell>
          <cell r="B4850">
            <v>-4.9188627952339822E-4</v>
          </cell>
          <cell r="C4850">
            <v>0</v>
          </cell>
          <cell r="D4850" t="e">
            <v>#VALUE!</v>
          </cell>
          <cell r="E4850" t="e">
            <v>#VALUE!</v>
          </cell>
          <cell r="F4850">
            <v>0</v>
          </cell>
        </row>
        <row r="4851">
          <cell r="A4851" t="str">
            <v>RSPGVR3B</v>
          </cell>
          <cell r="B4851">
            <v>6.2474543228745465E-4</v>
          </cell>
          <cell r="C4851">
            <v>0</v>
          </cell>
          <cell r="D4851" t="e">
            <v>#VALUE!</v>
          </cell>
          <cell r="E4851" t="e">
            <v>#VALUE!</v>
          </cell>
          <cell r="F4851">
            <v>0</v>
          </cell>
        </row>
        <row r="4852">
          <cell r="A4852" t="str">
            <v>RSPGMTVB</v>
          </cell>
          <cell r="B4852">
            <v>0</v>
          </cell>
          <cell r="C4852">
            <v>0</v>
          </cell>
          <cell r="D4852" t="e">
            <v>#VALUE!</v>
          </cell>
          <cell r="E4852" t="e">
            <v>#VALUE!</v>
          </cell>
          <cell r="F4852">
            <v>0</v>
          </cell>
        </row>
        <row r="4853">
          <cell r="A4853" t="str">
            <v>RSPGALHB</v>
          </cell>
          <cell r="B4853">
            <v>0</v>
          </cell>
          <cell r="C4853">
            <v>0</v>
          </cell>
          <cell r="D4853" t="e">
            <v>#VALUE!</v>
          </cell>
          <cell r="E4853" t="e">
            <v>#VALUE!</v>
          </cell>
          <cell r="F4853">
            <v>0</v>
          </cell>
        </row>
        <row r="4854">
          <cell r="A4854" t="str">
            <v>RSPVAR2B</v>
          </cell>
          <cell r="B4854">
            <v>1.0037443438680023E-5</v>
          </cell>
          <cell r="C4854">
            <v>0</v>
          </cell>
          <cell r="D4854" t="e">
            <v>#VALUE!</v>
          </cell>
          <cell r="E4854" t="e">
            <v>#VALUE!</v>
          </cell>
          <cell r="F4854">
            <v>0</v>
          </cell>
        </row>
        <row r="4855">
          <cell r="A4855" t="str">
            <v>RSPVAR3B</v>
          </cell>
          <cell r="B4855">
            <v>-3.5327258634648912E-3</v>
          </cell>
          <cell r="C4855">
            <v>0</v>
          </cell>
          <cell r="D4855" t="e">
            <v>#VALUE!</v>
          </cell>
          <cell r="E4855" t="e">
            <v>#VALUE!</v>
          </cell>
          <cell r="F4855">
            <v>0</v>
          </cell>
        </row>
        <row r="4856">
          <cell r="A4856" t="str">
            <v>RSPVBUTB</v>
          </cell>
          <cell r="B4856">
            <v>-1.5980082591764361E-4</v>
          </cell>
          <cell r="C4856">
            <v>0</v>
          </cell>
          <cell r="D4856" t="e">
            <v>#VALUE!</v>
          </cell>
          <cell r="E4856" t="e">
            <v>#VALUE!</v>
          </cell>
          <cell r="F4856">
            <v>0</v>
          </cell>
        </row>
        <row r="4857">
          <cell r="A4857" t="str">
            <v>RSPVC3FB</v>
          </cell>
          <cell r="B4857">
            <v>-3.8321338775260728E-6</v>
          </cell>
          <cell r="C4857">
            <v>0</v>
          </cell>
          <cell r="D4857" t="e">
            <v>#VALUE!</v>
          </cell>
          <cell r="E4857" t="e">
            <v>#VALUE!</v>
          </cell>
          <cell r="F4857">
            <v>0</v>
          </cell>
        </row>
        <row r="4858">
          <cell r="A4858" t="str">
            <v>RSPVC4FB</v>
          </cell>
          <cell r="B4858">
            <v>-1.0333883254956262E-4</v>
          </cell>
          <cell r="C4858">
            <v>0</v>
          </cell>
          <cell r="D4858" t="e">
            <v>#VALUE!</v>
          </cell>
          <cell r="E4858" t="e">
            <v>#VALUE!</v>
          </cell>
          <cell r="F4858">
            <v>0</v>
          </cell>
        </row>
        <row r="4859">
          <cell r="A4859" t="str">
            <v>RSPVC4MB</v>
          </cell>
          <cell r="B4859">
            <v>-7.0832581945044334E-5</v>
          </cell>
          <cell r="C4859">
            <v>0</v>
          </cell>
          <cell r="D4859" t="e">
            <v>#VALUE!</v>
          </cell>
          <cell r="E4859" t="e">
            <v>#VALUE!</v>
          </cell>
          <cell r="F4859">
            <v>0</v>
          </cell>
        </row>
        <row r="4860">
          <cell r="A4860" t="str">
            <v>RSPVC4CB</v>
          </cell>
          <cell r="B4860">
            <v>-1.5425916463343988E-5</v>
          </cell>
          <cell r="C4860">
            <v>0</v>
          </cell>
          <cell r="D4860" t="e">
            <v>#VALUE!</v>
          </cell>
          <cell r="E4860" t="e">
            <v>#VALUE!</v>
          </cell>
          <cell r="F4860">
            <v>0</v>
          </cell>
        </row>
        <row r="4861">
          <cell r="A4861" t="str">
            <v>RSPVC4BB</v>
          </cell>
          <cell r="B4861">
            <v>1.9260936396801287E-5</v>
          </cell>
          <cell r="C4861">
            <v>0</v>
          </cell>
          <cell r="D4861" t="e">
            <v>#VALUE!</v>
          </cell>
          <cell r="E4861" t="e">
            <v>#VALUE!</v>
          </cell>
          <cell r="F4861">
            <v>0</v>
          </cell>
        </row>
        <row r="4862">
          <cell r="A4862" t="str">
            <v>RSPVCCCB</v>
          </cell>
          <cell r="B4862">
            <v>4.477189936115381E-4</v>
          </cell>
          <cell r="C4862">
            <v>0</v>
          </cell>
          <cell r="D4862" t="e">
            <v>#VALUE!</v>
          </cell>
          <cell r="E4862" t="e">
            <v>#VALUE!</v>
          </cell>
          <cell r="F4862">
            <v>0</v>
          </cell>
        </row>
        <row r="4863">
          <cell r="A4863" t="str">
            <v>RSPVHDSB</v>
          </cell>
          <cell r="B4863">
            <v>0</v>
          </cell>
          <cell r="C4863">
            <v>0</v>
          </cell>
          <cell r="D4863" t="e">
            <v>#VALUE!</v>
          </cell>
          <cell r="E4863" t="e">
            <v>#VALUE!</v>
          </cell>
          <cell r="F4863">
            <v>0</v>
          </cell>
        </row>
        <row r="4864">
          <cell r="A4864" t="str">
            <v>RSPVHMXB</v>
          </cell>
          <cell r="B4864">
            <v>-1.1394311656397194E-4</v>
          </cell>
          <cell r="C4864">
            <v>0</v>
          </cell>
          <cell r="D4864" t="e">
            <v>#VALUE!</v>
          </cell>
          <cell r="E4864" t="e">
            <v>#VALUE!</v>
          </cell>
          <cell r="F4864">
            <v>0</v>
          </cell>
        </row>
        <row r="4865">
          <cell r="A4865" t="str">
            <v>RSPVFOIB</v>
          </cell>
          <cell r="B4865">
            <v>-6.2725096488489501E-5</v>
          </cell>
          <cell r="C4865">
            <v>0</v>
          </cell>
          <cell r="D4865" t="e">
            <v>#VALUE!</v>
          </cell>
          <cell r="E4865" t="e">
            <v>#VALUE!</v>
          </cell>
          <cell r="F4865">
            <v>0</v>
          </cell>
        </row>
        <row r="4866">
          <cell r="A4866" t="str">
            <v>RSPVCCKB</v>
          </cell>
          <cell r="B4866">
            <v>4.477189936115381E-4</v>
          </cell>
          <cell r="C4866">
            <v>0</v>
          </cell>
          <cell r="D4866" t="e">
            <v>#VALUE!</v>
          </cell>
          <cell r="E4866" t="e">
            <v>#VALUE!</v>
          </cell>
          <cell r="F4866">
            <v>0</v>
          </cell>
        </row>
        <row r="4867">
          <cell r="A4867" t="str">
            <v>RSPVCCQB</v>
          </cell>
          <cell r="B4867">
            <v>4.477189936115381E-4</v>
          </cell>
          <cell r="C4867">
            <v>0</v>
          </cell>
          <cell r="D4867" t="e">
            <v>#VALUE!</v>
          </cell>
          <cell r="E4867" t="e">
            <v>#VALUE!</v>
          </cell>
          <cell r="F4867">
            <v>0</v>
          </cell>
        </row>
        <row r="4868">
          <cell r="A4868" t="str">
            <v>RSPVCP2B</v>
          </cell>
          <cell r="B4868">
            <v>1.6575699350116886E-5</v>
          </cell>
          <cell r="C4868">
            <v>0</v>
          </cell>
          <cell r="D4868" t="e">
            <v>#VALUE!</v>
          </cell>
          <cell r="E4868" t="e">
            <v>#VALUE!</v>
          </cell>
          <cell r="F4868">
            <v>0</v>
          </cell>
        </row>
        <row r="4869">
          <cell r="A4869" t="str">
            <v>RSPVCW2B</v>
          </cell>
          <cell r="B4869">
            <v>-1.9350585676027997E-4</v>
          </cell>
          <cell r="C4869">
            <v>0</v>
          </cell>
          <cell r="D4869" t="e">
            <v>#VALUE!</v>
          </cell>
          <cell r="E4869" t="e">
            <v>#VALUE!</v>
          </cell>
          <cell r="F4869">
            <v>0</v>
          </cell>
        </row>
        <row r="4870">
          <cell r="A4870" t="str">
            <v>RSPVCX2B</v>
          </cell>
          <cell r="B4870">
            <v>-1.9350585676027997E-4</v>
          </cell>
          <cell r="C4870">
            <v>0</v>
          </cell>
          <cell r="D4870" t="e">
            <v>#VALUE!</v>
          </cell>
          <cell r="E4870" t="e">
            <v>#VALUE!</v>
          </cell>
          <cell r="F4870">
            <v>0</v>
          </cell>
        </row>
        <row r="4871">
          <cell r="A4871" t="str">
            <v>RSPVCY2B</v>
          </cell>
          <cell r="B4871">
            <v>-1.9350585676027997E-4</v>
          </cell>
          <cell r="C4871">
            <v>0</v>
          </cell>
          <cell r="D4871" t="e">
            <v>#VALUE!</v>
          </cell>
          <cell r="E4871" t="e">
            <v>#VALUE!</v>
          </cell>
          <cell r="F4871">
            <v>0</v>
          </cell>
        </row>
        <row r="4872">
          <cell r="A4872" t="str">
            <v>RSPVCZ2B</v>
          </cell>
          <cell r="B4872">
            <v>-1.9350585676027997E-4</v>
          </cell>
          <cell r="C4872">
            <v>0</v>
          </cell>
          <cell r="D4872" t="e">
            <v>#VALUE!</v>
          </cell>
          <cell r="E4872" t="e">
            <v>#VALUE!</v>
          </cell>
          <cell r="F4872">
            <v>0</v>
          </cell>
        </row>
        <row r="4873">
          <cell r="A4873" t="str">
            <v>RSPVDCXB</v>
          </cell>
          <cell r="B4873">
            <v>7.6543413567490724E-4</v>
          </cell>
          <cell r="C4873">
            <v>0</v>
          </cell>
          <cell r="D4873" t="e">
            <v>#VALUE!</v>
          </cell>
          <cell r="E4873" t="e">
            <v>#VALUE!</v>
          </cell>
          <cell r="F4873">
            <v>0</v>
          </cell>
        </row>
        <row r="4874">
          <cell r="A4874" t="str">
            <v>RSPVFC2B</v>
          </cell>
          <cell r="B4874">
            <v>-1.9350585676027997E-4</v>
          </cell>
          <cell r="C4874">
            <v>0</v>
          </cell>
          <cell r="D4874" t="e">
            <v>#VALUE!</v>
          </cell>
          <cell r="E4874" t="e">
            <v>#VALUE!</v>
          </cell>
          <cell r="F4874">
            <v>0</v>
          </cell>
        </row>
        <row r="4875">
          <cell r="A4875" t="str">
            <v>RSPVGLXB</v>
          </cell>
          <cell r="B4875">
            <v>2.4216409058195271E-6</v>
          </cell>
          <cell r="C4875">
            <v>0</v>
          </cell>
          <cell r="D4875" t="e">
            <v>#VALUE!</v>
          </cell>
          <cell r="E4875" t="e">
            <v>#VALUE!</v>
          </cell>
          <cell r="F4875">
            <v>0</v>
          </cell>
        </row>
        <row r="4876">
          <cell r="A4876" t="str">
            <v>RSPVKJPB</v>
          </cell>
          <cell r="B4876">
            <v>-1.0376546021801266E-4</v>
          </cell>
          <cell r="C4876">
            <v>0</v>
          </cell>
          <cell r="D4876" t="e">
            <v>#VALUE!</v>
          </cell>
          <cell r="E4876" t="e">
            <v>#VALUE!</v>
          </cell>
          <cell r="F4876">
            <v>0</v>
          </cell>
        </row>
        <row r="4877">
          <cell r="A4877" t="str">
            <v>RSPVHTFB</v>
          </cell>
          <cell r="B4877">
            <v>9.9639247701031303E-5</v>
          </cell>
          <cell r="C4877">
            <v>0</v>
          </cell>
          <cell r="D4877" t="e">
            <v>#VALUE!</v>
          </cell>
          <cell r="E4877" t="e">
            <v>#VALUE!</v>
          </cell>
          <cell r="F4877">
            <v>0</v>
          </cell>
        </row>
        <row r="4878">
          <cell r="A4878" t="str">
            <v>RSPVHTZB</v>
          </cell>
          <cell r="B4878">
            <v>9.9639247701031303E-5</v>
          </cell>
          <cell r="C4878">
            <v>0</v>
          </cell>
          <cell r="D4878" t="e">
            <v>#VALUE!</v>
          </cell>
          <cell r="E4878" t="e">
            <v>#VALUE!</v>
          </cell>
          <cell r="F4878">
            <v>0</v>
          </cell>
        </row>
        <row r="4879">
          <cell r="A4879" t="str">
            <v>RSPVLCTB</v>
          </cell>
          <cell r="B4879">
            <v>-3.971192803973817E-5</v>
          </cell>
          <cell r="C4879">
            <v>0</v>
          </cell>
          <cell r="D4879" t="e">
            <v>#VALUE!</v>
          </cell>
          <cell r="E4879" t="e">
            <v>#VALUE!</v>
          </cell>
          <cell r="F4879">
            <v>0</v>
          </cell>
        </row>
        <row r="4880">
          <cell r="A4880" t="str">
            <v>RSPVLG2B</v>
          </cell>
          <cell r="B4880">
            <v>5.2487306904417706E-5</v>
          </cell>
          <cell r="C4880">
            <v>0</v>
          </cell>
          <cell r="D4880" t="e">
            <v>#VALUE!</v>
          </cell>
          <cell r="E4880" t="e">
            <v>#VALUE!</v>
          </cell>
          <cell r="F4880">
            <v>0</v>
          </cell>
        </row>
        <row r="4881">
          <cell r="A4881" t="str">
            <v>RSPVLG3B</v>
          </cell>
          <cell r="B4881">
            <v>-5.2331715919971842E-5</v>
          </cell>
          <cell r="C4881">
            <v>0</v>
          </cell>
          <cell r="D4881" t="e">
            <v>#VALUE!</v>
          </cell>
          <cell r="E4881" t="e">
            <v>#VALUE!</v>
          </cell>
          <cell r="F4881">
            <v>0</v>
          </cell>
        </row>
        <row r="4882">
          <cell r="A4882" t="str">
            <v>RSPVLGCB</v>
          </cell>
          <cell r="B4882">
            <v>8.6669410277502489E-5</v>
          </cell>
          <cell r="C4882">
            <v>0</v>
          </cell>
          <cell r="D4882" t="e">
            <v>#VALUE!</v>
          </cell>
          <cell r="E4882" t="e">
            <v>#VALUE!</v>
          </cell>
          <cell r="F4882">
            <v>0</v>
          </cell>
        </row>
        <row r="4883">
          <cell r="A4883" t="str">
            <v>RSPVLK2B</v>
          </cell>
          <cell r="B4883">
            <v>7.1261418967990983E-6</v>
          </cell>
          <cell r="C4883">
            <v>0</v>
          </cell>
          <cell r="D4883" t="e">
            <v>#VALUE!</v>
          </cell>
          <cell r="E4883" t="e">
            <v>#VALUE!</v>
          </cell>
          <cell r="F4883">
            <v>0</v>
          </cell>
        </row>
        <row r="4884">
          <cell r="A4884" t="str">
            <v>RSPVLK3B</v>
          </cell>
          <cell r="B4884">
            <v>1.8795249546712189E-4</v>
          </cell>
          <cell r="C4884">
            <v>0</v>
          </cell>
          <cell r="D4884" t="e">
            <v>#VALUE!</v>
          </cell>
          <cell r="E4884" t="e">
            <v>#VALUE!</v>
          </cell>
          <cell r="F4884">
            <v>0</v>
          </cell>
        </row>
        <row r="4885">
          <cell r="A4885" t="str">
            <v>RSPVLLLB</v>
          </cell>
          <cell r="B4885">
            <v>-4.2498262426879718E-5</v>
          </cell>
          <cell r="C4885">
            <v>0</v>
          </cell>
          <cell r="D4885" t="e">
            <v>#VALUE!</v>
          </cell>
          <cell r="E4885" t="e">
            <v>#VALUE!</v>
          </cell>
          <cell r="F4885">
            <v>0</v>
          </cell>
        </row>
        <row r="4886">
          <cell r="A4886" t="str">
            <v>RSPVLN2B</v>
          </cell>
          <cell r="B4886">
            <v>-5.0864559237459319E-5</v>
          </cell>
          <cell r="C4886">
            <v>0</v>
          </cell>
          <cell r="D4886" t="e">
            <v>#VALUE!</v>
          </cell>
          <cell r="E4886" t="e">
            <v>#VALUE!</v>
          </cell>
          <cell r="F4886">
            <v>0</v>
          </cell>
        </row>
        <row r="4887">
          <cell r="A4887" t="str">
            <v>RSPVLT2B</v>
          </cell>
          <cell r="B4887">
            <v>1.8586076801088209E-4</v>
          </cell>
          <cell r="C4887">
            <v>0</v>
          </cell>
          <cell r="D4887" t="e">
            <v>#VALUE!</v>
          </cell>
          <cell r="E4887" t="e">
            <v>#VALUE!</v>
          </cell>
          <cell r="F4887">
            <v>0</v>
          </cell>
        </row>
        <row r="4888">
          <cell r="A4888" t="str">
            <v>RSPVLN3B</v>
          </cell>
          <cell r="B4888">
            <v>6.7344296118404006E-5</v>
          </cell>
          <cell r="C4888">
            <v>0</v>
          </cell>
          <cell r="D4888" t="e">
            <v>#VALUE!</v>
          </cell>
          <cell r="E4888" t="e">
            <v>#VALUE!</v>
          </cell>
          <cell r="F4888">
            <v>0</v>
          </cell>
        </row>
        <row r="4889">
          <cell r="A4889" t="str">
            <v>RSPVLT3B</v>
          </cell>
          <cell r="B4889">
            <v>6.7363157274348234E-5</v>
          </cell>
          <cell r="C4889">
            <v>0</v>
          </cell>
          <cell r="D4889" t="e">
            <v>#VALUE!</v>
          </cell>
          <cell r="E4889" t="e">
            <v>#VALUE!</v>
          </cell>
          <cell r="F4889">
            <v>0</v>
          </cell>
        </row>
        <row r="4890">
          <cell r="A4890" t="str">
            <v>RSPVLVAB</v>
          </cell>
          <cell r="B4890">
            <v>-3.605749451695648E-4</v>
          </cell>
          <cell r="C4890">
            <v>0</v>
          </cell>
          <cell r="D4890" t="e">
            <v>#VALUE!</v>
          </cell>
          <cell r="E4890" t="e">
            <v>#VALUE!</v>
          </cell>
          <cell r="F4890">
            <v>0</v>
          </cell>
        </row>
        <row r="4891">
          <cell r="A4891" t="str">
            <v>RSPVLV2B</v>
          </cell>
          <cell r="B4891">
            <v>-1.6060873243588179E-6</v>
          </cell>
          <cell r="C4891">
            <v>0</v>
          </cell>
          <cell r="D4891" t="e">
            <v>#VALUE!</v>
          </cell>
          <cell r="E4891" t="e">
            <v>#VALUE!</v>
          </cell>
          <cell r="F4891">
            <v>0</v>
          </cell>
        </row>
        <row r="4892">
          <cell r="A4892" t="str">
            <v>RSPVLV3B</v>
          </cell>
          <cell r="B4892">
            <v>8.1735104496234174E-7</v>
          </cell>
          <cell r="C4892">
            <v>0</v>
          </cell>
          <cell r="D4892" t="e">
            <v>#VALUE!</v>
          </cell>
          <cell r="E4892" t="e">
            <v>#VALUE!</v>
          </cell>
          <cell r="F4892">
            <v>0</v>
          </cell>
        </row>
        <row r="4893">
          <cell r="A4893" t="str">
            <v>RSPVLXFB</v>
          </cell>
          <cell r="B4893">
            <v>-3.9250985174065086E-4</v>
          </cell>
          <cell r="C4893">
            <v>0</v>
          </cell>
          <cell r="D4893" t="e">
            <v>#VALUE!</v>
          </cell>
          <cell r="E4893" t="e">
            <v>#VALUE!</v>
          </cell>
          <cell r="F4893">
            <v>0</v>
          </cell>
        </row>
        <row r="4894">
          <cell r="A4894" t="str">
            <v>RSPVMN3B</v>
          </cell>
          <cell r="B4894">
            <v>-5.6372788891815007E-5</v>
          </cell>
          <cell r="C4894">
            <v>0</v>
          </cell>
          <cell r="D4894" t="e">
            <v>#VALUE!</v>
          </cell>
          <cell r="E4894" t="e">
            <v>#VALUE!</v>
          </cell>
          <cell r="F4894">
            <v>0</v>
          </cell>
        </row>
        <row r="4895">
          <cell r="A4895" t="str">
            <v>RSPVMN2B</v>
          </cell>
          <cell r="B4895">
            <v>1.6918425356143167E-5</v>
          </cell>
          <cell r="C4895">
            <v>0</v>
          </cell>
          <cell r="D4895" t="e">
            <v>#VALUE!</v>
          </cell>
          <cell r="E4895" t="e">
            <v>#VALUE!</v>
          </cell>
          <cell r="F4895">
            <v>0</v>
          </cell>
        </row>
        <row r="4896">
          <cell r="A4896" t="str">
            <v>RSPVNLCB</v>
          </cell>
          <cell r="B4896">
            <v>-3.6383598711686877E-5</v>
          </cell>
          <cell r="C4896">
            <v>0</v>
          </cell>
          <cell r="D4896" t="e">
            <v>#VALUE!</v>
          </cell>
          <cell r="E4896" t="e">
            <v>#VALUE!</v>
          </cell>
          <cell r="F4896">
            <v>0</v>
          </cell>
        </row>
        <row r="4897">
          <cell r="A4897" t="str">
            <v>RSPVNPRB</v>
          </cell>
          <cell r="B4897">
            <v>6.4298066466868123E-4</v>
          </cell>
          <cell r="C4897">
            <v>0</v>
          </cell>
          <cell r="D4897" t="e">
            <v>#VALUE!</v>
          </cell>
          <cell r="E4897" t="e">
            <v>#VALUE!</v>
          </cell>
          <cell r="F4897">
            <v>0</v>
          </cell>
        </row>
        <row r="4898">
          <cell r="A4898" t="str">
            <v>RSPVNPZB</v>
          </cell>
          <cell r="B4898">
            <v>7.8942742651609118E-5</v>
          </cell>
          <cell r="C4898">
            <v>0</v>
          </cell>
          <cell r="D4898" t="e">
            <v>#VALUE!</v>
          </cell>
          <cell r="E4898" t="e">
            <v>#VALUE!</v>
          </cell>
          <cell r="F4898">
            <v>0</v>
          </cell>
        </row>
        <row r="4899">
          <cell r="A4899" t="str">
            <v>RSPVPG2B</v>
          </cell>
          <cell r="B4899">
            <v>7.9096469881446797E-5</v>
          </cell>
          <cell r="C4899">
            <v>0</v>
          </cell>
          <cell r="D4899" t="e">
            <v>#VALUE!</v>
          </cell>
          <cell r="E4899" t="e">
            <v>#VALUE!</v>
          </cell>
          <cell r="F4899">
            <v>0</v>
          </cell>
        </row>
        <row r="4900">
          <cell r="A4900" t="str">
            <v>RSPVPG3B</v>
          </cell>
          <cell r="B4900">
            <v>-1.2781985744418121E-5</v>
          </cell>
          <cell r="C4900">
            <v>0</v>
          </cell>
          <cell r="D4900" t="e">
            <v>#VALUE!</v>
          </cell>
          <cell r="E4900" t="e">
            <v>#VALUE!</v>
          </cell>
          <cell r="F4900">
            <v>0</v>
          </cell>
        </row>
        <row r="4901">
          <cell r="A4901" t="str">
            <v>RSPVPGCB</v>
          </cell>
          <cell r="B4901">
            <v>3.3528441060908545E-4</v>
          </cell>
          <cell r="C4901">
            <v>0</v>
          </cell>
          <cell r="D4901" t="e">
            <v>#VALUE!</v>
          </cell>
          <cell r="E4901" t="e">
            <v>#VALUE!</v>
          </cell>
          <cell r="F4901">
            <v>0</v>
          </cell>
        </row>
        <row r="4902">
          <cell r="A4902" t="str">
            <v>RSPVPN2B</v>
          </cell>
          <cell r="B4902">
            <v>1.9429969630524184E-4</v>
          </cell>
          <cell r="C4902">
            <v>0</v>
          </cell>
          <cell r="D4902" t="e">
            <v>#VALUE!</v>
          </cell>
          <cell r="E4902" t="e">
            <v>#VALUE!</v>
          </cell>
          <cell r="F4902">
            <v>0</v>
          </cell>
        </row>
        <row r="4903">
          <cell r="A4903" t="str">
            <v>RSPVPT2B</v>
          </cell>
          <cell r="B4903">
            <v>5.8657480838531864E-5</v>
          </cell>
          <cell r="C4903">
            <v>0</v>
          </cell>
          <cell r="D4903" t="e">
            <v>#VALUE!</v>
          </cell>
          <cell r="E4903" t="e">
            <v>#VALUE!</v>
          </cell>
          <cell r="F4903">
            <v>0</v>
          </cell>
        </row>
        <row r="4904">
          <cell r="A4904" t="str">
            <v>RSPVPN3B</v>
          </cell>
          <cell r="B4904">
            <v>-1.7132232204272591E-4</v>
          </cell>
          <cell r="C4904">
            <v>0</v>
          </cell>
          <cell r="D4904" t="e">
            <v>#VALUE!</v>
          </cell>
          <cell r="E4904" t="e">
            <v>#VALUE!</v>
          </cell>
          <cell r="F4904">
            <v>0</v>
          </cell>
        </row>
        <row r="4905">
          <cell r="A4905" t="str">
            <v>RSPVPROB</v>
          </cell>
          <cell r="B4905">
            <v>0</v>
          </cell>
          <cell r="C4905">
            <v>0</v>
          </cell>
          <cell r="D4905" t="e">
            <v>#VALUE!</v>
          </cell>
          <cell r="E4905" t="e">
            <v>#VALUE!</v>
          </cell>
          <cell r="F4905">
            <v>0</v>
          </cell>
        </row>
        <row r="4906">
          <cell r="A4906" t="str">
            <v>RSPVPT3B</v>
          </cell>
          <cell r="B4906">
            <v>4.0431852450064855E-5</v>
          </cell>
          <cell r="C4906">
            <v>0</v>
          </cell>
          <cell r="D4906" t="e">
            <v>#VALUE!</v>
          </cell>
          <cell r="E4906" t="e">
            <v>#VALUE!</v>
          </cell>
          <cell r="F4906">
            <v>0</v>
          </cell>
        </row>
        <row r="4907">
          <cell r="A4907" t="str">
            <v>RSPVPRAB</v>
          </cell>
          <cell r="B4907">
            <v>0</v>
          </cell>
          <cell r="C4907">
            <v>0</v>
          </cell>
          <cell r="D4907" t="e">
            <v>#VALUE!</v>
          </cell>
          <cell r="E4907" t="e">
            <v>#VALUE!</v>
          </cell>
          <cell r="F4907">
            <v>0</v>
          </cell>
        </row>
        <row r="4908">
          <cell r="A4908" t="str">
            <v>RSPVPR2B</v>
          </cell>
          <cell r="B4908">
            <v>0</v>
          </cell>
          <cell r="C4908">
            <v>0</v>
          </cell>
          <cell r="D4908" t="e">
            <v>#VALUE!</v>
          </cell>
          <cell r="E4908" t="e">
            <v>#VALUE!</v>
          </cell>
          <cell r="F4908">
            <v>0</v>
          </cell>
        </row>
        <row r="4909">
          <cell r="A4909" t="str">
            <v>RSPVPR3B</v>
          </cell>
          <cell r="B4909">
            <v>0</v>
          </cell>
          <cell r="C4909">
            <v>0</v>
          </cell>
          <cell r="D4909" t="e">
            <v>#VALUE!</v>
          </cell>
          <cell r="E4909" t="e">
            <v>#VALUE!</v>
          </cell>
          <cell r="F4909">
            <v>0</v>
          </cell>
        </row>
        <row r="4910">
          <cell r="A4910" t="str">
            <v>RSPVPVAB</v>
          </cell>
          <cell r="B4910">
            <v>2.2578878050721059E-5</v>
          </cell>
          <cell r="C4910">
            <v>0</v>
          </cell>
          <cell r="D4910" t="e">
            <v>#VALUE!</v>
          </cell>
          <cell r="E4910" t="e">
            <v>#VALUE!</v>
          </cell>
          <cell r="F4910">
            <v>0</v>
          </cell>
        </row>
        <row r="4911">
          <cell r="A4911" t="str">
            <v>RSPVPV2B</v>
          </cell>
          <cell r="B4911">
            <v>-1.1922351544953553E-6</v>
          </cell>
          <cell r="C4911">
            <v>0</v>
          </cell>
          <cell r="D4911" t="e">
            <v>#VALUE!</v>
          </cell>
          <cell r="E4911" t="e">
            <v>#VALUE!</v>
          </cell>
          <cell r="F4911">
            <v>0</v>
          </cell>
        </row>
        <row r="4912">
          <cell r="A4912" t="str">
            <v>RSPVPV3B</v>
          </cell>
          <cell r="B4912">
            <v>-2.7883695168132004E-4</v>
          </cell>
          <cell r="C4912">
            <v>0</v>
          </cell>
          <cell r="D4912" t="e">
            <v>#VALUE!</v>
          </cell>
          <cell r="E4912" t="e">
            <v>#VALUE!</v>
          </cell>
          <cell r="F4912">
            <v>0</v>
          </cell>
        </row>
        <row r="4913">
          <cell r="A4913" t="str">
            <v>RSPVPX2B</v>
          </cell>
          <cell r="B4913">
            <v>0</v>
          </cell>
          <cell r="C4913">
            <v>0</v>
          </cell>
          <cell r="D4913" t="e">
            <v>#VALUE!</v>
          </cell>
          <cell r="E4913" t="e">
            <v>#VALUE!</v>
          </cell>
          <cell r="F4913">
            <v>0</v>
          </cell>
        </row>
        <row r="4914">
          <cell r="A4914" t="str">
            <v>RSPVPX3B</v>
          </cell>
          <cell r="B4914">
            <v>0</v>
          </cell>
          <cell r="C4914">
            <v>0</v>
          </cell>
          <cell r="D4914" t="e">
            <v>#VALUE!</v>
          </cell>
          <cell r="E4914" t="e">
            <v>#VALUE!</v>
          </cell>
          <cell r="F4914">
            <v>0</v>
          </cell>
        </row>
        <row r="4915">
          <cell r="A4915" t="str">
            <v>RSPVRFFB</v>
          </cell>
          <cell r="B4915">
            <v>1.4956168486680502E-4</v>
          </cell>
          <cell r="C4915">
            <v>0</v>
          </cell>
          <cell r="D4915" t="e">
            <v>#VALUE!</v>
          </cell>
          <cell r="E4915" t="e">
            <v>#VALUE!</v>
          </cell>
          <cell r="F4915">
            <v>0</v>
          </cell>
        </row>
        <row r="4916">
          <cell r="A4916" t="str">
            <v>RSPVSK2B</v>
          </cell>
          <cell r="B4916">
            <v>1.0193951281620037E-4</v>
          </cell>
          <cell r="C4916">
            <v>0</v>
          </cell>
          <cell r="D4916" t="e">
            <v>#VALUE!</v>
          </cell>
          <cell r="E4916" t="e">
            <v>#VALUE!</v>
          </cell>
          <cell r="F4916">
            <v>0</v>
          </cell>
        </row>
        <row r="4917">
          <cell r="A4917" t="str">
            <v>RSPVSK3B</v>
          </cell>
          <cell r="B4917">
            <v>-9.2500720806228478E-5</v>
          </cell>
          <cell r="C4917">
            <v>0</v>
          </cell>
          <cell r="D4917" t="e">
            <v>#VALUE!</v>
          </cell>
          <cell r="E4917" t="e">
            <v>#VALUE!</v>
          </cell>
          <cell r="F4917">
            <v>0</v>
          </cell>
        </row>
        <row r="4918">
          <cell r="A4918" t="str">
            <v>RSPVSG2B</v>
          </cell>
          <cell r="B4918">
            <v>1.1967167570032435E-4</v>
          </cell>
          <cell r="C4918">
            <v>0</v>
          </cell>
          <cell r="D4918" t="e">
            <v>#VALUE!</v>
          </cell>
          <cell r="E4918" t="e">
            <v>#VALUE!</v>
          </cell>
          <cell r="F4918">
            <v>0</v>
          </cell>
        </row>
        <row r="4919">
          <cell r="A4919" t="str">
            <v>RSPVSG3B</v>
          </cell>
          <cell r="B4919">
            <v>-1.4203167456674248E-4</v>
          </cell>
          <cell r="C4919">
            <v>0</v>
          </cell>
          <cell r="D4919" t="e">
            <v>#VALUE!</v>
          </cell>
          <cell r="E4919" t="e">
            <v>#VALUE!</v>
          </cell>
          <cell r="F4919">
            <v>0</v>
          </cell>
        </row>
        <row r="4920">
          <cell r="A4920" t="str">
            <v>RSPVSV2B</v>
          </cell>
          <cell r="B4920">
            <v>-2.838888657644107E-7</v>
          </cell>
          <cell r="C4920">
            <v>0</v>
          </cell>
          <cell r="D4920" t="e">
            <v>#VALUE!</v>
          </cell>
          <cell r="E4920" t="e">
            <v>#VALUE!</v>
          </cell>
          <cell r="F4920">
            <v>0</v>
          </cell>
        </row>
        <row r="4921">
          <cell r="A4921" t="str">
            <v>RSPVSV3B</v>
          </cell>
          <cell r="B4921">
            <v>-7.2010317605467937E-5</v>
          </cell>
          <cell r="C4921">
            <v>0</v>
          </cell>
          <cell r="D4921" t="e">
            <v>#VALUE!</v>
          </cell>
          <cell r="E4921" t="e">
            <v>#VALUE!</v>
          </cell>
          <cell r="F4921">
            <v>0</v>
          </cell>
        </row>
        <row r="4922">
          <cell r="A4922" t="str">
            <v>RSPVSW2B</v>
          </cell>
          <cell r="B4922">
            <v>5.564822200315961E-7</v>
          </cell>
          <cell r="C4922">
            <v>0</v>
          </cell>
          <cell r="D4922" t="e">
            <v>#VALUE!</v>
          </cell>
          <cell r="E4922" t="e">
            <v>#VALUE!</v>
          </cell>
          <cell r="F4922">
            <v>0</v>
          </cell>
        </row>
        <row r="4923">
          <cell r="A4923" t="str">
            <v>RSPVSW3B</v>
          </cell>
          <cell r="B4923">
            <v>-3.8319354996007224E-7</v>
          </cell>
          <cell r="C4923">
            <v>0</v>
          </cell>
          <cell r="D4923" t="e">
            <v>#VALUE!</v>
          </cell>
          <cell r="E4923" t="e">
            <v>#VALUE!</v>
          </cell>
          <cell r="F4923">
            <v>0</v>
          </cell>
        </row>
        <row r="4924">
          <cell r="A4924" t="str">
            <v>RSPVSX2B</v>
          </cell>
          <cell r="B4924">
            <v>-4.049314737766172E-7</v>
          </cell>
          <cell r="C4924">
            <v>0</v>
          </cell>
          <cell r="D4924" t="e">
            <v>#VALUE!</v>
          </cell>
          <cell r="E4924" t="e">
            <v>#VALUE!</v>
          </cell>
          <cell r="F4924">
            <v>0</v>
          </cell>
        </row>
        <row r="4925">
          <cell r="A4925" t="str">
            <v>RSPVSX3B</v>
          </cell>
          <cell r="B4925">
            <v>-7.4440974442293185E-5</v>
          </cell>
          <cell r="C4925">
            <v>0</v>
          </cell>
          <cell r="D4925" t="e">
            <v>#VALUE!</v>
          </cell>
          <cell r="E4925" t="e">
            <v>#VALUE!</v>
          </cell>
          <cell r="F4925">
            <v>0</v>
          </cell>
        </row>
        <row r="4926">
          <cell r="A4926" t="str">
            <v>RSPVU1FB</v>
          </cell>
          <cell r="B4926">
            <v>8.6079949266592212E-5</v>
          </cell>
          <cell r="C4926">
            <v>0</v>
          </cell>
          <cell r="D4926" t="e">
            <v>#VALUE!</v>
          </cell>
          <cell r="E4926" t="e">
            <v>#VALUE!</v>
          </cell>
          <cell r="F4926">
            <v>0</v>
          </cell>
        </row>
        <row r="4927">
          <cell r="A4927" t="str">
            <v>RSPVU2FB</v>
          </cell>
          <cell r="B4927">
            <v>-5.0026715268346652E-5</v>
          </cell>
          <cell r="C4927">
            <v>0</v>
          </cell>
          <cell r="D4927" t="e">
            <v>#VALUE!</v>
          </cell>
          <cell r="E4927" t="e">
            <v>#VALUE!</v>
          </cell>
          <cell r="F4927">
            <v>0</v>
          </cell>
        </row>
        <row r="4928">
          <cell r="A4928" t="str">
            <v>RSPVVRAB</v>
          </cell>
          <cell r="B4928">
            <v>-9.4872077189791853E-4</v>
          </cell>
          <cell r="C4928">
            <v>0</v>
          </cell>
          <cell r="D4928" t="e">
            <v>#VALUE!</v>
          </cell>
          <cell r="E4928" t="e">
            <v>#VALUE!</v>
          </cell>
          <cell r="F4928">
            <v>0</v>
          </cell>
        </row>
        <row r="4929">
          <cell r="A4929" t="str">
            <v>RSPVVR2B</v>
          </cell>
          <cell r="B4929">
            <v>3.4323159022889044E-4</v>
          </cell>
          <cell r="C4929">
            <v>0</v>
          </cell>
          <cell r="D4929" t="e">
            <v>#VALUE!</v>
          </cell>
          <cell r="E4929" t="e">
            <v>#VALUE!</v>
          </cell>
          <cell r="F4929">
            <v>0</v>
          </cell>
        </row>
        <row r="4930">
          <cell r="A4930" t="str">
            <v>RSPVVR3B</v>
          </cell>
          <cell r="B4930">
            <v>-4.4239660029695051E-4</v>
          </cell>
          <cell r="C4930">
            <v>0</v>
          </cell>
          <cell r="D4930" t="e">
            <v>#VALUE!</v>
          </cell>
          <cell r="E4930" t="e">
            <v>#VALUE!</v>
          </cell>
          <cell r="F4930">
            <v>0</v>
          </cell>
        </row>
        <row r="4931">
          <cell r="A4931" t="str">
            <v>RSPVMTVB</v>
          </cell>
          <cell r="B4931">
            <v>-9.1884801586835887E-18</v>
          </cell>
          <cell r="C4931">
            <v>0</v>
          </cell>
          <cell r="D4931" t="e">
            <v>#VALUE!</v>
          </cell>
          <cell r="E4931" t="e">
            <v>#VALUE!</v>
          </cell>
          <cell r="F4931">
            <v>0</v>
          </cell>
        </row>
        <row r="4932">
          <cell r="A4932" t="str">
            <v>RSPVALHB</v>
          </cell>
          <cell r="B4932">
            <v>0</v>
          </cell>
          <cell r="C4932">
            <v>0</v>
          </cell>
          <cell r="D4932" t="e">
            <v>#VALUE!</v>
          </cell>
          <cell r="E4932" t="e">
            <v>#VALUE!</v>
          </cell>
          <cell r="F4932">
            <v>0</v>
          </cell>
        </row>
        <row r="4933">
          <cell r="A4933" t="str">
            <v>RSULAR2B</v>
          </cell>
          <cell r="B4933">
            <v>-8.555329141889982E-5</v>
          </cell>
          <cell r="C4933">
            <v>0</v>
          </cell>
          <cell r="D4933" t="e">
            <v>#VALUE!</v>
          </cell>
          <cell r="E4933" t="e">
            <v>#VALUE!</v>
          </cell>
          <cell r="F4933">
            <v>0</v>
          </cell>
        </row>
        <row r="4934">
          <cell r="A4934" t="str">
            <v>RSULAR3B</v>
          </cell>
          <cell r="B4934">
            <v>9.7308770689977952E-5</v>
          </cell>
          <cell r="C4934">
            <v>0</v>
          </cell>
          <cell r="D4934" t="e">
            <v>#VALUE!</v>
          </cell>
          <cell r="E4934" t="e">
            <v>#VALUE!</v>
          </cell>
          <cell r="F4934">
            <v>0</v>
          </cell>
        </row>
        <row r="4935">
          <cell r="A4935" t="str">
            <v>RSULCCCB</v>
          </cell>
          <cell r="B4935">
            <v>-1.2862060328687171E-3</v>
          </cell>
          <cell r="C4935">
            <v>0</v>
          </cell>
          <cell r="D4935" t="e">
            <v>#VALUE!</v>
          </cell>
          <cell r="E4935" t="e">
            <v>#VALUE!</v>
          </cell>
          <cell r="F4935">
            <v>0</v>
          </cell>
        </row>
        <row r="4936">
          <cell r="A4936" t="str">
            <v>RSULCCKB</v>
          </cell>
          <cell r="B4936">
            <v>-1.2862060328687171E-3</v>
          </cell>
          <cell r="C4936">
            <v>0</v>
          </cell>
          <cell r="D4936" t="e">
            <v>#VALUE!</v>
          </cell>
          <cell r="E4936" t="e">
            <v>#VALUE!</v>
          </cell>
          <cell r="F4936">
            <v>0</v>
          </cell>
        </row>
        <row r="4937">
          <cell r="A4937" t="str">
            <v>RSULCCQB</v>
          </cell>
          <cell r="B4937">
            <v>-1.2862060328687171E-3</v>
          </cell>
          <cell r="C4937">
            <v>0</v>
          </cell>
          <cell r="D4937" t="e">
            <v>#VALUE!</v>
          </cell>
          <cell r="E4937" t="e">
            <v>#VALUE!</v>
          </cell>
          <cell r="F4937">
            <v>0</v>
          </cell>
        </row>
        <row r="4938">
          <cell r="A4938" t="str">
            <v>RSULCOKB</v>
          </cell>
          <cell r="B4938">
            <v>0</v>
          </cell>
          <cell r="C4938">
            <v>0</v>
          </cell>
          <cell r="D4938" t="e">
            <v>#VALUE!</v>
          </cell>
          <cell r="E4938" t="e">
            <v>#VALUE!</v>
          </cell>
          <cell r="F4938">
            <v>0</v>
          </cell>
        </row>
        <row r="4939">
          <cell r="A4939" t="str">
            <v>RSULCP2B</v>
          </cell>
          <cell r="B4939">
            <v>-1.3941327824795736E-5</v>
          </cell>
          <cell r="C4939">
            <v>0</v>
          </cell>
          <cell r="D4939" t="e">
            <v>#VALUE!</v>
          </cell>
          <cell r="E4939" t="e">
            <v>#VALUE!</v>
          </cell>
          <cell r="F4939">
            <v>0</v>
          </cell>
        </row>
        <row r="4940">
          <cell r="A4940" t="str">
            <v>RSULCW2B</v>
          </cell>
          <cell r="B4940">
            <v>9.8736686281196461E-4</v>
          </cell>
          <cell r="C4940">
            <v>0</v>
          </cell>
          <cell r="D4940" t="e">
            <v>#VALUE!</v>
          </cell>
          <cell r="E4940" t="e">
            <v>#VALUE!</v>
          </cell>
          <cell r="F4940">
            <v>0</v>
          </cell>
        </row>
        <row r="4941">
          <cell r="A4941" t="str">
            <v>RSULCX2B</v>
          </cell>
          <cell r="B4941">
            <v>9.8736686281196461E-4</v>
          </cell>
          <cell r="C4941">
            <v>0</v>
          </cell>
          <cell r="D4941" t="e">
            <v>#VALUE!</v>
          </cell>
          <cell r="E4941" t="e">
            <v>#VALUE!</v>
          </cell>
          <cell r="F4941">
            <v>0</v>
          </cell>
        </row>
        <row r="4942">
          <cell r="A4942" t="str">
            <v>RSULCY2B</v>
          </cell>
          <cell r="B4942">
            <v>9.8736686281196461E-4</v>
          </cell>
          <cell r="C4942">
            <v>0</v>
          </cell>
          <cell r="D4942" t="e">
            <v>#VALUE!</v>
          </cell>
          <cell r="E4942" t="e">
            <v>#VALUE!</v>
          </cell>
          <cell r="F4942">
            <v>0</v>
          </cell>
        </row>
        <row r="4943">
          <cell r="A4943" t="str">
            <v>RSULCZ2B</v>
          </cell>
          <cell r="B4943">
            <v>9.8736686281196461E-4</v>
          </cell>
          <cell r="C4943">
            <v>0</v>
          </cell>
          <cell r="D4943" t="e">
            <v>#VALUE!</v>
          </cell>
          <cell r="E4943" t="e">
            <v>#VALUE!</v>
          </cell>
          <cell r="F4943">
            <v>0</v>
          </cell>
        </row>
        <row r="4944">
          <cell r="A4944" t="str">
            <v>RSULDCXB</v>
          </cell>
          <cell r="B4944">
            <v>-3.399281858622849E-4</v>
          </cell>
          <cell r="C4944">
            <v>0</v>
          </cell>
          <cell r="D4944" t="e">
            <v>#VALUE!</v>
          </cell>
          <cell r="E4944" t="e">
            <v>#VALUE!</v>
          </cell>
          <cell r="F4944">
            <v>0</v>
          </cell>
        </row>
        <row r="4945">
          <cell r="A4945" t="str">
            <v>RSULFC2B</v>
          </cell>
          <cell r="B4945">
            <v>9.8736686281196461E-4</v>
          </cell>
          <cell r="C4945">
            <v>0</v>
          </cell>
          <cell r="D4945" t="e">
            <v>#VALUE!</v>
          </cell>
          <cell r="E4945" t="e">
            <v>#VALUE!</v>
          </cell>
          <cell r="F4945">
            <v>0</v>
          </cell>
        </row>
        <row r="4946">
          <cell r="A4946" t="str">
            <v>RSULKJPB</v>
          </cell>
          <cell r="B4946">
            <v>1.306494882119794E-5</v>
          </cell>
          <cell r="C4946">
            <v>0</v>
          </cell>
          <cell r="D4946" t="e">
            <v>#VALUE!</v>
          </cell>
          <cell r="E4946" t="e">
            <v>#VALUE!</v>
          </cell>
          <cell r="F4946">
            <v>0</v>
          </cell>
        </row>
        <row r="4947">
          <cell r="A4947" t="str">
            <v>RSULHTFB</v>
          </cell>
          <cell r="B4947">
            <v>-2.1622245676802753E-4</v>
          </cell>
          <cell r="C4947">
            <v>0</v>
          </cell>
          <cell r="D4947" t="e">
            <v>#VALUE!</v>
          </cell>
          <cell r="E4947" t="e">
            <v>#VALUE!</v>
          </cell>
          <cell r="F4947">
            <v>0</v>
          </cell>
        </row>
        <row r="4948">
          <cell r="A4948" t="str">
            <v>RSULHTZB</v>
          </cell>
          <cell r="B4948">
            <v>-2.1622245676802753E-4</v>
          </cell>
          <cell r="C4948">
            <v>0</v>
          </cell>
          <cell r="D4948" t="e">
            <v>#VALUE!</v>
          </cell>
          <cell r="E4948" t="e">
            <v>#VALUE!</v>
          </cell>
          <cell r="F4948">
            <v>0</v>
          </cell>
        </row>
        <row r="4949">
          <cell r="A4949" t="str">
            <v>RSULKKKB</v>
          </cell>
          <cell r="B4949">
            <v>-4.0918532216742838E-4</v>
          </cell>
          <cell r="C4949">
            <v>0</v>
          </cell>
          <cell r="D4949" t="e">
            <v>#VALUE!</v>
          </cell>
          <cell r="E4949" t="e">
            <v>#VALUE!</v>
          </cell>
          <cell r="F4949">
            <v>0</v>
          </cell>
        </row>
        <row r="4950">
          <cell r="A4950" t="str">
            <v>RSULLCTB</v>
          </cell>
          <cell r="B4950">
            <v>4.1867493434923967E-5</v>
          </cell>
          <cell r="C4950">
            <v>0</v>
          </cell>
          <cell r="D4950" t="e">
            <v>#VALUE!</v>
          </cell>
          <cell r="E4950" t="e">
            <v>#VALUE!</v>
          </cell>
          <cell r="F4950">
            <v>0</v>
          </cell>
        </row>
        <row r="4951">
          <cell r="A4951" t="str">
            <v>RSULLG2B</v>
          </cell>
          <cell r="B4951">
            <v>6.2008359635325324E-4</v>
          </cell>
          <cell r="C4951">
            <v>0</v>
          </cell>
          <cell r="D4951" t="e">
            <v>#VALUE!</v>
          </cell>
          <cell r="E4951" t="e">
            <v>#VALUE!</v>
          </cell>
          <cell r="F4951">
            <v>0</v>
          </cell>
        </row>
        <row r="4952">
          <cell r="A4952" t="str">
            <v>RSULLG3B</v>
          </cell>
          <cell r="B4952">
            <v>-3.6848274271077668E-5</v>
          </cell>
          <cell r="C4952">
            <v>0</v>
          </cell>
          <cell r="D4952" t="e">
            <v>#VALUE!</v>
          </cell>
          <cell r="E4952" t="e">
            <v>#VALUE!</v>
          </cell>
          <cell r="F4952">
            <v>0</v>
          </cell>
        </row>
        <row r="4953">
          <cell r="A4953" t="str">
            <v>RSULLGCB</v>
          </cell>
          <cell r="B4953">
            <v>-9.9848774668428898E-7</v>
          </cell>
          <cell r="C4953">
            <v>0</v>
          </cell>
          <cell r="D4953" t="e">
            <v>#VALUE!</v>
          </cell>
          <cell r="E4953" t="e">
            <v>#VALUE!</v>
          </cell>
          <cell r="F4953">
            <v>0</v>
          </cell>
        </row>
        <row r="4954">
          <cell r="A4954" t="str">
            <v>RSULLK2B</v>
          </cell>
          <cell r="B4954">
            <v>-5.8995249098300784E-5</v>
          </cell>
          <cell r="C4954">
            <v>0</v>
          </cell>
          <cell r="D4954" t="e">
            <v>#VALUE!</v>
          </cell>
          <cell r="E4954" t="e">
            <v>#VALUE!</v>
          </cell>
          <cell r="F4954">
            <v>0</v>
          </cell>
        </row>
        <row r="4955">
          <cell r="A4955" t="str">
            <v>RSULLK3B</v>
          </cell>
          <cell r="B4955">
            <v>1.6217052416628617E-4</v>
          </cell>
          <cell r="C4955">
            <v>0</v>
          </cell>
          <cell r="D4955" t="e">
            <v>#VALUE!</v>
          </cell>
          <cell r="E4955" t="e">
            <v>#VALUE!</v>
          </cell>
          <cell r="F4955">
            <v>0</v>
          </cell>
        </row>
        <row r="4956">
          <cell r="A4956" t="str">
            <v>RSULLLLB</v>
          </cell>
          <cell r="B4956">
            <v>4.1872452966843364E-5</v>
          </cell>
          <cell r="C4956">
            <v>0</v>
          </cell>
          <cell r="D4956" t="e">
            <v>#VALUE!</v>
          </cell>
          <cell r="E4956" t="e">
            <v>#VALUE!</v>
          </cell>
          <cell r="F4956">
            <v>0</v>
          </cell>
        </row>
        <row r="4957">
          <cell r="A4957" t="str">
            <v>RSULLN2B</v>
          </cell>
          <cell r="B4957">
            <v>-1.3428127288671644E-4</v>
          </cell>
          <cell r="C4957">
            <v>0</v>
          </cell>
          <cell r="D4957" t="e">
            <v>#VALUE!</v>
          </cell>
          <cell r="E4957" t="e">
            <v>#VALUE!</v>
          </cell>
          <cell r="F4957">
            <v>0</v>
          </cell>
        </row>
        <row r="4958">
          <cell r="A4958" t="str">
            <v>RSULLT2B</v>
          </cell>
          <cell r="B4958">
            <v>-1.3585861832337922E-4</v>
          </cell>
          <cell r="C4958">
            <v>0</v>
          </cell>
          <cell r="D4958" t="e">
            <v>#VALUE!</v>
          </cell>
          <cell r="E4958" t="e">
            <v>#VALUE!</v>
          </cell>
          <cell r="F4958">
            <v>0</v>
          </cell>
        </row>
        <row r="4959">
          <cell r="A4959" t="str">
            <v>RSULLN3B</v>
          </cell>
          <cell r="B4959">
            <v>1.3797318774964404E-4</v>
          </cell>
          <cell r="C4959">
            <v>0</v>
          </cell>
          <cell r="D4959" t="e">
            <v>#VALUE!</v>
          </cell>
          <cell r="E4959" t="e">
            <v>#VALUE!</v>
          </cell>
          <cell r="F4959">
            <v>0</v>
          </cell>
        </row>
        <row r="4960">
          <cell r="A4960" t="str">
            <v>RSULLT3B</v>
          </cell>
          <cell r="B4960">
            <v>1.3797318774964404E-4</v>
          </cell>
          <cell r="C4960">
            <v>0</v>
          </cell>
          <cell r="D4960" t="e">
            <v>#VALUE!</v>
          </cell>
          <cell r="E4960" t="e">
            <v>#VALUE!</v>
          </cell>
          <cell r="F4960">
            <v>0</v>
          </cell>
        </row>
        <row r="4961">
          <cell r="A4961" t="str">
            <v>RSULLVAB</v>
          </cell>
          <cell r="B4961">
            <v>-2.9551795839872958E-5</v>
          </cell>
          <cell r="C4961">
            <v>0</v>
          </cell>
          <cell r="D4961" t="e">
            <v>#VALUE!</v>
          </cell>
          <cell r="E4961" t="e">
            <v>#VALUE!</v>
          </cell>
          <cell r="F4961">
            <v>0</v>
          </cell>
        </row>
        <row r="4962">
          <cell r="A4962" t="str">
            <v>RSULLV2B</v>
          </cell>
          <cell r="B4962">
            <v>-6.915720897900615E-6</v>
          </cell>
          <cell r="C4962">
            <v>0</v>
          </cell>
          <cell r="D4962" t="e">
            <v>#VALUE!</v>
          </cell>
          <cell r="E4962" t="e">
            <v>#VALUE!</v>
          </cell>
          <cell r="F4962">
            <v>0</v>
          </cell>
        </row>
        <row r="4963">
          <cell r="A4963" t="str">
            <v>RSULLV3B</v>
          </cell>
          <cell r="B4963">
            <v>7.662419002979557E-6</v>
          </cell>
          <cell r="C4963">
            <v>0</v>
          </cell>
          <cell r="D4963" t="e">
            <v>#VALUE!</v>
          </cell>
          <cell r="E4963" t="e">
            <v>#VALUE!</v>
          </cell>
          <cell r="F4963">
            <v>0</v>
          </cell>
        </row>
        <row r="4964">
          <cell r="A4964" t="str">
            <v>RSULLXFB</v>
          </cell>
          <cell r="B4964">
            <v>-2.7788936890891358E-4</v>
          </cell>
          <cell r="C4964">
            <v>0</v>
          </cell>
          <cell r="D4964" t="e">
            <v>#VALUE!</v>
          </cell>
          <cell r="E4964" t="e">
            <v>#VALUE!</v>
          </cell>
          <cell r="F4964">
            <v>0</v>
          </cell>
        </row>
        <row r="4965">
          <cell r="A4965" t="str">
            <v>RSULMN3B</v>
          </cell>
          <cell r="B4965">
            <v>5.9592913400081991E-5</v>
          </cell>
          <cell r="C4965">
            <v>0</v>
          </cell>
          <cell r="D4965" t="e">
            <v>#VALUE!</v>
          </cell>
          <cell r="E4965" t="e">
            <v>#VALUE!</v>
          </cell>
          <cell r="F4965">
            <v>0</v>
          </cell>
        </row>
        <row r="4966">
          <cell r="A4966" t="str">
            <v>RSULMN2B</v>
          </cell>
          <cell r="B4966">
            <v>-6.2907090006326E-5</v>
          </cell>
          <cell r="C4966">
            <v>0</v>
          </cell>
          <cell r="D4966" t="e">
            <v>#VALUE!</v>
          </cell>
          <cell r="E4966" t="e">
            <v>#VALUE!</v>
          </cell>
          <cell r="F4966">
            <v>0</v>
          </cell>
        </row>
        <row r="4967">
          <cell r="A4967" t="str">
            <v>RSULNLCB</v>
          </cell>
          <cell r="B4967">
            <v>-9.210029782305554E-5</v>
          </cell>
          <cell r="C4967">
            <v>0</v>
          </cell>
          <cell r="D4967" t="e">
            <v>#VALUE!</v>
          </cell>
          <cell r="E4967" t="e">
            <v>#VALUE!</v>
          </cell>
          <cell r="F4967">
            <v>0</v>
          </cell>
        </row>
        <row r="4968">
          <cell r="A4968" t="str">
            <v>RSULNPRB</v>
          </cell>
          <cell r="B4968">
            <v>-3.321958238925555E-5</v>
          </cell>
          <cell r="C4968">
            <v>0</v>
          </cell>
          <cell r="D4968" t="e">
            <v>#VALUE!</v>
          </cell>
          <cell r="E4968" t="e">
            <v>#VALUE!</v>
          </cell>
          <cell r="F4968">
            <v>0</v>
          </cell>
        </row>
        <row r="4969">
          <cell r="A4969" t="str">
            <v>RSULNPZB</v>
          </cell>
          <cell r="B4969">
            <v>-1.9344824827945958E-5</v>
          </cell>
          <cell r="C4969">
            <v>0</v>
          </cell>
          <cell r="D4969" t="e">
            <v>#VALUE!</v>
          </cell>
          <cell r="E4969" t="e">
            <v>#VALUE!</v>
          </cell>
          <cell r="F4969">
            <v>0</v>
          </cell>
        </row>
        <row r="4970">
          <cell r="A4970" t="str">
            <v>RSULPG2B</v>
          </cell>
          <cell r="B4970">
            <v>1.5989610418321791E-5</v>
          </cell>
          <cell r="C4970">
            <v>0</v>
          </cell>
          <cell r="D4970" t="e">
            <v>#VALUE!</v>
          </cell>
          <cell r="E4970" t="e">
            <v>#VALUE!</v>
          </cell>
          <cell r="F4970">
            <v>0</v>
          </cell>
        </row>
        <row r="4971">
          <cell r="A4971" t="str">
            <v>RSULPG3B</v>
          </cell>
          <cell r="B4971">
            <v>-3.9312151293781784E-8</v>
          </cell>
          <cell r="C4971">
            <v>0</v>
          </cell>
          <cell r="D4971" t="e">
            <v>#VALUE!</v>
          </cell>
          <cell r="E4971" t="e">
            <v>#VALUE!</v>
          </cell>
          <cell r="F4971">
            <v>0</v>
          </cell>
        </row>
        <row r="4972">
          <cell r="A4972" t="str">
            <v>RSULPGCB</v>
          </cell>
          <cell r="B4972">
            <v>-2.6999633011331602E-4</v>
          </cell>
          <cell r="C4972">
            <v>0</v>
          </cell>
          <cell r="D4972" t="e">
            <v>#VALUE!</v>
          </cell>
          <cell r="E4972" t="e">
            <v>#VALUE!</v>
          </cell>
          <cell r="F4972">
            <v>0</v>
          </cell>
        </row>
        <row r="4973">
          <cell r="A4973" t="str">
            <v>RSULPGOB</v>
          </cell>
          <cell r="B4973">
            <v>-9.1405933494009839E-4</v>
          </cell>
          <cell r="C4973">
            <v>0</v>
          </cell>
          <cell r="D4973" t="e">
            <v>#VALUE!</v>
          </cell>
          <cell r="E4973" t="e">
            <v>#VALUE!</v>
          </cell>
          <cell r="F4973">
            <v>0</v>
          </cell>
        </row>
        <row r="4974">
          <cell r="A4974" t="str">
            <v>RSULPN2B</v>
          </cell>
          <cell r="B4974">
            <v>-8.4162704640582209E-5</v>
          </cell>
          <cell r="C4974">
            <v>0</v>
          </cell>
          <cell r="D4974" t="e">
            <v>#VALUE!</v>
          </cell>
          <cell r="E4974" t="e">
            <v>#VALUE!</v>
          </cell>
          <cell r="F4974">
            <v>0</v>
          </cell>
        </row>
        <row r="4975">
          <cell r="A4975" t="str">
            <v>RSULPT2B</v>
          </cell>
          <cell r="B4975">
            <v>-5.2659199818289416E-5</v>
          </cell>
          <cell r="C4975">
            <v>0</v>
          </cell>
          <cell r="D4975" t="e">
            <v>#VALUE!</v>
          </cell>
          <cell r="E4975" t="e">
            <v>#VALUE!</v>
          </cell>
          <cell r="F4975">
            <v>0</v>
          </cell>
        </row>
        <row r="4976">
          <cell r="A4976" t="str">
            <v>RSULPN3B</v>
          </cell>
          <cell r="B4976">
            <v>-8.1167482854027636E-6</v>
          </cell>
          <cell r="C4976">
            <v>0</v>
          </cell>
          <cell r="D4976" t="e">
            <v>#VALUE!</v>
          </cell>
          <cell r="E4976" t="e">
            <v>#VALUE!</v>
          </cell>
          <cell r="F4976">
            <v>0</v>
          </cell>
        </row>
        <row r="4977">
          <cell r="A4977" t="str">
            <v>RSULPT3B</v>
          </cell>
          <cell r="B4977">
            <v>3.4111091412192417E-5</v>
          </cell>
          <cell r="C4977">
            <v>0</v>
          </cell>
          <cell r="D4977" t="e">
            <v>#VALUE!</v>
          </cell>
          <cell r="E4977" t="e">
            <v>#VALUE!</v>
          </cell>
          <cell r="F4977">
            <v>0</v>
          </cell>
        </row>
        <row r="4978">
          <cell r="A4978" t="str">
            <v>RSULPRAB</v>
          </cell>
          <cell r="B4978">
            <v>0</v>
          </cell>
          <cell r="C4978">
            <v>0</v>
          </cell>
          <cell r="D4978" t="e">
            <v>#VALUE!</v>
          </cell>
          <cell r="E4978" t="e">
            <v>#VALUE!</v>
          </cell>
          <cell r="F4978">
            <v>0</v>
          </cell>
        </row>
        <row r="4979">
          <cell r="A4979" t="str">
            <v>RSULPR2B</v>
          </cell>
          <cell r="B4979">
            <v>0</v>
          </cell>
          <cell r="C4979">
            <v>0</v>
          </cell>
          <cell r="D4979" t="e">
            <v>#VALUE!</v>
          </cell>
          <cell r="E4979" t="e">
            <v>#VALUE!</v>
          </cell>
          <cell r="F4979">
            <v>0</v>
          </cell>
        </row>
        <row r="4980">
          <cell r="A4980" t="str">
            <v>RSULPR3B</v>
          </cell>
          <cell r="B4980">
            <v>0</v>
          </cell>
          <cell r="C4980">
            <v>0</v>
          </cell>
          <cell r="D4980" t="e">
            <v>#VALUE!</v>
          </cell>
          <cell r="E4980" t="e">
            <v>#VALUE!</v>
          </cell>
          <cell r="F4980">
            <v>0</v>
          </cell>
        </row>
        <row r="4981">
          <cell r="A4981" t="str">
            <v>RSULPVAB</v>
          </cell>
          <cell r="B4981">
            <v>-1.843827290802076E-6</v>
          </cell>
          <cell r="C4981">
            <v>0</v>
          </cell>
          <cell r="D4981" t="e">
            <v>#VALUE!</v>
          </cell>
          <cell r="E4981" t="e">
            <v>#VALUE!</v>
          </cell>
          <cell r="F4981">
            <v>0</v>
          </cell>
        </row>
        <row r="4982">
          <cell r="A4982" t="str">
            <v>RSULPV2B</v>
          </cell>
          <cell r="B4982">
            <v>-1.6109033248721502E-5</v>
          </cell>
          <cell r="C4982">
            <v>0</v>
          </cell>
          <cell r="D4982" t="e">
            <v>#VALUE!</v>
          </cell>
          <cell r="E4982" t="e">
            <v>#VALUE!</v>
          </cell>
          <cell r="F4982">
            <v>0</v>
          </cell>
        </row>
        <row r="4983">
          <cell r="A4983" t="str">
            <v>RSULPV3B</v>
          </cell>
          <cell r="B4983">
            <v>1.9149507396184773E-5</v>
          </cell>
          <cell r="C4983">
            <v>0</v>
          </cell>
          <cell r="D4983" t="e">
            <v>#VALUE!</v>
          </cell>
          <cell r="E4983" t="e">
            <v>#VALUE!</v>
          </cell>
          <cell r="F4983">
            <v>0</v>
          </cell>
        </row>
        <row r="4984">
          <cell r="A4984" t="str">
            <v>RSULPX2B</v>
          </cell>
          <cell r="B4984">
            <v>0</v>
          </cell>
          <cell r="C4984">
            <v>0</v>
          </cell>
          <cell r="D4984" t="e">
            <v>#VALUE!</v>
          </cell>
          <cell r="E4984" t="e">
            <v>#VALUE!</v>
          </cell>
          <cell r="F4984">
            <v>0</v>
          </cell>
        </row>
        <row r="4985">
          <cell r="A4985" t="str">
            <v>RSULPX3B</v>
          </cell>
          <cell r="B4985">
            <v>0</v>
          </cell>
          <cell r="C4985">
            <v>0</v>
          </cell>
          <cell r="D4985" t="e">
            <v>#VALUE!</v>
          </cell>
          <cell r="E4985" t="e">
            <v>#VALUE!</v>
          </cell>
          <cell r="F4985">
            <v>0</v>
          </cell>
        </row>
        <row r="4986">
          <cell r="A4986" t="str">
            <v>RSULSK2B</v>
          </cell>
          <cell r="B4986">
            <v>-1.407957164739033E-4</v>
          </cell>
          <cell r="C4986">
            <v>0</v>
          </cell>
          <cell r="D4986" t="e">
            <v>#VALUE!</v>
          </cell>
          <cell r="E4986" t="e">
            <v>#VALUE!</v>
          </cell>
          <cell r="F4986">
            <v>0</v>
          </cell>
        </row>
        <row r="4987">
          <cell r="A4987" t="str">
            <v>RSULSK3B</v>
          </cell>
          <cell r="B4987">
            <v>1.3855196478177015E-4</v>
          </cell>
          <cell r="C4987">
            <v>0</v>
          </cell>
          <cell r="D4987" t="e">
            <v>#VALUE!</v>
          </cell>
          <cell r="E4987" t="e">
            <v>#VALUE!</v>
          </cell>
          <cell r="F4987">
            <v>0</v>
          </cell>
        </row>
        <row r="4988">
          <cell r="A4988" t="str">
            <v>RSULSG2B</v>
          </cell>
          <cell r="B4988">
            <v>-9.8804501008494482E-7</v>
          </cell>
          <cell r="C4988">
            <v>0</v>
          </cell>
          <cell r="D4988" t="e">
            <v>#VALUE!</v>
          </cell>
          <cell r="E4988" t="e">
            <v>#VALUE!</v>
          </cell>
          <cell r="F4988">
            <v>0</v>
          </cell>
        </row>
        <row r="4989">
          <cell r="A4989" t="str">
            <v>RSULSG3B</v>
          </cell>
          <cell r="B4989">
            <v>9.2398227618429821E-7</v>
          </cell>
          <cell r="C4989">
            <v>0</v>
          </cell>
          <cell r="D4989" t="e">
            <v>#VALUE!</v>
          </cell>
          <cell r="E4989" t="e">
            <v>#VALUE!</v>
          </cell>
          <cell r="F4989">
            <v>0</v>
          </cell>
        </row>
        <row r="4990">
          <cell r="A4990" t="str">
            <v>RSULSV2B</v>
          </cell>
          <cell r="B4990">
            <v>-2.5949365303037436E-6</v>
          </cell>
          <cell r="C4990">
            <v>0</v>
          </cell>
          <cell r="D4990" t="e">
            <v>#VALUE!</v>
          </cell>
          <cell r="E4990" t="e">
            <v>#VALUE!</v>
          </cell>
          <cell r="F4990">
            <v>0</v>
          </cell>
        </row>
        <row r="4991">
          <cell r="A4991" t="str">
            <v>RSULSV3B</v>
          </cell>
          <cell r="B4991">
            <v>3.158485767611737E-6</v>
          </cell>
          <cell r="C4991">
            <v>0</v>
          </cell>
          <cell r="D4991" t="e">
            <v>#VALUE!</v>
          </cell>
          <cell r="E4991" t="e">
            <v>#VALUE!</v>
          </cell>
          <cell r="F4991">
            <v>0</v>
          </cell>
        </row>
        <row r="4992">
          <cell r="A4992" t="str">
            <v>RSULSW2B</v>
          </cell>
          <cell r="B4992">
            <v>-4.1205721531256371E-6</v>
          </cell>
          <cell r="C4992">
            <v>0</v>
          </cell>
          <cell r="D4992" t="e">
            <v>#VALUE!</v>
          </cell>
          <cell r="E4992" t="e">
            <v>#VALUE!</v>
          </cell>
          <cell r="F4992">
            <v>0</v>
          </cell>
        </row>
        <row r="4993">
          <cell r="A4993" t="str">
            <v>RSULSW3B</v>
          </cell>
          <cell r="B4993">
            <v>4.1349195295072618E-6</v>
          </cell>
          <cell r="C4993">
            <v>0</v>
          </cell>
          <cell r="D4993" t="e">
            <v>#VALUE!</v>
          </cell>
          <cell r="E4993" t="e">
            <v>#VALUE!</v>
          </cell>
          <cell r="F4993">
            <v>0</v>
          </cell>
        </row>
        <row r="4994">
          <cell r="A4994" t="str">
            <v>RSULSX2B</v>
          </cell>
          <cell r="B4994">
            <v>-2.4239206309308018E-6</v>
          </cell>
          <cell r="C4994">
            <v>0</v>
          </cell>
          <cell r="D4994" t="e">
            <v>#VALUE!</v>
          </cell>
          <cell r="E4994" t="e">
            <v>#VALUE!</v>
          </cell>
          <cell r="F4994">
            <v>0</v>
          </cell>
        </row>
        <row r="4995">
          <cell r="A4995" t="str">
            <v>RSULSX3B</v>
          </cell>
          <cell r="B4995">
            <v>2.8765151651282706E-6</v>
          </cell>
          <cell r="C4995">
            <v>0</v>
          </cell>
          <cell r="D4995" t="e">
            <v>#VALUE!</v>
          </cell>
          <cell r="E4995" t="e">
            <v>#VALUE!</v>
          </cell>
          <cell r="F4995">
            <v>0</v>
          </cell>
        </row>
        <row r="4996">
          <cell r="A4996" t="str">
            <v>RSULU1FB</v>
          </cell>
          <cell r="B4996">
            <v>-7.7323011656479958E-6</v>
          </cell>
          <cell r="C4996">
            <v>0</v>
          </cell>
          <cell r="D4996" t="e">
            <v>#VALUE!</v>
          </cell>
          <cell r="E4996" t="e">
            <v>#VALUE!</v>
          </cell>
          <cell r="F4996">
            <v>0</v>
          </cell>
        </row>
        <row r="4997">
          <cell r="A4997" t="str">
            <v>RSULU2FB</v>
          </cell>
          <cell r="B4997">
            <v>-9.8109950326881071E-6</v>
          </cell>
          <cell r="C4997">
            <v>0</v>
          </cell>
          <cell r="D4997" t="e">
            <v>#VALUE!</v>
          </cell>
          <cell r="E4997" t="e">
            <v>#VALUE!</v>
          </cell>
          <cell r="F4997">
            <v>0</v>
          </cell>
        </row>
        <row r="4998">
          <cell r="A4998" t="str">
            <v>RSULVRAB</v>
          </cell>
          <cell r="B4998">
            <v>-1.1156485708030133E-3</v>
          </cell>
          <cell r="C4998">
            <v>0</v>
          </cell>
          <cell r="D4998" t="e">
            <v>#VALUE!</v>
          </cell>
          <cell r="E4998" t="e">
            <v>#VALUE!</v>
          </cell>
          <cell r="F4998">
            <v>0</v>
          </cell>
        </row>
        <row r="4999">
          <cell r="A4999" t="str">
            <v>RSULVR2B</v>
          </cell>
          <cell r="B4999">
            <v>-3.1521879344375654E-5</v>
          </cell>
          <cell r="C4999">
            <v>0</v>
          </cell>
          <cell r="D4999" t="e">
            <v>#VALUE!</v>
          </cell>
          <cell r="E4999" t="e">
            <v>#VALUE!</v>
          </cell>
          <cell r="F4999">
            <v>0</v>
          </cell>
        </row>
        <row r="5000">
          <cell r="A5000" t="str">
            <v>RSULVR3B</v>
          </cell>
          <cell r="B5000">
            <v>5.924743458875389E-5</v>
          </cell>
          <cell r="C5000">
            <v>0</v>
          </cell>
          <cell r="D5000" t="e">
            <v>#VALUE!</v>
          </cell>
          <cell r="E5000" t="e">
            <v>#VALUE!</v>
          </cell>
          <cell r="F5000">
            <v>0</v>
          </cell>
        </row>
        <row r="5001">
          <cell r="A5001" t="str">
            <v>RRVIBUTB</v>
          </cell>
          <cell r="B5001">
            <v>0</v>
          </cell>
          <cell r="C5001">
            <v>0</v>
          </cell>
          <cell r="D5001" t="e">
            <v>#VALUE!</v>
          </cell>
          <cell r="E5001" t="e">
            <v>#VALUE!</v>
          </cell>
          <cell r="F5001">
            <v>0</v>
          </cell>
        </row>
        <row r="5002">
          <cell r="A5002" t="str">
            <v>RRVIC4MB</v>
          </cell>
          <cell r="B5002">
            <v>0</v>
          </cell>
          <cell r="C5002">
            <v>0</v>
          </cell>
          <cell r="D5002" t="e">
            <v>#VALUE!</v>
          </cell>
          <cell r="E5002" t="e">
            <v>#VALUE!</v>
          </cell>
          <cell r="F5002">
            <v>0</v>
          </cell>
        </row>
        <row r="5003">
          <cell r="A5003" t="str">
            <v>RRVIC4CB</v>
          </cell>
          <cell r="B5003">
            <v>0</v>
          </cell>
          <cell r="C5003">
            <v>0</v>
          </cell>
          <cell r="D5003" t="e">
            <v>#VALUE!</v>
          </cell>
          <cell r="E5003" t="e">
            <v>#VALUE!</v>
          </cell>
          <cell r="F5003">
            <v>0</v>
          </cell>
        </row>
        <row r="5004">
          <cell r="A5004" t="str">
            <v>RRVIC4BB</v>
          </cell>
          <cell r="B5004">
            <v>0</v>
          </cell>
          <cell r="C5004">
            <v>0</v>
          </cell>
          <cell r="D5004" t="e">
            <v>#VALUE!</v>
          </cell>
          <cell r="E5004" t="e">
            <v>#VALUE!</v>
          </cell>
          <cell r="F5004">
            <v>0</v>
          </cell>
        </row>
        <row r="5005">
          <cell r="A5005" t="str">
            <v>RRVILCTB</v>
          </cell>
          <cell r="B5005">
            <v>1.4560699192384475E-3</v>
          </cell>
          <cell r="C5005">
            <v>0</v>
          </cell>
          <cell r="D5005" t="e">
            <v>#VALUE!</v>
          </cell>
          <cell r="E5005" t="e">
            <v>#VALUE!</v>
          </cell>
          <cell r="F5005">
            <v>0</v>
          </cell>
        </row>
        <row r="5006">
          <cell r="A5006" t="str">
            <v>RRVILLLB</v>
          </cell>
          <cell r="B5006">
            <v>1.4270461774199934E-3</v>
          </cell>
          <cell r="C5006">
            <v>0</v>
          </cell>
          <cell r="D5006" t="e">
            <v>#VALUE!</v>
          </cell>
          <cell r="E5006" t="e">
            <v>#VALUE!</v>
          </cell>
          <cell r="F5006">
            <v>0</v>
          </cell>
        </row>
        <row r="5007">
          <cell r="A5007" t="str">
            <v>RRVILN2B</v>
          </cell>
          <cell r="B5007">
            <v>-1.4771649435366669E-4</v>
          </cell>
          <cell r="C5007">
            <v>0</v>
          </cell>
          <cell r="D5007" t="e">
            <v>#VALUE!</v>
          </cell>
          <cell r="E5007" t="e">
            <v>#VALUE!</v>
          </cell>
          <cell r="F5007">
            <v>0</v>
          </cell>
        </row>
        <row r="5008">
          <cell r="A5008" t="str">
            <v>RRVILT2B</v>
          </cell>
          <cell r="B5008">
            <v>1.0474067734620592E-3</v>
          </cell>
          <cell r="C5008">
            <v>0</v>
          </cell>
          <cell r="D5008" t="e">
            <v>#VALUE!</v>
          </cell>
          <cell r="E5008" t="e">
            <v>#VALUE!</v>
          </cell>
          <cell r="F5008">
            <v>0</v>
          </cell>
        </row>
        <row r="5009">
          <cell r="A5009" t="str">
            <v>RRVILN3B</v>
          </cell>
          <cell r="B5009">
            <v>6.4816062736535471E-4</v>
          </cell>
          <cell r="C5009">
            <v>0</v>
          </cell>
          <cell r="D5009" t="e">
            <v>#VALUE!</v>
          </cell>
          <cell r="E5009" t="e">
            <v>#VALUE!</v>
          </cell>
          <cell r="F5009">
            <v>0</v>
          </cell>
        </row>
        <row r="5010">
          <cell r="A5010" t="str">
            <v>RRVILT3B</v>
          </cell>
          <cell r="B5010">
            <v>6.4816062736535471E-4</v>
          </cell>
          <cell r="C5010">
            <v>0</v>
          </cell>
          <cell r="D5010" t="e">
            <v>#VALUE!</v>
          </cell>
          <cell r="E5010" t="e">
            <v>#VALUE!</v>
          </cell>
          <cell r="F5010">
            <v>0</v>
          </cell>
        </row>
        <row r="5011">
          <cell r="A5011" t="str">
            <v>RRVIMN3B</v>
          </cell>
          <cell r="B5011">
            <v>-1.7415565843268816E-7</v>
          </cell>
          <cell r="C5011">
            <v>0</v>
          </cell>
          <cell r="D5011" t="e">
            <v>#VALUE!</v>
          </cell>
          <cell r="E5011" t="e">
            <v>#VALUE!</v>
          </cell>
          <cell r="F5011">
            <v>0</v>
          </cell>
        </row>
        <row r="5012">
          <cell r="A5012" t="str">
            <v>RRVIMN2B</v>
          </cell>
          <cell r="B5012">
            <v>-3.4685854233561109E-5</v>
          </cell>
          <cell r="C5012">
            <v>0</v>
          </cell>
          <cell r="D5012" t="e">
            <v>#VALUE!</v>
          </cell>
          <cell r="E5012" t="e">
            <v>#VALUE!</v>
          </cell>
          <cell r="F5012">
            <v>0</v>
          </cell>
        </row>
        <row r="5013">
          <cell r="A5013" t="str">
            <v>RRVINLCB</v>
          </cell>
          <cell r="B5013">
            <v>-2.5352469198916057E-3</v>
          </cell>
          <cell r="C5013">
            <v>0</v>
          </cell>
          <cell r="D5013" t="e">
            <v>#VALUE!</v>
          </cell>
          <cell r="E5013" t="e">
            <v>#VALUE!</v>
          </cell>
          <cell r="F5013">
            <v>0</v>
          </cell>
        </row>
        <row r="5014">
          <cell r="A5014" t="str">
            <v>RRVINPRB</v>
          </cell>
          <cell r="B5014">
            <v>6.2487663465505389E-4</v>
          </cell>
          <cell r="C5014">
            <v>0</v>
          </cell>
          <cell r="D5014" t="e">
            <v>#VALUE!</v>
          </cell>
          <cell r="E5014" t="e">
            <v>#VALUE!</v>
          </cell>
          <cell r="F5014">
            <v>0</v>
          </cell>
        </row>
        <row r="5015">
          <cell r="A5015" t="str">
            <v>RRVINPZB</v>
          </cell>
          <cell r="B5015">
            <v>6.2227207228018303E-4</v>
          </cell>
          <cell r="C5015">
            <v>0</v>
          </cell>
          <cell r="D5015" t="e">
            <v>#VALUE!</v>
          </cell>
          <cell r="E5015" t="e">
            <v>#VALUE!</v>
          </cell>
          <cell r="F5015">
            <v>0</v>
          </cell>
        </row>
        <row r="5016">
          <cell r="A5016" t="str">
            <v>RRVIPN2B</v>
          </cell>
          <cell r="B5016">
            <v>5.9737086122704441E-5</v>
          </cell>
          <cell r="C5016">
            <v>0</v>
          </cell>
          <cell r="D5016" t="e">
            <v>#VALUE!</v>
          </cell>
          <cell r="E5016" t="e">
            <v>#VALUE!</v>
          </cell>
          <cell r="F5016">
            <v>0</v>
          </cell>
        </row>
        <row r="5017">
          <cell r="A5017" t="str">
            <v>RRVIPT2B</v>
          </cell>
          <cell r="B5017">
            <v>-1.0526459455732412E-5</v>
          </cell>
          <cell r="C5017">
            <v>0</v>
          </cell>
          <cell r="D5017" t="e">
            <v>#VALUE!</v>
          </cell>
          <cell r="E5017" t="e">
            <v>#VALUE!</v>
          </cell>
          <cell r="F5017">
            <v>0</v>
          </cell>
        </row>
        <row r="5018">
          <cell r="A5018" t="str">
            <v>RRVIPN3B</v>
          </cell>
          <cell r="B5018">
            <v>1.9426065480679613E-4</v>
          </cell>
          <cell r="C5018">
            <v>0</v>
          </cell>
          <cell r="D5018" t="e">
            <v>#VALUE!</v>
          </cell>
          <cell r="E5018" t="e">
            <v>#VALUE!</v>
          </cell>
          <cell r="F5018">
            <v>0</v>
          </cell>
        </row>
        <row r="5019">
          <cell r="A5019" t="str">
            <v>RRVIPT3B</v>
          </cell>
          <cell r="B5019">
            <v>-4.3719439869687758E-6</v>
          </cell>
          <cell r="C5019">
            <v>0</v>
          </cell>
          <cell r="D5019" t="e">
            <v>#VALUE!</v>
          </cell>
          <cell r="E5019" t="e">
            <v>#VALUE!</v>
          </cell>
          <cell r="F5019">
            <v>0</v>
          </cell>
        </row>
        <row r="5020">
          <cell r="A5020" t="str">
            <v>RRVISK2B</v>
          </cell>
          <cell r="B5020">
            <v>-2.9265599856344499E-4</v>
          </cell>
          <cell r="C5020">
            <v>0</v>
          </cell>
          <cell r="D5020" t="e">
            <v>#VALUE!</v>
          </cell>
          <cell r="E5020" t="e">
            <v>#VALUE!</v>
          </cell>
          <cell r="F5020">
            <v>0</v>
          </cell>
        </row>
        <row r="5021">
          <cell r="A5021" t="str">
            <v>RRVISK3B</v>
          </cell>
          <cell r="B5021">
            <v>-2.3493457430884344E-4</v>
          </cell>
          <cell r="C5021">
            <v>0</v>
          </cell>
          <cell r="D5021" t="e">
            <v>#VALUE!</v>
          </cell>
          <cell r="E5021" t="e">
            <v>#VALUE!</v>
          </cell>
          <cell r="F5021">
            <v>0</v>
          </cell>
        </row>
        <row r="5022">
          <cell r="A5022" t="str">
            <v>RRVIMTVB</v>
          </cell>
          <cell r="B5022">
            <v>0</v>
          </cell>
          <cell r="C5022">
            <v>0</v>
          </cell>
          <cell r="D5022" t="e">
            <v>#VALUE!</v>
          </cell>
          <cell r="E5022" t="e">
            <v>#VALUE!</v>
          </cell>
          <cell r="F5022">
            <v>0</v>
          </cell>
        </row>
        <row r="5023">
          <cell r="A5023" t="str">
            <v>RRVIALHB</v>
          </cell>
          <cell r="B5023">
            <v>0</v>
          </cell>
          <cell r="C5023">
            <v>0</v>
          </cell>
          <cell r="D5023" t="e">
            <v>#VALUE!</v>
          </cell>
          <cell r="E5023" t="e">
            <v>#VALUE!</v>
          </cell>
          <cell r="F5023">
            <v>0</v>
          </cell>
        </row>
        <row r="5024">
          <cell r="A5024" t="str">
            <v>RRONBUTB</v>
          </cell>
          <cell r="B5024">
            <v>0</v>
          </cell>
          <cell r="C5024">
            <v>0</v>
          </cell>
          <cell r="D5024" t="e">
            <v>#VALUE!</v>
          </cell>
          <cell r="E5024" t="e">
            <v>#VALUE!</v>
          </cell>
          <cell r="F5024">
            <v>0</v>
          </cell>
        </row>
        <row r="5025">
          <cell r="A5025" t="str">
            <v>RRONC4MB</v>
          </cell>
          <cell r="B5025">
            <v>0</v>
          </cell>
          <cell r="C5025">
            <v>0</v>
          </cell>
          <cell r="D5025" t="e">
            <v>#VALUE!</v>
          </cell>
          <cell r="E5025" t="e">
            <v>#VALUE!</v>
          </cell>
          <cell r="F5025">
            <v>0</v>
          </cell>
        </row>
        <row r="5026">
          <cell r="A5026" t="str">
            <v>RRONC4CB</v>
          </cell>
          <cell r="B5026">
            <v>0</v>
          </cell>
          <cell r="C5026">
            <v>0</v>
          </cell>
          <cell r="D5026" t="e">
            <v>#VALUE!</v>
          </cell>
          <cell r="E5026" t="e">
            <v>#VALUE!</v>
          </cell>
          <cell r="F5026">
            <v>0</v>
          </cell>
        </row>
        <row r="5027">
          <cell r="A5027" t="str">
            <v>RRONC4BB</v>
          </cell>
          <cell r="B5027">
            <v>0</v>
          </cell>
          <cell r="C5027">
            <v>0</v>
          </cell>
          <cell r="D5027" t="e">
            <v>#VALUE!</v>
          </cell>
          <cell r="E5027" t="e">
            <v>#VALUE!</v>
          </cell>
          <cell r="F5027">
            <v>0</v>
          </cell>
        </row>
        <row r="5028">
          <cell r="A5028" t="str">
            <v>RRONLCTB</v>
          </cell>
          <cell r="B5028">
            <v>6.5836623413105533E-3</v>
          </cell>
          <cell r="C5028">
            <v>0</v>
          </cell>
          <cell r="D5028" t="e">
            <v>#VALUE!</v>
          </cell>
          <cell r="E5028" t="e">
            <v>#VALUE!</v>
          </cell>
          <cell r="F5028">
            <v>0</v>
          </cell>
        </row>
        <row r="5029">
          <cell r="A5029" t="str">
            <v>RRONLLLB</v>
          </cell>
          <cell r="B5029">
            <v>6.5557991294828179E-3</v>
          </cell>
          <cell r="C5029">
            <v>0</v>
          </cell>
          <cell r="D5029" t="e">
            <v>#VALUE!</v>
          </cell>
          <cell r="E5029" t="e">
            <v>#VALUE!</v>
          </cell>
          <cell r="F5029">
            <v>0</v>
          </cell>
        </row>
        <row r="5030">
          <cell r="A5030" t="str">
            <v>RRONLN2B</v>
          </cell>
          <cell r="B5030">
            <v>1.9844569367905187E-3</v>
          </cell>
          <cell r="C5030">
            <v>0</v>
          </cell>
          <cell r="D5030" t="e">
            <v>#VALUE!</v>
          </cell>
          <cell r="E5030" t="e">
            <v>#VALUE!</v>
          </cell>
          <cell r="F5030">
            <v>0</v>
          </cell>
        </row>
        <row r="5031">
          <cell r="A5031" t="str">
            <v>RRONLT2B</v>
          </cell>
          <cell r="B5031">
            <v>6.8715840456481025E-3</v>
          </cell>
          <cell r="C5031">
            <v>0</v>
          </cell>
          <cell r="D5031" t="e">
            <v>#VALUE!</v>
          </cell>
          <cell r="E5031" t="e">
            <v>#VALUE!</v>
          </cell>
          <cell r="F5031">
            <v>0</v>
          </cell>
        </row>
        <row r="5032">
          <cell r="A5032" t="str">
            <v>RRONLN3B</v>
          </cell>
          <cell r="B5032">
            <v>-4.0628852861716527E-4</v>
          </cell>
          <cell r="C5032">
            <v>0</v>
          </cell>
          <cell r="D5032" t="e">
            <v>#VALUE!</v>
          </cell>
          <cell r="E5032" t="e">
            <v>#VALUE!</v>
          </cell>
          <cell r="F5032">
            <v>0</v>
          </cell>
        </row>
        <row r="5033">
          <cell r="A5033" t="str">
            <v>RRONLT3B</v>
          </cell>
          <cell r="B5033">
            <v>-4.1357576623814152E-4</v>
          </cell>
          <cell r="C5033">
            <v>0</v>
          </cell>
          <cell r="D5033" t="e">
            <v>#VALUE!</v>
          </cell>
          <cell r="E5033" t="e">
            <v>#VALUE!</v>
          </cell>
          <cell r="F5033">
            <v>0</v>
          </cell>
        </row>
        <row r="5034">
          <cell r="A5034" t="str">
            <v>RRONMN3B</v>
          </cell>
          <cell r="B5034">
            <v>-3.4265459173981721E-4</v>
          </cell>
          <cell r="C5034">
            <v>0</v>
          </cell>
          <cell r="D5034" t="e">
            <v>#VALUE!</v>
          </cell>
          <cell r="E5034" t="e">
            <v>#VALUE!</v>
          </cell>
          <cell r="F5034">
            <v>0</v>
          </cell>
        </row>
        <row r="5035">
          <cell r="A5035" t="str">
            <v>RRONMN2B</v>
          </cell>
          <cell r="B5035">
            <v>1.3469784188862534E-3</v>
          </cell>
          <cell r="C5035">
            <v>0</v>
          </cell>
          <cell r="D5035" t="e">
            <v>#VALUE!</v>
          </cell>
          <cell r="E5035" t="e">
            <v>#VALUE!</v>
          </cell>
          <cell r="F5035">
            <v>0</v>
          </cell>
        </row>
        <row r="5036">
          <cell r="A5036" t="str">
            <v>RRONNLCB</v>
          </cell>
          <cell r="B5036">
            <v>6.0076970648505305E-3</v>
          </cell>
          <cell r="C5036">
            <v>0</v>
          </cell>
          <cell r="D5036" t="e">
            <v>#VALUE!</v>
          </cell>
          <cell r="E5036" t="e">
            <v>#VALUE!</v>
          </cell>
          <cell r="F5036">
            <v>0</v>
          </cell>
        </row>
        <row r="5037">
          <cell r="A5037" t="str">
            <v>RRONNPRB</v>
          </cell>
          <cell r="B5037">
            <v>1.8488159932655422E-2</v>
          </cell>
          <cell r="C5037">
            <v>0</v>
          </cell>
          <cell r="D5037" t="e">
            <v>#VALUE!</v>
          </cell>
          <cell r="E5037" t="e">
            <v>#VALUE!</v>
          </cell>
          <cell r="F5037">
            <v>0</v>
          </cell>
        </row>
        <row r="5038">
          <cell r="A5038" t="str">
            <v>RRONNPZB</v>
          </cell>
          <cell r="B5038">
            <v>-4.5575297195209214E-5</v>
          </cell>
          <cell r="C5038">
            <v>0</v>
          </cell>
          <cell r="D5038" t="e">
            <v>#VALUE!</v>
          </cell>
          <cell r="E5038" t="e">
            <v>#VALUE!</v>
          </cell>
          <cell r="F5038">
            <v>0</v>
          </cell>
        </row>
        <row r="5039">
          <cell r="A5039" t="str">
            <v>RRONPN2B</v>
          </cell>
          <cell r="B5039">
            <v>3.5735678356316274E-3</v>
          </cell>
          <cell r="C5039">
            <v>0</v>
          </cell>
          <cell r="D5039" t="e">
            <v>#VALUE!</v>
          </cell>
          <cell r="E5039" t="e">
            <v>#VALUE!</v>
          </cell>
          <cell r="F5039">
            <v>0</v>
          </cell>
        </row>
        <row r="5040">
          <cell r="A5040" t="str">
            <v>RRONPT2B</v>
          </cell>
          <cell r="B5040">
            <v>1.3274513687733442E-3</v>
          </cell>
          <cell r="C5040">
            <v>0</v>
          </cell>
          <cell r="D5040" t="e">
            <v>#VALUE!</v>
          </cell>
          <cell r="E5040" t="e">
            <v>#VALUE!</v>
          </cell>
          <cell r="F5040">
            <v>0</v>
          </cell>
        </row>
        <row r="5041">
          <cell r="A5041" t="str">
            <v>RRONPN3B</v>
          </cell>
          <cell r="B5041">
            <v>-3.6714443341374486E-4</v>
          </cell>
          <cell r="C5041">
            <v>0</v>
          </cell>
          <cell r="D5041" t="e">
            <v>#VALUE!</v>
          </cell>
          <cell r="E5041" t="e">
            <v>#VALUE!</v>
          </cell>
          <cell r="F5041">
            <v>0</v>
          </cell>
        </row>
        <row r="5042">
          <cell r="A5042" t="str">
            <v>RRONPT3B</v>
          </cell>
          <cell r="B5042">
            <v>5.5447823712474675E-3</v>
          </cell>
          <cell r="C5042">
            <v>0</v>
          </cell>
          <cell r="D5042" t="e">
            <v>#VALUE!</v>
          </cell>
          <cell r="E5042" t="e">
            <v>#VALUE!</v>
          </cell>
          <cell r="F5042">
            <v>0</v>
          </cell>
        </row>
        <row r="5043">
          <cell r="A5043" t="str">
            <v>RRONSK2B</v>
          </cell>
          <cell r="B5043">
            <v>1.1163936067557548E-3</v>
          </cell>
          <cell r="C5043">
            <v>0</v>
          </cell>
          <cell r="D5043" t="e">
            <v>#VALUE!</v>
          </cell>
          <cell r="E5043" t="e">
            <v>#VALUE!</v>
          </cell>
          <cell r="F5043">
            <v>0</v>
          </cell>
        </row>
        <row r="5044">
          <cell r="A5044" t="str">
            <v>RRONSK3B</v>
          </cell>
          <cell r="B5044">
            <v>6.1213114643341869E-4</v>
          </cell>
          <cell r="C5044">
            <v>0</v>
          </cell>
          <cell r="D5044" t="e">
            <v>#VALUE!</v>
          </cell>
          <cell r="E5044" t="e">
            <v>#VALUE!</v>
          </cell>
          <cell r="F5044">
            <v>0</v>
          </cell>
        </row>
        <row r="5045">
          <cell r="A5045" t="str">
            <v>RRONMTVB</v>
          </cell>
          <cell r="B5045">
            <v>0</v>
          </cell>
          <cell r="C5045">
            <v>0</v>
          </cell>
          <cell r="D5045" t="e">
            <v>#VALUE!</v>
          </cell>
          <cell r="E5045" t="e">
            <v>#VALUE!</v>
          </cell>
          <cell r="F5045">
            <v>0</v>
          </cell>
        </row>
        <row r="5046">
          <cell r="A5046" t="str">
            <v>RRONALHB</v>
          </cell>
          <cell r="B5046">
            <v>0</v>
          </cell>
          <cell r="C5046">
            <v>0</v>
          </cell>
          <cell r="D5046" t="e">
            <v>#VALUE!</v>
          </cell>
          <cell r="E5046" t="e">
            <v>#VALUE!</v>
          </cell>
          <cell r="F5046">
            <v>0</v>
          </cell>
        </row>
        <row r="5047">
          <cell r="A5047" t="str">
            <v>RMONBUTB</v>
          </cell>
          <cell r="B5047">
            <v>0</v>
          </cell>
          <cell r="C5047">
            <v>0</v>
          </cell>
          <cell r="D5047" t="e">
            <v>#VALUE!</v>
          </cell>
          <cell r="E5047" t="e">
            <v>#VALUE!</v>
          </cell>
          <cell r="F5047">
            <v>0</v>
          </cell>
        </row>
        <row r="5048">
          <cell r="A5048" t="str">
            <v>RMONC4MB</v>
          </cell>
          <cell r="B5048">
            <v>0</v>
          </cell>
          <cell r="C5048">
            <v>0</v>
          </cell>
          <cell r="D5048" t="e">
            <v>#VALUE!</v>
          </cell>
          <cell r="E5048" t="e">
            <v>#VALUE!</v>
          </cell>
          <cell r="F5048">
            <v>0</v>
          </cell>
        </row>
        <row r="5049">
          <cell r="A5049" t="str">
            <v>RMONC4CB</v>
          </cell>
          <cell r="B5049">
            <v>0</v>
          </cell>
          <cell r="C5049">
            <v>0</v>
          </cell>
          <cell r="D5049" t="e">
            <v>#VALUE!</v>
          </cell>
          <cell r="E5049" t="e">
            <v>#VALUE!</v>
          </cell>
          <cell r="F5049">
            <v>0</v>
          </cell>
        </row>
        <row r="5050">
          <cell r="A5050" t="str">
            <v>RMONC4BB</v>
          </cell>
          <cell r="B5050">
            <v>0</v>
          </cell>
          <cell r="C5050">
            <v>0</v>
          </cell>
          <cell r="D5050" t="e">
            <v>#VALUE!</v>
          </cell>
          <cell r="E5050" t="e">
            <v>#VALUE!</v>
          </cell>
          <cell r="F5050">
            <v>0</v>
          </cell>
        </row>
        <row r="5051">
          <cell r="A5051" t="str">
            <v>RMONLCTB</v>
          </cell>
          <cell r="B5051">
            <v>3.4252331069071001E-3</v>
          </cell>
          <cell r="C5051">
            <v>0</v>
          </cell>
          <cell r="D5051" t="e">
            <v>#VALUE!</v>
          </cell>
          <cell r="E5051" t="e">
            <v>#VALUE!</v>
          </cell>
          <cell r="F5051">
            <v>0</v>
          </cell>
        </row>
        <row r="5052">
          <cell r="A5052" t="str">
            <v>RMONLLLB</v>
          </cell>
          <cell r="B5052">
            <v>3.4129328209243407E-3</v>
          </cell>
          <cell r="C5052">
            <v>0</v>
          </cell>
          <cell r="D5052" t="e">
            <v>#VALUE!</v>
          </cell>
          <cell r="E5052" t="e">
            <v>#VALUE!</v>
          </cell>
          <cell r="F5052">
            <v>0</v>
          </cell>
        </row>
        <row r="5053">
          <cell r="A5053" t="str">
            <v>RMONLN2B</v>
          </cell>
          <cell r="B5053">
            <v>-1.6232696999731944E-5</v>
          </cell>
          <cell r="C5053">
            <v>0</v>
          </cell>
          <cell r="D5053" t="e">
            <v>#VALUE!</v>
          </cell>
          <cell r="E5053" t="e">
            <v>#VALUE!</v>
          </cell>
          <cell r="F5053">
            <v>0</v>
          </cell>
        </row>
        <row r="5054">
          <cell r="A5054" t="str">
            <v>RMONLT2B</v>
          </cell>
          <cell r="B5054">
            <v>7.2236527116691747E-3</v>
          </cell>
          <cell r="C5054">
            <v>0</v>
          </cell>
          <cell r="D5054" t="e">
            <v>#VALUE!</v>
          </cell>
          <cell r="E5054" t="e">
            <v>#VALUE!</v>
          </cell>
          <cell r="F5054">
            <v>0</v>
          </cell>
        </row>
        <row r="5055">
          <cell r="A5055" t="str">
            <v>RMONLN3B</v>
          </cell>
          <cell r="B5055">
            <v>-6.3407201103049603E-4</v>
          </cell>
          <cell r="C5055">
            <v>0</v>
          </cell>
          <cell r="D5055" t="e">
            <v>#VALUE!</v>
          </cell>
          <cell r="E5055" t="e">
            <v>#VALUE!</v>
          </cell>
          <cell r="F5055">
            <v>0</v>
          </cell>
        </row>
        <row r="5056">
          <cell r="A5056" t="str">
            <v>RMONLT3B</v>
          </cell>
          <cell r="B5056">
            <v>-6.3407201103049603E-4</v>
          </cell>
          <cell r="C5056">
            <v>0</v>
          </cell>
          <cell r="D5056" t="e">
            <v>#VALUE!</v>
          </cell>
          <cell r="E5056" t="e">
            <v>#VALUE!</v>
          </cell>
          <cell r="F5056">
            <v>0</v>
          </cell>
        </row>
        <row r="5057">
          <cell r="A5057" t="str">
            <v>RMONMN3B</v>
          </cell>
          <cell r="B5057">
            <v>-5.3420716223676935E-4</v>
          </cell>
          <cell r="C5057">
            <v>0</v>
          </cell>
          <cell r="D5057" t="e">
            <v>#VALUE!</v>
          </cell>
          <cell r="E5057" t="e">
            <v>#VALUE!</v>
          </cell>
          <cell r="F5057">
            <v>0</v>
          </cell>
        </row>
        <row r="5058">
          <cell r="A5058" t="str">
            <v>RMONMN2B</v>
          </cell>
          <cell r="B5058">
            <v>-7.3303954439773539E-5</v>
          </cell>
          <cell r="C5058">
            <v>0</v>
          </cell>
          <cell r="D5058" t="e">
            <v>#VALUE!</v>
          </cell>
          <cell r="E5058" t="e">
            <v>#VALUE!</v>
          </cell>
          <cell r="F5058">
            <v>0</v>
          </cell>
        </row>
        <row r="5059">
          <cell r="A5059" t="str">
            <v>RMONNLCB</v>
          </cell>
          <cell r="B5059">
            <v>-1.2493578089745588E-2</v>
          </cell>
          <cell r="C5059">
            <v>0</v>
          </cell>
          <cell r="D5059" t="e">
            <v>#VALUE!</v>
          </cell>
          <cell r="E5059" t="e">
            <v>#VALUE!</v>
          </cell>
          <cell r="F5059">
            <v>0</v>
          </cell>
        </row>
        <row r="5060">
          <cell r="A5060" t="str">
            <v>RMONNPRB</v>
          </cell>
          <cell r="B5060">
            <v>1.0547269694507122E-2</v>
          </cell>
          <cell r="C5060">
            <v>0</v>
          </cell>
          <cell r="D5060" t="e">
            <v>#VALUE!</v>
          </cell>
          <cell r="E5060" t="e">
            <v>#VALUE!</v>
          </cell>
          <cell r="F5060">
            <v>0</v>
          </cell>
        </row>
        <row r="5061">
          <cell r="A5061" t="str">
            <v>RMONNPZB</v>
          </cell>
          <cell r="B5061">
            <v>-3.2191287234986887E-4</v>
          </cell>
          <cell r="C5061">
            <v>0</v>
          </cell>
          <cell r="D5061" t="e">
            <v>#VALUE!</v>
          </cell>
          <cell r="E5061" t="e">
            <v>#VALUE!</v>
          </cell>
          <cell r="F5061">
            <v>0</v>
          </cell>
        </row>
        <row r="5062">
          <cell r="A5062" t="str">
            <v>RMONPN2B</v>
          </cell>
          <cell r="B5062">
            <v>1.2813172074296346E-3</v>
          </cell>
          <cell r="C5062">
            <v>0</v>
          </cell>
          <cell r="D5062" t="e">
            <v>#VALUE!</v>
          </cell>
          <cell r="E5062" t="e">
            <v>#VALUE!</v>
          </cell>
          <cell r="F5062">
            <v>0</v>
          </cell>
        </row>
        <row r="5063">
          <cell r="A5063" t="str">
            <v>RMONPT2B</v>
          </cell>
          <cell r="B5063">
            <v>-1.060518426022274E-3</v>
          </cell>
          <cell r="C5063">
            <v>0</v>
          </cell>
          <cell r="D5063" t="e">
            <v>#VALUE!</v>
          </cell>
          <cell r="E5063" t="e">
            <v>#VALUE!</v>
          </cell>
          <cell r="F5063">
            <v>0</v>
          </cell>
        </row>
        <row r="5064">
          <cell r="A5064" t="str">
            <v>RMONPN3B</v>
          </cell>
          <cell r="B5064">
            <v>-2.9480439668189579E-4</v>
          </cell>
          <cell r="C5064">
            <v>0</v>
          </cell>
          <cell r="D5064" t="e">
            <v>#VALUE!</v>
          </cell>
          <cell r="E5064" t="e">
            <v>#VALUE!</v>
          </cell>
          <cell r="F5064">
            <v>0</v>
          </cell>
        </row>
        <row r="5065">
          <cell r="A5065" t="str">
            <v>RMONPT3B</v>
          </cell>
          <cell r="B5065">
            <v>4.3447471797874527E-3</v>
          </cell>
          <cell r="C5065">
            <v>0</v>
          </cell>
          <cell r="D5065" t="e">
            <v>#VALUE!</v>
          </cell>
          <cell r="E5065" t="e">
            <v>#VALUE!</v>
          </cell>
          <cell r="F5065">
            <v>0</v>
          </cell>
        </row>
        <row r="5066">
          <cell r="A5066" t="str">
            <v>RMONSK2B</v>
          </cell>
          <cell r="B5066">
            <v>1.0834488992209304E-3</v>
          </cell>
          <cell r="C5066">
            <v>0</v>
          </cell>
          <cell r="D5066" t="e">
            <v>#VALUE!</v>
          </cell>
          <cell r="E5066" t="e">
            <v>#VALUE!</v>
          </cell>
          <cell r="F5066">
            <v>0</v>
          </cell>
        </row>
        <row r="5067">
          <cell r="A5067" t="str">
            <v>RMONSK3B</v>
          </cell>
          <cell r="B5067">
            <v>2.9078118757453223E-4</v>
          </cell>
          <cell r="C5067">
            <v>0</v>
          </cell>
          <cell r="D5067" t="e">
            <v>#VALUE!</v>
          </cell>
          <cell r="E5067" t="e">
            <v>#VALUE!</v>
          </cell>
          <cell r="F5067">
            <v>0</v>
          </cell>
        </row>
        <row r="5068">
          <cell r="A5068" t="str">
            <v>RMONMTVB</v>
          </cell>
          <cell r="B5068">
            <v>0</v>
          </cell>
          <cell r="C5068">
            <v>0</v>
          </cell>
          <cell r="D5068" t="e">
            <v>#VALUE!</v>
          </cell>
          <cell r="E5068" t="e">
            <v>#VALUE!</v>
          </cell>
          <cell r="F5068">
            <v>0</v>
          </cell>
        </row>
        <row r="5069">
          <cell r="A5069" t="str">
            <v>RMONALHB</v>
          </cell>
          <cell r="B5069">
            <v>0</v>
          </cell>
          <cell r="C5069">
            <v>0</v>
          </cell>
          <cell r="D5069" t="e">
            <v>#VALUE!</v>
          </cell>
          <cell r="E5069" t="e">
            <v>#VALUE!</v>
          </cell>
          <cell r="F5069">
            <v>0</v>
          </cell>
        </row>
        <row r="5070">
          <cell r="A5070" t="str">
            <v>RDONBUTB</v>
          </cell>
          <cell r="B5070">
            <v>1.8185385962157217E-3</v>
          </cell>
          <cell r="C5070">
            <v>0</v>
          </cell>
          <cell r="D5070" t="e">
            <v>#VALUE!</v>
          </cell>
          <cell r="E5070" t="e">
            <v>#VALUE!</v>
          </cell>
          <cell r="F5070">
            <v>0</v>
          </cell>
        </row>
        <row r="5071">
          <cell r="A5071" t="str">
            <v>RDONC4MB</v>
          </cell>
          <cell r="B5071">
            <v>0</v>
          </cell>
          <cell r="C5071">
            <v>0</v>
          </cell>
          <cell r="D5071" t="e">
            <v>#VALUE!</v>
          </cell>
          <cell r="E5071" t="e">
            <v>#VALUE!</v>
          </cell>
          <cell r="F5071">
            <v>0</v>
          </cell>
        </row>
        <row r="5072">
          <cell r="A5072" t="str">
            <v>RDONC4CB</v>
          </cell>
          <cell r="B5072">
            <v>0</v>
          </cell>
          <cell r="C5072">
            <v>0</v>
          </cell>
          <cell r="D5072" t="e">
            <v>#VALUE!</v>
          </cell>
          <cell r="E5072" t="e">
            <v>#VALUE!</v>
          </cell>
          <cell r="F5072">
            <v>0</v>
          </cell>
        </row>
        <row r="5073">
          <cell r="A5073" t="str">
            <v>RDONC4BB</v>
          </cell>
          <cell r="B5073">
            <v>0</v>
          </cell>
          <cell r="C5073">
            <v>0</v>
          </cell>
          <cell r="D5073" t="e">
            <v>#VALUE!</v>
          </cell>
          <cell r="E5073" t="e">
            <v>#VALUE!</v>
          </cell>
          <cell r="F5073">
            <v>0</v>
          </cell>
        </row>
        <row r="5074">
          <cell r="A5074" t="str">
            <v>RDONLCTB</v>
          </cell>
          <cell r="B5074">
            <v>4.6347684443813477E-3</v>
          </cell>
          <cell r="C5074">
            <v>0</v>
          </cell>
          <cell r="D5074" t="e">
            <v>#VALUE!</v>
          </cell>
          <cell r="E5074" t="e">
            <v>#VALUE!</v>
          </cell>
          <cell r="F5074">
            <v>0</v>
          </cell>
        </row>
        <row r="5075">
          <cell r="A5075" t="str">
            <v>RDONLLLB</v>
          </cell>
          <cell r="B5075">
            <v>4.6397278468086299E-3</v>
          </cell>
          <cell r="C5075">
            <v>0</v>
          </cell>
          <cell r="D5075" t="e">
            <v>#VALUE!</v>
          </cell>
          <cell r="E5075" t="e">
            <v>#VALUE!</v>
          </cell>
          <cell r="F5075">
            <v>0</v>
          </cell>
        </row>
        <row r="5076">
          <cell r="A5076" t="str">
            <v>RDONLN2B</v>
          </cell>
          <cell r="B5076">
            <v>4.1062302895114366E-4</v>
          </cell>
          <cell r="C5076">
            <v>0</v>
          </cell>
          <cell r="D5076" t="e">
            <v>#VALUE!</v>
          </cell>
          <cell r="E5076" t="e">
            <v>#VALUE!</v>
          </cell>
          <cell r="F5076">
            <v>0</v>
          </cell>
        </row>
        <row r="5077">
          <cell r="A5077" t="str">
            <v>RDONLT2B</v>
          </cell>
          <cell r="B5077">
            <v>4.9133786314473271E-3</v>
          </cell>
          <cell r="C5077">
            <v>0</v>
          </cell>
          <cell r="D5077" t="e">
            <v>#VALUE!</v>
          </cell>
          <cell r="E5077" t="e">
            <v>#VALUE!</v>
          </cell>
          <cell r="F5077">
            <v>0</v>
          </cell>
        </row>
        <row r="5078">
          <cell r="A5078" t="str">
            <v>RDONLN3B</v>
          </cell>
          <cell r="B5078">
            <v>-1.5043813856446171E-3</v>
          </cell>
          <cell r="C5078">
            <v>0</v>
          </cell>
          <cell r="D5078" t="e">
            <v>#VALUE!</v>
          </cell>
          <cell r="E5078" t="e">
            <v>#VALUE!</v>
          </cell>
          <cell r="F5078">
            <v>0</v>
          </cell>
        </row>
        <row r="5079">
          <cell r="A5079" t="str">
            <v>RDONLT3B</v>
          </cell>
          <cell r="B5079">
            <v>-1.5043813856446171E-3</v>
          </cell>
          <cell r="C5079">
            <v>0</v>
          </cell>
          <cell r="D5079" t="e">
            <v>#VALUE!</v>
          </cell>
          <cell r="E5079" t="e">
            <v>#VALUE!</v>
          </cell>
          <cell r="F5079">
            <v>0</v>
          </cell>
        </row>
        <row r="5080">
          <cell r="A5080" t="str">
            <v>RDONMN3B</v>
          </cell>
          <cell r="B5080">
            <v>-1.2809689883908179E-3</v>
          </cell>
          <cell r="C5080">
            <v>0</v>
          </cell>
          <cell r="D5080" t="e">
            <v>#VALUE!</v>
          </cell>
          <cell r="E5080" t="e">
            <v>#VALUE!</v>
          </cell>
          <cell r="F5080">
            <v>0</v>
          </cell>
        </row>
        <row r="5081">
          <cell r="A5081" t="str">
            <v>RDONMN2B</v>
          </cell>
          <cell r="B5081">
            <v>5.1632892952798168E-3</v>
          </cell>
          <cell r="C5081">
            <v>0</v>
          </cell>
          <cell r="D5081" t="e">
            <v>#VALUE!</v>
          </cell>
          <cell r="E5081" t="e">
            <v>#VALUE!</v>
          </cell>
          <cell r="F5081">
            <v>0</v>
          </cell>
        </row>
        <row r="5082">
          <cell r="A5082" t="str">
            <v>RDONNLCB</v>
          </cell>
          <cell r="B5082">
            <v>4.7342372182692877E-3</v>
          </cell>
          <cell r="C5082">
            <v>0</v>
          </cell>
          <cell r="D5082" t="e">
            <v>#VALUE!</v>
          </cell>
          <cell r="E5082" t="e">
            <v>#VALUE!</v>
          </cell>
          <cell r="F5082">
            <v>0</v>
          </cell>
        </row>
        <row r="5083">
          <cell r="A5083" t="str">
            <v>RDONNPRB</v>
          </cell>
          <cell r="B5083">
            <v>1.5086388187355375E-2</v>
          </cell>
          <cell r="C5083">
            <v>0</v>
          </cell>
          <cell r="D5083" t="e">
            <v>#VALUE!</v>
          </cell>
          <cell r="E5083" t="e">
            <v>#VALUE!</v>
          </cell>
          <cell r="F5083">
            <v>0</v>
          </cell>
        </row>
        <row r="5084">
          <cell r="A5084" t="str">
            <v>RDONNPZB</v>
          </cell>
          <cell r="B5084">
            <v>-5.4036534059639661E-5</v>
          </cell>
          <cell r="C5084">
            <v>0</v>
          </cell>
          <cell r="D5084" t="e">
            <v>#VALUE!</v>
          </cell>
          <cell r="E5084" t="e">
            <v>#VALUE!</v>
          </cell>
          <cell r="F5084">
            <v>0</v>
          </cell>
        </row>
        <row r="5085">
          <cell r="A5085" t="str">
            <v>RDONPN2B</v>
          </cell>
          <cell r="B5085">
            <v>2.8522958586806564E-3</v>
          </cell>
          <cell r="C5085">
            <v>0</v>
          </cell>
          <cell r="D5085" t="e">
            <v>#VALUE!</v>
          </cell>
          <cell r="E5085" t="e">
            <v>#VALUE!</v>
          </cell>
          <cell r="F5085">
            <v>0</v>
          </cell>
        </row>
        <row r="5086">
          <cell r="A5086" t="str">
            <v>RDONPT2B</v>
          </cell>
          <cell r="B5086">
            <v>-2.0726435870603555E-3</v>
          </cell>
          <cell r="C5086">
            <v>0</v>
          </cell>
          <cell r="D5086" t="e">
            <v>#VALUE!</v>
          </cell>
          <cell r="E5086" t="e">
            <v>#VALUE!</v>
          </cell>
          <cell r="F5086">
            <v>0</v>
          </cell>
        </row>
        <row r="5087">
          <cell r="A5087" t="str">
            <v>RDONPN3B</v>
          </cell>
          <cell r="B5087">
            <v>-1.137745400440396E-3</v>
          </cell>
          <cell r="C5087">
            <v>0</v>
          </cell>
          <cell r="D5087" t="e">
            <v>#VALUE!</v>
          </cell>
          <cell r="E5087" t="e">
            <v>#VALUE!</v>
          </cell>
          <cell r="F5087">
            <v>0</v>
          </cell>
        </row>
        <row r="5088">
          <cell r="A5088" t="str">
            <v>RDONPT3B</v>
          </cell>
          <cell r="B5088">
            <v>7.6079478717013581E-3</v>
          </cell>
          <cell r="C5088">
            <v>0</v>
          </cell>
          <cell r="D5088" t="e">
            <v>#VALUE!</v>
          </cell>
          <cell r="E5088" t="e">
            <v>#VALUE!</v>
          </cell>
          <cell r="F5088">
            <v>0</v>
          </cell>
        </row>
        <row r="5089">
          <cell r="A5089" t="str">
            <v>RDONSK2B</v>
          </cell>
          <cell r="B5089">
            <v>-1.9964893364462339E-3</v>
          </cell>
          <cell r="C5089">
            <v>0</v>
          </cell>
          <cell r="D5089" t="e">
            <v>#VALUE!</v>
          </cell>
          <cell r="E5089" t="e">
            <v>#VALUE!</v>
          </cell>
          <cell r="F5089">
            <v>0</v>
          </cell>
        </row>
        <row r="5090">
          <cell r="A5090" t="str">
            <v>RDONSK3B</v>
          </cell>
          <cell r="B5090">
            <v>2.1947715131642475E-3</v>
          </cell>
          <cell r="C5090">
            <v>0</v>
          </cell>
          <cell r="D5090" t="e">
            <v>#VALUE!</v>
          </cell>
          <cell r="E5090" t="e">
            <v>#VALUE!</v>
          </cell>
          <cell r="F5090">
            <v>0</v>
          </cell>
        </row>
        <row r="5091">
          <cell r="A5091" t="str">
            <v>RDONMTVB</v>
          </cell>
          <cell r="B5091">
            <v>0</v>
          </cell>
          <cell r="C5091">
            <v>0</v>
          </cell>
          <cell r="D5091" t="e">
            <v>#VALUE!</v>
          </cell>
          <cell r="E5091" t="e">
            <v>#VALUE!</v>
          </cell>
          <cell r="F5091">
            <v>0</v>
          </cell>
        </row>
        <row r="5092">
          <cell r="A5092" t="str">
            <v>RDONALHB</v>
          </cell>
          <cell r="B5092">
            <v>0</v>
          </cell>
          <cell r="C5092">
            <v>0</v>
          </cell>
          <cell r="D5092" t="e">
            <v>#VALUE!</v>
          </cell>
          <cell r="E5092" t="e">
            <v>#VALUE!</v>
          </cell>
          <cell r="F5092">
            <v>0</v>
          </cell>
        </row>
        <row r="5093">
          <cell r="A5093" t="str">
            <v>RNAPLN2B</v>
          </cell>
          <cell r="B5093">
            <v>-1.9248573578358309E-3</v>
          </cell>
          <cell r="C5093">
            <v>0</v>
          </cell>
          <cell r="D5093" t="e">
            <v>#VALUE!</v>
          </cell>
          <cell r="E5093" t="e">
            <v>#VALUE!</v>
          </cell>
          <cell r="F5093">
            <v>0</v>
          </cell>
        </row>
        <row r="5094">
          <cell r="A5094" t="str">
            <v>RNAPLT2B</v>
          </cell>
          <cell r="B5094">
            <v>5.5115809778950803E-3</v>
          </cell>
          <cell r="C5094">
            <v>0</v>
          </cell>
          <cell r="D5094" t="e">
            <v>#VALUE!</v>
          </cell>
          <cell r="E5094" t="e">
            <v>#VALUE!</v>
          </cell>
          <cell r="F5094">
            <v>0</v>
          </cell>
        </row>
        <row r="5095">
          <cell r="A5095" t="str">
            <v>RNAPLN3B</v>
          </cell>
          <cell r="B5095">
            <v>1.7246230639364213E-3</v>
          </cell>
          <cell r="C5095">
            <v>0</v>
          </cell>
          <cell r="D5095" t="e">
            <v>#VALUE!</v>
          </cell>
          <cell r="E5095" t="e">
            <v>#VALUE!</v>
          </cell>
          <cell r="F5095">
            <v>0</v>
          </cell>
        </row>
        <row r="5096">
          <cell r="A5096" t="str">
            <v>RNAPLT3B</v>
          </cell>
          <cell r="B5096">
            <v>1.7319915793861632E-3</v>
          </cell>
          <cell r="C5096">
            <v>0</v>
          </cell>
          <cell r="D5096" t="e">
            <v>#VALUE!</v>
          </cell>
          <cell r="E5096" t="e">
            <v>#VALUE!</v>
          </cell>
          <cell r="F5096">
            <v>0</v>
          </cell>
        </row>
        <row r="5097">
          <cell r="A5097" t="str">
            <v>RNAPMN3B</v>
          </cell>
          <cell r="B5097">
            <v>-3.8826342851516777E-3</v>
          </cell>
          <cell r="C5097">
            <v>0</v>
          </cell>
          <cell r="D5097" t="e">
            <v>#VALUE!</v>
          </cell>
          <cell r="E5097" t="e">
            <v>#VALUE!</v>
          </cell>
          <cell r="F5097">
            <v>0</v>
          </cell>
        </row>
        <row r="5098">
          <cell r="A5098" t="str">
            <v>RNAPMN2B</v>
          </cell>
          <cell r="B5098">
            <v>2.5495499672291621E-3</v>
          </cell>
          <cell r="C5098">
            <v>0</v>
          </cell>
          <cell r="D5098" t="e">
            <v>#VALUE!</v>
          </cell>
          <cell r="E5098" t="e">
            <v>#VALUE!</v>
          </cell>
          <cell r="F5098">
            <v>0</v>
          </cell>
        </row>
        <row r="5099">
          <cell r="A5099" t="str">
            <v>RNAPNPRB</v>
          </cell>
          <cell r="B5099">
            <v>3.4128465035679905E-3</v>
          </cell>
          <cell r="C5099">
            <v>0</v>
          </cell>
          <cell r="D5099" t="e">
            <v>#VALUE!</v>
          </cell>
          <cell r="E5099" t="e">
            <v>#VALUE!</v>
          </cell>
          <cell r="F5099">
            <v>0</v>
          </cell>
        </row>
        <row r="5100">
          <cell r="A5100" t="str">
            <v>RNAPNPZB</v>
          </cell>
          <cell r="B5100">
            <v>-3.106245324525931E-4</v>
          </cell>
          <cell r="C5100">
            <v>0</v>
          </cell>
          <cell r="D5100" t="e">
            <v>#VALUE!</v>
          </cell>
          <cell r="E5100" t="e">
            <v>#VALUE!</v>
          </cell>
          <cell r="F5100">
            <v>0</v>
          </cell>
        </row>
        <row r="5101">
          <cell r="A5101" t="str">
            <v>RNAPPN2B</v>
          </cell>
          <cell r="B5101">
            <v>1.4625646034016413E-3</v>
          </cell>
          <cell r="C5101">
            <v>0</v>
          </cell>
          <cell r="D5101" t="e">
            <v>#VALUE!</v>
          </cell>
          <cell r="E5101" t="e">
            <v>#VALUE!</v>
          </cell>
          <cell r="F5101">
            <v>0</v>
          </cell>
        </row>
        <row r="5102">
          <cell r="A5102" t="str">
            <v>RNAPPT2B</v>
          </cell>
          <cell r="B5102">
            <v>-9.6536592679251343E-4</v>
          </cell>
          <cell r="C5102">
            <v>0</v>
          </cell>
          <cell r="D5102" t="e">
            <v>#VALUE!</v>
          </cell>
          <cell r="E5102" t="e">
            <v>#VALUE!</v>
          </cell>
          <cell r="F5102">
            <v>0</v>
          </cell>
        </row>
        <row r="5103">
          <cell r="A5103" t="str">
            <v>RNAPPN3B</v>
          </cell>
          <cell r="B5103">
            <v>-5.5026428844067686E-3</v>
          </cell>
          <cell r="C5103">
            <v>0</v>
          </cell>
          <cell r="D5103" t="e">
            <v>#VALUE!</v>
          </cell>
          <cell r="E5103" t="e">
            <v>#VALUE!</v>
          </cell>
          <cell r="F5103">
            <v>0</v>
          </cell>
        </row>
        <row r="5104">
          <cell r="A5104" t="str">
            <v>RNAPSK2B</v>
          </cell>
          <cell r="B5104">
            <v>-3.7062102829585367E-5</v>
          </cell>
          <cell r="C5104">
            <v>0</v>
          </cell>
          <cell r="D5104" t="e">
            <v>#VALUE!</v>
          </cell>
          <cell r="E5104" t="e">
            <v>#VALUE!</v>
          </cell>
          <cell r="F5104">
            <v>0</v>
          </cell>
        </row>
        <row r="5105">
          <cell r="A5105" t="str">
            <v>RNAPSK3B</v>
          </cell>
          <cell r="B5105">
            <v>3.5261939778237855E-5</v>
          </cell>
          <cell r="C5105">
            <v>0</v>
          </cell>
          <cell r="D5105" t="e">
            <v>#VALUE!</v>
          </cell>
          <cell r="E5105" t="e">
            <v>#VALUE!</v>
          </cell>
          <cell r="F5105">
            <v>0</v>
          </cell>
        </row>
        <row r="5106">
          <cell r="A5106" t="str">
            <v>RAROKJPB</v>
          </cell>
          <cell r="B5106">
            <v>2.8962245687032245E-3</v>
          </cell>
          <cell r="C5106">
            <v>0</v>
          </cell>
          <cell r="D5106" t="e">
            <v>#VALUE!</v>
          </cell>
          <cell r="E5106" t="e">
            <v>#VALUE!</v>
          </cell>
          <cell r="F5106">
            <v>0</v>
          </cell>
        </row>
        <row r="5107">
          <cell r="A5107" t="str">
            <v>RAROLCTB</v>
          </cell>
          <cell r="B5107">
            <v>4.9076687192946213E-4</v>
          </cell>
          <cell r="C5107">
            <v>0</v>
          </cell>
          <cell r="D5107" t="e">
            <v>#VALUE!</v>
          </cell>
          <cell r="E5107" t="e">
            <v>#VALUE!</v>
          </cell>
          <cell r="F5107">
            <v>0</v>
          </cell>
        </row>
        <row r="5108">
          <cell r="A5108" t="str">
            <v>RAROLK2B</v>
          </cell>
          <cell r="B5108">
            <v>-1.0968935058409529E-3</v>
          </cell>
          <cell r="C5108">
            <v>0</v>
          </cell>
          <cell r="D5108" t="e">
            <v>#VALUE!</v>
          </cell>
          <cell r="E5108" t="e">
            <v>#VALUE!</v>
          </cell>
          <cell r="F5108">
            <v>0</v>
          </cell>
        </row>
        <row r="5109">
          <cell r="A5109" t="str">
            <v>RAROLK3B</v>
          </cell>
          <cell r="B5109">
            <v>3.0967678741820248E-3</v>
          </cell>
          <cell r="C5109">
            <v>0</v>
          </cell>
          <cell r="D5109" t="e">
            <v>#VALUE!</v>
          </cell>
          <cell r="E5109" t="e">
            <v>#VALUE!</v>
          </cell>
          <cell r="F5109">
            <v>0</v>
          </cell>
        </row>
        <row r="5110">
          <cell r="A5110" t="str">
            <v>RAROLLLB</v>
          </cell>
          <cell r="B5110">
            <v>5.4269457496670774E-4</v>
          </cell>
          <cell r="C5110">
            <v>0</v>
          </cell>
          <cell r="D5110" t="e">
            <v>#VALUE!</v>
          </cell>
          <cell r="E5110" t="e">
            <v>#VALUE!</v>
          </cell>
          <cell r="F5110">
            <v>0</v>
          </cell>
        </row>
        <row r="5111">
          <cell r="A5111" t="str">
            <v>RAROLN2B</v>
          </cell>
          <cell r="B5111">
            <v>-2.9743661003556643E-4</v>
          </cell>
          <cell r="C5111">
            <v>0</v>
          </cell>
          <cell r="D5111" t="e">
            <v>#VALUE!</v>
          </cell>
          <cell r="E5111" t="e">
            <v>#VALUE!</v>
          </cell>
          <cell r="F5111">
            <v>0</v>
          </cell>
        </row>
        <row r="5112">
          <cell r="A5112" t="str">
            <v>RAROLT2B</v>
          </cell>
          <cell r="B5112">
            <v>-1.1211705139779554E-3</v>
          </cell>
          <cell r="C5112">
            <v>0</v>
          </cell>
          <cell r="D5112" t="e">
            <v>#VALUE!</v>
          </cell>
          <cell r="E5112" t="e">
            <v>#VALUE!</v>
          </cell>
          <cell r="F5112">
            <v>0</v>
          </cell>
        </row>
        <row r="5113">
          <cell r="A5113" t="str">
            <v>RAROLN3B</v>
          </cell>
          <cell r="B5113">
            <v>3.1703058497716689E-6</v>
          </cell>
          <cell r="C5113">
            <v>0</v>
          </cell>
          <cell r="D5113" t="e">
            <v>#VALUE!</v>
          </cell>
          <cell r="E5113" t="e">
            <v>#VALUE!</v>
          </cell>
          <cell r="F5113">
            <v>0</v>
          </cell>
        </row>
        <row r="5114">
          <cell r="A5114" t="str">
            <v>RAROLT3B</v>
          </cell>
          <cell r="B5114">
            <v>2.4227209797274633E-6</v>
          </cell>
          <cell r="C5114">
            <v>0</v>
          </cell>
          <cell r="D5114" t="e">
            <v>#VALUE!</v>
          </cell>
          <cell r="E5114" t="e">
            <v>#VALUE!</v>
          </cell>
          <cell r="F5114">
            <v>0</v>
          </cell>
        </row>
        <row r="5115">
          <cell r="A5115" t="str">
            <v>RAROMN3B</v>
          </cell>
          <cell r="B5115">
            <v>-1.4858810386177126E-6</v>
          </cell>
          <cell r="C5115">
            <v>0</v>
          </cell>
          <cell r="D5115" t="e">
            <v>#VALUE!</v>
          </cell>
          <cell r="E5115" t="e">
            <v>#VALUE!</v>
          </cell>
          <cell r="F5115">
            <v>0</v>
          </cell>
        </row>
        <row r="5116">
          <cell r="A5116" t="str">
            <v>RAROMN2B</v>
          </cell>
          <cell r="B5116">
            <v>-2.9210753195475761E-6</v>
          </cell>
          <cell r="C5116">
            <v>0</v>
          </cell>
          <cell r="D5116" t="e">
            <v>#VALUE!</v>
          </cell>
          <cell r="E5116" t="e">
            <v>#VALUE!</v>
          </cell>
          <cell r="F5116">
            <v>0</v>
          </cell>
        </row>
        <row r="5117">
          <cell r="A5117" t="str">
            <v>RARONPRB</v>
          </cell>
          <cell r="B5117">
            <v>-3.9772477367739766E-3</v>
          </cell>
          <cell r="C5117">
            <v>0</v>
          </cell>
          <cell r="D5117" t="e">
            <v>#VALUE!</v>
          </cell>
          <cell r="E5117" t="e">
            <v>#VALUE!</v>
          </cell>
          <cell r="F5117">
            <v>0</v>
          </cell>
        </row>
        <row r="5118">
          <cell r="A5118" t="str">
            <v>RARONPZB</v>
          </cell>
          <cell r="B5118">
            <v>-7.8714680379537278E-4</v>
          </cell>
          <cell r="C5118">
            <v>0</v>
          </cell>
          <cell r="D5118" t="e">
            <v>#VALUE!</v>
          </cell>
          <cell r="E5118" t="e">
            <v>#VALUE!</v>
          </cell>
          <cell r="F5118">
            <v>0</v>
          </cell>
        </row>
        <row r="5119">
          <cell r="A5119" t="str">
            <v>RAROPN2B</v>
          </cell>
          <cell r="B5119">
            <v>-1.3070212254716938E-3</v>
          </cell>
          <cell r="C5119">
            <v>0</v>
          </cell>
          <cell r="D5119" t="e">
            <v>#VALUE!</v>
          </cell>
          <cell r="E5119" t="e">
            <v>#VALUE!</v>
          </cell>
          <cell r="F5119">
            <v>0</v>
          </cell>
        </row>
        <row r="5120">
          <cell r="A5120" t="str">
            <v>RAROPT2B</v>
          </cell>
          <cell r="B5120">
            <v>-3.0123944470438824E-4</v>
          </cell>
          <cell r="C5120">
            <v>0</v>
          </cell>
          <cell r="D5120" t="e">
            <v>#VALUE!</v>
          </cell>
          <cell r="E5120" t="e">
            <v>#VALUE!</v>
          </cell>
          <cell r="F5120">
            <v>0</v>
          </cell>
        </row>
        <row r="5121">
          <cell r="A5121" t="str">
            <v>RAROPN3B</v>
          </cell>
          <cell r="B5121">
            <v>-4.9245216781456877E-4</v>
          </cell>
          <cell r="C5121">
            <v>0</v>
          </cell>
          <cell r="D5121" t="e">
            <v>#VALUE!</v>
          </cell>
          <cell r="E5121" t="e">
            <v>#VALUE!</v>
          </cell>
          <cell r="F5121">
            <v>0</v>
          </cell>
        </row>
        <row r="5122">
          <cell r="A5122" t="str">
            <v>RAROSK2B</v>
          </cell>
          <cell r="B5122">
            <v>5.6828649464216445E-6</v>
          </cell>
          <cell r="C5122">
            <v>0</v>
          </cell>
          <cell r="D5122" t="e">
            <v>#VALUE!</v>
          </cell>
          <cell r="E5122" t="e">
            <v>#VALUE!</v>
          </cell>
          <cell r="F5122">
            <v>0</v>
          </cell>
        </row>
        <row r="5123">
          <cell r="A5123" t="str">
            <v>RAROSK3B</v>
          </cell>
          <cell r="B5123">
            <v>-1.6624661891486765E-5</v>
          </cell>
          <cell r="C5123">
            <v>0</v>
          </cell>
          <cell r="D5123" t="e">
            <v>#VALUE!</v>
          </cell>
          <cell r="E5123" t="e">
            <v>#VALUE!</v>
          </cell>
          <cell r="F5123">
            <v>0</v>
          </cell>
        </row>
        <row r="5124">
          <cell r="A5124" t="str">
            <v>RAROSG2B</v>
          </cell>
          <cell r="B5124">
            <v>-3.3344750491242809E-6</v>
          </cell>
          <cell r="C5124">
            <v>0</v>
          </cell>
          <cell r="D5124" t="e">
            <v>#VALUE!</v>
          </cell>
          <cell r="E5124" t="e">
            <v>#VALUE!</v>
          </cell>
          <cell r="F5124">
            <v>0</v>
          </cell>
        </row>
        <row r="5125">
          <cell r="A5125" t="str">
            <v>RAROSG3B</v>
          </cell>
          <cell r="B5125">
            <v>-3.2708046334958716E-6</v>
          </cell>
          <cell r="C5125">
            <v>0</v>
          </cell>
          <cell r="D5125" t="e">
            <v>#VALUE!</v>
          </cell>
          <cell r="E5125" t="e">
            <v>#VALUE!</v>
          </cell>
          <cell r="F5125">
            <v>0</v>
          </cell>
        </row>
        <row r="5126">
          <cell r="A5126" t="str">
            <v>R360HTFB</v>
          </cell>
          <cell r="B5126">
            <v>-4.8093674097159138E-2</v>
          </cell>
          <cell r="C5126">
            <v>0</v>
          </cell>
          <cell r="D5126" t="e">
            <v>#VALUE!</v>
          </cell>
          <cell r="E5126" t="e">
            <v>#VALUE!</v>
          </cell>
          <cell r="F5126">
            <v>0</v>
          </cell>
        </row>
        <row r="5127">
          <cell r="A5127" t="str">
            <v>R360HTZB</v>
          </cell>
          <cell r="B5127">
            <v>-4.8093674097159138E-2</v>
          </cell>
          <cell r="C5127">
            <v>0</v>
          </cell>
          <cell r="D5127" t="e">
            <v>#VALUE!</v>
          </cell>
          <cell r="E5127" t="e">
            <v>#VALUE!</v>
          </cell>
          <cell r="F5127">
            <v>0</v>
          </cell>
        </row>
        <row r="5128">
          <cell r="A5128" t="str">
            <v>R360PGOB</v>
          </cell>
          <cell r="B5128">
            <v>0.14104322148104237</v>
          </cell>
          <cell r="C5128">
            <v>0</v>
          </cell>
          <cell r="D5128" t="e">
            <v>#VALUE!</v>
          </cell>
          <cell r="E5128" t="e">
            <v>#VALUE!</v>
          </cell>
          <cell r="F5128">
            <v>0</v>
          </cell>
        </row>
        <row r="5129">
          <cell r="A5129" t="str">
            <v>RN2ACP2B</v>
          </cell>
          <cell r="B5129">
            <v>0</v>
          </cell>
          <cell r="C5129">
            <v>0</v>
          </cell>
          <cell r="D5129" t="e">
            <v>#VALUE!</v>
          </cell>
          <cell r="E5129" t="e">
            <v>#VALUE!</v>
          </cell>
          <cell r="F5129">
            <v>0</v>
          </cell>
        </row>
        <row r="5130">
          <cell r="A5130" t="str">
            <v>RN2ALN2B</v>
          </cell>
          <cell r="B5130">
            <v>-1.268335581716363E-3</v>
          </cell>
          <cell r="C5130">
            <v>0</v>
          </cell>
          <cell r="D5130" t="e">
            <v>#VALUE!</v>
          </cell>
          <cell r="E5130" t="e">
            <v>#VALUE!</v>
          </cell>
          <cell r="F5130">
            <v>0</v>
          </cell>
        </row>
        <row r="5131">
          <cell r="A5131" t="str">
            <v>RN2ALN3B</v>
          </cell>
          <cell r="B5131">
            <v>7.3644524530969293E-5</v>
          </cell>
          <cell r="C5131">
            <v>0</v>
          </cell>
          <cell r="D5131" t="e">
            <v>#VALUE!</v>
          </cell>
          <cell r="E5131" t="e">
            <v>#VALUE!</v>
          </cell>
          <cell r="F5131">
            <v>0</v>
          </cell>
        </row>
        <row r="5132">
          <cell r="A5132" t="str">
            <v>RN2AMN3B</v>
          </cell>
          <cell r="B5132">
            <v>1.15294253605934E-5</v>
          </cell>
          <cell r="C5132">
            <v>0</v>
          </cell>
          <cell r="D5132" t="e">
            <v>#VALUE!</v>
          </cell>
          <cell r="E5132" t="e">
            <v>#VALUE!</v>
          </cell>
          <cell r="F5132">
            <v>0</v>
          </cell>
        </row>
        <row r="5133">
          <cell r="A5133" t="str">
            <v>RN2AMN2B</v>
          </cell>
          <cell r="B5133">
            <v>-1.2805231600483139E-5</v>
          </cell>
          <cell r="C5133">
            <v>0</v>
          </cell>
          <cell r="D5133" t="e">
            <v>#VALUE!</v>
          </cell>
          <cell r="E5133" t="e">
            <v>#VALUE!</v>
          </cell>
          <cell r="F5133">
            <v>0</v>
          </cell>
        </row>
        <row r="5134">
          <cell r="A5134" t="str">
            <v>RN2APGCB</v>
          </cell>
          <cell r="B5134">
            <v>1.1492366207227723E-3</v>
          </cell>
          <cell r="C5134">
            <v>0</v>
          </cell>
          <cell r="D5134" t="e">
            <v>#VALUE!</v>
          </cell>
          <cell r="E5134" t="e">
            <v>#VALUE!</v>
          </cell>
          <cell r="F5134">
            <v>0</v>
          </cell>
        </row>
        <row r="5135">
          <cell r="A5135" t="str">
            <v>RN2APN2B</v>
          </cell>
          <cell r="B5135">
            <v>-8.4294574213021264E-3</v>
          </cell>
          <cell r="C5135">
            <v>0</v>
          </cell>
          <cell r="D5135" t="e">
            <v>#VALUE!</v>
          </cell>
          <cell r="E5135" t="e">
            <v>#VALUE!</v>
          </cell>
          <cell r="F5135">
            <v>0</v>
          </cell>
        </row>
        <row r="5136">
          <cell r="A5136" t="str">
            <v>RN2APT2B</v>
          </cell>
          <cell r="B5136">
            <v>6.2101858170473417E-4</v>
          </cell>
          <cell r="C5136">
            <v>0</v>
          </cell>
          <cell r="D5136" t="e">
            <v>#VALUE!</v>
          </cell>
          <cell r="E5136" t="e">
            <v>#VALUE!</v>
          </cell>
          <cell r="F5136">
            <v>0</v>
          </cell>
        </row>
        <row r="5137">
          <cell r="A5137" t="str">
            <v>RN2APN3B</v>
          </cell>
          <cell r="B5137">
            <v>-1.3513455098849316E-2</v>
          </cell>
          <cell r="C5137">
            <v>0</v>
          </cell>
          <cell r="D5137" t="e">
            <v>#VALUE!</v>
          </cell>
          <cell r="E5137" t="e">
            <v>#VALUE!</v>
          </cell>
          <cell r="F5137">
            <v>0</v>
          </cell>
        </row>
        <row r="5138">
          <cell r="A5138" t="str">
            <v>RN2APT3B</v>
          </cell>
          <cell r="B5138">
            <v>-1.9703719057365995E-2</v>
          </cell>
          <cell r="C5138">
            <v>0</v>
          </cell>
          <cell r="D5138" t="e">
            <v>#VALUE!</v>
          </cell>
          <cell r="E5138" t="e">
            <v>#VALUE!</v>
          </cell>
          <cell r="F5138">
            <v>0</v>
          </cell>
        </row>
        <row r="5139">
          <cell r="A5139" t="str">
            <v>RN2ARFFB</v>
          </cell>
          <cell r="B5139">
            <v>-6.9666420583204963E-3</v>
          </cell>
          <cell r="C5139">
            <v>0</v>
          </cell>
          <cell r="D5139" t="e">
            <v>#VALUE!</v>
          </cell>
          <cell r="E5139" t="e">
            <v>#VALUE!</v>
          </cell>
          <cell r="F5139">
            <v>0</v>
          </cell>
        </row>
        <row r="5140">
          <cell r="A5140" t="str">
            <v>RN2ASK2B</v>
          </cell>
          <cell r="B5140">
            <v>-3.2233343938981944E-5</v>
          </cell>
          <cell r="C5140">
            <v>0</v>
          </cell>
          <cell r="D5140" t="e">
            <v>#VALUE!</v>
          </cell>
          <cell r="E5140" t="e">
            <v>#VALUE!</v>
          </cell>
          <cell r="F5140">
            <v>0</v>
          </cell>
        </row>
        <row r="5141">
          <cell r="A5141" t="str">
            <v>RN2ASK3B</v>
          </cell>
          <cell r="B5141">
            <v>-1.3508109999473736E-6</v>
          </cell>
          <cell r="C5141">
            <v>0</v>
          </cell>
          <cell r="D5141" t="e">
            <v>#VALUE!</v>
          </cell>
          <cell r="E5141" t="e">
            <v>#VALUE!</v>
          </cell>
          <cell r="F5141">
            <v>0</v>
          </cell>
        </row>
        <row r="5142">
          <cell r="A5142" t="str">
            <v>RN2AU1FB</v>
          </cell>
          <cell r="B5142">
            <v>-1.6361566647976535E-3</v>
          </cell>
          <cell r="C5142">
            <v>0</v>
          </cell>
          <cell r="D5142" t="e">
            <v>#VALUE!</v>
          </cell>
          <cell r="E5142" t="e">
            <v>#VALUE!</v>
          </cell>
          <cell r="F5142">
            <v>0</v>
          </cell>
        </row>
        <row r="5143">
          <cell r="A5143" t="str">
            <v>RN2AU2FB</v>
          </cell>
          <cell r="B5143">
            <v>-8.7167828639581318E-3</v>
          </cell>
          <cell r="C5143">
            <v>0</v>
          </cell>
          <cell r="D5143" t="e">
            <v>#VALUE!</v>
          </cell>
          <cell r="E5143" t="e">
            <v>#VALUE!</v>
          </cell>
          <cell r="F5143">
            <v>0</v>
          </cell>
        </row>
        <row r="5144">
          <cell r="A5144" t="str">
            <v>RBENLCTB</v>
          </cell>
          <cell r="B5144">
            <v>-8.4702189924926592E-5</v>
          </cell>
          <cell r="C5144">
            <v>0</v>
          </cell>
          <cell r="D5144" t="e">
            <v>#VALUE!</v>
          </cell>
          <cell r="E5144" t="e">
            <v>#VALUE!</v>
          </cell>
          <cell r="F5144">
            <v>0</v>
          </cell>
        </row>
        <row r="5145">
          <cell r="A5145" t="str">
            <v>RBENLLLB</v>
          </cell>
          <cell r="B5145">
            <v>-8.4702189924926592E-5</v>
          </cell>
          <cell r="C5145">
            <v>0</v>
          </cell>
          <cell r="D5145" t="e">
            <v>#VALUE!</v>
          </cell>
          <cell r="E5145" t="e">
            <v>#VALUE!</v>
          </cell>
          <cell r="F5145">
            <v>0</v>
          </cell>
        </row>
        <row r="5146">
          <cell r="A5146" t="str">
            <v>RBENLN2B</v>
          </cell>
          <cell r="B5146">
            <v>-1.9649598852557162E-6</v>
          </cell>
          <cell r="C5146">
            <v>0</v>
          </cell>
          <cell r="D5146" t="e">
            <v>#VALUE!</v>
          </cell>
          <cell r="E5146" t="e">
            <v>#VALUE!</v>
          </cell>
          <cell r="F5146">
            <v>0</v>
          </cell>
        </row>
        <row r="5147">
          <cell r="A5147" t="str">
            <v>RBENLT2B</v>
          </cell>
          <cell r="B5147">
            <v>9.7435306639603718E-6</v>
          </cell>
          <cell r="C5147">
            <v>0</v>
          </cell>
          <cell r="D5147" t="e">
            <v>#VALUE!</v>
          </cell>
          <cell r="E5147" t="e">
            <v>#VALUE!</v>
          </cell>
          <cell r="F5147">
            <v>0</v>
          </cell>
        </row>
        <row r="5148">
          <cell r="A5148" t="str">
            <v>RBENLN3B</v>
          </cell>
          <cell r="B5148">
            <v>9.9143473191785002E-7</v>
          </cell>
          <cell r="C5148">
            <v>0</v>
          </cell>
          <cell r="D5148" t="e">
            <v>#VALUE!</v>
          </cell>
          <cell r="E5148" t="e">
            <v>#VALUE!</v>
          </cell>
          <cell r="F5148">
            <v>0</v>
          </cell>
        </row>
        <row r="5149">
          <cell r="A5149" t="str">
            <v>RBENLT3B</v>
          </cell>
          <cell r="B5149">
            <v>9.8584094813890116E-7</v>
          </cell>
          <cell r="C5149">
            <v>0</v>
          </cell>
          <cell r="D5149" t="e">
            <v>#VALUE!</v>
          </cell>
          <cell r="E5149" t="e">
            <v>#VALUE!</v>
          </cell>
          <cell r="F5149">
            <v>0</v>
          </cell>
        </row>
        <row r="5150">
          <cell r="A5150" t="str">
            <v>RBENMN3B</v>
          </cell>
          <cell r="B5150">
            <v>-1.6571028662501828E-7</v>
          </cell>
          <cell r="C5150">
            <v>0</v>
          </cell>
          <cell r="D5150" t="e">
            <v>#VALUE!</v>
          </cell>
          <cell r="E5150" t="e">
            <v>#VALUE!</v>
          </cell>
          <cell r="F5150">
            <v>0</v>
          </cell>
        </row>
        <row r="5151">
          <cell r="A5151" t="str">
            <v>RBENMN2B</v>
          </cell>
          <cell r="B5151">
            <v>-8.046223823939353E-7</v>
          </cell>
          <cell r="C5151">
            <v>0</v>
          </cell>
          <cell r="D5151" t="e">
            <v>#VALUE!</v>
          </cell>
          <cell r="E5151" t="e">
            <v>#VALUE!</v>
          </cell>
          <cell r="F5151">
            <v>0</v>
          </cell>
        </row>
        <row r="5152">
          <cell r="A5152" t="str">
            <v>RBENNLCB</v>
          </cell>
          <cell r="B5152">
            <v>1.7225280684564096E-4</v>
          </cell>
          <cell r="C5152">
            <v>0</v>
          </cell>
          <cell r="D5152" t="e">
            <v>#VALUE!</v>
          </cell>
          <cell r="E5152" t="e">
            <v>#VALUE!</v>
          </cell>
          <cell r="F5152">
            <v>0</v>
          </cell>
        </row>
        <row r="5153">
          <cell r="A5153" t="str">
            <v>RBENNPRB</v>
          </cell>
          <cell r="B5153">
            <v>1.2306384195317276E-4</v>
          </cell>
          <cell r="C5153">
            <v>0</v>
          </cell>
          <cell r="D5153" t="e">
            <v>#VALUE!</v>
          </cell>
          <cell r="E5153" t="e">
            <v>#VALUE!</v>
          </cell>
          <cell r="F5153">
            <v>0</v>
          </cell>
        </row>
        <row r="5154">
          <cell r="A5154" t="str">
            <v>RBENNPZB</v>
          </cell>
          <cell r="B5154">
            <v>4.0883381259920669E-5</v>
          </cell>
          <cell r="C5154">
            <v>0</v>
          </cell>
          <cell r="D5154" t="e">
            <v>#VALUE!</v>
          </cell>
          <cell r="E5154" t="e">
            <v>#VALUE!</v>
          </cell>
          <cell r="F5154">
            <v>0</v>
          </cell>
        </row>
        <row r="5155">
          <cell r="A5155" t="str">
            <v>RBENPN2B</v>
          </cell>
          <cell r="B5155">
            <v>6.6552945626059128E-5</v>
          </cell>
          <cell r="C5155">
            <v>0</v>
          </cell>
          <cell r="D5155" t="e">
            <v>#VALUE!</v>
          </cell>
          <cell r="E5155" t="e">
            <v>#VALUE!</v>
          </cell>
          <cell r="F5155">
            <v>0</v>
          </cell>
        </row>
        <row r="5156">
          <cell r="A5156" t="str">
            <v>RBENPT2B</v>
          </cell>
          <cell r="B5156">
            <v>-9.2692582971684632E-6</v>
          </cell>
          <cell r="C5156">
            <v>0</v>
          </cell>
          <cell r="D5156" t="e">
            <v>#VALUE!</v>
          </cell>
          <cell r="E5156" t="e">
            <v>#VALUE!</v>
          </cell>
          <cell r="F5156">
            <v>0</v>
          </cell>
        </row>
        <row r="5157">
          <cell r="A5157" t="str">
            <v>RBENPN3B</v>
          </cell>
          <cell r="B5157">
            <v>5.6500706318262294E-7</v>
          </cell>
          <cell r="C5157">
            <v>0</v>
          </cell>
          <cell r="D5157" t="e">
            <v>#VALUE!</v>
          </cell>
          <cell r="E5157" t="e">
            <v>#VALUE!</v>
          </cell>
          <cell r="F5157">
            <v>0</v>
          </cell>
        </row>
        <row r="5158">
          <cell r="A5158" t="str">
            <v>RBENPT3B</v>
          </cell>
          <cell r="B5158">
            <v>-2.0393214519075025E-4</v>
          </cell>
          <cell r="C5158">
            <v>0</v>
          </cell>
          <cell r="D5158" t="e">
            <v>#VALUE!</v>
          </cell>
          <cell r="E5158" t="e">
            <v>#VALUE!</v>
          </cell>
          <cell r="F5158">
            <v>0</v>
          </cell>
        </row>
        <row r="5159">
          <cell r="A5159" t="str">
            <v>RXNLLN2B</v>
          </cell>
          <cell r="B5159">
            <v>5.3951793847835227E-3</v>
          </cell>
          <cell r="C5159">
            <v>0</v>
          </cell>
          <cell r="D5159" t="e">
            <v>#VALUE!</v>
          </cell>
          <cell r="E5159" t="e">
            <v>#VALUE!</v>
          </cell>
          <cell r="F5159">
            <v>0</v>
          </cell>
        </row>
        <row r="5160">
          <cell r="A5160" t="str">
            <v>RXNLLT2B</v>
          </cell>
          <cell r="B5160">
            <v>6.2580021056743282E-3</v>
          </cell>
          <cell r="C5160">
            <v>0</v>
          </cell>
          <cell r="D5160" t="e">
            <v>#VALUE!</v>
          </cell>
          <cell r="E5160" t="e">
            <v>#VALUE!</v>
          </cell>
          <cell r="F5160">
            <v>0</v>
          </cell>
        </row>
        <row r="5161">
          <cell r="A5161" t="str">
            <v>RXNLLN3B</v>
          </cell>
          <cell r="B5161">
            <v>1.1773432231402944E-4</v>
          </cell>
          <cell r="C5161">
            <v>0</v>
          </cell>
          <cell r="D5161" t="e">
            <v>#VALUE!</v>
          </cell>
          <cell r="E5161" t="e">
            <v>#VALUE!</v>
          </cell>
          <cell r="F5161">
            <v>0</v>
          </cell>
        </row>
        <row r="5162">
          <cell r="A5162" t="str">
            <v>RXNLLT3B</v>
          </cell>
          <cell r="B5162">
            <v>1.3975933078941188E-4</v>
          </cell>
          <cell r="C5162">
            <v>0</v>
          </cell>
          <cell r="D5162" t="e">
            <v>#VALUE!</v>
          </cell>
          <cell r="E5162" t="e">
            <v>#VALUE!</v>
          </cell>
          <cell r="F5162">
            <v>0</v>
          </cell>
        </row>
        <row r="5163">
          <cell r="A5163" t="str">
            <v>RXNLMN3B</v>
          </cell>
          <cell r="B5163">
            <v>-1.5958692258134587E-4</v>
          </cell>
          <cell r="C5163">
            <v>0</v>
          </cell>
          <cell r="D5163" t="e">
            <v>#VALUE!</v>
          </cell>
          <cell r="E5163" t="e">
            <v>#VALUE!</v>
          </cell>
          <cell r="F5163">
            <v>0</v>
          </cell>
        </row>
        <row r="5164">
          <cell r="A5164" t="str">
            <v>RXNLMN2B</v>
          </cell>
          <cell r="B5164">
            <v>-1.2550936287830341E-4</v>
          </cell>
          <cell r="C5164">
            <v>0</v>
          </cell>
          <cell r="D5164" t="e">
            <v>#VALUE!</v>
          </cell>
          <cell r="E5164" t="e">
            <v>#VALUE!</v>
          </cell>
          <cell r="F5164">
            <v>0</v>
          </cell>
        </row>
        <row r="5165">
          <cell r="A5165" t="str">
            <v>RXNLNLCB</v>
          </cell>
          <cell r="B5165">
            <v>1.9907945948046926E-3</v>
          </cell>
          <cell r="C5165">
            <v>0</v>
          </cell>
          <cell r="D5165" t="e">
            <v>#VALUE!</v>
          </cell>
          <cell r="E5165" t="e">
            <v>#VALUE!</v>
          </cell>
          <cell r="F5165">
            <v>0</v>
          </cell>
        </row>
        <row r="5166">
          <cell r="A5166" t="str">
            <v>RXNLNPRB</v>
          </cell>
          <cell r="B5166">
            <v>7.2181299379038026E-3</v>
          </cell>
          <cell r="C5166">
            <v>0</v>
          </cell>
          <cell r="D5166" t="e">
            <v>#VALUE!</v>
          </cell>
          <cell r="E5166" t="e">
            <v>#VALUE!</v>
          </cell>
          <cell r="F5166">
            <v>0</v>
          </cell>
        </row>
        <row r="5167">
          <cell r="A5167" t="str">
            <v>RXNLNPZB</v>
          </cell>
          <cell r="B5167">
            <v>4.1958877521771172E-3</v>
          </cell>
          <cell r="C5167">
            <v>0</v>
          </cell>
          <cell r="D5167" t="e">
            <v>#VALUE!</v>
          </cell>
          <cell r="E5167" t="e">
            <v>#VALUE!</v>
          </cell>
          <cell r="F5167">
            <v>0</v>
          </cell>
        </row>
        <row r="5168">
          <cell r="A5168" t="str">
            <v>RXNLPN2B</v>
          </cell>
          <cell r="B5168">
            <v>-5.2645561326779939E-4</v>
          </cell>
          <cell r="C5168">
            <v>0</v>
          </cell>
          <cell r="D5168" t="e">
            <v>#VALUE!</v>
          </cell>
          <cell r="E5168" t="e">
            <v>#VALUE!</v>
          </cell>
          <cell r="F5168">
            <v>0</v>
          </cell>
        </row>
        <row r="5169">
          <cell r="A5169" t="str">
            <v>RXNLPT2B</v>
          </cell>
          <cell r="B5169">
            <v>-6.941361539187176E-5</v>
          </cell>
          <cell r="C5169">
            <v>0</v>
          </cell>
          <cell r="D5169" t="e">
            <v>#VALUE!</v>
          </cell>
          <cell r="E5169" t="e">
            <v>#VALUE!</v>
          </cell>
          <cell r="F5169">
            <v>0</v>
          </cell>
        </row>
        <row r="5170">
          <cell r="A5170" t="str">
            <v>RXNLPN3B</v>
          </cell>
          <cell r="B5170">
            <v>-7.1497183350514469E-4</v>
          </cell>
          <cell r="C5170">
            <v>0</v>
          </cell>
          <cell r="D5170" t="e">
            <v>#VALUE!</v>
          </cell>
          <cell r="E5170" t="e">
            <v>#VALUE!</v>
          </cell>
          <cell r="F5170">
            <v>0</v>
          </cell>
        </row>
        <row r="5171">
          <cell r="A5171" t="str">
            <v>RXNLPT3B</v>
          </cell>
          <cell r="B5171">
            <v>-6.2267980362888274E-4</v>
          </cell>
          <cell r="C5171">
            <v>0</v>
          </cell>
          <cell r="D5171" t="e">
            <v>#VALUE!</v>
          </cell>
          <cell r="E5171" t="e">
            <v>#VALUE!</v>
          </cell>
          <cell r="F5171">
            <v>0</v>
          </cell>
        </row>
        <row r="5172">
          <cell r="A5172" t="str">
            <v>RXNLSK2B</v>
          </cell>
          <cell r="B5172">
            <v>-2.9265599856344499E-4</v>
          </cell>
          <cell r="C5172">
            <v>0</v>
          </cell>
          <cell r="D5172" t="e">
            <v>#VALUE!</v>
          </cell>
          <cell r="E5172" t="e">
            <v>#VALUE!</v>
          </cell>
          <cell r="F5172">
            <v>0</v>
          </cell>
        </row>
        <row r="5173">
          <cell r="A5173" t="str">
            <v>RXNLSK3B</v>
          </cell>
          <cell r="B5173">
            <v>-2.3493457430884344E-4</v>
          </cell>
          <cell r="C5173">
            <v>0</v>
          </cell>
          <cell r="D5173" t="e">
            <v>#VALUE!</v>
          </cell>
          <cell r="E5173" t="e">
            <v>#VALUE!</v>
          </cell>
          <cell r="F5173">
            <v>0</v>
          </cell>
        </row>
        <row r="5174">
          <cell r="A5174" t="str">
            <v>RXNPLN2B</v>
          </cell>
          <cell r="B5174">
            <v>-2.5086173475145885E-4</v>
          </cell>
          <cell r="C5174">
            <v>0</v>
          </cell>
          <cell r="D5174" t="e">
            <v>#VALUE!</v>
          </cell>
          <cell r="E5174" t="e">
            <v>#VALUE!</v>
          </cell>
          <cell r="F5174">
            <v>0</v>
          </cell>
        </row>
        <row r="5175">
          <cell r="A5175" t="str">
            <v>RXNPLT2B</v>
          </cell>
          <cell r="B5175">
            <v>-9.8622296432476515E-4</v>
          </cell>
          <cell r="C5175">
            <v>0</v>
          </cell>
          <cell r="D5175" t="e">
            <v>#VALUE!</v>
          </cell>
          <cell r="E5175" t="e">
            <v>#VALUE!</v>
          </cell>
          <cell r="F5175">
            <v>0</v>
          </cell>
        </row>
        <row r="5176">
          <cell r="A5176" t="str">
            <v>RXNPLN3B</v>
          </cell>
          <cell r="B5176">
            <v>-2.9419595495261863E-4</v>
          </cell>
          <cell r="C5176">
            <v>0</v>
          </cell>
          <cell r="D5176" t="e">
            <v>#VALUE!</v>
          </cell>
          <cell r="E5176" t="e">
            <v>#VALUE!</v>
          </cell>
          <cell r="F5176">
            <v>0</v>
          </cell>
        </row>
        <row r="5177">
          <cell r="A5177" t="str">
            <v>RXNPLT3B</v>
          </cell>
          <cell r="B5177">
            <v>-2.9419595495261863E-4</v>
          </cell>
          <cell r="C5177">
            <v>0</v>
          </cell>
          <cell r="D5177" t="e">
            <v>#VALUE!</v>
          </cell>
          <cell r="E5177" t="e">
            <v>#VALUE!</v>
          </cell>
          <cell r="F5177">
            <v>0</v>
          </cell>
        </row>
        <row r="5178">
          <cell r="A5178" t="str">
            <v>RXNPMN3B</v>
          </cell>
          <cell r="B5178">
            <v>-1.5958692258134587E-4</v>
          </cell>
          <cell r="C5178">
            <v>0</v>
          </cell>
          <cell r="D5178" t="e">
            <v>#VALUE!</v>
          </cell>
          <cell r="E5178" t="e">
            <v>#VALUE!</v>
          </cell>
          <cell r="F5178">
            <v>0</v>
          </cell>
        </row>
        <row r="5179">
          <cell r="A5179" t="str">
            <v>RXNPMN2B</v>
          </cell>
          <cell r="B5179">
            <v>-1.2550936287830341E-4</v>
          </cell>
          <cell r="C5179">
            <v>0</v>
          </cell>
          <cell r="D5179" t="e">
            <v>#VALUE!</v>
          </cell>
          <cell r="E5179" t="e">
            <v>#VALUE!</v>
          </cell>
          <cell r="F5179">
            <v>0</v>
          </cell>
        </row>
        <row r="5180">
          <cell r="A5180" t="str">
            <v>RXNPNLCB</v>
          </cell>
          <cell r="B5180">
            <v>-2.0000690035362513E-3</v>
          </cell>
          <cell r="C5180">
            <v>0</v>
          </cell>
          <cell r="D5180" t="e">
            <v>#VALUE!</v>
          </cell>
          <cell r="E5180" t="e">
            <v>#VALUE!</v>
          </cell>
          <cell r="F5180">
            <v>0</v>
          </cell>
        </row>
        <row r="5181">
          <cell r="A5181" t="str">
            <v>RXNPNPRB</v>
          </cell>
          <cell r="B5181">
            <v>-1.0001683964119738E-3</v>
          </cell>
          <cell r="C5181">
            <v>0</v>
          </cell>
          <cell r="D5181" t="e">
            <v>#VALUE!</v>
          </cell>
          <cell r="E5181" t="e">
            <v>#VALUE!</v>
          </cell>
          <cell r="F5181">
            <v>0</v>
          </cell>
        </row>
        <row r="5182">
          <cell r="A5182" t="str">
            <v>RXNPNPZB</v>
          </cell>
          <cell r="B5182">
            <v>9.8103094833651037E-4</v>
          </cell>
          <cell r="C5182">
            <v>0</v>
          </cell>
          <cell r="D5182" t="e">
            <v>#VALUE!</v>
          </cell>
          <cell r="E5182" t="e">
            <v>#VALUE!</v>
          </cell>
          <cell r="F5182">
            <v>0</v>
          </cell>
        </row>
        <row r="5183">
          <cell r="A5183" t="str">
            <v>RXNPPN2B</v>
          </cell>
          <cell r="B5183">
            <v>-3.2894576748008584E-3</v>
          </cell>
          <cell r="C5183">
            <v>0</v>
          </cell>
          <cell r="D5183" t="e">
            <v>#VALUE!</v>
          </cell>
          <cell r="E5183" t="e">
            <v>#VALUE!</v>
          </cell>
          <cell r="F5183">
            <v>0</v>
          </cell>
        </row>
        <row r="5184">
          <cell r="A5184" t="str">
            <v>RXNPPT2B</v>
          </cell>
          <cell r="B5184">
            <v>9.220998787061209E-4</v>
          </cell>
          <cell r="C5184">
            <v>0</v>
          </cell>
          <cell r="D5184" t="e">
            <v>#VALUE!</v>
          </cell>
          <cell r="E5184" t="e">
            <v>#VALUE!</v>
          </cell>
          <cell r="F5184">
            <v>0</v>
          </cell>
        </row>
        <row r="5185">
          <cell r="A5185" t="str">
            <v>RXNPPN3B</v>
          </cell>
          <cell r="B5185">
            <v>2.9273018917891718E-3</v>
          </cell>
          <cell r="C5185">
            <v>0</v>
          </cell>
          <cell r="D5185" t="e">
            <v>#VALUE!</v>
          </cell>
          <cell r="E5185" t="e">
            <v>#VALUE!</v>
          </cell>
          <cell r="F5185">
            <v>0</v>
          </cell>
        </row>
        <row r="5186">
          <cell r="A5186" t="str">
            <v>RXNPPT3B</v>
          </cell>
          <cell r="B5186">
            <v>-2.0559955702668809E-4</v>
          </cell>
          <cell r="C5186">
            <v>0</v>
          </cell>
          <cell r="D5186" t="e">
            <v>#VALUE!</v>
          </cell>
          <cell r="E5186" t="e">
            <v>#VALUE!</v>
          </cell>
          <cell r="F5186">
            <v>0</v>
          </cell>
        </row>
        <row r="5187">
          <cell r="A5187" t="str">
            <v>RXNPSK2B</v>
          </cell>
          <cell r="B5187">
            <v>0</v>
          </cell>
          <cell r="C5187">
            <v>0</v>
          </cell>
          <cell r="D5187" t="e">
            <v>#VALUE!</v>
          </cell>
          <cell r="E5187" t="e">
            <v>#VALUE!</v>
          </cell>
          <cell r="F5187">
            <v>0</v>
          </cell>
        </row>
        <row r="5188">
          <cell r="A5188" t="str">
            <v>RXNPSK3B</v>
          </cell>
          <cell r="B5188">
            <v>0</v>
          </cell>
          <cell r="C5188">
            <v>0</v>
          </cell>
          <cell r="D5188" t="e">
            <v>#VALUE!</v>
          </cell>
          <cell r="E5188" t="e">
            <v>#VALUE!</v>
          </cell>
          <cell r="F5188">
            <v>0</v>
          </cell>
        </row>
        <row r="5189">
          <cell r="A5189" t="str">
            <v>RCLIKJPB</v>
          </cell>
          <cell r="B5189">
            <v>3.058785596170322E-5</v>
          </cell>
          <cell r="C5189">
            <v>0</v>
          </cell>
          <cell r="D5189" t="e">
            <v>#VALUE!</v>
          </cell>
          <cell r="E5189" t="e">
            <v>#VALUE!</v>
          </cell>
          <cell r="F5189">
            <v>0</v>
          </cell>
        </row>
        <row r="5190">
          <cell r="A5190" t="str">
            <v>RCLIHTFB</v>
          </cell>
          <cell r="B5190">
            <v>-1.2338164063451226E-2</v>
          </cell>
          <cell r="C5190">
            <v>0</v>
          </cell>
          <cell r="D5190" t="e">
            <v>#VALUE!</v>
          </cell>
          <cell r="E5190" t="e">
            <v>#VALUE!</v>
          </cell>
          <cell r="F5190">
            <v>0</v>
          </cell>
        </row>
        <row r="5191">
          <cell r="A5191" t="str">
            <v>RCLIHTZB</v>
          </cell>
          <cell r="B5191">
            <v>-1.2338164063451226E-2</v>
          </cell>
          <cell r="C5191">
            <v>0</v>
          </cell>
          <cell r="D5191" t="e">
            <v>#VALUE!</v>
          </cell>
          <cell r="E5191" t="e">
            <v>#VALUE!</v>
          </cell>
          <cell r="F5191">
            <v>0</v>
          </cell>
        </row>
        <row r="5192">
          <cell r="A5192" t="str">
            <v>RCLIKKKB</v>
          </cell>
          <cell r="B5192">
            <v>3.6793636876335429E-4</v>
          </cell>
          <cell r="C5192">
            <v>0</v>
          </cell>
          <cell r="D5192" t="e">
            <v>#VALUE!</v>
          </cell>
          <cell r="E5192" t="e">
            <v>#VALUE!</v>
          </cell>
          <cell r="F5192">
            <v>0</v>
          </cell>
        </row>
        <row r="5193">
          <cell r="A5193" t="str">
            <v>RCLILG2B</v>
          </cell>
          <cell r="B5193">
            <v>-2.7818357825864251E-4</v>
          </cell>
          <cell r="C5193">
            <v>0</v>
          </cell>
          <cell r="D5193" t="e">
            <v>#VALUE!</v>
          </cell>
          <cell r="E5193" t="e">
            <v>#VALUE!</v>
          </cell>
          <cell r="F5193">
            <v>0</v>
          </cell>
        </row>
        <row r="5194">
          <cell r="A5194" t="str">
            <v>RCLILG3B</v>
          </cell>
          <cell r="B5194">
            <v>-2.6773405346695704E-2</v>
          </cell>
          <cell r="C5194">
            <v>0</v>
          </cell>
          <cell r="D5194" t="e">
            <v>#VALUE!</v>
          </cell>
          <cell r="E5194" t="e">
            <v>#VALUE!</v>
          </cell>
          <cell r="F5194">
            <v>0</v>
          </cell>
        </row>
        <row r="5195">
          <cell r="A5195" t="str">
            <v>RCLILK2B</v>
          </cell>
          <cell r="B5195">
            <v>9.6972488103197623E-5</v>
          </cell>
          <cell r="C5195">
            <v>0</v>
          </cell>
          <cell r="D5195" t="e">
            <v>#VALUE!</v>
          </cell>
          <cell r="E5195" t="e">
            <v>#VALUE!</v>
          </cell>
          <cell r="F5195">
            <v>0</v>
          </cell>
        </row>
        <row r="5196">
          <cell r="A5196" t="str">
            <v>RCLILK3B</v>
          </cell>
          <cell r="B5196">
            <v>-3.3851822986995499E-4</v>
          </cell>
          <cell r="C5196">
            <v>0</v>
          </cell>
          <cell r="D5196" t="e">
            <v>#VALUE!</v>
          </cell>
          <cell r="E5196" t="e">
            <v>#VALUE!</v>
          </cell>
          <cell r="F5196">
            <v>0</v>
          </cell>
        </row>
        <row r="5197">
          <cell r="A5197" t="str">
            <v>RCLILN2B</v>
          </cell>
          <cell r="B5197">
            <v>1.2397346534720009E-5</v>
          </cell>
          <cell r="C5197">
            <v>0</v>
          </cell>
          <cell r="D5197" t="e">
            <v>#VALUE!</v>
          </cell>
          <cell r="E5197" t="e">
            <v>#VALUE!</v>
          </cell>
          <cell r="F5197">
            <v>0</v>
          </cell>
        </row>
        <row r="5198">
          <cell r="A5198" t="str">
            <v>RCLILV2B</v>
          </cell>
          <cell r="B5198">
            <v>-3.2862795464820484E-3</v>
          </cell>
          <cell r="C5198">
            <v>0</v>
          </cell>
          <cell r="D5198" t="e">
            <v>#VALUE!</v>
          </cell>
          <cell r="E5198" t="e">
            <v>#VALUE!</v>
          </cell>
          <cell r="F5198">
            <v>0</v>
          </cell>
        </row>
        <row r="5199">
          <cell r="A5199" t="str">
            <v>RCLILV3B</v>
          </cell>
          <cell r="B5199">
            <v>3.8006422829125332E-3</v>
          </cell>
          <cell r="C5199">
            <v>0</v>
          </cell>
          <cell r="D5199" t="e">
            <v>#VALUE!</v>
          </cell>
          <cell r="E5199" t="e">
            <v>#VALUE!</v>
          </cell>
          <cell r="F5199">
            <v>0</v>
          </cell>
        </row>
        <row r="5200">
          <cell r="A5200" t="str">
            <v>RCLIMN3B</v>
          </cell>
          <cell r="B5200">
            <v>8.9638460984083586E-5</v>
          </cell>
          <cell r="C5200">
            <v>0</v>
          </cell>
          <cell r="D5200" t="e">
            <v>#VALUE!</v>
          </cell>
          <cell r="E5200" t="e">
            <v>#VALUE!</v>
          </cell>
          <cell r="F5200">
            <v>0</v>
          </cell>
        </row>
        <row r="5201">
          <cell r="A5201" t="str">
            <v>RCLIMN2B</v>
          </cell>
          <cell r="B5201">
            <v>1.08469919169157E-5</v>
          </cell>
          <cell r="C5201">
            <v>0</v>
          </cell>
          <cell r="D5201" t="e">
            <v>#VALUE!</v>
          </cell>
          <cell r="E5201" t="e">
            <v>#VALUE!</v>
          </cell>
          <cell r="F5201">
            <v>0</v>
          </cell>
        </row>
        <row r="5202">
          <cell r="A5202" t="str">
            <v>RCLIPG2B</v>
          </cell>
          <cell r="B5202">
            <v>1.2524831709085185E-2</v>
          </cell>
          <cell r="C5202">
            <v>0</v>
          </cell>
          <cell r="D5202" t="e">
            <v>#VALUE!</v>
          </cell>
          <cell r="E5202" t="e">
            <v>#VALUE!</v>
          </cell>
          <cell r="F5202">
            <v>0</v>
          </cell>
        </row>
        <row r="5203">
          <cell r="A5203" t="str">
            <v>RCLIPG3B</v>
          </cell>
          <cell r="B5203">
            <v>-1.7442679136739535E-4</v>
          </cell>
          <cell r="C5203">
            <v>0</v>
          </cell>
          <cell r="D5203" t="e">
            <v>#VALUE!</v>
          </cell>
          <cell r="E5203" t="e">
            <v>#VALUE!</v>
          </cell>
          <cell r="F5203">
            <v>0</v>
          </cell>
        </row>
        <row r="5204">
          <cell r="A5204" t="str">
            <v>RCLIPGOB</v>
          </cell>
          <cell r="B5204">
            <v>0.17061740049537374</v>
          </cell>
          <cell r="C5204">
            <v>0</v>
          </cell>
          <cell r="D5204" t="e">
            <v>#VALUE!</v>
          </cell>
          <cell r="E5204" t="e">
            <v>#VALUE!</v>
          </cell>
          <cell r="F5204">
            <v>0</v>
          </cell>
        </row>
        <row r="5205">
          <cell r="A5205" t="str">
            <v>RCLIPN2B</v>
          </cell>
          <cell r="B5205">
            <v>-3.8849139835854017E-5</v>
          </cell>
          <cell r="C5205">
            <v>0</v>
          </cell>
          <cell r="D5205" t="e">
            <v>#VALUE!</v>
          </cell>
          <cell r="E5205" t="e">
            <v>#VALUE!</v>
          </cell>
          <cell r="F5205">
            <v>0</v>
          </cell>
        </row>
        <row r="5206">
          <cell r="A5206" t="str">
            <v>RCLIPT2B</v>
          </cell>
          <cell r="B5206">
            <v>3.7780801863061228E-5</v>
          </cell>
          <cell r="C5206">
            <v>0</v>
          </cell>
          <cell r="D5206" t="e">
            <v>#VALUE!</v>
          </cell>
          <cell r="E5206" t="e">
            <v>#VALUE!</v>
          </cell>
          <cell r="F5206">
            <v>0</v>
          </cell>
        </row>
        <row r="5207">
          <cell r="A5207" t="str">
            <v>RCLIPN3B</v>
          </cell>
          <cell r="B5207">
            <v>1.7411659521989584E-4</v>
          </cell>
          <cell r="C5207">
            <v>0</v>
          </cell>
          <cell r="D5207" t="e">
            <v>#VALUE!</v>
          </cell>
          <cell r="E5207" t="e">
            <v>#VALUE!</v>
          </cell>
          <cell r="F5207">
            <v>0</v>
          </cell>
        </row>
        <row r="5208">
          <cell r="A5208" t="str">
            <v>RCLIPT3B</v>
          </cell>
          <cell r="B5208">
            <v>1.8541298632044346E-4</v>
          </cell>
          <cell r="C5208">
            <v>0</v>
          </cell>
          <cell r="D5208" t="e">
            <v>#VALUE!</v>
          </cell>
          <cell r="E5208" t="e">
            <v>#VALUE!</v>
          </cell>
          <cell r="F5208">
            <v>0</v>
          </cell>
        </row>
        <row r="5209">
          <cell r="A5209" t="str">
            <v>RCLISK2B</v>
          </cell>
          <cell r="B5209">
            <v>-2.8440135460177521E-7</v>
          </cell>
          <cell r="C5209">
            <v>0</v>
          </cell>
          <cell r="D5209" t="e">
            <v>#VALUE!</v>
          </cell>
          <cell r="E5209" t="e">
            <v>#VALUE!</v>
          </cell>
          <cell r="F5209">
            <v>0</v>
          </cell>
        </row>
        <row r="5210">
          <cell r="A5210" t="str">
            <v>RCLISK3B</v>
          </cell>
          <cell r="B5210">
            <v>2.111782241192139E-8</v>
          </cell>
          <cell r="C5210">
            <v>0</v>
          </cell>
          <cell r="D5210" t="e">
            <v>#VALUE!</v>
          </cell>
          <cell r="E5210" t="e">
            <v>#VALUE!</v>
          </cell>
          <cell r="F5210">
            <v>0</v>
          </cell>
        </row>
        <row r="5211">
          <cell r="A5211" t="str">
            <v>RCLISG2B</v>
          </cell>
          <cell r="B5211">
            <v>-9.8232828960347323E-8</v>
          </cell>
          <cell r="C5211">
            <v>0</v>
          </cell>
          <cell r="D5211" t="e">
            <v>#VALUE!</v>
          </cell>
          <cell r="E5211" t="e">
            <v>#VALUE!</v>
          </cell>
          <cell r="F5211">
            <v>0</v>
          </cell>
        </row>
        <row r="5212">
          <cell r="A5212" t="str">
            <v>RCLISG3B</v>
          </cell>
          <cell r="B5212">
            <v>-2.2966878694280412E-6</v>
          </cell>
          <cell r="C5212">
            <v>0</v>
          </cell>
          <cell r="D5212" t="e">
            <v>#VALUE!</v>
          </cell>
          <cell r="E5212" t="e">
            <v>#VALUE!</v>
          </cell>
          <cell r="F5212">
            <v>0</v>
          </cell>
        </row>
        <row r="5213">
          <cell r="A5213" t="str">
            <v>RCLISV2B</v>
          </cell>
          <cell r="B5213">
            <v>-1.2305596718075844E-3</v>
          </cell>
          <cell r="C5213">
            <v>0</v>
          </cell>
          <cell r="D5213" t="e">
            <v>#VALUE!</v>
          </cell>
          <cell r="E5213" t="e">
            <v>#VALUE!</v>
          </cell>
          <cell r="F5213">
            <v>0</v>
          </cell>
        </row>
        <row r="5214">
          <cell r="A5214" t="str">
            <v>RCLISV3B</v>
          </cell>
          <cell r="B5214">
            <v>7.752106752900856E-4</v>
          </cell>
          <cell r="C5214">
            <v>0</v>
          </cell>
          <cell r="D5214" t="e">
            <v>#VALUE!</v>
          </cell>
          <cell r="E5214" t="e">
            <v>#VALUE!</v>
          </cell>
          <cell r="F5214">
            <v>0</v>
          </cell>
        </row>
        <row r="5215">
          <cell r="A5215" t="str">
            <v>RCLISW2B</v>
          </cell>
          <cell r="B5215">
            <v>-8.9375053071494661E-4</v>
          </cell>
          <cell r="C5215">
            <v>0</v>
          </cell>
          <cell r="D5215" t="e">
            <v>#VALUE!</v>
          </cell>
          <cell r="E5215" t="e">
            <v>#VALUE!</v>
          </cell>
          <cell r="F5215">
            <v>0</v>
          </cell>
        </row>
        <row r="5216">
          <cell r="A5216" t="str">
            <v>RCLISW3B</v>
          </cell>
          <cell r="B5216">
            <v>8.2343067772118754E-4</v>
          </cell>
          <cell r="C5216">
            <v>0</v>
          </cell>
          <cell r="D5216" t="e">
            <v>#VALUE!</v>
          </cell>
          <cell r="E5216" t="e">
            <v>#VALUE!</v>
          </cell>
          <cell r="F5216">
            <v>0</v>
          </cell>
        </row>
        <row r="5217">
          <cell r="A5217" t="str">
            <v>RCFIKJPB</v>
          </cell>
          <cell r="B5217">
            <v>3.9736201272231256E-5</v>
          </cell>
          <cell r="C5217">
            <v>0</v>
          </cell>
          <cell r="D5217" t="e">
            <v>#VALUE!</v>
          </cell>
          <cell r="E5217" t="e">
            <v>#VALUE!</v>
          </cell>
          <cell r="F5217">
            <v>0</v>
          </cell>
        </row>
        <row r="5218">
          <cell r="A5218" t="str">
            <v>RCFIHTFB</v>
          </cell>
          <cell r="B5218">
            <v>1.2947044501157657E-3</v>
          </cell>
          <cell r="C5218">
            <v>0</v>
          </cell>
          <cell r="D5218" t="e">
            <v>#VALUE!</v>
          </cell>
          <cell r="E5218" t="e">
            <v>#VALUE!</v>
          </cell>
          <cell r="F5218">
            <v>0</v>
          </cell>
        </row>
        <row r="5219">
          <cell r="A5219" t="str">
            <v>RCFIHTZB</v>
          </cell>
          <cell r="B5219">
            <v>1.2947044501157657E-3</v>
          </cell>
          <cell r="C5219">
            <v>0</v>
          </cell>
          <cell r="D5219" t="e">
            <v>#VALUE!</v>
          </cell>
          <cell r="E5219" t="e">
            <v>#VALUE!</v>
          </cell>
          <cell r="F5219">
            <v>0</v>
          </cell>
        </row>
        <row r="5220">
          <cell r="A5220" t="str">
            <v>RCFIKKKB</v>
          </cell>
          <cell r="B5220">
            <v>2.3399058767384689E-3</v>
          </cell>
          <cell r="C5220">
            <v>0</v>
          </cell>
          <cell r="D5220" t="e">
            <v>#VALUE!</v>
          </cell>
          <cell r="E5220" t="e">
            <v>#VALUE!</v>
          </cell>
          <cell r="F5220">
            <v>0</v>
          </cell>
        </row>
        <row r="5221">
          <cell r="A5221" t="str">
            <v>RCFILG2B</v>
          </cell>
          <cell r="B5221">
            <v>1.2229558584967641E-3</v>
          </cell>
          <cell r="C5221">
            <v>0</v>
          </cell>
          <cell r="D5221" t="e">
            <v>#VALUE!</v>
          </cell>
          <cell r="E5221" t="e">
            <v>#VALUE!</v>
          </cell>
          <cell r="F5221">
            <v>0</v>
          </cell>
        </row>
        <row r="5222">
          <cell r="A5222" t="str">
            <v>RCFILG3B</v>
          </cell>
          <cell r="B5222">
            <v>-3.7084569242760565E-3</v>
          </cell>
          <cell r="C5222">
            <v>0</v>
          </cell>
          <cell r="D5222" t="e">
            <v>#VALUE!</v>
          </cell>
          <cell r="E5222" t="e">
            <v>#VALUE!</v>
          </cell>
          <cell r="F5222">
            <v>0</v>
          </cell>
        </row>
        <row r="5223">
          <cell r="A5223" t="str">
            <v>RCFILK2B</v>
          </cell>
          <cell r="B5223">
            <v>6.8629306430036553E-4</v>
          </cell>
          <cell r="C5223">
            <v>0</v>
          </cell>
          <cell r="D5223" t="e">
            <v>#VALUE!</v>
          </cell>
          <cell r="E5223" t="e">
            <v>#VALUE!</v>
          </cell>
          <cell r="F5223">
            <v>0</v>
          </cell>
        </row>
        <row r="5224">
          <cell r="A5224" t="str">
            <v>RCFILK3B</v>
          </cell>
          <cell r="B5224">
            <v>9.1708019594179483E-8</v>
          </cell>
          <cell r="C5224">
            <v>0</v>
          </cell>
          <cell r="D5224" t="e">
            <v>#VALUE!</v>
          </cell>
          <cell r="E5224" t="e">
            <v>#VALUE!</v>
          </cell>
          <cell r="F5224">
            <v>0</v>
          </cell>
        </row>
        <row r="5225">
          <cell r="A5225" t="str">
            <v>RCFILN2B</v>
          </cell>
          <cell r="B5225">
            <v>1.6750900823503237E-7</v>
          </cell>
          <cell r="C5225">
            <v>0</v>
          </cell>
          <cell r="D5225" t="e">
            <v>#VALUE!</v>
          </cell>
          <cell r="E5225" t="e">
            <v>#VALUE!</v>
          </cell>
          <cell r="F5225">
            <v>0</v>
          </cell>
        </row>
        <row r="5226">
          <cell r="A5226" t="str">
            <v>RCFILV2B</v>
          </cell>
          <cell r="B5226">
            <v>-4.8349453048614709E-4</v>
          </cell>
          <cell r="C5226">
            <v>0</v>
          </cell>
          <cell r="D5226" t="e">
            <v>#VALUE!</v>
          </cell>
          <cell r="E5226" t="e">
            <v>#VALUE!</v>
          </cell>
          <cell r="F5226">
            <v>0</v>
          </cell>
        </row>
        <row r="5227">
          <cell r="A5227" t="str">
            <v>RCFILV3B</v>
          </cell>
          <cell r="B5227">
            <v>5.9142609905094315E-6</v>
          </cell>
          <cell r="C5227">
            <v>0</v>
          </cell>
          <cell r="D5227" t="e">
            <v>#VALUE!</v>
          </cell>
          <cell r="E5227" t="e">
            <v>#VALUE!</v>
          </cell>
          <cell r="F5227">
            <v>0</v>
          </cell>
        </row>
        <row r="5228">
          <cell r="A5228" t="str">
            <v>RCFIMN3B</v>
          </cell>
          <cell r="B5228">
            <v>2.5561686704602286E-8</v>
          </cell>
          <cell r="C5228">
            <v>0</v>
          </cell>
          <cell r="D5228" t="e">
            <v>#VALUE!</v>
          </cell>
          <cell r="E5228" t="e">
            <v>#VALUE!</v>
          </cell>
          <cell r="F5228">
            <v>0</v>
          </cell>
        </row>
        <row r="5229">
          <cell r="A5229" t="str">
            <v>RCFIMN2B</v>
          </cell>
          <cell r="B5229">
            <v>1.3169859956923114E-8</v>
          </cell>
          <cell r="C5229">
            <v>0</v>
          </cell>
          <cell r="D5229" t="e">
            <v>#VALUE!</v>
          </cell>
          <cell r="E5229" t="e">
            <v>#VALUE!</v>
          </cell>
          <cell r="F5229">
            <v>0</v>
          </cell>
        </row>
        <row r="5230">
          <cell r="A5230" t="str">
            <v>RCFIPG2B</v>
          </cell>
          <cell r="B5230">
            <v>9.296711465090271E-3</v>
          </cell>
          <cell r="C5230">
            <v>0</v>
          </cell>
          <cell r="D5230" t="e">
            <v>#VALUE!</v>
          </cell>
          <cell r="E5230" t="e">
            <v>#VALUE!</v>
          </cell>
          <cell r="F5230">
            <v>0</v>
          </cell>
        </row>
        <row r="5231">
          <cell r="A5231" t="str">
            <v>RCFIPG3B</v>
          </cell>
          <cell r="B5231">
            <v>-1.2945522686182712E-4</v>
          </cell>
          <cell r="C5231">
            <v>0</v>
          </cell>
          <cell r="D5231" t="e">
            <v>#VALUE!</v>
          </cell>
          <cell r="E5231" t="e">
            <v>#VALUE!</v>
          </cell>
          <cell r="F5231">
            <v>0</v>
          </cell>
        </row>
        <row r="5232">
          <cell r="A5232" t="str">
            <v>RCFIPGOB</v>
          </cell>
          <cell r="B5232">
            <v>0.12990075041897187</v>
          </cell>
          <cell r="C5232">
            <v>0</v>
          </cell>
          <cell r="D5232" t="e">
            <v>#VALUE!</v>
          </cell>
          <cell r="E5232" t="e">
            <v>#VALUE!</v>
          </cell>
          <cell r="F5232">
            <v>0</v>
          </cell>
        </row>
        <row r="5233">
          <cell r="A5233" t="str">
            <v>RCFIPN2B</v>
          </cell>
          <cell r="B5233">
            <v>-3.4535479755180712E-5</v>
          </cell>
          <cell r="C5233">
            <v>0</v>
          </cell>
          <cell r="D5233" t="e">
            <v>#VALUE!</v>
          </cell>
          <cell r="E5233" t="e">
            <v>#VALUE!</v>
          </cell>
          <cell r="F5233">
            <v>0</v>
          </cell>
        </row>
        <row r="5234">
          <cell r="A5234" t="str">
            <v>RCFIPT2B</v>
          </cell>
          <cell r="B5234">
            <v>4.4001422182421653E-5</v>
          </cell>
          <cell r="C5234">
            <v>0</v>
          </cell>
          <cell r="D5234" t="e">
            <v>#VALUE!</v>
          </cell>
          <cell r="E5234" t="e">
            <v>#VALUE!</v>
          </cell>
          <cell r="F5234">
            <v>0</v>
          </cell>
        </row>
        <row r="5235">
          <cell r="A5235" t="str">
            <v>RCFIPN3B</v>
          </cell>
          <cell r="B5235">
            <v>-9.8280828228469128E-7</v>
          </cell>
          <cell r="C5235">
            <v>0</v>
          </cell>
          <cell r="D5235" t="e">
            <v>#VALUE!</v>
          </cell>
          <cell r="E5235" t="e">
            <v>#VALUE!</v>
          </cell>
          <cell r="F5235">
            <v>0</v>
          </cell>
        </row>
        <row r="5236">
          <cell r="A5236" t="str">
            <v>RCFIPT3B</v>
          </cell>
          <cell r="B5236">
            <v>7.2766783264404238E-7</v>
          </cell>
          <cell r="C5236">
            <v>0</v>
          </cell>
          <cell r="D5236" t="e">
            <v>#VALUE!</v>
          </cell>
          <cell r="E5236" t="e">
            <v>#VALUE!</v>
          </cell>
          <cell r="F5236">
            <v>0</v>
          </cell>
        </row>
        <row r="5237">
          <cell r="A5237" t="str">
            <v>RCFISK2B</v>
          </cell>
          <cell r="B5237">
            <v>2.0254175623985287E-6</v>
          </cell>
          <cell r="C5237">
            <v>0</v>
          </cell>
          <cell r="D5237" t="e">
            <v>#VALUE!</v>
          </cell>
          <cell r="E5237" t="e">
            <v>#VALUE!</v>
          </cell>
          <cell r="F5237">
            <v>0</v>
          </cell>
        </row>
        <row r="5238">
          <cell r="A5238" t="str">
            <v>RCFISK3B</v>
          </cell>
          <cell r="B5238">
            <v>-2.1543718246417261E-6</v>
          </cell>
          <cell r="C5238">
            <v>0</v>
          </cell>
          <cell r="D5238" t="e">
            <v>#VALUE!</v>
          </cell>
          <cell r="E5238" t="e">
            <v>#VALUE!</v>
          </cell>
          <cell r="F5238">
            <v>0</v>
          </cell>
        </row>
        <row r="5239">
          <cell r="A5239" t="str">
            <v>RCFISG2B</v>
          </cell>
          <cell r="B5239">
            <v>-4.40700356841561E-6</v>
          </cell>
          <cell r="C5239">
            <v>0</v>
          </cell>
          <cell r="D5239" t="e">
            <v>#VALUE!</v>
          </cell>
          <cell r="E5239" t="e">
            <v>#VALUE!</v>
          </cell>
          <cell r="F5239">
            <v>0</v>
          </cell>
        </row>
        <row r="5240">
          <cell r="A5240" t="str">
            <v>RCFISG3B</v>
          </cell>
          <cell r="B5240">
            <v>-1.2060918952681265E-5</v>
          </cell>
          <cell r="C5240">
            <v>0</v>
          </cell>
          <cell r="D5240" t="e">
            <v>#VALUE!</v>
          </cell>
          <cell r="E5240" t="e">
            <v>#VALUE!</v>
          </cell>
          <cell r="F5240">
            <v>0</v>
          </cell>
        </row>
        <row r="5241">
          <cell r="A5241" t="str">
            <v>RCFISV2B</v>
          </cell>
          <cell r="B5241">
            <v>-1.3448162636662235E-4</v>
          </cell>
          <cell r="C5241">
            <v>0</v>
          </cell>
          <cell r="D5241" t="e">
            <v>#VALUE!</v>
          </cell>
          <cell r="E5241" t="e">
            <v>#VALUE!</v>
          </cell>
          <cell r="F5241">
            <v>0</v>
          </cell>
        </row>
        <row r="5242">
          <cell r="A5242" t="str">
            <v>RCFISV3B</v>
          </cell>
          <cell r="B5242">
            <v>-1.1551725536214876E-6</v>
          </cell>
          <cell r="C5242">
            <v>0</v>
          </cell>
          <cell r="D5242" t="e">
            <v>#VALUE!</v>
          </cell>
          <cell r="E5242" t="e">
            <v>#VALUE!</v>
          </cell>
          <cell r="F5242">
            <v>0</v>
          </cell>
        </row>
        <row r="5243">
          <cell r="A5243" t="str">
            <v>RCFISW2B</v>
          </cell>
          <cell r="B5243">
            <v>-2.9030633003495585E-4</v>
          </cell>
          <cell r="C5243">
            <v>0</v>
          </cell>
          <cell r="D5243" t="e">
            <v>#VALUE!</v>
          </cell>
          <cell r="E5243" t="e">
            <v>#VALUE!</v>
          </cell>
          <cell r="F5243">
            <v>0</v>
          </cell>
        </row>
        <row r="5244">
          <cell r="A5244" t="str">
            <v>RCFISW3B</v>
          </cell>
          <cell r="B5244">
            <v>3.1250536972848213E-4</v>
          </cell>
          <cell r="C5244">
            <v>0</v>
          </cell>
          <cell r="D5244" t="e">
            <v>#VALUE!</v>
          </cell>
          <cell r="E5244" t="e">
            <v>#VALUE!</v>
          </cell>
          <cell r="F5244">
            <v>0</v>
          </cell>
        </row>
        <row r="5245">
          <cell r="A5245" t="str">
            <v>RCBIGLXB</v>
          </cell>
          <cell r="B5245">
            <v>-3.6524002580610041E-3</v>
          </cell>
          <cell r="C5245">
            <v>0</v>
          </cell>
          <cell r="D5245" t="e">
            <v>#VALUE!</v>
          </cell>
          <cell r="E5245" t="e">
            <v>#VALUE!</v>
          </cell>
          <cell r="F5245">
            <v>0</v>
          </cell>
        </row>
        <row r="5246">
          <cell r="A5246" t="str">
            <v>RCBIKJPB</v>
          </cell>
          <cell r="B5246">
            <v>8.9781099534912471E-5</v>
          </cell>
          <cell r="C5246">
            <v>0</v>
          </cell>
          <cell r="D5246" t="e">
            <v>#VALUE!</v>
          </cell>
          <cell r="E5246" t="e">
            <v>#VALUE!</v>
          </cell>
          <cell r="F5246">
            <v>0</v>
          </cell>
        </row>
        <row r="5247">
          <cell r="A5247" t="str">
            <v>RCBIHTFB</v>
          </cell>
          <cell r="B5247">
            <v>-1.0281339161455223E-2</v>
          </cell>
          <cell r="C5247">
            <v>0</v>
          </cell>
          <cell r="D5247" t="e">
            <v>#VALUE!</v>
          </cell>
          <cell r="E5247" t="e">
            <v>#VALUE!</v>
          </cell>
          <cell r="F5247">
            <v>0</v>
          </cell>
        </row>
        <row r="5248">
          <cell r="A5248" t="str">
            <v>RCBIHTZB</v>
          </cell>
          <cell r="B5248">
            <v>-1.0281339161455223E-2</v>
          </cell>
          <cell r="C5248">
            <v>0</v>
          </cell>
          <cell r="D5248" t="e">
            <v>#VALUE!</v>
          </cell>
          <cell r="E5248" t="e">
            <v>#VALUE!</v>
          </cell>
          <cell r="F5248">
            <v>0</v>
          </cell>
        </row>
        <row r="5249">
          <cell r="A5249" t="str">
            <v>RCBIKKKB</v>
          </cell>
          <cell r="B5249">
            <v>3.1107586763850224E-4</v>
          </cell>
          <cell r="C5249">
            <v>0</v>
          </cell>
          <cell r="D5249" t="e">
            <v>#VALUE!</v>
          </cell>
          <cell r="E5249" t="e">
            <v>#VALUE!</v>
          </cell>
          <cell r="F5249">
            <v>0</v>
          </cell>
        </row>
        <row r="5250">
          <cell r="A5250" t="str">
            <v>RCBILG2B</v>
          </cell>
          <cell r="B5250">
            <v>-1.0471577273860369E-2</v>
          </cell>
          <cell r="C5250">
            <v>0</v>
          </cell>
          <cell r="D5250" t="e">
            <v>#VALUE!</v>
          </cell>
          <cell r="E5250" t="e">
            <v>#VALUE!</v>
          </cell>
          <cell r="F5250">
            <v>0</v>
          </cell>
        </row>
        <row r="5251">
          <cell r="A5251" t="str">
            <v>RCBILG3B</v>
          </cell>
          <cell r="B5251">
            <v>-3.5648417805819071E-4</v>
          </cell>
          <cell r="C5251">
            <v>0</v>
          </cell>
          <cell r="D5251" t="e">
            <v>#VALUE!</v>
          </cell>
          <cell r="E5251" t="e">
            <v>#VALUE!</v>
          </cell>
          <cell r="F5251">
            <v>0</v>
          </cell>
        </row>
        <row r="5252">
          <cell r="A5252" t="str">
            <v>RCBILK2B</v>
          </cell>
          <cell r="B5252">
            <v>-3.6097892542572593E-3</v>
          </cell>
          <cell r="C5252">
            <v>0</v>
          </cell>
          <cell r="D5252" t="e">
            <v>#VALUE!</v>
          </cell>
          <cell r="E5252" t="e">
            <v>#VALUE!</v>
          </cell>
          <cell r="F5252">
            <v>0</v>
          </cell>
        </row>
        <row r="5253">
          <cell r="A5253" t="str">
            <v>RCBILK3B</v>
          </cell>
          <cell r="B5253">
            <v>-1.2595548530205707E-2</v>
          </cell>
          <cell r="C5253">
            <v>0</v>
          </cell>
          <cell r="D5253" t="e">
            <v>#VALUE!</v>
          </cell>
          <cell r="E5253" t="e">
            <v>#VALUE!</v>
          </cell>
          <cell r="F5253">
            <v>0</v>
          </cell>
        </row>
        <row r="5254">
          <cell r="A5254" t="str">
            <v>RCBILN2B</v>
          </cell>
          <cell r="B5254">
            <v>-1.440184186916767E-4</v>
          </cell>
          <cell r="C5254">
            <v>0</v>
          </cell>
          <cell r="D5254" t="e">
            <v>#VALUE!</v>
          </cell>
          <cell r="E5254" t="e">
            <v>#VALUE!</v>
          </cell>
          <cell r="F5254">
            <v>0</v>
          </cell>
        </row>
        <row r="5255">
          <cell r="A5255" t="str">
            <v>RCBILVAB</v>
          </cell>
          <cell r="B5255">
            <v>-2.5488007110097025E-2</v>
          </cell>
          <cell r="C5255">
            <v>0</v>
          </cell>
          <cell r="D5255" t="e">
            <v>#VALUE!</v>
          </cell>
          <cell r="E5255" t="e">
            <v>#VALUE!</v>
          </cell>
          <cell r="F5255">
            <v>0</v>
          </cell>
        </row>
        <row r="5256">
          <cell r="A5256" t="str">
            <v>RCBILV2B</v>
          </cell>
          <cell r="B5256">
            <v>6.347249977620341E-6</v>
          </cell>
          <cell r="C5256">
            <v>0</v>
          </cell>
          <cell r="D5256" t="e">
            <v>#VALUE!</v>
          </cell>
          <cell r="E5256" t="e">
            <v>#VALUE!</v>
          </cell>
          <cell r="F5256">
            <v>0</v>
          </cell>
        </row>
        <row r="5257">
          <cell r="A5257" t="str">
            <v>RCBILV3B</v>
          </cell>
          <cell r="B5257">
            <v>1.8919381695362572E-5</v>
          </cell>
          <cell r="C5257">
            <v>0</v>
          </cell>
          <cell r="D5257" t="e">
            <v>#VALUE!</v>
          </cell>
          <cell r="E5257" t="e">
            <v>#VALUE!</v>
          </cell>
          <cell r="F5257">
            <v>0</v>
          </cell>
        </row>
        <row r="5258">
          <cell r="A5258" t="str">
            <v>RCBILXFB</v>
          </cell>
          <cell r="B5258">
            <v>-2.2694403469209298E-2</v>
          </cell>
          <cell r="C5258">
            <v>0</v>
          </cell>
          <cell r="D5258" t="e">
            <v>#VALUE!</v>
          </cell>
          <cell r="E5258" t="e">
            <v>#VALUE!</v>
          </cell>
          <cell r="F5258">
            <v>0</v>
          </cell>
        </row>
        <row r="5259">
          <cell r="A5259" t="str">
            <v>RCBIMN3B</v>
          </cell>
          <cell r="B5259">
            <v>-1.5880164422401009E-3</v>
          </cell>
          <cell r="C5259">
            <v>0</v>
          </cell>
          <cell r="D5259" t="e">
            <v>#VALUE!</v>
          </cell>
          <cell r="E5259" t="e">
            <v>#VALUE!</v>
          </cell>
          <cell r="F5259">
            <v>0</v>
          </cell>
        </row>
        <row r="5260">
          <cell r="A5260" t="str">
            <v>RCBIMN2B</v>
          </cell>
          <cell r="B5260">
            <v>-1.7709174700566146E-3</v>
          </cell>
          <cell r="C5260">
            <v>0</v>
          </cell>
          <cell r="D5260" t="e">
            <v>#VALUE!</v>
          </cell>
          <cell r="E5260" t="e">
            <v>#VALUE!</v>
          </cell>
          <cell r="F5260">
            <v>0</v>
          </cell>
        </row>
        <row r="5261">
          <cell r="A5261" t="str">
            <v>RCBIPG2B</v>
          </cell>
          <cell r="B5261">
            <v>-3.143535633632245E-3</v>
          </cell>
          <cell r="C5261">
            <v>0</v>
          </cell>
          <cell r="D5261" t="e">
            <v>#VALUE!</v>
          </cell>
          <cell r="E5261" t="e">
            <v>#VALUE!</v>
          </cell>
          <cell r="F5261">
            <v>0</v>
          </cell>
        </row>
        <row r="5262">
          <cell r="A5262" t="str">
            <v>RCBIPG3B</v>
          </cell>
          <cell r="B5262">
            <v>1.9226274912086895E-5</v>
          </cell>
          <cell r="C5262">
            <v>0</v>
          </cell>
          <cell r="D5262" t="e">
            <v>#VALUE!</v>
          </cell>
          <cell r="E5262" t="e">
            <v>#VALUE!</v>
          </cell>
          <cell r="F5262">
            <v>0</v>
          </cell>
        </row>
        <row r="5263">
          <cell r="A5263" t="str">
            <v>RCBIPGOB</v>
          </cell>
          <cell r="B5263">
            <v>-4.0437896692589535E-2</v>
          </cell>
          <cell r="C5263">
            <v>0</v>
          </cell>
          <cell r="D5263" t="e">
            <v>#VALUE!</v>
          </cell>
          <cell r="E5263" t="e">
            <v>#VALUE!</v>
          </cell>
          <cell r="F5263">
            <v>0</v>
          </cell>
        </row>
        <row r="5264">
          <cell r="A5264" t="str">
            <v>RCBIPN2B</v>
          </cell>
          <cell r="B5264">
            <v>-2.864464350708135E-3</v>
          </cell>
          <cell r="C5264">
            <v>0</v>
          </cell>
          <cell r="D5264" t="e">
            <v>#VALUE!</v>
          </cell>
          <cell r="E5264" t="e">
            <v>#VALUE!</v>
          </cell>
          <cell r="F5264">
            <v>0</v>
          </cell>
        </row>
        <row r="5265">
          <cell r="A5265" t="str">
            <v>RCBIPT2B</v>
          </cell>
          <cell r="B5265">
            <v>-9.9705355905452091E-4</v>
          </cell>
          <cell r="C5265">
            <v>0</v>
          </cell>
          <cell r="D5265" t="e">
            <v>#VALUE!</v>
          </cell>
          <cell r="E5265" t="e">
            <v>#VALUE!</v>
          </cell>
          <cell r="F5265">
            <v>0</v>
          </cell>
        </row>
        <row r="5266">
          <cell r="A5266" t="str">
            <v>RCBIPN3B</v>
          </cell>
          <cell r="B5266">
            <v>5.0808089806158845E-3</v>
          </cell>
          <cell r="C5266">
            <v>0</v>
          </cell>
          <cell r="D5266" t="e">
            <v>#VALUE!</v>
          </cell>
          <cell r="E5266" t="e">
            <v>#VALUE!</v>
          </cell>
          <cell r="F5266">
            <v>0</v>
          </cell>
        </row>
        <row r="5267">
          <cell r="A5267" t="str">
            <v>RCBIPT3B</v>
          </cell>
          <cell r="B5267">
            <v>-7.9894664099661554E-3</v>
          </cell>
          <cell r="C5267">
            <v>0</v>
          </cell>
          <cell r="D5267" t="e">
            <v>#VALUE!</v>
          </cell>
          <cell r="E5267" t="e">
            <v>#VALUE!</v>
          </cell>
          <cell r="F5267">
            <v>0</v>
          </cell>
        </row>
        <row r="5268">
          <cell r="A5268" t="str">
            <v>RCBISK2B</v>
          </cell>
          <cell r="B5268">
            <v>-4.6364360271469845E-6</v>
          </cell>
          <cell r="C5268">
            <v>0</v>
          </cell>
          <cell r="D5268" t="e">
            <v>#VALUE!</v>
          </cell>
          <cell r="E5268" t="e">
            <v>#VALUE!</v>
          </cell>
          <cell r="F5268">
            <v>0</v>
          </cell>
        </row>
        <row r="5269">
          <cell r="A5269" t="str">
            <v>RCBISK3B</v>
          </cell>
          <cell r="B5269">
            <v>1.1281660682184276E-5</v>
          </cell>
          <cell r="C5269">
            <v>0</v>
          </cell>
          <cell r="D5269" t="e">
            <v>#VALUE!</v>
          </cell>
          <cell r="E5269" t="e">
            <v>#VALUE!</v>
          </cell>
          <cell r="F5269">
            <v>0</v>
          </cell>
        </row>
        <row r="5270">
          <cell r="A5270" t="str">
            <v>RCBISG2B</v>
          </cell>
          <cell r="B5270">
            <v>7.448859847898672E-6</v>
          </cell>
          <cell r="C5270">
            <v>0</v>
          </cell>
          <cell r="D5270" t="e">
            <v>#VALUE!</v>
          </cell>
          <cell r="E5270" t="e">
            <v>#VALUE!</v>
          </cell>
          <cell r="F5270">
            <v>0</v>
          </cell>
        </row>
        <row r="5271">
          <cell r="A5271" t="str">
            <v>RCBISG3B</v>
          </cell>
          <cell r="B5271">
            <v>-5.0434935000750605E-6</v>
          </cell>
          <cell r="C5271">
            <v>0</v>
          </cell>
          <cell r="D5271" t="e">
            <v>#VALUE!</v>
          </cell>
          <cell r="E5271" t="e">
            <v>#VALUE!</v>
          </cell>
          <cell r="F5271">
            <v>0</v>
          </cell>
        </row>
        <row r="5272">
          <cell r="A5272" t="str">
            <v>RCBISV2B</v>
          </cell>
          <cell r="B5272">
            <v>-1.5071353364462943E-6</v>
          </cell>
          <cell r="C5272">
            <v>0</v>
          </cell>
          <cell r="D5272" t="e">
            <v>#VALUE!</v>
          </cell>
          <cell r="E5272" t="e">
            <v>#VALUE!</v>
          </cell>
          <cell r="F5272">
            <v>0</v>
          </cell>
        </row>
        <row r="5273">
          <cell r="A5273" t="str">
            <v>RCBISV3B</v>
          </cell>
          <cell r="B5273">
            <v>3.1861663333137125E-7</v>
          </cell>
          <cell r="C5273">
            <v>0</v>
          </cell>
          <cell r="D5273" t="e">
            <v>#VALUE!</v>
          </cell>
          <cell r="E5273" t="e">
            <v>#VALUE!</v>
          </cell>
          <cell r="F5273">
            <v>0</v>
          </cell>
        </row>
        <row r="5274">
          <cell r="A5274" t="str">
            <v>RCBISW2B</v>
          </cell>
          <cell r="B5274">
            <v>-8.3470466238831666E-6</v>
          </cell>
          <cell r="C5274">
            <v>0</v>
          </cell>
          <cell r="D5274" t="e">
            <v>#VALUE!</v>
          </cell>
          <cell r="E5274" t="e">
            <v>#VALUE!</v>
          </cell>
          <cell r="F5274">
            <v>0</v>
          </cell>
        </row>
        <row r="5275">
          <cell r="A5275" t="str">
            <v>RCBISW3B</v>
          </cell>
          <cell r="B5275">
            <v>2.6040888994043912E-6</v>
          </cell>
          <cell r="C5275">
            <v>0</v>
          </cell>
          <cell r="D5275" t="e">
            <v>#VALUE!</v>
          </cell>
          <cell r="E5275" t="e">
            <v>#VALUE!</v>
          </cell>
          <cell r="F5275">
            <v>0</v>
          </cell>
        </row>
        <row r="5276">
          <cell r="A5276" t="str">
            <v>RPPIAR2B</v>
          </cell>
          <cell r="B5276">
            <v>-2.9308778846202648E-3</v>
          </cell>
          <cell r="C5276">
            <v>0</v>
          </cell>
          <cell r="D5276" t="e">
            <v>#VALUE!</v>
          </cell>
          <cell r="E5276" t="e">
            <v>#VALUE!</v>
          </cell>
          <cell r="F5276">
            <v>0</v>
          </cell>
        </row>
        <row r="5277">
          <cell r="A5277" t="str">
            <v>RPPIAR3B</v>
          </cell>
          <cell r="B5277">
            <v>6.0940470154180306E-3</v>
          </cell>
          <cell r="C5277">
            <v>0</v>
          </cell>
          <cell r="D5277" t="e">
            <v>#VALUE!</v>
          </cell>
          <cell r="E5277" t="e">
            <v>#VALUE!</v>
          </cell>
          <cell r="F5277">
            <v>0</v>
          </cell>
        </row>
        <row r="5278">
          <cell r="A5278" t="str">
            <v>RPPIGLXB</v>
          </cell>
          <cell r="B5278">
            <v>1.5355790314609057E-2</v>
          </cell>
          <cell r="C5278">
            <v>0</v>
          </cell>
          <cell r="D5278" t="e">
            <v>#VALUE!</v>
          </cell>
          <cell r="E5278" t="e">
            <v>#VALUE!</v>
          </cell>
          <cell r="F5278">
            <v>0</v>
          </cell>
        </row>
        <row r="5279">
          <cell r="A5279" t="str">
            <v>RPPIKJPB</v>
          </cell>
          <cell r="B5279">
            <v>7.4965297722908323E-5</v>
          </cell>
          <cell r="C5279">
            <v>0</v>
          </cell>
          <cell r="D5279" t="e">
            <v>#VALUE!</v>
          </cell>
          <cell r="E5279" t="e">
            <v>#VALUE!</v>
          </cell>
          <cell r="F5279">
            <v>0</v>
          </cell>
        </row>
        <row r="5280">
          <cell r="A5280" t="str">
            <v>RPPIHTFB</v>
          </cell>
          <cell r="B5280">
            <v>1.6436929766037691E-2</v>
          </cell>
          <cell r="C5280">
            <v>0</v>
          </cell>
          <cell r="D5280" t="e">
            <v>#VALUE!</v>
          </cell>
          <cell r="E5280" t="e">
            <v>#VALUE!</v>
          </cell>
          <cell r="F5280">
            <v>0</v>
          </cell>
        </row>
        <row r="5281">
          <cell r="A5281" t="str">
            <v>RPPIHTZB</v>
          </cell>
          <cell r="B5281">
            <v>1.6436929766037691E-2</v>
          </cell>
          <cell r="C5281">
            <v>0</v>
          </cell>
          <cell r="D5281" t="e">
            <v>#VALUE!</v>
          </cell>
          <cell r="E5281" t="e">
            <v>#VALUE!</v>
          </cell>
          <cell r="F5281">
            <v>0</v>
          </cell>
        </row>
        <row r="5282">
          <cell r="A5282" t="str">
            <v>RPPIKKKB</v>
          </cell>
          <cell r="B5282">
            <v>8.3420655795859219E-4</v>
          </cell>
          <cell r="C5282">
            <v>0</v>
          </cell>
          <cell r="D5282" t="e">
            <v>#VALUE!</v>
          </cell>
          <cell r="E5282" t="e">
            <v>#VALUE!</v>
          </cell>
          <cell r="F5282">
            <v>0</v>
          </cell>
        </row>
        <row r="5283">
          <cell r="A5283" t="str">
            <v>RPPILG2B</v>
          </cell>
          <cell r="B5283">
            <v>1.0944333371348688E-3</v>
          </cell>
          <cell r="C5283">
            <v>0</v>
          </cell>
          <cell r="D5283" t="e">
            <v>#VALUE!</v>
          </cell>
          <cell r="E5283" t="e">
            <v>#VALUE!</v>
          </cell>
          <cell r="F5283">
            <v>0</v>
          </cell>
        </row>
        <row r="5284">
          <cell r="A5284" t="str">
            <v>RPPILG3B</v>
          </cell>
          <cell r="B5284">
            <v>-3.2449625201255391E-3</v>
          </cell>
          <cell r="C5284">
            <v>0</v>
          </cell>
          <cell r="D5284" t="e">
            <v>#VALUE!</v>
          </cell>
          <cell r="E5284" t="e">
            <v>#VALUE!</v>
          </cell>
          <cell r="F5284">
            <v>0</v>
          </cell>
        </row>
        <row r="5285">
          <cell r="A5285" t="str">
            <v>RPPILK2B</v>
          </cell>
          <cell r="B5285">
            <v>7.0705970634562989E-4</v>
          </cell>
          <cell r="C5285">
            <v>0</v>
          </cell>
          <cell r="D5285" t="e">
            <v>#VALUE!</v>
          </cell>
          <cell r="E5285" t="e">
            <v>#VALUE!</v>
          </cell>
          <cell r="F5285">
            <v>0</v>
          </cell>
        </row>
        <row r="5286">
          <cell r="A5286" t="str">
            <v>RPPILK3B</v>
          </cell>
          <cell r="B5286">
            <v>-2.2896724023093939E-6</v>
          </cell>
          <cell r="C5286">
            <v>0</v>
          </cell>
          <cell r="D5286" t="e">
            <v>#VALUE!</v>
          </cell>
          <cell r="E5286" t="e">
            <v>#VALUE!</v>
          </cell>
          <cell r="F5286">
            <v>0</v>
          </cell>
        </row>
        <row r="5287">
          <cell r="A5287" t="str">
            <v>RPPILN2B</v>
          </cell>
          <cell r="B5287">
            <v>3.606122039639415E-9</v>
          </cell>
          <cell r="C5287">
            <v>0</v>
          </cell>
          <cell r="D5287" t="e">
            <v>#VALUE!</v>
          </cell>
          <cell r="E5287" t="e">
            <v>#VALUE!</v>
          </cell>
          <cell r="F5287">
            <v>0</v>
          </cell>
        </row>
        <row r="5288">
          <cell r="A5288" t="str">
            <v>RPPILVAB</v>
          </cell>
          <cell r="B5288">
            <v>5.5057361799177446E-2</v>
          </cell>
          <cell r="C5288">
            <v>0</v>
          </cell>
          <cell r="D5288" t="e">
            <v>#VALUE!</v>
          </cell>
          <cell r="E5288" t="e">
            <v>#VALUE!</v>
          </cell>
          <cell r="F5288">
            <v>0</v>
          </cell>
        </row>
        <row r="5289">
          <cell r="A5289" t="str">
            <v>RPPILV2B</v>
          </cell>
          <cell r="B5289">
            <v>-4.6071108316600781E-4</v>
          </cell>
          <cell r="C5289">
            <v>0</v>
          </cell>
          <cell r="D5289" t="e">
            <v>#VALUE!</v>
          </cell>
          <cell r="E5289" t="e">
            <v>#VALUE!</v>
          </cell>
          <cell r="F5289">
            <v>0</v>
          </cell>
        </row>
        <row r="5290">
          <cell r="A5290" t="str">
            <v>RPPILV3B</v>
          </cell>
          <cell r="B5290">
            <v>7.2511818936917525E-4</v>
          </cell>
          <cell r="C5290">
            <v>0</v>
          </cell>
          <cell r="D5290" t="e">
            <v>#VALUE!</v>
          </cell>
          <cell r="E5290" t="e">
            <v>#VALUE!</v>
          </cell>
          <cell r="F5290">
            <v>0</v>
          </cell>
        </row>
        <row r="5291">
          <cell r="A5291" t="str">
            <v>RPPILXFB</v>
          </cell>
          <cell r="B5291">
            <v>0.17892343931104224</v>
          </cell>
          <cell r="C5291">
            <v>0</v>
          </cell>
          <cell r="D5291" t="e">
            <v>#VALUE!</v>
          </cell>
          <cell r="E5291" t="e">
            <v>#VALUE!</v>
          </cell>
          <cell r="F5291">
            <v>0</v>
          </cell>
        </row>
        <row r="5292">
          <cell r="A5292" t="str">
            <v>RPPIMN3B</v>
          </cell>
          <cell r="B5292">
            <v>3.2381375355230809E-8</v>
          </cell>
          <cell r="C5292">
            <v>0</v>
          </cell>
          <cell r="D5292" t="e">
            <v>#VALUE!</v>
          </cell>
          <cell r="E5292" t="e">
            <v>#VALUE!</v>
          </cell>
          <cell r="F5292">
            <v>0</v>
          </cell>
        </row>
        <row r="5293">
          <cell r="A5293" t="str">
            <v>RPPIMN2B</v>
          </cell>
          <cell r="B5293">
            <v>-2.3730317310568577E-8</v>
          </cell>
          <cell r="C5293">
            <v>0</v>
          </cell>
          <cell r="D5293" t="e">
            <v>#VALUE!</v>
          </cell>
          <cell r="E5293" t="e">
            <v>#VALUE!</v>
          </cell>
          <cell r="F5293">
            <v>0</v>
          </cell>
        </row>
        <row r="5294">
          <cell r="A5294" t="str">
            <v>RPPIPG2B</v>
          </cell>
          <cell r="B5294">
            <v>8.3291196031645438E-3</v>
          </cell>
          <cell r="C5294">
            <v>0</v>
          </cell>
          <cell r="D5294" t="e">
            <v>#VALUE!</v>
          </cell>
          <cell r="E5294" t="e">
            <v>#VALUE!</v>
          </cell>
          <cell r="F5294">
            <v>0</v>
          </cell>
        </row>
        <row r="5295">
          <cell r="A5295" t="str">
            <v>RPPIPG3B</v>
          </cell>
          <cell r="B5295">
            <v>-8.2776497524033929E-5</v>
          </cell>
          <cell r="C5295">
            <v>0</v>
          </cell>
          <cell r="D5295" t="e">
            <v>#VALUE!</v>
          </cell>
          <cell r="E5295" t="e">
            <v>#VALUE!</v>
          </cell>
          <cell r="F5295">
            <v>0</v>
          </cell>
        </row>
        <row r="5296">
          <cell r="A5296" t="str">
            <v>RPPIPGOB</v>
          </cell>
          <cell r="B5296">
            <v>0.11653227370044165</v>
          </cell>
          <cell r="C5296">
            <v>0</v>
          </cell>
          <cell r="D5296" t="e">
            <v>#VALUE!</v>
          </cell>
          <cell r="E5296" t="e">
            <v>#VALUE!</v>
          </cell>
          <cell r="F5296">
            <v>0</v>
          </cell>
        </row>
        <row r="5297">
          <cell r="A5297" t="str">
            <v>RPPIPN2B</v>
          </cell>
          <cell r="B5297">
            <v>-1.8422536003618942E-5</v>
          </cell>
          <cell r="C5297">
            <v>0</v>
          </cell>
          <cell r="D5297" t="e">
            <v>#VALUE!</v>
          </cell>
          <cell r="E5297" t="e">
            <v>#VALUE!</v>
          </cell>
          <cell r="F5297">
            <v>0</v>
          </cell>
        </row>
        <row r="5298">
          <cell r="A5298" t="str">
            <v>RPPIPT2B</v>
          </cell>
          <cell r="B5298">
            <v>2.4854069360808603E-5</v>
          </cell>
          <cell r="C5298">
            <v>0</v>
          </cell>
          <cell r="D5298" t="e">
            <v>#VALUE!</v>
          </cell>
          <cell r="E5298" t="e">
            <v>#VALUE!</v>
          </cell>
          <cell r="F5298">
            <v>0</v>
          </cell>
        </row>
        <row r="5299">
          <cell r="A5299" t="str">
            <v>RPPIPN3B</v>
          </cell>
          <cell r="B5299">
            <v>-5.2035131705464388E-8</v>
          </cell>
          <cell r="C5299">
            <v>0</v>
          </cell>
          <cell r="D5299" t="e">
            <v>#VALUE!</v>
          </cell>
          <cell r="E5299" t="e">
            <v>#VALUE!</v>
          </cell>
          <cell r="F5299">
            <v>0</v>
          </cell>
        </row>
        <row r="5300">
          <cell r="A5300" t="str">
            <v>RPPIPT3B</v>
          </cell>
          <cell r="B5300">
            <v>-9.826727630769756E-5</v>
          </cell>
          <cell r="C5300">
            <v>0</v>
          </cell>
          <cell r="D5300" t="e">
            <v>#VALUE!</v>
          </cell>
          <cell r="E5300" t="e">
            <v>#VALUE!</v>
          </cell>
          <cell r="F5300">
            <v>0</v>
          </cell>
        </row>
        <row r="5301">
          <cell r="A5301" t="str">
            <v>RPPIPRAB</v>
          </cell>
          <cell r="B5301">
            <v>0</v>
          </cell>
          <cell r="C5301">
            <v>0</v>
          </cell>
          <cell r="D5301" t="e">
            <v>#VALUE!</v>
          </cell>
          <cell r="E5301" t="e">
            <v>#VALUE!</v>
          </cell>
          <cell r="F5301">
            <v>0</v>
          </cell>
        </row>
        <row r="5302">
          <cell r="A5302" t="str">
            <v>RPPIPR2B</v>
          </cell>
          <cell r="B5302">
            <v>0</v>
          </cell>
          <cell r="C5302">
            <v>0</v>
          </cell>
          <cell r="D5302" t="e">
            <v>#VALUE!</v>
          </cell>
          <cell r="E5302" t="e">
            <v>#VALUE!</v>
          </cell>
          <cell r="F5302">
            <v>0</v>
          </cell>
        </row>
        <row r="5303">
          <cell r="A5303" t="str">
            <v>RPPIPR3B</v>
          </cell>
          <cell r="B5303">
            <v>0</v>
          </cell>
          <cell r="C5303">
            <v>0</v>
          </cell>
          <cell r="D5303" t="e">
            <v>#VALUE!</v>
          </cell>
          <cell r="E5303" t="e">
            <v>#VALUE!</v>
          </cell>
          <cell r="F5303">
            <v>0</v>
          </cell>
        </row>
        <row r="5304">
          <cell r="A5304" t="str">
            <v>RPPIPVAB</v>
          </cell>
          <cell r="B5304">
            <v>-3.7741725298548945E-4</v>
          </cell>
          <cell r="C5304">
            <v>0</v>
          </cell>
          <cell r="D5304" t="e">
            <v>#VALUE!</v>
          </cell>
          <cell r="E5304" t="e">
            <v>#VALUE!</v>
          </cell>
          <cell r="F5304">
            <v>0</v>
          </cell>
        </row>
        <row r="5305">
          <cell r="A5305" t="str">
            <v>RPPIPV2B</v>
          </cell>
          <cell r="B5305">
            <v>-3.2998970741635725E-4</v>
          </cell>
          <cell r="C5305">
            <v>0</v>
          </cell>
          <cell r="D5305" t="e">
            <v>#VALUE!</v>
          </cell>
          <cell r="E5305" t="e">
            <v>#VALUE!</v>
          </cell>
          <cell r="F5305">
            <v>0</v>
          </cell>
        </row>
        <row r="5306">
          <cell r="A5306" t="str">
            <v>RPPIPV3B</v>
          </cell>
          <cell r="B5306">
            <v>1.5853254556694157E-3</v>
          </cell>
          <cell r="C5306">
            <v>0</v>
          </cell>
          <cell r="D5306" t="e">
            <v>#VALUE!</v>
          </cell>
          <cell r="E5306" t="e">
            <v>#VALUE!</v>
          </cell>
          <cell r="F5306">
            <v>0</v>
          </cell>
        </row>
        <row r="5307">
          <cell r="A5307" t="str">
            <v>RPPIPX2B</v>
          </cell>
          <cell r="B5307">
            <v>0</v>
          </cell>
          <cell r="C5307">
            <v>0</v>
          </cell>
          <cell r="D5307" t="e">
            <v>#VALUE!</v>
          </cell>
          <cell r="E5307" t="e">
            <v>#VALUE!</v>
          </cell>
          <cell r="F5307">
            <v>0</v>
          </cell>
        </row>
        <row r="5308">
          <cell r="A5308" t="str">
            <v>RPPIPX3B</v>
          </cell>
          <cell r="B5308">
            <v>0</v>
          </cell>
          <cell r="C5308">
            <v>0</v>
          </cell>
          <cell r="D5308" t="e">
            <v>#VALUE!</v>
          </cell>
          <cell r="E5308" t="e">
            <v>#VALUE!</v>
          </cell>
          <cell r="F5308">
            <v>0</v>
          </cell>
        </row>
        <row r="5309">
          <cell r="A5309" t="str">
            <v>RPPISK2B</v>
          </cell>
          <cell r="B5309">
            <v>1.2522455432339833E-6</v>
          </cell>
          <cell r="C5309">
            <v>0</v>
          </cell>
          <cell r="D5309" t="e">
            <v>#VALUE!</v>
          </cell>
          <cell r="E5309" t="e">
            <v>#VALUE!</v>
          </cell>
          <cell r="F5309">
            <v>0</v>
          </cell>
        </row>
        <row r="5310">
          <cell r="A5310" t="str">
            <v>RPPISK3B</v>
          </cell>
          <cell r="B5310">
            <v>-8.100013830811156E-7</v>
          </cell>
          <cell r="C5310">
            <v>0</v>
          </cell>
          <cell r="D5310" t="e">
            <v>#VALUE!</v>
          </cell>
          <cell r="E5310" t="e">
            <v>#VALUE!</v>
          </cell>
          <cell r="F5310">
            <v>0</v>
          </cell>
        </row>
        <row r="5311">
          <cell r="A5311" t="str">
            <v>RPPISG2B</v>
          </cell>
          <cell r="B5311">
            <v>8.4058148387742981E-6</v>
          </cell>
          <cell r="C5311">
            <v>0</v>
          </cell>
          <cell r="D5311" t="e">
            <v>#VALUE!</v>
          </cell>
          <cell r="E5311" t="e">
            <v>#VALUE!</v>
          </cell>
          <cell r="F5311">
            <v>0</v>
          </cell>
        </row>
        <row r="5312">
          <cell r="A5312" t="str">
            <v>RPPISG3B</v>
          </cell>
          <cell r="B5312">
            <v>-1.4724651312817888E-5</v>
          </cell>
          <cell r="C5312">
            <v>0</v>
          </cell>
          <cell r="D5312" t="e">
            <v>#VALUE!</v>
          </cell>
          <cell r="E5312" t="e">
            <v>#VALUE!</v>
          </cell>
          <cell r="F5312">
            <v>0</v>
          </cell>
        </row>
        <row r="5313">
          <cell r="A5313" t="str">
            <v>RPPISV2B</v>
          </cell>
          <cell r="B5313">
            <v>-1.3275799843565799E-4</v>
          </cell>
          <cell r="C5313">
            <v>0</v>
          </cell>
          <cell r="D5313" t="e">
            <v>#VALUE!</v>
          </cell>
          <cell r="E5313" t="e">
            <v>#VALUE!</v>
          </cell>
          <cell r="F5313">
            <v>0</v>
          </cell>
        </row>
        <row r="5314">
          <cell r="A5314" t="str">
            <v>RPPISV3B</v>
          </cell>
          <cell r="B5314">
            <v>5.5310336118627801E-5</v>
          </cell>
          <cell r="C5314">
            <v>0</v>
          </cell>
          <cell r="D5314" t="e">
            <v>#VALUE!</v>
          </cell>
          <cell r="E5314" t="e">
            <v>#VALUE!</v>
          </cell>
          <cell r="F5314">
            <v>0</v>
          </cell>
        </row>
        <row r="5315">
          <cell r="A5315" t="str">
            <v>RPPISW2B</v>
          </cell>
          <cell r="B5315">
            <v>-2.0705954192049979E-4</v>
          </cell>
          <cell r="C5315">
            <v>0</v>
          </cell>
          <cell r="D5315" t="e">
            <v>#VALUE!</v>
          </cell>
          <cell r="E5315" t="e">
            <v>#VALUE!</v>
          </cell>
          <cell r="F5315">
            <v>0</v>
          </cell>
        </row>
        <row r="5316">
          <cell r="A5316" t="str">
            <v>RPPISW3B</v>
          </cell>
          <cell r="B5316">
            <v>3.2445059519911769E-4</v>
          </cell>
          <cell r="C5316">
            <v>0</v>
          </cell>
          <cell r="D5316" t="e">
            <v>#VALUE!</v>
          </cell>
          <cell r="E5316" t="e">
            <v>#VALUE!</v>
          </cell>
          <cell r="F5316">
            <v>0</v>
          </cell>
        </row>
        <row r="5317">
          <cell r="A5317" t="str">
            <v>RPPISX2B</v>
          </cell>
          <cell r="B5317">
            <v>-2.0282812993546904E-4</v>
          </cell>
          <cell r="C5317">
            <v>0</v>
          </cell>
          <cell r="D5317" t="e">
            <v>#VALUE!</v>
          </cell>
          <cell r="E5317" t="e">
            <v>#VALUE!</v>
          </cell>
          <cell r="F5317">
            <v>0</v>
          </cell>
        </row>
        <row r="5318">
          <cell r="A5318" t="str">
            <v>RPPISX3B</v>
          </cell>
          <cell r="B5318">
            <v>8.1282302502810655E-5</v>
          </cell>
          <cell r="C5318">
            <v>0</v>
          </cell>
          <cell r="D5318" t="e">
            <v>#VALUE!</v>
          </cell>
          <cell r="E5318" t="e">
            <v>#VALUE!</v>
          </cell>
          <cell r="F5318">
            <v>0</v>
          </cell>
        </row>
        <row r="5319">
          <cell r="A5319" t="str">
            <v>RPPIVRAB</v>
          </cell>
          <cell r="B5319">
            <v>0.27345525460725983</v>
          </cell>
          <cell r="C5319">
            <v>0</v>
          </cell>
          <cell r="D5319" t="e">
            <v>#VALUE!</v>
          </cell>
          <cell r="E5319" t="e">
            <v>#VALUE!</v>
          </cell>
          <cell r="F5319">
            <v>0</v>
          </cell>
        </row>
        <row r="5320">
          <cell r="A5320" t="str">
            <v>RPPIVR2B</v>
          </cell>
          <cell r="B5320">
            <v>-1.3616298676200518E-3</v>
          </cell>
          <cell r="C5320">
            <v>0</v>
          </cell>
          <cell r="D5320" t="e">
            <v>#VALUE!</v>
          </cell>
          <cell r="E5320" t="e">
            <v>#VALUE!</v>
          </cell>
          <cell r="F5320">
            <v>0</v>
          </cell>
        </row>
        <row r="5321">
          <cell r="A5321" t="str">
            <v>RPPIVR3B</v>
          </cell>
          <cell r="B5321">
            <v>7.0191736415998168E-3</v>
          </cell>
          <cell r="C5321">
            <v>0</v>
          </cell>
          <cell r="D5321" t="e">
            <v>#VALUE!</v>
          </cell>
          <cell r="E5321" t="e">
            <v>#VALUE!</v>
          </cell>
          <cell r="F5321">
            <v>0</v>
          </cell>
        </row>
        <row r="5322">
          <cell r="A5322" t="str">
            <v>RFPIKJPB</v>
          </cell>
          <cell r="B5322">
            <v>3.0272850856082897E-4</v>
          </cell>
          <cell r="C5322">
            <v>0</v>
          </cell>
          <cell r="D5322" t="e">
            <v>#VALUE!</v>
          </cell>
          <cell r="E5322" t="e">
            <v>#VALUE!</v>
          </cell>
          <cell r="F5322">
            <v>0</v>
          </cell>
        </row>
        <row r="5323">
          <cell r="A5323" t="str">
            <v>RFPIKKKB</v>
          </cell>
          <cell r="B5323">
            <v>5.8806504417140649E-3</v>
          </cell>
          <cell r="C5323">
            <v>0</v>
          </cell>
          <cell r="D5323" t="e">
            <v>#VALUE!</v>
          </cell>
          <cell r="E5323" t="e">
            <v>#VALUE!</v>
          </cell>
          <cell r="F5323">
            <v>0</v>
          </cell>
        </row>
        <row r="5324">
          <cell r="A5324" t="str">
            <v>RFPILK2B</v>
          </cell>
          <cell r="B5324">
            <v>2.6549489998851888E-3</v>
          </cell>
          <cell r="C5324">
            <v>0</v>
          </cell>
          <cell r="D5324" t="e">
            <v>#VALUE!</v>
          </cell>
          <cell r="E5324" t="e">
            <v>#VALUE!</v>
          </cell>
          <cell r="F5324">
            <v>0</v>
          </cell>
        </row>
        <row r="5325">
          <cell r="A5325" t="str">
            <v>RFPILK3B</v>
          </cell>
          <cell r="B5325">
            <v>-4.1544401740108306E-3</v>
          </cell>
          <cell r="C5325">
            <v>0</v>
          </cell>
          <cell r="D5325" t="e">
            <v>#VALUE!</v>
          </cell>
          <cell r="E5325" t="e">
            <v>#VALUE!</v>
          </cell>
          <cell r="F5325">
            <v>0</v>
          </cell>
        </row>
        <row r="5326">
          <cell r="A5326" t="str">
            <v>RFPISK2B</v>
          </cell>
          <cell r="B5326">
            <v>-1.7653139570627478E-5</v>
          </cell>
          <cell r="C5326">
            <v>0</v>
          </cell>
          <cell r="D5326" t="e">
            <v>#VALUE!</v>
          </cell>
          <cell r="E5326" t="e">
            <v>#VALUE!</v>
          </cell>
          <cell r="F5326">
            <v>0</v>
          </cell>
        </row>
        <row r="5327">
          <cell r="A5327" t="str">
            <v>RFPISK3B</v>
          </cell>
          <cell r="B5327">
            <v>1.7229842011732976E-5</v>
          </cell>
          <cell r="C5327">
            <v>0</v>
          </cell>
          <cell r="D5327" t="e">
            <v>#VALUE!</v>
          </cell>
          <cell r="E5327" t="e">
            <v>#VALUE!</v>
          </cell>
          <cell r="F5327">
            <v>0</v>
          </cell>
        </row>
        <row r="5328">
          <cell r="A5328" t="str">
            <v>RFPISG2B</v>
          </cell>
          <cell r="B5328">
            <v>4.5319257934937775E-6</v>
          </cell>
          <cell r="C5328">
            <v>0</v>
          </cell>
          <cell r="D5328" t="e">
            <v>#VALUE!</v>
          </cell>
          <cell r="E5328" t="e">
            <v>#VALUE!</v>
          </cell>
          <cell r="F5328">
            <v>0</v>
          </cell>
        </row>
        <row r="5329">
          <cell r="A5329" t="str">
            <v>RFPISG3B</v>
          </cell>
          <cell r="B5329">
            <v>2.2112771963193528E-5</v>
          </cell>
          <cell r="C5329">
            <v>0</v>
          </cell>
          <cell r="D5329" t="e">
            <v>#VALUE!</v>
          </cell>
          <cell r="E5329" t="e">
            <v>#VALUE!</v>
          </cell>
          <cell r="F5329">
            <v>0</v>
          </cell>
        </row>
        <row r="5330">
          <cell r="A5330" t="str">
            <v>RINFGLXB</v>
          </cell>
          <cell r="B5330">
            <v>-5.1447789636376785E-2</v>
          </cell>
          <cell r="C5330">
            <v>0</v>
          </cell>
          <cell r="D5330" t="e">
            <v>#VALUE!</v>
          </cell>
          <cell r="E5330" t="e">
            <v>#VALUE!</v>
          </cell>
          <cell r="F5330">
            <v>0</v>
          </cell>
        </row>
        <row r="5331">
          <cell r="A5331" t="str">
            <v>RINFKJPB</v>
          </cell>
          <cell r="B5331">
            <v>4.0081548772446093E-3</v>
          </cell>
          <cell r="C5331">
            <v>0</v>
          </cell>
          <cell r="D5331" t="e">
            <v>#VALUE!</v>
          </cell>
          <cell r="E5331" t="e">
            <v>#VALUE!</v>
          </cell>
          <cell r="F5331">
            <v>0</v>
          </cell>
        </row>
        <row r="5332">
          <cell r="A5332" t="str">
            <v>RINFKKKB</v>
          </cell>
          <cell r="B5332">
            <v>-0.13434079278719752</v>
          </cell>
          <cell r="C5332">
            <v>0</v>
          </cell>
          <cell r="D5332" t="e">
            <v>#VALUE!</v>
          </cell>
          <cell r="E5332" t="e">
            <v>#VALUE!</v>
          </cell>
          <cell r="F5332">
            <v>0</v>
          </cell>
        </row>
        <row r="5333">
          <cell r="A5333" t="str">
            <v>RINFLG2B</v>
          </cell>
          <cell r="B5333">
            <v>-2.4045074246313473E-2</v>
          </cell>
          <cell r="C5333">
            <v>0</v>
          </cell>
          <cell r="D5333" t="e">
            <v>#VALUE!</v>
          </cell>
          <cell r="E5333" t="e">
            <v>#VALUE!</v>
          </cell>
          <cell r="F5333">
            <v>0</v>
          </cell>
        </row>
        <row r="5334">
          <cell r="A5334" t="str">
            <v>RINFLG3B</v>
          </cell>
          <cell r="B5334">
            <v>-3.1108287129589447E-5</v>
          </cell>
          <cell r="C5334">
            <v>0</v>
          </cell>
          <cell r="D5334" t="e">
            <v>#VALUE!</v>
          </cell>
          <cell r="E5334" t="e">
            <v>#VALUE!</v>
          </cell>
          <cell r="F5334">
            <v>0</v>
          </cell>
        </row>
        <row r="5335">
          <cell r="A5335" t="str">
            <v>RINFLK2B</v>
          </cell>
          <cell r="B5335">
            <v>-2.4259376223358543E-2</v>
          </cell>
          <cell r="C5335">
            <v>0</v>
          </cell>
          <cell r="D5335" t="e">
            <v>#VALUE!</v>
          </cell>
          <cell r="E5335" t="e">
            <v>#VALUE!</v>
          </cell>
          <cell r="F5335">
            <v>0</v>
          </cell>
        </row>
        <row r="5336">
          <cell r="A5336" t="str">
            <v>RINFLK3B</v>
          </cell>
          <cell r="B5336">
            <v>-1.9555868746789351E-4</v>
          </cell>
          <cell r="C5336">
            <v>0</v>
          </cell>
          <cell r="D5336" t="e">
            <v>#VALUE!</v>
          </cell>
          <cell r="E5336" t="e">
            <v>#VALUE!</v>
          </cell>
          <cell r="F5336">
            <v>0</v>
          </cell>
        </row>
        <row r="5337">
          <cell r="A5337" t="str">
            <v>RINFLN2B</v>
          </cell>
          <cell r="B5337">
            <v>3.6819559626383325</v>
          </cell>
          <cell r="C5337">
            <v>0</v>
          </cell>
          <cell r="D5337" t="e">
            <v>#VALUE!</v>
          </cell>
          <cell r="E5337" t="e">
            <v>#VALUE!</v>
          </cell>
          <cell r="F5337">
            <v>0</v>
          </cell>
        </row>
        <row r="5338">
          <cell r="A5338" t="str">
            <v>RINFLXFB</v>
          </cell>
          <cell r="B5338">
            <v>0</v>
          </cell>
          <cell r="C5338">
            <v>0</v>
          </cell>
          <cell r="D5338" t="e">
            <v>#VALUE!</v>
          </cell>
          <cell r="E5338" t="e">
            <v>#VALUE!</v>
          </cell>
          <cell r="F5338">
            <v>0</v>
          </cell>
        </row>
        <row r="5339">
          <cell r="A5339" t="str">
            <v>RINFMN3B</v>
          </cell>
          <cell r="B5339">
            <v>-2.4615630757044492E-3</v>
          </cell>
          <cell r="C5339">
            <v>0</v>
          </cell>
          <cell r="D5339" t="e">
            <v>#VALUE!</v>
          </cell>
          <cell r="E5339" t="e">
            <v>#VALUE!</v>
          </cell>
          <cell r="F5339">
            <v>0</v>
          </cell>
        </row>
        <row r="5340">
          <cell r="A5340" t="str">
            <v>RINFMN2B</v>
          </cell>
          <cell r="B5340">
            <v>0.45589160733371464</v>
          </cell>
          <cell r="C5340">
            <v>0</v>
          </cell>
          <cell r="D5340" t="e">
            <v>#VALUE!</v>
          </cell>
          <cell r="E5340" t="e">
            <v>#VALUE!</v>
          </cell>
          <cell r="F5340">
            <v>0</v>
          </cell>
        </row>
        <row r="5341">
          <cell r="A5341" t="str">
            <v>RINFPGOB</v>
          </cell>
          <cell r="B5341">
            <v>-0.25320708183220858</v>
          </cell>
          <cell r="C5341">
            <v>0</v>
          </cell>
          <cell r="D5341" t="e">
            <v>#VALUE!</v>
          </cell>
          <cell r="E5341" t="e">
            <v>#VALUE!</v>
          </cell>
          <cell r="F5341">
            <v>0</v>
          </cell>
        </row>
        <row r="5342">
          <cell r="A5342" t="str">
            <v>RINFPN2B</v>
          </cell>
          <cell r="B5342">
            <v>0.13274339798786869</v>
          </cell>
          <cell r="C5342">
            <v>0</v>
          </cell>
          <cell r="D5342" t="e">
            <v>#VALUE!</v>
          </cell>
          <cell r="E5342" t="e">
            <v>#VALUE!</v>
          </cell>
          <cell r="F5342">
            <v>0</v>
          </cell>
        </row>
        <row r="5343">
          <cell r="A5343" t="str">
            <v>RINFPT2B</v>
          </cell>
          <cell r="B5343">
            <v>-5.0133660893683159E-2</v>
          </cell>
          <cell r="C5343">
            <v>0</v>
          </cell>
          <cell r="D5343" t="e">
            <v>#VALUE!</v>
          </cell>
          <cell r="E5343" t="e">
            <v>#VALUE!</v>
          </cell>
          <cell r="F5343">
            <v>0</v>
          </cell>
        </row>
        <row r="5344">
          <cell r="A5344" t="str">
            <v>RINFPN3B</v>
          </cell>
          <cell r="B5344">
            <v>0.20010784538590337</v>
          </cell>
          <cell r="C5344">
            <v>0</v>
          </cell>
          <cell r="D5344" t="e">
            <v>#VALUE!</v>
          </cell>
          <cell r="E5344" t="e">
            <v>#VALUE!</v>
          </cell>
          <cell r="F5344">
            <v>0</v>
          </cell>
        </row>
        <row r="5345">
          <cell r="A5345" t="str">
            <v>RINFPT3B</v>
          </cell>
          <cell r="B5345">
            <v>-6.137753417396484E-4</v>
          </cell>
          <cell r="C5345">
            <v>0</v>
          </cell>
          <cell r="D5345" t="e">
            <v>#VALUE!</v>
          </cell>
          <cell r="E5345" t="e">
            <v>#VALUE!</v>
          </cell>
          <cell r="F5345">
            <v>0</v>
          </cell>
        </row>
        <row r="5346">
          <cell r="A5346" t="str">
            <v>RINFSK2B</v>
          </cell>
          <cell r="B5346">
            <v>0.12644212417151421</v>
          </cell>
          <cell r="C5346">
            <v>0</v>
          </cell>
          <cell r="D5346" t="e">
            <v>#VALUE!</v>
          </cell>
          <cell r="E5346" t="e">
            <v>#VALUE!</v>
          </cell>
          <cell r="F5346">
            <v>0</v>
          </cell>
        </row>
        <row r="5347">
          <cell r="A5347" t="str">
            <v>RINFSK3B</v>
          </cell>
          <cell r="B5347">
            <v>-1.1459963730331229E-3</v>
          </cell>
          <cell r="C5347">
            <v>0</v>
          </cell>
          <cell r="D5347" t="e">
            <v>#VALUE!</v>
          </cell>
          <cell r="E5347" t="e">
            <v>#VALUE!</v>
          </cell>
          <cell r="F5347">
            <v>0</v>
          </cell>
        </row>
        <row r="5348">
          <cell r="A5348" t="str">
            <v>RINFSG2B</v>
          </cell>
          <cell r="B5348">
            <v>6.0947226149935833E-3</v>
          </cell>
          <cell r="C5348">
            <v>0</v>
          </cell>
          <cell r="D5348" t="e">
            <v>#VALUE!</v>
          </cell>
          <cell r="E5348" t="e">
            <v>#VALUE!</v>
          </cell>
          <cell r="F5348">
            <v>0</v>
          </cell>
        </row>
        <row r="5349">
          <cell r="A5349" t="str">
            <v>RINFSG3B</v>
          </cell>
          <cell r="B5349">
            <v>-3.5914980888464179E-4</v>
          </cell>
          <cell r="C5349">
            <v>0</v>
          </cell>
          <cell r="D5349" t="e">
            <v>#VALUE!</v>
          </cell>
          <cell r="E5349" t="e">
            <v>#VALUE!</v>
          </cell>
          <cell r="F5349">
            <v>0</v>
          </cell>
        </row>
        <row r="5350">
          <cell r="A5350" t="str">
            <v>RINFSW2B</v>
          </cell>
          <cell r="B5350">
            <v>1.3197728921923418E-3</v>
          </cell>
          <cell r="C5350">
            <v>0</v>
          </cell>
          <cell r="D5350" t="e">
            <v>#VALUE!</v>
          </cell>
          <cell r="E5350" t="e">
            <v>#VALUE!</v>
          </cell>
          <cell r="F5350">
            <v>0</v>
          </cell>
        </row>
        <row r="5351">
          <cell r="A5351" t="str">
            <v>RINFSW3B</v>
          </cell>
          <cell r="B5351">
            <v>-2.5639008919625504E-4</v>
          </cell>
          <cell r="C5351">
            <v>0</v>
          </cell>
          <cell r="D5351" t="e">
            <v>#VALUE!</v>
          </cell>
          <cell r="E5351" t="e">
            <v>#VALUE!</v>
          </cell>
          <cell r="F5351">
            <v>0</v>
          </cell>
        </row>
        <row r="5352">
          <cell r="A5352" t="str">
            <v>RT10LCTB</v>
          </cell>
          <cell r="B5352">
            <v>-1.4573648449492781E-2</v>
          </cell>
          <cell r="C5352">
            <v>0</v>
          </cell>
          <cell r="D5352" t="e">
            <v>#VALUE!</v>
          </cell>
          <cell r="E5352" t="e">
            <v>#VALUE!</v>
          </cell>
          <cell r="F5352">
            <v>0</v>
          </cell>
        </row>
        <row r="5353">
          <cell r="A5353" t="str">
            <v>RT10LLLB</v>
          </cell>
          <cell r="B5353">
            <v>-1.4573648449492781E-2</v>
          </cell>
          <cell r="C5353">
            <v>0</v>
          </cell>
          <cell r="D5353" t="e">
            <v>#VALUE!</v>
          </cell>
          <cell r="E5353" t="e">
            <v>#VALUE!</v>
          </cell>
          <cell r="F5353">
            <v>0</v>
          </cell>
        </row>
        <row r="5354">
          <cell r="A5354" t="str">
            <v>RT10LT2B</v>
          </cell>
          <cell r="B5354">
            <v>1.0123063179055126E-3</v>
          </cell>
          <cell r="C5354">
            <v>0</v>
          </cell>
          <cell r="D5354" t="e">
            <v>#VALUE!</v>
          </cell>
          <cell r="E5354" t="e">
            <v>#VALUE!</v>
          </cell>
          <cell r="F5354">
            <v>0</v>
          </cell>
        </row>
        <row r="5355">
          <cell r="A5355" t="str">
            <v>RT10NLCB</v>
          </cell>
          <cell r="B5355">
            <v>1.0928639082982818E-3</v>
          </cell>
          <cell r="C5355">
            <v>0</v>
          </cell>
          <cell r="D5355" t="e">
            <v>#VALUE!</v>
          </cell>
          <cell r="E5355" t="e">
            <v>#VALUE!</v>
          </cell>
          <cell r="F5355">
            <v>0</v>
          </cell>
        </row>
        <row r="5356">
          <cell r="A5356" t="str">
            <v>RT10NPRB</v>
          </cell>
          <cell r="B5356">
            <v>2.4070957766874528E-3</v>
          </cell>
          <cell r="C5356">
            <v>0</v>
          </cell>
          <cell r="D5356" t="e">
            <v>#VALUE!</v>
          </cell>
          <cell r="E5356" t="e">
            <v>#VALUE!</v>
          </cell>
          <cell r="F5356">
            <v>0</v>
          </cell>
        </row>
        <row r="5357">
          <cell r="A5357" t="str">
            <v>RT10NPZB</v>
          </cell>
          <cell r="B5357">
            <v>-5.166631912787075E-4</v>
          </cell>
          <cell r="C5357">
            <v>0</v>
          </cell>
          <cell r="D5357" t="e">
            <v>#VALUE!</v>
          </cell>
          <cell r="E5357" t="e">
            <v>#VALUE!</v>
          </cell>
          <cell r="F5357">
            <v>0</v>
          </cell>
        </row>
        <row r="5358">
          <cell r="A5358" t="str">
            <v>RT10PT2B</v>
          </cell>
          <cell r="B5358">
            <v>9.9355658541803483E-4</v>
          </cell>
          <cell r="C5358">
            <v>0</v>
          </cell>
          <cell r="D5358" t="e">
            <v>#VALUE!</v>
          </cell>
          <cell r="E5358" t="e">
            <v>#VALUE!</v>
          </cell>
          <cell r="F5358">
            <v>0</v>
          </cell>
        </row>
        <row r="5359">
          <cell r="A5359" t="str">
            <v>RT10MTVB</v>
          </cell>
          <cell r="B5359">
            <v>0</v>
          </cell>
          <cell r="C5359">
            <v>0</v>
          </cell>
          <cell r="D5359" t="e">
            <v>#VALUE!</v>
          </cell>
          <cell r="E5359" t="e">
            <v>#VALUE!</v>
          </cell>
          <cell r="F5359">
            <v>0</v>
          </cell>
        </row>
        <row r="5360">
          <cell r="A5360" t="str">
            <v>RT10ALHB</v>
          </cell>
          <cell r="B5360">
            <v>0</v>
          </cell>
          <cell r="C5360">
            <v>0</v>
          </cell>
          <cell r="D5360" t="e">
            <v>#VALUE!</v>
          </cell>
          <cell r="E5360" t="e">
            <v>#VALUE!</v>
          </cell>
          <cell r="F5360">
            <v>0</v>
          </cell>
        </row>
        <row r="5361">
          <cell r="A5361" t="str">
            <v>RT50LCTB</v>
          </cell>
          <cell r="B5361">
            <v>-4.2828785957232732E-2</v>
          </cell>
          <cell r="C5361">
            <v>0</v>
          </cell>
          <cell r="D5361" t="e">
            <v>#VALUE!</v>
          </cell>
          <cell r="E5361" t="e">
            <v>#VALUE!</v>
          </cell>
          <cell r="F5361">
            <v>0</v>
          </cell>
        </row>
        <row r="5362">
          <cell r="A5362" t="str">
            <v>RT50LLLB</v>
          </cell>
          <cell r="B5362">
            <v>-5.6755505249618671E-2</v>
          </cell>
          <cell r="C5362">
            <v>0</v>
          </cell>
          <cell r="D5362" t="e">
            <v>#VALUE!</v>
          </cell>
          <cell r="E5362" t="e">
            <v>#VALUE!</v>
          </cell>
          <cell r="F5362">
            <v>0</v>
          </cell>
        </row>
        <row r="5363">
          <cell r="A5363" t="str">
            <v>RT50LT2B</v>
          </cell>
          <cell r="B5363">
            <v>-4.8440740852017106E-3</v>
          </cell>
          <cell r="C5363">
            <v>0</v>
          </cell>
          <cell r="D5363" t="e">
            <v>#VALUE!</v>
          </cell>
          <cell r="E5363" t="e">
            <v>#VALUE!</v>
          </cell>
          <cell r="F5363">
            <v>0</v>
          </cell>
        </row>
        <row r="5364">
          <cell r="A5364" t="str">
            <v>RT50NLCB</v>
          </cell>
          <cell r="B5364">
            <v>3.0334639230628228E-2</v>
          </cell>
          <cell r="C5364">
            <v>0</v>
          </cell>
          <cell r="D5364" t="e">
            <v>#VALUE!</v>
          </cell>
          <cell r="E5364" t="e">
            <v>#VALUE!</v>
          </cell>
          <cell r="F5364">
            <v>0</v>
          </cell>
        </row>
        <row r="5365">
          <cell r="A5365" t="str">
            <v>RT50NPRB</v>
          </cell>
          <cell r="B5365">
            <v>1.4922728152843576E-3</v>
          </cell>
          <cell r="C5365">
            <v>0</v>
          </cell>
          <cell r="D5365" t="e">
            <v>#VALUE!</v>
          </cell>
          <cell r="E5365" t="e">
            <v>#VALUE!</v>
          </cell>
          <cell r="F5365">
            <v>0</v>
          </cell>
        </row>
        <row r="5366">
          <cell r="A5366" t="str">
            <v>RT50NPZB</v>
          </cell>
          <cell r="B5366">
            <v>-3.154906176336824E-4</v>
          </cell>
          <cell r="C5366">
            <v>0</v>
          </cell>
          <cell r="D5366" t="e">
            <v>#VALUE!</v>
          </cell>
          <cell r="E5366" t="e">
            <v>#VALUE!</v>
          </cell>
          <cell r="F5366">
            <v>0</v>
          </cell>
        </row>
        <row r="5367">
          <cell r="A5367" t="str">
            <v>RT50PT2B</v>
          </cell>
          <cell r="B5367">
            <v>9.9355658541803483E-4</v>
          </cell>
          <cell r="C5367">
            <v>0</v>
          </cell>
          <cell r="D5367" t="e">
            <v>#VALUE!</v>
          </cell>
          <cell r="E5367" t="e">
            <v>#VALUE!</v>
          </cell>
          <cell r="F5367">
            <v>0</v>
          </cell>
        </row>
        <row r="5368">
          <cell r="A5368" t="str">
            <v>RT50MTVB</v>
          </cell>
          <cell r="B5368">
            <v>0</v>
          </cell>
          <cell r="C5368">
            <v>0</v>
          </cell>
          <cell r="D5368" t="e">
            <v>#VALUE!</v>
          </cell>
          <cell r="E5368" t="e">
            <v>#VALUE!</v>
          </cell>
          <cell r="F5368">
            <v>0</v>
          </cell>
        </row>
        <row r="5369">
          <cell r="A5369" t="str">
            <v>RT50ALHB</v>
          </cell>
          <cell r="B5369">
            <v>0</v>
          </cell>
          <cell r="C5369">
            <v>0</v>
          </cell>
          <cell r="D5369" t="e">
            <v>#VALUE!</v>
          </cell>
          <cell r="E5369" t="e">
            <v>#VALUE!</v>
          </cell>
          <cell r="F5369">
            <v>0</v>
          </cell>
        </row>
        <row r="5370">
          <cell r="A5370" t="str">
            <v>RVBIAR2B</v>
          </cell>
          <cell r="B5370">
            <v>-4.9703581045804802E-5</v>
          </cell>
          <cell r="C5370">
            <v>0</v>
          </cell>
          <cell r="D5370" t="e">
            <v>#VALUE!</v>
          </cell>
          <cell r="E5370" t="e">
            <v>#VALUE!</v>
          </cell>
          <cell r="F5370">
            <v>0</v>
          </cell>
        </row>
        <row r="5371">
          <cell r="A5371" t="str">
            <v>RVBIAR3B</v>
          </cell>
          <cell r="B5371">
            <v>4.6979775537468798E-3</v>
          </cell>
          <cell r="C5371">
            <v>0</v>
          </cell>
          <cell r="D5371" t="e">
            <v>#VALUE!</v>
          </cell>
          <cell r="E5371" t="e">
            <v>#VALUE!</v>
          </cell>
          <cell r="F5371">
            <v>0</v>
          </cell>
        </row>
        <row r="5372">
          <cell r="A5372" t="str">
            <v>RVBIKJPB</v>
          </cell>
          <cell r="B5372">
            <v>-1.6077690666512753E-6</v>
          </cell>
          <cell r="C5372">
            <v>0</v>
          </cell>
          <cell r="D5372" t="e">
            <v>#VALUE!</v>
          </cell>
          <cell r="E5372" t="e">
            <v>#VALUE!</v>
          </cell>
          <cell r="F5372">
            <v>0</v>
          </cell>
        </row>
        <row r="5373">
          <cell r="A5373" t="str">
            <v>RVBILG2B</v>
          </cell>
          <cell r="B5373">
            <v>2.4791668059164022E-4</v>
          </cell>
          <cell r="C5373">
            <v>0</v>
          </cell>
          <cell r="D5373" t="e">
            <v>#VALUE!</v>
          </cell>
          <cell r="E5373" t="e">
            <v>#VALUE!</v>
          </cell>
          <cell r="F5373">
            <v>0</v>
          </cell>
        </row>
        <row r="5374">
          <cell r="A5374" t="str">
            <v>RVBILG3B</v>
          </cell>
          <cell r="B5374">
            <v>-3.3478995484255056E-4</v>
          </cell>
          <cell r="C5374">
            <v>0</v>
          </cell>
          <cell r="D5374" t="e">
            <v>#VALUE!</v>
          </cell>
          <cell r="E5374" t="e">
            <v>#VALUE!</v>
          </cell>
          <cell r="F5374">
            <v>0</v>
          </cell>
        </row>
        <row r="5375">
          <cell r="A5375" t="str">
            <v>RVBILK2B</v>
          </cell>
          <cell r="B5375">
            <v>-1.3814975511089472E-4</v>
          </cell>
          <cell r="C5375">
            <v>0</v>
          </cell>
          <cell r="D5375" t="e">
            <v>#VALUE!</v>
          </cell>
          <cell r="E5375" t="e">
            <v>#VALUE!</v>
          </cell>
          <cell r="F5375">
            <v>0</v>
          </cell>
        </row>
        <row r="5376">
          <cell r="A5376" t="str">
            <v>RVBILK3B</v>
          </cell>
          <cell r="B5376">
            <v>-1.0966173039228685E-7</v>
          </cell>
          <cell r="C5376">
            <v>0</v>
          </cell>
          <cell r="D5376" t="e">
            <v>#VALUE!</v>
          </cell>
          <cell r="E5376" t="e">
            <v>#VALUE!</v>
          </cell>
          <cell r="F5376">
            <v>0</v>
          </cell>
        </row>
        <row r="5377">
          <cell r="A5377" t="str">
            <v>RVBILVAB</v>
          </cell>
          <cell r="B5377">
            <v>1.3605503161271957E-3</v>
          </cell>
          <cell r="C5377">
            <v>0</v>
          </cell>
          <cell r="D5377" t="e">
            <v>#VALUE!</v>
          </cell>
          <cell r="E5377" t="e">
            <v>#VALUE!</v>
          </cell>
          <cell r="F5377">
            <v>0</v>
          </cell>
        </row>
        <row r="5378">
          <cell r="A5378" t="str">
            <v>RVBILV2B</v>
          </cell>
          <cell r="B5378">
            <v>-9.8311457346949595E-8</v>
          </cell>
          <cell r="C5378">
            <v>0</v>
          </cell>
          <cell r="D5378" t="e">
            <v>#VALUE!</v>
          </cell>
          <cell r="E5378" t="e">
            <v>#VALUE!</v>
          </cell>
          <cell r="F5378">
            <v>0</v>
          </cell>
        </row>
        <row r="5379">
          <cell r="A5379" t="str">
            <v>RVBILV3B</v>
          </cell>
          <cell r="B5379">
            <v>7.4602248507090573E-7</v>
          </cell>
          <cell r="C5379">
            <v>0</v>
          </cell>
          <cell r="D5379" t="e">
            <v>#VALUE!</v>
          </cell>
          <cell r="E5379" t="e">
            <v>#VALUE!</v>
          </cell>
          <cell r="F5379">
            <v>0</v>
          </cell>
        </row>
        <row r="5380">
          <cell r="A5380" t="str">
            <v>RVBIMN3B</v>
          </cell>
          <cell r="B5380">
            <v>-4.755170807245639E-6</v>
          </cell>
          <cell r="C5380">
            <v>0</v>
          </cell>
          <cell r="D5380" t="e">
            <v>#VALUE!</v>
          </cell>
          <cell r="E5380" t="e">
            <v>#VALUE!</v>
          </cell>
          <cell r="F5380">
            <v>0</v>
          </cell>
        </row>
        <row r="5381">
          <cell r="A5381" t="str">
            <v>RVBIMN2B</v>
          </cell>
          <cell r="B5381">
            <v>-5.4545438637408186E-7</v>
          </cell>
          <cell r="C5381">
            <v>0</v>
          </cell>
          <cell r="D5381" t="e">
            <v>#VALUE!</v>
          </cell>
          <cell r="E5381" t="e">
            <v>#VALUE!</v>
          </cell>
          <cell r="F5381">
            <v>0</v>
          </cell>
        </row>
        <row r="5382">
          <cell r="A5382" t="str">
            <v>RVBIPG2B</v>
          </cell>
          <cell r="B5382">
            <v>4.0284577619175949E-5</v>
          </cell>
          <cell r="C5382">
            <v>0</v>
          </cell>
          <cell r="D5382" t="e">
            <v>#VALUE!</v>
          </cell>
          <cell r="E5382" t="e">
            <v>#VALUE!</v>
          </cell>
          <cell r="F5382">
            <v>0</v>
          </cell>
        </row>
        <row r="5383">
          <cell r="A5383" t="str">
            <v>RVBIPG3B</v>
          </cell>
          <cell r="B5383">
            <v>-1.4047462033110841E-5</v>
          </cell>
          <cell r="C5383">
            <v>0</v>
          </cell>
          <cell r="D5383" t="e">
            <v>#VALUE!</v>
          </cell>
          <cell r="E5383" t="e">
            <v>#VALUE!</v>
          </cell>
          <cell r="F5383">
            <v>0</v>
          </cell>
        </row>
        <row r="5384">
          <cell r="A5384" t="str">
            <v>RVBIPN2B</v>
          </cell>
          <cell r="B5384">
            <v>-1.421986714239497E-5</v>
          </cell>
          <cell r="C5384">
            <v>0</v>
          </cell>
          <cell r="D5384" t="e">
            <v>#VALUE!</v>
          </cell>
          <cell r="E5384" t="e">
            <v>#VALUE!</v>
          </cell>
          <cell r="F5384">
            <v>0</v>
          </cell>
        </row>
        <row r="5385">
          <cell r="A5385" t="str">
            <v>RVBIPN3B</v>
          </cell>
          <cell r="B5385">
            <v>1.4221433562783802E-6</v>
          </cell>
          <cell r="C5385">
            <v>0</v>
          </cell>
          <cell r="D5385" t="e">
            <v>#VALUE!</v>
          </cell>
          <cell r="E5385" t="e">
            <v>#VALUE!</v>
          </cell>
          <cell r="F5385">
            <v>0</v>
          </cell>
        </row>
        <row r="5386">
          <cell r="A5386" t="str">
            <v>RVBIPT3B</v>
          </cell>
          <cell r="B5386">
            <v>-3.2908320223488197E-7</v>
          </cell>
          <cell r="C5386">
            <v>0</v>
          </cell>
          <cell r="D5386" t="e">
            <v>#VALUE!</v>
          </cell>
          <cell r="E5386" t="e">
            <v>#VALUE!</v>
          </cell>
          <cell r="F5386">
            <v>0</v>
          </cell>
        </row>
        <row r="5387">
          <cell r="A5387" t="str">
            <v>RVBIPRAB</v>
          </cell>
          <cell r="B5387">
            <v>0</v>
          </cell>
          <cell r="C5387">
            <v>0</v>
          </cell>
          <cell r="D5387" t="e">
            <v>#VALUE!</v>
          </cell>
          <cell r="E5387" t="e">
            <v>#VALUE!</v>
          </cell>
          <cell r="F5387">
            <v>0</v>
          </cell>
        </row>
        <row r="5388">
          <cell r="A5388" t="str">
            <v>RVBIPR2B</v>
          </cell>
          <cell r="B5388">
            <v>0</v>
          </cell>
          <cell r="C5388">
            <v>0</v>
          </cell>
          <cell r="D5388" t="e">
            <v>#VALUE!</v>
          </cell>
          <cell r="E5388" t="e">
            <v>#VALUE!</v>
          </cell>
          <cell r="F5388">
            <v>0</v>
          </cell>
        </row>
        <row r="5389">
          <cell r="A5389" t="str">
            <v>RVBIPR3B</v>
          </cell>
          <cell r="B5389">
            <v>0</v>
          </cell>
          <cell r="C5389">
            <v>0</v>
          </cell>
          <cell r="D5389" t="e">
            <v>#VALUE!</v>
          </cell>
          <cell r="E5389" t="e">
            <v>#VALUE!</v>
          </cell>
          <cell r="F5389">
            <v>0</v>
          </cell>
        </row>
        <row r="5390">
          <cell r="A5390" t="str">
            <v>RVBIPVAB</v>
          </cell>
          <cell r="B5390">
            <v>-8.9716012749355687E-4</v>
          </cell>
          <cell r="C5390">
            <v>0</v>
          </cell>
          <cell r="D5390" t="e">
            <v>#VALUE!</v>
          </cell>
          <cell r="E5390" t="e">
            <v>#VALUE!</v>
          </cell>
          <cell r="F5390">
            <v>0</v>
          </cell>
        </row>
        <row r="5391">
          <cell r="A5391" t="str">
            <v>RVBIPV2B</v>
          </cell>
          <cell r="B5391">
            <v>-6.5228643362164278E-7</v>
          </cell>
          <cell r="C5391">
            <v>0</v>
          </cell>
          <cell r="D5391" t="e">
            <v>#VALUE!</v>
          </cell>
          <cell r="E5391" t="e">
            <v>#VALUE!</v>
          </cell>
          <cell r="F5391">
            <v>0</v>
          </cell>
        </row>
        <row r="5392">
          <cell r="A5392" t="str">
            <v>RVBIPV3B</v>
          </cell>
          <cell r="B5392">
            <v>3.6649218737406891E-6</v>
          </cell>
          <cell r="C5392">
            <v>0</v>
          </cell>
          <cell r="D5392" t="e">
            <v>#VALUE!</v>
          </cell>
          <cell r="E5392" t="e">
            <v>#VALUE!</v>
          </cell>
          <cell r="F5392">
            <v>0</v>
          </cell>
        </row>
        <row r="5393">
          <cell r="A5393" t="str">
            <v>RVBIPX2B</v>
          </cell>
          <cell r="B5393">
            <v>0</v>
          </cell>
          <cell r="C5393">
            <v>0</v>
          </cell>
          <cell r="D5393" t="e">
            <v>#VALUE!</v>
          </cell>
          <cell r="E5393" t="e">
            <v>#VALUE!</v>
          </cell>
          <cell r="F5393">
            <v>0</v>
          </cell>
        </row>
        <row r="5394">
          <cell r="A5394" t="str">
            <v>RVBIPX3B</v>
          </cell>
          <cell r="B5394">
            <v>0</v>
          </cell>
          <cell r="C5394">
            <v>0</v>
          </cell>
          <cell r="D5394" t="e">
            <v>#VALUE!</v>
          </cell>
          <cell r="E5394" t="e">
            <v>#VALUE!</v>
          </cell>
          <cell r="F5394">
            <v>0</v>
          </cell>
        </row>
        <row r="5395">
          <cell r="A5395" t="str">
            <v>RVBISK2B</v>
          </cell>
          <cell r="B5395">
            <v>-1.0502820049162574E-4</v>
          </cell>
          <cell r="C5395">
            <v>0</v>
          </cell>
          <cell r="D5395" t="e">
            <v>#VALUE!</v>
          </cell>
          <cell r="E5395" t="e">
            <v>#VALUE!</v>
          </cell>
          <cell r="F5395">
            <v>0</v>
          </cell>
        </row>
        <row r="5396">
          <cell r="A5396" t="str">
            <v>RVBISK3B</v>
          </cell>
          <cell r="B5396">
            <v>-4.9417128657872638E-6</v>
          </cell>
          <cell r="C5396">
            <v>0</v>
          </cell>
          <cell r="D5396" t="e">
            <v>#VALUE!</v>
          </cell>
          <cell r="E5396" t="e">
            <v>#VALUE!</v>
          </cell>
          <cell r="F5396">
            <v>0</v>
          </cell>
        </row>
        <row r="5397">
          <cell r="A5397" t="str">
            <v>RVBISG2B</v>
          </cell>
          <cell r="B5397">
            <v>-9.0722358376521306E-5</v>
          </cell>
          <cell r="C5397">
            <v>0</v>
          </cell>
          <cell r="D5397" t="e">
            <v>#VALUE!</v>
          </cell>
          <cell r="E5397" t="e">
            <v>#VALUE!</v>
          </cell>
          <cell r="F5397">
            <v>0</v>
          </cell>
        </row>
        <row r="5398">
          <cell r="A5398" t="str">
            <v>RVBISG3B</v>
          </cell>
          <cell r="B5398">
            <v>-1.7367977333867813E-6</v>
          </cell>
          <cell r="C5398">
            <v>0</v>
          </cell>
          <cell r="D5398" t="e">
            <v>#VALUE!</v>
          </cell>
          <cell r="E5398" t="e">
            <v>#VALUE!</v>
          </cell>
          <cell r="F5398">
            <v>0</v>
          </cell>
        </row>
        <row r="5399">
          <cell r="A5399" t="str">
            <v>RVBISV2B</v>
          </cell>
          <cell r="B5399">
            <v>1.3055622633030391E-7</v>
          </cell>
          <cell r="C5399">
            <v>0</v>
          </cell>
          <cell r="D5399" t="e">
            <v>#VALUE!</v>
          </cell>
          <cell r="E5399" t="e">
            <v>#VALUE!</v>
          </cell>
          <cell r="F5399">
            <v>0</v>
          </cell>
        </row>
        <row r="5400">
          <cell r="A5400" t="str">
            <v>RVBISV3B</v>
          </cell>
          <cell r="B5400">
            <v>-3.5653388431786763E-7</v>
          </cell>
          <cell r="C5400">
            <v>0</v>
          </cell>
          <cell r="D5400" t="e">
            <v>#VALUE!</v>
          </cell>
          <cell r="E5400" t="e">
            <v>#VALUE!</v>
          </cell>
          <cell r="F5400">
            <v>0</v>
          </cell>
        </row>
        <row r="5401">
          <cell r="A5401" t="str">
            <v>RVBISW2B</v>
          </cell>
          <cell r="B5401">
            <v>-4.1293390751206971E-7</v>
          </cell>
          <cell r="C5401">
            <v>0</v>
          </cell>
          <cell r="D5401" t="e">
            <v>#VALUE!</v>
          </cell>
          <cell r="E5401" t="e">
            <v>#VALUE!</v>
          </cell>
          <cell r="F5401">
            <v>0</v>
          </cell>
        </row>
        <row r="5402">
          <cell r="A5402" t="str">
            <v>RVBISW3B</v>
          </cell>
          <cell r="B5402">
            <v>4.9812569018374957E-7</v>
          </cell>
          <cell r="C5402">
            <v>0</v>
          </cell>
          <cell r="D5402" t="e">
            <v>#VALUE!</v>
          </cell>
          <cell r="E5402" t="e">
            <v>#VALUE!</v>
          </cell>
          <cell r="F5402">
            <v>0</v>
          </cell>
        </row>
        <row r="5403">
          <cell r="A5403" t="str">
            <v>RVBISX2B</v>
          </cell>
          <cell r="B5403">
            <v>4.0516151909274689E-7</v>
          </cell>
          <cell r="C5403">
            <v>0</v>
          </cell>
          <cell r="D5403" t="e">
            <v>#VALUE!</v>
          </cell>
          <cell r="E5403" t="e">
            <v>#VALUE!</v>
          </cell>
          <cell r="F5403">
            <v>0</v>
          </cell>
        </row>
        <row r="5404">
          <cell r="A5404" t="str">
            <v>RVBISX3B</v>
          </cell>
          <cell r="B5404">
            <v>-6.8229269020367942E-7</v>
          </cell>
          <cell r="C5404">
            <v>0</v>
          </cell>
          <cell r="D5404" t="e">
            <v>#VALUE!</v>
          </cell>
          <cell r="E5404" t="e">
            <v>#VALUE!</v>
          </cell>
          <cell r="F5404">
            <v>0</v>
          </cell>
        </row>
        <row r="5405">
          <cell r="A5405" t="str">
            <v>RVBIVRAB</v>
          </cell>
          <cell r="B5405">
            <v>-1.3431450070253946E-3</v>
          </cell>
          <cell r="C5405">
            <v>0</v>
          </cell>
          <cell r="D5405" t="e">
            <v>#VALUE!</v>
          </cell>
          <cell r="E5405" t="e">
            <v>#VALUE!</v>
          </cell>
          <cell r="F5405">
            <v>0</v>
          </cell>
        </row>
        <row r="5406">
          <cell r="A5406" t="str">
            <v>RVBIVR2B</v>
          </cell>
          <cell r="B5406">
            <v>-2.6858072412523693E-6</v>
          </cell>
          <cell r="C5406">
            <v>0</v>
          </cell>
          <cell r="D5406" t="e">
            <v>#VALUE!</v>
          </cell>
          <cell r="E5406" t="e">
            <v>#VALUE!</v>
          </cell>
          <cell r="F5406">
            <v>0</v>
          </cell>
        </row>
        <row r="5407">
          <cell r="A5407" t="str">
            <v>RVBIVR3B</v>
          </cell>
          <cell r="B5407">
            <v>-4.0200577002682102E-3</v>
          </cell>
          <cell r="C5407">
            <v>0</v>
          </cell>
          <cell r="D5407" t="e">
            <v>#VALUE!</v>
          </cell>
          <cell r="E5407" t="e">
            <v>#VALUE!</v>
          </cell>
          <cell r="F5407">
            <v>0</v>
          </cell>
        </row>
        <row r="5408">
          <cell r="A5408" t="str">
            <v>RAFCAR2B</v>
          </cell>
          <cell r="B5408">
            <v>-3.4122796552191962E-4</v>
          </cell>
          <cell r="C5408">
            <v>0</v>
          </cell>
          <cell r="D5408" t="e">
            <v>#VALUE!</v>
          </cell>
          <cell r="E5408" t="e">
            <v>#VALUE!</v>
          </cell>
          <cell r="F5408">
            <v>0</v>
          </cell>
        </row>
        <row r="5409">
          <cell r="A5409" t="str">
            <v>RAFCAR3B</v>
          </cell>
          <cell r="B5409">
            <v>4.9121060308183811E-4</v>
          </cell>
          <cell r="C5409">
            <v>0</v>
          </cell>
          <cell r="D5409" t="e">
            <v>#VALUE!</v>
          </cell>
          <cell r="E5409" t="e">
            <v>#VALUE!</v>
          </cell>
          <cell r="F5409">
            <v>0</v>
          </cell>
        </row>
        <row r="5410">
          <cell r="A5410" t="str">
            <v>RAFCCW2B</v>
          </cell>
          <cell r="B5410">
            <v>2.9346820655955026E-3</v>
          </cell>
          <cell r="C5410">
            <v>0</v>
          </cell>
          <cell r="D5410" t="e">
            <v>#VALUE!</v>
          </cell>
          <cell r="E5410" t="e">
            <v>#VALUE!</v>
          </cell>
          <cell r="F5410">
            <v>0</v>
          </cell>
        </row>
        <row r="5411">
          <cell r="A5411" t="str">
            <v>RAFCCX2B</v>
          </cell>
          <cell r="B5411">
            <v>2.9346820655955026E-3</v>
          </cell>
          <cell r="C5411">
            <v>0</v>
          </cell>
          <cell r="D5411" t="e">
            <v>#VALUE!</v>
          </cell>
          <cell r="E5411" t="e">
            <v>#VALUE!</v>
          </cell>
          <cell r="F5411">
            <v>0</v>
          </cell>
        </row>
        <row r="5412">
          <cell r="A5412" t="str">
            <v>RAFCCY2B</v>
          </cell>
          <cell r="B5412">
            <v>2.9346820655955026E-3</v>
          </cell>
          <cell r="C5412">
            <v>0</v>
          </cell>
          <cell r="D5412" t="e">
            <v>#VALUE!</v>
          </cell>
          <cell r="E5412" t="e">
            <v>#VALUE!</v>
          </cell>
          <cell r="F5412">
            <v>0</v>
          </cell>
        </row>
        <row r="5413">
          <cell r="A5413" t="str">
            <v>RAFCCZ2B</v>
          </cell>
          <cell r="B5413">
            <v>2.9346820655955026E-3</v>
          </cell>
          <cell r="C5413">
            <v>0</v>
          </cell>
          <cell r="D5413" t="e">
            <v>#VALUE!</v>
          </cell>
          <cell r="E5413" t="e">
            <v>#VALUE!</v>
          </cell>
          <cell r="F5413">
            <v>0</v>
          </cell>
        </row>
        <row r="5414">
          <cell r="A5414" t="str">
            <v>RAFCFC2B</v>
          </cell>
          <cell r="B5414">
            <v>2.9346820655955026E-3</v>
          </cell>
          <cell r="C5414">
            <v>0</v>
          </cell>
          <cell r="D5414" t="e">
            <v>#VALUE!</v>
          </cell>
          <cell r="E5414" t="e">
            <v>#VALUE!</v>
          </cell>
          <cell r="F5414">
            <v>0</v>
          </cell>
        </row>
        <row r="5415">
          <cell r="A5415" t="str">
            <v>RAFCLVAB</v>
          </cell>
          <cell r="B5415">
            <v>6.6772911034218251E-3</v>
          </cell>
          <cell r="C5415">
            <v>0</v>
          </cell>
          <cell r="D5415" t="e">
            <v>#VALUE!</v>
          </cell>
          <cell r="E5415" t="e">
            <v>#VALUE!</v>
          </cell>
          <cell r="F5415">
            <v>0</v>
          </cell>
        </row>
        <row r="5416">
          <cell r="A5416" t="str">
            <v>RAFCLV2B</v>
          </cell>
          <cell r="B5416">
            <v>-1.0225877524808062E-4</v>
          </cell>
          <cell r="C5416">
            <v>0</v>
          </cell>
          <cell r="D5416" t="e">
            <v>#VALUE!</v>
          </cell>
          <cell r="E5416" t="e">
            <v>#VALUE!</v>
          </cell>
          <cell r="F5416">
            <v>0</v>
          </cell>
        </row>
        <row r="5417">
          <cell r="A5417" t="str">
            <v>RAFCLV3B</v>
          </cell>
          <cell r="B5417">
            <v>1.0810457670356287E-4</v>
          </cell>
          <cell r="C5417">
            <v>0</v>
          </cell>
          <cell r="D5417" t="e">
            <v>#VALUE!</v>
          </cell>
          <cell r="E5417" t="e">
            <v>#VALUE!</v>
          </cell>
          <cell r="F5417">
            <v>0</v>
          </cell>
        </row>
        <row r="5418">
          <cell r="A5418" t="str">
            <v>RAFCPG2B</v>
          </cell>
          <cell r="B5418">
            <v>-1.2596102106091503E-3</v>
          </cell>
          <cell r="C5418">
            <v>0</v>
          </cell>
          <cell r="D5418" t="e">
            <v>#VALUE!</v>
          </cell>
          <cell r="E5418" t="e">
            <v>#VALUE!</v>
          </cell>
          <cell r="F5418">
            <v>0</v>
          </cell>
        </row>
        <row r="5419">
          <cell r="A5419" t="str">
            <v>RAFCPG3B</v>
          </cell>
          <cell r="B5419">
            <v>-5.4475717839921672E-4</v>
          </cell>
          <cell r="C5419">
            <v>0</v>
          </cell>
          <cell r="D5419" t="e">
            <v>#VALUE!</v>
          </cell>
          <cell r="E5419" t="e">
            <v>#VALUE!</v>
          </cell>
          <cell r="F5419">
            <v>0</v>
          </cell>
        </row>
        <row r="5420">
          <cell r="A5420" t="str">
            <v>RAFCPRAB</v>
          </cell>
          <cell r="B5420">
            <v>0</v>
          </cell>
          <cell r="C5420">
            <v>0</v>
          </cell>
          <cell r="D5420" t="e">
            <v>#VALUE!</v>
          </cell>
          <cell r="E5420" t="e">
            <v>#VALUE!</v>
          </cell>
          <cell r="F5420">
            <v>0</v>
          </cell>
        </row>
        <row r="5421">
          <cell r="A5421" t="str">
            <v>RAFCPR2B</v>
          </cell>
          <cell r="B5421">
            <v>0</v>
          </cell>
          <cell r="C5421">
            <v>0</v>
          </cell>
          <cell r="D5421" t="e">
            <v>#VALUE!</v>
          </cell>
          <cell r="E5421" t="e">
            <v>#VALUE!</v>
          </cell>
          <cell r="F5421">
            <v>0</v>
          </cell>
        </row>
        <row r="5422">
          <cell r="A5422" t="str">
            <v>RAFCPR3B</v>
          </cell>
          <cell r="B5422">
            <v>0</v>
          </cell>
          <cell r="C5422">
            <v>0</v>
          </cell>
          <cell r="D5422" t="e">
            <v>#VALUE!</v>
          </cell>
          <cell r="E5422" t="e">
            <v>#VALUE!</v>
          </cell>
          <cell r="F5422">
            <v>0</v>
          </cell>
        </row>
        <row r="5423">
          <cell r="A5423" t="str">
            <v>RAFCPVAB</v>
          </cell>
          <cell r="B5423">
            <v>1.1135886233187941E-2</v>
          </cell>
          <cell r="C5423">
            <v>0</v>
          </cell>
          <cell r="D5423" t="e">
            <v>#VALUE!</v>
          </cell>
          <cell r="E5423" t="e">
            <v>#VALUE!</v>
          </cell>
          <cell r="F5423">
            <v>0</v>
          </cell>
        </row>
        <row r="5424">
          <cell r="A5424" t="str">
            <v>RAFCPV2B</v>
          </cell>
          <cell r="B5424">
            <v>-1.0919867484405325E-4</v>
          </cell>
          <cell r="C5424">
            <v>0</v>
          </cell>
          <cell r="D5424" t="e">
            <v>#VALUE!</v>
          </cell>
          <cell r="E5424" t="e">
            <v>#VALUE!</v>
          </cell>
          <cell r="F5424">
            <v>0</v>
          </cell>
        </row>
        <row r="5425">
          <cell r="A5425" t="str">
            <v>RAFCPV3B</v>
          </cell>
          <cell r="B5425">
            <v>1.5174520609833377E-4</v>
          </cell>
          <cell r="C5425">
            <v>0</v>
          </cell>
          <cell r="D5425" t="e">
            <v>#VALUE!</v>
          </cell>
          <cell r="E5425" t="e">
            <v>#VALUE!</v>
          </cell>
          <cell r="F5425">
            <v>0</v>
          </cell>
        </row>
        <row r="5426">
          <cell r="A5426" t="str">
            <v>RAFCPX2B</v>
          </cell>
          <cell r="B5426">
            <v>0</v>
          </cell>
          <cell r="C5426">
            <v>0</v>
          </cell>
          <cell r="D5426" t="e">
            <v>#VALUE!</v>
          </cell>
          <cell r="E5426" t="e">
            <v>#VALUE!</v>
          </cell>
          <cell r="F5426">
            <v>0</v>
          </cell>
        </row>
        <row r="5427">
          <cell r="A5427" t="str">
            <v>RAFCPX3B</v>
          </cell>
          <cell r="B5427">
            <v>0</v>
          </cell>
          <cell r="C5427">
            <v>0</v>
          </cell>
          <cell r="D5427" t="e">
            <v>#VALUE!</v>
          </cell>
          <cell r="E5427" t="e">
            <v>#VALUE!</v>
          </cell>
          <cell r="F5427">
            <v>0</v>
          </cell>
        </row>
        <row r="5428">
          <cell r="A5428" t="str">
            <v>RAFCSV2B</v>
          </cell>
          <cell r="B5428">
            <v>-4.8127945774467662E-5</v>
          </cell>
          <cell r="C5428">
            <v>0</v>
          </cell>
          <cell r="D5428" t="e">
            <v>#VALUE!</v>
          </cell>
          <cell r="E5428" t="e">
            <v>#VALUE!</v>
          </cell>
          <cell r="F5428">
            <v>0</v>
          </cell>
        </row>
        <row r="5429">
          <cell r="A5429" t="str">
            <v>RAFCSV3B</v>
          </cell>
          <cell r="B5429">
            <v>4.4530546223889872E-5</v>
          </cell>
          <cell r="C5429">
            <v>0</v>
          </cell>
          <cell r="D5429" t="e">
            <v>#VALUE!</v>
          </cell>
          <cell r="E5429" t="e">
            <v>#VALUE!</v>
          </cell>
          <cell r="F5429">
            <v>0</v>
          </cell>
        </row>
        <row r="5430">
          <cell r="A5430" t="str">
            <v>RAFCSW2B</v>
          </cell>
          <cell r="B5430">
            <v>-5.86392495216848E-5</v>
          </cell>
          <cell r="C5430">
            <v>0</v>
          </cell>
          <cell r="D5430" t="e">
            <v>#VALUE!</v>
          </cell>
          <cell r="E5430" t="e">
            <v>#VALUE!</v>
          </cell>
          <cell r="F5430">
            <v>0</v>
          </cell>
        </row>
        <row r="5431">
          <cell r="A5431" t="str">
            <v>RAFCSW3B</v>
          </cell>
          <cell r="B5431">
            <v>6.2326845854591758E-5</v>
          </cell>
          <cell r="C5431">
            <v>0</v>
          </cell>
          <cell r="D5431" t="e">
            <v>#VALUE!</v>
          </cell>
          <cell r="E5431" t="e">
            <v>#VALUE!</v>
          </cell>
          <cell r="F5431">
            <v>0</v>
          </cell>
        </row>
        <row r="5432">
          <cell r="A5432" t="str">
            <v>RAFCSX2B</v>
          </cell>
          <cell r="B5432">
            <v>-4.3906469021101358E-5</v>
          </cell>
          <cell r="C5432">
            <v>0</v>
          </cell>
          <cell r="D5432" t="e">
            <v>#VALUE!</v>
          </cell>
          <cell r="E5432" t="e">
            <v>#VALUE!</v>
          </cell>
          <cell r="F5432">
            <v>0</v>
          </cell>
        </row>
        <row r="5433">
          <cell r="A5433" t="str">
            <v>RAFCSX3B</v>
          </cell>
          <cell r="B5433">
            <v>2.8345171384687204E-5</v>
          </cell>
          <cell r="C5433">
            <v>0</v>
          </cell>
          <cell r="D5433" t="e">
            <v>#VALUE!</v>
          </cell>
          <cell r="E5433" t="e">
            <v>#VALUE!</v>
          </cell>
          <cell r="F5433">
            <v>0</v>
          </cell>
        </row>
        <row r="5434">
          <cell r="A5434" t="str">
            <v>RAPIAR2B</v>
          </cell>
          <cell r="B5434">
            <v>4.8241619286223074E-4</v>
          </cell>
          <cell r="C5434">
            <v>0</v>
          </cell>
          <cell r="D5434" t="e">
            <v>#VALUE!</v>
          </cell>
          <cell r="E5434" t="e">
            <v>#VALUE!</v>
          </cell>
          <cell r="F5434">
            <v>0</v>
          </cell>
        </row>
        <row r="5435">
          <cell r="A5435" t="str">
            <v>RAPIAR3B</v>
          </cell>
          <cell r="B5435">
            <v>-7.1891231090787241E-4</v>
          </cell>
          <cell r="C5435">
            <v>0</v>
          </cell>
          <cell r="D5435" t="e">
            <v>#VALUE!</v>
          </cell>
          <cell r="E5435" t="e">
            <v>#VALUE!</v>
          </cell>
          <cell r="F5435">
            <v>0</v>
          </cell>
        </row>
        <row r="5436">
          <cell r="A5436" t="str">
            <v>RAPICCCB</v>
          </cell>
          <cell r="B5436">
            <v>2.3777003425543439E-2</v>
          </cell>
          <cell r="C5436">
            <v>0</v>
          </cell>
          <cell r="D5436" t="e">
            <v>#VALUE!</v>
          </cell>
          <cell r="E5436" t="e">
            <v>#VALUE!</v>
          </cell>
          <cell r="F5436">
            <v>0</v>
          </cell>
        </row>
        <row r="5437">
          <cell r="A5437" t="str">
            <v>RAPICCKB</v>
          </cell>
          <cell r="B5437">
            <v>2.3777003425543439E-2</v>
          </cell>
          <cell r="C5437">
            <v>0</v>
          </cell>
          <cell r="D5437" t="e">
            <v>#VALUE!</v>
          </cell>
          <cell r="E5437" t="e">
            <v>#VALUE!</v>
          </cell>
          <cell r="F5437">
            <v>0</v>
          </cell>
        </row>
        <row r="5438">
          <cell r="A5438" t="str">
            <v>RAPICCQB</v>
          </cell>
          <cell r="B5438">
            <v>2.3777003425543439E-2</v>
          </cell>
          <cell r="C5438">
            <v>0</v>
          </cell>
          <cell r="D5438" t="e">
            <v>#VALUE!</v>
          </cell>
          <cell r="E5438" t="e">
            <v>#VALUE!</v>
          </cell>
          <cell r="F5438">
            <v>0</v>
          </cell>
        </row>
        <row r="5439">
          <cell r="A5439" t="str">
            <v>RAPICW2B</v>
          </cell>
          <cell r="B5439">
            <v>-5.6287948399373925E-4</v>
          </cell>
          <cell r="C5439">
            <v>0</v>
          </cell>
          <cell r="D5439" t="e">
            <v>#VALUE!</v>
          </cell>
          <cell r="E5439" t="e">
            <v>#VALUE!</v>
          </cell>
          <cell r="F5439">
            <v>0</v>
          </cell>
        </row>
        <row r="5440">
          <cell r="A5440" t="str">
            <v>RAPICX2B</v>
          </cell>
          <cell r="B5440">
            <v>-5.6287948399373925E-4</v>
          </cell>
          <cell r="C5440">
            <v>0</v>
          </cell>
          <cell r="D5440" t="e">
            <v>#VALUE!</v>
          </cell>
          <cell r="E5440" t="e">
            <v>#VALUE!</v>
          </cell>
          <cell r="F5440">
            <v>0</v>
          </cell>
        </row>
        <row r="5441">
          <cell r="A5441" t="str">
            <v>RAPICY2B</v>
          </cell>
          <cell r="B5441">
            <v>-5.6287948399373925E-4</v>
          </cell>
          <cell r="C5441">
            <v>0</v>
          </cell>
          <cell r="D5441" t="e">
            <v>#VALUE!</v>
          </cell>
          <cell r="E5441" t="e">
            <v>#VALUE!</v>
          </cell>
          <cell r="F5441">
            <v>0</v>
          </cell>
        </row>
        <row r="5442">
          <cell r="A5442" t="str">
            <v>RAPICZ2B</v>
          </cell>
          <cell r="B5442">
            <v>-5.6287948399373925E-4</v>
          </cell>
          <cell r="C5442">
            <v>0</v>
          </cell>
          <cell r="D5442" t="e">
            <v>#VALUE!</v>
          </cell>
          <cell r="E5442" t="e">
            <v>#VALUE!</v>
          </cell>
          <cell r="F5442">
            <v>0</v>
          </cell>
        </row>
        <row r="5443">
          <cell r="A5443" t="str">
            <v>RAPIDCXB</v>
          </cell>
          <cell r="B5443">
            <v>4.2258442923018377E-2</v>
          </cell>
          <cell r="C5443">
            <v>0</v>
          </cell>
          <cell r="D5443" t="e">
            <v>#VALUE!</v>
          </cell>
          <cell r="E5443" t="e">
            <v>#VALUE!</v>
          </cell>
          <cell r="F5443">
            <v>0</v>
          </cell>
        </row>
        <row r="5444">
          <cell r="A5444" t="str">
            <v>RAPIFC2B</v>
          </cell>
          <cell r="B5444">
            <v>-5.6287948399373925E-4</v>
          </cell>
          <cell r="C5444">
            <v>0</v>
          </cell>
          <cell r="D5444" t="e">
            <v>#VALUE!</v>
          </cell>
          <cell r="E5444" t="e">
            <v>#VALUE!</v>
          </cell>
          <cell r="F5444">
            <v>0</v>
          </cell>
        </row>
        <row r="5445">
          <cell r="A5445" t="str">
            <v>RAPILK2B</v>
          </cell>
          <cell r="B5445">
            <v>-1.4581297548194351E-3</v>
          </cell>
          <cell r="C5445">
            <v>0</v>
          </cell>
          <cell r="D5445" t="e">
            <v>#VALUE!</v>
          </cell>
          <cell r="E5445" t="e">
            <v>#VALUE!</v>
          </cell>
          <cell r="F5445">
            <v>0</v>
          </cell>
        </row>
        <row r="5446">
          <cell r="A5446" t="str">
            <v>RAPILK3B</v>
          </cell>
          <cell r="B5446">
            <v>-2.2892861352748657E-3</v>
          </cell>
          <cell r="C5446">
            <v>0</v>
          </cell>
          <cell r="D5446" t="e">
            <v>#VALUE!</v>
          </cell>
          <cell r="E5446" t="e">
            <v>#VALUE!</v>
          </cell>
          <cell r="F5446">
            <v>0</v>
          </cell>
        </row>
        <row r="5447">
          <cell r="A5447" t="str">
            <v>RAPILVAB</v>
          </cell>
          <cell r="B5447">
            <v>-2.4579291372266534E-3</v>
          </cell>
          <cell r="C5447">
            <v>0</v>
          </cell>
          <cell r="D5447" t="e">
            <v>#VALUE!</v>
          </cell>
          <cell r="E5447" t="e">
            <v>#VALUE!</v>
          </cell>
          <cell r="F5447">
            <v>0</v>
          </cell>
        </row>
        <row r="5448">
          <cell r="A5448" t="str">
            <v>RAPILV2B</v>
          </cell>
          <cell r="B5448">
            <v>1.6652265393319906E-5</v>
          </cell>
          <cell r="C5448">
            <v>0</v>
          </cell>
          <cell r="D5448" t="e">
            <v>#VALUE!</v>
          </cell>
          <cell r="E5448" t="e">
            <v>#VALUE!</v>
          </cell>
          <cell r="F5448">
            <v>0</v>
          </cell>
        </row>
        <row r="5449">
          <cell r="A5449" t="str">
            <v>RAPILV3B</v>
          </cell>
          <cell r="B5449">
            <v>-2.272591995129566E-5</v>
          </cell>
          <cell r="C5449">
            <v>0</v>
          </cell>
          <cell r="D5449" t="e">
            <v>#VALUE!</v>
          </cell>
          <cell r="E5449" t="e">
            <v>#VALUE!</v>
          </cell>
          <cell r="F5449">
            <v>0</v>
          </cell>
        </row>
        <row r="5450">
          <cell r="A5450" t="str">
            <v>RAPILXFB</v>
          </cell>
          <cell r="B5450">
            <v>-8.4521699084402768E-3</v>
          </cell>
          <cell r="C5450">
            <v>0</v>
          </cell>
          <cell r="D5450" t="e">
            <v>#VALUE!</v>
          </cell>
          <cell r="E5450" t="e">
            <v>#VALUE!</v>
          </cell>
          <cell r="F5450">
            <v>0</v>
          </cell>
        </row>
        <row r="5451">
          <cell r="A5451" t="str">
            <v>RAPIMN3B</v>
          </cell>
          <cell r="B5451">
            <v>-2.7060243607281822E-3</v>
          </cell>
          <cell r="C5451">
            <v>0</v>
          </cell>
          <cell r="D5451" t="e">
            <v>#VALUE!</v>
          </cell>
          <cell r="E5451" t="e">
            <v>#VALUE!</v>
          </cell>
          <cell r="F5451">
            <v>0</v>
          </cell>
        </row>
        <row r="5452">
          <cell r="A5452" t="str">
            <v>RAPIMN2B</v>
          </cell>
          <cell r="B5452">
            <v>2.4082586067180113E-3</v>
          </cell>
          <cell r="C5452">
            <v>0</v>
          </cell>
          <cell r="D5452" t="e">
            <v>#VALUE!</v>
          </cell>
          <cell r="E5452" t="e">
            <v>#VALUE!</v>
          </cell>
          <cell r="F5452">
            <v>0</v>
          </cell>
        </row>
        <row r="5453">
          <cell r="A5453" t="str">
            <v>RAPIPG2B</v>
          </cell>
          <cell r="B5453">
            <v>-4.9044769698848047E-4</v>
          </cell>
          <cell r="C5453">
            <v>0</v>
          </cell>
          <cell r="D5453" t="e">
            <v>#VALUE!</v>
          </cell>
          <cell r="E5453" t="e">
            <v>#VALUE!</v>
          </cell>
          <cell r="F5453">
            <v>0</v>
          </cell>
        </row>
        <row r="5454">
          <cell r="A5454" t="str">
            <v>RAPIPG3B</v>
          </cell>
          <cell r="B5454">
            <v>1.1598875400174109E-3</v>
          </cell>
          <cell r="C5454">
            <v>0</v>
          </cell>
          <cell r="D5454" t="e">
            <v>#VALUE!</v>
          </cell>
          <cell r="E5454" t="e">
            <v>#VALUE!</v>
          </cell>
          <cell r="F5454">
            <v>0</v>
          </cell>
        </row>
        <row r="5455">
          <cell r="A5455" t="str">
            <v>RAPIPRAB</v>
          </cell>
          <cell r="B5455">
            <v>0</v>
          </cell>
          <cell r="C5455">
            <v>0</v>
          </cell>
          <cell r="D5455" t="e">
            <v>#VALUE!</v>
          </cell>
          <cell r="E5455" t="e">
            <v>#VALUE!</v>
          </cell>
          <cell r="F5455">
            <v>0</v>
          </cell>
        </row>
        <row r="5456">
          <cell r="A5456" t="str">
            <v>RAPIPR2B</v>
          </cell>
          <cell r="B5456">
            <v>0</v>
          </cell>
          <cell r="C5456">
            <v>0</v>
          </cell>
          <cell r="D5456" t="e">
            <v>#VALUE!</v>
          </cell>
          <cell r="E5456" t="e">
            <v>#VALUE!</v>
          </cell>
          <cell r="F5456">
            <v>0</v>
          </cell>
        </row>
        <row r="5457">
          <cell r="A5457" t="str">
            <v>RAPIPR3B</v>
          </cell>
          <cell r="B5457">
            <v>0</v>
          </cell>
          <cell r="C5457">
            <v>0</v>
          </cell>
          <cell r="D5457" t="e">
            <v>#VALUE!</v>
          </cell>
          <cell r="E5457" t="e">
            <v>#VALUE!</v>
          </cell>
          <cell r="F5457">
            <v>0</v>
          </cell>
        </row>
        <row r="5458">
          <cell r="A5458" t="str">
            <v>RAPIPVAB</v>
          </cell>
          <cell r="B5458">
            <v>2.9864112685286209E-5</v>
          </cell>
          <cell r="C5458">
            <v>0</v>
          </cell>
          <cell r="D5458" t="e">
            <v>#VALUE!</v>
          </cell>
          <cell r="E5458" t="e">
            <v>#VALUE!</v>
          </cell>
          <cell r="F5458">
            <v>0</v>
          </cell>
        </row>
        <row r="5459">
          <cell r="A5459" t="str">
            <v>RAPIPV2B</v>
          </cell>
          <cell r="B5459">
            <v>7.9054775867243979E-5</v>
          </cell>
          <cell r="C5459">
            <v>0</v>
          </cell>
          <cell r="D5459" t="e">
            <v>#VALUE!</v>
          </cell>
          <cell r="E5459" t="e">
            <v>#VALUE!</v>
          </cell>
          <cell r="F5459">
            <v>0</v>
          </cell>
        </row>
        <row r="5460">
          <cell r="A5460" t="str">
            <v>RAPIPV3B</v>
          </cell>
          <cell r="B5460">
            <v>-1.1120283276907947E-4</v>
          </cell>
          <cell r="C5460">
            <v>0</v>
          </cell>
          <cell r="D5460" t="e">
            <v>#VALUE!</v>
          </cell>
          <cell r="E5460" t="e">
            <v>#VALUE!</v>
          </cell>
          <cell r="F5460">
            <v>0</v>
          </cell>
        </row>
        <row r="5461">
          <cell r="A5461" t="str">
            <v>RAPIPX2B</v>
          </cell>
          <cell r="B5461">
            <v>0</v>
          </cell>
          <cell r="C5461">
            <v>0</v>
          </cell>
          <cell r="D5461" t="e">
            <v>#VALUE!</v>
          </cell>
          <cell r="E5461" t="e">
            <v>#VALUE!</v>
          </cell>
          <cell r="F5461">
            <v>0</v>
          </cell>
        </row>
        <row r="5462">
          <cell r="A5462" t="str">
            <v>RAPIPX3B</v>
          </cell>
          <cell r="B5462">
            <v>0</v>
          </cell>
          <cell r="C5462">
            <v>0</v>
          </cell>
          <cell r="D5462" t="e">
            <v>#VALUE!</v>
          </cell>
          <cell r="E5462" t="e">
            <v>#VALUE!</v>
          </cell>
          <cell r="F5462">
            <v>0</v>
          </cell>
        </row>
        <row r="5463">
          <cell r="A5463" t="str">
            <v>RAPISK2B</v>
          </cell>
          <cell r="B5463">
            <v>1.0217398640118405E-2</v>
          </cell>
          <cell r="C5463">
            <v>0</v>
          </cell>
          <cell r="D5463" t="e">
            <v>#VALUE!</v>
          </cell>
          <cell r="E5463" t="e">
            <v>#VALUE!</v>
          </cell>
          <cell r="F5463">
            <v>0</v>
          </cell>
        </row>
        <row r="5464">
          <cell r="A5464" t="str">
            <v>RAPISK3B</v>
          </cell>
          <cell r="B5464">
            <v>-2.0657944172081157E-4</v>
          </cell>
          <cell r="C5464">
            <v>0</v>
          </cell>
          <cell r="D5464" t="e">
            <v>#VALUE!</v>
          </cell>
          <cell r="E5464" t="e">
            <v>#VALUE!</v>
          </cell>
          <cell r="F5464">
            <v>0</v>
          </cell>
        </row>
        <row r="5465">
          <cell r="A5465" t="str">
            <v>RAPISG2B</v>
          </cell>
          <cell r="B5465">
            <v>2.4211909277093507E-6</v>
          </cell>
          <cell r="C5465">
            <v>0</v>
          </cell>
          <cell r="D5465" t="e">
            <v>#VALUE!</v>
          </cell>
          <cell r="E5465" t="e">
            <v>#VALUE!</v>
          </cell>
          <cell r="F5465">
            <v>0</v>
          </cell>
        </row>
        <row r="5466">
          <cell r="A5466" t="str">
            <v>RAPISG3B</v>
          </cell>
          <cell r="B5466">
            <v>-5.9662998089778149E-6</v>
          </cell>
          <cell r="C5466">
            <v>0</v>
          </cell>
          <cell r="D5466" t="e">
            <v>#VALUE!</v>
          </cell>
          <cell r="E5466" t="e">
            <v>#VALUE!</v>
          </cell>
          <cell r="F5466">
            <v>0</v>
          </cell>
        </row>
        <row r="5467">
          <cell r="A5467" t="str">
            <v>RAPISV2B</v>
          </cell>
          <cell r="B5467">
            <v>7.0014630574866576E-6</v>
          </cell>
          <cell r="C5467">
            <v>0</v>
          </cell>
          <cell r="D5467" t="e">
            <v>#VALUE!</v>
          </cell>
          <cell r="E5467" t="e">
            <v>#VALUE!</v>
          </cell>
          <cell r="F5467">
            <v>0</v>
          </cell>
        </row>
        <row r="5468">
          <cell r="A5468" t="str">
            <v>RAPISV3B</v>
          </cell>
          <cell r="B5468">
            <v>-1.4180761513982786E-5</v>
          </cell>
          <cell r="C5468">
            <v>0</v>
          </cell>
          <cell r="D5468" t="e">
            <v>#VALUE!</v>
          </cell>
          <cell r="E5468" t="e">
            <v>#VALUE!</v>
          </cell>
          <cell r="F5468">
            <v>0</v>
          </cell>
        </row>
        <row r="5469">
          <cell r="A5469" t="str">
            <v>RAPISW2B</v>
          </cell>
          <cell r="B5469">
            <v>1.1791768276627208E-5</v>
          </cell>
          <cell r="C5469">
            <v>0</v>
          </cell>
          <cell r="D5469" t="e">
            <v>#VALUE!</v>
          </cell>
          <cell r="E5469" t="e">
            <v>#VALUE!</v>
          </cell>
          <cell r="F5469">
            <v>0</v>
          </cell>
        </row>
        <row r="5470">
          <cell r="A5470" t="str">
            <v>RAPISW3B</v>
          </cell>
          <cell r="B5470">
            <v>-1.4741341936140288E-5</v>
          </cell>
          <cell r="C5470">
            <v>0</v>
          </cell>
          <cell r="D5470" t="e">
            <v>#VALUE!</v>
          </cell>
          <cell r="E5470" t="e">
            <v>#VALUE!</v>
          </cell>
          <cell r="F5470">
            <v>0</v>
          </cell>
        </row>
        <row r="5471">
          <cell r="A5471" t="str">
            <v>RAPISX2B</v>
          </cell>
          <cell r="B5471">
            <v>1.8297074397919023E-6</v>
          </cell>
          <cell r="C5471">
            <v>0</v>
          </cell>
          <cell r="D5471" t="e">
            <v>#VALUE!</v>
          </cell>
          <cell r="E5471" t="e">
            <v>#VALUE!</v>
          </cell>
          <cell r="F5471">
            <v>0</v>
          </cell>
        </row>
        <row r="5472">
          <cell r="A5472" t="str">
            <v>RAPISX3B</v>
          </cell>
          <cell r="B5472">
            <v>-7.1521071881200956E-6</v>
          </cell>
          <cell r="C5472">
            <v>0</v>
          </cell>
          <cell r="D5472" t="e">
            <v>#VALUE!</v>
          </cell>
          <cell r="E5472" t="e">
            <v>#VALUE!</v>
          </cell>
          <cell r="F5472">
            <v>0</v>
          </cell>
        </row>
        <row r="5473">
          <cell r="A5473" t="str">
            <v>RAPIVRAB</v>
          </cell>
          <cell r="B5473">
            <v>2.0978546700335096E-2</v>
          </cell>
          <cell r="C5473">
            <v>0</v>
          </cell>
          <cell r="D5473" t="e">
            <v>#VALUE!</v>
          </cell>
          <cell r="E5473" t="e">
            <v>#VALUE!</v>
          </cell>
          <cell r="F5473">
            <v>0</v>
          </cell>
        </row>
        <row r="5474">
          <cell r="A5474" t="str">
            <v>RAPIVR2B</v>
          </cell>
          <cell r="B5474">
            <v>3.7304962495236647E-4</v>
          </cell>
          <cell r="C5474">
            <v>0</v>
          </cell>
          <cell r="D5474" t="e">
            <v>#VALUE!</v>
          </cell>
          <cell r="E5474" t="e">
            <v>#VALUE!</v>
          </cell>
          <cell r="F5474">
            <v>0</v>
          </cell>
        </row>
        <row r="5475">
          <cell r="A5475" t="str">
            <v>RAPIVR3B</v>
          </cell>
          <cell r="B5475">
            <v>-2.6533593171896501E-4</v>
          </cell>
          <cell r="C5475">
            <v>0</v>
          </cell>
          <cell r="D5475" t="e">
            <v>#VALUE!</v>
          </cell>
          <cell r="E5475" t="e">
            <v>#VALUE!</v>
          </cell>
          <cell r="F5475">
            <v>0</v>
          </cell>
        </row>
        <row r="5476">
          <cell r="A5476" t="str">
            <v>RCONAR2B</v>
          </cell>
          <cell r="B5476">
            <v>-3.8776869730266497E-4</v>
          </cell>
          <cell r="C5476">
            <v>0</v>
          </cell>
          <cell r="D5476" t="e">
            <v>#VALUE!</v>
          </cell>
          <cell r="E5476" t="e">
            <v>#VALUE!</v>
          </cell>
          <cell r="F5476">
            <v>0</v>
          </cell>
        </row>
        <row r="5477">
          <cell r="A5477" t="str">
            <v>RCONAR3B</v>
          </cell>
          <cell r="B5477">
            <v>-9.2310183066961274E-3</v>
          </cell>
          <cell r="C5477">
            <v>0</v>
          </cell>
          <cell r="D5477" t="e">
            <v>#VALUE!</v>
          </cell>
          <cell r="E5477" t="e">
            <v>#VALUE!</v>
          </cell>
          <cell r="F5477">
            <v>0</v>
          </cell>
        </row>
        <row r="5478">
          <cell r="A5478" t="str">
            <v>RCONCCCB</v>
          </cell>
          <cell r="B5478">
            <v>7.9021053541808908E-3</v>
          </cell>
          <cell r="C5478">
            <v>0</v>
          </cell>
          <cell r="D5478" t="e">
            <v>#VALUE!</v>
          </cell>
          <cell r="E5478" t="e">
            <v>#VALUE!</v>
          </cell>
          <cell r="F5478">
            <v>0</v>
          </cell>
        </row>
        <row r="5479">
          <cell r="A5479" t="str">
            <v>RCONCCKB</v>
          </cell>
          <cell r="B5479">
            <v>7.9021053541808908E-3</v>
          </cell>
          <cell r="C5479">
            <v>0</v>
          </cell>
          <cell r="D5479" t="e">
            <v>#VALUE!</v>
          </cell>
          <cell r="E5479" t="e">
            <v>#VALUE!</v>
          </cell>
          <cell r="F5479">
            <v>0</v>
          </cell>
        </row>
        <row r="5480">
          <cell r="A5480" t="str">
            <v>RCONCCQB</v>
          </cell>
          <cell r="B5480">
            <v>7.9021053541808908E-3</v>
          </cell>
          <cell r="C5480">
            <v>0</v>
          </cell>
          <cell r="D5480" t="e">
            <v>#VALUE!</v>
          </cell>
          <cell r="E5480" t="e">
            <v>#VALUE!</v>
          </cell>
          <cell r="F5480">
            <v>0</v>
          </cell>
        </row>
        <row r="5481">
          <cell r="A5481" t="str">
            <v>RCONPG2B</v>
          </cell>
          <cell r="B5481">
            <v>3.1805273240074526E-5</v>
          </cell>
          <cell r="C5481">
            <v>0</v>
          </cell>
          <cell r="D5481" t="e">
            <v>#VALUE!</v>
          </cell>
          <cell r="E5481" t="e">
            <v>#VALUE!</v>
          </cell>
          <cell r="F5481">
            <v>0</v>
          </cell>
        </row>
        <row r="5482">
          <cell r="A5482" t="str">
            <v>RCONPG3B</v>
          </cell>
          <cell r="B5482">
            <v>2.8835446325473803E-6</v>
          </cell>
          <cell r="C5482">
            <v>0</v>
          </cell>
          <cell r="D5482" t="e">
            <v>#VALUE!</v>
          </cell>
          <cell r="E5482" t="e">
            <v>#VALUE!</v>
          </cell>
          <cell r="F5482">
            <v>0</v>
          </cell>
        </row>
        <row r="5483">
          <cell r="A5483" t="str">
            <v>RCONPRAB</v>
          </cell>
          <cell r="B5483">
            <v>0</v>
          </cell>
          <cell r="C5483">
            <v>0</v>
          </cell>
          <cell r="D5483" t="e">
            <v>#VALUE!</v>
          </cell>
          <cell r="E5483" t="e">
            <v>#VALUE!</v>
          </cell>
          <cell r="F5483">
            <v>0</v>
          </cell>
        </row>
        <row r="5484">
          <cell r="A5484" t="str">
            <v>RCONPR2B</v>
          </cell>
          <cell r="B5484">
            <v>0</v>
          </cell>
          <cell r="C5484">
            <v>0</v>
          </cell>
          <cell r="D5484" t="e">
            <v>#VALUE!</v>
          </cell>
          <cell r="E5484" t="e">
            <v>#VALUE!</v>
          </cell>
          <cell r="F5484">
            <v>0</v>
          </cell>
        </row>
        <row r="5485">
          <cell r="A5485" t="str">
            <v>RCONPR3B</v>
          </cell>
          <cell r="B5485">
            <v>3.2926574838038752E-6</v>
          </cell>
          <cell r="C5485">
            <v>0</v>
          </cell>
          <cell r="D5485" t="e">
            <v>#VALUE!</v>
          </cell>
          <cell r="E5485" t="e">
            <v>#VALUE!</v>
          </cell>
          <cell r="F5485">
            <v>0</v>
          </cell>
        </row>
        <row r="5486">
          <cell r="A5486" t="str">
            <v>RCONPVAB</v>
          </cell>
          <cell r="B5486">
            <v>-1.3145299150007666E-3</v>
          </cell>
          <cell r="C5486">
            <v>0</v>
          </cell>
          <cell r="D5486" t="e">
            <v>#VALUE!</v>
          </cell>
          <cell r="E5486" t="e">
            <v>#VALUE!</v>
          </cell>
          <cell r="F5486">
            <v>0</v>
          </cell>
        </row>
        <row r="5487">
          <cell r="A5487" t="str">
            <v>RCONPV2B</v>
          </cell>
          <cell r="B5487">
            <v>-1.2764474440264665E-5</v>
          </cell>
          <cell r="C5487">
            <v>0</v>
          </cell>
          <cell r="D5487" t="e">
            <v>#VALUE!</v>
          </cell>
          <cell r="E5487" t="e">
            <v>#VALUE!</v>
          </cell>
          <cell r="F5487">
            <v>0</v>
          </cell>
        </row>
        <row r="5488">
          <cell r="A5488" t="str">
            <v>RCONPV3B</v>
          </cell>
          <cell r="B5488">
            <v>1.4173818796239611E-5</v>
          </cell>
          <cell r="C5488">
            <v>0</v>
          </cell>
          <cell r="D5488" t="e">
            <v>#VALUE!</v>
          </cell>
          <cell r="E5488" t="e">
            <v>#VALUE!</v>
          </cell>
          <cell r="F5488">
            <v>0</v>
          </cell>
        </row>
        <row r="5489">
          <cell r="A5489" t="str">
            <v>RCONPX2B</v>
          </cell>
          <cell r="B5489">
            <v>0</v>
          </cell>
          <cell r="C5489">
            <v>0</v>
          </cell>
          <cell r="D5489" t="e">
            <v>#VALUE!</v>
          </cell>
          <cell r="E5489" t="e">
            <v>#VALUE!</v>
          </cell>
          <cell r="F5489">
            <v>0</v>
          </cell>
        </row>
        <row r="5490">
          <cell r="A5490" t="str">
            <v>RCONPX3B</v>
          </cell>
          <cell r="B5490">
            <v>3.2926574838038752E-6</v>
          </cell>
          <cell r="C5490">
            <v>0</v>
          </cell>
          <cell r="D5490" t="e">
            <v>#VALUE!</v>
          </cell>
          <cell r="E5490" t="e">
            <v>#VALUE!</v>
          </cell>
          <cell r="F5490">
            <v>0</v>
          </cell>
        </row>
        <row r="5491">
          <cell r="A5491" t="str">
            <v>RCONSV2B</v>
          </cell>
          <cell r="B5491">
            <v>-4.0125376508074021E-7</v>
          </cell>
          <cell r="C5491">
            <v>0</v>
          </cell>
          <cell r="D5491" t="e">
            <v>#VALUE!</v>
          </cell>
          <cell r="E5491" t="e">
            <v>#VALUE!</v>
          </cell>
          <cell r="F5491">
            <v>0</v>
          </cell>
        </row>
        <row r="5492">
          <cell r="A5492" t="str">
            <v>RCONSV3B</v>
          </cell>
          <cell r="B5492">
            <v>4.7856524306615473E-7</v>
          </cell>
          <cell r="C5492">
            <v>0</v>
          </cell>
          <cell r="D5492" t="e">
            <v>#VALUE!</v>
          </cell>
          <cell r="E5492" t="e">
            <v>#VALUE!</v>
          </cell>
          <cell r="F5492">
            <v>0</v>
          </cell>
        </row>
        <row r="5493">
          <cell r="A5493" t="str">
            <v>RCONSW2B</v>
          </cell>
          <cell r="B5493">
            <v>-2.1449467167258262E-4</v>
          </cell>
          <cell r="C5493">
            <v>0</v>
          </cell>
          <cell r="D5493" t="e">
            <v>#VALUE!</v>
          </cell>
          <cell r="E5493" t="e">
            <v>#VALUE!</v>
          </cell>
          <cell r="F5493">
            <v>0</v>
          </cell>
        </row>
        <row r="5494">
          <cell r="A5494" t="str">
            <v>RCONSW3B</v>
          </cell>
          <cell r="B5494">
            <v>-6.1454205918891284E-5</v>
          </cell>
          <cell r="C5494">
            <v>0</v>
          </cell>
          <cell r="D5494" t="e">
            <v>#VALUE!</v>
          </cell>
          <cell r="E5494" t="e">
            <v>#VALUE!</v>
          </cell>
          <cell r="F5494">
            <v>0</v>
          </cell>
        </row>
        <row r="5495">
          <cell r="A5495" t="str">
            <v>RCONSX2B</v>
          </cell>
          <cell r="B5495">
            <v>-4.4225607994526585E-7</v>
          </cell>
          <cell r="C5495">
            <v>0</v>
          </cell>
          <cell r="D5495" t="e">
            <v>#VALUE!</v>
          </cell>
          <cell r="E5495" t="e">
            <v>#VALUE!</v>
          </cell>
          <cell r="F5495">
            <v>0</v>
          </cell>
        </row>
        <row r="5496">
          <cell r="A5496" t="str">
            <v>RCONSX3B</v>
          </cell>
          <cell r="B5496">
            <v>3.0665394766800415E-7</v>
          </cell>
          <cell r="C5496">
            <v>0</v>
          </cell>
          <cell r="D5496" t="e">
            <v>#VALUE!</v>
          </cell>
          <cell r="E5496" t="e">
            <v>#VALUE!</v>
          </cell>
          <cell r="F5496">
            <v>0</v>
          </cell>
        </row>
        <row r="5497">
          <cell r="A5497" t="str">
            <v>RCONVRAB</v>
          </cell>
          <cell r="B5497">
            <v>-6.781528917323058E-3</v>
          </cell>
          <cell r="C5497">
            <v>0</v>
          </cell>
          <cell r="D5497" t="e">
            <v>#VALUE!</v>
          </cell>
          <cell r="E5497" t="e">
            <v>#VALUE!</v>
          </cell>
          <cell r="F5497">
            <v>0</v>
          </cell>
        </row>
        <row r="5498">
          <cell r="A5498" t="str">
            <v>RCONVR2B</v>
          </cell>
          <cell r="B5498">
            <v>-1.4372031501022308E-4</v>
          </cell>
          <cell r="C5498">
            <v>0</v>
          </cell>
          <cell r="D5498" t="e">
            <v>#VALUE!</v>
          </cell>
          <cell r="E5498" t="e">
            <v>#VALUE!</v>
          </cell>
          <cell r="F5498">
            <v>0</v>
          </cell>
        </row>
        <row r="5499">
          <cell r="A5499" t="str">
            <v>RCONVR3B</v>
          </cell>
          <cell r="B5499">
            <v>-1.108152956008805E-2</v>
          </cell>
          <cell r="C5499">
            <v>0</v>
          </cell>
          <cell r="D5499" t="e">
            <v>#VALUE!</v>
          </cell>
          <cell r="E5499" t="e">
            <v>#VALUE!</v>
          </cell>
          <cell r="F5499">
            <v>0</v>
          </cell>
        </row>
        <row r="5500">
          <cell r="A5500" t="str">
            <v>RKFCLG2B</v>
          </cell>
          <cell r="B5500">
            <v>4.685211614131519E-3</v>
          </cell>
          <cell r="C5500">
            <v>0</v>
          </cell>
          <cell r="D5500" t="e">
            <v>#VALUE!</v>
          </cell>
          <cell r="E5500" t="e">
            <v>#VALUE!</v>
          </cell>
          <cell r="F5500">
            <v>0</v>
          </cell>
        </row>
        <row r="5501">
          <cell r="A5501" t="str">
            <v>RKFCLG3B</v>
          </cell>
          <cell r="B5501">
            <v>3.713762869084934E-3</v>
          </cell>
          <cell r="C5501">
            <v>0</v>
          </cell>
          <cell r="D5501" t="e">
            <v>#VALUE!</v>
          </cell>
          <cell r="E5501" t="e">
            <v>#VALUE!</v>
          </cell>
          <cell r="F5501">
            <v>0</v>
          </cell>
        </row>
        <row r="5502">
          <cell r="A5502" t="str">
            <v>RKFCLK2B</v>
          </cell>
          <cell r="B5502">
            <v>-5.8508235076123419E-4</v>
          </cell>
          <cell r="C5502">
            <v>0</v>
          </cell>
          <cell r="D5502" t="e">
            <v>#VALUE!</v>
          </cell>
          <cell r="E5502" t="e">
            <v>#VALUE!</v>
          </cell>
          <cell r="F5502">
            <v>0</v>
          </cell>
        </row>
        <row r="5503">
          <cell r="A5503" t="str">
            <v>RKFCLK3B</v>
          </cell>
          <cell r="B5503">
            <v>2.5660136178748249E-3</v>
          </cell>
          <cell r="C5503">
            <v>0</v>
          </cell>
          <cell r="D5503" t="e">
            <v>#VALUE!</v>
          </cell>
          <cell r="E5503" t="e">
            <v>#VALUE!</v>
          </cell>
          <cell r="F5503">
            <v>0</v>
          </cell>
        </row>
        <row r="5504">
          <cell r="A5504" t="str">
            <v>RKFCLVAB</v>
          </cell>
          <cell r="B5504">
            <v>-4.8942302991572305E-3</v>
          </cell>
          <cell r="C5504">
            <v>0</v>
          </cell>
          <cell r="D5504" t="e">
            <v>#VALUE!</v>
          </cell>
          <cell r="E5504" t="e">
            <v>#VALUE!</v>
          </cell>
          <cell r="F5504">
            <v>0</v>
          </cell>
        </row>
        <row r="5505">
          <cell r="A5505" t="str">
            <v>RKFCLV2B</v>
          </cell>
          <cell r="B5505">
            <v>-4.3137607799383674E-8</v>
          </cell>
          <cell r="C5505">
            <v>0</v>
          </cell>
          <cell r="D5505" t="e">
            <v>#VALUE!</v>
          </cell>
          <cell r="E5505" t="e">
            <v>#VALUE!</v>
          </cell>
          <cell r="F5505">
            <v>0</v>
          </cell>
        </row>
        <row r="5506">
          <cell r="A5506" t="str">
            <v>RKFCLV3B</v>
          </cell>
          <cell r="B5506">
            <v>-2.7380434431942789E-3</v>
          </cell>
          <cell r="C5506">
            <v>0</v>
          </cell>
          <cell r="D5506" t="e">
            <v>#VALUE!</v>
          </cell>
          <cell r="E5506" t="e">
            <v>#VALUE!</v>
          </cell>
          <cell r="F5506">
            <v>0</v>
          </cell>
        </row>
        <row r="5507">
          <cell r="A5507" t="str">
            <v>RKFCLXFB</v>
          </cell>
          <cell r="B5507">
            <v>2.6130741819331092E-3</v>
          </cell>
          <cell r="C5507">
            <v>0</v>
          </cell>
          <cell r="D5507" t="e">
            <v>#VALUE!</v>
          </cell>
          <cell r="E5507" t="e">
            <v>#VALUE!</v>
          </cell>
          <cell r="F5507">
            <v>0</v>
          </cell>
        </row>
        <row r="5508">
          <cell r="A5508" t="str">
            <v>RKFCMN3B</v>
          </cell>
          <cell r="B5508">
            <v>5.5436504899511398E-4</v>
          </cell>
          <cell r="C5508">
            <v>0</v>
          </cell>
          <cell r="D5508" t="e">
            <v>#VALUE!</v>
          </cell>
          <cell r="E5508" t="e">
            <v>#VALUE!</v>
          </cell>
          <cell r="F5508">
            <v>0</v>
          </cell>
        </row>
        <row r="5509">
          <cell r="A5509" t="str">
            <v>RKFCMN2B</v>
          </cell>
          <cell r="B5509">
            <v>3.1551124359806363E-4</v>
          </cell>
          <cell r="C5509">
            <v>0</v>
          </cell>
          <cell r="D5509" t="e">
            <v>#VALUE!</v>
          </cell>
          <cell r="E5509" t="e">
            <v>#VALUE!</v>
          </cell>
          <cell r="F5509">
            <v>0</v>
          </cell>
        </row>
        <row r="5510">
          <cell r="A5510" t="str">
            <v>RKFCPG2B</v>
          </cell>
          <cell r="B5510">
            <v>2.2183649898953225E-4</v>
          </cell>
          <cell r="C5510">
            <v>0</v>
          </cell>
          <cell r="D5510" t="e">
            <v>#VALUE!</v>
          </cell>
          <cell r="E5510" t="e">
            <v>#VALUE!</v>
          </cell>
          <cell r="F5510">
            <v>0</v>
          </cell>
        </row>
        <row r="5511">
          <cell r="A5511" t="str">
            <v>RKFCPG3B</v>
          </cell>
          <cell r="B5511">
            <v>-2.0130457114771148E-4</v>
          </cell>
          <cell r="C5511">
            <v>0</v>
          </cell>
          <cell r="D5511" t="e">
            <v>#VALUE!</v>
          </cell>
          <cell r="E5511" t="e">
            <v>#VALUE!</v>
          </cell>
          <cell r="F5511">
            <v>0</v>
          </cell>
        </row>
        <row r="5512">
          <cell r="A5512" t="str">
            <v>RKFCPV2B</v>
          </cell>
          <cell r="B5512">
            <v>4.991436371523851E-6</v>
          </cell>
          <cell r="C5512">
            <v>0</v>
          </cell>
          <cell r="D5512" t="e">
            <v>#VALUE!</v>
          </cell>
          <cell r="E5512" t="e">
            <v>#VALUE!</v>
          </cell>
          <cell r="F5512">
            <v>0</v>
          </cell>
        </row>
        <row r="5513">
          <cell r="A5513" t="str">
            <v>RKFCPV3B</v>
          </cell>
          <cell r="B5513">
            <v>-2.8650512166715175E-3</v>
          </cell>
          <cell r="C5513">
            <v>0</v>
          </cell>
          <cell r="D5513" t="e">
            <v>#VALUE!</v>
          </cell>
          <cell r="E5513" t="e">
            <v>#VALUE!</v>
          </cell>
          <cell r="F5513">
            <v>0</v>
          </cell>
        </row>
        <row r="5514">
          <cell r="A5514" t="str">
            <v>RKFCSK2B</v>
          </cell>
          <cell r="B5514">
            <v>1.0339088253166577E-3</v>
          </cell>
          <cell r="C5514">
            <v>0</v>
          </cell>
          <cell r="D5514" t="e">
            <v>#VALUE!</v>
          </cell>
          <cell r="E5514" t="e">
            <v>#VALUE!</v>
          </cell>
          <cell r="F5514">
            <v>0</v>
          </cell>
        </row>
        <row r="5515">
          <cell r="A5515" t="str">
            <v>RKFCSK3B</v>
          </cell>
          <cell r="B5515">
            <v>-9.3959652091542333E-4</v>
          </cell>
          <cell r="C5515">
            <v>0</v>
          </cell>
          <cell r="D5515" t="e">
            <v>#VALUE!</v>
          </cell>
          <cell r="E5515" t="e">
            <v>#VALUE!</v>
          </cell>
          <cell r="F5515">
            <v>0</v>
          </cell>
        </row>
        <row r="5516">
          <cell r="A5516" t="str">
            <v>RKFCSG2B</v>
          </cell>
          <cell r="B5516">
            <v>1.1028081089360256E-3</v>
          </cell>
          <cell r="C5516">
            <v>0</v>
          </cell>
          <cell r="D5516" t="e">
            <v>#VALUE!</v>
          </cell>
          <cell r="E5516" t="e">
            <v>#VALUE!</v>
          </cell>
          <cell r="F5516">
            <v>0</v>
          </cell>
        </row>
        <row r="5517">
          <cell r="A5517" t="str">
            <v>RKFCSG3B</v>
          </cell>
          <cell r="B5517">
            <v>-8.0111041172305507E-5</v>
          </cell>
          <cell r="C5517">
            <v>0</v>
          </cell>
          <cell r="D5517" t="e">
            <v>#VALUE!</v>
          </cell>
          <cell r="E5517" t="e">
            <v>#VALUE!</v>
          </cell>
          <cell r="F5517">
            <v>0</v>
          </cell>
        </row>
        <row r="5518">
          <cell r="A5518" t="str">
            <v>RKFCSV2B</v>
          </cell>
          <cell r="B5518">
            <v>-1.3637927186708061E-7</v>
          </cell>
          <cell r="C5518">
            <v>0</v>
          </cell>
          <cell r="D5518" t="e">
            <v>#VALUE!</v>
          </cell>
          <cell r="E5518" t="e">
            <v>#VALUE!</v>
          </cell>
          <cell r="F5518">
            <v>0</v>
          </cell>
        </row>
        <row r="5519">
          <cell r="A5519" t="str">
            <v>RKFCSV3B</v>
          </cell>
          <cell r="B5519">
            <v>-7.8009563697390783E-4</v>
          </cell>
          <cell r="C5519">
            <v>0</v>
          </cell>
          <cell r="D5519" t="e">
            <v>#VALUE!</v>
          </cell>
          <cell r="E5519" t="e">
            <v>#VALUE!</v>
          </cell>
          <cell r="F5519">
            <v>0</v>
          </cell>
        </row>
        <row r="5520">
          <cell r="A5520" t="str">
            <v>RKFCSW2B</v>
          </cell>
          <cell r="B5520">
            <v>4.994648899610931E-6</v>
          </cell>
          <cell r="C5520">
            <v>0</v>
          </cell>
          <cell r="D5520" t="e">
            <v>#VALUE!</v>
          </cell>
          <cell r="E5520" t="e">
            <v>#VALUE!</v>
          </cell>
          <cell r="F5520">
            <v>0</v>
          </cell>
        </row>
        <row r="5521">
          <cell r="A5521" t="str">
            <v>RKFCSW3B</v>
          </cell>
          <cell r="B5521">
            <v>2.2314937455557313E-6</v>
          </cell>
          <cell r="C5521">
            <v>0</v>
          </cell>
          <cell r="D5521" t="e">
            <v>#VALUE!</v>
          </cell>
          <cell r="E5521" t="e">
            <v>#VALUE!</v>
          </cell>
          <cell r="F5521">
            <v>0</v>
          </cell>
        </row>
        <row r="5522">
          <cell r="A5522" t="str">
            <v>RBNTAR2B</v>
          </cell>
          <cell r="B5522">
            <v>-2.1956297648872875E-2</v>
          </cell>
          <cell r="C5522">
            <v>0</v>
          </cell>
          <cell r="D5522" t="e">
            <v>#VALUE!</v>
          </cell>
          <cell r="E5522" t="e">
            <v>#VALUE!</v>
          </cell>
          <cell r="F5522">
            <v>0</v>
          </cell>
        </row>
        <row r="5523">
          <cell r="A5523" t="str">
            <v>RBNTAR3B</v>
          </cell>
          <cell r="B5523">
            <v>2.4019221319140843E-2</v>
          </cell>
          <cell r="C5523">
            <v>0</v>
          </cell>
          <cell r="D5523" t="e">
            <v>#VALUE!</v>
          </cell>
          <cell r="E5523" t="e">
            <v>#VALUE!</v>
          </cell>
          <cell r="F5523">
            <v>0</v>
          </cell>
        </row>
        <row r="5524">
          <cell r="A5524" t="str">
            <v>RBNTCW2B</v>
          </cell>
          <cell r="B5524">
            <v>0.23521129820521361</v>
          </cell>
          <cell r="C5524">
            <v>0</v>
          </cell>
          <cell r="D5524" t="e">
            <v>#VALUE!</v>
          </cell>
          <cell r="E5524" t="e">
            <v>#VALUE!</v>
          </cell>
          <cell r="F5524">
            <v>0</v>
          </cell>
        </row>
        <row r="5525">
          <cell r="A5525" t="str">
            <v>RBNTCX2B</v>
          </cell>
          <cell r="B5525">
            <v>0.23521129820521361</v>
          </cell>
          <cell r="C5525">
            <v>0</v>
          </cell>
          <cell r="D5525" t="e">
            <v>#VALUE!</v>
          </cell>
          <cell r="E5525" t="e">
            <v>#VALUE!</v>
          </cell>
          <cell r="F5525">
            <v>0</v>
          </cell>
        </row>
        <row r="5526">
          <cell r="A5526" t="str">
            <v>RBNTCY2B</v>
          </cell>
          <cell r="B5526">
            <v>0.23521129820521361</v>
          </cell>
          <cell r="C5526">
            <v>0</v>
          </cell>
          <cell r="D5526" t="e">
            <v>#VALUE!</v>
          </cell>
          <cell r="E5526" t="e">
            <v>#VALUE!</v>
          </cell>
          <cell r="F5526">
            <v>0</v>
          </cell>
        </row>
        <row r="5527">
          <cell r="A5527" t="str">
            <v>RBNTCZ2B</v>
          </cell>
          <cell r="B5527">
            <v>0.23521129820521361</v>
          </cell>
          <cell r="C5527">
            <v>0</v>
          </cell>
          <cell r="D5527" t="e">
            <v>#VALUE!</v>
          </cell>
          <cell r="E5527" t="e">
            <v>#VALUE!</v>
          </cell>
          <cell r="F5527">
            <v>0</v>
          </cell>
        </row>
        <row r="5528">
          <cell r="A5528" t="str">
            <v>RBNTFC2B</v>
          </cell>
          <cell r="B5528">
            <v>0.23521129820521361</v>
          </cell>
          <cell r="C5528">
            <v>0</v>
          </cell>
          <cell r="D5528" t="e">
            <v>#VALUE!</v>
          </cell>
          <cell r="E5528" t="e">
            <v>#VALUE!</v>
          </cell>
          <cell r="F5528">
            <v>0</v>
          </cell>
        </row>
        <row r="5529">
          <cell r="A5529" t="str">
            <v>RBNTLVAB</v>
          </cell>
          <cell r="B5529">
            <v>0.18457271536518755</v>
          </cell>
          <cell r="C5529">
            <v>0</v>
          </cell>
          <cell r="D5529" t="e">
            <v>#VALUE!</v>
          </cell>
          <cell r="E5529" t="e">
            <v>#VALUE!</v>
          </cell>
          <cell r="F5529">
            <v>0</v>
          </cell>
        </row>
        <row r="5530">
          <cell r="A5530" t="str">
            <v>RBNTLV2B</v>
          </cell>
          <cell r="B5530">
            <v>-1.2837194259540012E-3</v>
          </cell>
          <cell r="C5530">
            <v>0</v>
          </cell>
          <cell r="D5530" t="e">
            <v>#VALUE!</v>
          </cell>
          <cell r="E5530" t="e">
            <v>#VALUE!</v>
          </cell>
          <cell r="F5530">
            <v>0</v>
          </cell>
        </row>
        <row r="5531">
          <cell r="A5531" t="str">
            <v>RBNTLV3B</v>
          </cell>
          <cell r="B5531">
            <v>1.3248225430039409E-3</v>
          </cell>
          <cell r="C5531">
            <v>0</v>
          </cell>
          <cell r="D5531" t="e">
            <v>#VALUE!</v>
          </cell>
          <cell r="E5531" t="e">
            <v>#VALUE!</v>
          </cell>
          <cell r="F5531">
            <v>0</v>
          </cell>
        </row>
        <row r="5532">
          <cell r="A5532" t="str">
            <v>RBNTPG2B</v>
          </cell>
          <cell r="B5532">
            <v>7.1170389915183379E-3</v>
          </cell>
          <cell r="C5532">
            <v>0</v>
          </cell>
          <cell r="D5532" t="e">
            <v>#VALUE!</v>
          </cell>
          <cell r="E5532" t="e">
            <v>#VALUE!</v>
          </cell>
          <cell r="F5532">
            <v>0</v>
          </cell>
        </row>
        <row r="5533">
          <cell r="A5533" t="str">
            <v>RBNTPG3B</v>
          </cell>
          <cell r="B5533">
            <v>-7.7429624677839851E-3</v>
          </cell>
          <cell r="C5533">
            <v>0</v>
          </cell>
          <cell r="D5533" t="e">
            <v>#VALUE!</v>
          </cell>
          <cell r="E5533" t="e">
            <v>#VALUE!</v>
          </cell>
          <cell r="F5533">
            <v>0</v>
          </cell>
        </row>
        <row r="5534">
          <cell r="A5534" t="str">
            <v>RBNTPRAB</v>
          </cell>
          <cell r="B5534">
            <v>0</v>
          </cell>
          <cell r="C5534">
            <v>0</v>
          </cell>
          <cell r="D5534" t="e">
            <v>#VALUE!</v>
          </cell>
          <cell r="E5534" t="e">
            <v>#VALUE!</v>
          </cell>
          <cell r="F5534">
            <v>0</v>
          </cell>
        </row>
        <row r="5535">
          <cell r="A5535" t="str">
            <v>RBNTPR2B</v>
          </cell>
          <cell r="B5535">
            <v>0</v>
          </cell>
          <cell r="C5535">
            <v>0</v>
          </cell>
          <cell r="D5535" t="e">
            <v>#VALUE!</v>
          </cell>
          <cell r="E5535" t="e">
            <v>#VALUE!</v>
          </cell>
          <cell r="F5535">
            <v>0</v>
          </cell>
        </row>
        <row r="5536">
          <cell r="A5536" t="str">
            <v>RBNTPR3B</v>
          </cell>
          <cell r="B5536">
            <v>8.231643709509688E-7</v>
          </cell>
          <cell r="C5536">
            <v>0</v>
          </cell>
          <cell r="D5536" t="e">
            <v>#VALUE!</v>
          </cell>
          <cell r="E5536" t="e">
            <v>#VALUE!</v>
          </cell>
          <cell r="F5536">
            <v>0</v>
          </cell>
        </row>
        <row r="5537">
          <cell r="A5537" t="str">
            <v>RBNTPVAB</v>
          </cell>
          <cell r="B5537">
            <v>-0.39882891036965568</v>
          </cell>
          <cell r="C5537">
            <v>0</v>
          </cell>
          <cell r="D5537" t="e">
            <v>#VALUE!</v>
          </cell>
          <cell r="E5537" t="e">
            <v>#VALUE!</v>
          </cell>
          <cell r="F5537">
            <v>0</v>
          </cell>
        </row>
        <row r="5538">
          <cell r="A5538" t="str">
            <v>RBNTPV2B</v>
          </cell>
          <cell r="B5538">
            <v>-3.7544991955637172E-3</v>
          </cell>
          <cell r="C5538">
            <v>0</v>
          </cell>
          <cell r="D5538" t="e">
            <v>#VALUE!</v>
          </cell>
          <cell r="E5538" t="e">
            <v>#VALUE!</v>
          </cell>
          <cell r="F5538">
            <v>0</v>
          </cell>
        </row>
        <row r="5539">
          <cell r="A5539" t="str">
            <v>RBNTPV3B</v>
          </cell>
          <cell r="B5539">
            <v>3.775409598235194E-3</v>
          </cell>
          <cell r="C5539">
            <v>0</v>
          </cell>
          <cell r="D5539" t="e">
            <v>#VALUE!</v>
          </cell>
          <cell r="E5539" t="e">
            <v>#VALUE!</v>
          </cell>
          <cell r="F5539">
            <v>0</v>
          </cell>
        </row>
        <row r="5540">
          <cell r="A5540" t="str">
            <v>RBNTPX2B</v>
          </cell>
          <cell r="B5540">
            <v>0</v>
          </cell>
          <cell r="C5540">
            <v>0</v>
          </cell>
          <cell r="D5540" t="e">
            <v>#VALUE!</v>
          </cell>
          <cell r="E5540" t="e">
            <v>#VALUE!</v>
          </cell>
          <cell r="F5540">
            <v>0</v>
          </cell>
        </row>
        <row r="5541">
          <cell r="A5541" t="str">
            <v>RBNTPX3B</v>
          </cell>
          <cell r="B5541">
            <v>8.231643709509688E-7</v>
          </cell>
          <cell r="C5541">
            <v>0</v>
          </cell>
          <cell r="D5541" t="e">
            <v>#VALUE!</v>
          </cell>
          <cell r="E5541" t="e">
            <v>#VALUE!</v>
          </cell>
          <cell r="F5541">
            <v>0</v>
          </cell>
        </row>
        <row r="5542">
          <cell r="A5542" t="str">
            <v>RBNTSV2B</v>
          </cell>
          <cell r="B5542">
            <v>-5.3434329069927591E-4</v>
          </cell>
          <cell r="C5542">
            <v>0</v>
          </cell>
          <cell r="D5542" t="e">
            <v>#VALUE!</v>
          </cell>
          <cell r="E5542" t="e">
            <v>#VALUE!</v>
          </cell>
          <cell r="F5542">
            <v>0</v>
          </cell>
        </row>
        <row r="5543">
          <cell r="A5543" t="str">
            <v>RBNTSV3B</v>
          </cell>
          <cell r="B5543">
            <v>5.4323373135168229E-4</v>
          </cell>
          <cell r="C5543">
            <v>0</v>
          </cell>
          <cell r="D5543" t="e">
            <v>#VALUE!</v>
          </cell>
          <cell r="E5543" t="e">
            <v>#VALUE!</v>
          </cell>
          <cell r="F5543">
            <v>0</v>
          </cell>
        </row>
        <row r="5544">
          <cell r="A5544" t="str">
            <v>RBNTSW2B</v>
          </cell>
          <cell r="B5544">
            <v>-7.8731058470174042E-4</v>
          </cell>
          <cell r="C5544">
            <v>0</v>
          </cell>
          <cell r="D5544" t="e">
            <v>#VALUE!</v>
          </cell>
          <cell r="E5544" t="e">
            <v>#VALUE!</v>
          </cell>
          <cell r="F5544">
            <v>0</v>
          </cell>
        </row>
        <row r="5545">
          <cell r="A5545" t="str">
            <v>RBNTSW3B</v>
          </cell>
          <cell r="B5545">
            <v>7.0468386809009905E-4</v>
          </cell>
          <cell r="C5545">
            <v>0</v>
          </cell>
          <cell r="D5545" t="e">
            <v>#VALUE!</v>
          </cell>
          <cell r="E5545" t="e">
            <v>#VALUE!</v>
          </cell>
          <cell r="F5545">
            <v>0</v>
          </cell>
        </row>
        <row r="5546">
          <cell r="A5546" t="str">
            <v>RBNTSX2B</v>
          </cell>
          <cell r="B5546">
            <v>-4.7274029332098282E-4</v>
          </cell>
          <cell r="C5546">
            <v>0</v>
          </cell>
          <cell r="D5546" t="e">
            <v>#VALUE!</v>
          </cell>
          <cell r="E5546" t="e">
            <v>#VALUE!</v>
          </cell>
          <cell r="F5546">
            <v>0</v>
          </cell>
        </row>
        <row r="5547">
          <cell r="A5547" t="str">
            <v>RBNTSX3B</v>
          </cell>
          <cell r="B5547">
            <v>4.7531947182580725E-4</v>
          </cell>
          <cell r="C5547">
            <v>0</v>
          </cell>
          <cell r="D5547" t="e">
            <v>#VALUE!</v>
          </cell>
          <cell r="E5547" t="e">
            <v>#VALUE!</v>
          </cell>
          <cell r="F5547">
            <v>0</v>
          </cell>
        </row>
        <row r="5548">
          <cell r="A5548" t="str">
            <v>RVANCOKB</v>
          </cell>
          <cell r="B5548">
            <v>0</v>
          </cell>
          <cell r="C5548">
            <v>0</v>
          </cell>
          <cell r="D5548" t="e">
            <v>#VALUE!</v>
          </cell>
          <cell r="E5548" t="e">
            <v>#VALUE!</v>
          </cell>
          <cell r="F5548">
            <v>0</v>
          </cell>
        </row>
        <row r="5549">
          <cell r="A5549" t="str">
            <v>R400KJPB</v>
          </cell>
          <cell r="B5549">
            <v>-3.1424970940163689E-4</v>
          </cell>
          <cell r="C5549">
            <v>0</v>
          </cell>
          <cell r="D5549" t="e">
            <v>#VALUE!</v>
          </cell>
          <cell r="E5549" t="e">
            <v>#VALUE!</v>
          </cell>
          <cell r="F5549">
            <v>0</v>
          </cell>
        </row>
        <row r="5550">
          <cell r="A5550" t="str">
            <v>R400LK2B</v>
          </cell>
          <cell r="B5550">
            <v>-6.7553539030422933E-3</v>
          </cell>
          <cell r="C5550">
            <v>0</v>
          </cell>
          <cell r="D5550" t="e">
            <v>#VALUE!</v>
          </cell>
          <cell r="E5550" t="e">
            <v>#VALUE!</v>
          </cell>
          <cell r="F5550">
            <v>0</v>
          </cell>
        </row>
        <row r="5551">
          <cell r="A5551" t="str">
            <v>R400LK3B</v>
          </cell>
          <cell r="B5551">
            <v>1.0899459710643684E-3</v>
          </cell>
          <cell r="C5551">
            <v>0</v>
          </cell>
          <cell r="D5551" t="e">
            <v>#VALUE!</v>
          </cell>
          <cell r="E5551" t="e">
            <v>#VALUE!</v>
          </cell>
          <cell r="F5551">
            <v>0</v>
          </cell>
        </row>
        <row r="5552">
          <cell r="A5552" t="str">
            <v>R400MN3B</v>
          </cell>
          <cell r="B5552">
            <v>0</v>
          </cell>
          <cell r="C5552">
            <v>0</v>
          </cell>
          <cell r="D5552" t="e">
            <v>#VALUE!</v>
          </cell>
          <cell r="E5552" t="e">
            <v>#VALUE!</v>
          </cell>
          <cell r="F5552">
            <v>0</v>
          </cell>
        </row>
        <row r="5553">
          <cell r="A5553" t="str">
            <v>R400MN2B</v>
          </cell>
          <cell r="B5553">
            <v>0</v>
          </cell>
          <cell r="C5553">
            <v>0</v>
          </cell>
          <cell r="D5553" t="e">
            <v>#VALUE!</v>
          </cell>
          <cell r="E5553" t="e">
            <v>#VALUE!</v>
          </cell>
          <cell r="F5553">
            <v>0</v>
          </cell>
        </row>
        <row r="5554">
          <cell r="A5554" t="str">
            <v>R400PN2B</v>
          </cell>
          <cell r="B5554">
            <v>-1.6071143654837187E-15</v>
          </cell>
          <cell r="C5554">
            <v>0</v>
          </cell>
          <cell r="D5554" t="e">
            <v>#VALUE!</v>
          </cell>
          <cell r="E5554" t="e">
            <v>#VALUE!</v>
          </cell>
          <cell r="F5554">
            <v>0</v>
          </cell>
        </row>
        <row r="5555">
          <cell r="A5555" t="str">
            <v>R400PN3B</v>
          </cell>
          <cell r="B5555">
            <v>-1.7961279343593287E-14</v>
          </cell>
          <cell r="C5555">
            <v>0</v>
          </cell>
          <cell r="D5555" t="e">
            <v>#VALUE!</v>
          </cell>
          <cell r="E5555" t="e">
            <v>#VALUE!</v>
          </cell>
          <cell r="F5555">
            <v>0</v>
          </cell>
        </row>
        <row r="5556">
          <cell r="A5556" t="str">
            <v>R400SK2B</v>
          </cell>
          <cell r="B5556">
            <v>0</v>
          </cell>
          <cell r="C5556">
            <v>0</v>
          </cell>
          <cell r="D5556" t="e">
            <v>#VALUE!</v>
          </cell>
          <cell r="E5556" t="e">
            <v>#VALUE!</v>
          </cell>
          <cell r="F5556">
            <v>0</v>
          </cell>
        </row>
        <row r="5557">
          <cell r="A5557" t="str">
            <v>R400SK3B</v>
          </cell>
          <cell r="B5557">
            <v>0</v>
          </cell>
          <cell r="C5557">
            <v>0</v>
          </cell>
          <cell r="D5557" t="e">
            <v>#VALUE!</v>
          </cell>
          <cell r="E5557" t="e">
            <v>#VALUE!</v>
          </cell>
          <cell r="F5557">
            <v>0</v>
          </cell>
        </row>
        <row r="5558">
          <cell r="A5558" t="str">
            <v>R400SG2B</v>
          </cell>
          <cell r="B5558">
            <v>-1.3761824377244721E-4</v>
          </cell>
          <cell r="C5558">
            <v>0</v>
          </cell>
          <cell r="D5558" t="e">
            <v>#VALUE!</v>
          </cell>
          <cell r="E5558" t="e">
            <v>#VALUE!</v>
          </cell>
          <cell r="F5558">
            <v>0</v>
          </cell>
        </row>
        <row r="5559">
          <cell r="A5559" t="str">
            <v>R400SG3B</v>
          </cell>
          <cell r="B5559">
            <v>-1.8380350642199691E-4</v>
          </cell>
          <cell r="C5559">
            <v>0</v>
          </cell>
          <cell r="D5559" t="e">
            <v>#VALUE!</v>
          </cell>
          <cell r="E5559" t="e">
            <v>#VALUE!</v>
          </cell>
          <cell r="F5559">
            <v>0</v>
          </cell>
        </row>
        <row r="5560">
          <cell r="A5560" t="str">
            <v>R160LCTB</v>
          </cell>
          <cell r="B5560">
            <v>9.135062025767457E-3</v>
          </cell>
          <cell r="C5560">
            <v>0</v>
          </cell>
          <cell r="D5560" t="e">
            <v>#VALUE!</v>
          </cell>
          <cell r="E5560" t="e">
            <v>#VALUE!</v>
          </cell>
          <cell r="F5560">
            <v>0</v>
          </cell>
        </row>
        <row r="5561">
          <cell r="A5561" t="str">
            <v>R160LLLB</v>
          </cell>
          <cell r="B5561">
            <v>9.050311855190396E-3</v>
          </cell>
          <cell r="C5561">
            <v>0</v>
          </cell>
          <cell r="D5561" t="e">
            <v>#VALUE!</v>
          </cell>
          <cell r="E5561" t="e">
            <v>#VALUE!</v>
          </cell>
          <cell r="F5561">
            <v>0</v>
          </cell>
        </row>
        <row r="5562">
          <cell r="A5562" t="str">
            <v>R160LN2B</v>
          </cell>
          <cell r="B5562">
            <v>-3.2578119278521827E-4</v>
          </cell>
          <cell r="C5562">
            <v>0</v>
          </cell>
          <cell r="D5562" t="e">
            <v>#VALUE!</v>
          </cell>
          <cell r="E5562" t="e">
            <v>#VALUE!</v>
          </cell>
          <cell r="F5562">
            <v>0</v>
          </cell>
        </row>
        <row r="5563">
          <cell r="A5563" t="str">
            <v>R160LT2B</v>
          </cell>
          <cell r="B5563">
            <v>-1.6084245494598752E-3</v>
          </cell>
          <cell r="C5563">
            <v>0</v>
          </cell>
          <cell r="D5563" t="e">
            <v>#VALUE!</v>
          </cell>
          <cell r="E5563" t="e">
            <v>#VALUE!</v>
          </cell>
          <cell r="F5563">
            <v>0</v>
          </cell>
        </row>
        <row r="5564">
          <cell r="A5564" t="str">
            <v>R160LN3B</v>
          </cell>
          <cell r="B5564">
            <v>3.4470125454340821E-4</v>
          </cell>
          <cell r="C5564">
            <v>0</v>
          </cell>
          <cell r="D5564" t="e">
            <v>#VALUE!</v>
          </cell>
          <cell r="E5564" t="e">
            <v>#VALUE!</v>
          </cell>
          <cell r="F5564">
            <v>0</v>
          </cell>
        </row>
        <row r="5565">
          <cell r="A5565" t="str">
            <v>R160LT3B</v>
          </cell>
          <cell r="B5565">
            <v>3.4488986426891042E-4</v>
          </cell>
          <cell r="C5565">
            <v>0</v>
          </cell>
          <cell r="D5565" t="e">
            <v>#VALUE!</v>
          </cell>
          <cell r="E5565" t="e">
            <v>#VALUE!</v>
          </cell>
          <cell r="F5565">
            <v>0</v>
          </cell>
        </row>
        <row r="5566">
          <cell r="A5566" t="str">
            <v>R160MN3B</v>
          </cell>
          <cell r="B5566">
            <v>0</v>
          </cell>
          <cell r="C5566">
            <v>0</v>
          </cell>
          <cell r="D5566" t="e">
            <v>#VALUE!</v>
          </cell>
          <cell r="E5566" t="e">
            <v>#VALUE!</v>
          </cell>
          <cell r="F5566">
            <v>0</v>
          </cell>
        </row>
        <row r="5567">
          <cell r="A5567" t="str">
            <v>R160MN2B</v>
          </cell>
          <cell r="B5567">
            <v>0</v>
          </cell>
          <cell r="C5567">
            <v>0</v>
          </cell>
          <cell r="D5567" t="e">
            <v>#VALUE!</v>
          </cell>
          <cell r="E5567" t="e">
            <v>#VALUE!</v>
          </cell>
          <cell r="F5567">
            <v>0</v>
          </cell>
        </row>
        <row r="5568">
          <cell r="A5568" t="str">
            <v>R160NPRB</v>
          </cell>
          <cell r="B5568">
            <v>-6.90241896926923E-4</v>
          </cell>
          <cell r="C5568">
            <v>0</v>
          </cell>
          <cell r="D5568" t="e">
            <v>#VALUE!</v>
          </cell>
          <cell r="E5568" t="e">
            <v>#VALUE!</v>
          </cell>
          <cell r="F5568">
            <v>0</v>
          </cell>
        </row>
        <row r="5569">
          <cell r="A5569" t="str">
            <v>R160NPZB</v>
          </cell>
          <cell r="B5569">
            <v>-9.545620609782891E-5</v>
          </cell>
          <cell r="C5569">
            <v>0</v>
          </cell>
          <cell r="D5569" t="e">
            <v>#VALUE!</v>
          </cell>
          <cell r="E5569" t="e">
            <v>#VALUE!</v>
          </cell>
          <cell r="F5569">
            <v>0</v>
          </cell>
        </row>
        <row r="5570">
          <cell r="A5570" t="str">
            <v>R160PT2B</v>
          </cell>
          <cell r="B5570">
            <v>-6.8256747410863877E-5</v>
          </cell>
          <cell r="C5570">
            <v>0</v>
          </cell>
          <cell r="D5570" t="e">
            <v>#VALUE!</v>
          </cell>
          <cell r="E5570" t="e">
            <v>#VALUE!</v>
          </cell>
          <cell r="F5570">
            <v>0</v>
          </cell>
        </row>
        <row r="5571">
          <cell r="A5571" t="str">
            <v>ROLFBUTB</v>
          </cell>
          <cell r="B5571">
            <v>3.1563487722799946E-4</v>
          </cell>
          <cell r="C5571">
            <v>0</v>
          </cell>
          <cell r="D5571" t="e">
            <v>#VALUE!</v>
          </cell>
          <cell r="E5571" t="e">
            <v>#VALUE!</v>
          </cell>
          <cell r="F5571">
            <v>0</v>
          </cell>
        </row>
        <row r="5572">
          <cell r="A5572" t="str">
            <v>ROLFC4FB</v>
          </cell>
          <cell r="B5572">
            <v>-2.4274877716678718E-5</v>
          </cell>
          <cell r="C5572">
            <v>0</v>
          </cell>
          <cell r="D5572" t="e">
            <v>#VALUE!</v>
          </cell>
          <cell r="E5572" t="e">
            <v>#VALUE!</v>
          </cell>
          <cell r="F5572">
            <v>0</v>
          </cell>
        </row>
        <row r="5573">
          <cell r="A5573" t="str">
            <v>ROLFC4MB</v>
          </cell>
          <cell r="B5573">
            <v>-6.6973419706911255E-3</v>
          </cell>
          <cell r="C5573">
            <v>0</v>
          </cell>
          <cell r="D5573" t="e">
            <v>#VALUE!</v>
          </cell>
          <cell r="E5573" t="e">
            <v>#VALUE!</v>
          </cell>
          <cell r="F5573">
            <v>0</v>
          </cell>
        </row>
        <row r="5574">
          <cell r="A5574" t="str">
            <v>ROLFC4CB</v>
          </cell>
          <cell r="B5574">
            <v>8.5632470749858413E-4</v>
          </cell>
          <cell r="C5574">
            <v>0</v>
          </cell>
          <cell r="D5574" t="e">
            <v>#VALUE!</v>
          </cell>
          <cell r="E5574" t="e">
            <v>#VALUE!</v>
          </cell>
          <cell r="F5574">
            <v>0</v>
          </cell>
        </row>
        <row r="5575">
          <cell r="A5575" t="str">
            <v>ROLFC4BB</v>
          </cell>
          <cell r="B5575">
            <v>-1.7872467243163655E-3</v>
          </cell>
          <cell r="C5575">
            <v>0</v>
          </cell>
          <cell r="D5575" t="e">
            <v>#VALUE!</v>
          </cell>
          <cell r="E5575" t="e">
            <v>#VALUE!</v>
          </cell>
          <cell r="F5575">
            <v>0</v>
          </cell>
        </row>
        <row r="5576">
          <cell r="A5576" t="str">
            <v>ROLFLCTB</v>
          </cell>
          <cell r="B5576">
            <v>-1.3114119734461993E-2</v>
          </cell>
          <cell r="C5576">
            <v>0</v>
          </cell>
          <cell r="D5576" t="e">
            <v>#VALUE!</v>
          </cell>
          <cell r="E5576" t="e">
            <v>#VALUE!</v>
          </cell>
          <cell r="F5576">
            <v>0</v>
          </cell>
        </row>
        <row r="5577">
          <cell r="A5577" t="str">
            <v>ROLFLLLB</v>
          </cell>
          <cell r="B5577">
            <v>-1.3114119734461993E-2</v>
          </cell>
          <cell r="C5577">
            <v>0</v>
          </cell>
          <cell r="D5577" t="e">
            <v>#VALUE!</v>
          </cell>
          <cell r="E5577" t="e">
            <v>#VALUE!</v>
          </cell>
          <cell r="F5577">
            <v>0</v>
          </cell>
        </row>
        <row r="5578">
          <cell r="A5578" t="str">
            <v>R230LT2B</v>
          </cell>
          <cell r="B5578">
            <v>-1.3678484358149022E-3</v>
          </cell>
          <cell r="C5578">
            <v>0</v>
          </cell>
          <cell r="D5578" t="e">
            <v>#VALUE!</v>
          </cell>
          <cell r="E5578" t="e">
            <v>#VALUE!</v>
          </cell>
          <cell r="F5578">
            <v>0</v>
          </cell>
        </row>
        <row r="5579">
          <cell r="A5579" t="str">
            <v>R230LT3B</v>
          </cell>
          <cell r="B5579">
            <v>0</v>
          </cell>
          <cell r="C5579">
            <v>0</v>
          </cell>
          <cell r="D5579" t="e">
            <v>#VALUE!</v>
          </cell>
          <cell r="E5579" t="e">
            <v>#VALUE!</v>
          </cell>
          <cell r="F5579">
            <v>0</v>
          </cell>
        </row>
        <row r="5580">
          <cell r="A5580" t="str">
            <v>R230NPRB</v>
          </cell>
          <cell r="B5580">
            <v>-1.9713610694552324E-3</v>
          </cell>
          <cell r="C5580">
            <v>0</v>
          </cell>
          <cell r="D5580" t="e">
            <v>#VALUE!</v>
          </cell>
          <cell r="E5580" t="e">
            <v>#VALUE!</v>
          </cell>
          <cell r="F5580">
            <v>0</v>
          </cell>
        </row>
        <row r="5581">
          <cell r="A5581" t="str">
            <v>R230NPZB</v>
          </cell>
          <cell r="B5581">
            <v>3.9783392184452243E-4</v>
          </cell>
          <cell r="C5581">
            <v>0</v>
          </cell>
          <cell r="D5581" t="e">
            <v>#VALUE!</v>
          </cell>
          <cell r="E5581" t="e">
            <v>#VALUE!</v>
          </cell>
          <cell r="F5581">
            <v>0</v>
          </cell>
        </row>
        <row r="5582">
          <cell r="A5582" t="str">
            <v>R230PT2B</v>
          </cell>
          <cell r="B5582">
            <v>-6.8261310279569971E-5</v>
          </cell>
          <cell r="C5582">
            <v>0</v>
          </cell>
          <cell r="D5582" t="e">
            <v>#VALUE!</v>
          </cell>
          <cell r="E5582" t="e">
            <v>#VALUE!</v>
          </cell>
          <cell r="F5582">
            <v>0</v>
          </cell>
        </row>
        <row r="5583">
          <cell r="A5583" t="str">
            <v>RLV2AR2B</v>
          </cell>
          <cell r="B5583">
            <v>8.2134786141679103E-4</v>
          </cell>
          <cell r="C5583">
            <v>0</v>
          </cell>
          <cell r="D5583" t="e">
            <v>#VALUE!</v>
          </cell>
          <cell r="E5583" t="e">
            <v>#VALUE!</v>
          </cell>
          <cell r="F5583">
            <v>0</v>
          </cell>
        </row>
        <row r="5584">
          <cell r="A5584" t="str">
            <v>RSV2AR2B</v>
          </cell>
          <cell r="B5584">
            <v>2.4477720973464621E-4</v>
          </cell>
          <cell r="C5584">
            <v>0</v>
          </cell>
          <cell r="D5584" t="e">
            <v>#VALUE!</v>
          </cell>
          <cell r="E5584" t="e">
            <v>#VALUE!</v>
          </cell>
          <cell r="F5584">
            <v>0</v>
          </cell>
        </row>
        <row r="5585">
          <cell r="A5585" t="str">
            <v>RPV2AR2B</v>
          </cell>
          <cell r="B5585">
            <v>-4.9305424693226981E-4</v>
          </cell>
          <cell r="C5585">
            <v>0</v>
          </cell>
          <cell r="D5585" t="e">
            <v>#VALUE!</v>
          </cell>
          <cell r="E5585" t="e">
            <v>#VALUE!</v>
          </cell>
          <cell r="F5585">
            <v>0</v>
          </cell>
        </row>
        <row r="5586">
          <cell r="A5586" t="str">
            <v>RPR2AR2B</v>
          </cell>
          <cell r="B5586">
            <v>-2.6231232998663026E-3</v>
          </cell>
          <cell r="C5586">
            <v>0</v>
          </cell>
          <cell r="D5586" t="e">
            <v>#VALUE!</v>
          </cell>
          <cell r="E5586" t="e">
            <v>#VALUE!</v>
          </cell>
          <cell r="F5586">
            <v>0</v>
          </cell>
        </row>
        <row r="5587">
          <cell r="A5587" t="str">
            <v>RVR2AR2B</v>
          </cell>
          <cell r="B5587">
            <v>1.337149769246374E-3</v>
          </cell>
          <cell r="C5587">
            <v>0</v>
          </cell>
          <cell r="D5587" t="e">
            <v>#VALUE!</v>
          </cell>
          <cell r="E5587" t="e">
            <v>#VALUE!</v>
          </cell>
          <cell r="F5587">
            <v>0</v>
          </cell>
        </row>
        <row r="5588">
          <cell r="A5588" t="str">
            <v>RLV3AR3B</v>
          </cell>
          <cell r="B5588">
            <v>-1.0225564375366657E-3</v>
          </cell>
          <cell r="C5588">
            <v>0</v>
          </cell>
          <cell r="D5588" t="e">
            <v>#VALUE!</v>
          </cell>
          <cell r="E5588" t="e">
            <v>#VALUE!</v>
          </cell>
          <cell r="F5588">
            <v>0</v>
          </cell>
        </row>
        <row r="5589">
          <cell r="A5589" t="str">
            <v>RSV3AR3B</v>
          </cell>
          <cell r="B5589">
            <v>-8.1364756525009361E-5</v>
          </cell>
          <cell r="C5589">
            <v>0</v>
          </cell>
          <cell r="D5589" t="e">
            <v>#VALUE!</v>
          </cell>
          <cell r="E5589" t="e">
            <v>#VALUE!</v>
          </cell>
          <cell r="F5589">
            <v>0</v>
          </cell>
        </row>
        <row r="5590">
          <cell r="A5590" t="str">
            <v>RPV3AR3B</v>
          </cell>
          <cell r="B5590">
            <v>3.6154653870640961E-3</v>
          </cell>
          <cell r="C5590">
            <v>0</v>
          </cell>
          <cell r="D5590" t="e">
            <v>#VALUE!</v>
          </cell>
          <cell r="E5590" t="e">
            <v>#VALUE!</v>
          </cell>
          <cell r="F5590">
            <v>0</v>
          </cell>
        </row>
        <row r="5591">
          <cell r="A5591" t="str">
            <v>RPR3AR3B</v>
          </cell>
          <cell r="B5591">
            <v>-4.9018959923047729E-3</v>
          </cell>
          <cell r="C5591">
            <v>0</v>
          </cell>
          <cell r="D5591" t="e">
            <v>#VALUE!</v>
          </cell>
          <cell r="E5591" t="e">
            <v>#VALUE!</v>
          </cell>
          <cell r="F5591">
            <v>0</v>
          </cell>
        </row>
        <row r="5592">
          <cell r="A5592" t="str">
            <v>RVR3AR3B</v>
          </cell>
          <cell r="B5592">
            <v>-2.5101131083418247E-3</v>
          </cell>
          <cell r="C5592">
            <v>0</v>
          </cell>
          <cell r="D5592" t="e">
            <v>#VALUE!</v>
          </cell>
          <cell r="E5592" t="e">
            <v>#VALUE!</v>
          </cell>
          <cell r="F5592">
            <v>0</v>
          </cell>
        </row>
        <row r="5593">
          <cell r="A5593" t="str">
            <v>RH2%HDSB</v>
          </cell>
          <cell r="B5593">
            <v>0</v>
          </cell>
          <cell r="C5593">
            <v>0</v>
          </cell>
          <cell r="D5593" t="e">
            <v>#VALUE!</v>
          </cell>
          <cell r="E5593" t="e">
            <v>#VALUE!</v>
          </cell>
          <cell r="F5593">
            <v>0</v>
          </cell>
        </row>
        <row r="5594">
          <cell r="A5594" t="str">
            <v>RH2%HMXB</v>
          </cell>
          <cell r="B5594">
            <v>-4.0675363222723957E-4</v>
          </cell>
          <cell r="C5594">
            <v>0</v>
          </cell>
          <cell r="D5594" t="e">
            <v>#VALUE!</v>
          </cell>
          <cell r="E5594" t="e">
            <v>#VALUE!</v>
          </cell>
          <cell r="F5594">
            <v>0</v>
          </cell>
        </row>
        <row r="5595">
          <cell r="A5595" t="str">
            <v>R%H2HDSB</v>
          </cell>
          <cell r="B5595">
            <v>0</v>
          </cell>
          <cell r="C5595">
            <v>0</v>
          </cell>
          <cell r="D5595" t="e">
            <v>#VALUE!</v>
          </cell>
          <cell r="E5595" t="e">
            <v>#VALUE!</v>
          </cell>
          <cell r="F5595">
            <v>0</v>
          </cell>
        </row>
        <row r="5596">
          <cell r="A5596" t="str">
            <v>R%H2HMXB</v>
          </cell>
          <cell r="B5596">
            <v>-4.0675363222723957E-4</v>
          </cell>
          <cell r="C5596">
            <v>0</v>
          </cell>
          <cell r="D5596" t="e">
            <v>#VALUE!</v>
          </cell>
          <cell r="E5596" t="e">
            <v>#VALUE!</v>
          </cell>
          <cell r="F5596">
            <v>0</v>
          </cell>
        </row>
        <row r="5597">
          <cell r="A5597" t="str">
            <v>RNC3C3FB</v>
          </cell>
          <cell r="B5597">
            <v>3.7770822133122599E-5</v>
          </cell>
          <cell r="C5597">
            <v>0</v>
          </cell>
          <cell r="D5597" t="e">
            <v>#VALUE!</v>
          </cell>
          <cell r="E5597" t="e">
            <v>#VALUE!</v>
          </cell>
          <cell r="F5597">
            <v>0</v>
          </cell>
        </row>
        <row r="5598">
          <cell r="A5598" t="str">
            <v>RC3=C3FB</v>
          </cell>
          <cell r="B5598">
            <v>-3.7852259205689345E-5</v>
          </cell>
          <cell r="C5598">
            <v>0</v>
          </cell>
          <cell r="D5598" t="e">
            <v>#VALUE!</v>
          </cell>
          <cell r="E5598" t="e">
            <v>#VALUE!</v>
          </cell>
          <cell r="F5598">
            <v>0</v>
          </cell>
        </row>
        <row r="5599">
          <cell r="A5599" t="str">
            <v>RNC4C4FB</v>
          </cell>
          <cell r="B5599">
            <v>-6.3057658334313702E-5</v>
          </cell>
          <cell r="C5599">
            <v>0</v>
          </cell>
          <cell r="D5599" t="e">
            <v>#VALUE!</v>
          </cell>
          <cell r="E5599" t="e">
            <v>#VALUE!</v>
          </cell>
          <cell r="F5599">
            <v>0</v>
          </cell>
        </row>
        <row r="5600">
          <cell r="A5600" t="str">
            <v>RNC4C4MB</v>
          </cell>
          <cell r="B5600">
            <v>2.8286153236914375E-5</v>
          </cell>
          <cell r="C5600">
            <v>0</v>
          </cell>
          <cell r="D5600" t="e">
            <v>#VALUE!</v>
          </cell>
          <cell r="E5600" t="e">
            <v>#VALUE!</v>
          </cell>
          <cell r="F5600">
            <v>0</v>
          </cell>
        </row>
        <row r="5601">
          <cell r="A5601" t="str">
            <v>RNC4C4CB</v>
          </cell>
          <cell r="B5601">
            <v>-2.6377038260736845E-6</v>
          </cell>
          <cell r="C5601">
            <v>0</v>
          </cell>
          <cell r="D5601" t="e">
            <v>#VALUE!</v>
          </cell>
          <cell r="E5601" t="e">
            <v>#VALUE!</v>
          </cell>
          <cell r="F5601">
            <v>0</v>
          </cell>
        </row>
        <row r="5602">
          <cell r="A5602" t="str">
            <v>RNC4C4BB</v>
          </cell>
          <cell r="B5602">
            <v>1.4139845161355891E-5</v>
          </cell>
          <cell r="C5602">
            <v>0</v>
          </cell>
          <cell r="D5602" t="e">
            <v>#VALUE!</v>
          </cell>
          <cell r="E5602" t="e">
            <v>#VALUE!</v>
          </cell>
          <cell r="F5602">
            <v>0</v>
          </cell>
        </row>
        <row r="5603">
          <cell r="A5603" t="str">
            <v>RIC4C4FB</v>
          </cell>
          <cell r="B5603">
            <v>5.0975982783910858E-5</v>
          </cell>
          <cell r="C5603">
            <v>0</v>
          </cell>
          <cell r="D5603" t="e">
            <v>#VALUE!</v>
          </cell>
          <cell r="E5603" t="e">
            <v>#VALUE!</v>
          </cell>
          <cell r="F5603">
            <v>0</v>
          </cell>
        </row>
        <row r="5604">
          <cell r="A5604" t="str">
            <v>RIC4C4MB</v>
          </cell>
          <cell r="B5604">
            <v>1.584978168591066E-4</v>
          </cell>
          <cell r="C5604">
            <v>0</v>
          </cell>
          <cell r="D5604" t="e">
            <v>#VALUE!</v>
          </cell>
          <cell r="E5604" t="e">
            <v>#VALUE!</v>
          </cell>
          <cell r="F5604">
            <v>0</v>
          </cell>
        </row>
        <row r="5605">
          <cell r="A5605" t="str">
            <v>RIC4C4CB</v>
          </cell>
          <cell r="B5605">
            <v>3.6533164878675638E-5</v>
          </cell>
          <cell r="C5605">
            <v>0</v>
          </cell>
          <cell r="D5605" t="e">
            <v>#VALUE!</v>
          </cell>
          <cell r="E5605" t="e">
            <v>#VALUE!</v>
          </cell>
          <cell r="F5605">
            <v>0</v>
          </cell>
        </row>
        <row r="5606">
          <cell r="A5606" t="str">
            <v>RIC4C4BB</v>
          </cell>
          <cell r="B5606">
            <v>-1.8259310572580968E-5</v>
          </cell>
          <cell r="C5606">
            <v>0</v>
          </cell>
          <cell r="D5606" t="e">
            <v>#VALUE!</v>
          </cell>
          <cell r="E5606" t="e">
            <v>#VALUE!</v>
          </cell>
          <cell r="F5606">
            <v>0</v>
          </cell>
        </row>
        <row r="5607">
          <cell r="A5607" t="str">
            <v>RI4=C4FB</v>
          </cell>
          <cell r="B5607">
            <v>-1.3592570389410455E-5</v>
          </cell>
          <cell r="C5607">
            <v>0</v>
          </cell>
          <cell r="D5607" t="e">
            <v>#VALUE!</v>
          </cell>
          <cell r="E5607" t="e">
            <v>#VALUE!</v>
          </cell>
          <cell r="F5607">
            <v>0</v>
          </cell>
        </row>
        <row r="5608">
          <cell r="A5608" t="str">
            <v>RI4=C4MB</v>
          </cell>
          <cell r="B5608">
            <v>2.5754804143077601E-5</v>
          </cell>
          <cell r="C5608">
            <v>0</v>
          </cell>
          <cell r="D5608" t="e">
            <v>#VALUE!</v>
          </cell>
          <cell r="E5608" t="e">
            <v>#VALUE!</v>
          </cell>
          <cell r="F5608">
            <v>0</v>
          </cell>
        </row>
        <row r="5609">
          <cell r="A5609" t="str">
            <v>RI4=C4CB</v>
          </cell>
          <cell r="B5609">
            <v>-3.4519768146995761E-6</v>
          </cell>
          <cell r="C5609">
            <v>0</v>
          </cell>
          <cell r="D5609" t="e">
            <v>#VALUE!</v>
          </cell>
          <cell r="E5609" t="e">
            <v>#VALUE!</v>
          </cell>
          <cell r="F5609">
            <v>0</v>
          </cell>
        </row>
        <row r="5610">
          <cell r="A5610" t="str">
            <v>RI4=C4BB</v>
          </cell>
          <cell r="B5610">
            <v>2.1592442096976336E-5</v>
          </cell>
          <cell r="C5610">
            <v>0</v>
          </cell>
          <cell r="D5610" t="e">
            <v>#VALUE!</v>
          </cell>
          <cell r="E5610" t="e">
            <v>#VALUE!</v>
          </cell>
          <cell r="F5610">
            <v>0</v>
          </cell>
        </row>
        <row r="5611">
          <cell r="A5611" t="str">
            <v>R4=1C4FB</v>
          </cell>
          <cell r="B5611">
            <v>-1.641279843967561E-5</v>
          </cell>
          <cell r="C5611">
            <v>0</v>
          </cell>
          <cell r="D5611" t="e">
            <v>#VALUE!</v>
          </cell>
          <cell r="E5611" t="e">
            <v>#VALUE!</v>
          </cell>
          <cell r="F5611">
            <v>0</v>
          </cell>
        </row>
        <row r="5612">
          <cell r="A5612" t="str">
            <v>R4=1C4MB</v>
          </cell>
          <cell r="B5612">
            <v>8.3137000990674313E-5</v>
          </cell>
          <cell r="C5612">
            <v>0</v>
          </cell>
          <cell r="D5612" t="e">
            <v>#VALUE!</v>
          </cell>
          <cell r="E5612" t="e">
            <v>#VALUE!</v>
          </cell>
          <cell r="F5612">
            <v>0</v>
          </cell>
        </row>
        <row r="5613">
          <cell r="A5613" t="str">
            <v>R4=1C4CB</v>
          </cell>
          <cell r="B5613">
            <v>-6.1530910823247017E-6</v>
          </cell>
          <cell r="C5613">
            <v>0</v>
          </cell>
          <cell r="D5613" t="e">
            <v>#VALUE!</v>
          </cell>
          <cell r="E5613" t="e">
            <v>#VALUE!</v>
          </cell>
          <cell r="F5613">
            <v>0</v>
          </cell>
        </row>
        <row r="5614">
          <cell r="A5614" t="str">
            <v>R4=1C4BB</v>
          </cell>
          <cell r="B5614">
            <v>-3.9462777772002967E-5</v>
          </cell>
          <cell r="C5614">
            <v>0</v>
          </cell>
          <cell r="D5614" t="e">
            <v>#VALUE!</v>
          </cell>
          <cell r="E5614" t="e">
            <v>#VALUE!</v>
          </cell>
          <cell r="F5614">
            <v>0</v>
          </cell>
        </row>
        <row r="5615">
          <cell r="A5615" t="str">
            <v>R4=2C4FB</v>
          </cell>
          <cell r="B5615">
            <v>-5.366043068571431E-5</v>
          </cell>
          <cell r="C5615">
            <v>0</v>
          </cell>
          <cell r="D5615" t="e">
            <v>#VALUE!</v>
          </cell>
          <cell r="E5615" t="e">
            <v>#VALUE!</v>
          </cell>
          <cell r="F5615">
            <v>0</v>
          </cell>
        </row>
        <row r="5616">
          <cell r="A5616" t="str">
            <v>R4=2C4MB</v>
          </cell>
          <cell r="B5616">
            <v>-8.454856996812015E-5</v>
          </cell>
          <cell r="C5616">
            <v>0</v>
          </cell>
          <cell r="D5616" t="e">
            <v>#VALUE!</v>
          </cell>
          <cell r="E5616" t="e">
            <v>#VALUE!</v>
          </cell>
          <cell r="F5616">
            <v>0</v>
          </cell>
        </row>
        <row r="5617">
          <cell r="A5617" t="str">
            <v>R4=2C4CB</v>
          </cell>
          <cell r="B5617">
            <v>-1.0483488871090828E-4</v>
          </cell>
          <cell r="C5617">
            <v>0</v>
          </cell>
          <cell r="D5617" t="e">
            <v>#VALUE!</v>
          </cell>
          <cell r="E5617" t="e">
            <v>#VALUE!</v>
          </cell>
          <cell r="F5617">
            <v>0</v>
          </cell>
        </row>
        <row r="5618">
          <cell r="A5618" t="str">
            <v>R4=2C4BB</v>
          </cell>
          <cell r="B5618">
            <v>-1.0233038688741931E-4</v>
          </cell>
          <cell r="C5618">
            <v>0</v>
          </cell>
          <cell r="D5618" t="e">
            <v>#VALUE!</v>
          </cell>
          <cell r="E5618" t="e">
            <v>#VALUE!</v>
          </cell>
          <cell r="F5618">
            <v>0</v>
          </cell>
        </row>
        <row r="5619">
          <cell r="A5619" t="str">
            <v>RLGCLT2B</v>
          </cell>
          <cell r="B5619">
            <v>-4.8374373781533072E-4</v>
          </cell>
          <cell r="C5619">
            <v>0</v>
          </cell>
          <cell r="D5619" t="e">
            <v>#VALUE!</v>
          </cell>
          <cell r="E5619" t="e">
            <v>#VALUE!</v>
          </cell>
          <cell r="F5619">
            <v>0</v>
          </cell>
        </row>
        <row r="5620">
          <cell r="A5620" t="str">
            <v>RLGCNPRB</v>
          </cell>
          <cell r="B5620">
            <v>-6.0581754019351563E-5</v>
          </cell>
          <cell r="C5620">
            <v>0</v>
          </cell>
          <cell r="D5620" t="e">
            <v>#VALUE!</v>
          </cell>
          <cell r="E5620" t="e">
            <v>#VALUE!</v>
          </cell>
          <cell r="F5620">
            <v>0</v>
          </cell>
        </row>
        <row r="5621">
          <cell r="A5621" t="str">
            <v>RLGCNPZB</v>
          </cell>
          <cell r="B5621">
            <v>-1.0208182273856113E-4</v>
          </cell>
          <cell r="C5621">
            <v>0</v>
          </cell>
          <cell r="D5621" t="e">
            <v>#VALUE!</v>
          </cell>
          <cell r="E5621" t="e">
            <v>#VALUE!</v>
          </cell>
          <cell r="F5621">
            <v>0</v>
          </cell>
        </row>
        <row r="5622">
          <cell r="A5622" t="str">
            <v>RMGCLT2B</v>
          </cell>
          <cell r="B5622">
            <v>0</v>
          </cell>
          <cell r="C5622">
            <v>0</v>
          </cell>
          <cell r="D5622" t="e">
            <v>#VALUE!</v>
          </cell>
          <cell r="E5622" t="e">
            <v>#VALUE!</v>
          </cell>
          <cell r="F5622">
            <v>0</v>
          </cell>
        </row>
        <row r="5623">
          <cell r="A5623" t="str">
            <v>RMGCNPRB</v>
          </cell>
          <cell r="B5623">
            <v>6.0544198596003237E-5</v>
          </cell>
          <cell r="C5623">
            <v>0</v>
          </cell>
          <cell r="D5623" t="e">
            <v>#VALUE!</v>
          </cell>
          <cell r="E5623" t="e">
            <v>#VALUE!</v>
          </cell>
          <cell r="F5623">
            <v>0</v>
          </cell>
        </row>
        <row r="5624">
          <cell r="A5624" t="str">
            <v>RMGCNPZB</v>
          </cell>
          <cell r="B5624">
            <v>1.0218591981555781E-4</v>
          </cell>
          <cell r="C5624">
            <v>0</v>
          </cell>
          <cell r="D5624" t="e">
            <v>#VALUE!</v>
          </cell>
          <cell r="E5624" t="e">
            <v>#VALUE!</v>
          </cell>
          <cell r="F5624">
            <v>0</v>
          </cell>
        </row>
        <row r="5625">
          <cell r="A5625" t="str">
            <v>RmlgmCSB</v>
          </cell>
          <cell r="B5625">
            <v>-8.0694551424167992E-6</v>
          </cell>
          <cell r="C5625">
            <v>0</v>
          </cell>
          <cell r="D5625" t="e">
            <v>#VALUE!</v>
          </cell>
          <cell r="E5625" t="e">
            <v>#VALUE!</v>
          </cell>
          <cell r="F5625">
            <v>0</v>
          </cell>
        </row>
        <row r="5626">
          <cell r="A5626" t="str">
            <v>RdvdmCSB</v>
          </cell>
          <cell r="B5626">
            <v>5.2011062088900895E-5</v>
          </cell>
          <cell r="C5626">
            <v>0</v>
          </cell>
          <cell r="D5626" t="e">
            <v>#VALUE!</v>
          </cell>
          <cell r="E5626" t="e">
            <v>#VALUE!</v>
          </cell>
          <cell r="F5626">
            <v>0</v>
          </cell>
        </row>
        <row r="5627">
          <cell r="A5627" t="str">
            <v>RnqnmCSB</v>
          </cell>
          <cell r="B5627">
            <v>1.8612680038156574E-4</v>
          </cell>
          <cell r="C5627">
            <v>0</v>
          </cell>
          <cell r="D5627" t="e">
            <v>#VALUE!</v>
          </cell>
          <cell r="E5627" t="e">
            <v>#VALUE!</v>
          </cell>
          <cell r="F5627">
            <v>0</v>
          </cell>
        </row>
        <row r="5628">
          <cell r="A5628" t="str">
            <v>RNP%PGOB</v>
          </cell>
          <cell r="B5628">
            <v>-4.561885620753619E-4</v>
          </cell>
          <cell r="C5628">
            <v>0</v>
          </cell>
          <cell r="D5628" t="e">
            <v>#VALUE!</v>
          </cell>
          <cell r="E5628" t="e">
            <v>#VALUE!</v>
          </cell>
          <cell r="F5628">
            <v>0</v>
          </cell>
        </row>
        <row r="5629">
          <cell r="A5629" t="str">
            <v>RNC6NLCB</v>
          </cell>
          <cell r="B5629">
            <v>0</v>
          </cell>
          <cell r="C5629">
            <v>0</v>
          </cell>
          <cell r="D5629" t="e">
            <v>#VALUE!</v>
          </cell>
          <cell r="E5629" t="e">
            <v>#VALUE!</v>
          </cell>
          <cell r="F5629">
            <v>0</v>
          </cell>
        </row>
        <row r="5630">
          <cell r="A5630" t="str">
            <v>RNC7NLCB</v>
          </cell>
          <cell r="B5630">
            <v>0</v>
          </cell>
          <cell r="C5630">
            <v>0</v>
          </cell>
          <cell r="D5630" t="e">
            <v>#VALUE!</v>
          </cell>
          <cell r="E5630" t="e">
            <v>#VALUE!</v>
          </cell>
          <cell r="F5630">
            <v>0</v>
          </cell>
        </row>
        <row r="5631">
          <cell r="A5631" t="str">
            <v>RNC8NLCB</v>
          </cell>
          <cell r="B5631">
            <v>0</v>
          </cell>
          <cell r="C5631">
            <v>0</v>
          </cell>
          <cell r="D5631" t="e">
            <v>#VALUE!</v>
          </cell>
          <cell r="E5631" t="e">
            <v>#VALUE!</v>
          </cell>
          <cell r="F5631">
            <v>0</v>
          </cell>
        </row>
        <row r="5632">
          <cell r="A5632" t="str">
            <v>RAC6NLCB</v>
          </cell>
          <cell r="B5632">
            <v>0</v>
          </cell>
          <cell r="C5632">
            <v>0</v>
          </cell>
          <cell r="D5632" t="e">
            <v>#VALUE!</v>
          </cell>
          <cell r="E5632" t="e">
            <v>#VALUE!</v>
          </cell>
          <cell r="F5632">
            <v>0</v>
          </cell>
        </row>
        <row r="5633">
          <cell r="A5633" t="str">
            <v>RAC7NLCB</v>
          </cell>
          <cell r="B5633">
            <v>0</v>
          </cell>
          <cell r="C5633">
            <v>0</v>
          </cell>
          <cell r="D5633" t="e">
            <v>#VALUE!</v>
          </cell>
          <cell r="E5633" t="e">
            <v>#VALUE!</v>
          </cell>
          <cell r="F5633">
            <v>0</v>
          </cell>
        </row>
        <row r="5634">
          <cell r="A5634" t="str">
            <v>RAC8NLCB</v>
          </cell>
          <cell r="B5634">
            <v>0</v>
          </cell>
          <cell r="C5634">
            <v>0</v>
          </cell>
          <cell r="D5634" t="e">
            <v>#VALUE!</v>
          </cell>
          <cell r="E5634" t="e">
            <v>#VALUE!</v>
          </cell>
          <cell r="F5634">
            <v>0</v>
          </cell>
        </row>
        <row r="5635">
          <cell r="A5635" t="str">
            <v>RPC7NLCB</v>
          </cell>
          <cell r="B5635">
            <v>0</v>
          </cell>
          <cell r="C5635">
            <v>0</v>
          </cell>
          <cell r="D5635" t="e">
            <v>#VALUE!</v>
          </cell>
          <cell r="E5635" t="e">
            <v>#VALUE!</v>
          </cell>
          <cell r="F5635">
            <v>0</v>
          </cell>
        </row>
        <row r="5636">
          <cell r="A5636" t="str">
            <v>RPC8NLCB</v>
          </cell>
          <cell r="B5636">
            <v>0</v>
          </cell>
          <cell r="C5636">
            <v>0</v>
          </cell>
          <cell r="D5636" t="e">
            <v>#VALUE!</v>
          </cell>
          <cell r="E5636" t="e">
            <v>#VALUE!</v>
          </cell>
          <cell r="F5636">
            <v>0</v>
          </cell>
        </row>
        <row r="5637">
          <cell r="A5637" t="str">
            <v>RNP9NLCB</v>
          </cell>
          <cell r="B5637">
            <v>0</v>
          </cell>
          <cell r="C5637">
            <v>0</v>
          </cell>
          <cell r="D5637" t="e">
            <v>#VALUE!</v>
          </cell>
          <cell r="E5637" t="e">
            <v>#VALUE!</v>
          </cell>
          <cell r="F5637">
            <v>0</v>
          </cell>
        </row>
        <row r="5638">
          <cell r="A5638" t="str">
            <v>RNFRLN2B</v>
          </cell>
          <cell r="B5638">
            <v>1.3115009781745046E-5</v>
          </cell>
          <cell r="C5638">
            <v>0</v>
          </cell>
          <cell r="D5638" t="e">
            <v>#VALUE!</v>
          </cell>
          <cell r="E5638" t="e">
            <v>#VALUE!</v>
          </cell>
          <cell r="F5638">
            <v>0</v>
          </cell>
        </row>
        <row r="5639">
          <cell r="A5639" t="str">
            <v>RNFRMN2B</v>
          </cell>
          <cell r="B5639">
            <v>-1.5741536209937806E-7</v>
          </cell>
          <cell r="C5639">
            <v>0</v>
          </cell>
          <cell r="D5639" t="e">
            <v>#VALUE!</v>
          </cell>
          <cell r="E5639" t="e">
            <v>#VALUE!</v>
          </cell>
          <cell r="F5639">
            <v>0</v>
          </cell>
        </row>
        <row r="5640">
          <cell r="A5640" t="str">
            <v>RNFRPN2B</v>
          </cell>
          <cell r="B5640">
            <v>1.2387086395884668E-4</v>
          </cell>
          <cell r="C5640">
            <v>0</v>
          </cell>
          <cell r="D5640" t="e">
            <v>#VALUE!</v>
          </cell>
          <cell r="E5640" t="e">
            <v>#VALUE!</v>
          </cell>
          <cell r="F5640">
            <v>0</v>
          </cell>
        </row>
        <row r="5641">
          <cell r="A5641" t="str">
            <v>RNFRSK2B</v>
          </cell>
          <cell r="B5641">
            <v>5.1315663408044659E-10</v>
          </cell>
          <cell r="C5641">
            <v>0</v>
          </cell>
          <cell r="D5641" t="e">
            <v>#VALUE!</v>
          </cell>
          <cell r="E5641" t="e">
            <v>#VALUE!</v>
          </cell>
          <cell r="F5641">
            <v>0</v>
          </cell>
        </row>
        <row r="5642">
          <cell r="A5642" t="str">
            <v>RPESLN2B</v>
          </cell>
          <cell r="B5642">
            <v>-6.2521346402195062E-5</v>
          </cell>
          <cell r="C5642">
            <v>0</v>
          </cell>
          <cell r="D5642" t="e">
            <v>#VALUE!</v>
          </cell>
          <cell r="E5642" t="e">
            <v>#VALUE!</v>
          </cell>
          <cell r="F5642">
            <v>0</v>
          </cell>
        </row>
        <row r="5643">
          <cell r="A5643" t="str">
            <v>RPESMN2B</v>
          </cell>
          <cell r="B5643">
            <v>1.2115427301517365E-7</v>
          </cell>
          <cell r="C5643">
            <v>0</v>
          </cell>
          <cell r="D5643" t="e">
            <v>#VALUE!</v>
          </cell>
          <cell r="E5643" t="e">
            <v>#VALUE!</v>
          </cell>
          <cell r="F5643">
            <v>0</v>
          </cell>
        </row>
        <row r="5644">
          <cell r="A5644" t="str">
            <v>RPESPN2B</v>
          </cell>
          <cell r="B5644">
            <v>-1.2377010295295642E-4</v>
          </cell>
          <cell r="C5644">
            <v>0</v>
          </cell>
          <cell r="D5644" t="e">
            <v>#VALUE!</v>
          </cell>
          <cell r="E5644" t="e">
            <v>#VALUE!</v>
          </cell>
          <cell r="F5644">
            <v>0</v>
          </cell>
        </row>
        <row r="5645">
          <cell r="A5645" t="str">
            <v>RPESSK2B</v>
          </cell>
          <cell r="B5645">
            <v>2.5008774022266251E-7</v>
          </cell>
          <cell r="C5645">
            <v>0</v>
          </cell>
          <cell r="D5645" t="e">
            <v>#VALUE!</v>
          </cell>
          <cell r="E5645" t="e">
            <v>#VALUE!</v>
          </cell>
          <cell r="F5645">
            <v>0</v>
          </cell>
        </row>
        <row r="5646">
          <cell r="A5646" t="str">
            <v>RtupmCSB</v>
          </cell>
          <cell r="B5646">
            <v>3.3936013741903518E-5</v>
          </cell>
          <cell r="C5646">
            <v>0</v>
          </cell>
          <cell r="D5646" t="e">
            <v>#VALUE!</v>
          </cell>
          <cell r="E5646" t="e">
            <v>#VALUE!</v>
          </cell>
          <cell r="F5646">
            <v>0</v>
          </cell>
        </row>
        <row r="5647">
          <cell r="A5647" t="str">
            <v>RRVPMTVB</v>
          </cell>
          <cell r="B5647">
            <v>0</v>
          </cell>
          <cell r="C5647">
            <v>0</v>
          </cell>
          <cell r="D5647" t="e">
            <v>#VALUE!</v>
          </cell>
          <cell r="E5647" t="e">
            <v>#VALUE!</v>
          </cell>
          <cell r="F5647">
            <v>0</v>
          </cell>
        </row>
        <row r="5648">
          <cell r="A5648" t="str">
            <v>RRVPALHB</v>
          </cell>
          <cell r="B5648">
            <v>1.3392064870581481E-17</v>
          </cell>
          <cell r="C5648">
            <v>0</v>
          </cell>
          <cell r="D5648" t="e">
            <v>#VALUE!</v>
          </cell>
          <cell r="E5648" t="e">
            <v>#VALUE!</v>
          </cell>
          <cell r="F5648">
            <v>0</v>
          </cell>
        </row>
        <row r="5649">
          <cell r="A5649" t="str">
            <v>ROXYMTVB</v>
          </cell>
          <cell r="B5649">
            <v>0</v>
          </cell>
          <cell r="C5649">
            <v>0</v>
          </cell>
          <cell r="D5649" t="e">
            <v>#VALUE!</v>
          </cell>
          <cell r="E5649" t="e">
            <v>#VALUE!</v>
          </cell>
          <cell r="F5649">
            <v>0</v>
          </cell>
        </row>
        <row r="5650">
          <cell r="A5650" t="str">
            <v>RadcmCSB</v>
          </cell>
          <cell r="B5650">
            <v>-5.6706516336081932E-5</v>
          </cell>
          <cell r="C5650">
            <v>0</v>
          </cell>
          <cell r="D5650" t="e">
            <v>#VALUE!</v>
          </cell>
          <cell r="E5650" t="e">
            <v>#VALUE!</v>
          </cell>
          <cell r="F5650">
            <v>0</v>
          </cell>
        </row>
        <row r="5651">
          <cell r="A5651" t="str">
            <v>PURCTELC</v>
          </cell>
          <cell r="B5651">
            <v>0</v>
          </cell>
          <cell r="C5651">
            <v>-4.5</v>
          </cell>
          <cell r="D5651" t="e">
            <v>#VALUE!</v>
          </cell>
          <cell r="E5651" t="e">
            <v>#VALUE!</v>
          </cell>
          <cell r="F5651">
            <v>-4.5</v>
          </cell>
        </row>
        <row r="5652">
          <cell r="A5652" t="str">
            <v>PURCCCCC</v>
          </cell>
          <cell r="B5652">
            <v>8.4230727671760403E-2</v>
          </cell>
          <cell r="C5652">
            <v>-1</v>
          </cell>
          <cell r="D5652" t="e">
            <v>#VALUE!</v>
          </cell>
          <cell r="E5652" t="e">
            <v>#VALUE!</v>
          </cell>
          <cell r="F5652">
            <v>0</v>
          </cell>
        </row>
        <row r="5653">
          <cell r="A5653" t="str">
            <v>PURCPWRC</v>
          </cell>
          <cell r="B5653">
            <v>40.365668383036571</v>
          </cell>
          <cell r="C5653">
            <v>-7.6666697859764099E-3</v>
          </cell>
          <cell r="D5653" t="e">
            <v>#VALUE!</v>
          </cell>
          <cell r="E5653" t="e">
            <v>#VALUE!</v>
          </cell>
          <cell r="F5653">
            <v>0</v>
          </cell>
        </row>
        <row r="5654">
          <cell r="A5654" t="str">
            <v>PURCRIVC</v>
          </cell>
          <cell r="B5654">
            <v>0.39539580802394919</v>
          </cell>
          <cell r="C5654">
            <v>-0.10999999940395355</v>
          </cell>
          <cell r="D5654" t="e">
            <v>#VALUE!</v>
          </cell>
          <cell r="E5654" t="e">
            <v>#VALUE!</v>
          </cell>
          <cell r="F5654">
            <v>0</v>
          </cell>
        </row>
        <row r="5655">
          <cell r="A5655" t="str">
            <v>PURCKWHC</v>
          </cell>
          <cell r="B5655">
            <v>0</v>
          </cell>
          <cell r="C5655">
            <v>0</v>
          </cell>
          <cell r="D5655" t="e">
            <v>#VALUE!</v>
          </cell>
          <cell r="E5655" t="e">
            <v>#VALUE!</v>
          </cell>
          <cell r="F5655">
            <v>7.6666697859764099E-3</v>
          </cell>
        </row>
        <row r="5656">
          <cell r="A5656" t="str">
            <v>PURCSTMC</v>
          </cell>
          <cell r="B5656">
            <v>0</v>
          </cell>
          <cell r="C5656">
            <v>0</v>
          </cell>
          <cell r="D5656" t="e">
            <v>#VALUE!</v>
          </cell>
          <cell r="E5656" t="e">
            <v>#VALUE!</v>
          </cell>
          <cell r="F5656">
            <v>0.10131011158227921</v>
          </cell>
        </row>
        <row r="5657">
          <cell r="A5657" t="str">
            <v>PURCWATC</v>
          </cell>
          <cell r="B5657">
            <v>0</v>
          </cell>
          <cell r="C5657">
            <v>0</v>
          </cell>
          <cell r="D5657" t="e">
            <v>#VALUE!</v>
          </cell>
          <cell r="E5657" t="e">
            <v>#VALUE!</v>
          </cell>
          <cell r="F5657">
            <v>0.10999999940395355</v>
          </cell>
        </row>
        <row r="5658">
          <cell r="A5658" t="str">
            <v>PURCH2OC</v>
          </cell>
          <cell r="B5658">
            <v>0</v>
          </cell>
          <cell r="C5658">
            <v>0</v>
          </cell>
          <cell r="D5658" t="e">
            <v>#VALUE!</v>
          </cell>
          <cell r="E5658" t="e">
            <v>#VALUE!</v>
          </cell>
          <cell r="F5658">
            <v>0.56553435325622559</v>
          </cell>
        </row>
        <row r="5659">
          <cell r="A5659" t="str">
            <v>PURCFULC</v>
          </cell>
          <cell r="B5659">
            <v>0</v>
          </cell>
          <cell r="C5659">
            <v>0</v>
          </cell>
          <cell r="D5659" t="e">
            <v>#VALUE!</v>
          </cell>
          <cell r="E5659" t="e">
            <v>#VALUE!</v>
          </cell>
          <cell r="F5659">
            <v>9.1580121264200898E-10</v>
          </cell>
        </row>
        <row r="5660">
          <cell r="A5660" t="str">
            <v>FBLNMTTC</v>
          </cell>
          <cell r="B5660">
            <v>0</v>
          </cell>
          <cell r="C5660">
            <v>0</v>
          </cell>
          <cell r="D5660" t="e">
            <v>#VALUE!</v>
          </cell>
          <cell r="E5660" t="e">
            <v>#VALUE!</v>
          </cell>
          <cell r="F5660">
            <v>-499.91914564158816</v>
          </cell>
        </row>
        <row r="5661">
          <cell r="A5661" t="str">
            <v>BVBLNACC</v>
          </cell>
          <cell r="B5661">
            <v>3.7600434591917142E-2</v>
          </cell>
          <cell r="C5661">
            <v>0</v>
          </cell>
          <cell r="D5661" t="e">
            <v>#VALUE!</v>
          </cell>
          <cell r="E5661" t="e">
            <v>#VALUE!</v>
          </cell>
          <cell r="F5661">
            <v>0</v>
          </cell>
        </row>
        <row r="5662">
          <cell r="A5662" t="str">
            <v>BWBLNACC</v>
          </cell>
          <cell r="B5662">
            <v>2.7496136469792012E-2</v>
          </cell>
          <cell r="C5662">
            <v>0</v>
          </cell>
          <cell r="D5662" t="e">
            <v>#VALUE!</v>
          </cell>
          <cell r="E5662" t="e">
            <v>#VALUE!</v>
          </cell>
          <cell r="F5662">
            <v>0</v>
          </cell>
        </row>
        <row r="5663">
          <cell r="A5663" t="str">
            <v>BVBLNASC</v>
          </cell>
          <cell r="B5663">
            <v>0.23882411163147182</v>
          </cell>
          <cell r="C5663">
            <v>0</v>
          </cell>
          <cell r="D5663" t="e">
            <v>#VALUE!</v>
          </cell>
          <cell r="E5663" t="e">
            <v>#VALUE!</v>
          </cell>
          <cell r="F5663">
            <v>0</v>
          </cell>
        </row>
        <row r="5664">
          <cell r="A5664" t="str">
            <v>BWBLNASC</v>
          </cell>
          <cell r="B5664">
            <v>0.18049499935483279</v>
          </cell>
          <cell r="C5664">
            <v>0</v>
          </cell>
          <cell r="D5664" t="e">
            <v>#VALUE!</v>
          </cell>
          <cell r="E5664" t="e">
            <v>#VALUE!</v>
          </cell>
          <cell r="F5664">
            <v>0</v>
          </cell>
        </row>
        <row r="5665">
          <cell r="A5665" t="str">
            <v>BVBLNECC</v>
          </cell>
          <cell r="B5665">
            <v>0.12888575620847206</v>
          </cell>
          <cell r="C5665">
            <v>0</v>
          </cell>
          <cell r="D5665" t="e">
            <v>#VALUE!</v>
          </cell>
          <cell r="E5665" t="e">
            <v>#VALUE!</v>
          </cell>
          <cell r="F5665">
            <v>0</v>
          </cell>
        </row>
        <row r="5666">
          <cell r="A5666" t="str">
            <v>BWBLNECC</v>
          </cell>
          <cell r="B5666">
            <v>9.7582208314170582E-2</v>
          </cell>
          <cell r="C5666">
            <v>0</v>
          </cell>
          <cell r="D5666" t="e">
            <v>#VALUE!</v>
          </cell>
          <cell r="E5666" t="e">
            <v>#VALUE!</v>
          </cell>
          <cell r="F5666">
            <v>0</v>
          </cell>
        </row>
        <row r="5667">
          <cell r="A5667" t="str">
            <v>BVBLJETC</v>
          </cell>
          <cell r="B5667">
            <v>0.11273648736819829</v>
          </cell>
          <cell r="C5667">
            <v>0</v>
          </cell>
          <cell r="D5667" t="e">
            <v>#VALUE!</v>
          </cell>
          <cell r="E5667" t="e">
            <v>#VALUE!</v>
          </cell>
          <cell r="F5667">
            <v>0</v>
          </cell>
        </row>
        <row r="5668">
          <cell r="A5668" t="str">
            <v>BWBLJETC</v>
          </cell>
          <cell r="B5668">
            <v>8.9445983628704123E-2</v>
          </cell>
          <cell r="C5668">
            <v>0</v>
          </cell>
          <cell r="D5668" t="e">
            <v>#VALUE!</v>
          </cell>
          <cell r="E5668" t="e">
            <v>#VALUE!</v>
          </cell>
          <cell r="F5668">
            <v>0</v>
          </cell>
        </row>
        <row r="5669">
          <cell r="A5669" t="str">
            <v>BVBLKERC</v>
          </cell>
          <cell r="B5669">
            <v>0</v>
          </cell>
          <cell r="C5669">
            <v>0</v>
          </cell>
          <cell r="D5669" t="e">
            <v>#VALUE!</v>
          </cell>
          <cell r="E5669" t="e">
            <v>#VALUE!</v>
          </cell>
          <cell r="F5669">
            <v>0</v>
          </cell>
        </row>
        <row r="5670">
          <cell r="A5670" t="str">
            <v>BWBLKERC</v>
          </cell>
          <cell r="B5670">
            <v>0</v>
          </cell>
          <cell r="C5670">
            <v>0</v>
          </cell>
          <cell r="D5670" t="e">
            <v>#VALUE!</v>
          </cell>
          <cell r="E5670" t="e">
            <v>#VALUE!</v>
          </cell>
          <cell r="F5670">
            <v>-99.416645206817208</v>
          </cell>
        </row>
        <row r="5671">
          <cell r="A5671" t="str">
            <v>BVBLGONC</v>
          </cell>
          <cell r="B5671">
            <v>0.84644832627414024</v>
          </cell>
          <cell r="C5671">
            <v>0</v>
          </cell>
          <cell r="D5671" t="e">
            <v>#VALUE!</v>
          </cell>
          <cell r="E5671" t="e">
            <v>#VALUE!</v>
          </cell>
          <cell r="F5671">
            <v>0</v>
          </cell>
        </row>
        <row r="5672">
          <cell r="A5672" t="str">
            <v>BWBLGONC</v>
          </cell>
          <cell r="B5672">
            <v>0.68883256536640536</v>
          </cell>
          <cell r="C5672">
            <v>0</v>
          </cell>
          <cell r="D5672" t="e">
            <v>#VALUE!</v>
          </cell>
          <cell r="E5672" t="e">
            <v>#VALUE!</v>
          </cell>
          <cell r="F5672">
            <v>0</v>
          </cell>
        </row>
        <row r="5673">
          <cell r="A5673" t="str">
            <v>BVBLGOCC</v>
          </cell>
          <cell r="B5673">
            <v>0.4955599899161352</v>
          </cell>
          <cell r="C5673">
            <v>0</v>
          </cell>
          <cell r="D5673" t="e">
            <v>#VALUE!</v>
          </cell>
          <cell r="E5673" t="e">
            <v>#VALUE!</v>
          </cell>
          <cell r="F5673">
            <v>0</v>
          </cell>
        </row>
        <row r="5674">
          <cell r="A5674" t="str">
            <v>BWBLGOCC</v>
          </cell>
          <cell r="B5674">
            <v>0.40398341303002344</v>
          </cell>
          <cell r="C5674">
            <v>0</v>
          </cell>
          <cell r="D5674" t="e">
            <v>#VALUE!</v>
          </cell>
          <cell r="E5674" t="e">
            <v>#VALUE!</v>
          </cell>
          <cell r="F5674">
            <v>0</v>
          </cell>
        </row>
        <row r="5675">
          <cell r="A5675" t="str">
            <v>BVBLGOAC</v>
          </cell>
          <cell r="B5675">
            <v>0</v>
          </cell>
          <cell r="C5675">
            <v>0</v>
          </cell>
          <cell r="D5675">
            <v>0</v>
          </cell>
          <cell r="E5675" t="e">
            <v>#VALUE!</v>
          </cell>
          <cell r="F5675">
            <v>-164.22789306640624</v>
          </cell>
        </row>
        <row r="5676">
          <cell r="A5676" t="str">
            <v>BWBLGOAC</v>
          </cell>
          <cell r="B5676">
            <v>0</v>
          </cell>
          <cell r="C5676">
            <v>0</v>
          </cell>
          <cell r="D5676">
            <v>0</v>
          </cell>
          <cell r="E5676" t="e">
            <v>#VALUE!</v>
          </cell>
          <cell r="F5676">
            <v>0</v>
          </cell>
        </row>
        <row r="5677">
          <cell r="A5677" t="str">
            <v>BVBLGOEC</v>
          </cell>
          <cell r="B5677">
            <v>0</v>
          </cell>
          <cell r="C5677">
            <v>0</v>
          </cell>
          <cell r="D5677">
            <v>0</v>
          </cell>
          <cell r="E5677" t="e">
            <v>#VALUE!</v>
          </cell>
          <cell r="F5677">
            <v>-81.566691359428503</v>
          </cell>
        </row>
        <row r="5678">
          <cell r="A5678" t="str">
            <v>BWBLGOEC</v>
          </cell>
          <cell r="B5678">
            <v>0</v>
          </cell>
          <cell r="C5678">
            <v>0</v>
          </cell>
          <cell r="D5678">
            <v>0</v>
          </cell>
          <cell r="E5678" t="e">
            <v>#VALUE!</v>
          </cell>
          <cell r="F5678">
            <v>0</v>
          </cell>
        </row>
        <row r="5679">
          <cell r="A5679" t="str">
            <v>BVBLDSLC</v>
          </cell>
          <cell r="B5679">
            <v>0</v>
          </cell>
          <cell r="C5679">
            <v>0</v>
          </cell>
          <cell r="D5679">
            <v>0</v>
          </cell>
          <cell r="E5679" t="e">
            <v>#VALUE!</v>
          </cell>
          <cell r="F5679">
            <v>-86.223685319456337</v>
          </cell>
        </row>
        <row r="5680">
          <cell r="A5680" t="str">
            <v>BWBLDSLC</v>
          </cell>
          <cell r="B5680">
            <v>0</v>
          </cell>
          <cell r="C5680">
            <v>0</v>
          </cell>
          <cell r="D5680">
            <v>0</v>
          </cell>
          <cell r="E5680" t="e">
            <v>#VALUE!</v>
          </cell>
          <cell r="F5680">
            <v>0</v>
          </cell>
        </row>
        <row r="5681">
          <cell r="A5681" t="str">
            <v>BVBLFOCC</v>
          </cell>
          <cell r="B5681">
            <v>0</v>
          </cell>
          <cell r="C5681">
            <v>0</v>
          </cell>
          <cell r="D5681">
            <v>0</v>
          </cell>
          <cell r="E5681" t="e">
            <v>#VALUE!</v>
          </cell>
          <cell r="F5681">
            <v>0</v>
          </cell>
        </row>
        <row r="5682">
          <cell r="A5682" t="str">
            <v>BWBLFOCC</v>
          </cell>
          <cell r="B5682">
            <v>0</v>
          </cell>
          <cell r="C5682">
            <v>0</v>
          </cell>
          <cell r="D5682">
            <v>0</v>
          </cell>
          <cell r="E5682" t="e">
            <v>#VALUE!</v>
          </cell>
          <cell r="F5682">
            <v>0</v>
          </cell>
        </row>
        <row r="5683">
          <cell r="A5683" t="str">
            <v>BLN1NACC</v>
          </cell>
          <cell r="B5683">
            <v>7.9182906050796371E-3</v>
          </cell>
          <cell r="C5683">
            <v>0</v>
          </cell>
          <cell r="D5683">
            <v>0</v>
          </cell>
          <cell r="E5683" t="e">
            <v>#VALUE!</v>
          </cell>
          <cell r="F5683">
            <v>0</v>
          </cell>
        </row>
        <row r="5684">
          <cell r="A5684" t="str">
            <v>BGNTNACC</v>
          </cell>
          <cell r="B5684">
            <v>8.2191801629960537E-4</v>
          </cell>
          <cell r="C5684">
            <v>0</v>
          </cell>
          <cell r="D5684">
            <v>0</v>
          </cell>
          <cell r="E5684" t="e">
            <v>#VALUE!</v>
          </cell>
          <cell r="F5684">
            <v>0</v>
          </cell>
        </row>
        <row r="5685">
          <cell r="A5685" t="str">
            <v>BRFTNACC</v>
          </cell>
          <cell r="B5685">
            <v>2.1144810084202516E-2</v>
          </cell>
          <cell r="C5685">
            <v>0</v>
          </cell>
          <cell r="D5685">
            <v>0</v>
          </cell>
          <cell r="E5685" t="e">
            <v>#VALUE!</v>
          </cell>
          <cell r="F5685">
            <v>0</v>
          </cell>
        </row>
        <row r="5686">
          <cell r="A5686" t="str">
            <v>BMTBNACC</v>
          </cell>
          <cell r="B5686">
            <v>0</v>
          </cell>
          <cell r="C5686">
            <v>0</v>
          </cell>
          <cell r="D5686">
            <v>0</v>
          </cell>
          <cell r="E5686" t="e">
            <v>#VALUE!</v>
          </cell>
          <cell r="F5686">
            <v>-134.05529477890224</v>
          </cell>
        </row>
        <row r="5687">
          <cell r="A5687" t="str">
            <v>BMTCNACC</v>
          </cell>
          <cell r="B5687">
            <v>0</v>
          </cell>
          <cell r="C5687">
            <v>0</v>
          </cell>
          <cell r="D5687">
            <v>0</v>
          </cell>
          <cell r="E5687" t="e">
            <v>#VALUE!</v>
          </cell>
          <cell r="F5687">
            <v>-152.28663162858518</v>
          </cell>
        </row>
        <row r="5688">
          <cell r="A5688" t="str">
            <v>BMTVNACC</v>
          </cell>
          <cell r="B5688">
            <v>0</v>
          </cell>
          <cell r="C5688">
            <v>0</v>
          </cell>
          <cell r="D5688">
            <v>0</v>
          </cell>
          <cell r="E5688" t="e">
            <v>#VALUE!</v>
          </cell>
          <cell r="F5688">
            <v>-126.8921345958971</v>
          </cell>
        </row>
        <row r="5689">
          <cell r="A5689" t="str">
            <v>BISONACC</v>
          </cell>
          <cell r="B5689">
            <v>7.715416579724175E-3</v>
          </cell>
          <cell r="C5689">
            <v>0</v>
          </cell>
          <cell r="D5689">
            <v>0</v>
          </cell>
          <cell r="E5689" t="e">
            <v>#VALUE!</v>
          </cell>
          <cell r="F5689">
            <v>0</v>
          </cell>
        </row>
        <row r="5690">
          <cell r="A5690" t="str">
            <v>BLCTNACC</v>
          </cell>
          <cell r="B5690">
            <v>0</v>
          </cell>
          <cell r="C5690">
            <v>0</v>
          </cell>
          <cell r="D5690">
            <v>0</v>
          </cell>
          <cell r="E5690" t="e">
            <v>#VALUE!</v>
          </cell>
          <cell r="F5690">
            <v>-49.261315614883216</v>
          </cell>
        </row>
        <row r="5691">
          <cell r="A5691" t="str">
            <v>BLN1NASC</v>
          </cell>
          <cell r="B5691">
            <v>4.1942116679394084E-2</v>
          </cell>
          <cell r="C5691">
            <v>0</v>
          </cell>
          <cell r="D5691">
            <v>0</v>
          </cell>
          <cell r="E5691" t="e">
            <v>#VALUE!</v>
          </cell>
          <cell r="F5691">
            <v>0</v>
          </cell>
        </row>
        <row r="5692">
          <cell r="A5692" t="str">
            <v>BGNTNASC</v>
          </cell>
          <cell r="B5692">
            <v>0</v>
          </cell>
          <cell r="C5692">
            <v>0</v>
          </cell>
          <cell r="D5692">
            <v>0</v>
          </cell>
          <cell r="E5692" t="e">
            <v>#VALUE!</v>
          </cell>
          <cell r="F5692">
            <v>-115.5340834735191</v>
          </cell>
        </row>
        <row r="5693">
          <cell r="A5693" t="str">
            <v>BRFTNASC</v>
          </cell>
          <cell r="B5693">
            <v>0.15572089924387736</v>
          </cell>
          <cell r="C5693">
            <v>0</v>
          </cell>
          <cell r="D5693">
            <v>0</v>
          </cell>
          <cell r="E5693" t="e">
            <v>#VALUE!</v>
          </cell>
          <cell r="F5693">
            <v>0</v>
          </cell>
        </row>
        <row r="5694">
          <cell r="A5694" t="str">
            <v>BMTBNASC</v>
          </cell>
          <cell r="B5694">
            <v>0</v>
          </cell>
          <cell r="C5694">
            <v>0</v>
          </cell>
          <cell r="D5694">
            <v>0</v>
          </cell>
          <cell r="E5694" t="e">
            <v>#VALUE!</v>
          </cell>
          <cell r="F5694">
            <v>-29.322774860956976</v>
          </cell>
        </row>
        <row r="5695">
          <cell r="A5695" t="str">
            <v>BMTCNASC</v>
          </cell>
          <cell r="B5695">
            <v>0</v>
          </cell>
          <cell r="C5695">
            <v>0</v>
          </cell>
          <cell r="D5695">
            <v>0</v>
          </cell>
          <cell r="E5695" t="e">
            <v>#VALUE!</v>
          </cell>
          <cell r="F5695">
            <v>-47.554112222749893</v>
          </cell>
        </row>
        <row r="5696">
          <cell r="A5696" t="str">
            <v>BMTVNASC</v>
          </cell>
          <cell r="B5696">
            <v>3.5823743831213208E-2</v>
          </cell>
          <cell r="C5696">
            <v>0</v>
          </cell>
          <cell r="D5696">
            <v>0</v>
          </cell>
          <cell r="E5696" t="e">
            <v>#VALUE!</v>
          </cell>
          <cell r="F5696">
            <v>0</v>
          </cell>
        </row>
        <row r="5697">
          <cell r="A5697" t="str">
            <v>BALHNASC</v>
          </cell>
          <cell r="B5697">
            <v>5.3373533441391707E-3</v>
          </cell>
          <cell r="C5697">
            <v>0</v>
          </cell>
          <cell r="D5697">
            <v>0</v>
          </cell>
          <cell r="E5697" t="e">
            <v>#VALUE!</v>
          </cell>
          <cell r="F5697">
            <v>0</v>
          </cell>
        </row>
        <row r="5698">
          <cell r="A5698" t="str">
            <v>BISONASC</v>
          </cell>
          <cell r="B5698">
            <v>0</v>
          </cell>
          <cell r="C5698">
            <v>0</v>
          </cell>
          <cell r="D5698">
            <v>0</v>
          </cell>
          <cell r="E5698" t="e">
            <v>#VALUE!</v>
          </cell>
          <cell r="F5698">
            <v>-33.911624176861487</v>
          </cell>
        </row>
        <row r="5699">
          <cell r="A5699" t="str">
            <v>BLCTNASC</v>
          </cell>
          <cell r="B5699">
            <v>0</v>
          </cell>
          <cell r="C5699">
            <v>0</v>
          </cell>
          <cell r="D5699">
            <v>0</v>
          </cell>
          <cell r="E5699" t="e">
            <v>#VALUE!</v>
          </cell>
          <cell r="F5699">
            <v>-14.760218463531912</v>
          </cell>
        </row>
        <row r="5700">
          <cell r="A5700" t="str">
            <v>BLN1NECC</v>
          </cell>
          <cell r="B5700">
            <v>1.1691060521933314E-2</v>
          </cell>
          <cell r="C5700">
            <v>0</v>
          </cell>
          <cell r="D5700">
            <v>0</v>
          </cell>
          <cell r="E5700" t="e">
            <v>#VALUE!</v>
          </cell>
          <cell r="F5700">
            <v>0</v>
          </cell>
        </row>
        <row r="5701">
          <cell r="A5701" t="str">
            <v>BGNTNECC</v>
          </cell>
          <cell r="B5701">
            <v>0</v>
          </cell>
          <cell r="C5701">
            <v>0</v>
          </cell>
          <cell r="D5701">
            <v>0</v>
          </cell>
          <cell r="E5701" t="e">
            <v>#VALUE!</v>
          </cell>
          <cell r="F5701">
            <v>-118.37150431593804</v>
          </cell>
        </row>
        <row r="5702">
          <cell r="A5702" t="str">
            <v>BRFTNECC</v>
          </cell>
          <cell r="B5702">
            <v>8.4949580916803172E-2</v>
          </cell>
          <cell r="C5702">
            <v>0</v>
          </cell>
          <cell r="D5702">
            <v>0</v>
          </cell>
          <cell r="E5702" t="e">
            <v>#VALUE!</v>
          </cell>
          <cell r="F5702">
            <v>0</v>
          </cell>
        </row>
        <row r="5703">
          <cell r="A5703" t="str">
            <v>BMTBNECC</v>
          </cell>
          <cell r="B5703">
            <v>0</v>
          </cell>
          <cell r="C5703">
            <v>0</v>
          </cell>
          <cell r="D5703">
            <v>0</v>
          </cell>
          <cell r="E5703" t="e">
            <v>#VALUE!</v>
          </cell>
          <cell r="F5703">
            <v>0</v>
          </cell>
        </row>
        <row r="5704">
          <cell r="A5704" t="str">
            <v>BMTCNECC</v>
          </cell>
          <cell r="B5704">
            <v>2.7472059714467559E-3</v>
          </cell>
          <cell r="C5704">
            <v>0</v>
          </cell>
          <cell r="D5704">
            <v>0</v>
          </cell>
          <cell r="E5704" t="e">
            <v>#VALUE!</v>
          </cell>
          <cell r="F5704">
            <v>-18.231337367018607</v>
          </cell>
        </row>
        <row r="5705">
          <cell r="A5705" t="str">
            <v>BMTVNECC</v>
          </cell>
          <cell r="B5705">
            <v>1.6540684489762945E-2</v>
          </cell>
          <cell r="C5705">
            <v>0</v>
          </cell>
          <cell r="D5705">
            <v>0</v>
          </cell>
          <cell r="E5705" t="e">
            <v>#VALUE!</v>
          </cell>
          <cell r="F5705">
            <v>0</v>
          </cell>
        </row>
        <row r="5706">
          <cell r="A5706" t="str">
            <v>BALHNECC</v>
          </cell>
          <cell r="B5706">
            <v>1.2957221774818147E-2</v>
          </cell>
          <cell r="C5706">
            <v>0</v>
          </cell>
          <cell r="D5706">
            <v>0</v>
          </cell>
          <cell r="E5706" t="e">
            <v>#VALUE!</v>
          </cell>
          <cell r="F5706">
            <v>0</v>
          </cell>
        </row>
        <row r="5707">
          <cell r="A5707" t="str">
            <v>BISONECC</v>
          </cell>
          <cell r="B5707">
            <v>0</v>
          </cell>
          <cell r="C5707">
            <v>0</v>
          </cell>
          <cell r="D5707">
            <v>0</v>
          </cell>
          <cell r="E5707" t="e">
            <v>#VALUE!</v>
          </cell>
          <cell r="F5707">
            <v>-27.592733848258241</v>
          </cell>
        </row>
        <row r="5708">
          <cell r="A5708" t="str">
            <v>BLCTNECC</v>
          </cell>
          <cell r="B5708">
            <v>0</v>
          </cell>
          <cell r="C5708">
            <v>0</v>
          </cell>
          <cell r="D5708">
            <v>0</v>
          </cell>
          <cell r="E5708" t="e">
            <v>#VALUE!</v>
          </cell>
          <cell r="F5708">
            <v>-45.008139435232501</v>
          </cell>
        </row>
        <row r="5709">
          <cell r="A5709" t="str">
            <v>BLK2JETC</v>
          </cell>
          <cell r="B5709">
            <v>0.11273648736819829</v>
          </cell>
          <cell r="C5709">
            <v>0</v>
          </cell>
          <cell r="D5709">
            <v>0</v>
          </cell>
          <cell r="E5709" t="e">
            <v>#VALUE!</v>
          </cell>
          <cell r="F5709">
            <v>0</v>
          </cell>
        </row>
        <row r="5710">
          <cell r="A5710" t="str">
            <v>BLK2KERC</v>
          </cell>
          <cell r="B5710">
            <v>0</v>
          </cell>
          <cell r="C5710">
            <v>0</v>
          </cell>
          <cell r="D5710">
            <v>0</v>
          </cell>
          <cell r="E5710" t="e">
            <v>#VALUE!</v>
          </cell>
          <cell r="F5710">
            <v>-278.83162176053816</v>
          </cell>
        </row>
        <row r="5711">
          <cell r="A5711" t="str">
            <v>BFO3KERC</v>
          </cell>
          <cell r="B5711">
            <v>0</v>
          </cell>
          <cell r="C5711">
            <v>0</v>
          </cell>
          <cell r="D5711">
            <v>0</v>
          </cell>
          <cell r="E5711" t="e">
            <v>#VALUE!</v>
          </cell>
          <cell r="F5711">
            <v>-305.02660890344072</v>
          </cell>
        </row>
        <row r="5712">
          <cell r="A5712" t="str">
            <v>BFO4KERC</v>
          </cell>
          <cell r="B5712">
            <v>0</v>
          </cell>
          <cell r="C5712">
            <v>0</v>
          </cell>
          <cell r="D5712">
            <v>0</v>
          </cell>
          <cell r="E5712" t="e">
            <v>#VALUE!</v>
          </cell>
          <cell r="F5712">
            <v>-146.14658169681078</v>
          </cell>
        </row>
        <row r="5713">
          <cell r="A5713" t="str">
            <v>BLK1GONC</v>
          </cell>
          <cell r="B5713">
            <v>0.36030896167232568</v>
          </cell>
          <cell r="C5713">
            <v>0</v>
          </cell>
          <cell r="D5713">
            <v>0</v>
          </cell>
          <cell r="E5713" t="e">
            <v>#VALUE!</v>
          </cell>
          <cell r="F5713">
            <v>0</v>
          </cell>
        </row>
        <row r="5714">
          <cell r="A5714" t="str">
            <v>BLK2GONC</v>
          </cell>
          <cell r="B5714">
            <v>9.7984884046528442E-2</v>
          </cell>
          <cell r="C5714">
            <v>0</v>
          </cell>
          <cell r="D5714">
            <v>0</v>
          </cell>
          <cell r="E5714" t="e">
            <v>#VALUE!</v>
          </cell>
          <cell r="F5714">
            <v>-4.2918329003739029</v>
          </cell>
        </row>
        <row r="5715">
          <cell r="A5715" t="str">
            <v>BLG1GONC</v>
          </cell>
          <cell r="B5715">
            <v>0.29488502234628755</v>
          </cell>
          <cell r="C5715">
            <v>0</v>
          </cell>
          <cell r="D5715">
            <v>0</v>
          </cell>
          <cell r="E5715" t="e">
            <v>#VALUE!</v>
          </cell>
          <cell r="F5715">
            <v>0</v>
          </cell>
        </row>
        <row r="5716">
          <cell r="A5716" t="str">
            <v>BLG2GONC</v>
          </cell>
          <cell r="B5716">
            <v>5.5255281231174729E-2</v>
          </cell>
          <cell r="C5716">
            <v>0</v>
          </cell>
          <cell r="D5716">
            <v>0</v>
          </cell>
          <cell r="E5716" t="e">
            <v>#VALUE!</v>
          </cell>
          <cell r="F5716">
            <v>-4.0384134392721308E-14</v>
          </cell>
        </row>
        <row r="5717">
          <cell r="A5717" t="str">
            <v>BFO3GONC</v>
          </cell>
          <cell r="B5717">
            <v>3.8000650703907013E-2</v>
          </cell>
          <cell r="C5717">
            <v>0</v>
          </cell>
          <cell r="D5717">
            <v>0</v>
          </cell>
          <cell r="E5717" t="e">
            <v>#VALUE!</v>
          </cell>
          <cell r="F5717">
            <v>0</v>
          </cell>
        </row>
        <row r="5718">
          <cell r="A5718" t="str">
            <v>BAD1GONC</v>
          </cell>
          <cell r="B5718">
            <v>1.3534800551771122E-5</v>
          </cell>
          <cell r="C5718">
            <v>0</v>
          </cell>
          <cell r="D5718">
            <v>0</v>
          </cell>
          <cell r="E5718" t="e">
            <v>#VALUE!</v>
          </cell>
          <cell r="F5718">
            <v>4.4773925815020015E-16</v>
          </cell>
        </row>
        <row r="5719">
          <cell r="A5719" t="str">
            <v>BAD2GONC</v>
          </cell>
          <cell r="B5719">
            <v>0</v>
          </cell>
          <cell r="C5719">
            <v>0</v>
          </cell>
          <cell r="D5719">
            <v>0</v>
          </cell>
          <cell r="E5719" t="e">
            <v>#VALUE!</v>
          </cell>
          <cell r="F5719">
            <v>-3.2373495056686207E-14</v>
          </cell>
        </row>
        <row r="5720">
          <cell r="A5720" t="str">
            <v>BAD3GONC</v>
          </cell>
          <cell r="B5720">
            <v>0</v>
          </cell>
          <cell r="C5720">
            <v>0</v>
          </cell>
          <cell r="D5720">
            <v>0</v>
          </cell>
          <cell r="E5720" t="e">
            <v>#VALUE!</v>
          </cell>
          <cell r="F5720">
            <v>-6.9341184240478819E-14</v>
          </cell>
        </row>
        <row r="5721">
          <cell r="A5721" t="str">
            <v>BLK1GOCC</v>
          </cell>
          <cell r="B5721">
            <v>0.25981716946379779</v>
          </cell>
          <cell r="C5721">
            <v>0</v>
          </cell>
          <cell r="D5721">
            <v>0</v>
          </cell>
          <cell r="E5721" t="e">
            <v>#VALUE!</v>
          </cell>
          <cell r="F5721">
            <v>0</v>
          </cell>
        </row>
        <row r="5722">
          <cell r="A5722" t="str">
            <v>BLG1GOCC</v>
          </cell>
          <cell r="B5722">
            <v>7.7764945742610378E-2</v>
          </cell>
          <cell r="C5722">
            <v>0</v>
          </cell>
          <cell r="D5722">
            <v>0</v>
          </cell>
          <cell r="E5722" t="e">
            <v>#VALUE!</v>
          </cell>
          <cell r="F5722">
            <v>0</v>
          </cell>
        </row>
        <row r="5723">
          <cell r="A5723" t="str">
            <v>BLG2GOCC</v>
          </cell>
          <cell r="B5723">
            <v>0.15795865099724024</v>
          </cell>
          <cell r="C5723">
            <v>0</v>
          </cell>
          <cell r="D5723">
            <v>0</v>
          </cell>
          <cell r="E5723" t="e">
            <v>#VALUE!</v>
          </cell>
          <cell r="F5723">
            <v>0</v>
          </cell>
        </row>
        <row r="5724">
          <cell r="A5724" t="str">
            <v>BFO3GOCC</v>
          </cell>
          <cell r="B5724">
            <v>0</v>
          </cell>
          <cell r="C5724">
            <v>0</v>
          </cell>
          <cell r="D5724">
            <v>0</v>
          </cell>
          <cell r="E5724" t="e">
            <v>#VALUE!</v>
          </cell>
          <cell r="F5724">
            <v>-9.0053991660992421E-14</v>
          </cell>
        </row>
        <row r="5725">
          <cell r="A5725" t="str">
            <v>BAD1GOCC</v>
          </cell>
          <cell r="B5725">
            <v>1.9212613157945531E-5</v>
          </cell>
          <cell r="C5725">
            <v>0</v>
          </cell>
          <cell r="D5725">
            <v>0</v>
          </cell>
          <cell r="E5725" t="e">
            <v>#VALUE!</v>
          </cell>
          <cell r="F5725">
            <v>0</v>
          </cell>
        </row>
        <row r="5726">
          <cell r="A5726" t="str">
            <v>BAD2GOCC</v>
          </cell>
          <cell r="B5726">
            <v>0</v>
          </cell>
          <cell r="C5726">
            <v>0</v>
          </cell>
          <cell r="D5726">
            <v>0</v>
          </cell>
          <cell r="E5726" t="e">
            <v>#VALUE!</v>
          </cell>
          <cell r="F5726">
            <v>0</v>
          </cell>
        </row>
        <row r="5727">
          <cell r="A5727" t="str">
            <v>BAD3GOCC</v>
          </cell>
          <cell r="B5727">
            <v>0</v>
          </cell>
          <cell r="C5727">
            <v>0</v>
          </cell>
          <cell r="D5727">
            <v>0</v>
          </cell>
          <cell r="E5727" t="e">
            <v>#VALUE!</v>
          </cell>
          <cell r="F5727">
            <v>8.5031525200003226E-14</v>
          </cell>
        </row>
        <row r="5728">
          <cell r="A5728" t="str">
            <v>BLK1GOAC</v>
          </cell>
          <cell r="B5728">
            <v>0</v>
          </cell>
          <cell r="C5728">
            <v>0</v>
          </cell>
          <cell r="D5728">
            <v>0</v>
          </cell>
          <cell r="E5728" t="e">
            <v>#VALUE!</v>
          </cell>
          <cell r="F5728">
            <v>-267.08870595905881</v>
          </cell>
        </row>
        <row r="5729">
          <cell r="A5729" t="str">
            <v>BLG1GOAC</v>
          </cell>
          <cell r="B5729">
            <v>0</v>
          </cell>
          <cell r="C5729">
            <v>0</v>
          </cell>
          <cell r="D5729">
            <v>0</v>
          </cell>
          <cell r="E5729" t="e">
            <v>#VALUE!</v>
          </cell>
          <cell r="F5729">
            <v>-107.87119661096024</v>
          </cell>
        </row>
        <row r="5730">
          <cell r="A5730" t="str">
            <v>BLG2GOAC</v>
          </cell>
          <cell r="B5730">
            <v>0</v>
          </cell>
          <cell r="C5730">
            <v>0</v>
          </cell>
          <cell r="D5730">
            <v>0</v>
          </cell>
          <cell r="E5730" t="e">
            <v>#VALUE!</v>
          </cell>
          <cell r="F5730">
            <v>-130.11588338564519</v>
          </cell>
        </row>
        <row r="5731">
          <cell r="A5731" t="str">
            <v>BFO3GOAC</v>
          </cell>
          <cell r="B5731">
            <v>0</v>
          </cell>
          <cell r="C5731">
            <v>0</v>
          </cell>
          <cell r="D5731">
            <v>0</v>
          </cell>
          <cell r="E5731" t="e">
            <v>#VALUE!</v>
          </cell>
          <cell r="F5731">
            <v>-270.04811359562285</v>
          </cell>
        </row>
        <row r="5732">
          <cell r="A5732" t="str">
            <v>BAD1GOAC</v>
          </cell>
          <cell r="B5732">
            <v>0</v>
          </cell>
          <cell r="C5732">
            <v>0</v>
          </cell>
          <cell r="D5732">
            <v>0</v>
          </cell>
          <cell r="E5732" t="e">
            <v>#VALUE!</v>
          </cell>
          <cell r="F5732">
            <v>0</v>
          </cell>
        </row>
        <row r="5733">
          <cell r="A5733" t="str">
            <v>BAD2GOAC</v>
          </cell>
          <cell r="B5733">
            <v>0</v>
          </cell>
          <cell r="C5733">
            <v>0</v>
          </cell>
          <cell r="D5733">
            <v>0</v>
          </cell>
          <cell r="E5733" t="e">
            <v>#VALUE!</v>
          </cell>
          <cell r="F5733">
            <v>-65.924448666507246</v>
          </cell>
        </row>
        <row r="5734">
          <cell r="A5734" t="str">
            <v>BAD3GOAC</v>
          </cell>
          <cell r="B5734">
            <v>0</v>
          </cell>
          <cell r="C5734">
            <v>0</v>
          </cell>
          <cell r="D5734">
            <v>0</v>
          </cell>
          <cell r="E5734" t="e">
            <v>#VALUE!</v>
          </cell>
          <cell r="F5734">
            <v>-129.38113486930115</v>
          </cell>
        </row>
        <row r="5735">
          <cell r="A5735" t="str">
            <v>BLK2GOEC</v>
          </cell>
          <cell r="B5735">
            <v>0</v>
          </cell>
          <cell r="C5735">
            <v>0</v>
          </cell>
          <cell r="D5735">
            <v>0</v>
          </cell>
          <cell r="E5735" t="e">
            <v>#VALUE!</v>
          </cell>
          <cell r="F5735">
            <v>-180.37725376233664</v>
          </cell>
        </row>
        <row r="5736">
          <cell r="A5736" t="str">
            <v>BLG2GOEC</v>
          </cell>
          <cell r="B5736">
            <v>0</v>
          </cell>
          <cell r="C5736">
            <v>0</v>
          </cell>
          <cell r="D5736">
            <v>0</v>
          </cell>
          <cell r="E5736" t="e">
            <v>#VALUE!</v>
          </cell>
          <cell r="F5736">
            <v>-131.62196234089055</v>
          </cell>
        </row>
        <row r="5737">
          <cell r="A5737" t="str">
            <v>BFO4GOEC</v>
          </cell>
          <cell r="B5737">
            <v>0</v>
          </cell>
          <cell r="C5737">
            <v>0</v>
          </cell>
          <cell r="D5737">
            <v>0</v>
          </cell>
          <cell r="E5737" t="e">
            <v>#VALUE!</v>
          </cell>
          <cell r="F5737">
            <v>-179.73571523378973</v>
          </cell>
        </row>
        <row r="5738">
          <cell r="A5738" t="str">
            <v>BAD1GOEC</v>
          </cell>
          <cell r="B5738">
            <v>0</v>
          </cell>
          <cell r="C5738">
            <v>0</v>
          </cell>
          <cell r="D5738">
            <v>0</v>
          </cell>
          <cell r="E5738" t="e">
            <v>#VALUE!</v>
          </cell>
          <cell r="F5738">
            <v>-341.95962883936215</v>
          </cell>
        </row>
        <row r="5739">
          <cell r="A5739" t="str">
            <v>BAD2GOEC</v>
          </cell>
          <cell r="B5739">
            <v>0</v>
          </cell>
          <cell r="C5739">
            <v>0</v>
          </cell>
          <cell r="D5739">
            <v>0</v>
          </cell>
          <cell r="E5739" t="e">
            <v>#VALUE!</v>
          </cell>
          <cell r="F5739">
            <v>-259.74327678680419</v>
          </cell>
        </row>
        <row r="5740">
          <cell r="A5740" t="str">
            <v>BAD3GOEC</v>
          </cell>
          <cell r="B5740">
            <v>0</v>
          </cell>
          <cell r="C5740">
            <v>0</v>
          </cell>
          <cell r="D5740">
            <v>0</v>
          </cell>
          <cell r="E5740" t="e">
            <v>#VALUE!</v>
          </cell>
          <cell r="F5740">
            <v>-180.60454232202818</v>
          </cell>
        </row>
        <row r="5741">
          <cell r="A5741" t="str">
            <v>BLK1DSLC</v>
          </cell>
          <cell r="B5741">
            <v>0</v>
          </cell>
          <cell r="C5741">
            <v>0</v>
          </cell>
          <cell r="D5741">
            <v>0</v>
          </cell>
          <cell r="E5741" t="e">
            <v>#VALUE!</v>
          </cell>
          <cell r="F5741">
            <v>-520.05361825080763</v>
          </cell>
        </row>
        <row r="5742">
          <cell r="A5742" t="str">
            <v>BLG1DSLC</v>
          </cell>
          <cell r="B5742">
            <v>0</v>
          </cell>
          <cell r="C5742">
            <v>0</v>
          </cell>
          <cell r="D5742">
            <v>0</v>
          </cell>
          <cell r="E5742" t="e">
            <v>#VALUE!</v>
          </cell>
          <cell r="F5742">
            <v>-94.954890420992086</v>
          </cell>
        </row>
        <row r="5743">
          <cell r="A5743" t="str">
            <v>BFO3DSLC</v>
          </cell>
          <cell r="B5743">
            <v>0</v>
          </cell>
          <cell r="C5743">
            <v>0</v>
          </cell>
          <cell r="D5743">
            <v>0</v>
          </cell>
          <cell r="E5743" t="e">
            <v>#VALUE!</v>
          </cell>
          <cell r="F5743">
            <v>-537.0622704074807</v>
          </cell>
        </row>
        <row r="5744">
          <cell r="A5744" t="str">
            <v>BFO4DSLC</v>
          </cell>
          <cell r="B5744">
            <v>0</v>
          </cell>
          <cell r="C5744">
            <v>0</v>
          </cell>
          <cell r="D5744">
            <v>0</v>
          </cell>
          <cell r="E5744" t="e">
            <v>#VALUE!</v>
          </cell>
          <cell r="F5744">
            <v>-168.74882440436377</v>
          </cell>
        </row>
        <row r="5745">
          <cell r="A5745" t="str">
            <v>BAR1DSLC</v>
          </cell>
          <cell r="B5745">
            <v>0</v>
          </cell>
          <cell r="C5745">
            <v>0</v>
          </cell>
          <cell r="D5745">
            <v>0</v>
          </cell>
          <cell r="E5745" t="e">
            <v>#VALUE!</v>
          </cell>
          <cell r="F5745">
            <v>-272.86891962338802</v>
          </cell>
        </row>
        <row r="5746">
          <cell r="A5746" t="str">
            <v>BAD1DSLC</v>
          </cell>
          <cell r="B5746">
            <v>0</v>
          </cell>
          <cell r="C5746">
            <v>0</v>
          </cell>
          <cell r="D5746">
            <v>0</v>
          </cell>
          <cell r="E5746" t="e">
            <v>#VALUE!</v>
          </cell>
          <cell r="F5746">
            <v>-696.62562205693496</v>
          </cell>
        </row>
        <row r="5747">
          <cell r="A5747" t="str">
            <v>BAD2DSLC</v>
          </cell>
          <cell r="B5747">
            <v>0</v>
          </cell>
          <cell r="C5747">
            <v>0</v>
          </cell>
          <cell r="D5747">
            <v>0</v>
          </cell>
          <cell r="E5747" t="e">
            <v>#VALUE!</v>
          </cell>
          <cell r="F5747">
            <v>-537.84212157367028</v>
          </cell>
        </row>
        <row r="5748">
          <cell r="A5748" t="str">
            <v>BAD3DSLC</v>
          </cell>
          <cell r="B5748">
            <v>0</v>
          </cell>
          <cell r="C5748">
            <v>0</v>
          </cell>
          <cell r="D5748">
            <v>0</v>
          </cell>
          <cell r="E5748" t="e">
            <v>#VALUE!</v>
          </cell>
          <cell r="F5748">
            <v>-385.0023546192744</v>
          </cell>
        </row>
        <row r="5749">
          <cell r="A5749" t="str">
            <v>BAR1FOCC</v>
          </cell>
          <cell r="B5749">
            <v>0</v>
          </cell>
          <cell r="C5749">
            <v>0</v>
          </cell>
          <cell r="D5749">
            <v>0</v>
          </cell>
          <cell r="E5749" t="e">
            <v>#VALUE!</v>
          </cell>
          <cell r="F5749">
            <v>-339.28283892069777</v>
          </cell>
        </row>
        <row r="5750">
          <cell r="A5750" t="str">
            <v>STP1NDDC</v>
          </cell>
          <cell r="B5750">
            <v>0.30455539332677239</v>
          </cell>
          <cell r="C5750">
            <v>0</v>
          </cell>
          <cell r="D5750">
            <v>0</v>
          </cell>
          <cell r="E5750" t="e">
            <v>#VALUE!</v>
          </cell>
          <cell r="F5750">
            <v>0</v>
          </cell>
        </row>
        <row r="5751">
          <cell r="A5751" t="str">
            <v>STP1AGSC</v>
          </cell>
          <cell r="B5751">
            <v>-1.8480889953840017E-12</v>
          </cell>
          <cell r="C5751">
            <v>0</v>
          </cell>
          <cell r="D5751">
            <v>0</v>
          </cell>
          <cell r="E5751" t="e">
            <v>#VALUE!</v>
          </cell>
          <cell r="F5751">
            <v>-497.35430874759203</v>
          </cell>
        </row>
        <row r="5752">
          <cell r="A5752" t="str">
            <v>STP1CLLC</v>
          </cell>
          <cell r="B5752">
            <v>0.72409567008279774</v>
          </cell>
          <cell r="C5752">
            <v>0</v>
          </cell>
          <cell r="D5752">
            <v>0</v>
          </cell>
          <cell r="E5752" t="e">
            <v>#VALUE!</v>
          </cell>
          <cell r="F5752">
            <v>0</v>
          </cell>
        </row>
        <row r="5753">
          <cell r="A5753" t="str">
            <v>STP1CHAC</v>
          </cell>
          <cell r="B5753">
            <v>0.30097273428962656</v>
          </cell>
          <cell r="C5753">
            <v>0</v>
          </cell>
          <cell r="D5753">
            <v>0</v>
          </cell>
          <cell r="E5753" t="e">
            <v>#VALUE!</v>
          </cell>
          <cell r="F5753">
            <v>0</v>
          </cell>
        </row>
        <row r="5754">
          <cell r="A5754" t="str">
            <v>STP1PCHC</v>
          </cell>
          <cell r="B5754">
            <v>0.22587641163231575</v>
          </cell>
          <cell r="C5754">
            <v>0</v>
          </cell>
          <cell r="D5754">
            <v>0</v>
          </cell>
          <cell r="E5754" t="e">
            <v>#VALUE!</v>
          </cell>
          <cell r="F5754">
            <v>0</v>
          </cell>
        </row>
        <row r="5755">
          <cell r="A5755" t="str">
            <v>STP1SDDC</v>
          </cell>
          <cell r="B5755">
            <v>0.23176159736228316</v>
          </cell>
          <cell r="C5755">
            <v>0</v>
          </cell>
          <cell r="D5755">
            <v>0</v>
          </cell>
          <cell r="E5755" t="e">
            <v>#VALUE!</v>
          </cell>
          <cell r="F5755">
            <v>0</v>
          </cell>
        </row>
        <row r="5756">
          <cell r="A5756" t="str">
            <v>STP1CENC</v>
          </cell>
          <cell r="B5756">
            <v>0.21035137188761202</v>
          </cell>
          <cell r="C5756">
            <v>0</v>
          </cell>
          <cell r="D5756">
            <v>0</v>
          </cell>
          <cell r="E5756" t="e">
            <v>#VALUE!</v>
          </cell>
          <cell r="F5756">
            <v>0</v>
          </cell>
        </row>
        <row r="5757">
          <cell r="A5757" t="str">
            <v>STP1LLLC</v>
          </cell>
          <cell r="B5757">
            <v>0</v>
          </cell>
          <cell r="C5757">
            <v>0</v>
          </cell>
          <cell r="D5757">
            <v>0</v>
          </cell>
          <cell r="E5757" t="e">
            <v>#VALUE!</v>
          </cell>
          <cell r="F5757">
            <v>-1.6986785617593216</v>
          </cell>
        </row>
        <row r="5758">
          <cell r="A5758" t="str">
            <v>STP1PL+C</v>
          </cell>
          <cell r="B5758">
            <v>0</v>
          </cell>
          <cell r="C5758">
            <v>0</v>
          </cell>
          <cell r="D5758">
            <v>0</v>
          </cell>
          <cell r="E5758" t="e">
            <v>#VALUE!</v>
          </cell>
          <cell r="F5758">
            <v>-5.5693314709075512</v>
          </cell>
        </row>
        <row r="5759">
          <cell r="A5759" t="str">
            <v>STP1PL-C</v>
          </cell>
          <cell r="B5759">
            <v>0.1886465361673538</v>
          </cell>
          <cell r="C5759">
            <v>0</v>
          </cell>
          <cell r="D5759">
            <v>0</v>
          </cell>
          <cell r="E5759" t="e">
            <v>#VALUE!</v>
          </cell>
          <cell r="F5759">
            <v>0</v>
          </cell>
        </row>
        <row r="5760">
          <cell r="A5760" t="str">
            <v>STP1SW+C</v>
          </cell>
          <cell r="B5760">
            <v>5.0614945330236055E-2</v>
          </cell>
          <cell r="C5760">
            <v>0</v>
          </cell>
          <cell r="D5760">
            <v>0</v>
          </cell>
          <cell r="E5760" t="e">
            <v>#VALUE!</v>
          </cell>
          <cell r="F5760">
            <v>0</v>
          </cell>
        </row>
        <row r="5761">
          <cell r="A5761" t="str">
            <v>STP1SW-C</v>
          </cell>
          <cell r="B5761">
            <v>6.0169258346296335E-2</v>
          </cell>
          <cell r="C5761">
            <v>0</v>
          </cell>
          <cell r="D5761">
            <v>0</v>
          </cell>
          <cell r="E5761" t="e">
            <v>#VALUE!</v>
          </cell>
          <cell r="F5761">
            <v>0</v>
          </cell>
        </row>
        <row r="5762">
          <cell r="A5762" t="str">
            <v>STP1LN1C</v>
          </cell>
          <cell r="B5762">
            <v>0.34457743167877197</v>
          </cell>
          <cell r="C5762">
            <v>0</v>
          </cell>
          <cell r="D5762">
            <v>0</v>
          </cell>
          <cell r="E5762" t="e">
            <v>#VALUE!</v>
          </cell>
          <cell r="F5762">
            <v>0</v>
          </cell>
        </row>
        <row r="5763">
          <cell r="A5763" t="str">
            <v>STP1PL1C</v>
          </cell>
          <cell r="B5763">
            <v>0.1886465361673538</v>
          </cell>
          <cell r="C5763">
            <v>0</v>
          </cell>
          <cell r="D5763">
            <v>0</v>
          </cell>
          <cell r="E5763" t="e">
            <v>#VALUE!</v>
          </cell>
          <cell r="F5763">
            <v>0</v>
          </cell>
        </row>
        <row r="5764">
          <cell r="A5764" t="str">
            <v>STP1PN1C</v>
          </cell>
          <cell r="B5764">
            <v>0.49936805163344294</v>
          </cell>
          <cell r="C5764">
            <v>0</v>
          </cell>
          <cell r="D5764">
            <v>0</v>
          </cell>
          <cell r="E5764" t="e">
            <v>#VALUE!</v>
          </cell>
          <cell r="F5764">
            <v>0</v>
          </cell>
        </row>
        <row r="5765">
          <cell r="A5765" t="str">
            <v>STP1SW1C</v>
          </cell>
          <cell r="B5765">
            <v>0.11078420601887246</v>
          </cell>
          <cell r="C5765">
            <v>0</v>
          </cell>
          <cell r="D5765">
            <v>0</v>
          </cell>
          <cell r="E5765" t="e">
            <v>#VALUE!</v>
          </cell>
          <cell r="F5765">
            <v>0</v>
          </cell>
        </row>
        <row r="5766">
          <cell r="A5766" t="str">
            <v>STP1LK1C</v>
          </cell>
          <cell r="B5766">
            <v>0.48985000432354131</v>
          </cell>
          <cell r="C5766">
            <v>0</v>
          </cell>
          <cell r="D5766">
            <v>0</v>
          </cell>
          <cell r="E5766" t="e">
            <v>#VALUE!</v>
          </cell>
          <cell r="F5766">
            <v>0</v>
          </cell>
        </row>
        <row r="5767">
          <cell r="A5767" t="str">
            <v>STP1LG1C</v>
          </cell>
          <cell r="B5767">
            <v>0.31599042031862962</v>
          </cell>
          <cell r="C5767">
            <v>0</v>
          </cell>
          <cell r="D5767">
            <v>0</v>
          </cell>
          <cell r="E5767" t="e">
            <v>#VALUE!</v>
          </cell>
          <cell r="F5767">
            <v>0</v>
          </cell>
        </row>
        <row r="5768">
          <cell r="A5768" t="str">
            <v>STP1PG1C</v>
          </cell>
          <cell r="B5768">
            <v>4.5939678402796183E-2</v>
          </cell>
          <cell r="C5768">
            <v>0</v>
          </cell>
          <cell r="D5768">
            <v>0</v>
          </cell>
          <cell r="E5768" t="e">
            <v>#VALUE!</v>
          </cell>
          <cell r="F5768">
            <v>0</v>
          </cell>
        </row>
        <row r="5769">
          <cell r="A5769" t="str">
            <v>STP1AR1C</v>
          </cell>
          <cell r="B5769">
            <v>1.1514078453795551</v>
          </cell>
          <cell r="C5769">
            <v>0</v>
          </cell>
          <cell r="D5769">
            <v>0</v>
          </cell>
          <cell r="E5769" t="e">
            <v>#VALUE!</v>
          </cell>
          <cell r="F5769">
            <v>0</v>
          </cell>
        </row>
        <row r="5770">
          <cell r="A5770" t="str">
            <v>STP1mCSC</v>
          </cell>
          <cell r="B5770">
            <v>1.9976131488199103</v>
          </cell>
          <cell r="C5770">
            <v>0</v>
          </cell>
          <cell r="D5770">
            <v>0</v>
          </cell>
          <cell r="E5770" t="e">
            <v>#VALUE!</v>
          </cell>
          <cell r="F5770">
            <v>0</v>
          </cell>
        </row>
        <row r="5771">
          <cell r="A5771" t="str">
            <v>STP1x01C</v>
          </cell>
          <cell r="B5771">
            <v>3.0428410643516301E-10</v>
          </cell>
          <cell r="C5771">
            <v>0</v>
          </cell>
          <cell r="D5771">
            <v>0</v>
          </cell>
          <cell r="E5771" t="e">
            <v>#VALUE!</v>
          </cell>
          <cell r="F5771">
            <v>-4.9793013794781409</v>
          </cell>
        </row>
        <row r="5772">
          <cell r="A5772" t="str">
            <v>STP1x02C</v>
          </cell>
          <cell r="B5772">
            <v>0</v>
          </cell>
          <cell r="C5772">
            <v>0</v>
          </cell>
          <cell r="D5772">
            <v>0</v>
          </cell>
          <cell r="E5772" t="e">
            <v>#VALUE!</v>
          </cell>
          <cell r="F5772">
            <v>-5.0193924581963723</v>
          </cell>
        </row>
        <row r="5773">
          <cell r="A5773" t="str">
            <v>STP1x03C</v>
          </cell>
          <cell r="B5773">
            <v>0</v>
          </cell>
          <cell r="C5773">
            <v>0</v>
          </cell>
          <cell r="D5773">
            <v>0</v>
          </cell>
          <cell r="E5773" t="e">
            <v>#VALUE!</v>
          </cell>
          <cell r="F5773">
            <v>-4.9934759205232746</v>
          </cell>
        </row>
        <row r="5774">
          <cell r="A5774" t="str">
            <v>STP1x04C</v>
          </cell>
          <cell r="B5774">
            <v>0</v>
          </cell>
          <cell r="C5774">
            <v>0</v>
          </cell>
          <cell r="D5774">
            <v>0</v>
          </cell>
          <cell r="E5774" t="e">
            <v>#VALUE!</v>
          </cell>
          <cell r="F5774">
            <v>-5.0115595059239704</v>
          </cell>
        </row>
        <row r="5775">
          <cell r="A5775" t="str">
            <v>STP1x05C</v>
          </cell>
          <cell r="B5775">
            <v>0</v>
          </cell>
          <cell r="C5775">
            <v>0</v>
          </cell>
          <cell r="D5775">
            <v>0</v>
          </cell>
          <cell r="E5775" t="e">
            <v>#VALUE!</v>
          </cell>
          <cell r="F5775">
            <v>-5.0023163729436595</v>
          </cell>
        </row>
        <row r="5776">
          <cell r="A5776" t="str">
            <v>STP1x06C</v>
          </cell>
          <cell r="B5776">
            <v>0</v>
          </cell>
          <cell r="C5776">
            <v>0</v>
          </cell>
          <cell r="D5776">
            <v>0</v>
          </cell>
          <cell r="E5776" t="e">
            <v>#VALUE!</v>
          </cell>
          <cell r="F5776">
            <v>-9.9860878879076811</v>
          </cell>
        </row>
        <row r="5777">
          <cell r="A5777" t="str">
            <v>STP1x07C</v>
          </cell>
          <cell r="B5777">
            <v>0</v>
          </cell>
          <cell r="C5777">
            <v>0</v>
          </cell>
          <cell r="D5777">
            <v>0</v>
          </cell>
          <cell r="E5777" t="e">
            <v>#VALUE!</v>
          </cell>
          <cell r="F5777">
            <v>-5.0015892613526081</v>
          </cell>
        </row>
        <row r="5778">
          <cell r="A5778" t="str">
            <v>STP2NDDC</v>
          </cell>
          <cell r="B5778">
            <v>0.17578360850680363</v>
          </cell>
          <cell r="C5778">
            <v>0</v>
          </cell>
          <cell r="D5778">
            <v>0</v>
          </cell>
          <cell r="E5778" t="e">
            <v>#VALUE!</v>
          </cell>
          <cell r="F5778">
            <v>0</v>
          </cell>
        </row>
        <row r="5779">
          <cell r="A5779" t="str">
            <v>STP2AGSC</v>
          </cell>
          <cell r="B5779">
            <v>1.8480889953840017E-12</v>
          </cell>
          <cell r="C5779">
            <v>0</v>
          </cell>
          <cell r="D5779">
            <v>0</v>
          </cell>
          <cell r="E5779" t="e">
            <v>#VALUE!</v>
          </cell>
          <cell r="F5779">
            <v>0</v>
          </cell>
        </row>
        <row r="5780">
          <cell r="A5780" t="str">
            <v>STP2CLLC</v>
          </cell>
          <cell r="B5780">
            <v>0.41793431941777059</v>
          </cell>
          <cell r="C5780">
            <v>0</v>
          </cell>
          <cell r="D5780">
            <v>0</v>
          </cell>
          <cell r="E5780" t="e">
            <v>#VALUE!</v>
          </cell>
          <cell r="F5780">
            <v>0</v>
          </cell>
        </row>
        <row r="5781">
          <cell r="A5781" t="str">
            <v>STP2CHAC</v>
          </cell>
          <cell r="B5781">
            <v>0.17371576399835822</v>
          </cell>
          <cell r="C5781">
            <v>0</v>
          </cell>
          <cell r="D5781">
            <v>0</v>
          </cell>
          <cell r="E5781" t="e">
            <v>#VALUE!</v>
          </cell>
          <cell r="F5781">
            <v>0</v>
          </cell>
        </row>
        <row r="5782">
          <cell r="A5782" t="str">
            <v>STP2PCHC</v>
          </cell>
          <cell r="B5782">
            <v>0.13037159369416432</v>
          </cell>
          <cell r="C5782">
            <v>0</v>
          </cell>
          <cell r="D5782">
            <v>0</v>
          </cell>
          <cell r="E5782" t="e">
            <v>#VALUE!</v>
          </cell>
          <cell r="F5782">
            <v>0</v>
          </cell>
        </row>
        <row r="5783">
          <cell r="A5783" t="str">
            <v>STP2SDDC</v>
          </cell>
          <cell r="B5783">
            <v>0.13376840544890051</v>
          </cell>
          <cell r="C5783">
            <v>0</v>
          </cell>
          <cell r="D5783">
            <v>0</v>
          </cell>
          <cell r="E5783" t="e">
            <v>#VALUE!</v>
          </cell>
          <cell r="F5783">
            <v>0</v>
          </cell>
        </row>
        <row r="5784">
          <cell r="A5784" t="str">
            <v>STP2CENC</v>
          </cell>
          <cell r="B5784">
            <v>0.12141083017603992</v>
          </cell>
          <cell r="C5784">
            <v>0</v>
          </cell>
          <cell r="D5784">
            <v>0</v>
          </cell>
          <cell r="E5784" t="e">
            <v>#VALUE!</v>
          </cell>
          <cell r="F5784">
            <v>0</v>
          </cell>
        </row>
        <row r="5785">
          <cell r="A5785" t="str">
            <v>STP2PL&gt;C</v>
          </cell>
          <cell r="B5785">
            <v>0</v>
          </cell>
          <cell r="C5785">
            <v>0</v>
          </cell>
          <cell r="D5785">
            <v>0</v>
          </cell>
          <cell r="E5785" t="e">
            <v>#VALUE!</v>
          </cell>
          <cell r="F5785">
            <v>-5.5713970589311153</v>
          </cell>
        </row>
        <row r="5786">
          <cell r="A5786" t="str">
            <v>STP2PL&lt;C</v>
          </cell>
          <cell r="B5786">
            <v>0.10888321526246528</v>
          </cell>
          <cell r="C5786">
            <v>0</v>
          </cell>
          <cell r="D5786">
            <v>0</v>
          </cell>
          <cell r="E5786" t="e">
            <v>#VALUE!</v>
          </cell>
          <cell r="F5786">
            <v>0</v>
          </cell>
        </row>
        <row r="5787">
          <cell r="A5787" t="str">
            <v>STP2SW&gt;C</v>
          </cell>
          <cell r="B5787">
            <v>7.7790014675422894E-3</v>
          </cell>
          <cell r="C5787">
            <v>0</v>
          </cell>
          <cell r="D5787">
            <v>0</v>
          </cell>
          <cell r="E5787" t="e">
            <v>#VALUE!</v>
          </cell>
          <cell r="F5787">
            <v>0</v>
          </cell>
        </row>
        <row r="5788">
          <cell r="A5788" t="str">
            <v>STP2SW&lt;C</v>
          </cell>
          <cell r="B5788">
            <v>2.0304909879214142E-2</v>
          </cell>
          <cell r="C5788">
            <v>0</v>
          </cell>
          <cell r="D5788">
            <v>0</v>
          </cell>
          <cell r="E5788" t="e">
            <v>#VALUE!</v>
          </cell>
          <cell r="F5788">
            <v>0</v>
          </cell>
        </row>
        <row r="5789">
          <cell r="A5789" t="str">
            <v>STP2PL2C</v>
          </cell>
          <cell r="B5789">
            <v>0.10888321526246528</v>
          </cell>
          <cell r="C5789">
            <v>0</v>
          </cell>
          <cell r="D5789">
            <v>0</v>
          </cell>
          <cell r="E5789" t="e">
            <v>#VALUE!</v>
          </cell>
          <cell r="F5789">
            <v>0</v>
          </cell>
        </row>
        <row r="5790">
          <cell r="A5790" t="str">
            <v>STP2SW2C</v>
          </cell>
          <cell r="B5790">
            <v>2.8083912221944497E-2</v>
          </cell>
          <cell r="C5790">
            <v>0</v>
          </cell>
          <cell r="D5790">
            <v>0</v>
          </cell>
          <cell r="E5790" t="e">
            <v>#VALUE!</v>
          </cell>
          <cell r="F5790">
            <v>0</v>
          </cell>
        </row>
        <row r="5791">
          <cell r="A5791" t="str">
            <v>STP2LK2C</v>
          </cell>
          <cell r="B5791">
            <v>0.16718792258060142</v>
          </cell>
          <cell r="C5791">
            <v>0</v>
          </cell>
          <cell r="D5791">
            <v>0</v>
          </cell>
          <cell r="E5791" t="e">
            <v>#VALUE!</v>
          </cell>
          <cell r="F5791">
            <v>0</v>
          </cell>
        </row>
        <row r="5792">
          <cell r="A5792" t="str">
            <v>STP2LG2C</v>
          </cell>
          <cell r="B5792">
            <v>0.17936656381169411</v>
          </cell>
          <cell r="C5792">
            <v>0</v>
          </cell>
          <cell r="D5792">
            <v>0</v>
          </cell>
          <cell r="E5792" t="e">
            <v>#VALUE!</v>
          </cell>
          <cell r="F5792">
            <v>0</v>
          </cell>
        </row>
        <row r="5793">
          <cell r="A5793" t="str">
            <v>STP2PG2C</v>
          </cell>
          <cell r="B5793">
            <v>8.1356482269012764E-2</v>
          </cell>
          <cell r="C5793">
            <v>0</v>
          </cell>
          <cell r="D5793">
            <v>0</v>
          </cell>
          <cell r="E5793" t="e">
            <v>#VALUE!</v>
          </cell>
          <cell r="F5793">
            <v>0</v>
          </cell>
        </row>
        <row r="5794">
          <cell r="A5794" t="str">
            <v>STP2mCSC</v>
          </cell>
          <cell r="B5794">
            <v>1.1529845423894385</v>
          </cell>
          <cell r="C5794">
            <v>0</v>
          </cell>
          <cell r="D5794">
            <v>0</v>
          </cell>
          <cell r="E5794" t="e">
            <v>#VALUE!</v>
          </cell>
          <cell r="F5794">
            <v>0</v>
          </cell>
        </row>
        <row r="5795">
          <cell r="A5795" t="str">
            <v>STP2x01C</v>
          </cell>
          <cell r="B5795">
            <v>0</v>
          </cell>
          <cell r="C5795">
            <v>0</v>
          </cell>
          <cell r="D5795">
            <v>0</v>
          </cell>
          <cell r="E5795" t="e">
            <v>#VALUE!</v>
          </cell>
          <cell r="F5795">
            <v>-10</v>
          </cell>
        </row>
        <row r="5796">
          <cell r="A5796" t="str">
            <v>STP2x02C</v>
          </cell>
          <cell r="B5796">
            <v>0</v>
          </cell>
          <cell r="C5796">
            <v>0</v>
          </cell>
          <cell r="D5796">
            <v>0</v>
          </cell>
          <cell r="E5796" t="e">
            <v>#VALUE!</v>
          </cell>
          <cell r="F5796">
            <v>-10</v>
          </cell>
        </row>
        <row r="5797">
          <cell r="A5797" t="str">
            <v>STP2x03C</v>
          </cell>
          <cell r="B5797">
            <v>0</v>
          </cell>
          <cell r="C5797">
            <v>0</v>
          </cell>
          <cell r="D5797">
            <v>0</v>
          </cell>
          <cell r="E5797" t="e">
            <v>#VALUE!</v>
          </cell>
          <cell r="F5797">
            <v>-10</v>
          </cell>
        </row>
        <row r="5798">
          <cell r="A5798" t="str">
            <v>STP2x04C</v>
          </cell>
          <cell r="B5798">
            <v>0</v>
          </cell>
          <cell r="C5798">
            <v>0</v>
          </cell>
          <cell r="D5798">
            <v>0</v>
          </cell>
          <cell r="E5798" t="e">
            <v>#VALUE!</v>
          </cell>
          <cell r="F5798">
            <v>-10</v>
          </cell>
        </row>
        <row r="5799">
          <cell r="A5799" t="str">
            <v>STP2x05C</v>
          </cell>
          <cell r="B5799">
            <v>0</v>
          </cell>
          <cell r="C5799">
            <v>0</v>
          </cell>
          <cell r="D5799">
            <v>0</v>
          </cell>
          <cell r="E5799" t="e">
            <v>#VALUE!</v>
          </cell>
          <cell r="F5799">
            <v>-10</v>
          </cell>
        </row>
        <row r="5800">
          <cell r="A5800" t="str">
            <v>STP2x06C</v>
          </cell>
          <cell r="B5800">
            <v>0</v>
          </cell>
          <cell r="C5800">
            <v>0</v>
          </cell>
          <cell r="D5800">
            <v>0</v>
          </cell>
          <cell r="E5800" t="e">
            <v>#VALUE!</v>
          </cell>
          <cell r="F5800">
            <v>-10</v>
          </cell>
        </row>
        <row r="5801">
          <cell r="A5801" t="str">
            <v>STP2x07C</v>
          </cell>
          <cell r="B5801">
            <v>0</v>
          </cell>
          <cell r="C5801">
            <v>0</v>
          </cell>
          <cell r="D5801">
            <v>0</v>
          </cell>
          <cell r="E5801" t="e">
            <v>#VALUE!</v>
          </cell>
          <cell r="F5801">
            <v>-10</v>
          </cell>
        </row>
        <row r="5802">
          <cell r="A5802" t="str">
            <v>STP3LLLC</v>
          </cell>
          <cell r="B5802">
            <v>0.1688038557767868</v>
          </cell>
          <cell r="C5802">
            <v>0</v>
          </cell>
          <cell r="D5802">
            <v>0</v>
          </cell>
          <cell r="E5802" t="e">
            <v>#VALUE!</v>
          </cell>
          <cell r="F5802">
            <v>0</v>
          </cell>
        </row>
        <row r="5803">
          <cell r="A5803" t="str">
            <v>STP3PL]C</v>
          </cell>
          <cell r="B5803">
            <v>4.0216505527496338E-2</v>
          </cell>
          <cell r="C5803">
            <v>0</v>
          </cell>
          <cell r="D5803">
            <v>0</v>
          </cell>
          <cell r="E5803" t="e">
            <v>#VALUE!</v>
          </cell>
          <cell r="F5803">
            <v>0</v>
          </cell>
        </row>
        <row r="5804">
          <cell r="A5804" t="str">
            <v>STP3PL[C</v>
          </cell>
          <cell r="B5804">
            <v>0</v>
          </cell>
          <cell r="C5804">
            <v>0</v>
          </cell>
          <cell r="D5804">
            <v>0</v>
          </cell>
          <cell r="E5804" t="e">
            <v>#VALUE!</v>
          </cell>
          <cell r="F5804">
            <v>-3.408517510923621</v>
          </cell>
        </row>
        <row r="5805">
          <cell r="A5805" t="str">
            <v>STP3SW]C</v>
          </cell>
          <cell r="B5805">
            <v>0</v>
          </cell>
          <cell r="C5805">
            <v>0</v>
          </cell>
          <cell r="D5805">
            <v>0</v>
          </cell>
          <cell r="E5805" t="e">
            <v>#VALUE!</v>
          </cell>
          <cell r="F5805">
            <v>-14.204129723326801</v>
          </cell>
        </row>
        <row r="5806">
          <cell r="A5806" t="str">
            <v>STP3SW[C</v>
          </cell>
          <cell r="B5806">
            <v>2.7760976925492287E-2</v>
          </cell>
          <cell r="C5806">
            <v>0</v>
          </cell>
          <cell r="D5806">
            <v>0</v>
          </cell>
          <cell r="E5806" t="e">
            <v>#VALUE!</v>
          </cell>
          <cell r="F5806">
            <v>0</v>
          </cell>
        </row>
        <row r="5807">
          <cell r="A5807" t="str">
            <v>STP3PL3C</v>
          </cell>
          <cell r="B5807">
            <v>4.0216505527496338E-2</v>
          </cell>
          <cell r="C5807">
            <v>0</v>
          </cell>
          <cell r="D5807">
            <v>0</v>
          </cell>
          <cell r="E5807" t="e">
            <v>#VALUE!</v>
          </cell>
          <cell r="F5807">
            <v>0</v>
          </cell>
        </row>
        <row r="5808">
          <cell r="A5808" t="str">
            <v>STP3SW3C</v>
          </cell>
          <cell r="B5808">
            <v>2.7760976925492287E-2</v>
          </cell>
          <cell r="C5808">
            <v>0</v>
          </cell>
          <cell r="D5808">
            <v>0</v>
          </cell>
          <cell r="E5808" t="e">
            <v>#VALUE!</v>
          </cell>
          <cell r="F5808">
            <v>0</v>
          </cell>
        </row>
        <row r="5809">
          <cell r="A5809" t="str">
            <v>STP4LLLC</v>
          </cell>
          <cell r="B5809">
            <v>0</v>
          </cell>
          <cell r="C5809">
            <v>0</v>
          </cell>
          <cell r="D5809">
            <v>0</v>
          </cell>
          <cell r="E5809" t="e">
            <v>#VALUE!</v>
          </cell>
          <cell r="F5809">
            <v>7.5306605874675592</v>
          </cell>
        </row>
        <row r="5810">
          <cell r="A5810" t="str">
            <v>STP4PL)C</v>
          </cell>
          <cell r="B5810">
            <v>0</v>
          </cell>
          <cell r="C5810">
            <v>0</v>
          </cell>
          <cell r="D5810">
            <v>0</v>
          </cell>
          <cell r="E5810" t="e">
            <v>#VALUE!</v>
          </cell>
          <cell r="F5810">
            <v>0</v>
          </cell>
        </row>
        <row r="5811">
          <cell r="A5811" t="str">
            <v>STP4PL(C</v>
          </cell>
          <cell r="B5811">
            <v>0</v>
          </cell>
          <cell r="C5811">
            <v>0</v>
          </cell>
          <cell r="D5811">
            <v>0</v>
          </cell>
          <cell r="E5811" t="e">
            <v>#VALUE!</v>
          </cell>
          <cell r="F5811">
            <v>-5.1003299360405912</v>
          </cell>
        </row>
        <row r="5812">
          <cell r="A5812" t="str">
            <v>STP4SW)C</v>
          </cell>
          <cell r="B5812">
            <v>0</v>
          </cell>
          <cell r="C5812">
            <v>0</v>
          </cell>
          <cell r="D5812">
            <v>0</v>
          </cell>
          <cell r="E5812" t="e">
            <v>#VALUE!</v>
          </cell>
          <cell r="F5812">
            <v>-86.88995802369837</v>
          </cell>
        </row>
        <row r="5813">
          <cell r="A5813" t="str">
            <v>STP4SW(C</v>
          </cell>
          <cell r="B5813">
            <v>0</v>
          </cell>
          <cell r="C5813">
            <v>0</v>
          </cell>
          <cell r="D5813">
            <v>0</v>
          </cell>
          <cell r="E5813" t="e">
            <v>#VALUE!</v>
          </cell>
          <cell r="F5813">
            <v>0</v>
          </cell>
        </row>
        <row r="5814">
          <cell r="A5814" t="str">
            <v>STP4PL4C</v>
          </cell>
          <cell r="B5814">
            <v>0</v>
          </cell>
          <cell r="C5814">
            <v>0</v>
          </cell>
          <cell r="D5814">
            <v>0</v>
          </cell>
          <cell r="E5814" t="e">
            <v>#VALUE!</v>
          </cell>
          <cell r="F5814">
            <v>0</v>
          </cell>
        </row>
        <row r="5815">
          <cell r="A5815" t="str">
            <v>STP4SW4C</v>
          </cell>
          <cell r="B5815">
            <v>0</v>
          </cell>
          <cell r="C5815">
            <v>0</v>
          </cell>
          <cell r="D5815">
            <v>0</v>
          </cell>
          <cell r="E5815" t="e">
            <v>#VALUE!</v>
          </cell>
          <cell r="F5815">
            <v>0</v>
          </cell>
        </row>
        <row r="5816">
          <cell r="A5816" t="str">
            <v>STP5LLLC</v>
          </cell>
          <cell r="B5816">
            <v>5.3306140005588531E-2</v>
          </cell>
          <cell r="C5816">
            <v>0</v>
          </cell>
          <cell r="D5816">
            <v>0</v>
          </cell>
          <cell r="E5816" t="e">
            <v>#VALUE!</v>
          </cell>
          <cell r="F5816">
            <v>0</v>
          </cell>
        </row>
        <row r="5817">
          <cell r="A5817" t="str">
            <v>STP5PL}C</v>
          </cell>
          <cell r="B5817">
            <v>1.2699867598712444E-2</v>
          </cell>
          <cell r="C5817">
            <v>0</v>
          </cell>
          <cell r="D5817">
            <v>0</v>
          </cell>
          <cell r="E5817" t="e">
            <v>#VALUE!</v>
          </cell>
          <cell r="F5817">
            <v>0</v>
          </cell>
        </row>
        <row r="5818">
          <cell r="A5818" t="str">
            <v>STP5PL{C</v>
          </cell>
          <cell r="B5818">
            <v>0</v>
          </cell>
          <cell r="C5818">
            <v>0</v>
          </cell>
          <cell r="D5818">
            <v>0</v>
          </cell>
          <cell r="E5818" t="e">
            <v>#VALUE!</v>
          </cell>
          <cell r="F5818">
            <v>-3.408517510923621</v>
          </cell>
        </row>
        <row r="5819">
          <cell r="A5819" t="str">
            <v>STP5SW}C</v>
          </cell>
          <cell r="B5819">
            <v>0</v>
          </cell>
          <cell r="C5819">
            <v>0</v>
          </cell>
          <cell r="D5819">
            <v>0</v>
          </cell>
          <cell r="E5819" t="e">
            <v>#VALUE!</v>
          </cell>
          <cell r="F5819">
            <v>-13.723282309754254</v>
          </cell>
        </row>
        <row r="5820">
          <cell r="A5820" t="str">
            <v>STP5SW{C</v>
          </cell>
          <cell r="B5820">
            <v>8.7665673345327377E-3</v>
          </cell>
          <cell r="C5820">
            <v>0</v>
          </cell>
          <cell r="D5820">
            <v>0</v>
          </cell>
          <cell r="E5820" t="e">
            <v>#VALUE!</v>
          </cell>
          <cell r="F5820">
            <v>0</v>
          </cell>
        </row>
        <row r="5821">
          <cell r="A5821" t="str">
            <v>STP5PL5C</v>
          </cell>
          <cell r="B5821">
            <v>1.2699867598712444E-2</v>
          </cell>
          <cell r="C5821">
            <v>0</v>
          </cell>
          <cell r="D5821">
            <v>0</v>
          </cell>
          <cell r="E5821" t="e">
            <v>#VALUE!</v>
          </cell>
          <cell r="F5821">
            <v>0</v>
          </cell>
        </row>
        <row r="5822">
          <cell r="A5822" t="str">
            <v>STP5SW5C</v>
          </cell>
          <cell r="B5822">
            <v>8.7665673345327377E-3</v>
          </cell>
          <cell r="C5822">
            <v>0</v>
          </cell>
          <cell r="D5822">
            <v>0</v>
          </cell>
          <cell r="E5822" t="e">
            <v>#VALUE!</v>
          </cell>
          <cell r="F5822">
            <v>0</v>
          </cell>
        </row>
        <row r="5823">
          <cell r="A5823" t="str">
            <v>STP5LK3C</v>
          </cell>
          <cell r="B5823">
            <v>2.6486221700906754E-2</v>
          </cell>
          <cell r="C5823">
            <v>0</v>
          </cell>
          <cell r="D5823">
            <v>0</v>
          </cell>
          <cell r="E5823" t="e">
            <v>#VALUE!</v>
          </cell>
          <cell r="F5823">
            <v>0</v>
          </cell>
        </row>
        <row r="5824">
          <cell r="A5824" t="str">
            <v>STP5LG3C</v>
          </cell>
          <cell r="B5824">
            <v>3.348067868500948E-3</v>
          </cell>
          <cell r="C5824">
            <v>0</v>
          </cell>
          <cell r="D5824">
            <v>0</v>
          </cell>
          <cell r="E5824" t="e">
            <v>#VALUE!</v>
          </cell>
          <cell r="F5824">
            <v>0</v>
          </cell>
        </row>
        <row r="5825">
          <cell r="A5825" t="str">
            <v>STP5PG3C</v>
          </cell>
          <cell r="B5825">
            <v>2.5029684184119105E-4</v>
          </cell>
          <cell r="C5825">
            <v>0</v>
          </cell>
          <cell r="D5825">
            <v>0</v>
          </cell>
          <cell r="E5825" t="e">
            <v>#VALUE!</v>
          </cell>
          <cell r="F5825">
            <v>0</v>
          </cell>
        </row>
        <row r="5826">
          <cell r="A5826" t="str">
            <v>STP6LLLC</v>
          </cell>
          <cell r="B5826">
            <v>0</v>
          </cell>
          <cell r="C5826">
            <v>0</v>
          </cell>
          <cell r="D5826">
            <v>0</v>
          </cell>
          <cell r="E5826" t="e">
            <v>#VALUE!</v>
          </cell>
          <cell r="F5826">
            <v>-28.850213450601657</v>
          </cell>
        </row>
        <row r="5827">
          <cell r="A5827" t="str">
            <v>STP6PL"C</v>
          </cell>
          <cell r="B5827">
            <v>0</v>
          </cell>
          <cell r="C5827">
            <v>0</v>
          </cell>
          <cell r="D5827">
            <v>0</v>
          </cell>
          <cell r="E5827" t="e">
            <v>#VALUE!</v>
          </cell>
          <cell r="F5827">
            <v>0</v>
          </cell>
        </row>
        <row r="5828">
          <cell r="A5828" t="str">
            <v>STP6PL$C</v>
          </cell>
          <cell r="B5828">
            <v>0</v>
          </cell>
          <cell r="C5828">
            <v>0</v>
          </cell>
          <cell r="D5828">
            <v>0</v>
          </cell>
          <cell r="E5828" t="e">
            <v>#VALUE!</v>
          </cell>
          <cell r="F5828">
            <v>-3.408517510923621</v>
          </cell>
        </row>
        <row r="5829">
          <cell r="A5829" t="str">
            <v>STP6SW"C</v>
          </cell>
          <cell r="B5829">
            <v>0</v>
          </cell>
          <cell r="C5829">
            <v>0</v>
          </cell>
          <cell r="D5829">
            <v>0</v>
          </cell>
          <cell r="E5829" t="e">
            <v>#VALUE!</v>
          </cell>
          <cell r="F5829">
            <v>-21.683108960765683</v>
          </cell>
        </row>
        <row r="5830">
          <cell r="A5830" t="str">
            <v>STP6SW$C</v>
          </cell>
          <cell r="B5830">
            <v>0</v>
          </cell>
          <cell r="C5830">
            <v>0</v>
          </cell>
          <cell r="D5830">
            <v>0</v>
          </cell>
          <cell r="E5830" t="e">
            <v>#VALUE!</v>
          </cell>
          <cell r="F5830">
            <v>0</v>
          </cell>
        </row>
        <row r="5831">
          <cell r="A5831" t="str">
            <v>STP6PL6C</v>
          </cell>
          <cell r="B5831">
            <v>0</v>
          </cell>
          <cell r="C5831">
            <v>0</v>
          </cell>
          <cell r="D5831">
            <v>0</v>
          </cell>
          <cell r="E5831" t="e">
            <v>#VALUE!</v>
          </cell>
          <cell r="F5831">
            <v>0</v>
          </cell>
        </row>
        <row r="5832">
          <cell r="A5832" t="str">
            <v>STP6SW6C</v>
          </cell>
          <cell r="B5832">
            <v>0</v>
          </cell>
          <cell r="C5832">
            <v>0</v>
          </cell>
          <cell r="D5832">
            <v>0</v>
          </cell>
          <cell r="E5832" t="e">
            <v>#VALUE!</v>
          </cell>
          <cell r="F5832">
            <v>0</v>
          </cell>
        </row>
        <row r="5833">
          <cell r="A5833" t="str">
            <v>STP6LK4C</v>
          </cell>
          <cell r="B5833">
            <v>0</v>
          </cell>
          <cell r="C5833">
            <v>0</v>
          </cell>
          <cell r="D5833">
            <v>0</v>
          </cell>
          <cell r="E5833" t="e">
            <v>#VALUE!</v>
          </cell>
          <cell r="F5833">
            <v>0</v>
          </cell>
        </row>
        <row r="5834">
          <cell r="A5834" t="str">
            <v>STP6LG4C</v>
          </cell>
          <cell r="B5834">
            <v>0</v>
          </cell>
          <cell r="C5834">
            <v>0</v>
          </cell>
          <cell r="D5834">
            <v>0</v>
          </cell>
          <cell r="E5834" t="e">
            <v>#VALUE!</v>
          </cell>
          <cell r="F5834">
            <v>0</v>
          </cell>
        </row>
        <row r="5835">
          <cell r="A5835" t="str">
            <v>STP6PG4C</v>
          </cell>
          <cell r="B5835">
            <v>0</v>
          </cell>
          <cell r="C5835">
            <v>0</v>
          </cell>
          <cell r="D5835">
            <v>0</v>
          </cell>
          <cell r="E5835" t="e">
            <v>#VALUE!</v>
          </cell>
          <cell r="F5835">
            <v>0</v>
          </cell>
        </row>
        <row r="5836">
          <cell r="A5836" t="str">
            <v>STR1LN1C</v>
          </cell>
          <cell r="B5836">
            <v>0</v>
          </cell>
          <cell r="C5836">
            <v>0</v>
          </cell>
          <cell r="D5836">
            <v>0</v>
          </cell>
          <cell r="E5836" t="e">
            <v>#VALUE!</v>
          </cell>
          <cell r="F5836">
            <v>-179.02844823549873</v>
          </cell>
        </row>
        <row r="5837">
          <cell r="A5837" t="str">
            <v>STR1PN1C</v>
          </cell>
          <cell r="B5837">
            <v>0</v>
          </cell>
          <cell r="C5837">
            <v>0</v>
          </cell>
          <cell r="D5837">
            <v>0</v>
          </cell>
          <cell r="E5837" t="e">
            <v>#VALUE!</v>
          </cell>
          <cell r="F5837">
            <v>-362.43932553644049</v>
          </cell>
        </row>
        <row r="5838">
          <cell r="A5838" t="str">
            <v>STR1NPHC</v>
          </cell>
          <cell r="B5838">
            <v>0</v>
          </cell>
          <cell r="C5838">
            <v>0</v>
          </cell>
          <cell r="D5838">
            <v>0</v>
          </cell>
          <cell r="E5838" t="e">
            <v>#VALUE!</v>
          </cell>
          <cell r="F5838">
            <v>0</v>
          </cell>
        </row>
        <row r="5839">
          <cell r="A5839" t="str">
            <v>STR1NPXC</v>
          </cell>
          <cell r="B5839">
            <v>0</v>
          </cell>
          <cell r="C5839">
            <v>0</v>
          </cell>
          <cell r="D5839">
            <v>0</v>
          </cell>
          <cell r="E5839" t="e">
            <v>#VALUE!</v>
          </cell>
          <cell r="F5839">
            <v>0</v>
          </cell>
        </row>
        <row r="5840">
          <cell r="A5840" t="str">
            <v>STR2LN1C</v>
          </cell>
          <cell r="B5840">
            <v>0.30327333081258484</v>
          </cell>
          <cell r="C5840">
            <v>0</v>
          </cell>
          <cell r="D5840">
            <v>0</v>
          </cell>
          <cell r="E5840" t="e">
            <v>#VALUE!</v>
          </cell>
          <cell r="F5840">
            <v>0</v>
          </cell>
        </row>
        <row r="5841">
          <cell r="A5841" t="str">
            <v>STR2PN1C</v>
          </cell>
          <cell r="B5841">
            <v>0.20183208078554232</v>
          </cell>
          <cell r="C5841">
            <v>0</v>
          </cell>
          <cell r="D5841">
            <v>0</v>
          </cell>
          <cell r="E5841" t="e">
            <v>#VALUE!</v>
          </cell>
          <cell r="F5841">
            <v>0</v>
          </cell>
        </row>
        <row r="5842">
          <cell r="A5842" t="str">
            <v>STR2PG1C</v>
          </cell>
          <cell r="B5842">
            <v>4.5939678402796183E-2</v>
          </cell>
          <cell r="C5842">
            <v>0</v>
          </cell>
          <cell r="D5842">
            <v>0</v>
          </cell>
          <cell r="E5842" t="e">
            <v>#VALUE!</v>
          </cell>
          <cell r="F5842">
            <v>0</v>
          </cell>
        </row>
        <row r="5843">
          <cell r="A5843" t="str">
            <v>STR2PG2C</v>
          </cell>
          <cell r="B5843">
            <v>8.1356482269012764E-2</v>
          </cell>
          <cell r="C5843">
            <v>0</v>
          </cell>
          <cell r="D5843">
            <v>0</v>
          </cell>
          <cell r="E5843" t="e">
            <v>#VALUE!</v>
          </cell>
          <cell r="F5843">
            <v>0</v>
          </cell>
        </row>
        <row r="5844">
          <cell r="A5844" t="str">
            <v>STR2PG3C</v>
          </cell>
          <cell r="B5844">
            <v>2.5029684184119105E-4</v>
          </cell>
          <cell r="C5844">
            <v>0</v>
          </cell>
          <cell r="D5844">
            <v>0</v>
          </cell>
          <cell r="E5844" t="e">
            <v>#VALUE!</v>
          </cell>
          <cell r="F5844">
            <v>0</v>
          </cell>
        </row>
        <row r="5845">
          <cell r="A5845" t="str">
            <v>STR2FO3C</v>
          </cell>
          <cell r="B5845">
            <v>0</v>
          </cell>
          <cell r="C5845">
            <v>0</v>
          </cell>
          <cell r="D5845">
            <v>0</v>
          </cell>
          <cell r="E5845" t="e">
            <v>#VALUE!</v>
          </cell>
          <cell r="F5845">
            <v>-35.32600162453847</v>
          </cell>
        </row>
        <row r="5846">
          <cell r="A5846" t="str">
            <v>STR2FO4C</v>
          </cell>
          <cell r="B5846">
            <v>0</v>
          </cell>
          <cell r="C5846">
            <v>0</v>
          </cell>
          <cell r="D5846">
            <v>0</v>
          </cell>
          <cell r="E5846" t="e">
            <v>#VALUE!</v>
          </cell>
          <cell r="F5846">
            <v>0</v>
          </cell>
        </row>
        <row r="5847">
          <cell r="A5847" t="str">
            <v>STR2AR1C</v>
          </cell>
          <cell r="B5847">
            <v>1.1514078453795551</v>
          </cell>
          <cell r="C5847">
            <v>0</v>
          </cell>
          <cell r="D5847">
            <v>0</v>
          </cell>
          <cell r="E5847" t="e">
            <v>#VALUE!</v>
          </cell>
          <cell r="F5847">
            <v>0</v>
          </cell>
        </row>
        <row r="5848">
          <cell r="A5848" t="str">
            <v>STR2LG1C</v>
          </cell>
          <cell r="B5848">
            <v>0</v>
          </cell>
          <cell r="C5848">
            <v>0</v>
          </cell>
          <cell r="D5848">
            <v>0</v>
          </cell>
          <cell r="E5848" t="e">
            <v>#VALUE!</v>
          </cell>
          <cell r="F5848">
            <v>-62.355770351462169</v>
          </cell>
        </row>
        <row r="5849">
          <cell r="A5849" t="str">
            <v>STR2LG2C</v>
          </cell>
          <cell r="B5849">
            <v>-1.8102887583424999E-13</v>
          </cell>
          <cell r="C5849">
            <v>0</v>
          </cell>
          <cell r="D5849">
            <v>0</v>
          </cell>
          <cell r="E5849" t="e">
            <v>#VALUE!</v>
          </cell>
          <cell r="F5849">
            <v>-23.392883718830266</v>
          </cell>
        </row>
        <row r="5850">
          <cell r="A5850" t="str">
            <v>STR2LG3C</v>
          </cell>
          <cell r="B5850">
            <v>0</v>
          </cell>
          <cell r="C5850">
            <v>0</v>
          </cell>
          <cell r="D5850">
            <v>0</v>
          </cell>
          <cell r="E5850" t="e">
            <v>#VALUE!</v>
          </cell>
          <cell r="F5850">
            <v>0</v>
          </cell>
        </row>
        <row r="5851">
          <cell r="A5851" t="str">
            <v>STR2LK1C</v>
          </cell>
          <cell r="B5851">
            <v>-1.2089272600494443E-12</v>
          </cell>
          <cell r="C5851">
            <v>0</v>
          </cell>
          <cell r="D5851">
            <v>0</v>
          </cell>
          <cell r="E5851" t="e">
            <v>#VALUE!</v>
          </cell>
          <cell r="F5851">
            <v>-26.008146521163312</v>
          </cell>
        </row>
        <row r="5852">
          <cell r="A5852" t="str">
            <v>STR2LK2C</v>
          </cell>
          <cell r="B5852">
            <v>-2.2891968476835787E-13</v>
          </cell>
          <cell r="C5852">
            <v>0</v>
          </cell>
          <cell r="D5852">
            <v>0</v>
          </cell>
          <cell r="E5852" t="e">
            <v>#VALUE!</v>
          </cell>
          <cell r="F5852">
            <v>-39.672230780614562</v>
          </cell>
        </row>
        <row r="5853">
          <cell r="A5853" t="str">
            <v>STR2RLPC</v>
          </cell>
          <cell r="B5853">
            <v>1.7840597198434072</v>
          </cell>
          <cell r="C5853">
            <v>0</v>
          </cell>
          <cell r="D5853">
            <v>0</v>
          </cell>
          <cell r="E5853" t="e">
            <v>#VALUE!</v>
          </cell>
          <cell r="F5853">
            <v>0</v>
          </cell>
        </row>
        <row r="5854">
          <cell r="A5854" t="str">
            <v>STR2LNVC</v>
          </cell>
          <cell r="B5854">
            <v>0.45221931722066172</v>
          </cell>
          <cell r="C5854">
            <v>0</v>
          </cell>
          <cell r="D5854">
            <v>0</v>
          </cell>
          <cell r="E5854" t="e">
            <v>#VALUE!</v>
          </cell>
          <cell r="F5854">
            <v>0</v>
          </cell>
        </row>
        <row r="5855">
          <cell r="A5855" t="str">
            <v>STR2PNVC</v>
          </cell>
          <cell r="B5855">
            <v>0.26996171564272003</v>
          </cell>
          <cell r="C5855">
            <v>0</v>
          </cell>
          <cell r="D5855">
            <v>0</v>
          </cell>
          <cell r="E5855" t="e">
            <v>#VALUE!</v>
          </cell>
          <cell r="F5855">
            <v>0</v>
          </cell>
        </row>
        <row r="5856">
          <cell r="A5856" t="str">
            <v>STR2PGVC</v>
          </cell>
          <cell r="B5856">
            <v>5.2696116656473238E-2</v>
          </cell>
          <cell r="C5856">
            <v>0</v>
          </cell>
          <cell r="D5856">
            <v>0</v>
          </cell>
          <cell r="E5856" t="e">
            <v>#VALUE!</v>
          </cell>
          <cell r="F5856">
            <v>0</v>
          </cell>
        </row>
        <row r="5857">
          <cell r="A5857" t="str">
            <v>STR2P2VC</v>
          </cell>
          <cell r="B5857">
            <v>9.37646063631528E-2</v>
          </cell>
          <cell r="C5857">
            <v>0</v>
          </cell>
          <cell r="D5857">
            <v>0</v>
          </cell>
          <cell r="E5857" t="e">
            <v>#VALUE!</v>
          </cell>
          <cell r="F5857">
            <v>0</v>
          </cell>
        </row>
        <row r="5858">
          <cell r="A5858" t="str">
            <v>STR2P3VC</v>
          </cell>
          <cell r="B5858">
            <v>2.5115560856647789E-4</v>
          </cell>
          <cell r="C5858">
            <v>0</v>
          </cell>
          <cell r="D5858">
            <v>0</v>
          </cell>
          <cell r="E5858" t="e">
            <v>#VALUE!</v>
          </cell>
          <cell r="F5858">
            <v>0</v>
          </cell>
        </row>
        <row r="5859">
          <cell r="A5859" t="str">
            <v>STR2FOVC</v>
          </cell>
          <cell r="B5859">
            <v>0</v>
          </cell>
          <cell r="C5859">
            <v>0</v>
          </cell>
          <cell r="D5859">
            <v>0</v>
          </cell>
          <cell r="E5859" t="e">
            <v>#VALUE!</v>
          </cell>
          <cell r="F5859">
            <v>-21.671039863481912</v>
          </cell>
        </row>
        <row r="5860">
          <cell r="A5860" t="str">
            <v>STR2F4VC</v>
          </cell>
          <cell r="B5860">
            <v>0</v>
          </cell>
          <cell r="C5860">
            <v>0</v>
          </cell>
          <cell r="D5860">
            <v>0</v>
          </cell>
          <cell r="E5860" t="e">
            <v>#VALUE!</v>
          </cell>
          <cell r="F5860">
            <v>-12.57966283510809</v>
          </cell>
        </row>
        <row r="5861">
          <cell r="A5861" t="str">
            <v>STR2ARVC</v>
          </cell>
          <cell r="B5861">
            <v>1.2254697130150991</v>
          </cell>
          <cell r="C5861">
            <v>0</v>
          </cell>
          <cell r="D5861">
            <v>0</v>
          </cell>
          <cell r="E5861" t="e">
            <v>#VALUE!</v>
          </cell>
          <cell r="F5861">
            <v>0</v>
          </cell>
        </row>
        <row r="5862">
          <cell r="A5862" t="str">
            <v>STR2LGVC</v>
          </cell>
          <cell r="B5862">
            <v>0</v>
          </cell>
          <cell r="C5862">
            <v>0</v>
          </cell>
          <cell r="D5862">
            <v>0</v>
          </cell>
          <cell r="E5862" t="e">
            <v>#VALUE!</v>
          </cell>
          <cell r="F5862">
            <v>-10.786478539035745</v>
          </cell>
        </row>
        <row r="5863">
          <cell r="A5863" t="str">
            <v>STR2L2VC</v>
          </cell>
          <cell r="B5863">
            <v>0</v>
          </cell>
          <cell r="C5863">
            <v>0</v>
          </cell>
          <cell r="D5863">
            <v>0</v>
          </cell>
          <cell r="E5863" t="e">
            <v>#VALUE!</v>
          </cell>
          <cell r="F5863">
            <v>-51.18603164463827</v>
          </cell>
        </row>
        <row r="5864">
          <cell r="A5864" t="str">
            <v>STR2L3VC</v>
          </cell>
          <cell r="B5864">
            <v>0</v>
          </cell>
          <cell r="C5864">
            <v>0</v>
          </cell>
          <cell r="D5864">
            <v>0</v>
          </cell>
          <cell r="E5864" t="e">
            <v>#VALUE!</v>
          </cell>
          <cell r="F5864">
            <v>-46.148560458666658</v>
          </cell>
        </row>
        <row r="5865">
          <cell r="A5865" t="str">
            <v>STR2LKVC</v>
          </cell>
          <cell r="B5865">
            <v>0</v>
          </cell>
          <cell r="C5865">
            <v>0</v>
          </cell>
          <cell r="D5865">
            <v>0</v>
          </cell>
          <cell r="E5865" t="e">
            <v>#VALUE!</v>
          </cell>
          <cell r="F5865">
            <v>-33.694503616960084</v>
          </cell>
        </row>
        <row r="5866">
          <cell r="A5866" t="str">
            <v>STR2L2KC</v>
          </cell>
          <cell r="B5866">
            <v>0</v>
          </cell>
          <cell r="C5866">
            <v>0</v>
          </cell>
          <cell r="D5866">
            <v>0</v>
          </cell>
          <cell r="E5866" t="e">
            <v>#VALUE!</v>
          </cell>
          <cell r="F5866">
            <v>-40.084955795497109</v>
          </cell>
        </row>
        <row r="5867">
          <cell r="A5867" t="str">
            <v>STR2RLVC</v>
          </cell>
          <cell r="B5867">
            <v>2.0943626861049705</v>
          </cell>
          <cell r="C5867">
            <v>0</v>
          </cell>
          <cell r="D5867">
            <v>0</v>
          </cell>
          <cell r="E5867" t="e">
            <v>#VALUE!</v>
          </cell>
          <cell r="F5867">
            <v>0</v>
          </cell>
        </row>
        <row r="5868">
          <cell r="A5868" t="str">
            <v>SUN1PN1C</v>
          </cell>
          <cell r="B5868">
            <v>0.29753596725529186</v>
          </cell>
          <cell r="C5868">
            <v>0</v>
          </cell>
          <cell r="D5868">
            <v>0</v>
          </cell>
          <cell r="E5868" t="e">
            <v>#VALUE!</v>
          </cell>
          <cell r="F5868">
            <v>0</v>
          </cell>
        </row>
        <row r="5869">
          <cell r="A5869" t="str">
            <v>SUN1TONC</v>
          </cell>
          <cell r="B5869">
            <v>0.39796559328902259</v>
          </cell>
          <cell r="C5869">
            <v>0</v>
          </cell>
          <cell r="D5869">
            <v>0</v>
          </cell>
          <cell r="E5869" t="e">
            <v>#VALUE!</v>
          </cell>
          <cell r="F5869">
            <v>0</v>
          </cell>
        </row>
        <row r="5870">
          <cell r="A5870" t="str">
            <v>SUN1RFWC</v>
          </cell>
          <cell r="B5870">
            <v>0.29753596725529186</v>
          </cell>
          <cell r="C5870">
            <v>0</v>
          </cell>
          <cell r="D5870">
            <v>0</v>
          </cell>
          <cell r="E5870" t="e">
            <v>#VALUE!</v>
          </cell>
          <cell r="F5870">
            <v>0</v>
          </cell>
        </row>
        <row r="5871">
          <cell r="A5871" t="str">
            <v>SUN1RFXC</v>
          </cell>
          <cell r="B5871">
            <v>0.29753596725529186</v>
          </cell>
          <cell r="C5871">
            <v>0</v>
          </cell>
          <cell r="D5871">
            <v>0</v>
          </cell>
          <cell r="E5871" t="e">
            <v>#VALUE!</v>
          </cell>
          <cell r="F5871">
            <v>0</v>
          </cell>
        </row>
        <row r="5872">
          <cell r="A5872" t="str">
            <v>SUN1RFYC</v>
          </cell>
          <cell r="B5872">
            <v>0.29753596725529186</v>
          </cell>
          <cell r="C5872">
            <v>0</v>
          </cell>
          <cell r="D5872">
            <v>0</v>
          </cell>
          <cell r="E5872" t="e">
            <v>#VALUE!</v>
          </cell>
          <cell r="F5872">
            <v>0</v>
          </cell>
        </row>
        <row r="5873">
          <cell r="A5873" t="str">
            <v>SUN1RFZC</v>
          </cell>
          <cell r="B5873">
            <v>0.29753596725529186</v>
          </cell>
          <cell r="C5873">
            <v>0</v>
          </cell>
          <cell r="D5873">
            <v>0</v>
          </cell>
          <cell r="E5873" t="e">
            <v>#VALUE!</v>
          </cell>
          <cell r="F5873">
            <v>0</v>
          </cell>
        </row>
        <row r="5874">
          <cell r="A5874" t="str">
            <v>SREFR90C</v>
          </cell>
          <cell r="B5874">
            <v>0</v>
          </cell>
          <cell r="C5874">
            <v>0</v>
          </cell>
          <cell r="D5874">
            <v>0</v>
          </cell>
          <cell r="E5874" t="e">
            <v>#VALUE!</v>
          </cell>
          <cell r="F5874">
            <v>112.06426899531117</v>
          </cell>
        </row>
        <row r="5875">
          <cell r="A5875" t="str">
            <v>SREFR94C</v>
          </cell>
          <cell r="B5875">
            <v>0</v>
          </cell>
          <cell r="C5875">
            <v>0</v>
          </cell>
          <cell r="D5875">
            <v>0</v>
          </cell>
          <cell r="E5875" t="e">
            <v>#VALUE!</v>
          </cell>
          <cell r="F5875">
            <v>153.28636228744298</v>
          </cell>
        </row>
        <row r="5876">
          <cell r="A5876" t="str">
            <v>SREFR98C</v>
          </cell>
          <cell r="B5876">
            <v>0.29572100582188121</v>
          </cell>
          <cell r="C5876">
            <v>0</v>
          </cell>
          <cell r="D5876">
            <v>0</v>
          </cell>
          <cell r="E5876" t="e">
            <v>#VALUE!</v>
          </cell>
          <cell r="F5876">
            <v>0</v>
          </cell>
        </row>
        <row r="5877">
          <cell r="A5877" t="str">
            <v>SREFR02C</v>
          </cell>
          <cell r="B5877">
            <v>0</v>
          </cell>
          <cell r="C5877">
            <v>0</v>
          </cell>
          <cell r="D5877">
            <v>0</v>
          </cell>
          <cell r="E5877" t="e">
            <v>#VALUE!</v>
          </cell>
          <cell r="F5877">
            <v>120.80578157607823</v>
          </cell>
        </row>
        <row r="5878">
          <cell r="A5878" t="str">
            <v>SREFNA1C</v>
          </cell>
          <cell r="B5878">
            <v>0</v>
          </cell>
          <cell r="C5878">
            <v>0</v>
          </cell>
          <cell r="D5878" t="e">
            <v>#VALUE!</v>
          </cell>
          <cell r="E5878" t="e">
            <v>#VALUE!</v>
          </cell>
          <cell r="F5878">
            <v>0</v>
          </cell>
        </row>
        <row r="5879">
          <cell r="A5879" t="str">
            <v>SREFNA2C</v>
          </cell>
          <cell r="B5879">
            <v>0</v>
          </cell>
          <cell r="C5879">
            <v>0</v>
          </cell>
          <cell r="D5879" t="e">
            <v>#VALUE!</v>
          </cell>
          <cell r="E5879" t="e">
            <v>#VALUE!</v>
          </cell>
          <cell r="F5879">
            <v>0</v>
          </cell>
        </row>
        <row r="5880">
          <cell r="A5880" t="str">
            <v>SREFNA3C</v>
          </cell>
          <cell r="B5880">
            <v>-6.8559749526520303E-2</v>
          </cell>
          <cell r="C5880">
            <v>0</v>
          </cell>
          <cell r="D5880" t="e">
            <v>#VALUE!</v>
          </cell>
          <cell r="E5880" t="e">
            <v>#VALUE!</v>
          </cell>
          <cell r="F5880">
            <v>0</v>
          </cell>
        </row>
        <row r="5881">
          <cell r="A5881" t="str">
            <v>SREFNA4C</v>
          </cell>
          <cell r="B5881">
            <v>0</v>
          </cell>
          <cell r="C5881">
            <v>0</v>
          </cell>
          <cell r="D5881" t="e">
            <v>#VALUE!</v>
          </cell>
          <cell r="E5881" t="e">
            <v>#VALUE!</v>
          </cell>
          <cell r="F5881">
            <v>0</v>
          </cell>
        </row>
        <row r="5882">
          <cell r="A5882" t="str">
            <v>SREFRF1C</v>
          </cell>
          <cell r="B5882">
            <v>0</v>
          </cell>
          <cell r="C5882">
            <v>0</v>
          </cell>
          <cell r="D5882">
            <v>0</v>
          </cell>
          <cell r="E5882" t="e">
            <v>#VALUE!</v>
          </cell>
          <cell r="F5882">
            <v>-162.79326288928723</v>
          </cell>
        </row>
        <row r="5883">
          <cell r="A5883" t="str">
            <v>SREFRF2C</v>
          </cell>
          <cell r="B5883">
            <v>0</v>
          </cell>
          <cell r="C5883">
            <v>0</v>
          </cell>
          <cell r="D5883">
            <v>0</v>
          </cell>
          <cell r="E5883" t="e">
            <v>#VALUE!</v>
          </cell>
          <cell r="F5883">
            <v>-159.3150548647528</v>
          </cell>
        </row>
        <row r="5884">
          <cell r="A5884" t="str">
            <v>SREFRF3C</v>
          </cell>
          <cell r="B5884">
            <v>0.29572100582188121</v>
          </cell>
          <cell r="C5884">
            <v>0</v>
          </cell>
          <cell r="D5884">
            <v>0</v>
          </cell>
          <cell r="E5884" t="e">
            <v>#VALUE!</v>
          </cell>
          <cell r="F5884">
            <v>0</v>
          </cell>
        </row>
        <row r="5885">
          <cell r="A5885" t="str">
            <v>SREFRF4C</v>
          </cell>
          <cell r="B5885">
            <v>0</v>
          </cell>
          <cell r="C5885">
            <v>0</v>
          </cell>
          <cell r="D5885">
            <v>0</v>
          </cell>
          <cell r="E5885" t="e">
            <v>#VALUE!</v>
          </cell>
          <cell r="F5885">
            <v>-159.58794196141909</v>
          </cell>
        </row>
        <row r="5886">
          <cell r="A5886" t="str">
            <v>SREFBPTC</v>
          </cell>
          <cell r="B5886">
            <v>0.39553799335270712</v>
          </cell>
          <cell r="C5886">
            <v>0</v>
          </cell>
          <cell r="D5886">
            <v>0</v>
          </cell>
          <cell r="E5886" t="e">
            <v>#VALUE!</v>
          </cell>
          <cell r="F5886">
            <v>0</v>
          </cell>
        </row>
        <row r="5887">
          <cell r="A5887" t="str">
            <v>SRFTR90C</v>
          </cell>
          <cell r="B5887">
            <v>0</v>
          </cell>
          <cell r="C5887">
            <v>0</v>
          </cell>
          <cell r="D5887">
            <v>0</v>
          </cell>
          <cell r="E5887" t="e">
            <v>#VALUE!</v>
          </cell>
          <cell r="F5887">
            <v>0</v>
          </cell>
        </row>
        <row r="5888">
          <cell r="A5888" t="str">
            <v>SRFTR94C</v>
          </cell>
          <cell r="B5888">
            <v>0</v>
          </cell>
          <cell r="C5888">
            <v>0</v>
          </cell>
          <cell r="D5888">
            <v>0</v>
          </cell>
          <cell r="E5888" t="e">
            <v>#VALUE!</v>
          </cell>
          <cell r="F5888">
            <v>0</v>
          </cell>
        </row>
        <row r="5889">
          <cell r="A5889" t="str">
            <v>SRFTR98C</v>
          </cell>
          <cell r="B5889">
            <v>0.25360017855689948</v>
          </cell>
          <cell r="C5889">
            <v>0</v>
          </cell>
          <cell r="D5889">
            <v>0</v>
          </cell>
          <cell r="E5889" t="e">
            <v>#VALUE!</v>
          </cell>
          <cell r="F5889">
            <v>0</v>
          </cell>
        </row>
        <row r="5890">
          <cell r="A5890" t="str">
            <v>SRFTR02C</v>
          </cell>
          <cell r="B5890">
            <v>0</v>
          </cell>
          <cell r="C5890">
            <v>0</v>
          </cell>
          <cell r="D5890">
            <v>0</v>
          </cell>
          <cell r="E5890" t="e">
            <v>#VALUE!</v>
          </cell>
          <cell r="F5890">
            <v>0</v>
          </cell>
        </row>
        <row r="5891">
          <cell r="A5891" t="str">
            <v>SRFTRFTC</v>
          </cell>
          <cell r="B5891">
            <v>0.25360017855689948</v>
          </cell>
          <cell r="C5891">
            <v>0</v>
          </cell>
          <cell r="D5891">
            <v>0</v>
          </cell>
          <cell r="E5891" t="e">
            <v>#VALUE!</v>
          </cell>
          <cell r="F5891">
            <v>0</v>
          </cell>
        </row>
        <row r="5892">
          <cell r="A5892" t="str">
            <v>SFCOLK3C</v>
          </cell>
          <cell r="B5892">
            <v>2.6486221700906754E-2</v>
          </cell>
          <cell r="C5892">
            <v>0</v>
          </cell>
          <cell r="D5892">
            <v>0</v>
          </cell>
          <cell r="E5892" t="e">
            <v>#VALUE!</v>
          </cell>
          <cell r="F5892">
            <v>0</v>
          </cell>
        </row>
        <row r="5893">
          <cell r="A5893" t="str">
            <v>SFCOLG3C</v>
          </cell>
          <cell r="B5893">
            <v>3.348067868500948E-3</v>
          </cell>
          <cell r="C5893">
            <v>0</v>
          </cell>
          <cell r="D5893">
            <v>0</v>
          </cell>
          <cell r="E5893" t="e">
            <v>#VALUE!</v>
          </cell>
          <cell r="F5893">
            <v>0</v>
          </cell>
        </row>
        <row r="5894">
          <cell r="A5894" t="str">
            <v>SFCOPG3C</v>
          </cell>
          <cell r="B5894">
            <v>0</v>
          </cell>
          <cell r="C5894">
            <v>0</v>
          </cell>
          <cell r="D5894">
            <v>0</v>
          </cell>
          <cell r="E5894" t="e">
            <v>#VALUE!</v>
          </cell>
          <cell r="F5894">
            <v>-42.043465089144775</v>
          </cell>
        </row>
        <row r="5895">
          <cell r="A5895" t="str">
            <v>SFCOLK4C</v>
          </cell>
          <cell r="B5895">
            <v>0</v>
          </cell>
          <cell r="C5895">
            <v>0</v>
          </cell>
          <cell r="D5895">
            <v>0</v>
          </cell>
          <cell r="E5895" t="e">
            <v>#VALUE!</v>
          </cell>
          <cell r="F5895">
            <v>0</v>
          </cell>
        </row>
        <row r="5896">
          <cell r="A5896" t="str">
            <v>SFCOLG4C</v>
          </cell>
          <cell r="B5896">
            <v>0</v>
          </cell>
          <cell r="C5896">
            <v>0</v>
          </cell>
          <cell r="D5896">
            <v>0</v>
          </cell>
          <cell r="E5896" t="e">
            <v>#VALUE!</v>
          </cell>
          <cell r="F5896">
            <v>0</v>
          </cell>
        </row>
        <row r="5897">
          <cell r="A5897" t="str">
            <v>SFCOPG4C</v>
          </cell>
          <cell r="B5897">
            <v>0</v>
          </cell>
          <cell r="C5897">
            <v>0</v>
          </cell>
          <cell r="D5897">
            <v>0</v>
          </cell>
          <cell r="E5897" t="e">
            <v>#VALUE!</v>
          </cell>
          <cell r="F5897">
            <v>0</v>
          </cell>
        </row>
        <row r="5898">
          <cell r="A5898" t="str">
            <v>SFCOFO3C</v>
          </cell>
          <cell r="B5898">
            <v>2.9834289103746414E-2</v>
          </cell>
          <cell r="C5898">
            <v>0</v>
          </cell>
          <cell r="D5898">
            <v>0</v>
          </cell>
          <cell r="E5898" t="e">
            <v>#VALUE!</v>
          </cell>
          <cell r="F5898">
            <v>0</v>
          </cell>
        </row>
        <row r="5899">
          <cell r="A5899" t="str">
            <v>SFCOFO4C</v>
          </cell>
          <cell r="B5899">
            <v>0</v>
          </cell>
          <cell r="C5899">
            <v>0</v>
          </cell>
          <cell r="D5899">
            <v>0</v>
          </cell>
          <cell r="E5899" t="e">
            <v>#VALUE!</v>
          </cell>
          <cell r="F5899">
            <v>0</v>
          </cell>
        </row>
        <row r="5900">
          <cell r="A5900" t="str">
            <v>SUTLKWHC</v>
          </cell>
          <cell r="B5900">
            <v>40.365668383036571</v>
          </cell>
          <cell r="C5900">
            <v>0</v>
          </cell>
          <cell r="D5900">
            <v>0</v>
          </cell>
          <cell r="E5900" t="e">
            <v>#VALUE!</v>
          </cell>
          <cell r="F5900">
            <v>0</v>
          </cell>
        </row>
        <row r="5901">
          <cell r="A5901" t="str">
            <v>SUTLWATC</v>
          </cell>
          <cell r="B5901">
            <v>0.39539580802394919</v>
          </cell>
          <cell r="C5901">
            <v>0</v>
          </cell>
          <cell r="D5901">
            <v>0</v>
          </cell>
          <cell r="E5901" t="e">
            <v>#VALUE!</v>
          </cell>
          <cell r="F5901">
            <v>0</v>
          </cell>
        </row>
        <row r="5902">
          <cell r="A5902" t="str">
            <v>SCALSTMC</v>
          </cell>
          <cell r="B5902">
            <v>0.63298627056487622</v>
          </cell>
          <cell r="C5902">
            <v>0</v>
          </cell>
          <cell r="D5902" t="e">
            <v>#VALUE!</v>
          </cell>
          <cell r="E5902" t="e">
            <v>#VALUE!</v>
          </cell>
          <cell r="F5902">
            <v>0</v>
          </cell>
        </row>
        <row r="5903">
          <cell r="A5903" t="str">
            <v>SAENH2OC</v>
          </cell>
          <cell r="B5903">
            <v>9.1101248888936767E-2</v>
          </cell>
          <cell r="C5903">
            <v>0</v>
          </cell>
          <cell r="D5903" t="e">
            <v>#VALUE!</v>
          </cell>
          <cell r="E5903" t="e">
            <v>#VALUE!</v>
          </cell>
          <cell r="F5903">
            <v>0</v>
          </cell>
        </row>
        <row r="5904">
          <cell r="A5904" t="str">
            <v>SPFSGN4C</v>
          </cell>
          <cell r="B5904">
            <v>0</v>
          </cell>
          <cell r="C5904">
            <v>0</v>
          </cell>
          <cell r="D5904" t="e">
            <v>#VALUE!</v>
          </cell>
          <cell r="E5904" t="e">
            <v>#VALUE!</v>
          </cell>
          <cell r="F5904">
            <v>-80</v>
          </cell>
        </row>
        <row r="5905">
          <cell r="A5905" t="str">
            <v>SPFSHYLC</v>
          </cell>
          <cell r="B5905">
            <v>1.9582770596424194E-2</v>
          </cell>
          <cell r="C5905">
            <v>0</v>
          </cell>
          <cell r="D5905" t="e">
            <v>#VALUE!</v>
          </cell>
          <cell r="E5905" t="e">
            <v>#VALUE!</v>
          </cell>
          <cell r="F5905">
            <v>0</v>
          </cell>
        </row>
        <row r="5906">
          <cell r="A5906" t="str">
            <v>SPFSNC1C</v>
          </cell>
          <cell r="B5906">
            <v>1.6871100441514426E-3</v>
          </cell>
          <cell r="C5906">
            <v>0</v>
          </cell>
          <cell r="D5906">
            <v>0</v>
          </cell>
          <cell r="E5906" t="e">
            <v>#VALUE!</v>
          </cell>
          <cell r="F5906">
            <v>0</v>
          </cell>
        </row>
        <row r="5907">
          <cell r="A5907" t="str">
            <v>SPFSNC2C</v>
          </cell>
          <cell r="B5907">
            <v>4.4601103737440008E-3</v>
          </cell>
          <cell r="C5907">
            <v>0</v>
          </cell>
          <cell r="D5907">
            <v>0</v>
          </cell>
          <cell r="E5907" t="e">
            <v>#VALUE!</v>
          </cell>
          <cell r="F5907">
            <v>0</v>
          </cell>
        </row>
        <row r="5908">
          <cell r="A5908" t="str">
            <v>SPFSNC3C</v>
          </cell>
          <cell r="B5908">
            <v>1.5117939556502317E-2</v>
          </cell>
          <cell r="C5908">
            <v>0</v>
          </cell>
          <cell r="D5908">
            <v>0</v>
          </cell>
          <cell r="E5908" t="e">
            <v>#VALUE!</v>
          </cell>
          <cell r="F5908">
            <v>0</v>
          </cell>
        </row>
        <row r="5909">
          <cell r="A5909" t="str">
            <v>SPFSIC4C</v>
          </cell>
          <cell r="B5909">
            <v>7.301178125485982E-3</v>
          </cell>
          <cell r="C5909">
            <v>0</v>
          </cell>
          <cell r="D5909">
            <v>0</v>
          </cell>
          <cell r="E5909" t="e">
            <v>#VALUE!</v>
          </cell>
          <cell r="F5909">
            <v>0</v>
          </cell>
        </row>
        <row r="5910">
          <cell r="A5910" t="str">
            <v>SPFSNC4C</v>
          </cell>
          <cell r="B5910">
            <v>4.7829437858029587E-2</v>
          </cell>
          <cell r="C5910">
            <v>0</v>
          </cell>
          <cell r="D5910">
            <v>0</v>
          </cell>
          <cell r="E5910" t="e">
            <v>#VALUE!</v>
          </cell>
          <cell r="F5910">
            <v>0</v>
          </cell>
        </row>
        <row r="5911">
          <cell r="A5911" t="str">
            <v>SSGPNC1C</v>
          </cell>
          <cell r="B5911">
            <v>1.6871100441514426E-3</v>
          </cell>
          <cell r="C5911">
            <v>0</v>
          </cell>
          <cell r="D5911">
            <v>0</v>
          </cell>
          <cell r="E5911" t="e">
            <v>#VALUE!</v>
          </cell>
          <cell r="F5911">
            <v>0</v>
          </cell>
        </row>
        <row r="5912">
          <cell r="A5912" t="str">
            <v>SSGPNC2C</v>
          </cell>
          <cell r="B5912">
            <v>4.4601103737440008E-3</v>
          </cell>
          <cell r="C5912">
            <v>0</v>
          </cell>
          <cell r="D5912">
            <v>0</v>
          </cell>
          <cell r="E5912" t="e">
            <v>#VALUE!</v>
          </cell>
          <cell r="F5912">
            <v>0</v>
          </cell>
        </row>
        <row r="5913">
          <cell r="A5913" t="str">
            <v>SSGPNC3C</v>
          </cell>
          <cell r="B5913">
            <v>1.5117939556502317E-2</v>
          </cell>
          <cell r="C5913">
            <v>0</v>
          </cell>
          <cell r="D5913">
            <v>0</v>
          </cell>
          <cell r="E5913" t="e">
            <v>#VALUE!</v>
          </cell>
          <cell r="F5913">
            <v>0</v>
          </cell>
        </row>
        <row r="5914">
          <cell r="A5914" t="str">
            <v>SSGPIC4C</v>
          </cell>
          <cell r="B5914">
            <v>1.256837985695225E-2</v>
          </cell>
          <cell r="C5914">
            <v>0</v>
          </cell>
          <cell r="D5914">
            <v>0</v>
          </cell>
          <cell r="E5914" t="e">
            <v>#VALUE!</v>
          </cell>
          <cell r="F5914">
            <v>0</v>
          </cell>
        </row>
        <row r="5915">
          <cell r="A5915" t="str">
            <v>SSGPNC4C</v>
          </cell>
          <cell r="B5915">
            <v>4.7829437858029587E-2</v>
          </cell>
          <cell r="C5915">
            <v>0</v>
          </cell>
          <cell r="D5915">
            <v>0</v>
          </cell>
          <cell r="E5915" t="e">
            <v>#VALUE!</v>
          </cell>
          <cell r="F5915">
            <v>0</v>
          </cell>
        </row>
        <row r="5916">
          <cell r="A5916" t="str">
            <v>SPERNC1C</v>
          </cell>
          <cell r="B5916">
            <v>0</v>
          </cell>
          <cell r="C5916">
            <v>0</v>
          </cell>
          <cell r="D5916">
            <v>0</v>
          </cell>
          <cell r="E5916" t="e">
            <v>#VALUE!</v>
          </cell>
          <cell r="F5916">
            <v>-9.3869624606668367E-7</v>
          </cell>
        </row>
        <row r="5917">
          <cell r="A5917" t="str">
            <v>SPERNC2C</v>
          </cell>
          <cell r="B5917">
            <v>0</v>
          </cell>
          <cell r="C5917">
            <v>0</v>
          </cell>
          <cell r="D5917">
            <v>0</v>
          </cell>
          <cell r="E5917" t="e">
            <v>#VALUE!</v>
          </cell>
          <cell r="F5917">
            <v>-3.8921552913961932E-7</v>
          </cell>
        </row>
        <row r="5918">
          <cell r="A5918" t="str">
            <v>SPERNC3C</v>
          </cell>
          <cell r="B5918">
            <v>0</v>
          </cell>
          <cell r="C5918">
            <v>0</v>
          </cell>
          <cell r="D5918">
            <v>0</v>
          </cell>
          <cell r="E5918" t="e">
            <v>#VALUE!</v>
          </cell>
          <cell r="F5918">
            <v>-1.3993442848914128E-7</v>
          </cell>
        </row>
        <row r="5919">
          <cell r="A5919" t="str">
            <v>SPERNC4C</v>
          </cell>
          <cell r="B5919">
            <v>0</v>
          </cell>
          <cell r="C5919">
            <v>0</v>
          </cell>
          <cell r="D5919">
            <v>0</v>
          </cell>
          <cell r="E5919" t="e">
            <v>#VALUE!</v>
          </cell>
          <cell r="F5919">
            <v>-7.6927300085571915E-9</v>
          </cell>
        </row>
        <row r="5920">
          <cell r="A5920" t="str">
            <v>SPERIC4C</v>
          </cell>
          <cell r="B5920">
            <v>5.2672014979977316E-3</v>
          </cell>
          <cell r="C5920">
            <v>0</v>
          </cell>
          <cell r="D5920">
            <v>0</v>
          </cell>
          <cell r="E5920" t="e">
            <v>#VALUE!</v>
          </cell>
          <cell r="F5920">
            <v>0</v>
          </cell>
        </row>
        <row r="5921">
          <cell r="A5921" t="str">
            <v>SPERHYLC</v>
          </cell>
          <cell r="B5921">
            <v>0</v>
          </cell>
          <cell r="C5921">
            <v>0</v>
          </cell>
          <cell r="D5921">
            <v>0</v>
          </cell>
          <cell r="E5921" t="e">
            <v>#VALUE!</v>
          </cell>
          <cell r="F5921">
            <v>-1.6252999557764269E-5</v>
          </cell>
        </row>
        <row r="5922">
          <cell r="A5922" t="str">
            <v>SPERH2SC</v>
          </cell>
          <cell r="B5922">
            <v>7.1321749782240758E-4</v>
          </cell>
          <cell r="C5922">
            <v>0</v>
          </cell>
          <cell r="D5922">
            <v>0</v>
          </cell>
          <cell r="E5922" t="e">
            <v>#VALUE!</v>
          </cell>
          <cell r="F5922">
            <v>0</v>
          </cell>
        </row>
        <row r="5923">
          <cell r="A5923" t="str">
            <v>SADIADIC</v>
          </cell>
          <cell r="B5923">
            <v>3.2747413401734336E-2</v>
          </cell>
          <cell r="C5923">
            <v>0</v>
          </cell>
          <cell r="D5923">
            <v>0</v>
          </cell>
          <cell r="E5923" t="e">
            <v>#VALUE!</v>
          </cell>
          <cell r="F5923">
            <v>0</v>
          </cell>
        </row>
        <row r="5924">
          <cell r="A5924" t="str">
            <v>SADIAD1C</v>
          </cell>
          <cell r="B5924">
            <v>3.2747413401734336E-2</v>
          </cell>
          <cell r="C5924">
            <v>0</v>
          </cell>
          <cell r="D5924">
            <v>0</v>
          </cell>
          <cell r="E5924" t="e">
            <v>#VALUE!</v>
          </cell>
          <cell r="F5924">
            <v>-0.30720208703655089</v>
          </cell>
        </row>
        <row r="5925">
          <cell r="A5925" t="str">
            <v>SADIAD2C</v>
          </cell>
          <cell r="B5925">
            <v>0</v>
          </cell>
          <cell r="C5925">
            <v>0</v>
          </cell>
          <cell r="D5925">
            <v>0</v>
          </cell>
          <cell r="E5925" t="e">
            <v>#VALUE!</v>
          </cell>
          <cell r="F5925">
            <v>-0.69075632209647186</v>
          </cell>
        </row>
        <row r="5926">
          <cell r="A5926" t="str">
            <v>SADIAD3C</v>
          </cell>
          <cell r="B5926">
            <v>0</v>
          </cell>
          <cell r="C5926">
            <v>0</v>
          </cell>
          <cell r="D5926">
            <v>0</v>
          </cell>
          <cell r="E5926" t="e">
            <v>#VALUE!</v>
          </cell>
          <cell r="F5926">
            <v>-1.0599528920160581</v>
          </cell>
        </row>
        <row r="5927">
          <cell r="A5927" t="str">
            <v>SvplCENC</v>
          </cell>
          <cell r="B5927">
            <v>0.33176219463348389</v>
          </cell>
          <cell r="C5927">
            <v>0</v>
          </cell>
          <cell r="D5927">
            <v>0</v>
          </cell>
          <cell r="E5927" t="e">
            <v>#VALUE!</v>
          </cell>
          <cell r="F5927">
            <v>0</v>
          </cell>
        </row>
        <row r="5928">
          <cell r="A5928" t="str">
            <v>SvplCHAC</v>
          </cell>
          <cell r="B5928">
            <v>0.47468850016593933</v>
          </cell>
          <cell r="C5928">
            <v>0</v>
          </cell>
          <cell r="D5928">
            <v>0</v>
          </cell>
          <cell r="E5928" t="e">
            <v>#VALUE!</v>
          </cell>
          <cell r="F5928">
            <v>0</v>
          </cell>
        </row>
        <row r="5929">
          <cell r="A5929" t="str">
            <v>SvplCLLC</v>
          </cell>
          <cell r="B5929">
            <v>1.1420300006866455</v>
          </cell>
          <cell r="C5929">
            <v>0</v>
          </cell>
          <cell r="D5929">
            <v>0</v>
          </cell>
          <cell r="E5929" t="e">
            <v>#VALUE!</v>
          </cell>
          <cell r="F5929">
            <v>0</v>
          </cell>
        </row>
        <row r="5930">
          <cell r="A5930" t="str">
            <v>SvplNDDC</v>
          </cell>
          <cell r="B5930">
            <v>0.48033899068832397</v>
          </cell>
          <cell r="C5930">
            <v>0</v>
          </cell>
          <cell r="D5930">
            <v>0</v>
          </cell>
          <cell r="E5930" t="e">
            <v>#VALUE!</v>
          </cell>
          <cell r="F5930">
            <v>0</v>
          </cell>
        </row>
        <row r="5931">
          <cell r="A5931" t="str">
            <v>SvplPCHC</v>
          </cell>
          <cell r="B5931">
            <v>0.35624799132347107</v>
          </cell>
          <cell r="C5931">
            <v>0</v>
          </cell>
          <cell r="D5931">
            <v>0</v>
          </cell>
          <cell r="E5931" t="e">
            <v>#VALUE!</v>
          </cell>
          <cell r="F5931">
            <v>0</v>
          </cell>
        </row>
        <row r="5932">
          <cell r="A5932" t="str">
            <v>SvplAGSC</v>
          </cell>
          <cell r="B5932">
            <v>0</v>
          </cell>
          <cell r="C5932">
            <v>0</v>
          </cell>
          <cell r="D5932">
            <v>0</v>
          </cell>
          <cell r="E5932" t="e">
            <v>#VALUE!</v>
          </cell>
          <cell r="F5932">
            <v>0</v>
          </cell>
        </row>
        <row r="5933">
          <cell r="A5933" t="str">
            <v>SvplSDDC</v>
          </cell>
          <cell r="B5933">
            <v>0.36553001403808594</v>
          </cell>
          <cell r="C5933">
            <v>0</v>
          </cell>
          <cell r="D5933">
            <v>0</v>
          </cell>
          <cell r="E5933" t="e">
            <v>#VALUE!</v>
          </cell>
          <cell r="F5933">
            <v>0</v>
          </cell>
        </row>
        <row r="5934">
          <cell r="A5934" t="str">
            <v>SvplmCSC</v>
          </cell>
          <cell r="B5934">
            <v>3.1505978107452393</v>
          </cell>
          <cell r="C5934">
            <v>0</v>
          </cell>
          <cell r="D5934">
            <v>0</v>
          </cell>
          <cell r="E5934" t="e">
            <v>#VALUE!</v>
          </cell>
          <cell r="F5934">
            <v>0</v>
          </cell>
        </row>
        <row r="5935">
          <cell r="A5935" t="str">
            <v>STP1RNQC</v>
          </cell>
          <cell r="B5935">
            <v>0</v>
          </cell>
          <cell r="C5935">
            <v>0</v>
          </cell>
          <cell r="D5935">
            <v>0</v>
          </cell>
          <cell r="E5935" t="e">
            <v>#VALUE!</v>
          </cell>
          <cell r="F5935">
            <v>0</v>
          </cell>
        </row>
        <row r="5936">
          <cell r="A5936" t="str">
            <v>STP3CLLC</v>
          </cell>
          <cell r="B5936">
            <v>0.10308056165502497</v>
          </cell>
          <cell r="C5936">
            <v>0</v>
          </cell>
          <cell r="D5936">
            <v>0</v>
          </cell>
          <cell r="E5936" t="e">
            <v>#VALUE!</v>
          </cell>
          <cell r="F5936">
            <v>0</v>
          </cell>
        </row>
        <row r="5937">
          <cell r="A5937" t="str">
            <v>STP5CLLC</v>
          </cell>
          <cell r="B5937">
            <v>0.15462097754217174</v>
          </cell>
          <cell r="C5937">
            <v>0</v>
          </cell>
          <cell r="D5937">
            <v>0</v>
          </cell>
          <cell r="E5937" t="e">
            <v>#VALUE!</v>
          </cell>
          <cell r="F5937">
            <v>0</v>
          </cell>
        </row>
        <row r="5938">
          <cell r="A5938" t="str">
            <v>STP2RNQC</v>
          </cell>
          <cell r="B5938">
            <v>0</v>
          </cell>
          <cell r="C5938">
            <v>0</v>
          </cell>
          <cell r="D5938">
            <v>0</v>
          </cell>
          <cell r="E5938" t="e">
            <v>#VALUE!</v>
          </cell>
          <cell r="F5938">
            <v>0</v>
          </cell>
        </row>
        <row r="5939">
          <cell r="A5939" t="str">
            <v>STP4CLLC</v>
          </cell>
          <cell r="B5939">
            <v>5.9496149624863715E-2</v>
          </cell>
          <cell r="C5939">
            <v>0</v>
          </cell>
          <cell r="D5939">
            <v>0</v>
          </cell>
          <cell r="E5939" t="e">
            <v>#VALUE!</v>
          </cell>
          <cell r="F5939">
            <v>0</v>
          </cell>
        </row>
        <row r="5940">
          <cell r="A5940" t="str">
            <v>STP6CLLC</v>
          </cell>
          <cell r="B5940">
            <v>8.9244303821700899E-2</v>
          </cell>
          <cell r="C5940">
            <v>0</v>
          </cell>
          <cell r="D5940">
            <v>0</v>
          </cell>
          <cell r="E5940" t="e">
            <v>#VALUE!</v>
          </cell>
          <cell r="F5940">
            <v>0</v>
          </cell>
        </row>
        <row r="5941">
          <cell r="A5941" t="str">
            <v>EpencolC</v>
          </cell>
          <cell r="B5941">
            <v>3.0428409524168155E-9</v>
          </cell>
          <cell r="C5941">
            <v>-1</v>
          </cell>
          <cell r="D5941">
            <v>0</v>
          </cell>
          <cell r="E5941" t="e">
            <v>#VALUE!</v>
          </cell>
          <cell r="F5941">
            <v>0</v>
          </cell>
        </row>
        <row r="5942">
          <cell r="A5942" t="str">
            <v>RSPGLN1C</v>
          </cell>
          <cell r="B5942">
            <v>-2.9397928977992357E-5</v>
          </cell>
          <cell r="C5942">
            <v>0</v>
          </cell>
          <cell r="D5942" t="e">
            <v>#VALUE!</v>
          </cell>
          <cell r="E5942" t="e">
            <v>#VALUE!</v>
          </cell>
          <cell r="F5942">
            <v>0</v>
          </cell>
        </row>
        <row r="5943">
          <cell r="A5943" t="str">
            <v>RSPGPL1C</v>
          </cell>
          <cell r="B5943">
            <v>3.4143255945838371E-5</v>
          </cell>
          <cell r="C5943">
            <v>0</v>
          </cell>
          <cell r="D5943" t="e">
            <v>#VALUE!</v>
          </cell>
          <cell r="E5943" t="e">
            <v>#VALUE!</v>
          </cell>
          <cell r="F5943">
            <v>0</v>
          </cell>
        </row>
        <row r="5944">
          <cell r="A5944" t="str">
            <v>RSPGPL2C</v>
          </cell>
          <cell r="B5944">
            <v>2.5705361889082541E-6</v>
          </cell>
          <cell r="C5944">
            <v>0</v>
          </cell>
          <cell r="D5944" t="e">
            <v>#VALUE!</v>
          </cell>
          <cell r="E5944" t="e">
            <v>#VALUE!</v>
          </cell>
          <cell r="F5944">
            <v>0</v>
          </cell>
        </row>
        <row r="5945">
          <cell r="A5945" t="str">
            <v>RSPGPL3C</v>
          </cell>
          <cell r="B5945">
            <v>-3.9878225166489756E-9</v>
          </cell>
          <cell r="C5945">
            <v>0</v>
          </cell>
          <cell r="D5945" t="e">
            <v>#VALUE!</v>
          </cell>
          <cell r="E5945" t="e">
            <v>#VALUE!</v>
          </cell>
          <cell r="F5945">
            <v>0</v>
          </cell>
        </row>
        <row r="5946">
          <cell r="A5946" t="str">
            <v>RSPGPL4C</v>
          </cell>
          <cell r="B5946">
            <v>0</v>
          </cell>
          <cell r="C5946">
            <v>0</v>
          </cell>
          <cell r="D5946" t="e">
            <v>#VALUE!</v>
          </cell>
          <cell r="E5946" t="e">
            <v>#VALUE!</v>
          </cell>
          <cell r="F5946">
            <v>0</v>
          </cell>
        </row>
        <row r="5947">
          <cell r="A5947" t="str">
            <v>RSPGPL5C</v>
          </cell>
          <cell r="B5947">
            <v>-1.2593042164610324E-9</v>
          </cell>
          <cell r="C5947">
            <v>0</v>
          </cell>
          <cell r="D5947" t="e">
            <v>#VALUE!</v>
          </cell>
          <cell r="E5947" t="e">
            <v>#VALUE!</v>
          </cell>
          <cell r="F5947">
            <v>0</v>
          </cell>
        </row>
        <row r="5948">
          <cell r="A5948" t="str">
            <v>RSPGPL6C</v>
          </cell>
          <cell r="B5948">
            <v>0</v>
          </cell>
          <cell r="C5948">
            <v>0</v>
          </cell>
          <cell r="D5948" t="e">
            <v>#VALUE!</v>
          </cell>
          <cell r="E5948" t="e">
            <v>#VALUE!</v>
          </cell>
          <cell r="F5948">
            <v>0</v>
          </cell>
        </row>
        <row r="5949">
          <cell r="A5949" t="str">
            <v>RSPGPN1C</v>
          </cell>
          <cell r="B5949">
            <v>2.8715565938918571E-5</v>
          </cell>
          <cell r="C5949">
            <v>0</v>
          </cell>
          <cell r="D5949" t="e">
            <v>#VALUE!</v>
          </cell>
          <cell r="E5949" t="e">
            <v>#VALUE!</v>
          </cell>
          <cell r="F5949">
            <v>0</v>
          </cell>
        </row>
        <row r="5950">
          <cell r="A5950" t="str">
            <v>RSPGSW1C</v>
          </cell>
          <cell r="B5950">
            <v>1.645740996425175E-5</v>
          </cell>
          <cell r="C5950">
            <v>0</v>
          </cell>
          <cell r="D5950" t="e">
            <v>#VALUE!</v>
          </cell>
          <cell r="E5950" t="e">
            <v>#VALUE!</v>
          </cell>
          <cell r="F5950">
            <v>0</v>
          </cell>
        </row>
        <row r="5951">
          <cell r="A5951" t="str">
            <v>RSPGSW2C</v>
          </cell>
          <cell r="B5951">
            <v>1.2232429780820669E-6</v>
          </cell>
          <cell r="C5951">
            <v>0</v>
          </cell>
          <cell r="D5951" t="e">
            <v>#VALUE!</v>
          </cell>
          <cell r="E5951" t="e">
            <v>#VALUE!</v>
          </cell>
          <cell r="F5951">
            <v>0</v>
          </cell>
        </row>
        <row r="5952">
          <cell r="A5952" t="str">
            <v>RSPGSW3C</v>
          </cell>
          <cell r="B5952">
            <v>-2.5035362341441214E-5</v>
          </cell>
          <cell r="C5952">
            <v>0</v>
          </cell>
          <cell r="D5952" t="e">
            <v>#VALUE!</v>
          </cell>
          <cell r="E5952" t="e">
            <v>#VALUE!</v>
          </cell>
          <cell r="F5952">
            <v>0</v>
          </cell>
        </row>
        <row r="5953">
          <cell r="A5953" t="str">
            <v>RSPGSW4C</v>
          </cell>
          <cell r="B5953">
            <v>0</v>
          </cell>
          <cell r="C5953">
            <v>0</v>
          </cell>
          <cell r="D5953" t="e">
            <v>#VALUE!</v>
          </cell>
          <cell r="E5953" t="e">
            <v>#VALUE!</v>
          </cell>
          <cell r="F5953">
            <v>0</v>
          </cell>
        </row>
        <row r="5954">
          <cell r="A5954" t="str">
            <v>RSPGSW5C</v>
          </cell>
          <cell r="B5954">
            <v>-7.9058527262532152E-6</v>
          </cell>
          <cell r="C5954">
            <v>0</v>
          </cell>
          <cell r="D5954" t="e">
            <v>#VALUE!</v>
          </cell>
          <cell r="E5954" t="e">
            <v>#VALUE!</v>
          </cell>
          <cell r="F5954">
            <v>0</v>
          </cell>
        </row>
        <row r="5955">
          <cell r="A5955" t="str">
            <v>RSPGSW6C</v>
          </cell>
          <cell r="B5955">
            <v>0</v>
          </cell>
          <cell r="C5955">
            <v>0</v>
          </cell>
          <cell r="D5955" t="e">
            <v>#VALUE!</v>
          </cell>
          <cell r="E5955" t="e">
            <v>#VALUE!</v>
          </cell>
          <cell r="F5955">
            <v>0</v>
          </cell>
        </row>
        <row r="5956">
          <cell r="A5956" t="str">
            <v>RSPGLK1C</v>
          </cell>
          <cell r="B5956">
            <v>-2.275672041010594E-4</v>
          </cell>
          <cell r="C5956">
            <v>0</v>
          </cell>
          <cell r="D5956" t="e">
            <v>#VALUE!</v>
          </cell>
          <cell r="E5956" t="e">
            <v>#VALUE!</v>
          </cell>
          <cell r="F5956">
            <v>0</v>
          </cell>
        </row>
        <row r="5957">
          <cell r="A5957" t="str">
            <v>RSPGLK2C</v>
          </cell>
          <cell r="B5957">
            <v>-2.3351276288612757E-5</v>
          </cell>
          <cell r="C5957">
            <v>0</v>
          </cell>
          <cell r="D5957" t="e">
            <v>#VALUE!</v>
          </cell>
          <cell r="E5957" t="e">
            <v>#VALUE!</v>
          </cell>
          <cell r="F5957">
            <v>0</v>
          </cell>
        </row>
        <row r="5958">
          <cell r="A5958" t="str">
            <v>RSPGLK3C</v>
          </cell>
          <cell r="B5958">
            <v>-2.6408629310026299E-6</v>
          </cell>
          <cell r="C5958">
            <v>0</v>
          </cell>
          <cell r="D5958" t="e">
            <v>#VALUE!</v>
          </cell>
          <cell r="E5958" t="e">
            <v>#VALUE!</v>
          </cell>
          <cell r="F5958">
            <v>0</v>
          </cell>
        </row>
        <row r="5959">
          <cell r="A5959" t="str">
            <v>RSPGLK4C</v>
          </cell>
          <cell r="B5959">
            <v>0</v>
          </cell>
          <cell r="C5959">
            <v>0</v>
          </cell>
          <cell r="D5959" t="e">
            <v>#VALUE!</v>
          </cell>
          <cell r="E5959" t="e">
            <v>#VALUE!</v>
          </cell>
          <cell r="F5959">
            <v>0</v>
          </cell>
        </row>
        <row r="5960">
          <cell r="A5960" t="str">
            <v>RSPGLG1C</v>
          </cell>
          <cell r="B5960">
            <v>1.4640093393933207E-4</v>
          </cell>
          <cell r="C5960">
            <v>0</v>
          </cell>
          <cell r="D5960" t="e">
            <v>#VALUE!</v>
          </cell>
          <cell r="E5960" t="e">
            <v>#VALUE!</v>
          </cell>
          <cell r="F5960">
            <v>0</v>
          </cell>
        </row>
        <row r="5961">
          <cell r="A5961" t="str">
            <v>RSPGLG2C</v>
          </cell>
          <cell r="B5961">
            <v>-2.7683965988858726E-6</v>
          </cell>
          <cell r="C5961">
            <v>0</v>
          </cell>
          <cell r="D5961" t="e">
            <v>#VALUE!</v>
          </cell>
          <cell r="E5961" t="e">
            <v>#VALUE!</v>
          </cell>
          <cell r="F5961">
            <v>0</v>
          </cell>
        </row>
        <row r="5962">
          <cell r="A5962" t="str">
            <v>RSPGLG3C</v>
          </cell>
          <cell r="B5962">
            <v>-1.4871612830091863E-9</v>
          </cell>
          <cell r="C5962">
            <v>0</v>
          </cell>
          <cell r="D5962" t="e">
            <v>#VALUE!</v>
          </cell>
          <cell r="E5962" t="e">
            <v>#VALUE!</v>
          </cell>
          <cell r="F5962">
            <v>0</v>
          </cell>
        </row>
        <row r="5963">
          <cell r="A5963" t="str">
            <v>RSPGLG4C</v>
          </cell>
          <cell r="B5963">
            <v>0</v>
          </cell>
          <cell r="C5963">
            <v>0</v>
          </cell>
          <cell r="D5963" t="e">
            <v>#VALUE!</v>
          </cell>
          <cell r="E5963" t="e">
            <v>#VALUE!</v>
          </cell>
          <cell r="F5963">
            <v>0</v>
          </cell>
        </row>
        <row r="5964">
          <cell r="A5964" t="str">
            <v>RSPGPG1C</v>
          </cell>
          <cell r="B5964">
            <v>7.466903762330687E-8</v>
          </cell>
          <cell r="C5964">
            <v>0</v>
          </cell>
          <cell r="D5964" t="e">
            <v>#VALUE!</v>
          </cell>
          <cell r="E5964" t="e">
            <v>#VALUE!</v>
          </cell>
          <cell r="F5964">
            <v>0</v>
          </cell>
        </row>
        <row r="5965">
          <cell r="A5965" t="str">
            <v>RSPGPG2C</v>
          </cell>
          <cell r="B5965">
            <v>4.3350994120842561E-7</v>
          </cell>
          <cell r="C5965">
            <v>0</v>
          </cell>
          <cell r="D5965" t="e">
            <v>#VALUE!</v>
          </cell>
          <cell r="E5965" t="e">
            <v>#VALUE!</v>
          </cell>
          <cell r="F5965">
            <v>0</v>
          </cell>
        </row>
        <row r="5966">
          <cell r="A5966" t="str">
            <v>RSPGPG3C</v>
          </cell>
          <cell r="B5966">
            <v>-4.892010754820042E-11</v>
          </cell>
          <cell r="C5966">
            <v>0</v>
          </cell>
          <cell r="D5966" t="e">
            <v>#VALUE!</v>
          </cell>
          <cell r="E5966" t="e">
            <v>#VALUE!</v>
          </cell>
          <cell r="F5966">
            <v>0</v>
          </cell>
        </row>
        <row r="5967">
          <cell r="A5967" t="str">
            <v>RSPGPG4C</v>
          </cell>
          <cell r="B5967">
            <v>0</v>
          </cell>
          <cell r="C5967">
            <v>0</v>
          </cell>
          <cell r="D5967" t="e">
            <v>#VALUE!</v>
          </cell>
          <cell r="E5967" t="e">
            <v>#VALUE!</v>
          </cell>
          <cell r="F5967">
            <v>0</v>
          </cell>
        </row>
        <row r="5968">
          <cell r="A5968" t="str">
            <v>RSPGAR1C</v>
          </cell>
          <cell r="B5968">
            <v>-1.1361846976398414E-4</v>
          </cell>
          <cell r="C5968">
            <v>0</v>
          </cell>
          <cell r="D5968" t="e">
            <v>#VALUE!</v>
          </cell>
          <cell r="E5968" t="e">
            <v>#VALUE!</v>
          </cell>
          <cell r="F5968">
            <v>0</v>
          </cell>
        </row>
        <row r="5969">
          <cell r="A5969" t="str">
            <v>RSPGRFWC</v>
          </cell>
          <cell r="B5969">
            <v>-3.7173065265960757E-7</v>
          </cell>
          <cell r="C5969">
            <v>0</v>
          </cell>
          <cell r="D5969" t="e">
            <v>#VALUE!</v>
          </cell>
          <cell r="E5969" t="e">
            <v>#VALUE!</v>
          </cell>
          <cell r="F5969">
            <v>0</v>
          </cell>
        </row>
        <row r="5970">
          <cell r="A5970" t="str">
            <v>RSPGRFXC</v>
          </cell>
          <cell r="B5970">
            <v>-3.7173065265960757E-7</v>
          </cell>
          <cell r="C5970">
            <v>0</v>
          </cell>
          <cell r="D5970" t="e">
            <v>#VALUE!</v>
          </cell>
          <cell r="E5970" t="e">
            <v>#VALUE!</v>
          </cell>
          <cell r="F5970">
            <v>0</v>
          </cell>
        </row>
        <row r="5971">
          <cell r="A5971" t="str">
            <v>RSPGRFYC</v>
          </cell>
          <cell r="B5971">
            <v>-3.7173065265960757E-7</v>
          </cell>
          <cell r="C5971">
            <v>0</v>
          </cell>
          <cell r="D5971" t="e">
            <v>#VALUE!</v>
          </cell>
          <cell r="E5971" t="e">
            <v>#VALUE!</v>
          </cell>
          <cell r="F5971">
            <v>0</v>
          </cell>
        </row>
        <row r="5972">
          <cell r="A5972" t="str">
            <v>RSPGRFZC</v>
          </cell>
          <cell r="B5972">
            <v>-3.7173065265960757E-7</v>
          </cell>
          <cell r="C5972">
            <v>0</v>
          </cell>
          <cell r="D5972" t="e">
            <v>#VALUE!</v>
          </cell>
          <cell r="E5972" t="e">
            <v>#VALUE!</v>
          </cell>
          <cell r="F5972">
            <v>0</v>
          </cell>
        </row>
        <row r="5973">
          <cell r="A5973" t="str">
            <v>RSPGRFTC</v>
          </cell>
          <cell r="B5973">
            <v>1.3097810248014766E-7</v>
          </cell>
          <cell r="C5973">
            <v>0</v>
          </cell>
          <cell r="D5973" t="e">
            <v>#VALUE!</v>
          </cell>
          <cell r="E5973" t="e">
            <v>#VALUE!</v>
          </cell>
          <cell r="F5973">
            <v>0</v>
          </cell>
        </row>
        <row r="5974">
          <cell r="A5974" t="str">
            <v>RSPGNPHC</v>
          </cell>
          <cell r="B5974">
            <v>0</v>
          </cell>
          <cell r="C5974">
            <v>0</v>
          </cell>
          <cell r="D5974" t="e">
            <v>#VALUE!</v>
          </cell>
          <cell r="E5974" t="e">
            <v>#VALUE!</v>
          </cell>
          <cell r="F5974">
            <v>0</v>
          </cell>
        </row>
        <row r="5975">
          <cell r="A5975" t="str">
            <v>RSPGFO3C</v>
          </cell>
          <cell r="B5975">
            <v>-2.8105217903354145E-9</v>
          </cell>
          <cell r="C5975">
            <v>0</v>
          </cell>
          <cell r="D5975" t="e">
            <v>#VALUE!</v>
          </cell>
          <cell r="E5975" t="e">
            <v>#VALUE!</v>
          </cell>
          <cell r="F5975">
            <v>0</v>
          </cell>
        </row>
        <row r="5976">
          <cell r="A5976" t="str">
            <v>RSPGFO4C</v>
          </cell>
          <cell r="B5976">
            <v>0</v>
          </cell>
          <cell r="C5976">
            <v>0</v>
          </cell>
          <cell r="D5976" t="e">
            <v>#VALUE!</v>
          </cell>
          <cell r="E5976" t="e">
            <v>#VALUE!</v>
          </cell>
          <cell r="F5976">
            <v>0</v>
          </cell>
        </row>
        <row r="5977">
          <cell r="A5977" t="str">
            <v>RSPGRLVC</v>
          </cell>
          <cell r="B5977">
            <v>-8.7218262631548189E-4</v>
          </cell>
          <cell r="C5977">
            <v>0</v>
          </cell>
          <cell r="D5977" t="e">
            <v>#VALUE!</v>
          </cell>
          <cell r="E5977" t="e">
            <v>#VALUE!</v>
          </cell>
          <cell r="F5977">
            <v>0</v>
          </cell>
        </row>
        <row r="5978">
          <cell r="A5978" t="str">
            <v>RSPVLN1C</v>
          </cell>
          <cell r="B5978">
            <v>5.3918171909584727E-5</v>
          </cell>
          <cell r="C5978">
            <v>0</v>
          </cell>
          <cell r="D5978" t="e">
            <v>#VALUE!</v>
          </cell>
          <cell r="E5978" t="e">
            <v>#VALUE!</v>
          </cell>
          <cell r="F5978">
            <v>0</v>
          </cell>
        </row>
        <row r="5979">
          <cell r="A5979" t="str">
            <v>RSPVPL1C</v>
          </cell>
          <cell r="B5979">
            <v>-6.2517975878993281E-5</v>
          </cell>
          <cell r="C5979">
            <v>0</v>
          </cell>
          <cell r="D5979" t="e">
            <v>#VALUE!</v>
          </cell>
          <cell r="E5979" t="e">
            <v>#VALUE!</v>
          </cell>
          <cell r="F5979">
            <v>0</v>
          </cell>
        </row>
        <row r="5980">
          <cell r="A5980" t="str">
            <v>RSPVPL2C</v>
          </cell>
          <cell r="B5980">
            <v>-4.5913884611626889E-6</v>
          </cell>
          <cell r="C5980">
            <v>0</v>
          </cell>
          <cell r="D5980" t="e">
            <v>#VALUE!</v>
          </cell>
          <cell r="E5980" t="e">
            <v>#VALUE!</v>
          </cell>
          <cell r="F5980">
            <v>0</v>
          </cell>
        </row>
        <row r="5981">
          <cell r="A5981" t="str">
            <v>RSPVPL3C</v>
          </cell>
          <cell r="B5981">
            <v>-1.1327414028983185E-7</v>
          </cell>
          <cell r="C5981">
            <v>0</v>
          </cell>
          <cell r="D5981" t="e">
            <v>#VALUE!</v>
          </cell>
          <cell r="E5981" t="e">
            <v>#VALUE!</v>
          </cell>
          <cell r="F5981">
            <v>0</v>
          </cell>
        </row>
        <row r="5982">
          <cell r="A5982" t="str">
            <v>RSPVPL4C</v>
          </cell>
          <cell r="B5982">
            <v>0</v>
          </cell>
          <cell r="C5982">
            <v>0</v>
          </cell>
          <cell r="D5982" t="e">
            <v>#VALUE!</v>
          </cell>
          <cell r="E5982" t="e">
            <v>#VALUE!</v>
          </cell>
          <cell r="F5982">
            <v>0</v>
          </cell>
        </row>
        <row r="5983">
          <cell r="A5983" t="str">
            <v>RSPVPL5C</v>
          </cell>
          <cell r="B5983">
            <v>-3.5770550965708026E-8</v>
          </cell>
          <cell r="C5983">
            <v>0</v>
          </cell>
          <cell r="D5983" t="e">
            <v>#VALUE!</v>
          </cell>
          <cell r="E5983" t="e">
            <v>#VALUE!</v>
          </cell>
          <cell r="F5983">
            <v>0</v>
          </cell>
        </row>
        <row r="5984">
          <cell r="A5984" t="str">
            <v>RSPVPL6C</v>
          </cell>
          <cell r="B5984">
            <v>0</v>
          </cell>
          <cell r="C5984">
            <v>0</v>
          </cell>
          <cell r="D5984" t="e">
            <v>#VALUE!</v>
          </cell>
          <cell r="E5984" t="e">
            <v>#VALUE!</v>
          </cell>
          <cell r="F5984">
            <v>0</v>
          </cell>
        </row>
        <row r="5985">
          <cell r="A5985" t="str">
            <v>RSPVPN1C</v>
          </cell>
          <cell r="B5985">
            <v>-5.1684657751177663E-5</v>
          </cell>
          <cell r="C5985">
            <v>0</v>
          </cell>
          <cell r="D5985" t="e">
            <v>#VALUE!</v>
          </cell>
          <cell r="E5985" t="e">
            <v>#VALUE!</v>
          </cell>
          <cell r="F5985">
            <v>0</v>
          </cell>
        </row>
        <row r="5986">
          <cell r="A5986" t="str">
            <v>RSPVSW1C</v>
          </cell>
          <cell r="B5986">
            <v>-3.7574941177821254E-6</v>
          </cell>
          <cell r="C5986">
            <v>0</v>
          </cell>
          <cell r="D5986" t="e">
            <v>#VALUE!</v>
          </cell>
          <cell r="E5986" t="e">
            <v>#VALUE!</v>
          </cell>
          <cell r="F5986">
            <v>0</v>
          </cell>
        </row>
        <row r="5987">
          <cell r="A5987" t="str">
            <v>RSPVSW2C</v>
          </cell>
          <cell r="B5987">
            <v>-1.8981819447281066E-6</v>
          </cell>
          <cell r="C5987">
            <v>0</v>
          </cell>
          <cell r="D5987" t="e">
            <v>#VALUE!</v>
          </cell>
          <cell r="E5987" t="e">
            <v>#VALUE!</v>
          </cell>
          <cell r="F5987">
            <v>0</v>
          </cell>
        </row>
        <row r="5988">
          <cell r="A5988" t="str">
            <v>RSPVSW3C</v>
          </cell>
          <cell r="B5988">
            <v>2.159035119575492E-7</v>
          </cell>
          <cell r="C5988">
            <v>0</v>
          </cell>
          <cell r="D5988" t="e">
            <v>#VALUE!</v>
          </cell>
          <cell r="E5988" t="e">
            <v>#VALUE!</v>
          </cell>
          <cell r="F5988">
            <v>0</v>
          </cell>
        </row>
        <row r="5989">
          <cell r="A5989" t="str">
            <v>RSPVSW4C</v>
          </cell>
          <cell r="B5989">
            <v>0</v>
          </cell>
          <cell r="C5989">
            <v>0</v>
          </cell>
          <cell r="D5989" t="e">
            <v>#VALUE!</v>
          </cell>
          <cell r="E5989" t="e">
            <v>#VALUE!</v>
          </cell>
          <cell r="F5989">
            <v>0</v>
          </cell>
        </row>
        <row r="5990">
          <cell r="A5990" t="str">
            <v>RSPVSW5C</v>
          </cell>
          <cell r="B5990">
            <v>6.8179616619090666E-8</v>
          </cell>
          <cell r="C5990">
            <v>0</v>
          </cell>
          <cell r="D5990" t="e">
            <v>#VALUE!</v>
          </cell>
          <cell r="E5990" t="e">
            <v>#VALUE!</v>
          </cell>
          <cell r="F5990">
            <v>0</v>
          </cell>
        </row>
        <row r="5991">
          <cell r="A5991" t="str">
            <v>RSPVSW6C</v>
          </cell>
          <cell r="B5991">
            <v>0</v>
          </cell>
          <cell r="C5991">
            <v>0</v>
          </cell>
          <cell r="D5991" t="e">
            <v>#VALUE!</v>
          </cell>
          <cell r="E5991" t="e">
            <v>#VALUE!</v>
          </cell>
          <cell r="F5991">
            <v>0</v>
          </cell>
        </row>
        <row r="5992">
          <cell r="A5992" t="str">
            <v>RSPVLK1C</v>
          </cell>
          <cell r="B5992">
            <v>1.7650117965466937E-4</v>
          </cell>
          <cell r="C5992">
            <v>0</v>
          </cell>
          <cell r="D5992" t="e">
            <v>#VALUE!</v>
          </cell>
          <cell r="E5992" t="e">
            <v>#VALUE!</v>
          </cell>
          <cell r="F5992">
            <v>0</v>
          </cell>
        </row>
        <row r="5993">
          <cell r="A5993" t="str">
            <v>RSPVLK2C</v>
          </cell>
          <cell r="B5993">
            <v>3.8588639270603552E-5</v>
          </cell>
          <cell r="C5993">
            <v>0</v>
          </cell>
          <cell r="D5993" t="e">
            <v>#VALUE!</v>
          </cell>
          <cell r="E5993" t="e">
            <v>#VALUE!</v>
          </cell>
          <cell r="F5993">
            <v>0</v>
          </cell>
        </row>
        <row r="5994">
          <cell r="A5994" t="str">
            <v>RSPVLK3C</v>
          </cell>
          <cell r="B5994">
            <v>8.9874152564561882E-9</v>
          </cell>
          <cell r="C5994">
            <v>0</v>
          </cell>
          <cell r="D5994" t="e">
            <v>#VALUE!</v>
          </cell>
          <cell r="E5994" t="e">
            <v>#VALUE!</v>
          </cell>
          <cell r="F5994">
            <v>0</v>
          </cell>
        </row>
        <row r="5995">
          <cell r="A5995" t="str">
            <v>RSPVLK4C</v>
          </cell>
          <cell r="B5995">
            <v>0</v>
          </cell>
          <cell r="C5995">
            <v>0</v>
          </cell>
          <cell r="D5995" t="e">
            <v>#VALUE!</v>
          </cell>
          <cell r="E5995" t="e">
            <v>#VALUE!</v>
          </cell>
          <cell r="F5995">
            <v>0</v>
          </cell>
        </row>
        <row r="5996">
          <cell r="A5996" t="str">
            <v>RSPVLG1C</v>
          </cell>
          <cell r="B5996">
            <v>-4.613348485049319E-5</v>
          </cell>
          <cell r="C5996">
            <v>0</v>
          </cell>
          <cell r="D5996" t="e">
            <v>#VALUE!</v>
          </cell>
          <cell r="E5996" t="e">
            <v>#VALUE!</v>
          </cell>
          <cell r="F5996">
            <v>0</v>
          </cell>
        </row>
        <row r="5997">
          <cell r="A5997" t="str">
            <v>RSPVLG2C</v>
          </cell>
          <cell r="B5997">
            <v>6.8573119218066092E-5</v>
          </cell>
          <cell r="C5997">
            <v>0</v>
          </cell>
          <cell r="D5997" t="e">
            <v>#VALUE!</v>
          </cell>
          <cell r="E5997" t="e">
            <v>#VALUE!</v>
          </cell>
          <cell r="F5997">
            <v>0</v>
          </cell>
        </row>
        <row r="5998">
          <cell r="A5998" t="str">
            <v>RSPVLG3C</v>
          </cell>
          <cell r="B5998">
            <v>1.9667886874685792E-8</v>
          </cell>
          <cell r="C5998">
            <v>0</v>
          </cell>
          <cell r="D5998" t="e">
            <v>#VALUE!</v>
          </cell>
          <cell r="E5998" t="e">
            <v>#VALUE!</v>
          </cell>
          <cell r="F5998">
            <v>0</v>
          </cell>
        </row>
        <row r="5999">
          <cell r="A5999" t="str">
            <v>RSPVLG4C</v>
          </cell>
          <cell r="B5999">
            <v>0</v>
          </cell>
          <cell r="C5999">
            <v>0</v>
          </cell>
          <cell r="D5999" t="e">
            <v>#VALUE!</v>
          </cell>
          <cell r="E5999" t="e">
            <v>#VALUE!</v>
          </cell>
          <cell r="F5999">
            <v>0</v>
          </cell>
        </row>
        <row r="6000">
          <cell r="A6000" t="str">
            <v>RSPVPG1C</v>
          </cell>
          <cell r="B6000">
            <v>-1.9278224887990316E-7</v>
          </cell>
          <cell r="C6000">
            <v>0</v>
          </cell>
          <cell r="D6000" t="e">
            <v>#VALUE!</v>
          </cell>
          <cell r="E6000" t="e">
            <v>#VALUE!</v>
          </cell>
          <cell r="F6000">
            <v>0</v>
          </cell>
        </row>
        <row r="6001">
          <cell r="A6001" t="str">
            <v>RSPVPG2C</v>
          </cell>
          <cell r="B6001">
            <v>-7.0810220515266159E-7</v>
          </cell>
          <cell r="C6001">
            <v>0</v>
          </cell>
          <cell r="D6001" t="e">
            <v>#VALUE!</v>
          </cell>
          <cell r="E6001" t="e">
            <v>#VALUE!</v>
          </cell>
          <cell r="F6001">
            <v>0</v>
          </cell>
        </row>
        <row r="6002">
          <cell r="A6002" t="str">
            <v>RSPVPG3C</v>
          </cell>
          <cell r="B6002">
            <v>2.4372631690638968E-10</v>
          </cell>
          <cell r="C6002">
            <v>0</v>
          </cell>
          <cell r="D6002" t="e">
            <v>#VALUE!</v>
          </cell>
          <cell r="E6002" t="e">
            <v>#VALUE!</v>
          </cell>
          <cell r="F6002">
            <v>0</v>
          </cell>
        </row>
        <row r="6003">
          <cell r="A6003" t="str">
            <v>RSPVPG4C</v>
          </cell>
          <cell r="B6003">
            <v>0</v>
          </cell>
          <cell r="C6003">
            <v>0</v>
          </cell>
          <cell r="D6003" t="e">
            <v>#VALUE!</v>
          </cell>
          <cell r="E6003" t="e">
            <v>#VALUE!</v>
          </cell>
          <cell r="F6003">
            <v>0</v>
          </cell>
        </row>
        <row r="6004">
          <cell r="A6004" t="str">
            <v>RSPVAR1C</v>
          </cell>
          <cell r="B6004">
            <v>1.1796443984154667E-4</v>
          </cell>
          <cell r="C6004">
            <v>0</v>
          </cell>
          <cell r="D6004" t="e">
            <v>#VALUE!</v>
          </cell>
          <cell r="E6004" t="e">
            <v>#VALUE!</v>
          </cell>
          <cell r="F6004">
            <v>0</v>
          </cell>
        </row>
        <row r="6005">
          <cell r="A6005" t="str">
            <v>RSPVRFWC</v>
          </cell>
          <cell r="B6005">
            <v>-9.8691561930374445E-9</v>
          </cell>
          <cell r="C6005">
            <v>0</v>
          </cell>
          <cell r="D6005" t="e">
            <v>#VALUE!</v>
          </cell>
          <cell r="E6005" t="e">
            <v>#VALUE!</v>
          </cell>
          <cell r="F6005">
            <v>0</v>
          </cell>
        </row>
        <row r="6006">
          <cell r="A6006" t="str">
            <v>RSPVRFXC</v>
          </cell>
          <cell r="B6006">
            <v>-9.8691561930374445E-9</v>
          </cell>
          <cell r="C6006">
            <v>0</v>
          </cell>
          <cell r="D6006" t="e">
            <v>#VALUE!</v>
          </cell>
          <cell r="E6006" t="e">
            <v>#VALUE!</v>
          </cell>
          <cell r="F6006">
            <v>0</v>
          </cell>
        </row>
        <row r="6007">
          <cell r="A6007" t="str">
            <v>RSPVRFYC</v>
          </cell>
          <cell r="B6007">
            <v>-9.8691561930374445E-9</v>
          </cell>
          <cell r="C6007">
            <v>0</v>
          </cell>
          <cell r="D6007" t="e">
            <v>#VALUE!</v>
          </cell>
          <cell r="E6007" t="e">
            <v>#VALUE!</v>
          </cell>
          <cell r="F6007">
            <v>0</v>
          </cell>
        </row>
        <row r="6008">
          <cell r="A6008" t="str">
            <v>RSPVRFZC</v>
          </cell>
          <cell r="B6008">
            <v>-9.8691561930374445E-9</v>
          </cell>
          <cell r="C6008">
            <v>0</v>
          </cell>
          <cell r="D6008" t="e">
            <v>#VALUE!</v>
          </cell>
          <cell r="E6008" t="e">
            <v>#VALUE!</v>
          </cell>
          <cell r="F6008">
            <v>0</v>
          </cell>
        </row>
        <row r="6009">
          <cell r="A6009" t="str">
            <v>RSPVNPHC</v>
          </cell>
          <cell r="B6009">
            <v>0</v>
          </cell>
          <cell r="C6009">
            <v>0</v>
          </cell>
          <cell r="D6009" t="e">
            <v>#VALUE!</v>
          </cell>
          <cell r="E6009" t="e">
            <v>#VALUE!</v>
          </cell>
          <cell r="F6009">
            <v>0</v>
          </cell>
        </row>
        <row r="6010">
          <cell r="A6010" t="str">
            <v>RSPVRLPC</v>
          </cell>
          <cell r="B6010">
            <v>7.4086362338140099E-4</v>
          </cell>
          <cell r="C6010">
            <v>0</v>
          </cell>
          <cell r="D6010" t="e">
            <v>#VALUE!</v>
          </cell>
          <cell r="E6010" t="e">
            <v>#VALUE!</v>
          </cell>
          <cell r="F6010">
            <v>0</v>
          </cell>
        </row>
        <row r="6011">
          <cell r="A6011" t="str">
            <v>RSPVFO3C</v>
          </cell>
          <cell r="B6011">
            <v>-1.5799304693146416E-8</v>
          </cell>
          <cell r="C6011">
            <v>0</v>
          </cell>
          <cell r="D6011" t="e">
            <v>#VALUE!</v>
          </cell>
          <cell r="E6011" t="e">
            <v>#VALUE!</v>
          </cell>
          <cell r="F6011">
            <v>0</v>
          </cell>
        </row>
        <row r="6012">
          <cell r="A6012" t="str">
            <v>RSPVFO4C</v>
          </cell>
          <cell r="B6012">
            <v>0</v>
          </cell>
          <cell r="C6012">
            <v>0</v>
          </cell>
          <cell r="D6012" t="e">
            <v>#VALUE!</v>
          </cell>
          <cell r="E6012" t="e">
            <v>#VALUE!</v>
          </cell>
          <cell r="F6012">
            <v>0</v>
          </cell>
        </row>
        <row r="6013">
          <cell r="A6013" t="str">
            <v>RXNLLN1C</v>
          </cell>
          <cell r="B6013">
            <v>3.4882286181777064E-6</v>
          </cell>
          <cell r="C6013">
            <v>0</v>
          </cell>
          <cell r="D6013" t="e">
            <v>#VALUE!</v>
          </cell>
          <cell r="E6013" t="e">
            <v>#VALUE!</v>
          </cell>
          <cell r="F6013">
            <v>0</v>
          </cell>
        </row>
        <row r="6014">
          <cell r="A6014" t="str">
            <v>RXNLPL1C</v>
          </cell>
          <cell r="B6014">
            <v>-5.8704638545288166E-6</v>
          </cell>
          <cell r="C6014">
            <v>0</v>
          </cell>
          <cell r="D6014" t="e">
            <v>#VALUE!</v>
          </cell>
          <cell r="E6014" t="e">
            <v>#VALUE!</v>
          </cell>
          <cell r="F6014">
            <v>0</v>
          </cell>
        </row>
        <row r="6015">
          <cell r="A6015" t="str">
            <v>RXNLPL2C</v>
          </cell>
          <cell r="B6015">
            <v>-3.3883207609892139E-6</v>
          </cell>
          <cell r="C6015">
            <v>0</v>
          </cell>
          <cell r="D6015" t="e">
            <v>#VALUE!</v>
          </cell>
          <cell r="E6015" t="e">
            <v>#VALUE!</v>
          </cell>
          <cell r="F6015">
            <v>0</v>
          </cell>
        </row>
        <row r="6016">
          <cell r="A6016" t="str">
            <v>RXNLPL3C</v>
          </cell>
          <cell r="B6016">
            <v>-1.6002605889298138E-6</v>
          </cell>
          <cell r="C6016">
            <v>0</v>
          </cell>
          <cell r="D6016" t="e">
            <v>#VALUE!</v>
          </cell>
          <cell r="E6016" t="e">
            <v>#VALUE!</v>
          </cell>
          <cell r="F6016">
            <v>0</v>
          </cell>
        </row>
        <row r="6017">
          <cell r="A6017" t="str">
            <v>RXNLPL4C</v>
          </cell>
          <cell r="B6017">
            <v>0</v>
          </cell>
          <cell r="C6017">
            <v>0</v>
          </cell>
          <cell r="D6017" t="e">
            <v>#VALUE!</v>
          </cell>
          <cell r="E6017" t="e">
            <v>#VALUE!</v>
          </cell>
          <cell r="F6017">
            <v>0</v>
          </cell>
        </row>
        <row r="6018">
          <cell r="A6018" t="str">
            <v>RXNLPL5C</v>
          </cell>
          <cell r="B6018">
            <v>-5.0534220008557895E-7</v>
          </cell>
          <cell r="C6018">
            <v>0</v>
          </cell>
          <cell r="D6018" t="e">
            <v>#VALUE!</v>
          </cell>
          <cell r="E6018" t="e">
            <v>#VALUE!</v>
          </cell>
          <cell r="F6018">
            <v>0</v>
          </cell>
        </row>
        <row r="6019">
          <cell r="A6019" t="str">
            <v>RXNLPL6C</v>
          </cell>
          <cell r="B6019">
            <v>0</v>
          </cell>
          <cell r="C6019">
            <v>0</v>
          </cell>
          <cell r="D6019" t="e">
            <v>#VALUE!</v>
          </cell>
          <cell r="E6019" t="e">
            <v>#VALUE!</v>
          </cell>
          <cell r="F6019">
            <v>0</v>
          </cell>
        </row>
        <row r="6020">
          <cell r="A6020" t="str">
            <v>RXNLPN1C</v>
          </cell>
          <cell r="B6020">
            <v>3.5327687834530342E-4</v>
          </cell>
          <cell r="C6020">
            <v>0</v>
          </cell>
          <cell r="D6020" t="e">
            <v>#VALUE!</v>
          </cell>
          <cell r="E6020" t="e">
            <v>#VALUE!</v>
          </cell>
          <cell r="F6020">
            <v>0</v>
          </cell>
        </row>
        <row r="6021">
          <cell r="A6021" t="str">
            <v>RXNLSW1C</v>
          </cell>
          <cell r="B6021">
            <v>-1.1078420089962829E-4</v>
          </cell>
          <cell r="C6021">
            <v>0</v>
          </cell>
          <cell r="D6021" t="e">
            <v>#VALUE!</v>
          </cell>
          <cell r="E6021" t="e">
            <v>#VALUE!</v>
          </cell>
          <cell r="F6021">
            <v>0</v>
          </cell>
        </row>
        <row r="6022">
          <cell r="A6022" t="str">
            <v>RXNLSW2C</v>
          </cell>
          <cell r="B6022">
            <v>-2.8083911735711185E-5</v>
          </cell>
          <cell r="C6022">
            <v>0</v>
          </cell>
          <cell r="D6022" t="e">
            <v>#VALUE!</v>
          </cell>
          <cell r="E6022" t="e">
            <v>#VALUE!</v>
          </cell>
          <cell r="F6022">
            <v>0</v>
          </cell>
        </row>
        <row r="6023">
          <cell r="A6023" t="str">
            <v>RXNLSW3C</v>
          </cell>
          <cell r="B6023">
            <v>-2.7760976081481203E-5</v>
          </cell>
          <cell r="C6023">
            <v>0</v>
          </cell>
          <cell r="D6023" t="e">
            <v>#VALUE!</v>
          </cell>
          <cell r="E6023" t="e">
            <v>#VALUE!</v>
          </cell>
          <cell r="F6023">
            <v>0</v>
          </cell>
        </row>
        <row r="6024">
          <cell r="A6024" t="str">
            <v>RXNLSW4C</v>
          </cell>
          <cell r="B6024">
            <v>0</v>
          </cell>
          <cell r="C6024">
            <v>0</v>
          </cell>
          <cell r="D6024" t="e">
            <v>#VALUE!</v>
          </cell>
          <cell r="E6024" t="e">
            <v>#VALUE!</v>
          </cell>
          <cell r="F6024">
            <v>0</v>
          </cell>
        </row>
        <row r="6025">
          <cell r="A6025" t="str">
            <v>RXNLSW5C</v>
          </cell>
          <cell r="B6025">
            <v>-8.7665675891912542E-6</v>
          </cell>
          <cell r="C6025">
            <v>0</v>
          </cell>
          <cell r="D6025" t="e">
            <v>#VALUE!</v>
          </cell>
          <cell r="E6025" t="e">
            <v>#VALUE!</v>
          </cell>
          <cell r="F6025">
            <v>0</v>
          </cell>
        </row>
        <row r="6026">
          <cell r="A6026" t="str">
            <v>RXNLSW6C</v>
          </cell>
          <cell r="B6026">
            <v>0</v>
          </cell>
          <cell r="C6026">
            <v>0</v>
          </cell>
          <cell r="D6026" t="e">
            <v>#VALUE!</v>
          </cell>
          <cell r="E6026" t="e">
            <v>#VALUE!</v>
          </cell>
          <cell r="F6026">
            <v>0</v>
          </cell>
        </row>
        <row r="6027">
          <cell r="A6027" t="str">
            <v>RXNLNPHC</v>
          </cell>
          <cell r="B6027">
            <v>0</v>
          </cell>
          <cell r="C6027">
            <v>0</v>
          </cell>
          <cell r="D6027" t="e">
            <v>#VALUE!</v>
          </cell>
          <cell r="E6027" t="e">
            <v>#VALUE!</v>
          </cell>
          <cell r="F6027">
            <v>0</v>
          </cell>
        </row>
        <row r="6028">
          <cell r="A6028" t="str">
            <v>RXNPLN1C</v>
          </cell>
          <cell r="B6028">
            <v>4.4241935459106338E-6</v>
          </cell>
          <cell r="C6028">
            <v>0</v>
          </cell>
          <cell r="D6028" t="e">
            <v>#VALUE!</v>
          </cell>
          <cell r="E6028" t="e">
            <v>#VALUE!</v>
          </cell>
          <cell r="F6028">
            <v>0</v>
          </cell>
        </row>
        <row r="6029">
          <cell r="A6029" t="str">
            <v>RXNPPL1C</v>
          </cell>
          <cell r="B6029">
            <v>-5.0155422654015266E-6</v>
          </cell>
          <cell r="C6029">
            <v>0</v>
          </cell>
          <cell r="D6029" t="e">
            <v>#VALUE!</v>
          </cell>
          <cell r="E6029" t="e">
            <v>#VALUE!</v>
          </cell>
          <cell r="F6029">
            <v>0</v>
          </cell>
        </row>
        <row r="6030">
          <cell r="A6030" t="str">
            <v>RXNPPL2C</v>
          </cell>
          <cell r="B6030">
            <v>-2.8948760675669053E-6</v>
          </cell>
          <cell r="C6030">
            <v>0</v>
          </cell>
          <cell r="D6030" t="e">
            <v>#VALUE!</v>
          </cell>
          <cell r="E6030" t="e">
            <v>#VALUE!</v>
          </cell>
          <cell r="F6030">
            <v>0</v>
          </cell>
        </row>
        <row r="6031">
          <cell r="A6031" t="str">
            <v>RXNPPL3C</v>
          </cell>
          <cell r="B6031">
            <v>-7.224805358418962E-7</v>
          </cell>
          <cell r="C6031">
            <v>0</v>
          </cell>
          <cell r="D6031" t="e">
            <v>#VALUE!</v>
          </cell>
          <cell r="E6031" t="e">
            <v>#VALUE!</v>
          </cell>
          <cell r="F6031">
            <v>0</v>
          </cell>
        </row>
        <row r="6032">
          <cell r="A6032" t="str">
            <v>RXNPPL4C</v>
          </cell>
          <cell r="B6032">
            <v>0</v>
          </cell>
          <cell r="C6032">
            <v>0</v>
          </cell>
          <cell r="D6032" t="e">
            <v>#VALUE!</v>
          </cell>
          <cell r="E6032" t="e">
            <v>#VALUE!</v>
          </cell>
          <cell r="F6032">
            <v>0</v>
          </cell>
        </row>
        <row r="6033">
          <cell r="A6033" t="str">
            <v>RXNPPL5C</v>
          </cell>
          <cell r="B6033">
            <v>-2.2815027023170842E-7</v>
          </cell>
          <cell r="C6033">
            <v>0</v>
          </cell>
          <cell r="D6033" t="e">
            <v>#VALUE!</v>
          </cell>
          <cell r="E6033" t="e">
            <v>#VALUE!</v>
          </cell>
          <cell r="F6033">
            <v>0</v>
          </cell>
        </row>
        <row r="6034">
          <cell r="A6034" t="str">
            <v>RXNPPL6C</v>
          </cell>
          <cell r="B6034">
            <v>0</v>
          </cell>
          <cell r="C6034">
            <v>0</v>
          </cell>
          <cell r="D6034" t="e">
            <v>#VALUE!</v>
          </cell>
          <cell r="E6034" t="e">
            <v>#VALUE!</v>
          </cell>
          <cell r="F6034">
            <v>0</v>
          </cell>
        </row>
        <row r="6035">
          <cell r="A6035" t="str">
            <v>RXNPPN1C</v>
          </cell>
          <cell r="B6035">
            <v>4.4892276360237139E-3</v>
          </cell>
          <cell r="C6035">
            <v>0</v>
          </cell>
          <cell r="D6035" t="e">
            <v>#VALUE!</v>
          </cell>
          <cell r="E6035" t="e">
            <v>#VALUE!</v>
          </cell>
          <cell r="F6035">
            <v>0</v>
          </cell>
        </row>
        <row r="6036">
          <cell r="A6036" t="str">
            <v>RXNPSW1C</v>
          </cell>
          <cell r="B6036">
            <v>0</v>
          </cell>
          <cell r="C6036">
            <v>0</v>
          </cell>
          <cell r="D6036" t="e">
            <v>#VALUE!</v>
          </cell>
          <cell r="E6036" t="e">
            <v>#VALUE!</v>
          </cell>
          <cell r="F6036">
            <v>0</v>
          </cell>
        </row>
        <row r="6037">
          <cell r="A6037" t="str">
            <v>RXNPSW2C</v>
          </cell>
          <cell r="B6037">
            <v>0</v>
          </cell>
          <cell r="C6037">
            <v>0</v>
          </cell>
          <cell r="D6037" t="e">
            <v>#VALUE!</v>
          </cell>
          <cell r="E6037" t="e">
            <v>#VALUE!</v>
          </cell>
          <cell r="F6037">
            <v>0</v>
          </cell>
        </row>
        <row r="6038">
          <cell r="A6038" t="str">
            <v>RXNPSW3C</v>
          </cell>
          <cell r="B6038">
            <v>0</v>
          </cell>
          <cell r="C6038">
            <v>0</v>
          </cell>
          <cell r="D6038" t="e">
            <v>#VALUE!</v>
          </cell>
          <cell r="E6038" t="e">
            <v>#VALUE!</v>
          </cell>
          <cell r="F6038">
            <v>0</v>
          </cell>
        </row>
        <row r="6039">
          <cell r="A6039" t="str">
            <v>RXNPSW4C</v>
          </cell>
          <cell r="B6039">
            <v>0</v>
          </cell>
          <cell r="C6039">
            <v>0</v>
          </cell>
          <cell r="D6039" t="e">
            <v>#VALUE!</v>
          </cell>
          <cell r="E6039" t="e">
            <v>#VALUE!</v>
          </cell>
          <cell r="F6039">
            <v>0</v>
          </cell>
        </row>
        <row r="6040">
          <cell r="A6040" t="str">
            <v>RXNPSW5C</v>
          </cell>
          <cell r="B6040">
            <v>0</v>
          </cell>
          <cell r="C6040">
            <v>0</v>
          </cell>
          <cell r="D6040" t="e">
            <v>#VALUE!</v>
          </cell>
          <cell r="E6040" t="e">
            <v>#VALUE!</v>
          </cell>
          <cell r="F6040">
            <v>0</v>
          </cell>
        </row>
        <row r="6041">
          <cell r="A6041" t="str">
            <v>RXNPSW6C</v>
          </cell>
          <cell r="B6041">
            <v>0</v>
          </cell>
          <cell r="C6041">
            <v>0</v>
          </cell>
          <cell r="D6041" t="e">
            <v>#VALUE!</v>
          </cell>
          <cell r="E6041" t="e">
            <v>#VALUE!</v>
          </cell>
          <cell r="F6041">
            <v>0</v>
          </cell>
        </row>
        <row r="6042">
          <cell r="A6042" t="str">
            <v>RXNPNPHC</v>
          </cell>
          <cell r="B6042">
            <v>0</v>
          </cell>
          <cell r="C6042">
            <v>0</v>
          </cell>
          <cell r="D6042" t="e">
            <v>#VALUE!</v>
          </cell>
          <cell r="E6042" t="e">
            <v>#VALUE!</v>
          </cell>
          <cell r="F6042">
            <v>0</v>
          </cell>
        </row>
        <row r="6043">
          <cell r="A6043" t="str">
            <v>RSULLN1C</v>
          </cell>
          <cell r="B6043">
            <v>1.1306988392855809E-4</v>
          </cell>
          <cell r="C6043">
            <v>0</v>
          </cell>
          <cell r="D6043" t="e">
            <v>#VALUE!</v>
          </cell>
          <cell r="E6043" t="e">
            <v>#VALUE!</v>
          </cell>
          <cell r="F6043">
            <v>0</v>
          </cell>
        </row>
        <row r="6044">
          <cell r="A6044" t="str">
            <v>RSULPL1C</v>
          </cell>
          <cell r="B6044">
            <v>-6.5420700242337836E-5</v>
          </cell>
          <cell r="C6044">
            <v>0</v>
          </cell>
          <cell r="D6044" t="e">
            <v>#VALUE!</v>
          </cell>
          <cell r="E6044" t="e">
            <v>#VALUE!</v>
          </cell>
          <cell r="F6044">
            <v>0</v>
          </cell>
        </row>
        <row r="6045">
          <cell r="A6045" t="str">
            <v>RSULPL2C</v>
          </cell>
          <cell r="B6045">
            <v>-2.9563152267248233E-5</v>
          </cell>
          <cell r="C6045">
            <v>0</v>
          </cell>
          <cell r="D6045" t="e">
            <v>#VALUE!</v>
          </cell>
          <cell r="E6045" t="e">
            <v>#VALUE!</v>
          </cell>
          <cell r="F6045">
            <v>0</v>
          </cell>
        </row>
        <row r="6046">
          <cell r="A6046" t="str">
            <v>RSULPL3C</v>
          </cell>
          <cell r="B6046">
            <v>6.2659995248015576E-11</v>
          </cell>
          <cell r="C6046">
            <v>0</v>
          </cell>
          <cell r="D6046" t="e">
            <v>#VALUE!</v>
          </cell>
          <cell r="E6046" t="e">
            <v>#VALUE!</v>
          </cell>
          <cell r="F6046">
            <v>0</v>
          </cell>
        </row>
        <row r="6047">
          <cell r="A6047" t="str">
            <v>RSULPL4C</v>
          </cell>
          <cell r="B6047">
            <v>0</v>
          </cell>
          <cell r="C6047">
            <v>0</v>
          </cell>
          <cell r="D6047" t="e">
            <v>#VALUE!</v>
          </cell>
          <cell r="E6047" t="e">
            <v>#VALUE!</v>
          </cell>
          <cell r="F6047">
            <v>0</v>
          </cell>
        </row>
        <row r="6048">
          <cell r="A6048" t="str">
            <v>RSULPL5C</v>
          </cell>
          <cell r="B6048">
            <v>1.9787237820478865E-11</v>
          </cell>
          <cell r="C6048">
            <v>0</v>
          </cell>
          <cell r="D6048" t="e">
            <v>#VALUE!</v>
          </cell>
          <cell r="E6048" t="e">
            <v>#VALUE!</v>
          </cell>
          <cell r="F6048">
            <v>0</v>
          </cell>
        </row>
        <row r="6049">
          <cell r="A6049" t="str">
            <v>RSULPL6C</v>
          </cell>
          <cell r="B6049">
            <v>0</v>
          </cell>
          <cell r="C6049">
            <v>0</v>
          </cell>
          <cell r="D6049" t="e">
            <v>#VALUE!</v>
          </cell>
          <cell r="E6049" t="e">
            <v>#VALUE!</v>
          </cell>
          <cell r="F6049">
            <v>0</v>
          </cell>
        </row>
        <row r="6050">
          <cell r="A6050" t="str">
            <v>RSULPN1C</v>
          </cell>
          <cell r="B6050">
            <v>1.0711798390356344E-5</v>
          </cell>
          <cell r="C6050">
            <v>0</v>
          </cell>
          <cell r="D6050" t="e">
            <v>#VALUE!</v>
          </cell>
          <cell r="E6050" t="e">
            <v>#VALUE!</v>
          </cell>
          <cell r="F6050">
            <v>0</v>
          </cell>
        </row>
        <row r="6051">
          <cell r="A6051" t="str">
            <v>RSULSW1C</v>
          </cell>
          <cell r="B6051">
            <v>-2.2603262048544848E-5</v>
          </cell>
          <cell r="C6051">
            <v>0</v>
          </cell>
          <cell r="D6051" t="e">
            <v>#VALUE!</v>
          </cell>
          <cell r="E6051" t="e">
            <v>#VALUE!</v>
          </cell>
          <cell r="F6051">
            <v>0</v>
          </cell>
        </row>
        <row r="6052">
          <cell r="A6052" t="str">
            <v>RSULSW2C</v>
          </cell>
          <cell r="B6052">
            <v>2.3997411425361732E-6</v>
          </cell>
          <cell r="C6052">
            <v>0</v>
          </cell>
          <cell r="D6052" t="e">
            <v>#VALUE!</v>
          </cell>
          <cell r="E6052" t="e">
            <v>#VALUE!</v>
          </cell>
          <cell r="F6052">
            <v>0</v>
          </cell>
        </row>
        <row r="6053">
          <cell r="A6053" t="str">
            <v>RSULSW3C</v>
          </cell>
          <cell r="B6053">
            <v>-5.3630074035027064E-6</v>
          </cell>
          <cell r="C6053">
            <v>0</v>
          </cell>
          <cell r="D6053" t="e">
            <v>#VALUE!</v>
          </cell>
          <cell r="E6053" t="e">
            <v>#VALUE!</v>
          </cell>
          <cell r="F6053">
            <v>0</v>
          </cell>
        </row>
        <row r="6054">
          <cell r="A6054" t="str">
            <v>RSULSW4C</v>
          </cell>
          <cell r="B6054">
            <v>0</v>
          </cell>
          <cell r="C6054">
            <v>0</v>
          </cell>
          <cell r="D6054" t="e">
            <v>#VALUE!</v>
          </cell>
          <cell r="E6054" t="e">
            <v>#VALUE!</v>
          </cell>
          <cell r="F6054">
            <v>0</v>
          </cell>
        </row>
        <row r="6055">
          <cell r="A6055" t="str">
            <v>RSULSW5C</v>
          </cell>
          <cell r="B6055">
            <v>-1.6935704252318828E-6</v>
          </cell>
          <cell r="C6055">
            <v>0</v>
          </cell>
          <cell r="D6055" t="e">
            <v>#VALUE!</v>
          </cell>
          <cell r="E6055" t="e">
            <v>#VALUE!</v>
          </cell>
          <cell r="F6055">
            <v>0</v>
          </cell>
        </row>
        <row r="6056">
          <cell r="A6056" t="str">
            <v>RSULSW6C</v>
          </cell>
          <cell r="B6056">
            <v>0</v>
          </cell>
          <cell r="C6056">
            <v>0</v>
          </cell>
          <cell r="D6056" t="e">
            <v>#VALUE!</v>
          </cell>
          <cell r="E6056" t="e">
            <v>#VALUE!</v>
          </cell>
          <cell r="F6056">
            <v>0</v>
          </cell>
        </row>
        <row r="6057">
          <cell r="A6057" t="str">
            <v>RSULLK1C</v>
          </cell>
          <cell r="B6057">
            <v>-1.3014647355709576E-4</v>
          </cell>
          <cell r="C6057">
            <v>0</v>
          </cell>
          <cell r="D6057" t="e">
            <v>#VALUE!</v>
          </cell>
          <cell r="E6057" t="e">
            <v>#VALUE!</v>
          </cell>
          <cell r="F6057">
            <v>0</v>
          </cell>
        </row>
        <row r="6058">
          <cell r="A6058" t="str">
            <v>RSULLK2C</v>
          </cell>
          <cell r="B6058">
            <v>4.9599667855632914E-6</v>
          </cell>
          <cell r="C6058">
            <v>0</v>
          </cell>
          <cell r="D6058" t="e">
            <v>#VALUE!</v>
          </cell>
          <cell r="E6058" t="e">
            <v>#VALUE!</v>
          </cell>
          <cell r="F6058">
            <v>0</v>
          </cell>
        </row>
        <row r="6059">
          <cell r="A6059" t="str">
            <v>RSULLK3C</v>
          </cell>
          <cell r="B6059">
            <v>1.1137730737686979E-9</v>
          </cell>
          <cell r="C6059">
            <v>0</v>
          </cell>
          <cell r="D6059" t="e">
            <v>#VALUE!</v>
          </cell>
          <cell r="E6059" t="e">
            <v>#VALUE!</v>
          </cell>
          <cell r="F6059">
            <v>0</v>
          </cell>
        </row>
        <row r="6060">
          <cell r="A6060" t="str">
            <v>RSULLK4C</v>
          </cell>
          <cell r="B6060">
            <v>0</v>
          </cell>
          <cell r="C6060">
            <v>0</v>
          </cell>
          <cell r="D6060" t="e">
            <v>#VALUE!</v>
          </cell>
          <cell r="E6060" t="e">
            <v>#VALUE!</v>
          </cell>
          <cell r="F6060">
            <v>0</v>
          </cell>
        </row>
        <row r="6061">
          <cell r="A6061" t="str">
            <v>RSULLG1C</v>
          </cell>
          <cell r="B6061">
            <v>-1.4117393508574224E-6</v>
          </cell>
          <cell r="C6061">
            <v>0</v>
          </cell>
          <cell r="D6061" t="e">
            <v>#VALUE!</v>
          </cell>
          <cell r="E6061" t="e">
            <v>#VALUE!</v>
          </cell>
          <cell r="F6061">
            <v>0</v>
          </cell>
        </row>
        <row r="6062">
          <cell r="A6062" t="str">
            <v>RSULLG2C</v>
          </cell>
          <cell r="B6062">
            <v>3.0058406699841315E-5</v>
          </cell>
          <cell r="C6062">
            <v>0</v>
          </cell>
          <cell r="D6062" t="e">
            <v>#VALUE!</v>
          </cell>
          <cell r="E6062" t="e">
            <v>#VALUE!</v>
          </cell>
          <cell r="F6062">
            <v>0</v>
          </cell>
        </row>
        <row r="6063">
          <cell r="A6063" t="str">
            <v>RSULLG3C</v>
          </cell>
          <cell r="B6063">
            <v>-1.0799109384507233E-9</v>
          </cell>
          <cell r="C6063">
            <v>0</v>
          </cell>
          <cell r="D6063" t="e">
            <v>#VALUE!</v>
          </cell>
          <cell r="E6063" t="e">
            <v>#VALUE!</v>
          </cell>
          <cell r="F6063">
            <v>0</v>
          </cell>
        </row>
        <row r="6064">
          <cell r="A6064" t="str">
            <v>RSULLG4C</v>
          </cell>
          <cell r="B6064">
            <v>0</v>
          </cell>
          <cell r="C6064">
            <v>0</v>
          </cell>
          <cell r="D6064" t="e">
            <v>#VALUE!</v>
          </cell>
          <cell r="E6064" t="e">
            <v>#VALUE!</v>
          </cell>
          <cell r="F6064">
            <v>0</v>
          </cell>
        </row>
        <row r="6065">
          <cell r="A6065" t="str">
            <v>RSULPG1C</v>
          </cell>
          <cell r="B6065">
            <v>-2.1073026503325477E-7</v>
          </cell>
          <cell r="C6065">
            <v>0</v>
          </cell>
          <cell r="D6065" t="e">
            <v>#VALUE!</v>
          </cell>
          <cell r="E6065" t="e">
            <v>#VALUE!</v>
          </cell>
          <cell r="F6065">
            <v>0</v>
          </cell>
        </row>
        <row r="6066">
          <cell r="A6066" t="str">
            <v>RSULPG2C</v>
          </cell>
          <cell r="B6066">
            <v>-2.3679603264516162E-9</v>
          </cell>
          <cell r="C6066">
            <v>0</v>
          </cell>
          <cell r="D6066" t="e">
            <v>#VALUE!</v>
          </cell>
          <cell r="E6066" t="e">
            <v>#VALUE!</v>
          </cell>
          <cell r="F6066">
            <v>0</v>
          </cell>
        </row>
        <row r="6067">
          <cell r="A6067" t="str">
            <v>RSULPG3C</v>
          </cell>
          <cell r="B6067">
            <v>-5.914699979792104E-11</v>
          </cell>
          <cell r="C6067">
            <v>0</v>
          </cell>
          <cell r="D6067" t="e">
            <v>#VALUE!</v>
          </cell>
          <cell r="E6067" t="e">
            <v>#VALUE!</v>
          </cell>
          <cell r="F6067">
            <v>0</v>
          </cell>
        </row>
        <row r="6068">
          <cell r="A6068" t="str">
            <v>RSULPG4C</v>
          </cell>
          <cell r="B6068">
            <v>0</v>
          </cell>
          <cell r="C6068">
            <v>0</v>
          </cell>
          <cell r="D6068" t="e">
            <v>#VALUE!</v>
          </cell>
          <cell r="E6068" t="e">
            <v>#VALUE!</v>
          </cell>
          <cell r="F6068">
            <v>0</v>
          </cell>
        </row>
        <row r="6069">
          <cell r="A6069" t="str">
            <v>RSULAR1C</v>
          </cell>
          <cell r="B6069">
            <v>-1.4426777919129252E-4</v>
          </cell>
          <cell r="C6069">
            <v>0</v>
          </cell>
          <cell r="D6069" t="e">
            <v>#VALUE!</v>
          </cell>
          <cell r="E6069" t="e">
            <v>#VALUE!</v>
          </cell>
          <cell r="F6069">
            <v>0</v>
          </cell>
        </row>
        <row r="6070">
          <cell r="A6070" t="str">
            <v>RSULRFWC</v>
          </cell>
          <cell r="B6070">
            <v>-9.7004440428700287E-5</v>
          </cell>
          <cell r="C6070">
            <v>0</v>
          </cell>
          <cell r="D6070" t="e">
            <v>#VALUE!</v>
          </cell>
          <cell r="E6070" t="e">
            <v>#VALUE!</v>
          </cell>
          <cell r="F6070">
            <v>0</v>
          </cell>
        </row>
        <row r="6071">
          <cell r="A6071" t="str">
            <v>RSULRFXC</v>
          </cell>
          <cell r="B6071">
            <v>-9.7004440428700287E-5</v>
          </cell>
          <cell r="C6071">
            <v>0</v>
          </cell>
          <cell r="D6071" t="e">
            <v>#VALUE!</v>
          </cell>
          <cell r="E6071" t="e">
            <v>#VALUE!</v>
          </cell>
          <cell r="F6071">
            <v>0</v>
          </cell>
        </row>
        <row r="6072">
          <cell r="A6072" t="str">
            <v>RSULRFYC</v>
          </cell>
          <cell r="B6072">
            <v>-9.7004440428700287E-5</v>
          </cell>
          <cell r="C6072">
            <v>0</v>
          </cell>
          <cell r="D6072" t="e">
            <v>#VALUE!</v>
          </cell>
          <cell r="E6072" t="e">
            <v>#VALUE!</v>
          </cell>
          <cell r="F6072">
            <v>0</v>
          </cell>
        </row>
        <row r="6073">
          <cell r="A6073" t="str">
            <v>RSULRFZC</v>
          </cell>
          <cell r="B6073">
            <v>-9.7004440428700287E-5</v>
          </cell>
          <cell r="C6073">
            <v>0</v>
          </cell>
          <cell r="D6073" t="e">
            <v>#VALUE!</v>
          </cell>
          <cell r="E6073" t="e">
            <v>#VALUE!</v>
          </cell>
          <cell r="F6073">
            <v>0</v>
          </cell>
        </row>
        <row r="6074">
          <cell r="A6074" t="str">
            <v>RSULFO3C</v>
          </cell>
          <cell r="B6074">
            <v>-4.8670863779982372E-6</v>
          </cell>
          <cell r="C6074">
            <v>0</v>
          </cell>
          <cell r="D6074" t="e">
            <v>#VALUE!</v>
          </cell>
          <cell r="E6074" t="e">
            <v>#VALUE!</v>
          </cell>
          <cell r="F6074">
            <v>0</v>
          </cell>
        </row>
        <row r="6075">
          <cell r="A6075" t="str">
            <v>RSULFO4C</v>
          </cell>
          <cell r="B6075">
            <v>0</v>
          </cell>
          <cell r="C6075">
            <v>0</v>
          </cell>
          <cell r="D6075" t="e">
            <v>#VALUE!</v>
          </cell>
          <cell r="E6075" t="e">
            <v>#VALUE!</v>
          </cell>
          <cell r="F6075">
            <v>0</v>
          </cell>
        </row>
        <row r="6076">
          <cell r="A6076" t="str">
            <v>RRVIPL1C</v>
          </cell>
          <cell r="B6076">
            <v>-9.9801435484775152E-8</v>
          </cell>
          <cell r="C6076">
            <v>0</v>
          </cell>
          <cell r="D6076" t="e">
            <v>#VALUE!</v>
          </cell>
          <cell r="E6076" t="e">
            <v>#VALUE!</v>
          </cell>
          <cell r="F6076">
            <v>0</v>
          </cell>
        </row>
        <row r="6077">
          <cell r="A6077" t="str">
            <v>RRVIPL2C</v>
          </cell>
          <cell r="B6077">
            <v>-9.0627996244807541E-6</v>
          </cell>
          <cell r="C6077">
            <v>0</v>
          </cell>
          <cell r="D6077" t="e">
            <v>#VALUE!</v>
          </cell>
          <cell r="E6077" t="e">
            <v>#VALUE!</v>
          </cell>
          <cell r="F6077">
            <v>0</v>
          </cell>
        </row>
        <row r="6078">
          <cell r="A6078" t="str">
            <v>RRVIPL3C</v>
          </cell>
          <cell r="B6078">
            <v>2.066294371161348E-7</v>
          </cell>
          <cell r="C6078">
            <v>0</v>
          </cell>
          <cell r="D6078" t="e">
            <v>#VALUE!</v>
          </cell>
          <cell r="E6078" t="e">
            <v>#VALUE!</v>
          </cell>
          <cell r="F6078">
            <v>0</v>
          </cell>
        </row>
        <row r="6079">
          <cell r="A6079" t="str">
            <v>RRVIPL4C</v>
          </cell>
          <cell r="B6079">
            <v>0</v>
          </cell>
          <cell r="C6079">
            <v>0</v>
          </cell>
          <cell r="D6079" t="e">
            <v>#VALUE!</v>
          </cell>
          <cell r="E6079" t="e">
            <v>#VALUE!</v>
          </cell>
          <cell r="F6079">
            <v>0</v>
          </cell>
        </row>
        <row r="6080">
          <cell r="A6080" t="str">
            <v>RRVIPL5C</v>
          </cell>
          <cell r="B6080">
            <v>-6.1747698509861948E-8</v>
          </cell>
          <cell r="C6080">
            <v>0</v>
          </cell>
          <cell r="D6080" t="e">
            <v>#VALUE!</v>
          </cell>
          <cell r="E6080" t="e">
            <v>#VALUE!</v>
          </cell>
          <cell r="F6080">
            <v>0</v>
          </cell>
        </row>
        <row r="6081">
          <cell r="A6081" t="str">
            <v>RRVIPL6C</v>
          </cell>
          <cell r="B6081">
            <v>0</v>
          </cell>
          <cell r="C6081">
            <v>0</v>
          </cell>
          <cell r="D6081" t="e">
            <v>#VALUE!</v>
          </cell>
          <cell r="E6081" t="e">
            <v>#VALUE!</v>
          </cell>
          <cell r="F6081">
            <v>0</v>
          </cell>
        </row>
        <row r="6082">
          <cell r="A6082" t="str">
            <v>RRVIPN1C</v>
          </cell>
          <cell r="B6082">
            <v>-7.3201755048389776E-6</v>
          </cell>
          <cell r="C6082">
            <v>0</v>
          </cell>
          <cell r="D6082" t="e">
            <v>#VALUE!</v>
          </cell>
          <cell r="E6082" t="e">
            <v>#VALUE!</v>
          </cell>
          <cell r="F6082">
            <v>0</v>
          </cell>
        </row>
        <row r="6083">
          <cell r="A6083" t="str">
            <v>RRVISW1C</v>
          </cell>
          <cell r="B6083">
            <v>8.4032664127001735E-9</v>
          </cell>
          <cell r="C6083">
            <v>0</v>
          </cell>
          <cell r="D6083" t="e">
            <v>#VALUE!</v>
          </cell>
          <cell r="E6083" t="e">
            <v>#VALUE!</v>
          </cell>
          <cell r="F6083">
            <v>0</v>
          </cell>
        </row>
        <row r="6084">
          <cell r="A6084" t="str">
            <v>RRVISW2C</v>
          </cell>
          <cell r="B6084">
            <v>-2.8083911735711185E-5</v>
          </cell>
          <cell r="C6084">
            <v>0</v>
          </cell>
          <cell r="D6084" t="e">
            <v>#VALUE!</v>
          </cell>
          <cell r="E6084" t="e">
            <v>#VALUE!</v>
          </cell>
          <cell r="F6084">
            <v>0</v>
          </cell>
        </row>
        <row r="6085">
          <cell r="A6085" t="str">
            <v>RRVISW3C</v>
          </cell>
          <cell r="B6085">
            <v>-2.8663571072229388E-8</v>
          </cell>
          <cell r="C6085">
            <v>0</v>
          </cell>
          <cell r="D6085" t="e">
            <v>#VALUE!</v>
          </cell>
          <cell r="E6085" t="e">
            <v>#VALUE!</v>
          </cell>
          <cell r="F6085">
            <v>0</v>
          </cell>
        </row>
        <row r="6086">
          <cell r="A6086" t="str">
            <v>RRVISW4C</v>
          </cell>
          <cell r="B6086">
            <v>0</v>
          </cell>
          <cell r="C6086">
            <v>0</v>
          </cell>
          <cell r="D6086" t="e">
            <v>#VALUE!</v>
          </cell>
          <cell r="E6086" t="e">
            <v>#VALUE!</v>
          </cell>
          <cell r="F6086">
            <v>0</v>
          </cell>
        </row>
        <row r="6087">
          <cell r="A6087" t="str">
            <v>RRVISW5C</v>
          </cell>
          <cell r="B6087">
            <v>8.4815399148396864E-9</v>
          </cell>
          <cell r="C6087">
            <v>0</v>
          </cell>
          <cell r="D6087" t="e">
            <v>#VALUE!</v>
          </cell>
          <cell r="E6087" t="e">
            <v>#VALUE!</v>
          </cell>
          <cell r="F6087">
            <v>0</v>
          </cell>
        </row>
        <row r="6088">
          <cell r="A6088" t="str">
            <v>RRVISW6C</v>
          </cell>
          <cell r="B6088">
            <v>0</v>
          </cell>
          <cell r="C6088">
            <v>0</v>
          </cell>
          <cell r="D6088" t="e">
            <v>#VALUE!</v>
          </cell>
          <cell r="E6088" t="e">
            <v>#VALUE!</v>
          </cell>
          <cell r="F6088">
            <v>0</v>
          </cell>
        </row>
        <row r="6089">
          <cell r="A6089" t="str">
            <v>RRVIRFTC</v>
          </cell>
          <cell r="B6089">
            <v>0</v>
          </cell>
          <cell r="C6089">
            <v>0</v>
          </cell>
          <cell r="D6089" t="e">
            <v>#VALUE!</v>
          </cell>
          <cell r="E6089" t="e">
            <v>#VALUE!</v>
          </cell>
          <cell r="F6089">
            <v>0</v>
          </cell>
        </row>
        <row r="6090">
          <cell r="A6090" t="str">
            <v>RRONPL1C</v>
          </cell>
          <cell r="B6090">
            <v>-1.9712034332420843E-4</v>
          </cell>
          <cell r="C6090">
            <v>0</v>
          </cell>
          <cell r="D6090" t="e">
            <v>#VALUE!</v>
          </cell>
          <cell r="E6090" t="e">
            <v>#VALUE!</v>
          </cell>
          <cell r="F6090">
            <v>0</v>
          </cell>
        </row>
        <row r="6091">
          <cell r="A6091" t="str">
            <v>RRONPL2C</v>
          </cell>
          <cell r="B6091">
            <v>-8.4278045900496739E-4</v>
          </cell>
          <cell r="C6091">
            <v>0</v>
          </cell>
          <cell r="D6091" t="e">
            <v>#VALUE!</v>
          </cell>
          <cell r="E6091" t="e">
            <v>#VALUE!</v>
          </cell>
          <cell r="F6091">
            <v>0</v>
          </cell>
        </row>
        <row r="6092">
          <cell r="A6092" t="str">
            <v>RRONPL3C</v>
          </cell>
          <cell r="B6092">
            <v>1.9045802446271409E-6</v>
          </cell>
          <cell r="C6092">
            <v>0</v>
          </cell>
          <cell r="D6092" t="e">
            <v>#VALUE!</v>
          </cell>
          <cell r="E6092" t="e">
            <v>#VALUE!</v>
          </cell>
          <cell r="F6092">
            <v>0</v>
          </cell>
        </row>
        <row r="6093">
          <cell r="A6093" t="str">
            <v>RRONPL4C</v>
          </cell>
          <cell r="B6093">
            <v>0</v>
          </cell>
          <cell r="C6093">
            <v>0</v>
          </cell>
          <cell r="D6093" t="e">
            <v>#VALUE!</v>
          </cell>
          <cell r="E6093" t="e">
            <v>#VALUE!</v>
          </cell>
          <cell r="F6093">
            <v>0</v>
          </cell>
        </row>
        <row r="6094">
          <cell r="A6094" t="str">
            <v>RRONPL5C</v>
          </cell>
          <cell r="B6094">
            <v>6.0144247981952503E-7</v>
          </cell>
          <cell r="C6094">
            <v>0</v>
          </cell>
          <cell r="D6094" t="e">
            <v>#VALUE!</v>
          </cell>
          <cell r="E6094" t="e">
            <v>#VALUE!</v>
          </cell>
          <cell r="F6094">
            <v>0</v>
          </cell>
        </row>
        <row r="6095">
          <cell r="A6095" t="str">
            <v>RRONPL6C</v>
          </cell>
          <cell r="B6095">
            <v>0</v>
          </cell>
          <cell r="C6095">
            <v>0</v>
          </cell>
          <cell r="D6095" t="e">
            <v>#VALUE!</v>
          </cell>
          <cell r="E6095" t="e">
            <v>#VALUE!</v>
          </cell>
          <cell r="F6095">
            <v>0</v>
          </cell>
        </row>
        <row r="6096">
          <cell r="A6096" t="str">
            <v>RRONPN1C</v>
          </cell>
          <cell r="B6096">
            <v>-6.6767779839933177E-4</v>
          </cell>
          <cell r="C6096">
            <v>0</v>
          </cell>
          <cell r="D6096" t="e">
            <v>#VALUE!</v>
          </cell>
          <cell r="E6096" t="e">
            <v>#VALUE!</v>
          </cell>
          <cell r="F6096">
            <v>0</v>
          </cell>
        </row>
        <row r="6097">
          <cell r="A6097" t="str">
            <v>RRONSW1C</v>
          </cell>
          <cell r="B6097">
            <v>-2.7673065909679379E-4</v>
          </cell>
          <cell r="C6097">
            <v>0</v>
          </cell>
          <cell r="D6097" t="e">
            <v>#VALUE!</v>
          </cell>
          <cell r="E6097" t="e">
            <v>#VALUE!</v>
          </cell>
          <cell r="F6097">
            <v>0</v>
          </cell>
        </row>
        <row r="6098">
          <cell r="A6098" t="str">
            <v>RRONSW2C</v>
          </cell>
          <cell r="B6098">
            <v>-7.1080044575590942E-7</v>
          </cell>
          <cell r="C6098">
            <v>0</v>
          </cell>
          <cell r="D6098" t="e">
            <v>#VALUE!</v>
          </cell>
          <cell r="E6098" t="e">
            <v>#VALUE!</v>
          </cell>
          <cell r="F6098">
            <v>0</v>
          </cell>
        </row>
        <row r="6099">
          <cell r="A6099" t="str">
            <v>RRONSW3C</v>
          </cell>
          <cell r="B6099">
            <v>-1.408668168778604E-7</v>
          </cell>
          <cell r="C6099">
            <v>0</v>
          </cell>
          <cell r="D6099" t="e">
            <v>#VALUE!</v>
          </cell>
          <cell r="E6099" t="e">
            <v>#VALUE!</v>
          </cell>
          <cell r="F6099">
            <v>0</v>
          </cell>
        </row>
        <row r="6100">
          <cell r="A6100" t="str">
            <v>RRONSW4C</v>
          </cell>
          <cell r="B6100">
            <v>0</v>
          </cell>
          <cell r="C6100">
            <v>0</v>
          </cell>
          <cell r="D6100" t="e">
            <v>#VALUE!</v>
          </cell>
          <cell r="E6100" t="e">
            <v>#VALUE!</v>
          </cell>
          <cell r="F6100">
            <v>0</v>
          </cell>
        </row>
        <row r="6101">
          <cell r="A6101" t="str">
            <v>RRONSW5C</v>
          </cell>
          <cell r="B6101">
            <v>-4.4483972061470922E-8</v>
          </cell>
          <cell r="C6101">
            <v>0</v>
          </cell>
          <cell r="D6101" t="e">
            <v>#VALUE!</v>
          </cell>
          <cell r="E6101" t="e">
            <v>#VALUE!</v>
          </cell>
          <cell r="F6101">
            <v>0</v>
          </cell>
        </row>
        <row r="6102">
          <cell r="A6102" t="str">
            <v>RRONSW6C</v>
          </cell>
          <cell r="B6102">
            <v>0</v>
          </cell>
          <cell r="C6102">
            <v>0</v>
          </cell>
          <cell r="D6102" t="e">
            <v>#VALUE!</v>
          </cell>
          <cell r="E6102" t="e">
            <v>#VALUE!</v>
          </cell>
          <cell r="F6102">
            <v>0</v>
          </cell>
        </row>
        <row r="6103">
          <cell r="A6103" t="str">
            <v>RRONRFTC</v>
          </cell>
          <cell r="B6103">
            <v>-3.2903665911138365E-5</v>
          </cell>
          <cell r="C6103">
            <v>0</v>
          </cell>
          <cell r="D6103" t="e">
            <v>#VALUE!</v>
          </cell>
          <cell r="E6103" t="e">
            <v>#VALUE!</v>
          </cell>
          <cell r="F6103">
            <v>0</v>
          </cell>
        </row>
        <row r="6104">
          <cell r="A6104" t="str">
            <v>RMONPL1C</v>
          </cell>
          <cell r="B6104">
            <v>-7.2447178404840939E-4</v>
          </cell>
          <cell r="C6104">
            <v>0</v>
          </cell>
          <cell r="D6104" t="e">
            <v>#VALUE!</v>
          </cell>
          <cell r="E6104" t="e">
            <v>#VALUE!</v>
          </cell>
          <cell r="F6104">
            <v>0</v>
          </cell>
        </row>
        <row r="6105">
          <cell r="A6105" t="str">
            <v>RMONPL2C</v>
          </cell>
          <cell r="B6105">
            <v>7.3604932778573433E-4</v>
          </cell>
          <cell r="C6105">
            <v>0</v>
          </cell>
          <cell r="D6105" t="e">
            <v>#VALUE!</v>
          </cell>
          <cell r="E6105" t="e">
            <v>#VALUE!</v>
          </cell>
          <cell r="F6105">
            <v>0</v>
          </cell>
        </row>
        <row r="6106">
          <cell r="A6106" t="str">
            <v>RMONPL3C</v>
          </cell>
          <cell r="B6106">
            <v>4.6272515419332194E-7</v>
          </cell>
          <cell r="C6106">
            <v>0</v>
          </cell>
          <cell r="D6106" t="e">
            <v>#VALUE!</v>
          </cell>
          <cell r="E6106" t="e">
            <v>#VALUE!</v>
          </cell>
          <cell r="F6106">
            <v>0</v>
          </cell>
        </row>
        <row r="6107">
          <cell r="A6107" t="str">
            <v>RMONPL4C</v>
          </cell>
          <cell r="B6107">
            <v>0</v>
          </cell>
          <cell r="C6107">
            <v>0</v>
          </cell>
          <cell r="D6107" t="e">
            <v>#VALUE!</v>
          </cell>
          <cell r="E6107" t="e">
            <v>#VALUE!</v>
          </cell>
          <cell r="F6107">
            <v>0</v>
          </cell>
        </row>
        <row r="6108">
          <cell r="A6108" t="str">
            <v>RMONPL5C</v>
          </cell>
          <cell r="B6108">
            <v>1.4612278675940615E-7</v>
          </cell>
          <cell r="C6108">
            <v>0</v>
          </cell>
          <cell r="D6108" t="e">
            <v>#VALUE!</v>
          </cell>
          <cell r="E6108" t="e">
            <v>#VALUE!</v>
          </cell>
          <cell r="F6108">
            <v>0</v>
          </cell>
        </row>
        <row r="6109">
          <cell r="A6109" t="str">
            <v>RMONPL6C</v>
          </cell>
          <cell r="B6109">
            <v>0</v>
          </cell>
          <cell r="C6109">
            <v>0</v>
          </cell>
          <cell r="D6109" t="e">
            <v>#VALUE!</v>
          </cell>
          <cell r="E6109" t="e">
            <v>#VALUE!</v>
          </cell>
          <cell r="F6109">
            <v>0</v>
          </cell>
        </row>
        <row r="6110">
          <cell r="A6110" t="str">
            <v>RMONPN1C</v>
          </cell>
          <cell r="B6110">
            <v>8.3680873482977675E-4</v>
          </cell>
          <cell r="C6110">
            <v>0</v>
          </cell>
          <cell r="D6110" t="e">
            <v>#VALUE!</v>
          </cell>
          <cell r="E6110" t="e">
            <v>#VALUE!</v>
          </cell>
          <cell r="F6110">
            <v>0</v>
          </cell>
        </row>
        <row r="6111">
          <cell r="A6111" t="str">
            <v>RMONSW1C</v>
          </cell>
          <cell r="B6111">
            <v>6.2968484187827199E-7</v>
          </cell>
          <cell r="C6111">
            <v>0</v>
          </cell>
          <cell r="D6111" t="e">
            <v>#VALUE!</v>
          </cell>
          <cell r="E6111" t="e">
            <v>#VALUE!</v>
          </cell>
          <cell r="F6111">
            <v>0</v>
          </cell>
        </row>
        <row r="6112">
          <cell r="A6112" t="str">
            <v>RMONSW2C</v>
          </cell>
          <cell r="B6112">
            <v>-2.6244176175567514E-7</v>
          </cell>
          <cell r="C6112">
            <v>0</v>
          </cell>
          <cell r="D6112" t="e">
            <v>#VALUE!</v>
          </cell>
          <cell r="E6112" t="e">
            <v>#VALUE!</v>
          </cell>
          <cell r="F6112">
            <v>0</v>
          </cell>
        </row>
        <row r="6113">
          <cell r="A6113" t="str">
            <v>RMONSW3C</v>
          </cell>
          <cell r="B6113">
            <v>2.3727238840365317E-6</v>
          </cell>
          <cell r="C6113">
            <v>0</v>
          </cell>
          <cell r="D6113" t="e">
            <v>#VALUE!</v>
          </cell>
          <cell r="E6113" t="e">
            <v>#VALUE!</v>
          </cell>
          <cell r="F6113">
            <v>0</v>
          </cell>
        </row>
        <row r="6114">
          <cell r="A6114" t="str">
            <v>RMONSW4C</v>
          </cell>
          <cell r="B6114">
            <v>0</v>
          </cell>
          <cell r="C6114">
            <v>0</v>
          </cell>
          <cell r="D6114" t="e">
            <v>#VALUE!</v>
          </cell>
          <cell r="E6114" t="e">
            <v>#VALUE!</v>
          </cell>
          <cell r="F6114">
            <v>0</v>
          </cell>
        </row>
        <row r="6115">
          <cell r="A6115" t="str">
            <v>RMONSW5C</v>
          </cell>
          <cell r="B6115">
            <v>7.4927640980604338E-7</v>
          </cell>
          <cell r="C6115">
            <v>0</v>
          </cell>
          <cell r="D6115" t="e">
            <v>#VALUE!</v>
          </cell>
          <cell r="E6115" t="e">
            <v>#VALUE!</v>
          </cell>
          <cell r="F6115">
            <v>0</v>
          </cell>
        </row>
        <row r="6116">
          <cell r="A6116" t="str">
            <v>RMONSW6C</v>
          </cell>
          <cell r="B6116">
            <v>0</v>
          </cell>
          <cell r="C6116">
            <v>0</v>
          </cell>
          <cell r="D6116" t="e">
            <v>#VALUE!</v>
          </cell>
          <cell r="E6116" t="e">
            <v>#VALUE!</v>
          </cell>
          <cell r="F6116">
            <v>0</v>
          </cell>
        </row>
        <row r="6117">
          <cell r="A6117" t="str">
            <v>RMONRFTC</v>
          </cell>
          <cell r="B6117">
            <v>-3.2903665911138365E-5</v>
          </cell>
          <cell r="C6117">
            <v>0</v>
          </cell>
          <cell r="D6117" t="e">
            <v>#VALUE!</v>
          </cell>
          <cell r="E6117" t="e">
            <v>#VALUE!</v>
          </cell>
          <cell r="F6117">
            <v>0</v>
          </cell>
        </row>
        <row r="6118">
          <cell r="A6118" t="str">
            <v>RDONPL1C</v>
          </cell>
          <cell r="B6118">
            <v>1.8952697494824698E-3</v>
          </cell>
          <cell r="C6118">
            <v>0</v>
          </cell>
          <cell r="D6118" t="e">
            <v>#VALUE!</v>
          </cell>
          <cell r="E6118" t="e">
            <v>#VALUE!</v>
          </cell>
          <cell r="F6118">
            <v>0</v>
          </cell>
        </row>
        <row r="6119">
          <cell r="A6119" t="str">
            <v>RDONPL2C</v>
          </cell>
          <cell r="B6119">
            <v>-5.548884592290923E-5</v>
          </cell>
          <cell r="C6119">
            <v>0</v>
          </cell>
          <cell r="D6119" t="e">
            <v>#VALUE!</v>
          </cell>
          <cell r="E6119" t="e">
            <v>#VALUE!</v>
          </cell>
          <cell r="F6119">
            <v>0</v>
          </cell>
        </row>
        <row r="6120">
          <cell r="A6120" t="str">
            <v>RDONPL3C</v>
          </cell>
          <cell r="B6120">
            <v>1.5805443354111048E-6</v>
          </cell>
          <cell r="C6120">
            <v>0</v>
          </cell>
          <cell r="D6120" t="e">
            <v>#VALUE!</v>
          </cell>
          <cell r="E6120" t="e">
            <v>#VALUE!</v>
          </cell>
          <cell r="F6120">
            <v>0</v>
          </cell>
        </row>
        <row r="6121">
          <cell r="A6121" t="str">
            <v>RDONPL4C</v>
          </cell>
          <cell r="B6121">
            <v>0</v>
          </cell>
          <cell r="C6121">
            <v>0</v>
          </cell>
          <cell r="D6121" t="e">
            <v>#VALUE!</v>
          </cell>
          <cell r="E6121" t="e">
            <v>#VALUE!</v>
          </cell>
          <cell r="F6121">
            <v>0</v>
          </cell>
        </row>
        <row r="6122">
          <cell r="A6122" t="str">
            <v>RDONPL5C</v>
          </cell>
          <cell r="B6122">
            <v>4.9911602673091693E-7</v>
          </cell>
          <cell r="C6122">
            <v>0</v>
          </cell>
          <cell r="D6122" t="e">
            <v>#VALUE!</v>
          </cell>
          <cell r="E6122" t="e">
            <v>#VALUE!</v>
          </cell>
          <cell r="F6122">
            <v>0</v>
          </cell>
        </row>
        <row r="6123">
          <cell r="A6123" t="str">
            <v>RDONPL6C</v>
          </cell>
          <cell r="B6123">
            <v>0</v>
          </cell>
          <cell r="C6123">
            <v>0</v>
          </cell>
          <cell r="D6123" t="e">
            <v>#VALUE!</v>
          </cell>
          <cell r="E6123" t="e">
            <v>#VALUE!</v>
          </cell>
          <cell r="F6123">
            <v>0</v>
          </cell>
        </row>
        <row r="6124">
          <cell r="A6124" t="str">
            <v>RDONPN1C</v>
          </cell>
          <cell r="B6124">
            <v>1.4328706134171488E-3</v>
          </cell>
          <cell r="C6124">
            <v>0</v>
          </cell>
          <cell r="D6124" t="e">
            <v>#VALUE!</v>
          </cell>
          <cell r="E6124" t="e">
            <v>#VALUE!</v>
          </cell>
          <cell r="F6124">
            <v>0</v>
          </cell>
        </row>
        <row r="6125">
          <cell r="A6125" t="str">
            <v>RDONSW1C</v>
          </cell>
          <cell r="B6125">
            <v>-5.2649689725811882E-4</v>
          </cell>
          <cell r="C6125">
            <v>0</v>
          </cell>
          <cell r="D6125" t="e">
            <v>#VALUE!</v>
          </cell>
          <cell r="E6125" t="e">
            <v>#VALUE!</v>
          </cell>
          <cell r="F6125">
            <v>0</v>
          </cell>
        </row>
        <row r="6126">
          <cell r="A6126" t="str">
            <v>RDONSW2C</v>
          </cell>
          <cell r="B6126">
            <v>-7.9581408723766202E-8</v>
          </cell>
          <cell r="C6126">
            <v>0</v>
          </cell>
          <cell r="D6126" t="e">
            <v>#VALUE!</v>
          </cell>
          <cell r="E6126" t="e">
            <v>#VALUE!</v>
          </cell>
          <cell r="F6126">
            <v>0</v>
          </cell>
        </row>
        <row r="6127">
          <cell r="A6127" t="str">
            <v>RDONSW3C</v>
          </cell>
          <cell r="B6127">
            <v>1.1159286259498913E-6</v>
          </cell>
          <cell r="C6127">
            <v>0</v>
          </cell>
          <cell r="D6127" t="e">
            <v>#VALUE!</v>
          </cell>
          <cell r="E6127" t="e">
            <v>#VALUE!</v>
          </cell>
          <cell r="F6127">
            <v>0</v>
          </cell>
        </row>
        <row r="6128">
          <cell r="A6128" t="str">
            <v>RDONSW4C</v>
          </cell>
          <cell r="B6128">
            <v>0</v>
          </cell>
          <cell r="C6128">
            <v>0</v>
          </cell>
          <cell r="D6128" t="e">
            <v>#VALUE!</v>
          </cell>
          <cell r="E6128" t="e">
            <v>#VALUE!</v>
          </cell>
          <cell r="F6128">
            <v>0</v>
          </cell>
        </row>
        <row r="6129">
          <cell r="A6129" t="str">
            <v>RDONSW5C</v>
          </cell>
          <cell r="B6129">
            <v>3.5239622775407042E-7</v>
          </cell>
          <cell r="C6129">
            <v>0</v>
          </cell>
          <cell r="D6129" t="e">
            <v>#VALUE!</v>
          </cell>
          <cell r="E6129" t="e">
            <v>#VALUE!</v>
          </cell>
          <cell r="F6129">
            <v>0</v>
          </cell>
        </row>
        <row r="6130">
          <cell r="A6130" t="str">
            <v>RDONSW6C</v>
          </cell>
          <cell r="B6130">
            <v>0</v>
          </cell>
          <cell r="C6130">
            <v>0</v>
          </cell>
          <cell r="D6130" t="e">
            <v>#VALUE!</v>
          </cell>
          <cell r="E6130" t="e">
            <v>#VALUE!</v>
          </cell>
          <cell r="F6130">
            <v>0</v>
          </cell>
        </row>
        <row r="6131">
          <cell r="A6131" t="str">
            <v>RDONRFTC</v>
          </cell>
          <cell r="B6131">
            <v>-3.2903665910484435E-5</v>
          </cell>
          <cell r="C6131">
            <v>0</v>
          </cell>
          <cell r="D6131" t="e">
            <v>#VALUE!</v>
          </cell>
          <cell r="E6131" t="e">
            <v>#VALUE!</v>
          </cell>
          <cell r="F6131">
            <v>0</v>
          </cell>
        </row>
        <row r="6132">
          <cell r="A6132" t="str">
            <v>RNAPLN1C</v>
          </cell>
          <cell r="B6132">
            <v>-1.1026786392505203E-3</v>
          </cell>
          <cell r="C6132">
            <v>0</v>
          </cell>
          <cell r="D6132" t="e">
            <v>#VALUE!</v>
          </cell>
          <cell r="E6132" t="e">
            <v>#VALUE!</v>
          </cell>
          <cell r="F6132">
            <v>0</v>
          </cell>
        </row>
        <row r="6133">
          <cell r="A6133" t="str">
            <v>RNAPPL1C</v>
          </cell>
          <cell r="B6133">
            <v>-1.1054645383958576E-3</v>
          </cell>
          <cell r="C6133">
            <v>0</v>
          </cell>
          <cell r="D6133" t="e">
            <v>#VALUE!</v>
          </cell>
          <cell r="E6133" t="e">
            <v>#VALUE!</v>
          </cell>
          <cell r="F6133">
            <v>0</v>
          </cell>
        </row>
        <row r="6134">
          <cell r="A6134" t="str">
            <v>RNAPPL2C</v>
          </cell>
          <cell r="B6134">
            <v>1.117371203446516E-3</v>
          </cell>
          <cell r="C6134">
            <v>0</v>
          </cell>
          <cell r="D6134" t="e">
            <v>#VALUE!</v>
          </cell>
          <cell r="E6134" t="e">
            <v>#VALUE!</v>
          </cell>
          <cell r="F6134">
            <v>0</v>
          </cell>
        </row>
        <row r="6135">
          <cell r="A6135" t="str">
            <v>RNAPPL3C</v>
          </cell>
          <cell r="B6135">
            <v>1.1350371096341405E-6</v>
          </cell>
          <cell r="C6135">
            <v>0</v>
          </cell>
          <cell r="D6135" t="e">
            <v>#VALUE!</v>
          </cell>
          <cell r="E6135" t="e">
            <v>#VALUE!</v>
          </cell>
          <cell r="F6135">
            <v>0</v>
          </cell>
        </row>
        <row r="6136">
          <cell r="A6136" t="str">
            <v>RNAPPL4C</v>
          </cell>
          <cell r="B6136">
            <v>0</v>
          </cell>
          <cell r="C6136">
            <v>0</v>
          </cell>
          <cell r="D6136" t="e">
            <v>#VALUE!</v>
          </cell>
          <cell r="E6136" t="e">
            <v>#VALUE!</v>
          </cell>
          <cell r="F6136">
            <v>0</v>
          </cell>
        </row>
        <row r="6137">
          <cell r="A6137" t="str">
            <v>RNAPPL5C</v>
          </cell>
          <cell r="B6137">
            <v>3.5843046930494893E-7</v>
          </cell>
          <cell r="C6137">
            <v>0</v>
          </cell>
          <cell r="D6137" t="e">
            <v>#VALUE!</v>
          </cell>
          <cell r="E6137" t="e">
            <v>#VALUE!</v>
          </cell>
          <cell r="F6137">
            <v>0</v>
          </cell>
        </row>
        <row r="6138">
          <cell r="A6138" t="str">
            <v>RNAPPL6C</v>
          </cell>
          <cell r="B6138">
            <v>0</v>
          </cell>
          <cell r="C6138">
            <v>0</v>
          </cell>
          <cell r="D6138" t="e">
            <v>#VALUE!</v>
          </cell>
          <cell r="E6138" t="e">
            <v>#VALUE!</v>
          </cell>
          <cell r="F6138">
            <v>0</v>
          </cell>
        </row>
        <row r="6139">
          <cell r="A6139" t="str">
            <v>RNAPPN1C</v>
          </cell>
          <cell r="B6139">
            <v>1.700860441274453E-3</v>
          </cell>
          <cell r="C6139">
            <v>0</v>
          </cell>
          <cell r="D6139" t="e">
            <v>#VALUE!</v>
          </cell>
          <cell r="E6139" t="e">
            <v>#VALUE!</v>
          </cell>
          <cell r="F6139">
            <v>0</v>
          </cell>
        </row>
        <row r="6140">
          <cell r="A6140" t="str">
            <v>RNAPSW1C</v>
          </cell>
          <cell r="B6140">
            <v>4.3575747228827176E-6</v>
          </cell>
          <cell r="C6140">
            <v>0</v>
          </cell>
          <cell r="D6140" t="e">
            <v>#VALUE!</v>
          </cell>
          <cell r="E6140" t="e">
            <v>#VALUE!</v>
          </cell>
          <cell r="F6140">
            <v>0</v>
          </cell>
        </row>
        <row r="6141">
          <cell r="A6141" t="str">
            <v>RNAPSW2C</v>
          </cell>
          <cell r="B6141">
            <v>1.4167260784788221E-7</v>
          </cell>
          <cell r="C6141">
            <v>0</v>
          </cell>
          <cell r="D6141" t="e">
            <v>#VALUE!</v>
          </cell>
          <cell r="E6141" t="e">
            <v>#VALUE!</v>
          </cell>
          <cell r="F6141">
            <v>0</v>
          </cell>
        </row>
        <row r="6142">
          <cell r="A6142" t="str">
            <v>RNAPSW3C</v>
          </cell>
          <cell r="B6142">
            <v>1.0038259006250883E-6</v>
          </cell>
          <cell r="C6142">
            <v>0</v>
          </cell>
          <cell r="D6142" t="e">
            <v>#VALUE!</v>
          </cell>
          <cell r="E6142" t="e">
            <v>#VALUE!</v>
          </cell>
          <cell r="F6142">
            <v>0</v>
          </cell>
        </row>
        <row r="6143">
          <cell r="A6143" t="str">
            <v>RNAPSW4C</v>
          </cell>
          <cell r="B6143">
            <v>0</v>
          </cell>
          <cell r="C6143">
            <v>0</v>
          </cell>
          <cell r="D6143" t="e">
            <v>#VALUE!</v>
          </cell>
          <cell r="E6143" t="e">
            <v>#VALUE!</v>
          </cell>
          <cell r="F6143">
            <v>0</v>
          </cell>
        </row>
        <row r="6144">
          <cell r="A6144" t="str">
            <v>RNAPSW5C</v>
          </cell>
          <cell r="B6144">
            <v>3.1699562441644957E-7</v>
          </cell>
          <cell r="C6144">
            <v>0</v>
          </cell>
          <cell r="D6144" t="e">
            <v>#VALUE!</v>
          </cell>
          <cell r="E6144" t="e">
            <v>#VALUE!</v>
          </cell>
          <cell r="F6144">
            <v>0</v>
          </cell>
        </row>
        <row r="6145">
          <cell r="A6145" t="str">
            <v>RNAPSW6C</v>
          </cell>
          <cell r="B6145">
            <v>0</v>
          </cell>
          <cell r="C6145">
            <v>0</v>
          </cell>
          <cell r="D6145" t="e">
            <v>#VALUE!</v>
          </cell>
          <cell r="E6145" t="e">
            <v>#VALUE!</v>
          </cell>
          <cell r="F6145">
            <v>0</v>
          </cell>
        </row>
        <row r="6146">
          <cell r="A6146" t="str">
            <v>RAROPL1C</v>
          </cell>
          <cell r="B6146">
            <v>-8.4342632643000966E-8</v>
          </cell>
          <cell r="C6146">
            <v>0</v>
          </cell>
          <cell r="D6146" t="e">
            <v>#VALUE!</v>
          </cell>
          <cell r="E6146" t="e">
            <v>#VALUE!</v>
          </cell>
          <cell r="F6146">
            <v>0</v>
          </cell>
        </row>
        <row r="6147">
          <cell r="A6147" t="str">
            <v>RAROPL2C</v>
          </cell>
          <cell r="B6147">
            <v>3.7898507372494963E-4</v>
          </cell>
          <cell r="C6147">
            <v>0</v>
          </cell>
          <cell r="D6147" t="e">
            <v>#VALUE!</v>
          </cell>
          <cell r="E6147" t="e">
            <v>#VALUE!</v>
          </cell>
          <cell r="F6147">
            <v>0</v>
          </cell>
        </row>
        <row r="6148">
          <cell r="A6148" t="str">
            <v>RAROPL3C</v>
          </cell>
          <cell r="B6148">
            <v>-3.9459589373791459E-8</v>
          </cell>
          <cell r="C6148">
            <v>0</v>
          </cell>
          <cell r="D6148" t="e">
            <v>#VALUE!</v>
          </cell>
          <cell r="E6148" t="e">
            <v>#VALUE!</v>
          </cell>
          <cell r="F6148">
            <v>0</v>
          </cell>
        </row>
        <row r="6149">
          <cell r="A6149" t="str">
            <v>RAROPL4C</v>
          </cell>
          <cell r="B6149">
            <v>0</v>
          </cell>
          <cell r="C6149">
            <v>0</v>
          </cell>
          <cell r="D6149" t="e">
            <v>#VALUE!</v>
          </cell>
          <cell r="E6149" t="e">
            <v>#VALUE!</v>
          </cell>
          <cell r="F6149">
            <v>0</v>
          </cell>
        </row>
        <row r="6150">
          <cell r="A6150" t="str">
            <v>RAROPL5C</v>
          </cell>
          <cell r="B6150">
            <v>-1.2460843024086898E-8</v>
          </cell>
          <cell r="C6150">
            <v>0</v>
          </cell>
          <cell r="D6150" t="e">
            <v>#VALUE!</v>
          </cell>
          <cell r="E6150" t="e">
            <v>#VALUE!</v>
          </cell>
          <cell r="F6150">
            <v>0</v>
          </cell>
        </row>
        <row r="6151">
          <cell r="A6151" t="str">
            <v>RAROPL6C</v>
          </cell>
          <cell r="B6151">
            <v>0</v>
          </cell>
          <cell r="C6151">
            <v>0</v>
          </cell>
          <cell r="D6151" t="e">
            <v>#VALUE!</v>
          </cell>
          <cell r="E6151" t="e">
            <v>#VALUE!</v>
          </cell>
          <cell r="F6151">
            <v>0</v>
          </cell>
        </row>
        <row r="6152">
          <cell r="A6152" t="str">
            <v>RAROPN1C</v>
          </cell>
          <cell r="B6152">
            <v>-3.2656247789767404E-5</v>
          </cell>
          <cell r="C6152">
            <v>0</v>
          </cell>
          <cell r="D6152" t="e">
            <v>#VALUE!</v>
          </cell>
          <cell r="E6152" t="e">
            <v>#VALUE!</v>
          </cell>
          <cell r="F6152">
            <v>0</v>
          </cell>
        </row>
        <row r="6153">
          <cell r="A6153" t="str">
            <v>RAROSW1C</v>
          </cell>
          <cell r="B6153">
            <v>1.1928975341916531E-6</v>
          </cell>
          <cell r="C6153">
            <v>0</v>
          </cell>
          <cell r="D6153" t="e">
            <v>#VALUE!</v>
          </cell>
          <cell r="E6153" t="e">
            <v>#VALUE!</v>
          </cell>
          <cell r="F6153">
            <v>0</v>
          </cell>
        </row>
        <row r="6154">
          <cell r="A6154" t="str">
            <v>RAROSW2C</v>
          </cell>
          <cell r="B6154">
            <v>-2.08931526822821E-7</v>
          </cell>
          <cell r="C6154">
            <v>0</v>
          </cell>
          <cell r="D6154" t="e">
            <v>#VALUE!</v>
          </cell>
          <cell r="E6154" t="e">
            <v>#VALUE!</v>
          </cell>
          <cell r="F6154">
            <v>0</v>
          </cell>
        </row>
        <row r="6155">
          <cell r="A6155" t="str">
            <v>RAROSW3C</v>
          </cell>
          <cell r="B6155">
            <v>1.7015429065736498E-8</v>
          </cell>
          <cell r="C6155">
            <v>0</v>
          </cell>
          <cell r="D6155" t="e">
            <v>#VALUE!</v>
          </cell>
          <cell r="E6155" t="e">
            <v>#VALUE!</v>
          </cell>
          <cell r="F6155">
            <v>0</v>
          </cell>
        </row>
        <row r="6156">
          <cell r="A6156" t="str">
            <v>RAROSW4C</v>
          </cell>
          <cell r="B6156">
            <v>0</v>
          </cell>
          <cell r="C6156">
            <v>0</v>
          </cell>
          <cell r="D6156" t="e">
            <v>#VALUE!</v>
          </cell>
          <cell r="E6156" t="e">
            <v>#VALUE!</v>
          </cell>
          <cell r="F6156">
            <v>0</v>
          </cell>
        </row>
        <row r="6157">
          <cell r="A6157" t="str">
            <v>RAROSW5C</v>
          </cell>
          <cell r="B6157">
            <v>5.3732587268484622E-9</v>
          </cell>
          <cell r="C6157">
            <v>0</v>
          </cell>
          <cell r="D6157" t="e">
            <v>#VALUE!</v>
          </cell>
          <cell r="E6157" t="e">
            <v>#VALUE!</v>
          </cell>
          <cell r="F6157">
            <v>0</v>
          </cell>
        </row>
        <row r="6158">
          <cell r="A6158" t="str">
            <v>RAROSW6C</v>
          </cell>
          <cell r="B6158">
            <v>0</v>
          </cell>
          <cell r="C6158">
            <v>0</v>
          </cell>
          <cell r="D6158" t="e">
            <v>#VALUE!</v>
          </cell>
          <cell r="E6158" t="e">
            <v>#VALUE!</v>
          </cell>
          <cell r="F6158">
            <v>0</v>
          </cell>
        </row>
        <row r="6159">
          <cell r="A6159" t="str">
            <v>RAROLK1C</v>
          </cell>
          <cell r="B6159">
            <v>-1.3592219839628255E-5</v>
          </cell>
          <cell r="C6159">
            <v>0</v>
          </cell>
          <cell r="D6159" t="e">
            <v>#VALUE!</v>
          </cell>
          <cell r="E6159" t="e">
            <v>#VALUE!</v>
          </cell>
          <cell r="F6159">
            <v>0</v>
          </cell>
        </row>
        <row r="6160">
          <cell r="A6160" t="str">
            <v>RARORFTC</v>
          </cell>
          <cell r="B6160">
            <v>6.3897616051341571E-6</v>
          </cell>
          <cell r="C6160">
            <v>0</v>
          </cell>
          <cell r="D6160" t="e">
            <v>#VALUE!</v>
          </cell>
          <cell r="E6160" t="e">
            <v>#VALUE!</v>
          </cell>
          <cell r="F6160">
            <v>0</v>
          </cell>
        </row>
        <row r="6161">
          <cell r="A6161" t="str">
            <v>RN2APL1C</v>
          </cell>
          <cell r="B6161">
            <v>-1.9127815168559048E-6</v>
          </cell>
          <cell r="C6161">
            <v>0</v>
          </cell>
          <cell r="D6161" t="e">
            <v>#VALUE!</v>
          </cell>
          <cell r="E6161" t="e">
            <v>#VALUE!</v>
          </cell>
          <cell r="F6161">
            <v>0</v>
          </cell>
        </row>
        <row r="6162">
          <cell r="A6162" t="str">
            <v>RN2APL2C</v>
          </cell>
          <cell r="B6162">
            <v>1.8787679281290803E-3</v>
          </cell>
          <cell r="C6162">
            <v>0</v>
          </cell>
          <cell r="D6162" t="e">
            <v>#VALUE!</v>
          </cell>
          <cell r="E6162" t="e">
            <v>#VALUE!</v>
          </cell>
          <cell r="F6162">
            <v>0</v>
          </cell>
        </row>
        <row r="6163">
          <cell r="A6163" t="str">
            <v>RN2APL3C</v>
          </cell>
          <cell r="B6163">
            <v>1.2942530247528339E-6</v>
          </cell>
          <cell r="C6163">
            <v>0</v>
          </cell>
          <cell r="D6163" t="e">
            <v>#VALUE!</v>
          </cell>
          <cell r="E6163" t="e">
            <v>#VALUE!</v>
          </cell>
          <cell r="F6163">
            <v>0</v>
          </cell>
        </row>
        <row r="6164">
          <cell r="A6164" t="str">
            <v>RN2APL4C</v>
          </cell>
          <cell r="B6164">
            <v>0</v>
          </cell>
          <cell r="C6164">
            <v>0</v>
          </cell>
          <cell r="D6164" t="e">
            <v>#VALUE!</v>
          </cell>
          <cell r="E6164" t="e">
            <v>#VALUE!</v>
          </cell>
          <cell r="F6164">
            <v>0</v>
          </cell>
        </row>
        <row r="6165">
          <cell r="A6165" t="str">
            <v>RN2APL5C</v>
          </cell>
          <cell r="B6165">
            <v>4.0870881434784678E-7</v>
          </cell>
          <cell r="C6165">
            <v>0</v>
          </cell>
          <cell r="D6165" t="e">
            <v>#VALUE!</v>
          </cell>
          <cell r="E6165" t="e">
            <v>#VALUE!</v>
          </cell>
          <cell r="F6165">
            <v>0</v>
          </cell>
        </row>
        <row r="6166">
          <cell r="A6166" t="str">
            <v>RN2APL6C</v>
          </cell>
          <cell r="B6166">
            <v>0</v>
          </cell>
          <cell r="C6166">
            <v>0</v>
          </cell>
          <cell r="D6166" t="e">
            <v>#VALUE!</v>
          </cell>
          <cell r="E6166" t="e">
            <v>#VALUE!</v>
          </cell>
          <cell r="F6166">
            <v>0</v>
          </cell>
        </row>
        <row r="6167">
          <cell r="A6167" t="str">
            <v>RN2APN1C</v>
          </cell>
          <cell r="B6167">
            <v>-1.8842882249099266E-4</v>
          </cell>
          <cell r="C6167">
            <v>0</v>
          </cell>
          <cell r="D6167" t="e">
            <v>#VALUE!</v>
          </cell>
          <cell r="E6167" t="e">
            <v>#VALUE!</v>
          </cell>
          <cell r="F6167">
            <v>0</v>
          </cell>
        </row>
        <row r="6168">
          <cell r="A6168" t="str">
            <v>RN2ASW1C</v>
          </cell>
          <cell r="B6168">
            <v>-2.4917867692350489E-6</v>
          </cell>
          <cell r="C6168">
            <v>0</v>
          </cell>
          <cell r="D6168" t="e">
            <v>#VALUE!</v>
          </cell>
          <cell r="E6168" t="e">
            <v>#VALUE!</v>
          </cell>
          <cell r="F6168">
            <v>0</v>
          </cell>
        </row>
        <row r="6169">
          <cell r="A6169" t="str">
            <v>RN2ASW2C</v>
          </cell>
          <cell r="B6169">
            <v>2.8703529827073174E-7</v>
          </cell>
          <cell r="C6169">
            <v>0</v>
          </cell>
          <cell r="D6169" t="e">
            <v>#VALUE!</v>
          </cell>
          <cell r="E6169" t="e">
            <v>#VALUE!</v>
          </cell>
          <cell r="F6169">
            <v>0</v>
          </cell>
        </row>
        <row r="6170">
          <cell r="A6170" t="str">
            <v>RN2ASW3C</v>
          </cell>
          <cell r="B6170">
            <v>-6.5018184614018537E-7</v>
          </cell>
          <cell r="C6170">
            <v>0</v>
          </cell>
          <cell r="D6170" t="e">
            <v>#VALUE!</v>
          </cell>
          <cell r="E6170" t="e">
            <v>#VALUE!</v>
          </cell>
          <cell r="F6170">
            <v>0</v>
          </cell>
        </row>
        <row r="6171">
          <cell r="A6171" t="str">
            <v>RN2ASW4C</v>
          </cell>
          <cell r="B6171">
            <v>0</v>
          </cell>
          <cell r="C6171">
            <v>0</v>
          </cell>
          <cell r="D6171" t="e">
            <v>#VALUE!</v>
          </cell>
          <cell r="E6171" t="e">
            <v>#VALUE!</v>
          </cell>
          <cell r="F6171">
            <v>0</v>
          </cell>
        </row>
        <row r="6172">
          <cell r="A6172" t="str">
            <v>RN2ASW5C</v>
          </cell>
          <cell r="B6172">
            <v>-2.0531925315481203E-7</v>
          </cell>
          <cell r="C6172">
            <v>0</v>
          </cell>
          <cell r="D6172" t="e">
            <v>#VALUE!</v>
          </cell>
          <cell r="E6172" t="e">
            <v>#VALUE!</v>
          </cell>
          <cell r="F6172">
            <v>0</v>
          </cell>
        </row>
        <row r="6173">
          <cell r="A6173" t="str">
            <v>RN2ASW6C</v>
          </cell>
          <cell r="B6173">
            <v>0</v>
          </cell>
          <cell r="C6173">
            <v>0</v>
          </cell>
          <cell r="D6173" t="e">
            <v>#VALUE!</v>
          </cell>
          <cell r="E6173" t="e">
            <v>#VALUE!</v>
          </cell>
          <cell r="F6173">
            <v>0</v>
          </cell>
        </row>
        <row r="6174">
          <cell r="A6174" t="str">
            <v>RN2ARFWC</v>
          </cell>
          <cell r="B6174">
            <v>-1.4984180792179022E-5</v>
          </cell>
          <cell r="C6174">
            <v>0</v>
          </cell>
          <cell r="D6174" t="e">
            <v>#VALUE!</v>
          </cell>
          <cell r="E6174" t="e">
            <v>#VALUE!</v>
          </cell>
          <cell r="F6174">
            <v>0</v>
          </cell>
        </row>
        <row r="6175">
          <cell r="A6175" t="str">
            <v>RN2ARFXC</v>
          </cell>
          <cell r="B6175">
            <v>-1.4984180792179022E-5</v>
          </cell>
          <cell r="C6175">
            <v>0</v>
          </cell>
          <cell r="D6175" t="e">
            <v>#VALUE!</v>
          </cell>
          <cell r="E6175" t="e">
            <v>#VALUE!</v>
          </cell>
          <cell r="F6175">
            <v>0</v>
          </cell>
        </row>
        <row r="6176">
          <cell r="A6176" t="str">
            <v>RN2ARFYC</v>
          </cell>
          <cell r="B6176">
            <v>-1.4984180792179022E-5</v>
          </cell>
          <cell r="C6176">
            <v>0</v>
          </cell>
          <cell r="D6176" t="e">
            <v>#VALUE!</v>
          </cell>
          <cell r="E6176" t="e">
            <v>#VALUE!</v>
          </cell>
          <cell r="F6176">
            <v>0</v>
          </cell>
        </row>
        <row r="6177">
          <cell r="A6177" t="str">
            <v>RN2ARFZC</v>
          </cell>
          <cell r="B6177">
            <v>-1.4984180792179022E-5</v>
          </cell>
          <cell r="C6177">
            <v>0</v>
          </cell>
          <cell r="D6177" t="e">
            <v>#VALUE!</v>
          </cell>
          <cell r="E6177" t="e">
            <v>#VALUE!</v>
          </cell>
          <cell r="F6177">
            <v>0</v>
          </cell>
        </row>
        <row r="6178">
          <cell r="A6178" t="str">
            <v>RBENRFTC</v>
          </cell>
          <cell r="B6178">
            <v>-1.9269432825289909E-6</v>
          </cell>
          <cell r="C6178">
            <v>0</v>
          </cell>
          <cell r="D6178" t="e">
            <v>#VALUE!</v>
          </cell>
          <cell r="E6178" t="e">
            <v>#VALUE!</v>
          </cell>
          <cell r="F6178">
            <v>0</v>
          </cell>
        </row>
        <row r="6179">
          <cell r="A6179" t="str">
            <v>RCBIPN1C</v>
          </cell>
          <cell r="B6179">
            <v>2.4263470573988679E-4</v>
          </cell>
          <cell r="C6179">
            <v>0</v>
          </cell>
          <cell r="D6179" t="e">
            <v>#VALUE!</v>
          </cell>
          <cell r="E6179" t="e">
            <v>#VALUE!</v>
          </cell>
          <cell r="F6179">
            <v>0</v>
          </cell>
        </row>
        <row r="6180">
          <cell r="A6180" t="str">
            <v>RCBISW1C</v>
          </cell>
          <cell r="B6180">
            <v>-2.5883434589509492E-6</v>
          </cell>
          <cell r="C6180">
            <v>0</v>
          </cell>
          <cell r="D6180" t="e">
            <v>#VALUE!</v>
          </cell>
          <cell r="E6180" t="e">
            <v>#VALUE!</v>
          </cell>
          <cell r="F6180">
            <v>0</v>
          </cell>
        </row>
        <row r="6181">
          <cell r="A6181" t="str">
            <v>RCBISW2C</v>
          </cell>
          <cell r="B6181">
            <v>6.2935161438822621E-7</v>
          </cell>
          <cell r="C6181">
            <v>0</v>
          </cell>
          <cell r="D6181" t="e">
            <v>#VALUE!</v>
          </cell>
          <cell r="E6181" t="e">
            <v>#VALUE!</v>
          </cell>
          <cell r="F6181">
            <v>0</v>
          </cell>
        </row>
        <row r="6182">
          <cell r="A6182" t="str">
            <v>RCBISW3C</v>
          </cell>
          <cell r="B6182">
            <v>8.5180118958305684E-7</v>
          </cell>
          <cell r="C6182">
            <v>0</v>
          </cell>
          <cell r="D6182" t="e">
            <v>#VALUE!</v>
          </cell>
          <cell r="E6182" t="e">
            <v>#VALUE!</v>
          </cell>
          <cell r="F6182">
            <v>0</v>
          </cell>
        </row>
        <row r="6183">
          <cell r="A6183" t="str">
            <v>RCBISW4C</v>
          </cell>
          <cell r="B6183">
            <v>0</v>
          </cell>
          <cell r="C6183">
            <v>0</v>
          </cell>
          <cell r="D6183" t="e">
            <v>#VALUE!</v>
          </cell>
          <cell r="E6183" t="e">
            <v>#VALUE!</v>
          </cell>
          <cell r="F6183">
            <v>0</v>
          </cell>
        </row>
        <row r="6184">
          <cell r="A6184" t="str">
            <v>RCBISW5C</v>
          </cell>
          <cell r="B6184">
            <v>2.6898811711362214E-7</v>
          </cell>
          <cell r="C6184">
            <v>0</v>
          </cell>
          <cell r="D6184" t="e">
            <v>#VALUE!</v>
          </cell>
          <cell r="E6184" t="e">
            <v>#VALUE!</v>
          </cell>
          <cell r="F6184">
            <v>0</v>
          </cell>
        </row>
        <row r="6185">
          <cell r="A6185" t="str">
            <v>RCBISW6C</v>
          </cell>
          <cell r="B6185">
            <v>0</v>
          </cell>
          <cell r="C6185">
            <v>0</v>
          </cell>
          <cell r="D6185" t="e">
            <v>#VALUE!</v>
          </cell>
          <cell r="E6185" t="e">
            <v>#VALUE!</v>
          </cell>
          <cell r="F6185">
            <v>0</v>
          </cell>
        </row>
        <row r="6186">
          <cell r="A6186" t="str">
            <v>RCBILK1C</v>
          </cell>
          <cell r="B6186">
            <v>2.3027502093922816E-4</v>
          </cell>
          <cell r="C6186">
            <v>0</v>
          </cell>
          <cell r="D6186" t="e">
            <v>#VALUE!</v>
          </cell>
          <cell r="E6186" t="e">
            <v>#VALUE!</v>
          </cell>
          <cell r="F6186">
            <v>0</v>
          </cell>
        </row>
        <row r="6187">
          <cell r="A6187" t="str">
            <v>RCBILK2C</v>
          </cell>
          <cell r="B6187">
            <v>3.9679968924271995E-3</v>
          </cell>
          <cell r="C6187">
            <v>0</v>
          </cell>
          <cell r="D6187" t="e">
            <v>#VALUE!</v>
          </cell>
          <cell r="E6187" t="e">
            <v>#VALUE!</v>
          </cell>
          <cell r="F6187">
            <v>0</v>
          </cell>
        </row>
        <row r="6188">
          <cell r="A6188" t="str">
            <v>RCBILK3C</v>
          </cell>
          <cell r="B6188">
            <v>1.0197463780059479E-6</v>
          </cell>
          <cell r="C6188">
            <v>0</v>
          </cell>
          <cell r="D6188" t="e">
            <v>#VALUE!</v>
          </cell>
          <cell r="E6188" t="e">
            <v>#VALUE!</v>
          </cell>
          <cell r="F6188">
            <v>0</v>
          </cell>
        </row>
        <row r="6189">
          <cell r="A6189" t="str">
            <v>RCBILK4C</v>
          </cell>
          <cell r="B6189">
            <v>0</v>
          </cell>
          <cell r="C6189">
            <v>0</v>
          </cell>
          <cell r="D6189" t="e">
            <v>#VALUE!</v>
          </cell>
          <cell r="E6189" t="e">
            <v>#VALUE!</v>
          </cell>
          <cell r="F6189">
            <v>0</v>
          </cell>
        </row>
        <row r="6190">
          <cell r="A6190" t="str">
            <v>RCBILG1C</v>
          </cell>
          <cell r="B6190">
            <v>-1.7176564423644863E-4</v>
          </cell>
          <cell r="C6190">
            <v>0</v>
          </cell>
          <cell r="D6190" t="e">
            <v>#VALUE!</v>
          </cell>
          <cell r="E6190" t="e">
            <v>#VALUE!</v>
          </cell>
          <cell r="F6190">
            <v>0</v>
          </cell>
        </row>
        <row r="6191">
          <cell r="A6191" t="str">
            <v>RCBILG2C</v>
          </cell>
          <cell r="B6191">
            <v>3.4888617494837254E-4</v>
          </cell>
          <cell r="C6191">
            <v>0</v>
          </cell>
          <cell r="D6191" t="e">
            <v>#VALUE!</v>
          </cell>
          <cell r="E6191" t="e">
            <v>#VALUE!</v>
          </cell>
          <cell r="F6191">
            <v>0</v>
          </cell>
        </row>
        <row r="6192">
          <cell r="A6192" t="str">
            <v>RCBILG3C</v>
          </cell>
          <cell r="B6192">
            <v>-2.5928798663699126E-7</v>
          </cell>
          <cell r="C6192">
            <v>0</v>
          </cell>
          <cell r="D6192" t="e">
            <v>#VALUE!</v>
          </cell>
          <cell r="E6192" t="e">
            <v>#VALUE!</v>
          </cell>
          <cell r="F6192">
            <v>0</v>
          </cell>
        </row>
        <row r="6193">
          <cell r="A6193" t="str">
            <v>RCBILG4C</v>
          </cell>
          <cell r="B6193">
            <v>0</v>
          </cell>
          <cell r="C6193">
            <v>0</v>
          </cell>
          <cell r="D6193" t="e">
            <v>#VALUE!</v>
          </cell>
          <cell r="E6193" t="e">
            <v>#VALUE!</v>
          </cell>
          <cell r="F6193">
            <v>0</v>
          </cell>
        </row>
        <row r="6194">
          <cell r="A6194" t="str">
            <v>RCBIPG1C</v>
          </cell>
          <cell r="B6194">
            <v>-1.5372322744428545E-5</v>
          </cell>
          <cell r="C6194">
            <v>0</v>
          </cell>
          <cell r="D6194" t="e">
            <v>#VALUE!</v>
          </cell>
          <cell r="E6194" t="e">
            <v>#VALUE!</v>
          </cell>
          <cell r="F6194">
            <v>0</v>
          </cell>
        </row>
        <row r="6195">
          <cell r="A6195" t="str">
            <v>RCBIPG2C</v>
          </cell>
          <cell r="B6195">
            <v>-1.5078947362718743E-4</v>
          </cell>
          <cell r="C6195">
            <v>0</v>
          </cell>
          <cell r="D6195" t="e">
            <v>#VALUE!</v>
          </cell>
          <cell r="E6195" t="e">
            <v>#VALUE!</v>
          </cell>
          <cell r="F6195">
            <v>0</v>
          </cell>
        </row>
        <row r="6196">
          <cell r="A6196" t="str">
            <v>RCBIPG3C</v>
          </cell>
          <cell r="B6196">
            <v>-1.1788013232205685E-8</v>
          </cell>
          <cell r="C6196">
            <v>0</v>
          </cell>
          <cell r="D6196" t="e">
            <v>#VALUE!</v>
          </cell>
          <cell r="E6196" t="e">
            <v>#VALUE!</v>
          </cell>
          <cell r="F6196">
            <v>0</v>
          </cell>
        </row>
        <row r="6197">
          <cell r="A6197" t="str">
            <v>RCBIPG4C</v>
          </cell>
          <cell r="B6197">
            <v>0</v>
          </cell>
          <cell r="C6197">
            <v>0</v>
          </cell>
          <cell r="D6197" t="e">
            <v>#VALUE!</v>
          </cell>
          <cell r="E6197" t="e">
            <v>#VALUE!</v>
          </cell>
          <cell r="F6197">
            <v>0</v>
          </cell>
        </row>
        <row r="6198">
          <cell r="A6198" t="str">
            <v>RCBIAR1C</v>
          </cell>
          <cell r="B6198">
            <v>-2.1805554781466315E-3</v>
          </cell>
          <cell r="C6198">
            <v>0</v>
          </cell>
          <cell r="D6198" t="e">
            <v>#VALUE!</v>
          </cell>
          <cell r="E6198" t="e">
            <v>#VALUE!</v>
          </cell>
          <cell r="F6198">
            <v>0</v>
          </cell>
        </row>
        <row r="6199">
          <cell r="A6199" t="str">
            <v>RCBIFO3C</v>
          </cell>
          <cell r="B6199">
            <v>4.4577845415005868E-7</v>
          </cell>
          <cell r="C6199">
            <v>0</v>
          </cell>
          <cell r="D6199" t="e">
            <v>#VALUE!</v>
          </cell>
          <cell r="E6199" t="e">
            <v>#VALUE!</v>
          </cell>
          <cell r="F6199">
            <v>0</v>
          </cell>
        </row>
        <row r="6200">
          <cell r="A6200" t="str">
            <v>RCBIFO4C</v>
          </cell>
          <cell r="B6200">
            <v>0</v>
          </cell>
          <cell r="C6200">
            <v>0</v>
          </cell>
          <cell r="D6200" t="e">
            <v>#VALUE!</v>
          </cell>
          <cell r="E6200" t="e">
            <v>#VALUE!</v>
          </cell>
          <cell r="F6200">
            <v>0</v>
          </cell>
        </row>
        <row r="6201">
          <cell r="A6201" t="str">
            <v>RVBISW1C</v>
          </cell>
          <cell r="B6201">
            <v>-1.3785017697438441E-7</v>
          </cell>
          <cell r="C6201">
            <v>0</v>
          </cell>
          <cell r="D6201" t="e">
            <v>#VALUE!</v>
          </cell>
          <cell r="E6201" t="e">
            <v>#VALUE!</v>
          </cell>
          <cell r="F6201">
            <v>0</v>
          </cell>
        </row>
        <row r="6202">
          <cell r="A6202" t="str">
            <v>RVBISW2C</v>
          </cell>
          <cell r="B6202">
            <v>-4.5396858981865525E-8</v>
          </cell>
          <cell r="C6202">
            <v>0</v>
          </cell>
          <cell r="D6202" t="e">
            <v>#VALUE!</v>
          </cell>
          <cell r="E6202" t="e">
            <v>#VALUE!</v>
          </cell>
          <cell r="F6202">
            <v>0</v>
          </cell>
        </row>
        <row r="6203">
          <cell r="A6203" t="str">
            <v>RVBISW3C</v>
          </cell>
          <cell r="B6203">
            <v>1.9911884407974867E-7</v>
          </cell>
          <cell r="C6203">
            <v>0</v>
          </cell>
          <cell r="D6203" t="e">
            <v>#VALUE!</v>
          </cell>
          <cell r="E6203" t="e">
            <v>#VALUE!</v>
          </cell>
          <cell r="F6203">
            <v>0</v>
          </cell>
        </row>
        <row r="6204">
          <cell r="A6204" t="str">
            <v>RVBISW4C</v>
          </cell>
          <cell r="B6204">
            <v>0</v>
          </cell>
          <cell r="C6204">
            <v>0</v>
          </cell>
          <cell r="D6204" t="e">
            <v>#VALUE!</v>
          </cell>
          <cell r="E6204" t="e">
            <v>#VALUE!</v>
          </cell>
          <cell r="F6204">
            <v>0</v>
          </cell>
        </row>
        <row r="6205">
          <cell r="A6205" t="str">
            <v>RVBISW5C</v>
          </cell>
          <cell r="B6205">
            <v>6.287923071113255E-8</v>
          </cell>
          <cell r="C6205">
            <v>0</v>
          </cell>
          <cell r="D6205" t="e">
            <v>#VALUE!</v>
          </cell>
          <cell r="E6205" t="e">
            <v>#VALUE!</v>
          </cell>
          <cell r="F6205">
            <v>0</v>
          </cell>
        </row>
        <row r="6206">
          <cell r="A6206" t="str">
            <v>RVBISW6C</v>
          </cell>
          <cell r="B6206">
            <v>0</v>
          </cell>
          <cell r="C6206">
            <v>0</v>
          </cell>
          <cell r="D6206" t="e">
            <v>#VALUE!</v>
          </cell>
          <cell r="E6206" t="e">
            <v>#VALUE!</v>
          </cell>
          <cell r="F6206">
            <v>0</v>
          </cell>
        </row>
        <row r="6207">
          <cell r="A6207" t="str">
            <v>RVBILK1C</v>
          </cell>
          <cell r="B6207">
            <v>6.2355826809822524E-6</v>
          </cell>
          <cell r="C6207">
            <v>0</v>
          </cell>
          <cell r="D6207" t="e">
            <v>#VALUE!</v>
          </cell>
          <cell r="E6207" t="e">
            <v>#VALUE!</v>
          </cell>
          <cell r="F6207">
            <v>0</v>
          </cell>
        </row>
        <row r="6208">
          <cell r="A6208" t="str">
            <v>RVBILK2C</v>
          </cell>
          <cell r="B6208">
            <v>4.9586989746953743E-5</v>
          </cell>
          <cell r="C6208">
            <v>0</v>
          </cell>
          <cell r="D6208" t="e">
            <v>#VALUE!</v>
          </cell>
          <cell r="E6208" t="e">
            <v>#VALUE!</v>
          </cell>
          <cell r="F6208">
            <v>0</v>
          </cell>
        </row>
        <row r="6209">
          <cell r="A6209" t="str">
            <v>RVBILK3C</v>
          </cell>
          <cell r="B6209">
            <v>6.5465268761499829E-9</v>
          </cell>
          <cell r="C6209">
            <v>0</v>
          </cell>
          <cell r="D6209" t="e">
            <v>#VALUE!</v>
          </cell>
          <cell r="E6209" t="e">
            <v>#VALUE!</v>
          </cell>
          <cell r="F6209">
            <v>0</v>
          </cell>
        </row>
        <row r="6210">
          <cell r="A6210" t="str">
            <v>RVBILK4C</v>
          </cell>
          <cell r="B6210">
            <v>0</v>
          </cell>
          <cell r="C6210">
            <v>0</v>
          </cell>
          <cell r="D6210" t="e">
            <v>#VALUE!</v>
          </cell>
          <cell r="E6210" t="e">
            <v>#VALUE!</v>
          </cell>
          <cell r="F6210">
            <v>0</v>
          </cell>
        </row>
        <row r="6211">
          <cell r="A6211" t="str">
            <v>RVBILG1C</v>
          </cell>
          <cell r="B6211">
            <v>9.569085247025438E-5</v>
          </cell>
          <cell r="C6211">
            <v>0</v>
          </cell>
          <cell r="D6211" t="e">
            <v>#VALUE!</v>
          </cell>
          <cell r="E6211" t="e">
            <v>#VALUE!</v>
          </cell>
          <cell r="F6211">
            <v>0</v>
          </cell>
        </row>
        <row r="6212">
          <cell r="A6212" t="str">
            <v>RVBILG2C</v>
          </cell>
          <cell r="B6212">
            <v>2.4269781580633446E-5</v>
          </cell>
          <cell r="C6212">
            <v>0</v>
          </cell>
          <cell r="D6212" t="e">
            <v>#VALUE!</v>
          </cell>
          <cell r="E6212" t="e">
            <v>#VALUE!</v>
          </cell>
          <cell r="F6212">
            <v>0</v>
          </cell>
        </row>
        <row r="6213">
          <cell r="A6213" t="str">
            <v>RVBILG3C</v>
          </cell>
          <cell r="B6213">
            <v>-5.7137250486505309E-10</v>
          </cell>
          <cell r="C6213">
            <v>0</v>
          </cell>
          <cell r="D6213" t="e">
            <v>#VALUE!</v>
          </cell>
          <cell r="E6213" t="e">
            <v>#VALUE!</v>
          </cell>
          <cell r="F6213">
            <v>0</v>
          </cell>
        </row>
        <row r="6214">
          <cell r="A6214" t="str">
            <v>RVBILG4C</v>
          </cell>
          <cell r="B6214">
            <v>0</v>
          </cell>
          <cell r="C6214">
            <v>0</v>
          </cell>
          <cell r="D6214" t="e">
            <v>#VALUE!</v>
          </cell>
          <cell r="E6214" t="e">
            <v>#VALUE!</v>
          </cell>
          <cell r="F6214">
            <v>0</v>
          </cell>
        </row>
        <row r="6215">
          <cell r="A6215" t="str">
            <v>RVBIPG1C</v>
          </cell>
          <cell r="B6215">
            <v>1.5556574375839412E-7</v>
          </cell>
          <cell r="C6215">
            <v>0</v>
          </cell>
          <cell r="D6215" t="e">
            <v>#VALUE!</v>
          </cell>
          <cell r="E6215" t="e">
            <v>#VALUE!</v>
          </cell>
          <cell r="F6215">
            <v>0</v>
          </cell>
        </row>
        <row r="6216">
          <cell r="A6216" t="str">
            <v>RVBIPG2C</v>
          </cell>
          <cell r="B6216">
            <v>8.8456955537968464E-6</v>
          </cell>
          <cell r="C6216">
            <v>0</v>
          </cell>
          <cell r="D6216" t="e">
            <v>#VALUE!</v>
          </cell>
          <cell r="E6216" t="e">
            <v>#VALUE!</v>
          </cell>
          <cell r="F6216">
            <v>0</v>
          </cell>
        </row>
        <row r="6217">
          <cell r="A6217" t="str">
            <v>RVBIPG3C</v>
          </cell>
          <cell r="B6217">
            <v>-7.5178713254686613E-10</v>
          </cell>
          <cell r="C6217">
            <v>0</v>
          </cell>
          <cell r="D6217" t="e">
            <v>#VALUE!</v>
          </cell>
          <cell r="E6217" t="e">
            <v>#VALUE!</v>
          </cell>
          <cell r="F6217">
            <v>0</v>
          </cell>
        </row>
        <row r="6218">
          <cell r="A6218" t="str">
            <v>RVBIPG4C</v>
          </cell>
          <cell r="B6218">
            <v>0</v>
          </cell>
          <cell r="C6218">
            <v>0</v>
          </cell>
          <cell r="D6218" t="e">
            <v>#VALUE!</v>
          </cell>
          <cell r="E6218" t="e">
            <v>#VALUE!</v>
          </cell>
          <cell r="F6218">
            <v>0</v>
          </cell>
        </row>
        <row r="6219">
          <cell r="A6219" t="str">
            <v>RVBIAR1C</v>
          </cell>
          <cell r="B6219">
            <v>-1.4598810576488128E-4</v>
          </cell>
          <cell r="C6219">
            <v>0</v>
          </cell>
          <cell r="D6219" t="e">
            <v>#VALUE!</v>
          </cell>
          <cell r="E6219" t="e">
            <v>#VALUE!</v>
          </cell>
          <cell r="F6219">
            <v>0</v>
          </cell>
        </row>
        <row r="6220">
          <cell r="A6220" t="str">
            <v>RVBIFO3C</v>
          </cell>
          <cell r="B6220">
            <v>-2.844920495224508E-9</v>
          </cell>
          <cell r="C6220">
            <v>0</v>
          </cell>
          <cell r="D6220" t="e">
            <v>#VALUE!</v>
          </cell>
          <cell r="E6220" t="e">
            <v>#VALUE!</v>
          </cell>
          <cell r="F6220">
            <v>0</v>
          </cell>
        </row>
        <row r="6221">
          <cell r="A6221" t="str">
            <v>RVBIFO4C</v>
          </cell>
          <cell r="B6221">
            <v>0</v>
          </cell>
          <cell r="C6221">
            <v>0</v>
          </cell>
          <cell r="D6221" t="e">
            <v>#VALUE!</v>
          </cell>
          <cell r="E6221" t="e">
            <v>#VALUE!</v>
          </cell>
          <cell r="F6221">
            <v>0</v>
          </cell>
        </row>
        <row r="6222">
          <cell r="A6222" t="str">
            <v>RAFCPG1C</v>
          </cell>
          <cell r="B6222">
            <v>-3.5658141383450665E-6</v>
          </cell>
          <cell r="C6222">
            <v>0</v>
          </cell>
          <cell r="D6222" t="e">
            <v>#VALUE!</v>
          </cell>
          <cell r="E6222" t="e">
            <v>#VALUE!</v>
          </cell>
          <cell r="F6222">
            <v>0</v>
          </cell>
        </row>
        <row r="6223">
          <cell r="A6223" t="str">
            <v>RAFCPG2C</v>
          </cell>
          <cell r="B6223">
            <v>-1.9595406598293193E-7</v>
          </cell>
          <cell r="C6223">
            <v>0</v>
          </cell>
          <cell r="D6223" t="e">
            <v>#VALUE!</v>
          </cell>
          <cell r="E6223" t="e">
            <v>#VALUE!</v>
          </cell>
          <cell r="F6223">
            <v>0</v>
          </cell>
        </row>
        <row r="6224">
          <cell r="A6224" t="str">
            <v>RAFCPG3C</v>
          </cell>
          <cell r="B6224">
            <v>-3.3331262749847212E-10</v>
          </cell>
          <cell r="C6224">
            <v>0</v>
          </cell>
          <cell r="D6224" t="e">
            <v>#VALUE!</v>
          </cell>
          <cell r="E6224" t="e">
            <v>#VALUE!</v>
          </cell>
          <cell r="F6224">
            <v>0</v>
          </cell>
        </row>
        <row r="6225">
          <cell r="A6225" t="str">
            <v>RAFCPG4C</v>
          </cell>
          <cell r="B6225">
            <v>0</v>
          </cell>
          <cell r="C6225">
            <v>0</v>
          </cell>
          <cell r="D6225" t="e">
            <v>#VALUE!</v>
          </cell>
          <cell r="E6225" t="e">
            <v>#VALUE!</v>
          </cell>
          <cell r="F6225">
            <v>0</v>
          </cell>
        </row>
        <row r="6226">
          <cell r="A6226" t="str">
            <v>RAFCAR1C</v>
          </cell>
          <cell r="B6226">
            <v>4.5121817828446299E-3</v>
          </cell>
          <cell r="C6226">
            <v>0</v>
          </cell>
          <cell r="D6226" t="e">
            <v>#VALUE!</v>
          </cell>
          <cell r="E6226" t="e">
            <v>#VALUE!</v>
          </cell>
          <cell r="F6226">
            <v>0</v>
          </cell>
        </row>
        <row r="6227">
          <cell r="A6227" t="str">
            <v>RCLISW1C</v>
          </cell>
          <cell r="B6227">
            <v>3.5084904255523874E-7</v>
          </cell>
          <cell r="C6227">
            <v>0</v>
          </cell>
          <cell r="D6227" t="e">
            <v>#VALUE!</v>
          </cell>
          <cell r="E6227" t="e">
            <v>#VALUE!</v>
          </cell>
          <cell r="F6227">
            <v>0</v>
          </cell>
        </row>
        <row r="6228">
          <cell r="A6228" t="str">
            <v>RCLISW2C</v>
          </cell>
          <cell r="B6228">
            <v>2.3282608016881557E-8</v>
          </cell>
          <cell r="C6228">
            <v>0</v>
          </cell>
          <cell r="D6228" t="e">
            <v>#VALUE!</v>
          </cell>
          <cell r="E6228" t="e">
            <v>#VALUE!</v>
          </cell>
          <cell r="F6228">
            <v>0</v>
          </cell>
        </row>
        <row r="6229">
          <cell r="A6229" t="str">
            <v>RCLISW3C</v>
          </cell>
          <cell r="B6229">
            <v>8.4963204471932841E-8</v>
          </cell>
          <cell r="C6229">
            <v>0</v>
          </cell>
          <cell r="D6229" t="e">
            <v>#VALUE!</v>
          </cell>
          <cell r="E6229" t="e">
            <v>#VALUE!</v>
          </cell>
          <cell r="F6229">
            <v>0</v>
          </cell>
        </row>
        <row r="6230">
          <cell r="A6230" t="str">
            <v>RCLISW4C</v>
          </cell>
          <cell r="B6230">
            <v>0</v>
          </cell>
          <cell r="C6230">
            <v>0</v>
          </cell>
          <cell r="D6230" t="e">
            <v>#VALUE!</v>
          </cell>
          <cell r="E6230" t="e">
            <v>#VALUE!</v>
          </cell>
          <cell r="F6230">
            <v>0</v>
          </cell>
        </row>
        <row r="6231">
          <cell r="A6231" t="str">
            <v>RCLISW5C</v>
          </cell>
          <cell r="B6231">
            <v>1.8063744278151717E-8</v>
          </cell>
          <cell r="C6231">
            <v>0</v>
          </cell>
          <cell r="D6231" t="e">
            <v>#VALUE!</v>
          </cell>
          <cell r="E6231" t="e">
            <v>#VALUE!</v>
          </cell>
          <cell r="F6231">
            <v>0</v>
          </cell>
        </row>
        <row r="6232">
          <cell r="A6232" t="str">
            <v>RCLISW6C</v>
          </cell>
          <cell r="B6232">
            <v>0</v>
          </cell>
          <cell r="C6232">
            <v>0</v>
          </cell>
          <cell r="D6232" t="e">
            <v>#VALUE!</v>
          </cell>
          <cell r="E6232" t="e">
            <v>#VALUE!</v>
          </cell>
          <cell r="F6232">
            <v>0</v>
          </cell>
        </row>
        <row r="6233">
          <cell r="A6233" t="str">
            <v>RCLILK1C</v>
          </cell>
          <cell r="B6233">
            <v>7.8331668920663888E-5</v>
          </cell>
          <cell r="C6233">
            <v>0</v>
          </cell>
          <cell r="D6233" t="e">
            <v>#VALUE!</v>
          </cell>
          <cell r="E6233" t="e">
            <v>#VALUE!</v>
          </cell>
          <cell r="F6233">
            <v>0</v>
          </cell>
        </row>
        <row r="6234">
          <cell r="A6234" t="str">
            <v>RCLILK2C</v>
          </cell>
          <cell r="B6234">
            <v>1.9514113711472281E-7</v>
          </cell>
          <cell r="C6234">
            <v>0</v>
          </cell>
          <cell r="D6234" t="e">
            <v>#VALUE!</v>
          </cell>
          <cell r="E6234" t="e">
            <v>#VALUE!</v>
          </cell>
          <cell r="F6234">
            <v>0</v>
          </cell>
        </row>
        <row r="6235">
          <cell r="A6235" t="str">
            <v>RCLILK3C</v>
          </cell>
          <cell r="B6235">
            <v>1.2580249064697568E-9</v>
          </cell>
          <cell r="C6235">
            <v>0</v>
          </cell>
          <cell r="D6235" t="e">
            <v>#VALUE!</v>
          </cell>
          <cell r="E6235" t="e">
            <v>#VALUE!</v>
          </cell>
          <cell r="F6235">
            <v>0</v>
          </cell>
        </row>
        <row r="6236">
          <cell r="A6236" t="str">
            <v>RCLILK4C</v>
          </cell>
          <cell r="B6236">
            <v>0</v>
          </cell>
          <cell r="C6236">
            <v>0</v>
          </cell>
          <cell r="D6236" t="e">
            <v>#VALUE!</v>
          </cell>
          <cell r="E6236" t="e">
            <v>#VALUE!</v>
          </cell>
          <cell r="F6236">
            <v>0</v>
          </cell>
        </row>
        <row r="6237">
          <cell r="A6237" t="str">
            <v>RCLILG1C</v>
          </cell>
          <cell r="B6237">
            <v>1.0079653458733571E-2</v>
          </cell>
          <cell r="C6237">
            <v>0</v>
          </cell>
          <cell r="D6237" t="e">
            <v>#VALUE!</v>
          </cell>
          <cell r="E6237" t="e">
            <v>#VALUE!</v>
          </cell>
          <cell r="F6237">
            <v>0</v>
          </cell>
        </row>
        <row r="6238">
          <cell r="A6238" t="str">
            <v>RCLILG2C</v>
          </cell>
          <cell r="B6238">
            <v>5.7562181466406174E-7</v>
          </cell>
          <cell r="C6238">
            <v>0</v>
          </cell>
          <cell r="D6238" t="e">
            <v>#VALUE!</v>
          </cell>
          <cell r="E6238" t="e">
            <v>#VALUE!</v>
          </cell>
          <cell r="F6238">
            <v>0</v>
          </cell>
        </row>
        <row r="6239">
          <cell r="A6239" t="str">
            <v>RCLILG3C</v>
          </cell>
          <cell r="B6239">
            <v>-1.2452313846722518E-8</v>
          </cell>
          <cell r="C6239">
            <v>0</v>
          </cell>
          <cell r="D6239" t="e">
            <v>#VALUE!</v>
          </cell>
          <cell r="E6239" t="e">
            <v>#VALUE!</v>
          </cell>
          <cell r="F6239">
            <v>0</v>
          </cell>
        </row>
        <row r="6240">
          <cell r="A6240" t="str">
            <v>RCLILG4C</v>
          </cell>
          <cell r="B6240">
            <v>0</v>
          </cell>
          <cell r="C6240">
            <v>0</v>
          </cell>
          <cell r="D6240" t="e">
            <v>#VALUE!</v>
          </cell>
          <cell r="E6240" t="e">
            <v>#VALUE!</v>
          </cell>
          <cell r="F6240">
            <v>0</v>
          </cell>
        </row>
        <row r="6241">
          <cell r="A6241" t="str">
            <v>RCLIPG1C</v>
          </cell>
          <cell r="B6241">
            <v>-1.0305481773124085E-4</v>
          </cell>
          <cell r="C6241">
            <v>0</v>
          </cell>
          <cell r="D6241" t="e">
            <v>#VALUE!</v>
          </cell>
          <cell r="E6241" t="e">
            <v>#VALUE!</v>
          </cell>
          <cell r="F6241">
            <v>0</v>
          </cell>
        </row>
        <row r="6242">
          <cell r="A6242" t="str">
            <v>RCLIPG2C</v>
          </cell>
          <cell r="B6242">
            <v>-4.7200605315781217E-3</v>
          </cell>
          <cell r="C6242">
            <v>0</v>
          </cell>
          <cell r="D6242" t="e">
            <v>#VALUE!</v>
          </cell>
          <cell r="E6242" t="e">
            <v>#VALUE!</v>
          </cell>
          <cell r="F6242">
            <v>0</v>
          </cell>
        </row>
        <row r="6243">
          <cell r="A6243" t="str">
            <v>RCLIPG3C</v>
          </cell>
          <cell r="B6243">
            <v>7.4878066413930355E-8</v>
          </cell>
          <cell r="C6243">
            <v>0</v>
          </cell>
          <cell r="D6243" t="e">
            <v>#VALUE!</v>
          </cell>
          <cell r="E6243" t="e">
            <v>#VALUE!</v>
          </cell>
          <cell r="F6243">
            <v>0</v>
          </cell>
        </row>
        <row r="6244">
          <cell r="A6244" t="str">
            <v>RCLIPG4C</v>
          </cell>
          <cell r="B6244">
            <v>0</v>
          </cell>
          <cell r="C6244">
            <v>0</v>
          </cell>
          <cell r="D6244" t="e">
            <v>#VALUE!</v>
          </cell>
          <cell r="E6244" t="e">
            <v>#VALUE!</v>
          </cell>
          <cell r="F6244">
            <v>0</v>
          </cell>
        </row>
        <row r="6245">
          <cell r="A6245" t="str">
            <v>RCLIAR1C</v>
          </cell>
          <cell r="B6245">
            <v>-1.2454381648910372E-2</v>
          </cell>
          <cell r="C6245">
            <v>0</v>
          </cell>
          <cell r="D6245" t="e">
            <v>#VALUE!</v>
          </cell>
          <cell r="E6245" t="e">
            <v>#VALUE!</v>
          </cell>
          <cell r="F6245">
            <v>0</v>
          </cell>
        </row>
        <row r="6246">
          <cell r="A6246" t="str">
            <v>RCLIFO3C</v>
          </cell>
          <cell r="B6246">
            <v>-6.870670310727541E-7</v>
          </cell>
          <cell r="C6246">
            <v>0</v>
          </cell>
          <cell r="D6246" t="e">
            <v>#VALUE!</v>
          </cell>
          <cell r="E6246" t="e">
            <v>#VALUE!</v>
          </cell>
          <cell r="F6246">
            <v>0</v>
          </cell>
        </row>
        <row r="6247">
          <cell r="A6247" t="str">
            <v>RCLIFO4C</v>
          </cell>
          <cell r="B6247">
            <v>0</v>
          </cell>
          <cell r="C6247">
            <v>0</v>
          </cell>
          <cell r="D6247" t="e">
            <v>#VALUE!</v>
          </cell>
          <cell r="E6247" t="e">
            <v>#VALUE!</v>
          </cell>
          <cell r="F6247">
            <v>0</v>
          </cell>
        </row>
        <row r="6248">
          <cell r="A6248" t="str">
            <v>RCFISW1C</v>
          </cell>
          <cell r="B6248">
            <v>1.2295038800402836E-7</v>
          </cell>
          <cell r="C6248">
            <v>0</v>
          </cell>
          <cell r="D6248" t="e">
            <v>#VALUE!</v>
          </cell>
          <cell r="E6248" t="e">
            <v>#VALUE!</v>
          </cell>
          <cell r="F6248">
            <v>0</v>
          </cell>
        </row>
        <row r="6249">
          <cell r="A6249" t="str">
            <v>RCFISW2C</v>
          </cell>
          <cell r="B6249">
            <v>-2.3523663771842846E-8</v>
          </cell>
          <cell r="C6249">
            <v>0</v>
          </cell>
          <cell r="D6249" t="e">
            <v>#VALUE!</v>
          </cell>
          <cell r="E6249" t="e">
            <v>#VALUE!</v>
          </cell>
          <cell r="F6249">
            <v>0</v>
          </cell>
        </row>
        <row r="6250">
          <cell r="A6250" t="str">
            <v>RCFISW3C</v>
          </cell>
          <cell r="B6250">
            <v>1.6256993262686592E-7</v>
          </cell>
          <cell r="C6250">
            <v>0</v>
          </cell>
          <cell r="D6250" t="e">
            <v>#VALUE!</v>
          </cell>
          <cell r="E6250" t="e">
            <v>#VALUE!</v>
          </cell>
          <cell r="F6250">
            <v>0</v>
          </cell>
        </row>
        <row r="6251">
          <cell r="A6251" t="str">
            <v>RCFISW4C</v>
          </cell>
          <cell r="B6251">
            <v>0</v>
          </cell>
          <cell r="C6251">
            <v>0</v>
          </cell>
          <cell r="D6251" t="e">
            <v>#VALUE!</v>
          </cell>
          <cell r="E6251" t="e">
            <v>#VALUE!</v>
          </cell>
          <cell r="F6251">
            <v>0</v>
          </cell>
        </row>
        <row r="6252">
          <cell r="A6252" t="str">
            <v>RCFISW5C</v>
          </cell>
          <cell r="B6252">
            <v>5.1337543993668078E-8</v>
          </cell>
          <cell r="C6252">
            <v>0</v>
          </cell>
          <cell r="D6252" t="e">
            <v>#VALUE!</v>
          </cell>
          <cell r="E6252" t="e">
            <v>#VALUE!</v>
          </cell>
          <cell r="F6252">
            <v>0</v>
          </cell>
        </row>
        <row r="6253">
          <cell r="A6253" t="str">
            <v>RCFISW6C</v>
          </cell>
          <cell r="B6253">
            <v>0</v>
          </cell>
          <cell r="C6253">
            <v>0</v>
          </cell>
          <cell r="D6253" t="e">
            <v>#VALUE!</v>
          </cell>
          <cell r="E6253" t="e">
            <v>#VALUE!</v>
          </cell>
          <cell r="F6253">
            <v>0</v>
          </cell>
        </row>
        <row r="6254">
          <cell r="A6254" t="str">
            <v>RCFILK1C</v>
          </cell>
          <cell r="B6254">
            <v>1.3898988575307804E-4</v>
          </cell>
          <cell r="C6254">
            <v>0</v>
          </cell>
          <cell r="D6254" t="e">
            <v>#VALUE!</v>
          </cell>
          <cell r="E6254" t="e">
            <v>#VALUE!</v>
          </cell>
          <cell r="F6254">
            <v>0</v>
          </cell>
        </row>
        <row r="6255">
          <cell r="A6255" t="str">
            <v>RCFILK2C</v>
          </cell>
          <cell r="B6255">
            <v>-3.5033521532306923E-4</v>
          </cell>
          <cell r="C6255">
            <v>0</v>
          </cell>
          <cell r="D6255" t="e">
            <v>#VALUE!</v>
          </cell>
          <cell r="E6255" t="e">
            <v>#VALUE!</v>
          </cell>
          <cell r="F6255">
            <v>0</v>
          </cell>
        </row>
        <row r="6256">
          <cell r="A6256" t="str">
            <v>RCFILK3C</v>
          </cell>
          <cell r="B6256">
            <v>1.4488608535145886E-8</v>
          </cell>
          <cell r="C6256">
            <v>0</v>
          </cell>
          <cell r="D6256" t="e">
            <v>#VALUE!</v>
          </cell>
          <cell r="E6256" t="e">
            <v>#VALUE!</v>
          </cell>
          <cell r="F6256">
            <v>0</v>
          </cell>
        </row>
        <row r="6257">
          <cell r="A6257" t="str">
            <v>RCFILK4C</v>
          </cell>
          <cell r="B6257">
            <v>0</v>
          </cell>
          <cell r="C6257">
            <v>0</v>
          </cell>
          <cell r="D6257" t="e">
            <v>#VALUE!</v>
          </cell>
          <cell r="E6257" t="e">
            <v>#VALUE!</v>
          </cell>
          <cell r="F6257">
            <v>0</v>
          </cell>
        </row>
        <row r="6258">
          <cell r="A6258" t="str">
            <v>RCFILG1C</v>
          </cell>
          <cell r="B6258">
            <v>2.3385125748200774E-3</v>
          </cell>
          <cell r="C6258">
            <v>0</v>
          </cell>
          <cell r="D6258" t="e">
            <v>#VALUE!</v>
          </cell>
          <cell r="E6258" t="e">
            <v>#VALUE!</v>
          </cell>
          <cell r="F6258">
            <v>0</v>
          </cell>
        </row>
        <row r="6259">
          <cell r="A6259" t="str">
            <v>RCFILG2C</v>
          </cell>
          <cell r="B6259">
            <v>2.0705007212735872E-3</v>
          </cell>
          <cell r="C6259">
            <v>0</v>
          </cell>
          <cell r="D6259" t="e">
            <v>#VALUE!</v>
          </cell>
          <cell r="E6259" t="e">
            <v>#VALUE!</v>
          </cell>
          <cell r="F6259">
            <v>0</v>
          </cell>
        </row>
        <row r="6260">
          <cell r="A6260" t="str">
            <v>RCFILG3C</v>
          </cell>
          <cell r="B6260">
            <v>1.1838334330604994E-6</v>
          </cell>
          <cell r="C6260">
            <v>0</v>
          </cell>
          <cell r="D6260" t="e">
            <v>#VALUE!</v>
          </cell>
          <cell r="E6260" t="e">
            <v>#VALUE!</v>
          </cell>
          <cell r="F6260">
            <v>0</v>
          </cell>
        </row>
        <row r="6261">
          <cell r="A6261" t="str">
            <v>RCFILG4C</v>
          </cell>
          <cell r="B6261">
            <v>0</v>
          </cell>
          <cell r="C6261">
            <v>0</v>
          </cell>
          <cell r="D6261" t="e">
            <v>#VALUE!</v>
          </cell>
          <cell r="E6261" t="e">
            <v>#VALUE!</v>
          </cell>
          <cell r="F6261">
            <v>0</v>
          </cell>
        </row>
        <row r="6262">
          <cell r="A6262" t="str">
            <v>RCFIPG1C</v>
          </cell>
          <cell r="B6262">
            <v>-4.3588448329812731E-5</v>
          </cell>
          <cell r="C6262">
            <v>0</v>
          </cell>
          <cell r="D6262" t="e">
            <v>#VALUE!</v>
          </cell>
          <cell r="E6262" t="e">
            <v>#VALUE!</v>
          </cell>
          <cell r="F6262">
            <v>0</v>
          </cell>
        </row>
        <row r="6263">
          <cell r="A6263" t="str">
            <v>RCFIPG2C</v>
          </cell>
          <cell r="B6263">
            <v>-2.1095808943649499E-3</v>
          </cell>
          <cell r="C6263">
            <v>0</v>
          </cell>
          <cell r="D6263" t="e">
            <v>#VALUE!</v>
          </cell>
          <cell r="E6263" t="e">
            <v>#VALUE!</v>
          </cell>
          <cell r="F6263">
            <v>0</v>
          </cell>
        </row>
        <row r="6264">
          <cell r="A6264" t="str">
            <v>RCFIPG3C</v>
          </cell>
          <cell r="B6264">
            <v>-3.4159640449615836E-8</v>
          </cell>
          <cell r="C6264">
            <v>0</v>
          </cell>
          <cell r="D6264" t="e">
            <v>#VALUE!</v>
          </cell>
          <cell r="E6264" t="e">
            <v>#VALUE!</v>
          </cell>
          <cell r="F6264">
            <v>0</v>
          </cell>
        </row>
        <row r="6265">
          <cell r="A6265" t="str">
            <v>RCFIPG4C</v>
          </cell>
          <cell r="B6265">
            <v>0</v>
          </cell>
          <cell r="C6265">
            <v>0</v>
          </cell>
          <cell r="D6265" t="e">
            <v>#VALUE!</v>
          </cell>
          <cell r="E6265" t="e">
            <v>#VALUE!</v>
          </cell>
          <cell r="F6265">
            <v>0</v>
          </cell>
        </row>
        <row r="6266">
          <cell r="A6266" t="str">
            <v>RCFIAR1C</v>
          </cell>
          <cell r="B6266">
            <v>-1.8785224733108732E-3</v>
          </cell>
          <cell r="C6266">
            <v>0</v>
          </cell>
          <cell r="D6266" t="e">
            <v>#VALUE!</v>
          </cell>
          <cell r="E6266" t="e">
            <v>#VALUE!</v>
          </cell>
          <cell r="F6266">
            <v>0</v>
          </cell>
        </row>
        <row r="6267">
          <cell r="A6267" t="str">
            <v>RCFIFO3C</v>
          </cell>
          <cell r="B6267">
            <v>4.5351227265499589E-7</v>
          </cell>
          <cell r="C6267">
            <v>0</v>
          </cell>
          <cell r="D6267" t="e">
            <v>#VALUE!</v>
          </cell>
          <cell r="E6267" t="e">
            <v>#VALUE!</v>
          </cell>
          <cell r="F6267">
            <v>0</v>
          </cell>
        </row>
        <row r="6268">
          <cell r="A6268" t="str">
            <v>RCFIFO4C</v>
          </cell>
          <cell r="B6268">
            <v>0</v>
          </cell>
          <cell r="C6268">
            <v>0</v>
          </cell>
          <cell r="D6268" t="e">
            <v>#VALUE!</v>
          </cell>
          <cell r="E6268" t="e">
            <v>#VALUE!</v>
          </cell>
          <cell r="F6268">
            <v>0</v>
          </cell>
        </row>
        <row r="6269">
          <cell r="A6269" t="str">
            <v>RPPISW1C</v>
          </cell>
          <cell r="B6269">
            <v>2.8754443492320433E-7</v>
          </cell>
          <cell r="C6269">
            <v>0</v>
          </cell>
          <cell r="D6269" t="e">
            <v>#VALUE!</v>
          </cell>
          <cell r="E6269" t="e">
            <v>#VALUE!</v>
          </cell>
          <cell r="F6269">
            <v>0</v>
          </cell>
        </row>
        <row r="6270">
          <cell r="A6270" t="str">
            <v>RPPISW2C</v>
          </cell>
          <cell r="B6270">
            <v>5.8822341973248276E-8</v>
          </cell>
          <cell r="C6270">
            <v>0</v>
          </cell>
          <cell r="D6270" t="e">
            <v>#VALUE!</v>
          </cell>
          <cell r="E6270" t="e">
            <v>#VALUE!</v>
          </cell>
          <cell r="F6270">
            <v>0</v>
          </cell>
        </row>
        <row r="6271">
          <cell r="A6271" t="str">
            <v>RPPISW3C</v>
          </cell>
          <cell r="B6271">
            <v>-4.5025054795644337E-9</v>
          </cell>
          <cell r="C6271">
            <v>0</v>
          </cell>
          <cell r="D6271" t="e">
            <v>#VALUE!</v>
          </cell>
          <cell r="E6271" t="e">
            <v>#VALUE!</v>
          </cell>
          <cell r="F6271">
            <v>0</v>
          </cell>
        </row>
        <row r="6272">
          <cell r="A6272" t="str">
            <v>RPPISW4C</v>
          </cell>
          <cell r="B6272">
            <v>0</v>
          </cell>
          <cell r="C6272">
            <v>0</v>
          </cell>
          <cell r="D6272" t="e">
            <v>#VALUE!</v>
          </cell>
          <cell r="E6272" t="e">
            <v>#VALUE!</v>
          </cell>
          <cell r="F6272">
            <v>0</v>
          </cell>
        </row>
        <row r="6273">
          <cell r="A6273" t="str">
            <v>RPPISW5C</v>
          </cell>
          <cell r="B6273">
            <v>-1.4218346500172174E-9</v>
          </cell>
          <cell r="C6273">
            <v>0</v>
          </cell>
          <cell r="D6273" t="e">
            <v>#VALUE!</v>
          </cell>
          <cell r="E6273" t="e">
            <v>#VALUE!</v>
          </cell>
          <cell r="F6273">
            <v>0</v>
          </cell>
        </row>
        <row r="6274">
          <cell r="A6274" t="str">
            <v>RPPISW6C</v>
          </cell>
          <cell r="B6274">
            <v>0</v>
          </cell>
          <cell r="C6274">
            <v>0</v>
          </cell>
          <cell r="D6274" t="e">
            <v>#VALUE!</v>
          </cell>
          <cell r="E6274" t="e">
            <v>#VALUE!</v>
          </cell>
          <cell r="F6274">
            <v>0</v>
          </cell>
        </row>
        <row r="6275">
          <cell r="A6275" t="str">
            <v>RPPILK1C</v>
          </cell>
          <cell r="B6275">
            <v>4.2837457314742834E-5</v>
          </cell>
          <cell r="C6275">
            <v>0</v>
          </cell>
          <cell r="D6275" t="e">
            <v>#VALUE!</v>
          </cell>
          <cell r="E6275" t="e">
            <v>#VALUE!</v>
          </cell>
          <cell r="F6275">
            <v>0</v>
          </cell>
        </row>
        <row r="6276">
          <cell r="A6276" t="str">
            <v>RPPILK2C</v>
          </cell>
          <cell r="B6276">
            <v>-1.2119643419740374E-4</v>
          </cell>
          <cell r="C6276">
            <v>0</v>
          </cell>
          <cell r="D6276" t="e">
            <v>#VALUE!</v>
          </cell>
          <cell r="E6276" t="e">
            <v>#VALUE!</v>
          </cell>
          <cell r="F6276">
            <v>0</v>
          </cell>
        </row>
        <row r="6277">
          <cell r="A6277" t="str">
            <v>RPPILK3C</v>
          </cell>
          <cell r="B6277">
            <v>-1.8687532588046452E-7</v>
          </cell>
          <cell r="C6277">
            <v>0</v>
          </cell>
          <cell r="D6277" t="e">
            <v>#VALUE!</v>
          </cell>
          <cell r="E6277" t="e">
            <v>#VALUE!</v>
          </cell>
          <cell r="F6277">
            <v>0</v>
          </cell>
        </row>
        <row r="6278">
          <cell r="A6278" t="str">
            <v>RPPILK4C</v>
          </cell>
          <cell r="B6278">
            <v>0</v>
          </cell>
          <cell r="C6278">
            <v>0</v>
          </cell>
          <cell r="D6278" t="e">
            <v>#VALUE!</v>
          </cell>
          <cell r="E6278" t="e">
            <v>#VALUE!</v>
          </cell>
          <cell r="F6278">
            <v>0</v>
          </cell>
        </row>
        <row r="6279">
          <cell r="A6279" t="str">
            <v>RPPILG1C</v>
          </cell>
          <cell r="B6279">
            <v>-1.6049230802284549E-4</v>
          </cell>
          <cell r="C6279">
            <v>0</v>
          </cell>
          <cell r="D6279" t="e">
            <v>#VALUE!</v>
          </cell>
          <cell r="E6279" t="e">
            <v>#VALUE!</v>
          </cell>
          <cell r="F6279">
            <v>0</v>
          </cell>
        </row>
        <row r="6280">
          <cell r="A6280" t="str">
            <v>RPPILG2C</v>
          </cell>
          <cell r="B6280">
            <v>3.4380514341747797E-6</v>
          </cell>
          <cell r="C6280">
            <v>0</v>
          </cell>
          <cell r="D6280" t="e">
            <v>#VALUE!</v>
          </cell>
          <cell r="E6280" t="e">
            <v>#VALUE!</v>
          </cell>
          <cell r="F6280">
            <v>0</v>
          </cell>
        </row>
        <row r="6281">
          <cell r="A6281" t="str">
            <v>RPPILG3C</v>
          </cell>
          <cell r="B6281">
            <v>-1.4306141338238376E-7</v>
          </cell>
          <cell r="C6281">
            <v>0</v>
          </cell>
          <cell r="D6281" t="e">
            <v>#VALUE!</v>
          </cell>
          <cell r="E6281" t="e">
            <v>#VALUE!</v>
          </cell>
          <cell r="F6281">
            <v>0</v>
          </cell>
        </row>
        <row r="6282">
          <cell r="A6282" t="str">
            <v>RPPILG4C</v>
          </cell>
          <cell r="B6282">
            <v>0</v>
          </cell>
          <cell r="C6282">
            <v>0</v>
          </cell>
          <cell r="D6282" t="e">
            <v>#VALUE!</v>
          </cell>
          <cell r="E6282" t="e">
            <v>#VALUE!</v>
          </cell>
          <cell r="F6282">
            <v>0</v>
          </cell>
        </row>
        <row r="6283">
          <cell r="A6283" t="str">
            <v>RPPIPG1C</v>
          </cell>
          <cell r="B6283">
            <v>-1.3772918806627212E-3</v>
          </cell>
          <cell r="C6283">
            <v>0</v>
          </cell>
          <cell r="D6283" t="e">
            <v>#VALUE!</v>
          </cell>
          <cell r="E6283" t="e">
            <v>#VALUE!</v>
          </cell>
          <cell r="F6283">
            <v>0</v>
          </cell>
        </row>
        <row r="6284">
          <cell r="A6284" t="str">
            <v>RPPIPG2C</v>
          </cell>
          <cell r="B6284">
            <v>-2.4185496610262406E-3</v>
          </cell>
          <cell r="C6284">
            <v>0</v>
          </cell>
          <cell r="D6284" t="e">
            <v>#VALUE!</v>
          </cell>
          <cell r="E6284" t="e">
            <v>#VALUE!</v>
          </cell>
          <cell r="F6284">
            <v>0</v>
          </cell>
        </row>
        <row r="6285">
          <cell r="A6285" t="str">
            <v>RPPIPG3C</v>
          </cell>
          <cell r="B6285">
            <v>-9.44211606679346E-8</v>
          </cell>
          <cell r="C6285">
            <v>0</v>
          </cell>
          <cell r="D6285" t="e">
            <v>#VALUE!</v>
          </cell>
          <cell r="E6285" t="e">
            <v>#VALUE!</v>
          </cell>
          <cell r="F6285">
            <v>0</v>
          </cell>
        </row>
        <row r="6286">
          <cell r="A6286" t="str">
            <v>RPPIPG4C</v>
          </cell>
          <cell r="B6286">
            <v>0</v>
          </cell>
          <cell r="C6286">
            <v>0</v>
          </cell>
          <cell r="D6286" t="e">
            <v>#VALUE!</v>
          </cell>
          <cell r="E6286" t="e">
            <v>#VALUE!</v>
          </cell>
          <cell r="F6286">
            <v>0</v>
          </cell>
        </row>
        <row r="6287">
          <cell r="A6287" t="str">
            <v>RPPIAR1C</v>
          </cell>
          <cell r="B6287">
            <v>0.13565830746569912</v>
          </cell>
          <cell r="C6287">
            <v>0</v>
          </cell>
          <cell r="D6287" t="e">
            <v>#VALUE!</v>
          </cell>
          <cell r="E6287" t="e">
            <v>#VALUE!</v>
          </cell>
          <cell r="F6287">
            <v>0</v>
          </cell>
        </row>
        <row r="6288">
          <cell r="A6288" t="str">
            <v>RPPIFO3C</v>
          </cell>
          <cell r="B6288">
            <v>-1.982886155788847E-7</v>
          </cell>
          <cell r="C6288">
            <v>0</v>
          </cell>
          <cell r="D6288" t="e">
            <v>#VALUE!</v>
          </cell>
          <cell r="E6288" t="e">
            <v>#VALUE!</v>
          </cell>
          <cell r="F6288">
            <v>0</v>
          </cell>
        </row>
        <row r="6289">
          <cell r="A6289" t="str">
            <v>RPPIFO4C</v>
          </cell>
          <cell r="B6289">
            <v>0</v>
          </cell>
          <cell r="C6289">
            <v>0</v>
          </cell>
          <cell r="D6289" t="e">
            <v>#VALUE!</v>
          </cell>
          <cell r="E6289" t="e">
            <v>#VALUE!</v>
          </cell>
          <cell r="F6289">
            <v>0</v>
          </cell>
        </row>
        <row r="6290">
          <cell r="A6290" t="str">
            <v>RAPIPG1C</v>
          </cell>
          <cell r="B6290">
            <v>1.6251440889353857E-4</v>
          </cell>
          <cell r="C6290">
            <v>0</v>
          </cell>
          <cell r="D6290" t="e">
            <v>#VALUE!</v>
          </cell>
          <cell r="E6290" t="e">
            <v>#VALUE!</v>
          </cell>
          <cell r="F6290">
            <v>0</v>
          </cell>
        </row>
        <row r="6291">
          <cell r="A6291" t="str">
            <v>RAPIPG2C</v>
          </cell>
          <cell r="B6291">
            <v>1.9052015587937466E-4</v>
          </cell>
          <cell r="C6291">
            <v>0</v>
          </cell>
          <cell r="D6291" t="e">
            <v>#VALUE!</v>
          </cell>
          <cell r="E6291" t="e">
            <v>#VALUE!</v>
          </cell>
          <cell r="F6291">
            <v>0</v>
          </cell>
        </row>
        <row r="6292">
          <cell r="A6292" t="str">
            <v>RAPIPG3C</v>
          </cell>
          <cell r="B6292">
            <v>-7.2752215363180994E-10</v>
          </cell>
          <cell r="C6292">
            <v>0</v>
          </cell>
          <cell r="D6292" t="e">
            <v>#VALUE!</v>
          </cell>
          <cell r="E6292" t="e">
            <v>#VALUE!</v>
          </cell>
          <cell r="F6292">
            <v>0</v>
          </cell>
        </row>
        <row r="6293">
          <cell r="A6293" t="str">
            <v>RAPIPG4C</v>
          </cell>
          <cell r="B6293">
            <v>0</v>
          </cell>
          <cell r="C6293">
            <v>0</v>
          </cell>
          <cell r="D6293" t="e">
            <v>#VALUE!</v>
          </cell>
          <cell r="E6293" t="e">
            <v>#VALUE!</v>
          </cell>
          <cell r="F6293">
            <v>0</v>
          </cell>
        </row>
        <row r="6294">
          <cell r="A6294" t="str">
            <v>RAPIAR1C</v>
          </cell>
          <cell r="B6294">
            <v>3.2674906013074189E-3</v>
          </cell>
          <cell r="C6294">
            <v>0</v>
          </cell>
          <cell r="D6294" t="e">
            <v>#VALUE!</v>
          </cell>
          <cell r="E6294" t="e">
            <v>#VALUE!</v>
          </cell>
          <cell r="F6294">
            <v>0</v>
          </cell>
        </row>
        <row r="6295">
          <cell r="A6295" t="str">
            <v>RCONPG1C</v>
          </cell>
          <cell r="B6295">
            <v>-1.4230577821394392E-7</v>
          </cell>
          <cell r="C6295">
            <v>0</v>
          </cell>
          <cell r="D6295" t="e">
            <v>#VALUE!</v>
          </cell>
          <cell r="E6295" t="e">
            <v>#VALUE!</v>
          </cell>
          <cell r="F6295">
            <v>0</v>
          </cell>
        </row>
        <row r="6296">
          <cell r="A6296" t="str">
            <v>RCONPG2C</v>
          </cell>
          <cell r="B6296">
            <v>-8.6407728760452966E-6</v>
          </cell>
          <cell r="C6296">
            <v>0</v>
          </cell>
          <cell r="D6296" t="e">
            <v>#VALUE!</v>
          </cell>
          <cell r="E6296" t="e">
            <v>#VALUE!</v>
          </cell>
          <cell r="F6296">
            <v>0</v>
          </cell>
        </row>
        <row r="6297">
          <cell r="A6297" t="str">
            <v>RCONPG3C</v>
          </cell>
          <cell r="B6297">
            <v>-5.2396202931959124E-8</v>
          </cell>
          <cell r="C6297">
            <v>0</v>
          </cell>
          <cell r="D6297" t="e">
            <v>#VALUE!</v>
          </cell>
          <cell r="E6297" t="e">
            <v>#VALUE!</v>
          </cell>
          <cell r="F6297">
            <v>0</v>
          </cell>
        </row>
        <row r="6298">
          <cell r="A6298" t="str">
            <v>RCONPG4C</v>
          </cell>
          <cell r="B6298">
            <v>0</v>
          </cell>
          <cell r="C6298">
            <v>0</v>
          </cell>
          <cell r="D6298" t="e">
            <v>#VALUE!</v>
          </cell>
          <cell r="E6298" t="e">
            <v>#VALUE!</v>
          </cell>
          <cell r="F6298">
            <v>0</v>
          </cell>
        </row>
        <row r="6299">
          <cell r="A6299" t="str">
            <v>RCONAR1C</v>
          </cell>
          <cell r="B6299">
            <v>-1.3953108996334676E-3</v>
          </cell>
          <cell r="C6299">
            <v>0</v>
          </cell>
          <cell r="D6299" t="e">
            <v>#VALUE!</v>
          </cell>
          <cell r="E6299" t="e">
            <v>#VALUE!</v>
          </cell>
          <cell r="F6299">
            <v>0</v>
          </cell>
        </row>
        <row r="6300">
          <cell r="A6300" t="str">
            <v>RKFCLG1C</v>
          </cell>
          <cell r="B6300">
            <v>-7.0343882690980389E-4</v>
          </cell>
          <cell r="C6300">
            <v>0</v>
          </cell>
          <cell r="D6300" t="e">
            <v>#VALUE!</v>
          </cell>
          <cell r="E6300" t="e">
            <v>#VALUE!</v>
          </cell>
          <cell r="F6300">
            <v>0</v>
          </cell>
        </row>
        <row r="6301">
          <cell r="A6301" t="str">
            <v>RKFCLG2C</v>
          </cell>
          <cell r="B6301">
            <v>-2.4458438783767631E-4</v>
          </cell>
          <cell r="C6301">
            <v>0</v>
          </cell>
          <cell r="D6301" t="e">
            <v>#VALUE!</v>
          </cell>
          <cell r="E6301" t="e">
            <v>#VALUE!</v>
          </cell>
          <cell r="F6301">
            <v>0</v>
          </cell>
        </row>
        <row r="6302">
          <cell r="A6302" t="str">
            <v>RKFCLG3C</v>
          </cell>
          <cell r="B6302">
            <v>9.7550234556820214E-10</v>
          </cell>
          <cell r="C6302">
            <v>0</v>
          </cell>
          <cell r="D6302" t="e">
            <v>#VALUE!</v>
          </cell>
          <cell r="E6302" t="e">
            <v>#VALUE!</v>
          </cell>
          <cell r="F6302">
            <v>0</v>
          </cell>
        </row>
        <row r="6303">
          <cell r="A6303" t="str">
            <v>RKFCLG4C</v>
          </cell>
          <cell r="B6303">
            <v>0</v>
          </cell>
          <cell r="C6303">
            <v>0</v>
          </cell>
          <cell r="D6303" t="e">
            <v>#VALUE!</v>
          </cell>
          <cell r="E6303" t="e">
            <v>#VALUE!</v>
          </cell>
          <cell r="F6303">
            <v>0</v>
          </cell>
        </row>
        <row r="6304">
          <cell r="A6304" t="str">
            <v>RKFCPG1C</v>
          </cell>
          <cell r="B6304">
            <v>-1.54237782926928E-6</v>
          </cell>
          <cell r="C6304">
            <v>0</v>
          </cell>
          <cell r="D6304" t="e">
            <v>#VALUE!</v>
          </cell>
          <cell r="E6304" t="e">
            <v>#VALUE!</v>
          </cell>
          <cell r="F6304">
            <v>0</v>
          </cell>
        </row>
        <row r="6305">
          <cell r="A6305" t="str">
            <v>RKFCPG2C</v>
          </cell>
          <cell r="B6305">
            <v>-8.3838319058062772E-6</v>
          </cell>
          <cell r="C6305">
            <v>0</v>
          </cell>
          <cell r="D6305" t="e">
            <v>#VALUE!</v>
          </cell>
          <cell r="E6305" t="e">
            <v>#VALUE!</v>
          </cell>
          <cell r="F6305">
            <v>0</v>
          </cell>
        </row>
        <row r="6306">
          <cell r="A6306" t="str">
            <v>RKFCPG3C</v>
          </cell>
          <cell r="B6306">
            <v>8.8543625764714307E-9</v>
          </cell>
          <cell r="C6306">
            <v>0</v>
          </cell>
          <cell r="D6306" t="e">
            <v>#VALUE!</v>
          </cell>
          <cell r="E6306" t="e">
            <v>#VALUE!</v>
          </cell>
          <cell r="F6306">
            <v>0</v>
          </cell>
        </row>
        <row r="6307">
          <cell r="A6307" t="str">
            <v>RKFCPG4C</v>
          </cell>
          <cell r="B6307">
            <v>0</v>
          </cell>
          <cell r="C6307">
            <v>0</v>
          </cell>
          <cell r="D6307" t="e">
            <v>#VALUE!</v>
          </cell>
          <cell r="E6307" t="e">
            <v>#VALUE!</v>
          </cell>
          <cell r="F6307">
            <v>0</v>
          </cell>
        </row>
        <row r="6308">
          <cell r="A6308" t="str">
            <v>RBNTPG1C</v>
          </cell>
          <cell r="B6308">
            <v>-4.2890493932645765E-5</v>
          </cell>
          <cell r="C6308">
            <v>0</v>
          </cell>
          <cell r="D6308" t="e">
            <v>#VALUE!</v>
          </cell>
          <cell r="E6308" t="e">
            <v>#VALUE!</v>
          </cell>
          <cell r="F6308">
            <v>0</v>
          </cell>
        </row>
        <row r="6309">
          <cell r="A6309" t="str">
            <v>RBNTPG2C</v>
          </cell>
          <cell r="B6309">
            <v>-9.5244870096880042E-7</v>
          </cell>
          <cell r="C6309">
            <v>0</v>
          </cell>
          <cell r="D6309" t="e">
            <v>#VALUE!</v>
          </cell>
          <cell r="E6309" t="e">
            <v>#VALUE!</v>
          </cell>
          <cell r="F6309">
            <v>0</v>
          </cell>
        </row>
        <row r="6310">
          <cell r="A6310" t="str">
            <v>RBNTPG3C</v>
          </cell>
          <cell r="B6310">
            <v>-3.7354808135603434E-9</v>
          </cell>
          <cell r="C6310">
            <v>0</v>
          </cell>
          <cell r="D6310" t="e">
            <v>#VALUE!</v>
          </cell>
          <cell r="E6310" t="e">
            <v>#VALUE!</v>
          </cell>
          <cell r="F6310">
            <v>0</v>
          </cell>
        </row>
        <row r="6311">
          <cell r="A6311" t="str">
            <v>RBNTPG4C</v>
          </cell>
          <cell r="B6311">
            <v>0</v>
          </cell>
          <cell r="C6311">
            <v>0</v>
          </cell>
          <cell r="D6311" t="e">
            <v>#VALUE!</v>
          </cell>
          <cell r="E6311" t="e">
            <v>#VALUE!</v>
          </cell>
          <cell r="F6311">
            <v>0</v>
          </cell>
        </row>
        <row r="6312">
          <cell r="A6312" t="str">
            <v>R205PL1C</v>
          </cell>
          <cell r="B6312">
            <v>1.2159071010413854E-5</v>
          </cell>
          <cell r="C6312">
            <v>0</v>
          </cell>
          <cell r="D6312" t="e">
            <v>#VALUE!</v>
          </cell>
          <cell r="E6312" t="e">
            <v>#VALUE!</v>
          </cell>
          <cell r="F6312">
            <v>0</v>
          </cell>
        </row>
        <row r="6313">
          <cell r="A6313" t="str">
            <v>R205PL2C</v>
          </cell>
          <cell r="B6313">
            <v>7.0179858458649415E-6</v>
          </cell>
          <cell r="C6313">
            <v>0</v>
          </cell>
          <cell r="D6313" t="e">
            <v>#VALUE!</v>
          </cell>
          <cell r="E6313" t="e">
            <v>#VALUE!</v>
          </cell>
          <cell r="F6313">
            <v>0</v>
          </cell>
        </row>
        <row r="6314">
          <cell r="A6314" t="str">
            <v>R205PL3C</v>
          </cell>
          <cell r="B6314">
            <v>-9.453015991311986E-6</v>
          </cell>
          <cell r="C6314">
            <v>0</v>
          </cell>
          <cell r="D6314" t="e">
            <v>#VALUE!</v>
          </cell>
          <cell r="E6314" t="e">
            <v>#VALUE!</v>
          </cell>
          <cell r="F6314">
            <v>0</v>
          </cell>
        </row>
        <row r="6315">
          <cell r="A6315" t="str">
            <v>R205PL4C</v>
          </cell>
          <cell r="B6315">
            <v>0</v>
          </cell>
          <cell r="C6315">
            <v>0</v>
          </cell>
          <cell r="D6315" t="e">
            <v>#VALUE!</v>
          </cell>
          <cell r="E6315" t="e">
            <v>#VALUE!</v>
          </cell>
          <cell r="F6315">
            <v>0</v>
          </cell>
        </row>
        <row r="6316">
          <cell r="A6316" t="str">
            <v>R205PL5C</v>
          </cell>
          <cell r="B6316">
            <v>-2.9851437375327805E-6</v>
          </cell>
          <cell r="C6316">
            <v>0</v>
          </cell>
          <cell r="D6316" t="e">
            <v>#VALUE!</v>
          </cell>
          <cell r="E6316" t="e">
            <v>#VALUE!</v>
          </cell>
          <cell r="F6316">
            <v>0</v>
          </cell>
        </row>
        <row r="6317">
          <cell r="A6317" t="str">
            <v>R205PL6C</v>
          </cell>
          <cell r="B6317">
            <v>0</v>
          </cell>
          <cell r="C6317">
            <v>0</v>
          </cell>
          <cell r="D6317" t="e">
            <v>#VALUE!</v>
          </cell>
          <cell r="E6317" t="e">
            <v>#VALUE!</v>
          </cell>
          <cell r="F6317">
            <v>0</v>
          </cell>
        </row>
        <row r="6318">
          <cell r="A6318" t="str">
            <v>R205PN1C</v>
          </cell>
          <cell r="B6318">
            <v>-1.9023448830049435E-5</v>
          </cell>
          <cell r="C6318">
            <v>0</v>
          </cell>
          <cell r="D6318" t="e">
            <v>#VALUE!</v>
          </cell>
          <cell r="E6318" t="e">
            <v>#VALUE!</v>
          </cell>
          <cell r="F6318">
            <v>0</v>
          </cell>
        </row>
        <row r="6319">
          <cell r="A6319" t="str">
            <v>R205SW1C</v>
          </cell>
          <cell r="B6319">
            <v>0</v>
          </cell>
          <cell r="C6319">
            <v>0</v>
          </cell>
          <cell r="D6319" t="e">
            <v>#VALUE!</v>
          </cell>
          <cell r="E6319" t="e">
            <v>#VALUE!</v>
          </cell>
          <cell r="F6319">
            <v>0</v>
          </cell>
        </row>
        <row r="6320">
          <cell r="A6320" t="str">
            <v>R205SW2C</v>
          </cell>
          <cell r="B6320">
            <v>0</v>
          </cell>
          <cell r="C6320">
            <v>0</v>
          </cell>
          <cell r="D6320" t="e">
            <v>#VALUE!</v>
          </cell>
          <cell r="E6320" t="e">
            <v>#VALUE!</v>
          </cell>
          <cell r="F6320">
            <v>0</v>
          </cell>
        </row>
        <row r="6321">
          <cell r="A6321" t="str">
            <v>R205SW3C</v>
          </cell>
          <cell r="B6321">
            <v>0</v>
          </cell>
          <cell r="C6321">
            <v>0</v>
          </cell>
          <cell r="D6321" t="e">
            <v>#VALUE!</v>
          </cell>
          <cell r="E6321" t="e">
            <v>#VALUE!</v>
          </cell>
          <cell r="F6321">
            <v>0</v>
          </cell>
        </row>
        <row r="6322">
          <cell r="A6322" t="str">
            <v>R205SW4C</v>
          </cell>
          <cell r="B6322">
            <v>0</v>
          </cell>
          <cell r="C6322">
            <v>0</v>
          </cell>
          <cell r="D6322" t="e">
            <v>#VALUE!</v>
          </cell>
          <cell r="E6322" t="e">
            <v>#VALUE!</v>
          </cell>
          <cell r="F6322">
            <v>0</v>
          </cell>
        </row>
        <row r="6323">
          <cell r="A6323" t="str">
            <v>R205SW5C</v>
          </cell>
          <cell r="B6323">
            <v>0</v>
          </cell>
          <cell r="C6323">
            <v>0</v>
          </cell>
          <cell r="D6323" t="e">
            <v>#VALUE!</v>
          </cell>
          <cell r="E6323" t="e">
            <v>#VALUE!</v>
          </cell>
          <cell r="F6323">
            <v>0</v>
          </cell>
        </row>
        <row r="6324">
          <cell r="A6324" t="str">
            <v>R205SW6C</v>
          </cell>
          <cell r="B6324">
            <v>0</v>
          </cell>
          <cell r="C6324">
            <v>0</v>
          </cell>
          <cell r="D6324" t="e">
            <v>#VALUE!</v>
          </cell>
          <cell r="E6324" t="e">
            <v>#VALUE!</v>
          </cell>
          <cell r="F6324">
            <v>0</v>
          </cell>
        </row>
        <row r="6325">
          <cell r="A6325" t="str">
            <v>R205LK1C</v>
          </cell>
          <cell r="B6325">
            <v>-3.4889412294532659E-4</v>
          </cell>
          <cell r="C6325">
            <v>0</v>
          </cell>
          <cell r="D6325" t="e">
            <v>#VALUE!</v>
          </cell>
          <cell r="E6325" t="e">
            <v>#VALUE!</v>
          </cell>
          <cell r="F6325">
            <v>0</v>
          </cell>
        </row>
        <row r="6326">
          <cell r="A6326" t="str">
            <v>RIIFSW1C</v>
          </cell>
          <cell r="B6326">
            <v>1.997958484411954E-4</v>
          </cell>
          <cell r="C6326">
            <v>0</v>
          </cell>
          <cell r="D6326" t="e">
            <v>#VALUE!</v>
          </cell>
          <cell r="E6326" t="e">
            <v>#VALUE!</v>
          </cell>
          <cell r="F6326">
            <v>0</v>
          </cell>
        </row>
        <row r="6327">
          <cell r="A6327" t="str">
            <v>RIIFSW2C</v>
          </cell>
          <cell r="B6327">
            <v>-4.0006324258596675E-3</v>
          </cell>
          <cell r="C6327">
            <v>0</v>
          </cell>
          <cell r="D6327" t="e">
            <v>#VALUE!</v>
          </cell>
          <cell r="E6327" t="e">
            <v>#VALUE!</v>
          </cell>
          <cell r="F6327">
            <v>0</v>
          </cell>
        </row>
        <row r="6328">
          <cell r="A6328" t="str">
            <v>RIIFSW3C</v>
          </cell>
          <cell r="B6328">
            <v>1.1585177708184347E-4</v>
          </cell>
          <cell r="C6328">
            <v>0</v>
          </cell>
          <cell r="D6328" t="e">
            <v>#VALUE!</v>
          </cell>
          <cell r="E6328" t="e">
            <v>#VALUE!</v>
          </cell>
          <cell r="F6328">
            <v>0</v>
          </cell>
        </row>
        <row r="6329">
          <cell r="A6329" t="str">
            <v>RIIFSW4C</v>
          </cell>
          <cell r="B6329">
            <v>0</v>
          </cell>
          <cell r="C6329">
            <v>0</v>
          </cell>
          <cell r="D6329" t="e">
            <v>#VALUE!</v>
          </cell>
          <cell r="E6329" t="e">
            <v>#VALUE!</v>
          </cell>
          <cell r="F6329">
            <v>0</v>
          </cell>
        </row>
        <row r="6330">
          <cell r="A6330" t="str">
            <v>RIIFSW5C</v>
          </cell>
          <cell r="B6330">
            <v>3.6584537156159058E-5</v>
          </cell>
          <cell r="C6330">
            <v>0</v>
          </cell>
          <cell r="D6330" t="e">
            <v>#VALUE!</v>
          </cell>
          <cell r="E6330" t="e">
            <v>#VALUE!</v>
          </cell>
          <cell r="F6330">
            <v>0</v>
          </cell>
        </row>
        <row r="6331">
          <cell r="A6331" t="str">
            <v>RIIFSW6C</v>
          </cell>
          <cell r="B6331">
            <v>0</v>
          </cell>
          <cell r="C6331">
            <v>0</v>
          </cell>
          <cell r="D6331" t="e">
            <v>#VALUE!</v>
          </cell>
          <cell r="E6331" t="e">
            <v>#VALUE!</v>
          </cell>
          <cell r="F6331">
            <v>0</v>
          </cell>
        </row>
        <row r="6332">
          <cell r="A6332" t="str">
            <v>RIIFLK1C</v>
          </cell>
          <cell r="B6332">
            <v>-1.6685509776269175E-2</v>
          </cell>
          <cell r="C6332">
            <v>0</v>
          </cell>
          <cell r="D6332" t="e">
            <v>#VALUE!</v>
          </cell>
          <cell r="E6332" t="e">
            <v>#VALUE!</v>
          </cell>
          <cell r="F6332">
            <v>0</v>
          </cell>
        </row>
        <row r="6333">
          <cell r="A6333" t="str">
            <v>RIIFLK2C</v>
          </cell>
          <cell r="B6333">
            <v>5.0112713023076115E-3</v>
          </cell>
          <cell r="C6333">
            <v>0</v>
          </cell>
          <cell r="D6333" t="e">
            <v>#VALUE!</v>
          </cell>
          <cell r="E6333" t="e">
            <v>#VALUE!</v>
          </cell>
          <cell r="F6333">
            <v>0</v>
          </cell>
        </row>
        <row r="6334">
          <cell r="A6334" t="str">
            <v>RIIFLK3C</v>
          </cell>
          <cell r="B6334">
            <v>1.7468420992372558E-5</v>
          </cell>
          <cell r="C6334">
            <v>0</v>
          </cell>
          <cell r="D6334" t="e">
            <v>#VALUE!</v>
          </cell>
          <cell r="E6334" t="e">
            <v>#VALUE!</v>
          </cell>
          <cell r="F6334">
            <v>0</v>
          </cell>
        </row>
        <row r="6335">
          <cell r="A6335" t="str">
            <v>RIIFLK4C</v>
          </cell>
          <cell r="B6335">
            <v>0</v>
          </cell>
          <cell r="C6335">
            <v>0</v>
          </cell>
          <cell r="D6335" t="e">
            <v>#VALUE!</v>
          </cell>
          <cell r="E6335" t="e">
            <v>#VALUE!</v>
          </cell>
          <cell r="F6335">
            <v>0</v>
          </cell>
        </row>
        <row r="6336">
          <cell r="A6336" t="str">
            <v>RIIFFO3C</v>
          </cell>
          <cell r="B6336">
            <v>-3.2833932206426962E-5</v>
          </cell>
          <cell r="C6336">
            <v>0</v>
          </cell>
          <cell r="D6336" t="e">
            <v>#VALUE!</v>
          </cell>
          <cell r="E6336" t="e">
            <v>#VALUE!</v>
          </cell>
          <cell r="F6336">
            <v>0</v>
          </cell>
        </row>
        <row r="6337">
          <cell r="A6337" t="str">
            <v>RIIFFO4C</v>
          </cell>
          <cell r="B6337">
            <v>0</v>
          </cell>
          <cell r="C6337">
            <v>0</v>
          </cell>
          <cell r="D6337" t="e">
            <v>#VALUE!</v>
          </cell>
          <cell r="E6337" t="e">
            <v>#VALUE!</v>
          </cell>
          <cell r="F6337">
            <v>0</v>
          </cell>
        </row>
        <row r="6338">
          <cell r="A6338" t="str">
            <v>RAR%FO3C</v>
          </cell>
          <cell r="B6338">
            <v>-2.9834289307473227E-5</v>
          </cell>
          <cell r="C6338">
            <v>0</v>
          </cell>
          <cell r="D6338" t="e">
            <v>#VALUE!</v>
          </cell>
          <cell r="E6338" t="e">
            <v>#VALUE!</v>
          </cell>
          <cell r="F6338">
            <v>0</v>
          </cell>
        </row>
        <row r="6339">
          <cell r="A6339" t="str">
            <v>RAR%FO4C</v>
          </cell>
          <cell r="B6339">
            <v>0</v>
          </cell>
          <cell r="C6339">
            <v>0</v>
          </cell>
          <cell r="D6339" t="e">
            <v>#VALUE!</v>
          </cell>
          <cell r="E6339" t="e">
            <v>#VALUE!</v>
          </cell>
          <cell r="F6339">
            <v>0</v>
          </cell>
        </row>
        <row r="6340">
          <cell r="A6340" t="str">
            <v>RAG1SW1C</v>
          </cell>
          <cell r="B6340">
            <v>-9.9705782236949201E-5</v>
          </cell>
          <cell r="C6340">
            <v>0</v>
          </cell>
          <cell r="D6340" t="e">
            <v>#VALUE!</v>
          </cell>
          <cell r="E6340" t="e">
            <v>#VALUE!</v>
          </cell>
          <cell r="F6340">
            <v>0</v>
          </cell>
        </row>
        <row r="6341">
          <cell r="A6341" t="str">
            <v>RAG1SW2C</v>
          </cell>
          <cell r="B6341">
            <v>-2.5275519924247892E-5</v>
          </cell>
          <cell r="C6341">
            <v>0</v>
          </cell>
          <cell r="D6341" t="e">
            <v>#VALUE!</v>
          </cell>
          <cell r="E6341" t="e">
            <v>#VALUE!</v>
          </cell>
          <cell r="F6341">
            <v>0</v>
          </cell>
        </row>
        <row r="6342">
          <cell r="A6342" t="str">
            <v>RAG1SW3C</v>
          </cell>
          <cell r="B6342">
            <v>-2.4984879928524606E-5</v>
          </cell>
          <cell r="C6342">
            <v>0</v>
          </cell>
          <cell r="D6342" t="e">
            <v>#VALUE!</v>
          </cell>
          <cell r="E6342" t="e">
            <v>#VALUE!</v>
          </cell>
          <cell r="F6342">
            <v>0</v>
          </cell>
        </row>
        <row r="6343">
          <cell r="A6343" t="str">
            <v>RAG1SW4C</v>
          </cell>
          <cell r="B6343">
            <v>0</v>
          </cell>
          <cell r="C6343">
            <v>0</v>
          </cell>
          <cell r="D6343" t="e">
            <v>#VALUE!</v>
          </cell>
          <cell r="E6343" t="e">
            <v>#VALUE!</v>
          </cell>
          <cell r="F6343">
            <v>0</v>
          </cell>
        </row>
        <row r="6344">
          <cell r="A6344" t="str">
            <v>RAG1SW5C</v>
          </cell>
          <cell r="B6344">
            <v>-7.8899111031205393E-6</v>
          </cell>
          <cell r="C6344">
            <v>0</v>
          </cell>
          <cell r="D6344" t="e">
            <v>#VALUE!</v>
          </cell>
          <cell r="E6344" t="e">
            <v>#VALUE!</v>
          </cell>
          <cell r="F6344">
            <v>0</v>
          </cell>
        </row>
        <row r="6345">
          <cell r="A6345" t="str">
            <v>RAG1SW6C</v>
          </cell>
          <cell r="B6345">
            <v>0</v>
          </cell>
          <cell r="C6345">
            <v>0</v>
          </cell>
          <cell r="D6345" t="e">
            <v>#VALUE!</v>
          </cell>
          <cell r="E6345" t="e">
            <v>#VALUE!</v>
          </cell>
          <cell r="F6345">
            <v>0</v>
          </cell>
        </row>
        <row r="6346">
          <cell r="A6346" t="str">
            <v>RAG1LK1C</v>
          </cell>
          <cell r="B6346">
            <v>-4.4086501273415881E-4</v>
          </cell>
          <cell r="C6346">
            <v>0</v>
          </cell>
          <cell r="D6346" t="e">
            <v>#VALUE!</v>
          </cell>
          <cell r="E6346" t="e">
            <v>#VALUE!</v>
          </cell>
          <cell r="F6346">
            <v>0</v>
          </cell>
        </row>
        <row r="6347">
          <cell r="A6347" t="str">
            <v>RAG1LK2C</v>
          </cell>
          <cell r="B6347">
            <v>-1.5046914707716197E-4</v>
          </cell>
          <cell r="C6347">
            <v>0</v>
          </cell>
          <cell r="D6347" t="e">
            <v>#VALUE!</v>
          </cell>
          <cell r="E6347" t="e">
            <v>#VALUE!</v>
          </cell>
          <cell r="F6347">
            <v>0</v>
          </cell>
        </row>
        <row r="6348">
          <cell r="A6348" t="str">
            <v>RAG1LK3C</v>
          </cell>
          <cell r="B6348">
            <v>-2.3837599655962549E-5</v>
          </cell>
          <cell r="C6348">
            <v>0</v>
          </cell>
          <cell r="D6348" t="e">
            <v>#VALUE!</v>
          </cell>
          <cell r="E6348" t="e">
            <v>#VALUE!</v>
          </cell>
          <cell r="F6348">
            <v>0</v>
          </cell>
        </row>
        <row r="6349">
          <cell r="A6349" t="str">
            <v>RAG1LK4C</v>
          </cell>
          <cell r="B6349">
            <v>0</v>
          </cell>
          <cell r="C6349">
            <v>0</v>
          </cell>
          <cell r="D6349" t="e">
            <v>#VALUE!</v>
          </cell>
          <cell r="E6349" t="e">
            <v>#VALUE!</v>
          </cell>
          <cell r="F6349">
            <v>0</v>
          </cell>
        </row>
        <row r="6350">
          <cell r="A6350" t="str">
            <v>RAG1LG1C</v>
          </cell>
          <cell r="B6350">
            <v>-2.8439137908432328E-4</v>
          </cell>
          <cell r="C6350">
            <v>0</v>
          </cell>
          <cell r="D6350" t="e">
            <v>#VALUE!</v>
          </cell>
          <cell r="E6350" t="e">
            <v>#VALUE!</v>
          </cell>
          <cell r="F6350">
            <v>0</v>
          </cell>
        </row>
        <row r="6351">
          <cell r="A6351" t="str">
            <v>RAG1LG2C</v>
          </cell>
          <cell r="B6351">
            <v>-1.6142990434548678E-4</v>
          </cell>
          <cell r="C6351">
            <v>0</v>
          </cell>
          <cell r="D6351" t="e">
            <v>#VALUE!</v>
          </cell>
          <cell r="E6351" t="e">
            <v>#VALUE!</v>
          </cell>
          <cell r="F6351">
            <v>0</v>
          </cell>
        </row>
        <row r="6352">
          <cell r="A6352" t="str">
            <v>RAG1LG3C</v>
          </cell>
          <cell r="B6352">
            <v>-3.0132612209854415E-6</v>
          </cell>
          <cell r="C6352">
            <v>0</v>
          </cell>
          <cell r="D6352" t="e">
            <v>#VALUE!</v>
          </cell>
          <cell r="E6352" t="e">
            <v>#VALUE!</v>
          </cell>
          <cell r="F6352">
            <v>0</v>
          </cell>
        </row>
        <row r="6353">
          <cell r="A6353" t="str">
            <v>RAG1LG4C</v>
          </cell>
          <cell r="B6353">
            <v>0</v>
          </cell>
          <cell r="C6353">
            <v>0</v>
          </cell>
          <cell r="D6353" t="e">
            <v>#VALUE!</v>
          </cell>
          <cell r="E6353" t="e">
            <v>#VALUE!</v>
          </cell>
          <cell r="F6353">
            <v>0</v>
          </cell>
        </row>
        <row r="6354">
          <cell r="A6354" t="str">
            <v>RAG1AR1C</v>
          </cell>
          <cell r="B6354">
            <v>-1.0362670699466173E-3</v>
          </cell>
          <cell r="C6354">
            <v>0</v>
          </cell>
          <cell r="D6354" t="e">
            <v>#VALUE!</v>
          </cell>
          <cell r="E6354" t="e">
            <v>#VALUE!</v>
          </cell>
          <cell r="F6354">
            <v>0</v>
          </cell>
        </row>
        <row r="6355">
          <cell r="A6355" t="str">
            <v>RAG1FO3C</v>
          </cell>
          <cell r="B6355">
            <v>-2.6850859285332263E-5</v>
          </cell>
          <cell r="C6355">
            <v>0</v>
          </cell>
          <cell r="D6355" t="e">
            <v>#VALUE!</v>
          </cell>
          <cell r="E6355" t="e">
            <v>#VALUE!</v>
          </cell>
          <cell r="F6355">
            <v>0</v>
          </cell>
        </row>
        <row r="6356">
          <cell r="A6356" t="str">
            <v>RAG1FO4C</v>
          </cell>
          <cell r="B6356">
            <v>0</v>
          </cell>
          <cell r="C6356">
            <v>0</v>
          </cell>
          <cell r="D6356" t="e">
            <v>#VALUE!</v>
          </cell>
          <cell r="E6356" t="e">
            <v>#VALUE!</v>
          </cell>
          <cell r="F6356">
            <v>0</v>
          </cell>
        </row>
        <row r="6357">
          <cell r="A6357" t="str">
            <v>RAG2SW1C</v>
          </cell>
          <cell r="B6357">
            <v>-9.9705782236949201E-5</v>
          </cell>
          <cell r="C6357">
            <v>0</v>
          </cell>
          <cell r="D6357" t="e">
            <v>#VALUE!</v>
          </cell>
          <cell r="E6357" t="e">
            <v>#VALUE!</v>
          </cell>
          <cell r="F6357">
            <v>0</v>
          </cell>
        </row>
        <row r="6358">
          <cell r="A6358" t="str">
            <v>RAG2SW2C</v>
          </cell>
          <cell r="B6358">
            <v>-2.5275519924247892E-5</v>
          </cell>
          <cell r="C6358">
            <v>0</v>
          </cell>
          <cell r="D6358" t="e">
            <v>#VALUE!</v>
          </cell>
          <cell r="E6358" t="e">
            <v>#VALUE!</v>
          </cell>
          <cell r="F6358">
            <v>0</v>
          </cell>
        </row>
        <row r="6359">
          <cell r="A6359" t="str">
            <v>RAG2SW3C</v>
          </cell>
          <cell r="B6359">
            <v>-2.4984879928524606E-5</v>
          </cell>
          <cell r="C6359">
            <v>0</v>
          </cell>
          <cell r="D6359" t="e">
            <v>#VALUE!</v>
          </cell>
          <cell r="E6359" t="e">
            <v>#VALUE!</v>
          </cell>
          <cell r="F6359">
            <v>0</v>
          </cell>
        </row>
        <row r="6360">
          <cell r="A6360" t="str">
            <v>RAG2SW4C</v>
          </cell>
          <cell r="B6360">
            <v>0</v>
          </cell>
          <cell r="C6360">
            <v>0</v>
          </cell>
          <cell r="D6360" t="e">
            <v>#VALUE!</v>
          </cell>
          <cell r="E6360" t="e">
            <v>#VALUE!</v>
          </cell>
          <cell r="F6360">
            <v>0</v>
          </cell>
        </row>
        <row r="6361">
          <cell r="A6361" t="str">
            <v>RAG2SW5C</v>
          </cell>
          <cell r="B6361">
            <v>-7.8899111031205393E-6</v>
          </cell>
          <cell r="C6361">
            <v>0</v>
          </cell>
          <cell r="D6361" t="e">
            <v>#VALUE!</v>
          </cell>
          <cell r="E6361" t="e">
            <v>#VALUE!</v>
          </cell>
          <cell r="F6361">
            <v>0</v>
          </cell>
        </row>
        <row r="6362">
          <cell r="A6362" t="str">
            <v>RAG2SW6C</v>
          </cell>
          <cell r="B6362">
            <v>0</v>
          </cell>
          <cell r="C6362">
            <v>0</v>
          </cell>
          <cell r="D6362" t="e">
            <v>#VALUE!</v>
          </cell>
          <cell r="E6362" t="e">
            <v>#VALUE!</v>
          </cell>
          <cell r="F6362">
            <v>0</v>
          </cell>
        </row>
        <row r="6363">
          <cell r="A6363" t="str">
            <v>RAG2LK1C</v>
          </cell>
          <cell r="B6363">
            <v>-4.4086501273415881E-4</v>
          </cell>
          <cell r="C6363">
            <v>0</v>
          </cell>
          <cell r="D6363" t="e">
            <v>#VALUE!</v>
          </cell>
          <cell r="E6363" t="e">
            <v>#VALUE!</v>
          </cell>
          <cell r="F6363">
            <v>0</v>
          </cell>
        </row>
        <row r="6364">
          <cell r="A6364" t="str">
            <v>RAG2LK2C</v>
          </cell>
          <cell r="B6364">
            <v>-1.5046914707716197E-4</v>
          </cell>
          <cell r="C6364">
            <v>0</v>
          </cell>
          <cell r="D6364" t="e">
            <v>#VALUE!</v>
          </cell>
          <cell r="E6364" t="e">
            <v>#VALUE!</v>
          </cell>
          <cell r="F6364">
            <v>0</v>
          </cell>
        </row>
        <row r="6365">
          <cell r="A6365" t="str">
            <v>RAG2LK3C</v>
          </cell>
          <cell r="B6365">
            <v>-2.3837599655962549E-5</v>
          </cell>
          <cell r="C6365">
            <v>0</v>
          </cell>
          <cell r="D6365" t="e">
            <v>#VALUE!</v>
          </cell>
          <cell r="E6365" t="e">
            <v>#VALUE!</v>
          </cell>
          <cell r="F6365">
            <v>0</v>
          </cell>
        </row>
        <row r="6366">
          <cell r="A6366" t="str">
            <v>RAG2LK4C</v>
          </cell>
          <cell r="B6366">
            <v>0</v>
          </cell>
          <cell r="C6366">
            <v>0</v>
          </cell>
          <cell r="D6366" t="e">
            <v>#VALUE!</v>
          </cell>
          <cell r="E6366" t="e">
            <v>#VALUE!</v>
          </cell>
          <cell r="F6366">
            <v>0</v>
          </cell>
        </row>
        <row r="6367">
          <cell r="A6367" t="str">
            <v>RAG2LG1C</v>
          </cell>
          <cell r="B6367">
            <v>-2.8439137908432328E-4</v>
          </cell>
          <cell r="C6367">
            <v>0</v>
          </cell>
          <cell r="D6367" t="e">
            <v>#VALUE!</v>
          </cell>
          <cell r="E6367" t="e">
            <v>#VALUE!</v>
          </cell>
          <cell r="F6367">
            <v>0</v>
          </cell>
        </row>
        <row r="6368">
          <cell r="A6368" t="str">
            <v>RAG2LG2C</v>
          </cell>
          <cell r="B6368">
            <v>-1.6142990434548678E-4</v>
          </cell>
          <cell r="C6368">
            <v>0</v>
          </cell>
          <cell r="D6368" t="e">
            <v>#VALUE!</v>
          </cell>
          <cell r="E6368" t="e">
            <v>#VALUE!</v>
          </cell>
          <cell r="F6368">
            <v>0</v>
          </cell>
        </row>
        <row r="6369">
          <cell r="A6369" t="str">
            <v>RAG2LG3C</v>
          </cell>
          <cell r="B6369">
            <v>-3.0132612209854415E-6</v>
          </cell>
          <cell r="C6369">
            <v>0</v>
          </cell>
          <cell r="D6369" t="e">
            <v>#VALUE!</v>
          </cell>
          <cell r="E6369" t="e">
            <v>#VALUE!</v>
          </cell>
          <cell r="F6369">
            <v>0</v>
          </cell>
        </row>
        <row r="6370">
          <cell r="A6370" t="str">
            <v>RAG2LG4C</v>
          </cell>
          <cell r="B6370">
            <v>0</v>
          </cell>
          <cell r="C6370">
            <v>0</v>
          </cell>
          <cell r="D6370" t="e">
            <v>#VALUE!</v>
          </cell>
          <cell r="E6370" t="e">
            <v>#VALUE!</v>
          </cell>
          <cell r="F6370">
            <v>0</v>
          </cell>
        </row>
        <row r="6371">
          <cell r="A6371" t="str">
            <v>RAG2AR1C</v>
          </cell>
          <cell r="B6371">
            <v>-1.0362670699466173E-3</v>
          </cell>
          <cell r="C6371">
            <v>0</v>
          </cell>
          <cell r="D6371" t="e">
            <v>#VALUE!</v>
          </cell>
          <cell r="E6371" t="e">
            <v>#VALUE!</v>
          </cell>
          <cell r="F6371">
            <v>0</v>
          </cell>
        </row>
        <row r="6372">
          <cell r="A6372" t="str">
            <v>RAG2FO3C</v>
          </cell>
          <cell r="B6372">
            <v>-2.6850859285332263E-5</v>
          </cell>
          <cell r="C6372">
            <v>0</v>
          </cell>
          <cell r="D6372" t="e">
            <v>#VALUE!</v>
          </cell>
          <cell r="E6372" t="e">
            <v>#VALUE!</v>
          </cell>
          <cell r="F6372">
            <v>0</v>
          </cell>
        </row>
        <row r="6373">
          <cell r="A6373" t="str">
            <v>RAG2FO4C</v>
          </cell>
          <cell r="B6373">
            <v>0</v>
          </cell>
          <cell r="C6373">
            <v>0</v>
          </cell>
          <cell r="D6373" t="e">
            <v>#VALUE!</v>
          </cell>
          <cell r="E6373" t="e">
            <v>#VALUE!</v>
          </cell>
          <cell r="F6373">
            <v>0</v>
          </cell>
        </row>
        <row r="6374">
          <cell r="A6374" t="str">
            <v>RAG3SW1C</v>
          </cell>
          <cell r="B6374">
            <v>-9.9705782236949201E-5</v>
          </cell>
          <cell r="C6374">
            <v>0</v>
          </cell>
          <cell r="D6374" t="e">
            <v>#VALUE!</v>
          </cell>
          <cell r="E6374" t="e">
            <v>#VALUE!</v>
          </cell>
          <cell r="F6374">
            <v>0</v>
          </cell>
        </row>
        <row r="6375">
          <cell r="A6375" t="str">
            <v>RAG3SW2C</v>
          </cell>
          <cell r="B6375">
            <v>-2.5275519924247892E-5</v>
          </cell>
          <cell r="C6375">
            <v>0</v>
          </cell>
          <cell r="D6375" t="e">
            <v>#VALUE!</v>
          </cell>
          <cell r="E6375" t="e">
            <v>#VALUE!</v>
          </cell>
          <cell r="F6375">
            <v>0</v>
          </cell>
        </row>
        <row r="6376">
          <cell r="A6376" t="str">
            <v>RAG3SW3C</v>
          </cell>
          <cell r="B6376">
            <v>-2.4984879928524606E-5</v>
          </cell>
          <cell r="C6376">
            <v>0</v>
          </cell>
          <cell r="D6376" t="e">
            <v>#VALUE!</v>
          </cell>
          <cell r="E6376" t="e">
            <v>#VALUE!</v>
          </cell>
          <cell r="F6376">
            <v>0</v>
          </cell>
        </row>
        <row r="6377">
          <cell r="A6377" t="str">
            <v>RAG3SW4C</v>
          </cell>
          <cell r="B6377">
            <v>0</v>
          </cell>
          <cell r="C6377">
            <v>0</v>
          </cell>
          <cell r="D6377" t="e">
            <v>#VALUE!</v>
          </cell>
          <cell r="E6377" t="e">
            <v>#VALUE!</v>
          </cell>
          <cell r="F6377">
            <v>0</v>
          </cell>
        </row>
        <row r="6378">
          <cell r="A6378" t="str">
            <v>RAG3SW5C</v>
          </cell>
          <cell r="B6378">
            <v>-7.8899111031205393E-6</v>
          </cell>
          <cell r="C6378">
            <v>0</v>
          </cell>
          <cell r="D6378" t="e">
            <v>#VALUE!</v>
          </cell>
          <cell r="E6378" t="e">
            <v>#VALUE!</v>
          </cell>
          <cell r="F6378">
            <v>0</v>
          </cell>
        </row>
        <row r="6379">
          <cell r="A6379" t="str">
            <v>RAG3SW6C</v>
          </cell>
          <cell r="B6379">
            <v>0</v>
          </cell>
          <cell r="C6379">
            <v>0</v>
          </cell>
          <cell r="D6379" t="e">
            <v>#VALUE!</v>
          </cell>
          <cell r="E6379" t="e">
            <v>#VALUE!</v>
          </cell>
          <cell r="F6379">
            <v>0</v>
          </cell>
        </row>
        <row r="6380">
          <cell r="A6380" t="str">
            <v>RAG3LK1C</v>
          </cell>
          <cell r="B6380">
            <v>-4.4086501273415881E-4</v>
          </cell>
          <cell r="C6380">
            <v>0</v>
          </cell>
          <cell r="D6380" t="e">
            <v>#VALUE!</v>
          </cell>
          <cell r="E6380" t="e">
            <v>#VALUE!</v>
          </cell>
          <cell r="F6380">
            <v>0</v>
          </cell>
        </row>
        <row r="6381">
          <cell r="A6381" t="str">
            <v>RAG3LK2C</v>
          </cell>
          <cell r="B6381">
            <v>-1.5046914707716197E-4</v>
          </cell>
          <cell r="C6381">
            <v>0</v>
          </cell>
          <cell r="D6381" t="e">
            <v>#VALUE!</v>
          </cell>
          <cell r="E6381" t="e">
            <v>#VALUE!</v>
          </cell>
          <cell r="F6381">
            <v>0</v>
          </cell>
        </row>
        <row r="6382">
          <cell r="A6382" t="str">
            <v>RAG3LK3C</v>
          </cell>
          <cell r="B6382">
            <v>-2.3837599655962549E-5</v>
          </cell>
          <cell r="C6382">
            <v>0</v>
          </cell>
          <cell r="D6382" t="e">
            <v>#VALUE!</v>
          </cell>
          <cell r="E6382" t="e">
            <v>#VALUE!</v>
          </cell>
          <cell r="F6382">
            <v>0</v>
          </cell>
        </row>
        <row r="6383">
          <cell r="A6383" t="str">
            <v>RAG3LK4C</v>
          </cell>
          <cell r="B6383">
            <v>0</v>
          </cell>
          <cell r="C6383">
            <v>0</v>
          </cell>
          <cell r="D6383" t="e">
            <v>#VALUE!</v>
          </cell>
          <cell r="E6383" t="e">
            <v>#VALUE!</v>
          </cell>
          <cell r="F6383">
            <v>0</v>
          </cell>
        </row>
        <row r="6384">
          <cell r="A6384" t="str">
            <v>RAG3LG1C</v>
          </cell>
          <cell r="B6384">
            <v>-2.8439137908432328E-4</v>
          </cell>
          <cell r="C6384">
            <v>0</v>
          </cell>
          <cell r="D6384" t="e">
            <v>#VALUE!</v>
          </cell>
          <cell r="E6384" t="e">
            <v>#VALUE!</v>
          </cell>
          <cell r="F6384">
            <v>0</v>
          </cell>
        </row>
        <row r="6385">
          <cell r="A6385" t="str">
            <v>RAG3LG2C</v>
          </cell>
          <cell r="B6385">
            <v>-1.6142990434548678E-4</v>
          </cell>
          <cell r="C6385">
            <v>0</v>
          </cell>
          <cell r="D6385" t="e">
            <v>#VALUE!</v>
          </cell>
          <cell r="E6385" t="e">
            <v>#VALUE!</v>
          </cell>
          <cell r="F6385">
            <v>0</v>
          </cell>
        </row>
        <row r="6386">
          <cell r="A6386" t="str">
            <v>RAG3LG3C</v>
          </cell>
          <cell r="B6386">
            <v>-3.0132612209854415E-6</v>
          </cell>
          <cell r="C6386">
            <v>0</v>
          </cell>
          <cell r="D6386" t="e">
            <v>#VALUE!</v>
          </cell>
          <cell r="E6386" t="e">
            <v>#VALUE!</v>
          </cell>
          <cell r="F6386">
            <v>0</v>
          </cell>
        </row>
        <row r="6387">
          <cell r="A6387" t="str">
            <v>RAG3LG4C</v>
          </cell>
          <cell r="B6387">
            <v>0</v>
          </cell>
          <cell r="C6387">
            <v>0</v>
          </cell>
          <cell r="D6387" t="e">
            <v>#VALUE!</v>
          </cell>
          <cell r="E6387" t="e">
            <v>#VALUE!</v>
          </cell>
          <cell r="F6387">
            <v>0</v>
          </cell>
        </row>
        <row r="6388">
          <cell r="A6388" t="str">
            <v>RAG3AR1C</v>
          </cell>
          <cell r="B6388">
            <v>-1.0362670699466173E-3</v>
          </cell>
          <cell r="C6388">
            <v>0</v>
          </cell>
          <cell r="D6388" t="e">
            <v>#VALUE!</v>
          </cell>
          <cell r="E6388" t="e">
            <v>#VALUE!</v>
          </cell>
          <cell r="F6388">
            <v>0</v>
          </cell>
        </row>
        <row r="6389">
          <cell r="A6389" t="str">
            <v>RAG3FO3C</v>
          </cell>
          <cell r="B6389">
            <v>-2.6850859285332263E-5</v>
          </cell>
          <cell r="C6389">
            <v>0</v>
          </cell>
          <cell r="D6389" t="e">
            <v>#VALUE!</v>
          </cell>
          <cell r="E6389" t="e">
            <v>#VALUE!</v>
          </cell>
          <cell r="F6389">
            <v>0</v>
          </cell>
        </row>
        <row r="6390">
          <cell r="A6390" t="str">
            <v>RAG3FO4C</v>
          </cell>
          <cell r="B6390">
            <v>0</v>
          </cell>
          <cell r="C6390">
            <v>0</v>
          </cell>
          <cell r="D6390" t="e">
            <v>#VALUE!</v>
          </cell>
          <cell r="E6390" t="e">
            <v>#VALUE!</v>
          </cell>
          <cell r="F6390">
            <v>0</v>
          </cell>
        </row>
        <row r="6391">
          <cell r="A6391" t="str">
            <v>RAGTSW1C</v>
          </cell>
          <cell r="B6391">
            <v>-9.9705782236949201E-5</v>
          </cell>
          <cell r="C6391">
            <v>0</v>
          </cell>
          <cell r="D6391" t="e">
            <v>#VALUE!</v>
          </cell>
          <cell r="E6391" t="e">
            <v>#VALUE!</v>
          </cell>
          <cell r="F6391">
            <v>0</v>
          </cell>
        </row>
        <row r="6392">
          <cell r="A6392" t="str">
            <v>RAGTSW2C</v>
          </cell>
          <cell r="B6392">
            <v>-2.5275519924247892E-5</v>
          </cell>
          <cell r="C6392">
            <v>0</v>
          </cell>
          <cell r="D6392" t="e">
            <v>#VALUE!</v>
          </cell>
          <cell r="E6392" t="e">
            <v>#VALUE!</v>
          </cell>
          <cell r="F6392">
            <v>0</v>
          </cell>
        </row>
        <row r="6393">
          <cell r="A6393" t="str">
            <v>RAGTSW3C</v>
          </cell>
          <cell r="B6393">
            <v>-2.4984879928524606E-5</v>
          </cell>
          <cell r="C6393">
            <v>0</v>
          </cell>
          <cell r="D6393" t="e">
            <v>#VALUE!</v>
          </cell>
          <cell r="E6393" t="e">
            <v>#VALUE!</v>
          </cell>
          <cell r="F6393">
            <v>0</v>
          </cell>
        </row>
        <row r="6394">
          <cell r="A6394" t="str">
            <v>RAGTSW4C</v>
          </cell>
          <cell r="B6394">
            <v>0</v>
          </cell>
          <cell r="C6394">
            <v>0</v>
          </cell>
          <cell r="D6394" t="e">
            <v>#VALUE!</v>
          </cell>
          <cell r="E6394" t="e">
            <v>#VALUE!</v>
          </cell>
          <cell r="F6394">
            <v>0</v>
          </cell>
        </row>
        <row r="6395">
          <cell r="A6395" t="str">
            <v>RAGTSW5C</v>
          </cell>
          <cell r="B6395">
            <v>-7.8899111031205393E-6</v>
          </cell>
          <cell r="C6395">
            <v>0</v>
          </cell>
          <cell r="D6395" t="e">
            <v>#VALUE!</v>
          </cell>
          <cell r="E6395" t="e">
            <v>#VALUE!</v>
          </cell>
          <cell r="F6395">
            <v>0</v>
          </cell>
        </row>
        <row r="6396">
          <cell r="A6396" t="str">
            <v>RAGTSW6C</v>
          </cell>
          <cell r="B6396">
            <v>0</v>
          </cell>
          <cell r="C6396">
            <v>0</v>
          </cell>
          <cell r="D6396" t="e">
            <v>#VALUE!</v>
          </cell>
          <cell r="E6396" t="e">
            <v>#VALUE!</v>
          </cell>
          <cell r="F6396">
            <v>0</v>
          </cell>
        </row>
        <row r="6397">
          <cell r="A6397" t="str">
            <v>RAGTLK1C</v>
          </cell>
          <cell r="B6397">
            <v>-4.4086501273415881E-4</v>
          </cell>
          <cell r="C6397">
            <v>0</v>
          </cell>
          <cell r="D6397" t="e">
            <v>#VALUE!</v>
          </cell>
          <cell r="E6397" t="e">
            <v>#VALUE!</v>
          </cell>
          <cell r="F6397">
            <v>0</v>
          </cell>
        </row>
        <row r="6398">
          <cell r="A6398" t="str">
            <v>RAGTLK2C</v>
          </cell>
          <cell r="B6398">
            <v>-1.5046914707716197E-4</v>
          </cell>
          <cell r="C6398">
            <v>0</v>
          </cell>
          <cell r="D6398" t="e">
            <v>#VALUE!</v>
          </cell>
          <cell r="E6398" t="e">
            <v>#VALUE!</v>
          </cell>
          <cell r="F6398">
            <v>0</v>
          </cell>
        </row>
        <row r="6399">
          <cell r="A6399" t="str">
            <v>RAGTLK3C</v>
          </cell>
          <cell r="B6399">
            <v>-2.3837599655962549E-5</v>
          </cell>
          <cell r="C6399">
            <v>0</v>
          </cell>
          <cell r="D6399" t="e">
            <v>#VALUE!</v>
          </cell>
          <cell r="E6399" t="e">
            <v>#VALUE!</v>
          </cell>
          <cell r="F6399">
            <v>0</v>
          </cell>
        </row>
        <row r="6400">
          <cell r="A6400" t="str">
            <v>RAGTLK4C</v>
          </cell>
          <cell r="B6400">
            <v>0</v>
          </cell>
          <cell r="C6400">
            <v>0</v>
          </cell>
          <cell r="D6400" t="e">
            <v>#VALUE!</v>
          </cell>
          <cell r="E6400" t="e">
            <v>#VALUE!</v>
          </cell>
          <cell r="F6400">
            <v>0</v>
          </cell>
        </row>
        <row r="6401">
          <cell r="A6401" t="str">
            <v>RAGTLG1C</v>
          </cell>
          <cell r="B6401">
            <v>-2.8439137908432328E-4</v>
          </cell>
          <cell r="C6401">
            <v>0</v>
          </cell>
          <cell r="D6401" t="e">
            <v>#VALUE!</v>
          </cell>
          <cell r="E6401" t="e">
            <v>#VALUE!</v>
          </cell>
          <cell r="F6401">
            <v>0</v>
          </cell>
        </row>
        <row r="6402">
          <cell r="A6402" t="str">
            <v>RAGTLG2C</v>
          </cell>
          <cell r="B6402">
            <v>-1.6142990434548678E-4</v>
          </cell>
          <cell r="C6402">
            <v>0</v>
          </cell>
          <cell r="D6402" t="e">
            <v>#VALUE!</v>
          </cell>
          <cell r="E6402" t="e">
            <v>#VALUE!</v>
          </cell>
          <cell r="F6402">
            <v>0</v>
          </cell>
        </row>
        <row r="6403">
          <cell r="A6403" t="str">
            <v>RAGTLG3C</v>
          </cell>
          <cell r="B6403">
            <v>-3.0132612209854415E-6</v>
          </cell>
          <cell r="C6403">
            <v>0</v>
          </cell>
          <cell r="D6403" t="e">
            <v>#VALUE!</v>
          </cell>
          <cell r="E6403" t="e">
            <v>#VALUE!</v>
          </cell>
          <cell r="F6403">
            <v>0</v>
          </cell>
        </row>
        <row r="6404">
          <cell r="A6404" t="str">
            <v>RAGTLG4C</v>
          </cell>
          <cell r="B6404">
            <v>0</v>
          </cell>
          <cell r="C6404">
            <v>0</v>
          </cell>
          <cell r="D6404" t="e">
            <v>#VALUE!</v>
          </cell>
          <cell r="E6404" t="e">
            <v>#VALUE!</v>
          </cell>
          <cell r="F6404">
            <v>0</v>
          </cell>
        </row>
        <row r="6405">
          <cell r="A6405" t="str">
            <v>RAGTAR1C</v>
          </cell>
          <cell r="B6405">
            <v>-1.0362670699466173E-3</v>
          </cell>
          <cell r="C6405">
            <v>0</v>
          </cell>
          <cell r="D6405" t="e">
            <v>#VALUE!</v>
          </cell>
          <cell r="E6405" t="e">
            <v>#VALUE!</v>
          </cell>
          <cell r="F6405">
            <v>0</v>
          </cell>
        </row>
        <row r="6406">
          <cell r="A6406" t="str">
            <v>RAGTFO3C</v>
          </cell>
          <cell r="B6406">
            <v>-2.6850859285332263E-5</v>
          </cell>
          <cell r="C6406">
            <v>0</v>
          </cell>
          <cell r="D6406" t="e">
            <v>#VALUE!</v>
          </cell>
          <cell r="E6406" t="e">
            <v>#VALUE!</v>
          </cell>
          <cell r="F6406">
            <v>0</v>
          </cell>
        </row>
        <row r="6407">
          <cell r="A6407" t="str">
            <v>RAGTFO4C</v>
          </cell>
          <cell r="B6407">
            <v>0</v>
          </cell>
          <cell r="C6407">
            <v>0</v>
          </cell>
          <cell r="D6407" t="e">
            <v>#VALUE!</v>
          </cell>
          <cell r="E6407" t="e">
            <v>#VALUE!</v>
          </cell>
          <cell r="F6407">
            <v>0</v>
          </cell>
        </row>
        <row r="6408">
          <cell r="A6408" t="str">
            <v>RcenmCSC</v>
          </cell>
          <cell r="B6408">
            <v>3.3473259488707536E-5</v>
          </cell>
          <cell r="C6408">
            <v>0</v>
          </cell>
          <cell r="D6408" t="e">
            <v>#VALUE!</v>
          </cell>
          <cell r="E6408" t="e">
            <v>#VALUE!</v>
          </cell>
          <cell r="F6408">
            <v>0</v>
          </cell>
        </row>
        <row r="6409">
          <cell r="A6409" t="str">
            <v>RchamCSC</v>
          </cell>
          <cell r="B6409">
            <v>1.341055087846455E-4</v>
          </cell>
          <cell r="C6409">
            <v>0</v>
          </cell>
          <cell r="D6409" t="e">
            <v>#VALUE!</v>
          </cell>
          <cell r="E6409" t="e">
            <v>#VALUE!</v>
          </cell>
          <cell r="F6409">
            <v>0</v>
          </cell>
        </row>
        <row r="6410">
          <cell r="A6410" t="str">
            <v>RcllmCSC</v>
          </cell>
          <cell r="B6410">
            <v>2.9425821414580952E-4</v>
          </cell>
          <cell r="C6410">
            <v>0</v>
          </cell>
          <cell r="D6410" t="e">
            <v>#VALUE!</v>
          </cell>
          <cell r="E6410" t="e">
            <v>#VALUE!</v>
          </cell>
          <cell r="F6410">
            <v>0</v>
          </cell>
        </row>
        <row r="6411">
          <cell r="A6411" t="str">
            <v>RnddmCSC</v>
          </cell>
          <cell r="B6411">
            <v>2.8193788710592491E-4</v>
          </cell>
          <cell r="C6411">
            <v>0</v>
          </cell>
          <cell r="D6411" t="e">
            <v>#VALUE!</v>
          </cell>
          <cell r="E6411" t="e">
            <v>#VALUE!</v>
          </cell>
          <cell r="F6411">
            <v>0</v>
          </cell>
        </row>
        <row r="6412">
          <cell r="A6412" t="str">
            <v>RpchmCSC</v>
          </cell>
          <cell r="B6412">
            <v>1.2603911751807884E-4</v>
          </cell>
          <cell r="C6412">
            <v>0</v>
          </cell>
          <cell r="D6412" t="e">
            <v>#VALUE!</v>
          </cell>
          <cell r="E6412" t="e">
            <v>#VALUE!</v>
          </cell>
          <cell r="F6412">
            <v>0</v>
          </cell>
        </row>
        <row r="6413">
          <cell r="A6413" t="str">
            <v>RagsmCSC</v>
          </cell>
          <cell r="B6413">
            <v>-3.1505677657686685E-3</v>
          </cell>
          <cell r="C6413">
            <v>0</v>
          </cell>
          <cell r="D6413" t="e">
            <v>#VALUE!</v>
          </cell>
          <cell r="E6413" t="e">
            <v>#VALUE!</v>
          </cell>
          <cell r="F6413">
            <v>0</v>
          </cell>
        </row>
        <row r="6414">
          <cell r="A6414" t="str">
            <v>RsddmCSC</v>
          </cell>
          <cell r="B6414">
            <v>1.5995669787054347E-4</v>
          </cell>
          <cell r="C6414">
            <v>0</v>
          </cell>
          <cell r="D6414" t="e">
            <v>#VALUE!</v>
          </cell>
          <cell r="E6414" t="e">
            <v>#VALUE!</v>
          </cell>
          <cell r="F6414">
            <v>0</v>
          </cell>
        </row>
        <row r="6415">
          <cell r="A6415" t="str">
            <v>PURCCCCD</v>
          </cell>
          <cell r="B6415">
            <v>25.335315986528787</v>
          </cell>
          <cell r="C6415">
            <v>-1</v>
          </cell>
          <cell r="D6415" t="e">
            <v>#VALUE!</v>
          </cell>
          <cell r="E6415" t="e">
            <v>#VALUE!</v>
          </cell>
          <cell r="F6415">
            <v>0</v>
          </cell>
        </row>
        <row r="6416">
          <cell r="A6416" t="str">
            <v>PURCPWRD</v>
          </cell>
          <cell r="B6416">
            <v>245.54046706108198</v>
          </cell>
          <cell r="C6416">
            <v>-1.1944400146603584E-2</v>
          </cell>
          <cell r="D6416" t="e">
            <v>#VALUE!</v>
          </cell>
          <cell r="E6416" t="e">
            <v>#VALUE!</v>
          </cell>
          <cell r="F6416">
            <v>0</v>
          </cell>
        </row>
        <row r="6417">
          <cell r="A6417" t="str">
            <v>PURCSTMD</v>
          </cell>
          <cell r="B6417">
            <v>0</v>
          </cell>
          <cell r="C6417">
            <v>0</v>
          </cell>
          <cell r="D6417" t="e">
            <v>#VALUE!</v>
          </cell>
          <cell r="E6417" t="e">
            <v>#VALUE!</v>
          </cell>
          <cell r="F6417">
            <v>6.228553295135498</v>
          </cell>
        </row>
        <row r="6418">
          <cell r="A6418" t="str">
            <v>PURCKWHD</v>
          </cell>
          <cell r="B6418">
            <v>0</v>
          </cell>
          <cell r="C6418">
            <v>0</v>
          </cell>
          <cell r="D6418" t="e">
            <v>#VALUE!</v>
          </cell>
          <cell r="E6418" t="e">
            <v>#VALUE!</v>
          </cell>
          <cell r="F6418">
            <v>1.1944400146603584E-2</v>
          </cell>
        </row>
        <row r="6419">
          <cell r="A6419" t="str">
            <v>PURCFULD</v>
          </cell>
          <cell r="B6419">
            <v>0</v>
          </cell>
          <cell r="C6419">
            <v>0</v>
          </cell>
          <cell r="D6419" t="e">
            <v>#VALUE!</v>
          </cell>
          <cell r="E6419" t="e">
            <v>#VALUE!</v>
          </cell>
          <cell r="F6419">
            <v>1.7379971742630005</v>
          </cell>
        </row>
        <row r="6420">
          <cell r="A6420" t="str">
            <v>PURCFGSD</v>
          </cell>
          <cell r="B6420">
            <v>0</v>
          </cell>
          <cell r="C6420">
            <v>0</v>
          </cell>
          <cell r="D6420" t="e">
            <v>#VALUE!</v>
          </cell>
          <cell r="E6420" t="e">
            <v>#VALUE!</v>
          </cell>
          <cell r="F6420">
            <v>2.3620559659320861E-6</v>
          </cell>
        </row>
        <row r="6421">
          <cell r="A6421" t="str">
            <v>SELLSTMD</v>
          </cell>
          <cell r="B6421">
            <v>0</v>
          </cell>
          <cell r="C6421">
            <v>14.100000381469727</v>
          </cell>
          <cell r="D6421" t="e">
            <v>#VALUE!</v>
          </cell>
          <cell r="E6421" t="e">
            <v>#VALUE!</v>
          </cell>
          <cell r="F6421">
            <v>7.8714470863342285</v>
          </cell>
        </row>
        <row r="6422">
          <cell r="A6422" t="str">
            <v>FBLNLASD</v>
          </cell>
          <cell r="B6422">
            <v>6.3722675650903629E-2</v>
          </cell>
          <cell r="C6422">
            <v>0</v>
          </cell>
          <cell r="D6422" t="e">
            <v>#VALUE!</v>
          </cell>
          <cell r="E6422" t="e">
            <v>#VALUE!</v>
          </cell>
          <cell r="F6422">
            <v>0</v>
          </cell>
        </row>
        <row r="6423">
          <cell r="A6423" t="str">
            <v>BVBLPRDD</v>
          </cell>
          <cell r="B6423">
            <v>0</v>
          </cell>
          <cell r="C6423">
            <v>0</v>
          </cell>
          <cell r="D6423" t="e">
            <v>#VALUE!</v>
          </cell>
          <cell r="E6423" t="e">
            <v>#VALUE!</v>
          </cell>
          <cell r="F6423">
            <v>0</v>
          </cell>
        </row>
        <row r="6424">
          <cell r="A6424" t="str">
            <v>BWBLPRDD</v>
          </cell>
          <cell r="B6424">
            <v>0</v>
          </cell>
          <cell r="C6424">
            <v>0</v>
          </cell>
          <cell r="D6424" t="e">
            <v>#VALUE!</v>
          </cell>
          <cell r="E6424" t="e">
            <v>#VALUE!</v>
          </cell>
          <cell r="F6424">
            <v>0</v>
          </cell>
        </row>
        <row r="6425">
          <cell r="A6425" t="str">
            <v>BVBLBTDD</v>
          </cell>
          <cell r="B6425">
            <v>1.0328262061288913</v>
          </cell>
          <cell r="C6425">
            <v>0</v>
          </cell>
          <cell r="D6425" t="e">
            <v>#VALUE!</v>
          </cell>
          <cell r="E6425" t="e">
            <v>#VALUE!</v>
          </cell>
          <cell r="F6425">
            <v>0</v>
          </cell>
        </row>
        <row r="6426">
          <cell r="A6426" t="str">
            <v>BWBLBTDD</v>
          </cell>
          <cell r="B6426">
            <v>0.59976214839987563</v>
          </cell>
          <cell r="C6426">
            <v>0</v>
          </cell>
          <cell r="D6426" t="e">
            <v>#VALUE!</v>
          </cell>
          <cell r="E6426" t="e">
            <v>#VALUE!</v>
          </cell>
          <cell r="F6426">
            <v>0</v>
          </cell>
        </row>
        <row r="6427">
          <cell r="A6427" t="str">
            <v>BVBLBTRD</v>
          </cell>
          <cell r="B6427">
            <v>0.10726493452101538</v>
          </cell>
          <cell r="C6427">
            <v>0</v>
          </cell>
          <cell r="D6427" t="e">
            <v>#VALUE!</v>
          </cell>
          <cell r="E6427" t="e">
            <v>#VALUE!</v>
          </cell>
          <cell r="F6427">
            <v>0</v>
          </cell>
        </row>
        <row r="6428">
          <cell r="A6428" t="str">
            <v>BWBLBTRD</v>
          </cell>
          <cell r="B6428">
            <v>6.3286312128583044E-2</v>
          </cell>
          <cell r="C6428">
            <v>0</v>
          </cell>
          <cell r="D6428" t="e">
            <v>#VALUE!</v>
          </cell>
          <cell r="E6428" t="e">
            <v>#VALUE!</v>
          </cell>
          <cell r="F6428">
            <v>0</v>
          </cell>
        </row>
        <row r="6429">
          <cell r="A6429" t="str">
            <v>BVBLLIVD</v>
          </cell>
          <cell r="B6429">
            <v>0.97366845003546099</v>
          </cell>
          <cell r="C6429">
            <v>0</v>
          </cell>
          <cell r="D6429" t="e">
            <v>#VALUE!</v>
          </cell>
          <cell r="E6429" t="e">
            <v>#VALUE!</v>
          </cell>
          <cell r="F6429">
            <v>0</v>
          </cell>
        </row>
        <row r="6430">
          <cell r="A6430" t="str">
            <v>BWBLLIVD</v>
          </cell>
          <cell r="B6430">
            <v>0.64260979645872773</v>
          </cell>
          <cell r="C6430">
            <v>0</v>
          </cell>
          <cell r="D6430" t="e">
            <v>#VALUE!</v>
          </cell>
          <cell r="E6430" t="e">
            <v>#VALUE!</v>
          </cell>
          <cell r="F6430">
            <v>0</v>
          </cell>
        </row>
        <row r="6431">
          <cell r="A6431" t="str">
            <v>BVBLMJOD</v>
          </cell>
          <cell r="B6431">
            <v>0</v>
          </cell>
          <cell r="C6431">
            <v>0</v>
          </cell>
          <cell r="D6431" t="e">
            <v>#VALUE!</v>
          </cell>
          <cell r="E6431" t="e">
            <v>#VALUE!</v>
          </cell>
          <cell r="F6431">
            <v>-12.851672488695955</v>
          </cell>
        </row>
        <row r="6432">
          <cell r="A6432" t="str">
            <v>BWBLMJOD</v>
          </cell>
          <cell r="B6432">
            <v>0</v>
          </cell>
          <cell r="C6432">
            <v>0</v>
          </cell>
          <cell r="D6432" t="e">
            <v>#VALUE!</v>
          </cell>
          <cell r="E6432" t="e">
            <v>#VALUE!</v>
          </cell>
          <cell r="F6432">
            <v>0</v>
          </cell>
        </row>
        <row r="6433">
          <cell r="A6433" t="str">
            <v>BVBLR+LD</v>
          </cell>
          <cell r="B6433">
            <v>1.0096186063061021</v>
          </cell>
          <cell r="C6433">
            <v>0</v>
          </cell>
          <cell r="D6433" t="e">
            <v>#VALUE!</v>
          </cell>
          <cell r="E6433" t="e">
            <v>#VALUE!</v>
          </cell>
          <cell r="F6433">
            <v>0</v>
          </cell>
        </row>
        <row r="6434">
          <cell r="A6434" t="str">
            <v>BWBLR+LD</v>
          </cell>
          <cell r="B6434">
            <v>0.70934926973630308</v>
          </cell>
          <cell r="C6434">
            <v>0</v>
          </cell>
          <cell r="D6434" t="e">
            <v>#VALUE!</v>
          </cell>
          <cell r="E6434" t="e">
            <v>#VALUE!</v>
          </cell>
          <cell r="F6434">
            <v>0</v>
          </cell>
        </row>
        <row r="6435">
          <cell r="A6435" t="str">
            <v>BVBLMXYD</v>
          </cell>
          <cell r="B6435">
            <v>0.20260423327962013</v>
          </cell>
          <cell r="C6435">
            <v>0</v>
          </cell>
          <cell r="D6435" t="e">
            <v>#VALUE!</v>
          </cell>
          <cell r="E6435" t="e">
            <v>#VALUE!</v>
          </cell>
          <cell r="F6435">
            <v>0</v>
          </cell>
        </row>
        <row r="6436">
          <cell r="A6436" t="str">
            <v>BWBLMXYD</v>
          </cell>
          <cell r="B6436">
            <v>0.17824774090557882</v>
          </cell>
          <cell r="C6436">
            <v>0</v>
          </cell>
          <cell r="D6436" t="e">
            <v>#VALUE!</v>
          </cell>
          <cell r="E6436" t="e">
            <v>#VALUE!</v>
          </cell>
          <cell r="F6436">
            <v>0</v>
          </cell>
        </row>
        <row r="6437">
          <cell r="A6437" t="str">
            <v>BVBLLABD</v>
          </cell>
          <cell r="B6437">
            <v>8.8848701976749989E-2</v>
          </cell>
          <cell r="C6437">
            <v>0</v>
          </cell>
          <cell r="D6437" t="e">
            <v>#VALUE!</v>
          </cell>
          <cell r="E6437" t="e">
            <v>#VALUE!</v>
          </cell>
          <cell r="F6437">
            <v>0</v>
          </cell>
        </row>
        <row r="6438">
          <cell r="A6438" t="str">
            <v>BWBLLABD</v>
          </cell>
          <cell r="B6438">
            <v>7.6321033990546447E-2</v>
          </cell>
          <cell r="C6438">
            <v>0</v>
          </cell>
          <cell r="D6438" t="e">
            <v>#VALUE!</v>
          </cell>
          <cell r="E6438" t="e">
            <v>#VALUE!</v>
          </cell>
          <cell r="F6438">
            <v>0</v>
          </cell>
        </row>
        <row r="6439">
          <cell r="A6439" t="str">
            <v>BVBLHOXD</v>
          </cell>
          <cell r="B6439">
            <v>33.333332061767578</v>
          </cell>
          <cell r="C6439">
            <v>0</v>
          </cell>
          <cell r="D6439">
            <v>0</v>
          </cell>
          <cell r="E6439" t="e">
            <v>#VALUE!</v>
          </cell>
          <cell r="F6439">
            <v>0</v>
          </cell>
        </row>
        <row r="6440">
          <cell r="A6440" t="str">
            <v>BWBLHOXD</v>
          </cell>
          <cell r="B6440">
            <v>3.0000000260770321E-3</v>
          </cell>
          <cell r="C6440">
            <v>0</v>
          </cell>
          <cell r="D6440">
            <v>0</v>
          </cell>
          <cell r="E6440" t="e">
            <v>#VALUE!</v>
          </cell>
          <cell r="F6440">
            <v>0</v>
          </cell>
        </row>
        <row r="6441">
          <cell r="A6441" t="str">
            <v>BPROPRDD</v>
          </cell>
          <cell r="B6441">
            <v>0</v>
          </cell>
          <cell r="C6441">
            <v>0</v>
          </cell>
          <cell r="D6441">
            <v>0</v>
          </cell>
          <cell r="E6441" t="e">
            <v>#VALUE!</v>
          </cell>
          <cell r="F6441">
            <v>0</v>
          </cell>
        </row>
        <row r="6442">
          <cell r="A6442" t="str">
            <v>BN4BBTDD</v>
          </cell>
          <cell r="B6442">
            <v>7.5595784381236111E-2</v>
          </cell>
          <cell r="C6442">
            <v>0</v>
          </cell>
          <cell r="D6442">
            <v>0</v>
          </cell>
          <cell r="E6442" t="e">
            <v>#VALUE!</v>
          </cell>
          <cell r="F6442">
            <v>0</v>
          </cell>
        </row>
        <row r="6443">
          <cell r="A6443" t="str">
            <v>BI4BBTDD</v>
          </cell>
          <cell r="B6443">
            <v>0.2724461745725919</v>
          </cell>
          <cell r="C6443">
            <v>0</v>
          </cell>
          <cell r="D6443">
            <v>0</v>
          </cell>
          <cell r="E6443" t="e">
            <v>#VALUE!</v>
          </cell>
          <cell r="F6443">
            <v>0</v>
          </cell>
        </row>
        <row r="6444">
          <cell r="A6444" t="str">
            <v>BI4=BTDD</v>
          </cell>
          <cell r="B6444">
            <v>6.9178711010576925E-4</v>
          </cell>
          <cell r="C6444">
            <v>0</v>
          </cell>
          <cell r="D6444">
            <v>0</v>
          </cell>
          <cell r="E6444" t="e">
            <v>#VALUE!</v>
          </cell>
          <cell r="F6444">
            <v>-205.12112201011345</v>
          </cell>
        </row>
        <row r="6445">
          <cell r="A6445" t="str">
            <v>BNC4BTDD</v>
          </cell>
          <cell r="B6445">
            <v>0.18084305479918442</v>
          </cell>
          <cell r="C6445">
            <v>0</v>
          </cell>
          <cell r="D6445">
            <v>0</v>
          </cell>
          <cell r="E6445" t="e">
            <v>#VALUE!</v>
          </cell>
          <cell r="F6445">
            <v>0</v>
          </cell>
        </row>
        <row r="6446">
          <cell r="A6446" t="str">
            <v>B4=1BTDD</v>
          </cell>
          <cell r="B6446">
            <v>0</v>
          </cell>
          <cell r="C6446">
            <v>0</v>
          </cell>
          <cell r="D6446">
            <v>0</v>
          </cell>
          <cell r="E6446" t="e">
            <v>#VALUE!</v>
          </cell>
          <cell r="F6446">
            <v>-1.4080526828765869</v>
          </cell>
        </row>
        <row r="6447">
          <cell r="A6447" t="str">
            <v>B4=2BTDD</v>
          </cell>
          <cell r="B6447">
            <v>0</v>
          </cell>
          <cell r="C6447">
            <v>0</v>
          </cell>
          <cell r="D6447">
            <v>0</v>
          </cell>
          <cell r="E6447" t="e">
            <v>#VALUE!</v>
          </cell>
          <cell r="F6447">
            <v>-2.1329081058502197</v>
          </cell>
        </row>
        <row r="6448">
          <cell r="A6448" t="str">
            <v>BB1BBTDD</v>
          </cell>
          <cell r="B6448">
            <v>4.811966615180447E-2</v>
          </cell>
          <cell r="C6448">
            <v>0</v>
          </cell>
          <cell r="D6448">
            <v>0</v>
          </cell>
          <cell r="E6448" t="e">
            <v>#VALUE!</v>
          </cell>
          <cell r="F6448">
            <v>0</v>
          </cell>
        </row>
        <row r="6449">
          <cell r="A6449" t="str">
            <v>BB2BBTDD</v>
          </cell>
          <cell r="B6449">
            <v>0.11201224249519715</v>
          </cell>
          <cell r="C6449">
            <v>0</v>
          </cell>
          <cell r="D6449">
            <v>0</v>
          </cell>
          <cell r="E6449" t="e">
            <v>#VALUE!</v>
          </cell>
          <cell r="F6449">
            <v>0</v>
          </cell>
        </row>
        <row r="6450">
          <cell r="A6450" t="str">
            <v>BLPMBTDD</v>
          </cell>
          <cell r="B6450">
            <v>0</v>
          </cell>
          <cell r="C6450">
            <v>0</v>
          </cell>
          <cell r="D6450">
            <v>0</v>
          </cell>
          <cell r="E6450" t="e">
            <v>#VALUE!</v>
          </cell>
          <cell r="F6450">
            <v>-260.01409912109375</v>
          </cell>
        </row>
        <row r="6451">
          <cell r="A6451" t="str">
            <v>BLGDBTDD</v>
          </cell>
          <cell r="B6451">
            <v>2.0047945069940124E-2</v>
          </cell>
          <cell r="C6451">
            <v>0</v>
          </cell>
          <cell r="D6451">
            <v>0</v>
          </cell>
          <cell r="E6451" t="e">
            <v>#VALUE!</v>
          </cell>
          <cell r="F6451">
            <v>0</v>
          </cell>
        </row>
        <row r="6452">
          <cell r="A6452" t="str">
            <v>BBTPBTDD</v>
          </cell>
          <cell r="B6452">
            <v>0.32306954811697136</v>
          </cell>
          <cell r="C6452">
            <v>0</v>
          </cell>
          <cell r="D6452">
            <v>0</v>
          </cell>
          <cell r="E6452" t="e">
            <v>#VALUE!</v>
          </cell>
          <cell r="F6452">
            <v>0</v>
          </cell>
        </row>
        <row r="6453">
          <cell r="A6453" t="str">
            <v>BBTDBTRD</v>
          </cell>
          <cell r="B6453">
            <v>0.10726493452101538</v>
          </cell>
          <cell r="C6453">
            <v>0</v>
          </cell>
          <cell r="D6453">
            <v>0</v>
          </cell>
          <cell r="E6453" t="e">
            <v>#VALUE!</v>
          </cell>
          <cell r="F6453">
            <v>0</v>
          </cell>
        </row>
        <row r="6454">
          <cell r="A6454" t="str">
            <v>BNLDLIVD</v>
          </cell>
          <cell r="B6454">
            <v>9.3510838077492914E-2</v>
          </cell>
          <cell r="C6454">
            <v>0</v>
          </cell>
          <cell r="D6454">
            <v>0</v>
          </cell>
          <cell r="E6454" t="e">
            <v>#VALUE!</v>
          </cell>
          <cell r="F6454">
            <v>0</v>
          </cell>
        </row>
        <row r="6455">
          <cell r="A6455" t="str">
            <v>BLOALIVD</v>
          </cell>
          <cell r="B6455">
            <v>4.3800691484588469E-2</v>
          </cell>
          <cell r="C6455">
            <v>0</v>
          </cell>
          <cell r="D6455">
            <v>0</v>
          </cell>
          <cell r="E6455" t="e">
            <v>#VALUE!</v>
          </cell>
          <cell r="F6455">
            <v>0</v>
          </cell>
        </row>
        <row r="6456">
          <cell r="A6456" t="str">
            <v>BLODLIVD</v>
          </cell>
          <cell r="B6456">
            <v>3.3286436228719476E-2</v>
          </cell>
          <cell r="C6456">
            <v>0</v>
          </cell>
          <cell r="D6456">
            <v>0</v>
          </cell>
          <cell r="E6456" t="e">
            <v>#VALUE!</v>
          </cell>
          <cell r="F6456">
            <v>0</v>
          </cell>
        </row>
        <row r="6457">
          <cell r="A6457" t="str">
            <v>BLN1LIVD</v>
          </cell>
          <cell r="B6457">
            <v>0.80307047840667101</v>
          </cell>
          <cell r="C6457">
            <v>0</v>
          </cell>
          <cell r="D6457">
            <v>0</v>
          </cell>
          <cell r="E6457" t="e">
            <v>#VALUE!</v>
          </cell>
          <cell r="F6457">
            <v>0</v>
          </cell>
        </row>
        <row r="6458">
          <cell r="A6458" t="str">
            <v>BREFMJOD</v>
          </cell>
          <cell r="B6458">
            <v>0</v>
          </cell>
          <cell r="C6458">
            <v>0</v>
          </cell>
          <cell r="D6458">
            <v>0</v>
          </cell>
          <cell r="E6458" t="e">
            <v>#VALUE!</v>
          </cell>
          <cell r="F6458">
            <v>-337.75181358023866</v>
          </cell>
        </row>
        <row r="6459">
          <cell r="A6459" t="str">
            <v>BREPMJOD</v>
          </cell>
          <cell r="B6459">
            <v>0</v>
          </cell>
          <cell r="C6459">
            <v>0</v>
          </cell>
          <cell r="D6459">
            <v>0</v>
          </cell>
          <cell r="E6459" t="e">
            <v>#VALUE!</v>
          </cell>
          <cell r="F6459">
            <v>-368.23908775016054</v>
          </cell>
        </row>
        <row r="6460">
          <cell r="A6460" t="str">
            <v>BRESMJOD</v>
          </cell>
          <cell r="B6460">
            <v>0</v>
          </cell>
          <cell r="C6460">
            <v>0</v>
          </cell>
          <cell r="D6460">
            <v>0</v>
          </cell>
          <cell r="E6460" t="e">
            <v>#VALUE!</v>
          </cell>
          <cell r="F6460">
            <v>-358.07666550727743</v>
          </cell>
        </row>
        <row r="6461">
          <cell r="A6461" t="str">
            <v>BDODMJOD</v>
          </cell>
          <cell r="B6461">
            <v>0</v>
          </cell>
          <cell r="C6461">
            <v>0</v>
          </cell>
          <cell r="D6461">
            <v>0</v>
          </cell>
          <cell r="E6461" t="e">
            <v>#VALUE!</v>
          </cell>
          <cell r="F6461">
            <v>-326.71601646109804</v>
          </cell>
        </row>
        <row r="6462">
          <cell r="A6462" t="str">
            <v>BLENMJOD</v>
          </cell>
          <cell r="B6462">
            <v>0</v>
          </cell>
          <cell r="C6462">
            <v>0</v>
          </cell>
          <cell r="D6462">
            <v>0</v>
          </cell>
          <cell r="E6462" t="e">
            <v>#VALUE!</v>
          </cell>
          <cell r="F6462">
            <v>-38.135941189282562</v>
          </cell>
        </row>
        <row r="6463">
          <cell r="A6463" t="str">
            <v>BLN1R+LD</v>
          </cell>
          <cell r="B6463">
            <v>0.36066136776584468</v>
          </cell>
          <cell r="C6463">
            <v>0</v>
          </cell>
          <cell r="D6463">
            <v>0</v>
          </cell>
          <cell r="E6463" t="e">
            <v>#VALUE!</v>
          </cell>
          <cell r="F6463">
            <v>0</v>
          </cell>
        </row>
        <row r="6464">
          <cell r="A6464" t="str">
            <v>BREFR+LD</v>
          </cell>
          <cell r="B6464">
            <v>0.13306939783569885</v>
          </cell>
          <cell r="C6464">
            <v>0</v>
          </cell>
          <cell r="D6464">
            <v>0</v>
          </cell>
          <cell r="E6464" t="e">
            <v>#VALUE!</v>
          </cell>
          <cell r="F6464">
            <v>0</v>
          </cell>
        </row>
        <row r="6465">
          <cell r="A6465" t="str">
            <v>BI56R+LD</v>
          </cell>
          <cell r="B6465">
            <v>2.1406377749900295E-2</v>
          </cell>
          <cell r="C6465">
            <v>0</v>
          </cell>
          <cell r="D6465">
            <v>0</v>
          </cell>
          <cell r="E6465" t="e">
            <v>#VALUE!</v>
          </cell>
          <cell r="F6465">
            <v>-10.031455740210129</v>
          </cell>
        </row>
        <row r="6466">
          <cell r="A6466" t="str">
            <v>BREPR+LD</v>
          </cell>
          <cell r="B6466">
            <v>0.17513144016265869</v>
          </cell>
          <cell r="C6466">
            <v>0</v>
          </cell>
          <cell r="D6466">
            <v>0</v>
          </cell>
          <cell r="E6466" t="e">
            <v>#VALUE!</v>
          </cell>
          <cell r="F6466">
            <v>0</v>
          </cell>
        </row>
        <row r="6467">
          <cell r="A6467" t="str">
            <v>BRESR+LD</v>
          </cell>
          <cell r="B6467">
            <v>0.31935000958508009</v>
          </cell>
          <cell r="C6467">
            <v>0</v>
          </cell>
          <cell r="D6467">
            <v>0</v>
          </cell>
          <cell r="E6467" t="e">
            <v>#VALUE!</v>
          </cell>
          <cell r="F6467">
            <v>0</v>
          </cell>
        </row>
        <row r="6468">
          <cell r="A6468" t="str">
            <v>BXL1MXYD</v>
          </cell>
          <cell r="B6468">
            <v>0</v>
          </cell>
          <cell r="C6468">
            <v>0</v>
          </cell>
          <cell r="D6468">
            <v>0</v>
          </cell>
          <cell r="E6468" t="e">
            <v>#VALUE!</v>
          </cell>
          <cell r="F6468">
            <v>0</v>
          </cell>
        </row>
        <row r="6469">
          <cell r="A6469" t="str">
            <v>BXL2MXYD</v>
          </cell>
          <cell r="B6469">
            <v>0</v>
          </cell>
          <cell r="C6469">
            <v>0</v>
          </cell>
          <cell r="D6469">
            <v>0</v>
          </cell>
          <cell r="E6469" t="e">
            <v>#VALUE!</v>
          </cell>
          <cell r="F6469">
            <v>0</v>
          </cell>
        </row>
        <row r="6470">
          <cell r="A6470" t="str">
            <v>BMEXMXYD</v>
          </cell>
          <cell r="B6470">
            <v>5.5594746380636141E-3</v>
          </cell>
          <cell r="C6470">
            <v>0</v>
          </cell>
          <cell r="D6470">
            <v>0</v>
          </cell>
          <cell r="E6470" t="e">
            <v>#VALUE!</v>
          </cell>
          <cell r="F6470">
            <v>-21.927043684867964</v>
          </cell>
        </row>
        <row r="6471">
          <cell r="A6471" t="str">
            <v>BOXYMXYD</v>
          </cell>
          <cell r="B6471">
            <v>0.19704475864155652</v>
          </cell>
          <cell r="C6471">
            <v>0</v>
          </cell>
          <cell r="D6471">
            <v>0</v>
          </cell>
          <cell r="E6471" t="e">
            <v>#VALUE!</v>
          </cell>
          <cell r="F6471">
            <v>0</v>
          </cell>
        </row>
        <row r="6472">
          <cell r="A6472" t="str">
            <v>BLBILABD</v>
          </cell>
          <cell r="B6472">
            <v>8.8848701976749989E-2</v>
          </cell>
          <cell r="C6472">
            <v>0</v>
          </cell>
          <cell r="D6472">
            <v>0</v>
          </cell>
          <cell r="E6472" t="e">
            <v>#VALUE!</v>
          </cell>
          <cell r="F6472">
            <v>0</v>
          </cell>
        </row>
        <row r="6473">
          <cell r="A6473" t="str">
            <v>BH22HOXD</v>
          </cell>
          <cell r="B6473">
            <v>33.333332061767578</v>
          </cell>
          <cell r="C6473">
            <v>0</v>
          </cell>
          <cell r="D6473">
            <v>0</v>
          </cell>
          <cell r="E6473" t="e">
            <v>#VALUE!</v>
          </cell>
          <cell r="F6473">
            <v>0</v>
          </cell>
        </row>
        <row r="6474">
          <cell r="A6474" t="str">
            <v>SNFPNLSD</v>
          </cell>
          <cell r="B6474">
            <v>0</v>
          </cell>
          <cell r="C6474">
            <v>0</v>
          </cell>
          <cell r="D6474">
            <v>0</v>
          </cell>
          <cell r="E6474" t="e">
            <v>#VALUE!</v>
          </cell>
          <cell r="F6474">
            <v>0</v>
          </cell>
        </row>
        <row r="6475">
          <cell r="A6475" t="str">
            <v>SNFPNLCD</v>
          </cell>
          <cell r="B6475">
            <v>7.3972605679133163E-2</v>
          </cell>
          <cell r="C6475">
            <v>0</v>
          </cell>
          <cell r="D6475">
            <v>0</v>
          </cell>
          <cell r="E6475" t="e">
            <v>#VALUE!</v>
          </cell>
          <cell r="F6475">
            <v>-25.13398031992455</v>
          </cell>
        </row>
        <row r="6476">
          <cell r="A6476" t="str">
            <v>SNFPNLPD</v>
          </cell>
          <cell r="B6476">
            <v>3.0351231189623271</v>
          </cell>
          <cell r="C6476">
            <v>0</v>
          </cell>
          <cell r="D6476">
            <v>0</v>
          </cell>
          <cell r="E6476" t="e">
            <v>#VALUE!</v>
          </cell>
          <cell r="F6476">
            <v>0</v>
          </cell>
        </row>
        <row r="6477">
          <cell r="A6477" t="str">
            <v>SNFPNT1D</v>
          </cell>
          <cell r="B6477">
            <v>0</v>
          </cell>
          <cell r="C6477">
            <v>0</v>
          </cell>
          <cell r="D6477">
            <v>0</v>
          </cell>
          <cell r="E6477" t="e">
            <v>#VALUE!</v>
          </cell>
          <cell r="F6477">
            <v>0</v>
          </cell>
        </row>
        <row r="6478">
          <cell r="A6478" t="str">
            <v>SNFPNPHD</v>
          </cell>
          <cell r="B6478">
            <v>0</v>
          </cell>
          <cell r="C6478">
            <v>0</v>
          </cell>
          <cell r="D6478">
            <v>0</v>
          </cell>
          <cell r="E6478" t="e">
            <v>#VALUE!</v>
          </cell>
          <cell r="F6478">
            <v>0</v>
          </cell>
        </row>
        <row r="6479">
          <cell r="A6479" t="str">
            <v>SNFPNFCD</v>
          </cell>
          <cell r="B6479">
            <v>3.1090957099444245</v>
          </cell>
          <cell r="C6479">
            <v>0</v>
          </cell>
          <cell r="D6479">
            <v>0</v>
          </cell>
          <cell r="E6479" t="e">
            <v>#VALUE!</v>
          </cell>
          <cell r="F6479">
            <v>0</v>
          </cell>
        </row>
        <row r="6480">
          <cell r="A6480" t="str">
            <v>SPRLGPRD</v>
          </cell>
          <cell r="B6480">
            <v>0</v>
          </cell>
          <cell r="C6480">
            <v>0</v>
          </cell>
          <cell r="D6480">
            <v>0</v>
          </cell>
          <cell r="E6480" t="e">
            <v>#VALUE!</v>
          </cell>
          <cell r="F6480">
            <v>0</v>
          </cell>
        </row>
        <row r="6481">
          <cell r="A6481" t="str">
            <v>SPRLNPRD</v>
          </cell>
          <cell r="B6481">
            <v>0</v>
          </cell>
          <cell r="C6481">
            <v>0</v>
          </cell>
          <cell r="D6481">
            <v>0</v>
          </cell>
          <cell r="E6481" t="e">
            <v>#VALUE!</v>
          </cell>
          <cell r="F6481">
            <v>0</v>
          </cell>
        </row>
        <row r="6482">
          <cell r="A6482" t="str">
            <v>SPRLFOID</v>
          </cell>
          <cell r="B6482">
            <v>0</v>
          </cell>
          <cell r="C6482">
            <v>0</v>
          </cell>
          <cell r="D6482">
            <v>0</v>
          </cell>
          <cell r="E6482" t="e">
            <v>#VALUE!</v>
          </cell>
          <cell r="F6482">
            <v>0</v>
          </cell>
        </row>
        <row r="6483">
          <cell r="A6483" t="str">
            <v>SPRLM3DD</v>
          </cell>
          <cell r="B6483">
            <v>0</v>
          </cell>
          <cell r="C6483">
            <v>0</v>
          </cell>
          <cell r="D6483">
            <v>0</v>
          </cell>
          <cell r="E6483" t="e">
            <v>#VALUE!</v>
          </cell>
          <cell r="F6483">
            <v>0</v>
          </cell>
        </row>
        <row r="6484">
          <cell r="A6484" t="str">
            <v>SNSPNFCD</v>
          </cell>
          <cell r="B6484">
            <v>3.1090957099444245</v>
          </cell>
          <cell r="C6484">
            <v>0</v>
          </cell>
          <cell r="D6484">
            <v>0</v>
          </cell>
          <cell r="E6484" t="e">
            <v>#VALUE!</v>
          </cell>
          <cell r="F6484">
            <v>0</v>
          </cell>
        </row>
        <row r="6485">
          <cell r="A6485" t="str">
            <v>SNSPLN1D</v>
          </cell>
          <cell r="B6485">
            <v>0.77039048214481298</v>
          </cell>
          <cell r="C6485">
            <v>0</v>
          </cell>
          <cell r="D6485">
            <v>0</v>
          </cell>
          <cell r="E6485" t="e">
            <v>#VALUE!</v>
          </cell>
          <cell r="F6485">
            <v>0</v>
          </cell>
        </row>
        <row r="6486">
          <cell r="A6486" t="str">
            <v>SNSPMN1D</v>
          </cell>
          <cell r="B6486">
            <v>1.9020821254547329</v>
          </cell>
          <cell r="C6486">
            <v>0</v>
          </cell>
          <cell r="D6486">
            <v>0</v>
          </cell>
          <cell r="E6486" t="e">
            <v>#VALUE!</v>
          </cell>
          <cell r="F6486">
            <v>0</v>
          </cell>
        </row>
        <row r="6487">
          <cell r="A6487" t="str">
            <v>SNSPPESD</v>
          </cell>
          <cell r="B6487">
            <v>0.43662303506511529</v>
          </cell>
          <cell r="C6487">
            <v>0</v>
          </cell>
          <cell r="D6487">
            <v>0</v>
          </cell>
          <cell r="E6487" t="e">
            <v>#VALUE!</v>
          </cell>
          <cell r="F6487">
            <v>0</v>
          </cell>
        </row>
        <row r="6488">
          <cell r="A6488" t="str">
            <v>SNSPTOTD</v>
          </cell>
          <cell r="B6488">
            <v>3.1090957099444245</v>
          </cell>
          <cell r="C6488">
            <v>0</v>
          </cell>
          <cell r="D6488">
            <v>0</v>
          </cell>
          <cell r="E6488" t="e">
            <v>#VALUE!</v>
          </cell>
          <cell r="F6488">
            <v>0</v>
          </cell>
        </row>
        <row r="6489">
          <cell r="A6489" t="str">
            <v>SNSPM3DD</v>
          </cell>
          <cell r="B6489">
            <v>1.1637287760434085</v>
          </cell>
          <cell r="C6489">
            <v>0</v>
          </cell>
          <cell r="D6489">
            <v>0</v>
          </cell>
          <cell r="E6489" t="e">
            <v>#VALUE!</v>
          </cell>
          <cell r="F6489">
            <v>0</v>
          </cell>
        </row>
        <row r="6490">
          <cell r="A6490" t="str">
            <v>SNSPM4DD</v>
          </cell>
          <cell r="B6490">
            <v>4.377844321891053</v>
          </cell>
          <cell r="C6490">
            <v>0</v>
          </cell>
          <cell r="D6490">
            <v>0</v>
          </cell>
          <cell r="E6490" t="e">
            <v>#VALUE!</v>
          </cell>
          <cell r="F6490">
            <v>0</v>
          </cell>
        </row>
        <row r="6491">
          <cell r="A6491" t="str">
            <v>S100MN1D</v>
          </cell>
          <cell r="B6491">
            <v>1.9020821254547329</v>
          </cell>
          <cell r="C6491">
            <v>0</v>
          </cell>
          <cell r="D6491">
            <v>0</v>
          </cell>
          <cell r="E6491" t="e">
            <v>#VALUE!</v>
          </cell>
          <cell r="F6491">
            <v>0</v>
          </cell>
        </row>
        <row r="6492">
          <cell r="A6492" t="str">
            <v>S100M3DD</v>
          </cell>
          <cell r="B6492">
            <v>2.6235609420358319</v>
          </cell>
          <cell r="C6492">
            <v>0</v>
          </cell>
          <cell r="D6492">
            <v>0</v>
          </cell>
          <cell r="E6492" t="e">
            <v>#VALUE!</v>
          </cell>
          <cell r="F6492">
            <v>0</v>
          </cell>
        </row>
        <row r="6493">
          <cell r="A6493" t="str">
            <v>SINTRFMD</v>
          </cell>
          <cell r="B6493">
            <v>0</v>
          </cell>
          <cell r="C6493">
            <v>0</v>
          </cell>
          <cell r="D6493">
            <v>0</v>
          </cell>
          <cell r="E6493" t="e">
            <v>#VALUE!</v>
          </cell>
          <cell r="F6493">
            <v>-634.06984160958905</v>
          </cell>
        </row>
        <row r="6494">
          <cell r="A6494" t="str">
            <v>SINTRFTD</v>
          </cell>
          <cell r="B6494">
            <v>0</v>
          </cell>
          <cell r="C6494">
            <v>0</v>
          </cell>
          <cell r="D6494">
            <v>0</v>
          </cell>
          <cell r="E6494" t="e">
            <v>#VALUE!</v>
          </cell>
          <cell r="F6494">
            <v>0</v>
          </cell>
        </row>
        <row r="6495">
          <cell r="A6495" t="str">
            <v>S110LN1D</v>
          </cell>
          <cell r="B6495">
            <v>0</v>
          </cell>
          <cell r="C6495">
            <v>0</v>
          </cell>
          <cell r="D6495">
            <v>0</v>
          </cell>
          <cell r="E6495" t="e">
            <v>#VALUE!</v>
          </cell>
          <cell r="F6495">
            <v>-34.540397644042969</v>
          </cell>
        </row>
        <row r="6496">
          <cell r="A6496" t="str">
            <v>S110CA1D</v>
          </cell>
          <cell r="B6496">
            <v>0.12287450971668713</v>
          </cell>
          <cell r="C6496">
            <v>0</v>
          </cell>
          <cell r="D6496">
            <v>0</v>
          </cell>
          <cell r="E6496" t="e">
            <v>#VALUE!</v>
          </cell>
          <cell r="F6496">
            <v>0</v>
          </cell>
        </row>
        <row r="6497">
          <cell r="A6497" t="str">
            <v>SPRPPRPD</v>
          </cell>
          <cell r="B6497">
            <v>0</v>
          </cell>
          <cell r="C6497">
            <v>0</v>
          </cell>
          <cell r="D6497">
            <v>0</v>
          </cell>
          <cell r="E6497" t="e">
            <v>#VALUE!</v>
          </cell>
          <cell r="F6497">
            <v>0</v>
          </cell>
        </row>
        <row r="6498">
          <cell r="A6498" t="str">
            <v>SPRPLPGD</v>
          </cell>
          <cell r="B6498">
            <v>3.3286436228719476E-2</v>
          </cell>
          <cell r="C6498">
            <v>0</v>
          </cell>
          <cell r="D6498">
            <v>0</v>
          </cell>
          <cell r="E6498" t="e">
            <v>#VALUE!</v>
          </cell>
          <cell r="F6498">
            <v>0</v>
          </cell>
        </row>
        <row r="6499">
          <cell r="A6499" t="str">
            <v>SPRPD7PD</v>
          </cell>
          <cell r="B6499">
            <v>0</v>
          </cell>
          <cell r="C6499">
            <v>0</v>
          </cell>
          <cell r="D6499">
            <v>0</v>
          </cell>
          <cell r="E6499" t="e">
            <v>#VALUE!</v>
          </cell>
          <cell r="F6499">
            <v>0</v>
          </cell>
        </row>
        <row r="6500">
          <cell r="A6500" t="str">
            <v>SBTXBASD</v>
          </cell>
          <cell r="B6500">
            <v>1.4910421394322015</v>
          </cell>
          <cell r="C6500">
            <v>0</v>
          </cell>
          <cell r="D6500">
            <v>0</v>
          </cell>
          <cell r="E6500" t="e">
            <v>#VALUE!</v>
          </cell>
          <cell r="F6500">
            <v>0</v>
          </cell>
        </row>
        <row r="6501">
          <cell r="A6501" t="str">
            <v>SBTXNC6D</v>
          </cell>
          <cell r="B6501">
            <v>1.8000378011024161</v>
          </cell>
          <cell r="C6501">
            <v>0</v>
          </cell>
          <cell r="D6501" t="e">
            <v>#VALUE!</v>
          </cell>
          <cell r="E6501" t="e">
            <v>#VALUE!</v>
          </cell>
          <cell r="F6501">
            <v>0</v>
          </cell>
        </row>
        <row r="6502">
          <cell r="A6502" t="str">
            <v>SBTXNC7D</v>
          </cell>
          <cell r="B6502">
            <v>-4.3751024559752585</v>
          </cell>
          <cell r="C6502">
            <v>0</v>
          </cell>
          <cell r="D6502" t="e">
            <v>#VALUE!</v>
          </cell>
          <cell r="E6502" t="e">
            <v>#VALUE!</v>
          </cell>
          <cell r="F6502">
            <v>0</v>
          </cell>
        </row>
        <row r="6503">
          <cell r="A6503" t="str">
            <v>SBTXNC8D</v>
          </cell>
          <cell r="B6503">
            <v>1.1035628436362908</v>
          </cell>
          <cell r="C6503">
            <v>0</v>
          </cell>
          <cell r="D6503" t="e">
            <v>#VALUE!</v>
          </cell>
          <cell r="E6503" t="e">
            <v>#VALUE!</v>
          </cell>
          <cell r="F6503">
            <v>0</v>
          </cell>
        </row>
        <row r="6504">
          <cell r="A6504" t="str">
            <v>SBTXAC6D</v>
          </cell>
          <cell r="B6504">
            <v>-0.72209102290950411</v>
          </cell>
          <cell r="C6504">
            <v>0</v>
          </cell>
          <cell r="D6504" t="e">
            <v>#VALUE!</v>
          </cell>
          <cell r="E6504" t="e">
            <v>#VALUE!</v>
          </cell>
          <cell r="F6504">
            <v>0</v>
          </cell>
        </row>
        <row r="6505">
          <cell r="A6505" t="str">
            <v>SBTXAC7D</v>
          </cell>
          <cell r="B6505">
            <v>-2.0930036361903359</v>
          </cell>
          <cell r="C6505">
            <v>0</v>
          </cell>
          <cell r="D6505" t="e">
            <v>#VALUE!</v>
          </cell>
          <cell r="E6505" t="e">
            <v>#VALUE!</v>
          </cell>
          <cell r="F6505">
            <v>0</v>
          </cell>
        </row>
        <row r="6506">
          <cell r="A6506" t="str">
            <v>SBTXAC8D</v>
          </cell>
          <cell r="B6506">
            <v>9.5662492146230724E-2</v>
          </cell>
          <cell r="C6506">
            <v>0</v>
          </cell>
          <cell r="D6506" t="e">
            <v>#VALUE!</v>
          </cell>
          <cell r="E6506" t="e">
            <v>#VALUE!</v>
          </cell>
          <cell r="F6506">
            <v>0</v>
          </cell>
        </row>
        <row r="6507">
          <cell r="A6507" t="str">
            <v>SBTXPC7D</v>
          </cell>
          <cell r="B6507">
            <v>-6.9482506817334322</v>
          </cell>
          <cell r="C6507">
            <v>0</v>
          </cell>
          <cell r="D6507" t="e">
            <v>#VALUE!</v>
          </cell>
          <cell r="E6507" t="e">
            <v>#VALUE!</v>
          </cell>
          <cell r="F6507">
            <v>0</v>
          </cell>
        </row>
        <row r="6508">
          <cell r="A6508" t="str">
            <v>SBTXPC8D</v>
          </cell>
          <cell r="B6508">
            <v>3.6634848176616512</v>
          </cell>
          <cell r="C6508">
            <v>0</v>
          </cell>
          <cell r="D6508" t="e">
            <v>#VALUE!</v>
          </cell>
          <cell r="E6508" t="e">
            <v>#VALUE!</v>
          </cell>
          <cell r="F6508">
            <v>0</v>
          </cell>
        </row>
        <row r="6509">
          <cell r="A6509" t="str">
            <v>SBTXNP9D</v>
          </cell>
          <cell r="B6509">
            <v>1.6802016388880063</v>
          </cell>
          <cell r="C6509">
            <v>0</v>
          </cell>
          <cell r="D6509" t="e">
            <v>#VALUE!</v>
          </cell>
          <cell r="E6509" t="e">
            <v>#VALUE!</v>
          </cell>
          <cell r="F6509">
            <v>0</v>
          </cell>
        </row>
        <row r="6510">
          <cell r="A6510" t="str">
            <v>SBTXRFMD</v>
          </cell>
          <cell r="B6510">
            <v>1.4910421394322015</v>
          </cell>
          <cell r="C6510">
            <v>0</v>
          </cell>
          <cell r="D6510">
            <v>0</v>
          </cell>
          <cell r="E6510" t="e">
            <v>#VALUE!</v>
          </cell>
          <cell r="F6510">
            <v>0</v>
          </cell>
        </row>
        <row r="6511">
          <cell r="A6511" t="str">
            <v>S200RE1D</v>
          </cell>
          <cell r="B6511">
            <v>0.53934186109124793</v>
          </cell>
          <cell r="C6511">
            <v>0</v>
          </cell>
          <cell r="D6511">
            <v>0</v>
          </cell>
          <cell r="E6511" t="e">
            <v>#VALUE!</v>
          </cell>
          <cell r="F6511">
            <v>0</v>
          </cell>
        </row>
        <row r="6512">
          <cell r="A6512" t="str">
            <v>S200BE1D</v>
          </cell>
          <cell r="B6512">
            <v>0.17468169711224021</v>
          </cell>
          <cell r="C6512">
            <v>0</v>
          </cell>
          <cell r="D6512">
            <v>0</v>
          </cell>
          <cell r="E6512" t="e">
            <v>#VALUE!</v>
          </cell>
          <cell r="F6512">
            <v>0</v>
          </cell>
        </row>
        <row r="6513">
          <cell r="A6513" t="str">
            <v>S200TO1D</v>
          </cell>
          <cell r="B6513">
            <v>0.35585462859232131</v>
          </cell>
          <cell r="C6513">
            <v>0</v>
          </cell>
          <cell r="D6513">
            <v>0</v>
          </cell>
          <cell r="E6513" t="e">
            <v>#VALUE!</v>
          </cell>
          <cell r="F6513">
            <v>0</v>
          </cell>
        </row>
        <row r="6514">
          <cell r="A6514" t="str">
            <v>S200PX1D</v>
          </cell>
          <cell r="B6514">
            <v>6.7659554599899141E-2</v>
          </cell>
          <cell r="C6514">
            <v>0</v>
          </cell>
          <cell r="D6514">
            <v>0</v>
          </cell>
          <cell r="E6514" t="e">
            <v>#VALUE!</v>
          </cell>
          <cell r="F6514">
            <v>0</v>
          </cell>
        </row>
        <row r="6515">
          <cell r="A6515" t="str">
            <v>S200OX1D</v>
          </cell>
          <cell r="B6515">
            <v>8.4703835763343394E-2</v>
          </cell>
          <cell r="C6515">
            <v>0</v>
          </cell>
          <cell r="D6515">
            <v>0</v>
          </cell>
          <cell r="E6515" t="e">
            <v>#VALUE!</v>
          </cell>
          <cell r="F6515">
            <v>0</v>
          </cell>
        </row>
        <row r="6516">
          <cell r="A6516" t="str">
            <v>S200MX1D</v>
          </cell>
          <cell r="B6516">
            <v>0.15251250079233353</v>
          </cell>
          <cell r="C6516">
            <v>0</v>
          </cell>
          <cell r="D6516">
            <v>0</v>
          </cell>
          <cell r="E6516" t="e">
            <v>#VALUE!</v>
          </cell>
          <cell r="F6516">
            <v>0</v>
          </cell>
        </row>
        <row r="6517">
          <cell r="A6517" t="str">
            <v>S200EB1D</v>
          </cell>
          <cell r="B6517">
            <v>5.1615311011467893E-2</v>
          </cell>
          <cell r="C6517">
            <v>0</v>
          </cell>
          <cell r="D6517">
            <v>0</v>
          </cell>
          <cell r="E6517" t="e">
            <v>#VALUE!</v>
          </cell>
          <cell r="F6517">
            <v>0</v>
          </cell>
        </row>
        <row r="6518">
          <cell r="A6518" t="str">
            <v>S200C91D</v>
          </cell>
          <cell r="B6518">
            <v>4.9763555100111115E-2</v>
          </cell>
          <cell r="C6518">
            <v>0</v>
          </cell>
          <cell r="D6518">
            <v>0</v>
          </cell>
          <cell r="E6518" t="e">
            <v>#VALUE!</v>
          </cell>
          <cell r="F6518">
            <v>0</v>
          </cell>
        </row>
        <row r="6519">
          <cell r="A6519" t="str">
            <v>S200NI1D</v>
          </cell>
          <cell r="B6519">
            <v>1.4910421961892958E-2</v>
          </cell>
          <cell r="C6519">
            <v>0</v>
          </cell>
          <cell r="D6519">
            <v>0</v>
          </cell>
          <cell r="E6519" t="e">
            <v>#VALUE!</v>
          </cell>
          <cell r="F6519">
            <v>0</v>
          </cell>
        </row>
        <row r="6520">
          <cell r="A6520" t="str">
            <v>S200ARLD</v>
          </cell>
          <cell r="B6520">
            <v>0</v>
          </cell>
          <cell r="C6520">
            <v>0</v>
          </cell>
          <cell r="D6520">
            <v>0</v>
          </cell>
          <cell r="E6520" t="e">
            <v>#VALUE!</v>
          </cell>
          <cell r="F6520">
            <v>0</v>
          </cell>
        </row>
        <row r="6521">
          <cell r="A6521" t="str">
            <v>S200M3TD</v>
          </cell>
          <cell r="B6521">
            <v>1.3874438530778233</v>
          </cell>
          <cell r="C6521">
            <v>0</v>
          </cell>
          <cell r="D6521">
            <v>0</v>
          </cell>
          <cell r="E6521" t="e">
            <v>#VALUE!</v>
          </cell>
          <cell r="F6521">
            <v>0</v>
          </cell>
        </row>
        <row r="6522">
          <cell r="A6522" t="str">
            <v>S700BE2D</v>
          </cell>
          <cell r="B6522">
            <v>0.30219045991766941</v>
          </cell>
          <cell r="C6522">
            <v>0</v>
          </cell>
          <cell r="D6522">
            <v>0</v>
          </cell>
          <cell r="E6522" t="e">
            <v>#VALUE!</v>
          </cell>
          <cell r="F6522">
            <v>0</v>
          </cell>
        </row>
        <row r="6523">
          <cell r="A6523" t="str">
            <v>S700TO2D</v>
          </cell>
          <cell r="B6523">
            <v>0.14381882499342094</v>
          </cell>
          <cell r="C6523">
            <v>0</v>
          </cell>
          <cell r="D6523">
            <v>0</v>
          </cell>
          <cell r="E6523" t="e">
            <v>#VALUE!</v>
          </cell>
          <cell r="F6523">
            <v>0</v>
          </cell>
        </row>
        <row r="6524">
          <cell r="A6524" t="str">
            <v>S700PX2D</v>
          </cell>
          <cell r="B6524">
            <v>0.21584622855872324</v>
          </cell>
          <cell r="C6524">
            <v>0</v>
          </cell>
          <cell r="D6524">
            <v>0</v>
          </cell>
          <cell r="E6524" t="e">
            <v>#VALUE!</v>
          </cell>
          <cell r="F6524">
            <v>0</v>
          </cell>
        </row>
        <row r="6525">
          <cell r="A6525" t="str">
            <v>S700OX2D</v>
          </cell>
          <cell r="B6525">
            <v>5.1603736483479198E-3</v>
          </cell>
          <cell r="C6525">
            <v>0</v>
          </cell>
          <cell r="D6525" t="e">
            <v>#VALUE!</v>
          </cell>
          <cell r="E6525" t="e">
            <v>#VALUE!</v>
          </cell>
          <cell r="F6525">
            <v>0</v>
          </cell>
        </row>
        <row r="6526">
          <cell r="A6526" t="str">
            <v>S700MX2D</v>
          </cell>
          <cell r="B6526">
            <v>0.61448886819081761</v>
          </cell>
          <cell r="C6526">
            <v>0</v>
          </cell>
          <cell r="D6526" t="e">
            <v>#VALUE!</v>
          </cell>
          <cell r="E6526" t="e">
            <v>#VALUE!</v>
          </cell>
          <cell r="F6526">
            <v>0</v>
          </cell>
        </row>
        <row r="6527">
          <cell r="A6527" t="str">
            <v>S700EB2D</v>
          </cell>
          <cell r="B6527">
            <v>0.15156157245374705</v>
          </cell>
          <cell r="C6527">
            <v>0</v>
          </cell>
          <cell r="D6527" t="e">
            <v>#VALUE!</v>
          </cell>
          <cell r="E6527" t="e">
            <v>#VALUE!</v>
          </cell>
          <cell r="F6527">
            <v>0</v>
          </cell>
        </row>
        <row r="6528">
          <cell r="A6528" t="str">
            <v>S700C92D</v>
          </cell>
          <cell r="B6528">
            <v>4.5792916672278756E-2</v>
          </cell>
          <cell r="C6528">
            <v>0</v>
          </cell>
          <cell r="D6528" t="e">
            <v>#VALUE!</v>
          </cell>
          <cell r="E6528" t="e">
            <v>#VALUE!</v>
          </cell>
          <cell r="F6528">
            <v>0</v>
          </cell>
        </row>
        <row r="6529">
          <cell r="A6529" t="str">
            <v>S700NI2D</v>
          </cell>
          <cell r="B6529">
            <v>1.4910421961892958E-2</v>
          </cell>
          <cell r="C6529">
            <v>0</v>
          </cell>
          <cell r="D6529" t="e">
            <v>#VALUE!</v>
          </cell>
          <cell r="E6529" t="e">
            <v>#VALUE!</v>
          </cell>
          <cell r="F6529">
            <v>0</v>
          </cell>
        </row>
        <row r="6530">
          <cell r="A6530" t="str">
            <v>S700OXYD</v>
          </cell>
          <cell r="B6530">
            <v>0.23261689772344615</v>
          </cell>
          <cell r="C6530">
            <v>0</v>
          </cell>
          <cell r="D6530" t="e">
            <v>#VALUE!</v>
          </cell>
          <cell r="E6530" t="e">
            <v>#VALUE!</v>
          </cell>
          <cell r="F6530">
            <v>0</v>
          </cell>
        </row>
        <row r="6531">
          <cell r="A6531" t="str">
            <v>S700M3TD</v>
          </cell>
          <cell r="B6531">
            <v>1.9815523310883405</v>
          </cell>
          <cell r="C6531">
            <v>0</v>
          </cell>
          <cell r="D6531" t="e">
            <v>#VALUE!</v>
          </cell>
          <cell r="E6531" t="e">
            <v>#VALUE!</v>
          </cell>
          <cell r="F6531">
            <v>0</v>
          </cell>
        </row>
        <row r="6532">
          <cell r="A6532" t="str">
            <v>S700TO3D</v>
          </cell>
          <cell r="B6532">
            <v>5.22735145912595E-2</v>
          </cell>
          <cell r="C6532">
            <v>0</v>
          </cell>
          <cell r="D6532" t="e">
            <v>#VALUE!</v>
          </cell>
          <cell r="E6532" t="e">
            <v>#VALUE!</v>
          </cell>
          <cell r="F6532">
            <v>0</v>
          </cell>
        </row>
        <row r="6533">
          <cell r="A6533" t="str">
            <v>S400PX7D</v>
          </cell>
          <cell r="B6533">
            <v>0.21497436892496397</v>
          </cell>
          <cell r="C6533">
            <v>0</v>
          </cell>
          <cell r="D6533" t="e">
            <v>#VALUE!</v>
          </cell>
          <cell r="E6533" t="e">
            <v>#VALUE!</v>
          </cell>
          <cell r="F6533">
            <v>0</v>
          </cell>
        </row>
        <row r="6534">
          <cell r="A6534" t="str">
            <v>S400OX7D</v>
          </cell>
          <cell r="B6534">
            <v>4.0350803863002009E-3</v>
          </cell>
          <cell r="C6534">
            <v>0</v>
          </cell>
          <cell r="D6534">
            <v>0</v>
          </cell>
          <cell r="E6534" t="e">
            <v>#VALUE!</v>
          </cell>
          <cell r="F6534">
            <v>0</v>
          </cell>
        </row>
        <row r="6535">
          <cell r="A6535" t="str">
            <v>S400MX7D</v>
          </cell>
          <cell r="B6535">
            <v>0.61242005678072364</v>
          </cell>
          <cell r="C6535">
            <v>0</v>
          </cell>
          <cell r="D6535">
            <v>0</v>
          </cell>
          <cell r="E6535" t="e">
            <v>#VALUE!</v>
          </cell>
          <cell r="F6535">
            <v>0</v>
          </cell>
        </row>
        <row r="6536">
          <cell r="A6536" t="str">
            <v>S400EB7D</v>
          </cell>
          <cell r="B6536">
            <v>0.15082099274413227</v>
          </cell>
          <cell r="C6536">
            <v>0</v>
          </cell>
          <cell r="D6536">
            <v>0</v>
          </cell>
          <cell r="E6536" t="e">
            <v>#VALUE!</v>
          </cell>
          <cell r="F6536">
            <v>0</v>
          </cell>
        </row>
        <row r="6537">
          <cell r="A6537" t="str">
            <v>S400MXPD</v>
          </cell>
          <cell r="B6537">
            <v>4.8089454690479249E-3</v>
          </cell>
          <cell r="C6537">
            <v>0</v>
          </cell>
          <cell r="D6537">
            <v>0</v>
          </cell>
          <cell r="E6537" t="e">
            <v>#VALUE!</v>
          </cell>
          <cell r="F6537">
            <v>0</v>
          </cell>
        </row>
        <row r="6538">
          <cell r="A6538" t="str">
            <v>S400M3TD</v>
          </cell>
          <cell r="B6538">
            <v>1.1368768267435569</v>
          </cell>
          <cell r="C6538">
            <v>0</v>
          </cell>
          <cell r="D6538">
            <v>0</v>
          </cell>
          <cell r="E6538" t="e">
            <v>#VALUE!</v>
          </cell>
          <cell r="F6538">
            <v>0</v>
          </cell>
        </row>
        <row r="6539">
          <cell r="A6539" t="str">
            <v>S500PX4D</v>
          </cell>
          <cell r="B6539">
            <v>0.1160861585442334</v>
          </cell>
          <cell r="C6539">
            <v>0</v>
          </cell>
          <cell r="D6539">
            <v>0</v>
          </cell>
          <cell r="E6539" t="e">
            <v>#VALUE!</v>
          </cell>
          <cell r="F6539">
            <v>0</v>
          </cell>
        </row>
        <row r="6540">
          <cell r="A6540" t="str">
            <v>S500OX4D</v>
          </cell>
          <cell r="B6540">
            <v>4.0350803863002009E-3</v>
          </cell>
          <cell r="C6540">
            <v>0</v>
          </cell>
          <cell r="D6540">
            <v>0</v>
          </cell>
          <cell r="E6540" t="e">
            <v>#VALUE!</v>
          </cell>
          <cell r="F6540">
            <v>-11.924216147644879</v>
          </cell>
        </row>
        <row r="6541">
          <cell r="A6541" t="str">
            <v>S500MX4D</v>
          </cell>
          <cell r="B6541">
            <v>0.61242005678072364</v>
          </cell>
          <cell r="C6541">
            <v>0</v>
          </cell>
          <cell r="D6541">
            <v>0</v>
          </cell>
          <cell r="E6541" t="e">
            <v>#VALUE!</v>
          </cell>
          <cell r="F6541">
            <v>0</v>
          </cell>
        </row>
        <row r="6542">
          <cell r="A6542" t="str">
            <v>S500EB4D</v>
          </cell>
          <cell r="B6542">
            <v>0.15082099274413227</v>
          </cell>
          <cell r="C6542">
            <v>0</v>
          </cell>
          <cell r="D6542">
            <v>0</v>
          </cell>
          <cell r="E6542" t="e">
            <v>#VALUE!</v>
          </cell>
          <cell r="F6542">
            <v>0</v>
          </cell>
        </row>
        <row r="6543">
          <cell r="A6543" t="str">
            <v>S500M3TD</v>
          </cell>
          <cell r="B6543">
            <v>1.0220240792183026</v>
          </cell>
          <cell r="C6543">
            <v>0</v>
          </cell>
          <cell r="D6543">
            <v>0</v>
          </cell>
          <cell r="E6543" t="e">
            <v>#VALUE!</v>
          </cell>
          <cell r="F6543">
            <v>0</v>
          </cell>
        </row>
        <row r="6544">
          <cell r="A6544" t="str">
            <v>S300TOLD</v>
          </cell>
          <cell r="B6544">
            <v>0.20712963865227896</v>
          </cell>
          <cell r="C6544">
            <v>0</v>
          </cell>
          <cell r="D6544">
            <v>0</v>
          </cell>
          <cell r="E6544" t="e">
            <v>#VALUE!</v>
          </cell>
          <cell r="F6544">
            <v>0</v>
          </cell>
        </row>
        <row r="6545">
          <cell r="A6545" t="str">
            <v>S300ARPD</v>
          </cell>
          <cell r="B6545">
            <v>2.9911411100079954E-3</v>
          </cell>
          <cell r="C6545">
            <v>0</v>
          </cell>
          <cell r="D6545">
            <v>0</v>
          </cell>
          <cell r="E6545" t="e">
            <v>#VALUE!</v>
          </cell>
          <cell r="F6545">
            <v>0</v>
          </cell>
        </row>
        <row r="6546">
          <cell r="A6546" t="str">
            <v>S300M3TD</v>
          </cell>
          <cell r="B6546">
            <v>0.2375880483895132</v>
          </cell>
          <cell r="C6546">
            <v>0</v>
          </cell>
          <cell r="D6546">
            <v>0</v>
          </cell>
          <cell r="E6546" t="e">
            <v>#VALUE!</v>
          </cell>
          <cell r="F6546">
            <v>0</v>
          </cell>
        </row>
        <row r="6547">
          <cell r="A6547" t="str">
            <v>S300M3AD</v>
          </cell>
          <cell r="B6547">
            <v>3.4029015563173245E-3</v>
          </cell>
          <cell r="C6547">
            <v>0</v>
          </cell>
          <cell r="D6547">
            <v>0</v>
          </cell>
          <cell r="E6547" t="e">
            <v>#VALUE!</v>
          </cell>
          <cell r="F6547">
            <v>-2.9001880279959065</v>
          </cell>
        </row>
        <row r="6548">
          <cell r="A6548" t="str">
            <v>S600H32D</v>
          </cell>
          <cell r="B6548">
            <v>0.25101129282010742</v>
          </cell>
          <cell r="C6548">
            <v>0</v>
          </cell>
          <cell r="D6548">
            <v>0</v>
          </cell>
          <cell r="E6548" t="e">
            <v>#VALUE!</v>
          </cell>
          <cell r="F6548">
            <v>0</v>
          </cell>
        </row>
        <row r="6549">
          <cell r="A6549" t="str">
            <v>S800H2RD</v>
          </cell>
          <cell r="B6549">
            <v>3.2922948478427652E-2</v>
          </cell>
          <cell r="C6549">
            <v>0</v>
          </cell>
          <cell r="D6549">
            <v>0</v>
          </cell>
          <cell r="E6549" t="e">
            <v>#VALUE!</v>
          </cell>
          <cell r="F6549">
            <v>0</v>
          </cell>
        </row>
        <row r="6550">
          <cell r="A6550" t="str">
            <v>SH2RH21D</v>
          </cell>
          <cell r="B6550">
            <v>1.1647561565041542E-2</v>
          </cell>
          <cell r="C6550">
            <v>0</v>
          </cell>
          <cell r="D6550">
            <v>0</v>
          </cell>
          <cell r="E6550" t="e">
            <v>#VALUE!</v>
          </cell>
          <cell r="F6550">
            <v>0</v>
          </cell>
        </row>
        <row r="6551">
          <cell r="A6551" t="str">
            <v>SH2RH31D</v>
          </cell>
          <cell r="B6551">
            <v>2.6805990595651203E-3</v>
          </cell>
          <cell r="C6551">
            <v>0</v>
          </cell>
          <cell r="D6551">
            <v>0</v>
          </cell>
          <cell r="E6551" t="e">
            <v>#VALUE!</v>
          </cell>
          <cell r="F6551">
            <v>0</v>
          </cell>
        </row>
        <row r="6552">
          <cell r="A6552" t="str">
            <v>SH2RH22D</v>
          </cell>
          <cell r="B6552">
            <v>2.8711968063287538E-4</v>
          </cell>
          <cell r="C6552">
            <v>0</v>
          </cell>
          <cell r="D6552">
            <v>0</v>
          </cell>
          <cell r="E6552" t="e">
            <v>#VALUE!</v>
          </cell>
          <cell r="F6552">
            <v>0</v>
          </cell>
        </row>
        <row r="6553">
          <cell r="A6553" t="str">
            <v>SH2RFLPD</v>
          </cell>
          <cell r="B6553">
            <v>9.7435199515256161E-3</v>
          </cell>
          <cell r="C6553">
            <v>0</v>
          </cell>
          <cell r="D6553">
            <v>0</v>
          </cell>
          <cell r="E6553" t="e">
            <v>#VALUE!</v>
          </cell>
          <cell r="F6553">
            <v>0</v>
          </cell>
        </row>
        <row r="6554">
          <cell r="A6554" t="str">
            <v>SH2RH2RD</v>
          </cell>
          <cell r="B6554">
            <v>2.4358800574116511E-2</v>
          </cell>
          <cell r="C6554">
            <v>0</v>
          </cell>
          <cell r="D6554">
            <v>0</v>
          </cell>
          <cell r="E6554" t="e">
            <v>#VALUE!</v>
          </cell>
          <cell r="F6554">
            <v>0</v>
          </cell>
        </row>
        <row r="6555">
          <cell r="A6555" t="str">
            <v>SH2RCCCD</v>
          </cell>
          <cell r="B6555">
            <v>130.87199401855469</v>
          </cell>
          <cell r="C6555">
            <v>0</v>
          </cell>
          <cell r="D6555">
            <v>0</v>
          </cell>
          <cell r="E6555" t="e">
            <v>#VALUE!</v>
          </cell>
          <cell r="F6555">
            <v>0</v>
          </cell>
        </row>
        <row r="6556">
          <cell r="A6556" t="str">
            <v>SH2RDDDD</v>
          </cell>
          <cell r="B6556">
            <v>3.2260766643367402</v>
          </cell>
          <cell r="C6556">
            <v>0</v>
          </cell>
          <cell r="D6556">
            <v>0</v>
          </cell>
          <cell r="E6556" t="e">
            <v>#VALUE!</v>
          </cell>
          <cell r="F6556">
            <v>0</v>
          </cell>
        </row>
        <row r="6557">
          <cell r="A6557" t="str">
            <v>SH2REEED</v>
          </cell>
          <cell r="B6557">
            <v>173.67701867508561</v>
          </cell>
          <cell r="C6557">
            <v>0</v>
          </cell>
          <cell r="D6557">
            <v>0</v>
          </cell>
          <cell r="E6557" t="e">
            <v>#VALUE!</v>
          </cell>
          <cell r="F6557">
            <v>0</v>
          </cell>
        </row>
        <row r="6558">
          <cell r="A6558" t="str">
            <v>S130PESD</v>
          </cell>
          <cell r="B6558">
            <v>5.5890399962663651E-2</v>
          </cell>
          <cell r="C6558">
            <v>0</v>
          </cell>
          <cell r="D6558">
            <v>0</v>
          </cell>
          <cell r="E6558" t="e">
            <v>#VALUE!</v>
          </cell>
          <cell r="F6558">
            <v>0</v>
          </cell>
        </row>
        <row r="6559">
          <cell r="A6559" t="str">
            <v>S130M3TD</v>
          </cell>
          <cell r="B6559">
            <v>7.211650162935257E-2</v>
          </cell>
          <cell r="C6559">
            <v>0</v>
          </cell>
          <cell r="D6559">
            <v>0</v>
          </cell>
          <cell r="E6559" t="e">
            <v>#VALUE!</v>
          </cell>
          <cell r="F6559">
            <v>0</v>
          </cell>
        </row>
        <row r="6560">
          <cell r="A6560" t="str">
            <v>S140OPND</v>
          </cell>
          <cell r="B6560">
            <v>0.20878210663795471</v>
          </cell>
          <cell r="C6560">
            <v>0</v>
          </cell>
          <cell r="D6560">
            <v>0</v>
          </cell>
          <cell r="E6560" t="e">
            <v>#VALUE!</v>
          </cell>
          <cell r="F6560">
            <v>0</v>
          </cell>
        </row>
        <row r="6561">
          <cell r="A6561" t="str">
            <v>S140OPCD</v>
          </cell>
          <cell r="B6561">
            <v>0.24378228163065976</v>
          </cell>
          <cell r="C6561">
            <v>0</v>
          </cell>
          <cell r="D6561">
            <v>0</v>
          </cell>
          <cell r="E6561" t="e">
            <v>#VALUE!</v>
          </cell>
          <cell r="F6561">
            <v>0</v>
          </cell>
        </row>
        <row r="6562">
          <cell r="A6562" t="str">
            <v>S140OPFD</v>
          </cell>
          <cell r="B6562">
            <v>0</v>
          </cell>
          <cell r="C6562">
            <v>0</v>
          </cell>
          <cell r="D6562">
            <v>0</v>
          </cell>
          <cell r="E6562" t="e">
            <v>#VALUE!</v>
          </cell>
          <cell r="F6562">
            <v>-105.93287658691406</v>
          </cell>
        </row>
        <row r="6563">
          <cell r="A6563" t="str">
            <v>SSEPOPLD</v>
          </cell>
          <cell r="B6563">
            <v>0</v>
          </cell>
          <cell r="C6563">
            <v>0</v>
          </cell>
          <cell r="D6563">
            <v>0</v>
          </cell>
          <cell r="E6563" t="e">
            <v>#VALUE!</v>
          </cell>
          <cell r="F6563">
            <v>-21.254712943508199</v>
          </cell>
        </row>
        <row r="6564">
          <cell r="A6564" t="str">
            <v>SSEPOPPD</v>
          </cell>
          <cell r="B6564">
            <v>7.7433526515960693E-2</v>
          </cell>
          <cell r="C6564">
            <v>0</v>
          </cell>
          <cell r="D6564">
            <v>0</v>
          </cell>
          <cell r="E6564" t="e">
            <v>#VALUE!</v>
          </cell>
          <cell r="F6564">
            <v>0</v>
          </cell>
        </row>
        <row r="6565">
          <cell r="A6565" t="str">
            <v>S220VTAD</v>
          </cell>
          <cell r="B6565">
            <v>2.7397289872169495E-2</v>
          </cell>
          <cell r="C6565">
            <v>0</v>
          </cell>
          <cell r="D6565">
            <v>0</v>
          </cell>
          <cell r="E6565" t="e">
            <v>#VALUE!</v>
          </cell>
          <cell r="F6565">
            <v>0</v>
          </cell>
        </row>
        <row r="6566">
          <cell r="A6566" t="str">
            <v>S220I4BD</v>
          </cell>
          <cell r="B6566">
            <v>0.15341444399258861</v>
          </cell>
          <cell r="C6566">
            <v>0</v>
          </cell>
          <cell r="D6566">
            <v>0</v>
          </cell>
          <cell r="E6566" t="e">
            <v>#VALUE!</v>
          </cell>
          <cell r="F6566">
            <v>0</v>
          </cell>
        </row>
        <row r="6567">
          <cell r="A6567" t="str">
            <v>S230NC4D</v>
          </cell>
          <cell r="B6567">
            <v>6.2469140164656184E-2</v>
          </cell>
          <cell r="C6567">
            <v>0</v>
          </cell>
          <cell r="D6567">
            <v>0</v>
          </cell>
          <cell r="E6567" t="e">
            <v>#VALUE!</v>
          </cell>
          <cell r="F6567">
            <v>0</v>
          </cell>
        </row>
        <row r="6568">
          <cell r="A6568" t="str">
            <v>S2304=1D</v>
          </cell>
          <cell r="B6568">
            <v>4.0913963532202863E-2</v>
          </cell>
          <cell r="C6568">
            <v>0</v>
          </cell>
          <cell r="D6568">
            <v>0</v>
          </cell>
          <cell r="E6568" t="e">
            <v>#VALUE!</v>
          </cell>
          <cell r="F6568">
            <v>0</v>
          </cell>
        </row>
        <row r="6569">
          <cell r="A6569" t="str">
            <v>S2304=2D</v>
          </cell>
          <cell r="B6569">
            <v>9.6616896497060178E-2</v>
          </cell>
          <cell r="C6569">
            <v>0</v>
          </cell>
          <cell r="D6569">
            <v>0</v>
          </cell>
          <cell r="E6569" t="e">
            <v>#VALUE!</v>
          </cell>
          <cell r="F6569">
            <v>0</v>
          </cell>
        </row>
        <row r="6570">
          <cell r="A6570" t="str">
            <v>S240HR1D</v>
          </cell>
          <cell r="B6570">
            <v>2.4279949946762764E-2</v>
          </cell>
          <cell r="C6570">
            <v>0</v>
          </cell>
          <cell r="D6570">
            <v>0</v>
          </cell>
          <cell r="E6570" t="e">
            <v>#VALUE!</v>
          </cell>
          <cell r="F6570">
            <v>0</v>
          </cell>
        </row>
        <row r="6571">
          <cell r="A6571" t="str">
            <v>S250OCTD</v>
          </cell>
          <cell r="B6571">
            <v>3.9999999105930328E-2</v>
          </cell>
          <cell r="C6571">
            <v>0</v>
          </cell>
          <cell r="D6571">
            <v>0</v>
          </cell>
          <cell r="E6571" t="e">
            <v>#VALUE!</v>
          </cell>
          <cell r="F6571">
            <v>0</v>
          </cell>
        </row>
        <row r="6572">
          <cell r="A6572" t="str">
            <v>S250NOND</v>
          </cell>
          <cell r="B6572">
            <v>0</v>
          </cell>
          <cell r="C6572">
            <v>0</v>
          </cell>
          <cell r="D6572">
            <v>0</v>
          </cell>
          <cell r="E6572" t="e">
            <v>#VALUE!</v>
          </cell>
          <cell r="F6572">
            <v>-36.694953918457031</v>
          </cell>
        </row>
        <row r="6573">
          <cell r="A6573" t="str">
            <v>S250DODD</v>
          </cell>
          <cell r="B6573">
            <v>0</v>
          </cell>
          <cell r="C6573">
            <v>0</v>
          </cell>
          <cell r="D6573">
            <v>0</v>
          </cell>
          <cell r="E6573" t="e">
            <v>#VALUE!</v>
          </cell>
          <cell r="F6573">
            <v>-467.44772338867188</v>
          </cell>
        </row>
        <row r="6574">
          <cell r="A6574" t="str">
            <v>S260REFD</v>
          </cell>
          <cell r="B6574">
            <v>9.8287751898169518E-3</v>
          </cell>
          <cell r="C6574">
            <v>0</v>
          </cell>
          <cell r="D6574">
            <v>0</v>
          </cell>
          <cell r="E6574" t="e">
            <v>#VALUE!</v>
          </cell>
          <cell r="F6574">
            <v>0</v>
          </cell>
        </row>
        <row r="6575">
          <cell r="A6575" t="str">
            <v>SPFSFLGD</v>
          </cell>
          <cell r="B6575">
            <v>0.27590419535767541</v>
          </cell>
          <cell r="C6575">
            <v>0</v>
          </cell>
          <cell r="D6575">
            <v>0</v>
          </cell>
          <cell r="E6575" t="e">
            <v>#VALUE!</v>
          </cell>
          <cell r="F6575">
            <v>0</v>
          </cell>
        </row>
        <row r="6576">
          <cell r="A6576" t="str">
            <v>SPFSFOID</v>
          </cell>
          <cell r="B6576">
            <v>4.1528032332250518E-2</v>
          </cell>
          <cell r="C6576">
            <v>0</v>
          </cell>
          <cell r="D6576">
            <v>0</v>
          </cell>
          <cell r="E6576" t="e">
            <v>#VALUE!</v>
          </cell>
          <cell r="F6576">
            <v>0</v>
          </cell>
        </row>
        <row r="6577">
          <cell r="A6577" t="str">
            <v>SPFSALPD</v>
          </cell>
          <cell r="B6577">
            <v>0</v>
          </cell>
          <cell r="C6577">
            <v>0</v>
          </cell>
          <cell r="D6577">
            <v>0</v>
          </cell>
          <cell r="E6577" t="e">
            <v>#VALUE!</v>
          </cell>
          <cell r="F6577">
            <v>-280.56516924296341</v>
          </cell>
        </row>
        <row r="6578">
          <cell r="A6578" t="str">
            <v>SPFSGN5D</v>
          </cell>
          <cell r="B6578">
            <v>0.25170982455554075</v>
          </cell>
          <cell r="C6578">
            <v>0</v>
          </cell>
          <cell r="D6578">
            <v>0</v>
          </cell>
          <cell r="E6578" t="e">
            <v>#VALUE!</v>
          </cell>
          <cell r="F6578">
            <v>0</v>
          </cell>
        </row>
        <row r="6579">
          <cell r="A6579" t="str">
            <v>SPFSGSID</v>
          </cell>
          <cell r="B6579">
            <v>1.8066710274513453E-2</v>
          </cell>
          <cell r="C6579">
            <v>0</v>
          </cell>
          <cell r="D6579">
            <v>0</v>
          </cell>
          <cell r="E6579" t="e">
            <v>#VALUE!</v>
          </cell>
          <cell r="F6579">
            <v>0</v>
          </cell>
        </row>
        <row r="6580">
          <cell r="A6580" t="str">
            <v>SPFSOXGD</v>
          </cell>
          <cell r="B6580">
            <v>1.1746335118906956E-2</v>
          </cell>
          <cell r="C6580">
            <v>0</v>
          </cell>
          <cell r="D6580">
            <v>0</v>
          </cell>
          <cell r="E6580" t="e">
            <v>#VALUE!</v>
          </cell>
          <cell r="F6580">
            <v>0</v>
          </cell>
        </row>
        <row r="6581">
          <cell r="A6581" t="str">
            <v>SPFSH21D</v>
          </cell>
          <cell r="B6581">
            <v>5.604366105917382E-3</v>
          </cell>
          <cell r="C6581">
            <v>0</v>
          </cell>
          <cell r="D6581">
            <v>0</v>
          </cell>
          <cell r="E6581" t="e">
            <v>#VALUE!</v>
          </cell>
          <cell r="F6581">
            <v>0</v>
          </cell>
        </row>
        <row r="6582">
          <cell r="A6582" t="str">
            <v>SPFSLEND</v>
          </cell>
          <cell r="B6582">
            <v>6.7879999987781048E-3</v>
          </cell>
          <cell r="C6582">
            <v>0</v>
          </cell>
          <cell r="D6582">
            <v>0</v>
          </cell>
          <cell r="E6582" t="e">
            <v>#VALUE!</v>
          </cell>
          <cell r="F6582">
            <v>0</v>
          </cell>
        </row>
        <row r="6583">
          <cell r="A6583" t="str">
            <v>SPFSTARD</v>
          </cell>
          <cell r="B6583">
            <v>0</v>
          </cell>
          <cell r="C6583">
            <v>0</v>
          </cell>
          <cell r="D6583">
            <v>0</v>
          </cell>
          <cell r="E6583" t="e">
            <v>#VALUE!</v>
          </cell>
          <cell r="F6583">
            <v>-296.01000132103491</v>
          </cell>
        </row>
        <row r="6584">
          <cell r="A6584" t="str">
            <v>SPFSNC2D</v>
          </cell>
          <cell r="B6584">
            <v>3.0773743119550077E-2</v>
          </cell>
          <cell r="C6584">
            <v>0</v>
          </cell>
          <cell r="D6584">
            <v>0</v>
          </cell>
          <cell r="E6584" t="e">
            <v>#VALUE!</v>
          </cell>
          <cell r="F6584">
            <v>0</v>
          </cell>
        </row>
        <row r="6585">
          <cell r="A6585" t="str">
            <v>SPERFLPD</v>
          </cell>
          <cell r="B6585">
            <v>0</v>
          </cell>
          <cell r="C6585">
            <v>0</v>
          </cell>
          <cell r="D6585">
            <v>0</v>
          </cell>
          <cell r="E6585" t="e">
            <v>#VALUE!</v>
          </cell>
          <cell r="F6585">
            <v>-66.220794677734375</v>
          </cell>
        </row>
        <row r="6586">
          <cell r="A6586" t="str">
            <v>SPERH21D</v>
          </cell>
          <cell r="B6586">
            <v>0</v>
          </cell>
          <cell r="C6586">
            <v>0</v>
          </cell>
          <cell r="D6586">
            <v>0</v>
          </cell>
          <cell r="E6586" t="e">
            <v>#VALUE!</v>
          </cell>
          <cell r="F6586">
            <v>-151.73025512695313</v>
          </cell>
        </row>
        <row r="6587">
          <cell r="A6587" t="str">
            <v>SUTLSTMD</v>
          </cell>
          <cell r="B6587">
            <v>2.7224099609949817</v>
          </cell>
          <cell r="C6587">
            <v>0</v>
          </cell>
          <cell r="D6587">
            <v>0</v>
          </cell>
          <cell r="E6587" t="e">
            <v>#VALUE!</v>
          </cell>
          <cell r="F6587">
            <v>0</v>
          </cell>
        </row>
        <row r="6588">
          <cell r="A6588" t="str">
            <v>SUTLEDLD</v>
          </cell>
          <cell r="B6588">
            <v>245.54046706108198</v>
          </cell>
          <cell r="C6588">
            <v>0</v>
          </cell>
          <cell r="D6588">
            <v>0</v>
          </cell>
          <cell r="E6588" t="e">
            <v>#VALUE!</v>
          </cell>
          <cell r="F6588">
            <v>0</v>
          </cell>
        </row>
        <row r="6589">
          <cell r="A6589" t="str">
            <v>SUTLTGRD</v>
          </cell>
          <cell r="B6589">
            <v>205.19999694824219</v>
          </cell>
          <cell r="C6589">
            <v>0</v>
          </cell>
          <cell r="D6589">
            <v>0</v>
          </cell>
          <cell r="E6589" t="e">
            <v>#VALUE!</v>
          </cell>
          <cell r="F6589">
            <v>0</v>
          </cell>
        </row>
        <row r="6590">
          <cell r="A6590" t="str">
            <v>SH2BH31D</v>
          </cell>
          <cell r="B6590">
            <v>1.9083114876730801E-3</v>
          </cell>
          <cell r="C6590">
            <v>0</v>
          </cell>
          <cell r="D6590">
            <v>0</v>
          </cell>
          <cell r="E6590" t="e">
            <v>#VALUE!</v>
          </cell>
          <cell r="F6590">
            <v>-2.865531252161281E-14</v>
          </cell>
        </row>
        <row r="6591">
          <cell r="A6591" t="str">
            <v>SH2BH22D</v>
          </cell>
          <cell r="B6591">
            <v>2.9635829845928167E-2</v>
          </cell>
          <cell r="C6591">
            <v>0</v>
          </cell>
          <cell r="D6591">
            <v>0</v>
          </cell>
          <cell r="E6591" t="e">
            <v>#VALUE!</v>
          </cell>
          <cell r="F6591">
            <v>0</v>
          </cell>
        </row>
        <row r="6592">
          <cell r="A6592" t="str">
            <v>SMLCMA1D</v>
          </cell>
          <cell r="B6592">
            <v>1.6921709534035972E-2</v>
          </cell>
          <cell r="C6592">
            <v>0</v>
          </cell>
          <cell r="D6592">
            <v>0</v>
          </cell>
          <cell r="E6592" t="e">
            <v>#VALUE!</v>
          </cell>
          <cell r="F6592">
            <v>0</v>
          </cell>
        </row>
        <row r="6593">
          <cell r="A6593" t="str">
            <v>SMLCMA2D</v>
          </cell>
          <cell r="B6593">
            <v>6.0341004027079231E-3</v>
          </cell>
          <cell r="C6593">
            <v>0</v>
          </cell>
          <cell r="D6593">
            <v>0</v>
          </cell>
          <cell r="E6593" t="e">
            <v>#VALUE!</v>
          </cell>
          <cell r="F6593">
            <v>0</v>
          </cell>
        </row>
        <row r="6594">
          <cell r="A6594" t="str">
            <v>SMLCLPMD</v>
          </cell>
          <cell r="B6594">
            <v>2.2955809936743891E-2</v>
          </cell>
          <cell r="C6594">
            <v>0</v>
          </cell>
          <cell r="D6594">
            <v>0</v>
          </cell>
          <cell r="E6594" t="e">
            <v>#VALUE!</v>
          </cell>
          <cell r="F6594">
            <v>0</v>
          </cell>
        </row>
        <row r="6595">
          <cell r="A6595" t="str">
            <v>SNC5NC5D</v>
          </cell>
          <cell r="B6595">
            <v>3.1640689820051193E-2</v>
          </cell>
          <cell r="C6595">
            <v>0</v>
          </cell>
          <cell r="D6595">
            <v>0</v>
          </cell>
          <cell r="E6595" t="e">
            <v>#VALUE!</v>
          </cell>
          <cell r="F6595">
            <v>0</v>
          </cell>
        </row>
        <row r="6596">
          <cell r="A6596" t="str">
            <v>SHIDLKFD</v>
          </cell>
          <cell r="B6596">
            <v>0.96422390121303192</v>
          </cell>
          <cell r="C6596">
            <v>0</v>
          </cell>
          <cell r="D6596">
            <v>0</v>
          </cell>
          <cell r="E6596" t="e">
            <v>#VALUE!</v>
          </cell>
          <cell r="F6596">
            <v>0</v>
          </cell>
        </row>
        <row r="6597">
          <cell r="A6597" t="str">
            <v>SHIDLKCD</v>
          </cell>
          <cell r="B6597">
            <v>0.54980046406184158</v>
          </cell>
          <cell r="C6597">
            <v>0</v>
          </cell>
          <cell r="D6597">
            <v>0</v>
          </cell>
          <cell r="E6597" t="e">
            <v>#VALUE!</v>
          </cell>
          <cell r="F6597">
            <v>0</v>
          </cell>
        </row>
        <row r="6598">
          <cell r="A6598" t="str">
            <v>SHIDBPTD</v>
          </cell>
          <cell r="B6598">
            <v>0.43984036976343965</v>
          </cell>
          <cell r="C6598">
            <v>0</v>
          </cell>
          <cell r="D6598">
            <v>0</v>
          </cell>
          <cell r="E6598" t="e">
            <v>#VALUE!</v>
          </cell>
          <cell r="F6598">
            <v>0</v>
          </cell>
        </row>
        <row r="6599">
          <cell r="A6599" t="str">
            <v>SHIDBP1D</v>
          </cell>
          <cell r="B6599">
            <v>1.1836828829490975</v>
          </cell>
          <cell r="C6599">
            <v>0</v>
          </cell>
          <cell r="D6599">
            <v>0</v>
          </cell>
          <cell r="E6599" t="e">
            <v>#VALUE!</v>
          </cell>
          <cell r="F6599">
            <v>0</v>
          </cell>
        </row>
        <row r="6600">
          <cell r="A6600" t="str">
            <v>SMOLKHDD</v>
          </cell>
          <cell r="B6600">
            <v>0.54980046406184158</v>
          </cell>
          <cell r="C6600">
            <v>0</v>
          </cell>
          <cell r="D6600">
            <v>0</v>
          </cell>
          <cell r="E6600" t="e">
            <v>#VALUE!</v>
          </cell>
          <cell r="F6600">
            <v>0</v>
          </cell>
        </row>
        <row r="6601">
          <cell r="A6601" t="str">
            <v>SMOLBPTD</v>
          </cell>
          <cell r="B6601">
            <v>0.68434214363359425</v>
          </cell>
          <cell r="C6601">
            <v>0</v>
          </cell>
          <cell r="D6601">
            <v>0</v>
          </cell>
          <cell r="E6601" t="e">
            <v>#VALUE!</v>
          </cell>
          <cell r="F6601">
            <v>0</v>
          </cell>
        </row>
        <row r="6602">
          <cell r="A6602" t="str">
            <v>SPACNPRD</v>
          </cell>
          <cell r="B6602">
            <v>0.10996009244085991</v>
          </cell>
          <cell r="C6602">
            <v>0</v>
          </cell>
          <cell r="D6602">
            <v>0</v>
          </cell>
          <cell r="E6602" t="e">
            <v>#VALUE!</v>
          </cell>
          <cell r="F6602">
            <v>0</v>
          </cell>
        </row>
        <row r="6603">
          <cell r="A6603" t="str">
            <v>SPACBPTD</v>
          </cell>
          <cell r="B6603">
            <v>0.14602920306872016</v>
          </cell>
          <cell r="C6603">
            <v>0</v>
          </cell>
          <cell r="D6603">
            <v>0</v>
          </cell>
          <cell r="E6603" t="e">
            <v>#VALUE!</v>
          </cell>
          <cell r="F6603">
            <v>0</v>
          </cell>
        </row>
        <row r="6604">
          <cell r="A6604" t="str">
            <v>SLASLSID</v>
          </cell>
          <cell r="B6604">
            <v>6.3722675650903629E-2</v>
          </cell>
          <cell r="C6604">
            <v>0</v>
          </cell>
          <cell r="D6604">
            <v>0</v>
          </cell>
          <cell r="E6604" t="e">
            <v>#VALUE!</v>
          </cell>
          <cell r="F6604">
            <v>0</v>
          </cell>
        </row>
        <row r="6605">
          <cell r="A6605" t="str">
            <v>SBTII4=D</v>
          </cell>
          <cell r="B6605">
            <v>4.1534897093087027E-4</v>
          </cell>
          <cell r="C6605">
            <v>0</v>
          </cell>
          <cell r="D6605">
            <v>0</v>
          </cell>
          <cell r="E6605" t="e">
            <v>#VALUE!</v>
          </cell>
          <cell r="F6605">
            <v>0</v>
          </cell>
        </row>
        <row r="6606">
          <cell r="A6606" t="str">
            <v>SBTI4=1D</v>
          </cell>
          <cell r="B6606">
            <v>6.8311255272120647E-2</v>
          </cell>
          <cell r="C6606">
            <v>0</v>
          </cell>
          <cell r="D6606">
            <v>0</v>
          </cell>
          <cell r="E6606" t="e">
            <v>#VALUE!</v>
          </cell>
          <cell r="F6606">
            <v>0</v>
          </cell>
        </row>
        <row r="6607">
          <cell r="A6607" t="str">
            <v>SBTI4=2D</v>
          </cell>
          <cell r="B6607">
            <v>9.6616896497060178E-2</v>
          </cell>
          <cell r="C6607">
            <v>0</v>
          </cell>
          <cell r="D6607">
            <v>0</v>
          </cell>
          <cell r="E6607" t="e">
            <v>#VALUE!</v>
          </cell>
          <cell r="F6607">
            <v>0</v>
          </cell>
        </row>
        <row r="6608">
          <cell r="A6608" t="str">
            <v>SBTIIC4D</v>
          </cell>
          <cell r="B6608">
            <v>0.15341444399258861</v>
          </cell>
          <cell r="C6608">
            <v>0</v>
          </cell>
          <cell r="D6608">
            <v>0</v>
          </cell>
          <cell r="E6608" t="e">
            <v>#VALUE!</v>
          </cell>
          <cell r="F6608">
            <v>0</v>
          </cell>
        </row>
        <row r="6609">
          <cell r="A6609" t="str">
            <v>SBTINC4D</v>
          </cell>
          <cell r="B6609">
            <v>0.16815382429998216</v>
          </cell>
          <cell r="C6609">
            <v>0</v>
          </cell>
          <cell r="D6609">
            <v>0</v>
          </cell>
          <cell r="E6609" t="e">
            <v>#VALUE!</v>
          </cell>
          <cell r="F6609">
            <v>0</v>
          </cell>
        </row>
        <row r="6610">
          <cell r="A6610" t="str">
            <v>SBTIB4ID</v>
          </cell>
          <cell r="B6610">
            <v>0.48691175718830054</v>
          </cell>
          <cell r="C6610">
            <v>0</v>
          </cell>
          <cell r="D6610">
            <v>0</v>
          </cell>
          <cell r="E6610" t="e">
            <v>#VALUE!</v>
          </cell>
          <cell r="F6610">
            <v>0</v>
          </cell>
        </row>
        <row r="6611">
          <cell r="A6611" t="str">
            <v>BNLDR+LD</v>
          </cell>
          <cell r="B6611">
            <v>0.20192371974252674</v>
          </cell>
          <cell r="C6611">
            <v>0</v>
          </cell>
          <cell r="D6611">
            <v>0</v>
          </cell>
          <cell r="E6611" t="e">
            <v>#VALUE!</v>
          </cell>
          <cell r="F6611">
            <v>0</v>
          </cell>
        </row>
        <row r="6612">
          <cell r="A6612" t="str">
            <v>EpencolD</v>
          </cell>
          <cell r="B6612">
            <v>0</v>
          </cell>
          <cell r="C6612">
            <v>-1</v>
          </cell>
          <cell r="D6612">
            <v>0</v>
          </cell>
          <cell r="E6612" t="e">
            <v>#VALUE!</v>
          </cell>
          <cell r="F6612">
            <v>0</v>
          </cell>
        </row>
        <row r="6613">
          <cell r="A6613" t="str">
            <v>RSPGNFCD</v>
          </cell>
          <cell r="B6613">
            <v>8.7363540979536018E-4</v>
          </cell>
          <cell r="C6613">
            <v>0</v>
          </cell>
          <cell r="D6613" t="e">
            <v>#VALUE!</v>
          </cell>
          <cell r="E6613" t="e">
            <v>#VALUE!</v>
          </cell>
          <cell r="F6613">
            <v>0</v>
          </cell>
        </row>
        <row r="6614">
          <cell r="A6614" t="str">
            <v>RSPGH2RD</v>
          </cell>
          <cell r="B6614">
            <v>-5.0582309783861357E-6</v>
          </cell>
          <cell r="C6614">
            <v>0</v>
          </cell>
          <cell r="D6614" t="e">
            <v>#VALUE!</v>
          </cell>
          <cell r="E6614" t="e">
            <v>#VALUE!</v>
          </cell>
          <cell r="F6614">
            <v>0</v>
          </cell>
        </row>
        <row r="6615">
          <cell r="A6615" t="str">
            <v>RSPVNFCD</v>
          </cell>
          <cell r="B6615">
            <v>6.0741197300296637E-4</v>
          </cell>
          <cell r="C6615">
            <v>0</v>
          </cell>
          <cell r="D6615" t="e">
            <v>#VALUE!</v>
          </cell>
          <cell r="E6615" t="e">
            <v>#VALUE!</v>
          </cell>
          <cell r="F6615">
            <v>0</v>
          </cell>
        </row>
        <row r="6616">
          <cell r="A6616" t="str">
            <v>RSPVH2RD</v>
          </cell>
          <cell r="B6616">
            <v>-9.7435201135103606E-6</v>
          </cell>
          <cell r="C6616">
            <v>0</v>
          </cell>
          <cell r="D6616" t="e">
            <v>#VALUE!</v>
          </cell>
          <cell r="E6616" t="e">
            <v>#VALUE!</v>
          </cell>
          <cell r="F6616">
            <v>0</v>
          </cell>
        </row>
        <row r="6617">
          <cell r="A6617" t="str">
            <v>RXNLNFCD</v>
          </cell>
          <cell r="B6617">
            <v>1.6159563054879235E-2</v>
          </cell>
          <cell r="C6617">
            <v>0</v>
          </cell>
          <cell r="D6617" t="e">
            <v>#VALUE!</v>
          </cell>
          <cell r="E6617" t="e">
            <v>#VALUE!</v>
          </cell>
          <cell r="F6617">
            <v>0</v>
          </cell>
        </row>
        <row r="6618">
          <cell r="A6618" t="str">
            <v>RXNPNFCD</v>
          </cell>
          <cell r="B6618">
            <v>-6.9446444984251152E-3</v>
          </cell>
          <cell r="C6618">
            <v>0</v>
          </cell>
          <cell r="D6618" t="e">
            <v>#VALUE!</v>
          </cell>
          <cell r="E6618" t="e">
            <v>#VALUE!</v>
          </cell>
          <cell r="F6618">
            <v>0</v>
          </cell>
        </row>
        <row r="6619">
          <cell r="A6619" t="str">
            <v>RNC6NFCD</v>
          </cell>
          <cell r="B6619">
            <v>3.4062214104828665E-3</v>
          </cell>
          <cell r="C6619">
            <v>0</v>
          </cell>
          <cell r="D6619" t="e">
            <v>#VALUE!</v>
          </cell>
          <cell r="E6619" t="e">
            <v>#VALUE!</v>
          </cell>
          <cell r="F6619">
            <v>0</v>
          </cell>
        </row>
        <row r="6620">
          <cell r="A6620" t="str">
            <v>RNC7NFCD</v>
          </cell>
          <cell r="B6620">
            <v>7.3431656289046745E-3</v>
          </cell>
          <cell r="C6620">
            <v>0</v>
          </cell>
          <cell r="D6620" t="e">
            <v>#VALUE!</v>
          </cell>
          <cell r="E6620" t="e">
            <v>#VALUE!</v>
          </cell>
          <cell r="F6620">
            <v>0</v>
          </cell>
        </row>
        <row r="6621">
          <cell r="A6621" t="str">
            <v>RNC8NFCD</v>
          </cell>
          <cell r="B6621">
            <v>7.6338189220684263E-4</v>
          </cell>
          <cell r="C6621">
            <v>0</v>
          </cell>
          <cell r="D6621" t="e">
            <v>#VALUE!</v>
          </cell>
          <cell r="E6621" t="e">
            <v>#VALUE!</v>
          </cell>
          <cell r="F6621">
            <v>0</v>
          </cell>
        </row>
        <row r="6622">
          <cell r="A6622" t="str">
            <v>RAC6NFCD</v>
          </cell>
          <cell r="B6622">
            <v>2.823787439360972E-4</v>
          </cell>
          <cell r="C6622">
            <v>0</v>
          </cell>
          <cell r="D6622" t="e">
            <v>#VALUE!</v>
          </cell>
          <cell r="E6622" t="e">
            <v>#VALUE!</v>
          </cell>
          <cell r="F6622">
            <v>0</v>
          </cell>
        </row>
        <row r="6623">
          <cell r="A6623" t="str">
            <v>RAC7NFCD</v>
          </cell>
          <cell r="B6623">
            <v>1.0838472475918697E-3</v>
          </cell>
          <cell r="C6623">
            <v>0</v>
          </cell>
          <cell r="D6623" t="e">
            <v>#VALUE!</v>
          </cell>
          <cell r="E6623" t="e">
            <v>#VALUE!</v>
          </cell>
          <cell r="F6623">
            <v>0</v>
          </cell>
        </row>
        <row r="6624">
          <cell r="A6624" t="str">
            <v>RAC8NFCD</v>
          </cell>
          <cell r="B6624">
            <v>-8.2812713954724616E-4</v>
          </cell>
          <cell r="C6624">
            <v>0</v>
          </cell>
          <cell r="D6624" t="e">
            <v>#VALUE!</v>
          </cell>
          <cell r="E6624" t="e">
            <v>#VALUE!</v>
          </cell>
          <cell r="F6624">
            <v>0</v>
          </cell>
        </row>
        <row r="6625">
          <cell r="A6625" t="str">
            <v>RPC7NFCD</v>
          </cell>
          <cell r="B6625">
            <v>5.1900695542540171E-3</v>
          </cell>
          <cell r="C6625">
            <v>0</v>
          </cell>
          <cell r="D6625" t="e">
            <v>#VALUE!</v>
          </cell>
          <cell r="E6625" t="e">
            <v>#VALUE!</v>
          </cell>
          <cell r="F6625">
            <v>0</v>
          </cell>
        </row>
        <row r="6626">
          <cell r="A6626" t="str">
            <v>RPC8NFCD</v>
          </cell>
          <cell r="B6626">
            <v>-1.9593001183039471E-3</v>
          </cell>
          <cell r="C6626">
            <v>0</v>
          </cell>
          <cell r="D6626" t="e">
            <v>#VALUE!</v>
          </cell>
          <cell r="E6626" t="e">
            <v>#VALUE!</v>
          </cell>
          <cell r="F6626">
            <v>0</v>
          </cell>
        </row>
        <row r="6627">
          <cell r="A6627" t="str">
            <v>RNP9NFCD</v>
          </cell>
          <cell r="B6627">
            <v>1.8802051110394867E-4</v>
          </cell>
          <cell r="C6627">
            <v>0</v>
          </cell>
          <cell r="D6627" t="e">
            <v>#VALUE!</v>
          </cell>
          <cell r="E6627" t="e">
            <v>#VALUE!</v>
          </cell>
          <cell r="F6627">
            <v>0</v>
          </cell>
        </row>
        <row r="6628">
          <cell r="A6628" t="str">
            <v>RHIDH2RD</v>
          </cell>
          <cell r="B6628">
            <v>0</v>
          </cell>
          <cell r="C6628">
            <v>0</v>
          </cell>
          <cell r="D6628" t="e">
            <v>#VALUE!</v>
          </cell>
          <cell r="E6628" t="e">
            <v>#VALUE!</v>
          </cell>
          <cell r="F6628">
            <v>0</v>
          </cell>
        </row>
        <row r="6629">
          <cell r="A6629" t="str">
            <v>FBLNNRXE</v>
          </cell>
          <cell r="B6629">
            <v>0</v>
          </cell>
          <cell r="C6629">
            <v>0</v>
          </cell>
          <cell r="D6629">
            <v>0</v>
          </cell>
          <cell r="E6629" t="e">
            <v>#VALUE!</v>
          </cell>
          <cell r="F6629">
            <v>-50.973294077834041</v>
          </cell>
        </row>
        <row r="6630">
          <cell r="A6630" t="str">
            <v>FBLNNQXE</v>
          </cell>
          <cell r="B6630">
            <v>0</v>
          </cell>
          <cell r="C6630">
            <v>0</v>
          </cell>
          <cell r="D6630">
            <v>0</v>
          </cell>
          <cell r="E6630" t="e">
            <v>#VALUE!</v>
          </cell>
          <cell r="F6630">
            <v>-55.772864093519239</v>
          </cell>
        </row>
        <row r="6631">
          <cell r="A6631" t="str">
            <v>FBLNSNXE</v>
          </cell>
          <cell r="B6631">
            <v>0</v>
          </cell>
          <cell r="C6631">
            <v>0</v>
          </cell>
          <cell r="D6631">
            <v>0</v>
          </cell>
          <cell r="E6631" t="e">
            <v>#VALUE!</v>
          </cell>
          <cell r="F6631">
            <v>-30.538687844472388</v>
          </cell>
        </row>
        <row r="6632">
          <cell r="A6632" t="str">
            <v>FBLNSSXE</v>
          </cell>
          <cell r="B6632">
            <v>0</v>
          </cell>
          <cell r="C6632">
            <v>0</v>
          </cell>
          <cell r="D6632">
            <v>0</v>
          </cell>
          <cell r="E6632" t="e">
            <v>#VALUE!</v>
          </cell>
          <cell r="F6632">
            <v>0</v>
          </cell>
        </row>
        <row r="6633">
          <cell r="A6633" t="str">
            <v>FBLNTDXE</v>
          </cell>
          <cell r="B6633">
            <v>0.18999999761581421</v>
          </cell>
          <cell r="C6633">
            <v>0</v>
          </cell>
          <cell r="D6633">
            <v>0</v>
          </cell>
          <cell r="E6633" t="e">
            <v>#VALUE!</v>
          </cell>
          <cell r="F6633">
            <v>0</v>
          </cell>
        </row>
        <row r="6634">
          <cell r="A6634" t="str">
            <v>FBLNCHXE</v>
          </cell>
          <cell r="B6634">
            <v>0.27083647349109391</v>
          </cell>
          <cell r="C6634">
            <v>0</v>
          </cell>
          <cell r="D6634">
            <v>0</v>
          </cell>
          <cell r="E6634" t="e">
            <v>#VALUE!</v>
          </cell>
          <cell r="F6634">
            <v>-4.2262306213378906</v>
          </cell>
        </row>
        <row r="6635">
          <cell r="A6635" t="str">
            <v>FBLNFOXE</v>
          </cell>
          <cell r="B6635">
            <v>9.4999998807907104E-2</v>
          </cell>
          <cell r="C6635">
            <v>0</v>
          </cell>
          <cell r="D6635">
            <v>0</v>
          </cell>
          <cell r="E6635" t="e">
            <v>#VALUE!</v>
          </cell>
          <cell r="F6635">
            <v>0</v>
          </cell>
        </row>
        <row r="6636">
          <cell r="A6636" t="str">
            <v>FBLNPRDE</v>
          </cell>
          <cell r="B6636">
            <v>0</v>
          </cell>
          <cell r="C6636">
            <v>0</v>
          </cell>
          <cell r="D6636">
            <v>0</v>
          </cell>
          <cell r="E6636" t="e">
            <v>#VALUE!</v>
          </cell>
          <cell r="F6636">
            <v>-38.953998565673828</v>
          </cell>
        </row>
        <row r="6637">
          <cell r="A6637" t="str">
            <v>FBLNPGXE</v>
          </cell>
          <cell r="B6637">
            <v>0.12943600118160248</v>
          </cell>
          <cell r="C6637">
            <v>0</v>
          </cell>
          <cell r="D6637" t="e">
            <v>#VALUE!</v>
          </cell>
          <cell r="E6637" t="e">
            <v>#VALUE!</v>
          </cell>
          <cell r="F6637">
            <v>0</v>
          </cell>
        </row>
        <row r="6638">
          <cell r="A6638" t="str">
            <v>FBLNBTDE</v>
          </cell>
          <cell r="B6638">
            <v>0</v>
          </cell>
          <cell r="C6638">
            <v>0</v>
          </cell>
          <cell r="D6638" t="e">
            <v>#VALUE!</v>
          </cell>
          <cell r="E6638" t="e">
            <v>#VALUE!</v>
          </cell>
          <cell r="F6638">
            <v>-204.6510009765625</v>
          </cell>
        </row>
        <row r="6639">
          <cell r="A6639" t="str">
            <v>FBLNBGXE</v>
          </cell>
          <cell r="B6639">
            <v>7.3134399950504303E-2</v>
          </cell>
          <cell r="C6639">
            <v>0</v>
          </cell>
          <cell r="D6639" t="e">
            <v>#VALUE!</v>
          </cell>
          <cell r="E6639" t="e">
            <v>#VALUE!</v>
          </cell>
          <cell r="F6639">
            <v>0</v>
          </cell>
        </row>
        <row r="6640">
          <cell r="A6640" t="str">
            <v>SLOCSCNE</v>
          </cell>
          <cell r="B6640">
            <v>10.082351684570313</v>
          </cell>
          <cell r="C6640">
            <v>0</v>
          </cell>
          <cell r="D6640" t="e">
            <v>#VALUE!</v>
          </cell>
          <cell r="E6640" t="e">
            <v>#VALUE!</v>
          </cell>
          <cell r="F6640">
            <v>0</v>
          </cell>
        </row>
        <row r="6641">
          <cell r="A6641" t="str">
            <v>SLOCSCSE</v>
          </cell>
          <cell r="B6641">
            <v>0</v>
          </cell>
          <cell r="C6641">
            <v>0</v>
          </cell>
          <cell r="D6641" t="e">
            <v>#VALUE!</v>
          </cell>
          <cell r="E6641" t="e">
            <v>#VALUE!</v>
          </cell>
          <cell r="F6641">
            <v>-322.96456909179688</v>
          </cell>
        </row>
        <row r="6642">
          <cell r="A6642" t="str">
            <v>SLOCTDFE</v>
          </cell>
          <cell r="B6642">
            <v>0</v>
          </cell>
          <cell r="C6642">
            <v>0</v>
          </cell>
          <cell r="D6642" t="e">
            <v>#VALUE!</v>
          </cell>
          <cell r="E6642" t="e">
            <v>#VALUE!</v>
          </cell>
          <cell r="F6642">
            <v>-325.85031127929688</v>
          </cell>
        </row>
        <row r="6643">
          <cell r="A6643" t="str">
            <v>SLOCCHUE</v>
          </cell>
          <cell r="B6643">
            <v>4.4046317871302776</v>
          </cell>
          <cell r="C6643">
            <v>0</v>
          </cell>
          <cell r="D6643" t="e">
            <v>#VALUE!</v>
          </cell>
          <cell r="E6643" t="e">
            <v>#VALUE!</v>
          </cell>
          <cell r="F6643">
            <v>0</v>
          </cell>
        </row>
        <row r="6644">
          <cell r="A6644" t="str">
            <v>SLOCSB5E</v>
          </cell>
          <cell r="B6644">
            <v>0</v>
          </cell>
          <cell r="C6644">
            <v>0</v>
          </cell>
          <cell r="D6644" t="e">
            <v>#VALUE!</v>
          </cell>
          <cell r="E6644" t="e">
            <v>#VALUE!</v>
          </cell>
          <cell r="F6644">
            <v>0</v>
          </cell>
        </row>
        <row r="6645">
          <cell r="A6645" t="str">
            <v>SLOCSB4E</v>
          </cell>
          <cell r="B6645">
            <v>0</v>
          </cell>
          <cell r="C6645">
            <v>0</v>
          </cell>
          <cell r="D6645" t="e">
            <v>#VALUE!</v>
          </cell>
          <cell r="E6645" t="e">
            <v>#VALUE!</v>
          </cell>
          <cell r="F6645">
            <v>0</v>
          </cell>
        </row>
        <row r="6646">
          <cell r="A6646" t="str">
            <v>SLOCFORE</v>
          </cell>
          <cell r="B6646">
            <v>0</v>
          </cell>
          <cell r="C6646">
            <v>0</v>
          </cell>
          <cell r="D6646" t="e">
            <v>#VALUE!</v>
          </cell>
          <cell r="E6646" t="e">
            <v>#VALUE!</v>
          </cell>
          <cell r="F6646">
            <v>-478.76641845703125</v>
          </cell>
        </row>
        <row r="6647">
          <cell r="A6647" t="str">
            <v>SLOCNQNE</v>
          </cell>
          <cell r="B6647">
            <v>7.1682312534280017</v>
          </cell>
          <cell r="C6647">
            <v>0</v>
          </cell>
          <cell r="D6647" t="e">
            <v>#VALUE!</v>
          </cell>
          <cell r="E6647" t="e">
            <v>#VALUE!</v>
          </cell>
          <cell r="F6647">
            <v>0</v>
          </cell>
        </row>
        <row r="6648">
          <cell r="A6648" t="str">
            <v>SLOCMLGE</v>
          </cell>
          <cell r="B6648">
            <v>0.4619235098361969</v>
          </cell>
          <cell r="C6648">
            <v>0</v>
          </cell>
          <cell r="D6648" t="e">
            <v>#VALUE!</v>
          </cell>
          <cell r="E6648" t="e">
            <v>#VALUE!</v>
          </cell>
          <cell r="F6648">
            <v>0</v>
          </cell>
        </row>
        <row r="6649">
          <cell r="A6649" t="str">
            <v>SLOCDVDE</v>
          </cell>
          <cell r="B6649">
            <v>1.6859897375106812</v>
          </cell>
          <cell r="C6649">
            <v>0</v>
          </cell>
          <cell r="D6649" t="e">
            <v>#VALUE!</v>
          </cell>
          <cell r="E6649" t="e">
            <v>#VALUE!</v>
          </cell>
          <cell r="F6649">
            <v>0</v>
          </cell>
        </row>
        <row r="6650">
          <cell r="A6650" t="str">
            <v>SLOCTUPE</v>
          </cell>
          <cell r="B6650">
            <v>1.1989599466323853</v>
          </cell>
          <cell r="C6650">
            <v>0</v>
          </cell>
          <cell r="D6650" t="e">
            <v>#VALUE!</v>
          </cell>
          <cell r="E6650" t="e">
            <v>#VALUE!</v>
          </cell>
          <cell r="F6650">
            <v>-0.32229013473611989</v>
          </cell>
        </row>
        <row r="6651">
          <cell r="A6651" t="str">
            <v>SLOCMNNE</v>
          </cell>
          <cell r="B6651">
            <v>3.7351999282836914</v>
          </cell>
          <cell r="C6651">
            <v>0</v>
          </cell>
          <cell r="D6651" t="e">
            <v>#VALUE!</v>
          </cell>
          <cell r="E6651" t="e">
            <v>#VALUE!</v>
          </cell>
          <cell r="F6651">
            <v>0</v>
          </cell>
        </row>
        <row r="6652">
          <cell r="A6652" t="str">
            <v>SLOCCOFE</v>
          </cell>
          <cell r="B6652">
            <v>0</v>
          </cell>
          <cell r="C6652">
            <v>0</v>
          </cell>
          <cell r="D6652" t="e">
            <v>#VALUE!</v>
          </cell>
          <cell r="E6652" t="e">
            <v>#VALUE!</v>
          </cell>
          <cell r="F6652">
            <v>0</v>
          </cell>
        </row>
        <row r="6653">
          <cell r="A6653" t="str">
            <v>SLOCADCE</v>
          </cell>
          <cell r="B6653">
            <v>0.20729279518127441</v>
          </cell>
          <cell r="C6653">
            <v>0</v>
          </cell>
          <cell r="D6653">
            <v>0</v>
          </cell>
          <cell r="E6653" t="e">
            <v>#VALUE!</v>
          </cell>
          <cell r="F6653">
            <v>0</v>
          </cell>
        </row>
        <row r="6654">
          <cell r="A6654" t="str">
            <v>SLOCPANE</v>
          </cell>
          <cell r="B6654">
            <v>0</v>
          </cell>
          <cell r="C6654">
            <v>0</v>
          </cell>
          <cell r="D6654">
            <v>0</v>
          </cell>
          <cell r="E6654" t="e">
            <v>#VALUE!</v>
          </cell>
          <cell r="F6654">
            <v>-359.36448130150364</v>
          </cell>
        </row>
        <row r="6655">
          <cell r="A6655" t="str">
            <v>SLOCNDDE</v>
          </cell>
          <cell r="B6655">
            <v>0.48033899068832397</v>
          </cell>
          <cell r="C6655">
            <v>0</v>
          </cell>
          <cell r="D6655">
            <v>0</v>
          </cell>
          <cell r="E6655" t="e">
            <v>#VALUE!</v>
          </cell>
          <cell r="F6655">
            <v>0</v>
          </cell>
        </row>
        <row r="6656">
          <cell r="A6656" t="str">
            <v>SLOCCHAE</v>
          </cell>
          <cell r="B6656">
            <v>0.47468850016593933</v>
          </cell>
          <cell r="C6656">
            <v>0</v>
          </cell>
          <cell r="D6656">
            <v>0</v>
          </cell>
          <cell r="E6656" t="e">
            <v>#VALUE!</v>
          </cell>
          <cell r="F6656">
            <v>0</v>
          </cell>
        </row>
        <row r="6657">
          <cell r="A6657" t="str">
            <v>SLOCCENE</v>
          </cell>
          <cell r="B6657">
            <v>0.33176219463348389</v>
          </cell>
          <cell r="C6657">
            <v>0</v>
          </cell>
          <cell r="D6657">
            <v>0</v>
          </cell>
          <cell r="E6657" t="e">
            <v>#VALUE!</v>
          </cell>
          <cell r="F6657">
            <v>0</v>
          </cell>
        </row>
        <row r="6658">
          <cell r="A6658" t="str">
            <v>SLOCCLLE</v>
          </cell>
          <cell r="B6658">
            <v>1.1420300006866455</v>
          </cell>
          <cell r="C6658">
            <v>0</v>
          </cell>
          <cell r="D6658">
            <v>0</v>
          </cell>
          <cell r="E6658" t="e">
            <v>#VALUE!</v>
          </cell>
          <cell r="F6658">
            <v>0</v>
          </cell>
        </row>
        <row r="6659">
          <cell r="A6659" t="str">
            <v>SLOCALLE</v>
          </cell>
          <cell r="B6659">
            <v>0</v>
          </cell>
          <cell r="C6659">
            <v>0</v>
          </cell>
          <cell r="D6659">
            <v>0</v>
          </cell>
          <cell r="E6659" t="e">
            <v>#VALUE!</v>
          </cell>
          <cell r="F6659">
            <v>-359.36448130150364</v>
          </cell>
        </row>
        <row r="6660">
          <cell r="A6660" t="str">
            <v>SLOCMEDE</v>
          </cell>
          <cell r="B6660">
            <v>0</v>
          </cell>
          <cell r="C6660">
            <v>0</v>
          </cell>
          <cell r="D6660">
            <v>0</v>
          </cell>
          <cell r="E6660" t="e">
            <v>#VALUE!</v>
          </cell>
          <cell r="F6660">
            <v>-359.36448130150364</v>
          </cell>
        </row>
        <row r="6661">
          <cell r="A6661" t="str">
            <v>SLOCGXXE</v>
          </cell>
          <cell r="B6661">
            <v>0</v>
          </cell>
          <cell r="C6661">
            <v>0</v>
          </cell>
          <cell r="D6661">
            <v>0</v>
          </cell>
          <cell r="E6661" t="e">
            <v>#VALUE!</v>
          </cell>
          <cell r="F6661">
            <v>-359.36448130150364</v>
          </cell>
        </row>
        <row r="6662">
          <cell r="A6662" t="str">
            <v>SLOCPCHE</v>
          </cell>
          <cell r="B6662">
            <v>0.35624799132347107</v>
          </cell>
          <cell r="C6662">
            <v>0</v>
          </cell>
          <cell r="D6662">
            <v>0</v>
          </cell>
          <cell r="E6662" t="e">
            <v>#VALUE!</v>
          </cell>
          <cell r="F6662">
            <v>0</v>
          </cell>
        </row>
        <row r="6663">
          <cell r="A6663" t="str">
            <v>SLOCAGSE</v>
          </cell>
          <cell r="B6663">
            <v>0</v>
          </cell>
          <cell r="C6663">
            <v>0</v>
          </cell>
          <cell r="D6663">
            <v>0</v>
          </cell>
          <cell r="E6663" t="e">
            <v>#VALUE!</v>
          </cell>
          <cell r="F6663">
            <v>-359.36448130150364</v>
          </cell>
        </row>
        <row r="6664">
          <cell r="A6664" t="str">
            <v>SLOCSDDE</v>
          </cell>
          <cell r="B6664">
            <v>0.36553001403808594</v>
          </cell>
          <cell r="C6664">
            <v>0</v>
          </cell>
          <cell r="D6664">
            <v>0</v>
          </cell>
          <cell r="E6664" t="e">
            <v>#VALUE!</v>
          </cell>
          <cell r="F6664">
            <v>0</v>
          </cell>
        </row>
        <row r="6665">
          <cell r="A6665" t="str">
            <v>SLOCLLLE</v>
          </cell>
          <cell r="B6665">
            <v>0.22211000323295593</v>
          </cell>
          <cell r="C6665">
            <v>0</v>
          </cell>
          <cell r="D6665">
            <v>0</v>
          </cell>
          <cell r="E6665" t="e">
            <v>#VALUE!</v>
          </cell>
          <cell r="F6665">
            <v>0</v>
          </cell>
        </row>
        <row r="6666">
          <cell r="A6666" t="str">
            <v>SNRNRLPE</v>
          </cell>
          <cell r="B6666">
            <v>1.7840597198434072</v>
          </cell>
          <cell r="C6666">
            <v>0</v>
          </cell>
          <cell r="D6666">
            <v>0</v>
          </cell>
          <cell r="E6666" t="e">
            <v>#VALUE!</v>
          </cell>
          <cell r="F6666">
            <v>0</v>
          </cell>
        </row>
        <row r="6667">
          <cell r="A6667" t="str">
            <v>SNRNND0E</v>
          </cell>
          <cell r="B6667">
            <v>9.9999999747524271E-7</v>
          </cell>
          <cell r="C6667">
            <v>0</v>
          </cell>
          <cell r="D6667">
            <v>0</v>
          </cell>
          <cell r="E6667" t="e">
            <v>#VALUE!</v>
          </cell>
          <cell r="F6667">
            <v>0</v>
          </cell>
        </row>
        <row r="6668">
          <cell r="A6668" t="str">
            <v>SNRNCC0E</v>
          </cell>
          <cell r="B6668">
            <v>0</v>
          </cell>
          <cell r="C6668">
            <v>0</v>
          </cell>
          <cell r="D6668">
            <v>0</v>
          </cell>
          <cell r="E6668" t="e">
            <v>#VALUE!</v>
          </cell>
          <cell r="F6668">
            <v>-30.715274810791016</v>
          </cell>
        </row>
        <row r="6669">
          <cell r="A6669" t="str">
            <v>SNRNCE0E</v>
          </cell>
          <cell r="B6669">
            <v>0</v>
          </cell>
          <cell r="C6669">
            <v>0</v>
          </cell>
          <cell r="D6669">
            <v>0</v>
          </cell>
          <cell r="E6669" t="e">
            <v>#VALUE!</v>
          </cell>
          <cell r="F6669">
            <v>-25.023409177179207</v>
          </cell>
        </row>
        <row r="6670">
          <cell r="A6670" t="str">
            <v>SNRNCL0E</v>
          </cell>
          <cell r="B6670">
            <v>9.9999997473787516E-6</v>
          </cell>
          <cell r="C6670">
            <v>0</v>
          </cell>
          <cell r="D6670">
            <v>0</v>
          </cell>
          <cell r="E6670" t="e">
            <v>#VALUE!</v>
          </cell>
          <cell r="F6670">
            <v>0</v>
          </cell>
        </row>
        <row r="6671">
          <cell r="A6671" t="str">
            <v>SNRNAL0E</v>
          </cell>
          <cell r="B6671">
            <v>0.2752000093460083</v>
          </cell>
          <cell r="C6671">
            <v>0</v>
          </cell>
          <cell r="D6671">
            <v>0</v>
          </cell>
          <cell r="E6671" t="e">
            <v>#VALUE!</v>
          </cell>
          <cell r="F6671">
            <v>0</v>
          </cell>
        </row>
        <row r="6672">
          <cell r="A6672" t="str">
            <v>SNRNMD0E</v>
          </cell>
          <cell r="B6672">
            <v>2.3822000026702881</v>
          </cell>
          <cell r="C6672">
            <v>0</v>
          </cell>
          <cell r="D6672">
            <v>0</v>
          </cell>
          <cell r="E6672" t="e">
            <v>#VALUE!</v>
          </cell>
          <cell r="F6672">
            <v>0</v>
          </cell>
        </row>
        <row r="6673">
          <cell r="A6673" t="str">
            <v>SNRNGL0E</v>
          </cell>
          <cell r="B6673">
            <v>0.46689999103546143</v>
          </cell>
          <cell r="C6673">
            <v>0</v>
          </cell>
          <cell r="D6673">
            <v>0</v>
          </cell>
          <cell r="E6673" t="e">
            <v>#VALUE!</v>
          </cell>
          <cell r="F6673">
            <v>0</v>
          </cell>
        </row>
        <row r="6674">
          <cell r="A6674" t="str">
            <v>SNRNNQ0E</v>
          </cell>
          <cell r="B6674">
            <v>2.9988505036863562</v>
          </cell>
          <cell r="C6674">
            <v>0</v>
          </cell>
          <cell r="D6674">
            <v>0</v>
          </cell>
          <cell r="E6674" t="e">
            <v>#VALUE!</v>
          </cell>
          <cell r="F6674">
            <v>0</v>
          </cell>
        </row>
        <row r="6675">
          <cell r="A6675" t="str">
            <v>SNRNPA0E</v>
          </cell>
          <cell r="B6675">
            <v>0</v>
          </cell>
          <cell r="C6675">
            <v>0</v>
          </cell>
          <cell r="D6675">
            <v>0</v>
          </cell>
          <cell r="E6675" t="e">
            <v>#VALUE!</v>
          </cell>
          <cell r="F6675">
            <v>0</v>
          </cell>
        </row>
        <row r="6676">
          <cell r="A6676" t="str">
            <v>SNRNPC0E</v>
          </cell>
          <cell r="B6676">
            <v>0</v>
          </cell>
          <cell r="C6676">
            <v>0</v>
          </cell>
          <cell r="D6676">
            <v>0</v>
          </cell>
          <cell r="E6676" t="e">
            <v>#VALUE!</v>
          </cell>
          <cell r="F6676">
            <v>-23.4822835007759</v>
          </cell>
        </row>
        <row r="6677">
          <cell r="A6677" t="str">
            <v>SNRNAG0E</v>
          </cell>
          <cell r="B6677">
            <v>0</v>
          </cell>
          <cell r="C6677">
            <v>0</v>
          </cell>
          <cell r="D6677">
            <v>0</v>
          </cell>
          <cell r="E6677" t="e">
            <v>#VALUE!</v>
          </cell>
          <cell r="F6677">
            <v>0</v>
          </cell>
        </row>
        <row r="6678">
          <cell r="A6678" t="str">
            <v>SNRNSD0E</v>
          </cell>
          <cell r="B6678">
            <v>1.9999999949504854E-6</v>
          </cell>
          <cell r="C6678">
            <v>0</v>
          </cell>
          <cell r="D6678">
            <v>0</v>
          </cell>
          <cell r="E6678" t="e">
            <v>#VALUE!</v>
          </cell>
          <cell r="F6678">
            <v>0</v>
          </cell>
        </row>
        <row r="6679">
          <cell r="A6679" t="str">
            <v>SNRNLL0E</v>
          </cell>
          <cell r="B6679">
            <v>9.9999999747524271E-7</v>
          </cell>
          <cell r="C6679">
            <v>0</v>
          </cell>
          <cell r="D6679">
            <v>0</v>
          </cell>
          <cell r="E6679" t="e">
            <v>#VALUE!</v>
          </cell>
          <cell r="F6679">
            <v>0</v>
          </cell>
        </row>
        <row r="6680">
          <cell r="A6680" t="str">
            <v>EpencolE</v>
          </cell>
          <cell r="B6680">
            <v>0</v>
          </cell>
          <cell r="C6680">
            <v>-1</v>
          </cell>
          <cell r="D6680">
            <v>0</v>
          </cell>
          <cell r="E6680" t="e">
            <v>#VALUE!</v>
          </cell>
          <cell r="F6680">
            <v>0</v>
          </cell>
        </row>
        <row r="6681">
          <cell r="A6681" t="str">
            <v>PURCSTMF</v>
          </cell>
          <cell r="B6681">
            <v>0.24209003513806487</v>
          </cell>
          <cell r="C6681">
            <v>-5</v>
          </cell>
          <cell r="D6681">
            <v>0</v>
          </cell>
          <cell r="E6681" t="e">
            <v>#VALUE!</v>
          </cell>
          <cell r="F6681">
            <v>0</v>
          </cell>
        </row>
        <row r="6682">
          <cell r="A6682" t="str">
            <v>PURCKWHF</v>
          </cell>
          <cell r="B6682">
            <v>20.484541190160463</v>
          </cell>
          <cell r="C6682">
            <v>-4.2500000447034836E-2</v>
          </cell>
          <cell r="D6682">
            <v>0</v>
          </cell>
          <cell r="E6682" t="e">
            <v>#VALUE!</v>
          </cell>
          <cell r="F6682">
            <v>0</v>
          </cell>
        </row>
        <row r="6683">
          <cell r="A6683" t="str">
            <v>PURCCCCF</v>
          </cell>
          <cell r="B6683">
            <v>1.1173386054496242</v>
          </cell>
          <cell r="C6683">
            <v>-1</v>
          </cell>
          <cell r="D6683">
            <v>0</v>
          </cell>
          <cell r="E6683" t="e">
            <v>#VALUE!</v>
          </cell>
          <cell r="F6683">
            <v>0</v>
          </cell>
        </row>
        <row r="6684">
          <cell r="A6684" t="str">
            <v>PURCPWRF</v>
          </cell>
          <cell r="B6684">
            <v>0</v>
          </cell>
          <cell r="C6684">
            <v>-4.2500000447034836E-2</v>
          </cell>
          <cell r="D6684">
            <v>0</v>
          </cell>
          <cell r="E6684" t="e">
            <v>#VALUE!</v>
          </cell>
          <cell r="F6684">
            <v>-4.2500000447034836E-2</v>
          </cell>
        </row>
        <row r="6685">
          <cell r="A6685" t="str">
            <v>PURCFULF</v>
          </cell>
          <cell r="B6685">
            <v>0</v>
          </cell>
          <cell r="C6685">
            <v>0</v>
          </cell>
          <cell r="D6685">
            <v>0</v>
          </cell>
          <cell r="E6685" t="e">
            <v>#VALUE!</v>
          </cell>
          <cell r="F6685">
            <v>1.7379971742630005</v>
          </cell>
        </row>
        <row r="6686">
          <cell r="A6686" t="str">
            <v>PURCPENF</v>
          </cell>
          <cell r="B6686">
            <v>-6.844593689390409E-10</v>
          </cell>
          <cell r="C6686">
            <v>-1</v>
          </cell>
          <cell r="D6686">
            <v>0</v>
          </cell>
          <cell r="E6686" t="e">
            <v>#VALUE!</v>
          </cell>
          <cell r="F6686">
            <v>0</v>
          </cell>
        </row>
        <row r="6687">
          <cell r="A6687" t="str">
            <v>BVBLBTPF</v>
          </cell>
          <cell r="B6687">
            <v>0.31759380036837437</v>
          </cell>
          <cell r="C6687">
            <v>0</v>
          </cell>
          <cell r="D6687">
            <v>0</v>
          </cell>
          <cell r="E6687" t="e">
            <v>#VALUE!</v>
          </cell>
          <cell r="F6687">
            <v>0</v>
          </cell>
        </row>
        <row r="6688">
          <cell r="A6688" t="str">
            <v>BWBLBTPF</v>
          </cell>
          <cell r="B6688">
            <v>0.18738033996052939</v>
          </cell>
          <cell r="C6688">
            <v>0</v>
          </cell>
          <cell r="D6688">
            <v>0</v>
          </cell>
          <cell r="E6688" t="e">
            <v>#VALUE!</v>
          </cell>
          <cell r="F6688">
            <v>0</v>
          </cell>
        </row>
        <row r="6689">
          <cell r="A6689" t="str">
            <v>BMIXBTPF</v>
          </cell>
          <cell r="B6689">
            <v>0.20287885016774479</v>
          </cell>
          <cell r="C6689">
            <v>0</v>
          </cell>
          <cell r="D6689">
            <v>0</v>
          </cell>
          <cell r="E6689" t="e">
            <v>#VALUE!</v>
          </cell>
          <cell r="F6689">
            <v>0</v>
          </cell>
        </row>
        <row r="6690">
          <cell r="A6690" t="str">
            <v>BB1BBTPF</v>
          </cell>
          <cell r="B6690">
            <v>3.971542358041218E-3</v>
          </cell>
          <cell r="C6690">
            <v>0</v>
          </cell>
          <cell r="D6690">
            <v>0</v>
          </cell>
          <cell r="E6690" t="e">
            <v>#VALUE!</v>
          </cell>
          <cell r="F6690">
            <v>0</v>
          </cell>
        </row>
        <row r="6691">
          <cell r="A6691" t="str">
            <v>BI=BBTPF</v>
          </cell>
          <cell r="B6691">
            <v>4.1310909931382084E-3</v>
          </cell>
          <cell r="C6691">
            <v>0</v>
          </cell>
          <cell r="D6691">
            <v>0</v>
          </cell>
          <cell r="E6691" t="e">
            <v>#VALUE!</v>
          </cell>
          <cell r="F6691">
            <v>0</v>
          </cell>
        </row>
        <row r="6692">
          <cell r="A6692" t="str">
            <v>BB2BBTPF</v>
          </cell>
          <cell r="B6692">
            <v>7.9874541763573476E-2</v>
          </cell>
          <cell r="C6692">
            <v>0</v>
          </cell>
          <cell r="D6692">
            <v>0</v>
          </cell>
          <cell r="E6692" t="e">
            <v>#VALUE!</v>
          </cell>
          <cell r="F6692">
            <v>0</v>
          </cell>
        </row>
        <row r="6693">
          <cell r="A6693" t="str">
            <v>BN4BBTPF</v>
          </cell>
          <cell r="B6693">
            <v>2.6737774245134772E-2</v>
          </cell>
          <cell r="C6693">
            <v>0</v>
          </cell>
          <cell r="D6693">
            <v>0</v>
          </cell>
          <cell r="E6693" t="e">
            <v>#VALUE!</v>
          </cell>
          <cell r="F6693">
            <v>0</v>
          </cell>
        </row>
        <row r="6694">
          <cell r="A6694" t="str">
            <v>QVBLBTPF</v>
          </cell>
          <cell r="B6694">
            <v>0.31759380036837437</v>
          </cell>
          <cell r="C6694">
            <v>0</v>
          </cell>
          <cell r="D6694">
            <v>0</v>
          </cell>
          <cell r="E6694" t="e">
            <v>#VALUE!</v>
          </cell>
          <cell r="F6694">
            <v>0</v>
          </cell>
        </row>
        <row r="6695">
          <cell r="A6695" t="str">
            <v>QWBLBTPF</v>
          </cell>
          <cell r="B6695">
            <v>0.18738033996052939</v>
          </cell>
          <cell r="C6695">
            <v>0</v>
          </cell>
          <cell r="D6695">
            <v>0</v>
          </cell>
          <cell r="E6695" t="e">
            <v>#VALUE!</v>
          </cell>
          <cell r="F6695">
            <v>0</v>
          </cell>
        </row>
        <row r="6696">
          <cell r="A6696" t="str">
            <v>SBUTBTAF</v>
          </cell>
          <cell r="B6696">
            <v>0</v>
          </cell>
          <cell r="C6696">
            <v>0</v>
          </cell>
          <cell r="D6696">
            <v>0</v>
          </cell>
          <cell r="E6696" t="e">
            <v>#VALUE!</v>
          </cell>
          <cell r="F6696">
            <v>0</v>
          </cell>
        </row>
        <row r="6697">
          <cell r="A6697" t="str">
            <v>SBUTBTBF</v>
          </cell>
          <cell r="B6697">
            <v>0.24501207626029237</v>
          </cell>
          <cell r="C6697">
            <v>0</v>
          </cell>
          <cell r="D6697">
            <v>0</v>
          </cell>
          <cell r="E6697" t="e">
            <v>#VALUE!</v>
          </cell>
          <cell r="F6697">
            <v>0</v>
          </cell>
        </row>
        <row r="6698">
          <cell r="A6698" t="str">
            <v>SBUTIC4F</v>
          </cell>
          <cell r="B6698">
            <v>5.7221604516244917E-2</v>
          </cell>
          <cell r="C6698">
            <v>0</v>
          </cell>
          <cell r="D6698">
            <v>0</v>
          </cell>
          <cell r="E6698" t="e">
            <v>#VALUE!</v>
          </cell>
          <cell r="F6698">
            <v>0</v>
          </cell>
        </row>
        <row r="6699">
          <cell r="A6699" t="str">
            <v>SBUT4=1F</v>
          </cell>
          <cell r="B6699">
            <v>3.2098766385692437E-2</v>
          </cell>
          <cell r="C6699">
            <v>0</v>
          </cell>
          <cell r="D6699">
            <v>0</v>
          </cell>
          <cell r="E6699" t="e">
            <v>#VALUE!</v>
          </cell>
          <cell r="F6699">
            <v>0</v>
          </cell>
        </row>
        <row r="6700">
          <cell r="A6700" t="str">
            <v>SBUTI4=F</v>
          </cell>
          <cell r="B6700">
            <v>6.0933592609346728E-2</v>
          </cell>
          <cell r="C6700">
            <v>0</v>
          </cell>
          <cell r="D6700">
            <v>0</v>
          </cell>
          <cell r="E6700" t="e">
            <v>#VALUE!</v>
          </cell>
          <cell r="F6700">
            <v>0</v>
          </cell>
        </row>
        <row r="6701">
          <cell r="A6701" t="str">
            <v>SBUT4=2F</v>
          </cell>
          <cell r="B6701">
            <v>6.7322828630878503E-2</v>
          </cell>
          <cell r="C6701">
            <v>0</v>
          </cell>
          <cell r="D6701">
            <v>0</v>
          </cell>
          <cell r="E6701" t="e">
            <v>#VALUE!</v>
          </cell>
          <cell r="F6701">
            <v>0</v>
          </cell>
        </row>
        <row r="6702">
          <cell r="A6702" t="str">
            <v>SBUTNC4F</v>
          </cell>
          <cell r="B6702">
            <v>2.7435280852121848E-2</v>
          </cell>
          <cell r="C6702">
            <v>0</v>
          </cell>
          <cell r="D6702">
            <v>0</v>
          </cell>
          <cell r="E6702" t="e">
            <v>#VALUE!</v>
          </cell>
          <cell r="F6702">
            <v>0</v>
          </cell>
        </row>
        <row r="6703">
          <cell r="A6703" t="str">
            <v>SSEPIC4F</v>
          </cell>
          <cell r="B6703">
            <v>5.7221604516244917E-2</v>
          </cell>
          <cell r="C6703">
            <v>0</v>
          </cell>
          <cell r="D6703">
            <v>0</v>
          </cell>
          <cell r="E6703" t="e">
            <v>#VALUE!</v>
          </cell>
          <cell r="F6703">
            <v>0</v>
          </cell>
        </row>
        <row r="6704">
          <cell r="A6704" t="str">
            <v>SSEP4=1F</v>
          </cell>
          <cell r="B6704">
            <v>3.2098766385692437E-2</v>
          </cell>
          <cell r="C6704">
            <v>0</v>
          </cell>
          <cell r="D6704">
            <v>0</v>
          </cell>
          <cell r="E6704" t="e">
            <v>#VALUE!</v>
          </cell>
          <cell r="F6704">
            <v>0</v>
          </cell>
        </row>
        <row r="6705">
          <cell r="A6705" t="str">
            <v>SSEPI4=F</v>
          </cell>
          <cell r="B6705">
            <v>6.0933592609346728E-2</v>
          </cell>
          <cell r="C6705">
            <v>0</v>
          </cell>
          <cell r="D6705">
            <v>0</v>
          </cell>
          <cell r="E6705" t="e">
            <v>#VALUE!</v>
          </cell>
          <cell r="F6705">
            <v>0</v>
          </cell>
        </row>
        <row r="6706">
          <cell r="A6706" t="str">
            <v>SSEP4=2F</v>
          </cell>
          <cell r="B6706">
            <v>6.7322828630878503E-2</v>
          </cell>
          <cell r="C6706">
            <v>0</v>
          </cell>
          <cell r="D6706">
            <v>0</v>
          </cell>
          <cell r="E6706" t="e">
            <v>#VALUE!</v>
          </cell>
          <cell r="F6706">
            <v>0</v>
          </cell>
        </row>
        <row r="6707">
          <cell r="A6707" t="str">
            <v>SSEPNC4F</v>
          </cell>
          <cell r="B6707">
            <v>2.7435280852121848E-2</v>
          </cell>
          <cell r="C6707">
            <v>0</v>
          </cell>
          <cell r="D6707">
            <v>0</v>
          </cell>
          <cell r="E6707" t="e">
            <v>#VALUE!</v>
          </cell>
          <cell r="F6707">
            <v>0</v>
          </cell>
        </row>
        <row r="6708">
          <cell r="A6708" t="str">
            <v>SMOXIC4F</v>
          </cell>
          <cell r="B6708">
            <v>5.7221604516244917E-2</v>
          </cell>
          <cell r="C6708">
            <v>0</v>
          </cell>
          <cell r="D6708">
            <v>0</v>
          </cell>
          <cell r="E6708" t="e">
            <v>#VALUE!</v>
          </cell>
          <cell r="F6708">
            <v>0</v>
          </cell>
        </row>
        <row r="6709">
          <cell r="A6709" t="str">
            <v>SMOX4=1F</v>
          </cell>
          <cell r="B6709">
            <v>2.8696297925629027E-2</v>
          </cell>
          <cell r="C6709">
            <v>0</v>
          </cell>
          <cell r="D6709">
            <v>0</v>
          </cell>
          <cell r="E6709" t="e">
            <v>#VALUE!</v>
          </cell>
          <cell r="F6709">
            <v>0</v>
          </cell>
        </row>
        <row r="6710">
          <cell r="A6710" t="str">
            <v>SMOXI4=F</v>
          </cell>
          <cell r="B6710">
            <v>5.6424506110687778E-2</v>
          </cell>
          <cell r="C6710">
            <v>0</v>
          </cell>
          <cell r="D6710">
            <v>0</v>
          </cell>
          <cell r="E6710" t="e">
            <v>#VALUE!</v>
          </cell>
          <cell r="F6710">
            <v>0</v>
          </cell>
        </row>
        <row r="6711">
          <cell r="A6711" t="str">
            <v>SMOX4=2F</v>
          </cell>
          <cell r="B6711">
            <v>1.9523620319693055E-2</v>
          </cell>
          <cell r="C6711">
            <v>0</v>
          </cell>
          <cell r="D6711">
            <v>0</v>
          </cell>
          <cell r="E6711" t="e">
            <v>#VALUE!</v>
          </cell>
          <cell r="F6711">
            <v>0</v>
          </cell>
        </row>
        <row r="6712">
          <cell r="A6712" t="str">
            <v>SMOXNC4F</v>
          </cell>
          <cell r="B6712">
            <v>1.1330770986945661E-2</v>
          </cell>
          <cell r="C6712">
            <v>0</v>
          </cell>
          <cell r="D6712">
            <v>0</v>
          </cell>
          <cell r="E6712" t="e">
            <v>#VALUE!</v>
          </cell>
          <cell r="F6712">
            <v>0</v>
          </cell>
        </row>
        <row r="6713">
          <cell r="A6713" t="str">
            <v>SMOXMOXF</v>
          </cell>
          <cell r="B6713">
            <v>0.17319679937950552</v>
          </cell>
          <cell r="C6713">
            <v>0</v>
          </cell>
          <cell r="D6713">
            <v>0</v>
          </cell>
          <cell r="E6713" t="e">
            <v>#VALUE!</v>
          </cell>
          <cell r="F6713">
            <v>0</v>
          </cell>
        </row>
        <row r="6714">
          <cell r="A6714" t="str">
            <v>SDI0MOXF</v>
          </cell>
          <cell r="B6714">
            <v>3.0615371748907109E-2</v>
          </cell>
          <cell r="C6714">
            <v>0</v>
          </cell>
          <cell r="D6714">
            <v>0</v>
          </cell>
          <cell r="E6714" t="e">
            <v>#VALUE!</v>
          </cell>
          <cell r="F6714">
            <v>0</v>
          </cell>
        </row>
        <row r="6715">
          <cell r="A6715" t="str">
            <v>SDI0IC4F</v>
          </cell>
          <cell r="B6715">
            <v>1.0063015178407299E-2</v>
          </cell>
          <cell r="C6715">
            <v>0</v>
          </cell>
          <cell r="D6715">
            <v>0</v>
          </cell>
          <cell r="E6715" t="e">
            <v>#VALUE!</v>
          </cell>
          <cell r="F6715">
            <v>0</v>
          </cell>
        </row>
        <row r="6716">
          <cell r="A6716" t="str">
            <v>SDI04=1F</v>
          </cell>
          <cell r="B6716">
            <v>5.0764074070659814E-3</v>
          </cell>
          <cell r="C6716">
            <v>0</v>
          </cell>
          <cell r="D6716">
            <v>0</v>
          </cell>
          <cell r="E6716" t="e">
            <v>#VALUE!</v>
          </cell>
          <cell r="F6716">
            <v>0</v>
          </cell>
        </row>
        <row r="6717">
          <cell r="A6717" t="str">
            <v>SDI0I4=F</v>
          </cell>
          <cell r="B6717">
            <v>9.9884619885315627E-3</v>
          </cell>
          <cell r="C6717">
            <v>0</v>
          </cell>
          <cell r="D6717">
            <v>0</v>
          </cell>
          <cell r="E6717" t="e">
            <v>#VALUE!</v>
          </cell>
          <cell r="F6717">
            <v>0</v>
          </cell>
        </row>
        <row r="6718">
          <cell r="A6718" t="str">
            <v>SDI04=2F</v>
          </cell>
          <cell r="B6718">
            <v>3.4732306679098371E-3</v>
          </cell>
          <cell r="C6718">
            <v>0</v>
          </cell>
          <cell r="D6718">
            <v>0</v>
          </cell>
          <cell r="E6718" t="e">
            <v>#VALUE!</v>
          </cell>
          <cell r="F6718">
            <v>0</v>
          </cell>
        </row>
        <row r="6719">
          <cell r="A6719" t="str">
            <v>SDI0NC4F</v>
          </cell>
          <cell r="B6719">
            <v>2.0142568905250971E-3</v>
          </cell>
          <cell r="C6719">
            <v>0</v>
          </cell>
          <cell r="D6719">
            <v>0</v>
          </cell>
          <cell r="E6719" t="e">
            <v>#VALUE!</v>
          </cell>
          <cell r="F6719">
            <v>0</v>
          </cell>
        </row>
        <row r="6720">
          <cell r="A6720" t="str">
            <v>SDI0PENF</v>
          </cell>
          <cell r="B6720">
            <v>-5.6834902081441025E-14</v>
          </cell>
          <cell r="C6720">
            <v>0</v>
          </cell>
          <cell r="D6720">
            <v>0</v>
          </cell>
          <cell r="E6720" t="e">
            <v>#VALUE!</v>
          </cell>
          <cell r="F6720">
            <v>-64.015401552801265</v>
          </cell>
        </row>
        <row r="6721">
          <cell r="A6721" t="str">
            <v>SDI1MOXF</v>
          </cell>
          <cell r="B6721">
            <v>2.9683774265728585E-2</v>
          </cell>
          <cell r="C6721">
            <v>0</v>
          </cell>
          <cell r="D6721">
            <v>0</v>
          </cell>
          <cell r="E6721" t="e">
            <v>#VALUE!</v>
          </cell>
          <cell r="F6721">
            <v>0</v>
          </cell>
        </row>
        <row r="6722">
          <cell r="A6722" t="str">
            <v>SDI1IC4F</v>
          </cell>
          <cell r="B6722">
            <v>9.8026572024985537E-3</v>
          </cell>
          <cell r="C6722">
            <v>0</v>
          </cell>
          <cell r="D6722">
            <v>0</v>
          </cell>
          <cell r="E6722" t="e">
            <v>#VALUE!</v>
          </cell>
          <cell r="F6722">
            <v>0</v>
          </cell>
        </row>
        <row r="6723">
          <cell r="A6723" t="str">
            <v>SDI14=1F</v>
          </cell>
          <cell r="B6723">
            <v>4.9180188095069499E-3</v>
          </cell>
          <cell r="C6723">
            <v>0</v>
          </cell>
          <cell r="D6723">
            <v>0</v>
          </cell>
          <cell r="E6723" t="e">
            <v>#VALUE!</v>
          </cell>
          <cell r="F6723">
            <v>0</v>
          </cell>
        </row>
        <row r="6724">
          <cell r="A6724" t="str">
            <v>SDI1I4=F</v>
          </cell>
          <cell r="B6724">
            <v>9.672249894436092E-3</v>
          </cell>
          <cell r="C6724">
            <v>0</v>
          </cell>
          <cell r="D6724">
            <v>0</v>
          </cell>
          <cell r="E6724" t="e">
            <v>#VALUE!</v>
          </cell>
          <cell r="F6724">
            <v>0</v>
          </cell>
        </row>
        <row r="6725">
          <cell r="A6725" t="str">
            <v>SDI14=2F</v>
          </cell>
          <cell r="B6725">
            <v>3.3479301931897869E-3</v>
          </cell>
          <cell r="C6725">
            <v>0</v>
          </cell>
          <cell r="D6725">
            <v>0</v>
          </cell>
          <cell r="E6725" t="e">
            <v>#VALUE!</v>
          </cell>
          <cell r="F6725">
            <v>0</v>
          </cell>
        </row>
        <row r="6726">
          <cell r="A6726" t="str">
            <v>SDI1NC4F</v>
          </cell>
          <cell r="B6726">
            <v>1.9429179501707014E-3</v>
          </cell>
          <cell r="C6726">
            <v>0</v>
          </cell>
          <cell r="D6726">
            <v>0</v>
          </cell>
          <cell r="E6726" t="e">
            <v>#VALUE!</v>
          </cell>
          <cell r="F6726">
            <v>0</v>
          </cell>
        </row>
        <row r="6727">
          <cell r="A6727" t="str">
            <v>SDI1PENF</v>
          </cell>
          <cell r="B6727">
            <v>0</v>
          </cell>
          <cell r="C6727">
            <v>0</v>
          </cell>
          <cell r="D6727">
            <v>0</v>
          </cell>
          <cell r="E6727" t="e">
            <v>#VALUE!</v>
          </cell>
          <cell r="F6727">
            <v>-62.966176406651329</v>
          </cell>
        </row>
        <row r="6728">
          <cell r="A6728" t="str">
            <v>SDI2MOXF</v>
          </cell>
          <cell r="B6728">
            <v>1.9715973908362324E-2</v>
          </cell>
          <cell r="C6728">
            <v>0</v>
          </cell>
          <cell r="D6728">
            <v>0</v>
          </cell>
          <cell r="E6728" t="e">
            <v>#VALUE!</v>
          </cell>
          <cell r="F6728">
            <v>0</v>
          </cell>
        </row>
        <row r="6729">
          <cell r="A6729" t="str">
            <v>SDI2IC4F</v>
          </cell>
          <cell r="B6729">
            <v>6.5238541846916282E-3</v>
          </cell>
          <cell r="C6729">
            <v>0</v>
          </cell>
          <cell r="D6729">
            <v>0</v>
          </cell>
          <cell r="E6729" t="e">
            <v>#VALUE!</v>
          </cell>
          <cell r="F6729">
            <v>0</v>
          </cell>
        </row>
        <row r="6730">
          <cell r="A6730" t="str">
            <v>SDI24=1F</v>
          </cell>
          <cell r="B6730">
            <v>3.2660096794468901E-3</v>
          </cell>
          <cell r="C6730">
            <v>0</v>
          </cell>
          <cell r="D6730">
            <v>0</v>
          </cell>
          <cell r="E6730" t="e">
            <v>#VALUE!</v>
          </cell>
          <cell r="F6730">
            <v>0</v>
          </cell>
        </row>
        <row r="6731">
          <cell r="A6731" t="str">
            <v>SDI2I4=F</v>
          </cell>
          <cell r="B6731">
            <v>6.4202210036654996E-3</v>
          </cell>
          <cell r="C6731">
            <v>0</v>
          </cell>
          <cell r="D6731">
            <v>0</v>
          </cell>
          <cell r="E6731" t="e">
            <v>#VALUE!</v>
          </cell>
          <cell r="F6731">
            <v>0</v>
          </cell>
        </row>
        <row r="6732">
          <cell r="A6732" t="str">
            <v>SDI24=2F</v>
          </cell>
          <cell r="B6732">
            <v>2.2182322993925582E-3</v>
          </cell>
          <cell r="C6732">
            <v>0</v>
          </cell>
          <cell r="D6732">
            <v>0</v>
          </cell>
          <cell r="E6732" t="e">
            <v>#VALUE!</v>
          </cell>
          <cell r="F6732">
            <v>0</v>
          </cell>
        </row>
        <row r="6733">
          <cell r="A6733" t="str">
            <v>SDI2NC4F</v>
          </cell>
          <cell r="B6733">
            <v>1.2876565121624568E-3</v>
          </cell>
          <cell r="C6733">
            <v>0</v>
          </cell>
          <cell r="D6733">
            <v>0</v>
          </cell>
          <cell r="E6733" t="e">
            <v>#VALUE!</v>
          </cell>
          <cell r="F6733">
            <v>0</v>
          </cell>
        </row>
        <row r="6734">
          <cell r="A6734" t="str">
            <v>SDI2PENF</v>
          </cell>
          <cell r="B6734">
            <v>0</v>
          </cell>
          <cell r="C6734">
            <v>0</v>
          </cell>
          <cell r="D6734">
            <v>0</v>
          </cell>
          <cell r="E6734" t="e">
            <v>#VALUE!</v>
          </cell>
          <cell r="F6734">
            <v>-62.641087780260058</v>
          </cell>
        </row>
        <row r="6735">
          <cell r="A6735" t="str">
            <v>SDI3MOXF</v>
          </cell>
          <cell r="B6735">
            <v>8.2337874970207475E-2</v>
          </cell>
          <cell r="C6735">
            <v>0</v>
          </cell>
          <cell r="D6735">
            <v>0</v>
          </cell>
          <cell r="E6735" t="e">
            <v>#VALUE!</v>
          </cell>
          <cell r="F6735">
            <v>0</v>
          </cell>
        </row>
        <row r="6736">
          <cell r="A6736" t="str">
            <v>SDI3IC4F</v>
          </cell>
          <cell r="B6736">
            <v>2.7243951213074057E-2</v>
          </cell>
          <cell r="C6736">
            <v>0</v>
          </cell>
          <cell r="D6736">
            <v>0</v>
          </cell>
          <cell r="E6736" t="e">
            <v>#VALUE!</v>
          </cell>
          <cell r="F6736">
            <v>0</v>
          </cell>
        </row>
        <row r="6737">
          <cell r="A6737" t="str">
            <v>SDI34=1F</v>
          </cell>
          <cell r="B6737">
            <v>1.3639553036693841E-2</v>
          </cell>
          <cell r="C6737">
            <v>0</v>
          </cell>
          <cell r="D6737">
            <v>0</v>
          </cell>
          <cell r="E6737" t="e">
            <v>#VALUE!</v>
          </cell>
          <cell r="F6737">
            <v>0</v>
          </cell>
        </row>
        <row r="6738">
          <cell r="A6738" t="str">
            <v>SDI3I4=F</v>
          </cell>
          <cell r="B6738">
            <v>2.6812445688737582E-2</v>
          </cell>
          <cell r="C6738">
            <v>0</v>
          </cell>
          <cell r="D6738">
            <v>0</v>
          </cell>
          <cell r="E6738" t="e">
            <v>#VALUE!</v>
          </cell>
          <cell r="F6738">
            <v>0</v>
          </cell>
        </row>
        <row r="6739">
          <cell r="A6739" t="str">
            <v>SDI34=2F</v>
          </cell>
          <cell r="B6739">
            <v>9.2641975475500713E-3</v>
          </cell>
          <cell r="C6739">
            <v>0</v>
          </cell>
          <cell r="D6739">
            <v>0</v>
          </cell>
          <cell r="E6739" t="e">
            <v>#VALUE!</v>
          </cell>
          <cell r="F6739">
            <v>0</v>
          </cell>
        </row>
        <row r="6740">
          <cell r="A6740" t="str">
            <v>SDI3NC4F</v>
          </cell>
          <cell r="B6740">
            <v>5.3777273693313334E-3</v>
          </cell>
          <cell r="C6740">
            <v>0</v>
          </cell>
          <cell r="D6740">
            <v>0</v>
          </cell>
          <cell r="E6740" t="e">
            <v>#VALUE!</v>
          </cell>
          <cell r="F6740">
            <v>0</v>
          </cell>
        </row>
        <row r="6741">
          <cell r="A6741" t="str">
            <v>SDI3PENF</v>
          </cell>
          <cell r="B6741">
            <v>-6.787758787308968E-12</v>
          </cell>
          <cell r="C6741">
            <v>0</v>
          </cell>
          <cell r="D6741">
            <v>0</v>
          </cell>
          <cell r="E6741" t="e">
            <v>#VALUE!</v>
          </cell>
          <cell r="F6741">
            <v>-21.325114043771404</v>
          </cell>
        </row>
        <row r="6742">
          <cell r="A6742" t="str">
            <v>SDI5MOXF</v>
          </cell>
          <cell r="B6742">
            <v>1.0843805374245938E-2</v>
          </cell>
          <cell r="C6742">
            <v>0</v>
          </cell>
          <cell r="D6742">
            <v>0</v>
          </cell>
          <cell r="E6742" t="e">
            <v>#VALUE!</v>
          </cell>
          <cell r="F6742">
            <v>0</v>
          </cell>
        </row>
        <row r="6743">
          <cell r="A6743" t="str">
            <v>SDI5IC4F</v>
          </cell>
          <cell r="B6743">
            <v>3.5881264147999354E-3</v>
          </cell>
          <cell r="C6743">
            <v>0</v>
          </cell>
          <cell r="D6743">
            <v>0</v>
          </cell>
          <cell r="E6743" t="e">
            <v>#VALUE!</v>
          </cell>
          <cell r="F6743">
            <v>0</v>
          </cell>
        </row>
        <row r="6744">
          <cell r="A6744" t="str">
            <v>SDI54=1F</v>
          </cell>
          <cell r="B6744">
            <v>1.7963086471778074E-3</v>
          </cell>
          <cell r="C6744">
            <v>0</v>
          </cell>
          <cell r="D6744">
            <v>0</v>
          </cell>
          <cell r="E6744" t="e">
            <v>#VALUE!</v>
          </cell>
          <cell r="F6744">
            <v>0</v>
          </cell>
        </row>
        <row r="6745">
          <cell r="A6745" t="str">
            <v>SDI5I4=F</v>
          </cell>
          <cell r="B6745">
            <v>3.531127995875192E-3</v>
          </cell>
          <cell r="C6745">
            <v>0</v>
          </cell>
          <cell r="D6745">
            <v>0</v>
          </cell>
          <cell r="E6745" t="e">
            <v>#VALUE!</v>
          </cell>
          <cell r="F6745">
            <v>0</v>
          </cell>
        </row>
        <row r="6746">
          <cell r="A6746" t="str">
            <v>SDI54=2F</v>
          </cell>
          <cell r="B6746">
            <v>1.220030005230275E-3</v>
          </cell>
          <cell r="C6746">
            <v>0</v>
          </cell>
          <cell r="D6746">
            <v>0</v>
          </cell>
          <cell r="E6746" t="e">
            <v>#VALUE!</v>
          </cell>
          <cell r="F6746">
            <v>0</v>
          </cell>
        </row>
        <row r="6747">
          <cell r="A6747" t="str">
            <v>SDI5NC4F</v>
          </cell>
          <cell r="B6747">
            <v>7.0821238260665171E-4</v>
          </cell>
          <cell r="C6747">
            <v>0</v>
          </cell>
          <cell r="D6747">
            <v>0</v>
          </cell>
          <cell r="E6747" t="e">
            <v>#VALUE!</v>
          </cell>
          <cell r="F6747">
            <v>0</v>
          </cell>
        </row>
        <row r="6748">
          <cell r="A6748" t="str">
            <v>SDI5PENF</v>
          </cell>
          <cell r="B6748">
            <v>0</v>
          </cell>
          <cell r="C6748">
            <v>0</v>
          </cell>
          <cell r="D6748">
            <v>0</v>
          </cell>
          <cell r="E6748" t="e">
            <v>#VALUE!</v>
          </cell>
          <cell r="F6748">
            <v>-62.641087780260058</v>
          </cell>
        </row>
        <row r="6749">
          <cell r="A6749" t="str">
            <v>SPI0IC4F</v>
          </cell>
          <cell r="B6749">
            <v>1.0063015178407299E-2</v>
          </cell>
          <cell r="C6749">
            <v>0</v>
          </cell>
          <cell r="D6749">
            <v>0</v>
          </cell>
          <cell r="E6749" t="e">
            <v>#VALUE!</v>
          </cell>
          <cell r="F6749">
            <v>0</v>
          </cell>
        </row>
        <row r="6750">
          <cell r="A6750" t="str">
            <v>SPI04=1F</v>
          </cell>
          <cell r="B6750">
            <v>5.0764074070659814E-3</v>
          </cell>
          <cell r="C6750">
            <v>0</v>
          </cell>
          <cell r="D6750">
            <v>0</v>
          </cell>
          <cell r="E6750" t="e">
            <v>#VALUE!</v>
          </cell>
          <cell r="F6750">
            <v>0</v>
          </cell>
        </row>
        <row r="6751">
          <cell r="A6751" t="str">
            <v>SPI0I4=F</v>
          </cell>
          <cell r="B6751">
            <v>9.9884619885315627E-3</v>
          </cell>
          <cell r="C6751">
            <v>0</v>
          </cell>
          <cell r="D6751">
            <v>0</v>
          </cell>
          <cell r="E6751" t="e">
            <v>#VALUE!</v>
          </cell>
          <cell r="F6751">
            <v>0</v>
          </cell>
        </row>
        <row r="6752">
          <cell r="A6752" t="str">
            <v>SPI04=2F</v>
          </cell>
          <cell r="B6752">
            <v>3.4732306679098371E-3</v>
          </cell>
          <cell r="C6752">
            <v>0</v>
          </cell>
          <cell r="D6752">
            <v>0</v>
          </cell>
          <cell r="E6752" t="e">
            <v>#VALUE!</v>
          </cell>
          <cell r="F6752">
            <v>0</v>
          </cell>
        </row>
        <row r="6753">
          <cell r="A6753" t="str">
            <v>SPI0NC4F</v>
          </cell>
          <cell r="B6753">
            <v>2.0142568905250971E-3</v>
          </cell>
          <cell r="C6753">
            <v>0</v>
          </cell>
          <cell r="D6753">
            <v>0</v>
          </cell>
          <cell r="E6753" t="e">
            <v>#VALUE!</v>
          </cell>
          <cell r="F6753">
            <v>0</v>
          </cell>
        </row>
        <row r="6754">
          <cell r="A6754" t="str">
            <v>SP10IC4F</v>
          </cell>
          <cell r="B6754">
            <v>9.8026572024985537E-3</v>
          </cell>
          <cell r="C6754">
            <v>0</v>
          </cell>
          <cell r="D6754">
            <v>0</v>
          </cell>
          <cell r="E6754" t="e">
            <v>#VALUE!</v>
          </cell>
          <cell r="F6754">
            <v>0</v>
          </cell>
        </row>
        <row r="6755">
          <cell r="A6755" t="str">
            <v>SP104=1F</v>
          </cell>
          <cell r="B6755">
            <v>4.9180188095069499E-3</v>
          </cell>
          <cell r="C6755">
            <v>0</v>
          </cell>
          <cell r="D6755">
            <v>0</v>
          </cell>
          <cell r="E6755" t="e">
            <v>#VALUE!</v>
          </cell>
          <cell r="F6755">
            <v>0</v>
          </cell>
        </row>
        <row r="6756">
          <cell r="A6756" t="str">
            <v>SP10I4=F</v>
          </cell>
          <cell r="B6756">
            <v>9.672249894436092E-3</v>
          </cell>
          <cell r="C6756">
            <v>0</v>
          </cell>
          <cell r="D6756">
            <v>0</v>
          </cell>
          <cell r="E6756" t="e">
            <v>#VALUE!</v>
          </cell>
          <cell r="F6756">
            <v>0</v>
          </cell>
        </row>
        <row r="6757">
          <cell r="A6757" t="str">
            <v>SP104=2F</v>
          </cell>
          <cell r="B6757">
            <v>3.3479301931897869E-3</v>
          </cell>
          <cell r="C6757">
            <v>0</v>
          </cell>
          <cell r="D6757">
            <v>0</v>
          </cell>
          <cell r="E6757" t="e">
            <v>#VALUE!</v>
          </cell>
          <cell r="F6757">
            <v>0</v>
          </cell>
        </row>
        <row r="6758">
          <cell r="A6758" t="str">
            <v>SP10NC4F</v>
          </cell>
          <cell r="B6758">
            <v>1.9429179501707014E-3</v>
          </cell>
          <cell r="C6758">
            <v>0</v>
          </cell>
          <cell r="D6758">
            <v>0</v>
          </cell>
          <cell r="E6758" t="e">
            <v>#VALUE!</v>
          </cell>
          <cell r="F6758">
            <v>0</v>
          </cell>
        </row>
        <row r="6759">
          <cell r="A6759" t="str">
            <v>SP20IC4F</v>
          </cell>
          <cell r="B6759">
            <v>6.5238541846916282E-3</v>
          </cell>
          <cell r="C6759">
            <v>0</v>
          </cell>
          <cell r="D6759">
            <v>0</v>
          </cell>
          <cell r="E6759" t="e">
            <v>#VALUE!</v>
          </cell>
          <cell r="F6759">
            <v>0</v>
          </cell>
        </row>
        <row r="6760">
          <cell r="A6760" t="str">
            <v>SP204=1F</v>
          </cell>
          <cell r="B6760">
            <v>3.2660096794468901E-3</v>
          </cell>
          <cell r="C6760">
            <v>0</v>
          </cell>
          <cell r="D6760">
            <v>0</v>
          </cell>
          <cell r="E6760" t="e">
            <v>#VALUE!</v>
          </cell>
          <cell r="F6760">
            <v>0</v>
          </cell>
        </row>
        <row r="6761">
          <cell r="A6761" t="str">
            <v>SP20I4=F</v>
          </cell>
          <cell r="B6761">
            <v>6.4202210036654996E-3</v>
          </cell>
          <cell r="C6761">
            <v>0</v>
          </cell>
          <cell r="D6761">
            <v>0</v>
          </cell>
          <cell r="E6761" t="e">
            <v>#VALUE!</v>
          </cell>
          <cell r="F6761">
            <v>0</v>
          </cell>
        </row>
        <row r="6762">
          <cell r="A6762" t="str">
            <v>SP204=2F</v>
          </cell>
          <cell r="B6762">
            <v>2.2182322993925582E-3</v>
          </cell>
          <cell r="C6762">
            <v>0</v>
          </cell>
          <cell r="D6762">
            <v>0</v>
          </cell>
          <cell r="E6762" t="e">
            <v>#VALUE!</v>
          </cell>
          <cell r="F6762">
            <v>0</v>
          </cell>
        </row>
        <row r="6763">
          <cell r="A6763" t="str">
            <v>SP20NC4F</v>
          </cell>
          <cell r="B6763">
            <v>1.2876565121624568E-3</v>
          </cell>
          <cell r="C6763">
            <v>0</v>
          </cell>
          <cell r="D6763">
            <v>0</v>
          </cell>
          <cell r="E6763" t="e">
            <v>#VALUE!</v>
          </cell>
          <cell r="F6763">
            <v>0</v>
          </cell>
        </row>
        <row r="6764">
          <cell r="A6764" t="str">
            <v>SP30IC4F</v>
          </cell>
          <cell r="B6764">
            <v>2.7243951213074057E-2</v>
          </cell>
          <cell r="C6764">
            <v>0</v>
          </cell>
          <cell r="D6764">
            <v>0</v>
          </cell>
          <cell r="E6764" t="e">
            <v>#VALUE!</v>
          </cell>
          <cell r="F6764">
            <v>0</v>
          </cell>
        </row>
        <row r="6765">
          <cell r="A6765" t="str">
            <v>SP304=1F</v>
          </cell>
          <cell r="B6765">
            <v>1.3639553036693841E-2</v>
          </cell>
          <cell r="C6765">
            <v>0</v>
          </cell>
          <cell r="D6765">
            <v>0</v>
          </cell>
          <cell r="E6765" t="e">
            <v>#VALUE!</v>
          </cell>
          <cell r="F6765">
            <v>0</v>
          </cell>
        </row>
        <row r="6766">
          <cell r="A6766" t="str">
            <v>SP30I4=F</v>
          </cell>
          <cell r="B6766">
            <v>2.6812445688737582E-2</v>
          </cell>
          <cell r="C6766">
            <v>0</v>
          </cell>
          <cell r="D6766">
            <v>0</v>
          </cell>
          <cell r="E6766" t="e">
            <v>#VALUE!</v>
          </cell>
          <cell r="F6766">
            <v>0</v>
          </cell>
        </row>
        <row r="6767">
          <cell r="A6767" t="str">
            <v>SP304=2F</v>
          </cell>
          <cell r="B6767">
            <v>9.2641975475500713E-3</v>
          </cell>
          <cell r="C6767">
            <v>0</v>
          </cell>
          <cell r="D6767">
            <v>0</v>
          </cell>
          <cell r="E6767" t="e">
            <v>#VALUE!</v>
          </cell>
          <cell r="F6767">
            <v>0</v>
          </cell>
        </row>
        <row r="6768">
          <cell r="A6768" t="str">
            <v>SP30NC4F</v>
          </cell>
          <cell r="B6768">
            <v>5.3777273693313334E-3</v>
          </cell>
          <cell r="C6768">
            <v>0</v>
          </cell>
          <cell r="D6768">
            <v>0</v>
          </cell>
          <cell r="E6768" t="e">
            <v>#VALUE!</v>
          </cell>
          <cell r="F6768">
            <v>0</v>
          </cell>
        </row>
        <row r="6769">
          <cell r="A6769" t="str">
            <v>SP15IC4F</v>
          </cell>
          <cell r="B6769">
            <v>3.5881264147999354E-3</v>
          </cell>
          <cell r="C6769">
            <v>0</v>
          </cell>
          <cell r="D6769">
            <v>0</v>
          </cell>
          <cell r="E6769" t="e">
            <v>#VALUE!</v>
          </cell>
          <cell r="F6769">
            <v>0</v>
          </cell>
        </row>
        <row r="6770">
          <cell r="A6770" t="str">
            <v>SP154=1F</v>
          </cell>
          <cell r="B6770">
            <v>1.7963086471778074E-3</v>
          </cell>
          <cell r="C6770">
            <v>0</v>
          </cell>
          <cell r="D6770">
            <v>0</v>
          </cell>
          <cell r="E6770" t="e">
            <v>#VALUE!</v>
          </cell>
          <cell r="F6770">
            <v>0</v>
          </cell>
        </row>
        <row r="6771">
          <cell r="A6771" t="str">
            <v>SP15I4=F</v>
          </cell>
          <cell r="B6771">
            <v>3.531127995875192E-3</v>
          </cell>
          <cell r="C6771">
            <v>0</v>
          </cell>
          <cell r="D6771">
            <v>0</v>
          </cell>
          <cell r="E6771" t="e">
            <v>#VALUE!</v>
          </cell>
          <cell r="F6771">
            <v>0</v>
          </cell>
        </row>
        <row r="6772">
          <cell r="A6772" t="str">
            <v>SP154=2F</v>
          </cell>
          <cell r="B6772">
            <v>1.220030005230275E-3</v>
          </cell>
          <cell r="C6772">
            <v>0</v>
          </cell>
          <cell r="D6772">
            <v>0</v>
          </cell>
          <cell r="E6772" t="e">
            <v>#VALUE!</v>
          </cell>
          <cell r="F6772">
            <v>0</v>
          </cell>
        </row>
        <row r="6773">
          <cell r="A6773" t="str">
            <v>SP15NC4F</v>
          </cell>
          <cell r="B6773">
            <v>7.0821238260665171E-4</v>
          </cell>
        </row>
        <row r="6774">
          <cell r="A6774" t="str">
            <v>SMIXIC4F</v>
          </cell>
          <cell r="B6774">
            <v>5.7221604516244917E-2</v>
          </cell>
        </row>
        <row r="6775">
          <cell r="A6775" t="str">
            <v>SMIX4=1F</v>
          </cell>
          <cell r="B6775">
            <v>2.6007265316909306E-2</v>
          </cell>
        </row>
        <row r="6776">
          <cell r="A6776" t="str">
            <v>SMIXI4=F</v>
          </cell>
          <cell r="B6776">
            <v>8.5977656026817346E-3</v>
          </cell>
        </row>
        <row r="6777">
          <cell r="A6777" t="str">
            <v>SMIX4=2F</v>
          </cell>
          <cell r="B6777">
            <v>1.6541113663617879E-2</v>
          </cell>
        </row>
        <row r="6778">
          <cell r="A6778" t="str">
            <v>SMIXNC4F</v>
          </cell>
          <cell r="B6778">
            <v>1.1330770986945661E-2</v>
          </cell>
        </row>
        <row r="6779">
          <cell r="A6779" t="str">
            <v>SMIXMIXF</v>
          </cell>
          <cell r="B6779">
            <v>0.11969851659585352</v>
          </cell>
        </row>
        <row r="6780">
          <cell r="A6780" t="str">
            <v>SPFSFGGF</v>
          </cell>
          <cell r="B6780">
            <v>2.2191986154560766E-3</v>
          </cell>
        </row>
        <row r="6781">
          <cell r="A6781" t="str">
            <v>SPFSGN5F</v>
          </cell>
          <cell r="B6781">
            <v>4.3123096302598204E-4</v>
          </cell>
        </row>
        <row r="6782">
          <cell r="A6782" t="str">
            <v>SPERFG1F</v>
          </cell>
          <cell r="B6782">
            <v>3.6986643588808299E-3</v>
          </cell>
        </row>
        <row r="6783">
          <cell r="A6783" t="str">
            <v>EpencolF</v>
          </cell>
          <cell r="B6783">
            <v>0</v>
          </cell>
        </row>
        <row r="6784">
          <cell r="A6784" t="str">
            <v>RIC4MIXF</v>
          </cell>
          <cell r="B6784">
            <v>-1.5977032806354333E-5</v>
          </cell>
        </row>
        <row r="6785">
          <cell r="A6785" t="str">
            <v>RIC4MOXF</v>
          </cell>
          <cell r="B6785">
            <v>-7.7171897743302331E-4</v>
          </cell>
        </row>
        <row r="6786">
          <cell r="A6786" t="str">
            <v>RIC4BTPF</v>
          </cell>
          <cell r="B6786">
            <v>-6.7094555794427243E-4</v>
          </cell>
        </row>
        <row r="6787">
          <cell r="A6787" t="str">
            <v>R4=1MIXF</v>
          </cell>
          <cell r="B6787">
            <v>-5.5652964313607028E-4</v>
          </cell>
        </row>
        <row r="6788">
          <cell r="A6788" t="str">
            <v>R4=1MOXF</v>
          </cell>
          <cell r="B6788">
            <v>1.2092509607461816E-4</v>
          </cell>
        </row>
        <row r="6789">
          <cell r="A6789" t="str">
            <v>R4=1BTPF</v>
          </cell>
          <cell r="B6789">
            <v>1.7098764046127206E-4</v>
          </cell>
        </row>
        <row r="6790">
          <cell r="A6790" t="str">
            <v>RI4=MIXF</v>
          </cell>
          <cell r="B6790">
            <v>6.188901374714564E-6</v>
          </cell>
        </row>
        <row r="6791">
          <cell r="A6791" t="str">
            <v>RI4=MOXF</v>
          </cell>
          <cell r="B6791">
            <v>1.6946528770335733E-4</v>
          </cell>
        </row>
        <row r="6792">
          <cell r="A6792" t="str">
            <v>RI4=BTPF</v>
          </cell>
          <cell r="B6792">
            <v>-7.3357497075610879E-5</v>
          </cell>
        </row>
        <row r="6793">
          <cell r="A6793" t="str">
            <v>R4=2MIXF</v>
          </cell>
          <cell r="B6793">
            <v>1.5057087602805065E-4</v>
          </cell>
        </row>
        <row r="6794">
          <cell r="A6794" t="str">
            <v>R4=2MOXF</v>
          </cell>
          <cell r="B6794">
            <v>2.7616220464202743E-4</v>
          </cell>
        </row>
        <row r="6795">
          <cell r="A6795" t="str">
            <v>R4=2BTPF</v>
          </cell>
          <cell r="B6795">
            <v>1.5564570490474979E-3</v>
          </cell>
        </row>
        <row r="6796">
          <cell r="A6796" t="str">
            <v>RNC4MIXF</v>
          </cell>
          <cell r="B6796">
            <v>2.8921525793035248E-4</v>
          </cell>
        </row>
        <row r="6797">
          <cell r="A6797" t="str">
            <v>RNC4MOXF</v>
          </cell>
          <cell r="B6797">
            <v>9.3149417339128844E-5</v>
          </cell>
        </row>
        <row r="6798">
          <cell r="A6798" t="str">
            <v>RNC4BTPF</v>
          </cell>
          <cell r="B6798">
            <v>5.9600807232016773E-4</v>
          </cell>
        </row>
        <row r="6799">
          <cell r="A6799" t="str">
            <v>PURCTELG</v>
          </cell>
          <cell r="B6799">
            <v>0</v>
          </cell>
        </row>
        <row r="6800">
          <cell r="A6800" t="str">
            <v>PURCFULG</v>
          </cell>
          <cell r="B6800">
            <v>0</v>
          </cell>
        </row>
        <row r="6801">
          <cell r="A6801" t="str">
            <v>PURCKWHG</v>
          </cell>
          <cell r="B6801">
            <v>0</v>
          </cell>
        </row>
        <row r="6802">
          <cell r="A6802" t="str">
            <v>PURCSTMG</v>
          </cell>
          <cell r="B6802">
            <v>0</v>
          </cell>
        </row>
        <row r="6803">
          <cell r="A6803" t="str">
            <v>PURCCWTG</v>
          </cell>
          <cell r="B6803">
            <v>0</v>
          </cell>
        </row>
        <row r="6804">
          <cell r="A6804" t="str">
            <v>PURCCNCG</v>
          </cell>
          <cell r="B6804">
            <v>0</v>
          </cell>
        </row>
        <row r="6805">
          <cell r="A6805" t="str">
            <v>BVBLNACG</v>
          </cell>
          <cell r="B6805">
            <v>0</v>
          </cell>
        </row>
        <row r="6806">
          <cell r="A6806" t="str">
            <v>BWBLNACG</v>
          </cell>
          <cell r="B6806">
            <v>0</v>
          </cell>
        </row>
        <row r="6807">
          <cell r="A6807" t="str">
            <v>BVBLNASG</v>
          </cell>
          <cell r="B6807">
            <v>0</v>
          </cell>
        </row>
        <row r="6808">
          <cell r="A6808" t="str">
            <v>BWBLNASG</v>
          </cell>
          <cell r="B6808">
            <v>0</v>
          </cell>
        </row>
        <row r="6809">
          <cell r="A6809" t="str">
            <v>BVBLNECG</v>
          </cell>
          <cell r="B6809">
            <v>0</v>
          </cell>
        </row>
        <row r="6810">
          <cell r="A6810" t="str">
            <v>BWBLNECG</v>
          </cell>
          <cell r="B6810">
            <v>0</v>
          </cell>
        </row>
        <row r="6811">
          <cell r="A6811" t="str">
            <v>BVBLGOYG</v>
          </cell>
          <cell r="B6811">
            <v>0</v>
          </cell>
        </row>
        <row r="6812">
          <cell r="A6812" t="str">
            <v>BWBLGOYG</v>
          </cell>
          <cell r="B6812">
            <v>0</v>
          </cell>
        </row>
        <row r="6813">
          <cell r="A6813" t="str">
            <v>BVBLGOIG</v>
          </cell>
          <cell r="B6813">
            <v>1.4247899795231753</v>
          </cell>
        </row>
        <row r="6814">
          <cell r="A6814" t="str">
            <v>BWBLGOIG</v>
          </cell>
          <cell r="B6814">
            <v>1.4247899795231753</v>
          </cell>
        </row>
        <row r="6815">
          <cell r="A6815" t="str">
            <v>BVBLGOAG</v>
          </cell>
          <cell r="B6815">
            <v>0</v>
          </cell>
        </row>
        <row r="6816">
          <cell r="A6816" t="str">
            <v>BWBLGOAG</v>
          </cell>
          <cell r="B6816">
            <v>0</v>
          </cell>
        </row>
        <row r="6817">
          <cell r="A6817" t="str">
            <v>BVBLKERG</v>
          </cell>
          <cell r="B6817">
            <v>0</v>
          </cell>
        </row>
        <row r="6818">
          <cell r="A6818" t="str">
            <v>BWBLKERG</v>
          </cell>
          <cell r="B6818">
            <v>0</v>
          </cell>
        </row>
        <row r="6819">
          <cell r="A6819" t="str">
            <v>BVBLJETG</v>
          </cell>
          <cell r="B6819">
            <v>0</v>
          </cell>
        </row>
        <row r="6820">
          <cell r="A6820" t="str">
            <v>BWBLJETG</v>
          </cell>
          <cell r="B6820">
            <v>0</v>
          </cell>
        </row>
        <row r="6821">
          <cell r="A6821" t="str">
            <v>BVBLNLPG</v>
          </cell>
          <cell r="B6821">
            <v>6.0205877087181052E-5</v>
          </cell>
        </row>
        <row r="6822">
          <cell r="A6822" t="str">
            <v>BWBLNLPG</v>
          </cell>
          <cell r="B6822">
            <v>6.0205877087181052E-5</v>
          </cell>
        </row>
        <row r="6823">
          <cell r="A6823" t="str">
            <v>BVBLBTAG</v>
          </cell>
          <cell r="B6823">
            <v>0</v>
          </cell>
        </row>
        <row r="6824">
          <cell r="A6824" t="str">
            <v>BWBLBTAG</v>
          </cell>
          <cell r="B6824">
            <v>0</v>
          </cell>
        </row>
        <row r="6825">
          <cell r="A6825" t="str">
            <v>BVBLBTBG</v>
          </cell>
          <cell r="B6825">
            <v>0</v>
          </cell>
        </row>
        <row r="6826">
          <cell r="A6826" t="str">
            <v>BWBLBTBG</v>
          </cell>
          <cell r="B6826">
            <v>0</v>
          </cell>
        </row>
        <row r="6827">
          <cell r="A6827" t="str">
            <v>BCANNACG</v>
          </cell>
          <cell r="B6827">
            <v>0</v>
          </cell>
        </row>
        <row r="6828">
          <cell r="A6828" t="str">
            <v>BSANNASG</v>
          </cell>
          <cell r="B6828">
            <v>0</v>
          </cell>
        </row>
        <row r="6829">
          <cell r="A6829" t="str">
            <v>BCENNECG</v>
          </cell>
          <cell r="B6829">
            <v>0</v>
          </cell>
        </row>
        <row r="6830">
          <cell r="A6830" t="str">
            <v>BIOGGOYG</v>
          </cell>
          <cell r="B6830">
            <v>0</v>
          </cell>
        </row>
        <row r="6831">
          <cell r="A6831" t="str">
            <v>BIOGGOIG</v>
          </cell>
          <cell r="B6831">
            <v>1.4247899795231753</v>
          </cell>
        </row>
        <row r="6832">
          <cell r="A6832" t="str">
            <v>BIOGGOAG</v>
          </cell>
          <cell r="B6832">
            <v>0</v>
          </cell>
        </row>
        <row r="6833">
          <cell r="A6833" t="str">
            <v>BREKKERG</v>
          </cell>
          <cell r="B6833">
            <v>0</v>
          </cell>
        </row>
        <row r="6834">
          <cell r="A6834" t="str">
            <v>BTEJJETG</v>
          </cell>
          <cell r="B6834">
            <v>0</v>
          </cell>
        </row>
        <row r="6835">
          <cell r="A6835" t="str">
            <v>BPLNNLPG</v>
          </cell>
          <cell r="B6835">
            <v>6.0205877087181052E-5</v>
          </cell>
        </row>
        <row r="6836">
          <cell r="A6836" t="str">
            <v>BATBBTAG</v>
          </cell>
          <cell r="B6836">
            <v>0</v>
          </cell>
        </row>
        <row r="6837">
          <cell r="A6837" t="str">
            <v>BBT2BTBG</v>
          </cell>
          <cell r="B6837">
            <v>0</v>
          </cell>
        </row>
        <row r="6838">
          <cell r="A6838" t="str">
            <v>EpencolG</v>
          </cell>
          <cell r="B6838">
            <v>0</v>
          </cell>
        </row>
        <row r="6839">
          <cell r="A6839">
            <v>0</v>
          </cell>
          <cell r="B6839">
            <v>0</v>
          </cell>
        </row>
        <row r="6840">
          <cell r="A6840">
            <v>0</v>
          </cell>
          <cell r="B6840">
            <v>0</v>
          </cell>
        </row>
        <row r="6841">
          <cell r="A6841">
            <v>0</v>
          </cell>
          <cell r="B6841">
            <v>0</v>
          </cell>
        </row>
        <row r="6842">
          <cell r="A6842">
            <v>0</v>
          </cell>
          <cell r="B6842">
            <v>0</v>
          </cell>
        </row>
        <row r="6843">
          <cell r="A6843">
            <v>0</v>
          </cell>
          <cell r="B6843">
            <v>0</v>
          </cell>
        </row>
        <row r="6844">
          <cell r="A6844">
            <v>0</v>
          </cell>
          <cell r="B6844">
            <v>0</v>
          </cell>
        </row>
        <row r="6845">
          <cell r="A6845">
            <v>0</v>
          </cell>
          <cell r="B6845">
            <v>0</v>
          </cell>
        </row>
        <row r="6846">
          <cell r="A6846">
            <v>0</v>
          </cell>
          <cell r="B6846">
            <v>0</v>
          </cell>
        </row>
        <row r="6847">
          <cell r="A6847">
            <v>0</v>
          </cell>
          <cell r="B6847">
            <v>0</v>
          </cell>
        </row>
        <row r="6848">
          <cell r="A6848">
            <v>0</v>
          </cell>
          <cell r="B6848">
            <v>0</v>
          </cell>
        </row>
        <row r="6849">
          <cell r="A6849">
            <v>0</v>
          </cell>
          <cell r="B6849">
            <v>0</v>
          </cell>
        </row>
        <row r="6850">
          <cell r="A6850">
            <v>0</v>
          </cell>
          <cell r="B6850">
            <v>0</v>
          </cell>
        </row>
        <row r="6851">
          <cell r="A6851">
            <v>0</v>
          </cell>
          <cell r="B6851">
            <v>0</v>
          </cell>
        </row>
        <row r="6852">
          <cell r="A6852">
            <v>0</v>
          </cell>
          <cell r="B6852">
            <v>0</v>
          </cell>
        </row>
        <row r="6853">
          <cell r="A6853">
            <v>0</v>
          </cell>
          <cell r="B6853">
            <v>0</v>
          </cell>
        </row>
        <row r="6854">
          <cell r="A6854">
            <v>0</v>
          </cell>
          <cell r="B6854">
            <v>0</v>
          </cell>
        </row>
        <row r="6855">
          <cell r="A6855">
            <v>0</v>
          </cell>
          <cell r="B6855">
            <v>0</v>
          </cell>
        </row>
        <row r="6856">
          <cell r="A6856">
            <v>0</v>
          </cell>
          <cell r="B6856">
            <v>0</v>
          </cell>
        </row>
        <row r="6857">
          <cell r="A6857">
            <v>0</v>
          </cell>
          <cell r="B6857">
            <v>0</v>
          </cell>
        </row>
        <row r="6858">
          <cell r="A6858">
            <v>0</v>
          </cell>
          <cell r="B6858">
            <v>0</v>
          </cell>
        </row>
        <row r="6859">
          <cell r="A6859">
            <v>0</v>
          </cell>
          <cell r="B6859">
            <v>0</v>
          </cell>
        </row>
        <row r="6860">
          <cell r="A6860">
            <v>0</v>
          </cell>
          <cell r="B6860">
            <v>0</v>
          </cell>
        </row>
        <row r="6861">
          <cell r="A6861">
            <v>0</v>
          </cell>
          <cell r="B6861">
            <v>0</v>
          </cell>
        </row>
        <row r="6862">
          <cell r="A6862">
            <v>0</v>
          </cell>
          <cell r="B6862">
            <v>0</v>
          </cell>
        </row>
        <row r="6863">
          <cell r="A6863">
            <v>0</v>
          </cell>
          <cell r="B6863">
            <v>0</v>
          </cell>
        </row>
        <row r="6864">
          <cell r="A6864">
            <v>0</v>
          </cell>
          <cell r="B6864">
            <v>0</v>
          </cell>
        </row>
        <row r="6865">
          <cell r="A6865">
            <v>0</v>
          </cell>
          <cell r="B6865">
            <v>0</v>
          </cell>
        </row>
        <row r="6866">
          <cell r="A6866">
            <v>0</v>
          </cell>
          <cell r="B6866">
            <v>0</v>
          </cell>
        </row>
        <row r="6867">
          <cell r="A6867">
            <v>0</v>
          </cell>
          <cell r="B6867">
            <v>0</v>
          </cell>
        </row>
        <row r="6868">
          <cell r="A6868">
            <v>0</v>
          </cell>
          <cell r="B6868">
            <v>0</v>
          </cell>
        </row>
        <row r="6869">
          <cell r="A6869">
            <v>0</v>
          </cell>
          <cell r="B6869">
            <v>0</v>
          </cell>
        </row>
        <row r="6870">
          <cell r="A6870">
            <v>0</v>
          </cell>
          <cell r="B6870">
            <v>0</v>
          </cell>
        </row>
        <row r="6871">
          <cell r="A6871">
            <v>0</v>
          </cell>
          <cell r="B6871">
            <v>0</v>
          </cell>
        </row>
        <row r="6872">
          <cell r="A6872">
            <v>0</v>
          </cell>
          <cell r="B6872">
            <v>0</v>
          </cell>
        </row>
        <row r="6873">
          <cell r="A6873">
            <v>0</v>
          </cell>
          <cell r="B6873">
            <v>0</v>
          </cell>
        </row>
        <row r="6874">
          <cell r="A6874">
            <v>0</v>
          </cell>
          <cell r="B6874">
            <v>0</v>
          </cell>
        </row>
        <row r="6875">
          <cell r="A6875">
            <v>0</v>
          </cell>
          <cell r="B6875">
            <v>0</v>
          </cell>
        </row>
        <row r="6876">
          <cell r="A6876">
            <v>0</v>
          </cell>
          <cell r="B6876">
            <v>0</v>
          </cell>
        </row>
        <row r="6877">
          <cell r="A6877">
            <v>0</v>
          </cell>
          <cell r="B6877">
            <v>0</v>
          </cell>
        </row>
        <row r="6878">
          <cell r="A6878">
            <v>0</v>
          </cell>
          <cell r="B6878">
            <v>0</v>
          </cell>
        </row>
        <row r="6879">
          <cell r="A6879">
            <v>0</v>
          </cell>
          <cell r="B6879">
            <v>0</v>
          </cell>
        </row>
        <row r="6880">
          <cell r="A6880">
            <v>0</v>
          </cell>
          <cell r="B6880">
            <v>0</v>
          </cell>
        </row>
        <row r="6881">
          <cell r="A6881">
            <v>0</v>
          </cell>
          <cell r="B6881">
            <v>0</v>
          </cell>
        </row>
        <row r="6882">
          <cell r="A6882">
            <v>0</v>
          </cell>
          <cell r="B6882">
            <v>0</v>
          </cell>
        </row>
        <row r="6883">
          <cell r="A6883">
            <v>0</v>
          </cell>
          <cell r="B6883">
            <v>0</v>
          </cell>
        </row>
        <row r="6884">
          <cell r="A6884">
            <v>0</v>
          </cell>
          <cell r="B6884">
            <v>0</v>
          </cell>
        </row>
        <row r="6885">
          <cell r="A6885">
            <v>0</v>
          </cell>
          <cell r="B6885">
            <v>0</v>
          </cell>
        </row>
        <row r="6886">
          <cell r="A6886">
            <v>0</v>
          </cell>
          <cell r="B6886">
            <v>0</v>
          </cell>
        </row>
        <row r="6887">
          <cell r="A6887">
            <v>0</v>
          </cell>
          <cell r="B6887">
            <v>0</v>
          </cell>
        </row>
        <row r="6888">
          <cell r="A6888">
            <v>0</v>
          </cell>
          <cell r="B6888">
            <v>0</v>
          </cell>
        </row>
        <row r="6889">
          <cell r="A6889">
            <v>0</v>
          </cell>
          <cell r="B6889">
            <v>0</v>
          </cell>
        </row>
        <row r="6890">
          <cell r="A6890">
            <v>0</v>
          </cell>
          <cell r="B6890">
            <v>0</v>
          </cell>
        </row>
        <row r="6891">
          <cell r="A6891">
            <v>0</v>
          </cell>
          <cell r="B6891">
            <v>0</v>
          </cell>
        </row>
        <row r="6892">
          <cell r="A6892">
            <v>0</v>
          </cell>
          <cell r="B6892">
            <v>0</v>
          </cell>
        </row>
        <row r="6893">
          <cell r="A6893">
            <v>0</v>
          </cell>
          <cell r="B6893">
            <v>0</v>
          </cell>
        </row>
        <row r="6894">
          <cell r="A6894">
            <v>0</v>
          </cell>
          <cell r="B6894">
            <v>0</v>
          </cell>
        </row>
        <row r="6895">
          <cell r="A6895">
            <v>0</v>
          </cell>
          <cell r="B6895">
            <v>0</v>
          </cell>
        </row>
        <row r="6896">
          <cell r="A6896">
            <v>0</v>
          </cell>
          <cell r="B6896">
            <v>0</v>
          </cell>
        </row>
        <row r="6897">
          <cell r="A6897">
            <v>0</v>
          </cell>
          <cell r="B6897">
            <v>0</v>
          </cell>
        </row>
        <row r="6898">
          <cell r="A6898">
            <v>0</v>
          </cell>
          <cell r="B6898">
            <v>0</v>
          </cell>
        </row>
        <row r="6899">
          <cell r="A6899">
            <v>0</v>
          </cell>
          <cell r="B6899">
            <v>0</v>
          </cell>
        </row>
        <row r="6900">
          <cell r="A6900">
            <v>0</v>
          </cell>
          <cell r="B6900">
            <v>0</v>
          </cell>
        </row>
        <row r="6901">
          <cell r="A6901">
            <v>0</v>
          </cell>
          <cell r="B6901">
            <v>0</v>
          </cell>
        </row>
        <row r="6902">
          <cell r="A6902">
            <v>0</v>
          </cell>
          <cell r="B6902">
            <v>0</v>
          </cell>
        </row>
        <row r="6903">
          <cell r="A6903">
            <v>0</v>
          </cell>
          <cell r="B6903">
            <v>0</v>
          </cell>
        </row>
        <row r="6904">
          <cell r="A6904">
            <v>0</v>
          </cell>
          <cell r="B6904">
            <v>0</v>
          </cell>
        </row>
        <row r="6905">
          <cell r="A6905">
            <v>0</v>
          </cell>
          <cell r="B6905">
            <v>0</v>
          </cell>
        </row>
        <row r="6906">
          <cell r="A6906">
            <v>0</v>
          </cell>
          <cell r="B6906">
            <v>0</v>
          </cell>
        </row>
        <row r="6907">
          <cell r="A6907">
            <v>0</v>
          </cell>
          <cell r="B6907">
            <v>0</v>
          </cell>
        </row>
        <row r="6908">
          <cell r="A6908">
            <v>0</v>
          </cell>
          <cell r="B6908">
            <v>0</v>
          </cell>
        </row>
        <row r="6909">
          <cell r="A6909">
            <v>0</v>
          </cell>
          <cell r="B6909">
            <v>0</v>
          </cell>
        </row>
        <row r="6910">
          <cell r="A6910">
            <v>0</v>
          </cell>
          <cell r="B6910">
            <v>0</v>
          </cell>
        </row>
        <row r="6911">
          <cell r="A6911">
            <v>0</v>
          </cell>
          <cell r="B6911">
            <v>0</v>
          </cell>
        </row>
        <row r="6912">
          <cell r="A6912">
            <v>0</v>
          </cell>
          <cell r="B6912">
            <v>0</v>
          </cell>
        </row>
        <row r="6913">
          <cell r="A6913">
            <v>0</v>
          </cell>
          <cell r="B6913">
            <v>0</v>
          </cell>
        </row>
        <row r="6914">
          <cell r="A6914">
            <v>0</v>
          </cell>
          <cell r="B6914">
            <v>0</v>
          </cell>
        </row>
        <row r="6915">
          <cell r="A6915">
            <v>0</v>
          </cell>
          <cell r="B6915">
            <v>0</v>
          </cell>
        </row>
        <row r="6916">
          <cell r="A6916">
            <v>0</v>
          </cell>
          <cell r="B6916">
            <v>0</v>
          </cell>
        </row>
        <row r="6917">
          <cell r="A6917">
            <v>0</v>
          </cell>
          <cell r="B6917">
            <v>0</v>
          </cell>
        </row>
        <row r="6918">
          <cell r="A6918">
            <v>0</v>
          </cell>
          <cell r="B6918">
            <v>0</v>
          </cell>
        </row>
        <row r="6919">
          <cell r="A6919">
            <v>0</v>
          </cell>
          <cell r="B6919">
            <v>0</v>
          </cell>
        </row>
        <row r="6920">
          <cell r="A6920">
            <v>0</v>
          </cell>
          <cell r="B6920">
            <v>0</v>
          </cell>
        </row>
        <row r="6921">
          <cell r="A6921">
            <v>0</v>
          </cell>
          <cell r="B6921">
            <v>0</v>
          </cell>
        </row>
        <row r="6922">
          <cell r="A6922">
            <v>0</v>
          </cell>
          <cell r="B6922">
            <v>0</v>
          </cell>
        </row>
        <row r="6923">
          <cell r="A6923">
            <v>0</v>
          </cell>
          <cell r="B6923">
            <v>0</v>
          </cell>
        </row>
        <row r="6924">
          <cell r="A6924">
            <v>0</v>
          </cell>
          <cell r="B6924">
            <v>0</v>
          </cell>
        </row>
        <row r="6925">
          <cell r="A6925">
            <v>0</v>
          </cell>
          <cell r="B6925">
            <v>0</v>
          </cell>
        </row>
        <row r="6926">
          <cell r="A6926">
            <v>0</v>
          </cell>
          <cell r="B6926">
            <v>0</v>
          </cell>
        </row>
        <row r="6927">
          <cell r="A6927">
            <v>0</v>
          </cell>
          <cell r="B6927">
            <v>0</v>
          </cell>
        </row>
        <row r="6928">
          <cell r="A6928">
            <v>0</v>
          </cell>
          <cell r="B6928">
            <v>0</v>
          </cell>
        </row>
        <row r="6929">
          <cell r="A6929">
            <v>0</v>
          </cell>
          <cell r="B6929">
            <v>0</v>
          </cell>
        </row>
        <row r="6930">
          <cell r="A6930">
            <v>0</v>
          </cell>
          <cell r="B6930">
            <v>0</v>
          </cell>
        </row>
        <row r="6931">
          <cell r="A6931">
            <v>0</v>
          </cell>
          <cell r="B6931">
            <v>0</v>
          </cell>
        </row>
        <row r="6932">
          <cell r="A6932">
            <v>0</v>
          </cell>
          <cell r="B6932">
            <v>0</v>
          </cell>
        </row>
        <row r="6933">
          <cell r="A6933">
            <v>0</v>
          </cell>
          <cell r="B6933">
            <v>0</v>
          </cell>
        </row>
        <row r="6934">
          <cell r="A6934">
            <v>0</v>
          </cell>
          <cell r="B6934">
            <v>0</v>
          </cell>
        </row>
        <row r="6935">
          <cell r="A6935">
            <v>0</v>
          </cell>
          <cell r="B6935">
            <v>0</v>
          </cell>
        </row>
        <row r="6936">
          <cell r="A6936">
            <v>0</v>
          </cell>
          <cell r="B6936">
            <v>0</v>
          </cell>
        </row>
        <row r="6937">
          <cell r="A6937">
            <v>0</v>
          </cell>
          <cell r="B6937">
            <v>0</v>
          </cell>
        </row>
        <row r="6938">
          <cell r="A6938">
            <v>0</v>
          </cell>
          <cell r="B6938">
            <v>0</v>
          </cell>
        </row>
        <row r="6939">
          <cell r="A6939">
            <v>0</v>
          </cell>
          <cell r="B6939">
            <v>0</v>
          </cell>
        </row>
        <row r="6940">
          <cell r="A6940">
            <v>0</v>
          </cell>
          <cell r="B6940">
            <v>0</v>
          </cell>
        </row>
        <row r="6941">
          <cell r="A6941">
            <v>0</v>
          </cell>
          <cell r="B6941">
            <v>0</v>
          </cell>
        </row>
        <row r="6942">
          <cell r="A6942">
            <v>0</v>
          </cell>
          <cell r="B6942">
            <v>0</v>
          </cell>
        </row>
        <row r="6943">
          <cell r="A6943">
            <v>0</v>
          </cell>
          <cell r="B6943">
            <v>0</v>
          </cell>
        </row>
        <row r="6944">
          <cell r="A6944">
            <v>0</v>
          </cell>
          <cell r="B6944">
            <v>0</v>
          </cell>
        </row>
        <row r="6945">
          <cell r="A6945">
            <v>0</v>
          </cell>
          <cell r="B6945">
            <v>0</v>
          </cell>
        </row>
        <row r="6946">
          <cell r="A6946">
            <v>0</v>
          </cell>
          <cell r="B6946">
            <v>0</v>
          </cell>
        </row>
        <row r="6947">
          <cell r="A6947">
            <v>0</v>
          </cell>
          <cell r="B6947">
            <v>0</v>
          </cell>
        </row>
        <row r="6948">
          <cell r="A6948">
            <v>0</v>
          </cell>
          <cell r="B6948">
            <v>0</v>
          </cell>
        </row>
        <row r="6949">
          <cell r="A6949">
            <v>0</v>
          </cell>
          <cell r="B6949">
            <v>0</v>
          </cell>
        </row>
        <row r="6950">
          <cell r="A6950">
            <v>0</v>
          </cell>
          <cell r="B6950">
            <v>0</v>
          </cell>
        </row>
        <row r="6951">
          <cell r="A6951">
            <v>0</v>
          </cell>
          <cell r="B6951">
            <v>0</v>
          </cell>
        </row>
        <row r="6952">
          <cell r="A6952">
            <v>0</v>
          </cell>
          <cell r="B6952">
            <v>0</v>
          </cell>
        </row>
        <row r="6953">
          <cell r="A6953">
            <v>0</v>
          </cell>
          <cell r="B6953">
            <v>0</v>
          </cell>
        </row>
        <row r="6954">
          <cell r="A6954">
            <v>0</v>
          </cell>
          <cell r="B6954">
            <v>0</v>
          </cell>
        </row>
        <row r="6955">
          <cell r="A6955">
            <v>0</v>
          </cell>
          <cell r="B6955">
            <v>0</v>
          </cell>
        </row>
        <row r="6956">
          <cell r="A6956">
            <v>0</v>
          </cell>
          <cell r="B6956">
            <v>0</v>
          </cell>
        </row>
        <row r="6957">
          <cell r="A6957">
            <v>0</v>
          </cell>
          <cell r="B6957">
            <v>0</v>
          </cell>
        </row>
        <row r="6958">
          <cell r="A6958">
            <v>0</v>
          </cell>
          <cell r="B6958">
            <v>0</v>
          </cell>
        </row>
        <row r="6959">
          <cell r="A6959">
            <v>0</v>
          </cell>
          <cell r="B6959">
            <v>0</v>
          </cell>
        </row>
        <row r="6960">
          <cell r="A6960">
            <v>0</v>
          </cell>
          <cell r="B6960">
            <v>0</v>
          </cell>
        </row>
        <row r="6961">
          <cell r="A6961">
            <v>0</v>
          </cell>
          <cell r="B6961">
            <v>0</v>
          </cell>
        </row>
        <row r="6962">
          <cell r="A6962">
            <v>0</v>
          </cell>
          <cell r="B6962">
            <v>0</v>
          </cell>
        </row>
        <row r="6963">
          <cell r="A6963">
            <v>0</v>
          </cell>
          <cell r="B6963">
            <v>0</v>
          </cell>
        </row>
        <row r="6964">
          <cell r="A6964">
            <v>0</v>
          </cell>
          <cell r="B6964">
            <v>0</v>
          </cell>
        </row>
        <row r="6965">
          <cell r="A6965">
            <v>0</v>
          </cell>
          <cell r="B6965">
            <v>0</v>
          </cell>
        </row>
        <row r="6966">
          <cell r="A6966">
            <v>0</v>
          </cell>
          <cell r="B6966">
            <v>0</v>
          </cell>
        </row>
        <row r="6967">
          <cell r="A6967">
            <v>0</v>
          </cell>
          <cell r="B6967">
            <v>0</v>
          </cell>
        </row>
        <row r="6968">
          <cell r="A6968">
            <v>0</v>
          </cell>
          <cell r="B6968">
            <v>0</v>
          </cell>
        </row>
        <row r="6969">
          <cell r="A6969">
            <v>0</v>
          </cell>
          <cell r="B6969">
            <v>0</v>
          </cell>
        </row>
        <row r="6970">
          <cell r="A6970">
            <v>0</v>
          </cell>
          <cell r="B6970">
            <v>0</v>
          </cell>
        </row>
        <row r="6971">
          <cell r="A6971">
            <v>0</v>
          </cell>
          <cell r="B6971">
            <v>0</v>
          </cell>
        </row>
        <row r="6972">
          <cell r="A6972">
            <v>0</v>
          </cell>
          <cell r="B6972">
            <v>0</v>
          </cell>
        </row>
        <row r="6973">
          <cell r="A6973">
            <v>0</v>
          </cell>
          <cell r="B6973">
            <v>0</v>
          </cell>
        </row>
        <row r="6974">
          <cell r="A6974">
            <v>0</v>
          </cell>
          <cell r="B6974">
            <v>0</v>
          </cell>
        </row>
        <row r="6975">
          <cell r="A6975">
            <v>0</v>
          </cell>
          <cell r="B6975">
            <v>0</v>
          </cell>
        </row>
        <row r="6976">
          <cell r="A6976">
            <v>0</v>
          </cell>
          <cell r="B6976">
            <v>0</v>
          </cell>
        </row>
        <row r="6977">
          <cell r="A6977">
            <v>0</v>
          </cell>
          <cell r="B6977">
            <v>0</v>
          </cell>
        </row>
        <row r="6978">
          <cell r="A6978">
            <v>0</v>
          </cell>
          <cell r="B6978">
            <v>0</v>
          </cell>
        </row>
        <row r="6979">
          <cell r="A6979">
            <v>0</v>
          </cell>
          <cell r="B6979">
            <v>0</v>
          </cell>
        </row>
        <row r="6980">
          <cell r="A6980">
            <v>0</v>
          </cell>
          <cell r="B6980">
            <v>0</v>
          </cell>
        </row>
        <row r="6981">
          <cell r="A6981">
            <v>0</v>
          </cell>
          <cell r="B6981">
            <v>0</v>
          </cell>
        </row>
        <row r="6982">
          <cell r="A6982">
            <v>0</v>
          </cell>
          <cell r="B6982">
            <v>0</v>
          </cell>
        </row>
        <row r="6983">
          <cell r="A6983">
            <v>0</v>
          </cell>
          <cell r="B6983">
            <v>0</v>
          </cell>
        </row>
        <row r="6984">
          <cell r="A6984">
            <v>0</v>
          </cell>
          <cell r="B6984">
            <v>0</v>
          </cell>
        </row>
        <row r="6985">
          <cell r="A6985">
            <v>0</v>
          </cell>
          <cell r="B6985">
            <v>0</v>
          </cell>
        </row>
        <row r="6986">
          <cell r="A6986">
            <v>0</v>
          </cell>
          <cell r="B6986">
            <v>0</v>
          </cell>
        </row>
        <row r="6987">
          <cell r="A6987">
            <v>0</v>
          </cell>
          <cell r="B6987">
            <v>0</v>
          </cell>
        </row>
        <row r="6988">
          <cell r="A6988">
            <v>0</v>
          </cell>
          <cell r="B6988">
            <v>0</v>
          </cell>
        </row>
        <row r="6989">
          <cell r="A6989">
            <v>0</v>
          </cell>
          <cell r="B6989">
            <v>0</v>
          </cell>
        </row>
        <row r="6990">
          <cell r="A6990">
            <v>0</v>
          </cell>
          <cell r="B6990">
            <v>0</v>
          </cell>
        </row>
        <row r="6991">
          <cell r="A6991">
            <v>0</v>
          </cell>
          <cell r="B6991">
            <v>0</v>
          </cell>
        </row>
        <row r="6992">
          <cell r="A6992">
            <v>0</v>
          </cell>
          <cell r="B6992">
            <v>0</v>
          </cell>
        </row>
        <row r="6993">
          <cell r="A6993">
            <v>0</v>
          </cell>
          <cell r="B6993">
            <v>0</v>
          </cell>
        </row>
        <row r="6994">
          <cell r="A6994">
            <v>0</v>
          </cell>
          <cell r="B6994">
            <v>0</v>
          </cell>
        </row>
        <row r="6995">
          <cell r="A6995">
            <v>0</v>
          </cell>
          <cell r="B6995">
            <v>0</v>
          </cell>
        </row>
        <row r="6996">
          <cell r="A6996">
            <v>0</v>
          </cell>
          <cell r="B6996">
            <v>0</v>
          </cell>
        </row>
        <row r="6997">
          <cell r="A6997">
            <v>0</v>
          </cell>
          <cell r="B6997">
            <v>0</v>
          </cell>
        </row>
        <row r="6998">
          <cell r="A6998">
            <v>0</v>
          </cell>
          <cell r="B6998">
            <v>0</v>
          </cell>
        </row>
        <row r="6999">
          <cell r="A6999">
            <v>0</v>
          </cell>
          <cell r="B6999">
            <v>0</v>
          </cell>
        </row>
        <row r="7000">
          <cell r="A7000">
            <v>0</v>
          </cell>
          <cell r="B7000">
            <v>0</v>
          </cell>
        </row>
      </sheetData>
      <sheetData sheetId="1">
        <row r="7">
          <cell r="A7" t="str">
            <v xml:space="preserve">PURCAL0 </v>
          </cell>
          <cell r="B7">
            <v>0.31999999284744263</v>
          </cell>
        </row>
        <row r="8">
          <cell r="A8" t="str">
            <v xml:space="preserve">PURCCE0 </v>
          </cell>
          <cell r="B8">
            <v>0.41999998688697815</v>
          </cell>
        </row>
        <row r="9">
          <cell r="A9" t="str">
            <v xml:space="preserve">PURCCC0 </v>
          </cell>
          <cell r="B9">
            <v>0.55000001192092896</v>
          </cell>
        </row>
        <row r="10">
          <cell r="A10" t="str">
            <v xml:space="preserve">PURCPC0 </v>
          </cell>
          <cell r="B10">
            <v>0.40000000596046448</v>
          </cell>
        </row>
        <row r="11">
          <cell r="A11" t="str">
            <v xml:space="preserve">PURCSD0 </v>
          </cell>
          <cell r="B11">
            <v>0.40000000596046448</v>
          </cell>
        </row>
        <row r="12">
          <cell r="A12" t="str">
            <v xml:space="preserve">PURCCH0 </v>
          </cell>
          <cell r="B12">
            <v>5.0999999046325684</v>
          </cell>
        </row>
        <row r="13">
          <cell r="A13" t="str">
            <v xml:space="preserve">PURCCL0 </v>
          </cell>
          <cell r="B13">
            <v>1.5</v>
          </cell>
        </row>
        <row r="14">
          <cell r="A14" t="str">
            <v xml:space="preserve">PURCLL0 </v>
          </cell>
          <cell r="B14">
            <v>0.30000001192092896</v>
          </cell>
        </row>
        <row r="15">
          <cell r="A15" t="str">
            <v xml:space="preserve">PURCDV0 </v>
          </cell>
          <cell r="B15">
            <v>1.8250000476837158</v>
          </cell>
        </row>
        <row r="16">
          <cell r="A16" t="str">
            <v xml:space="preserve">PURCFR0 </v>
          </cell>
          <cell r="B16">
            <v>9.4999998807907104E-2</v>
          </cell>
        </row>
        <row r="17">
          <cell r="A17" t="str">
            <v xml:space="preserve">PURCGL0 </v>
          </cell>
          <cell r="B17">
            <v>0.66699999570846558</v>
          </cell>
        </row>
        <row r="18">
          <cell r="A18" t="str">
            <v xml:space="preserve">PURCMG0 </v>
          </cell>
          <cell r="B18">
            <v>0.50499999523162842</v>
          </cell>
        </row>
        <row r="19">
          <cell r="A19" t="str">
            <v xml:space="preserve">PURCMD0 </v>
          </cell>
          <cell r="B19">
            <v>2.7699999809265137</v>
          </cell>
        </row>
        <row r="20">
          <cell r="A20" t="str">
            <v xml:space="preserve">PURCMN0 </v>
          </cell>
          <cell r="B20">
            <v>5.5999999046325684</v>
          </cell>
        </row>
        <row r="21">
          <cell r="A21" t="str">
            <v xml:space="preserve">PURCNQ0 </v>
          </cell>
          <cell r="B21">
            <v>12.881799697875977</v>
          </cell>
        </row>
        <row r="22">
          <cell r="A22" t="str">
            <v xml:space="preserve">PURCCO0 </v>
          </cell>
          <cell r="B22">
            <v>0</v>
          </cell>
        </row>
        <row r="23">
          <cell r="A23" t="str">
            <v xml:space="preserve">PURCAD0 </v>
          </cell>
          <cell r="B23">
            <v>0.23999999463558197</v>
          </cell>
        </row>
        <row r="24">
          <cell r="A24" t="str">
            <v xml:space="preserve">PURCND0 </v>
          </cell>
          <cell r="B24">
            <v>0.56000000238418579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1. Evolución de precios"/>
      <sheetName val="Gráfico 1. Evolución precios"/>
      <sheetName val="Balances_copia_Barclays"/>
      <sheetName val="Cuadro 2. de los balances "/>
      <sheetName val="Gráfico 2. Aumentos anuales"/>
      <sheetName val="Cuadro3. mes actual.vs.anterior"/>
      <sheetName val="Hoja1"/>
      <sheetName val="Hoja2"/>
      <sheetName val="Hoja3"/>
    </sheetNames>
    <sheetDataSet>
      <sheetData sheetId="0" refreshError="1"/>
      <sheetData sheetId="1">
        <row r="1">
          <cell r="A1" t="str">
            <v>Fecha</v>
          </cell>
          <cell r="C1" t="str">
            <v>WTI (eur/bbl)</v>
          </cell>
          <cell r="D1" t="str">
            <v>Brent ($/bbl)</v>
          </cell>
          <cell r="E1" t="str">
            <v>Brent (eur/bbl)</v>
          </cell>
          <cell r="F1" t="str">
            <v>OPEP ($/bbl)</v>
          </cell>
          <cell r="G1" t="str">
            <v>OPEP (eur/bbl)</v>
          </cell>
        </row>
        <row r="3">
          <cell r="C3">
            <v>10.770178263230529</v>
          </cell>
          <cell r="D3">
            <v>11.080499999999999</v>
          </cell>
          <cell r="E3">
            <v>9.5571770059801544</v>
          </cell>
          <cell r="F3">
            <v>10.760999999999999</v>
          </cell>
          <cell r="G3">
            <v>9.2816011697443646</v>
          </cell>
        </row>
        <row r="4">
          <cell r="C4">
            <v>10.727527380087945</v>
          </cell>
          <cell r="D4">
            <v>10.534500000000003</v>
          </cell>
          <cell r="E4">
            <v>9.400935229970198</v>
          </cell>
          <cell r="F4">
            <v>9.9619999999999997</v>
          </cell>
          <cell r="G4">
            <v>8.8900390869014263</v>
          </cell>
        </row>
        <row r="5">
          <cell r="C5">
            <v>13.490278482428561</v>
          </cell>
          <cell r="D5">
            <v>12.877391304347826</v>
          </cell>
          <cell r="E5">
            <v>11.83200770211049</v>
          </cell>
          <cell r="F5">
            <v>12.27130434782609</v>
          </cell>
          <cell r="G5">
            <v>11.275122742398763</v>
          </cell>
        </row>
        <row r="6">
          <cell r="C6">
            <v>16.16996864801731</v>
          </cell>
          <cell r="D6">
            <v>15.466999999999995</v>
          </cell>
          <cell r="E6">
            <v>14.454710352708286</v>
          </cell>
          <cell r="F6">
            <v>15.093333333333335</v>
          </cell>
          <cell r="G6">
            <v>14.105499553255996</v>
          </cell>
        </row>
        <row r="7">
          <cell r="C7">
            <v>16.725796981933726</v>
          </cell>
          <cell r="D7">
            <v>15.831052631578951</v>
          </cell>
          <cell r="E7">
            <v>14.899947798441126</v>
          </cell>
          <cell r="F7">
            <v>15.277142857142858</v>
          </cell>
          <cell r="G7">
            <v>14.378616278913423</v>
          </cell>
        </row>
        <row r="8">
          <cell r="C8">
            <v>17.252032662634896</v>
          </cell>
          <cell r="D8">
            <v>16.208181818181817</v>
          </cell>
          <cell r="E8">
            <v>15.604022440245409</v>
          </cell>
          <cell r="F8">
            <v>15.713809523809521</v>
          </cell>
          <cell r="G8">
            <v>15.128077854865241</v>
          </cell>
        </row>
        <row r="9">
          <cell r="C9">
            <v>19.388730661327163</v>
          </cell>
          <cell r="D9">
            <v>18.777727272727272</v>
          </cell>
          <cell r="E9">
            <v>18.117111506784436</v>
          </cell>
          <cell r="F9">
            <v>18.260909090909088</v>
          </cell>
          <cell r="G9">
            <v>17.618475410267433</v>
          </cell>
        </row>
        <row r="10">
          <cell r="C10">
            <v>20.064289387965022</v>
          </cell>
          <cell r="D10">
            <v>20.437619047619044</v>
          </cell>
          <cell r="E10">
            <v>19.270856293829034</v>
          </cell>
          <cell r="F10">
            <v>19.638500000000001</v>
          </cell>
          <cell r="G10">
            <v>18.517358134750559</v>
          </cell>
        </row>
        <row r="11">
          <cell r="C11">
            <v>22.646922158378487</v>
          </cell>
          <cell r="D11">
            <v>22.84272727272727</v>
          </cell>
          <cell r="E11">
            <v>21.746035180337092</v>
          </cell>
          <cell r="F11">
            <v>21.96318181818182</v>
          </cell>
          <cell r="G11">
            <v>20.908717194227489</v>
          </cell>
        </row>
        <row r="12">
          <cell r="C12">
            <v>21.177794381882549</v>
          </cell>
          <cell r="D12">
            <v>22.243333333333332</v>
          </cell>
          <cell r="E12">
            <v>20.774848339293023</v>
          </cell>
          <cell r="F12">
            <v>21.570476190476192</v>
          </cell>
          <cell r="G12">
            <v>20.146412623863661</v>
          </cell>
        </row>
        <row r="13">
          <cell r="C13">
            <v>23.975525614059787</v>
          </cell>
          <cell r="D13">
            <v>24.238636363636363</v>
          </cell>
          <cell r="E13">
            <v>23.464520500928455</v>
          </cell>
          <cell r="F13">
            <v>23.812272727272727</v>
          </cell>
          <cell r="G13">
            <v>23.051773754939315</v>
          </cell>
        </row>
        <row r="14">
          <cell r="C14">
            <v>25.782433060363374</v>
          </cell>
          <cell r="D14">
            <v>25.156999999999996</v>
          </cell>
          <cell r="E14">
            <v>24.861793229092807</v>
          </cell>
          <cell r="F14">
            <v>24.671304347826084</v>
          </cell>
          <cell r="G14">
            <v>24.381797010282252</v>
          </cell>
        </row>
        <row r="15">
          <cell r="C15">
            <v>26.651496352151746</v>
          </cell>
          <cell r="D15">
            <v>25.221500000000002</v>
          </cell>
          <cell r="E15">
            <v>24.882856176418084</v>
          </cell>
          <cell r="F15">
            <v>24.85</v>
          </cell>
          <cell r="G15">
            <v>24.516344229486329</v>
          </cell>
        </row>
        <row r="16">
          <cell r="C16">
            <v>29.766391539101651</v>
          </cell>
          <cell r="D16">
            <v>27.02809523809524</v>
          </cell>
          <cell r="E16">
            <v>27.460666111895957</v>
          </cell>
          <cell r="F16">
            <v>26.919523809523813</v>
          </cell>
          <cell r="G16">
            <v>27.350357053006402</v>
          </cell>
        </row>
        <row r="17">
          <cell r="C17">
            <v>30.989070422535203</v>
          </cell>
          <cell r="D17">
            <v>27.272608695652167</v>
          </cell>
          <cell r="E17">
            <v>28.271323943661962</v>
          </cell>
          <cell r="F17">
            <v>26.948636363636368</v>
          </cell>
          <cell r="G17">
            <v>27.935487836107555</v>
          </cell>
        </row>
        <row r="18">
          <cell r="C18">
            <v>27.0162520685362</v>
          </cell>
          <cell r="D18">
            <v>23.136111111111109</v>
          </cell>
          <cell r="E18">
            <v>24.47644102144546</v>
          </cell>
          <cell r="F18">
            <v>22.881052631578946</v>
          </cell>
          <cell r="G18">
            <v>24.206606397929566</v>
          </cell>
        </row>
        <row r="19">
          <cell r="C19">
            <v>31.71302863786924</v>
          </cell>
          <cell r="D19">
            <v>27.479523809523805</v>
          </cell>
          <cell r="E19">
            <v>30.252783301376983</v>
          </cell>
          <cell r="F19">
            <v>27.044782608695655</v>
          </cell>
          <cell r="G19">
            <v>29.774167608033849</v>
          </cell>
        </row>
        <row r="20">
          <cell r="C20">
            <v>33.193444191888979</v>
          </cell>
          <cell r="D20">
            <v>29.760909090909092</v>
          </cell>
          <cell r="E20">
            <v>31.331020456992462</v>
          </cell>
          <cell r="F20">
            <v>29.1109090909091</v>
          </cell>
          <cell r="G20">
            <v>30.646728077521242</v>
          </cell>
        </row>
        <row r="21">
          <cell r="C21">
            <v>31.626720298960919</v>
          </cell>
          <cell r="D21">
            <v>28.666190476190472</v>
          </cell>
          <cell r="E21">
            <v>30.509084458860201</v>
          </cell>
          <cell r="F21">
            <v>27.617142857142852</v>
          </cell>
          <cell r="G21">
            <v>29.392595595874617</v>
          </cell>
        </row>
        <row r="22">
          <cell r="C22">
            <v>34.43224323778572</v>
          </cell>
          <cell r="D22">
            <v>30.225454545454554</v>
          </cell>
          <cell r="E22">
            <v>33.423341757236024</v>
          </cell>
          <cell r="F22">
            <v>28.678695652173918</v>
          </cell>
          <cell r="G22">
            <v>31.712934026943099</v>
          </cell>
        </row>
        <row r="23">
          <cell r="C23">
            <v>38.886720031494001</v>
          </cell>
          <cell r="D23">
            <v>32.33047619047619</v>
          </cell>
          <cell r="E23">
            <v>37.122454782057169</v>
          </cell>
          <cell r="F23">
            <v>31.278571428571436</v>
          </cell>
          <cell r="G23">
            <v>35.914638147103211</v>
          </cell>
        </row>
        <row r="24">
          <cell r="C24">
            <v>38.579834393886955</v>
          </cell>
          <cell r="D24">
            <v>31.385909090909095</v>
          </cell>
          <cell r="E24">
            <v>36.76828456561676</v>
          </cell>
          <cell r="F24">
            <v>30.446363636363632</v>
          </cell>
          <cell r="G24">
            <v>35.667616283713606</v>
          </cell>
        </row>
        <row r="25">
          <cell r="C25">
            <v>40.049199054273039</v>
          </cell>
          <cell r="D25">
            <v>32.382272727272721</v>
          </cell>
          <cell r="E25">
            <v>37.850862046064336</v>
          </cell>
          <cell r="F25">
            <v>31.152727272727279</v>
          </cell>
          <cell r="G25">
            <v>36.413675849427527</v>
          </cell>
        </row>
        <row r="26">
          <cell r="C26">
            <v>31.490075666770508</v>
          </cell>
          <cell r="D26">
            <v>25.97</v>
          </cell>
          <cell r="E26">
            <v>28.797199326233084</v>
          </cell>
          <cell r="F26">
            <v>24.036190476190477</v>
          </cell>
          <cell r="G26">
            <v>26.652867469625047</v>
          </cell>
        </row>
        <row r="27">
          <cell r="C27">
            <v>31.179070034240528</v>
          </cell>
          <cell r="D27">
            <v>25.83909090909091</v>
          </cell>
          <cell r="E27">
            <v>27.53424253655907</v>
          </cell>
          <cell r="F27">
            <v>24.248181818181816</v>
          </cell>
          <cell r="G27">
            <v>25.838963205067724</v>
          </cell>
        </row>
        <row r="28">
          <cell r="C28">
            <v>32.184583227503722</v>
          </cell>
          <cell r="D28">
            <v>27.634500000000003</v>
          </cell>
          <cell r="E28">
            <v>30.002117068457309</v>
          </cell>
          <cell r="F28">
            <v>25.513999999999999</v>
          </cell>
          <cell r="G28">
            <v>27.699940830650807</v>
          </cell>
        </row>
        <row r="29">
          <cell r="C29">
            <v>30.005551304556558</v>
          </cell>
          <cell r="D29">
            <v>25.448636363636364</v>
          </cell>
          <cell r="E29">
            <v>28.000080018804415</v>
          </cell>
          <cell r="F29">
            <v>23.63727272727272</v>
          </cell>
          <cell r="G29">
            <v>26.007111671242729</v>
          </cell>
        </row>
        <row r="30">
          <cell r="C30">
            <v>30.917217007531544</v>
          </cell>
          <cell r="D30">
            <v>26.395789473684211</v>
          </cell>
          <cell r="E30">
            <v>29.545793101010521</v>
          </cell>
          <cell r="F30">
            <v>24.635000000000002</v>
          </cell>
          <cell r="G30">
            <v>27.57487567360123</v>
          </cell>
        </row>
        <row r="31">
          <cell r="C31">
            <v>32.787194467122113</v>
          </cell>
          <cell r="D31">
            <v>28.582380952380952</v>
          </cell>
          <cell r="E31">
            <v>32.670935453006557</v>
          </cell>
          <cell r="F31">
            <v>26.245652173913037</v>
          </cell>
          <cell r="G31">
            <v>29.999950302409832</v>
          </cell>
        </row>
        <row r="32">
          <cell r="C32">
            <v>32.311107640477012</v>
          </cell>
          <cell r="D32">
            <v>27.864761904761902</v>
          </cell>
          <cell r="E32">
            <v>32.63908256266663</v>
          </cell>
          <cell r="F32">
            <v>26.035714285714292</v>
          </cell>
          <cell r="G32">
            <v>30.496647739315723</v>
          </cell>
        </row>
        <row r="33">
          <cell r="C33">
            <v>30.717948408762727</v>
          </cell>
          <cell r="D33">
            <v>25.21772727272727</v>
          </cell>
          <cell r="E33">
            <v>29.267868070649303</v>
          </cell>
          <cell r="F33">
            <v>23.725909090909088</v>
          </cell>
          <cell r="G33">
            <v>27.536453607377236</v>
          </cell>
        </row>
        <row r="34">
          <cell r="C34">
            <v>30.262340102623398</v>
          </cell>
          <cell r="D34">
            <v>25.758181818181814</v>
          </cell>
          <cell r="E34">
            <v>28.543671885436712</v>
          </cell>
          <cell r="F34">
            <v>24.51227272727273</v>
          </cell>
          <cell r="G34">
            <v>27.163030171630304</v>
          </cell>
        </row>
        <row r="35">
          <cell r="C35">
            <v>28.292181069958854</v>
          </cell>
          <cell r="D35">
            <v>26.130500000000001</v>
          </cell>
          <cell r="E35">
            <v>28.637262799121068</v>
          </cell>
          <cell r="F35">
            <v>24.17</v>
          </cell>
          <cell r="G35">
            <v>26.488687237318697</v>
          </cell>
        </row>
        <row r="36">
          <cell r="C36">
            <v>24.512875629147334</v>
          </cell>
          <cell r="D36">
            <v>21.473478260869566</v>
          </cell>
          <cell r="E36">
            <v>23.697203203193599</v>
          </cell>
          <cell r="F36">
            <v>19.493478260869566</v>
          </cell>
          <cell r="G36">
            <v>21.512160716256354</v>
          </cell>
        </row>
        <row r="37">
          <cell r="C37">
            <v>22.149657565799568</v>
          </cell>
          <cell r="D37">
            <v>19.207272727272731</v>
          </cell>
          <cell r="E37">
            <v>21.629147343959545</v>
          </cell>
          <cell r="F37">
            <v>17.684545454545457</v>
          </cell>
          <cell r="G37">
            <v>19.914417042883617</v>
          </cell>
        </row>
        <row r="38">
          <cell r="C38">
            <v>21.761722258060438</v>
          </cell>
          <cell r="D38">
            <v>19.062105263157893</v>
          </cell>
          <cell r="E38">
            <v>21.378632835392978</v>
          </cell>
          <cell r="F38">
            <v>17.676315789473687</v>
          </cell>
          <cell r="G38">
            <v>19.824434915695878</v>
          </cell>
        </row>
        <row r="39">
          <cell r="C39">
            <v>22.336163464076282</v>
          </cell>
          <cell r="D39">
            <v>19.931818181818183</v>
          </cell>
          <cell r="E39">
            <v>22.565729357128987</v>
          </cell>
          <cell r="F39">
            <v>18.332857142857144</v>
          </cell>
          <cell r="G39">
            <v>20.755471922074598</v>
          </cell>
        </row>
        <row r="40">
          <cell r="C40">
            <v>23.841471985393806</v>
          </cell>
          <cell r="D40">
            <v>20.317499999999999</v>
          </cell>
          <cell r="E40">
            <v>23.338023719955203</v>
          </cell>
          <cell r="F40">
            <v>18.984000000000002</v>
          </cell>
          <cell r="G40">
            <v>21.806277460299231</v>
          </cell>
        </row>
        <row r="41">
          <cell r="C41">
            <v>27.877125617114643</v>
          </cell>
          <cell r="D41">
            <v>24.164000000000005</v>
          </cell>
          <cell r="E41">
            <v>27.56005496325826</v>
          </cell>
          <cell r="F41">
            <v>22.753809523809526</v>
          </cell>
          <cell r="G41">
            <v>25.951673609489308</v>
          </cell>
        </row>
        <row r="42">
          <cell r="C42">
            <v>29.614591984251476</v>
          </cell>
          <cell r="D42">
            <v>25.993809523809517</v>
          </cell>
          <cell r="E42">
            <v>29.316426723458179</v>
          </cell>
          <cell r="F42">
            <v>24.711428571428574</v>
          </cell>
          <cell r="G42">
            <v>27.870127473338695</v>
          </cell>
        </row>
        <row r="43">
          <cell r="C43">
            <v>29.365910565846132</v>
          </cell>
          <cell r="D43">
            <v>25.673636363636366</v>
          </cell>
          <cell r="E43">
            <v>27.971825903167478</v>
          </cell>
          <cell r="F43">
            <v>24.738695652173913</v>
          </cell>
          <cell r="G43">
            <v>26.953193464801544</v>
          </cell>
        </row>
        <row r="44">
          <cell r="C44">
            <v>26.694950677144281</v>
          </cell>
          <cell r="D44">
            <v>24.613888888888887</v>
          </cell>
          <cell r="E44">
            <v>25.720917163610686</v>
          </cell>
          <cell r="F44">
            <v>23.729500000000002</v>
          </cell>
          <cell r="G44">
            <v>24.796752215348601</v>
          </cell>
        </row>
        <row r="45">
          <cell r="C45">
            <v>27.135968888363355</v>
          </cell>
          <cell r="D45">
            <v>25.680869565217396</v>
          </cell>
          <cell r="E45">
            <v>25.867679196282726</v>
          </cell>
          <cell r="F45">
            <v>25.146521739130439</v>
          </cell>
          <cell r="G45">
            <v>25.329444378752648</v>
          </cell>
        </row>
        <row r="46">
          <cell r="C46">
            <v>28.838108696056381</v>
          </cell>
          <cell r="D46">
            <v>26.354761904761908</v>
          </cell>
          <cell r="E46">
            <v>26.951116612347867</v>
          </cell>
          <cell r="F46">
            <v>25.912272727272729</v>
          </cell>
          <cell r="G46">
            <v>26.498614803934338</v>
          </cell>
        </row>
        <row r="47">
          <cell r="C47">
            <v>30.242886682004844</v>
          </cell>
          <cell r="D47">
            <v>28.290476190476191</v>
          </cell>
          <cell r="E47">
            <v>28.836726174874535</v>
          </cell>
          <cell r="F47">
            <v>27.501428571428576</v>
          </cell>
          <cell r="G47">
            <v>28.032443137140707</v>
          </cell>
        </row>
        <row r="48">
          <cell r="C48">
            <v>29.406162514617805</v>
          </cell>
          <cell r="D48">
            <v>27.358260869565207</v>
          </cell>
          <cell r="E48">
            <v>27.873064247492806</v>
          </cell>
          <cell r="F48">
            <v>27.3195652173913</v>
          </cell>
          <cell r="G48">
            <v>27.833640455012571</v>
          </cell>
        </row>
        <row r="49">
          <cell r="C49">
            <v>26.134839424651371</v>
          </cell>
          <cell r="D49">
            <v>24.264285714285716</v>
          </cell>
          <cell r="E49">
            <v>24.213667618644831</v>
          </cell>
          <cell r="F49">
            <v>24.253333333333337</v>
          </cell>
          <cell r="G49">
            <v>24.202738085621011</v>
          </cell>
        </row>
        <row r="50">
          <cell r="C50">
            <v>28.771605103060839</v>
          </cell>
          <cell r="D50">
            <v>27.478999999999996</v>
          </cell>
          <cell r="E50">
            <v>26.897763777285387</v>
          </cell>
          <cell r="F50">
            <v>28.207142857142852</v>
          </cell>
          <cell r="G50">
            <v>27.610504945724788</v>
          </cell>
        </row>
        <row r="51">
          <cell r="C51">
            <v>30.765321427597456</v>
          </cell>
          <cell r="D51">
            <v>30.33909090909091</v>
          </cell>
          <cell r="E51">
            <v>28.544509977464241</v>
          </cell>
          <cell r="F51">
            <v>30.336363636363636</v>
          </cell>
          <cell r="G51">
            <v>28.541944025049641</v>
          </cell>
        </row>
        <row r="52">
          <cell r="C52">
            <v>33.15471565801316</v>
          </cell>
          <cell r="D52">
            <v>32.177500000000002</v>
          </cell>
          <cell r="E52">
            <v>29.855627824118319</v>
          </cell>
          <cell r="F52">
            <v>31.6435</v>
          </cell>
          <cell r="G52">
            <v>29.360160331053933</v>
          </cell>
        </row>
        <row r="53">
          <cell r="C53">
            <v>30.709248322917258</v>
          </cell>
          <cell r="D53">
            <v>29.560476190476191</v>
          </cell>
          <cell r="E53">
            <v>27.378899410319622</v>
          </cell>
          <cell r="F53">
            <v>29.482380952380954</v>
          </cell>
          <cell r="G53">
            <v>27.306567636823928</v>
          </cell>
        </row>
        <row r="54">
          <cell r="C54">
            <v>25.868461241786434</v>
          </cell>
          <cell r="D54">
            <v>24.753499999999995</v>
          </cell>
          <cell r="E54">
            <v>22.758795061893487</v>
          </cell>
          <cell r="F54">
            <v>25.239047619047618</v>
          </cell>
          <cell r="G54">
            <v>23.205215921759574</v>
          </cell>
        </row>
        <row r="55">
          <cell r="C55">
            <v>24.240194855237071</v>
          </cell>
          <cell r="D55">
            <v>25.454999999999998</v>
          </cell>
          <cell r="E55">
            <v>21.98160643421533</v>
          </cell>
          <cell r="F55">
            <v>25.629545454545454</v>
          </cell>
          <cell r="G55">
            <v>22.132334758187024</v>
          </cell>
        </row>
        <row r="56">
          <cell r="C56">
            <v>26.153293696619993</v>
          </cell>
          <cell r="D56">
            <v>27.288571428571426</v>
          </cell>
          <cell r="E56">
            <v>23.384572694738814</v>
          </cell>
          <cell r="F56">
            <v>26.752500000000001</v>
          </cell>
          <cell r="G56">
            <v>22.925193524824635</v>
          </cell>
        </row>
        <row r="57">
          <cell r="C57">
            <v>26.995755497470082</v>
          </cell>
          <cell r="D57">
            <v>28.364347826086956</v>
          </cell>
          <cell r="E57">
            <v>24.94007546477355</v>
          </cell>
          <cell r="F57">
            <v>27.501304347826085</v>
          </cell>
          <cell r="G57">
            <v>24.181222498747989</v>
          </cell>
        </row>
        <row r="58">
          <cell r="C58">
            <v>28.329170669228308</v>
          </cell>
          <cell r="D58">
            <v>29.443000000000001</v>
          </cell>
          <cell r="E58">
            <v>26.397822606468139</v>
          </cell>
          <cell r="F58">
            <v>28.692499999999999</v>
          </cell>
          <cell r="G58">
            <v>25.724943964137044</v>
          </cell>
        </row>
        <row r="59">
          <cell r="C59">
            <v>25.149862251325569</v>
          </cell>
          <cell r="D59">
            <v>26.807272727272728</v>
          </cell>
          <cell r="E59">
            <v>23.813677035888489</v>
          </cell>
          <cell r="F59">
            <v>26.150909090909089</v>
          </cell>
          <cell r="G59">
            <v>23.230610201246886</v>
          </cell>
        </row>
        <row r="60">
          <cell r="C60">
            <v>25.933770306624456</v>
          </cell>
          <cell r="D60">
            <v>28.970869565217392</v>
          </cell>
          <cell r="E60">
            <v>24.759218798769343</v>
          </cell>
          <cell r="F60">
            <v>28.349130434782609</v>
          </cell>
          <cell r="G60">
            <v>24.22786522197946</v>
          </cell>
        </row>
        <row r="61">
          <cell r="C61">
            <v>26.508340256675815</v>
          </cell>
          <cell r="D61">
            <v>28.806500000000007</v>
          </cell>
          <cell r="E61">
            <v>24.588155962989525</v>
          </cell>
          <cell r="F61">
            <v>28.482500000000002</v>
          </cell>
          <cell r="G61">
            <v>24.311601625183521</v>
          </cell>
        </row>
        <row r="62">
          <cell r="C62">
            <v>26.100556130813054</v>
          </cell>
          <cell r="D62">
            <v>29.617142857142852</v>
          </cell>
          <cell r="E62">
            <v>24.049988727418899</v>
          </cell>
          <cell r="F62">
            <v>29.569523809523805</v>
          </cell>
          <cell r="G62">
            <v>24.011320663994532</v>
          </cell>
        </row>
        <row r="63">
          <cell r="C63">
            <v>27.159060382935632</v>
          </cell>
          <cell r="D63">
            <v>30.662857142857142</v>
          </cell>
          <cell r="E63">
            <v>24.332528618062554</v>
          </cell>
          <cell r="F63">
            <v>30.264761904761908</v>
          </cell>
          <cell r="G63">
            <v>24.016619903863585</v>
          </cell>
        </row>
        <row r="64">
          <cell r="C64">
            <v>27.300999453980012</v>
          </cell>
          <cell r="D64">
            <v>30.343500000000006</v>
          </cell>
          <cell r="E64">
            <v>24.011822519763555</v>
          </cell>
          <cell r="F64">
            <v>29.628500000000003</v>
          </cell>
          <cell r="G64">
            <v>23.446019197746285</v>
          </cell>
        </row>
        <row r="65">
          <cell r="C65">
            <v>29.932869730415611</v>
          </cell>
          <cell r="D65">
            <v>32.731739130434782</v>
          </cell>
          <cell r="E65">
            <v>26.683041632109106</v>
          </cell>
          <cell r="F65">
            <v>32.22652173913044</v>
          </cell>
          <cell r="G65">
            <v>26.271186440677965</v>
          </cell>
        </row>
        <row r="66">
          <cell r="C66">
            <v>30.512733103544061</v>
          </cell>
          <cell r="D66">
            <v>32.976500000000001</v>
          </cell>
          <cell r="E66">
            <v>27.479375781220408</v>
          </cell>
          <cell r="F66">
            <v>32.26380952380952</v>
          </cell>
          <cell r="G66">
            <v>26.885489546752371</v>
          </cell>
        </row>
        <row r="67">
          <cell r="C67">
            <v>33.521040805570188</v>
          </cell>
          <cell r="D67">
            <v>37.197894736842102</v>
          </cell>
          <cell r="E67">
            <v>30.956110907522064</v>
          </cell>
          <cell r="F67">
            <v>36.365714285714283</v>
          </cell>
          <cell r="G67">
            <v>30.263569823613089</v>
          </cell>
        </row>
        <row r="68">
          <cell r="C68">
            <v>31.319761284740789</v>
          </cell>
          <cell r="D68">
            <v>35.510909090909088</v>
          </cell>
          <cell r="E68">
            <v>29.230147565027394</v>
          </cell>
          <cell r="F68">
            <v>34.490454545454547</v>
          </cell>
          <cell r="G68">
            <v>28.390179293004888</v>
          </cell>
        </row>
        <row r="69">
          <cell r="C69">
            <v>33.270491628253112</v>
          </cell>
          <cell r="D69">
            <v>37.667272727272717</v>
          </cell>
          <cell r="E69">
            <v>30.710164209028342</v>
          </cell>
          <cell r="F69">
            <v>36.30681818181818</v>
          </cell>
          <cell r="G69">
            <v>29.600984290632564</v>
          </cell>
        </row>
        <row r="70">
          <cell r="C70">
            <v>36.816339618279912</v>
          </cell>
          <cell r="D70">
            <v>41.752857142857145</v>
          </cell>
          <cell r="E70">
            <v>34.24828051254655</v>
          </cell>
          <cell r="F70">
            <v>40.419090909090897</v>
          </cell>
          <cell r="G70">
            <v>33.154242804997622</v>
          </cell>
        </row>
        <row r="71">
          <cell r="C71">
            <v>37.569241314167051</v>
          </cell>
          <cell r="D71">
            <v>42.855909090909094</v>
          </cell>
          <cell r="E71">
            <v>35.048921205632638</v>
          </cell>
          <cell r="F71">
            <v>40.212727272727271</v>
          </cell>
          <cell r="G71">
            <v>32.887243312367104</v>
          </cell>
        </row>
        <row r="72">
          <cell r="C72">
            <v>42.451598164823231</v>
          </cell>
          <cell r="D72">
            <v>49.376190476190473</v>
          </cell>
          <cell r="E72">
            <v>39.479144853319113</v>
          </cell>
          <cell r="F72">
            <v>45.083809523809521</v>
          </cell>
          <cell r="G72">
            <v>36.047135867806354</v>
          </cell>
        </row>
        <row r="73">
          <cell r="C73">
            <v>37.274249245050903</v>
          </cell>
          <cell r="D73">
            <v>44.565909090909095</v>
          </cell>
          <cell r="E73">
            <v>34.268048875964666</v>
          </cell>
          <cell r="F73">
            <v>38.594545454545454</v>
          </cell>
          <cell r="G73">
            <v>29.676490325466958</v>
          </cell>
        </row>
        <row r="74">
          <cell r="C74">
            <v>32.244017389422851</v>
          </cell>
          <cell r="D74">
            <v>40.278571428571439</v>
          </cell>
          <cell r="E74">
            <v>30.02444143292821</v>
          </cell>
          <cell r="F74">
            <v>35.849130434782616</v>
          </cell>
          <cell r="G74">
            <v>26.722648767950851</v>
          </cell>
        </row>
        <row r="75">
          <cell r="C75">
            <v>35.734627537863652</v>
          </cell>
          <cell r="D75">
            <v>44.481499999999997</v>
          </cell>
          <cell r="E75">
            <v>33.926978534849091</v>
          </cell>
          <cell r="F75">
            <v>40.523809523809526</v>
          </cell>
          <cell r="G75">
            <v>30.908364508044894</v>
          </cell>
        </row>
        <row r="76">
          <cell r="C76">
            <v>36.911865094068631</v>
          </cell>
          <cell r="D76">
            <v>45.864500000000007</v>
          </cell>
          <cell r="E76">
            <v>35.230655190557947</v>
          </cell>
          <cell r="F76">
            <v>42.197499999999998</v>
          </cell>
          <cell r="G76">
            <v>32.413861971755253</v>
          </cell>
        </row>
        <row r="77">
          <cell r="C77">
            <v>41.450871602624183</v>
          </cell>
          <cell r="D77">
            <v>53.272857142857134</v>
          </cell>
          <cell r="E77">
            <v>40.421466863033871</v>
          </cell>
          <cell r="F77">
            <v>49.506818181818176</v>
          </cell>
          <cell r="G77">
            <v>37.563936269915651</v>
          </cell>
        </row>
        <row r="78">
          <cell r="C78">
            <v>41.116004252986471</v>
          </cell>
          <cell r="D78">
            <v>53.30714285714285</v>
          </cell>
          <cell r="E78">
            <v>41.185170468969012</v>
          </cell>
          <cell r="F78">
            <v>49.489473684210523</v>
          </cell>
          <cell r="G78">
            <v>38.235634116913751</v>
          </cell>
        </row>
        <row r="79">
          <cell r="C79">
            <v>39.311098019002436</v>
          </cell>
          <cell r="D79">
            <v>49.673999999999999</v>
          </cell>
          <cell r="E79">
            <v>39.15584904173101</v>
          </cell>
          <cell r="F79">
            <v>46.584000000000003</v>
          </cell>
          <cell r="G79">
            <v>36.720136726657756</v>
          </cell>
        </row>
        <row r="80">
          <cell r="C80">
            <v>46.409449172187905</v>
          </cell>
          <cell r="D80">
            <v>55.416363636363648</v>
          </cell>
          <cell r="E80">
            <v>45.584254370877765</v>
          </cell>
          <cell r="F80">
            <v>51.680454545454545</v>
          </cell>
          <cell r="G80">
            <v>42.51117957614823</v>
          </cell>
        </row>
        <row r="81">
          <cell r="C81">
            <v>48.991589331731319</v>
          </cell>
          <cell r="D81">
            <v>57.946666666666673</v>
          </cell>
          <cell r="E81">
            <v>48.095742494427157</v>
          </cell>
          <cell r="F81">
            <v>53.094500000000004</v>
          </cell>
          <cell r="G81">
            <v>44.068443393989227</v>
          </cell>
        </row>
        <row r="82">
          <cell r="C82">
            <v>52.835557126446929</v>
          </cell>
          <cell r="D82">
            <v>63.8</v>
          </cell>
          <cell r="E82">
            <v>51.865335336219836</v>
          </cell>
          <cell r="F82">
            <v>57.843636363636342</v>
          </cell>
          <cell r="G82">
            <v>47.023191176588696</v>
          </cell>
        </row>
        <row r="83">
          <cell r="C83">
            <v>53.531009110485499</v>
          </cell>
          <cell r="D83">
            <v>63.799545454545459</v>
          </cell>
          <cell r="E83">
            <v>52.099240183068744</v>
          </cell>
          <cell r="F83">
            <v>58.006666666666675</v>
          </cell>
          <cell r="G83">
            <v>47.36872711795413</v>
          </cell>
        </row>
        <row r="84">
          <cell r="C84">
            <v>51.763942109763434</v>
          </cell>
          <cell r="D84">
            <v>59.499523809523808</v>
          </cell>
          <cell r="E84">
            <v>49.462029325141714</v>
          </cell>
          <cell r="F84">
            <v>54.395000000000003</v>
          </cell>
          <cell r="G84">
            <v>45.218632232320992</v>
          </cell>
        </row>
        <row r="85">
          <cell r="C85">
            <v>49.459605262143853</v>
          </cell>
          <cell r="D85">
            <v>56.225000000000001</v>
          </cell>
          <cell r="E85">
            <v>47.664095193322908</v>
          </cell>
          <cell r="F85">
            <v>50.983157894736834</v>
          </cell>
          <cell r="G85">
            <v>43.220384013356139</v>
          </cell>
        </row>
        <row r="86">
          <cell r="C86">
            <v>50.129655416113849</v>
          </cell>
          <cell r="D86">
            <v>57.631428571428572</v>
          </cell>
          <cell r="E86">
            <v>48.598139029081985</v>
          </cell>
          <cell r="F86">
            <v>52.679473684210528</v>
          </cell>
          <cell r="G86">
            <v>44.422365531180667</v>
          </cell>
        </row>
        <row r="87">
          <cell r="C87">
            <v>54.076684194339634</v>
          </cell>
          <cell r="D87">
            <v>63.857619047619046</v>
          </cell>
          <cell r="E87">
            <v>52.690571026367238</v>
          </cell>
          <cell r="F87">
            <v>58.67777777777777</v>
          </cell>
          <cell r="G87">
            <v>48.416550190570725</v>
          </cell>
        </row>
        <row r="88">
          <cell r="C88">
            <v>51.854807948053086</v>
          </cell>
          <cell r="D88">
            <v>61.141999999999982</v>
          </cell>
          <cell r="E88">
            <v>51.19848603475922</v>
          </cell>
          <cell r="F88">
            <v>56.575263157894753</v>
          </cell>
          <cell r="G88">
            <v>47.374436896115654</v>
          </cell>
        </row>
        <row r="89">
          <cell r="C89">
            <v>52.330295650162981</v>
          </cell>
          <cell r="D89">
            <v>63.028695652173916</v>
          </cell>
          <cell r="E89">
            <v>52.382328922549931</v>
          </cell>
          <cell r="F89">
            <v>57.959545454545463</v>
          </cell>
          <cell r="G89">
            <v>48.169424145409359</v>
          </cell>
        </row>
        <row r="90">
          <cell r="C90">
            <v>57.11975562586057</v>
          </cell>
          <cell r="D90">
            <v>70.53947368421052</v>
          </cell>
          <cell r="E90">
            <v>57.427837064767999</v>
          </cell>
          <cell r="F90">
            <v>64.63277777777779</v>
          </cell>
          <cell r="G90">
            <v>52.619057634057853</v>
          </cell>
        </row>
        <row r="91">
          <cell r="C91">
            <v>55.571665279421318</v>
          </cell>
          <cell r="D91">
            <v>70.983181818181805</v>
          </cell>
          <cell r="E91">
            <v>55.589107735566785</v>
          </cell>
          <cell r="F91">
            <v>65.103333333333339</v>
          </cell>
          <cell r="G91">
            <v>50.984417969330792</v>
          </cell>
        </row>
        <row r="92">
          <cell r="C92">
            <v>55.766193389638879</v>
          </cell>
          <cell r="D92">
            <v>69.333157894736857</v>
          </cell>
          <cell r="E92">
            <v>54.753690895790392</v>
          </cell>
          <cell r="F92">
            <v>64.344666666666669</v>
          </cell>
          <cell r="G92">
            <v>50.814186118685015</v>
          </cell>
        </row>
        <row r="93">
          <cell r="C93">
            <v>58.643520637469322</v>
          </cell>
          <cell r="D93">
            <v>74.260476190476183</v>
          </cell>
          <cell r="E93">
            <v>58.504843296292677</v>
          </cell>
          <cell r="F93">
            <v>68.906190476190488</v>
          </cell>
          <cell r="G93">
            <v>54.286561072052947</v>
          </cell>
        </row>
        <row r="94">
          <cell r="C94">
            <v>57.061966609862267</v>
          </cell>
          <cell r="D94">
            <v>73.901739130434777</v>
          </cell>
          <cell r="E94">
            <v>57.700846634847153</v>
          </cell>
          <cell r="F94">
            <v>68.804782608695646</v>
          </cell>
          <cell r="G94">
            <v>53.721255490905648</v>
          </cell>
        </row>
        <row r="95">
          <cell r="C95">
            <v>50.188328495765887</v>
          </cell>
          <cell r="D95">
            <v>63.639523809523801</v>
          </cell>
          <cell r="E95">
            <v>49.987656722223882</v>
          </cell>
          <cell r="F95">
            <v>59.637368421052635</v>
          </cell>
          <cell r="G95">
            <v>46.844038452755377</v>
          </cell>
        </row>
        <row r="96">
          <cell r="C96">
            <v>46.90601513604107</v>
          </cell>
          <cell r="D96">
            <v>59.366666666666667</v>
          </cell>
          <cell r="E96">
            <v>46.638908529080581</v>
          </cell>
          <cell r="F96">
            <v>55.563333333333333</v>
          </cell>
          <cell r="G96">
            <v>43.6509807002383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BASE DE DATOS 1"/>
      <sheetName val="BASE DE DATOS 2"/>
      <sheetName val="IPI GENERAL"/>
      <sheetName val="MODELO TRIMESTRAL"/>
      <sheetName val="MODELO ANUAL"/>
      <sheetName val="COMPARATIVA REGIONAL"/>
      <sheetName val="BETA CONVERGENCIA"/>
      <sheetName val="SIGMA CONVERGENCIA"/>
      <sheetName val="ESPAÑA"/>
      <sheetName val="ANDALUCÍA"/>
      <sheetName val="ARAGÓN"/>
      <sheetName val="ASTURIAS"/>
      <sheetName val="BALEARES"/>
      <sheetName val="CANARIAS"/>
      <sheetName val="CANTABRIA"/>
      <sheetName val="CASTILLA Y LEÓN"/>
      <sheetName val="CASTILLA LA MANCHA"/>
      <sheetName val="CATALUÑA"/>
      <sheetName val="COMUNIDAD VALENCIANA"/>
      <sheetName val="EXTREMADURA"/>
      <sheetName val="GALICIA"/>
      <sheetName val="MADRID"/>
      <sheetName val="MURCIA"/>
      <sheetName val="NAVARRA"/>
      <sheetName val="PAÍS VASCO"/>
      <sheetName val="RIOJA"/>
      <sheetName val="CEUTA Y MELIL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ESPAÑA</v>
          </cell>
        </row>
        <row r="3">
          <cell r="A3">
            <v>1</v>
          </cell>
        </row>
        <row r="6">
          <cell r="A6" t="str">
            <v>FECHA INICIAL</v>
          </cell>
        </row>
        <row r="7">
          <cell r="A7" t="str">
            <v>1T 1985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0">
        <row r="1">
          <cell r="A1" t="str">
            <v>ANDALUCÍA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1">
        <row r="1">
          <cell r="A1" t="str">
            <v>ARAGÓN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2">
        <row r="1">
          <cell r="A1" t="str">
            <v>ASTURIAS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3">
        <row r="1">
          <cell r="A1" t="str">
            <v>BALEARES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4">
        <row r="1">
          <cell r="A1" t="str">
            <v>CANARIAS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5">
        <row r="1">
          <cell r="A1" t="str">
            <v>CANTABRIA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6">
        <row r="1">
          <cell r="A1" t="str">
            <v>CASTILLA Y LEÓN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7">
        <row r="1">
          <cell r="A1" t="str">
            <v>CASTILLA LA MANCHA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8">
        <row r="1">
          <cell r="A1" t="str">
            <v>CATALUÑA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19">
        <row r="1">
          <cell r="A1" t="str">
            <v>COMUNIDAD VALENCIANA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20">
        <row r="1">
          <cell r="A1" t="str">
            <v>EXTREMADURA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21">
        <row r="1">
          <cell r="A1" t="str">
            <v>GALICIA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22">
        <row r="1">
          <cell r="A1" t="str">
            <v>MADRID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23">
        <row r="1">
          <cell r="A1" t="str">
            <v>MURCIA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24">
        <row r="1">
          <cell r="A1" t="str">
            <v>NAVARRA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25">
        <row r="1">
          <cell r="A1" t="str">
            <v>PAÍS VASCO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26">
        <row r="1">
          <cell r="A1" t="str">
            <v>RIOJA</v>
          </cell>
        </row>
        <row r="3">
          <cell r="A3">
            <v>1</v>
          </cell>
        </row>
        <row r="7">
          <cell r="A7" t="str">
            <v>FECHA</v>
          </cell>
        </row>
        <row r="8">
          <cell r="A8" t="str">
            <v>1T 1985</v>
          </cell>
        </row>
        <row r="9">
          <cell r="A9" t="str">
            <v>2T 1985</v>
          </cell>
        </row>
        <row r="10">
          <cell r="A10" t="str">
            <v>3T 1985</v>
          </cell>
        </row>
        <row r="11">
          <cell r="A11" t="str">
            <v>4T 1985</v>
          </cell>
        </row>
        <row r="12">
          <cell r="A12" t="str">
            <v>1T 1986</v>
          </cell>
        </row>
        <row r="13">
          <cell r="A13" t="str">
            <v>2T 1986</v>
          </cell>
        </row>
        <row r="14">
          <cell r="A14" t="str">
            <v>3T 1986</v>
          </cell>
        </row>
        <row r="15">
          <cell r="A15" t="str">
            <v>4T 1986</v>
          </cell>
        </row>
        <row r="16">
          <cell r="A16" t="str">
            <v>1T 1987</v>
          </cell>
        </row>
        <row r="17">
          <cell r="A17" t="str">
            <v>2T 1987</v>
          </cell>
        </row>
        <row r="18">
          <cell r="A18" t="str">
            <v>3T 1987</v>
          </cell>
        </row>
        <row r="19">
          <cell r="A19" t="str">
            <v>4T 1987</v>
          </cell>
        </row>
        <row r="20">
          <cell r="A20" t="str">
            <v>1T 1988</v>
          </cell>
        </row>
        <row r="21">
          <cell r="A21" t="str">
            <v>2T 1988</v>
          </cell>
        </row>
        <row r="22">
          <cell r="A22" t="str">
            <v>3T 1988</v>
          </cell>
        </row>
        <row r="23">
          <cell r="A23" t="str">
            <v>4T 1988</v>
          </cell>
        </row>
        <row r="24">
          <cell r="A24" t="str">
            <v>1T 1989</v>
          </cell>
        </row>
        <row r="25">
          <cell r="A25" t="str">
            <v>2T 1989</v>
          </cell>
        </row>
        <row r="26">
          <cell r="A26" t="str">
            <v>3T 1989</v>
          </cell>
        </row>
        <row r="27">
          <cell r="A27" t="str">
            <v>4T 1989</v>
          </cell>
        </row>
        <row r="28">
          <cell r="A28" t="str">
            <v>1T 1990</v>
          </cell>
        </row>
        <row r="29">
          <cell r="A29" t="str">
            <v>2T 1990</v>
          </cell>
        </row>
        <row r="30">
          <cell r="A30" t="str">
            <v>3T 1990</v>
          </cell>
        </row>
        <row r="31">
          <cell r="A31" t="str">
            <v>4T 1990</v>
          </cell>
        </row>
        <row r="32">
          <cell r="A32" t="str">
            <v>1T 1991</v>
          </cell>
        </row>
        <row r="33">
          <cell r="A33" t="str">
            <v>2T 1991</v>
          </cell>
        </row>
        <row r="34">
          <cell r="A34" t="str">
            <v>3T 1991</v>
          </cell>
        </row>
        <row r="35">
          <cell r="A35" t="str">
            <v>4T 1991</v>
          </cell>
        </row>
        <row r="36">
          <cell r="A36" t="str">
            <v>1T 1992</v>
          </cell>
        </row>
        <row r="37">
          <cell r="A37" t="str">
            <v>2T 1992</v>
          </cell>
        </row>
        <row r="38">
          <cell r="A38" t="str">
            <v>3T 1992</v>
          </cell>
        </row>
        <row r="39">
          <cell r="A39" t="str">
            <v>4T 1992</v>
          </cell>
        </row>
        <row r="40">
          <cell r="A40" t="str">
            <v>1T 1993</v>
          </cell>
        </row>
        <row r="41">
          <cell r="A41" t="str">
            <v>2T 1993</v>
          </cell>
        </row>
        <row r="42">
          <cell r="A42" t="str">
            <v>3T 1993</v>
          </cell>
        </row>
        <row r="43">
          <cell r="A43" t="str">
            <v>4T 1993</v>
          </cell>
        </row>
        <row r="44">
          <cell r="A44" t="str">
            <v>1T 1994</v>
          </cell>
        </row>
        <row r="45">
          <cell r="A45" t="str">
            <v>2T 1994</v>
          </cell>
        </row>
        <row r="46">
          <cell r="A46" t="str">
            <v>3T 1994</v>
          </cell>
        </row>
        <row r="47">
          <cell r="A47" t="str">
            <v>4T 1994</v>
          </cell>
        </row>
        <row r="48">
          <cell r="A48" t="str">
            <v>1T 1995</v>
          </cell>
        </row>
        <row r="49">
          <cell r="A49" t="str">
            <v>2T 1995</v>
          </cell>
        </row>
        <row r="50">
          <cell r="A50" t="str">
            <v>3T 1995</v>
          </cell>
        </row>
        <row r="51">
          <cell r="A51" t="str">
            <v>4T 1995</v>
          </cell>
        </row>
        <row r="52">
          <cell r="A52" t="str">
            <v>1T 1996</v>
          </cell>
        </row>
        <row r="53">
          <cell r="A53" t="str">
            <v>2T 1996</v>
          </cell>
        </row>
        <row r="54">
          <cell r="A54" t="str">
            <v>3T 1996</v>
          </cell>
        </row>
        <row r="55">
          <cell r="A55" t="str">
            <v>4T 1996</v>
          </cell>
        </row>
        <row r="56">
          <cell r="A56" t="str">
            <v>1T 1997</v>
          </cell>
        </row>
        <row r="57">
          <cell r="A57" t="str">
            <v>2T 1997</v>
          </cell>
        </row>
        <row r="58">
          <cell r="A58" t="str">
            <v>3T 1997</v>
          </cell>
        </row>
        <row r="59">
          <cell r="A59" t="str">
            <v>4T 1997</v>
          </cell>
        </row>
        <row r="60">
          <cell r="A60" t="str">
            <v>1T 1998</v>
          </cell>
        </row>
        <row r="61">
          <cell r="A61" t="str">
            <v>2T 1998</v>
          </cell>
        </row>
        <row r="62">
          <cell r="A62" t="str">
            <v>3T 1998</v>
          </cell>
        </row>
        <row r="63">
          <cell r="A63" t="str">
            <v>4T 1998</v>
          </cell>
        </row>
        <row r="64">
          <cell r="A64" t="str">
            <v>1T 1999</v>
          </cell>
        </row>
        <row r="65">
          <cell r="A65" t="str">
            <v>2T 1999</v>
          </cell>
        </row>
        <row r="66">
          <cell r="A66" t="str">
            <v>3T 1999</v>
          </cell>
        </row>
        <row r="67">
          <cell r="A67" t="str">
            <v>4T 1999</v>
          </cell>
        </row>
        <row r="68">
          <cell r="A68" t="str">
            <v>1T 2000</v>
          </cell>
        </row>
        <row r="69">
          <cell r="A69" t="str">
            <v>2T 2000</v>
          </cell>
        </row>
        <row r="70">
          <cell r="A70" t="str">
            <v>3T 2000</v>
          </cell>
        </row>
        <row r="71">
          <cell r="A71" t="str">
            <v>4T 2000</v>
          </cell>
        </row>
        <row r="72">
          <cell r="A72" t="str">
            <v>1T 2001</v>
          </cell>
        </row>
        <row r="73">
          <cell r="A73" t="str">
            <v>2T 2001</v>
          </cell>
        </row>
        <row r="74">
          <cell r="A74" t="str">
            <v>3T 2001</v>
          </cell>
        </row>
        <row r="75">
          <cell r="A75" t="str">
            <v>4T 2001</v>
          </cell>
        </row>
        <row r="76">
          <cell r="A76" t="str">
            <v>1T 2002</v>
          </cell>
        </row>
        <row r="77">
          <cell r="A77" t="str">
            <v>2T 2002</v>
          </cell>
        </row>
        <row r="78">
          <cell r="A78" t="str">
            <v>3T 2002</v>
          </cell>
        </row>
        <row r="79">
          <cell r="A79" t="str">
            <v>4T 2002</v>
          </cell>
        </row>
        <row r="80">
          <cell r="A80" t="str">
            <v>1T 2003</v>
          </cell>
        </row>
        <row r="81">
          <cell r="A81" t="str">
            <v>2T 2003</v>
          </cell>
        </row>
        <row r="82">
          <cell r="A82" t="str">
            <v>3T 2003</v>
          </cell>
        </row>
        <row r="83">
          <cell r="A83" t="str">
            <v>4T 2003</v>
          </cell>
        </row>
        <row r="84">
          <cell r="A84" t="str">
            <v>1T 2004</v>
          </cell>
        </row>
        <row r="85">
          <cell r="A85" t="str">
            <v>2T 2004</v>
          </cell>
        </row>
        <row r="86">
          <cell r="A86" t="str">
            <v>3T 2004</v>
          </cell>
        </row>
        <row r="87">
          <cell r="A87" t="str">
            <v>4T 2004</v>
          </cell>
        </row>
        <row r="88">
          <cell r="A88" t="str">
            <v>1T 2005</v>
          </cell>
        </row>
        <row r="89">
          <cell r="A89" t="str">
            <v>2T 2005</v>
          </cell>
        </row>
        <row r="90">
          <cell r="A90" t="str">
            <v>3T 2005</v>
          </cell>
        </row>
        <row r="91">
          <cell r="A91" t="str">
            <v>4T 2005</v>
          </cell>
        </row>
        <row r="92">
          <cell r="A92" t="str">
            <v>1T 2006</v>
          </cell>
        </row>
        <row r="93">
          <cell r="A93" t="str">
            <v>2T 2006</v>
          </cell>
        </row>
        <row r="94">
          <cell r="A94" t="str">
            <v>3T 2006</v>
          </cell>
        </row>
        <row r="95">
          <cell r="A95" t="str">
            <v>4T 2006</v>
          </cell>
        </row>
        <row r="96">
          <cell r="A96" t="str">
            <v>1T 2007</v>
          </cell>
        </row>
        <row r="97">
          <cell r="A97" t="str">
            <v>2T 2007</v>
          </cell>
        </row>
        <row r="98">
          <cell r="A98" t="str">
            <v>3T 2007</v>
          </cell>
        </row>
      </sheetData>
      <sheetData sheetId="2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Semanal WTI"/>
      <sheetName val="EvSemanal Brent"/>
      <sheetName val="Gráfico semanal WTI"/>
      <sheetName val="Gráfico semanal Brent"/>
      <sheetName val="Grafico semanal Henry Hub"/>
      <sheetName val="Grafico semanal BNP"/>
      <sheetName val="Stocks de crudo y productos USA"/>
      <sheetName val="inventory gaps"/>
      <sheetName val="graficos stocks y coberturas"/>
      <sheetName val="graficos stocks y cobertura 2 A"/>
      <sheetName val="Demanda mensual"/>
      <sheetName val="graficos evolución demanda"/>
      <sheetName val="Compara Semanal"/>
      <sheetName val="g4 refino"/>
      <sheetName val="stock cond."/>
      <sheetName val="Hoja1"/>
      <sheetName val="Hoja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fecha</v>
          </cell>
        </row>
        <row r="3">
          <cell r="A3">
            <v>36161</v>
          </cell>
        </row>
        <row r="4">
          <cell r="A4">
            <v>36168</v>
          </cell>
        </row>
        <row r="5">
          <cell r="A5">
            <v>36175</v>
          </cell>
        </row>
        <row r="6">
          <cell r="A6">
            <v>36182</v>
          </cell>
        </row>
        <row r="7">
          <cell r="A7">
            <v>36189</v>
          </cell>
        </row>
        <row r="8">
          <cell r="A8">
            <v>36196</v>
          </cell>
        </row>
        <row r="9">
          <cell r="A9">
            <v>36203</v>
          </cell>
        </row>
        <row r="10">
          <cell r="A10">
            <v>36210</v>
          </cell>
        </row>
        <row r="11">
          <cell r="A11">
            <v>36217</v>
          </cell>
        </row>
        <row r="12">
          <cell r="A12">
            <v>36224</v>
          </cell>
        </row>
        <row r="13">
          <cell r="A13">
            <v>36231</v>
          </cell>
        </row>
        <row r="14">
          <cell r="A14">
            <v>36238</v>
          </cell>
        </row>
        <row r="15">
          <cell r="A15">
            <v>36245</v>
          </cell>
        </row>
        <row r="16">
          <cell r="A16">
            <v>36252</v>
          </cell>
        </row>
        <row r="17">
          <cell r="A17">
            <v>36259</v>
          </cell>
        </row>
        <row r="18">
          <cell r="A18">
            <v>36266</v>
          </cell>
        </row>
        <row r="19">
          <cell r="A19">
            <v>36273</v>
          </cell>
        </row>
        <row r="20">
          <cell r="A20">
            <v>36280</v>
          </cell>
        </row>
        <row r="21">
          <cell r="A21">
            <v>36287</v>
          </cell>
        </row>
        <row r="22">
          <cell r="A22">
            <v>36294</v>
          </cell>
        </row>
        <row r="23">
          <cell r="A23">
            <v>36301</v>
          </cell>
        </row>
        <row r="24">
          <cell r="A24">
            <v>36308</v>
          </cell>
        </row>
        <row r="25">
          <cell r="A25">
            <v>36315</v>
          </cell>
        </row>
        <row r="26">
          <cell r="A26">
            <v>36322</v>
          </cell>
        </row>
        <row r="27">
          <cell r="A27">
            <v>36329</v>
          </cell>
        </row>
        <row r="28">
          <cell r="A28">
            <v>36336</v>
          </cell>
        </row>
        <row r="29">
          <cell r="A29">
            <v>36343</v>
          </cell>
        </row>
        <row r="30">
          <cell r="A30">
            <v>36350</v>
          </cell>
        </row>
        <row r="31">
          <cell r="A31">
            <v>36357</v>
          </cell>
        </row>
        <row r="32">
          <cell r="A32">
            <v>36364</v>
          </cell>
        </row>
        <row r="33">
          <cell r="A33">
            <v>36371</v>
          </cell>
        </row>
        <row r="34">
          <cell r="A34">
            <v>36378</v>
          </cell>
        </row>
        <row r="35">
          <cell r="A35">
            <v>36385</v>
          </cell>
        </row>
        <row r="36">
          <cell r="A36">
            <v>36392</v>
          </cell>
        </row>
        <row r="37">
          <cell r="A37">
            <v>36399</v>
          </cell>
        </row>
        <row r="38">
          <cell r="A38">
            <v>36406</v>
          </cell>
        </row>
        <row r="39">
          <cell r="A39">
            <v>36413</v>
          </cell>
        </row>
        <row r="40">
          <cell r="A40">
            <v>36420</v>
          </cell>
        </row>
        <row r="41">
          <cell r="A41">
            <v>36427</v>
          </cell>
        </row>
        <row r="42">
          <cell r="A42">
            <v>36434</v>
          </cell>
        </row>
        <row r="43">
          <cell r="A43">
            <v>36441</v>
          </cell>
        </row>
        <row r="44">
          <cell r="A44">
            <v>36448</v>
          </cell>
        </row>
        <row r="45">
          <cell r="A45">
            <v>36455</v>
          </cell>
        </row>
        <row r="46">
          <cell r="A46">
            <v>36462</v>
          </cell>
        </row>
        <row r="47">
          <cell r="A47">
            <v>36469</v>
          </cell>
        </row>
        <row r="48">
          <cell r="A48">
            <v>36476</v>
          </cell>
        </row>
        <row r="49">
          <cell r="A49">
            <v>36483</v>
          </cell>
        </row>
        <row r="50">
          <cell r="A50">
            <v>36490</v>
          </cell>
        </row>
        <row r="51">
          <cell r="A51">
            <v>36497</v>
          </cell>
        </row>
        <row r="52">
          <cell r="A52">
            <v>36504</v>
          </cell>
        </row>
        <row r="53">
          <cell r="A53">
            <v>36511</v>
          </cell>
        </row>
        <row r="54">
          <cell r="A54">
            <v>36518</v>
          </cell>
        </row>
        <row r="55">
          <cell r="A55">
            <v>36525</v>
          </cell>
        </row>
        <row r="56">
          <cell r="A56">
            <v>36532</v>
          </cell>
        </row>
        <row r="57">
          <cell r="A57">
            <v>36539</v>
          </cell>
        </row>
        <row r="58">
          <cell r="A58">
            <v>36546</v>
          </cell>
        </row>
        <row r="59">
          <cell r="A59">
            <v>36553</v>
          </cell>
        </row>
        <row r="60">
          <cell r="A60">
            <v>36560</v>
          </cell>
        </row>
        <row r="61">
          <cell r="A61">
            <v>36567</v>
          </cell>
        </row>
        <row r="62">
          <cell r="A62">
            <v>36574</v>
          </cell>
        </row>
        <row r="63">
          <cell r="A63">
            <v>36581</v>
          </cell>
        </row>
        <row r="64">
          <cell r="A64">
            <v>36588</v>
          </cell>
        </row>
        <row r="65">
          <cell r="A65">
            <v>36595</v>
          </cell>
        </row>
        <row r="66">
          <cell r="A66">
            <v>36602</v>
          </cell>
        </row>
        <row r="67">
          <cell r="A67">
            <v>36609</v>
          </cell>
        </row>
        <row r="68">
          <cell r="A68">
            <v>36616</v>
          </cell>
        </row>
        <row r="69">
          <cell r="A69">
            <v>36623</v>
          </cell>
        </row>
        <row r="70">
          <cell r="A70">
            <v>36630</v>
          </cell>
        </row>
        <row r="71">
          <cell r="A71">
            <v>36637</v>
          </cell>
        </row>
        <row r="72">
          <cell r="A72">
            <v>36644</v>
          </cell>
        </row>
        <row r="73">
          <cell r="A73">
            <v>36651</v>
          </cell>
        </row>
        <row r="74">
          <cell r="A74">
            <v>36658</v>
          </cell>
        </row>
        <row r="75">
          <cell r="A75">
            <v>36665</v>
          </cell>
        </row>
        <row r="76">
          <cell r="A76">
            <v>36672</v>
          </cell>
        </row>
        <row r="77">
          <cell r="A77">
            <v>36679</v>
          </cell>
        </row>
        <row r="78">
          <cell r="A78">
            <v>36686</v>
          </cell>
        </row>
        <row r="79">
          <cell r="A79">
            <v>36693</v>
          </cell>
        </row>
        <row r="80">
          <cell r="A80">
            <v>36700</v>
          </cell>
        </row>
        <row r="81">
          <cell r="A81">
            <v>36707</v>
          </cell>
        </row>
        <row r="82">
          <cell r="A82">
            <v>36714</v>
          </cell>
        </row>
        <row r="83">
          <cell r="A83">
            <v>36721</v>
          </cell>
        </row>
        <row r="84">
          <cell r="A84">
            <v>36728</v>
          </cell>
        </row>
        <row r="85">
          <cell r="A85">
            <v>36735</v>
          </cell>
        </row>
        <row r="86">
          <cell r="A86">
            <v>36742</v>
          </cell>
        </row>
        <row r="87">
          <cell r="A87">
            <v>36749</v>
          </cell>
        </row>
        <row r="88">
          <cell r="A88">
            <v>36756</v>
          </cell>
        </row>
        <row r="89">
          <cell r="A89">
            <v>36763</v>
          </cell>
        </row>
        <row r="90">
          <cell r="A90">
            <v>36770</v>
          </cell>
        </row>
        <row r="91">
          <cell r="A91">
            <v>36777</v>
          </cell>
        </row>
        <row r="92">
          <cell r="A92">
            <v>36784</v>
          </cell>
        </row>
        <row r="93">
          <cell r="A93">
            <v>36791</v>
          </cell>
        </row>
        <row r="94">
          <cell r="A94">
            <v>36798</v>
          </cell>
        </row>
        <row r="95">
          <cell r="A95">
            <v>36805</v>
          </cell>
        </row>
        <row r="96">
          <cell r="A96">
            <v>36812</v>
          </cell>
        </row>
        <row r="97">
          <cell r="A97">
            <v>36819</v>
          </cell>
        </row>
        <row r="98">
          <cell r="A98">
            <v>36826</v>
          </cell>
        </row>
        <row r="99">
          <cell r="A99">
            <v>36833</v>
          </cell>
        </row>
        <row r="100">
          <cell r="A100">
            <v>36840</v>
          </cell>
        </row>
        <row r="101">
          <cell r="A101">
            <v>36847</v>
          </cell>
        </row>
        <row r="102">
          <cell r="A102">
            <v>36854</v>
          </cell>
        </row>
        <row r="103">
          <cell r="A103">
            <v>36861</v>
          </cell>
        </row>
        <row r="104">
          <cell r="A104">
            <v>36868</v>
          </cell>
        </row>
        <row r="105">
          <cell r="A105">
            <v>36875</v>
          </cell>
        </row>
        <row r="106">
          <cell r="A106">
            <v>36882</v>
          </cell>
        </row>
        <row r="107">
          <cell r="A107">
            <v>36889</v>
          </cell>
        </row>
        <row r="108">
          <cell r="A108">
            <v>36896</v>
          </cell>
        </row>
        <row r="109">
          <cell r="A109">
            <v>36903</v>
          </cell>
        </row>
        <row r="110">
          <cell r="A110">
            <v>36910</v>
          </cell>
        </row>
        <row r="111">
          <cell r="A111">
            <v>36917</v>
          </cell>
        </row>
        <row r="112">
          <cell r="A112">
            <v>36924</v>
          </cell>
        </row>
        <row r="113">
          <cell r="A113">
            <v>36931</v>
          </cell>
        </row>
        <row r="114">
          <cell r="A114">
            <v>36938</v>
          </cell>
        </row>
        <row r="115">
          <cell r="A115">
            <v>36945</v>
          </cell>
        </row>
        <row r="116">
          <cell r="A116">
            <v>36952</v>
          </cell>
        </row>
        <row r="117">
          <cell r="A117">
            <v>36959</v>
          </cell>
        </row>
        <row r="118">
          <cell r="A118">
            <v>36966</v>
          </cell>
        </row>
        <row r="119">
          <cell r="A119">
            <v>36973</v>
          </cell>
        </row>
        <row r="120">
          <cell r="A120">
            <v>36980</v>
          </cell>
        </row>
        <row r="121">
          <cell r="A121">
            <v>36987</v>
          </cell>
        </row>
        <row r="122">
          <cell r="A122">
            <v>36994</v>
          </cell>
        </row>
        <row r="123">
          <cell r="A123">
            <v>37001</v>
          </cell>
        </row>
        <row r="124">
          <cell r="A124">
            <v>37008</v>
          </cell>
        </row>
        <row r="125">
          <cell r="A125">
            <v>37015</v>
          </cell>
        </row>
        <row r="126">
          <cell r="A126">
            <v>37022</v>
          </cell>
        </row>
        <row r="127">
          <cell r="A127">
            <v>37029</v>
          </cell>
        </row>
        <row r="128">
          <cell r="A128">
            <v>37036</v>
          </cell>
        </row>
        <row r="129">
          <cell r="A129">
            <v>37043</v>
          </cell>
        </row>
        <row r="130">
          <cell r="A130">
            <v>37050</v>
          </cell>
        </row>
        <row r="131">
          <cell r="A131">
            <v>37057</v>
          </cell>
        </row>
        <row r="132">
          <cell r="A132">
            <v>37064</v>
          </cell>
        </row>
        <row r="133">
          <cell r="A133">
            <v>37071</v>
          </cell>
        </row>
        <row r="134">
          <cell r="A134">
            <v>37078</v>
          </cell>
        </row>
        <row r="135">
          <cell r="A135">
            <v>37085</v>
          </cell>
        </row>
        <row r="136">
          <cell r="A136">
            <v>37092</v>
          </cell>
        </row>
        <row r="137">
          <cell r="A137">
            <v>37099</v>
          </cell>
        </row>
        <row r="138">
          <cell r="A138">
            <v>37106</v>
          </cell>
        </row>
        <row r="139">
          <cell r="A139">
            <v>37113</v>
          </cell>
        </row>
        <row r="140">
          <cell r="A140">
            <v>37120</v>
          </cell>
        </row>
        <row r="141">
          <cell r="A141">
            <v>37127</v>
          </cell>
        </row>
        <row r="142">
          <cell r="A142">
            <v>37134</v>
          </cell>
        </row>
        <row r="143">
          <cell r="A143">
            <v>37141</v>
          </cell>
        </row>
        <row r="144">
          <cell r="A144">
            <v>37148</v>
          </cell>
        </row>
        <row r="145">
          <cell r="A145">
            <v>37155</v>
          </cell>
        </row>
        <row r="146">
          <cell r="A146">
            <v>37162</v>
          </cell>
        </row>
        <row r="147">
          <cell r="A147">
            <v>37169</v>
          </cell>
        </row>
        <row r="148">
          <cell r="A148">
            <v>37176</v>
          </cell>
        </row>
        <row r="149">
          <cell r="A149">
            <v>37183</v>
          </cell>
        </row>
        <row r="150">
          <cell r="A150">
            <v>37190</v>
          </cell>
        </row>
        <row r="151">
          <cell r="A151">
            <v>37197</v>
          </cell>
        </row>
        <row r="152">
          <cell r="A152">
            <v>37204</v>
          </cell>
        </row>
        <row r="153">
          <cell r="A153">
            <v>37211</v>
          </cell>
        </row>
        <row r="154">
          <cell r="A154">
            <v>37218</v>
          </cell>
        </row>
        <row r="155">
          <cell r="A155">
            <v>37225</v>
          </cell>
        </row>
        <row r="156">
          <cell r="A156">
            <v>37232</v>
          </cell>
        </row>
        <row r="157">
          <cell r="A157">
            <v>37239</v>
          </cell>
        </row>
        <row r="158">
          <cell r="A158">
            <v>37246</v>
          </cell>
        </row>
        <row r="159">
          <cell r="A159">
            <v>37253</v>
          </cell>
        </row>
        <row r="160">
          <cell r="A160">
            <v>37260</v>
          </cell>
        </row>
        <row r="161">
          <cell r="A161">
            <v>37267</v>
          </cell>
        </row>
        <row r="162">
          <cell r="A162">
            <v>37274</v>
          </cell>
        </row>
        <row r="163">
          <cell r="A163">
            <v>37281</v>
          </cell>
        </row>
        <row r="164">
          <cell r="A164">
            <v>37288</v>
          </cell>
        </row>
        <row r="165">
          <cell r="A165">
            <v>37295</v>
          </cell>
        </row>
        <row r="166">
          <cell r="A166">
            <v>37302</v>
          </cell>
        </row>
        <row r="167">
          <cell r="A167">
            <v>37309</v>
          </cell>
        </row>
        <row r="168">
          <cell r="A168">
            <v>37316</v>
          </cell>
        </row>
        <row r="169">
          <cell r="A169">
            <v>37323</v>
          </cell>
        </row>
        <row r="170">
          <cell r="A170">
            <v>37330</v>
          </cell>
        </row>
        <row r="171">
          <cell r="A171">
            <v>37337</v>
          </cell>
        </row>
        <row r="172">
          <cell r="A172">
            <v>37344</v>
          </cell>
        </row>
        <row r="173">
          <cell r="A173">
            <v>37351</v>
          </cell>
        </row>
        <row r="174">
          <cell r="A174">
            <v>37358</v>
          </cell>
        </row>
        <row r="175">
          <cell r="A175">
            <v>37365</v>
          </cell>
        </row>
        <row r="176">
          <cell r="A176">
            <v>37372</v>
          </cell>
        </row>
        <row r="177">
          <cell r="A177">
            <v>37379</v>
          </cell>
        </row>
        <row r="178">
          <cell r="A178">
            <v>37386</v>
          </cell>
        </row>
        <row r="179">
          <cell r="A179">
            <v>37393</v>
          </cell>
        </row>
        <row r="180">
          <cell r="A180">
            <v>37400</v>
          </cell>
        </row>
        <row r="181">
          <cell r="A181">
            <v>37407</v>
          </cell>
        </row>
        <row r="182">
          <cell r="A182">
            <v>37414</v>
          </cell>
        </row>
        <row r="183">
          <cell r="A183">
            <v>37421</v>
          </cell>
        </row>
        <row r="184">
          <cell r="A184">
            <v>37428</v>
          </cell>
        </row>
        <row r="185">
          <cell r="A185">
            <v>37435</v>
          </cell>
        </row>
        <row r="186">
          <cell r="A186">
            <v>37442</v>
          </cell>
        </row>
        <row r="187">
          <cell r="A187">
            <v>37449</v>
          </cell>
        </row>
        <row r="188">
          <cell r="A188">
            <v>37456</v>
          </cell>
        </row>
        <row r="189">
          <cell r="A189">
            <v>37463</v>
          </cell>
        </row>
        <row r="190">
          <cell r="A190">
            <v>37470</v>
          </cell>
        </row>
        <row r="191">
          <cell r="A191">
            <v>37477</v>
          </cell>
        </row>
        <row r="192">
          <cell r="A192">
            <v>37484</v>
          </cell>
        </row>
        <row r="193">
          <cell r="A193">
            <v>37491</v>
          </cell>
        </row>
        <row r="194">
          <cell r="A194">
            <v>37498</v>
          </cell>
        </row>
        <row r="195">
          <cell r="A195">
            <v>37505</v>
          </cell>
        </row>
        <row r="196">
          <cell r="A196">
            <v>37512</v>
          </cell>
        </row>
        <row r="197">
          <cell r="A197">
            <v>37519</v>
          </cell>
        </row>
        <row r="198">
          <cell r="A198">
            <v>37526</v>
          </cell>
        </row>
        <row r="199">
          <cell r="A199">
            <v>37533</v>
          </cell>
        </row>
        <row r="200">
          <cell r="A200">
            <v>37540</v>
          </cell>
        </row>
        <row r="201">
          <cell r="A201">
            <v>37547</v>
          </cell>
        </row>
        <row r="202">
          <cell r="A202">
            <v>37554</v>
          </cell>
        </row>
        <row r="203">
          <cell r="A203">
            <v>37561</v>
          </cell>
        </row>
        <row r="204">
          <cell r="A204">
            <v>37568</v>
          </cell>
        </row>
        <row r="205">
          <cell r="A205">
            <v>37575</v>
          </cell>
        </row>
        <row r="206">
          <cell r="A206">
            <v>37582</v>
          </cell>
        </row>
        <row r="207">
          <cell r="A207">
            <v>37589</v>
          </cell>
        </row>
        <row r="208">
          <cell r="A208">
            <v>37596</v>
          </cell>
        </row>
        <row r="209">
          <cell r="A209">
            <v>37603</v>
          </cell>
        </row>
        <row r="210">
          <cell r="A210">
            <v>37610</v>
          </cell>
        </row>
        <row r="211">
          <cell r="A211">
            <v>37617</v>
          </cell>
        </row>
        <row r="212">
          <cell r="A212">
            <v>37624</v>
          </cell>
        </row>
        <row r="213">
          <cell r="A213">
            <v>37631</v>
          </cell>
        </row>
        <row r="214">
          <cell r="A214">
            <v>37638</v>
          </cell>
        </row>
        <row r="215">
          <cell r="A215">
            <v>37645</v>
          </cell>
        </row>
        <row r="216">
          <cell r="A216">
            <v>37652</v>
          </cell>
        </row>
        <row r="217">
          <cell r="A217">
            <v>37659</v>
          </cell>
        </row>
        <row r="218">
          <cell r="A218">
            <v>37666</v>
          </cell>
        </row>
        <row r="219">
          <cell r="A219">
            <v>37673</v>
          </cell>
        </row>
        <row r="220">
          <cell r="A220">
            <v>37680</v>
          </cell>
        </row>
        <row r="221">
          <cell r="A221">
            <v>37687</v>
          </cell>
        </row>
        <row r="222">
          <cell r="A222">
            <v>37694</v>
          </cell>
        </row>
        <row r="223">
          <cell r="A223">
            <v>37701</v>
          </cell>
        </row>
        <row r="224">
          <cell r="A224">
            <v>37708</v>
          </cell>
        </row>
        <row r="225">
          <cell r="A225">
            <v>37715</v>
          </cell>
        </row>
        <row r="226">
          <cell r="A226">
            <v>37722</v>
          </cell>
        </row>
        <row r="227">
          <cell r="A227">
            <v>37729</v>
          </cell>
        </row>
        <row r="228">
          <cell r="A228">
            <v>37736</v>
          </cell>
        </row>
        <row r="229">
          <cell r="A229">
            <v>37743</v>
          </cell>
        </row>
        <row r="230">
          <cell r="A230">
            <v>37750</v>
          </cell>
        </row>
        <row r="231">
          <cell r="A231">
            <v>37757</v>
          </cell>
        </row>
        <row r="232">
          <cell r="A232">
            <v>37764</v>
          </cell>
        </row>
        <row r="233">
          <cell r="A233">
            <v>37771</v>
          </cell>
        </row>
        <row r="234">
          <cell r="A234">
            <v>37778</v>
          </cell>
        </row>
        <row r="235">
          <cell r="A235">
            <v>37785</v>
          </cell>
        </row>
        <row r="236">
          <cell r="A236">
            <v>37792</v>
          </cell>
        </row>
        <row r="237">
          <cell r="A237">
            <v>37799</v>
          </cell>
        </row>
        <row r="238">
          <cell r="A238">
            <v>37806</v>
          </cell>
        </row>
        <row r="239">
          <cell r="A239">
            <v>37813</v>
          </cell>
        </row>
        <row r="240">
          <cell r="A240">
            <v>37820</v>
          </cell>
        </row>
        <row r="241">
          <cell r="A241">
            <v>37827</v>
          </cell>
        </row>
        <row r="242">
          <cell r="A242">
            <v>37834</v>
          </cell>
        </row>
        <row r="243">
          <cell r="A243">
            <v>37841</v>
          </cell>
        </row>
        <row r="244">
          <cell r="A244">
            <v>37848</v>
          </cell>
        </row>
        <row r="245">
          <cell r="A245">
            <v>37855</v>
          </cell>
        </row>
        <row r="246">
          <cell r="A246">
            <v>37862</v>
          </cell>
        </row>
        <row r="247">
          <cell r="A247">
            <v>37869</v>
          </cell>
        </row>
        <row r="248">
          <cell r="A248">
            <v>37876</v>
          </cell>
        </row>
        <row r="249">
          <cell r="A249">
            <v>37883</v>
          </cell>
        </row>
        <row r="250">
          <cell r="A250">
            <v>37890</v>
          </cell>
        </row>
        <row r="251">
          <cell r="A251">
            <v>37897</v>
          </cell>
        </row>
        <row r="252">
          <cell r="A252">
            <v>37904</v>
          </cell>
        </row>
        <row r="253">
          <cell r="A253">
            <v>37911</v>
          </cell>
        </row>
        <row r="254">
          <cell r="A254">
            <v>37918</v>
          </cell>
        </row>
        <row r="255">
          <cell r="A255">
            <v>37925</v>
          </cell>
        </row>
        <row r="256">
          <cell r="A256">
            <v>37932</v>
          </cell>
        </row>
        <row r="257">
          <cell r="A257">
            <v>37939</v>
          </cell>
        </row>
        <row r="258">
          <cell r="A258">
            <v>37946</v>
          </cell>
        </row>
        <row r="259">
          <cell r="A259">
            <v>37953</v>
          </cell>
        </row>
        <row r="260">
          <cell r="A260">
            <v>37960</v>
          </cell>
        </row>
        <row r="261">
          <cell r="A261">
            <v>37967</v>
          </cell>
        </row>
        <row r="262">
          <cell r="A262">
            <v>37974</v>
          </cell>
        </row>
        <row r="263">
          <cell r="A263">
            <v>37981</v>
          </cell>
        </row>
        <row r="264">
          <cell r="A264">
            <v>37988</v>
          </cell>
        </row>
        <row r="265">
          <cell r="A265">
            <v>37995</v>
          </cell>
        </row>
        <row r="266">
          <cell r="A266">
            <v>38002</v>
          </cell>
        </row>
        <row r="267">
          <cell r="A267">
            <v>38009</v>
          </cell>
        </row>
        <row r="268">
          <cell r="A268">
            <v>38016</v>
          </cell>
        </row>
        <row r="269">
          <cell r="A269">
            <v>38023</v>
          </cell>
        </row>
        <row r="270">
          <cell r="A270">
            <v>38030</v>
          </cell>
        </row>
        <row r="271">
          <cell r="A271">
            <v>38037</v>
          </cell>
        </row>
        <row r="272">
          <cell r="A272">
            <v>38044</v>
          </cell>
        </row>
        <row r="273">
          <cell r="A273">
            <v>38051</v>
          </cell>
        </row>
        <row r="274">
          <cell r="A274">
            <v>38058</v>
          </cell>
        </row>
        <row r="275">
          <cell r="A275">
            <v>38065</v>
          </cell>
        </row>
        <row r="276">
          <cell r="A276">
            <v>38072</v>
          </cell>
        </row>
        <row r="277">
          <cell r="A277">
            <v>38079</v>
          </cell>
        </row>
        <row r="278">
          <cell r="A278">
            <v>38086</v>
          </cell>
        </row>
        <row r="279">
          <cell r="A279">
            <v>38093</v>
          </cell>
        </row>
        <row r="280">
          <cell r="A280">
            <v>38100</v>
          </cell>
        </row>
        <row r="281">
          <cell r="A281">
            <v>38107</v>
          </cell>
        </row>
        <row r="282">
          <cell r="A282">
            <v>38114</v>
          </cell>
        </row>
        <row r="283">
          <cell r="A283">
            <v>38121</v>
          </cell>
        </row>
        <row r="284">
          <cell r="A284">
            <v>38128</v>
          </cell>
        </row>
        <row r="285">
          <cell r="A285">
            <v>38135</v>
          </cell>
        </row>
        <row r="286">
          <cell r="A286">
            <v>38142</v>
          </cell>
        </row>
        <row r="287">
          <cell r="A287">
            <v>38149</v>
          </cell>
        </row>
        <row r="288">
          <cell r="A288">
            <v>38156</v>
          </cell>
        </row>
        <row r="289">
          <cell r="A289">
            <v>38163</v>
          </cell>
        </row>
        <row r="290">
          <cell r="A290">
            <v>38170</v>
          </cell>
        </row>
        <row r="291">
          <cell r="A291">
            <v>38177</v>
          </cell>
        </row>
        <row r="292">
          <cell r="A292">
            <v>38184</v>
          </cell>
        </row>
        <row r="293">
          <cell r="A293">
            <v>38191</v>
          </cell>
        </row>
        <row r="294">
          <cell r="A294">
            <v>38198</v>
          </cell>
        </row>
        <row r="295">
          <cell r="A295">
            <v>38205</v>
          </cell>
        </row>
        <row r="296">
          <cell r="A296">
            <v>38212</v>
          </cell>
        </row>
        <row r="297">
          <cell r="A297">
            <v>38219</v>
          </cell>
        </row>
        <row r="298">
          <cell r="A298">
            <v>38226</v>
          </cell>
        </row>
        <row r="299">
          <cell r="A299">
            <v>38233</v>
          </cell>
        </row>
        <row r="300">
          <cell r="A300">
            <v>38240</v>
          </cell>
        </row>
        <row r="301">
          <cell r="A301">
            <v>38247</v>
          </cell>
        </row>
        <row r="302">
          <cell r="A302">
            <v>38254</v>
          </cell>
        </row>
        <row r="303">
          <cell r="A303">
            <v>38261</v>
          </cell>
        </row>
        <row r="304">
          <cell r="A304">
            <v>38268</v>
          </cell>
        </row>
        <row r="305">
          <cell r="A305">
            <v>38275</v>
          </cell>
        </row>
        <row r="306">
          <cell r="A306">
            <v>38282</v>
          </cell>
        </row>
        <row r="307">
          <cell r="A307">
            <v>38289</v>
          </cell>
        </row>
        <row r="308">
          <cell r="A308">
            <v>38296</v>
          </cell>
        </row>
        <row r="309">
          <cell r="A309">
            <v>38303</v>
          </cell>
        </row>
        <row r="310">
          <cell r="A310">
            <v>38310</v>
          </cell>
        </row>
        <row r="311">
          <cell r="A311">
            <v>38317</v>
          </cell>
        </row>
        <row r="312">
          <cell r="A312">
            <v>38324</v>
          </cell>
        </row>
        <row r="313">
          <cell r="A313">
            <v>38331</v>
          </cell>
        </row>
        <row r="314">
          <cell r="A314">
            <v>38338</v>
          </cell>
        </row>
        <row r="315">
          <cell r="A315">
            <v>38345</v>
          </cell>
        </row>
        <row r="316">
          <cell r="A316">
            <v>38352</v>
          </cell>
        </row>
        <row r="317">
          <cell r="A317">
            <v>38359</v>
          </cell>
        </row>
        <row r="318">
          <cell r="A318">
            <v>38366</v>
          </cell>
        </row>
        <row r="319">
          <cell r="A319">
            <v>38373</v>
          </cell>
        </row>
        <row r="320">
          <cell r="A320">
            <v>38380</v>
          </cell>
        </row>
        <row r="321">
          <cell r="A321">
            <v>38387</v>
          </cell>
        </row>
        <row r="322">
          <cell r="A322">
            <v>38394</v>
          </cell>
        </row>
        <row r="323">
          <cell r="A323">
            <v>38401</v>
          </cell>
        </row>
        <row r="324">
          <cell r="A324">
            <v>38408</v>
          </cell>
        </row>
        <row r="325">
          <cell r="A325">
            <v>38415</v>
          </cell>
        </row>
        <row r="326">
          <cell r="A326">
            <v>38422</v>
          </cell>
        </row>
        <row r="327">
          <cell r="A327">
            <v>38429</v>
          </cell>
        </row>
        <row r="328">
          <cell r="A328">
            <v>38436</v>
          </cell>
        </row>
        <row r="329">
          <cell r="A329">
            <v>38443</v>
          </cell>
        </row>
        <row r="330">
          <cell r="A330">
            <v>38450</v>
          </cell>
        </row>
        <row r="331">
          <cell r="A331">
            <v>38457</v>
          </cell>
        </row>
        <row r="332">
          <cell r="A332">
            <v>38464</v>
          </cell>
        </row>
        <row r="333">
          <cell r="A333">
            <v>38471</v>
          </cell>
        </row>
        <row r="334">
          <cell r="A334">
            <v>38478</v>
          </cell>
        </row>
        <row r="335">
          <cell r="A335">
            <v>38485</v>
          </cell>
        </row>
        <row r="336">
          <cell r="A336">
            <v>38492</v>
          </cell>
        </row>
        <row r="337">
          <cell r="A337">
            <v>38499</v>
          </cell>
        </row>
        <row r="338">
          <cell r="A338">
            <v>38506</v>
          </cell>
        </row>
        <row r="339">
          <cell r="A339">
            <v>38513</v>
          </cell>
        </row>
        <row r="340">
          <cell r="A340">
            <v>38520</v>
          </cell>
        </row>
        <row r="341">
          <cell r="A341">
            <v>38527</v>
          </cell>
        </row>
        <row r="342">
          <cell r="A342">
            <v>38534</v>
          </cell>
        </row>
        <row r="343">
          <cell r="A343">
            <v>38541</v>
          </cell>
        </row>
        <row r="344">
          <cell r="A344">
            <v>38548</v>
          </cell>
        </row>
        <row r="345">
          <cell r="A345">
            <v>38555</v>
          </cell>
        </row>
        <row r="346">
          <cell r="A346">
            <v>38562</v>
          </cell>
        </row>
        <row r="347">
          <cell r="A347">
            <v>38569</v>
          </cell>
        </row>
        <row r="348">
          <cell r="A348">
            <v>38576</v>
          </cell>
        </row>
        <row r="349">
          <cell r="A349">
            <v>38583</v>
          </cell>
        </row>
        <row r="350">
          <cell r="A350">
            <v>38590</v>
          </cell>
        </row>
        <row r="351">
          <cell r="A351">
            <v>38597</v>
          </cell>
        </row>
        <row r="352">
          <cell r="A352">
            <v>38604</v>
          </cell>
        </row>
        <row r="353">
          <cell r="A353">
            <v>38611</v>
          </cell>
        </row>
        <row r="354">
          <cell r="A354">
            <v>38618</v>
          </cell>
        </row>
        <row r="355">
          <cell r="A355">
            <v>38625</v>
          </cell>
        </row>
        <row r="356">
          <cell r="A356">
            <v>38632</v>
          </cell>
        </row>
        <row r="357">
          <cell r="A357">
            <v>38639</v>
          </cell>
        </row>
        <row r="358">
          <cell r="A358">
            <v>38646</v>
          </cell>
        </row>
        <row r="359">
          <cell r="A359">
            <v>38653</v>
          </cell>
        </row>
        <row r="360">
          <cell r="A360">
            <v>38660</v>
          </cell>
        </row>
        <row r="361">
          <cell r="A361">
            <v>38667</v>
          </cell>
        </row>
        <row r="362">
          <cell r="A362">
            <v>38674</v>
          </cell>
        </row>
        <row r="363">
          <cell r="A363">
            <v>38681</v>
          </cell>
        </row>
        <row r="364">
          <cell r="A364">
            <v>38688</v>
          </cell>
        </row>
        <row r="365">
          <cell r="A365">
            <v>38695</v>
          </cell>
        </row>
        <row r="366">
          <cell r="A366">
            <v>38702</v>
          </cell>
        </row>
        <row r="367">
          <cell r="A367">
            <v>38709</v>
          </cell>
        </row>
        <row r="368">
          <cell r="A368">
            <v>38716</v>
          </cell>
        </row>
        <row r="369">
          <cell r="A369">
            <v>38723</v>
          </cell>
        </row>
        <row r="370">
          <cell r="A370">
            <v>38730</v>
          </cell>
        </row>
        <row r="371">
          <cell r="A371">
            <v>38737</v>
          </cell>
        </row>
        <row r="372">
          <cell r="A372">
            <v>38744</v>
          </cell>
        </row>
        <row r="373">
          <cell r="A373">
            <v>38751</v>
          </cell>
        </row>
        <row r="374">
          <cell r="A374">
            <v>38758</v>
          </cell>
        </row>
        <row r="375">
          <cell r="A375">
            <v>38765</v>
          </cell>
        </row>
        <row r="376">
          <cell r="A376">
            <v>38772</v>
          </cell>
        </row>
        <row r="377">
          <cell r="A377">
            <v>38779</v>
          </cell>
        </row>
        <row r="378">
          <cell r="A378">
            <v>38786</v>
          </cell>
        </row>
        <row r="379">
          <cell r="A379">
            <v>38793</v>
          </cell>
        </row>
        <row r="380">
          <cell r="A380">
            <v>38800</v>
          </cell>
        </row>
        <row r="381">
          <cell r="A381">
            <v>38807</v>
          </cell>
        </row>
        <row r="382">
          <cell r="A382">
            <v>38814</v>
          </cell>
        </row>
        <row r="383">
          <cell r="A383">
            <v>38821</v>
          </cell>
        </row>
        <row r="384">
          <cell r="A384">
            <v>38828</v>
          </cell>
        </row>
        <row r="385">
          <cell r="A385">
            <v>38835</v>
          </cell>
        </row>
        <row r="386">
          <cell r="A386">
            <v>38842</v>
          </cell>
        </row>
        <row r="387">
          <cell r="A387">
            <v>38849</v>
          </cell>
        </row>
        <row r="388">
          <cell r="A388">
            <v>38856</v>
          </cell>
        </row>
        <row r="389">
          <cell r="A389">
            <v>38863</v>
          </cell>
        </row>
        <row r="390">
          <cell r="A390">
            <v>38870</v>
          </cell>
        </row>
        <row r="391">
          <cell r="A391">
            <v>38877</v>
          </cell>
        </row>
        <row r="392">
          <cell r="A392">
            <v>38884</v>
          </cell>
        </row>
        <row r="393">
          <cell r="A393">
            <v>38891</v>
          </cell>
        </row>
        <row r="394">
          <cell r="A394">
            <v>38898</v>
          </cell>
        </row>
        <row r="395">
          <cell r="A395">
            <v>38905</v>
          </cell>
        </row>
        <row r="396">
          <cell r="A396">
            <v>38912</v>
          </cell>
        </row>
        <row r="397">
          <cell r="A397">
            <v>38919</v>
          </cell>
        </row>
        <row r="398">
          <cell r="A398">
            <v>38926</v>
          </cell>
        </row>
        <row r="399">
          <cell r="A399">
            <v>38933</v>
          </cell>
        </row>
        <row r="400">
          <cell r="A400">
            <v>38940</v>
          </cell>
        </row>
        <row r="401">
          <cell r="A401">
            <v>38947</v>
          </cell>
        </row>
        <row r="402">
          <cell r="A402">
            <v>38954</v>
          </cell>
        </row>
        <row r="403">
          <cell r="A403">
            <v>38961</v>
          </cell>
        </row>
        <row r="404">
          <cell r="A404">
            <v>38968</v>
          </cell>
        </row>
        <row r="405">
          <cell r="A405">
            <v>38975</v>
          </cell>
        </row>
        <row r="406">
          <cell r="A406">
            <v>38982</v>
          </cell>
        </row>
        <row r="407">
          <cell r="A407">
            <v>38989</v>
          </cell>
        </row>
        <row r="408">
          <cell r="A408">
            <v>38996</v>
          </cell>
        </row>
        <row r="409">
          <cell r="A409">
            <v>39003</v>
          </cell>
        </row>
        <row r="410">
          <cell r="A410">
            <v>39010</v>
          </cell>
        </row>
        <row r="411">
          <cell r="A411">
            <v>39017</v>
          </cell>
        </row>
        <row r="412">
          <cell r="A412">
            <v>39024</v>
          </cell>
        </row>
        <row r="413">
          <cell r="A413">
            <v>39031</v>
          </cell>
        </row>
        <row r="414">
          <cell r="A414">
            <v>39038</v>
          </cell>
        </row>
        <row r="415">
          <cell r="A415">
            <v>39045</v>
          </cell>
        </row>
        <row r="416">
          <cell r="A416">
            <v>39052</v>
          </cell>
        </row>
        <row r="417">
          <cell r="A417">
            <v>39059</v>
          </cell>
        </row>
        <row r="418">
          <cell r="A418">
            <v>39066</v>
          </cell>
        </row>
        <row r="419">
          <cell r="A419">
            <v>39073</v>
          </cell>
        </row>
        <row r="420">
          <cell r="A420">
            <v>39080</v>
          </cell>
        </row>
        <row r="421">
          <cell r="A421">
            <v>39087</v>
          </cell>
        </row>
        <row r="422">
          <cell r="A422">
            <v>39094</v>
          </cell>
        </row>
        <row r="423">
          <cell r="A423">
            <v>39101</v>
          </cell>
        </row>
        <row r="424">
          <cell r="A424">
            <v>39108</v>
          </cell>
        </row>
        <row r="425">
          <cell r="A425">
            <v>39115</v>
          </cell>
        </row>
        <row r="426">
          <cell r="A426">
            <v>39122</v>
          </cell>
        </row>
        <row r="427">
          <cell r="A427">
            <v>39129</v>
          </cell>
        </row>
        <row r="428">
          <cell r="A428">
            <v>39136</v>
          </cell>
        </row>
        <row r="429">
          <cell r="A429">
            <v>39143</v>
          </cell>
        </row>
        <row r="430">
          <cell r="A430">
            <v>39150</v>
          </cell>
        </row>
        <row r="431">
          <cell r="A431">
            <v>39157</v>
          </cell>
        </row>
        <row r="432">
          <cell r="A432">
            <v>39164</v>
          </cell>
        </row>
        <row r="433">
          <cell r="A433">
            <v>39171</v>
          </cell>
        </row>
        <row r="434">
          <cell r="A434">
            <v>39178</v>
          </cell>
        </row>
        <row r="435">
          <cell r="A435">
            <v>39185</v>
          </cell>
        </row>
        <row r="436">
          <cell r="A436">
            <v>39192</v>
          </cell>
        </row>
        <row r="437">
          <cell r="A437">
            <v>39199</v>
          </cell>
        </row>
        <row r="438">
          <cell r="A438">
            <v>39206</v>
          </cell>
        </row>
        <row r="439">
          <cell r="A439">
            <v>39213</v>
          </cell>
        </row>
        <row r="440">
          <cell r="A440">
            <v>39220</v>
          </cell>
        </row>
        <row r="441">
          <cell r="A441">
            <v>39227</v>
          </cell>
        </row>
        <row r="442">
          <cell r="A442">
            <v>39234</v>
          </cell>
        </row>
        <row r="443">
          <cell r="A443">
            <v>39241</v>
          </cell>
        </row>
        <row r="444">
          <cell r="A444">
            <v>39248</v>
          </cell>
        </row>
        <row r="445">
          <cell r="A445">
            <v>39255</v>
          </cell>
        </row>
        <row r="446">
          <cell r="A446">
            <v>39262</v>
          </cell>
        </row>
        <row r="447">
          <cell r="A447">
            <v>39269</v>
          </cell>
        </row>
        <row r="448">
          <cell r="A448">
            <v>39276</v>
          </cell>
        </row>
        <row r="449">
          <cell r="A449">
            <v>39283</v>
          </cell>
        </row>
        <row r="450">
          <cell r="A450">
            <v>39290</v>
          </cell>
        </row>
        <row r="451">
          <cell r="A451">
            <v>39297</v>
          </cell>
        </row>
        <row r="452">
          <cell r="A452">
            <v>39304</v>
          </cell>
        </row>
        <row r="453">
          <cell r="A453">
            <v>39311</v>
          </cell>
        </row>
        <row r="454">
          <cell r="A454">
            <v>39318</v>
          </cell>
        </row>
        <row r="455">
          <cell r="A455">
            <v>39325</v>
          </cell>
        </row>
        <row r="456">
          <cell r="A456">
            <v>39332</v>
          </cell>
        </row>
        <row r="457">
          <cell r="A457">
            <v>39339</v>
          </cell>
        </row>
        <row r="458">
          <cell r="A458">
            <v>39346</v>
          </cell>
        </row>
        <row r="459">
          <cell r="A459">
            <v>39353</v>
          </cell>
        </row>
        <row r="460">
          <cell r="A460">
            <v>39360</v>
          </cell>
        </row>
        <row r="461">
          <cell r="A461">
            <v>39367</v>
          </cell>
        </row>
        <row r="462">
          <cell r="A462">
            <v>39374</v>
          </cell>
        </row>
        <row r="463">
          <cell r="A463">
            <v>39381</v>
          </cell>
        </row>
        <row r="464">
          <cell r="A464">
            <v>39388</v>
          </cell>
        </row>
        <row r="465">
          <cell r="A465">
            <v>39395</v>
          </cell>
        </row>
        <row r="466">
          <cell r="A466">
            <v>39402</v>
          </cell>
        </row>
        <row r="467">
          <cell r="A467">
            <v>39409</v>
          </cell>
        </row>
        <row r="468">
          <cell r="A468">
            <v>39416</v>
          </cell>
        </row>
        <row r="469">
          <cell r="A469">
            <v>39423</v>
          </cell>
        </row>
        <row r="470">
          <cell r="A470">
            <v>39430</v>
          </cell>
        </row>
        <row r="471">
          <cell r="A471">
            <v>39437</v>
          </cell>
        </row>
        <row r="472">
          <cell r="A472">
            <v>39444</v>
          </cell>
        </row>
        <row r="473">
          <cell r="A473">
            <v>39451</v>
          </cell>
        </row>
        <row r="474">
          <cell r="A474">
            <v>39458</v>
          </cell>
        </row>
        <row r="475">
          <cell r="A475">
            <v>39465</v>
          </cell>
        </row>
        <row r="476">
          <cell r="A476">
            <v>39472</v>
          </cell>
        </row>
        <row r="477">
          <cell r="A477">
            <v>39479</v>
          </cell>
        </row>
        <row r="478">
          <cell r="A478">
            <v>39486</v>
          </cell>
        </row>
        <row r="479">
          <cell r="A479">
            <v>39493</v>
          </cell>
        </row>
        <row r="480">
          <cell r="A480">
            <v>39500</v>
          </cell>
        </row>
        <row r="481">
          <cell r="A481">
            <v>39507</v>
          </cell>
        </row>
        <row r="482">
          <cell r="A482">
            <v>39514</v>
          </cell>
        </row>
        <row r="483">
          <cell r="A483">
            <v>39521</v>
          </cell>
        </row>
        <row r="484">
          <cell r="A484">
            <v>39528</v>
          </cell>
        </row>
        <row r="485">
          <cell r="A485">
            <v>39535</v>
          </cell>
        </row>
        <row r="486">
          <cell r="A486">
            <v>39542</v>
          </cell>
        </row>
        <row r="487">
          <cell r="A487">
            <v>39549</v>
          </cell>
        </row>
        <row r="488">
          <cell r="A488">
            <v>39556</v>
          </cell>
        </row>
        <row r="489">
          <cell r="A489">
            <v>39563</v>
          </cell>
        </row>
        <row r="490">
          <cell r="A490">
            <v>39570</v>
          </cell>
        </row>
        <row r="491">
          <cell r="A491">
            <v>39577</v>
          </cell>
        </row>
        <row r="492">
          <cell r="A492">
            <v>39584</v>
          </cell>
        </row>
        <row r="493">
          <cell r="A493">
            <v>39591</v>
          </cell>
        </row>
        <row r="494">
          <cell r="A494">
            <v>39598</v>
          </cell>
        </row>
        <row r="495">
          <cell r="A495">
            <v>39605</v>
          </cell>
        </row>
        <row r="496">
          <cell r="A496">
            <v>39612</v>
          </cell>
        </row>
        <row r="497">
          <cell r="A497">
            <v>39619</v>
          </cell>
        </row>
        <row r="498">
          <cell r="A498">
            <v>39626</v>
          </cell>
        </row>
        <row r="499">
          <cell r="A499">
            <v>39633</v>
          </cell>
        </row>
        <row r="500">
          <cell r="A500">
            <v>39640</v>
          </cell>
        </row>
        <row r="501">
          <cell r="A501">
            <v>39647</v>
          </cell>
        </row>
        <row r="502">
          <cell r="A502">
            <v>39654</v>
          </cell>
        </row>
        <row r="503">
          <cell r="A503">
            <v>39661</v>
          </cell>
        </row>
        <row r="504">
          <cell r="A504">
            <v>39668</v>
          </cell>
        </row>
        <row r="505">
          <cell r="A505">
            <v>39675</v>
          </cell>
        </row>
        <row r="506">
          <cell r="A506">
            <v>39682</v>
          </cell>
        </row>
        <row r="507">
          <cell r="A507">
            <v>39689</v>
          </cell>
        </row>
        <row r="508">
          <cell r="A508">
            <v>39696</v>
          </cell>
        </row>
        <row r="509">
          <cell r="A509">
            <v>39703</v>
          </cell>
        </row>
        <row r="510">
          <cell r="A510">
            <v>39710</v>
          </cell>
        </row>
        <row r="511">
          <cell r="A511">
            <v>39717</v>
          </cell>
        </row>
        <row r="512">
          <cell r="A512">
            <v>39724</v>
          </cell>
        </row>
        <row r="513">
          <cell r="A513">
            <v>39731</v>
          </cell>
        </row>
        <row r="514">
          <cell r="A514">
            <v>39738</v>
          </cell>
        </row>
        <row r="515">
          <cell r="A515">
            <v>39745</v>
          </cell>
        </row>
        <row r="516">
          <cell r="A516">
            <v>39752</v>
          </cell>
        </row>
        <row r="517">
          <cell r="A517">
            <v>39759</v>
          </cell>
        </row>
        <row r="518">
          <cell r="A518">
            <v>39766</v>
          </cell>
        </row>
        <row r="519">
          <cell r="A519">
            <v>39773</v>
          </cell>
        </row>
        <row r="520">
          <cell r="A520">
            <v>39780</v>
          </cell>
        </row>
        <row r="521">
          <cell r="A521">
            <v>39787</v>
          </cell>
        </row>
        <row r="522">
          <cell r="A522">
            <v>39794</v>
          </cell>
        </row>
        <row r="523">
          <cell r="A523">
            <v>39801</v>
          </cell>
        </row>
        <row r="524">
          <cell r="A524">
            <v>39808</v>
          </cell>
        </row>
        <row r="525">
          <cell r="A525">
            <v>39815</v>
          </cell>
        </row>
        <row r="526">
          <cell r="A526">
            <v>39822</v>
          </cell>
        </row>
        <row r="527">
          <cell r="A527">
            <v>39829</v>
          </cell>
        </row>
        <row r="528">
          <cell r="A528">
            <v>39836</v>
          </cell>
        </row>
        <row r="529">
          <cell r="A529">
            <v>39843</v>
          </cell>
        </row>
        <row r="530">
          <cell r="A530">
            <v>39850</v>
          </cell>
        </row>
        <row r="531">
          <cell r="A531">
            <v>39857</v>
          </cell>
        </row>
        <row r="532">
          <cell r="A532">
            <v>39864</v>
          </cell>
        </row>
        <row r="533">
          <cell r="A533">
            <v>39871</v>
          </cell>
        </row>
        <row r="534">
          <cell r="A534">
            <v>39878</v>
          </cell>
        </row>
        <row r="535">
          <cell r="A535">
            <v>39885</v>
          </cell>
        </row>
        <row r="536">
          <cell r="A536">
            <v>39892</v>
          </cell>
        </row>
        <row r="537">
          <cell r="A537">
            <v>39899</v>
          </cell>
        </row>
        <row r="538">
          <cell r="A538">
            <v>39906</v>
          </cell>
        </row>
        <row r="539">
          <cell r="A539">
            <v>39913</v>
          </cell>
        </row>
        <row r="540">
          <cell r="A540">
            <v>39920</v>
          </cell>
        </row>
        <row r="541">
          <cell r="A541">
            <v>39927</v>
          </cell>
        </row>
        <row r="542">
          <cell r="A542">
            <v>39934</v>
          </cell>
        </row>
        <row r="543">
          <cell r="A543">
            <v>39941</v>
          </cell>
        </row>
        <row r="544">
          <cell r="A544">
            <v>39948</v>
          </cell>
        </row>
        <row r="545">
          <cell r="A545">
            <v>39955</v>
          </cell>
        </row>
        <row r="546">
          <cell r="A546">
            <v>39962</v>
          </cell>
        </row>
        <row r="547">
          <cell r="A547">
            <v>39969</v>
          </cell>
        </row>
        <row r="548">
          <cell r="A548">
            <v>39976</v>
          </cell>
        </row>
        <row r="549">
          <cell r="A549">
            <v>39983</v>
          </cell>
        </row>
        <row r="550">
          <cell r="A550">
            <v>39990</v>
          </cell>
        </row>
        <row r="551">
          <cell r="A551">
            <v>39997</v>
          </cell>
        </row>
        <row r="552">
          <cell r="A552">
            <v>40004</v>
          </cell>
        </row>
        <row r="553">
          <cell r="A553">
            <v>40011</v>
          </cell>
        </row>
        <row r="554">
          <cell r="A554">
            <v>40018</v>
          </cell>
        </row>
        <row r="555">
          <cell r="A555">
            <v>40025</v>
          </cell>
        </row>
        <row r="556">
          <cell r="A556">
            <v>40032</v>
          </cell>
        </row>
        <row r="557">
          <cell r="A557">
            <v>40039</v>
          </cell>
        </row>
        <row r="558">
          <cell r="A558">
            <v>40046</v>
          </cell>
        </row>
        <row r="559">
          <cell r="A559">
            <v>40053</v>
          </cell>
        </row>
        <row r="560">
          <cell r="A560">
            <v>40060</v>
          </cell>
        </row>
        <row r="561">
          <cell r="A561">
            <v>40067</v>
          </cell>
        </row>
        <row r="562">
          <cell r="A562">
            <v>40074</v>
          </cell>
        </row>
        <row r="563">
          <cell r="A563">
            <v>40081</v>
          </cell>
        </row>
        <row r="564">
          <cell r="A564">
            <v>40088</v>
          </cell>
        </row>
        <row r="565">
          <cell r="A565">
            <v>40095</v>
          </cell>
        </row>
        <row r="566">
          <cell r="A566">
            <v>40102</v>
          </cell>
        </row>
        <row r="567">
          <cell r="A567">
            <v>40109</v>
          </cell>
        </row>
        <row r="568">
          <cell r="A568">
            <v>40116</v>
          </cell>
        </row>
        <row r="569">
          <cell r="A569">
            <v>40123</v>
          </cell>
        </row>
        <row r="570">
          <cell r="A570">
            <v>40130</v>
          </cell>
        </row>
        <row r="571">
          <cell r="A571">
            <v>40137</v>
          </cell>
        </row>
        <row r="572">
          <cell r="A572">
            <v>40144</v>
          </cell>
        </row>
        <row r="573">
          <cell r="A573">
            <v>40151</v>
          </cell>
        </row>
        <row r="574">
          <cell r="A574">
            <v>40158</v>
          </cell>
        </row>
        <row r="575">
          <cell r="A575">
            <v>40165</v>
          </cell>
        </row>
        <row r="576">
          <cell r="A576">
            <v>40172</v>
          </cell>
        </row>
        <row r="577">
          <cell r="A577">
            <v>40179</v>
          </cell>
        </row>
        <row r="578">
          <cell r="A578">
            <v>40186</v>
          </cell>
        </row>
        <row r="579">
          <cell r="A579">
            <v>40193</v>
          </cell>
        </row>
        <row r="580">
          <cell r="A580">
            <v>40200</v>
          </cell>
        </row>
        <row r="581">
          <cell r="A581">
            <v>40207</v>
          </cell>
        </row>
        <row r="582">
          <cell r="A582">
            <v>40214</v>
          </cell>
        </row>
        <row r="583">
          <cell r="A583">
            <v>40221</v>
          </cell>
        </row>
        <row r="584">
          <cell r="A584">
            <v>40228</v>
          </cell>
        </row>
        <row r="585">
          <cell r="A585">
            <v>40235</v>
          </cell>
        </row>
        <row r="586">
          <cell r="A586">
            <v>40242</v>
          </cell>
        </row>
        <row r="587">
          <cell r="A587">
            <v>40249</v>
          </cell>
        </row>
        <row r="588">
          <cell r="A588">
            <v>40256</v>
          </cell>
        </row>
        <row r="589">
          <cell r="A589">
            <v>40263</v>
          </cell>
        </row>
        <row r="590">
          <cell r="A590">
            <v>40270</v>
          </cell>
        </row>
        <row r="591">
          <cell r="A591">
            <v>40277</v>
          </cell>
        </row>
        <row r="592">
          <cell r="A592">
            <v>40284</v>
          </cell>
        </row>
        <row r="593">
          <cell r="A593">
            <v>40291</v>
          </cell>
        </row>
        <row r="594">
          <cell r="A594">
            <v>40298</v>
          </cell>
        </row>
        <row r="595">
          <cell r="A595">
            <v>40305</v>
          </cell>
        </row>
        <row r="596">
          <cell r="A596">
            <v>40312</v>
          </cell>
        </row>
        <row r="597">
          <cell r="A597">
            <v>40319</v>
          </cell>
        </row>
        <row r="598">
          <cell r="A598">
            <v>40326</v>
          </cell>
        </row>
        <row r="599">
          <cell r="A599">
            <v>40333</v>
          </cell>
        </row>
        <row r="600">
          <cell r="A600">
            <v>40340</v>
          </cell>
        </row>
        <row r="601">
          <cell r="A601">
            <v>40347</v>
          </cell>
        </row>
        <row r="602">
          <cell r="A602">
            <v>40354</v>
          </cell>
        </row>
        <row r="603">
          <cell r="A603">
            <v>40361</v>
          </cell>
        </row>
        <row r="604">
          <cell r="A604">
            <v>40368</v>
          </cell>
        </row>
        <row r="605">
          <cell r="A605">
            <v>40375</v>
          </cell>
        </row>
        <row r="606">
          <cell r="A606">
            <v>40382</v>
          </cell>
        </row>
        <row r="607">
          <cell r="A607">
            <v>40389</v>
          </cell>
        </row>
        <row r="608">
          <cell r="A608">
            <v>40396</v>
          </cell>
        </row>
        <row r="609">
          <cell r="A609">
            <v>40403</v>
          </cell>
        </row>
        <row r="610">
          <cell r="A610">
            <v>40410</v>
          </cell>
        </row>
        <row r="611">
          <cell r="A611">
            <v>40417</v>
          </cell>
        </row>
        <row r="612">
          <cell r="A612">
            <v>40424</v>
          </cell>
        </row>
        <row r="613">
          <cell r="A613">
            <v>40431</v>
          </cell>
        </row>
        <row r="614">
          <cell r="A614">
            <v>40438</v>
          </cell>
        </row>
        <row r="615">
          <cell r="A615">
            <v>40445</v>
          </cell>
        </row>
        <row r="616">
          <cell r="A616">
            <v>40452</v>
          </cell>
        </row>
        <row r="617">
          <cell r="A617">
            <v>40459</v>
          </cell>
        </row>
        <row r="618">
          <cell r="A618">
            <v>40466</v>
          </cell>
        </row>
        <row r="619">
          <cell r="A619">
            <v>40473</v>
          </cell>
        </row>
        <row r="620">
          <cell r="A620">
            <v>40480</v>
          </cell>
        </row>
        <row r="621">
          <cell r="A621">
            <v>40487</v>
          </cell>
        </row>
        <row r="622">
          <cell r="A622">
            <v>40494</v>
          </cell>
        </row>
        <row r="623">
          <cell r="A623">
            <v>40501</v>
          </cell>
        </row>
        <row r="624">
          <cell r="A624">
            <v>40508</v>
          </cell>
        </row>
        <row r="625">
          <cell r="A625">
            <v>40515</v>
          </cell>
        </row>
        <row r="626">
          <cell r="A626">
            <v>40522</v>
          </cell>
        </row>
        <row r="627">
          <cell r="A627">
            <v>40529</v>
          </cell>
        </row>
        <row r="628">
          <cell r="A628">
            <v>40536</v>
          </cell>
        </row>
        <row r="629">
          <cell r="A629">
            <v>40543</v>
          </cell>
        </row>
        <row r="630">
          <cell r="A630">
            <v>40550</v>
          </cell>
        </row>
        <row r="631">
          <cell r="A631">
            <v>40557</v>
          </cell>
        </row>
        <row r="632">
          <cell r="A632">
            <v>40564</v>
          </cell>
        </row>
        <row r="633">
          <cell r="A633">
            <v>40571</v>
          </cell>
        </row>
        <row r="634">
          <cell r="A634">
            <v>40578</v>
          </cell>
        </row>
        <row r="635">
          <cell r="A635">
            <v>40585</v>
          </cell>
        </row>
        <row r="636">
          <cell r="A636">
            <v>40592</v>
          </cell>
        </row>
        <row r="637">
          <cell r="A637">
            <v>40599</v>
          </cell>
        </row>
        <row r="638">
          <cell r="A638">
            <v>40606</v>
          </cell>
        </row>
        <row r="639">
          <cell r="A639">
            <v>40613</v>
          </cell>
        </row>
        <row r="640">
          <cell r="A640">
            <v>40620</v>
          </cell>
        </row>
        <row r="641">
          <cell r="A641">
            <v>40627</v>
          </cell>
        </row>
        <row r="642">
          <cell r="A642">
            <v>40634</v>
          </cell>
        </row>
        <row r="643">
          <cell r="A643">
            <v>40641</v>
          </cell>
        </row>
        <row r="644">
          <cell r="A644">
            <v>40648</v>
          </cell>
        </row>
        <row r="645">
          <cell r="A645">
            <v>40655</v>
          </cell>
        </row>
        <row r="646">
          <cell r="A646">
            <v>40662</v>
          </cell>
        </row>
        <row r="647">
          <cell r="A647">
            <v>40669</v>
          </cell>
        </row>
        <row r="648">
          <cell r="A648">
            <v>40676</v>
          </cell>
        </row>
        <row r="649">
          <cell r="A649">
            <v>40683</v>
          </cell>
        </row>
        <row r="650">
          <cell r="A650">
            <v>40690</v>
          </cell>
        </row>
        <row r="651">
          <cell r="A651">
            <v>40697</v>
          </cell>
        </row>
        <row r="652">
          <cell r="A652">
            <v>40704</v>
          </cell>
        </row>
        <row r="653">
          <cell r="A653">
            <v>40711</v>
          </cell>
        </row>
        <row r="654">
          <cell r="A654">
            <v>40718</v>
          </cell>
        </row>
        <row r="655">
          <cell r="A655">
            <v>40725</v>
          </cell>
        </row>
        <row r="656">
          <cell r="A656">
            <v>40732</v>
          </cell>
        </row>
        <row r="657">
          <cell r="A657">
            <v>40739</v>
          </cell>
        </row>
        <row r="658">
          <cell r="A658">
            <v>40746</v>
          </cell>
        </row>
        <row r="659">
          <cell r="A659">
            <v>40753</v>
          </cell>
        </row>
        <row r="660">
          <cell r="A660">
            <v>40760</v>
          </cell>
        </row>
        <row r="661">
          <cell r="A661">
            <v>40767</v>
          </cell>
        </row>
        <row r="662">
          <cell r="A662">
            <v>40774</v>
          </cell>
        </row>
        <row r="663">
          <cell r="A663">
            <v>40781</v>
          </cell>
        </row>
        <row r="664">
          <cell r="A664">
            <v>40788</v>
          </cell>
        </row>
        <row r="665">
          <cell r="A665">
            <v>40795</v>
          </cell>
        </row>
        <row r="666">
          <cell r="A666">
            <v>40802</v>
          </cell>
        </row>
        <row r="667">
          <cell r="A667">
            <v>40809</v>
          </cell>
        </row>
        <row r="668">
          <cell r="A668">
            <v>40816</v>
          </cell>
        </row>
        <row r="669">
          <cell r="A669">
            <v>40823</v>
          </cell>
        </row>
        <row r="670">
          <cell r="A670">
            <v>40830</v>
          </cell>
        </row>
        <row r="671">
          <cell r="A671">
            <v>40837</v>
          </cell>
        </row>
        <row r="672">
          <cell r="A672">
            <v>40844</v>
          </cell>
        </row>
        <row r="673">
          <cell r="A673">
            <v>40851</v>
          </cell>
        </row>
        <row r="674">
          <cell r="A674">
            <v>40858</v>
          </cell>
        </row>
        <row r="675">
          <cell r="A675">
            <v>40865</v>
          </cell>
        </row>
        <row r="676">
          <cell r="A676">
            <v>40872</v>
          </cell>
        </row>
        <row r="677">
          <cell r="A677">
            <v>40879</v>
          </cell>
        </row>
        <row r="678">
          <cell r="A678">
            <v>40886</v>
          </cell>
        </row>
        <row r="679">
          <cell r="A679">
            <v>40893</v>
          </cell>
        </row>
        <row r="680">
          <cell r="A680">
            <v>40900</v>
          </cell>
        </row>
        <row r="681">
          <cell r="A681">
            <v>40907</v>
          </cell>
        </row>
        <row r="682">
          <cell r="A682">
            <v>40914</v>
          </cell>
        </row>
        <row r="683">
          <cell r="A683">
            <v>40921</v>
          </cell>
        </row>
        <row r="684">
          <cell r="A684">
            <v>40928</v>
          </cell>
        </row>
        <row r="685">
          <cell r="A685">
            <v>40935</v>
          </cell>
        </row>
        <row r="686">
          <cell r="A686">
            <v>40942</v>
          </cell>
        </row>
        <row r="687">
          <cell r="A687">
            <v>40949</v>
          </cell>
        </row>
        <row r="688">
          <cell r="A688">
            <v>40956</v>
          </cell>
        </row>
        <row r="689">
          <cell r="A689">
            <v>40963</v>
          </cell>
        </row>
        <row r="690">
          <cell r="A690">
            <v>40970</v>
          </cell>
        </row>
        <row r="691">
          <cell r="A691">
            <v>40977</v>
          </cell>
        </row>
        <row r="692">
          <cell r="A692">
            <v>40984</v>
          </cell>
        </row>
        <row r="693">
          <cell r="A693">
            <v>40991</v>
          </cell>
        </row>
        <row r="694">
          <cell r="A694">
            <v>40998</v>
          </cell>
        </row>
        <row r="695">
          <cell r="A695">
            <v>41005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Toggle Sheet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1"/>
      <sheetName val="INDICE"/>
      <sheetName val="I"/>
      <sheetName val="II"/>
      <sheetName val="III"/>
      <sheetName val="IV"/>
      <sheetName val="V"/>
      <sheetName val="VI - Balance GO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8 B"/>
      <sheetName val="58 C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Dens"/>
      <sheetName val="General"/>
      <sheetName val="DeclsGlobales"/>
      <sheetName val="Módulo1"/>
      <sheetName val="Módulo2"/>
      <sheetName val="Módulo3"/>
      <sheetName val="Módulo4"/>
      <sheetName val="Module1"/>
      <sheetName val="Module2"/>
      <sheetName val="Module3"/>
      <sheetName val="Module4"/>
      <sheetName val="Module5"/>
      <sheetName val="Module6"/>
      <sheetName val="Módulo5"/>
      <sheetName val="Módulo6"/>
      <sheetName val="Módulo7"/>
      <sheetName val="VI_-_Balance_GO"/>
      <sheetName val="58_B"/>
      <sheetName val="58_C"/>
      <sheetName val="IV:68"/>
      <sheetName val="I:68"/>
      <sheetName val="[Presupuesto 2007 - v34.xls]I_4"/>
      <sheetName val="[Presupuesto 2007 - v34.xls]I_5"/>
      <sheetName val="[Presupuesto 2007 - v34.xls]I_2"/>
      <sheetName val="[Presupuesto 2007 - v34.xls]I_3"/>
      <sheetName val="[Presupuesto 2007 - v34.xls]I_6"/>
      <sheetName val="[Presupuesto 2007 - v34.xls]I_7"/>
      <sheetName val="[Presupuesto 2007 - v34.xls]I_8"/>
      <sheetName val="[Presupuesto 2007 - v34.xls]I_9"/>
    </sheetNames>
    <sheetDataSet>
      <sheetData sheetId="0" refreshError="1"/>
      <sheetData sheetId="1" refreshError="1"/>
      <sheetData sheetId="2">
        <row r="5">
          <cell r="C5" t="str">
            <v>BALANCE DE CRUDOS</v>
          </cell>
        </row>
        <row r="7">
          <cell r="K7" t="str">
            <v>VOLUMENES  en  Miles  de m3</v>
          </cell>
        </row>
        <row r="9">
          <cell r="C9" t="str">
            <v xml:space="preserve">      CRUDO</v>
          </cell>
          <cell r="D9" t="str">
            <v>TOTAL</v>
          </cell>
          <cell r="E9" t="str">
            <v>NRN</v>
          </cell>
          <cell r="F9" t="str">
            <v>CHUBUT</v>
          </cell>
          <cell r="G9" t="str">
            <v>SCN</v>
          </cell>
          <cell r="H9" t="str">
            <v>SCS</v>
          </cell>
          <cell r="I9" t="str">
            <v>TDF</v>
          </cell>
          <cell r="J9" t="str">
            <v>MENDOZA</v>
          </cell>
          <cell r="K9" t="str">
            <v>NORTE</v>
          </cell>
          <cell r="L9" t="str">
            <v>OTROS</v>
          </cell>
          <cell r="T9" t="str">
            <v>AÑO</v>
          </cell>
          <cell r="U9" t="str">
            <v>DIA</v>
          </cell>
        </row>
        <row r="10">
          <cell r="S10" t="str">
            <v>IN</v>
          </cell>
        </row>
        <row r="11">
          <cell r="S11" t="str">
            <v>P HER</v>
          </cell>
          <cell r="T11">
            <v>87.6</v>
          </cell>
          <cell r="U11">
            <v>0.24</v>
          </cell>
        </row>
        <row r="12">
          <cell r="C12" t="str">
            <v xml:space="preserve">      INVENTARIO INICIAL</v>
          </cell>
          <cell r="D12">
            <v>211.6</v>
          </cell>
          <cell r="E12">
            <v>53.5</v>
          </cell>
          <cell r="F12">
            <v>40</v>
          </cell>
          <cell r="G12">
            <v>70</v>
          </cell>
          <cell r="H12">
            <v>7</v>
          </cell>
          <cell r="I12">
            <v>12.6</v>
          </cell>
          <cell r="J12">
            <v>24.6</v>
          </cell>
          <cell r="K12">
            <v>3.9</v>
          </cell>
          <cell r="L12">
            <v>0</v>
          </cell>
          <cell r="S12" t="str">
            <v>MED</v>
          </cell>
          <cell r="T12">
            <v>91.25</v>
          </cell>
          <cell r="U12">
            <v>0.25</v>
          </cell>
        </row>
        <row r="13">
          <cell r="S13" t="str">
            <v>CENT</v>
          </cell>
          <cell r="T13">
            <v>243.45500000000001</v>
          </cell>
          <cell r="U13">
            <v>0.66700000000000004</v>
          </cell>
        </row>
        <row r="14">
          <cell r="C14" t="str">
            <v>PRODUCCION</v>
          </cell>
          <cell r="D14">
            <v>15727.85</v>
          </cell>
          <cell r="E14">
            <v>7223.35</v>
          </cell>
          <cell r="F14">
            <v>1861.5</v>
          </cell>
          <cell r="G14">
            <v>4088</v>
          </cell>
          <cell r="H14">
            <v>0</v>
          </cell>
          <cell r="I14">
            <v>69.349999999999994</v>
          </cell>
          <cell r="J14">
            <v>2237.4499999999998</v>
          </cell>
          <cell r="K14">
            <v>248.2</v>
          </cell>
          <cell r="S14" t="str">
            <v>CHA</v>
          </cell>
          <cell r="T14">
            <v>292</v>
          </cell>
          <cell r="U14">
            <v>0.8</v>
          </cell>
        </row>
        <row r="15">
          <cell r="S15" t="str">
            <v>P HUIN</v>
          </cell>
          <cell r="T15">
            <v>204.4</v>
          </cell>
          <cell r="U15">
            <v>0.56000000000000005</v>
          </cell>
        </row>
        <row r="16">
          <cell r="C16" t="str">
            <v>COMPRAS   /   OTROS INGRESOS</v>
          </cell>
          <cell r="D16">
            <v>1575.7049999999999</v>
          </cell>
          <cell r="E16">
            <v>918.70500000000004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657</v>
          </cell>
          <cell r="K16">
            <v>0</v>
          </cell>
          <cell r="S16" t="str">
            <v>TOT</v>
          </cell>
          <cell r="T16">
            <v>918.70500000000004</v>
          </cell>
          <cell r="U16">
            <v>2.5169999999999999</v>
          </cell>
        </row>
        <row r="18">
          <cell r="C18" t="str">
            <v>REC POR INTERCAM  /  OTRAS COMPRAS</v>
          </cell>
          <cell r="D18">
            <v>1261.2363841799256</v>
          </cell>
          <cell r="E18">
            <v>1095</v>
          </cell>
          <cell r="F18">
            <v>143.65573901863536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22.58064516129032</v>
          </cell>
          <cell r="L18">
            <v>0</v>
          </cell>
        </row>
        <row r="20">
          <cell r="C20" t="str">
            <v>PRESTAMO DE CIAS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S20" t="str">
            <v>OUT</v>
          </cell>
        </row>
        <row r="21">
          <cell r="S21" t="str">
            <v>CENT</v>
          </cell>
          <cell r="T21">
            <v>243.45500000000001</v>
          </cell>
          <cell r="U21">
            <v>0.66700000000000004</v>
          </cell>
        </row>
        <row r="22">
          <cell r="C22" t="str">
            <v>BARCO MES ANTERIOR-DISM EN DUCTOS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S22" t="str">
            <v>CHA</v>
          </cell>
          <cell r="T22">
            <v>350.4</v>
          </cell>
          <cell r="U22">
            <v>0.96</v>
          </cell>
        </row>
        <row r="23">
          <cell r="S23" t="str">
            <v>TOT</v>
          </cell>
          <cell r="T23">
            <v>593.85500000000002</v>
          </cell>
          <cell r="U23">
            <v>1.627</v>
          </cell>
        </row>
        <row r="24">
          <cell r="C24" t="str">
            <v xml:space="preserve">     TOTAL ENTRADAS</v>
          </cell>
          <cell r="D24">
            <v>18564.791384179924</v>
          </cell>
          <cell r="E24">
            <v>9237.0550000000003</v>
          </cell>
          <cell r="F24">
            <v>2005.1557390186351</v>
          </cell>
          <cell r="G24">
            <v>4088</v>
          </cell>
          <cell r="H24">
            <v>0</v>
          </cell>
          <cell r="I24">
            <v>69.349999999999994</v>
          </cell>
          <cell r="J24">
            <v>2894.45</v>
          </cell>
          <cell r="K24">
            <v>270.78064516129029</v>
          </cell>
          <cell r="L24">
            <v>0</v>
          </cell>
        </row>
        <row r="25">
          <cell r="V25">
            <v>324.85000000000002</v>
          </cell>
        </row>
        <row r="27">
          <cell r="C27" t="str">
            <v>TRANSFERIDO A DESTILERIAS (S/C.R.)</v>
          </cell>
          <cell r="D27">
            <v>17328.072503943658</v>
          </cell>
          <cell r="E27">
            <v>8439.3191259022587</v>
          </cell>
          <cell r="F27">
            <v>1906.3037767493347</v>
          </cell>
          <cell r="G27">
            <v>4087.999543166392</v>
          </cell>
          <cell r="H27">
            <v>0</v>
          </cell>
          <cell r="I27">
            <v>0</v>
          </cell>
          <cell r="J27">
            <v>2894.4500581256711</v>
          </cell>
          <cell r="K27">
            <v>0</v>
          </cell>
          <cell r="L27">
            <v>0</v>
          </cell>
        </row>
        <row r="28">
          <cell r="S28" t="str">
            <v>P HER</v>
          </cell>
          <cell r="T28">
            <v>87.6</v>
          </cell>
          <cell r="U28">
            <v>0.24</v>
          </cell>
        </row>
        <row r="29">
          <cell r="C29" t="str">
            <v xml:space="preserve">VENTAS LOCALES </v>
          </cell>
          <cell r="D29">
            <v>487.95564429106253</v>
          </cell>
          <cell r="E29">
            <v>182.5</v>
          </cell>
          <cell r="F29">
            <v>0</v>
          </cell>
          <cell r="G29">
            <v>0</v>
          </cell>
          <cell r="H29">
            <v>0</v>
          </cell>
          <cell r="I29">
            <v>69.349999129772186</v>
          </cell>
          <cell r="J29">
            <v>0</v>
          </cell>
          <cell r="K29">
            <v>236.10564516129034</v>
          </cell>
          <cell r="S29" t="str">
            <v>MED</v>
          </cell>
          <cell r="T29">
            <v>91.25</v>
          </cell>
          <cell r="U29">
            <v>0.25</v>
          </cell>
        </row>
        <row r="30">
          <cell r="S30" t="str">
            <v>PLUS CHA</v>
          </cell>
          <cell r="T30">
            <v>146</v>
          </cell>
          <cell r="U30">
            <v>0.4</v>
          </cell>
        </row>
        <row r="31">
          <cell r="C31" t="str">
            <v>EXPORTACIONES COMPROMETIDAS</v>
          </cell>
          <cell r="D31">
            <v>34.674999999999997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34.674999999999997</v>
          </cell>
          <cell r="S31" t="str">
            <v>TOT</v>
          </cell>
          <cell r="T31">
            <v>324.85000000000002</v>
          </cell>
          <cell r="U31">
            <v>0.89</v>
          </cell>
        </row>
        <row r="33">
          <cell r="C33" t="str">
            <v>EXPORTACIONES SPOT</v>
          </cell>
          <cell r="D33">
            <v>98.855312824249282</v>
          </cell>
          <cell r="E33">
            <v>0</v>
          </cell>
          <cell r="F33">
            <v>98.855312824249282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5">
          <cell r="C35" t="str">
            <v>ENTREGADO POR INTERCAMBIOS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7">
          <cell r="C37" t="str">
            <v xml:space="preserve">DEVOLUCION  CIAS  /  OTROS EGRESOS </v>
          </cell>
          <cell r="D37">
            <v>593.85500000000002</v>
          </cell>
          <cell r="E37">
            <v>593.85500000000002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9">
          <cell r="C39" t="str">
            <v>BARCO MES POSTER-AUMEN EN DUCTOS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1">
          <cell r="C41" t="str">
            <v xml:space="preserve">     TOTAL SALIDAS</v>
          </cell>
          <cell r="D41">
            <v>18543.413461058968</v>
          </cell>
          <cell r="E41">
            <v>9215.6741259022583</v>
          </cell>
          <cell r="F41">
            <v>2005.159089573584</v>
          </cell>
          <cell r="G41">
            <v>4087.999543166392</v>
          </cell>
          <cell r="H41">
            <v>0</v>
          </cell>
          <cell r="I41">
            <v>69.349999129772186</v>
          </cell>
          <cell r="J41">
            <v>2894.4500581256711</v>
          </cell>
          <cell r="K41">
            <v>270.78064516129035</v>
          </cell>
          <cell r="L41">
            <v>0</v>
          </cell>
        </row>
        <row r="44">
          <cell r="C44" t="str">
            <v xml:space="preserve">     INVENTARIO FINAL</v>
          </cell>
          <cell r="D44">
            <v>232.97792312095407</v>
          </cell>
          <cell r="E44">
            <v>74.88087409774198</v>
          </cell>
          <cell r="F44">
            <v>39.996649445051162</v>
          </cell>
          <cell r="G44">
            <v>70.000456833608041</v>
          </cell>
          <cell r="H44">
            <v>7</v>
          </cell>
          <cell r="I44">
            <v>12.600000870227802</v>
          </cell>
          <cell r="J44">
            <v>24.599941874328579</v>
          </cell>
          <cell r="K44">
            <v>3.8999999999999204</v>
          </cell>
          <cell r="L44">
            <v>0</v>
          </cell>
        </row>
        <row r="50">
          <cell r="C50" t="str">
            <v>STOCK FINAL TOTAL PARA CHEQUEO</v>
          </cell>
          <cell r="D50">
            <v>232.97792312095811</v>
          </cell>
          <cell r="E50">
            <v>74.88087409774198</v>
          </cell>
          <cell r="F50">
            <v>39.996649445051162</v>
          </cell>
          <cell r="G50">
            <v>70.000456833608041</v>
          </cell>
          <cell r="H50">
            <v>7</v>
          </cell>
          <cell r="I50">
            <v>12.600000870227802</v>
          </cell>
          <cell r="J50">
            <v>24.599941874329126</v>
          </cell>
          <cell r="K50">
            <v>3.9</v>
          </cell>
        </row>
        <row r="52">
          <cell r="C52" t="str">
            <v>DIFERENCIA</v>
          </cell>
          <cell r="D52">
            <v>4.0358827391173691E-12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5.4711790653527714E-13</v>
          </cell>
          <cell r="K52">
            <v>7.815970093361102E-14</v>
          </cell>
        </row>
        <row r="54">
          <cell r="C54" t="str">
            <v>VARIACION DE STOCK</v>
          </cell>
          <cell r="D54">
            <v>21.37792312095408</v>
          </cell>
          <cell r="E54">
            <v>21.38087409774198</v>
          </cell>
          <cell r="F54">
            <v>-3.3505549488381803E-3</v>
          </cell>
          <cell r="G54">
            <v>4.5683360804105178E-4</v>
          </cell>
          <cell r="H54">
            <v>0</v>
          </cell>
          <cell r="I54">
            <v>8.7022780270729072E-7</v>
          </cell>
          <cell r="J54">
            <v>-5.8125671422715186E-5</v>
          </cell>
        </row>
      </sheetData>
      <sheetData sheetId="3">
        <row r="6">
          <cell r="C6" t="str">
            <v>BALANCE DE PRODUCTOS</v>
          </cell>
        </row>
      </sheetData>
      <sheetData sheetId="4">
        <row r="5">
          <cell r="C5" t="str">
            <v>INSUMOS Y PRODUCCIONES DE REFINERIAS Y PETROQUIMICAS</v>
          </cell>
        </row>
      </sheetData>
      <sheetData sheetId="5">
        <row r="9">
          <cell r="C9" t="str">
            <v xml:space="preserve">  PRECIOS DE CRUDOS</v>
          </cell>
        </row>
        <row r="14">
          <cell r="C14" t="str">
            <v>CRUDOS   (U$S / BB)</v>
          </cell>
          <cell r="J14" t="str">
            <v>PRODUCTOS</v>
          </cell>
        </row>
        <row r="16">
          <cell r="K16" t="str">
            <v>INGRESO NETO</v>
          </cell>
          <cell r="L16" t="str">
            <v>QUITA</v>
          </cell>
        </row>
        <row r="17">
          <cell r="E17" t="str">
            <v>PRECIO</v>
          </cell>
          <cell r="F17" t="str">
            <v>PRECIO</v>
          </cell>
          <cell r="G17" t="str">
            <v xml:space="preserve">        DIFERENCIA CON WTI</v>
          </cell>
          <cell r="K17" t="str">
            <v>POR EXPORTACION</v>
          </cell>
        </row>
        <row r="18">
          <cell r="C18" t="str">
            <v>CRUDO</v>
          </cell>
          <cell r="D18" t="str">
            <v>TERMINAL</v>
          </cell>
          <cell r="E18" t="str">
            <v>EXPORT</v>
          </cell>
          <cell r="F18" t="str">
            <v>LOCAL</v>
          </cell>
          <cell r="G18" t="str">
            <v>EXPORT</v>
          </cell>
          <cell r="H18" t="str">
            <v>LOCAL</v>
          </cell>
          <cell r="K18" t="str">
            <v>MARGINAL  (U$S/m3)</v>
          </cell>
        </row>
        <row r="19">
          <cell r="K19" t="str">
            <v>(Dest. La Plata)</v>
          </cell>
          <cell r="L19" t="str">
            <v>CTVS/GAL</v>
          </cell>
        </row>
        <row r="21">
          <cell r="C21" t="str">
            <v>N.R.N.</v>
          </cell>
          <cell r="D21" t="str">
            <v>Concepción (Chile)</v>
          </cell>
          <cell r="E21">
            <v>60</v>
          </cell>
          <cell r="G21">
            <v>-2.1</v>
          </cell>
          <cell r="J21" t="str">
            <v xml:space="preserve">NE7-REGULAR 30 ppm  </v>
          </cell>
          <cell r="K21">
            <v>396.13617191599997</v>
          </cell>
          <cell r="L21">
            <v>9.5479603086254787</v>
          </cell>
        </row>
        <row r="23">
          <cell r="C23" t="str">
            <v>N.R.N.</v>
          </cell>
          <cell r="D23" t="str">
            <v>Pto. Rosales</v>
          </cell>
          <cell r="E23">
            <v>57.9</v>
          </cell>
          <cell r="F23">
            <v>60</v>
          </cell>
          <cell r="G23">
            <v>-2.1</v>
          </cell>
          <cell r="H23">
            <v>0</v>
          </cell>
          <cell r="J23" t="str">
            <v xml:space="preserve">NE5-RON 97-PETR     </v>
          </cell>
          <cell r="K23">
            <v>441.20771085971927</v>
          </cell>
          <cell r="L23">
            <v>4.3</v>
          </cell>
        </row>
        <row r="25">
          <cell r="C25" t="str">
            <v>S.C.N.</v>
          </cell>
          <cell r="D25" t="str">
            <v>Cta. Olivia</v>
          </cell>
          <cell r="E25">
            <v>53.7</v>
          </cell>
          <cell r="F25">
            <v>58.18</v>
          </cell>
          <cell r="G25">
            <v>-6.3</v>
          </cell>
          <cell r="H25">
            <v>-1.82</v>
          </cell>
          <cell r="J25" t="str">
            <v>GASOIL</v>
          </cell>
          <cell r="K25">
            <v>280.5</v>
          </cell>
          <cell r="L25">
            <v>0</v>
          </cell>
        </row>
        <row r="27">
          <cell r="C27" t="str">
            <v>S.C.S.</v>
          </cell>
          <cell r="D27" t="str">
            <v>Pta. Loyola</v>
          </cell>
          <cell r="E27">
            <v>58.2</v>
          </cell>
          <cell r="F27">
            <v>0</v>
          </cell>
          <cell r="G27">
            <v>-1.8</v>
          </cell>
          <cell r="H27">
            <v>0</v>
          </cell>
        </row>
        <row r="29">
          <cell r="C29" t="str">
            <v>TDF</v>
          </cell>
          <cell r="D29" t="str">
            <v>San Sebastián</v>
          </cell>
          <cell r="E29">
            <v>58.72</v>
          </cell>
          <cell r="F29">
            <v>58.72</v>
          </cell>
          <cell r="G29">
            <v>-1.28</v>
          </cell>
          <cell r="H29">
            <v>-1.28</v>
          </cell>
        </row>
        <row r="31">
          <cell r="C31" t="str">
            <v>CHUBUT</v>
          </cell>
          <cell r="D31" t="str">
            <v>Cta. Cordova</v>
          </cell>
          <cell r="E31">
            <v>52.9</v>
          </cell>
          <cell r="F31">
            <v>0</v>
          </cell>
          <cell r="G31">
            <v>-7.1</v>
          </cell>
          <cell r="H31">
            <v>0</v>
          </cell>
        </row>
        <row r="32">
          <cell r="J32" t="str">
            <v>PRECIOS INTERNACIONALES</v>
          </cell>
        </row>
        <row r="33">
          <cell r="C33" t="str">
            <v>FORMOSA</v>
          </cell>
          <cell r="D33" t="str">
            <v>Pta. Formosa</v>
          </cell>
          <cell r="E33">
            <v>60.9</v>
          </cell>
          <cell r="F33">
            <v>0</v>
          </cell>
          <cell r="G33">
            <v>0.9</v>
          </cell>
          <cell r="H33">
            <v>0</v>
          </cell>
        </row>
        <row r="34">
          <cell r="J34" t="str">
            <v>COSTA DEL GOLFO</v>
          </cell>
          <cell r="K34" t="str">
            <v>Cvos / Gal</v>
          </cell>
          <cell r="L34" t="str">
            <v>$/m3</v>
          </cell>
          <cell r="M34" t="str">
            <v>Spread</v>
          </cell>
        </row>
        <row r="35">
          <cell r="J35" t="str">
            <v>WTI</v>
          </cell>
          <cell r="K35">
            <v>142.85833253210527</v>
          </cell>
          <cell r="L35">
            <v>377.4</v>
          </cell>
        </row>
        <row r="36">
          <cell r="J36" t="str">
            <v>GAS OIL - N° 2</v>
          </cell>
          <cell r="K36">
            <v>166.11514896406888</v>
          </cell>
          <cell r="L36">
            <v>438.83934599999998</v>
          </cell>
          <cell r="M36">
            <v>61.439346</v>
          </cell>
        </row>
        <row r="37">
          <cell r="E37" t="str">
            <v>PRECIO</v>
          </cell>
          <cell r="G37" t="str">
            <v xml:space="preserve">        DIFERENCIA CON WTI</v>
          </cell>
          <cell r="J37" t="str">
            <v>NAFTA - UNL 87</v>
          </cell>
          <cell r="K37">
            <v>166.99608066991246</v>
          </cell>
          <cell r="L37">
            <v>441.16657199999997</v>
          </cell>
          <cell r="M37">
            <v>63.766571999999996</v>
          </cell>
        </row>
        <row r="38">
          <cell r="C38" t="str">
            <v>CRUDO</v>
          </cell>
          <cell r="D38" t="str">
            <v>TERMINAL</v>
          </cell>
          <cell r="E38" t="str">
            <v>IMPORT</v>
          </cell>
          <cell r="G38" t="str">
            <v>IMPORT</v>
          </cell>
          <cell r="J38" t="str">
            <v>NAFTA VIRGEN - NF NWE</v>
          </cell>
          <cell r="K38">
            <v>141.9952774230083</v>
          </cell>
          <cell r="L38">
            <v>375.12</v>
          </cell>
          <cell r="M38">
            <v>-2.2799999999999727</v>
          </cell>
        </row>
        <row r="39">
          <cell r="J39" t="str">
            <v>JP1 - JET 54</v>
          </cell>
          <cell r="K39">
            <v>173.83478096948343</v>
          </cell>
          <cell r="L39">
            <v>459.23289999999997</v>
          </cell>
          <cell r="M39">
            <v>81.832899999999995</v>
          </cell>
        </row>
        <row r="40">
          <cell r="J40" t="str">
            <v>NAFTA - UNL 93</v>
          </cell>
          <cell r="K40">
            <v>179.6622357377135</v>
          </cell>
          <cell r="L40">
            <v>474.62774180270532</v>
          </cell>
          <cell r="M40">
            <v>97.227741802705339</v>
          </cell>
        </row>
        <row r="41">
          <cell r="J41" t="str">
            <v>N° 6</v>
          </cell>
          <cell r="K41">
            <v>103.91280305694177</v>
          </cell>
          <cell r="L41">
            <v>274.5145570341615</v>
          </cell>
          <cell r="M41">
            <v>-102.88544296583848</v>
          </cell>
        </row>
        <row r="43">
          <cell r="C43" t="str">
            <v>Se utilizó para los cálculos una estimación del precio del crudo WTI de :</v>
          </cell>
          <cell r="G43">
            <v>60</v>
          </cell>
          <cell r="H43" t="str">
            <v>U$S/barril</v>
          </cell>
        </row>
      </sheetData>
      <sheetData sheetId="6">
        <row r="5">
          <cell r="C5" t="str">
            <v>BALANCE DE GAS LICUADO</v>
          </cell>
        </row>
      </sheetData>
      <sheetData sheetId="7">
        <row r="4">
          <cell r="C4">
            <v>365</v>
          </cell>
        </row>
      </sheetData>
      <sheetData sheetId="8">
        <row r="4">
          <cell r="H4" t="str">
            <v xml:space="preserve">(*) EN ESTE PUNTO SE INCLUYEN  (M3/DIA) : </v>
          </cell>
        </row>
      </sheetData>
      <sheetData sheetId="9">
        <row r="6">
          <cell r="B6" t="str">
            <v>ROSALES</v>
          </cell>
        </row>
      </sheetData>
      <sheetData sheetId="10">
        <row r="6">
          <cell r="B6" t="str">
            <v>LOMA LA LATA</v>
          </cell>
        </row>
      </sheetData>
      <sheetData sheetId="11">
        <row r="4">
          <cell r="F4" t="str">
            <v>QUE LLEGA</v>
          </cell>
        </row>
      </sheetData>
      <sheetData sheetId="12">
        <row r="5">
          <cell r="K5" t="str">
            <v>BOYA</v>
          </cell>
        </row>
      </sheetData>
      <sheetData sheetId="13">
        <row r="8">
          <cell r="B8" t="str">
            <v>CRUDO</v>
          </cell>
        </row>
      </sheetData>
      <sheetData sheetId="14">
        <row r="8">
          <cell r="B8" t="str">
            <v>INVENTARIO</v>
          </cell>
        </row>
      </sheetData>
      <sheetData sheetId="15">
        <row r="7">
          <cell r="B7" t="str">
            <v xml:space="preserve"> ------------------------------------------SUMINISTROS--------------------------------------------</v>
          </cell>
        </row>
      </sheetData>
      <sheetData sheetId="16">
        <row r="8">
          <cell r="B8" t="str">
            <v xml:space="preserve"> ---------------------------------------------------------SUMINISTRO------------------------------------------------------------</v>
          </cell>
        </row>
      </sheetData>
      <sheetData sheetId="17">
        <row r="8">
          <cell r="B8" t="str">
            <v>INVENTARIO</v>
          </cell>
        </row>
      </sheetData>
      <sheetData sheetId="18">
        <row r="8">
          <cell r="B8" t="str">
            <v xml:space="preserve"> ---------------------------------SUMINISTROS-----------------------------------</v>
          </cell>
        </row>
      </sheetData>
      <sheetData sheetId="19">
        <row r="8">
          <cell r="B8" t="str">
            <v>INVENTARIO</v>
          </cell>
        </row>
      </sheetData>
      <sheetData sheetId="20">
        <row r="9">
          <cell r="B9" t="str">
            <v xml:space="preserve">    -------------------------------------SUMINISTROS--------------------------------------------</v>
          </cell>
        </row>
      </sheetData>
      <sheetData sheetId="21">
        <row r="7">
          <cell r="K7" t="str">
            <v>COMPLEJO</v>
          </cell>
        </row>
      </sheetData>
      <sheetData sheetId="22">
        <row r="5">
          <cell r="D5" t="str">
            <v xml:space="preserve">   -------------INGRESOS--------------------------------------------------</v>
          </cell>
        </row>
      </sheetData>
      <sheetData sheetId="23">
        <row r="6">
          <cell r="G6" t="str">
            <v>INSUMOS      ( Mm3 )</v>
          </cell>
        </row>
      </sheetData>
      <sheetData sheetId="24">
        <row r="6">
          <cell r="D6" t="str">
            <v>MTBE</v>
          </cell>
        </row>
      </sheetData>
      <sheetData sheetId="25">
        <row r="6">
          <cell r="B6" t="str">
            <v xml:space="preserve">UNIDAD </v>
          </cell>
        </row>
      </sheetData>
      <sheetData sheetId="26">
        <row r="7">
          <cell r="G7" t="str">
            <v>SLACK DE INVENTARIO MINIMO FINAL   ( Mm3 )</v>
          </cell>
        </row>
      </sheetData>
      <sheetData sheetId="27">
        <row r="6">
          <cell r="B6" t="str">
            <v xml:space="preserve">INVENTARIO </v>
          </cell>
        </row>
      </sheetData>
      <sheetData sheetId="28">
        <row r="6">
          <cell r="B6" t="str">
            <v>INVENTARIO INICIAL   ( Mm3 )</v>
          </cell>
        </row>
      </sheetData>
      <sheetData sheetId="29">
        <row r="7">
          <cell r="B7" t="str">
            <v xml:space="preserve">                    -----------------------------------INVENTARIOS-------------------------------------</v>
          </cell>
        </row>
      </sheetData>
      <sheetData sheetId="30">
        <row r="5">
          <cell r="D5" t="str">
            <v xml:space="preserve">TIPO DE </v>
          </cell>
        </row>
      </sheetData>
      <sheetData sheetId="31">
        <row r="7">
          <cell r="G7" t="str">
            <v>GASOIL</v>
          </cell>
        </row>
      </sheetData>
      <sheetData sheetId="32">
        <row r="8">
          <cell r="B8" t="str">
            <v>N NORM</v>
          </cell>
        </row>
      </sheetData>
      <sheetData sheetId="33">
        <row r="7">
          <cell r="G7" t="str">
            <v>GASOIL</v>
          </cell>
        </row>
      </sheetData>
      <sheetData sheetId="34">
        <row r="7">
          <cell r="G7" t="str">
            <v>GASOIL</v>
          </cell>
        </row>
      </sheetData>
      <sheetData sheetId="35">
        <row r="6">
          <cell r="G6" t="str">
            <v>GASOIL</v>
          </cell>
        </row>
      </sheetData>
      <sheetData sheetId="36">
        <row r="8">
          <cell r="B8" t="str">
            <v>N NORM</v>
          </cell>
        </row>
      </sheetData>
      <sheetData sheetId="37">
        <row r="8">
          <cell r="B8" t="str">
            <v>N NORM</v>
          </cell>
        </row>
      </sheetData>
      <sheetData sheetId="38">
        <row r="7">
          <cell r="G7" t="str">
            <v>GASOIL</v>
          </cell>
        </row>
      </sheetData>
      <sheetData sheetId="39">
        <row r="6">
          <cell r="G6" t="str">
            <v>GASOIL</v>
          </cell>
        </row>
      </sheetData>
      <sheetData sheetId="40">
        <row r="7">
          <cell r="G7" t="str">
            <v>GASOIL</v>
          </cell>
        </row>
      </sheetData>
      <sheetData sheetId="41">
        <row r="7">
          <cell r="G7" t="str">
            <v>GASOIL</v>
          </cell>
        </row>
      </sheetData>
      <sheetData sheetId="42">
        <row r="6">
          <cell r="G6" t="str">
            <v>GASOIL</v>
          </cell>
        </row>
      </sheetData>
      <sheetData sheetId="43">
        <row r="7">
          <cell r="G7" t="str">
            <v>GASOIL</v>
          </cell>
        </row>
      </sheetData>
      <sheetData sheetId="44">
        <row r="7">
          <cell r="G7" t="str">
            <v>GASOIL</v>
          </cell>
        </row>
      </sheetData>
      <sheetData sheetId="45">
        <row r="7">
          <cell r="G7" t="str">
            <v>GASOIL</v>
          </cell>
        </row>
      </sheetData>
      <sheetData sheetId="46">
        <row r="6">
          <cell r="G6" t="str">
            <v>GASOIL</v>
          </cell>
        </row>
      </sheetData>
      <sheetData sheetId="47">
        <row r="7">
          <cell r="G7" t="str">
            <v>GASOIL</v>
          </cell>
        </row>
      </sheetData>
      <sheetData sheetId="48">
        <row r="8">
          <cell r="B8" t="str">
            <v>N NORM</v>
          </cell>
        </row>
      </sheetData>
      <sheetData sheetId="49">
        <row r="7">
          <cell r="G7" t="str">
            <v>GASOIL</v>
          </cell>
        </row>
      </sheetData>
      <sheetData sheetId="50">
        <row r="5">
          <cell r="B5" t="str">
            <v>VOLUM</v>
          </cell>
        </row>
      </sheetData>
      <sheetData sheetId="51">
        <row r="5">
          <cell r="K5" t="str">
            <v>DIESEL</v>
          </cell>
        </row>
      </sheetData>
      <sheetData sheetId="52">
        <row r="7">
          <cell r="K7" t="str">
            <v>DIESEL</v>
          </cell>
        </row>
      </sheetData>
      <sheetData sheetId="53">
        <row r="7">
          <cell r="K7" t="str">
            <v>DIESEL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IP Internados"/>
      <sheetName val="IP Internado Semanal"/>
      <sheetName val="Explicación"/>
      <sheetName val="Costos de Internación"/>
      <sheetName val="Import Parity"/>
      <sheetName val="IP Promedio Semanal"/>
      <sheetName val="Fletes"/>
      <sheetName val="Factores"/>
      <sheetName val="IP_Internados"/>
      <sheetName val="IP_Internado_Semanal"/>
      <sheetName val="Costos_de_Internación"/>
      <sheetName val="Import_Parity"/>
      <sheetName val="IP_Promedio_Semanal"/>
      <sheetName val="10"/>
      <sheetName val="7"/>
      <sheetName val="12"/>
      <sheetName val="6"/>
      <sheetName val="45"/>
      <sheetName val="IV"/>
      <sheetName val="68"/>
      <sheetName val="I"/>
      <sheetName val="Inputs Sheet"/>
      <sheetName val="Calculos"/>
      <sheetName val="IV:68"/>
      <sheetName val="68: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3">
          <cell r="C103">
            <v>2.9803999999999999</v>
          </cell>
        </row>
        <row r="104">
          <cell r="C104">
            <v>4.694</v>
          </cell>
        </row>
        <row r="105">
          <cell r="C105">
            <v>7.8559999999999999</v>
          </cell>
        </row>
        <row r="106">
          <cell r="C106">
            <v>7.7</v>
          </cell>
        </row>
        <row r="108">
          <cell r="C108">
            <v>9.8469999999999995</v>
          </cell>
        </row>
        <row r="109">
          <cell r="C109">
            <v>1.5911999999999999</v>
          </cell>
        </row>
        <row r="111">
          <cell r="C111">
            <v>0.75480000000000003</v>
          </cell>
        </row>
      </sheetData>
      <sheetData sheetId="8">
        <row r="16">
          <cell r="D16">
            <v>3.22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ios "/>
      <sheetName val="macroeconomicos "/>
      <sheetName val="IP anual"/>
      <sheetName val="Cotizaciones"/>
      <sheetName val="Import Parity"/>
      <sheetName val="Export Parity"/>
      <sheetName val="Resumen"/>
      <sheetName val="Spread IP-EP"/>
      <sheetName val="Factores"/>
      <sheetName val="Flete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int"/>
      <sheetName val="Natural Gas"/>
      <sheetName val="1st-4th"/>
      <sheetName val="Calculos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s"/>
      <sheetName val="Summary New"/>
      <sheetName val="Company data&gt;&gt;&gt;&gt;"/>
      <sheetName val="RD Shell"/>
      <sheetName val="BP"/>
      <sheetName val="TFE"/>
      <sheetName val="Eni"/>
      <sheetName val="Statoil"/>
      <sheetName val="Repsol "/>
      <sheetName val="Hydro"/>
      <sheetName val="BGI"/>
      <sheetName val="OMV"/>
      <sheetName val="ExxonMob"/>
      <sheetName val="ChevronTexaco"/>
      <sheetName val="ConocoPhillips"/>
      <sheetName val="Amerada"/>
      <sheetName val="Marathon"/>
      <sheetName val="Anadarko"/>
      <sheetName val="Apache"/>
      <sheetName val="Burlington"/>
      <sheetName val="Talisman"/>
      <sheetName val="Unocal"/>
      <sheetName val="Conoco (old)"/>
      <sheetName val="Charts &gt;&gt;&gt;"/>
      <sheetName val="Overview"/>
      <sheetName val="Weightings"/>
      <sheetName val="CD&gt;&gt;"/>
      <sheetName val="Company Data"/>
      <sheetName val="Input"/>
      <sheetName val="3.2 Indicadores Negocio"/>
      <sheetName val="openint"/>
      <sheetName val="Acc_dil"/>
      <sheetName val="LookUps"/>
    </sheetNames>
    <sheetDataSet>
      <sheetData sheetId="0" refreshError="1">
        <row r="31">
          <cell r="M31">
            <v>4.6763636363636367</v>
          </cell>
        </row>
        <row r="32">
          <cell r="M32">
            <v>5.1724137931034484</v>
          </cell>
        </row>
        <row r="33">
          <cell r="M33">
            <v>3.2239997199565935</v>
          </cell>
        </row>
        <row r="34">
          <cell r="M34">
            <v>3.1744957709824337</v>
          </cell>
        </row>
        <row r="35">
          <cell r="M35">
            <v>7.9138490041685969</v>
          </cell>
        </row>
        <row r="36">
          <cell r="M36">
            <v>7.1573261309925726</v>
          </cell>
        </row>
        <row r="37">
          <cell r="M37">
            <v>4.3410664819944591</v>
          </cell>
        </row>
        <row r="39">
          <cell r="M39">
            <v>4.8992178770949719</v>
          </cell>
        </row>
        <row r="40">
          <cell r="M40">
            <v>5.1549295774647881</v>
          </cell>
        </row>
        <row r="41">
          <cell r="M41">
            <v>2.8265651901452999</v>
          </cell>
        </row>
        <row r="42">
          <cell r="M42">
            <v>3.1392857142857142</v>
          </cell>
        </row>
        <row r="43">
          <cell r="M43">
            <v>5.0061659192825108</v>
          </cell>
        </row>
        <row r="44">
          <cell r="M44">
            <v>5.245059151193634</v>
          </cell>
        </row>
        <row r="45">
          <cell r="M45">
            <v>3.0179036613037105</v>
          </cell>
        </row>
        <row r="46">
          <cell r="M46">
            <v>4.3921003111486554</v>
          </cell>
        </row>
        <row r="47">
          <cell r="M47">
            <v>4.0200000000000005</v>
          </cell>
        </row>
        <row r="48">
          <cell r="M48">
            <v>3.8879999999999999</v>
          </cell>
        </row>
        <row r="49">
          <cell r="M49">
            <v>4.5440436434988838</v>
          </cell>
        </row>
        <row r="55">
          <cell r="M55">
            <v>4.8509090909090906</v>
          </cell>
        </row>
        <row r="56">
          <cell r="M56">
            <v>5.1274362818590706</v>
          </cell>
        </row>
        <row r="57">
          <cell r="M57">
            <v>5.9544229355550113</v>
          </cell>
        </row>
        <row r="58">
          <cell r="M58">
            <v>4.4353936239427458</v>
          </cell>
        </row>
        <row r="59">
          <cell r="M59">
            <v>4.3584993052339049</v>
          </cell>
        </row>
        <row r="60">
          <cell r="M60">
            <v>4.4496961512491557</v>
          </cell>
        </row>
        <row r="61">
          <cell r="M61">
            <v>3.2783933518005539</v>
          </cell>
        </row>
        <row r="63">
          <cell r="M63">
            <v>4.017877094972067</v>
          </cell>
        </row>
        <row r="64">
          <cell r="M64">
            <v>3.2939105219552607</v>
          </cell>
        </row>
        <row r="65">
          <cell r="M65">
            <v>6.0616067733663295</v>
          </cell>
        </row>
        <row r="66">
          <cell r="M66">
            <v>2.3357142857142859</v>
          </cell>
        </row>
        <row r="67">
          <cell r="M67">
            <v>3.0008408071748875</v>
          </cell>
        </row>
        <row r="68">
          <cell r="M68">
            <v>3.4061051724137927</v>
          </cell>
        </row>
        <row r="69">
          <cell r="M69">
            <v>4.4200900322396324</v>
          </cell>
        </row>
        <row r="70">
          <cell r="M70">
            <v>6.1621644296347755</v>
          </cell>
        </row>
        <row r="71">
          <cell r="M71">
            <v>4.1557142857142857</v>
          </cell>
        </row>
        <row r="72">
          <cell r="M72">
            <v>4.6186666666666669</v>
          </cell>
        </row>
        <row r="79">
          <cell r="M79">
            <v>7.6780920014564886</v>
          </cell>
        </row>
        <row r="80">
          <cell r="M80">
            <v>9.1304347826086953</v>
          </cell>
        </row>
        <row r="81">
          <cell r="M81">
            <v>7.6080629706906899</v>
          </cell>
        </row>
        <row r="82">
          <cell r="M82">
            <v>3.2934052243248106</v>
          </cell>
        </row>
        <row r="83">
          <cell r="M83">
            <v>8.9922562105267225</v>
          </cell>
        </row>
        <row r="84">
          <cell r="M84">
            <v>6.3266097195874371</v>
          </cell>
        </row>
        <row r="85">
          <cell r="M85">
            <v>7.3920127109739155</v>
          </cell>
        </row>
        <row r="87">
          <cell r="M87">
            <v>8.5176039837426707</v>
          </cell>
        </row>
        <row r="88">
          <cell r="M88">
            <v>7.4658782575579865</v>
          </cell>
        </row>
        <row r="89">
          <cell r="M89">
            <v>4.0378138823541043</v>
          </cell>
        </row>
        <row r="90">
          <cell r="M90">
            <v>5.0723520378517479</v>
          </cell>
        </row>
        <row r="91">
          <cell r="M91">
            <v>7.9496044919797191</v>
          </cell>
        </row>
        <row r="92">
          <cell r="M92">
            <v>7.051443489668725</v>
          </cell>
        </row>
        <row r="93">
          <cell r="M93">
            <v>4.3404013250217561</v>
          </cell>
        </row>
        <row r="94">
          <cell r="M94">
            <v>5.9952121310037967</v>
          </cell>
        </row>
        <row r="95">
          <cell r="M95">
            <v>6.2779402806720981</v>
          </cell>
        </row>
        <row r="96">
          <cell r="M96">
            <v>5.8170720971859504</v>
          </cell>
        </row>
        <row r="103">
          <cell r="M103">
            <v>12.529001092365579</v>
          </cell>
        </row>
        <row r="104">
          <cell r="M104">
            <v>14.257871064467766</v>
          </cell>
        </row>
        <row r="105">
          <cell r="M105">
            <v>13.562485906245699</v>
          </cell>
        </row>
        <row r="106">
          <cell r="M106">
            <v>7.728798848267556</v>
          </cell>
        </row>
        <row r="107">
          <cell r="M107">
            <v>13.350755515760627</v>
          </cell>
        </row>
        <row r="108">
          <cell r="M108">
            <v>10.776305870836593</v>
          </cell>
        </row>
        <row r="109">
          <cell r="M109">
            <v>10.670406062774468</v>
          </cell>
        </row>
        <row r="111">
          <cell r="M111">
            <v>12.535481078714737</v>
          </cell>
        </row>
        <row r="112">
          <cell r="M112">
            <v>10.759788779513249</v>
          </cell>
        </row>
        <row r="113">
          <cell r="M113">
            <v>10.099420655720433</v>
          </cell>
        </row>
        <row r="114">
          <cell r="M114">
            <v>7.4080663235660333</v>
          </cell>
        </row>
        <row r="115">
          <cell r="M115">
            <v>10.950445299154607</v>
          </cell>
        </row>
        <row r="116">
          <cell r="M116">
            <v>10.457548662082518</v>
          </cell>
        </row>
        <row r="117">
          <cell r="M117">
            <v>8.7604913572613885</v>
          </cell>
        </row>
        <row r="118">
          <cell r="M118">
            <v>12.157376560638571</v>
          </cell>
        </row>
        <row r="119">
          <cell r="M119">
            <v>10.433654566386384</v>
          </cell>
        </row>
        <row r="120">
          <cell r="M120">
            <v>11.561821719277347</v>
          </cell>
        </row>
        <row r="175">
          <cell r="M175">
            <v>0.85636856368563696</v>
          </cell>
        </row>
        <row r="176">
          <cell r="M176">
            <v>6.2954702230397794</v>
          </cell>
        </row>
        <row r="177">
          <cell r="M177">
            <v>2.9026064922972132</v>
          </cell>
        </row>
        <row r="178">
          <cell r="M178">
            <v>2.4654306012822733</v>
          </cell>
        </row>
        <row r="179">
          <cell r="M179">
            <v>1.2810449022028723</v>
          </cell>
        </row>
        <row r="180">
          <cell r="M180">
            <v>1.1706980594132255</v>
          </cell>
        </row>
        <row r="181">
          <cell r="M181">
            <v>0.94374360722809414</v>
          </cell>
        </row>
        <row r="183">
          <cell r="M183">
            <v>1.3854270997281439</v>
          </cell>
        </row>
        <row r="184">
          <cell r="M184">
            <v>1.2027029894129382</v>
          </cell>
        </row>
        <row r="185">
          <cell r="M185">
            <v>2.0106216530775387</v>
          </cell>
        </row>
        <row r="186">
          <cell r="M186">
            <v>3.4206609109854118</v>
          </cell>
        </row>
        <row r="187">
          <cell r="M187">
            <v>0.86307653813005625</v>
          </cell>
        </row>
        <row r="188">
          <cell r="M188">
            <v>6.0486901977706964</v>
          </cell>
        </row>
        <row r="189">
          <cell r="M189">
            <v>0.85537357877639397</v>
          </cell>
        </row>
        <row r="190">
          <cell r="M190">
            <v>2.088989499315173</v>
          </cell>
        </row>
        <row r="191">
          <cell r="M191">
            <v>1.5881640227415261</v>
          </cell>
        </row>
        <row r="192">
          <cell r="M192">
            <v>0.94123931623931645</v>
          </cell>
        </row>
        <row r="223">
          <cell r="M223">
            <v>7.6812121212121198</v>
          </cell>
        </row>
        <row r="224">
          <cell r="M224">
            <v>18.544227886056969</v>
          </cell>
        </row>
        <row r="225">
          <cell r="M225">
            <v>11.409003395526305</v>
          </cell>
        </row>
        <row r="226">
          <cell r="M226">
            <v>12.567664281067014</v>
          </cell>
        </row>
        <row r="227">
          <cell r="M227">
            <v>12.374247336729967</v>
          </cell>
        </row>
        <row r="228">
          <cell r="M228">
            <v>11.509340535674093</v>
          </cell>
        </row>
        <row r="229">
          <cell r="M229">
            <v>9.8923130193905813</v>
          </cell>
        </row>
        <row r="231">
          <cell r="M231">
            <v>14.014897579143389</v>
          </cell>
        </row>
        <row r="232">
          <cell r="M232">
            <v>12.969345484672742</v>
          </cell>
        </row>
        <row r="233">
          <cell r="M233">
            <v>13.250573246982764</v>
          </cell>
        </row>
        <row r="234">
          <cell r="M234">
            <v>13.444642857142856</v>
          </cell>
        </row>
        <row r="235">
          <cell r="M235">
            <v>14.414517937219729</v>
          </cell>
        </row>
        <row r="236">
          <cell r="M236">
            <v>13.108488063660477</v>
          </cell>
        </row>
        <row r="237">
          <cell r="M237">
            <v>11.783057448880236</v>
          </cell>
        </row>
        <row r="238">
          <cell r="M238">
            <v>7.7256840964508262</v>
          </cell>
        </row>
        <row r="239">
          <cell r="M239">
            <v>13.327122153209109</v>
          </cell>
        </row>
        <row r="240">
          <cell r="M240">
            <v>9.0462222222222231</v>
          </cell>
        </row>
        <row r="249">
          <cell r="M249">
            <v>1.6409261451959149E-2</v>
          </cell>
        </row>
        <row r="250">
          <cell r="M250">
            <v>0.31041334837971457</v>
          </cell>
        </row>
        <row r="251">
          <cell r="M251">
            <v>0.15025757434614218</v>
          </cell>
        </row>
        <row r="252">
          <cell r="M252">
            <v>0.20396783422477613</v>
          </cell>
        </row>
        <row r="253">
          <cell r="M253">
            <v>1.7448323111411142E-2</v>
          </cell>
        </row>
        <row r="254">
          <cell r="M254">
            <v>0.12225306738236462</v>
          </cell>
        </row>
        <row r="255">
          <cell r="M255" t="str">
            <v>-</v>
          </cell>
        </row>
        <row r="257">
          <cell r="M257">
            <v>4.7411958098713687E-2</v>
          </cell>
        </row>
        <row r="258">
          <cell r="M258">
            <v>2.9557192501202999E-2</v>
          </cell>
        </row>
        <row r="259">
          <cell r="M259">
            <v>0.10842721570726445</v>
          </cell>
        </row>
        <row r="260">
          <cell r="M260">
            <v>0.18604289951718522</v>
          </cell>
        </row>
        <row r="261">
          <cell r="M261">
            <v>-1.6143007732105377E-2</v>
          </cell>
        </row>
        <row r="262">
          <cell r="M262">
            <v>0.54329831544708218</v>
          </cell>
        </row>
        <row r="263">
          <cell r="M263">
            <v>4.6031942860986386E-2</v>
          </cell>
        </row>
        <row r="264">
          <cell r="M264">
            <v>0.16445342554282269</v>
          </cell>
        </row>
        <row r="265">
          <cell r="M265">
            <v>-4.630168489760206E-3</v>
          </cell>
        </row>
        <row r="266">
          <cell r="M266">
            <v>-6.7726452071858413E-3</v>
          </cell>
        </row>
        <row r="272">
          <cell r="M272">
            <v>1.638770305854754</v>
          </cell>
        </row>
        <row r="273">
          <cell r="M273">
            <v>3.5233467489415564</v>
          </cell>
        </row>
        <row r="274">
          <cell r="M274">
            <v>2.5188994066847763</v>
          </cell>
        </row>
        <row r="275">
          <cell r="M275">
            <v>1.7775607589874638</v>
          </cell>
        </row>
        <row r="276">
          <cell r="M276">
            <v>3.3890049455079181</v>
          </cell>
        </row>
        <row r="277">
          <cell r="M277">
            <v>2.1401882333767404</v>
          </cell>
        </row>
        <row r="278">
          <cell r="M278">
            <v>1.8163602813600936</v>
          </cell>
        </row>
        <row r="280">
          <cell r="M280">
            <v>2.5489750295001037</v>
          </cell>
        </row>
        <row r="281">
          <cell r="M281">
            <v>2.6899229722491156</v>
          </cell>
        </row>
        <row r="282">
          <cell r="M282">
            <v>1.1202757611469087</v>
          </cell>
        </row>
        <row r="283">
          <cell r="M283">
            <v>2.211588188027394</v>
          </cell>
        </row>
        <row r="284">
          <cell r="M284">
            <v>2.3899880391276884</v>
          </cell>
        </row>
        <row r="285">
          <cell r="M285">
            <v>2.2871935952153133</v>
          </cell>
        </row>
        <row r="286">
          <cell r="M286">
            <v>1.091019274983801</v>
          </cell>
        </row>
        <row r="287">
          <cell r="M287">
            <v>2.2814440852956972</v>
          </cell>
        </row>
        <row r="288">
          <cell r="M288">
            <v>2.3942195881734341</v>
          </cell>
        </row>
        <row r="289">
          <cell r="M289">
            <v>1.5242395075652126</v>
          </cell>
        </row>
        <row r="296">
          <cell r="M296">
            <v>2.4249201277955272</v>
          </cell>
        </row>
        <row r="297">
          <cell r="M297">
            <v>1.4435020165893004</v>
          </cell>
        </row>
        <row r="298">
          <cell r="M298">
            <v>1.4891909275580943</v>
          </cell>
        </row>
        <row r="299">
          <cell r="M299">
            <v>0.91412107852236879</v>
          </cell>
        </row>
        <row r="300">
          <cell r="M300">
            <v>0.96370457421804367</v>
          </cell>
        </row>
        <row r="301">
          <cell r="M301">
            <v>1.7413151855661946</v>
          </cell>
        </row>
        <row r="302">
          <cell r="M302">
            <v>1.6185764765270063</v>
          </cell>
        </row>
        <row r="304">
          <cell r="M304">
            <v>1.5410620536951749</v>
          </cell>
        </row>
        <row r="305">
          <cell r="M305">
            <v>0.86750112561909054</v>
          </cell>
        </row>
        <row r="306">
          <cell r="M306">
            <v>1.6026766969587725</v>
          </cell>
        </row>
        <row r="307">
          <cell r="M307">
            <v>0.90514569125852462</v>
          </cell>
        </row>
        <row r="308">
          <cell r="M308">
            <v>1.2362508335024498</v>
          </cell>
        </row>
        <row r="309">
          <cell r="M309">
            <v>1.2113866031748444</v>
          </cell>
        </row>
        <row r="310">
          <cell r="M310">
            <v>8.0296394006342933</v>
          </cell>
        </row>
        <row r="311">
          <cell r="M311">
            <v>1.3196870296190935</v>
          </cell>
        </row>
        <row r="312">
          <cell r="M312">
            <v>0.84338655465265033</v>
          </cell>
        </row>
        <row r="313">
          <cell r="M313">
            <v>3.1058530510585305</v>
          </cell>
        </row>
        <row r="320">
          <cell r="M320">
            <v>5.220447284345048</v>
          </cell>
        </row>
        <row r="321">
          <cell r="M321">
            <v>2.6031820257210256</v>
          </cell>
        </row>
        <row r="322">
          <cell r="M322">
            <v>3.8950994773119541</v>
          </cell>
        </row>
        <row r="323">
          <cell r="M323">
            <v>4.25</v>
          </cell>
        </row>
        <row r="324">
          <cell r="M324">
            <v>2.9757277165069604</v>
          </cell>
        </row>
        <row r="325">
          <cell r="M325">
            <v>3.2938988684023109</v>
          </cell>
        </row>
        <row r="326">
          <cell r="M326">
            <v>4.2560323069156984</v>
          </cell>
        </row>
        <row r="328">
          <cell r="M328">
            <v>3.6260593019524934</v>
          </cell>
        </row>
        <row r="329">
          <cell r="M329">
            <v>3.1325348941918056</v>
          </cell>
        </row>
        <row r="330">
          <cell r="M330">
            <v>7.4124435136051998</v>
          </cell>
        </row>
        <row r="331">
          <cell r="M331">
            <v>2.4445133292002481</v>
          </cell>
        </row>
        <row r="332">
          <cell r="M332">
            <v>3.3455483721334764</v>
          </cell>
        </row>
        <row r="333">
          <cell r="M333">
            <v>2.5450754824500579</v>
          </cell>
        </row>
        <row r="334">
          <cell r="M334">
            <v>6.5222802604482011</v>
          </cell>
        </row>
        <row r="335">
          <cell r="M335">
            <v>4.0091205615881478</v>
          </cell>
        </row>
        <row r="336">
          <cell r="M336">
            <v>3.5144654226366545</v>
          </cell>
        </row>
        <row r="337">
          <cell r="M337">
            <v>4.4794520547945202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nry Hub"/>
      <sheetName val="Dawn"/>
      <sheetName val="Dominion South"/>
      <sheetName val="AGT"/>
      <sheetName val="PG&amp;E"/>
      <sheetName val="AECO"/>
      <sheetName val="Chicago"/>
      <sheetName val="Parameters"/>
      <sheetName val="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>
            <v>43889</v>
          </cell>
        </row>
      </sheetData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de mando"/>
      <sheetName val="PyG CASO BASE"/>
      <sheetName val="PyG SENSIBILIDADES"/>
      <sheetName val="esquema ampliación"/>
      <sheetName val="PYG DETALLADA CASO BASE"/>
      <sheetName val="PYG DETALLADA CASO BASE 5 años"/>
      <sheetName val="P Y G DETALLADA SENSIBILIDADES"/>
      <sheetName val="ventas-márgenes"/>
      <sheetName val="INMOVILIZADO"/>
      <sheetName val="VALOR"/>
      <sheetName val="Efecto en resultados"/>
      <sheetName val="cuadro_de_mando"/>
      <sheetName val="PyG_CASO_BASE"/>
      <sheetName val="PyG_SENSIBILIDADES"/>
      <sheetName val="esquema_ampliación"/>
      <sheetName val="PYG_DETALLADA_CASO_BASE"/>
      <sheetName val="PYG_DETALLADA_CASO_BASE_5_años"/>
      <sheetName val="P_Y_G_DETALLADA_SENSIBILIDADES"/>
      <sheetName val="Efecto_en_resultados"/>
      <sheetName val="Parameters"/>
      <sheetName val="Set-up"/>
      <sheetName val="RO DGG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LÍNEA IV ACELERANTES.  EFECTO EN RESULTADOS DE GENERAL QUÍMICA</v>
          </cell>
        </row>
        <row r="2">
          <cell r="A2" t="str">
            <v>En kilo €</v>
          </cell>
        </row>
        <row r="5">
          <cell r="A5" t="str">
            <v>CUENTA DE RESULTADOS</v>
          </cell>
          <cell r="F5">
            <v>2004</v>
          </cell>
          <cell r="G5">
            <v>2005</v>
          </cell>
          <cell r="H5">
            <v>2006</v>
          </cell>
          <cell r="I5">
            <v>2007</v>
          </cell>
          <cell r="J5">
            <v>2008</v>
          </cell>
          <cell r="K5">
            <v>2009</v>
          </cell>
        </row>
        <row r="8">
          <cell r="A8" t="str">
            <v>RESULTADO OPERATIVO</v>
          </cell>
          <cell r="G8">
            <v>2766.5194947019477</v>
          </cell>
          <cell r="H8">
            <v>3510.3865647770594</v>
          </cell>
          <cell r="I8">
            <v>4609.1296354182314</v>
          </cell>
          <cell r="J8">
            <v>5226.3193395863282</v>
          </cell>
          <cell r="K8">
            <v>5682.7173389870377</v>
          </cell>
        </row>
        <row r="10">
          <cell r="A10" t="str">
            <v>Resultado Financiero</v>
          </cell>
          <cell r="F10">
            <v>-333.66744164363621</v>
          </cell>
          <cell r="G10">
            <v>-905.85425656014638</v>
          </cell>
          <cell r="H10">
            <v>-1030.3977791213244</v>
          </cell>
          <cell r="I10">
            <v>-735.31300070743896</v>
          </cell>
          <cell r="J10">
            <v>-328.85195533978282</v>
          </cell>
          <cell r="K10">
            <v>170.19068422542401</v>
          </cell>
        </row>
        <row r="12">
          <cell r="A12" t="str">
            <v>RESULTADO A.D.I.</v>
          </cell>
          <cell r="F12">
            <v>-333.66744164363621</v>
          </cell>
          <cell r="G12">
            <v>1860.6652381418012</v>
          </cell>
          <cell r="H12">
            <v>2479.9887856557352</v>
          </cell>
          <cell r="I12">
            <v>3873.8166347107926</v>
          </cell>
          <cell r="J12">
            <v>4897.4673842465454</v>
          </cell>
          <cell r="K12">
            <v>5852.9080232124616</v>
          </cell>
        </row>
        <row r="14">
          <cell r="A14" t="str">
            <v>Impuestos (32,5%)</v>
          </cell>
          <cell r="F14">
            <v>108.44191853418177</v>
          </cell>
          <cell r="G14">
            <v>-604.71620239608535</v>
          </cell>
          <cell r="H14">
            <v>-805.99635533811397</v>
          </cell>
          <cell r="I14">
            <v>-1258.9904062810076</v>
          </cell>
          <cell r="J14">
            <v>-1591.6768998801274</v>
          </cell>
          <cell r="K14">
            <v>-1902.19510754405</v>
          </cell>
        </row>
        <row r="16">
          <cell r="A16" t="str">
            <v>RESULTADO D.D.I.</v>
          </cell>
          <cell r="F16">
            <v>-225.22552310945446</v>
          </cell>
          <cell r="G16">
            <v>1255.9490357457157</v>
          </cell>
          <cell r="H16">
            <v>1673.9924303176213</v>
          </cell>
          <cell r="I16">
            <v>2614.8262284297853</v>
          </cell>
          <cell r="J16">
            <v>3305.7904843664182</v>
          </cell>
          <cell r="K16">
            <v>3950.7129156684114</v>
          </cell>
        </row>
        <row r="18">
          <cell r="A18" t="str">
            <v>LÍNEA IV ACELERANTES.  EFECTO EN RESULTADOS DE GENERAL QUÍMICA</v>
          </cell>
        </row>
        <row r="19">
          <cell r="A19" t="str">
            <v>En kilo €</v>
          </cell>
        </row>
        <row r="22">
          <cell r="A22" t="str">
            <v>ORIGEN Y APLICACION DE FONDOS OPERATIVOS</v>
          </cell>
          <cell r="F22">
            <v>2004</v>
          </cell>
          <cell r="G22">
            <v>2005</v>
          </cell>
          <cell r="H22">
            <v>2006</v>
          </cell>
          <cell r="I22">
            <v>2007</v>
          </cell>
          <cell r="J22">
            <v>2008</v>
          </cell>
          <cell r="K22">
            <v>2009</v>
          </cell>
        </row>
        <row r="25">
          <cell r="A25" t="str">
            <v>RESULTADO OPERATIVO</v>
          </cell>
          <cell r="F25">
            <v>0</v>
          </cell>
          <cell r="G25">
            <v>2766.5194947019477</v>
          </cell>
          <cell r="H25">
            <v>3510.3865647770594</v>
          </cell>
          <cell r="I25">
            <v>4609.1296354182314</v>
          </cell>
          <cell r="J25">
            <v>5226.3193395863282</v>
          </cell>
          <cell r="K25">
            <v>5682.7173389870377</v>
          </cell>
        </row>
        <row r="27">
          <cell r="B27" t="str">
            <v>+ Amortizaciones</v>
          </cell>
          <cell r="F27">
            <v>0</v>
          </cell>
          <cell r="G27">
            <v>447.87399999999997</v>
          </cell>
          <cell r="H27">
            <v>895.74799999999993</v>
          </cell>
          <cell r="I27">
            <v>895.74799999999993</v>
          </cell>
          <cell r="J27">
            <v>895.74799999999993</v>
          </cell>
          <cell r="K27">
            <v>895.74799999999993</v>
          </cell>
        </row>
        <row r="29">
          <cell r="A29" t="str">
            <v>= CASH-FLOW OPERATIVO</v>
          </cell>
          <cell r="F29">
            <v>0</v>
          </cell>
          <cell r="G29">
            <v>3214.3934947019475</v>
          </cell>
          <cell r="H29">
            <v>4406.1345647770595</v>
          </cell>
          <cell r="I29">
            <v>5504.877635418231</v>
          </cell>
          <cell r="J29">
            <v>6122.0673395863278</v>
          </cell>
          <cell r="K29">
            <v>6578.4653389870373</v>
          </cell>
        </row>
        <row r="31">
          <cell r="B31" t="str">
            <v>- Inversiones</v>
          </cell>
          <cell r="F31">
            <v>-4156</v>
          </cell>
          <cell r="G31">
            <v>-5356.3425000000007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3">
          <cell r="A33" t="str">
            <v>= EXCEDENTE OPERATIVO</v>
          </cell>
          <cell r="F33">
            <v>-4156</v>
          </cell>
          <cell r="G33">
            <v>-2141.9490052980532</v>
          </cell>
          <cell r="H33">
            <v>4406.1345647770595</v>
          </cell>
          <cell r="I33">
            <v>5504.877635418231</v>
          </cell>
          <cell r="J33">
            <v>6122.0673395863278</v>
          </cell>
          <cell r="K33">
            <v>6578.4653389870373</v>
          </cell>
        </row>
        <row r="35">
          <cell r="A35" t="str">
            <v>LÍNEA IV ACELERANTES.  EFECTO EN RESULTADOS DE GENERAL QUÍMICA</v>
          </cell>
        </row>
        <row r="36">
          <cell r="A36" t="str">
            <v>En kilo €</v>
          </cell>
        </row>
        <row r="39">
          <cell r="A39" t="str">
            <v>ORIGEN Y APLICACION DE FONDOS</v>
          </cell>
          <cell r="F39">
            <v>2004</v>
          </cell>
          <cell r="G39">
            <v>2005</v>
          </cell>
          <cell r="H39">
            <v>2006</v>
          </cell>
          <cell r="I39">
            <v>2007</v>
          </cell>
          <cell r="J39">
            <v>2008</v>
          </cell>
          <cell r="K39">
            <v>2009</v>
          </cell>
        </row>
        <row r="41">
          <cell r="A41" t="str">
            <v>Cash Flow d.d.i.</v>
          </cell>
          <cell r="F41">
            <v>-225.22552310945446</v>
          </cell>
          <cell r="G41">
            <v>1703.8230357457157</v>
          </cell>
          <cell r="H41">
            <v>2569.7404303176213</v>
          </cell>
          <cell r="I41">
            <v>3510.5742284297853</v>
          </cell>
          <cell r="J41">
            <v>4201.5384843664178</v>
          </cell>
          <cell r="K41">
            <v>4846.460915668411</v>
          </cell>
        </row>
        <row r="42">
          <cell r="A42" t="str">
            <v>.     Beneficio d.d.i.</v>
          </cell>
          <cell r="F42">
            <v>-225.22552310945446</v>
          </cell>
          <cell r="G42">
            <v>1255.9490357457157</v>
          </cell>
          <cell r="H42">
            <v>1673.9924303176213</v>
          </cell>
          <cell r="I42">
            <v>2614.8262284297853</v>
          </cell>
          <cell r="J42">
            <v>3305.7904843664182</v>
          </cell>
          <cell r="K42">
            <v>3950.7129156684114</v>
          </cell>
        </row>
        <row r="43">
          <cell r="A43" t="str">
            <v>.     Amortizaciones</v>
          </cell>
          <cell r="F43">
            <v>0</v>
          </cell>
          <cell r="G43">
            <v>447.87399999999997</v>
          </cell>
          <cell r="H43">
            <v>895.74799999999993</v>
          </cell>
          <cell r="I43">
            <v>895.74799999999993</v>
          </cell>
          <cell r="J43">
            <v>895.74799999999993</v>
          </cell>
          <cell r="K43">
            <v>895.74799999999993</v>
          </cell>
        </row>
        <row r="44">
          <cell r="A44" t="str">
            <v>Variación Endeudamiento Neto</v>
          </cell>
          <cell r="F44">
            <v>5853.8147656778283</v>
          </cell>
          <cell r="G44">
            <v>4184.5504082960342</v>
          </cell>
          <cell r="H44">
            <v>-1999.5763282753687</v>
          </cell>
          <cell r="I44">
            <v>-3177.349608810342</v>
          </cell>
          <cell r="J44">
            <v>-3953.5459239555539</v>
          </cell>
          <cell r="K44">
            <v>-4801.5881035042148</v>
          </cell>
        </row>
        <row r="45">
          <cell r="A45" t="str">
            <v>TOTAL ORIGEN</v>
          </cell>
          <cell r="F45">
            <v>5628.5892425683742</v>
          </cell>
          <cell r="G45">
            <v>5888.3734440417502</v>
          </cell>
          <cell r="H45">
            <v>570.16410204225258</v>
          </cell>
          <cell r="I45">
            <v>333.22461961944327</v>
          </cell>
          <cell r="J45">
            <v>247.99256041086392</v>
          </cell>
          <cell r="K45">
            <v>44.872812164196148</v>
          </cell>
        </row>
        <row r="47">
          <cell r="A47" t="str">
            <v>Inversiones</v>
          </cell>
          <cell r="F47">
            <v>4156</v>
          </cell>
          <cell r="G47">
            <v>5356.3425000000007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Variación Fondo de Maniobra</v>
          </cell>
          <cell r="F48">
            <v>1472.5892425683742</v>
          </cell>
          <cell r="G48">
            <v>532.03094404174999</v>
          </cell>
          <cell r="H48">
            <v>570.16410204225258</v>
          </cell>
          <cell r="I48">
            <v>333.22461961944327</v>
          </cell>
          <cell r="J48">
            <v>247.99256041086392</v>
          </cell>
          <cell r="K48">
            <v>44.872812164196603</v>
          </cell>
        </row>
        <row r="49">
          <cell r="A49" t="str">
            <v>TOTAL APLICACION</v>
          </cell>
          <cell r="F49">
            <v>5628.5892425683742</v>
          </cell>
          <cell r="G49">
            <v>5888.3734440417502</v>
          </cell>
          <cell r="H49">
            <v>570.16410204225258</v>
          </cell>
          <cell r="I49">
            <v>333.22461961944327</v>
          </cell>
          <cell r="J49">
            <v>247.99256041086392</v>
          </cell>
          <cell r="K49">
            <v>44.872812164196603</v>
          </cell>
        </row>
        <row r="51">
          <cell r="A51" t="str">
            <v>LÍNEA IV ACELERANTES.  EFECTO EN RESULTADOS DE GENERAL QUÍMICA</v>
          </cell>
        </row>
        <row r="52">
          <cell r="A52" t="str">
            <v>En kilo €</v>
          </cell>
        </row>
        <row r="55">
          <cell r="A55" t="str">
            <v>BALANCE DE SITUACION AL 31/12</v>
          </cell>
          <cell r="F55">
            <v>2004</v>
          </cell>
          <cell r="G55">
            <v>2005</v>
          </cell>
          <cell r="H55">
            <v>2006</v>
          </cell>
          <cell r="I55">
            <v>2007</v>
          </cell>
          <cell r="J55">
            <v>2008</v>
          </cell>
          <cell r="K55">
            <v>2009</v>
          </cell>
        </row>
        <row r="58">
          <cell r="A58" t="str">
            <v>Inmovilizado Neto + Fondo de Maniobra</v>
          </cell>
          <cell r="F58">
            <v>5628.5892425683742</v>
          </cell>
          <cell r="G58">
            <v>11069.088686610125</v>
          </cell>
          <cell r="H58">
            <v>10743.504788652377</v>
          </cell>
          <cell r="I58">
            <v>10180.98140827182</v>
          </cell>
          <cell r="J58">
            <v>9533.2259686826837</v>
          </cell>
          <cell r="K58">
            <v>8682.3507808468803</v>
          </cell>
        </row>
        <row r="60">
          <cell r="A60" t="str">
            <v>TOTAL ACTIVO</v>
          </cell>
          <cell r="F60">
            <v>5628.5892425683742</v>
          </cell>
          <cell r="G60">
            <v>11069.088686610125</v>
          </cell>
          <cell r="H60">
            <v>10743.504788652377</v>
          </cell>
          <cell r="I60">
            <v>10180.98140827182</v>
          </cell>
          <cell r="J60">
            <v>9533.2259686826837</v>
          </cell>
          <cell r="K60">
            <v>8682.3507808468803</v>
          </cell>
        </row>
        <row r="62">
          <cell r="A62" t="str">
            <v>Capital y Reservas</v>
          </cell>
          <cell r="F62">
            <v>0</v>
          </cell>
          <cell r="G62">
            <v>-225.22552310945446</v>
          </cell>
          <cell r="H62">
            <v>1030.7235126362611</v>
          </cell>
          <cell r="I62">
            <v>2704.7159429538824</v>
          </cell>
          <cell r="J62">
            <v>5319.5421713836677</v>
          </cell>
          <cell r="K62">
            <v>8625.3326557500859</v>
          </cell>
        </row>
        <row r="63">
          <cell r="A63" t="str">
            <v>Resultado del Ejercicio (d.d.i.)</v>
          </cell>
          <cell r="F63">
            <v>-225.22552310945446</v>
          </cell>
          <cell r="G63">
            <v>1255.9490357457157</v>
          </cell>
          <cell r="H63">
            <v>1673.9924303176213</v>
          </cell>
          <cell r="I63">
            <v>2614.8262284297853</v>
          </cell>
          <cell r="J63">
            <v>3305.7904843664182</v>
          </cell>
          <cell r="K63">
            <v>3950.7129156684114</v>
          </cell>
        </row>
        <row r="64">
          <cell r="A64" t="str">
            <v>Total Fondos Propios</v>
          </cell>
          <cell r="F64">
            <v>-225.22552310945446</v>
          </cell>
          <cell r="G64">
            <v>1030.7235126362611</v>
          </cell>
          <cell r="H64">
            <v>2704.7159429538824</v>
          </cell>
          <cell r="I64">
            <v>5319.5421713836677</v>
          </cell>
          <cell r="J64">
            <v>8625.3326557500859</v>
          </cell>
          <cell r="K64">
            <v>12576.045571418497</v>
          </cell>
        </row>
        <row r="66">
          <cell r="A66" t="str">
            <v>Deudas Financieras</v>
          </cell>
          <cell r="F66">
            <v>5853.8147656778283</v>
          </cell>
          <cell r="G66">
            <v>10038.365173973863</v>
          </cell>
          <cell r="H66">
            <v>8038.7888456984947</v>
          </cell>
          <cell r="I66">
            <v>4861.4392368881527</v>
          </cell>
          <cell r="J66">
            <v>907.89331293259875</v>
          </cell>
          <cell r="K66">
            <v>-3893.6947905716161</v>
          </cell>
        </row>
        <row r="68">
          <cell r="A68" t="str">
            <v>TOTAL PASIVO</v>
          </cell>
          <cell r="F68">
            <v>5628.5892425683742</v>
          </cell>
          <cell r="G68">
            <v>11069.088686610125</v>
          </cell>
          <cell r="H68">
            <v>10743.504788652377</v>
          </cell>
          <cell r="I68">
            <v>10180.98140827182</v>
          </cell>
          <cell r="J68">
            <v>9533.2259686826837</v>
          </cell>
          <cell r="K68">
            <v>8682.3507808468821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oe.es/boe/dias/2026/02/19/pdfs/BOE-A-2026-3878.pdf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499984740745262"/>
  </sheetPr>
  <dimension ref="A1:J83"/>
  <sheetViews>
    <sheetView tabSelected="1" zoomScale="115" zoomScaleNormal="115" workbookViewId="0">
      <pane ySplit="11" topLeftCell="A43" activePane="bottomLeft" state="frozen"/>
      <selection pane="bottomLeft" activeCell="I10" sqref="I10"/>
    </sheetView>
  </sheetViews>
  <sheetFormatPr defaultColWidth="11.42578125" defaultRowHeight="15"/>
  <cols>
    <col min="1" max="1" width="32.140625" style="2" bestFit="1" customWidth="1"/>
    <col min="2" max="2" width="9.85546875" style="2" customWidth="1"/>
    <col min="3" max="3" width="31.85546875" style="2" customWidth="1"/>
    <col min="4" max="4" width="34.7109375" style="2" customWidth="1"/>
    <col min="5" max="5" width="16.28515625" style="2" bestFit="1" customWidth="1"/>
    <col min="6" max="6" width="16.28515625" style="2" customWidth="1"/>
    <col min="7" max="7" width="12.28515625" style="2" bestFit="1" customWidth="1"/>
    <col min="8" max="8" width="16.28515625" style="2" bestFit="1" customWidth="1"/>
    <col min="9" max="9" width="16.28515625" style="2" customWidth="1"/>
    <col min="10" max="16384" width="11.42578125" style="2"/>
  </cols>
  <sheetData>
    <row r="1" spans="1:9">
      <c r="A1" s="2" t="s">
        <v>104</v>
      </c>
      <c r="C1" s="5" t="s">
        <v>42</v>
      </c>
      <c r="D1" s="6">
        <f>293.072/1000</f>
        <v>0.293072</v>
      </c>
    </row>
    <row r="2" spans="1:9">
      <c r="A2" s="2" t="s">
        <v>106</v>
      </c>
      <c r="C2" s="9" t="s">
        <v>27</v>
      </c>
      <c r="D2" s="2">
        <v>7.0000000000000007E-2</v>
      </c>
    </row>
    <row r="3" spans="1:9">
      <c r="A3" s="110" t="s">
        <v>105</v>
      </c>
      <c r="C3" s="109" t="s">
        <v>108</v>
      </c>
      <c r="D3" s="109">
        <v>1.3540000000000001</v>
      </c>
    </row>
    <row r="4" spans="1:9">
      <c r="C4" s="109" t="s">
        <v>109</v>
      </c>
      <c r="D4" s="109">
        <v>0.14000000000000001</v>
      </c>
    </row>
    <row r="5" spans="1:9" ht="21.75" customHeight="1">
      <c r="C5" s="2" t="s">
        <v>103</v>
      </c>
      <c r="D5" s="2">
        <v>15520</v>
      </c>
    </row>
    <row r="6" spans="1:9">
      <c r="C6" s="47" t="s">
        <v>101</v>
      </c>
      <c r="G6" s="2" t="s">
        <v>96</v>
      </c>
      <c r="H6" s="66"/>
    </row>
    <row r="7" spans="1:9">
      <c r="G7" s="2" t="s">
        <v>97</v>
      </c>
      <c r="H7" s="67"/>
    </row>
    <row r="8" spans="1:9">
      <c r="G8" s="2" t="s">
        <v>98</v>
      </c>
      <c r="H8" s="68"/>
    </row>
    <row r="10" spans="1:9" ht="15.75" thickBot="1"/>
    <row r="11" spans="1:9" ht="21.75" thickBot="1">
      <c r="C11" s="87" t="s">
        <v>22</v>
      </c>
      <c r="D11" s="88"/>
      <c r="E11" s="33" t="s">
        <v>89</v>
      </c>
      <c r="F11" s="33" t="s">
        <v>90</v>
      </c>
      <c r="G11" s="33" t="s">
        <v>91</v>
      </c>
      <c r="H11" s="33" t="s">
        <v>92</v>
      </c>
      <c r="I11" s="33" t="s">
        <v>102</v>
      </c>
    </row>
    <row r="12" spans="1:9" ht="18.75">
      <c r="C12" s="18" t="s">
        <v>67</v>
      </c>
      <c r="D12" s="19"/>
      <c r="E12" s="16">
        <v>0.25</v>
      </c>
      <c r="F12" s="16">
        <v>0.25</v>
      </c>
      <c r="G12" s="16">
        <v>0.25</v>
      </c>
      <c r="H12" s="16">
        <v>0.25</v>
      </c>
      <c r="I12" s="102">
        <v>1.25</v>
      </c>
    </row>
    <row r="13" spans="1:9" ht="20.25">
      <c r="C13" s="20" t="s">
        <v>12</v>
      </c>
      <c r="D13" s="21" t="s">
        <v>0</v>
      </c>
      <c r="E13" s="65">
        <v>71.552000000000007</v>
      </c>
      <c r="F13" s="65">
        <f>E13</f>
        <v>71.552000000000007</v>
      </c>
      <c r="G13" s="65">
        <f t="shared" ref="G13:I13" si="0">F13</f>
        <v>71.552000000000007</v>
      </c>
      <c r="H13" s="65">
        <f t="shared" si="0"/>
        <v>71.552000000000007</v>
      </c>
      <c r="I13" s="103">
        <f t="shared" si="0"/>
        <v>71.552000000000007</v>
      </c>
    </row>
    <row r="14" spans="1:9" ht="18.75">
      <c r="C14" s="20" t="s">
        <v>59</v>
      </c>
      <c r="D14" s="21"/>
      <c r="E14" s="17">
        <v>0.3</v>
      </c>
      <c r="F14" s="17">
        <v>0.3</v>
      </c>
      <c r="G14" s="17">
        <v>0.3</v>
      </c>
      <c r="H14" s="17">
        <v>0.3</v>
      </c>
      <c r="I14" s="103">
        <v>0.3</v>
      </c>
    </row>
    <row r="15" spans="1:9" ht="20.25">
      <c r="C15" s="20" t="s">
        <v>58</v>
      </c>
      <c r="D15" s="21" t="s">
        <v>0</v>
      </c>
      <c r="E15" s="65">
        <v>73.819999999999993</v>
      </c>
      <c r="F15" s="65">
        <v>49.969000000000001</v>
      </c>
      <c r="G15" s="45">
        <v>73.2</v>
      </c>
      <c r="H15" s="45">
        <v>79.7</v>
      </c>
      <c r="I15" s="103">
        <v>79.7</v>
      </c>
    </row>
    <row r="16" spans="1:9" ht="20.25">
      <c r="C16" s="20" t="s">
        <v>60</v>
      </c>
      <c r="D16" s="21"/>
      <c r="E16" s="42">
        <v>0.15</v>
      </c>
      <c r="F16" s="42">
        <v>0.15</v>
      </c>
      <c r="G16" s="42">
        <v>0.15</v>
      </c>
      <c r="H16" s="42">
        <v>0.15</v>
      </c>
      <c r="I16" s="104">
        <v>0.15</v>
      </c>
    </row>
    <row r="17" spans="1:10" ht="20.25">
      <c r="C17" s="20" t="s">
        <v>61</v>
      </c>
      <c r="D17" s="21"/>
      <c r="E17" s="42">
        <v>0.15</v>
      </c>
      <c r="F17" s="42">
        <v>0.15</v>
      </c>
      <c r="G17" s="42">
        <v>0.15</v>
      </c>
      <c r="H17" s="42">
        <v>0.15</v>
      </c>
      <c r="I17" s="104">
        <v>0.15</v>
      </c>
    </row>
    <row r="18" spans="1:10" ht="20.25">
      <c r="C18" s="20" t="s">
        <v>62</v>
      </c>
      <c r="D18" s="21"/>
      <c r="E18" s="42">
        <v>0.15</v>
      </c>
      <c r="F18" s="42">
        <v>0.15</v>
      </c>
      <c r="G18" s="42">
        <v>0.15</v>
      </c>
      <c r="H18" s="42">
        <v>0.15</v>
      </c>
      <c r="I18" s="104">
        <v>0.15</v>
      </c>
    </row>
    <row r="19" spans="1:10" ht="20.25">
      <c r="C19" s="20" t="s">
        <v>68</v>
      </c>
      <c r="D19" s="21" t="s">
        <v>0</v>
      </c>
      <c r="E19" s="65">
        <v>90.174999999999997</v>
      </c>
      <c r="F19" s="65">
        <v>35.764000000000003</v>
      </c>
      <c r="G19" s="45">
        <v>71.8</v>
      </c>
      <c r="H19" s="45">
        <f>+H15</f>
        <v>79.7</v>
      </c>
      <c r="I19" s="103">
        <f>+I15</f>
        <v>79.7</v>
      </c>
    </row>
    <row r="20" spans="1:10" ht="20.25">
      <c r="C20" s="20" t="s">
        <v>69</v>
      </c>
      <c r="D20" s="21" t="s">
        <v>0</v>
      </c>
      <c r="E20" s="65">
        <v>79.046999999999997</v>
      </c>
      <c r="F20" s="65">
        <v>38.401000000000003</v>
      </c>
      <c r="G20" s="45">
        <v>72.3</v>
      </c>
      <c r="H20" s="45">
        <f>+H19</f>
        <v>79.7</v>
      </c>
      <c r="I20" s="103">
        <f>+I19</f>
        <v>79.7</v>
      </c>
    </row>
    <row r="21" spans="1:10" ht="21" thickBot="1">
      <c r="C21" s="20" t="s">
        <v>70</v>
      </c>
      <c r="D21" s="21" t="s">
        <v>0</v>
      </c>
      <c r="E21" s="65">
        <v>54.598999999999997</v>
      </c>
      <c r="F21" s="65">
        <v>57.064</v>
      </c>
      <c r="G21" s="45">
        <v>75.58</v>
      </c>
      <c r="H21" s="45">
        <f>+H20</f>
        <v>79.7</v>
      </c>
      <c r="I21" s="103">
        <f>+I20</f>
        <v>79.7</v>
      </c>
    </row>
    <row r="22" spans="1:10" ht="21" thickBot="1">
      <c r="C22" s="12" t="s">
        <v>13</v>
      </c>
      <c r="D22" s="13" t="s">
        <v>0</v>
      </c>
      <c r="E22" s="14">
        <f>E12*E13+SUMPRODUCT(E15:E15,E14:E14)+SUMPRODUCT(E16:E18,E19:E21)</f>
        <v>73.60714999999999</v>
      </c>
      <c r="F22" s="14">
        <f t="shared" ref="F22:H22" si="1">F12*F13+SUMPRODUCT(F15:F15,F14:F14)+SUMPRODUCT(F16:F18,F19:F21)</f>
        <v>52.563050000000004</v>
      </c>
      <c r="G22" s="14">
        <f>G12*G13+SUMPRODUCT(G15:G15,G14:G14)+SUMPRODUCT(G16:G18,G19:G21)</f>
        <v>72.8</v>
      </c>
      <c r="H22" s="14">
        <f t="shared" si="1"/>
        <v>77.663000000000011</v>
      </c>
      <c r="I22" s="99">
        <v>60.152999999999999</v>
      </c>
    </row>
    <row r="23" spans="1:10" ht="15.75" thickBot="1">
      <c r="D23" s="56"/>
    </row>
    <row r="24" spans="1:10" ht="24.75" thickBot="1">
      <c r="C24" s="87" t="s">
        <v>23</v>
      </c>
      <c r="D24" s="88"/>
      <c r="E24" s="15" t="str">
        <f t="shared" ref="E24:H24" si="2">E11</f>
        <v>2025 Q1</v>
      </c>
      <c r="F24" s="15" t="str">
        <f t="shared" si="2"/>
        <v>2025 Q2</v>
      </c>
      <c r="G24" s="15" t="str">
        <f t="shared" si="2"/>
        <v>2025 Q3</v>
      </c>
      <c r="H24" s="15" t="str">
        <f t="shared" si="2"/>
        <v>2025 Q4</v>
      </c>
      <c r="I24" s="15" t="str">
        <f t="shared" ref="I24" si="3">I11</f>
        <v>2026 Q4</v>
      </c>
    </row>
    <row r="25" spans="1:10" ht="21" thickBot="1">
      <c r="C25" s="12" t="s">
        <v>28</v>
      </c>
      <c r="D25" s="13" t="s">
        <v>41</v>
      </c>
      <c r="E25" s="76">
        <v>66.489999999999995</v>
      </c>
      <c r="F25" s="76">
        <v>74.81</v>
      </c>
      <c r="G25" s="64">
        <f t="shared" ref="G25:H25" si="4">F25</f>
        <v>74.81</v>
      </c>
      <c r="H25" s="64">
        <f t="shared" si="4"/>
        <v>74.81</v>
      </c>
      <c r="I25" s="98">
        <v>81.22</v>
      </c>
    </row>
    <row r="26" spans="1:10" ht="27" customHeight="1" thickBot="1">
      <c r="C26" s="87" t="s">
        <v>24</v>
      </c>
      <c r="D26" s="88"/>
      <c r="E26" s="15" t="str">
        <f t="shared" ref="E26:H26" si="5">E11</f>
        <v>2025 Q1</v>
      </c>
      <c r="F26" s="15" t="str">
        <f t="shared" si="5"/>
        <v>2025 Q2</v>
      </c>
      <c r="G26" s="15" t="str">
        <f t="shared" si="5"/>
        <v>2025 Q3</v>
      </c>
      <c r="H26" s="15" t="str">
        <f t="shared" si="5"/>
        <v>2025 Q4</v>
      </c>
      <c r="I26" s="15" t="str">
        <f t="shared" ref="I26" si="6">I11</f>
        <v>2026 Q4</v>
      </c>
    </row>
    <row r="27" spans="1:10" ht="28.5" customHeight="1">
      <c r="A27" s="89" t="s">
        <v>94</v>
      </c>
      <c r="B27" s="79" t="s">
        <v>99</v>
      </c>
      <c r="C27" s="30" t="s">
        <v>9</v>
      </c>
      <c r="D27" s="27" t="s">
        <v>5</v>
      </c>
      <c r="E27" s="32">
        <v>9.3069123040000007E-2</v>
      </c>
      <c r="F27" s="32">
        <f t="shared" ref="F27:H36" si="7">E27</f>
        <v>9.3069123040000007E-2</v>
      </c>
      <c r="G27" s="32">
        <f t="shared" si="7"/>
        <v>9.3069123040000007E-2</v>
      </c>
      <c r="H27" s="32">
        <f t="shared" si="7"/>
        <v>9.3069123040000007E-2</v>
      </c>
      <c r="I27" s="105">
        <v>9.1488E-2</v>
      </c>
    </row>
    <row r="28" spans="1:10" ht="25.5" customHeight="1" thickBot="1">
      <c r="A28" s="90"/>
      <c r="B28" s="80"/>
      <c r="C28" s="31" t="s">
        <v>11</v>
      </c>
      <c r="D28" s="25" t="s">
        <v>3</v>
      </c>
      <c r="E28" s="36">
        <v>1.3928242000000001E-4</v>
      </c>
      <c r="F28" s="36">
        <f t="shared" si="7"/>
        <v>1.3928242000000001E-4</v>
      </c>
      <c r="G28" s="36">
        <f t="shared" si="7"/>
        <v>1.3928242000000001E-4</v>
      </c>
      <c r="H28" s="36">
        <f t="shared" si="7"/>
        <v>1.3928242000000001E-4</v>
      </c>
      <c r="I28" s="106">
        <v>0</v>
      </c>
    </row>
    <row r="29" spans="1:10" ht="24.75" customHeight="1">
      <c r="A29" s="90"/>
      <c r="B29" s="81" t="s">
        <v>100</v>
      </c>
      <c r="C29" s="29" t="s">
        <v>15</v>
      </c>
      <c r="D29" s="24" t="s">
        <v>5</v>
      </c>
      <c r="E29" s="37">
        <f>-0.090151*(1+0.14/100+1.526/100)</f>
        <v>-9.1652915660000001E-2</v>
      </c>
      <c r="F29" s="37">
        <f t="shared" si="7"/>
        <v>-9.1652915660000001E-2</v>
      </c>
      <c r="G29" s="37">
        <f t="shared" si="7"/>
        <v>-9.1652915660000001E-2</v>
      </c>
      <c r="H29" s="37">
        <f t="shared" si="7"/>
        <v>-9.1652915660000001E-2</v>
      </c>
      <c r="I29" s="107">
        <f>-0.01016*(1+TASA_CNMC/100+TASA_GTS/100)</f>
        <v>-1.0311790400000003E-2</v>
      </c>
      <c r="J29" s="2" t="s">
        <v>110</v>
      </c>
    </row>
    <row r="30" spans="1:10" ht="22.5" customHeight="1">
      <c r="A30" s="90"/>
      <c r="B30" s="82"/>
      <c r="C30" s="30" t="s">
        <v>16</v>
      </c>
      <c r="D30" s="27" t="s">
        <v>5</v>
      </c>
      <c r="E30" s="32">
        <f>0.148124*(1+0.14/100+1.526/100)+0.006544*(1+0.14/100)</f>
        <v>0.15714490744000001</v>
      </c>
      <c r="F30" s="32">
        <f t="shared" si="7"/>
        <v>0.15714490744000001</v>
      </c>
      <c r="G30" s="32">
        <f t="shared" si="7"/>
        <v>0.15714490744000001</v>
      </c>
      <c r="H30" s="32">
        <f t="shared" si="7"/>
        <v>0.15714490744000001</v>
      </c>
      <c r="I30" s="105">
        <f>0.139655*(1+TASA_CNMC/100+TASA_GTS/100)+0.006544*(1+TASA_CNMC/100)</f>
        <v>0.14829460730000002</v>
      </c>
      <c r="J30" s="2" t="s">
        <v>111</v>
      </c>
    </row>
    <row r="31" spans="1:10" ht="24.75" customHeight="1" thickBot="1">
      <c r="A31" s="90"/>
      <c r="B31" s="83"/>
      <c r="C31" s="31" t="s">
        <v>17</v>
      </c>
      <c r="D31" s="25" t="s">
        <v>3</v>
      </c>
      <c r="E31" s="54">
        <f>0.000077*(1+0.14/100+1.526/100)</f>
        <v>7.828282000000001E-5</v>
      </c>
      <c r="F31" s="54">
        <f t="shared" si="7"/>
        <v>7.828282000000001E-5</v>
      </c>
      <c r="G31" s="54">
        <f t="shared" si="7"/>
        <v>7.828282000000001E-5</v>
      </c>
      <c r="H31" s="54">
        <f t="shared" si="7"/>
        <v>7.828282000000001E-5</v>
      </c>
      <c r="I31" s="108">
        <f>0.000046*(1+TASA_CNMC/100+TASA_GTS/100)</f>
        <v>4.6687240000000005E-5</v>
      </c>
    </row>
    <row r="32" spans="1:10" ht="18" customHeight="1">
      <c r="A32" s="90"/>
      <c r="B32" s="81" t="s">
        <v>7</v>
      </c>
      <c r="C32" s="51" t="s">
        <v>82</v>
      </c>
      <c r="D32" s="19" t="s">
        <v>2</v>
      </c>
      <c r="E32" s="28">
        <v>20.100000000000001</v>
      </c>
      <c r="F32" s="28">
        <f t="shared" si="7"/>
        <v>20.100000000000001</v>
      </c>
      <c r="G32" s="28">
        <f t="shared" si="7"/>
        <v>20.100000000000001</v>
      </c>
      <c r="H32" s="28">
        <f t="shared" si="7"/>
        <v>20.100000000000001</v>
      </c>
      <c r="I32" s="111">
        <v>21.8</v>
      </c>
    </row>
    <row r="33" spans="1:9" ht="19.5">
      <c r="A33" s="90"/>
      <c r="B33" s="82"/>
      <c r="C33" s="52" t="s">
        <v>85</v>
      </c>
      <c r="D33" s="21" t="s">
        <v>5</v>
      </c>
      <c r="E33" s="40">
        <f>0.002556*(1+0.14/100+1.526/100)+0.000144752</f>
        <v>2.7433349600000006E-3</v>
      </c>
      <c r="F33" s="40">
        <f t="shared" si="7"/>
        <v>2.7433349600000006E-3</v>
      </c>
      <c r="G33" s="40">
        <f t="shared" si="7"/>
        <v>2.7433349600000006E-3</v>
      </c>
      <c r="H33" s="40">
        <f t="shared" si="7"/>
        <v>2.7433349600000006E-3</v>
      </c>
      <c r="I33" s="112">
        <f>0.002525*(1+TASA_CNMC/100+TASA_GTS/100)</f>
        <v>2.5627235000000004E-3</v>
      </c>
    </row>
    <row r="34" spans="1:9" ht="19.5">
      <c r="A34" s="90"/>
      <c r="B34" s="82"/>
      <c r="C34" s="52" t="s">
        <v>86</v>
      </c>
      <c r="D34" s="21" t="s">
        <v>4</v>
      </c>
      <c r="E34" s="40">
        <f>0.096387*(1+0.14/100+1.526/100)</f>
        <v>9.7992807420000008E-2</v>
      </c>
      <c r="F34" s="40">
        <f t="shared" si="7"/>
        <v>9.7992807420000008E-2</v>
      </c>
      <c r="G34" s="40">
        <f t="shared" si="7"/>
        <v>9.7992807420000008E-2</v>
      </c>
      <c r="H34" s="40">
        <f t="shared" si="7"/>
        <v>9.7992807420000008E-2</v>
      </c>
      <c r="I34" s="112">
        <f>0.141516*(1+TASA_CNMC/100+TASA_GTS/100)</f>
        <v>0.14363024904000002</v>
      </c>
    </row>
    <row r="35" spans="1:9" ht="20.25" thickBot="1">
      <c r="A35" s="90"/>
      <c r="B35" s="82"/>
      <c r="C35" s="52" t="s">
        <v>87</v>
      </c>
      <c r="D35" s="21" t="s">
        <v>14</v>
      </c>
      <c r="E35" s="40">
        <f>0.071538*(1+0.14/100+1.526/100)</f>
        <v>7.2729823080000019E-2</v>
      </c>
      <c r="F35" s="40">
        <f t="shared" si="7"/>
        <v>7.2729823080000019E-2</v>
      </c>
      <c r="G35" s="40">
        <f t="shared" si="7"/>
        <v>7.2729823080000019E-2</v>
      </c>
      <c r="H35" s="40">
        <f t="shared" si="7"/>
        <v>7.2729823080000019E-2</v>
      </c>
      <c r="I35" s="112">
        <f>0.101405*(1+TASA_CNMC/100+TASA_GTS/100)</f>
        <v>0.10291999070000002</v>
      </c>
    </row>
    <row r="36" spans="1:9" ht="20.25" thickBot="1">
      <c r="A36" s="90"/>
      <c r="B36" s="83"/>
      <c r="C36" s="53" t="s">
        <v>88</v>
      </c>
      <c r="D36" s="13" t="s">
        <v>3</v>
      </c>
      <c r="E36" s="38">
        <f t="shared" ref="E36" si="8">E32/365*(E33+0.3*(E34/365+E35/365))</f>
        <v>1.5879853177673114E-4</v>
      </c>
      <c r="F36" s="38">
        <f t="shared" si="7"/>
        <v>1.5879853177673114E-4</v>
      </c>
      <c r="G36" s="38">
        <f t="shared" si="7"/>
        <v>1.5879853177673114E-4</v>
      </c>
      <c r="H36" s="38">
        <f t="shared" si="7"/>
        <v>1.5879853177673114E-4</v>
      </c>
      <c r="I36" s="38">
        <f>I32/365*(I33+0.3*(I34/365+I35/365))</f>
        <v>1.6516441701932525E-4</v>
      </c>
    </row>
    <row r="37" spans="1:9" ht="39" customHeight="1" thickBot="1">
      <c r="A37" s="90"/>
      <c r="B37" s="11" t="s">
        <v>83</v>
      </c>
      <c r="C37" s="22" t="s">
        <v>25</v>
      </c>
      <c r="D37" s="27" t="s">
        <v>20</v>
      </c>
      <c r="E37" s="14">
        <f t="shared" ref="E37:H37" si="9">1000*((E27+E29+E30)/248+E28+E31+E36)</f>
        <v>1.015723105728344</v>
      </c>
      <c r="F37" s="14">
        <f t="shared" si="9"/>
        <v>1.015723105728344</v>
      </c>
      <c r="G37" s="14">
        <f t="shared" si="9"/>
        <v>1.015723105728344</v>
      </c>
      <c r="H37" s="14">
        <f t="shared" si="9"/>
        <v>1.015723105728344</v>
      </c>
      <c r="I37" s="113">
        <f>1000*((I27+I29+I30)/248+I28+I31+I36)</f>
        <v>1.1371372090354543</v>
      </c>
    </row>
    <row r="38" spans="1:9" ht="18.75">
      <c r="A38" s="90"/>
      <c r="B38" s="84" t="s">
        <v>81</v>
      </c>
      <c r="C38" s="22" t="s">
        <v>72</v>
      </c>
      <c r="D38" s="24" t="s">
        <v>1</v>
      </c>
      <c r="E38" s="39">
        <v>0.25</v>
      </c>
      <c r="F38" s="39">
        <v>0.25</v>
      </c>
      <c r="G38" s="39">
        <v>0.25</v>
      </c>
      <c r="H38" s="39">
        <v>0.25</v>
      </c>
      <c r="I38" s="100">
        <v>1.25</v>
      </c>
    </row>
    <row r="39" spans="1:9" ht="20.25">
      <c r="A39" s="90"/>
      <c r="B39" s="85"/>
      <c r="C39" s="26" t="s">
        <v>71</v>
      </c>
      <c r="D39" s="27" t="s">
        <v>20</v>
      </c>
      <c r="E39" s="69">
        <v>39.026000000000003</v>
      </c>
      <c r="F39" s="69">
        <f>E39</f>
        <v>39.026000000000003</v>
      </c>
      <c r="G39" s="69">
        <f>F39</f>
        <v>39.026000000000003</v>
      </c>
      <c r="H39" s="69">
        <f>G39</f>
        <v>39.026000000000003</v>
      </c>
      <c r="I39" s="101">
        <f>H39</f>
        <v>39.026000000000003</v>
      </c>
    </row>
    <row r="40" spans="1:9" ht="18.75">
      <c r="A40" s="90"/>
      <c r="B40" s="85"/>
      <c r="C40" s="26" t="s">
        <v>73</v>
      </c>
      <c r="D40" s="27"/>
      <c r="E40" s="32">
        <v>0.3</v>
      </c>
      <c r="F40" s="32">
        <v>0.3</v>
      </c>
      <c r="G40" s="32">
        <v>0.3</v>
      </c>
      <c r="H40" s="32">
        <v>0.3</v>
      </c>
      <c r="I40" s="101">
        <v>0.3</v>
      </c>
    </row>
    <row r="41" spans="1:9" ht="20.25">
      <c r="A41" s="90"/>
      <c r="B41" s="85"/>
      <c r="C41" s="26" t="s">
        <v>74</v>
      </c>
      <c r="D41" s="27" t="s">
        <v>20</v>
      </c>
      <c r="E41" s="69">
        <v>42.981999999999999</v>
      </c>
      <c r="F41" s="69">
        <v>46.34</v>
      </c>
      <c r="G41" s="46">
        <v>40.53</v>
      </c>
      <c r="H41" s="46">
        <v>40.409999999999997</v>
      </c>
      <c r="I41" s="101">
        <v>40.409999999999997</v>
      </c>
    </row>
    <row r="42" spans="1:9" ht="20.25">
      <c r="A42" s="90"/>
      <c r="B42" s="85"/>
      <c r="C42" s="20" t="s">
        <v>75</v>
      </c>
      <c r="D42" s="27"/>
      <c r="E42" s="32">
        <v>0.15</v>
      </c>
      <c r="F42" s="32">
        <v>0.15</v>
      </c>
      <c r="G42" s="32">
        <v>0.15</v>
      </c>
      <c r="H42" s="32">
        <v>0.15</v>
      </c>
      <c r="I42" s="101">
        <v>0.15</v>
      </c>
    </row>
    <row r="43" spans="1:9" ht="20.25">
      <c r="A43" s="90"/>
      <c r="B43" s="85"/>
      <c r="C43" s="20" t="s">
        <v>76</v>
      </c>
      <c r="D43" s="27"/>
      <c r="E43" s="32">
        <v>0.15</v>
      </c>
      <c r="F43" s="32">
        <v>0.15</v>
      </c>
      <c r="G43" s="32">
        <v>0.15</v>
      </c>
      <c r="H43" s="32">
        <v>0.15</v>
      </c>
      <c r="I43" s="101">
        <v>0.15</v>
      </c>
    </row>
    <row r="44" spans="1:9" ht="20.25">
      <c r="A44" s="90"/>
      <c r="B44" s="85"/>
      <c r="C44" s="20" t="s">
        <v>77</v>
      </c>
      <c r="D44" s="27"/>
      <c r="E44" s="32">
        <v>0.15</v>
      </c>
      <c r="F44" s="32">
        <v>0.15</v>
      </c>
      <c r="G44" s="32">
        <v>0.15</v>
      </c>
      <c r="H44" s="32">
        <v>0.15</v>
      </c>
      <c r="I44" s="101">
        <v>0.15</v>
      </c>
    </row>
    <row r="45" spans="1:9" ht="20.25">
      <c r="A45" s="90"/>
      <c r="B45" s="85"/>
      <c r="C45" s="26" t="s">
        <v>78</v>
      </c>
      <c r="D45" s="27" t="s">
        <v>20</v>
      </c>
      <c r="E45" s="69">
        <v>44.389000000000003</v>
      </c>
      <c r="F45" s="69">
        <v>40.776000000000003</v>
      </c>
      <c r="G45" s="46">
        <v>40.29</v>
      </c>
      <c r="H45" s="46">
        <f>+H41</f>
        <v>40.409999999999997</v>
      </c>
      <c r="I45" s="101">
        <f>+I41</f>
        <v>40.409999999999997</v>
      </c>
    </row>
    <row r="46" spans="1:9" ht="20.25">
      <c r="A46" s="90"/>
      <c r="B46" s="85"/>
      <c r="C46" s="26" t="s">
        <v>79</v>
      </c>
      <c r="D46" s="27" t="s">
        <v>20</v>
      </c>
      <c r="E46" s="69">
        <v>44.439</v>
      </c>
      <c r="F46" s="69">
        <v>40.875999999999998</v>
      </c>
      <c r="G46" s="46">
        <v>40.549999999999997</v>
      </c>
      <c r="H46" s="46">
        <f>+H45</f>
        <v>40.409999999999997</v>
      </c>
      <c r="I46" s="101">
        <f>+I45</f>
        <v>40.409999999999997</v>
      </c>
    </row>
    <row r="47" spans="1:9" ht="21" thickBot="1">
      <c r="A47" s="90"/>
      <c r="B47" s="85"/>
      <c r="C47" s="26" t="s">
        <v>80</v>
      </c>
      <c r="D47" s="27" t="s">
        <v>20</v>
      </c>
      <c r="E47" s="69">
        <v>44.337000000000003</v>
      </c>
      <c r="F47" s="69">
        <v>41.109000000000002</v>
      </c>
      <c r="G47" s="46">
        <v>40.75</v>
      </c>
      <c r="H47" s="46">
        <f>+H46</f>
        <v>40.409999999999997</v>
      </c>
      <c r="I47" s="101">
        <f>+I46</f>
        <v>40.409999999999997</v>
      </c>
    </row>
    <row r="48" spans="1:9" ht="21" thickBot="1">
      <c r="A48" s="91"/>
      <c r="B48" s="86"/>
      <c r="C48" s="12" t="s">
        <v>21</v>
      </c>
      <c r="D48" s="13" t="s">
        <v>20</v>
      </c>
      <c r="E48" s="14">
        <f t="shared" ref="E48:H48" si="10">E38*E39+SUMPRODUCT(E41:E41,E40:E40)+SUMPRODUCT(E42:E44,E45:E47)</f>
        <v>42.62585</v>
      </c>
      <c r="F48" s="14">
        <f t="shared" si="10"/>
        <v>42.072650000000003</v>
      </c>
      <c r="G48" s="14">
        <f t="shared" si="10"/>
        <v>40.153999999999996</v>
      </c>
      <c r="H48" s="14">
        <f t="shared" si="10"/>
        <v>40.064</v>
      </c>
      <c r="I48" s="99">
        <v>28.87</v>
      </c>
    </row>
    <row r="49" spans="1:10" ht="21" thickBot="1">
      <c r="C49" s="12" t="s">
        <v>18</v>
      </c>
      <c r="D49" s="13" t="s">
        <v>19</v>
      </c>
      <c r="E49" s="34">
        <f t="shared" ref="E49:H49" si="11">E48+E37</f>
        <v>43.641573105728341</v>
      </c>
      <c r="F49" s="34">
        <f t="shared" si="11"/>
        <v>43.088373105728344</v>
      </c>
      <c r="G49" s="34">
        <f t="shared" si="11"/>
        <v>41.169723105728337</v>
      </c>
      <c r="H49" s="34">
        <f t="shared" si="11"/>
        <v>41.079723105728341</v>
      </c>
      <c r="I49" s="34">
        <f t="shared" ref="I49" si="12">I48+I37</f>
        <v>30.007137209035456</v>
      </c>
      <c r="J49" s="2" t="s">
        <v>112</v>
      </c>
    </row>
    <row r="50" spans="1:10" ht="28.5" hidden="1" customHeight="1">
      <c r="A50" s="89" t="s">
        <v>95</v>
      </c>
      <c r="B50" s="79" t="s">
        <v>10</v>
      </c>
      <c r="C50" s="30" t="s">
        <v>9</v>
      </c>
      <c r="D50" s="27" t="s">
        <v>5</v>
      </c>
      <c r="E50" s="32" t="e">
        <f>#REF!</f>
        <v>#REF!</v>
      </c>
      <c r="F50" s="32" t="e">
        <f t="shared" ref="F50:F58" si="13">E50</f>
        <v>#REF!</v>
      </c>
      <c r="G50" s="32" t="e">
        <f t="shared" ref="G50:G58" si="14">F50</f>
        <v>#REF!</v>
      </c>
      <c r="H50" s="32" t="e">
        <f t="shared" ref="H50:I58" si="15">G50</f>
        <v>#REF!</v>
      </c>
      <c r="I50" s="32" t="e">
        <f t="shared" si="15"/>
        <v>#REF!</v>
      </c>
    </row>
    <row r="51" spans="1:10" ht="25.5" hidden="1" customHeight="1" thickBot="1">
      <c r="A51" s="90"/>
      <c r="B51" s="80"/>
      <c r="C51" s="31" t="s">
        <v>11</v>
      </c>
      <c r="D51" s="25" t="s">
        <v>3</v>
      </c>
      <c r="E51" s="36" t="e">
        <f>#REF!</f>
        <v>#REF!</v>
      </c>
      <c r="F51" s="36" t="e">
        <f t="shared" si="13"/>
        <v>#REF!</v>
      </c>
      <c r="G51" s="36" t="e">
        <f t="shared" si="14"/>
        <v>#REF!</v>
      </c>
      <c r="H51" s="36" t="e">
        <f t="shared" si="15"/>
        <v>#REF!</v>
      </c>
      <c r="I51" s="36" t="e">
        <f t="shared" si="15"/>
        <v>#REF!</v>
      </c>
    </row>
    <row r="52" spans="1:10" ht="24.75" hidden="1" customHeight="1">
      <c r="A52" s="90"/>
      <c r="B52" s="81" t="s">
        <v>8</v>
      </c>
      <c r="C52" s="29" t="s">
        <v>15</v>
      </c>
      <c r="D52" s="24" t="s">
        <v>5</v>
      </c>
      <c r="E52" s="37" t="e">
        <f>#REF!</f>
        <v>#REF!</v>
      </c>
      <c r="F52" s="37" t="e">
        <f t="shared" si="13"/>
        <v>#REF!</v>
      </c>
      <c r="G52" s="37" t="e">
        <f t="shared" si="14"/>
        <v>#REF!</v>
      </c>
      <c r="H52" s="37" t="e">
        <f t="shared" si="15"/>
        <v>#REF!</v>
      </c>
      <c r="I52" s="37" t="e">
        <f t="shared" si="15"/>
        <v>#REF!</v>
      </c>
    </row>
    <row r="53" spans="1:10" ht="22.5" hidden="1" customHeight="1">
      <c r="A53" s="90"/>
      <c r="B53" s="82"/>
      <c r="C53" s="30" t="s">
        <v>16</v>
      </c>
      <c r="D53" s="27" t="s">
        <v>5</v>
      </c>
      <c r="E53" s="32" t="e">
        <f>#REF!</f>
        <v>#REF!</v>
      </c>
      <c r="F53" s="32" t="e">
        <f t="shared" si="13"/>
        <v>#REF!</v>
      </c>
      <c r="G53" s="32" t="e">
        <f t="shared" si="14"/>
        <v>#REF!</v>
      </c>
      <c r="H53" s="32" t="e">
        <f t="shared" si="15"/>
        <v>#REF!</v>
      </c>
      <c r="I53" s="32" t="e">
        <f t="shared" si="15"/>
        <v>#REF!</v>
      </c>
    </row>
    <row r="54" spans="1:10" ht="24.75" hidden="1" customHeight="1" thickBot="1">
      <c r="A54" s="90"/>
      <c r="B54" s="83"/>
      <c r="C54" s="31" t="s">
        <v>17</v>
      </c>
      <c r="D54" s="25" t="s">
        <v>3</v>
      </c>
      <c r="E54" s="54" t="e">
        <f>#REF!</f>
        <v>#REF!</v>
      </c>
      <c r="F54" s="54" t="e">
        <f t="shared" si="13"/>
        <v>#REF!</v>
      </c>
      <c r="G54" s="54" t="e">
        <f t="shared" si="14"/>
        <v>#REF!</v>
      </c>
      <c r="H54" s="54" t="e">
        <f t="shared" si="15"/>
        <v>#REF!</v>
      </c>
      <c r="I54" s="54" t="e">
        <f t="shared" si="15"/>
        <v>#REF!</v>
      </c>
    </row>
    <row r="55" spans="1:10" ht="18" hidden="1" customHeight="1">
      <c r="A55" s="90"/>
      <c r="B55" s="81" t="s">
        <v>7</v>
      </c>
      <c r="C55" s="51" t="s">
        <v>82</v>
      </c>
      <c r="D55" s="19" t="s">
        <v>2</v>
      </c>
      <c r="E55" s="28" t="e">
        <f>#REF!</f>
        <v>#REF!</v>
      </c>
      <c r="F55" s="28" t="e">
        <f t="shared" si="13"/>
        <v>#REF!</v>
      </c>
      <c r="G55" s="28" t="e">
        <f t="shared" si="14"/>
        <v>#REF!</v>
      </c>
      <c r="H55" s="28" t="e">
        <f t="shared" si="15"/>
        <v>#REF!</v>
      </c>
      <c r="I55" s="28" t="e">
        <f t="shared" si="15"/>
        <v>#REF!</v>
      </c>
    </row>
    <row r="56" spans="1:10" ht="19.5" hidden="1">
      <c r="A56" s="90"/>
      <c r="B56" s="82"/>
      <c r="C56" s="52" t="s">
        <v>85</v>
      </c>
      <c r="D56" s="21" t="s">
        <v>5</v>
      </c>
      <c r="E56" s="40" t="e">
        <f>#REF!</f>
        <v>#REF!</v>
      </c>
      <c r="F56" s="40" t="e">
        <f t="shared" si="13"/>
        <v>#REF!</v>
      </c>
      <c r="G56" s="40" t="e">
        <f t="shared" si="14"/>
        <v>#REF!</v>
      </c>
      <c r="H56" s="40" t="e">
        <f t="shared" si="15"/>
        <v>#REF!</v>
      </c>
      <c r="I56" s="40" t="e">
        <f t="shared" si="15"/>
        <v>#REF!</v>
      </c>
    </row>
    <row r="57" spans="1:10" ht="19.5" hidden="1">
      <c r="A57" s="90"/>
      <c r="B57" s="82"/>
      <c r="C57" s="52" t="s">
        <v>86</v>
      </c>
      <c r="D57" s="21" t="s">
        <v>4</v>
      </c>
      <c r="E57" s="40" t="e">
        <f>#REF!</f>
        <v>#REF!</v>
      </c>
      <c r="F57" s="40" t="e">
        <f t="shared" si="13"/>
        <v>#REF!</v>
      </c>
      <c r="G57" s="40" t="e">
        <f t="shared" si="14"/>
        <v>#REF!</v>
      </c>
      <c r="H57" s="40" t="e">
        <f t="shared" si="15"/>
        <v>#REF!</v>
      </c>
      <c r="I57" s="40" t="e">
        <f t="shared" si="15"/>
        <v>#REF!</v>
      </c>
    </row>
    <row r="58" spans="1:10" ht="19.5" hidden="1">
      <c r="A58" s="90"/>
      <c r="B58" s="82"/>
      <c r="C58" s="52" t="s">
        <v>87</v>
      </c>
      <c r="D58" s="21" t="s">
        <v>14</v>
      </c>
      <c r="E58" s="40" t="e">
        <f>#REF!</f>
        <v>#REF!</v>
      </c>
      <c r="F58" s="40" t="e">
        <f t="shared" si="13"/>
        <v>#REF!</v>
      </c>
      <c r="G58" s="40" t="e">
        <f t="shared" si="14"/>
        <v>#REF!</v>
      </c>
      <c r="H58" s="40" t="e">
        <f t="shared" si="15"/>
        <v>#REF!</v>
      </c>
      <c r="I58" s="40" t="e">
        <f t="shared" si="15"/>
        <v>#REF!</v>
      </c>
    </row>
    <row r="59" spans="1:10" ht="20.25" hidden="1" thickBot="1">
      <c r="A59" s="90"/>
      <c r="B59" s="83"/>
      <c r="C59" s="53" t="s">
        <v>88</v>
      </c>
      <c r="D59" s="13" t="s">
        <v>3</v>
      </c>
      <c r="E59" s="38" t="e">
        <f t="shared" ref="E59:H59" si="16">E55/365*(E56+0.3*(E57/365+E58/365))</f>
        <v>#REF!</v>
      </c>
      <c r="F59" s="38" t="e">
        <f t="shared" si="16"/>
        <v>#REF!</v>
      </c>
      <c r="G59" s="38" t="e">
        <f t="shared" si="16"/>
        <v>#REF!</v>
      </c>
      <c r="H59" s="38" t="e">
        <f t="shared" si="16"/>
        <v>#REF!</v>
      </c>
      <c r="I59" s="38" t="e">
        <f t="shared" ref="I59" si="17">I55/365*(I56+0.3*(I57/365+I58/365))</f>
        <v>#REF!</v>
      </c>
    </row>
    <row r="60" spans="1:10" ht="39" hidden="1" customHeight="1" thickBot="1">
      <c r="A60" s="90"/>
      <c r="B60" s="11" t="s">
        <v>83</v>
      </c>
      <c r="C60" s="22" t="s">
        <v>25</v>
      </c>
      <c r="D60" s="27" t="s">
        <v>20</v>
      </c>
      <c r="E60" s="14" t="e">
        <f t="shared" ref="E60:H60" si="18">1000*((E50+E52+E53)/248+E51+E54+E59)</f>
        <v>#REF!</v>
      </c>
      <c r="F60" s="14" t="e">
        <f t="shared" si="18"/>
        <v>#REF!</v>
      </c>
      <c r="G60" s="14" t="e">
        <f t="shared" si="18"/>
        <v>#REF!</v>
      </c>
      <c r="H60" s="14" t="e">
        <f t="shared" si="18"/>
        <v>#REF!</v>
      </c>
      <c r="I60" s="14" t="e">
        <f t="shared" ref="I60" si="19">1000*((I50+I52+I53)/248+I51+I54+I59)</f>
        <v>#REF!</v>
      </c>
    </row>
    <row r="61" spans="1:10" ht="18.75" hidden="1">
      <c r="A61" s="90"/>
      <c r="B61" s="84" t="s">
        <v>81</v>
      </c>
      <c r="C61" s="22" t="s">
        <v>72</v>
      </c>
      <c r="D61" s="24" t="s">
        <v>1</v>
      </c>
      <c r="E61" s="39">
        <v>0.25</v>
      </c>
      <c r="F61" s="39">
        <f>E61</f>
        <v>0.25</v>
      </c>
      <c r="G61" s="39">
        <f t="shared" ref="G61:I61" si="20">F61</f>
        <v>0.25</v>
      </c>
      <c r="H61" s="39">
        <f t="shared" si="20"/>
        <v>0.25</v>
      </c>
      <c r="I61" s="39">
        <f t="shared" si="20"/>
        <v>0.25</v>
      </c>
    </row>
    <row r="62" spans="1:10" ht="20.25" hidden="1">
      <c r="A62" s="90"/>
      <c r="B62" s="85"/>
      <c r="C62" s="26" t="s">
        <v>71</v>
      </c>
      <c r="D62" s="27" t="s">
        <v>20</v>
      </c>
      <c r="E62" s="46">
        <f>E39</f>
        <v>39.026000000000003</v>
      </c>
      <c r="F62" s="46">
        <f t="shared" ref="F62:H62" si="21">F39</f>
        <v>39.026000000000003</v>
      </c>
      <c r="G62" s="46">
        <f t="shared" si="21"/>
        <v>39.026000000000003</v>
      </c>
      <c r="H62" s="46">
        <f t="shared" si="21"/>
        <v>39.026000000000003</v>
      </c>
      <c r="I62" s="46">
        <f t="shared" ref="I62" si="22">I39</f>
        <v>39.026000000000003</v>
      </c>
    </row>
    <row r="63" spans="1:10" ht="18.75" hidden="1">
      <c r="A63" s="90"/>
      <c r="B63" s="85"/>
      <c r="C63" s="26" t="s">
        <v>73</v>
      </c>
      <c r="D63" s="27"/>
      <c r="E63" s="32">
        <v>0.3</v>
      </c>
      <c r="F63" s="32">
        <v>0.3</v>
      </c>
      <c r="G63" s="32">
        <v>0.3</v>
      </c>
      <c r="H63" s="32">
        <v>0.3</v>
      </c>
      <c r="I63" s="32">
        <v>1.3</v>
      </c>
    </row>
    <row r="64" spans="1:10" ht="20.25" hidden="1">
      <c r="A64" s="90"/>
      <c r="B64" s="85"/>
      <c r="C64" s="26" t="s">
        <v>74</v>
      </c>
      <c r="D64" s="27" t="s">
        <v>20</v>
      </c>
      <c r="E64" s="46">
        <f>E41</f>
        <v>42.981999999999999</v>
      </c>
      <c r="F64" s="46">
        <f t="shared" ref="F64:H64" si="23">F41</f>
        <v>46.34</v>
      </c>
      <c r="G64" s="46">
        <f t="shared" si="23"/>
        <v>40.53</v>
      </c>
      <c r="H64" s="46">
        <f t="shared" si="23"/>
        <v>40.409999999999997</v>
      </c>
      <c r="I64" s="46">
        <f t="shared" ref="I64" si="24">I41</f>
        <v>40.409999999999997</v>
      </c>
    </row>
    <row r="65" spans="1:9" ht="20.25" hidden="1">
      <c r="A65" s="90"/>
      <c r="B65" s="85"/>
      <c r="C65" s="20" t="s">
        <v>75</v>
      </c>
      <c r="D65" s="27"/>
      <c r="E65" s="32">
        <v>0.15</v>
      </c>
      <c r="F65" s="32">
        <v>0.15</v>
      </c>
      <c r="G65" s="32">
        <v>0.15</v>
      </c>
      <c r="H65" s="32">
        <v>0.15</v>
      </c>
      <c r="I65" s="32">
        <v>0.15</v>
      </c>
    </row>
    <row r="66" spans="1:9" ht="20.25" hidden="1">
      <c r="A66" s="90"/>
      <c r="B66" s="85"/>
      <c r="C66" s="20" t="s">
        <v>76</v>
      </c>
      <c r="D66" s="27"/>
      <c r="E66" s="32">
        <v>0.15</v>
      </c>
      <c r="F66" s="32">
        <v>0.15</v>
      </c>
      <c r="G66" s="32">
        <v>0.15</v>
      </c>
      <c r="H66" s="32">
        <v>0.15</v>
      </c>
      <c r="I66" s="32">
        <v>0.15</v>
      </c>
    </row>
    <row r="67" spans="1:9" ht="20.25" hidden="1">
      <c r="A67" s="90"/>
      <c r="B67" s="85"/>
      <c r="C67" s="20" t="s">
        <v>77</v>
      </c>
      <c r="D67" s="27"/>
      <c r="E67" s="32">
        <v>0.15</v>
      </c>
      <c r="F67" s="32">
        <v>0.15</v>
      </c>
      <c r="G67" s="32">
        <v>0.15</v>
      </c>
      <c r="H67" s="32">
        <v>0.15</v>
      </c>
      <c r="I67" s="32">
        <v>0.15</v>
      </c>
    </row>
    <row r="68" spans="1:9" ht="20.25" hidden="1">
      <c r="A68" s="90"/>
      <c r="B68" s="85"/>
      <c r="C68" s="26" t="s">
        <v>78</v>
      </c>
      <c r="D68" s="27" t="s">
        <v>20</v>
      </c>
      <c r="E68" s="46">
        <f>E45</f>
        <v>44.389000000000003</v>
      </c>
      <c r="F68" s="46">
        <f t="shared" ref="F68:H68" si="25">F45</f>
        <v>40.776000000000003</v>
      </c>
      <c r="G68" s="46">
        <f t="shared" si="25"/>
        <v>40.29</v>
      </c>
      <c r="H68" s="46">
        <f t="shared" si="25"/>
        <v>40.409999999999997</v>
      </c>
      <c r="I68" s="46">
        <f t="shared" ref="I68" si="26">I45</f>
        <v>40.409999999999997</v>
      </c>
    </row>
    <row r="69" spans="1:9" ht="20.25" hidden="1">
      <c r="A69" s="90"/>
      <c r="B69" s="85"/>
      <c r="C69" s="26" t="s">
        <v>79</v>
      </c>
      <c r="D69" s="27" t="s">
        <v>20</v>
      </c>
      <c r="E69" s="46">
        <f t="shared" ref="E69:H70" si="27">E46</f>
        <v>44.439</v>
      </c>
      <c r="F69" s="46">
        <f t="shared" si="27"/>
        <v>40.875999999999998</v>
      </c>
      <c r="G69" s="46">
        <f t="shared" si="27"/>
        <v>40.549999999999997</v>
      </c>
      <c r="H69" s="46">
        <f t="shared" si="27"/>
        <v>40.409999999999997</v>
      </c>
      <c r="I69" s="46">
        <f t="shared" ref="I69" si="28">I46</f>
        <v>40.409999999999997</v>
      </c>
    </row>
    <row r="70" spans="1:9" ht="20.25" hidden="1">
      <c r="A70" s="90"/>
      <c r="B70" s="85"/>
      <c r="C70" s="26" t="s">
        <v>80</v>
      </c>
      <c r="D70" s="27" t="s">
        <v>20</v>
      </c>
      <c r="E70" s="46">
        <f t="shared" si="27"/>
        <v>44.337000000000003</v>
      </c>
      <c r="F70" s="46">
        <f t="shared" si="27"/>
        <v>41.109000000000002</v>
      </c>
      <c r="G70" s="46">
        <f t="shared" si="27"/>
        <v>40.75</v>
      </c>
      <c r="H70" s="46">
        <f t="shared" si="27"/>
        <v>40.409999999999997</v>
      </c>
      <c r="I70" s="46">
        <f t="shared" ref="I70" si="29">I47</f>
        <v>40.409999999999997</v>
      </c>
    </row>
    <row r="71" spans="1:9" ht="21" hidden="1" thickBot="1">
      <c r="A71" s="91"/>
      <c r="B71" s="86"/>
      <c r="C71" s="12" t="s">
        <v>21</v>
      </c>
      <c r="D71" s="13" t="s">
        <v>20</v>
      </c>
      <c r="E71" s="14">
        <f t="shared" ref="E71:H71" si="30">E61*E62+SUMPRODUCT(E64:E64,E63:E63)+SUMPRODUCT(E65:E67,E68:E70)</f>
        <v>42.62585</v>
      </c>
      <c r="F71" s="14">
        <f t="shared" si="30"/>
        <v>42.072650000000003</v>
      </c>
      <c r="G71" s="14">
        <f t="shared" si="30"/>
        <v>40.153999999999996</v>
      </c>
      <c r="H71" s="14">
        <f t="shared" si="30"/>
        <v>40.064</v>
      </c>
      <c r="I71" s="14">
        <f t="shared" ref="I71" si="31">I61*I62+SUMPRODUCT(I64:I64,I63:I63)+SUMPRODUCT(I65:I67,I68:I70)</f>
        <v>80.47399999999999</v>
      </c>
    </row>
    <row r="72" spans="1:9" ht="21" hidden="1" thickBot="1">
      <c r="C72" s="12" t="s">
        <v>18</v>
      </c>
      <c r="D72" s="13" t="s">
        <v>19</v>
      </c>
      <c r="E72" s="34" t="e">
        <f t="shared" ref="E72:H72" si="32">E71+E60</f>
        <v>#REF!</v>
      </c>
      <c r="F72" s="34" t="e">
        <f t="shared" si="32"/>
        <v>#REF!</v>
      </c>
      <c r="G72" s="34" t="e">
        <f t="shared" si="32"/>
        <v>#REF!</v>
      </c>
      <c r="H72" s="34" t="e">
        <f t="shared" si="32"/>
        <v>#REF!</v>
      </c>
      <c r="I72" s="34" t="e">
        <f t="shared" ref="I72" si="33">I71+I60</f>
        <v>#REF!</v>
      </c>
    </row>
    <row r="73" spans="1:9" ht="15.75" thickBot="1">
      <c r="D73" s="56"/>
    </row>
    <row r="74" spans="1:9" ht="21.75" thickBot="1">
      <c r="C74" s="87" t="s">
        <v>26</v>
      </c>
      <c r="D74" s="88"/>
      <c r="E74" s="15" t="str">
        <f t="shared" ref="E74:H74" si="34">E11</f>
        <v>2025 Q1</v>
      </c>
      <c r="F74" s="15" t="str">
        <f t="shared" si="34"/>
        <v>2025 Q2</v>
      </c>
      <c r="G74" s="15" t="str">
        <f t="shared" si="34"/>
        <v>2025 Q3</v>
      </c>
      <c r="H74" s="15" t="str">
        <f t="shared" si="34"/>
        <v>2025 Q4</v>
      </c>
      <c r="I74" s="15" t="str">
        <f t="shared" ref="I74" si="35">I11</f>
        <v>2026 Q4</v>
      </c>
    </row>
    <row r="75" spans="1:9" ht="18.75" customHeight="1">
      <c r="A75" s="41"/>
      <c r="B75" s="41"/>
      <c r="C75" s="26" t="s">
        <v>26</v>
      </c>
      <c r="D75" s="24" t="s">
        <v>50</v>
      </c>
      <c r="E75" s="73">
        <f>1/(1-0.07)*((E49/0.9*2.6059)+20.491+(E25*0.403)+0.07*(E22+0.0001*0)-E22-0*(E22+0)-(E49/0.9*1.0289+0.608095424114281)-0)</f>
        <v>58.810171273632932</v>
      </c>
      <c r="F75" s="78">
        <f>1/(1-0.07)*((F49/0.9*2.6059)+20.491+(F25*0.403)+0.07*(F22+0.0001*0)-F22-0*(F22+0)-(F49/0.9*1.0289+0.608095424114281)-0)</f>
        <v>82.417315001231486</v>
      </c>
      <c r="G75" s="70">
        <f>1/(1-0.07)*((G49/0.9*2.6059)+20.491+(G25*0.403)+0.07*(G22+0.0001*0)-G22-0*(G22+0)-(G49/0.9*1.0289+0.608095424114281)-0)</f>
        <v>58.565417510192077</v>
      </c>
      <c r="H75" s="70">
        <f>1/(1-0.07)*((H49/0.9*2.6059)+20.491+(H25*0.403)+0.07*(H22+0.0001*0)-H22-0*(H22+0)-(H49/0.9*1.0289+0.608095424114281)-0)</f>
        <v>53.532847617718907</v>
      </c>
      <c r="I75" s="70">
        <f>1/(1-IVPEE)*((I49/0.9*2.606)+20.999+(I25*0.406)+IVPEE*(I22+R_INV/5158)-I22-0*(I22+0)-(I49/0.9*1.0289+0.6111)-0)</f>
        <v>53.99361402395035</v>
      </c>
    </row>
    <row r="76" spans="1:9" ht="20.45" hidden="1" customHeight="1">
      <c r="A76" s="41" t="s">
        <v>56</v>
      </c>
      <c r="B76" s="41"/>
      <c r="C76" s="26" t="s">
        <v>46</v>
      </c>
      <c r="D76" s="27" t="s">
        <v>50</v>
      </c>
      <c r="E76" s="74" t="e">
        <f>1/(1-#REF!)*((E49/0.9*#REF!)+#REF!+(E25*#REF!)+#REF!*(E22+#REF!*#REF!)-E22-#REF!*(E22+#REF!)-(E49/0.9*#REF!+#REF!)-#REF!)</f>
        <v>#REF!</v>
      </c>
      <c r="F76" s="71" t="e">
        <f>1/(1-#REF!)*((F49/0.9*#REF!)+#REF!+(F25*#REF!)+#REF!*(F22+#REF!*#REF!)-F22-#REF!*(F22+#REF!)-(F49/0.9*#REF!+#REF!)-#REF!)</f>
        <v>#REF!</v>
      </c>
      <c r="G76" s="71" t="e">
        <f>1/(1-#REF!)*((G49/0.9*#REF!)+#REF!+(G25*#REF!)+#REF!*(G22+#REF!*#REF!)-G22-#REF!*(G22+#REF!)-(G49/0.9*#REF!+#REF!)-#REF!)</f>
        <v>#REF!</v>
      </c>
      <c r="H76" s="71" t="e">
        <f>1/(1-#REF!)*((H49/0.9*#REF!)+#REF!+(H25*#REF!)+#REF!*(H22+#REF!*#REF!)-H22-#REF!*(H22+#REF!)-(H49/0.9*#REF!+#REF!)-#REF!)</f>
        <v>#REF!</v>
      </c>
    </row>
    <row r="77" spans="1:9" ht="21" hidden="1" customHeight="1" thickBot="1">
      <c r="A77" s="3" t="s">
        <v>93</v>
      </c>
      <c r="B77" s="41"/>
      <c r="C77" s="23" t="s">
        <v>48</v>
      </c>
      <c r="D77" s="25" t="s">
        <v>50</v>
      </c>
      <c r="E77" s="75" t="e">
        <f>1/(1-#REF!)*((E72/0.9*#REF!)+#REF!+(E25*#REF!)+#REF!*(E22+#REF!*#REF!)-E22-#REF!*(E22+#REF!)-(E72/0.9*#REF!+#REF!)-#REF!)</f>
        <v>#REF!</v>
      </c>
      <c r="F77" s="72" t="e">
        <f>1/(1-#REF!)*((F72/0.9*#REF!)+#REF!+(F25*#REF!)+#REF!*(F22+#REF!*#REF!)-F22-#REF!*(F22+#REF!)-(F72/0.9*#REF!+#REF!)-#REF!)</f>
        <v>#REF!</v>
      </c>
      <c r="G77" s="72" t="e">
        <f>1/(1-#REF!)*((G72/0.9*#REF!)+#REF!+(G25*#REF!)+#REF!*(G22+#REF!*#REF!)-G22-#REF!*(G22+#REF!)-(G72/0.9*#REF!+#REF!)-#REF!)</f>
        <v>#REF!</v>
      </c>
      <c r="H77" s="72" t="e">
        <f>1/(1-#REF!)*((H72/0.9*#REF!)+#REF!+(H25*#REF!)+#REF!*(H22+#REF!*#REF!)-H22-#REF!*(H22+#REF!)-(H72/0.9*#REF!+#REF!)-#REF!)</f>
        <v>#REF!</v>
      </c>
    </row>
    <row r="78" spans="1:9">
      <c r="B78" s="41"/>
    </row>
    <row r="79" spans="1:9">
      <c r="E79" s="77"/>
      <c r="F79" s="77"/>
      <c r="H79" s="2" t="s">
        <v>107</v>
      </c>
      <c r="I79" s="2">
        <v>54.000999999999998</v>
      </c>
    </row>
    <row r="80" spans="1:9">
      <c r="E80" s="77"/>
      <c r="F80" s="77"/>
    </row>
    <row r="81" spans="5:6">
      <c r="E81" s="77"/>
      <c r="F81" s="77"/>
    </row>
    <row r="82" spans="5:6">
      <c r="E82" s="77"/>
      <c r="F82" s="77"/>
    </row>
    <row r="83" spans="5:6">
      <c r="E83" s="77"/>
    </row>
  </sheetData>
  <mergeCells count="14">
    <mergeCell ref="C11:D11"/>
    <mergeCell ref="C24:D24"/>
    <mergeCell ref="C26:D26"/>
    <mergeCell ref="A27:A48"/>
    <mergeCell ref="A50:A71"/>
    <mergeCell ref="B50:B51"/>
    <mergeCell ref="B52:B54"/>
    <mergeCell ref="B55:B59"/>
    <mergeCell ref="B61:B71"/>
    <mergeCell ref="B27:B28"/>
    <mergeCell ref="B29:B31"/>
    <mergeCell ref="B32:B36"/>
    <mergeCell ref="B38:B48"/>
    <mergeCell ref="C74:D74"/>
  </mergeCells>
  <phoneticPr fontId="91" type="noConversion"/>
  <hyperlinks>
    <hyperlink ref="A3" r:id="rId1" xr:uid="{A489DDAC-CF98-48DA-AADF-99F5341A0EED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71BB-5074-401B-8D8F-A191FD93B7EE}">
  <sheetPr>
    <tabColor theme="2" tint="-0.499984740745262"/>
  </sheetPr>
  <dimension ref="A1:Y143"/>
  <sheetViews>
    <sheetView zoomScale="90" zoomScaleNormal="90" workbookViewId="0">
      <pane ySplit="9" topLeftCell="A10" activePane="bottomLeft" state="frozen"/>
      <selection pane="bottomLeft" activeCell="C55" sqref="C55"/>
    </sheetView>
  </sheetViews>
  <sheetFormatPr defaultColWidth="11.42578125" defaultRowHeight="15"/>
  <cols>
    <col min="1" max="1" width="8.5703125" style="2" customWidth="1"/>
    <col min="2" max="2" width="9.85546875" style="2" customWidth="1"/>
    <col min="3" max="3" width="31.85546875" style="2" bestFit="1" customWidth="1"/>
    <col min="4" max="4" width="34.7109375" style="2" bestFit="1" customWidth="1"/>
    <col min="5" max="5" width="13.5703125" style="2" bestFit="1" customWidth="1"/>
    <col min="6" max="7" width="16.28515625" style="2" bestFit="1" customWidth="1"/>
    <col min="8" max="8" width="16.28515625" style="2" customWidth="1"/>
    <col min="9" max="9" width="16.28515625" style="2" bestFit="1" customWidth="1"/>
    <col min="10" max="10" width="16.28515625" style="2" customWidth="1"/>
    <col min="11" max="11" width="12.28515625" style="2" bestFit="1" customWidth="1"/>
    <col min="12" max="16" width="16.28515625" style="2" bestFit="1" customWidth="1"/>
    <col min="17" max="17" width="11.7109375" style="2" bestFit="1" customWidth="1"/>
    <col min="18" max="18" width="16.28515625" style="2" bestFit="1" customWidth="1"/>
    <col min="19" max="21" width="11.7109375" style="2" bestFit="1" customWidth="1"/>
    <col min="22" max="16384" width="11.42578125" style="2"/>
  </cols>
  <sheetData>
    <row r="1" spans="3:25">
      <c r="C1" s="5" t="s">
        <v>42</v>
      </c>
      <c r="D1" s="6">
        <f>293.072/1000</f>
        <v>0.293072</v>
      </c>
      <c r="G1" s="3"/>
    </row>
    <row r="2" spans="3:25" ht="18.75">
      <c r="C2" s="9"/>
      <c r="D2" s="10"/>
      <c r="G2" s="7"/>
      <c r="H2" s="8"/>
      <c r="M2" s="1"/>
    </row>
    <row r="3" spans="3:25" ht="21.75" customHeight="1">
      <c r="M3" s="1"/>
      <c r="N3" s="4"/>
      <c r="O3" s="4"/>
    </row>
    <row r="4" spans="3:25">
      <c r="C4" s="47" t="s">
        <v>51</v>
      </c>
    </row>
    <row r="6" spans="3:25">
      <c r="F6"/>
    </row>
    <row r="7" spans="3:25">
      <c r="E7" s="48">
        <v>45252</v>
      </c>
    </row>
    <row r="8" spans="3:25" ht="15.75" thickBot="1">
      <c r="E8" s="47" t="s">
        <v>52</v>
      </c>
    </row>
    <row r="9" spans="3:25" ht="24.75" thickBot="1">
      <c r="C9" s="87" t="s">
        <v>22</v>
      </c>
      <c r="D9" s="88"/>
      <c r="E9" s="33" t="s">
        <v>63</v>
      </c>
      <c r="F9" s="33" t="s">
        <v>64</v>
      </c>
      <c r="G9" s="33" t="s">
        <v>65</v>
      </c>
      <c r="H9" s="33" t="s">
        <v>66</v>
      </c>
      <c r="I9" s="33" t="s">
        <v>89</v>
      </c>
      <c r="J9" s="33" t="s">
        <v>90</v>
      </c>
      <c r="K9" s="33" t="s">
        <v>91</v>
      </c>
      <c r="L9" s="33" t="s">
        <v>92</v>
      </c>
      <c r="M9" s="33">
        <v>2026</v>
      </c>
      <c r="N9" s="33">
        <f>M9+1</f>
        <v>2027</v>
      </c>
      <c r="O9" s="33">
        <f t="shared" ref="O9:U9" si="0">N9+1</f>
        <v>2028</v>
      </c>
      <c r="P9" s="33">
        <f t="shared" si="0"/>
        <v>2029</v>
      </c>
      <c r="Q9" s="33">
        <f t="shared" si="0"/>
        <v>2030</v>
      </c>
      <c r="R9" s="33">
        <f t="shared" si="0"/>
        <v>2031</v>
      </c>
      <c r="S9" s="33">
        <f t="shared" si="0"/>
        <v>2032</v>
      </c>
      <c r="T9" s="33">
        <f t="shared" si="0"/>
        <v>2033</v>
      </c>
      <c r="U9" s="33">
        <f t="shared" si="0"/>
        <v>2034</v>
      </c>
    </row>
    <row r="10" spans="3:25" ht="18.75">
      <c r="C10" s="18" t="s">
        <v>67</v>
      </c>
      <c r="D10" s="19"/>
      <c r="E10" s="16">
        <v>0.25</v>
      </c>
      <c r="F10" s="16">
        <v>0.25</v>
      </c>
      <c r="G10" s="16">
        <v>0.25</v>
      </c>
      <c r="H10" s="16">
        <v>0.25</v>
      </c>
      <c r="I10" s="16">
        <v>0.25</v>
      </c>
      <c r="J10" s="16">
        <v>0.25</v>
      </c>
      <c r="K10" s="16">
        <v>0.25</v>
      </c>
      <c r="L10" s="16">
        <v>0.25</v>
      </c>
      <c r="M10" s="16">
        <v>0.25</v>
      </c>
      <c r="N10" s="16">
        <v>0.25</v>
      </c>
      <c r="O10" s="16">
        <v>0.25</v>
      </c>
      <c r="P10" s="16">
        <v>0.25</v>
      </c>
      <c r="Q10" s="16">
        <v>0.25</v>
      </c>
      <c r="R10" s="16">
        <v>0.25</v>
      </c>
      <c r="S10" s="16">
        <v>0.25</v>
      </c>
      <c r="T10" s="16">
        <v>0.25</v>
      </c>
      <c r="U10" s="16">
        <v>0.25</v>
      </c>
    </row>
    <row r="11" spans="3:25" ht="20.25">
      <c r="C11" s="20" t="s">
        <v>12</v>
      </c>
      <c r="D11" s="21" t="s">
        <v>0</v>
      </c>
      <c r="E11" s="45">
        <v>104.98</v>
      </c>
      <c r="F11" s="45">
        <v>104.98</v>
      </c>
      <c r="G11" s="62">
        <v>93.6</v>
      </c>
      <c r="H11" s="62">
        <v>93.6</v>
      </c>
      <c r="I11" s="62" t="e">
        <f>#REF!</f>
        <v>#REF!</v>
      </c>
      <c r="J11" s="62" t="e">
        <f>I11</f>
        <v>#REF!</v>
      </c>
      <c r="K11" s="62" t="e">
        <f t="shared" ref="K11:L11" si="1">J11</f>
        <v>#REF!</v>
      </c>
      <c r="L11" s="62" t="e">
        <f t="shared" si="1"/>
        <v>#REF!</v>
      </c>
      <c r="M11" s="62" t="e">
        <f>#REF!</f>
        <v>#REF!</v>
      </c>
      <c r="N11" s="62" t="e">
        <f>#REF!</f>
        <v>#REF!</v>
      </c>
      <c r="O11" s="62" t="e">
        <f>#REF!</f>
        <v>#REF!</v>
      </c>
      <c r="P11" s="62" t="e">
        <f>#REF!</f>
        <v>#REF!</v>
      </c>
      <c r="Q11" s="62" t="e">
        <f>#REF!</f>
        <v>#REF!</v>
      </c>
      <c r="R11" s="62" t="e">
        <f>#REF!</f>
        <v>#REF!</v>
      </c>
      <c r="S11" s="62" t="e">
        <f>#REF!</f>
        <v>#REF!</v>
      </c>
      <c r="T11" s="62" t="e">
        <f>#REF!</f>
        <v>#REF!</v>
      </c>
      <c r="U11" s="62" t="e">
        <f>#REF!</f>
        <v>#REF!</v>
      </c>
    </row>
    <row r="12" spans="3:25" ht="18.75">
      <c r="C12" s="20" t="s">
        <v>59</v>
      </c>
      <c r="D12" s="21"/>
      <c r="E12" s="17">
        <v>0.3</v>
      </c>
      <c r="F12" s="17">
        <v>0.3</v>
      </c>
      <c r="G12" s="17">
        <v>0.3</v>
      </c>
      <c r="H12" s="17">
        <v>0.3</v>
      </c>
      <c r="I12" s="17">
        <v>0.3</v>
      </c>
      <c r="J12" s="17">
        <v>0.3</v>
      </c>
      <c r="K12" s="17">
        <v>0.3</v>
      </c>
      <c r="L12" s="17">
        <v>0.3</v>
      </c>
      <c r="M12" s="17">
        <v>0.3</v>
      </c>
      <c r="N12" s="17">
        <v>0.3</v>
      </c>
      <c r="O12" s="17">
        <v>0.3</v>
      </c>
      <c r="P12" s="17">
        <v>0.3</v>
      </c>
      <c r="Q12" s="17">
        <v>0.3</v>
      </c>
      <c r="R12" s="17">
        <v>0.3</v>
      </c>
      <c r="S12" s="17">
        <v>0.3</v>
      </c>
      <c r="T12" s="17">
        <v>0.3</v>
      </c>
      <c r="U12" s="17">
        <v>0.3</v>
      </c>
    </row>
    <row r="13" spans="3:25" ht="20.25">
      <c r="C13" s="20" t="s">
        <v>58</v>
      </c>
      <c r="D13" s="21" t="s">
        <v>0</v>
      </c>
      <c r="E13" s="45">
        <v>104.98</v>
      </c>
      <c r="F13" s="45">
        <v>104.98</v>
      </c>
      <c r="G13" s="45">
        <v>103.78</v>
      </c>
      <c r="H13" s="45">
        <v>107.37</v>
      </c>
      <c r="I13" s="45" t="e">
        <f>I11</f>
        <v>#REF!</v>
      </c>
      <c r="J13" s="45" t="e">
        <f t="shared" ref="J13:U13" si="2">J11</f>
        <v>#REF!</v>
      </c>
      <c r="K13" s="45" t="e">
        <f t="shared" si="2"/>
        <v>#REF!</v>
      </c>
      <c r="L13" s="45" t="e">
        <f t="shared" si="2"/>
        <v>#REF!</v>
      </c>
      <c r="M13" s="45" t="e">
        <f t="shared" si="2"/>
        <v>#REF!</v>
      </c>
      <c r="N13" s="45" t="e">
        <f t="shared" si="2"/>
        <v>#REF!</v>
      </c>
      <c r="O13" s="45" t="e">
        <f t="shared" si="2"/>
        <v>#REF!</v>
      </c>
      <c r="P13" s="45" t="e">
        <f t="shared" si="2"/>
        <v>#REF!</v>
      </c>
      <c r="Q13" s="45" t="e">
        <f t="shared" si="2"/>
        <v>#REF!</v>
      </c>
      <c r="R13" s="45" t="e">
        <f t="shared" si="2"/>
        <v>#REF!</v>
      </c>
      <c r="S13" s="45" t="e">
        <f t="shared" si="2"/>
        <v>#REF!</v>
      </c>
      <c r="T13" s="45" t="e">
        <f t="shared" si="2"/>
        <v>#REF!</v>
      </c>
      <c r="U13" s="45" t="e">
        <f t="shared" si="2"/>
        <v>#REF!</v>
      </c>
      <c r="Y13" s="2" t="e">
        <f>#REF!/'Roprevisto ivpee Q1'!$D$1</f>
        <v>#REF!</v>
      </c>
    </row>
    <row r="14" spans="3:25" ht="20.25">
      <c r="C14" s="20" t="s">
        <v>60</v>
      </c>
      <c r="D14" s="21"/>
      <c r="E14" s="42">
        <v>0.15</v>
      </c>
      <c r="F14" s="42">
        <v>0.15</v>
      </c>
      <c r="G14" s="42">
        <v>0.15</v>
      </c>
      <c r="H14" s="42">
        <v>0.15</v>
      </c>
      <c r="I14" s="42">
        <v>0.15</v>
      </c>
      <c r="J14" s="42">
        <v>0.15</v>
      </c>
      <c r="K14" s="42">
        <v>0.15</v>
      </c>
      <c r="L14" s="42">
        <v>0.15</v>
      </c>
      <c r="M14" s="42">
        <v>0.15</v>
      </c>
      <c r="N14" s="42">
        <v>0.15</v>
      </c>
      <c r="O14" s="42">
        <v>0.15</v>
      </c>
      <c r="P14" s="42">
        <v>0.15</v>
      </c>
      <c r="Q14" s="42">
        <v>0.15</v>
      </c>
      <c r="R14" s="42">
        <v>0.15</v>
      </c>
      <c r="S14" s="42">
        <v>0.15</v>
      </c>
      <c r="T14" s="42">
        <v>0.15</v>
      </c>
      <c r="U14" s="42">
        <v>0.15</v>
      </c>
    </row>
    <row r="15" spans="3:25" ht="20.25">
      <c r="C15" s="20" t="s">
        <v>61</v>
      </c>
      <c r="D15" s="21"/>
      <c r="E15" s="42">
        <v>0.15</v>
      </c>
      <c r="F15" s="42">
        <v>0.15</v>
      </c>
      <c r="G15" s="42">
        <v>0.15</v>
      </c>
      <c r="H15" s="42">
        <v>0.15</v>
      </c>
      <c r="I15" s="42">
        <v>0.15</v>
      </c>
      <c r="J15" s="42">
        <v>0.15</v>
      </c>
      <c r="K15" s="42">
        <v>0.15</v>
      </c>
      <c r="L15" s="42">
        <v>0.15</v>
      </c>
      <c r="M15" s="42">
        <v>0.15</v>
      </c>
      <c r="N15" s="42">
        <v>0.15</v>
      </c>
      <c r="O15" s="42">
        <v>0.15</v>
      </c>
      <c r="P15" s="42">
        <v>0.15</v>
      </c>
      <c r="Q15" s="42">
        <v>0.15</v>
      </c>
      <c r="R15" s="42">
        <v>0.15</v>
      </c>
      <c r="S15" s="42">
        <v>0.15</v>
      </c>
      <c r="T15" s="42">
        <v>0.15</v>
      </c>
      <c r="U15" s="42">
        <v>0.15</v>
      </c>
    </row>
    <row r="16" spans="3:25" ht="20.25">
      <c r="C16" s="20" t="s">
        <v>62</v>
      </c>
      <c r="D16" s="21"/>
      <c r="E16" s="42">
        <v>0.15</v>
      </c>
      <c r="F16" s="42">
        <v>0.15</v>
      </c>
      <c r="G16" s="42">
        <v>0.15</v>
      </c>
      <c r="H16" s="42">
        <v>0.15</v>
      </c>
      <c r="I16" s="42">
        <v>0.15</v>
      </c>
      <c r="J16" s="42">
        <v>0.15</v>
      </c>
      <c r="K16" s="42">
        <v>0.15</v>
      </c>
      <c r="L16" s="42">
        <v>0.15</v>
      </c>
      <c r="M16" s="42">
        <v>0.15</v>
      </c>
      <c r="N16" s="42">
        <v>0.15</v>
      </c>
      <c r="O16" s="42">
        <v>0.15</v>
      </c>
      <c r="P16" s="42">
        <v>0.15</v>
      </c>
      <c r="Q16" s="42">
        <v>0.15</v>
      </c>
      <c r="R16" s="42">
        <v>0.15</v>
      </c>
      <c r="S16" s="42">
        <v>0.15</v>
      </c>
      <c r="T16" s="42">
        <v>0.15</v>
      </c>
      <c r="U16" s="42">
        <v>0.15</v>
      </c>
    </row>
    <row r="17" spans="1:21" ht="20.25">
      <c r="C17" s="20" t="s">
        <v>68</v>
      </c>
      <c r="D17" s="21" t="s">
        <v>0</v>
      </c>
      <c r="E17" s="45">
        <v>104.98</v>
      </c>
      <c r="F17" s="45">
        <v>104.98</v>
      </c>
      <c r="G17" s="45">
        <v>93.6</v>
      </c>
      <c r="H17" s="45">
        <v>93.6</v>
      </c>
      <c r="I17" s="45" t="e">
        <f>I11</f>
        <v>#REF!</v>
      </c>
      <c r="J17" s="45" t="e">
        <f t="shared" ref="J17:U17" si="3">J11</f>
        <v>#REF!</v>
      </c>
      <c r="K17" s="45" t="e">
        <f t="shared" si="3"/>
        <v>#REF!</v>
      </c>
      <c r="L17" s="45" t="e">
        <f t="shared" si="3"/>
        <v>#REF!</v>
      </c>
      <c r="M17" s="45" t="e">
        <f t="shared" si="3"/>
        <v>#REF!</v>
      </c>
      <c r="N17" s="45" t="e">
        <f t="shared" si="3"/>
        <v>#REF!</v>
      </c>
      <c r="O17" s="45" t="e">
        <f t="shared" si="3"/>
        <v>#REF!</v>
      </c>
      <c r="P17" s="45" t="e">
        <f t="shared" si="3"/>
        <v>#REF!</v>
      </c>
      <c r="Q17" s="45" t="e">
        <f t="shared" si="3"/>
        <v>#REF!</v>
      </c>
      <c r="R17" s="45" t="e">
        <f t="shared" si="3"/>
        <v>#REF!</v>
      </c>
      <c r="S17" s="45" t="e">
        <f t="shared" si="3"/>
        <v>#REF!</v>
      </c>
      <c r="T17" s="45" t="e">
        <f t="shared" si="3"/>
        <v>#REF!</v>
      </c>
      <c r="U17" s="45" t="e">
        <f t="shared" si="3"/>
        <v>#REF!</v>
      </c>
    </row>
    <row r="18" spans="1:21" ht="20.25">
      <c r="C18" s="20" t="s">
        <v>69</v>
      </c>
      <c r="D18" s="21" t="s">
        <v>0</v>
      </c>
      <c r="E18" s="45">
        <v>104.98</v>
      </c>
      <c r="F18" s="45">
        <v>104.98</v>
      </c>
      <c r="G18" s="45">
        <v>93.6</v>
      </c>
      <c r="H18" s="45">
        <v>93.6</v>
      </c>
      <c r="I18" s="45" t="e">
        <f>I11</f>
        <v>#REF!</v>
      </c>
      <c r="J18" s="45" t="e">
        <f t="shared" ref="J18:U18" si="4">J11</f>
        <v>#REF!</v>
      </c>
      <c r="K18" s="45" t="e">
        <f t="shared" si="4"/>
        <v>#REF!</v>
      </c>
      <c r="L18" s="45" t="e">
        <f t="shared" si="4"/>
        <v>#REF!</v>
      </c>
      <c r="M18" s="45" t="e">
        <f t="shared" si="4"/>
        <v>#REF!</v>
      </c>
      <c r="N18" s="45" t="e">
        <f t="shared" si="4"/>
        <v>#REF!</v>
      </c>
      <c r="O18" s="45" t="e">
        <f t="shared" si="4"/>
        <v>#REF!</v>
      </c>
      <c r="P18" s="45" t="e">
        <f t="shared" si="4"/>
        <v>#REF!</v>
      </c>
      <c r="Q18" s="45" t="e">
        <f t="shared" si="4"/>
        <v>#REF!</v>
      </c>
      <c r="R18" s="45" t="e">
        <f t="shared" si="4"/>
        <v>#REF!</v>
      </c>
      <c r="S18" s="45" t="e">
        <f t="shared" si="4"/>
        <v>#REF!</v>
      </c>
      <c r="T18" s="45" t="e">
        <f t="shared" si="4"/>
        <v>#REF!</v>
      </c>
      <c r="U18" s="45" t="e">
        <f t="shared" si="4"/>
        <v>#REF!</v>
      </c>
    </row>
    <row r="19" spans="1:21" ht="21" thickBot="1">
      <c r="C19" s="20" t="s">
        <v>70</v>
      </c>
      <c r="D19" s="21" t="s">
        <v>0</v>
      </c>
      <c r="E19" s="45">
        <v>104.98</v>
      </c>
      <c r="F19" s="45">
        <v>104.98</v>
      </c>
      <c r="G19" s="45">
        <v>93.6</v>
      </c>
      <c r="H19" s="45">
        <v>93.6</v>
      </c>
      <c r="I19" s="45" t="e">
        <f>I11</f>
        <v>#REF!</v>
      </c>
      <c r="J19" s="45" t="e">
        <f t="shared" ref="J19:U19" si="5">J11</f>
        <v>#REF!</v>
      </c>
      <c r="K19" s="45" t="e">
        <f t="shared" si="5"/>
        <v>#REF!</v>
      </c>
      <c r="L19" s="45" t="e">
        <f t="shared" si="5"/>
        <v>#REF!</v>
      </c>
      <c r="M19" s="45" t="e">
        <f t="shared" si="5"/>
        <v>#REF!</v>
      </c>
      <c r="N19" s="45" t="e">
        <f t="shared" si="5"/>
        <v>#REF!</v>
      </c>
      <c r="O19" s="45" t="e">
        <f t="shared" si="5"/>
        <v>#REF!</v>
      </c>
      <c r="P19" s="45" t="e">
        <f t="shared" si="5"/>
        <v>#REF!</v>
      </c>
      <c r="Q19" s="45" t="e">
        <f t="shared" si="5"/>
        <v>#REF!</v>
      </c>
      <c r="R19" s="45" t="e">
        <f t="shared" si="5"/>
        <v>#REF!</v>
      </c>
      <c r="S19" s="45" t="e">
        <f t="shared" si="5"/>
        <v>#REF!</v>
      </c>
      <c r="T19" s="45" t="e">
        <f t="shared" si="5"/>
        <v>#REF!</v>
      </c>
      <c r="U19" s="45" t="e">
        <f t="shared" si="5"/>
        <v>#REF!</v>
      </c>
    </row>
    <row r="20" spans="1:21" ht="21" thickBot="1">
      <c r="C20" s="12" t="s">
        <v>13</v>
      </c>
      <c r="D20" s="13" t="s">
        <v>0</v>
      </c>
      <c r="E20" s="14">
        <f>E10*E11+SUMPRODUCT(E13:E13,E12:E12)+SUMPRODUCT(E14:E16,E17:E19)</f>
        <v>104.98</v>
      </c>
      <c r="F20" s="14">
        <f t="shared" ref="F20:U20" si="6">F10*F11+SUMPRODUCT(F13:F13,F12:F12)+SUMPRODUCT(F14:F16,F17:F19)</f>
        <v>104.98</v>
      </c>
      <c r="G20" s="14">
        <f t="shared" si="6"/>
        <v>96.653999999999996</v>
      </c>
      <c r="H20" s="14">
        <f t="shared" si="6"/>
        <v>97.730999999999995</v>
      </c>
      <c r="I20" s="14" t="e">
        <f t="shared" si="6"/>
        <v>#REF!</v>
      </c>
      <c r="J20" s="14" t="e">
        <f t="shared" si="6"/>
        <v>#REF!</v>
      </c>
      <c r="K20" s="14" t="e">
        <f t="shared" si="6"/>
        <v>#REF!</v>
      </c>
      <c r="L20" s="14" t="e">
        <f t="shared" si="6"/>
        <v>#REF!</v>
      </c>
      <c r="M20" s="14" t="e">
        <f t="shared" si="6"/>
        <v>#REF!</v>
      </c>
      <c r="N20" s="14" t="e">
        <f t="shared" si="6"/>
        <v>#REF!</v>
      </c>
      <c r="O20" s="14" t="e">
        <f t="shared" si="6"/>
        <v>#REF!</v>
      </c>
      <c r="P20" s="14" t="e">
        <f t="shared" si="6"/>
        <v>#REF!</v>
      </c>
      <c r="Q20" s="14" t="e">
        <f t="shared" si="6"/>
        <v>#REF!</v>
      </c>
      <c r="R20" s="14" t="e">
        <f t="shared" si="6"/>
        <v>#REF!</v>
      </c>
      <c r="S20" s="14" t="e">
        <f t="shared" si="6"/>
        <v>#REF!</v>
      </c>
      <c r="T20" s="14" t="e">
        <f t="shared" si="6"/>
        <v>#REF!</v>
      </c>
      <c r="U20" s="14" t="e">
        <f t="shared" si="6"/>
        <v>#REF!</v>
      </c>
    </row>
    <row r="21" spans="1:21" ht="15.75" thickBot="1">
      <c r="D21" s="56"/>
      <c r="E21" s="47"/>
    </row>
    <row r="22" spans="1:21" ht="24.75" thickBot="1">
      <c r="C22" s="87" t="s">
        <v>23</v>
      </c>
      <c r="D22" s="88"/>
      <c r="E22" s="15" t="str">
        <f>E9</f>
        <v>2024 Q1</v>
      </c>
      <c r="F22" s="15" t="str">
        <f t="shared" ref="F22:U22" si="7">F9</f>
        <v>2024 Q2</v>
      </c>
      <c r="G22" s="15" t="str">
        <f t="shared" si="7"/>
        <v>2024 Q3</v>
      </c>
      <c r="H22" s="15" t="str">
        <f t="shared" si="7"/>
        <v>2024 Q4</v>
      </c>
      <c r="I22" s="15" t="str">
        <f t="shared" si="7"/>
        <v>2025 Q1</v>
      </c>
      <c r="J22" s="15" t="str">
        <f t="shared" si="7"/>
        <v>2025 Q2</v>
      </c>
      <c r="K22" s="15" t="str">
        <f t="shared" si="7"/>
        <v>2025 Q3</v>
      </c>
      <c r="L22" s="15" t="str">
        <f t="shared" si="7"/>
        <v>2025 Q4</v>
      </c>
      <c r="M22" s="15">
        <f t="shared" si="7"/>
        <v>2026</v>
      </c>
      <c r="N22" s="15">
        <f t="shared" si="7"/>
        <v>2027</v>
      </c>
      <c r="O22" s="15">
        <f t="shared" si="7"/>
        <v>2028</v>
      </c>
      <c r="P22" s="15">
        <f t="shared" si="7"/>
        <v>2029</v>
      </c>
      <c r="Q22" s="15">
        <f t="shared" si="7"/>
        <v>2030</v>
      </c>
      <c r="R22" s="15">
        <f t="shared" si="7"/>
        <v>2031</v>
      </c>
      <c r="S22" s="15">
        <f t="shared" si="7"/>
        <v>2032</v>
      </c>
      <c r="T22" s="15">
        <f t="shared" si="7"/>
        <v>2033</v>
      </c>
      <c r="U22" s="15">
        <f t="shared" si="7"/>
        <v>2034</v>
      </c>
    </row>
    <row r="23" spans="1:21" ht="21" thickBot="1">
      <c r="C23" s="12" t="s">
        <v>28</v>
      </c>
      <c r="D23" s="13" t="s">
        <v>41</v>
      </c>
      <c r="E23" s="50">
        <v>90.72</v>
      </c>
      <c r="F23" s="50">
        <v>90.72</v>
      </c>
      <c r="G23" s="50">
        <v>90.72</v>
      </c>
      <c r="H23" s="50">
        <v>90.72</v>
      </c>
      <c r="I23" s="64" t="e">
        <f>#REF!</f>
        <v>#REF!</v>
      </c>
      <c r="J23" s="64" t="e">
        <f>I23</f>
        <v>#REF!</v>
      </c>
      <c r="K23" s="64" t="e">
        <f t="shared" ref="K23:L23" si="8">J23</f>
        <v>#REF!</v>
      </c>
      <c r="L23" s="64" t="e">
        <f t="shared" si="8"/>
        <v>#REF!</v>
      </c>
      <c r="M23" s="64" t="e">
        <f>#REF!</f>
        <v>#REF!</v>
      </c>
      <c r="N23" s="64" t="e">
        <f>#REF!</f>
        <v>#REF!</v>
      </c>
      <c r="O23" s="64" t="e">
        <f>#REF!</f>
        <v>#REF!</v>
      </c>
      <c r="P23" s="64" t="e">
        <f>#REF!</f>
        <v>#REF!</v>
      </c>
      <c r="Q23" s="64" t="e">
        <f>#REF!</f>
        <v>#REF!</v>
      </c>
      <c r="R23" s="64" t="e">
        <f>#REF!</f>
        <v>#REF!</v>
      </c>
      <c r="S23" s="64" t="e">
        <f>#REF!</f>
        <v>#REF!</v>
      </c>
      <c r="T23" s="64" t="e">
        <f>#REF!</f>
        <v>#REF!</v>
      </c>
      <c r="U23" s="64" t="e">
        <f>#REF!</f>
        <v>#REF!</v>
      </c>
    </row>
    <row r="24" spans="1:21" ht="27" customHeight="1" thickBot="1">
      <c r="C24" s="87" t="s">
        <v>24</v>
      </c>
      <c r="D24" s="88"/>
      <c r="E24" s="15" t="str">
        <f>E9</f>
        <v>2024 Q1</v>
      </c>
      <c r="F24" s="15" t="str">
        <f t="shared" ref="F24:U24" si="9">F9</f>
        <v>2024 Q2</v>
      </c>
      <c r="G24" s="15" t="str">
        <f t="shared" si="9"/>
        <v>2024 Q3</v>
      </c>
      <c r="H24" s="15" t="str">
        <f t="shared" si="9"/>
        <v>2024 Q4</v>
      </c>
      <c r="I24" s="15" t="str">
        <f t="shared" si="9"/>
        <v>2025 Q1</v>
      </c>
      <c r="J24" s="15" t="str">
        <f t="shared" si="9"/>
        <v>2025 Q2</v>
      </c>
      <c r="K24" s="15" t="str">
        <f t="shared" si="9"/>
        <v>2025 Q3</v>
      </c>
      <c r="L24" s="15" t="str">
        <f t="shared" si="9"/>
        <v>2025 Q4</v>
      </c>
      <c r="M24" s="15">
        <f t="shared" si="9"/>
        <v>2026</v>
      </c>
      <c r="N24" s="15">
        <f t="shared" si="9"/>
        <v>2027</v>
      </c>
      <c r="O24" s="15">
        <f t="shared" si="9"/>
        <v>2028</v>
      </c>
      <c r="P24" s="15">
        <f t="shared" si="9"/>
        <v>2029</v>
      </c>
      <c r="Q24" s="15">
        <f t="shared" si="9"/>
        <v>2030</v>
      </c>
      <c r="R24" s="15">
        <f t="shared" si="9"/>
        <v>2031</v>
      </c>
      <c r="S24" s="15">
        <f t="shared" si="9"/>
        <v>2032</v>
      </c>
      <c r="T24" s="15">
        <f t="shared" si="9"/>
        <v>2033</v>
      </c>
      <c r="U24" s="15">
        <f t="shared" si="9"/>
        <v>2034</v>
      </c>
    </row>
    <row r="25" spans="1:21" ht="28.5" customHeight="1">
      <c r="A25" s="89" t="s">
        <v>94</v>
      </c>
      <c r="B25" s="79" t="s">
        <v>10</v>
      </c>
      <c r="C25" s="30" t="s">
        <v>9</v>
      </c>
      <c r="D25" s="27" t="s">
        <v>5</v>
      </c>
      <c r="E25" s="32">
        <f>0.1266*(1+0.14/100+1.17/100)</f>
        <v>0.12825845999999999</v>
      </c>
      <c r="F25" s="32">
        <f>E25</f>
        <v>0.12825845999999999</v>
      </c>
      <c r="G25" s="32">
        <f t="shared" ref="G25:I34" si="10">F25</f>
        <v>0.12825845999999999</v>
      </c>
      <c r="H25" s="32">
        <f t="shared" si="10"/>
        <v>0.12825845999999999</v>
      </c>
      <c r="I25" s="32">
        <f>H25</f>
        <v>0.12825845999999999</v>
      </c>
      <c r="J25" s="32">
        <f t="shared" ref="J25:U34" si="11">I25</f>
        <v>0.12825845999999999</v>
      </c>
      <c r="K25" s="32">
        <f t="shared" si="11"/>
        <v>0.12825845999999999</v>
      </c>
      <c r="L25" s="32">
        <f t="shared" si="11"/>
        <v>0.12825845999999999</v>
      </c>
      <c r="M25" s="32">
        <f t="shared" si="11"/>
        <v>0.12825845999999999</v>
      </c>
      <c r="N25" s="32">
        <f t="shared" si="11"/>
        <v>0.12825845999999999</v>
      </c>
      <c r="O25" s="32">
        <f t="shared" si="11"/>
        <v>0.12825845999999999</v>
      </c>
      <c r="P25" s="32">
        <f t="shared" si="11"/>
        <v>0.12825845999999999</v>
      </c>
      <c r="Q25" s="32">
        <f t="shared" si="11"/>
        <v>0.12825845999999999</v>
      </c>
      <c r="R25" s="32">
        <f t="shared" si="11"/>
        <v>0.12825845999999999</v>
      </c>
      <c r="S25" s="32">
        <f t="shared" si="11"/>
        <v>0.12825845999999999</v>
      </c>
      <c r="T25" s="32">
        <f t="shared" si="11"/>
        <v>0.12825845999999999</v>
      </c>
      <c r="U25" s="32">
        <f t="shared" si="11"/>
        <v>0.12825845999999999</v>
      </c>
    </row>
    <row r="26" spans="1:21" ht="25.5" customHeight="1" thickBot="1">
      <c r="A26" s="90"/>
      <c r="B26" s="80"/>
      <c r="C26" s="31" t="s">
        <v>11</v>
      </c>
      <c r="D26" s="25" t="s">
        <v>3</v>
      </c>
      <c r="E26" s="36">
        <f>0.000136*(1+0.14/100+1.17/100)</f>
        <v>1.377816E-4</v>
      </c>
      <c r="F26" s="36">
        <f>E26</f>
        <v>1.377816E-4</v>
      </c>
      <c r="G26" s="36">
        <f t="shared" si="10"/>
        <v>1.377816E-4</v>
      </c>
      <c r="H26" s="36">
        <f t="shared" si="10"/>
        <v>1.377816E-4</v>
      </c>
      <c r="I26" s="36">
        <f t="shared" si="10"/>
        <v>1.377816E-4</v>
      </c>
      <c r="J26" s="36">
        <f t="shared" si="11"/>
        <v>1.377816E-4</v>
      </c>
      <c r="K26" s="36">
        <f t="shared" si="11"/>
        <v>1.377816E-4</v>
      </c>
      <c r="L26" s="36">
        <f t="shared" si="11"/>
        <v>1.377816E-4</v>
      </c>
      <c r="M26" s="36">
        <f t="shared" si="11"/>
        <v>1.377816E-4</v>
      </c>
      <c r="N26" s="36">
        <f t="shared" si="11"/>
        <v>1.377816E-4</v>
      </c>
      <c r="O26" s="36">
        <f t="shared" si="11"/>
        <v>1.377816E-4</v>
      </c>
      <c r="P26" s="36">
        <f t="shared" si="11"/>
        <v>1.377816E-4</v>
      </c>
      <c r="Q26" s="36">
        <f t="shared" si="11"/>
        <v>1.377816E-4</v>
      </c>
      <c r="R26" s="36">
        <f t="shared" si="11"/>
        <v>1.377816E-4</v>
      </c>
      <c r="S26" s="36">
        <f t="shared" si="11"/>
        <v>1.377816E-4</v>
      </c>
      <c r="T26" s="36">
        <f t="shared" si="11"/>
        <v>1.377816E-4</v>
      </c>
      <c r="U26" s="36">
        <f t="shared" si="11"/>
        <v>1.377816E-4</v>
      </c>
    </row>
    <row r="27" spans="1:21" ht="24.75" customHeight="1">
      <c r="A27" s="90"/>
      <c r="B27" s="81" t="s">
        <v>8</v>
      </c>
      <c r="C27" s="29" t="s">
        <v>15</v>
      </c>
      <c r="D27" s="24" t="s">
        <v>5</v>
      </c>
      <c r="E27" s="37">
        <f>-0.066663*(1+0.14/100+1.17/100)</f>
        <v>-6.7536285300000012E-2</v>
      </c>
      <c r="F27" s="37">
        <f>E27</f>
        <v>-6.7536285300000012E-2</v>
      </c>
      <c r="G27" s="37">
        <f t="shared" si="10"/>
        <v>-6.7536285300000012E-2</v>
      </c>
      <c r="H27" s="37">
        <f t="shared" si="10"/>
        <v>-6.7536285300000012E-2</v>
      </c>
      <c r="I27" s="37">
        <f t="shared" si="10"/>
        <v>-6.7536285300000012E-2</v>
      </c>
      <c r="J27" s="37">
        <f t="shared" si="11"/>
        <v>-6.7536285300000012E-2</v>
      </c>
      <c r="K27" s="37">
        <f t="shared" si="11"/>
        <v>-6.7536285300000012E-2</v>
      </c>
      <c r="L27" s="37">
        <f t="shared" si="11"/>
        <v>-6.7536285300000012E-2</v>
      </c>
      <c r="M27" s="37">
        <f t="shared" si="11"/>
        <v>-6.7536285300000012E-2</v>
      </c>
      <c r="N27" s="37">
        <f t="shared" si="11"/>
        <v>-6.7536285300000012E-2</v>
      </c>
      <c r="O27" s="37">
        <f t="shared" si="11"/>
        <v>-6.7536285300000012E-2</v>
      </c>
      <c r="P27" s="37">
        <f t="shared" si="11"/>
        <v>-6.7536285300000012E-2</v>
      </c>
      <c r="Q27" s="37">
        <f t="shared" si="11"/>
        <v>-6.7536285300000012E-2</v>
      </c>
      <c r="R27" s="37">
        <f t="shared" si="11"/>
        <v>-6.7536285300000012E-2</v>
      </c>
      <c r="S27" s="37">
        <f t="shared" si="11"/>
        <v>-6.7536285300000012E-2</v>
      </c>
      <c r="T27" s="37">
        <f t="shared" si="11"/>
        <v>-6.7536285300000012E-2</v>
      </c>
      <c r="U27" s="37">
        <f t="shared" si="11"/>
        <v>-6.7536285300000012E-2</v>
      </c>
    </row>
    <row r="28" spans="1:21" ht="22.5" customHeight="1">
      <c r="A28" s="90"/>
      <c r="B28" s="82"/>
      <c r="C28" s="30" t="s">
        <v>16</v>
      </c>
      <c r="D28" s="27" t="s">
        <v>5</v>
      </c>
      <c r="E28" s="32">
        <f>0.120583*(1+0.14/100+1.17/100)+0.00627*(1+0.14/100)</f>
        <v>0.12844141530000003</v>
      </c>
      <c r="F28" s="32">
        <f>E28</f>
        <v>0.12844141530000003</v>
      </c>
      <c r="G28" s="32">
        <f t="shared" si="10"/>
        <v>0.12844141530000003</v>
      </c>
      <c r="H28" s="32">
        <f t="shared" si="10"/>
        <v>0.12844141530000003</v>
      </c>
      <c r="I28" s="32">
        <f t="shared" si="10"/>
        <v>0.12844141530000003</v>
      </c>
      <c r="J28" s="32">
        <f t="shared" si="11"/>
        <v>0.12844141530000003</v>
      </c>
      <c r="K28" s="32">
        <f t="shared" si="11"/>
        <v>0.12844141530000003</v>
      </c>
      <c r="L28" s="32">
        <f t="shared" si="11"/>
        <v>0.12844141530000003</v>
      </c>
      <c r="M28" s="32">
        <f t="shared" si="11"/>
        <v>0.12844141530000003</v>
      </c>
      <c r="N28" s="32">
        <f t="shared" si="11"/>
        <v>0.12844141530000003</v>
      </c>
      <c r="O28" s="32">
        <f t="shared" si="11"/>
        <v>0.12844141530000003</v>
      </c>
      <c r="P28" s="32">
        <f t="shared" si="11"/>
        <v>0.12844141530000003</v>
      </c>
      <c r="Q28" s="32">
        <f t="shared" si="11"/>
        <v>0.12844141530000003</v>
      </c>
      <c r="R28" s="32">
        <f t="shared" si="11"/>
        <v>0.12844141530000003</v>
      </c>
      <c r="S28" s="32">
        <f t="shared" si="11"/>
        <v>0.12844141530000003</v>
      </c>
      <c r="T28" s="32">
        <f t="shared" si="11"/>
        <v>0.12844141530000003</v>
      </c>
      <c r="U28" s="32">
        <f t="shared" si="11"/>
        <v>0.12844141530000003</v>
      </c>
    </row>
    <row r="29" spans="1:21" ht="24.75" customHeight="1" thickBot="1">
      <c r="A29" s="90"/>
      <c r="B29" s="83"/>
      <c r="C29" s="31" t="s">
        <v>17</v>
      </c>
      <c r="D29" s="25" t="s">
        <v>3</v>
      </c>
      <c r="E29" s="54">
        <f>0.000084*(1+0.14/100+1.17/100)</f>
        <v>8.5100400000000009E-5</v>
      </c>
      <c r="F29" s="54">
        <f>E29</f>
        <v>8.5100400000000009E-5</v>
      </c>
      <c r="G29" s="54">
        <f t="shared" si="10"/>
        <v>8.5100400000000009E-5</v>
      </c>
      <c r="H29" s="54">
        <f t="shared" si="10"/>
        <v>8.5100400000000009E-5</v>
      </c>
      <c r="I29" s="54">
        <f t="shared" si="10"/>
        <v>8.5100400000000009E-5</v>
      </c>
      <c r="J29" s="54">
        <f t="shared" si="11"/>
        <v>8.5100400000000009E-5</v>
      </c>
      <c r="K29" s="54">
        <f t="shared" si="11"/>
        <v>8.5100400000000009E-5</v>
      </c>
      <c r="L29" s="54">
        <f t="shared" si="11"/>
        <v>8.5100400000000009E-5</v>
      </c>
      <c r="M29" s="54">
        <f t="shared" si="11"/>
        <v>8.5100400000000009E-5</v>
      </c>
      <c r="N29" s="54">
        <f t="shared" si="11"/>
        <v>8.5100400000000009E-5</v>
      </c>
      <c r="O29" s="54">
        <f t="shared" si="11"/>
        <v>8.5100400000000009E-5</v>
      </c>
      <c r="P29" s="54">
        <f t="shared" si="11"/>
        <v>8.5100400000000009E-5</v>
      </c>
      <c r="Q29" s="54">
        <f t="shared" si="11"/>
        <v>8.5100400000000009E-5</v>
      </c>
      <c r="R29" s="54">
        <f t="shared" si="11"/>
        <v>8.5100400000000009E-5</v>
      </c>
      <c r="S29" s="54">
        <f t="shared" si="11"/>
        <v>8.5100400000000009E-5</v>
      </c>
      <c r="T29" s="54">
        <f t="shared" si="11"/>
        <v>8.5100400000000009E-5</v>
      </c>
      <c r="U29" s="54">
        <f t="shared" si="11"/>
        <v>8.5100400000000009E-5</v>
      </c>
    </row>
    <row r="30" spans="1:21" ht="18" customHeight="1">
      <c r="A30" s="90"/>
      <c r="B30" s="81" t="s">
        <v>7</v>
      </c>
      <c r="C30" s="51" t="s">
        <v>82</v>
      </c>
      <c r="D30" s="19" t="s">
        <v>2</v>
      </c>
      <c r="E30" s="28">
        <v>20</v>
      </c>
      <c r="F30" s="28">
        <f t="shared" ref="F30:H33" si="12">E30</f>
        <v>20</v>
      </c>
      <c r="G30" s="28">
        <f t="shared" si="12"/>
        <v>20</v>
      </c>
      <c r="H30" s="28">
        <f t="shared" si="12"/>
        <v>20</v>
      </c>
      <c r="I30" s="28">
        <f t="shared" si="10"/>
        <v>20</v>
      </c>
      <c r="J30" s="28">
        <f t="shared" si="11"/>
        <v>20</v>
      </c>
      <c r="K30" s="28">
        <f t="shared" si="11"/>
        <v>20</v>
      </c>
      <c r="L30" s="28">
        <f t="shared" si="11"/>
        <v>20</v>
      </c>
      <c r="M30" s="28">
        <f t="shared" si="11"/>
        <v>20</v>
      </c>
      <c r="N30" s="28">
        <f t="shared" si="11"/>
        <v>20</v>
      </c>
      <c r="O30" s="28">
        <f t="shared" si="11"/>
        <v>20</v>
      </c>
      <c r="P30" s="28">
        <f t="shared" si="11"/>
        <v>20</v>
      </c>
      <c r="Q30" s="28">
        <f t="shared" si="11"/>
        <v>20</v>
      </c>
      <c r="R30" s="28">
        <f t="shared" si="11"/>
        <v>20</v>
      </c>
      <c r="S30" s="28">
        <f t="shared" si="11"/>
        <v>20</v>
      </c>
      <c r="T30" s="28">
        <f t="shared" si="11"/>
        <v>20</v>
      </c>
      <c r="U30" s="28">
        <f t="shared" si="11"/>
        <v>20</v>
      </c>
    </row>
    <row r="31" spans="1:21" ht="19.5">
      <c r="A31" s="90"/>
      <c r="B31" s="82"/>
      <c r="C31" s="52" t="s">
        <v>85</v>
      </c>
      <c r="D31" s="21" t="s">
        <v>5</v>
      </c>
      <c r="E31" s="40">
        <f>0.002661*(1+0.14/100+1.17/100)</f>
        <v>2.6958591000000006E-3</v>
      </c>
      <c r="F31" s="40">
        <f>E31</f>
        <v>2.6958591000000006E-3</v>
      </c>
      <c r="G31" s="40">
        <f t="shared" si="12"/>
        <v>2.6958591000000006E-3</v>
      </c>
      <c r="H31" s="40">
        <f t="shared" si="12"/>
        <v>2.6958591000000006E-3</v>
      </c>
      <c r="I31" s="40">
        <f t="shared" si="10"/>
        <v>2.6958591000000006E-3</v>
      </c>
      <c r="J31" s="40">
        <f t="shared" si="11"/>
        <v>2.6958591000000006E-3</v>
      </c>
      <c r="K31" s="40">
        <f t="shared" si="11"/>
        <v>2.6958591000000006E-3</v>
      </c>
      <c r="L31" s="40">
        <f t="shared" si="11"/>
        <v>2.6958591000000006E-3</v>
      </c>
      <c r="M31" s="40">
        <f t="shared" si="11"/>
        <v>2.6958591000000006E-3</v>
      </c>
      <c r="N31" s="40">
        <f t="shared" si="11"/>
        <v>2.6958591000000006E-3</v>
      </c>
      <c r="O31" s="40">
        <f t="shared" si="11"/>
        <v>2.6958591000000006E-3</v>
      </c>
      <c r="P31" s="40">
        <f t="shared" si="11"/>
        <v>2.6958591000000006E-3</v>
      </c>
      <c r="Q31" s="40">
        <f t="shared" si="11"/>
        <v>2.6958591000000006E-3</v>
      </c>
      <c r="R31" s="40">
        <f t="shared" si="11"/>
        <v>2.6958591000000006E-3</v>
      </c>
      <c r="S31" s="40">
        <f t="shared" si="11"/>
        <v>2.6958591000000006E-3</v>
      </c>
      <c r="T31" s="40">
        <f t="shared" si="11"/>
        <v>2.6958591000000006E-3</v>
      </c>
      <c r="U31" s="40">
        <f t="shared" si="11"/>
        <v>2.6958591000000006E-3</v>
      </c>
    </row>
    <row r="32" spans="1:21" ht="18.75">
      <c r="A32" s="90"/>
      <c r="B32" s="82"/>
      <c r="C32" s="63" t="e">
        <f>#REF!</f>
        <v>#REF!</v>
      </c>
      <c r="D32" s="21" t="s">
        <v>4</v>
      </c>
      <c r="E32" s="40">
        <f>0.155486*(1+0.14/100+1.17/100)</f>
        <v>0.15752286660000003</v>
      </c>
      <c r="F32" s="40">
        <f>E32</f>
        <v>0.15752286660000003</v>
      </c>
      <c r="G32" s="40">
        <f t="shared" si="12"/>
        <v>0.15752286660000003</v>
      </c>
      <c r="H32" s="40">
        <f t="shared" si="12"/>
        <v>0.15752286660000003</v>
      </c>
      <c r="I32" s="40">
        <f t="shared" si="10"/>
        <v>0.15752286660000003</v>
      </c>
      <c r="J32" s="40">
        <f t="shared" si="11"/>
        <v>0.15752286660000003</v>
      </c>
      <c r="K32" s="40">
        <f t="shared" si="11"/>
        <v>0.15752286660000003</v>
      </c>
      <c r="L32" s="40">
        <f t="shared" si="11"/>
        <v>0.15752286660000003</v>
      </c>
      <c r="M32" s="40">
        <f t="shared" si="11"/>
        <v>0.15752286660000003</v>
      </c>
      <c r="N32" s="40">
        <f t="shared" si="11"/>
        <v>0.15752286660000003</v>
      </c>
      <c r="O32" s="40">
        <f t="shared" si="11"/>
        <v>0.15752286660000003</v>
      </c>
      <c r="P32" s="40">
        <f t="shared" si="11"/>
        <v>0.15752286660000003</v>
      </c>
      <c r="Q32" s="40">
        <f t="shared" si="11"/>
        <v>0.15752286660000003</v>
      </c>
      <c r="R32" s="40">
        <f t="shared" si="11"/>
        <v>0.15752286660000003</v>
      </c>
      <c r="S32" s="40">
        <f t="shared" si="11"/>
        <v>0.15752286660000003</v>
      </c>
      <c r="T32" s="40">
        <f t="shared" si="11"/>
        <v>0.15752286660000003</v>
      </c>
      <c r="U32" s="40">
        <f t="shared" si="11"/>
        <v>0.15752286660000003</v>
      </c>
    </row>
    <row r="33" spans="1:21" ht="20.25" thickBot="1">
      <c r="A33" s="90"/>
      <c r="B33" s="82"/>
      <c r="C33" s="52" t="s">
        <v>87</v>
      </c>
      <c r="D33" s="21" t="s">
        <v>14</v>
      </c>
      <c r="E33" s="40">
        <f>0.122547*(1+0.14/100+1.17/100)</f>
        <v>0.12415236570000002</v>
      </c>
      <c r="F33" s="40">
        <f>E33</f>
        <v>0.12415236570000002</v>
      </c>
      <c r="G33" s="40">
        <f t="shared" si="12"/>
        <v>0.12415236570000002</v>
      </c>
      <c r="H33" s="40">
        <f t="shared" si="12"/>
        <v>0.12415236570000002</v>
      </c>
      <c r="I33" s="40">
        <f t="shared" si="10"/>
        <v>0.12415236570000002</v>
      </c>
      <c r="J33" s="40">
        <f t="shared" si="11"/>
        <v>0.12415236570000002</v>
      </c>
      <c r="K33" s="40">
        <f t="shared" si="11"/>
        <v>0.12415236570000002</v>
      </c>
      <c r="L33" s="40">
        <f t="shared" si="11"/>
        <v>0.12415236570000002</v>
      </c>
      <c r="M33" s="40">
        <f t="shared" si="11"/>
        <v>0.12415236570000002</v>
      </c>
      <c r="N33" s="40">
        <f t="shared" si="11"/>
        <v>0.12415236570000002</v>
      </c>
      <c r="O33" s="40">
        <f t="shared" si="11"/>
        <v>0.12415236570000002</v>
      </c>
      <c r="P33" s="40">
        <f t="shared" si="11"/>
        <v>0.12415236570000002</v>
      </c>
      <c r="Q33" s="40">
        <f t="shared" si="11"/>
        <v>0.12415236570000002</v>
      </c>
      <c r="R33" s="40">
        <f t="shared" si="11"/>
        <v>0.12415236570000002</v>
      </c>
      <c r="S33" s="40">
        <f t="shared" si="11"/>
        <v>0.12415236570000002</v>
      </c>
      <c r="T33" s="40">
        <f t="shared" si="11"/>
        <v>0.12415236570000002</v>
      </c>
      <c r="U33" s="40">
        <f t="shared" si="11"/>
        <v>0.12415236570000002</v>
      </c>
    </row>
    <row r="34" spans="1:21" ht="20.25" thickBot="1">
      <c r="A34" s="90"/>
      <c r="B34" s="83"/>
      <c r="C34" s="53" t="s">
        <v>88</v>
      </c>
      <c r="D34" s="13" t="s">
        <v>3</v>
      </c>
      <c r="E34" s="38">
        <f t="shared" ref="E34:H34" si="13">E30/365*(E31+0.3*(E32/365+E33/365))</f>
        <v>1.604039994280353E-4</v>
      </c>
      <c r="F34" s="38">
        <f t="shared" si="13"/>
        <v>1.604039994280353E-4</v>
      </c>
      <c r="G34" s="38">
        <f t="shared" si="13"/>
        <v>1.604039994280353E-4</v>
      </c>
      <c r="H34" s="38">
        <f t="shared" si="13"/>
        <v>1.604039994280353E-4</v>
      </c>
      <c r="I34" s="38">
        <f t="shared" si="10"/>
        <v>1.604039994280353E-4</v>
      </c>
      <c r="J34" s="38">
        <f t="shared" si="11"/>
        <v>1.604039994280353E-4</v>
      </c>
      <c r="K34" s="38">
        <f t="shared" si="11"/>
        <v>1.604039994280353E-4</v>
      </c>
      <c r="L34" s="38">
        <f t="shared" si="11"/>
        <v>1.604039994280353E-4</v>
      </c>
      <c r="M34" s="38">
        <f t="shared" si="11"/>
        <v>1.604039994280353E-4</v>
      </c>
      <c r="N34" s="38">
        <f t="shared" si="11"/>
        <v>1.604039994280353E-4</v>
      </c>
      <c r="O34" s="38">
        <f t="shared" si="11"/>
        <v>1.604039994280353E-4</v>
      </c>
      <c r="P34" s="38">
        <f t="shared" si="11"/>
        <v>1.604039994280353E-4</v>
      </c>
      <c r="Q34" s="38">
        <f t="shared" si="11"/>
        <v>1.604039994280353E-4</v>
      </c>
      <c r="R34" s="38">
        <f t="shared" si="11"/>
        <v>1.604039994280353E-4</v>
      </c>
      <c r="S34" s="38">
        <f t="shared" si="11"/>
        <v>1.604039994280353E-4</v>
      </c>
      <c r="T34" s="38">
        <f t="shared" si="11"/>
        <v>1.604039994280353E-4</v>
      </c>
      <c r="U34" s="38">
        <f t="shared" si="11"/>
        <v>1.604039994280353E-4</v>
      </c>
    </row>
    <row r="35" spans="1:21" ht="39" customHeight="1" thickBot="1">
      <c r="A35" s="90"/>
      <c r="B35" s="11" t="s">
        <v>83</v>
      </c>
      <c r="C35" s="22" t="s">
        <v>25</v>
      </c>
      <c r="D35" s="27" t="s">
        <v>20</v>
      </c>
      <c r="E35" s="14">
        <f>1000*((E25+E27+E28)/248+E26+E29+E34)</f>
        <v>1.1460424107183578</v>
      </c>
      <c r="F35" s="14">
        <f t="shared" ref="F35:U35" si="14">1000*((F25+F27+F28)/248+F26+F29+F34)</f>
        <v>1.1460424107183578</v>
      </c>
      <c r="G35" s="14">
        <f t="shared" si="14"/>
        <v>1.1460424107183578</v>
      </c>
      <c r="H35" s="14">
        <f t="shared" si="14"/>
        <v>1.1460424107183578</v>
      </c>
      <c r="I35" s="14">
        <f t="shared" si="14"/>
        <v>1.1460424107183578</v>
      </c>
      <c r="J35" s="14">
        <f t="shared" si="14"/>
        <v>1.1460424107183578</v>
      </c>
      <c r="K35" s="14">
        <f t="shared" si="14"/>
        <v>1.1460424107183578</v>
      </c>
      <c r="L35" s="14">
        <f t="shared" si="14"/>
        <v>1.1460424107183578</v>
      </c>
      <c r="M35" s="14">
        <f t="shared" si="14"/>
        <v>1.1460424107183578</v>
      </c>
      <c r="N35" s="14">
        <f t="shared" si="14"/>
        <v>1.1460424107183578</v>
      </c>
      <c r="O35" s="14">
        <f t="shared" si="14"/>
        <v>1.1460424107183578</v>
      </c>
      <c r="P35" s="14">
        <f t="shared" si="14"/>
        <v>1.1460424107183578</v>
      </c>
      <c r="Q35" s="14">
        <f t="shared" si="14"/>
        <v>1.1460424107183578</v>
      </c>
      <c r="R35" s="14">
        <f t="shared" si="14"/>
        <v>1.1460424107183578</v>
      </c>
      <c r="S35" s="14">
        <f t="shared" si="14"/>
        <v>1.1460424107183578</v>
      </c>
      <c r="T35" s="14">
        <f t="shared" si="14"/>
        <v>1.1460424107183578</v>
      </c>
      <c r="U35" s="14">
        <f t="shared" si="14"/>
        <v>1.1460424107183578</v>
      </c>
    </row>
    <row r="36" spans="1:21" ht="18.75">
      <c r="A36" s="90"/>
      <c r="B36" s="84" t="s">
        <v>81</v>
      </c>
      <c r="C36" s="22" t="s">
        <v>72</v>
      </c>
      <c r="D36" s="24" t="s">
        <v>1</v>
      </c>
      <c r="E36" s="39">
        <v>0.25</v>
      </c>
      <c r="F36" s="39">
        <v>0.25</v>
      </c>
      <c r="G36" s="39">
        <v>0.25</v>
      </c>
      <c r="H36" s="39">
        <v>0.25</v>
      </c>
      <c r="I36" s="39">
        <v>0.25</v>
      </c>
      <c r="J36" s="39">
        <v>0.25</v>
      </c>
      <c r="K36" s="39">
        <v>0.25</v>
      </c>
      <c r="L36" s="39">
        <v>0.25</v>
      </c>
      <c r="M36" s="39">
        <v>0.25</v>
      </c>
      <c r="N36" s="39">
        <v>0.25</v>
      </c>
      <c r="O36" s="39">
        <v>0.25</v>
      </c>
      <c r="P36" s="39">
        <v>0.25</v>
      </c>
      <c r="Q36" s="39">
        <v>0.25</v>
      </c>
      <c r="R36" s="39">
        <v>0.25</v>
      </c>
      <c r="S36" s="39">
        <v>0.25</v>
      </c>
      <c r="T36" s="39">
        <v>0.25</v>
      </c>
      <c r="U36" s="39">
        <v>0.25</v>
      </c>
    </row>
    <row r="37" spans="1:21" ht="20.25">
      <c r="A37" s="90"/>
      <c r="B37" s="85"/>
      <c r="C37" s="26" t="s">
        <v>71</v>
      </c>
      <c r="D37" s="27" t="s">
        <v>20</v>
      </c>
      <c r="E37" s="46">
        <v>51.302</v>
      </c>
      <c r="F37" s="46">
        <v>51.302</v>
      </c>
      <c r="G37" s="46">
        <v>41</v>
      </c>
      <c r="H37" s="46">
        <v>41</v>
      </c>
      <c r="I37" s="46" t="e">
        <f>#REF!</f>
        <v>#REF!</v>
      </c>
      <c r="J37" s="46" t="e">
        <f>I37</f>
        <v>#REF!</v>
      </c>
      <c r="K37" s="46" t="e">
        <f t="shared" ref="K37:L37" si="15">J37</f>
        <v>#REF!</v>
      </c>
      <c r="L37" s="46" t="e">
        <f t="shared" si="15"/>
        <v>#REF!</v>
      </c>
      <c r="M37" s="46" t="e">
        <f>#REF!</f>
        <v>#REF!</v>
      </c>
      <c r="N37" s="46" t="e">
        <f>#REF!</f>
        <v>#REF!</v>
      </c>
      <c r="O37" s="46" t="e">
        <f>#REF!</f>
        <v>#REF!</v>
      </c>
      <c r="P37" s="46" t="e">
        <f>#REF!</f>
        <v>#REF!</v>
      </c>
      <c r="Q37" s="46" t="e">
        <f>#REF!</f>
        <v>#REF!</v>
      </c>
      <c r="R37" s="46" t="e">
        <f>#REF!</f>
        <v>#REF!</v>
      </c>
      <c r="S37" s="46" t="e">
        <f>#REF!</f>
        <v>#REF!</v>
      </c>
      <c r="T37" s="46" t="e">
        <f>#REF!</f>
        <v>#REF!</v>
      </c>
      <c r="U37" s="46" t="e">
        <f>#REF!</f>
        <v>#REF!</v>
      </c>
    </row>
    <row r="38" spans="1:21" ht="18.75">
      <c r="A38" s="90"/>
      <c r="B38" s="85"/>
      <c r="C38" s="26" t="s">
        <v>73</v>
      </c>
      <c r="D38" s="27"/>
      <c r="E38" s="32">
        <v>0.3</v>
      </c>
      <c r="F38" s="32">
        <v>0.3</v>
      </c>
      <c r="G38" s="32">
        <v>0.3</v>
      </c>
      <c r="H38" s="32">
        <v>0.3</v>
      </c>
      <c r="I38" s="32">
        <v>0.3</v>
      </c>
      <c r="J38" s="32">
        <v>0.3</v>
      </c>
      <c r="K38" s="32">
        <v>0.3</v>
      </c>
      <c r="L38" s="32">
        <v>0.3</v>
      </c>
      <c r="M38" s="32">
        <v>0.3</v>
      </c>
      <c r="N38" s="32">
        <v>0.3</v>
      </c>
      <c r="O38" s="32">
        <v>0.3</v>
      </c>
      <c r="P38" s="32">
        <v>0.3</v>
      </c>
      <c r="Q38" s="32">
        <v>0.3</v>
      </c>
      <c r="R38" s="32">
        <v>0.3</v>
      </c>
      <c r="S38" s="32">
        <v>0.3</v>
      </c>
      <c r="T38" s="32">
        <v>0.3</v>
      </c>
      <c r="U38" s="32">
        <v>0.3</v>
      </c>
    </row>
    <row r="39" spans="1:21" ht="20.25">
      <c r="A39" s="90"/>
      <c r="B39" s="85"/>
      <c r="C39" s="26" t="s">
        <v>74</v>
      </c>
      <c r="D39" s="27" t="s">
        <v>20</v>
      </c>
      <c r="E39" s="46">
        <v>51.302</v>
      </c>
      <c r="F39" s="46">
        <v>51.302</v>
      </c>
      <c r="G39" s="46">
        <v>41</v>
      </c>
      <c r="H39" s="46">
        <v>41</v>
      </c>
      <c r="I39" s="46" t="e">
        <f>I37</f>
        <v>#REF!</v>
      </c>
      <c r="J39" s="46" t="e">
        <f t="shared" ref="J39:U39" si="16">J37</f>
        <v>#REF!</v>
      </c>
      <c r="K39" s="46" t="e">
        <f t="shared" si="16"/>
        <v>#REF!</v>
      </c>
      <c r="L39" s="46" t="e">
        <f t="shared" si="16"/>
        <v>#REF!</v>
      </c>
      <c r="M39" s="46" t="e">
        <f t="shared" si="16"/>
        <v>#REF!</v>
      </c>
      <c r="N39" s="46" t="e">
        <f t="shared" si="16"/>
        <v>#REF!</v>
      </c>
      <c r="O39" s="46" t="e">
        <f t="shared" si="16"/>
        <v>#REF!</v>
      </c>
      <c r="P39" s="46" t="e">
        <f t="shared" si="16"/>
        <v>#REF!</v>
      </c>
      <c r="Q39" s="46" t="e">
        <f t="shared" si="16"/>
        <v>#REF!</v>
      </c>
      <c r="R39" s="46" t="e">
        <f t="shared" si="16"/>
        <v>#REF!</v>
      </c>
      <c r="S39" s="46" t="e">
        <f t="shared" si="16"/>
        <v>#REF!</v>
      </c>
      <c r="T39" s="46" t="e">
        <f t="shared" si="16"/>
        <v>#REF!</v>
      </c>
      <c r="U39" s="46" t="e">
        <f t="shared" si="16"/>
        <v>#REF!</v>
      </c>
    </row>
    <row r="40" spans="1:21" ht="20.25">
      <c r="A40" s="90"/>
      <c r="B40" s="85"/>
      <c r="C40" s="20" t="s">
        <v>75</v>
      </c>
      <c r="D40" s="27"/>
      <c r="E40" s="32">
        <v>0.15</v>
      </c>
      <c r="F40" s="32">
        <v>0.15</v>
      </c>
      <c r="G40" s="32">
        <v>0.15</v>
      </c>
      <c r="H40" s="32">
        <v>0.15</v>
      </c>
      <c r="I40" s="32">
        <v>0.15</v>
      </c>
      <c r="J40" s="32">
        <v>0.15</v>
      </c>
      <c r="K40" s="32">
        <v>0.15</v>
      </c>
      <c r="L40" s="32">
        <v>0.15</v>
      </c>
      <c r="M40" s="32">
        <v>0.15</v>
      </c>
      <c r="N40" s="32">
        <v>0.15</v>
      </c>
      <c r="O40" s="32">
        <v>0.15</v>
      </c>
      <c r="P40" s="32">
        <v>0.15</v>
      </c>
      <c r="Q40" s="32">
        <v>0.15</v>
      </c>
      <c r="R40" s="32">
        <v>0.15</v>
      </c>
      <c r="S40" s="32">
        <v>0.15</v>
      </c>
      <c r="T40" s="32">
        <v>0.15</v>
      </c>
      <c r="U40" s="32">
        <v>0.15</v>
      </c>
    </row>
    <row r="41" spans="1:21" ht="20.25">
      <c r="A41" s="90"/>
      <c r="B41" s="85"/>
      <c r="C41" s="20" t="s">
        <v>76</v>
      </c>
      <c r="D41" s="27"/>
      <c r="E41" s="32">
        <v>0.15</v>
      </c>
      <c r="F41" s="32">
        <v>0.15</v>
      </c>
      <c r="G41" s="32">
        <v>0.15</v>
      </c>
      <c r="H41" s="32">
        <v>0.15</v>
      </c>
      <c r="I41" s="32">
        <v>0.15</v>
      </c>
      <c r="J41" s="32">
        <v>0.15</v>
      </c>
      <c r="K41" s="32">
        <v>0.15</v>
      </c>
      <c r="L41" s="32">
        <v>0.15</v>
      </c>
      <c r="M41" s="32">
        <v>0.15</v>
      </c>
      <c r="N41" s="32">
        <v>0.15</v>
      </c>
      <c r="O41" s="32">
        <v>0.15</v>
      </c>
      <c r="P41" s="32">
        <v>0.15</v>
      </c>
      <c r="Q41" s="32">
        <v>0.15</v>
      </c>
      <c r="R41" s="32">
        <v>0.15</v>
      </c>
      <c r="S41" s="32">
        <v>0.15</v>
      </c>
      <c r="T41" s="32">
        <v>0.15</v>
      </c>
      <c r="U41" s="32">
        <v>0.15</v>
      </c>
    </row>
    <row r="42" spans="1:21" ht="20.25">
      <c r="A42" s="90"/>
      <c r="B42" s="85"/>
      <c r="C42" s="20" t="s">
        <v>77</v>
      </c>
      <c r="D42" s="27"/>
      <c r="E42" s="32">
        <v>0.15</v>
      </c>
      <c r="F42" s="32">
        <v>0.15</v>
      </c>
      <c r="G42" s="32">
        <v>0.15</v>
      </c>
      <c r="H42" s="32">
        <v>0.15</v>
      </c>
      <c r="I42" s="32">
        <v>0.15</v>
      </c>
      <c r="J42" s="32">
        <v>0.15</v>
      </c>
      <c r="K42" s="32">
        <v>0.15</v>
      </c>
      <c r="L42" s="32">
        <v>0.15</v>
      </c>
      <c r="M42" s="32">
        <v>0.15</v>
      </c>
      <c r="N42" s="32">
        <v>0.15</v>
      </c>
      <c r="O42" s="32">
        <v>0.15</v>
      </c>
      <c r="P42" s="32">
        <v>0.15</v>
      </c>
      <c r="Q42" s="32">
        <v>0.15</v>
      </c>
      <c r="R42" s="32">
        <v>0.15</v>
      </c>
      <c r="S42" s="32">
        <v>0.15</v>
      </c>
      <c r="T42" s="32">
        <v>0.15</v>
      </c>
      <c r="U42" s="32">
        <v>0.15</v>
      </c>
    </row>
    <row r="43" spans="1:21" ht="20.25">
      <c r="A43" s="90"/>
      <c r="B43" s="85"/>
      <c r="C43" s="26" t="s">
        <v>78</v>
      </c>
      <c r="D43" s="27" t="s">
        <v>20</v>
      </c>
      <c r="E43" s="46">
        <v>51.302</v>
      </c>
      <c r="F43" s="46">
        <v>51.302</v>
      </c>
      <c r="G43" s="46">
        <v>41</v>
      </c>
      <c r="H43" s="46">
        <v>41</v>
      </c>
      <c r="I43" s="46" t="e">
        <f>I37</f>
        <v>#REF!</v>
      </c>
      <c r="J43" s="46" t="e">
        <f t="shared" ref="J43:U43" si="17">J37</f>
        <v>#REF!</v>
      </c>
      <c r="K43" s="46" t="e">
        <f t="shared" si="17"/>
        <v>#REF!</v>
      </c>
      <c r="L43" s="46" t="e">
        <f t="shared" si="17"/>
        <v>#REF!</v>
      </c>
      <c r="M43" s="46" t="e">
        <f t="shared" si="17"/>
        <v>#REF!</v>
      </c>
      <c r="N43" s="46" t="e">
        <f t="shared" si="17"/>
        <v>#REF!</v>
      </c>
      <c r="O43" s="46" t="e">
        <f t="shared" si="17"/>
        <v>#REF!</v>
      </c>
      <c r="P43" s="46" t="e">
        <f t="shared" si="17"/>
        <v>#REF!</v>
      </c>
      <c r="Q43" s="46" t="e">
        <f t="shared" si="17"/>
        <v>#REF!</v>
      </c>
      <c r="R43" s="46" t="e">
        <f t="shared" si="17"/>
        <v>#REF!</v>
      </c>
      <c r="S43" s="46" t="e">
        <f t="shared" si="17"/>
        <v>#REF!</v>
      </c>
      <c r="T43" s="46" t="e">
        <f t="shared" si="17"/>
        <v>#REF!</v>
      </c>
      <c r="U43" s="46" t="e">
        <f t="shared" si="17"/>
        <v>#REF!</v>
      </c>
    </row>
    <row r="44" spans="1:21" ht="20.25">
      <c r="A44" s="90"/>
      <c r="B44" s="85"/>
      <c r="C44" s="26" t="s">
        <v>79</v>
      </c>
      <c r="D44" s="27" t="s">
        <v>20</v>
      </c>
      <c r="E44" s="46">
        <v>51.302</v>
      </c>
      <c r="F44" s="46">
        <v>51.302</v>
      </c>
      <c r="G44" s="46">
        <v>41</v>
      </c>
      <c r="H44" s="46">
        <v>41</v>
      </c>
      <c r="I44" s="46" t="e">
        <f>I37</f>
        <v>#REF!</v>
      </c>
      <c r="J44" s="46" t="e">
        <f t="shared" ref="J44:U44" si="18">J37</f>
        <v>#REF!</v>
      </c>
      <c r="K44" s="46" t="e">
        <f t="shared" si="18"/>
        <v>#REF!</v>
      </c>
      <c r="L44" s="46" t="e">
        <f t="shared" si="18"/>
        <v>#REF!</v>
      </c>
      <c r="M44" s="46" t="e">
        <f t="shared" si="18"/>
        <v>#REF!</v>
      </c>
      <c r="N44" s="46" t="e">
        <f t="shared" si="18"/>
        <v>#REF!</v>
      </c>
      <c r="O44" s="46" t="e">
        <f t="shared" si="18"/>
        <v>#REF!</v>
      </c>
      <c r="P44" s="46" t="e">
        <f t="shared" si="18"/>
        <v>#REF!</v>
      </c>
      <c r="Q44" s="46" t="e">
        <f t="shared" si="18"/>
        <v>#REF!</v>
      </c>
      <c r="R44" s="46" t="e">
        <f t="shared" si="18"/>
        <v>#REF!</v>
      </c>
      <c r="S44" s="46" t="e">
        <f t="shared" si="18"/>
        <v>#REF!</v>
      </c>
      <c r="T44" s="46" t="e">
        <f t="shared" si="18"/>
        <v>#REF!</v>
      </c>
      <c r="U44" s="46" t="e">
        <f t="shared" si="18"/>
        <v>#REF!</v>
      </c>
    </row>
    <row r="45" spans="1:21" ht="21" thickBot="1">
      <c r="A45" s="90"/>
      <c r="B45" s="85"/>
      <c r="C45" s="26" t="s">
        <v>80</v>
      </c>
      <c r="D45" s="27" t="s">
        <v>20</v>
      </c>
      <c r="E45" s="46">
        <v>51.302</v>
      </c>
      <c r="F45" s="46">
        <v>51.302</v>
      </c>
      <c r="G45" s="46">
        <v>41</v>
      </c>
      <c r="H45" s="46">
        <v>41</v>
      </c>
      <c r="I45" s="46" t="e">
        <f>I37</f>
        <v>#REF!</v>
      </c>
      <c r="J45" s="46" t="e">
        <f t="shared" ref="J45:U45" si="19">J37</f>
        <v>#REF!</v>
      </c>
      <c r="K45" s="46" t="e">
        <f t="shared" si="19"/>
        <v>#REF!</v>
      </c>
      <c r="L45" s="46" t="e">
        <f t="shared" si="19"/>
        <v>#REF!</v>
      </c>
      <c r="M45" s="46" t="e">
        <f t="shared" si="19"/>
        <v>#REF!</v>
      </c>
      <c r="N45" s="46" t="e">
        <f t="shared" si="19"/>
        <v>#REF!</v>
      </c>
      <c r="O45" s="46" t="e">
        <f t="shared" si="19"/>
        <v>#REF!</v>
      </c>
      <c r="P45" s="46" t="e">
        <f t="shared" si="19"/>
        <v>#REF!</v>
      </c>
      <c r="Q45" s="46" t="e">
        <f t="shared" si="19"/>
        <v>#REF!</v>
      </c>
      <c r="R45" s="46" t="e">
        <f t="shared" si="19"/>
        <v>#REF!</v>
      </c>
      <c r="S45" s="46" t="e">
        <f t="shared" si="19"/>
        <v>#REF!</v>
      </c>
      <c r="T45" s="46" t="e">
        <f t="shared" si="19"/>
        <v>#REF!</v>
      </c>
      <c r="U45" s="46" t="e">
        <f t="shared" si="19"/>
        <v>#REF!</v>
      </c>
    </row>
    <row r="46" spans="1:21" ht="21" thickBot="1">
      <c r="A46" s="91"/>
      <c r="B46" s="86"/>
      <c r="C46" s="12" t="s">
        <v>21</v>
      </c>
      <c r="D46" s="13" t="s">
        <v>20</v>
      </c>
      <c r="E46" s="14">
        <f>E36*E37+SUMPRODUCT(E39:E39,E38:E38)+SUMPRODUCT(E40:E42,E43:E45)</f>
        <v>51.301999999999992</v>
      </c>
      <c r="F46" s="14">
        <f t="shared" ref="F46:U46" si="20">F36*F37+SUMPRODUCT(F39:F39,F38:F38)+SUMPRODUCT(F40:F42,F43:F45)</f>
        <v>51.301999999999992</v>
      </c>
      <c r="G46" s="14">
        <f t="shared" si="20"/>
        <v>41</v>
      </c>
      <c r="H46" s="14">
        <f t="shared" si="20"/>
        <v>41</v>
      </c>
      <c r="I46" s="14" t="e">
        <f t="shared" si="20"/>
        <v>#REF!</v>
      </c>
      <c r="J46" s="14" t="e">
        <f t="shared" si="20"/>
        <v>#REF!</v>
      </c>
      <c r="K46" s="14" t="e">
        <f t="shared" si="20"/>
        <v>#REF!</v>
      </c>
      <c r="L46" s="14" t="e">
        <f t="shared" si="20"/>
        <v>#REF!</v>
      </c>
      <c r="M46" s="14" t="e">
        <f t="shared" si="20"/>
        <v>#REF!</v>
      </c>
      <c r="N46" s="14" t="e">
        <f t="shared" si="20"/>
        <v>#REF!</v>
      </c>
      <c r="O46" s="14" t="e">
        <f t="shared" si="20"/>
        <v>#REF!</v>
      </c>
      <c r="P46" s="14" t="e">
        <f t="shared" si="20"/>
        <v>#REF!</v>
      </c>
      <c r="Q46" s="14" t="e">
        <f t="shared" si="20"/>
        <v>#REF!</v>
      </c>
      <c r="R46" s="14" t="e">
        <f t="shared" si="20"/>
        <v>#REF!</v>
      </c>
      <c r="S46" s="14" t="e">
        <f t="shared" si="20"/>
        <v>#REF!</v>
      </c>
      <c r="T46" s="14" t="e">
        <f t="shared" si="20"/>
        <v>#REF!</v>
      </c>
      <c r="U46" s="14" t="e">
        <f t="shared" si="20"/>
        <v>#REF!</v>
      </c>
    </row>
    <row r="47" spans="1:21" ht="21" thickBot="1">
      <c r="C47" s="12" t="s">
        <v>18</v>
      </c>
      <c r="D47" s="13" t="s">
        <v>19</v>
      </c>
      <c r="E47" s="34">
        <f>E46+E35</f>
        <v>52.448042410718351</v>
      </c>
      <c r="F47" s="34">
        <f t="shared" ref="F47:U47" si="21">F46+F35</f>
        <v>52.448042410718351</v>
      </c>
      <c r="G47" s="34">
        <f t="shared" si="21"/>
        <v>42.146042410718358</v>
      </c>
      <c r="H47" s="34">
        <f t="shared" si="21"/>
        <v>42.146042410718358</v>
      </c>
      <c r="I47" s="34" t="e">
        <f t="shared" si="21"/>
        <v>#REF!</v>
      </c>
      <c r="J47" s="34" t="e">
        <f t="shared" si="21"/>
        <v>#REF!</v>
      </c>
      <c r="K47" s="34" t="e">
        <f t="shared" si="21"/>
        <v>#REF!</v>
      </c>
      <c r="L47" s="34" t="e">
        <f t="shared" si="21"/>
        <v>#REF!</v>
      </c>
      <c r="M47" s="34" t="e">
        <f t="shared" si="21"/>
        <v>#REF!</v>
      </c>
      <c r="N47" s="34" t="e">
        <f t="shared" si="21"/>
        <v>#REF!</v>
      </c>
      <c r="O47" s="34" t="e">
        <f t="shared" si="21"/>
        <v>#REF!</v>
      </c>
      <c r="P47" s="34" t="e">
        <f t="shared" si="21"/>
        <v>#REF!</v>
      </c>
      <c r="Q47" s="34" t="e">
        <f t="shared" si="21"/>
        <v>#REF!</v>
      </c>
      <c r="R47" s="34" t="e">
        <f t="shared" si="21"/>
        <v>#REF!</v>
      </c>
      <c r="S47" s="34" t="e">
        <f t="shared" si="21"/>
        <v>#REF!</v>
      </c>
      <c r="T47" s="34" t="e">
        <f t="shared" si="21"/>
        <v>#REF!</v>
      </c>
      <c r="U47" s="34" t="e">
        <f t="shared" si="21"/>
        <v>#REF!</v>
      </c>
    </row>
    <row r="48" spans="1:21" ht="28.5" customHeight="1">
      <c r="A48" s="89" t="s">
        <v>95</v>
      </c>
      <c r="B48" s="79" t="s">
        <v>10</v>
      </c>
      <c r="C48" s="30" t="s">
        <v>9</v>
      </c>
      <c r="D48" s="27" t="s">
        <v>5</v>
      </c>
      <c r="E48" s="32">
        <f>0.1266*(1+0.14/100+1.17/100)</f>
        <v>0.12825845999999999</v>
      </c>
      <c r="F48" s="32">
        <f>E48</f>
        <v>0.12825845999999999</v>
      </c>
      <c r="G48" s="32">
        <f t="shared" ref="G48:U56" si="22">F48</f>
        <v>0.12825845999999999</v>
      </c>
      <c r="H48" s="32">
        <f t="shared" si="22"/>
        <v>0.12825845999999999</v>
      </c>
      <c r="I48" s="32">
        <f t="shared" si="22"/>
        <v>0.12825845999999999</v>
      </c>
      <c r="J48" s="32">
        <f t="shared" si="22"/>
        <v>0.12825845999999999</v>
      </c>
      <c r="K48" s="32">
        <f t="shared" si="22"/>
        <v>0.12825845999999999</v>
      </c>
      <c r="L48" s="32">
        <f t="shared" si="22"/>
        <v>0.12825845999999999</v>
      </c>
      <c r="M48" s="32">
        <f t="shared" si="22"/>
        <v>0.12825845999999999</v>
      </c>
      <c r="N48" s="32">
        <f t="shared" si="22"/>
        <v>0.12825845999999999</v>
      </c>
      <c r="O48" s="32">
        <f t="shared" si="22"/>
        <v>0.12825845999999999</v>
      </c>
      <c r="P48" s="32">
        <f t="shared" si="22"/>
        <v>0.12825845999999999</v>
      </c>
      <c r="Q48" s="32">
        <f t="shared" si="22"/>
        <v>0.12825845999999999</v>
      </c>
      <c r="R48" s="32">
        <f t="shared" si="22"/>
        <v>0.12825845999999999</v>
      </c>
      <c r="S48" s="32">
        <f t="shared" si="22"/>
        <v>0.12825845999999999</v>
      </c>
      <c r="T48" s="32">
        <f t="shared" si="22"/>
        <v>0.12825845999999999</v>
      </c>
      <c r="U48" s="32">
        <f t="shared" si="22"/>
        <v>0.12825845999999999</v>
      </c>
    </row>
    <row r="49" spans="1:21" ht="25.5" customHeight="1" thickBot="1">
      <c r="A49" s="90"/>
      <c r="B49" s="80"/>
      <c r="C49" s="31" t="s">
        <v>11</v>
      </c>
      <c r="D49" s="25" t="s">
        <v>3</v>
      </c>
      <c r="E49" s="36">
        <f>0.000136*(1+0.14/100+1.17/100)</f>
        <v>1.377816E-4</v>
      </c>
      <c r="F49" s="36">
        <f>E49</f>
        <v>1.377816E-4</v>
      </c>
      <c r="G49" s="36">
        <f t="shared" si="22"/>
        <v>1.377816E-4</v>
      </c>
      <c r="H49" s="36">
        <f t="shared" si="22"/>
        <v>1.377816E-4</v>
      </c>
      <c r="I49" s="36">
        <f t="shared" si="22"/>
        <v>1.377816E-4</v>
      </c>
      <c r="J49" s="36">
        <f t="shared" si="22"/>
        <v>1.377816E-4</v>
      </c>
      <c r="K49" s="36">
        <f t="shared" si="22"/>
        <v>1.377816E-4</v>
      </c>
      <c r="L49" s="36">
        <f t="shared" si="22"/>
        <v>1.377816E-4</v>
      </c>
      <c r="M49" s="36">
        <f t="shared" si="22"/>
        <v>1.377816E-4</v>
      </c>
      <c r="N49" s="36">
        <f t="shared" si="22"/>
        <v>1.377816E-4</v>
      </c>
      <c r="O49" s="36">
        <f t="shared" si="22"/>
        <v>1.377816E-4</v>
      </c>
      <c r="P49" s="36">
        <f t="shared" si="22"/>
        <v>1.377816E-4</v>
      </c>
      <c r="Q49" s="36">
        <f t="shared" si="22"/>
        <v>1.377816E-4</v>
      </c>
      <c r="R49" s="36">
        <f t="shared" si="22"/>
        <v>1.377816E-4</v>
      </c>
      <c r="S49" s="36">
        <f t="shared" si="22"/>
        <v>1.377816E-4</v>
      </c>
      <c r="T49" s="36">
        <f t="shared" si="22"/>
        <v>1.377816E-4</v>
      </c>
      <c r="U49" s="36">
        <f t="shared" si="22"/>
        <v>1.377816E-4</v>
      </c>
    </row>
    <row r="50" spans="1:21" ht="24.75" customHeight="1">
      <c r="A50" s="90"/>
      <c r="B50" s="81" t="s">
        <v>8</v>
      </c>
      <c r="C50" s="29" t="s">
        <v>15</v>
      </c>
      <c r="D50" s="24" t="s">
        <v>5</v>
      </c>
      <c r="E50" s="37">
        <f>-0.07481*(1+0.14/100+1.17/100)</f>
        <v>-7.5790011000000004E-2</v>
      </c>
      <c r="F50" s="37">
        <f>E50</f>
        <v>-7.5790011000000004E-2</v>
      </c>
      <c r="G50" s="37">
        <f t="shared" si="22"/>
        <v>-7.5790011000000004E-2</v>
      </c>
      <c r="H50" s="37">
        <f t="shared" si="22"/>
        <v>-7.5790011000000004E-2</v>
      </c>
      <c r="I50" s="37">
        <f t="shared" si="22"/>
        <v>-7.5790011000000004E-2</v>
      </c>
      <c r="J50" s="37">
        <f t="shared" si="22"/>
        <v>-7.5790011000000004E-2</v>
      </c>
      <c r="K50" s="37">
        <f t="shared" si="22"/>
        <v>-7.5790011000000004E-2</v>
      </c>
      <c r="L50" s="37">
        <f t="shared" si="22"/>
        <v>-7.5790011000000004E-2</v>
      </c>
      <c r="M50" s="37">
        <f t="shared" si="22"/>
        <v>-7.5790011000000004E-2</v>
      </c>
      <c r="N50" s="37">
        <f t="shared" si="22"/>
        <v>-7.5790011000000004E-2</v>
      </c>
      <c r="O50" s="37">
        <f t="shared" si="22"/>
        <v>-7.5790011000000004E-2</v>
      </c>
      <c r="P50" s="37">
        <f t="shared" si="22"/>
        <v>-7.5790011000000004E-2</v>
      </c>
      <c r="Q50" s="37">
        <f t="shared" si="22"/>
        <v>-7.5790011000000004E-2</v>
      </c>
      <c r="R50" s="37">
        <f t="shared" si="22"/>
        <v>-7.5790011000000004E-2</v>
      </c>
      <c r="S50" s="37">
        <f t="shared" si="22"/>
        <v>-7.5790011000000004E-2</v>
      </c>
      <c r="T50" s="37">
        <f t="shared" si="22"/>
        <v>-7.5790011000000004E-2</v>
      </c>
      <c r="U50" s="37">
        <f t="shared" si="22"/>
        <v>-7.5790011000000004E-2</v>
      </c>
    </row>
    <row r="51" spans="1:21" ht="22.5" customHeight="1">
      <c r="A51" s="90"/>
      <c r="B51" s="82"/>
      <c r="C51" s="30" t="s">
        <v>16</v>
      </c>
      <c r="D51" s="27" t="s">
        <v>5</v>
      </c>
      <c r="E51" s="32">
        <f>0.15078*(1+0.14/100+1.17/100)+0.00627*(1+0.14/100)</f>
        <v>0.15903399600000004</v>
      </c>
      <c r="F51" s="32">
        <f>E51</f>
        <v>0.15903399600000004</v>
      </c>
      <c r="G51" s="32">
        <f t="shared" si="22"/>
        <v>0.15903399600000004</v>
      </c>
      <c r="H51" s="32">
        <f t="shared" si="22"/>
        <v>0.15903399600000004</v>
      </c>
      <c r="I51" s="32">
        <f t="shared" si="22"/>
        <v>0.15903399600000004</v>
      </c>
      <c r="J51" s="32">
        <f t="shared" si="22"/>
        <v>0.15903399600000004</v>
      </c>
      <c r="K51" s="32">
        <f t="shared" si="22"/>
        <v>0.15903399600000004</v>
      </c>
      <c r="L51" s="32">
        <f t="shared" si="22"/>
        <v>0.15903399600000004</v>
      </c>
      <c r="M51" s="32">
        <f t="shared" si="22"/>
        <v>0.15903399600000004</v>
      </c>
      <c r="N51" s="32">
        <f t="shared" si="22"/>
        <v>0.15903399600000004</v>
      </c>
      <c r="O51" s="32">
        <f t="shared" si="22"/>
        <v>0.15903399600000004</v>
      </c>
      <c r="P51" s="32">
        <f t="shared" si="22"/>
        <v>0.15903399600000004</v>
      </c>
      <c r="Q51" s="32">
        <f t="shared" si="22"/>
        <v>0.15903399600000004</v>
      </c>
      <c r="R51" s="32">
        <f t="shared" si="22"/>
        <v>0.15903399600000004</v>
      </c>
      <c r="S51" s="32">
        <f t="shared" si="22"/>
        <v>0.15903399600000004</v>
      </c>
      <c r="T51" s="32">
        <f t="shared" si="22"/>
        <v>0.15903399600000004</v>
      </c>
      <c r="U51" s="32">
        <f t="shared" si="22"/>
        <v>0.15903399600000004</v>
      </c>
    </row>
    <row r="52" spans="1:21" ht="24.75" customHeight="1" thickBot="1">
      <c r="A52" s="90"/>
      <c r="B52" s="83"/>
      <c r="C52" s="31" t="s">
        <v>17</v>
      </c>
      <c r="D52" s="25" t="s">
        <v>3</v>
      </c>
      <c r="E52" s="54">
        <f>0.000379*(1+0.14/100+1.17/100)</f>
        <v>3.8396490000000002E-4</v>
      </c>
      <c r="F52" s="54">
        <f>E52</f>
        <v>3.8396490000000002E-4</v>
      </c>
      <c r="G52" s="54">
        <f t="shared" si="22"/>
        <v>3.8396490000000002E-4</v>
      </c>
      <c r="H52" s="54">
        <f t="shared" si="22"/>
        <v>3.8396490000000002E-4</v>
      </c>
      <c r="I52" s="54">
        <f t="shared" si="22"/>
        <v>3.8396490000000002E-4</v>
      </c>
      <c r="J52" s="54">
        <f t="shared" si="22"/>
        <v>3.8396490000000002E-4</v>
      </c>
      <c r="K52" s="54">
        <f t="shared" si="22"/>
        <v>3.8396490000000002E-4</v>
      </c>
      <c r="L52" s="54">
        <f t="shared" si="22"/>
        <v>3.8396490000000002E-4</v>
      </c>
      <c r="M52" s="54">
        <f t="shared" si="22"/>
        <v>3.8396490000000002E-4</v>
      </c>
      <c r="N52" s="54">
        <f t="shared" si="22"/>
        <v>3.8396490000000002E-4</v>
      </c>
      <c r="O52" s="54">
        <f t="shared" si="22"/>
        <v>3.8396490000000002E-4</v>
      </c>
      <c r="P52" s="54">
        <f t="shared" si="22"/>
        <v>3.8396490000000002E-4</v>
      </c>
      <c r="Q52" s="54">
        <f t="shared" si="22"/>
        <v>3.8396490000000002E-4</v>
      </c>
      <c r="R52" s="54">
        <f t="shared" si="22"/>
        <v>3.8396490000000002E-4</v>
      </c>
      <c r="S52" s="54">
        <f t="shared" si="22"/>
        <v>3.8396490000000002E-4</v>
      </c>
      <c r="T52" s="54">
        <f t="shared" si="22"/>
        <v>3.8396490000000002E-4</v>
      </c>
      <c r="U52" s="54">
        <f t="shared" si="22"/>
        <v>3.8396490000000002E-4</v>
      </c>
    </row>
    <row r="53" spans="1:21" ht="18" customHeight="1">
      <c r="A53" s="90"/>
      <c r="B53" s="81" t="s">
        <v>7</v>
      </c>
      <c r="C53" s="51" t="s">
        <v>82</v>
      </c>
      <c r="D53" s="19" t="s">
        <v>2</v>
      </c>
      <c r="E53" s="28">
        <v>20</v>
      </c>
      <c r="F53" s="28">
        <f t="shared" ref="F53" si="23">E53</f>
        <v>20</v>
      </c>
      <c r="G53" s="28">
        <f t="shared" si="22"/>
        <v>20</v>
      </c>
      <c r="H53" s="28">
        <f t="shared" si="22"/>
        <v>20</v>
      </c>
      <c r="I53" s="28">
        <f t="shared" si="22"/>
        <v>20</v>
      </c>
      <c r="J53" s="28">
        <f t="shared" si="22"/>
        <v>20</v>
      </c>
      <c r="K53" s="28">
        <f t="shared" si="22"/>
        <v>20</v>
      </c>
      <c r="L53" s="28">
        <f t="shared" si="22"/>
        <v>20</v>
      </c>
      <c r="M53" s="28">
        <f t="shared" si="22"/>
        <v>20</v>
      </c>
      <c r="N53" s="28">
        <f t="shared" si="22"/>
        <v>20</v>
      </c>
      <c r="O53" s="28">
        <f t="shared" si="22"/>
        <v>20</v>
      </c>
      <c r="P53" s="28">
        <f t="shared" si="22"/>
        <v>20</v>
      </c>
      <c r="Q53" s="28">
        <f t="shared" si="22"/>
        <v>20</v>
      </c>
      <c r="R53" s="28">
        <f t="shared" si="22"/>
        <v>20</v>
      </c>
      <c r="S53" s="28">
        <f t="shared" si="22"/>
        <v>20</v>
      </c>
      <c r="T53" s="28">
        <f t="shared" si="22"/>
        <v>20</v>
      </c>
      <c r="U53" s="28">
        <f t="shared" si="22"/>
        <v>20</v>
      </c>
    </row>
    <row r="54" spans="1:21" ht="19.5">
      <c r="A54" s="90"/>
      <c r="B54" s="82"/>
      <c r="C54" s="52" t="s">
        <v>85</v>
      </c>
      <c r="D54" s="21" t="s">
        <v>5</v>
      </c>
      <c r="E54" s="40">
        <f>0.002661*(1+0.14/100+1.17/100)</f>
        <v>2.6958591000000006E-3</v>
      </c>
      <c r="F54" s="40">
        <f>E54</f>
        <v>2.6958591000000006E-3</v>
      </c>
      <c r="G54" s="40">
        <f t="shared" si="22"/>
        <v>2.6958591000000006E-3</v>
      </c>
      <c r="H54" s="40">
        <f t="shared" si="22"/>
        <v>2.6958591000000006E-3</v>
      </c>
      <c r="I54" s="40">
        <f t="shared" si="22"/>
        <v>2.6958591000000006E-3</v>
      </c>
      <c r="J54" s="40">
        <f t="shared" si="22"/>
        <v>2.6958591000000006E-3</v>
      </c>
      <c r="K54" s="40">
        <f t="shared" si="22"/>
        <v>2.6958591000000006E-3</v>
      </c>
      <c r="L54" s="40">
        <f t="shared" si="22"/>
        <v>2.6958591000000006E-3</v>
      </c>
      <c r="M54" s="40">
        <f t="shared" si="22"/>
        <v>2.6958591000000006E-3</v>
      </c>
      <c r="N54" s="40">
        <f t="shared" si="22"/>
        <v>2.6958591000000006E-3</v>
      </c>
      <c r="O54" s="40">
        <f t="shared" si="22"/>
        <v>2.6958591000000006E-3</v>
      </c>
      <c r="P54" s="40">
        <f t="shared" si="22"/>
        <v>2.6958591000000006E-3</v>
      </c>
      <c r="Q54" s="40">
        <f t="shared" si="22"/>
        <v>2.6958591000000006E-3</v>
      </c>
      <c r="R54" s="40">
        <f t="shared" si="22"/>
        <v>2.6958591000000006E-3</v>
      </c>
      <c r="S54" s="40">
        <f t="shared" si="22"/>
        <v>2.6958591000000006E-3</v>
      </c>
      <c r="T54" s="40">
        <f t="shared" si="22"/>
        <v>2.6958591000000006E-3</v>
      </c>
      <c r="U54" s="40">
        <f t="shared" si="22"/>
        <v>2.6958591000000006E-3</v>
      </c>
    </row>
    <row r="55" spans="1:21" ht="19.5">
      <c r="A55" s="90"/>
      <c r="B55" s="82"/>
      <c r="C55" s="52" t="s">
        <v>86</v>
      </c>
      <c r="D55" s="21" t="s">
        <v>4</v>
      </c>
      <c r="E55" s="40">
        <f>0.155486*(1+0.14/100+1.17/100)</f>
        <v>0.15752286660000003</v>
      </c>
      <c r="F55" s="40">
        <f>E55</f>
        <v>0.15752286660000003</v>
      </c>
      <c r="G55" s="40">
        <f t="shared" si="22"/>
        <v>0.15752286660000003</v>
      </c>
      <c r="H55" s="40">
        <f t="shared" si="22"/>
        <v>0.15752286660000003</v>
      </c>
      <c r="I55" s="40">
        <f t="shared" si="22"/>
        <v>0.15752286660000003</v>
      </c>
      <c r="J55" s="40">
        <f t="shared" si="22"/>
        <v>0.15752286660000003</v>
      </c>
      <c r="K55" s="40">
        <f t="shared" si="22"/>
        <v>0.15752286660000003</v>
      </c>
      <c r="L55" s="40">
        <f t="shared" si="22"/>
        <v>0.15752286660000003</v>
      </c>
      <c r="M55" s="40">
        <f t="shared" si="22"/>
        <v>0.15752286660000003</v>
      </c>
      <c r="N55" s="40">
        <f t="shared" si="22"/>
        <v>0.15752286660000003</v>
      </c>
      <c r="O55" s="40">
        <f t="shared" si="22"/>
        <v>0.15752286660000003</v>
      </c>
      <c r="P55" s="40">
        <f t="shared" si="22"/>
        <v>0.15752286660000003</v>
      </c>
      <c r="Q55" s="40">
        <f t="shared" si="22"/>
        <v>0.15752286660000003</v>
      </c>
      <c r="R55" s="40">
        <f t="shared" si="22"/>
        <v>0.15752286660000003</v>
      </c>
      <c r="S55" s="40">
        <f t="shared" si="22"/>
        <v>0.15752286660000003</v>
      </c>
      <c r="T55" s="40">
        <f t="shared" si="22"/>
        <v>0.15752286660000003</v>
      </c>
      <c r="U55" s="40">
        <f t="shared" si="22"/>
        <v>0.15752286660000003</v>
      </c>
    </row>
    <row r="56" spans="1:21" ht="20.25" thickBot="1">
      <c r="A56" s="90"/>
      <c r="B56" s="82"/>
      <c r="C56" s="52" t="s">
        <v>87</v>
      </c>
      <c r="D56" s="21" t="s">
        <v>14</v>
      </c>
      <c r="E56" s="40">
        <f>0.122547*(1+0.14/100+1.17/100)</f>
        <v>0.12415236570000002</v>
      </c>
      <c r="F56" s="40">
        <f>E56</f>
        <v>0.12415236570000002</v>
      </c>
      <c r="G56" s="40">
        <f t="shared" si="22"/>
        <v>0.12415236570000002</v>
      </c>
      <c r="H56" s="40">
        <f t="shared" si="22"/>
        <v>0.12415236570000002</v>
      </c>
      <c r="I56" s="40">
        <f t="shared" si="22"/>
        <v>0.12415236570000002</v>
      </c>
      <c r="J56" s="40">
        <f t="shared" si="22"/>
        <v>0.12415236570000002</v>
      </c>
      <c r="K56" s="40">
        <f t="shared" si="22"/>
        <v>0.12415236570000002</v>
      </c>
      <c r="L56" s="40">
        <f t="shared" si="22"/>
        <v>0.12415236570000002</v>
      </c>
      <c r="M56" s="40">
        <f t="shared" si="22"/>
        <v>0.12415236570000002</v>
      </c>
      <c r="N56" s="40">
        <f t="shared" si="22"/>
        <v>0.12415236570000002</v>
      </c>
      <c r="O56" s="40">
        <f t="shared" si="22"/>
        <v>0.12415236570000002</v>
      </c>
      <c r="P56" s="40">
        <f t="shared" si="22"/>
        <v>0.12415236570000002</v>
      </c>
      <c r="Q56" s="40">
        <f t="shared" si="22"/>
        <v>0.12415236570000002</v>
      </c>
      <c r="R56" s="40">
        <f t="shared" si="22"/>
        <v>0.12415236570000002</v>
      </c>
      <c r="S56" s="40">
        <f t="shared" si="22"/>
        <v>0.12415236570000002</v>
      </c>
      <c r="T56" s="40">
        <f t="shared" si="22"/>
        <v>0.12415236570000002</v>
      </c>
      <c r="U56" s="40">
        <f t="shared" si="22"/>
        <v>0.12415236570000002</v>
      </c>
    </row>
    <row r="57" spans="1:21" ht="20.25" thickBot="1">
      <c r="A57" s="90"/>
      <c r="B57" s="83"/>
      <c r="C57" s="53" t="s">
        <v>88</v>
      </c>
      <c r="D57" s="13" t="s">
        <v>3</v>
      </c>
      <c r="E57" s="38">
        <f t="shared" ref="E57:U57" si="24">E53/365*(E54+0.3*(E55/365+E56/365))</f>
        <v>1.604039994280353E-4</v>
      </c>
      <c r="F57" s="38">
        <f t="shared" si="24"/>
        <v>1.604039994280353E-4</v>
      </c>
      <c r="G57" s="38">
        <f t="shared" si="24"/>
        <v>1.604039994280353E-4</v>
      </c>
      <c r="H57" s="38">
        <f t="shared" si="24"/>
        <v>1.604039994280353E-4</v>
      </c>
      <c r="I57" s="38">
        <f t="shared" si="24"/>
        <v>1.604039994280353E-4</v>
      </c>
      <c r="J57" s="38">
        <f t="shared" si="24"/>
        <v>1.604039994280353E-4</v>
      </c>
      <c r="K57" s="38">
        <f t="shared" si="24"/>
        <v>1.604039994280353E-4</v>
      </c>
      <c r="L57" s="38">
        <f t="shared" si="24"/>
        <v>1.604039994280353E-4</v>
      </c>
      <c r="M57" s="38">
        <f t="shared" si="24"/>
        <v>1.604039994280353E-4</v>
      </c>
      <c r="N57" s="38">
        <f t="shared" si="24"/>
        <v>1.604039994280353E-4</v>
      </c>
      <c r="O57" s="38">
        <f t="shared" si="24"/>
        <v>1.604039994280353E-4</v>
      </c>
      <c r="P57" s="38">
        <f t="shared" si="24"/>
        <v>1.604039994280353E-4</v>
      </c>
      <c r="Q57" s="38">
        <f t="shared" si="24"/>
        <v>1.604039994280353E-4</v>
      </c>
      <c r="R57" s="38">
        <f t="shared" si="24"/>
        <v>1.604039994280353E-4</v>
      </c>
      <c r="S57" s="38">
        <f t="shared" si="24"/>
        <v>1.604039994280353E-4</v>
      </c>
      <c r="T57" s="38">
        <f t="shared" si="24"/>
        <v>1.604039994280353E-4</v>
      </c>
      <c r="U57" s="38">
        <f t="shared" si="24"/>
        <v>1.604039994280353E-4</v>
      </c>
    </row>
    <row r="58" spans="1:21" ht="39" customHeight="1" thickBot="1">
      <c r="A58" s="90"/>
      <c r="B58" s="11" t="s">
        <v>83</v>
      </c>
      <c r="C58" s="22" t="s">
        <v>25</v>
      </c>
      <c r="D58" s="27" t="s">
        <v>20</v>
      </c>
      <c r="E58" s="14">
        <f>1000*((E48+E50+E51)/248+E49+E52+E57)</f>
        <v>1.5349829389441645</v>
      </c>
      <c r="F58" s="14">
        <f t="shared" ref="F58:U58" si="25">1000*((F48+F50+F51)/248+F49+F52+F57)</f>
        <v>1.5349829389441645</v>
      </c>
      <c r="G58" s="14">
        <f t="shared" si="25"/>
        <v>1.5349829389441645</v>
      </c>
      <c r="H58" s="14">
        <f t="shared" si="25"/>
        <v>1.5349829389441645</v>
      </c>
      <c r="I58" s="14">
        <f t="shared" si="25"/>
        <v>1.5349829389441645</v>
      </c>
      <c r="J58" s="14">
        <f t="shared" si="25"/>
        <v>1.5349829389441645</v>
      </c>
      <c r="K58" s="14">
        <f t="shared" si="25"/>
        <v>1.5349829389441645</v>
      </c>
      <c r="L58" s="14">
        <f t="shared" si="25"/>
        <v>1.5349829389441645</v>
      </c>
      <c r="M58" s="14">
        <f t="shared" si="25"/>
        <v>1.5349829389441645</v>
      </c>
      <c r="N58" s="14">
        <f t="shared" si="25"/>
        <v>1.5349829389441645</v>
      </c>
      <c r="O58" s="14">
        <f t="shared" si="25"/>
        <v>1.5349829389441645</v>
      </c>
      <c r="P58" s="14">
        <f t="shared" si="25"/>
        <v>1.5349829389441645</v>
      </c>
      <c r="Q58" s="14">
        <f t="shared" si="25"/>
        <v>1.5349829389441645</v>
      </c>
      <c r="R58" s="14">
        <f t="shared" si="25"/>
        <v>1.5349829389441645</v>
      </c>
      <c r="S58" s="14">
        <f t="shared" si="25"/>
        <v>1.5349829389441645</v>
      </c>
      <c r="T58" s="14">
        <f t="shared" si="25"/>
        <v>1.5349829389441645</v>
      </c>
      <c r="U58" s="14">
        <f t="shared" si="25"/>
        <v>1.5349829389441645</v>
      </c>
    </row>
    <row r="59" spans="1:21" ht="18.75">
      <c r="A59" s="90"/>
      <c r="B59" s="84" t="s">
        <v>81</v>
      </c>
      <c r="C59" s="22" t="s">
        <v>72</v>
      </c>
      <c r="D59" s="24" t="s">
        <v>1</v>
      </c>
      <c r="E59" s="39">
        <v>0.25</v>
      </c>
      <c r="F59" s="39">
        <v>0.25</v>
      </c>
      <c r="G59" s="39">
        <v>0.25</v>
      </c>
      <c r="H59" s="39">
        <v>0.25</v>
      </c>
      <c r="I59" s="39">
        <v>0.25</v>
      </c>
      <c r="J59" s="39">
        <f>I59</f>
        <v>0.25</v>
      </c>
      <c r="K59" s="39">
        <f t="shared" ref="K59:U59" si="26">J59</f>
        <v>0.25</v>
      </c>
      <c r="L59" s="39">
        <f t="shared" si="26"/>
        <v>0.25</v>
      </c>
      <c r="M59" s="39">
        <f t="shared" si="26"/>
        <v>0.25</v>
      </c>
      <c r="N59" s="39">
        <f t="shared" si="26"/>
        <v>0.25</v>
      </c>
      <c r="O59" s="39">
        <f t="shared" si="26"/>
        <v>0.25</v>
      </c>
      <c r="P59" s="39">
        <f t="shared" si="26"/>
        <v>0.25</v>
      </c>
      <c r="Q59" s="39">
        <f t="shared" si="26"/>
        <v>0.25</v>
      </c>
      <c r="R59" s="39">
        <f t="shared" si="26"/>
        <v>0.25</v>
      </c>
      <c r="S59" s="39">
        <f t="shared" si="26"/>
        <v>0.25</v>
      </c>
      <c r="T59" s="39">
        <f t="shared" si="26"/>
        <v>0.25</v>
      </c>
      <c r="U59" s="39">
        <f t="shared" si="26"/>
        <v>0.25</v>
      </c>
    </row>
    <row r="60" spans="1:21" ht="20.25">
      <c r="A60" s="90"/>
      <c r="B60" s="85"/>
      <c r="C60" s="26" t="s">
        <v>71</v>
      </c>
      <c r="D60" s="27" t="s">
        <v>20</v>
      </c>
      <c r="E60" s="46">
        <v>51.302</v>
      </c>
      <c r="F60" s="46">
        <v>51.302</v>
      </c>
      <c r="G60" s="46"/>
      <c r="H60" s="46"/>
      <c r="I60" s="46" t="e">
        <f>I37</f>
        <v>#REF!</v>
      </c>
      <c r="J60" s="46" t="e">
        <f t="shared" ref="J60:U60" si="27">J37</f>
        <v>#REF!</v>
      </c>
      <c r="K60" s="46" t="e">
        <f t="shared" si="27"/>
        <v>#REF!</v>
      </c>
      <c r="L60" s="46" t="e">
        <f t="shared" si="27"/>
        <v>#REF!</v>
      </c>
      <c r="M60" s="46" t="e">
        <f t="shared" si="27"/>
        <v>#REF!</v>
      </c>
      <c r="N60" s="46" t="e">
        <f t="shared" si="27"/>
        <v>#REF!</v>
      </c>
      <c r="O60" s="46" t="e">
        <f t="shared" si="27"/>
        <v>#REF!</v>
      </c>
      <c r="P60" s="46" t="e">
        <f t="shared" si="27"/>
        <v>#REF!</v>
      </c>
      <c r="Q60" s="46" t="e">
        <f t="shared" si="27"/>
        <v>#REF!</v>
      </c>
      <c r="R60" s="46" t="e">
        <f t="shared" si="27"/>
        <v>#REF!</v>
      </c>
      <c r="S60" s="46" t="e">
        <f t="shared" si="27"/>
        <v>#REF!</v>
      </c>
      <c r="T60" s="46" t="e">
        <f t="shared" si="27"/>
        <v>#REF!</v>
      </c>
      <c r="U60" s="46" t="e">
        <f t="shared" si="27"/>
        <v>#REF!</v>
      </c>
    </row>
    <row r="61" spans="1:21" ht="18.75">
      <c r="A61" s="90"/>
      <c r="B61" s="85"/>
      <c r="C61" s="26" t="s">
        <v>73</v>
      </c>
      <c r="D61" s="27"/>
      <c r="E61" s="32">
        <v>0.3</v>
      </c>
      <c r="F61" s="32">
        <v>0.3</v>
      </c>
      <c r="G61" s="32">
        <v>0.3</v>
      </c>
      <c r="H61" s="32">
        <v>0.3</v>
      </c>
      <c r="I61" s="32">
        <v>0.3</v>
      </c>
      <c r="J61" s="32">
        <v>0.3</v>
      </c>
      <c r="K61" s="32">
        <v>0.3</v>
      </c>
      <c r="L61" s="32">
        <v>0.3</v>
      </c>
      <c r="M61" s="32">
        <v>0.3</v>
      </c>
      <c r="N61" s="32">
        <v>0.3</v>
      </c>
      <c r="O61" s="32">
        <v>0.3</v>
      </c>
      <c r="P61" s="32">
        <v>0.3</v>
      </c>
      <c r="Q61" s="32">
        <v>0.3</v>
      </c>
      <c r="R61" s="32">
        <v>0.3</v>
      </c>
      <c r="S61" s="32">
        <v>0.3</v>
      </c>
      <c r="T61" s="32">
        <v>0.3</v>
      </c>
      <c r="U61" s="32">
        <v>0.3</v>
      </c>
    </row>
    <row r="62" spans="1:21" ht="20.25">
      <c r="A62" s="90"/>
      <c r="B62" s="85"/>
      <c r="C62" s="26" t="s">
        <v>74</v>
      </c>
      <c r="D62" s="27" t="s">
        <v>20</v>
      </c>
      <c r="E62" s="46">
        <v>51.302</v>
      </c>
      <c r="F62" s="46">
        <v>51.302</v>
      </c>
      <c r="G62" s="46"/>
      <c r="H62" s="46"/>
      <c r="I62" s="46" t="e">
        <f>I39</f>
        <v>#REF!</v>
      </c>
      <c r="J62" s="46" t="e">
        <f t="shared" ref="J62:U62" si="28">J39</f>
        <v>#REF!</v>
      </c>
      <c r="K62" s="46" t="e">
        <f t="shared" si="28"/>
        <v>#REF!</v>
      </c>
      <c r="L62" s="46" t="e">
        <f t="shared" si="28"/>
        <v>#REF!</v>
      </c>
      <c r="M62" s="46" t="e">
        <f t="shared" si="28"/>
        <v>#REF!</v>
      </c>
      <c r="N62" s="46" t="e">
        <f t="shared" si="28"/>
        <v>#REF!</v>
      </c>
      <c r="O62" s="46" t="e">
        <f t="shared" si="28"/>
        <v>#REF!</v>
      </c>
      <c r="P62" s="46" t="e">
        <f t="shared" si="28"/>
        <v>#REF!</v>
      </c>
      <c r="Q62" s="46" t="e">
        <f t="shared" si="28"/>
        <v>#REF!</v>
      </c>
      <c r="R62" s="46" t="e">
        <f t="shared" si="28"/>
        <v>#REF!</v>
      </c>
      <c r="S62" s="46" t="e">
        <f t="shared" si="28"/>
        <v>#REF!</v>
      </c>
      <c r="T62" s="46" t="e">
        <f t="shared" si="28"/>
        <v>#REF!</v>
      </c>
      <c r="U62" s="46" t="e">
        <f t="shared" si="28"/>
        <v>#REF!</v>
      </c>
    </row>
    <row r="63" spans="1:21" ht="20.25">
      <c r="A63" s="90"/>
      <c r="B63" s="85"/>
      <c r="C63" s="20" t="s">
        <v>75</v>
      </c>
      <c r="D63" s="27"/>
      <c r="E63" s="32">
        <v>0.15</v>
      </c>
      <c r="F63" s="32">
        <v>0.15</v>
      </c>
      <c r="G63" s="32">
        <v>0.15</v>
      </c>
      <c r="H63" s="32">
        <v>0.15</v>
      </c>
      <c r="I63" s="32">
        <v>0.15</v>
      </c>
      <c r="J63" s="32">
        <v>0.15</v>
      </c>
      <c r="K63" s="32">
        <v>0.15</v>
      </c>
      <c r="L63" s="32">
        <v>0.15</v>
      </c>
      <c r="M63" s="32">
        <v>0.15</v>
      </c>
      <c r="N63" s="32">
        <v>0.15</v>
      </c>
      <c r="O63" s="32">
        <v>0.15</v>
      </c>
      <c r="P63" s="32">
        <v>0.15</v>
      </c>
      <c r="Q63" s="32">
        <v>0.15</v>
      </c>
      <c r="R63" s="32">
        <v>0.15</v>
      </c>
      <c r="S63" s="32">
        <v>0.15</v>
      </c>
      <c r="T63" s="32">
        <v>0.15</v>
      </c>
      <c r="U63" s="32">
        <v>0.15</v>
      </c>
    </row>
    <row r="64" spans="1:21" ht="20.25">
      <c r="A64" s="90"/>
      <c r="B64" s="85"/>
      <c r="C64" s="20" t="s">
        <v>76</v>
      </c>
      <c r="D64" s="27"/>
      <c r="E64" s="32">
        <v>0.15</v>
      </c>
      <c r="F64" s="32">
        <v>0.15</v>
      </c>
      <c r="G64" s="32">
        <v>0.15</v>
      </c>
      <c r="H64" s="32">
        <v>0.15</v>
      </c>
      <c r="I64" s="32">
        <v>0.15</v>
      </c>
      <c r="J64" s="32">
        <v>0.15</v>
      </c>
      <c r="K64" s="32">
        <v>0.15</v>
      </c>
      <c r="L64" s="32">
        <v>0.15</v>
      </c>
      <c r="M64" s="32">
        <v>0.15</v>
      </c>
      <c r="N64" s="32">
        <v>0.15</v>
      </c>
      <c r="O64" s="32">
        <v>0.15</v>
      </c>
      <c r="P64" s="32">
        <v>0.15</v>
      </c>
      <c r="Q64" s="32">
        <v>0.15</v>
      </c>
      <c r="R64" s="32">
        <v>0.15</v>
      </c>
      <c r="S64" s="32">
        <v>0.15</v>
      </c>
      <c r="T64" s="32">
        <v>0.15</v>
      </c>
      <c r="U64" s="32">
        <v>0.15</v>
      </c>
    </row>
    <row r="65" spans="1:21" ht="20.25">
      <c r="A65" s="90"/>
      <c r="B65" s="85"/>
      <c r="C65" s="20" t="s">
        <v>77</v>
      </c>
      <c r="D65" s="27"/>
      <c r="E65" s="32">
        <v>0.15</v>
      </c>
      <c r="F65" s="32">
        <v>0.15</v>
      </c>
      <c r="G65" s="32">
        <v>0.15</v>
      </c>
      <c r="H65" s="32">
        <v>0.15</v>
      </c>
      <c r="I65" s="32">
        <v>0.15</v>
      </c>
      <c r="J65" s="32">
        <v>0.15</v>
      </c>
      <c r="K65" s="32">
        <v>0.15</v>
      </c>
      <c r="L65" s="32">
        <v>0.15</v>
      </c>
      <c r="M65" s="32">
        <v>0.15</v>
      </c>
      <c r="N65" s="32">
        <v>0.15</v>
      </c>
      <c r="O65" s="32">
        <v>0.15</v>
      </c>
      <c r="P65" s="32">
        <v>0.15</v>
      </c>
      <c r="Q65" s="32">
        <v>0.15</v>
      </c>
      <c r="R65" s="32">
        <v>0.15</v>
      </c>
      <c r="S65" s="32">
        <v>0.15</v>
      </c>
      <c r="T65" s="32">
        <v>0.15</v>
      </c>
      <c r="U65" s="32">
        <v>0.15</v>
      </c>
    </row>
    <row r="66" spans="1:21" ht="20.25">
      <c r="A66" s="90"/>
      <c r="B66" s="85"/>
      <c r="C66" s="26" t="s">
        <v>78</v>
      </c>
      <c r="D66" s="27" t="s">
        <v>20</v>
      </c>
      <c r="E66" s="46">
        <v>51.302</v>
      </c>
      <c r="F66" s="46">
        <v>51.302</v>
      </c>
      <c r="G66" s="46"/>
      <c r="H66" s="46"/>
      <c r="I66" s="46" t="e">
        <f>I43</f>
        <v>#REF!</v>
      </c>
      <c r="J66" s="46" t="e">
        <f t="shared" ref="J66:U66" si="29">J43</f>
        <v>#REF!</v>
      </c>
      <c r="K66" s="46" t="e">
        <f t="shared" si="29"/>
        <v>#REF!</v>
      </c>
      <c r="L66" s="46" t="e">
        <f t="shared" si="29"/>
        <v>#REF!</v>
      </c>
      <c r="M66" s="46" t="e">
        <f t="shared" si="29"/>
        <v>#REF!</v>
      </c>
      <c r="N66" s="46" t="e">
        <f t="shared" si="29"/>
        <v>#REF!</v>
      </c>
      <c r="O66" s="46" t="e">
        <f t="shared" si="29"/>
        <v>#REF!</v>
      </c>
      <c r="P66" s="46" t="e">
        <f t="shared" si="29"/>
        <v>#REF!</v>
      </c>
      <c r="Q66" s="46" t="e">
        <f t="shared" si="29"/>
        <v>#REF!</v>
      </c>
      <c r="R66" s="46" t="e">
        <f t="shared" si="29"/>
        <v>#REF!</v>
      </c>
      <c r="S66" s="46" t="e">
        <f t="shared" si="29"/>
        <v>#REF!</v>
      </c>
      <c r="T66" s="46" t="e">
        <f t="shared" si="29"/>
        <v>#REF!</v>
      </c>
      <c r="U66" s="46" t="e">
        <f t="shared" si="29"/>
        <v>#REF!</v>
      </c>
    </row>
    <row r="67" spans="1:21" ht="20.25">
      <c r="A67" s="90"/>
      <c r="B67" s="85"/>
      <c r="C67" s="26" t="s">
        <v>79</v>
      </c>
      <c r="D67" s="27" t="s">
        <v>20</v>
      </c>
      <c r="E67" s="46">
        <v>51.302</v>
      </c>
      <c r="F67" s="46">
        <v>51.302</v>
      </c>
      <c r="G67" s="46"/>
      <c r="H67" s="46"/>
      <c r="I67" s="46" t="e">
        <f t="shared" ref="I67:U68" si="30">I44</f>
        <v>#REF!</v>
      </c>
      <c r="J67" s="46" t="e">
        <f t="shared" si="30"/>
        <v>#REF!</v>
      </c>
      <c r="K67" s="46" t="e">
        <f t="shared" si="30"/>
        <v>#REF!</v>
      </c>
      <c r="L67" s="46" t="e">
        <f t="shared" si="30"/>
        <v>#REF!</v>
      </c>
      <c r="M67" s="46" t="e">
        <f t="shared" si="30"/>
        <v>#REF!</v>
      </c>
      <c r="N67" s="46" t="e">
        <f t="shared" si="30"/>
        <v>#REF!</v>
      </c>
      <c r="O67" s="46" t="e">
        <f t="shared" si="30"/>
        <v>#REF!</v>
      </c>
      <c r="P67" s="46" t="e">
        <f t="shared" si="30"/>
        <v>#REF!</v>
      </c>
      <c r="Q67" s="46" t="e">
        <f t="shared" si="30"/>
        <v>#REF!</v>
      </c>
      <c r="R67" s="46" t="e">
        <f t="shared" si="30"/>
        <v>#REF!</v>
      </c>
      <c r="S67" s="46" t="e">
        <f t="shared" si="30"/>
        <v>#REF!</v>
      </c>
      <c r="T67" s="46" t="e">
        <f t="shared" si="30"/>
        <v>#REF!</v>
      </c>
      <c r="U67" s="46" t="e">
        <f t="shared" si="30"/>
        <v>#REF!</v>
      </c>
    </row>
    <row r="68" spans="1:21" ht="21" thickBot="1">
      <c r="A68" s="90"/>
      <c r="B68" s="85"/>
      <c r="C68" s="26" t="s">
        <v>80</v>
      </c>
      <c r="D68" s="27" t="s">
        <v>20</v>
      </c>
      <c r="E68" s="46">
        <v>51.302</v>
      </c>
      <c r="F68" s="46">
        <v>51.302</v>
      </c>
      <c r="G68" s="46"/>
      <c r="H68" s="46"/>
      <c r="I68" s="46" t="e">
        <f t="shared" si="30"/>
        <v>#REF!</v>
      </c>
      <c r="J68" s="46" t="e">
        <f t="shared" si="30"/>
        <v>#REF!</v>
      </c>
      <c r="K68" s="46" t="e">
        <f t="shared" si="30"/>
        <v>#REF!</v>
      </c>
      <c r="L68" s="46" t="e">
        <f t="shared" si="30"/>
        <v>#REF!</v>
      </c>
      <c r="M68" s="46" t="e">
        <f t="shared" si="30"/>
        <v>#REF!</v>
      </c>
      <c r="N68" s="46" t="e">
        <f t="shared" si="30"/>
        <v>#REF!</v>
      </c>
      <c r="O68" s="46" t="e">
        <f t="shared" si="30"/>
        <v>#REF!</v>
      </c>
      <c r="P68" s="46" t="e">
        <f t="shared" si="30"/>
        <v>#REF!</v>
      </c>
      <c r="Q68" s="46" t="e">
        <f t="shared" si="30"/>
        <v>#REF!</v>
      </c>
      <c r="R68" s="46" t="e">
        <f t="shared" si="30"/>
        <v>#REF!</v>
      </c>
      <c r="S68" s="46" t="e">
        <f t="shared" si="30"/>
        <v>#REF!</v>
      </c>
      <c r="T68" s="46" t="e">
        <f t="shared" si="30"/>
        <v>#REF!</v>
      </c>
      <c r="U68" s="46" t="e">
        <f t="shared" si="30"/>
        <v>#REF!</v>
      </c>
    </row>
    <row r="69" spans="1:21" ht="21" thickBot="1">
      <c r="A69" s="91"/>
      <c r="B69" s="86"/>
      <c r="C69" s="12" t="s">
        <v>21</v>
      </c>
      <c r="D69" s="13" t="s">
        <v>20</v>
      </c>
      <c r="E69" s="14">
        <f>E59*E60+SUMPRODUCT(E62:E62,E61:E61)+SUMPRODUCT(E63:E65,E66:E68)</f>
        <v>51.301999999999992</v>
      </c>
      <c r="F69" s="14">
        <f t="shared" ref="F69:U69" si="31">F59*F60+SUMPRODUCT(F62:F62,F61:F61)+SUMPRODUCT(F63:F65,F66:F68)</f>
        <v>51.301999999999992</v>
      </c>
      <c r="G69" s="14" t="e">
        <f t="shared" si="31"/>
        <v>#VALUE!</v>
      </c>
      <c r="H69" s="14" t="e">
        <f t="shared" si="31"/>
        <v>#VALUE!</v>
      </c>
      <c r="I69" s="14" t="e">
        <f t="shared" si="31"/>
        <v>#REF!</v>
      </c>
      <c r="J69" s="14" t="e">
        <f t="shared" si="31"/>
        <v>#REF!</v>
      </c>
      <c r="K69" s="14" t="e">
        <f t="shared" si="31"/>
        <v>#REF!</v>
      </c>
      <c r="L69" s="14" t="e">
        <f t="shared" si="31"/>
        <v>#REF!</v>
      </c>
      <c r="M69" s="14" t="e">
        <f t="shared" si="31"/>
        <v>#REF!</v>
      </c>
      <c r="N69" s="14" t="e">
        <f t="shared" si="31"/>
        <v>#REF!</v>
      </c>
      <c r="O69" s="14" t="e">
        <f t="shared" si="31"/>
        <v>#REF!</v>
      </c>
      <c r="P69" s="14" t="e">
        <f t="shared" si="31"/>
        <v>#REF!</v>
      </c>
      <c r="Q69" s="14" t="e">
        <f t="shared" si="31"/>
        <v>#REF!</v>
      </c>
      <c r="R69" s="14" t="e">
        <f t="shared" si="31"/>
        <v>#REF!</v>
      </c>
      <c r="S69" s="14" t="e">
        <f t="shared" si="31"/>
        <v>#REF!</v>
      </c>
      <c r="T69" s="14" t="e">
        <f t="shared" si="31"/>
        <v>#REF!</v>
      </c>
      <c r="U69" s="14" t="e">
        <f t="shared" si="31"/>
        <v>#REF!</v>
      </c>
    </row>
    <row r="70" spans="1:21" ht="21" thickBot="1">
      <c r="C70" s="12" t="s">
        <v>18</v>
      </c>
      <c r="D70" s="13" t="s">
        <v>19</v>
      </c>
      <c r="E70" s="34">
        <f>E69+E58</f>
        <v>52.836982938944161</v>
      </c>
      <c r="F70" s="34">
        <f t="shared" ref="F70:U70" si="32">F69+F58</f>
        <v>52.836982938944161</v>
      </c>
      <c r="G70" s="34" t="e">
        <f t="shared" si="32"/>
        <v>#VALUE!</v>
      </c>
      <c r="H70" s="34" t="e">
        <f t="shared" si="32"/>
        <v>#VALUE!</v>
      </c>
      <c r="I70" s="34" t="e">
        <f t="shared" si="32"/>
        <v>#REF!</v>
      </c>
      <c r="J70" s="34" t="e">
        <f t="shared" si="32"/>
        <v>#REF!</v>
      </c>
      <c r="K70" s="34" t="e">
        <f t="shared" si="32"/>
        <v>#REF!</v>
      </c>
      <c r="L70" s="34" t="e">
        <f t="shared" si="32"/>
        <v>#REF!</v>
      </c>
      <c r="M70" s="34" t="e">
        <f t="shared" si="32"/>
        <v>#REF!</v>
      </c>
      <c r="N70" s="34" t="e">
        <f t="shared" si="32"/>
        <v>#REF!</v>
      </c>
      <c r="O70" s="34" t="e">
        <f t="shared" si="32"/>
        <v>#REF!</v>
      </c>
      <c r="P70" s="34" t="e">
        <f t="shared" si="32"/>
        <v>#REF!</v>
      </c>
      <c r="Q70" s="34" t="e">
        <f t="shared" si="32"/>
        <v>#REF!</v>
      </c>
      <c r="R70" s="34" t="e">
        <f t="shared" si="32"/>
        <v>#REF!</v>
      </c>
      <c r="S70" s="34" t="e">
        <f t="shared" si="32"/>
        <v>#REF!</v>
      </c>
      <c r="T70" s="34" t="e">
        <f t="shared" si="32"/>
        <v>#REF!</v>
      </c>
      <c r="U70" s="34" t="e">
        <f t="shared" si="32"/>
        <v>#REF!</v>
      </c>
    </row>
    <row r="71" spans="1:21" ht="15.75" thickBot="1">
      <c r="D71" s="56"/>
      <c r="E71" s="55"/>
    </row>
    <row r="72" spans="1:21" ht="21.75" thickBot="1">
      <c r="C72" s="87" t="s">
        <v>26</v>
      </c>
      <c r="D72" s="88"/>
      <c r="E72" s="15" t="str">
        <f>E9</f>
        <v>2024 Q1</v>
      </c>
      <c r="F72" s="15" t="str">
        <f t="shared" ref="F72:U72" si="33">F9</f>
        <v>2024 Q2</v>
      </c>
      <c r="G72" s="15" t="str">
        <f t="shared" si="33"/>
        <v>2024 Q3</v>
      </c>
      <c r="H72" s="15" t="str">
        <f t="shared" si="33"/>
        <v>2024 Q4</v>
      </c>
      <c r="I72" s="15" t="str">
        <f t="shared" si="33"/>
        <v>2025 Q1</v>
      </c>
      <c r="J72" s="15" t="str">
        <f t="shared" si="33"/>
        <v>2025 Q2</v>
      </c>
      <c r="K72" s="15" t="str">
        <f t="shared" si="33"/>
        <v>2025 Q3</v>
      </c>
      <c r="L72" s="15" t="str">
        <f t="shared" si="33"/>
        <v>2025 Q4</v>
      </c>
      <c r="M72" s="15">
        <f t="shared" si="33"/>
        <v>2026</v>
      </c>
      <c r="N72" s="15">
        <f t="shared" si="33"/>
        <v>2027</v>
      </c>
      <c r="O72" s="15">
        <f t="shared" si="33"/>
        <v>2028</v>
      </c>
      <c r="P72" s="15">
        <f t="shared" si="33"/>
        <v>2029</v>
      </c>
      <c r="Q72" s="15">
        <f t="shared" si="33"/>
        <v>2030</v>
      </c>
      <c r="R72" s="15">
        <f t="shared" si="33"/>
        <v>2031</v>
      </c>
      <c r="S72" s="15">
        <f t="shared" si="33"/>
        <v>2032</v>
      </c>
      <c r="T72" s="15">
        <f t="shared" si="33"/>
        <v>2033</v>
      </c>
      <c r="U72" s="15">
        <f t="shared" si="33"/>
        <v>2034</v>
      </c>
    </row>
    <row r="73" spans="1:21" ht="18.75" customHeight="1" thickBot="1">
      <c r="A73" s="41"/>
      <c r="C73" s="22" t="s">
        <v>27</v>
      </c>
      <c r="D73" s="24" t="s">
        <v>1</v>
      </c>
      <c r="E73" s="35">
        <v>3.5000000000000003E-2</v>
      </c>
      <c r="F73" s="35">
        <f>E73</f>
        <v>3.5000000000000003E-2</v>
      </c>
      <c r="G73" s="35">
        <f t="shared" ref="G73:U88" si="34">F73</f>
        <v>3.5000000000000003E-2</v>
      </c>
      <c r="H73" s="35">
        <f t="shared" si="34"/>
        <v>3.5000000000000003E-2</v>
      </c>
      <c r="I73" s="35">
        <f t="shared" si="34"/>
        <v>3.5000000000000003E-2</v>
      </c>
      <c r="J73" s="35">
        <f t="shared" si="34"/>
        <v>3.5000000000000003E-2</v>
      </c>
      <c r="K73" s="35">
        <f t="shared" si="34"/>
        <v>3.5000000000000003E-2</v>
      </c>
      <c r="L73" s="35">
        <f t="shared" si="34"/>
        <v>3.5000000000000003E-2</v>
      </c>
      <c r="M73" s="35">
        <f t="shared" si="34"/>
        <v>3.5000000000000003E-2</v>
      </c>
      <c r="N73" s="35">
        <f t="shared" si="34"/>
        <v>3.5000000000000003E-2</v>
      </c>
      <c r="O73" s="35">
        <f t="shared" si="34"/>
        <v>3.5000000000000003E-2</v>
      </c>
      <c r="P73" s="35">
        <f t="shared" si="34"/>
        <v>3.5000000000000003E-2</v>
      </c>
      <c r="Q73" s="35">
        <f t="shared" si="34"/>
        <v>3.5000000000000003E-2</v>
      </c>
      <c r="R73" s="35">
        <f t="shared" si="34"/>
        <v>3.5000000000000003E-2</v>
      </c>
      <c r="S73" s="35">
        <f t="shared" si="34"/>
        <v>3.5000000000000003E-2</v>
      </c>
      <c r="T73" s="35">
        <f t="shared" si="34"/>
        <v>3.5000000000000003E-2</v>
      </c>
      <c r="U73" s="35">
        <f t="shared" si="34"/>
        <v>3.5000000000000003E-2</v>
      </c>
    </row>
    <row r="74" spans="1:21" ht="18.75" customHeight="1">
      <c r="A74" s="41"/>
      <c r="B74" s="92" t="s">
        <v>84</v>
      </c>
      <c r="C74" s="22" t="s">
        <v>43</v>
      </c>
      <c r="D74" s="24" t="s">
        <v>38</v>
      </c>
      <c r="E74" s="28">
        <v>2.7202999999999999</v>
      </c>
      <c r="F74" s="28">
        <f>E74</f>
        <v>2.7202999999999999</v>
      </c>
      <c r="G74" s="28">
        <f t="shared" si="34"/>
        <v>2.7202999999999999</v>
      </c>
      <c r="H74" s="28">
        <f t="shared" si="34"/>
        <v>2.7202999999999999</v>
      </c>
      <c r="I74" s="28">
        <v>2.7202999999999999</v>
      </c>
      <c r="J74" s="28">
        <f>I74</f>
        <v>2.7202999999999999</v>
      </c>
      <c r="K74" s="28">
        <f t="shared" si="34"/>
        <v>2.7202999999999999</v>
      </c>
      <c r="L74" s="28">
        <f t="shared" si="34"/>
        <v>2.7202999999999999</v>
      </c>
      <c r="M74" s="28">
        <f t="shared" si="34"/>
        <v>2.7202999999999999</v>
      </c>
      <c r="N74" s="28">
        <f t="shared" si="34"/>
        <v>2.7202999999999999</v>
      </c>
      <c r="O74" s="28">
        <f t="shared" si="34"/>
        <v>2.7202999999999999</v>
      </c>
      <c r="P74" s="28">
        <f t="shared" si="34"/>
        <v>2.7202999999999999</v>
      </c>
      <c r="Q74" s="28">
        <f t="shared" si="34"/>
        <v>2.7202999999999999</v>
      </c>
      <c r="R74" s="28">
        <f t="shared" si="34"/>
        <v>2.7202999999999999</v>
      </c>
      <c r="S74" s="28">
        <f t="shared" si="34"/>
        <v>2.7202999999999999</v>
      </c>
      <c r="T74" s="28">
        <f t="shared" si="34"/>
        <v>2.7202999999999999</v>
      </c>
      <c r="U74" s="28">
        <f t="shared" si="34"/>
        <v>2.7202999999999999</v>
      </c>
    </row>
    <row r="75" spans="1:21" ht="20.25">
      <c r="A75" s="41"/>
      <c r="B75" s="93"/>
      <c r="C75" s="26" t="s">
        <v>47</v>
      </c>
      <c r="D75" s="27" t="s">
        <v>49</v>
      </c>
      <c r="E75" s="43">
        <v>2.6057999999999999</v>
      </c>
      <c r="F75" s="43">
        <f t="shared" ref="F75:F79" si="35">E75</f>
        <v>2.6057999999999999</v>
      </c>
      <c r="G75" s="43">
        <f t="shared" si="34"/>
        <v>2.6057999999999999</v>
      </c>
      <c r="H75" s="43">
        <f t="shared" si="34"/>
        <v>2.6057999999999999</v>
      </c>
      <c r="I75" s="43">
        <v>2.6059000000000001</v>
      </c>
      <c r="J75" s="43">
        <f t="shared" ref="J75:J79" si="36">I75</f>
        <v>2.6059000000000001</v>
      </c>
      <c r="K75" s="43">
        <f t="shared" si="34"/>
        <v>2.6059000000000001</v>
      </c>
      <c r="L75" s="43">
        <f t="shared" si="34"/>
        <v>2.6059000000000001</v>
      </c>
      <c r="M75" s="43">
        <f t="shared" si="34"/>
        <v>2.6059000000000001</v>
      </c>
      <c r="N75" s="43">
        <f t="shared" si="34"/>
        <v>2.6059000000000001</v>
      </c>
      <c r="O75" s="43">
        <f t="shared" si="34"/>
        <v>2.6059000000000001</v>
      </c>
      <c r="P75" s="43">
        <f t="shared" si="34"/>
        <v>2.6059000000000001</v>
      </c>
      <c r="Q75" s="43">
        <f t="shared" si="34"/>
        <v>2.6059000000000001</v>
      </c>
      <c r="R75" s="43">
        <f t="shared" si="34"/>
        <v>2.6059000000000001</v>
      </c>
      <c r="S75" s="43">
        <f t="shared" si="34"/>
        <v>2.6059000000000001</v>
      </c>
      <c r="T75" s="43">
        <f t="shared" si="34"/>
        <v>2.6059000000000001</v>
      </c>
      <c r="U75" s="43">
        <f t="shared" si="34"/>
        <v>2.6059000000000001</v>
      </c>
    </row>
    <row r="76" spans="1:21" ht="20.25">
      <c r="A76" s="41"/>
      <c r="B76" s="93"/>
      <c r="C76" s="26" t="s">
        <v>44</v>
      </c>
      <c r="D76" s="27" t="s">
        <v>49</v>
      </c>
      <c r="E76" s="43">
        <v>2.7323</v>
      </c>
      <c r="F76" s="43">
        <f t="shared" si="35"/>
        <v>2.7323</v>
      </c>
      <c r="G76" s="43">
        <f t="shared" si="34"/>
        <v>2.7323</v>
      </c>
      <c r="H76" s="43">
        <f t="shared" si="34"/>
        <v>2.7323</v>
      </c>
      <c r="I76" s="43">
        <v>2.7323</v>
      </c>
      <c r="J76" s="43">
        <f t="shared" si="36"/>
        <v>2.7323</v>
      </c>
      <c r="K76" s="43">
        <f t="shared" si="34"/>
        <v>2.7323</v>
      </c>
      <c r="L76" s="43">
        <f t="shared" si="34"/>
        <v>2.7323</v>
      </c>
      <c r="M76" s="43">
        <f t="shared" si="34"/>
        <v>2.7323</v>
      </c>
      <c r="N76" s="43">
        <f t="shared" si="34"/>
        <v>2.7323</v>
      </c>
      <c r="O76" s="43">
        <f t="shared" si="34"/>
        <v>2.7323</v>
      </c>
      <c r="P76" s="43">
        <f t="shared" si="34"/>
        <v>2.7323</v>
      </c>
      <c r="Q76" s="43">
        <f t="shared" si="34"/>
        <v>2.7323</v>
      </c>
      <c r="R76" s="43">
        <f t="shared" si="34"/>
        <v>2.7323</v>
      </c>
      <c r="S76" s="43">
        <f t="shared" si="34"/>
        <v>2.7323</v>
      </c>
      <c r="T76" s="43">
        <f t="shared" si="34"/>
        <v>2.7323</v>
      </c>
      <c r="U76" s="43">
        <f t="shared" si="34"/>
        <v>2.7323</v>
      </c>
    </row>
    <row r="77" spans="1:21" ht="20.25">
      <c r="A77" s="41"/>
      <c r="B77" s="93"/>
      <c r="C77" s="26" t="s">
        <v>45</v>
      </c>
      <c r="D77" s="27" t="s">
        <v>49</v>
      </c>
      <c r="E77" s="43">
        <v>2.6168999999999998</v>
      </c>
      <c r="F77" s="43">
        <f t="shared" si="35"/>
        <v>2.6168999999999998</v>
      </c>
      <c r="G77" s="43">
        <f t="shared" si="34"/>
        <v>2.6168999999999998</v>
      </c>
      <c r="H77" s="43">
        <f t="shared" si="34"/>
        <v>2.6168999999999998</v>
      </c>
      <c r="I77" s="43">
        <v>2.617</v>
      </c>
      <c r="J77" s="43">
        <f t="shared" si="36"/>
        <v>2.617</v>
      </c>
      <c r="K77" s="43">
        <f t="shared" si="34"/>
        <v>2.617</v>
      </c>
      <c r="L77" s="43">
        <f t="shared" si="34"/>
        <v>2.617</v>
      </c>
      <c r="M77" s="43">
        <f t="shared" si="34"/>
        <v>2.617</v>
      </c>
      <c r="N77" s="43">
        <f t="shared" si="34"/>
        <v>2.617</v>
      </c>
      <c r="O77" s="43">
        <f t="shared" si="34"/>
        <v>2.617</v>
      </c>
      <c r="P77" s="43">
        <f t="shared" si="34"/>
        <v>2.617</v>
      </c>
      <c r="Q77" s="43">
        <f t="shared" si="34"/>
        <v>2.617</v>
      </c>
      <c r="R77" s="43">
        <f t="shared" si="34"/>
        <v>2.617</v>
      </c>
      <c r="S77" s="43">
        <f t="shared" si="34"/>
        <v>2.617</v>
      </c>
      <c r="T77" s="43">
        <f t="shared" si="34"/>
        <v>2.617</v>
      </c>
      <c r="U77" s="43">
        <f t="shared" si="34"/>
        <v>2.617</v>
      </c>
    </row>
    <row r="78" spans="1:21" ht="20.25">
      <c r="A78" s="41"/>
      <c r="B78" s="93"/>
      <c r="C78" s="26" t="s">
        <v>46</v>
      </c>
      <c r="D78" s="27" t="s">
        <v>49</v>
      </c>
      <c r="E78" s="43">
        <v>0</v>
      </c>
      <c r="F78" s="43">
        <f t="shared" si="35"/>
        <v>0</v>
      </c>
      <c r="G78" s="43">
        <f t="shared" si="34"/>
        <v>0</v>
      </c>
      <c r="H78" s="43">
        <f t="shared" si="34"/>
        <v>0</v>
      </c>
      <c r="I78" s="43">
        <v>0</v>
      </c>
      <c r="J78" s="43">
        <f t="shared" si="36"/>
        <v>0</v>
      </c>
      <c r="K78" s="43">
        <f t="shared" si="34"/>
        <v>0</v>
      </c>
      <c r="L78" s="43">
        <f t="shared" si="34"/>
        <v>0</v>
      </c>
      <c r="M78" s="43">
        <f t="shared" si="34"/>
        <v>0</v>
      </c>
      <c r="N78" s="43">
        <f t="shared" si="34"/>
        <v>0</v>
      </c>
      <c r="O78" s="43">
        <f t="shared" si="34"/>
        <v>0</v>
      </c>
      <c r="P78" s="43">
        <f t="shared" si="34"/>
        <v>0</v>
      </c>
      <c r="Q78" s="43">
        <f t="shared" si="34"/>
        <v>0</v>
      </c>
      <c r="R78" s="43">
        <f t="shared" si="34"/>
        <v>0</v>
      </c>
      <c r="S78" s="43">
        <f t="shared" si="34"/>
        <v>0</v>
      </c>
      <c r="T78" s="43">
        <f t="shared" si="34"/>
        <v>0</v>
      </c>
      <c r="U78" s="43">
        <f t="shared" si="34"/>
        <v>0</v>
      </c>
    </row>
    <row r="79" spans="1:21" ht="21" thickBot="1">
      <c r="A79" s="41"/>
      <c r="B79" s="94"/>
      <c r="C79" s="23" t="s">
        <v>48</v>
      </c>
      <c r="D79" s="27" t="s">
        <v>49</v>
      </c>
      <c r="E79" s="43">
        <v>2.9956</v>
      </c>
      <c r="F79" s="43">
        <f t="shared" si="35"/>
        <v>2.9956</v>
      </c>
      <c r="G79" s="43">
        <f t="shared" si="34"/>
        <v>2.9956</v>
      </c>
      <c r="H79" s="43">
        <f t="shared" si="34"/>
        <v>2.9956</v>
      </c>
      <c r="I79" s="43">
        <v>2.9956999999999998</v>
      </c>
      <c r="J79" s="43">
        <f t="shared" si="36"/>
        <v>2.9956999999999998</v>
      </c>
      <c r="K79" s="43">
        <f t="shared" si="34"/>
        <v>2.9956999999999998</v>
      </c>
      <c r="L79" s="43">
        <f t="shared" si="34"/>
        <v>2.9956999999999998</v>
      </c>
      <c r="M79" s="43">
        <f t="shared" si="34"/>
        <v>2.9956999999999998</v>
      </c>
      <c r="N79" s="43">
        <f t="shared" si="34"/>
        <v>2.9956999999999998</v>
      </c>
      <c r="O79" s="43">
        <f t="shared" si="34"/>
        <v>2.9956999999999998</v>
      </c>
      <c r="P79" s="43">
        <f t="shared" si="34"/>
        <v>2.9956999999999998</v>
      </c>
      <c r="Q79" s="43">
        <f t="shared" si="34"/>
        <v>2.9956999999999998</v>
      </c>
      <c r="R79" s="43">
        <f t="shared" si="34"/>
        <v>2.9956999999999998</v>
      </c>
      <c r="S79" s="43">
        <f t="shared" si="34"/>
        <v>2.9956999999999998</v>
      </c>
      <c r="T79" s="43">
        <f t="shared" si="34"/>
        <v>2.9956999999999998</v>
      </c>
      <c r="U79" s="43">
        <f t="shared" si="34"/>
        <v>2.9956999999999998</v>
      </c>
    </row>
    <row r="80" spans="1:21" ht="18.75" customHeight="1">
      <c r="A80" s="41"/>
      <c r="B80" s="92" t="s">
        <v>29</v>
      </c>
      <c r="C80" s="22" t="s">
        <v>43</v>
      </c>
      <c r="D80" s="24" t="s">
        <v>50</v>
      </c>
      <c r="E80" s="28">
        <v>15.686</v>
      </c>
      <c r="F80" s="28">
        <f>E80</f>
        <v>15.686</v>
      </c>
      <c r="G80" s="28">
        <f t="shared" si="34"/>
        <v>15.686</v>
      </c>
      <c r="H80" s="28">
        <f t="shared" si="34"/>
        <v>15.686</v>
      </c>
      <c r="I80" s="28">
        <v>15.829000000000001</v>
      </c>
      <c r="J80" s="28">
        <f>I80</f>
        <v>15.829000000000001</v>
      </c>
      <c r="K80" s="28">
        <f t="shared" si="34"/>
        <v>15.829000000000001</v>
      </c>
      <c r="L80" s="28">
        <f t="shared" si="34"/>
        <v>15.829000000000001</v>
      </c>
      <c r="M80" s="28">
        <f t="shared" si="34"/>
        <v>15.829000000000001</v>
      </c>
      <c r="N80" s="28">
        <f t="shared" si="34"/>
        <v>15.829000000000001</v>
      </c>
      <c r="O80" s="28">
        <f t="shared" si="34"/>
        <v>15.829000000000001</v>
      </c>
      <c r="P80" s="28">
        <f t="shared" si="34"/>
        <v>15.829000000000001</v>
      </c>
      <c r="Q80" s="28">
        <f t="shared" si="34"/>
        <v>15.829000000000001</v>
      </c>
      <c r="R80" s="28">
        <f t="shared" si="34"/>
        <v>15.829000000000001</v>
      </c>
      <c r="S80" s="28">
        <f t="shared" si="34"/>
        <v>15.829000000000001</v>
      </c>
      <c r="T80" s="28">
        <f t="shared" si="34"/>
        <v>15.829000000000001</v>
      </c>
      <c r="U80" s="28">
        <f t="shared" si="34"/>
        <v>15.829000000000001</v>
      </c>
    </row>
    <row r="81" spans="1:21" ht="20.25">
      <c r="A81" s="41"/>
      <c r="B81" s="93"/>
      <c r="C81" s="26" t="s">
        <v>47</v>
      </c>
      <c r="D81" s="27" t="s">
        <v>50</v>
      </c>
      <c r="E81" s="43">
        <v>20.303000000000001</v>
      </c>
      <c r="F81" s="43">
        <f t="shared" ref="F81:F85" si="37">E81</f>
        <v>20.303000000000001</v>
      </c>
      <c r="G81" s="43">
        <f t="shared" si="34"/>
        <v>20.303000000000001</v>
      </c>
      <c r="H81" s="43">
        <f t="shared" si="34"/>
        <v>20.303000000000001</v>
      </c>
      <c r="I81" s="43">
        <v>20.491</v>
      </c>
      <c r="J81" s="43">
        <f t="shared" ref="J81:J85" si="38">I81</f>
        <v>20.491</v>
      </c>
      <c r="K81" s="43">
        <f t="shared" si="34"/>
        <v>20.491</v>
      </c>
      <c r="L81" s="43">
        <f t="shared" si="34"/>
        <v>20.491</v>
      </c>
      <c r="M81" s="43">
        <f t="shared" si="34"/>
        <v>20.491</v>
      </c>
      <c r="N81" s="43">
        <f t="shared" si="34"/>
        <v>20.491</v>
      </c>
      <c r="O81" s="43">
        <f t="shared" si="34"/>
        <v>20.491</v>
      </c>
      <c r="P81" s="43">
        <f t="shared" si="34"/>
        <v>20.491</v>
      </c>
      <c r="Q81" s="43">
        <f t="shared" si="34"/>
        <v>20.491</v>
      </c>
      <c r="R81" s="43">
        <f t="shared" si="34"/>
        <v>20.491</v>
      </c>
      <c r="S81" s="43">
        <f t="shared" si="34"/>
        <v>20.491</v>
      </c>
      <c r="T81" s="43">
        <f t="shared" si="34"/>
        <v>20.491</v>
      </c>
      <c r="U81" s="43">
        <f t="shared" si="34"/>
        <v>20.491</v>
      </c>
    </row>
    <row r="82" spans="1:21" ht="20.25">
      <c r="A82" s="41"/>
      <c r="B82" s="93"/>
      <c r="C82" s="26" t="s">
        <v>44</v>
      </c>
      <c r="D82" s="27" t="s">
        <v>50</v>
      </c>
      <c r="E82" s="43">
        <v>15.688000000000001</v>
      </c>
      <c r="F82" s="43">
        <f t="shared" si="37"/>
        <v>15.688000000000001</v>
      </c>
      <c r="G82" s="43">
        <f t="shared" si="34"/>
        <v>15.688000000000001</v>
      </c>
      <c r="H82" s="43">
        <f t="shared" si="34"/>
        <v>15.688000000000001</v>
      </c>
      <c r="I82" s="43">
        <v>15.83</v>
      </c>
      <c r="J82" s="43">
        <f t="shared" si="38"/>
        <v>15.83</v>
      </c>
      <c r="K82" s="43">
        <f t="shared" si="34"/>
        <v>15.83</v>
      </c>
      <c r="L82" s="43">
        <f t="shared" si="34"/>
        <v>15.83</v>
      </c>
      <c r="M82" s="43">
        <f t="shared" si="34"/>
        <v>15.83</v>
      </c>
      <c r="N82" s="43">
        <f t="shared" si="34"/>
        <v>15.83</v>
      </c>
      <c r="O82" s="43">
        <f t="shared" si="34"/>
        <v>15.83</v>
      </c>
      <c r="P82" s="43">
        <f t="shared" si="34"/>
        <v>15.83</v>
      </c>
      <c r="Q82" s="43">
        <f t="shared" si="34"/>
        <v>15.83</v>
      </c>
      <c r="R82" s="43">
        <f t="shared" si="34"/>
        <v>15.83</v>
      </c>
      <c r="S82" s="43">
        <f t="shared" si="34"/>
        <v>15.83</v>
      </c>
      <c r="T82" s="43">
        <f t="shared" si="34"/>
        <v>15.83</v>
      </c>
      <c r="U82" s="43">
        <f t="shared" si="34"/>
        <v>15.83</v>
      </c>
    </row>
    <row r="83" spans="1:21" ht="20.25">
      <c r="A83" s="41"/>
      <c r="B83" s="93"/>
      <c r="C83" s="26" t="s">
        <v>45</v>
      </c>
      <c r="D83" s="27" t="s">
        <v>50</v>
      </c>
      <c r="E83" s="43">
        <v>20.478999999999999</v>
      </c>
      <c r="F83" s="43">
        <f t="shared" si="37"/>
        <v>20.478999999999999</v>
      </c>
      <c r="G83" s="43">
        <f t="shared" si="34"/>
        <v>20.478999999999999</v>
      </c>
      <c r="H83" s="43">
        <f t="shared" si="34"/>
        <v>20.478999999999999</v>
      </c>
      <c r="I83" s="43">
        <v>20.669</v>
      </c>
      <c r="J83" s="43">
        <f t="shared" si="38"/>
        <v>20.669</v>
      </c>
      <c r="K83" s="43">
        <f t="shared" si="34"/>
        <v>20.669</v>
      </c>
      <c r="L83" s="43">
        <f t="shared" si="34"/>
        <v>20.669</v>
      </c>
      <c r="M83" s="43">
        <f t="shared" si="34"/>
        <v>20.669</v>
      </c>
      <c r="N83" s="43">
        <f t="shared" si="34"/>
        <v>20.669</v>
      </c>
      <c r="O83" s="43">
        <f t="shared" si="34"/>
        <v>20.669</v>
      </c>
      <c r="P83" s="43">
        <f t="shared" si="34"/>
        <v>20.669</v>
      </c>
      <c r="Q83" s="43">
        <f t="shared" si="34"/>
        <v>20.669</v>
      </c>
      <c r="R83" s="43">
        <f t="shared" si="34"/>
        <v>20.669</v>
      </c>
      <c r="S83" s="43">
        <f t="shared" si="34"/>
        <v>20.669</v>
      </c>
      <c r="T83" s="43">
        <f t="shared" si="34"/>
        <v>20.669</v>
      </c>
      <c r="U83" s="43">
        <f t="shared" si="34"/>
        <v>20.669</v>
      </c>
    </row>
    <row r="84" spans="1:21" ht="25.5" customHeight="1">
      <c r="A84" s="41"/>
      <c r="B84" s="93"/>
      <c r="C84" s="26" t="s">
        <v>46</v>
      </c>
      <c r="D84" s="27" t="s">
        <v>50</v>
      </c>
      <c r="E84" s="43">
        <v>0</v>
      </c>
      <c r="F84" s="43">
        <f t="shared" si="37"/>
        <v>0</v>
      </c>
      <c r="G84" s="43">
        <f t="shared" si="34"/>
        <v>0</v>
      </c>
      <c r="H84" s="43">
        <f t="shared" si="34"/>
        <v>0</v>
      </c>
      <c r="I84" s="43">
        <v>0</v>
      </c>
      <c r="J84" s="43">
        <f t="shared" si="38"/>
        <v>0</v>
      </c>
      <c r="K84" s="43">
        <f t="shared" si="34"/>
        <v>0</v>
      </c>
      <c r="L84" s="43">
        <f t="shared" si="34"/>
        <v>0</v>
      </c>
      <c r="M84" s="43">
        <f t="shared" si="34"/>
        <v>0</v>
      </c>
      <c r="N84" s="43">
        <f t="shared" si="34"/>
        <v>0</v>
      </c>
      <c r="O84" s="43">
        <f t="shared" si="34"/>
        <v>0</v>
      </c>
      <c r="P84" s="43">
        <f t="shared" si="34"/>
        <v>0</v>
      </c>
      <c r="Q84" s="43">
        <f t="shared" si="34"/>
        <v>0</v>
      </c>
      <c r="R84" s="43">
        <f t="shared" si="34"/>
        <v>0</v>
      </c>
      <c r="S84" s="43">
        <f t="shared" si="34"/>
        <v>0</v>
      </c>
      <c r="T84" s="43">
        <f t="shared" si="34"/>
        <v>0</v>
      </c>
      <c r="U84" s="43">
        <f t="shared" si="34"/>
        <v>0</v>
      </c>
    </row>
    <row r="85" spans="1:21" ht="25.5" customHeight="1" thickBot="1">
      <c r="A85" s="41"/>
      <c r="B85" s="94"/>
      <c r="C85" s="23" t="s">
        <v>48</v>
      </c>
      <c r="D85" s="27" t="s">
        <v>50</v>
      </c>
      <c r="E85" s="43">
        <v>22.891999999999999</v>
      </c>
      <c r="F85" s="43">
        <f t="shared" si="37"/>
        <v>22.891999999999999</v>
      </c>
      <c r="G85" s="43">
        <f t="shared" si="34"/>
        <v>22.891999999999999</v>
      </c>
      <c r="H85" s="43">
        <f t="shared" si="34"/>
        <v>22.891999999999999</v>
      </c>
      <c r="I85" s="43">
        <v>23.106000000000002</v>
      </c>
      <c r="J85" s="43">
        <f t="shared" si="38"/>
        <v>23.106000000000002</v>
      </c>
      <c r="K85" s="43">
        <f t="shared" si="34"/>
        <v>23.106000000000002</v>
      </c>
      <c r="L85" s="43">
        <f t="shared" si="34"/>
        <v>23.106000000000002</v>
      </c>
      <c r="M85" s="43">
        <f t="shared" si="34"/>
        <v>23.106000000000002</v>
      </c>
      <c r="N85" s="43">
        <f t="shared" si="34"/>
        <v>23.106000000000002</v>
      </c>
      <c r="O85" s="43">
        <f t="shared" si="34"/>
        <v>23.106000000000002</v>
      </c>
      <c r="P85" s="43">
        <f t="shared" si="34"/>
        <v>23.106000000000002</v>
      </c>
      <c r="Q85" s="43">
        <f t="shared" si="34"/>
        <v>23.106000000000002</v>
      </c>
      <c r="R85" s="43">
        <f t="shared" si="34"/>
        <v>23.106000000000002</v>
      </c>
      <c r="S85" s="43">
        <f t="shared" si="34"/>
        <v>23.106000000000002</v>
      </c>
      <c r="T85" s="43">
        <f t="shared" si="34"/>
        <v>23.106000000000002</v>
      </c>
      <c r="U85" s="43">
        <f t="shared" si="34"/>
        <v>23.106000000000002</v>
      </c>
    </row>
    <row r="86" spans="1:21" ht="18.75" customHeight="1">
      <c r="A86" s="41"/>
      <c r="B86" s="92" t="s">
        <v>30</v>
      </c>
      <c r="C86" s="22" t="s">
        <v>43</v>
      </c>
      <c r="D86" s="24" t="s">
        <v>40</v>
      </c>
      <c r="E86" s="28">
        <v>0.40799999999999997</v>
      </c>
      <c r="F86" s="28">
        <f>E86</f>
        <v>0.40799999999999997</v>
      </c>
      <c r="G86" s="28">
        <f t="shared" si="34"/>
        <v>0.40799999999999997</v>
      </c>
      <c r="H86" s="28">
        <f t="shared" si="34"/>
        <v>0.40799999999999997</v>
      </c>
      <c r="I86" s="28">
        <v>0.41199999999999998</v>
      </c>
      <c r="J86" s="28">
        <f>I86</f>
        <v>0.41199999999999998</v>
      </c>
      <c r="K86" s="28">
        <f t="shared" si="34"/>
        <v>0.41199999999999998</v>
      </c>
      <c r="L86" s="28">
        <f t="shared" si="34"/>
        <v>0.41199999999999998</v>
      </c>
      <c r="M86" s="28">
        <f t="shared" si="34"/>
        <v>0.41199999999999998</v>
      </c>
      <c r="N86" s="28">
        <f t="shared" si="34"/>
        <v>0.41199999999999998</v>
      </c>
      <c r="O86" s="28">
        <f t="shared" si="34"/>
        <v>0.41199999999999998</v>
      </c>
      <c r="P86" s="28">
        <f t="shared" si="34"/>
        <v>0.41199999999999998</v>
      </c>
      <c r="Q86" s="28">
        <f t="shared" si="34"/>
        <v>0.41199999999999998</v>
      </c>
      <c r="R86" s="28">
        <f t="shared" si="34"/>
        <v>0.41199999999999998</v>
      </c>
      <c r="S86" s="28">
        <f t="shared" si="34"/>
        <v>0.41199999999999998</v>
      </c>
      <c r="T86" s="28">
        <f t="shared" si="34"/>
        <v>0.41199999999999998</v>
      </c>
      <c r="U86" s="28">
        <f t="shared" si="34"/>
        <v>0.41199999999999998</v>
      </c>
    </row>
    <row r="87" spans="1:21" ht="20.25">
      <c r="A87" s="41"/>
      <c r="B87" s="93"/>
      <c r="C87" s="26" t="s">
        <v>47</v>
      </c>
      <c r="D87" s="27" t="s">
        <v>40</v>
      </c>
      <c r="E87" s="43">
        <v>0.39900000000000002</v>
      </c>
      <c r="F87" s="43">
        <f t="shared" ref="F87:L133" si="39">E87</f>
        <v>0.39900000000000002</v>
      </c>
      <c r="G87" s="43">
        <f t="shared" si="34"/>
        <v>0.39900000000000002</v>
      </c>
      <c r="H87" s="43">
        <f t="shared" si="34"/>
        <v>0.39900000000000002</v>
      </c>
      <c r="I87" s="43">
        <v>0.40300000000000002</v>
      </c>
      <c r="J87" s="43">
        <f t="shared" ref="J87:U102" si="40">I87</f>
        <v>0.40300000000000002</v>
      </c>
      <c r="K87" s="43">
        <f t="shared" si="34"/>
        <v>0.40300000000000002</v>
      </c>
      <c r="L87" s="43">
        <f t="shared" si="34"/>
        <v>0.40300000000000002</v>
      </c>
      <c r="M87" s="43">
        <f t="shared" si="34"/>
        <v>0.40300000000000002</v>
      </c>
      <c r="N87" s="43">
        <f t="shared" si="34"/>
        <v>0.40300000000000002</v>
      </c>
      <c r="O87" s="43">
        <f t="shared" si="34"/>
        <v>0.40300000000000002</v>
      </c>
      <c r="P87" s="43">
        <f t="shared" si="34"/>
        <v>0.40300000000000002</v>
      </c>
      <c r="Q87" s="43">
        <f t="shared" si="34"/>
        <v>0.40300000000000002</v>
      </c>
      <c r="R87" s="43">
        <f t="shared" si="34"/>
        <v>0.40300000000000002</v>
      </c>
      <c r="S87" s="43">
        <f t="shared" si="34"/>
        <v>0.40300000000000002</v>
      </c>
      <c r="T87" s="43">
        <f t="shared" si="34"/>
        <v>0.40300000000000002</v>
      </c>
      <c r="U87" s="43">
        <f t="shared" si="34"/>
        <v>0.40300000000000002</v>
      </c>
    </row>
    <row r="88" spans="1:21" ht="20.25">
      <c r="A88" s="41"/>
      <c r="B88" s="93"/>
      <c r="C88" s="26" t="s">
        <v>44</v>
      </c>
      <c r="D88" s="27" t="s">
        <v>40</v>
      </c>
      <c r="E88" s="43">
        <v>0.40899999999999997</v>
      </c>
      <c r="F88" s="43">
        <f t="shared" si="39"/>
        <v>0.40899999999999997</v>
      </c>
      <c r="G88" s="43">
        <f t="shared" si="34"/>
        <v>0.40899999999999997</v>
      </c>
      <c r="H88" s="43">
        <f t="shared" si="34"/>
        <v>0.40899999999999997</v>
      </c>
      <c r="I88" s="43">
        <v>0.41299999999999998</v>
      </c>
      <c r="J88" s="43">
        <f t="shared" si="40"/>
        <v>0.41299999999999998</v>
      </c>
      <c r="K88" s="43">
        <f t="shared" si="34"/>
        <v>0.41299999999999998</v>
      </c>
      <c r="L88" s="43">
        <f t="shared" si="34"/>
        <v>0.41299999999999998</v>
      </c>
      <c r="M88" s="43">
        <f t="shared" si="34"/>
        <v>0.41299999999999998</v>
      </c>
      <c r="N88" s="43">
        <f t="shared" si="34"/>
        <v>0.41299999999999998</v>
      </c>
      <c r="O88" s="43">
        <f t="shared" si="34"/>
        <v>0.41299999999999998</v>
      </c>
      <c r="P88" s="43">
        <f t="shared" si="34"/>
        <v>0.41299999999999998</v>
      </c>
      <c r="Q88" s="43">
        <f t="shared" si="34"/>
        <v>0.41299999999999998</v>
      </c>
      <c r="R88" s="43">
        <f t="shared" si="34"/>
        <v>0.41299999999999998</v>
      </c>
      <c r="S88" s="43">
        <f t="shared" si="34"/>
        <v>0.41299999999999998</v>
      </c>
      <c r="T88" s="43">
        <f t="shared" si="34"/>
        <v>0.41299999999999998</v>
      </c>
      <c r="U88" s="43">
        <f t="shared" si="34"/>
        <v>0.41299999999999998</v>
      </c>
    </row>
    <row r="89" spans="1:21" ht="20.25">
      <c r="A89" s="41"/>
      <c r="B89" s="93"/>
      <c r="C89" s="26" t="s">
        <v>45</v>
      </c>
      <c r="D89" s="27" t="s">
        <v>40</v>
      </c>
      <c r="E89" s="43">
        <v>0.4</v>
      </c>
      <c r="F89" s="43">
        <f t="shared" si="39"/>
        <v>0.4</v>
      </c>
      <c r="G89" s="43">
        <f t="shared" si="39"/>
        <v>0.4</v>
      </c>
      <c r="H89" s="43">
        <f t="shared" si="39"/>
        <v>0.4</v>
      </c>
      <c r="I89" s="43">
        <v>0.40400000000000003</v>
      </c>
      <c r="J89" s="43">
        <f t="shared" si="40"/>
        <v>0.40400000000000003</v>
      </c>
      <c r="K89" s="43">
        <f t="shared" si="40"/>
        <v>0.40400000000000003</v>
      </c>
      <c r="L89" s="43">
        <f t="shared" si="40"/>
        <v>0.40400000000000003</v>
      </c>
      <c r="M89" s="43">
        <f t="shared" si="40"/>
        <v>0.40400000000000003</v>
      </c>
      <c r="N89" s="43">
        <f t="shared" si="40"/>
        <v>0.40400000000000003</v>
      </c>
      <c r="O89" s="43">
        <f t="shared" si="40"/>
        <v>0.40400000000000003</v>
      </c>
      <c r="P89" s="43">
        <f t="shared" si="40"/>
        <v>0.40400000000000003</v>
      </c>
      <c r="Q89" s="43">
        <f t="shared" si="40"/>
        <v>0.40400000000000003</v>
      </c>
      <c r="R89" s="43">
        <f t="shared" si="40"/>
        <v>0.40400000000000003</v>
      </c>
      <c r="S89" s="43">
        <f t="shared" si="40"/>
        <v>0.40400000000000003</v>
      </c>
      <c r="T89" s="43">
        <f t="shared" si="40"/>
        <v>0.40400000000000003</v>
      </c>
      <c r="U89" s="43">
        <f t="shared" si="40"/>
        <v>0.40400000000000003</v>
      </c>
    </row>
    <row r="90" spans="1:21" ht="20.25">
      <c r="A90" s="41"/>
      <c r="B90" s="93"/>
      <c r="C90" s="26" t="s">
        <v>46</v>
      </c>
      <c r="D90" s="27" t="s">
        <v>40</v>
      </c>
      <c r="E90" s="43">
        <v>0</v>
      </c>
      <c r="F90" s="43">
        <f t="shared" si="39"/>
        <v>0</v>
      </c>
      <c r="G90" s="43">
        <f t="shared" si="39"/>
        <v>0</v>
      </c>
      <c r="H90" s="43">
        <f t="shared" si="39"/>
        <v>0</v>
      </c>
      <c r="I90" s="43">
        <v>0</v>
      </c>
      <c r="J90" s="43">
        <f t="shared" si="40"/>
        <v>0</v>
      </c>
      <c r="K90" s="43">
        <f t="shared" si="40"/>
        <v>0</v>
      </c>
      <c r="L90" s="43">
        <f t="shared" si="40"/>
        <v>0</v>
      </c>
      <c r="M90" s="43">
        <f t="shared" si="40"/>
        <v>0</v>
      </c>
      <c r="N90" s="43">
        <f t="shared" si="40"/>
        <v>0</v>
      </c>
      <c r="O90" s="43">
        <f t="shared" si="40"/>
        <v>0</v>
      </c>
      <c r="P90" s="43">
        <f t="shared" si="40"/>
        <v>0</v>
      </c>
      <c r="Q90" s="43">
        <f t="shared" si="40"/>
        <v>0</v>
      </c>
      <c r="R90" s="43">
        <f t="shared" si="40"/>
        <v>0</v>
      </c>
      <c r="S90" s="43">
        <f t="shared" si="40"/>
        <v>0</v>
      </c>
      <c r="T90" s="43">
        <f t="shared" si="40"/>
        <v>0</v>
      </c>
      <c r="U90" s="43">
        <f t="shared" si="40"/>
        <v>0</v>
      </c>
    </row>
    <row r="91" spans="1:21" ht="21" thickBot="1">
      <c r="A91" s="41"/>
      <c r="B91" s="94"/>
      <c r="C91" s="23" t="s">
        <v>48</v>
      </c>
      <c r="D91" s="27" t="s">
        <v>40</v>
      </c>
      <c r="E91" s="43">
        <v>0.43</v>
      </c>
      <c r="F91" s="43">
        <f t="shared" si="39"/>
        <v>0.43</v>
      </c>
      <c r="G91" s="43">
        <f t="shared" si="39"/>
        <v>0.43</v>
      </c>
      <c r="H91" s="43">
        <f t="shared" si="39"/>
        <v>0.43</v>
      </c>
      <c r="I91" s="43">
        <v>0.435</v>
      </c>
      <c r="J91" s="43">
        <f t="shared" si="40"/>
        <v>0.435</v>
      </c>
      <c r="K91" s="43">
        <f t="shared" si="40"/>
        <v>0.435</v>
      </c>
      <c r="L91" s="43">
        <f t="shared" si="40"/>
        <v>0.435</v>
      </c>
      <c r="M91" s="43">
        <f t="shared" si="40"/>
        <v>0.435</v>
      </c>
      <c r="N91" s="43">
        <f t="shared" si="40"/>
        <v>0.435</v>
      </c>
      <c r="O91" s="43">
        <f t="shared" si="40"/>
        <v>0.435</v>
      </c>
      <c r="P91" s="43">
        <f t="shared" si="40"/>
        <v>0.435</v>
      </c>
      <c r="Q91" s="43">
        <f t="shared" si="40"/>
        <v>0.435</v>
      </c>
      <c r="R91" s="43">
        <f t="shared" si="40"/>
        <v>0.435</v>
      </c>
      <c r="S91" s="43">
        <f t="shared" si="40"/>
        <v>0.435</v>
      </c>
      <c r="T91" s="43">
        <f t="shared" si="40"/>
        <v>0.435</v>
      </c>
      <c r="U91" s="43">
        <f t="shared" si="40"/>
        <v>0.435</v>
      </c>
    </row>
    <row r="92" spans="1:21" ht="18.75" customHeight="1">
      <c r="A92" s="41"/>
      <c r="B92" s="92" t="s">
        <v>31</v>
      </c>
      <c r="C92" s="22" t="s">
        <v>43</v>
      </c>
      <c r="D92" s="24" t="s">
        <v>39</v>
      </c>
      <c r="E92" s="35">
        <v>1E-4</v>
      </c>
      <c r="F92" s="35">
        <f t="shared" si="39"/>
        <v>1E-4</v>
      </c>
      <c r="G92" s="35">
        <f t="shared" si="39"/>
        <v>1E-4</v>
      </c>
      <c r="H92" s="35">
        <f t="shared" si="39"/>
        <v>1E-4</v>
      </c>
      <c r="I92" s="35">
        <v>1E-4</v>
      </c>
      <c r="J92" s="35">
        <f t="shared" si="40"/>
        <v>1E-4</v>
      </c>
      <c r="K92" s="35">
        <f t="shared" si="40"/>
        <v>1E-4</v>
      </c>
      <c r="L92" s="35">
        <f t="shared" si="40"/>
        <v>1E-4</v>
      </c>
      <c r="M92" s="35">
        <f t="shared" si="40"/>
        <v>1E-4</v>
      </c>
      <c r="N92" s="35">
        <f t="shared" si="40"/>
        <v>1E-4</v>
      </c>
      <c r="O92" s="35">
        <f t="shared" si="40"/>
        <v>1E-4</v>
      </c>
      <c r="P92" s="35">
        <f t="shared" si="40"/>
        <v>1E-4</v>
      </c>
      <c r="Q92" s="35">
        <f t="shared" si="40"/>
        <v>1E-4</v>
      </c>
      <c r="R92" s="35">
        <f t="shared" si="40"/>
        <v>1E-4</v>
      </c>
      <c r="S92" s="35">
        <f t="shared" si="40"/>
        <v>1E-4</v>
      </c>
      <c r="T92" s="35">
        <f t="shared" si="40"/>
        <v>1E-4</v>
      </c>
      <c r="U92" s="35">
        <f t="shared" si="40"/>
        <v>1E-4</v>
      </c>
    </row>
    <row r="93" spans="1:21" ht="20.25">
      <c r="A93" s="41"/>
      <c r="B93" s="93"/>
      <c r="C93" s="26" t="s">
        <v>47</v>
      </c>
      <c r="D93" s="27" t="s">
        <v>39</v>
      </c>
      <c r="E93" s="44">
        <v>1E-4</v>
      </c>
      <c r="F93" s="44">
        <f t="shared" si="39"/>
        <v>1E-4</v>
      </c>
      <c r="G93" s="44">
        <f t="shared" si="39"/>
        <v>1E-4</v>
      </c>
      <c r="H93" s="44">
        <f t="shared" si="39"/>
        <v>1E-4</v>
      </c>
      <c r="I93" s="44">
        <v>1E-4</v>
      </c>
      <c r="J93" s="44">
        <f t="shared" si="40"/>
        <v>1E-4</v>
      </c>
      <c r="K93" s="44">
        <f t="shared" si="40"/>
        <v>1E-4</v>
      </c>
      <c r="L93" s="44">
        <f t="shared" si="40"/>
        <v>1E-4</v>
      </c>
      <c r="M93" s="44">
        <f t="shared" si="40"/>
        <v>1E-4</v>
      </c>
      <c r="N93" s="44">
        <f t="shared" si="40"/>
        <v>1E-4</v>
      </c>
      <c r="O93" s="44">
        <f t="shared" si="40"/>
        <v>1E-4</v>
      </c>
      <c r="P93" s="44">
        <f t="shared" si="40"/>
        <v>1E-4</v>
      </c>
      <c r="Q93" s="44">
        <f t="shared" si="40"/>
        <v>1E-4</v>
      </c>
      <c r="R93" s="44">
        <f t="shared" si="40"/>
        <v>1E-4</v>
      </c>
      <c r="S93" s="44">
        <f t="shared" si="40"/>
        <v>1E-4</v>
      </c>
      <c r="T93" s="44">
        <f t="shared" si="40"/>
        <v>1E-4</v>
      </c>
      <c r="U93" s="44">
        <f t="shared" si="40"/>
        <v>1E-4</v>
      </c>
    </row>
    <row r="94" spans="1:21" ht="20.25">
      <c r="A94" s="41"/>
      <c r="B94" s="93"/>
      <c r="C94" s="26" t="s">
        <v>44</v>
      </c>
      <c r="D94" s="27" t="s">
        <v>39</v>
      </c>
      <c r="E94" s="44">
        <v>1E-4</v>
      </c>
      <c r="F94" s="44">
        <f t="shared" si="39"/>
        <v>1E-4</v>
      </c>
      <c r="G94" s="44">
        <f t="shared" si="39"/>
        <v>1E-4</v>
      </c>
      <c r="H94" s="44">
        <f t="shared" si="39"/>
        <v>1E-4</v>
      </c>
      <c r="I94" s="44">
        <v>1E-4</v>
      </c>
      <c r="J94" s="44">
        <f t="shared" si="40"/>
        <v>1E-4</v>
      </c>
      <c r="K94" s="44">
        <f t="shared" si="40"/>
        <v>1E-4</v>
      </c>
      <c r="L94" s="44">
        <f t="shared" si="40"/>
        <v>1E-4</v>
      </c>
      <c r="M94" s="44">
        <f t="shared" si="40"/>
        <v>1E-4</v>
      </c>
      <c r="N94" s="44">
        <f t="shared" si="40"/>
        <v>1E-4</v>
      </c>
      <c r="O94" s="44">
        <f t="shared" si="40"/>
        <v>1E-4</v>
      </c>
      <c r="P94" s="44">
        <f t="shared" si="40"/>
        <v>1E-4</v>
      </c>
      <c r="Q94" s="44">
        <f t="shared" si="40"/>
        <v>1E-4</v>
      </c>
      <c r="R94" s="44">
        <f t="shared" si="40"/>
        <v>1E-4</v>
      </c>
      <c r="S94" s="44">
        <f t="shared" si="40"/>
        <v>1E-4</v>
      </c>
      <c r="T94" s="44">
        <f t="shared" si="40"/>
        <v>1E-4</v>
      </c>
      <c r="U94" s="44">
        <f t="shared" si="40"/>
        <v>1E-4</v>
      </c>
    </row>
    <row r="95" spans="1:21" ht="20.25">
      <c r="A95" s="41"/>
      <c r="B95" s="93"/>
      <c r="C95" s="26" t="s">
        <v>45</v>
      </c>
      <c r="D95" s="27" t="s">
        <v>39</v>
      </c>
      <c r="E95" s="44">
        <v>1E-4</v>
      </c>
      <c r="F95" s="44">
        <f t="shared" si="39"/>
        <v>1E-4</v>
      </c>
      <c r="G95" s="44">
        <f t="shared" si="39"/>
        <v>1E-4</v>
      </c>
      <c r="H95" s="44">
        <f t="shared" si="39"/>
        <v>1E-4</v>
      </c>
      <c r="I95" s="44">
        <f t="shared" si="39"/>
        <v>1E-4</v>
      </c>
      <c r="J95" s="44">
        <f t="shared" si="40"/>
        <v>1E-4</v>
      </c>
      <c r="K95" s="44">
        <f t="shared" si="40"/>
        <v>1E-4</v>
      </c>
      <c r="L95" s="44">
        <f t="shared" si="40"/>
        <v>1E-4</v>
      </c>
      <c r="M95" s="44">
        <f t="shared" si="40"/>
        <v>1E-4</v>
      </c>
      <c r="N95" s="44">
        <f t="shared" si="40"/>
        <v>1E-4</v>
      </c>
      <c r="O95" s="44">
        <f t="shared" si="40"/>
        <v>1E-4</v>
      </c>
      <c r="P95" s="44">
        <f t="shared" si="40"/>
        <v>1E-4</v>
      </c>
      <c r="Q95" s="44">
        <f t="shared" si="40"/>
        <v>1E-4</v>
      </c>
      <c r="R95" s="44">
        <f t="shared" si="40"/>
        <v>1E-4</v>
      </c>
      <c r="S95" s="44">
        <f t="shared" si="40"/>
        <v>1E-4</v>
      </c>
      <c r="T95" s="44">
        <f t="shared" si="40"/>
        <v>1E-4</v>
      </c>
      <c r="U95" s="44">
        <f t="shared" si="40"/>
        <v>1E-4</v>
      </c>
    </row>
    <row r="96" spans="1:21" ht="20.25">
      <c r="A96" s="41"/>
      <c r="B96" s="93"/>
      <c r="C96" s="26" t="s">
        <v>46</v>
      </c>
      <c r="D96" s="27" t="s">
        <v>39</v>
      </c>
      <c r="E96" s="43">
        <v>0</v>
      </c>
      <c r="F96" s="43">
        <f t="shared" si="39"/>
        <v>0</v>
      </c>
      <c r="G96" s="43">
        <f t="shared" si="39"/>
        <v>0</v>
      </c>
      <c r="H96" s="43">
        <f t="shared" si="39"/>
        <v>0</v>
      </c>
      <c r="I96" s="43">
        <v>0</v>
      </c>
      <c r="J96" s="43">
        <f t="shared" si="40"/>
        <v>0</v>
      </c>
      <c r="K96" s="43">
        <f t="shared" si="40"/>
        <v>0</v>
      </c>
      <c r="L96" s="43">
        <f t="shared" si="40"/>
        <v>0</v>
      </c>
      <c r="M96" s="43">
        <f t="shared" si="40"/>
        <v>0</v>
      </c>
      <c r="N96" s="43">
        <f t="shared" si="40"/>
        <v>0</v>
      </c>
      <c r="O96" s="43">
        <f t="shared" si="40"/>
        <v>0</v>
      </c>
      <c r="P96" s="43">
        <f t="shared" si="40"/>
        <v>0</v>
      </c>
      <c r="Q96" s="43">
        <f t="shared" si="40"/>
        <v>0</v>
      </c>
      <c r="R96" s="43">
        <f t="shared" si="40"/>
        <v>0</v>
      </c>
      <c r="S96" s="43">
        <f t="shared" si="40"/>
        <v>0</v>
      </c>
      <c r="T96" s="43">
        <f t="shared" si="40"/>
        <v>0</v>
      </c>
      <c r="U96" s="43">
        <f t="shared" si="40"/>
        <v>0</v>
      </c>
    </row>
    <row r="97" spans="1:21" ht="21" thickBot="1">
      <c r="A97" s="41"/>
      <c r="B97" s="94"/>
      <c r="C97" s="23" t="s">
        <v>48</v>
      </c>
      <c r="D97" s="27" t="s">
        <v>39</v>
      </c>
      <c r="E97" s="44">
        <v>2.0000000000000001E-4</v>
      </c>
      <c r="F97" s="44">
        <f t="shared" si="39"/>
        <v>2.0000000000000001E-4</v>
      </c>
      <c r="G97" s="44">
        <f t="shared" si="39"/>
        <v>2.0000000000000001E-4</v>
      </c>
      <c r="H97" s="44">
        <f t="shared" si="39"/>
        <v>2.0000000000000001E-4</v>
      </c>
      <c r="I97" s="44">
        <v>2.0000000000000001E-4</v>
      </c>
      <c r="J97" s="44">
        <f t="shared" si="40"/>
        <v>2.0000000000000001E-4</v>
      </c>
      <c r="K97" s="44">
        <f t="shared" si="40"/>
        <v>2.0000000000000001E-4</v>
      </c>
      <c r="L97" s="44">
        <f t="shared" si="40"/>
        <v>2.0000000000000001E-4</v>
      </c>
      <c r="M97" s="44">
        <f t="shared" si="40"/>
        <v>2.0000000000000001E-4</v>
      </c>
      <c r="N97" s="44">
        <f t="shared" si="40"/>
        <v>2.0000000000000001E-4</v>
      </c>
      <c r="O97" s="44">
        <f t="shared" si="40"/>
        <v>2.0000000000000001E-4</v>
      </c>
      <c r="P97" s="44">
        <f t="shared" si="40"/>
        <v>2.0000000000000001E-4</v>
      </c>
      <c r="Q97" s="44">
        <f t="shared" si="40"/>
        <v>2.0000000000000001E-4</v>
      </c>
      <c r="R97" s="44">
        <f t="shared" si="40"/>
        <v>2.0000000000000001E-4</v>
      </c>
      <c r="S97" s="44">
        <f t="shared" si="40"/>
        <v>2.0000000000000001E-4</v>
      </c>
      <c r="T97" s="44">
        <f t="shared" si="40"/>
        <v>2.0000000000000001E-4</v>
      </c>
      <c r="U97" s="44">
        <f t="shared" si="40"/>
        <v>2.0000000000000001E-4</v>
      </c>
    </row>
    <row r="98" spans="1:21" ht="18.75" customHeight="1">
      <c r="A98" s="41"/>
      <c r="B98" s="92" t="s">
        <v>32</v>
      </c>
      <c r="C98" s="22" t="s">
        <v>43</v>
      </c>
      <c r="D98" s="24" t="s">
        <v>50</v>
      </c>
      <c r="E98" s="28">
        <v>0</v>
      </c>
      <c r="F98" s="28">
        <f t="shared" si="39"/>
        <v>0</v>
      </c>
      <c r="G98" s="28">
        <f t="shared" si="39"/>
        <v>0</v>
      </c>
      <c r="H98" s="28">
        <f t="shared" si="39"/>
        <v>0</v>
      </c>
      <c r="I98" s="28">
        <v>0</v>
      </c>
      <c r="J98" s="28">
        <f t="shared" si="40"/>
        <v>0</v>
      </c>
      <c r="K98" s="28">
        <f t="shared" si="40"/>
        <v>0</v>
      </c>
      <c r="L98" s="28">
        <f t="shared" si="40"/>
        <v>0</v>
      </c>
      <c r="M98" s="28">
        <f t="shared" si="40"/>
        <v>0</v>
      </c>
      <c r="N98" s="28">
        <f t="shared" si="40"/>
        <v>0</v>
      </c>
      <c r="O98" s="28">
        <f t="shared" si="40"/>
        <v>0</v>
      </c>
      <c r="P98" s="28">
        <f t="shared" si="40"/>
        <v>0</v>
      </c>
      <c r="Q98" s="28">
        <f t="shared" si="40"/>
        <v>0</v>
      </c>
      <c r="R98" s="28">
        <f t="shared" si="40"/>
        <v>0</v>
      </c>
      <c r="S98" s="28">
        <f t="shared" si="40"/>
        <v>0</v>
      </c>
      <c r="T98" s="28">
        <f t="shared" si="40"/>
        <v>0</v>
      </c>
      <c r="U98" s="28">
        <f t="shared" si="40"/>
        <v>0</v>
      </c>
    </row>
    <row r="99" spans="1:21" ht="20.25">
      <c r="A99" s="41"/>
      <c r="B99" s="93"/>
      <c r="C99" s="26" t="s">
        <v>47</v>
      </c>
      <c r="D99" s="27" t="s">
        <v>50</v>
      </c>
      <c r="E99" s="43">
        <v>0</v>
      </c>
      <c r="F99" s="43">
        <f t="shared" si="39"/>
        <v>0</v>
      </c>
      <c r="G99" s="43">
        <f t="shared" si="39"/>
        <v>0</v>
      </c>
      <c r="H99" s="43">
        <f t="shared" si="39"/>
        <v>0</v>
      </c>
      <c r="I99" s="43">
        <v>0</v>
      </c>
      <c r="J99" s="43">
        <f t="shared" si="40"/>
        <v>0</v>
      </c>
      <c r="K99" s="43">
        <f t="shared" si="40"/>
        <v>0</v>
      </c>
      <c r="L99" s="43">
        <f t="shared" si="40"/>
        <v>0</v>
      </c>
      <c r="M99" s="43">
        <f t="shared" si="40"/>
        <v>0</v>
      </c>
      <c r="N99" s="43">
        <f t="shared" si="40"/>
        <v>0</v>
      </c>
      <c r="O99" s="43">
        <f t="shared" si="40"/>
        <v>0</v>
      </c>
      <c r="P99" s="43">
        <f t="shared" si="40"/>
        <v>0</v>
      </c>
      <c r="Q99" s="43">
        <f t="shared" si="40"/>
        <v>0</v>
      </c>
      <c r="R99" s="43">
        <f t="shared" si="40"/>
        <v>0</v>
      </c>
      <c r="S99" s="43">
        <f t="shared" si="40"/>
        <v>0</v>
      </c>
      <c r="T99" s="43">
        <f t="shared" si="40"/>
        <v>0</v>
      </c>
      <c r="U99" s="43">
        <f t="shared" si="40"/>
        <v>0</v>
      </c>
    </row>
    <row r="100" spans="1:21" ht="20.25">
      <c r="A100" s="41"/>
      <c r="B100" s="93"/>
      <c r="C100" s="26" t="s">
        <v>44</v>
      </c>
      <c r="D100" s="27" t="s">
        <v>50</v>
      </c>
      <c r="E100" s="43">
        <v>0</v>
      </c>
      <c r="F100" s="43">
        <f t="shared" si="39"/>
        <v>0</v>
      </c>
      <c r="G100" s="43">
        <f t="shared" si="39"/>
        <v>0</v>
      </c>
      <c r="H100" s="43">
        <f t="shared" si="39"/>
        <v>0</v>
      </c>
      <c r="I100" s="43">
        <v>0</v>
      </c>
      <c r="J100" s="43">
        <f t="shared" si="40"/>
        <v>0</v>
      </c>
      <c r="K100" s="43">
        <f t="shared" si="40"/>
        <v>0</v>
      </c>
      <c r="L100" s="43">
        <f t="shared" si="40"/>
        <v>0</v>
      </c>
      <c r="M100" s="43">
        <f t="shared" si="40"/>
        <v>0</v>
      </c>
      <c r="N100" s="43">
        <f t="shared" si="40"/>
        <v>0</v>
      </c>
      <c r="O100" s="43">
        <f t="shared" si="40"/>
        <v>0</v>
      </c>
      <c r="P100" s="43">
        <f t="shared" si="40"/>
        <v>0</v>
      </c>
      <c r="Q100" s="43">
        <f t="shared" si="40"/>
        <v>0</v>
      </c>
      <c r="R100" s="43">
        <f t="shared" si="40"/>
        <v>0</v>
      </c>
      <c r="S100" s="43">
        <f t="shared" si="40"/>
        <v>0</v>
      </c>
      <c r="T100" s="43">
        <f t="shared" si="40"/>
        <v>0</v>
      </c>
      <c r="U100" s="43">
        <f t="shared" si="40"/>
        <v>0</v>
      </c>
    </row>
    <row r="101" spans="1:21" ht="20.25">
      <c r="A101" s="41"/>
      <c r="B101" s="93"/>
      <c r="C101" s="26" t="s">
        <v>45</v>
      </c>
      <c r="D101" s="27" t="s">
        <v>50</v>
      </c>
      <c r="E101" s="43">
        <v>0</v>
      </c>
      <c r="F101" s="43">
        <f t="shared" si="39"/>
        <v>0</v>
      </c>
      <c r="G101" s="43">
        <f t="shared" si="39"/>
        <v>0</v>
      </c>
      <c r="H101" s="43">
        <f t="shared" si="39"/>
        <v>0</v>
      </c>
      <c r="I101" s="43">
        <v>0</v>
      </c>
      <c r="J101" s="43">
        <f t="shared" si="40"/>
        <v>0</v>
      </c>
      <c r="K101" s="43">
        <f t="shared" si="40"/>
        <v>0</v>
      </c>
      <c r="L101" s="43">
        <f t="shared" si="40"/>
        <v>0</v>
      </c>
      <c r="M101" s="43">
        <f t="shared" si="40"/>
        <v>0</v>
      </c>
      <c r="N101" s="43">
        <f t="shared" si="40"/>
        <v>0</v>
      </c>
      <c r="O101" s="43">
        <f t="shared" si="40"/>
        <v>0</v>
      </c>
      <c r="P101" s="43">
        <f t="shared" si="40"/>
        <v>0</v>
      </c>
      <c r="Q101" s="43">
        <f t="shared" si="40"/>
        <v>0</v>
      </c>
      <c r="R101" s="43">
        <f t="shared" si="40"/>
        <v>0</v>
      </c>
      <c r="S101" s="43">
        <f t="shared" si="40"/>
        <v>0</v>
      </c>
      <c r="T101" s="43">
        <f t="shared" si="40"/>
        <v>0</v>
      </c>
      <c r="U101" s="43">
        <f t="shared" si="40"/>
        <v>0</v>
      </c>
    </row>
    <row r="102" spans="1:21" ht="20.25">
      <c r="A102" s="41"/>
      <c r="B102" s="93"/>
      <c r="C102" s="26" t="s">
        <v>46</v>
      </c>
      <c r="D102" s="27" t="s">
        <v>50</v>
      </c>
      <c r="E102" s="43">
        <v>0</v>
      </c>
      <c r="F102" s="43">
        <f t="shared" si="39"/>
        <v>0</v>
      </c>
      <c r="G102" s="43">
        <f t="shared" si="39"/>
        <v>0</v>
      </c>
      <c r="H102" s="43">
        <f t="shared" si="39"/>
        <v>0</v>
      </c>
      <c r="I102" s="43">
        <v>0</v>
      </c>
      <c r="J102" s="43">
        <f t="shared" si="40"/>
        <v>0</v>
      </c>
      <c r="K102" s="43">
        <f t="shared" si="40"/>
        <v>0</v>
      </c>
      <c r="L102" s="43">
        <f t="shared" si="40"/>
        <v>0</v>
      </c>
      <c r="M102" s="43">
        <f t="shared" si="40"/>
        <v>0</v>
      </c>
      <c r="N102" s="43">
        <f t="shared" si="40"/>
        <v>0</v>
      </c>
      <c r="O102" s="43">
        <f t="shared" si="40"/>
        <v>0</v>
      </c>
      <c r="P102" s="43">
        <f t="shared" si="40"/>
        <v>0</v>
      </c>
      <c r="Q102" s="43">
        <f t="shared" si="40"/>
        <v>0</v>
      </c>
      <c r="R102" s="43">
        <f t="shared" si="40"/>
        <v>0</v>
      </c>
      <c r="S102" s="43">
        <f t="shared" si="40"/>
        <v>0</v>
      </c>
      <c r="T102" s="43">
        <f t="shared" si="40"/>
        <v>0</v>
      </c>
      <c r="U102" s="43">
        <f t="shared" si="40"/>
        <v>0</v>
      </c>
    </row>
    <row r="103" spans="1:21" ht="21" thickBot="1">
      <c r="A103" s="41"/>
      <c r="B103" s="94"/>
      <c r="C103" s="23" t="s">
        <v>48</v>
      </c>
      <c r="D103" s="27" t="s">
        <v>50</v>
      </c>
      <c r="E103" s="43">
        <v>0</v>
      </c>
      <c r="F103" s="43">
        <f t="shared" si="39"/>
        <v>0</v>
      </c>
      <c r="G103" s="43">
        <f t="shared" si="39"/>
        <v>0</v>
      </c>
      <c r="H103" s="43">
        <f t="shared" si="39"/>
        <v>0</v>
      </c>
      <c r="I103" s="43">
        <v>0</v>
      </c>
      <c r="J103" s="43">
        <f t="shared" ref="J103:U124" si="41">I103</f>
        <v>0</v>
      </c>
      <c r="K103" s="43">
        <f t="shared" si="41"/>
        <v>0</v>
      </c>
      <c r="L103" s="43">
        <f t="shared" si="41"/>
        <v>0</v>
      </c>
      <c r="M103" s="43">
        <f t="shared" si="41"/>
        <v>0</v>
      </c>
      <c r="N103" s="43">
        <f t="shared" si="41"/>
        <v>0</v>
      </c>
      <c r="O103" s="43">
        <f t="shared" si="41"/>
        <v>0</v>
      </c>
      <c r="P103" s="43">
        <f t="shared" si="41"/>
        <v>0</v>
      </c>
      <c r="Q103" s="43">
        <f t="shared" si="41"/>
        <v>0</v>
      </c>
      <c r="R103" s="43">
        <f t="shared" si="41"/>
        <v>0</v>
      </c>
      <c r="S103" s="43">
        <f t="shared" si="41"/>
        <v>0</v>
      </c>
      <c r="T103" s="43">
        <f t="shared" si="41"/>
        <v>0</v>
      </c>
      <c r="U103" s="43">
        <f t="shared" si="41"/>
        <v>0</v>
      </c>
    </row>
    <row r="104" spans="1:21" ht="18.75" customHeight="1">
      <c r="A104" s="41"/>
      <c r="B104" s="92" t="s">
        <v>33</v>
      </c>
      <c r="C104" s="22" t="s">
        <v>43</v>
      </c>
      <c r="D104" s="24" t="s">
        <v>6</v>
      </c>
      <c r="E104" s="28">
        <v>0</v>
      </c>
      <c r="F104" s="28">
        <f t="shared" si="39"/>
        <v>0</v>
      </c>
      <c r="G104" s="28">
        <f t="shared" si="39"/>
        <v>0</v>
      </c>
      <c r="H104" s="28">
        <f t="shared" si="39"/>
        <v>0</v>
      </c>
      <c r="I104" s="28">
        <v>0</v>
      </c>
      <c r="J104" s="28">
        <f t="shared" si="41"/>
        <v>0</v>
      </c>
      <c r="K104" s="28">
        <f t="shared" si="41"/>
        <v>0</v>
      </c>
      <c r="L104" s="28">
        <f t="shared" si="41"/>
        <v>0</v>
      </c>
      <c r="M104" s="28">
        <f t="shared" si="41"/>
        <v>0</v>
      </c>
      <c r="N104" s="28">
        <f t="shared" si="41"/>
        <v>0</v>
      </c>
      <c r="O104" s="28">
        <f t="shared" si="41"/>
        <v>0</v>
      </c>
      <c r="P104" s="28">
        <f t="shared" si="41"/>
        <v>0</v>
      </c>
      <c r="Q104" s="28">
        <f t="shared" si="41"/>
        <v>0</v>
      </c>
      <c r="R104" s="28">
        <f t="shared" si="41"/>
        <v>0</v>
      </c>
      <c r="S104" s="28">
        <f t="shared" si="41"/>
        <v>0</v>
      </c>
      <c r="T104" s="28">
        <f t="shared" si="41"/>
        <v>0</v>
      </c>
      <c r="U104" s="28">
        <f t="shared" si="41"/>
        <v>0</v>
      </c>
    </row>
    <row r="105" spans="1:21" ht="18.75">
      <c r="A105" s="41"/>
      <c r="B105" s="93"/>
      <c r="C105" s="26" t="s">
        <v>47</v>
      </c>
      <c r="D105" s="27" t="s">
        <v>6</v>
      </c>
      <c r="E105" s="43">
        <v>0</v>
      </c>
      <c r="F105" s="43">
        <f t="shared" si="39"/>
        <v>0</v>
      </c>
      <c r="G105" s="43">
        <f t="shared" si="39"/>
        <v>0</v>
      </c>
      <c r="H105" s="43">
        <f t="shared" si="39"/>
        <v>0</v>
      </c>
      <c r="I105" s="43">
        <f t="shared" si="39"/>
        <v>0</v>
      </c>
      <c r="J105" s="43">
        <f t="shared" si="41"/>
        <v>0</v>
      </c>
      <c r="K105" s="43">
        <f t="shared" si="41"/>
        <v>0</v>
      </c>
      <c r="L105" s="43">
        <f t="shared" si="41"/>
        <v>0</v>
      </c>
      <c r="M105" s="43">
        <f t="shared" si="41"/>
        <v>0</v>
      </c>
      <c r="N105" s="43">
        <f t="shared" si="41"/>
        <v>0</v>
      </c>
      <c r="O105" s="43">
        <f t="shared" si="41"/>
        <v>0</v>
      </c>
      <c r="P105" s="43">
        <f t="shared" si="41"/>
        <v>0</v>
      </c>
      <c r="Q105" s="43">
        <f t="shared" si="41"/>
        <v>0</v>
      </c>
      <c r="R105" s="43">
        <f t="shared" si="41"/>
        <v>0</v>
      </c>
      <c r="S105" s="43">
        <f t="shared" si="41"/>
        <v>0</v>
      </c>
      <c r="T105" s="43">
        <f t="shared" si="41"/>
        <v>0</v>
      </c>
      <c r="U105" s="43">
        <f t="shared" si="41"/>
        <v>0</v>
      </c>
    </row>
    <row r="106" spans="1:21" ht="18.75">
      <c r="A106" s="41"/>
      <c r="B106" s="93"/>
      <c r="C106" s="26" t="s">
        <v>44</v>
      </c>
      <c r="D106" s="27" t="s">
        <v>6</v>
      </c>
      <c r="E106" s="43">
        <v>0</v>
      </c>
      <c r="F106" s="43">
        <f t="shared" si="39"/>
        <v>0</v>
      </c>
      <c r="G106" s="43">
        <f t="shared" si="39"/>
        <v>0</v>
      </c>
      <c r="H106" s="43">
        <f t="shared" si="39"/>
        <v>0</v>
      </c>
      <c r="I106" s="43">
        <v>0</v>
      </c>
      <c r="J106" s="43">
        <f t="shared" si="41"/>
        <v>0</v>
      </c>
      <c r="K106" s="43">
        <f t="shared" si="41"/>
        <v>0</v>
      </c>
      <c r="L106" s="43">
        <f t="shared" si="41"/>
        <v>0</v>
      </c>
      <c r="M106" s="43">
        <f t="shared" si="41"/>
        <v>0</v>
      </c>
      <c r="N106" s="43">
        <f t="shared" si="41"/>
        <v>0</v>
      </c>
      <c r="O106" s="43">
        <f t="shared" si="41"/>
        <v>0</v>
      </c>
      <c r="P106" s="43">
        <f t="shared" si="41"/>
        <v>0</v>
      </c>
      <c r="Q106" s="43">
        <f t="shared" si="41"/>
        <v>0</v>
      </c>
      <c r="R106" s="43">
        <f t="shared" si="41"/>
        <v>0</v>
      </c>
      <c r="S106" s="43">
        <f t="shared" si="41"/>
        <v>0</v>
      </c>
      <c r="T106" s="43">
        <f t="shared" si="41"/>
        <v>0</v>
      </c>
      <c r="U106" s="43">
        <f t="shared" si="41"/>
        <v>0</v>
      </c>
    </row>
    <row r="107" spans="1:21" ht="18.75">
      <c r="A107" s="41"/>
      <c r="B107" s="93"/>
      <c r="C107" s="26" t="s">
        <v>45</v>
      </c>
      <c r="D107" s="27" t="s">
        <v>6</v>
      </c>
      <c r="E107" s="43">
        <v>0</v>
      </c>
      <c r="F107" s="43">
        <f t="shared" si="39"/>
        <v>0</v>
      </c>
      <c r="G107" s="43">
        <f t="shared" si="39"/>
        <v>0</v>
      </c>
      <c r="H107" s="43">
        <f t="shared" si="39"/>
        <v>0</v>
      </c>
      <c r="I107" s="43">
        <f t="shared" si="39"/>
        <v>0</v>
      </c>
      <c r="J107" s="43">
        <f t="shared" si="41"/>
        <v>0</v>
      </c>
      <c r="K107" s="43">
        <f t="shared" si="41"/>
        <v>0</v>
      </c>
      <c r="L107" s="43">
        <f t="shared" si="41"/>
        <v>0</v>
      </c>
      <c r="M107" s="43">
        <f t="shared" si="41"/>
        <v>0</v>
      </c>
      <c r="N107" s="43">
        <f t="shared" si="41"/>
        <v>0</v>
      </c>
      <c r="O107" s="43">
        <f t="shared" si="41"/>
        <v>0</v>
      </c>
      <c r="P107" s="43">
        <f t="shared" si="41"/>
        <v>0</v>
      </c>
      <c r="Q107" s="43">
        <f t="shared" si="41"/>
        <v>0</v>
      </c>
      <c r="R107" s="43">
        <f t="shared" si="41"/>
        <v>0</v>
      </c>
      <c r="S107" s="43">
        <f t="shared" si="41"/>
        <v>0</v>
      </c>
      <c r="T107" s="43">
        <f t="shared" si="41"/>
        <v>0</v>
      </c>
      <c r="U107" s="43">
        <f t="shared" si="41"/>
        <v>0</v>
      </c>
    </row>
    <row r="108" spans="1:21" ht="18.75">
      <c r="A108" s="41"/>
      <c r="B108" s="93"/>
      <c r="C108" s="26" t="s">
        <v>46</v>
      </c>
      <c r="D108" s="27" t="s">
        <v>6</v>
      </c>
      <c r="E108" s="43">
        <v>0</v>
      </c>
      <c r="F108" s="43">
        <f t="shared" si="39"/>
        <v>0</v>
      </c>
      <c r="G108" s="43">
        <f t="shared" si="39"/>
        <v>0</v>
      </c>
      <c r="H108" s="43">
        <f t="shared" si="39"/>
        <v>0</v>
      </c>
      <c r="I108" s="43">
        <v>0</v>
      </c>
      <c r="J108" s="43">
        <f t="shared" si="41"/>
        <v>0</v>
      </c>
      <c r="K108" s="43">
        <f t="shared" si="41"/>
        <v>0</v>
      </c>
      <c r="L108" s="43">
        <f t="shared" si="41"/>
        <v>0</v>
      </c>
      <c r="M108" s="43">
        <f t="shared" si="41"/>
        <v>0</v>
      </c>
      <c r="N108" s="43">
        <f t="shared" si="41"/>
        <v>0</v>
      </c>
      <c r="O108" s="43">
        <f t="shared" si="41"/>
        <v>0</v>
      </c>
      <c r="P108" s="43">
        <f t="shared" si="41"/>
        <v>0</v>
      </c>
      <c r="Q108" s="43">
        <f t="shared" si="41"/>
        <v>0</v>
      </c>
      <c r="R108" s="43">
        <f t="shared" si="41"/>
        <v>0</v>
      </c>
      <c r="S108" s="43">
        <f t="shared" si="41"/>
        <v>0</v>
      </c>
      <c r="T108" s="43">
        <f t="shared" si="41"/>
        <v>0</v>
      </c>
      <c r="U108" s="43">
        <f t="shared" si="41"/>
        <v>0</v>
      </c>
    </row>
    <row r="109" spans="1:21" ht="19.5" thickBot="1">
      <c r="A109" s="41"/>
      <c r="B109" s="94"/>
      <c r="C109" s="23" t="s">
        <v>48</v>
      </c>
      <c r="D109" s="27" t="s">
        <v>6</v>
      </c>
      <c r="E109" s="43">
        <v>0</v>
      </c>
      <c r="F109" s="43">
        <f t="shared" si="39"/>
        <v>0</v>
      </c>
      <c r="G109" s="43">
        <f t="shared" si="39"/>
        <v>0</v>
      </c>
      <c r="H109" s="43">
        <f t="shared" si="39"/>
        <v>0</v>
      </c>
      <c r="I109" s="43">
        <v>0</v>
      </c>
      <c r="J109" s="43">
        <f t="shared" si="41"/>
        <v>0</v>
      </c>
      <c r="K109" s="43">
        <f t="shared" si="41"/>
        <v>0</v>
      </c>
      <c r="L109" s="43">
        <f t="shared" si="41"/>
        <v>0</v>
      </c>
      <c r="M109" s="43">
        <f t="shared" si="41"/>
        <v>0</v>
      </c>
      <c r="N109" s="43">
        <f t="shared" si="41"/>
        <v>0</v>
      </c>
      <c r="O109" s="43">
        <f t="shared" si="41"/>
        <v>0</v>
      </c>
      <c r="P109" s="43">
        <f t="shared" si="41"/>
        <v>0</v>
      </c>
      <c r="Q109" s="43">
        <f t="shared" si="41"/>
        <v>0</v>
      </c>
      <c r="R109" s="43">
        <f t="shared" si="41"/>
        <v>0</v>
      </c>
      <c r="S109" s="43">
        <f t="shared" si="41"/>
        <v>0</v>
      </c>
      <c r="T109" s="43">
        <f t="shared" si="41"/>
        <v>0</v>
      </c>
      <c r="U109" s="43">
        <f t="shared" si="41"/>
        <v>0</v>
      </c>
    </row>
    <row r="110" spans="1:21" ht="18.75" customHeight="1">
      <c r="A110" s="41"/>
      <c r="B110" s="92" t="s">
        <v>34</v>
      </c>
      <c r="C110" s="22" t="s">
        <v>43</v>
      </c>
      <c r="D110" s="24" t="s">
        <v>50</v>
      </c>
      <c r="E110" s="28">
        <v>0</v>
      </c>
      <c r="F110" s="28">
        <f t="shared" si="39"/>
        <v>0</v>
      </c>
      <c r="G110" s="28">
        <f t="shared" si="39"/>
        <v>0</v>
      </c>
      <c r="H110" s="28">
        <f t="shared" si="39"/>
        <v>0</v>
      </c>
      <c r="I110" s="28">
        <v>0</v>
      </c>
      <c r="J110" s="28">
        <f t="shared" si="41"/>
        <v>0</v>
      </c>
      <c r="K110" s="28">
        <f t="shared" si="41"/>
        <v>0</v>
      </c>
      <c r="L110" s="28">
        <f t="shared" si="41"/>
        <v>0</v>
      </c>
      <c r="M110" s="28">
        <f t="shared" si="41"/>
        <v>0</v>
      </c>
      <c r="N110" s="28">
        <f t="shared" si="41"/>
        <v>0</v>
      </c>
      <c r="O110" s="28">
        <f t="shared" si="41"/>
        <v>0</v>
      </c>
      <c r="P110" s="28">
        <f t="shared" si="41"/>
        <v>0</v>
      </c>
      <c r="Q110" s="28">
        <f t="shared" si="41"/>
        <v>0</v>
      </c>
      <c r="R110" s="28">
        <f t="shared" si="41"/>
        <v>0</v>
      </c>
      <c r="S110" s="28">
        <f t="shared" si="41"/>
        <v>0</v>
      </c>
      <c r="T110" s="28">
        <f t="shared" si="41"/>
        <v>0</v>
      </c>
      <c r="U110" s="28">
        <f t="shared" si="41"/>
        <v>0</v>
      </c>
    </row>
    <row r="111" spans="1:21" ht="20.25">
      <c r="A111" s="41"/>
      <c r="B111" s="93"/>
      <c r="C111" s="26" t="s">
        <v>47</v>
      </c>
      <c r="D111" s="27" t="s">
        <v>50</v>
      </c>
      <c r="E111" s="43">
        <v>0</v>
      </c>
      <c r="F111" s="43">
        <f t="shared" si="39"/>
        <v>0</v>
      </c>
      <c r="G111" s="43">
        <f t="shared" si="39"/>
        <v>0</v>
      </c>
      <c r="H111" s="43">
        <f t="shared" si="39"/>
        <v>0</v>
      </c>
      <c r="I111" s="43">
        <f t="shared" si="39"/>
        <v>0</v>
      </c>
      <c r="J111" s="43">
        <f t="shared" si="41"/>
        <v>0</v>
      </c>
      <c r="K111" s="43">
        <f t="shared" si="41"/>
        <v>0</v>
      </c>
      <c r="L111" s="43">
        <f t="shared" si="41"/>
        <v>0</v>
      </c>
      <c r="M111" s="43">
        <f t="shared" si="41"/>
        <v>0</v>
      </c>
      <c r="N111" s="43">
        <f t="shared" si="41"/>
        <v>0</v>
      </c>
      <c r="O111" s="43">
        <f t="shared" si="41"/>
        <v>0</v>
      </c>
      <c r="P111" s="43">
        <f t="shared" si="41"/>
        <v>0</v>
      </c>
      <c r="Q111" s="43">
        <f t="shared" si="41"/>
        <v>0</v>
      </c>
      <c r="R111" s="43">
        <f t="shared" si="41"/>
        <v>0</v>
      </c>
      <c r="S111" s="43">
        <f t="shared" si="41"/>
        <v>0</v>
      </c>
      <c r="T111" s="43">
        <f t="shared" si="41"/>
        <v>0</v>
      </c>
      <c r="U111" s="43">
        <f t="shared" si="41"/>
        <v>0</v>
      </c>
    </row>
    <row r="112" spans="1:21" ht="20.25">
      <c r="A112" s="41"/>
      <c r="B112" s="93"/>
      <c r="C112" s="26" t="s">
        <v>44</v>
      </c>
      <c r="D112" s="27" t="s">
        <v>50</v>
      </c>
      <c r="E112" s="43">
        <v>0</v>
      </c>
      <c r="F112" s="43">
        <f t="shared" si="39"/>
        <v>0</v>
      </c>
      <c r="G112" s="43">
        <f t="shared" si="39"/>
        <v>0</v>
      </c>
      <c r="H112" s="43">
        <f t="shared" si="39"/>
        <v>0</v>
      </c>
      <c r="I112" s="43">
        <v>0</v>
      </c>
      <c r="J112" s="43">
        <f t="shared" si="41"/>
        <v>0</v>
      </c>
      <c r="K112" s="43">
        <f t="shared" si="41"/>
        <v>0</v>
      </c>
      <c r="L112" s="43">
        <f t="shared" si="41"/>
        <v>0</v>
      </c>
      <c r="M112" s="43">
        <f t="shared" si="41"/>
        <v>0</v>
      </c>
      <c r="N112" s="43">
        <f t="shared" si="41"/>
        <v>0</v>
      </c>
      <c r="O112" s="43">
        <f t="shared" si="41"/>
        <v>0</v>
      </c>
      <c r="P112" s="43">
        <f t="shared" si="41"/>
        <v>0</v>
      </c>
      <c r="Q112" s="43">
        <f t="shared" si="41"/>
        <v>0</v>
      </c>
      <c r="R112" s="43">
        <f t="shared" si="41"/>
        <v>0</v>
      </c>
      <c r="S112" s="43">
        <f t="shared" si="41"/>
        <v>0</v>
      </c>
      <c r="T112" s="43">
        <f t="shared" si="41"/>
        <v>0</v>
      </c>
      <c r="U112" s="43">
        <f t="shared" si="41"/>
        <v>0</v>
      </c>
    </row>
    <row r="113" spans="1:21" ht="20.25">
      <c r="A113" s="41"/>
      <c r="B113" s="93"/>
      <c r="C113" s="26" t="s">
        <v>45</v>
      </c>
      <c r="D113" s="27" t="s">
        <v>50</v>
      </c>
      <c r="E113" s="43">
        <v>0</v>
      </c>
      <c r="F113" s="43">
        <f t="shared" si="39"/>
        <v>0</v>
      </c>
      <c r="G113" s="43">
        <f t="shared" si="39"/>
        <v>0</v>
      </c>
      <c r="H113" s="43">
        <f t="shared" si="39"/>
        <v>0</v>
      </c>
      <c r="I113" s="43">
        <f t="shared" si="39"/>
        <v>0</v>
      </c>
      <c r="J113" s="43">
        <f t="shared" si="41"/>
        <v>0</v>
      </c>
      <c r="K113" s="43">
        <f t="shared" si="41"/>
        <v>0</v>
      </c>
      <c r="L113" s="43">
        <f t="shared" si="41"/>
        <v>0</v>
      </c>
      <c r="M113" s="43">
        <f t="shared" si="41"/>
        <v>0</v>
      </c>
      <c r="N113" s="43">
        <f t="shared" si="41"/>
        <v>0</v>
      </c>
      <c r="O113" s="43">
        <f t="shared" si="41"/>
        <v>0</v>
      </c>
      <c r="P113" s="43">
        <f t="shared" si="41"/>
        <v>0</v>
      </c>
      <c r="Q113" s="43">
        <f t="shared" si="41"/>
        <v>0</v>
      </c>
      <c r="R113" s="43">
        <f t="shared" si="41"/>
        <v>0</v>
      </c>
      <c r="S113" s="43">
        <f t="shared" si="41"/>
        <v>0</v>
      </c>
      <c r="T113" s="43">
        <f t="shared" si="41"/>
        <v>0</v>
      </c>
      <c r="U113" s="43">
        <f t="shared" si="41"/>
        <v>0</v>
      </c>
    </row>
    <row r="114" spans="1:21" ht="20.25">
      <c r="A114" s="41"/>
      <c r="B114" s="93"/>
      <c r="C114" s="26" t="s">
        <v>46</v>
      </c>
      <c r="D114" s="27" t="s">
        <v>50</v>
      </c>
      <c r="E114" s="43">
        <v>0</v>
      </c>
      <c r="F114" s="43">
        <f t="shared" si="39"/>
        <v>0</v>
      </c>
      <c r="G114" s="43">
        <f t="shared" si="39"/>
        <v>0</v>
      </c>
      <c r="H114" s="43">
        <f t="shared" si="39"/>
        <v>0</v>
      </c>
      <c r="I114" s="43">
        <v>0</v>
      </c>
      <c r="J114" s="43">
        <f t="shared" si="41"/>
        <v>0</v>
      </c>
      <c r="K114" s="43">
        <f t="shared" si="41"/>
        <v>0</v>
      </c>
      <c r="L114" s="43">
        <f t="shared" si="41"/>
        <v>0</v>
      </c>
      <c r="M114" s="43">
        <f t="shared" si="41"/>
        <v>0</v>
      </c>
      <c r="N114" s="43">
        <f t="shared" si="41"/>
        <v>0</v>
      </c>
      <c r="O114" s="43">
        <f t="shared" si="41"/>
        <v>0</v>
      </c>
      <c r="P114" s="43">
        <f t="shared" si="41"/>
        <v>0</v>
      </c>
      <c r="Q114" s="43">
        <f t="shared" si="41"/>
        <v>0</v>
      </c>
      <c r="R114" s="43">
        <f t="shared" si="41"/>
        <v>0</v>
      </c>
      <c r="S114" s="43">
        <f t="shared" si="41"/>
        <v>0</v>
      </c>
      <c r="T114" s="43">
        <f t="shared" si="41"/>
        <v>0</v>
      </c>
      <c r="U114" s="43">
        <f t="shared" si="41"/>
        <v>0</v>
      </c>
    </row>
    <row r="115" spans="1:21" ht="21" thickBot="1">
      <c r="A115" s="41"/>
      <c r="B115" s="94"/>
      <c r="C115" s="23" t="s">
        <v>48</v>
      </c>
      <c r="D115" s="27" t="s">
        <v>50</v>
      </c>
      <c r="E115" s="43">
        <v>0</v>
      </c>
      <c r="F115" s="43">
        <f t="shared" si="39"/>
        <v>0</v>
      </c>
      <c r="G115" s="43">
        <f t="shared" si="39"/>
        <v>0</v>
      </c>
      <c r="H115" s="43">
        <f t="shared" si="39"/>
        <v>0</v>
      </c>
      <c r="I115" s="43">
        <v>0</v>
      </c>
      <c r="J115" s="43">
        <f t="shared" si="41"/>
        <v>0</v>
      </c>
      <c r="K115" s="43">
        <f t="shared" si="41"/>
        <v>0</v>
      </c>
      <c r="L115" s="43">
        <f t="shared" si="41"/>
        <v>0</v>
      </c>
      <c r="M115" s="43">
        <f t="shared" si="41"/>
        <v>0</v>
      </c>
      <c r="N115" s="43">
        <f t="shared" si="41"/>
        <v>0</v>
      </c>
      <c r="O115" s="43">
        <f t="shared" si="41"/>
        <v>0</v>
      </c>
      <c r="P115" s="43">
        <f t="shared" si="41"/>
        <v>0</v>
      </c>
      <c r="Q115" s="43">
        <f t="shared" si="41"/>
        <v>0</v>
      </c>
      <c r="R115" s="43">
        <f t="shared" si="41"/>
        <v>0</v>
      </c>
      <c r="S115" s="43">
        <f t="shared" si="41"/>
        <v>0</v>
      </c>
      <c r="T115" s="43">
        <f t="shared" si="41"/>
        <v>0</v>
      </c>
      <c r="U115" s="43">
        <f t="shared" si="41"/>
        <v>0</v>
      </c>
    </row>
    <row r="116" spans="1:21" ht="18.75" customHeight="1">
      <c r="A116" s="41"/>
      <c r="B116" s="92" t="s">
        <v>35</v>
      </c>
      <c r="C116" s="22" t="s">
        <v>43</v>
      </c>
      <c r="D116" s="24" t="s">
        <v>38</v>
      </c>
      <c r="E116" s="28">
        <v>1.1473</v>
      </c>
      <c r="F116" s="28">
        <f t="shared" si="39"/>
        <v>1.1473</v>
      </c>
      <c r="G116" s="28">
        <f t="shared" si="39"/>
        <v>1.1473</v>
      </c>
      <c r="H116" s="28">
        <f t="shared" si="39"/>
        <v>1.1473</v>
      </c>
      <c r="I116" s="28">
        <v>1.1473</v>
      </c>
      <c r="J116" s="28">
        <f t="shared" si="41"/>
        <v>1.1473</v>
      </c>
      <c r="K116" s="28">
        <f t="shared" si="41"/>
        <v>1.1473</v>
      </c>
      <c r="L116" s="28">
        <f t="shared" si="41"/>
        <v>1.1473</v>
      </c>
      <c r="M116" s="28">
        <f t="shared" si="41"/>
        <v>1.1473</v>
      </c>
      <c r="N116" s="28">
        <f t="shared" si="41"/>
        <v>1.1473</v>
      </c>
      <c r="O116" s="28">
        <f t="shared" si="41"/>
        <v>1.1473</v>
      </c>
      <c r="P116" s="28">
        <f t="shared" si="41"/>
        <v>1.1473</v>
      </c>
      <c r="Q116" s="28">
        <f t="shared" si="41"/>
        <v>1.1473</v>
      </c>
      <c r="R116" s="28">
        <f t="shared" si="41"/>
        <v>1.1473</v>
      </c>
      <c r="S116" s="28">
        <f t="shared" si="41"/>
        <v>1.1473</v>
      </c>
      <c r="T116" s="28">
        <f t="shared" si="41"/>
        <v>1.1473</v>
      </c>
      <c r="U116" s="28">
        <f t="shared" si="41"/>
        <v>1.1473</v>
      </c>
    </row>
    <row r="117" spans="1:21" ht="20.25">
      <c r="A117" s="41"/>
      <c r="B117" s="93"/>
      <c r="C117" s="26" t="s">
        <v>47</v>
      </c>
      <c r="D117" s="27" t="s">
        <v>38</v>
      </c>
      <c r="E117" s="43">
        <v>1.0287999999999999</v>
      </c>
      <c r="F117" s="43">
        <f t="shared" si="39"/>
        <v>1.0287999999999999</v>
      </c>
      <c r="G117" s="43">
        <f t="shared" si="39"/>
        <v>1.0287999999999999</v>
      </c>
      <c r="H117" s="43">
        <f t="shared" si="39"/>
        <v>1.0287999999999999</v>
      </c>
      <c r="I117" s="43">
        <v>1.0288999999999999</v>
      </c>
      <c r="J117" s="43">
        <f t="shared" si="41"/>
        <v>1.0288999999999999</v>
      </c>
      <c r="K117" s="43">
        <f t="shared" si="41"/>
        <v>1.0288999999999999</v>
      </c>
      <c r="L117" s="43">
        <f t="shared" si="41"/>
        <v>1.0288999999999999</v>
      </c>
      <c r="M117" s="43">
        <f t="shared" si="41"/>
        <v>1.0288999999999999</v>
      </c>
      <c r="N117" s="43">
        <f t="shared" si="41"/>
        <v>1.0288999999999999</v>
      </c>
      <c r="O117" s="43">
        <f t="shared" si="41"/>
        <v>1.0288999999999999</v>
      </c>
      <c r="P117" s="43">
        <f t="shared" si="41"/>
        <v>1.0288999999999999</v>
      </c>
      <c r="Q117" s="43">
        <f t="shared" si="41"/>
        <v>1.0288999999999999</v>
      </c>
      <c r="R117" s="43">
        <f t="shared" si="41"/>
        <v>1.0288999999999999</v>
      </c>
      <c r="S117" s="43">
        <f t="shared" si="41"/>
        <v>1.0288999999999999</v>
      </c>
      <c r="T117" s="43">
        <f t="shared" si="41"/>
        <v>1.0288999999999999</v>
      </c>
      <c r="U117" s="43">
        <f t="shared" si="41"/>
        <v>1.0288999999999999</v>
      </c>
    </row>
    <row r="118" spans="1:21" ht="20.25">
      <c r="A118" s="41"/>
      <c r="B118" s="93"/>
      <c r="C118" s="26" t="s">
        <v>44</v>
      </c>
      <c r="D118" s="27" t="s">
        <v>38</v>
      </c>
      <c r="E118" s="43">
        <v>1.1597</v>
      </c>
      <c r="F118" s="43">
        <f t="shared" si="39"/>
        <v>1.1597</v>
      </c>
      <c r="G118" s="43">
        <f t="shared" si="39"/>
        <v>1.1597</v>
      </c>
      <c r="H118" s="43">
        <f t="shared" si="39"/>
        <v>1.1597</v>
      </c>
      <c r="I118" s="43">
        <v>1.1597</v>
      </c>
      <c r="J118" s="43">
        <f t="shared" si="41"/>
        <v>1.1597</v>
      </c>
      <c r="K118" s="43">
        <f t="shared" si="41"/>
        <v>1.1597</v>
      </c>
      <c r="L118" s="43">
        <f t="shared" si="41"/>
        <v>1.1597</v>
      </c>
      <c r="M118" s="43">
        <f t="shared" si="41"/>
        <v>1.1597</v>
      </c>
      <c r="N118" s="43">
        <f t="shared" si="41"/>
        <v>1.1597</v>
      </c>
      <c r="O118" s="43">
        <f t="shared" si="41"/>
        <v>1.1597</v>
      </c>
      <c r="P118" s="43">
        <f t="shared" si="41"/>
        <v>1.1597</v>
      </c>
      <c r="Q118" s="43">
        <f t="shared" si="41"/>
        <v>1.1597</v>
      </c>
      <c r="R118" s="43">
        <f t="shared" si="41"/>
        <v>1.1597</v>
      </c>
      <c r="S118" s="43">
        <f t="shared" si="41"/>
        <v>1.1597</v>
      </c>
      <c r="T118" s="43">
        <f t="shared" si="41"/>
        <v>1.1597</v>
      </c>
      <c r="U118" s="43">
        <f t="shared" si="41"/>
        <v>1.1597</v>
      </c>
    </row>
    <row r="119" spans="1:21" ht="20.25">
      <c r="A119" s="41"/>
      <c r="B119" s="93"/>
      <c r="C119" s="26" t="s">
        <v>45</v>
      </c>
      <c r="D119" s="27" t="s">
        <v>38</v>
      </c>
      <c r="E119" s="43">
        <v>1.0403</v>
      </c>
      <c r="F119" s="43">
        <f t="shared" si="39"/>
        <v>1.0403</v>
      </c>
      <c r="G119" s="43">
        <f t="shared" si="39"/>
        <v>1.0403</v>
      </c>
      <c r="H119" s="43">
        <f t="shared" si="39"/>
        <v>1.0403</v>
      </c>
      <c r="I119" s="43">
        <v>1.0403</v>
      </c>
      <c r="J119" s="43">
        <f t="shared" si="41"/>
        <v>1.0403</v>
      </c>
      <c r="K119" s="43">
        <f t="shared" si="41"/>
        <v>1.0403</v>
      </c>
      <c r="L119" s="43">
        <f t="shared" si="41"/>
        <v>1.0403</v>
      </c>
      <c r="M119" s="43">
        <f t="shared" si="41"/>
        <v>1.0403</v>
      </c>
      <c r="N119" s="43">
        <f t="shared" si="41"/>
        <v>1.0403</v>
      </c>
      <c r="O119" s="43">
        <f t="shared" si="41"/>
        <v>1.0403</v>
      </c>
      <c r="P119" s="43">
        <f t="shared" si="41"/>
        <v>1.0403</v>
      </c>
      <c r="Q119" s="43">
        <f t="shared" si="41"/>
        <v>1.0403</v>
      </c>
      <c r="R119" s="43">
        <f t="shared" si="41"/>
        <v>1.0403</v>
      </c>
      <c r="S119" s="43">
        <f t="shared" si="41"/>
        <v>1.0403</v>
      </c>
      <c r="T119" s="43">
        <f t="shared" si="41"/>
        <v>1.0403</v>
      </c>
      <c r="U119" s="43">
        <f t="shared" si="41"/>
        <v>1.0403</v>
      </c>
    </row>
    <row r="120" spans="1:21" ht="20.25">
      <c r="A120" s="41"/>
      <c r="B120" s="93"/>
      <c r="C120" s="26" t="s">
        <v>46</v>
      </c>
      <c r="D120" s="27" t="s">
        <v>38</v>
      </c>
      <c r="E120" s="43">
        <v>0</v>
      </c>
      <c r="F120" s="43">
        <f t="shared" si="39"/>
        <v>0</v>
      </c>
      <c r="G120" s="43">
        <f t="shared" si="39"/>
        <v>0</v>
      </c>
      <c r="H120" s="43">
        <f t="shared" si="39"/>
        <v>0</v>
      </c>
      <c r="I120" s="43">
        <v>0</v>
      </c>
      <c r="J120" s="43">
        <f t="shared" si="41"/>
        <v>0</v>
      </c>
      <c r="K120" s="43">
        <f t="shared" si="41"/>
        <v>0</v>
      </c>
      <c r="L120" s="43">
        <f t="shared" si="41"/>
        <v>0</v>
      </c>
      <c r="M120" s="43">
        <f t="shared" si="41"/>
        <v>0</v>
      </c>
      <c r="N120" s="43">
        <f t="shared" si="41"/>
        <v>0</v>
      </c>
      <c r="O120" s="43">
        <f t="shared" si="41"/>
        <v>0</v>
      </c>
      <c r="P120" s="43">
        <f t="shared" si="41"/>
        <v>0</v>
      </c>
      <c r="Q120" s="43">
        <f t="shared" si="41"/>
        <v>0</v>
      </c>
      <c r="R120" s="43">
        <f t="shared" si="41"/>
        <v>0</v>
      </c>
      <c r="S120" s="43">
        <f t="shared" si="41"/>
        <v>0</v>
      </c>
      <c r="T120" s="43">
        <f t="shared" si="41"/>
        <v>0</v>
      </c>
      <c r="U120" s="43">
        <f t="shared" si="41"/>
        <v>0</v>
      </c>
    </row>
    <row r="121" spans="1:21" ht="21" thickBot="1">
      <c r="A121" s="41"/>
      <c r="B121" s="94"/>
      <c r="C121" s="23" t="s">
        <v>48</v>
      </c>
      <c r="D121" s="27" t="s">
        <v>38</v>
      </c>
      <c r="E121" s="43">
        <v>1.4229000000000001</v>
      </c>
      <c r="F121" s="43">
        <f t="shared" si="39"/>
        <v>1.4229000000000001</v>
      </c>
      <c r="G121" s="43">
        <f t="shared" si="39"/>
        <v>1.4229000000000001</v>
      </c>
      <c r="H121" s="43">
        <f t="shared" si="39"/>
        <v>1.4229000000000001</v>
      </c>
      <c r="I121" s="43">
        <v>1.423</v>
      </c>
      <c r="J121" s="43">
        <f t="shared" si="41"/>
        <v>1.423</v>
      </c>
      <c r="K121" s="43">
        <f t="shared" si="41"/>
        <v>1.423</v>
      </c>
      <c r="L121" s="43">
        <f t="shared" si="41"/>
        <v>1.423</v>
      </c>
      <c r="M121" s="43">
        <f t="shared" si="41"/>
        <v>1.423</v>
      </c>
      <c r="N121" s="43">
        <f t="shared" si="41"/>
        <v>1.423</v>
      </c>
      <c r="O121" s="43">
        <f t="shared" si="41"/>
        <v>1.423</v>
      </c>
      <c r="P121" s="43">
        <f t="shared" si="41"/>
        <v>1.423</v>
      </c>
      <c r="Q121" s="43">
        <f t="shared" si="41"/>
        <v>1.423</v>
      </c>
      <c r="R121" s="43">
        <f t="shared" si="41"/>
        <v>1.423</v>
      </c>
      <c r="S121" s="43">
        <f t="shared" si="41"/>
        <v>1.423</v>
      </c>
      <c r="T121" s="43">
        <f t="shared" si="41"/>
        <v>1.423</v>
      </c>
      <c r="U121" s="43">
        <f t="shared" si="41"/>
        <v>1.423</v>
      </c>
    </row>
    <row r="122" spans="1:21" ht="18.75" customHeight="1">
      <c r="A122" s="41"/>
      <c r="B122" s="92" t="s">
        <v>36</v>
      </c>
      <c r="C122" s="22" t="s">
        <v>43</v>
      </c>
      <c r="D122" s="24" t="s">
        <v>50</v>
      </c>
      <c r="E122" s="58">
        <v>0.67900000000000005</v>
      </c>
      <c r="F122" s="28">
        <f t="shared" si="39"/>
        <v>0.67900000000000005</v>
      </c>
      <c r="G122" s="28">
        <f t="shared" si="39"/>
        <v>0.67900000000000005</v>
      </c>
      <c r="H122" s="28">
        <f t="shared" si="39"/>
        <v>0.67900000000000005</v>
      </c>
      <c r="I122" s="28">
        <f t="shared" si="39"/>
        <v>0.67900000000000005</v>
      </c>
      <c r="J122" s="28">
        <f t="shared" si="41"/>
        <v>0.67900000000000005</v>
      </c>
      <c r="K122" s="28">
        <f t="shared" si="41"/>
        <v>0.67900000000000005</v>
      </c>
      <c r="L122" s="28">
        <f t="shared" si="41"/>
        <v>0.67900000000000005</v>
      </c>
      <c r="M122" s="28">
        <f t="shared" si="41"/>
        <v>0.67900000000000005</v>
      </c>
      <c r="N122" s="28">
        <f t="shared" si="41"/>
        <v>0.67900000000000005</v>
      </c>
      <c r="O122" s="28">
        <f t="shared" si="41"/>
        <v>0.67900000000000005</v>
      </c>
      <c r="P122" s="28">
        <f t="shared" si="41"/>
        <v>0.67900000000000005</v>
      </c>
      <c r="Q122" s="28">
        <f t="shared" si="41"/>
        <v>0.67900000000000005</v>
      </c>
      <c r="R122" s="28">
        <f t="shared" si="41"/>
        <v>0.67900000000000005</v>
      </c>
      <c r="S122" s="28">
        <f t="shared" si="41"/>
        <v>0.67900000000000005</v>
      </c>
      <c r="T122" s="28">
        <f t="shared" si="41"/>
        <v>0.67900000000000005</v>
      </c>
      <c r="U122" s="28">
        <f t="shared" si="41"/>
        <v>0.67900000000000005</v>
      </c>
    </row>
    <row r="123" spans="1:21" ht="20.25">
      <c r="A123" s="41"/>
      <c r="B123" s="93"/>
      <c r="C123" s="26" t="s">
        <v>47</v>
      </c>
      <c r="D123" s="27" t="s">
        <v>50</v>
      </c>
      <c r="E123" s="59">
        <v>0.60809542411428119</v>
      </c>
      <c r="F123" s="43">
        <f t="shared" si="39"/>
        <v>0.60809542411428119</v>
      </c>
      <c r="G123" s="43">
        <f t="shared" si="39"/>
        <v>0.60809542411428119</v>
      </c>
      <c r="H123" s="43">
        <f t="shared" si="39"/>
        <v>0.60809542411428119</v>
      </c>
      <c r="I123" s="43">
        <f t="shared" si="39"/>
        <v>0.60809542411428119</v>
      </c>
      <c r="J123" s="43">
        <f t="shared" si="41"/>
        <v>0.60809542411428119</v>
      </c>
      <c r="K123" s="43">
        <f t="shared" si="41"/>
        <v>0.60809542411428119</v>
      </c>
      <c r="L123" s="43">
        <f t="shared" si="41"/>
        <v>0.60809542411428119</v>
      </c>
      <c r="M123" s="43">
        <f t="shared" si="41"/>
        <v>0.60809542411428119</v>
      </c>
      <c r="N123" s="43">
        <f t="shared" si="41"/>
        <v>0.60809542411428119</v>
      </c>
      <c r="O123" s="43">
        <f t="shared" si="41"/>
        <v>0.60809542411428119</v>
      </c>
      <c r="P123" s="43">
        <f t="shared" si="41"/>
        <v>0.60809542411428119</v>
      </c>
      <c r="Q123" s="43">
        <f t="shared" si="41"/>
        <v>0.60809542411428119</v>
      </c>
      <c r="R123" s="43">
        <f t="shared" si="41"/>
        <v>0.60809542411428119</v>
      </c>
      <c r="S123" s="43">
        <f t="shared" si="41"/>
        <v>0.60809542411428119</v>
      </c>
      <c r="T123" s="43">
        <f t="shared" si="41"/>
        <v>0.60809542411428119</v>
      </c>
      <c r="U123" s="43">
        <f t="shared" si="41"/>
        <v>0.60809542411428119</v>
      </c>
    </row>
    <row r="124" spans="1:21" ht="20.25">
      <c r="A124" s="41"/>
      <c r="B124" s="93"/>
      <c r="C124" s="26" t="s">
        <v>44</v>
      </c>
      <c r="D124" s="27" t="s">
        <v>50</v>
      </c>
      <c r="E124" s="59">
        <v>0.68659277232853799</v>
      </c>
      <c r="F124" s="43">
        <f t="shared" si="39"/>
        <v>0.68659277232853799</v>
      </c>
      <c r="G124" s="43">
        <f t="shared" si="39"/>
        <v>0.68659277232853799</v>
      </c>
      <c r="H124" s="43">
        <f t="shared" si="39"/>
        <v>0.68659277232853799</v>
      </c>
      <c r="I124" s="43">
        <f t="shared" si="39"/>
        <v>0.68659277232853799</v>
      </c>
      <c r="J124" s="43">
        <f t="shared" si="41"/>
        <v>0.68659277232853799</v>
      </c>
      <c r="K124" s="43">
        <f t="shared" si="41"/>
        <v>0.68659277232853799</v>
      </c>
      <c r="L124" s="43">
        <f t="shared" si="41"/>
        <v>0.68659277232853799</v>
      </c>
      <c r="M124" s="43">
        <f t="shared" ref="M124:U133" si="42">L124</f>
        <v>0.68659277232853799</v>
      </c>
      <c r="N124" s="43">
        <f t="shared" si="42"/>
        <v>0.68659277232853799</v>
      </c>
      <c r="O124" s="43">
        <f t="shared" si="42"/>
        <v>0.68659277232853799</v>
      </c>
      <c r="P124" s="43">
        <f t="shared" si="42"/>
        <v>0.68659277232853799</v>
      </c>
      <c r="Q124" s="43">
        <f t="shared" si="42"/>
        <v>0.68659277232853799</v>
      </c>
      <c r="R124" s="43">
        <f t="shared" si="42"/>
        <v>0.68659277232853799</v>
      </c>
      <c r="S124" s="43">
        <f t="shared" si="42"/>
        <v>0.68659277232853799</v>
      </c>
      <c r="T124" s="43">
        <f t="shared" si="42"/>
        <v>0.68659277232853799</v>
      </c>
      <c r="U124" s="43">
        <f t="shared" si="42"/>
        <v>0.68659277232853799</v>
      </c>
    </row>
    <row r="125" spans="1:21" ht="20.25">
      <c r="A125" s="41"/>
      <c r="B125" s="93"/>
      <c r="C125" s="26" t="s">
        <v>45</v>
      </c>
      <c r="D125" s="27" t="s">
        <v>50</v>
      </c>
      <c r="E125" s="59">
        <v>0.6152851830428081</v>
      </c>
      <c r="F125" s="43">
        <f t="shared" si="39"/>
        <v>0.6152851830428081</v>
      </c>
      <c r="G125" s="43">
        <f t="shared" si="39"/>
        <v>0.6152851830428081</v>
      </c>
      <c r="H125" s="43">
        <f t="shared" si="39"/>
        <v>0.6152851830428081</v>
      </c>
      <c r="I125" s="43">
        <f t="shared" si="39"/>
        <v>0.6152851830428081</v>
      </c>
      <c r="J125" s="43">
        <f t="shared" si="39"/>
        <v>0.6152851830428081</v>
      </c>
      <c r="K125" s="43">
        <f t="shared" si="39"/>
        <v>0.6152851830428081</v>
      </c>
      <c r="L125" s="43">
        <f t="shared" si="39"/>
        <v>0.6152851830428081</v>
      </c>
      <c r="M125" s="43">
        <f t="shared" si="42"/>
        <v>0.6152851830428081</v>
      </c>
      <c r="N125" s="43">
        <f t="shared" si="42"/>
        <v>0.6152851830428081</v>
      </c>
      <c r="O125" s="43">
        <f t="shared" si="42"/>
        <v>0.6152851830428081</v>
      </c>
      <c r="P125" s="43">
        <f t="shared" si="42"/>
        <v>0.6152851830428081</v>
      </c>
      <c r="Q125" s="43">
        <f t="shared" si="42"/>
        <v>0.6152851830428081</v>
      </c>
      <c r="R125" s="43">
        <f t="shared" si="42"/>
        <v>0.6152851830428081</v>
      </c>
      <c r="S125" s="43">
        <f t="shared" si="42"/>
        <v>0.6152851830428081</v>
      </c>
      <c r="T125" s="43">
        <f t="shared" si="42"/>
        <v>0.6152851830428081</v>
      </c>
      <c r="U125" s="43">
        <f t="shared" si="42"/>
        <v>0.6152851830428081</v>
      </c>
    </row>
    <row r="126" spans="1:21" ht="20.25">
      <c r="A126" s="41"/>
      <c r="B126" s="93"/>
      <c r="C126" s="26" t="s">
        <v>46</v>
      </c>
      <c r="D126" s="27" t="s">
        <v>50</v>
      </c>
      <c r="E126" s="59">
        <v>0</v>
      </c>
      <c r="F126" s="43">
        <f t="shared" si="39"/>
        <v>0</v>
      </c>
      <c r="G126" s="43">
        <f t="shared" si="39"/>
        <v>0</v>
      </c>
      <c r="H126" s="43">
        <f t="shared" si="39"/>
        <v>0</v>
      </c>
      <c r="I126" s="43">
        <f t="shared" si="39"/>
        <v>0</v>
      </c>
      <c r="J126" s="43">
        <f t="shared" si="39"/>
        <v>0</v>
      </c>
      <c r="K126" s="43">
        <f t="shared" si="39"/>
        <v>0</v>
      </c>
      <c r="L126" s="43">
        <f t="shared" si="39"/>
        <v>0</v>
      </c>
      <c r="M126" s="43">
        <f t="shared" si="42"/>
        <v>0</v>
      </c>
      <c r="N126" s="43">
        <f t="shared" si="42"/>
        <v>0</v>
      </c>
      <c r="O126" s="43">
        <f t="shared" si="42"/>
        <v>0</v>
      </c>
      <c r="P126" s="43">
        <f t="shared" si="42"/>
        <v>0</v>
      </c>
      <c r="Q126" s="43">
        <f t="shared" si="42"/>
        <v>0</v>
      </c>
      <c r="R126" s="43">
        <f t="shared" si="42"/>
        <v>0</v>
      </c>
      <c r="S126" s="43">
        <f t="shared" si="42"/>
        <v>0</v>
      </c>
      <c r="T126" s="43">
        <f t="shared" si="42"/>
        <v>0</v>
      </c>
      <c r="U126" s="43">
        <f t="shared" si="42"/>
        <v>0</v>
      </c>
    </row>
    <row r="127" spans="1:21" ht="21" thickBot="1">
      <c r="A127" s="41"/>
      <c r="B127" s="94"/>
      <c r="C127" s="23" t="s">
        <v>48</v>
      </c>
      <c r="D127" s="27" t="s">
        <v>50</v>
      </c>
      <c r="E127" s="59">
        <v>0.84199999999999997</v>
      </c>
      <c r="F127" s="43">
        <f t="shared" si="39"/>
        <v>0.84199999999999997</v>
      </c>
      <c r="G127" s="43">
        <f t="shared" si="39"/>
        <v>0.84199999999999997</v>
      </c>
      <c r="H127" s="43">
        <f t="shared" si="39"/>
        <v>0.84199999999999997</v>
      </c>
      <c r="I127" s="43">
        <f t="shared" si="39"/>
        <v>0.84199999999999997</v>
      </c>
      <c r="J127" s="43">
        <f t="shared" si="39"/>
        <v>0.84199999999999997</v>
      </c>
      <c r="K127" s="43">
        <f t="shared" si="39"/>
        <v>0.84199999999999997</v>
      </c>
      <c r="L127" s="43">
        <f t="shared" si="39"/>
        <v>0.84199999999999997</v>
      </c>
      <c r="M127" s="43">
        <f t="shared" si="42"/>
        <v>0.84199999999999997</v>
      </c>
      <c r="N127" s="43">
        <f t="shared" si="42"/>
        <v>0.84199999999999997</v>
      </c>
      <c r="O127" s="43">
        <f t="shared" si="42"/>
        <v>0.84199999999999997</v>
      </c>
      <c r="P127" s="43">
        <f t="shared" si="42"/>
        <v>0.84199999999999997</v>
      </c>
      <c r="Q127" s="43">
        <f t="shared" si="42"/>
        <v>0.84199999999999997</v>
      </c>
      <c r="R127" s="43">
        <f t="shared" si="42"/>
        <v>0.84199999999999997</v>
      </c>
      <c r="S127" s="43">
        <f t="shared" si="42"/>
        <v>0.84199999999999997</v>
      </c>
      <c r="T127" s="43">
        <f t="shared" si="42"/>
        <v>0.84199999999999997</v>
      </c>
      <c r="U127" s="43">
        <f t="shared" si="42"/>
        <v>0.84199999999999997</v>
      </c>
    </row>
    <row r="128" spans="1:21" ht="18.75" customHeight="1">
      <c r="A128" s="41"/>
      <c r="B128" s="95" t="s">
        <v>37</v>
      </c>
      <c r="C128" s="22" t="s">
        <v>43</v>
      </c>
      <c r="D128" s="24" t="s">
        <v>50</v>
      </c>
      <c r="E128" s="28">
        <v>0</v>
      </c>
      <c r="F128" s="28">
        <f t="shared" si="39"/>
        <v>0</v>
      </c>
      <c r="G128" s="28">
        <f t="shared" si="39"/>
        <v>0</v>
      </c>
      <c r="H128" s="28">
        <f t="shared" si="39"/>
        <v>0</v>
      </c>
      <c r="I128" s="28">
        <v>0</v>
      </c>
      <c r="J128" s="28">
        <f t="shared" si="39"/>
        <v>0</v>
      </c>
      <c r="K128" s="28">
        <f t="shared" si="39"/>
        <v>0</v>
      </c>
      <c r="L128" s="28">
        <f t="shared" si="39"/>
        <v>0</v>
      </c>
      <c r="M128" s="28">
        <f t="shared" si="42"/>
        <v>0</v>
      </c>
      <c r="N128" s="28">
        <f t="shared" si="42"/>
        <v>0</v>
      </c>
      <c r="O128" s="28">
        <f t="shared" si="42"/>
        <v>0</v>
      </c>
      <c r="P128" s="28">
        <f t="shared" si="42"/>
        <v>0</v>
      </c>
      <c r="Q128" s="28">
        <f t="shared" si="42"/>
        <v>0</v>
      </c>
      <c r="R128" s="28">
        <f t="shared" si="42"/>
        <v>0</v>
      </c>
      <c r="S128" s="28">
        <f t="shared" si="42"/>
        <v>0</v>
      </c>
      <c r="T128" s="28">
        <f t="shared" si="42"/>
        <v>0</v>
      </c>
      <c r="U128" s="28">
        <f t="shared" si="42"/>
        <v>0</v>
      </c>
    </row>
    <row r="129" spans="1:21" ht="20.25">
      <c r="A129" s="41"/>
      <c r="B129" s="96"/>
      <c r="C129" s="26" t="s">
        <v>47</v>
      </c>
      <c r="D129" s="27" t="s">
        <v>50</v>
      </c>
      <c r="E129" s="43">
        <v>0</v>
      </c>
      <c r="F129" s="43">
        <f t="shared" si="39"/>
        <v>0</v>
      </c>
      <c r="G129" s="43">
        <f t="shared" si="39"/>
        <v>0</v>
      </c>
      <c r="H129" s="43">
        <f t="shared" si="39"/>
        <v>0</v>
      </c>
      <c r="I129" s="43">
        <f t="shared" si="39"/>
        <v>0</v>
      </c>
      <c r="J129" s="43">
        <f t="shared" si="39"/>
        <v>0</v>
      </c>
      <c r="K129" s="43">
        <f t="shared" si="39"/>
        <v>0</v>
      </c>
      <c r="L129" s="43">
        <f t="shared" si="39"/>
        <v>0</v>
      </c>
      <c r="M129" s="43">
        <f t="shared" si="42"/>
        <v>0</v>
      </c>
      <c r="N129" s="43">
        <f t="shared" si="42"/>
        <v>0</v>
      </c>
      <c r="O129" s="43">
        <f t="shared" si="42"/>
        <v>0</v>
      </c>
      <c r="P129" s="43">
        <f t="shared" si="42"/>
        <v>0</v>
      </c>
      <c r="Q129" s="43">
        <f t="shared" si="42"/>
        <v>0</v>
      </c>
      <c r="R129" s="43">
        <f t="shared" si="42"/>
        <v>0</v>
      </c>
      <c r="S129" s="43">
        <f t="shared" si="42"/>
        <v>0</v>
      </c>
      <c r="T129" s="43">
        <f t="shared" si="42"/>
        <v>0</v>
      </c>
      <c r="U129" s="43">
        <f t="shared" si="42"/>
        <v>0</v>
      </c>
    </row>
    <row r="130" spans="1:21" ht="20.25">
      <c r="A130" s="41"/>
      <c r="B130" s="96"/>
      <c r="C130" s="26" t="s">
        <v>44</v>
      </c>
      <c r="D130" s="27" t="s">
        <v>50</v>
      </c>
      <c r="E130" s="43">
        <v>0</v>
      </c>
      <c r="F130" s="43">
        <f t="shared" si="39"/>
        <v>0</v>
      </c>
      <c r="G130" s="43">
        <f t="shared" si="39"/>
        <v>0</v>
      </c>
      <c r="H130" s="43">
        <f t="shared" si="39"/>
        <v>0</v>
      </c>
      <c r="I130" s="43">
        <v>0</v>
      </c>
      <c r="J130" s="43">
        <f t="shared" si="39"/>
        <v>0</v>
      </c>
      <c r="K130" s="43">
        <f t="shared" si="39"/>
        <v>0</v>
      </c>
      <c r="L130" s="43">
        <f t="shared" si="39"/>
        <v>0</v>
      </c>
      <c r="M130" s="43">
        <f t="shared" si="42"/>
        <v>0</v>
      </c>
      <c r="N130" s="43">
        <f t="shared" si="42"/>
        <v>0</v>
      </c>
      <c r="O130" s="43">
        <f t="shared" si="42"/>
        <v>0</v>
      </c>
      <c r="P130" s="43">
        <f t="shared" si="42"/>
        <v>0</v>
      </c>
      <c r="Q130" s="43">
        <f t="shared" si="42"/>
        <v>0</v>
      </c>
      <c r="R130" s="43">
        <f t="shared" si="42"/>
        <v>0</v>
      </c>
      <c r="S130" s="43">
        <f t="shared" si="42"/>
        <v>0</v>
      </c>
      <c r="T130" s="43">
        <f t="shared" si="42"/>
        <v>0</v>
      </c>
      <c r="U130" s="43">
        <f t="shared" si="42"/>
        <v>0</v>
      </c>
    </row>
    <row r="131" spans="1:21" ht="20.25">
      <c r="A131" s="41"/>
      <c r="B131" s="96"/>
      <c r="C131" s="26" t="s">
        <v>45</v>
      </c>
      <c r="D131" s="27" t="s">
        <v>50</v>
      </c>
      <c r="E131" s="43">
        <v>0</v>
      </c>
      <c r="F131" s="43">
        <f t="shared" si="39"/>
        <v>0</v>
      </c>
      <c r="G131" s="43">
        <f t="shared" si="39"/>
        <v>0</v>
      </c>
      <c r="H131" s="43">
        <f t="shared" si="39"/>
        <v>0</v>
      </c>
      <c r="I131" s="43">
        <f t="shared" si="39"/>
        <v>0</v>
      </c>
      <c r="J131" s="43">
        <f t="shared" si="39"/>
        <v>0</v>
      </c>
      <c r="K131" s="43">
        <f t="shared" si="39"/>
        <v>0</v>
      </c>
      <c r="L131" s="43">
        <f t="shared" si="39"/>
        <v>0</v>
      </c>
      <c r="M131" s="43">
        <f t="shared" si="42"/>
        <v>0</v>
      </c>
      <c r="N131" s="43">
        <f t="shared" si="42"/>
        <v>0</v>
      </c>
      <c r="O131" s="43">
        <f t="shared" si="42"/>
        <v>0</v>
      </c>
      <c r="P131" s="43">
        <f t="shared" si="42"/>
        <v>0</v>
      </c>
      <c r="Q131" s="43">
        <f t="shared" si="42"/>
        <v>0</v>
      </c>
      <c r="R131" s="43">
        <f t="shared" si="42"/>
        <v>0</v>
      </c>
      <c r="S131" s="43">
        <f t="shared" si="42"/>
        <v>0</v>
      </c>
      <c r="T131" s="43">
        <f t="shared" si="42"/>
        <v>0</v>
      </c>
      <c r="U131" s="43">
        <f t="shared" si="42"/>
        <v>0</v>
      </c>
    </row>
    <row r="132" spans="1:21" ht="20.25">
      <c r="A132" s="41"/>
      <c r="B132" s="96"/>
      <c r="C132" s="26" t="s">
        <v>46</v>
      </c>
      <c r="D132" s="27" t="s">
        <v>50</v>
      </c>
      <c r="E132" s="43">
        <v>0</v>
      </c>
      <c r="F132" s="43">
        <f t="shared" si="39"/>
        <v>0</v>
      </c>
      <c r="G132" s="43">
        <f t="shared" si="39"/>
        <v>0</v>
      </c>
      <c r="H132" s="43">
        <f t="shared" si="39"/>
        <v>0</v>
      </c>
      <c r="I132" s="43">
        <v>0</v>
      </c>
      <c r="J132" s="43">
        <f t="shared" si="39"/>
        <v>0</v>
      </c>
      <c r="K132" s="43">
        <f t="shared" si="39"/>
        <v>0</v>
      </c>
      <c r="L132" s="43">
        <f t="shared" si="39"/>
        <v>0</v>
      </c>
      <c r="M132" s="43">
        <f t="shared" si="42"/>
        <v>0</v>
      </c>
      <c r="N132" s="43">
        <f t="shared" si="42"/>
        <v>0</v>
      </c>
      <c r="O132" s="43">
        <f t="shared" si="42"/>
        <v>0</v>
      </c>
      <c r="P132" s="43">
        <f t="shared" si="42"/>
        <v>0</v>
      </c>
      <c r="Q132" s="43">
        <f t="shared" si="42"/>
        <v>0</v>
      </c>
      <c r="R132" s="43">
        <f t="shared" si="42"/>
        <v>0</v>
      </c>
      <c r="S132" s="43">
        <f t="shared" si="42"/>
        <v>0</v>
      </c>
      <c r="T132" s="43">
        <f t="shared" si="42"/>
        <v>0</v>
      </c>
      <c r="U132" s="43">
        <f t="shared" si="42"/>
        <v>0</v>
      </c>
    </row>
    <row r="133" spans="1:21" ht="21" thickBot="1">
      <c r="A133" s="41"/>
      <c r="B133" s="97"/>
      <c r="C133" s="23" t="s">
        <v>48</v>
      </c>
      <c r="D133" s="27" t="s">
        <v>50</v>
      </c>
      <c r="E133" s="43">
        <v>0</v>
      </c>
      <c r="F133" s="43">
        <f t="shared" si="39"/>
        <v>0</v>
      </c>
      <c r="G133" s="43">
        <f t="shared" si="39"/>
        <v>0</v>
      </c>
      <c r="H133" s="43">
        <f t="shared" si="39"/>
        <v>0</v>
      </c>
      <c r="I133" s="43">
        <v>0</v>
      </c>
      <c r="J133" s="43">
        <f t="shared" si="39"/>
        <v>0</v>
      </c>
      <c r="K133" s="43">
        <f t="shared" si="39"/>
        <v>0</v>
      </c>
      <c r="L133" s="43">
        <f t="shared" si="39"/>
        <v>0</v>
      </c>
      <c r="M133" s="43">
        <f t="shared" si="42"/>
        <v>0</v>
      </c>
      <c r="N133" s="43">
        <f t="shared" si="42"/>
        <v>0</v>
      </c>
      <c r="O133" s="43">
        <f t="shared" si="42"/>
        <v>0</v>
      </c>
      <c r="P133" s="43">
        <f t="shared" si="42"/>
        <v>0</v>
      </c>
      <c r="Q133" s="43">
        <f t="shared" si="42"/>
        <v>0</v>
      </c>
      <c r="R133" s="43">
        <f t="shared" si="42"/>
        <v>0</v>
      </c>
      <c r="S133" s="43">
        <f t="shared" si="42"/>
        <v>0</v>
      </c>
      <c r="T133" s="43">
        <f t="shared" si="42"/>
        <v>0</v>
      </c>
      <c r="U133" s="43">
        <f t="shared" si="42"/>
        <v>0</v>
      </c>
    </row>
    <row r="134" spans="1:21" ht="18.75" customHeight="1">
      <c r="A134" s="41" t="s">
        <v>57</v>
      </c>
      <c r="B134" s="95" t="s">
        <v>26</v>
      </c>
      <c r="C134" s="22" t="s">
        <v>43</v>
      </c>
      <c r="D134" s="24" t="s">
        <v>50</v>
      </c>
      <c r="E134" s="61">
        <f>1/(1-E73)*((E47/0.9*E74)+E80+(E23*E86)+E73*(E20+E98*E92)-E20-E104*(E20+E110)-(E47/0.9*E116+E122)-E128)</f>
        <v>43.919775143419628</v>
      </c>
      <c r="F134" s="61">
        <f t="shared" ref="F134:U134" si="43">1/(1-F73)*((F47/0.9*F74)+F80+(F23*F86)+F73*(F20+F98*F92)-F20-F104*(F20+F110)-(F47/0.9*F116+F122)-F128)</f>
        <v>43.919775143419628</v>
      </c>
      <c r="G134" s="61">
        <f t="shared" si="43"/>
        <v>33.587115385215853</v>
      </c>
      <c r="H134" s="61">
        <f t="shared" si="43"/>
        <v>32.51011538521584</v>
      </c>
      <c r="I134" s="61" t="e">
        <f t="shared" si="43"/>
        <v>#REF!</v>
      </c>
      <c r="J134" s="61" t="e">
        <f t="shared" si="43"/>
        <v>#REF!</v>
      </c>
      <c r="K134" s="61" t="e">
        <f t="shared" si="43"/>
        <v>#REF!</v>
      </c>
      <c r="L134" s="61" t="e">
        <f t="shared" si="43"/>
        <v>#REF!</v>
      </c>
      <c r="M134" s="61" t="e">
        <f t="shared" si="43"/>
        <v>#REF!</v>
      </c>
      <c r="N134" s="61" t="e">
        <f t="shared" si="43"/>
        <v>#REF!</v>
      </c>
      <c r="O134" s="61" t="e">
        <f t="shared" si="43"/>
        <v>#REF!</v>
      </c>
      <c r="P134" s="61" t="e">
        <f t="shared" si="43"/>
        <v>#REF!</v>
      </c>
      <c r="Q134" s="61" t="e">
        <f t="shared" si="43"/>
        <v>#REF!</v>
      </c>
      <c r="R134" s="61" t="e">
        <f t="shared" si="43"/>
        <v>#REF!</v>
      </c>
      <c r="S134" s="61" t="e">
        <f t="shared" si="43"/>
        <v>#REF!</v>
      </c>
      <c r="T134" s="61" t="e">
        <f t="shared" si="43"/>
        <v>#REF!</v>
      </c>
      <c r="U134" s="61" t="e">
        <f t="shared" si="43"/>
        <v>#REF!</v>
      </c>
    </row>
    <row r="135" spans="1:21" ht="20.25">
      <c r="A135" s="41" t="s">
        <v>53</v>
      </c>
      <c r="B135" s="96"/>
      <c r="C135" s="26" t="s">
        <v>47</v>
      </c>
      <c r="D135" s="27" t="s">
        <v>50</v>
      </c>
      <c r="E135" s="57">
        <f>1/(1-E73)*((E47/0.9*E75)+E81+(E23*E87)+E73*(E20+E99*E93)-E20-E105*(E20+E111)-(E47/0.9*E117+E123)-E129)</f>
        <v>48.173170984455936</v>
      </c>
      <c r="F135" s="57">
        <f t="shared" ref="F135:U135" si="44">1/(1-F73)*((F47/0.9*F75)+F81+(F23*F87)+F73*(F20+F99*F93)-F20-F105*(F20+F111)-(F47/0.9*F117+F123)-F129)</f>
        <v>48.173170984455936</v>
      </c>
      <c r="G135" s="57">
        <f t="shared" si="44"/>
        <v>37.793063903281521</v>
      </c>
      <c r="H135" s="57">
        <f t="shared" si="44"/>
        <v>36.716063903281508</v>
      </c>
      <c r="I135" s="57" t="e">
        <f t="shared" si="44"/>
        <v>#REF!</v>
      </c>
      <c r="J135" s="57" t="e">
        <f t="shared" si="44"/>
        <v>#REF!</v>
      </c>
      <c r="K135" s="57" t="e">
        <f t="shared" si="44"/>
        <v>#REF!</v>
      </c>
      <c r="L135" s="57" t="e">
        <f t="shared" si="44"/>
        <v>#REF!</v>
      </c>
      <c r="M135" s="57" t="e">
        <f t="shared" si="44"/>
        <v>#REF!</v>
      </c>
      <c r="N135" s="57" t="e">
        <f t="shared" si="44"/>
        <v>#REF!</v>
      </c>
      <c r="O135" s="57" t="e">
        <f t="shared" si="44"/>
        <v>#REF!</v>
      </c>
      <c r="P135" s="57" t="e">
        <f t="shared" si="44"/>
        <v>#REF!</v>
      </c>
      <c r="Q135" s="57" t="e">
        <f t="shared" si="44"/>
        <v>#REF!</v>
      </c>
      <c r="R135" s="57" t="e">
        <f t="shared" si="44"/>
        <v>#REF!</v>
      </c>
      <c r="S135" s="57" t="e">
        <f t="shared" si="44"/>
        <v>#REF!</v>
      </c>
      <c r="T135" s="57" t="e">
        <f t="shared" si="44"/>
        <v>#REF!</v>
      </c>
      <c r="U135" s="57" t="e">
        <f t="shared" si="44"/>
        <v>#REF!</v>
      </c>
    </row>
    <row r="136" spans="1:21" ht="20.25">
      <c r="A136" s="41" t="s">
        <v>55</v>
      </c>
      <c r="B136" s="96"/>
      <c r="C136" s="26" t="s">
        <v>44</v>
      </c>
      <c r="D136" s="27" t="s">
        <v>50</v>
      </c>
      <c r="E136" s="57">
        <f>1/(1-E73)*((E47/0.9*E76)+E82+(E23*E88)+E73*(E20+E100*E94)-E20-E106*(E20+E112)-(E47/0.9*E118+E124)-E130)</f>
        <v>43.983834196891166</v>
      </c>
      <c r="F136" s="57">
        <f t="shared" ref="F136:U136" si="45">1/(1-F73)*((F47/0.9*F76)+F82+(F23*F88)+F73*(F20+F100*F94)-F20-F106*(F20+F112)-(F47/0.9*F118+F124)-F130)</f>
        <v>43.983834196891166</v>
      </c>
      <c r="G136" s="57">
        <f t="shared" si="45"/>
        <v>33.655919170984461</v>
      </c>
      <c r="H136" s="57">
        <f t="shared" si="45"/>
        <v>32.578919170984442</v>
      </c>
      <c r="I136" s="57" t="e">
        <f t="shared" si="45"/>
        <v>#REF!</v>
      </c>
      <c r="J136" s="57" t="e">
        <f t="shared" si="45"/>
        <v>#REF!</v>
      </c>
      <c r="K136" s="57" t="e">
        <f t="shared" si="45"/>
        <v>#REF!</v>
      </c>
      <c r="L136" s="57" t="e">
        <f t="shared" si="45"/>
        <v>#REF!</v>
      </c>
      <c r="M136" s="57" t="e">
        <f t="shared" si="45"/>
        <v>#REF!</v>
      </c>
      <c r="N136" s="57" t="e">
        <f t="shared" si="45"/>
        <v>#REF!</v>
      </c>
      <c r="O136" s="57" t="e">
        <f t="shared" si="45"/>
        <v>#REF!</v>
      </c>
      <c r="P136" s="57" t="e">
        <f t="shared" si="45"/>
        <v>#REF!</v>
      </c>
      <c r="Q136" s="57" t="e">
        <f t="shared" si="45"/>
        <v>#REF!</v>
      </c>
      <c r="R136" s="57" t="e">
        <f t="shared" si="45"/>
        <v>#REF!</v>
      </c>
      <c r="S136" s="57" t="e">
        <f t="shared" si="45"/>
        <v>#REF!</v>
      </c>
      <c r="T136" s="57" t="e">
        <f t="shared" si="45"/>
        <v>#REF!</v>
      </c>
      <c r="U136" s="57" t="e">
        <f t="shared" si="45"/>
        <v>#REF!</v>
      </c>
    </row>
    <row r="137" spans="1:21" ht="20.25">
      <c r="A137" s="41" t="s">
        <v>54</v>
      </c>
      <c r="B137" s="96"/>
      <c r="C137" s="26" t="s">
        <v>45</v>
      </c>
      <c r="D137" s="27" t="s">
        <v>50</v>
      </c>
      <c r="E137" s="57">
        <f>1/(1-E73)*((E47/0.9*E77)+E83+(E23*E89)+E73*(E20+E101*E95)-E20-E107*(E20+E113)-(E47/0.9*E119+E125)-E131)</f>
        <v>48.417958549222789</v>
      </c>
      <c r="F137" s="57">
        <f t="shared" ref="F137:U137" si="46">1/(1-F73)*((F47/0.9*F77)+F83+(F23*F89)+F73*(F20+F101*F95)-F20-F107*(F20+F113)-(F47/0.9*F119+F125)-F131)</f>
        <v>48.417958549222789</v>
      </c>
      <c r="G137" s="57">
        <f t="shared" si="46"/>
        <v>38.042596200345457</v>
      </c>
      <c r="H137" s="57">
        <f t="shared" si="46"/>
        <v>36.965596200345445</v>
      </c>
      <c r="I137" s="57" t="e">
        <f t="shared" si="46"/>
        <v>#REF!</v>
      </c>
      <c r="J137" s="57" t="e">
        <f t="shared" si="46"/>
        <v>#REF!</v>
      </c>
      <c r="K137" s="57" t="e">
        <f t="shared" si="46"/>
        <v>#REF!</v>
      </c>
      <c r="L137" s="57" t="e">
        <f t="shared" si="46"/>
        <v>#REF!</v>
      </c>
      <c r="M137" s="57" t="e">
        <f t="shared" si="46"/>
        <v>#REF!</v>
      </c>
      <c r="N137" s="57" t="e">
        <f t="shared" si="46"/>
        <v>#REF!</v>
      </c>
      <c r="O137" s="57" t="e">
        <f t="shared" si="46"/>
        <v>#REF!</v>
      </c>
      <c r="P137" s="57" t="e">
        <f t="shared" si="46"/>
        <v>#REF!</v>
      </c>
      <c r="Q137" s="57" t="e">
        <f t="shared" si="46"/>
        <v>#REF!</v>
      </c>
      <c r="R137" s="57" t="e">
        <f t="shared" si="46"/>
        <v>#REF!</v>
      </c>
      <c r="S137" s="57" t="e">
        <f t="shared" si="46"/>
        <v>#REF!</v>
      </c>
      <c r="T137" s="57" t="e">
        <f t="shared" si="46"/>
        <v>#REF!</v>
      </c>
      <c r="U137" s="57" t="e">
        <f t="shared" si="46"/>
        <v>#REF!</v>
      </c>
    </row>
    <row r="138" spans="1:21" ht="20.25">
      <c r="A138" s="41" t="s">
        <v>56</v>
      </c>
      <c r="B138" s="96"/>
      <c r="C138" s="26" t="s">
        <v>46</v>
      </c>
      <c r="D138" s="27" t="s">
        <v>50</v>
      </c>
      <c r="E138" s="43">
        <f>1/(1-E73)*((E47/0.9*E78)+E84+(E23*E90)+E73*(E20+E102*E96)-E20-E108*(E20+E114)-(E47/0.9*E120+E126)-E132)</f>
        <v>-104.98000000000002</v>
      </c>
      <c r="F138" s="43">
        <f t="shared" ref="F138:U138" si="47">1/(1-F73)*((F47/0.9*F78)+F84+(F23*F90)+F73*(F20+F102*F96)-F20-F108*(F20+F114)-(F47/0.9*F120+F126)-F132)</f>
        <v>-104.98000000000002</v>
      </c>
      <c r="G138" s="43">
        <f t="shared" si="47"/>
        <v>-96.654000000000011</v>
      </c>
      <c r="H138" s="43">
        <f t="shared" si="47"/>
        <v>-97.731000000000009</v>
      </c>
      <c r="I138" s="43" t="e">
        <f t="shared" si="47"/>
        <v>#REF!</v>
      </c>
      <c r="J138" s="43" t="e">
        <f t="shared" si="47"/>
        <v>#REF!</v>
      </c>
      <c r="K138" s="43" t="e">
        <f t="shared" si="47"/>
        <v>#REF!</v>
      </c>
      <c r="L138" s="43" t="e">
        <f t="shared" si="47"/>
        <v>#REF!</v>
      </c>
      <c r="M138" s="43" t="e">
        <f t="shared" si="47"/>
        <v>#REF!</v>
      </c>
      <c r="N138" s="43" t="e">
        <f t="shared" si="47"/>
        <v>#REF!</v>
      </c>
      <c r="O138" s="43" t="e">
        <f t="shared" si="47"/>
        <v>#REF!</v>
      </c>
      <c r="P138" s="43" t="e">
        <f t="shared" si="47"/>
        <v>#REF!</v>
      </c>
      <c r="Q138" s="43" t="e">
        <f t="shared" si="47"/>
        <v>#REF!</v>
      </c>
      <c r="R138" s="43" t="e">
        <f t="shared" si="47"/>
        <v>#REF!</v>
      </c>
      <c r="S138" s="43" t="e">
        <f t="shared" si="47"/>
        <v>#REF!</v>
      </c>
      <c r="T138" s="43" t="e">
        <f t="shared" si="47"/>
        <v>#REF!</v>
      </c>
      <c r="U138" s="43" t="e">
        <f t="shared" si="47"/>
        <v>#REF!</v>
      </c>
    </row>
    <row r="139" spans="1:21" ht="21" thickBot="1">
      <c r="A139" s="3" t="s">
        <v>93</v>
      </c>
      <c r="B139" s="97"/>
      <c r="C139" s="23" t="s">
        <v>48</v>
      </c>
      <c r="D139" s="25" t="s">
        <v>50</v>
      </c>
      <c r="E139" s="60">
        <f>1/(1-E73)*((E70/0.9*E79)+E85+(E23*E91)+E73*(E20+E103*E97)-E20-E109*(E20+E115)-(E70/0.9*E121+E127)-E133)</f>
        <v>53.97263450555841</v>
      </c>
      <c r="F139" s="60">
        <f t="shared" ref="F139:U139" si="48">1/(1-F73)*((F70/0.9*F79)+F85+(F23*F91)+F73*(F20+F103*F97)-F20-F109*(F20+F115)-(F70/0.9*F121+F127)-F133)</f>
        <v>53.97263450555841</v>
      </c>
      <c r="G139" s="60" t="e">
        <f t="shared" si="48"/>
        <v>#VALUE!</v>
      </c>
      <c r="H139" s="60" t="e">
        <f t="shared" si="48"/>
        <v>#VALUE!</v>
      </c>
      <c r="I139" s="60" t="e">
        <f t="shared" si="48"/>
        <v>#REF!</v>
      </c>
      <c r="J139" s="60" t="e">
        <f t="shared" si="48"/>
        <v>#REF!</v>
      </c>
      <c r="K139" s="60" t="e">
        <f t="shared" si="48"/>
        <v>#REF!</v>
      </c>
      <c r="L139" s="60" t="e">
        <f t="shared" si="48"/>
        <v>#REF!</v>
      </c>
      <c r="M139" s="60" t="e">
        <f t="shared" si="48"/>
        <v>#REF!</v>
      </c>
      <c r="N139" s="60" t="e">
        <f t="shared" si="48"/>
        <v>#REF!</v>
      </c>
      <c r="O139" s="60" t="e">
        <f t="shared" si="48"/>
        <v>#REF!</v>
      </c>
      <c r="P139" s="60" t="e">
        <f t="shared" si="48"/>
        <v>#REF!</v>
      </c>
      <c r="Q139" s="60" t="e">
        <f t="shared" si="48"/>
        <v>#REF!</v>
      </c>
      <c r="R139" s="60" t="e">
        <f t="shared" si="48"/>
        <v>#REF!</v>
      </c>
      <c r="S139" s="60" t="e">
        <f t="shared" si="48"/>
        <v>#REF!</v>
      </c>
      <c r="T139" s="60" t="e">
        <f t="shared" si="48"/>
        <v>#REF!</v>
      </c>
      <c r="U139" s="60" t="e">
        <f t="shared" si="48"/>
        <v>#REF!</v>
      </c>
    </row>
    <row r="143" spans="1:21">
      <c r="E143" s="49"/>
    </row>
  </sheetData>
  <mergeCells count="25">
    <mergeCell ref="C72:D72"/>
    <mergeCell ref="C9:D9"/>
    <mergeCell ref="C22:D22"/>
    <mergeCell ref="C24:D24"/>
    <mergeCell ref="A25:A46"/>
    <mergeCell ref="B25:B26"/>
    <mergeCell ref="B27:B29"/>
    <mergeCell ref="B30:B34"/>
    <mergeCell ref="B36:B46"/>
    <mergeCell ref="B104:B109"/>
    <mergeCell ref="A48:A69"/>
    <mergeCell ref="B48:B49"/>
    <mergeCell ref="B50:B52"/>
    <mergeCell ref="B53:B57"/>
    <mergeCell ref="B59:B69"/>
    <mergeCell ref="B74:B79"/>
    <mergeCell ref="B80:B85"/>
    <mergeCell ref="B86:B91"/>
    <mergeCell ref="B92:B97"/>
    <mergeCell ref="B98:B103"/>
    <mergeCell ref="B110:B115"/>
    <mergeCell ref="B116:B121"/>
    <mergeCell ref="B122:B127"/>
    <mergeCell ref="B128:B133"/>
    <mergeCell ref="B134:B139"/>
  </mergeCells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d1119503-6b46-4a43-a658-e1d3aca29592}" enabled="1" method="Standard" siteId="{0a25214f-ee52-483c-b96b-dc79f3227a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Roprevisto</vt:lpstr>
      <vt:lpstr>Roprevisto ivpee Q1</vt:lpstr>
      <vt:lpstr>IVPEE</vt:lpstr>
      <vt:lpstr>R_INV</vt:lpstr>
      <vt:lpstr>TASA_CNMC</vt:lpstr>
      <vt:lpstr>TASA_GTS</vt:lpstr>
    </vt:vector>
  </TitlesOfParts>
  <Company>Repsol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LOZANO LOPEZ, JESUS</dc:creator>
  <cp:lastModifiedBy>ALUMBREROS RODRIGUEZ, MIGUEL</cp:lastModifiedBy>
  <dcterms:created xsi:type="dcterms:W3CDTF">2015-11-23T17:50:33Z</dcterms:created>
  <dcterms:modified xsi:type="dcterms:W3CDTF">2026-05-07T13:07:15Z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WorkbookVersion">
    <vt:i4>5</vt:i4>
  </property>
  <property fmtid="{D5CDD505-2E9C-101B-9397-08002B2CF9AE}" pid="3" name="MSIP_Label_d1119503-6b46-4a43-a658-e1d3aca29592_Enabled">
    <vt:lpwstr>true</vt:lpwstr>
  </property>
  <property fmtid="{D5CDD505-2E9C-101B-9397-08002B2CF9AE}" pid="4" name="MSIP_Label_d1119503-6b46-4a43-a658-e1d3aca29592_SetDate">
    <vt:lpwstr>2021-11-11T10:39:49Z</vt:lpwstr>
  </property>
  <property fmtid="{D5CDD505-2E9C-101B-9397-08002B2CF9AE}" pid="5" name="MSIP_Label_d1119503-6b46-4a43-a658-e1d3aca29592_Method">
    <vt:lpwstr>Standard</vt:lpwstr>
  </property>
  <property fmtid="{D5CDD505-2E9C-101B-9397-08002B2CF9AE}" pid="6" name="MSIP_Label_d1119503-6b46-4a43-a658-e1d3aca29592_Name">
    <vt:lpwstr>No Additional Protections</vt:lpwstr>
  </property>
  <property fmtid="{D5CDD505-2E9C-101B-9397-08002B2CF9AE}" pid="7" name="MSIP_Label_d1119503-6b46-4a43-a658-e1d3aca29592_SiteId">
    <vt:lpwstr>0a25214f-ee52-483c-b96b-dc79f3227a6f</vt:lpwstr>
  </property>
  <property fmtid="{D5CDD505-2E9C-101B-9397-08002B2CF9AE}" pid="8" name="MSIP_Label_d1119503-6b46-4a43-a658-e1d3aca29592_ActionId">
    <vt:lpwstr>d105839e-ffaf-486e-837a-32bcb412613a</vt:lpwstr>
  </property>
  <property fmtid="{D5CDD505-2E9C-101B-9397-08002B2CF9AE}" pid="9" name="MSIP_Label_d1119503-6b46-4a43-a658-e1d3aca29592_ContentBits">
    <vt:lpwstr>0</vt:lpwstr>
  </property>
</Properties>
</file>